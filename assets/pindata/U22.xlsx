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hduchx.CCR\Downloads\Github\WebPinHelper\assets\pindata\"/>
    </mc:Choice>
  </mc:AlternateContent>
  <xr:revisionPtr revIDLastSave="0" documentId="13_ncr:1_{97B013AE-481B-419E-B21C-FE93BE85CE7E}" xr6:coauthVersionLast="47" xr6:coauthVersionMax="47" xr10:uidLastSave="{00000000-0000-0000-0000-000000000000}"/>
  <bookViews>
    <workbookView xWindow="-120" yWindow="-120" windowWidth="29040" windowHeight="15720" tabRatio="860" xr2:uid="{18DFBB1D-E012-4142-B0D0-C78B160F5AB1}"/>
  </bookViews>
  <sheets>
    <sheet name="Sheet1" sheetId="36" r:id="rId1"/>
    <sheet name="Pinlist(S1)" sheetId="31" r:id="rId2"/>
    <sheet name="Pinlist(S3)" sheetId="35" r:id="rId3"/>
    <sheet name="Pinlist(S5)" sheetId="34" r:id="rId4"/>
    <sheet name="Crosstalk" sheetId="30" r:id="rId5"/>
    <sheet name="LoopBack" sheetId="18" r:id="rId6"/>
    <sheet name="DDR" sheetId="19" r:id="rId7"/>
    <sheet name="USB2" sheetId="20" r:id="rId8"/>
    <sheet name="VCCRTCEXT_DSW,synch" sheetId="21" r:id="rId9"/>
    <sheet name="Crystal" sheetId="22" r:id="rId10"/>
    <sheet name="HVMCLK" sheetId="23" r:id="rId11"/>
    <sheet name="HIMONI" sheetId="24" r:id="rId12"/>
    <sheet name="THERMAL" sheetId="25" r:id="rId13"/>
    <sheet name="EDP,DDR_C,JTAG,MBP" sheetId="27" r:id="rId14"/>
    <sheet name="NOA,DDI" sheetId="28" r:id="rId15"/>
    <sheet name="CLKOUT_CSI" sheetId="26" r:id="rId16"/>
    <sheet name="CLAssign" sheetId="17" r:id="rId17"/>
    <sheet name="POWER" sheetId="2" r:id="rId18"/>
  </sheets>
  <externalReferences>
    <externalReference r:id="rId19"/>
  </externalReferences>
  <definedNames>
    <definedName name="ballout">[1]Ballout!$A$1:$BT$43</definedName>
    <definedName name="_xlnm.Print_Area" localSheetId="15">CLKOUT_CSI!$A:$J</definedName>
    <definedName name="_xlnm.Print_Area" localSheetId="9">Crystal!$A$1:$S$21</definedName>
    <definedName name="_xlnm.Print_Area" localSheetId="6">DDR!$A$1:$C$165</definedName>
    <definedName name="_xlnm.Print_Area" localSheetId="13">'EDP,DDR_C,JTAG,MBP'!$A:$V</definedName>
    <definedName name="_xlnm.Print_Area" localSheetId="11">HIMONI!$A$1:$O$19</definedName>
    <definedName name="_xlnm.Print_Area" localSheetId="10">HVMCLK!$A:$J</definedName>
    <definedName name="_xlnm.Print_Area" localSheetId="5">LoopBack!#REF!</definedName>
    <definedName name="_xlnm.Print_Area" localSheetId="14">'NOA,DDI'!$A$1:$Y$52</definedName>
    <definedName name="_xlnm.Print_Area" localSheetId="12">THERMAL!$A$1:$V$36</definedName>
    <definedName name="_xlnm.Print_Area" localSheetId="8">'VCCRTCEXT_DSW,synch'!$A$1:$I$32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6" l="1"/>
  <c r="I3" i="36"/>
  <c r="I4" i="36"/>
  <c r="I5" i="36"/>
  <c r="I6" i="36"/>
  <c r="J6" i="36" s="1"/>
  <c r="I7" i="36"/>
  <c r="J7" i="36" s="1"/>
  <c r="I8" i="36"/>
  <c r="J8" i="36" s="1"/>
  <c r="I9" i="36"/>
  <c r="I10" i="36"/>
  <c r="I11" i="36"/>
  <c r="I12" i="36"/>
  <c r="J12" i="36" s="1"/>
  <c r="I13" i="36"/>
  <c r="J13" i="36" s="1"/>
  <c r="I14" i="36"/>
  <c r="J14" i="36" s="1"/>
  <c r="I15" i="36"/>
  <c r="J15" i="36" s="1"/>
  <c r="I16" i="36"/>
  <c r="J16" i="36" s="1"/>
  <c r="I17" i="36"/>
  <c r="J17" i="36" s="1"/>
  <c r="I18" i="36"/>
  <c r="I19" i="36"/>
  <c r="I20" i="36"/>
  <c r="I21" i="36"/>
  <c r="I22" i="36"/>
  <c r="I23" i="36"/>
  <c r="J23" i="36" s="1"/>
  <c r="I24" i="36"/>
  <c r="J24" i="36" s="1"/>
  <c r="I25" i="36"/>
  <c r="J25" i="36" s="1"/>
  <c r="I26" i="36"/>
  <c r="I27" i="36"/>
  <c r="I28" i="36"/>
  <c r="I29" i="36"/>
  <c r="I30" i="36"/>
  <c r="I31" i="36"/>
  <c r="J31" i="36" s="1"/>
  <c r="I32" i="36"/>
  <c r="J32" i="36" s="1"/>
  <c r="I33" i="36"/>
  <c r="J33" i="36" s="1"/>
  <c r="I34" i="36"/>
  <c r="J34" i="36" s="1"/>
  <c r="I35" i="36"/>
  <c r="I36" i="36"/>
  <c r="J36" i="36" s="1"/>
  <c r="I37" i="36"/>
  <c r="J37" i="36" s="1"/>
  <c r="I38" i="36"/>
  <c r="J38" i="36" s="1"/>
  <c r="I39" i="36"/>
  <c r="J39" i="36" s="1"/>
  <c r="I40" i="36"/>
  <c r="J40" i="36" s="1"/>
  <c r="I41" i="36"/>
  <c r="J41" i="36" s="1"/>
  <c r="I42" i="36"/>
  <c r="J42" i="36" s="1"/>
  <c r="I43" i="36"/>
  <c r="J43" i="36" s="1"/>
  <c r="I44" i="36"/>
  <c r="I45" i="36"/>
  <c r="I46" i="36"/>
  <c r="I47" i="36"/>
  <c r="J47" i="36" s="1"/>
  <c r="I48" i="36"/>
  <c r="J48" i="36" s="1"/>
  <c r="I49" i="36"/>
  <c r="J49" i="36" s="1"/>
  <c r="I50" i="36"/>
  <c r="I51" i="36"/>
  <c r="I52" i="36"/>
  <c r="I53" i="36"/>
  <c r="I54" i="36"/>
  <c r="J54" i="36" s="1"/>
  <c r="I55" i="36"/>
  <c r="J55" i="36" s="1"/>
  <c r="I56" i="36"/>
  <c r="J56" i="36" s="1"/>
  <c r="I57" i="36"/>
  <c r="J57" i="36" s="1"/>
  <c r="I58" i="36"/>
  <c r="J58" i="36" s="1"/>
  <c r="I59" i="36"/>
  <c r="J59" i="36" s="1"/>
  <c r="I60" i="36"/>
  <c r="J60" i="36" s="1"/>
  <c r="I61" i="36"/>
  <c r="J61" i="36" s="1"/>
  <c r="I62" i="36"/>
  <c r="I63" i="36"/>
  <c r="I64" i="36"/>
  <c r="I65" i="36"/>
  <c r="I66" i="36"/>
  <c r="J66" i="36" s="1"/>
  <c r="I67" i="36"/>
  <c r="J67" i="36" s="1"/>
  <c r="I68" i="36"/>
  <c r="J68" i="36" s="1"/>
  <c r="I69" i="36"/>
  <c r="J69" i="36" s="1"/>
  <c r="I70" i="36"/>
  <c r="I71" i="36"/>
  <c r="J71" i="36" s="1"/>
  <c r="I72" i="36"/>
  <c r="J72" i="36" s="1"/>
  <c r="I73" i="36"/>
  <c r="J73" i="36" s="1"/>
  <c r="I74" i="36"/>
  <c r="I75" i="36"/>
  <c r="I76" i="36"/>
  <c r="I77" i="36"/>
  <c r="I78" i="36"/>
  <c r="I79" i="36"/>
  <c r="J79" i="36" s="1"/>
  <c r="I80" i="36"/>
  <c r="J80" i="36" s="1"/>
  <c r="I81" i="36"/>
  <c r="J81" i="36" s="1"/>
  <c r="I82" i="36"/>
  <c r="J82" i="36" s="1"/>
  <c r="I83" i="36"/>
  <c r="I84" i="36"/>
  <c r="J84" i="36" s="1"/>
  <c r="I85" i="36"/>
  <c r="J85" i="36" s="1"/>
  <c r="I86" i="36"/>
  <c r="I87" i="36"/>
  <c r="I88" i="36"/>
  <c r="J88" i="36" s="1"/>
  <c r="I89" i="36"/>
  <c r="J89" i="36" s="1"/>
  <c r="I90" i="36"/>
  <c r="J90" i="36" s="1"/>
  <c r="I91" i="36"/>
  <c r="J91" i="36" s="1"/>
  <c r="I92" i="36"/>
  <c r="J92" i="36" s="1"/>
  <c r="I93" i="36"/>
  <c r="J93" i="36" s="1"/>
  <c r="I94" i="36"/>
  <c r="J94" i="36" s="1"/>
  <c r="I95" i="36"/>
  <c r="J95" i="36" s="1"/>
  <c r="I96" i="36"/>
  <c r="J96" i="36" s="1"/>
  <c r="I97" i="36"/>
  <c r="J97" i="36" s="1"/>
  <c r="I98" i="36"/>
  <c r="I99" i="36"/>
  <c r="I100" i="36"/>
  <c r="I101" i="36"/>
  <c r="I102" i="36"/>
  <c r="J102" i="36" s="1"/>
  <c r="I103" i="36"/>
  <c r="J103" i="36" s="1"/>
  <c r="I104" i="36"/>
  <c r="J104" i="36" s="1"/>
  <c r="I105" i="36"/>
  <c r="I106" i="36"/>
  <c r="I107" i="36"/>
  <c r="I108" i="36"/>
  <c r="J108" i="36" s="1"/>
  <c r="I109" i="36"/>
  <c r="J109" i="36" s="1"/>
  <c r="I110" i="36"/>
  <c r="J110" i="36" s="1"/>
  <c r="I111" i="36"/>
  <c r="J111" i="36" s="1"/>
  <c r="I112" i="36"/>
  <c r="J112" i="36" s="1"/>
  <c r="I113" i="36"/>
  <c r="J113" i="36" s="1"/>
  <c r="I114" i="36"/>
  <c r="I115" i="36"/>
  <c r="I116" i="36"/>
  <c r="I117" i="36"/>
  <c r="I118" i="36"/>
  <c r="J118" i="36" s="1"/>
  <c r="I119" i="36"/>
  <c r="J119" i="36" s="1"/>
  <c r="I120" i="36"/>
  <c r="J120" i="36" s="1"/>
  <c r="I121" i="36"/>
  <c r="J121" i="36" s="1"/>
  <c r="I122" i="36"/>
  <c r="I123" i="36"/>
  <c r="I124" i="36"/>
  <c r="I125" i="36"/>
  <c r="I126" i="36"/>
  <c r="I127" i="36"/>
  <c r="J127" i="36" s="1"/>
  <c r="I128" i="36"/>
  <c r="J128" i="36" s="1"/>
  <c r="I129" i="36"/>
  <c r="J129" i="36" s="1"/>
  <c r="I130" i="36"/>
  <c r="J130" i="36" s="1"/>
  <c r="I131" i="36"/>
  <c r="J131" i="36" s="1"/>
  <c r="I132" i="36"/>
  <c r="J132" i="36" s="1"/>
  <c r="I133" i="36"/>
  <c r="J133" i="36" s="1"/>
  <c r="I134" i="36"/>
  <c r="J134" i="36" s="1"/>
  <c r="I135" i="36"/>
  <c r="J135" i="36" s="1"/>
  <c r="I136" i="36"/>
  <c r="J136" i="36" s="1"/>
  <c r="I137" i="36"/>
  <c r="J137" i="36" s="1"/>
  <c r="I138" i="36"/>
  <c r="J138" i="36" s="1"/>
  <c r="I139" i="36"/>
  <c r="J139" i="36" s="1"/>
  <c r="I140" i="36"/>
  <c r="I141" i="36"/>
  <c r="I142" i="36"/>
  <c r="I143" i="36"/>
  <c r="J143" i="36" s="1"/>
  <c r="I144" i="36"/>
  <c r="J144" i="36" s="1"/>
  <c r="I145" i="36"/>
  <c r="J145" i="36" s="1"/>
  <c r="I146" i="36"/>
  <c r="I147" i="36"/>
  <c r="I148" i="36"/>
  <c r="I149" i="36"/>
  <c r="I150" i="36"/>
  <c r="I151" i="36"/>
  <c r="I152" i="36"/>
  <c r="J152" i="36" s="1"/>
  <c r="I153" i="36"/>
  <c r="J153" i="36" s="1"/>
  <c r="I154" i="36"/>
  <c r="J154" i="36" s="1"/>
  <c r="I155" i="36"/>
  <c r="I156" i="36"/>
  <c r="J156" i="36" s="1"/>
  <c r="I157" i="36"/>
  <c r="J157" i="36" s="1"/>
  <c r="I158" i="36"/>
  <c r="I159" i="36"/>
  <c r="I160" i="36"/>
  <c r="I161" i="36"/>
  <c r="I162" i="36"/>
  <c r="J162" i="36" s="1"/>
  <c r="I163" i="36"/>
  <c r="J163" i="36" s="1"/>
  <c r="I164" i="36"/>
  <c r="I165" i="36"/>
  <c r="I166" i="36"/>
  <c r="I167" i="36"/>
  <c r="J167" i="36" s="1"/>
  <c r="I168" i="36"/>
  <c r="J168" i="36" s="1"/>
  <c r="I169" i="36"/>
  <c r="J169" i="36" s="1"/>
  <c r="I170" i="36"/>
  <c r="I171" i="36"/>
  <c r="I172" i="36"/>
  <c r="I173" i="36"/>
  <c r="I174" i="36"/>
  <c r="I175" i="36"/>
  <c r="J175" i="36" s="1"/>
  <c r="I176" i="36"/>
  <c r="J176" i="36" s="1"/>
  <c r="I177" i="36"/>
  <c r="J177" i="36" s="1"/>
  <c r="I178" i="36"/>
  <c r="J178" i="36" s="1"/>
  <c r="I179" i="36"/>
  <c r="J179" i="36" s="1"/>
  <c r="I180" i="36"/>
  <c r="J180" i="36" s="1"/>
  <c r="I181" i="36"/>
  <c r="J181" i="36" s="1"/>
  <c r="I182" i="36"/>
  <c r="I183" i="36"/>
  <c r="I184" i="36"/>
  <c r="I185" i="36"/>
  <c r="J185" i="36" s="1"/>
  <c r="I186" i="36"/>
  <c r="J186" i="36" s="1"/>
  <c r="I187" i="36"/>
  <c r="J187" i="36" s="1"/>
  <c r="I188" i="36"/>
  <c r="I189" i="36"/>
  <c r="I190" i="36"/>
  <c r="I191" i="36"/>
  <c r="J191" i="36" s="1"/>
  <c r="I192" i="36"/>
  <c r="J192" i="36" s="1"/>
  <c r="I193" i="36"/>
  <c r="J193" i="36" s="1"/>
  <c r="I194" i="36"/>
  <c r="I195" i="36"/>
  <c r="I196" i="36"/>
  <c r="J196" i="36" s="1"/>
  <c r="I197" i="36"/>
  <c r="J197" i="36" s="1"/>
  <c r="I198" i="36"/>
  <c r="J198" i="36" s="1"/>
  <c r="I199" i="36"/>
  <c r="J199" i="36" s="1"/>
  <c r="I200" i="36"/>
  <c r="J200" i="36" s="1"/>
  <c r="I201" i="36"/>
  <c r="J201" i="36" s="1"/>
  <c r="I202" i="36"/>
  <c r="I203" i="36"/>
  <c r="I204" i="36"/>
  <c r="J204" i="36" s="1"/>
  <c r="I205" i="36"/>
  <c r="J205" i="36" s="1"/>
  <c r="I206" i="36"/>
  <c r="I207" i="36"/>
  <c r="I208" i="36"/>
  <c r="I209" i="36"/>
  <c r="J209" i="36" s="1"/>
  <c r="I210" i="36"/>
  <c r="J210" i="36" s="1"/>
  <c r="I211" i="36"/>
  <c r="J211" i="36" s="1"/>
  <c r="I212" i="36"/>
  <c r="I213" i="36"/>
  <c r="I214" i="36"/>
  <c r="I215" i="36"/>
  <c r="J215" i="36" s="1"/>
  <c r="I216" i="36"/>
  <c r="J216" i="36" s="1"/>
  <c r="I217" i="36"/>
  <c r="J217" i="36" s="1"/>
  <c r="I218" i="36"/>
  <c r="I219" i="36"/>
  <c r="I220" i="36"/>
  <c r="I221" i="36"/>
  <c r="I222" i="36"/>
  <c r="J222" i="36" s="1"/>
  <c r="I223" i="36"/>
  <c r="J223" i="36" s="1"/>
  <c r="I224" i="36"/>
  <c r="J224" i="36" s="1"/>
  <c r="I225" i="36"/>
  <c r="J225" i="36" s="1"/>
  <c r="I226" i="36"/>
  <c r="J226" i="36" s="1"/>
  <c r="I227" i="36"/>
  <c r="I228" i="36"/>
  <c r="J228" i="36" s="1"/>
  <c r="I229" i="36"/>
  <c r="J229" i="36" s="1"/>
  <c r="I230" i="36"/>
  <c r="I231" i="36"/>
  <c r="J231" i="36" s="1"/>
  <c r="I232" i="36"/>
  <c r="J232" i="36" s="1"/>
  <c r="I233" i="36"/>
  <c r="J233" i="36" s="1"/>
  <c r="I234" i="36"/>
  <c r="J234" i="36" s="1"/>
  <c r="I235" i="36"/>
  <c r="J235" i="36" s="1"/>
  <c r="I236" i="36"/>
  <c r="I237" i="36"/>
  <c r="I238" i="36"/>
  <c r="I239" i="36"/>
  <c r="J239" i="36" s="1"/>
  <c r="I240" i="36"/>
  <c r="J240" i="36" s="1"/>
  <c r="I241" i="36"/>
  <c r="J241" i="36" s="1"/>
  <c r="I242" i="36"/>
  <c r="I243" i="36"/>
  <c r="I244" i="36"/>
  <c r="I245" i="36"/>
  <c r="I246" i="36"/>
  <c r="I247" i="36"/>
  <c r="I248" i="36"/>
  <c r="J248" i="36" s="1"/>
  <c r="I249" i="36"/>
  <c r="J249" i="36" s="1"/>
  <c r="I250" i="36"/>
  <c r="J250" i="36" s="1"/>
  <c r="I251" i="36"/>
  <c r="J251" i="36" s="1"/>
  <c r="I252" i="36"/>
  <c r="J252" i="36" s="1"/>
  <c r="I253" i="36"/>
  <c r="J253" i="36" s="1"/>
  <c r="I254" i="36"/>
  <c r="J254" i="36" s="1"/>
  <c r="I255" i="36"/>
  <c r="J255" i="36" s="1"/>
  <c r="I256" i="36"/>
  <c r="J256" i="36" s="1"/>
  <c r="I257" i="36"/>
  <c r="I258" i="36"/>
  <c r="J258" i="36" s="1"/>
  <c r="I259" i="36"/>
  <c r="J259" i="36" s="1"/>
  <c r="I260" i="36"/>
  <c r="I261" i="36"/>
  <c r="I262" i="36"/>
  <c r="I263" i="36"/>
  <c r="J263" i="36" s="1"/>
  <c r="I264" i="36"/>
  <c r="J264" i="36" s="1"/>
  <c r="I265" i="36"/>
  <c r="J265" i="36" s="1"/>
  <c r="I266" i="36"/>
  <c r="I267" i="36"/>
  <c r="I268" i="36"/>
  <c r="I269" i="36"/>
  <c r="I270" i="36"/>
  <c r="J270" i="36" s="1"/>
  <c r="I271" i="36"/>
  <c r="J271" i="36" s="1"/>
  <c r="I272" i="36"/>
  <c r="J272" i="36" s="1"/>
  <c r="I273" i="36"/>
  <c r="J273" i="36" s="1"/>
  <c r="I274" i="36"/>
  <c r="J274" i="36" s="1"/>
  <c r="I275" i="36"/>
  <c r="J275" i="36" s="1"/>
  <c r="I276" i="36"/>
  <c r="J276" i="36" s="1"/>
  <c r="I277" i="36"/>
  <c r="J277" i="36" s="1"/>
  <c r="I278" i="36"/>
  <c r="J278" i="36" s="1"/>
  <c r="I279" i="36"/>
  <c r="J279" i="36" s="1"/>
  <c r="I280" i="36"/>
  <c r="J280" i="36" s="1"/>
  <c r="I281" i="36"/>
  <c r="J281" i="36" s="1"/>
  <c r="I282" i="36"/>
  <c r="J282" i="36" s="1"/>
  <c r="I283" i="36"/>
  <c r="J283" i="36" s="1"/>
  <c r="I284" i="36"/>
  <c r="I285" i="36"/>
  <c r="I286" i="36"/>
  <c r="I287" i="36"/>
  <c r="J287" i="36" s="1"/>
  <c r="I288" i="36"/>
  <c r="J288" i="36" s="1"/>
  <c r="I289" i="36"/>
  <c r="J289" i="36" s="1"/>
  <c r="I290" i="36"/>
  <c r="I291" i="36"/>
  <c r="I292" i="36"/>
  <c r="I293" i="36"/>
  <c r="I294" i="36"/>
  <c r="I295" i="36"/>
  <c r="J295" i="36" s="1"/>
  <c r="I296" i="36"/>
  <c r="J296" i="36" s="1"/>
  <c r="I297" i="36"/>
  <c r="J297" i="36" s="1"/>
  <c r="I298" i="36"/>
  <c r="J298" i="36" s="1"/>
  <c r="I299" i="36"/>
  <c r="J299" i="36" s="1"/>
  <c r="I300" i="36"/>
  <c r="J300" i="36" s="1"/>
  <c r="I301" i="36"/>
  <c r="J301" i="36" s="1"/>
  <c r="I302" i="36"/>
  <c r="J302" i="36" s="1"/>
  <c r="I303" i="36"/>
  <c r="J303" i="36" s="1"/>
  <c r="I304" i="36"/>
  <c r="J304" i="36" s="1"/>
  <c r="I305" i="36"/>
  <c r="J305" i="36" s="1"/>
  <c r="I306" i="36"/>
  <c r="J306" i="36" s="1"/>
  <c r="I307" i="36"/>
  <c r="J307" i="36" s="1"/>
  <c r="I308" i="36"/>
  <c r="I309" i="36"/>
  <c r="I310" i="36"/>
  <c r="I311" i="36"/>
  <c r="J311" i="36" s="1"/>
  <c r="I312" i="36"/>
  <c r="J312" i="36" s="1"/>
  <c r="I313" i="36"/>
  <c r="J313" i="36" s="1"/>
  <c r="I314" i="36"/>
  <c r="I315" i="36"/>
  <c r="I316" i="36"/>
  <c r="I317" i="36"/>
  <c r="I318" i="36"/>
  <c r="J318" i="36" s="1"/>
  <c r="I319" i="36"/>
  <c r="J319" i="36" s="1"/>
  <c r="I320" i="36"/>
  <c r="I321" i="36"/>
  <c r="I322" i="36"/>
  <c r="I323" i="36"/>
  <c r="I324" i="36"/>
  <c r="J324" i="36" s="1"/>
  <c r="I325" i="36"/>
  <c r="J325" i="36" s="1"/>
  <c r="I326" i="36"/>
  <c r="I327" i="36"/>
  <c r="I328" i="36"/>
  <c r="J328" i="36" s="1"/>
  <c r="I329" i="36"/>
  <c r="J329" i="36" s="1"/>
  <c r="I330" i="36"/>
  <c r="J330" i="36" s="1"/>
  <c r="I331" i="36"/>
  <c r="J331" i="36" s="1"/>
  <c r="I332" i="36"/>
  <c r="I333" i="36"/>
  <c r="I334" i="36"/>
  <c r="I335" i="36"/>
  <c r="J335" i="36" s="1"/>
  <c r="I336" i="36"/>
  <c r="J336" i="36" s="1"/>
  <c r="I337" i="36"/>
  <c r="J337" i="36" s="1"/>
  <c r="I338" i="36"/>
  <c r="I339" i="36"/>
  <c r="I340" i="36"/>
  <c r="I341" i="36"/>
  <c r="I342" i="36"/>
  <c r="I343" i="36"/>
  <c r="I344" i="36"/>
  <c r="J344" i="36" s="1"/>
  <c r="I345" i="36"/>
  <c r="J345" i="36" s="1"/>
  <c r="I346" i="36"/>
  <c r="J346" i="36" s="1"/>
  <c r="I347" i="36"/>
  <c r="I348" i="36"/>
  <c r="J348" i="36" s="1"/>
  <c r="I349" i="36"/>
  <c r="J349" i="36" s="1"/>
  <c r="I350" i="36"/>
  <c r="I351" i="36"/>
  <c r="I352" i="36"/>
  <c r="J352" i="36" s="1"/>
  <c r="I353" i="36"/>
  <c r="J353" i="36" s="1"/>
  <c r="I354" i="36"/>
  <c r="J354" i="36" s="1"/>
  <c r="I355" i="36"/>
  <c r="J355" i="36" s="1"/>
  <c r="I356" i="36"/>
  <c r="J356" i="36" s="1"/>
  <c r="I357" i="36"/>
  <c r="J357" i="36" s="1"/>
  <c r="I358" i="36"/>
  <c r="I359" i="36"/>
  <c r="J359" i="36" s="1"/>
  <c r="I360" i="36"/>
  <c r="J360" i="36" s="1"/>
  <c r="I361" i="36"/>
  <c r="J361" i="36" s="1"/>
  <c r="I362" i="36"/>
  <c r="I363" i="36"/>
  <c r="I364" i="36"/>
  <c r="I365" i="36"/>
  <c r="I366" i="36"/>
  <c r="J366" i="36" s="1"/>
  <c r="I367" i="36"/>
  <c r="J367" i="36" s="1"/>
  <c r="I368" i="36"/>
  <c r="I369" i="36"/>
  <c r="I370" i="36"/>
  <c r="I371" i="36"/>
  <c r="I372" i="36"/>
  <c r="J372" i="36" s="1"/>
  <c r="I373" i="36"/>
  <c r="J373" i="36" s="1"/>
  <c r="I374" i="36"/>
  <c r="I375" i="36"/>
  <c r="J375" i="36" s="1"/>
  <c r="I376" i="36"/>
  <c r="J376" i="36" s="1"/>
  <c r="I377" i="36"/>
  <c r="J377" i="36" s="1"/>
  <c r="I378" i="36"/>
  <c r="J378" i="36" s="1"/>
  <c r="I379" i="36"/>
  <c r="J379" i="36" s="1"/>
  <c r="I380" i="36"/>
  <c r="J380" i="36" s="1"/>
  <c r="I381" i="36"/>
  <c r="J381" i="36" s="1"/>
  <c r="I382" i="36"/>
  <c r="J382" i="36" s="1"/>
  <c r="I383" i="36"/>
  <c r="J383" i="36" s="1"/>
  <c r="I384" i="36"/>
  <c r="J384" i="36" s="1"/>
  <c r="I385" i="36"/>
  <c r="J385" i="36" s="1"/>
  <c r="I386" i="36"/>
  <c r="I387" i="36"/>
  <c r="I388" i="36"/>
  <c r="I389" i="36"/>
  <c r="I390" i="36"/>
  <c r="I391" i="36"/>
  <c r="J391" i="36" s="1"/>
  <c r="I392" i="36"/>
  <c r="J392" i="36" s="1"/>
  <c r="I393" i="36"/>
  <c r="J393" i="36" s="1"/>
  <c r="I394" i="36"/>
  <c r="J394" i="36" s="1"/>
  <c r="I395" i="36"/>
  <c r="J395" i="36" s="1"/>
  <c r="I396" i="36"/>
  <c r="J396" i="36" s="1"/>
  <c r="I397" i="36"/>
  <c r="J397" i="36" s="1"/>
  <c r="I398" i="36"/>
  <c r="J398" i="36" s="1"/>
  <c r="I399" i="36"/>
  <c r="J399" i="36" s="1"/>
  <c r="I400" i="36"/>
  <c r="J400" i="36" s="1"/>
  <c r="I401" i="36"/>
  <c r="J401" i="36" s="1"/>
  <c r="I402" i="36"/>
  <c r="J402" i="36" s="1"/>
  <c r="I403" i="36"/>
  <c r="J403" i="36" s="1"/>
  <c r="I404" i="36"/>
  <c r="I405" i="36"/>
  <c r="I406" i="36"/>
  <c r="J406" i="36" s="1"/>
  <c r="I407" i="36"/>
  <c r="J407" i="36" s="1"/>
  <c r="I408" i="36"/>
  <c r="J408" i="36" s="1"/>
  <c r="I409" i="36"/>
  <c r="J409" i="36" s="1"/>
  <c r="I410" i="36"/>
  <c r="I411" i="36"/>
  <c r="I412" i="36"/>
  <c r="I413" i="36"/>
  <c r="I414" i="36"/>
  <c r="J414" i="36" s="1"/>
  <c r="I415" i="36"/>
  <c r="J415" i="36" s="1"/>
  <c r="I416" i="36"/>
  <c r="J416" i="36" s="1"/>
  <c r="I417" i="36"/>
  <c r="J417" i="36" s="1"/>
  <c r="I418" i="36"/>
  <c r="J418" i="36" s="1"/>
  <c r="I419" i="36"/>
  <c r="I420" i="36"/>
  <c r="J420" i="36" s="1"/>
  <c r="I421" i="36"/>
  <c r="J421" i="36" s="1"/>
  <c r="I422" i="36"/>
  <c r="I423" i="36"/>
  <c r="I424" i="36"/>
  <c r="I425" i="36"/>
  <c r="I426" i="36"/>
  <c r="J426" i="36" s="1"/>
  <c r="I427" i="36"/>
  <c r="J427" i="36" s="1"/>
  <c r="I428" i="36"/>
  <c r="I429" i="36"/>
  <c r="I430" i="36"/>
  <c r="I431" i="36"/>
  <c r="I432" i="36"/>
  <c r="J432" i="36" s="1"/>
  <c r="I433" i="36"/>
  <c r="J433" i="36" s="1"/>
  <c r="I434" i="36"/>
  <c r="I435" i="36"/>
  <c r="I436" i="36"/>
  <c r="I437" i="36"/>
  <c r="I438" i="36"/>
  <c r="J438" i="36" s="1"/>
  <c r="I439" i="36"/>
  <c r="J439" i="36" s="1"/>
  <c r="I440" i="36"/>
  <c r="J440" i="36" s="1"/>
  <c r="I441" i="36"/>
  <c r="J441" i="36" s="1"/>
  <c r="I442" i="36"/>
  <c r="J442" i="36" s="1"/>
  <c r="I443" i="36"/>
  <c r="I444" i="36"/>
  <c r="J444" i="36" s="1"/>
  <c r="I445" i="36"/>
  <c r="J445" i="36" s="1"/>
  <c r="I446" i="36"/>
  <c r="I447" i="36"/>
  <c r="J447" i="36" s="1"/>
  <c r="I448" i="36"/>
  <c r="J448" i="36" s="1"/>
  <c r="I449" i="36"/>
  <c r="J449" i="36" s="1"/>
  <c r="I450" i="36"/>
  <c r="J450" i="36" s="1"/>
  <c r="I451" i="36"/>
  <c r="J451" i="36" s="1"/>
  <c r="I452" i="36"/>
  <c r="I453" i="36"/>
  <c r="I454" i="36"/>
  <c r="I455" i="36"/>
  <c r="J455" i="36" s="1"/>
  <c r="I456" i="36"/>
  <c r="J456" i="36" s="1"/>
  <c r="I457" i="36"/>
  <c r="J457" i="36" s="1"/>
  <c r="I458" i="36"/>
  <c r="I459" i="36"/>
  <c r="I460" i="36"/>
  <c r="I461" i="36"/>
  <c r="I462" i="36"/>
  <c r="I463" i="36"/>
  <c r="I464" i="36"/>
  <c r="J464" i="36" s="1"/>
  <c r="I465" i="36"/>
  <c r="J465" i="36" s="1"/>
  <c r="I466" i="36"/>
  <c r="J466" i="36" s="1"/>
  <c r="I467" i="36"/>
  <c r="I468" i="36"/>
  <c r="J468" i="36" s="1"/>
  <c r="I469" i="36"/>
  <c r="J469" i="36" s="1"/>
  <c r="I470" i="36"/>
  <c r="I471" i="36"/>
  <c r="I472" i="36"/>
  <c r="I473" i="36"/>
  <c r="I474" i="36"/>
  <c r="I475" i="36"/>
  <c r="J475" i="36" s="1"/>
  <c r="I476" i="36"/>
  <c r="I477" i="36"/>
  <c r="I478" i="36"/>
  <c r="I479" i="36"/>
  <c r="J479" i="36" s="1"/>
  <c r="I480" i="36"/>
  <c r="J480" i="36" s="1"/>
  <c r="I481" i="36"/>
  <c r="J481" i="36" s="1"/>
  <c r="I482" i="36"/>
  <c r="I483" i="36"/>
  <c r="I484" i="36"/>
  <c r="J484" i="36" s="1"/>
  <c r="I485" i="36"/>
  <c r="J485" i="36" s="1"/>
  <c r="I486" i="36"/>
  <c r="J486" i="36" s="1"/>
  <c r="I487" i="36"/>
  <c r="J487" i="36" s="1"/>
  <c r="I488" i="36"/>
  <c r="I489" i="36"/>
  <c r="I490" i="36"/>
  <c r="I491" i="36"/>
  <c r="I492" i="36"/>
  <c r="J492" i="36" s="1"/>
  <c r="I493" i="36"/>
  <c r="J493" i="36" s="1"/>
  <c r="I494" i="36"/>
  <c r="J494" i="36" s="1"/>
  <c r="I495" i="36"/>
  <c r="J495" i="36" s="1"/>
  <c r="I496" i="36"/>
  <c r="J496" i="36" s="1"/>
  <c r="I497" i="36"/>
  <c r="J497" i="36" s="1"/>
  <c r="I498" i="36"/>
  <c r="J498" i="36" s="1"/>
  <c r="I499" i="36"/>
  <c r="J499" i="36" s="1"/>
  <c r="I500" i="36"/>
  <c r="I501" i="36"/>
  <c r="I502" i="36"/>
  <c r="I503" i="36"/>
  <c r="J503" i="36" s="1"/>
  <c r="I504" i="36"/>
  <c r="J504" i="36" s="1"/>
  <c r="I505" i="36"/>
  <c r="J505" i="36" s="1"/>
  <c r="I506" i="36"/>
  <c r="I507" i="36"/>
  <c r="I508" i="36"/>
  <c r="I509" i="36"/>
  <c r="I510" i="36"/>
  <c r="J510" i="36" s="1"/>
  <c r="I511" i="36"/>
  <c r="J511" i="36" s="1"/>
  <c r="I512" i="36"/>
  <c r="J512" i="36" s="1"/>
  <c r="I513" i="36"/>
  <c r="J513" i="36" s="1"/>
  <c r="I514" i="36"/>
  <c r="I515" i="36"/>
  <c r="J515" i="36" s="1"/>
  <c r="I516" i="36"/>
  <c r="J516" i="36" s="1"/>
  <c r="I517" i="36"/>
  <c r="J517" i="36" s="1"/>
  <c r="I518" i="36"/>
  <c r="J518" i="36" s="1"/>
  <c r="I519" i="36"/>
  <c r="J519" i="36" s="1"/>
  <c r="I520" i="36"/>
  <c r="J520" i="36" s="1"/>
  <c r="I521" i="36"/>
  <c r="J521" i="36" s="1"/>
  <c r="I522" i="36"/>
  <c r="J522" i="36" s="1"/>
  <c r="I523" i="36"/>
  <c r="I524" i="36"/>
  <c r="I525" i="36"/>
  <c r="I526" i="36"/>
  <c r="J526" i="36" s="1"/>
  <c r="I527" i="36"/>
  <c r="J527" i="36" s="1"/>
  <c r="I528" i="36"/>
  <c r="J528" i="36" s="1"/>
  <c r="I529" i="36"/>
  <c r="J529" i="36" s="1"/>
  <c r="I530" i="36"/>
  <c r="I531" i="36"/>
  <c r="I532" i="36"/>
  <c r="I533" i="36"/>
  <c r="I534" i="36"/>
  <c r="I535" i="36"/>
  <c r="I536" i="36"/>
  <c r="J536" i="36" s="1"/>
  <c r="I537" i="36"/>
  <c r="J537" i="36" s="1"/>
  <c r="I538" i="36"/>
  <c r="J538" i="36" s="1"/>
  <c r="I539" i="36"/>
  <c r="J539" i="36" s="1"/>
  <c r="I540" i="36"/>
  <c r="J540" i="36" s="1"/>
  <c r="I541" i="36"/>
  <c r="J541" i="36" s="1"/>
  <c r="I542" i="36"/>
  <c r="I543" i="36"/>
  <c r="I544" i="36"/>
  <c r="J544" i="36" s="1"/>
  <c r="I545" i="36"/>
  <c r="J545" i="36" s="1"/>
  <c r="I546" i="36"/>
  <c r="J546" i="36" s="1"/>
  <c r="I547" i="36"/>
  <c r="J547" i="36" s="1"/>
  <c r="I548" i="36"/>
  <c r="I549" i="36"/>
  <c r="I550" i="36"/>
  <c r="I551" i="36"/>
  <c r="J551" i="36" s="1"/>
  <c r="I552" i="36"/>
  <c r="J552" i="36" s="1"/>
  <c r="I553" i="36"/>
  <c r="J553" i="36" s="1"/>
  <c r="I554" i="36"/>
  <c r="I555" i="36"/>
  <c r="I556" i="36"/>
  <c r="I557" i="36"/>
  <c r="I558" i="36"/>
  <c r="J558" i="36" s="1"/>
  <c r="I559" i="36"/>
  <c r="I560" i="36"/>
  <c r="I561" i="36"/>
  <c r="I562" i="36"/>
  <c r="J562" i="36" s="1"/>
  <c r="I563" i="36"/>
  <c r="J563" i="36" s="1"/>
  <c r="I564" i="36"/>
  <c r="J564" i="36" s="1"/>
  <c r="I565" i="36"/>
  <c r="J565" i="36" s="1"/>
  <c r="I566" i="36"/>
  <c r="J566" i="36" s="1"/>
  <c r="I567" i="36"/>
  <c r="J567" i="36" s="1"/>
  <c r="I568" i="36"/>
  <c r="J568" i="36" s="1"/>
  <c r="I569" i="36"/>
  <c r="J569" i="36" s="1"/>
  <c r="I570" i="36"/>
  <c r="J570" i="36" s="1"/>
  <c r="I571" i="36"/>
  <c r="J571" i="36" s="1"/>
  <c r="I572" i="36"/>
  <c r="I573" i="36"/>
  <c r="I574" i="36"/>
  <c r="I575" i="36"/>
  <c r="J575" i="36" s="1"/>
  <c r="I576" i="36"/>
  <c r="J576" i="36" s="1"/>
  <c r="I577" i="36"/>
  <c r="J577" i="36" s="1"/>
  <c r="I578" i="36"/>
  <c r="I579" i="36"/>
  <c r="I580" i="36"/>
  <c r="I581" i="36"/>
  <c r="I582" i="36"/>
  <c r="J582" i="36" s="1"/>
  <c r="I583" i="36"/>
  <c r="J583" i="36" s="1"/>
  <c r="I584" i="36"/>
  <c r="J584" i="36" s="1"/>
  <c r="I585" i="36"/>
  <c r="J585" i="36" s="1"/>
  <c r="I586" i="36"/>
  <c r="J586" i="36" s="1"/>
  <c r="I587" i="36"/>
  <c r="J587" i="36" s="1"/>
  <c r="I588" i="36"/>
  <c r="J588" i="36" s="1"/>
  <c r="I589" i="36"/>
  <c r="J589" i="36" s="1"/>
  <c r="I590" i="36"/>
  <c r="J590" i="36" s="1"/>
  <c r="I591" i="36"/>
  <c r="J591" i="36" s="1"/>
  <c r="I592" i="36"/>
  <c r="J592" i="36" s="1"/>
  <c r="I593" i="36"/>
  <c r="J593" i="36" s="1"/>
  <c r="I594" i="36"/>
  <c r="J594" i="36" s="1"/>
  <c r="I595" i="36"/>
  <c r="J595" i="36" s="1"/>
  <c r="I596" i="36"/>
  <c r="I597" i="36"/>
  <c r="I598" i="36"/>
  <c r="I599" i="36"/>
  <c r="J599" i="36" s="1"/>
  <c r="I600" i="36"/>
  <c r="J600" i="36" s="1"/>
  <c r="I601" i="36"/>
  <c r="J601" i="36" s="1"/>
  <c r="I602" i="36"/>
  <c r="I603" i="36"/>
  <c r="I604" i="36"/>
  <c r="I605" i="36"/>
  <c r="I606" i="36"/>
  <c r="I607" i="36"/>
  <c r="I608" i="36"/>
  <c r="J608" i="36" s="1"/>
  <c r="I609" i="36"/>
  <c r="I610" i="36"/>
  <c r="I611" i="36"/>
  <c r="I612" i="36"/>
  <c r="J612" i="36" s="1"/>
  <c r="I613" i="36"/>
  <c r="J613" i="36" s="1"/>
  <c r="I614" i="36"/>
  <c r="I615" i="36"/>
  <c r="I616" i="36"/>
  <c r="J616" i="36" s="1"/>
  <c r="I617" i="36"/>
  <c r="J617" i="36" s="1"/>
  <c r="I618" i="36"/>
  <c r="J618" i="36" s="1"/>
  <c r="I619" i="36"/>
  <c r="J619" i="36" s="1"/>
  <c r="I620" i="36"/>
  <c r="I621" i="36"/>
  <c r="I622" i="36"/>
  <c r="J622" i="36" s="1"/>
  <c r="I623" i="36"/>
  <c r="J623" i="36" s="1"/>
  <c r="I624" i="36"/>
  <c r="J624" i="36" s="1"/>
  <c r="I625" i="36"/>
  <c r="J625" i="36" s="1"/>
  <c r="I626" i="36"/>
  <c r="I627" i="36"/>
  <c r="I628" i="36"/>
  <c r="I629" i="36"/>
  <c r="I630" i="36"/>
  <c r="I631" i="36"/>
  <c r="I632" i="36"/>
  <c r="J632" i="36" s="1"/>
  <c r="I633" i="36"/>
  <c r="J633" i="36" s="1"/>
  <c r="I634" i="36"/>
  <c r="J634" i="36" s="1"/>
  <c r="I635" i="36"/>
  <c r="J635" i="36" s="1"/>
  <c r="I636" i="36"/>
  <c r="J636" i="36" s="1"/>
  <c r="I637" i="36"/>
  <c r="J637" i="36" s="1"/>
  <c r="I638" i="36"/>
  <c r="J638" i="36" s="1"/>
  <c r="I639" i="36"/>
  <c r="J639" i="36" s="1"/>
  <c r="I640" i="36"/>
  <c r="J640" i="36" s="1"/>
  <c r="I641" i="36"/>
  <c r="J641" i="36" s="1"/>
  <c r="I642" i="36"/>
  <c r="J642" i="36" s="1"/>
  <c r="I643" i="36"/>
  <c r="J643" i="36" s="1"/>
  <c r="I644" i="36"/>
  <c r="J644" i="36" s="1"/>
  <c r="I645" i="36"/>
  <c r="J645" i="36" s="1"/>
  <c r="I646" i="36"/>
  <c r="I647" i="36"/>
  <c r="J647" i="36" s="1"/>
  <c r="I648" i="36"/>
  <c r="J648" i="36" s="1"/>
  <c r="I649" i="36"/>
  <c r="J649" i="36" s="1"/>
  <c r="I650" i="36"/>
  <c r="I651" i="36"/>
  <c r="I652" i="36"/>
  <c r="I653" i="36"/>
  <c r="I654" i="36"/>
  <c r="J654" i="36" s="1"/>
  <c r="I655" i="36"/>
  <c r="I656" i="36"/>
  <c r="I657" i="36"/>
  <c r="J657" i="36" s="1"/>
  <c r="I658" i="36"/>
  <c r="J658" i="36" s="1"/>
  <c r="I659" i="36"/>
  <c r="J659" i="36" s="1"/>
  <c r="I660" i="36"/>
  <c r="J660" i="36" s="1"/>
  <c r="I661" i="36"/>
  <c r="J661" i="36" s="1"/>
  <c r="I662" i="36"/>
  <c r="J662" i="36" s="1"/>
  <c r="I663" i="36"/>
  <c r="J663" i="36" s="1"/>
  <c r="I664" i="36"/>
  <c r="I665" i="36"/>
  <c r="I666" i="36"/>
  <c r="J666" i="36" s="1"/>
  <c r="I667" i="36"/>
  <c r="J667" i="36" s="1"/>
  <c r="I668" i="36"/>
  <c r="J668" i="36" s="1"/>
  <c r="I669" i="36"/>
  <c r="J669" i="36" s="1"/>
  <c r="I670" i="36"/>
  <c r="J670" i="36" s="1"/>
  <c r="I671" i="36"/>
  <c r="J671" i="36" s="1"/>
  <c r="I672" i="36"/>
  <c r="J672" i="36" s="1"/>
  <c r="I673" i="36"/>
  <c r="J673" i="36" s="1"/>
  <c r="I674" i="36"/>
  <c r="I675" i="36"/>
  <c r="I676" i="36"/>
  <c r="I677" i="36"/>
  <c r="I678" i="36"/>
  <c r="I679" i="36"/>
  <c r="I680" i="36"/>
  <c r="J680" i="36" s="1"/>
  <c r="I681" i="36"/>
  <c r="J681" i="36" s="1"/>
  <c r="I682" i="36"/>
  <c r="J682" i="36" s="1"/>
  <c r="I683" i="36"/>
  <c r="J683" i="36" s="1"/>
  <c r="I684" i="36"/>
  <c r="J684" i="36" s="1"/>
  <c r="I685" i="36"/>
  <c r="I686" i="36"/>
  <c r="I687" i="36"/>
  <c r="I688" i="36"/>
  <c r="I689" i="36"/>
  <c r="I690" i="36"/>
  <c r="J690" i="36" s="1"/>
  <c r="I691" i="36"/>
  <c r="J691" i="36" s="1"/>
  <c r="I692" i="36"/>
  <c r="I693" i="36"/>
  <c r="J693" i="36" s="1"/>
  <c r="I694" i="36"/>
  <c r="J694" i="36" s="1"/>
  <c r="I695" i="36"/>
  <c r="J695" i="36" s="1"/>
  <c r="I696" i="36"/>
  <c r="J696" i="36" s="1"/>
  <c r="I697" i="36"/>
  <c r="J697" i="36" s="1"/>
  <c r="I698" i="36"/>
  <c r="I699" i="36"/>
  <c r="I700" i="36"/>
  <c r="I701" i="36"/>
  <c r="I702" i="36"/>
  <c r="I703" i="36"/>
  <c r="J703" i="36" s="1"/>
  <c r="I704" i="36"/>
  <c r="I705" i="36"/>
  <c r="J705" i="36" s="1"/>
  <c r="I706" i="36"/>
  <c r="J706" i="36" s="1"/>
  <c r="I707" i="36"/>
  <c r="J707" i="36" s="1"/>
  <c r="I708" i="36"/>
  <c r="J708" i="36" s="1"/>
  <c r="I709" i="36"/>
  <c r="I710" i="36"/>
  <c r="I711" i="36"/>
  <c r="I712" i="36"/>
  <c r="J712" i="36" s="1"/>
  <c r="I713" i="36"/>
  <c r="J713" i="36" s="1"/>
  <c r="I714" i="36"/>
  <c r="J714" i="36" s="1"/>
  <c r="I715" i="36"/>
  <c r="J715" i="36" s="1"/>
  <c r="I716" i="36"/>
  <c r="I717" i="36"/>
  <c r="I718" i="36"/>
  <c r="J718" i="36" s="1"/>
  <c r="I719" i="36"/>
  <c r="J719" i="36" s="1"/>
  <c r="I720" i="36"/>
  <c r="J720" i="36" s="1"/>
  <c r="I721" i="36"/>
  <c r="J721" i="36" s="1"/>
  <c r="I722" i="36"/>
  <c r="I723" i="36"/>
  <c r="I724" i="36"/>
  <c r="I725" i="36"/>
  <c r="I726" i="36"/>
  <c r="I727" i="36"/>
  <c r="J727" i="36" s="1"/>
  <c r="I728" i="36"/>
  <c r="J728" i="36" s="1"/>
  <c r="I729" i="36"/>
  <c r="J729" i="36" s="1"/>
  <c r="I730" i="36"/>
  <c r="J730" i="36" s="1"/>
  <c r="I731" i="36"/>
  <c r="J731" i="36" s="1"/>
  <c r="I732" i="36"/>
  <c r="J732" i="36" s="1"/>
  <c r="I733" i="36"/>
  <c r="J733" i="36" s="1"/>
  <c r="I734" i="36"/>
  <c r="I735" i="36"/>
  <c r="I736" i="36"/>
  <c r="J736" i="36" s="1"/>
  <c r="I737" i="36"/>
  <c r="J737" i="36" s="1"/>
  <c r="I738" i="36"/>
  <c r="J738" i="36" s="1"/>
  <c r="I739" i="36"/>
  <c r="J739" i="36" s="1"/>
  <c r="I740" i="36"/>
  <c r="I741" i="36"/>
  <c r="J741" i="36" s="1"/>
  <c r="I742" i="36"/>
  <c r="J742" i="36" s="1"/>
  <c r="I743" i="36"/>
  <c r="J743" i="36" s="1"/>
  <c r="I744" i="36"/>
  <c r="J744" i="36" s="1"/>
  <c r="I745" i="36"/>
  <c r="J745" i="36" s="1"/>
  <c r="I746" i="36"/>
  <c r="I747" i="36"/>
  <c r="I748" i="36"/>
  <c r="I749" i="36"/>
  <c r="I750" i="36"/>
  <c r="I751" i="36"/>
  <c r="I752" i="36"/>
  <c r="I753" i="36"/>
  <c r="I754" i="36"/>
  <c r="J754" i="36" s="1"/>
  <c r="I755" i="36"/>
  <c r="I756" i="36"/>
  <c r="J756" i="36" s="1"/>
  <c r="I757" i="36"/>
  <c r="I758" i="36"/>
  <c r="I759" i="36"/>
  <c r="J759" i="36" s="1"/>
  <c r="I760" i="36"/>
  <c r="J760" i="36" s="1"/>
  <c r="I761" i="36"/>
  <c r="J761" i="36" s="1"/>
  <c r="I762" i="36"/>
  <c r="J762" i="36" s="1"/>
  <c r="I763" i="36"/>
  <c r="J763" i="36" s="1"/>
  <c r="I764" i="36"/>
  <c r="I765" i="36"/>
  <c r="I766" i="36"/>
  <c r="I767" i="36"/>
  <c r="J767" i="36" s="1"/>
  <c r="I768" i="36"/>
  <c r="J768" i="36" s="1"/>
  <c r="I769" i="36"/>
  <c r="J769" i="36" s="1"/>
  <c r="I770" i="36"/>
  <c r="I771" i="36"/>
  <c r="I772" i="36"/>
  <c r="I773" i="36"/>
  <c r="I774" i="36"/>
  <c r="J774" i="36" s="1"/>
  <c r="I775" i="36"/>
  <c r="J775" i="36" s="1"/>
  <c r="I776" i="36"/>
  <c r="J776" i="36" s="1"/>
  <c r="I777" i="36"/>
  <c r="J777" i="36" s="1"/>
  <c r="I778" i="36"/>
  <c r="J778" i="36" s="1"/>
  <c r="I779" i="36"/>
  <c r="I780" i="36"/>
  <c r="J780" i="36" s="1"/>
  <c r="I781" i="36"/>
  <c r="I782" i="36"/>
  <c r="I783" i="36"/>
  <c r="I784" i="36"/>
  <c r="I785" i="36"/>
  <c r="I786" i="36"/>
  <c r="I787" i="36"/>
  <c r="J787" i="36" s="1"/>
  <c r="I788" i="36"/>
  <c r="I789" i="36"/>
  <c r="I790" i="36"/>
  <c r="I791" i="36"/>
  <c r="J791" i="36" s="1"/>
  <c r="I792" i="36"/>
  <c r="J792" i="36" s="1"/>
  <c r="I793" i="36"/>
  <c r="J793" i="36" s="1"/>
  <c r="I794" i="36"/>
  <c r="I795" i="36"/>
  <c r="I796" i="36"/>
  <c r="I797" i="36"/>
  <c r="I798" i="36"/>
  <c r="J798" i="36" s="1"/>
  <c r="I799" i="36"/>
  <c r="J799" i="36" s="1"/>
  <c r="I800" i="36"/>
  <c r="J800" i="36" s="1"/>
  <c r="I801" i="36"/>
  <c r="J801" i="36" s="1"/>
  <c r="I802" i="36"/>
  <c r="J802" i="36" s="1"/>
  <c r="I803" i="36"/>
  <c r="J803" i="36" s="1"/>
  <c r="I804" i="36"/>
  <c r="J804" i="36" s="1"/>
  <c r="I805" i="36"/>
  <c r="I806" i="36"/>
  <c r="I807" i="36"/>
  <c r="I808" i="36"/>
  <c r="J808" i="36" s="1"/>
  <c r="I809" i="36"/>
  <c r="J809" i="36" s="1"/>
  <c r="I810" i="36"/>
  <c r="J810" i="36" s="1"/>
  <c r="I811" i="36"/>
  <c r="J811" i="36" s="1"/>
  <c r="I812" i="36"/>
  <c r="I813" i="36"/>
  <c r="I814" i="36"/>
  <c r="J814" i="36" s="1"/>
  <c r="I815" i="36"/>
  <c r="J815" i="36" s="1"/>
  <c r="I816" i="36"/>
  <c r="J816" i="36" s="1"/>
  <c r="I817" i="36"/>
  <c r="J817" i="36" s="1"/>
  <c r="I818" i="36"/>
  <c r="I819" i="36"/>
  <c r="I820" i="36"/>
  <c r="I821" i="36"/>
  <c r="I822" i="36"/>
  <c r="J822" i="36" s="1"/>
  <c r="I823" i="36"/>
  <c r="J823" i="36" s="1"/>
  <c r="I824" i="36"/>
  <c r="I825" i="36"/>
  <c r="I826" i="36"/>
  <c r="I827" i="36"/>
  <c r="I828" i="36"/>
  <c r="J828" i="36" s="1"/>
  <c r="I829" i="36"/>
  <c r="I830" i="36"/>
  <c r="J830" i="36" s="1"/>
  <c r="I831" i="36"/>
  <c r="J831" i="36" s="1"/>
  <c r="I832" i="36"/>
  <c r="J832" i="36" s="1"/>
  <c r="I833" i="36"/>
  <c r="J833" i="36" s="1"/>
  <c r="I834" i="36"/>
  <c r="J834" i="36" s="1"/>
  <c r="I835" i="36"/>
  <c r="J835" i="36" s="1"/>
  <c r="I836" i="36"/>
  <c r="I837" i="36"/>
  <c r="I838" i="36"/>
  <c r="I839" i="36"/>
  <c r="J839" i="36" s="1"/>
  <c r="I840" i="36"/>
  <c r="J840" i="36" s="1"/>
  <c r="I841" i="36"/>
  <c r="J841" i="36" s="1"/>
  <c r="I842" i="36"/>
  <c r="I843" i="36"/>
  <c r="I844" i="36"/>
  <c r="J844" i="36" s="1"/>
  <c r="I845" i="36"/>
  <c r="J845" i="36" s="1"/>
  <c r="I846" i="36"/>
  <c r="J846" i="36" s="1"/>
  <c r="I847" i="36"/>
  <c r="J847" i="36" s="1"/>
  <c r="I848" i="36"/>
  <c r="J848" i="36" s="1"/>
  <c r="I849" i="36"/>
  <c r="J849" i="36" s="1"/>
  <c r="I850" i="36"/>
  <c r="J850" i="36" s="1"/>
  <c r="I851" i="36"/>
  <c r="J851" i="36" s="1"/>
  <c r="I852" i="36"/>
  <c r="J852" i="36" s="1"/>
  <c r="I853" i="36"/>
  <c r="I854" i="36"/>
  <c r="I855" i="36"/>
  <c r="I856" i="36"/>
  <c r="I857" i="36"/>
  <c r="I858" i="36"/>
  <c r="I859" i="36"/>
  <c r="I860" i="36"/>
  <c r="I861" i="36"/>
  <c r="I862" i="36"/>
  <c r="I863" i="36"/>
  <c r="J863" i="36" s="1"/>
  <c r="I864" i="36"/>
  <c r="J864" i="36" s="1"/>
  <c r="I865" i="36"/>
  <c r="J865" i="36" s="1"/>
  <c r="I866" i="36"/>
  <c r="I867" i="36"/>
  <c r="I868" i="36"/>
  <c r="J868" i="36" s="1"/>
  <c r="I869" i="36"/>
  <c r="J869" i="36" s="1"/>
  <c r="I870" i="36"/>
  <c r="J870" i="36" s="1"/>
  <c r="I871" i="36"/>
  <c r="J871" i="36" s="1"/>
  <c r="I872" i="36"/>
  <c r="J872" i="36" s="1"/>
  <c r="I873" i="36"/>
  <c r="J873" i="36" s="1"/>
  <c r="I874" i="36"/>
  <c r="J874" i="36" s="1"/>
  <c r="I875" i="36"/>
  <c r="I876" i="36"/>
  <c r="J876" i="36" s="1"/>
  <c r="I877" i="36"/>
  <c r="I878" i="36"/>
  <c r="I879" i="36"/>
  <c r="J879" i="36" s="1"/>
  <c r="I880" i="36"/>
  <c r="J880" i="36" s="1"/>
  <c r="I881" i="36"/>
  <c r="J881" i="36" s="1"/>
  <c r="I882" i="36"/>
  <c r="J882" i="36" s="1"/>
  <c r="I883" i="36"/>
  <c r="J883" i="36" s="1"/>
  <c r="I884" i="36"/>
  <c r="I885" i="36"/>
  <c r="I886" i="36"/>
  <c r="I887" i="36"/>
  <c r="J887" i="36" s="1"/>
  <c r="I888" i="36"/>
  <c r="J888" i="36" s="1"/>
  <c r="I889" i="36"/>
  <c r="J889" i="36" s="1"/>
  <c r="I890" i="36"/>
  <c r="I891" i="36"/>
  <c r="I892" i="36"/>
  <c r="I893" i="36"/>
  <c r="J893" i="36" s="1"/>
  <c r="I894" i="36"/>
  <c r="J894" i="36" s="1"/>
  <c r="I895" i="36"/>
  <c r="J895" i="36" s="1"/>
  <c r="I896" i="36"/>
  <c r="J896" i="36" s="1"/>
  <c r="I897" i="36"/>
  <c r="J897" i="36" s="1"/>
  <c r="I898" i="36"/>
  <c r="J898" i="36" s="1"/>
  <c r="I899" i="36"/>
  <c r="I900" i="36"/>
  <c r="J900" i="36" s="1"/>
  <c r="I901" i="36"/>
  <c r="J901" i="36" s="1"/>
  <c r="I902" i="36"/>
  <c r="I903" i="36"/>
  <c r="I904" i="36"/>
  <c r="I905" i="36"/>
  <c r="I906" i="36"/>
  <c r="I907" i="36"/>
  <c r="I908" i="36"/>
  <c r="I909" i="36"/>
  <c r="J909" i="36" s="1"/>
  <c r="I910" i="36"/>
  <c r="J910" i="36" s="1"/>
  <c r="I911" i="36"/>
  <c r="J911" i="36" s="1"/>
  <c r="I912" i="36"/>
  <c r="J912" i="36" s="1"/>
  <c r="I913" i="36"/>
  <c r="J913" i="36" s="1"/>
  <c r="I914" i="36"/>
  <c r="I915" i="36"/>
  <c r="I916" i="36"/>
  <c r="I917" i="36"/>
  <c r="I918" i="36"/>
  <c r="J918" i="36" s="1"/>
  <c r="I919" i="36"/>
  <c r="J919" i="36" s="1"/>
  <c r="I920" i="36"/>
  <c r="J920" i="36" s="1"/>
  <c r="I921" i="36"/>
  <c r="J921" i="36" s="1"/>
  <c r="I922" i="36"/>
  <c r="J922" i="36" s="1"/>
  <c r="I923" i="36"/>
  <c r="I924" i="36"/>
  <c r="J924" i="36" s="1"/>
  <c r="I925" i="36"/>
  <c r="I926" i="36"/>
  <c r="I927" i="36"/>
  <c r="J927" i="36" s="1"/>
  <c r="I928" i="36"/>
  <c r="J928" i="36" s="1"/>
  <c r="I929" i="36"/>
  <c r="J929" i="36" s="1"/>
  <c r="I930" i="36"/>
  <c r="J930" i="36" s="1"/>
  <c r="I931" i="36"/>
  <c r="J931" i="36" s="1"/>
  <c r="I932" i="36"/>
  <c r="I933" i="36"/>
  <c r="I934" i="36"/>
  <c r="I935" i="36"/>
  <c r="J935" i="36" s="1"/>
  <c r="I936" i="36"/>
  <c r="J936" i="36" s="1"/>
  <c r="I937" i="36"/>
  <c r="J937" i="36" s="1"/>
  <c r="I938" i="36"/>
  <c r="I939" i="36"/>
  <c r="I940" i="36"/>
  <c r="I941" i="36"/>
  <c r="I942" i="36"/>
  <c r="I943" i="36"/>
  <c r="J943" i="36" s="1"/>
  <c r="I944" i="36"/>
  <c r="J944" i="36" s="1"/>
  <c r="I945" i="36"/>
  <c r="J945" i="36" s="1"/>
  <c r="I946" i="36"/>
  <c r="J946" i="36" s="1"/>
  <c r="I947" i="36"/>
  <c r="J947" i="36" s="1"/>
  <c r="I948" i="36"/>
  <c r="J948" i="36" s="1"/>
  <c r="I949" i="36"/>
  <c r="I950" i="36"/>
  <c r="J950" i="36" s="1"/>
  <c r="I951" i="36"/>
  <c r="J951" i="36" s="1"/>
  <c r="I952" i="36"/>
  <c r="I953" i="36"/>
  <c r="I954" i="36"/>
  <c r="J954" i="36" s="1"/>
  <c r="I955" i="36"/>
  <c r="J955" i="36" s="1"/>
  <c r="I956" i="36"/>
  <c r="I957" i="36"/>
  <c r="I958" i="36"/>
  <c r="I959" i="36"/>
  <c r="J959" i="36" s="1"/>
  <c r="I960" i="36"/>
  <c r="J960" i="36" s="1"/>
  <c r="I961" i="36"/>
  <c r="J961" i="36" s="1"/>
  <c r="I962" i="36"/>
  <c r="I963" i="36"/>
  <c r="I964" i="36"/>
  <c r="I965" i="36"/>
  <c r="I966" i="36"/>
  <c r="J966" i="36" s="1"/>
  <c r="I967" i="36"/>
  <c r="J967" i="36" s="1"/>
  <c r="I968" i="36"/>
  <c r="J968" i="36" s="1"/>
  <c r="I969" i="36"/>
  <c r="J969" i="36" s="1"/>
  <c r="I970" i="36"/>
  <c r="J970" i="36" s="1"/>
  <c r="I971" i="36"/>
  <c r="I972" i="36"/>
  <c r="J972" i="36" s="1"/>
  <c r="I973" i="36"/>
  <c r="I974" i="36"/>
  <c r="I975" i="36"/>
  <c r="I976" i="36"/>
  <c r="J976" i="36" s="1"/>
  <c r="I977" i="36"/>
  <c r="J977" i="36" s="1"/>
  <c r="I978" i="36"/>
  <c r="J978" i="36" s="1"/>
  <c r="I979" i="36"/>
  <c r="J979" i="36" s="1"/>
  <c r="I980" i="36"/>
  <c r="I981" i="36"/>
  <c r="I982" i="36"/>
  <c r="I983" i="36"/>
  <c r="J983" i="36" s="1"/>
  <c r="I984" i="36"/>
  <c r="J984" i="36" s="1"/>
  <c r="I985" i="36"/>
  <c r="J985" i="36" s="1"/>
  <c r="I986" i="36"/>
  <c r="I987" i="36"/>
  <c r="I988" i="36"/>
  <c r="I989" i="36"/>
  <c r="I990" i="36"/>
  <c r="I991" i="36"/>
  <c r="J991" i="36" s="1"/>
  <c r="I992" i="36"/>
  <c r="J992" i="36" s="1"/>
  <c r="I993" i="36"/>
  <c r="J993" i="36" s="1"/>
  <c r="I994" i="36"/>
  <c r="J994" i="36" s="1"/>
  <c r="I995" i="36"/>
  <c r="J995" i="36" s="1"/>
  <c r="I996" i="36"/>
  <c r="J996" i="36" s="1"/>
  <c r="I997" i="36"/>
  <c r="J997" i="36" s="1"/>
  <c r="I998" i="36"/>
  <c r="J998" i="36" s="1"/>
  <c r="I999" i="36"/>
  <c r="I1000" i="36"/>
  <c r="J1000" i="36" s="1"/>
  <c r="I1001" i="36"/>
  <c r="J1001" i="36" s="1"/>
  <c r="I1002" i="36"/>
  <c r="J1002" i="36" s="1"/>
  <c r="I1003" i="36"/>
  <c r="J1003" i="36" s="1"/>
  <c r="I1004" i="36"/>
  <c r="I1005" i="36"/>
  <c r="I1006" i="36"/>
  <c r="I1007" i="36"/>
  <c r="J1007" i="36" s="1"/>
  <c r="I1008" i="36"/>
  <c r="J1008" i="36" s="1"/>
  <c r="I1009" i="36"/>
  <c r="J1009" i="36" s="1"/>
  <c r="I1010" i="36"/>
  <c r="I1011" i="36"/>
  <c r="I1012" i="36"/>
  <c r="I1013" i="36"/>
  <c r="I1014" i="36"/>
  <c r="I1015" i="36"/>
  <c r="I1016" i="36"/>
  <c r="I1017" i="36"/>
  <c r="J1017" i="36" s="1"/>
  <c r="I1018" i="36"/>
  <c r="J1018" i="36" s="1"/>
  <c r="I1019" i="36"/>
  <c r="J1019" i="36" s="1"/>
  <c r="I1020" i="36"/>
  <c r="J1020" i="36" s="1"/>
  <c r="I1021" i="36"/>
  <c r="J1021" i="36" s="1"/>
  <c r="I1022" i="36"/>
  <c r="J1022" i="36" s="1"/>
  <c r="I1023" i="36"/>
  <c r="J1023" i="36" s="1"/>
  <c r="I1024" i="36"/>
  <c r="J1024" i="36" s="1"/>
  <c r="I1025" i="36"/>
  <c r="J1025" i="36" s="1"/>
  <c r="I1026" i="36"/>
  <c r="J1026" i="36" s="1"/>
  <c r="I1027" i="36"/>
  <c r="I1028" i="36"/>
  <c r="I1029" i="36"/>
  <c r="I1030" i="36"/>
  <c r="I1031" i="36"/>
  <c r="I1032" i="36"/>
  <c r="I1033" i="36"/>
  <c r="J1033" i="36" s="1"/>
  <c r="I1034" i="36"/>
  <c r="I1035" i="36"/>
  <c r="I1036" i="36"/>
  <c r="I1037" i="36"/>
  <c r="I1038" i="36"/>
  <c r="J1038" i="36" s="1"/>
  <c r="I1039" i="36"/>
  <c r="J1039" i="36" s="1"/>
  <c r="I1040" i="36"/>
  <c r="J1040" i="36" s="1"/>
  <c r="I1041" i="36"/>
  <c r="J1041" i="36" s="1"/>
  <c r="I1042" i="36"/>
  <c r="J1042" i="36" s="1"/>
  <c r="I1043" i="36"/>
  <c r="J1043" i="36" s="1"/>
  <c r="I1044" i="36"/>
  <c r="J1044" i="36" s="1"/>
  <c r="I1045" i="36"/>
  <c r="J1045" i="36" s="1"/>
  <c r="I1046" i="36"/>
  <c r="J1046" i="36" s="1"/>
  <c r="I1047" i="36"/>
  <c r="I1048" i="36"/>
  <c r="I1049" i="36"/>
  <c r="I1050" i="36"/>
  <c r="I1051" i="36"/>
  <c r="J1051" i="36" s="1"/>
  <c r="I1052" i="36"/>
  <c r="I1053" i="36"/>
  <c r="J1053" i="36" s="1"/>
  <c r="I1054" i="36"/>
  <c r="J1054" i="36" s="1"/>
  <c r="I1055" i="36"/>
  <c r="J1055" i="36" s="1"/>
  <c r="I1056" i="36"/>
  <c r="J1056" i="36" s="1"/>
  <c r="I1057" i="36"/>
  <c r="J1057" i="36" s="1"/>
  <c r="I1058" i="36"/>
  <c r="I1059" i="36"/>
  <c r="I1060" i="36"/>
  <c r="I1061" i="36"/>
  <c r="I1062" i="36"/>
  <c r="I1063" i="36"/>
  <c r="I1064" i="36"/>
  <c r="I1065" i="36"/>
  <c r="I1066" i="36"/>
  <c r="I1067" i="36"/>
  <c r="I1068" i="36"/>
  <c r="J1068" i="36" s="1"/>
  <c r="I1069" i="36"/>
  <c r="J1069" i="36" s="1"/>
  <c r="I1070" i="36"/>
  <c r="J1070" i="36" s="1"/>
  <c r="I1071" i="36"/>
  <c r="J1071" i="36" s="1"/>
  <c r="I1072" i="36"/>
  <c r="J1072" i="36" s="1"/>
  <c r="I1073" i="36"/>
  <c r="J1073" i="36" s="1"/>
  <c r="I1074" i="36"/>
  <c r="J1074" i="36" s="1"/>
  <c r="I1075" i="36"/>
  <c r="J1075" i="36" s="1"/>
  <c r="I1076" i="36"/>
  <c r="I1077" i="36"/>
  <c r="I1078" i="36"/>
  <c r="I1079" i="36"/>
  <c r="J1079" i="36" s="1"/>
  <c r="I1080" i="36"/>
  <c r="J1080" i="36" s="1"/>
  <c r="I1081" i="36"/>
  <c r="J1081" i="36" s="1"/>
  <c r="I1082" i="36"/>
  <c r="I1083" i="36"/>
  <c r="I1084" i="36"/>
  <c r="I1085" i="36"/>
  <c r="I1086" i="36"/>
  <c r="J1086" i="36" s="1"/>
  <c r="I1087" i="36"/>
  <c r="J1087" i="36" s="1"/>
  <c r="I1088" i="36"/>
  <c r="I1089" i="36"/>
  <c r="I1090" i="36"/>
  <c r="I1091" i="36"/>
  <c r="I1092" i="36"/>
  <c r="J1092" i="36" s="1"/>
  <c r="I1093" i="36"/>
  <c r="I1094" i="36"/>
  <c r="J1094" i="36" s="1"/>
  <c r="I1095" i="36"/>
  <c r="J1095" i="36" s="1"/>
  <c r="I1096" i="36"/>
  <c r="J1096" i="36" s="1"/>
  <c r="I1097" i="36"/>
  <c r="J1097" i="36" s="1"/>
  <c r="I1098" i="36"/>
  <c r="J1098" i="36" s="1"/>
  <c r="I1099" i="36"/>
  <c r="J1099" i="36" s="1"/>
  <c r="I1100" i="36"/>
  <c r="I1101" i="36"/>
  <c r="I1102" i="36"/>
  <c r="I1103" i="36"/>
  <c r="J1103" i="36" s="1"/>
  <c r="I1104" i="36"/>
  <c r="J1104" i="36" s="1"/>
  <c r="I1105" i="36"/>
  <c r="J1105" i="36" s="1"/>
  <c r="I1106" i="36"/>
  <c r="I1107" i="36"/>
  <c r="I1108" i="36"/>
  <c r="I1109" i="36"/>
  <c r="I1110" i="36"/>
  <c r="J1110" i="36" s="1"/>
  <c r="I1111" i="36"/>
  <c r="I1112" i="36"/>
  <c r="I1113" i="36"/>
  <c r="J1113" i="36" s="1"/>
  <c r="I1114" i="36"/>
  <c r="J1114" i="36" s="1"/>
  <c r="I1115" i="36"/>
  <c r="J1115" i="36" s="1"/>
  <c r="I1116" i="36"/>
  <c r="J1116" i="36" s="1"/>
  <c r="I1117" i="36"/>
  <c r="I1118" i="36"/>
  <c r="I1119" i="36"/>
  <c r="J1119" i="36" s="1"/>
  <c r="I1120" i="36"/>
  <c r="J1120" i="36" s="1"/>
  <c r="I1121" i="36"/>
  <c r="J1121" i="36" s="1"/>
  <c r="I1122" i="36"/>
  <c r="J1122" i="36" s="1"/>
  <c r="I1123" i="36"/>
  <c r="J1123" i="36" s="1"/>
  <c r="I1124" i="36"/>
  <c r="I1125" i="36"/>
  <c r="I1126" i="36"/>
  <c r="I1127" i="36"/>
  <c r="J1127" i="36" s="1"/>
  <c r="I1128" i="36"/>
  <c r="J1128" i="36" s="1"/>
  <c r="I1129" i="36"/>
  <c r="J1129" i="36" s="1"/>
  <c r="I1130" i="36"/>
  <c r="I1131" i="36"/>
  <c r="I1132" i="36"/>
  <c r="I1133" i="36"/>
  <c r="I1134" i="36"/>
  <c r="J1134" i="36" s="1"/>
  <c r="I1135" i="36"/>
  <c r="J1135" i="36" s="1"/>
  <c r="I1136" i="36"/>
  <c r="J1136" i="36" s="1"/>
  <c r="I1137" i="36"/>
  <c r="J1137" i="36" s="1"/>
  <c r="I1138" i="36"/>
  <c r="J1138" i="36" s="1"/>
  <c r="I1139" i="36"/>
  <c r="I1140" i="36"/>
  <c r="J1140" i="36" s="1"/>
  <c r="I1141" i="36"/>
  <c r="I1142" i="36"/>
  <c r="I1143" i="36"/>
  <c r="I1144" i="36"/>
  <c r="J1144" i="36" s="1"/>
  <c r="I1145" i="36"/>
  <c r="J1145" i="36" s="1"/>
  <c r="I1146" i="36"/>
  <c r="J1146" i="36" s="1"/>
  <c r="I1147" i="36"/>
  <c r="J1147" i="36" s="1"/>
  <c r="I1148" i="36"/>
  <c r="I1149" i="36"/>
  <c r="I1150" i="36"/>
  <c r="I1151" i="36"/>
  <c r="J1151" i="36" s="1"/>
  <c r="I1152" i="36"/>
  <c r="J1152" i="36" s="1"/>
  <c r="I1153" i="36"/>
  <c r="J1153" i="36" s="1"/>
  <c r="I1154" i="36"/>
  <c r="I1155" i="36"/>
  <c r="I1156" i="36"/>
  <c r="I1157" i="36"/>
  <c r="I1158" i="36"/>
  <c r="I1159" i="36"/>
  <c r="J1159" i="36" s="1"/>
  <c r="I1160" i="36"/>
  <c r="J1160" i="36" s="1"/>
  <c r="I1161" i="36"/>
  <c r="J1161" i="36" s="1"/>
  <c r="I1162" i="36"/>
  <c r="J1162" i="36" s="1"/>
  <c r="I1163" i="36"/>
  <c r="J1163" i="36" s="1"/>
  <c r="I1164" i="36"/>
  <c r="J1164" i="36" s="1"/>
  <c r="I1165" i="36"/>
  <c r="I1166" i="36"/>
  <c r="J1166" i="36" s="1"/>
  <c r="I1167" i="36"/>
  <c r="J1167" i="36" s="1"/>
  <c r="I1168" i="36"/>
  <c r="J1168" i="36" s="1"/>
  <c r="I1169" i="36"/>
  <c r="J1169" i="36" s="1"/>
  <c r="I1170" i="36"/>
  <c r="J1170" i="36" s="1"/>
  <c r="I1171" i="36"/>
  <c r="J1171" i="36" s="1"/>
  <c r="I1172" i="36"/>
  <c r="I1173" i="36"/>
  <c r="I1174" i="36"/>
  <c r="I1175" i="36"/>
  <c r="J1175" i="36" s="1"/>
  <c r="I1176" i="36"/>
  <c r="J1176" i="36" s="1"/>
  <c r="I1177" i="36"/>
  <c r="J1177" i="36" s="1"/>
  <c r="I1178" i="36"/>
  <c r="I1179" i="36"/>
  <c r="I1180" i="36"/>
  <c r="I1181" i="36"/>
  <c r="I1182" i="36"/>
  <c r="I1183" i="36"/>
  <c r="I1184" i="36"/>
  <c r="I1185" i="36"/>
  <c r="J1185" i="36" s="1"/>
  <c r="I1186" i="36"/>
  <c r="I1187" i="36"/>
  <c r="I1188" i="36"/>
  <c r="J1188" i="36" s="1"/>
  <c r="I1189" i="36"/>
  <c r="I1190" i="36"/>
  <c r="I1191" i="36"/>
  <c r="I1192" i="36"/>
  <c r="J1192" i="36" s="1"/>
  <c r="I1193" i="36"/>
  <c r="J1193" i="36" s="1"/>
  <c r="I1194" i="36"/>
  <c r="J1194" i="36" s="1"/>
  <c r="I1195" i="36"/>
  <c r="J1195" i="36" s="1"/>
  <c r="I1196" i="36"/>
  <c r="J1196" i="36" s="1"/>
  <c r="I1197" i="36"/>
  <c r="J1197" i="36" s="1"/>
  <c r="I1198" i="36"/>
  <c r="J1198" i="36" s="1"/>
  <c r="I1199" i="36"/>
  <c r="J1199" i="36" s="1"/>
  <c r="I1200" i="36"/>
  <c r="J1200" i="36" s="1"/>
  <c r="I1201" i="36"/>
  <c r="J1201" i="36" s="1"/>
  <c r="I1202" i="36"/>
  <c r="I1203" i="36"/>
  <c r="I1204" i="36"/>
  <c r="I1205" i="36"/>
  <c r="I1206" i="36"/>
  <c r="I1207" i="36"/>
  <c r="I1208" i="36"/>
  <c r="J1208" i="36" s="1"/>
  <c r="I1209" i="36"/>
  <c r="J1209" i="36" s="1"/>
  <c r="I1210" i="36"/>
  <c r="J1210" i="36" s="1"/>
  <c r="I1211" i="36"/>
  <c r="J1211" i="36" s="1"/>
  <c r="I1212" i="36"/>
  <c r="J1212" i="36" s="1"/>
  <c r="I1213" i="36"/>
  <c r="I1214" i="36"/>
  <c r="J1214" i="36" s="1"/>
  <c r="I1215" i="36"/>
  <c r="I1216" i="36"/>
  <c r="J1216" i="36" s="1"/>
  <c r="I1217" i="36"/>
  <c r="J1217" i="36" s="1"/>
  <c r="I1218" i="36"/>
  <c r="J1218" i="36" s="1"/>
  <c r="I1219" i="36"/>
  <c r="J1219" i="36" s="1"/>
  <c r="I1220" i="36"/>
  <c r="J1220" i="36" s="1"/>
  <c r="I1221" i="36"/>
  <c r="J1221" i="36" s="1"/>
  <c r="I1222" i="36"/>
  <c r="I1223" i="36"/>
  <c r="J1223" i="36" s="1"/>
  <c r="I1224" i="36"/>
  <c r="J1224" i="36" s="1"/>
  <c r="I1225" i="36"/>
  <c r="J1225" i="36" s="1"/>
  <c r="I1226" i="36"/>
  <c r="I1227" i="36"/>
  <c r="I1228" i="36"/>
  <c r="I1229" i="36"/>
  <c r="I1230" i="36"/>
  <c r="J1230" i="36" s="1"/>
  <c r="I1231" i="36"/>
  <c r="J1231" i="36" s="1"/>
  <c r="I1232" i="36"/>
  <c r="J1232" i="36" s="1"/>
  <c r="I1233" i="36"/>
  <c r="J1233" i="36" s="1"/>
  <c r="I1234" i="36"/>
  <c r="I1235" i="36"/>
  <c r="I1236" i="36"/>
  <c r="J1236" i="36" s="1"/>
  <c r="I1237" i="36"/>
  <c r="I1238" i="36"/>
  <c r="I1239" i="36"/>
  <c r="I1240" i="36"/>
  <c r="J1240" i="36" s="1"/>
  <c r="I1241" i="36"/>
  <c r="J1241" i="36" s="1"/>
  <c r="I1242" i="36"/>
  <c r="J1242" i="36" s="1"/>
  <c r="I1243" i="36"/>
  <c r="J1243" i="36" s="1"/>
  <c r="I1244" i="36"/>
  <c r="J1244" i="36" s="1"/>
  <c r="I1245" i="36"/>
  <c r="J1245" i="36" s="1"/>
  <c r="I1246" i="36"/>
  <c r="J1246" i="36" s="1"/>
  <c r="I1247" i="36"/>
  <c r="J1247" i="36" s="1"/>
  <c r="I1248" i="36"/>
  <c r="J1248" i="36" s="1"/>
  <c r="I1249" i="36"/>
  <c r="J1249" i="36" s="1"/>
  <c r="I1250" i="36"/>
  <c r="I1251" i="36"/>
  <c r="I1252" i="36"/>
  <c r="I1253" i="36"/>
  <c r="I1254" i="36"/>
  <c r="J1254" i="36" s="1"/>
  <c r="I1255" i="36"/>
  <c r="J1255" i="36" s="1"/>
  <c r="I1256" i="36"/>
  <c r="J1256" i="36" s="1"/>
  <c r="I1257" i="36"/>
  <c r="J1257" i="36" s="1"/>
  <c r="I1258" i="36"/>
  <c r="J1258" i="36" s="1"/>
  <c r="I1259" i="36"/>
  <c r="J1259" i="36" s="1"/>
  <c r="I1260" i="36"/>
  <c r="J1260" i="36" s="1"/>
  <c r="I1261" i="36"/>
  <c r="I1262" i="36"/>
  <c r="J1262" i="36" s="1"/>
  <c r="I1263" i="36"/>
  <c r="J1263" i="36" s="1"/>
  <c r="I1264" i="36"/>
  <c r="J1264" i="36" s="1"/>
  <c r="I1265" i="36"/>
  <c r="I1266" i="36"/>
  <c r="I1267" i="36"/>
  <c r="I1268" i="36"/>
  <c r="I1269" i="36"/>
  <c r="J1269" i="36" s="1"/>
  <c r="I1270" i="36"/>
  <c r="J1270" i="36" s="1"/>
  <c r="I1271" i="36"/>
  <c r="J1271" i="36" s="1"/>
  <c r="I1272" i="36"/>
  <c r="J1272" i="36" s="1"/>
  <c r="I1273" i="36"/>
  <c r="J1273" i="36" s="1"/>
  <c r="I1274" i="36"/>
  <c r="I1275" i="36"/>
  <c r="I1276" i="36"/>
  <c r="I1277" i="36"/>
  <c r="I1278" i="36"/>
  <c r="I1279" i="36"/>
  <c r="J1279" i="36" s="1"/>
  <c r="I1280" i="36"/>
  <c r="J1280" i="36" s="1"/>
  <c r="I1281" i="36"/>
  <c r="J1281" i="36" s="1"/>
  <c r="I1282" i="36"/>
  <c r="J1282" i="36" s="1"/>
  <c r="I1283" i="36"/>
  <c r="I1284" i="36"/>
  <c r="J1284" i="36" s="1"/>
  <c r="I1285" i="36"/>
  <c r="I1286" i="36"/>
  <c r="I1287" i="36"/>
  <c r="I1288" i="36"/>
  <c r="I1289" i="36"/>
  <c r="I1290" i="36"/>
  <c r="J1290" i="36" s="1"/>
  <c r="I1291" i="36"/>
  <c r="J1291" i="36" s="1"/>
  <c r="I1292" i="36"/>
  <c r="I1293" i="36"/>
  <c r="I1294" i="36"/>
  <c r="J1294" i="36" s="1"/>
  <c r="I1295" i="36"/>
  <c r="J1295" i="36" s="1"/>
  <c r="I1296" i="36"/>
  <c r="J1296" i="36" s="1"/>
  <c r="I1297" i="36"/>
  <c r="J1297" i="36" s="1"/>
  <c r="I1298" i="36"/>
  <c r="I1299" i="36"/>
  <c r="I1300" i="36"/>
  <c r="I1301" i="36"/>
  <c r="I1302" i="36"/>
  <c r="I1303" i="36"/>
  <c r="I1304" i="36"/>
  <c r="J1304" i="36" s="1"/>
  <c r="I1305" i="36"/>
  <c r="J1305" i="36" s="1"/>
  <c r="I1306" i="36"/>
  <c r="J1306" i="36" s="1"/>
  <c r="I1307" i="36"/>
  <c r="I1308" i="36"/>
  <c r="J1308" i="36" s="1"/>
  <c r="I1309" i="36"/>
  <c r="I1310" i="36"/>
  <c r="J1310" i="36" s="1"/>
  <c r="I1311" i="36"/>
  <c r="J1311" i="36" s="1"/>
  <c r="I1312" i="36"/>
  <c r="I1313" i="36"/>
  <c r="I1314" i="36"/>
  <c r="I1315" i="36"/>
  <c r="I1316" i="36"/>
  <c r="I1317" i="36"/>
  <c r="I1318" i="36"/>
  <c r="I1319" i="36"/>
  <c r="J1319" i="36" s="1"/>
  <c r="I1320" i="36"/>
  <c r="J1320" i="36" s="1"/>
  <c r="I1321" i="36"/>
  <c r="J1321" i="36" s="1"/>
  <c r="I1322" i="36"/>
  <c r="I1323" i="36"/>
  <c r="I1324" i="36"/>
  <c r="I1325" i="36"/>
  <c r="I1326" i="36"/>
  <c r="J1326" i="36" s="1"/>
  <c r="I1327" i="36"/>
  <c r="J1327" i="36" s="1"/>
  <c r="I1328" i="36"/>
  <c r="J1328" i="36" s="1"/>
  <c r="I1329" i="36"/>
  <c r="J1329" i="36" s="1"/>
  <c r="I1330" i="36"/>
  <c r="J1330" i="36" s="1"/>
  <c r="I1331" i="36"/>
  <c r="I1332" i="36"/>
  <c r="J1332" i="36" s="1"/>
  <c r="I1333" i="36"/>
  <c r="I1334" i="36"/>
  <c r="I1335" i="36"/>
  <c r="I1336" i="36"/>
  <c r="J1336" i="36" s="1"/>
  <c r="I1337" i="36"/>
  <c r="J1337" i="36" s="1"/>
  <c r="I1338" i="36"/>
  <c r="J1338" i="36" s="1"/>
  <c r="I1339" i="36"/>
  <c r="J1339" i="36" s="1"/>
  <c r="I1340" i="36"/>
  <c r="I1341" i="36"/>
  <c r="I1342" i="36"/>
  <c r="I1343" i="36"/>
  <c r="J1343" i="36" s="1"/>
  <c r="I1344" i="36"/>
  <c r="J1344" i="36" s="1"/>
  <c r="I1345" i="36"/>
  <c r="J1345" i="36" s="1"/>
  <c r="I1346" i="36"/>
  <c r="I1347" i="36"/>
  <c r="I1348" i="36"/>
  <c r="I1349" i="36"/>
  <c r="I1350" i="36"/>
  <c r="I1351" i="36"/>
  <c r="I1352" i="36"/>
  <c r="I1353" i="36"/>
  <c r="I1354" i="36"/>
  <c r="J1354" i="36" s="1"/>
  <c r="I1355" i="36"/>
  <c r="J1355" i="36" s="1"/>
  <c r="I1356" i="36"/>
  <c r="J1356" i="36" s="1"/>
  <c r="I1357" i="36"/>
  <c r="J1357" i="36" s="1"/>
  <c r="I1358" i="36"/>
  <c r="J1358" i="36" s="1"/>
  <c r="I1" i="36"/>
  <c r="J2" i="36"/>
  <c r="J3" i="36"/>
  <c r="J4" i="36"/>
  <c r="J5" i="36"/>
  <c r="J9" i="36"/>
  <c r="J10" i="36"/>
  <c r="J11" i="36"/>
  <c r="J18" i="36"/>
  <c r="J19" i="36"/>
  <c r="J20" i="36"/>
  <c r="J21" i="36"/>
  <c r="J22" i="36"/>
  <c r="J26" i="36"/>
  <c r="J27" i="36"/>
  <c r="J28" i="36"/>
  <c r="J29" i="36"/>
  <c r="J30" i="36"/>
  <c r="J35" i="36"/>
  <c r="J44" i="36"/>
  <c r="J45" i="36"/>
  <c r="J46" i="36"/>
  <c r="J50" i="36"/>
  <c r="J51" i="36"/>
  <c r="J52" i="36"/>
  <c r="J53" i="36"/>
  <c r="J62" i="36"/>
  <c r="J63" i="36"/>
  <c r="J64" i="36"/>
  <c r="J65" i="36"/>
  <c r="J70" i="36"/>
  <c r="J74" i="36"/>
  <c r="J75" i="36"/>
  <c r="J76" i="36"/>
  <c r="J77" i="36"/>
  <c r="J78" i="36"/>
  <c r="J83" i="36"/>
  <c r="J86" i="36"/>
  <c r="J87" i="36"/>
  <c r="J98" i="36"/>
  <c r="J99" i="36"/>
  <c r="J100" i="36"/>
  <c r="J101" i="36"/>
  <c r="J105" i="36"/>
  <c r="J106" i="36"/>
  <c r="J107" i="36"/>
  <c r="J114" i="36"/>
  <c r="J115" i="36"/>
  <c r="J116" i="36"/>
  <c r="J117" i="36"/>
  <c r="J122" i="36"/>
  <c r="J123" i="36"/>
  <c r="J124" i="36"/>
  <c r="J125" i="36"/>
  <c r="J126" i="36"/>
  <c r="J140" i="36"/>
  <c r="J141" i="36"/>
  <c r="J142" i="36"/>
  <c r="J146" i="36"/>
  <c r="J147" i="36"/>
  <c r="J148" i="36"/>
  <c r="J149" i="36"/>
  <c r="J150" i="36"/>
  <c r="J151" i="36"/>
  <c r="J155" i="36"/>
  <c r="J158" i="36"/>
  <c r="J159" i="36"/>
  <c r="J160" i="36"/>
  <c r="J161" i="36"/>
  <c r="J164" i="36"/>
  <c r="J165" i="36"/>
  <c r="J166" i="36"/>
  <c r="J170" i="36"/>
  <c r="J171" i="36"/>
  <c r="J172" i="36"/>
  <c r="J173" i="36"/>
  <c r="J174" i="36"/>
  <c r="J182" i="36"/>
  <c r="J183" i="36"/>
  <c r="J184" i="36"/>
  <c r="J188" i="36"/>
  <c r="J189" i="36"/>
  <c r="J190" i="36"/>
  <c r="J194" i="36"/>
  <c r="J195" i="36"/>
  <c r="J202" i="36"/>
  <c r="J203" i="36"/>
  <c r="J206" i="36"/>
  <c r="J207" i="36"/>
  <c r="J208" i="36"/>
  <c r="J212" i="36"/>
  <c r="J213" i="36"/>
  <c r="J214" i="36"/>
  <c r="J218" i="36"/>
  <c r="J219" i="36"/>
  <c r="J220" i="36"/>
  <c r="J221" i="36"/>
  <c r="J227" i="36"/>
  <c r="J230" i="36"/>
  <c r="J236" i="36"/>
  <c r="J237" i="36"/>
  <c r="J238" i="36"/>
  <c r="J242" i="36"/>
  <c r="J243" i="36"/>
  <c r="J244" i="36"/>
  <c r="J245" i="36"/>
  <c r="J246" i="36"/>
  <c r="J247" i="36"/>
  <c r="J257" i="36"/>
  <c r="J260" i="36"/>
  <c r="J261" i="36"/>
  <c r="J262" i="36"/>
  <c r="J266" i="36"/>
  <c r="J267" i="36"/>
  <c r="J268" i="36"/>
  <c r="J269" i="36"/>
  <c r="J284" i="36"/>
  <c r="J285" i="36"/>
  <c r="J286" i="36"/>
  <c r="J290" i="36"/>
  <c r="J291" i="36"/>
  <c r="J292" i="36"/>
  <c r="J293" i="36"/>
  <c r="J294" i="36"/>
  <c r="J308" i="36"/>
  <c r="J309" i="36"/>
  <c r="J310" i="36"/>
  <c r="J314" i="36"/>
  <c r="J315" i="36"/>
  <c r="J316" i="36"/>
  <c r="J317" i="36"/>
  <c r="J320" i="36"/>
  <c r="J321" i="36"/>
  <c r="J322" i="36"/>
  <c r="J323" i="36"/>
  <c r="J326" i="36"/>
  <c r="J327" i="36"/>
  <c r="J332" i="36"/>
  <c r="J333" i="36"/>
  <c r="J334" i="36"/>
  <c r="J338" i="36"/>
  <c r="J339" i="36"/>
  <c r="J340" i="36"/>
  <c r="J341" i="36"/>
  <c r="J342" i="36"/>
  <c r="J343" i="36"/>
  <c r="J347" i="36"/>
  <c r="J350" i="36"/>
  <c r="J351" i="36"/>
  <c r="J358" i="36"/>
  <c r="J362" i="36"/>
  <c r="J363" i="36"/>
  <c r="J364" i="36"/>
  <c r="J365" i="36"/>
  <c r="J368" i="36"/>
  <c r="J369" i="36"/>
  <c r="J370" i="36"/>
  <c r="J371" i="36"/>
  <c r="J374" i="36"/>
  <c r="J386" i="36"/>
  <c r="J387" i="36"/>
  <c r="J388" i="36"/>
  <c r="J389" i="36"/>
  <c r="J390" i="36"/>
  <c r="J404" i="36"/>
  <c r="J405" i="36"/>
  <c r="J410" i="36"/>
  <c r="J411" i="36"/>
  <c r="J412" i="36"/>
  <c r="J413" i="36"/>
  <c r="J419" i="36"/>
  <c r="J422" i="36"/>
  <c r="J423" i="36"/>
  <c r="J424" i="36"/>
  <c r="J425" i="36"/>
  <c r="J428" i="36"/>
  <c r="J429" i="36"/>
  <c r="J430" i="36"/>
  <c r="J431" i="36"/>
  <c r="J434" i="36"/>
  <c r="J435" i="36"/>
  <c r="J436" i="36"/>
  <c r="J437" i="36"/>
  <c r="J443" i="36"/>
  <c r="J446" i="36"/>
  <c r="J452" i="36"/>
  <c r="J453" i="36"/>
  <c r="J454" i="36"/>
  <c r="J458" i="36"/>
  <c r="J459" i="36"/>
  <c r="J460" i="36"/>
  <c r="J461" i="36"/>
  <c r="J462" i="36"/>
  <c r="J463" i="36"/>
  <c r="J467" i="36"/>
  <c r="J470" i="36"/>
  <c r="J471" i="36"/>
  <c r="J472" i="36"/>
  <c r="J473" i="36"/>
  <c r="J474" i="36"/>
  <c r="J476" i="36"/>
  <c r="J477" i="36"/>
  <c r="J478" i="36"/>
  <c r="J482" i="36"/>
  <c r="J483" i="36"/>
  <c r="J488" i="36"/>
  <c r="J489" i="36"/>
  <c r="J490" i="36"/>
  <c r="J491" i="36"/>
  <c r="J500" i="36"/>
  <c r="J501" i="36"/>
  <c r="J502" i="36"/>
  <c r="J506" i="36"/>
  <c r="J507" i="36"/>
  <c r="J508" i="36"/>
  <c r="J509" i="36"/>
  <c r="J514" i="36"/>
  <c r="J523" i="36"/>
  <c r="J524" i="36"/>
  <c r="J525" i="36"/>
  <c r="J530" i="36"/>
  <c r="J531" i="36"/>
  <c r="J532" i="36"/>
  <c r="J533" i="36"/>
  <c r="J534" i="36"/>
  <c r="J535" i="36"/>
  <c r="J542" i="36"/>
  <c r="J543" i="36"/>
  <c r="J548" i="36"/>
  <c r="J549" i="36"/>
  <c r="J550" i="36"/>
  <c r="J554" i="36"/>
  <c r="J555" i="36"/>
  <c r="J556" i="36"/>
  <c r="J557" i="36"/>
  <c r="J559" i="36"/>
  <c r="J560" i="36"/>
  <c r="J561" i="36"/>
  <c r="J572" i="36"/>
  <c r="J573" i="36"/>
  <c r="J574" i="36"/>
  <c r="J578" i="36"/>
  <c r="J579" i="36"/>
  <c r="J580" i="36"/>
  <c r="J581" i="36"/>
  <c r="J596" i="36"/>
  <c r="J597" i="36"/>
  <c r="J598" i="36"/>
  <c r="J602" i="36"/>
  <c r="J603" i="36"/>
  <c r="J604" i="36"/>
  <c r="J605" i="36"/>
  <c r="J606" i="36"/>
  <c r="J607" i="36"/>
  <c r="J609" i="36"/>
  <c r="J610" i="36"/>
  <c r="J611" i="36"/>
  <c r="J614" i="36"/>
  <c r="J615" i="36"/>
  <c r="J620" i="36"/>
  <c r="J621" i="36"/>
  <c r="J626" i="36"/>
  <c r="J627" i="36"/>
  <c r="J628" i="36"/>
  <c r="J629" i="36"/>
  <c r="J630" i="36"/>
  <c r="J631" i="36"/>
  <c r="J646" i="36"/>
  <c r="J650" i="36"/>
  <c r="J651" i="36"/>
  <c r="J652" i="36"/>
  <c r="J653" i="36"/>
  <c r="J655" i="36"/>
  <c r="J656" i="36"/>
  <c r="J664" i="36"/>
  <c r="J665" i="36"/>
  <c r="J674" i="36"/>
  <c r="J675" i="36"/>
  <c r="J676" i="36"/>
  <c r="J677" i="36"/>
  <c r="J678" i="36"/>
  <c r="J679" i="36"/>
  <c r="J685" i="36"/>
  <c r="J686" i="36"/>
  <c r="J687" i="36"/>
  <c r="J688" i="36"/>
  <c r="J689" i="36"/>
  <c r="J692" i="36"/>
  <c r="J698" i="36"/>
  <c r="J699" i="36"/>
  <c r="J700" i="36"/>
  <c r="J701" i="36"/>
  <c r="J702" i="36"/>
  <c r="J704" i="36"/>
  <c r="J709" i="36"/>
  <c r="J710" i="36"/>
  <c r="J711" i="36"/>
  <c r="J716" i="36"/>
  <c r="J717" i="36"/>
  <c r="J722" i="36"/>
  <c r="J723" i="36"/>
  <c r="J724" i="36"/>
  <c r="J725" i="36"/>
  <c r="J726" i="36"/>
  <c r="J734" i="36"/>
  <c r="J735" i="36"/>
  <c r="J740" i="36"/>
  <c r="J746" i="36"/>
  <c r="J747" i="36"/>
  <c r="J748" i="36"/>
  <c r="J749" i="36"/>
  <c r="J750" i="36"/>
  <c r="J751" i="36"/>
  <c r="J752" i="36"/>
  <c r="J753" i="36"/>
  <c r="J755" i="36"/>
  <c r="J757" i="36"/>
  <c r="J758" i="36"/>
  <c r="J764" i="36"/>
  <c r="J765" i="36"/>
  <c r="J766" i="36"/>
  <c r="J770" i="36"/>
  <c r="J771" i="36"/>
  <c r="J772" i="36"/>
  <c r="J773" i="36"/>
  <c r="J779" i="36"/>
  <c r="J781" i="36"/>
  <c r="J782" i="36"/>
  <c r="J783" i="36"/>
  <c r="J784" i="36"/>
  <c r="J785" i="36"/>
  <c r="J786" i="36"/>
  <c r="J788" i="36"/>
  <c r="J789" i="36"/>
  <c r="J790" i="36"/>
  <c r="J794" i="36"/>
  <c r="J795" i="36"/>
  <c r="J796" i="36"/>
  <c r="J797" i="36"/>
  <c r="J805" i="36"/>
  <c r="J806" i="36"/>
  <c r="J807" i="36"/>
  <c r="J812" i="36"/>
  <c r="J813" i="36"/>
  <c r="J818" i="36"/>
  <c r="J819" i="36"/>
  <c r="J820" i="36"/>
  <c r="J821" i="36"/>
  <c r="J824" i="36"/>
  <c r="J825" i="36"/>
  <c r="J826" i="36"/>
  <c r="J827" i="36"/>
  <c r="J829" i="36"/>
  <c r="J836" i="36"/>
  <c r="J837" i="36"/>
  <c r="J838" i="36"/>
  <c r="J842" i="36"/>
  <c r="J843" i="36"/>
  <c r="J853" i="36"/>
  <c r="J854" i="36"/>
  <c r="J855" i="36"/>
  <c r="J856" i="36"/>
  <c r="J857" i="36"/>
  <c r="J858" i="36"/>
  <c r="J859" i="36"/>
  <c r="J860" i="36"/>
  <c r="J861" i="36"/>
  <c r="J862" i="36"/>
  <c r="J866" i="36"/>
  <c r="J867" i="36"/>
  <c r="J875" i="36"/>
  <c r="J877" i="36"/>
  <c r="J878" i="36"/>
  <c r="J884" i="36"/>
  <c r="J885" i="36"/>
  <c r="J886" i="36"/>
  <c r="J890" i="36"/>
  <c r="J891" i="36"/>
  <c r="J892" i="36"/>
  <c r="J899" i="36"/>
  <c r="J902" i="36"/>
  <c r="J903" i="36"/>
  <c r="J904" i="36"/>
  <c r="J905" i="36"/>
  <c r="J906" i="36"/>
  <c r="J907" i="36"/>
  <c r="J908" i="36"/>
  <c r="J914" i="36"/>
  <c r="J915" i="36"/>
  <c r="J916" i="36"/>
  <c r="J917" i="36"/>
  <c r="J923" i="36"/>
  <c r="J925" i="36"/>
  <c r="J926" i="36"/>
  <c r="J932" i="36"/>
  <c r="J933" i="36"/>
  <c r="J934" i="36"/>
  <c r="J938" i="36"/>
  <c r="J939" i="36"/>
  <c r="J940" i="36"/>
  <c r="J941" i="36"/>
  <c r="J942" i="36"/>
  <c r="J949" i="36"/>
  <c r="J952" i="36"/>
  <c r="J953" i="36"/>
  <c r="J956" i="36"/>
  <c r="J957" i="36"/>
  <c r="J958" i="36"/>
  <c r="J962" i="36"/>
  <c r="J963" i="36"/>
  <c r="J964" i="36"/>
  <c r="J965" i="36"/>
  <c r="J971" i="36"/>
  <c r="J973" i="36"/>
  <c r="J974" i="36"/>
  <c r="J975" i="36"/>
  <c r="J980" i="36"/>
  <c r="J981" i="36"/>
  <c r="J982" i="36"/>
  <c r="J986" i="36"/>
  <c r="J987" i="36"/>
  <c r="J988" i="36"/>
  <c r="J989" i="36"/>
  <c r="J990" i="36"/>
  <c r="J999" i="36"/>
  <c r="J1004" i="36"/>
  <c r="J1005" i="36"/>
  <c r="J1006" i="36"/>
  <c r="J1010" i="36"/>
  <c r="J1011" i="36"/>
  <c r="J1012" i="36"/>
  <c r="J1013" i="36"/>
  <c r="J1014" i="36"/>
  <c r="J1015" i="36"/>
  <c r="J1016" i="36"/>
  <c r="J1027" i="36"/>
  <c r="J1028" i="36"/>
  <c r="J1029" i="36"/>
  <c r="J1030" i="36"/>
  <c r="J1031" i="36"/>
  <c r="J1032" i="36"/>
  <c r="J1034" i="36"/>
  <c r="J1035" i="36"/>
  <c r="J1036" i="36"/>
  <c r="J1037" i="36"/>
  <c r="J1047" i="36"/>
  <c r="J1048" i="36"/>
  <c r="J1049" i="36"/>
  <c r="J1050" i="36"/>
  <c r="J1052" i="36"/>
  <c r="J1058" i="36"/>
  <c r="J1059" i="36"/>
  <c r="J1060" i="36"/>
  <c r="J1061" i="36"/>
  <c r="J1062" i="36"/>
  <c r="J1063" i="36"/>
  <c r="J1064" i="36"/>
  <c r="J1065" i="36"/>
  <c r="J1066" i="36"/>
  <c r="J1067" i="36"/>
  <c r="J1076" i="36"/>
  <c r="J1077" i="36"/>
  <c r="J1078" i="36"/>
  <c r="J1082" i="36"/>
  <c r="J1083" i="36"/>
  <c r="J1084" i="36"/>
  <c r="J1085" i="36"/>
  <c r="J1088" i="36"/>
  <c r="J1089" i="36"/>
  <c r="J1090" i="36"/>
  <c r="J1091" i="36"/>
  <c r="J1093" i="36"/>
  <c r="J1100" i="36"/>
  <c r="J1101" i="36"/>
  <c r="J1102" i="36"/>
  <c r="J1106" i="36"/>
  <c r="J1107" i="36"/>
  <c r="J1108" i="36"/>
  <c r="J1109" i="36"/>
  <c r="J1111" i="36"/>
  <c r="J1112" i="36"/>
  <c r="J1117" i="36"/>
  <c r="J1118" i="36"/>
  <c r="J1124" i="36"/>
  <c r="J1125" i="36"/>
  <c r="J1126" i="36"/>
  <c r="J1130" i="36"/>
  <c r="J1131" i="36"/>
  <c r="J1132" i="36"/>
  <c r="J1133" i="36"/>
  <c r="J1139" i="36"/>
  <c r="J1141" i="36"/>
  <c r="J1142" i="36"/>
  <c r="J1143" i="36"/>
  <c r="J1148" i="36"/>
  <c r="J1149" i="36"/>
  <c r="J1150" i="36"/>
  <c r="J1154" i="36"/>
  <c r="J1155" i="36"/>
  <c r="J1156" i="36"/>
  <c r="J1157" i="36"/>
  <c r="J1158" i="36"/>
  <c r="J1165" i="36"/>
  <c r="J1172" i="36"/>
  <c r="J1173" i="36"/>
  <c r="J1174" i="36"/>
  <c r="J1178" i="36"/>
  <c r="J1179" i="36"/>
  <c r="J1180" i="36"/>
  <c r="J1181" i="36"/>
  <c r="J1182" i="36"/>
  <c r="J1183" i="36"/>
  <c r="J1184" i="36"/>
  <c r="J1186" i="36"/>
  <c r="J1187" i="36"/>
  <c r="J1189" i="36"/>
  <c r="J1190" i="36"/>
  <c r="J1191" i="36"/>
  <c r="J1202" i="36"/>
  <c r="J1203" i="36"/>
  <c r="J1204" i="36"/>
  <c r="J1205" i="36"/>
  <c r="J1206" i="36"/>
  <c r="J1207" i="36"/>
  <c r="J1213" i="36"/>
  <c r="J1215" i="36"/>
  <c r="J1222" i="36"/>
  <c r="J1226" i="36"/>
  <c r="J1227" i="36"/>
  <c r="J1228" i="36"/>
  <c r="J1229" i="36"/>
  <c r="J1234" i="36"/>
  <c r="J1235" i="36"/>
  <c r="J1237" i="36"/>
  <c r="J1238" i="36"/>
  <c r="J1239" i="36"/>
  <c r="J1250" i="36"/>
  <c r="J1251" i="36"/>
  <c r="J1252" i="36"/>
  <c r="J1253" i="36"/>
  <c r="J1261" i="36"/>
  <c r="J1265" i="36"/>
  <c r="J1266" i="36"/>
  <c r="J1267" i="36"/>
  <c r="J1268" i="36"/>
  <c r="J1274" i="36"/>
  <c r="J1275" i="36"/>
  <c r="J1276" i="36"/>
  <c r="J1277" i="36"/>
  <c r="J1278" i="36"/>
  <c r="J1283" i="36"/>
  <c r="J1285" i="36"/>
  <c r="J1286" i="36"/>
  <c r="J1287" i="36"/>
  <c r="J1288" i="36"/>
  <c r="J1289" i="36"/>
  <c r="J1292" i="36"/>
  <c r="J1293" i="36"/>
  <c r="J1298" i="36"/>
  <c r="J1299" i="36"/>
  <c r="J1300" i="36"/>
  <c r="J1301" i="36"/>
  <c r="J1302" i="36"/>
  <c r="J1303" i="36"/>
  <c r="J1307" i="36"/>
  <c r="J1309" i="36"/>
  <c r="J1312" i="36"/>
  <c r="J1313" i="36"/>
  <c r="J1314" i="36"/>
  <c r="J1315" i="36"/>
  <c r="J1316" i="36"/>
  <c r="J1317" i="36"/>
  <c r="J1318" i="36"/>
  <c r="J1322" i="36"/>
  <c r="J1323" i="36"/>
  <c r="J1324" i="36"/>
  <c r="J1325" i="36"/>
  <c r="J1331" i="36"/>
  <c r="J1333" i="36"/>
  <c r="J1334" i="36"/>
  <c r="J1335" i="36"/>
  <c r="J1340" i="36"/>
  <c r="J1341" i="36"/>
  <c r="J1342" i="36"/>
  <c r="J1346" i="36"/>
  <c r="J1347" i="36"/>
  <c r="J1348" i="36"/>
  <c r="J1349" i="36"/>
  <c r="J1350" i="36"/>
  <c r="J1351" i="36"/>
  <c r="J1352" i="36"/>
  <c r="J1353" i="36"/>
  <c r="J1" i="36"/>
  <c r="C2" i="36" a="1"/>
  <c r="C2" i="36" s="1"/>
  <c r="C3" i="36" a="1"/>
  <c r="C3" i="36"/>
  <c r="C4" i="36" a="1"/>
  <c r="C4" i="36"/>
  <c r="C5" i="36" a="1"/>
  <c r="C5" i="36"/>
  <c r="C6" i="36" a="1"/>
  <c r="C6" i="36"/>
  <c r="C7" i="36" a="1"/>
  <c r="C7" i="36"/>
  <c r="C8" i="36" a="1"/>
  <c r="C8" i="36"/>
  <c r="C9" i="36" a="1"/>
  <c r="C9" i="36"/>
  <c r="C10" i="36" a="1"/>
  <c r="C10" i="36"/>
  <c r="C11" i="36" a="1"/>
  <c r="C11" i="36"/>
  <c r="C12" i="36" a="1"/>
  <c r="C12" i="36"/>
  <c r="C13" i="36" a="1"/>
  <c r="C13" i="36"/>
  <c r="C14" i="36" a="1"/>
  <c r="C14" i="36" s="1"/>
  <c r="C15" i="36" a="1"/>
  <c r="C15" i="36"/>
  <c r="C16" i="36" a="1"/>
  <c r="C16" i="36"/>
  <c r="C17" i="36" a="1"/>
  <c r="C17" i="36"/>
  <c r="C18" i="36" a="1"/>
  <c r="C18" i="36"/>
  <c r="C19" i="36" a="1"/>
  <c r="C19" i="36" s="1"/>
  <c r="C20" i="36" a="1"/>
  <c r="C20" i="36"/>
  <c r="C21" i="36" a="1"/>
  <c r="C21" i="36"/>
  <c r="C22" i="36" a="1"/>
  <c r="C22" i="36"/>
  <c r="C23" i="36" a="1"/>
  <c r="C23" i="36"/>
  <c r="C24" i="36" a="1"/>
  <c r="C24" i="36"/>
  <c r="C25" i="36" a="1"/>
  <c r="C25" i="36"/>
  <c r="C26" i="36" a="1"/>
  <c r="C26" i="36" s="1"/>
  <c r="C27" i="36" a="1"/>
  <c r="C27" i="36" s="1"/>
  <c r="C28" i="36" a="1"/>
  <c r="C28" i="36"/>
  <c r="C29" i="36" a="1"/>
  <c r="C29" i="36"/>
  <c r="C30" i="36" a="1"/>
  <c r="C30" i="36"/>
  <c r="C31" i="36" a="1"/>
  <c r="C31" i="36"/>
  <c r="C32" i="36" a="1"/>
  <c r="C32" i="36"/>
  <c r="C33" i="36" a="1"/>
  <c r="C33" i="36"/>
  <c r="C34" i="36" a="1"/>
  <c r="C34" i="36"/>
  <c r="C35" i="36" a="1"/>
  <c r="C35" i="36"/>
  <c r="C36" i="36" a="1"/>
  <c r="C36" i="36"/>
  <c r="C37" i="36" a="1"/>
  <c r="C37" i="36"/>
  <c r="C38" i="36" a="1"/>
  <c r="C38" i="36" s="1"/>
  <c r="C39" i="36" a="1"/>
  <c r="C39" i="36"/>
  <c r="C40" i="36" a="1"/>
  <c r="C40" i="36"/>
  <c r="C41" i="36" a="1"/>
  <c r="C41" i="36"/>
  <c r="C42" i="36" a="1"/>
  <c r="C42" i="36"/>
  <c r="C43" i="36" a="1"/>
  <c r="C43" i="36"/>
  <c r="C44" i="36" a="1"/>
  <c r="C44" i="36" s="1"/>
  <c r="C45" i="36" a="1"/>
  <c r="C45" i="36"/>
  <c r="C46" i="36" a="1"/>
  <c r="C46" i="36"/>
  <c r="C47" i="36" a="1"/>
  <c r="C47" i="36"/>
  <c r="C48" i="36" a="1"/>
  <c r="C48" i="36"/>
  <c r="C49" i="36" a="1"/>
  <c r="C49" i="36"/>
  <c r="C50" i="36" a="1"/>
  <c r="C50" i="36" s="1"/>
  <c r="C51" i="36" a="1"/>
  <c r="C51" i="36"/>
  <c r="C52" i="36" a="1"/>
  <c r="C52" i="36" s="1"/>
  <c r="C53" i="36" a="1"/>
  <c r="C53" i="36"/>
  <c r="C54" i="36" a="1"/>
  <c r="C54" i="36"/>
  <c r="C55" i="36" a="1"/>
  <c r="C55" i="36"/>
  <c r="C56" i="36" a="1"/>
  <c r="C56" i="36"/>
  <c r="C57" i="36" a="1"/>
  <c r="C57" i="36"/>
  <c r="C58" i="36" a="1"/>
  <c r="C58" i="36"/>
  <c r="C59" i="36" a="1"/>
  <c r="C59" i="36"/>
  <c r="C60" i="36" a="1"/>
  <c r="C60" i="36"/>
  <c r="C61" i="36" a="1"/>
  <c r="C61" i="36"/>
  <c r="C62" i="36" a="1"/>
  <c r="C62" i="36" s="1"/>
  <c r="C63" i="36" a="1"/>
  <c r="C63" i="36"/>
  <c r="C64" i="36" a="1"/>
  <c r="C64" i="36"/>
  <c r="C65" i="36" a="1"/>
  <c r="C65" i="36"/>
  <c r="C66" i="36" a="1"/>
  <c r="C66" i="36"/>
  <c r="C67" i="36" a="1"/>
  <c r="C67" i="36"/>
  <c r="C68" i="36" a="1"/>
  <c r="C68" i="36"/>
  <c r="C69" i="36" a="1"/>
  <c r="C69" i="36" s="1"/>
  <c r="C70" i="36" a="1"/>
  <c r="C70" i="36"/>
  <c r="C71" i="36" a="1"/>
  <c r="C71" i="36"/>
  <c r="C72" i="36" a="1"/>
  <c r="C72" i="36"/>
  <c r="C73" i="36" a="1"/>
  <c r="C73" i="36"/>
  <c r="C74" i="36" a="1"/>
  <c r="C74" i="36" s="1"/>
  <c r="C75" i="36" a="1"/>
  <c r="C75" i="36"/>
  <c r="C76" i="36" a="1"/>
  <c r="C76" i="36"/>
  <c r="C77" i="36" a="1"/>
  <c r="C77" i="36" s="1"/>
  <c r="C78" i="36" a="1"/>
  <c r="C78" i="36"/>
  <c r="C79" i="36" a="1"/>
  <c r="C79" i="36"/>
  <c r="C80" i="36" a="1"/>
  <c r="C80" i="36"/>
  <c r="C81" i="36" a="1"/>
  <c r="C81" i="36"/>
  <c r="C82" i="36" a="1"/>
  <c r="C82" i="36"/>
  <c r="C83" i="36" a="1"/>
  <c r="C83" i="36"/>
  <c r="C84" i="36" a="1"/>
  <c r="C84" i="36"/>
  <c r="C85" i="36" a="1"/>
  <c r="C85" i="36"/>
  <c r="C86" i="36" a="1"/>
  <c r="C86" i="36" s="1"/>
  <c r="C87" i="36" a="1"/>
  <c r="C87" i="36"/>
  <c r="C88" i="36" a="1"/>
  <c r="C88" i="36"/>
  <c r="C89" i="36" a="1"/>
  <c r="C89" i="36"/>
  <c r="C90" i="36" a="1"/>
  <c r="C90" i="36"/>
  <c r="C91" i="36" a="1"/>
  <c r="C91" i="36"/>
  <c r="C92" i="36" a="1"/>
  <c r="C92" i="36"/>
  <c r="C93" i="36" a="1"/>
  <c r="C93" i="36"/>
  <c r="C94" i="36" a="1"/>
  <c r="C94" i="36" s="1"/>
  <c r="C95" i="36" a="1"/>
  <c r="C95" i="36"/>
  <c r="C96" i="36" a="1"/>
  <c r="C96" i="36"/>
  <c r="C97" i="36" a="1"/>
  <c r="C97" i="36"/>
  <c r="C98" i="36" a="1"/>
  <c r="C98" i="36" s="1"/>
  <c r="C99" i="36" a="1"/>
  <c r="C99" i="36"/>
  <c r="C100" i="36" a="1"/>
  <c r="C100" i="36"/>
  <c r="C101" i="36" a="1"/>
  <c r="C101" i="36"/>
  <c r="C102" i="36" a="1"/>
  <c r="C102" i="36" s="1"/>
  <c r="C103" i="36" a="1"/>
  <c r="C103" i="36"/>
  <c r="C104" i="36" a="1"/>
  <c r="C104" i="36"/>
  <c r="C105" i="36" a="1"/>
  <c r="C105" i="36"/>
  <c r="C106" i="36" a="1"/>
  <c r="C106" i="36"/>
  <c r="C107" i="36" a="1"/>
  <c r="C107" i="36"/>
  <c r="C108" i="36" a="1"/>
  <c r="C108" i="36"/>
  <c r="C109" i="36" a="1"/>
  <c r="C109" i="36"/>
  <c r="C110" i="36" a="1"/>
  <c r="C110" i="36" s="1"/>
  <c r="C111" i="36" a="1"/>
  <c r="C111" i="36"/>
  <c r="C112" i="36" a="1"/>
  <c r="C112" i="36"/>
  <c r="C113" i="36" a="1"/>
  <c r="C113" i="36"/>
  <c r="C114" i="36" a="1"/>
  <c r="C114" i="36"/>
  <c r="C115" i="36" a="1"/>
  <c r="C115" i="36"/>
  <c r="C116" i="36" a="1"/>
  <c r="C116" i="36"/>
  <c r="C117" i="36" a="1"/>
  <c r="C117" i="36"/>
  <c r="C118" i="36" a="1"/>
  <c r="C118" i="36"/>
  <c r="C119" i="36" a="1"/>
  <c r="C119" i="36" s="1"/>
  <c r="C120" i="36" a="1"/>
  <c r="C120" i="36"/>
  <c r="C121" i="36" a="1"/>
  <c r="C121" i="36"/>
  <c r="C122" i="36" a="1"/>
  <c r="C122" i="36" s="1"/>
  <c r="C123" i="36" a="1"/>
  <c r="C123" i="36"/>
  <c r="C124" i="36" a="1"/>
  <c r="C124" i="36"/>
  <c r="C125" i="36" a="1"/>
  <c r="C125" i="36"/>
  <c r="C126" i="36" a="1"/>
  <c r="C126" i="36"/>
  <c r="C127" i="36" a="1"/>
  <c r="C127" i="36" s="1"/>
  <c r="C128" i="36" a="1"/>
  <c r="C128" i="36"/>
  <c r="C129" i="36" a="1"/>
  <c r="C129" i="36"/>
  <c r="C130" i="36" a="1"/>
  <c r="C130" i="36"/>
  <c r="C131" i="36" a="1"/>
  <c r="C131" i="36"/>
  <c r="C132" i="36" a="1"/>
  <c r="C132" i="36"/>
  <c r="C133" i="36" a="1"/>
  <c r="C133" i="36"/>
  <c r="C134" i="36" a="1"/>
  <c r="C134" i="36" s="1"/>
  <c r="C135" i="36" a="1"/>
  <c r="C135" i="36"/>
  <c r="C136" i="36" a="1"/>
  <c r="C136" i="36"/>
  <c r="C137" i="36" a="1"/>
  <c r="C137" i="36"/>
  <c r="C138" i="36" a="1"/>
  <c r="C138" i="36"/>
  <c r="C139" i="36" a="1"/>
  <c r="C139" i="36"/>
  <c r="C140" i="36" a="1"/>
  <c r="C140" i="36"/>
  <c r="C141" i="36" a="1"/>
  <c r="C141" i="36"/>
  <c r="C142" i="36" a="1"/>
  <c r="C142" i="36"/>
  <c r="C143" i="36" a="1"/>
  <c r="C143" i="36"/>
  <c r="C144" i="36" a="1"/>
  <c r="C144" i="36" s="1"/>
  <c r="C145" i="36" a="1"/>
  <c r="C145" i="36"/>
  <c r="C146" i="36" a="1"/>
  <c r="C146" i="36" s="1"/>
  <c r="C147" i="36" a="1"/>
  <c r="C147" i="36"/>
  <c r="C148" i="36" a="1"/>
  <c r="C148" i="36"/>
  <c r="C149" i="36" a="1"/>
  <c r="C149" i="36"/>
  <c r="C150" i="36" a="1"/>
  <c r="C150" i="36"/>
  <c r="C151" i="36" a="1"/>
  <c r="C151" i="36"/>
  <c r="C152" i="36" a="1"/>
  <c r="C152" i="36" s="1"/>
  <c r="C153" i="36" a="1"/>
  <c r="C153" i="36"/>
  <c r="C154" i="36" a="1"/>
  <c r="C154" i="36"/>
  <c r="C155" i="36" a="1"/>
  <c r="C155" i="36"/>
  <c r="C156" i="36" a="1"/>
  <c r="C156" i="36"/>
  <c r="C157" i="36" a="1"/>
  <c r="C157" i="36"/>
  <c r="C158" i="36" a="1"/>
  <c r="C158" i="36" s="1"/>
  <c r="C159" i="36" a="1"/>
  <c r="C159" i="36"/>
  <c r="C160" i="36" a="1"/>
  <c r="C160" i="36"/>
  <c r="C161" i="36" a="1"/>
  <c r="C161" i="36"/>
  <c r="C162" i="36" a="1"/>
  <c r="C162" i="36"/>
  <c r="C163" i="36" a="1"/>
  <c r="C163" i="36"/>
  <c r="C164" i="36" a="1"/>
  <c r="C164" i="36"/>
  <c r="C165" i="36" a="1"/>
  <c r="C165" i="36"/>
  <c r="C166" i="36" a="1"/>
  <c r="C166" i="36"/>
  <c r="C167" i="36" a="1"/>
  <c r="C167" i="36"/>
  <c r="C168" i="36" a="1"/>
  <c r="C168" i="36"/>
  <c r="C169" i="36" a="1"/>
  <c r="C169" i="36" s="1"/>
  <c r="C170" i="36" a="1"/>
  <c r="C170" i="36" s="1"/>
  <c r="C171" i="36" a="1"/>
  <c r="C171" i="36"/>
  <c r="C172" i="36" a="1"/>
  <c r="C172" i="36"/>
  <c r="C173" i="36" a="1"/>
  <c r="C173" i="36"/>
  <c r="C174" i="36" a="1"/>
  <c r="C174" i="36"/>
  <c r="C175" i="36" a="1"/>
  <c r="C175" i="36"/>
  <c r="C176" i="36" a="1"/>
  <c r="C176" i="36"/>
  <c r="C177" i="36" a="1"/>
  <c r="C177" i="36" s="1"/>
  <c r="C178" i="36" a="1"/>
  <c r="C178" i="36"/>
  <c r="C179" i="36" a="1"/>
  <c r="C179" i="36"/>
  <c r="C180" i="36" a="1"/>
  <c r="C180" i="36"/>
  <c r="C181" i="36" a="1"/>
  <c r="C181" i="36"/>
  <c r="C182" i="36" a="1"/>
  <c r="C182" i="36" s="1"/>
  <c r="C183" i="36" a="1"/>
  <c r="C183" i="36"/>
  <c r="C184" i="36" a="1"/>
  <c r="C184" i="36"/>
  <c r="C185" i="36" a="1"/>
  <c r="C185" i="36"/>
  <c r="C186" i="36" a="1"/>
  <c r="C186" i="36"/>
  <c r="C187" i="36" a="1"/>
  <c r="C187" i="36"/>
  <c r="C188" i="36" a="1"/>
  <c r="C188" i="36"/>
  <c r="C189" i="36" a="1"/>
  <c r="C189" i="36"/>
  <c r="C190" i="36" a="1"/>
  <c r="C190" i="36"/>
  <c r="C191" i="36" a="1"/>
  <c r="C191" i="36"/>
  <c r="C192" i="36" a="1"/>
  <c r="C192" i="36"/>
  <c r="C193" i="36" a="1"/>
  <c r="C193" i="36"/>
  <c r="C194" i="36" a="1"/>
  <c r="C194" i="36" s="1"/>
  <c r="C195" i="36" a="1"/>
  <c r="C195" i="36"/>
  <c r="C196" i="36" a="1"/>
  <c r="C196" i="36"/>
  <c r="C197" i="36" a="1"/>
  <c r="C197" i="36"/>
  <c r="C198" i="36" a="1"/>
  <c r="C198" i="36"/>
  <c r="C199" i="36" a="1"/>
  <c r="C199" i="36"/>
  <c r="C200" i="36" a="1"/>
  <c r="C200" i="36"/>
  <c r="C201" i="36" a="1"/>
  <c r="C201" i="36"/>
  <c r="C202" i="36" a="1"/>
  <c r="C202" i="36" s="1"/>
  <c r="C203" i="36" a="1"/>
  <c r="C203" i="36"/>
  <c r="C204" i="36" a="1"/>
  <c r="C204" i="36"/>
  <c r="C205" i="36" a="1"/>
  <c r="C205" i="36"/>
  <c r="C206" i="36" a="1"/>
  <c r="C206" i="36" s="1"/>
  <c r="C207" i="36" a="1"/>
  <c r="C207" i="36" s="1"/>
  <c r="C208" i="36" a="1"/>
  <c r="C208" i="36"/>
  <c r="C209" i="36" a="1"/>
  <c r="C209" i="36"/>
  <c r="C210" i="36" a="1"/>
  <c r="C210" i="36"/>
  <c r="C211" i="36" a="1"/>
  <c r="C211" i="36"/>
  <c r="C212" i="36" a="1"/>
  <c r="C212" i="36"/>
  <c r="C213" i="36" a="1"/>
  <c r="C213" i="36"/>
  <c r="C214" i="36" a="1"/>
  <c r="C214" i="36"/>
  <c r="C215" i="36" a="1"/>
  <c r="C215" i="36"/>
  <c r="C216" i="36" a="1"/>
  <c r="C216" i="36"/>
  <c r="C217" i="36" a="1"/>
  <c r="C217" i="36"/>
  <c r="C218" i="36" a="1"/>
  <c r="C218" i="36" s="1"/>
  <c r="C219" i="36" a="1"/>
  <c r="C219" i="36"/>
  <c r="C220" i="36" a="1"/>
  <c r="C220" i="36"/>
  <c r="C221" i="36" a="1"/>
  <c r="C221" i="36"/>
  <c r="C222" i="36" a="1"/>
  <c r="C222" i="36"/>
  <c r="C223" i="36" a="1"/>
  <c r="C223" i="36"/>
  <c r="C224" i="36" a="1"/>
  <c r="C224" i="36"/>
  <c r="C225" i="36" a="1"/>
  <c r="C225" i="36"/>
  <c r="C226" i="36" a="1"/>
  <c r="C226" i="36"/>
  <c r="C227" i="36" a="1"/>
  <c r="C227" i="36" s="1"/>
  <c r="C228" i="36" a="1"/>
  <c r="C228" i="36"/>
  <c r="C229" i="36" a="1"/>
  <c r="C229" i="36"/>
  <c r="C230" i="36" a="1"/>
  <c r="C230" i="36" s="1"/>
  <c r="C231" i="36" a="1"/>
  <c r="C231" i="36"/>
  <c r="C232" i="36" a="1"/>
  <c r="C232" i="36" s="1"/>
  <c r="C233" i="36" a="1"/>
  <c r="C233" i="36"/>
  <c r="C234" i="36" a="1"/>
  <c r="C234" i="36"/>
  <c r="C235" i="36" a="1"/>
  <c r="C235" i="36"/>
  <c r="C236" i="36" a="1"/>
  <c r="C236" i="36"/>
  <c r="C237" i="36" a="1"/>
  <c r="C237" i="36"/>
  <c r="C238" i="36" a="1"/>
  <c r="C238" i="36"/>
  <c r="C239" i="36" a="1"/>
  <c r="C239" i="36"/>
  <c r="C240" i="36" a="1"/>
  <c r="C240" i="36"/>
  <c r="C241" i="36" a="1"/>
  <c r="C241" i="36"/>
  <c r="C242" i="36" a="1"/>
  <c r="C242" i="36" s="1"/>
  <c r="C243" i="36" a="1"/>
  <c r="C243" i="36"/>
  <c r="C244" i="36" a="1"/>
  <c r="C244" i="36"/>
  <c r="C245" i="36" a="1"/>
  <c r="C245" i="36"/>
  <c r="C246" i="36" a="1"/>
  <c r="C246" i="36"/>
  <c r="C247" i="36" a="1"/>
  <c r="C247" i="36"/>
  <c r="C248" i="36" a="1"/>
  <c r="C248" i="36"/>
  <c r="C249" i="36" a="1"/>
  <c r="C249" i="36"/>
  <c r="C250" i="36" a="1"/>
  <c r="C250" i="36"/>
  <c r="C251" i="36" a="1"/>
  <c r="C251" i="36"/>
  <c r="C252" i="36" a="1"/>
  <c r="C252" i="36" s="1"/>
  <c r="C253" i="36" a="1"/>
  <c r="C253" i="36"/>
  <c r="C254" i="36" a="1"/>
  <c r="C254" i="36" s="1"/>
  <c r="C255" i="36" a="1"/>
  <c r="C255" i="36"/>
  <c r="C256" i="36" a="1"/>
  <c r="C256" i="36"/>
  <c r="C257" i="36" a="1"/>
  <c r="C257" i="36" s="1"/>
  <c r="C258" i="36" a="1"/>
  <c r="C258" i="36"/>
  <c r="C259" i="36" a="1"/>
  <c r="C259" i="36"/>
  <c r="C260" i="36" a="1"/>
  <c r="C260" i="36"/>
  <c r="C261" i="36" a="1"/>
  <c r="C261" i="36"/>
  <c r="C262" i="36" a="1"/>
  <c r="C262" i="36"/>
  <c r="C263" i="36" a="1"/>
  <c r="C263" i="36"/>
  <c r="C264" i="36" a="1"/>
  <c r="C264" i="36"/>
  <c r="C265" i="36" a="1"/>
  <c r="C265" i="36"/>
  <c r="C266" i="36" a="1"/>
  <c r="C266" i="36" s="1"/>
  <c r="C267" i="36" a="1"/>
  <c r="C267" i="36"/>
  <c r="C268" i="36" a="1"/>
  <c r="C268" i="36"/>
  <c r="C269" i="36" a="1"/>
  <c r="C269" i="36"/>
  <c r="C270" i="36" a="1"/>
  <c r="C270" i="36"/>
  <c r="C271" i="36" a="1"/>
  <c r="C271" i="36"/>
  <c r="C272" i="36" a="1"/>
  <c r="C272" i="36"/>
  <c r="C273" i="36" a="1"/>
  <c r="C273" i="36"/>
  <c r="C274" i="36" a="1"/>
  <c r="C274" i="36"/>
  <c r="C275" i="36" a="1"/>
  <c r="C275" i="36"/>
  <c r="C276" i="36" a="1"/>
  <c r="C276" i="36"/>
  <c r="C277" i="36" a="1"/>
  <c r="C277" i="36" s="1"/>
  <c r="C278" i="36" a="1"/>
  <c r="C278" i="36" s="1"/>
  <c r="C279" i="36" a="1"/>
  <c r="C279" i="36"/>
  <c r="C280" i="36" a="1"/>
  <c r="C280" i="36"/>
  <c r="C281" i="36" a="1"/>
  <c r="C281" i="36"/>
  <c r="C282" i="36" a="1"/>
  <c r="C282" i="36" s="1"/>
  <c r="C283" i="36" a="1"/>
  <c r="C283" i="36"/>
  <c r="C284" i="36" a="1"/>
  <c r="C284" i="36"/>
  <c r="C285" i="36" a="1"/>
  <c r="C285" i="36"/>
  <c r="C286" i="36" a="1"/>
  <c r="C286" i="36"/>
  <c r="C287" i="36" a="1"/>
  <c r="C287" i="36"/>
  <c r="C288" i="36" a="1"/>
  <c r="C288" i="36"/>
  <c r="C289" i="36" a="1"/>
  <c r="C289" i="36"/>
  <c r="C290" i="36" a="1"/>
  <c r="C290" i="36" s="1"/>
  <c r="C291" i="36" a="1"/>
  <c r="C291" i="36"/>
  <c r="C292" i="36" a="1"/>
  <c r="C292" i="36"/>
  <c r="C293" i="36" a="1"/>
  <c r="C293" i="36"/>
  <c r="C294" i="36" a="1"/>
  <c r="C294" i="36"/>
  <c r="C295" i="36" a="1"/>
  <c r="C295" i="36"/>
  <c r="C296" i="36" a="1"/>
  <c r="C296" i="36"/>
  <c r="C297" i="36" a="1"/>
  <c r="C297" i="36"/>
  <c r="C298" i="36" a="1"/>
  <c r="C298" i="36"/>
  <c r="C299" i="36" a="1"/>
  <c r="C299" i="36"/>
  <c r="C300" i="36" a="1"/>
  <c r="C300" i="36"/>
  <c r="C301" i="36" a="1"/>
  <c r="C301" i="36"/>
  <c r="C302" i="36" a="1"/>
  <c r="C302" i="36" s="1"/>
  <c r="C303" i="36" a="1"/>
  <c r="C303" i="36"/>
  <c r="C304" i="36" a="1"/>
  <c r="C304" i="36"/>
  <c r="C305" i="36" a="1"/>
  <c r="C305" i="36"/>
  <c r="C306" i="36" a="1"/>
  <c r="C306" i="36"/>
  <c r="C307" i="36" a="1"/>
  <c r="C307" i="36" s="1"/>
  <c r="C308" i="36" a="1"/>
  <c r="C308" i="36"/>
  <c r="C309" i="36" a="1"/>
  <c r="C309" i="36"/>
  <c r="C310" i="36" a="1"/>
  <c r="C310" i="36"/>
  <c r="C311" i="36" a="1"/>
  <c r="C311" i="36"/>
  <c r="C312" i="36" a="1"/>
  <c r="C312" i="36"/>
  <c r="C313" i="36" a="1"/>
  <c r="C313" i="36"/>
  <c r="C314" i="36" a="1"/>
  <c r="C314" i="36" s="1"/>
  <c r="C315" i="36" a="1"/>
  <c r="C315" i="36" s="1"/>
  <c r="C316" i="36" a="1"/>
  <c r="C316" i="36"/>
  <c r="C317" i="36" a="1"/>
  <c r="C317" i="36"/>
  <c r="C318" i="36" a="1"/>
  <c r="C318" i="36"/>
  <c r="C319" i="36" a="1"/>
  <c r="C319" i="36"/>
  <c r="C320" i="36" a="1"/>
  <c r="C320" i="36"/>
  <c r="C321" i="36" a="1"/>
  <c r="C321" i="36"/>
  <c r="C322" i="36" a="1"/>
  <c r="C322" i="36"/>
  <c r="C323" i="36" a="1"/>
  <c r="C323" i="36"/>
  <c r="C324" i="36" a="1"/>
  <c r="C324" i="36"/>
  <c r="C325" i="36" a="1"/>
  <c r="C325" i="36"/>
  <c r="C326" i="36" a="1"/>
  <c r="C326" i="36" s="1"/>
  <c r="C327" i="36" a="1"/>
  <c r="C327" i="36"/>
  <c r="C328" i="36" a="1"/>
  <c r="C328" i="36"/>
  <c r="C329" i="36" a="1"/>
  <c r="C329" i="36"/>
  <c r="C330" i="36" a="1"/>
  <c r="C330" i="36"/>
  <c r="C331" i="36" a="1"/>
  <c r="C331" i="36"/>
  <c r="C332" i="36" a="1"/>
  <c r="C332" i="36" s="1"/>
  <c r="C333" i="36" a="1"/>
  <c r="C333" i="36"/>
  <c r="C334" i="36" a="1"/>
  <c r="C334" i="36"/>
  <c r="C335" i="36" a="1"/>
  <c r="C335" i="36"/>
  <c r="C336" i="36" a="1"/>
  <c r="C336" i="36"/>
  <c r="C337" i="36" a="1"/>
  <c r="C337" i="36"/>
  <c r="C338" i="36" a="1"/>
  <c r="C338" i="36" s="1"/>
  <c r="C339" i="36" a="1"/>
  <c r="C339" i="36"/>
  <c r="C340" i="36" a="1"/>
  <c r="C340" i="36" s="1"/>
  <c r="C341" i="36" a="1"/>
  <c r="C341" i="36"/>
  <c r="C342" i="36" a="1"/>
  <c r="C342" i="36"/>
  <c r="C343" i="36" a="1"/>
  <c r="C343" i="36"/>
  <c r="C344" i="36" a="1"/>
  <c r="C344" i="36"/>
  <c r="C345" i="36" a="1"/>
  <c r="C345" i="36"/>
  <c r="C346" i="36" a="1"/>
  <c r="C346" i="36"/>
  <c r="C347" i="36" a="1"/>
  <c r="C347" i="36"/>
  <c r="C348" i="36" a="1"/>
  <c r="C348" i="36"/>
  <c r="C349" i="36" a="1"/>
  <c r="C349" i="36"/>
  <c r="C350" i="36" a="1"/>
  <c r="C350" i="36" s="1"/>
  <c r="C351" i="36" a="1"/>
  <c r="C351" i="36"/>
  <c r="C352" i="36" a="1"/>
  <c r="C352" i="36"/>
  <c r="C353" i="36" a="1"/>
  <c r="C353" i="36"/>
  <c r="C354" i="36" a="1"/>
  <c r="C354" i="36"/>
  <c r="C355" i="36" a="1"/>
  <c r="C355" i="36"/>
  <c r="C356" i="36" a="1"/>
  <c r="C356" i="36"/>
  <c r="C357" i="36" a="1"/>
  <c r="C357" i="36" s="1"/>
  <c r="C358" i="36" a="1"/>
  <c r="C358" i="36"/>
  <c r="C359" i="36" a="1"/>
  <c r="C359" i="36"/>
  <c r="C360" i="36" a="1"/>
  <c r="C360" i="36"/>
  <c r="C361" i="36" a="1"/>
  <c r="C361" i="36"/>
  <c r="C362" i="36" a="1"/>
  <c r="C362" i="36" s="1"/>
  <c r="C363" i="36" a="1"/>
  <c r="C363" i="36"/>
  <c r="C364" i="36" a="1"/>
  <c r="C364" i="36"/>
  <c r="C365" i="36" a="1"/>
  <c r="C365" i="36" s="1"/>
  <c r="C366" i="36" a="1"/>
  <c r="C366" i="36"/>
  <c r="C367" i="36" a="1"/>
  <c r="C367" i="36"/>
  <c r="C368" i="36" a="1"/>
  <c r="C368" i="36"/>
  <c r="C369" i="36" a="1"/>
  <c r="C369" i="36"/>
  <c r="C370" i="36" a="1"/>
  <c r="C370" i="36"/>
  <c r="C371" i="36" a="1"/>
  <c r="C371" i="36"/>
  <c r="C372" i="36" a="1"/>
  <c r="C372" i="36"/>
  <c r="C373" i="36" a="1"/>
  <c r="C373" i="36"/>
  <c r="C374" i="36" a="1"/>
  <c r="C374" i="36" s="1"/>
  <c r="C375" i="36" a="1"/>
  <c r="C375" i="36"/>
  <c r="C376" i="36" a="1"/>
  <c r="C376" i="36"/>
  <c r="C377" i="36" a="1"/>
  <c r="C377" i="36"/>
  <c r="C378" i="36" a="1"/>
  <c r="C378" i="36"/>
  <c r="C379" i="36" a="1"/>
  <c r="C379" i="36"/>
  <c r="C380" i="36" a="1"/>
  <c r="C380" i="36"/>
  <c r="C381" i="36" a="1"/>
  <c r="C381" i="36"/>
  <c r="C382" i="36" a="1"/>
  <c r="C382" i="36" s="1"/>
  <c r="C383" i="36" a="1"/>
  <c r="C383" i="36"/>
  <c r="C384" i="36" a="1"/>
  <c r="C384" i="36"/>
  <c r="C385" i="36" a="1"/>
  <c r="C385" i="36"/>
  <c r="C386" i="36" a="1"/>
  <c r="C386" i="36" s="1"/>
  <c r="C387" i="36" a="1"/>
  <c r="C387" i="36"/>
  <c r="C388" i="36" a="1"/>
  <c r="C388" i="36"/>
  <c r="C389" i="36" a="1"/>
  <c r="C389" i="36"/>
  <c r="C390" i="36" a="1"/>
  <c r="C390" i="36" s="1"/>
  <c r="C391" i="36" a="1"/>
  <c r="C391" i="36"/>
  <c r="C392" i="36" a="1"/>
  <c r="C392" i="36"/>
  <c r="C393" i="36" a="1"/>
  <c r="C393" i="36"/>
  <c r="C394" i="36" a="1"/>
  <c r="C394" i="36"/>
  <c r="C395" i="36" a="1"/>
  <c r="C395" i="36"/>
  <c r="C396" i="36" a="1"/>
  <c r="C396" i="36"/>
  <c r="C397" i="36" a="1"/>
  <c r="C397" i="36"/>
  <c r="C398" i="36" a="1"/>
  <c r="C398" i="36" s="1"/>
  <c r="C399" i="36" a="1"/>
  <c r="C399" i="36"/>
  <c r="C400" i="36" a="1"/>
  <c r="C400" i="36"/>
  <c r="C401" i="36" a="1"/>
  <c r="C401" i="36"/>
  <c r="C402" i="36" a="1"/>
  <c r="C402" i="36"/>
  <c r="C403" i="36" a="1"/>
  <c r="C403" i="36"/>
  <c r="C404" i="36" a="1"/>
  <c r="C404" i="36"/>
  <c r="C405" i="36" a="1"/>
  <c r="C405" i="36"/>
  <c r="C406" i="36" a="1"/>
  <c r="C406" i="36"/>
  <c r="C407" i="36" a="1"/>
  <c r="C407" i="36" s="1"/>
  <c r="C408" i="36" a="1"/>
  <c r="C408" i="36"/>
  <c r="C409" i="36" a="1"/>
  <c r="C409" i="36"/>
  <c r="C410" i="36" a="1"/>
  <c r="C410" i="36" s="1"/>
  <c r="C411" i="36" a="1"/>
  <c r="C411" i="36"/>
  <c r="C412" i="36" a="1"/>
  <c r="C412" i="36"/>
  <c r="C413" i="36" a="1"/>
  <c r="C413" i="36"/>
  <c r="C414" i="36" a="1"/>
  <c r="C414" i="36"/>
  <c r="C415" i="36" a="1"/>
  <c r="C415" i="36" s="1"/>
  <c r="C416" i="36" a="1"/>
  <c r="C416" i="36"/>
  <c r="C417" i="36" a="1"/>
  <c r="C417" i="36"/>
  <c r="C418" i="36" a="1"/>
  <c r="C418" i="36"/>
  <c r="C419" i="36" a="1"/>
  <c r="C419" i="36"/>
  <c r="C420" i="36" a="1"/>
  <c r="C420" i="36"/>
  <c r="C421" i="36" a="1"/>
  <c r="C421" i="36"/>
  <c r="C422" i="36" a="1"/>
  <c r="C422" i="36" s="1"/>
  <c r="C423" i="36" a="1"/>
  <c r="C423" i="36"/>
  <c r="C424" i="36" a="1"/>
  <c r="C424" i="36"/>
  <c r="C425" i="36" a="1"/>
  <c r="C425" i="36"/>
  <c r="C426" i="36" a="1"/>
  <c r="C426" i="36"/>
  <c r="C427" i="36" a="1"/>
  <c r="C427" i="36"/>
  <c r="C428" i="36" a="1"/>
  <c r="C428" i="36"/>
  <c r="C429" i="36" a="1"/>
  <c r="C429" i="36"/>
  <c r="C430" i="36" a="1"/>
  <c r="C430" i="36"/>
  <c r="C431" i="36" a="1"/>
  <c r="C431" i="36"/>
  <c r="C432" i="36" a="1"/>
  <c r="C432" i="36" s="1"/>
  <c r="C433" i="36" a="1"/>
  <c r="C433" i="36"/>
  <c r="C434" i="36" a="1"/>
  <c r="C434" i="36" s="1"/>
  <c r="C435" i="36" a="1"/>
  <c r="C435" i="36"/>
  <c r="C436" i="36" a="1"/>
  <c r="C436" i="36"/>
  <c r="C437" i="36" a="1"/>
  <c r="C437" i="36"/>
  <c r="C438" i="36" a="1"/>
  <c r="C438" i="36"/>
  <c r="C439" i="36" a="1"/>
  <c r="C439" i="36"/>
  <c r="C440" i="36" a="1"/>
  <c r="C440" i="36" s="1"/>
  <c r="C441" i="36" a="1"/>
  <c r="C441" i="36"/>
  <c r="C442" i="36" a="1"/>
  <c r="C442" i="36"/>
  <c r="C443" i="36" a="1"/>
  <c r="C443" i="36"/>
  <c r="C444" i="36" a="1"/>
  <c r="C444" i="36"/>
  <c r="C445" i="36" a="1"/>
  <c r="C445" i="36"/>
  <c r="C446" i="36" a="1"/>
  <c r="C446" i="36" s="1"/>
  <c r="C447" i="36" a="1"/>
  <c r="C447" i="36"/>
  <c r="C448" i="36" a="1"/>
  <c r="C448" i="36"/>
  <c r="C449" i="36" a="1"/>
  <c r="C449" i="36"/>
  <c r="C450" i="36" a="1"/>
  <c r="C450" i="36"/>
  <c r="C451" i="36" a="1"/>
  <c r="C451" i="36"/>
  <c r="C452" i="36" a="1"/>
  <c r="C452" i="36"/>
  <c r="C453" i="36" a="1"/>
  <c r="C453" i="36"/>
  <c r="C454" i="36" a="1"/>
  <c r="C454" i="36"/>
  <c r="C455" i="36" a="1"/>
  <c r="C455" i="36"/>
  <c r="C456" i="36" a="1"/>
  <c r="C456" i="36"/>
  <c r="C457" i="36" a="1"/>
  <c r="C457" i="36" s="1"/>
  <c r="C458" i="36" a="1"/>
  <c r="C458" i="36" s="1"/>
  <c r="C459" i="36" a="1"/>
  <c r="C459" i="36"/>
  <c r="C460" i="36" a="1"/>
  <c r="C460" i="36"/>
  <c r="C461" i="36" a="1"/>
  <c r="C461" i="36"/>
  <c r="C462" i="36" a="1"/>
  <c r="C462" i="36"/>
  <c r="C463" i="36" a="1"/>
  <c r="C463" i="36"/>
  <c r="C464" i="36" a="1"/>
  <c r="C464" i="36"/>
  <c r="C465" i="36" a="1"/>
  <c r="C465" i="36" s="1"/>
  <c r="C466" i="36" a="1"/>
  <c r="C466" i="36"/>
  <c r="C467" i="36" a="1"/>
  <c r="C467" i="36"/>
  <c r="C468" i="36" a="1"/>
  <c r="C468" i="36"/>
  <c r="C469" i="36" a="1"/>
  <c r="C469" i="36"/>
  <c r="C470" i="36" a="1"/>
  <c r="C470" i="36" s="1"/>
  <c r="C471" i="36" a="1"/>
  <c r="C471" i="36"/>
  <c r="C472" i="36" a="1"/>
  <c r="C472" i="36"/>
  <c r="C473" i="36" a="1"/>
  <c r="C473" i="36"/>
  <c r="C474" i="36" a="1"/>
  <c r="C474" i="36"/>
  <c r="C475" i="36" a="1"/>
  <c r="C475" i="36"/>
  <c r="C476" i="36" a="1"/>
  <c r="C476" i="36"/>
  <c r="C477" i="36" a="1"/>
  <c r="C477" i="36"/>
  <c r="C478" i="36" a="1"/>
  <c r="C478" i="36"/>
  <c r="C479" i="36" a="1"/>
  <c r="C479" i="36"/>
  <c r="C480" i="36" a="1"/>
  <c r="C480" i="36"/>
  <c r="C481" i="36" a="1"/>
  <c r="C481" i="36"/>
  <c r="C482" i="36" a="1"/>
  <c r="C482" i="36" s="1"/>
  <c r="C483" i="36" a="1"/>
  <c r="C483" i="36"/>
  <c r="C484" i="36" a="1"/>
  <c r="C484" i="36"/>
  <c r="C485" i="36" a="1"/>
  <c r="C485" i="36"/>
  <c r="C486" i="36" a="1"/>
  <c r="C486" i="36"/>
  <c r="C487" i="36" a="1"/>
  <c r="C487" i="36"/>
  <c r="C488" i="36" a="1"/>
  <c r="C488" i="36"/>
  <c r="C489" i="36" a="1"/>
  <c r="C489" i="36"/>
  <c r="C490" i="36" a="1"/>
  <c r="C490" i="36" s="1"/>
  <c r="C491" i="36" a="1"/>
  <c r="C491" i="36"/>
  <c r="C492" i="36" a="1"/>
  <c r="C492" i="36"/>
  <c r="C493" i="36" a="1"/>
  <c r="C493" i="36"/>
  <c r="C494" i="36" a="1"/>
  <c r="C494" i="36" s="1"/>
  <c r="C495" i="36" a="1"/>
  <c r="C495" i="36" s="1"/>
  <c r="C496" i="36" a="1"/>
  <c r="C496" i="36"/>
  <c r="C497" i="36" a="1"/>
  <c r="C497" i="36"/>
  <c r="C498" i="36" a="1"/>
  <c r="C498" i="36"/>
  <c r="C499" i="36" a="1"/>
  <c r="C499" i="36"/>
  <c r="C500" i="36" a="1"/>
  <c r="C500" i="36"/>
  <c r="C501" i="36" a="1"/>
  <c r="C501" i="36"/>
  <c r="C502" i="36" a="1"/>
  <c r="C502" i="36"/>
  <c r="C503" i="36" a="1"/>
  <c r="C503" i="36"/>
  <c r="C504" i="36" a="1"/>
  <c r="C504" i="36"/>
  <c r="C505" i="36" a="1"/>
  <c r="C505" i="36"/>
  <c r="C506" i="36" a="1"/>
  <c r="C506" i="36" s="1"/>
  <c r="C507" i="36" a="1"/>
  <c r="C507" i="36"/>
  <c r="C508" i="36" a="1"/>
  <c r="C508" i="36"/>
  <c r="C509" i="36" a="1"/>
  <c r="C509" i="36"/>
  <c r="C510" i="36" a="1"/>
  <c r="C510" i="36"/>
  <c r="C511" i="36" a="1"/>
  <c r="C511" i="36"/>
  <c r="C512" i="36" a="1"/>
  <c r="C512" i="36"/>
  <c r="C513" i="36" a="1"/>
  <c r="C513" i="36"/>
  <c r="C514" i="36" a="1"/>
  <c r="C514" i="36"/>
  <c r="C515" i="36" a="1"/>
  <c r="C515" i="36" s="1"/>
  <c r="C516" i="36" a="1"/>
  <c r="C516" i="36"/>
  <c r="C517" i="36" a="1"/>
  <c r="C517" i="36"/>
  <c r="C518" i="36" a="1"/>
  <c r="C518" i="36" s="1"/>
  <c r="C519" i="36" a="1"/>
  <c r="C519" i="36"/>
  <c r="C520" i="36" a="1"/>
  <c r="C520" i="36" s="1"/>
  <c r="C521" i="36" a="1"/>
  <c r="C521" i="36"/>
  <c r="C522" i="36" a="1"/>
  <c r="C522" i="36"/>
  <c r="C523" i="36" a="1"/>
  <c r="C523" i="36"/>
  <c r="C524" i="36" a="1"/>
  <c r="C524" i="36"/>
  <c r="C525" i="36" a="1"/>
  <c r="C525" i="36"/>
  <c r="C526" i="36" a="1"/>
  <c r="C526" i="36"/>
  <c r="C527" i="36" a="1"/>
  <c r="C527" i="36"/>
  <c r="C528" i="36" a="1"/>
  <c r="C528" i="36"/>
  <c r="C529" i="36" a="1"/>
  <c r="C529" i="36"/>
  <c r="C530" i="36" a="1"/>
  <c r="C530" i="36" s="1"/>
  <c r="C531" i="36" a="1"/>
  <c r="C531" i="36"/>
  <c r="C532" i="36" a="1"/>
  <c r="C532" i="36"/>
  <c r="C533" i="36" a="1"/>
  <c r="C533" i="36"/>
  <c r="C534" i="36" a="1"/>
  <c r="C534" i="36"/>
  <c r="C535" i="36" a="1"/>
  <c r="C535" i="36"/>
  <c r="C536" i="36" a="1"/>
  <c r="C536" i="36"/>
  <c r="C537" i="36" a="1"/>
  <c r="C537" i="36"/>
  <c r="C538" i="36" a="1"/>
  <c r="C538" i="36"/>
  <c r="C539" i="36" a="1"/>
  <c r="C539" i="36"/>
  <c r="C540" i="36" a="1"/>
  <c r="C540" i="36" s="1"/>
  <c r="C541" i="36" a="1"/>
  <c r="C541" i="36"/>
  <c r="C542" i="36" a="1"/>
  <c r="C542" i="36" s="1"/>
  <c r="C543" i="36" a="1"/>
  <c r="C543" i="36"/>
  <c r="C544" i="36" a="1"/>
  <c r="C544" i="36"/>
  <c r="C545" i="36" a="1"/>
  <c r="C545" i="36" s="1"/>
  <c r="C546" i="36" a="1"/>
  <c r="C546" i="36"/>
  <c r="C547" i="36" a="1"/>
  <c r="C547" i="36"/>
  <c r="C548" i="36" a="1"/>
  <c r="C548" i="36"/>
  <c r="C549" i="36" a="1"/>
  <c r="C549" i="36"/>
  <c r="C550" i="36" a="1"/>
  <c r="C550" i="36"/>
  <c r="C551" i="36" a="1"/>
  <c r="C551" i="36"/>
  <c r="C552" i="36" a="1"/>
  <c r="C552" i="36"/>
  <c r="C553" i="36" a="1"/>
  <c r="C553" i="36"/>
  <c r="C554" i="36" a="1"/>
  <c r="C554" i="36" s="1"/>
  <c r="C555" i="36" a="1"/>
  <c r="C555" i="36"/>
  <c r="C556" i="36" a="1"/>
  <c r="C556" i="36"/>
  <c r="C557" i="36" a="1"/>
  <c r="C557" i="36"/>
  <c r="C558" i="36" a="1"/>
  <c r="C558" i="36"/>
  <c r="C559" i="36" a="1"/>
  <c r="C559" i="36"/>
  <c r="C560" i="36" a="1"/>
  <c r="C560" i="36"/>
  <c r="C561" i="36" a="1"/>
  <c r="C561" i="36"/>
  <c r="C562" i="36" a="1"/>
  <c r="C562" i="36"/>
  <c r="C563" i="36" a="1"/>
  <c r="C563" i="36"/>
  <c r="C564" i="36" a="1"/>
  <c r="C564" i="36"/>
  <c r="C565" i="36" a="1"/>
  <c r="C565" i="36" s="1"/>
  <c r="C566" i="36" a="1"/>
  <c r="C566" i="36" s="1"/>
  <c r="C567" i="36" a="1"/>
  <c r="C567" i="36"/>
  <c r="C568" i="36" a="1"/>
  <c r="C568" i="36"/>
  <c r="C569" i="36" a="1"/>
  <c r="C569" i="36"/>
  <c r="C570" i="36" a="1"/>
  <c r="C570" i="36" s="1"/>
  <c r="C571" i="36" a="1"/>
  <c r="C571" i="36"/>
  <c r="C572" i="36" a="1"/>
  <c r="C572" i="36"/>
  <c r="C573" i="36" a="1"/>
  <c r="C573" i="36"/>
  <c r="C574" i="36" a="1"/>
  <c r="C574" i="36"/>
  <c r="C575" i="36" a="1"/>
  <c r="C575" i="36"/>
  <c r="C576" i="36" a="1"/>
  <c r="C576" i="36"/>
  <c r="C577" i="36" a="1"/>
  <c r="C577" i="36"/>
  <c r="C578" i="36" a="1"/>
  <c r="C578" i="36" s="1"/>
  <c r="C579" i="36" a="1"/>
  <c r="C579" i="36"/>
  <c r="C580" i="36" a="1"/>
  <c r="C580" i="36"/>
  <c r="C581" i="36" a="1"/>
  <c r="C581" i="36"/>
  <c r="C582" i="36" a="1"/>
  <c r="C582" i="36"/>
  <c r="C583" i="36" a="1"/>
  <c r="C583" i="36"/>
  <c r="C584" i="36" a="1"/>
  <c r="C584" i="36"/>
  <c r="C585" i="36" a="1"/>
  <c r="C585" i="36"/>
  <c r="C586" i="36" a="1"/>
  <c r="C586" i="36"/>
  <c r="C587" i="36" a="1"/>
  <c r="C587" i="36"/>
  <c r="C588" i="36" a="1"/>
  <c r="C588" i="36"/>
  <c r="C589" i="36" a="1"/>
  <c r="C589" i="36"/>
  <c r="C590" i="36" a="1"/>
  <c r="C590" i="36" s="1"/>
  <c r="C591" i="36" a="1"/>
  <c r="C591" i="36"/>
  <c r="C592" i="36" a="1"/>
  <c r="C592" i="36"/>
  <c r="C593" i="36" a="1"/>
  <c r="C593" i="36"/>
  <c r="C594" i="36" a="1"/>
  <c r="C594" i="36"/>
  <c r="C595" i="36" a="1"/>
  <c r="C595" i="36" s="1"/>
  <c r="C596" i="36" a="1"/>
  <c r="C596" i="36"/>
  <c r="C597" i="36" a="1"/>
  <c r="C597" i="36"/>
  <c r="C598" i="36" a="1"/>
  <c r="C598" i="36"/>
  <c r="C599" i="36" a="1"/>
  <c r="C599" i="36"/>
  <c r="C600" i="36" a="1"/>
  <c r="C600" i="36"/>
  <c r="C601" i="36" a="1"/>
  <c r="C601" i="36"/>
  <c r="C602" i="36" a="1"/>
  <c r="C602" i="36" s="1"/>
  <c r="C603" i="36" a="1"/>
  <c r="C603" i="36" s="1"/>
  <c r="C604" i="36" a="1"/>
  <c r="C604" i="36"/>
  <c r="C605" i="36" a="1"/>
  <c r="C605" i="36"/>
  <c r="C606" i="36" a="1"/>
  <c r="C606" i="36"/>
  <c r="C607" i="36" a="1"/>
  <c r="C607" i="36"/>
  <c r="C608" i="36" a="1"/>
  <c r="C608" i="36"/>
  <c r="C609" i="36" a="1"/>
  <c r="C609" i="36"/>
  <c r="C610" i="36" a="1"/>
  <c r="C610" i="36"/>
  <c r="C611" i="36" a="1"/>
  <c r="C611" i="36"/>
  <c r="C612" i="36" a="1"/>
  <c r="C612" i="36"/>
  <c r="C613" i="36" a="1"/>
  <c r="C613" i="36"/>
  <c r="C614" i="36" a="1"/>
  <c r="C614" i="36" s="1"/>
  <c r="C615" i="36" a="1"/>
  <c r="C615" i="36"/>
  <c r="C616" i="36" a="1"/>
  <c r="C616" i="36"/>
  <c r="C617" i="36" a="1"/>
  <c r="C617" i="36"/>
  <c r="C618" i="36" a="1"/>
  <c r="C618" i="36"/>
  <c r="C619" i="36" a="1"/>
  <c r="C619" i="36"/>
  <c r="C620" i="36" a="1"/>
  <c r="C620" i="36" s="1"/>
  <c r="C621" i="36" a="1"/>
  <c r="C621" i="36"/>
  <c r="C622" i="36" a="1"/>
  <c r="C622" i="36"/>
  <c r="C623" i="36" a="1"/>
  <c r="C623" i="36"/>
  <c r="C624" i="36" a="1"/>
  <c r="C624" i="36"/>
  <c r="C625" i="36" a="1"/>
  <c r="C625" i="36"/>
  <c r="C626" i="36" a="1"/>
  <c r="C626" i="36" s="1"/>
  <c r="C627" i="36" a="1"/>
  <c r="C627" i="36"/>
  <c r="C628" i="36" a="1"/>
  <c r="C628" i="36" s="1"/>
  <c r="C629" i="36" a="1"/>
  <c r="C629" i="36"/>
  <c r="C630" i="36" a="1"/>
  <c r="C630" i="36"/>
  <c r="C631" i="36" a="1"/>
  <c r="C631" i="36"/>
  <c r="C632" i="36" a="1"/>
  <c r="C632" i="36"/>
  <c r="C633" i="36" a="1"/>
  <c r="C633" i="36"/>
  <c r="C634" i="36" a="1"/>
  <c r="C634" i="36"/>
  <c r="C635" i="36" a="1"/>
  <c r="C635" i="36"/>
  <c r="C636" i="36" a="1"/>
  <c r="C636" i="36"/>
  <c r="C637" i="36" a="1"/>
  <c r="C637" i="36"/>
  <c r="C638" i="36" a="1"/>
  <c r="C638" i="36" s="1"/>
  <c r="C639" i="36" a="1"/>
  <c r="C639" i="36"/>
  <c r="C640" i="36" a="1"/>
  <c r="C640" i="36"/>
  <c r="C641" i="36" a="1"/>
  <c r="C641" i="36"/>
  <c r="C642" i="36" a="1"/>
  <c r="C642" i="36"/>
  <c r="C643" i="36" a="1"/>
  <c r="C643" i="36"/>
  <c r="C644" i="36" a="1"/>
  <c r="C644" i="36"/>
  <c r="C645" i="36" a="1"/>
  <c r="C645" i="36" s="1"/>
  <c r="C646" i="36" a="1"/>
  <c r="C646" i="36"/>
  <c r="C647" i="36" a="1"/>
  <c r="C647" i="36"/>
  <c r="C648" i="36" a="1"/>
  <c r="C648" i="36"/>
  <c r="C649" i="36" a="1"/>
  <c r="C649" i="36"/>
  <c r="C650" i="36" a="1"/>
  <c r="C650" i="36" s="1"/>
  <c r="C651" i="36" a="1"/>
  <c r="C651" i="36"/>
  <c r="C652" i="36" a="1"/>
  <c r="C652" i="36"/>
  <c r="C653" i="36" a="1"/>
  <c r="C653" i="36" s="1"/>
  <c r="C654" i="36" a="1"/>
  <c r="C654" i="36"/>
  <c r="C655" i="36" a="1"/>
  <c r="C655" i="36"/>
  <c r="C656" i="36" a="1"/>
  <c r="C656" i="36"/>
  <c r="C657" i="36" a="1"/>
  <c r="C657" i="36"/>
  <c r="C658" i="36" a="1"/>
  <c r="C658" i="36"/>
  <c r="C659" i="36" a="1"/>
  <c r="C659" i="36"/>
  <c r="C660" i="36" a="1"/>
  <c r="C660" i="36"/>
  <c r="C661" i="36" a="1"/>
  <c r="C661" i="36"/>
  <c r="C662" i="36" a="1"/>
  <c r="C662" i="36" s="1"/>
  <c r="C663" i="36" a="1"/>
  <c r="C663" i="36"/>
  <c r="C664" i="36" a="1"/>
  <c r="C664" i="36"/>
  <c r="C665" i="36" a="1"/>
  <c r="C665" i="36"/>
  <c r="C666" i="36" a="1"/>
  <c r="C666" i="36"/>
  <c r="C667" i="36" a="1"/>
  <c r="C667" i="36"/>
  <c r="C668" i="36" a="1"/>
  <c r="C668" i="36"/>
  <c r="C669" i="36" a="1"/>
  <c r="C669" i="36"/>
  <c r="C670" i="36" a="1"/>
  <c r="C670" i="36" s="1"/>
  <c r="C671" i="36" a="1"/>
  <c r="C671" i="36"/>
  <c r="C672" i="36" a="1"/>
  <c r="C672" i="36"/>
  <c r="C673" i="36" a="1"/>
  <c r="C673" i="36"/>
  <c r="C674" i="36" a="1"/>
  <c r="C674" i="36" s="1"/>
  <c r="C675" i="36" a="1"/>
  <c r="C675" i="36"/>
  <c r="C676" i="36" a="1"/>
  <c r="C676" i="36"/>
  <c r="C677" i="36" a="1"/>
  <c r="C677" i="36"/>
  <c r="C678" i="36" a="1"/>
  <c r="C678" i="36" s="1"/>
  <c r="C679" i="36" a="1"/>
  <c r="C679" i="36"/>
  <c r="C680" i="36" a="1"/>
  <c r="C680" i="36"/>
  <c r="C681" i="36" a="1"/>
  <c r="C681" i="36"/>
  <c r="C682" i="36" a="1"/>
  <c r="C682" i="36"/>
  <c r="C683" i="36" a="1"/>
  <c r="C683" i="36"/>
  <c r="C684" i="36" a="1"/>
  <c r="C684" i="36"/>
  <c r="C685" i="36" a="1"/>
  <c r="C685" i="36"/>
  <c r="C686" i="36" a="1"/>
  <c r="C686" i="36" s="1"/>
  <c r="C687" i="36" a="1"/>
  <c r="C687" i="36"/>
  <c r="C688" i="36" a="1"/>
  <c r="C688" i="36"/>
  <c r="C689" i="36" a="1"/>
  <c r="C689" i="36"/>
  <c r="C690" i="36" a="1"/>
  <c r="C690" i="36"/>
  <c r="C691" i="36" a="1"/>
  <c r="C691" i="36"/>
  <c r="C692" i="36" a="1"/>
  <c r="C692" i="36"/>
  <c r="C693" i="36" a="1"/>
  <c r="C693" i="36"/>
  <c r="C694" i="36" a="1"/>
  <c r="C694" i="36"/>
  <c r="C695" i="36" a="1"/>
  <c r="C695" i="36" s="1"/>
  <c r="C696" i="36" a="1"/>
  <c r="C696" i="36"/>
  <c r="C697" i="36" a="1"/>
  <c r="C697" i="36"/>
  <c r="C698" i="36" a="1"/>
  <c r="C698" i="36" s="1"/>
  <c r="C699" i="36" a="1"/>
  <c r="C699" i="36"/>
  <c r="C700" i="36" a="1"/>
  <c r="C700" i="36"/>
  <c r="C701" i="36" a="1"/>
  <c r="C701" i="36"/>
  <c r="C702" i="36" a="1"/>
  <c r="C702" i="36"/>
  <c r="C703" i="36" a="1"/>
  <c r="C703" i="36" s="1"/>
  <c r="C704" i="36" a="1"/>
  <c r="C704" i="36"/>
  <c r="C705" i="36" a="1"/>
  <c r="C705" i="36"/>
  <c r="C706" i="36" a="1"/>
  <c r="C706" i="36"/>
  <c r="C707" i="36" a="1"/>
  <c r="C707" i="36"/>
  <c r="C708" i="36" a="1"/>
  <c r="C708" i="36"/>
  <c r="C709" i="36" a="1"/>
  <c r="C709" i="36"/>
  <c r="C710" i="36" a="1"/>
  <c r="C710" i="36" s="1"/>
  <c r="C711" i="36" a="1"/>
  <c r="C711" i="36"/>
  <c r="C712" i="36" a="1"/>
  <c r="C712" i="36"/>
  <c r="C713" i="36" a="1"/>
  <c r="C713" i="36"/>
  <c r="C714" i="36" a="1"/>
  <c r="C714" i="36"/>
  <c r="C715" i="36" a="1"/>
  <c r="C715" i="36"/>
  <c r="C716" i="36" a="1"/>
  <c r="C716" i="36"/>
  <c r="C717" i="36" a="1"/>
  <c r="C717" i="36"/>
  <c r="C718" i="36" a="1"/>
  <c r="C718" i="36"/>
  <c r="C719" i="36" a="1"/>
  <c r="C719" i="36"/>
  <c r="C720" i="36" a="1"/>
  <c r="C720" i="36" s="1"/>
  <c r="C721" i="36" a="1"/>
  <c r="C721" i="36"/>
  <c r="C722" i="36" a="1"/>
  <c r="C722" i="36" s="1"/>
  <c r="C723" i="36" a="1"/>
  <c r="C723" i="36"/>
  <c r="C724" i="36" a="1"/>
  <c r="C724" i="36"/>
  <c r="C725" i="36" a="1"/>
  <c r="C725" i="36"/>
  <c r="C726" i="36" a="1"/>
  <c r="C726" i="36"/>
  <c r="C727" i="36" a="1"/>
  <c r="C727" i="36"/>
  <c r="C728" i="36" a="1"/>
  <c r="C728" i="36" s="1"/>
  <c r="C729" i="36" a="1"/>
  <c r="C729" i="36"/>
  <c r="C730" i="36" a="1"/>
  <c r="C730" i="36"/>
  <c r="C731" i="36" a="1"/>
  <c r="C731" i="36"/>
  <c r="C732" i="36" a="1"/>
  <c r="C732" i="36"/>
  <c r="C733" i="36" a="1"/>
  <c r="C733" i="36"/>
  <c r="C734" i="36" a="1"/>
  <c r="C734" i="36" s="1"/>
  <c r="C735" i="36" a="1"/>
  <c r="C735" i="36"/>
  <c r="C736" i="36" a="1"/>
  <c r="C736" i="36"/>
  <c r="C737" i="36" a="1"/>
  <c r="C737" i="36"/>
  <c r="C738" i="36" a="1"/>
  <c r="C738" i="36"/>
  <c r="C739" i="36" a="1"/>
  <c r="C739" i="36"/>
  <c r="C740" i="36" a="1"/>
  <c r="C740" i="36"/>
  <c r="C741" i="36" a="1"/>
  <c r="C741" i="36"/>
  <c r="C742" i="36" a="1"/>
  <c r="C742" i="36"/>
  <c r="C743" i="36" a="1"/>
  <c r="C743" i="36"/>
  <c r="C744" i="36" a="1"/>
  <c r="C744" i="36"/>
  <c r="C745" i="36" a="1"/>
  <c r="C745" i="36" s="1"/>
  <c r="C746" i="36" a="1"/>
  <c r="C746" i="36" s="1"/>
  <c r="C747" i="36" a="1"/>
  <c r="C747" i="36"/>
  <c r="C748" i="36" a="1"/>
  <c r="C748" i="36"/>
  <c r="C749" i="36" a="1"/>
  <c r="C749" i="36"/>
  <c r="C750" i="36" a="1"/>
  <c r="C750" i="36"/>
  <c r="C751" i="36" a="1"/>
  <c r="C751" i="36"/>
  <c r="C752" i="36" a="1"/>
  <c r="C752" i="36"/>
  <c r="C753" i="36" a="1"/>
  <c r="C753" i="36" s="1"/>
  <c r="C754" i="36" a="1"/>
  <c r="C754" i="36"/>
  <c r="C755" i="36" a="1"/>
  <c r="C755" i="36"/>
  <c r="C756" i="36" a="1"/>
  <c r="C756" i="36"/>
  <c r="C757" i="36" a="1"/>
  <c r="C757" i="36"/>
  <c r="C758" i="36" a="1"/>
  <c r="C758" i="36" s="1"/>
  <c r="C759" i="36" a="1"/>
  <c r="C759" i="36"/>
  <c r="C760" i="36" a="1"/>
  <c r="C760" i="36"/>
  <c r="C761" i="36" a="1"/>
  <c r="C761" i="36"/>
  <c r="C762" i="36" a="1"/>
  <c r="C762" i="36"/>
  <c r="C763" i="36" a="1"/>
  <c r="C763" i="36"/>
  <c r="C764" i="36" a="1"/>
  <c r="C764" i="36"/>
  <c r="C765" i="36" a="1"/>
  <c r="C765" i="36"/>
  <c r="C766" i="36" a="1"/>
  <c r="C766" i="36"/>
  <c r="C767" i="36" a="1"/>
  <c r="C767" i="36"/>
  <c r="C768" i="36" a="1"/>
  <c r="C768" i="36"/>
  <c r="C769" i="36" a="1"/>
  <c r="C769" i="36"/>
  <c r="C770" i="36" a="1"/>
  <c r="C770" i="36" s="1"/>
  <c r="C771" i="36" a="1"/>
  <c r="C771" i="36"/>
  <c r="C772" i="36" a="1"/>
  <c r="C772" i="36"/>
  <c r="C773" i="36" a="1"/>
  <c r="C773" i="36"/>
  <c r="C774" i="36" a="1"/>
  <c r="C774" i="36"/>
  <c r="C775" i="36" a="1"/>
  <c r="C775" i="36"/>
  <c r="C776" i="36" a="1"/>
  <c r="C776" i="36"/>
  <c r="C777" i="36" a="1"/>
  <c r="C777" i="36"/>
  <c r="C778" i="36" a="1"/>
  <c r="C778" i="36" s="1"/>
  <c r="C779" i="36" a="1"/>
  <c r="C779" i="36"/>
  <c r="C780" i="36" a="1"/>
  <c r="C780" i="36"/>
  <c r="C781" i="36" a="1"/>
  <c r="C781" i="36"/>
  <c r="C782" i="36" a="1"/>
  <c r="C782" i="36" s="1"/>
  <c r="C783" i="36" a="1"/>
  <c r="C783" i="36" s="1"/>
  <c r="C784" i="36" a="1"/>
  <c r="C784" i="36"/>
  <c r="C785" i="36" a="1"/>
  <c r="C785" i="36"/>
  <c r="C786" i="36" a="1"/>
  <c r="C786" i="36"/>
  <c r="C787" i="36" a="1"/>
  <c r="C787" i="36"/>
  <c r="C788" i="36" a="1"/>
  <c r="C788" i="36"/>
  <c r="C789" i="36" a="1"/>
  <c r="C789" i="36"/>
  <c r="C790" i="36" a="1"/>
  <c r="C790" i="36"/>
  <c r="C791" i="36" a="1"/>
  <c r="C791" i="36"/>
  <c r="C792" i="36" a="1"/>
  <c r="C792" i="36"/>
  <c r="C793" i="36" a="1"/>
  <c r="C793" i="36"/>
  <c r="C794" i="36" a="1"/>
  <c r="C794" i="36" s="1"/>
  <c r="C795" i="36" a="1"/>
  <c r="C795" i="36"/>
  <c r="C796" i="36" a="1"/>
  <c r="C796" i="36"/>
  <c r="C797" i="36" a="1"/>
  <c r="C797" i="36"/>
  <c r="C798" i="36" a="1"/>
  <c r="C798" i="36"/>
  <c r="C799" i="36" a="1"/>
  <c r="C799" i="36"/>
  <c r="C800" i="36" a="1"/>
  <c r="C800" i="36"/>
  <c r="C801" i="36" a="1"/>
  <c r="C801" i="36"/>
  <c r="C802" i="36" a="1"/>
  <c r="C802" i="36"/>
  <c r="C803" i="36" a="1"/>
  <c r="C803" i="36" s="1"/>
  <c r="C804" i="36" a="1"/>
  <c r="C804" i="36"/>
  <c r="C805" i="36" a="1"/>
  <c r="C805" i="36"/>
  <c r="C806" i="36" a="1"/>
  <c r="C806" i="36" s="1"/>
  <c r="C807" i="36" a="1"/>
  <c r="C807" i="36"/>
  <c r="C808" i="36" a="1"/>
  <c r="C808" i="36" s="1"/>
  <c r="C809" i="36" a="1"/>
  <c r="C809" i="36"/>
  <c r="C810" i="36" a="1"/>
  <c r="C810" i="36"/>
  <c r="C811" i="36" a="1"/>
  <c r="C811" i="36"/>
  <c r="C812" i="36" a="1"/>
  <c r="C812" i="36"/>
  <c r="C813" i="36" a="1"/>
  <c r="C813" i="36"/>
  <c r="C814" i="36" a="1"/>
  <c r="C814" i="36"/>
  <c r="C815" i="36" a="1"/>
  <c r="C815" i="36"/>
  <c r="C816" i="36" a="1"/>
  <c r="C816" i="36"/>
  <c r="C817" i="36" a="1"/>
  <c r="C817" i="36"/>
  <c r="C818" i="36" a="1"/>
  <c r="C818" i="36" s="1"/>
  <c r="C819" i="36" a="1"/>
  <c r="C819" i="36"/>
  <c r="C820" i="36" a="1"/>
  <c r="C820" i="36"/>
  <c r="C821" i="36" a="1"/>
  <c r="C821" i="36"/>
  <c r="C822" i="36" a="1"/>
  <c r="C822" i="36"/>
  <c r="C823" i="36" a="1"/>
  <c r="C823" i="36"/>
  <c r="C824" i="36" a="1"/>
  <c r="C824" i="36"/>
  <c r="C825" i="36" a="1"/>
  <c r="C825" i="36"/>
  <c r="C826" i="36" a="1"/>
  <c r="C826" i="36"/>
  <c r="C827" i="36" a="1"/>
  <c r="C827" i="36"/>
  <c r="C828" i="36" a="1"/>
  <c r="C828" i="36" s="1"/>
  <c r="C829" i="36" a="1"/>
  <c r="C829" i="36"/>
  <c r="C830" i="36" a="1"/>
  <c r="C830" i="36" s="1"/>
  <c r="C831" i="36" a="1"/>
  <c r="C831" i="36"/>
  <c r="C832" i="36" a="1"/>
  <c r="C832" i="36"/>
  <c r="C833" i="36" a="1"/>
  <c r="C833" i="36" s="1"/>
  <c r="C834" i="36" a="1"/>
  <c r="C834" i="36"/>
  <c r="C835" i="36" a="1"/>
  <c r="C835" i="36"/>
  <c r="C836" i="36" a="1"/>
  <c r="C836" i="36"/>
  <c r="C837" i="36" a="1"/>
  <c r="C837" i="36"/>
  <c r="C838" i="36" a="1"/>
  <c r="C838" i="36"/>
  <c r="C839" i="36" a="1"/>
  <c r="C839" i="36"/>
  <c r="C840" i="36" a="1"/>
  <c r="C840" i="36"/>
  <c r="C841" i="36" a="1"/>
  <c r="C841" i="36"/>
  <c r="C842" i="36" a="1"/>
  <c r="C842" i="36" s="1"/>
  <c r="C843" i="36" a="1"/>
  <c r="C843" i="36"/>
  <c r="C844" i="36" a="1"/>
  <c r="C844" i="36"/>
  <c r="C845" i="36" a="1"/>
  <c r="C845" i="36"/>
  <c r="C846" i="36" a="1"/>
  <c r="C846" i="36"/>
  <c r="C847" i="36" a="1"/>
  <c r="C847" i="36"/>
  <c r="C848" i="36" a="1"/>
  <c r="C848" i="36"/>
  <c r="C849" i="36" a="1"/>
  <c r="C849" i="36"/>
  <c r="C850" i="36" a="1"/>
  <c r="C850" i="36"/>
  <c r="C851" i="36" a="1"/>
  <c r="C851" i="36"/>
  <c r="C852" i="36" a="1"/>
  <c r="C852" i="36"/>
  <c r="C853" i="36" a="1"/>
  <c r="C853" i="36" s="1"/>
  <c r="C854" i="36" a="1"/>
  <c r="C854" i="36" s="1"/>
  <c r="C855" i="36" a="1"/>
  <c r="C855" i="36"/>
  <c r="C856" i="36" a="1"/>
  <c r="C856" i="36"/>
  <c r="C857" i="36" a="1"/>
  <c r="C857" i="36"/>
  <c r="C858" i="36" a="1"/>
  <c r="C858" i="36" s="1"/>
  <c r="C859" i="36" a="1"/>
  <c r="C859" i="36"/>
  <c r="C860" i="36" a="1"/>
  <c r="C860" i="36"/>
  <c r="C861" i="36" a="1"/>
  <c r="C861" i="36"/>
  <c r="C862" i="36" a="1"/>
  <c r="C862" i="36"/>
  <c r="C863" i="36" a="1"/>
  <c r="C863" i="36"/>
  <c r="C864" i="36" a="1"/>
  <c r="C864" i="36"/>
  <c r="C865" i="36" a="1"/>
  <c r="C865" i="36"/>
  <c r="C866" i="36" a="1"/>
  <c r="C866" i="36" s="1"/>
  <c r="C867" i="36" a="1"/>
  <c r="C867" i="36"/>
  <c r="C868" i="36" a="1"/>
  <c r="C868" i="36"/>
  <c r="C869" i="36" a="1"/>
  <c r="C869" i="36"/>
  <c r="C870" i="36" a="1"/>
  <c r="C870" i="36"/>
  <c r="C871" i="36" a="1"/>
  <c r="C871" i="36"/>
  <c r="C872" i="36" a="1"/>
  <c r="C872" i="36"/>
  <c r="C873" i="36" a="1"/>
  <c r="C873" i="36"/>
  <c r="C874" i="36" a="1"/>
  <c r="C874" i="36"/>
  <c r="C875" i="36" a="1"/>
  <c r="C875" i="36"/>
  <c r="C876" i="36" a="1"/>
  <c r="C876" i="36"/>
  <c r="C877" i="36" a="1"/>
  <c r="C877" i="36"/>
  <c r="C878" i="36" a="1"/>
  <c r="C878" i="36" s="1"/>
  <c r="C879" i="36" a="1"/>
  <c r="C879" i="36"/>
  <c r="C880" i="36" a="1"/>
  <c r="C880" i="36"/>
  <c r="C881" i="36" a="1"/>
  <c r="C881" i="36"/>
  <c r="C882" i="36" a="1"/>
  <c r="C882" i="36"/>
  <c r="C883" i="36" a="1"/>
  <c r="C883" i="36" s="1"/>
  <c r="C884" i="36" a="1"/>
  <c r="C884" i="36"/>
  <c r="C885" i="36" a="1"/>
  <c r="C885" i="36"/>
  <c r="C886" i="36" a="1"/>
  <c r="C886" i="36"/>
  <c r="C887" i="36" a="1"/>
  <c r="C887" i="36"/>
  <c r="C888" i="36" a="1"/>
  <c r="C888" i="36"/>
  <c r="C889" i="36" a="1"/>
  <c r="C889" i="36"/>
  <c r="C890" i="36" a="1"/>
  <c r="C890" i="36" s="1"/>
  <c r="C891" i="36" a="1"/>
  <c r="C891" i="36" s="1"/>
  <c r="C892" i="36" a="1"/>
  <c r="C892" i="36"/>
  <c r="C893" i="36" a="1"/>
  <c r="C893" i="36"/>
  <c r="C894" i="36" a="1"/>
  <c r="C894" i="36"/>
  <c r="C895" i="36" a="1"/>
  <c r="C895" i="36"/>
  <c r="C896" i="36" a="1"/>
  <c r="C896" i="36"/>
  <c r="C897" i="36" a="1"/>
  <c r="C897" i="36"/>
  <c r="C898" i="36" a="1"/>
  <c r="C898" i="36"/>
  <c r="C899" i="36" a="1"/>
  <c r="C899" i="36"/>
  <c r="C900" i="36" a="1"/>
  <c r="C900" i="36"/>
  <c r="C901" i="36" a="1"/>
  <c r="C901" i="36"/>
  <c r="C902" i="36" a="1"/>
  <c r="C902" i="36" s="1"/>
  <c r="C903" i="36" a="1"/>
  <c r="C903" i="36"/>
  <c r="C904" i="36" a="1"/>
  <c r="C904" i="36"/>
  <c r="C905" i="36" a="1"/>
  <c r="C905" i="36"/>
  <c r="C906" i="36" a="1"/>
  <c r="C906" i="36"/>
  <c r="C907" i="36" a="1"/>
  <c r="C907" i="36"/>
  <c r="C908" i="36" a="1"/>
  <c r="C908" i="36" s="1"/>
  <c r="C909" i="36" a="1"/>
  <c r="C909" i="36"/>
  <c r="C910" i="36" a="1"/>
  <c r="C910" i="36"/>
  <c r="C911" i="36" a="1"/>
  <c r="C911" i="36"/>
  <c r="C912" i="36" a="1"/>
  <c r="C912" i="36"/>
  <c r="C913" i="36" a="1"/>
  <c r="C913" i="36"/>
  <c r="C914" i="36" a="1"/>
  <c r="C914" i="36" s="1"/>
  <c r="C915" i="36" a="1"/>
  <c r="C915" i="36"/>
  <c r="C916" i="36" a="1"/>
  <c r="C916" i="36" s="1"/>
  <c r="C917" i="36" a="1"/>
  <c r="C917" i="36"/>
  <c r="C918" i="36" a="1"/>
  <c r="C918" i="36"/>
  <c r="C919" i="36" a="1"/>
  <c r="C919" i="36"/>
  <c r="C920" i="36" a="1"/>
  <c r="C920" i="36"/>
  <c r="C921" i="36" a="1"/>
  <c r="C921" i="36"/>
  <c r="C922" i="36" a="1"/>
  <c r="C922" i="36"/>
  <c r="C923" i="36" a="1"/>
  <c r="C923" i="36"/>
  <c r="C924" i="36" a="1"/>
  <c r="C924" i="36"/>
  <c r="C925" i="36" a="1"/>
  <c r="C925" i="36"/>
  <c r="C926" i="36" a="1"/>
  <c r="C926" i="36" s="1"/>
  <c r="C927" i="36" a="1"/>
  <c r="C927" i="36"/>
  <c r="C928" i="36" a="1"/>
  <c r="C928" i="36"/>
  <c r="C929" i="36" a="1"/>
  <c r="C929" i="36"/>
  <c r="C930" i="36" a="1"/>
  <c r="C930" i="36"/>
  <c r="C931" i="36" a="1"/>
  <c r="C931" i="36"/>
  <c r="C932" i="36" a="1"/>
  <c r="C932" i="36"/>
  <c r="C933" i="36" a="1"/>
  <c r="C933" i="36" s="1"/>
  <c r="C934" i="36" a="1"/>
  <c r="C934" i="36"/>
  <c r="C935" i="36" a="1"/>
  <c r="C935" i="36"/>
  <c r="C936" i="36" a="1"/>
  <c r="C936" i="36"/>
  <c r="C937" i="36" a="1"/>
  <c r="C937" i="36"/>
  <c r="C938" i="36" a="1"/>
  <c r="C938" i="36" s="1"/>
  <c r="C939" i="36" a="1"/>
  <c r="C939" i="36"/>
  <c r="C940" i="36" a="1"/>
  <c r="C940" i="36"/>
  <c r="C941" i="36" a="1"/>
  <c r="C941" i="36" s="1"/>
  <c r="C942" i="36" a="1"/>
  <c r="C942" i="36"/>
  <c r="C943" i="36" a="1"/>
  <c r="C943" i="36"/>
  <c r="C944" i="36" a="1"/>
  <c r="C944" i="36"/>
  <c r="C945" i="36" a="1"/>
  <c r="C945" i="36"/>
  <c r="C946" i="36" a="1"/>
  <c r="C946" i="36"/>
  <c r="C947" i="36" a="1"/>
  <c r="C947" i="36"/>
  <c r="C948" i="36" a="1"/>
  <c r="C948" i="36"/>
  <c r="C949" i="36" a="1"/>
  <c r="C949" i="36"/>
  <c r="C950" i="36" a="1"/>
  <c r="C950" i="36" s="1"/>
  <c r="C951" i="36" a="1"/>
  <c r="C951" i="36"/>
  <c r="C952" i="36" a="1"/>
  <c r="C952" i="36"/>
  <c r="C953" i="36" a="1"/>
  <c r="C953" i="36"/>
  <c r="C954" i="36" a="1"/>
  <c r="C954" i="36"/>
  <c r="C955" i="36" a="1"/>
  <c r="C955" i="36"/>
  <c r="C956" i="36" a="1"/>
  <c r="C956" i="36"/>
  <c r="C957" i="36" a="1"/>
  <c r="C957" i="36"/>
  <c r="C958" i="36" a="1"/>
  <c r="C958" i="36" s="1"/>
  <c r="C959" i="36" a="1"/>
  <c r="C959" i="36"/>
  <c r="C960" i="36" a="1"/>
  <c r="C960" i="36"/>
  <c r="C961" i="36" a="1"/>
  <c r="C961" i="36"/>
  <c r="C962" i="36" a="1"/>
  <c r="C962" i="36" s="1"/>
  <c r="C963" i="36" a="1"/>
  <c r="C963" i="36"/>
  <c r="C964" i="36" a="1"/>
  <c r="C964" i="36"/>
  <c r="C965" i="36" a="1"/>
  <c r="C965" i="36"/>
  <c r="C966" i="36" a="1"/>
  <c r="C966" i="36" s="1"/>
  <c r="C967" i="36" a="1"/>
  <c r="C967" i="36"/>
  <c r="C968" i="36" a="1"/>
  <c r="C968" i="36"/>
  <c r="C969" i="36" a="1"/>
  <c r="C969" i="36"/>
  <c r="C970" i="36" a="1"/>
  <c r="C970" i="36"/>
  <c r="C971" i="36" a="1"/>
  <c r="C971" i="36"/>
  <c r="C972" i="36" a="1"/>
  <c r="C972" i="36"/>
  <c r="C973" i="36" a="1"/>
  <c r="C973" i="36"/>
  <c r="C974" i="36" a="1"/>
  <c r="C974" i="36" s="1"/>
  <c r="C975" i="36" a="1"/>
  <c r="C975" i="36"/>
  <c r="C976" i="36" a="1"/>
  <c r="C976" i="36"/>
  <c r="C977" i="36" a="1"/>
  <c r="C977" i="36"/>
  <c r="C978" i="36" a="1"/>
  <c r="C978" i="36"/>
  <c r="C979" i="36" a="1"/>
  <c r="C979" i="36"/>
  <c r="C980" i="36" a="1"/>
  <c r="C980" i="36"/>
  <c r="C981" i="36" a="1"/>
  <c r="C981" i="36"/>
  <c r="C982" i="36" a="1"/>
  <c r="C982" i="36"/>
  <c r="C983" i="36" a="1"/>
  <c r="C983" i="36" s="1"/>
  <c r="C984" i="36" a="1"/>
  <c r="C984" i="36"/>
  <c r="C985" i="36" a="1"/>
  <c r="C985" i="36"/>
  <c r="C986" i="36" a="1"/>
  <c r="C986" i="36" s="1"/>
  <c r="C987" i="36" a="1"/>
  <c r="C987" i="36"/>
  <c r="C988" i="36" a="1"/>
  <c r="C988" i="36"/>
  <c r="C989" i="36" a="1"/>
  <c r="C989" i="36"/>
  <c r="C990" i="36" a="1"/>
  <c r="C990" i="36"/>
  <c r="C991" i="36" a="1"/>
  <c r="C991" i="36" s="1"/>
  <c r="C992" i="36" a="1"/>
  <c r="C992" i="36"/>
  <c r="C993" i="36" a="1"/>
  <c r="C993" i="36"/>
  <c r="C994" i="36" a="1"/>
  <c r="C994" i="36"/>
  <c r="C995" i="36" a="1"/>
  <c r="C995" i="36"/>
  <c r="C996" i="36" a="1"/>
  <c r="C996" i="36"/>
  <c r="C997" i="36" a="1"/>
  <c r="C997" i="36"/>
  <c r="C998" i="36" a="1"/>
  <c r="C998" i="36" s="1"/>
  <c r="C999" i="36" a="1"/>
  <c r="C999" i="36"/>
  <c r="C1000" i="36" a="1"/>
  <c r="C1000" i="36"/>
  <c r="C1001" i="36" a="1"/>
  <c r="C1001" i="36"/>
  <c r="C1002" i="36" a="1"/>
  <c r="C1002" i="36"/>
  <c r="C1003" i="36" a="1"/>
  <c r="C1003" i="36"/>
  <c r="C1004" i="36" a="1"/>
  <c r="C1004" i="36"/>
  <c r="C1005" i="36" a="1"/>
  <c r="C1005" i="36"/>
  <c r="C1006" i="36" a="1"/>
  <c r="C1006" i="36"/>
  <c r="C1007" i="36" a="1"/>
  <c r="C1007" i="36"/>
  <c r="C1008" i="36" a="1"/>
  <c r="C1008" i="36" s="1"/>
  <c r="C1009" i="36" a="1"/>
  <c r="C1009" i="36"/>
  <c r="C1010" i="36" a="1"/>
  <c r="C1010" i="36" s="1"/>
  <c r="C1011" i="36" a="1"/>
  <c r="C1011" i="36"/>
  <c r="C1012" i="36" a="1"/>
  <c r="C1012" i="36"/>
  <c r="C1013" i="36" a="1"/>
  <c r="C1013" i="36"/>
  <c r="C1014" i="36" a="1"/>
  <c r="C1014" i="36"/>
  <c r="C1015" i="36" a="1"/>
  <c r="C1015" i="36"/>
  <c r="C1016" i="36" a="1"/>
  <c r="C1016" i="36" s="1"/>
  <c r="C1017" i="36" a="1"/>
  <c r="C1017" i="36"/>
  <c r="C1018" i="36" a="1"/>
  <c r="C1018" i="36"/>
  <c r="C1019" i="36" a="1"/>
  <c r="C1019" i="36"/>
  <c r="C1020" i="36" a="1"/>
  <c r="C1020" i="36"/>
  <c r="C1021" i="36" a="1"/>
  <c r="C1021" i="36"/>
  <c r="C1022" i="36" a="1"/>
  <c r="C1022" i="36"/>
  <c r="C1023" i="36" a="1"/>
  <c r="C1023" i="36"/>
  <c r="C1024" i="36" a="1"/>
  <c r="C1024" i="36"/>
  <c r="C1025" i="36" a="1"/>
  <c r="C1025" i="36"/>
  <c r="C1026" i="36" a="1"/>
  <c r="C1026" i="36"/>
  <c r="C1027" i="36" a="1"/>
  <c r="C1027" i="36"/>
  <c r="C1028" i="36" a="1"/>
  <c r="C1028" i="36" s="1"/>
  <c r="C1029" i="36" a="1"/>
  <c r="C1029" i="36"/>
  <c r="C1030" i="36" a="1"/>
  <c r="C1030" i="36"/>
  <c r="C1031" i="36" a="1"/>
  <c r="C1031" i="36"/>
  <c r="C1032" i="36" a="1"/>
  <c r="C1032" i="36"/>
  <c r="C1033" i="36" a="1"/>
  <c r="C1033" i="36"/>
  <c r="C1034" i="36" a="1"/>
  <c r="C1034" i="36"/>
  <c r="C1035" i="36" a="1"/>
  <c r="C1035" i="36"/>
  <c r="C1036" i="36" a="1"/>
  <c r="C1036" i="36"/>
  <c r="C1037" i="36" a="1"/>
  <c r="C1037" i="36"/>
  <c r="C1038" i="36" a="1"/>
  <c r="C1038" i="36"/>
  <c r="C1039" i="36" a="1"/>
  <c r="C1039" i="36"/>
  <c r="C1040" i="36" a="1"/>
  <c r="C1040" i="36" s="1"/>
  <c r="C1041" i="36" a="1"/>
  <c r="C1041" i="36"/>
  <c r="C1042" i="36" a="1"/>
  <c r="C1042" i="36"/>
  <c r="C1043" i="36" a="1"/>
  <c r="C1043" i="36"/>
  <c r="C1044" i="36" a="1"/>
  <c r="C1044" i="36"/>
  <c r="C1045" i="36" a="1"/>
  <c r="C1045" i="36"/>
  <c r="C1046" i="36" a="1"/>
  <c r="C1046" i="36"/>
  <c r="C1047" i="36" a="1"/>
  <c r="C1047" i="36"/>
  <c r="C1048" i="36" a="1"/>
  <c r="C1048" i="36"/>
  <c r="C1049" i="36" a="1"/>
  <c r="C1049" i="36"/>
  <c r="C1050" i="36" a="1"/>
  <c r="C1050" i="36"/>
  <c r="C1051" i="36" a="1"/>
  <c r="C1051" i="36"/>
  <c r="C1052" i="36" a="1"/>
  <c r="C1052" i="36" s="1"/>
  <c r="C1053" i="36" a="1"/>
  <c r="C1053" i="36"/>
  <c r="C1054" i="36" a="1"/>
  <c r="C1054" i="36"/>
  <c r="C1055" i="36" a="1"/>
  <c r="C1055" i="36"/>
  <c r="C1056" i="36" a="1"/>
  <c r="C1056" i="36"/>
  <c r="C1057" i="36" a="1"/>
  <c r="C1057" i="36"/>
  <c r="C1058" i="36" a="1"/>
  <c r="C1058" i="36"/>
  <c r="C1059" i="36" a="1"/>
  <c r="C1059" i="36"/>
  <c r="C1060" i="36" a="1"/>
  <c r="C1060" i="36"/>
  <c r="C1061" i="36" a="1"/>
  <c r="C1061" i="36"/>
  <c r="C1062" i="36" a="1"/>
  <c r="C1062" i="36"/>
  <c r="C1063" i="36" a="1"/>
  <c r="C1063" i="36"/>
  <c r="C1064" i="36" a="1"/>
  <c r="C1064" i="36" s="1"/>
  <c r="C1065" i="36" a="1"/>
  <c r="C1065" i="36"/>
  <c r="C1066" i="36" a="1"/>
  <c r="C1066" i="36"/>
  <c r="C1067" i="36" a="1"/>
  <c r="C1067" i="36"/>
  <c r="C1068" i="36" a="1"/>
  <c r="C1068" i="36"/>
  <c r="C1069" i="36" a="1"/>
  <c r="C1069" i="36"/>
  <c r="C1070" i="36" a="1"/>
  <c r="C1070" i="36"/>
  <c r="C1071" i="36" a="1"/>
  <c r="C1071" i="36"/>
  <c r="C1072" i="36" a="1"/>
  <c r="C1072" i="36"/>
  <c r="C1073" i="36" a="1"/>
  <c r="C1073" i="36"/>
  <c r="C1074" i="36" a="1"/>
  <c r="C1074" i="36"/>
  <c r="C1075" i="36" a="1"/>
  <c r="C1075" i="36"/>
  <c r="C1076" i="36" a="1"/>
  <c r="C1076" i="36" s="1"/>
  <c r="C1077" i="36" a="1"/>
  <c r="C1077" i="36"/>
  <c r="C1078" i="36" a="1"/>
  <c r="C1078" i="36"/>
  <c r="C1079" i="36" a="1"/>
  <c r="C1079" i="36"/>
  <c r="C1080" i="36" a="1"/>
  <c r="C1080" i="36"/>
  <c r="C1081" i="36" a="1"/>
  <c r="C1081" i="36"/>
  <c r="C1082" i="36" a="1"/>
  <c r="C1082" i="36"/>
  <c r="C1083" i="36" a="1"/>
  <c r="C1083" i="36"/>
  <c r="C1084" i="36" a="1"/>
  <c r="C1084" i="36"/>
  <c r="C1085" i="36" a="1"/>
  <c r="C1085" i="36"/>
  <c r="C1086" i="36" a="1"/>
  <c r="C1086" i="36"/>
  <c r="C1087" i="36" a="1"/>
  <c r="C1087" i="36"/>
  <c r="C1088" i="36" a="1"/>
  <c r="C1088" i="36" s="1"/>
  <c r="C1089" i="36" a="1"/>
  <c r="C1089" i="36"/>
  <c r="C1090" i="36" a="1"/>
  <c r="C1090" i="36"/>
  <c r="C1091" i="36" a="1"/>
  <c r="C1091" i="36"/>
  <c r="C1092" i="36" a="1"/>
  <c r="C1092" i="36"/>
  <c r="C1093" i="36" a="1"/>
  <c r="C1093" i="36"/>
  <c r="C1094" i="36" a="1"/>
  <c r="C1094" i="36"/>
  <c r="C1095" i="36" a="1"/>
  <c r="C1095" i="36"/>
  <c r="C1096" i="36" a="1"/>
  <c r="C1096" i="36"/>
  <c r="C1097" i="36" a="1"/>
  <c r="C1097" i="36"/>
  <c r="C1098" i="36" a="1"/>
  <c r="C1098" i="36"/>
  <c r="C1099" i="36" a="1"/>
  <c r="C1099" i="36"/>
  <c r="C1100" i="36" a="1"/>
  <c r="C1100" i="36" s="1"/>
  <c r="C1101" i="36" a="1"/>
  <c r="C1101" i="36"/>
  <c r="C1102" i="36" a="1"/>
  <c r="C1102" i="36"/>
  <c r="C1103" i="36" a="1"/>
  <c r="C1103" i="36"/>
  <c r="C1104" i="36" a="1"/>
  <c r="C1104" i="36"/>
  <c r="C1105" i="36" a="1"/>
  <c r="C1105" i="36"/>
  <c r="C1106" i="36" a="1"/>
  <c r="C1106" i="36"/>
  <c r="C1107" i="36" a="1"/>
  <c r="C1107" i="36"/>
  <c r="C1108" i="36" a="1"/>
  <c r="C1108" i="36"/>
  <c r="C1109" i="36" a="1"/>
  <c r="C1109" i="36"/>
  <c r="C1110" i="36" a="1"/>
  <c r="C1110" i="36"/>
  <c r="C1111" i="36" a="1"/>
  <c r="C1111" i="36"/>
  <c r="C1112" i="36" a="1"/>
  <c r="C1112" i="36" s="1"/>
  <c r="C1113" i="36" a="1"/>
  <c r="C1113" i="36"/>
  <c r="C1114" i="36" a="1"/>
  <c r="C1114" i="36"/>
  <c r="C1115" i="36" a="1"/>
  <c r="C1115" i="36"/>
  <c r="C1116" i="36" a="1"/>
  <c r="C1116" i="36"/>
  <c r="C1117" i="36" a="1"/>
  <c r="C1117" i="36"/>
  <c r="C1118" i="36" a="1"/>
  <c r="C1118" i="36"/>
  <c r="C1119" i="36" a="1"/>
  <c r="C1119" i="36"/>
  <c r="C1120" i="36" a="1"/>
  <c r="C1120" i="36"/>
  <c r="C1121" i="36" a="1"/>
  <c r="C1121" i="36"/>
  <c r="C1122" i="36" a="1"/>
  <c r="C1122" i="36"/>
  <c r="C1123" i="36" a="1"/>
  <c r="C1123" i="36"/>
  <c r="C1124" i="36" a="1"/>
  <c r="C1124" i="36" s="1"/>
  <c r="C1125" i="36" a="1"/>
  <c r="C1125" i="36"/>
  <c r="C1126" i="36" a="1"/>
  <c r="C1126" i="36"/>
  <c r="C1127" i="36" a="1"/>
  <c r="C1127" i="36"/>
  <c r="C1128" i="36" a="1"/>
  <c r="C1128" i="36"/>
  <c r="C1129" i="36" a="1"/>
  <c r="C1129" i="36"/>
  <c r="C1130" i="36" a="1"/>
  <c r="C1130" i="36"/>
  <c r="C1131" i="36" a="1"/>
  <c r="C1131" i="36"/>
  <c r="C1132" i="36" a="1"/>
  <c r="C1132" i="36"/>
  <c r="C1133" i="36" a="1"/>
  <c r="C1133" i="36"/>
  <c r="C1134" i="36" a="1"/>
  <c r="C1134" i="36"/>
  <c r="C1135" i="36" a="1"/>
  <c r="C1135" i="36"/>
  <c r="C1136" i="36" a="1"/>
  <c r="C1136" i="36" s="1"/>
  <c r="C1137" i="36" a="1"/>
  <c r="C1137" i="36"/>
  <c r="C1138" i="36" a="1"/>
  <c r="C1138" i="36"/>
  <c r="C1139" i="36" a="1"/>
  <c r="C1139" i="36"/>
  <c r="C1140" i="36" a="1"/>
  <c r="C1140" i="36"/>
  <c r="C1141" i="36" a="1"/>
  <c r="C1141" i="36"/>
  <c r="C1142" i="36" a="1"/>
  <c r="C1142" i="36"/>
  <c r="C1143" i="36" a="1"/>
  <c r="C1143" i="36"/>
  <c r="C1144" i="36" a="1"/>
  <c r="C1144" i="36"/>
  <c r="C1145" i="36" a="1"/>
  <c r="C1145" i="36"/>
  <c r="C1146" i="36" a="1"/>
  <c r="C1146" i="36"/>
  <c r="C1147" i="36" a="1"/>
  <c r="C1147" i="36"/>
  <c r="C1148" i="36" a="1"/>
  <c r="C1148" i="36" s="1"/>
  <c r="C1149" i="36" a="1"/>
  <c r="C1149" i="36"/>
  <c r="C1150" i="36" a="1"/>
  <c r="C1150" i="36"/>
  <c r="C1151" i="36" a="1"/>
  <c r="C1151" i="36"/>
  <c r="C1152" i="36" a="1"/>
  <c r="C1152" i="36"/>
  <c r="C1153" i="36" a="1"/>
  <c r="C1153" i="36"/>
  <c r="C1154" i="36" a="1"/>
  <c r="C1154" i="36"/>
  <c r="C1155" i="36" a="1"/>
  <c r="C1155" i="36"/>
  <c r="C1156" i="36" a="1"/>
  <c r="C1156" i="36"/>
  <c r="C1157" i="36" a="1"/>
  <c r="C1157" i="36"/>
  <c r="C1158" i="36" a="1"/>
  <c r="C1158" i="36"/>
  <c r="C1159" i="36" a="1"/>
  <c r="C1159" i="36"/>
  <c r="C1160" i="36" a="1"/>
  <c r="C1160" i="36" s="1"/>
  <c r="C1161" i="36" a="1"/>
  <c r="C1161" i="36"/>
  <c r="C1162" i="36" a="1"/>
  <c r="C1162" i="36"/>
  <c r="C1163" i="36" a="1"/>
  <c r="C1163" i="36"/>
  <c r="C1164" i="36" a="1"/>
  <c r="C1164" i="36"/>
  <c r="C1165" i="36" a="1"/>
  <c r="C1165" i="36"/>
  <c r="C1166" i="36" a="1"/>
  <c r="C1166" i="36"/>
  <c r="C1167" i="36" a="1"/>
  <c r="C1167" i="36"/>
  <c r="C1168" i="36" a="1"/>
  <c r="C1168" i="36"/>
  <c r="C1169" i="36" a="1"/>
  <c r="C1169" i="36"/>
  <c r="C1170" i="36" a="1"/>
  <c r="C1170" i="36"/>
  <c r="C1171" i="36" a="1"/>
  <c r="C1171" i="36"/>
  <c r="C1172" i="36" a="1"/>
  <c r="C1172" i="36" s="1"/>
  <c r="C1173" i="36" a="1"/>
  <c r="C1173" i="36"/>
  <c r="C1174" i="36" a="1"/>
  <c r="C1174" i="36"/>
  <c r="C1175" i="36" a="1"/>
  <c r="C1175" i="36"/>
  <c r="C1176" i="36" a="1"/>
  <c r="C1176" i="36"/>
  <c r="C1177" i="36" a="1"/>
  <c r="C1177" i="36"/>
  <c r="C1178" i="36" a="1"/>
  <c r="C1178" i="36"/>
  <c r="C1179" i="36" a="1"/>
  <c r="C1179" i="36"/>
  <c r="C1180" i="36" a="1"/>
  <c r="C1180" i="36"/>
  <c r="C1181" i="36" a="1"/>
  <c r="C1181" i="36"/>
  <c r="C1182" i="36" a="1"/>
  <c r="C1182" i="36"/>
  <c r="C1183" i="36" a="1"/>
  <c r="C1183" i="36"/>
  <c r="C1184" i="36" a="1"/>
  <c r="C1184" i="36" s="1"/>
  <c r="C1185" i="36" a="1"/>
  <c r="C1185" i="36"/>
  <c r="C1186" i="36" a="1"/>
  <c r="C1186" i="36"/>
  <c r="C1187" i="36" a="1"/>
  <c r="C1187" i="36"/>
  <c r="C1188" i="36" a="1"/>
  <c r="C1188" i="36"/>
  <c r="C1189" i="36" a="1"/>
  <c r="C1189" i="36"/>
  <c r="C1190" i="36" a="1"/>
  <c r="C1190" i="36"/>
  <c r="C1191" i="36" a="1"/>
  <c r="C1191" i="36"/>
  <c r="C1192" i="36" a="1"/>
  <c r="C1192" i="36"/>
  <c r="C1193" i="36" a="1"/>
  <c r="C1193" i="36"/>
  <c r="C1194" i="36" a="1"/>
  <c r="C1194" i="36"/>
  <c r="C1195" i="36" a="1"/>
  <c r="C1195" i="36"/>
  <c r="C1196" i="36" a="1"/>
  <c r="C1196" i="36" s="1"/>
  <c r="C1197" i="36" a="1"/>
  <c r="C1197" i="36"/>
  <c r="C1198" i="36" a="1"/>
  <c r="C1198" i="36"/>
  <c r="C1199" i="36" a="1"/>
  <c r="C1199" i="36"/>
  <c r="C1200" i="36" a="1"/>
  <c r="C1200" i="36"/>
  <c r="C1201" i="36" a="1"/>
  <c r="C1201" i="36"/>
  <c r="C1202" i="36" a="1"/>
  <c r="C1202" i="36"/>
  <c r="C1203" i="36" a="1"/>
  <c r="C1203" i="36"/>
  <c r="C1204" i="36" a="1"/>
  <c r="C1204" i="36"/>
  <c r="C1205" i="36" a="1"/>
  <c r="C1205" i="36"/>
  <c r="C1206" i="36" a="1"/>
  <c r="C1206" i="36"/>
  <c r="C1207" i="36" a="1"/>
  <c r="C1207" i="36"/>
  <c r="C1208" i="36" a="1"/>
  <c r="C1208" i="36" s="1"/>
  <c r="C1209" i="36" a="1"/>
  <c r="C1209" i="36"/>
  <c r="C1210" i="36" a="1"/>
  <c r="C1210" i="36"/>
  <c r="C1211" i="36" a="1"/>
  <c r="C1211" i="36"/>
  <c r="C1212" i="36" a="1"/>
  <c r="C1212" i="36"/>
  <c r="C1213" i="36" a="1"/>
  <c r="C1213" i="36"/>
  <c r="C1214" i="36" a="1"/>
  <c r="C1214" i="36"/>
  <c r="C1215" i="36" a="1"/>
  <c r="C1215" i="36"/>
  <c r="C1216" i="36" a="1"/>
  <c r="C1216" i="36"/>
  <c r="C1217" i="36" a="1"/>
  <c r="C1217" i="36"/>
  <c r="C1218" i="36" a="1"/>
  <c r="C1218" i="36"/>
  <c r="C1219" i="36" a="1"/>
  <c r="C1219" i="36"/>
  <c r="C1220" i="36" a="1"/>
  <c r="C1220" i="36" s="1"/>
  <c r="C1221" i="36" a="1"/>
  <c r="C1221" i="36"/>
  <c r="C1222" i="36" a="1"/>
  <c r="C1222" i="36"/>
  <c r="C1223" i="36" a="1"/>
  <c r="C1223" i="36"/>
  <c r="C1224" i="36" a="1"/>
  <c r="C1224" i="36"/>
  <c r="C1225" i="36" a="1"/>
  <c r="C1225" i="36"/>
  <c r="C1226" i="36" a="1"/>
  <c r="C1226" i="36"/>
  <c r="C1227" i="36" a="1"/>
  <c r="C1227" i="36"/>
  <c r="C1228" i="36" a="1"/>
  <c r="C1228" i="36"/>
  <c r="C1229" i="36" a="1"/>
  <c r="C1229" i="36"/>
  <c r="C1230" i="36" a="1"/>
  <c r="C1230" i="36"/>
  <c r="C1231" i="36" a="1"/>
  <c r="C1231" i="36"/>
  <c r="C1232" i="36" a="1"/>
  <c r="C1232" i="36" s="1"/>
  <c r="C1233" i="36" a="1"/>
  <c r="C1233" i="36"/>
  <c r="C1234" i="36" a="1"/>
  <c r="C1234" i="36"/>
  <c r="C1235" i="36" a="1"/>
  <c r="C1235" i="36"/>
  <c r="C1236" i="36" a="1"/>
  <c r="C1236" i="36"/>
  <c r="C1237" i="36" a="1"/>
  <c r="C1237" i="36"/>
  <c r="C1238" i="36" a="1"/>
  <c r="C1238" i="36"/>
  <c r="C1239" i="36" a="1"/>
  <c r="C1239" i="36"/>
  <c r="C1240" i="36" a="1"/>
  <c r="C1240" i="36"/>
  <c r="C1241" i="36" a="1"/>
  <c r="C1241" i="36"/>
  <c r="C1242" i="36" a="1"/>
  <c r="C1242" i="36"/>
  <c r="C1243" i="36" a="1"/>
  <c r="C1243" i="36"/>
  <c r="C1244" i="36" a="1"/>
  <c r="C1244" i="36" s="1"/>
  <c r="C1245" i="36" a="1"/>
  <c r="C1245" i="36"/>
  <c r="C1246" i="36" a="1"/>
  <c r="C1246" i="36"/>
  <c r="C1247" i="36" a="1"/>
  <c r="C1247" i="36"/>
  <c r="C1248" i="36" a="1"/>
  <c r="C1248" i="36"/>
  <c r="C1249" i="36" a="1"/>
  <c r="C1249" i="36"/>
  <c r="C1250" i="36" a="1"/>
  <c r="C1250" i="36"/>
  <c r="C1251" i="36" a="1"/>
  <c r="C1251" i="36"/>
  <c r="C1252" i="36" a="1"/>
  <c r="C1252" i="36"/>
  <c r="C1253" i="36" a="1"/>
  <c r="C1253" i="36"/>
  <c r="C1254" i="36" a="1"/>
  <c r="C1254" i="36"/>
  <c r="C1255" i="36" a="1"/>
  <c r="C1255" i="36"/>
  <c r="C1256" i="36" a="1"/>
  <c r="C1256" i="36" s="1"/>
  <c r="C1257" i="36" a="1"/>
  <c r="C1257" i="36"/>
  <c r="C1258" i="36" a="1"/>
  <c r="C1258" i="36"/>
  <c r="C1259" i="36" a="1"/>
  <c r="C1259" i="36"/>
  <c r="C1260" i="36" a="1"/>
  <c r="C1260" i="36"/>
  <c r="C1261" i="36" a="1"/>
  <c r="C1261" i="36"/>
  <c r="C1262" i="36" a="1"/>
  <c r="C1262" i="36"/>
  <c r="C1263" i="36" a="1"/>
  <c r="C1263" i="36"/>
  <c r="C1264" i="36" a="1"/>
  <c r="C1264" i="36"/>
  <c r="C1265" i="36" a="1"/>
  <c r="C1265" i="36"/>
  <c r="C1266" i="36" a="1"/>
  <c r="C1266" i="36"/>
  <c r="C1267" i="36" a="1"/>
  <c r="C1267" i="36"/>
  <c r="C1268" i="36" a="1"/>
  <c r="C1268" i="36" s="1"/>
  <c r="C1269" i="36" a="1"/>
  <c r="C1269" i="36"/>
  <c r="C1270" i="36" a="1"/>
  <c r="C1270" i="36"/>
  <c r="C1271" i="36" a="1"/>
  <c r="C1271" i="36"/>
  <c r="C1272" i="36" a="1"/>
  <c r="C1272" i="36"/>
  <c r="C1273" i="36" a="1"/>
  <c r="C1273" i="36"/>
  <c r="C1274" i="36" a="1"/>
  <c r="C1274" i="36"/>
  <c r="C1275" i="36" a="1"/>
  <c r="C1275" i="36"/>
  <c r="C1276" i="36" a="1"/>
  <c r="C1276" i="36"/>
  <c r="C1277" i="36" a="1"/>
  <c r="C1277" i="36"/>
  <c r="C1278" i="36" a="1"/>
  <c r="C1278" i="36"/>
  <c r="C1279" i="36" a="1"/>
  <c r="C1279" i="36"/>
  <c r="C1280" i="36" a="1"/>
  <c r="C1280" i="36" s="1"/>
  <c r="C1281" i="36" a="1"/>
  <c r="C1281" i="36"/>
  <c r="C1282" i="36" a="1"/>
  <c r="C1282" i="36"/>
  <c r="C1283" i="36" a="1"/>
  <c r="C1283" i="36"/>
  <c r="C1284" i="36" a="1"/>
  <c r="C1284" i="36"/>
  <c r="C1285" i="36" a="1"/>
  <c r="C1285" i="36"/>
  <c r="C1286" i="36" a="1"/>
  <c r="C1286" i="36"/>
  <c r="C1287" i="36" a="1"/>
  <c r="C1287" i="36"/>
  <c r="C1288" i="36" a="1"/>
  <c r="C1288" i="36"/>
  <c r="C1289" i="36" a="1"/>
  <c r="C1289" i="36"/>
  <c r="C1290" i="36" a="1"/>
  <c r="C1290" i="36"/>
  <c r="C1291" i="36" a="1"/>
  <c r="C1291" i="36"/>
  <c r="C1292" i="36" a="1"/>
  <c r="C1292" i="36" s="1"/>
  <c r="C1293" i="36" a="1"/>
  <c r="C1293" i="36"/>
  <c r="C1294" i="36" a="1"/>
  <c r="C1294" i="36"/>
  <c r="C1295" i="36" a="1"/>
  <c r="C1295" i="36"/>
  <c r="C1296" i="36" a="1"/>
  <c r="C1296" i="36"/>
  <c r="C1297" i="36" a="1"/>
  <c r="C1297" i="36"/>
  <c r="C1298" i="36" a="1"/>
  <c r="C1298" i="36"/>
  <c r="C1299" i="36" a="1"/>
  <c r="C1299" i="36"/>
  <c r="C1300" i="36" a="1"/>
  <c r="C1300" i="36"/>
  <c r="C1301" i="36" a="1"/>
  <c r="C1301" i="36"/>
  <c r="C1302" i="36" a="1"/>
  <c r="C1302" i="36"/>
  <c r="C1303" i="36" a="1"/>
  <c r="C1303" i="36"/>
  <c r="C1304" i="36" a="1"/>
  <c r="C1304" i="36" s="1"/>
  <c r="C1305" i="36" a="1"/>
  <c r="C1305" i="36"/>
  <c r="C1306" i="36" a="1"/>
  <c r="C1306" i="36"/>
  <c r="C1307" i="36" a="1"/>
  <c r="C1307" i="36"/>
  <c r="C1308" i="36" a="1"/>
  <c r="C1308" i="36"/>
  <c r="C1309" i="36" a="1"/>
  <c r="C1309" i="36"/>
  <c r="C1310" i="36" a="1"/>
  <c r="C1310" i="36"/>
  <c r="C1311" i="36" a="1"/>
  <c r="C1311" i="36"/>
  <c r="C1312" i="36" a="1"/>
  <c r="C1312" i="36"/>
  <c r="C1313" i="36" a="1"/>
  <c r="C1313" i="36"/>
  <c r="C1314" i="36" a="1"/>
  <c r="C1314" i="36"/>
  <c r="C1315" i="36" a="1"/>
  <c r="C1315" i="36"/>
  <c r="C1316" i="36" a="1"/>
  <c r="C1316" i="36" s="1"/>
  <c r="C1317" i="36" a="1"/>
  <c r="C1317" i="36"/>
  <c r="C1318" i="36" a="1"/>
  <c r="C1318" i="36"/>
  <c r="C1319" i="36" a="1"/>
  <c r="C1319" i="36"/>
  <c r="C1320" i="36" a="1"/>
  <c r="C1320" i="36"/>
  <c r="C1321" i="36" a="1"/>
  <c r="C1321" i="36"/>
  <c r="C1322" i="36" a="1"/>
  <c r="C1322" i="36"/>
  <c r="C1323" i="36" a="1"/>
  <c r="C1323" i="36"/>
  <c r="C1324" i="36" a="1"/>
  <c r="C1324" i="36"/>
  <c r="C1325" i="36" a="1"/>
  <c r="C1325" i="36"/>
  <c r="C1326" i="36" a="1"/>
  <c r="C1326" i="36"/>
  <c r="C1327" i="36" a="1"/>
  <c r="C1327" i="36"/>
  <c r="C1328" i="36" a="1"/>
  <c r="C1328" i="36" s="1"/>
  <c r="C1329" i="36" a="1"/>
  <c r="C1329" i="36"/>
  <c r="C1330" i="36" a="1"/>
  <c r="C1330" i="36"/>
  <c r="C1331" i="36" a="1"/>
  <c r="C1331" i="36"/>
  <c r="C1332" i="36" a="1"/>
  <c r="C1332" i="36"/>
  <c r="C1333" i="36" a="1"/>
  <c r="C1333" i="36"/>
  <c r="C1334" i="36" a="1"/>
  <c r="C1334" i="36"/>
  <c r="C1335" i="36" a="1"/>
  <c r="C1335" i="36"/>
  <c r="C1336" i="36" a="1"/>
  <c r="C1336" i="36"/>
  <c r="C1337" i="36" a="1"/>
  <c r="C1337" i="36"/>
  <c r="C1338" i="36" a="1"/>
  <c r="C1338" i="36"/>
  <c r="C1339" i="36" a="1"/>
  <c r="C1339" i="36"/>
  <c r="C1340" i="36" a="1"/>
  <c r="C1340" i="36" s="1"/>
  <c r="C1341" i="36" a="1"/>
  <c r="C1341" i="36"/>
  <c r="C1342" i="36" a="1"/>
  <c r="C1342" i="36"/>
  <c r="C1343" i="36" a="1"/>
  <c r="C1343" i="36"/>
  <c r="C1344" i="36" a="1"/>
  <c r="C1344" i="36"/>
  <c r="C1345" i="36" a="1"/>
  <c r="C1345" i="36"/>
  <c r="C1346" i="36" a="1"/>
  <c r="C1346" i="36"/>
  <c r="C1347" i="36" a="1"/>
  <c r="C1347" i="36"/>
  <c r="C1348" i="36" a="1"/>
  <c r="C1348" i="36"/>
  <c r="C1349" i="36" a="1"/>
  <c r="C1349" i="36"/>
  <c r="C1350" i="36" a="1"/>
  <c r="C1350" i="36"/>
  <c r="C1351" i="36" a="1"/>
  <c r="C1351" i="36"/>
  <c r="C1352" i="36" a="1"/>
  <c r="C1352" i="36" s="1"/>
  <c r="C1353" i="36" a="1"/>
  <c r="C1353" i="36"/>
  <c r="C1354" i="36" a="1"/>
  <c r="C1354" i="36"/>
  <c r="C1355" i="36" a="1"/>
  <c r="C1355" i="36"/>
  <c r="C1356" i="36" a="1"/>
  <c r="C1356" i="36"/>
  <c r="C1357" i="36" a="1"/>
  <c r="C1357" i="36"/>
  <c r="C1358" i="36" a="1"/>
  <c r="C1358" i="36"/>
  <c r="C1" i="36" a="1"/>
  <c r="C1" i="36" s="1"/>
  <c r="H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22" i="36"/>
  <c r="H123" i="36"/>
  <c r="H124" i="36"/>
  <c r="H125" i="36"/>
  <c r="H126" i="36"/>
  <c r="H127" i="36"/>
  <c r="H128" i="36"/>
  <c r="H129" i="36"/>
  <c r="H130" i="36"/>
  <c r="H131" i="36"/>
  <c r="H132" i="36"/>
  <c r="H133" i="36"/>
  <c r="H134" i="36"/>
  <c r="H135" i="36"/>
  <c r="H136" i="36"/>
  <c r="H137" i="36"/>
  <c r="H138" i="36"/>
  <c r="H139" i="36"/>
  <c r="H140" i="36"/>
  <c r="H141" i="36"/>
  <c r="H142" i="36"/>
  <c r="H143" i="36"/>
  <c r="H144" i="36"/>
  <c r="H145" i="36"/>
  <c r="H146" i="36"/>
  <c r="H147" i="36"/>
  <c r="H148" i="36"/>
  <c r="H149" i="36"/>
  <c r="H150" i="36"/>
  <c r="H151" i="36"/>
  <c r="H152" i="36"/>
  <c r="H153" i="36"/>
  <c r="H154" i="36"/>
  <c r="H155" i="36"/>
  <c r="H156" i="36"/>
  <c r="H157" i="36"/>
  <c r="H158" i="36"/>
  <c r="H159" i="36"/>
  <c r="H160" i="36"/>
  <c r="H161" i="36"/>
  <c r="H162" i="36"/>
  <c r="H163" i="36"/>
  <c r="H164" i="36"/>
  <c r="H165" i="36"/>
  <c r="H166" i="36"/>
  <c r="H167" i="36"/>
  <c r="H168" i="36"/>
  <c r="H169" i="36"/>
  <c r="H170" i="36"/>
  <c r="H171" i="36"/>
  <c r="H172" i="36"/>
  <c r="H173" i="36"/>
  <c r="H174" i="36"/>
  <c r="H175" i="36"/>
  <c r="H176" i="36"/>
  <c r="H177" i="36"/>
  <c r="H178" i="36"/>
  <c r="H179" i="36"/>
  <c r="H180" i="36"/>
  <c r="H181" i="36"/>
  <c r="H182" i="36"/>
  <c r="H183" i="36"/>
  <c r="H184" i="36"/>
  <c r="H185" i="36"/>
  <c r="H186" i="36"/>
  <c r="H187" i="36"/>
  <c r="H188" i="36"/>
  <c r="H189" i="36"/>
  <c r="H190" i="36"/>
  <c r="H191" i="36"/>
  <c r="H192" i="36"/>
  <c r="H193" i="36"/>
  <c r="H194" i="36"/>
  <c r="H195" i="36"/>
  <c r="H196" i="36"/>
  <c r="H197" i="36"/>
  <c r="H198" i="36"/>
  <c r="H199" i="36"/>
  <c r="H200" i="36"/>
  <c r="H201" i="36"/>
  <c r="H202" i="36"/>
  <c r="H203" i="36"/>
  <c r="H204" i="36"/>
  <c r="H205" i="36"/>
  <c r="H206" i="36"/>
  <c r="H207" i="36"/>
  <c r="H208" i="36"/>
  <c r="H209" i="36"/>
  <c r="H210" i="36"/>
  <c r="H211" i="36"/>
  <c r="H212" i="36"/>
  <c r="H213" i="36"/>
  <c r="H214" i="36"/>
  <c r="H215" i="36"/>
  <c r="H216" i="36"/>
  <c r="H217" i="36"/>
  <c r="H218" i="36"/>
  <c r="H219" i="36"/>
  <c r="H220" i="36"/>
  <c r="H221" i="36"/>
  <c r="H222" i="36"/>
  <c r="H223" i="36"/>
  <c r="H224" i="36"/>
  <c r="H225" i="36"/>
  <c r="H226" i="36"/>
  <c r="H227" i="36"/>
  <c r="H228" i="36"/>
  <c r="H229" i="36"/>
  <c r="H230" i="36"/>
  <c r="H231" i="36"/>
  <c r="H232" i="36"/>
  <c r="H233" i="36"/>
  <c r="H234" i="36"/>
  <c r="H235" i="36"/>
  <c r="H236" i="36"/>
  <c r="H237" i="36"/>
  <c r="H238" i="36"/>
  <c r="H239" i="36"/>
  <c r="H240" i="36"/>
  <c r="H241" i="36"/>
  <c r="H242" i="36"/>
  <c r="H243" i="36"/>
  <c r="H244" i="36"/>
  <c r="H245" i="36"/>
  <c r="H246" i="36"/>
  <c r="H247" i="36"/>
  <c r="H248" i="36"/>
  <c r="H249" i="36"/>
  <c r="H250" i="36"/>
  <c r="H251" i="36"/>
  <c r="H252" i="36"/>
  <c r="H253" i="36"/>
  <c r="H254" i="36"/>
  <c r="H255" i="36"/>
  <c r="H256" i="36"/>
  <c r="H257" i="36"/>
  <c r="H258" i="36"/>
  <c r="H259" i="36"/>
  <c r="H260" i="36"/>
  <c r="H261" i="36"/>
  <c r="H262" i="36"/>
  <c r="H263" i="36"/>
  <c r="H264" i="36"/>
  <c r="H265" i="36"/>
  <c r="H266" i="36"/>
  <c r="H267" i="36"/>
  <c r="H268" i="36"/>
  <c r="H269" i="36"/>
  <c r="H270" i="36"/>
  <c r="H271" i="36"/>
  <c r="H272" i="36"/>
  <c r="H273" i="36"/>
  <c r="H274" i="36"/>
  <c r="H275" i="36"/>
  <c r="H276" i="36"/>
  <c r="H277" i="36"/>
  <c r="H278" i="36"/>
  <c r="H279" i="36"/>
  <c r="H280" i="36"/>
  <c r="H281" i="36"/>
  <c r="H282" i="36"/>
  <c r="H283" i="36"/>
  <c r="H284" i="36"/>
  <c r="H285" i="36"/>
  <c r="H286" i="36"/>
  <c r="H287" i="36"/>
  <c r="H288" i="36"/>
  <c r="H289" i="36"/>
  <c r="H290" i="36"/>
  <c r="H291" i="36"/>
  <c r="H292" i="36"/>
  <c r="H293" i="36"/>
  <c r="H294" i="36"/>
  <c r="H295" i="36"/>
  <c r="H296" i="36"/>
  <c r="H297" i="36"/>
  <c r="H298" i="36"/>
  <c r="H299" i="36"/>
  <c r="H300" i="36"/>
  <c r="H301" i="36"/>
  <c r="H302" i="36"/>
  <c r="H303" i="36"/>
  <c r="H304" i="36"/>
  <c r="H305" i="36"/>
  <c r="H306" i="36"/>
  <c r="H307" i="36"/>
  <c r="H308" i="36"/>
  <c r="H309" i="36"/>
  <c r="H310" i="36"/>
  <c r="H311" i="36"/>
  <c r="H312" i="36"/>
  <c r="H313" i="36"/>
  <c r="H314" i="36"/>
  <c r="H315" i="36"/>
  <c r="H316" i="36"/>
  <c r="H317" i="36"/>
  <c r="H318" i="36"/>
  <c r="H319" i="36"/>
  <c r="H320" i="36"/>
  <c r="H321" i="36"/>
  <c r="H322" i="36"/>
  <c r="H323" i="36"/>
  <c r="H324" i="36"/>
  <c r="H325" i="36"/>
  <c r="H326" i="36"/>
  <c r="H327" i="36"/>
  <c r="H328" i="36"/>
  <c r="H329" i="36"/>
  <c r="H330" i="36"/>
  <c r="H331" i="36"/>
  <c r="H332" i="36"/>
  <c r="H333" i="36"/>
  <c r="H334" i="36"/>
  <c r="H335" i="36"/>
  <c r="H336" i="36"/>
  <c r="H337" i="36"/>
  <c r="H338" i="36"/>
  <c r="H339" i="36"/>
  <c r="H340" i="36"/>
  <c r="H341" i="36"/>
  <c r="H342" i="36"/>
  <c r="H343" i="36"/>
  <c r="H344" i="36"/>
  <c r="H345" i="36"/>
  <c r="H346" i="36"/>
  <c r="H347" i="36"/>
  <c r="H348" i="36"/>
  <c r="H349" i="36"/>
  <c r="H350" i="36"/>
  <c r="H351" i="36"/>
  <c r="H352" i="36"/>
  <c r="H353" i="36"/>
  <c r="H354" i="36"/>
  <c r="H355" i="36"/>
  <c r="H356" i="36"/>
  <c r="H357" i="36"/>
  <c r="H358" i="36"/>
  <c r="H359" i="36"/>
  <c r="H360" i="36"/>
  <c r="H361" i="36"/>
  <c r="H362" i="36"/>
  <c r="H363" i="36"/>
  <c r="H364" i="36"/>
  <c r="H365" i="36"/>
  <c r="H366" i="36"/>
  <c r="H367" i="36"/>
  <c r="H368" i="36"/>
  <c r="H369" i="36"/>
  <c r="H370" i="36"/>
  <c r="H371" i="36"/>
  <c r="H372" i="36"/>
  <c r="H373" i="36"/>
  <c r="H374" i="36"/>
  <c r="H375" i="36"/>
  <c r="H376" i="36"/>
  <c r="H377" i="36"/>
  <c r="H378" i="36"/>
  <c r="H379" i="36"/>
  <c r="H380" i="36"/>
  <c r="H381" i="36"/>
  <c r="H382" i="36"/>
  <c r="H383" i="36"/>
  <c r="H384" i="36"/>
  <c r="H385" i="36"/>
  <c r="H386" i="36"/>
  <c r="H387" i="36"/>
  <c r="H388" i="36"/>
  <c r="H389" i="36"/>
  <c r="H390" i="36"/>
  <c r="H391" i="36"/>
  <c r="H392" i="36"/>
  <c r="H393" i="36"/>
  <c r="H394" i="36"/>
  <c r="H395" i="36"/>
  <c r="H396" i="36"/>
  <c r="H397" i="36"/>
  <c r="H398" i="36"/>
  <c r="H399" i="36"/>
  <c r="H400" i="36"/>
  <c r="H401" i="36"/>
  <c r="H402" i="36"/>
  <c r="H403" i="36"/>
  <c r="H404" i="36"/>
  <c r="H405" i="36"/>
  <c r="H406" i="36"/>
  <c r="H407" i="36"/>
  <c r="H408" i="36"/>
  <c r="H409" i="36"/>
  <c r="H410" i="36"/>
  <c r="H411" i="36"/>
  <c r="H412" i="36"/>
  <c r="H413" i="36"/>
  <c r="H414" i="36"/>
  <c r="H415" i="36"/>
  <c r="H416" i="36"/>
  <c r="H417" i="36"/>
  <c r="H418" i="36"/>
  <c r="H419" i="36"/>
  <c r="H420" i="36"/>
  <c r="H421" i="36"/>
  <c r="H422" i="36"/>
  <c r="H423" i="36"/>
  <c r="H424" i="36"/>
  <c r="H425" i="36"/>
  <c r="H426" i="36"/>
  <c r="H427" i="36"/>
  <c r="H428" i="36"/>
  <c r="H429" i="36"/>
  <c r="H430" i="36"/>
  <c r="H431" i="36"/>
  <c r="H432" i="36"/>
  <c r="H433" i="36"/>
  <c r="H434" i="36"/>
  <c r="H435" i="36"/>
  <c r="H436" i="36"/>
  <c r="H437" i="36"/>
  <c r="H438" i="36"/>
  <c r="H439" i="36"/>
  <c r="H440" i="36"/>
  <c r="H441" i="36"/>
  <c r="H442" i="36"/>
  <c r="H443" i="36"/>
  <c r="H444" i="36"/>
  <c r="H445" i="36"/>
  <c r="H446" i="36"/>
  <c r="H447" i="36"/>
  <c r="H448" i="36"/>
  <c r="H449" i="36"/>
  <c r="H450" i="36"/>
  <c r="H451" i="36"/>
  <c r="H452" i="36"/>
  <c r="H453" i="36"/>
  <c r="H454" i="36"/>
  <c r="H455" i="36"/>
  <c r="H456" i="36"/>
  <c r="H457" i="36"/>
  <c r="H458" i="36"/>
  <c r="H459" i="36"/>
  <c r="H460" i="36"/>
  <c r="H461" i="36"/>
  <c r="H462" i="36"/>
  <c r="H463" i="36"/>
  <c r="H464" i="36"/>
  <c r="H465" i="36"/>
  <c r="H466" i="36"/>
  <c r="H467" i="36"/>
  <c r="H468" i="36"/>
  <c r="H469" i="36"/>
  <c r="H470" i="36"/>
  <c r="H471" i="36"/>
  <c r="H472" i="36"/>
  <c r="H473" i="36"/>
  <c r="H474" i="36"/>
  <c r="H475" i="36"/>
  <c r="H476" i="36"/>
  <c r="H477" i="36"/>
  <c r="H478" i="36"/>
  <c r="H479" i="36"/>
  <c r="H480" i="36"/>
  <c r="H481" i="36"/>
  <c r="H482" i="36"/>
  <c r="H483" i="36"/>
  <c r="H484" i="36"/>
  <c r="H485" i="36"/>
  <c r="H486" i="36"/>
  <c r="H487" i="36"/>
  <c r="H488" i="36"/>
  <c r="H489" i="36"/>
  <c r="H490" i="36"/>
  <c r="H491" i="36"/>
  <c r="H492" i="36"/>
  <c r="H493" i="36"/>
  <c r="H494" i="36"/>
  <c r="H495" i="36"/>
  <c r="H496" i="36"/>
  <c r="H497" i="36"/>
  <c r="H498" i="36"/>
  <c r="H499" i="36"/>
  <c r="H500" i="36"/>
  <c r="H501" i="36"/>
  <c r="H502" i="36"/>
  <c r="H503" i="36"/>
  <c r="H504" i="36"/>
  <c r="H505" i="36"/>
  <c r="H506" i="36"/>
  <c r="H507" i="36"/>
  <c r="H508" i="36"/>
  <c r="H509" i="36"/>
  <c r="H510" i="36"/>
  <c r="H511" i="36"/>
  <c r="H512" i="36"/>
  <c r="H513" i="36"/>
  <c r="H514" i="36"/>
  <c r="H515" i="36"/>
  <c r="H516" i="36"/>
  <c r="H517" i="36"/>
  <c r="H518" i="36"/>
  <c r="H519" i="36"/>
  <c r="H520" i="36"/>
  <c r="H521" i="36"/>
  <c r="H522" i="36"/>
  <c r="H523" i="36"/>
  <c r="H524" i="36"/>
  <c r="H525" i="36"/>
  <c r="H526" i="36"/>
  <c r="H527" i="36"/>
  <c r="H528" i="36"/>
  <c r="H529" i="36"/>
  <c r="H530" i="36"/>
  <c r="H531" i="36"/>
  <c r="H532" i="36"/>
  <c r="H533" i="36"/>
  <c r="H534" i="36"/>
  <c r="H535" i="36"/>
  <c r="H536" i="36"/>
  <c r="H537" i="36"/>
  <c r="H538" i="36"/>
  <c r="H539" i="36"/>
  <c r="H540" i="36"/>
  <c r="H541" i="36"/>
  <c r="H542" i="36"/>
  <c r="H543" i="36"/>
  <c r="H544" i="36"/>
  <c r="H545" i="36"/>
  <c r="H546" i="36"/>
  <c r="H547" i="36"/>
  <c r="H548" i="36"/>
  <c r="H549" i="36"/>
  <c r="H550" i="36"/>
  <c r="H551" i="36"/>
  <c r="H552" i="36"/>
  <c r="H553" i="36"/>
  <c r="H554" i="36"/>
  <c r="H555" i="36"/>
  <c r="H556" i="36"/>
  <c r="H557" i="36"/>
  <c r="H558" i="36"/>
  <c r="H559" i="36"/>
  <c r="H560" i="36"/>
  <c r="H561" i="36"/>
  <c r="H562" i="36"/>
  <c r="H563" i="36"/>
  <c r="H564" i="36"/>
  <c r="H565" i="36"/>
  <c r="H566" i="36"/>
  <c r="H567" i="36"/>
  <c r="H568" i="36"/>
  <c r="H569" i="36"/>
  <c r="H570" i="36"/>
  <c r="H571" i="36"/>
  <c r="H572" i="36"/>
  <c r="H573" i="36"/>
  <c r="H574" i="36"/>
  <c r="H575" i="36"/>
  <c r="H576" i="36"/>
  <c r="H577" i="36"/>
  <c r="H578" i="36"/>
  <c r="H579" i="36"/>
  <c r="H580" i="36"/>
  <c r="H581" i="36"/>
  <c r="H582" i="36"/>
  <c r="H583" i="36"/>
  <c r="H584" i="36"/>
  <c r="H585" i="36"/>
  <c r="H586" i="36"/>
  <c r="H587" i="36"/>
  <c r="H588" i="36"/>
  <c r="H589" i="36"/>
  <c r="H590" i="36"/>
  <c r="H591" i="36"/>
  <c r="H592" i="36"/>
  <c r="H593" i="36"/>
  <c r="H594" i="36"/>
  <c r="H595" i="36"/>
  <c r="H596" i="36"/>
  <c r="H597" i="36"/>
  <c r="H598" i="36"/>
  <c r="H599" i="36"/>
  <c r="H600" i="36"/>
  <c r="H601" i="36"/>
  <c r="H602" i="36"/>
  <c r="H603" i="36"/>
  <c r="H604" i="36"/>
  <c r="H605" i="36"/>
  <c r="H606" i="36"/>
  <c r="H607" i="36"/>
  <c r="H608" i="36"/>
  <c r="H609" i="36"/>
  <c r="H610" i="36"/>
  <c r="H611" i="36"/>
  <c r="H612" i="36"/>
  <c r="H613" i="36"/>
  <c r="H614" i="36"/>
  <c r="H615" i="36"/>
  <c r="H616" i="36"/>
  <c r="H617" i="36"/>
  <c r="H618" i="36"/>
  <c r="H619" i="36"/>
  <c r="H620" i="36"/>
  <c r="H621" i="36"/>
  <c r="H622" i="36"/>
  <c r="H623" i="36"/>
  <c r="H624" i="36"/>
  <c r="H625" i="36"/>
  <c r="H626" i="36"/>
  <c r="H627" i="36"/>
  <c r="H628" i="36"/>
  <c r="H629" i="36"/>
  <c r="H630" i="36"/>
  <c r="H631" i="36"/>
  <c r="H632" i="36"/>
  <c r="H633" i="36"/>
  <c r="H634" i="36"/>
  <c r="H635" i="36"/>
  <c r="H636" i="36"/>
  <c r="H637" i="36"/>
  <c r="H638" i="36"/>
  <c r="H639" i="36"/>
  <c r="H640" i="36"/>
  <c r="H641" i="36"/>
  <c r="H642" i="36"/>
  <c r="H643" i="36"/>
  <c r="H644" i="36"/>
  <c r="H645" i="36"/>
  <c r="H646" i="36"/>
  <c r="H647" i="36"/>
  <c r="H648" i="36"/>
  <c r="H649" i="36"/>
  <c r="H650" i="36"/>
  <c r="H651" i="36"/>
  <c r="H652" i="36"/>
  <c r="H653" i="36"/>
  <c r="H654" i="36"/>
  <c r="H655" i="36"/>
  <c r="H656" i="36"/>
  <c r="H657" i="36"/>
  <c r="H658" i="36"/>
  <c r="H659" i="36"/>
  <c r="H660" i="36"/>
  <c r="H661" i="36"/>
  <c r="H662" i="36"/>
  <c r="H663" i="36"/>
  <c r="H664" i="36"/>
  <c r="H665" i="36"/>
  <c r="H666" i="36"/>
  <c r="H667" i="36"/>
  <c r="H668" i="36"/>
  <c r="H669" i="36"/>
  <c r="H670" i="36"/>
  <c r="H671" i="36"/>
  <c r="H672" i="36"/>
  <c r="H673" i="36"/>
  <c r="H674" i="36"/>
  <c r="H675" i="36"/>
  <c r="H676" i="36"/>
  <c r="H677" i="36"/>
  <c r="H678" i="36"/>
  <c r="H679" i="36"/>
  <c r="H680" i="36"/>
  <c r="H681" i="36"/>
  <c r="H682" i="36"/>
  <c r="H683" i="36"/>
  <c r="H684" i="36"/>
  <c r="H685" i="36"/>
  <c r="H686" i="36"/>
  <c r="H687" i="36"/>
  <c r="H688" i="36"/>
  <c r="H689" i="36"/>
  <c r="H690" i="36"/>
  <c r="H691" i="36"/>
  <c r="H692" i="36"/>
  <c r="H693" i="36"/>
  <c r="H694" i="36"/>
  <c r="H695" i="36"/>
  <c r="H696" i="36"/>
  <c r="H697" i="36"/>
  <c r="H698" i="36"/>
  <c r="H699" i="36"/>
  <c r="H700" i="36"/>
  <c r="H701" i="36"/>
  <c r="H702" i="36"/>
  <c r="H703" i="36"/>
  <c r="H704" i="36"/>
  <c r="H705" i="36"/>
  <c r="H706" i="36"/>
  <c r="H707" i="36"/>
  <c r="H708" i="36"/>
  <c r="H709" i="36"/>
  <c r="H710" i="36"/>
  <c r="H711" i="36"/>
  <c r="H712" i="36"/>
  <c r="H713" i="36"/>
  <c r="H714" i="36"/>
  <c r="H715" i="36"/>
  <c r="H716" i="36"/>
  <c r="H717" i="36"/>
  <c r="H718" i="36"/>
  <c r="H719" i="36"/>
  <c r="H720" i="36"/>
  <c r="H721" i="36"/>
  <c r="H722" i="36"/>
  <c r="H723" i="36"/>
  <c r="H724" i="36"/>
  <c r="H725" i="36"/>
  <c r="H726" i="36"/>
  <c r="H727" i="36"/>
  <c r="H728" i="36"/>
  <c r="H729" i="36"/>
  <c r="H730" i="36"/>
  <c r="H731" i="36"/>
  <c r="H732" i="36"/>
  <c r="H733" i="36"/>
  <c r="H734" i="36"/>
  <c r="H735" i="36"/>
  <c r="H736" i="36"/>
  <c r="H737" i="36"/>
  <c r="H738" i="36"/>
  <c r="H739" i="36"/>
  <c r="H740" i="36"/>
  <c r="H741" i="36"/>
  <c r="H742" i="36"/>
  <c r="H743" i="36"/>
  <c r="H744" i="36"/>
  <c r="H745" i="36"/>
  <c r="H746" i="36"/>
  <c r="H747" i="36"/>
  <c r="H748" i="36"/>
  <c r="H749" i="36"/>
  <c r="H750" i="36"/>
  <c r="H751" i="36"/>
  <c r="H752" i="36"/>
  <c r="H753" i="36"/>
  <c r="H754" i="36"/>
  <c r="H755" i="36"/>
  <c r="H756" i="36"/>
  <c r="H757" i="36"/>
  <c r="H758" i="36"/>
  <c r="H759" i="36"/>
  <c r="H760" i="36"/>
  <c r="H761" i="36"/>
  <c r="H762" i="36"/>
  <c r="H763" i="36"/>
  <c r="H764" i="36"/>
  <c r="H765" i="36"/>
  <c r="H766" i="36"/>
  <c r="H767" i="36"/>
  <c r="H768" i="36"/>
  <c r="H769" i="36"/>
  <c r="H770" i="36"/>
  <c r="H771" i="36"/>
  <c r="H772" i="36"/>
  <c r="H773" i="36"/>
  <c r="H774" i="36"/>
  <c r="H775" i="36"/>
  <c r="H776" i="36"/>
  <c r="H777" i="36"/>
  <c r="H778" i="36"/>
  <c r="H779" i="36"/>
  <c r="H780" i="36"/>
  <c r="H781" i="36"/>
  <c r="H782" i="36"/>
  <c r="H783" i="36"/>
  <c r="H784" i="36"/>
  <c r="H785" i="36"/>
  <c r="H786" i="36"/>
  <c r="H787" i="36"/>
  <c r="H788" i="36"/>
  <c r="H789" i="36"/>
  <c r="H790" i="36"/>
  <c r="H791" i="36"/>
  <c r="H792" i="36"/>
  <c r="H793" i="36"/>
  <c r="H794" i="36"/>
  <c r="H795" i="36"/>
  <c r="H796" i="36"/>
  <c r="H797" i="36"/>
  <c r="H798" i="36"/>
  <c r="H799" i="36"/>
  <c r="H800" i="36"/>
  <c r="H801" i="36"/>
  <c r="H802" i="36"/>
  <c r="H803" i="36"/>
  <c r="H804" i="36"/>
  <c r="H805" i="36"/>
  <c r="H806" i="36"/>
  <c r="H807" i="36"/>
  <c r="H808" i="36"/>
  <c r="H809" i="36"/>
  <c r="H810" i="36"/>
  <c r="H811" i="36"/>
  <c r="H812" i="36"/>
  <c r="H813" i="36"/>
  <c r="H814" i="36"/>
  <c r="H815" i="36"/>
  <c r="H816" i="36"/>
  <c r="H817" i="36"/>
  <c r="H818" i="36"/>
  <c r="H819" i="36"/>
  <c r="H820" i="36"/>
  <c r="H821" i="36"/>
  <c r="H822" i="36"/>
  <c r="H823" i="36"/>
  <c r="H824" i="36"/>
  <c r="H825" i="36"/>
  <c r="H826" i="36"/>
  <c r="H827" i="36"/>
  <c r="H828" i="36"/>
  <c r="H829" i="36"/>
  <c r="H830" i="36"/>
  <c r="H831" i="36"/>
  <c r="H832" i="36"/>
  <c r="H833" i="36"/>
  <c r="H834" i="36"/>
  <c r="H835" i="36"/>
  <c r="H836" i="36"/>
  <c r="H837" i="36"/>
  <c r="H838" i="36"/>
  <c r="H839" i="36"/>
  <c r="H840" i="36"/>
  <c r="H841" i="36"/>
  <c r="H842" i="36"/>
  <c r="H843" i="36"/>
  <c r="H844" i="36"/>
  <c r="H845" i="36"/>
  <c r="H846" i="36"/>
  <c r="H847" i="36"/>
  <c r="H848" i="36"/>
  <c r="H849" i="36"/>
  <c r="H850" i="36"/>
  <c r="H851" i="36"/>
  <c r="H852" i="36"/>
  <c r="H853" i="36"/>
  <c r="H854" i="36"/>
  <c r="H855" i="36"/>
  <c r="H856" i="36"/>
  <c r="H857" i="36"/>
  <c r="H858" i="36"/>
  <c r="H859" i="36"/>
  <c r="H860" i="36"/>
  <c r="H861" i="36"/>
  <c r="H862" i="36"/>
  <c r="H863" i="36"/>
  <c r="H864" i="36"/>
  <c r="H865" i="36"/>
  <c r="H866" i="36"/>
  <c r="H867" i="36"/>
  <c r="H868" i="36"/>
  <c r="H869" i="36"/>
  <c r="H870" i="36"/>
  <c r="H871" i="36"/>
  <c r="H872" i="36"/>
  <c r="H873" i="36"/>
  <c r="H874" i="36"/>
  <c r="H875" i="36"/>
  <c r="H876" i="36"/>
  <c r="H877" i="36"/>
  <c r="H878" i="36"/>
  <c r="H879" i="36"/>
  <c r="H880" i="36"/>
  <c r="H881" i="36"/>
  <c r="H882" i="36"/>
  <c r="H883" i="36"/>
  <c r="H884" i="36"/>
  <c r="H885" i="36"/>
  <c r="H886" i="36"/>
  <c r="H887" i="36"/>
  <c r="H888" i="36"/>
  <c r="H889" i="36"/>
  <c r="H890" i="36"/>
  <c r="H891" i="36"/>
  <c r="H892" i="36"/>
  <c r="H893" i="36"/>
  <c r="H894" i="36"/>
  <c r="H895" i="36"/>
  <c r="H896" i="36"/>
  <c r="H897" i="36"/>
  <c r="H898" i="36"/>
  <c r="H899" i="36"/>
  <c r="H900" i="36"/>
  <c r="H901" i="36"/>
  <c r="H902" i="36"/>
  <c r="H903" i="36"/>
  <c r="H904" i="36"/>
  <c r="H905" i="36"/>
  <c r="H906" i="36"/>
  <c r="H907" i="36"/>
  <c r="H908" i="36"/>
  <c r="H909" i="36"/>
  <c r="H910" i="36"/>
  <c r="H911" i="36"/>
  <c r="H912" i="36"/>
  <c r="H913" i="36"/>
  <c r="H914" i="36"/>
  <c r="H915" i="36"/>
  <c r="H916" i="36"/>
  <c r="H917" i="36"/>
  <c r="H918" i="36"/>
  <c r="H919" i="36"/>
  <c r="H920" i="36"/>
  <c r="H921" i="36"/>
  <c r="H922" i="36"/>
  <c r="H923" i="36"/>
  <c r="H924" i="36"/>
  <c r="H925" i="36"/>
  <c r="H926" i="36"/>
  <c r="H927" i="36"/>
  <c r="H928" i="36"/>
  <c r="H929" i="36"/>
  <c r="H930" i="36"/>
  <c r="H931" i="36"/>
  <c r="H932" i="36"/>
  <c r="H933" i="36"/>
  <c r="H934" i="36"/>
  <c r="H935" i="36"/>
  <c r="H936" i="36"/>
  <c r="H937" i="36"/>
  <c r="H938" i="36"/>
  <c r="H939" i="36"/>
  <c r="H940" i="36"/>
  <c r="H941" i="36"/>
  <c r="H942" i="36"/>
  <c r="H943" i="36"/>
  <c r="H944" i="36"/>
  <c r="H945" i="36"/>
  <c r="H946" i="36"/>
  <c r="H947" i="36"/>
  <c r="H948" i="36"/>
  <c r="H949" i="36"/>
  <c r="H950" i="36"/>
  <c r="H951" i="36"/>
  <c r="H952" i="36"/>
  <c r="H953" i="36"/>
  <c r="H954" i="36"/>
  <c r="H955" i="36"/>
  <c r="H956" i="36"/>
  <c r="H957" i="36"/>
  <c r="H958" i="36"/>
  <c r="H959" i="36"/>
  <c r="H960" i="36"/>
  <c r="H961" i="36"/>
  <c r="H962" i="36"/>
  <c r="H963" i="36"/>
  <c r="H964" i="36"/>
  <c r="H965" i="36"/>
  <c r="H966" i="36"/>
  <c r="H967" i="36"/>
  <c r="H968" i="36"/>
  <c r="H969" i="36"/>
  <c r="H970" i="36"/>
  <c r="H971" i="36"/>
  <c r="H972" i="36"/>
  <c r="H973" i="36"/>
  <c r="H974" i="36"/>
  <c r="H975" i="36"/>
  <c r="H976" i="36"/>
  <c r="H977" i="36"/>
  <c r="H978" i="36"/>
  <c r="H979" i="36"/>
  <c r="H980" i="36"/>
  <c r="H981" i="36"/>
  <c r="H982" i="36"/>
  <c r="H983" i="36"/>
  <c r="H984" i="36"/>
  <c r="H985" i="36"/>
  <c r="H986" i="36"/>
  <c r="H987" i="36"/>
  <c r="H988" i="36"/>
  <c r="H989" i="36"/>
  <c r="H990" i="36"/>
  <c r="H991" i="36"/>
  <c r="H992" i="36"/>
  <c r="H993" i="36"/>
  <c r="H994" i="36"/>
  <c r="H995" i="36"/>
  <c r="H996" i="36"/>
  <c r="H997" i="36"/>
  <c r="H998" i="36"/>
  <c r="H999" i="36"/>
  <c r="H1000" i="36"/>
  <c r="H1001" i="36"/>
  <c r="H1002" i="36"/>
  <c r="H1003" i="36"/>
  <c r="H1004" i="36"/>
  <c r="H1005" i="36"/>
  <c r="H1006" i="36"/>
  <c r="H1007" i="36"/>
  <c r="H1008" i="36"/>
  <c r="H1009" i="36"/>
  <c r="H1010" i="36"/>
  <c r="H1011" i="36"/>
  <c r="H1012" i="36"/>
  <c r="H1013" i="36"/>
  <c r="H1014" i="36"/>
  <c r="H1015" i="36"/>
  <c r="H1016" i="36"/>
  <c r="H1017" i="36"/>
  <c r="H1018" i="36"/>
  <c r="H1019" i="36"/>
  <c r="H1020" i="36"/>
  <c r="H1021" i="36"/>
  <c r="H1022" i="36"/>
  <c r="H1023" i="36"/>
  <c r="H1024" i="36"/>
  <c r="H1025" i="36"/>
  <c r="H1026" i="36"/>
  <c r="H1027" i="36"/>
  <c r="H1028" i="36"/>
  <c r="H1029" i="36"/>
  <c r="H1030" i="36"/>
  <c r="H1031" i="36"/>
  <c r="H1032" i="36"/>
  <c r="H1033" i="36"/>
  <c r="H1034" i="36"/>
  <c r="H1035" i="36"/>
  <c r="H1036" i="36"/>
  <c r="H1037" i="36"/>
  <c r="H1038" i="36"/>
  <c r="H1039" i="36"/>
  <c r="H1040" i="36"/>
  <c r="H1041" i="36"/>
  <c r="H1042" i="36"/>
  <c r="H1043" i="36"/>
  <c r="H1044" i="36"/>
  <c r="H1045" i="36"/>
  <c r="H1046" i="36"/>
  <c r="H1047" i="36"/>
  <c r="H1048" i="36"/>
  <c r="H1049" i="36"/>
  <c r="H1050" i="36"/>
  <c r="H1051" i="36"/>
  <c r="H1052" i="36"/>
  <c r="H1053" i="36"/>
  <c r="H1054" i="36"/>
  <c r="H1055" i="36"/>
  <c r="H1056" i="36"/>
  <c r="H1057" i="36"/>
  <c r="H1058" i="36"/>
  <c r="H1059" i="36"/>
  <c r="H1060" i="36"/>
  <c r="H1061" i="36"/>
  <c r="H1062" i="36"/>
  <c r="H1063" i="36"/>
  <c r="H1064" i="36"/>
  <c r="H1065" i="36"/>
  <c r="H1066" i="36"/>
  <c r="H1067" i="36"/>
  <c r="H1068" i="36"/>
  <c r="H1069" i="36"/>
  <c r="H1070" i="36"/>
  <c r="H1071" i="36"/>
  <c r="H1072" i="36"/>
  <c r="H1073" i="36"/>
  <c r="H1074" i="36"/>
  <c r="H1075" i="36"/>
  <c r="H1076" i="36"/>
  <c r="H1077" i="36"/>
  <c r="H1078" i="36"/>
  <c r="H1079" i="36"/>
  <c r="H1080" i="36"/>
  <c r="H1081" i="36"/>
  <c r="H1082" i="36"/>
  <c r="H1083" i="36"/>
  <c r="H1084" i="36"/>
  <c r="H1085" i="36"/>
  <c r="H1086" i="36"/>
  <c r="H1087" i="36"/>
  <c r="H1088" i="36"/>
  <c r="H1089" i="36"/>
  <c r="H1090" i="36"/>
  <c r="H1091" i="36"/>
  <c r="H1092" i="36"/>
  <c r="H1093" i="36"/>
  <c r="H1094" i="36"/>
  <c r="H1095" i="36"/>
  <c r="H1096" i="36"/>
  <c r="H1097" i="36"/>
  <c r="H1098" i="36"/>
  <c r="H1099" i="36"/>
  <c r="H1100" i="36"/>
  <c r="H1101" i="36"/>
  <c r="H1102" i="36"/>
  <c r="H1103" i="36"/>
  <c r="H1104" i="36"/>
  <c r="H1105" i="36"/>
  <c r="H1106" i="36"/>
  <c r="H1107" i="36"/>
  <c r="H1108" i="36"/>
  <c r="H1109" i="36"/>
  <c r="H1110" i="36"/>
  <c r="H1111" i="36"/>
  <c r="H1112" i="36"/>
  <c r="H1113" i="36"/>
  <c r="H1114" i="36"/>
  <c r="H1115" i="36"/>
  <c r="H1116" i="36"/>
  <c r="H1117" i="36"/>
  <c r="H1118" i="36"/>
  <c r="H1119" i="36"/>
  <c r="H1120" i="36"/>
  <c r="H1121" i="36"/>
  <c r="H1122" i="36"/>
  <c r="H1123" i="36"/>
  <c r="H1124" i="36"/>
  <c r="H1125" i="36"/>
  <c r="H1126" i="36"/>
  <c r="H1127" i="36"/>
  <c r="H1128" i="36"/>
  <c r="H1129" i="36"/>
  <c r="H1130" i="36"/>
  <c r="H1131" i="36"/>
  <c r="H1132" i="36"/>
  <c r="H1133" i="36"/>
  <c r="H1134" i="36"/>
  <c r="H1135" i="36"/>
  <c r="H1136" i="36"/>
  <c r="H1137" i="36"/>
  <c r="H1138" i="36"/>
  <c r="H1139" i="36"/>
  <c r="H1140" i="36"/>
  <c r="H1141" i="36"/>
  <c r="H1142" i="36"/>
  <c r="H1143" i="36"/>
  <c r="H1144" i="36"/>
  <c r="H1145" i="36"/>
  <c r="H1146" i="36"/>
  <c r="H1147" i="36"/>
  <c r="H1148" i="36"/>
  <c r="H1149" i="36"/>
  <c r="H1150" i="36"/>
  <c r="H1151" i="36"/>
  <c r="H1152" i="36"/>
  <c r="H1153" i="36"/>
  <c r="H1154" i="36"/>
  <c r="H1155" i="36"/>
  <c r="H1156" i="36"/>
  <c r="H1157" i="36"/>
  <c r="H1158" i="36"/>
  <c r="H1159" i="36"/>
  <c r="H1160" i="36"/>
  <c r="H1161" i="36"/>
  <c r="H1162" i="36"/>
  <c r="H1163" i="36"/>
  <c r="H1164" i="36"/>
  <c r="H1165" i="36"/>
  <c r="H1166" i="36"/>
  <c r="H1167" i="36"/>
  <c r="H1168" i="36"/>
  <c r="H1169" i="36"/>
  <c r="H1170" i="36"/>
  <c r="H1171" i="36"/>
  <c r="H1172" i="36"/>
  <c r="H1173" i="36"/>
  <c r="H1174" i="36"/>
  <c r="H1175" i="36"/>
  <c r="H1176" i="36"/>
  <c r="H1177" i="36"/>
  <c r="H1178" i="36"/>
  <c r="H1179" i="36"/>
  <c r="H1180" i="36"/>
  <c r="H1181" i="36"/>
  <c r="H1182" i="36"/>
  <c r="H1183" i="36"/>
  <c r="H1184" i="36"/>
  <c r="H1185" i="36"/>
  <c r="H1186" i="36"/>
  <c r="H1187" i="36"/>
  <c r="H1188" i="36"/>
  <c r="H1189" i="36"/>
  <c r="H1190" i="36"/>
  <c r="H1191" i="36"/>
  <c r="H1192" i="36"/>
  <c r="H1193" i="36"/>
  <c r="H1194" i="36"/>
  <c r="H1195" i="36"/>
  <c r="H1196" i="36"/>
  <c r="H1197" i="36"/>
  <c r="H1198" i="36"/>
  <c r="H1199" i="36"/>
  <c r="H1200" i="36"/>
  <c r="H1201" i="36"/>
  <c r="H1202" i="36"/>
  <c r="H1203" i="36"/>
  <c r="H1204" i="36"/>
  <c r="H1205" i="36"/>
  <c r="H1206" i="36"/>
  <c r="H1207" i="36"/>
  <c r="H1208" i="36"/>
  <c r="H1209" i="36"/>
  <c r="H1210" i="36"/>
  <c r="H1211" i="36"/>
  <c r="H1212" i="36"/>
  <c r="H1213" i="36"/>
  <c r="H1214" i="36"/>
  <c r="H1215" i="36"/>
  <c r="H1216" i="36"/>
  <c r="H1217" i="36"/>
  <c r="H1218" i="36"/>
  <c r="H1219" i="36"/>
  <c r="H1220" i="36"/>
  <c r="H1221" i="36"/>
  <c r="H1222" i="36"/>
  <c r="H1223" i="36"/>
  <c r="H1224" i="36"/>
  <c r="H1225" i="36"/>
  <c r="H1226" i="36"/>
  <c r="H1227" i="36"/>
  <c r="H1228" i="36"/>
  <c r="H1229" i="36"/>
  <c r="H1230" i="36"/>
  <c r="H1231" i="36"/>
  <c r="H1232" i="36"/>
  <c r="H1233" i="36"/>
  <c r="H1234" i="36"/>
  <c r="H1235" i="36"/>
  <c r="H1236" i="36"/>
  <c r="H1237" i="36"/>
  <c r="H1238" i="36"/>
  <c r="H1239" i="36"/>
  <c r="H1240" i="36"/>
  <c r="H1241" i="36"/>
  <c r="H1242" i="36"/>
  <c r="H1243" i="36"/>
  <c r="H1244" i="36"/>
  <c r="H1245" i="36"/>
  <c r="H1246" i="36"/>
  <c r="H1247" i="36"/>
  <c r="H1248" i="36"/>
  <c r="H1249" i="36"/>
  <c r="H1250" i="36"/>
  <c r="H1251" i="36"/>
  <c r="H1252" i="36"/>
  <c r="H1253" i="36"/>
  <c r="H1254" i="36"/>
  <c r="H1255" i="36"/>
  <c r="H1256" i="36"/>
  <c r="H1257" i="36"/>
  <c r="H1258" i="36"/>
  <c r="H1259" i="36"/>
  <c r="H1260" i="36"/>
  <c r="H1261" i="36"/>
  <c r="H1262" i="36"/>
  <c r="H1263" i="36"/>
  <c r="H1264" i="36"/>
  <c r="H1265" i="36"/>
  <c r="H1266" i="36"/>
  <c r="H1267" i="36"/>
  <c r="H1268" i="36"/>
  <c r="H1269" i="36"/>
  <c r="H1270" i="36"/>
  <c r="H1271" i="36"/>
  <c r="H1272" i="36"/>
  <c r="H1273" i="36"/>
  <c r="H1274" i="36"/>
  <c r="H1275" i="36"/>
  <c r="H1276" i="36"/>
  <c r="H1277" i="36"/>
  <c r="H1278" i="36"/>
  <c r="H1279" i="36"/>
  <c r="H1280" i="36"/>
  <c r="H1281" i="36"/>
  <c r="H1282" i="36"/>
  <c r="H1283" i="36"/>
  <c r="H1284" i="36"/>
  <c r="H1285" i="36"/>
  <c r="H1286" i="36"/>
  <c r="H1287" i="36"/>
  <c r="H1288" i="36"/>
  <c r="H1289" i="36"/>
  <c r="H1290" i="36"/>
  <c r="H1291" i="36"/>
  <c r="H1292" i="36"/>
  <c r="H1293" i="36"/>
  <c r="H1294" i="36"/>
  <c r="H1295" i="36"/>
  <c r="H1296" i="36"/>
  <c r="H1297" i="36"/>
  <c r="H1298" i="36"/>
  <c r="H1299" i="36"/>
  <c r="H1300" i="36"/>
  <c r="H1301" i="36"/>
  <c r="H1302" i="36"/>
  <c r="H1303" i="36"/>
  <c r="H1304" i="36"/>
  <c r="H1305" i="36"/>
  <c r="H1306" i="36"/>
  <c r="H1307" i="36"/>
  <c r="H1308" i="36"/>
  <c r="H1309" i="36"/>
  <c r="H1310" i="36"/>
  <c r="H1311" i="36"/>
  <c r="H1312" i="36"/>
  <c r="H1313" i="36"/>
  <c r="H1314" i="36"/>
  <c r="H1315" i="36"/>
  <c r="H1316" i="36"/>
  <c r="H1317" i="36"/>
  <c r="H1318" i="36"/>
  <c r="H1319" i="36"/>
  <c r="H1320" i="36"/>
  <c r="H1321" i="36"/>
  <c r="H1322" i="36"/>
  <c r="H1323" i="36"/>
  <c r="H1324" i="36"/>
  <c r="H1325" i="36"/>
  <c r="H1326" i="36"/>
  <c r="H1327" i="36"/>
  <c r="H1328" i="36"/>
  <c r="H1329" i="36"/>
  <c r="H1330" i="36"/>
  <c r="H1331" i="36"/>
  <c r="H1332" i="36"/>
  <c r="H1333" i="36"/>
  <c r="H1334" i="36"/>
  <c r="H1335" i="36"/>
  <c r="H1336" i="36"/>
  <c r="H1337" i="36"/>
  <c r="H1338" i="36"/>
  <c r="H1339" i="36"/>
  <c r="H1340" i="36"/>
  <c r="H1341" i="36"/>
  <c r="H1342" i="36"/>
  <c r="H1343" i="36"/>
  <c r="H1344" i="36"/>
  <c r="H1345" i="36"/>
  <c r="H1346" i="36"/>
  <c r="H1347" i="36"/>
  <c r="H1348" i="36"/>
  <c r="H1349" i="36"/>
  <c r="H1350" i="36"/>
  <c r="H1351" i="36"/>
  <c r="H1352" i="36"/>
  <c r="H1353" i="36"/>
  <c r="H1354" i="36"/>
  <c r="H1355" i="36"/>
  <c r="H1356" i="36"/>
  <c r="H1357" i="36"/>
  <c r="H1358" i="36"/>
  <c r="H1" i="36"/>
  <c r="G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G144" i="36"/>
  <c r="G145" i="36"/>
  <c r="G146" i="36"/>
  <c r="G147" i="36"/>
  <c r="G148" i="36"/>
  <c r="G149" i="36"/>
  <c r="G150" i="36"/>
  <c r="G151" i="36"/>
  <c r="G152" i="36"/>
  <c r="G153" i="36"/>
  <c r="G154" i="36"/>
  <c r="G155" i="36"/>
  <c r="G156" i="36"/>
  <c r="G157" i="36"/>
  <c r="G158" i="36"/>
  <c r="G159" i="36"/>
  <c r="G160" i="36"/>
  <c r="G161" i="36"/>
  <c r="G162" i="36"/>
  <c r="G163" i="36"/>
  <c r="G164" i="36"/>
  <c r="G165" i="36"/>
  <c r="G166" i="36"/>
  <c r="G167" i="36"/>
  <c r="G168" i="36"/>
  <c r="G169" i="36"/>
  <c r="G170" i="36"/>
  <c r="G171" i="36"/>
  <c r="G172" i="36"/>
  <c r="G173" i="36"/>
  <c r="G174" i="36"/>
  <c r="G175" i="36"/>
  <c r="G176" i="36"/>
  <c r="G177" i="36"/>
  <c r="G178" i="36"/>
  <c r="G179" i="36"/>
  <c r="G180" i="36"/>
  <c r="G181" i="36"/>
  <c r="G182" i="36"/>
  <c r="G183" i="36"/>
  <c r="G184" i="36"/>
  <c r="G185" i="36"/>
  <c r="G186" i="36"/>
  <c r="G187" i="36"/>
  <c r="G188" i="36"/>
  <c r="G189" i="36"/>
  <c r="G190" i="36"/>
  <c r="G191" i="36"/>
  <c r="G192" i="36"/>
  <c r="G193" i="36"/>
  <c r="G194" i="36"/>
  <c r="G195" i="36"/>
  <c r="G196" i="36"/>
  <c r="G197" i="36"/>
  <c r="G198" i="36"/>
  <c r="G199" i="36"/>
  <c r="G200" i="36"/>
  <c r="G201" i="36"/>
  <c r="G202" i="36"/>
  <c r="G203" i="36"/>
  <c r="G204" i="36"/>
  <c r="G205" i="36"/>
  <c r="G206" i="36"/>
  <c r="G207" i="36"/>
  <c r="G208" i="36"/>
  <c r="G209" i="36"/>
  <c r="G210" i="36"/>
  <c r="G211" i="36"/>
  <c r="G212" i="36"/>
  <c r="G213" i="36"/>
  <c r="G214" i="36"/>
  <c r="G215" i="36"/>
  <c r="G216" i="36"/>
  <c r="G217" i="36"/>
  <c r="G218" i="36"/>
  <c r="G219" i="36"/>
  <c r="G220" i="36"/>
  <c r="G221" i="36"/>
  <c r="G222" i="36"/>
  <c r="G223" i="36"/>
  <c r="G224" i="36"/>
  <c r="G225" i="36"/>
  <c r="G226" i="36"/>
  <c r="G227" i="36"/>
  <c r="G228" i="36"/>
  <c r="G229" i="36"/>
  <c r="G230" i="36"/>
  <c r="G231" i="36"/>
  <c r="G232" i="36"/>
  <c r="G233" i="36"/>
  <c r="G234" i="36"/>
  <c r="G235" i="36"/>
  <c r="G236" i="36"/>
  <c r="G237" i="36"/>
  <c r="G238" i="36"/>
  <c r="G239" i="36"/>
  <c r="G240" i="36"/>
  <c r="G241" i="36"/>
  <c r="G242" i="36"/>
  <c r="G243" i="36"/>
  <c r="G244" i="36"/>
  <c r="G245" i="36"/>
  <c r="G246" i="36"/>
  <c r="G247" i="36"/>
  <c r="G248" i="36"/>
  <c r="G249" i="36"/>
  <c r="G250" i="36"/>
  <c r="G251" i="36"/>
  <c r="G252" i="36"/>
  <c r="G253" i="36"/>
  <c r="G254" i="36"/>
  <c r="G255" i="36"/>
  <c r="G256" i="36"/>
  <c r="G257" i="36"/>
  <c r="G258" i="36"/>
  <c r="G259" i="36"/>
  <c r="G260" i="36"/>
  <c r="G261" i="36"/>
  <c r="G262" i="36"/>
  <c r="G263" i="36"/>
  <c r="G264" i="36"/>
  <c r="G265" i="36"/>
  <c r="G266" i="36"/>
  <c r="G267" i="36"/>
  <c r="G268" i="36"/>
  <c r="G269" i="36"/>
  <c r="G270" i="36"/>
  <c r="G271" i="36"/>
  <c r="G272" i="36"/>
  <c r="G273" i="36"/>
  <c r="G274" i="36"/>
  <c r="G275" i="36"/>
  <c r="G276" i="36"/>
  <c r="G277" i="36"/>
  <c r="G278" i="36"/>
  <c r="G279" i="36"/>
  <c r="G280" i="36"/>
  <c r="G281" i="36"/>
  <c r="G282" i="36"/>
  <c r="G283" i="36"/>
  <c r="G284" i="36"/>
  <c r="G285" i="36"/>
  <c r="G286" i="36"/>
  <c r="G287" i="36"/>
  <c r="G288" i="36"/>
  <c r="G289" i="36"/>
  <c r="G290" i="36"/>
  <c r="G291" i="36"/>
  <c r="G292" i="36"/>
  <c r="G293" i="36"/>
  <c r="G294" i="36"/>
  <c r="G295" i="36"/>
  <c r="G296" i="36"/>
  <c r="G297" i="36"/>
  <c r="G298" i="36"/>
  <c r="G299" i="36"/>
  <c r="G300" i="36"/>
  <c r="G301" i="36"/>
  <c r="G302" i="36"/>
  <c r="G303" i="36"/>
  <c r="G304" i="36"/>
  <c r="G305" i="36"/>
  <c r="G306" i="36"/>
  <c r="G307" i="36"/>
  <c r="G308" i="36"/>
  <c r="G309" i="36"/>
  <c r="G310" i="36"/>
  <c r="G311" i="36"/>
  <c r="G312" i="36"/>
  <c r="G313" i="36"/>
  <c r="G314" i="36"/>
  <c r="G315" i="36"/>
  <c r="G316" i="36"/>
  <c r="G317" i="36"/>
  <c r="G318" i="36"/>
  <c r="G319" i="36"/>
  <c r="G320" i="36"/>
  <c r="G321" i="36"/>
  <c r="G322" i="36"/>
  <c r="G323" i="36"/>
  <c r="G324" i="36"/>
  <c r="G325" i="36"/>
  <c r="G326" i="36"/>
  <c r="G327" i="36"/>
  <c r="G328" i="36"/>
  <c r="G329" i="36"/>
  <c r="G330" i="36"/>
  <c r="G331" i="36"/>
  <c r="G332" i="36"/>
  <c r="G333" i="36"/>
  <c r="G334" i="36"/>
  <c r="G335" i="36"/>
  <c r="G336" i="36"/>
  <c r="G337" i="36"/>
  <c r="G338" i="36"/>
  <c r="G339" i="36"/>
  <c r="G340" i="36"/>
  <c r="G341" i="36"/>
  <c r="G342" i="36"/>
  <c r="G343" i="36"/>
  <c r="G344" i="36"/>
  <c r="G345" i="36"/>
  <c r="G346" i="36"/>
  <c r="G347" i="36"/>
  <c r="G348" i="36"/>
  <c r="G349" i="36"/>
  <c r="G350" i="36"/>
  <c r="G351" i="36"/>
  <c r="G352" i="36"/>
  <c r="G353" i="36"/>
  <c r="G354" i="36"/>
  <c r="G355" i="36"/>
  <c r="G356" i="36"/>
  <c r="G357" i="36"/>
  <c r="G358" i="36"/>
  <c r="G359" i="36"/>
  <c r="G360" i="36"/>
  <c r="G361" i="36"/>
  <c r="G362" i="36"/>
  <c r="G363" i="36"/>
  <c r="G364" i="36"/>
  <c r="G365" i="36"/>
  <c r="G366" i="36"/>
  <c r="G367" i="36"/>
  <c r="G368" i="36"/>
  <c r="G369" i="36"/>
  <c r="G370" i="36"/>
  <c r="G371" i="36"/>
  <c r="G372" i="36"/>
  <c r="G373" i="36"/>
  <c r="G374" i="36"/>
  <c r="G375" i="36"/>
  <c r="G376" i="36"/>
  <c r="G377" i="36"/>
  <c r="G378" i="36"/>
  <c r="G379" i="36"/>
  <c r="G380" i="36"/>
  <c r="G381" i="36"/>
  <c r="G382" i="36"/>
  <c r="G383" i="36"/>
  <c r="G384" i="36"/>
  <c r="G385" i="36"/>
  <c r="G386" i="36"/>
  <c r="G387" i="36"/>
  <c r="G388" i="36"/>
  <c r="G389" i="36"/>
  <c r="G390" i="36"/>
  <c r="G391" i="36"/>
  <c r="G392" i="36"/>
  <c r="G393" i="36"/>
  <c r="G394" i="36"/>
  <c r="G395" i="36"/>
  <c r="G396" i="36"/>
  <c r="G397" i="36"/>
  <c r="G398" i="36"/>
  <c r="G399" i="36"/>
  <c r="G400" i="36"/>
  <c r="G401" i="36"/>
  <c r="G402" i="36"/>
  <c r="G403" i="36"/>
  <c r="G404" i="36"/>
  <c r="G405" i="36"/>
  <c r="G406" i="36"/>
  <c r="G407" i="36"/>
  <c r="G408" i="36"/>
  <c r="G409" i="36"/>
  <c r="G410" i="36"/>
  <c r="G411" i="36"/>
  <c r="G412" i="36"/>
  <c r="G413" i="36"/>
  <c r="G414" i="36"/>
  <c r="G415" i="36"/>
  <c r="G416" i="36"/>
  <c r="G417" i="36"/>
  <c r="G418" i="36"/>
  <c r="G419" i="36"/>
  <c r="G420" i="36"/>
  <c r="G421" i="36"/>
  <c r="G422" i="36"/>
  <c r="G423" i="36"/>
  <c r="G424" i="36"/>
  <c r="G425" i="36"/>
  <c r="G426" i="36"/>
  <c r="G427" i="36"/>
  <c r="G428" i="36"/>
  <c r="G429" i="36"/>
  <c r="G430" i="36"/>
  <c r="G431" i="36"/>
  <c r="G432" i="36"/>
  <c r="G433" i="36"/>
  <c r="G434" i="36"/>
  <c r="G435" i="36"/>
  <c r="G436" i="36"/>
  <c r="G437" i="36"/>
  <c r="G438" i="36"/>
  <c r="G439" i="36"/>
  <c r="G440" i="36"/>
  <c r="G441" i="36"/>
  <c r="G442" i="36"/>
  <c r="G443" i="36"/>
  <c r="G444" i="36"/>
  <c r="G445" i="36"/>
  <c r="G446" i="36"/>
  <c r="G447" i="36"/>
  <c r="G448" i="36"/>
  <c r="G449" i="36"/>
  <c r="G450" i="36"/>
  <c r="G451" i="36"/>
  <c r="G452" i="36"/>
  <c r="G453" i="36"/>
  <c r="G454" i="36"/>
  <c r="G455" i="36"/>
  <c r="G456" i="36"/>
  <c r="G457" i="36"/>
  <c r="G458" i="36"/>
  <c r="G459" i="36"/>
  <c r="G460" i="36"/>
  <c r="G461" i="36"/>
  <c r="G462" i="36"/>
  <c r="G463" i="36"/>
  <c r="G464" i="36"/>
  <c r="G465" i="36"/>
  <c r="G466" i="36"/>
  <c r="G467" i="36"/>
  <c r="G468" i="36"/>
  <c r="G469" i="36"/>
  <c r="G470" i="36"/>
  <c r="G471" i="36"/>
  <c r="G472" i="36"/>
  <c r="G473" i="36"/>
  <c r="G474" i="36"/>
  <c r="G475" i="36"/>
  <c r="G476" i="36"/>
  <c r="G477" i="36"/>
  <c r="G478" i="36"/>
  <c r="G479" i="36"/>
  <c r="G480" i="36"/>
  <c r="G481" i="36"/>
  <c r="G482" i="36"/>
  <c r="G483" i="36"/>
  <c r="G484" i="36"/>
  <c r="G485" i="36"/>
  <c r="G486" i="36"/>
  <c r="G487" i="36"/>
  <c r="G488" i="36"/>
  <c r="G489" i="36"/>
  <c r="G490" i="36"/>
  <c r="G491" i="36"/>
  <c r="G492" i="36"/>
  <c r="G493" i="36"/>
  <c r="G494" i="36"/>
  <c r="G495" i="36"/>
  <c r="G496" i="36"/>
  <c r="G497" i="36"/>
  <c r="G498" i="36"/>
  <c r="G499" i="36"/>
  <c r="G500" i="36"/>
  <c r="G501" i="36"/>
  <c r="G502" i="36"/>
  <c r="G503" i="36"/>
  <c r="G504" i="36"/>
  <c r="G505" i="36"/>
  <c r="G506" i="36"/>
  <c r="G507" i="36"/>
  <c r="G508" i="36"/>
  <c r="G509" i="36"/>
  <c r="G510" i="36"/>
  <c r="G511" i="36"/>
  <c r="G512" i="36"/>
  <c r="G513" i="36"/>
  <c r="G514" i="36"/>
  <c r="G515" i="36"/>
  <c r="G516" i="36"/>
  <c r="G517" i="36"/>
  <c r="G518" i="36"/>
  <c r="G519" i="36"/>
  <c r="G520" i="36"/>
  <c r="G521" i="36"/>
  <c r="G522" i="36"/>
  <c r="G523" i="36"/>
  <c r="G524" i="36"/>
  <c r="G525" i="36"/>
  <c r="G526" i="36"/>
  <c r="G527" i="36"/>
  <c r="G528" i="36"/>
  <c r="G529" i="36"/>
  <c r="G530" i="36"/>
  <c r="G531" i="36"/>
  <c r="G532" i="36"/>
  <c r="G533" i="36"/>
  <c r="G534" i="36"/>
  <c r="G535" i="36"/>
  <c r="G536" i="36"/>
  <c r="G537" i="36"/>
  <c r="G538" i="36"/>
  <c r="G539" i="36"/>
  <c r="G540" i="36"/>
  <c r="G541" i="36"/>
  <c r="G542" i="36"/>
  <c r="G543" i="36"/>
  <c r="G544" i="36"/>
  <c r="G545" i="36"/>
  <c r="G546" i="36"/>
  <c r="G547" i="36"/>
  <c r="G548" i="36"/>
  <c r="G549" i="36"/>
  <c r="G550" i="36"/>
  <c r="G551" i="36"/>
  <c r="G552" i="36"/>
  <c r="G553" i="36"/>
  <c r="G554" i="36"/>
  <c r="G555" i="36"/>
  <c r="G556" i="36"/>
  <c r="G557" i="36"/>
  <c r="G558" i="36"/>
  <c r="G559" i="36"/>
  <c r="G560" i="36"/>
  <c r="G561" i="36"/>
  <c r="G562" i="36"/>
  <c r="G563" i="36"/>
  <c r="G564" i="36"/>
  <c r="G565" i="36"/>
  <c r="G566" i="36"/>
  <c r="G567" i="36"/>
  <c r="G568" i="36"/>
  <c r="G569" i="36"/>
  <c r="G570" i="36"/>
  <c r="G571" i="36"/>
  <c r="G572" i="36"/>
  <c r="G573" i="36"/>
  <c r="G574" i="36"/>
  <c r="G575" i="36"/>
  <c r="G576" i="36"/>
  <c r="G577" i="36"/>
  <c r="G578" i="36"/>
  <c r="G579" i="36"/>
  <c r="G580" i="36"/>
  <c r="G581" i="36"/>
  <c r="G582" i="36"/>
  <c r="G583" i="36"/>
  <c r="G584" i="36"/>
  <c r="G585" i="36"/>
  <c r="G586" i="36"/>
  <c r="G587" i="36"/>
  <c r="G588" i="36"/>
  <c r="G589" i="36"/>
  <c r="G590" i="36"/>
  <c r="G591" i="36"/>
  <c r="G592" i="36"/>
  <c r="G593" i="36"/>
  <c r="G594" i="36"/>
  <c r="G595" i="36"/>
  <c r="G596" i="36"/>
  <c r="G597" i="36"/>
  <c r="G598" i="36"/>
  <c r="G599" i="36"/>
  <c r="G600" i="36"/>
  <c r="G601" i="36"/>
  <c r="G602" i="36"/>
  <c r="G603" i="36"/>
  <c r="G604" i="36"/>
  <c r="G605" i="36"/>
  <c r="G606" i="36"/>
  <c r="G607" i="36"/>
  <c r="G608" i="36"/>
  <c r="G609" i="36"/>
  <c r="G610" i="36"/>
  <c r="G611" i="36"/>
  <c r="G612" i="36"/>
  <c r="G613" i="36"/>
  <c r="G614" i="36"/>
  <c r="G615" i="36"/>
  <c r="G616" i="36"/>
  <c r="G617" i="36"/>
  <c r="G618" i="36"/>
  <c r="G619" i="36"/>
  <c r="G620" i="36"/>
  <c r="G621" i="36"/>
  <c r="G622" i="36"/>
  <c r="G623" i="36"/>
  <c r="G624" i="36"/>
  <c r="G625" i="36"/>
  <c r="G626" i="36"/>
  <c r="G627" i="36"/>
  <c r="G628" i="36"/>
  <c r="G629" i="36"/>
  <c r="G630" i="36"/>
  <c r="G631" i="36"/>
  <c r="G632" i="36"/>
  <c r="G633" i="36"/>
  <c r="G634" i="36"/>
  <c r="G635" i="36"/>
  <c r="G636" i="36"/>
  <c r="G637" i="36"/>
  <c r="G638" i="36"/>
  <c r="G639" i="36"/>
  <c r="G640" i="36"/>
  <c r="G641" i="36"/>
  <c r="G642" i="36"/>
  <c r="G643" i="36"/>
  <c r="G644" i="36"/>
  <c r="G645" i="36"/>
  <c r="G646" i="36"/>
  <c r="G647" i="36"/>
  <c r="G648" i="36"/>
  <c r="G649" i="36"/>
  <c r="G650" i="36"/>
  <c r="G651" i="36"/>
  <c r="G652" i="36"/>
  <c r="G653" i="36"/>
  <c r="G654" i="36"/>
  <c r="G655" i="36"/>
  <c r="G656" i="36"/>
  <c r="G657" i="36"/>
  <c r="G658" i="36"/>
  <c r="G659" i="36"/>
  <c r="G660" i="36"/>
  <c r="G661" i="36"/>
  <c r="G662" i="36"/>
  <c r="G663" i="36"/>
  <c r="G664" i="36"/>
  <c r="G665" i="36"/>
  <c r="G666" i="36"/>
  <c r="G667" i="36"/>
  <c r="G668" i="36"/>
  <c r="G669" i="36"/>
  <c r="G670" i="36"/>
  <c r="G671" i="36"/>
  <c r="G672" i="36"/>
  <c r="G673" i="36"/>
  <c r="G674" i="36"/>
  <c r="G675" i="36"/>
  <c r="G676" i="36"/>
  <c r="G677" i="36"/>
  <c r="G678" i="36"/>
  <c r="G679" i="36"/>
  <c r="G680" i="36"/>
  <c r="G681" i="36"/>
  <c r="G682" i="36"/>
  <c r="G683" i="36"/>
  <c r="G684" i="36"/>
  <c r="G685" i="36"/>
  <c r="G686" i="36"/>
  <c r="G687" i="36"/>
  <c r="G688" i="36"/>
  <c r="G689" i="36"/>
  <c r="G690" i="36"/>
  <c r="G691" i="36"/>
  <c r="G692" i="36"/>
  <c r="G693" i="36"/>
  <c r="G694" i="36"/>
  <c r="G695" i="36"/>
  <c r="G696" i="36"/>
  <c r="G697" i="36"/>
  <c r="G698" i="36"/>
  <c r="G699" i="36"/>
  <c r="G700" i="36"/>
  <c r="G701" i="36"/>
  <c r="G702" i="36"/>
  <c r="G703" i="36"/>
  <c r="G704" i="36"/>
  <c r="G705" i="36"/>
  <c r="G706" i="36"/>
  <c r="G707" i="36"/>
  <c r="G708" i="36"/>
  <c r="G709" i="36"/>
  <c r="G710" i="36"/>
  <c r="G711" i="36"/>
  <c r="G712" i="36"/>
  <c r="G713" i="36"/>
  <c r="G714" i="36"/>
  <c r="G715" i="36"/>
  <c r="G716" i="36"/>
  <c r="G717" i="36"/>
  <c r="G718" i="36"/>
  <c r="G719" i="36"/>
  <c r="G720" i="36"/>
  <c r="G721" i="36"/>
  <c r="G722" i="36"/>
  <c r="G723" i="36"/>
  <c r="G724" i="36"/>
  <c r="G725" i="36"/>
  <c r="G726" i="36"/>
  <c r="G727" i="36"/>
  <c r="G728" i="36"/>
  <c r="G729" i="36"/>
  <c r="G730" i="36"/>
  <c r="G731" i="36"/>
  <c r="G732" i="36"/>
  <c r="G733" i="36"/>
  <c r="G734" i="36"/>
  <c r="G735" i="36"/>
  <c r="G736" i="36"/>
  <c r="G737" i="36"/>
  <c r="G738" i="36"/>
  <c r="G739" i="36"/>
  <c r="G740" i="36"/>
  <c r="G741" i="36"/>
  <c r="G742" i="36"/>
  <c r="G743" i="36"/>
  <c r="G744" i="36"/>
  <c r="G745" i="36"/>
  <c r="G746" i="36"/>
  <c r="G747" i="36"/>
  <c r="G748" i="36"/>
  <c r="G749" i="36"/>
  <c r="G750" i="36"/>
  <c r="G751" i="36"/>
  <c r="G752" i="36"/>
  <c r="G753" i="36"/>
  <c r="G754" i="36"/>
  <c r="G755" i="36"/>
  <c r="G756" i="36"/>
  <c r="G757" i="36"/>
  <c r="G758" i="36"/>
  <c r="G759" i="36"/>
  <c r="G760" i="36"/>
  <c r="G761" i="36"/>
  <c r="G762" i="36"/>
  <c r="G763" i="36"/>
  <c r="G764" i="36"/>
  <c r="G765" i="36"/>
  <c r="G766" i="36"/>
  <c r="G767" i="36"/>
  <c r="G768" i="36"/>
  <c r="G769" i="36"/>
  <c r="G770" i="36"/>
  <c r="G771" i="36"/>
  <c r="G772" i="36"/>
  <c r="G773" i="36"/>
  <c r="G774" i="36"/>
  <c r="G775" i="36"/>
  <c r="G776" i="36"/>
  <c r="G777" i="36"/>
  <c r="G778" i="36"/>
  <c r="G779" i="36"/>
  <c r="G780" i="36"/>
  <c r="G781" i="36"/>
  <c r="G782" i="36"/>
  <c r="G783" i="36"/>
  <c r="G784" i="36"/>
  <c r="G785" i="36"/>
  <c r="G786" i="36"/>
  <c r="G787" i="36"/>
  <c r="G788" i="36"/>
  <c r="G789" i="36"/>
  <c r="G790" i="36"/>
  <c r="G791" i="36"/>
  <c r="G792" i="36"/>
  <c r="G793" i="36"/>
  <c r="G794" i="36"/>
  <c r="G795" i="36"/>
  <c r="G796" i="36"/>
  <c r="G797" i="36"/>
  <c r="G798" i="36"/>
  <c r="G799" i="36"/>
  <c r="G800" i="36"/>
  <c r="G801" i="36"/>
  <c r="G802" i="36"/>
  <c r="G803" i="36"/>
  <c r="G804" i="36"/>
  <c r="G805" i="36"/>
  <c r="G806" i="36"/>
  <c r="G807" i="36"/>
  <c r="G808" i="36"/>
  <c r="G809" i="36"/>
  <c r="G810" i="36"/>
  <c r="G811" i="36"/>
  <c r="G812" i="36"/>
  <c r="G813" i="36"/>
  <c r="G814" i="36"/>
  <c r="G815" i="36"/>
  <c r="G816" i="36"/>
  <c r="G817" i="36"/>
  <c r="G818" i="36"/>
  <c r="G819" i="36"/>
  <c r="G820" i="36"/>
  <c r="G821" i="36"/>
  <c r="G822" i="36"/>
  <c r="G823" i="36"/>
  <c r="G824" i="36"/>
  <c r="G825" i="36"/>
  <c r="G826" i="36"/>
  <c r="G827" i="36"/>
  <c r="G828" i="36"/>
  <c r="G829" i="36"/>
  <c r="G830" i="36"/>
  <c r="G831" i="36"/>
  <c r="G832" i="36"/>
  <c r="G833" i="36"/>
  <c r="G834" i="36"/>
  <c r="G835" i="36"/>
  <c r="G836" i="36"/>
  <c r="G837" i="36"/>
  <c r="G838" i="36"/>
  <c r="G839" i="36"/>
  <c r="G840" i="36"/>
  <c r="G841" i="36"/>
  <c r="G842" i="36"/>
  <c r="G843" i="36"/>
  <c r="G844" i="36"/>
  <c r="G845" i="36"/>
  <c r="G846" i="36"/>
  <c r="G847" i="36"/>
  <c r="G848" i="36"/>
  <c r="G849" i="36"/>
  <c r="G850" i="36"/>
  <c r="G851" i="36"/>
  <c r="G852" i="36"/>
  <c r="G853" i="36"/>
  <c r="G854" i="36"/>
  <c r="G855" i="36"/>
  <c r="G856" i="36"/>
  <c r="G857" i="36"/>
  <c r="G858" i="36"/>
  <c r="G859" i="36"/>
  <c r="G860" i="36"/>
  <c r="G861" i="36"/>
  <c r="G862" i="36"/>
  <c r="G863" i="36"/>
  <c r="G864" i="36"/>
  <c r="G865" i="36"/>
  <c r="G866" i="36"/>
  <c r="G867" i="36"/>
  <c r="G868" i="36"/>
  <c r="G869" i="36"/>
  <c r="G870" i="36"/>
  <c r="G871" i="36"/>
  <c r="G872" i="36"/>
  <c r="G873" i="36"/>
  <c r="G874" i="36"/>
  <c r="G875" i="36"/>
  <c r="G876" i="36"/>
  <c r="G877" i="36"/>
  <c r="G878" i="36"/>
  <c r="G879" i="36"/>
  <c r="G880" i="36"/>
  <c r="G881" i="36"/>
  <c r="G882" i="36"/>
  <c r="G883" i="36"/>
  <c r="G884" i="36"/>
  <c r="G885" i="36"/>
  <c r="G886" i="36"/>
  <c r="G887" i="36"/>
  <c r="G888" i="36"/>
  <c r="G889" i="36"/>
  <c r="G890" i="36"/>
  <c r="G891" i="36"/>
  <c r="G892" i="36"/>
  <c r="G893" i="36"/>
  <c r="G894" i="36"/>
  <c r="G895" i="36"/>
  <c r="G896" i="36"/>
  <c r="G897" i="36"/>
  <c r="G898" i="36"/>
  <c r="G899" i="36"/>
  <c r="G900" i="36"/>
  <c r="G901" i="36"/>
  <c r="G902" i="36"/>
  <c r="G903" i="36"/>
  <c r="G904" i="36"/>
  <c r="G905" i="36"/>
  <c r="G906" i="36"/>
  <c r="G907" i="36"/>
  <c r="G908" i="36"/>
  <c r="G909" i="36"/>
  <c r="G910" i="36"/>
  <c r="G911" i="36"/>
  <c r="G912" i="36"/>
  <c r="G913" i="36"/>
  <c r="G914" i="36"/>
  <c r="G915" i="36"/>
  <c r="G916" i="36"/>
  <c r="G917" i="36"/>
  <c r="G918" i="36"/>
  <c r="G919" i="36"/>
  <c r="G920" i="36"/>
  <c r="G921" i="36"/>
  <c r="G922" i="36"/>
  <c r="G923" i="36"/>
  <c r="G924" i="36"/>
  <c r="G925" i="36"/>
  <c r="G926" i="36"/>
  <c r="G927" i="36"/>
  <c r="G928" i="36"/>
  <c r="G929" i="36"/>
  <c r="G930" i="36"/>
  <c r="G931" i="36"/>
  <c r="G932" i="36"/>
  <c r="G933" i="36"/>
  <c r="G934" i="36"/>
  <c r="G935" i="36"/>
  <c r="G936" i="36"/>
  <c r="G937" i="36"/>
  <c r="G938" i="36"/>
  <c r="G939" i="36"/>
  <c r="G940" i="36"/>
  <c r="G941" i="36"/>
  <c r="G942" i="36"/>
  <c r="G943" i="36"/>
  <c r="G944" i="36"/>
  <c r="G945" i="36"/>
  <c r="G946" i="36"/>
  <c r="G947" i="36"/>
  <c r="G948" i="36"/>
  <c r="G949" i="36"/>
  <c r="G950" i="36"/>
  <c r="G951" i="36"/>
  <c r="G952" i="36"/>
  <c r="G953" i="36"/>
  <c r="G954" i="36"/>
  <c r="G955" i="36"/>
  <c r="G956" i="36"/>
  <c r="G957" i="36"/>
  <c r="G958" i="36"/>
  <c r="G959" i="36"/>
  <c r="G960" i="36"/>
  <c r="G961" i="36"/>
  <c r="G962" i="36"/>
  <c r="G963" i="36"/>
  <c r="G964" i="36"/>
  <c r="G965" i="36"/>
  <c r="G966" i="36"/>
  <c r="G967" i="36"/>
  <c r="G968" i="36"/>
  <c r="G969" i="36"/>
  <c r="G970" i="36"/>
  <c r="G971" i="36"/>
  <c r="G972" i="36"/>
  <c r="G973" i="36"/>
  <c r="G974" i="36"/>
  <c r="G975" i="36"/>
  <c r="G976" i="36"/>
  <c r="G977" i="36"/>
  <c r="G978" i="36"/>
  <c r="G979" i="36"/>
  <c r="G980" i="36"/>
  <c r="G981" i="36"/>
  <c r="G982" i="36"/>
  <c r="G983" i="36"/>
  <c r="G984" i="36"/>
  <c r="G985" i="36"/>
  <c r="G986" i="36"/>
  <c r="G987" i="36"/>
  <c r="G988" i="36"/>
  <c r="G989" i="36"/>
  <c r="G990" i="36"/>
  <c r="G991" i="36"/>
  <c r="G992" i="36"/>
  <c r="G993" i="36"/>
  <c r="G994" i="36"/>
  <c r="G995" i="36"/>
  <c r="G996" i="36"/>
  <c r="G997" i="36"/>
  <c r="G998" i="36"/>
  <c r="G999" i="36"/>
  <c r="G1000" i="36"/>
  <c r="G1001" i="36"/>
  <c r="G1002" i="36"/>
  <c r="G1003" i="36"/>
  <c r="G1004" i="36"/>
  <c r="G1005" i="36"/>
  <c r="G1006" i="36"/>
  <c r="G1007" i="36"/>
  <c r="G1008" i="36"/>
  <c r="G1009" i="36"/>
  <c r="G1010" i="36"/>
  <c r="G1011" i="36"/>
  <c r="G1012" i="36"/>
  <c r="G1013" i="36"/>
  <c r="G1014" i="36"/>
  <c r="G1015" i="36"/>
  <c r="G1016" i="36"/>
  <c r="G1017" i="36"/>
  <c r="G1018" i="36"/>
  <c r="G1019" i="36"/>
  <c r="G1020" i="36"/>
  <c r="G1021" i="36"/>
  <c r="G1022" i="36"/>
  <c r="G1023" i="36"/>
  <c r="G1024" i="36"/>
  <c r="G1025" i="36"/>
  <c r="G1026" i="36"/>
  <c r="G1027" i="36"/>
  <c r="G1028" i="36"/>
  <c r="G1029" i="36"/>
  <c r="G1030" i="36"/>
  <c r="G1031" i="36"/>
  <c r="G1032" i="36"/>
  <c r="G1033" i="36"/>
  <c r="G1034" i="36"/>
  <c r="G1035" i="36"/>
  <c r="G1036" i="36"/>
  <c r="G1037" i="36"/>
  <c r="G1038" i="36"/>
  <c r="G1039" i="36"/>
  <c r="G1040" i="36"/>
  <c r="G1041" i="36"/>
  <c r="G1042" i="36"/>
  <c r="G1043" i="36"/>
  <c r="G1044" i="36"/>
  <c r="G1045" i="36"/>
  <c r="G1046" i="36"/>
  <c r="G1047" i="36"/>
  <c r="G1048" i="36"/>
  <c r="G1049" i="36"/>
  <c r="G1050" i="36"/>
  <c r="G1051" i="36"/>
  <c r="G1052" i="36"/>
  <c r="G1053" i="36"/>
  <c r="G1054" i="36"/>
  <c r="G1055" i="36"/>
  <c r="G1056" i="36"/>
  <c r="G1057" i="36"/>
  <c r="G1058" i="36"/>
  <c r="G1059" i="36"/>
  <c r="G1060" i="36"/>
  <c r="G1061" i="36"/>
  <c r="G1062" i="36"/>
  <c r="G1063" i="36"/>
  <c r="G1064" i="36"/>
  <c r="G1065" i="36"/>
  <c r="G1066" i="36"/>
  <c r="G1067" i="36"/>
  <c r="G1068" i="36"/>
  <c r="G1069" i="36"/>
  <c r="G1070" i="36"/>
  <c r="G1071" i="36"/>
  <c r="G1072" i="36"/>
  <c r="G1073" i="36"/>
  <c r="G1074" i="36"/>
  <c r="G1075" i="36"/>
  <c r="G1076" i="36"/>
  <c r="G1077" i="36"/>
  <c r="G1078" i="36"/>
  <c r="G1079" i="36"/>
  <c r="G1080" i="36"/>
  <c r="G1081" i="36"/>
  <c r="G1082" i="36"/>
  <c r="G1083" i="36"/>
  <c r="G1084" i="36"/>
  <c r="G1085" i="36"/>
  <c r="G1086" i="36"/>
  <c r="G1087" i="36"/>
  <c r="G1088" i="36"/>
  <c r="G1089" i="36"/>
  <c r="G1090" i="36"/>
  <c r="G1091" i="36"/>
  <c r="G1092" i="36"/>
  <c r="G1093" i="36"/>
  <c r="G1094" i="36"/>
  <c r="G1095" i="36"/>
  <c r="G1096" i="36"/>
  <c r="G1097" i="36"/>
  <c r="G1098" i="36"/>
  <c r="G1099" i="36"/>
  <c r="G1100" i="36"/>
  <c r="G1101" i="36"/>
  <c r="G1102" i="36"/>
  <c r="G1103" i="36"/>
  <c r="G1104" i="36"/>
  <c r="G1105" i="36"/>
  <c r="G1106" i="36"/>
  <c r="G1107" i="36"/>
  <c r="G1108" i="36"/>
  <c r="G1109" i="36"/>
  <c r="G1110" i="36"/>
  <c r="G1111" i="36"/>
  <c r="G1112" i="36"/>
  <c r="G1113" i="36"/>
  <c r="G1114" i="36"/>
  <c r="G1115" i="36"/>
  <c r="G1116" i="36"/>
  <c r="G1117" i="36"/>
  <c r="G1118" i="36"/>
  <c r="G1119" i="36"/>
  <c r="G1120" i="36"/>
  <c r="G1121" i="36"/>
  <c r="G1122" i="36"/>
  <c r="G1123" i="36"/>
  <c r="G1124" i="36"/>
  <c r="G1125" i="36"/>
  <c r="G1126" i="36"/>
  <c r="G1127" i="36"/>
  <c r="G1128" i="36"/>
  <c r="G1129" i="36"/>
  <c r="G1130" i="36"/>
  <c r="G1131" i="36"/>
  <c r="G1132" i="36"/>
  <c r="G1133" i="36"/>
  <c r="G1134" i="36"/>
  <c r="G1135" i="36"/>
  <c r="G1136" i="36"/>
  <c r="G1137" i="36"/>
  <c r="G1138" i="36"/>
  <c r="G1139" i="36"/>
  <c r="G1140" i="36"/>
  <c r="G1141" i="36"/>
  <c r="G1142" i="36"/>
  <c r="G1143" i="36"/>
  <c r="G1144" i="36"/>
  <c r="G1145" i="36"/>
  <c r="G1146" i="36"/>
  <c r="G1147" i="36"/>
  <c r="G1148" i="36"/>
  <c r="G1149" i="36"/>
  <c r="G1150" i="36"/>
  <c r="G1151" i="36"/>
  <c r="G1152" i="36"/>
  <c r="G1153" i="36"/>
  <c r="G1154" i="36"/>
  <c r="G1155" i="36"/>
  <c r="G1156" i="36"/>
  <c r="G1157" i="36"/>
  <c r="G1158" i="36"/>
  <c r="G1159" i="36"/>
  <c r="G1160" i="36"/>
  <c r="G1161" i="36"/>
  <c r="G1162" i="36"/>
  <c r="G1163" i="36"/>
  <c r="G1164" i="36"/>
  <c r="G1165" i="36"/>
  <c r="G1166" i="36"/>
  <c r="G1167" i="36"/>
  <c r="G1168" i="36"/>
  <c r="G1169" i="36"/>
  <c r="G1170" i="36"/>
  <c r="G1171" i="36"/>
  <c r="G1172" i="36"/>
  <c r="G1173" i="36"/>
  <c r="G1174" i="36"/>
  <c r="G1175" i="36"/>
  <c r="G1176" i="36"/>
  <c r="G1177" i="36"/>
  <c r="G1178" i="36"/>
  <c r="G1179" i="36"/>
  <c r="G1180" i="36"/>
  <c r="G1181" i="36"/>
  <c r="G1182" i="36"/>
  <c r="G1183" i="36"/>
  <c r="G1184" i="36"/>
  <c r="G1185" i="36"/>
  <c r="G1186" i="36"/>
  <c r="G1187" i="36"/>
  <c r="G1188" i="36"/>
  <c r="G1189" i="36"/>
  <c r="G1190" i="36"/>
  <c r="G1191" i="36"/>
  <c r="G1192" i="36"/>
  <c r="G1193" i="36"/>
  <c r="G1194" i="36"/>
  <c r="G1195" i="36"/>
  <c r="G1196" i="36"/>
  <c r="G1197" i="36"/>
  <c r="G1198" i="36"/>
  <c r="G1199" i="36"/>
  <c r="G1200" i="36"/>
  <c r="G1201" i="36"/>
  <c r="G1202" i="36"/>
  <c r="G1203" i="36"/>
  <c r="G1204" i="36"/>
  <c r="G1205" i="36"/>
  <c r="G1206" i="36"/>
  <c r="G1207" i="36"/>
  <c r="G1208" i="36"/>
  <c r="G1209" i="36"/>
  <c r="G1210" i="36"/>
  <c r="G1211" i="36"/>
  <c r="G1212" i="36"/>
  <c r="G1213" i="36"/>
  <c r="G1214" i="36"/>
  <c r="G1215" i="36"/>
  <c r="G1216" i="36"/>
  <c r="G1217" i="36"/>
  <c r="G1218" i="36"/>
  <c r="G1219" i="36"/>
  <c r="G1220" i="36"/>
  <c r="G1221" i="36"/>
  <c r="G1222" i="36"/>
  <c r="G1223" i="36"/>
  <c r="G1224" i="36"/>
  <c r="G1225" i="36"/>
  <c r="G1226" i="36"/>
  <c r="G1227" i="36"/>
  <c r="G1228" i="36"/>
  <c r="G1229" i="36"/>
  <c r="G1230" i="36"/>
  <c r="G1231" i="36"/>
  <c r="G1232" i="36"/>
  <c r="G1233" i="36"/>
  <c r="G1234" i="36"/>
  <c r="G1235" i="36"/>
  <c r="G1236" i="36"/>
  <c r="G1237" i="36"/>
  <c r="G1238" i="36"/>
  <c r="G1239" i="36"/>
  <c r="G1240" i="36"/>
  <c r="G1241" i="36"/>
  <c r="G1242" i="36"/>
  <c r="G1243" i="36"/>
  <c r="G1244" i="36"/>
  <c r="G1245" i="36"/>
  <c r="G1246" i="36"/>
  <c r="G1247" i="36"/>
  <c r="G1248" i="36"/>
  <c r="G1249" i="36"/>
  <c r="G1250" i="36"/>
  <c r="G1251" i="36"/>
  <c r="G1252" i="36"/>
  <c r="G1253" i="36"/>
  <c r="G1254" i="36"/>
  <c r="G1255" i="36"/>
  <c r="G1256" i="36"/>
  <c r="G1257" i="36"/>
  <c r="G1258" i="36"/>
  <c r="G1259" i="36"/>
  <c r="G1260" i="36"/>
  <c r="G1261" i="36"/>
  <c r="G1262" i="36"/>
  <c r="G1263" i="36"/>
  <c r="G1264" i="36"/>
  <c r="G1265" i="36"/>
  <c r="G1266" i="36"/>
  <c r="G1267" i="36"/>
  <c r="G1268" i="36"/>
  <c r="G1269" i="36"/>
  <c r="G1270" i="36"/>
  <c r="G1271" i="36"/>
  <c r="G1272" i="36"/>
  <c r="G1273" i="36"/>
  <c r="G1274" i="36"/>
  <c r="G1275" i="36"/>
  <c r="G1276" i="36"/>
  <c r="G1277" i="36"/>
  <c r="G1278" i="36"/>
  <c r="G1279" i="36"/>
  <c r="G1280" i="36"/>
  <c r="G1281" i="36"/>
  <c r="G1282" i="36"/>
  <c r="G1283" i="36"/>
  <c r="G1284" i="36"/>
  <c r="G1285" i="36"/>
  <c r="G1286" i="36"/>
  <c r="G1287" i="36"/>
  <c r="G1288" i="36"/>
  <c r="G1289" i="36"/>
  <c r="G1290" i="36"/>
  <c r="G1291" i="36"/>
  <c r="G1292" i="36"/>
  <c r="G1293" i="36"/>
  <c r="G1294" i="36"/>
  <c r="G1295" i="36"/>
  <c r="G1296" i="36"/>
  <c r="G1297" i="36"/>
  <c r="G1298" i="36"/>
  <c r="G1299" i="36"/>
  <c r="G1300" i="36"/>
  <c r="G1301" i="36"/>
  <c r="G1302" i="36"/>
  <c r="G1303" i="36"/>
  <c r="G1304" i="36"/>
  <c r="G1305" i="36"/>
  <c r="G1306" i="36"/>
  <c r="G1307" i="36"/>
  <c r="G1308" i="36"/>
  <c r="G1309" i="36"/>
  <c r="G1310" i="36"/>
  <c r="G1311" i="36"/>
  <c r="G1312" i="36"/>
  <c r="G1313" i="36"/>
  <c r="G1314" i="36"/>
  <c r="G1315" i="36"/>
  <c r="G1316" i="36"/>
  <c r="G1317" i="36"/>
  <c r="G1318" i="36"/>
  <c r="G1319" i="36"/>
  <c r="G1320" i="36"/>
  <c r="G1321" i="36"/>
  <c r="G1322" i="36"/>
  <c r="G1323" i="36"/>
  <c r="G1324" i="36"/>
  <c r="G1325" i="36"/>
  <c r="G1326" i="36"/>
  <c r="G1327" i="36"/>
  <c r="G1328" i="36"/>
  <c r="G1329" i="36"/>
  <c r="G1330" i="36"/>
  <c r="G1331" i="36"/>
  <c r="G1332" i="36"/>
  <c r="G1333" i="36"/>
  <c r="G1334" i="36"/>
  <c r="G1335" i="36"/>
  <c r="G1336" i="36"/>
  <c r="G1337" i="36"/>
  <c r="G1338" i="36"/>
  <c r="G1339" i="36"/>
  <c r="G1340" i="36"/>
  <c r="G1341" i="36"/>
  <c r="G1342" i="36"/>
  <c r="G1343" i="36"/>
  <c r="G1344" i="36"/>
  <c r="G1345" i="36"/>
  <c r="G1346" i="36"/>
  <c r="G1347" i="36"/>
  <c r="G1348" i="36"/>
  <c r="G1349" i="36"/>
  <c r="G1350" i="36"/>
  <c r="G1351" i="36"/>
  <c r="G1352" i="36"/>
  <c r="G1353" i="36"/>
  <c r="G1354" i="36"/>
  <c r="G1355" i="36"/>
  <c r="G1356" i="36"/>
  <c r="G1357" i="36"/>
  <c r="G1358" i="36"/>
  <c r="G1" i="36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F194" i="36"/>
  <c r="F195" i="36"/>
  <c r="F196" i="36"/>
  <c r="F197" i="36"/>
  <c r="F198" i="36"/>
  <c r="F199" i="36"/>
  <c r="F200" i="36"/>
  <c r="F201" i="36"/>
  <c r="F202" i="36"/>
  <c r="F203" i="36"/>
  <c r="F204" i="36"/>
  <c r="F205" i="36"/>
  <c r="F206" i="36"/>
  <c r="F207" i="36"/>
  <c r="F208" i="36"/>
  <c r="F209" i="36"/>
  <c r="F210" i="36"/>
  <c r="F211" i="36"/>
  <c r="F212" i="36"/>
  <c r="F213" i="36"/>
  <c r="F214" i="36"/>
  <c r="F215" i="36"/>
  <c r="F216" i="36"/>
  <c r="F217" i="36"/>
  <c r="F218" i="36"/>
  <c r="F219" i="36"/>
  <c r="F220" i="36"/>
  <c r="F221" i="36"/>
  <c r="F222" i="36"/>
  <c r="F223" i="36"/>
  <c r="F224" i="36"/>
  <c r="F225" i="36"/>
  <c r="F226" i="36"/>
  <c r="F227" i="36"/>
  <c r="F228" i="36"/>
  <c r="F229" i="36"/>
  <c r="F230" i="36"/>
  <c r="F231" i="36"/>
  <c r="F232" i="36"/>
  <c r="F233" i="36"/>
  <c r="F234" i="36"/>
  <c r="F235" i="36"/>
  <c r="F236" i="36"/>
  <c r="F237" i="36"/>
  <c r="F238" i="36"/>
  <c r="F239" i="36"/>
  <c r="F240" i="36"/>
  <c r="F241" i="36"/>
  <c r="F242" i="36"/>
  <c r="F243" i="36"/>
  <c r="F244" i="36"/>
  <c r="F245" i="36"/>
  <c r="F246" i="36"/>
  <c r="F247" i="36"/>
  <c r="F248" i="36"/>
  <c r="F249" i="36"/>
  <c r="F250" i="36"/>
  <c r="F251" i="36"/>
  <c r="F252" i="36"/>
  <c r="F253" i="36"/>
  <c r="F254" i="36"/>
  <c r="F255" i="36"/>
  <c r="F256" i="36"/>
  <c r="F257" i="36"/>
  <c r="F258" i="36"/>
  <c r="F259" i="36"/>
  <c r="F260" i="36"/>
  <c r="F261" i="36"/>
  <c r="F262" i="36"/>
  <c r="F263" i="36"/>
  <c r="F264" i="36"/>
  <c r="F265" i="36"/>
  <c r="F266" i="36"/>
  <c r="F267" i="36"/>
  <c r="F268" i="36"/>
  <c r="F269" i="36"/>
  <c r="F270" i="36"/>
  <c r="F271" i="36"/>
  <c r="F272" i="36"/>
  <c r="F273" i="36"/>
  <c r="F274" i="36"/>
  <c r="F275" i="36"/>
  <c r="F276" i="36"/>
  <c r="F277" i="36"/>
  <c r="F278" i="36"/>
  <c r="F279" i="36"/>
  <c r="F280" i="36"/>
  <c r="F281" i="36"/>
  <c r="F282" i="36"/>
  <c r="F283" i="36"/>
  <c r="F284" i="36"/>
  <c r="F285" i="36"/>
  <c r="F286" i="36"/>
  <c r="F287" i="36"/>
  <c r="F288" i="36"/>
  <c r="F289" i="36"/>
  <c r="F290" i="36"/>
  <c r="F291" i="36"/>
  <c r="F292" i="36"/>
  <c r="F293" i="36"/>
  <c r="F294" i="36"/>
  <c r="F295" i="36"/>
  <c r="F296" i="36"/>
  <c r="F297" i="36"/>
  <c r="F298" i="36"/>
  <c r="F299" i="36"/>
  <c r="F300" i="36"/>
  <c r="F301" i="36"/>
  <c r="F302" i="36"/>
  <c r="F303" i="36"/>
  <c r="F304" i="36"/>
  <c r="F305" i="36"/>
  <c r="F306" i="36"/>
  <c r="F307" i="36"/>
  <c r="F308" i="36"/>
  <c r="F309" i="36"/>
  <c r="F310" i="36"/>
  <c r="F311" i="36"/>
  <c r="F312" i="36"/>
  <c r="F313" i="36"/>
  <c r="F314" i="36"/>
  <c r="F315" i="36"/>
  <c r="F316" i="36"/>
  <c r="F317" i="36"/>
  <c r="F318" i="36"/>
  <c r="F319" i="36"/>
  <c r="F320" i="36"/>
  <c r="F321" i="36"/>
  <c r="F322" i="36"/>
  <c r="F323" i="36"/>
  <c r="F324" i="36"/>
  <c r="F325" i="36"/>
  <c r="F326" i="36"/>
  <c r="F327" i="36"/>
  <c r="F328" i="36"/>
  <c r="F329" i="36"/>
  <c r="F330" i="36"/>
  <c r="F331" i="36"/>
  <c r="F332" i="36"/>
  <c r="F333" i="36"/>
  <c r="F334" i="36"/>
  <c r="F335" i="36"/>
  <c r="F336" i="36"/>
  <c r="F337" i="36"/>
  <c r="F338" i="36"/>
  <c r="F339" i="36"/>
  <c r="F340" i="36"/>
  <c r="F341" i="36"/>
  <c r="F342" i="36"/>
  <c r="F343" i="36"/>
  <c r="F344" i="36"/>
  <c r="F345" i="36"/>
  <c r="F346" i="36"/>
  <c r="F347" i="36"/>
  <c r="F348" i="36"/>
  <c r="F349" i="36"/>
  <c r="F350" i="36"/>
  <c r="F351" i="36"/>
  <c r="F352" i="36"/>
  <c r="F353" i="36"/>
  <c r="F354" i="36"/>
  <c r="F355" i="36"/>
  <c r="F356" i="36"/>
  <c r="F357" i="36"/>
  <c r="F358" i="36"/>
  <c r="F359" i="36"/>
  <c r="F360" i="36"/>
  <c r="F361" i="36"/>
  <c r="F362" i="36"/>
  <c r="F363" i="36"/>
  <c r="F364" i="36"/>
  <c r="F365" i="36"/>
  <c r="F366" i="36"/>
  <c r="F367" i="36"/>
  <c r="F368" i="36"/>
  <c r="F369" i="36"/>
  <c r="F370" i="36"/>
  <c r="F371" i="36"/>
  <c r="F372" i="36"/>
  <c r="F373" i="36"/>
  <c r="F374" i="36"/>
  <c r="F375" i="36"/>
  <c r="F376" i="36"/>
  <c r="F377" i="36"/>
  <c r="F378" i="36"/>
  <c r="F379" i="36"/>
  <c r="F380" i="36"/>
  <c r="F381" i="36"/>
  <c r="F382" i="36"/>
  <c r="F383" i="36"/>
  <c r="F384" i="36"/>
  <c r="F385" i="36"/>
  <c r="F386" i="36"/>
  <c r="F387" i="36"/>
  <c r="F388" i="36"/>
  <c r="F389" i="36"/>
  <c r="F390" i="36"/>
  <c r="F391" i="36"/>
  <c r="F392" i="36"/>
  <c r="F393" i="36"/>
  <c r="F394" i="36"/>
  <c r="F395" i="36"/>
  <c r="F396" i="36"/>
  <c r="F397" i="36"/>
  <c r="F398" i="36"/>
  <c r="F399" i="36"/>
  <c r="F400" i="36"/>
  <c r="F401" i="36"/>
  <c r="F402" i="36"/>
  <c r="F403" i="36"/>
  <c r="F404" i="36"/>
  <c r="F405" i="36"/>
  <c r="F406" i="36"/>
  <c r="F407" i="36"/>
  <c r="F408" i="36"/>
  <c r="F409" i="36"/>
  <c r="F410" i="36"/>
  <c r="F411" i="36"/>
  <c r="F412" i="36"/>
  <c r="F413" i="36"/>
  <c r="F414" i="36"/>
  <c r="F415" i="36"/>
  <c r="F416" i="36"/>
  <c r="F417" i="36"/>
  <c r="F418" i="36"/>
  <c r="F419" i="36"/>
  <c r="F420" i="36"/>
  <c r="F421" i="36"/>
  <c r="F422" i="36"/>
  <c r="F423" i="36"/>
  <c r="F424" i="36"/>
  <c r="F425" i="36"/>
  <c r="F426" i="36"/>
  <c r="F427" i="36"/>
  <c r="F428" i="36"/>
  <c r="F429" i="36"/>
  <c r="F430" i="36"/>
  <c r="F431" i="36"/>
  <c r="F432" i="36"/>
  <c r="F433" i="36"/>
  <c r="F434" i="36"/>
  <c r="F435" i="36"/>
  <c r="F436" i="36"/>
  <c r="F437" i="36"/>
  <c r="F438" i="36"/>
  <c r="F439" i="36"/>
  <c r="F440" i="36"/>
  <c r="F441" i="36"/>
  <c r="F442" i="36"/>
  <c r="F443" i="36"/>
  <c r="F444" i="36"/>
  <c r="F445" i="36"/>
  <c r="F446" i="36"/>
  <c r="F447" i="36"/>
  <c r="F448" i="36"/>
  <c r="F449" i="36"/>
  <c r="F450" i="36"/>
  <c r="F451" i="36"/>
  <c r="F452" i="36"/>
  <c r="F453" i="36"/>
  <c r="F454" i="36"/>
  <c r="F455" i="36"/>
  <c r="F456" i="36"/>
  <c r="F457" i="36"/>
  <c r="F458" i="36"/>
  <c r="F459" i="36"/>
  <c r="F460" i="36"/>
  <c r="F461" i="36"/>
  <c r="F462" i="36"/>
  <c r="F463" i="36"/>
  <c r="F464" i="36"/>
  <c r="F465" i="36"/>
  <c r="F466" i="36"/>
  <c r="F467" i="36"/>
  <c r="F468" i="36"/>
  <c r="F469" i="36"/>
  <c r="F470" i="36"/>
  <c r="F471" i="36"/>
  <c r="F472" i="36"/>
  <c r="F473" i="36"/>
  <c r="F474" i="36"/>
  <c r="F475" i="36"/>
  <c r="F476" i="36"/>
  <c r="F477" i="36"/>
  <c r="F478" i="36"/>
  <c r="F479" i="36"/>
  <c r="F480" i="36"/>
  <c r="F481" i="36"/>
  <c r="F482" i="36"/>
  <c r="F483" i="36"/>
  <c r="F484" i="36"/>
  <c r="F485" i="36"/>
  <c r="F486" i="36"/>
  <c r="F487" i="36"/>
  <c r="F488" i="36"/>
  <c r="F489" i="36"/>
  <c r="F490" i="36"/>
  <c r="F491" i="36"/>
  <c r="F492" i="36"/>
  <c r="F493" i="36"/>
  <c r="F494" i="36"/>
  <c r="F495" i="36"/>
  <c r="F496" i="36"/>
  <c r="F497" i="36"/>
  <c r="F498" i="36"/>
  <c r="F499" i="36"/>
  <c r="F500" i="36"/>
  <c r="F501" i="36"/>
  <c r="F502" i="36"/>
  <c r="F503" i="36"/>
  <c r="F504" i="36"/>
  <c r="F505" i="36"/>
  <c r="F506" i="36"/>
  <c r="F507" i="36"/>
  <c r="F508" i="36"/>
  <c r="F509" i="36"/>
  <c r="F510" i="36"/>
  <c r="F511" i="36"/>
  <c r="F512" i="36"/>
  <c r="F513" i="36"/>
  <c r="F514" i="36"/>
  <c r="F515" i="36"/>
  <c r="F516" i="36"/>
  <c r="F517" i="36"/>
  <c r="F518" i="36"/>
  <c r="F519" i="36"/>
  <c r="F520" i="36"/>
  <c r="F521" i="36"/>
  <c r="F522" i="36"/>
  <c r="F523" i="36"/>
  <c r="F524" i="36"/>
  <c r="F525" i="36"/>
  <c r="F526" i="36"/>
  <c r="F527" i="36"/>
  <c r="F528" i="36"/>
  <c r="F529" i="36"/>
  <c r="F530" i="36"/>
  <c r="F531" i="36"/>
  <c r="F532" i="36"/>
  <c r="F533" i="36"/>
  <c r="F534" i="36"/>
  <c r="F535" i="36"/>
  <c r="F536" i="36"/>
  <c r="F537" i="36"/>
  <c r="F538" i="36"/>
  <c r="F539" i="36"/>
  <c r="F540" i="36"/>
  <c r="F541" i="36"/>
  <c r="F542" i="36"/>
  <c r="F543" i="36"/>
  <c r="F544" i="36"/>
  <c r="F545" i="36"/>
  <c r="F546" i="36"/>
  <c r="F547" i="36"/>
  <c r="F548" i="36"/>
  <c r="F549" i="36"/>
  <c r="F550" i="36"/>
  <c r="F551" i="36"/>
  <c r="F552" i="36"/>
  <c r="F553" i="36"/>
  <c r="F554" i="36"/>
  <c r="F555" i="36"/>
  <c r="F556" i="36"/>
  <c r="F557" i="36"/>
  <c r="F558" i="36"/>
  <c r="F559" i="36"/>
  <c r="F560" i="36"/>
  <c r="F561" i="36"/>
  <c r="F562" i="36"/>
  <c r="F563" i="36"/>
  <c r="F564" i="36"/>
  <c r="F565" i="36"/>
  <c r="F566" i="36"/>
  <c r="F567" i="36"/>
  <c r="F568" i="36"/>
  <c r="F569" i="36"/>
  <c r="F570" i="36"/>
  <c r="F571" i="36"/>
  <c r="F572" i="36"/>
  <c r="F573" i="36"/>
  <c r="F574" i="36"/>
  <c r="F575" i="36"/>
  <c r="F576" i="36"/>
  <c r="F577" i="36"/>
  <c r="F578" i="36"/>
  <c r="F579" i="36"/>
  <c r="F580" i="36"/>
  <c r="F581" i="36"/>
  <c r="F582" i="36"/>
  <c r="F583" i="36"/>
  <c r="F584" i="36"/>
  <c r="F585" i="36"/>
  <c r="F586" i="36"/>
  <c r="F587" i="36"/>
  <c r="F588" i="36"/>
  <c r="F589" i="36"/>
  <c r="F590" i="36"/>
  <c r="F591" i="36"/>
  <c r="F592" i="36"/>
  <c r="F593" i="36"/>
  <c r="F594" i="36"/>
  <c r="F595" i="36"/>
  <c r="F596" i="36"/>
  <c r="F597" i="36"/>
  <c r="F598" i="36"/>
  <c r="F599" i="36"/>
  <c r="F600" i="36"/>
  <c r="F601" i="36"/>
  <c r="F602" i="36"/>
  <c r="F603" i="36"/>
  <c r="F604" i="36"/>
  <c r="F605" i="36"/>
  <c r="F606" i="36"/>
  <c r="F607" i="36"/>
  <c r="F608" i="36"/>
  <c r="F609" i="36"/>
  <c r="F610" i="36"/>
  <c r="F611" i="36"/>
  <c r="F612" i="36"/>
  <c r="F613" i="36"/>
  <c r="F614" i="36"/>
  <c r="F615" i="36"/>
  <c r="F616" i="36"/>
  <c r="F617" i="36"/>
  <c r="F618" i="36"/>
  <c r="F619" i="36"/>
  <c r="F620" i="36"/>
  <c r="F621" i="36"/>
  <c r="F622" i="36"/>
  <c r="F623" i="36"/>
  <c r="F624" i="36"/>
  <c r="F625" i="36"/>
  <c r="F626" i="36"/>
  <c r="F627" i="36"/>
  <c r="F628" i="36"/>
  <c r="F629" i="36"/>
  <c r="F630" i="36"/>
  <c r="F631" i="36"/>
  <c r="F632" i="36"/>
  <c r="F633" i="36"/>
  <c r="F634" i="36"/>
  <c r="F635" i="36"/>
  <c r="F636" i="36"/>
  <c r="F637" i="36"/>
  <c r="F638" i="36"/>
  <c r="F639" i="36"/>
  <c r="F640" i="36"/>
  <c r="F641" i="36"/>
  <c r="F642" i="36"/>
  <c r="F643" i="36"/>
  <c r="F644" i="36"/>
  <c r="F645" i="36"/>
  <c r="F646" i="36"/>
  <c r="F647" i="36"/>
  <c r="F648" i="36"/>
  <c r="F649" i="36"/>
  <c r="F650" i="36"/>
  <c r="F651" i="36"/>
  <c r="F652" i="36"/>
  <c r="F653" i="36"/>
  <c r="F654" i="36"/>
  <c r="F655" i="36"/>
  <c r="F656" i="36"/>
  <c r="F657" i="36"/>
  <c r="F658" i="36"/>
  <c r="F659" i="36"/>
  <c r="F660" i="36"/>
  <c r="F661" i="36"/>
  <c r="F662" i="36"/>
  <c r="F663" i="36"/>
  <c r="F664" i="36"/>
  <c r="F665" i="36"/>
  <c r="F666" i="36"/>
  <c r="F667" i="36"/>
  <c r="F668" i="36"/>
  <c r="F669" i="36"/>
  <c r="F670" i="36"/>
  <c r="F671" i="36"/>
  <c r="F672" i="36"/>
  <c r="F673" i="36"/>
  <c r="F674" i="36"/>
  <c r="F675" i="36"/>
  <c r="F676" i="36"/>
  <c r="F677" i="36"/>
  <c r="F678" i="36"/>
  <c r="F679" i="36"/>
  <c r="F680" i="36"/>
  <c r="F681" i="36"/>
  <c r="F682" i="36"/>
  <c r="F683" i="36"/>
  <c r="F684" i="36"/>
  <c r="F685" i="36"/>
  <c r="F686" i="36"/>
  <c r="F687" i="36"/>
  <c r="F688" i="36"/>
  <c r="F689" i="36"/>
  <c r="F690" i="36"/>
  <c r="F691" i="36"/>
  <c r="F692" i="36"/>
  <c r="F693" i="36"/>
  <c r="F694" i="36"/>
  <c r="F695" i="36"/>
  <c r="F696" i="36"/>
  <c r="F697" i="36"/>
  <c r="F698" i="36"/>
  <c r="F699" i="36"/>
  <c r="F700" i="36"/>
  <c r="F701" i="36"/>
  <c r="F702" i="36"/>
  <c r="F703" i="36"/>
  <c r="F704" i="36"/>
  <c r="F705" i="36"/>
  <c r="F706" i="36"/>
  <c r="F707" i="36"/>
  <c r="F708" i="36"/>
  <c r="F709" i="36"/>
  <c r="F710" i="36"/>
  <c r="F711" i="36"/>
  <c r="F712" i="36"/>
  <c r="F713" i="36"/>
  <c r="F714" i="36"/>
  <c r="F715" i="36"/>
  <c r="F716" i="36"/>
  <c r="F717" i="36"/>
  <c r="F718" i="36"/>
  <c r="F719" i="36"/>
  <c r="F720" i="36"/>
  <c r="F721" i="36"/>
  <c r="F722" i="36"/>
  <c r="F723" i="36"/>
  <c r="F724" i="36"/>
  <c r="F725" i="36"/>
  <c r="F726" i="36"/>
  <c r="F727" i="36"/>
  <c r="F728" i="36"/>
  <c r="F729" i="36"/>
  <c r="F730" i="36"/>
  <c r="F731" i="36"/>
  <c r="F732" i="36"/>
  <c r="F733" i="36"/>
  <c r="F734" i="36"/>
  <c r="F735" i="36"/>
  <c r="F736" i="36"/>
  <c r="F737" i="36"/>
  <c r="F738" i="36"/>
  <c r="F739" i="36"/>
  <c r="F740" i="36"/>
  <c r="F741" i="36"/>
  <c r="F742" i="36"/>
  <c r="F743" i="36"/>
  <c r="F744" i="36"/>
  <c r="F745" i="36"/>
  <c r="F746" i="36"/>
  <c r="F747" i="36"/>
  <c r="F748" i="36"/>
  <c r="F749" i="36"/>
  <c r="F750" i="36"/>
  <c r="F751" i="36"/>
  <c r="F752" i="36"/>
  <c r="F753" i="36"/>
  <c r="F754" i="36"/>
  <c r="F755" i="36"/>
  <c r="F756" i="36"/>
  <c r="F757" i="36"/>
  <c r="F758" i="36"/>
  <c r="F759" i="36"/>
  <c r="F760" i="36"/>
  <c r="F761" i="36"/>
  <c r="F762" i="36"/>
  <c r="F763" i="36"/>
  <c r="F764" i="36"/>
  <c r="F765" i="36"/>
  <c r="F766" i="36"/>
  <c r="F767" i="36"/>
  <c r="F768" i="36"/>
  <c r="F769" i="36"/>
  <c r="F770" i="36"/>
  <c r="F771" i="36"/>
  <c r="F772" i="36"/>
  <c r="F773" i="36"/>
  <c r="F774" i="36"/>
  <c r="F775" i="36"/>
  <c r="F776" i="36"/>
  <c r="F777" i="36"/>
  <c r="F778" i="36"/>
  <c r="F779" i="36"/>
  <c r="F780" i="36"/>
  <c r="F781" i="36"/>
  <c r="F782" i="36"/>
  <c r="F783" i="36"/>
  <c r="F784" i="36"/>
  <c r="F785" i="36"/>
  <c r="F786" i="36"/>
  <c r="F787" i="36"/>
  <c r="F788" i="36"/>
  <c r="F789" i="36"/>
  <c r="F790" i="36"/>
  <c r="F791" i="36"/>
  <c r="F792" i="36"/>
  <c r="F793" i="36"/>
  <c r="F794" i="36"/>
  <c r="F795" i="36"/>
  <c r="F796" i="36"/>
  <c r="F797" i="36"/>
  <c r="F798" i="36"/>
  <c r="F799" i="36"/>
  <c r="F800" i="36"/>
  <c r="F801" i="36"/>
  <c r="F802" i="36"/>
  <c r="F803" i="36"/>
  <c r="F804" i="36"/>
  <c r="F805" i="36"/>
  <c r="F806" i="36"/>
  <c r="F807" i="36"/>
  <c r="F808" i="36"/>
  <c r="F809" i="36"/>
  <c r="F810" i="36"/>
  <c r="F811" i="36"/>
  <c r="F812" i="36"/>
  <c r="F813" i="36"/>
  <c r="F814" i="36"/>
  <c r="F815" i="36"/>
  <c r="F816" i="36"/>
  <c r="F817" i="36"/>
  <c r="F818" i="36"/>
  <c r="F819" i="36"/>
  <c r="F820" i="36"/>
  <c r="F821" i="36"/>
  <c r="F822" i="36"/>
  <c r="F823" i="36"/>
  <c r="F824" i="36"/>
  <c r="F825" i="36"/>
  <c r="F826" i="36"/>
  <c r="F827" i="36"/>
  <c r="F828" i="36"/>
  <c r="F829" i="36"/>
  <c r="F830" i="36"/>
  <c r="F831" i="36"/>
  <c r="F832" i="36"/>
  <c r="F833" i="36"/>
  <c r="F834" i="36"/>
  <c r="F835" i="36"/>
  <c r="F836" i="36"/>
  <c r="F837" i="36"/>
  <c r="F838" i="36"/>
  <c r="F839" i="36"/>
  <c r="F840" i="36"/>
  <c r="F841" i="36"/>
  <c r="F842" i="36"/>
  <c r="F843" i="36"/>
  <c r="F844" i="36"/>
  <c r="F845" i="36"/>
  <c r="F846" i="36"/>
  <c r="F847" i="36"/>
  <c r="F848" i="36"/>
  <c r="F849" i="36"/>
  <c r="F850" i="36"/>
  <c r="F851" i="36"/>
  <c r="F852" i="36"/>
  <c r="F853" i="36"/>
  <c r="F854" i="36"/>
  <c r="F855" i="36"/>
  <c r="F856" i="36"/>
  <c r="F857" i="36"/>
  <c r="F858" i="36"/>
  <c r="F859" i="36"/>
  <c r="F860" i="36"/>
  <c r="F861" i="36"/>
  <c r="F862" i="36"/>
  <c r="F863" i="36"/>
  <c r="F864" i="36"/>
  <c r="F865" i="36"/>
  <c r="F866" i="36"/>
  <c r="F867" i="36"/>
  <c r="F868" i="36"/>
  <c r="F869" i="36"/>
  <c r="F870" i="36"/>
  <c r="F871" i="36"/>
  <c r="F872" i="36"/>
  <c r="F873" i="36"/>
  <c r="F874" i="36"/>
  <c r="F875" i="36"/>
  <c r="F876" i="36"/>
  <c r="F877" i="36"/>
  <c r="F878" i="36"/>
  <c r="F879" i="36"/>
  <c r="F880" i="36"/>
  <c r="F881" i="36"/>
  <c r="F882" i="36"/>
  <c r="F883" i="36"/>
  <c r="F884" i="36"/>
  <c r="F885" i="36"/>
  <c r="F886" i="36"/>
  <c r="F887" i="36"/>
  <c r="F888" i="36"/>
  <c r="F889" i="36"/>
  <c r="F890" i="36"/>
  <c r="F891" i="36"/>
  <c r="F892" i="36"/>
  <c r="F893" i="36"/>
  <c r="F894" i="36"/>
  <c r="F895" i="36"/>
  <c r="F896" i="36"/>
  <c r="F897" i="36"/>
  <c r="F898" i="36"/>
  <c r="F899" i="36"/>
  <c r="F900" i="36"/>
  <c r="F901" i="36"/>
  <c r="F902" i="36"/>
  <c r="F903" i="36"/>
  <c r="F904" i="36"/>
  <c r="F905" i="36"/>
  <c r="F906" i="36"/>
  <c r="F907" i="36"/>
  <c r="F908" i="36"/>
  <c r="F909" i="36"/>
  <c r="F910" i="36"/>
  <c r="F911" i="36"/>
  <c r="F912" i="36"/>
  <c r="F913" i="36"/>
  <c r="F914" i="36"/>
  <c r="F915" i="36"/>
  <c r="F916" i="36"/>
  <c r="F917" i="36"/>
  <c r="F918" i="36"/>
  <c r="F919" i="36"/>
  <c r="F920" i="36"/>
  <c r="F921" i="36"/>
  <c r="F922" i="36"/>
  <c r="F923" i="36"/>
  <c r="F924" i="36"/>
  <c r="F925" i="36"/>
  <c r="F926" i="36"/>
  <c r="F927" i="36"/>
  <c r="F928" i="36"/>
  <c r="F929" i="36"/>
  <c r="F930" i="36"/>
  <c r="F931" i="36"/>
  <c r="F932" i="36"/>
  <c r="F933" i="36"/>
  <c r="F934" i="36"/>
  <c r="F935" i="36"/>
  <c r="F936" i="36"/>
  <c r="F937" i="36"/>
  <c r="F938" i="36"/>
  <c r="F939" i="36"/>
  <c r="F940" i="36"/>
  <c r="F941" i="36"/>
  <c r="F942" i="36"/>
  <c r="F943" i="36"/>
  <c r="F944" i="36"/>
  <c r="F945" i="36"/>
  <c r="F946" i="36"/>
  <c r="F947" i="36"/>
  <c r="F948" i="36"/>
  <c r="F949" i="36"/>
  <c r="F950" i="36"/>
  <c r="F951" i="36"/>
  <c r="F952" i="36"/>
  <c r="F953" i="36"/>
  <c r="F954" i="36"/>
  <c r="F955" i="36"/>
  <c r="F956" i="36"/>
  <c r="F957" i="36"/>
  <c r="F958" i="36"/>
  <c r="F959" i="36"/>
  <c r="F960" i="36"/>
  <c r="F961" i="36"/>
  <c r="F962" i="36"/>
  <c r="F963" i="36"/>
  <c r="F964" i="36"/>
  <c r="F965" i="36"/>
  <c r="F966" i="36"/>
  <c r="F967" i="36"/>
  <c r="F968" i="36"/>
  <c r="F969" i="36"/>
  <c r="F970" i="36"/>
  <c r="F971" i="36"/>
  <c r="F972" i="36"/>
  <c r="F973" i="36"/>
  <c r="F974" i="36"/>
  <c r="F975" i="36"/>
  <c r="F976" i="36"/>
  <c r="F977" i="36"/>
  <c r="F978" i="36"/>
  <c r="F979" i="36"/>
  <c r="F980" i="36"/>
  <c r="F981" i="36"/>
  <c r="F982" i="36"/>
  <c r="F983" i="36"/>
  <c r="F984" i="36"/>
  <c r="F985" i="36"/>
  <c r="F986" i="36"/>
  <c r="F987" i="36"/>
  <c r="F988" i="36"/>
  <c r="F989" i="36"/>
  <c r="F990" i="36"/>
  <c r="F991" i="36"/>
  <c r="F992" i="36"/>
  <c r="F993" i="36"/>
  <c r="F994" i="36"/>
  <c r="F995" i="36"/>
  <c r="F996" i="36"/>
  <c r="F997" i="36"/>
  <c r="F998" i="36"/>
  <c r="F999" i="36"/>
  <c r="F1000" i="36"/>
  <c r="F1001" i="36"/>
  <c r="F1002" i="36"/>
  <c r="F1003" i="36"/>
  <c r="F1004" i="36"/>
  <c r="F1005" i="36"/>
  <c r="F1006" i="36"/>
  <c r="F1007" i="36"/>
  <c r="F1008" i="36"/>
  <c r="F1009" i="36"/>
  <c r="F1010" i="36"/>
  <c r="F1011" i="36"/>
  <c r="F1012" i="36"/>
  <c r="F1013" i="36"/>
  <c r="F1014" i="36"/>
  <c r="F1015" i="36"/>
  <c r="F1016" i="36"/>
  <c r="F1017" i="36"/>
  <c r="F1018" i="36"/>
  <c r="F1019" i="36"/>
  <c r="F1020" i="36"/>
  <c r="F1021" i="36"/>
  <c r="F1022" i="36"/>
  <c r="F1023" i="36"/>
  <c r="F1024" i="36"/>
  <c r="F1025" i="36"/>
  <c r="F1026" i="36"/>
  <c r="F1027" i="36"/>
  <c r="F1028" i="36"/>
  <c r="F1029" i="36"/>
  <c r="F1030" i="36"/>
  <c r="F1031" i="36"/>
  <c r="F1032" i="36"/>
  <c r="F1033" i="36"/>
  <c r="F1034" i="36"/>
  <c r="F1035" i="36"/>
  <c r="F1036" i="36"/>
  <c r="F1037" i="36"/>
  <c r="F1038" i="36"/>
  <c r="F1039" i="36"/>
  <c r="F1040" i="36"/>
  <c r="F1041" i="36"/>
  <c r="F1042" i="36"/>
  <c r="F1043" i="36"/>
  <c r="F1044" i="36"/>
  <c r="F1045" i="36"/>
  <c r="F1046" i="36"/>
  <c r="F1047" i="36"/>
  <c r="F1048" i="36"/>
  <c r="F1049" i="36"/>
  <c r="F1050" i="36"/>
  <c r="F1051" i="36"/>
  <c r="F1052" i="36"/>
  <c r="F1053" i="36"/>
  <c r="F1054" i="36"/>
  <c r="F1055" i="36"/>
  <c r="F1056" i="36"/>
  <c r="F1057" i="36"/>
  <c r="F1058" i="36"/>
  <c r="F1059" i="36"/>
  <c r="F1060" i="36"/>
  <c r="F1061" i="36"/>
  <c r="F1062" i="36"/>
  <c r="F1063" i="36"/>
  <c r="F1064" i="36"/>
  <c r="F1065" i="36"/>
  <c r="F1066" i="36"/>
  <c r="F1067" i="36"/>
  <c r="F1068" i="36"/>
  <c r="F1069" i="36"/>
  <c r="F1070" i="36"/>
  <c r="F1071" i="36"/>
  <c r="F1072" i="36"/>
  <c r="F1073" i="36"/>
  <c r="F1074" i="36"/>
  <c r="F1075" i="36"/>
  <c r="F1076" i="36"/>
  <c r="F1077" i="36"/>
  <c r="F1078" i="36"/>
  <c r="F1079" i="36"/>
  <c r="F1080" i="36"/>
  <c r="F1081" i="36"/>
  <c r="F1082" i="36"/>
  <c r="F1083" i="36"/>
  <c r="F1084" i="36"/>
  <c r="F1085" i="36"/>
  <c r="F1086" i="36"/>
  <c r="F1087" i="36"/>
  <c r="F1088" i="36"/>
  <c r="F1089" i="36"/>
  <c r="F1090" i="36"/>
  <c r="F1091" i="36"/>
  <c r="F1092" i="36"/>
  <c r="F1093" i="36"/>
  <c r="F1094" i="36"/>
  <c r="F1095" i="36"/>
  <c r="F1096" i="36"/>
  <c r="F1097" i="36"/>
  <c r="F1098" i="36"/>
  <c r="F1099" i="36"/>
  <c r="F1100" i="36"/>
  <c r="F1101" i="36"/>
  <c r="F1102" i="36"/>
  <c r="F1103" i="36"/>
  <c r="F1104" i="36"/>
  <c r="F1105" i="36"/>
  <c r="F1106" i="36"/>
  <c r="F1107" i="36"/>
  <c r="F1108" i="36"/>
  <c r="F1109" i="36"/>
  <c r="F1110" i="36"/>
  <c r="F1111" i="36"/>
  <c r="F1112" i="36"/>
  <c r="F1113" i="36"/>
  <c r="F1114" i="36"/>
  <c r="F1115" i="36"/>
  <c r="F1116" i="36"/>
  <c r="F1117" i="36"/>
  <c r="F1118" i="36"/>
  <c r="F1119" i="36"/>
  <c r="F1120" i="36"/>
  <c r="F1121" i="36"/>
  <c r="F1122" i="36"/>
  <c r="F1123" i="36"/>
  <c r="F1124" i="36"/>
  <c r="F1125" i="36"/>
  <c r="F1126" i="36"/>
  <c r="F1127" i="36"/>
  <c r="F1128" i="36"/>
  <c r="F1129" i="36"/>
  <c r="F1130" i="36"/>
  <c r="F1131" i="36"/>
  <c r="F1132" i="36"/>
  <c r="F1133" i="36"/>
  <c r="F1134" i="36"/>
  <c r="F1135" i="36"/>
  <c r="F1136" i="36"/>
  <c r="F1137" i="36"/>
  <c r="F1138" i="36"/>
  <c r="F1139" i="36"/>
  <c r="F1140" i="36"/>
  <c r="F1141" i="36"/>
  <c r="F1142" i="36"/>
  <c r="F1143" i="36"/>
  <c r="F1144" i="36"/>
  <c r="F1145" i="36"/>
  <c r="F1146" i="36"/>
  <c r="F1147" i="36"/>
  <c r="F1148" i="36"/>
  <c r="F1149" i="36"/>
  <c r="F1150" i="36"/>
  <c r="F1151" i="36"/>
  <c r="F1152" i="36"/>
  <c r="F1153" i="36"/>
  <c r="F1154" i="36"/>
  <c r="F1155" i="36"/>
  <c r="F1156" i="36"/>
  <c r="F1157" i="36"/>
  <c r="F1158" i="36"/>
  <c r="F1159" i="36"/>
  <c r="F1160" i="36"/>
  <c r="F1161" i="36"/>
  <c r="F1162" i="36"/>
  <c r="F1163" i="36"/>
  <c r="F1164" i="36"/>
  <c r="F1165" i="36"/>
  <c r="F1166" i="36"/>
  <c r="F1167" i="36"/>
  <c r="F1168" i="36"/>
  <c r="F1169" i="36"/>
  <c r="F1170" i="36"/>
  <c r="F1171" i="36"/>
  <c r="F1172" i="36"/>
  <c r="F1173" i="36"/>
  <c r="F1174" i="36"/>
  <c r="F1175" i="36"/>
  <c r="F1176" i="36"/>
  <c r="F1177" i="36"/>
  <c r="F1178" i="36"/>
  <c r="F1179" i="36"/>
  <c r="F1180" i="36"/>
  <c r="F1181" i="36"/>
  <c r="F1182" i="36"/>
  <c r="F1183" i="36"/>
  <c r="F1184" i="36"/>
  <c r="F1185" i="36"/>
  <c r="F1186" i="36"/>
  <c r="F1187" i="36"/>
  <c r="F1188" i="36"/>
  <c r="F1189" i="36"/>
  <c r="F1190" i="36"/>
  <c r="F1191" i="36"/>
  <c r="F1192" i="36"/>
  <c r="F1193" i="36"/>
  <c r="F1194" i="36"/>
  <c r="F1195" i="36"/>
  <c r="F1196" i="36"/>
  <c r="F1197" i="36"/>
  <c r="F1198" i="36"/>
  <c r="F1199" i="36"/>
  <c r="F1200" i="36"/>
  <c r="F1201" i="36"/>
  <c r="F1202" i="36"/>
  <c r="F1203" i="36"/>
  <c r="F1204" i="36"/>
  <c r="F1205" i="36"/>
  <c r="F1206" i="36"/>
  <c r="F1207" i="36"/>
  <c r="F1208" i="36"/>
  <c r="F1209" i="36"/>
  <c r="F1210" i="36"/>
  <c r="F1211" i="36"/>
  <c r="F1212" i="36"/>
  <c r="F1213" i="36"/>
  <c r="F1214" i="36"/>
  <c r="F1215" i="36"/>
  <c r="F1216" i="36"/>
  <c r="F1217" i="36"/>
  <c r="F1218" i="36"/>
  <c r="F1219" i="36"/>
  <c r="F1220" i="36"/>
  <c r="F1221" i="36"/>
  <c r="F1222" i="36"/>
  <c r="F1223" i="36"/>
  <c r="F1224" i="36"/>
  <c r="F1225" i="36"/>
  <c r="F1226" i="36"/>
  <c r="F1227" i="36"/>
  <c r="F1228" i="36"/>
  <c r="F1229" i="36"/>
  <c r="F1230" i="36"/>
  <c r="F1231" i="36"/>
  <c r="F1232" i="36"/>
  <c r="F1233" i="36"/>
  <c r="F1234" i="36"/>
  <c r="F1235" i="36"/>
  <c r="F1236" i="36"/>
  <c r="F1237" i="36"/>
  <c r="F1238" i="36"/>
  <c r="F1239" i="36"/>
  <c r="F1240" i="36"/>
  <c r="F1241" i="36"/>
  <c r="F1242" i="36"/>
  <c r="F1243" i="36"/>
  <c r="F1244" i="36"/>
  <c r="F1245" i="36"/>
  <c r="F1246" i="36"/>
  <c r="F1247" i="36"/>
  <c r="F1248" i="36"/>
  <c r="F1249" i="36"/>
  <c r="F1250" i="36"/>
  <c r="F1251" i="36"/>
  <c r="F1252" i="36"/>
  <c r="F1253" i="36"/>
  <c r="F1254" i="36"/>
  <c r="F1255" i="36"/>
  <c r="F1256" i="36"/>
  <c r="F1257" i="36"/>
  <c r="F1258" i="36"/>
  <c r="F1259" i="36"/>
  <c r="F1260" i="36"/>
  <c r="F1261" i="36"/>
  <c r="F1262" i="36"/>
  <c r="F1263" i="36"/>
  <c r="F1264" i="36"/>
  <c r="F1265" i="36"/>
  <c r="F1266" i="36"/>
  <c r="F1267" i="36"/>
  <c r="F1268" i="36"/>
  <c r="F1269" i="36"/>
  <c r="F1270" i="36"/>
  <c r="F1271" i="36"/>
  <c r="F1272" i="36"/>
  <c r="F1273" i="36"/>
  <c r="F1274" i="36"/>
  <c r="F1275" i="36"/>
  <c r="F1276" i="36"/>
  <c r="F1277" i="36"/>
  <c r="F1278" i="36"/>
  <c r="F1279" i="36"/>
  <c r="F1280" i="36"/>
  <c r="F1281" i="36"/>
  <c r="F1282" i="36"/>
  <c r="F1283" i="36"/>
  <c r="F1284" i="36"/>
  <c r="F1285" i="36"/>
  <c r="F1286" i="36"/>
  <c r="F1287" i="36"/>
  <c r="F1288" i="36"/>
  <c r="F1289" i="36"/>
  <c r="F1290" i="36"/>
  <c r="F1291" i="36"/>
  <c r="F1292" i="36"/>
  <c r="F1293" i="36"/>
  <c r="F1294" i="36"/>
  <c r="F1295" i="36"/>
  <c r="F1296" i="36"/>
  <c r="F1297" i="36"/>
  <c r="F1298" i="36"/>
  <c r="F1299" i="36"/>
  <c r="F1300" i="36"/>
  <c r="F1301" i="36"/>
  <c r="F1302" i="36"/>
  <c r="F1303" i="36"/>
  <c r="F1304" i="36"/>
  <c r="F1305" i="36"/>
  <c r="F1306" i="36"/>
  <c r="F1307" i="36"/>
  <c r="F1308" i="36"/>
  <c r="F1309" i="36"/>
  <c r="F1310" i="36"/>
  <c r="F1311" i="36"/>
  <c r="F1312" i="36"/>
  <c r="F1313" i="36"/>
  <c r="F1314" i="36"/>
  <c r="F1315" i="36"/>
  <c r="F1316" i="36"/>
  <c r="F1317" i="36"/>
  <c r="F1318" i="36"/>
  <c r="F1319" i="36"/>
  <c r="F1320" i="36"/>
  <c r="F1321" i="36"/>
  <c r="F1322" i="36"/>
  <c r="F1323" i="36"/>
  <c r="F1324" i="36"/>
  <c r="F1325" i="36"/>
  <c r="F1326" i="36"/>
  <c r="F1327" i="36"/>
  <c r="F1328" i="36"/>
  <c r="F1329" i="36"/>
  <c r="F1330" i="36"/>
  <c r="F1331" i="36"/>
  <c r="F1332" i="36"/>
  <c r="F1333" i="36"/>
  <c r="F1334" i="36"/>
  <c r="F1335" i="36"/>
  <c r="F1336" i="36"/>
  <c r="F1337" i="36"/>
  <c r="F1338" i="36"/>
  <c r="F1339" i="36"/>
  <c r="F1340" i="36"/>
  <c r="F1341" i="36"/>
  <c r="F1342" i="36"/>
  <c r="F1343" i="36"/>
  <c r="F1344" i="36"/>
  <c r="F1345" i="36"/>
  <c r="F1346" i="36"/>
  <c r="F1347" i="36"/>
  <c r="F1348" i="36"/>
  <c r="F1349" i="36"/>
  <c r="F1350" i="36"/>
  <c r="F1351" i="36"/>
  <c r="F1352" i="36"/>
  <c r="F1353" i="36"/>
  <c r="F1354" i="36"/>
  <c r="F1355" i="36"/>
  <c r="F1356" i="36"/>
  <c r="F1357" i="36"/>
  <c r="F1358" i="36"/>
  <c r="F1" i="36"/>
  <c r="B2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851" i="36"/>
  <c r="B852" i="36"/>
  <c r="B853" i="36"/>
  <c r="B854" i="36"/>
  <c r="B855" i="36"/>
  <c r="B856" i="36"/>
  <c r="B857" i="36"/>
  <c r="B858" i="36"/>
  <c r="B859" i="36"/>
  <c r="B860" i="36"/>
  <c r="B861" i="36"/>
  <c r="B862" i="36"/>
  <c r="B863" i="36"/>
  <c r="B864" i="36"/>
  <c r="B865" i="36"/>
  <c r="B866" i="36"/>
  <c r="B867" i="36"/>
  <c r="B868" i="36"/>
  <c r="B869" i="36"/>
  <c r="B870" i="36"/>
  <c r="B871" i="36"/>
  <c r="B872" i="36"/>
  <c r="B873" i="36"/>
  <c r="B874" i="36"/>
  <c r="B875" i="36"/>
  <c r="B876" i="36"/>
  <c r="B877" i="36"/>
  <c r="B878" i="36"/>
  <c r="B879" i="36"/>
  <c r="B880" i="36"/>
  <c r="B881" i="36"/>
  <c r="B882" i="36"/>
  <c r="B883" i="36"/>
  <c r="B884" i="36"/>
  <c r="B885" i="36"/>
  <c r="B886" i="36"/>
  <c r="B887" i="36"/>
  <c r="B888" i="36"/>
  <c r="B889" i="36"/>
  <c r="B890" i="36"/>
  <c r="B891" i="36"/>
  <c r="B892" i="36"/>
  <c r="B893" i="36"/>
  <c r="B894" i="36"/>
  <c r="B895" i="36"/>
  <c r="B896" i="36"/>
  <c r="B897" i="36"/>
  <c r="B898" i="36"/>
  <c r="B899" i="36"/>
  <c r="B900" i="36"/>
  <c r="B901" i="36"/>
  <c r="B902" i="36"/>
  <c r="B903" i="36"/>
  <c r="B904" i="36"/>
  <c r="B905" i="36"/>
  <c r="B906" i="36"/>
  <c r="B907" i="36"/>
  <c r="B908" i="36"/>
  <c r="B909" i="36"/>
  <c r="B910" i="36"/>
  <c r="B911" i="36"/>
  <c r="B912" i="36"/>
  <c r="B913" i="36"/>
  <c r="B914" i="36"/>
  <c r="B915" i="36"/>
  <c r="B916" i="36"/>
  <c r="B917" i="36"/>
  <c r="B918" i="36"/>
  <c r="B919" i="36"/>
  <c r="B920" i="36"/>
  <c r="B921" i="36"/>
  <c r="B922" i="36"/>
  <c r="B923" i="36"/>
  <c r="B924" i="36"/>
  <c r="B925" i="36"/>
  <c r="B926" i="36"/>
  <c r="B927" i="36"/>
  <c r="B928" i="36"/>
  <c r="B929" i="36"/>
  <c r="B930" i="36"/>
  <c r="B931" i="36"/>
  <c r="B932" i="36"/>
  <c r="B933" i="36"/>
  <c r="B934" i="36"/>
  <c r="B935" i="36"/>
  <c r="B936" i="36"/>
  <c r="B937" i="36"/>
  <c r="B938" i="36"/>
  <c r="B939" i="36"/>
  <c r="B940" i="36"/>
  <c r="B941" i="36"/>
  <c r="B942" i="36"/>
  <c r="B943" i="36"/>
  <c r="B944" i="36"/>
  <c r="B945" i="36"/>
  <c r="B946" i="36"/>
  <c r="B947" i="36"/>
  <c r="B948" i="36"/>
  <c r="B949" i="36"/>
  <c r="B950" i="36"/>
  <c r="B951" i="36"/>
  <c r="B952" i="36"/>
  <c r="B953" i="36"/>
  <c r="B954" i="36"/>
  <c r="B955" i="36"/>
  <c r="B956" i="36"/>
  <c r="B957" i="36"/>
  <c r="B958" i="36"/>
  <c r="B959" i="36"/>
  <c r="B960" i="36"/>
  <c r="B961" i="36"/>
  <c r="B962" i="36"/>
  <c r="B963" i="36"/>
  <c r="B964" i="36"/>
  <c r="B965" i="36"/>
  <c r="B966" i="36"/>
  <c r="B967" i="36"/>
  <c r="B968" i="36"/>
  <c r="B969" i="36"/>
  <c r="B970" i="36"/>
  <c r="B971" i="36"/>
  <c r="B972" i="36"/>
  <c r="B973" i="36"/>
  <c r="B974" i="36"/>
  <c r="B975" i="36"/>
  <c r="B976" i="36"/>
  <c r="B977" i="36"/>
  <c r="B978" i="36"/>
  <c r="B979" i="36"/>
  <c r="B980" i="36"/>
  <c r="B981" i="36"/>
  <c r="B982" i="36"/>
  <c r="B983" i="36"/>
  <c r="B984" i="36"/>
  <c r="B985" i="36"/>
  <c r="B986" i="36"/>
  <c r="B987" i="36"/>
  <c r="B988" i="36"/>
  <c r="B989" i="36"/>
  <c r="B990" i="36"/>
  <c r="B991" i="36"/>
  <c r="B992" i="36"/>
  <c r="B993" i="36"/>
  <c r="B994" i="36"/>
  <c r="B995" i="36"/>
  <c r="B996" i="36"/>
  <c r="B997" i="36"/>
  <c r="B998" i="36"/>
  <c r="B999" i="36"/>
  <c r="B1000" i="36"/>
  <c r="B1001" i="36"/>
  <c r="B1002" i="36"/>
  <c r="B1003" i="36"/>
  <c r="B1004" i="36"/>
  <c r="B1005" i="36"/>
  <c r="B1006" i="36"/>
  <c r="B1007" i="36"/>
  <c r="B1008" i="36"/>
  <c r="B1009" i="36"/>
  <c r="B1010" i="36"/>
  <c r="B1011" i="36"/>
  <c r="B1012" i="36"/>
  <c r="B1013" i="36"/>
  <c r="B1014" i="36"/>
  <c r="B1015" i="36"/>
  <c r="B1016" i="36"/>
  <c r="B1017" i="36"/>
  <c r="B1018" i="36"/>
  <c r="B1019" i="36"/>
  <c r="B1020" i="36"/>
  <c r="B1021" i="36"/>
  <c r="B1022" i="36"/>
  <c r="B1023" i="36"/>
  <c r="B1024" i="36"/>
  <c r="B1025" i="36"/>
  <c r="B1026" i="36"/>
  <c r="B1027" i="36"/>
  <c r="B1028" i="36"/>
  <c r="B1029" i="36"/>
  <c r="B1030" i="36"/>
  <c r="B1031" i="36"/>
  <c r="B1032" i="36"/>
  <c r="B1033" i="36"/>
  <c r="B1034" i="36"/>
  <c r="B1035" i="36"/>
  <c r="B1036" i="36"/>
  <c r="B1037" i="36"/>
  <c r="B1038" i="36"/>
  <c r="B1039" i="36"/>
  <c r="B1040" i="36"/>
  <c r="B1041" i="36"/>
  <c r="B1042" i="36"/>
  <c r="B1043" i="36"/>
  <c r="B1044" i="36"/>
  <c r="B1045" i="36"/>
  <c r="B1046" i="36"/>
  <c r="B1047" i="36"/>
  <c r="B1048" i="36"/>
  <c r="B1049" i="36"/>
  <c r="B1050" i="36"/>
  <c r="B1051" i="36"/>
  <c r="B1052" i="36"/>
  <c r="B1053" i="36"/>
  <c r="B1054" i="36"/>
  <c r="B1055" i="36"/>
  <c r="B1056" i="36"/>
  <c r="B1057" i="36"/>
  <c r="B1058" i="36"/>
  <c r="B1059" i="36"/>
  <c r="B1060" i="36"/>
  <c r="B1061" i="36"/>
  <c r="B1062" i="36"/>
  <c r="B1063" i="36"/>
  <c r="B1064" i="36"/>
  <c r="B1065" i="36"/>
  <c r="B1066" i="36"/>
  <c r="B1067" i="36"/>
  <c r="B1068" i="36"/>
  <c r="B1069" i="36"/>
  <c r="B1070" i="36"/>
  <c r="B1071" i="36"/>
  <c r="B1072" i="36"/>
  <c r="B1073" i="36"/>
  <c r="B1074" i="36"/>
  <c r="B1075" i="36"/>
  <c r="B1076" i="36"/>
  <c r="B1077" i="36"/>
  <c r="B1078" i="36"/>
  <c r="B1079" i="36"/>
  <c r="B1080" i="36"/>
  <c r="B1081" i="36"/>
  <c r="B1082" i="36"/>
  <c r="B1083" i="36"/>
  <c r="B1084" i="36"/>
  <c r="B1085" i="36"/>
  <c r="B1086" i="36"/>
  <c r="B1087" i="36"/>
  <c r="B1088" i="36"/>
  <c r="B1089" i="36"/>
  <c r="B1090" i="36"/>
  <c r="B1091" i="36"/>
  <c r="B1092" i="36"/>
  <c r="B1093" i="36"/>
  <c r="B1094" i="36"/>
  <c r="B1095" i="36"/>
  <c r="B1096" i="36"/>
  <c r="B1097" i="36"/>
  <c r="B1098" i="36"/>
  <c r="B1099" i="36"/>
  <c r="B1100" i="36"/>
  <c r="B1101" i="36"/>
  <c r="B1102" i="36"/>
  <c r="B1103" i="36"/>
  <c r="B1104" i="36"/>
  <c r="B1105" i="36"/>
  <c r="B1106" i="36"/>
  <c r="B1107" i="36"/>
  <c r="B1108" i="36"/>
  <c r="B1109" i="36"/>
  <c r="B1110" i="36"/>
  <c r="B1111" i="36"/>
  <c r="B1112" i="36"/>
  <c r="B1113" i="36"/>
  <c r="B1114" i="36"/>
  <c r="B1115" i="36"/>
  <c r="B1116" i="36"/>
  <c r="B1117" i="36"/>
  <c r="B1118" i="36"/>
  <c r="B1119" i="36"/>
  <c r="B1120" i="36"/>
  <c r="B1121" i="36"/>
  <c r="B1122" i="36"/>
  <c r="B1123" i="36"/>
  <c r="B1124" i="36"/>
  <c r="B1125" i="36"/>
  <c r="B1126" i="36"/>
  <c r="B1127" i="36"/>
  <c r="B1128" i="36"/>
  <c r="B1129" i="36"/>
  <c r="B1130" i="36"/>
  <c r="B1131" i="36"/>
  <c r="B1132" i="36"/>
  <c r="B1133" i="36"/>
  <c r="B1134" i="36"/>
  <c r="B1135" i="36"/>
  <c r="B1136" i="36"/>
  <c r="B1137" i="36"/>
  <c r="B1138" i="36"/>
  <c r="B1139" i="36"/>
  <c r="B1140" i="36"/>
  <c r="B1141" i="36"/>
  <c r="B1142" i="36"/>
  <c r="B1143" i="36"/>
  <c r="B1144" i="36"/>
  <c r="B1145" i="36"/>
  <c r="B1146" i="36"/>
  <c r="B1147" i="36"/>
  <c r="B1148" i="36"/>
  <c r="B1149" i="36"/>
  <c r="B1150" i="36"/>
  <c r="B1151" i="36"/>
  <c r="B1152" i="36"/>
  <c r="B1153" i="36"/>
  <c r="B1154" i="36"/>
  <c r="B1155" i="36"/>
  <c r="B1156" i="36"/>
  <c r="B1157" i="36"/>
  <c r="B1158" i="36"/>
  <c r="B1159" i="36"/>
  <c r="B1160" i="36"/>
  <c r="B1161" i="36"/>
  <c r="B1162" i="36"/>
  <c r="B1163" i="36"/>
  <c r="B1164" i="36"/>
  <c r="B1165" i="36"/>
  <c r="B1166" i="36"/>
  <c r="B1167" i="36"/>
  <c r="B1168" i="36"/>
  <c r="B1169" i="36"/>
  <c r="B1170" i="36"/>
  <c r="B1171" i="36"/>
  <c r="B1172" i="36"/>
  <c r="B1173" i="36"/>
  <c r="B1174" i="36"/>
  <c r="B1175" i="36"/>
  <c r="B1176" i="36"/>
  <c r="B1177" i="36"/>
  <c r="B1178" i="36"/>
  <c r="B1179" i="36"/>
  <c r="B1180" i="36"/>
  <c r="B1181" i="36"/>
  <c r="B1182" i="36"/>
  <c r="B1183" i="36"/>
  <c r="B1184" i="36"/>
  <c r="B1185" i="36"/>
  <c r="B1186" i="36"/>
  <c r="B1187" i="36"/>
  <c r="B1188" i="36"/>
  <c r="B1189" i="36"/>
  <c r="B1190" i="36"/>
  <c r="B1191" i="36"/>
  <c r="B1192" i="36"/>
  <c r="B1193" i="36"/>
  <c r="B1194" i="36"/>
  <c r="B1195" i="36"/>
  <c r="B1196" i="36"/>
  <c r="B1197" i="36"/>
  <c r="B1198" i="36"/>
  <c r="B1199" i="36"/>
  <c r="B1200" i="36"/>
  <c r="B1201" i="36"/>
  <c r="B1202" i="36"/>
  <c r="B1203" i="36"/>
  <c r="B1204" i="36"/>
  <c r="B1205" i="36"/>
  <c r="B1206" i="36"/>
  <c r="B1207" i="36"/>
  <c r="B1208" i="36"/>
  <c r="B1209" i="36"/>
  <c r="B1210" i="36"/>
  <c r="B1211" i="36"/>
  <c r="B1212" i="36"/>
  <c r="B1213" i="36"/>
  <c r="B1214" i="36"/>
  <c r="B1215" i="36"/>
  <c r="B1216" i="36"/>
  <c r="B1217" i="36"/>
  <c r="B1218" i="36"/>
  <c r="B1219" i="36"/>
  <c r="B1220" i="36"/>
  <c r="B1221" i="36"/>
  <c r="B1222" i="36"/>
  <c r="B1223" i="36"/>
  <c r="B1224" i="36"/>
  <c r="B1225" i="36"/>
  <c r="B1226" i="36"/>
  <c r="B1227" i="36"/>
  <c r="B1228" i="36"/>
  <c r="B1229" i="36"/>
  <c r="B1230" i="36"/>
  <c r="B1231" i="36"/>
  <c r="B1232" i="36"/>
  <c r="B1233" i="36"/>
  <c r="B1234" i="36"/>
  <c r="B1235" i="36"/>
  <c r="B1236" i="36"/>
  <c r="B1237" i="36"/>
  <c r="B1238" i="36"/>
  <c r="B1239" i="36"/>
  <c r="B1240" i="36"/>
  <c r="B1241" i="36"/>
  <c r="B1242" i="36"/>
  <c r="B1243" i="36"/>
  <c r="B1244" i="36"/>
  <c r="B1245" i="36"/>
  <c r="B1246" i="36"/>
  <c r="B1247" i="36"/>
  <c r="B1248" i="36"/>
  <c r="B1249" i="36"/>
  <c r="B1250" i="36"/>
  <c r="B1251" i="36"/>
  <c r="B1252" i="36"/>
  <c r="B1253" i="36"/>
  <c r="B1254" i="36"/>
  <c r="B1255" i="36"/>
  <c r="B1256" i="36"/>
  <c r="B1257" i="36"/>
  <c r="B1258" i="36"/>
  <c r="B1259" i="36"/>
  <c r="B1260" i="36"/>
  <c r="B1261" i="36"/>
  <c r="B1262" i="36"/>
  <c r="B1263" i="36"/>
  <c r="B1264" i="36"/>
  <c r="B1265" i="36"/>
  <c r="B1266" i="36"/>
  <c r="B1267" i="36"/>
  <c r="B1268" i="36"/>
  <c r="B1269" i="36"/>
  <c r="B1270" i="36"/>
  <c r="B1271" i="36"/>
  <c r="B1272" i="36"/>
  <c r="B1273" i="36"/>
  <c r="B1274" i="36"/>
  <c r="B1275" i="36"/>
  <c r="B1276" i="36"/>
  <c r="B1277" i="36"/>
  <c r="B1278" i="36"/>
  <c r="B1279" i="36"/>
  <c r="B1280" i="36"/>
  <c r="B1281" i="36"/>
  <c r="B1282" i="36"/>
  <c r="B1283" i="36"/>
  <c r="B1284" i="36"/>
  <c r="B1285" i="36"/>
  <c r="B1286" i="36"/>
  <c r="B1287" i="36"/>
  <c r="B1288" i="36"/>
  <c r="B1289" i="36"/>
  <c r="B1290" i="36"/>
  <c r="B1291" i="36"/>
  <c r="B1292" i="36"/>
  <c r="B1293" i="36"/>
  <c r="B1294" i="36"/>
  <c r="B1295" i="36"/>
  <c r="B1296" i="36"/>
  <c r="B1297" i="36"/>
  <c r="B1298" i="36"/>
  <c r="B1299" i="36"/>
  <c r="B1300" i="36"/>
  <c r="B1301" i="36"/>
  <c r="B1302" i="36"/>
  <c r="B1303" i="36"/>
  <c r="B1304" i="36"/>
  <c r="B1305" i="36"/>
  <c r="B1306" i="36"/>
  <c r="B1307" i="36"/>
  <c r="B1308" i="36"/>
  <c r="B1309" i="36"/>
  <c r="B1310" i="36"/>
  <c r="B1311" i="36"/>
  <c r="B1312" i="36"/>
  <c r="B1313" i="36"/>
  <c r="B1314" i="36"/>
  <c r="B1315" i="36"/>
  <c r="B1316" i="36"/>
  <c r="B1317" i="36"/>
  <c r="B1318" i="36"/>
  <c r="B1319" i="36"/>
  <c r="B1320" i="36"/>
  <c r="B1321" i="36"/>
  <c r="B1322" i="36"/>
  <c r="B1323" i="36"/>
  <c r="B1324" i="36"/>
  <c r="B1325" i="36"/>
  <c r="B1326" i="36"/>
  <c r="B1327" i="36"/>
  <c r="B1328" i="36"/>
  <c r="B1329" i="36"/>
  <c r="B1330" i="36"/>
  <c r="B1331" i="36"/>
  <c r="B1332" i="36"/>
  <c r="B1333" i="36"/>
  <c r="B1334" i="36"/>
  <c r="B1335" i="36"/>
  <c r="B1336" i="36"/>
  <c r="B1337" i="36"/>
  <c r="B1338" i="36"/>
  <c r="B1339" i="36"/>
  <c r="B1340" i="36"/>
  <c r="B1341" i="36"/>
  <c r="B1342" i="36"/>
  <c r="B1343" i="36"/>
  <c r="B1344" i="36"/>
  <c r="B1345" i="36"/>
  <c r="B1346" i="36"/>
  <c r="B1347" i="36"/>
  <c r="B1348" i="36"/>
  <c r="B1349" i="36"/>
  <c r="B1350" i="36"/>
  <c r="B1351" i="36"/>
  <c r="B1352" i="36"/>
  <c r="B1353" i="36"/>
  <c r="B1354" i="36"/>
  <c r="B1355" i="36"/>
  <c r="B1356" i="36"/>
  <c r="B1357" i="36"/>
  <c r="B1358" i="36"/>
  <c r="B1" i="36"/>
  <c r="G106" i="26" l="1"/>
  <c r="G105" i="26"/>
  <c r="H14" i="25"/>
  <c r="H11" i="25"/>
  <c r="G58" i="26"/>
  <c r="G57" i="26"/>
  <c r="G82" i="26"/>
  <c r="G55" i="26"/>
  <c r="K30" i="25"/>
  <c r="N8" i="28"/>
  <c r="N11" i="28"/>
  <c r="H6" i="23"/>
  <c r="L8" i="24"/>
  <c r="L6" i="24"/>
  <c r="L14" i="24"/>
  <c r="L12" i="24"/>
  <c r="O12" i="24" s="1"/>
  <c r="M9" i="25"/>
  <c r="O10" i="28"/>
  <c r="N7" i="27"/>
  <c r="J67" i="18"/>
  <c r="H164" i="19"/>
  <c r="L165" i="19" s="1"/>
  <c r="M12" i="25"/>
  <c r="M11" i="25"/>
  <c r="L29" i="25"/>
  <c r="M29" i="25" s="1"/>
  <c r="M8" i="28"/>
  <c r="J154" i="19"/>
  <c r="N14" i="27"/>
  <c r="O7" i="28"/>
  <c r="M14" i="24"/>
  <c r="Q42" i="27"/>
  <c r="Q34" i="27"/>
  <c r="Q23" i="27"/>
  <c r="Q6" i="27"/>
  <c r="R14" i="25"/>
  <c r="R13" i="25"/>
  <c r="H13" i="25"/>
  <c r="R11" i="25"/>
  <c r="R10" i="25"/>
  <c r="G30" i="25"/>
  <c r="J124" i="19"/>
  <c r="J55" i="18"/>
  <c r="K19" i="18"/>
  <c r="H84" i="19"/>
  <c r="L85" i="19" s="1"/>
  <c r="G4" i="21"/>
  <c r="H119" i="19"/>
  <c r="H70" i="19"/>
  <c r="I54" i="19"/>
  <c r="L25" i="18"/>
  <c r="K49" i="18"/>
  <c r="L31" i="18"/>
  <c r="U19" i="18"/>
  <c r="L36" i="27"/>
  <c r="N12" i="27"/>
  <c r="I14" i="19"/>
  <c r="M14" i="20"/>
  <c r="F25" i="27"/>
  <c r="L35" i="27"/>
  <c r="T35" i="27" s="1"/>
  <c r="O21" i="20"/>
  <c r="M21" i="20"/>
  <c r="P20" i="20" s="1"/>
  <c r="M22" i="20"/>
  <c r="O22" i="20"/>
  <c r="R22" i="20" s="1"/>
  <c r="L28" i="25"/>
  <c r="K23" i="18"/>
  <c r="O14" i="27"/>
  <c r="M10" i="28"/>
  <c r="M11" i="28"/>
  <c r="N12" i="28"/>
  <c r="M12" i="28"/>
  <c r="M23" i="28"/>
  <c r="M13" i="28"/>
  <c r="O9" i="28"/>
  <c r="N9" i="28"/>
  <c r="N7" i="28"/>
  <c r="O12" i="28"/>
  <c r="O20" i="28"/>
  <c r="M7" i="28"/>
  <c r="O11" i="28"/>
  <c r="M14" i="27"/>
  <c r="F35" i="27"/>
  <c r="T44" i="27"/>
  <c r="K39" i="18"/>
  <c r="J24" i="19"/>
  <c r="G9" i="22"/>
  <c r="P9" i="22" s="1"/>
  <c r="I40" i="19"/>
  <c r="K17" i="18"/>
  <c r="N31" i="28"/>
  <c r="Q31" i="28" s="1"/>
  <c r="L69" i="18"/>
  <c r="G97" i="26"/>
  <c r="I97" i="26" s="1"/>
  <c r="J97" i="26" s="1"/>
  <c r="Q28" i="25"/>
  <c r="R28" i="25" s="1"/>
  <c r="G29" i="25"/>
  <c r="R12" i="25"/>
  <c r="G31" i="25"/>
  <c r="F30" i="25"/>
  <c r="P30" i="25"/>
  <c r="O34" i="28"/>
  <c r="R33" i="28" s="1"/>
  <c r="M20" i="20"/>
  <c r="L37" i="27"/>
  <c r="M26" i="20"/>
  <c r="F28" i="27"/>
  <c r="M24" i="20"/>
  <c r="F24" i="27"/>
  <c r="O27" i="20"/>
  <c r="N27" i="20"/>
  <c r="M9" i="20"/>
  <c r="M10" i="20"/>
  <c r="N18" i="20"/>
  <c r="N16" i="27"/>
  <c r="O41" i="28"/>
  <c r="L25" i="27"/>
  <c r="L24" i="27"/>
  <c r="I24" i="27"/>
  <c r="N27" i="28"/>
  <c r="Q27" i="28"/>
  <c r="M42" i="28"/>
  <c r="P41" i="28" s="1"/>
  <c r="N24" i="20"/>
  <c r="Q24" i="20" s="1"/>
  <c r="O24" i="20"/>
  <c r="R24" i="20" s="1"/>
  <c r="O14" i="28"/>
  <c r="O9" i="20"/>
  <c r="N9" i="20"/>
  <c r="O26" i="28"/>
  <c r="I28" i="27"/>
  <c r="O20" i="20"/>
  <c r="O43" i="28"/>
  <c r="M33" i="28"/>
  <c r="N17" i="28"/>
  <c r="O30" i="28"/>
  <c r="O26" i="20"/>
  <c r="N26" i="20"/>
  <c r="O16" i="20"/>
  <c r="L65" i="18"/>
  <c r="N10" i="28"/>
  <c r="M26" i="28"/>
  <c r="I37" i="27"/>
  <c r="O7" i="27"/>
  <c r="M25" i="20"/>
  <c r="P24" i="20" s="1"/>
  <c r="R9" i="25"/>
  <c r="J19" i="18"/>
  <c r="K29" i="18"/>
  <c r="G6" i="23"/>
  <c r="J6" i="23" s="1"/>
  <c r="J44" i="19"/>
  <c r="H104" i="19"/>
  <c r="I89" i="19"/>
  <c r="I91" i="19" s="1"/>
  <c r="I92" i="19" s="1"/>
  <c r="J64" i="19"/>
  <c r="J114" i="19"/>
  <c r="I100" i="19"/>
  <c r="J54" i="19"/>
  <c r="I34" i="19"/>
  <c r="H44" i="19"/>
  <c r="J134" i="19"/>
  <c r="H80" i="19"/>
  <c r="I24" i="19"/>
  <c r="J39" i="19"/>
  <c r="H99" i="19"/>
  <c r="H159" i="19"/>
  <c r="H161" i="19" s="1"/>
  <c r="H162" i="19" s="1"/>
  <c r="J164" i="19"/>
  <c r="H79" i="19"/>
  <c r="J74" i="19"/>
  <c r="H14" i="19"/>
  <c r="L15" i="19" s="1"/>
  <c r="H24" i="19"/>
  <c r="L25" i="19" s="1"/>
  <c r="H64" i="19"/>
  <c r="N25" i="28"/>
  <c r="L27" i="18"/>
  <c r="J21" i="18"/>
  <c r="K53" i="18"/>
  <c r="N42" i="28"/>
  <c r="N29" i="28"/>
  <c r="H120" i="19"/>
  <c r="M17" i="28"/>
  <c r="O40" i="28"/>
  <c r="I114" i="19"/>
  <c r="H154" i="19"/>
  <c r="H150" i="19"/>
  <c r="O31" i="28"/>
  <c r="M40" i="28"/>
  <c r="J45" i="18"/>
  <c r="J14" i="19"/>
  <c r="J10" i="19"/>
  <c r="H149" i="19"/>
  <c r="H151" i="19"/>
  <c r="H152" i="19" s="1"/>
  <c r="I36" i="27"/>
  <c r="M8" i="24"/>
  <c r="I105" i="26"/>
  <c r="J105" i="26"/>
  <c r="N16" i="20"/>
  <c r="M13" i="20"/>
  <c r="O13" i="28"/>
  <c r="R13" i="28" s="1"/>
  <c r="M16" i="28"/>
  <c r="M17" i="20"/>
  <c r="O28" i="28"/>
  <c r="G10" i="22"/>
  <c r="F36" i="27"/>
  <c r="M18" i="20"/>
  <c r="N6" i="24"/>
  <c r="M12" i="24"/>
  <c r="N12" i="24"/>
  <c r="N14" i="24"/>
  <c r="M16" i="27"/>
  <c r="O16" i="27"/>
  <c r="G123" i="26"/>
  <c r="G65" i="26"/>
  <c r="G59" i="26"/>
  <c r="G104" i="26"/>
  <c r="I103" i="26" s="1"/>
  <c r="J103" i="26" s="1"/>
  <c r="G119" i="26"/>
  <c r="G145" i="26"/>
  <c r="I145" i="26" s="1"/>
  <c r="J145" i="26" s="1"/>
  <c r="G56" i="26"/>
  <c r="G88" i="26"/>
  <c r="I85" i="26" s="1"/>
  <c r="J85" i="26" s="1"/>
  <c r="H12" i="25"/>
  <c r="G37" i="26"/>
  <c r="N36" i="28"/>
  <c r="O35" i="28"/>
  <c r="F27" i="27"/>
  <c r="M20" i="28"/>
  <c r="M31" i="28"/>
  <c r="N21" i="28"/>
  <c r="O14" i="20"/>
  <c r="R44" i="27"/>
  <c r="I26" i="27"/>
  <c r="N25" i="20"/>
  <c r="O25" i="20"/>
  <c r="N21" i="20"/>
  <c r="O15" i="20"/>
  <c r="M23" i="20"/>
  <c r="P22" i="20" s="1"/>
  <c r="N22" i="20"/>
  <c r="Q22" i="20" s="1"/>
  <c r="J7" i="18"/>
  <c r="M7" i="18" s="1"/>
  <c r="F26" i="27"/>
  <c r="R25" i="27" s="1"/>
  <c r="G9" i="26"/>
  <c r="J94" i="19"/>
  <c r="L95" i="19" s="1"/>
  <c r="H74" i="19"/>
  <c r="L75" i="19"/>
  <c r="G10" i="26"/>
  <c r="I9" i="26" s="1"/>
  <c r="J9" i="26" s="1"/>
  <c r="H19" i="19"/>
  <c r="H21" i="19" s="1"/>
  <c r="H22" i="19" s="1"/>
  <c r="I44" i="19"/>
  <c r="H39" i="19"/>
  <c r="H41" i="19" s="1"/>
  <c r="H42" i="19" s="1"/>
  <c r="G142" i="26"/>
  <c r="I139" i="26" s="1"/>
  <c r="J139" i="26" s="1"/>
  <c r="G85" i="26"/>
  <c r="G136" i="26"/>
  <c r="G127" i="26"/>
  <c r="G107" i="26"/>
  <c r="G40" i="26"/>
  <c r="I37" i="26" s="1"/>
  <c r="J37" i="26" s="1"/>
  <c r="G113" i="26"/>
  <c r="I107" i="26" s="1"/>
  <c r="J107" i="26" s="1"/>
  <c r="G139" i="26"/>
  <c r="G103" i="26"/>
  <c r="G94" i="26"/>
  <c r="I91" i="26" s="1"/>
  <c r="J91" i="26" s="1"/>
  <c r="G148" i="26"/>
  <c r="G133" i="26"/>
  <c r="I133" i="26" s="1"/>
  <c r="J133" i="26" s="1"/>
  <c r="G71" i="26"/>
  <c r="I71" i="26" s="1"/>
  <c r="J71" i="26" s="1"/>
  <c r="G79" i="26"/>
  <c r="I79" i="26"/>
  <c r="J79" i="26" s="1"/>
  <c r="O16" i="28"/>
  <c r="W13" i="28" s="1"/>
  <c r="L49" i="18"/>
  <c r="M49" i="18" s="1"/>
  <c r="N13" i="28"/>
  <c r="Q13" i="28" s="1"/>
  <c r="O19" i="28"/>
  <c r="G17" i="26"/>
  <c r="M19" i="28"/>
  <c r="N16" i="28"/>
  <c r="G49" i="26"/>
  <c r="M11" i="20"/>
  <c r="M8" i="20"/>
  <c r="T48" i="18"/>
  <c r="O13" i="20"/>
  <c r="N13" i="20"/>
  <c r="M47" i="28"/>
  <c r="P47" i="28" s="1"/>
  <c r="O23" i="20"/>
  <c r="N23" i="20"/>
  <c r="N38" i="28"/>
  <c r="I27" i="27"/>
  <c r="L27" i="27"/>
  <c r="N17" i="20"/>
  <c r="O17" i="20"/>
  <c r="R16" i="20"/>
  <c r="N19" i="20"/>
  <c r="S18" i="20" s="1"/>
  <c r="Q18" i="20"/>
  <c r="N47" i="28"/>
  <c r="Q47" i="28" s="1"/>
  <c r="O11" i="20"/>
  <c r="N11" i="20"/>
  <c r="N8" i="20"/>
  <c r="Q8" i="20" s="1"/>
  <c r="O8" i="20"/>
  <c r="R8" i="20" s="1"/>
  <c r="J160" i="19"/>
  <c r="J159" i="19"/>
  <c r="J161" i="19" s="1"/>
  <c r="J162" i="19" s="1"/>
  <c r="N26" i="28"/>
  <c r="J49" i="18"/>
  <c r="K61" i="18"/>
  <c r="H59" i="19"/>
  <c r="H60" i="19"/>
  <c r="N46" i="28"/>
  <c r="N10" i="27"/>
  <c r="S7" i="27"/>
  <c r="S8" i="27"/>
  <c r="I99" i="19"/>
  <c r="J139" i="19"/>
  <c r="J141" i="19" s="1"/>
  <c r="J142" i="19" s="1"/>
  <c r="I94" i="19"/>
  <c r="I90" i="19"/>
  <c r="N18" i="28"/>
  <c r="Q17" i="28" s="1"/>
  <c r="N45" i="28"/>
  <c r="Q45" i="28"/>
  <c r="O39" i="28"/>
  <c r="N41" i="28"/>
  <c r="Q41" i="28"/>
  <c r="M7" i="27"/>
  <c r="R8" i="27"/>
  <c r="R7" i="27"/>
  <c r="R9" i="27"/>
  <c r="M36" i="28"/>
  <c r="M24" i="28"/>
  <c r="M18" i="28"/>
  <c r="H89" i="19"/>
  <c r="O23" i="28"/>
  <c r="K31" i="18"/>
  <c r="M31" i="18" s="1"/>
  <c r="J30" i="19"/>
  <c r="J34" i="19"/>
  <c r="I104" i="19"/>
  <c r="L105" i="19" s="1"/>
  <c r="O10" i="20"/>
  <c r="J140" i="19"/>
  <c r="N30" i="28"/>
  <c r="K13" i="18"/>
  <c r="M13" i="18" s="1"/>
  <c r="O46" i="28"/>
  <c r="R45" i="28" s="1"/>
  <c r="O25" i="28"/>
  <c r="R25" i="28"/>
  <c r="O48" i="28"/>
  <c r="N20" i="28"/>
  <c r="H140" i="19"/>
  <c r="H141" i="19" s="1"/>
  <c r="H142" i="19" s="1"/>
  <c r="O38" i="28"/>
  <c r="O42" i="28"/>
  <c r="O44" i="28"/>
  <c r="L23" i="18"/>
  <c r="N40" i="28"/>
  <c r="I29" i="19"/>
  <c r="M30" i="28"/>
  <c r="O8" i="28"/>
  <c r="M22" i="28"/>
  <c r="J27" i="18"/>
  <c r="N15" i="28"/>
  <c r="I134" i="19"/>
  <c r="I129" i="19"/>
  <c r="I131" i="19" s="1"/>
  <c r="I132" i="19" s="1"/>
  <c r="N10" i="20"/>
  <c r="L13" i="18"/>
  <c r="O18" i="20"/>
  <c r="I164" i="19"/>
  <c r="O7" i="22"/>
  <c r="R7" i="22" s="1"/>
  <c r="G91" i="26"/>
  <c r="M15" i="20"/>
  <c r="P14" i="20"/>
  <c r="K65" i="18"/>
  <c r="O8" i="22"/>
  <c r="H69" i="19"/>
  <c r="H71" i="19" s="1"/>
  <c r="H72" i="19" s="1"/>
  <c r="I20" i="21"/>
  <c r="G130" i="26"/>
  <c r="O9" i="22"/>
  <c r="F37" i="27"/>
  <c r="S44" i="27"/>
  <c r="L28" i="27"/>
  <c r="G75" i="26"/>
  <c r="H160" i="19"/>
  <c r="I6" i="23"/>
  <c r="H94" i="19"/>
  <c r="L67" i="18"/>
  <c r="L26" i="27"/>
  <c r="T24" i="27"/>
  <c r="I35" i="27"/>
  <c r="S36" i="27" s="1"/>
  <c r="M6" i="24"/>
  <c r="M35" i="28"/>
  <c r="P35" i="28" s="1"/>
  <c r="O10" i="27"/>
  <c r="I50" i="19"/>
  <c r="I49" i="19"/>
  <c r="I51" i="19" s="1"/>
  <c r="I52" i="19" s="1"/>
  <c r="H110" i="19"/>
  <c r="H114" i="19"/>
  <c r="L115" i="19"/>
  <c r="H109" i="19"/>
  <c r="H111" i="19" s="1"/>
  <c r="H112" i="19" s="1"/>
  <c r="I74" i="19"/>
  <c r="I69" i="19"/>
  <c r="I70" i="19"/>
  <c r="I154" i="19"/>
  <c r="H50" i="19"/>
  <c r="H54" i="19"/>
  <c r="H49" i="19"/>
  <c r="H51" i="19" s="1"/>
  <c r="H52" i="19" s="1"/>
  <c r="I124" i="19"/>
  <c r="L125" i="19" s="1"/>
  <c r="O47" i="28"/>
  <c r="K43" i="18"/>
  <c r="J9" i="19"/>
  <c r="J11" i="19"/>
  <c r="J12" i="19"/>
  <c r="O32" i="28"/>
  <c r="I59" i="19"/>
  <c r="I60" i="19"/>
  <c r="I61" i="19"/>
  <c r="I62" i="19"/>
  <c r="I79" i="19"/>
  <c r="I81" i="19" s="1"/>
  <c r="I82" i="19" s="1"/>
  <c r="O22" i="28"/>
  <c r="J60" i="19"/>
  <c r="S43" i="27"/>
  <c r="S45" i="27" s="1"/>
  <c r="M19" i="20"/>
  <c r="I30" i="19"/>
  <c r="J69" i="19"/>
  <c r="J29" i="19"/>
  <c r="J130" i="19"/>
  <c r="O12" i="20"/>
  <c r="R12" i="20" s="1"/>
  <c r="M29" i="28"/>
  <c r="P29" i="28" s="1"/>
  <c r="N23" i="28"/>
  <c r="Q23" i="28" s="1"/>
  <c r="M37" i="28"/>
  <c r="J11" i="18"/>
  <c r="J9" i="18"/>
  <c r="L47" i="18"/>
  <c r="M47" i="18" s="1"/>
  <c r="M41" i="28"/>
  <c r="M28" i="28"/>
  <c r="N12" i="20"/>
  <c r="Q12" i="20" s="1"/>
  <c r="I25" i="27"/>
  <c r="S24" i="27" s="1"/>
  <c r="N35" i="28"/>
  <c r="Q35" i="28" s="1"/>
  <c r="N15" i="20"/>
  <c r="Q14" i="20" s="1"/>
  <c r="K7" i="22"/>
  <c r="K12" i="22" s="1"/>
  <c r="K35" i="18"/>
  <c r="M35" i="18" s="1"/>
  <c r="K8" i="22"/>
  <c r="J144" i="19"/>
  <c r="J15" i="18"/>
  <c r="T7" i="27"/>
  <c r="J19" i="19"/>
  <c r="O33" i="28"/>
  <c r="K47" i="18"/>
  <c r="H124" i="19"/>
  <c r="G100" i="26"/>
  <c r="T43" i="27"/>
  <c r="M10" i="27"/>
  <c r="M27" i="20"/>
  <c r="P26" i="20"/>
  <c r="O18" i="28"/>
  <c r="R17" i="28" s="1"/>
  <c r="M44" i="28"/>
  <c r="P43" i="28" s="1"/>
  <c r="J70" i="19"/>
  <c r="J71" i="19" s="1"/>
  <c r="J72" i="19" s="1"/>
  <c r="N8" i="24"/>
  <c r="J110" i="19"/>
  <c r="J109" i="19"/>
  <c r="J111" i="19" s="1"/>
  <c r="J112" i="19" s="1"/>
  <c r="I9" i="19"/>
  <c r="I10" i="19"/>
  <c r="G8" i="26"/>
  <c r="I7" i="26" s="1"/>
  <c r="J7" i="26" s="1"/>
  <c r="G46" i="26"/>
  <c r="G31" i="26"/>
  <c r="G27" i="26"/>
  <c r="I23" i="26" s="1"/>
  <c r="J23" i="26" s="1"/>
  <c r="L59" i="18"/>
  <c r="I130" i="19"/>
  <c r="G8" i="22"/>
  <c r="J57" i="18"/>
  <c r="J129" i="19"/>
  <c r="J131" i="19"/>
  <c r="J132" i="19" s="1"/>
  <c r="M45" i="28"/>
  <c r="I109" i="19"/>
  <c r="I110" i="19"/>
  <c r="I111" i="19" s="1"/>
  <c r="I112" i="19" s="1"/>
  <c r="J59" i="19"/>
  <c r="J99" i="19"/>
  <c r="J101" i="19" s="1"/>
  <c r="J102" i="19" s="1"/>
  <c r="N43" i="28"/>
  <c r="Q43" i="28" s="1"/>
  <c r="M14" i="28"/>
  <c r="P13" i="28" s="1"/>
  <c r="I84" i="19"/>
  <c r="K55" i="18"/>
  <c r="J25" i="18"/>
  <c r="M25" i="18" s="1"/>
  <c r="M12" i="27"/>
  <c r="L17" i="18"/>
  <c r="N44" i="28"/>
  <c r="H90" i="19"/>
  <c r="H91" i="19" s="1"/>
  <c r="H92" i="19" s="1"/>
  <c r="I21" i="21"/>
  <c r="N14" i="28"/>
  <c r="O12" i="27"/>
  <c r="G11" i="26"/>
  <c r="G43" i="26"/>
  <c r="G52" i="26"/>
  <c r="I49" i="26" s="1"/>
  <c r="J49" i="26" s="1"/>
  <c r="G7" i="26"/>
  <c r="G23" i="26"/>
  <c r="G34" i="26"/>
  <c r="I57" i="26"/>
  <c r="J57" i="26" s="1"/>
  <c r="M27" i="28"/>
  <c r="N22" i="28"/>
  <c r="Q21" i="28" s="1"/>
  <c r="M39" i="28"/>
  <c r="P39" i="28"/>
  <c r="O36" i="28"/>
  <c r="M25" i="28"/>
  <c r="P25" i="28"/>
  <c r="P23" i="28"/>
  <c r="Q29" i="28"/>
  <c r="S9" i="27"/>
  <c r="T25" i="27"/>
  <c r="T26" i="27" s="1"/>
  <c r="R20" i="20"/>
  <c r="R14" i="20"/>
  <c r="L55" i="19"/>
  <c r="I31" i="19"/>
  <c r="I32" i="19" s="1"/>
  <c r="U48" i="18"/>
  <c r="S19" i="18"/>
  <c r="U47" i="18"/>
  <c r="S7" i="18"/>
  <c r="L9" i="18"/>
  <c r="J61" i="18"/>
  <c r="T23" i="18"/>
  <c r="S23" i="18"/>
  <c r="K63" i="18"/>
  <c r="M63" i="18" s="1"/>
  <c r="L57" i="18"/>
  <c r="M57" i="18" s="1"/>
  <c r="J43" i="18"/>
  <c r="M43" i="18"/>
  <c r="U20" i="18"/>
  <c r="L61" i="18"/>
  <c r="L41" i="18"/>
  <c r="S12" i="18"/>
  <c r="K45" i="18"/>
  <c r="M45" i="18" s="1"/>
  <c r="J41" i="18"/>
  <c r="J33" i="18"/>
  <c r="L19" i="18"/>
  <c r="K69" i="18"/>
  <c r="K21" i="18"/>
  <c r="J65" i="18"/>
  <c r="M65" i="18" s="1"/>
  <c r="L55" i="18"/>
  <c r="J31" i="18"/>
  <c r="L7" i="18"/>
  <c r="J23" i="18"/>
  <c r="K57" i="18"/>
  <c r="L35" i="18"/>
  <c r="U43" i="18"/>
  <c r="K25" i="18"/>
  <c r="J17" i="18"/>
  <c r="M17" i="18" s="1"/>
  <c r="L39" i="18"/>
  <c r="K33" i="18"/>
  <c r="K59" i="18"/>
  <c r="K9" i="18"/>
  <c r="K15" i="18"/>
  <c r="M15" i="18" s="1"/>
  <c r="K11" i="18"/>
  <c r="U8" i="25"/>
  <c r="H31" i="25"/>
  <c r="P28" i="25"/>
  <c r="U26" i="25"/>
  <c r="U28" i="25" s="1"/>
  <c r="V29" i="25" s="1"/>
  <c r="R7" i="25"/>
  <c r="M7" i="25"/>
  <c r="K28" i="25"/>
  <c r="M10" i="25"/>
  <c r="Q31" i="25"/>
  <c r="R31" i="25" s="1"/>
  <c r="L30" i="25"/>
  <c r="M30" i="25"/>
  <c r="Q30" i="25"/>
  <c r="R30" i="25" s="1"/>
  <c r="M14" i="25"/>
  <c r="Q29" i="25"/>
  <c r="R29" i="25"/>
  <c r="G28" i="25"/>
  <c r="M8" i="25"/>
  <c r="R8" i="25"/>
  <c r="H10" i="25"/>
  <c r="L31" i="25"/>
  <c r="M31" i="25"/>
  <c r="M13" i="25"/>
  <c r="H9" i="25"/>
  <c r="H34" i="19"/>
  <c r="L35" i="19" s="1"/>
  <c r="U7" i="18"/>
  <c r="H20" i="19"/>
  <c r="U28" i="18"/>
  <c r="H40" i="19"/>
  <c r="H29" i="19"/>
  <c r="I149" i="19"/>
  <c r="I150" i="19"/>
  <c r="I64" i="19"/>
  <c r="Q10" i="20"/>
  <c r="J20" i="19"/>
  <c r="H10" i="19"/>
  <c r="J50" i="19"/>
  <c r="J49" i="19"/>
  <c r="J51" i="19"/>
  <c r="J52" i="19" s="1"/>
  <c r="O15" i="28"/>
  <c r="R15" i="28" s="1"/>
  <c r="M15" i="28"/>
  <c r="P15" i="28" s="1"/>
  <c r="O19" i="20"/>
  <c r="R18" i="20" s="1"/>
  <c r="H9" i="19"/>
  <c r="N34" i="28"/>
  <c r="S15" i="18"/>
  <c r="J104" i="19"/>
  <c r="J100" i="19"/>
  <c r="H144" i="19"/>
  <c r="H139" i="19"/>
  <c r="J149" i="19"/>
  <c r="J150" i="19"/>
  <c r="N24" i="28"/>
  <c r="K9" i="22"/>
  <c r="N32" i="28"/>
  <c r="M16" i="20"/>
  <c r="P16" i="20" s="1"/>
  <c r="L53" i="18"/>
  <c r="O10" i="22"/>
  <c r="R9" i="22" s="1"/>
  <c r="L63" i="18"/>
  <c r="O45" i="28"/>
  <c r="L37" i="18"/>
  <c r="M37" i="18" s="1"/>
  <c r="N33" i="28"/>
  <c r="Q33" i="28" s="1"/>
  <c r="H8" i="25"/>
  <c r="F28" i="25"/>
  <c r="H29" i="25" s="1"/>
  <c r="H7" i="25"/>
  <c r="N19" i="28"/>
  <c r="Q19" i="28" s="1"/>
  <c r="M43" i="28"/>
  <c r="M9" i="28"/>
  <c r="M12" i="20"/>
  <c r="J40" i="19"/>
  <c r="R43" i="27"/>
  <c r="R45" i="27" s="1"/>
  <c r="L29" i="18"/>
  <c r="H30" i="19"/>
  <c r="U27" i="25"/>
  <c r="I80" i="19"/>
  <c r="K10" i="22"/>
  <c r="Q9" i="22"/>
  <c r="O24" i="28"/>
  <c r="N39" i="28"/>
  <c r="Q39" i="28" s="1"/>
  <c r="M46" i="28"/>
  <c r="N14" i="20"/>
  <c r="S14" i="20" s="1"/>
  <c r="L33" i="18"/>
  <c r="K41" i="18"/>
  <c r="J39" i="18"/>
  <c r="M39" i="18" s="1"/>
  <c r="O27" i="28"/>
  <c r="H100" i="19"/>
  <c r="H101" i="19"/>
  <c r="H102" i="19" s="1"/>
  <c r="J69" i="18"/>
  <c r="N28" i="28"/>
  <c r="M38" i="28"/>
  <c r="P37" i="28" s="1"/>
  <c r="O17" i="28"/>
  <c r="G7" i="22"/>
  <c r="M34" i="28"/>
  <c r="M48" i="28"/>
  <c r="T8" i="27"/>
  <c r="M32" i="28"/>
  <c r="J35" i="18"/>
  <c r="I39" i="19"/>
  <c r="I41" i="19"/>
  <c r="I42" i="19" s="1"/>
  <c r="J84" i="19"/>
  <c r="I19" i="19"/>
  <c r="H30" i="25"/>
  <c r="M21" i="28"/>
  <c r="P21" i="28" s="1"/>
  <c r="N37" i="28"/>
  <c r="Q37" i="28" s="1"/>
  <c r="T36" i="18"/>
  <c r="L21" i="18"/>
  <c r="N48" i="28"/>
  <c r="N20" i="20"/>
  <c r="S20" i="20" s="1"/>
  <c r="L51" i="18"/>
  <c r="U7" i="25"/>
  <c r="O37" i="28"/>
  <c r="R37" i="28" s="1"/>
  <c r="O29" i="28"/>
  <c r="O21" i="28"/>
  <c r="R21" i="28"/>
  <c r="I151" i="19"/>
  <c r="I152" i="19" s="1"/>
  <c r="T7" i="18"/>
  <c r="T59" i="18"/>
  <c r="T20" i="18"/>
  <c r="U23" i="18"/>
  <c r="S20" i="18"/>
  <c r="S8" i="18"/>
  <c r="S48" i="18"/>
  <c r="L45" i="18"/>
  <c r="T47" i="18"/>
  <c r="U59" i="18"/>
  <c r="S47" i="18"/>
  <c r="T24" i="18"/>
  <c r="J13" i="18"/>
  <c r="T63" i="18"/>
  <c r="U56" i="18"/>
  <c r="T11" i="18"/>
  <c r="T55" i="18"/>
  <c r="J63" i="18"/>
  <c r="U8" i="18"/>
  <c r="T28" i="18"/>
  <c r="S36" i="18"/>
  <c r="S11" i="18"/>
  <c r="U24" i="18"/>
  <c r="U40" i="18"/>
  <c r="T40" i="18"/>
  <c r="U36" i="18"/>
  <c r="L15" i="18"/>
  <c r="J29" i="18"/>
  <c r="T43" i="18"/>
  <c r="U35" i="18"/>
  <c r="S32" i="18"/>
  <c r="K67" i="18"/>
  <c r="M67" i="18"/>
  <c r="S56" i="18"/>
  <c r="T8" i="18"/>
  <c r="T12" i="18"/>
  <c r="L11" i="18"/>
  <c r="K27" i="18"/>
  <c r="K7" i="18"/>
  <c r="U51" i="18"/>
  <c r="J51" i="18"/>
  <c r="K37" i="18"/>
  <c r="J37" i="18"/>
  <c r="S43" i="18"/>
  <c r="U31" i="18"/>
  <c r="J47" i="18"/>
  <c r="U63" i="18"/>
  <c r="U15" i="18"/>
  <c r="L43" i="18"/>
  <c r="K51" i="18"/>
  <c r="S16" i="18"/>
  <c r="J53" i="18"/>
  <c r="M53" i="18" s="1"/>
  <c r="J59" i="18"/>
  <c r="M59" i="18"/>
  <c r="U64" i="18"/>
  <c r="S40" i="18"/>
  <c r="I20" i="19"/>
  <c r="I21" i="19" s="1"/>
  <c r="I22" i="19" s="1"/>
  <c r="J80" i="19"/>
  <c r="T64" i="18"/>
  <c r="E3" i="19"/>
  <c r="G3" i="19"/>
  <c r="H31" i="19"/>
  <c r="H32" i="19"/>
  <c r="I160" i="19"/>
  <c r="I159" i="19"/>
  <c r="I161" i="19" s="1"/>
  <c r="I162" i="19" s="1"/>
  <c r="S28" i="18"/>
  <c r="I119" i="19"/>
  <c r="I121" i="19" s="1"/>
  <c r="I122" i="19" s="1"/>
  <c r="I120" i="19"/>
  <c r="T32" i="18"/>
  <c r="S44" i="18"/>
  <c r="T51" i="18"/>
  <c r="J90" i="19"/>
  <c r="J89" i="19"/>
  <c r="J91" i="19"/>
  <c r="J92" i="19" s="1"/>
  <c r="I144" i="19"/>
  <c r="L145" i="19"/>
  <c r="I140" i="19"/>
  <c r="I139" i="19"/>
  <c r="S24" i="18"/>
  <c r="J79" i="19"/>
  <c r="U12" i="18"/>
  <c r="H130" i="19"/>
  <c r="H131" i="19" s="1"/>
  <c r="H132" i="19" s="1"/>
  <c r="H129" i="19"/>
  <c r="H134" i="19"/>
  <c r="L135" i="19"/>
  <c r="P31" i="28"/>
  <c r="T56" i="18"/>
  <c r="T15" i="18"/>
  <c r="T19" i="18"/>
  <c r="J119" i="19"/>
  <c r="J120" i="19"/>
  <c r="J121" i="19" s="1"/>
  <c r="J122" i="19" s="1"/>
  <c r="J81" i="19"/>
  <c r="J82" i="19"/>
  <c r="S59" i="18"/>
  <c r="T39" i="18"/>
  <c r="T16" i="18"/>
  <c r="U11" i="18"/>
  <c r="T44" i="18"/>
  <c r="S55" i="18"/>
  <c r="U32" i="18"/>
  <c r="U39" i="18"/>
  <c r="U27" i="18"/>
  <c r="T27" i="18"/>
  <c r="U44" i="18"/>
  <c r="U68" i="18"/>
  <c r="U67" i="18"/>
  <c r="S68" i="18"/>
  <c r="U55" i="18"/>
  <c r="S27" i="18"/>
  <c r="T67" i="18"/>
  <c r="S63" i="18"/>
  <c r="U52" i="18"/>
  <c r="U16" i="18"/>
  <c r="U60" i="18"/>
  <c r="T60" i="18"/>
  <c r="T31" i="18"/>
  <c r="T52" i="18"/>
  <c r="S52" i="18"/>
  <c r="S35" i="18"/>
  <c r="S67" i="18"/>
  <c r="S60" i="18"/>
  <c r="T68" i="18"/>
  <c r="S51" i="18"/>
  <c r="S31" i="18"/>
  <c r="T35" i="18"/>
  <c r="S64" i="18"/>
  <c r="S39" i="18"/>
  <c r="P33" i="28"/>
  <c r="J31" i="19"/>
  <c r="J32" i="19"/>
  <c r="R10" i="20"/>
  <c r="P19" i="28"/>
  <c r="I11" i="19"/>
  <c r="I12" i="19" s="1"/>
  <c r="I43" i="26"/>
  <c r="J43" i="26"/>
  <c r="I11" i="26"/>
  <c r="J11" i="26" s="1"/>
  <c r="P18" i="20"/>
  <c r="M41" i="18" l="1"/>
  <c r="M55" i="18"/>
  <c r="U13" i="28"/>
  <c r="Q7" i="22"/>
  <c r="U9" i="25"/>
  <c r="V10" i="25" s="1"/>
  <c r="M69" i="18"/>
  <c r="J61" i="19"/>
  <c r="J62" i="19" s="1"/>
  <c r="R35" i="28"/>
  <c r="M21" i="18"/>
  <c r="H28" i="25"/>
  <c r="U32" i="25" s="1"/>
  <c r="I59" i="26"/>
  <c r="J59" i="26" s="1"/>
  <c r="V7" i="28"/>
  <c r="V9" i="28" s="1"/>
  <c r="U13" i="25"/>
  <c r="O6" i="24"/>
  <c r="Q16" i="20"/>
  <c r="S10" i="20"/>
  <c r="P27" i="28"/>
  <c r="M27" i="18"/>
  <c r="R23" i="28"/>
  <c r="H61" i="19"/>
  <c r="H62" i="19" s="1"/>
  <c r="S26" i="20"/>
  <c r="P8" i="20"/>
  <c r="T45" i="27"/>
  <c r="M33" i="18"/>
  <c r="V8" i="28"/>
  <c r="V13" i="28"/>
  <c r="M11" i="18"/>
  <c r="P45" i="28"/>
  <c r="I55" i="26"/>
  <c r="J55" i="26" s="1"/>
  <c r="R47" i="28"/>
  <c r="H81" i="19"/>
  <c r="H82" i="19" s="1"/>
  <c r="H11" i="19"/>
  <c r="H12" i="19" s="1"/>
  <c r="U3" i="18"/>
  <c r="I31" i="26"/>
  <c r="J31" i="26" s="1"/>
  <c r="L155" i="19"/>
  <c r="L45" i="19"/>
  <c r="R24" i="27"/>
  <c r="R26" i="27" s="1"/>
  <c r="Q26" i="20"/>
  <c r="J151" i="19"/>
  <c r="J152" i="19" s="1"/>
  <c r="Q25" i="28"/>
  <c r="T36" i="27"/>
  <c r="T37" i="27" s="1"/>
  <c r="S22" i="20"/>
  <c r="M51" i="18"/>
  <c r="P7" i="22"/>
  <c r="R12" i="22" s="1"/>
  <c r="U10" i="27"/>
  <c r="S8" i="20"/>
  <c r="R39" i="28"/>
  <c r="R43" i="28"/>
  <c r="W14" i="28"/>
  <c r="W15" i="28" s="1"/>
  <c r="M19" i="18"/>
  <c r="M29" i="18"/>
  <c r="I119" i="26"/>
  <c r="J119" i="26" s="1"/>
  <c r="S16" i="20"/>
  <c r="J41" i="19"/>
  <c r="J42" i="19" s="1"/>
  <c r="M28" i="25"/>
  <c r="I71" i="19"/>
  <c r="I72" i="19" s="1"/>
  <c r="R36" i="27"/>
  <c r="P17" i="28"/>
  <c r="R3" i="28" s="1"/>
  <c r="I101" i="19"/>
  <c r="I102" i="19" s="1"/>
  <c r="W7" i="28"/>
  <c r="R31" i="28"/>
  <c r="L3" i="18"/>
  <c r="S24" i="20"/>
  <c r="I141" i="19"/>
  <c r="I142" i="19" s="1"/>
  <c r="P12" i="20"/>
  <c r="J21" i="19"/>
  <c r="J22" i="19" s="1"/>
  <c r="I127" i="26"/>
  <c r="J127" i="26" s="1"/>
  <c r="H121" i="19"/>
  <c r="H122" i="19" s="1"/>
  <c r="M61" i="18"/>
  <c r="L65" i="19"/>
  <c r="M23" i="18"/>
  <c r="R29" i="28"/>
  <c r="U7" i="28"/>
  <c r="T9" i="27"/>
  <c r="I22" i="21"/>
  <c r="I24" i="21" s="1"/>
  <c r="R41" i="28"/>
  <c r="P2" i="27"/>
  <c r="Q15" i="28"/>
  <c r="R27" i="28"/>
  <c r="S26" i="27"/>
  <c r="U46" i="27"/>
  <c r="U9" i="28"/>
  <c r="Q20" i="20"/>
  <c r="S12" i="20"/>
  <c r="V14" i="28"/>
  <c r="V15" i="28" s="1"/>
  <c r="X16" i="28" s="1"/>
  <c r="M9" i="18"/>
  <c r="L74" i="18"/>
  <c r="L76" i="18" s="1"/>
  <c r="M78" i="18" s="1"/>
  <c r="U14" i="28"/>
  <c r="U15" i="28" s="1"/>
  <c r="O12" i="22"/>
  <c r="U31" i="25"/>
  <c r="S35" i="27"/>
  <c r="S37" i="27" s="1"/>
  <c r="W8" i="28"/>
  <c r="S25" i="27"/>
  <c r="R19" i="28"/>
  <c r="U8" i="28"/>
  <c r="R35" i="27"/>
  <c r="U14" i="25"/>
  <c r="G12" i="22"/>
  <c r="L75" i="18"/>
  <c r="R26" i="20"/>
  <c r="P10" i="20"/>
  <c r="M2" i="18" l="1"/>
  <c r="U15" i="25"/>
  <c r="V16" i="25" s="1"/>
  <c r="U33" i="25"/>
  <c r="V34" i="25" s="1"/>
  <c r="T3" i="20"/>
  <c r="R37" i="27"/>
  <c r="W9" i="28"/>
  <c r="X10" i="28" s="1"/>
  <c r="R3" i="20"/>
  <c r="U27" i="27"/>
  <c r="U38" i="2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<sst xmlns="http://schemas.openxmlformats.org/spreadsheetml/2006/main" count="52986" uniqueCount="9522">
  <si>
    <t>Avaliable</t>
  </si>
  <si>
    <t>Used</t>
  </si>
  <si>
    <t>XY</t>
  </si>
  <si>
    <t>DIE</t>
  </si>
  <si>
    <t>Power supply</t>
  </si>
  <si>
    <t>DDR TD</t>
  </si>
  <si>
    <t>Legacy TD</t>
  </si>
  <si>
    <t>PCH</t>
  </si>
  <si>
    <t>Coment</t>
  </si>
  <si>
    <t>AY22</t>
  </si>
  <si>
    <t>AZA_BCLK_SSP0_SCLK</t>
  </si>
  <si>
    <t>PCH-PCH relay with GPP_F_14</t>
  </si>
  <si>
    <t>BA4</t>
  </si>
  <si>
    <t>BB4</t>
  </si>
  <si>
    <t>AZA_PLLMON_P</t>
  </si>
  <si>
    <t>AW22</t>
  </si>
  <si>
    <t>AZA_RSTB_SSP1_SCLK</t>
  </si>
  <si>
    <t>PCH-PCH relay with GPP_F_16</t>
  </si>
  <si>
    <t>BA21</t>
  </si>
  <si>
    <t>AZA_SDI_0_SSP0_RXD</t>
  </si>
  <si>
    <t>PCH-PCH relay with GPP_F_12</t>
  </si>
  <si>
    <t>AY21</t>
  </si>
  <si>
    <t>AZA_SDI_1_SSP1_RXD</t>
  </si>
  <si>
    <t>PCH-PCH relay with GPP_G_2</t>
  </si>
  <si>
    <t>BB22</t>
  </si>
  <si>
    <t>AZA_SDO_SSP0_TXD</t>
  </si>
  <si>
    <t>PCH-PCH relay with GPP_F_13</t>
  </si>
  <si>
    <t>BA22</t>
  </si>
  <si>
    <t>AZA_SYNC_SSP0_SFRM</t>
  </si>
  <si>
    <t>PCH-PCH relay with GPP_F_15</t>
  </si>
  <si>
    <t>D63</t>
  </si>
  <si>
    <t>CATERR_N</t>
  </si>
  <si>
    <t>CPU</t>
  </si>
  <si>
    <t>F43</t>
  </si>
  <si>
    <t>CLKOUT_ITPXDP_N</t>
  </si>
  <si>
    <t>E43</t>
  </si>
  <si>
    <t>CLKOUT_ITPXDP_P</t>
  </si>
  <si>
    <t>D42</t>
  </si>
  <si>
    <t>CLKOUT_SRC_N_0</t>
  </si>
  <si>
    <t>Y-conntion: N[0:5]</t>
  </si>
  <si>
    <t>B42</t>
  </si>
  <si>
    <t>CLKOUT_SRC_N_1</t>
  </si>
  <si>
    <t>D41</t>
  </si>
  <si>
    <t>CLKOUT_SRC_N_2</t>
  </si>
  <si>
    <t>D40</t>
  </si>
  <si>
    <t>CLKOUT_SRC_N_3</t>
  </si>
  <si>
    <t>B40</t>
  </si>
  <si>
    <t>CLKOUT_SRC_N_4</t>
  </si>
  <si>
    <t>E40</t>
  </si>
  <si>
    <t>CLKOUT_SRC_N_5</t>
  </si>
  <si>
    <t>C42</t>
  </si>
  <si>
    <t>CLKOUT_SRC_P_0</t>
  </si>
  <si>
    <t>CLKOUT_SRC_P_1</t>
  </si>
  <si>
    <t>Y-conntion: P[0:5]</t>
  </si>
  <si>
    <t>A42</t>
  </si>
  <si>
    <t>C41</t>
  </si>
  <si>
    <t>CLKOUT_SRC_P_2</t>
  </si>
  <si>
    <t>CLKOUT_SRC_P_3</t>
  </si>
  <si>
    <t>C40</t>
  </si>
  <si>
    <t>CLKOUT_SRC_P_4</t>
  </si>
  <si>
    <t>A40</t>
  </si>
  <si>
    <t>CLKOUT_SRC_P_5</t>
  </si>
  <si>
    <t>E38</t>
  </si>
  <si>
    <t>CPU_EDM[0]</t>
  </si>
  <si>
    <t>A69</t>
  </si>
  <si>
    <t>CPU_EDM[1]</t>
  </si>
  <si>
    <t>B69</t>
  </si>
  <si>
    <t>H65</t>
  </si>
  <si>
    <t>CPU_EOPIO_RCOMP</t>
  </si>
  <si>
    <t>BA70</t>
  </si>
  <si>
    <t>CPU_EOPIO_VIEW[0]</t>
  </si>
  <si>
    <t>BA68</t>
  </si>
  <si>
    <t>CPU_EOPIO_VIEW[1]</t>
  </si>
  <si>
    <t>B61</t>
  </si>
  <si>
    <t>CPU_JTAG_TCK</t>
  </si>
  <si>
    <t>D60</t>
  </si>
  <si>
    <t>CPU_JTAG_TDI</t>
  </si>
  <si>
    <t>A61</t>
  </si>
  <si>
    <t>CPU_JTAG_TDO</t>
  </si>
  <si>
    <t>C60</t>
  </si>
  <si>
    <t>CPU_JTAG_TMS</t>
  </si>
  <si>
    <t>B59</t>
  </si>
  <si>
    <t>BB2</t>
  </si>
  <si>
    <t>CPU_POPIO_VIEW[0]</t>
  </si>
  <si>
    <t>BA3</t>
  </si>
  <si>
    <t>CPU_POPIO_VIEW[1]</t>
  </si>
  <si>
    <t>AT16</t>
  </si>
  <si>
    <t>CPU_POPIRCOMP</t>
  </si>
  <si>
    <t>A68</t>
  </si>
  <si>
    <t>CPUPWRGD</t>
  </si>
  <si>
    <t>C37</t>
  </si>
  <si>
    <t>CSI2_CLKN_0</t>
  </si>
  <si>
    <t>Y-conntion: CLKN[0:3]</t>
  </si>
  <si>
    <t>C32</t>
  </si>
  <si>
    <t>CSI2_CLKN_1</t>
  </si>
  <si>
    <t>C29</t>
  </si>
  <si>
    <t>CSI2_CLKN_2</t>
  </si>
  <si>
    <t>B26</t>
  </si>
  <si>
    <t>CSI2_CLKN_3</t>
  </si>
  <si>
    <t>D37</t>
  </si>
  <si>
    <t>CSI2_CLKP_0</t>
  </si>
  <si>
    <t>Y-conntion: CLKP[0:3]</t>
  </si>
  <si>
    <t>D32</t>
  </si>
  <si>
    <t>CSI2_CLKP_1</t>
  </si>
  <si>
    <t>D29</t>
  </si>
  <si>
    <t>CSI2_CLKP_2</t>
  </si>
  <si>
    <t>A26</t>
  </si>
  <si>
    <t>CSI2_CLKP_3</t>
  </si>
  <si>
    <t>E13</t>
  </si>
  <si>
    <t>CSI2_COMP</t>
  </si>
  <si>
    <t>A36</t>
  </si>
  <si>
    <t>CSI2_DN_0</t>
  </si>
  <si>
    <t>Y-connection: 0,4,8</t>
  </si>
  <si>
    <t>C38</t>
  </si>
  <si>
    <t>CSI2_DN_1</t>
  </si>
  <si>
    <t>Y-connection: 1, 5, 9</t>
  </si>
  <si>
    <t>A27</t>
  </si>
  <si>
    <t>CSI2_DN_10</t>
  </si>
  <si>
    <t>Y-connection: 2, 6, 10</t>
  </si>
  <si>
    <t>C27</t>
  </si>
  <si>
    <t>CSI2_DN_11</t>
  </si>
  <si>
    <t>Y-connection: 3, 7, 11</t>
  </si>
  <si>
    <t>C36</t>
  </si>
  <si>
    <t>CSI2_DN_2</t>
  </si>
  <si>
    <t>A38</t>
  </si>
  <si>
    <t>CSI2_DN_3</t>
  </si>
  <si>
    <t>C31</t>
  </si>
  <si>
    <t>CSI2_DN_4</t>
  </si>
  <si>
    <t>C33</t>
  </si>
  <si>
    <t>CSI2_DN_5</t>
  </si>
  <si>
    <t>A31</t>
  </si>
  <si>
    <t>CSI2_DN_6</t>
  </si>
  <si>
    <t>A33</t>
  </si>
  <si>
    <t>CSI2_DN_7</t>
  </si>
  <si>
    <t>A29</t>
  </si>
  <si>
    <t>CSI2_DN_8</t>
  </si>
  <si>
    <t>C28</t>
  </si>
  <si>
    <t>CSI2_DN_9</t>
  </si>
  <si>
    <t>B36</t>
  </si>
  <si>
    <t>CSI2_DP_0</t>
  </si>
  <si>
    <t>D38</t>
  </si>
  <si>
    <t>CSI2_DP_1</t>
  </si>
  <si>
    <t>B27</t>
  </si>
  <si>
    <t>CSI2_DP_10</t>
  </si>
  <si>
    <t>D27</t>
  </si>
  <si>
    <t>CSI2_DP_11</t>
  </si>
  <si>
    <t>D36</t>
  </si>
  <si>
    <t>CSI2_DP_2</t>
  </si>
  <si>
    <t>B38</t>
  </si>
  <si>
    <t>CSI2_DP_3</t>
  </si>
  <si>
    <t>D31</t>
  </si>
  <si>
    <t>CSI2_DP_4</t>
  </si>
  <si>
    <t>D33</t>
  </si>
  <si>
    <t>CSI2_DP_5</t>
  </si>
  <si>
    <t>B31</t>
  </si>
  <si>
    <t>CSI2_DP_6</t>
  </si>
  <si>
    <t>B33</t>
  </si>
  <si>
    <t>CSI2_DP_7</t>
  </si>
  <si>
    <t>B29</t>
  </si>
  <si>
    <t>CSI2_DP_8</t>
  </si>
  <si>
    <t>D28</t>
  </si>
  <si>
    <t>CSI2_DP_9</t>
  </si>
  <si>
    <t>G50</t>
  </si>
  <si>
    <t>DDI1_AUXN</t>
  </si>
  <si>
    <t>F50</t>
  </si>
  <si>
    <t>DDI1_AUXP</t>
  </si>
  <si>
    <t>E55</t>
  </si>
  <si>
    <t>DDI1_TXN[0]</t>
  </si>
  <si>
    <t>E58</t>
  </si>
  <si>
    <t>DDI1_TXN[1]</t>
  </si>
  <si>
    <t>NOA_N[3] SHARING WITH RELAY</t>
  </si>
  <si>
    <t>F53</t>
  </si>
  <si>
    <t>DDI1_TXN[2]</t>
  </si>
  <si>
    <t>NOA_N[4] SHARING WITH RELAY</t>
  </si>
  <si>
    <t>F56</t>
  </si>
  <si>
    <t>DDI1_TXN[3]</t>
  </si>
  <si>
    <t>NOA_N[5] SHARING WITH RELAY</t>
  </si>
  <si>
    <t>F55</t>
  </si>
  <si>
    <t>DDI1_TXP[0]</t>
  </si>
  <si>
    <t>NOA_N[6] SHARING WITH RELAY</t>
  </si>
  <si>
    <t>F58</t>
  </si>
  <si>
    <t>DDI1_TXP[1]</t>
  </si>
  <si>
    <t>NOA_N[7] SHARING WITH RELAY</t>
  </si>
  <si>
    <t>G53</t>
  </si>
  <si>
    <t>DDI1_TXP[2]</t>
  </si>
  <si>
    <t>NOA_N[8] SHARING WITH RELAY</t>
  </si>
  <si>
    <t>G56</t>
  </si>
  <si>
    <t>DDI1_TXP[3]</t>
  </si>
  <si>
    <t>NOA_N[9] SHARING WITH RELAY</t>
  </si>
  <si>
    <t>E48</t>
  </si>
  <si>
    <t>DDI2_AUXN</t>
  </si>
  <si>
    <t>relayed with DDI3_AUXN</t>
  </si>
  <si>
    <t>F48</t>
  </si>
  <si>
    <t>DDI2_AUXP</t>
  </si>
  <si>
    <t>relayed with DDI3_AUXP</t>
  </si>
  <si>
    <t>C50</t>
  </si>
  <si>
    <t>DDI2_TXN[0]</t>
  </si>
  <si>
    <t>NOA_N[10] SHARING WITH RELAY</t>
  </si>
  <si>
    <t>C52</t>
  </si>
  <si>
    <t>DDI2_TXN[1]</t>
  </si>
  <si>
    <t>NOA_N[11] SHARING WITH RELAY</t>
  </si>
  <si>
    <t>A50</t>
  </si>
  <si>
    <t>DDI2_TXN[2]</t>
  </si>
  <si>
    <t>NOA_N[12] SHARING WITH RELAY</t>
  </si>
  <si>
    <t>D51</t>
  </si>
  <si>
    <t>DDI2_TXN[3]</t>
  </si>
  <si>
    <t>NOA_N[13] SHARING WITH RELAY</t>
  </si>
  <si>
    <t>D50</t>
  </si>
  <si>
    <t>DDI2_TXP[0]</t>
  </si>
  <si>
    <t>NOA_N[14] SHARING WITH RELAY</t>
  </si>
  <si>
    <t>D52</t>
  </si>
  <si>
    <t>DDI2_TXP[1]</t>
  </si>
  <si>
    <t>NOA_N[15] SHARING WITH RELAY</t>
  </si>
  <si>
    <t>B50</t>
  </si>
  <si>
    <t>DDI2_TXP[2]</t>
  </si>
  <si>
    <t>C51</t>
  </si>
  <si>
    <t>DDI2_TXP[3]</t>
  </si>
  <si>
    <t>NOA_STBP[1] SHARING WITH RELAY</t>
  </si>
  <si>
    <t>G46</t>
  </si>
  <si>
    <t>DDI3_AUXN</t>
  </si>
  <si>
    <t>relayed with DDI2_AUXN</t>
  </si>
  <si>
    <t>F46</t>
  </si>
  <si>
    <t>DDI3_AUXP</t>
  </si>
  <si>
    <t>relayed with DDI2_AUXP</t>
  </si>
  <si>
    <t>AR18</t>
  </si>
  <si>
    <t>DDR_COMP[0]</t>
  </si>
  <si>
    <t>AT18</t>
  </si>
  <si>
    <t>DDR_COMP[1]</t>
  </si>
  <si>
    <t>AU18</t>
  </si>
  <si>
    <t>DDR_COMP[2]</t>
  </si>
  <si>
    <t>BB68</t>
  </si>
  <si>
    <t>DDR_VIEW[0]</t>
  </si>
  <si>
    <t>BB69</t>
  </si>
  <si>
    <t>DDR_VIEW[1]</t>
  </si>
  <si>
    <t>AY67</t>
  </si>
  <si>
    <t>DDR_VREF_CA</t>
  </si>
  <si>
    <t>AY68</t>
  </si>
  <si>
    <t>DDR_VREF_DQ[0]</t>
  </si>
  <si>
    <t>BA67</t>
  </si>
  <si>
    <t>DDR_VREF_DQ[1]</t>
  </si>
  <si>
    <t>AW67</t>
  </si>
  <si>
    <t>DDR_VTT_CNTL</t>
  </si>
  <si>
    <t>AW50</t>
  </si>
  <si>
    <t>DDR0_ALERT_N</t>
  </si>
  <si>
    <t>AU52</t>
  </si>
  <si>
    <t>DDR0_BA[0]_CAB4</t>
  </si>
  <si>
    <t>Y connected with DDR0 Shared with PCH</t>
  </si>
  <si>
    <t>AT48</t>
  </si>
  <si>
    <t>DDR0_BA[1]_CAB6</t>
  </si>
  <si>
    <t>AY55</t>
  </si>
  <si>
    <t>DDR0_BA[2]_CAA5_BG0</t>
  </si>
  <si>
    <t>AU48</t>
  </si>
  <si>
    <t>DDR0_CAS_N_CAB1_MA15</t>
  </si>
  <si>
    <t>BA56</t>
  </si>
  <si>
    <t>DDR0_CKE[0]</t>
  </si>
  <si>
    <t>BB56</t>
  </si>
  <si>
    <t>DDR0_CKE[1]</t>
  </si>
  <si>
    <t>AW56</t>
  </si>
  <si>
    <t>DDR0_CKE[2]</t>
  </si>
  <si>
    <t>AY56</t>
  </si>
  <si>
    <t>DDR0_CKE[3]</t>
  </si>
  <si>
    <t>AU53</t>
  </si>
  <si>
    <t>DDR0_CLK_N[0]</t>
  </si>
  <si>
    <t>AU55</t>
  </si>
  <si>
    <t>DDR0_CLK_N[1]</t>
  </si>
  <si>
    <t>AT53</t>
  </si>
  <si>
    <t>DDR0_CLK_P[0]</t>
  </si>
  <si>
    <t>AT55</t>
  </si>
  <si>
    <t>DDR0_CLK_P[1]</t>
  </si>
  <si>
    <t>AU45</t>
  </si>
  <si>
    <t>DDR0_CS_N[0]</t>
  </si>
  <si>
    <t>V</t>
  </si>
  <si>
    <t>AU43</t>
  </si>
  <si>
    <t>DDR0_CS_N[1]</t>
  </si>
  <si>
    <t>AY50</t>
  </si>
  <si>
    <t>DDR0_MA[0]_CAB9</t>
  </si>
  <si>
    <t>BB50</t>
  </si>
  <si>
    <t>DDR0_MA[1]_CAB8</t>
  </si>
  <si>
    <t>AT50</t>
  </si>
  <si>
    <t>DDR0_MA[10]_CAB7</t>
  </si>
  <si>
    <t>BA54</t>
  </si>
  <si>
    <t>DDR0_MA[11]_CAA7</t>
  </si>
  <si>
    <t>AW54</t>
  </si>
  <si>
    <t>DDR0_MA[12]_CAA6</t>
  </si>
  <si>
    <t>AU46</t>
  </si>
  <si>
    <t>DDR0_MA[13]_CAB0</t>
  </si>
  <si>
    <t>AY54</t>
  </si>
  <si>
    <t>DDR0_MA[14]_CAA9_BG1</t>
  </si>
  <si>
    <t>BA55</t>
  </si>
  <si>
    <t>DDR0_MA[15]_CAA8_ACT_N</t>
  </si>
  <si>
    <t>AY51</t>
  </si>
  <si>
    <t>DDR0_MA[2]_CAB5</t>
  </si>
  <si>
    <t>BA50</t>
  </si>
  <si>
    <t>DDR0_MA[3]</t>
  </si>
  <si>
    <t>BB52</t>
  </si>
  <si>
    <t>DDR0_MA[4]</t>
  </si>
  <si>
    <t>BA51</t>
  </si>
  <si>
    <t>DDR0_MA[5]_CAA0</t>
  </si>
  <si>
    <t>BA52</t>
  </si>
  <si>
    <t>DDR0_MA[6]_CAA2</t>
  </si>
  <si>
    <t>AW52</t>
  </si>
  <si>
    <t>DDR0_MA[7]_CAA4</t>
  </si>
  <si>
    <t>AY52</t>
  </si>
  <si>
    <t>DDR0_MA[8]_CAA3</t>
  </si>
  <si>
    <t>BB54</t>
  </si>
  <si>
    <t>DDR0_MA[9]_CAA1</t>
  </si>
  <si>
    <t>AT45</t>
  </si>
  <si>
    <t>DDR0_ODT[0]</t>
  </si>
  <si>
    <t>AT43</t>
  </si>
  <si>
    <t>DDR0_ODT[1]</t>
  </si>
  <si>
    <t>AT52</t>
  </si>
  <si>
    <t>DDR0_PARITY</t>
  </si>
  <si>
    <t>AU50</t>
  </si>
  <si>
    <t>DDR0_RAS_N_CAB3_MA16</t>
  </si>
  <si>
    <t>AT46</t>
  </si>
  <si>
    <t>DDR0_WE_N_CAB2_MA14</t>
  </si>
  <si>
    <t>AN43</t>
  </si>
  <si>
    <t>DDR1_ALERT_N</t>
  </si>
  <si>
    <t>BB44</t>
  </si>
  <si>
    <t>DDR1_BA[0]_CAB4</t>
  </si>
  <si>
    <t>BA44</t>
  </si>
  <si>
    <t>DDR1_BA[1]_CAB6</t>
  </si>
  <si>
    <t>AP52</t>
  </si>
  <si>
    <t>DDR1_BA[2]_CAA5_BG0</t>
  </si>
  <si>
    <t>AY43</t>
  </si>
  <si>
    <t>DDR1_CAS_N_CAB1_MA15</t>
  </si>
  <si>
    <t>AN56</t>
  </si>
  <si>
    <t>DDR1_CKE[0]</t>
  </si>
  <si>
    <t>AP55</t>
  </si>
  <si>
    <t>DDR1_CKE[1]</t>
  </si>
  <si>
    <t>AN55</t>
  </si>
  <si>
    <t>DDR1_CKE[2]</t>
  </si>
  <si>
    <t>AP53</t>
  </si>
  <si>
    <t>DDR1_CKE[3]</t>
  </si>
  <si>
    <t>AN45</t>
  </si>
  <si>
    <t>DDR1_CLK_N[0]</t>
  </si>
  <si>
    <t>AN46</t>
  </si>
  <si>
    <t>DDR1_CLK_N[1]</t>
  </si>
  <si>
    <t>AP45</t>
  </si>
  <si>
    <t>DDR1_CLK_P[0]</t>
  </si>
  <si>
    <t>AP46</t>
  </si>
  <si>
    <t>DDR1_CLK_P[1]</t>
  </si>
  <si>
    <t>BB42</t>
  </si>
  <si>
    <t>DDR1_CS_N[0]</t>
  </si>
  <si>
    <t>AY42</t>
  </si>
  <si>
    <t>DDR1_CS_N[1]</t>
  </si>
  <si>
    <t>BA46</t>
  </si>
  <si>
    <t>DDR1_MA[0]_CAB9</t>
  </si>
  <si>
    <t>AY46</t>
  </si>
  <si>
    <t>DDR1_MA[1]_CAB8</t>
  </si>
  <si>
    <t>AW46</t>
  </si>
  <si>
    <t>DDR1_MA[10]_CAB7</t>
  </si>
  <si>
    <t>AN48</t>
  </si>
  <si>
    <t>DDR1_MA[11]_CAA7</t>
  </si>
  <si>
    <t>AN50</t>
  </si>
  <si>
    <t>DDR1_MA[12]_CAA6</t>
  </si>
  <si>
    <t>BA43</t>
  </si>
  <si>
    <t>DDR1_MA[13]_CAB0</t>
  </si>
  <si>
    <t>AN52</t>
  </si>
  <si>
    <t>DDR1_MA[14]_CAA9_BG1</t>
  </si>
  <si>
    <t>AN53</t>
  </si>
  <si>
    <t>DDR1_MA[15]_CAA8_ACT_N</t>
  </si>
  <si>
    <t>AY47</t>
  </si>
  <si>
    <t>DDR1_MA[2]_CAB5</t>
  </si>
  <si>
    <t>BB46</t>
  </si>
  <si>
    <t>DDR1_MA[3]</t>
  </si>
  <si>
    <t>BA47</t>
  </si>
  <si>
    <t>DDR1_MA[4]</t>
  </si>
  <si>
    <t>AY48</t>
  </si>
  <si>
    <t>DDR1_MA[5]_CAA0</t>
  </si>
  <si>
    <t>BA48</t>
  </si>
  <si>
    <t>DDR1_MA[6]_CAA2</t>
  </si>
  <si>
    <t>AP48</t>
  </si>
  <si>
    <t>DDR1_MA[7]_CAA4</t>
  </si>
  <si>
    <t>BB48</t>
  </si>
  <si>
    <t>DDR1_MA[8]_CAA3</t>
  </si>
  <si>
    <t>AP50</t>
  </si>
  <si>
    <t>DDR1_MA[9]_CAA1</t>
  </si>
  <si>
    <t>BA42</t>
  </si>
  <si>
    <t>DDR1_ODT[0]</t>
  </si>
  <si>
    <t>AW42</t>
  </si>
  <si>
    <t>DDR1_ODT[1]</t>
  </si>
  <si>
    <t>AP43</t>
  </si>
  <si>
    <t>DDR1_PARITY</t>
  </si>
  <si>
    <t>AW44</t>
  </si>
  <si>
    <t>DDR1_RAS_N_CAB3_MA16</t>
  </si>
  <si>
    <t>AY44</t>
  </si>
  <si>
    <t>DDR1_WE_N_CAB2_MA14</t>
  </si>
  <si>
    <t>AL71</t>
  </si>
  <si>
    <t>DDRDQ_IL00_NIL00[0]</t>
  </si>
  <si>
    <t>AL68</t>
  </si>
  <si>
    <t>DDRDQ_IL00_NIL00[1]</t>
  </si>
  <si>
    <t>AN68</t>
  </si>
  <si>
    <t>DDRDQ_IL00_NIL00[2]</t>
  </si>
  <si>
    <t>AN69</t>
  </si>
  <si>
    <t>DDRDQ_IL00_NIL00[3]</t>
  </si>
  <si>
    <t>AL70</t>
  </si>
  <si>
    <t>DDRDQ_IL00_NIL00[4]</t>
  </si>
  <si>
    <t>AL69</t>
  </si>
  <si>
    <t>DDRDQ_IL00_NIL00[5]</t>
  </si>
  <si>
    <t>AN70</t>
  </si>
  <si>
    <t>DDRDQ_IL00_NIL00[6]</t>
  </si>
  <si>
    <t>AN71</t>
  </si>
  <si>
    <t>DDRDQ_IL00_NIL00[7]</t>
  </si>
  <si>
    <t>AR70</t>
  </si>
  <si>
    <t>DDRDQ_IL01_NIL01[0]</t>
  </si>
  <si>
    <t>AR68</t>
  </si>
  <si>
    <t>DDRDQ_IL01_NIL01[1]</t>
  </si>
  <si>
    <t>AU71</t>
  </si>
  <si>
    <t>DDRDQ_IL01_NIL01[2]</t>
  </si>
  <si>
    <t>AU68</t>
  </si>
  <si>
    <t>DDRDQ_IL01_NIL01[3]</t>
  </si>
  <si>
    <t>AR71</t>
  </si>
  <si>
    <t>DDRDQ_IL01_NIL01[4]</t>
  </si>
  <si>
    <t>AR69</t>
  </si>
  <si>
    <t>DDRDQ_IL01_NIL01[5]</t>
  </si>
  <si>
    <t>AU70</t>
  </si>
  <si>
    <t>DDRDQ_IL01_NIL01[6]</t>
  </si>
  <si>
    <t>AU69</t>
  </si>
  <si>
    <t>DDRDQ_IL01_NIL01[7]</t>
  </si>
  <si>
    <t>BB65</t>
  </si>
  <si>
    <t>DDRDQ_IL02_NIL04[0]</t>
  </si>
  <si>
    <t>AW65</t>
  </si>
  <si>
    <t>DDRDQ_IL02_NIL04[1]</t>
  </si>
  <si>
    <t>AW63</t>
  </si>
  <si>
    <t>DDRDQ_IL02_NIL04[2]</t>
  </si>
  <si>
    <t>AY63</t>
  </si>
  <si>
    <t>DDRDQ_IL02_NIL04[3]</t>
  </si>
  <si>
    <t>BA65</t>
  </si>
  <si>
    <t>DDRDQ_IL02_NIL04[4]</t>
  </si>
  <si>
    <t>AY65</t>
  </si>
  <si>
    <t>DDRDQ_IL02_NIL04[5]</t>
  </si>
  <si>
    <t>BA63</t>
  </si>
  <si>
    <t>DDRDQ_IL02_NIL04[6]</t>
  </si>
  <si>
    <t>BB63</t>
  </si>
  <si>
    <t>DDRDQ_IL02_NIL04[7]</t>
  </si>
  <si>
    <t>BA61</t>
  </si>
  <si>
    <t>DDRDQ_IL03_NIL05[0]</t>
  </si>
  <si>
    <t>AW61</t>
  </si>
  <si>
    <t>DDRDQ_IL03_NIL05[1]</t>
  </si>
  <si>
    <t>BB59</t>
  </si>
  <si>
    <t>DDRDQ_IL03_NIL05[2]</t>
  </si>
  <si>
    <t>AW59</t>
  </si>
  <si>
    <t>DDRDQ_IL03_NIL05[3]</t>
  </si>
  <si>
    <t>BB61</t>
  </si>
  <si>
    <t>DDRDQ_IL03_NIL05[4]</t>
  </si>
  <si>
    <t>AY61</t>
  </si>
  <si>
    <t>DDRDQ_IL03_NIL05[5]</t>
  </si>
  <si>
    <t>BA59</t>
  </si>
  <si>
    <t>DDRDQ_IL03_NIL05[6]</t>
  </si>
  <si>
    <t>AY59</t>
  </si>
  <si>
    <t>DDRDQ_IL03_NIL05[7]</t>
  </si>
  <si>
    <t>AY39</t>
  </si>
  <si>
    <t>DDRDQ_IL04_NIL10[0]</t>
  </si>
  <si>
    <t>AW39</t>
  </si>
  <si>
    <t>DDRDQ_IL04_NIL10[1]</t>
  </si>
  <si>
    <t>AY37</t>
  </si>
  <si>
    <t>DDRDQ_IL04_NIL10[2]</t>
  </si>
  <si>
    <t>AW37</t>
  </si>
  <si>
    <t>DDRDQ_IL04_NIL10[3]</t>
  </si>
  <si>
    <t>BB39</t>
  </si>
  <si>
    <t>DDRDQ_IL04_NIL10[4]</t>
  </si>
  <si>
    <t>BA39</t>
  </si>
  <si>
    <t>DDRDQ_IL04_NIL10[5]</t>
  </si>
  <si>
    <t>BA37</t>
  </si>
  <si>
    <t>DDRDQ_IL04_NIL10[6]</t>
  </si>
  <si>
    <t>BB37</t>
  </si>
  <si>
    <t>DDRDQ_IL04_NIL10[7]</t>
  </si>
  <si>
    <t>AY35</t>
  </si>
  <si>
    <t>DDRDQ_IL05_NIL11[0]</t>
  </si>
  <si>
    <t>AW35</t>
  </si>
  <si>
    <t>DDRDQ_IL05_NIL11[1]</t>
  </si>
  <si>
    <t>AY33</t>
  </si>
  <si>
    <t>DDRDQ_IL05_NIL11[2]</t>
  </si>
  <si>
    <t>AW33</t>
  </si>
  <si>
    <t>DDRDQ_IL05_NIL11[3]</t>
  </si>
  <si>
    <t>BB35</t>
  </si>
  <si>
    <t>DDRDQ_IL05_NIL11[4]</t>
  </si>
  <si>
    <t>BA35</t>
  </si>
  <si>
    <t>DDRDQ_IL05_NIL11[5]</t>
  </si>
  <si>
    <t>BA33</t>
  </si>
  <si>
    <t>DDRDQ_IL05_NIL11[6]</t>
  </si>
  <si>
    <t>BB33</t>
  </si>
  <si>
    <t>DDRDQ_IL05_NIL11[7]</t>
  </si>
  <si>
    <t>AY31</t>
  </si>
  <si>
    <t>DDRDQ_IL06_NIL14[0]</t>
  </si>
  <si>
    <t>AW31</t>
  </si>
  <si>
    <t>DDRDQ_IL06_NIL14[1]</t>
  </si>
  <si>
    <t>AY29</t>
  </si>
  <si>
    <t>DDRDQ_IL06_NIL14[2]</t>
  </si>
  <si>
    <t>AW29</t>
  </si>
  <si>
    <t>DDRDQ_IL06_NIL14[3]</t>
  </si>
  <si>
    <t>BB31</t>
  </si>
  <si>
    <t>DDRDQ_IL06_NIL14[4]</t>
  </si>
  <si>
    <t>BA31</t>
  </si>
  <si>
    <t>DDRDQ_IL06_NIL14[5]</t>
  </si>
  <si>
    <t>BA29</t>
  </si>
  <si>
    <t>DDRDQ_IL06_NIL14[6]</t>
  </si>
  <si>
    <t>BB29</t>
  </si>
  <si>
    <t>DDRDQ_IL06_NIL14[7]</t>
  </si>
  <si>
    <t>AY27</t>
  </si>
  <si>
    <t>DDRDQ_IL07_NIL15[0]</t>
  </si>
  <si>
    <t>AW27</t>
  </si>
  <si>
    <t>DDRDQ_IL07_NIL15[1]</t>
  </si>
  <si>
    <t>AY25</t>
  </si>
  <si>
    <t>DDRDQ_IL07_NIL15[2]</t>
  </si>
  <si>
    <t>AW25</t>
  </si>
  <si>
    <t>DDRDQ_IL07_NIL15[3]</t>
  </si>
  <si>
    <t>BB27</t>
  </si>
  <si>
    <t>DDRDQ_IL07_NIL15[4]</t>
  </si>
  <si>
    <t>BA27</t>
  </si>
  <si>
    <t>DDRDQ_IL07_NIL15[5]</t>
  </si>
  <si>
    <t>BA25</t>
  </si>
  <si>
    <t>DDRDQ_IL07_NIL15[6]</t>
  </si>
  <si>
    <t>BB25</t>
  </si>
  <si>
    <t>DDRDQ_IL07_NIL15[7]</t>
  </si>
  <si>
    <t>AF65</t>
  </si>
  <si>
    <t>DDRDQ_IL10_NIL02[0]</t>
  </si>
  <si>
    <t>AF64</t>
  </si>
  <si>
    <t>DDRDQ_IL10_NIL02[1]</t>
  </si>
  <si>
    <t>AK65</t>
  </si>
  <si>
    <t>DDRDQ_IL10_NIL02[2]</t>
  </si>
  <si>
    <t>AK64</t>
  </si>
  <si>
    <t>DDRDQ_IL10_NIL02[3]</t>
  </si>
  <si>
    <t>AF66</t>
  </si>
  <si>
    <t>DDRDQ_IL10_NIL02[4]</t>
  </si>
  <si>
    <t>AF67</t>
  </si>
  <si>
    <t>DDRDQ_IL10_NIL02[5]</t>
  </si>
  <si>
    <t>AK67</t>
  </si>
  <si>
    <t>DDRDQ_IL10_NIL02[6]</t>
  </si>
  <si>
    <t>AK66</t>
  </si>
  <si>
    <t>DDRDQ_IL10_NIL02[7]</t>
  </si>
  <si>
    <t>AF70</t>
  </si>
  <si>
    <t>DDRDQ_IL11_NIL03[0]</t>
  </si>
  <si>
    <t>AF68</t>
  </si>
  <si>
    <t>DDRDQ_IL11_NIL03[1]</t>
  </si>
  <si>
    <t>AH71</t>
  </si>
  <si>
    <t>DDRDQ_IL11_NIL03[2]</t>
  </si>
  <si>
    <t>AH68</t>
  </si>
  <si>
    <t>DDRDQ_IL11_NIL03[3]</t>
  </si>
  <si>
    <t>AF71</t>
  </si>
  <si>
    <t>DDRDQ_IL11_NIL03[4]</t>
  </si>
  <si>
    <t>AF69</t>
  </si>
  <si>
    <t>DDRDQ_IL11_NIL03[5]</t>
  </si>
  <si>
    <t>AH70</t>
  </si>
  <si>
    <t>DDRDQ_IL11_NIL03[6]</t>
  </si>
  <si>
    <t>AH69</t>
  </si>
  <si>
    <t>DDRDQ_IL11_NIL03[7]</t>
  </si>
  <si>
    <t>AT66</t>
  </si>
  <si>
    <t>DDRDQ_IL12_NIL06[0]</t>
  </si>
  <si>
    <t>AU66</t>
  </si>
  <si>
    <t>DDRDQ_IL12_NIL06[1]</t>
  </si>
  <si>
    <t>AP65</t>
  </si>
  <si>
    <t>DDRDQ_IL12_NIL06[2]</t>
  </si>
  <si>
    <t>AN65</t>
  </si>
  <si>
    <t>DDRDQ_IL12_NIL06[3]</t>
  </si>
  <si>
    <t>AN66</t>
  </si>
  <si>
    <t>DDRDQ_IL12_NIL06[4]</t>
  </si>
  <si>
    <t>AP66</t>
  </si>
  <si>
    <t>DDRDQ_IL12_NIL06[5]</t>
  </si>
  <si>
    <t>AT65</t>
  </si>
  <si>
    <t>DDRDQ_IL12_NIL06[6]</t>
  </si>
  <si>
    <t>AU65</t>
  </si>
  <si>
    <t>DDRDQ_IL12_NIL06[7]</t>
  </si>
  <si>
    <t>AT61</t>
  </si>
  <si>
    <t>DDRDQ_IL13_NIL07[0]</t>
  </si>
  <si>
    <t>AU61</t>
  </si>
  <si>
    <t>DDRDQ_IL13_NIL07[1]</t>
  </si>
  <si>
    <t>AP60</t>
  </si>
  <si>
    <t>DDRDQ_IL13_NIL07[2]</t>
  </si>
  <si>
    <t>AN60</t>
  </si>
  <si>
    <t>DDRDQ_IL13_NIL07[3]</t>
  </si>
  <si>
    <t>AN61</t>
  </si>
  <si>
    <t>DDRDQ_IL13_NIL07[4]</t>
  </si>
  <si>
    <t>AP61</t>
  </si>
  <si>
    <t>DDRDQ_IL13_NIL07[5]</t>
  </si>
  <si>
    <t>AT60</t>
  </si>
  <si>
    <t>DDRDQ_IL13_NIL07[6]</t>
  </si>
  <si>
    <t>AU60</t>
  </si>
  <si>
    <t>DDRDQ_IL13_NIL07[7]</t>
  </si>
  <si>
    <t>AU40</t>
  </si>
  <si>
    <t>DDRDQ_IL14_NIL12[0]</t>
  </si>
  <si>
    <t>AT40</t>
  </si>
  <si>
    <t>DDRDQ_IL14_NIL12[1]</t>
  </si>
  <si>
    <t>AT37</t>
  </si>
  <si>
    <t>DDRDQ_IL14_NIL12[2]</t>
  </si>
  <si>
    <t>AU37</t>
  </si>
  <si>
    <t>DDRDQ_IL14_NIL12[3]</t>
  </si>
  <si>
    <t>AR40</t>
  </si>
  <si>
    <t>DDRDQ_IL14_NIL12[4]</t>
  </si>
  <si>
    <t>AP40</t>
  </si>
  <si>
    <t>DDRDQ_IL14_NIL12[5]</t>
  </si>
  <si>
    <t>AP37</t>
  </si>
  <si>
    <t>DDRDQ_IL14_NIL12[6]</t>
  </si>
  <si>
    <t>AR37</t>
  </si>
  <si>
    <t>DDRDQ_IL14_NIL12[7]</t>
  </si>
  <si>
    <t>AT33</t>
  </si>
  <si>
    <t>DDRDQ_IL15_NIL13[0]</t>
  </si>
  <si>
    <t>AU33</t>
  </si>
  <si>
    <t>DDRDQ_IL15_NIL13[1]</t>
  </si>
  <si>
    <t>AU30</t>
  </si>
  <si>
    <t>DDRDQ_IL15_NIL13[2]</t>
  </si>
  <si>
    <t>AT30</t>
  </si>
  <si>
    <t>DDRDQ_IL15_NIL13[3]</t>
  </si>
  <si>
    <t>AR33</t>
  </si>
  <si>
    <t>DDRDQ_IL15_NIL13[4]</t>
  </si>
  <si>
    <t>AP33</t>
  </si>
  <si>
    <t>DDRDQ_IL15_NIL13[5]</t>
  </si>
  <si>
    <t>AR30</t>
  </si>
  <si>
    <t>DDRDQ_IL15_NIL13[6]</t>
  </si>
  <si>
    <t>AP30</t>
  </si>
  <si>
    <t>DDRDQ_IL15_NIL13[7]</t>
  </si>
  <si>
    <t>AU27</t>
  </si>
  <si>
    <t>DDRDQ_IL16_NIL16[0]</t>
  </si>
  <si>
    <t>AT27</t>
  </si>
  <si>
    <t>DDRDQ_IL16_NIL16[1]</t>
  </si>
  <si>
    <t>AT25</t>
  </si>
  <si>
    <t>DDRDQ_IL16_NIL16[2]</t>
  </si>
  <si>
    <t>AU25</t>
  </si>
  <si>
    <t>DDRDQ_IL16_NIL16[3]</t>
  </si>
  <si>
    <t>AP27</t>
  </si>
  <si>
    <t>DDRDQ_IL16_NIL16[4]</t>
  </si>
  <si>
    <t>AN27</t>
  </si>
  <si>
    <t>DDRDQ_IL16_NIL16[5]</t>
  </si>
  <si>
    <t>AN25</t>
  </si>
  <si>
    <t>DDRDQ_IL16_NIL16[6]</t>
  </si>
  <si>
    <t>AP25</t>
  </si>
  <si>
    <t>DDRDQ_IL16_NIL16[7]</t>
  </si>
  <si>
    <t>AT22</t>
  </si>
  <si>
    <t>DDRDQ_IL17_NIL17[0]</t>
  </si>
  <si>
    <t>AU22</t>
  </si>
  <si>
    <t>DDRDQ_IL17_NIL17[1]</t>
  </si>
  <si>
    <t>AU21</t>
  </si>
  <si>
    <t>DDRDQ_IL17_NIL17[2]</t>
  </si>
  <si>
    <t>AT21</t>
  </si>
  <si>
    <t>DDRDQ_IL17_NIL17[3]</t>
  </si>
  <si>
    <t>AN22</t>
  </si>
  <si>
    <t>DDRDQ_IL17_NIL17[4]</t>
  </si>
  <si>
    <t>AP22</t>
  </si>
  <si>
    <t>DDRDQ_IL17_NIL17[5]</t>
  </si>
  <si>
    <t>AP21</t>
  </si>
  <si>
    <t>DDRDQ_IL17_NIL17[6]</t>
  </si>
  <si>
    <t>AN21</t>
  </si>
  <si>
    <t>DDRDQ_IL17_NIL17[7]</t>
  </si>
  <si>
    <t>AM70</t>
  </si>
  <si>
    <t>DDRDQSN_IL00_NIL00</t>
  </si>
  <si>
    <t>AT69</t>
  </si>
  <si>
    <t>DDRDQSN_IL01_NIL01</t>
  </si>
  <si>
    <t>BA64</t>
  </si>
  <si>
    <t>DDRDQSN_IL02_NIL04</t>
  </si>
  <si>
    <t>AY60</t>
  </si>
  <si>
    <t>DDRDQSN_IL03_NIL05</t>
  </si>
  <si>
    <t>BA38</t>
  </si>
  <si>
    <t>DDRDQSN_IL04_NIL10</t>
  </si>
  <si>
    <t>AY34</t>
  </si>
  <si>
    <t>DDRDQSN_IL05_NIL11</t>
  </si>
  <si>
    <t>BA30</t>
  </si>
  <si>
    <t>DDRDQSN_IL06_NIL14</t>
  </si>
  <si>
    <t>AY26</t>
  </si>
  <si>
    <t>DDRDQSN_IL07_NIL15</t>
  </si>
  <si>
    <t>AH66</t>
  </si>
  <si>
    <t>DDRDQSN_IL10_NIL02</t>
  </si>
  <si>
    <t>AG69</t>
  </si>
  <si>
    <t>DDRDQSN_IL11_NIL03</t>
  </si>
  <si>
    <t>AR66</t>
  </si>
  <si>
    <t>DDRDQSN_IL12_NIL06</t>
  </si>
  <si>
    <t>AR61</t>
  </si>
  <si>
    <t>DDRDQSN_IL13_NIL07</t>
  </si>
  <si>
    <t>AT38</t>
  </si>
  <si>
    <t>DDRDQSN_IL14_NIL12</t>
  </si>
  <si>
    <t>AT32</t>
  </si>
  <si>
    <t>DDRDQSN_IL15_NIL13</t>
  </si>
  <si>
    <t>AR25</t>
  </si>
  <si>
    <t>DDRDQSN_IL16_NIL16</t>
  </si>
  <si>
    <t>AR22</t>
  </si>
  <si>
    <t>DDRDQSN_IL17_NIL17</t>
  </si>
  <si>
    <t>AM69</t>
  </si>
  <si>
    <t>DDRDQSP_IL00_NIL00</t>
  </si>
  <si>
    <t>AT70</t>
  </si>
  <si>
    <t>DDRDQSP_IL01_NIL01</t>
  </si>
  <si>
    <t>AY64</t>
  </si>
  <si>
    <t>DDRDQSP_IL02_NIL04</t>
  </si>
  <si>
    <t>BA60</t>
  </si>
  <si>
    <t>DDRDQSP_IL03_NIL05</t>
  </si>
  <si>
    <t>AY38</t>
  </si>
  <si>
    <t>DDRDQSP_IL04_NIL10</t>
  </si>
  <si>
    <t>BA34</t>
  </si>
  <si>
    <t>DDRDQSP_IL05_NIL11</t>
  </si>
  <si>
    <t>AY30</t>
  </si>
  <si>
    <t>DDRDQSP_IL06_NIL14</t>
  </si>
  <si>
    <t>BA26</t>
  </si>
  <si>
    <t>DDRDQSP_IL07_NIL15</t>
  </si>
  <si>
    <t>AH65</t>
  </si>
  <si>
    <t>DDRDQSP_IL10_NIL02</t>
  </si>
  <si>
    <t>AG70</t>
  </si>
  <si>
    <t>DDRDQSP_IL11_NIL03</t>
  </si>
  <si>
    <t>AR65</t>
  </si>
  <si>
    <t>DDRDQSP_IL12_NIL06</t>
  </si>
  <si>
    <t>AR60</t>
  </si>
  <si>
    <t>DDRDQSP_IL13_NIL07</t>
  </si>
  <si>
    <t>AR38</t>
  </si>
  <si>
    <t>DDRDQSP_IL14_NIL12</t>
  </si>
  <si>
    <t>AR32</t>
  </si>
  <si>
    <t>DDRDQSP_IL15_NIL13</t>
  </si>
  <si>
    <t>AR27</t>
  </si>
  <si>
    <t>DDRDQSP_IL16_NIL16</t>
  </si>
  <si>
    <t>AR21</t>
  </si>
  <si>
    <t>DDRDQSP_IL17_NIL17</t>
  </si>
  <si>
    <t>E52</t>
  </si>
  <si>
    <t>DP_COMP</t>
  </si>
  <si>
    <t>AT13</t>
  </si>
  <si>
    <t>DRAM_RESETB</t>
  </si>
  <si>
    <t>BB20</t>
  </si>
  <si>
    <t>DSW_PWROK</t>
  </si>
  <si>
    <t>J71</t>
  </si>
  <si>
    <t>EANALOGVP[0]</t>
  </si>
  <si>
    <t>EDRAM</t>
  </si>
  <si>
    <t>No EDRAM on ULT 2+2</t>
  </si>
  <si>
    <t>J68</t>
  </si>
  <si>
    <t>EANALOGVP[1]</t>
  </si>
  <si>
    <t>E45</t>
  </si>
  <si>
    <t>EDP_AUXN</t>
  </si>
  <si>
    <t>F45</t>
  </si>
  <si>
    <t>EDP_AUXP</t>
  </si>
  <si>
    <t>B52</t>
  </si>
  <si>
    <t>EDP_DISP_UTIL</t>
  </si>
  <si>
    <t>C47</t>
  </si>
  <si>
    <t>EDP_TXN[0]</t>
  </si>
  <si>
    <t>D46</t>
  </si>
  <si>
    <t>EDP_TXN[1]</t>
  </si>
  <si>
    <t>A45</t>
  </si>
  <si>
    <t>EDP_TXN[2]</t>
  </si>
  <si>
    <t>A47</t>
  </si>
  <si>
    <t>EDP_TXN[3]</t>
  </si>
  <si>
    <t>C46</t>
  </si>
  <si>
    <t>EDP_TXP[0]</t>
  </si>
  <si>
    <t>C45</t>
  </si>
  <si>
    <t>EDP_TXP[1]</t>
  </si>
  <si>
    <t>B45</t>
  </si>
  <si>
    <t>EDP_TXP[2]</t>
  </si>
  <si>
    <t>B47</t>
  </si>
  <si>
    <t>EDP_TXP[3]</t>
  </si>
  <si>
    <t>AY71</t>
  </si>
  <si>
    <t>EDRAM_EDM</t>
  </si>
  <si>
    <t>H66</t>
  </si>
  <si>
    <t>EDRAM_OPIO_RCOMP</t>
  </si>
  <si>
    <t>F65</t>
  </si>
  <si>
    <t>EDRAM_THERMDA</t>
  </si>
  <si>
    <t>TCI</t>
  </si>
  <si>
    <t>G65</t>
  </si>
  <si>
    <t>EDRAM_THERMDC</t>
  </si>
  <si>
    <t>AW71</t>
  </si>
  <si>
    <t>EDRAM_VIEW[0]</t>
  </si>
  <si>
    <t>AW70</t>
  </si>
  <si>
    <t>EDRAM_VIEW[1]</t>
  </si>
  <si>
    <t>AT1</t>
  </si>
  <si>
    <t>EMMC_RCOMP</t>
  </si>
  <si>
    <t>A52</t>
  </si>
  <si>
    <t>EXTBGREF</t>
  </si>
  <si>
    <t>D71</t>
  </si>
  <si>
    <t>FIVR_PROBE_ANA[0]</t>
  </si>
  <si>
    <t>C70</t>
  </si>
  <si>
    <t>FIVR_PROBE_ANA[1]</t>
  </si>
  <si>
    <t>C54</t>
  </si>
  <si>
    <t>FIVR_PROBE_DIG[0]</t>
  </si>
  <si>
    <t>D54</t>
  </si>
  <si>
    <t>FIVR_PROBE_DIG[1]</t>
  </si>
  <si>
    <t>AY4</t>
  </si>
  <si>
    <t>FPF_MON</t>
  </si>
  <si>
    <t>BB3</t>
  </si>
  <si>
    <t>FPF_VREF</t>
  </si>
  <si>
    <t>AU13</t>
  </si>
  <si>
    <t>GPD_0_BATLOWB</t>
  </si>
  <si>
    <t>AY15</t>
  </si>
  <si>
    <t>GPD_1_ACPRESENT</t>
  </si>
  <si>
    <t>AY16</t>
  </si>
  <si>
    <t>GPD_10_SLP_S5B</t>
  </si>
  <si>
    <t>AW17</t>
  </si>
  <si>
    <t>GPD_11_LANPHYPC</t>
  </si>
  <si>
    <t>AM15</t>
  </si>
  <si>
    <t>GPD_2_LAN_WAKEB</t>
  </si>
  <si>
    <t>BA15</t>
  </si>
  <si>
    <t>GPD_3_PWRBTNB</t>
  </si>
  <si>
    <t>AP15</t>
  </si>
  <si>
    <t>GPD_4_SLP_S3B</t>
  </si>
  <si>
    <t>BA16</t>
  </si>
  <si>
    <t>GPD_5_SLP_S4B</t>
  </si>
  <si>
    <t>AN16</t>
  </si>
  <si>
    <t>GPD_6_SLP_AB</t>
  </si>
  <si>
    <t>AT15</t>
  </si>
  <si>
    <t>GPD_7_USB2_WAKEOUTB</t>
  </si>
  <si>
    <t>BA17</t>
  </si>
  <si>
    <t>GPD_8_SUSCLK</t>
  </si>
  <si>
    <t>BB17</t>
  </si>
  <si>
    <t>GPD_9_SLP_WLANB</t>
  </si>
  <si>
    <t>AW13</t>
  </si>
  <si>
    <t>GPP_A_0_RCINB</t>
  </si>
  <si>
    <t>AY13</t>
  </si>
  <si>
    <t>GPP_A_1_LAD_0_ESPI_IO_0</t>
  </si>
  <si>
    <t>AY9</t>
  </si>
  <si>
    <t>GPP_A_10_CLKOUT_LPC_1</t>
  </si>
  <si>
    <t>AU11</t>
  </si>
  <si>
    <t>GPP_A_11_PMEB</t>
  </si>
  <si>
    <t>AP13</t>
  </si>
  <si>
    <t>GPP_A_12_BM_BUSYB_ISH_GP_6</t>
  </si>
  <si>
    <t>AR13</t>
  </si>
  <si>
    <t>GPP_A_13_SUSWARNB_SUSPWRDNACK</t>
  </si>
  <si>
    <t>BA11</t>
  </si>
  <si>
    <t>GPP_A_14_SUS_STATB_ESPI_RESETB</t>
  </si>
  <si>
    <t>AP11</t>
  </si>
  <si>
    <t>GPP_A_15_SUSACKB</t>
  </si>
  <si>
    <t>BB9</t>
  </si>
  <si>
    <t>GPP_A_16_SD_1P8_SEL</t>
  </si>
  <si>
    <t>BA9</t>
  </si>
  <si>
    <t>GPP_A_17_SD_PWR_EN_B_ISH_GP_7</t>
  </si>
  <si>
    <t>AY8</t>
  </si>
  <si>
    <t>GPP_A_18_ISH_GP_0</t>
  </si>
  <si>
    <t>BA8</t>
  </si>
  <si>
    <t>GPP_A_19_ISH_GP_1</t>
  </si>
  <si>
    <t>BA13</t>
  </si>
  <si>
    <t>GPP_A_2_LAD_1_ESPI_IO_1</t>
  </si>
  <si>
    <t>BB7</t>
  </si>
  <si>
    <t>GPP_A_20_ISH_GP_2</t>
  </si>
  <si>
    <t>BA7</t>
  </si>
  <si>
    <t>GPP_A_21_ISH_GP_3</t>
  </si>
  <si>
    <t>AY7</t>
  </si>
  <si>
    <t>GPP_A_22_ISH_GP_4</t>
  </si>
  <si>
    <t>AW7</t>
  </si>
  <si>
    <t>GPP_A_23_ISH_GP_5</t>
  </si>
  <si>
    <t>BB13</t>
  </si>
  <si>
    <t>GPP_A_3_LAD_2_ESPI_IO_2</t>
  </si>
  <si>
    <t>AY12</t>
  </si>
  <si>
    <t>GPP_A_4_LAD_3_ESPI_IO_3</t>
  </si>
  <si>
    <t>BA12</t>
  </si>
  <si>
    <t>GPP_A_5_LFRAMEB_ESPI_CSB</t>
  </si>
  <si>
    <t>AY11</t>
  </si>
  <si>
    <t>GPP_A_6_SERIRQ</t>
  </si>
  <si>
    <t>BB11</t>
  </si>
  <si>
    <t>GPP_A_7_PIRQAB</t>
  </si>
  <si>
    <t>AW11</t>
  </si>
  <si>
    <t>GPP_A_8_CLKRUNB</t>
  </si>
  <si>
    <t>AW9</t>
  </si>
  <si>
    <t>GPP_A_9_CLKOUT_LPC_0_ESPI_CLK</t>
  </si>
  <si>
    <t>AN11</t>
  </si>
  <si>
    <t>GPP_B_0_CORE_VID_0</t>
  </si>
  <si>
    <t>AN13</t>
  </si>
  <si>
    <t>GPP_B_1_CORE_VID_1</t>
  </si>
  <si>
    <t>AU7</t>
  </si>
  <si>
    <t>GPP_B_10_SRCCLKREQB_5</t>
  </si>
  <si>
    <t>AM10</t>
  </si>
  <si>
    <t>GPP_B_11_EXT_PWR_GATEB</t>
  </si>
  <si>
    <t>AT11</t>
  </si>
  <si>
    <t>GPP_B_12_SLP_S0B</t>
  </si>
  <si>
    <t>AN10</t>
  </si>
  <si>
    <t>GPP_B_13_PLTRSTB</t>
  </si>
  <si>
    <t>AW5</t>
  </si>
  <si>
    <t>GPP_B_14_SPKR</t>
  </si>
  <si>
    <t>AN8</t>
  </si>
  <si>
    <t>GPP_B_15_GSPI0_CSB</t>
  </si>
  <si>
    <t>AP7</t>
  </si>
  <si>
    <t>GPP_B_16_GSPI0_CLK</t>
  </si>
  <si>
    <t>AP8</t>
  </si>
  <si>
    <t>GPP_B_17_GSPI0_MISO</t>
  </si>
  <si>
    <t>AR7</t>
  </si>
  <si>
    <t>GPP_B_18_GSPI0_MOSI</t>
  </si>
  <si>
    <t>AM5</t>
  </si>
  <si>
    <t>GPP_B_19_GSPI1_CSB</t>
  </si>
  <si>
    <t>AM11</t>
  </si>
  <si>
    <t>GPP_B_2_VRALERTB</t>
  </si>
  <si>
    <t>AN7</t>
  </si>
  <si>
    <t>GPP_B_20_GSPI1_CLK</t>
  </si>
  <si>
    <t>AP5</t>
  </si>
  <si>
    <t>GPP_B_21_GSPI1_MISO</t>
  </si>
  <si>
    <t>AN5</t>
  </si>
  <si>
    <t>GPP_B_22_GSPI1_MOSI</t>
  </si>
  <si>
    <t>AM7</t>
  </si>
  <si>
    <t>GPP_B_23_SML1ALERTB_PCHHOTB</t>
  </si>
  <si>
    <t>BA5</t>
  </si>
  <si>
    <t>GPP_B_3_CPU_GP_2</t>
  </si>
  <si>
    <t>AY5</t>
  </si>
  <si>
    <t>GPP_B_4_CPU_GP_3</t>
  </si>
  <si>
    <t>AR10</t>
  </si>
  <si>
    <t>GPP_B_5_SRCCLKREQB_0</t>
  </si>
  <si>
    <t>AT7</t>
  </si>
  <si>
    <t>GPP_B_6_SRCCLKREQB_1</t>
  </si>
  <si>
    <t>AT8</t>
  </si>
  <si>
    <t>GPP_B_7_SRCCLKREQB_2</t>
  </si>
  <si>
    <t>AT10</t>
  </si>
  <si>
    <t>GPP_B_8_SRCCLKREQB_3</t>
  </si>
  <si>
    <t>AU8</t>
  </si>
  <si>
    <t>GPP_B_9_SRCCLKREQB_4</t>
  </si>
  <si>
    <t>R7</t>
  </si>
  <si>
    <t>GPP_C_0_SMBCLK</t>
  </si>
  <si>
    <t>R8</t>
  </si>
  <si>
    <t>GPP_C_1_SMBDATA</t>
  </si>
  <si>
    <t>W4</t>
  </si>
  <si>
    <t>GPP_C_10_UART0_RTSB</t>
  </si>
  <si>
    <t>AB3</t>
  </si>
  <si>
    <t>GPP_C_11_UART0_CTSB</t>
  </si>
  <si>
    <t>AC1</t>
  </si>
  <si>
    <t>GPP_C_12_UART1_RXD_ISH_UART1_RXD</t>
  </si>
  <si>
    <t>AC2</t>
  </si>
  <si>
    <t>GPP_C_13_UART1_TXD_ISH_UART1_TXD</t>
  </si>
  <si>
    <t>AC3</t>
  </si>
  <si>
    <t>GPP_C_14_UART1_RTSB_ISH_UART1_RTSB</t>
  </si>
  <si>
    <t>AB4</t>
  </si>
  <si>
    <t>GPP_C_15_UART1_CTSB_ISH_UART1_CTSB</t>
  </si>
  <si>
    <t>U7</t>
  </si>
  <si>
    <t>GPP_C_16_I2C0_SDA</t>
  </si>
  <si>
    <t>U6</t>
  </si>
  <si>
    <t>GPP_C_17_I2C0_SCL</t>
  </si>
  <si>
    <t>U8</t>
  </si>
  <si>
    <t>GPP_C_18_I2C1_SDA</t>
  </si>
  <si>
    <t>U9</t>
  </si>
  <si>
    <t>GPP_C_19_I2C1_SCL</t>
  </si>
  <si>
    <t>R10</t>
  </si>
  <si>
    <t>GPP_C_2_SMBALERTB</t>
  </si>
  <si>
    <t>AD1</t>
  </si>
  <si>
    <t>GPP_C_20_UART2_RXD</t>
  </si>
  <si>
    <t>AD2</t>
  </si>
  <si>
    <t>GPP_C_21_UART2_TXD</t>
  </si>
  <si>
    <t>AD3</t>
  </si>
  <si>
    <t>GPP_C_22_UART2_RTSB</t>
  </si>
  <si>
    <t>AD4</t>
  </si>
  <si>
    <t>GPP_C_23_UART2_CTSB</t>
  </si>
  <si>
    <t>R9</t>
  </si>
  <si>
    <t>GPP_C_3_SML0CLK</t>
  </si>
  <si>
    <t>W2</t>
  </si>
  <si>
    <t>GPP_C_4_SML0DATA</t>
  </si>
  <si>
    <t>W1</t>
  </si>
  <si>
    <t>GPP_C_5_SML0ALERTB</t>
  </si>
  <si>
    <t>W3</t>
  </si>
  <si>
    <t>GPP_C_6_SML1CLK</t>
  </si>
  <si>
    <t>V3</t>
  </si>
  <si>
    <t>GPP_C_7_SML1DATA</t>
  </si>
  <si>
    <t>AB1</t>
  </si>
  <si>
    <t>GPP_C_8_UART0_RXD</t>
  </si>
  <si>
    <t>AB2</t>
  </si>
  <si>
    <t>GPP_C_9_UART0_TXD</t>
  </si>
  <si>
    <t>M1</t>
  </si>
  <si>
    <t>GPP_D_0_SPI1_CSB</t>
  </si>
  <si>
    <t>M2</t>
  </si>
  <si>
    <t>GPP_D_1_SPI1_CLK</t>
  </si>
  <si>
    <t>P3</t>
  </si>
  <si>
    <t>GPP_D_10_ISH_SPI_CLK</t>
  </si>
  <si>
    <t>P4</t>
  </si>
  <si>
    <t>GPP_D_11_ISH_SPI_MISO</t>
  </si>
  <si>
    <t>P1</t>
  </si>
  <si>
    <t>GPP_D_12_ISH_SPI_MOSI</t>
  </si>
  <si>
    <t>U1</t>
  </si>
  <si>
    <t>GPP_D_13_ISH_UART0_RXD_SML0BDATA</t>
  </si>
  <si>
    <t>U2</t>
  </si>
  <si>
    <t>GPP_D_14_ISH_UART0_TXD_SML0BCLK</t>
  </si>
  <si>
    <t>U3</t>
  </si>
  <si>
    <t>GPP_D_15_ISH_UART0_RTSB</t>
  </si>
  <si>
    <t>U4</t>
  </si>
  <si>
    <t>GPP_D_16_ISH_UART0_CTSB_SML0BALERTB</t>
  </si>
  <si>
    <t>D8</t>
  </si>
  <si>
    <t>GPP_D_17_DMIC_CLK_1</t>
  </si>
  <si>
    <t>C8</t>
  </si>
  <si>
    <t>GPP_D_18_DMIC_DATA_1</t>
  </si>
  <si>
    <t>H5</t>
  </si>
  <si>
    <t>GPP_D_19_DMIC_CLK_0</t>
  </si>
  <si>
    <t>M3</t>
  </si>
  <si>
    <t>GPP_D_2_SPI1_MISO_IO_1</t>
  </si>
  <si>
    <t>D7</t>
  </si>
  <si>
    <t>GPP_D_20_DMIC_DATA_0</t>
  </si>
  <si>
    <t>V1</t>
  </si>
  <si>
    <t>GPP_D_21_SPI1_IO_2</t>
  </si>
  <si>
    <t>V2</t>
  </si>
  <si>
    <t>GPP_D_22_SPI1_IO_3</t>
  </si>
  <si>
    <t>J5</t>
  </si>
  <si>
    <t>GPP_D_23_SSP_MCLK</t>
  </si>
  <si>
    <t>J4</t>
  </si>
  <si>
    <t>GPP_D_3_SPI1_MOSI_IO_0</t>
  </si>
  <si>
    <t>B7</t>
  </si>
  <si>
    <t>GPP_D_4_FLASHTRIG</t>
  </si>
  <si>
    <t>M4</t>
  </si>
  <si>
    <t>GPP_D_5_ISH_I2C0_SDA</t>
  </si>
  <si>
    <t>N3</t>
  </si>
  <si>
    <t>GPP_D_6_ISH_I2C0_SCL</t>
  </si>
  <si>
    <t>N1</t>
  </si>
  <si>
    <t>GPP_D_7_ISH_I2C1_SDA</t>
  </si>
  <si>
    <t>N2</t>
  </si>
  <si>
    <t>GPP_D_8_ISH_I2C1_SCL</t>
  </si>
  <si>
    <t>P2</t>
  </si>
  <si>
    <t>GPP_D_9_ISH_SPI_CSB</t>
  </si>
  <si>
    <t>H2</t>
  </si>
  <si>
    <t>GPP_E_0_SATAXPCIE_0_SATAGP_0</t>
  </si>
  <si>
    <t>H3</t>
  </si>
  <si>
    <t>GPP_E_1_SATAXPCIE_1_SATAGP_1</t>
  </si>
  <si>
    <t>C9</t>
  </si>
  <si>
    <t>GPP_E_10_USB2_OCB_1</t>
  </si>
  <si>
    <t>D9</t>
  </si>
  <si>
    <t>GPP_E_11_USB2_OCB_2</t>
  </si>
  <si>
    <t>B9</t>
  </si>
  <si>
    <t>GPP_E_12_USB2_OCB_3</t>
  </si>
  <si>
    <t>L9</t>
  </si>
  <si>
    <t>GPP_E_13_DDSP_HPD_0</t>
  </si>
  <si>
    <t>Y-connection GPPE[13:16]</t>
  </si>
  <si>
    <t>L7</t>
  </si>
  <si>
    <t>GPP_E_14_DDSP_HPD_1</t>
  </si>
  <si>
    <t>L6</t>
  </si>
  <si>
    <t>GPP_E_15_DDSP_HPD_2</t>
  </si>
  <si>
    <t>N9</t>
  </si>
  <si>
    <t>GPP_E_16_DDSP_HPD_3</t>
  </si>
  <si>
    <t>L10</t>
  </si>
  <si>
    <t>GPP_E_17_EDP_HPD</t>
  </si>
  <si>
    <t>L13</t>
  </si>
  <si>
    <t>GPP_E_18_DDPB_CTRLCLK</t>
  </si>
  <si>
    <t>Y-connection 18, 20, 22</t>
  </si>
  <si>
    <t>L12</t>
  </si>
  <si>
    <t>GPP_E_19_DDPB_CTRLDATA</t>
  </si>
  <si>
    <t>Y-connection 19, 21, 23</t>
  </si>
  <si>
    <t>G4</t>
  </si>
  <si>
    <t>GPP_E_2_SATAXPCIE_2_SATAGP_2</t>
  </si>
  <si>
    <t>N7</t>
  </si>
  <si>
    <t>GPP_E_20_DDPC_CTRLCLK</t>
  </si>
  <si>
    <t>N8</t>
  </si>
  <si>
    <t>GPP_E_21_DDPC_CTRLDATA</t>
  </si>
  <si>
    <t>N11</t>
  </si>
  <si>
    <t>GPP_E_22_DDPD_CTRLCLK</t>
  </si>
  <si>
    <t>N12</t>
  </si>
  <si>
    <t>GPP_E_23_DDPD_CTRLDATA</t>
  </si>
  <si>
    <t>A6</t>
  </si>
  <si>
    <t>GPP_E_3_CPU_GP_0</t>
  </si>
  <si>
    <t>J1</t>
  </si>
  <si>
    <t>GPP_E_4_SATA_DEVSLP_0</t>
  </si>
  <si>
    <t>J2</t>
  </si>
  <si>
    <t>GPP_E_5_SATA_DEVSLP_1</t>
  </si>
  <si>
    <t>J3</t>
  </si>
  <si>
    <t>GPP_E_6_SATA_DEVSLP_2</t>
  </si>
  <si>
    <t>A7</t>
  </si>
  <si>
    <t>GPP_E_7_CPU_GP_1</t>
  </si>
  <si>
    <t>H1</t>
  </si>
  <si>
    <t>GPP_E_8_SATA_LEDB</t>
  </si>
  <si>
    <t>A9</t>
  </si>
  <si>
    <t>GPP_E_9_USB2_OCB_0</t>
  </si>
  <si>
    <t>AK6</t>
  </si>
  <si>
    <t>GPP_F_0_SSP2_SCLK</t>
  </si>
  <si>
    <t>AK7</t>
  </si>
  <si>
    <t>GPP_F_1_SSP2_SFRM</t>
  </si>
  <si>
    <t>AD11</t>
  </si>
  <si>
    <t>GPP_F_10_I2C5_SDA_ISH_I2C2_SDA</t>
  </si>
  <si>
    <t>Y-connection 4, 6, 8, 10</t>
  </si>
  <si>
    <t>AD12</t>
  </si>
  <si>
    <t>GPP_F_11_I2C5_SCL_ISH_I2C2_SCL</t>
  </si>
  <si>
    <t>Y-connection 5, 7, 9, 11</t>
  </si>
  <si>
    <t>AP4</t>
  </si>
  <si>
    <t>GPP_F_12_EMMC_CMD</t>
  </si>
  <si>
    <t>PCH-PCH relay with AZA_SDI_0_SSP0_RXD</t>
  </si>
  <si>
    <t>AP2</t>
  </si>
  <si>
    <t>GPP_F_13_EMMC_DATA0</t>
  </si>
  <si>
    <t>PCH-PCH relay with AZA_SDO_0_SSP0_TXD</t>
  </si>
  <si>
    <t>AP1</t>
  </si>
  <si>
    <t>GPP_F_14_EMMC_DATA1</t>
  </si>
  <si>
    <t>PCH-PCH relay with AZA_BCLK_SSP0_SCLK</t>
  </si>
  <si>
    <t>AP3</t>
  </si>
  <si>
    <t>GPP_F_15_EMMC_DATA2</t>
  </si>
  <si>
    <t>PCH-PCH relay with AZA_SYNC_SSP0_SFRM</t>
  </si>
  <si>
    <t>AN3</t>
  </si>
  <si>
    <t>GPP_F_16_EMMC_DATA3</t>
  </si>
  <si>
    <t>AN1</t>
  </si>
  <si>
    <t>GPP_F_17_EMMC_DATA4</t>
  </si>
  <si>
    <t>PCH-PCH relay with SSP1_SFRM</t>
  </si>
  <si>
    <t>AN2</t>
  </si>
  <si>
    <t>GPP_F_18_EMMC_DATA5</t>
  </si>
  <si>
    <t>PCH-PCH relay with SSP1_TXD</t>
  </si>
  <si>
    <t>AM4</t>
  </si>
  <si>
    <t>GPP_F_19_EMMC_DATA6</t>
  </si>
  <si>
    <t>PCH-PCH relay with MLK_DATA</t>
  </si>
  <si>
    <t>AK9</t>
  </si>
  <si>
    <t>GPP_F_2_SSP2_TXD</t>
  </si>
  <si>
    <t>AM1</t>
  </si>
  <si>
    <t>GPP_F_20_EMMC_DATA7</t>
  </si>
  <si>
    <t>PCH-PCH relay with MLK_CLK</t>
  </si>
  <si>
    <t>AM2</t>
  </si>
  <si>
    <t>GPP_F_21_EMMC_RCLK</t>
  </si>
  <si>
    <t>AM3</t>
  </si>
  <si>
    <t>GPP_F_22_EMMC_CLK</t>
  </si>
  <si>
    <t>AF13</t>
  </si>
  <si>
    <t>GPP_F_23</t>
  </si>
  <si>
    <t>PCH-PCH relay with MLK_RSTB</t>
  </si>
  <si>
    <t>AK10</t>
  </si>
  <si>
    <t>GPP_F_3_SSP2_RXD</t>
  </si>
  <si>
    <t>AH9</t>
  </si>
  <si>
    <t>GPP_F_4_I2C2_SDA</t>
  </si>
  <si>
    <t>AH10</t>
  </si>
  <si>
    <t>GPP_F_5_I2C2_SCL</t>
  </si>
  <si>
    <t>AH11</t>
  </si>
  <si>
    <t>GPP_F_6_I2C3_SDA</t>
  </si>
  <si>
    <t>AH12</t>
  </si>
  <si>
    <t>GPP_F_7_I2C3_SCL</t>
  </si>
  <si>
    <t>AF11</t>
  </si>
  <si>
    <t>GPP_F_8_I2C4_SDA</t>
  </si>
  <si>
    <t>AF12</t>
  </si>
  <si>
    <t>GPP_F_9_I2C4_SCL</t>
  </si>
  <si>
    <t>AB11</t>
  </si>
  <si>
    <t>GPP_G_0_SD_CMD</t>
  </si>
  <si>
    <t>AB13</t>
  </si>
  <si>
    <t>GPP_G_1_SD_DATA0</t>
  </si>
  <si>
    <t>PCH-PCH relay with INTRUDERB</t>
  </si>
  <si>
    <t>AB12</t>
  </si>
  <si>
    <t>GPP_G_2_SD_DATA1</t>
  </si>
  <si>
    <t>PCH-PCH relay with AZA_SDI_1_SSP1_RXD</t>
  </si>
  <si>
    <t>W12</t>
  </si>
  <si>
    <t>GPP_G_3_SD_DATA2</t>
  </si>
  <si>
    <t>W11</t>
  </si>
  <si>
    <t>GPP_G_4_SD_DATA3</t>
  </si>
  <si>
    <t>W10</t>
  </si>
  <si>
    <t>GPP_G_5_SD_CDB</t>
  </si>
  <si>
    <t>W8</t>
  </si>
  <si>
    <t>GPP_G_6_SD_CLK</t>
  </si>
  <si>
    <t>W7</t>
  </si>
  <si>
    <t>GPP_G_7_SD_WP</t>
  </si>
  <si>
    <t>C71</t>
  </si>
  <si>
    <t>HVM_CLK_N</t>
  </si>
  <si>
    <t>B70</t>
  </si>
  <si>
    <t>HVM_CLK_P</t>
  </si>
  <si>
    <t>AP16</t>
  </si>
  <si>
    <t>INTRUDERB</t>
  </si>
  <si>
    <t>PCH-PCH relay with GPP_G_1_SD_DATA0</t>
  </si>
  <si>
    <t>E8</t>
  </si>
  <si>
    <t>ITP_PMODE</t>
  </si>
  <si>
    <t>A59</t>
  </si>
  <si>
    <t>JTAGX</t>
  </si>
  <si>
    <t>R11</t>
  </si>
  <si>
    <t>L_BKLTCTL</t>
  </si>
  <si>
    <t>R12</t>
  </si>
  <si>
    <t>L_BKLTEN</t>
  </si>
  <si>
    <t>U13</t>
  </si>
  <si>
    <t>L_VDDEN</t>
  </si>
  <si>
    <t>F60</t>
  </si>
  <si>
    <t>LGC_SPARE[0]</t>
  </si>
  <si>
    <t>F61</t>
  </si>
  <si>
    <t>LGC_SPARE[1]</t>
  </si>
  <si>
    <t>Not exist in ULX Y0</t>
  </si>
  <si>
    <t>E61</t>
  </si>
  <si>
    <t>LGC_SPARE[2]</t>
  </si>
  <si>
    <t>C55</t>
  </si>
  <si>
    <t>MBP_N[0]</t>
  </si>
  <si>
    <t>D55</t>
  </si>
  <si>
    <t>MBP_N[1]</t>
  </si>
  <si>
    <t>B54</t>
  </si>
  <si>
    <t>MBP_N[2]</t>
  </si>
  <si>
    <t>C56</t>
  </si>
  <si>
    <t>MBP_N[3]</t>
  </si>
  <si>
    <t>E1</t>
  </si>
  <si>
    <t>MIPI_PLLOBSN</t>
  </si>
  <si>
    <t>E2</t>
  </si>
  <si>
    <t>MIPI_PLLOBSP</t>
  </si>
  <si>
    <t>G3</t>
  </si>
  <si>
    <t>MLK_CLK</t>
  </si>
  <si>
    <t>PCH-PCH relay with GPP_F_20</t>
  </si>
  <si>
    <t>G2</t>
  </si>
  <si>
    <t>MLK_DATA</t>
  </si>
  <si>
    <t>PCH-PCH relay with GPP_F_19</t>
  </si>
  <si>
    <t>G1</t>
  </si>
  <si>
    <t>MLK_RSTB</t>
  </si>
  <si>
    <t>PCH-PCH relay with GPP_F_23</t>
  </si>
  <si>
    <t>AP56</t>
  </si>
  <si>
    <t>MSM_N</t>
  </si>
  <si>
    <t>E68</t>
  </si>
  <si>
    <t>NOA_N[0]</t>
  </si>
  <si>
    <t>B67</t>
  </si>
  <si>
    <t>NOA_N[1]</t>
  </si>
  <si>
    <t>F70</t>
  </si>
  <si>
    <t>NOA_N[10]</t>
  </si>
  <si>
    <t>G68</t>
  </si>
  <si>
    <t>NOA_N[11]</t>
  </si>
  <si>
    <t>H70</t>
  </si>
  <si>
    <t>NOA_N[12]</t>
  </si>
  <si>
    <t>G71</t>
  </si>
  <si>
    <t>NOA_N[13]</t>
  </si>
  <si>
    <t>H69</t>
  </si>
  <si>
    <t>NOA_N[14]</t>
  </si>
  <si>
    <t>G70</t>
  </si>
  <si>
    <t>NOA_N[15]</t>
  </si>
  <si>
    <t>D65</t>
  </si>
  <si>
    <t>NOA_N[2]</t>
  </si>
  <si>
    <t>D67</t>
  </si>
  <si>
    <t>NOA_N[3]</t>
  </si>
  <si>
    <t>E70</t>
  </si>
  <si>
    <t>NOA_N[4]</t>
  </si>
  <si>
    <t>C68</t>
  </si>
  <si>
    <t>NOA_N[5]</t>
  </si>
  <si>
    <t>D68</t>
  </si>
  <si>
    <t>NOA_N[6]</t>
  </si>
  <si>
    <t>C67</t>
  </si>
  <si>
    <t>NOA_N[7]</t>
  </si>
  <si>
    <t>F71</t>
  </si>
  <si>
    <t>NOA_N[8]</t>
  </si>
  <si>
    <t>G69</t>
  </si>
  <si>
    <t>NOA_N[9]</t>
  </si>
  <si>
    <t>E60</t>
  </si>
  <si>
    <t>NOA_RCOMP</t>
  </si>
  <si>
    <t>E63</t>
  </si>
  <si>
    <t>NOA_STBN[0]</t>
  </si>
  <si>
    <t>E66</t>
  </si>
  <si>
    <t>NOA_STBN[1]</t>
  </si>
  <si>
    <t>Relay connection with DDI2_TXP2</t>
  </si>
  <si>
    <t>F63</t>
  </si>
  <si>
    <t>NOA_STBP[0]</t>
  </si>
  <si>
    <t>F66</t>
  </si>
  <si>
    <t>NOA_STBP[1]</t>
  </si>
  <si>
    <t>Relay connection with DDI2_TXP3</t>
  </si>
  <si>
    <t>AY3</t>
  </si>
  <si>
    <t>PCH_EDM</t>
  </si>
  <si>
    <t>B56</t>
  </si>
  <si>
    <t>PCH_JTAG_TCK</t>
  </si>
  <si>
    <t>D59</t>
  </si>
  <si>
    <t>PCH_JTAG_TDI</t>
  </si>
  <si>
    <t>A56</t>
  </si>
  <si>
    <t>PCH_JTAG_TDO</t>
  </si>
  <si>
    <t>C59</t>
  </si>
  <si>
    <t>PCH_JTAG_TMS</t>
  </si>
  <si>
    <t>AU16</t>
  </si>
  <si>
    <t>PCH_POPIRCOMP</t>
  </si>
  <si>
    <t>BA20</t>
  </si>
  <si>
    <t>PCH_PWROK</t>
  </si>
  <si>
    <t>C61</t>
  </si>
  <si>
    <t>PCH_TRSTB</t>
  </si>
  <si>
    <t>H13</t>
  </si>
  <si>
    <t>PCIE_1_USB3_5_RXN</t>
  </si>
  <si>
    <t>G13</t>
  </si>
  <si>
    <t>PCIE_1_USB3_5_RXP</t>
  </si>
  <si>
    <t>B17</t>
  </si>
  <si>
    <t>PCIE_1_USB3_5_TXN</t>
  </si>
  <si>
    <t>A17</t>
  </si>
  <si>
    <t>PCIE_1_USB3_5_TXP</t>
  </si>
  <si>
    <t>F25</t>
  </si>
  <si>
    <t>PCIE_10_LAN_0E_RXN</t>
  </si>
  <si>
    <t>E25</t>
  </si>
  <si>
    <t>PCIE_10_LAN_0E_RXP</t>
  </si>
  <si>
    <t>D23</t>
  </si>
  <si>
    <t>PCIE_10_LAN_0E_TXN</t>
  </si>
  <si>
    <t>C23</t>
  </si>
  <si>
    <t>PCIE_10_LAN_0E_TXP</t>
  </si>
  <si>
    <t>E28</t>
  </si>
  <si>
    <t>PCIE_11_SATA_1B_RXN</t>
  </si>
  <si>
    <t>E27</t>
  </si>
  <si>
    <t>PCIE_11_SATA_1B_RXP</t>
  </si>
  <si>
    <t>D24</t>
  </si>
  <si>
    <t>PCIE_11_SATA_1B_TXN</t>
  </si>
  <si>
    <t>C24</t>
  </si>
  <si>
    <t>PCIE_11_SATA_1B_TXP</t>
  </si>
  <si>
    <t>E30</t>
  </si>
  <si>
    <t>PCIE_12_SATA_2_RXN</t>
  </si>
  <si>
    <t>F30</t>
  </si>
  <si>
    <t>PCIE_12_SATA_2_RXP</t>
  </si>
  <si>
    <t>A25</t>
  </si>
  <si>
    <t>PCIE_12_SATA_2_TXN</t>
  </si>
  <si>
    <t>B25</t>
  </si>
  <si>
    <t>PCIE_12_SATA_2_TXP</t>
  </si>
  <si>
    <t>G11</t>
  </si>
  <si>
    <t>PCIE_2_UFS_0A_USB3_6_RXN</t>
  </si>
  <si>
    <t>F11</t>
  </si>
  <si>
    <t>PCIE_2_UFS_0A_USB3_6_RXP</t>
  </si>
  <si>
    <t>D16</t>
  </si>
  <si>
    <t>PCIE_2_UFS_0A_USB3_6_TXN</t>
  </si>
  <si>
    <t>C16</t>
  </si>
  <si>
    <t>PCIE_2_UFS_0A_USB3_6_TXP</t>
  </si>
  <si>
    <t>H16</t>
  </si>
  <si>
    <t>PCIE_3_UFS_0B_LAN_0A_RXN</t>
  </si>
  <si>
    <t>G16</t>
  </si>
  <si>
    <t>PCIE_3_UFS_0B_LAN_0A_RXP</t>
  </si>
  <si>
    <t>D17</t>
  </si>
  <si>
    <t>PCIE_3_UFS_0B_LAN_0A_TXN</t>
  </si>
  <si>
    <t>C17</t>
  </si>
  <si>
    <t>PCIE_3_UFS_0B_LAN_0A_TXP</t>
  </si>
  <si>
    <t>G15</t>
  </si>
  <si>
    <t>PCIE_4_LAN_0B_RXN</t>
  </si>
  <si>
    <t>F15</t>
  </si>
  <si>
    <t>PCIE_4_LAN_0B_RXP</t>
  </si>
  <si>
    <t>B19</t>
  </si>
  <si>
    <t>PCIE_4_LAN_0B_TXN</t>
  </si>
  <si>
    <t>A19</t>
  </si>
  <si>
    <t>PCIE_4_LAN_0B_TXP</t>
  </si>
  <si>
    <t>F16</t>
  </si>
  <si>
    <t>PCIE_5_LAN_0C_RXN</t>
  </si>
  <si>
    <t>E16</t>
  </si>
  <si>
    <t>PCIE_5_LAN_0C_RXP</t>
  </si>
  <si>
    <t>C19</t>
  </si>
  <si>
    <t>PCIE_5_LAN_0C_TXN</t>
  </si>
  <si>
    <t>D19</t>
  </si>
  <si>
    <t>PCIE_5_LAN_0C_TXP</t>
  </si>
  <si>
    <t>G18</t>
  </si>
  <si>
    <t>PCIE_6_RXN</t>
  </si>
  <si>
    <t>F18</t>
  </si>
  <si>
    <t>PCIE_6_RXP</t>
  </si>
  <si>
    <t>D20</t>
  </si>
  <si>
    <t>PCIE_6_TXN</t>
  </si>
  <si>
    <t>C20</t>
  </si>
  <si>
    <t>PCIE_6_TXP</t>
  </si>
  <si>
    <t>F20</t>
  </si>
  <si>
    <t>PCIE_7_SATA_0_RXN</t>
  </si>
  <si>
    <t>E20</t>
  </si>
  <si>
    <t>PCIE_7_SATA_0_RXP</t>
  </si>
  <si>
    <t>B21</t>
  </si>
  <si>
    <t>PCIE_7_SATA_0_TXN</t>
  </si>
  <si>
    <t>A21</t>
  </si>
  <si>
    <t>PCIE_7_SATA_0_TXP</t>
  </si>
  <si>
    <t>G21</t>
  </si>
  <si>
    <t>PCIE_8_SATA_1A_RXN</t>
  </si>
  <si>
    <t>F21</t>
  </si>
  <si>
    <t>PCIE_8_SATA_1A_RXP</t>
  </si>
  <si>
    <t>D21</t>
  </si>
  <si>
    <t>PCIE_8_SATA_1A_TXN</t>
  </si>
  <si>
    <t>C21</t>
  </si>
  <si>
    <t>PCIE_8_SATA_1A_TXP</t>
  </si>
  <si>
    <t>E22</t>
  </si>
  <si>
    <t>PCIE_9_LAN_0D_RXN</t>
  </si>
  <si>
    <t>E23</t>
  </si>
  <si>
    <t>PCIE_9_LAN_0D_RXP</t>
  </si>
  <si>
    <t>B23</t>
  </si>
  <si>
    <t>PCIE_9_LAN_0D_TXN</t>
  </si>
  <si>
    <t>A23</t>
  </si>
  <si>
    <t>PCIE_9_LAN_0D_TXP</t>
  </si>
  <si>
    <t>F5</t>
  </si>
  <si>
    <t>PCIE_RCOMPN</t>
  </si>
  <si>
    <t>E5</t>
  </si>
  <si>
    <t>PCIE_RCOMPP</t>
  </si>
  <si>
    <t>D5</t>
  </si>
  <si>
    <t>PCIE2_PLLOBSN</t>
  </si>
  <si>
    <t>D4</t>
  </si>
  <si>
    <t>PCIE2_PLLOBSP</t>
  </si>
  <si>
    <t>B2</t>
  </si>
  <si>
    <t>PCIE3_PLLOBSN</t>
  </si>
  <si>
    <t>C2</t>
  </si>
  <si>
    <t>PCIE3_PLLOBSP</t>
  </si>
  <si>
    <t>A54</t>
  </si>
  <si>
    <t>PECI</t>
  </si>
  <si>
    <t>AK13</t>
  </si>
  <si>
    <t>PEG_VIEW[2]</t>
  </si>
  <si>
    <t>AK12</t>
  </si>
  <si>
    <t>PEG_VIEW[3]</t>
  </si>
  <si>
    <t>BB5</t>
  </si>
  <si>
    <t>PGDMON</t>
  </si>
  <si>
    <t>AU5</t>
  </si>
  <si>
    <t>AT5</t>
  </si>
  <si>
    <t>POPIICCOBS</t>
  </si>
  <si>
    <t>D56</t>
  </si>
  <si>
    <t>PRDY_N</t>
  </si>
  <si>
    <t>D61</t>
  </si>
  <si>
    <t>PREQ_N</t>
  </si>
  <si>
    <t>C65</t>
  </si>
  <si>
    <t>PROCHOT_N</t>
  </si>
  <si>
    <t>AY17</t>
  </si>
  <si>
    <t>RSMRSTB</t>
  </si>
  <si>
    <t>AM18</t>
  </si>
  <si>
    <t>RTCX1</t>
  </si>
  <si>
    <t>AM20</t>
  </si>
  <si>
    <t>RTCX2</t>
  </si>
  <si>
    <t>AM16</t>
  </si>
  <si>
    <t>RTESTB</t>
  </si>
  <si>
    <t>B3</t>
  </si>
  <si>
    <t>SATA_PLLOBSN</t>
  </si>
  <si>
    <t>A3</t>
  </si>
  <si>
    <t>SATA_PLLOBSP</t>
  </si>
  <si>
    <t>AB7</t>
  </si>
  <si>
    <t>SD_RCOMP</t>
  </si>
  <si>
    <t>C64</t>
  </si>
  <si>
    <t>SKL_CNL_N</t>
  </si>
  <si>
    <t>Y-connection with SKTOCC_N</t>
  </si>
  <si>
    <t>A65</t>
  </si>
  <si>
    <t>SKTOCC_N</t>
  </si>
  <si>
    <t>AW15</t>
  </si>
  <si>
    <t>SLP_LANB</t>
  </si>
  <si>
    <t>AN15</t>
  </si>
  <si>
    <t>SLP_SUSB</t>
  </si>
  <si>
    <t>AW69</t>
  </si>
  <si>
    <t>SPARE_1</t>
  </si>
  <si>
    <t>E3</t>
  </si>
  <si>
    <t>SPARE_10</t>
  </si>
  <si>
    <t>C11</t>
  </si>
  <si>
    <t>SPARE_11</t>
  </si>
  <si>
    <t>B11</t>
  </si>
  <si>
    <t>SPARE_12</t>
  </si>
  <si>
    <t>A11</t>
  </si>
  <si>
    <t>SPARE_13</t>
  </si>
  <si>
    <t>D12</t>
  </si>
  <si>
    <t>SPARE_14</t>
  </si>
  <si>
    <t>C12</t>
  </si>
  <si>
    <t>SPARE_15</t>
  </si>
  <si>
    <t>F52</t>
  </si>
  <si>
    <t>SPARE_16</t>
  </si>
  <si>
    <t>AW68</t>
  </si>
  <si>
    <t>SPARE_2</t>
  </si>
  <si>
    <t>AU56</t>
  </si>
  <si>
    <t>SPARE_3</t>
  </si>
  <si>
    <t>AW48</t>
  </si>
  <si>
    <t>SPARE_4</t>
  </si>
  <si>
    <t>C7</t>
  </si>
  <si>
    <t>SPARE_5</t>
  </si>
  <si>
    <t>U12</t>
  </si>
  <si>
    <t>U11</t>
  </si>
  <si>
    <t>H11</t>
  </si>
  <si>
    <t>SPARE_8</t>
  </si>
  <si>
    <t>F6</t>
  </si>
  <si>
    <t>SPARE_9</t>
  </si>
  <si>
    <t>AV2</t>
  </si>
  <si>
    <t>SPI0_CLK</t>
  </si>
  <si>
    <t>AU3</t>
  </si>
  <si>
    <t>SPI0_FLASH_0_CSB</t>
  </si>
  <si>
    <t>AU2</t>
  </si>
  <si>
    <t>SPI0_FLASH_1_CSB</t>
  </si>
  <si>
    <t>AW2</t>
  </si>
  <si>
    <t>SPI0_IO_2</t>
  </si>
  <si>
    <t>AU4</t>
  </si>
  <si>
    <t>SPI0_IO_3</t>
  </si>
  <si>
    <t>AW3</t>
  </si>
  <si>
    <t>SPI0_MISO_IO_1</t>
  </si>
  <si>
    <t>AV3</t>
  </si>
  <si>
    <t>SPI0_MOSI_IO_0</t>
  </si>
  <si>
    <t>AU1</t>
  </si>
  <si>
    <t>SPI0_TPM_CSB</t>
  </si>
  <si>
    <t>AN18</t>
  </si>
  <si>
    <t>SRTCRSTB</t>
  </si>
  <si>
    <t>AY20</t>
  </si>
  <si>
    <t>SSP1_SFRM</t>
  </si>
  <si>
    <t>PCH-PCH relay with GPP_F_17</t>
  </si>
  <si>
    <t>AW20</t>
  </si>
  <si>
    <t>SSP1_TXD</t>
  </si>
  <si>
    <t>PCH-PCH relay with GPP_F_18</t>
  </si>
  <si>
    <t>B6</t>
  </si>
  <si>
    <t>SYS_PWROK</t>
  </si>
  <si>
    <t>B5</t>
  </si>
  <si>
    <t>SYS_RESETB</t>
  </si>
  <si>
    <t>AY2</t>
  </si>
  <si>
    <t>TD_ANODE</t>
  </si>
  <si>
    <t>AY1</t>
  </si>
  <si>
    <t>TD_CATHODE</t>
  </si>
  <si>
    <t>D1</t>
  </si>
  <si>
    <t>TD_DFTANATP0</t>
  </si>
  <si>
    <t>D3</t>
  </si>
  <si>
    <t>TD_DFTANATP1</t>
  </si>
  <si>
    <t>K46</t>
  </si>
  <si>
    <t>THERMDA1</t>
  </si>
  <si>
    <t>AL25</t>
  </si>
  <si>
    <t>THERMDA2</t>
  </si>
  <si>
    <t>K45</t>
  </si>
  <si>
    <t>THERMDC1</t>
  </si>
  <si>
    <t>AL27</t>
  </si>
  <si>
    <t>THERMDC2</t>
  </si>
  <si>
    <t>C63</t>
  </si>
  <si>
    <t>THRMTRIPB</t>
  </si>
  <si>
    <t>AB6</t>
  </si>
  <si>
    <t>USB2_COMP</t>
  </si>
  <si>
    <t>AG3</t>
  </si>
  <si>
    <t>USB2_ID</t>
  </si>
  <si>
    <t>AW1</t>
  </si>
  <si>
    <t>USB2_PLLMON</t>
  </si>
  <si>
    <t>AG4</t>
  </si>
  <si>
    <t>USB2_VBUSSENSE</t>
  </si>
  <si>
    <t>AB9</t>
  </si>
  <si>
    <t>USB2N_1</t>
  </si>
  <si>
    <t>AH7</t>
  </si>
  <si>
    <t>USB2N_10</t>
  </si>
  <si>
    <t>AD6</t>
  </si>
  <si>
    <t>USB2N_2</t>
  </si>
  <si>
    <t>AH3</t>
  </si>
  <si>
    <t>USB2N_3</t>
  </si>
  <si>
    <t>AD9</t>
  </si>
  <si>
    <t>USB2N_4</t>
  </si>
  <si>
    <t>AJ1</t>
  </si>
  <si>
    <t>USB2N_5</t>
  </si>
  <si>
    <t>AF6</t>
  </si>
  <si>
    <t>USB2N_6</t>
  </si>
  <si>
    <t>AH1</t>
  </si>
  <si>
    <t>USB2N_7</t>
  </si>
  <si>
    <t>AF8</t>
  </si>
  <si>
    <t>USB2N_8</t>
  </si>
  <si>
    <t>AG1</t>
  </si>
  <si>
    <t>USB2N_9</t>
  </si>
  <si>
    <t>AB10</t>
  </si>
  <si>
    <t>USB2P_1</t>
  </si>
  <si>
    <t>AH8</t>
  </si>
  <si>
    <t>USB2P_10</t>
  </si>
  <si>
    <t>AD7</t>
  </si>
  <si>
    <t>USB2P_2</t>
  </si>
  <si>
    <t>AJ3</t>
  </si>
  <si>
    <t>USB2P_3</t>
  </si>
  <si>
    <t>AD10</t>
  </si>
  <si>
    <t>USB2P_4</t>
  </si>
  <si>
    <t>AJ2</t>
  </si>
  <si>
    <t>USB2P_5</t>
  </si>
  <si>
    <t>AF7</t>
  </si>
  <si>
    <t>USB2P_6</t>
  </si>
  <si>
    <t>AH2</t>
  </si>
  <si>
    <t>USB2P_7</t>
  </si>
  <si>
    <t>AF9</t>
  </si>
  <si>
    <t>USB2P_8</t>
  </si>
  <si>
    <t>AG2</t>
  </si>
  <si>
    <t>USB2P_9</t>
  </si>
  <si>
    <t>H8</t>
  </si>
  <si>
    <t>USB3_1_RXN</t>
  </si>
  <si>
    <t>G8</t>
  </si>
  <si>
    <t>USB3_1_RXP</t>
  </si>
  <si>
    <t>C13</t>
  </si>
  <si>
    <t>USB3_1_TXN</t>
  </si>
  <si>
    <t>D13</t>
  </si>
  <si>
    <t>USB3_1_TXP</t>
  </si>
  <si>
    <t>J6</t>
  </si>
  <si>
    <t>USB3_2_SSIC_1_RXN</t>
  </si>
  <si>
    <t>H6</t>
  </si>
  <si>
    <t>USB3_2_SSIC_1_RXP</t>
  </si>
  <si>
    <t>B13</t>
  </si>
  <si>
    <t>USB3_2_SSIC_1_TXN</t>
  </si>
  <si>
    <t>A13</t>
  </si>
  <si>
    <t>USB3_2_SSIC_1_TXP</t>
  </si>
  <si>
    <t>J10</t>
  </si>
  <si>
    <t>USB3_3_SSIC_2_RXN</t>
  </si>
  <si>
    <t>H10</t>
  </si>
  <si>
    <t>USB3_3_SSIC_2_RXP</t>
  </si>
  <si>
    <t>B15</t>
  </si>
  <si>
    <t>USB3_3_SSIC_2_TXN</t>
  </si>
  <si>
    <t>A15</t>
  </si>
  <si>
    <t>USB3_3_SSIC_2_TXP</t>
  </si>
  <si>
    <t>E10</t>
  </si>
  <si>
    <t>USB3_4_RXN</t>
  </si>
  <si>
    <t>F10</t>
  </si>
  <si>
    <t>USB3_4_RXP</t>
  </si>
  <si>
    <t>C15</t>
  </si>
  <si>
    <t>USB3_4_TXN</t>
  </si>
  <si>
    <t>D15</t>
  </si>
  <si>
    <t>USB3_4_TXP</t>
  </si>
  <si>
    <t>H63</t>
  </si>
  <si>
    <t>VCC_EDRAM_1P8</t>
  </si>
  <si>
    <t>POWER</t>
  </si>
  <si>
    <t>DPS150_2_LCDPS3</t>
  </si>
  <si>
    <t>G61</t>
  </si>
  <si>
    <t>VCC_EDRAM_FUSEPRG</t>
  </si>
  <si>
    <t>DPS150_2_LCDPS2</t>
  </si>
  <si>
    <t>A14</t>
  </si>
  <si>
    <t>VCC19P2_1P0</t>
  </si>
  <si>
    <t>DPS150_3_HCDPS2</t>
  </si>
  <si>
    <t>A10</t>
  </si>
  <si>
    <t>VCC24TBT_1P0</t>
  </si>
  <si>
    <t>K15</t>
  </si>
  <si>
    <t>VCCAMPHYPLL_1P0</t>
  </si>
  <si>
    <t>DPS150_3_HCDPS3</t>
  </si>
  <si>
    <t>L15</t>
  </si>
  <si>
    <t>V15</t>
  </si>
  <si>
    <t>VCCAPLL_1P0</t>
  </si>
  <si>
    <t>N18</t>
  </si>
  <si>
    <t>VCCAPLLEBB_1P0</t>
  </si>
  <si>
    <t>AA1</t>
  </si>
  <si>
    <t>VCCATS</t>
  </si>
  <si>
    <t>DPS150_3_HCDPS5</t>
  </si>
  <si>
    <t>A30</t>
  </si>
  <si>
    <t>VCCCORE</t>
  </si>
  <si>
    <t>DPS150_1_HCDPS1-4</t>
  </si>
  <si>
    <t>A34</t>
  </si>
  <si>
    <t>A39</t>
  </si>
  <si>
    <t>A44</t>
  </si>
  <si>
    <t>AK33</t>
  </si>
  <si>
    <t>AK35</t>
  </si>
  <si>
    <t>AK37</t>
  </si>
  <si>
    <t>AK38</t>
  </si>
  <si>
    <t>AK40</t>
  </si>
  <si>
    <t>AL33</t>
  </si>
  <si>
    <t>AL37</t>
  </si>
  <si>
    <t>AL40</t>
  </si>
  <si>
    <t>AM32</t>
  </si>
  <si>
    <t>AM33</t>
  </si>
  <si>
    <t>AM35</t>
  </si>
  <si>
    <t>AM37</t>
  </si>
  <si>
    <t>AM38</t>
  </si>
  <si>
    <t>G30</t>
  </si>
  <si>
    <t>G32</t>
  </si>
  <si>
    <t>G33</t>
  </si>
  <si>
    <t>G35</t>
  </si>
  <si>
    <t>G37</t>
  </si>
  <si>
    <t>G38</t>
  </si>
  <si>
    <t>G40</t>
  </si>
  <si>
    <t>G42</t>
  </si>
  <si>
    <t>J30</t>
  </si>
  <si>
    <t>J33</t>
  </si>
  <si>
    <t>J37</t>
  </si>
  <si>
    <t>J40</t>
  </si>
  <si>
    <t>K33</t>
  </si>
  <si>
    <t>K35</t>
  </si>
  <si>
    <t>K37</t>
  </si>
  <si>
    <t>K38</t>
  </si>
  <si>
    <t>K40</t>
  </si>
  <si>
    <t>K42</t>
  </si>
  <si>
    <t>K43</t>
  </si>
  <si>
    <t>E32</t>
  </si>
  <si>
    <t>VCCCORE_SENSE</t>
  </si>
  <si>
    <t>K32</t>
  </si>
  <si>
    <t>VCCCOREG0</t>
  </si>
  <si>
    <t>DPS150_1_LCDPS5</t>
  </si>
  <si>
    <t>AK32</t>
  </si>
  <si>
    <t>VCCCOREG1</t>
  </si>
  <si>
    <t>DPS150_1_LCDPS6</t>
  </si>
  <si>
    <t>AM40</t>
  </si>
  <si>
    <t>VCCDDQ_CLK</t>
  </si>
  <si>
    <t>DPS150_2_LCDPS1</t>
  </si>
  <si>
    <t>AL1</t>
  </si>
  <si>
    <t>T1</t>
  </si>
  <si>
    <t>VCCDTS_1P0</t>
  </si>
  <si>
    <t>AU23</t>
  </si>
  <si>
    <t>VCCDU</t>
  </si>
  <si>
    <t>DPS150_1_HCDPS6</t>
  </si>
  <si>
    <t>AU28</t>
  </si>
  <si>
    <t>AU35</t>
  </si>
  <si>
    <t>AU42</t>
  </si>
  <si>
    <t>BB23</t>
  </si>
  <si>
    <t>BB32</t>
  </si>
  <si>
    <t>BB41</t>
  </si>
  <si>
    <t>BB47</t>
  </si>
  <si>
    <t>BB51</t>
  </si>
  <si>
    <t>AB17</t>
  </si>
  <si>
    <t>VCCDUSB_1P0</t>
  </si>
  <si>
    <t>Y18</t>
  </si>
  <si>
    <t>AB62</t>
  </si>
  <si>
    <t>VCCEDRAM</t>
  </si>
  <si>
    <t>DPS150_2_HCDPS6</t>
  </si>
  <si>
    <t>P62</t>
  </si>
  <si>
    <t>V62</t>
  </si>
  <si>
    <t>AC63</t>
  </si>
  <si>
    <t>VCCEDRAM_SENSE</t>
  </si>
  <si>
    <t>DPS150_2_HCDPS6 sense</t>
  </si>
  <si>
    <t>AE62</t>
  </si>
  <si>
    <t>VCCEOPIO</t>
  </si>
  <si>
    <t>DPS150_1_HCDPS8</t>
  </si>
  <si>
    <t>AG62</t>
  </si>
  <si>
    <t>AL63</t>
  </si>
  <si>
    <t>VCCEOPIO_SENSE</t>
  </si>
  <si>
    <t>DPS150_1_HCDPS8 sense</t>
  </si>
  <si>
    <t>K19</t>
  </si>
  <si>
    <t>VCCF100_1P0</t>
  </si>
  <si>
    <t>N20</t>
  </si>
  <si>
    <t>VCCF100OC_1P0</t>
  </si>
  <si>
    <t>L21</t>
  </si>
  <si>
    <t>VCCF135_1P0</t>
  </si>
  <si>
    <t>L19</t>
  </si>
  <si>
    <t>VCCF24NS_1P0</t>
  </si>
  <si>
    <t>AK20</t>
  </si>
  <si>
    <t>VCCFHV_2P8</t>
  </si>
  <si>
    <t>DPS150_3_LCDPS1</t>
  </si>
  <si>
    <t>G20</t>
  </si>
  <si>
    <t>VCCFUSEPRG</t>
  </si>
  <si>
    <t>DPS150_1_LCDPS7</t>
  </si>
  <si>
    <t>A48</t>
  </si>
  <si>
    <t>VCCGT</t>
  </si>
  <si>
    <t>DPS150_2_HCDPS1-5</t>
  </si>
  <si>
    <t>A53</t>
  </si>
  <si>
    <t>A58</t>
  </si>
  <si>
    <t>A62</t>
  </si>
  <si>
    <t>A66</t>
  </si>
  <si>
    <t>AA63</t>
  </si>
  <si>
    <t>AA64</t>
  </si>
  <si>
    <t>AA66</t>
  </si>
  <si>
    <t>AA67</t>
  </si>
  <si>
    <t>AA69</t>
  </si>
  <si>
    <t>AA70</t>
  </si>
  <si>
    <t>AA71</t>
  </si>
  <si>
    <t>AC64</t>
  </si>
  <si>
    <t>AC65</t>
  </si>
  <si>
    <t>AC66</t>
  </si>
  <si>
    <t>AC67</t>
  </si>
  <si>
    <t>AC68</t>
  </si>
  <si>
    <t>AC69</t>
  </si>
  <si>
    <t>AC70</t>
  </si>
  <si>
    <t>AC71</t>
  </si>
  <si>
    <t>J43</t>
  </si>
  <si>
    <t>J45</t>
  </si>
  <si>
    <t>J46</t>
  </si>
  <si>
    <t>J48</t>
  </si>
  <si>
    <t>J50</t>
  </si>
  <si>
    <t>J52</t>
  </si>
  <si>
    <t>J53</t>
  </si>
  <si>
    <t>J55</t>
  </si>
  <si>
    <t>J56</t>
  </si>
  <si>
    <t>J58</t>
  </si>
  <si>
    <t>J60</t>
  </si>
  <si>
    <t>K48</t>
  </si>
  <si>
    <t>K50</t>
  </si>
  <si>
    <t>K52</t>
  </si>
  <si>
    <t>K53</t>
  </si>
  <si>
    <t>K55</t>
  </si>
  <si>
    <t>K56</t>
  </si>
  <si>
    <t>K58</t>
  </si>
  <si>
    <t>K60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</si>
  <si>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</si>
  <si>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</si>
  <si>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</si>
  <si>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</si>
  <si>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</si>
  <si>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</si>
  <si>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</si>
  <si>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</si>
  <si>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</si>
  <si>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</si>
  <si>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M62</t>
  </si>
  <si>
    <t>N63</t>
  </si>
  <si>
    <t>N64</t>
  </si>
  <si>
    <t>N66</t>
  </si>
  <si>
    <t>N67</t>
  </si>
  <si>
    <t>N69</t>
  </si>
  <si>
    <t>N70</t>
  </si>
  <si>
    <t>N71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</si>
  <si>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</si>
  <si>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</si>
  <si>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</si>
  <si>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</si>
  <si>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</si>
  <si>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</si>
  <si>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</si>
  <si>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</si>
  <si>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</si>
  <si>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T62</t>
  </si>
  <si>
    <t>U65</t>
  </si>
  <si>
    <t>U68</t>
  </si>
  <si>
    <t>U71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</si>
  <si>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</si>
  <si>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</si>
  <si>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</si>
  <si>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</si>
  <si>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</si>
  <si>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</si>
  <si>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</si>
  <si>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</si>
  <si>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</si>
  <si>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Y62</t>
  </si>
  <si>
    <t>J70</t>
  </si>
  <si>
    <t>VCCGT_SENSE</t>
  </si>
  <si>
    <t>DPS150_2_HCDPS1 sense</t>
  </si>
  <si>
    <t>AE70</t>
  </si>
  <si>
    <t>VCCGTU</t>
  </si>
  <si>
    <t>DPS150_2_HCDPS7-8</t>
  </si>
  <si>
    <t>AK42</t>
  </si>
  <si>
    <t>AK43</t>
  </si>
  <si>
    <t>AK45</t>
  </si>
  <si>
    <t>AK46</t>
  </si>
  <si>
    <t>AK48</t>
  </si>
  <si>
    <t>AK50</t>
  </si>
  <si>
    <t>AK52</t>
  </si>
  <si>
    <t>AK53</t>
  </si>
  <si>
    <t>AK55</t>
  </si>
  <si>
    <t>AK56</t>
  </si>
  <si>
    <t>AK58</t>
  </si>
  <si>
    <t>AK60</t>
  </si>
  <si>
    <t>AK70</t>
  </si>
  <si>
    <t>AL43</t>
  </si>
  <si>
    <t>AL46</t>
  </si>
  <si>
    <t>AL50</t>
  </si>
  <si>
    <t>AL53</t>
  </si>
  <si>
    <t>AL56</t>
  </si>
  <si>
    <t>AL60</t>
  </si>
  <si>
    <t>AM48</t>
  </si>
  <si>
    <t>AM50</t>
  </si>
  <si>
    <t>AM52</t>
  </si>
  <si>
    <t>AM53</t>
  </si>
  <si>
    <t>AM56</t>
  </si>
  <si>
    <t>AM58</t>
  </si>
  <si>
    <t>AU58</t>
  </si>
  <si>
    <t>AU63</t>
  </si>
  <si>
    <t>BB57</t>
  </si>
  <si>
    <t>BB66</t>
  </si>
  <si>
    <t>AK62</t>
  </si>
  <si>
    <t>VCCGTU_SENSE</t>
  </si>
  <si>
    <t>DPS150_2_HCDPS7 sense</t>
  </si>
  <si>
    <t>AK28</t>
  </si>
  <si>
    <t>VCCIO</t>
  </si>
  <si>
    <t>DPS150_1_HCDPS7</t>
  </si>
  <si>
    <t>AK30</t>
  </si>
  <si>
    <t>AL30</t>
  </si>
  <si>
    <t>AL42</t>
  </si>
  <si>
    <t>AM28</t>
  </si>
  <si>
    <t>AM30</t>
  </si>
  <si>
    <t>AM42</t>
  </si>
  <si>
    <t>AM23</t>
  </si>
  <si>
    <t>VCCIO_SENSE</t>
  </si>
  <si>
    <t>DPS150_1_HCDPS7 sense</t>
  </si>
  <si>
    <t>K17</t>
  </si>
  <si>
    <t>VCCMPHYAON_1P0</t>
  </si>
  <si>
    <t>L1</t>
  </si>
  <si>
    <t>N15</t>
  </si>
  <si>
    <t>VCCMPHYGTAON_1P0</t>
  </si>
  <si>
    <t>N16</t>
  </si>
  <si>
    <t>N17</t>
  </si>
  <si>
    <t>P15</t>
  </si>
  <si>
    <t>P16</t>
  </si>
  <si>
    <t>AJ19</t>
  </si>
  <si>
    <t>VCCPAZIO</t>
  </si>
  <si>
    <t>DPS150_3_LCDPS2</t>
  </si>
  <si>
    <t>AD17</t>
  </si>
  <si>
    <t>VCCPDSW_3P3</t>
  </si>
  <si>
    <t>DPS150_3_LCDPS6</t>
  </si>
  <si>
    <t>AD18</t>
  </si>
  <si>
    <t>AJ17</t>
  </si>
  <si>
    <t>AJ21</t>
  </si>
  <si>
    <t>VCCPFUSE_3P3</t>
  </si>
  <si>
    <t>DPS150_3_LCDPS4</t>
  </si>
  <si>
    <t>AK15</t>
  </si>
  <si>
    <t>VCCPGPPA</t>
  </si>
  <si>
    <t>DPS150_3_LCDPS3</t>
  </si>
  <si>
    <t>AG15</t>
  </si>
  <si>
    <t>VCCPGPPB</t>
  </si>
  <si>
    <t>Y16</t>
  </si>
  <si>
    <t>VCCPGPPC</t>
  </si>
  <si>
    <t>Y15</t>
  </si>
  <si>
    <t>VCCPGPPD</t>
  </si>
  <si>
    <t>T16</t>
  </si>
  <si>
    <t>VCCPGPPE</t>
  </si>
  <si>
    <t>AF16</t>
  </si>
  <si>
    <t>VCCPGPPF</t>
  </si>
  <si>
    <t>DPS150_3_LCDPS5</t>
  </si>
  <si>
    <t>AD15</t>
  </si>
  <si>
    <t>VCCPGPPG</t>
  </si>
  <si>
    <t>V19</t>
  </si>
  <si>
    <t>VCCPHVC_3P3</t>
  </si>
  <si>
    <t>AB19</t>
  </si>
  <si>
    <t>VCCPRIM_1P0</t>
  </si>
  <si>
    <t>AB20</t>
  </si>
  <si>
    <t>P18</t>
  </si>
  <si>
    <t>AF18</t>
  </si>
  <si>
    <t>VCCPRIM_CORE</t>
  </si>
  <si>
    <t>DPS150_3_HCDPS1</t>
  </si>
  <si>
    <t>AF19</t>
  </si>
  <si>
    <t>V20</t>
  </si>
  <si>
    <t>V21</t>
  </si>
  <si>
    <t>AK19</t>
  </si>
  <si>
    <t>VCCPRTC_3P3</t>
  </si>
  <si>
    <t>DPS150_3_LCDPS7</t>
  </si>
  <si>
    <t>BB14</t>
  </si>
  <si>
    <t>AK17</t>
  </si>
  <si>
    <t>VCCPRTCPRIM_3P3</t>
  </si>
  <si>
    <t>AJ16</t>
  </si>
  <si>
    <t>VCCPSPI</t>
  </si>
  <si>
    <t>DPS150_3_LCDPS8</t>
  </si>
  <si>
    <t>BB10</t>
  </si>
  <si>
    <t>VCCRTCEXT</t>
  </si>
  <si>
    <t>Tester channel?</t>
  </si>
  <si>
    <t>AK23</t>
  </si>
  <si>
    <t>VCCSA</t>
  </si>
  <si>
    <t>DPS150_1_HCDPS5</t>
  </si>
  <si>
    <t>AK25</t>
  </si>
  <si>
    <t>G23</t>
  </si>
  <si>
    <t>G25</t>
  </si>
  <si>
    <t>G27</t>
  </si>
  <si>
    <t>G28</t>
  </si>
  <si>
    <t>J22</t>
  </si>
  <si>
    <t>J23</t>
  </si>
  <si>
    <t>J27</t>
  </si>
  <si>
    <t>K23</t>
  </si>
  <si>
    <t>K25</t>
  </si>
  <si>
    <t>K27</t>
  </si>
  <si>
    <t>K28</t>
  </si>
  <si>
    <t>K30</t>
  </si>
  <si>
    <t>H20</t>
  </si>
  <si>
    <t>VCCSA_SENSE</t>
  </si>
  <si>
    <t>DPS150_1_HCDPS5 sense</t>
  </si>
  <si>
    <t>K20</t>
  </si>
  <si>
    <t>VCCSFR</t>
  </si>
  <si>
    <t>DPS150_1_LCDPS3</t>
  </si>
  <si>
    <t>K21</t>
  </si>
  <si>
    <t>AL23</t>
  </si>
  <si>
    <t>VCCSFR_OC</t>
  </si>
  <si>
    <t>DPS150_1_LCDPS4</t>
  </si>
  <si>
    <t>AF20</t>
  </si>
  <si>
    <t>VCCSRAM_1P0</t>
  </si>
  <si>
    <t>DPS150_3_HCDPS4</t>
  </si>
  <si>
    <t>AF21</t>
  </si>
  <si>
    <t>T19</t>
  </si>
  <si>
    <t>T20</t>
  </si>
  <si>
    <t>A18</t>
  </si>
  <si>
    <t>VCCST</t>
  </si>
  <si>
    <t>DPS150_1_LCDPS1</t>
  </si>
  <si>
    <t>B65</t>
  </si>
  <si>
    <t>VCCST_PWRGD</t>
  </si>
  <si>
    <t>A22</t>
  </si>
  <si>
    <t>VCCSTG</t>
  </si>
  <si>
    <t>DPS150_1_LCDPS2</t>
  </si>
  <si>
    <t>B63</t>
  </si>
  <si>
    <t>VIDALERT_N</t>
  </si>
  <si>
    <t>A63</t>
  </si>
  <si>
    <t>VIDSCK</t>
  </si>
  <si>
    <t>D64</t>
  </si>
  <si>
    <t>VIDSOUT</t>
  </si>
  <si>
    <t>A5</t>
  </si>
  <si>
    <t>VSS</t>
  </si>
  <si>
    <t>GND</t>
  </si>
  <si>
    <t>A67</t>
  </si>
  <si>
    <t>A70</t>
  </si>
  <si>
    <t>AA2</t>
  </si>
  <si>
    <t>AA4</t>
  </si>
  <si>
    <t>AA65</t>
  </si>
  <si>
    <t>AA68</t>
  </si>
  <si>
    <t>AB15</t>
  </si>
  <si>
    <t>AB16</t>
  </si>
  <si>
    <t>AB18</t>
  </si>
  <si>
    <t>AB21</t>
  </si>
  <si>
    <t>AB8</t>
  </si>
  <si>
    <t>AD13</t>
  </si>
  <si>
    <t>AD16</t>
  </si>
  <si>
    <t>AD19</t>
  </si>
  <si>
    <t>AD20</t>
  </si>
  <si>
    <t>AD21</t>
  </si>
  <si>
    <t>AD62</t>
  </si>
  <si>
    <t>AD8</t>
  </si>
  <si>
    <t>AE64</t>
  </si>
  <si>
    <t>AE65</t>
  </si>
  <si>
    <t>AE66</t>
  </si>
  <si>
    <t>AE67</t>
  </si>
  <si>
    <t>AE68</t>
  </si>
  <si>
    <t>AE69</t>
  </si>
  <si>
    <t>AF1</t>
  </si>
  <si>
    <t>AF10</t>
  </si>
  <si>
    <t>AF15</t>
  </si>
  <si>
    <t>AF17</t>
  </si>
  <si>
    <t>AF2</t>
  </si>
  <si>
    <t>AF4</t>
  </si>
  <si>
    <t>AF63</t>
  </si>
  <si>
    <t>AG16</t>
  </si>
  <si>
    <t>AG17</t>
  </si>
  <si>
    <t>AG18</t>
  </si>
  <si>
    <t>AG19</t>
  </si>
  <si>
    <t>AG20</t>
  </si>
  <si>
    <t>AG21</t>
  </si>
  <si>
    <t>AG71</t>
  </si>
  <si>
    <t>AH13</t>
  </si>
  <si>
    <t>AH6</t>
  </si>
  <si>
    <t>AH63</t>
  </si>
  <si>
    <t>AH64</t>
  </si>
  <si>
    <t>AH67</t>
  </si>
  <si>
    <t>AJ15</t>
  </si>
  <si>
    <t>AJ18</t>
  </si>
  <si>
    <t>AJ20</t>
  </si>
  <si>
    <t>AJ4</t>
  </si>
  <si>
    <t>AK11</t>
  </si>
  <si>
    <t>AK16</t>
  </si>
  <si>
    <t>AK18</t>
  </si>
  <si>
    <t>AK21</t>
  </si>
  <si>
    <t>AK22</t>
  </si>
  <si>
    <t>AK27</t>
  </si>
  <si>
    <t>AK63</t>
  </si>
  <si>
    <t>AK68</t>
  </si>
  <si>
    <t>AK69</t>
  </si>
  <si>
    <t>AK8</t>
  </si>
  <si>
    <t>AL2</t>
  </si>
  <si>
    <t>AL28</t>
  </si>
  <si>
    <t>AL32</t>
  </si>
  <si>
    <t>AL35</t>
  </si>
  <si>
    <t>AL38</t>
  </si>
  <si>
    <t>AL4</t>
  </si>
  <si>
    <t>AL45</t>
  </si>
  <si>
    <t>AL48</t>
  </si>
  <si>
    <t>AL52</t>
  </si>
  <si>
    <t>AL55</t>
  </si>
  <si>
    <t>AL58</t>
  </si>
  <si>
    <t>AL64</t>
  </si>
  <si>
    <t>AL65</t>
  </si>
  <si>
    <t>AL66</t>
  </si>
  <si>
    <t>AM13</t>
  </si>
  <si>
    <t>AM21</t>
  </si>
  <si>
    <t>AM25</t>
  </si>
  <si>
    <t>AM27</t>
  </si>
  <si>
    <t>AM43</t>
  </si>
  <si>
    <t>AM45</t>
  </si>
  <si>
    <t>AM46</t>
  </si>
  <si>
    <t>AM55</t>
  </si>
  <si>
    <t>AM60</t>
  </si>
  <si>
    <t>AM61</t>
  </si>
  <si>
    <t>AM68</t>
  </si>
  <si>
    <t>AM71</t>
  </si>
  <si>
    <t>AM8</t>
  </si>
  <si>
    <t>AN20</t>
  </si>
  <si>
    <t>AN23</t>
  </si>
  <si>
    <t>AN28</t>
  </si>
  <si>
    <t>AN30</t>
  </si>
  <si>
    <t>AN32</t>
  </si>
  <si>
    <t>AN33</t>
  </si>
  <si>
    <t>AN35</t>
  </si>
  <si>
    <t>AN37</t>
  </si>
  <si>
    <t>AN38</t>
  </si>
  <si>
    <t>AN40</t>
  </si>
  <si>
    <t>AN42</t>
  </si>
  <si>
    <t>AN58</t>
  </si>
  <si>
    <t>AN63</t>
  </si>
  <si>
    <t>AP10</t>
  </si>
  <si>
    <t>AP18</t>
  </si>
  <si>
    <t>AP20</t>
  </si>
  <si>
    <t>AP23</t>
  </si>
  <si>
    <t>AP28</t>
  </si>
  <si>
    <t>AP32</t>
  </si>
  <si>
    <t>AP35</t>
  </si>
  <si>
    <t>AP38</t>
  </si>
  <si>
    <t>AP42</t>
  </si>
  <si>
    <t>AP58</t>
  </si>
  <si>
    <t>AP63</t>
  </si>
  <si>
    <t>AP68</t>
  </si>
  <si>
    <t>AP70</t>
  </si>
  <si>
    <t>AR11</t>
  </si>
  <si>
    <t>AR15</t>
  </si>
  <si>
    <t>AR16</t>
  </si>
  <si>
    <t>AR20</t>
  </si>
  <si>
    <t>AR23</t>
  </si>
  <si>
    <t>AR28</t>
  </si>
  <si>
    <t>AR35</t>
  </si>
  <si>
    <t>AR42</t>
  </si>
  <si>
    <t>AR43</t>
  </si>
  <si>
    <t>AR45</t>
  </si>
  <si>
    <t>AR46</t>
  </si>
  <si>
    <t>AR48</t>
  </si>
  <si>
    <t>AR5</t>
  </si>
  <si>
    <t>AR50</t>
  </si>
  <si>
    <t>AR52</t>
  </si>
  <si>
    <t>AR53</t>
  </si>
  <si>
    <t>AR55</t>
  </si>
  <si>
    <t>AR58</t>
  </si>
  <si>
    <t>AR63</t>
  </si>
  <si>
    <t>AR8</t>
  </si>
  <si>
    <t>AT2</t>
  </si>
  <si>
    <t>AT20</t>
  </si>
  <si>
    <t>AT23</t>
  </si>
  <si>
    <t>AT28</t>
  </si>
  <si>
    <t>AT35</t>
  </si>
  <si>
    <t>AT4</t>
  </si>
  <si>
    <t>AT42</t>
  </si>
  <si>
    <t>AT56</t>
  </si>
  <si>
    <t>AT58</t>
  </si>
  <si>
    <t>AT63</t>
  </si>
  <si>
    <t>AT68</t>
  </si>
  <si>
    <t>AT71</t>
  </si>
  <si>
    <t>AU10</t>
  </si>
  <si>
    <t>AU15</t>
  </si>
  <si>
    <t>AU20</t>
  </si>
  <si>
    <t>AU32</t>
  </si>
  <si>
    <t>AU38</t>
  </si>
  <si>
    <t>AV1</t>
  </si>
  <si>
    <t>AV68</t>
  </si>
  <si>
    <t>AV69</t>
  </si>
  <si>
    <t>AV70</t>
  </si>
  <si>
    <t>AV71</t>
  </si>
  <si>
    <t>AW10</t>
  </si>
  <si>
    <t>AW12</t>
  </si>
  <si>
    <t>AW14</t>
  </si>
  <si>
    <t>AW16</t>
  </si>
  <si>
    <t>AW18</t>
  </si>
  <si>
    <t>AW21</t>
  </si>
  <si>
    <t>AW23</t>
  </si>
  <si>
    <t>AW26</t>
  </si>
  <si>
    <t>AW28</t>
  </si>
  <si>
    <t>AW30</t>
  </si>
  <si>
    <t>AW32</t>
  </si>
  <si>
    <t>AW34</t>
  </si>
  <si>
    <t>AW36</t>
  </si>
  <si>
    <t>AW38</t>
  </si>
  <si>
    <t>AW4</t>
  </si>
  <si>
    <t>AW41</t>
  </si>
  <si>
    <t>AW43</t>
  </si>
  <si>
    <t>AW45</t>
  </si>
  <si>
    <t>AW47</t>
  </si>
  <si>
    <t>AW49</t>
  </si>
  <si>
    <t>AW51</t>
  </si>
  <si>
    <t>AW53</t>
  </si>
  <si>
    <t>AW55</t>
  </si>
  <si>
    <t>AW57</t>
  </si>
  <si>
    <t>AW6</t>
  </si>
  <si>
    <t>AW60</t>
  </si>
  <si>
    <t>AW62</t>
  </si>
  <si>
    <t>AW64</t>
  </si>
  <si>
    <t>AW66</t>
  </si>
  <si>
    <t>AW8</t>
  </si>
  <si>
    <t>AY66</t>
  </si>
  <si>
    <t>B10</t>
  </si>
  <si>
    <t>B14</t>
  </si>
  <si>
    <t>B18</t>
  </si>
  <si>
    <t>B22</t>
  </si>
  <si>
    <t>B30</t>
  </si>
  <si>
    <t>B34</t>
  </si>
  <si>
    <t>B39</t>
  </si>
  <si>
    <t>B44</t>
  </si>
  <si>
    <t>B48</t>
  </si>
  <si>
    <t>B53</t>
  </si>
  <si>
    <t>B58</t>
  </si>
  <si>
    <t>B62</t>
  </si>
  <si>
    <t>B66</t>
  </si>
  <si>
    <t>B71</t>
  </si>
  <si>
    <t>BA1</t>
  </si>
  <si>
    <t>BA10</t>
  </si>
  <si>
    <t>BA14</t>
  </si>
  <si>
    <t>BA18</t>
  </si>
  <si>
    <t>BA2</t>
  </si>
  <si>
    <t>BA23</t>
  </si>
  <si>
    <t>BA28</t>
  </si>
  <si>
    <t>BA32</t>
  </si>
  <si>
    <t>BA36</t>
  </si>
  <si>
    <t>BA41</t>
  </si>
  <si>
    <t>BA45</t>
  </si>
  <si>
    <t>BA49</t>
  </si>
  <si>
    <t>BA53</t>
  </si>
  <si>
    <t>BA57</t>
  </si>
  <si>
    <t>BA6</t>
  </si>
  <si>
    <t>BA62</t>
  </si>
  <si>
    <t>BA66</t>
  </si>
  <si>
    <t>BA71</t>
  </si>
  <si>
    <t>BB18</t>
  </si>
  <si>
    <t>BB26</t>
  </si>
  <si>
    <t>BB30</t>
  </si>
  <si>
    <t>BB34</t>
  </si>
  <si>
    <t>BB38</t>
  </si>
  <si>
    <t>BB43</t>
  </si>
  <si>
    <t>BB55</t>
  </si>
  <si>
    <t>BB6</t>
  </si>
  <si>
    <t>BB60</t>
  </si>
  <si>
    <t>BB64</t>
  </si>
  <si>
    <t>BB67</t>
  </si>
  <si>
    <t>BB70</t>
  </si>
  <si>
    <t>C1</t>
  </si>
  <si>
    <t>C25</t>
  </si>
  <si>
    <t>C5</t>
  </si>
  <si>
    <t>D10</t>
  </si>
  <si>
    <t>D11</t>
  </si>
  <si>
    <t>D14</t>
  </si>
  <si>
    <t>D18</t>
  </si>
  <si>
    <t>D22</t>
  </si>
  <si>
    <t>D25</t>
  </si>
  <si>
    <t>D26</t>
  </si>
  <si>
    <t>D30</t>
  </si>
  <si>
    <t>D34</t>
  </si>
  <si>
    <t>D39</t>
  </si>
  <si>
    <t>D44</t>
  </si>
  <si>
    <t>D45</t>
  </si>
  <si>
    <t>D47</t>
  </si>
  <si>
    <t>D48</t>
  </si>
  <si>
    <t>D53</t>
  </si>
  <si>
    <t>D58</t>
  </si>
  <si>
    <t>D6</t>
  </si>
  <si>
    <t>D62</t>
  </si>
  <si>
    <t>D66</t>
  </si>
  <si>
    <t>D69</t>
  </si>
  <si>
    <t>E11</t>
  </si>
  <si>
    <t>E15</t>
  </si>
  <si>
    <t>E18</t>
  </si>
  <si>
    <t>E21</t>
  </si>
  <si>
    <t>E46</t>
  </si>
  <si>
    <t>E50</t>
  </si>
  <si>
    <t>E53</t>
  </si>
  <si>
    <t>E56</t>
  </si>
  <si>
    <t>E6</t>
  </si>
  <si>
    <t>E65</t>
  </si>
  <si>
    <t>E71</t>
  </si>
  <si>
    <t>F1</t>
  </si>
  <si>
    <t>F13</t>
  </si>
  <si>
    <t>F2</t>
  </si>
  <si>
    <t>F22</t>
  </si>
  <si>
    <t>F23</t>
  </si>
  <si>
    <t>F27</t>
  </si>
  <si>
    <t>F28</t>
  </si>
  <si>
    <t>F32</t>
  </si>
  <si>
    <t>F33</t>
  </si>
  <si>
    <t>F35</t>
  </si>
  <si>
    <t>F37</t>
  </si>
  <si>
    <t>F38</t>
  </si>
  <si>
    <t>F4</t>
  </si>
  <si>
    <t>F40</t>
  </si>
  <si>
    <t>F42</t>
  </si>
  <si>
    <t>F68</t>
  </si>
  <si>
    <t>F8</t>
  </si>
  <si>
    <t>G10</t>
  </si>
  <si>
    <t>G22</t>
  </si>
  <si>
    <t>G43</t>
  </si>
  <si>
    <t>G45</t>
  </si>
  <si>
    <t>G48</t>
  </si>
  <si>
    <t>G5</t>
  </si>
  <si>
    <t>G52</t>
  </si>
  <si>
    <t>G55</t>
  </si>
  <si>
    <t>G58</t>
  </si>
  <si>
    <t>G6</t>
  </si>
  <si>
    <t>G60</t>
  </si>
  <si>
    <t>G63</t>
  </si>
  <si>
    <t>G66</t>
  </si>
  <si>
    <t>H15</t>
  </si>
  <si>
    <t>H18</t>
  </si>
  <si>
    <t>H71</t>
  </si>
  <si>
    <t>J11</t>
  </si>
  <si>
    <t>J13</t>
  </si>
  <si>
    <t>J25</t>
  </si>
  <si>
    <t>J28</t>
  </si>
  <si>
    <t>J32</t>
  </si>
  <si>
    <t>J35</t>
  </si>
  <si>
    <t>J38</t>
  </si>
  <si>
    <t>J42</t>
  </si>
  <si>
    <t>J8</t>
  </si>
  <si>
    <t>K16</t>
  </si>
  <si>
    <t>K18</t>
  </si>
  <si>
    <t>K22</t>
  </si>
  <si>
    <t>K61</t>
  </si>
  <si>
    <t>K63</t>
  </si>
  <si>
    <t>K64</t>
  </si>
  <si>
    <t>K65</t>
  </si>
  <si>
    <t>K66</t>
  </si>
  <si>
    <t>K67</t>
  </si>
  <si>
    <t>K68</t>
  </si>
  <si>
    <t>K70</t>
  </si>
  <si>
    <t>K71</t>
  </si>
  <si>
    <t>L11</t>
  </si>
  <si>
    <t>L16</t>
  </si>
  <si>
    <t>L17</t>
  </si>
  <si>
    <t>L18</t>
  </si>
  <si>
    <t>L2</t>
  </si>
  <si>
    <t>L20</t>
  </si>
  <si>
    <t>L4</t>
  </si>
  <si>
    <t>L8</t>
  </si>
  <si>
    <t>N10</t>
  </si>
  <si>
    <t>N13</t>
  </si>
  <si>
    <t>N19</t>
  </si>
  <si>
    <t>N21</t>
  </si>
  <si>
    <t>N6</t>
  </si>
  <si>
    <t>N65</t>
  </si>
  <si>
    <t>N68</t>
  </si>
  <si>
    <t>P17</t>
  </si>
  <si>
    <t>P19</t>
  </si>
  <si>
    <t>P20</t>
  </si>
  <si>
    <t>P21</t>
  </si>
  <si>
    <t>R13</t>
  </si>
  <si>
    <t>R6</t>
  </si>
  <si>
    <t>T15</t>
  </si>
  <si>
    <t>T17</t>
  </si>
  <si>
    <t>T18</t>
  </si>
  <si>
    <t>T2</t>
  </si>
  <si>
    <t>T21</t>
  </si>
  <si>
    <t>T4</t>
  </si>
  <si>
    <t>U10</t>
  </si>
  <si>
    <t>U63</t>
  </si>
  <si>
    <t>U64</t>
  </si>
  <si>
    <t>U66</t>
  </si>
  <si>
    <t>U67</t>
  </si>
  <si>
    <t>U69</t>
  </si>
  <si>
    <t>U70</t>
  </si>
  <si>
    <t>V16</t>
  </si>
  <si>
    <t>V17</t>
  </si>
  <si>
    <t>V18</t>
  </si>
  <si>
    <t>W13</t>
  </si>
  <si>
    <t>W6</t>
  </si>
  <si>
    <t>W9</t>
  </si>
  <si>
    <t>Y17</t>
  </si>
  <si>
    <t>Y19</t>
  </si>
  <si>
    <t>Y20</t>
  </si>
  <si>
    <t>Y21</t>
  </si>
  <si>
    <t>E33</t>
  </si>
  <si>
    <t>VSSCORE_SENSE</t>
  </si>
  <si>
    <t>DPS150_1_HCDPS1 sense</t>
  </si>
  <si>
    <t>AE63</t>
  </si>
  <si>
    <t>VSSGT_SENSE</t>
  </si>
  <si>
    <t>VSSEDRAM_SENSE</t>
  </si>
  <si>
    <t>AJ62</t>
  </si>
  <si>
    <t>VSSIO_SENSE</t>
  </si>
  <si>
    <t>VSSEOPIO_SENSE</t>
  </si>
  <si>
    <t>J69</t>
  </si>
  <si>
    <t>VSSSA_SENSE</t>
  </si>
  <si>
    <t>AL61</t>
  </si>
  <si>
    <t>VSSGTU_SENSE</t>
  </si>
  <si>
    <t>AM22</t>
  </si>
  <si>
    <t>H21</t>
  </si>
  <si>
    <t>BB15</t>
  </si>
  <si>
    <t>WAKEB</t>
  </si>
  <si>
    <t>A4</t>
  </si>
  <si>
    <t>XCKPLL_MON_N</t>
  </si>
  <si>
    <t>C4</t>
  </si>
  <si>
    <t>XCKPLL_MON_P</t>
  </si>
  <si>
    <t>E42</t>
  </si>
  <si>
    <t>XCLK_BIASREF</t>
  </si>
  <si>
    <t>E37</t>
  </si>
  <si>
    <t>XTAL_IN</t>
  </si>
  <si>
    <t>E35</t>
  </si>
  <si>
    <t>XTAL_OUT</t>
  </si>
  <si>
    <t>AR56</t>
  </si>
  <si>
    <t>ZVM_N</t>
  </si>
  <si>
    <t>Match Loop</t>
  </si>
  <si>
    <t>NOA_N[2] SHARING WITH RELAY</t>
  </si>
  <si>
    <t>CA501.2</t>
  </si>
  <si>
    <t>LA501.1</t>
  </si>
  <si>
    <t>CA502.1</t>
  </si>
  <si>
    <t>LA502.1</t>
  </si>
  <si>
    <t>KA501.8</t>
  </si>
  <si>
    <t>D1_TC_DP02_TD01__PCIE_1_USB3_5_RXN__TXN__TC</t>
  </si>
  <si>
    <t>KA501.6</t>
  </si>
  <si>
    <t>LA501.2</t>
  </si>
  <si>
    <t>KA501.2</t>
  </si>
  <si>
    <t>D1_TC_DP02_TD01__PCIE_1_USB3_5_RXP__TXP__TC</t>
  </si>
  <si>
    <t>KA501.4</t>
  </si>
  <si>
    <t>LA502.2</t>
  </si>
  <si>
    <t>CA503.2</t>
  </si>
  <si>
    <t>LA503.1</t>
  </si>
  <si>
    <t>CA504.1</t>
  </si>
  <si>
    <t>LA504.1</t>
  </si>
  <si>
    <t>KA502.8</t>
  </si>
  <si>
    <t>D1_TC_DP04_TD01__PCIE_2_UFS_0A_USB3_6_RXN__TXN__TC</t>
  </si>
  <si>
    <t>KA502.6</t>
  </si>
  <si>
    <t>LA503.2</t>
  </si>
  <si>
    <t>KA502.2</t>
  </si>
  <si>
    <t>D1_TC_DP04_TD01__PCIE_2_UFS_0A_USB3_6_RXP__TXP__TC</t>
  </si>
  <si>
    <t>KA502.4</t>
  </si>
  <si>
    <t>LA504.2</t>
  </si>
  <si>
    <t>CA505.2</t>
  </si>
  <si>
    <t>LA505.1</t>
  </si>
  <si>
    <t>CA506.1</t>
  </si>
  <si>
    <t>LA506.1</t>
  </si>
  <si>
    <t>KA503.8</t>
  </si>
  <si>
    <t>D1_TC_DP06_TD01__PCIE_3_UFS_0B_LAN_0A_RXN__TXN__TC</t>
  </si>
  <si>
    <t>KA503.6</t>
  </si>
  <si>
    <t>LA505.2</t>
  </si>
  <si>
    <t>KA503.2</t>
  </si>
  <si>
    <t>D1_TC_DP06_TD01__PCIE_3_UFS_0B_LAN_0A_RXP__TXP__TC</t>
  </si>
  <si>
    <t>KA503.4</t>
  </si>
  <si>
    <t>LA506.2</t>
  </si>
  <si>
    <t>CA507.2</t>
  </si>
  <si>
    <t>LA507.1</t>
  </si>
  <si>
    <t>CA508.1</t>
  </si>
  <si>
    <t>LA508.1</t>
  </si>
  <si>
    <t>KA504.8</t>
  </si>
  <si>
    <t>D1_TC_DP08_TD01__PCIE_4_LAN_0B_RXN__TXN__TC</t>
  </si>
  <si>
    <t>KA504.6</t>
  </si>
  <si>
    <t>LA507.2</t>
  </si>
  <si>
    <t>KA504.2</t>
  </si>
  <si>
    <t>D1_TC_DP08_TD01__PCIE_4_LAN_0B_RXP__TXP__TC</t>
  </si>
  <si>
    <t>KA504.4</t>
  </si>
  <si>
    <t>LA508.2</t>
  </si>
  <si>
    <t>CA509.2</t>
  </si>
  <si>
    <t>LA509.1</t>
  </si>
  <si>
    <t>CA510.1</t>
  </si>
  <si>
    <t>LA510.1</t>
  </si>
  <si>
    <t>D1_TC_DP100_TD02__DDRDQSN_IL05_NIL11</t>
  </si>
  <si>
    <t>D1_TC_DP100_TD02__DDRDQSP_IL05_NIL11</t>
  </si>
  <si>
    <t>D1_TC_DP101_TD02__DDRDQSN_IL14_NIL12</t>
  </si>
  <si>
    <t>D1_TC_DP101_TD02__DDRDQSP_IL14_NIL12</t>
  </si>
  <si>
    <t>D1_TC_DP102_TD02__DDRDQSN_IL15_NIL13</t>
  </si>
  <si>
    <t>D1_TC_DP102_TD02__DDRDQSP_IL15_NIL13</t>
  </si>
  <si>
    <t>D1_TC_DP103_TD02__DDRDQSN_IL06_NIL14</t>
  </si>
  <si>
    <t>D1_TC_DP103_TD02__DDRDQSP_IL06_NIL14</t>
  </si>
  <si>
    <t>D1_TC_DP104_TD02__DDRDQSN_IL07_NIL15</t>
  </si>
  <si>
    <t>D1_TC_DP104_TD02__DDRDQSP_IL07_NIL15</t>
  </si>
  <si>
    <t>D1_TC_DP105_TD02__DDRDQSN_IL16_NIL16</t>
  </si>
  <si>
    <t>D1_TC_DP105_TD02__DDRDQSP_IL16_NIL16</t>
  </si>
  <si>
    <t>D1_TC_DP106_TD02__DDRDQSN_IL17_NIL17</t>
  </si>
  <si>
    <t>D1_TC_DP106_TD02__DDRDQSP_IL17_NIL17</t>
  </si>
  <si>
    <t>KA505.8</t>
  </si>
  <si>
    <t>D1_TC_DP10_TD01__PCIE_5_LAN_0C_RXN__TXN__TC</t>
  </si>
  <si>
    <t>KA505.6</t>
  </si>
  <si>
    <t>LA509.2</t>
  </si>
  <si>
    <t>KA505.2</t>
  </si>
  <si>
    <t>D1_TC_DP10_TD01__PCIE_5_LAN_0C_RXP__TXP__TC</t>
  </si>
  <si>
    <t>KA505.4</t>
  </si>
  <si>
    <t>LA510.2</t>
  </si>
  <si>
    <t>KA115.2</t>
  </si>
  <si>
    <t>KA115.8</t>
  </si>
  <si>
    <t>KA115.4</t>
  </si>
  <si>
    <t>KA115.6</t>
  </si>
  <si>
    <t>KA115.3</t>
  </si>
  <si>
    <t>KA115.7</t>
  </si>
  <si>
    <t>D1_TC_DP112_SH31_TD01__USB2N_9_10__TC</t>
  </si>
  <si>
    <t>KA116.2</t>
  </si>
  <si>
    <t>KA116.8</t>
  </si>
  <si>
    <t>KA116.4</t>
  </si>
  <si>
    <t>KA116.6</t>
  </si>
  <si>
    <t>KA116.3</t>
  </si>
  <si>
    <t>KA116.7</t>
  </si>
  <si>
    <t>KA146.4</t>
  </si>
  <si>
    <t>KA146.6</t>
  </si>
  <si>
    <t>KA146.3</t>
  </si>
  <si>
    <t>KA146.7</t>
  </si>
  <si>
    <t>KA146.2</t>
  </si>
  <si>
    <t>KA146.8</t>
  </si>
  <si>
    <t>CA511.2</t>
  </si>
  <si>
    <t>LA511.1</t>
  </si>
  <si>
    <t>CA512.1</t>
  </si>
  <si>
    <t>LA512.1</t>
  </si>
  <si>
    <t>KA506.8</t>
  </si>
  <si>
    <t>D1_TC_DP12_TD01__PCIE_6_RXN__TXN__TC</t>
  </si>
  <si>
    <t>KA506.6</t>
  </si>
  <si>
    <t>LA511.2</t>
  </si>
  <si>
    <t>KA506.2</t>
  </si>
  <si>
    <t>D1_TC_DP12_TD01__PCIE_6_RXP__TXP__TC</t>
  </si>
  <si>
    <t>KA506.4</t>
  </si>
  <si>
    <t>LA512.2</t>
  </si>
  <si>
    <t>CA513.2</t>
  </si>
  <si>
    <t>LA513.1</t>
  </si>
  <si>
    <t>CA514.1</t>
  </si>
  <si>
    <t>LA514.1</t>
  </si>
  <si>
    <t>KA507.8</t>
  </si>
  <si>
    <t>D1_TC_DP14_TD01__PCIE_7_SATA_0_RXN__TXN__TC</t>
  </si>
  <si>
    <t>KA507.6</t>
  </si>
  <si>
    <t>LA513.2</t>
  </si>
  <si>
    <t>KA507.2</t>
  </si>
  <si>
    <t>D1_TC_DP14_TD01__PCIE_7_SATA_0_RXP__TXP__TC</t>
  </si>
  <si>
    <t>KA507.4</t>
  </si>
  <si>
    <t>LA514.2</t>
  </si>
  <si>
    <t>CA515.2</t>
  </si>
  <si>
    <t>LA515.1</t>
  </si>
  <si>
    <t>CA516.1</t>
  </si>
  <si>
    <t>LA516.1</t>
  </si>
  <si>
    <t>KA508.8</t>
  </si>
  <si>
    <t>D1_TC_DP16_TD01__PCIE_8_SATA_1A_RXN__TXN__TC</t>
  </si>
  <si>
    <t>KA508.6</t>
  </si>
  <si>
    <t>LA515.2</t>
  </si>
  <si>
    <t>KA508.2</t>
  </si>
  <si>
    <t>D1_TC_DP16_TD01__PCIE_8_SATA_1A_RXP__TXP__TC</t>
  </si>
  <si>
    <t>KA508.4</t>
  </si>
  <si>
    <t>LA516.2</t>
  </si>
  <si>
    <t>CA517.2</t>
  </si>
  <si>
    <t>LA517.1</t>
  </si>
  <si>
    <t>CA518.1</t>
  </si>
  <si>
    <t>LA518.1</t>
  </si>
  <si>
    <t>KA509.8</t>
  </si>
  <si>
    <t>D1_TC_DP18_TD01__PCIE_9_LAN_0D_RXN__TXN__TC</t>
  </si>
  <si>
    <t>KA509.6</t>
  </si>
  <si>
    <t>LA517.2</t>
  </si>
  <si>
    <t>KA509.2</t>
  </si>
  <si>
    <t>D1_TC_DP18_TD01__PCIE_9_LAN_0D_RXP__TXP__TC</t>
  </si>
  <si>
    <t>KA509.4</t>
  </si>
  <si>
    <t>LA518.2</t>
  </si>
  <si>
    <t>CA519.2</t>
  </si>
  <si>
    <t>LA519.1</t>
  </si>
  <si>
    <t>CA520.1</t>
  </si>
  <si>
    <t>LA520.1</t>
  </si>
  <si>
    <t>KA510.8</t>
  </si>
  <si>
    <t>D1_TC_DP20_TD01__PCIE_10_LAN_0E_RXN__TXN__TC</t>
  </si>
  <si>
    <t>KA510.6</t>
  </si>
  <si>
    <t>LA519.2</t>
  </si>
  <si>
    <t>KA510.2</t>
  </si>
  <si>
    <t>D1_TC_DP20_TD01__PCIE_10_LAN_0E_RXP__TXP__TC</t>
  </si>
  <si>
    <t>KA510.4</t>
  </si>
  <si>
    <t>LA520.2</t>
  </si>
  <si>
    <t>CA521.2</t>
  </si>
  <si>
    <t>LA521.1</t>
  </si>
  <si>
    <t>CA522.1</t>
  </si>
  <si>
    <t>LA522.1</t>
  </si>
  <si>
    <t>KA511.8</t>
  </si>
  <si>
    <t>D1_TC_DP22_TD01__PCIE_11_SATA_1B_RXN__TXN__TC</t>
  </si>
  <si>
    <t>KA511.6</t>
  </si>
  <si>
    <t>LA521.2</t>
  </si>
  <si>
    <t>KA511.2</t>
  </si>
  <si>
    <t>D1_TC_DP22_TD01__PCIE_11_SATA_1B_RXP__TXP__TC</t>
  </si>
  <si>
    <t>KA511.4</t>
  </si>
  <si>
    <t>LA522.2</t>
  </si>
  <si>
    <t>CA523.2</t>
  </si>
  <si>
    <t>LA523.1</t>
  </si>
  <si>
    <t>CA524.1</t>
  </si>
  <si>
    <t>LA524.1</t>
  </si>
  <si>
    <t>KA512.8</t>
  </si>
  <si>
    <t>D1_TC_DP24_TD01__PCIE_12_SATA_2_RXN__TXN__TC</t>
  </si>
  <si>
    <t>KA512.6</t>
  </si>
  <si>
    <t>LA523.2</t>
  </si>
  <si>
    <t>KA512.2</t>
  </si>
  <si>
    <t>D1_TC_DP24_TD01__PCIE_12_SATA_2_RXP__TXP__TC</t>
  </si>
  <si>
    <t>KA512.4</t>
  </si>
  <si>
    <t>LA524.2</t>
  </si>
  <si>
    <t>CA525.2</t>
  </si>
  <si>
    <t>LA525.1</t>
  </si>
  <si>
    <t>CA526.1</t>
  </si>
  <si>
    <t>LA526.1</t>
  </si>
  <si>
    <t>KA513.8</t>
  </si>
  <si>
    <t>D1_TC_DP26_TD01__USB3_1_RXN__TXN__TC</t>
  </si>
  <si>
    <t>KA513.6</t>
  </si>
  <si>
    <t>LA525.2</t>
  </si>
  <si>
    <t>KA513.2</t>
  </si>
  <si>
    <t>D1_TC_DP26_TD01__USB3_1_RXP__TXP__TC</t>
  </si>
  <si>
    <t>KA513.4</t>
  </si>
  <si>
    <t>LA526.2</t>
  </si>
  <si>
    <t>CA527.2</t>
  </si>
  <si>
    <t>LA527.1</t>
  </si>
  <si>
    <t>CA528.1</t>
  </si>
  <si>
    <t>LA528.1</t>
  </si>
  <si>
    <t>KA514.8</t>
  </si>
  <si>
    <t>D1_TC_DP28_TD01__USB3_2_SSIC_1_RXN__TXN__TC</t>
  </si>
  <si>
    <t>KA514.6</t>
  </si>
  <si>
    <t>LA527.2</t>
  </si>
  <si>
    <t>KA514.2</t>
  </si>
  <si>
    <t>D1_TC_DP28_TD01__USB3_2_SSIC_1_RXP__TXP__TC</t>
  </si>
  <si>
    <t>KA514.4</t>
  </si>
  <si>
    <t>LA528.2</t>
  </si>
  <si>
    <t>CA529.2</t>
  </si>
  <si>
    <t>LA529.1</t>
  </si>
  <si>
    <t>CA530.1</t>
  </si>
  <si>
    <t>LA530.1</t>
  </si>
  <si>
    <t>KA515.8</t>
  </si>
  <si>
    <t>D1_TC_DP30_TD01__USB3_3_SSIC_2_RXN__TXN__TC</t>
  </si>
  <si>
    <t>KA515.6</t>
  </si>
  <si>
    <t>LA529.2</t>
  </si>
  <si>
    <t>KA515.2</t>
  </si>
  <si>
    <t>D1_TC_DP30_TD01__USB3_3_SSIC_2_RXP__TXP__TC</t>
  </si>
  <si>
    <t>KA515.4</t>
  </si>
  <si>
    <t>LA530.2</t>
  </si>
  <si>
    <t>CA531.2</t>
  </si>
  <si>
    <t>LA531.1</t>
  </si>
  <si>
    <t>CA532.1</t>
  </si>
  <si>
    <t>LA532.1</t>
  </si>
  <si>
    <t>KA516.8</t>
  </si>
  <si>
    <t>D1_TC_DP32_TD01__USB3_4_RXN__TXN__TC</t>
  </si>
  <si>
    <t>KA516.6</t>
  </si>
  <si>
    <t>LA531.2</t>
  </si>
  <si>
    <t>KA516.2</t>
  </si>
  <si>
    <t>D1_TC_DP32_TD01__USB3_4_RXP__TXP__TC</t>
  </si>
  <si>
    <t>KA516.4</t>
  </si>
  <si>
    <t>LA532.2</t>
  </si>
  <si>
    <t>D1_TC_DP33_TD03__HVM_CLK_N</t>
  </si>
  <si>
    <t>D1_TC_DP33_TD03__HVM_CLK_P</t>
  </si>
  <si>
    <t>D1_TC_DP34_TD02__EDP_TXN0</t>
  </si>
  <si>
    <t>D1_TC_DP34_TD02__EDP_TXP0</t>
  </si>
  <si>
    <t>D1_TC_DP35_TD02__EDP_TXN1</t>
  </si>
  <si>
    <t>D1_TC_DP35_TD02__EDP_TXP1</t>
  </si>
  <si>
    <t>D1_TC_DP36_TD02__EDP_TXN2</t>
  </si>
  <si>
    <t>D1_TC_DP36_TD02__EDP_TXP2</t>
  </si>
  <si>
    <t>D1_TC_DP37_TD02__EDP_TXN3</t>
  </si>
  <si>
    <t>D1_TC_DP37_TD02__EDP_TXP3</t>
  </si>
  <si>
    <t>D1_TC_DP38_TD02__EDP_AUXN</t>
  </si>
  <si>
    <t>D1_TC_DP38_TD02__EDP_AUXP</t>
  </si>
  <si>
    <t>D1_TC_DP39_TD03__DDI1_AUXN</t>
  </si>
  <si>
    <t>D1_TC_DP39_TD03__DDI1_AUXP</t>
  </si>
  <si>
    <t>D1_TC_DP49_TD03__NOA_STBN0</t>
  </si>
  <si>
    <t>D1_TC_DP49_TD03__NOA_STBP0</t>
  </si>
  <si>
    <t>D1_TC_DP51_SH23_TD01__USB2N_1_2__DDR0_DDR1_MA4__TC</t>
  </si>
  <si>
    <t>KA117.2</t>
  </si>
  <si>
    <t>D1_TC_DP51_SH26_TD01__USB2P_1_2__DDR0_DDR1_MA7_CAA4__TC</t>
  </si>
  <si>
    <t>KA118.8</t>
  </si>
  <si>
    <t>D1_TC_DP52_SH24_TD01__USB2N_3_4__DDR0_DDR1_MA5_CAA0__TC</t>
  </si>
  <si>
    <t>KA117.8</t>
  </si>
  <si>
    <t>D1_TC_DP52_SH27_TD01__USB2P_3_4__DDR0_DDR1_MA8_CAA3__TC</t>
  </si>
  <si>
    <t>KA119.2</t>
  </si>
  <si>
    <t>D1_TC_DP53_SH25_TD01__USB2N_5_6__DDR0_DDR1_MA6_CAA2__TC</t>
  </si>
  <si>
    <t>KA118.2</t>
  </si>
  <si>
    <t>D1_TC_DP53_SH28_TD01__USB2P_5_6__DDR0_DDR1_MA9_CAA1__TC</t>
  </si>
  <si>
    <t>KA119.8</t>
  </si>
  <si>
    <t>KA123.3</t>
  </si>
  <si>
    <t>D1_TC_DP54_SH01_TD03__NOA_N6__DDI1_TXP0__TC</t>
  </si>
  <si>
    <t>KA123.2</t>
  </si>
  <si>
    <t>KA123.7</t>
  </si>
  <si>
    <t>D1_TC_DP54_SH02_TD03__NOA_N2__DDI1_TXN0__TC</t>
  </si>
  <si>
    <t>KA123.8</t>
  </si>
  <si>
    <t>KA124.3</t>
  </si>
  <si>
    <t>D1_TC_DP55_SH03_TD03__NOA_N7__DDI1_TXP1__TC</t>
  </si>
  <si>
    <t>KA124.2</t>
  </si>
  <si>
    <t>KA124.7</t>
  </si>
  <si>
    <t>D1_TC_DP55_SH04_TD03__NOA_N3__DDI1_TXN1__TC</t>
  </si>
  <si>
    <t>KA124.8</t>
  </si>
  <si>
    <t>KA125.3</t>
  </si>
  <si>
    <t>D1_TC_DP56_SH05_TD03__NOA_N8__DDI1_TXP2__TC</t>
  </si>
  <si>
    <t>KA125.2</t>
  </si>
  <si>
    <t>KA125.7</t>
  </si>
  <si>
    <t>D1_TC_DP56_SH06_TD03__NOA_N4__DDI1_TXN2__TC</t>
  </si>
  <si>
    <t>KA125.8</t>
  </si>
  <si>
    <t>KA126.3</t>
  </si>
  <si>
    <t>D1_TC_DP57_SH07_TD03__NOA_N9__DDI1_TXP3__TC</t>
  </si>
  <si>
    <t>KA126.2</t>
  </si>
  <si>
    <t>KA126.7</t>
  </si>
  <si>
    <t>D1_TC_DP57_SH08_TD03__NOA_N5__DDI1_TXN3__TC</t>
  </si>
  <si>
    <t>KA126.8</t>
  </si>
  <si>
    <t>KA127.3</t>
  </si>
  <si>
    <t>D1_TC_DP58_SH09_TD03__NOA_N14__DDI2_TXP0__TC</t>
  </si>
  <si>
    <t>KA127.2</t>
  </si>
  <si>
    <t>KA127.7</t>
  </si>
  <si>
    <t>D1_TC_DP58_SH10_TD03__NOA_N10__DDI2_TXN0__TC</t>
  </si>
  <si>
    <t>KA127.8</t>
  </si>
  <si>
    <t>KA128.3</t>
  </si>
  <si>
    <t>D1_TC_DP59_SH11_TD03__NOA_N15__DDI2_TXP1__TC</t>
  </si>
  <si>
    <t>KA128.2</t>
  </si>
  <si>
    <t>KA128.7</t>
  </si>
  <si>
    <t>D1_TC_DP59_SH12_TD03__NOA_N11__DDI2_TXN1__TC</t>
  </si>
  <si>
    <t>KA128.8</t>
  </si>
  <si>
    <t>KA129.3</t>
  </si>
  <si>
    <t>D1_TC_DP60_SH13_TD03__NOA_STBN1__DDI2_TXP2__TC</t>
  </si>
  <si>
    <t>KA129.2</t>
  </si>
  <si>
    <t>KA129.7</t>
  </si>
  <si>
    <t>D1_TC_DP60_SH14_TD03__NOA_N12__DDI2_TXN2__TC</t>
  </si>
  <si>
    <t>KA129.8</t>
  </si>
  <si>
    <t>KA130.3</t>
  </si>
  <si>
    <t>D1_TC_DP61_SH15_TD03__NOA_STBP1__DDI2_TXP3__TC</t>
  </si>
  <si>
    <t>KA130.2</t>
  </si>
  <si>
    <t>KA130.7</t>
  </si>
  <si>
    <t>D1_TC_DP61_SH16_TD03__NOA_N13__DDI2_TXN3__TC</t>
  </si>
  <si>
    <t>KA130.8</t>
  </si>
  <si>
    <t>KA112.4</t>
  </si>
  <si>
    <t>KA112.6</t>
  </si>
  <si>
    <t>KA112.3</t>
  </si>
  <si>
    <t>KA112.7</t>
  </si>
  <si>
    <t>KA113.4</t>
  </si>
  <si>
    <t>KA113.6</t>
  </si>
  <si>
    <t>KA113.3</t>
  </si>
  <si>
    <t>KA113.7</t>
  </si>
  <si>
    <t>KA114.4</t>
  </si>
  <si>
    <t>KA114.6</t>
  </si>
  <si>
    <t>KA114.3</t>
  </si>
  <si>
    <t>KA114.7</t>
  </si>
  <si>
    <t>D1_TC_DP91_TD02__DDRDQSN_IL00_NIL00</t>
  </si>
  <si>
    <t>D1_TC_DP91_TD02__DDRDQSP_IL00_NIL00</t>
  </si>
  <si>
    <t>D1_TC_DP92_TD02__DDRDQSN_IL01_NIL01</t>
  </si>
  <si>
    <t>D1_TC_DP92_TD02__DDRDQSP_IL01_NIL01</t>
  </si>
  <si>
    <t>D1_TC_DP93_TD02__DDRDQSN_IL10_NIL02</t>
  </si>
  <si>
    <t>D1_TC_DP93_TD02__DDRDQSP_IL10_NIL02</t>
  </si>
  <si>
    <t>D1_TC_DP94_TD02__DDRDQSN_IL11_NIL03</t>
  </si>
  <si>
    <t>D1_TC_DP94_TD02__DDRDQSP_IL11_NIL03</t>
  </si>
  <si>
    <t>D1_TC_DP95_TD02__DDRDQSN_IL02_NIL04</t>
  </si>
  <si>
    <t>D1_TC_DP95_TD02__DDRDQSP_IL02_NIL04</t>
  </si>
  <si>
    <t>D1_TC_DP96_TD02__DDRDQSN_IL03_NIL05</t>
  </si>
  <si>
    <t>D1_TC_DP96_TD02__DDRDQSP_IL03_NIL05</t>
  </si>
  <si>
    <t>D1_TC_DP97_TD02__DDRDQSN_IL12_NIL06</t>
  </si>
  <si>
    <t>D1_TC_DP97_TD02__DDRDQSP_IL12_NIL06</t>
  </si>
  <si>
    <t>D1_TC_DP98_TD02__DDRDQSN_IL13_NIL07</t>
  </si>
  <si>
    <t>D1_TC_DP98_TD02__DDRDQSP_IL13_NIL07</t>
  </si>
  <si>
    <t>D1_TC_DP99_TD02__DDRDQSN_IL04_NIL10</t>
  </si>
  <si>
    <t>D1_TC_DP99_TD02__DDRDQSP_IL04_NIL10</t>
  </si>
  <si>
    <t>KA123.4</t>
  </si>
  <si>
    <t>KA123.6</t>
  </si>
  <si>
    <t>KA124.4</t>
  </si>
  <si>
    <t>KA125.4</t>
  </si>
  <si>
    <t>KA125.6</t>
  </si>
  <si>
    <t>KA126.4</t>
  </si>
  <si>
    <t>KA126.6</t>
  </si>
  <si>
    <t>KA127.4</t>
  </si>
  <si>
    <t>KA127.6</t>
  </si>
  <si>
    <t>KA128.4</t>
  </si>
  <si>
    <t>KA128.6</t>
  </si>
  <si>
    <t>KA129.4</t>
  </si>
  <si>
    <t>KA129.6</t>
  </si>
  <si>
    <t>KA130.4</t>
  </si>
  <si>
    <t>KA130.6</t>
  </si>
  <si>
    <t>KA109.3</t>
  </si>
  <si>
    <t>KA109.4</t>
  </si>
  <si>
    <t>D1_TC_SH17_TD01__GPP_E_18_20_22_DDPB_CTRLCLK__DDR0_DDR1_MA12_CAA6__TC</t>
  </si>
  <si>
    <t>KA109.2</t>
  </si>
  <si>
    <t>KA109.7</t>
  </si>
  <si>
    <t>KA109.6</t>
  </si>
  <si>
    <t>D1_TC_SH18_TD01__GPP_E_19_21_23_DDPB_CTRLDATA__DDR0_DDR1_MA13_CAB0__TC</t>
  </si>
  <si>
    <t>KA109.8</t>
  </si>
  <si>
    <t>KA110.3</t>
  </si>
  <si>
    <t>KA110.4</t>
  </si>
  <si>
    <t>D1_TC_SH19_TD01__L_BKLTCTL__DDR0_DDR1_MA14_CAA9_BG1__TC</t>
  </si>
  <si>
    <t>KA110.2</t>
  </si>
  <si>
    <t>KA110.7</t>
  </si>
  <si>
    <t>KA110.6</t>
  </si>
  <si>
    <t>D1_TC_SH20_TD01__L_BKLTEN__DDR0_DDR1_MA15_CAA8_ACT_N__TC</t>
  </si>
  <si>
    <t>KA110.8</t>
  </si>
  <si>
    <t>KA111.3</t>
  </si>
  <si>
    <t>KA111.4</t>
  </si>
  <si>
    <t>D1_TC_SH21_TD01__L_VDDEN__DDR0_DDR1_MA2_CAB5__TC</t>
  </si>
  <si>
    <t>KA111.2</t>
  </si>
  <si>
    <t>KA111.7</t>
  </si>
  <si>
    <t>KA111.6</t>
  </si>
  <si>
    <t>D1_TC_SH22_TD01__USB2_ID__DDR0_DDR1_MA3__TC</t>
  </si>
  <si>
    <t>KA111.8</t>
  </si>
  <si>
    <t>KA117.3</t>
  </si>
  <si>
    <t>KA117.7</t>
  </si>
  <si>
    <t>KA118.3</t>
  </si>
  <si>
    <t>KA118.7</t>
  </si>
  <si>
    <t>KA119.3</t>
  </si>
  <si>
    <t>KA119.7</t>
  </si>
  <si>
    <t>KA101.4</t>
  </si>
  <si>
    <t>TPA101.1</t>
  </si>
  <si>
    <t>KA101.2</t>
  </si>
  <si>
    <t>KA101.3</t>
  </si>
  <si>
    <t>KA101.6</t>
  </si>
  <si>
    <t>TPA102.1</t>
  </si>
  <si>
    <t>KA101.8</t>
  </si>
  <si>
    <t>KA101.7</t>
  </si>
  <si>
    <t>KA102.4</t>
  </si>
  <si>
    <t>TPA103.1</t>
  </si>
  <si>
    <t>KA102.2</t>
  </si>
  <si>
    <t>KA102.3</t>
  </si>
  <si>
    <t>KA102.6</t>
  </si>
  <si>
    <t>TPA104.1</t>
  </si>
  <si>
    <t>KA102.8</t>
  </si>
  <si>
    <t>KA102.7</t>
  </si>
  <si>
    <t>KA103.4</t>
  </si>
  <si>
    <t>D1_TC_SH33_TD01__CSI2_CLKN_0_3__DDR0_DDR1_CLK_N0__TC</t>
  </si>
  <si>
    <t>KA103.2</t>
  </si>
  <si>
    <t>KA103.3</t>
  </si>
  <si>
    <t>KA103.6</t>
  </si>
  <si>
    <t>D1_TC_SH34_TD01__CSI2_CLKP_0_3__DDR0_DDR1_CLK_N1__TC</t>
  </si>
  <si>
    <t>KA103.8</t>
  </si>
  <si>
    <t>KA103.7</t>
  </si>
  <si>
    <t>KA104.4</t>
  </si>
  <si>
    <t>D1_TC_SH35_TD01__CSI2_DN_0_4_8__DDR0_DDR1_CLK_P0__TC</t>
  </si>
  <si>
    <t>KA104.2</t>
  </si>
  <si>
    <t>KA104.3</t>
  </si>
  <si>
    <t>KA104.6</t>
  </si>
  <si>
    <t>D1_TC_SH36_TD01__CSI2_DN_1_5_9__DDR0_DDR1_CLK_P1__TC</t>
  </si>
  <si>
    <t>KA104.8</t>
  </si>
  <si>
    <t>KA104.7</t>
  </si>
  <si>
    <t>KA105.4</t>
  </si>
  <si>
    <t>D1_TC_SH37_TD01__CSI2_DN_2_6_10__DDR0_DDR1_ODT0__TC</t>
  </si>
  <si>
    <t>KA105.2</t>
  </si>
  <si>
    <t>KA105.3</t>
  </si>
  <si>
    <t>KA105.6</t>
  </si>
  <si>
    <t>D1_TC_SH38_TD01__CSI2_DN_3_7_11__DDR0_DDR1_BA0_CAB4__TC</t>
  </si>
  <si>
    <t>KA105.8</t>
  </si>
  <si>
    <t>KA105.7</t>
  </si>
  <si>
    <t>KA106.4</t>
  </si>
  <si>
    <t>D1_TC_SH39_TD01__CSI2_DP_1_5_9__DDR0_DDR1_BA1_CAB6__TC</t>
  </si>
  <si>
    <t>KA106.2</t>
  </si>
  <si>
    <t>KA106.3</t>
  </si>
  <si>
    <t>KA106.6</t>
  </si>
  <si>
    <t>D1_TC_SH40_TD01__CSI2_DP_2_6_10__DDR0_DDR1_BA2_CAA5_BG0__TC</t>
  </si>
  <si>
    <t>KA106.8</t>
  </si>
  <si>
    <t>KA106.7</t>
  </si>
  <si>
    <t>KA107.4</t>
  </si>
  <si>
    <t>D1_TC_SH41_TD01__CSI2_DP_3_7_11__DDR0_DDR1_MA0_CAB9__TC</t>
  </si>
  <si>
    <t>KA107.2</t>
  </si>
  <si>
    <t>KA107.3</t>
  </si>
  <si>
    <t>KA107.6</t>
  </si>
  <si>
    <t>D1_TC_SH42_TD01__CSI2_DP_0_4_8__DDR0_DDR1_MA1_CAB8__TC</t>
  </si>
  <si>
    <t>KA107.8</t>
  </si>
  <si>
    <t>KA107.7</t>
  </si>
  <si>
    <t>KA108.3</t>
  </si>
  <si>
    <t>KA108.4</t>
  </si>
  <si>
    <t>D1_TC_SH43_TD01__GPP_B_2_VRALERTB__DDR0_DDR1_MA10_CAB7__TC</t>
  </si>
  <si>
    <t>KA108.2</t>
  </si>
  <si>
    <t>KA108.7</t>
  </si>
  <si>
    <t>KA108.8</t>
  </si>
  <si>
    <t>KA140.3</t>
  </si>
  <si>
    <t>KA140.4</t>
  </si>
  <si>
    <t>D1_TC_SH55_TD01__SSP1_SFRM__GPP_F_17_EMMC_DATA4__TC</t>
  </si>
  <si>
    <t>KA140.2</t>
  </si>
  <si>
    <t>KA140.6</t>
  </si>
  <si>
    <t>D1_TC_SH56_TD01__AZA_SDI_0_SSP0_RXD__GPP_F_12_EMMC_CMD__TC</t>
  </si>
  <si>
    <t>KA140.8</t>
  </si>
  <si>
    <t>KA140.7</t>
  </si>
  <si>
    <t>KA141.3</t>
  </si>
  <si>
    <t>KA141.4</t>
  </si>
  <si>
    <t>D1_TC_SH57_TD01__SSP1_TXD__GPP_F_18_EMMC_DATA5__TC</t>
  </si>
  <si>
    <t>KA141.2</t>
  </si>
  <si>
    <t>KA141.6</t>
  </si>
  <si>
    <t>D1_TC_SH58_TD01__AZA_SDO_SSP0_TXD__GPP_F_13_EMMC_DATA0__TC</t>
  </si>
  <si>
    <t>KA141.8</t>
  </si>
  <si>
    <t>KA141.7</t>
  </si>
  <si>
    <t>KA142.3</t>
  </si>
  <si>
    <t>KA142.4</t>
  </si>
  <si>
    <t>D1_TC_SH59_TD01__MLK_DATA__GPP_F_19_EMMC_DATA6__TC</t>
  </si>
  <si>
    <t>KA142.2</t>
  </si>
  <si>
    <t>KA142.6</t>
  </si>
  <si>
    <t>D1_TC_SH60_TD01__AZA_BCLK_SSP0_SCLK__GPP_F_14_EMMC_DATA1__TC</t>
  </si>
  <si>
    <t>KA142.8</t>
  </si>
  <si>
    <t>KA142.7</t>
  </si>
  <si>
    <t>KA143.3</t>
  </si>
  <si>
    <t>KA143.4</t>
  </si>
  <si>
    <t>D1_TC_SH61_TD01__MLK_CLK__GPP_F_20_EMMC_DATA7__TC</t>
  </si>
  <si>
    <t>KA143.2</t>
  </si>
  <si>
    <t>KA143.6</t>
  </si>
  <si>
    <t>D1_TC_SH62_TD01__AZA_SYNC_SSP0_SFRM__GPP_F_15_EMMC_DATA2__TC</t>
  </si>
  <si>
    <t>KA143.8</t>
  </si>
  <si>
    <t>KA143.7</t>
  </si>
  <si>
    <t>KA144.3</t>
  </si>
  <si>
    <t>KA144.4</t>
  </si>
  <si>
    <t>KA144.6</t>
  </si>
  <si>
    <t>D1_TC_SH64_TD01__AZA_RSTB_SSP1_SCLK__GPP_F_16_EMMC_DATA3__TC</t>
  </si>
  <si>
    <t>KA144.8</t>
  </si>
  <si>
    <t>KA144.7</t>
  </si>
  <si>
    <t>KA145.4</t>
  </si>
  <si>
    <t>D1_TC_SH65_TD01__GPP_G_1_SD_DATA0__INTRUDERB__TC</t>
  </si>
  <si>
    <t>KA145.2</t>
  </si>
  <si>
    <t>KA145.3</t>
  </si>
  <si>
    <t>KA145.6</t>
  </si>
  <si>
    <t>D1_TC_SH66_TD01__AZA_SDI_1_SSP1_RXD__GPP_G_2_SD_DATA1__TC</t>
  </si>
  <si>
    <t>KA145.8</t>
  </si>
  <si>
    <t>KA145.7</t>
  </si>
  <si>
    <t>D1_TC_TD01__CPUPWRGD</t>
  </si>
  <si>
    <t>D1_TC_TD01__DRAM_RESETB</t>
  </si>
  <si>
    <t>D1_TC_TD01__DSW_PWROK</t>
  </si>
  <si>
    <t>D1_TC_TD01__FPF_MON</t>
  </si>
  <si>
    <t>D1_TC_TD01__FPF_VREF</t>
  </si>
  <si>
    <t>D1_TC_TD01__GPD_0_BATLOWB</t>
  </si>
  <si>
    <t>D1_TC_TD01__GPD_10_SLP_S5B</t>
  </si>
  <si>
    <t>D1_TC_TD01__GPD_11_LANPHYPC</t>
  </si>
  <si>
    <t>D1_TC_TD01__GPD_1_ACPRESENT</t>
  </si>
  <si>
    <t>D1_TC_TD01__GPD_2_LAN_WAKEB</t>
  </si>
  <si>
    <t>D1_TC_TD01__GPD_4_SLP_S3B</t>
  </si>
  <si>
    <t>D1_TC_TD01__GPD_5_SLP_S4B</t>
  </si>
  <si>
    <t>D1_TC_TD01__GPD_6_SLP_AB</t>
  </si>
  <si>
    <t>D1_TC_TD01__GPD_7_USB2_WAKEOUTB</t>
  </si>
  <si>
    <t>D1_TC_TD01__GPD_8_SUSCLK</t>
  </si>
  <si>
    <t>D1_TC_TD01__GPD_9_SLP_WLANB</t>
  </si>
  <si>
    <t>D1_TC_TD01__GPP_A_0_RCINB</t>
  </si>
  <si>
    <t>D1_TC_TD01__GPP_A_10_CLKOUT_LPC_1</t>
  </si>
  <si>
    <t>TPA202.1</t>
  </si>
  <si>
    <t>D1_TC_TD01__GPP_A_11_PMEB</t>
  </si>
  <si>
    <t>D1_TC_TD01__GPP_A_12_BM_BUSYB_ISH_GP_6</t>
  </si>
  <si>
    <t>D1_TC_TD01__GPP_A_13_SUSWARNB_SUSPWRDNACK</t>
  </si>
  <si>
    <t>D1_TC_TD01__GPP_A_14_SUS_STATB_ESPI_RESETB</t>
  </si>
  <si>
    <t>D1_TC_TD01__GPP_A_15_SUSACKB</t>
  </si>
  <si>
    <t>D1_TC_TD01__GPP_A_16_SD_1P8_SEL</t>
  </si>
  <si>
    <t>D1_TC_TD01__GPP_A_17_SD_PWR_EN_B_ISH_GP_7</t>
  </si>
  <si>
    <t>D1_TC_TD01__GPP_A_18_ISH_GP_0</t>
  </si>
  <si>
    <t>D1_TC_TD01__GPP_A_19_ISH_GP_1</t>
  </si>
  <si>
    <t>D1_TC_TD01__GPP_A_1_LAD_0_ESPI_IO_0</t>
  </si>
  <si>
    <t>D1_TC_TD01__GPP_A_20_ISH_GP_2</t>
  </si>
  <si>
    <t>D1_TC_TD01__GPP_A_21_ISH_GP_3</t>
  </si>
  <si>
    <t>D1_TC_TD01__GPP_A_22_ISH_GP_4</t>
  </si>
  <si>
    <t>D1_TC_TD01__GPP_A_23_ISH_GP_5</t>
  </si>
  <si>
    <t>D1_TC_TD01__GPP_A_2_LAD_1_ESPI_IO_1</t>
  </si>
  <si>
    <t>D1_TC_TD01__GPP_A_3_LAD_2_ESPI_IO_2</t>
  </si>
  <si>
    <t>D1_TC_TD01__GPP_A_4_LAD_3_ESPI_IO_3</t>
  </si>
  <si>
    <t>D1_TC_TD01__GPP_A_5_LFRAMEB_ESPI_CSB</t>
  </si>
  <si>
    <t>D1_TC_TD01__GPP_A_6_SERIRQ</t>
  </si>
  <si>
    <t>D1_TC_TD01__GPP_A_7_PIRQAB</t>
  </si>
  <si>
    <t>D1_TC_TD01__GPP_A_8_CLKRUNB</t>
  </si>
  <si>
    <t>D1_TC_TD01__GPP_A_9_CLKOUT_LPC_0_ESPI_CLK</t>
  </si>
  <si>
    <t>TPA201.1</t>
  </si>
  <si>
    <t>D1_TC_TD01__GPP_B_0_CORE_VID_0</t>
  </si>
  <si>
    <t>D1_TC_TD01__GPP_B_10_SRCCLKREQB_5</t>
  </si>
  <si>
    <t>D1_TC_TD01__GPP_B_11_EXT_PWR_GATEB</t>
  </si>
  <si>
    <t>D1_TC_TD01__GPP_B_12_SLP_S0B</t>
  </si>
  <si>
    <t>D1_TC_TD01__GPP_B_14_SPKR</t>
  </si>
  <si>
    <t>D1_TC_TD01__GPP_B_15_GSPI0_CSB</t>
  </si>
  <si>
    <t>D1_TC_TD01__GPP_B_16_GSPI0_CLK</t>
  </si>
  <si>
    <t>D1_TC_TD01__GPP_B_17_GSPI0_MISO</t>
  </si>
  <si>
    <t>D1_TC_TD01__GPP_B_18_GSPI0_MOSI</t>
  </si>
  <si>
    <t>D1_TC_TD01__GPP_B_19_GSPI1_CSB</t>
  </si>
  <si>
    <t>D1_TC_TD01__GPP_B_1_CORE_VID_1</t>
  </si>
  <si>
    <t>D1_TC_TD01__GPP_B_20_GSPI1_CLK</t>
  </si>
  <si>
    <t>D1_TC_TD01__GPP_B_21_GSPI1_MISO</t>
  </si>
  <si>
    <t>D1_TC_TD01__GPP_B_22_GSPI1_MOSI</t>
  </si>
  <si>
    <t>D1_TC_TD01__GPP_B_23_SML1ALERTB_PCHHOTB</t>
  </si>
  <si>
    <t>D1_TC_TD01__GPP_B_3_CPU_GP_2</t>
  </si>
  <si>
    <t>D1_TC_TD01__GPP_B_4_CPU_GP_3</t>
  </si>
  <si>
    <t>D1_TC_TD01__GPP_B_5_SRCCLKREQB_0</t>
  </si>
  <si>
    <t>D1_TC_TD01__GPP_B_6_SRCCLKREQB_1</t>
  </si>
  <si>
    <t>D1_TC_TD01__GPP_B_7_SRCCLKREQB_2</t>
  </si>
  <si>
    <t>D1_TC_TD01__GPP_B_8_SRCCLKREQB_3</t>
  </si>
  <si>
    <t>D1_TC_TD01__GPP_B_9_SRCCLKREQB_4</t>
  </si>
  <si>
    <t>D1_TC_TD01__GPP_C_0_SMBCLK</t>
  </si>
  <si>
    <t>D1_TC_TD01__GPP_C_10_UART0_RTSB</t>
  </si>
  <si>
    <t>D1_TC_TD01__GPP_C_11_UART0_CTSB</t>
  </si>
  <si>
    <t>D1_TC_TD01__GPP_C_12_UART1_RXD_ISH_UART1_RXD</t>
  </si>
  <si>
    <t>D1_TC_TD01__GPP_C_13_UART1_TXD_ISH_UART1_TXD</t>
  </si>
  <si>
    <t>D1_TC_TD01__GPP_C_14_UART1_RTSB_ISH_UART1_RTSB</t>
  </si>
  <si>
    <t>D1_TC_TD01__GPP_C_15_UART1_CTSB_ISH_UART1_CTSB</t>
  </si>
  <si>
    <t>D1_TC_TD01__GPP_C_16_I2C0_SDA</t>
  </si>
  <si>
    <t>D1_TC_TD01__GPP_C_17_I2C0_SCL</t>
  </si>
  <si>
    <t>D1_TC_TD01__GPP_C_18_I2C1_SDA</t>
  </si>
  <si>
    <t>D1_TC_TD01__GPP_C_19_I2C1_SCL</t>
  </si>
  <si>
    <t>D1_TC_TD01__GPP_C_1_SMBDATA</t>
  </si>
  <si>
    <t>D1_TC_TD01__GPP_C_20_UART2_RXD</t>
  </si>
  <si>
    <t>D1_TC_TD01__GPP_C_21_UART2_TXD</t>
  </si>
  <si>
    <t>D1_TC_TD01__GPP_C_22_UART2_RTSB</t>
  </si>
  <si>
    <t>D1_TC_TD01__GPP_C_23_UART2_CTSB</t>
  </si>
  <si>
    <t>D1_TC_TD01__GPP_C_2_SMBALERTB</t>
  </si>
  <si>
    <t>D1_TC_TD01__GPP_C_3_SML0CLK</t>
  </si>
  <si>
    <t>D1_TC_TD01__GPP_C_4_SML0DATA</t>
  </si>
  <si>
    <t>D1_TC_TD01__GPP_C_5_SML0ALERTB</t>
  </si>
  <si>
    <t>D1_TC_TD01__GPP_C_6_SML1CLK</t>
  </si>
  <si>
    <t>D1_TC_TD01__GPP_C_7_SML1DATA</t>
  </si>
  <si>
    <t>D1_TC_TD01__GPP_C_8_UART0_RXD</t>
  </si>
  <si>
    <t>D1_TC_TD01__GPP_C_9_UART0_TXD</t>
  </si>
  <si>
    <t>D1_TC_TD01__GPP_D_0_SPI1_CSB</t>
  </si>
  <si>
    <t>D1_TC_TD01__GPP_D_10_ISH_SPI_CLK</t>
  </si>
  <si>
    <t>D1_TC_TD01__GPP_D_11_ISH_SPI_MISO</t>
  </si>
  <si>
    <t>D1_TC_TD01__GPP_D_12_ISH_SPI_MOSI</t>
  </si>
  <si>
    <t>D1_TC_TD01__GPP_D_13_ISH_UART0_RXD_SML0BDATA</t>
  </si>
  <si>
    <t>D1_TC_TD01__GPP_D_14_ISH_UART0_TXD_SML0BCLK</t>
  </si>
  <si>
    <t>D1_TC_TD01__GPP_D_15_ISH_UART0_RTSB</t>
  </si>
  <si>
    <t>D1_TC_TD01__GPP_D_16_ISH_UART0_CTSB_SML0BALERTB</t>
  </si>
  <si>
    <t>D1_TC_TD01__GPP_D_17_DMIC_CLK_1</t>
  </si>
  <si>
    <t>D1_TC_TD01__GPP_D_18_DMIC_DATA_1</t>
  </si>
  <si>
    <t>D1_TC_TD01__GPP_D_19_DMIC_CLK_0</t>
  </si>
  <si>
    <t>D1_TC_TD01__GPP_D_1_SPI1_CLK</t>
  </si>
  <si>
    <t>D1_TC_TD01__GPP_D_20_DMIC_DATA_0</t>
  </si>
  <si>
    <t>D1_TC_TD01__GPP_D_21_SPI1_IO_2</t>
  </si>
  <si>
    <t>D1_TC_TD01__GPP_D_22_SPI1_IO_3</t>
  </si>
  <si>
    <t>D1_TC_TD01__GPP_D_23_SSP_MCLK</t>
  </si>
  <si>
    <t>D1_TC_TD01__GPP_D_2_SPI1_MISO_IO_1</t>
  </si>
  <si>
    <t>D1_TC_TD01__GPP_D_3_SPI1_MOSI_IO_0</t>
  </si>
  <si>
    <t>D1_TC_TD01__GPP_D_4_FLASHTRIG</t>
  </si>
  <si>
    <t>D1_TC_TD01__GPP_D_5_ISH_I2C0_SDA</t>
  </si>
  <si>
    <t>D1_TC_TD01__GPP_D_6_ISH_I2C0_SCL</t>
  </si>
  <si>
    <t>D1_TC_TD01__GPP_D_7_ISH_I2C1_SDA</t>
  </si>
  <si>
    <t>D1_TC_TD01__GPP_D_8_ISH_I2C1_SCL</t>
  </si>
  <si>
    <t>D1_TC_TD01__GPP_D_9_ISH_SPI_CSB</t>
  </si>
  <si>
    <t>D1_TC_TD01__GPP_E_0_SATAXPCIE_0_SATAGP_0</t>
  </si>
  <si>
    <t>D1_TC_TD01__GPP_E_10_USB2_OCB_1</t>
  </si>
  <si>
    <t>D1_TC_TD01__GPP_E_11_USB2_OCB_2</t>
  </si>
  <si>
    <t>D1_TC_TD01__GPP_E_12_USB2_OCB_3</t>
  </si>
  <si>
    <t>D1_TC_TD01__GPP_E_13_DDSP_HPD_0_1_2_3</t>
  </si>
  <si>
    <t>D1_TC_TD01__GPP_E_17_EDP_HPD</t>
  </si>
  <si>
    <t>D1_TC_TD01__GPP_E_1_SATAXPCIE_1_SATAGP_1</t>
  </si>
  <si>
    <t>D1_TC_TD01__GPP_E_2_SATAXPCIE_2_SATAGP_2</t>
  </si>
  <si>
    <t>D1_TC_TD01__GPP_E_3_CPU_GP_0</t>
  </si>
  <si>
    <t>D1_TC_TD01__GPP_E_4_SATA_DEVSLP_0</t>
  </si>
  <si>
    <t>D1_TC_TD01__GPP_E_5_SATA_DEVSLP_1</t>
  </si>
  <si>
    <t>D1_TC_TD01__GPP_E_6_SATA_DEVSLP_2</t>
  </si>
  <si>
    <t>D1_TC_TD01__GPP_E_7_CPU_GP_1</t>
  </si>
  <si>
    <t>D1_TC_TD01__GPP_E_8_SATA_LEDB</t>
  </si>
  <si>
    <t>D1_TC_TD01__GPP_E_9_USB2_OCB_0</t>
  </si>
  <si>
    <t>D1_TC_TD01__GPP_F_0_SSP2_SCLK</t>
  </si>
  <si>
    <t>D1_TC_TD01__GPP_F_1_SSP2_SFRM</t>
  </si>
  <si>
    <t>D1_TC_TD01__GPP_F_21_EMMC_RCLK</t>
  </si>
  <si>
    <t>D1_TC_TD01__GPP_F_22_EMMC_CLK</t>
  </si>
  <si>
    <t>D1_TC_TD01__GPP_F_2_SSP2_TXD</t>
  </si>
  <si>
    <t>D1_TC_TD01__GPP_F_3_SSP2_RXD</t>
  </si>
  <si>
    <t>D1_TC_TD01__GPP_G_0_SD_CMD</t>
  </si>
  <si>
    <t>D1_TC_TD01__GPP_G_3_SD_DATA2</t>
  </si>
  <si>
    <t>D1_TC_TD01__GPP_G_4_SD_DATA3</t>
  </si>
  <si>
    <t>D1_TC_TD01__GPP_G_5_SD_CDB</t>
  </si>
  <si>
    <t>D1_TC_TD01__GPP_G_6_SD_CLK</t>
  </si>
  <si>
    <t>D1_TC_TD01__GPP_G_7_SD_WP</t>
  </si>
  <si>
    <t>D1_TC_TD01__ITP_PMODE</t>
  </si>
  <si>
    <t>D1_TC_TD01__JTAGX</t>
  </si>
  <si>
    <t>D1_TC_TD01__PCH_EDM</t>
  </si>
  <si>
    <t>D1_TC_TD01__PCH_JTAG_TCK</t>
  </si>
  <si>
    <t>D1_TC_TD01__PCH_JTAG_TDI</t>
  </si>
  <si>
    <t>D1_TC_TD01__PCH_JTAG_TDO</t>
  </si>
  <si>
    <t>D1_TC_TD01__PCH_JTAG_TMS</t>
  </si>
  <si>
    <t>D1_TC_TD01__PCH_PWROK</t>
  </si>
  <si>
    <t>D1_TC_TD01__PCH_TRSTB</t>
  </si>
  <si>
    <t>RA147.2</t>
  </si>
  <si>
    <t>RA148.2</t>
  </si>
  <si>
    <t>D1_TC_TD01__PECI__TC</t>
  </si>
  <si>
    <t>RA147.1</t>
  </si>
  <si>
    <t>D1_TC_TD01__PGDMON</t>
  </si>
  <si>
    <t>D1_TC_TD01__POPIICCCTL</t>
  </si>
  <si>
    <t>RA134.1</t>
  </si>
  <si>
    <t>D1_TC_TD01__POPIICCCTL__TC</t>
  </si>
  <si>
    <t>RA134.2</t>
  </si>
  <si>
    <t>D1_TC_TD01__RSMRSTB</t>
  </si>
  <si>
    <t>KA137.2</t>
  </si>
  <si>
    <t>KA137.8</t>
  </si>
  <si>
    <t>D1_TC_TD01__RTCX1__TC</t>
  </si>
  <si>
    <t>KA137.4</t>
  </si>
  <si>
    <t>KA138.8</t>
  </si>
  <si>
    <t>D1_TC_TD01__RTCX2__TC</t>
  </si>
  <si>
    <t>KA137.6</t>
  </si>
  <si>
    <t>RA165.2</t>
  </si>
  <si>
    <t>D1_TC_TD01__RTESTB</t>
  </si>
  <si>
    <t>D1_TC_TD01__SLP_LANB</t>
  </si>
  <si>
    <t>D1_TC_TD01__SLP_SUSB</t>
  </si>
  <si>
    <t>D1_TC_TD01__SPI0_CLK</t>
  </si>
  <si>
    <t>D1_TC_TD01__SPI0_FLASH_0_CSB</t>
  </si>
  <si>
    <t>D1_TC_TD01__SPI0_FLASH_1_CSB</t>
  </si>
  <si>
    <t>D1_TC_TD01__SPI0_IO_2</t>
  </si>
  <si>
    <t>D1_TC_TD01__SPI0_IO_3</t>
  </si>
  <si>
    <t>D1_TC_TD01__SPI0_MISO_IO_1</t>
  </si>
  <si>
    <t>D1_TC_TD01__SPI0_MOSI_IO_0</t>
  </si>
  <si>
    <t>D1_TC_TD01__SPI0_TPM_CSB</t>
  </si>
  <si>
    <t>D1_TC_TD01__SRTCRSTB</t>
  </si>
  <si>
    <t>D1_TC_TD01__SYS_PWROK</t>
  </si>
  <si>
    <t>RA180.2</t>
  </si>
  <si>
    <t>RA181.1</t>
  </si>
  <si>
    <t>RA183.1</t>
  </si>
  <si>
    <t>RA184.1</t>
  </si>
  <si>
    <t>D1_TC_TD01__TD_DFTANATP0__TC</t>
  </si>
  <si>
    <t>RA181.2</t>
  </si>
  <si>
    <t>D1_TC_TD01__TD_DFTANATP1__TC</t>
  </si>
  <si>
    <t>RA184.2</t>
  </si>
  <si>
    <t>D1_TC_TD01__THRMTRIPB</t>
  </si>
  <si>
    <t>D1_TC_TD01__VCCDSW_1P0</t>
  </si>
  <si>
    <t>CA1390.2</t>
  </si>
  <si>
    <t>D1_TC_TD01__VCCRTCEXT</t>
  </si>
  <si>
    <t>CA392.2</t>
  </si>
  <si>
    <t>D1_TC_TD01__WAKEB</t>
  </si>
  <si>
    <t>KA139.8</t>
  </si>
  <si>
    <t>D1_TC_TD01__XTAL_IN__TC</t>
  </si>
  <si>
    <t>KA139.6</t>
  </si>
  <si>
    <t>KA139.2</t>
  </si>
  <si>
    <t>D1_TC_TD01__XTAL_OUT__TC</t>
  </si>
  <si>
    <t>KA139.4</t>
  </si>
  <si>
    <t>RA135.1</t>
  </si>
  <si>
    <t>RA136.2</t>
  </si>
  <si>
    <t>D1_TC_TD02__CPU_POPIRCOMP__TC</t>
  </si>
  <si>
    <t>RA135.2</t>
  </si>
  <si>
    <t>D1_TC_TD02__DDR0_ALERT_N</t>
  </si>
  <si>
    <t>D1_TC_TD02__DDR0_CAS_N_CAB1_MA15</t>
  </si>
  <si>
    <t>D1_TC_TD02__DDR0_CS_N0</t>
  </si>
  <si>
    <t>D1_TC_TD02__DDR0_CS_N1</t>
  </si>
  <si>
    <t>D1_TC_TD02__DDR0_PARITY</t>
  </si>
  <si>
    <t>D1_TC_TD02__DDR0_RAS_N_CAB3_MA16</t>
  </si>
  <si>
    <t>D1_TC_TD02__DDR0_WE_N_CAB2_MA14</t>
  </si>
  <si>
    <t>D1_TC_TD02__DDR1_ALERT_N</t>
  </si>
  <si>
    <t>D1_TC_TD02__DDR1_CAS_N_CAB1_MA15</t>
  </si>
  <si>
    <t>D1_TC_TD02__DDR1_CS_N0</t>
  </si>
  <si>
    <t>D1_TC_TD02__DDR1_CS_N1</t>
  </si>
  <si>
    <t>D1_TC_TD02__DDR1_PARITY</t>
  </si>
  <si>
    <t>D1_TC_TD02__DDR1_RAS_N_CAB3_MA16</t>
  </si>
  <si>
    <t>D1_TC_TD02__DDR1_WE_N_CAB2_MA14</t>
  </si>
  <si>
    <t>D1_TC_TD02__DDRDQ_IL00_NIL000</t>
  </si>
  <si>
    <t>D1_TC_TD02__DDRDQ_IL00_NIL001</t>
  </si>
  <si>
    <t>D1_TC_TD02__DDRDQ_IL00_NIL002</t>
  </si>
  <si>
    <t>D1_TC_TD02__DDRDQ_IL00_NIL003</t>
  </si>
  <si>
    <t>D1_TC_TD02__DDRDQ_IL00_NIL004</t>
  </si>
  <si>
    <t>D1_TC_TD02__DDRDQ_IL00_NIL005</t>
  </si>
  <si>
    <t>D1_TC_TD02__DDRDQ_IL00_NIL006</t>
  </si>
  <si>
    <t>D1_TC_TD02__DDRDQ_IL00_NIL007</t>
  </si>
  <si>
    <t>D1_TC_TD02__DDRDQ_IL01_NIL010</t>
  </si>
  <si>
    <t>D1_TC_TD02__DDRDQ_IL01_NIL011</t>
  </si>
  <si>
    <t>D1_TC_TD02__DDRDQ_IL01_NIL012</t>
  </si>
  <si>
    <t>D1_TC_TD02__DDRDQ_IL01_NIL013</t>
  </si>
  <si>
    <t>D1_TC_TD02__DDRDQ_IL01_NIL014</t>
  </si>
  <si>
    <t>D1_TC_TD02__DDRDQ_IL01_NIL015</t>
  </si>
  <si>
    <t>D1_TC_TD02__DDRDQ_IL01_NIL016</t>
  </si>
  <si>
    <t>D1_TC_TD02__DDRDQ_IL01_NIL017</t>
  </si>
  <si>
    <t>D1_TC_TD02__DDRDQ_IL02_NIL040</t>
  </si>
  <si>
    <t>D1_TC_TD02__DDRDQ_IL02_NIL041</t>
  </si>
  <si>
    <t>D1_TC_TD02__DDRDQ_IL02_NIL042</t>
  </si>
  <si>
    <t>D1_TC_TD02__DDRDQ_IL02_NIL043</t>
  </si>
  <si>
    <t>D1_TC_TD02__DDRDQ_IL02_NIL044</t>
  </si>
  <si>
    <t>D1_TC_TD02__DDRDQ_IL02_NIL045</t>
  </si>
  <si>
    <t>D1_TC_TD02__DDRDQ_IL02_NIL046</t>
  </si>
  <si>
    <t>D1_TC_TD02__DDRDQ_IL02_NIL047</t>
  </si>
  <si>
    <t>D1_TC_TD02__DDRDQ_IL03_NIL050</t>
  </si>
  <si>
    <t>D1_TC_TD02__DDRDQ_IL03_NIL051</t>
  </si>
  <si>
    <t>D1_TC_TD02__DDRDQ_IL03_NIL052</t>
  </si>
  <si>
    <t>D1_TC_TD02__DDRDQ_IL03_NIL053</t>
  </si>
  <si>
    <t>D1_TC_TD02__DDRDQ_IL03_NIL054</t>
  </si>
  <si>
    <t>D1_TC_TD02__DDRDQ_IL03_NIL055</t>
  </si>
  <si>
    <t>D1_TC_TD02__DDRDQ_IL03_NIL056</t>
  </si>
  <si>
    <t>D1_TC_TD02__DDRDQ_IL03_NIL057</t>
  </si>
  <si>
    <t>D1_TC_TD02__DDRDQ_IL04_NIL100</t>
  </si>
  <si>
    <t>D1_TC_TD02__DDRDQ_IL04_NIL101</t>
  </si>
  <si>
    <t>D1_TC_TD02__DDRDQ_IL04_NIL102</t>
  </si>
  <si>
    <t>D1_TC_TD02__DDRDQ_IL04_NIL103</t>
  </si>
  <si>
    <t>D1_TC_TD02__DDRDQ_IL04_NIL104</t>
  </si>
  <si>
    <t>D1_TC_TD02__DDRDQ_IL04_NIL105</t>
  </si>
  <si>
    <t>D1_TC_TD02__DDRDQ_IL04_NIL106</t>
  </si>
  <si>
    <t>D1_TC_TD02__DDRDQ_IL04_NIL107</t>
  </si>
  <si>
    <t>D1_TC_TD02__DDRDQ_IL05_NIL110</t>
  </si>
  <si>
    <t>D1_TC_TD02__DDRDQ_IL05_NIL111</t>
  </si>
  <si>
    <t>D1_TC_TD02__DDRDQ_IL05_NIL112</t>
  </si>
  <si>
    <t>D1_TC_TD02__DDRDQ_IL05_NIL113</t>
  </si>
  <si>
    <t>D1_TC_TD02__DDRDQ_IL05_NIL114</t>
  </si>
  <si>
    <t>D1_TC_TD02__DDRDQ_IL05_NIL115</t>
  </si>
  <si>
    <t>D1_TC_TD02__DDRDQ_IL05_NIL116</t>
  </si>
  <si>
    <t>D1_TC_TD02__DDRDQ_IL05_NIL117</t>
  </si>
  <si>
    <t>D1_TC_TD02__DDRDQ_IL06_NIL140</t>
  </si>
  <si>
    <t>D1_TC_TD02__DDRDQ_IL06_NIL141</t>
  </si>
  <si>
    <t>D1_TC_TD02__DDRDQ_IL06_NIL142</t>
  </si>
  <si>
    <t>D1_TC_TD02__DDRDQ_IL06_NIL143</t>
  </si>
  <si>
    <t>D1_TC_TD02__DDRDQ_IL06_NIL144</t>
  </si>
  <si>
    <t>D1_TC_TD02__DDRDQ_IL06_NIL145</t>
  </si>
  <si>
    <t>D1_TC_TD02__DDRDQ_IL06_NIL146</t>
  </si>
  <si>
    <t>D1_TC_TD02__DDRDQ_IL06_NIL147</t>
  </si>
  <si>
    <t>D1_TC_TD02__DDRDQ_IL07_NIL150</t>
  </si>
  <si>
    <t>D1_TC_TD02__DDRDQ_IL07_NIL151</t>
  </si>
  <si>
    <t>D1_TC_TD02__DDRDQ_IL07_NIL152</t>
  </si>
  <si>
    <t>D1_TC_TD02__DDRDQ_IL07_NIL153</t>
  </si>
  <si>
    <t>D1_TC_TD02__DDRDQ_IL07_NIL154</t>
  </si>
  <si>
    <t>D1_TC_TD02__DDRDQ_IL07_NIL155</t>
  </si>
  <si>
    <t>D1_TC_TD02__DDRDQ_IL07_NIL156</t>
  </si>
  <si>
    <t>D1_TC_TD02__DDRDQ_IL07_NIL157</t>
  </si>
  <si>
    <t>D1_TC_TD02__DDRDQ_IL10_NIL020</t>
  </si>
  <si>
    <t>D1_TC_TD02__DDRDQ_IL10_NIL021</t>
  </si>
  <si>
    <t>D1_TC_TD02__DDRDQ_IL10_NIL022</t>
  </si>
  <si>
    <t>D1_TC_TD02__DDRDQ_IL10_NIL023</t>
  </si>
  <si>
    <t>D1_TC_TD02__DDRDQ_IL10_NIL024</t>
  </si>
  <si>
    <t>D1_TC_TD02__DDRDQ_IL10_NIL025</t>
  </si>
  <si>
    <t>D1_TC_TD02__DDRDQ_IL10_NIL026</t>
  </si>
  <si>
    <t>D1_TC_TD02__DDRDQ_IL10_NIL027</t>
  </si>
  <si>
    <t>D1_TC_TD02__DDRDQ_IL11_NIL030</t>
  </si>
  <si>
    <t>D1_TC_TD02__DDRDQ_IL11_NIL031</t>
  </si>
  <si>
    <t>D1_TC_TD02__DDRDQ_IL11_NIL032</t>
  </si>
  <si>
    <t>D1_TC_TD02__DDRDQ_IL11_NIL033</t>
  </si>
  <si>
    <t>D1_TC_TD02__DDRDQ_IL11_NIL034</t>
  </si>
  <si>
    <t>D1_TC_TD02__DDRDQ_IL11_NIL035</t>
  </si>
  <si>
    <t>D1_TC_TD02__DDRDQ_IL11_NIL036</t>
  </si>
  <si>
    <t>D1_TC_TD02__DDRDQ_IL11_NIL037</t>
  </si>
  <si>
    <t>D1_TC_TD02__DDRDQ_IL12_NIL060</t>
  </si>
  <si>
    <t>D1_TC_TD02__DDRDQ_IL12_NIL061</t>
  </si>
  <si>
    <t>D1_TC_TD02__DDRDQ_IL12_NIL062</t>
  </si>
  <si>
    <t>D1_TC_TD02__DDRDQ_IL12_NIL063</t>
  </si>
  <si>
    <t>D1_TC_TD02__DDRDQ_IL12_NIL064</t>
  </si>
  <si>
    <t>D1_TC_TD02__DDRDQ_IL12_NIL065</t>
  </si>
  <si>
    <t>D1_TC_TD02__DDRDQ_IL12_NIL066</t>
  </si>
  <si>
    <t>D1_TC_TD02__DDRDQ_IL12_NIL067</t>
  </si>
  <si>
    <t>D1_TC_TD02__DDRDQ_IL13_NIL070</t>
  </si>
  <si>
    <t>D1_TC_TD02__DDRDQ_IL13_NIL071</t>
  </si>
  <si>
    <t>D1_TC_TD02__DDRDQ_IL13_NIL072</t>
  </si>
  <si>
    <t>D1_TC_TD02__DDRDQ_IL13_NIL073</t>
  </si>
  <si>
    <t>D1_TC_TD02__DDRDQ_IL13_NIL074</t>
  </si>
  <si>
    <t>D1_TC_TD02__DDRDQ_IL13_NIL075</t>
  </si>
  <si>
    <t>D1_TC_TD02__DDRDQ_IL13_NIL076</t>
  </si>
  <si>
    <t>D1_TC_TD02__DDRDQ_IL13_NIL077</t>
  </si>
  <si>
    <t>D1_TC_TD02__DDRDQ_IL14_NIL120</t>
  </si>
  <si>
    <t>D1_TC_TD02__DDRDQ_IL14_NIL121</t>
  </si>
  <si>
    <t>D1_TC_TD02__DDRDQ_IL14_NIL122</t>
  </si>
  <si>
    <t>D1_TC_TD02__DDRDQ_IL14_NIL123</t>
  </si>
  <si>
    <t>D1_TC_TD02__DDRDQ_IL14_NIL124</t>
  </si>
  <si>
    <t>D1_TC_TD02__DDRDQ_IL14_NIL125</t>
  </si>
  <si>
    <t>D1_TC_TD02__DDRDQ_IL14_NIL126</t>
  </si>
  <si>
    <t>D1_TC_TD02__DDRDQ_IL14_NIL127</t>
  </si>
  <si>
    <t>D1_TC_TD02__DDRDQ_IL15_NIL130</t>
  </si>
  <si>
    <t>D1_TC_TD02__DDRDQ_IL15_NIL131</t>
  </si>
  <si>
    <t>D1_TC_TD02__DDRDQ_IL15_NIL132</t>
  </si>
  <si>
    <t>D1_TC_TD02__DDRDQ_IL15_NIL133</t>
  </si>
  <si>
    <t>D1_TC_TD02__DDRDQ_IL15_NIL134</t>
  </si>
  <si>
    <t>D1_TC_TD02__DDRDQ_IL15_NIL135</t>
  </si>
  <si>
    <t>D1_TC_TD02__DDRDQ_IL15_NIL136</t>
  </si>
  <si>
    <t>D1_TC_TD02__DDRDQ_IL15_NIL137</t>
  </si>
  <si>
    <t>D1_TC_TD02__DDRDQ_IL16_NIL160</t>
  </si>
  <si>
    <t>D1_TC_TD02__DDRDQ_IL16_NIL161</t>
  </si>
  <si>
    <t>D1_TC_TD02__DDRDQ_IL16_NIL162</t>
  </si>
  <si>
    <t>D1_TC_TD02__DDRDQ_IL16_NIL163</t>
  </si>
  <si>
    <t>D1_TC_TD02__DDRDQ_IL16_NIL164</t>
  </si>
  <si>
    <t>D1_TC_TD02__DDRDQ_IL16_NIL165</t>
  </si>
  <si>
    <t>D1_TC_TD02__DDRDQ_IL16_NIL166</t>
  </si>
  <si>
    <t>D1_TC_TD02__DDRDQ_IL16_NIL167</t>
  </si>
  <si>
    <t>D1_TC_TD02__DDRDQ_IL17_NIL170</t>
  </si>
  <si>
    <t>D1_TC_TD02__DDRDQ_IL17_NIL171</t>
  </si>
  <si>
    <t>D1_TC_TD02__DDRDQ_IL17_NIL172</t>
  </si>
  <si>
    <t>D1_TC_TD02__DDRDQ_IL17_NIL173</t>
  </si>
  <si>
    <t>D1_TC_TD02__DDRDQ_IL17_NIL174</t>
  </si>
  <si>
    <t>D1_TC_TD02__DDRDQ_IL17_NIL175</t>
  </si>
  <si>
    <t>D1_TC_TD02__DDRDQ_IL17_NIL176</t>
  </si>
  <si>
    <t>D1_TC_TD02__DDRDQ_IL17_NIL177</t>
  </si>
  <si>
    <t>D1_TC_TD02__DDR_VTT_CNTL</t>
  </si>
  <si>
    <t>RA101.2</t>
  </si>
  <si>
    <t>RA102.2</t>
  </si>
  <si>
    <t>D1_TC_TD02__DP_COMP__TC</t>
  </si>
  <si>
    <t>RA102.1</t>
  </si>
  <si>
    <t>D1_TC_TD02__EDP_DISP_UTIL</t>
  </si>
  <si>
    <t>D1_TC_TD02__FIVR_PROBE_DIG0</t>
  </si>
  <si>
    <t>D1_TC_TD02__FIVR_PROBE_DIG1</t>
  </si>
  <si>
    <t>D1_TC_TD03__CATERR_N</t>
  </si>
  <si>
    <t>D1_TC_TD03__CPU_EDM0</t>
  </si>
  <si>
    <t>D1_TC_TD03__CPU_EDM1</t>
  </si>
  <si>
    <t>D1_TC_TD03__CPU_POPIO_VIEW0</t>
  </si>
  <si>
    <t>D1_TC_TD03__CPU_POPIO_VIEW1</t>
  </si>
  <si>
    <t>RA104.2</t>
  </si>
  <si>
    <t>RA105.1</t>
  </si>
  <si>
    <t>RA106.2</t>
  </si>
  <si>
    <t>RA107.1</t>
  </si>
  <si>
    <t>RA108.2</t>
  </si>
  <si>
    <t>RA109.1</t>
  </si>
  <si>
    <t>D1_TC_TD03__DDR_COMP0__TC</t>
  </si>
  <si>
    <t>RA104.1</t>
  </si>
  <si>
    <t>D1_TC_TD03__DDR_COMP1__TC</t>
  </si>
  <si>
    <t>RA106.1</t>
  </si>
  <si>
    <t>D1_TC_TD03__DDR_COMP2__TC</t>
  </si>
  <si>
    <t>RA108.1</t>
  </si>
  <si>
    <t>D1_TC_TD03__DDR_VIEW0</t>
  </si>
  <si>
    <t>D1_TC_TD03__DDR_VIEW1</t>
  </si>
  <si>
    <t>KA120.8</t>
  </si>
  <si>
    <t>D1_TC_TD03__DDR_VREF_CA__TC</t>
  </si>
  <si>
    <t>KA120.5</t>
  </si>
  <si>
    <t>KA121.8</t>
  </si>
  <si>
    <t>KA122.8</t>
  </si>
  <si>
    <t>D1_TC_TD03__DDR_VREF_DQ0__TC</t>
  </si>
  <si>
    <t>KA121.5</t>
  </si>
  <si>
    <t>D1_TC_TD03__DDR_VREF_DQ1__TC</t>
  </si>
  <si>
    <t>KA122.5</t>
  </si>
  <si>
    <t>D1_TC_TD03__EXTBGREF</t>
  </si>
  <si>
    <t>D1_TC_TD03__LGC_SPARE0</t>
  </si>
  <si>
    <t>D1_TC_TD03__LGC_SPARE1</t>
  </si>
  <si>
    <t>D1_TC_TD03__MBP_N0</t>
  </si>
  <si>
    <t>D1_TC_TD03__MBP_N1</t>
  </si>
  <si>
    <t>D1_TC_TD03__MBP_N2</t>
  </si>
  <si>
    <t>D1_TC_TD03__MBP_N3</t>
  </si>
  <si>
    <t>D1_TC_TD03__NOA_N0</t>
  </si>
  <si>
    <t>D1_TC_TD03__NOA_N1</t>
  </si>
  <si>
    <t>D1_TC_TD03__PEG_VIEW2</t>
  </si>
  <si>
    <t>D1_TC_TD03__PEG_VIEW3</t>
  </si>
  <si>
    <t>D1_TC_TD03__PROCHOT_N</t>
  </si>
  <si>
    <t>RA177.2</t>
  </si>
  <si>
    <t>RA178.2</t>
  </si>
  <si>
    <t>D1_TC_TD03__VIDALERT_N</t>
  </si>
  <si>
    <t>D1_TC_TD03__VIDSCK</t>
  </si>
  <si>
    <t>D1_TC_TD03__VIDSOUT</t>
  </si>
  <si>
    <t>RA177.1</t>
  </si>
  <si>
    <t>RA178.1</t>
  </si>
  <si>
    <t>RA120.2</t>
  </si>
  <si>
    <t>RA121.2</t>
  </si>
  <si>
    <t>RA133.2</t>
  </si>
  <si>
    <t>RA137.2</t>
  </si>
  <si>
    <t>RA103.2</t>
  </si>
  <si>
    <t>RA103.1</t>
  </si>
  <si>
    <t>RA150.2</t>
  </si>
  <si>
    <t>RA182.1</t>
  </si>
  <si>
    <t>RA179.1</t>
  </si>
  <si>
    <t>KA131.7</t>
  </si>
  <si>
    <t>RA141.1</t>
  </si>
  <si>
    <t>KA131.3</t>
  </si>
  <si>
    <t>RA140.1</t>
  </si>
  <si>
    <t>RA119.1</t>
  </si>
  <si>
    <t>CC501.2</t>
  </si>
  <si>
    <t>LC501.1</t>
  </si>
  <si>
    <t>CC502.1</t>
  </si>
  <si>
    <t>LC502.1</t>
  </si>
  <si>
    <t>KC501.8</t>
  </si>
  <si>
    <t>D3_TC_DP02_TD01__PCIE_1_USB3_5_RXN__TXN__TC</t>
  </si>
  <si>
    <t>KC501.6</t>
  </si>
  <si>
    <t>LC501.2</t>
  </si>
  <si>
    <t>KC501.2</t>
  </si>
  <si>
    <t>D3_TC_DP02_TD01__PCIE_1_USB3_5_RXP__TXP__TC</t>
  </si>
  <si>
    <t>KC501.4</t>
  </si>
  <si>
    <t>LC502.2</t>
  </si>
  <si>
    <t>CC503.2</t>
  </si>
  <si>
    <t>LC503.1</t>
  </si>
  <si>
    <t>CC504.1</t>
  </si>
  <si>
    <t>LC504.1</t>
  </si>
  <si>
    <t>KC502.8</t>
  </si>
  <si>
    <t>D3_TC_DP04_TD01__PCIE_2_UFS_0A_USB3_6_RXN__TXN__TC</t>
  </si>
  <si>
    <t>KC502.6</t>
  </si>
  <si>
    <t>LC503.2</t>
  </si>
  <si>
    <t>KC502.2</t>
  </si>
  <si>
    <t>D3_TC_DP04_TD01__PCIE_2_UFS_0A_USB3_6_RXP__TXP__TC</t>
  </si>
  <si>
    <t>KC502.4</t>
  </si>
  <si>
    <t>LC504.2</t>
  </si>
  <si>
    <t>CC505.2</t>
  </si>
  <si>
    <t>LC505.1</t>
  </si>
  <si>
    <t>CC506.1</t>
  </si>
  <si>
    <t>LC506.1</t>
  </si>
  <si>
    <t>KC503.8</t>
  </si>
  <si>
    <t>D3_TC_DP06_TD01__PCIE_3_UFS_0B_LAN_0A_RXN__TXN__TC</t>
  </si>
  <si>
    <t>KC503.6</t>
  </si>
  <si>
    <t>LC505.2</t>
  </si>
  <si>
    <t>KC503.2</t>
  </si>
  <si>
    <t>D3_TC_DP06_TD01__PCIE_3_UFS_0B_LAN_0A_RXP__TXP__TC</t>
  </si>
  <si>
    <t>KC503.4</t>
  </si>
  <si>
    <t>LC506.2</t>
  </si>
  <si>
    <t>CC507.2</t>
  </si>
  <si>
    <t>LC507.1</t>
  </si>
  <si>
    <t>CC508.1</t>
  </si>
  <si>
    <t>LC508.1</t>
  </si>
  <si>
    <t>KC504.8</t>
  </si>
  <si>
    <t>D3_TC_DP08_TD01__PCIE_4_LAN_0B_RXN__TXN__TC</t>
  </si>
  <si>
    <t>KC504.6</t>
  </si>
  <si>
    <t>LC507.2</t>
  </si>
  <si>
    <t>KC504.2</t>
  </si>
  <si>
    <t>D3_TC_DP08_TD01__PCIE_4_LAN_0B_RXP__TXP__TC</t>
  </si>
  <si>
    <t>KC504.4</t>
  </si>
  <si>
    <t>LC508.2</t>
  </si>
  <si>
    <t>CC509.2</t>
  </si>
  <si>
    <t>LC509.1</t>
  </si>
  <si>
    <t>CC510.1</t>
  </si>
  <si>
    <t>LC510.1</t>
  </si>
  <si>
    <t>KC505.8</t>
  </si>
  <si>
    <t>D3_TC_DP10_TD01__PCIE_5_LAN_0C_RXN__TXN__TC</t>
  </si>
  <si>
    <t>KC505.6</t>
  </si>
  <si>
    <t>LC509.2</t>
  </si>
  <si>
    <t>KC505.2</t>
  </si>
  <si>
    <t>D3_TC_DP10_TD01__PCIE_5_LAN_0C_RXP__TXP__TC</t>
  </si>
  <si>
    <t>KC505.4</t>
  </si>
  <si>
    <t>LC510.2</t>
  </si>
  <si>
    <t>CC511.2</t>
  </si>
  <si>
    <t>LC511.1</t>
  </si>
  <si>
    <t>CC512.1</t>
  </si>
  <si>
    <t>LC512.1</t>
  </si>
  <si>
    <t>KC506.8</t>
  </si>
  <si>
    <t>D3_TC_DP12_TD01__PCIE_6_RXN__TXN__TC</t>
  </si>
  <si>
    <t>KC506.6</t>
  </si>
  <si>
    <t>LC511.2</t>
  </si>
  <si>
    <t>KC506.2</t>
  </si>
  <si>
    <t>D3_TC_DP12_TD01__PCIE_6_RXP__TXP__TC</t>
  </si>
  <si>
    <t>KC506.4</t>
  </si>
  <si>
    <t>LC512.2</t>
  </si>
  <si>
    <t>CC513.2</t>
  </si>
  <si>
    <t>LC513.1</t>
  </si>
  <si>
    <t>CC514.1</t>
  </si>
  <si>
    <t>LC514.1</t>
  </si>
  <si>
    <t>KC507.8</t>
  </si>
  <si>
    <t>D3_TC_DP14_TD01__PCIE_7_SATA_0_RXN__TXN__TC</t>
  </si>
  <si>
    <t>KC507.6</t>
  </si>
  <si>
    <t>LC513.2</t>
  </si>
  <si>
    <t>KC507.2</t>
  </si>
  <si>
    <t>D3_TC_DP14_TD01__PCIE_7_SATA_0_RXP__TXP__TC</t>
  </si>
  <si>
    <t>KC507.4</t>
  </si>
  <si>
    <t>LC514.2</t>
  </si>
  <si>
    <t>CC515.2</t>
  </si>
  <si>
    <t>LC515.1</t>
  </si>
  <si>
    <t>CC516.1</t>
  </si>
  <si>
    <t>LC516.1</t>
  </si>
  <si>
    <t>KC508.8</t>
  </si>
  <si>
    <t>D3_TC_DP16_TD01__PCIE_8_SATA_1A_RXN__TXN__TC</t>
  </si>
  <si>
    <t>KC508.6</t>
  </si>
  <si>
    <t>LC515.2</t>
  </si>
  <si>
    <t>KC508.2</t>
  </si>
  <si>
    <t>D3_TC_DP16_TD01__PCIE_8_SATA_1A_RXP__TXP__TC</t>
  </si>
  <si>
    <t>KC508.4</t>
  </si>
  <si>
    <t>LC516.2</t>
  </si>
  <si>
    <t>CC517.2</t>
  </si>
  <si>
    <t>LC517.1</t>
  </si>
  <si>
    <t>CC518.1</t>
  </si>
  <si>
    <t>LC518.1</t>
  </si>
  <si>
    <t>KC509.8</t>
  </si>
  <si>
    <t>D3_TC_DP18_TD01__PCIE_9_LAN_0D_RXN__TXN__TC</t>
  </si>
  <si>
    <t>KC509.6</t>
  </si>
  <si>
    <t>LC517.2</t>
  </si>
  <si>
    <t>KC509.2</t>
  </si>
  <si>
    <t>D3_TC_DP18_TD01__PCIE_9_LAN_0D_RXP__TXP__TC</t>
  </si>
  <si>
    <t>KC509.4</t>
  </si>
  <si>
    <t>LC518.2</t>
  </si>
  <si>
    <t>CC519.2</t>
  </si>
  <si>
    <t>LC519.1</t>
  </si>
  <si>
    <t>CC520.1</t>
  </si>
  <si>
    <t>LC520.1</t>
  </si>
  <si>
    <t>KC510.8</t>
  </si>
  <si>
    <t>D3_TC_DP20_TD01__PCIE_10_LAN_0E_RXN__TXN__TC</t>
  </si>
  <si>
    <t>KC510.6</t>
  </si>
  <si>
    <t>LC519.2</t>
  </si>
  <si>
    <t>KC510.2</t>
  </si>
  <si>
    <t>D3_TC_DP20_TD01__PCIE_10_LAN_0E_RXP__TXP__TC</t>
  </si>
  <si>
    <t>KC510.4</t>
  </si>
  <si>
    <t>LC520.2</t>
  </si>
  <si>
    <t>CC521.2</t>
  </si>
  <si>
    <t>LC521.1</t>
  </si>
  <si>
    <t>CC522.1</t>
  </si>
  <si>
    <t>LC522.1</t>
  </si>
  <si>
    <t>KC511.8</t>
  </si>
  <si>
    <t>D3_TC_DP22_TD01__PCIE_11_SATA_1B_RXN__TXN__TC</t>
  </si>
  <si>
    <t>KC511.6</t>
  </si>
  <si>
    <t>LC521.2</t>
  </si>
  <si>
    <t>KC511.2</t>
  </si>
  <si>
    <t>D3_TC_DP22_TD01__PCIE_11_SATA_1B_RXP__TXP__TC</t>
  </si>
  <si>
    <t>KC511.4</t>
  </si>
  <si>
    <t>LC522.2</t>
  </si>
  <si>
    <t>CC523.2</t>
  </si>
  <si>
    <t>LC523.1</t>
  </si>
  <si>
    <t>CC524.1</t>
  </si>
  <si>
    <t>LC524.1</t>
  </si>
  <si>
    <t>KC512.8</t>
  </si>
  <si>
    <t>D3_TC_DP24_TD01__PCIE_12_SATA_2_RXN__TXN__TC</t>
  </si>
  <si>
    <t>KC512.6</t>
  </si>
  <si>
    <t>LC523.2</t>
  </si>
  <si>
    <t>KC512.2</t>
  </si>
  <si>
    <t>D3_TC_DP24_TD01__PCIE_12_SATA_2_RXP__TXP__TC</t>
  </si>
  <si>
    <t>KC512.4</t>
  </si>
  <si>
    <t>LC524.2</t>
  </si>
  <si>
    <t>D3_TC_DP34_TD02__EDP_TXN0</t>
  </si>
  <si>
    <t>D3_TC_DP34_TD02__EDP_TXP0</t>
  </si>
  <si>
    <t>D3_TC_DP35_TD02__EDP_TXN1</t>
  </si>
  <si>
    <t>D3_TC_DP35_TD02__EDP_TXP1</t>
  </si>
  <si>
    <t>D3_TC_DP36_TD02__EDP_TXN2</t>
  </si>
  <si>
    <t>D3_TC_DP36_TD02__EDP_TXP2</t>
  </si>
  <si>
    <t>D3_TC_DP37_TD02__EDP_TXN3</t>
  </si>
  <si>
    <t>D3_TC_DP37_TD02__EDP_TXP3</t>
  </si>
  <si>
    <t>D3_TC_DP38_TD02__EDP_AUXN</t>
  </si>
  <si>
    <t>D3_TC_DP38_TD02__EDP_AUXP</t>
  </si>
  <si>
    <t>D3_TC_DP39_TD03__DDI1_AUXN</t>
  </si>
  <si>
    <t>D3_TC_DP39_TD03__DDI1_AUXP</t>
  </si>
  <si>
    <t>D3_TC_TD01__GPP_B_23_SML1ALERTB_PCHHOTB</t>
  </si>
  <si>
    <t>D3_TC_TD01__GPP_C_0_SMBCLK</t>
  </si>
  <si>
    <t>D3_TC_TD01__GPP_C_1_SMBDATA</t>
  </si>
  <si>
    <t>D3_TC_TD01__GPP_C_2_SMBALERTB</t>
  </si>
  <si>
    <t>D3_TC_TD01__GPP_C_3_SML0CLK</t>
  </si>
  <si>
    <t>D3_TC_TD01__GPP_C_4_SML0DATA</t>
  </si>
  <si>
    <t>D3_TC_TD01__GPP_C_5_SML0ALERTB</t>
  </si>
  <si>
    <t>D3_TC_TD01__GPP_C_6_SML1CLK</t>
  </si>
  <si>
    <t>D3_TC_TD01__GPP_C_7_SML1DATA</t>
  </si>
  <si>
    <t>D3_TC_TD01__GPP_E_17_EDP_HPD</t>
  </si>
  <si>
    <t>RC101.2</t>
  </si>
  <si>
    <t>RC102.2</t>
  </si>
  <si>
    <t>D3_TC_TD02__DP_COMP__TC</t>
  </si>
  <si>
    <t>RC102.1</t>
  </si>
  <si>
    <t>D3_TC_TD02__EDP_DISP_UTIL</t>
  </si>
  <si>
    <t>D3_TC_TD03__PEG_VIEW2</t>
  </si>
  <si>
    <t>D3_TC_TD03__PEG_VIEW3</t>
  </si>
  <si>
    <t>RC103.2</t>
  </si>
  <si>
    <t>RC103.1</t>
  </si>
  <si>
    <t>J1501.CS14</t>
  </si>
  <si>
    <t>J1501.DS14</t>
  </si>
  <si>
    <t>J1501.CS13</t>
  </si>
  <si>
    <t>J1501.DS13</t>
  </si>
  <si>
    <t>J1501.CS12</t>
  </si>
  <si>
    <t>J1501.DS12</t>
  </si>
  <si>
    <t>J1501.CS11</t>
  </si>
  <si>
    <t>J1501.DS11</t>
  </si>
  <si>
    <t>J1501.CS10</t>
  </si>
  <si>
    <t>J1501.DS10</t>
  </si>
  <si>
    <t>J1501.CS9</t>
  </si>
  <si>
    <t>J1501.DS9</t>
  </si>
  <si>
    <t>J1501.CS8</t>
  </si>
  <si>
    <t>J1501.DS8</t>
  </si>
  <si>
    <t>J1501.CS7</t>
  </si>
  <si>
    <t>J1501.DS7</t>
  </si>
  <si>
    <t>J1501.CS6</t>
  </si>
  <si>
    <t>J1501.DS6</t>
  </si>
  <si>
    <t>J1501.CS4</t>
  </si>
  <si>
    <t>J1501.DS4</t>
  </si>
  <si>
    <t>J1501.CS3</t>
  </si>
  <si>
    <t>J1501.DS3</t>
  </si>
  <si>
    <t>J1501.CS2</t>
  </si>
  <si>
    <t>J1501.DS2</t>
  </si>
  <si>
    <t>J1501.CS1</t>
  </si>
  <si>
    <t>J1501.DS1</t>
  </si>
  <si>
    <t>J1501.BS2</t>
  </si>
  <si>
    <t>J1501.AS2</t>
  </si>
  <si>
    <t>J1501.BS3</t>
  </si>
  <si>
    <t>J1501.AS3</t>
  </si>
  <si>
    <t>J1501.BS4</t>
  </si>
  <si>
    <t>J1501.AS4</t>
  </si>
  <si>
    <t>J1501.BS5</t>
  </si>
  <si>
    <t>J1501.AS5</t>
  </si>
  <si>
    <t>J1501.BS6</t>
  </si>
  <si>
    <t>J1501.AS6</t>
  </si>
  <si>
    <t>J1501.BS7</t>
  </si>
  <si>
    <t>J1501.AS7</t>
  </si>
  <si>
    <t>J1501.BS8</t>
  </si>
  <si>
    <t>J1501.AS8</t>
  </si>
  <si>
    <t>J1501.BS9</t>
  </si>
  <si>
    <t>J1501.AS9</t>
  </si>
  <si>
    <t>J1501.BS14</t>
  </si>
  <si>
    <t>J1501.AS14</t>
  </si>
  <si>
    <t>J1502.CS14</t>
  </si>
  <si>
    <t>J1502.DS14</t>
  </si>
  <si>
    <t>J1502.CS13</t>
  </si>
  <si>
    <t>J1502.DS13</t>
  </si>
  <si>
    <t>J1502.CS12</t>
  </si>
  <si>
    <t>J1502.DS12</t>
  </si>
  <si>
    <t>J1502.CS11</t>
  </si>
  <si>
    <t>J1502.DS11</t>
  </si>
  <si>
    <t>J1502.CS10</t>
  </si>
  <si>
    <t>J1502.DS10</t>
  </si>
  <si>
    <t>J1502.CS9</t>
  </si>
  <si>
    <t>J1502.DS9</t>
  </si>
  <si>
    <t>J1502.CS8</t>
  </si>
  <si>
    <t>J1502.DS8</t>
  </si>
  <si>
    <t>J1502.CS7</t>
  </si>
  <si>
    <t>J1502.DS7</t>
  </si>
  <si>
    <t>J1502.CS6</t>
  </si>
  <si>
    <t>J1502.DS6</t>
  </si>
  <si>
    <t>J1502.CS4</t>
  </si>
  <si>
    <t>J1502.DS4</t>
  </si>
  <si>
    <t>J1502.CS3</t>
  </si>
  <si>
    <t>J1502.DS3</t>
  </si>
  <si>
    <t>J1502.CS2</t>
  </si>
  <si>
    <t>J1502.DS2</t>
  </si>
  <si>
    <t>J1502.CS1</t>
  </si>
  <si>
    <t>J1502.DS1</t>
  </si>
  <si>
    <t>J1502.BS2</t>
  </si>
  <si>
    <t>J1502.AS2</t>
  </si>
  <si>
    <t>J1502.BS3</t>
  </si>
  <si>
    <t>J1502.AS3</t>
  </si>
  <si>
    <t>J1502.BS4</t>
  </si>
  <si>
    <t>J1502.AS4</t>
  </si>
  <si>
    <t>J1502.BS5</t>
  </si>
  <si>
    <t>J1502.AS5</t>
  </si>
  <si>
    <t>J1502.BS6</t>
  </si>
  <si>
    <t>J1502.AS6</t>
  </si>
  <si>
    <t>J1502.BS7</t>
  </si>
  <si>
    <t>J1502.AS7</t>
  </si>
  <si>
    <t>J1502.BS8</t>
  </si>
  <si>
    <t>J1502.AS8</t>
  </si>
  <si>
    <t>J1502.BS9</t>
  </si>
  <si>
    <t>J1502.AS9</t>
  </si>
  <si>
    <t>J1502.BS14</t>
  </si>
  <si>
    <t>J1502.AS14</t>
  </si>
  <si>
    <t>J1503.CS14</t>
  </si>
  <si>
    <t>J1503.DS14</t>
  </si>
  <si>
    <t>J1503.CS13</t>
  </si>
  <si>
    <t>J1503.DS13</t>
  </si>
  <si>
    <t>J1503.CS10</t>
  </si>
  <si>
    <t>J1503.DS10</t>
  </si>
  <si>
    <t>J1503.CS9</t>
  </si>
  <si>
    <t>J1503.DS9</t>
  </si>
  <si>
    <t>J1503.CS8</t>
  </si>
  <si>
    <t>J1503.DS8</t>
  </si>
  <si>
    <t>J1503.CS7</t>
  </si>
  <si>
    <t>J1503.DS7</t>
  </si>
  <si>
    <t>J1503.CS6</t>
  </si>
  <si>
    <t>J1503.DS6</t>
  </si>
  <si>
    <t>J1503.CS4</t>
  </si>
  <si>
    <t>J1503.DS4</t>
  </si>
  <si>
    <t>J1503.CS3</t>
  </si>
  <si>
    <t>J1503.DS3</t>
  </si>
  <si>
    <t>J1503.CS2</t>
  </si>
  <si>
    <t>J1503.DS2</t>
  </si>
  <si>
    <t>J1503.CS1</t>
  </si>
  <si>
    <t>J1503.DS1</t>
  </si>
  <si>
    <t>J1503.BS2</t>
  </si>
  <si>
    <t>J1503.AS2</t>
  </si>
  <si>
    <t>J1503.BS3</t>
  </si>
  <si>
    <t>J1503.AS3</t>
  </si>
  <si>
    <t>J1503.BS4</t>
  </si>
  <si>
    <t>J1503.AS4</t>
  </si>
  <si>
    <t>J1503.BS5</t>
  </si>
  <si>
    <t>J1503.AS5</t>
  </si>
  <si>
    <t>J1503.BS6</t>
  </si>
  <si>
    <t>J1503.AS6</t>
  </si>
  <si>
    <t>J1503.BS7</t>
  </si>
  <si>
    <t>J1503.AS7</t>
  </si>
  <si>
    <t>J1503.BS8</t>
  </si>
  <si>
    <t>J1503.AS8</t>
  </si>
  <si>
    <t>J1503.BS9</t>
  </si>
  <si>
    <t>J1503.AS9</t>
  </si>
  <si>
    <t>J1503.BS14</t>
  </si>
  <si>
    <t>J1503.AS14</t>
  </si>
  <si>
    <t>J1504.CS14</t>
  </si>
  <si>
    <t>J1504.DS14</t>
  </si>
  <si>
    <t>J1504.CS13</t>
  </si>
  <si>
    <t>J1504.DS13</t>
  </si>
  <si>
    <t>J1504.CS12</t>
  </si>
  <si>
    <t>J1504.DS12</t>
  </si>
  <si>
    <t>J1504.CS11</t>
  </si>
  <si>
    <t>J1504.DS11</t>
  </si>
  <si>
    <t>J1504.CS10</t>
  </si>
  <si>
    <t>J1504.DS10</t>
  </si>
  <si>
    <t>J1504.CS9</t>
  </si>
  <si>
    <t>J1504.DS9</t>
  </si>
  <si>
    <t>J1504.CS8</t>
  </si>
  <si>
    <t>J1504.DS8</t>
  </si>
  <si>
    <t>J1504.CS7</t>
  </si>
  <si>
    <t>J1504.DS7</t>
  </si>
  <si>
    <t>J1504.CS6</t>
  </si>
  <si>
    <t>J1504.DS6</t>
  </si>
  <si>
    <t>J1504.CS4</t>
  </si>
  <si>
    <t>J1504.DS4</t>
  </si>
  <si>
    <t>J1504.CS3</t>
  </si>
  <si>
    <t>J1504.DS3</t>
  </si>
  <si>
    <t>J1504.CS2</t>
  </si>
  <si>
    <t>J1504.DS2</t>
  </si>
  <si>
    <t>J1504.CS1</t>
  </si>
  <si>
    <t>J1504.DS1</t>
  </si>
  <si>
    <t>J1504.BS2</t>
  </si>
  <si>
    <t>J1504.AS2</t>
  </si>
  <si>
    <t>J1504.BS3</t>
  </si>
  <si>
    <t>J1504.AS3</t>
  </si>
  <si>
    <t>J1504.BS4</t>
  </si>
  <si>
    <t>J1504.AS4</t>
  </si>
  <si>
    <t>J1504.BS5</t>
  </si>
  <si>
    <t>J1504.AS5</t>
  </si>
  <si>
    <t>J1504.BS6</t>
  </si>
  <si>
    <t>J1504.AS6</t>
  </si>
  <si>
    <t>J1504.BS7</t>
  </si>
  <si>
    <t>J1504.AS7</t>
  </si>
  <si>
    <t>J1504.BS8</t>
  </si>
  <si>
    <t>J1504.AS8</t>
  </si>
  <si>
    <t>J1504.BS9</t>
  </si>
  <si>
    <t>J1504.AS9</t>
  </si>
  <si>
    <t>J1504.BS14</t>
  </si>
  <si>
    <t>J1504.AS14</t>
  </si>
  <si>
    <t>J1505.CS14</t>
  </si>
  <si>
    <t>J1505.DS14</t>
  </si>
  <si>
    <t>J1505.CS13</t>
  </si>
  <si>
    <t>J1505.DS13</t>
  </si>
  <si>
    <t>J1505.CS12</t>
  </si>
  <si>
    <t>J1505.DS12</t>
  </si>
  <si>
    <t>J1505.CS11</t>
  </si>
  <si>
    <t>J1505.DS11</t>
  </si>
  <si>
    <t>J1505.CS10</t>
  </si>
  <si>
    <t>J1505.DS10</t>
  </si>
  <si>
    <t>J1505.CS9</t>
  </si>
  <si>
    <t>J1505.DS9</t>
  </si>
  <si>
    <t>J1505.CS8</t>
  </si>
  <si>
    <t>J1505.DS8</t>
  </si>
  <si>
    <t>J1505.CS7</t>
  </si>
  <si>
    <t>J1505.DS7</t>
  </si>
  <si>
    <t>J1505.CS6</t>
  </si>
  <si>
    <t>J1505.DS6</t>
  </si>
  <si>
    <t>J1505.CS4</t>
  </si>
  <si>
    <t>J1505.DS4</t>
  </si>
  <si>
    <t>J1505.CS3</t>
  </si>
  <si>
    <t>J1505.DS3</t>
  </si>
  <si>
    <t>J1505.CS2</t>
  </si>
  <si>
    <t>J1505.DS2</t>
  </si>
  <si>
    <t>J1505.CS1</t>
  </si>
  <si>
    <t>J1505.DS1</t>
  </si>
  <si>
    <t>J1505.BS2</t>
  </si>
  <si>
    <t>J1505.AS2</t>
  </si>
  <si>
    <t>J1505.BS3</t>
  </si>
  <si>
    <t>J1505.AS3</t>
  </si>
  <si>
    <t>J1505.BS4</t>
  </si>
  <si>
    <t>J1505.AS4</t>
  </si>
  <si>
    <t>J1505.BS5</t>
  </si>
  <si>
    <t>J1505.AS5</t>
  </si>
  <si>
    <t>J1505.BS6</t>
  </si>
  <si>
    <t>J1505.AS6</t>
  </si>
  <si>
    <t>J1505.BS7</t>
  </si>
  <si>
    <t>J1505.AS7</t>
  </si>
  <si>
    <t>J1505.BS8</t>
  </si>
  <si>
    <t>J1505.AS8</t>
  </si>
  <si>
    <t>J1505.BS9</t>
  </si>
  <si>
    <t>J1505.AS9</t>
  </si>
  <si>
    <t>J1505.BS14</t>
  </si>
  <si>
    <t>J1505.AS14</t>
  </si>
  <si>
    <t>J1506.CS14</t>
  </si>
  <si>
    <t>J1506.DS14</t>
  </si>
  <si>
    <t>J1506.CS13</t>
  </si>
  <si>
    <t>J1506.DS13</t>
  </si>
  <si>
    <t>J1506.CS10</t>
  </si>
  <si>
    <t>J1506.DS10</t>
  </si>
  <si>
    <t>J1506.CS9</t>
  </si>
  <si>
    <t>J1506.DS9</t>
  </si>
  <si>
    <t>J1506.CS8</t>
  </si>
  <si>
    <t>J1506.DS8</t>
  </si>
  <si>
    <t>J1506.CS7</t>
  </si>
  <si>
    <t>J1506.DS7</t>
  </si>
  <si>
    <t>J1506.CS6</t>
  </si>
  <si>
    <t>J1506.DS6</t>
  </si>
  <si>
    <t>J1506.CS4</t>
  </si>
  <si>
    <t>J1506.DS4</t>
  </si>
  <si>
    <t>J1506.CS3</t>
  </si>
  <si>
    <t>J1506.DS3</t>
  </si>
  <si>
    <t>J1506.CS2</t>
  </si>
  <si>
    <t>J1506.DS2</t>
  </si>
  <si>
    <t>J1506.CS1</t>
  </si>
  <si>
    <t>J1506.DS1</t>
  </si>
  <si>
    <t>J1506.BS2</t>
  </si>
  <si>
    <t>J1506.AS2</t>
  </si>
  <si>
    <t>J1506.BS3</t>
  </si>
  <si>
    <t>J1506.AS3</t>
  </si>
  <si>
    <t>J1506.BS4</t>
  </si>
  <si>
    <t>J1506.AS4</t>
  </si>
  <si>
    <t>J1506.BS5</t>
  </si>
  <si>
    <t>J1506.AS5</t>
  </si>
  <si>
    <t>J1506.BS6</t>
  </si>
  <si>
    <t>J1506.AS6</t>
  </si>
  <si>
    <t>J1506.BS7</t>
  </si>
  <si>
    <t>J1506.AS7</t>
  </si>
  <si>
    <t>J1506.BS8</t>
  </si>
  <si>
    <t>J1506.AS8</t>
  </si>
  <si>
    <t>J1506.BS9</t>
  </si>
  <si>
    <t>J1506.AS9</t>
  </si>
  <si>
    <t>J1506.BS14</t>
  </si>
  <si>
    <t>J1506.AS14</t>
  </si>
  <si>
    <t>J1507.CS14</t>
  </si>
  <si>
    <t>J1507.DS14</t>
  </si>
  <si>
    <t>J1507.CS13</t>
  </si>
  <si>
    <t>J1507.DS13</t>
  </si>
  <si>
    <t>J1507.CS12</t>
  </si>
  <si>
    <t>J1507.DS12</t>
  </si>
  <si>
    <t>J1507.CS11</t>
  </si>
  <si>
    <t>J1507.DS11</t>
  </si>
  <si>
    <t>J1507.CS10</t>
  </si>
  <si>
    <t>J1507.DS10</t>
  </si>
  <si>
    <t>J1507.CS9</t>
  </si>
  <si>
    <t>J1507.DS9</t>
  </si>
  <si>
    <t>J1507.CS8</t>
  </si>
  <si>
    <t>J1507.DS8</t>
  </si>
  <si>
    <t>J1507.CS7</t>
  </si>
  <si>
    <t>J1507.DS7</t>
  </si>
  <si>
    <t>J1507.CS6</t>
  </si>
  <si>
    <t>J1507.DS6</t>
  </si>
  <si>
    <t>J1507.CS4</t>
  </si>
  <si>
    <t>J1507.DS4</t>
  </si>
  <si>
    <t>J1507.CS3</t>
  </si>
  <si>
    <t>J1507.DS3</t>
  </si>
  <si>
    <t>J1507.CS2</t>
  </si>
  <si>
    <t>J1507.DS2</t>
  </si>
  <si>
    <t>J1507.CS1</t>
  </si>
  <si>
    <t>J1507.DS1</t>
  </si>
  <si>
    <t>J1507.BS2</t>
  </si>
  <si>
    <t>J1507.AS2</t>
  </si>
  <si>
    <t>J1507.BS3</t>
  </si>
  <si>
    <t>J1507.AS3</t>
  </si>
  <si>
    <t>J1507.BS4</t>
  </si>
  <si>
    <t>J1507.AS4</t>
  </si>
  <si>
    <t>J1507.BS5</t>
  </si>
  <si>
    <t>J1507.AS5</t>
  </si>
  <si>
    <t>J1507.BS6</t>
  </si>
  <si>
    <t>J1507.AS6</t>
  </si>
  <si>
    <t>J1507.BS7</t>
  </si>
  <si>
    <t>J1507.AS7</t>
  </si>
  <si>
    <t>J1507.BS8</t>
  </si>
  <si>
    <t>J1507.AS8</t>
  </si>
  <si>
    <t>J1507.BS9</t>
  </si>
  <si>
    <t>J1507.AS9</t>
  </si>
  <si>
    <t>J1507.BS14</t>
  </si>
  <si>
    <t>J1507.AS14</t>
  </si>
  <si>
    <t>J1508.CS14</t>
  </si>
  <si>
    <t>J1508.DS14</t>
  </si>
  <si>
    <t>J1508.CS13</t>
  </si>
  <si>
    <t>J1508.DS13</t>
  </si>
  <si>
    <t>J1508.CS12</t>
  </si>
  <si>
    <t>J1508.DS12</t>
  </si>
  <si>
    <t>J1508.CS11</t>
  </si>
  <si>
    <t>J1508.DS11</t>
  </si>
  <si>
    <t>J1508.CS10</t>
  </si>
  <si>
    <t>J1508.DS10</t>
  </si>
  <si>
    <t>J1508.CS9</t>
  </si>
  <si>
    <t>J1508.DS9</t>
  </si>
  <si>
    <t>J1508.CS8</t>
  </si>
  <si>
    <t>J1508.DS8</t>
  </si>
  <si>
    <t>J1508.CS7</t>
  </si>
  <si>
    <t>J1508.DS7</t>
  </si>
  <si>
    <t>J1508.CS6</t>
  </si>
  <si>
    <t>J1508.DS6</t>
  </si>
  <si>
    <t>J1508.CS4</t>
  </si>
  <si>
    <t>J1508.DS4</t>
  </si>
  <si>
    <t>J1508.CS3</t>
  </si>
  <si>
    <t>J1508.DS3</t>
  </si>
  <si>
    <t>J1508.CS2</t>
  </si>
  <si>
    <t>J1508.DS2</t>
  </si>
  <si>
    <t>J1508.CS1</t>
  </si>
  <si>
    <t>J1508.DS1</t>
  </si>
  <si>
    <t>J1508.BS2</t>
  </si>
  <si>
    <t>J1508.AS2</t>
  </si>
  <si>
    <t>J1508.BS3</t>
  </si>
  <si>
    <t>J1508.AS3</t>
  </si>
  <si>
    <t>J1508.BS4</t>
  </si>
  <si>
    <t>J1508.AS4</t>
  </si>
  <si>
    <t>J1508.BS5</t>
  </si>
  <si>
    <t>J1508.AS5</t>
  </si>
  <si>
    <t>J1508.BS6</t>
  </si>
  <si>
    <t>J1508.AS6</t>
  </si>
  <si>
    <t>J1508.BS7</t>
  </si>
  <si>
    <t>J1508.AS7</t>
  </si>
  <si>
    <t>J1508.BS8</t>
  </si>
  <si>
    <t>J1508.AS8</t>
  </si>
  <si>
    <t>J1508.BS9</t>
  </si>
  <si>
    <t>J1508.AS9</t>
  </si>
  <si>
    <t>J1508.BS14</t>
  </si>
  <si>
    <t>J1508.AS14</t>
  </si>
  <si>
    <t>J1509.CS14</t>
  </si>
  <si>
    <t>J1509.DS14</t>
  </si>
  <si>
    <t>J1509.CS13</t>
  </si>
  <si>
    <t>J1509.DS13</t>
  </si>
  <si>
    <t>J1509.CS10</t>
  </si>
  <si>
    <t>J1509.DS10</t>
  </si>
  <si>
    <t>J1509.CS9</t>
  </si>
  <si>
    <t>J1509.DS9</t>
  </si>
  <si>
    <t>J1509.CS8</t>
  </si>
  <si>
    <t>J1509.DS8</t>
  </si>
  <si>
    <t>J1509.CS7</t>
  </si>
  <si>
    <t>J1509.DS7</t>
  </si>
  <si>
    <t>J1509.CS6</t>
  </si>
  <si>
    <t>J1509.DS6</t>
  </si>
  <si>
    <t>J1509.CS4</t>
  </si>
  <si>
    <t>J1509.DS4</t>
  </si>
  <si>
    <t>J1509.CS3</t>
  </si>
  <si>
    <t>J1509.DS3</t>
  </si>
  <si>
    <t>J1509.CS2</t>
  </si>
  <si>
    <t>J1509.DS2</t>
  </si>
  <si>
    <t>J1509.CS1</t>
  </si>
  <si>
    <t>J1509.DS1</t>
  </si>
  <si>
    <t>J1509.BS2</t>
  </si>
  <si>
    <t>J1509.AS2</t>
  </si>
  <si>
    <t>J1509.BS3</t>
  </si>
  <si>
    <t>J1509.AS3</t>
  </si>
  <si>
    <t>J1509.BS4</t>
  </si>
  <si>
    <t>J1509.AS4</t>
  </si>
  <si>
    <t>J1509.BS5</t>
  </si>
  <si>
    <t>J1509.AS5</t>
  </si>
  <si>
    <t>J1509.BS6</t>
  </si>
  <si>
    <t>J1509.AS6</t>
  </si>
  <si>
    <t>J1509.BS7</t>
  </si>
  <si>
    <t>J1509.AS7</t>
  </si>
  <si>
    <t>J1509.BS8</t>
  </si>
  <si>
    <t>J1509.AS8</t>
  </si>
  <si>
    <t>J1509.BS9</t>
  </si>
  <si>
    <t>J1509.AS9</t>
  </si>
  <si>
    <t>J1509.BS14</t>
  </si>
  <si>
    <t>J1509.AS14</t>
  </si>
  <si>
    <t>J1601.CS14</t>
  </si>
  <si>
    <t>J1601.DS14</t>
  </si>
  <si>
    <t>J1601.CS13</t>
  </si>
  <si>
    <t>J1601.DS13</t>
  </si>
  <si>
    <t>J1601.CS10</t>
  </si>
  <si>
    <t>J1601.DS10</t>
  </si>
  <si>
    <t>J1601.CS9</t>
  </si>
  <si>
    <t>J1601.DS9</t>
  </si>
  <si>
    <t>J1601.CS8</t>
  </si>
  <si>
    <t>J1601.DS8</t>
  </si>
  <si>
    <t>J1601.CS7</t>
  </si>
  <si>
    <t>J1601.DS7</t>
  </si>
  <si>
    <t>J1601.CS6</t>
  </si>
  <si>
    <t>J1601.DS6</t>
  </si>
  <si>
    <t>J1601.CS4</t>
  </si>
  <si>
    <t>J1601.DS4</t>
  </si>
  <si>
    <t>J1601.CS3</t>
  </si>
  <si>
    <t>J1601.DS3</t>
  </si>
  <si>
    <t>J1601.CS2</t>
  </si>
  <si>
    <t>J1601.DS2</t>
  </si>
  <si>
    <t>J1601.CS1</t>
  </si>
  <si>
    <t>J1601.DS1</t>
  </si>
  <si>
    <t>J1601.BS2</t>
  </si>
  <si>
    <t>J1601.AS2</t>
  </si>
  <si>
    <t>J1601.BS3</t>
  </si>
  <si>
    <t>J1601.AS3</t>
  </si>
  <si>
    <t>J1601.BS4</t>
  </si>
  <si>
    <t>J1601.AS4</t>
  </si>
  <si>
    <t>J1601.BS5</t>
  </si>
  <si>
    <t>J1601.AS5</t>
  </si>
  <si>
    <t>J1601.BS6</t>
  </si>
  <si>
    <t>J1601.AS6</t>
  </si>
  <si>
    <t>J1601.BS7</t>
  </si>
  <si>
    <t>J1601.AS7</t>
  </si>
  <si>
    <t>J1601.BS8</t>
  </si>
  <si>
    <t>J1601.AS8</t>
  </si>
  <si>
    <t>J1601.BS9</t>
  </si>
  <si>
    <t>J1601.AS9</t>
  </si>
  <si>
    <t>J1601.BS14</t>
  </si>
  <si>
    <t>J1601.AS14</t>
  </si>
  <si>
    <t>J1602.CS14</t>
  </si>
  <si>
    <t>J1602.DS14</t>
  </si>
  <si>
    <t>J1602.CS13</t>
  </si>
  <si>
    <t>J1602.DS13</t>
  </si>
  <si>
    <t>J1602.CS12</t>
  </si>
  <si>
    <t>J1602.DS12</t>
  </si>
  <si>
    <t>J1602.CS11</t>
  </si>
  <si>
    <t>J1602.DS11</t>
  </si>
  <si>
    <t>J1602.CS10</t>
  </si>
  <si>
    <t>J1602.DS10</t>
  </si>
  <si>
    <t>J1602.CS9</t>
  </si>
  <si>
    <t>J1602.DS9</t>
  </si>
  <si>
    <t>J1602.CS8</t>
  </si>
  <si>
    <t>J1602.DS8</t>
  </si>
  <si>
    <t>J1602.CS7</t>
  </si>
  <si>
    <t>J1602.DS7</t>
  </si>
  <si>
    <t>J1602.CS6</t>
  </si>
  <si>
    <t>J1602.DS6</t>
  </si>
  <si>
    <t>J1602.CS4</t>
  </si>
  <si>
    <t>J1602.DS4</t>
  </si>
  <si>
    <t>J1602.CS3</t>
  </si>
  <si>
    <t>J1602.DS3</t>
  </si>
  <si>
    <t>J1602.CS2</t>
  </si>
  <si>
    <t>J1602.DS2</t>
  </si>
  <si>
    <t>J1602.CS1</t>
  </si>
  <si>
    <t>J1602.DS1</t>
  </si>
  <si>
    <t>J1602.BS2</t>
  </si>
  <si>
    <t>J1602.AS2</t>
  </si>
  <si>
    <t>J1602.BS3</t>
  </si>
  <si>
    <t>J1602.AS3</t>
  </si>
  <si>
    <t>J1602.BS4</t>
  </si>
  <si>
    <t>J1602.AS4</t>
  </si>
  <si>
    <t>J1602.BS5</t>
  </si>
  <si>
    <t>J1602.AS5</t>
  </si>
  <si>
    <t>J1602.BS6</t>
  </si>
  <si>
    <t>J1602.AS6</t>
  </si>
  <si>
    <t>J1602.BS7</t>
  </si>
  <si>
    <t>J1602.AS7</t>
  </si>
  <si>
    <t>J1602.BS8</t>
  </si>
  <si>
    <t>J1602.AS8</t>
  </si>
  <si>
    <t>J1602.BS9</t>
  </si>
  <si>
    <t>J1602.AS9</t>
  </si>
  <si>
    <t>J1602.BS14</t>
  </si>
  <si>
    <t>J1602.AS14</t>
  </si>
  <si>
    <t>J1603.CS14</t>
  </si>
  <si>
    <t>J1603.DS14</t>
  </si>
  <si>
    <t>J1603.CS13</t>
  </si>
  <si>
    <t>J1603.DS13</t>
  </si>
  <si>
    <t>J1603.CS12</t>
  </si>
  <si>
    <t>J1603.DS12</t>
  </si>
  <si>
    <t>J1603.CS11</t>
  </si>
  <si>
    <t>J1603.DS11</t>
  </si>
  <si>
    <t>J1603.CS10</t>
  </si>
  <si>
    <t>J1603.DS10</t>
  </si>
  <si>
    <t>J1603.CS9</t>
  </si>
  <si>
    <t>J1603.DS9</t>
  </si>
  <si>
    <t>J1603.CS8</t>
  </si>
  <si>
    <t>J1603.DS8</t>
  </si>
  <si>
    <t>J1603.CS7</t>
  </si>
  <si>
    <t>J1603.DS7</t>
  </si>
  <si>
    <t>J1603.CS6</t>
  </si>
  <si>
    <t>J1603.DS6</t>
  </si>
  <si>
    <t>J1603.CS4</t>
  </si>
  <si>
    <t>J1603.DS4</t>
  </si>
  <si>
    <t>J1603.CS3</t>
  </si>
  <si>
    <t>J1603.DS3</t>
  </si>
  <si>
    <t>J1603.CS2</t>
  </si>
  <si>
    <t>J1603.DS2</t>
  </si>
  <si>
    <t>J1603.CS1</t>
  </si>
  <si>
    <t>J1603.DS1</t>
  </si>
  <si>
    <t>J1603.BS2</t>
  </si>
  <si>
    <t>J1603.AS2</t>
  </si>
  <si>
    <t>J1603.BS3</t>
  </si>
  <si>
    <t>J1603.AS3</t>
  </si>
  <si>
    <t>J1603.BS4</t>
  </si>
  <si>
    <t>J1603.AS4</t>
  </si>
  <si>
    <t>J1603.BS5</t>
  </si>
  <si>
    <t>J1603.AS5</t>
  </si>
  <si>
    <t>J1603.BS6</t>
  </si>
  <si>
    <t>J1603.AS6</t>
  </si>
  <si>
    <t>J1603.BS7</t>
  </si>
  <si>
    <t>J1603.AS7</t>
  </si>
  <si>
    <t>J1603.BS8</t>
  </si>
  <si>
    <t>J1603.AS8</t>
  </si>
  <si>
    <t>J1603.BS9</t>
  </si>
  <si>
    <t>J1603.AS9</t>
  </si>
  <si>
    <t>J1603.BS14</t>
  </si>
  <si>
    <t>J1603.AS14</t>
  </si>
  <si>
    <t>J1604.CS14</t>
  </si>
  <si>
    <t>J1604.DS14</t>
  </si>
  <si>
    <t>J1604.CS13</t>
  </si>
  <si>
    <t>J1604.DS13</t>
  </si>
  <si>
    <t>J1604.CS10</t>
  </si>
  <si>
    <t>J1604.DS10</t>
  </si>
  <si>
    <t>J1604.CS9</t>
  </si>
  <si>
    <t>J1604.DS9</t>
  </si>
  <si>
    <t>J1604.CS8</t>
  </si>
  <si>
    <t>J1604.DS8</t>
  </si>
  <si>
    <t>J1604.CS7</t>
  </si>
  <si>
    <t>J1604.DS7</t>
  </si>
  <si>
    <t>J1604.CS6</t>
  </si>
  <si>
    <t>J1604.DS6</t>
  </si>
  <si>
    <t>J1604.CS4</t>
  </si>
  <si>
    <t>J1604.DS4</t>
  </si>
  <si>
    <t>J1604.CS3</t>
  </si>
  <si>
    <t>J1604.DS3</t>
  </si>
  <si>
    <t>J1604.CS2</t>
  </si>
  <si>
    <t>J1604.DS2</t>
  </si>
  <si>
    <t>J1604.CS1</t>
  </si>
  <si>
    <t>J1604.DS1</t>
  </si>
  <si>
    <t>J1604.BS2</t>
  </si>
  <si>
    <t>J1604.AS2</t>
  </si>
  <si>
    <t>J1604.BS3</t>
  </si>
  <si>
    <t>J1604.AS3</t>
  </si>
  <si>
    <t>J1604.BS4</t>
  </si>
  <si>
    <t>J1604.AS4</t>
  </si>
  <si>
    <t>J1604.BS5</t>
  </si>
  <si>
    <t>J1604.AS5</t>
  </si>
  <si>
    <t>J1604.BS6</t>
  </si>
  <si>
    <t>J1604.AS6</t>
  </si>
  <si>
    <t>J1604.BS7</t>
  </si>
  <si>
    <t>J1604.AS7</t>
  </si>
  <si>
    <t>J1604.BS8</t>
  </si>
  <si>
    <t>J1604.AS8</t>
  </si>
  <si>
    <t>J1604.BS9</t>
  </si>
  <si>
    <t>J1604.AS9</t>
  </si>
  <si>
    <t>J1604.BS14</t>
  </si>
  <si>
    <t>J1604.AS14</t>
  </si>
  <si>
    <t>J1605.CS14</t>
  </si>
  <si>
    <t>J1605.DS14</t>
  </si>
  <si>
    <t>J1605.CS13</t>
  </si>
  <si>
    <t>J1605.DS13</t>
  </si>
  <si>
    <t>J1605.CS12</t>
  </si>
  <si>
    <t>J1605.DS12</t>
  </si>
  <si>
    <t>J1605.CS11</t>
  </si>
  <si>
    <t>J1605.DS11</t>
  </si>
  <si>
    <t>J1605.CS10</t>
  </si>
  <si>
    <t>J1605.DS10</t>
  </si>
  <si>
    <t>J1605.CS9</t>
  </si>
  <si>
    <t>J1605.DS9</t>
  </si>
  <si>
    <t>J1605.CS8</t>
  </si>
  <si>
    <t>J1605.DS8</t>
  </si>
  <si>
    <t>J1605.CS7</t>
  </si>
  <si>
    <t>J1605.DS7</t>
  </si>
  <si>
    <t>J1605.CS6</t>
  </si>
  <si>
    <t>J1605.DS6</t>
  </si>
  <si>
    <t>J1605.CS4</t>
  </si>
  <si>
    <t>J1605.DS4</t>
  </si>
  <si>
    <t>J1605.CS3</t>
  </si>
  <si>
    <t>J1605.DS3</t>
  </si>
  <si>
    <t>J1605.CS2</t>
  </si>
  <si>
    <t>J1605.DS2</t>
  </si>
  <si>
    <t>J1605.CS1</t>
  </si>
  <si>
    <t>J1605.DS1</t>
  </si>
  <si>
    <t>J1605.BS2</t>
  </si>
  <si>
    <t>J1605.AS2</t>
  </si>
  <si>
    <t>J1605.BS3</t>
  </si>
  <si>
    <t>J1605.AS3</t>
  </si>
  <si>
    <t>J1605.BS4</t>
  </si>
  <si>
    <t>J1605.AS4</t>
  </si>
  <si>
    <t>J1605.BS5</t>
  </si>
  <si>
    <t>J1605.AS5</t>
  </si>
  <si>
    <t>J1605.BS6</t>
  </si>
  <si>
    <t>J1605.AS6</t>
  </si>
  <si>
    <t>J1605.BS7</t>
  </si>
  <si>
    <t>J1605.AS7</t>
  </si>
  <si>
    <t>J1605.BS8</t>
  </si>
  <si>
    <t>J1605.AS8</t>
  </si>
  <si>
    <t>J1605.BS9</t>
  </si>
  <si>
    <t>J1605.AS9</t>
  </si>
  <si>
    <t>J1605.BS14</t>
  </si>
  <si>
    <t>J1605.AS14</t>
  </si>
  <si>
    <t>J1606.CS14</t>
  </si>
  <si>
    <t>J1606.DS14</t>
  </si>
  <si>
    <t>J1606.CS13</t>
  </si>
  <si>
    <t>J1606.DS13</t>
  </si>
  <si>
    <t>J1606.CS12</t>
  </si>
  <si>
    <t>J1606.DS12</t>
  </si>
  <si>
    <t>J1606.CS11</t>
  </si>
  <si>
    <t>J1606.DS11</t>
  </si>
  <si>
    <t>J1606.CS10</t>
  </si>
  <si>
    <t>J1606.DS10</t>
  </si>
  <si>
    <t>J1606.CS9</t>
  </si>
  <si>
    <t>J1606.DS9</t>
  </si>
  <si>
    <t>J1606.CS8</t>
  </si>
  <si>
    <t>J1606.DS8</t>
  </si>
  <si>
    <t>J1606.CS7</t>
  </si>
  <si>
    <t>J1606.DS7</t>
  </si>
  <si>
    <t>J1606.CS6</t>
  </si>
  <si>
    <t>J1606.DS6</t>
  </si>
  <si>
    <t>J1606.CS4</t>
  </si>
  <si>
    <t>J1606.DS4</t>
  </si>
  <si>
    <t>J1606.CS3</t>
  </si>
  <si>
    <t>J1606.DS3</t>
  </si>
  <si>
    <t>J1606.CS2</t>
  </si>
  <si>
    <t>J1606.DS2</t>
  </si>
  <si>
    <t>J1606.CS1</t>
  </si>
  <si>
    <t>J1606.DS1</t>
  </si>
  <si>
    <t>J1606.BS2</t>
  </si>
  <si>
    <t>J1606.AS2</t>
  </si>
  <si>
    <t>J1606.BS3</t>
  </si>
  <si>
    <t>J1606.AS3</t>
  </si>
  <si>
    <t>J1606.BS4</t>
  </si>
  <si>
    <t>J1606.AS4</t>
  </si>
  <si>
    <t>J1606.BS5</t>
  </si>
  <si>
    <t>J1606.AS5</t>
  </si>
  <si>
    <t>J1606.BS6</t>
  </si>
  <si>
    <t>J1606.AS6</t>
  </si>
  <si>
    <t>J1606.BS7</t>
  </si>
  <si>
    <t>J1606.AS7</t>
  </si>
  <si>
    <t>J1606.BS8</t>
  </si>
  <si>
    <t>J1606.AS8</t>
  </si>
  <si>
    <t>J1606.BS9</t>
  </si>
  <si>
    <t>J1606.AS9</t>
  </si>
  <si>
    <t>J1606.BS14</t>
  </si>
  <si>
    <t>J1606.AS14</t>
  </si>
  <si>
    <t>J1607.CS14</t>
  </si>
  <si>
    <t>J1607.CS13</t>
  </si>
  <si>
    <t>J1607.DS13</t>
  </si>
  <si>
    <t>J1607.CS10</t>
  </si>
  <si>
    <t>J1607.DS10</t>
  </si>
  <si>
    <t>J1607.CS9</t>
  </si>
  <si>
    <t>J1607.DS9</t>
  </si>
  <si>
    <t>J1607.CS8</t>
  </si>
  <si>
    <t>J1607.DS8</t>
  </si>
  <si>
    <t>J1607.CS7</t>
  </si>
  <si>
    <t>J1607.DS7</t>
  </si>
  <si>
    <t>J1607.CS6</t>
  </si>
  <si>
    <t>J1607.DS6</t>
  </si>
  <si>
    <t>J1607.CS4</t>
  </si>
  <si>
    <t>J1607.DS4</t>
  </si>
  <si>
    <t>J1607.CS3</t>
  </si>
  <si>
    <t>J1607.DS3</t>
  </si>
  <si>
    <t>J1607.CS2</t>
  </si>
  <si>
    <t>J1607.DS2</t>
  </si>
  <si>
    <t>J1607.CS1</t>
  </si>
  <si>
    <t>J1607.DS1</t>
  </si>
  <si>
    <t>J1607.BS2</t>
  </si>
  <si>
    <t>J1607.AS2</t>
  </si>
  <si>
    <t>J1607.BS3</t>
  </si>
  <si>
    <t>J1607.AS3</t>
  </si>
  <si>
    <t>J1607.BS4</t>
  </si>
  <si>
    <t>J1607.AS4</t>
  </si>
  <si>
    <t>J1607.BS5</t>
  </si>
  <si>
    <t>J1607.AS5</t>
  </si>
  <si>
    <t>J1607.BS6</t>
  </si>
  <si>
    <t>J1607.AS6</t>
  </si>
  <si>
    <t>J1607.BS7</t>
  </si>
  <si>
    <t>J1607.AS7</t>
  </si>
  <si>
    <t>J1607.BS8</t>
  </si>
  <si>
    <t>J1607.AS8</t>
  </si>
  <si>
    <t>J1607.BS9</t>
  </si>
  <si>
    <t>J1607.AS9</t>
  </si>
  <si>
    <t>J1607.BS14</t>
  </si>
  <si>
    <t>J1607.AS14</t>
  </si>
  <si>
    <t>J1608.CS14</t>
  </si>
  <si>
    <t>J1608.DS14</t>
  </si>
  <si>
    <t>J1608.CS13</t>
  </si>
  <si>
    <t>J1608.DS13</t>
  </si>
  <si>
    <t>J1608.CS12</t>
  </si>
  <si>
    <t>J1608.DS12</t>
  </si>
  <si>
    <t>J1608.CS11</t>
  </si>
  <si>
    <t>J1608.DS11</t>
  </si>
  <si>
    <t>J1608.CS10</t>
  </si>
  <si>
    <t>J1608.DS10</t>
  </si>
  <si>
    <t>J1608.CS9</t>
  </si>
  <si>
    <t>J1608.DS9</t>
  </si>
  <si>
    <t>J1608.CS8</t>
  </si>
  <si>
    <t>J1608.DS8</t>
  </si>
  <si>
    <t>J1608.CS7</t>
  </si>
  <si>
    <t>J1608.DS7</t>
  </si>
  <si>
    <t>J1608.CS6</t>
  </si>
  <si>
    <t>J1608.DS6</t>
  </si>
  <si>
    <t>J1608.CS4</t>
  </si>
  <si>
    <t>J1608.DS4</t>
  </si>
  <si>
    <t>J1608.CS3</t>
  </si>
  <si>
    <t>J1608.DS3</t>
  </si>
  <si>
    <t>J1608.CS2</t>
  </si>
  <si>
    <t>J1608.DS2</t>
  </si>
  <si>
    <t>J1608.CS1</t>
  </si>
  <si>
    <t>J1608.DS1</t>
  </si>
  <si>
    <t>J1608.BS2</t>
  </si>
  <si>
    <t>J1608.AS2</t>
  </si>
  <si>
    <t>J1608.BS3</t>
  </si>
  <si>
    <t>J1608.AS3</t>
  </si>
  <si>
    <t>J1608.BS4</t>
  </si>
  <si>
    <t>J1608.AS4</t>
  </si>
  <si>
    <t>J1608.BS5</t>
  </si>
  <si>
    <t>J1608.AS5</t>
  </si>
  <si>
    <t>J1608.BS6</t>
  </si>
  <si>
    <t>J1608.AS6</t>
  </si>
  <si>
    <t>J1608.BS7</t>
  </si>
  <si>
    <t>J1608.AS7</t>
  </si>
  <si>
    <t>J1608.BS8</t>
  </si>
  <si>
    <t>J1608.AS8</t>
  </si>
  <si>
    <t>J1608.BS9</t>
  </si>
  <si>
    <t>J1608.AS9</t>
  </si>
  <si>
    <t>J1608.BS14</t>
  </si>
  <si>
    <t>J1608.AS14</t>
  </si>
  <si>
    <t>J1609.CS14</t>
  </si>
  <si>
    <t>J1609.DS14</t>
  </si>
  <si>
    <t>J1609.CS13</t>
  </si>
  <si>
    <t>J1609.DS13</t>
  </si>
  <si>
    <t>J1609.CS12</t>
  </si>
  <si>
    <t>J1609.DS12</t>
  </si>
  <si>
    <t>J1609.CS11</t>
  </si>
  <si>
    <t>J1609.DS11</t>
  </si>
  <si>
    <t>J1609.CS10</t>
  </si>
  <si>
    <t>J1609.DS10</t>
  </si>
  <si>
    <t>J1609.CS9</t>
  </si>
  <si>
    <t>J1609.DS9</t>
  </si>
  <si>
    <t>J1609.CS8</t>
  </si>
  <si>
    <t>J1609.DS8</t>
  </si>
  <si>
    <t>J1609.CS7</t>
  </si>
  <si>
    <t>J1609.DS7</t>
  </si>
  <si>
    <t>J1609.CS6</t>
  </si>
  <si>
    <t>J1609.DS6</t>
  </si>
  <si>
    <t>J1609.CS4</t>
  </si>
  <si>
    <t>J1609.DS4</t>
  </si>
  <si>
    <t>J1609.CS3</t>
  </si>
  <si>
    <t>J1609.DS3</t>
  </si>
  <si>
    <t>J1609.CS2</t>
  </si>
  <si>
    <t>J1609.DS2</t>
  </si>
  <si>
    <t>J1609.CS1</t>
  </si>
  <si>
    <t>J1609.DS1</t>
  </si>
  <si>
    <t>J1609.BS2</t>
  </si>
  <si>
    <t>J1609.AS2</t>
  </si>
  <si>
    <t>J1609.BS3</t>
  </si>
  <si>
    <t>J1609.AS3</t>
  </si>
  <si>
    <t>J1609.BS4</t>
  </si>
  <si>
    <t>J1609.AS4</t>
  </si>
  <si>
    <t>J1609.BS5</t>
  </si>
  <si>
    <t>J1609.AS5</t>
  </si>
  <si>
    <t>J1609.BS6</t>
  </si>
  <si>
    <t>J1609.AS6</t>
  </si>
  <si>
    <t>J1609.BS7</t>
  </si>
  <si>
    <t>J1609.AS7</t>
  </si>
  <si>
    <t>J1609.BS8</t>
  </si>
  <si>
    <t>J1609.AS8</t>
  </si>
  <si>
    <t>J1609.BS9</t>
  </si>
  <si>
    <t>J1609.AS9</t>
  </si>
  <si>
    <t>J1609.BS14</t>
  </si>
  <si>
    <t>J1609.AS14</t>
  </si>
  <si>
    <t>J1701.CS14</t>
  </si>
  <si>
    <t>J1701.DS14</t>
  </si>
  <si>
    <t>J1701.CS13</t>
  </si>
  <si>
    <t>J1701.DS13</t>
  </si>
  <si>
    <t>J1701.CS12</t>
  </si>
  <si>
    <t>J1701.DS12</t>
  </si>
  <si>
    <t>J1701.CS11</t>
  </si>
  <si>
    <t>J1701.DS11</t>
  </si>
  <si>
    <t>J1701.CS10</t>
  </si>
  <si>
    <t>J1701.DS10</t>
  </si>
  <si>
    <t>J1701.CS9</t>
  </si>
  <si>
    <t>J1701.DS9</t>
  </si>
  <si>
    <t>J1701.CS8</t>
  </si>
  <si>
    <t>J1701.DS8</t>
  </si>
  <si>
    <t>J1701.CS7</t>
  </si>
  <si>
    <t>J1701.DS7</t>
  </si>
  <si>
    <t>J1701.CS6</t>
  </si>
  <si>
    <t>J1701.DS6</t>
  </si>
  <si>
    <t>J1701.CS4</t>
  </si>
  <si>
    <t>J1701.DS4</t>
  </si>
  <si>
    <t>J1701.CS3</t>
  </si>
  <si>
    <t>J1701.DS3</t>
  </si>
  <si>
    <t>J1701.CS2</t>
  </si>
  <si>
    <t>J1701.DS2</t>
  </si>
  <si>
    <t>J1701.CS1</t>
  </si>
  <si>
    <t>J1701.DS1</t>
  </si>
  <si>
    <t>J1701.BS2</t>
  </si>
  <si>
    <t>J1701.AS2</t>
  </si>
  <si>
    <t>J1701.BS3</t>
  </si>
  <si>
    <t>J1701.AS3</t>
  </si>
  <si>
    <t>J1701.BS4</t>
  </si>
  <si>
    <t>J1701.AS4</t>
  </si>
  <si>
    <t>J1701.BS5</t>
  </si>
  <si>
    <t>J1701.AS5</t>
  </si>
  <si>
    <t>J1701.BS6</t>
  </si>
  <si>
    <t>J1701.AS6</t>
  </si>
  <si>
    <t>J1701.BS7</t>
  </si>
  <si>
    <t>J1701.AS7</t>
  </si>
  <si>
    <t>J1701.BS8</t>
  </si>
  <si>
    <t>J1701.AS8</t>
  </si>
  <si>
    <t>J1701.BS9</t>
  </si>
  <si>
    <t>J1701.AS9</t>
  </si>
  <si>
    <t>J1701.BS14</t>
  </si>
  <si>
    <t>J1701.AS14</t>
  </si>
  <si>
    <t>J1702.CS14</t>
  </si>
  <si>
    <t>J1702.DS14</t>
  </si>
  <si>
    <t>J1702.CS13</t>
  </si>
  <si>
    <t>J1702.DS13</t>
  </si>
  <si>
    <t>J1702.CS12</t>
  </si>
  <si>
    <t>J1702.DS12</t>
  </si>
  <si>
    <t>J1702.CS11</t>
  </si>
  <si>
    <t>J1702.DS11</t>
  </si>
  <si>
    <t>J1702.CS10</t>
  </si>
  <si>
    <t>J1702.DS10</t>
  </si>
  <si>
    <t>J1702.CS9</t>
  </si>
  <si>
    <t>J1702.DS9</t>
  </si>
  <si>
    <t>J1702.CS8</t>
  </si>
  <si>
    <t>J1702.DS8</t>
  </si>
  <si>
    <t>J1702.CS7</t>
  </si>
  <si>
    <t>J1702.DS7</t>
  </si>
  <si>
    <t>J1702.CS6</t>
  </si>
  <si>
    <t>J1702.DS6</t>
  </si>
  <si>
    <t>J1702.CS4</t>
  </si>
  <si>
    <t>J1702.DS4</t>
  </si>
  <si>
    <t>J1702.CS3</t>
  </si>
  <si>
    <t>J1702.DS3</t>
  </si>
  <si>
    <t>J1702.CS2</t>
  </si>
  <si>
    <t>J1702.DS2</t>
  </si>
  <si>
    <t>J1702.CS1</t>
  </si>
  <si>
    <t>J1702.DS1</t>
  </si>
  <si>
    <t>J1702.BS2</t>
  </si>
  <si>
    <t>J1702.AS2</t>
  </si>
  <si>
    <t>J1702.BS3</t>
  </si>
  <si>
    <t>J1702.AS3</t>
  </si>
  <si>
    <t>J1702.BS4</t>
  </si>
  <si>
    <t>J1702.AS4</t>
  </si>
  <si>
    <t>J1702.BS5</t>
  </si>
  <si>
    <t>J1702.AS5</t>
  </si>
  <si>
    <t>J1702.BS6</t>
  </si>
  <si>
    <t>J1702.AS6</t>
  </si>
  <si>
    <t>J1702.BS7</t>
  </si>
  <si>
    <t>J1702.AS7</t>
  </si>
  <si>
    <t>J1702.BS8</t>
  </si>
  <si>
    <t>J1702.AS8</t>
  </si>
  <si>
    <t>J1702.BS9</t>
  </si>
  <si>
    <t>J1702.AS9</t>
  </si>
  <si>
    <t>J1702.BS14</t>
  </si>
  <si>
    <t>J1702.AS14</t>
  </si>
  <si>
    <t>J1703.CS14</t>
  </si>
  <si>
    <t>J1703.DS14</t>
  </si>
  <si>
    <t>J1703.CS13</t>
  </si>
  <si>
    <t>J1703.DS13</t>
  </si>
  <si>
    <t>J1703.CS10</t>
  </si>
  <si>
    <t>J1703.DS10</t>
  </si>
  <si>
    <t>J1703.CS9</t>
  </si>
  <si>
    <t>J1703.DS9</t>
  </si>
  <si>
    <t>J1703.CS8</t>
  </si>
  <si>
    <t>J1703.DS8</t>
  </si>
  <si>
    <t>J1703.CS7</t>
  </si>
  <si>
    <t>J1703.DS7</t>
  </si>
  <si>
    <t>J1703.CS6</t>
  </si>
  <si>
    <t>J1703.DS6</t>
  </si>
  <si>
    <t>J1703.CS4</t>
  </si>
  <si>
    <t>J1703.DS4</t>
  </si>
  <si>
    <t>J1703.CS3</t>
  </si>
  <si>
    <t>J1703.DS3</t>
  </si>
  <si>
    <t>J1703.CS2</t>
  </si>
  <si>
    <t>J1703.DS2</t>
  </si>
  <si>
    <t>J1703.CS1</t>
  </si>
  <si>
    <t>J1703.DS1</t>
  </si>
  <si>
    <t>J1703.BS2</t>
  </si>
  <si>
    <t>J1703.AS2</t>
  </si>
  <si>
    <t>J1703.BS3</t>
  </si>
  <si>
    <t>J1703.AS3</t>
  </si>
  <si>
    <t>J1703.BS4</t>
  </si>
  <si>
    <t>J1703.AS4</t>
  </si>
  <si>
    <t>J1703.BS5</t>
  </si>
  <si>
    <t>J1703.AS5</t>
  </si>
  <si>
    <t>J1703.BS6</t>
  </si>
  <si>
    <t>J1703.AS6</t>
  </si>
  <si>
    <t>J1703.BS7</t>
  </si>
  <si>
    <t>J1703.AS7</t>
  </si>
  <si>
    <t>J1703.BS8</t>
  </si>
  <si>
    <t>J1703.AS8</t>
  </si>
  <si>
    <t>J1703.BS9</t>
  </si>
  <si>
    <t>J1703.AS9</t>
  </si>
  <si>
    <t>J1703.BS14</t>
  </si>
  <si>
    <t>J1703.AS14</t>
  </si>
  <si>
    <t>J1704.CS14</t>
  </si>
  <si>
    <t>J1704.DS14</t>
  </si>
  <si>
    <t>J1704.CS13</t>
  </si>
  <si>
    <t>J1704.DS13</t>
  </si>
  <si>
    <t>J1704.CS12</t>
  </si>
  <si>
    <t>J1704.DS12</t>
  </si>
  <si>
    <t>J1704.CS11</t>
  </si>
  <si>
    <t>J1704.DS11</t>
  </si>
  <si>
    <t>J1704.CS10</t>
  </si>
  <si>
    <t>J1704.DS10</t>
  </si>
  <si>
    <t>J1704.CS9</t>
  </si>
  <si>
    <t>J1704.DS9</t>
  </si>
  <si>
    <t>J1704.CS8</t>
  </si>
  <si>
    <t>J1704.DS8</t>
  </si>
  <si>
    <t>J1704.CS7</t>
  </si>
  <si>
    <t>J1704.DS7</t>
  </si>
  <si>
    <t>J1704.CS6</t>
  </si>
  <si>
    <t>J1704.DS6</t>
  </si>
  <si>
    <t>J1704.CS4</t>
  </si>
  <si>
    <t>J1704.DS4</t>
  </si>
  <si>
    <t>J1704.CS3</t>
  </si>
  <si>
    <t>J1704.DS3</t>
  </si>
  <si>
    <t>J1704.CS2</t>
  </si>
  <si>
    <t>J1704.DS2</t>
  </si>
  <si>
    <t>J1704.CS1</t>
  </si>
  <si>
    <t>J1704.DS1</t>
  </si>
  <si>
    <t>J1704.BS2</t>
  </si>
  <si>
    <t>J1704.AS2</t>
  </si>
  <si>
    <t>J1704.BS3</t>
  </si>
  <si>
    <t>J1704.AS3</t>
  </si>
  <si>
    <t>J1704.BS4</t>
  </si>
  <si>
    <t>J1704.AS4</t>
  </si>
  <si>
    <t>J1704.BS5</t>
  </si>
  <si>
    <t>J1704.AS5</t>
  </si>
  <si>
    <t>J1704.BS6</t>
  </si>
  <si>
    <t>J1704.AS6</t>
  </si>
  <si>
    <t>J1704.BS7</t>
  </si>
  <si>
    <t>J1704.AS7</t>
  </si>
  <si>
    <t>J1704.BS8</t>
  </si>
  <si>
    <t>J1704.AS8</t>
  </si>
  <si>
    <t>J1704.BS9</t>
  </si>
  <si>
    <t>J1704.AS9</t>
  </si>
  <si>
    <t>J1704.BS14</t>
  </si>
  <si>
    <t>J1704.AS14</t>
  </si>
  <si>
    <t>J1705.CS14</t>
  </si>
  <si>
    <t>J1705.DS14</t>
  </si>
  <si>
    <t>J1705.CS13</t>
  </si>
  <si>
    <t>J1705.DS13</t>
  </si>
  <si>
    <t>J1705.CS12</t>
  </si>
  <si>
    <t>J1705.DS12</t>
  </si>
  <si>
    <t>J1705.CS11</t>
  </si>
  <si>
    <t>J1705.DS11</t>
  </si>
  <si>
    <t>J1705.CS10</t>
  </si>
  <si>
    <t>J1705.DS10</t>
  </si>
  <si>
    <t>J1705.CS9</t>
  </si>
  <si>
    <t>J1705.DS9</t>
  </si>
  <si>
    <t>J1705.CS8</t>
  </si>
  <si>
    <t>J1705.DS8</t>
  </si>
  <si>
    <t>J1705.CS7</t>
  </si>
  <si>
    <t>J1705.DS7</t>
  </si>
  <si>
    <t>J1705.CS6</t>
  </si>
  <si>
    <t>J1705.DS6</t>
  </si>
  <si>
    <t>J1705.CS4</t>
  </si>
  <si>
    <t>J1705.DS4</t>
  </si>
  <si>
    <t>J1705.CS3</t>
  </si>
  <si>
    <t>J1705.DS3</t>
  </si>
  <si>
    <t>J1705.CS2</t>
  </si>
  <si>
    <t>J1705.DS2</t>
  </si>
  <si>
    <t>J1705.CS1</t>
  </si>
  <si>
    <t>J1705.DS1</t>
  </si>
  <si>
    <t>J1705.BS2</t>
  </si>
  <si>
    <t>J1705.AS2</t>
  </si>
  <si>
    <t>J1705.BS3</t>
  </si>
  <si>
    <t>J1705.AS3</t>
  </si>
  <si>
    <t>J1705.BS4</t>
  </si>
  <si>
    <t>J1705.AS4</t>
  </si>
  <si>
    <t>J1705.BS5</t>
  </si>
  <si>
    <t>J1705.AS5</t>
  </si>
  <si>
    <t>J1705.BS6</t>
  </si>
  <si>
    <t>J1705.AS6</t>
  </si>
  <si>
    <t>J1705.BS7</t>
  </si>
  <si>
    <t>J1705.AS7</t>
  </si>
  <si>
    <t>J1705.BS8</t>
  </si>
  <si>
    <t>J1705.AS8</t>
  </si>
  <si>
    <t>J1705.BS9</t>
  </si>
  <si>
    <t>J1705.AS9</t>
  </si>
  <si>
    <t>J1705.BS14</t>
  </si>
  <si>
    <t>J1705.AS14</t>
  </si>
  <si>
    <t>J1706.CS14</t>
  </si>
  <si>
    <t>J1706.DS14</t>
  </si>
  <si>
    <t>J1706.CS13</t>
  </si>
  <si>
    <t>J1706.DS13</t>
  </si>
  <si>
    <t>J1706.CS10</t>
  </si>
  <si>
    <t>J1706.DS10</t>
  </si>
  <si>
    <t>J1706.CS9</t>
  </si>
  <si>
    <t>J1706.DS9</t>
  </si>
  <si>
    <t>J1706.CS8</t>
  </si>
  <si>
    <t>J1706.DS8</t>
  </si>
  <si>
    <t>J1706.CS7</t>
  </si>
  <si>
    <t>J1706.DS7</t>
  </si>
  <si>
    <t>J1706.CS6</t>
  </si>
  <si>
    <t>J1706.DS6</t>
  </si>
  <si>
    <t>J1706.CS4</t>
  </si>
  <si>
    <t>J1706.DS4</t>
  </si>
  <si>
    <t>J1706.CS3</t>
  </si>
  <si>
    <t>J1706.DS3</t>
  </si>
  <si>
    <t>J1706.CS2</t>
  </si>
  <si>
    <t>J1706.DS2</t>
  </si>
  <si>
    <t>J1706.CS1</t>
  </si>
  <si>
    <t>J1706.DS1</t>
  </si>
  <si>
    <t>J1706.BS2</t>
  </si>
  <si>
    <t>J1706.AS2</t>
  </si>
  <si>
    <t>J1706.BS3</t>
  </si>
  <si>
    <t>J1706.AS3</t>
  </si>
  <si>
    <t>J1706.BS4</t>
  </si>
  <si>
    <t>J1706.AS4</t>
  </si>
  <si>
    <t>J1706.BS5</t>
  </si>
  <si>
    <t>J1706.AS5</t>
  </si>
  <si>
    <t>J1706.BS6</t>
  </si>
  <si>
    <t>J1706.AS6</t>
  </si>
  <si>
    <t>J1706.BS7</t>
  </si>
  <si>
    <t>J1706.AS7</t>
  </si>
  <si>
    <t>J1706.BS8</t>
  </si>
  <si>
    <t>J1706.AS8</t>
  </si>
  <si>
    <t>J1706.BS9</t>
  </si>
  <si>
    <t>J1706.AS9</t>
  </si>
  <si>
    <t>J1706.BS14</t>
  </si>
  <si>
    <t>J1706.AS14</t>
  </si>
  <si>
    <t>J1707.CS14</t>
  </si>
  <si>
    <t>J1707.DS14</t>
  </si>
  <si>
    <t>J1707.CS13</t>
  </si>
  <si>
    <t>J1707.DS13</t>
  </si>
  <si>
    <t>J1707.CS12</t>
  </si>
  <si>
    <t>J1707.DS12</t>
  </si>
  <si>
    <t>J1707.CS11</t>
  </si>
  <si>
    <t>J1707.DS11</t>
  </si>
  <si>
    <t>J1707.CS10</t>
  </si>
  <si>
    <t>J1707.DS10</t>
  </si>
  <si>
    <t>J1707.CS9</t>
  </si>
  <si>
    <t>J1707.DS9</t>
  </si>
  <si>
    <t>J1707.CS8</t>
  </si>
  <si>
    <t>J1707.DS8</t>
  </si>
  <si>
    <t>J1707.CS7</t>
  </si>
  <si>
    <t>J1707.DS7</t>
  </si>
  <si>
    <t>J1707.CS6</t>
  </si>
  <si>
    <t>J1707.DS6</t>
  </si>
  <si>
    <t>J1707.CS4</t>
  </si>
  <si>
    <t>J1707.DS4</t>
  </si>
  <si>
    <t>J1707.CS3</t>
  </si>
  <si>
    <t>J1707.DS3</t>
  </si>
  <si>
    <t>J1707.CS2</t>
  </si>
  <si>
    <t>J1707.DS2</t>
  </si>
  <si>
    <t>J1707.CS1</t>
  </si>
  <si>
    <t>J1707.DS1</t>
  </si>
  <si>
    <t>J1707.BS2</t>
  </si>
  <si>
    <t>J1707.AS2</t>
  </si>
  <si>
    <t>J1707.BS3</t>
  </si>
  <si>
    <t>J1707.AS3</t>
  </si>
  <si>
    <t>J1707.BS4</t>
  </si>
  <si>
    <t>J1707.AS4</t>
  </si>
  <si>
    <t>J1707.BS5</t>
  </si>
  <si>
    <t>J1707.AS5</t>
  </si>
  <si>
    <t>J1707.BS6</t>
  </si>
  <si>
    <t>J1707.AS6</t>
  </si>
  <si>
    <t>J1707.BS7</t>
  </si>
  <si>
    <t>J1707.AS7</t>
  </si>
  <si>
    <t>J1707.BS8</t>
  </si>
  <si>
    <t>J1707.AS8</t>
  </si>
  <si>
    <t>J1707.BS9</t>
  </si>
  <si>
    <t>J1707.AS9</t>
  </si>
  <si>
    <t>J1707.BS14</t>
  </si>
  <si>
    <t>J1707.AS14</t>
  </si>
  <si>
    <t>J1708.CS14</t>
  </si>
  <si>
    <t>J1708.DS14</t>
  </si>
  <si>
    <t>J1708.CS13</t>
  </si>
  <si>
    <t>J1708.DS13</t>
  </si>
  <si>
    <t>J1708.CS12</t>
  </si>
  <si>
    <t>J1708.DS12</t>
  </si>
  <si>
    <t>J1708.CS11</t>
  </si>
  <si>
    <t>J1708.DS11</t>
  </si>
  <si>
    <t>J1708.CS10</t>
  </si>
  <si>
    <t>J1708.DS10</t>
  </si>
  <si>
    <t>J1708.CS9</t>
  </si>
  <si>
    <t>J1708.DS9</t>
  </si>
  <si>
    <t>J1708.CS8</t>
  </si>
  <si>
    <t>J1708.DS8</t>
  </si>
  <si>
    <t>J1708.CS7</t>
  </si>
  <si>
    <t>J1708.DS7</t>
  </si>
  <si>
    <t>J1708.CS6</t>
  </si>
  <si>
    <t>J1708.DS6</t>
  </si>
  <si>
    <t>J1708.CS4</t>
  </si>
  <si>
    <t>J1708.DS4</t>
  </si>
  <si>
    <t>J1708.CS3</t>
  </si>
  <si>
    <t>J1708.DS3</t>
  </si>
  <si>
    <t>J1708.CS2</t>
  </si>
  <si>
    <t>J1708.DS2</t>
  </si>
  <si>
    <t>J1708.CS1</t>
  </si>
  <si>
    <t>J1708.DS1</t>
  </si>
  <si>
    <t>J1708.BS2</t>
  </si>
  <si>
    <t>J1708.AS2</t>
  </si>
  <si>
    <t>J1708.BS3</t>
  </si>
  <si>
    <t>J1708.AS3</t>
  </si>
  <si>
    <t>J1708.BS4</t>
  </si>
  <si>
    <t>J1708.AS4</t>
  </si>
  <si>
    <t>J1708.BS5</t>
  </si>
  <si>
    <t>J1708.AS5</t>
  </si>
  <si>
    <t>J1708.BS6</t>
  </si>
  <si>
    <t>J1708.AS6</t>
  </si>
  <si>
    <t>J1708.BS7</t>
  </si>
  <si>
    <t>J1708.AS7</t>
  </si>
  <si>
    <t>J1708.BS8</t>
  </si>
  <si>
    <t>J1708.AS8</t>
  </si>
  <si>
    <t>J1708.BS9</t>
  </si>
  <si>
    <t>J1708.AS9</t>
  </si>
  <si>
    <t>J1708.BS14</t>
  </si>
  <si>
    <t>J1709.CS14</t>
  </si>
  <si>
    <t>J1709.DS14</t>
  </si>
  <si>
    <t>J1709.CS13</t>
  </si>
  <si>
    <t>J1709.DS13</t>
  </si>
  <si>
    <t>J1709.CS10</t>
  </si>
  <si>
    <t>J1709.DS10</t>
  </si>
  <si>
    <t>J1709.CS9</t>
  </si>
  <si>
    <t>J1709.DS9</t>
  </si>
  <si>
    <t>J1709.CS8</t>
  </si>
  <si>
    <t>J1709.DS8</t>
  </si>
  <si>
    <t>J1709.CS7</t>
  </si>
  <si>
    <t>J1709.DS7</t>
  </si>
  <si>
    <t>J1709.CS6</t>
  </si>
  <si>
    <t>J1709.DS6</t>
  </si>
  <si>
    <t>J1709.CS4</t>
  </si>
  <si>
    <t>J1709.DS4</t>
  </si>
  <si>
    <t>J1709.CS3</t>
  </si>
  <si>
    <t>J1709.DS3</t>
  </si>
  <si>
    <t>J1709.CS2</t>
  </si>
  <si>
    <t>J1709.DS2</t>
  </si>
  <si>
    <t>J1709.CS1</t>
  </si>
  <si>
    <t>J1709.DS1</t>
  </si>
  <si>
    <t>J1709.BS2</t>
  </si>
  <si>
    <t>J1709.AS2</t>
  </si>
  <si>
    <t>J1709.BS3</t>
  </si>
  <si>
    <t>J1709.AS3</t>
  </si>
  <si>
    <t>J1709.BS4</t>
  </si>
  <si>
    <t>J1709.AS4</t>
  </si>
  <si>
    <t>J1709.BS5</t>
  </si>
  <si>
    <t>J1709.AS5</t>
  </si>
  <si>
    <t>J1709.BS6</t>
  </si>
  <si>
    <t>J1709.AS6</t>
  </si>
  <si>
    <t>J1709.BS7</t>
  </si>
  <si>
    <t>J1709.AS7</t>
  </si>
  <si>
    <t>J1709.BS8</t>
  </si>
  <si>
    <t>J1709.AS8</t>
  </si>
  <si>
    <t>J1709.BS9</t>
  </si>
  <si>
    <t>J1709.AS9</t>
  </si>
  <si>
    <t>J1709.BS14</t>
  </si>
  <si>
    <t>J1709.AS14</t>
  </si>
  <si>
    <t>J1801.CS14</t>
  </si>
  <si>
    <t>J1801.DS14</t>
  </si>
  <si>
    <t>J1801.CS13</t>
  </si>
  <si>
    <t>J1801.DS13</t>
  </si>
  <si>
    <t>J1801.CS10</t>
  </si>
  <si>
    <t>J1801.CS9</t>
  </si>
  <si>
    <t>J1801.DS9</t>
  </si>
  <si>
    <t>J1801.CS8</t>
  </si>
  <si>
    <t>J1801.DS8</t>
  </si>
  <si>
    <t>J1801.CS7</t>
  </si>
  <si>
    <t>J1801.DS7</t>
  </si>
  <si>
    <t>J1801.CS6</t>
  </si>
  <si>
    <t>J1801.DS6</t>
  </si>
  <si>
    <t>J1801.CS4</t>
  </si>
  <si>
    <t>J1801.DS4</t>
  </si>
  <si>
    <t>J1801.CS3</t>
  </si>
  <si>
    <t>J1801.DS3</t>
  </si>
  <si>
    <t>J1801.CS2</t>
  </si>
  <si>
    <t>J1801.DS2</t>
  </si>
  <si>
    <t>J1801.CS1</t>
  </si>
  <si>
    <t>J1801.DS1</t>
  </si>
  <si>
    <t>J1801.BS2</t>
  </si>
  <si>
    <t>J1801.AS2</t>
  </si>
  <si>
    <t>J1801.BS3</t>
  </si>
  <si>
    <t>J1801.AS3</t>
  </si>
  <si>
    <t>J1801.BS4</t>
  </si>
  <si>
    <t>J1801.AS4</t>
  </si>
  <si>
    <t>J1801.BS5</t>
  </si>
  <si>
    <t>J1801.AS5</t>
  </si>
  <si>
    <t>J1801.BS6</t>
  </si>
  <si>
    <t>J1801.AS6</t>
  </si>
  <si>
    <t>J1801.BS7</t>
  </si>
  <si>
    <t>J1801.AS7</t>
  </si>
  <si>
    <t>J1801.BS8</t>
  </si>
  <si>
    <t>J1801.AS8</t>
  </si>
  <si>
    <t>J1801.BS9</t>
  </si>
  <si>
    <t>J1801.AS9</t>
  </si>
  <si>
    <t>J1801.BS14</t>
  </si>
  <si>
    <t>J1801.AS14</t>
  </si>
  <si>
    <t>J1802.CS14</t>
  </si>
  <si>
    <t>J1802.DS14</t>
  </si>
  <si>
    <t>J1802.CS13</t>
  </si>
  <si>
    <t>J1802.DS13</t>
  </si>
  <si>
    <t>J1802.CS12</t>
  </si>
  <si>
    <t>J1802.DS12</t>
  </si>
  <si>
    <t>J1802.CS11</t>
  </si>
  <si>
    <t>J1802.DS11</t>
  </si>
  <si>
    <t>J1802.CS10</t>
  </si>
  <si>
    <t>J1802.DS10</t>
  </si>
  <si>
    <t>J1802.CS9</t>
  </si>
  <si>
    <t>J1802.DS9</t>
  </si>
  <si>
    <t>J1802.CS8</t>
  </si>
  <si>
    <t>J1802.DS8</t>
  </si>
  <si>
    <t>J1802.CS7</t>
  </si>
  <si>
    <t>J1802.DS7</t>
  </si>
  <si>
    <t>J1802.CS6</t>
  </si>
  <si>
    <t>J1802.DS6</t>
  </si>
  <si>
    <t>J1802.CS4</t>
  </si>
  <si>
    <t>J1802.DS4</t>
  </si>
  <si>
    <t>J1802.CS3</t>
  </si>
  <si>
    <t>J1802.DS3</t>
  </si>
  <si>
    <t>J1802.CS2</t>
  </si>
  <si>
    <t>J1802.DS2</t>
  </si>
  <si>
    <t>J1802.CS1</t>
  </si>
  <si>
    <t>J1802.DS1</t>
  </si>
  <si>
    <t>J1802.BS2</t>
  </si>
  <si>
    <t>J1802.AS2</t>
  </si>
  <si>
    <t>J1802.BS3</t>
  </si>
  <si>
    <t>J1802.AS3</t>
  </si>
  <si>
    <t>J1802.BS4</t>
  </si>
  <si>
    <t>J1802.AS4</t>
  </si>
  <si>
    <t>J1802.BS5</t>
  </si>
  <si>
    <t>J1802.AS5</t>
  </si>
  <si>
    <t>J1802.BS6</t>
  </si>
  <si>
    <t>J1802.AS6</t>
  </si>
  <si>
    <t>J1802.BS7</t>
  </si>
  <si>
    <t>J1802.AS7</t>
  </si>
  <si>
    <t>J1802.BS8</t>
  </si>
  <si>
    <t>J1802.AS8</t>
  </si>
  <si>
    <t>J1802.BS9</t>
  </si>
  <si>
    <t>J1802.AS9</t>
  </si>
  <si>
    <t>J1802.BS14</t>
  </si>
  <si>
    <t>J1802.AS14</t>
  </si>
  <si>
    <t>J1803.CS14</t>
  </si>
  <si>
    <t>J1803.DS14</t>
  </si>
  <si>
    <t>J1803.CS13</t>
  </si>
  <si>
    <t>J1803.DS13</t>
  </si>
  <si>
    <t>J1803.CS12</t>
  </si>
  <si>
    <t>J1803.DS12</t>
  </si>
  <si>
    <t>J1803.CS11</t>
  </si>
  <si>
    <t>J1803.DS11</t>
  </si>
  <si>
    <t>J1803.CS10</t>
  </si>
  <si>
    <t>J1803.DS10</t>
  </si>
  <si>
    <t>J1803.CS9</t>
  </si>
  <si>
    <t>J1803.DS9</t>
  </si>
  <si>
    <t>J1803.CS8</t>
  </si>
  <si>
    <t>J1803.DS8</t>
  </si>
  <si>
    <t>J1803.CS7</t>
  </si>
  <si>
    <t>J1803.DS7</t>
  </si>
  <si>
    <t>J1803.CS6</t>
  </si>
  <si>
    <t>J1803.DS6</t>
  </si>
  <si>
    <t>J1803.CS4</t>
  </si>
  <si>
    <t>J1803.DS4</t>
  </si>
  <si>
    <t>J1803.CS3</t>
  </si>
  <si>
    <t>J1803.DS3</t>
  </si>
  <si>
    <t>J1803.CS2</t>
  </si>
  <si>
    <t>J1803.DS2</t>
  </si>
  <si>
    <t>J1803.CS1</t>
  </si>
  <si>
    <t>J1803.DS1</t>
  </si>
  <si>
    <t>J1803.BS2</t>
  </si>
  <si>
    <t>J1803.AS2</t>
  </si>
  <si>
    <t>J1803.BS3</t>
  </si>
  <si>
    <t>J1803.AS3</t>
  </si>
  <si>
    <t>J1803.BS4</t>
  </si>
  <si>
    <t>J1803.AS4</t>
  </si>
  <si>
    <t>J1803.BS5</t>
  </si>
  <si>
    <t>J1803.AS5</t>
  </si>
  <si>
    <t>J1803.BS6</t>
  </si>
  <si>
    <t>J1803.AS6</t>
  </si>
  <si>
    <t>J1803.BS7</t>
  </si>
  <si>
    <t>J1803.AS7</t>
  </si>
  <si>
    <t>J1803.BS8</t>
  </si>
  <si>
    <t>J1803.AS8</t>
  </si>
  <si>
    <t>J1803.BS9</t>
  </si>
  <si>
    <t>J1803.AS9</t>
  </si>
  <si>
    <t>J1803.BS14</t>
  </si>
  <si>
    <t>J1803.AS14</t>
  </si>
  <si>
    <t>J1804.CS14</t>
  </si>
  <si>
    <t>J1804.DS14</t>
  </si>
  <si>
    <t>J1804.CS13</t>
  </si>
  <si>
    <t>J1804.DS13</t>
  </si>
  <si>
    <t>J1804.CS10</t>
  </si>
  <si>
    <t>J1804.DS10</t>
  </si>
  <si>
    <t>J1804.CS9</t>
  </si>
  <si>
    <t>J1804.DS9</t>
  </si>
  <si>
    <t>J1804.CS8</t>
  </si>
  <si>
    <t>J1804.DS8</t>
  </si>
  <si>
    <t>J1804.CS7</t>
  </si>
  <si>
    <t>J1804.DS7</t>
  </si>
  <si>
    <t>J1804.CS6</t>
  </si>
  <si>
    <t>J1804.DS6</t>
  </si>
  <si>
    <t>J1804.CS4</t>
  </si>
  <si>
    <t>J1804.DS4</t>
  </si>
  <si>
    <t>J1804.CS3</t>
  </si>
  <si>
    <t>J1804.DS3</t>
  </si>
  <si>
    <t>J1804.CS2</t>
  </si>
  <si>
    <t>J1804.DS2</t>
  </si>
  <si>
    <t>J1804.CS1</t>
  </si>
  <si>
    <t>J1804.DS1</t>
  </si>
  <si>
    <t>J1804.BS2</t>
  </si>
  <si>
    <t>J1804.AS2</t>
  </si>
  <si>
    <t>J1804.BS3</t>
  </si>
  <si>
    <t>J1804.AS3</t>
  </si>
  <si>
    <t>J1804.BS4</t>
  </si>
  <si>
    <t>J1804.AS4</t>
  </si>
  <si>
    <t>J1804.BS5</t>
  </si>
  <si>
    <t>J1804.AS5</t>
  </si>
  <si>
    <t>J1804.BS6</t>
  </si>
  <si>
    <t>J1804.AS6</t>
  </si>
  <si>
    <t>J1804.BS7</t>
  </si>
  <si>
    <t>J1804.AS7</t>
  </si>
  <si>
    <t>J1804.BS8</t>
  </si>
  <si>
    <t>J1804.AS8</t>
  </si>
  <si>
    <t>J1804.BS9</t>
  </si>
  <si>
    <t>J1804.AS9</t>
  </si>
  <si>
    <t>J1804.BS14</t>
  </si>
  <si>
    <t>J1804.AS14</t>
  </si>
  <si>
    <t>J1805.CS14</t>
  </si>
  <si>
    <t>J1805.DS14</t>
  </si>
  <si>
    <t>J1805.CS13</t>
  </si>
  <si>
    <t>J1805.DS13</t>
  </si>
  <si>
    <t>J1805.CS12</t>
  </si>
  <si>
    <t>J1805.DS12</t>
  </si>
  <si>
    <t>J1805.CS11</t>
  </si>
  <si>
    <t>J1805.DS11</t>
  </si>
  <si>
    <t>J1805.CS10</t>
  </si>
  <si>
    <t>J1805.DS10</t>
  </si>
  <si>
    <t>J1805.CS9</t>
  </si>
  <si>
    <t>J1805.DS9</t>
  </si>
  <si>
    <t>J1805.CS8</t>
  </si>
  <si>
    <t>J1805.DS8</t>
  </si>
  <si>
    <t>J1805.CS7</t>
  </si>
  <si>
    <t>J1805.DS7</t>
  </si>
  <si>
    <t>J1805.CS6</t>
  </si>
  <si>
    <t>J1805.DS6</t>
  </si>
  <si>
    <t>J1805.CS4</t>
  </si>
  <si>
    <t>J1805.DS4</t>
  </si>
  <si>
    <t>J1805.CS3</t>
  </si>
  <si>
    <t>J1805.DS3</t>
  </si>
  <si>
    <t>J1805.CS2</t>
  </si>
  <si>
    <t>J1805.DS2</t>
  </si>
  <si>
    <t>J1805.CS1</t>
  </si>
  <si>
    <t>J1805.DS1</t>
  </si>
  <si>
    <t>J1805.BS2</t>
  </si>
  <si>
    <t>J1805.AS2</t>
  </si>
  <si>
    <t>J1805.BS3</t>
  </si>
  <si>
    <t>J1805.AS3</t>
  </si>
  <si>
    <t>J1805.BS4</t>
  </si>
  <si>
    <t>J1805.AS4</t>
  </si>
  <si>
    <t>J1805.BS5</t>
  </si>
  <si>
    <t>J1805.AS5</t>
  </si>
  <si>
    <t>J1805.BS6</t>
  </si>
  <si>
    <t>J1805.AS6</t>
  </si>
  <si>
    <t>J1805.BS7</t>
  </si>
  <si>
    <t>J1805.AS7</t>
  </si>
  <si>
    <t>J1805.BS8</t>
  </si>
  <si>
    <t>J1805.AS8</t>
  </si>
  <si>
    <t>J1805.BS9</t>
  </si>
  <si>
    <t>J1805.AS9</t>
  </si>
  <si>
    <t>J1805.BS14</t>
  </si>
  <si>
    <t>J1805.AS14</t>
  </si>
  <si>
    <t>J1806.CS14</t>
  </si>
  <si>
    <t>J1806.DS14</t>
  </si>
  <si>
    <t>J1806.CS13</t>
  </si>
  <si>
    <t>J1806.DS13</t>
  </si>
  <si>
    <t>J1806.CS12</t>
  </si>
  <si>
    <t>J1806.DS12</t>
  </si>
  <si>
    <t>J1806.CS11</t>
  </si>
  <si>
    <t>J1806.DS11</t>
  </si>
  <si>
    <t>J1806.CS10</t>
  </si>
  <si>
    <t>J1806.DS10</t>
  </si>
  <si>
    <t>J1806.CS9</t>
  </si>
  <si>
    <t>J1806.DS9</t>
  </si>
  <si>
    <t>J1806.CS8</t>
  </si>
  <si>
    <t>J1806.DS8</t>
  </si>
  <si>
    <t>J1806.CS7</t>
  </si>
  <si>
    <t>J1806.DS7</t>
  </si>
  <si>
    <t>J1806.CS6</t>
  </si>
  <si>
    <t>J1806.DS6</t>
  </si>
  <si>
    <t>J1806.CS4</t>
  </si>
  <si>
    <t>J1806.DS4</t>
  </si>
  <si>
    <t>J1806.CS3</t>
  </si>
  <si>
    <t>J1806.DS3</t>
  </si>
  <si>
    <t>J1806.CS2</t>
  </si>
  <si>
    <t>J1806.DS2</t>
  </si>
  <si>
    <t>J1806.CS1</t>
  </si>
  <si>
    <t>J1806.DS1</t>
  </si>
  <si>
    <t>J1806.BS2</t>
  </si>
  <si>
    <t>J1806.AS2</t>
  </si>
  <si>
    <t>J1806.BS3</t>
  </si>
  <si>
    <t>J1806.AS3</t>
  </si>
  <si>
    <t>J1806.BS4</t>
  </si>
  <si>
    <t>J1806.AS4</t>
  </si>
  <si>
    <t>J1806.BS5</t>
  </si>
  <si>
    <t>J1806.AS5</t>
  </si>
  <si>
    <t>J1806.BS6</t>
  </si>
  <si>
    <t>J1806.AS6</t>
  </si>
  <si>
    <t>J1806.BS7</t>
  </si>
  <si>
    <t>J1806.AS7</t>
  </si>
  <si>
    <t>J1806.BS8</t>
  </si>
  <si>
    <t>J1806.AS8</t>
  </si>
  <si>
    <t>J1806.BS9</t>
  </si>
  <si>
    <t>J1806.AS9</t>
  </si>
  <si>
    <t>J1806.BS14</t>
  </si>
  <si>
    <t>J1806.AS14</t>
  </si>
  <si>
    <t>J1807.CS14</t>
  </si>
  <si>
    <t>J1807.DS14</t>
  </si>
  <si>
    <t>J1807.CS13</t>
  </si>
  <si>
    <t>J1807.DS13</t>
  </si>
  <si>
    <t>J1807.CS10</t>
  </si>
  <si>
    <t>J1807.DS10</t>
  </si>
  <si>
    <t>J1807.CS9</t>
  </si>
  <si>
    <t>J1807.DS9</t>
  </si>
  <si>
    <t>J1807.CS8</t>
  </si>
  <si>
    <t>J1807.DS8</t>
  </si>
  <si>
    <t>J1807.CS7</t>
  </si>
  <si>
    <t>J1807.DS7</t>
  </si>
  <si>
    <t>J1807.CS6</t>
  </si>
  <si>
    <t>J1807.DS6</t>
  </si>
  <si>
    <t>J1807.CS4</t>
  </si>
  <si>
    <t>J1807.DS4</t>
  </si>
  <si>
    <t>J1807.CS3</t>
  </si>
  <si>
    <t>J1807.DS3</t>
  </si>
  <si>
    <t>J1807.CS2</t>
  </si>
  <si>
    <t>J1807.DS2</t>
  </si>
  <si>
    <t>J1807.CS1</t>
  </si>
  <si>
    <t>J1807.DS1</t>
  </si>
  <si>
    <t>J1807.BS2</t>
  </si>
  <si>
    <t>J1807.AS2</t>
  </si>
  <si>
    <t>J1807.BS3</t>
  </si>
  <si>
    <t>J1807.AS3</t>
  </si>
  <si>
    <t>J1807.BS4</t>
  </si>
  <si>
    <t>J1807.AS4</t>
  </si>
  <si>
    <t>J1807.BS5</t>
  </si>
  <si>
    <t>J1807.AS5</t>
  </si>
  <si>
    <t>J1807.BS6</t>
  </si>
  <si>
    <t>J1807.AS6</t>
  </si>
  <si>
    <t>J1807.BS7</t>
  </si>
  <si>
    <t>J1807.AS7</t>
  </si>
  <si>
    <t>J1807.BS8</t>
  </si>
  <si>
    <t>J1807.AS8</t>
  </si>
  <si>
    <t>J1807.BS9</t>
  </si>
  <si>
    <t>J1807.AS9</t>
  </si>
  <si>
    <t>J1807.BS14</t>
  </si>
  <si>
    <t>J1807.AS14</t>
  </si>
  <si>
    <t>J1808.CS14</t>
  </si>
  <si>
    <t>J1808.DS14</t>
  </si>
  <si>
    <t>J1808.CS13</t>
  </si>
  <si>
    <t>J1808.DS13</t>
  </si>
  <si>
    <t>J1808.CS12</t>
  </si>
  <si>
    <t>J1808.DS12</t>
  </si>
  <si>
    <t>J1808.CS11</t>
  </si>
  <si>
    <t>J1808.DS11</t>
  </si>
  <si>
    <t>J1808.CS10</t>
  </si>
  <si>
    <t>J1808.DS10</t>
  </si>
  <si>
    <t>J1808.CS9</t>
  </si>
  <si>
    <t>J1808.DS9</t>
  </si>
  <si>
    <t>J1808.CS8</t>
  </si>
  <si>
    <t>J1808.DS8</t>
  </si>
  <si>
    <t>J1808.CS7</t>
  </si>
  <si>
    <t>J1808.DS7</t>
  </si>
  <si>
    <t>J1808.CS6</t>
  </si>
  <si>
    <t>J1808.DS6</t>
  </si>
  <si>
    <t>J1808.CS4</t>
  </si>
  <si>
    <t>J1808.DS4</t>
  </si>
  <si>
    <t>J1808.CS3</t>
  </si>
  <si>
    <t>J1808.DS3</t>
  </si>
  <si>
    <t>J1808.CS2</t>
  </si>
  <si>
    <t>J1808.DS2</t>
  </si>
  <si>
    <t>J1808.CS1</t>
  </si>
  <si>
    <t>J1808.DS1</t>
  </si>
  <si>
    <t>J1808.BS2</t>
  </si>
  <si>
    <t>J1808.AS2</t>
  </si>
  <si>
    <t>J1808.BS3</t>
  </si>
  <si>
    <t>J1808.AS3</t>
  </si>
  <si>
    <t>J1808.BS4</t>
  </si>
  <si>
    <t>J1808.AS4</t>
  </si>
  <si>
    <t>J1808.BS5</t>
  </si>
  <si>
    <t>J1808.AS5</t>
  </si>
  <si>
    <t>J1808.BS6</t>
  </si>
  <si>
    <t>J1808.AS6</t>
  </si>
  <si>
    <t>J1808.BS7</t>
  </si>
  <si>
    <t>J1808.AS7</t>
  </si>
  <si>
    <t>J1808.BS8</t>
  </si>
  <si>
    <t>J1808.AS8</t>
  </si>
  <si>
    <t>J1808.BS9</t>
  </si>
  <si>
    <t>J1808.AS9</t>
  </si>
  <si>
    <t>J1808.BS14</t>
  </si>
  <si>
    <t>J1808.AS14</t>
  </si>
  <si>
    <t>J1809.CS14</t>
  </si>
  <si>
    <t>J1809.DS14</t>
  </si>
  <si>
    <t>J1809.CS13</t>
  </si>
  <si>
    <t>J1809.DS13</t>
  </si>
  <si>
    <t>J1809.CS12</t>
  </si>
  <si>
    <t>J1809.DS12</t>
  </si>
  <si>
    <t>J1809.CS11</t>
  </si>
  <si>
    <t>J1809.DS11</t>
  </si>
  <si>
    <t>J1809.CS10</t>
  </si>
  <si>
    <t>J1809.DS10</t>
  </si>
  <si>
    <t>J1809.CS9</t>
  </si>
  <si>
    <t>J1809.DS9</t>
  </si>
  <si>
    <t>J1809.CS8</t>
  </si>
  <si>
    <t>J1809.DS8</t>
  </si>
  <si>
    <t>J1809.CS7</t>
  </si>
  <si>
    <t>J1809.DS7</t>
  </si>
  <si>
    <t>J1809.CS6</t>
  </si>
  <si>
    <t>J1809.DS6</t>
  </si>
  <si>
    <t>J1809.CS4</t>
  </si>
  <si>
    <t>J1809.DS4</t>
  </si>
  <si>
    <t>J1809.CS3</t>
  </si>
  <si>
    <t>J1809.DS3</t>
  </si>
  <si>
    <t>J1809.CS2</t>
  </si>
  <si>
    <t>J1809.DS2</t>
  </si>
  <si>
    <t>J1809.CS1</t>
  </si>
  <si>
    <t>J1809.DS1</t>
  </si>
  <si>
    <t>J1809.BS2</t>
  </si>
  <si>
    <t>J1809.AS2</t>
  </si>
  <si>
    <t>J1809.BS3</t>
  </si>
  <si>
    <t>J1809.AS3</t>
  </si>
  <si>
    <t>J1809.BS4</t>
  </si>
  <si>
    <t>J1809.AS4</t>
  </si>
  <si>
    <t>J1809.BS5</t>
  </si>
  <si>
    <t>J1809.AS5</t>
  </si>
  <si>
    <t>J1809.BS6</t>
  </si>
  <si>
    <t>J1809.AS6</t>
  </si>
  <si>
    <t>J1809.BS7</t>
  </si>
  <si>
    <t>J1809.AS7</t>
  </si>
  <si>
    <t>J1809.BS8</t>
  </si>
  <si>
    <t>J1809.AS8</t>
  </si>
  <si>
    <t>J1809.BS9</t>
  </si>
  <si>
    <t>J1809.AS9</t>
  </si>
  <si>
    <t>J1809.BS14</t>
  </si>
  <si>
    <t>J1809.AS14</t>
  </si>
  <si>
    <t>RA237.2</t>
  </si>
  <si>
    <t>ULT 2+2</t>
  </si>
  <si>
    <t>PIN NAME</t>
  </si>
  <si>
    <t/>
  </si>
  <si>
    <t>AZA_PLLMON_N</t>
  </si>
  <si>
    <t>Added from ULX but it is EDRAM</t>
  </si>
  <si>
    <t>CPU_JTAG_TRST_N</t>
  </si>
  <si>
    <t>NOA_STBN[1] SHARING WITH RELAY</t>
  </si>
  <si>
    <t>Y connected with DDR1_ODT[0] Shared with PCH</t>
  </si>
  <si>
    <t>POPIICCCTL</t>
  </si>
  <si>
    <t>Y-connection with SKL_CNL_N</t>
  </si>
  <si>
    <t>Relay with DDR0/1_MA[3]</t>
  </si>
  <si>
    <t>Relay with DDR0/1_ODT [1]</t>
  </si>
  <si>
    <t>Even &amp; Odd relay share</t>
  </si>
  <si>
    <t>VCCDSW_1P0</t>
  </si>
  <si>
    <t>Sync1</t>
  </si>
  <si>
    <t>D5_TC_TD01__GPP_A_10_CLKOUT_LPC_1</t>
  </si>
  <si>
    <t>TPE202.1</t>
  </si>
  <si>
    <t>D5_TC_TD01__GPP_A_9_CLKOUT_LPC_0_ESPI_CLK</t>
  </si>
  <si>
    <t>TPE201.1</t>
  </si>
  <si>
    <t>TPE104.1</t>
  </si>
  <si>
    <t>TPE103.1</t>
  </si>
  <si>
    <t>TPE102.1</t>
  </si>
  <si>
    <t>TPE101.1</t>
  </si>
  <si>
    <t>D3_TC_TD01__GPP_A_10_CLKOUT_LPC_1</t>
  </si>
  <si>
    <t>TPC202.1</t>
  </si>
  <si>
    <t>D3_TC_TD01__GPP_A_9_CLKOUT_LPC_0_ESPI_CLK</t>
  </si>
  <si>
    <t>TPC201.1</t>
  </si>
  <si>
    <t>TPC104.1</t>
  </si>
  <si>
    <t>TPC103.1</t>
  </si>
  <si>
    <t>TPC102.1</t>
  </si>
  <si>
    <t>TPC101.1</t>
  </si>
  <si>
    <t>RE237.2</t>
  </si>
  <si>
    <t>D5_TC_TD03__SKL_CNL_N__LGC_SPARE2__TC</t>
  </si>
  <si>
    <t>RE186.2</t>
  </si>
  <si>
    <t>RE186.1</t>
  </si>
  <si>
    <t>RE185.2</t>
  </si>
  <si>
    <t>RE185.1</t>
  </si>
  <si>
    <t>D5_TC_TD01__TD_DFTANATP1__TC</t>
  </si>
  <si>
    <t>RE184.2</t>
  </si>
  <si>
    <t>RE184.1</t>
  </si>
  <si>
    <t>RE183.1</t>
  </si>
  <si>
    <t>RE182.1</t>
  </si>
  <si>
    <t>D5_TC_TD01__TD_DFTANATP0__TC</t>
  </si>
  <si>
    <t>RE181.2</t>
  </si>
  <si>
    <t>RE181.1</t>
  </si>
  <si>
    <t>RE180.2</t>
  </si>
  <si>
    <t>RE179.1</t>
  </si>
  <si>
    <t>D5_TC_TD03__SKL_CNL_N__SKTOCC_N__TC</t>
  </si>
  <si>
    <t>RE178.2</t>
  </si>
  <si>
    <t>RE178.1</t>
  </si>
  <si>
    <t>RE177.2</t>
  </si>
  <si>
    <t>RE177.1</t>
  </si>
  <si>
    <t>D5_TC_TD01__RTCX2__TC</t>
  </si>
  <si>
    <t>RE165.2</t>
  </si>
  <si>
    <t>RE150.2</t>
  </si>
  <si>
    <t>RE148.2</t>
  </si>
  <si>
    <t>RE147.2</t>
  </si>
  <si>
    <t>D5_TC_TD01__PECI__TC</t>
  </si>
  <si>
    <t>RE147.1</t>
  </si>
  <si>
    <t>RE141.1</t>
  </si>
  <si>
    <t>RE140.1</t>
  </si>
  <si>
    <t>RE137.2</t>
  </si>
  <si>
    <t>RE136.2</t>
  </si>
  <si>
    <t>D5_TC_TD02__CPU_POPIRCOMP__TC</t>
  </si>
  <si>
    <t>RE135.2</t>
  </si>
  <si>
    <t>RE135.1</t>
  </si>
  <si>
    <t>D5_TC_TD01__POPIICCCTL__TC</t>
  </si>
  <si>
    <t>RE134.2</t>
  </si>
  <si>
    <t>D5_TC_TD01__POPIICCCTL</t>
  </si>
  <si>
    <t>RE134.1</t>
  </si>
  <si>
    <t>RE133.2</t>
  </si>
  <si>
    <t>RE121.2</t>
  </si>
  <si>
    <t>RE120.2</t>
  </si>
  <si>
    <t>RE119.1</t>
  </si>
  <si>
    <t>RE109.1</t>
  </si>
  <si>
    <t>RE108.2</t>
  </si>
  <si>
    <t>D5_TC_TD03__DDR_COMP2__TC</t>
  </si>
  <si>
    <t>RE108.1</t>
  </si>
  <si>
    <t>RE107.1</t>
  </si>
  <si>
    <t>RE106.2</t>
  </si>
  <si>
    <t>D5_TC_TD03__DDR_COMP1__TC</t>
  </si>
  <si>
    <t>RE106.1</t>
  </si>
  <si>
    <t>RE105.1</t>
  </si>
  <si>
    <t>RE104.2</t>
  </si>
  <si>
    <t>D5_TC_TD03__DDR_COMP0__TC</t>
  </si>
  <si>
    <t>RE104.1</t>
  </si>
  <si>
    <t>RE103.2</t>
  </si>
  <si>
    <t>RE103.1</t>
  </si>
  <si>
    <t>RE102.2</t>
  </si>
  <si>
    <t>D5_TC_TD02__DP_COMP__TC</t>
  </si>
  <si>
    <t>RE102.1</t>
  </si>
  <si>
    <t>RE101.2</t>
  </si>
  <si>
    <t>RC237.2</t>
  </si>
  <si>
    <t>D3_TC_TD03__SKL_CNL_N__LGC_SPARE2__TC</t>
  </si>
  <si>
    <t>RC186.2</t>
  </si>
  <si>
    <t>RC186.1</t>
  </si>
  <si>
    <t>RC185.2</t>
  </si>
  <si>
    <t>RC185.1</t>
  </si>
  <si>
    <t>D3_TC_TD01__TD_DFTANATP1__TC</t>
  </si>
  <si>
    <t>RC184.2</t>
  </si>
  <si>
    <t>RC184.1</t>
  </si>
  <si>
    <t>RC183.1</t>
  </si>
  <si>
    <t>RC182.1</t>
  </si>
  <si>
    <t>D3_TC_TD01__TD_DFTANATP0__TC</t>
  </si>
  <si>
    <t>RC181.2</t>
  </si>
  <si>
    <t>RC181.1</t>
  </si>
  <si>
    <t>RC180.2</t>
  </si>
  <si>
    <t>RC179.1</t>
  </si>
  <si>
    <t>D3_TC_TD03__SKL_CNL_N__SKTOCC_N__TC</t>
  </si>
  <si>
    <t>RC178.2</t>
  </si>
  <si>
    <t>RC178.1</t>
  </si>
  <si>
    <t>RC177.2</t>
  </si>
  <si>
    <t>RC177.1</t>
  </si>
  <si>
    <t>D3_TC_TD01__RTCX2__TC</t>
  </si>
  <si>
    <t>RC165.2</t>
  </si>
  <si>
    <t>RC150.2</t>
  </si>
  <si>
    <t>RC148.2</t>
  </si>
  <si>
    <t>RC147.2</t>
  </si>
  <si>
    <t>D3_TC_TD01__PECI__TC</t>
  </si>
  <si>
    <t>RC147.1</t>
  </si>
  <si>
    <t>RC141.1</t>
  </si>
  <si>
    <t>RC140.1</t>
  </si>
  <si>
    <t>RC137.2</t>
  </si>
  <si>
    <t>RC136.2</t>
  </si>
  <si>
    <t>D3_TC_TD02__CPU_POPIRCOMP__TC</t>
  </si>
  <si>
    <t>RC135.2</t>
  </si>
  <si>
    <t>RC135.1</t>
  </si>
  <si>
    <t>D3_TC_TD01__POPIICCCTL__TC</t>
  </si>
  <si>
    <t>RC134.2</t>
  </si>
  <si>
    <t>D3_TC_TD01__POPIICCCTL</t>
  </si>
  <si>
    <t>RC134.1</t>
  </si>
  <si>
    <t>RC133.2</t>
  </si>
  <si>
    <t>RC121.2</t>
  </si>
  <si>
    <t>RC120.2</t>
  </si>
  <si>
    <t>RC119.1</t>
  </si>
  <si>
    <t>RC109.1</t>
  </si>
  <si>
    <t>RC108.2</t>
  </si>
  <si>
    <t>D3_TC_TD03__DDR_COMP2__TC</t>
  </si>
  <si>
    <t>RC108.1</t>
  </si>
  <si>
    <t>RC107.1</t>
  </si>
  <si>
    <t>RC106.2</t>
  </si>
  <si>
    <t>D3_TC_TD03__DDR_COMP1__TC</t>
  </si>
  <si>
    <t>RC106.1</t>
  </si>
  <si>
    <t>RC105.1</t>
  </si>
  <si>
    <t>RC104.2</t>
  </si>
  <si>
    <t>D3_TC_TD03__DDR_COMP0__TC</t>
  </si>
  <si>
    <t>RC104.1</t>
  </si>
  <si>
    <t>D1_TC_TD03__SKL_CNL_N__LGC_SPARE2__TC</t>
  </si>
  <si>
    <t>RA186.2</t>
  </si>
  <si>
    <t>RA186.1</t>
  </si>
  <si>
    <t>RA185.2</t>
  </si>
  <si>
    <t>RA185.1</t>
  </si>
  <si>
    <t>D1_TC_TD03__SKL_CNL_N__SKTOCC_N__TC</t>
  </si>
  <si>
    <t>D5_TC_DP32_TD01__USB3_4_RXP__TXP__TC</t>
  </si>
  <si>
    <t>LE532.2</t>
  </si>
  <si>
    <t>LE532.1</t>
  </si>
  <si>
    <t>D5_TC_DP32_TD01__USB3_4_RXN__TXN__TC</t>
  </si>
  <si>
    <t>LE531.2</t>
  </si>
  <si>
    <t>LE531.1</t>
  </si>
  <si>
    <t>D5_TC_DP30_TD01__USB3_3_SSIC_2_RXP__TXP__TC</t>
  </si>
  <si>
    <t>LE530.2</t>
  </si>
  <si>
    <t>LE530.1</t>
  </si>
  <si>
    <t>D5_TC_DP30_TD01__USB3_3_SSIC_2_RXN__TXN__TC</t>
  </si>
  <si>
    <t>LE529.2</t>
  </si>
  <si>
    <t>LE529.1</t>
  </si>
  <si>
    <t>D5_TC_DP28_TD01__USB3_2_SSIC_1_RXP__TXP__TC</t>
  </si>
  <si>
    <t>LE528.2</t>
  </si>
  <si>
    <t>LE528.1</t>
  </si>
  <si>
    <t>D5_TC_DP28_TD01__USB3_2_SSIC_1_RXN__TXN__TC</t>
  </si>
  <si>
    <t>LE527.2</t>
  </si>
  <si>
    <t>LE527.1</t>
  </si>
  <si>
    <t>D5_TC_DP26_TD01__USB3_1_RXP__TXP__TC</t>
  </si>
  <si>
    <t>LE526.2</t>
  </si>
  <si>
    <t>LE526.1</t>
  </si>
  <si>
    <t>D5_TC_DP26_TD01__USB3_1_RXN__TXN__TC</t>
  </si>
  <si>
    <t>LE525.2</t>
  </si>
  <si>
    <t>LE525.1</t>
  </si>
  <si>
    <t>D5_TC_DP24_TD01__PCIE_12_SATA_2_RXP__TXP__TC</t>
  </si>
  <si>
    <t>LE524.2</t>
  </si>
  <si>
    <t>LE524.1</t>
  </si>
  <si>
    <t>D5_TC_DP24_TD01__PCIE_12_SATA_2_RXN__TXN__TC</t>
  </si>
  <si>
    <t>LE523.2</t>
  </si>
  <si>
    <t>LE523.1</t>
  </si>
  <si>
    <t>D5_TC_DP22_TD01__PCIE_11_SATA_1B_RXP__TXP__TC</t>
  </si>
  <si>
    <t>LE522.2</t>
  </si>
  <si>
    <t>LE522.1</t>
  </si>
  <si>
    <t>D5_TC_DP22_TD01__PCIE_11_SATA_1B_RXN__TXN__TC</t>
  </si>
  <si>
    <t>LE521.2</t>
  </si>
  <si>
    <t>LE521.1</t>
  </si>
  <si>
    <t>D5_TC_DP20_TD01__PCIE_10_LAN_0E_RXP__TXP__TC</t>
  </si>
  <si>
    <t>LE520.2</t>
  </si>
  <si>
    <t>LE520.1</t>
  </si>
  <si>
    <t>D5_TC_DP20_TD01__PCIE_10_LAN_0E_RXN__TXN__TC</t>
  </si>
  <si>
    <t>LE519.2</t>
  </si>
  <si>
    <t>LE519.1</t>
  </si>
  <si>
    <t>D5_TC_DP18_TD01__PCIE_9_LAN_0D_RXP__TXP__TC</t>
  </si>
  <si>
    <t>LE518.2</t>
  </si>
  <si>
    <t>LE518.1</t>
  </si>
  <si>
    <t>D5_TC_DP18_TD01__PCIE_9_LAN_0D_RXN__TXN__TC</t>
  </si>
  <si>
    <t>LE517.2</t>
  </si>
  <si>
    <t>LE517.1</t>
  </si>
  <si>
    <t>D5_TC_DP16_TD01__PCIE_8_SATA_1A_RXP__TXP__TC</t>
  </si>
  <si>
    <t>LE516.2</t>
  </si>
  <si>
    <t>LE516.1</t>
  </si>
  <si>
    <t>D5_TC_DP16_TD01__PCIE_8_SATA_1A_RXN__TXN__TC</t>
  </si>
  <si>
    <t>LE515.2</t>
  </si>
  <si>
    <t>LE515.1</t>
  </si>
  <si>
    <t>D5_TC_DP14_TD01__PCIE_7_SATA_0_RXP__TXP__TC</t>
  </si>
  <si>
    <t>LE514.2</t>
  </si>
  <si>
    <t>LE514.1</t>
  </si>
  <si>
    <t>D5_TC_DP14_TD01__PCIE_7_SATA_0_RXN__TXN__TC</t>
  </si>
  <si>
    <t>LE513.2</t>
  </si>
  <si>
    <t>LE513.1</t>
  </si>
  <si>
    <t>D5_TC_DP12_TD01__PCIE_6_RXP__TXP__TC</t>
  </si>
  <si>
    <t>LE512.2</t>
  </si>
  <si>
    <t>LE512.1</t>
  </si>
  <si>
    <t>D5_TC_DP12_TD01__PCIE_6_RXN__TXN__TC</t>
  </si>
  <si>
    <t>LE511.2</t>
  </si>
  <si>
    <t>LE511.1</t>
  </si>
  <si>
    <t>D5_TC_DP10_TD01__PCIE_5_LAN_0C_RXP__TXP__TC</t>
  </si>
  <si>
    <t>LE510.2</t>
  </si>
  <si>
    <t>LE510.1</t>
  </si>
  <si>
    <t>D5_TC_DP10_TD01__PCIE_5_LAN_0C_RXN__TXN__TC</t>
  </si>
  <si>
    <t>LE509.2</t>
  </si>
  <si>
    <t>LE509.1</t>
  </si>
  <si>
    <t>D5_TC_DP08_TD01__PCIE_4_LAN_0B_RXP__TXP__TC</t>
  </si>
  <si>
    <t>LE508.2</t>
  </si>
  <si>
    <t>LE508.1</t>
  </si>
  <si>
    <t>D5_TC_DP08_TD01__PCIE_4_LAN_0B_RXN__TXN__TC</t>
  </si>
  <si>
    <t>LE507.2</t>
  </si>
  <si>
    <t>LE507.1</t>
  </si>
  <si>
    <t>D5_TC_DP06_TD01__PCIE_3_UFS_0B_LAN_0A_RXP__TXP__TC</t>
  </si>
  <si>
    <t>LE506.2</t>
  </si>
  <si>
    <t>LE506.1</t>
  </si>
  <si>
    <t>D5_TC_DP06_TD01__PCIE_3_UFS_0B_LAN_0A_RXN__TXN__TC</t>
  </si>
  <si>
    <t>LE505.2</t>
  </si>
  <si>
    <t>LE505.1</t>
  </si>
  <si>
    <t>D5_TC_DP04_TD01__PCIE_2_UFS_0A_USB3_6_RXP__TXP__TC</t>
  </si>
  <si>
    <t>LE504.2</t>
  </si>
  <si>
    <t>LE504.1</t>
  </si>
  <si>
    <t>D5_TC_DP04_TD01__PCIE_2_UFS_0A_USB3_6_RXN__TXN__TC</t>
  </si>
  <si>
    <t>LE503.2</t>
  </si>
  <si>
    <t>LE503.1</t>
  </si>
  <si>
    <t>D5_TC_DP02_TD01__PCIE_1_USB3_5_RXP__TXP__TC</t>
  </si>
  <si>
    <t>LE502.2</t>
  </si>
  <si>
    <t>LE502.1</t>
  </si>
  <si>
    <t>D5_TC_DP02_TD01__PCIE_1_USB3_5_RXN__TXN__TC</t>
  </si>
  <si>
    <t>LE501.2</t>
  </si>
  <si>
    <t>LE501.1</t>
  </si>
  <si>
    <t>D3_TC_DP32_TD01__USB3_4_RXP__TXP__TC</t>
  </si>
  <si>
    <t>LC532.2</t>
  </si>
  <si>
    <t>LC532.1</t>
  </si>
  <si>
    <t>D3_TC_DP32_TD01__USB3_4_RXN__TXN__TC</t>
  </si>
  <si>
    <t>LC531.2</t>
  </si>
  <si>
    <t>LC531.1</t>
  </si>
  <si>
    <t>D3_TC_DP30_TD01__USB3_3_SSIC_2_RXP__TXP__TC</t>
  </si>
  <si>
    <t>LC530.2</t>
  </si>
  <si>
    <t>LC530.1</t>
  </si>
  <si>
    <t>D3_TC_DP30_TD01__USB3_3_SSIC_2_RXN__TXN__TC</t>
  </si>
  <si>
    <t>LC529.2</t>
  </si>
  <si>
    <t>LC529.1</t>
  </si>
  <si>
    <t>D3_TC_DP28_TD01__USB3_2_SSIC_1_RXP__TXP__TC</t>
  </si>
  <si>
    <t>LC528.2</t>
  </si>
  <si>
    <t>LC528.1</t>
  </si>
  <si>
    <t>D3_TC_DP28_TD01__USB3_2_SSIC_1_RXN__TXN__TC</t>
  </si>
  <si>
    <t>LC527.2</t>
  </si>
  <si>
    <t>LC527.1</t>
  </si>
  <si>
    <t>D3_TC_DP26_TD01__USB3_1_RXP__TXP__TC</t>
  </si>
  <si>
    <t>LC526.2</t>
  </si>
  <si>
    <t>LC526.1</t>
  </si>
  <si>
    <t>D3_TC_DP26_TD01__USB3_1_RXN__TXN__TC</t>
  </si>
  <si>
    <t>LC525.2</t>
  </si>
  <si>
    <t>LC525.1</t>
  </si>
  <si>
    <t>KE516.8</t>
  </si>
  <si>
    <t>KE516.6</t>
  </si>
  <si>
    <t>KE516.4</t>
  </si>
  <si>
    <t>KE516.2</t>
  </si>
  <si>
    <t>KE515.8</t>
  </si>
  <si>
    <t>KE515.6</t>
  </si>
  <si>
    <t>KE515.4</t>
  </si>
  <si>
    <t>KE515.2</t>
  </si>
  <si>
    <t>KE514.8</t>
  </si>
  <si>
    <t>KE514.6</t>
  </si>
  <si>
    <t>KE514.4</t>
  </si>
  <si>
    <t>KE514.2</t>
  </si>
  <si>
    <t>KE513.8</t>
  </si>
  <si>
    <t>KE513.6</t>
  </si>
  <si>
    <t>KE513.4</t>
  </si>
  <si>
    <t>KE513.2</t>
  </si>
  <si>
    <t>KE512.8</t>
  </si>
  <si>
    <t>KE512.6</t>
  </si>
  <si>
    <t>KE512.4</t>
  </si>
  <si>
    <t>KE512.2</t>
  </si>
  <si>
    <t>KE511.8</t>
  </si>
  <si>
    <t>KE511.6</t>
  </si>
  <si>
    <t>KE511.4</t>
  </si>
  <si>
    <t>KE511.2</t>
  </si>
  <si>
    <t>KE510.8</t>
  </si>
  <si>
    <t>KE510.6</t>
  </si>
  <si>
    <t>KE510.4</t>
  </si>
  <si>
    <t>KE510.2</t>
  </si>
  <si>
    <t>KE509.8</t>
  </si>
  <si>
    <t>KE509.6</t>
  </si>
  <si>
    <t>KE509.4</t>
  </si>
  <si>
    <t>KE509.2</t>
  </si>
  <si>
    <t>KE508.8</t>
  </si>
  <si>
    <t>KE508.6</t>
  </si>
  <si>
    <t>KE508.4</t>
  </si>
  <si>
    <t>KE508.2</t>
  </si>
  <si>
    <t>KE507.8</t>
  </si>
  <si>
    <t>KE507.6</t>
  </si>
  <si>
    <t>KE507.4</t>
  </si>
  <si>
    <t>KE507.2</t>
  </si>
  <si>
    <t>KE506.8</t>
  </si>
  <si>
    <t>KE506.6</t>
  </si>
  <si>
    <t>KE506.4</t>
  </si>
  <si>
    <t>KE506.2</t>
  </si>
  <si>
    <t>KE505.8</t>
  </si>
  <si>
    <t>KE505.6</t>
  </si>
  <si>
    <t>KE505.4</t>
  </si>
  <si>
    <t>KE505.2</t>
  </si>
  <si>
    <t>KE504.8</t>
  </si>
  <si>
    <t>KE504.6</t>
  </si>
  <si>
    <t>KE504.4</t>
  </si>
  <si>
    <t>KE504.2</t>
  </si>
  <si>
    <t>KE503.8</t>
  </si>
  <si>
    <t>KE503.6</t>
  </si>
  <si>
    <t>KE503.4</t>
  </si>
  <si>
    <t>KE503.2</t>
  </si>
  <si>
    <t>KE502.8</t>
  </si>
  <si>
    <t>KE502.6</t>
  </si>
  <si>
    <t>KE502.4</t>
  </si>
  <si>
    <t>KE502.2</t>
  </si>
  <si>
    <t>KE501.8</t>
  </si>
  <si>
    <t>KE501.6</t>
  </si>
  <si>
    <t>KE501.4</t>
  </si>
  <si>
    <t>KE501.2</t>
  </si>
  <si>
    <t>KE148.4</t>
  </si>
  <si>
    <t>KE148.3</t>
  </si>
  <si>
    <t>D5_TC_TD03__FIVR_PROBE_ANA0__FIVR_PROBE_ANA1__TC</t>
  </si>
  <si>
    <t>KE148.2</t>
  </si>
  <si>
    <t>D5_TC_DP116_SH54_TD03__DDI2_AUXP__DDI3_AUXP__TC</t>
  </si>
  <si>
    <t>KE146.8</t>
  </si>
  <si>
    <t>KE146.7</t>
  </si>
  <si>
    <t>KE146.6</t>
  </si>
  <si>
    <t>KE146.4</t>
  </si>
  <si>
    <t>KE146.3</t>
  </si>
  <si>
    <t>D5_TC_DP116_SH53_TD03__DDI2_AUXN__DDI3_AUXN__TC</t>
  </si>
  <si>
    <t>KE146.2</t>
  </si>
  <si>
    <t>D5_TC_SH66_TD01__AZA_SDI_1_SSP1_RXD__GPP_G_2_SD_DATA1__TC</t>
  </si>
  <si>
    <t>KE145.8</t>
  </si>
  <si>
    <t>KE145.7</t>
  </si>
  <si>
    <t>KE145.6</t>
  </si>
  <si>
    <t>KE145.4</t>
  </si>
  <si>
    <t>KE145.3</t>
  </si>
  <si>
    <t>D5_TC_SH65_TD01__GPP_G_1_SD_DATA0__INTRUDERB__TC</t>
  </si>
  <si>
    <t>KE145.2</t>
  </si>
  <si>
    <t>D5_TC_SH64_TD01__AZA_RSTB_SSP1_SCLK__GPP_F_16_EMMC_DATA3__TC</t>
  </si>
  <si>
    <t>KE144.8</t>
  </si>
  <si>
    <t>KE144.7</t>
  </si>
  <si>
    <t>KE144.6</t>
  </si>
  <si>
    <t>KE144.4</t>
  </si>
  <si>
    <t>KE144.3</t>
  </si>
  <si>
    <t>D5_TC_SH62_TD01__AZA_SYNC_SSP0_SFRM__GPP_F_15_EMMC_DATA2__TC</t>
  </si>
  <si>
    <t>KE143.8</t>
  </si>
  <si>
    <t>KE143.7</t>
  </si>
  <si>
    <t>KE143.6</t>
  </si>
  <si>
    <t>KE143.4</t>
  </si>
  <si>
    <t>KE143.3</t>
  </si>
  <si>
    <t>D5_TC_SH61_TD01__MLK_CLK__GPP_F_20_EMMC_DATA7__TC</t>
  </si>
  <si>
    <t>KE143.2</t>
  </si>
  <si>
    <t>D5_TC_SH60_TD01__AZA_BCLK_SSP0_SCLK__GPP_F_14_EMMC_DATA1__TC</t>
  </si>
  <si>
    <t>KE142.8</t>
  </si>
  <si>
    <t>KE142.7</t>
  </si>
  <si>
    <t>KE142.6</t>
  </si>
  <si>
    <t>KE142.4</t>
  </si>
  <si>
    <t>KE142.3</t>
  </si>
  <si>
    <t>D5_TC_SH59_TD01__MLK_DATA__GPP_F_19_EMMC_DATA6__TC</t>
  </si>
  <si>
    <t>KE142.2</t>
  </si>
  <si>
    <t>D5_TC_SH58_TD01__AZA_SDO_SSP0_TXD__GPP_F_13_EMMC_DATA0__TC</t>
  </si>
  <si>
    <t>KE141.8</t>
  </si>
  <si>
    <t>KE141.7</t>
  </si>
  <si>
    <t>KE141.6</t>
  </si>
  <si>
    <t>KE141.4</t>
  </si>
  <si>
    <t>KE141.3</t>
  </si>
  <si>
    <t>D5_TC_SH57_TD01__SSP1_TXD__GPP_F_18_EMMC_DATA5__TC</t>
  </si>
  <si>
    <t>KE141.2</t>
  </si>
  <si>
    <t>D5_TC_SH56_TD01__AZA_SDI_0_SSP0_RXD__GPP_F_12_EMMC_CMD__TC</t>
  </si>
  <si>
    <t>KE140.8</t>
  </si>
  <si>
    <t>KE140.7</t>
  </si>
  <si>
    <t>KE140.6</t>
  </si>
  <si>
    <t>KE140.4</t>
  </si>
  <si>
    <t>KE140.3</t>
  </si>
  <si>
    <t>D5_TC_SH55_TD01__SSP1_SFRM__GPP_F_17_EMMC_DATA4__TC</t>
  </si>
  <si>
    <t>KE140.2</t>
  </si>
  <si>
    <t>KE139.8</t>
  </si>
  <si>
    <t>D5_TC_TD01__XTAL_IN__TC</t>
  </si>
  <si>
    <t>KE139.6</t>
  </si>
  <si>
    <t>D5_TC_TD01__XTAL_OUT__TC</t>
  </si>
  <si>
    <t>KE139.4</t>
  </si>
  <si>
    <t>KE139.2</t>
  </si>
  <si>
    <t>D5_TC_TD01__RTCX1__TC</t>
  </si>
  <si>
    <t>KE138.8</t>
  </si>
  <si>
    <t>KE137.8</t>
  </si>
  <si>
    <t>KE137.6</t>
  </si>
  <si>
    <t>KE137.4</t>
  </si>
  <si>
    <t>KE137.2</t>
  </si>
  <si>
    <t>KE131.7</t>
  </si>
  <si>
    <t>KE131.3</t>
  </si>
  <si>
    <t>D5_TC_DP61_SH16_TD03__NOA_N13__DDI2_TXN3__TC</t>
  </si>
  <si>
    <t>KE130.8</t>
  </si>
  <si>
    <t>KE130.7</t>
  </si>
  <si>
    <t>KE130.6</t>
  </si>
  <si>
    <t>KE130.4</t>
  </si>
  <si>
    <t>KE130.3</t>
  </si>
  <si>
    <t>D5_TC_DP61_SH15_TD03__NOA_STBP1__DDI2_TXP3__TC</t>
  </si>
  <si>
    <t>KE130.2</t>
  </si>
  <si>
    <t>D5_TC_DP60_SH14_TD03__NOA_N12__DDI2_TXN2__TC</t>
  </si>
  <si>
    <t>KE129.8</t>
  </si>
  <si>
    <t>KE129.7</t>
  </si>
  <si>
    <t>KE129.6</t>
  </si>
  <si>
    <t>KE129.4</t>
  </si>
  <si>
    <t>KE129.3</t>
  </si>
  <si>
    <t>D5_TC_DP60_SH13_TD03__NOA_STBN1__DDI2_TXP2__TC</t>
  </si>
  <si>
    <t>KE129.2</t>
  </si>
  <si>
    <t>D5_TC_DP59_SH12_TD03__NOA_N11__DDI2_TXN1__TC</t>
  </si>
  <si>
    <t>KE128.8</t>
  </si>
  <si>
    <t>KE128.7</t>
  </si>
  <si>
    <t>KE128.6</t>
  </si>
  <si>
    <t>KE128.4</t>
  </si>
  <si>
    <t>KE128.3</t>
  </si>
  <si>
    <t>D5_TC_DP59_SH11_TD03__NOA_N15__DDI2_TXP1__TC</t>
  </si>
  <si>
    <t>KE128.2</t>
  </si>
  <si>
    <t>D5_TC_DP58_SH10_TD03__NOA_N10__DDI2_TXN0__TC</t>
  </si>
  <si>
    <t>KE127.8</t>
  </si>
  <si>
    <t>KE127.7</t>
  </si>
  <si>
    <t>KE127.6</t>
  </si>
  <si>
    <t>KE127.4</t>
  </si>
  <si>
    <t>KE127.3</t>
  </si>
  <si>
    <t>D5_TC_DP58_SH09_TD03__NOA_N14__DDI2_TXP0__TC</t>
  </si>
  <si>
    <t>KE127.2</t>
  </si>
  <si>
    <t>D5_TC_DP57_SH08_TD03__NOA_N5__DDI1_TXN3__TC</t>
  </si>
  <si>
    <t>KE126.8</t>
  </si>
  <si>
    <t>KE126.7</t>
  </si>
  <si>
    <t>KE126.6</t>
  </si>
  <si>
    <t>KE126.4</t>
  </si>
  <si>
    <t>KE126.3</t>
  </si>
  <si>
    <t>D5_TC_DP57_SH07_TD03__NOA_N9__DDI1_TXP3__TC</t>
  </si>
  <si>
    <t>KE126.2</t>
  </si>
  <si>
    <t>D5_TC_DP56_SH06_TD03__NOA_N4__DDI1_TXN2__TC</t>
  </si>
  <si>
    <t>KE125.8</t>
  </si>
  <si>
    <t>KE125.7</t>
  </si>
  <si>
    <t>KE125.6</t>
  </si>
  <si>
    <t>KE125.4</t>
  </si>
  <si>
    <t>KE125.3</t>
  </si>
  <si>
    <t>D5_TC_DP56_SH05_TD03__NOA_N8__DDI1_TXP2__TC</t>
  </si>
  <si>
    <t>KE125.2</t>
  </si>
  <si>
    <t>D5_TC_DP55_SH04_TD03__NOA_N3__DDI1_TXN1__TC</t>
  </si>
  <si>
    <t>KE124.8</t>
  </si>
  <si>
    <t>KE124.7</t>
  </si>
  <si>
    <t>KE124.4</t>
  </si>
  <si>
    <t>KE124.3</t>
  </si>
  <si>
    <t>D5_TC_DP55_SH03_TD03__NOA_N7__DDI1_TXP1__TC</t>
  </si>
  <si>
    <t>KE124.2</t>
  </si>
  <si>
    <t>D5_TC_DP54_SH02_TD03__NOA_N2__DDI1_TXN0__TC</t>
  </si>
  <si>
    <t>KE123.8</t>
  </si>
  <si>
    <t>KE123.7</t>
  </si>
  <si>
    <t>KE123.6</t>
  </si>
  <si>
    <t>KE123.4</t>
  </si>
  <si>
    <t>KE123.3</t>
  </si>
  <si>
    <t>D5_TC_DP54_SH01_TD03__NOA_N6__DDI1_TXP0__TC</t>
  </si>
  <si>
    <t>KE123.2</t>
  </si>
  <si>
    <t>KE122.8</t>
  </si>
  <si>
    <t>D5_TC_TD03__DDR_VREF_DQ1__TC</t>
  </si>
  <si>
    <t>KE122.5</t>
  </si>
  <si>
    <t>D3_TC_TD01__VCCDSW_1P0</t>
  </si>
  <si>
    <t>CC1390.2</t>
  </si>
  <si>
    <t>KE121.8</t>
  </si>
  <si>
    <t>D5_TC_TD03__DDR_VREF_DQ0__TC</t>
  </si>
  <si>
    <t>KE121.5</t>
  </si>
  <si>
    <t>KE120.8</t>
  </si>
  <si>
    <t>D5_TC_TD03__DDR_VREF_CA__TC</t>
  </si>
  <si>
    <t>KE120.5</t>
  </si>
  <si>
    <t>D5_TC_DP53_SH28_TD01__USB2P_5_6__DDR0_DDR1_MA9_CAA1__TC</t>
  </si>
  <si>
    <t>KE119.8</t>
  </si>
  <si>
    <t>KE119.7</t>
  </si>
  <si>
    <t>KE119.3</t>
  </si>
  <si>
    <t>D5_TC_DP52_SH27_TD01__USB2P_3_4__DDR0_DDR1_MA8_CAA3__TC</t>
  </si>
  <si>
    <t>KE119.2</t>
  </si>
  <si>
    <t>D5_TC_DP51_SH26_TD01__USB2P_1_2__DDR0_DDR1_MA7_CAA4__TC</t>
  </si>
  <si>
    <t>KE118.8</t>
  </si>
  <si>
    <t>KE118.7</t>
  </si>
  <si>
    <t>KE118.3</t>
  </si>
  <si>
    <t>D5_TC_DP53_SH25_TD01__USB2N_5_6__DDR0_DDR1_MA6_CAA2__TC</t>
  </si>
  <si>
    <t>KE118.2</t>
  </si>
  <si>
    <t>D5_TC_DP52_SH24_TD01__USB2N_3_4__DDR0_DDR1_MA5_CAA0__TC</t>
  </si>
  <si>
    <t>KE117.8</t>
  </si>
  <si>
    <t>KE117.7</t>
  </si>
  <si>
    <t>KE117.3</t>
  </si>
  <si>
    <t>D5_TC_DP51_SH23_TD01__USB2N_1_2__DDR0_DDR1_MA4__TC</t>
  </si>
  <si>
    <t>KE117.2</t>
  </si>
  <si>
    <t>D5_TC_DP112_SH32_TD01__USB2P_9_10__TC</t>
  </si>
  <si>
    <t>KE116.8</t>
  </si>
  <si>
    <t>KE116.7</t>
  </si>
  <si>
    <t>KE116.6</t>
  </si>
  <si>
    <t>KE116.4</t>
  </si>
  <si>
    <t>KE116.3</t>
  </si>
  <si>
    <t>D5_TC_DP112_SH31_TD01__USB2N_9_10__TC</t>
  </si>
  <si>
    <t>KE116.2</t>
  </si>
  <si>
    <t>D5_TC_DP110_SH30_TD01__USB2P_7_8__TC</t>
  </si>
  <si>
    <t>KE115.8</t>
  </si>
  <si>
    <t>KE115.7</t>
  </si>
  <si>
    <t>KE115.6</t>
  </si>
  <si>
    <t>KE115.4</t>
  </si>
  <si>
    <t>KE115.3</t>
  </si>
  <si>
    <t>D5_TC_DP110_SH29_TD01__USB2N_7_8__TC</t>
  </si>
  <si>
    <t>KE115.2</t>
  </si>
  <si>
    <t>KE114.7</t>
  </si>
  <si>
    <t>KE114.6</t>
  </si>
  <si>
    <t>KE114.4</t>
  </si>
  <si>
    <t>KE114.3</t>
  </si>
  <si>
    <t>KE113.7</t>
  </si>
  <si>
    <t>KE113.6</t>
  </si>
  <si>
    <t>KE113.4</t>
  </si>
  <si>
    <t>KE113.3</t>
  </si>
  <si>
    <t>KE112.7</t>
  </si>
  <si>
    <t>KE112.6</t>
  </si>
  <si>
    <t>KE112.4</t>
  </si>
  <si>
    <t>KE112.3</t>
  </si>
  <si>
    <t>D5_TC_SH22_TD01__USB2_ID__DDR0_DDR1_MA3__TC</t>
  </si>
  <si>
    <t>KE111.8</t>
  </si>
  <si>
    <t>KE111.7</t>
  </si>
  <si>
    <t>KE111.6</t>
  </si>
  <si>
    <t>KE111.4</t>
  </si>
  <si>
    <t>KE111.3</t>
  </si>
  <si>
    <t>D5_TC_SH21_TD01__L_VDDEN__DDR0_DDR1_MA2_CAB5__TC</t>
  </si>
  <si>
    <t>KE111.2</t>
  </si>
  <si>
    <t>D5_TC_SH20_TD01__L_BKLTEN__DDR0_DDR1_MA15_CAA8_ACT_N__TC</t>
  </si>
  <si>
    <t>KE110.8</t>
  </si>
  <si>
    <t>KE110.7</t>
  </si>
  <si>
    <t>KE110.6</t>
  </si>
  <si>
    <t>KE110.4</t>
  </si>
  <si>
    <t>KE110.3</t>
  </si>
  <si>
    <t>D5_TC_SH19_TD01__L_BKLTCTL__DDR0_DDR1_MA14_CAA9_BG1__TC</t>
  </si>
  <si>
    <t>KE110.2</t>
  </si>
  <si>
    <t>D5_TC_SH18_TD01__GPP_E_19_21_23_DDPB_CTRLDATA__DDR0_DDR1_MA13_CAB0__TC</t>
  </si>
  <si>
    <t>KE109.8</t>
  </si>
  <si>
    <t>KE109.7</t>
  </si>
  <si>
    <t>KE109.6</t>
  </si>
  <si>
    <t>KE109.4</t>
  </si>
  <si>
    <t>KE109.3</t>
  </si>
  <si>
    <t>D5_TC_SH17_TD01__GPP_E_18_20_22_DDPB_CTRLCLK__DDR0_DDR1_MA12_CAA6__TC</t>
  </si>
  <si>
    <t>KE109.2</t>
  </si>
  <si>
    <t>KE108.8</t>
  </si>
  <si>
    <t>D3_TC_TD01__VCCRTCEXT</t>
  </si>
  <si>
    <t>CC392.2</t>
  </si>
  <si>
    <t>KE108.7</t>
  </si>
  <si>
    <t>KE108.4</t>
  </si>
  <si>
    <t>KE108.3</t>
  </si>
  <si>
    <t>D5_TC_SH43_TD01__GPP_B_2_VRALERTB__DDR0_DDR1_MA10_CAB7__TC</t>
  </si>
  <si>
    <t>KE108.2</t>
  </si>
  <si>
    <t>D5_TC_SH42_TD01__CSI2_DP_0_4_8__DDR0_DDR1_MA1_CAB8__TC</t>
  </si>
  <si>
    <t>KE107.8</t>
  </si>
  <si>
    <t>KE107.7</t>
  </si>
  <si>
    <t>KE107.6</t>
  </si>
  <si>
    <t>KE107.4</t>
  </si>
  <si>
    <t>KE107.3</t>
  </si>
  <si>
    <t>D5_TC_SH41_TD01__CSI2_DP_3_7_11__DDR0_DDR1_MA0_CAB9__TC</t>
  </si>
  <si>
    <t>KE107.2</t>
  </si>
  <si>
    <t>D5_TC_SH40_TD01__CSI2_DP_2_6_10__DDR0_DDR1_BA2_CAA5_BG0__TC</t>
  </si>
  <si>
    <t>KE106.8</t>
  </si>
  <si>
    <t>KE106.7</t>
  </si>
  <si>
    <t>KE106.6</t>
  </si>
  <si>
    <t>KE106.4</t>
  </si>
  <si>
    <t>KE106.3</t>
  </si>
  <si>
    <t>D5_TC_SH39_TD01__CSI2_DP_1_5_9__DDR0_DDR1_BA1_CAB6__TC</t>
  </si>
  <si>
    <t>KE106.2</t>
  </si>
  <si>
    <t>D5_TC_SH38_TD01__CSI2_DN_3_7_11__DDR0_DDR1_BA0_CAB4__TC</t>
  </si>
  <si>
    <t>KE105.8</t>
  </si>
  <si>
    <t>KE105.7</t>
  </si>
  <si>
    <t>KE105.6</t>
  </si>
  <si>
    <t>KE105.4</t>
  </si>
  <si>
    <t>KE105.3</t>
  </si>
  <si>
    <t>D5_TC_SH37_TD01__CSI2_DN_2_6_10__DDR0_DDR1_ODT0__TC</t>
  </si>
  <si>
    <t>KE105.2</t>
  </si>
  <si>
    <t>D5_TC_SH36_TD01__CSI2_DN_1_5_9__DDR0_DDR1_CLK_P1__TC</t>
  </si>
  <si>
    <t>KE104.8</t>
  </si>
  <si>
    <t>KE104.7</t>
  </si>
  <si>
    <t>KE104.6</t>
  </si>
  <si>
    <t>KE104.4</t>
  </si>
  <si>
    <t>KE104.3</t>
  </si>
  <si>
    <t>D5_TC_SH35_TD01__CSI2_DN_0_4_8__DDR0_DDR1_CLK_P0__TC</t>
  </si>
  <si>
    <t>KE104.2</t>
  </si>
  <si>
    <t>D5_TC_SH34_TD01__CSI2_CLKP_0_3__DDR0_DDR1_CLK_N1__TC</t>
  </si>
  <si>
    <t>KE103.8</t>
  </si>
  <si>
    <t>KE103.7</t>
  </si>
  <si>
    <t>KE103.6</t>
  </si>
  <si>
    <t>KE103.4</t>
  </si>
  <si>
    <t>KE103.3</t>
  </si>
  <si>
    <t>D5_TC_SH33_TD01__CSI2_CLKN_0_3__DDR0_DDR1_CLK_N0__TC</t>
  </si>
  <si>
    <t>KE103.2</t>
  </si>
  <si>
    <t>D5_TC_SH32_TD01__CLKOUT_SRC_P_0_5__DDR0_DDR1_CKE3__TC</t>
  </si>
  <si>
    <t>KE102.8</t>
  </si>
  <si>
    <t>KE102.7</t>
  </si>
  <si>
    <t>KE102.6</t>
  </si>
  <si>
    <t>CC525.2</t>
  </si>
  <si>
    <t>KE102.4</t>
  </si>
  <si>
    <t>CC526.1</t>
  </si>
  <si>
    <t>KE102.3</t>
  </si>
  <si>
    <t>D5_TC_SH31_TD01__CLKOUT_SRC_N_0_5__DDR0_DDR1_CKE2__TC</t>
  </si>
  <si>
    <t>KE102.2</t>
  </si>
  <si>
    <t>CC527.2</t>
  </si>
  <si>
    <t>CC528.1</t>
  </si>
  <si>
    <t>KE101.8</t>
  </si>
  <si>
    <t>KE101.7</t>
  </si>
  <si>
    <t>KE101.6</t>
  </si>
  <si>
    <t>CC529.2</t>
  </si>
  <si>
    <t>KE101.4</t>
  </si>
  <si>
    <t>CC530.1</t>
  </si>
  <si>
    <t>KE101.3</t>
  </si>
  <si>
    <t>KE101.2</t>
  </si>
  <si>
    <t>CC531.2</t>
  </si>
  <si>
    <t>CC532.1</t>
  </si>
  <si>
    <t>KC516.8</t>
  </si>
  <si>
    <t>KC516.6</t>
  </si>
  <si>
    <t>KC516.4</t>
  </si>
  <si>
    <t>KC516.2</t>
  </si>
  <si>
    <t>KC515.8</t>
  </si>
  <si>
    <t>KC515.6</t>
  </si>
  <si>
    <t>KC515.4</t>
  </si>
  <si>
    <t>KC515.2</t>
  </si>
  <si>
    <t>KC514.8</t>
  </si>
  <si>
    <t>KC514.6</t>
  </si>
  <si>
    <t>KC514.4</t>
  </si>
  <si>
    <t>KC514.2</t>
  </si>
  <si>
    <t>KC513.8</t>
  </si>
  <si>
    <t>KC513.6</t>
  </si>
  <si>
    <t>KC513.4</t>
  </si>
  <si>
    <t>KC513.2</t>
  </si>
  <si>
    <t>KC148.4</t>
  </si>
  <si>
    <t>KC148.3</t>
  </si>
  <si>
    <t>D3_TC_TD03__FIVR_PROBE_ANA0__FIVR_PROBE_ANA1__TC</t>
  </si>
  <si>
    <t>KC148.2</t>
  </si>
  <si>
    <t>D3_TC_DP116_SH54_TD03__DDI2_AUXP__DDI3_AUXP__TC</t>
  </si>
  <si>
    <t>KC146.8</t>
  </si>
  <si>
    <t>KC146.7</t>
  </si>
  <si>
    <t>KC146.6</t>
  </si>
  <si>
    <t>KC146.4</t>
  </si>
  <si>
    <t>KC146.3</t>
  </si>
  <si>
    <t>D3_TC_DP116_SH53_TD03__DDI2_AUXN__DDI3_AUXN__TC</t>
  </si>
  <si>
    <t>KC146.2</t>
  </si>
  <si>
    <t>D3_TC_SH66_TD01__AZA_SDI_1_SSP1_RXD__GPP_G_2_SD_DATA1__TC</t>
  </si>
  <si>
    <t>KC145.8</t>
  </si>
  <si>
    <t>KC145.7</t>
  </si>
  <si>
    <t>KC145.6</t>
  </si>
  <si>
    <t>KC145.4</t>
  </si>
  <si>
    <t>KC145.3</t>
  </si>
  <si>
    <t>D3_TC_SH65_TD01__GPP_G_1_SD_DATA0__INTRUDERB__TC</t>
  </si>
  <si>
    <t>KC145.2</t>
  </si>
  <si>
    <t>D3_TC_SH64_TD01__AZA_RSTB_SSP1_SCLK__GPP_F_16_EMMC_DATA3__TC</t>
  </si>
  <si>
    <t>KC144.8</t>
  </si>
  <si>
    <t>KC144.7</t>
  </si>
  <si>
    <t>KC144.6</t>
  </si>
  <si>
    <t>KC144.4</t>
  </si>
  <si>
    <t>KC144.3</t>
  </si>
  <si>
    <t>D3_TC_SH62_TD01__AZA_SYNC_SSP0_SFRM__GPP_F_15_EMMC_DATA2__TC</t>
  </si>
  <si>
    <t>KC143.8</t>
  </si>
  <si>
    <t>KC143.7</t>
  </si>
  <si>
    <t>KC143.6</t>
  </si>
  <si>
    <t>KC143.4</t>
  </si>
  <si>
    <t>KC143.3</t>
  </si>
  <si>
    <t>D3_TC_SH61_TD01__MLK_CLK__GPP_F_20_EMMC_DATA7__TC</t>
  </si>
  <si>
    <t>KC143.2</t>
  </si>
  <si>
    <t>D3_TC_SH60_TD01__AZA_BCLK_SSP0_SCLK__GPP_F_14_EMMC_DATA1__TC</t>
  </si>
  <si>
    <t>KC142.8</t>
  </si>
  <si>
    <t>KC142.7</t>
  </si>
  <si>
    <t>KC142.6</t>
  </si>
  <si>
    <t>KC142.4</t>
  </si>
  <si>
    <t>KC142.3</t>
  </si>
  <si>
    <t>D3_TC_SH59_TD01__MLK_DATA__GPP_F_19_EMMC_DATA6__TC</t>
  </si>
  <si>
    <t>KC142.2</t>
  </si>
  <si>
    <t>D3_TC_SH58_TD01__AZA_SDO_SSP0_TXD__GPP_F_13_EMMC_DATA0__TC</t>
  </si>
  <si>
    <t>KC141.8</t>
  </si>
  <si>
    <t>KC141.7</t>
  </si>
  <si>
    <t>KC141.6</t>
  </si>
  <si>
    <t>KC141.4</t>
  </si>
  <si>
    <t>KC141.3</t>
  </si>
  <si>
    <t>D3_TC_SH57_TD01__SSP1_TXD__GPP_F_18_EMMC_DATA5__TC</t>
  </si>
  <si>
    <t>KC141.2</t>
  </si>
  <si>
    <t>D3_TC_SH56_TD01__AZA_SDI_0_SSP0_RXD__GPP_F_12_EMMC_CMD__TC</t>
  </si>
  <si>
    <t>KC140.8</t>
  </si>
  <si>
    <t>KC140.7</t>
  </si>
  <si>
    <t>KC140.6</t>
  </si>
  <si>
    <t>KC140.4</t>
  </si>
  <si>
    <t>KC140.3</t>
  </si>
  <si>
    <t>D3_TC_SH55_TD01__SSP1_SFRM__GPP_F_17_EMMC_DATA4__TC</t>
  </si>
  <si>
    <t>KC140.2</t>
  </si>
  <si>
    <t>KC139.8</t>
  </si>
  <si>
    <t>D3_TC_TD01__XTAL_IN__TC</t>
  </si>
  <si>
    <t>KC139.6</t>
  </si>
  <si>
    <t>D3_TC_TD01__XTAL_OUT__TC</t>
  </si>
  <si>
    <t>KC139.4</t>
  </si>
  <si>
    <t>KC139.2</t>
  </si>
  <si>
    <t>D3_TC_TD01__RTCX1__TC</t>
  </si>
  <si>
    <t>KC138.8</t>
  </si>
  <si>
    <t>KC137.8</t>
  </si>
  <si>
    <t>KC137.6</t>
  </si>
  <si>
    <t>KC137.4</t>
  </si>
  <si>
    <t>KC137.2</t>
  </si>
  <si>
    <t>KC131.7</t>
  </si>
  <si>
    <t>KC131.3</t>
  </si>
  <si>
    <t>D3_TC_DP61_SH16_TD03__NOA_N13__DDI2_TXN3__TC</t>
  </si>
  <si>
    <t>KC130.8</t>
  </si>
  <si>
    <t>KC130.7</t>
  </si>
  <si>
    <t>KC130.6</t>
  </si>
  <si>
    <t>KC130.4</t>
  </si>
  <si>
    <t>KC130.3</t>
  </si>
  <si>
    <t>D3_TC_DP61_SH15_TD03__NOA_STBP1__DDI2_TXP3__TC</t>
  </si>
  <si>
    <t>KC130.2</t>
  </si>
  <si>
    <t>D3_TC_DP60_SH14_TD03__NOA_N12__DDI2_TXN2__TC</t>
  </si>
  <si>
    <t>KC129.8</t>
  </si>
  <si>
    <t>KC129.7</t>
  </si>
  <si>
    <t>KC129.6</t>
  </si>
  <si>
    <t>KC129.4</t>
  </si>
  <si>
    <t>KC129.3</t>
  </si>
  <si>
    <t>D3_TC_DP60_SH13_TD03__NOA_STBN1__DDI2_TXP2__TC</t>
  </si>
  <si>
    <t>KC129.2</t>
  </si>
  <si>
    <t>D3_TC_DP59_SH12_TD03__NOA_N11__DDI2_TXN1__TC</t>
  </si>
  <si>
    <t>KC128.8</t>
  </si>
  <si>
    <t>KC128.7</t>
  </si>
  <si>
    <t>KC128.6</t>
  </si>
  <si>
    <t>KC128.4</t>
  </si>
  <si>
    <t>KC128.3</t>
  </si>
  <si>
    <t>D3_TC_DP59_SH11_TD03__NOA_N15__DDI2_TXP1__TC</t>
  </si>
  <si>
    <t>KC128.2</t>
  </si>
  <si>
    <t>D3_TC_DP58_SH10_TD03__NOA_N10__DDI2_TXN0__TC</t>
  </si>
  <si>
    <t>KC127.8</t>
  </si>
  <si>
    <t>KC127.7</t>
  </si>
  <si>
    <t>KC127.6</t>
  </si>
  <si>
    <t>KC127.4</t>
  </si>
  <si>
    <t>KC127.3</t>
  </si>
  <si>
    <t>D3_TC_DP58_SH09_TD03__NOA_N14__DDI2_TXP0__TC</t>
  </si>
  <si>
    <t>KC127.2</t>
  </si>
  <si>
    <t>D3_TC_DP57_SH08_TD03__NOA_N5__DDI1_TXN3__TC</t>
  </si>
  <si>
    <t>KC126.8</t>
  </si>
  <si>
    <t>KC126.7</t>
  </si>
  <si>
    <t>KC126.6</t>
  </si>
  <si>
    <t>KC126.4</t>
  </si>
  <si>
    <t>KC126.3</t>
  </si>
  <si>
    <t>D3_TC_DP57_SH07_TD03__NOA_N9__DDI1_TXP3__TC</t>
  </si>
  <si>
    <t>KC126.2</t>
  </si>
  <si>
    <t>D3_TC_DP56_SH06_TD03__NOA_N4__DDI1_TXN2__TC</t>
  </si>
  <si>
    <t>KC125.8</t>
  </si>
  <si>
    <t>KC125.7</t>
  </si>
  <si>
    <t>KC125.6</t>
  </si>
  <si>
    <t>KC125.4</t>
  </si>
  <si>
    <t>KC125.3</t>
  </si>
  <si>
    <t>D3_TC_DP56_SH05_TD03__NOA_N8__DDI1_TXP2__TC</t>
  </si>
  <si>
    <t>KC125.2</t>
  </si>
  <si>
    <t>D3_TC_DP55_SH04_TD03__NOA_N3__DDI1_TXN1__TC</t>
  </si>
  <si>
    <t>KC124.8</t>
  </si>
  <si>
    <t>KC124.7</t>
  </si>
  <si>
    <t>KC124.4</t>
  </si>
  <si>
    <t>KC124.3</t>
  </si>
  <si>
    <t>D3_TC_DP55_SH03_TD03__NOA_N7__DDI1_TXP1__TC</t>
  </si>
  <si>
    <t>KC124.2</t>
  </si>
  <si>
    <t>D3_TC_DP54_SH02_TD03__NOA_N2__DDI1_TXN0__TC</t>
  </si>
  <si>
    <t>KC123.8</t>
  </si>
  <si>
    <t>KC123.7</t>
  </si>
  <si>
    <t>KC123.6</t>
  </si>
  <si>
    <t>KC123.4</t>
  </si>
  <si>
    <t>KC123.3</t>
  </si>
  <si>
    <t>D3_TC_DP54_SH01_TD03__NOA_N6__DDI1_TXP0__TC</t>
  </si>
  <si>
    <t>KC123.2</t>
  </si>
  <si>
    <t>KC122.8</t>
  </si>
  <si>
    <t>D3_TC_TD03__DDR_VREF_DQ1__TC</t>
  </si>
  <si>
    <t>KC122.5</t>
  </si>
  <si>
    <t>KC121.8</t>
  </si>
  <si>
    <t>D3_TC_TD03__DDR_VREF_DQ0__TC</t>
  </si>
  <si>
    <t>KC121.5</t>
  </si>
  <si>
    <t>KC120.8</t>
  </si>
  <si>
    <t>D3_TC_TD03__DDR_VREF_CA__TC</t>
  </si>
  <si>
    <t>KC120.5</t>
  </si>
  <si>
    <t>D3_TC_DP53_SH28_TD01__USB2P_5_6__DDR0_DDR1_MA9_CAA1__TC</t>
  </si>
  <si>
    <t>KC119.8</t>
  </si>
  <si>
    <t>KC119.7</t>
  </si>
  <si>
    <t>KC119.3</t>
  </si>
  <si>
    <t>D3_TC_DP52_SH27_TD01__USB2P_3_4__DDR0_DDR1_MA8_CAA3__TC</t>
  </si>
  <si>
    <t>KC119.2</t>
  </si>
  <si>
    <t>D3_TC_DP51_SH26_TD01__USB2P_1_2__DDR0_DDR1_MA7_CAA4__TC</t>
  </si>
  <si>
    <t>KC118.8</t>
  </si>
  <si>
    <t>KC118.7</t>
  </si>
  <si>
    <t>KC118.3</t>
  </si>
  <si>
    <t>D3_TC_DP53_SH25_TD01__USB2N_5_6__DDR0_DDR1_MA6_CAA2__TC</t>
  </si>
  <si>
    <t>KC118.2</t>
  </si>
  <si>
    <t>D3_TC_DP52_SH24_TD01__USB2N_3_4__DDR0_DDR1_MA5_CAA0__TC</t>
  </si>
  <si>
    <t>KC117.8</t>
  </si>
  <si>
    <t>KC117.7</t>
  </si>
  <si>
    <t>KC117.3</t>
  </si>
  <si>
    <t>D3_TC_DP51_SH23_TD01__USB2N_1_2__DDR0_DDR1_MA4__TC</t>
  </si>
  <si>
    <t>KC117.2</t>
  </si>
  <si>
    <t>D3_TC_DP112_SH32_TD01__USB2P_9_10__TC</t>
  </si>
  <si>
    <t>KC116.8</t>
  </si>
  <si>
    <t>KC116.7</t>
  </si>
  <si>
    <t>KC116.6</t>
  </si>
  <si>
    <t>KC116.4</t>
  </si>
  <si>
    <t>KC116.3</t>
  </si>
  <si>
    <t>D3_TC_DP112_SH31_TD01__USB2N_9_10__TC</t>
  </si>
  <si>
    <t>KC116.2</t>
  </si>
  <si>
    <t>D3_TC_DP110_SH30_TD01__USB2P_7_8__TC</t>
  </si>
  <si>
    <t>KC115.8</t>
  </si>
  <si>
    <t>KC115.7</t>
  </si>
  <si>
    <t>KC115.6</t>
  </si>
  <si>
    <t>KC115.4</t>
  </si>
  <si>
    <t>KC115.3</t>
  </si>
  <si>
    <t>D3_TC_DP110_SH29_TD01__USB2N_7_8__TC</t>
  </si>
  <si>
    <t>KC115.2</t>
  </si>
  <si>
    <t>KC114.7</t>
  </si>
  <si>
    <t>KC114.6</t>
  </si>
  <si>
    <t>KC114.4</t>
  </si>
  <si>
    <t>KC114.3</t>
  </si>
  <si>
    <t>KC113.7</t>
  </si>
  <si>
    <t>KC113.6</t>
  </si>
  <si>
    <t>KC113.4</t>
  </si>
  <si>
    <t>KC113.3</t>
  </si>
  <si>
    <t>KC112.7</t>
  </si>
  <si>
    <t>KC112.6</t>
  </si>
  <si>
    <t>KC112.4</t>
  </si>
  <si>
    <t>KC112.3</t>
  </si>
  <si>
    <t>D3_TC_SH22_TD01__USB2_ID__DDR0_DDR1_MA3__TC</t>
  </si>
  <si>
    <t>KC111.8</t>
  </si>
  <si>
    <t>KC111.7</t>
  </si>
  <si>
    <t>KC111.6</t>
  </si>
  <si>
    <t>KC111.4</t>
  </si>
  <si>
    <t>KC111.3</t>
  </si>
  <si>
    <t>D3_TC_SH21_TD01__L_VDDEN__DDR0_DDR1_MA2_CAB5__TC</t>
  </si>
  <si>
    <t>KC111.2</t>
  </si>
  <si>
    <t>D3_TC_SH20_TD01__L_BKLTEN__DDR0_DDR1_MA15_CAA8_ACT_N__TC</t>
  </si>
  <si>
    <t>KC110.8</t>
  </si>
  <si>
    <t>KC110.7</t>
  </si>
  <si>
    <t>KC110.6</t>
  </si>
  <si>
    <t>KC110.4</t>
  </si>
  <si>
    <t>KC110.3</t>
  </si>
  <si>
    <t>D3_TC_SH19_TD01__L_BKLTCTL__DDR0_DDR1_MA14_CAA9_BG1__TC</t>
  </si>
  <si>
    <t>KC110.2</t>
  </si>
  <si>
    <t>D3_TC_SH18_TD01__GPP_E_19_21_23_DDPB_CTRLDATA__DDR0_DDR1_MA13_CAB0__TC</t>
  </si>
  <si>
    <t>KC109.8</t>
  </si>
  <si>
    <t>KC109.7</t>
  </si>
  <si>
    <t>KC109.6</t>
  </si>
  <si>
    <t>KC109.4</t>
  </si>
  <si>
    <t>KC109.3</t>
  </si>
  <si>
    <t>D3_TC_SH17_TD01__GPP_E_18_20_22_DDPB_CTRLCLK__DDR0_DDR1_MA12_CAA6__TC</t>
  </si>
  <si>
    <t>KC109.2</t>
  </si>
  <si>
    <t>KC108.8</t>
  </si>
  <si>
    <t>KC108.7</t>
  </si>
  <si>
    <t>KC108.4</t>
  </si>
  <si>
    <t>KC108.3</t>
  </si>
  <si>
    <t>D3_TC_SH43_TD01__GPP_B_2_VRALERTB__DDR0_DDR1_MA10_CAB7__TC</t>
  </si>
  <si>
    <t>KC108.2</t>
  </si>
  <si>
    <t>D3_TC_SH42_TD01__CSI2_DP_0_4_8__DDR0_DDR1_MA1_CAB8__TC</t>
  </si>
  <si>
    <t>KC107.8</t>
  </si>
  <si>
    <t>KC107.7</t>
  </si>
  <si>
    <t>KC107.6</t>
  </si>
  <si>
    <t>KC107.4</t>
  </si>
  <si>
    <t>KC107.3</t>
  </si>
  <si>
    <t>D3_TC_SH41_TD01__CSI2_DP_3_7_11__DDR0_DDR1_MA0_CAB9__TC</t>
  </si>
  <si>
    <t>KC107.2</t>
  </si>
  <si>
    <t>D3_TC_SH40_TD01__CSI2_DP_2_6_10__DDR0_DDR1_BA2_CAA5_BG0__TC</t>
  </si>
  <si>
    <t>KC106.8</t>
  </si>
  <si>
    <t>KC106.7</t>
  </si>
  <si>
    <t>KC106.6</t>
  </si>
  <si>
    <t>KC106.4</t>
  </si>
  <si>
    <t>KC106.3</t>
  </si>
  <si>
    <t>D3_TC_SH39_TD01__CSI2_DP_1_5_9__DDR0_DDR1_BA1_CAB6__TC</t>
  </si>
  <si>
    <t>KC106.2</t>
  </si>
  <si>
    <t>D3_TC_SH38_TD01__CSI2_DN_3_7_11__DDR0_DDR1_BA0_CAB4__TC</t>
  </si>
  <si>
    <t>KC105.8</t>
  </si>
  <si>
    <t>KC105.7</t>
  </si>
  <si>
    <t>KC105.6</t>
  </si>
  <si>
    <t>KC105.4</t>
  </si>
  <si>
    <t>KC105.3</t>
  </si>
  <si>
    <t>D3_TC_SH37_TD01__CSI2_DN_2_6_10__DDR0_DDR1_ODT0__TC</t>
  </si>
  <si>
    <t>KC105.2</t>
  </si>
  <si>
    <t>D3_TC_SH36_TD01__CSI2_DN_1_5_9__DDR0_DDR1_CLK_P1__TC</t>
  </si>
  <si>
    <t>KC104.8</t>
  </si>
  <si>
    <t>KC104.7</t>
  </si>
  <si>
    <t>KC104.6</t>
  </si>
  <si>
    <t>KC104.4</t>
  </si>
  <si>
    <t>KC104.3</t>
  </si>
  <si>
    <t>D3_TC_SH35_TD01__CSI2_DN_0_4_8__DDR0_DDR1_CLK_P0__TC</t>
  </si>
  <si>
    <t>KC104.2</t>
  </si>
  <si>
    <t>D3_TC_SH34_TD01__CSI2_CLKP_0_3__DDR0_DDR1_CLK_N1__TC</t>
  </si>
  <si>
    <t>KC103.8</t>
  </si>
  <si>
    <t>KC103.7</t>
  </si>
  <si>
    <t>KC103.6</t>
  </si>
  <si>
    <t>KC103.4</t>
  </si>
  <si>
    <t>KC103.3</t>
  </si>
  <si>
    <t>D3_TC_SH33_TD01__CSI2_CLKN_0_3__DDR0_DDR1_CLK_N0__TC</t>
  </si>
  <si>
    <t>KC103.2</t>
  </si>
  <si>
    <t>D3_TC_SH32_TD01__CLKOUT_SRC_P_0_5__DDR0_DDR1_CKE3__TC</t>
  </si>
  <si>
    <t>KC102.8</t>
  </si>
  <si>
    <t>KC102.7</t>
  </si>
  <si>
    <t>KC102.6</t>
  </si>
  <si>
    <t>KC102.4</t>
  </si>
  <si>
    <t>KC102.3</t>
  </si>
  <si>
    <t>D3_TC_SH31_TD01__CLKOUT_SRC_N_0_5__DDR0_DDR1_CKE2__TC</t>
  </si>
  <si>
    <t>KC102.2</t>
  </si>
  <si>
    <t>KC101.8</t>
  </si>
  <si>
    <t>KC101.7</t>
  </si>
  <si>
    <t>KC101.6</t>
  </si>
  <si>
    <t>KC101.4</t>
  </si>
  <si>
    <t>KC101.3</t>
  </si>
  <si>
    <t>KC101.2</t>
  </si>
  <si>
    <t>KA148.4</t>
  </si>
  <si>
    <t>KA148.3</t>
  </si>
  <si>
    <t>D1_TC_TD03__FIVR_PROBE_ANA0__FIVR_PROBE_ANA1__TC</t>
  </si>
  <si>
    <t>KA148.2</t>
  </si>
  <si>
    <t>D1_TC_DP116_SH54_TD03__DDI2_AUXP__DDI3_AUXP__TC</t>
  </si>
  <si>
    <t>D1_TC_DP116_SH53_TD03__DDI2_AUXN__DDI3_AUXN__TC</t>
  </si>
  <si>
    <t>D5_TC_TD01__VCCDSW_1P0</t>
  </si>
  <si>
    <t>CE1390.2</t>
  </si>
  <si>
    <t>D5_TC_TD01__VCCRTCEXT</t>
  </si>
  <si>
    <t>CE392.2</t>
  </si>
  <si>
    <t>CE501.2</t>
  </si>
  <si>
    <t>CE502.1</t>
  </si>
  <si>
    <t>CE503.2</t>
  </si>
  <si>
    <t>CE504.1</t>
  </si>
  <si>
    <t>CE505.2</t>
  </si>
  <si>
    <t>CE506.1</t>
  </si>
  <si>
    <t>CE507.2</t>
  </si>
  <si>
    <t>CE508.1</t>
  </si>
  <si>
    <t>CE509.2</t>
  </si>
  <si>
    <t>CE510.1</t>
  </si>
  <si>
    <t>CE511.2</t>
  </si>
  <si>
    <t>CE512.1</t>
  </si>
  <si>
    <t>CE513.2</t>
  </si>
  <si>
    <t>CE514.1</t>
  </si>
  <si>
    <t>CE515.2</t>
  </si>
  <si>
    <t>CE516.1</t>
  </si>
  <si>
    <t>CE517.2</t>
  </si>
  <si>
    <t>CE518.1</t>
  </si>
  <si>
    <t>CE519.2</t>
  </si>
  <si>
    <t>CE520.1</t>
  </si>
  <si>
    <t>CE521.2</t>
  </si>
  <si>
    <t>CE522.1</t>
  </si>
  <si>
    <t>CE523.2</t>
  </si>
  <si>
    <t>CE524.1</t>
  </si>
  <si>
    <t>CE525.2</t>
  </si>
  <si>
    <t>CE526.1</t>
  </si>
  <si>
    <t>CE527.2</t>
  </si>
  <si>
    <t>CE528.1</t>
  </si>
  <si>
    <t>CE529.2</t>
  </si>
  <si>
    <t>CE530.1</t>
  </si>
  <si>
    <t>CE531.2</t>
  </si>
  <si>
    <t>CE532.1</t>
  </si>
  <si>
    <t>D1_TC_DP112_SH32_TD01__USB2P_9_10__TC</t>
  </si>
  <si>
    <t>D1_TC_DP110_SH30_TD01__USB2P_7_8__TC</t>
  </si>
  <si>
    <t>D1_TC_DP110_SH29_TD01__USB2N_7_8__TC</t>
  </si>
  <si>
    <t>D1_TC_SH32_TD01__CLKOUT_SRC_P_0_5__DDR0_DDR1_CKE3__TC</t>
  </si>
  <si>
    <t>D1_TC_SH31_TD01__CLKOUT_SRC_N_0_5__DDR0_DDR1_CKE2__TC</t>
  </si>
  <si>
    <t>D1_TC_TD01__GPP_F_10_I2C5_SDA_ISH_I2C2_SDA_4_6_8</t>
  </si>
  <si>
    <t>D1_TC_TD01__GPP_F_11_I2C5_SCL_5_7_9</t>
  </si>
  <si>
    <t>D3_TC_DP100_TD02__DDRDQSN_IL05_NIL11</t>
  </si>
  <si>
    <t>D3_TC_DP100_TD02__DDRDQSP_IL05_NIL11</t>
  </si>
  <si>
    <t>D3_TC_DP101_TD02__DDRDQSN_IL14_NIL12</t>
  </si>
  <si>
    <t>D3_TC_DP101_TD02__DDRDQSP_IL14_NIL12</t>
  </si>
  <si>
    <t>D3_TC_DP102_TD02__DDRDQSN_IL15_NIL13</t>
  </si>
  <si>
    <t>D3_TC_DP102_TD02__DDRDQSP_IL15_NIL13</t>
  </si>
  <si>
    <t>D3_TC_DP103_TD02__DDRDQSN_IL06_NIL14</t>
  </si>
  <si>
    <t>D3_TC_DP103_TD02__DDRDQSP_IL06_NIL14</t>
  </si>
  <si>
    <t>D3_TC_DP104_TD02__DDRDQSN_IL07_NIL15</t>
  </si>
  <si>
    <t>D3_TC_DP104_TD02__DDRDQSP_IL07_NIL15</t>
  </si>
  <si>
    <t>D3_TC_DP105_TD02__DDRDQSN_IL16_NIL16</t>
  </si>
  <si>
    <t>D3_TC_DP105_TD02__DDRDQSP_IL16_NIL16</t>
  </si>
  <si>
    <t>D3_TC_DP106_TD02__DDRDQSN_IL17_NIL17</t>
  </si>
  <si>
    <t>D3_TC_DP106_TD02__DDRDQSP_IL17_NIL17</t>
  </si>
  <si>
    <t>D3_TC_DP33_TD03__HVM_CLK_N</t>
  </si>
  <si>
    <t>D3_TC_DP33_TD03__HVM_CLK_P</t>
  </si>
  <si>
    <t>D3_TC_DP49_TD03__NOA_STBN0</t>
  </si>
  <si>
    <t>D3_TC_DP49_TD03__NOA_STBP0</t>
  </si>
  <si>
    <t>D3_TC_DP91_TD02__DDRDQSN_IL00_NIL00</t>
  </si>
  <si>
    <t>D3_TC_DP91_TD02__DDRDQSP_IL00_NIL00</t>
  </si>
  <si>
    <t>D3_TC_DP92_TD02__DDRDQSN_IL01_NIL01</t>
  </si>
  <si>
    <t>D3_TC_DP92_TD02__DDRDQSP_IL01_NIL01</t>
  </si>
  <si>
    <t>D3_TC_DP93_TD02__DDRDQSN_IL10_NIL02</t>
  </si>
  <si>
    <t>D3_TC_DP93_TD02__DDRDQSP_IL10_NIL02</t>
  </si>
  <si>
    <t>D3_TC_DP94_TD02__DDRDQSN_IL11_NIL03</t>
  </si>
  <si>
    <t>D3_TC_DP94_TD02__DDRDQSP_IL11_NIL03</t>
  </si>
  <si>
    <t>D3_TC_DP95_TD02__DDRDQSN_IL02_NIL04</t>
  </si>
  <si>
    <t>D3_TC_DP95_TD02__DDRDQSP_IL02_NIL04</t>
  </si>
  <si>
    <t>D3_TC_DP96_TD02__DDRDQSN_IL03_NIL05</t>
  </si>
  <si>
    <t>D3_TC_DP96_TD02__DDRDQSP_IL03_NIL05</t>
  </si>
  <si>
    <t>D3_TC_DP97_TD02__DDRDQSN_IL12_NIL06</t>
  </si>
  <si>
    <t>D3_TC_DP97_TD02__DDRDQSP_IL12_NIL06</t>
  </si>
  <si>
    <t>D3_TC_DP98_TD02__DDRDQSN_IL13_NIL07</t>
  </si>
  <si>
    <t>D3_TC_DP98_TD02__DDRDQSP_IL13_NIL07</t>
  </si>
  <si>
    <t>D3_TC_DP99_TD02__DDRDQSN_IL04_NIL10</t>
  </si>
  <si>
    <t>D3_TC_DP99_TD02__DDRDQSP_IL04_NIL10</t>
  </si>
  <si>
    <t>D3_TC_TD01__CPUPWRGD</t>
  </si>
  <si>
    <t>D3_TC_TD01__DRAM_RESETB</t>
  </si>
  <si>
    <t>D3_TC_TD01__DSW_PWROK</t>
  </si>
  <si>
    <t>D3_TC_TD01__FPF_MON</t>
  </si>
  <si>
    <t>D3_TC_TD01__FPF_VREF</t>
  </si>
  <si>
    <t>D3_TC_TD01__GPD_0_BATLOWB</t>
  </si>
  <si>
    <t>D3_TC_TD01__GPD_10_SLP_S5B</t>
  </si>
  <si>
    <t>D3_TC_TD01__GPD_11_LANPHYPC</t>
  </si>
  <si>
    <t>D3_TC_TD01__GPD_1_ACPRESENT</t>
  </si>
  <si>
    <t>D3_TC_TD01__GPD_2_LAN_WAKEB</t>
  </si>
  <si>
    <t>D3_TC_TD01__GPD_4_SLP_S3B</t>
  </si>
  <si>
    <t>D3_TC_TD01__GPD_5_SLP_S4B</t>
  </si>
  <si>
    <t>D3_TC_TD01__GPD_6_SLP_AB</t>
  </si>
  <si>
    <t>D3_TC_TD01__GPD_7_USB2_WAKEOUTB</t>
  </si>
  <si>
    <t>D3_TC_TD01__GPD_8_SUSCLK</t>
  </si>
  <si>
    <t>D3_TC_TD01__GPD_9_SLP_WLANB</t>
  </si>
  <si>
    <t>D3_TC_TD01__GPP_A_0_RCINB</t>
  </si>
  <si>
    <t>D3_TC_TD01__GPP_A_11_PMEB</t>
  </si>
  <si>
    <t>D3_TC_TD01__GPP_A_12_BM_BUSYB_ISH_GP_6</t>
  </si>
  <si>
    <t>D3_TC_TD01__GPP_A_13_SUSWARNB_SUSPWRDNACK</t>
  </si>
  <si>
    <t>D3_TC_TD01__GPP_A_14_SUS_STATB_ESPI_RESETB</t>
  </si>
  <si>
    <t>D3_TC_TD01__GPP_A_15_SUSACKB</t>
  </si>
  <si>
    <t>D3_TC_TD01__GPP_A_16_SD_1P8_SEL</t>
  </si>
  <si>
    <t>D3_TC_TD01__GPP_A_17_SD_PWR_EN_B_ISH_GP_7</t>
  </si>
  <si>
    <t>D3_TC_TD01__GPP_A_18_ISH_GP_0</t>
  </si>
  <si>
    <t>D3_TC_TD01__GPP_A_19_ISH_GP_1</t>
  </si>
  <si>
    <t>D3_TC_TD01__GPP_A_1_LAD_0_ESPI_IO_0</t>
  </si>
  <si>
    <t>D3_TC_TD01__GPP_A_20_ISH_GP_2</t>
  </si>
  <si>
    <t>D3_TC_TD01__GPP_A_21_ISH_GP_3</t>
  </si>
  <si>
    <t>D3_TC_TD01__GPP_A_22_ISH_GP_4</t>
  </si>
  <si>
    <t>D3_TC_TD01__GPP_A_23_ISH_GP_5</t>
  </si>
  <si>
    <t>D3_TC_TD01__GPP_A_2_LAD_1_ESPI_IO_1</t>
  </si>
  <si>
    <t>D3_TC_TD01__GPP_A_3_LAD_2_ESPI_IO_2</t>
  </si>
  <si>
    <t>D3_TC_TD01__GPP_A_4_LAD_3_ESPI_IO_3</t>
  </si>
  <si>
    <t>D3_TC_TD01__GPP_A_5_LFRAMEB_ESPI_CSB</t>
  </si>
  <si>
    <t>D3_TC_TD01__GPP_A_6_SERIRQ</t>
  </si>
  <si>
    <t>D3_TC_TD01__GPP_A_7_PIRQAB</t>
  </si>
  <si>
    <t>D3_TC_TD01__GPP_A_8_CLKRUNB</t>
  </si>
  <si>
    <t>D3_TC_TD01__GPP_B_0_CORE_VID_0</t>
  </si>
  <si>
    <t>D3_TC_TD01__GPP_B_10_SRCCLKREQB_5</t>
  </si>
  <si>
    <t>D3_TC_TD01__GPP_B_11_EXT_PWR_GATEB</t>
  </si>
  <si>
    <t>D3_TC_TD01__GPP_B_12_SLP_S0B</t>
  </si>
  <si>
    <t>D3_TC_TD01__GPP_B_14_SPKR</t>
  </si>
  <si>
    <t>D3_TC_TD01__GPP_B_15_GSPI0_CSB</t>
  </si>
  <si>
    <t>D3_TC_TD01__GPP_B_16_GSPI0_CLK</t>
  </si>
  <si>
    <t>D3_TC_TD01__GPP_B_17_GSPI0_MISO</t>
  </si>
  <si>
    <t>D3_TC_TD01__GPP_B_18_GSPI0_MOSI</t>
  </si>
  <si>
    <t>D3_TC_TD01__GPP_B_19_GSPI1_CSB</t>
  </si>
  <si>
    <t>D3_TC_TD01__GPP_B_1_CORE_VID_1</t>
  </si>
  <si>
    <t>D3_TC_TD01__GPP_B_20_GSPI1_CLK</t>
  </si>
  <si>
    <t>D3_TC_TD01__GPP_B_21_GSPI1_MISO</t>
  </si>
  <si>
    <t>D3_TC_TD01__GPP_B_22_GSPI1_MOSI</t>
  </si>
  <si>
    <t>D3_TC_TD01__GPP_B_3_CPU_GP_2</t>
  </si>
  <si>
    <t>D3_TC_TD01__GPP_B_4_CPU_GP_3</t>
  </si>
  <si>
    <t>D3_TC_TD01__GPP_B_5_SRCCLKREQB_0</t>
  </si>
  <si>
    <t>D3_TC_TD01__GPP_B_6_SRCCLKREQB_1</t>
  </si>
  <si>
    <t>D3_TC_TD01__GPP_B_7_SRCCLKREQB_2</t>
  </si>
  <si>
    <t>D3_TC_TD01__GPP_B_8_SRCCLKREQB_3</t>
  </si>
  <si>
    <t>D3_TC_TD01__GPP_B_9_SRCCLKREQB_4</t>
  </si>
  <si>
    <t>D3_TC_TD01__GPP_C_10_UART0_RTSB</t>
  </si>
  <si>
    <t>D3_TC_TD01__GPP_C_11_UART0_CTSB</t>
  </si>
  <si>
    <t>D3_TC_TD01__GPP_C_12_UART1_RXD_ISH_UART1_RXD</t>
  </si>
  <si>
    <t>D3_TC_TD01__GPP_C_13_UART1_TXD_ISH_UART1_TXD</t>
  </si>
  <si>
    <t>D3_TC_TD01__GPP_C_14_UART1_RTSB_ISH_UART1_RTSB</t>
  </si>
  <si>
    <t>D3_TC_TD01__GPP_C_15_UART1_CTSB_ISH_UART1_CTSB</t>
  </si>
  <si>
    <t>D3_TC_TD01__GPP_C_16_I2C0_SDA</t>
  </si>
  <si>
    <t>D3_TC_TD01__GPP_C_17_I2C0_SCL</t>
  </si>
  <si>
    <t>D3_TC_TD01__GPP_C_18_I2C1_SDA</t>
  </si>
  <si>
    <t>D3_TC_TD01__GPP_C_19_I2C1_SCL</t>
  </si>
  <si>
    <t>D3_TC_TD01__GPP_C_20_UART2_RXD</t>
  </si>
  <si>
    <t>D3_TC_TD01__GPP_C_21_UART2_TXD</t>
  </si>
  <si>
    <t>D3_TC_TD01__GPP_C_22_UART2_RTSB</t>
  </si>
  <si>
    <t>D3_TC_TD01__GPP_C_23_UART2_CTSB</t>
  </si>
  <si>
    <t>D3_TC_TD01__GPP_C_8_UART0_RXD</t>
  </si>
  <si>
    <t>D3_TC_TD01__GPP_C_9_UART0_TXD</t>
  </si>
  <si>
    <t>D3_TC_TD01__GPP_D_0_SPI1_CSB</t>
  </si>
  <si>
    <t>D3_TC_TD01__GPP_D_10_ISH_SPI_CLK</t>
  </si>
  <si>
    <t>D3_TC_TD01__GPP_D_11_ISH_SPI_MISO</t>
  </si>
  <si>
    <t>D3_TC_TD01__GPP_D_12_ISH_SPI_MOSI</t>
  </si>
  <si>
    <t>D3_TC_TD01__GPP_D_13_ISH_UART0_RXD_SML0BDATA</t>
  </si>
  <si>
    <t>D3_TC_TD01__GPP_D_14_ISH_UART0_TXD_SML0BCLK</t>
  </si>
  <si>
    <t>D3_TC_TD01__GPP_D_15_ISH_UART0_RTSB</t>
  </si>
  <si>
    <t>D3_TC_TD01__GPP_D_16_ISH_UART0_CTSB_SML0BALERTB</t>
  </si>
  <si>
    <t>D3_TC_TD01__GPP_D_17_DMIC_CLK_1</t>
  </si>
  <si>
    <t>D3_TC_TD01__GPP_D_18_DMIC_DATA_1</t>
  </si>
  <si>
    <t>D3_TC_TD01__GPP_D_19_DMIC_CLK_0</t>
  </si>
  <si>
    <t>D3_TC_TD01__GPP_D_1_SPI1_CLK</t>
  </si>
  <si>
    <t>D3_TC_TD01__GPP_D_20_DMIC_DATA_0</t>
  </si>
  <si>
    <t>D3_TC_TD01__GPP_D_21_SPI1_IO_2</t>
  </si>
  <si>
    <t>D3_TC_TD01__GPP_D_22_SPI1_IO_3</t>
  </si>
  <si>
    <t>D3_TC_TD01__GPP_D_23_SSP_MCLK</t>
  </si>
  <si>
    <t>D3_TC_TD01__GPP_D_2_SPI1_MISO_IO_1</t>
  </si>
  <si>
    <t>D3_TC_TD01__GPP_D_3_SPI1_MOSI_IO_0</t>
  </si>
  <si>
    <t>D3_TC_TD01__GPP_D_4_FLASHTRIG</t>
  </si>
  <si>
    <t>D3_TC_TD01__GPP_D_5_ISH_I2C0_SDA</t>
  </si>
  <si>
    <t>D3_TC_TD01__GPP_D_6_ISH_I2C0_SCL</t>
  </si>
  <si>
    <t>D3_TC_TD01__GPP_D_7_ISH_I2C1_SDA</t>
  </si>
  <si>
    <t>D3_TC_TD01__GPP_D_8_ISH_I2C1_SCL</t>
  </si>
  <si>
    <t>D3_TC_TD01__GPP_D_9_ISH_SPI_CSB</t>
  </si>
  <si>
    <t>D3_TC_TD01__GPP_E_0_SATAXPCIE_0_SATAGP_0</t>
  </si>
  <si>
    <t>D3_TC_TD01__GPP_E_10_USB2_OCB_1</t>
  </si>
  <si>
    <t>D3_TC_TD01__GPP_E_11_USB2_OCB_2</t>
  </si>
  <si>
    <t>D3_TC_TD01__GPP_E_12_USB2_OCB_3</t>
  </si>
  <si>
    <t>D3_TC_TD01__GPP_E_13_DDSP_HPD_0_1_2_3</t>
  </si>
  <si>
    <t>D3_TC_TD01__GPP_E_1_SATAXPCIE_1_SATAGP_1</t>
  </si>
  <si>
    <t>D3_TC_TD01__GPP_E_2_SATAXPCIE_2_SATAGP_2</t>
  </si>
  <si>
    <t>D3_TC_TD01__GPP_E_3_CPU_GP_0</t>
  </si>
  <si>
    <t>D3_TC_TD01__GPP_E_4_SATA_DEVSLP_0</t>
  </si>
  <si>
    <t>D3_TC_TD01__GPP_E_5_SATA_DEVSLP_1</t>
  </si>
  <si>
    <t>D3_TC_TD01__GPP_E_6_SATA_DEVSLP_2</t>
  </si>
  <si>
    <t>D3_TC_TD01__GPP_E_7_CPU_GP_1</t>
  </si>
  <si>
    <t>D3_TC_TD01__GPP_E_8_SATA_LEDB</t>
  </si>
  <si>
    <t>D3_TC_TD01__GPP_E_9_USB2_OCB_0</t>
  </si>
  <si>
    <t>D3_TC_TD01__GPP_F_0_SSP2_SCLK</t>
  </si>
  <si>
    <t>D3_TC_TD01__GPP_F_10_I2C5_SDA_ISH_I2C2_SDA_4_6_8</t>
  </si>
  <si>
    <t>D3_TC_TD01__GPP_F_11_I2C5_SCL_5_7_9</t>
  </si>
  <si>
    <t>D3_TC_TD01__GPP_F_1_SSP2_SFRM</t>
  </si>
  <si>
    <t>D3_TC_TD01__GPP_F_21_EMMC_RCLK</t>
  </si>
  <si>
    <t>D3_TC_TD01__GPP_F_22_EMMC_CLK</t>
  </si>
  <si>
    <t>D3_TC_TD01__GPP_F_2_SSP2_TXD</t>
  </si>
  <si>
    <t>D3_TC_TD01__GPP_F_3_SSP2_RXD</t>
  </si>
  <si>
    <t>D3_TC_TD01__GPP_G_0_SD_CMD</t>
  </si>
  <si>
    <t>D3_TC_TD01__GPP_G_3_SD_DATA2</t>
  </si>
  <si>
    <t>D3_TC_TD01__GPP_G_4_SD_DATA3</t>
  </si>
  <si>
    <t>D3_TC_TD01__GPP_G_5_SD_CDB</t>
  </si>
  <si>
    <t>D3_TC_TD01__GPP_G_6_SD_CLK</t>
  </si>
  <si>
    <t>D3_TC_TD01__GPP_G_7_SD_WP</t>
  </si>
  <si>
    <t>D3_TC_TD01__ITP_PMODE</t>
  </si>
  <si>
    <t>D3_TC_TD01__JTAGX</t>
  </si>
  <si>
    <t>D3_TC_TD01__PCH_EDM</t>
  </si>
  <si>
    <t>D3_TC_TD01__PCH_JTAG_TCK</t>
  </si>
  <si>
    <t>D3_TC_TD01__PCH_JTAG_TDI</t>
  </si>
  <si>
    <t>D3_TC_TD01__PCH_JTAG_TDO</t>
  </si>
  <si>
    <t>D3_TC_TD01__PCH_JTAG_TMS</t>
  </si>
  <si>
    <t>D3_TC_TD01__PCH_PWROK</t>
  </si>
  <si>
    <t>D3_TC_TD01__PCH_TRSTB</t>
  </si>
  <si>
    <t>D3_TC_TD01__PGDMON</t>
  </si>
  <si>
    <t>D3_TC_TD01__RSMRSTB</t>
  </si>
  <si>
    <t>D3_TC_TD01__RTESTB</t>
  </si>
  <si>
    <t>D3_TC_TD01__SLP_LANB</t>
  </si>
  <si>
    <t>D3_TC_TD01__SLP_SUSB</t>
  </si>
  <si>
    <t>D3_TC_TD01__SPI0_CLK</t>
  </si>
  <si>
    <t>D3_TC_TD01__SPI0_FLASH_0_CSB</t>
  </si>
  <si>
    <t>D3_TC_TD01__SPI0_FLASH_1_CSB</t>
  </si>
  <si>
    <t>D3_TC_TD01__SPI0_IO_2</t>
  </si>
  <si>
    <t>D3_TC_TD01__SPI0_IO_3</t>
  </si>
  <si>
    <t>D3_TC_TD01__SPI0_MISO_IO_1</t>
  </si>
  <si>
    <t>D3_TC_TD01__SPI0_MOSI_IO_0</t>
  </si>
  <si>
    <t>D3_TC_TD01__SPI0_TPM_CSB</t>
  </si>
  <si>
    <t>D3_TC_TD01__SRTCRSTB</t>
  </si>
  <si>
    <t>D3_TC_TD01__SYS_PWROK</t>
  </si>
  <si>
    <t>D3_TC_TD01__THRMTRIPB</t>
  </si>
  <si>
    <t>D3_TC_TD01__WAKEB</t>
  </si>
  <si>
    <t>D3_TC_TD02__DDR0_ALERT_N</t>
  </si>
  <si>
    <t>D3_TC_TD02__DDR0_CAS_N_CAB1_MA15</t>
  </si>
  <si>
    <t>D3_TC_TD02__DDR0_CS_N0</t>
  </si>
  <si>
    <t>D3_TC_TD02__DDR0_CS_N1</t>
  </si>
  <si>
    <t>D3_TC_TD02__DDR0_PARITY</t>
  </si>
  <si>
    <t>D3_TC_TD02__DDR0_RAS_N_CAB3_MA16</t>
  </si>
  <si>
    <t>D3_TC_TD02__DDR0_WE_N_CAB2_MA14</t>
  </si>
  <si>
    <t>D3_TC_TD02__DDR1_ALERT_N</t>
  </si>
  <si>
    <t>D3_TC_TD02__DDR1_CAS_N_CAB1_MA15</t>
  </si>
  <si>
    <t>D3_TC_TD02__DDR1_CS_N0</t>
  </si>
  <si>
    <t>D3_TC_TD02__DDR1_CS_N1</t>
  </si>
  <si>
    <t>D3_TC_TD02__DDR1_PARITY</t>
  </si>
  <si>
    <t>D3_TC_TD02__DDR1_RAS_N_CAB3_MA16</t>
  </si>
  <si>
    <t>D3_TC_TD02__DDR1_WE_N_CAB2_MA14</t>
  </si>
  <si>
    <t>D3_TC_TD02__DDRDQ_IL00_NIL000</t>
  </si>
  <si>
    <t>D3_TC_TD02__DDRDQ_IL00_NIL001</t>
  </si>
  <si>
    <t>D3_TC_TD02__DDRDQ_IL00_NIL002</t>
  </si>
  <si>
    <t>D3_TC_TD02__DDRDQ_IL00_NIL003</t>
  </si>
  <si>
    <t>D3_TC_TD02__DDRDQ_IL00_NIL004</t>
  </si>
  <si>
    <t>D3_TC_TD02__DDRDQ_IL00_NIL005</t>
  </si>
  <si>
    <t>D3_TC_TD02__DDRDQ_IL00_NIL006</t>
  </si>
  <si>
    <t>D3_TC_TD02__DDRDQ_IL00_NIL007</t>
  </si>
  <si>
    <t>D3_TC_TD02__DDRDQ_IL01_NIL010</t>
  </si>
  <si>
    <t>D3_TC_TD02__DDRDQ_IL01_NIL011</t>
  </si>
  <si>
    <t>D3_TC_TD02__DDRDQ_IL01_NIL012</t>
  </si>
  <si>
    <t>D3_TC_TD02__DDRDQ_IL01_NIL013</t>
  </si>
  <si>
    <t>D3_TC_TD02__DDRDQ_IL01_NIL014</t>
  </si>
  <si>
    <t>D3_TC_TD02__DDRDQ_IL01_NIL015</t>
  </si>
  <si>
    <t>D3_TC_TD02__DDRDQ_IL01_NIL016</t>
  </si>
  <si>
    <t>D3_TC_TD02__DDRDQ_IL01_NIL017</t>
  </si>
  <si>
    <t>D3_TC_TD02__DDRDQ_IL02_NIL040</t>
  </si>
  <si>
    <t>D3_TC_TD02__DDRDQ_IL02_NIL041</t>
  </si>
  <si>
    <t>D3_TC_TD02__DDRDQ_IL02_NIL042</t>
  </si>
  <si>
    <t>D3_TC_TD02__DDRDQ_IL02_NIL043</t>
  </si>
  <si>
    <t>D3_TC_TD02__DDRDQ_IL02_NIL044</t>
  </si>
  <si>
    <t>D3_TC_TD02__DDRDQ_IL02_NIL045</t>
  </si>
  <si>
    <t>D3_TC_TD02__DDRDQ_IL02_NIL046</t>
  </si>
  <si>
    <t>D3_TC_TD02__DDRDQ_IL02_NIL047</t>
  </si>
  <si>
    <t>D3_TC_TD02__DDRDQ_IL03_NIL050</t>
  </si>
  <si>
    <t>D3_TC_TD02__DDRDQ_IL03_NIL051</t>
  </si>
  <si>
    <t>D3_TC_TD02__DDRDQ_IL03_NIL052</t>
  </si>
  <si>
    <t>D3_TC_TD02__DDRDQ_IL03_NIL053</t>
  </si>
  <si>
    <t>D3_TC_TD02__DDRDQ_IL03_NIL054</t>
  </si>
  <si>
    <t>D3_TC_TD02__DDRDQ_IL03_NIL055</t>
  </si>
  <si>
    <t>D3_TC_TD02__DDRDQ_IL03_NIL056</t>
  </si>
  <si>
    <t>D3_TC_TD02__DDRDQ_IL03_NIL057</t>
  </si>
  <si>
    <t>D3_TC_TD02__DDRDQ_IL04_NIL100</t>
  </si>
  <si>
    <t>D3_TC_TD02__DDRDQ_IL04_NIL101</t>
  </si>
  <si>
    <t>D3_TC_TD02__DDRDQ_IL04_NIL102</t>
  </si>
  <si>
    <t>D3_TC_TD02__DDRDQ_IL04_NIL103</t>
  </si>
  <si>
    <t>D3_TC_TD02__DDRDQ_IL04_NIL104</t>
  </si>
  <si>
    <t>D3_TC_TD02__DDRDQ_IL04_NIL105</t>
  </si>
  <si>
    <t>D3_TC_TD02__DDRDQ_IL04_NIL106</t>
  </si>
  <si>
    <t>D3_TC_TD02__DDRDQ_IL04_NIL107</t>
  </si>
  <si>
    <t>D3_TC_TD02__DDRDQ_IL05_NIL110</t>
  </si>
  <si>
    <t>D3_TC_TD02__DDRDQ_IL05_NIL111</t>
  </si>
  <si>
    <t>D3_TC_TD02__DDRDQ_IL05_NIL112</t>
  </si>
  <si>
    <t>D3_TC_TD02__DDRDQ_IL05_NIL113</t>
  </si>
  <si>
    <t>D3_TC_TD02__DDRDQ_IL05_NIL114</t>
  </si>
  <si>
    <t>D3_TC_TD02__DDRDQ_IL05_NIL115</t>
  </si>
  <si>
    <t>D3_TC_TD02__DDRDQ_IL05_NIL116</t>
  </si>
  <si>
    <t>D3_TC_TD02__DDRDQ_IL05_NIL117</t>
  </si>
  <si>
    <t>D3_TC_TD02__DDRDQ_IL06_NIL140</t>
  </si>
  <si>
    <t>D3_TC_TD02__DDRDQ_IL06_NIL141</t>
  </si>
  <si>
    <t>D3_TC_TD02__DDRDQ_IL06_NIL142</t>
  </si>
  <si>
    <t>D3_TC_TD02__DDRDQ_IL06_NIL143</t>
  </si>
  <si>
    <t>D3_TC_TD02__DDRDQ_IL06_NIL144</t>
  </si>
  <si>
    <t>D3_TC_TD02__DDRDQ_IL06_NIL145</t>
  </si>
  <si>
    <t>D3_TC_TD02__DDRDQ_IL06_NIL146</t>
  </si>
  <si>
    <t>D3_TC_TD02__DDRDQ_IL06_NIL147</t>
  </si>
  <si>
    <t>D3_TC_TD02__DDRDQ_IL07_NIL150</t>
  </si>
  <si>
    <t>D3_TC_TD02__DDRDQ_IL07_NIL151</t>
  </si>
  <si>
    <t>D3_TC_TD02__DDRDQ_IL07_NIL152</t>
  </si>
  <si>
    <t>D3_TC_TD02__DDRDQ_IL07_NIL153</t>
  </si>
  <si>
    <t>D3_TC_TD02__DDRDQ_IL07_NIL154</t>
  </si>
  <si>
    <t>D3_TC_TD02__DDRDQ_IL07_NIL155</t>
  </si>
  <si>
    <t>D3_TC_TD02__DDRDQ_IL07_NIL156</t>
  </si>
  <si>
    <t>D3_TC_TD02__DDRDQ_IL07_NIL157</t>
  </si>
  <si>
    <t>D3_TC_TD02__DDRDQ_IL10_NIL020</t>
  </si>
  <si>
    <t>D3_TC_TD02__DDRDQ_IL10_NIL021</t>
  </si>
  <si>
    <t>D3_TC_TD02__DDRDQ_IL10_NIL022</t>
  </si>
  <si>
    <t>D3_TC_TD02__DDRDQ_IL10_NIL023</t>
  </si>
  <si>
    <t>D3_TC_TD02__DDRDQ_IL10_NIL024</t>
  </si>
  <si>
    <t>D3_TC_TD02__DDRDQ_IL10_NIL025</t>
  </si>
  <si>
    <t>D3_TC_TD02__DDRDQ_IL10_NIL026</t>
  </si>
  <si>
    <t>D3_TC_TD02__DDRDQ_IL10_NIL027</t>
  </si>
  <si>
    <t>D3_TC_TD02__DDRDQ_IL11_NIL030</t>
  </si>
  <si>
    <t>D3_TC_TD02__DDRDQ_IL11_NIL031</t>
  </si>
  <si>
    <t>D3_TC_TD02__DDRDQ_IL11_NIL032</t>
  </si>
  <si>
    <t>D3_TC_TD02__DDRDQ_IL11_NIL033</t>
  </si>
  <si>
    <t>D3_TC_TD02__DDRDQ_IL11_NIL034</t>
  </si>
  <si>
    <t>D3_TC_TD02__DDRDQ_IL11_NIL035</t>
  </si>
  <si>
    <t>D3_TC_TD02__DDRDQ_IL11_NIL036</t>
  </si>
  <si>
    <t>D3_TC_TD02__DDRDQ_IL11_NIL037</t>
  </si>
  <si>
    <t>D3_TC_TD02__DDRDQ_IL12_NIL060</t>
  </si>
  <si>
    <t>D3_TC_TD02__DDRDQ_IL12_NIL061</t>
  </si>
  <si>
    <t>D3_TC_TD02__DDRDQ_IL12_NIL062</t>
  </si>
  <si>
    <t>D3_TC_TD02__DDRDQ_IL12_NIL063</t>
  </si>
  <si>
    <t>D3_TC_TD02__DDRDQ_IL12_NIL064</t>
  </si>
  <si>
    <t>D3_TC_TD02__DDRDQ_IL12_NIL065</t>
  </si>
  <si>
    <t>D3_TC_TD02__DDRDQ_IL12_NIL066</t>
  </si>
  <si>
    <t>D3_TC_TD02__DDRDQ_IL12_NIL067</t>
  </si>
  <si>
    <t>D3_TC_TD02__DDRDQ_IL13_NIL070</t>
  </si>
  <si>
    <t>D3_TC_TD02__DDRDQ_IL13_NIL071</t>
  </si>
  <si>
    <t>D3_TC_TD02__DDRDQ_IL13_NIL072</t>
  </si>
  <si>
    <t>D3_TC_TD02__DDRDQ_IL13_NIL073</t>
  </si>
  <si>
    <t>D3_TC_TD02__DDRDQ_IL13_NIL074</t>
  </si>
  <si>
    <t>D3_TC_TD02__DDRDQ_IL13_NIL075</t>
  </si>
  <si>
    <t>D3_TC_TD02__DDRDQ_IL13_NIL076</t>
  </si>
  <si>
    <t>D3_TC_TD02__DDRDQ_IL13_NIL077</t>
  </si>
  <si>
    <t>D3_TC_TD02__DDRDQ_IL14_NIL120</t>
  </si>
  <si>
    <t>D3_TC_TD02__DDRDQ_IL14_NIL121</t>
  </si>
  <si>
    <t>D3_TC_TD02__DDRDQ_IL14_NIL122</t>
  </si>
  <si>
    <t>D3_TC_TD02__DDRDQ_IL14_NIL123</t>
  </si>
  <si>
    <t>D3_TC_TD02__DDRDQ_IL14_NIL124</t>
  </si>
  <si>
    <t>D3_TC_TD02__DDRDQ_IL14_NIL125</t>
  </si>
  <si>
    <t>D3_TC_TD02__DDRDQ_IL14_NIL126</t>
  </si>
  <si>
    <t>D3_TC_TD02__DDRDQ_IL14_NIL127</t>
  </si>
  <si>
    <t>D3_TC_TD02__DDRDQ_IL15_NIL130</t>
  </si>
  <si>
    <t>D3_TC_TD02__DDRDQ_IL15_NIL131</t>
  </si>
  <si>
    <t>D3_TC_TD02__DDRDQ_IL15_NIL132</t>
  </si>
  <si>
    <t>D3_TC_TD02__DDRDQ_IL15_NIL133</t>
  </si>
  <si>
    <t>D3_TC_TD02__DDRDQ_IL15_NIL134</t>
  </si>
  <si>
    <t>D3_TC_TD02__DDRDQ_IL15_NIL135</t>
  </si>
  <si>
    <t>D3_TC_TD02__DDRDQ_IL15_NIL136</t>
  </si>
  <si>
    <t>D3_TC_TD02__DDRDQ_IL15_NIL137</t>
  </si>
  <si>
    <t>D3_TC_TD02__DDRDQ_IL16_NIL160</t>
  </si>
  <si>
    <t>D3_TC_TD02__DDRDQ_IL16_NIL161</t>
  </si>
  <si>
    <t>D3_TC_TD02__DDRDQ_IL16_NIL162</t>
  </si>
  <si>
    <t>D3_TC_TD02__DDRDQ_IL16_NIL163</t>
  </si>
  <si>
    <t>D3_TC_TD02__DDRDQ_IL16_NIL164</t>
  </si>
  <si>
    <t>D3_TC_TD02__DDRDQ_IL16_NIL165</t>
  </si>
  <si>
    <t>D3_TC_TD02__DDRDQ_IL16_NIL166</t>
  </si>
  <si>
    <t>D3_TC_TD02__DDRDQ_IL16_NIL167</t>
  </si>
  <si>
    <t>D3_TC_TD02__DDRDQ_IL17_NIL170</t>
  </si>
  <si>
    <t>D3_TC_TD02__DDRDQ_IL17_NIL171</t>
  </si>
  <si>
    <t>D3_TC_TD02__DDRDQ_IL17_NIL172</t>
  </si>
  <si>
    <t>D3_TC_TD02__DDRDQ_IL17_NIL173</t>
  </si>
  <si>
    <t>D3_TC_TD02__DDRDQ_IL17_NIL174</t>
  </si>
  <si>
    <t>D3_TC_TD02__DDRDQ_IL17_NIL175</t>
  </si>
  <si>
    <t>D3_TC_TD02__DDRDQ_IL17_NIL176</t>
  </si>
  <si>
    <t>D3_TC_TD02__DDRDQ_IL17_NIL177</t>
  </si>
  <si>
    <t>D3_TC_TD02__DDR_VTT_CNTL</t>
  </si>
  <si>
    <t>D3_TC_TD02__FIVR_PROBE_DIG0</t>
  </si>
  <si>
    <t>D3_TC_TD02__FIVR_PROBE_DIG1</t>
  </si>
  <si>
    <t>D3_TC_TD03__CATERR_N</t>
  </si>
  <si>
    <t>D3_TC_TD03__CPU_EDM0</t>
  </si>
  <si>
    <t>D3_TC_TD03__CPU_EDM1</t>
  </si>
  <si>
    <t>D3_TC_TD03__CPU_POPIO_VIEW0</t>
  </si>
  <si>
    <t>D3_TC_TD03__CPU_POPIO_VIEW1</t>
  </si>
  <si>
    <t>D3_TC_TD03__DDR_VIEW0</t>
  </si>
  <si>
    <t>D3_TC_TD03__DDR_VIEW1</t>
  </si>
  <si>
    <t>D3_TC_TD03__EXTBGREF</t>
  </si>
  <si>
    <t>D3_TC_TD03__LGC_SPARE0</t>
  </si>
  <si>
    <t>D3_TC_TD03__LGC_SPARE1</t>
  </si>
  <si>
    <t>D3_TC_TD03__MBP_N0</t>
  </si>
  <si>
    <t>D3_TC_TD03__MBP_N1</t>
  </si>
  <si>
    <t>D3_TC_TD03__MBP_N2</t>
  </si>
  <si>
    <t>D3_TC_TD03__MBP_N3</t>
  </si>
  <si>
    <t>D3_TC_TD03__NOA_N0</t>
  </si>
  <si>
    <t>D3_TC_TD03__NOA_N1</t>
  </si>
  <si>
    <t>D3_TC_TD03__PROCHOT_N</t>
  </si>
  <si>
    <t>D3_TC_TD03__VIDALERT_N</t>
  </si>
  <si>
    <t>D3_TC_TD03__VIDSCK</t>
  </si>
  <si>
    <t>D3_TC_TD03__VIDSOUT</t>
  </si>
  <si>
    <t>D5_TC_DP100_TD02__DDRDQSN_IL05_NIL11</t>
  </si>
  <si>
    <t>D5_TC_DP100_TD02__DDRDQSP_IL05_NIL11</t>
  </si>
  <si>
    <t>D5_TC_DP101_TD02__DDRDQSN_IL14_NIL12</t>
  </si>
  <si>
    <t>D5_TC_DP101_TD02__DDRDQSP_IL14_NIL12</t>
  </si>
  <si>
    <t>D5_TC_DP102_TD02__DDRDQSN_IL15_NIL13</t>
  </si>
  <si>
    <t>D5_TC_DP102_TD02__DDRDQSP_IL15_NIL13</t>
  </si>
  <si>
    <t>D5_TC_DP103_TD02__DDRDQSN_IL06_NIL14</t>
  </si>
  <si>
    <t>D5_TC_DP103_TD02__DDRDQSP_IL06_NIL14</t>
  </si>
  <si>
    <t>D5_TC_DP104_TD02__DDRDQSN_IL07_NIL15</t>
  </si>
  <si>
    <t>D5_TC_DP104_TD02__DDRDQSP_IL07_NIL15</t>
  </si>
  <si>
    <t>D5_TC_DP105_TD02__DDRDQSN_IL16_NIL16</t>
  </si>
  <si>
    <t>D5_TC_DP105_TD02__DDRDQSP_IL16_NIL16</t>
  </si>
  <si>
    <t>D5_TC_DP106_TD02__DDRDQSN_IL17_NIL17</t>
  </si>
  <si>
    <t>D5_TC_DP106_TD02__DDRDQSP_IL17_NIL17</t>
  </si>
  <si>
    <t>D5_TC_DP33_TD03__HVM_CLK_N</t>
  </si>
  <si>
    <t>D5_TC_DP33_TD03__HVM_CLK_P</t>
  </si>
  <si>
    <t>D5_TC_DP34_TD02__EDP_TXN0</t>
  </si>
  <si>
    <t>D5_TC_DP34_TD02__EDP_TXP0</t>
  </si>
  <si>
    <t>D5_TC_DP35_TD02__EDP_TXN1</t>
  </si>
  <si>
    <t>D5_TC_DP35_TD02__EDP_TXP1</t>
  </si>
  <si>
    <t>D5_TC_DP36_TD02__EDP_TXN2</t>
  </si>
  <si>
    <t>D5_TC_DP36_TD02__EDP_TXP2</t>
  </si>
  <si>
    <t>D5_TC_DP37_TD02__EDP_TXN3</t>
  </si>
  <si>
    <t>D5_TC_DP37_TD02__EDP_TXP3</t>
  </si>
  <si>
    <t>D5_TC_DP38_TD02__EDP_AUXN</t>
  </si>
  <si>
    <t>D5_TC_DP38_TD02__EDP_AUXP</t>
  </si>
  <si>
    <t>D5_TC_DP39_TD03__DDI1_AUXN</t>
  </si>
  <si>
    <t>D5_TC_DP39_TD03__DDI1_AUXP</t>
  </si>
  <si>
    <t>D5_TC_DP49_TD03__NOA_STBN0</t>
  </si>
  <si>
    <t>D5_TC_DP49_TD03__NOA_STBP0</t>
  </si>
  <si>
    <t>D5_TC_DP91_TD02__DDRDQSN_IL00_NIL00</t>
  </si>
  <si>
    <t>D5_TC_DP91_TD02__DDRDQSP_IL00_NIL00</t>
  </si>
  <si>
    <t>D5_TC_DP92_TD02__DDRDQSN_IL01_NIL01</t>
  </si>
  <si>
    <t>D5_TC_DP92_TD02__DDRDQSP_IL01_NIL01</t>
  </si>
  <si>
    <t>D5_TC_DP93_TD02__DDRDQSN_IL10_NIL02</t>
  </si>
  <si>
    <t>D5_TC_DP93_TD02__DDRDQSP_IL10_NIL02</t>
  </si>
  <si>
    <t>D5_TC_DP94_TD02__DDRDQSN_IL11_NIL03</t>
  </si>
  <si>
    <t>D5_TC_DP94_TD02__DDRDQSP_IL11_NIL03</t>
  </si>
  <si>
    <t>D5_TC_DP95_TD02__DDRDQSN_IL02_NIL04</t>
  </si>
  <si>
    <t>D5_TC_DP95_TD02__DDRDQSP_IL02_NIL04</t>
  </si>
  <si>
    <t>D5_TC_DP96_TD02__DDRDQSN_IL03_NIL05</t>
  </si>
  <si>
    <t>D5_TC_DP96_TD02__DDRDQSP_IL03_NIL05</t>
  </si>
  <si>
    <t>D5_TC_DP97_TD02__DDRDQSN_IL12_NIL06</t>
  </si>
  <si>
    <t>D5_TC_DP97_TD02__DDRDQSP_IL12_NIL06</t>
  </si>
  <si>
    <t>D5_TC_DP98_TD02__DDRDQSN_IL13_NIL07</t>
  </si>
  <si>
    <t>D5_TC_DP98_TD02__DDRDQSP_IL13_NIL07</t>
  </si>
  <si>
    <t>D5_TC_DP99_TD02__DDRDQSN_IL04_NIL10</t>
  </si>
  <si>
    <t>D5_TC_DP99_TD02__DDRDQSP_IL04_NIL10</t>
  </si>
  <si>
    <t>D5_TC_TD01__CPUPWRGD</t>
  </si>
  <si>
    <t>D5_TC_TD01__DRAM_RESETB</t>
  </si>
  <si>
    <t>D5_TC_TD01__DSW_PWROK</t>
  </si>
  <si>
    <t>D5_TC_TD01__FPF_MON</t>
  </si>
  <si>
    <t>D5_TC_TD01__FPF_VREF</t>
  </si>
  <si>
    <t>D5_TC_TD01__GPD_0_BATLOWB</t>
  </si>
  <si>
    <t>D5_TC_TD01__GPD_10_SLP_S5B</t>
  </si>
  <si>
    <t>D5_TC_TD01__GPD_11_LANPHYPC</t>
  </si>
  <si>
    <t>D5_TC_TD01__GPD_1_ACPRESENT</t>
  </si>
  <si>
    <t>D5_TC_TD01__GPD_2_LAN_WAKEB</t>
  </si>
  <si>
    <t>D5_TC_TD01__GPD_4_SLP_S3B</t>
  </si>
  <si>
    <t>D5_TC_TD01__GPD_5_SLP_S4B</t>
  </si>
  <si>
    <t>D5_TC_TD01__GPD_6_SLP_AB</t>
  </si>
  <si>
    <t>D5_TC_TD01__GPD_7_USB2_WAKEOUTB</t>
  </si>
  <si>
    <t>D5_TC_TD01__GPD_8_SUSCLK</t>
  </si>
  <si>
    <t>D5_TC_TD01__GPD_9_SLP_WLANB</t>
  </si>
  <si>
    <t>D5_TC_TD01__GPP_A_0_RCINB</t>
  </si>
  <si>
    <t>D5_TC_TD01__GPP_A_11_PMEB</t>
  </si>
  <si>
    <t>D5_TC_TD01__GPP_A_12_BM_BUSYB_ISH_GP_6</t>
  </si>
  <si>
    <t>D5_TC_TD01__GPP_A_13_SUSWARNB_SUSPWRDNACK</t>
  </si>
  <si>
    <t>D5_TC_TD01__GPP_A_14_SUS_STATB_ESPI_RESETB</t>
  </si>
  <si>
    <t>D5_TC_TD01__GPP_A_15_SUSACKB</t>
  </si>
  <si>
    <t>D5_TC_TD01__GPP_A_16_SD_1P8_SEL</t>
  </si>
  <si>
    <t>D5_TC_TD01__GPP_A_17_SD_PWR_EN_B_ISH_GP_7</t>
  </si>
  <si>
    <t>D5_TC_TD01__GPP_A_18_ISH_GP_0</t>
  </si>
  <si>
    <t>D5_TC_TD01__GPP_A_19_ISH_GP_1</t>
  </si>
  <si>
    <t>D5_TC_TD01__GPP_A_1_LAD_0_ESPI_IO_0</t>
  </si>
  <si>
    <t>D5_TC_TD01__GPP_A_20_ISH_GP_2</t>
  </si>
  <si>
    <t>D5_TC_TD01__GPP_A_21_ISH_GP_3</t>
  </si>
  <si>
    <t>D5_TC_TD01__GPP_A_22_ISH_GP_4</t>
  </si>
  <si>
    <t>D5_TC_TD01__GPP_A_23_ISH_GP_5</t>
  </si>
  <si>
    <t>D5_TC_TD01__GPP_A_2_LAD_1_ESPI_IO_1</t>
  </si>
  <si>
    <t>D5_TC_TD01__GPP_A_3_LAD_2_ESPI_IO_2</t>
  </si>
  <si>
    <t>D5_TC_TD01__GPP_A_4_LAD_3_ESPI_IO_3</t>
  </si>
  <si>
    <t>D5_TC_TD01__GPP_A_5_LFRAMEB_ESPI_CSB</t>
  </si>
  <si>
    <t>D5_TC_TD01__GPP_A_6_SERIRQ</t>
  </si>
  <si>
    <t>D5_TC_TD01__GPP_A_7_PIRQAB</t>
  </si>
  <si>
    <t>D5_TC_TD01__GPP_A_8_CLKRUNB</t>
  </si>
  <si>
    <t>D5_TC_TD01__GPP_B_0_CORE_VID_0</t>
  </si>
  <si>
    <t>D5_TC_TD01__GPP_B_10_SRCCLKREQB_5</t>
  </si>
  <si>
    <t>D5_TC_TD01__GPP_B_11_EXT_PWR_GATEB</t>
  </si>
  <si>
    <t>D5_TC_TD01__GPP_B_12_SLP_S0B</t>
  </si>
  <si>
    <t>D5_TC_TD01__GPP_B_14_SPKR</t>
  </si>
  <si>
    <t>D5_TC_TD01__GPP_B_15_GSPI0_CSB</t>
  </si>
  <si>
    <t>D5_TC_TD01__GPP_B_16_GSPI0_CLK</t>
  </si>
  <si>
    <t>D5_TC_TD01__GPP_B_17_GSPI0_MISO</t>
  </si>
  <si>
    <t>D5_TC_TD01__GPP_B_18_GSPI0_MOSI</t>
  </si>
  <si>
    <t>D5_TC_TD01__GPP_B_19_GSPI1_CSB</t>
  </si>
  <si>
    <t>D5_TC_TD01__GPP_B_1_CORE_VID_1</t>
  </si>
  <si>
    <t>D5_TC_TD01__GPP_B_20_GSPI1_CLK</t>
  </si>
  <si>
    <t>D5_TC_TD01__GPP_B_21_GSPI1_MISO</t>
  </si>
  <si>
    <t>D5_TC_TD01__GPP_B_22_GSPI1_MOSI</t>
  </si>
  <si>
    <t>D5_TC_TD01__GPP_B_23_SML1ALERTB_PCHHOTB</t>
  </si>
  <si>
    <t>D5_TC_TD01__GPP_B_3_CPU_GP_2</t>
  </si>
  <si>
    <t>D5_TC_TD01__GPP_B_4_CPU_GP_3</t>
  </si>
  <si>
    <t>D5_TC_TD01__GPP_B_5_SRCCLKREQB_0</t>
  </si>
  <si>
    <t>D5_TC_TD01__GPP_B_6_SRCCLKREQB_1</t>
  </si>
  <si>
    <t>D5_TC_TD01__GPP_B_7_SRCCLKREQB_2</t>
  </si>
  <si>
    <t>D5_TC_TD01__GPP_B_8_SRCCLKREQB_3</t>
  </si>
  <si>
    <t>D5_TC_TD01__GPP_B_9_SRCCLKREQB_4</t>
  </si>
  <si>
    <t>D5_TC_TD01__GPP_C_0_SMBCLK</t>
  </si>
  <si>
    <t>D5_TC_TD01__GPP_C_10_UART0_RTSB</t>
  </si>
  <si>
    <t>D5_TC_TD01__GPP_C_11_UART0_CTSB</t>
  </si>
  <si>
    <t>D5_TC_TD01__GPP_C_12_UART1_RXD_ISH_UART1_RXD</t>
  </si>
  <si>
    <t>D5_TC_TD01__GPP_C_13_UART1_TXD_ISH_UART1_TXD</t>
  </si>
  <si>
    <t>D5_TC_TD01__GPP_C_14_UART1_RTSB_ISH_UART1_RTSB</t>
  </si>
  <si>
    <t>D5_TC_TD01__GPP_C_15_UART1_CTSB_ISH_UART1_CTSB</t>
  </si>
  <si>
    <t>D5_TC_TD01__GPP_C_16_I2C0_SDA</t>
  </si>
  <si>
    <t>D5_TC_TD01__GPP_C_17_I2C0_SCL</t>
  </si>
  <si>
    <t>D5_TC_TD01__GPP_C_18_I2C1_SDA</t>
  </si>
  <si>
    <t>D5_TC_TD01__GPP_C_19_I2C1_SCL</t>
  </si>
  <si>
    <t>D5_TC_TD01__GPP_C_1_SMBDATA</t>
  </si>
  <si>
    <t>D5_TC_TD01__GPP_C_20_UART2_RXD</t>
  </si>
  <si>
    <t>D5_TC_TD01__GPP_C_21_UART2_TXD</t>
  </si>
  <si>
    <t>D5_TC_TD01__GPP_C_22_UART2_RTSB</t>
  </si>
  <si>
    <t>D5_TC_TD01__GPP_C_23_UART2_CTSB</t>
  </si>
  <si>
    <t>D5_TC_TD01__GPP_C_2_SMBALERTB</t>
  </si>
  <si>
    <t>D5_TC_TD01__GPP_C_3_SML0CLK</t>
  </si>
  <si>
    <t>D5_TC_TD01__GPP_C_4_SML0DATA</t>
  </si>
  <si>
    <t>D5_TC_TD01__GPP_C_5_SML0ALERTB</t>
  </si>
  <si>
    <t>D5_TC_TD01__GPP_C_6_SML1CLK</t>
  </si>
  <si>
    <t>D5_TC_TD01__GPP_C_7_SML1DATA</t>
  </si>
  <si>
    <t>D5_TC_TD01__GPP_C_8_UART0_RXD</t>
  </si>
  <si>
    <t>D5_TC_TD01__GPP_C_9_UART0_TXD</t>
  </si>
  <si>
    <t>D5_TC_TD01__GPP_D_0_SPI1_CSB</t>
  </si>
  <si>
    <t>D5_TC_TD01__GPP_D_10_ISH_SPI_CLK</t>
  </si>
  <si>
    <t>D5_TC_TD01__GPP_D_11_ISH_SPI_MISO</t>
  </si>
  <si>
    <t>D5_TC_TD01__GPP_D_12_ISH_SPI_MOSI</t>
  </si>
  <si>
    <t>D5_TC_TD01__GPP_D_13_ISH_UART0_RXD_SML0BDATA</t>
  </si>
  <si>
    <t>D5_TC_TD01__GPP_D_14_ISH_UART0_TXD_SML0BCLK</t>
  </si>
  <si>
    <t>D5_TC_TD01__GPP_D_15_ISH_UART0_RTSB</t>
  </si>
  <si>
    <t>D5_TC_TD01__GPP_D_16_ISH_UART0_CTSB_SML0BALERTB</t>
  </si>
  <si>
    <t>D5_TC_TD01__GPP_D_17_DMIC_CLK_1</t>
  </si>
  <si>
    <t>D5_TC_TD01__GPP_D_18_DMIC_DATA_1</t>
  </si>
  <si>
    <t>D5_TC_TD01__GPP_D_19_DMIC_CLK_0</t>
  </si>
  <si>
    <t>D5_TC_TD01__GPP_D_1_SPI1_CLK</t>
  </si>
  <si>
    <t>D5_TC_TD01__GPP_D_20_DMIC_DATA_0</t>
  </si>
  <si>
    <t>D5_TC_TD01__GPP_D_21_SPI1_IO_2</t>
  </si>
  <si>
    <t>D5_TC_TD01__GPP_D_22_SPI1_IO_3</t>
  </si>
  <si>
    <t>D5_TC_TD01__GPP_D_23_SSP_MCLK</t>
  </si>
  <si>
    <t>D5_TC_TD01__GPP_D_2_SPI1_MISO_IO_1</t>
  </si>
  <si>
    <t>D5_TC_TD01__GPP_D_3_SPI1_MOSI_IO_0</t>
  </si>
  <si>
    <t>D5_TC_TD01__GPP_D_4_FLASHTRIG</t>
  </si>
  <si>
    <t>D5_TC_TD01__GPP_D_5_ISH_I2C0_SDA</t>
  </si>
  <si>
    <t>D5_TC_TD01__GPP_D_6_ISH_I2C0_SCL</t>
  </si>
  <si>
    <t>D5_TC_TD01__GPP_D_7_ISH_I2C1_SDA</t>
  </si>
  <si>
    <t>D5_TC_TD01__GPP_D_8_ISH_I2C1_SCL</t>
  </si>
  <si>
    <t>D5_TC_TD01__GPP_D_9_ISH_SPI_CSB</t>
  </si>
  <si>
    <t>D5_TC_TD01__GPP_E_0_SATAXPCIE_0_SATAGP_0</t>
  </si>
  <si>
    <t>D5_TC_TD01__GPP_E_10_USB2_OCB_1</t>
  </si>
  <si>
    <t>D5_TC_TD01__GPP_E_11_USB2_OCB_2</t>
  </si>
  <si>
    <t>D5_TC_TD01__GPP_E_12_USB2_OCB_3</t>
  </si>
  <si>
    <t>D5_TC_TD01__GPP_E_13_DDSP_HPD_0_1_2_3</t>
  </si>
  <si>
    <t>D5_TC_TD01__GPP_E_17_EDP_HPD</t>
  </si>
  <si>
    <t>D5_TC_TD01__GPP_E_1_SATAXPCIE_1_SATAGP_1</t>
  </si>
  <si>
    <t>D5_TC_TD01__GPP_E_2_SATAXPCIE_2_SATAGP_2</t>
  </si>
  <si>
    <t>D5_TC_TD01__GPP_E_3_CPU_GP_0</t>
  </si>
  <si>
    <t>D5_TC_TD01__GPP_E_4_SATA_DEVSLP_0</t>
  </si>
  <si>
    <t>D5_TC_TD01__GPP_E_5_SATA_DEVSLP_1</t>
  </si>
  <si>
    <t>D5_TC_TD01__GPP_E_6_SATA_DEVSLP_2</t>
  </si>
  <si>
    <t>D5_TC_TD01__GPP_E_7_CPU_GP_1</t>
  </si>
  <si>
    <t>D5_TC_TD01__GPP_E_8_SATA_LEDB</t>
  </si>
  <si>
    <t>D5_TC_TD01__GPP_E_9_USB2_OCB_0</t>
  </si>
  <si>
    <t>D5_TC_TD01__GPP_F_0_SSP2_SCLK</t>
  </si>
  <si>
    <t>D5_TC_TD01__GPP_F_10_I2C5_SDA_ISH_I2C2_SDA_4_6_8</t>
  </si>
  <si>
    <t>D5_TC_TD01__GPP_F_11_I2C5_SCL_5_7_9</t>
  </si>
  <si>
    <t>D5_TC_TD01__GPP_F_1_SSP2_SFRM</t>
  </si>
  <si>
    <t>D5_TC_TD01__GPP_F_21_EMMC_RCLK</t>
  </si>
  <si>
    <t>D5_TC_TD01__GPP_F_22_EMMC_CLK</t>
  </si>
  <si>
    <t>D5_TC_TD01__GPP_F_2_SSP2_TXD</t>
  </si>
  <si>
    <t>D5_TC_TD01__GPP_F_3_SSP2_RXD</t>
  </si>
  <si>
    <t>D5_TC_TD01__GPP_G_0_SD_CMD</t>
  </si>
  <si>
    <t>D5_TC_TD01__GPP_G_3_SD_DATA2</t>
  </si>
  <si>
    <t>D5_TC_TD01__GPP_G_4_SD_DATA3</t>
  </si>
  <si>
    <t>D5_TC_TD01__GPP_G_5_SD_CDB</t>
  </si>
  <si>
    <t>D5_TC_TD01__GPP_G_6_SD_CLK</t>
  </si>
  <si>
    <t>D5_TC_TD01__GPP_G_7_SD_WP</t>
  </si>
  <si>
    <t>D5_TC_TD01__ITP_PMODE</t>
  </si>
  <si>
    <t>D5_TC_TD01__JTAGX</t>
  </si>
  <si>
    <t>D5_TC_TD01__PCH_EDM</t>
  </si>
  <si>
    <t>D5_TC_TD01__PCH_JTAG_TCK</t>
  </si>
  <si>
    <t>D5_TC_TD01__PCH_JTAG_TDI</t>
  </si>
  <si>
    <t>D5_TC_TD01__PCH_JTAG_TDO</t>
  </si>
  <si>
    <t>D5_TC_TD01__PCH_JTAG_TMS</t>
  </si>
  <si>
    <t>D5_TC_TD01__PCH_PWROK</t>
  </si>
  <si>
    <t>D5_TC_TD01__PCH_TRSTB</t>
  </si>
  <si>
    <t>D5_TC_TD01__PGDMON</t>
  </si>
  <si>
    <t>D5_TC_TD01__RSMRSTB</t>
  </si>
  <si>
    <t>D5_TC_TD01__RTESTB</t>
  </si>
  <si>
    <t>D5_TC_TD01__SLP_LANB</t>
  </si>
  <si>
    <t>D5_TC_TD01__SLP_SUSB</t>
  </si>
  <si>
    <t>D5_TC_TD01__SPI0_CLK</t>
  </si>
  <si>
    <t>D5_TC_TD01__SPI0_FLASH_0_CSB</t>
  </si>
  <si>
    <t>D5_TC_TD01__SPI0_FLASH_1_CSB</t>
  </si>
  <si>
    <t>D5_TC_TD01__SPI0_IO_2</t>
  </si>
  <si>
    <t>D5_TC_TD01__SPI0_IO_3</t>
  </si>
  <si>
    <t>D5_TC_TD01__SPI0_MISO_IO_1</t>
  </si>
  <si>
    <t>D5_TC_TD01__SPI0_MOSI_IO_0</t>
  </si>
  <si>
    <t>D5_TC_TD01__SPI0_TPM_CSB</t>
  </si>
  <si>
    <t>D5_TC_TD01__SRTCRSTB</t>
  </si>
  <si>
    <t>D5_TC_TD01__SYS_PWROK</t>
  </si>
  <si>
    <t>D5_TC_TD01__THRMTRIPB</t>
  </si>
  <si>
    <t>D5_TC_TD01__WAKEB</t>
  </si>
  <si>
    <t>D5_TC_TD02__DDR0_ALERT_N</t>
  </si>
  <si>
    <t>D5_TC_TD02__DDR0_CAS_N_CAB1_MA15</t>
  </si>
  <si>
    <t>D5_TC_TD02__DDR0_CS_N0</t>
  </si>
  <si>
    <t>D5_TC_TD02__DDR0_CS_N1</t>
  </si>
  <si>
    <t>D5_TC_TD02__DDR0_PARITY</t>
  </si>
  <si>
    <t>D5_TC_TD02__DDR0_RAS_N_CAB3_MA16</t>
  </si>
  <si>
    <t>D5_TC_TD02__DDR0_WE_N_CAB2_MA14</t>
  </si>
  <si>
    <t>D5_TC_TD02__DDR1_ALERT_N</t>
  </si>
  <si>
    <t>D5_TC_TD02__DDR1_CAS_N_CAB1_MA15</t>
  </si>
  <si>
    <t>D5_TC_TD02__DDR1_CS_N0</t>
  </si>
  <si>
    <t>D5_TC_TD02__DDR1_CS_N1</t>
  </si>
  <si>
    <t>D5_TC_TD02__DDR1_PARITY</t>
  </si>
  <si>
    <t>D5_TC_TD02__DDR1_RAS_N_CAB3_MA16</t>
  </si>
  <si>
    <t>D5_TC_TD02__DDR1_WE_N_CAB2_MA14</t>
  </si>
  <si>
    <t>D5_TC_TD02__DDRDQ_IL00_NIL000</t>
  </si>
  <si>
    <t>D5_TC_TD02__DDRDQ_IL00_NIL001</t>
  </si>
  <si>
    <t>D5_TC_TD02__DDRDQ_IL00_NIL002</t>
  </si>
  <si>
    <t>D5_TC_TD02__DDRDQ_IL00_NIL003</t>
  </si>
  <si>
    <t>D5_TC_TD02__DDRDQ_IL00_NIL004</t>
  </si>
  <si>
    <t>D5_TC_TD02__DDRDQ_IL00_NIL005</t>
  </si>
  <si>
    <t>D5_TC_TD02__DDRDQ_IL00_NIL006</t>
  </si>
  <si>
    <t>D5_TC_TD02__DDRDQ_IL00_NIL007</t>
  </si>
  <si>
    <t>D5_TC_TD02__DDRDQ_IL01_NIL010</t>
  </si>
  <si>
    <t>D5_TC_TD02__DDRDQ_IL01_NIL011</t>
  </si>
  <si>
    <t>D5_TC_TD02__DDRDQ_IL01_NIL012</t>
  </si>
  <si>
    <t>D5_TC_TD02__DDRDQ_IL01_NIL013</t>
  </si>
  <si>
    <t>D5_TC_TD02__DDRDQ_IL01_NIL014</t>
  </si>
  <si>
    <t>D5_TC_TD02__DDRDQ_IL01_NIL015</t>
  </si>
  <si>
    <t>D5_TC_TD02__DDRDQ_IL01_NIL016</t>
  </si>
  <si>
    <t>D5_TC_TD02__DDRDQ_IL01_NIL017</t>
  </si>
  <si>
    <t>D5_TC_TD02__DDRDQ_IL02_NIL040</t>
  </si>
  <si>
    <t>D5_TC_TD02__DDRDQ_IL02_NIL041</t>
  </si>
  <si>
    <t>D5_TC_TD02__DDRDQ_IL02_NIL042</t>
  </si>
  <si>
    <t>D5_TC_TD02__DDRDQ_IL02_NIL043</t>
  </si>
  <si>
    <t>D5_TC_TD02__DDRDQ_IL02_NIL044</t>
  </si>
  <si>
    <t>D5_TC_TD02__DDRDQ_IL02_NIL045</t>
  </si>
  <si>
    <t>D5_TC_TD02__DDRDQ_IL02_NIL046</t>
  </si>
  <si>
    <t>D5_TC_TD02__DDRDQ_IL02_NIL047</t>
  </si>
  <si>
    <t>D5_TC_TD02__DDRDQ_IL03_NIL050</t>
  </si>
  <si>
    <t>D5_TC_TD02__DDRDQ_IL03_NIL051</t>
  </si>
  <si>
    <t>D5_TC_TD02__DDRDQ_IL03_NIL052</t>
  </si>
  <si>
    <t>D5_TC_TD02__DDRDQ_IL03_NIL053</t>
  </si>
  <si>
    <t>D5_TC_TD02__DDRDQ_IL03_NIL054</t>
  </si>
  <si>
    <t>D5_TC_TD02__DDRDQ_IL03_NIL055</t>
  </si>
  <si>
    <t>D5_TC_TD02__DDRDQ_IL03_NIL056</t>
  </si>
  <si>
    <t>D5_TC_TD02__DDRDQ_IL03_NIL057</t>
  </si>
  <si>
    <t>D5_TC_TD02__DDRDQ_IL04_NIL100</t>
  </si>
  <si>
    <t>D5_TC_TD02__DDRDQ_IL04_NIL101</t>
  </si>
  <si>
    <t>D5_TC_TD02__DDRDQ_IL04_NIL102</t>
  </si>
  <si>
    <t>D5_TC_TD02__DDRDQ_IL04_NIL103</t>
  </si>
  <si>
    <t>D5_TC_TD02__DDRDQ_IL04_NIL104</t>
  </si>
  <si>
    <t>D5_TC_TD02__DDRDQ_IL04_NIL105</t>
  </si>
  <si>
    <t>D5_TC_TD02__DDRDQ_IL04_NIL106</t>
  </si>
  <si>
    <t>D5_TC_TD02__DDRDQ_IL04_NIL107</t>
  </si>
  <si>
    <t>D5_TC_TD02__DDRDQ_IL05_NIL110</t>
  </si>
  <si>
    <t>D5_TC_TD02__DDRDQ_IL05_NIL111</t>
  </si>
  <si>
    <t>D5_TC_TD02__DDRDQ_IL05_NIL112</t>
  </si>
  <si>
    <t>D5_TC_TD02__DDRDQ_IL05_NIL113</t>
  </si>
  <si>
    <t>D5_TC_TD02__DDRDQ_IL05_NIL114</t>
  </si>
  <si>
    <t>D5_TC_TD02__DDRDQ_IL05_NIL115</t>
  </si>
  <si>
    <t>D5_TC_TD02__DDRDQ_IL05_NIL116</t>
  </si>
  <si>
    <t>D5_TC_TD02__DDRDQ_IL05_NIL117</t>
  </si>
  <si>
    <t>D5_TC_TD02__DDRDQ_IL06_NIL140</t>
  </si>
  <si>
    <t>D5_TC_TD02__DDRDQ_IL06_NIL141</t>
  </si>
  <si>
    <t>D5_TC_TD02__DDRDQ_IL06_NIL142</t>
  </si>
  <si>
    <t>D5_TC_TD02__DDRDQ_IL06_NIL143</t>
  </si>
  <si>
    <t>D5_TC_TD02__DDRDQ_IL06_NIL144</t>
  </si>
  <si>
    <t>D5_TC_TD02__DDRDQ_IL06_NIL145</t>
  </si>
  <si>
    <t>D5_TC_TD02__DDRDQ_IL06_NIL146</t>
  </si>
  <si>
    <t>D5_TC_TD02__DDRDQ_IL06_NIL147</t>
  </si>
  <si>
    <t>D5_TC_TD02__DDRDQ_IL07_NIL150</t>
  </si>
  <si>
    <t>D5_TC_TD02__DDRDQ_IL07_NIL151</t>
  </si>
  <si>
    <t>D5_TC_TD02__DDRDQ_IL07_NIL152</t>
  </si>
  <si>
    <t>D5_TC_TD02__DDRDQ_IL07_NIL153</t>
  </si>
  <si>
    <t>D5_TC_TD02__DDRDQ_IL07_NIL154</t>
  </si>
  <si>
    <t>D5_TC_TD02__DDRDQ_IL07_NIL155</t>
  </si>
  <si>
    <t>D5_TC_TD02__DDRDQ_IL07_NIL156</t>
  </si>
  <si>
    <t>D5_TC_TD02__DDRDQ_IL07_NIL157</t>
  </si>
  <si>
    <t>D5_TC_TD02__DDRDQ_IL10_NIL020</t>
  </si>
  <si>
    <t>D5_TC_TD02__DDRDQ_IL10_NIL021</t>
  </si>
  <si>
    <t>D5_TC_TD02__DDRDQ_IL10_NIL022</t>
  </si>
  <si>
    <t>D5_TC_TD02__DDRDQ_IL10_NIL023</t>
  </si>
  <si>
    <t>D5_TC_TD02__DDRDQ_IL10_NIL024</t>
  </si>
  <si>
    <t>D5_TC_TD02__DDRDQ_IL10_NIL025</t>
  </si>
  <si>
    <t>D5_TC_TD02__DDRDQ_IL10_NIL026</t>
  </si>
  <si>
    <t>D5_TC_TD02__DDRDQ_IL10_NIL027</t>
  </si>
  <si>
    <t>D5_TC_TD02__DDRDQ_IL11_NIL030</t>
  </si>
  <si>
    <t>D5_TC_TD02__DDRDQ_IL11_NIL031</t>
  </si>
  <si>
    <t>D5_TC_TD02__DDRDQ_IL11_NIL032</t>
  </si>
  <si>
    <t>D5_TC_TD02__DDRDQ_IL11_NIL033</t>
  </si>
  <si>
    <t>D5_TC_TD02__DDRDQ_IL11_NIL034</t>
  </si>
  <si>
    <t>D5_TC_TD02__DDRDQ_IL11_NIL035</t>
  </si>
  <si>
    <t>D5_TC_TD02__DDRDQ_IL11_NIL036</t>
  </si>
  <si>
    <t>D5_TC_TD02__DDRDQ_IL11_NIL037</t>
  </si>
  <si>
    <t>D5_TC_TD02__DDRDQ_IL12_NIL060</t>
  </si>
  <si>
    <t>D5_TC_TD02__DDRDQ_IL12_NIL061</t>
  </si>
  <si>
    <t>D5_TC_TD02__DDRDQ_IL12_NIL062</t>
  </si>
  <si>
    <t>D5_TC_TD02__DDRDQ_IL12_NIL063</t>
  </si>
  <si>
    <t>D5_TC_TD02__DDRDQ_IL12_NIL064</t>
  </si>
  <si>
    <t>D5_TC_TD02__DDRDQ_IL12_NIL065</t>
  </si>
  <si>
    <t>D5_TC_TD02__DDRDQ_IL12_NIL066</t>
  </si>
  <si>
    <t>D5_TC_TD02__DDRDQ_IL12_NIL067</t>
  </si>
  <si>
    <t>D5_TC_TD02__DDRDQ_IL13_NIL070</t>
  </si>
  <si>
    <t>D5_TC_TD02__DDRDQ_IL13_NIL071</t>
  </si>
  <si>
    <t>D5_TC_TD02__DDRDQ_IL13_NIL072</t>
  </si>
  <si>
    <t>D5_TC_TD02__DDRDQ_IL13_NIL073</t>
  </si>
  <si>
    <t>D5_TC_TD02__DDRDQ_IL13_NIL074</t>
  </si>
  <si>
    <t>D5_TC_TD02__DDRDQ_IL13_NIL075</t>
  </si>
  <si>
    <t>D5_TC_TD02__DDRDQ_IL13_NIL076</t>
  </si>
  <si>
    <t>D5_TC_TD02__DDRDQ_IL13_NIL077</t>
  </si>
  <si>
    <t>D5_TC_TD02__DDRDQ_IL14_NIL120</t>
  </si>
  <si>
    <t>D5_TC_TD02__DDRDQ_IL14_NIL121</t>
  </si>
  <si>
    <t>D5_TC_TD02__DDRDQ_IL14_NIL122</t>
  </si>
  <si>
    <t>D5_TC_TD02__DDRDQ_IL14_NIL123</t>
  </si>
  <si>
    <t>D5_TC_TD02__DDRDQ_IL14_NIL124</t>
  </si>
  <si>
    <t>D5_TC_TD02__DDRDQ_IL14_NIL125</t>
  </si>
  <si>
    <t>D5_TC_TD02__DDRDQ_IL14_NIL126</t>
  </si>
  <si>
    <t>D5_TC_TD02__DDRDQ_IL14_NIL127</t>
  </si>
  <si>
    <t>D5_TC_TD02__DDRDQ_IL15_NIL130</t>
  </si>
  <si>
    <t>D5_TC_TD02__DDRDQ_IL15_NIL131</t>
  </si>
  <si>
    <t>D5_TC_TD02__DDRDQ_IL15_NIL132</t>
  </si>
  <si>
    <t>D5_TC_TD02__DDRDQ_IL15_NIL133</t>
  </si>
  <si>
    <t>D5_TC_TD02__DDRDQ_IL15_NIL134</t>
  </si>
  <si>
    <t>D5_TC_TD02__DDRDQ_IL15_NIL135</t>
  </si>
  <si>
    <t>D5_TC_TD02__DDRDQ_IL15_NIL136</t>
  </si>
  <si>
    <t>D5_TC_TD02__DDRDQ_IL15_NIL137</t>
  </si>
  <si>
    <t>D5_TC_TD02__DDRDQ_IL16_NIL160</t>
  </si>
  <si>
    <t>D5_TC_TD02__DDRDQ_IL16_NIL161</t>
  </si>
  <si>
    <t>D5_TC_TD02__DDRDQ_IL16_NIL162</t>
  </si>
  <si>
    <t>D5_TC_TD02__DDRDQ_IL16_NIL163</t>
  </si>
  <si>
    <t>D5_TC_TD02__DDRDQ_IL16_NIL164</t>
  </si>
  <si>
    <t>D5_TC_TD02__DDRDQ_IL16_NIL165</t>
  </si>
  <si>
    <t>D5_TC_TD02__DDRDQ_IL16_NIL166</t>
  </si>
  <si>
    <t>D5_TC_TD02__DDRDQ_IL16_NIL167</t>
  </si>
  <si>
    <t>D5_TC_TD02__DDRDQ_IL17_NIL170</t>
  </si>
  <si>
    <t>D5_TC_TD02__DDRDQ_IL17_NIL171</t>
  </si>
  <si>
    <t>D5_TC_TD02__DDRDQ_IL17_NIL172</t>
  </si>
  <si>
    <t>D5_TC_TD02__DDRDQ_IL17_NIL173</t>
  </si>
  <si>
    <t>D5_TC_TD02__DDRDQ_IL17_NIL174</t>
  </si>
  <si>
    <t>D5_TC_TD02__DDRDQ_IL17_NIL175</t>
  </si>
  <si>
    <t>D5_TC_TD02__DDRDQ_IL17_NIL176</t>
  </si>
  <si>
    <t>D5_TC_TD02__DDRDQ_IL17_NIL177</t>
  </si>
  <si>
    <t>D5_TC_TD02__DDR_VTT_CNTL</t>
  </si>
  <si>
    <t>D5_TC_TD02__EDP_DISP_UTIL</t>
  </si>
  <si>
    <t>D5_TC_TD02__FIVR_PROBE_DIG0</t>
  </si>
  <si>
    <t>D5_TC_TD02__FIVR_PROBE_DIG1</t>
  </si>
  <si>
    <t>D5_TC_TD03__CATERR_N</t>
  </si>
  <si>
    <t>D5_TC_TD03__CPU_EDM0</t>
  </si>
  <si>
    <t>D5_TC_TD03__CPU_EDM1</t>
  </si>
  <si>
    <t>D5_TC_TD03__CPU_POPIO_VIEW0</t>
  </si>
  <si>
    <t>D5_TC_TD03__CPU_POPIO_VIEW1</t>
  </si>
  <si>
    <t>D5_TC_TD03__DDR_VIEW0</t>
  </si>
  <si>
    <t>D5_TC_TD03__DDR_VIEW1</t>
  </si>
  <si>
    <t>D5_TC_TD03__EXTBGREF</t>
  </si>
  <si>
    <t>D5_TC_TD03__LGC_SPARE0</t>
  </si>
  <si>
    <t>D5_TC_TD03__LGC_SPARE1</t>
  </si>
  <si>
    <t>D5_TC_TD03__MBP_N0</t>
  </si>
  <si>
    <t>D5_TC_TD03__MBP_N1</t>
  </si>
  <si>
    <t>D5_TC_TD03__MBP_N2</t>
  </si>
  <si>
    <t>D5_TC_TD03__MBP_N3</t>
  </si>
  <si>
    <t>D5_TC_TD03__NOA_N0</t>
  </si>
  <si>
    <t>D5_TC_TD03__NOA_N1</t>
  </si>
  <si>
    <t>D5_TC_TD03__PEG_VIEW2</t>
  </si>
  <si>
    <t>D5_TC_TD03__PEG_VIEW3</t>
  </si>
  <si>
    <t>D5_TC_TD03__PROCHOT_N</t>
  </si>
  <si>
    <t>D5_TC_TD03__VIDALERT_N</t>
  </si>
  <si>
    <t>D5_TC_TD03__VIDSCK</t>
  </si>
  <si>
    <t>D5_TC_TD03__VIDSOUT</t>
  </si>
  <si>
    <t>TOTAL</t>
    <phoneticPr fontId="1"/>
  </si>
  <si>
    <t>Ch LINK Assignment  (Reorder based on Tch)</t>
    <phoneticPr fontId="1"/>
  </si>
  <si>
    <t>GREEN fill: ScanTD(1-64 or 65-128)</t>
    <phoneticPr fontId="1"/>
  </si>
  <si>
    <t>DUT1</t>
    <phoneticPr fontId="1"/>
  </si>
  <si>
    <t>DUT3</t>
    <phoneticPr fontId="1"/>
  </si>
  <si>
    <t>DUT5</t>
    <phoneticPr fontId="1"/>
  </si>
  <si>
    <t>J No.</t>
    <phoneticPr fontId="1"/>
  </si>
  <si>
    <t>PIN</t>
    <phoneticPr fontId="1"/>
  </si>
  <si>
    <t>Assigned Sig. Name</t>
    <phoneticPr fontId="1"/>
  </si>
  <si>
    <t>Ball#</t>
    <phoneticPr fontId="1"/>
  </si>
  <si>
    <t>J No.</t>
  </si>
  <si>
    <t>RED chara.: 2chLINK</t>
    <phoneticPr fontId="1"/>
  </si>
  <si>
    <t>PIN100</t>
  </si>
  <si>
    <t>PIN101</t>
  </si>
  <si>
    <t>PIN102</t>
  </si>
  <si>
    <t>PIN103</t>
  </si>
  <si>
    <t>PIN104</t>
  </si>
  <si>
    <t>PIN105</t>
  </si>
  <si>
    <t>PIN106</t>
  </si>
  <si>
    <t>PIN107</t>
  </si>
  <si>
    <t>PIN108</t>
  </si>
  <si>
    <t>PIN109</t>
  </si>
  <si>
    <t>PIN110</t>
  </si>
  <si>
    <t>PIN111</t>
  </si>
  <si>
    <t>PIN112</t>
  </si>
  <si>
    <t>PIN113</t>
  </si>
  <si>
    <t>PIN114</t>
  </si>
  <si>
    <t>PIN115</t>
  </si>
  <si>
    <t>PIN116</t>
  </si>
  <si>
    <t>PIN117</t>
  </si>
  <si>
    <t>PIN118</t>
  </si>
  <si>
    <t>PIN119</t>
  </si>
  <si>
    <t>PIN120</t>
  </si>
  <si>
    <t>PIN121</t>
  </si>
  <si>
    <t>PIN122</t>
  </si>
  <si>
    <t>PIN123</t>
  </si>
  <si>
    <t>PIN124</t>
  </si>
  <si>
    <t>PIN125</t>
  </si>
  <si>
    <t>PIN126</t>
  </si>
  <si>
    <t>PIN127</t>
  </si>
  <si>
    <t>PIN128</t>
  </si>
  <si>
    <t>D1_TC_TD03__CPU_JTAG_TCK__TC</t>
  </si>
  <si>
    <t>D1_TC_TD03__CPU_JTAG_TDI__TC</t>
  </si>
  <si>
    <t>D1_TC_TD03__CPU_JTAG_TDO__TC</t>
  </si>
  <si>
    <t>D1_TC_TD03__CPU_JTAG_TMS__TC</t>
  </si>
  <si>
    <t>D1_TC_TD03__PRDY_N__TC</t>
  </si>
  <si>
    <t>D1_TC_TD03__PREQ_N__TC</t>
  </si>
  <si>
    <t>D3_TC_TD03__CPU_JTAG_TCK__TC</t>
  </si>
  <si>
    <t>D3_TC_TD03__CPU_JTAG_TDI__TC</t>
  </si>
  <si>
    <t>D3_TC_TD03__CPU_JTAG_TDO__TC</t>
  </si>
  <si>
    <t>D3_TC_TD03__CPU_JTAG_TMS__TC</t>
  </si>
  <si>
    <t>D3_TC_TD03__PRDY_N__TC</t>
  </si>
  <si>
    <t>D3_TC_TD03__PREQ_N__TC</t>
  </si>
  <si>
    <t>D5_TC_TD03__CPU_JTAG_TCK__TC</t>
  </si>
  <si>
    <t>D5_TC_TD03__CPU_JTAG_TDI__TC</t>
  </si>
  <si>
    <t>D5_TC_TD03__CPU_JTAG_TDO__TC</t>
  </si>
  <si>
    <t>D5_TC_TD03__CPU_JTAG_TMS__TC</t>
  </si>
  <si>
    <t>D5_TC_TD03__PRDY_N__TC</t>
  </si>
  <si>
    <t>D5_TC_TD03__PREQ_N__TC</t>
  </si>
  <si>
    <t>RA302.1</t>
  </si>
  <si>
    <t>RA305.1</t>
  </si>
  <si>
    <t>RA323.2</t>
  </si>
  <si>
    <t>RA321.1</t>
  </si>
  <si>
    <t>RA301.1</t>
  </si>
  <si>
    <t>D1_TC_DP117_SH29_TD01__CLKOUT_ITPXDP_N__DDR0_DDR1_CKE0__TC</t>
  </si>
  <si>
    <t>D1_TC_DP117_SH30_TD01__CLKOUT_ITPXDP_P__DDR0_DDR1_CKE1__TC</t>
  </si>
  <si>
    <t>D1_TC_SH63_TD01__MLK_RSTB__GPP_F_23__DDR0_DDR1_MA11_CAA7__TC</t>
  </si>
  <si>
    <t>D1_TC_TD01__DDR0_DDR1_ODT1</t>
  </si>
  <si>
    <t>RA320.2</t>
  </si>
  <si>
    <t>D1_TC_TD01__GPD_3_PWRBTNB__TC</t>
  </si>
  <si>
    <t>RA320.1</t>
  </si>
  <si>
    <t>RA304.1</t>
  </si>
  <si>
    <t>D1_TC_TD01__GPP_B_13_PLTRSTB__TC</t>
  </si>
  <si>
    <t>RA307.1</t>
  </si>
  <si>
    <t>D1_TC_TD01__SYS_RESETB__TC</t>
  </si>
  <si>
    <t>D1_TC_TD01__USB2_VBUSSENSE</t>
  </si>
  <si>
    <t>RA332.1</t>
  </si>
  <si>
    <t>RA333.1</t>
  </si>
  <si>
    <t>RA332.2</t>
  </si>
  <si>
    <t>RA326.1</t>
  </si>
  <si>
    <t>RA327.1</t>
  </si>
  <si>
    <t>RA326.2</t>
  </si>
  <si>
    <t>RA329.1</t>
  </si>
  <si>
    <t>RA330.1</t>
  </si>
  <si>
    <t>D1_TC_TD03__CPU_JTAG_TRST_N__TC</t>
  </si>
  <si>
    <t>RA329.2</t>
  </si>
  <si>
    <t>RA308.2</t>
  </si>
  <si>
    <t>RA309.2</t>
  </si>
  <si>
    <t>RA310.2</t>
  </si>
  <si>
    <t>RA311.2</t>
  </si>
  <si>
    <t>RA314.2</t>
  </si>
  <si>
    <t>RA312.2</t>
  </si>
  <si>
    <t>RA313.2</t>
  </si>
  <si>
    <t>RA316.2</t>
  </si>
  <si>
    <t>RA317.2</t>
  </si>
  <si>
    <t>D1_TC_TD03__VCCST_PWRGD__TC</t>
  </si>
  <si>
    <t>RA317.1</t>
  </si>
  <si>
    <t>RA323.1</t>
  </si>
  <si>
    <t>RA305.2</t>
  </si>
  <si>
    <t>RA312.1</t>
  </si>
  <si>
    <t>RA314.1</t>
  </si>
  <si>
    <t>RA308.1</t>
  </si>
  <si>
    <t>RA310.1</t>
  </si>
  <si>
    <t>RC302.1</t>
  </si>
  <si>
    <t>RC305.1</t>
  </si>
  <si>
    <t>RC323.2</t>
  </si>
  <si>
    <t>RC321.1</t>
  </si>
  <si>
    <t>RC301.1</t>
  </si>
  <si>
    <t>D3_TC_DP117_SH29_TD01__CLKOUT_ITPXDP_N__DDR0_DDR1_CKE0__TC</t>
  </si>
  <si>
    <t>D3_TC_DP117_SH30_TD01__CLKOUT_ITPXDP_P__DDR0_DDR1_CKE1__TC</t>
  </si>
  <si>
    <t>D3_TC_SH63_TD01__MLK_RSTB__GPP_F_23__DDR0_DDR1_MA11_CAA7__TC</t>
  </si>
  <si>
    <t>D3_TC_TD01__DDR0_DDR1_ODT1</t>
  </si>
  <si>
    <t>RC320.2</t>
  </si>
  <si>
    <t>D3_TC_TD01__GPD_3_PWRBTNB__TC</t>
  </si>
  <si>
    <t>RC320.1</t>
  </si>
  <si>
    <t>RC304.1</t>
  </si>
  <si>
    <t>D3_TC_TD01__GPP_B_13_PLTRSTB__TC</t>
  </si>
  <si>
    <t>RC307.1</t>
  </si>
  <si>
    <t>D3_TC_TD01__SYS_RESETB__TC</t>
  </si>
  <si>
    <t>D3_TC_TD01__USB2_VBUSSENSE</t>
  </si>
  <si>
    <t>RC332.1</t>
  </si>
  <si>
    <t>RC333.1</t>
  </si>
  <si>
    <t>RC332.2</t>
  </si>
  <si>
    <t>RC326.1</t>
  </si>
  <si>
    <t>RC327.1</t>
  </si>
  <si>
    <t>RC326.2</t>
  </si>
  <si>
    <t>RC329.1</t>
  </si>
  <si>
    <t>RC330.1</t>
  </si>
  <si>
    <t>D3_TC_TD03__CPU_JTAG_TRST_N__TC</t>
  </si>
  <si>
    <t>RC329.2</t>
  </si>
  <si>
    <t>RC308.2</t>
  </si>
  <si>
    <t>RC309.2</t>
  </si>
  <si>
    <t>RC310.2</t>
  </si>
  <si>
    <t>RC311.2</t>
  </si>
  <si>
    <t>RC314.2</t>
  </si>
  <si>
    <t>RC312.2</t>
  </si>
  <si>
    <t>RC313.2</t>
  </si>
  <si>
    <t>RC316.2</t>
  </si>
  <si>
    <t>RC317.2</t>
  </si>
  <si>
    <t>D3_TC_TD03__VCCST_PWRGD__TC</t>
  </si>
  <si>
    <t>RC317.1</t>
  </si>
  <si>
    <t>RC323.1</t>
  </si>
  <si>
    <t>RC305.2</t>
  </si>
  <si>
    <t>RC312.1</t>
  </si>
  <si>
    <t>RC314.1</t>
  </si>
  <si>
    <t>RC308.1</t>
  </si>
  <si>
    <t>RC310.1</t>
  </si>
  <si>
    <t>RE302.1</t>
  </si>
  <si>
    <t>RE305.1</t>
  </si>
  <si>
    <t>RE323.2</t>
  </si>
  <si>
    <t>RE321.1</t>
  </si>
  <si>
    <t>RE301.1</t>
  </si>
  <si>
    <t>D5_TC_DP117_SH29_TD01__CLKOUT_ITPXDP_N__DDR0_DDR1_CKE0__TC</t>
  </si>
  <si>
    <t>D5_TC_DP117_SH30_TD01__CLKOUT_ITPXDP_P__DDR0_DDR1_CKE1__TC</t>
  </si>
  <si>
    <t>D5_TC_SH63_TD01__MLK_RSTB__GPP_F_23__DDR0_DDR1_MA11_CAA7__TC</t>
  </si>
  <si>
    <t>D5_TC_TD01__DDR0_DDR1_ODT1</t>
  </si>
  <si>
    <t>RE320.2</t>
  </si>
  <si>
    <t>D5_TC_TD01__GPD_3_PWRBTNB__TC</t>
  </si>
  <si>
    <t>RE320.1</t>
  </si>
  <si>
    <t>RE304.1</t>
  </si>
  <si>
    <t>D5_TC_TD01__GPP_B_13_PLTRSTB__TC</t>
  </si>
  <si>
    <t>RE307.1</t>
  </si>
  <si>
    <t>D5_TC_TD01__SYS_RESETB__TC</t>
  </si>
  <si>
    <t>D5_TC_TD01__USB2_VBUSSENSE</t>
  </si>
  <si>
    <t>RE332.1</t>
  </si>
  <si>
    <t>RE333.1</t>
  </si>
  <si>
    <t>RE332.2</t>
  </si>
  <si>
    <t>RE326.1</t>
  </si>
  <si>
    <t>RE327.1</t>
  </si>
  <si>
    <t>RE326.2</t>
  </si>
  <si>
    <t>RE329.1</t>
  </si>
  <si>
    <t>RE330.1</t>
  </si>
  <si>
    <t>D5_TC_TD03__CPU_JTAG_TRST_N__TC</t>
  </si>
  <si>
    <t>RE329.2</t>
  </si>
  <si>
    <t>RE308.2</t>
  </si>
  <si>
    <t>RE309.2</t>
  </si>
  <si>
    <t>RE310.2</t>
  </si>
  <si>
    <t>RE311.2</t>
  </si>
  <si>
    <t>RE314.2</t>
  </si>
  <si>
    <t>RE312.2</t>
  </si>
  <si>
    <t>RE313.2</t>
  </si>
  <si>
    <t>RE316.2</t>
  </si>
  <si>
    <t>RE317.2</t>
  </si>
  <si>
    <t>D5_TC_TD03__VCCST_PWRGD__TC</t>
  </si>
  <si>
    <t>RE317.1</t>
  </si>
  <si>
    <t>RE323.1</t>
  </si>
  <si>
    <t>RE305.2</t>
  </si>
  <si>
    <t>RE312.1</t>
  </si>
  <si>
    <t>RE314.1</t>
  </si>
  <si>
    <t>RE308.1</t>
  </si>
  <si>
    <t>RE310.1</t>
  </si>
  <si>
    <t>RA324.1</t>
  </si>
  <si>
    <t>RC324.1</t>
  </si>
  <si>
    <t>RE324.1</t>
  </si>
  <si>
    <t>PCIE,SATA,USB LoopBack</t>
    <phoneticPr fontId="1"/>
  </si>
  <si>
    <t>Less than</t>
    <phoneticPr fontId="12"/>
  </si>
  <si>
    <t>PIN Name</t>
    <phoneticPr fontId="1"/>
  </si>
  <si>
    <t>DUT to Relay or Capacitor(mil)</t>
    <phoneticPr fontId="12"/>
  </si>
  <si>
    <t>Capacitor to Relay(mil)</t>
    <phoneticPr fontId="12"/>
  </si>
  <si>
    <t>LOOPBACK(mil)</t>
    <phoneticPr fontId="1"/>
  </si>
  <si>
    <t>Difference 
between SITE</t>
    <phoneticPr fontId="1"/>
  </si>
  <si>
    <t>DUT to Jconnector (mil)</t>
    <phoneticPr fontId="1"/>
  </si>
  <si>
    <t>Difference between the P and N (mil)</t>
    <phoneticPr fontId="1"/>
  </si>
  <si>
    <t>SITE3</t>
  </si>
  <si>
    <t>SITE5</t>
  </si>
  <si>
    <t>SITE3</t>
    <phoneticPr fontId="12"/>
  </si>
  <si>
    <t>SITE3</t>
    <phoneticPr fontId="1"/>
  </si>
  <si>
    <t>SITE5</t>
    <phoneticPr fontId="1"/>
  </si>
  <si>
    <t>DUT to Relay</t>
    <phoneticPr fontId="1"/>
  </si>
  <si>
    <t>PCIE_1_USB3_5_TX*</t>
  </si>
  <si>
    <t>PCIE_1_USB3_5_RX*</t>
  </si>
  <si>
    <t>PCIE_2_UFS_0A_USB3_6_TX*</t>
  </si>
  <si>
    <t>PCIE_2_UFS_0A_USB3_6_RX*</t>
  </si>
  <si>
    <t>PCIE_3_UFS_0B_LAN_0A_TX*</t>
  </si>
  <si>
    <t>PCIE_3_UFS_0B_LAN_0A_RX*</t>
  </si>
  <si>
    <t>PCIE_4_LAN_0B_TX*</t>
  </si>
  <si>
    <t>PCIE_4_LAN_0B_RX*</t>
  </si>
  <si>
    <t>PCIE_5_LAN_0C_TX*</t>
  </si>
  <si>
    <t>PCIE_5_LAN_0C_RX*</t>
  </si>
  <si>
    <t>PCIE_6_TX*</t>
  </si>
  <si>
    <t>PCIE_6_RX*</t>
  </si>
  <si>
    <t>PCIE_7_SATA_0_TX*</t>
  </si>
  <si>
    <t>PCIE_7_SATA_0_RX*</t>
  </si>
  <si>
    <t>PCIE_8_SATA_1A_TX*</t>
  </si>
  <si>
    <t>PCIE_8_SATA_1A_RX*</t>
  </si>
  <si>
    <t>PCIE_9_LAN_0D_TX*</t>
  </si>
  <si>
    <t>PCIE_9_LAN_0D_RX*</t>
  </si>
  <si>
    <t>PCIE_10_LAN_0E_TX*</t>
  </si>
  <si>
    <t>PCIE_10_LAN_0E_RX*</t>
  </si>
  <si>
    <t>PCIE_11_SATA_1B_TX*</t>
  </si>
  <si>
    <t>PCIE_11_SATA_1B_RX*</t>
  </si>
  <si>
    <t>PCIE_12_SATA_2_TX*</t>
  </si>
  <si>
    <t>PCIE_12_SATA_2_RX*</t>
  </si>
  <si>
    <t>USB3_1_TX*</t>
  </si>
  <si>
    <t>USB3_1_RX*</t>
  </si>
  <si>
    <t>USB3_2_SSIC_1_TX*</t>
  </si>
  <si>
    <t>USB3_2_SSIC_1_RX*</t>
  </si>
  <si>
    <t>USB3_3_SSIC_2_TX*</t>
  </si>
  <si>
    <t>USB3_3_SSIC_2_RX*</t>
  </si>
  <si>
    <t>USB3_4_TX*</t>
  </si>
  <si>
    <t>USB3_4_RX*</t>
  </si>
  <si>
    <t>Max</t>
    <phoneticPr fontId="1"/>
  </si>
  <si>
    <t>Min</t>
    <phoneticPr fontId="1"/>
  </si>
  <si>
    <t>Less than</t>
    <phoneticPr fontId="12"/>
  </si>
  <si>
    <t xml:space="preserve">Ball  </t>
  </si>
  <si>
    <t>SITE1</t>
    <phoneticPr fontId="12"/>
  </si>
  <si>
    <t>SITE1</t>
    <phoneticPr fontId="1"/>
  </si>
  <si>
    <t>DDR</t>
    <phoneticPr fontId="1"/>
  </si>
  <si>
    <t>LENGTH(mil)</t>
    <phoneticPr fontId="12"/>
  </si>
  <si>
    <t xml:space="preserve">Ball  </t>
    <phoneticPr fontId="12"/>
  </si>
  <si>
    <t>MAX</t>
    <phoneticPr fontId="1"/>
  </si>
  <si>
    <t>DDRDQ_IL00</t>
  </si>
  <si>
    <t>MIN</t>
    <phoneticPr fontId="1"/>
  </si>
  <si>
    <t>DIFF.</t>
    <phoneticPr fontId="1"/>
  </si>
  <si>
    <t>Diff. PEAR</t>
    <phoneticPr fontId="1"/>
  </si>
  <si>
    <t>DDRDQ_IL01</t>
  </si>
  <si>
    <t>DDRDQ_IL02</t>
  </si>
  <si>
    <t>DDRDQ_IL03</t>
  </si>
  <si>
    <t>DDRDQ_IL04</t>
  </si>
  <si>
    <t>DIFF.</t>
    <phoneticPr fontId="1"/>
  </si>
  <si>
    <t>Less than</t>
    <phoneticPr fontId="12"/>
  </si>
  <si>
    <t>Diff. PEAR</t>
    <phoneticPr fontId="1"/>
  </si>
  <si>
    <t>MAX</t>
    <phoneticPr fontId="1"/>
  </si>
  <si>
    <t>DDRDQ_IL05</t>
  </si>
  <si>
    <t>MIN</t>
    <phoneticPr fontId="1"/>
  </si>
  <si>
    <t>DDRDQ_IL06</t>
  </si>
  <si>
    <t>MAX</t>
    <phoneticPr fontId="1"/>
  </si>
  <si>
    <t>DDRDQ_IL07</t>
  </si>
  <si>
    <t>MIN</t>
    <phoneticPr fontId="1"/>
  </si>
  <si>
    <t>DIFF.</t>
    <phoneticPr fontId="1"/>
  </si>
  <si>
    <t>Less than</t>
    <phoneticPr fontId="12"/>
  </si>
  <si>
    <t>Diff. PEAR</t>
    <phoneticPr fontId="1"/>
  </si>
  <si>
    <t>DDRDQ_IL10</t>
    <phoneticPr fontId="12"/>
  </si>
  <si>
    <t>DIFF.</t>
    <phoneticPr fontId="1"/>
  </si>
  <si>
    <t>MAX</t>
    <phoneticPr fontId="1"/>
  </si>
  <si>
    <t>MIN</t>
    <phoneticPr fontId="1"/>
  </si>
  <si>
    <t>DIFF.</t>
    <phoneticPr fontId="1"/>
  </si>
  <si>
    <t>Less than</t>
    <phoneticPr fontId="12"/>
  </si>
  <si>
    <t>MAX</t>
    <phoneticPr fontId="1"/>
  </si>
  <si>
    <t>DDRDQ_IL11</t>
  </si>
  <si>
    <t>MIN</t>
    <phoneticPr fontId="1"/>
  </si>
  <si>
    <t>DIFF.</t>
    <phoneticPr fontId="1"/>
  </si>
  <si>
    <t>Less than</t>
    <phoneticPr fontId="12"/>
  </si>
  <si>
    <t>DDRDQ_IL12</t>
  </si>
  <si>
    <t>DDRDQ_IL13</t>
  </si>
  <si>
    <t>DDRDQ_IL14</t>
  </si>
  <si>
    <t>DDRDQ_IL15</t>
  </si>
  <si>
    <t>DDRDQ_IL16</t>
  </si>
  <si>
    <t>Less than</t>
    <phoneticPr fontId="12"/>
  </si>
  <si>
    <t>DDRDQ_IL17</t>
  </si>
  <si>
    <t>USB2</t>
    <phoneticPr fontId="1"/>
  </si>
  <si>
    <t>Less than</t>
    <phoneticPr fontId="12"/>
  </si>
  <si>
    <t>LENGTH(mil)</t>
    <phoneticPr fontId="12"/>
  </si>
  <si>
    <t>Diff. Pear</t>
    <phoneticPr fontId="12"/>
  </si>
  <si>
    <t xml:space="preserve">Ball  </t>
    <phoneticPr fontId="1"/>
  </si>
  <si>
    <t>PIN Name</t>
    <phoneticPr fontId="1"/>
  </si>
  <si>
    <t>SITE3</t>
    <phoneticPr fontId="12"/>
  </si>
  <si>
    <t>SITE5</t>
    <phoneticPr fontId="12"/>
  </si>
  <si>
    <t>between SITE</t>
    <phoneticPr fontId="12"/>
  </si>
  <si>
    <t>DUT3</t>
    <phoneticPr fontId="1"/>
  </si>
  <si>
    <t>DUT5</t>
    <phoneticPr fontId="1"/>
  </si>
  <si>
    <t>USB2N_1</t>
    <phoneticPr fontId="12"/>
  </si>
  <si>
    <t>VCCRTCEXT,VCCDSW_1P0</t>
    <phoneticPr fontId="1"/>
  </si>
  <si>
    <t>LENGTH(DUT to Capacitor)(mil)</t>
    <phoneticPr fontId="12"/>
  </si>
  <si>
    <t>VCCRTCEXT</t>
    <phoneticPr fontId="1"/>
  </si>
  <si>
    <t>Crystal</t>
    <phoneticPr fontId="1"/>
  </si>
  <si>
    <r>
      <rPr>
        <sz val="11"/>
        <color indexed="8"/>
        <rFont val="ＭＳ Ｐゴシック"/>
        <family val="3"/>
        <charset val="128"/>
      </rPr>
      <t>　　　　　　　　　　　　　　　　　　　　　　　　　　　　　　　　　　　　　　　　　　　</t>
    </r>
    <r>
      <rPr>
        <sz val="11"/>
        <color indexed="8"/>
        <rFont val="Arial"/>
        <family val="2"/>
      </rPr>
      <t>LENGTH(mil)</t>
    </r>
    <phoneticPr fontId="1"/>
  </si>
  <si>
    <t>Diff. IN to Out</t>
  </si>
  <si>
    <t>SITE3</t>
    <phoneticPr fontId="1"/>
  </si>
  <si>
    <t>SITE5</t>
    <phoneticPr fontId="1"/>
  </si>
  <si>
    <t>DUT to Relay</t>
    <phoneticPr fontId="1"/>
  </si>
  <si>
    <t>Relay to 
Resistor or Crystal</t>
    <phoneticPr fontId="12"/>
  </si>
  <si>
    <t>Resistor
 to Crystal</t>
    <phoneticPr fontId="1"/>
  </si>
  <si>
    <t>TOTAL</t>
    <phoneticPr fontId="1"/>
  </si>
  <si>
    <t>HVM_CLK_P/N</t>
    <phoneticPr fontId="1"/>
  </si>
  <si>
    <t>Diff(mil)</t>
    <phoneticPr fontId="1"/>
  </si>
  <si>
    <t>HIMONI/HVMONI</t>
    <phoneticPr fontId="1"/>
  </si>
  <si>
    <t>Less than</t>
    <phoneticPr fontId="12"/>
  </si>
  <si>
    <t>LENGTH(mil)</t>
    <phoneticPr fontId="12"/>
  </si>
  <si>
    <t>DIFF.(mil)</t>
    <phoneticPr fontId="12"/>
  </si>
  <si>
    <t>HIMONI</t>
  </si>
  <si>
    <t>SITE3</t>
    <phoneticPr fontId="12"/>
  </si>
  <si>
    <t>SITE5</t>
    <phoneticPr fontId="12"/>
  </si>
  <si>
    <t>J1413_R1PF1IP</t>
    <phoneticPr fontId="1"/>
  </si>
  <si>
    <t>J1104_HIMONI</t>
    <phoneticPr fontId="1"/>
  </si>
  <si>
    <t>J1304_HIMONI</t>
    <phoneticPr fontId="1"/>
  </si>
  <si>
    <t>J1413_R1PF1IM</t>
    <phoneticPr fontId="1"/>
  </si>
  <si>
    <t>J1104_HIMONIG</t>
    <phoneticPr fontId="1"/>
  </si>
  <si>
    <t>J1313_R1PF1IM</t>
    <phoneticPr fontId="1"/>
  </si>
  <si>
    <t>J1304_HIMONIG</t>
    <phoneticPr fontId="1"/>
  </si>
  <si>
    <t>J1413_R1PF2IP</t>
    <phoneticPr fontId="1"/>
  </si>
  <si>
    <t>J1401_HIMONI</t>
  </si>
  <si>
    <t>J1313_R1PF2IP</t>
    <phoneticPr fontId="1"/>
  </si>
  <si>
    <t>J1201_HIMONI</t>
    <phoneticPr fontId="1"/>
  </si>
  <si>
    <t>J1413_R1PF2IM</t>
    <phoneticPr fontId="1"/>
  </si>
  <si>
    <t>J1401_HIMONIG</t>
  </si>
  <si>
    <t>J1313_R1PF2IM</t>
    <phoneticPr fontId="1"/>
  </si>
  <si>
    <t>J1201_HIMONIG</t>
    <phoneticPr fontId="1"/>
  </si>
  <si>
    <t>Less than</t>
    <phoneticPr fontId="12"/>
  </si>
  <si>
    <t>HVMONI</t>
  </si>
  <si>
    <t>SITE3</t>
    <phoneticPr fontId="12"/>
  </si>
  <si>
    <t>SITE5</t>
    <phoneticPr fontId="12"/>
  </si>
  <si>
    <t>J1413_R1PF1VP</t>
    <phoneticPr fontId="1"/>
  </si>
  <si>
    <t>J1104_HVMONI</t>
  </si>
  <si>
    <t>J1313_R1PF1VP</t>
    <phoneticPr fontId="1"/>
  </si>
  <si>
    <t>J1304_HVMONI</t>
  </si>
  <si>
    <t>J1413_R1PF1VM</t>
    <phoneticPr fontId="1"/>
  </si>
  <si>
    <t>J1104_HVMONIG</t>
  </si>
  <si>
    <t>J1313_R1PF1VM</t>
    <phoneticPr fontId="1"/>
  </si>
  <si>
    <t>J1304_HVMONIG</t>
  </si>
  <si>
    <t>J1413_R1PF2VP</t>
    <phoneticPr fontId="1"/>
  </si>
  <si>
    <t>J1401_HVMONI</t>
  </si>
  <si>
    <t>J1313_R1PF2VP</t>
    <phoneticPr fontId="1"/>
  </si>
  <si>
    <t>J1413_R1PF2VM</t>
    <phoneticPr fontId="1"/>
  </si>
  <si>
    <t>J1401_HVMONIG</t>
  </si>
  <si>
    <t>J1313_R1PF2VM</t>
    <phoneticPr fontId="1"/>
  </si>
  <si>
    <t>THERMAL</t>
    <phoneticPr fontId="1"/>
  </si>
  <si>
    <t>THERMD</t>
  </si>
  <si>
    <t xml:space="preserve">                                                                                       LENGTH(mil)</t>
    <phoneticPr fontId="12"/>
  </si>
  <si>
    <t xml:space="preserve">                                               SITE5</t>
    <phoneticPr fontId="1"/>
  </si>
  <si>
    <t>Relay to Resistor</t>
    <phoneticPr fontId="1"/>
  </si>
  <si>
    <t>Resistor to TCI</t>
    <phoneticPr fontId="1"/>
  </si>
  <si>
    <t>THERMDA1</t>
    <phoneticPr fontId="1"/>
  </si>
  <si>
    <t>MAX</t>
    <phoneticPr fontId="1"/>
  </si>
  <si>
    <t>MIN</t>
    <phoneticPr fontId="1"/>
  </si>
  <si>
    <t>THERMDC1</t>
    <phoneticPr fontId="1"/>
  </si>
  <si>
    <t>DIFF.</t>
    <phoneticPr fontId="12"/>
  </si>
  <si>
    <t>Less than</t>
    <phoneticPr fontId="1"/>
  </si>
  <si>
    <t>THERMDA2</t>
    <phoneticPr fontId="1"/>
  </si>
  <si>
    <t>THERMDC2</t>
    <phoneticPr fontId="1"/>
  </si>
  <si>
    <t>TD_CATHODE_ANODE</t>
    <phoneticPr fontId="1"/>
  </si>
  <si>
    <t>DUT to Resistor</t>
    <phoneticPr fontId="1"/>
  </si>
  <si>
    <t>EDP,DDR_COMP,CPU_JTAG,MBP</t>
    <phoneticPr fontId="1"/>
  </si>
  <si>
    <t>EDP</t>
    <phoneticPr fontId="12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</si>
  <si>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SITE3</t>
    </r>
    <phoneticPr fontId="12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</si>
  <si>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SITE5</t>
    </r>
    <phoneticPr fontId="12"/>
  </si>
  <si>
    <r>
      <rPr>
        <sz val="11"/>
        <color indexed="8"/>
        <rFont val="ＭＳ Ｐゴシック"/>
        <family val="3"/>
        <charset val="128"/>
      </rPr>
      <t>　　　　　　　　　　　</t>
    </r>
    <r>
      <rPr>
        <sz val="11"/>
        <color indexed="8"/>
        <rFont val="Arial"/>
        <family val="2"/>
      </rPr>
      <t>DUT to Jcon.</t>
    </r>
    <phoneticPr fontId="12"/>
  </si>
  <si>
    <t>Max.</t>
    <phoneticPr fontId="12"/>
  </si>
  <si>
    <t>Min.</t>
    <phoneticPr fontId="12"/>
  </si>
  <si>
    <t>diff.</t>
    <phoneticPr fontId="12"/>
  </si>
  <si>
    <t>CPU_JTAG_TRST_N</t>
    <phoneticPr fontId="12"/>
  </si>
  <si>
    <t xml:space="preserve">DUT to </t>
    <phoneticPr fontId="1"/>
  </si>
  <si>
    <t xml:space="preserve">Resistor to </t>
    <phoneticPr fontId="1"/>
  </si>
  <si>
    <t>TOTAL</t>
    <phoneticPr fontId="12"/>
  </si>
  <si>
    <t>Resistor</t>
    <phoneticPr fontId="12"/>
  </si>
  <si>
    <t>Jcon.</t>
    <phoneticPr fontId="12"/>
  </si>
  <si>
    <t>CPU_JTAG</t>
  </si>
  <si>
    <t>DDR_COMP</t>
  </si>
  <si>
    <t>MBP</t>
  </si>
  <si>
    <t>NOA,DDI</t>
    <phoneticPr fontId="12"/>
  </si>
  <si>
    <t>NOA</t>
    <phoneticPr fontId="12"/>
  </si>
  <si>
    <t>NOA_N[2]</t>
    <phoneticPr fontId="12"/>
  </si>
  <si>
    <t>NOA_STBN[0]</t>
    <phoneticPr fontId="12"/>
  </si>
  <si>
    <t>NOA_STBP[0]</t>
    <phoneticPr fontId="12"/>
  </si>
  <si>
    <t>DDI</t>
    <phoneticPr fontId="12"/>
  </si>
  <si>
    <r>
      <t>SITE</t>
    </r>
    <r>
      <rPr>
        <sz val="11"/>
        <color indexed="8"/>
        <rFont val="ＭＳ Ｐゴシック"/>
        <family val="3"/>
        <charset val="128"/>
      </rPr>
      <t>１</t>
    </r>
    <phoneticPr fontId="12"/>
  </si>
  <si>
    <t>DUT1</t>
    <phoneticPr fontId="1"/>
  </si>
  <si>
    <t>J1205_HIMONI</t>
    <phoneticPr fontId="1"/>
  </si>
  <si>
    <t>J1205_HIMONIG</t>
    <phoneticPr fontId="1"/>
  </si>
  <si>
    <t>J1205_HVMONI</t>
    <phoneticPr fontId="12"/>
  </si>
  <si>
    <t>J1205_HVMONIG</t>
    <phoneticPr fontId="12"/>
  </si>
  <si>
    <t>J1308_HIMONI</t>
    <phoneticPr fontId="1"/>
  </si>
  <si>
    <t>J1308_HIMONIG</t>
    <phoneticPr fontId="1"/>
  </si>
  <si>
    <t>J1308_HVMONI</t>
    <phoneticPr fontId="12"/>
  </si>
  <si>
    <t>J1308_HVMONIG</t>
    <phoneticPr fontId="12"/>
  </si>
  <si>
    <t>AR18</t>
    <phoneticPr fontId="12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</si>
  <si>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</t>
    </r>
    <r>
      <rPr>
        <sz val="11"/>
        <color indexed="8"/>
        <rFont val="Arial"/>
        <family val="2"/>
      </rPr>
      <t>1</t>
    </r>
    <phoneticPr fontId="12"/>
  </si>
  <si>
    <r>
      <rPr>
        <sz val="11"/>
        <color indexed="8"/>
        <rFont val="ＭＳ Ｐゴシック"/>
        <family val="3"/>
        <charset val="128"/>
      </rPr>
      <t>　　　　　</t>
    </r>
    <r>
      <rPr>
        <sz val="11"/>
        <color indexed="8"/>
        <rFont val="Arial"/>
        <family val="2"/>
      </rPr>
      <t xml:space="preserve">                             </t>
    </r>
    <r>
      <rPr>
        <sz val="11"/>
        <color indexed="8"/>
        <rFont val="ＭＳ Ｐゴシック"/>
        <family val="3"/>
        <charset val="128"/>
      </rPr>
      <t>　　　　　　　　　　　</t>
    </r>
    <r>
      <rPr>
        <sz val="11"/>
        <color indexed="8"/>
        <rFont val="Arial"/>
        <family val="2"/>
      </rPr>
      <t xml:space="preserve">            </t>
    </r>
    <r>
      <rPr>
        <sz val="11"/>
        <color indexed="8"/>
        <rFont val="ＭＳ Ｐゴシック"/>
        <family val="3"/>
        <charset val="128"/>
      </rPr>
      <t>　　　　　　　　　</t>
    </r>
    <r>
      <rPr>
        <sz val="11"/>
        <color indexed="8"/>
        <rFont val="Arial"/>
        <family val="2"/>
      </rPr>
      <t>LENGTH(mil)</t>
    </r>
    <phoneticPr fontId="12"/>
  </si>
  <si>
    <t>SITE1</t>
  </si>
  <si>
    <t>Relay to Resistor</t>
    <phoneticPr fontId="1"/>
  </si>
  <si>
    <t>Resistor to Relay</t>
    <phoneticPr fontId="12"/>
  </si>
  <si>
    <t xml:space="preserve">                                               SITE1</t>
    <phoneticPr fontId="1"/>
  </si>
  <si>
    <t xml:space="preserve">                                               SITE3</t>
    <phoneticPr fontId="1"/>
  </si>
  <si>
    <r>
      <t>SITE</t>
    </r>
    <r>
      <rPr>
        <sz val="11"/>
        <color indexed="8"/>
        <rFont val="ＭＳ Ｐゴシック"/>
        <family val="3"/>
        <charset val="128"/>
      </rPr>
      <t>１</t>
    </r>
    <phoneticPr fontId="1"/>
  </si>
  <si>
    <t>DUT to Relay</t>
    <phoneticPr fontId="12"/>
  </si>
  <si>
    <t>Relay to Relay</t>
    <phoneticPr fontId="12"/>
  </si>
  <si>
    <t>Relay to Jcon.</t>
    <phoneticPr fontId="12"/>
  </si>
  <si>
    <r>
      <t>SITE</t>
    </r>
    <r>
      <rPr>
        <sz val="11"/>
        <color indexed="8"/>
        <rFont val="Arial"/>
        <family val="2"/>
      </rPr>
      <t>3</t>
    </r>
    <phoneticPr fontId="12"/>
  </si>
  <si>
    <r>
      <t>SITE</t>
    </r>
    <r>
      <rPr>
        <sz val="11"/>
        <color indexed="8"/>
        <rFont val="Arial"/>
        <family val="2"/>
      </rPr>
      <t>5</t>
    </r>
    <phoneticPr fontId="12"/>
  </si>
  <si>
    <t>TOTAL</t>
    <phoneticPr fontId="12"/>
  </si>
  <si>
    <t xml:space="preserve">Difference </t>
    <phoneticPr fontId="12"/>
  </si>
  <si>
    <t>TOTAL LENGTH(mil)</t>
    <phoneticPr fontId="12"/>
  </si>
  <si>
    <r>
      <t>SITE</t>
    </r>
    <r>
      <rPr>
        <b/>
        <sz val="11"/>
        <color indexed="8"/>
        <rFont val="ＭＳ Ｐゴシック"/>
        <family val="3"/>
        <charset val="128"/>
      </rPr>
      <t>１</t>
    </r>
  </si>
  <si>
    <r>
      <t>SITE</t>
    </r>
    <r>
      <rPr>
        <b/>
        <sz val="11"/>
        <color indexed="8"/>
        <rFont val="Arial"/>
        <family val="2"/>
      </rPr>
      <t>3</t>
    </r>
    <phoneticPr fontId="12"/>
  </si>
  <si>
    <r>
      <t>SITE</t>
    </r>
    <r>
      <rPr>
        <b/>
        <sz val="11"/>
        <color indexed="8"/>
        <rFont val="Arial"/>
        <family val="2"/>
      </rPr>
      <t>5</t>
    </r>
    <phoneticPr fontId="12"/>
  </si>
  <si>
    <t>To avoid crosstalk on HSIO signal</t>
    <phoneticPr fontId="22"/>
  </si>
  <si>
    <t>preliminary pin assignment</t>
    <phoneticPr fontId="22"/>
  </si>
  <si>
    <r>
      <rPr>
        <sz val="10"/>
        <rFont val="ＭＳ 明朝"/>
        <family val="1"/>
        <charset val="128"/>
      </rPr>
      <t>【</t>
    </r>
    <r>
      <rPr>
        <sz val="10"/>
        <rFont val="Arial"/>
        <family val="2"/>
      </rPr>
      <t>Module side connector</t>
    </r>
    <r>
      <rPr>
        <sz val="10"/>
        <rFont val="ＭＳ 明朝"/>
        <family val="1"/>
        <charset val="128"/>
      </rPr>
      <t>】</t>
    </r>
    <phoneticPr fontId="1"/>
  </si>
  <si>
    <r>
      <rPr>
        <sz val="10"/>
        <rFont val="ＭＳ 明朝"/>
        <family val="1"/>
        <charset val="128"/>
      </rPr>
      <t>【</t>
    </r>
    <r>
      <rPr>
        <sz val="10"/>
        <rFont val="Arial"/>
        <family val="2"/>
      </rPr>
      <t>PB side connector</t>
    </r>
    <r>
      <rPr>
        <sz val="10"/>
        <rFont val="ＭＳ 明朝"/>
        <family val="1"/>
        <charset val="128"/>
      </rPr>
      <t>】</t>
    </r>
    <phoneticPr fontId="1"/>
  </si>
  <si>
    <t>J1</t>
    <phoneticPr fontId="22"/>
  </si>
  <si>
    <t>pin</t>
    <phoneticPr fontId="1"/>
  </si>
  <si>
    <r>
      <t>B</t>
    </r>
    <r>
      <rPr>
        <sz val="8"/>
        <rFont val="ＭＳ 明朝"/>
        <family val="1"/>
        <charset val="128"/>
      </rPr>
      <t>列</t>
    </r>
    <rPh sb="1" eb="2">
      <t>レツ</t>
    </rPh>
    <phoneticPr fontId="22"/>
  </si>
  <si>
    <r>
      <t>C</t>
    </r>
    <r>
      <rPr>
        <sz val="8"/>
        <rFont val="ＭＳ 明朝"/>
        <family val="1"/>
        <charset val="128"/>
      </rPr>
      <t>列</t>
    </r>
    <rPh sb="1" eb="2">
      <t>レツ</t>
    </rPh>
    <phoneticPr fontId="22"/>
  </si>
  <si>
    <r>
      <t>D</t>
    </r>
    <r>
      <rPr>
        <sz val="8"/>
        <rFont val="ＭＳ 明朝"/>
        <family val="1"/>
        <charset val="128"/>
      </rPr>
      <t>列</t>
    </r>
    <rPh sb="1" eb="2">
      <t>レツ</t>
    </rPh>
    <phoneticPr fontId="22"/>
  </si>
  <si>
    <t>#3</t>
    <phoneticPr fontId="22"/>
  </si>
  <si>
    <t>HSIO1</t>
  </si>
  <si>
    <t>S</t>
    <phoneticPr fontId="1"/>
  </si>
  <si>
    <t>J1603</t>
    <phoneticPr fontId="22"/>
  </si>
  <si>
    <t xml:space="preserve">HSIO group </t>
    <phoneticPr fontId="20"/>
  </si>
  <si>
    <t>Tch</t>
    <phoneticPr fontId="22"/>
  </si>
  <si>
    <t>nearby signals</t>
  </si>
  <si>
    <t>Near1</t>
  </si>
  <si>
    <t>A14</t>
    <phoneticPr fontId="1"/>
  </si>
  <si>
    <t>-</t>
  </si>
  <si>
    <t>-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</si>
  <si>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</si>
  <si>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</si>
  <si>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</si>
  <si>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</si>
  <si>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PCIE_1_USB3_5_RXN_TXN</t>
    <phoneticPr fontId="20"/>
  </si>
  <si>
    <t>PIN98</t>
    <phoneticPr fontId="22"/>
  </si>
  <si>
    <t>PIN96</t>
  </si>
  <si>
    <t>PIN97</t>
  </si>
  <si>
    <t>PCIE_1_USB3_5_RXP_TXP</t>
  </si>
  <si>
    <t>A12</t>
  </si>
  <si>
    <t>PIN94</t>
  </si>
  <si>
    <t>PIN99</t>
  </si>
  <si>
    <t>PIN95</t>
  </si>
  <si>
    <t>1</t>
    <phoneticPr fontId="1"/>
  </si>
  <si>
    <t>NC</t>
    <phoneticPr fontId="1"/>
  </si>
  <si>
    <t>RIVET</t>
  </si>
  <si>
    <t>PCIE_2_UFS_0A_USB3_6_RXN_TXN</t>
  </si>
  <si>
    <t>PIN93</t>
  </si>
  <si>
    <t>2</t>
  </si>
  <si>
    <t>PCIE_2_UFS_0A_USB3_6_RXP_TXP</t>
  </si>
  <si>
    <t>PIN91</t>
  </si>
  <si>
    <t>PIN92</t>
  </si>
  <si>
    <t>3</t>
  </si>
  <si>
    <t>PIN106</t>
    <phoneticPr fontId="1"/>
  </si>
  <si>
    <t>PIN105</t>
    <phoneticPr fontId="1"/>
  </si>
  <si>
    <t>PCIE_3_UFS_0B_LAN_0A_RXN_TXN</t>
  </si>
  <si>
    <t>PIN90</t>
  </si>
  <si>
    <t>4</t>
  </si>
  <si>
    <t>PIN104</t>
    <phoneticPr fontId="1"/>
  </si>
  <si>
    <t>PIN103</t>
    <phoneticPr fontId="1"/>
  </si>
  <si>
    <t>PCIE_3_UFS_0B_LAN_0A_RXP_TXP</t>
  </si>
  <si>
    <t>A8</t>
  </si>
  <si>
    <t>PIN88</t>
  </si>
  <si>
    <t>PIN89</t>
  </si>
  <si>
    <t>5</t>
  </si>
  <si>
    <t>NC</t>
    <phoneticPr fontId="1"/>
  </si>
  <si>
    <t>PCIE_4_LAN_0B_RXN_TXN</t>
  </si>
  <si>
    <t>PIN87</t>
  </si>
  <si>
    <t>6</t>
  </si>
  <si>
    <t>PCIE_4_LAN_0B_RXP_TXP</t>
  </si>
  <si>
    <t>Near2</t>
  </si>
  <si>
    <t>PIN85</t>
  </si>
  <si>
    <t>PIN86</t>
  </si>
  <si>
    <t>7</t>
  </si>
  <si>
    <t>PCIE_5_LAN_0C_RXN_TXN</t>
  </si>
  <si>
    <t>PIN84</t>
  </si>
  <si>
    <t>8</t>
  </si>
  <si>
    <t>PIN98</t>
  </si>
  <si>
    <t>PCIE_5_LAN_0C_RXP_TXP</t>
  </si>
  <si>
    <t>PIN82</t>
  </si>
  <si>
    <t>PIN83</t>
  </si>
  <si>
    <t>9</t>
  </si>
  <si>
    <t>PCIE_6_RXN_TXN</t>
  </si>
  <si>
    <t>PHGND2</t>
    <phoneticPr fontId="22"/>
  </si>
  <si>
    <t>PIN81</t>
  </si>
  <si>
    <t>10</t>
  </si>
  <si>
    <t>NC</t>
    <phoneticPr fontId="22"/>
  </si>
  <si>
    <t>PCIE_6_RXP_TXP</t>
  </si>
  <si>
    <t>J1809PIN105</t>
  </si>
  <si>
    <t>A2</t>
    <phoneticPr fontId="1"/>
  </si>
  <si>
    <t>PMDTR2</t>
    <phoneticPr fontId="22"/>
  </si>
  <si>
    <t>PMDTR3</t>
    <phoneticPr fontId="22"/>
  </si>
  <si>
    <t>11</t>
  </si>
  <si>
    <t>NC</t>
    <phoneticPr fontId="22"/>
  </si>
  <si>
    <t>PCIE_7_SATA_0_RXN_TXN</t>
  </si>
  <si>
    <t>J1809PIN106</t>
  </si>
  <si>
    <t>A1</t>
    <phoneticPr fontId="1"/>
  </si>
  <si>
    <t>PCHK4</t>
  </si>
  <si>
    <t>12</t>
  </si>
  <si>
    <t>PIN90</t>
    <phoneticPr fontId="1"/>
  </si>
  <si>
    <t>PIN89</t>
    <phoneticPr fontId="1"/>
  </si>
  <si>
    <t>NC</t>
    <phoneticPr fontId="1"/>
  </si>
  <si>
    <t>PCIE_7_SATA_0_RXP_TXP</t>
  </si>
  <si>
    <t>J1809PIN107</t>
  </si>
  <si>
    <t>13</t>
  </si>
  <si>
    <t>PIN88</t>
    <phoneticPr fontId="1"/>
  </si>
  <si>
    <t>PIN87</t>
    <phoneticPr fontId="1"/>
  </si>
  <si>
    <t>PHGND2</t>
  </si>
  <si>
    <t>PVPP65</t>
  </si>
  <si>
    <t>PCIE_8_SATA_1A_RXN_TXN</t>
  </si>
  <si>
    <t>HSIO2</t>
  </si>
  <si>
    <t>J1809PIN108</t>
  </si>
  <si>
    <t>J3</t>
    <phoneticPr fontId="22"/>
  </si>
  <si>
    <t>pin</t>
    <phoneticPr fontId="1"/>
  </si>
  <si>
    <t>14</t>
  </si>
  <si>
    <t>PIN86</t>
    <phoneticPr fontId="1"/>
  </si>
  <si>
    <t>PIN85</t>
    <phoneticPr fontId="1"/>
  </si>
  <si>
    <t>PIN127</t>
    <phoneticPr fontId="22"/>
  </si>
  <si>
    <t>PIN128</t>
    <phoneticPr fontId="22"/>
  </si>
  <si>
    <t>PCIE_8_SATA_1A_RXP_TXP</t>
  </si>
  <si>
    <t>S</t>
    <phoneticPr fontId="1"/>
  </si>
  <si>
    <t>15</t>
  </si>
  <si>
    <t>NC</t>
    <phoneticPr fontId="1"/>
  </si>
  <si>
    <t>PCIE_9_LAN_0D_RXN_TXN</t>
  </si>
  <si>
    <t>A14</t>
    <phoneticPr fontId="1"/>
  </si>
  <si>
    <t>-</t>
    <phoneticPr fontId="1"/>
  </si>
  <si>
    <t>16</t>
  </si>
  <si>
    <t>PCHK3</t>
    <phoneticPr fontId="1"/>
  </si>
  <si>
    <t>PCIE_9_LAN_0D_RXP_TXP</t>
  </si>
  <si>
    <t>PIN80</t>
  </si>
  <si>
    <t>PCIE_10_LAN_0E_RXN_TXN</t>
  </si>
  <si>
    <t>PIN79</t>
  </si>
  <si>
    <t>#2</t>
    <phoneticPr fontId="22"/>
  </si>
  <si>
    <t>PCIE_10_LAN_0E_RXP_TXP</t>
  </si>
  <si>
    <t>PIN77</t>
  </si>
  <si>
    <t>PIN78</t>
  </si>
  <si>
    <t>J1602</t>
    <phoneticPr fontId="22"/>
  </si>
  <si>
    <t>PCIE_11_SATA_1B_RXN_TXN</t>
  </si>
  <si>
    <t>PIN76</t>
  </si>
  <si>
    <t>pin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</si>
  <si>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</si>
  <si>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</si>
  <si>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</si>
  <si>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</si>
  <si>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PCIE_11_SATA_1B_RXP_TXP</t>
  </si>
  <si>
    <t>PIN74</t>
  </si>
  <si>
    <t>PIN75</t>
  </si>
  <si>
    <t>S</t>
    <phoneticPr fontId="1"/>
  </si>
  <si>
    <t>PCIE_12_SATA_2_RXN_TXN</t>
  </si>
  <si>
    <t>PIN73</t>
  </si>
  <si>
    <t>1</t>
    <phoneticPr fontId="1"/>
  </si>
  <si>
    <t>PIN66</t>
    <phoneticPr fontId="22"/>
  </si>
  <si>
    <t>PIN65</t>
    <phoneticPr fontId="22"/>
  </si>
  <si>
    <t>NC</t>
    <phoneticPr fontId="1"/>
  </si>
  <si>
    <t>PCIE_12_SATA_2_RXP_TXP</t>
  </si>
  <si>
    <t>PIN71</t>
  </si>
  <si>
    <t>PIN72</t>
  </si>
  <si>
    <t>PIN64</t>
    <phoneticPr fontId="22"/>
  </si>
  <si>
    <t>PIN63</t>
    <phoneticPr fontId="22"/>
  </si>
  <si>
    <t>PIN67</t>
    <phoneticPr fontId="22"/>
  </si>
  <si>
    <t>PIN68</t>
    <phoneticPr fontId="22"/>
  </si>
  <si>
    <t>USB3_1_RXN_TXN</t>
  </si>
  <si>
    <t>PIN70</t>
  </si>
  <si>
    <t>PIN62</t>
    <phoneticPr fontId="22"/>
  </si>
  <si>
    <t>PIN61</t>
    <phoneticPr fontId="22"/>
  </si>
  <si>
    <t>PIN69</t>
    <phoneticPr fontId="1"/>
  </si>
  <si>
    <t>PIN70</t>
    <phoneticPr fontId="1"/>
  </si>
  <si>
    <t>USB3_1_RXP_TXP</t>
  </si>
  <si>
    <t>J1809PIN100</t>
  </si>
  <si>
    <t>PIN68</t>
  </si>
  <si>
    <t>PIN69</t>
  </si>
  <si>
    <t>PIN60</t>
    <phoneticPr fontId="22"/>
  </si>
  <si>
    <t>PIN59</t>
    <phoneticPr fontId="22"/>
  </si>
  <si>
    <t>PIN71</t>
    <phoneticPr fontId="22"/>
  </si>
  <si>
    <t>PIN72</t>
    <phoneticPr fontId="22"/>
  </si>
  <si>
    <t>USB3_2_SSIC_1_RXN_TXN</t>
  </si>
  <si>
    <t>J1809PIN101</t>
  </si>
  <si>
    <t>PIN67</t>
  </si>
  <si>
    <t>NC</t>
    <phoneticPr fontId="1"/>
  </si>
  <si>
    <t>PIN73</t>
    <phoneticPr fontId="22"/>
  </si>
  <si>
    <t>PIN74</t>
    <phoneticPr fontId="22"/>
  </si>
  <si>
    <t>USB3_2_SSIC_1_RXP_TXP</t>
  </si>
  <si>
    <t>J1809PIN102</t>
  </si>
  <si>
    <t>PIN65</t>
  </si>
  <si>
    <t>PIN66</t>
  </si>
  <si>
    <t>PIN58</t>
    <phoneticPr fontId="22"/>
  </si>
  <si>
    <t>PIN57</t>
    <phoneticPr fontId="22"/>
  </si>
  <si>
    <t>PIN75</t>
    <phoneticPr fontId="22"/>
  </si>
  <si>
    <t>PIN76</t>
    <phoneticPr fontId="22"/>
  </si>
  <si>
    <t>USB3_3_SSIC_2_RXN_TXN</t>
  </si>
  <si>
    <t>J1809PIN103</t>
  </si>
  <si>
    <t>A2</t>
    <phoneticPr fontId="1"/>
  </si>
  <si>
    <t>-</t>
    <phoneticPr fontId="22"/>
  </si>
  <si>
    <t>PIN56</t>
    <phoneticPr fontId="22"/>
  </si>
  <si>
    <t>PIN55</t>
    <phoneticPr fontId="22"/>
  </si>
  <si>
    <t>PIN77</t>
    <phoneticPr fontId="22"/>
  </si>
  <si>
    <t>PIN78</t>
    <phoneticPr fontId="22"/>
  </si>
  <si>
    <t>USB3_3_SSIC_2_RXP_TXP</t>
  </si>
  <si>
    <t>J1809PIN104</t>
  </si>
  <si>
    <t>A1</t>
    <phoneticPr fontId="1"/>
  </si>
  <si>
    <t>-</t>
    <phoneticPr fontId="22"/>
  </si>
  <si>
    <t>PCHK3</t>
  </si>
  <si>
    <t>PIN54</t>
    <phoneticPr fontId="22"/>
  </si>
  <si>
    <t>PIN53</t>
    <phoneticPr fontId="22"/>
  </si>
  <si>
    <t>PIN79</t>
    <phoneticPr fontId="22"/>
  </si>
  <si>
    <t>PIN80</t>
    <phoneticPr fontId="22"/>
  </si>
  <si>
    <t>USB3_4_RXN_TXN</t>
  </si>
  <si>
    <t>PIN52</t>
    <phoneticPr fontId="22"/>
  </si>
  <si>
    <t>PIN51</t>
    <phoneticPr fontId="22"/>
  </si>
  <si>
    <t>PIN81</t>
    <phoneticPr fontId="22"/>
  </si>
  <si>
    <t>PIN82</t>
    <phoneticPr fontId="22"/>
  </si>
  <si>
    <t>USB3_4_RXP_TXP</t>
  </si>
  <si>
    <t>J5</t>
    <phoneticPr fontId="22"/>
  </si>
  <si>
    <t>PIN50</t>
    <phoneticPr fontId="22"/>
  </si>
  <si>
    <t>PIN49</t>
    <phoneticPr fontId="22"/>
  </si>
  <si>
    <t>NC</t>
    <phoneticPr fontId="22"/>
  </si>
  <si>
    <t>PIN48</t>
    <phoneticPr fontId="1"/>
  </si>
  <si>
    <t>PIN47</t>
    <phoneticPr fontId="1"/>
  </si>
  <si>
    <t>PIN46</t>
    <phoneticPr fontId="1"/>
  </si>
  <si>
    <t>PIN45</t>
    <phoneticPr fontId="1"/>
  </si>
  <si>
    <t>USB2_VBUSSENSE</t>
    <phoneticPr fontId="20"/>
  </si>
  <si>
    <t>PIN34</t>
  </si>
  <si>
    <t>PIN32</t>
  </si>
  <si>
    <t>PIN33</t>
  </si>
  <si>
    <t>PIN44</t>
    <phoneticPr fontId="22"/>
  </si>
  <si>
    <t>PIN43</t>
    <phoneticPr fontId="22"/>
  </si>
  <si>
    <t>NC</t>
    <phoneticPr fontId="1"/>
  </si>
  <si>
    <t>PIN30</t>
  </si>
  <si>
    <t>PIN35</t>
  </si>
  <si>
    <t>PIN31</t>
  </si>
  <si>
    <t>PIN42</t>
    <phoneticPr fontId="22"/>
  </si>
  <si>
    <t>PIN41</t>
    <phoneticPr fontId="22"/>
  </si>
  <si>
    <t>PIN83</t>
    <phoneticPr fontId="22"/>
  </si>
  <si>
    <t>PIN84</t>
    <phoneticPr fontId="22"/>
  </si>
  <si>
    <t>PIN37</t>
  </si>
  <si>
    <t>PIN29</t>
  </si>
  <si>
    <t>PIN36</t>
  </si>
  <si>
    <t>PIN27</t>
  </si>
  <si>
    <t>PIN38</t>
  </si>
  <si>
    <t>PIN28</t>
  </si>
  <si>
    <t>PCHK2</t>
    <phoneticPr fontId="1"/>
  </si>
  <si>
    <t>PIN40</t>
  </si>
  <si>
    <t>PIN26</t>
  </si>
  <si>
    <t>PIN39</t>
  </si>
  <si>
    <t>PIN24</t>
  </si>
  <si>
    <t>PIN41</t>
  </si>
  <si>
    <t>PIN25</t>
  </si>
  <si>
    <t>#1</t>
    <phoneticPr fontId="22"/>
  </si>
  <si>
    <t>DSW_PWROK</t>
    <phoneticPr fontId="20"/>
  </si>
  <si>
    <t>PIN43</t>
  </si>
  <si>
    <t>PIN23</t>
  </si>
  <si>
    <t>PIN42</t>
  </si>
  <si>
    <t>J1601</t>
    <phoneticPr fontId="22"/>
  </si>
  <si>
    <t>PIN21</t>
  </si>
  <si>
    <t>PIN44</t>
  </si>
  <si>
    <t>PIN22</t>
  </si>
  <si>
    <t>PIN46</t>
  </si>
  <si>
    <t>PIN20</t>
  </si>
  <si>
    <t>PIN45</t>
  </si>
  <si>
    <t>PIN18</t>
  </si>
  <si>
    <t>PIN47</t>
  </si>
  <si>
    <t>PIN19</t>
  </si>
  <si>
    <t>1</t>
    <phoneticPr fontId="1"/>
  </si>
  <si>
    <t>PIN22</t>
    <phoneticPr fontId="1"/>
  </si>
  <si>
    <t>PIN21</t>
    <phoneticPr fontId="1"/>
  </si>
  <si>
    <t>PHGND1</t>
    <phoneticPr fontId="22"/>
  </si>
  <si>
    <t>PIN17</t>
  </si>
  <si>
    <t>PIN48</t>
  </si>
  <si>
    <t>PIN20</t>
    <phoneticPr fontId="1"/>
  </si>
  <si>
    <t>PIN19</t>
    <phoneticPr fontId="1"/>
  </si>
  <si>
    <t>PIN23</t>
    <phoneticPr fontId="1"/>
  </si>
  <si>
    <t>PIN24</t>
    <phoneticPr fontId="22"/>
  </si>
  <si>
    <t>-</t>
    <phoneticPr fontId="22"/>
  </si>
  <si>
    <t>PMDTR0</t>
    <phoneticPr fontId="22"/>
  </si>
  <si>
    <t>PMDTR1</t>
    <phoneticPr fontId="22"/>
  </si>
  <si>
    <t>PIN18</t>
    <phoneticPr fontId="22"/>
  </si>
  <si>
    <t>PIN17</t>
    <phoneticPr fontId="22"/>
  </si>
  <si>
    <t>PIN25</t>
    <phoneticPr fontId="22"/>
  </si>
  <si>
    <t>PIN26</t>
    <phoneticPr fontId="22"/>
  </si>
  <si>
    <t>A1</t>
    <phoneticPr fontId="1"/>
  </si>
  <si>
    <t>CBLID3</t>
  </si>
  <si>
    <t>CBLID2</t>
  </si>
  <si>
    <t>PCHK2</t>
  </si>
  <si>
    <t>PIN16</t>
    <phoneticPr fontId="22"/>
  </si>
  <si>
    <t>PIN15</t>
    <phoneticPr fontId="1"/>
  </si>
  <si>
    <t>PIN27</t>
    <phoneticPr fontId="22"/>
  </si>
  <si>
    <t>PIN28</t>
    <phoneticPr fontId="22"/>
  </si>
  <si>
    <t>PIN29</t>
    <phoneticPr fontId="22"/>
  </si>
  <si>
    <t>PIN30</t>
    <phoneticPr fontId="22"/>
  </si>
  <si>
    <t>J7</t>
    <phoneticPr fontId="22"/>
  </si>
  <si>
    <t>pin</t>
    <phoneticPr fontId="1"/>
  </si>
  <si>
    <t>PIN14</t>
    <phoneticPr fontId="1"/>
  </si>
  <si>
    <t>PIN13</t>
    <phoneticPr fontId="1"/>
  </si>
  <si>
    <t>PIN31</t>
    <phoneticPr fontId="1"/>
  </si>
  <si>
    <t>PIN32</t>
    <phoneticPr fontId="22"/>
  </si>
  <si>
    <t>PIN12</t>
    <phoneticPr fontId="1"/>
  </si>
  <si>
    <t>PIN11</t>
    <phoneticPr fontId="1"/>
  </si>
  <si>
    <t>PIN33</t>
    <phoneticPr fontId="22"/>
  </si>
  <si>
    <t>PIN34</t>
    <phoneticPr fontId="22"/>
  </si>
  <si>
    <t>PIN10</t>
    <phoneticPr fontId="22"/>
  </si>
  <si>
    <t>PIN09</t>
    <phoneticPr fontId="22"/>
  </si>
  <si>
    <t>PIN35</t>
    <phoneticPr fontId="22"/>
  </si>
  <si>
    <t>PIN36</t>
    <phoneticPr fontId="22"/>
  </si>
  <si>
    <t>PIN16</t>
  </si>
  <si>
    <t>PIN08</t>
    <phoneticPr fontId="22"/>
  </si>
  <si>
    <t>PIN07</t>
    <phoneticPr fontId="1"/>
  </si>
  <si>
    <t>PIN37</t>
    <phoneticPr fontId="22"/>
  </si>
  <si>
    <t>PIN38</t>
    <phoneticPr fontId="22"/>
  </si>
  <si>
    <t>PIN50</t>
  </si>
  <si>
    <t>PIN15</t>
  </si>
  <si>
    <t>PIN49</t>
  </si>
  <si>
    <t>PIN06</t>
    <phoneticPr fontId="1"/>
  </si>
  <si>
    <t>PIN05</t>
    <phoneticPr fontId="22"/>
  </si>
  <si>
    <t>PMDTR2</t>
  </si>
  <si>
    <t>Dummy2</t>
    <phoneticPr fontId="22"/>
  </si>
  <si>
    <t>PIN13</t>
  </si>
  <si>
    <t>PIN51</t>
  </si>
  <si>
    <t>PIN14</t>
  </si>
  <si>
    <t>Dummy1</t>
    <phoneticPr fontId="22"/>
  </si>
  <si>
    <t>PMDTR0</t>
    <phoneticPr fontId="1"/>
  </si>
  <si>
    <t>PMDTR3</t>
    <phoneticPr fontId="1"/>
  </si>
  <si>
    <t>PIN53</t>
  </si>
  <si>
    <t>PIN12</t>
  </si>
  <si>
    <t>PIN52</t>
  </si>
  <si>
    <t>PMDTR1</t>
    <phoneticPr fontId="1"/>
  </si>
  <si>
    <t>PIN10</t>
  </si>
  <si>
    <t>PIN54</t>
  </si>
  <si>
    <t>PIN11</t>
  </si>
  <si>
    <t>PIN04</t>
    <phoneticPr fontId="22"/>
  </si>
  <si>
    <t>PIN03</t>
    <phoneticPr fontId="22"/>
  </si>
  <si>
    <t>PHGND1</t>
    <phoneticPr fontId="1"/>
  </si>
  <si>
    <t>PVPP1</t>
    <phoneticPr fontId="1"/>
  </si>
  <si>
    <t>PIN56</t>
  </si>
  <si>
    <t>PIN9</t>
  </si>
  <si>
    <t>PIN55</t>
  </si>
  <si>
    <t>PIN02</t>
    <phoneticPr fontId="22"/>
  </si>
  <si>
    <t>PIN01</t>
    <phoneticPr fontId="22"/>
  </si>
  <si>
    <t>PIN39</t>
    <phoneticPr fontId="22"/>
  </si>
  <si>
    <t>PIN40</t>
    <phoneticPr fontId="22"/>
  </si>
  <si>
    <t>PIN7</t>
  </si>
  <si>
    <t>PIN57</t>
  </si>
  <si>
    <t>PIN8</t>
  </si>
  <si>
    <t>PIN59</t>
  </si>
  <si>
    <t>PIN6</t>
  </si>
  <si>
    <t>PIN58</t>
  </si>
  <si>
    <t>PCHK1</t>
    <phoneticPr fontId="1"/>
  </si>
  <si>
    <t>PIN4</t>
  </si>
  <si>
    <t>PIN60</t>
  </si>
  <si>
    <t>PIN5</t>
  </si>
  <si>
    <t>PIN62</t>
  </si>
  <si>
    <t>PIN3</t>
  </si>
  <si>
    <t>PIN61</t>
  </si>
  <si>
    <t>PIN1</t>
  </si>
  <si>
    <t>PIN63</t>
  </si>
  <si>
    <t>PIN2</t>
  </si>
  <si>
    <t>A2</t>
    <phoneticPr fontId="1"/>
  </si>
  <si>
    <t>-</t>
    <phoneticPr fontId="22"/>
  </si>
  <si>
    <t>PVPP1</t>
  </si>
  <si>
    <t>PIN64</t>
  </si>
  <si>
    <t>CBLID1</t>
  </si>
  <si>
    <t>CBLID0</t>
  </si>
  <si>
    <t>PCHK1</t>
  </si>
  <si>
    <t>Site1</t>
    <phoneticPr fontId="1"/>
  </si>
  <si>
    <t>Site5</t>
    <phoneticPr fontId="1"/>
  </si>
  <si>
    <t>Site3</t>
    <phoneticPr fontId="1"/>
  </si>
  <si>
    <t>D1_TC_TD02_TD03__FAST__TD_SYNC__TC</t>
  </si>
  <si>
    <t>D3_TC_TD02_TD03__FAST__TD_SYNC__TC</t>
  </si>
  <si>
    <t>D5_TC_TD02_TD03__FAST__TD_SYNC__TC</t>
  </si>
  <si>
    <t>J1807PIN025</t>
  </si>
  <si>
    <t>J1807PIN026</t>
  </si>
  <si>
    <t>J1807PIN027</t>
  </si>
  <si>
    <t>J1807PIN028</t>
  </si>
  <si>
    <t>J1807PIN029</t>
  </si>
  <si>
    <t>J1807PIN030</t>
  </si>
  <si>
    <t>J1807PIN031</t>
  </si>
  <si>
    <t>J1807PIN032</t>
  </si>
  <si>
    <t>J1807PIN033</t>
  </si>
  <si>
    <t>J1807PIN034</t>
  </si>
  <si>
    <t>J1807PIN035</t>
  </si>
  <si>
    <t>J1807PIN036</t>
  </si>
  <si>
    <t>J1807PIN037</t>
  </si>
  <si>
    <t>J1807PIN038</t>
  </si>
  <si>
    <t>J1807PIN039</t>
  </si>
  <si>
    <t>J1807PIN040</t>
  </si>
  <si>
    <t>J1809PIN091</t>
  </si>
  <si>
    <t>J1809PIN092</t>
  </si>
  <si>
    <t>J1809PIN093</t>
  </si>
  <si>
    <t>J1809PIN094</t>
  </si>
  <si>
    <t>J1809PIN095</t>
  </si>
  <si>
    <t>J1809PIN096</t>
  </si>
  <si>
    <t>J1809PIN097</t>
  </si>
  <si>
    <t>J1809PIN098</t>
  </si>
  <si>
    <t>J1809PIN099</t>
  </si>
  <si>
    <t>J1809PIN089</t>
  </si>
  <si>
    <t>J1809PIN090</t>
  </si>
  <si>
    <t>J1504PIN106</t>
  </si>
  <si>
    <t>J1504PIN100</t>
  </si>
  <si>
    <t>J1504PIN105</t>
  </si>
  <si>
    <t>J1504PIN102</t>
  </si>
  <si>
    <t>J1504PIN101</t>
  </si>
  <si>
    <t>J1504PIN107</t>
  </si>
  <si>
    <t>J1504PIN108</t>
  </si>
  <si>
    <t>J1504PIN104</t>
  </si>
  <si>
    <t>J1504PIN103</t>
  </si>
  <si>
    <t>J1504PIN091</t>
  </si>
  <si>
    <t>J1504PIN092</t>
  </si>
  <si>
    <t>J1504PIN093</t>
  </si>
  <si>
    <t>J1504PIN094</t>
  </si>
  <si>
    <t>J1504PIN095</t>
  </si>
  <si>
    <t>J1504PIN096</t>
  </si>
  <si>
    <t>J1504PIN097</t>
  </si>
  <si>
    <t>J1504PIN098</t>
  </si>
  <si>
    <t>J1504PIN099</t>
  </si>
  <si>
    <t>J1504PIN089</t>
  </si>
  <si>
    <t>J1504PIN090</t>
  </si>
  <si>
    <t>J1506PIN025</t>
  </si>
  <si>
    <t>J1506PIN026</t>
  </si>
  <si>
    <t>J1506PIN027</t>
  </si>
  <si>
    <t>J1506PIN028</t>
  </si>
  <si>
    <t>J1506PIN029</t>
  </si>
  <si>
    <t>J1506PIN030</t>
  </si>
  <si>
    <t>J1506PIN031</t>
  </si>
  <si>
    <t>J1506PIN032</t>
  </si>
  <si>
    <t>J1506PIN033</t>
  </si>
  <si>
    <t>J1506PIN034</t>
  </si>
  <si>
    <t>J1506PIN035</t>
  </si>
  <si>
    <t>J1506PIN036</t>
  </si>
  <si>
    <t>J1506PIN037</t>
  </si>
  <si>
    <t>J1506PIN038</t>
  </si>
  <si>
    <t>J1506PIN039</t>
  </si>
  <si>
    <t>J1506PIN040</t>
  </si>
  <si>
    <t>J1506PIN021</t>
  </si>
  <si>
    <t>J1506PIN022</t>
  </si>
  <si>
    <t>J1506PIN023</t>
  </si>
  <si>
    <t>J1506PIN024</t>
  </si>
  <si>
    <t>J1505PIN041</t>
  </si>
  <si>
    <t>J1505PIN042</t>
  </si>
  <si>
    <t>J1505PIN043</t>
  </si>
  <si>
    <t>J1505PIN044</t>
  </si>
  <si>
    <t>J1504PIN085</t>
  </si>
  <si>
    <t>J1504PIN086</t>
  </si>
  <si>
    <t>J1504PIN087</t>
  </si>
  <si>
    <t>J1504PIN088</t>
  </si>
  <si>
    <t>J1807PIN021</t>
  </si>
  <si>
    <t>J1807PIN022</t>
  </si>
  <si>
    <t>J1807PIN023</t>
  </si>
  <si>
    <t>J1807PIN024</t>
  </si>
  <si>
    <t>J1808PIN041</t>
  </si>
  <si>
    <t>J1808PIN042</t>
  </si>
  <si>
    <t>J1808PIN043</t>
  </si>
  <si>
    <t>J1808PIN044</t>
  </si>
  <si>
    <t>J1809PIN085</t>
  </si>
  <si>
    <t>J1809PIN086</t>
  </si>
  <si>
    <t>J1809PIN087</t>
  </si>
  <si>
    <t>J1809PIN088</t>
  </si>
  <si>
    <t>J1603PIN100</t>
  </si>
  <si>
    <t>J1603PIN101</t>
  </si>
  <si>
    <t>J1603PIN102</t>
  </si>
  <si>
    <t>J1603PIN103</t>
  </si>
  <si>
    <t>J1603PIN104</t>
  </si>
  <si>
    <t>J1601PIN025</t>
  </si>
  <si>
    <t>J1601PIN026</t>
  </si>
  <si>
    <t>J1601PIN027</t>
  </si>
  <si>
    <t>J1601PIN028</t>
  </si>
  <si>
    <t>J1601PIN029</t>
  </si>
  <si>
    <t>J1601PIN030</t>
  </si>
  <si>
    <t>J1601PIN031</t>
  </si>
  <si>
    <t>J1601PIN032</t>
  </si>
  <si>
    <t>J1601PIN033</t>
  </si>
  <si>
    <t>J1601PIN034</t>
  </si>
  <si>
    <t>J1601PIN035</t>
  </si>
  <si>
    <t>J1601PIN036</t>
  </si>
  <si>
    <t>J1601PIN037</t>
  </si>
  <si>
    <t>J1601PIN038</t>
  </si>
  <si>
    <t>J1601PIN039</t>
  </si>
  <si>
    <t>J1601PIN040</t>
  </si>
  <si>
    <t>J1603PIN089</t>
  </si>
  <si>
    <t>J1603PIN090</t>
  </si>
  <si>
    <t>J1603PIN091</t>
  </si>
  <si>
    <t>J1603PIN092</t>
  </si>
  <si>
    <t>J1603PIN093</t>
  </si>
  <si>
    <t>J1603PIN094</t>
  </si>
  <si>
    <t>J1603PIN095</t>
  </si>
  <si>
    <t>J1603PIN096</t>
  </si>
  <si>
    <t>J1603PIN097</t>
  </si>
  <si>
    <t>J1603PIN098</t>
  </si>
  <si>
    <t>J1603PIN099</t>
  </si>
  <si>
    <t>J1601PIN021</t>
  </si>
  <si>
    <t>J1601PIN022</t>
  </si>
  <si>
    <t>J1601PIN023</t>
  </si>
  <si>
    <t>J1601PIN024</t>
  </si>
  <si>
    <t>J1602PIN041</t>
  </si>
  <si>
    <t>J1602PIN042</t>
  </si>
  <si>
    <t>J1602PIN043</t>
  </si>
  <si>
    <t>J1602PIN044</t>
  </si>
  <si>
    <t>J1603PIN085</t>
  </si>
  <si>
    <t>J1603PIN086</t>
  </si>
  <si>
    <t>J1603PIN087</t>
  </si>
  <si>
    <t>J1603PIN088</t>
  </si>
  <si>
    <t>J1603PIN105</t>
  </si>
  <si>
    <t>J1603PIN106</t>
  </si>
  <si>
    <t>J1603PIN107</t>
  </si>
  <si>
    <t>J1603PIN108</t>
  </si>
  <si>
    <t>Ball#</t>
    <phoneticPr fontId="1"/>
  </si>
  <si>
    <t>ITTO-620-0089 SKL ULT 2+2 X6</t>
    <phoneticPr fontId="20"/>
  </si>
  <si>
    <t>RELAY-Jcon</t>
    <phoneticPr fontId="12"/>
  </si>
  <si>
    <t>RELAY to Resistor</t>
    <phoneticPr fontId="12"/>
  </si>
  <si>
    <t>TOTAL</t>
    <phoneticPr fontId="12"/>
  </si>
  <si>
    <t>DUT to RELAY or Jcon.</t>
    <phoneticPr fontId="12"/>
  </si>
  <si>
    <t>Sort</t>
  </si>
  <si>
    <t>Function</t>
  </si>
  <si>
    <t>Land#</t>
  </si>
  <si>
    <t>Channel/Tester No</t>
  </si>
  <si>
    <t>Components</t>
  </si>
  <si>
    <t>Minor Length</t>
  </si>
  <si>
    <t>Major Length</t>
  </si>
  <si>
    <t>Total Length</t>
  </si>
  <si>
    <t>Trace Layer</t>
  </si>
  <si>
    <t>ULX</t>
  </si>
  <si>
    <t>NET</t>
  </si>
  <si>
    <t>CLKOUT_SRC_P_2</t>
    <phoneticPr fontId="30"/>
  </si>
  <si>
    <t>Y connected with DDR1_ODT[1] shared with PCH</t>
  </si>
  <si>
    <t>Y connected with DDR0_ODT[1] shard with PCH</t>
  </si>
  <si>
    <t>SPARE1</t>
  </si>
  <si>
    <t>SPARE2</t>
  </si>
  <si>
    <t>SPARE3</t>
  </si>
  <si>
    <t xml:space="preserve">Sync2 </t>
  </si>
  <si>
    <t>MAX</t>
    <phoneticPr fontId="12"/>
  </si>
  <si>
    <t>mil</t>
    <phoneticPr fontId="12"/>
  </si>
  <si>
    <t>J1313_R1PF1IP</t>
    <phoneticPr fontId="1"/>
  </si>
  <si>
    <t>J1313_R2PF1IP</t>
    <phoneticPr fontId="1"/>
  </si>
  <si>
    <t>J1313_R2PF1IM</t>
    <phoneticPr fontId="1"/>
  </si>
  <si>
    <t>J1313_R2PF2IP</t>
    <phoneticPr fontId="1"/>
  </si>
  <si>
    <t>J1313_R2PF2IM</t>
    <phoneticPr fontId="1"/>
  </si>
  <si>
    <t>J1313_R2PF1VP</t>
    <phoneticPr fontId="1"/>
  </si>
  <si>
    <t>J1313_R2PF1VM</t>
    <phoneticPr fontId="1"/>
  </si>
  <si>
    <t>J1313_R2PF2VP</t>
    <phoneticPr fontId="1"/>
  </si>
  <si>
    <t>J1313_R2PF2VM</t>
    <phoneticPr fontId="1"/>
  </si>
  <si>
    <t>AU5'</t>
    <phoneticPr fontId="29"/>
  </si>
  <si>
    <t>RA221.1</t>
  </si>
  <si>
    <t>Shared</t>
    <phoneticPr fontId="12"/>
  </si>
  <si>
    <t>SITE3</t>
    <phoneticPr fontId="33"/>
  </si>
  <si>
    <t>SITE5</t>
    <phoneticPr fontId="33"/>
  </si>
  <si>
    <t>Max.</t>
    <phoneticPr fontId="33"/>
  </si>
  <si>
    <t>Min.</t>
    <phoneticPr fontId="33"/>
  </si>
  <si>
    <t>diff.</t>
    <phoneticPr fontId="33"/>
  </si>
  <si>
    <t>Less than</t>
    <phoneticPr fontId="33"/>
  </si>
  <si>
    <t>LENGTH(mil)</t>
    <phoneticPr fontId="33"/>
  </si>
  <si>
    <t>TD2,3</t>
    <phoneticPr fontId="33"/>
  </si>
  <si>
    <t>synchronize Legacy and DDR time domains</t>
    <phoneticPr fontId="1"/>
  </si>
  <si>
    <t>[mil]</t>
  </si>
  <si>
    <t>Spec</t>
    <phoneticPr fontId="1"/>
  </si>
  <si>
    <t>DUT No.</t>
    <phoneticPr fontId="1"/>
  </si>
  <si>
    <t>Ball</t>
    <phoneticPr fontId="1"/>
  </si>
  <si>
    <t>Pin Name</t>
    <phoneticPr fontId="1"/>
  </si>
  <si>
    <t>DUT to Relay</t>
    <phoneticPr fontId="1"/>
  </si>
  <si>
    <t>Relay to Jconnector</t>
    <phoneticPr fontId="1"/>
  </si>
  <si>
    <t>Total</t>
    <phoneticPr fontId="1"/>
  </si>
  <si>
    <t>Judgement</t>
    <phoneticPr fontId="1"/>
  </si>
  <si>
    <t>Site1</t>
    <phoneticPr fontId="1"/>
  </si>
  <si>
    <t>Diff.</t>
    <phoneticPr fontId="1"/>
  </si>
  <si>
    <t>CLKOUT_SRC_P_2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</si>
  <si>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</si>
  <si>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</si>
  <si>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</si>
  <si>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</si>
  <si>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</si>
  <si>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</si>
  <si>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</si>
  <si>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Site5</t>
    <phoneticPr fontId="1"/>
  </si>
  <si>
    <t>CLKOUT_SRC_N_0</t>
    <phoneticPr fontId="1"/>
  </si>
  <si>
    <t>D42</t>
    <phoneticPr fontId="1"/>
  </si>
  <si>
    <t>CLKOUT_SRC_P_0</t>
    <phoneticPr fontId="1"/>
  </si>
  <si>
    <t>C42</t>
    <phoneticPr fontId="1"/>
  </si>
  <si>
    <t>Layer</t>
  </si>
  <si>
    <t>L11_INT1_HS1</t>
  </si>
  <si>
    <t>L17_INT4_HS4</t>
  </si>
  <si>
    <t>L32_INT10</t>
  </si>
  <si>
    <t>L15_INT3_HS3</t>
  </si>
  <si>
    <t>L13_INT2_HS2</t>
  </si>
  <si>
    <t>L24_INT6</t>
  </si>
  <si>
    <t>L28_INT8</t>
  </si>
  <si>
    <t>L19_INT5</t>
  </si>
  <si>
    <t>L26_INT7</t>
  </si>
  <si>
    <t>L30_INT9</t>
  </si>
  <si>
    <t>L21_LC1</t>
  </si>
  <si>
    <t>EDP_AUXN</t>
    <phoneticPr fontId="34"/>
  </si>
  <si>
    <t>ITTO-620-0089 SKL ULT2+2X6</t>
    <phoneticPr fontId="1"/>
  </si>
  <si>
    <t>Power Supply Assignment</t>
    <phoneticPr fontId="1"/>
  </si>
  <si>
    <t>Connect type</t>
    <phoneticPr fontId="1"/>
  </si>
  <si>
    <t>Name</t>
    <phoneticPr fontId="1"/>
  </si>
  <si>
    <t>DPS Ch</t>
    <phoneticPr fontId="1"/>
  </si>
  <si>
    <t>Site1</t>
    <phoneticPr fontId="1"/>
  </si>
  <si>
    <t>Site3</t>
  </si>
  <si>
    <t>Site5</t>
  </si>
  <si>
    <t>Count</t>
    <phoneticPr fontId="1"/>
  </si>
  <si>
    <t>DPS150A</t>
  </si>
  <si>
    <t>DPS1-HC1-2</t>
    <phoneticPr fontId="1"/>
  </si>
  <si>
    <t>VCCCORE</t>
    <phoneticPr fontId="1"/>
  </si>
  <si>
    <t>L3_HC1/L7_HC2/L40_HC</t>
    <phoneticPr fontId="1"/>
  </si>
  <si>
    <t>VCCSA</t>
    <phoneticPr fontId="1"/>
  </si>
  <si>
    <t>1202HDP4F,1203HDP5F</t>
    <phoneticPr fontId="1"/>
  </si>
  <si>
    <t>L5_HC4</t>
    <phoneticPr fontId="1"/>
  </si>
  <si>
    <t>1103HDP4F,1102HDP5F</t>
    <phoneticPr fontId="1"/>
  </si>
  <si>
    <t>1303HDP4F,1302HDP5F</t>
    <phoneticPr fontId="1"/>
  </si>
  <si>
    <t>DPS1-HC3</t>
    <phoneticPr fontId="1"/>
  </si>
  <si>
    <t>VCCDU</t>
    <phoneticPr fontId="1"/>
  </si>
  <si>
    <t>1202HDP3F</t>
    <phoneticPr fontId="1"/>
  </si>
  <si>
    <t>L40_HC3</t>
    <phoneticPr fontId="1"/>
  </si>
  <si>
    <t>1103HDP3F</t>
    <phoneticPr fontId="1"/>
  </si>
  <si>
    <t>1303HDP3F</t>
    <phoneticPr fontId="1"/>
  </si>
  <si>
    <t>DPS1-HC8</t>
    <phoneticPr fontId="1"/>
  </si>
  <si>
    <t>1204HDP8F</t>
    <phoneticPr fontId="1"/>
  </si>
  <si>
    <t>L9_HC8</t>
    <phoneticPr fontId="1"/>
  </si>
  <si>
    <t>1101HDP8F</t>
    <phoneticPr fontId="1"/>
  </si>
  <si>
    <t>1301HDP8F</t>
    <phoneticPr fontId="1"/>
  </si>
  <si>
    <t>DPS1-LC7</t>
    <phoneticPr fontId="1"/>
  </si>
  <si>
    <t>1204LDP7F</t>
    <phoneticPr fontId="1"/>
  </si>
  <si>
    <t>L21_LC7</t>
    <phoneticPr fontId="1"/>
  </si>
  <si>
    <t>1101LDP7F</t>
    <phoneticPr fontId="1"/>
  </si>
  <si>
    <t>1301LDP7F</t>
    <phoneticPr fontId="1"/>
  </si>
  <si>
    <t>DPS1-LC8</t>
    <phoneticPr fontId="1"/>
  </si>
  <si>
    <r>
      <t>VC</t>
    </r>
    <r>
      <rPr>
        <sz val="10"/>
        <color indexed="12"/>
        <rFont val="Arial"/>
        <family val="2"/>
      </rPr>
      <t>C</t>
    </r>
    <r>
      <rPr>
        <sz val="10"/>
        <rFont val="Arial"/>
        <family val="2"/>
      </rPr>
      <t>STG</t>
    </r>
    <phoneticPr fontId="1"/>
  </si>
  <si>
    <t>1204LDP8F</t>
    <phoneticPr fontId="1"/>
  </si>
  <si>
    <t>L22_LC8</t>
    <phoneticPr fontId="1"/>
  </si>
  <si>
    <t>1101LDP8F</t>
    <phoneticPr fontId="1"/>
  </si>
  <si>
    <t>L38_LC8</t>
    <phoneticPr fontId="1"/>
  </si>
  <si>
    <t>1301LDP8F</t>
    <phoneticPr fontId="1"/>
  </si>
  <si>
    <t>L34_LC8</t>
    <phoneticPr fontId="1"/>
  </si>
  <si>
    <t>DPS1-LC5</t>
    <phoneticPr fontId="1"/>
  </si>
  <si>
    <t>VCCSFR</t>
    <phoneticPr fontId="1"/>
  </si>
  <si>
    <t>1203LDP5F</t>
    <phoneticPr fontId="1"/>
  </si>
  <si>
    <t>L36_LC5</t>
    <phoneticPr fontId="1"/>
  </si>
  <si>
    <t>1102LDP5F</t>
    <phoneticPr fontId="1"/>
  </si>
  <si>
    <t>1302LDP5F</t>
    <phoneticPr fontId="1"/>
  </si>
  <si>
    <t>DPS1-LC6</t>
    <phoneticPr fontId="1"/>
  </si>
  <si>
    <t>1203LDP6F</t>
    <phoneticPr fontId="1"/>
  </si>
  <si>
    <t>L22_LC6</t>
    <phoneticPr fontId="1"/>
  </si>
  <si>
    <t>1102LDP6F</t>
    <phoneticPr fontId="1"/>
  </si>
  <si>
    <t>L38_LC6</t>
    <phoneticPr fontId="1"/>
  </si>
  <si>
    <t>1302LDP6F</t>
    <phoneticPr fontId="1"/>
  </si>
  <si>
    <t>DPS1-LC1</t>
    <phoneticPr fontId="1"/>
  </si>
  <si>
    <t>VCCCOREG0</t>
    <phoneticPr fontId="1"/>
  </si>
  <si>
    <t>1201LDP1F</t>
    <phoneticPr fontId="1"/>
  </si>
  <si>
    <t>L36_LC1</t>
    <phoneticPr fontId="1"/>
  </si>
  <si>
    <t>1104LDP1F</t>
    <phoneticPr fontId="1"/>
  </si>
  <si>
    <t>1304LDP1F</t>
    <phoneticPr fontId="1"/>
  </si>
  <si>
    <t>DPS1-LC2</t>
    <phoneticPr fontId="1"/>
  </si>
  <si>
    <t>1201LDP2F</t>
    <phoneticPr fontId="1"/>
  </si>
  <si>
    <t>L38_LC2</t>
    <phoneticPr fontId="1"/>
  </si>
  <si>
    <t>1104LDP2F</t>
    <phoneticPr fontId="1"/>
  </si>
  <si>
    <t>1304LDP2F</t>
    <phoneticPr fontId="1"/>
  </si>
  <si>
    <t>DPS1-LC4</t>
    <phoneticPr fontId="1"/>
  </si>
  <si>
    <t>VCCFUSEPRG</t>
    <phoneticPr fontId="1"/>
  </si>
  <si>
    <t>1202LDP4F</t>
    <phoneticPr fontId="1"/>
  </si>
  <si>
    <t>L22_LC4</t>
    <phoneticPr fontId="1"/>
  </si>
  <si>
    <t>1103LDP4F</t>
    <phoneticPr fontId="1"/>
  </si>
  <si>
    <t>1303LDP4F</t>
    <phoneticPr fontId="1"/>
  </si>
  <si>
    <t>DPS2-HC8</t>
    <phoneticPr fontId="1"/>
  </si>
  <si>
    <t>PPF (Scaling)</t>
    <phoneticPr fontId="1"/>
  </si>
  <si>
    <t>1208HDP8F</t>
    <phoneticPr fontId="1"/>
  </si>
  <si>
    <t>1404HDP8F</t>
    <phoneticPr fontId="1"/>
  </si>
  <si>
    <t>L40_HC8</t>
    <phoneticPr fontId="1"/>
  </si>
  <si>
    <t>1305HDP8F</t>
    <phoneticPr fontId="1"/>
  </si>
  <si>
    <t>L5_HC8</t>
    <phoneticPr fontId="1"/>
  </si>
  <si>
    <t>VCCGT</t>
    <phoneticPr fontId="1"/>
  </si>
  <si>
    <t>1205HDP1F,1205HDP2F,1206HDP3F,1206HDP4F</t>
    <phoneticPr fontId="1"/>
  </si>
  <si>
    <t>L5_HC1/L9_HC2/L40_HC3</t>
    <phoneticPr fontId="1"/>
  </si>
  <si>
    <t>1401HDP1F,1401HDP2F,1402HDP3F,1402HDP4F</t>
    <phoneticPr fontId="1"/>
  </si>
  <si>
    <t>1308HDP1F,1308HDP2F,1307HDP3F,1307HDP4F</t>
    <phoneticPr fontId="1"/>
  </si>
  <si>
    <t>DPS1-LC3</t>
    <phoneticPr fontId="1"/>
  </si>
  <si>
    <t>VCCDDQ_CLK</t>
    <phoneticPr fontId="1"/>
  </si>
  <si>
    <t>1202LDP3F</t>
    <phoneticPr fontId="1"/>
  </si>
  <si>
    <t>L21_LC3</t>
    <phoneticPr fontId="1"/>
  </si>
  <si>
    <t>1103LDP3F</t>
    <phoneticPr fontId="1"/>
  </si>
  <si>
    <t>1303LDP3F</t>
    <phoneticPr fontId="1"/>
  </si>
  <si>
    <t>DPS1-HC6</t>
    <phoneticPr fontId="1"/>
  </si>
  <si>
    <t>VCCPRIM_CORE</t>
    <phoneticPr fontId="1"/>
  </si>
  <si>
    <t>1203HDP6F</t>
    <phoneticPr fontId="1"/>
  </si>
  <si>
    <t>L3_HC3</t>
    <phoneticPr fontId="1"/>
  </si>
  <si>
    <t>1102HDP6F</t>
    <phoneticPr fontId="1"/>
  </si>
  <si>
    <t>1302HDP6F</t>
    <phoneticPr fontId="1"/>
  </si>
  <si>
    <t>DPS1-HC7</t>
    <phoneticPr fontId="1"/>
  </si>
  <si>
    <t>1204HDP2F</t>
    <phoneticPr fontId="1"/>
  </si>
  <si>
    <t>L7_HC7</t>
    <phoneticPr fontId="1"/>
  </si>
  <si>
    <t>1101HDP2F</t>
    <phoneticPr fontId="1"/>
  </si>
  <si>
    <t>1301HDP2F</t>
    <phoneticPr fontId="1"/>
  </si>
  <si>
    <t>DPS2-HC7</t>
    <phoneticPr fontId="1"/>
  </si>
  <si>
    <t>VCCAMPHYPLL_1P0</t>
    <phoneticPr fontId="1"/>
  </si>
  <si>
    <t>1208HDP7F</t>
    <phoneticPr fontId="1"/>
  </si>
  <si>
    <t>L3_HC7</t>
    <phoneticPr fontId="1"/>
  </si>
  <si>
    <t>1404HDP7F</t>
    <phoneticPr fontId="1"/>
  </si>
  <si>
    <t>1305HDP7F</t>
    <phoneticPr fontId="1"/>
  </si>
  <si>
    <t>L40_HC7</t>
    <phoneticPr fontId="1"/>
  </si>
  <si>
    <t>DPS2-HC6</t>
    <phoneticPr fontId="1"/>
  </si>
  <si>
    <t>VCCSRAM_1P0</t>
    <phoneticPr fontId="1"/>
  </si>
  <si>
    <t>1207HDP6F</t>
    <phoneticPr fontId="1"/>
  </si>
  <si>
    <t>L5_HC6</t>
    <phoneticPr fontId="1"/>
  </si>
  <si>
    <t>1403HDP6F</t>
    <phoneticPr fontId="1"/>
  </si>
  <si>
    <t>1306HDP6F</t>
    <phoneticPr fontId="1"/>
  </si>
  <si>
    <t>DPS2-HC5</t>
    <phoneticPr fontId="1"/>
  </si>
  <si>
    <t>VCCATS_1P8</t>
    <phoneticPr fontId="1"/>
  </si>
  <si>
    <t>1207HDP5F</t>
    <phoneticPr fontId="1"/>
  </si>
  <si>
    <t>L3_HC5</t>
    <phoneticPr fontId="1"/>
  </si>
  <si>
    <t>1403HDP5F</t>
    <phoneticPr fontId="1"/>
  </si>
  <si>
    <t>1306HDP5F</t>
    <phoneticPr fontId="1"/>
  </si>
  <si>
    <t>DPS2-LC1</t>
    <phoneticPr fontId="1"/>
  </si>
  <si>
    <t>VCCFHV_2P8</t>
    <phoneticPr fontId="1"/>
  </si>
  <si>
    <t>1205LDP1F</t>
    <phoneticPr fontId="1"/>
  </si>
  <si>
    <t>1401LDP1F</t>
    <phoneticPr fontId="1"/>
  </si>
  <si>
    <t>1308LDP1F</t>
    <phoneticPr fontId="1"/>
  </si>
  <si>
    <t>DPS2-LC2</t>
    <phoneticPr fontId="1"/>
  </si>
  <si>
    <t>VCCPAZIO</t>
    <phoneticPr fontId="1"/>
  </si>
  <si>
    <t>1205LDP2F</t>
    <phoneticPr fontId="1"/>
  </si>
  <si>
    <t>1401LDP2F</t>
    <phoneticPr fontId="1"/>
  </si>
  <si>
    <t>1308LDP2F</t>
    <phoneticPr fontId="1"/>
  </si>
  <si>
    <t>L36_LC2</t>
    <phoneticPr fontId="1"/>
  </si>
  <si>
    <t>DPS2-LC3</t>
    <phoneticPr fontId="1"/>
  </si>
  <si>
    <t>VCCPGPP_ABCDEG</t>
    <phoneticPr fontId="1"/>
  </si>
  <si>
    <t>1206LDP3F</t>
    <phoneticPr fontId="1"/>
  </si>
  <si>
    <t>1402LDP3F</t>
    <phoneticPr fontId="1"/>
  </si>
  <si>
    <t>1307LDP3F</t>
    <phoneticPr fontId="1"/>
  </si>
  <si>
    <t>DPS2-LC4</t>
    <phoneticPr fontId="1"/>
  </si>
  <si>
    <t>VCC_3P3</t>
    <phoneticPr fontId="1"/>
  </si>
  <si>
    <t>1206LDP4F</t>
    <phoneticPr fontId="1"/>
  </si>
  <si>
    <t>L34_LC4</t>
    <phoneticPr fontId="1"/>
  </si>
  <si>
    <t>1402LDP4F</t>
    <phoneticPr fontId="1"/>
  </si>
  <si>
    <t>1307LDP4F</t>
    <phoneticPr fontId="1"/>
  </si>
  <si>
    <t>DPS2-LC5</t>
    <phoneticPr fontId="1"/>
  </si>
  <si>
    <t>VCCPGPPF</t>
    <phoneticPr fontId="1"/>
  </si>
  <si>
    <t>1207LDP5F</t>
    <phoneticPr fontId="1"/>
  </si>
  <si>
    <t>1403LDP5F</t>
    <phoneticPr fontId="1"/>
  </si>
  <si>
    <t>1306LDP5F</t>
    <phoneticPr fontId="1"/>
  </si>
  <si>
    <t>DPS2-LC6</t>
    <phoneticPr fontId="1"/>
  </si>
  <si>
    <t>VCCPDSW_3P3</t>
    <phoneticPr fontId="1"/>
  </si>
  <si>
    <t>1207LDP6F</t>
    <phoneticPr fontId="1"/>
  </si>
  <si>
    <t>1403LDP6F</t>
    <phoneticPr fontId="1"/>
  </si>
  <si>
    <t>L34_LC6</t>
    <phoneticPr fontId="1"/>
  </si>
  <si>
    <t>1306LDP6F</t>
    <phoneticPr fontId="1"/>
  </si>
  <si>
    <t>DPS2-LC7</t>
    <phoneticPr fontId="1"/>
  </si>
  <si>
    <t>VCCPRTC_3P3</t>
    <phoneticPr fontId="1"/>
  </si>
  <si>
    <t>1208LDP7F</t>
    <phoneticPr fontId="1"/>
  </si>
  <si>
    <t>1404LDP7F</t>
    <phoneticPr fontId="1"/>
  </si>
  <si>
    <t>1305LDP7F</t>
    <phoneticPr fontId="1"/>
  </si>
  <si>
    <t>DPS2-LC8</t>
    <phoneticPr fontId="1"/>
  </si>
  <si>
    <t>VCCPSPI</t>
    <phoneticPr fontId="1"/>
  </si>
  <si>
    <t>1208LDP8F</t>
    <phoneticPr fontId="1"/>
  </si>
  <si>
    <t>1404LDP8F</t>
    <phoneticPr fontId="1"/>
  </si>
  <si>
    <t>1305LDP8F</t>
    <phoneticPr fontId="1"/>
  </si>
  <si>
    <t>DPS1-HC4-5</t>
    <phoneticPr fontId="1"/>
  </si>
  <si>
    <t>DPS2-HC1-4</t>
    <phoneticPr fontId="1"/>
  </si>
  <si>
    <t>RC221.1</t>
  </si>
  <si>
    <t>RE221.1</t>
  </si>
  <si>
    <t>1201HDP1F,1201HDP2F</t>
    <phoneticPr fontId="1"/>
  </si>
  <si>
    <t>1104HDP1F,1104HDP2F</t>
    <phoneticPr fontId="1"/>
  </si>
  <si>
    <t>1304HDP1F,1303HDP2F</t>
    <phoneticPr fontId="1"/>
  </si>
  <si>
    <t>L13_INT2_HS2/L13_INT2_HS2</t>
  </si>
  <si>
    <t>L15_INT3_HS3/L19_INT5</t>
  </si>
  <si>
    <t>L17_INT4_HS4/L13_INT2_HS2</t>
  </si>
  <si>
    <t>L17_INT4_HS4/L15_INT3_HS3</t>
  </si>
  <si>
    <t>L15_INT3_HS3/L13_INT2_HS2</t>
  </si>
  <si>
    <t>L17_INT4_HS4/L19_INT5</t>
  </si>
  <si>
    <t>L15_INT3_HS3/L30_INT9</t>
  </si>
  <si>
    <t>L26_INT7/L30_INT9</t>
  </si>
  <si>
    <t>L13_INT2_HS2/L11_INT1_HS1</t>
  </si>
  <si>
    <t>L30_INT9/L11_INT1_HS1</t>
  </si>
  <si>
    <t>L19_INT5/L11_INT1_HS1</t>
  </si>
  <si>
    <t>L28_INT8/L11_INT1_HS1</t>
  </si>
  <si>
    <t>L11_INT1_HS1/L17_INT4_HS4</t>
  </si>
  <si>
    <t>L28_INT8/L30_INT9</t>
  </si>
  <si>
    <t>L24_INT6/L30_INT9</t>
  </si>
  <si>
    <t>L30_INT9/L32_INT10</t>
  </si>
  <si>
    <t>L17_INT4_HS4/L32_INT10</t>
  </si>
  <si>
    <t>L11_INT1_HS1/L32_INT10</t>
  </si>
  <si>
    <t>L19_INT5/L15_INT3_HS3</t>
  </si>
  <si>
    <t>L17_INT4_HS4/L30_INT9</t>
  </si>
  <si>
    <t>L28_INT8/L26_INT7</t>
  </si>
  <si>
    <t>L15_INT3_HS3/L26_INT7</t>
  </si>
  <si>
    <t>L11_INT1_HS1/L26_INT7</t>
  </si>
  <si>
    <t>L13_INT2_HS2/L17_INT4_HS4</t>
  </si>
  <si>
    <t>L28_INT8/L13_INT2_HS2</t>
  </si>
  <si>
    <t>L15_INT3_HS3/L17_INT4_HS4</t>
  </si>
  <si>
    <t>L19_INT5/L17_INT4_HS4</t>
  </si>
  <si>
    <t>L11_INT1_HS1/L15_INT3_HS3</t>
  </si>
  <si>
    <t>L11_INT1_HS1/L19_INT5</t>
  </si>
  <si>
    <t>L30_INT9/L19_INT5</t>
  </si>
  <si>
    <t>L11_INT1_HS1/L30_INT9</t>
  </si>
  <si>
    <t>L26_INT7/L32_INT10</t>
  </si>
  <si>
    <t>L30_INT9/L30_INT9</t>
  </si>
  <si>
    <t>L24_INT6/L13_INT2_HS2</t>
  </si>
  <si>
    <t>L13_INT2_HS2/L19_INT5</t>
  </si>
  <si>
    <t>L19_INT5/L30_INT9</t>
  </si>
  <si>
    <t>L19_INT5/L13_INT2_HS2</t>
  </si>
  <si>
    <t>L28_INT8/L15_INT3_HS3</t>
  </si>
  <si>
    <t>L13_INT2_HS2/L30_INT9</t>
  </si>
  <si>
    <t>L13_INT2_HS2/L15_INT3_HS3</t>
  </si>
  <si>
    <t>L24_INT6/L11_INT1_HS1/L13_INT2_HS2</t>
  </si>
  <si>
    <t>L26_INT7/L19_INT5</t>
  </si>
  <si>
    <t>L24_INT6/L19_INT5</t>
  </si>
  <si>
    <t>L26_INT7/L13_INT2_HS2</t>
  </si>
  <si>
    <t>L17_INT4_HS4/L11_INT1_HS1/L13_INT2_HS2</t>
  </si>
  <si>
    <t>L28_INT8/L17_INT4_HS4</t>
  </si>
  <si>
    <t>L24_INT6/L15_INT3_HS3</t>
  </si>
  <si>
    <t>L15_INT3_HS3/L11_INT1_HS1/L26_INT7</t>
  </si>
  <si>
    <t>L13_INT2_HS2/L26_INT7</t>
  </si>
  <si>
    <t>L11_INT1_HS1/L24_INT6</t>
  </si>
  <si>
    <t>L17_INT4_HS4/L24_INT6</t>
  </si>
  <si>
    <t>L15_INT3_HS3/L28_INT8</t>
  </si>
  <si>
    <t>L17_INT4_HS4/L28_INT8</t>
  </si>
  <si>
    <t>L13_INT2_HS2/L28_INT8</t>
  </si>
  <si>
    <t>L26_INT7/L26_INT7</t>
  </si>
  <si>
    <t>L15_INT3_HS3/L11_INT1_HS1</t>
  </si>
  <si>
    <t>L13_INT2_HS2/L32_INT10/L30_INT9</t>
  </si>
  <si>
    <t>L11_INT1_HS1/L13_INT2_HS2</t>
  </si>
  <si>
    <t>L15_INT3_HS3/L32_INT10/L30_INT9</t>
  </si>
  <si>
    <t>L15_INT3_HS3/L24_INT6/L30_INT9</t>
  </si>
  <si>
    <t>L17_INT4_HS4/L24_INT6/L30_INT9</t>
  </si>
  <si>
    <t>L17_INT4_HS4/L26_INT7/L13_INT2_HS2</t>
  </si>
  <si>
    <t>L13_INT2_HS2/L24_INT6</t>
  </si>
  <si>
    <t>L15_INT3_HS3/L24_INT6</t>
  </si>
  <si>
    <t>L32_INT10/L11_INT1_HS1</t>
  </si>
  <si>
    <t>L28_INT8/L19_INT5</t>
  </si>
  <si>
    <t>L26_INT7/L11_INT1_HS1</t>
  </si>
  <si>
    <t>L30_INT9/L15_INT3_HS3</t>
  </si>
  <si>
    <t>L24_INT6/L17_INT4_HS4</t>
  </si>
  <si>
    <t>L26_INT7/L17_INT4_HS4</t>
  </si>
  <si>
    <t>L17_INT4_HS4/L11_INT1_HS1</t>
  </si>
  <si>
    <t>L24_INT6/L11_INT1_HS1</t>
  </si>
  <si>
    <t>L30_INT9/L17_INT4_HS4</t>
  </si>
  <si>
    <t>L26_INT7/L15_INT3_HS3</t>
  </si>
  <si>
    <t>L30_INT9/L13_INT2_HS2</t>
  </si>
  <si>
    <t>L24_INT6/L26_INT7</t>
  </si>
  <si>
    <t>L19_INT5/L26_INT7</t>
  </si>
  <si>
    <t>L17_INT4_HS4/L17_INT4_HS4</t>
  </si>
  <si>
    <t>L11_INT1_HS1/L28_INT8</t>
  </si>
  <si>
    <t>L17_INT4_HS4/L26_INT7</t>
  </si>
  <si>
    <t>L15_INT3_HS3/L15_INT3_HS3/L26_INT7</t>
  </si>
  <si>
    <t>L26_INT7/L28_INT8</t>
  </si>
  <si>
    <t>L30_INT9/L15_INT3_HS3/L26_INT7</t>
  </si>
  <si>
    <t>L26_INT7/L30_INT9/L13_INT2_HS2</t>
  </si>
  <si>
    <t>L13_INT2_HS2/L32_INT10</t>
  </si>
  <si>
    <t>L15_INT3_HS3/L32_INT10</t>
  </si>
  <si>
    <t>L13_INT2_HS2/L24_INT6/L30_INT9</t>
  </si>
  <si>
    <t>L15_INT3_HS3/L28_INT8/L30_INT9</t>
  </si>
  <si>
    <t>L17_INT4_HS4/L28_INT8/L30_INT9</t>
  </si>
  <si>
    <t>L17_INT4_HS4/L26_INT7/L26_INT7</t>
  </si>
  <si>
    <t>L11_INT1_HS1/L11_INT1_HS1</t>
  </si>
  <si>
    <t>L28_INT8/L24_INT6</t>
  </si>
  <si>
    <t>L19_INT5/L24_INT6</t>
  </si>
  <si>
    <t>L32_INT10/L13_INT2_HS2</t>
  </si>
  <si>
    <t>L30_INT9/L11_INT1_HS1/L13_INT2_HS2</t>
  </si>
  <si>
    <t>L24_INT6/L24_INT6/L30_INT9</t>
  </si>
  <si>
    <t>L19_INT5/L28_INT8</t>
  </si>
  <si>
    <t>L13_INT2_HS2/L28_INT8/L11_INT1_HS1</t>
  </si>
  <si>
    <t>L15_INT3_HS3/L28_INT8/L11_INT1_HS1</t>
  </si>
  <si>
    <t>L15_INT3_HS3/L26_INT7/L11_INT1_HS1</t>
  </si>
  <si>
    <t>L17_INT4_HS4/L26_INT7/L11_INT1_HS1</t>
  </si>
  <si>
    <t>L17_INT4_HS4/L28_INT8/L24_INT6</t>
  </si>
  <si>
    <t>OK</t>
  </si>
  <si>
    <t>scan-VCCRTCEXT</t>
  </si>
  <si>
    <t>scan-DDR0_CKE[0]</t>
  </si>
  <si>
    <t>2ch-GPP_C_11_UART0_CTSB</t>
  </si>
  <si>
    <t>scan-XTAL_OUT</t>
  </si>
  <si>
    <t>scan-GPD_10_SLP_S5B</t>
  </si>
  <si>
    <t>scan-DDR0_MA[2]_CAB5</t>
  </si>
  <si>
    <t>scan-AZA_RSTB_SSP1_SCLK</t>
  </si>
  <si>
    <t>scan-GPD_6_SLP_AB</t>
  </si>
  <si>
    <t>scan-CLKOUT_ITPXDP_P</t>
  </si>
  <si>
    <t>2ch-GPP_A_17_SD_PWR_EN_B_ISH_GP_7</t>
  </si>
  <si>
    <t>scan-XTAL_IN</t>
  </si>
  <si>
    <t>scan-GPD_8_SUSCLK</t>
  </si>
  <si>
    <t>scan-RTCX2</t>
  </si>
  <si>
    <t>2ch-GPP_A_21_ISH_GP_3</t>
  </si>
  <si>
    <t>scan-L_BKLTEN</t>
  </si>
  <si>
    <t>2ch-GPP_B_3_CPU_GP_2</t>
  </si>
  <si>
    <t>scan-RTCX1</t>
  </si>
  <si>
    <t>2ch-GPP_A_12_BM_BUSYB_ISH_GP_6</t>
  </si>
  <si>
    <t>scan-GPP_D_23_SSP_MCLK</t>
  </si>
  <si>
    <t>2ch-GPP_C_18_I2C1_SDA</t>
  </si>
  <si>
    <t>2ch-GPP_B_12_SLP_S0B</t>
  </si>
  <si>
    <t>scan-GPP_D_3_SPI1_MOSI_IO_0</t>
  </si>
  <si>
    <t>2ch-GPP_B_4_CPU_GP_3</t>
  </si>
  <si>
    <t>scan-GPP_F_19_EMMC_DATA6</t>
  </si>
  <si>
    <t>scan-AZA_SYNC_SSP0_SFRM</t>
  </si>
  <si>
    <t>2ch-GPP_A_9_CLKOUT_LPC_0_ESPI_CLK</t>
  </si>
  <si>
    <t>scan-GPP_F_17_EMMC_DATA4</t>
  </si>
  <si>
    <t>2ch-GPP_C_14_UART1_RTSB_ISH_UART1_RTSB</t>
  </si>
  <si>
    <t>scan-GPP_F_20_EMMC_DATA7</t>
  </si>
  <si>
    <t>2ch-GPP_C_17_I2C0_SCL</t>
  </si>
  <si>
    <t>scan-GPD_9_SLP_WLANB</t>
  </si>
  <si>
    <t>scan-ITP_PMODE</t>
  </si>
  <si>
    <t>2ch-GPP_A_23_ISH_GP_5</t>
  </si>
  <si>
    <t>scan-AZA_SDI_0_SSP0_RXD</t>
  </si>
  <si>
    <t>2ch-GPP_B_7_SRCCLKREQB_2</t>
  </si>
  <si>
    <t>scan-AZA_BCLK_SSP0_SCLK</t>
  </si>
  <si>
    <t>scan-GPP_B_5_SRCCLKREQB_0</t>
  </si>
  <si>
    <t>scan-SLP_LANB</t>
  </si>
  <si>
    <t>scan-GPP_B_0_CORE_VID_0</t>
  </si>
  <si>
    <t>2ch-GPP_C_10_UART0_RTSB</t>
  </si>
  <si>
    <t>2ch-GPP_C_16_I2C0_SDA</t>
  </si>
  <si>
    <t>scan-GPP_B_18_GSPI0_MOSI</t>
  </si>
  <si>
    <t>scan-SLP_SUSB</t>
  </si>
  <si>
    <t>scan-SPI0_TPM_CSB</t>
  </si>
  <si>
    <t>2ch-GPP_C_19_I2C1_SCL</t>
  </si>
  <si>
    <t>scan-SPI0_FLASH_0_CSB</t>
  </si>
  <si>
    <t>scan-GPD_7_USB2_WAKEOUTB</t>
  </si>
  <si>
    <t>scan-GPP_B_15_GSPI0_CSB</t>
  </si>
  <si>
    <t>2ch-GPP_C_13_UART1_TXD_ISH_UART1_TXD</t>
  </si>
  <si>
    <t>2ch-GPP_C_4_SML0DATA</t>
  </si>
  <si>
    <t>scan-GPP_F_18_EMMC_DATA5</t>
  </si>
  <si>
    <t>scan-SPI0_CLK</t>
  </si>
  <si>
    <t>2ch-GPP_D_21_SPI1_IO_2</t>
  </si>
  <si>
    <t>2ch-GPP_D_16_ISH_UART0_CTSB_SML0BALERTB</t>
  </si>
  <si>
    <t>scan-GPP_B_19_GSPI1_CSB</t>
  </si>
  <si>
    <t>scan-GPP_F_2_SSP2_TXD</t>
  </si>
  <si>
    <t>2ch-GPP_C_8_UART0_RXD</t>
  </si>
  <si>
    <t>2ch-GPP_C_1_SMBDATA</t>
  </si>
  <si>
    <t>scan-GPP_B_16_GSPI0_CLK</t>
  </si>
  <si>
    <t>2ch-GPP_D_13_ISH_UART0_RXD_SML0BDATA</t>
  </si>
  <si>
    <t>2ch-GPP_C_15_UART1_CTSB_ISH_UART1_CTSB</t>
  </si>
  <si>
    <t>2ch-GPP_C_7_SML1DATA</t>
  </si>
  <si>
    <t>scan-GPP_G_3_SD_DATA2</t>
  </si>
  <si>
    <t>scan-GPP_B_1_CORE_VID_1</t>
  </si>
  <si>
    <t>2ch-GPP_D_8_ISH_I2C1_SCL</t>
  </si>
  <si>
    <t>scan-GPP_G_6_SD_CLK</t>
  </si>
  <si>
    <t>scan-SPI0_FLASH_1_CSB</t>
  </si>
  <si>
    <t>scan-GPP_F_0_SSP2_SCLK</t>
  </si>
  <si>
    <t>scan-GPP_C_22_UART2_RTSB</t>
  </si>
  <si>
    <t>scan-GPP_B_6_SRCCLKREQB_1</t>
  </si>
  <si>
    <t>scan-GPP_B_20_GSPI1_CLK</t>
  </si>
  <si>
    <t>scan-GPD_4_SLP_S3B</t>
  </si>
  <si>
    <t>scan-GPD_11_LANPHYPC</t>
  </si>
  <si>
    <t>scan-GPD_5_SLP_S4B</t>
  </si>
  <si>
    <t>scan-PCH_TRSTB</t>
  </si>
  <si>
    <t>scan-CPUPWRGD</t>
  </si>
  <si>
    <t>scan-GPP_D_17_DMIC_CLK_1</t>
  </si>
  <si>
    <t>scan-AZA_SDI_1_SSP1_RXD</t>
  </si>
  <si>
    <t>scan-DDR0_MA[14]_CAA9_BG1</t>
  </si>
  <si>
    <t>scan-DDR1_MA[11]_CAA7</t>
  </si>
  <si>
    <t>scan-AZA_SDO_SSP0_TXD</t>
  </si>
  <si>
    <t>scan-INTRUDERB</t>
  </si>
  <si>
    <t>scan-GPP_D_4_FLASHTRIG</t>
  </si>
  <si>
    <t>scan-GPP_B_13_PLTRSTB</t>
  </si>
  <si>
    <t>scan-GPP_D_2_SPI1_MISO_IO_1</t>
  </si>
  <si>
    <t>scan-GPP_D_1_SPI1_CLK</t>
  </si>
  <si>
    <t>scan-GPP_D_0_SPI1_CSB</t>
  </si>
  <si>
    <t>2ch-GPP_C_3_SML0CLK</t>
  </si>
  <si>
    <t>2ch-GPP_D_5_ISH_I2C0_SDA</t>
  </si>
  <si>
    <t>scan-GPP_D_18_DMIC_DATA_1</t>
  </si>
  <si>
    <t>2ch-GPP_D_11_ISH_SPI_MISO</t>
  </si>
  <si>
    <t>2ch-GPP_C_0_SMBCLK</t>
  </si>
  <si>
    <t>2ch-GPP_D_19_DMIC_CLK_0</t>
  </si>
  <si>
    <t>scan-GPP_F_22_EMMC_CLK</t>
  </si>
  <si>
    <t>2ch-GPP_A_8_CLKRUNB</t>
  </si>
  <si>
    <t>2ch-GPP_D_12_ISH_SPI_MOSI</t>
  </si>
  <si>
    <t>2ch-GPP_A_3_LAD_2_ESPI_IO_2</t>
  </si>
  <si>
    <t>scan-GPP_B_22_GSPI1_MOSI</t>
  </si>
  <si>
    <t>2ch-GPP_A_0_RCINB</t>
  </si>
  <si>
    <t>2ch-GPP_D_14_ISH_UART0_TXD_SML0BCLK</t>
  </si>
  <si>
    <t>2ch-GPP_D_9_ISH_SPI_CSB</t>
  </si>
  <si>
    <t>2ch-GPP_D_15_ISH_UART0_RTSB</t>
  </si>
  <si>
    <t>2ch-GPP_D_6_ISH_I2C0_SCL</t>
  </si>
  <si>
    <t>2ch-GPP_C_21_UART2_TXD</t>
  </si>
  <si>
    <t>2ch-GPP_C_12_UART1_RXD_ISH_UART1_RXD</t>
  </si>
  <si>
    <t>2ch-GPP_D_10_ISH_SPI_CLK</t>
  </si>
  <si>
    <t>2ch-GPP_A_4_LAD_3_ESPI_IO_3</t>
  </si>
  <si>
    <t>2ch-GPP_A_19_ISH_GP_1</t>
  </si>
  <si>
    <t>2ch-GPP_A_7_PIRQAB</t>
  </si>
  <si>
    <t>2ch-GPP_B_8_SRCCLKREQB_3</t>
  </si>
  <si>
    <t>2ch-GPP_A_1_LAD_0_ESPI_IO_0</t>
  </si>
  <si>
    <t>2ch-GPP_A_11_PMEB</t>
  </si>
  <si>
    <t>2ch-GPP_A_6_SERIRQ</t>
  </si>
  <si>
    <t>2ch-GPP_A_5_LFRAMEB_ESPI_CSB</t>
  </si>
  <si>
    <t>2ch-GPP_A_22_ISH_GP_4</t>
  </si>
  <si>
    <t>2ch-GPP_A_10_CLKOUT_LPC_1</t>
  </si>
  <si>
    <t>2ch-GPP_A_13_SUSWARNB_SUSPWRDNACK</t>
  </si>
  <si>
    <t>2ch-GPP_A_14_SUS_STATB_ESPI_RESETB</t>
  </si>
  <si>
    <t>2ch-GPP_A_2_LAD_1_ESPI_IO_1</t>
  </si>
  <si>
    <t>2ch-GPP_B_9_SRCCLKREQB_4</t>
  </si>
  <si>
    <t>2ch-GPP_C_6_SML1CLK</t>
  </si>
  <si>
    <t>2ch-GPP_C_20_UART2_RXD</t>
  </si>
  <si>
    <t>2ch-GPP_C_9_UART0_TXD</t>
  </si>
  <si>
    <t>2ch-GPP_C_5_SML0ALERTB</t>
  </si>
  <si>
    <t>2ch-GPP_A_20_ISH_GP_2</t>
  </si>
  <si>
    <t>2ch-GPP_A_16_SD_1P8_SEL</t>
  </si>
  <si>
    <t>2ch-GPP_B_11_EXT_PWR_GATEB</t>
  </si>
  <si>
    <t>2ch-GPP_C_2_SMBALERTB</t>
  </si>
  <si>
    <t>2ch-GPP_B_14_SPKR</t>
  </si>
  <si>
    <t>2ch-GPP_A_18_ISH_GP_0</t>
  </si>
  <si>
    <t>2ch-GPP_A_15_SUSACKB</t>
  </si>
  <si>
    <t>2ch-GPP_D_7_ISH_I2C1_SDA</t>
  </si>
  <si>
    <t>2ch-GPP_B_10_SRCCLKREQB_5</t>
  </si>
  <si>
    <t>2ch-GPP_D_20_DMIC_DATA_0</t>
  </si>
  <si>
    <t>VCCPGPPF</t>
    <phoneticPr fontId="1"/>
  </si>
  <si>
    <t>POWER</t>
    <phoneticPr fontId="1"/>
  </si>
  <si>
    <t xml:space="preserve">ECO Rev0.3 SPARE6 -&gt; VCCPGPPF </t>
    <phoneticPr fontId="1"/>
  </si>
  <si>
    <t xml:space="preserve">ECO Rev0.3 SPARE7 -&gt; VCCPGPPF </t>
    <phoneticPr fontId="1"/>
  </si>
  <si>
    <t>J1509.010</t>
  </si>
  <si>
    <t>J1509.014</t>
  </si>
  <si>
    <t>J1509.037</t>
  </si>
  <si>
    <t>J1508.049</t>
  </si>
  <si>
    <t>J1509.035</t>
  </si>
  <si>
    <t>J1509.015</t>
  </si>
  <si>
    <t>J1605.047</t>
  </si>
  <si>
    <t>J1508.042</t>
  </si>
  <si>
    <t>J1508.041</t>
  </si>
  <si>
    <t>J1505.075</t>
  </si>
  <si>
    <t>J1505.059</t>
  </si>
  <si>
    <t>J1604.028</t>
  </si>
  <si>
    <t>J1604.003</t>
  </si>
  <si>
    <t>J1605.056</t>
  </si>
  <si>
    <t>J1605.049</t>
  </si>
  <si>
    <t>J1605.042</t>
  </si>
  <si>
    <t>J1605.051</t>
  </si>
  <si>
    <t>J1605.044</t>
  </si>
  <si>
    <t>J1605.060</t>
  </si>
  <si>
    <t>J1605.063</t>
  </si>
  <si>
    <t>J1605.084</t>
  </si>
  <si>
    <t>J1508.052</t>
  </si>
  <si>
    <t>J1504.122</t>
  </si>
  <si>
    <t>J1505.060</t>
  </si>
  <si>
    <t>J1506.022</t>
  </si>
  <si>
    <t>J1506.025</t>
  </si>
  <si>
    <t>J1507.125</t>
  </si>
  <si>
    <t>J1507.111</t>
  </si>
  <si>
    <t>J1506.021</t>
  </si>
  <si>
    <t>J1504.106</t>
  </si>
  <si>
    <t>J1505.073</t>
  </si>
  <si>
    <t>J1507.090</t>
  </si>
  <si>
    <t>J1605.064</t>
  </si>
  <si>
    <t>J1605.062</t>
  </si>
  <si>
    <t>J1604.016</t>
  </si>
  <si>
    <t>J1604.026</t>
  </si>
  <si>
    <t>J1605.053</t>
  </si>
  <si>
    <t>J1604.019</t>
  </si>
  <si>
    <t>J1604.018</t>
  </si>
  <si>
    <t>J1604.024</t>
  </si>
  <si>
    <t>J1605.055</t>
  </si>
  <si>
    <t>J1604.021</t>
  </si>
  <si>
    <t>J1604.015</t>
  </si>
  <si>
    <t>J1604.017</t>
  </si>
  <si>
    <t>J1604.008</t>
  </si>
  <si>
    <t>J1604.023</t>
  </si>
  <si>
    <t>J1604.013</t>
  </si>
  <si>
    <t>J1604.020</t>
  </si>
  <si>
    <t>J1604.006</t>
  </si>
  <si>
    <t>J1604.025</t>
  </si>
  <si>
    <t>J1604.011</t>
  </si>
  <si>
    <t>J1604.022</t>
  </si>
  <si>
    <t>J1604.035</t>
  </si>
  <si>
    <t>J1604.007</t>
  </si>
  <si>
    <t>J1604.036</t>
  </si>
  <si>
    <t>J1605.041</t>
  </si>
  <si>
    <t>J1605.043</t>
  </si>
  <si>
    <t>J1604.004</t>
  </si>
  <si>
    <t>J1604.037</t>
  </si>
  <si>
    <t>J1604.038</t>
  </si>
  <si>
    <t>J1606.108</t>
  </si>
  <si>
    <t>J1607.030</t>
  </si>
  <si>
    <t>J1606.096</t>
  </si>
  <si>
    <t>J1607.013</t>
  </si>
  <si>
    <t>J1607.016</t>
  </si>
  <si>
    <t>J1507.128</t>
  </si>
  <si>
    <t>J1508.053</t>
  </si>
  <si>
    <t>J1507.097</t>
  </si>
  <si>
    <t>J1507.103</t>
  </si>
  <si>
    <t>J1509.034</t>
  </si>
  <si>
    <t>J1509.031</t>
  </si>
  <si>
    <t>J1509.013</t>
  </si>
  <si>
    <t>J1507.127</t>
  </si>
  <si>
    <t>J1507.105</t>
  </si>
  <si>
    <t>J1507.122</t>
  </si>
  <si>
    <t>J1506.001</t>
  </si>
  <si>
    <t>J1507.106</t>
  </si>
  <si>
    <t>J1507.124</t>
  </si>
  <si>
    <t>J1506.002</t>
  </si>
  <si>
    <t>J1508.079</t>
  </si>
  <si>
    <t>J1606.100</t>
  </si>
  <si>
    <t>J1606.098</t>
  </si>
  <si>
    <t>J1608.065</t>
  </si>
  <si>
    <t>J1607.037</t>
  </si>
  <si>
    <t>J1608.079</t>
  </si>
  <si>
    <t>J1608.073</t>
  </si>
  <si>
    <t>J1607.017</t>
  </si>
  <si>
    <t>J1607.014</t>
  </si>
  <si>
    <t>J1608.045</t>
  </si>
  <si>
    <t>J1607.015</t>
  </si>
  <si>
    <t>J1606.089</t>
  </si>
  <si>
    <t>J1606.120</t>
  </si>
  <si>
    <t>J1607.038</t>
  </si>
  <si>
    <t>J1606.090</t>
  </si>
  <si>
    <t>J1606.091</t>
  </si>
  <si>
    <t>J1606.127</t>
  </si>
  <si>
    <t>J1606.092</t>
  </si>
  <si>
    <t>J1606.094</t>
  </si>
  <si>
    <t>J1605.074</t>
  </si>
  <si>
    <t>J1605.072</t>
  </si>
  <si>
    <t>J1606.115</t>
  </si>
  <si>
    <t>J1606.106</t>
  </si>
  <si>
    <t>J1606.118</t>
  </si>
  <si>
    <t>J1605.071</t>
  </si>
  <si>
    <t>J1606.103</t>
  </si>
  <si>
    <t>J1606.105</t>
  </si>
  <si>
    <t>J1607.028</t>
  </si>
  <si>
    <t>J1606.109</t>
  </si>
  <si>
    <t>J1607.025</t>
  </si>
  <si>
    <t>J1607.023</t>
  </si>
  <si>
    <t>J1606.110</t>
  </si>
  <si>
    <t>J1606.107</t>
  </si>
  <si>
    <t>J1607.024</t>
  </si>
  <si>
    <t>J1607.026</t>
  </si>
  <si>
    <t>J1607.003</t>
  </si>
  <si>
    <t>J1606.088</t>
  </si>
  <si>
    <t>J1607.006</t>
  </si>
  <si>
    <t>J1608.082</t>
  </si>
  <si>
    <t>J1607.011</t>
  </si>
  <si>
    <t>J1606.086</t>
  </si>
  <si>
    <t>J1607.004</t>
  </si>
  <si>
    <t>J1608.068</t>
  </si>
  <si>
    <t>J1608.066</t>
  </si>
  <si>
    <t>J1608.063</t>
  </si>
  <si>
    <t>J1609.113</t>
  </si>
  <si>
    <t>J1609.109</t>
  </si>
  <si>
    <t>J1609.114</t>
  </si>
  <si>
    <t>J1609.116</t>
  </si>
  <si>
    <t>J1609.111</t>
  </si>
  <si>
    <t>J1609.112</t>
  </si>
  <si>
    <t>J1608.049</t>
  </si>
  <si>
    <t>J1608.047</t>
  </si>
  <si>
    <t>J1609.128</t>
  </si>
  <si>
    <t>J1609.123</t>
  </si>
  <si>
    <t>J1608.048</t>
  </si>
  <si>
    <t>J1608.050</t>
  </si>
  <si>
    <t>J1609.126</t>
  </si>
  <si>
    <t>J1608.046</t>
  </si>
  <si>
    <t>J1608.059</t>
  </si>
  <si>
    <t>J1608.071</t>
  </si>
  <si>
    <t>J1609.120</t>
  </si>
  <si>
    <t>J1609.118</t>
  </si>
  <si>
    <t>J1608.062</t>
  </si>
  <si>
    <t>J1608.061</t>
  </si>
  <si>
    <t>J1609.122</t>
  </si>
  <si>
    <t>J1608.064</t>
  </si>
  <si>
    <t>J1609.110</t>
  </si>
  <si>
    <t>J1609.107</t>
  </si>
  <si>
    <t>J1609.096</t>
  </si>
  <si>
    <t>J1609.093</t>
  </si>
  <si>
    <t>J1609.097</t>
  </si>
  <si>
    <t>J1609.100</t>
  </si>
  <si>
    <t>J1609.095</t>
  </si>
  <si>
    <t>J1609.098</t>
  </si>
  <si>
    <t>J1605.077</t>
  </si>
  <si>
    <t>J1605.082</t>
  </si>
  <si>
    <t>J1606.119</t>
  </si>
  <si>
    <t>J1606.117</t>
  </si>
  <si>
    <t>J1605.075</t>
  </si>
  <si>
    <t>J1605.073</t>
  </si>
  <si>
    <t>J1605.081</t>
  </si>
  <si>
    <t>J1606.121</t>
  </si>
  <si>
    <t>J1605.068</t>
  </si>
  <si>
    <t>J1605.069</t>
  </si>
  <si>
    <t>J1605.083</t>
  </si>
  <si>
    <t>J1605.066</t>
  </si>
  <si>
    <t>J1605.067</t>
  </si>
  <si>
    <t>J1605.070</t>
  </si>
  <si>
    <t>J1605.065</t>
  </si>
  <si>
    <t>J1606.128</t>
  </si>
  <si>
    <t>J1606.102</t>
  </si>
  <si>
    <t>J1606.104</t>
  </si>
  <si>
    <t>J1607.039</t>
  </si>
  <si>
    <t>J1608.084</t>
  </si>
  <si>
    <t>J1606.085</t>
  </si>
  <si>
    <t>J1606.087</t>
  </si>
  <si>
    <t>J1607.040</t>
  </si>
  <si>
    <t>J1607.036</t>
  </si>
  <si>
    <t>J1606.116</t>
  </si>
  <si>
    <t>J1606.125</t>
  </si>
  <si>
    <t>J1606.097</t>
  </si>
  <si>
    <t>J1606.093</t>
  </si>
  <si>
    <t>J1606.126</t>
  </si>
  <si>
    <t>J1606.124</t>
  </si>
  <si>
    <t>J1606.095</t>
  </si>
  <si>
    <t>J1606.123</t>
  </si>
  <si>
    <t>J1607.005</t>
  </si>
  <si>
    <t>J1607.009</t>
  </si>
  <si>
    <t>J1608.081</t>
  </si>
  <si>
    <t>J1607.008</t>
  </si>
  <si>
    <t>J1607.007</t>
  </si>
  <si>
    <t>J1607.035</t>
  </si>
  <si>
    <t>J1608.053</t>
  </si>
  <si>
    <t>J1608.051</t>
  </si>
  <si>
    <t>J1608.041</t>
  </si>
  <si>
    <t>J1608.058</t>
  </si>
  <si>
    <t>J1609.124</t>
  </si>
  <si>
    <t>J1609.115</t>
  </si>
  <si>
    <t>J1608.043</t>
  </si>
  <si>
    <t>J1608.083</t>
  </si>
  <si>
    <t>J1609.085</t>
  </si>
  <si>
    <t>J1609.127</t>
  </si>
  <si>
    <t>J1609.119</t>
  </si>
  <si>
    <t>J1609.117</t>
  </si>
  <si>
    <t>J1609.101</t>
  </si>
  <si>
    <t>J1609.099</t>
  </si>
  <si>
    <t>J1609.121</t>
  </si>
  <si>
    <t>J1608.060</t>
  </si>
  <si>
    <t>J1609.102</t>
  </si>
  <si>
    <t>J1609.104</t>
  </si>
  <si>
    <t>J1609.091</t>
  </si>
  <si>
    <t>J1609.094</t>
  </si>
  <si>
    <t>J1609.092</t>
  </si>
  <si>
    <t>J1609.089</t>
  </si>
  <si>
    <t>J1608.052</t>
  </si>
  <si>
    <t>J1609.125</t>
  </si>
  <si>
    <t>J1609.090</t>
  </si>
  <si>
    <t>J1609.087</t>
  </si>
  <si>
    <t>J1606.112</t>
  </si>
  <si>
    <t>J1606.113</t>
  </si>
  <si>
    <t>J1607.031</t>
  </si>
  <si>
    <t>J1607.027</t>
  </si>
  <si>
    <t>J1608.075</t>
  </si>
  <si>
    <t>J1608.055</t>
  </si>
  <si>
    <t>J1608.054</t>
  </si>
  <si>
    <t>J1609.088</t>
  </si>
  <si>
    <t>J1605.080</t>
  </si>
  <si>
    <t>J1605.078</t>
  </si>
  <si>
    <t>J1606.099</t>
  </si>
  <si>
    <t>J1607.034</t>
  </si>
  <si>
    <t>J1607.010</t>
  </si>
  <si>
    <t>J1608.042</t>
  </si>
  <si>
    <t>J1609.105</t>
  </si>
  <si>
    <t>J1609.106</t>
  </si>
  <si>
    <t>J1606.114</t>
  </si>
  <si>
    <t>J1606.111</t>
  </si>
  <si>
    <t>J1607.033</t>
  </si>
  <si>
    <t>J1607.029</t>
  </si>
  <si>
    <t>J1608.077</t>
  </si>
  <si>
    <t>J1608.057</t>
  </si>
  <si>
    <t>J1608.056</t>
  </si>
  <si>
    <t>J1609.086</t>
  </si>
  <si>
    <t>J1605.079</t>
  </si>
  <si>
    <t>J1605.076</t>
  </si>
  <si>
    <t>J1606.101</t>
  </si>
  <si>
    <t>J1607.032</t>
  </si>
  <si>
    <t>J1607.012</t>
  </si>
  <si>
    <t>J1608.044</t>
  </si>
  <si>
    <t>J1609.103</t>
  </si>
  <si>
    <t>J1609.108</t>
  </si>
  <si>
    <t>J1606.122</t>
  </si>
  <si>
    <t>J1505.043</t>
  </si>
  <si>
    <t>J1504.087</t>
  </si>
  <si>
    <t>J1608.070</t>
  </si>
  <si>
    <t>J1608.072</t>
  </si>
  <si>
    <t>J1608.078</t>
  </si>
  <si>
    <t>J1607.021</t>
  </si>
  <si>
    <t>J1608.076</t>
  </si>
  <si>
    <t>J1608.069</t>
  </si>
  <si>
    <t>J1607.018</t>
  </si>
  <si>
    <t>J1607.022</t>
  </si>
  <si>
    <t>J1608.074</t>
  </si>
  <si>
    <t>J1608.067</t>
  </si>
  <si>
    <t>J1607.020</t>
  </si>
  <si>
    <t>J1605.057</t>
  </si>
  <si>
    <t>J1604.032</t>
  </si>
  <si>
    <t>J1608.080</t>
  </si>
  <si>
    <t>J1607.019</t>
  </si>
  <si>
    <t>J1508.077</t>
  </si>
  <si>
    <t>J1507.102</t>
  </si>
  <si>
    <t>J1508.084</t>
  </si>
  <si>
    <t>J1504.126</t>
  </si>
  <si>
    <t>J1509.002</t>
  </si>
  <si>
    <t>J1509.038</t>
  </si>
  <si>
    <t>J1505.069</t>
  </si>
  <si>
    <t>J1506.006</t>
  </si>
  <si>
    <t>J1509.032</t>
  </si>
  <si>
    <t>J1509.036</t>
  </si>
  <si>
    <t>J1509.003</t>
  </si>
  <si>
    <t>J1509.033</t>
  </si>
  <si>
    <t>J1509.004</t>
  </si>
  <si>
    <t>J1509.009</t>
  </si>
  <si>
    <t>J1505.051</t>
  </si>
  <si>
    <t>J1507.086</t>
  </si>
  <si>
    <t>J1505.079</t>
  </si>
  <si>
    <t>J1508.068</t>
  </si>
  <si>
    <t>J1506.011</t>
  </si>
  <si>
    <t>J1505.074</t>
  </si>
  <si>
    <t>J1507.085</t>
  </si>
  <si>
    <t>J1507.115</t>
  </si>
  <si>
    <t>J1507.095</t>
  </si>
  <si>
    <t>J1507.118</t>
  </si>
  <si>
    <t>J1507.101</t>
  </si>
  <si>
    <t>J1508.081</t>
  </si>
  <si>
    <t>J1508.083</t>
  </si>
  <si>
    <t>J1508.082</t>
  </si>
  <si>
    <t>J1507.117</t>
  </si>
  <si>
    <t>J1508.070</t>
  </si>
  <si>
    <t>J1507.096</t>
  </si>
  <si>
    <t>J1505.050</t>
  </si>
  <si>
    <t>J1507.120</t>
  </si>
  <si>
    <t>J1507.087</t>
  </si>
  <si>
    <t>J1505.084</t>
  </si>
  <si>
    <t>J1507.126</t>
  </si>
  <si>
    <t>J1505.049</t>
  </si>
  <si>
    <t>J1505.080</t>
  </si>
  <si>
    <t>J1509.030</t>
  </si>
  <si>
    <t>J1509.029</t>
  </si>
  <si>
    <t>J1507.123</t>
  </si>
  <si>
    <t>J1507.112</t>
  </si>
  <si>
    <t>J1506.009</t>
  </si>
  <si>
    <t>J1509.039</t>
  </si>
  <si>
    <t>J1507.100</t>
  </si>
  <si>
    <t>J1509.027</t>
  </si>
  <si>
    <t>J1508.063</t>
  </si>
  <si>
    <t>J1507.099</t>
  </si>
  <si>
    <t>J1509.023</t>
  </si>
  <si>
    <t>J1509.017</t>
  </si>
  <si>
    <t>J1509.024</t>
  </si>
  <si>
    <t>J1505.076</t>
  </si>
  <si>
    <t>J1508.050</t>
  </si>
  <si>
    <t>J1507.092</t>
  </si>
  <si>
    <t>J1506.005</t>
  </si>
  <si>
    <t>J1506.007</t>
  </si>
  <si>
    <t>J1508.045</t>
  </si>
  <si>
    <t>J1508.059</t>
  </si>
  <si>
    <t>J1506.010</t>
  </si>
  <si>
    <t>J1508.067</t>
  </si>
  <si>
    <t>J1505.078</t>
  </si>
  <si>
    <t>J1505.055</t>
  </si>
  <si>
    <t>J1506.018</t>
  </si>
  <si>
    <t>J1508.074</t>
  </si>
  <si>
    <t>J1506.017</t>
  </si>
  <si>
    <t>J1504.120</t>
  </si>
  <si>
    <t>J1507.113</t>
  </si>
  <si>
    <t>J1506.008</t>
  </si>
  <si>
    <t>J1507.098</t>
  </si>
  <si>
    <t>J1506.012</t>
  </si>
  <si>
    <t>J1505.068</t>
  </si>
  <si>
    <t>J1505.070</t>
  </si>
  <si>
    <t>J1506.014</t>
  </si>
  <si>
    <t>J1507.116</t>
  </si>
  <si>
    <t>J1505.083</t>
  </si>
  <si>
    <t>J1505.062</t>
  </si>
  <si>
    <t>J1509.022</t>
  </si>
  <si>
    <t>J1507.114</t>
  </si>
  <si>
    <t>J1505.045</t>
  </si>
  <si>
    <t>J1508.072</t>
  </si>
  <si>
    <t>J1505.082</t>
  </si>
  <si>
    <t>J1505.081</t>
  </si>
  <si>
    <t>J1506.019</t>
  </si>
  <si>
    <t>J1507.109</t>
  </si>
  <si>
    <t>J1504.116</t>
  </si>
  <si>
    <t>J1508.064</t>
  </si>
  <si>
    <t>J1508.044</t>
  </si>
  <si>
    <t>J1508.065</t>
  </si>
  <si>
    <t>J1505.047</t>
  </si>
  <si>
    <t>J1508.066</t>
  </si>
  <si>
    <t>J1507.110</t>
  </si>
  <si>
    <t>J1504.112</t>
  </si>
  <si>
    <t>J1505.077</t>
  </si>
  <si>
    <t>J1508.071</t>
  </si>
  <si>
    <t>J1508.055</t>
  </si>
  <si>
    <t>J1508.046</t>
  </si>
  <si>
    <t>J1505.048</t>
  </si>
  <si>
    <t>J1508.062</t>
  </si>
  <si>
    <t>J1504.119</t>
  </si>
  <si>
    <t>J1507.108</t>
  </si>
  <si>
    <t>J1504.114</t>
  </si>
  <si>
    <t>J1508.057</t>
  </si>
  <si>
    <t>J1508.060</t>
  </si>
  <si>
    <t>J1508.056</t>
  </si>
  <si>
    <t>J1505.046</t>
  </si>
  <si>
    <t>J1505.057</t>
  </si>
  <si>
    <t>J1504.111</t>
  </si>
  <si>
    <t>J1506.020</t>
  </si>
  <si>
    <t>J1505.053</t>
  </si>
  <si>
    <t>J1505.071</t>
  </si>
  <si>
    <t>J1505.052</t>
  </si>
  <si>
    <t>J1505.064</t>
  </si>
  <si>
    <t>J1505.066</t>
  </si>
  <si>
    <t>J1504.117</t>
  </si>
  <si>
    <t>J1505.065</t>
  </si>
  <si>
    <t>J1505.063</t>
  </si>
  <si>
    <t>J1504.121</t>
  </si>
  <si>
    <t>J1504.123</t>
  </si>
  <si>
    <t>J1505.067</t>
  </si>
  <si>
    <t>J1504.109</t>
  </si>
  <si>
    <t>J1505.054</t>
  </si>
  <si>
    <t>J1504.118</t>
  </si>
  <si>
    <t>J1504.124</t>
  </si>
  <si>
    <t>J1504.125</t>
  </si>
  <si>
    <t>J1509.021</t>
  </si>
  <si>
    <t>J1506.013</t>
  </si>
  <si>
    <t>J1506.015</t>
  </si>
  <si>
    <t>J1507.093</t>
  </si>
  <si>
    <t>J1509.012</t>
  </si>
  <si>
    <t>J1509.016</t>
  </si>
  <si>
    <t>J1509.007</t>
  </si>
  <si>
    <t>J1508.047</t>
  </si>
  <si>
    <t>J1509.018</t>
  </si>
  <si>
    <t>J1508.076</t>
  </si>
  <si>
    <t>J1508.048</t>
  </si>
  <si>
    <t>J1505.061</t>
  </si>
  <si>
    <t>J1507.094</t>
  </si>
  <si>
    <t>J1508.051</t>
  </si>
  <si>
    <t>J1509.019</t>
  </si>
  <si>
    <t>J1506.016</t>
  </si>
  <si>
    <t>J1505.072</t>
  </si>
  <si>
    <t>J1509.020</t>
  </si>
  <si>
    <t>J1507.107</t>
  </si>
  <si>
    <t>J1604.029</t>
  </si>
  <si>
    <t>J1604.027</t>
  </si>
  <si>
    <t>J1508.058</t>
  </si>
  <si>
    <t>J1504.115</t>
  </si>
  <si>
    <t>J1605.061</t>
  </si>
  <si>
    <t>J1605.059</t>
  </si>
  <si>
    <t>J1604.039</t>
  </si>
  <si>
    <t>J1604.034</t>
  </si>
  <si>
    <t>J1605.046</t>
  </si>
  <si>
    <t>J1605.048</t>
  </si>
  <si>
    <t>J1604.009</t>
  </si>
  <si>
    <t>J1604.002</t>
  </si>
  <si>
    <t>J1604.005</t>
  </si>
  <si>
    <t>J1604.012</t>
  </si>
  <si>
    <t>J1604.010</t>
  </si>
  <si>
    <t>J1507.088</t>
  </si>
  <si>
    <t>J1504.110</t>
  </si>
  <si>
    <t>J1504.113</t>
  </si>
  <si>
    <t>J1505.056</t>
  </si>
  <si>
    <t>J1505.058</t>
  </si>
  <si>
    <t>J1504.105</t>
  </si>
  <si>
    <t>J1508.054</t>
  </si>
  <si>
    <t>J1506.038</t>
  </si>
  <si>
    <t>J1506.036</t>
  </si>
  <si>
    <t>J1504.096</t>
  </si>
  <si>
    <t>J1504.098</t>
  </si>
  <si>
    <t>J1504.104</t>
  </si>
  <si>
    <t>J1504.103</t>
  </si>
  <si>
    <t>J1504.100</t>
  </si>
  <si>
    <t>J1504.102</t>
  </si>
  <si>
    <t>J1504.097</t>
  </si>
  <si>
    <t>J1504.095</t>
  </si>
  <si>
    <t>J1506.037</t>
  </si>
  <si>
    <t>J1506.035</t>
  </si>
  <si>
    <t>J1506.032</t>
  </si>
  <si>
    <t>J1506.034</t>
  </si>
  <si>
    <t>J1506.040</t>
  </si>
  <si>
    <t>J1506.039</t>
  </si>
  <si>
    <t>J1506.024</t>
  </si>
  <si>
    <t>J1506.026</t>
  </si>
  <si>
    <t>J1504.093</t>
  </si>
  <si>
    <t>J1504.091</t>
  </si>
  <si>
    <t>J1504.088</t>
  </si>
  <si>
    <t>J1504.090</t>
  </si>
  <si>
    <t>J1504.101</t>
  </si>
  <si>
    <t>J1504.099</t>
  </si>
  <si>
    <t>J1504.108</t>
  </si>
  <si>
    <t>J1604.033</t>
  </si>
  <si>
    <t>J1604.031</t>
  </si>
  <si>
    <t>J1507.104</t>
  </si>
  <si>
    <t>J1507.089</t>
  </si>
  <si>
    <t>J1507.091</t>
  </si>
  <si>
    <t>J1605.054</t>
  </si>
  <si>
    <t>J1605.052</t>
  </si>
  <si>
    <t>J1605.045</t>
  </si>
  <si>
    <t>J1504.086</t>
  </si>
  <si>
    <t>J1509.005</t>
  </si>
  <si>
    <t>J1509.040</t>
  </si>
  <si>
    <t>J1505.041</t>
  </si>
  <si>
    <t>J1604.040</t>
  </si>
  <si>
    <t>J1509.011</t>
  </si>
  <si>
    <t>J1508.043</t>
  </si>
  <si>
    <t>J1509.028</t>
  </si>
  <si>
    <t>J1509.026</t>
  </si>
  <si>
    <t>J1508.061</t>
  </si>
  <si>
    <t>J1508.080</t>
  </si>
  <si>
    <t>J1507.119</t>
  </si>
  <si>
    <t>J1507.121</t>
  </si>
  <si>
    <t>J1508.078</t>
  </si>
  <si>
    <t>J1509.025</t>
  </si>
  <si>
    <t>J1505.042</t>
  </si>
  <si>
    <t>J1504.089</t>
  </si>
  <si>
    <t>J1505.044</t>
  </si>
  <si>
    <t>J1508.073</t>
  </si>
  <si>
    <t>J1508.075</t>
  </si>
  <si>
    <t>J1504.107</t>
  </si>
  <si>
    <t>J1506.023</t>
  </si>
  <si>
    <t>J1504.127</t>
  </si>
  <si>
    <t>J1506.004</t>
  </si>
  <si>
    <t>J1504.128</t>
  </si>
  <si>
    <t>J1506.003</t>
  </si>
  <si>
    <t>J1506.029</t>
  </si>
  <si>
    <t>J1506.027</t>
  </si>
  <si>
    <t>J1506.033</t>
  </si>
  <si>
    <t>J1506.031</t>
  </si>
  <si>
    <t>J1504.094</t>
  </si>
  <si>
    <t>J1504.092</t>
  </si>
  <si>
    <t>J1506.028</t>
  </si>
  <si>
    <t>J1506.030</t>
  </si>
  <si>
    <t>J1508.069</t>
  </si>
  <si>
    <t>J1509.001</t>
  </si>
  <si>
    <t>J1605.058</t>
  </si>
  <si>
    <t>J1605.050</t>
  </si>
  <si>
    <t>J1604.030</t>
  </si>
  <si>
    <t>J1604.014</t>
  </si>
  <si>
    <t>J1504.085</t>
  </si>
  <si>
    <t>J1509.006</t>
  </si>
  <si>
    <t>J1509.008</t>
  </si>
  <si>
    <t>J1607.001</t>
  </si>
  <si>
    <t>J1604.001</t>
  </si>
  <si>
    <t>J1805.043</t>
  </si>
  <si>
    <t>J1805.049</t>
  </si>
  <si>
    <t>J1805.044</t>
  </si>
  <si>
    <t>J1805.048</t>
  </si>
  <si>
    <t>J1805.042</t>
  </si>
  <si>
    <t>J1804.007</t>
  </si>
  <si>
    <t>J1503.009</t>
  </si>
  <si>
    <t>J1804.001</t>
  </si>
  <si>
    <t>J1804.003</t>
  </si>
  <si>
    <t>J1805.077</t>
  </si>
  <si>
    <t>J1805.081</t>
  </si>
  <si>
    <t>J1503.035</t>
  </si>
  <si>
    <t>J1503.038</t>
  </si>
  <si>
    <t>J1503.002</t>
  </si>
  <si>
    <t>J1502.041</t>
  </si>
  <si>
    <t>J1502.044</t>
  </si>
  <si>
    <t>J1502.043</t>
  </si>
  <si>
    <t>J1502.042</t>
  </si>
  <si>
    <t>J1502.062</t>
  </si>
  <si>
    <t>J1502.060</t>
  </si>
  <si>
    <t>J1803.085</t>
  </si>
  <si>
    <t>J1804.038</t>
  </si>
  <si>
    <t>J1805.083</t>
  </si>
  <si>
    <t>J1806.128</t>
  </si>
  <si>
    <t>J1807.021</t>
  </si>
  <si>
    <t>J1807.022</t>
  </si>
  <si>
    <t>J1806.127</t>
  </si>
  <si>
    <t>J1806.086</t>
  </si>
  <si>
    <t>J1807.025</t>
  </si>
  <si>
    <t>J1807.023</t>
  </si>
  <si>
    <t>J1805.084</t>
  </si>
  <si>
    <t>J1806.125</t>
  </si>
  <si>
    <t>J1502.049</t>
  </si>
  <si>
    <t>J1502.047</t>
  </si>
  <si>
    <t>J1503.015</t>
  </si>
  <si>
    <t>J1503.016</t>
  </si>
  <si>
    <t>J1502.058</t>
  </si>
  <si>
    <t>J1503.014</t>
  </si>
  <si>
    <t>J1503.017</t>
  </si>
  <si>
    <t>J1503.018</t>
  </si>
  <si>
    <t>J1502.057</t>
  </si>
  <si>
    <t>J1503.013</t>
  </si>
  <si>
    <t>J1503.023</t>
  </si>
  <si>
    <t>J1503.025</t>
  </si>
  <si>
    <t>J1503.020</t>
  </si>
  <si>
    <t>J1503.026</t>
  </si>
  <si>
    <t>J1503.021</t>
  </si>
  <si>
    <t>J1503.031</t>
  </si>
  <si>
    <t>J1503.022</t>
  </si>
  <si>
    <t>J1503.024</t>
  </si>
  <si>
    <t>J1503.019</t>
  </si>
  <si>
    <t>J1503.029</t>
  </si>
  <si>
    <t>J1502.046</t>
  </si>
  <si>
    <t>J1503.004</t>
  </si>
  <si>
    <t>J1503.003</t>
  </si>
  <si>
    <t>J1502.045</t>
  </si>
  <si>
    <t>J1502.048</t>
  </si>
  <si>
    <t>J1502.061</t>
  </si>
  <si>
    <t>J1502.063</t>
  </si>
  <si>
    <t>J1502.064</t>
  </si>
  <si>
    <t>J1801.015</t>
  </si>
  <si>
    <t>J1801.020</t>
  </si>
  <si>
    <t>J1801.009</t>
  </si>
  <si>
    <t>J1801.013</t>
  </si>
  <si>
    <t>J1801.016</t>
  </si>
  <si>
    <t>J1806.098</t>
  </si>
  <si>
    <t>J1805.047</t>
  </si>
  <si>
    <t>J1805.080</t>
  </si>
  <si>
    <t>J1805.082</t>
  </si>
  <si>
    <t>J1804.039</t>
  </si>
  <si>
    <t>J1804.040</t>
  </si>
  <si>
    <t>J1804.002</t>
  </si>
  <si>
    <t>J1805.079</t>
  </si>
  <si>
    <t>J1809.120</t>
  </si>
  <si>
    <t>J1809.119</t>
  </si>
  <si>
    <t>J1809.125</t>
  </si>
  <si>
    <t>J1809.122</t>
  </si>
  <si>
    <t>J1809.121</t>
  </si>
  <si>
    <t>J1809.126</t>
  </si>
  <si>
    <t>J1806.097</t>
  </si>
  <si>
    <t>J1801.035</t>
  </si>
  <si>
    <t>J1801.007</t>
  </si>
  <si>
    <t>J1801.022</t>
  </si>
  <si>
    <t>J1801.005</t>
  </si>
  <si>
    <t>J1802.079</t>
  </si>
  <si>
    <t>J1802.073</t>
  </si>
  <si>
    <t>J1802.074</t>
  </si>
  <si>
    <t>J1801.014</t>
  </si>
  <si>
    <t>J1802.047</t>
  </si>
  <si>
    <t>J1802.076</t>
  </si>
  <si>
    <t>J1501.094</t>
  </si>
  <si>
    <t>J1501.127</t>
  </si>
  <si>
    <t>J1501.086</t>
  </si>
  <si>
    <t>J1501.088</t>
  </si>
  <si>
    <t>J1501.091</t>
  </si>
  <si>
    <t>J1501.089</t>
  </si>
  <si>
    <t>J1501.090</t>
  </si>
  <si>
    <t>J1501.092</t>
  </si>
  <si>
    <t>J1501.105</t>
  </si>
  <si>
    <t>J1501.115</t>
  </si>
  <si>
    <t>J1501.108</t>
  </si>
  <si>
    <t>J1801.030</t>
  </si>
  <si>
    <t>J1501.106</t>
  </si>
  <si>
    <t>J1501.103</t>
  </si>
  <si>
    <t>J1801.034</t>
  </si>
  <si>
    <t>J1801.032</t>
  </si>
  <si>
    <t>J1501.112</t>
  </si>
  <si>
    <t>J1502.070</t>
  </si>
  <si>
    <t>J1501.113</t>
  </si>
  <si>
    <t>J1501.107</t>
  </si>
  <si>
    <t>J1502.072</t>
  </si>
  <si>
    <t>J1502.069</t>
  </si>
  <si>
    <t>J1501.109</t>
  </si>
  <si>
    <t>J1501.111</t>
  </si>
  <si>
    <t>J1801.003</t>
  </si>
  <si>
    <t>J1801.038</t>
  </si>
  <si>
    <t>J1801.004</t>
  </si>
  <si>
    <t>J1802.045</t>
  </si>
  <si>
    <t>J1801.011</t>
  </si>
  <si>
    <t>J1801.001</t>
  </si>
  <si>
    <t>J1801.002</t>
  </si>
  <si>
    <t>J1802.082</t>
  </si>
  <si>
    <t>J1802.068</t>
  </si>
  <si>
    <t>J1802.070</t>
  </si>
  <si>
    <t>J1802.063</t>
  </si>
  <si>
    <t>J1802.066</t>
  </si>
  <si>
    <t>J1802.067</t>
  </si>
  <si>
    <t>J1802.072</t>
  </si>
  <si>
    <t>J1802.065</t>
  </si>
  <si>
    <t>J1802.069</t>
  </si>
  <si>
    <t>J1802.050</t>
  </si>
  <si>
    <t>J1802.049</t>
  </si>
  <si>
    <t>J1803.089</t>
  </si>
  <si>
    <t>J1803.087</t>
  </si>
  <si>
    <t>J1802.046</t>
  </si>
  <si>
    <t>J1802.048</t>
  </si>
  <si>
    <t>J1803.123</t>
  </si>
  <si>
    <t>J1803.126</t>
  </si>
  <si>
    <t>J1802.059</t>
  </si>
  <si>
    <t>J1802.071</t>
  </si>
  <si>
    <t>J1803.120</t>
  </si>
  <si>
    <t>J1803.118</t>
  </si>
  <si>
    <t>J1802.062</t>
  </si>
  <si>
    <t>J1802.061</t>
  </si>
  <si>
    <t>J1803.122</t>
  </si>
  <si>
    <t>J1802.064</t>
  </si>
  <si>
    <t>J1803.114</t>
  </si>
  <si>
    <t>J1803.116</t>
  </si>
  <si>
    <t>J1803.107</t>
  </si>
  <si>
    <t>J1803.110</t>
  </si>
  <si>
    <t>J1803.111</t>
  </si>
  <si>
    <t>J1803.112</t>
  </si>
  <si>
    <t>J1803.109</t>
  </si>
  <si>
    <t>J1803.113</t>
  </si>
  <si>
    <t>J1502.082</t>
  </si>
  <si>
    <t>J1502.081</t>
  </si>
  <si>
    <t>J1501.119</t>
  </si>
  <si>
    <t>J1501.117</t>
  </si>
  <si>
    <t>J1502.079</t>
  </si>
  <si>
    <t>J1502.080</t>
  </si>
  <si>
    <t>J1502.073</t>
  </si>
  <si>
    <t>J1501.121</t>
  </si>
  <si>
    <t>J1501.122</t>
  </si>
  <si>
    <t>J1501.128</t>
  </si>
  <si>
    <t>J1501.126</t>
  </si>
  <si>
    <t>J1501.097</t>
  </si>
  <si>
    <t>J1501.116</t>
  </si>
  <si>
    <t>J1501.124</t>
  </si>
  <si>
    <t>J1501.123</t>
  </si>
  <si>
    <t>J1501.125</t>
  </si>
  <si>
    <t>J1501.102</t>
  </si>
  <si>
    <t>J1501.104</t>
  </si>
  <si>
    <t>J1801.039</t>
  </si>
  <si>
    <t>J1802.084</t>
  </si>
  <si>
    <t>J1501.085</t>
  </si>
  <si>
    <t>J1501.087</t>
  </si>
  <si>
    <t>J1801.040</t>
  </si>
  <si>
    <t>J1801.036</t>
  </si>
  <si>
    <t>J1501.100</t>
  </si>
  <si>
    <t>J1501.098</t>
  </si>
  <si>
    <t>J1801.037</t>
  </si>
  <si>
    <t>J1801.028</t>
  </si>
  <si>
    <t>J1501.095</t>
  </si>
  <si>
    <t>J1501.110</t>
  </si>
  <si>
    <t>J1501.093</t>
  </si>
  <si>
    <t>J1501.096</t>
  </si>
  <si>
    <t>J1802.081</t>
  </si>
  <si>
    <t>J1801.008</t>
  </si>
  <si>
    <t>J1802.054</t>
  </si>
  <si>
    <t>J1802.056</t>
  </si>
  <si>
    <t>J1801.010</t>
  </si>
  <si>
    <t>J1801.012</t>
  </si>
  <si>
    <t>J1803.125</t>
  </si>
  <si>
    <t>J1802.052</t>
  </si>
  <si>
    <t>J1802.041</t>
  </si>
  <si>
    <t>J1802.058</t>
  </si>
  <si>
    <t>J1803.124</t>
  </si>
  <si>
    <t>J1803.115</t>
  </si>
  <si>
    <t>J1802.043</t>
  </si>
  <si>
    <t>J1802.083</t>
  </si>
  <si>
    <t>J1803.128</t>
  </si>
  <si>
    <t>J1803.127</t>
  </si>
  <si>
    <t>J1803.119</t>
  </si>
  <si>
    <t>J1803.117</t>
  </si>
  <si>
    <t>J1803.101</t>
  </si>
  <si>
    <t>J1803.099</t>
  </si>
  <si>
    <t>J1803.121</t>
  </si>
  <si>
    <t>J1802.060</t>
  </si>
  <si>
    <t>J1803.104</t>
  </si>
  <si>
    <t>J1803.102</t>
  </si>
  <si>
    <t>J1803.096</t>
  </si>
  <si>
    <t>J1803.098</t>
  </si>
  <si>
    <t>J1803.094</t>
  </si>
  <si>
    <t>J1803.091</t>
  </si>
  <si>
    <t>J1803.093</t>
  </si>
  <si>
    <t>J1803.100</t>
  </si>
  <si>
    <t>J1803.092</t>
  </si>
  <si>
    <t>J1803.090</t>
  </si>
  <si>
    <t>J1502.067</t>
  </si>
  <si>
    <t>J1502.066</t>
  </si>
  <si>
    <t>J1801.031</t>
  </si>
  <si>
    <t>J1801.027</t>
  </si>
  <si>
    <t>J1802.075</t>
  </si>
  <si>
    <t>J1802.055</t>
  </si>
  <si>
    <t>J1803.097</t>
  </si>
  <si>
    <t>J1803.088</t>
  </si>
  <si>
    <t>J1502.077</t>
  </si>
  <si>
    <t>J1501.120</t>
  </si>
  <si>
    <t>J1501.099</t>
  </si>
  <si>
    <t>J1801.017</t>
  </si>
  <si>
    <t>J1802.053</t>
  </si>
  <si>
    <t>J1802.042</t>
  </si>
  <si>
    <t>J1803.105</t>
  </si>
  <si>
    <t>J1803.106</t>
  </si>
  <si>
    <t>J1502.068</t>
  </si>
  <si>
    <t>J1502.065</t>
  </si>
  <si>
    <t>J1801.033</t>
  </si>
  <si>
    <t>J1801.029</t>
  </si>
  <si>
    <t>J1802.077</t>
  </si>
  <si>
    <t>J1802.057</t>
  </si>
  <si>
    <t>J1803.095</t>
  </si>
  <si>
    <t>J1803.086</t>
  </si>
  <si>
    <t>J1502.075</t>
  </si>
  <si>
    <t>J1501.118</t>
  </si>
  <si>
    <t>J1501.101</t>
  </si>
  <si>
    <t>J1801.018</t>
  </si>
  <si>
    <t>J1802.051</t>
  </si>
  <si>
    <t>J1802.044</t>
  </si>
  <si>
    <t>J1803.103</t>
  </si>
  <si>
    <t>J1803.108</t>
  </si>
  <si>
    <t>J1502.084</t>
  </si>
  <si>
    <t>J1808.041</t>
  </si>
  <si>
    <t>J1808.042</t>
  </si>
  <si>
    <t>J1801.025</t>
  </si>
  <si>
    <t>J1801.023</t>
  </si>
  <si>
    <t>J1802.078</t>
  </si>
  <si>
    <t>J1801.026</t>
  </si>
  <si>
    <t>J1502.078</t>
  </si>
  <si>
    <t>J1801.019</t>
  </si>
  <si>
    <t>J1502.071</t>
  </si>
  <si>
    <t>J1801.024</t>
  </si>
  <si>
    <t>J1502.076</t>
  </si>
  <si>
    <t>J1801.021</t>
  </si>
  <si>
    <t>J1502.074</t>
  </si>
  <si>
    <t>J1503.008</t>
  </si>
  <si>
    <t>J1503.034</t>
  </si>
  <si>
    <t>J1802.080</t>
  </si>
  <si>
    <t>J1501.114</t>
  </si>
  <si>
    <t>J1805.070</t>
  </si>
  <si>
    <t>J1807.012</t>
  </si>
  <si>
    <t>J1805.068</t>
  </si>
  <si>
    <t>J1806.118</t>
  </si>
  <si>
    <t>J1804.028</t>
  </si>
  <si>
    <t>J1804.034</t>
  </si>
  <si>
    <t>J1808.065</t>
  </si>
  <si>
    <t>J1806.101</t>
  </si>
  <si>
    <t>J1804.029</t>
  </si>
  <si>
    <t>J1804.032</t>
  </si>
  <si>
    <t>J1804.024</t>
  </si>
  <si>
    <t>J1804.025</t>
  </si>
  <si>
    <t>J1804.026</t>
  </si>
  <si>
    <t>J1804.031</t>
  </si>
  <si>
    <t>J1806.117</t>
  </si>
  <si>
    <t>J1805.067</t>
  </si>
  <si>
    <t>J1805.073</t>
  </si>
  <si>
    <t>J1806.112</t>
  </si>
  <si>
    <t>J1806.092</t>
  </si>
  <si>
    <t>J1808.073</t>
  </si>
  <si>
    <t>J1805.074</t>
  </si>
  <si>
    <t>J1806.110</t>
  </si>
  <si>
    <t>J1806.089</t>
  </si>
  <si>
    <t>J1806.126</t>
  </si>
  <si>
    <t>J1806.122</t>
  </si>
  <si>
    <t>J1805.066</t>
  </si>
  <si>
    <t>J1805.078</t>
  </si>
  <si>
    <t>J1806.116</t>
  </si>
  <si>
    <t>J1806.124</t>
  </si>
  <si>
    <t>J1806.114</t>
  </si>
  <si>
    <t>J1807.009</t>
  </si>
  <si>
    <t>J1806.119</t>
  </si>
  <si>
    <t>J1805.065</t>
  </si>
  <si>
    <t>J1805.069</t>
  </si>
  <si>
    <t>J1805.072</t>
  </si>
  <si>
    <t>J1806.094</t>
  </si>
  <si>
    <t>J1806.093</t>
  </si>
  <si>
    <t>J1807.007</t>
  </si>
  <si>
    <t>J1804.011</t>
  </si>
  <si>
    <t>J1804.027</t>
  </si>
  <si>
    <t>J1806.111</t>
  </si>
  <si>
    <t>J1806.095</t>
  </si>
  <si>
    <t>J1806.091</t>
  </si>
  <si>
    <t>J1805.056</t>
  </si>
  <si>
    <t>J1806.105</t>
  </si>
  <si>
    <t>J1804.015</t>
  </si>
  <si>
    <t>J1804.018</t>
  </si>
  <si>
    <t>J1806.108</t>
  </si>
  <si>
    <t>J1804.012</t>
  </si>
  <si>
    <t>J1805.059</t>
  </si>
  <si>
    <t>J1805.055</t>
  </si>
  <si>
    <t>J1808.076</t>
  </si>
  <si>
    <t>J1805.061</t>
  </si>
  <si>
    <t>J1806.102</t>
  </si>
  <si>
    <t>J1808.083</t>
  </si>
  <si>
    <t>J1808.084</t>
  </si>
  <si>
    <t>J1804.019</t>
  </si>
  <si>
    <t>J1804.022</t>
  </si>
  <si>
    <t>J1806.103</t>
  </si>
  <si>
    <t>J1806.113</t>
  </si>
  <si>
    <t>J1808.081</t>
  </si>
  <si>
    <t>J1808.047</t>
  </si>
  <si>
    <t>J1808.070</t>
  </si>
  <si>
    <t>J1806.099</t>
  </si>
  <si>
    <t>J1807.001</t>
  </si>
  <si>
    <t>J1808.062</t>
  </si>
  <si>
    <t>J1807.015</t>
  </si>
  <si>
    <t>J1807.010</t>
  </si>
  <si>
    <t>J1808.082</t>
  </si>
  <si>
    <t>J1808.048</t>
  </si>
  <si>
    <t>J1807.008</t>
  </si>
  <si>
    <t>J1807.006</t>
  </si>
  <si>
    <t>J1808.045</t>
  </si>
  <si>
    <t>J1806.106</t>
  </si>
  <si>
    <t>J1808.080</t>
  </si>
  <si>
    <t>J1808.061</t>
  </si>
  <si>
    <t>J1805.058</t>
  </si>
  <si>
    <t>J1806.104</t>
  </si>
  <si>
    <t>J1808.079</t>
  </si>
  <si>
    <t>J1806.100</t>
  </si>
  <si>
    <t>J1809.123</t>
  </si>
  <si>
    <t>J1808.078</t>
  </si>
  <si>
    <t>J1807.020</t>
  </si>
  <si>
    <t>J1807.017</t>
  </si>
  <si>
    <t>J1809.112</t>
  </si>
  <si>
    <t>J1805.054</t>
  </si>
  <si>
    <t>J1805.062</t>
  </si>
  <si>
    <t>J1806.085</t>
  </si>
  <si>
    <t>J1808.051</t>
  </si>
  <si>
    <t>J1808.049</t>
  </si>
  <si>
    <t>J1807.018</t>
  </si>
  <si>
    <t>J1809.109</t>
  </si>
  <si>
    <t>J1808.059</t>
  </si>
  <si>
    <t>J1806.087</t>
  </si>
  <si>
    <t>J1804.033</t>
  </si>
  <si>
    <t>J1805.064</t>
  </si>
  <si>
    <t>J1808.069</t>
  </si>
  <si>
    <t>J1805.052</t>
  </si>
  <si>
    <t>J1809.111</t>
  </si>
  <si>
    <t>J1807.016</t>
  </si>
  <si>
    <t>J1808.075</t>
  </si>
  <si>
    <t>J1804.010</t>
  </si>
  <si>
    <t>J1805.051</t>
  </si>
  <si>
    <t>J1804.036</t>
  </si>
  <si>
    <t>J1808.064</t>
  </si>
  <si>
    <t>J1808.063</t>
  </si>
  <si>
    <t>J1809.110</t>
  </si>
  <si>
    <t>J1808.072</t>
  </si>
  <si>
    <t>J1809.124</t>
  </si>
  <si>
    <t>J1808.067</t>
  </si>
  <si>
    <t>J1808.058</t>
  </si>
  <si>
    <t>J1808.057</t>
  </si>
  <si>
    <t>J1808.046</t>
  </si>
  <si>
    <t>J1807.002</t>
  </si>
  <si>
    <t>J1807.005</t>
  </si>
  <si>
    <t>J1808.071</t>
  </si>
  <si>
    <t>J1809.117</t>
  </si>
  <si>
    <t>J1808.060</t>
  </si>
  <si>
    <t>J1808.068</t>
  </si>
  <si>
    <t>J1808.077</t>
  </si>
  <si>
    <t>J1809.118</t>
  </si>
  <si>
    <t>J1807.004</t>
  </si>
  <si>
    <t>J1809.116</t>
  </si>
  <si>
    <t>J1808.055</t>
  </si>
  <si>
    <t>J1805.060</t>
  </si>
  <si>
    <t>J1806.090</t>
  </si>
  <si>
    <t>J1806.088</t>
  </si>
  <si>
    <t>J1807.013</t>
  </si>
  <si>
    <t>J1805.046</t>
  </si>
  <si>
    <t>J1805.045</t>
  </si>
  <si>
    <t>J1805.041</t>
  </si>
  <si>
    <t>J1804.017</t>
  </si>
  <si>
    <t>J1804.008</t>
  </si>
  <si>
    <t>J1806.107</t>
  </si>
  <si>
    <t>J1805.063</t>
  </si>
  <si>
    <t>J1808.066</t>
  </si>
  <si>
    <t>J1807.014</t>
  </si>
  <si>
    <t>J1805.050</t>
  </si>
  <si>
    <t>J1805.057</t>
  </si>
  <si>
    <t>J1808.074</t>
  </si>
  <si>
    <t>J1807.003</t>
  </si>
  <si>
    <t>J1805.053</t>
  </si>
  <si>
    <t>J1807.019</t>
  </si>
  <si>
    <t>J1502.050</t>
  </si>
  <si>
    <t>J1502.052</t>
  </si>
  <si>
    <t>J1804.009</t>
  </si>
  <si>
    <t>J1809.113</t>
  </si>
  <si>
    <t>J1502.053</t>
  </si>
  <si>
    <t>J1503.012</t>
  </si>
  <si>
    <t>J1503.032</t>
  </si>
  <si>
    <t>J1503.028</t>
  </si>
  <si>
    <t>J1502.054</t>
  </si>
  <si>
    <t>J1502.056</t>
  </si>
  <si>
    <t>J1503.030</t>
  </si>
  <si>
    <t>J1503.033</t>
  </si>
  <si>
    <t>J1503.036</t>
  </si>
  <si>
    <t>J1503.007</t>
  </si>
  <si>
    <t>J1503.010</t>
  </si>
  <si>
    <t>J1806.123</t>
  </si>
  <si>
    <t>J1808.056</t>
  </si>
  <si>
    <t>J1806.120</t>
  </si>
  <si>
    <t>J1809.114</t>
  </si>
  <si>
    <t>J1809.115</t>
  </si>
  <si>
    <t>J1808.044</t>
  </si>
  <si>
    <t>J1804.035</t>
  </si>
  <si>
    <t>J1807.033</t>
  </si>
  <si>
    <t>J1807.031</t>
  </si>
  <si>
    <t>J1809.090</t>
  </si>
  <si>
    <t>J1809.088</t>
  </si>
  <si>
    <t>J1809.102</t>
  </si>
  <si>
    <t>J1809.100</t>
  </si>
  <si>
    <t>J1807.026</t>
  </si>
  <si>
    <t>J1807.024</t>
  </si>
  <si>
    <t>J1807.028</t>
  </si>
  <si>
    <t>J1807.030</t>
  </si>
  <si>
    <t>J1809.091</t>
  </si>
  <si>
    <t>J1809.093</t>
  </si>
  <si>
    <t>J1807.032</t>
  </si>
  <si>
    <t>J1807.034</t>
  </si>
  <si>
    <t>J1809.097</t>
  </si>
  <si>
    <t>J1809.095</t>
  </si>
  <si>
    <t>J1809.101</t>
  </si>
  <si>
    <t>J1809.099</t>
  </si>
  <si>
    <t>J1809.103</t>
  </si>
  <si>
    <t>J1809.104</t>
  </si>
  <si>
    <t>J1809.092</t>
  </si>
  <si>
    <t>J1809.094</t>
  </si>
  <si>
    <t>J1809.098</t>
  </si>
  <si>
    <t>J1809.096</t>
  </si>
  <si>
    <t>J1809.108</t>
  </si>
  <si>
    <t>J1502.059</t>
  </si>
  <si>
    <t>J1502.051</t>
  </si>
  <si>
    <t>J1807.011</t>
  </si>
  <si>
    <t>J1805.076</t>
  </si>
  <si>
    <t>J1805.075</t>
  </si>
  <si>
    <t>J1503.001</t>
  </si>
  <si>
    <t>J1503.039</t>
  </si>
  <si>
    <t>J1503.011</t>
  </si>
  <si>
    <t>J1809.086</t>
  </si>
  <si>
    <t>J1804.006</t>
  </si>
  <si>
    <t>J1804.004</t>
  </si>
  <si>
    <t>J1809.089</t>
  </si>
  <si>
    <t>J1503.027</t>
  </si>
  <si>
    <t>J1804.030</t>
  </si>
  <si>
    <t>J1804.021</t>
  </si>
  <si>
    <t>J1804.016</t>
  </si>
  <si>
    <t>J1804.014</t>
  </si>
  <si>
    <t>J1804.020</t>
  </si>
  <si>
    <t>J1806.121</t>
  </si>
  <si>
    <t>J1806.115</t>
  </si>
  <si>
    <t>J1805.071</t>
  </si>
  <si>
    <t>J1806.109</t>
  </si>
  <si>
    <t>J1804.013</t>
  </si>
  <si>
    <t>J1809.087</t>
  </si>
  <si>
    <t>J1809.105</t>
  </si>
  <si>
    <t>J1809.107</t>
  </si>
  <si>
    <t>J1808.054</t>
  </si>
  <si>
    <t>J1808.053</t>
  </si>
  <si>
    <t>J1809.106</t>
  </si>
  <si>
    <t>J1808.043</t>
  </si>
  <si>
    <t>J1808.050</t>
  </si>
  <si>
    <t>J1809.128</t>
  </si>
  <si>
    <t>J1808.052</t>
  </si>
  <si>
    <t>J1809.127</t>
  </si>
  <si>
    <t>J1807.036</t>
  </si>
  <si>
    <t>J1807.038</t>
  </si>
  <si>
    <t>J1807.029</t>
  </si>
  <si>
    <t>J1807.027</t>
  </si>
  <si>
    <t>J1807.040</t>
  </si>
  <si>
    <t>J1807.039</t>
  </si>
  <si>
    <t>J1807.037</t>
  </si>
  <si>
    <t>J1807.035</t>
  </si>
  <si>
    <t>J1806.096</t>
  </si>
  <si>
    <t>J1804.023</t>
  </si>
  <si>
    <t>J1503.040</t>
  </si>
  <si>
    <t>J1502.055</t>
  </si>
  <si>
    <t>J1503.037</t>
  </si>
  <si>
    <t>J1503.005</t>
  </si>
  <si>
    <t>J1809.085</t>
  </si>
  <si>
    <t>J1804.005</t>
  </si>
  <si>
    <t>J1804.037</t>
  </si>
  <si>
    <t>J1502.083</t>
  </si>
  <si>
    <t>J1503.006</t>
  </si>
  <si>
    <t>J1703.011</t>
  </si>
  <si>
    <t>J1703.002</t>
  </si>
  <si>
    <t>J1703.009</t>
  </si>
  <si>
    <t>J1703.033</t>
  </si>
  <si>
    <t>J1702.064</t>
  </si>
  <si>
    <t>J1703.031</t>
  </si>
  <si>
    <t>J1709.010</t>
  </si>
  <si>
    <t>J1703.039</t>
  </si>
  <si>
    <t>J1703.040</t>
  </si>
  <si>
    <t>J1702.082</t>
  </si>
  <si>
    <t>J1702.081</t>
  </si>
  <si>
    <t>J1709.040</t>
  </si>
  <si>
    <t>J1709.011</t>
  </si>
  <si>
    <t>J1708.043</t>
  </si>
  <si>
    <t>J1709.006</t>
  </si>
  <si>
    <t>J1709.008</t>
  </si>
  <si>
    <t>J1709.003</t>
  </si>
  <si>
    <t>J1709.005</t>
  </si>
  <si>
    <t>J1708.041</t>
  </si>
  <si>
    <t>J1708.042</t>
  </si>
  <si>
    <t>J1704.128</t>
  </si>
  <si>
    <t>J1703.030</t>
  </si>
  <si>
    <t>J1601.002</t>
  </si>
  <si>
    <t>J1701.097</t>
  </si>
  <si>
    <t>J1603.106</t>
  </si>
  <si>
    <t>J1603.086</t>
  </si>
  <si>
    <t>J1701.085</t>
  </si>
  <si>
    <t>J1701.086</t>
  </si>
  <si>
    <t>J1603.107</t>
  </si>
  <si>
    <t>J1603.085</t>
  </si>
  <si>
    <t>J1702.067</t>
  </si>
  <si>
    <t>J1701.089</t>
  </si>
  <si>
    <t>J1709.018</t>
  </si>
  <si>
    <t>J1709.016</t>
  </si>
  <si>
    <t>J1708.058</t>
  </si>
  <si>
    <t>J1708.057</t>
  </si>
  <si>
    <t>J1709.020</t>
  </si>
  <si>
    <t>J1709.019</t>
  </si>
  <si>
    <t>J1708.056</t>
  </si>
  <si>
    <t>J1708.055</t>
  </si>
  <si>
    <t>J1709.022</t>
  </si>
  <si>
    <t>J1709.021</t>
  </si>
  <si>
    <t>J1709.036</t>
  </si>
  <si>
    <t>J1709.034</t>
  </si>
  <si>
    <t>J1709.007</t>
  </si>
  <si>
    <t>J1709.001</t>
  </si>
  <si>
    <t>J1709.026</t>
  </si>
  <si>
    <t>J1709.030</t>
  </si>
  <si>
    <t>J1709.009</t>
  </si>
  <si>
    <t>J1709.002</t>
  </si>
  <si>
    <t>J1709.028</t>
  </si>
  <si>
    <t>J1709.032</t>
  </si>
  <si>
    <t>J1708.064</t>
  </si>
  <si>
    <t>J1708.062</t>
  </si>
  <si>
    <t>J1708.060</t>
  </si>
  <si>
    <t>J1708.049</t>
  </si>
  <si>
    <t>J1708.047</t>
  </si>
  <si>
    <t>J1708.063</t>
  </si>
  <si>
    <t>J1708.059</t>
  </si>
  <si>
    <t>J1708.061</t>
  </si>
  <si>
    <t>J1706.034</t>
  </si>
  <si>
    <t>J1706.030</t>
  </si>
  <si>
    <t>J1706.019</t>
  </si>
  <si>
    <t>J1706.013</t>
  </si>
  <si>
    <t>J1706.016</t>
  </si>
  <si>
    <t>J1601.001</t>
  </si>
  <si>
    <t>J1703.034</t>
  </si>
  <si>
    <t>J1603.119</t>
  </si>
  <si>
    <t>J1602.058</t>
  </si>
  <si>
    <t>J1702.041</t>
  </si>
  <si>
    <t>J1703.004</t>
  </si>
  <si>
    <t>J1702.042</t>
  </si>
  <si>
    <t>J1603.120</t>
  </si>
  <si>
    <t>J1603.118</t>
  </si>
  <si>
    <t>J1603.109</t>
  </si>
  <si>
    <t>J1602.077</t>
  </si>
  <si>
    <t>J1603.117</t>
  </si>
  <si>
    <t>J1603.110</t>
  </si>
  <si>
    <t>J1602.079</t>
  </si>
  <si>
    <t>J1601.007</t>
  </si>
  <si>
    <t>J1706.032</t>
  </si>
  <si>
    <t>J1706.021</t>
  </si>
  <si>
    <t>J1706.022</t>
  </si>
  <si>
    <t>J1706.005</t>
  </si>
  <si>
    <t>J1705.079</t>
  </si>
  <si>
    <t>J1705.073</t>
  </si>
  <si>
    <t>J1706.017</t>
  </si>
  <si>
    <t>J1706.014</t>
  </si>
  <si>
    <t>J1705.047</t>
  </si>
  <si>
    <t>J1706.015</t>
  </si>
  <si>
    <t>J1707.088</t>
  </si>
  <si>
    <t>J1707.127</t>
  </si>
  <si>
    <t>J1706.038</t>
  </si>
  <si>
    <t>J1707.090</t>
  </si>
  <si>
    <t>J1707.091</t>
  </si>
  <si>
    <t>J1707.089</t>
  </si>
  <si>
    <t>J1707.092</t>
  </si>
  <si>
    <t>J1707.094</t>
  </si>
  <si>
    <t>J1707.122</t>
  </si>
  <si>
    <t>J1708.074</t>
  </si>
  <si>
    <t>J1707.118</t>
  </si>
  <si>
    <t>J1707.105</t>
  </si>
  <si>
    <t>J1707.120</t>
  </si>
  <si>
    <t>J1708.071</t>
  </si>
  <si>
    <t>J1707.115</t>
  </si>
  <si>
    <t>J1707.103</t>
  </si>
  <si>
    <t>J1706.028</t>
  </si>
  <si>
    <t>J1707.109</t>
  </si>
  <si>
    <t>J1706.025</t>
  </si>
  <si>
    <t>J1706.023</t>
  </si>
  <si>
    <t>J1707.110</t>
  </si>
  <si>
    <t>J1707.107</t>
  </si>
  <si>
    <t>J1706.024</t>
  </si>
  <si>
    <t>J1706.026</t>
  </si>
  <si>
    <t>J1706.011</t>
  </si>
  <si>
    <t>J1706.001</t>
  </si>
  <si>
    <t>J1706.004</t>
  </si>
  <si>
    <t>J1705.045</t>
  </si>
  <si>
    <t>J1706.006</t>
  </si>
  <si>
    <t>J1706.003</t>
  </si>
  <si>
    <t>J1706.002</t>
  </si>
  <si>
    <t>J1705.082</t>
  </si>
  <si>
    <t>J1705.070</t>
  </si>
  <si>
    <t>J1705.072</t>
  </si>
  <si>
    <t>J1705.063</t>
  </si>
  <si>
    <t>J1705.066</t>
  </si>
  <si>
    <t>J1705.067</t>
  </si>
  <si>
    <t>J1705.068</t>
  </si>
  <si>
    <t>J1705.065</t>
  </si>
  <si>
    <t>J1705.069</t>
  </si>
  <si>
    <t>J1705.050</t>
  </si>
  <si>
    <t>J1705.049</t>
  </si>
  <si>
    <t>J1704.089</t>
  </si>
  <si>
    <t>J1704.087</t>
  </si>
  <si>
    <t>J1705.046</t>
  </si>
  <si>
    <t>J1705.048</t>
  </si>
  <si>
    <t>J1704.123</t>
  </si>
  <si>
    <t>J1704.126</t>
  </si>
  <si>
    <t>J1705.059</t>
  </si>
  <si>
    <t>J1705.071</t>
  </si>
  <si>
    <t>J1704.120</t>
  </si>
  <si>
    <t>J1704.118</t>
  </si>
  <si>
    <t>J1705.062</t>
  </si>
  <si>
    <t>J1705.061</t>
  </si>
  <si>
    <t>J1704.122</t>
  </si>
  <si>
    <t>J1705.064</t>
  </si>
  <si>
    <t>J1704.114</t>
  </si>
  <si>
    <t>J1704.116</t>
  </si>
  <si>
    <t>J1704.107</t>
  </si>
  <si>
    <t>J1704.110</t>
  </si>
  <si>
    <t>J1704.111</t>
  </si>
  <si>
    <t>J1704.112</t>
  </si>
  <si>
    <t>J1704.109</t>
  </si>
  <si>
    <t>J1704.113</t>
  </si>
  <si>
    <t>J1708.082</t>
  </si>
  <si>
    <t>J1708.081</t>
  </si>
  <si>
    <t>J1707.119</t>
  </si>
  <si>
    <t>J1707.117</t>
  </si>
  <si>
    <t>J1708.079</t>
  </si>
  <si>
    <t>J1708.080</t>
  </si>
  <si>
    <t>J1708.073</t>
  </si>
  <si>
    <t>J1707.121</t>
  </si>
  <si>
    <t>J1707.124</t>
  </si>
  <si>
    <t>J1707.128</t>
  </si>
  <si>
    <t>J1707.125</t>
  </si>
  <si>
    <t>J1707.097</t>
  </si>
  <si>
    <t>J1707.116</t>
  </si>
  <si>
    <t>J1707.126</t>
  </si>
  <si>
    <t>J1707.123</t>
  </si>
  <si>
    <t>J1707.095</t>
  </si>
  <si>
    <t>J1707.102</t>
  </si>
  <si>
    <t>J1707.104</t>
  </si>
  <si>
    <t>J1706.039</t>
  </si>
  <si>
    <t>J1705.084</t>
  </si>
  <si>
    <t>J1707.085</t>
  </si>
  <si>
    <t>J1707.087</t>
  </si>
  <si>
    <t>J1706.040</t>
  </si>
  <si>
    <t>J1706.036</t>
  </si>
  <si>
    <t>J1707.098</t>
  </si>
  <si>
    <t>J1707.096</t>
  </si>
  <si>
    <t>J1706.007</t>
  </si>
  <si>
    <t>J1706.009</t>
  </si>
  <si>
    <t>J1707.093</t>
  </si>
  <si>
    <t>J1707.100</t>
  </si>
  <si>
    <t>J1706.035</t>
  </si>
  <si>
    <t>J1706.037</t>
  </si>
  <si>
    <t>J1705.081</t>
  </si>
  <si>
    <t>J1706.008</t>
  </si>
  <si>
    <t>J1705.054</t>
  </si>
  <si>
    <t>J1705.056</t>
  </si>
  <si>
    <t>J1706.010</t>
  </si>
  <si>
    <t>J1706.012</t>
  </si>
  <si>
    <t>J1704.125</t>
  </si>
  <si>
    <t>J1705.052</t>
  </si>
  <si>
    <t>J1705.041</t>
  </si>
  <si>
    <t>J1705.058</t>
  </si>
  <si>
    <t>J1704.124</t>
  </si>
  <si>
    <t>J1704.115</t>
  </si>
  <si>
    <t>J1705.043</t>
  </si>
  <si>
    <t>J1705.083</t>
  </si>
  <si>
    <t>J1704.085</t>
  </si>
  <si>
    <t>J1704.127</t>
  </si>
  <si>
    <t>J1704.119</t>
  </si>
  <si>
    <t>J1704.117</t>
  </si>
  <si>
    <t>J1704.101</t>
  </si>
  <si>
    <t>J1704.099</t>
  </si>
  <si>
    <t>J1704.121</t>
  </si>
  <si>
    <t>J1705.060</t>
  </si>
  <si>
    <t>J1704.102</t>
  </si>
  <si>
    <t>J1704.104</t>
  </si>
  <si>
    <t>J1704.096</t>
  </si>
  <si>
    <t>J1704.098</t>
  </si>
  <si>
    <t>J1704.094</t>
  </si>
  <si>
    <t>J1704.091</t>
  </si>
  <si>
    <t>J1704.093</t>
  </si>
  <si>
    <t>J1704.100</t>
  </si>
  <si>
    <t>J1704.092</t>
  </si>
  <si>
    <t>J1704.090</t>
  </si>
  <si>
    <t>J1707.112</t>
  </si>
  <si>
    <t>J1707.113</t>
  </si>
  <si>
    <t>J1706.031</t>
  </si>
  <si>
    <t>J1706.027</t>
  </si>
  <si>
    <t>J1705.075</t>
  </si>
  <si>
    <t>J1705.055</t>
  </si>
  <si>
    <t>J1704.097</t>
  </si>
  <si>
    <t>J1704.088</t>
  </si>
  <si>
    <t>J1708.077</t>
  </si>
  <si>
    <t>J1708.078</t>
  </si>
  <si>
    <t>J1707.099</t>
  </si>
  <si>
    <t>J1707.108</t>
  </si>
  <si>
    <t>J1705.053</t>
  </si>
  <si>
    <t>J1705.042</t>
  </si>
  <si>
    <t>J1704.105</t>
  </si>
  <si>
    <t>J1704.106</t>
  </si>
  <si>
    <t>J1707.114</t>
  </si>
  <si>
    <t>J1707.111</t>
  </si>
  <si>
    <t>J1706.033</t>
  </si>
  <si>
    <t>J1706.029</t>
  </si>
  <si>
    <t>J1705.077</t>
  </si>
  <si>
    <t>J1705.057</t>
  </si>
  <si>
    <t>J1704.095</t>
  </si>
  <si>
    <t>J1704.086</t>
  </si>
  <si>
    <t>J1708.075</t>
  </si>
  <si>
    <t>J1708.076</t>
  </si>
  <si>
    <t>J1707.101</t>
  </si>
  <si>
    <t>J1707.106</t>
  </si>
  <si>
    <t>J1705.051</t>
  </si>
  <si>
    <t>J1705.044</t>
  </si>
  <si>
    <t>J1704.103</t>
  </si>
  <si>
    <t>J1704.108</t>
  </si>
  <si>
    <t>J1708.083</t>
  </si>
  <si>
    <t>J1601.025</t>
  </si>
  <si>
    <t>J1601.022</t>
  </si>
  <si>
    <t>J1708.069</t>
  </si>
  <si>
    <t>J1708.067</t>
  </si>
  <si>
    <t>J1705.078</t>
  </si>
  <si>
    <t>J1708.070</t>
  </si>
  <si>
    <t>J1705.076</t>
  </si>
  <si>
    <t>J1708.066</t>
  </si>
  <si>
    <t>J1706.018</t>
  </si>
  <si>
    <t>J1708.068</t>
  </si>
  <si>
    <t>J1705.074</t>
  </si>
  <si>
    <t>J1708.065</t>
  </si>
  <si>
    <t>J1706.020</t>
  </si>
  <si>
    <t>J1709.017</t>
  </si>
  <si>
    <t>J1709.025</t>
  </si>
  <si>
    <t>J1705.080</t>
  </si>
  <si>
    <t>J1708.072</t>
  </si>
  <si>
    <t>J1702.070</t>
  </si>
  <si>
    <t>J1701.116</t>
  </si>
  <si>
    <t>J1602.061</t>
  </si>
  <si>
    <t>J1702.078</t>
  </si>
  <si>
    <t>J1703.028</t>
  </si>
  <si>
    <t>J1703.026</t>
  </si>
  <si>
    <t>J1701.094</t>
  </si>
  <si>
    <t>J1701.107</t>
  </si>
  <si>
    <t>J1703.025</t>
  </si>
  <si>
    <t>J1703.027</t>
  </si>
  <si>
    <t>J1703.022</t>
  </si>
  <si>
    <t>J1703.014</t>
  </si>
  <si>
    <t>J1703.015</t>
  </si>
  <si>
    <t>J1703.024</t>
  </si>
  <si>
    <t>J1702.073</t>
  </si>
  <si>
    <t>J1702.083</t>
  </si>
  <si>
    <t>J1701.088</t>
  </si>
  <si>
    <t>J1701.124</t>
  </si>
  <si>
    <t>J1601.005</t>
  </si>
  <si>
    <t>J1701.108</t>
  </si>
  <si>
    <t>J1702.079</t>
  </si>
  <si>
    <t>J1701.109</t>
  </si>
  <si>
    <t>J1701.087</t>
  </si>
  <si>
    <t>J1601.003</t>
  </si>
  <si>
    <t>J1701.120</t>
  </si>
  <si>
    <t>J1702.080</t>
  </si>
  <si>
    <t>J1702.074</t>
  </si>
  <si>
    <t>J1701.125</t>
  </si>
  <si>
    <t>J1601.004</t>
  </si>
  <si>
    <t>J1701.126</t>
  </si>
  <si>
    <t>J1701.092</t>
  </si>
  <si>
    <t>J1702.065</t>
  </si>
  <si>
    <t>J1702.072</t>
  </si>
  <si>
    <t>J1702.084</t>
  </si>
  <si>
    <t>J1702.068</t>
  </si>
  <si>
    <t>J1702.066</t>
  </si>
  <si>
    <t>J1701.127</t>
  </si>
  <si>
    <t>J1701.128</t>
  </si>
  <si>
    <t>J1703.017</t>
  </si>
  <si>
    <t>J1703.019</t>
  </si>
  <si>
    <t>J1701.122</t>
  </si>
  <si>
    <t>J1701.114</t>
  </si>
  <si>
    <t>J1601.006</t>
  </si>
  <si>
    <t>J1702.046</t>
  </si>
  <si>
    <t>J1701.103</t>
  </si>
  <si>
    <t>J1703.020</t>
  </si>
  <si>
    <t>J1702.045</t>
  </si>
  <si>
    <t>J1701.112</t>
  </si>
  <si>
    <t>J1702.057</t>
  </si>
  <si>
    <t>J1702.060</t>
  </si>
  <si>
    <t>J1702.059</t>
  </si>
  <si>
    <t>J1701.110</t>
  </si>
  <si>
    <t>J1702.054</t>
  </si>
  <si>
    <t>J1701.113</t>
  </si>
  <si>
    <t>J1701.091</t>
  </si>
  <si>
    <t>J1701.095</t>
  </si>
  <si>
    <t>J1703.010</t>
  </si>
  <si>
    <t>J1702.049</t>
  </si>
  <si>
    <t>J1701.104</t>
  </si>
  <si>
    <t>J1701.111</t>
  </si>
  <si>
    <t>J1701.101</t>
  </si>
  <si>
    <t>J1602.073</t>
  </si>
  <si>
    <t>J1602.047</t>
  </si>
  <si>
    <t>J1601.011</t>
  </si>
  <si>
    <t>J1602.082</t>
  </si>
  <si>
    <t>J1602.083</t>
  </si>
  <si>
    <t>J1701.098</t>
  </si>
  <si>
    <t>J1603.128</t>
  </si>
  <si>
    <t>J1601.018</t>
  </si>
  <si>
    <t>J1602.071</t>
  </si>
  <si>
    <t>J1601.017</t>
  </si>
  <si>
    <t>J1601.013</t>
  </si>
  <si>
    <t>J1602.074</t>
  </si>
  <si>
    <t>J1701.099</t>
  </si>
  <si>
    <t>J1603.127</t>
  </si>
  <si>
    <t>J1602.084</t>
  </si>
  <si>
    <t>J1702.053</t>
  </si>
  <si>
    <t>J1701.100</t>
  </si>
  <si>
    <t>J1602.080</t>
  </si>
  <si>
    <t>J1601.015</t>
  </si>
  <si>
    <t>J1603.123</t>
  </si>
  <si>
    <t>J1603.125</t>
  </si>
  <si>
    <t>J1602.046</t>
  </si>
  <si>
    <t>J1701.096</t>
  </si>
  <si>
    <t>J1602.081</t>
  </si>
  <si>
    <t>J1702.044</t>
  </si>
  <si>
    <t>J1702.048</t>
  </si>
  <si>
    <t>J1602.070</t>
  </si>
  <si>
    <t>J1602.078</t>
  </si>
  <si>
    <t>J1602.069</t>
  </si>
  <si>
    <t>J1601.020</t>
  </si>
  <si>
    <t>J1602.051</t>
  </si>
  <si>
    <t>J1602.053</t>
  </si>
  <si>
    <t>J1601.016</t>
  </si>
  <si>
    <t>J1703.038</t>
  </si>
  <si>
    <t>J1702.050</t>
  </si>
  <si>
    <t>J1602.048</t>
  </si>
  <si>
    <t>J1702.043</t>
  </si>
  <si>
    <t>J1603.112</t>
  </si>
  <si>
    <t>J1601.019</t>
  </si>
  <si>
    <t>J1602.049</t>
  </si>
  <si>
    <t>J1703.005</t>
  </si>
  <si>
    <t>J1703.006</t>
  </si>
  <si>
    <t>J1703.036</t>
  </si>
  <si>
    <t>J1603.111</t>
  </si>
  <si>
    <t>J1602.059</t>
  </si>
  <si>
    <t>J1603.121</t>
  </si>
  <si>
    <t>J1602.045</t>
  </si>
  <si>
    <t>J1603.122</t>
  </si>
  <si>
    <t>J1602.057</t>
  </si>
  <si>
    <t>J1601.010</t>
  </si>
  <si>
    <t>J1602.054</t>
  </si>
  <si>
    <t>J1602.067</t>
  </si>
  <si>
    <t>J1603.126</t>
  </si>
  <si>
    <t>J1602.068</t>
  </si>
  <si>
    <t>J1602.056</t>
  </si>
  <si>
    <t>J1603.114</t>
  </si>
  <si>
    <t>J1602.076</t>
  </si>
  <si>
    <t>J1602.075</t>
  </si>
  <si>
    <t>J1602.050</t>
  </si>
  <si>
    <t>J1602.060</t>
  </si>
  <si>
    <t>J1602.055</t>
  </si>
  <si>
    <t>J1603.116</t>
  </si>
  <si>
    <t>J1602.063</t>
  </si>
  <si>
    <t>J1702.062</t>
  </si>
  <si>
    <t>J1601.012</t>
  </si>
  <si>
    <t>J1601.009</t>
  </si>
  <si>
    <t>J1701.105</t>
  </si>
  <si>
    <t>J1703.007</t>
  </si>
  <si>
    <t>J1702.063</t>
  </si>
  <si>
    <t>J1703.013</t>
  </si>
  <si>
    <t>J1702.047</t>
  </si>
  <si>
    <t>J1703.032</t>
  </si>
  <si>
    <t>J1701.102</t>
  </si>
  <si>
    <t>J1702.052</t>
  </si>
  <si>
    <t>J1701.090</t>
  </si>
  <si>
    <t>J1701.106</t>
  </si>
  <si>
    <t>J1703.035</t>
  </si>
  <si>
    <t>J1702.058</t>
  </si>
  <si>
    <t>J1602.072</t>
  </si>
  <si>
    <t>J1601.014</t>
  </si>
  <si>
    <t>J1702.056</t>
  </si>
  <si>
    <t>J1701.093</t>
  </si>
  <si>
    <t>J1709.038</t>
  </si>
  <si>
    <t>J1709.037</t>
  </si>
  <si>
    <t>J1703.037</t>
  </si>
  <si>
    <t>J1603.113</t>
  </si>
  <si>
    <t>J1708.051</t>
  </si>
  <si>
    <t>J1708.053</t>
  </si>
  <si>
    <t>J1709.029</t>
  </si>
  <si>
    <t>J1709.023</t>
  </si>
  <si>
    <t>J1708.050</t>
  </si>
  <si>
    <t>J1708.052</t>
  </si>
  <si>
    <t>J1709.024</t>
  </si>
  <si>
    <t>J1709.014</t>
  </si>
  <si>
    <t>J1709.013</t>
  </si>
  <si>
    <t>J1709.033</t>
  </si>
  <si>
    <t>J1709.031</t>
  </si>
  <si>
    <t>J1701.117</t>
  </si>
  <si>
    <t>J1702.077</t>
  </si>
  <si>
    <t>J1603.124</t>
  </si>
  <si>
    <t>J1603.115</t>
  </si>
  <si>
    <t>J1602.052</t>
  </si>
  <si>
    <t>J1602.041</t>
  </si>
  <si>
    <t>J1703.029</t>
  </si>
  <si>
    <t>J1603.088</t>
  </si>
  <si>
    <t>J1603.090</t>
  </si>
  <si>
    <t>J1601.027</t>
  </si>
  <si>
    <t>J1601.028</t>
  </si>
  <si>
    <t>J1601.034</t>
  </si>
  <si>
    <t>J1601.036</t>
  </si>
  <si>
    <t>J1601.039</t>
  </si>
  <si>
    <t>J1601.040</t>
  </si>
  <si>
    <t>J1603.102</t>
  </si>
  <si>
    <t>J1603.100</t>
  </si>
  <si>
    <t>J1603.095</t>
  </si>
  <si>
    <t>J1603.097</t>
  </si>
  <si>
    <t>J1603.091</t>
  </si>
  <si>
    <t>J1603.093</t>
  </si>
  <si>
    <t>J1601.033</t>
  </si>
  <si>
    <t>J1601.035</t>
  </si>
  <si>
    <t>J1601.038</t>
  </si>
  <si>
    <t>J1601.037</t>
  </si>
  <si>
    <t>J1601.032</t>
  </si>
  <si>
    <t>J1601.031</t>
  </si>
  <si>
    <t>J1601.030</t>
  </si>
  <si>
    <t>J1601.029</t>
  </si>
  <si>
    <t>J1601.026</t>
  </si>
  <si>
    <t>J1601.024</t>
  </si>
  <si>
    <t>J1603.108</t>
  </si>
  <si>
    <t>J1708.048</t>
  </si>
  <si>
    <t>J1708.045</t>
  </si>
  <si>
    <t>J1701.118</t>
  </si>
  <si>
    <t>J1701.123</t>
  </si>
  <si>
    <t>J1701.121</t>
  </si>
  <si>
    <t>J1708.044</t>
  </si>
  <si>
    <t>J1709.039</t>
  </si>
  <si>
    <t>J1709.012</t>
  </si>
  <si>
    <t>J1603.105</t>
  </si>
  <si>
    <t>J1703.008</t>
  </si>
  <si>
    <t>J1702.061</t>
  </si>
  <si>
    <t>J1602.044</t>
  </si>
  <si>
    <t>J1709.027</t>
  </si>
  <si>
    <t>J1703.023</t>
  </si>
  <si>
    <t>J1703.012</t>
  </si>
  <si>
    <t>J1703.018</t>
  </si>
  <si>
    <t>J1702.055</t>
  </si>
  <si>
    <t>J1702.051</t>
  </si>
  <si>
    <t>J1701.115</t>
  </si>
  <si>
    <t>J1702.075</t>
  </si>
  <si>
    <t>J1702.076</t>
  </si>
  <si>
    <t>J1701.119</t>
  </si>
  <si>
    <t>J1703.016</t>
  </si>
  <si>
    <t>J1602.042</t>
  </si>
  <si>
    <t>J1602.043</t>
  </si>
  <si>
    <t>J1603.089</t>
  </si>
  <si>
    <t>J1702.071</t>
  </si>
  <si>
    <t>J1702.069</t>
  </si>
  <si>
    <t>J1601.021</t>
  </si>
  <si>
    <t>J1603.087</t>
  </si>
  <si>
    <t>J1602.064</t>
  </si>
  <si>
    <t>J1602.066</t>
  </si>
  <si>
    <t>J1602.062</t>
  </si>
  <si>
    <t>J1602.065</t>
  </si>
  <si>
    <t>J1603.094</t>
  </si>
  <si>
    <t>J1603.092</t>
  </si>
  <si>
    <t>J1603.098</t>
  </si>
  <si>
    <t>J1603.096</t>
  </si>
  <si>
    <t>J1603.099</t>
  </si>
  <si>
    <t>J1603.101</t>
  </si>
  <si>
    <t>J1603.103</t>
  </si>
  <si>
    <t>J1603.104</t>
  </si>
  <si>
    <t>J1601.008</t>
  </si>
  <si>
    <t>J1703.021</t>
  </si>
  <si>
    <t>J1709.004</t>
  </si>
  <si>
    <t>J1708.054</t>
  </si>
  <si>
    <t>J1709.015</t>
  </si>
  <si>
    <t>J1709.035</t>
  </si>
  <si>
    <t>J1601.023</t>
  </si>
  <si>
    <t>J1703.003</t>
  </si>
  <si>
    <t>J1703.001</t>
  </si>
  <si>
    <t>J1707.086</t>
  </si>
  <si>
    <t>J1708.046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</si>
</sst>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_ "/>
    <numFmt numFmtId="165" formatCode="[$-409]mmmm\ d\,\ yyyy;@"/>
    <numFmt numFmtId="166" formatCode="0.000_);[Red]\(0.000\)"/>
    <numFmt numFmtId="167" formatCode="0.0000"/>
    <numFmt numFmtId="168" formatCode="#&quot;mil&quot;"/>
    <numFmt numFmtId="169" formatCode="0.0000_ "/>
    <numFmt numFmtId="170" formatCode="0.00_);[Red]\(0.00\)"/>
    <numFmt numFmtId="171" formatCode="0.00_ "/>
    <numFmt numFmtId="172" formatCode="0.0000_);[Red]\(0.0000\)"/>
    <numFmt numFmtId="173" formatCode="0.000"/>
  </numFmts>
  <fonts count="63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Arial"/>
      <family val="2"/>
    </font>
    <font>
      <sz val="10"/>
      <name val="ＭＳ 明朝"/>
      <family val="1"/>
      <charset val="128"/>
    </font>
    <font>
      <sz val="12"/>
      <name val="Osaka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0"/>
      <color indexed="10"/>
      <name val="Arial"/>
      <family val="2"/>
    </font>
    <font>
      <b/>
      <sz val="11"/>
      <color indexed="8"/>
      <name val="ＭＳ Ｐゴシック"/>
      <family val="3"/>
      <charset val="128"/>
    </font>
    <font>
      <sz val="8"/>
      <name val="Arial"/>
      <family val="2"/>
    </font>
    <font>
      <sz val="6"/>
      <name val="ＭＳ Ｐゴシック"/>
      <family val="3"/>
      <charset val="128"/>
    </font>
    <font>
      <b/>
      <sz val="11"/>
      <name val="Arial"/>
      <family val="2"/>
    </font>
    <font>
      <sz val="6"/>
      <name val="Osaka"/>
      <family val="3"/>
      <charset val="128"/>
    </font>
    <font>
      <sz val="12"/>
      <name val="Arial"/>
      <family val="2"/>
    </font>
    <font>
      <sz val="8"/>
      <name val="ＭＳ 明朝"/>
      <family val="1"/>
      <charset val="128"/>
    </font>
    <font>
      <sz val="6"/>
      <name val="Arial"/>
      <family val="2"/>
    </font>
    <font>
      <b/>
      <i/>
      <sz val="8"/>
      <color indexed="10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strike/>
      <sz val="11"/>
      <name val="Arial"/>
      <family val="2"/>
    </font>
    <font>
      <b/>
      <sz val="12"/>
      <name val="Arial"/>
      <family val="2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12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6"/>
      <color theme="1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sz val="9"/>
      <color theme="3" tint="0.39997558519241921"/>
      <name val="Arial"/>
      <family val="2"/>
    </font>
    <font>
      <sz val="11"/>
      <color rgb="FF00B0F0"/>
      <name val="Arial"/>
      <family val="2"/>
    </font>
    <font>
      <sz val="11"/>
      <color rgb="FFC00000"/>
      <name val="Arial"/>
      <family val="2"/>
    </font>
    <font>
      <sz val="11"/>
      <color theme="0"/>
      <name val="Arial"/>
      <family val="2"/>
    </font>
    <font>
      <sz val="11"/>
      <color rgb="FFFF66FF"/>
      <name val="Arial"/>
      <family val="2"/>
    </font>
    <font>
      <sz val="11"/>
      <color rgb="FFFFC000"/>
      <name val="Arial"/>
      <family val="2"/>
    </font>
    <font>
      <sz val="11"/>
      <color rgb="FF7030A0"/>
      <name val="Arial"/>
      <family val="2"/>
    </font>
    <font>
      <sz val="11"/>
      <color rgb="FFFF99CC"/>
      <name val="Arial"/>
      <family val="2"/>
    </font>
    <font>
      <sz val="11"/>
      <color theme="3" tint="0.39997558519241921"/>
      <name val="Arial"/>
      <family val="2"/>
    </font>
    <font>
      <sz val="11"/>
      <color rgb="FF00808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9F7B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>
      <alignment vertical="center"/>
    </xf>
    <xf numFmtId="0" fontId="8" fillId="0" borderId="0"/>
    <xf numFmtId="0" fontId="5" fillId="0" borderId="0">
      <alignment vertical="center"/>
    </xf>
  </cellStyleXfs>
  <cellXfs count="84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9" fillId="0" borderId="1" xfId="6" applyFont="1" applyBorder="1"/>
    <xf numFmtId="0" fontId="9" fillId="0" borderId="1" xfId="6" applyFont="1" applyBorder="1" applyAlignment="1">
      <alignment wrapText="1"/>
    </xf>
    <xf numFmtId="0" fontId="39" fillId="0" borderId="1" xfId="6" applyFont="1" applyBorder="1"/>
    <xf numFmtId="0" fontId="11" fillId="0" borderId="0" xfId="7" applyFont="1">
      <alignment vertical="center"/>
    </xf>
    <xf numFmtId="0" fontId="40" fillId="0" borderId="0" xfId="7" applyFont="1">
      <alignment vertical="center"/>
    </xf>
    <xf numFmtId="0" fontId="41" fillId="0" borderId="0" xfId="7" applyFont="1">
      <alignment vertical="center"/>
    </xf>
    <xf numFmtId="0" fontId="11" fillId="9" borderId="0" xfId="7" applyFont="1" applyFill="1">
      <alignment vertical="center"/>
    </xf>
    <xf numFmtId="0" fontId="42" fillId="0" borderId="0" xfId="7" applyFont="1">
      <alignment vertical="center"/>
    </xf>
    <xf numFmtId="0" fontId="43" fillId="0" borderId="0" xfId="7" applyFont="1">
      <alignment vertical="center"/>
    </xf>
    <xf numFmtId="0" fontId="11" fillId="0" borderId="2" xfId="7" applyFont="1" applyBorder="1">
      <alignment vertical="center"/>
    </xf>
    <xf numFmtId="0" fontId="11" fillId="0" borderId="3" xfId="7" applyFont="1" applyBorder="1">
      <alignment vertical="center"/>
    </xf>
    <xf numFmtId="0" fontId="11" fillId="0" borderId="4" xfId="7" applyFont="1" applyBorder="1" applyAlignment="1">
      <alignment vertical="center" shrinkToFit="1"/>
    </xf>
    <xf numFmtId="0" fontId="11" fillId="0" borderId="5" xfId="7" applyFont="1" applyBorder="1">
      <alignment vertical="center"/>
    </xf>
    <xf numFmtId="0" fontId="11" fillId="0" borderId="4" xfId="7" applyFont="1" applyBorder="1">
      <alignment vertical="center"/>
    </xf>
    <xf numFmtId="0" fontId="11" fillId="0" borderId="6" xfId="7" applyFont="1" applyBorder="1">
      <alignment vertical="center"/>
    </xf>
    <xf numFmtId="0" fontId="11" fillId="0" borderId="7" xfId="7" applyFont="1" applyBorder="1">
      <alignment vertical="center"/>
    </xf>
    <xf numFmtId="0" fontId="11" fillId="0" borderId="8" xfId="7" applyFont="1" applyBorder="1">
      <alignment vertical="center"/>
    </xf>
    <xf numFmtId="0" fontId="11" fillId="0" borderId="9" xfId="7" applyFont="1" applyBorder="1">
      <alignment vertical="center"/>
    </xf>
    <xf numFmtId="0" fontId="11" fillId="0" borderId="10" xfId="7" applyFont="1" applyBorder="1">
      <alignment vertical="center"/>
    </xf>
    <xf numFmtId="0" fontId="11" fillId="0" borderId="11" xfId="7" applyFont="1" applyBorder="1">
      <alignment vertical="center"/>
    </xf>
    <xf numFmtId="0" fontId="11" fillId="0" borderId="12" xfId="7" applyFont="1" applyBorder="1">
      <alignment vertical="center"/>
    </xf>
    <xf numFmtId="0" fontId="11" fillId="0" borderId="13" xfId="7" applyFont="1" applyBorder="1">
      <alignment vertical="center"/>
    </xf>
    <xf numFmtId="0" fontId="11" fillId="0" borderId="14" xfId="7" applyFont="1" applyBorder="1">
      <alignment vertical="center"/>
    </xf>
    <xf numFmtId="0" fontId="11" fillId="0" borderId="15" xfId="7" applyFont="1" applyBorder="1">
      <alignment vertical="center"/>
    </xf>
    <xf numFmtId="0" fontId="11" fillId="0" borderId="16" xfId="7" applyFont="1" applyBorder="1">
      <alignment vertical="center"/>
    </xf>
    <xf numFmtId="0" fontId="11" fillId="0" borderId="17" xfId="7" applyFont="1" applyBorder="1">
      <alignment vertical="center"/>
    </xf>
    <xf numFmtId="0" fontId="44" fillId="0" borderId="0" xfId="7" applyFont="1">
      <alignment vertical="center"/>
    </xf>
    <xf numFmtId="0" fontId="44" fillId="0" borderId="0" xfId="5" applyFont="1">
      <alignment vertical="center"/>
    </xf>
    <xf numFmtId="0" fontId="45" fillId="0" borderId="0" xfId="5" applyFont="1">
      <alignment vertical="center"/>
    </xf>
    <xf numFmtId="166" fontId="44" fillId="0" borderId="0" xfId="5" applyNumberFormat="1" applyFont="1">
      <alignment vertical="center"/>
    </xf>
    <xf numFmtId="165" fontId="44" fillId="0" borderId="0" xfId="5" applyNumberFormat="1" applyFont="1">
      <alignment vertical="center"/>
    </xf>
    <xf numFmtId="167" fontId="44" fillId="0" borderId="0" xfId="3" applyNumberFormat="1" applyFont="1" applyAlignment="1">
      <alignment horizontal="right"/>
    </xf>
    <xf numFmtId="168" fontId="44" fillId="0" borderId="0" xfId="5" applyNumberFormat="1" applyFont="1">
      <alignment vertical="center"/>
    </xf>
    <xf numFmtId="0" fontId="3" fillId="10" borderId="18" xfId="5" applyFont="1" applyFill="1" applyBorder="1" applyAlignment="1">
      <alignment vertical="center" wrapText="1"/>
    </xf>
    <xf numFmtId="0" fontId="44" fillId="10" borderId="19" xfId="5" applyFont="1" applyFill="1" applyBorder="1">
      <alignment vertical="center"/>
    </xf>
    <xf numFmtId="0" fontId="3" fillId="10" borderId="15" xfId="5" applyFont="1" applyFill="1" applyBorder="1" applyAlignment="1">
      <alignment vertical="center" wrapText="1"/>
    </xf>
    <xf numFmtId="0" fontId="44" fillId="10" borderId="20" xfId="5" applyFont="1" applyFill="1" applyBorder="1">
      <alignment vertical="center"/>
    </xf>
    <xf numFmtId="0" fontId="44" fillId="10" borderId="21" xfId="5" applyFont="1" applyFill="1" applyBorder="1">
      <alignment vertical="center"/>
    </xf>
    <xf numFmtId="0" fontId="44" fillId="10" borderId="22" xfId="5" applyFont="1" applyFill="1" applyBorder="1">
      <alignment vertical="center"/>
    </xf>
    <xf numFmtId="0" fontId="44" fillId="10" borderId="23" xfId="5" applyFont="1" applyFill="1" applyBorder="1">
      <alignment vertical="center"/>
    </xf>
    <xf numFmtId="167" fontId="44" fillId="10" borderId="1" xfId="5" applyNumberFormat="1" applyFont="1" applyFill="1" applyBorder="1" applyAlignment="1">
      <alignment vertical="center" wrapText="1"/>
    </xf>
    <xf numFmtId="167" fontId="44" fillId="10" borderId="21" xfId="5" applyNumberFormat="1" applyFont="1" applyFill="1" applyBorder="1" applyAlignment="1">
      <alignment vertical="center" wrapText="1"/>
    </xf>
    <xf numFmtId="0" fontId="44" fillId="0" borderId="24" xfId="5" applyFont="1" applyBorder="1" applyAlignment="1">
      <alignment horizontal="center" vertical="center"/>
    </xf>
    <xf numFmtId="169" fontId="44" fillId="0" borderId="23" xfId="5" applyNumberFormat="1" applyFont="1" applyBorder="1" applyAlignment="1">
      <alignment horizontal="center" vertical="center"/>
    </xf>
    <xf numFmtId="169" fontId="44" fillId="0" borderId="0" xfId="5" applyNumberFormat="1" applyFont="1" applyAlignment="1">
      <alignment horizontal="center" vertical="center"/>
    </xf>
    <xf numFmtId="166" fontId="44" fillId="0" borderId="21" xfId="3" applyNumberFormat="1" applyFont="1" applyBorder="1"/>
    <xf numFmtId="0" fontId="11" fillId="0" borderId="1" xfId="0" applyFont="1" applyBorder="1" applyAlignment="1">
      <alignment horizontal="left"/>
    </xf>
    <xf numFmtId="166" fontId="44" fillId="0" borderId="1" xfId="5" applyNumberFormat="1" applyFont="1" applyBorder="1">
      <alignment vertical="center"/>
    </xf>
    <xf numFmtId="166" fontId="44" fillId="0" borderId="21" xfId="5" applyNumberFormat="1" applyFont="1" applyBorder="1">
      <alignment vertical="center"/>
    </xf>
    <xf numFmtId="0" fontId="44" fillId="0" borderId="1" xfId="5" applyFont="1" applyBorder="1">
      <alignment vertical="center"/>
    </xf>
    <xf numFmtId="0" fontId="44" fillId="0" borderId="21" xfId="5" applyFont="1" applyBorder="1">
      <alignment vertical="center"/>
    </xf>
    <xf numFmtId="0" fontId="44" fillId="0" borderId="1" xfId="5" applyFont="1" applyBorder="1" applyAlignment="1">
      <alignment horizontal="center" vertical="center"/>
    </xf>
    <xf numFmtId="0" fontId="44" fillId="0" borderId="25" xfId="5" applyFont="1" applyBorder="1" applyAlignment="1">
      <alignment horizontal="center" vertical="center"/>
    </xf>
    <xf numFmtId="0" fontId="44" fillId="0" borderId="0" xfId="5" applyFont="1" applyAlignment="1">
      <alignment horizontal="center" vertical="center"/>
    </xf>
    <xf numFmtId="0" fontId="44" fillId="0" borderId="26" xfId="5" applyFont="1" applyBorder="1">
      <alignment vertical="center"/>
    </xf>
    <xf numFmtId="0" fontId="44" fillId="0" borderId="27" xfId="5" applyFont="1" applyBorder="1">
      <alignment vertical="center"/>
    </xf>
    <xf numFmtId="0" fontId="44" fillId="0" borderId="28" xfId="5" applyFont="1" applyBorder="1">
      <alignment vertical="center"/>
    </xf>
    <xf numFmtId="166" fontId="44" fillId="0" borderId="27" xfId="3" applyNumberFormat="1" applyFont="1" applyBorder="1"/>
    <xf numFmtId="0" fontId="44" fillId="0" borderId="19" xfId="5" applyFont="1" applyBorder="1">
      <alignment vertical="center"/>
    </xf>
    <xf numFmtId="169" fontId="44" fillId="0" borderId="29" xfId="5" applyNumberFormat="1" applyFont="1" applyBorder="1">
      <alignment vertical="center"/>
    </xf>
    <xf numFmtId="0" fontId="44" fillId="0" borderId="23" xfId="5" applyFont="1" applyBorder="1">
      <alignment vertical="center"/>
    </xf>
    <xf numFmtId="169" fontId="44" fillId="0" borderId="21" xfId="5" applyNumberFormat="1" applyFont="1" applyBorder="1">
      <alignment vertical="center"/>
    </xf>
    <xf numFmtId="169" fontId="44" fillId="0" borderId="27" xfId="5" applyNumberFormat="1" applyFont="1" applyBorder="1">
      <alignment vertical="center"/>
    </xf>
    <xf numFmtId="0" fontId="44" fillId="0" borderId="0" xfId="5" applyFont="1" applyAlignment="1">
      <alignment horizontal="right" vertical="center"/>
    </xf>
    <xf numFmtId="0" fontId="44" fillId="10" borderId="30" xfId="5" applyFont="1" applyFill="1" applyBorder="1" applyAlignment="1">
      <alignment vertical="center" shrinkToFit="1"/>
    </xf>
    <xf numFmtId="0" fontId="44" fillId="10" borderId="31" xfId="5" applyFont="1" applyFill="1" applyBorder="1">
      <alignment vertical="center"/>
    </xf>
    <xf numFmtId="0" fontId="11" fillId="0" borderId="32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169" fontId="44" fillId="0" borderId="1" xfId="5" applyNumberFormat="1" applyFont="1" applyBorder="1" applyAlignment="1">
      <alignment horizontal="center" vertical="center"/>
    </xf>
    <xf numFmtId="169" fontId="44" fillId="0" borderId="21" xfId="5" applyNumberFormat="1" applyFont="1" applyBorder="1" applyAlignment="1">
      <alignment horizontal="center" vertical="center"/>
    </xf>
    <xf numFmtId="169" fontId="44" fillId="0" borderId="28" xfId="5" applyNumberFormat="1" applyFont="1" applyBorder="1" applyAlignment="1">
      <alignment horizontal="center" vertical="center"/>
    </xf>
    <xf numFmtId="169" fontId="44" fillId="0" borderId="27" xfId="5" applyNumberFormat="1" applyFont="1" applyBorder="1" applyAlignment="1">
      <alignment horizontal="center" vertical="center"/>
    </xf>
    <xf numFmtId="0" fontId="44" fillId="10" borderId="33" xfId="5" applyFont="1" applyFill="1" applyBorder="1">
      <alignment vertical="center"/>
    </xf>
    <xf numFmtId="0" fontId="44" fillId="10" borderId="24" xfId="5" applyFont="1" applyFill="1" applyBorder="1">
      <alignment vertical="center"/>
    </xf>
    <xf numFmtId="0" fontId="44" fillId="10" borderId="34" xfId="5" applyFont="1" applyFill="1" applyBorder="1">
      <alignment vertical="center"/>
    </xf>
    <xf numFmtId="0" fontId="44" fillId="10" borderId="35" xfId="5" applyFont="1" applyFill="1" applyBorder="1">
      <alignment vertical="center"/>
    </xf>
    <xf numFmtId="0" fontId="44" fillId="10" borderId="30" xfId="5" applyFont="1" applyFill="1" applyBorder="1">
      <alignment vertical="center"/>
    </xf>
    <xf numFmtId="166" fontId="44" fillId="10" borderId="36" xfId="5" applyNumberFormat="1" applyFont="1" applyFill="1" applyBorder="1">
      <alignment vertical="center"/>
    </xf>
    <xf numFmtId="166" fontId="44" fillId="0" borderId="36" xfId="3" applyNumberFormat="1" applyFont="1" applyBorder="1"/>
    <xf numFmtId="166" fontId="44" fillId="10" borderId="1" xfId="5" applyNumberFormat="1" applyFont="1" applyFill="1" applyBorder="1">
      <alignment vertical="center"/>
    </xf>
    <xf numFmtId="166" fontId="44" fillId="0" borderId="1" xfId="3" applyNumberFormat="1" applyFont="1" applyBorder="1"/>
    <xf numFmtId="166" fontId="44" fillId="0" borderId="28" xfId="3" applyNumberFormat="1" applyFont="1" applyBorder="1"/>
    <xf numFmtId="170" fontId="44" fillId="0" borderId="0" xfId="5" applyNumberFormat="1" applyFont="1">
      <alignment vertical="center"/>
    </xf>
    <xf numFmtId="171" fontId="44" fillId="0" borderId="0" xfId="5" applyNumberFormat="1" applyFont="1">
      <alignment vertical="center"/>
    </xf>
    <xf numFmtId="170" fontId="44" fillId="10" borderId="8" xfId="5" applyNumberFormat="1" applyFont="1" applyFill="1" applyBorder="1">
      <alignment vertical="center"/>
    </xf>
    <xf numFmtId="170" fontId="44" fillId="10" borderId="37" xfId="5" applyNumberFormat="1" applyFont="1" applyFill="1" applyBorder="1">
      <alignment vertical="center"/>
    </xf>
    <xf numFmtId="170" fontId="44" fillId="0" borderId="10" xfId="5" applyNumberFormat="1" applyFont="1" applyBorder="1" applyAlignment="1">
      <alignment vertical="center" wrapText="1"/>
    </xf>
    <xf numFmtId="0" fontId="44" fillId="0" borderId="0" xfId="5" applyFont="1" applyAlignment="1"/>
    <xf numFmtId="0" fontId="44" fillId="0" borderId="29" xfId="5" applyFont="1" applyBorder="1" applyAlignment="1">
      <alignment horizontal="center" vertical="center"/>
    </xf>
    <xf numFmtId="0" fontId="44" fillId="0" borderId="19" xfId="5" applyFont="1" applyBorder="1" applyAlignment="1"/>
    <xf numFmtId="170" fontId="44" fillId="0" borderId="19" xfId="5" applyNumberFormat="1" applyFont="1" applyBorder="1">
      <alignment vertical="center"/>
    </xf>
    <xf numFmtId="170" fontId="44" fillId="0" borderId="29" xfId="5" applyNumberFormat="1" applyFont="1" applyBorder="1">
      <alignment vertical="center"/>
    </xf>
    <xf numFmtId="0" fontId="44" fillId="0" borderId="21" xfId="5" applyFont="1" applyBorder="1" applyAlignment="1">
      <alignment horizontal="center" vertical="center"/>
    </xf>
    <xf numFmtId="0" fontId="44" fillId="0" borderId="23" xfId="5" applyFont="1" applyBorder="1" applyAlignment="1"/>
    <xf numFmtId="170" fontId="44" fillId="0" borderId="23" xfId="5" applyNumberFormat="1" applyFont="1" applyBorder="1">
      <alignment vertical="center"/>
    </xf>
    <xf numFmtId="170" fontId="44" fillId="0" borderId="1" xfId="5" applyNumberFormat="1" applyFont="1" applyBorder="1" applyAlignment="1"/>
    <xf numFmtId="170" fontId="44" fillId="0" borderId="21" xfId="5" applyNumberFormat="1" applyFont="1" applyBorder="1" applyAlignment="1"/>
    <xf numFmtId="170" fontId="44" fillId="0" borderId="23" xfId="5" applyNumberFormat="1" applyFont="1" applyBorder="1" applyAlignment="1"/>
    <xf numFmtId="170" fontId="44" fillId="0" borderId="26" xfId="5" applyNumberFormat="1" applyFont="1" applyBorder="1" applyAlignment="1"/>
    <xf numFmtId="170" fontId="44" fillId="0" borderId="28" xfId="5" applyNumberFormat="1" applyFont="1" applyBorder="1" applyAlignment="1"/>
    <xf numFmtId="170" fontId="44" fillId="0" borderId="27" xfId="5" applyNumberFormat="1" applyFont="1" applyBorder="1" applyAlignment="1"/>
    <xf numFmtId="170" fontId="44" fillId="0" borderId="21" xfId="5" applyNumberFormat="1" applyFont="1" applyBorder="1">
      <alignment vertical="center"/>
    </xf>
    <xf numFmtId="170" fontId="44" fillId="0" borderId="38" xfId="5" applyNumberFormat="1" applyFont="1" applyBorder="1" applyAlignment="1"/>
    <xf numFmtId="170" fontId="44" fillId="0" borderId="29" xfId="5" applyNumberFormat="1" applyFont="1" applyBorder="1" applyAlignment="1"/>
    <xf numFmtId="0" fontId="44" fillId="0" borderId="27" xfId="5" applyFont="1" applyBorder="1" applyAlignment="1">
      <alignment horizontal="center" vertical="center"/>
    </xf>
    <xf numFmtId="0" fontId="44" fillId="0" borderId="26" xfId="5" applyFont="1" applyBorder="1" applyAlignment="1"/>
    <xf numFmtId="170" fontId="44" fillId="0" borderId="26" xfId="5" applyNumberFormat="1" applyFont="1" applyBorder="1">
      <alignment vertical="center"/>
    </xf>
    <xf numFmtId="170" fontId="44" fillId="0" borderId="27" xfId="5" applyNumberFormat="1" applyFont="1" applyBorder="1">
      <alignment vertical="center"/>
    </xf>
    <xf numFmtId="0" fontId="44" fillId="0" borderId="33" xfId="5" applyFont="1" applyBorder="1" applyAlignment="1"/>
    <xf numFmtId="170" fontId="44" fillId="0" borderId="38" xfId="5" applyNumberFormat="1" applyFont="1" applyBorder="1">
      <alignment vertical="center"/>
    </xf>
    <xf numFmtId="170" fontId="44" fillId="0" borderId="1" xfId="5" applyNumberFormat="1" applyFont="1" applyBorder="1">
      <alignment vertical="center"/>
    </xf>
    <xf numFmtId="0" fontId="44" fillId="0" borderId="39" xfId="5" applyFont="1" applyBorder="1" applyAlignment="1"/>
    <xf numFmtId="170" fontId="44" fillId="0" borderId="28" xfId="5" applyNumberFormat="1" applyFont="1" applyBorder="1">
      <alignment vertical="center"/>
    </xf>
    <xf numFmtId="171" fontId="44" fillId="0" borderId="0" xfId="5" applyNumberFormat="1" applyFont="1" applyAlignment="1">
      <alignment horizontal="center"/>
    </xf>
    <xf numFmtId="171" fontId="44" fillId="0" borderId="0" xfId="5" applyNumberFormat="1" applyFont="1" applyAlignment="1"/>
    <xf numFmtId="171" fontId="44" fillId="0" borderId="0" xfId="5" applyNumberFormat="1" applyFont="1" applyAlignment="1">
      <alignment horizontal="center" vertical="center"/>
    </xf>
    <xf numFmtId="170" fontId="44" fillId="0" borderId="0" xfId="5" applyNumberFormat="1" applyFont="1" applyAlignment="1"/>
    <xf numFmtId="170" fontId="44" fillId="10" borderId="5" xfId="5" applyNumberFormat="1" applyFont="1" applyFill="1" applyBorder="1">
      <alignment vertical="center"/>
    </xf>
    <xf numFmtId="170" fontId="44" fillId="10" borderId="40" xfId="5" applyNumberFormat="1" applyFont="1" applyFill="1" applyBorder="1">
      <alignment vertical="center"/>
    </xf>
    <xf numFmtId="170" fontId="44" fillId="10" borderId="41" xfId="5" applyNumberFormat="1" applyFont="1" applyFill="1" applyBorder="1">
      <alignment vertical="center"/>
    </xf>
    <xf numFmtId="0" fontId="46" fillId="0" borderId="0" xfId="5" applyFont="1">
      <alignment vertical="center"/>
    </xf>
    <xf numFmtId="171" fontId="44" fillId="10" borderId="20" xfId="5" applyNumberFormat="1" applyFont="1" applyFill="1" applyBorder="1">
      <alignment vertical="center"/>
    </xf>
    <xf numFmtId="0" fontId="3" fillId="10" borderId="18" xfId="5" applyFont="1" applyFill="1" applyBorder="1" applyAlignment="1">
      <alignment horizontal="center" vertical="center" wrapText="1"/>
    </xf>
    <xf numFmtId="171" fontId="44" fillId="10" borderId="1" xfId="5" applyNumberFormat="1" applyFont="1" applyFill="1" applyBorder="1">
      <alignment vertical="center"/>
    </xf>
    <xf numFmtId="0" fontId="11" fillId="11" borderId="1" xfId="0" applyFont="1" applyFill="1" applyBorder="1" applyAlignment="1">
      <alignment horizontal="left"/>
    </xf>
    <xf numFmtId="169" fontId="44" fillId="0" borderId="1" xfId="5" applyNumberFormat="1" applyFont="1" applyBorder="1" applyAlignment="1">
      <alignment vertical="center" shrinkToFit="1"/>
    </xf>
    <xf numFmtId="169" fontId="44" fillId="0" borderId="20" xfId="5" applyNumberFormat="1" applyFont="1" applyBorder="1" applyAlignment="1">
      <alignment vertical="center" shrinkToFit="1"/>
    </xf>
    <xf numFmtId="0" fontId="11" fillId="12" borderId="1" xfId="0" applyFont="1" applyFill="1" applyBorder="1" applyAlignment="1">
      <alignment horizontal="left"/>
    </xf>
    <xf numFmtId="171" fontId="39" fillId="10" borderId="20" xfId="5" applyNumberFormat="1" applyFont="1" applyFill="1" applyBorder="1">
      <alignment vertical="center"/>
    </xf>
    <xf numFmtId="171" fontId="39" fillId="10" borderId="22" xfId="5" applyNumberFormat="1" applyFont="1" applyFill="1" applyBorder="1">
      <alignment vertical="center"/>
    </xf>
    <xf numFmtId="0" fontId="3" fillId="10" borderId="1" xfId="5" applyFont="1" applyFill="1" applyBorder="1" applyAlignment="1">
      <alignment horizontal="center" vertical="center" wrapText="1"/>
    </xf>
    <xf numFmtId="0" fontId="44" fillId="0" borderId="1" xfId="5" applyFont="1" applyBorder="1" applyAlignment="1"/>
    <xf numFmtId="167" fontId="44" fillId="0" borderId="0" xfId="5" applyNumberFormat="1" applyFont="1">
      <alignment vertical="center"/>
    </xf>
    <xf numFmtId="165" fontId="44" fillId="0" borderId="0" xfId="5" applyNumberFormat="1" applyFont="1" applyAlignment="1">
      <alignment vertical="center" shrinkToFit="1"/>
    </xf>
    <xf numFmtId="0" fontId="44" fillId="0" borderId="2" xfId="5" applyFont="1" applyBorder="1">
      <alignment vertical="center"/>
    </xf>
    <xf numFmtId="0" fontId="47" fillId="0" borderId="6" xfId="5" applyFont="1" applyBorder="1">
      <alignment vertical="center"/>
    </xf>
    <xf numFmtId="0" fontId="44" fillId="10" borderId="35" xfId="5" applyFont="1" applyFill="1" applyBorder="1" applyAlignment="1">
      <alignment vertical="center" shrinkToFit="1"/>
    </xf>
    <xf numFmtId="0" fontId="3" fillId="10" borderId="39" xfId="5" applyFont="1" applyFill="1" applyBorder="1" applyAlignment="1">
      <alignment horizontal="center" vertical="center" wrapText="1"/>
    </xf>
    <xf numFmtId="0" fontId="44" fillId="10" borderId="36" xfId="5" applyFont="1" applyFill="1" applyBorder="1" applyAlignment="1">
      <alignment vertical="center" shrinkToFit="1"/>
    </xf>
    <xf numFmtId="0" fontId="44" fillId="10" borderId="42" xfId="5" applyFont="1" applyFill="1" applyBorder="1" applyAlignment="1">
      <alignment vertical="center" shrinkToFit="1"/>
    </xf>
    <xf numFmtId="0" fontId="44" fillId="10" borderId="20" xfId="5" applyFont="1" applyFill="1" applyBorder="1" applyAlignment="1">
      <alignment vertical="center" shrinkToFit="1"/>
    </xf>
    <xf numFmtId="0" fontId="3" fillId="0" borderId="39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167" fontId="44" fillId="0" borderId="23" xfId="5" applyNumberFormat="1" applyFont="1" applyBorder="1" applyAlignment="1">
      <alignment horizontal="center" vertical="center" shrinkToFit="1"/>
    </xf>
    <xf numFmtId="167" fontId="44" fillId="0" borderId="1" xfId="5" applyNumberFormat="1" applyFont="1" applyBorder="1" applyAlignment="1">
      <alignment horizontal="center" vertical="center" wrapText="1" shrinkToFit="1"/>
    </xf>
    <xf numFmtId="167" fontId="44" fillId="0" borderId="18" xfId="5" applyNumberFormat="1" applyFont="1" applyBorder="1" applyAlignment="1">
      <alignment horizontal="center" vertical="center" shrinkToFit="1"/>
    </xf>
    <xf numFmtId="167" fontId="44" fillId="0" borderId="1" xfId="5" applyNumberFormat="1" applyFont="1" applyBorder="1" applyAlignment="1">
      <alignment horizontal="center" vertical="center" shrinkToFit="1"/>
    </xf>
    <xf numFmtId="0" fontId="44" fillId="0" borderId="23" xfId="5" applyFont="1" applyBorder="1" applyAlignment="1">
      <alignment horizontal="center" vertical="center"/>
    </xf>
    <xf numFmtId="169" fontId="44" fillId="0" borderId="33" xfId="5" applyNumberFormat="1" applyFont="1" applyBorder="1" applyAlignment="1">
      <alignment vertical="center" shrinkToFit="1"/>
    </xf>
    <xf numFmtId="169" fontId="44" fillId="0" borderId="24" xfId="5" applyNumberFormat="1" applyFont="1" applyBorder="1" applyAlignment="1">
      <alignment vertical="center" shrinkToFit="1"/>
    </xf>
    <xf numFmtId="169" fontId="44" fillId="0" borderId="32" xfId="5" applyNumberFormat="1" applyFont="1" applyBorder="1" applyAlignment="1">
      <alignment vertical="center" shrinkToFit="1"/>
    </xf>
    <xf numFmtId="169" fontId="44" fillId="13" borderId="43" xfId="5" applyNumberFormat="1" applyFont="1" applyFill="1" applyBorder="1" applyAlignment="1">
      <alignment vertical="center" shrinkToFit="1"/>
    </xf>
    <xf numFmtId="169" fontId="44" fillId="0" borderId="44" xfId="5" applyNumberFormat="1" applyFont="1" applyBorder="1" applyAlignment="1">
      <alignment vertical="center" shrinkToFit="1"/>
    </xf>
    <xf numFmtId="169" fontId="44" fillId="13" borderId="45" xfId="5" applyNumberFormat="1" applyFont="1" applyFill="1" applyBorder="1" applyAlignment="1">
      <alignment vertical="center" shrinkToFit="1"/>
    </xf>
    <xf numFmtId="169" fontId="44" fillId="14" borderId="20" xfId="5" applyNumberFormat="1" applyFont="1" applyFill="1" applyBorder="1" applyAlignment="1">
      <alignment vertical="center" shrinkToFit="1"/>
    </xf>
    <xf numFmtId="0" fontId="44" fillId="0" borderId="26" xfId="5" applyFont="1" applyBorder="1" applyAlignment="1">
      <alignment horizontal="center" vertical="center"/>
    </xf>
    <xf numFmtId="169" fontId="44" fillId="0" borderId="16" xfId="5" applyNumberFormat="1" applyFont="1" applyBorder="1" applyAlignment="1">
      <alignment vertical="center" shrinkToFit="1"/>
    </xf>
    <xf numFmtId="169" fontId="44" fillId="0" borderId="15" xfId="5" applyNumberFormat="1" applyFont="1" applyBorder="1" applyAlignment="1">
      <alignment vertical="center" shrinkToFit="1"/>
    </xf>
    <xf numFmtId="169" fontId="44" fillId="14" borderId="46" xfId="5" applyNumberFormat="1" applyFont="1" applyFill="1" applyBorder="1" applyAlignment="1">
      <alignment vertical="center" shrinkToFit="1"/>
    </xf>
    <xf numFmtId="169" fontId="44" fillId="0" borderId="47" xfId="5" applyNumberFormat="1" applyFont="1" applyBorder="1" applyAlignment="1">
      <alignment vertical="center" shrinkToFit="1"/>
    </xf>
    <xf numFmtId="0" fontId="44" fillId="0" borderId="0" xfId="5" applyFont="1" applyAlignment="1">
      <alignment vertical="center" shrinkToFit="1"/>
    </xf>
    <xf numFmtId="169" fontId="44" fillId="0" borderId="0" xfId="5" applyNumberFormat="1" applyFont="1">
      <alignment vertical="center"/>
    </xf>
    <xf numFmtId="0" fontId="48" fillId="0" borderId="0" xfId="5" applyFont="1">
      <alignment vertical="center"/>
    </xf>
    <xf numFmtId="0" fontId="44" fillId="10" borderId="11" xfId="5" applyFont="1" applyFill="1" applyBorder="1" applyAlignment="1">
      <alignment vertical="center" shrinkToFit="1"/>
    </xf>
    <xf numFmtId="0" fontId="44" fillId="10" borderId="18" xfId="5" applyFont="1" applyFill="1" applyBorder="1" applyAlignment="1">
      <alignment vertical="center" shrinkToFit="1"/>
    </xf>
    <xf numFmtId="0" fontId="47" fillId="0" borderId="0" xfId="5" applyFont="1">
      <alignment vertical="center"/>
    </xf>
    <xf numFmtId="0" fontId="44" fillId="10" borderId="29" xfId="5" applyFont="1" applyFill="1" applyBorder="1">
      <alignment vertical="center"/>
    </xf>
    <xf numFmtId="0" fontId="44" fillId="0" borderId="20" xfId="5" applyFont="1" applyBorder="1">
      <alignment vertical="center"/>
    </xf>
    <xf numFmtId="169" fontId="44" fillId="0" borderId="23" xfId="5" applyNumberFormat="1" applyFont="1" applyBorder="1" applyAlignment="1">
      <alignment vertical="center" shrinkToFit="1"/>
    </xf>
    <xf numFmtId="0" fontId="49" fillId="0" borderId="0" xfId="5" applyFont="1">
      <alignment vertical="center"/>
    </xf>
    <xf numFmtId="0" fontId="44" fillId="0" borderId="46" xfId="5" applyFont="1" applyBorder="1">
      <alignment vertical="center"/>
    </xf>
    <xf numFmtId="169" fontId="44" fillId="0" borderId="26" xfId="5" applyNumberFormat="1" applyFont="1" applyBorder="1" applyAlignment="1">
      <alignment vertical="center" shrinkToFit="1"/>
    </xf>
    <xf numFmtId="0" fontId="44" fillId="0" borderId="10" xfId="5" applyFont="1" applyBorder="1">
      <alignment vertical="center"/>
    </xf>
    <xf numFmtId="0" fontId="44" fillId="0" borderId="12" xfId="5" applyFont="1" applyBorder="1">
      <alignment vertical="center"/>
    </xf>
    <xf numFmtId="0" fontId="44" fillId="0" borderId="48" xfId="5" applyFont="1" applyBorder="1">
      <alignment vertical="center"/>
    </xf>
    <xf numFmtId="0" fontId="44" fillId="0" borderId="13" xfId="5" applyFont="1" applyBorder="1">
      <alignment vertical="center"/>
    </xf>
    <xf numFmtId="168" fontId="44" fillId="0" borderId="49" xfId="5" applyNumberFormat="1" applyFont="1" applyBorder="1">
      <alignment vertical="center"/>
    </xf>
    <xf numFmtId="169" fontId="44" fillId="0" borderId="21" xfId="5" applyNumberFormat="1" applyFont="1" applyBorder="1" applyAlignment="1">
      <alignment vertical="center" shrinkToFit="1"/>
    </xf>
    <xf numFmtId="169" fontId="44" fillId="0" borderId="27" xfId="5" applyNumberFormat="1" applyFont="1" applyBorder="1" applyAlignment="1">
      <alignment vertical="center" shrinkToFit="1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169" fontId="44" fillId="0" borderId="0" xfId="0" applyNumberFormat="1" applyFont="1">
      <alignment vertical="center"/>
    </xf>
    <xf numFmtId="0" fontId="44" fillId="0" borderId="2" xfId="0" applyFont="1" applyBorder="1">
      <alignment vertical="center"/>
    </xf>
    <xf numFmtId="0" fontId="44" fillId="0" borderId="6" xfId="0" applyFont="1" applyBorder="1">
      <alignment vertical="center"/>
    </xf>
    <xf numFmtId="169" fontId="44" fillId="10" borderId="5" xfId="0" applyNumberFormat="1" applyFont="1" applyFill="1" applyBorder="1">
      <alignment vertical="center"/>
    </xf>
    <xf numFmtId="169" fontId="44" fillId="10" borderId="50" xfId="0" applyNumberFormat="1" applyFont="1" applyFill="1" applyBorder="1" applyAlignment="1">
      <alignment vertical="center" shrinkToFit="1"/>
    </xf>
    <xf numFmtId="169" fontId="44" fillId="10" borderId="40" xfId="0" applyNumberFormat="1" applyFont="1" applyFill="1" applyBorder="1" applyAlignment="1">
      <alignment vertical="center" shrinkToFit="1"/>
    </xf>
    <xf numFmtId="169" fontId="44" fillId="0" borderId="0" xfId="0" applyNumberFormat="1" applyFont="1" applyAlignment="1">
      <alignment horizontal="center" vertical="center" shrinkToFit="1"/>
    </xf>
    <xf numFmtId="0" fontId="3" fillId="10" borderId="51" xfId="5" applyFont="1" applyFill="1" applyBorder="1" applyAlignment="1">
      <alignment horizontal="center" vertical="center" wrapText="1"/>
    </xf>
    <xf numFmtId="169" fontId="44" fillId="10" borderId="50" xfId="0" applyNumberFormat="1" applyFont="1" applyFill="1" applyBorder="1">
      <alignment vertical="center"/>
    </xf>
    <xf numFmtId="169" fontId="44" fillId="10" borderId="40" xfId="0" applyNumberFormat="1" applyFont="1" applyFill="1" applyBorder="1">
      <alignment vertical="center"/>
    </xf>
    <xf numFmtId="169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0" fontId="14" fillId="0" borderId="19" xfId="5" applyFont="1" applyBorder="1" applyAlignment="1">
      <alignment horizontal="center" vertical="center" wrapText="1"/>
    </xf>
    <xf numFmtId="0" fontId="14" fillId="0" borderId="52" xfId="5" applyFont="1" applyBorder="1" applyAlignment="1">
      <alignment horizontal="center" vertical="center" wrapText="1"/>
    </xf>
    <xf numFmtId="169" fontId="39" fillId="15" borderId="19" xfId="0" applyNumberFormat="1" applyFont="1" applyFill="1" applyBorder="1">
      <alignment vertical="center"/>
    </xf>
    <xf numFmtId="169" fontId="39" fillId="16" borderId="38" xfId="0" applyNumberFormat="1" applyFont="1" applyFill="1" applyBorder="1">
      <alignment vertical="center"/>
    </xf>
    <xf numFmtId="169" fontId="39" fillId="0" borderId="38" xfId="0" applyNumberFormat="1" applyFont="1" applyBorder="1">
      <alignment vertical="center"/>
    </xf>
    <xf numFmtId="169" fontId="39" fillId="17" borderId="29" xfId="0" applyNumberFormat="1" applyFont="1" applyFill="1" applyBorder="1" applyAlignment="1">
      <alignment horizontal="center" vertical="center" shrinkToFit="1"/>
    </xf>
    <xf numFmtId="169" fontId="39" fillId="0" borderId="0" xfId="0" applyNumberFormat="1" applyFont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169" fontId="39" fillId="15" borderId="1" xfId="0" applyNumberFormat="1" applyFont="1" applyFill="1" applyBorder="1">
      <alignment vertical="center"/>
    </xf>
    <xf numFmtId="0" fontId="44" fillId="0" borderId="0" xfId="0" applyFont="1" applyAlignment="1"/>
    <xf numFmtId="169" fontId="44" fillId="16" borderId="1" xfId="0" applyNumberFormat="1" applyFont="1" applyFill="1" applyBorder="1" applyAlignment="1">
      <alignment horizontal="center" vertical="center" shrinkToFit="1"/>
    </xf>
    <xf numFmtId="169" fontId="44" fillId="11" borderId="1" xfId="0" applyNumberFormat="1" applyFont="1" applyFill="1" applyBorder="1" applyAlignment="1">
      <alignment vertical="center" shrinkToFit="1"/>
    </xf>
    <xf numFmtId="169" fontId="44" fillId="17" borderId="21" xfId="0" applyNumberFormat="1" applyFont="1" applyFill="1" applyBorder="1" applyAlignment="1">
      <alignment vertical="center" shrinkToFit="1"/>
    </xf>
    <xf numFmtId="169" fontId="44" fillId="0" borderId="0" xfId="0" applyNumberFormat="1" applyFont="1" applyAlignment="1">
      <alignment vertical="center" shrinkToFit="1"/>
    </xf>
    <xf numFmtId="0" fontId="44" fillId="0" borderId="1" xfId="0" applyFont="1" applyBorder="1">
      <alignment vertical="center"/>
    </xf>
    <xf numFmtId="172" fontId="44" fillId="15" borderId="1" xfId="0" applyNumberFormat="1" applyFont="1" applyFill="1" applyBorder="1">
      <alignment vertical="center"/>
    </xf>
    <xf numFmtId="169" fontId="44" fillId="16" borderId="28" xfId="0" applyNumberFormat="1" applyFont="1" applyFill="1" applyBorder="1" applyAlignment="1">
      <alignment horizontal="center" vertical="center" shrinkToFit="1"/>
    </xf>
    <xf numFmtId="169" fontId="44" fillId="11" borderId="28" xfId="0" applyNumberFormat="1" applyFont="1" applyFill="1" applyBorder="1" applyAlignment="1">
      <alignment vertical="center" shrinkToFit="1"/>
    </xf>
    <xf numFmtId="169" fontId="44" fillId="17" borderId="27" xfId="0" applyNumberFormat="1" applyFont="1" applyFill="1" applyBorder="1" applyAlignment="1">
      <alignment vertical="center" shrinkToFit="1"/>
    </xf>
    <xf numFmtId="169" fontId="44" fillId="15" borderId="33" xfId="0" applyNumberFormat="1" applyFont="1" applyFill="1" applyBorder="1" applyAlignment="1">
      <alignment vertical="center" shrinkToFit="1"/>
    </xf>
    <xf numFmtId="169" fontId="44" fillId="16" borderId="24" xfId="0" applyNumberFormat="1" applyFont="1" applyFill="1" applyBorder="1" applyAlignment="1">
      <alignment vertical="center" shrinkToFit="1"/>
    </xf>
    <xf numFmtId="169" fontId="44" fillId="17" borderId="34" xfId="0" applyNumberFormat="1" applyFont="1" applyFill="1" applyBorder="1" applyAlignment="1">
      <alignment vertical="center" shrinkToFit="1"/>
    </xf>
    <xf numFmtId="169" fontId="44" fillId="16" borderId="24" xfId="0" applyNumberFormat="1" applyFont="1" applyFill="1" applyBorder="1">
      <alignment vertical="center"/>
    </xf>
    <xf numFmtId="0" fontId="44" fillId="0" borderId="0" xfId="0" applyFont="1" applyAlignment="1">
      <alignment vertical="center" shrinkToFit="1"/>
    </xf>
    <xf numFmtId="169" fontId="44" fillId="15" borderId="23" xfId="0" applyNumberFormat="1" applyFont="1" applyFill="1" applyBorder="1" applyAlignment="1">
      <alignment vertical="center" shrinkToFit="1"/>
    </xf>
    <xf numFmtId="169" fontId="44" fillId="16" borderId="1" xfId="0" applyNumberFormat="1" applyFont="1" applyFill="1" applyBorder="1" applyAlignment="1">
      <alignment vertical="center" shrinkToFit="1"/>
    </xf>
    <xf numFmtId="169" fontId="44" fillId="16" borderId="1" xfId="0" applyNumberFormat="1" applyFont="1" applyFill="1" applyBorder="1">
      <alignment vertical="center"/>
    </xf>
    <xf numFmtId="169" fontId="39" fillId="17" borderId="1" xfId="0" applyNumberFormat="1" applyFont="1" applyFill="1" applyBorder="1" applyAlignment="1">
      <alignment vertical="center" shrinkToFit="1"/>
    </xf>
    <xf numFmtId="172" fontId="44" fillId="17" borderId="1" xfId="0" applyNumberFormat="1" applyFont="1" applyFill="1" applyBorder="1">
      <alignment vertical="center"/>
    </xf>
    <xf numFmtId="169" fontId="44" fillId="15" borderId="26" xfId="0" applyNumberFormat="1" applyFont="1" applyFill="1" applyBorder="1" applyAlignment="1">
      <alignment vertical="center" shrinkToFit="1"/>
    </xf>
    <xf numFmtId="169" fontId="44" fillId="16" borderId="28" xfId="0" applyNumberFormat="1" applyFont="1" applyFill="1" applyBorder="1" applyAlignment="1">
      <alignment vertical="center" shrinkToFit="1"/>
    </xf>
    <xf numFmtId="169" fontId="44" fillId="16" borderId="28" xfId="0" applyNumberFormat="1" applyFont="1" applyFill="1" applyBorder="1">
      <alignment vertical="center"/>
    </xf>
    <xf numFmtId="0" fontId="44" fillId="0" borderId="31" xfId="5" applyFont="1" applyBorder="1" applyAlignment="1"/>
    <xf numFmtId="0" fontId="3" fillId="10" borderId="12" xfId="5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169" fontId="44" fillId="0" borderId="1" xfId="5" applyNumberFormat="1" applyFont="1" applyBorder="1">
      <alignment vertical="center"/>
    </xf>
    <xf numFmtId="0" fontId="46" fillId="0" borderId="0" xfId="0" applyFont="1">
      <alignment vertical="center"/>
    </xf>
    <xf numFmtId="0" fontId="11" fillId="0" borderId="0" xfId="0" applyFont="1" applyAlignment="1"/>
    <xf numFmtId="172" fontId="44" fillId="0" borderId="0" xfId="0" applyNumberFormat="1" applyFont="1" applyAlignment="1"/>
    <xf numFmtId="0" fontId="44" fillId="0" borderId="0" xfId="0" applyFont="1" applyAlignment="1">
      <alignment shrinkToFit="1"/>
    </xf>
    <xf numFmtId="172" fontId="44" fillId="10" borderId="20" xfId="5" applyNumberFormat="1" applyFont="1" applyFill="1" applyBorder="1">
      <alignment vertical="center"/>
    </xf>
    <xf numFmtId="172" fontId="44" fillId="10" borderId="42" xfId="5" applyNumberFormat="1" applyFont="1" applyFill="1" applyBorder="1">
      <alignment vertical="center"/>
    </xf>
    <xf numFmtId="172" fontId="44" fillId="10" borderId="22" xfId="5" applyNumberFormat="1" applyFont="1" applyFill="1" applyBorder="1">
      <alignment vertical="center"/>
    </xf>
    <xf numFmtId="172" fontId="44" fillId="10" borderId="42" xfId="5" applyNumberFormat="1" applyFont="1" applyFill="1" applyBorder="1" applyAlignment="1">
      <alignment vertical="center" wrapText="1"/>
    </xf>
    <xf numFmtId="172" fontId="44" fillId="10" borderId="22" xfId="5" applyNumberFormat="1" applyFont="1" applyFill="1" applyBorder="1" applyAlignment="1">
      <alignment vertical="center" wrapText="1"/>
    </xf>
    <xf numFmtId="171" fontId="44" fillId="10" borderId="24" xfId="5" applyNumberFormat="1" applyFont="1" applyFill="1" applyBorder="1">
      <alignment vertical="center"/>
    </xf>
    <xf numFmtId="0" fontId="44" fillId="10" borderId="1" xfId="5" applyFont="1" applyFill="1" applyBorder="1" applyAlignment="1">
      <alignment vertical="center" shrinkToFit="1"/>
    </xf>
    <xf numFmtId="0" fontId="44" fillId="11" borderId="1" xfId="5" applyFont="1" applyFill="1" applyBorder="1" applyAlignment="1">
      <alignment horizontal="center" vertical="center"/>
    </xf>
    <xf numFmtId="172" fontId="44" fillId="11" borderId="20" xfId="5" applyNumberFormat="1" applyFont="1" applyFill="1" applyBorder="1" applyAlignment="1">
      <alignment vertical="center" shrinkToFit="1"/>
    </xf>
    <xf numFmtId="172" fontId="44" fillId="11" borderId="42" xfId="5" applyNumberFormat="1" applyFont="1" applyFill="1" applyBorder="1" applyAlignment="1">
      <alignment vertical="center" shrinkToFit="1"/>
    </xf>
    <xf numFmtId="172" fontId="44" fillId="11" borderId="22" xfId="5" applyNumberFormat="1" applyFont="1" applyFill="1" applyBorder="1" applyAlignment="1">
      <alignment vertical="center" shrinkToFit="1"/>
    </xf>
    <xf numFmtId="0" fontId="44" fillId="0" borderId="1" xfId="5" applyFont="1" applyBorder="1" applyAlignment="1">
      <alignment vertical="center" shrinkToFit="1"/>
    </xf>
    <xf numFmtId="0" fontId="44" fillId="12" borderId="1" xfId="5" applyFont="1" applyFill="1" applyBorder="1" applyAlignment="1">
      <alignment horizontal="center" vertical="center"/>
    </xf>
    <xf numFmtId="172" fontId="44" fillId="12" borderId="20" xfId="5" applyNumberFormat="1" applyFont="1" applyFill="1" applyBorder="1" applyAlignment="1">
      <alignment vertical="center" shrinkToFit="1"/>
    </xf>
    <xf numFmtId="172" fontId="44" fillId="12" borderId="42" xfId="5" applyNumberFormat="1" applyFont="1" applyFill="1" applyBorder="1" applyAlignment="1">
      <alignment vertical="center" shrinkToFit="1"/>
    </xf>
    <xf numFmtId="172" fontId="44" fillId="12" borderId="22" xfId="5" applyNumberFormat="1" applyFont="1" applyFill="1" applyBorder="1" applyAlignment="1">
      <alignment vertical="center" shrinkToFit="1"/>
    </xf>
    <xf numFmtId="172" fontId="44" fillId="0" borderId="20" xfId="5" applyNumberFormat="1" applyFont="1" applyBorder="1" applyAlignment="1">
      <alignment vertical="center" shrinkToFit="1"/>
    </xf>
    <xf numFmtId="172" fontId="44" fillId="0" borderId="42" xfId="5" applyNumberFormat="1" applyFont="1" applyBorder="1" applyAlignment="1">
      <alignment vertical="center" shrinkToFit="1"/>
    </xf>
    <xf numFmtId="172" fontId="44" fillId="0" borderId="22" xfId="5" applyNumberFormat="1" applyFont="1" applyBorder="1" applyAlignment="1">
      <alignment vertical="center" shrinkToFit="1"/>
    </xf>
    <xf numFmtId="172" fontId="44" fillId="11" borderId="20" xfId="5" applyNumberFormat="1" applyFont="1" applyFill="1" applyBorder="1">
      <alignment vertical="center"/>
    </xf>
    <xf numFmtId="172" fontId="44" fillId="11" borderId="42" xfId="5" applyNumberFormat="1" applyFont="1" applyFill="1" applyBorder="1">
      <alignment vertical="center"/>
    </xf>
    <xf numFmtId="172" fontId="44" fillId="11" borderId="22" xfId="5" applyNumberFormat="1" applyFont="1" applyFill="1" applyBorder="1">
      <alignment vertical="center"/>
    </xf>
    <xf numFmtId="172" fontId="44" fillId="12" borderId="20" xfId="5" applyNumberFormat="1" applyFont="1" applyFill="1" applyBorder="1">
      <alignment vertical="center"/>
    </xf>
    <xf numFmtId="172" fontId="44" fillId="12" borderId="42" xfId="5" applyNumberFormat="1" applyFont="1" applyFill="1" applyBorder="1">
      <alignment vertical="center"/>
    </xf>
    <xf numFmtId="172" fontId="44" fillId="12" borderId="22" xfId="5" applyNumberFormat="1" applyFont="1" applyFill="1" applyBorder="1">
      <alignment vertical="center"/>
    </xf>
    <xf numFmtId="0" fontId="11" fillId="0" borderId="0" xfId="0" applyFont="1" applyAlignment="1">
      <alignment horizontal="left"/>
    </xf>
    <xf numFmtId="0" fontId="11" fillId="0" borderId="0" xfId="0" applyFont="1">
      <alignment vertical="center"/>
    </xf>
    <xf numFmtId="172" fontId="44" fillId="10" borderId="18" xfId="5" applyNumberFormat="1" applyFont="1" applyFill="1" applyBorder="1" applyAlignment="1">
      <alignment vertical="center" wrapText="1"/>
    </xf>
    <xf numFmtId="172" fontId="44" fillId="10" borderId="18" xfId="0" applyNumberFormat="1" applyFont="1" applyFill="1" applyBorder="1" applyAlignment="1">
      <alignment wrapText="1"/>
    </xf>
    <xf numFmtId="172" fontId="44" fillId="10" borderId="24" xfId="5" applyNumberFormat="1" applyFont="1" applyFill="1" applyBorder="1" applyAlignment="1">
      <alignment vertical="center" wrapText="1"/>
    </xf>
    <xf numFmtId="172" fontId="44" fillId="10" borderId="24" xfId="0" applyNumberFormat="1" applyFont="1" applyFill="1" applyBorder="1" applyAlignment="1">
      <alignment wrapText="1"/>
    </xf>
    <xf numFmtId="172" fontId="44" fillId="0" borderId="1" xfId="5" applyNumberFormat="1" applyFont="1" applyBorder="1" applyAlignment="1">
      <alignment vertical="center" shrinkToFit="1"/>
    </xf>
    <xf numFmtId="172" fontId="44" fillId="0" borderId="1" xfId="0" applyNumberFormat="1" applyFont="1" applyBorder="1" applyAlignment="1"/>
    <xf numFmtId="0" fontId="44" fillId="0" borderId="0" xfId="0" applyFont="1" applyAlignment="1">
      <alignment horizontal="center"/>
    </xf>
    <xf numFmtId="0" fontId="50" fillId="0" borderId="0" xfId="0" applyFont="1" applyAlignment="1"/>
    <xf numFmtId="0" fontId="3" fillId="10" borderId="7" xfId="5" applyFont="1" applyFill="1" applyBorder="1" applyAlignment="1">
      <alignment vertical="center" wrapText="1"/>
    </xf>
    <xf numFmtId="171" fontId="44" fillId="10" borderId="29" xfId="5" applyNumberFormat="1" applyFont="1" applyFill="1" applyBorder="1">
      <alignment vertical="center"/>
    </xf>
    <xf numFmtId="171" fontId="44" fillId="10" borderId="38" xfId="5" applyNumberFormat="1" applyFont="1" applyFill="1" applyBorder="1">
      <alignment vertical="center"/>
    </xf>
    <xf numFmtId="0" fontId="44" fillId="10" borderId="22" xfId="5" applyFont="1" applyFill="1" applyBorder="1" applyAlignment="1">
      <alignment vertical="center" shrinkToFit="1"/>
    </xf>
    <xf numFmtId="0" fontId="44" fillId="0" borderId="34" xfId="5" applyFont="1" applyBorder="1">
      <alignment vertical="center"/>
    </xf>
    <xf numFmtId="0" fontId="44" fillId="10" borderId="5" xfId="5" applyFont="1" applyFill="1" applyBorder="1" applyAlignment="1">
      <alignment vertical="center" shrinkToFit="1"/>
    </xf>
    <xf numFmtId="0" fontId="44" fillId="10" borderId="40" xfId="5" applyFont="1" applyFill="1" applyBorder="1" applyAlignment="1">
      <alignment vertical="center" shrinkToFit="1"/>
    </xf>
    <xf numFmtId="0" fontId="44" fillId="10" borderId="50" xfId="5" applyFont="1" applyFill="1" applyBorder="1" applyAlignment="1">
      <alignment vertical="center" shrinkToFit="1"/>
    </xf>
    <xf numFmtId="169" fontId="44" fillId="0" borderId="22" xfId="5" applyNumberFormat="1" applyFont="1" applyBorder="1" applyAlignment="1">
      <alignment vertical="center" shrinkToFit="1"/>
    </xf>
    <xf numFmtId="169" fontId="44" fillId="0" borderId="53" xfId="5" applyNumberFormat="1" applyFont="1" applyBorder="1" applyAlignment="1">
      <alignment vertical="center" shrinkToFit="1"/>
    </xf>
    <xf numFmtId="0" fontId="44" fillId="10" borderId="54" xfId="5" applyFont="1" applyFill="1" applyBorder="1">
      <alignment vertical="center"/>
    </xf>
    <xf numFmtId="0" fontId="44" fillId="10" borderId="6" xfId="5" applyFont="1" applyFill="1" applyBorder="1" applyAlignment="1">
      <alignment vertical="center" shrinkToFit="1"/>
    </xf>
    <xf numFmtId="172" fontId="6" fillId="10" borderId="20" xfId="5" applyNumberFormat="1" applyFont="1" applyFill="1" applyBorder="1">
      <alignment vertical="center"/>
    </xf>
    <xf numFmtId="172" fontId="44" fillId="0" borderId="20" xfId="5" applyNumberFormat="1" applyFont="1" applyBorder="1">
      <alignment vertical="center"/>
    </xf>
    <xf numFmtId="172" fontId="44" fillId="0" borderId="22" xfId="5" applyNumberFormat="1" applyFont="1" applyBorder="1">
      <alignment vertical="center"/>
    </xf>
    <xf numFmtId="172" fontId="44" fillId="0" borderId="42" xfId="5" applyNumberFormat="1" applyFont="1" applyBorder="1">
      <alignment vertical="center"/>
    </xf>
    <xf numFmtId="0" fontId="44" fillId="0" borderId="1" xfId="0" applyFont="1" applyBorder="1" applyAlignment="1"/>
    <xf numFmtId="169" fontId="39" fillId="18" borderId="38" xfId="0" applyNumberFormat="1" applyFont="1" applyFill="1" applyBorder="1">
      <alignment vertical="center"/>
    </xf>
    <xf numFmtId="0" fontId="11" fillId="11" borderId="20" xfId="0" applyFont="1" applyFill="1" applyBorder="1" applyAlignment="1">
      <alignment horizontal="left"/>
    </xf>
    <xf numFmtId="0" fontId="11" fillId="12" borderId="20" xfId="0" applyFont="1" applyFill="1" applyBorder="1" applyAlignment="1">
      <alignment horizontal="left"/>
    </xf>
    <xf numFmtId="171" fontId="44" fillId="10" borderId="31" xfId="5" applyNumberFormat="1" applyFont="1" applyFill="1" applyBorder="1">
      <alignment vertical="center"/>
    </xf>
    <xf numFmtId="171" fontId="44" fillId="10" borderId="35" xfId="5" applyNumberFormat="1" applyFont="1" applyFill="1" applyBorder="1">
      <alignment vertical="center"/>
    </xf>
    <xf numFmtId="171" fontId="44" fillId="10" borderId="33" xfId="5" applyNumberFormat="1" applyFont="1" applyFill="1" applyBorder="1">
      <alignment vertical="center"/>
    </xf>
    <xf numFmtId="169" fontId="44" fillId="0" borderId="28" xfId="5" applyNumberFormat="1" applyFont="1" applyBorder="1" applyAlignment="1">
      <alignment vertical="center" shrinkToFit="1"/>
    </xf>
    <xf numFmtId="171" fontId="44" fillId="10" borderId="54" xfId="5" applyNumberFormat="1" applyFont="1" applyFill="1" applyBorder="1">
      <alignment vertical="center"/>
    </xf>
    <xf numFmtId="171" fontId="44" fillId="10" borderId="23" xfId="5" applyNumberFormat="1" applyFont="1" applyFill="1" applyBorder="1">
      <alignment vertical="center"/>
    </xf>
    <xf numFmtId="169" fontId="44" fillId="0" borderId="36" xfId="5" applyNumberFormat="1" applyFont="1" applyBorder="1" applyAlignment="1">
      <alignment vertical="center" shrinkToFit="1"/>
    </xf>
    <xf numFmtId="169" fontId="44" fillId="19" borderId="1" xfId="5" applyNumberFormat="1" applyFont="1" applyFill="1" applyBorder="1" applyAlignment="1">
      <alignment vertical="center" shrinkToFit="1"/>
    </xf>
    <xf numFmtId="169" fontId="44" fillId="19" borderId="28" xfId="5" applyNumberFormat="1" applyFont="1" applyFill="1" applyBorder="1" applyAlignment="1">
      <alignment vertical="center" shrinkToFit="1"/>
    </xf>
    <xf numFmtId="169" fontId="44" fillId="0" borderId="46" xfId="5" applyNumberFormat="1" applyFont="1" applyBorder="1" applyAlignment="1">
      <alignment vertical="center" shrinkToFit="1"/>
    </xf>
    <xf numFmtId="171" fontId="44" fillId="10" borderId="2" xfId="5" applyNumberFormat="1" applyFont="1" applyFill="1" applyBorder="1">
      <alignment vertical="center"/>
    </xf>
    <xf numFmtId="171" fontId="44" fillId="10" borderId="6" xfId="5" applyNumberFormat="1" applyFont="1" applyFill="1" applyBorder="1">
      <alignment vertical="center"/>
    </xf>
    <xf numFmtId="171" fontId="44" fillId="10" borderId="55" xfId="5" applyNumberFormat="1" applyFont="1" applyFill="1" applyBorder="1">
      <alignment vertical="center"/>
    </xf>
    <xf numFmtId="171" fontId="43" fillId="10" borderId="2" xfId="5" applyNumberFormat="1" applyFont="1" applyFill="1" applyBorder="1">
      <alignment vertical="center"/>
    </xf>
    <xf numFmtId="171" fontId="43" fillId="10" borderId="6" xfId="5" applyNumberFormat="1" applyFont="1" applyFill="1" applyBorder="1">
      <alignment vertical="center"/>
    </xf>
    <xf numFmtId="0" fontId="19" fillId="0" borderId="0" xfId="6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51" fillId="0" borderId="0" xfId="6" applyFont="1" applyAlignment="1">
      <alignment horizontal="center" vertical="center"/>
    </xf>
    <xf numFmtId="0" fontId="19" fillId="20" borderId="0" xfId="6" applyFont="1" applyFill="1" applyAlignment="1">
      <alignment horizontal="center" vertical="center"/>
    </xf>
    <xf numFmtId="0" fontId="21" fillId="0" borderId="0" xfId="6" applyFont="1" applyAlignment="1">
      <alignment horizontal="left" vertical="center"/>
    </xf>
    <xf numFmtId="0" fontId="23" fillId="0" borderId="0" xfId="6" applyFont="1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19" fillId="0" borderId="1" xfId="6" applyFont="1" applyBorder="1" applyAlignment="1">
      <alignment horizontal="center" vertical="center"/>
    </xf>
    <xf numFmtId="0" fontId="19" fillId="0" borderId="20" xfId="6" applyFont="1" applyBorder="1" applyAlignment="1">
      <alignment horizontal="center" vertical="center"/>
    </xf>
    <xf numFmtId="0" fontId="14" fillId="0" borderId="0" xfId="6" applyFont="1" applyAlignment="1">
      <alignment horizontal="left" vertical="center"/>
    </xf>
    <xf numFmtId="0" fontId="52" fillId="15" borderId="1" xfId="6" applyFont="1" applyFill="1" applyBorder="1" applyAlignment="1">
      <alignment horizontal="center" vertical="center"/>
    </xf>
    <xf numFmtId="0" fontId="19" fillId="0" borderId="0" xfId="6" applyFont="1"/>
    <xf numFmtId="0" fontId="17" fillId="0" borderId="0" xfId="6" applyFont="1" applyAlignment="1">
      <alignment horizontal="center"/>
    </xf>
    <xf numFmtId="0" fontId="19" fillId="0" borderId="0" xfId="6" quotePrefix="1" applyFont="1" applyAlignment="1">
      <alignment horizontal="center" vertical="center"/>
    </xf>
    <xf numFmtId="0" fontId="14" fillId="0" borderId="1" xfId="6" applyFont="1" applyBorder="1"/>
    <xf numFmtId="0" fontId="52" fillId="0" borderId="1" xfId="6" applyFont="1" applyBorder="1" applyAlignment="1">
      <alignment horizontal="center" vertical="center"/>
    </xf>
    <xf numFmtId="0" fontId="51" fillId="0" borderId="1" xfId="6" applyFont="1" applyBorder="1" applyAlignment="1">
      <alignment horizontal="center" vertical="center"/>
    </xf>
    <xf numFmtId="0" fontId="51" fillId="15" borderId="1" xfId="6" applyFont="1" applyFill="1" applyBorder="1" applyAlignment="1">
      <alignment horizontal="center" vertical="center"/>
    </xf>
    <xf numFmtId="0" fontId="19" fillId="6" borderId="1" xfId="6" applyFont="1" applyFill="1" applyBorder="1" applyAlignment="1">
      <alignment horizontal="center" vertical="center"/>
    </xf>
    <xf numFmtId="0" fontId="19" fillId="0" borderId="19" xfId="6" applyFont="1" applyBorder="1" applyAlignment="1">
      <alignment horizontal="center" vertical="center"/>
    </xf>
    <xf numFmtId="0" fontId="19" fillId="0" borderId="38" xfId="6" applyFont="1" applyBorder="1" applyAlignment="1">
      <alignment horizontal="center" vertical="center"/>
    </xf>
    <xf numFmtId="0" fontId="19" fillId="0" borderId="29" xfId="6" applyFont="1" applyBorder="1" applyAlignment="1">
      <alignment horizontal="center" vertical="center"/>
    </xf>
    <xf numFmtId="0" fontId="52" fillId="21" borderId="1" xfId="6" applyFont="1" applyFill="1" applyBorder="1" applyAlignment="1">
      <alignment horizontal="center" vertical="center"/>
    </xf>
    <xf numFmtId="0" fontId="51" fillId="21" borderId="1" xfId="6" applyFont="1" applyFill="1" applyBorder="1" applyAlignment="1">
      <alignment horizontal="center" vertical="center"/>
    </xf>
    <xf numFmtId="0" fontId="52" fillId="5" borderId="1" xfId="6" applyFont="1" applyFill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0" fontId="19" fillId="0" borderId="21" xfId="6" applyFont="1" applyBorder="1" applyAlignment="1">
      <alignment horizontal="center" vertical="center"/>
    </xf>
    <xf numFmtId="0" fontId="19" fillId="0" borderId="23" xfId="6" quotePrefix="1" applyFont="1" applyBorder="1" applyAlignment="1">
      <alignment horizontal="center" vertical="center"/>
    </xf>
    <xf numFmtId="0" fontId="19" fillId="5" borderId="1" xfId="6" applyFont="1" applyFill="1" applyBorder="1" applyAlignment="1">
      <alignment horizontal="center" vertical="center"/>
    </xf>
    <xf numFmtId="0" fontId="19" fillId="4" borderId="21" xfId="6" applyFont="1" applyFill="1" applyBorder="1" applyAlignment="1">
      <alignment horizontal="center" vertical="center"/>
    </xf>
    <xf numFmtId="0" fontId="51" fillId="5" borderId="1" xfId="6" applyFont="1" applyFill="1" applyBorder="1" applyAlignment="1">
      <alignment horizontal="center" vertical="center"/>
    </xf>
    <xf numFmtId="0" fontId="19" fillId="21" borderId="1" xfId="6" applyFont="1" applyFill="1" applyBorder="1" applyAlignment="1">
      <alignment horizontal="center" vertical="center"/>
    </xf>
    <xf numFmtId="0" fontId="19" fillId="5" borderId="21" xfId="6" applyFont="1" applyFill="1" applyBorder="1" applyAlignment="1">
      <alignment horizontal="center" vertical="center"/>
    </xf>
    <xf numFmtId="0" fontId="19" fillId="7" borderId="1" xfId="6" applyFont="1" applyFill="1" applyBorder="1" applyAlignment="1">
      <alignment horizontal="center" vertical="center"/>
    </xf>
    <xf numFmtId="0" fontId="19" fillId="7" borderId="21" xfId="6" applyFont="1" applyFill="1" applyBorder="1" applyAlignment="1">
      <alignment horizontal="center" vertical="center"/>
    </xf>
    <xf numFmtId="0" fontId="19" fillId="4" borderId="1" xfId="6" applyFont="1" applyFill="1" applyBorder="1" applyAlignment="1">
      <alignment horizontal="center" vertical="center"/>
    </xf>
    <xf numFmtId="0" fontId="52" fillId="5" borderId="18" xfId="6" applyFont="1" applyFill="1" applyBorder="1" applyAlignment="1">
      <alignment horizontal="center" vertical="center"/>
    </xf>
    <xf numFmtId="0" fontId="19" fillId="7" borderId="18" xfId="6" applyFont="1" applyFill="1" applyBorder="1" applyAlignment="1">
      <alignment horizontal="center" vertical="center"/>
    </xf>
    <xf numFmtId="0" fontId="19" fillId="7" borderId="56" xfId="6" applyFont="1" applyFill="1" applyBorder="1" applyAlignment="1">
      <alignment horizontal="center" vertical="center"/>
    </xf>
    <xf numFmtId="0" fontId="19" fillId="13" borderId="1" xfId="6" applyFont="1" applyFill="1" applyBorder="1" applyAlignment="1">
      <alignment horizontal="center" vertical="center"/>
    </xf>
    <xf numFmtId="0" fontId="19" fillId="0" borderId="36" xfId="6" quotePrefix="1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25" fillId="0" borderId="0" xfId="6" applyFont="1" applyAlignment="1">
      <alignment horizontal="center" vertical="center"/>
    </xf>
    <xf numFmtId="0" fontId="19" fillId="13" borderId="21" xfId="6" applyFont="1" applyFill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34" xfId="6" applyFont="1" applyBorder="1" applyAlignment="1">
      <alignment horizontal="center" vertical="center"/>
    </xf>
    <xf numFmtId="0" fontId="53" fillId="0" borderId="0" xfId="6" applyFont="1"/>
    <xf numFmtId="0" fontId="19" fillId="0" borderId="26" xfId="6" quotePrefix="1" applyFont="1" applyBorder="1" applyAlignment="1">
      <alignment horizontal="center" vertical="center"/>
    </xf>
    <xf numFmtId="0" fontId="19" fillId="4" borderId="28" xfId="6" applyFont="1" applyFill="1" applyBorder="1" applyAlignment="1">
      <alignment horizontal="center" vertical="center"/>
    </xf>
    <xf numFmtId="0" fontId="19" fillId="0" borderId="28" xfId="6" applyFont="1" applyBorder="1" applyAlignment="1">
      <alignment horizontal="center" vertical="center"/>
    </xf>
    <xf numFmtId="0" fontId="19" fillId="13" borderId="28" xfId="6" applyFont="1" applyFill="1" applyBorder="1" applyAlignment="1">
      <alignment horizontal="center" vertical="center"/>
    </xf>
    <xf numFmtId="0" fontId="19" fillId="0" borderId="27" xfId="6" applyFont="1" applyBorder="1" applyAlignment="1">
      <alignment horizontal="center" vertical="center"/>
    </xf>
    <xf numFmtId="0" fontId="19" fillId="2" borderId="1" xfId="6" applyFont="1" applyFill="1" applyBorder="1" applyAlignment="1">
      <alignment horizontal="center" vertical="center"/>
    </xf>
    <xf numFmtId="0" fontId="19" fillId="5" borderId="18" xfId="6" applyFont="1" applyFill="1" applyBorder="1" applyAlignment="1">
      <alignment horizontal="center" vertical="center"/>
    </xf>
    <xf numFmtId="0" fontId="19" fillId="5" borderId="56" xfId="6" applyFont="1" applyFill="1" applyBorder="1" applyAlignment="1">
      <alignment horizontal="center" vertical="center"/>
    </xf>
    <xf numFmtId="0" fontId="19" fillId="2" borderId="18" xfId="6" applyFont="1" applyFill="1" applyBorder="1" applyAlignment="1">
      <alignment horizontal="center" vertical="center"/>
    </xf>
    <xf numFmtId="0" fontId="19" fillId="15" borderId="1" xfId="6" applyFont="1" applyFill="1" applyBorder="1" applyAlignment="1">
      <alignment horizontal="center" vertical="center"/>
    </xf>
    <xf numFmtId="0" fontId="51" fillId="15" borderId="11" xfId="6" applyFont="1" applyFill="1" applyBorder="1" applyAlignment="1">
      <alignment horizontal="center" vertical="center"/>
    </xf>
    <xf numFmtId="0" fontId="52" fillId="15" borderId="21" xfId="6" applyFont="1" applyFill="1" applyBorder="1" applyAlignment="1">
      <alignment horizontal="center" vertical="center"/>
    </xf>
    <xf numFmtId="0" fontId="26" fillId="0" borderId="0" xfId="6" applyFont="1" applyAlignment="1">
      <alignment horizontal="left" vertical="center"/>
    </xf>
    <xf numFmtId="0" fontId="52" fillId="15" borderId="18" xfId="6" applyFont="1" applyFill="1" applyBorder="1" applyAlignment="1">
      <alignment horizontal="center" vertical="center"/>
    </xf>
    <xf numFmtId="0" fontId="52" fillId="15" borderId="56" xfId="6" applyFont="1" applyFill="1" applyBorder="1" applyAlignment="1">
      <alignment horizontal="center" vertical="center"/>
    </xf>
    <xf numFmtId="0" fontId="19" fillId="0" borderId="0" xfId="6" applyFont="1" applyAlignment="1">
      <alignment horizontal="left" vertical="center"/>
    </xf>
    <xf numFmtId="0" fontId="44" fillId="0" borderId="37" xfId="7" applyFont="1" applyBorder="1">
      <alignment vertical="center"/>
    </xf>
    <xf numFmtId="0" fontId="41" fillId="0" borderId="11" xfId="7" applyFont="1" applyBorder="1" applyAlignment="1">
      <alignment vertical="center" shrinkToFit="1"/>
    </xf>
    <xf numFmtId="0" fontId="44" fillId="0" borderId="48" xfId="7" applyFont="1" applyBorder="1" applyAlignment="1">
      <alignment vertical="center" shrinkToFit="1"/>
    </xf>
    <xf numFmtId="0" fontId="41" fillId="0" borderId="3" xfId="7" applyFont="1" applyBorder="1" applyAlignment="1">
      <alignment vertical="center" shrinkToFit="1"/>
    </xf>
    <xf numFmtId="0" fontId="44" fillId="0" borderId="57" xfId="7" applyFont="1" applyBorder="1" applyAlignment="1">
      <alignment vertical="center" shrinkToFit="1"/>
    </xf>
    <xf numFmtId="0" fontId="41" fillId="0" borderId="15" xfId="7" applyFont="1" applyBorder="1" applyAlignment="1">
      <alignment vertical="center" shrinkToFit="1"/>
    </xf>
    <xf numFmtId="0" fontId="44" fillId="0" borderId="58" xfId="7" applyFont="1" applyBorder="1" applyAlignment="1">
      <alignment vertical="center" shrinkToFit="1"/>
    </xf>
    <xf numFmtId="0" fontId="44" fillId="9" borderId="11" xfId="7" applyFont="1" applyFill="1" applyBorder="1" applyAlignment="1">
      <alignment vertical="center" shrinkToFit="1"/>
    </xf>
    <xf numFmtId="0" fontId="44" fillId="9" borderId="3" xfId="7" applyFont="1" applyFill="1" applyBorder="1" applyAlignment="1">
      <alignment vertical="center" shrinkToFit="1"/>
    </xf>
    <xf numFmtId="0" fontId="44" fillId="9" borderId="15" xfId="7" applyFont="1" applyFill="1" applyBorder="1" applyAlignment="1">
      <alignment vertical="center" shrinkToFit="1"/>
    </xf>
    <xf numFmtId="166" fontId="44" fillId="0" borderId="59" xfId="3" applyNumberFormat="1" applyFont="1" applyBorder="1"/>
    <xf numFmtId="171" fontId="44" fillId="10" borderId="30" xfId="5" applyNumberFormat="1" applyFont="1" applyFill="1" applyBorder="1">
      <alignment vertical="center"/>
    </xf>
    <xf numFmtId="171" fontId="44" fillId="10" borderId="34" xfId="5" applyNumberFormat="1" applyFont="1" applyFill="1" applyBorder="1">
      <alignment vertical="center"/>
    </xf>
    <xf numFmtId="0" fontId="44" fillId="10" borderId="60" xfId="5" applyFont="1" applyFill="1" applyBorder="1" applyAlignment="1">
      <alignment vertical="center" wrapText="1"/>
    </xf>
    <xf numFmtId="0" fontId="44" fillId="10" borderId="61" xfId="5" applyFont="1" applyFill="1" applyBorder="1">
      <alignment vertical="center"/>
    </xf>
    <xf numFmtId="171" fontId="39" fillId="10" borderId="42" xfId="5" applyNumberFormat="1" applyFont="1" applyFill="1" applyBorder="1">
      <alignment vertical="center"/>
    </xf>
    <xf numFmtId="165" fontId="44" fillId="0" borderId="0" xfId="5" applyNumberFormat="1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166" fontId="27" fillId="0" borderId="0" xfId="6" applyNumberFormat="1" applyFont="1" applyAlignment="1">
      <alignment vertical="center"/>
    </xf>
    <xf numFmtId="166" fontId="44" fillId="0" borderId="0" xfId="0" applyNumberFormat="1" applyFont="1" applyAlignment="1"/>
    <xf numFmtId="166" fontId="50" fillId="0" borderId="0" xfId="0" applyNumberFormat="1" applyFont="1" applyAlignment="1"/>
    <xf numFmtId="166" fontId="44" fillId="10" borderId="31" xfId="5" applyNumberFormat="1" applyFont="1" applyFill="1" applyBorder="1">
      <alignment vertical="center"/>
    </xf>
    <xf numFmtId="166" fontId="44" fillId="10" borderId="35" xfId="5" applyNumberFormat="1" applyFont="1" applyFill="1" applyBorder="1">
      <alignment vertical="center"/>
    </xf>
    <xf numFmtId="166" fontId="44" fillId="10" borderId="26" xfId="5" applyNumberFormat="1" applyFont="1" applyFill="1" applyBorder="1">
      <alignment vertical="center"/>
    </xf>
    <xf numFmtId="166" fontId="44" fillId="10" borderId="28" xfId="5" applyNumberFormat="1" applyFont="1" applyFill="1" applyBorder="1">
      <alignment vertical="center"/>
    </xf>
    <xf numFmtId="166" fontId="44" fillId="10" borderId="27" xfId="5" applyNumberFormat="1" applyFont="1" applyFill="1" applyBorder="1">
      <alignment vertical="center"/>
    </xf>
    <xf numFmtId="166" fontId="44" fillId="10" borderId="39" xfId="5" applyNumberFormat="1" applyFont="1" applyFill="1" applyBorder="1">
      <alignment vertical="center"/>
    </xf>
    <xf numFmtId="166" fontId="44" fillId="10" borderId="18" xfId="5" applyNumberFormat="1" applyFont="1" applyFill="1" applyBorder="1">
      <alignment vertical="center"/>
    </xf>
    <xf numFmtId="166" fontId="44" fillId="10" borderId="56" xfId="5" applyNumberFormat="1" applyFont="1" applyFill="1" applyBorder="1">
      <alignment vertical="center"/>
    </xf>
    <xf numFmtId="172" fontId="54" fillId="0" borderId="0" xfId="3" applyNumberFormat="1" applyFont="1"/>
    <xf numFmtId="172" fontId="44" fillId="0" borderId="0" xfId="3" applyNumberFormat="1" applyFont="1"/>
    <xf numFmtId="167" fontId="44" fillId="0" borderId="0" xfId="3" applyNumberFormat="1" applyFont="1"/>
    <xf numFmtId="0" fontId="44" fillId="10" borderId="0" xfId="0" applyFont="1" applyFill="1" applyAlignment="1"/>
    <xf numFmtId="0" fontId="44" fillId="0" borderId="1" xfId="3" applyFont="1" applyBorder="1"/>
    <xf numFmtId="172" fontId="54" fillId="0" borderId="1" xfId="3" applyNumberFormat="1" applyFont="1" applyBorder="1"/>
    <xf numFmtId="172" fontId="44" fillId="0" borderId="1" xfId="3" applyNumberFormat="1" applyFont="1" applyBorder="1"/>
    <xf numFmtId="167" fontId="44" fillId="0" borderId="1" xfId="3" applyNumberFormat="1" applyFont="1" applyBorder="1"/>
    <xf numFmtId="0" fontId="54" fillId="0" borderId="1" xfId="0" applyFont="1" applyBorder="1" applyAlignment="1"/>
    <xf numFmtId="172" fontId="54" fillId="0" borderId="0" xfId="0" applyNumberFormat="1" applyFont="1" applyAlignment="1"/>
    <xf numFmtId="0" fontId="44" fillId="0" borderId="0" xfId="3" applyFont="1"/>
    <xf numFmtId="0" fontId="44" fillId="0" borderId="22" xfId="3" applyFont="1" applyBorder="1"/>
    <xf numFmtId="172" fontId="43" fillId="10" borderId="19" xfId="5" applyNumberFormat="1" applyFont="1" applyFill="1" applyBorder="1">
      <alignment vertical="center"/>
    </xf>
    <xf numFmtId="172" fontId="43" fillId="10" borderId="38" xfId="5" applyNumberFormat="1" applyFont="1" applyFill="1" applyBorder="1">
      <alignment vertical="center"/>
    </xf>
    <xf numFmtId="172" fontId="43" fillId="10" borderId="29" xfId="5" applyNumberFormat="1" applyFont="1" applyFill="1" applyBorder="1">
      <alignment vertical="center"/>
    </xf>
    <xf numFmtId="172" fontId="43" fillId="10" borderId="23" xfId="5" applyNumberFormat="1" applyFont="1" applyFill="1" applyBorder="1">
      <alignment vertical="center"/>
    </xf>
    <xf numFmtId="172" fontId="43" fillId="10" borderId="1" xfId="5" applyNumberFormat="1" applyFont="1" applyFill="1" applyBorder="1">
      <alignment vertical="center"/>
    </xf>
    <xf numFmtId="172" fontId="43" fillId="10" borderId="21" xfId="5" applyNumberFormat="1" applyFont="1" applyFill="1" applyBorder="1">
      <alignment vertical="center"/>
    </xf>
    <xf numFmtId="0" fontId="43" fillId="0" borderId="0" xfId="5" applyFont="1">
      <alignment vertical="center"/>
    </xf>
    <xf numFmtId="172" fontId="11" fillId="11" borderId="36" xfId="0" applyNumberFormat="1" applyFont="1" applyFill="1" applyBorder="1" applyAlignment="1"/>
    <xf numFmtId="172" fontId="11" fillId="11" borderId="20" xfId="0" applyNumberFormat="1" applyFont="1" applyFill="1" applyBorder="1" applyAlignment="1"/>
    <xf numFmtId="172" fontId="11" fillId="11" borderId="21" xfId="0" applyNumberFormat="1" applyFont="1" applyFill="1" applyBorder="1" applyAlignment="1"/>
    <xf numFmtId="172" fontId="11" fillId="12" borderId="36" xfId="0" applyNumberFormat="1" applyFont="1" applyFill="1" applyBorder="1" applyAlignment="1"/>
    <xf numFmtId="172" fontId="11" fillId="12" borderId="20" xfId="0" applyNumberFormat="1" applyFont="1" applyFill="1" applyBorder="1" applyAlignment="1"/>
    <xf numFmtId="172" fontId="11" fillId="12" borderId="21" xfId="0" applyNumberFormat="1" applyFont="1" applyFill="1" applyBorder="1" applyAlignment="1"/>
    <xf numFmtId="172" fontId="11" fillId="12" borderId="59" xfId="0" applyNumberFormat="1" applyFont="1" applyFill="1" applyBorder="1" applyAlignment="1"/>
    <xf numFmtId="172" fontId="11" fillId="12" borderId="46" xfId="0" applyNumberFormat="1" applyFont="1" applyFill="1" applyBorder="1" applyAlignment="1"/>
    <xf numFmtId="172" fontId="11" fillId="12" borderId="27" xfId="0" applyNumberFormat="1" applyFont="1" applyFill="1" applyBorder="1" applyAlignment="1"/>
    <xf numFmtId="0" fontId="38" fillId="0" borderId="0" xfId="0" applyFont="1">
      <alignment vertical="center"/>
    </xf>
    <xf numFmtId="167" fontId="44" fillId="0" borderId="51" xfId="5" applyNumberFormat="1" applyFont="1" applyBorder="1" applyAlignment="1">
      <alignment horizontal="center" vertical="center" shrinkToFit="1"/>
    </xf>
    <xf numFmtId="169" fontId="44" fillId="18" borderId="31" xfId="5" applyNumberFormat="1" applyFont="1" applyFill="1" applyBorder="1" applyAlignment="1">
      <alignment vertical="center" shrinkToFit="1"/>
    </xf>
    <xf numFmtId="169" fontId="44" fillId="18" borderId="59" xfId="5" applyNumberFormat="1" applyFont="1" applyFill="1" applyBorder="1" applyAlignment="1">
      <alignment vertical="center" shrinkToFit="1"/>
    </xf>
    <xf numFmtId="0" fontId="44" fillId="10" borderId="33" xfId="5" applyFont="1" applyFill="1" applyBorder="1" applyAlignment="1">
      <alignment vertical="center" shrinkToFit="1"/>
    </xf>
    <xf numFmtId="0" fontId="44" fillId="10" borderId="24" xfId="5" applyFont="1" applyFill="1" applyBorder="1" applyAlignment="1">
      <alignment vertical="center" shrinkToFit="1"/>
    </xf>
    <xf numFmtId="0" fontId="44" fillId="10" borderId="34" xfId="5" applyFont="1" applyFill="1" applyBorder="1" applyAlignment="1">
      <alignment vertical="center" shrinkToFit="1"/>
    </xf>
    <xf numFmtId="169" fontId="44" fillId="11" borderId="43" xfId="5" applyNumberFormat="1" applyFont="1" applyFill="1" applyBorder="1" applyAlignment="1">
      <alignment vertical="center" shrinkToFit="1"/>
    </xf>
    <xf numFmtId="169" fontId="44" fillId="11" borderId="45" xfId="5" applyNumberFormat="1" applyFont="1" applyFill="1" applyBorder="1" applyAlignment="1">
      <alignment vertical="center" shrinkToFit="1"/>
    </xf>
    <xf numFmtId="167" fontId="44" fillId="0" borderId="0" xfId="5" applyNumberFormat="1" applyFont="1" applyAlignment="1">
      <alignment vertical="center" wrapText="1"/>
    </xf>
    <xf numFmtId="0" fontId="11" fillId="0" borderId="28" xfId="0" applyFont="1" applyBorder="1" applyAlignment="1">
      <alignment horizontal="left"/>
    </xf>
    <xf numFmtId="0" fontId="44" fillId="0" borderId="22" xfId="5" applyFont="1" applyBorder="1" applyAlignment="1"/>
    <xf numFmtId="170" fontId="44" fillId="0" borderId="22" xfId="5" applyNumberFormat="1" applyFont="1" applyBorder="1" applyAlignment="1"/>
    <xf numFmtId="170" fontId="44" fillId="0" borderId="53" xfId="5" applyNumberFormat="1" applyFont="1" applyBorder="1" applyAlignment="1"/>
    <xf numFmtId="0" fontId="44" fillId="0" borderId="54" xfId="5" applyFont="1" applyBorder="1" applyAlignment="1"/>
    <xf numFmtId="170" fontId="44" fillId="10" borderId="7" xfId="5" applyNumberFormat="1" applyFont="1" applyFill="1" applyBorder="1">
      <alignment vertical="center"/>
    </xf>
    <xf numFmtId="170" fontId="44" fillId="10" borderId="62" xfId="5" applyNumberFormat="1" applyFont="1" applyFill="1" applyBorder="1">
      <alignment vertical="center"/>
    </xf>
    <xf numFmtId="170" fontId="44" fillId="10" borderId="57" xfId="5" applyNumberFormat="1" applyFont="1" applyFill="1" applyBorder="1">
      <alignment vertical="center"/>
    </xf>
    <xf numFmtId="170" fontId="44" fillId="0" borderId="24" xfId="5" applyNumberFormat="1" applyFont="1" applyBorder="1">
      <alignment vertical="center"/>
    </xf>
    <xf numFmtId="170" fontId="44" fillId="0" borderId="34" xfId="5" applyNumberFormat="1" applyFont="1" applyBorder="1">
      <alignment vertical="center"/>
    </xf>
    <xf numFmtId="170" fontId="44" fillId="0" borderId="33" xfId="5" applyNumberFormat="1" applyFont="1" applyBorder="1">
      <alignment vertical="center"/>
    </xf>
    <xf numFmtId="172" fontId="44" fillId="0" borderId="0" xfId="5" applyNumberFormat="1" applyFont="1">
      <alignment vertical="center"/>
    </xf>
    <xf numFmtId="172" fontId="44" fillId="0" borderId="0" xfId="0" applyNumberFormat="1" applyFont="1" applyAlignment="1">
      <alignment wrapText="1"/>
    </xf>
    <xf numFmtId="172" fontId="44" fillId="0" borderId="0" xfId="5" applyNumberFormat="1" applyFont="1" applyAlignment="1">
      <alignment vertical="center" wrapText="1"/>
    </xf>
    <xf numFmtId="171" fontId="44" fillId="10" borderId="22" xfId="5" applyNumberFormat="1" applyFont="1" applyFill="1" applyBorder="1">
      <alignment vertical="center"/>
    </xf>
    <xf numFmtId="171" fontId="44" fillId="10" borderId="11" xfId="5" applyNumberFormat="1" applyFont="1" applyFill="1" applyBorder="1">
      <alignment vertical="center"/>
    </xf>
    <xf numFmtId="171" fontId="44" fillId="10" borderId="42" xfId="5" applyNumberFormat="1" applyFont="1" applyFill="1" applyBorder="1">
      <alignment vertical="center"/>
    </xf>
    <xf numFmtId="0" fontId="49" fillId="0" borderId="0" xfId="0" applyFont="1" applyAlignment="1"/>
    <xf numFmtId="0" fontId="11" fillId="0" borderId="0" xfId="6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31" fillId="22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4" fillId="15" borderId="1" xfId="0" applyFont="1" applyFill="1" applyBorder="1" applyAlignment="1">
      <alignment horizontal="center"/>
    </xf>
    <xf numFmtId="0" fontId="44" fillId="15" borderId="0" xfId="0" applyFont="1" applyFill="1" applyAlignment="1">
      <alignment horizontal="center"/>
    </xf>
    <xf numFmtId="0" fontId="44" fillId="23" borderId="1" xfId="0" applyFont="1" applyFill="1" applyBorder="1" applyAlignment="1">
      <alignment horizontal="center"/>
    </xf>
    <xf numFmtId="0" fontId="44" fillId="23" borderId="0" xfId="0" applyFont="1" applyFill="1" applyAlignment="1">
      <alignment horizontal="center"/>
    </xf>
    <xf numFmtId="0" fontId="44" fillId="24" borderId="0" xfId="0" applyFont="1" applyFill="1" applyAlignment="1">
      <alignment horizontal="center"/>
    </xf>
    <xf numFmtId="0" fontId="44" fillId="24" borderId="1" xfId="0" applyFont="1" applyFill="1" applyBorder="1" applyAlignment="1">
      <alignment horizontal="center"/>
    </xf>
    <xf numFmtId="0" fontId="44" fillId="0" borderId="0" xfId="0" applyFont="1" applyAlignment="1">
      <alignment horizontal="left"/>
    </xf>
    <xf numFmtId="0" fontId="44" fillId="0" borderId="1" xfId="0" applyFont="1" applyBorder="1" applyAlignment="1">
      <alignment horizontal="center"/>
    </xf>
    <xf numFmtId="0" fontId="44" fillId="10" borderId="0" xfId="0" applyFont="1" applyFill="1" applyAlignment="1">
      <alignment horizontal="center"/>
    </xf>
    <xf numFmtId="0" fontId="44" fillId="25" borderId="1" xfId="0" applyFont="1" applyFill="1" applyBorder="1" applyAlignment="1">
      <alignment horizontal="center"/>
    </xf>
    <xf numFmtId="0" fontId="41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44" fillId="10" borderId="1" xfId="0" applyFont="1" applyFill="1" applyBorder="1" applyAlignment="1">
      <alignment horizontal="center"/>
    </xf>
    <xf numFmtId="0" fontId="44" fillId="22" borderId="1" xfId="0" applyFont="1" applyFill="1" applyBorder="1" applyAlignment="1">
      <alignment horizontal="center"/>
    </xf>
    <xf numFmtId="0" fontId="44" fillId="26" borderId="1" xfId="0" applyFont="1" applyFill="1" applyBorder="1" applyAlignment="1">
      <alignment horizontal="center"/>
    </xf>
    <xf numFmtId="0" fontId="44" fillId="15" borderId="0" xfId="0" applyFont="1" applyFill="1" applyAlignment="1">
      <alignment horizontal="left"/>
    </xf>
    <xf numFmtId="0" fontId="11" fillId="15" borderId="0" xfId="0" applyFont="1" applyFill="1" applyAlignment="1">
      <alignment horizontal="center"/>
    </xf>
    <xf numFmtId="0" fontId="44" fillId="22" borderId="0" xfId="0" applyFont="1" applyFill="1" applyAlignment="1">
      <alignment horizontal="center"/>
    </xf>
    <xf numFmtId="0" fontId="11" fillId="0" borderId="1" xfId="0" applyFont="1" applyBorder="1" applyAlignment="1"/>
    <xf numFmtId="0" fontId="55" fillId="15" borderId="0" xfId="0" applyFont="1" applyFill="1" applyAlignment="1">
      <alignment horizontal="center"/>
    </xf>
    <xf numFmtId="0" fontId="56" fillId="27" borderId="0" xfId="0" applyFont="1" applyFill="1" applyAlignment="1">
      <alignment horizontal="center"/>
    </xf>
    <xf numFmtId="0" fontId="56" fillId="28" borderId="0" xfId="0" applyFont="1" applyFill="1" applyAlignment="1">
      <alignment horizontal="center"/>
    </xf>
    <xf numFmtId="0" fontId="11" fillId="29" borderId="0" xfId="0" applyFont="1" applyFill="1" applyAlignment="1">
      <alignment horizontal="center"/>
    </xf>
    <xf numFmtId="0" fontId="44" fillId="12" borderId="1" xfId="0" applyFont="1" applyFill="1" applyBorder="1" applyAlignment="1">
      <alignment horizontal="center"/>
    </xf>
    <xf numFmtId="0" fontId="44" fillId="30" borderId="1" xfId="0" applyFont="1" applyFill="1" applyBorder="1" applyAlignment="1">
      <alignment horizontal="center"/>
    </xf>
    <xf numFmtId="0" fontId="57" fillId="31" borderId="0" xfId="0" applyFont="1" applyFill="1" applyAlignment="1">
      <alignment horizontal="center"/>
    </xf>
    <xf numFmtId="0" fontId="58" fillId="32" borderId="0" xfId="0" applyFont="1" applyFill="1" applyAlignment="1">
      <alignment horizontal="center"/>
    </xf>
    <xf numFmtId="0" fontId="56" fillId="33" borderId="0" xfId="0" applyFont="1" applyFill="1" applyAlignment="1">
      <alignment horizontal="center"/>
    </xf>
    <xf numFmtId="0" fontId="11" fillId="34" borderId="0" xfId="0" applyFont="1" applyFill="1" applyAlignment="1">
      <alignment horizontal="center"/>
    </xf>
    <xf numFmtId="0" fontId="58" fillId="31" borderId="0" xfId="0" applyFont="1" applyFill="1" applyAlignment="1">
      <alignment horizontal="center"/>
    </xf>
    <xf numFmtId="0" fontId="11" fillId="22" borderId="0" xfId="0" applyFont="1" applyFill="1" applyAlignment="1">
      <alignment horizontal="center"/>
    </xf>
    <xf numFmtId="0" fontId="44" fillId="35" borderId="1" xfId="0" applyFont="1" applyFill="1" applyBorder="1" applyAlignment="1">
      <alignment horizontal="center"/>
    </xf>
    <xf numFmtId="0" fontId="44" fillId="36" borderId="1" xfId="0" applyFont="1" applyFill="1" applyBorder="1" applyAlignment="1">
      <alignment horizontal="center"/>
    </xf>
    <xf numFmtId="0" fontId="44" fillId="37" borderId="1" xfId="0" applyFont="1" applyFill="1" applyBorder="1" applyAlignment="1">
      <alignment horizontal="center"/>
    </xf>
    <xf numFmtId="0" fontId="44" fillId="32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quotePrefix="1" applyFont="1" applyBorder="1" applyAlignment="1">
      <alignment horizontal="center" vertical="center" wrapText="1"/>
    </xf>
    <xf numFmtId="0" fontId="44" fillId="38" borderId="1" xfId="0" applyFont="1" applyFill="1" applyBorder="1" applyAlignment="1">
      <alignment horizontal="center"/>
    </xf>
    <xf numFmtId="0" fontId="44" fillId="39" borderId="1" xfId="0" applyFont="1" applyFill="1" applyBorder="1" applyAlignment="1">
      <alignment horizontal="center"/>
    </xf>
    <xf numFmtId="0" fontId="11" fillId="40" borderId="0" xfId="0" applyFont="1" applyFill="1" applyAlignment="1">
      <alignment horizontal="center"/>
    </xf>
    <xf numFmtId="0" fontId="44" fillId="41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/>
    </xf>
    <xf numFmtId="0" fontId="56" fillId="15" borderId="0" xfId="0" applyFont="1" applyFill="1" applyAlignment="1">
      <alignment horizontal="center"/>
    </xf>
    <xf numFmtId="0" fontId="58" fillId="28" borderId="0" xfId="0" applyFont="1" applyFill="1" applyAlignment="1">
      <alignment horizontal="center"/>
    </xf>
    <xf numFmtId="0" fontId="44" fillId="21" borderId="0" xfId="0" applyFont="1" applyFill="1" applyAlignment="1">
      <alignment horizontal="center"/>
    </xf>
    <xf numFmtId="0" fontId="59" fillId="10" borderId="0" xfId="0" applyFont="1" applyFill="1" applyAlignment="1">
      <alignment horizontal="center"/>
    </xf>
    <xf numFmtId="0" fontId="60" fillId="28" borderId="0" xfId="0" applyFont="1" applyFill="1" applyAlignment="1">
      <alignment horizontal="center"/>
    </xf>
    <xf numFmtId="0" fontId="55" fillId="25" borderId="0" xfId="0" applyFont="1" applyFill="1" applyAlignment="1">
      <alignment horizontal="center"/>
    </xf>
    <xf numFmtId="0" fontId="44" fillId="43" borderId="0" xfId="0" applyFont="1" applyFill="1" applyAlignment="1">
      <alignment horizontal="center"/>
    </xf>
    <xf numFmtId="0" fontId="11" fillId="44" borderId="0" xfId="0" applyFont="1" applyFill="1" applyAlignment="1">
      <alignment horizontal="center"/>
    </xf>
    <xf numFmtId="0" fontId="61" fillId="21" borderId="0" xfId="0" applyFont="1" applyFill="1" applyAlignment="1">
      <alignment horizontal="center"/>
    </xf>
    <xf numFmtId="0" fontId="44" fillId="45" borderId="1" xfId="0" applyFont="1" applyFill="1" applyBorder="1" applyAlignment="1">
      <alignment horizontal="center"/>
    </xf>
    <xf numFmtId="0" fontId="44" fillId="46" borderId="1" xfId="0" applyFont="1" applyFill="1" applyBorder="1" applyAlignment="1">
      <alignment horizontal="center"/>
    </xf>
    <xf numFmtId="0" fontId="44" fillId="34" borderId="1" xfId="0" applyFont="1" applyFill="1" applyBorder="1" applyAlignment="1">
      <alignment horizontal="center"/>
    </xf>
    <xf numFmtId="0" fontId="44" fillId="47" borderId="1" xfId="0" applyFont="1" applyFill="1" applyBorder="1" applyAlignment="1">
      <alignment horizontal="center"/>
    </xf>
    <xf numFmtId="0" fontId="44" fillId="48" borderId="1" xfId="0" applyFont="1" applyFill="1" applyBorder="1" applyAlignment="1">
      <alignment horizontal="center"/>
    </xf>
    <xf numFmtId="0" fontId="44" fillId="49" borderId="1" xfId="0" applyFont="1" applyFill="1" applyBorder="1" applyAlignment="1">
      <alignment horizontal="center"/>
    </xf>
    <xf numFmtId="0" fontId="44" fillId="27" borderId="1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0" fontId="44" fillId="50" borderId="0" xfId="0" applyFont="1" applyFill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44" fillId="0" borderId="18" xfId="0" applyFont="1" applyBorder="1" applyAlignment="1">
      <alignment horizontal="left" vertical="center"/>
    </xf>
    <xf numFmtId="172" fontId="54" fillId="0" borderId="18" xfId="0" applyNumberFormat="1" applyFont="1" applyBorder="1" applyAlignment="1">
      <alignment horizontal="left" vertical="center"/>
    </xf>
    <xf numFmtId="172" fontId="44" fillId="0" borderId="18" xfId="0" applyNumberFormat="1" applyFont="1" applyBorder="1" applyAlignment="1">
      <alignment horizontal="left" vertical="center"/>
    </xf>
    <xf numFmtId="0" fontId="11" fillId="51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55" fillId="27" borderId="14" xfId="0" applyFont="1" applyFill="1" applyBorder="1" applyAlignment="1">
      <alignment horizontal="center"/>
    </xf>
    <xf numFmtId="0" fontId="55" fillId="47" borderId="10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62" fillId="0" borderId="5" xfId="0" applyFont="1" applyBorder="1" applyAlignment="1">
      <alignment horizontal="center"/>
    </xf>
    <xf numFmtId="0" fontId="62" fillId="9" borderId="5" xfId="0" applyFont="1" applyFill="1" applyBorder="1" applyAlignment="1">
      <alignment horizontal="center"/>
    </xf>
    <xf numFmtId="0" fontId="44" fillId="9" borderId="1" xfId="0" applyFont="1" applyFill="1" applyBorder="1" applyAlignment="1"/>
    <xf numFmtId="166" fontId="44" fillId="10" borderId="51" xfId="5" applyNumberFormat="1" applyFont="1" applyFill="1" applyBorder="1">
      <alignment vertical="center"/>
    </xf>
    <xf numFmtId="0" fontId="44" fillId="18" borderId="33" xfId="5" applyFont="1" applyFill="1" applyBorder="1" applyAlignment="1">
      <alignment horizontal="center" vertical="center"/>
    </xf>
    <xf numFmtId="166" fontId="44" fillId="18" borderId="24" xfId="5" applyNumberFormat="1" applyFont="1" applyFill="1" applyBorder="1" applyAlignment="1">
      <alignment vertical="center" shrinkToFit="1"/>
    </xf>
    <xf numFmtId="166" fontId="44" fillId="18" borderId="32" xfId="5" applyNumberFormat="1" applyFont="1" applyFill="1" applyBorder="1" applyAlignment="1">
      <alignment vertical="center" shrinkToFit="1"/>
    </xf>
    <xf numFmtId="166" fontId="44" fillId="18" borderId="38" xfId="5" applyNumberFormat="1" applyFont="1" applyFill="1" applyBorder="1" applyAlignment="1">
      <alignment vertical="center" shrinkToFit="1"/>
    </xf>
    <xf numFmtId="166" fontId="44" fillId="18" borderId="29" xfId="5" applyNumberFormat="1" applyFont="1" applyFill="1" applyBorder="1" applyAlignment="1">
      <alignment vertical="center" shrinkToFit="1"/>
    </xf>
    <xf numFmtId="0" fontId="44" fillId="18" borderId="23" xfId="5" applyFont="1" applyFill="1" applyBorder="1" applyAlignment="1">
      <alignment horizontal="center" vertical="center"/>
    </xf>
    <xf numFmtId="166" fontId="44" fillId="18" borderId="1" xfId="5" applyNumberFormat="1" applyFont="1" applyFill="1" applyBorder="1" applyAlignment="1">
      <alignment vertical="center" shrinkToFit="1"/>
    </xf>
    <xf numFmtId="166" fontId="44" fillId="18" borderId="21" xfId="5" applyNumberFormat="1" applyFont="1" applyFill="1" applyBorder="1" applyAlignment="1">
      <alignment vertical="center" shrinkToFit="1"/>
    </xf>
    <xf numFmtId="0" fontId="44" fillId="18" borderId="23" xfId="5" applyFont="1" applyFill="1" applyBorder="1" applyAlignment="1">
      <alignment horizontal="center"/>
    </xf>
    <xf numFmtId="166" fontId="44" fillId="18" borderId="1" xfId="5" applyNumberFormat="1" applyFont="1" applyFill="1" applyBorder="1" applyAlignment="1"/>
    <xf numFmtId="166" fontId="44" fillId="18" borderId="21" xfId="5" applyNumberFormat="1" applyFont="1" applyFill="1" applyBorder="1" applyAlignment="1"/>
    <xf numFmtId="0" fontId="44" fillId="18" borderId="19" xfId="5" applyFont="1" applyFill="1" applyBorder="1" applyAlignment="1">
      <alignment horizontal="center"/>
    </xf>
    <xf numFmtId="166" fontId="44" fillId="18" borderId="38" xfId="5" applyNumberFormat="1" applyFont="1" applyFill="1" applyBorder="1" applyAlignment="1"/>
    <xf numFmtId="166" fontId="44" fillId="18" borderId="52" xfId="5" applyNumberFormat="1" applyFont="1" applyFill="1" applyBorder="1" applyAlignment="1"/>
    <xf numFmtId="0" fontId="44" fillId="46" borderId="19" xfId="5" applyFont="1" applyFill="1" applyBorder="1" applyAlignment="1">
      <alignment horizontal="center"/>
    </xf>
    <xf numFmtId="166" fontId="44" fillId="46" borderId="38" xfId="5" applyNumberFormat="1" applyFont="1" applyFill="1" applyBorder="1" applyAlignment="1"/>
    <xf numFmtId="166" fontId="44" fillId="46" borderId="52" xfId="5" applyNumberFormat="1" applyFont="1" applyFill="1" applyBorder="1" applyAlignment="1"/>
    <xf numFmtId="0" fontId="44" fillId="46" borderId="23" xfId="5" applyFont="1" applyFill="1" applyBorder="1" applyAlignment="1">
      <alignment horizontal="center"/>
    </xf>
    <xf numFmtId="166" fontId="44" fillId="46" borderId="1" xfId="5" applyNumberFormat="1" applyFont="1" applyFill="1" applyBorder="1" applyAlignment="1"/>
    <xf numFmtId="166" fontId="44" fillId="46" borderId="21" xfId="5" applyNumberFormat="1" applyFont="1" applyFill="1" applyBorder="1" applyAlignment="1"/>
    <xf numFmtId="0" fontId="44" fillId="46" borderId="26" xfId="5" applyFont="1" applyFill="1" applyBorder="1" applyAlignment="1">
      <alignment horizontal="center"/>
    </xf>
    <xf numFmtId="166" fontId="44" fillId="46" borderId="28" xfId="5" applyNumberFormat="1" applyFont="1" applyFill="1" applyBorder="1" applyAlignment="1"/>
    <xf numFmtId="166" fontId="44" fillId="46" borderId="46" xfId="5" applyNumberFormat="1" applyFont="1" applyFill="1" applyBorder="1" applyAlignment="1"/>
    <xf numFmtId="0" fontId="44" fillId="46" borderId="23" xfId="5" applyFont="1" applyFill="1" applyBorder="1">
      <alignment vertical="center"/>
    </xf>
    <xf numFmtId="169" fontId="44" fillId="46" borderId="1" xfId="5" applyNumberFormat="1" applyFont="1" applyFill="1" applyBorder="1">
      <alignment vertical="center"/>
    </xf>
    <xf numFmtId="0" fontId="44" fillId="46" borderId="26" xfId="5" applyFont="1" applyFill="1" applyBorder="1">
      <alignment vertical="center"/>
    </xf>
    <xf numFmtId="169" fontId="44" fillId="46" borderId="28" xfId="5" applyNumberFormat="1" applyFont="1" applyFill="1" applyBorder="1">
      <alignment vertical="center"/>
    </xf>
    <xf numFmtId="169" fontId="44" fillId="46" borderId="27" xfId="5" applyNumberFormat="1" applyFont="1" applyFill="1" applyBorder="1">
      <alignment vertical="center"/>
    </xf>
    <xf numFmtId="0" fontId="44" fillId="18" borderId="23" xfId="5" applyFont="1" applyFill="1" applyBorder="1">
      <alignment vertical="center"/>
    </xf>
    <xf numFmtId="169" fontId="44" fillId="18" borderId="1" xfId="5" applyNumberFormat="1" applyFont="1" applyFill="1" applyBorder="1">
      <alignment vertical="center"/>
    </xf>
    <xf numFmtId="169" fontId="44" fillId="18" borderId="21" xfId="5" applyNumberFormat="1" applyFont="1" applyFill="1" applyBorder="1">
      <alignment vertical="center"/>
    </xf>
    <xf numFmtId="0" fontId="44" fillId="18" borderId="26" xfId="5" applyFont="1" applyFill="1" applyBorder="1">
      <alignment vertical="center"/>
    </xf>
    <xf numFmtId="169" fontId="44" fillId="18" borderId="28" xfId="5" applyNumberFormat="1" applyFont="1" applyFill="1" applyBorder="1">
      <alignment vertical="center"/>
    </xf>
    <xf numFmtId="169" fontId="44" fillId="18" borderId="27" xfId="5" applyNumberFormat="1" applyFont="1" applyFill="1" applyBorder="1">
      <alignment vertical="center"/>
    </xf>
    <xf numFmtId="0" fontId="3" fillId="10" borderId="12" xfId="5" applyFont="1" applyFill="1" applyBorder="1" applyAlignment="1">
      <alignment vertical="center" wrapText="1"/>
    </xf>
    <xf numFmtId="166" fontId="44" fillId="10" borderId="63" xfId="5" applyNumberFormat="1" applyFont="1" applyFill="1" applyBorder="1">
      <alignment vertical="center"/>
    </xf>
    <xf numFmtId="0" fontId="44" fillId="18" borderId="1" xfId="5" applyFont="1" applyFill="1" applyBorder="1" applyAlignment="1"/>
    <xf numFmtId="0" fontId="44" fillId="46" borderId="1" xfId="5" applyFont="1" applyFill="1" applyBorder="1" applyAlignment="1"/>
    <xf numFmtId="0" fontId="44" fillId="18" borderId="19" xfId="5" applyFont="1" applyFill="1" applyBorder="1" applyAlignment="1">
      <alignment horizontal="center" vertical="center"/>
    </xf>
    <xf numFmtId="0" fontId="44" fillId="18" borderId="38" xfId="5" applyFont="1" applyFill="1" applyBorder="1" applyAlignment="1"/>
    <xf numFmtId="0" fontId="44" fillId="46" borderId="28" xfId="5" applyFont="1" applyFill="1" applyBorder="1" applyAlignment="1"/>
    <xf numFmtId="0" fontId="44" fillId="46" borderId="39" xfId="5" applyFont="1" applyFill="1" applyBorder="1" applyAlignment="1">
      <alignment horizontal="center"/>
    </xf>
    <xf numFmtId="0" fontId="44" fillId="46" borderId="18" xfId="5" applyFont="1" applyFill="1" applyBorder="1" applyAlignment="1"/>
    <xf numFmtId="166" fontId="44" fillId="46" borderId="18" xfId="5" applyNumberFormat="1" applyFont="1" applyFill="1" applyBorder="1" applyAlignment="1"/>
    <xf numFmtId="166" fontId="44" fillId="46" borderId="56" xfId="5" applyNumberFormat="1" applyFont="1" applyFill="1" applyBorder="1" applyAlignment="1"/>
    <xf numFmtId="0" fontId="44" fillId="18" borderId="24" xfId="5" applyFont="1" applyFill="1" applyBorder="1" applyAlignment="1"/>
    <xf numFmtId="166" fontId="44" fillId="18" borderId="24" xfId="5" applyNumberFormat="1" applyFont="1" applyFill="1" applyBorder="1" applyAlignment="1"/>
    <xf numFmtId="0" fontId="44" fillId="46" borderId="33" xfId="5" applyFont="1" applyFill="1" applyBorder="1" applyAlignment="1">
      <alignment horizontal="center"/>
    </xf>
    <xf numFmtId="0" fontId="44" fillId="46" borderId="24" xfId="5" applyFont="1" applyFill="1" applyBorder="1" applyAlignment="1"/>
    <xf numFmtId="166" fontId="44" fillId="46" borderId="24" xfId="5" applyNumberFormat="1" applyFont="1" applyFill="1" applyBorder="1" applyAlignment="1"/>
    <xf numFmtId="0" fontId="44" fillId="46" borderId="38" xfId="5" applyFont="1" applyFill="1" applyBorder="1" applyAlignment="1"/>
    <xf numFmtId="166" fontId="44" fillId="18" borderId="52" xfId="5" applyNumberFormat="1" applyFont="1" applyFill="1" applyBorder="1" applyAlignment="1">
      <alignment vertical="center" shrinkToFit="1"/>
    </xf>
    <xf numFmtId="166" fontId="44" fillId="46" borderId="51" xfId="5" applyNumberFormat="1" applyFont="1" applyFill="1" applyBorder="1" applyAlignment="1"/>
    <xf numFmtId="166" fontId="44" fillId="46" borderId="32" xfId="5" applyNumberFormat="1" applyFont="1" applyFill="1" applyBorder="1" applyAlignment="1"/>
    <xf numFmtId="0" fontId="44" fillId="0" borderId="49" xfId="5" applyFont="1" applyBorder="1">
      <alignment vertical="center"/>
    </xf>
    <xf numFmtId="0" fontId="44" fillId="0" borderId="10" xfId="0" applyFont="1" applyBorder="1" applyAlignment="1"/>
    <xf numFmtId="0" fontId="44" fillId="0" borderId="49" xfId="0" applyFont="1" applyBorder="1" applyAlignment="1"/>
    <xf numFmtId="169" fontId="44" fillId="46" borderId="21" xfId="5" applyNumberFormat="1" applyFont="1" applyFill="1" applyBorder="1">
      <alignment vertical="center"/>
    </xf>
    <xf numFmtId="166" fontId="47" fillId="10" borderId="35" xfId="5" applyNumberFormat="1" applyFont="1" applyFill="1" applyBorder="1">
      <alignment vertical="center"/>
    </xf>
    <xf numFmtId="166" fontId="44" fillId="10" borderId="64" xfId="5" applyNumberFormat="1" applyFont="1" applyFill="1" applyBorder="1">
      <alignment vertical="center"/>
    </xf>
    <xf numFmtId="166" fontId="44" fillId="10" borderId="25" xfId="5" applyNumberFormat="1" applyFont="1" applyFill="1" applyBorder="1">
      <alignment vertical="center"/>
    </xf>
    <xf numFmtId="166" fontId="44" fillId="10" borderId="65" xfId="5" applyNumberFormat="1" applyFont="1" applyFill="1" applyBorder="1">
      <alignment vertical="center"/>
    </xf>
    <xf numFmtId="0" fontId="46" fillId="0" borderId="0" xfId="5" applyFont="1" applyAlignment="1"/>
    <xf numFmtId="0" fontId="3" fillId="0" borderId="0" xfId="5" applyFont="1" applyAlignment="1">
      <alignment horizontal="center" vertical="center" wrapText="1"/>
    </xf>
    <xf numFmtId="172" fontId="32" fillId="0" borderId="0" xfId="5" applyNumberFormat="1" applyFont="1" applyAlignment="1"/>
    <xf numFmtId="0" fontId="32" fillId="0" borderId="0" xfId="5" applyFont="1" applyAlignment="1"/>
    <xf numFmtId="0" fontId="3" fillId="0" borderId="1" xfId="5" applyFont="1" applyBorder="1" applyAlignment="1">
      <alignment horizontal="center" vertical="center" wrapText="1"/>
    </xf>
    <xf numFmtId="172" fontId="44" fillId="10" borderId="24" xfId="5" applyNumberFormat="1" applyFont="1" applyFill="1" applyBorder="1">
      <alignment vertical="center"/>
    </xf>
    <xf numFmtId="172" fontId="54" fillId="0" borderId="22" xfId="3" applyNumberFormat="1" applyFont="1" applyBorder="1"/>
    <xf numFmtId="0" fontId="61" fillId="0" borderId="1" xfId="0" applyFont="1" applyBorder="1" applyAlignment="1"/>
    <xf numFmtId="172" fontId="54" fillId="0" borderId="1" xfId="0" applyNumberFormat="1" applyFont="1" applyBorder="1" applyAlignment="1"/>
    <xf numFmtId="0" fontId="11" fillId="0" borderId="0" xfId="6" applyFont="1" applyAlignment="1">
      <alignment vertical="center"/>
    </xf>
    <xf numFmtId="0" fontId="44" fillId="0" borderId="18" xfId="0" applyFont="1" applyBorder="1">
      <alignment vertical="center"/>
    </xf>
    <xf numFmtId="0" fontId="44" fillId="0" borderId="20" xfId="0" applyFont="1" applyBorder="1" applyAlignment="1"/>
    <xf numFmtId="0" fontId="0" fillId="0" borderId="0" xfId="0" applyAlignment="1">
      <alignment horizontal="right" vertical="center"/>
    </xf>
    <xf numFmtId="167" fontId="0" fillId="0" borderId="5" xfId="0" applyNumberFormat="1" applyBorder="1">
      <alignment vertical="center"/>
    </xf>
    <xf numFmtId="0" fontId="0" fillId="0" borderId="50" xfId="0" applyBorder="1">
      <alignment vertical="center"/>
    </xf>
    <xf numFmtId="168" fontId="0" fillId="0" borderId="40" xfId="0" applyNumberFormat="1" applyBorder="1">
      <alignment vertical="center"/>
    </xf>
    <xf numFmtId="0" fontId="0" fillId="0" borderId="8" xfId="0" applyBorder="1">
      <alignment vertical="center"/>
    </xf>
    <xf numFmtId="0" fontId="0" fillId="0" borderId="66" xfId="0" applyBorder="1">
      <alignment vertical="center"/>
    </xf>
    <xf numFmtId="0" fontId="0" fillId="0" borderId="67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6" xfId="0" applyBorder="1" applyAlignment="1">
      <alignment horizontal="centerContinuous" vertical="center" wrapText="1"/>
    </xf>
    <xf numFmtId="0" fontId="0" fillId="0" borderId="68" xfId="0" applyBorder="1" applyAlignment="1">
      <alignment horizontal="centerContinuous" vertical="center"/>
    </xf>
    <xf numFmtId="167" fontId="0" fillId="0" borderId="69" xfId="0" applyNumberFormat="1" applyBorder="1">
      <alignment vertical="center"/>
    </xf>
    <xf numFmtId="0" fontId="0" fillId="0" borderId="70" xfId="0" applyBorder="1" applyAlignment="1"/>
    <xf numFmtId="0" fontId="0" fillId="0" borderId="71" xfId="0" applyBorder="1" applyAlignment="1"/>
    <xf numFmtId="173" fontId="0" fillId="0" borderId="38" xfId="0" applyNumberFormat="1" applyBorder="1">
      <alignment vertical="center"/>
    </xf>
    <xf numFmtId="173" fontId="0" fillId="0" borderId="29" xfId="0" applyNumberFormat="1" applyBorder="1">
      <alignment vertical="center"/>
    </xf>
    <xf numFmtId="0" fontId="0" fillId="0" borderId="72" xfId="0" applyBorder="1">
      <alignment vertical="center"/>
    </xf>
    <xf numFmtId="173" fontId="0" fillId="0" borderId="73" xfId="0" applyNumberFormat="1" applyBorder="1">
      <alignment vertical="center"/>
    </xf>
    <xf numFmtId="0" fontId="0" fillId="0" borderId="69" xfId="0" applyBorder="1">
      <alignment vertical="center"/>
    </xf>
    <xf numFmtId="0" fontId="0" fillId="0" borderId="74" xfId="0" applyBorder="1" applyAlignment="1"/>
    <xf numFmtId="0" fontId="0" fillId="0" borderId="75" xfId="0" applyBorder="1" applyAlignment="1"/>
    <xf numFmtId="173" fontId="0" fillId="0" borderId="27" xfId="0" applyNumberFormat="1" applyBorder="1">
      <alignment vertical="center"/>
    </xf>
    <xf numFmtId="0" fontId="0" fillId="0" borderId="76" xfId="0" applyBorder="1">
      <alignment vertical="center"/>
    </xf>
    <xf numFmtId="173" fontId="0" fillId="0" borderId="77" xfId="0" applyNumberFormat="1" applyBorder="1">
      <alignment vertical="center"/>
    </xf>
    <xf numFmtId="0" fontId="0" fillId="0" borderId="78" xfId="0" applyBorder="1">
      <alignment vertical="center"/>
    </xf>
    <xf numFmtId="0" fontId="0" fillId="0" borderId="79" xfId="0" applyBorder="1" applyAlignment="1"/>
    <xf numFmtId="0" fontId="0" fillId="0" borderId="80" xfId="0" applyBorder="1" applyAlignment="1"/>
    <xf numFmtId="173" fontId="0" fillId="0" borderId="3" xfId="0" applyNumberFormat="1" applyBorder="1">
      <alignment vertical="center"/>
    </xf>
    <xf numFmtId="173" fontId="0" fillId="0" borderId="57" xfId="0" applyNumberFormat="1" applyBorder="1">
      <alignment vertical="center"/>
    </xf>
    <xf numFmtId="0" fontId="0" fillId="0" borderId="81" xfId="0" applyBorder="1" applyAlignment="1"/>
    <xf numFmtId="173" fontId="0" fillId="0" borderId="11" xfId="0" applyNumberFormat="1" applyBorder="1">
      <alignment vertical="center"/>
    </xf>
    <xf numFmtId="173" fontId="0" fillId="0" borderId="48" xfId="0" applyNumberFormat="1" applyBorder="1">
      <alignment vertical="center"/>
    </xf>
    <xf numFmtId="0" fontId="0" fillId="0" borderId="82" xfId="0" applyBorder="1">
      <alignment vertical="center"/>
    </xf>
    <xf numFmtId="173" fontId="0" fillId="0" borderId="83" xfId="0" applyNumberFormat="1" applyBorder="1">
      <alignment vertical="center"/>
    </xf>
    <xf numFmtId="0" fontId="0" fillId="0" borderId="84" xfId="0" applyBorder="1">
      <alignment vertical="center"/>
    </xf>
    <xf numFmtId="0" fontId="0" fillId="0" borderId="83" xfId="0" applyBorder="1">
      <alignment vertical="center"/>
    </xf>
    <xf numFmtId="0" fontId="0" fillId="0" borderId="85" xfId="0" applyBorder="1" applyAlignment="1"/>
    <xf numFmtId="173" fontId="0" fillId="0" borderId="24" xfId="0" applyNumberFormat="1" applyBorder="1">
      <alignment vertical="center"/>
    </xf>
    <xf numFmtId="173" fontId="0" fillId="0" borderId="34" xfId="0" applyNumberFormat="1" applyBorder="1">
      <alignment vertical="center"/>
    </xf>
    <xf numFmtId="0" fontId="0" fillId="0" borderId="86" xfId="0" applyBorder="1" applyAlignment="1"/>
    <xf numFmtId="173" fontId="0" fillId="0" borderId="56" xfId="0" applyNumberFormat="1" applyBorder="1">
      <alignment vertical="center"/>
    </xf>
    <xf numFmtId="0" fontId="0" fillId="0" borderId="87" xfId="0" applyBorder="1" applyAlignment="1"/>
    <xf numFmtId="173" fontId="0" fillId="0" borderId="15" xfId="0" applyNumberFormat="1" applyBorder="1">
      <alignment vertical="center"/>
    </xf>
    <xf numFmtId="173" fontId="0" fillId="0" borderId="58" xfId="0" applyNumberFormat="1" applyBorder="1">
      <alignment vertical="center"/>
    </xf>
    <xf numFmtId="0" fontId="0" fillId="0" borderId="88" xfId="0" applyBorder="1" applyAlignment="1"/>
    <xf numFmtId="0" fontId="0" fillId="0" borderId="77" xfId="0" applyBorder="1">
      <alignment vertical="center"/>
    </xf>
    <xf numFmtId="0" fontId="0" fillId="0" borderId="89" xfId="0" applyBorder="1" applyAlignment="1"/>
    <xf numFmtId="0" fontId="0" fillId="0" borderId="90" xfId="0" applyBorder="1" applyAlignment="1"/>
    <xf numFmtId="173" fontId="0" fillId="0" borderId="91" xfId="0" applyNumberFormat="1" applyBorder="1">
      <alignment vertical="center"/>
    </xf>
    <xf numFmtId="0" fontId="0" fillId="0" borderId="92" xfId="0" applyBorder="1" applyAlignment="1"/>
    <xf numFmtId="0" fontId="0" fillId="0" borderId="11" xfId="0" applyBorder="1">
      <alignment vertical="center"/>
    </xf>
    <xf numFmtId="173" fontId="0" fillId="0" borderId="9" xfId="0" applyNumberFormat="1" applyBorder="1">
      <alignment vertical="center"/>
    </xf>
    <xf numFmtId="173" fontId="0" fillId="0" borderId="13" xfId="0" applyNumberFormat="1" applyBorder="1">
      <alignment vertical="center"/>
    </xf>
    <xf numFmtId="173" fontId="0" fillId="0" borderId="32" xfId="0" applyNumberFormat="1" applyBorder="1">
      <alignment vertical="center"/>
    </xf>
    <xf numFmtId="173" fontId="0" fillId="0" borderId="17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49" xfId="0" applyBorder="1">
      <alignment vertical="center"/>
    </xf>
    <xf numFmtId="0" fontId="0" fillId="0" borderId="93" xfId="0" applyBorder="1" applyAlignment="1"/>
    <xf numFmtId="0" fontId="44" fillId="0" borderId="2" xfId="4" applyFont="1" applyBorder="1" applyAlignment="1">
      <alignment vertical="center"/>
    </xf>
    <xf numFmtId="0" fontId="44" fillId="0" borderId="55" xfId="0" applyFont="1" applyBorder="1">
      <alignment vertical="center"/>
    </xf>
    <xf numFmtId="0" fontId="44" fillId="0" borderId="55" xfId="4" applyFont="1" applyBorder="1" applyAlignment="1">
      <alignment vertical="center"/>
    </xf>
    <xf numFmtId="0" fontId="44" fillId="0" borderId="31" xfId="4" applyFont="1" applyBorder="1" applyAlignment="1">
      <alignment horizontal="center" vertical="center"/>
    </xf>
    <xf numFmtId="0" fontId="44" fillId="0" borderId="30" xfId="4" applyFont="1" applyBorder="1" applyAlignment="1">
      <alignment horizontal="centerContinuous" vertical="center"/>
    </xf>
    <xf numFmtId="0" fontId="44" fillId="0" borderId="35" xfId="4" applyFont="1" applyBorder="1" applyAlignment="1">
      <alignment horizontal="center" vertical="center"/>
    </xf>
    <xf numFmtId="0" fontId="44" fillId="0" borderId="10" xfId="0" applyFont="1" applyBorder="1">
      <alignment vertical="center"/>
    </xf>
    <xf numFmtId="0" fontId="44" fillId="0" borderId="14" xfId="4" applyFont="1" applyBorder="1" applyAlignment="1">
      <alignment vertical="center"/>
    </xf>
    <xf numFmtId="0" fontId="44" fillId="0" borderId="94" xfId="0" applyFont="1" applyBorder="1">
      <alignment vertical="center"/>
    </xf>
    <xf numFmtId="0" fontId="44" fillId="0" borderId="49" xfId="0" applyFont="1" applyBorder="1">
      <alignment vertical="center"/>
    </xf>
    <xf numFmtId="0" fontId="44" fillId="0" borderId="39" xfId="0" applyFont="1" applyBorder="1">
      <alignment vertical="center"/>
    </xf>
    <xf numFmtId="0" fontId="44" fillId="0" borderId="95" xfId="0" applyFont="1" applyBorder="1">
      <alignment vertical="center"/>
    </xf>
    <xf numFmtId="0" fontId="44" fillId="0" borderId="96" xfId="0" applyFont="1" applyBorder="1">
      <alignment vertical="center"/>
    </xf>
    <xf numFmtId="0" fontId="44" fillId="0" borderId="97" xfId="0" applyFont="1" applyBorder="1">
      <alignment vertical="center"/>
    </xf>
    <xf numFmtId="0" fontId="44" fillId="0" borderId="98" xfId="0" applyFont="1" applyBorder="1">
      <alignment vertical="center"/>
    </xf>
    <xf numFmtId="0" fontId="44" fillId="12" borderId="31" xfId="0" applyFont="1" applyFill="1" applyBorder="1">
      <alignment vertical="center"/>
    </xf>
    <xf numFmtId="0" fontId="2" fillId="13" borderId="33" xfId="0" applyFont="1" applyFill="1" applyBorder="1" applyAlignment="1">
      <alignment vertical="center" wrapText="1"/>
    </xf>
    <xf numFmtId="0" fontId="11" fillId="3" borderId="34" xfId="1" applyFont="1" applyFill="1" applyBorder="1" applyAlignment="1">
      <alignment horizontal="left" vertical="center"/>
    </xf>
    <xf numFmtId="0" fontId="44" fillId="0" borderId="43" xfId="0" applyFont="1" applyBorder="1">
      <alignment vertical="center"/>
    </xf>
    <xf numFmtId="0" fontId="44" fillId="12" borderId="43" xfId="0" applyFont="1" applyFill="1" applyBorder="1">
      <alignment vertical="center"/>
    </xf>
    <xf numFmtId="0" fontId="44" fillId="12" borderId="30" xfId="0" applyFont="1" applyFill="1" applyBorder="1" applyAlignment="1">
      <alignment vertical="center" shrinkToFit="1"/>
    </xf>
    <xf numFmtId="0" fontId="44" fillId="12" borderId="43" xfId="0" applyFont="1" applyFill="1" applyBorder="1" applyAlignment="1">
      <alignment vertical="center" shrinkToFit="1"/>
    </xf>
    <xf numFmtId="0" fontId="44" fillId="12" borderId="36" xfId="5" applyFont="1" applyFill="1" applyBorder="1" applyAlignment="1"/>
    <xf numFmtId="0" fontId="2" fillId="13" borderId="23" xfId="0" applyFont="1" applyFill="1" applyBorder="1" applyAlignment="1">
      <alignment vertical="center" wrapText="1"/>
    </xf>
    <xf numFmtId="0" fontId="11" fillId="3" borderId="21" xfId="1" applyFont="1" applyFill="1" applyBorder="1" applyAlignment="1">
      <alignment horizontal="left" vertical="center"/>
    </xf>
    <xf numFmtId="0" fontId="44" fillId="0" borderId="99" xfId="0" applyFont="1" applyBorder="1">
      <alignment vertical="center"/>
    </xf>
    <xf numFmtId="0" fontId="44" fillId="12" borderId="99" xfId="0" applyFont="1" applyFill="1" applyBorder="1">
      <alignment vertical="center"/>
    </xf>
    <xf numFmtId="0" fontId="44" fillId="12" borderId="65" xfId="5" applyFont="1" applyFill="1" applyBorder="1" applyAlignment="1">
      <alignment shrinkToFit="1"/>
    </xf>
    <xf numFmtId="0" fontId="44" fillId="12" borderId="99" xfId="5" applyFont="1" applyFill="1" applyBorder="1" applyAlignment="1"/>
    <xf numFmtId="0" fontId="44" fillId="12" borderId="100" xfId="5" applyFont="1" applyFill="1" applyBorder="1" applyAlignment="1">
      <alignment shrinkToFit="1"/>
    </xf>
    <xf numFmtId="0" fontId="44" fillId="12" borderId="42" xfId="0" applyFont="1" applyFill="1" applyBorder="1">
      <alignment vertical="center"/>
    </xf>
    <xf numFmtId="0" fontId="44" fillId="12" borderId="100" xfId="0" applyFont="1" applyFill="1" applyBorder="1">
      <alignment vertical="center"/>
    </xf>
    <xf numFmtId="0" fontId="44" fillId="9" borderId="36" xfId="5" applyFont="1" applyFill="1" applyBorder="1" applyAlignment="1"/>
    <xf numFmtId="0" fontId="44" fillId="9" borderId="99" xfId="0" applyFont="1" applyFill="1" applyBorder="1">
      <alignment vertical="center"/>
    </xf>
    <xf numFmtId="0" fontId="44" fillId="9" borderId="42" xfId="0" applyFont="1" applyFill="1" applyBorder="1">
      <alignment vertical="center"/>
    </xf>
    <xf numFmtId="0" fontId="44" fillId="9" borderId="99" xfId="5" applyFont="1" applyFill="1" applyBorder="1" applyAlignment="1"/>
    <xf numFmtId="0" fontId="44" fillId="9" borderId="99" xfId="5" applyFont="1" applyFill="1" applyBorder="1" applyAlignment="1">
      <alignment shrinkToFit="1"/>
    </xf>
    <xf numFmtId="0" fontId="44" fillId="9" borderId="100" xfId="0" applyFont="1" applyFill="1" applyBorder="1">
      <alignment vertical="center"/>
    </xf>
    <xf numFmtId="0" fontId="44" fillId="9" borderId="100" xfId="5" applyFont="1" applyFill="1" applyBorder="1" applyAlignment="1">
      <alignment shrinkToFit="1"/>
    </xf>
    <xf numFmtId="0" fontId="2" fillId="0" borderId="39" xfId="0" applyFont="1" applyBorder="1" applyAlignment="1"/>
    <xf numFmtId="0" fontId="2" fillId="0" borderId="56" xfId="0" applyFont="1" applyBorder="1" applyAlignment="1">
      <alignment horizontal="left" vertical="center"/>
    </xf>
    <xf numFmtId="0" fontId="44" fillId="9" borderId="45" xfId="0" applyFont="1" applyFill="1" applyBorder="1">
      <alignment vertical="center"/>
    </xf>
    <xf numFmtId="0" fontId="2" fillId="13" borderId="19" xfId="0" applyFont="1" applyFill="1" applyBorder="1" applyAlignment="1">
      <alignment vertical="center" wrapText="1"/>
    </xf>
    <xf numFmtId="0" fontId="11" fillId="3" borderId="29" xfId="1" applyFont="1" applyFill="1" applyBorder="1" applyAlignment="1">
      <alignment horizontal="left" vertical="center"/>
    </xf>
    <xf numFmtId="0" fontId="44" fillId="12" borderId="35" xfId="0" applyFont="1" applyFill="1" applyBorder="1">
      <alignment vertical="center"/>
    </xf>
    <xf numFmtId="0" fontId="44" fillId="12" borderId="64" xfId="5" applyFont="1" applyFill="1" applyBorder="1" applyAlignment="1"/>
    <xf numFmtId="0" fontId="2" fillId="52" borderId="33" xfId="0" applyFont="1" applyFill="1" applyBorder="1" applyAlignment="1"/>
    <xf numFmtId="0" fontId="44" fillId="8" borderId="34" xfId="4" applyFont="1" applyFill="1" applyBorder="1" applyAlignment="1">
      <alignment vertical="center"/>
    </xf>
    <xf numFmtId="0" fontId="44" fillId="0" borderId="61" xfId="0" applyFont="1" applyBorder="1">
      <alignment vertical="center"/>
    </xf>
    <xf numFmtId="0" fontId="44" fillId="12" borderId="61" xfId="0" applyFont="1" applyFill="1" applyBorder="1">
      <alignment vertical="center"/>
    </xf>
    <xf numFmtId="0" fontId="44" fillId="12" borderId="61" xfId="5" applyFont="1" applyFill="1" applyBorder="1" applyAlignment="1"/>
    <xf numFmtId="0" fontId="44" fillId="12" borderId="61" xfId="5" applyFont="1" applyFill="1" applyBorder="1" applyAlignment="1">
      <alignment shrinkToFit="1"/>
    </xf>
    <xf numFmtId="0" fontId="2" fillId="52" borderId="23" xfId="0" applyFont="1" applyFill="1" applyBorder="1" applyAlignment="1"/>
    <xf numFmtId="0" fontId="44" fillId="8" borderId="21" xfId="4" applyFont="1" applyFill="1" applyBorder="1" applyAlignment="1">
      <alignment vertical="center"/>
    </xf>
    <xf numFmtId="0" fontId="44" fillId="12" borderId="99" xfId="5" applyFont="1" applyFill="1" applyBorder="1" applyAlignment="1">
      <alignment shrinkToFit="1"/>
    </xf>
    <xf numFmtId="0" fontId="11" fillId="12" borderId="100" xfId="5" applyFont="1" applyFill="1" applyBorder="1" applyAlignment="1">
      <alignment shrinkToFit="1"/>
    </xf>
    <xf numFmtId="0" fontId="11" fillId="12" borderId="99" xfId="5" applyFont="1" applyFill="1" applyBorder="1" applyAlignment="1"/>
    <xf numFmtId="0" fontId="11" fillId="12" borderId="99" xfId="5" applyFont="1" applyFill="1" applyBorder="1" applyAlignment="1">
      <alignment shrinkToFit="1"/>
    </xf>
    <xf numFmtId="0" fontId="11" fillId="9" borderId="42" xfId="0" applyFont="1" applyFill="1" applyBorder="1">
      <alignment vertical="center"/>
    </xf>
    <xf numFmtId="0" fontId="11" fillId="9" borderId="99" xfId="5" applyFont="1" applyFill="1" applyBorder="1" applyAlignment="1"/>
    <xf numFmtId="0" fontId="11" fillId="9" borderId="99" xfId="0" applyFont="1" applyFill="1" applyBorder="1">
      <alignment vertical="center"/>
    </xf>
    <xf numFmtId="0" fontId="11" fillId="9" borderId="99" xfId="5" applyFont="1" applyFill="1" applyBorder="1" applyAlignment="1">
      <alignment shrinkToFit="1"/>
    </xf>
    <xf numFmtId="0" fontId="11" fillId="9" borderId="100" xfId="0" applyFont="1" applyFill="1" applyBorder="1">
      <alignment vertical="center"/>
    </xf>
    <xf numFmtId="0" fontId="11" fillId="9" borderId="100" xfId="5" applyFont="1" applyFill="1" applyBorder="1" applyAlignment="1">
      <alignment shrinkToFit="1"/>
    </xf>
    <xf numFmtId="0" fontId="44" fillId="52" borderId="10" xfId="0" applyFont="1" applyFill="1" applyBorder="1">
      <alignment vertical="center"/>
    </xf>
    <xf numFmtId="0" fontId="44" fillId="9" borderId="59" xfId="5" applyFont="1" applyFill="1" applyBorder="1" applyAlignment="1"/>
    <xf numFmtId="0" fontId="2" fillId="52" borderId="26" xfId="0" applyFont="1" applyFill="1" applyBorder="1" applyAlignment="1"/>
    <xf numFmtId="0" fontId="44" fillId="8" borderId="27" xfId="4" applyFont="1" applyFill="1" applyBorder="1" applyAlignment="1">
      <alignment vertical="center"/>
    </xf>
    <xf numFmtId="0" fontId="44" fillId="0" borderId="45" xfId="0" applyFont="1" applyBorder="1">
      <alignment vertical="center"/>
    </xf>
    <xf numFmtId="0" fontId="44" fillId="9" borderId="101" xfId="0" applyFont="1" applyFill="1" applyBorder="1">
      <alignment vertical="center"/>
    </xf>
    <xf numFmtId="0" fontId="44" fillId="9" borderId="45" xfId="5" applyFont="1" applyFill="1" applyBorder="1" applyAlignment="1"/>
    <xf numFmtId="0" fontId="44" fillId="9" borderId="45" xfId="5" applyFont="1" applyFill="1" applyBorder="1" applyAlignment="1">
      <alignment shrinkToFit="1"/>
    </xf>
    <xf numFmtId="0" fontId="44" fillId="9" borderId="102" xfId="0" applyFont="1" applyFill="1" applyBorder="1">
      <alignment vertical="center"/>
    </xf>
    <xf numFmtId="0" fontId="44" fillId="12" borderId="103" xfId="5" applyFont="1" applyFill="1" applyBorder="1" applyAlignment="1"/>
    <xf numFmtId="0" fontId="44" fillId="0" borderId="104" xfId="0" applyFont="1" applyBorder="1">
      <alignment vertical="center"/>
    </xf>
    <xf numFmtId="0" fontId="44" fillId="12" borderId="45" xfId="0" applyFont="1" applyFill="1" applyBorder="1">
      <alignment vertical="center"/>
    </xf>
    <xf numFmtId="0" fontId="44" fillId="12" borderId="105" xfId="0" applyFont="1" applyFill="1" applyBorder="1">
      <alignment vertical="center"/>
    </xf>
    <xf numFmtId="0" fontId="44" fillId="12" borderId="104" xfId="5" applyFont="1" applyFill="1" applyBorder="1" applyAlignment="1"/>
    <xf numFmtId="0" fontId="44" fillId="12" borderId="104" xfId="5" applyFont="1" applyFill="1" applyBorder="1" applyAlignment="1">
      <alignment shrinkToFit="1"/>
    </xf>
    <xf numFmtId="0" fontId="44" fillId="12" borderId="95" xfId="5" applyFont="1" applyFill="1" applyBorder="1" applyAlignment="1">
      <alignment shrinkToFit="1"/>
    </xf>
    <xf numFmtId="0" fontId="44" fillId="0" borderId="22" xfId="0" applyFont="1" applyBorder="1" applyAlignment="1"/>
    <xf numFmtId="0" fontId="59" fillId="0" borderId="0" xfId="0" applyFont="1" applyAlignment="1">
      <alignment horizontal="center"/>
    </xf>
    <xf numFmtId="0" fontId="44" fillId="0" borderId="20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2" xfId="0" applyBorder="1" applyAlignment="1">
      <alignment horizontal="center"/>
    </xf>
    <xf numFmtId="0" fontId="44" fillId="0" borderId="2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3" fillId="10" borderId="1" xfId="5" applyFont="1" applyFill="1" applyBorder="1" applyAlignment="1">
      <alignment horizontal="center" vertical="center" wrapText="1"/>
    </xf>
    <xf numFmtId="0" fontId="3" fillId="10" borderId="20" xfId="5" applyFont="1" applyFill="1" applyBorder="1" applyAlignment="1">
      <alignment horizontal="center" vertical="center" wrapText="1"/>
    </xf>
    <xf numFmtId="0" fontId="44" fillId="10" borderId="43" xfId="5" applyFont="1" applyFill="1" applyBorder="1" applyAlignment="1">
      <alignment horizontal="center" vertical="center" wrapText="1"/>
    </xf>
    <xf numFmtId="0" fontId="44" fillId="10" borderId="99" xfId="5" applyFont="1" applyFill="1" applyBorder="1" applyAlignment="1">
      <alignment horizontal="center" vertical="center"/>
    </xf>
    <xf numFmtId="0" fontId="44" fillId="10" borderId="19" xfId="5" applyFont="1" applyFill="1" applyBorder="1" applyAlignment="1">
      <alignment horizontal="center" vertical="center"/>
    </xf>
    <xf numFmtId="0" fontId="44" fillId="10" borderId="54" xfId="5" applyFont="1" applyFill="1" applyBorder="1" applyAlignment="1">
      <alignment horizontal="center" vertical="center"/>
    </xf>
    <xf numFmtId="0" fontId="44" fillId="10" borderId="38" xfId="5" applyFont="1" applyFill="1" applyBorder="1" applyAlignment="1">
      <alignment horizontal="center" vertical="center"/>
    </xf>
    <xf numFmtId="0" fontId="44" fillId="10" borderId="29" xfId="5" applyFont="1" applyFill="1" applyBorder="1" applyAlignment="1">
      <alignment horizontal="center" vertical="center"/>
    </xf>
    <xf numFmtId="169" fontId="44" fillId="0" borderId="22" xfId="5" applyNumberFormat="1" applyFont="1" applyBorder="1" applyAlignment="1">
      <alignment horizontal="center" vertical="center"/>
    </xf>
    <xf numFmtId="169" fontId="44" fillId="0" borderId="21" xfId="5" applyNumberFormat="1" applyFont="1" applyBorder="1" applyAlignment="1">
      <alignment horizontal="center" vertical="center"/>
    </xf>
    <xf numFmtId="169" fontId="44" fillId="0" borderId="99" xfId="5" applyNumberFormat="1" applyFont="1" applyBorder="1" applyAlignment="1">
      <alignment horizontal="center" vertical="center"/>
    </xf>
    <xf numFmtId="169" fontId="44" fillId="0" borderId="45" xfId="5" applyNumberFormat="1" applyFont="1" applyBorder="1" applyAlignment="1">
      <alignment horizontal="center" vertical="center"/>
    </xf>
    <xf numFmtId="169" fontId="44" fillId="0" borderId="53" xfId="5" applyNumberFormat="1" applyFont="1" applyBorder="1" applyAlignment="1">
      <alignment horizontal="center" vertical="center"/>
    </xf>
    <xf numFmtId="169" fontId="44" fillId="0" borderId="27" xfId="5" applyNumberFormat="1" applyFont="1" applyBorder="1" applyAlignment="1">
      <alignment horizontal="center" vertical="center"/>
    </xf>
    <xf numFmtId="170" fontId="44" fillId="0" borderId="54" xfId="5" applyNumberFormat="1" applyFont="1" applyBorder="1" applyAlignment="1">
      <alignment horizontal="center"/>
    </xf>
    <xf numFmtId="170" fontId="44" fillId="0" borderId="38" xfId="5" applyNumberFormat="1" applyFont="1" applyBorder="1" applyAlignment="1">
      <alignment horizontal="center"/>
    </xf>
    <xf numFmtId="170" fontId="44" fillId="0" borderId="29" xfId="5" applyNumberFormat="1" applyFont="1" applyBorder="1" applyAlignment="1">
      <alignment horizontal="center"/>
    </xf>
    <xf numFmtId="170" fontId="44" fillId="0" borderId="23" xfId="5" applyNumberFormat="1" applyFont="1" applyBorder="1" applyAlignment="1">
      <alignment horizontal="center"/>
    </xf>
    <xf numFmtId="170" fontId="44" fillId="0" borderId="26" xfId="5" applyNumberFormat="1" applyFont="1" applyBorder="1" applyAlignment="1">
      <alignment horizontal="center"/>
    </xf>
    <xf numFmtId="170" fontId="44" fillId="0" borderId="1" xfId="5" applyNumberFormat="1" applyFont="1" applyBorder="1" applyAlignment="1">
      <alignment horizontal="center" vertical="center"/>
    </xf>
    <xf numFmtId="170" fontId="44" fillId="0" borderId="28" xfId="5" applyNumberFormat="1" applyFont="1" applyBorder="1" applyAlignment="1">
      <alignment horizontal="center" vertical="center"/>
    </xf>
    <xf numFmtId="170" fontId="44" fillId="0" borderId="21" xfId="5" applyNumberFormat="1" applyFont="1" applyBorder="1" applyAlignment="1">
      <alignment horizontal="center" vertical="center"/>
    </xf>
    <xf numFmtId="170" fontId="44" fillId="0" borderId="27" xfId="5" applyNumberFormat="1" applyFont="1" applyBorder="1" applyAlignment="1">
      <alignment horizontal="center" vertical="center"/>
    </xf>
    <xf numFmtId="170" fontId="44" fillId="0" borderId="19" xfId="5" applyNumberFormat="1" applyFont="1" applyBorder="1" applyAlignment="1">
      <alignment horizontal="center"/>
    </xf>
    <xf numFmtId="170" fontId="44" fillId="0" borderId="22" xfId="5" applyNumberFormat="1" applyFont="1" applyBorder="1" applyAlignment="1">
      <alignment horizontal="center"/>
    </xf>
    <xf numFmtId="170" fontId="44" fillId="0" borderId="53" xfId="5" applyNumberFormat="1" applyFont="1" applyBorder="1" applyAlignment="1">
      <alignment horizontal="center"/>
    </xf>
    <xf numFmtId="165" fontId="44" fillId="0" borderId="0" xfId="5" applyNumberFormat="1" applyFont="1" applyAlignment="1">
      <alignment horizontal="center" vertical="center" shrinkToFit="1"/>
    </xf>
    <xf numFmtId="169" fontId="44" fillId="0" borderId="1" xfId="5" applyNumberFormat="1" applyFont="1" applyBorder="1" applyAlignment="1">
      <alignment horizontal="center" vertical="center"/>
    </xf>
    <xf numFmtId="0" fontId="44" fillId="0" borderId="1" xfId="5" applyFont="1" applyBorder="1" applyAlignment="1">
      <alignment horizontal="center" vertical="center"/>
    </xf>
    <xf numFmtId="0" fontId="44" fillId="0" borderId="21" xfId="5" applyFont="1" applyBorder="1" applyAlignment="1">
      <alignment horizontal="center" vertical="center"/>
    </xf>
    <xf numFmtId="0" fontId="44" fillId="0" borderId="99" xfId="5" applyFont="1" applyBorder="1" applyAlignment="1">
      <alignment horizontal="center" vertical="center"/>
    </xf>
    <xf numFmtId="0" fontId="44" fillId="0" borderId="28" xfId="5" applyFont="1" applyBorder="1" applyAlignment="1">
      <alignment horizontal="center" vertical="center"/>
    </xf>
    <xf numFmtId="0" fontId="44" fillId="0" borderId="27" xfId="5" applyFont="1" applyBorder="1" applyAlignment="1">
      <alignment horizontal="center" vertical="center"/>
    </xf>
    <xf numFmtId="0" fontId="44" fillId="0" borderId="45" xfId="5" applyFont="1" applyBorder="1" applyAlignment="1">
      <alignment horizontal="center" vertical="center"/>
    </xf>
    <xf numFmtId="169" fontId="44" fillId="0" borderId="23" xfId="5" applyNumberFormat="1" applyFont="1" applyBorder="1" applyAlignment="1">
      <alignment horizontal="center" vertical="center"/>
    </xf>
    <xf numFmtId="0" fontId="44" fillId="0" borderId="23" xfId="5" applyFont="1" applyBorder="1" applyAlignment="1">
      <alignment horizontal="center" vertical="center"/>
    </xf>
    <xf numFmtId="0" fontId="44" fillId="0" borderId="26" xfId="5" applyFont="1" applyBorder="1" applyAlignment="1">
      <alignment horizontal="center" vertical="center"/>
    </xf>
    <xf numFmtId="169" fontId="44" fillId="11" borderId="23" xfId="5" applyNumberFormat="1" applyFont="1" applyFill="1" applyBorder="1" applyAlignment="1">
      <alignment horizontal="center" vertical="center"/>
    </xf>
    <xf numFmtId="169" fontId="44" fillId="18" borderId="21" xfId="5" applyNumberFormat="1" applyFont="1" applyFill="1" applyBorder="1" applyAlignment="1">
      <alignment horizontal="center" vertical="center"/>
    </xf>
    <xf numFmtId="169" fontId="44" fillId="11" borderId="26" xfId="5" applyNumberFormat="1" applyFont="1" applyFill="1" applyBorder="1" applyAlignment="1">
      <alignment horizontal="center" vertical="center"/>
    </xf>
    <xf numFmtId="169" fontId="44" fillId="18" borderId="27" xfId="5" applyNumberFormat="1" applyFont="1" applyFill="1" applyBorder="1" applyAlignment="1">
      <alignment horizontal="center" vertical="center"/>
    </xf>
    <xf numFmtId="169" fontId="44" fillId="13" borderId="1" xfId="5" applyNumberFormat="1" applyFont="1" applyFill="1" applyBorder="1" applyAlignment="1">
      <alignment horizontal="center" vertical="center"/>
    </xf>
    <xf numFmtId="169" fontId="44" fillId="13" borderId="28" xfId="5" applyNumberFormat="1" applyFont="1" applyFill="1" applyBorder="1" applyAlignment="1">
      <alignment horizontal="center" vertical="center"/>
    </xf>
    <xf numFmtId="0" fontId="3" fillId="10" borderId="18" xfId="5" applyFont="1" applyFill="1" applyBorder="1" applyAlignment="1">
      <alignment horizontal="center" vertical="center" wrapText="1"/>
    </xf>
    <xf numFmtId="166" fontId="44" fillId="0" borderId="1" xfId="5" applyNumberFormat="1" applyFont="1" applyBorder="1" applyAlignment="1">
      <alignment horizontal="center" vertical="center" shrinkToFit="1"/>
    </xf>
    <xf numFmtId="0" fontId="44" fillId="0" borderId="0" xfId="5" applyFont="1" applyAlignment="1">
      <alignment horizontal="center" vertical="center"/>
    </xf>
    <xf numFmtId="0" fontId="44" fillId="0" borderId="36" xfId="5" applyFont="1" applyBorder="1" applyAlignment="1">
      <alignment horizontal="center" vertical="center"/>
    </xf>
    <xf numFmtId="0" fontId="44" fillId="0" borderId="59" xfId="5" applyFont="1" applyBorder="1" applyAlignment="1">
      <alignment horizontal="center" vertical="center"/>
    </xf>
    <xf numFmtId="169" fontId="44" fillId="0" borderId="28" xfId="5" applyNumberFormat="1" applyFont="1" applyBorder="1" applyAlignment="1">
      <alignment horizontal="center" vertical="center"/>
    </xf>
    <xf numFmtId="169" fontId="44" fillId="0" borderId="36" xfId="5" applyNumberFormat="1" applyFont="1" applyBorder="1" applyAlignment="1">
      <alignment horizontal="center" vertical="center"/>
    </xf>
    <xf numFmtId="169" fontId="44" fillId="0" borderId="26" xfId="5" applyNumberFormat="1" applyFont="1" applyBorder="1" applyAlignment="1">
      <alignment horizontal="center" vertical="center"/>
    </xf>
    <xf numFmtId="0" fontId="44" fillId="10" borderId="6" xfId="5" applyFont="1" applyFill="1" applyBorder="1" applyAlignment="1">
      <alignment horizontal="center" vertical="center" shrinkToFit="1"/>
    </xf>
    <xf numFmtId="0" fontId="44" fillId="10" borderId="55" xfId="5" applyFont="1" applyFill="1" applyBorder="1" applyAlignment="1">
      <alignment horizontal="center" vertical="center" shrinkToFit="1"/>
    </xf>
    <xf numFmtId="0" fontId="44" fillId="10" borderId="52" xfId="5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169" fontId="44" fillId="15" borderId="23" xfId="0" applyNumberFormat="1" applyFont="1" applyFill="1" applyBorder="1" applyAlignment="1">
      <alignment horizontal="center" vertical="center" shrinkToFit="1"/>
    </xf>
    <xf numFmtId="169" fontId="44" fillId="13" borderId="1" xfId="0" applyNumberFormat="1" applyFont="1" applyFill="1" applyBorder="1" applyAlignment="1">
      <alignment horizontal="center" vertical="center" shrinkToFit="1"/>
    </xf>
    <xf numFmtId="169" fontId="44" fillId="13" borderId="28" xfId="0" applyNumberFormat="1" applyFont="1" applyFill="1" applyBorder="1" applyAlignment="1">
      <alignment horizontal="center" vertical="center" shrinkToFit="1"/>
    </xf>
    <xf numFmtId="169" fontId="44" fillId="18" borderId="1" xfId="0" applyNumberFormat="1" applyFont="1" applyFill="1" applyBorder="1" applyAlignment="1">
      <alignment horizontal="center" vertical="center" shrinkToFit="1"/>
    </xf>
    <xf numFmtId="169" fontId="44" fillId="15" borderId="26" xfId="0" applyNumberFormat="1" applyFont="1" applyFill="1" applyBorder="1" applyAlignment="1">
      <alignment horizontal="center" vertical="center" shrinkToFit="1"/>
    </xf>
    <xf numFmtId="0" fontId="2" fillId="0" borderId="23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2" fillId="0" borderId="20" xfId="2" applyBorder="1" applyAlignment="1">
      <alignment horizontal="center" vertical="center"/>
    </xf>
    <xf numFmtId="0" fontId="2" fillId="0" borderId="46" xfId="2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0" fontId="2" fillId="0" borderId="32" xfId="2" applyBorder="1" applyAlignment="1">
      <alignment horizontal="center" vertical="center"/>
    </xf>
    <xf numFmtId="169" fontId="44" fillId="18" borderId="28" xfId="0" applyNumberFormat="1" applyFont="1" applyFill="1" applyBorder="1" applyAlignment="1">
      <alignment horizontal="center" vertical="center" shrinkToFit="1"/>
    </xf>
    <xf numFmtId="169" fontId="44" fillId="0" borderId="1" xfId="5" applyNumberFormat="1" applyFont="1" applyBorder="1">
      <alignment vertical="center"/>
    </xf>
    <xf numFmtId="0" fontId="44" fillId="0" borderId="1" xfId="5" applyFont="1" applyBorder="1">
      <alignment vertical="center"/>
    </xf>
    <xf numFmtId="164" fontId="44" fillId="0" borderId="23" xfId="5" applyNumberFormat="1" applyFont="1" applyBorder="1" applyAlignment="1">
      <alignment horizontal="center" vertical="center"/>
    </xf>
    <xf numFmtId="164" fontId="44" fillId="0" borderId="1" xfId="5" applyNumberFormat="1" applyFont="1" applyBorder="1" applyAlignment="1">
      <alignment horizontal="center" vertical="center"/>
    </xf>
    <xf numFmtId="164" fontId="44" fillId="0" borderId="21" xfId="5" applyNumberFormat="1" applyFont="1" applyBorder="1" applyAlignment="1">
      <alignment horizontal="center" vertical="center"/>
    </xf>
    <xf numFmtId="164" fontId="44" fillId="0" borderId="38" xfId="5" applyNumberFormat="1" applyFont="1" applyBorder="1" applyAlignment="1">
      <alignment horizontal="center" vertical="center"/>
    </xf>
    <xf numFmtId="164" fontId="44" fillId="0" borderId="29" xfId="5" applyNumberFormat="1" applyFont="1" applyBorder="1" applyAlignment="1">
      <alignment horizontal="center" vertical="center"/>
    </xf>
    <xf numFmtId="0" fontId="3" fillId="10" borderId="52" xfId="5" applyFont="1" applyFill="1" applyBorder="1" applyAlignment="1">
      <alignment horizontal="center" vertical="center" wrapText="1"/>
    </xf>
    <xf numFmtId="0" fontId="3" fillId="10" borderId="51" xfId="5" applyFont="1" applyFill="1" applyBorder="1" applyAlignment="1">
      <alignment horizontal="center" vertical="center" wrapText="1"/>
    </xf>
    <xf numFmtId="164" fontId="44" fillId="0" borderId="19" xfId="5" applyNumberFormat="1" applyFont="1" applyBorder="1" applyAlignment="1">
      <alignment horizontal="center" vertical="center"/>
    </xf>
    <xf numFmtId="164" fontId="44" fillId="0" borderId="26" xfId="5" applyNumberFormat="1" applyFont="1" applyBorder="1" applyAlignment="1">
      <alignment horizontal="center" vertical="center"/>
    </xf>
    <xf numFmtId="164" fontId="44" fillId="0" borderId="28" xfId="5" applyNumberFormat="1" applyFont="1" applyBorder="1" applyAlignment="1">
      <alignment horizontal="center" vertical="center"/>
    </xf>
    <xf numFmtId="164" fontId="44" fillId="0" borderId="27" xfId="5" applyNumberFormat="1" applyFont="1" applyBorder="1" applyAlignment="1">
      <alignment horizontal="center" vertical="center"/>
    </xf>
  </cellXfs>
  <cellStyles count="8">
    <cellStyle name="Normal" xfId="0" builtinId="0"/>
    <cellStyle name="Normal 2 26 2 2" xfId="1" xr:uid="{771EC335-E2D0-422E-9DBA-96A367BC3944}"/>
    <cellStyle name="Normal_PINMAP_SNB_r0p614_08-18-2008" xfId="2" xr:uid="{F5227E91-D80B-414C-A215-D193092C2C09}"/>
    <cellStyle name="標準 2" xfId="3" xr:uid="{3B872E39-C297-4B1A-9922-6DD937F282B4}"/>
    <cellStyle name="標準 2 2" xfId="4" xr:uid="{AE320E04-E540-4BAF-8C94-5C32FD4CB9A0}"/>
    <cellStyle name="標準 3" xfId="5" xr:uid="{543D4DB6-2F58-4FED-969E-935B02E73B2A}"/>
    <cellStyle name="標準 3 2" xfId="6" xr:uid="{C07D5D02-9CEA-4291-B7C7-D648DF2E2075}"/>
    <cellStyle name="標準 4" xfId="7" xr:uid="{9FAAA95C-5792-49E6-AD0A-13BEE3F48B07}"/>
  </cellStyles>
  <dxfs count="361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234042</xdr:colOff>
      <xdr:row>0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CA9733E-057E-9C51-900E-865F2E368589}"/>
            </a:ext>
          </a:extLst>
        </xdr:cNvPr>
        <xdr:cNvSpPr txBox="1"/>
      </xdr:nvSpPr>
      <xdr:spPr>
        <a:xfrm>
          <a:off x="18522042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heah2/AppData/Local/Microsoft/Windows/Temporary%20Internet%20Files/Content.Outlook/EPWY7PXT/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Netlist"/>
      <sheetName val="Ballout"/>
      <sheetName val="XYCoordinates"/>
      <sheetName val="Footprint"/>
      <sheetName val="AllegroScript"/>
      <sheetName val="CPU+PCH"/>
      <sheetName val="X4 tester head over x6"/>
      <sheetName val="Tester config"/>
      <sheetName val="Power"/>
    </sheetNames>
    <sheetDataSet>
      <sheetData sheetId="0" refreshError="1"/>
      <sheetData sheetId="1" refreshError="1"/>
      <sheetData sheetId="2">
        <row r="1">
          <cell r="B1">
            <v>71</v>
          </cell>
          <cell r="C1">
            <v>70</v>
          </cell>
          <cell r="D1">
            <v>69</v>
          </cell>
          <cell r="E1">
            <v>68</v>
          </cell>
          <cell r="F1">
            <v>67</v>
          </cell>
          <cell r="G1">
            <v>66</v>
          </cell>
          <cell r="H1">
            <v>65</v>
          </cell>
          <cell r="I1">
            <v>64</v>
          </cell>
          <cell r="J1">
            <v>63</v>
          </cell>
          <cell r="K1">
            <v>62</v>
          </cell>
          <cell r="L1">
            <v>61</v>
          </cell>
          <cell r="M1">
            <v>60</v>
          </cell>
          <cell r="N1">
            <v>59</v>
          </cell>
          <cell r="O1">
            <v>58</v>
          </cell>
          <cell r="P1">
            <v>57</v>
          </cell>
          <cell r="Q1">
            <v>56</v>
          </cell>
          <cell r="R1">
            <v>55</v>
          </cell>
          <cell r="S1">
            <v>54</v>
          </cell>
          <cell r="T1">
            <v>53</v>
          </cell>
          <cell r="U1">
            <v>52</v>
          </cell>
          <cell r="V1">
            <v>51</v>
          </cell>
          <cell r="W1">
            <v>50</v>
          </cell>
          <cell r="X1">
            <v>49</v>
          </cell>
          <cell r="Y1">
            <v>48</v>
          </cell>
          <cell r="Z1">
            <v>47</v>
          </cell>
          <cell r="AA1">
            <v>46</v>
          </cell>
          <cell r="AB1">
            <v>45</v>
          </cell>
          <cell r="AC1">
            <v>44</v>
          </cell>
          <cell r="AD1">
            <v>43</v>
          </cell>
          <cell r="AE1">
            <v>42</v>
          </cell>
          <cell r="AF1">
            <v>41</v>
          </cell>
          <cell r="AG1">
            <v>40</v>
          </cell>
          <cell r="AH1">
            <v>39</v>
          </cell>
          <cell r="AI1">
            <v>38</v>
          </cell>
          <cell r="AJ1">
            <v>37</v>
          </cell>
          <cell r="AK1">
            <v>36</v>
          </cell>
          <cell r="AL1">
            <v>35</v>
          </cell>
          <cell r="AM1">
            <v>34</v>
          </cell>
          <cell r="AN1">
            <v>33</v>
          </cell>
          <cell r="AO1">
            <v>32</v>
          </cell>
          <cell r="AP1">
            <v>31</v>
          </cell>
          <cell r="AQ1">
            <v>30</v>
          </cell>
          <cell r="AR1">
            <v>29</v>
          </cell>
          <cell r="AS1">
            <v>28</v>
          </cell>
          <cell r="AT1">
            <v>27</v>
          </cell>
          <cell r="AU1">
            <v>26</v>
          </cell>
          <cell r="AV1">
            <v>25</v>
          </cell>
          <cell r="AW1">
            <v>24</v>
          </cell>
          <cell r="AX1">
            <v>23</v>
          </cell>
          <cell r="AY1">
            <v>22</v>
          </cell>
          <cell r="AZ1">
            <v>21</v>
          </cell>
          <cell r="BA1">
            <v>20</v>
          </cell>
          <cell r="BB1">
            <v>19</v>
          </cell>
          <cell r="BC1">
            <v>18</v>
          </cell>
          <cell r="BD1">
            <v>17</v>
          </cell>
          <cell r="BE1">
            <v>16</v>
          </cell>
          <cell r="BF1">
            <v>15</v>
          </cell>
          <cell r="BG1">
            <v>14</v>
          </cell>
          <cell r="BH1">
            <v>13</v>
          </cell>
          <cell r="BI1">
            <v>12</v>
          </cell>
          <cell r="BJ1">
            <v>11</v>
          </cell>
          <cell r="BK1">
            <v>10</v>
          </cell>
          <cell r="BL1">
            <v>9</v>
          </cell>
          <cell r="BM1">
            <v>8</v>
          </cell>
          <cell r="BN1">
            <v>7</v>
          </cell>
          <cell r="BO1">
            <v>6</v>
          </cell>
          <cell r="BP1">
            <v>5</v>
          </cell>
          <cell r="BQ1">
            <v>4</v>
          </cell>
          <cell r="BR1">
            <v>3</v>
          </cell>
          <cell r="BS1">
            <v>2</v>
          </cell>
          <cell r="BT1">
            <v>1</v>
          </cell>
        </row>
        <row r="2">
          <cell r="A2" t="str">
            <v>BB</v>
          </cell>
          <cell r="B2" t="str">
            <v>---</v>
          </cell>
          <cell r="C2" t="str">
            <v>VSS</v>
          </cell>
          <cell r="D2" t="str">
            <v>DDR_VIEW[1]</v>
          </cell>
          <cell r="E2" t="str">
            <v>DDR_VIEW[0]</v>
          </cell>
          <cell r="F2" t="str">
            <v>VSS</v>
          </cell>
          <cell r="G2" t="str">
            <v>VCCGTU</v>
          </cell>
          <cell r="H2" t="str">
            <v>DDRDQ_IL02_NIL04[0]</v>
          </cell>
          <cell r="I2" t="str">
            <v>VSS</v>
          </cell>
          <cell r="J2" t="str">
            <v>DDRDQ_IL02_NIL04[7]</v>
          </cell>
          <cell r="K2" t="str">
            <v>---</v>
          </cell>
          <cell r="L2" t="str">
            <v>DDRDQ_IL03_NIL05[4]</v>
          </cell>
          <cell r="M2" t="str">
            <v>VSS</v>
          </cell>
          <cell r="N2" t="str">
            <v>DDRDQ_IL03_NIL05[2]</v>
          </cell>
          <cell r="O2" t="str">
            <v>---</v>
          </cell>
          <cell r="P2" t="str">
            <v>VCCGTU</v>
          </cell>
          <cell r="Q2" t="str">
            <v>DDR0_CKE[1]</v>
          </cell>
          <cell r="R2" t="str">
            <v>VSS</v>
          </cell>
          <cell r="S2" t="str">
            <v>DDR0_MA[9]_CAA1</v>
          </cell>
          <cell r="T2" t="str">
            <v>---</v>
          </cell>
          <cell r="U2" t="str">
            <v>DDR0_MA[4]</v>
          </cell>
          <cell r="V2" t="str">
            <v>VCCDU</v>
          </cell>
          <cell r="W2" t="str">
            <v>DDR0_MA[1]_CAB8</v>
          </cell>
          <cell r="X2" t="str">
            <v>---</v>
          </cell>
          <cell r="Y2" t="str">
            <v>DDR1_MA[8]_CAA3</v>
          </cell>
          <cell r="Z2" t="str">
            <v>VCCDU</v>
          </cell>
          <cell r="AA2" t="str">
            <v>DDR1_MA[3]</v>
          </cell>
          <cell r="AB2" t="str">
            <v>---</v>
          </cell>
          <cell r="AC2" t="str">
            <v>DDR1_BA[0]_CAB4</v>
          </cell>
          <cell r="AD2" t="str">
            <v>VSS</v>
          </cell>
          <cell r="AE2" t="str">
            <v>DDR1_CS_N[0]</v>
          </cell>
          <cell r="AF2" t="str">
            <v>VCCDU</v>
          </cell>
          <cell r="AG2" t="str">
            <v>---</v>
          </cell>
          <cell r="AH2" t="str">
            <v>DDRDQ_IL04_NIL10[4]</v>
          </cell>
          <cell r="AI2" t="str">
            <v>VSS</v>
          </cell>
          <cell r="AJ2" t="str">
            <v>DDRDQ_IL04_NIL10[7]</v>
          </cell>
          <cell r="AK2" t="str">
            <v>---</v>
          </cell>
          <cell r="AL2" t="str">
            <v>DDRDQ_IL05_NIL11[4]</v>
          </cell>
          <cell r="AM2" t="str">
            <v>VSS</v>
          </cell>
          <cell r="AN2" t="str">
            <v>DDRDQ_IL05_NIL11[7]</v>
          </cell>
          <cell r="AO2" t="str">
            <v>VCCDU</v>
          </cell>
          <cell r="AP2" t="str">
            <v>DDRDQ_IL06_NIL14[4]</v>
          </cell>
          <cell r="AQ2" t="str">
            <v>VSS</v>
          </cell>
          <cell r="AR2" t="str">
            <v>DDRDQ_IL06_NIL14[7]</v>
          </cell>
          <cell r="AS2" t="str">
            <v>---</v>
          </cell>
          <cell r="AT2" t="str">
            <v>DDRDQ_IL07_NIL15[4]</v>
          </cell>
          <cell r="AU2" t="str">
            <v>VSS</v>
          </cell>
          <cell r="AV2" t="str">
            <v>DDRDQ_IL07_NIL15[7]</v>
          </cell>
          <cell r="AW2" t="str">
            <v>---</v>
          </cell>
          <cell r="AX2" t="str">
            <v>VCCDU</v>
          </cell>
          <cell r="AY2" t="str">
            <v>AZA_SDO_SSP0_TXD</v>
          </cell>
          <cell r="AZ2" t="str">
            <v>---</v>
          </cell>
          <cell r="BA2" t="str">
            <v>DSW_PWROK</v>
          </cell>
          <cell r="BB2" t="str">
            <v>---</v>
          </cell>
          <cell r="BC2" t="str">
            <v>VSS</v>
          </cell>
          <cell r="BD2" t="str">
            <v>GPD_9_SLP_WLANB</v>
          </cell>
          <cell r="BE2" t="str">
            <v>---</v>
          </cell>
          <cell r="BF2" t="str">
            <v>WAKEB</v>
          </cell>
          <cell r="BG2" t="str">
            <v>VCCPRTC_3P3</v>
          </cell>
          <cell r="BH2" t="str">
            <v>GPP_A_3_LAD_2_ESPI_IO_2</v>
          </cell>
          <cell r="BI2" t="str">
            <v>---</v>
          </cell>
          <cell r="BJ2" t="str">
            <v>GPP_A_7_PIRQAB</v>
          </cell>
          <cell r="BK2" t="str">
            <v>VCCRTCEXT</v>
          </cell>
          <cell r="BL2" t="str">
            <v>GPP_A_16_SD_1P8_SEL</v>
          </cell>
          <cell r="BM2" t="str">
            <v>---</v>
          </cell>
          <cell r="BN2" t="str">
            <v>GPP_A_20_ISH_GP_2</v>
          </cell>
          <cell r="BO2" t="str">
            <v>VSS</v>
          </cell>
          <cell r="BP2" t="str">
            <v>PGDMON</v>
          </cell>
          <cell r="BQ2" t="str">
            <v>AZA_PLLMON_P</v>
          </cell>
          <cell r="BR2" t="str">
            <v>FPF_VREF</v>
          </cell>
          <cell r="BS2" t="str">
            <v>CPU_POPIO_VIEW[0]</v>
          </cell>
          <cell r="BT2" t="str">
            <v>---</v>
          </cell>
        </row>
        <row r="3">
          <cell r="A3" t="str">
            <v>BA</v>
          </cell>
          <cell r="B3" t="str">
            <v>VSS</v>
          </cell>
          <cell r="C3" t="str">
            <v>CPU_EOPIO_VIEW[0]</v>
          </cell>
          <cell r="D3" t="str">
            <v>---</v>
          </cell>
          <cell r="E3" t="str">
            <v>CPU_EOPIO_VIEW[1]</v>
          </cell>
          <cell r="F3" t="str">
            <v>DDR_VREF_DQ[1]</v>
          </cell>
          <cell r="G3" t="str">
            <v>VSS</v>
          </cell>
          <cell r="H3" t="str">
            <v>DDRDQ_IL02_NIL04[4]</v>
          </cell>
          <cell r="I3" t="str">
            <v>DDRDQSN_IL02_NIL04</v>
          </cell>
          <cell r="J3" t="str">
            <v>DDRDQ_IL02_NIL04[6]</v>
          </cell>
          <cell r="K3" t="str">
            <v>VSS</v>
          </cell>
          <cell r="L3" t="str">
            <v>DDRDQ_IL03_NIL05[0]</v>
          </cell>
          <cell r="M3" t="str">
            <v>DDRDQSP_IL03_NIL05</v>
          </cell>
          <cell r="N3" t="str">
            <v>DDRDQ_IL03_NIL05[6]</v>
          </cell>
          <cell r="O3" t="str">
            <v>---</v>
          </cell>
          <cell r="P3" t="str">
            <v>VSS</v>
          </cell>
          <cell r="Q3" t="str">
            <v>DDR0_CKE[0]</v>
          </cell>
          <cell r="R3" t="str">
            <v>DDR0_MA[15]_CAA8_ACT_N</v>
          </cell>
          <cell r="S3" t="str">
            <v>DDR0_MA[11]_CAA7</v>
          </cell>
          <cell r="T3" t="str">
            <v>VSS</v>
          </cell>
          <cell r="U3" t="str">
            <v>DDR0_MA[6]_CAA2</v>
          </cell>
          <cell r="V3" t="str">
            <v>DDR0_MA[5]_CAA0</v>
          </cell>
          <cell r="W3" t="str">
            <v>DDR0_MA[3]</v>
          </cell>
          <cell r="X3" t="str">
            <v>VSS</v>
          </cell>
          <cell r="Y3" t="str">
            <v>DDR1_MA[6]_CAA2</v>
          </cell>
          <cell r="Z3" t="str">
            <v>DDR1_MA[4]</v>
          </cell>
          <cell r="AA3" t="str">
            <v>DDR1_MA[0]_CAB9</v>
          </cell>
          <cell r="AB3" t="str">
            <v>VSS</v>
          </cell>
          <cell r="AC3" t="str">
            <v>DDR1_BA[1]_CAB6</v>
          </cell>
          <cell r="AD3" t="str">
            <v>DDR1_MA[13]_CAB0</v>
          </cell>
          <cell r="AE3" t="str">
            <v>DDR1_ODT[0]</v>
          </cell>
          <cell r="AF3" t="str">
            <v>VSS</v>
          </cell>
          <cell r="AG3" t="str">
            <v>---</v>
          </cell>
          <cell r="AH3" t="str">
            <v>DDRDQ_IL04_NIL10[5]</v>
          </cell>
          <cell r="AI3" t="str">
            <v>DDRDQSN_IL04_NIL10</v>
          </cell>
          <cell r="AJ3" t="str">
            <v>DDRDQ_IL04_NIL10[6]</v>
          </cell>
          <cell r="AK3" t="str">
            <v>VSS</v>
          </cell>
          <cell r="AL3" t="str">
            <v>DDRDQ_IL05_NIL11[5]</v>
          </cell>
          <cell r="AM3" t="str">
            <v>DDRDQSP_IL05_NIL11</v>
          </cell>
          <cell r="AN3" t="str">
            <v>DDRDQ_IL05_NIL11[6]</v>
          </cell>
          <cell r="AO3" t="str">
            <v>VSS</v>
          </cell>
          <cell r="AP3" t="str">
            <v>DDRDQ_IL06_NIL14[5]</v>
          </cell>
          <cell r="AQ3" t="str">
            <v>DDRDQSN_IL06_NIL14</v>
          </cell>
          <cell r="AR3" t="str">
            <v>DDRDQ_IL06_NIL14[6]</v>
          </cell>
          <cell r="AS3" t="str">
            <v>VSS</v>
          </cell>
          <cell r="AT3" t="str">
            <v>DDRDQ_IL07_NIL15[5]</v>
          </cell>
          <cell r="AU3" t="str">
            <v>DDRDQSP_IL07_NIL15</v>
          </cell>
          <cell r="AV3" t="str">
            <v>DDRDQ_IL07_NIL15[6]</v>
          </cell>
          <cell r="AW3" t="str">
            <v>---</v>
          </cell>
          <cell r="AX3" t="str">
            <v>VSS</v>
          </cell>
          <cell r="AY3" t="str">
            <v>AZA_SYNC_SSP0_SFRM</v>
          </cell>
          <cell r="AZ3" t="str">
            <v>AZA_SDI_0_SSP0_RXD</v>
          </cell>
          <cell r="BA3" t="str">
            <v>PCH_PWROK</v>
          </cell>
          <cell r="BB3" t="str">
            <v>---</v>
          </cell>
          <cell r="BC3" t="str">
            <v>VSS</v>
          </cell>
          <cell r="BD3" t="str">
            <v>GPD_8_SUSCLK</v>
          </cell>
          <cell r="BE3" t="str">
            <v>GPD_5_SLP_S4B</v>
          </cell>
          <cell r="BF3" t="str">
            <v>GPD_3_PWRBTNB</v>
          </cell>
          <cell r="BG3" t="str">
            <v>VSS</v>
          </cell>
          <cell r="BH3" t="str">
            <v>GPP_A_2_LAD_1_ESPI_IO_1</v>
          </cell>
          <cell r="BI3" t="str">
            <v>GPP_A_5_LFRAMEB_ESPI_CSB</v>
          </cell>
          <cell r="BJ3" t="str">
            <v>GPP_A_14_SUS_STATB_ESPI_RESETB</v>
          </cell>
          <cell r="BK3" t="str">
            <v>VSS</v>
          </cell>
          <cell r="BL3" t="str">
            <v>GPP_A_17_SD_PWR_EN_B _ISH_GP_7</v>
          </cell>
          <cell r="BM3" t="str">
            <v>GPP_A_19_ISH_GP_1</v>
          </cell>
          <cell r="BN3" t="str">
            <v>GPP_A_21_ISH_GP_3</v>
          </cell>
          <cell r="BO3" t="str">
            <v>VSS</v>
          </cell>
          <cell r="BP3" t="str">
            <v>GPP_B_3_CPU_GP_2</v>
          </cell>
          <cell r="BQ3" t="str">
            <v>AZA_PLLMON_N</v>
          </cell>
          <cell r="BR3" t="str">
            <v>CPU_POPIO_VIEW[1]</v>
          </cell>
          <cell r="BS3" t="str">
            <v>VSS</v>
          </cell>
          <cell r="BT3" t="str">
            <v>VSS</v>
          </cell>
        </row>
        <row r="4">
          <cell r="A4" t="str">
            <v>AY</v>
          </cell>
          <cell r="B4" t="str">
            <v>EDRAM_EDM</v>
          </cell>
          <cell r="C4" t="str">
            <v>---</v>
          </cell>
          <cell r="D4" t="str">
            <v>---</v>
          </cell>
          <cell r="E4" t="str">
            <v>DDR_VREF_DQ[0]</v>
          </cell>
          <cell r="F4" t="str">
            <v>DDR_VREF_CA</v>
          </cell>
          <cell r="G4" t="str">
            <v>VSS</v>
          </cell>
          <cell r="H4" t="str">
            <v>DDRDQ_IL02_NIL04[5]</v>
          </cell>
          <cell r="I4" t="str">
            <v>DDRDQSP_IL02_NIL04</v>
          </cell>
          <cell r="J4" t="str">
            <v>DDRDQ_IL02_NIL04[3]</v>
          </cell>
          <cell r="K4" t="str">
            <v>---</v>
          </cell>
          <cell r="L4" t="str">
            <v>DDRDQ_IL03_NIL05[5]</v>
          </cell>
          <cell r="M4" t="str">
            <v>DDRDQSN_IL03_NIL05</v>
          </cell>
          <cell r="N4" t="str">
            <v>DDRDQ_IL03_NIL05[7]</v>
          </cell>
          <cell r="O4" t="str">
            <v>---</v>
          </cell>
          <cell r="P4" t="str">
            <v>---</v>
          </cell>
          <cell r="Q4" t="str">
            <v>DDR0_CKE[3]</v>
          </cell>
          <cell r="R4" t="str">
            <v>DDR0_BA[2]_CAA5_BG0</v>
          </cell>
          <cell r="S4" t="str">
            <v>DDR0_MA[14]_CAA9_BG1</v>
          </cell>
          <cell r="T4" t="str">
            <v>---</v>
          </cell>
          <cell r="U4" t="str">
            <v>DDR0_MA[8]_CAA3</v>
          </cell>
          <cell r="V4" t="str">
            <v>DDR0_MA[2]_CAB5</v>
          </cell>
          <cell r="W4" t="str">
            <v>DDR0_MA[0]_CAB9</v>
          </cell>
          <cell r="X4" t="str">
            <v>---</v>
          </cell>
          <cell r="Y4" t="str">
            <v>DDR1_MA[5]_CAA0</v>
          </cell>
          <cell r="Z4" t="str">
            <v>DDR1_MA[2]_CAB5</v>
          </cell>
          <cell r="AA4" t="str">
            <v>DDR1_MA[1]_CAB8</v>
          </cell>
          <cell r="AB4" t="str">
            <v>---</v>
          </cell>
          <cell r="AC4" t="str">
            <v>DDR1_WE_N_CAB2_MA14</v>
          </cell>
          <cell r="AD4" t="str">
            <v>DDR1_CAS_N_CAB1_MA15</v>
          </cell>
          <cell r="AE4" t="str">
            <v>DDR1_CS_N[1]</v>
          </cell>
          <cell r="AF4" t="str">
            <v>---</v>
          </cell>
          <cell r="AG4" t="str">
            <v>---</v>
          </cell>
          <cell r="AH4" t="str">
            <v>DDRDQ_IL04_NIL10[0]</v>
          </cell>
          <cell r="AI4" t="str">
            <v>DDRDQSP_IL04_NIL10</v>
          </cell>
          <cell r="AJ4" t="str">
            <v>DDRDQ_IL04_NIL10[2]</v>
          </cell>
          <cell r="AK4" t="str">
            <v>---</v>
          </cell>
          <cell r="AL4" t="str">
            <v>DDRDQ_IL05_NIL11[0]</v>
          </cell>
          <cell r="AM4" t="str">
            <v>DDRDQSN_IL05_NIL11</v>
          </cell>
          <cell r="AN4" t="str">
            <v>DDRDQ_IL05_NIL11[2]</v>
          </cell>
          <cell r="AO4" t="str">
            <v>---</v>
          </cell>
          <cell r="AP4" t="str">
            <v>DDRDQ_IL06_NIL14[0]</v>
          </cell>
          <cell r="AQ4" t="str">
            <v>DDRDQSP_IL06_NIL14</v>
          </cell>
          <cell r="AR4" t="str">
            <v>DDRDQ_IL06_NIL14[2]</v>
          </cell>
          <cell r="AS4" t="str">
            <v>---</v>
          </cell>
          <cell r="AT4" t="str">
            <v>DDRDQ_IL07_NIL15[0]</v>
          </cell>
          <cell r="AU4" t="str">
            <v>DDRDQSN_IL07_NIL15</v>
          </cell>
          <cell r="AV4" t="str">
            <v>DDRDQ_IL07_NIL15[2]</v>
          </cell>
          <cell r="AW4" t="str">
            <v>---</v>
          </cell>
          <cell r="AX4" t="str">
            <v>---</v>
          </cell>
          <cell r="AY4" t="str">
            <v>AZA_BCLK_SSP0_SCLK</v>
          </cell>
          <cell r="AZ4" t="str">
            <v>AZA_SDI_1_SSP1_RXD</v>
          </cell>
          <cell r="BA4" t="str">
            <v>SSP1_SFRM</v>
          </cell>
          <cell r="BB4" t="str">
            <v>---</v>
          </cell>
          <cell r="BC4" t="str">
            <v>---</v>
          </cell>
          <cell r="BD4" t="str">
            <v>RSMRSTB</v>
          </cell>
          <cell r="BE4" t="str">
            <v>GPD_10_SLP_S5B</v>
          </cell>
          <cell r="BF4" t="str">
            <v>GPD_1_ACPRESENT</v>
          </cell>
          <cell r="BG4" t="str">
            <v>---</v>
          </cell>
          <cell r="BH4" t="str">
            <v>GPP_A_1_LAD_0_ESPI_IO_0</v>
          </cell>
          <cell r="BI4" t="str">
            <v>GPP_A_4_LAD_3_ESPI_IO_3</v>
          </cell>
          <cell r="BJ4" t="str">
            <v>GPP_A_6_SERIRQ</v>
          </cell>
          <cell r="BK4" t="str">
            <v>---</v>
          </cell>
          <cell r="BL4" t="str">
            <v>GPP_A_10_CLKOUT_LPC_1</v>
          </cell>
          <cell r="BM4" t="str">
            <v>GPP_A_18_ISH_GP_0</v>
          </cell>
          <cell r="BN4" t="str">
            <v>GPP_A_22_ISH_GP_4</v>
          </cell>
          <cell r="BO4" t="str">
            <v>---</v>
          </cell>
          <cell r="BP4" t="str">
            <v>GPP_B_4_CPU_GP_3</v>
          </cell>
          <cell r="BQ4" t="str">
            <v>FPF_MON</v>
          </cell>
          <cell r="BR4" t="str">
            <v>PCH_EDM</v>
          </cell>
          <cell r="BS4" t="str">
            <v>TD_ANODE</v>
          </cell>
          <cell r="BT4" t="str">
            <v>TD_CATHODE</v>
          </cell>
        </row>
        <row r="5">
          <cell r="A5" t="str">
            <v>AW</v>
          </cell>
          <cell r="B5" t="str">
            <v>EDRAM_VIEW[0]</v>
          </cell>
          <cell r="C5" t="str">
            <v>EDRAM_VIEW[1]</v>
          </cell>
          <cell r="D5" t="str">
            <v>SPARE_1</v>
          </cell>
          <cell r="E5" t="str">
            <v>SPARE_2</v>
          </cell>
          <cell r="F5" t="str">
            <v>DDR_VTT_CTL</v>
          </cell>
          <cell r="G5" t="str">
            <v>VSS</v>
          </cell>
          <cell r="H5" t="str">
            <v>DDRDQ_IL02_NIL04[1]</v>
          </cell>
          <cell r="I5" t="str">
            <v>VSS</v>
          </cell>
          <cell r="J5" t="str">
            <v>DDRDQ_IL02_NIL04[2]</v>
          </cell>
          <cell r="K5" t="str">
            <v>VSS</v>
          </cell>
          <cell r="L5" t="str">
            <v>DDRDQ_IL03_NIL05[1]</v>
          </cell>
          <cell r="M5" t="str">
            <v>VSS</v>
          </cell>
          <cell r="N5" t="str">
            <v>DDRDQ_IL03_NIL05[3]</v>
          </cell>
          <cell r="O5" t="str">
            <v>---</v>
          </cell>
          <cell r="P5" t="str">
            <v>VSS</v>
          </cell>
          <cell r="Q5" t="str">
            <v>DDR0_CKE[2]</v>
          </cell>
          <cell r="R5" t="str">
            <v>VSS</v>
          </cell>
          <cell r="S5" t="str">
            <v>DDR0_MA[12]_CAA6</v>
          </cell>
          <cell r="T5" t="str">
            <v>VSS</v>
          </cell>
          <cell r="U5" t="str">
            <v>DDR0_MA[7]_CAA4</v>
          </cell>
          <cell r="V5" t="str">
            <v>VSS</v>
          </cell>
          <cell r="W5" t="str">
            <v>DDR0_ALERT_N</v>
          </cell>
          <cell r="X5" t="str">
            <v>VSS</v>
          </cell>
          <cell r="Y5" t="str">
            <v>SPARE_4</v>
          </cell>
          <cell r="Z5" t="str">
            <v>VSS</v>
          </cell>
          <cell r="AA5" t="str">
            <v>DDR1_MA[10]_CAB7</v>
          </cell>
          <cell r="AB5" t="str">
            <v>VSS</v>
          </cell>
          <cell r="AC5" t="str">
            <v>DDR1_RAS_N_CAB3_MA16</v>
          </cell>
          <cell r="AD5" t="str">
            <v>VSS</v>
          </cell>
          <cell r="AE5" t="str">
            <v>DDR1_ODT[1]</v>
          </cell>
          <cell r="AF5" t="str">
            <v>VSS</v>
          </cell>
          <cell r="AG5" t="str">
            <v>---</v>
          </cell>
          <cell r="AH5" t="str">
            <v>DDRDQ_IL04_NIL10[1]</v>
          </cell>
          <cell r="AI5" t="str">
            <v>VSS</v>
          </cell>
          <cell r="AJ5" t="str">
            <v>DDRDQ_IL04_NIL10[3]</v>
          </cell>
          <cell r="AK5" t="str">
            <v>VSS</v>
          </cell>
          <cell r="AL5" t="str">
            <v>DDRDQ_IL05_NIL11[1]</v>
          </cell>
          <cell r="AM5" t="str">
            <v>VSS</v>
          </cell>
          <cell r="AN5" t="str">
            <v>DDRDQ_IL05_NIL11[3]</v>
          </cell>
          <cell r="AO5" t="str">
            <v>VSS</v>
          </cell>
          <cell r="AP5" t="str">
            <v>DDRDQ_IL06_NIL14[1]</v>
          </cell>
          <cell r="AQ5" t="str">
            <v>VSS</v>
          </cell>
          <cell r="AR5" t="str">
            <v>DDRDQ_IL06_NIL14[3]</v>
          </cell>
          <cell r="AS5" t="str">
            <v>VSS</v>
          </cell>
          <cell r="AT5" t="str">
            <v>DDRDQ_IL07_NIL15[1]</v>
          </cell>
          <cell r="AU5" t="str">
            <v>VSS</v>
          </cell>
          <cell r="AV5" t="str">
            <v>DDRDQ_IL07_NIL15[3]</v>
          </cell>
          <cell r="AW5" t="str">
            <v>---</v>
          </cell>
          <cell r="AX5" t="str">
            <v>VSS</v>
          </cell>
          <cell r="AY5" t="str">
            <v>AZA_RSTB_SSP1_SCLK</v>
          </cell>
          <cell r="AZ5" t="str">
            <v>VSS</v>
          </cell>
          <cell r="BA5" t="str">
            <v>SSP1_TXD</v>
          </cell>
          <cell r="BB5" t="str">
            <v>---</v>
          </cell>
          <cell r="BC5" t="str">
            <v>VSS</v>
          </cell>
          <cell r="BD5" t="str">
            <v>GPD_11_LANPHYPC</v>
          </cell>
          <cell r="BE5" t="str">
            <v>VSS</v>
          </cell>
          <cell r="BF5" t="str">
            <v>SLP_LANB</v>
          </cell>
          <cell r="BG5" t="str">
            <v>VSS</v>
          </cell>
          <cell r="BH5" t="str">
            <v>GPP_A_0_RCINB</v>
          </cell>
          <cell r="BI5" t="str">
            <v>VSS</v>
          </cell>
          <cell r="BJ5" t="str">
            <v>GPP_A_8_CLKRUNB</v>
          </cell>
          <cell r="BK5" t="str">
            <v>VSS</v>
          </cell>
          <cell r="BL5" t="str">
            <v>GPP_A_9_CLKOUT_LPC_0_ESPI_CLK</v>
          </cell>
          <cell r="BM5" t="str">
            <v>VSS</v>
          </cell>
          <cell r="BN5" t="str">
            <v>GPP_A_23_ISH_GP_5</v>
          </cell>
          <cell r="BO5" t="str">
            <v>VSS</v>
          </cell>
          <cell r="BP5" t="str">
            <v>GPP_B_14_SPKR</v>
          </cell>
          <cell r="BQ5" t="str">
            <v>VSS</v>
          </cell>
          <cell r="BR5" t="str">
            <v>SPI0_MISO_IO_1</v>
          </cell>
          <cell r="BS5" t="str">
            <v>SPI0_IO_2</v>
          </cell>
          <cell r="BT5" t="str">
            <v>USB2_PLLMON</v>
          </cell>
        </row>
        <row r="6">
          <cell r="A6" t="str">
            <v>AV</v>
          </cell>
          <cell r="B6" t="str">
            <v>VSS</v>
          </cell>
          <cell r="C6" t="str">
            <v>VSS</v>
          </cell>
          <cell r="D6" t="str">
            <v>VSS</v>
          </cell>
          <cell r="E6" t="str">
            <v>VSS</v>
          </cell>
          <cell r="F6" t="str">
            <v>---</v>
          </cell>
          <cell r="G6" t="str">
            <v>---</v>
          </cell>
          <cell r="H6" t="str">
            <v>---</v>
          </cell>
          <cell r="I6" t="str">
            <v>---</v>
          </cell>
          <cell r="J6" t="str">
            <v>---</v>
          </cell>
          <cell r="K6" t="str">
            <v>---</v>
          </cell>
          <cell r="L6" t="str">
            <v>---</v>
          </cell>
          <cell r="M6" t="str">
            <v>---</v>
          </cell>
          <cell r="N6" t="str">
            <v>---</v>
          </cell>
          <cell r="O6" t="str">
            <v>---</v>
          </cell>
          <cell r="P6" t="str">
            <v>---</v>
          </cell>
          <cell r="Q6" t="str">
            <v>---</v>
          </cell>
          <cell r="R6" t="str">
            <v>---</v>
          </cell>
          <cell r="S6" t="str">
            <v>---</v>
          </cell>
          <cell r="T6" t="str">
            <v>---</v>
          </cell>
          <cell r="U6" t="str">
            <v>---</v>
          </cell>
          <cell r="V6" t="str">
            <v>---</v>
          </cell>
          <cell r="W6" t="str">
            <v>---</v>
          </cell>
          <cell r="X6" t="str">
            <v>---</v>
          </cell>
          <cell r="Y6" t="str">
            <v>---</v>
          </cell>
          <cell r="Z6" t="str">
            <v>---</v>
          </cell>
          <cell r="AA6" t="str">
            <v>---</v>
          </cell>
          <cell r="AB6" t="str">
            <v>---</v>
          </cell>
          <cell r="AC6" t="str">
            <v>---</v>
          </cell>
          <cell r="AD6" t="str">
            <v>---</v>
          </cell>
          <cell r="AE6" t="str">
            <v>---</v>
          </cell>
          <cell r="AF6" t="str">
            <v>---</v>
          </cell>
          <cell r="AG6" t="str">
            <v>---</v>
          </cell>
          <cell r="AH6" t="str">
            <v>---</v>
          </cell>
          <cell r="AI6" t="str">
            <v>---</v>
          </cell>
          <cell r="AJ6" t="str">
            <v>---</v>
          </cell>
          <cell r="AK6" t="str">
            <v>---</v>
          </cell>
          <cell r="AL6" t="str">
            <v>---</v>
          </cell>
          <cell r="AM6" t="str">
            <v>---</v>
          </cell>
          <cell r="AN6" t="str">
            <v>---</v>
          </cell>
          <cell r="AO6" t="str">
            <v>---</v>
          </cell>
          <cell r="AP6" t="str">
            <v>---</v>
          </cell>
          <cell r="AQ6" t="str">
            <v>---</v>
          </cell>
          <cell r="AR6" t="str">
            <v>---</v>
          </cell>
          <cell r="AS6" t="str">
            <v>---</v>
          </cell>
          <cell r="AT6" t="str">
            <v>---</v>
          </cell>
          <cell r="AU6" t="str">
            <v>---</v>
          </cell>
          <cell r="AV6" t="str">
            <v>---</v>
          </cell>
          <cell r="AW6" t="str">
            <v>---</v>
          </cell>
          <cell r="AX6" t="str">
            <v>---</v>
          </cell>
          <cell r="AY6" t="str">
            <v>---</v>
          </cell>
          <cell r="AZ6" t="str">
            <v>---</v>
          </cell>
          <cell r="BA6" t="str">
            <v>---</v>
          </cell>
          <cell r="BB6" t="str">
            <v>---</v>
          </cell>
          <cell r="BC6" t="str">
            <v>---</v>
          </cell>
          <cell r="BD6" t="str">
            <v>---</v>
          </cell>
          <cell r="BE6" t="str">
            <v>---</v>
          </cell>
          <cell r="BF6" t="str">
            <v>---</v>
          </cell>
          <cell r="BG6" t="str">
            <v>---</v>
          </cell>
          <cell r="BH6" t="str">
            <v>---</v>
          </cell>
          <cell r="BI6" t="str">
            <v>---</v>
          </cell>
          <cell r="BJ6" t="str">
            <v>---</v>
          </cell>
          <cell r="BK6" t="str">
            <v>---</v>
          </cell>
          <cell r="BL6" t="str">
            <v>---</v>
          </cell>
          <cell r="BM6" t="str">
            <v>---</v>
          </cell>
          <cell r="BN6" t="str">
            <v>---</v>
          </cell>
          <cell r="BO6" t="str">
            <v>---</v>
          </cell>
          <cell r="BP6" t="str">
            <v>---</v>
          </cell>
          <cell r="BQ6" t="str">
            <v>---</v>
          </cell>
          <cell r="BR6" t="str">
            <v>SPI0_MOSI_IO_0</v>
          </cell>
          <cell r="BS6" t="str">
            <v>SPI0_CLK</v>
          </cell>
          <cell r="BT6" t="str">
            <v>VSS</v>
          </cell>
        </row>
        <row r="7">
          <cell r="A7" t="str">
            <v>AU</v>
          </cell>
          <cell r="B7" t="str">
            <v>DDRDQ_IL01_NIL01[2]</v>
          </cell>
          <cell r="C7" t="str">
            <v>DDRDQ_IL01_NIL01[6]</v>
          </cell>
          <cell r="D7" t="str">
            <v>DDRDQ_IL01_NIL01[7]</v>
          </cell>
          <cell r="E7" t="str">
            <v>DDRDQ_IL01_NIL01[3]</v>
          </cell>
          <cell r="F7" t="str">
            <v>---</v>
          </cell>
          <cell r="G7" t="str">
            <v>DDRDQ_IL12_NIL06[1]</v>
          </cell>
          <cell r="H7" t="str">
            <v>DDRDQ_IL12_NIL06[7]</v>
          </cell>
          <cell r="I7" t="str">
            <v>---</v>
          </cell>
          <cell r="J7" t="str">
            <v>VCCGTU</v>
          </cell>
          <cell r="K7" t="str">
            <v>---</v>
          </cell>
          <cell r="L7" t="str">
            <v>DDRDQ_IL13_NIL07[1]</v>
          </cell>
          <cell r="M7" t="str">
            <v>DDRDQ_IL13_NIL07[7]</v>
          </cell>
          <cell r="N7" t="str">
            <v>---</v>
          </cell>
          <cell r="O7" t="str">
            <v>VCCGTU</v>
          </cell>
          <cell r="P7" t="str">
            <v>---</v>
          </cell>
          <cell r="Q7" t="str">
            <v>SPARE_3</v>
          </cell>
          <cell r="R7" t="str">
            <v>DDR0_CLK_N[1]</v>
          </cell>
          <cell r="S7" t="str">
            <v>---</v>
          </cell>
          <cell r="T7" t="str">
            <v>DDR0_CLK_N[0]</v>
          </cell>
          <cell r="U7" t="str">
            <v>DDR0_BA[0]_CAB4</v>
          </cell>
          <cell r="V7" t="str">
            <v>---</v>
          </cell>
          <cell r="W7" t="str">
            <v>DDR0_RAS_N_CAB3_MA16</v>
          </cell>
          <cell r="X7" t="str">
            <v>---</v>
          </cell>
          <cell r="Y7" t="str">
            <v>DDR0_CAS_N_CAB1_MA15</v>
          </cell>
          <cell r="Z7" t="str">
            <v>---</v>
          </cell>
          <cell r="AA7" t="str">
            <v>DDR0_MA[13]_CAB0</v>
          </cell>
          <cell r="AB7" t="str">
            <v>DDR0_CS_N[0]</v>
          </cell>
          <cell r="AC7" t="str">
            <v>---</v>
          </cell>
          <cell r="AD7" t="str">
            <v>DDR0_CS_N[1]</v>
          </cell>
          <cell r="AE7" t="str">
            <v>VCCDU</v>
          </cell>
          <cell r="AF7" t="str">
            <v>---</v>
          </cell>
          <cell r="AG7" t="str">
            <v>DDRDQ_IL14_NIL12[0]</v>
          </cell>
          <cell r="AH7" t="str">
            <v>---</v>
          </cell>
          <cell r="AI7" t="str">
            <v>VSS</v>
          </cell>
          <cell r="AJ7" t="str">
            <v>DDRDQ_IL14_NIL12[3]</v>
          </cell>
          <cell r="AK7" t="str">
            <v>---</v>
          </cell>
          <cell r="AL7" t="str">
            <v>VCCDU</v>
          </cell>
          <cell r="AM7" t="str">
            <v>---</v>
          </cell>
          <cell r="AN7" t="str">
            <v>DDRDQ_IL15_NIL13[1]</v>
          </cell>
          <cell r="AO7" t="str">
            <v>VSS</v>
          </cell>
          <cell r="AP7" t="str">
            <v>---</v>
          </cell>
          <cell r="AQ7" t="str">
            <v>DDRDQ_IL15_NIL13[2]</v>
          </cell>
          <cell r="AR7" t="str">
            <v>---</v>
          </cell>
          <cell r="AS7" t="str">
            <v>VCCDU</v>
          </cell>
          <cell r="AT7" t="str">
            <v>DDRDQ_IL16_NIL16[0]</v>
          </cell>
          <cell r="AU7" t="str">
            <v>---</v>
          </cell>
          <cell r="AV7" t="str">
            <v>DDRDQ_IL16_NIL16[3]</v>
          </cell>
          <cell r="AW7" t="str">
            <v>---</v>
          </cell>
          <cell r="AX7" t="str">
            <v>VCCDU</v>
          </cell>
          <cell r="AY7" t="str">
            <v>DDRDQ_IL17_NIL17[1]</v>
          </cell>
          <cell r="AZ7" t="str">
            <v>DDRDQ_IL17_NIL17[2]</v>
          </cell>
          <cell r="BA7" t="str">
            <v>VSS</v>
          </cell>
          <cell r="BB7" t="str">
            <v>---</v>
          </cell>
          <cell r="BC7" t="str">
            <v>DDR_COMP[2]</v>
          </cell>
          <cell r="BD7" t="str">
            <v>---</v>
          </cell>
          <cell r="BE7" t="str">
            <v>PCH_POPIRCOMP</v>
          </cell>
          <cell r="BF7" t="str">
            <v>VSS</v>
          </cell>
          <cell r="BG7" t="str">
            <v>---</v>
          </cell>
          <cell r="BH7" t="str">
            <v>GPD_0_BATLOWB</v>
          </cell>
          <cell r="BI7" t="str">
            <v>---</v>
          </cell>
          <cell r="BJ7" t="str">
            <v>GPP_A_11_PMEB</v>
          </cell>
          <cell r="BK7" t="str">
            <v>VSS</v>
          </cell>
          <cell r="BL7" t="str">
            <v>---</v>
          </cell>
          <cell r="BM7" t="str">
            <v>GPP_B_9_SRCCLKREQB_4</v>
          </cell>
          <cell r="BN7" t="str">
            <v>GPP_B_10_SRCCLKREQB_5</v>
          </cell>
          <cell r="BO7" t="str">
            <v>---</v>
          </cell>
          <cell r="BP7" t="str">
            <v>POPIICCCTL</v>
          </cell>
          <cell r="BQ7" t="str">
            <v>SPI0_IO_3</v>
          </cell>
          <cell r="BR7" t="str">
            <v>SPI0_FLASH_0_CSB</v>
          </cell>
          <cell r="BS7" t="str">
            <v>SPI0_FLASH_1_CSB</v>
          </cell>
          <cell r="BT7" t="str">
            <v>SPI0_TPM_CSB</v>
          </cell>
        </row>
        <row r="8">
          <cell r="A8" t="str">
            <v>AT</v>
          </cell>
          <cell r="B8" t="str">
            <v>VSS</v>
          </cell>
          <cell r="C8" t="str">
            <v>DDRDQSP_IL01_NIL01</v>
          </cell>
          <cell r="D8" t="str">
            <v>DDRDQSN_IL01_NIL01</v>
          </cell>
          <cell r="E8" t="str">
            <v>VSS</v>
          </cell>
          <cell r="F8" t="str">
            <v>---</v>
          </cell>
          <cell r="G8" t="str">
            <v>DDRDQ_IL12_NIL06[0]</v>
          </cell>
          <cell r="H8" t="str">
            <v>DDRDQ_IL12_NIL06[6]</v>
          </cell>
          <cell r="I8" t="str">
            <v>---</v>
          </cell>
          <cell r="J8" t="str">
            <v>VSS</v>
          </cell>
          <cell r="K8" t="str">
            <v>---</v>
          </cell>
          <cell r="L8" t="str">
            <v>DDRDQ_IL13_NIL07[0]</v>
          </cell>
          <cell r="M8" t="str">
            <v>DDRDQ_IL13_NIL07[6]</v>
          </cell>
          <cell r="N8" t="str">
            <v>---</v>
          </cell>
          <cell r="O8" t="str">
            <v>VSS</v>
          </cell>
          <cell r="P8" t="str">
            <v>---</v>
          </cell>
          <cell r="Q8" t="str">
            <v>VSS</v>
          </cell>
          <cell r="R8" t="str">
            <v>DDR0_CLK_P[1]</v>
          </cell>
          <cell r="S8" t="str">
            <v>---</v>
          </cell>
          <cell r="T8" t="str">
            <v>DDR0_CLK_P[0]</v>
          </cell>
          <cell r="U8" t="str">
            <v>DDR0_PARITY</v>
          </cell>
          <cell r="V8" t="str">
            <v>---</v>
          </cell>
          <cell r="W8" t="str">
            <v>DDR0_MA[10]_CAB7</v>
          </cell>
          <cell r="X8" t="str">
            <v>---</v>
          </cell>
          <cell r="Y8" t="str">
            <v>DDR0_BA[1]_CAB6</v>
          </cell>
          <cell r="Z8" t="str">
            <v>---</v>
          </cell>
          <cell r="AA8" t="str">
            <v>DDR0_WE_N_CAB2_MA14</v>
          </cell>
          <cell r="AB8" t="str">
            <v>DDR0_ODT[0]</v>
          </cell>
          <cell r="AC8" t="str">
            <v>---</v>
          </cell>
          <cell r="AD8" t="str">
            <v>DDR0_ODT[1]</v>
          </cell>
          <cell r="AE8" t="str">
            <v>VSS</v>
          </cell>
          <cell r="AF8" t="str">
            <v>---</v>
          </cell>
          <cell r="AG8" t="str">
            <v>DDRDQ_IL14_NIL12[1]</v>
          </cell>
          <cell r="AH8" t="str">
            <v>---</v>
          </cell>
          <cell r="AI8" t="str">
            <v>DDRDQSN_IL14_NIL12</v>
          </cell>
          <cell r="AJ8" t="str">
            <v>DDRDQ_IL14_NIL12[2]</v>
          </cell>
          <cell r="AK8" t="str">
            <v>---</v>
          </cell>
          <cell r="AL8" t="str">
            <v>VSS</v>
          </cell>
          <cell r="AM8" t="str">
            <v>---</v>
          </cell>
          <cell r="AN8" t="str">
            <v>DDRDQ_IL15_NIL13[0]</v>
          </cell>
          <cell r="AO8" t="str">
            <v>DDRDQSN_IL15_NIL13</v>
          </cell>
          <cell r="AP8" t="str">
            <v>---</v>
          </cell>
          <cell r="AQ8" t="str">
            <v>DDRDQ_IL15_NIL13[3]</v>
          </cell>
          <cell r="AR8" t="str">
            <v>---</v>
          </cell>
          <cell r="AS8" t="str">
            <v>VSS</v>
          </cell>
          <cell r="AT8" t="str">
            <v>DDRDQ_IL16_NIL16[1]</v>
          </cell>
          <cell r="AU8" t="str">
            <v>---</v>
          </cell>
          <cell r="AV8" t="str">
            <v>DDRDQ_IL16_NIL16[2]</v>
          </cell>
          <cell r="AW8" t="str">
            <v>---</v>
          </cell>
          <cell r="AX8" t="str">
            <v>VSS</v>
          </cell>
          <cell r="AY8" t="str">
            <v>DDRDQ_IL17_NIL17[0]</v>
          </cell>
          <cell r="AZ8" t="str">
            <v>DDRDQ_IL17_NIL17[3]</v>
          </cell>
          <cell r="BA8" t="str">
            <v>VSS</v>
          </cell>
          <cell r="BB8" t="str">
            <v>---</v>
          </cell>
          <cell r="BC8" t="str">
            <v>DDR_COMP[1]</v>
          </cell>
          <cell r="BD8" t="str">
            <v>---</v>
          </cell>
          <cell r="BE8" t="str">
            <v>CPU_POPIRCOMP</v>
          </cell>
          <cell r="BF8" t="str">
            <v>GPD_7_USB2_WAKEOUTB</v>
          </cell>
          <cell r="BG8" t="str">
            <v>---</v>
          </cell>
          <cell r="BH8" t="str">
            <v>DRAM_RESETB</v>
          </cell>
          <cell r="BI8" t="str">
            <v>---</v>
          </cell>
          <cell r="BJ8" t="str">
            <v>GPP_B_12_SLP_S0B</v>
          </cell>
          <cell r="BK8" t="str">
            <v>GPP_B_8_SRCCLKREQB_3</v>
          </cell>
          <cell r="BL8" t="str">
            <v>---</v>
          </cell>
          <cell r="BM8" t="str">
            <v>GPP_B_7_SRCCLKREQB_2</v>
          </cell>
          <cell r="BN8" t="str">
            <v>GPP_B_6_SRCCLKREQB_1</v>
          </cell>
          <cell r="BO8" t="str">
            <v>---</v>
          </cell>
          <cell r="BP8" t="str">
            <v>POPIICCOBS</v>
          </cell>
          <cell r="BQ8" t="str">
            <v>VSS</v>
          </cell>
          <cell r="BR8" t="str">
            <v>---</v>
          </cell>
          <cell r="BS8" t="str">
            <v>VSS</v>
          </cell>
          <cell r="BT8" t="str">
            <v>EMMC_RCOMP</v>
          </cell>
        </row>
        <row r="9">
          <cell r="A9" t="str">
            <v>AR</v>
          </cell>
          <cell r="B9" t="str">
            <v>DDRDQ_IL01_NIL01[4]</v>
          </cell>
          <cell r="C9" t="str">
            <v>DDRDQ_IL01_NIL01[0]</v>
          </cell>
          <cell r="D9" t="str">
            <v>DDRDQ_IL01_NIL01[5]</v>
          </cell>
          <cell r="E9" t="str">
            <v>DDRDQ_IL01_NIL01[1]</v>
          </cell>
          <cell r="F9" t="str">
            <v>---</v>
          </cell>
          <cell r="G9" t="str">
            <v>DDRDQSN_IL12_NIL06</v>
          </cell>
          <cell r="H9" t="str">
            <v>DDRDQSP_IL12_NIL06</v>
          </cell>
          <cell r="I9" t="str">
            <v>---</v>
          </cell>
          <cell r="J9" t="str">
            <v>VSS</v>
          </cell>
          <cell r="K9" t="str">
            <v>---</v>
          </cell>
          <cell r="L9" t="str">
            <v>DDRDQSN_IL13_NIL07</v>
          </cell>
          <cell r="M9" t="str">
            <v>DDRDQSP_IL13_NIL07</v>
          </cell>
          <cell r="N9" t="str">
            <v>---</v>
          </cell>
          <cell r="O9" t="str">
            <v>VSS</v>
          </cell>
          <cell r="P9" t="str">
            <v>---</v>
          </cell>
          <cell r="Q9" t="str">
            <v>ZVM_N</v>
          </cell>
          <cell r="R9" t="str">
            <v>VSS</v>
          </cell>
          <cell r="S9" t="str">
            <v>---</v>
          </cell>
          <cell r="T9" t="str">
            <v>VSS</v>
          </cell>
          <cell r="U9" t="str">
            <v>VSS</v>
          </cell>
          <cell r="V9" t="str">
            <v>---</v>
          </cell>
          <cell r="W9" t="str">
            <v>VSS</v>
          </cell>
          <cell r="X9" t="str">
            <v>---</v>
          </cell>
          <cell r="Y9" t="str">
            <v>VSS</v>
          </cell>
          <cell r="Z9" t="str">
            <v>---</v>
          </cell>
          <cell r="AA9" t="str">
            <v>VSS</v>
          </cell>
          <cell r="AB9" t="str">
            <v>VSS</v>
          </cell>
          <cell r="AC9" t="str">
            <v>---</v>
          </cell>
          <cell r="AD9" t="str">
            <v>VSS</v>
          </cell>
          <cell r="AE9" t="str">
            <v>VSS</v>
          </cell>
          <cell r="AF9" t="str">
            <v>---</v>
          </cell>
          <cell r="AG9" t="str">
            <v>DDRDQ_IL14_NIL12[4]</v>
          </cell>
          <cell r="AH9" t="str">
            <v>---</v>
          </cell>
          <cell r="AI9" t="str">
            <v>DDRDQSP_IL14_NIL12</v>
          </cell>
          <cell r="AJ9" t="str">
            <v>DDRDQ_IL14_NIL12[7]</v>
          </cell>
          <cell r="AK9" t="str">
            <v>---</v>
          </cell>
          <cell r="AL9" t="str">
            <v>VSS</v>
          </cell>
          <cell r="AM9" t="str">
            <v>---</v>
          </cell>
          <cell r="AN9" t="str">
            <v>DDRDQ_IL15_NIL13[4]</v>
          </cell>
          <cell r="AO9" t="str">
            <v>DDRDQSP_IL15_NIL13</v>
          </cell>
          <cell r="AP9" t="str">
            <v>---</v>
          </cell>
          <cell r="AQ9" t="str">
            <v>DDRDQ_IL15_NIL13[6]</v>
          </cell>
          <cell r="AR9" t="str">
            <v>---</v>
          </cell>
          <cell r="AS9" t="str">
            <v>VSS</v>
          </cell>
          <cell r="AT9" t="str">
            <v>DDRDQSP_IL16_NIL16</v>
          </cell>
          <cell r="AU9" t="str">
            <v>---</v>
          </cell>
          <cell r="AV9" t="str">
            <v>DDRDQSN_IL16_NIL16</v>
          </cell>
          <cell r="AW9" t="str">
            <v>---</v>
          </cell>
          <cell r="AX9" t="str">
            <v>VSS</v>
          </cell>
          <cell r="AY9" t="str">
            <v>DDRDQSN_IL17_NIL17</v>
          </cell>
          <cell r="AZ9" t="str">
            <v>DDRDQSP_IL17_NIL17</v>
          </cell>
          <cell r="BA9" t="str">
            <v>VSS</v>
          </cell>
          <cell r="BB9" t="str">
            <v>---</v>
          </cell>
          <cell r="BC9" t="str">
            <v>DDR_COMP[0]</v>
          </cell>
          <cell r="BD9" t="str">
            <v>---</v>
          </cell>
          <cell r="BE9" t="str">
            <v>VSS</v>
          </cell>
          <cell r="BF9" t="str">
            <v>VSS</v>
          </cell>
          <cell r="BG9" t="str">
            <v>---</v>
          </cell>
          <cell r="BH9" t="str">
            <v>GPP_A_13_SUSWARNB_SUSPWRDNACK</v>
          </cell>
          <cell r="BI9" t="str">
            <v>---</v>
          </cell>
          <cell r="BJ9" t="str">
            <v>VSS</v>
          </cell>
          <cell r="BK9" t="str">
            <v>GPP_B_5_SRCCLKREQB_0</v>
          </cell>
          <cell r="BL9" t="str">
            <v>---</v>
          </cell>
          <cell r="BM9" t="str">
            <v>VSS</v>
          </cell>
          <cell r="BN9" t="str">
            <v>GPP_B_18_GSPI0_MOSI</v>
          </cell>
          <cell r="BO9" t="str">
            <v>---</v>
          </cell>
          <cell r="BP9" t="str">
            <v>VSS</v>
          </cell>
          <cell r="BQ9" t="str">
            <v>---</v>
          </cell>
          <cell r="BR9" t="str">
            <v>---</v>
          </cell>
          <cell r="BS9" t="str">
            <v>---</v>
          </cell>
          <cell r="BT9" t="str">
            <v>---</v>
          </cell>
        </row>
        <row r="10">
          <cell r="A10" t="str">
            <v>AP</v>
          </cell>
          <cell r="B10" t="str">
            <v>---</v>
          </cell>
          <cell r="C10" t="str">
            <v>VSS</v>
          </cell>
          <cell r="D10" t="str">
            <v>---</v>
          </cell>
          <cell r="E10" t="str">
            <v>VSS</v>
          </cell>
          <cell r="F10" t="str">
            <v>---</v>
          </cell>
          <cell r="G10" t="str">
            <v>DDRDQ_IL12_NIL06[5]</v>
          </cell>
          <cell r="H10" t="str">
            <v>DDRDQ_IL12_NIL06[2]</v>
          </cell>
          <cell r="I10" t="str">
            <v>---</v>
          </cell>
          <cell r="J10" t="str">
            <v>VSS</v>
          </cell>
          <cell r="K10" t="str">
            <v>---</v>
          </cell>
          <cell r="L10" t="str">
            <v>DDRDQ_IL13_NIL07[5]</v>
          </cell>
          <cell r="M10" t="str">
            <v>DDRDQ_IL13_NIL07[2]</v>
          </cell>
          <cell r="N10" t="str">
            <v>---</v>
          </cell>
          <cell r="O10" t="str">
            <v>VSS</v>
          </cell>
          <cell r="P10" t="str">
            <v>---</v>
          </cell>
          <cell r="Q10" t="str">
            <v>MSM_N</v>
          </cell>
          <cell r="R10" t="str">
            <v>DDR1_CKE[1]</v>
          </cell>
          <cell r="S10" t="str">
            <v>---</v>
          </cell>
          <cell r="T10" t="str">
            <v>DDR1_CKE[3]</v>
          </cell>
          <cell r="U10" t="str">
            <v>DDR1_BA[2]_CAA5_BG0</v>
          </cell>
          <cell r="V10" t="str">
            <v>---</v>
          </cell>
          <cell r="W10" t="str">
            <v>DDR1_MA[9]_CAA1</v>
          </cell>
          <cell r="X10" t="str">
            <v>---</v>
          </cell>
          <cell r="Y10" t="str">
            <v>DDR1_MA[7]_CAA4</v>
          </cell>
          <cell r="Z10" t="str">
            <v>---</v>
          </cell>
          <cell r="AA10" t="str">
            <v>DDR1_CLK_P[1]</v>
          </cell>
          <cell r="AB10" t="str">
            <v>DDR1_CLK_P[0]</v>
          </cell>
          <cell r="AC10" t="str">
            <v>---</v>
          </cell>
          <cell r="AD10" t="str">
            <v>DDR1_PARITY</v>
          </cell>
          <cell r="AE10" t="str">
            <v>VSS</v>
          </cell>
          <cell r="AF10" t="str">
            <v>---</v>
          </cell>
          <cell r="AG10" t="str">
            <v>DDRDQ_IL14_NIL12[5]</v>
          </cell>
          <cell r="AH10" t="str">
            <v>---</v>
          </cell>
          <cell r="AI10" t="str">
            <v>VSS</v>
          </cell>
          <cell r="AJ10" t="str">
            <v>DDRDQ_IL14_NIL12[6]</v>
          </cell>
          <cell r="AK10" t="str">
            <v>---</v>
          </cell>
          <cell r="AL10" t="str">
            <v>VSS</v>
          </cell>
          <cell r="AM10" t="str">
            <v>---</v>
          </cell>
          <cell r="AN10" t="str">
            <v>DDRDQ_IL15_NIL13[5]</v>
          </cell>
          <cell r="AO10" t="str">
            <v>VSS</v>
          </cell>
          <cell r="AP10" t="str">
            <v>---</v>
          </cell>
          <cell r="AQ10" t="str">
            <v>DDRDQ_IL15_NIL13[7]</v>
          </cell>
          <cell r="AR10" t="str">
            <v>---</v>
          </cell>
          <cell r="AS10" t="str">
            <v>VSS</v>
          </cell>
          <cell r="AT10" t="str">
            <v>DDRDQ_IL16_NIL16[4]</v>
          </cell>
          <cell r="AU10" t="str">
            <v>---</v>
          </cell>
          <cell r="AV10" t="str">
            <v>DDRDQ_IL16_NIL16[7]</v>
          </cell>
          <cell r="AW10" t="str">
            <v>---</v>
          </cell>
          <cell r="AX10" t="str">
            <v>VSS</v>
          </cell>
          <cell r="AY10" t="str">
            <v>DDRDQ_IL17_NIL17[5]</v>
          </cell>
          <cell r="AZ10" t="str">
            <v>DDRDQ_IL17_NIL17[6]</v>
          </cell>
          <cell r="BA10" t="str">
            <v>VSS</v>
          </cell>
          <cell r="BB10" t="str">
            <v>---</v>
          </cell>
          <cell r="BC10" t="str">
            <v>VSS</v>
          </cell>
          <cell r="BD10" t="str">
            <v>---</v>
          </cell>
          <cell r="BE10" t="str">
            <v>INTRUDERB</v>
          </cell>
          <cell r="BF10" t="str">
            <v>GPD_4_SLP_S3B</v>
          </cell>
          <cell r="BG10" t="str">
            <v>---</v>
          </cell>
          <cell r="BH10" t="str">
            <v>GPP_A_12_BM_BUSYB_ISH_GP_6</v>
          </cell>
          <cell r="BI10" t="str">
            <v>---</v>
          </cell>
          <cell r="BJ10" t="str">
            <v>GPP_A_15_SUSACKB</v>
          </cell>
          <cell r="BK10" t="str">
            <v>VSS</v>
          </cell>
          <cell r="BL10" t="str">
            <v>---</v>
          </cell>
          <cell r="BM10" t="str">
            <v>GPP_B_17_GSPI0_MISO</v>
          </cell>
          <cell r="BN10" t="str">
            <v>GPP_B_16_GSPI0_CLK</v>
          </cell>
          <cell r="BO10" t="str">
            <v>---</v>
          </cell>
          <cell r="BP10" t="str">
            <v>GPP_B_21_GSPI1_MISO</v>
          </cell>
          <cell r="BQ10" t="str">
            <v>GPP_F_12_EMMC_CMD</v>
          </cell>
          <cell r="BR10" t="str">
            <v>GPP_F_15_EMMC_DATA2</v>
          </cell>
          <cell r="BS10" t="str">
            <v>GPP_F_13_EMMC_DATA0</v>
          </cell>
          <cell r="BT10" t="str">
            <v>GPP_F_14_EMMC_DATA1</v>
          </cell>
        </row>
        <row r="11">
          <cell r="A11" t="str">
            <v>AN</v>
          </cell>
          <cell r="B11" t="str">
            <v>DDRDQ_IL00_NIL00[7]</v>
          </cell>
          <cell r="C11" t="str">
            <v>DDRDQ_IL00_NIL00[6]</v>
          </cell>
          <cell r="D11" t="str">
            <v>DDRDQ_IL00_NIL00[3]</v>
          </cell>
          <cell r="E11" t="str">
            <v>DDRDQ_IL00_NIL00[2]</v>
          </cell>
          <cell r="F11" t="str">
            <v>---</v>
          </cell>
          <cell r="G11" t="str">
            <v>DDRDQ_IL12_NIL06[4]</v>
          </cell>
          <cell r="H11" t="str">
            <v>DDRDQ_IL12_NIL06[3]</v>
          </cell>
          <cell r="I11" t="str">
            <v>---</v>
          </cell>
          <cell r="J11" t="str">
            <v>VSS</v>
          </cell>
          <cell r="K11" t="str">
            <v>---</v>
          </cell>
          <cell r="L11" t="str">
            <v>DDRDQ_IL13_NIL07[4]</v>
          </cell>
          <cell r="M11" t="str">
            <v>DDRDQ_IL13_NIL07[3]</v>
          </cell>
          <cell r="N11" t="str">
            <v>---</v>
          </cell>
          <cell r="O11" t="str">
            <v>VSS</v>
          </cell>
          <cell r="P11" t="str">
            <v>---</v>
          </cell>
          <cell r="Q11" t="str">
            <v>DDR1_CKE[0]</v>
          </cell>
          <cell r="R11" t="str">
            <v>DDR1_CKE[2]</v>
          </cell>
          <cell r="S11" t="str">
            <v>---</v>
          </cell>
          <cell r="T11" t="str">
            <v>DDR1_MA[15]_CAA8_ACT_N</v>
          </cell>
          <cell r="U11" t="str">
            <v>DDR1_MA[14]_CAA9_BG1</v>
          </cell>
          <cell r="V11" t="str">
            <v>---</v>
          </cell>
          <cell r="W11" t="str">
            <v>DDR1_MA[12]_CAA6</v>
          </cell>
          <cell r="X11" t="str">
            <v>---</v>
          </cell>
          <cell r="Y11" t="str">
            <v>DDR1_MA[11]_CAA7</v>
          </cell>
          <cell r="Z11" t="str">
            <v>---</v>
          </cell>
          <cell r="AA11" t="str">
            <v>DDR1_CLK_N[1]</v>
          </cell>
          <cell r="AB11" t="str">
            <v>DDR1_CLK_N[0]</v>
          </cell>
          <cell r="AC11" t="str">
            <v>---</v>
          </cell>
          <cell r="AD11" t="str">
            <v>DDR1_ALERT_N</v>
          </cell>
          <cell r="AE11" t="str">
            <v>VSS</v>
          </cell>
          <cell r="AF11" t="str">
            <v>---</v>
          </cell>
          <cell r="AG11" t="str">
            <v>VSS</v>
          </cell>
          <cell r="AH11" t="str">
            <v>---</v>
          </cell>
          <cell r="AI11" t="str">
            <v>VSS</v>
          </cell>
          <cell r="AJ11" t="str">
            <v>VSS</v>
          </cell>
          <cell r="AK11" t="str">
            <v>---</v>
          </cell>
          <cell r="AL11" t="str">
            <v>VSS</v>
          </cell>
          <cell r="AM11" t="str">
            <v>---</v>
          </cell>
          <cell r="AN11" t="str">
            <v>VSS</v>
          </cell>
          <cell r="AO11" t="str">
            <v>VSS</v>
          </cell>
          <cell r="AP11" t="str">
            <v>---</v>
          </cell>
          <cell r="AQ11" t="str">
            <v>VSS</v>
          </cell>
          <cell r="AR11" t="str">
            <v>---</v>
          </cell>
          <cell r="AS11" t="str">
            <v>VSS</v>
          </cell>
          <cell r="AT11" t="str">
            <v>DDRDQ_IL16_NIL16[5]</v>
          </cell>
          <cell r="AU11" t="str">
            <v>---</v>
          </cell>
          <cell r="AV11" t="str">
            <v>DDRDQ_IL16_NIL16[6]</v>
          </cell>
          <cell r="AW11" t="str">
            <v>---</v>
          </cell>
          <cell r="AX11" t="str">
            <v>VSS</v>
          </cell>
          <cell r="AY11" t="str">
            <v>DDRDQ_IL17_NIL17[4]</v>
          </cell>
          <cell r="AZ11" t="str">
            <v>DDRDQ_IL17_NIL17[7]</v>
          </cell>
          <cell r="BA11" t="str">
            <v>VSS</v>
          </cell>
          <cell r="BB11" t="str">
            <v>---</v>
          </cell>
          <cell r="BC11" t="str">
            <v>SRTCRSTB</v>
          </cell>
          <cell r="BD11" t="str">
            <v>---</v>
          </cell>
          <cell r="BE11" t="str">
            <v>GPD_6_SLP_AB</v>
          </cell>
          <cell r="BF11" t="str">
            <v>SLP_SUSB</v>
          </cell>
          <cell r="BG11" t="str">
            <v>---</v>
          </cell>
          <cell r="BH11" t="str">
            <v>GPP_B_1_CORE_VID_1</v>
          </cell>
          <cell r="BI11" t="str">
            <v>---</v>
          </cell>
          <cell r="BJ11" t="str">
            <v>GPP_B_0_CORE_VID_0</v>
          </cell>
          <cell r="BK11" t="str">
            <v>GPP_B_13_PLTRSTB</v>
          </cell>
          <cell r="BL11" t="str">
            <v>---</v>
          </cell>
          <cell r="BM11" t="str">
            <v>GPP_B_15_GSPI0_CSB</v>
          </cell>
          <cell r="BN11" t="str">
            <v>GPP_B_20_GSPI1_CLK</v>
          </cell>
          <cell r="BO11" t="str">
            <v>---</v>
          </cell>
          <cell r="BP11" t="str">
            <v>GPP_B_22_GSPI1_MOSI</v>
          </cell>
          <cell r="BQ11" t="str">
            <v>---</v>
          </cell>
          <cell r="BR11" t="str">
            <v>GPP_F_16_EMMC_DATA3</v>
          </cell>
          <cell r="BS11" t="str">
            <v>GPP_F_18_EMMC_DATA5</v>
          </cell>
          <cell r="BT11" t="str">
            <v>GPP_F_17_EMMC_DATA4</v>
          </cell>
        </row>
        <row r="12">
          <cell r="A12" t="str">
            <v>AM</v>
          </cell>
          <cell r="B12" t="str">
            <v>VSS</v>
          </cell>
          <cell r="C12" t="str">
            <v>DDRDQSN_IL00_NIL00</v>
          </cell>
          <cell r="D12" t="str">
            <v>DDRDQSP_IL00_NIL00</v>
          </cell>
          <cell r="E12" t="str">
            <v>VSS</v>
          </cell>
          <cell r="F12" t="str">
            <v>---</v>
          </cell>
          <cell r="G12" t="str">
            <v>---</v>
          </cell>
          <cell r="H12" t="str">
            <v>---</v>
          </cell>
          <cell r="I12" t="str">
            <v>---</v>
          </cell>
          <cell r="J12" t="str">
            <v>---</v>
          </cell>
          <cell r="K12" t="str">
            <v>---</v>
          </cell>
          <cell r="L12" t="str">
            <v>VSS</v>
          </cell>
          <cell r="M12" t="str">
            <v>VSS</v>
          </cell>
          <cell r="N12" t="str">
            <v>---</v>
          </cell>
          <cell r="O12" t="str">
            <v>VCCGTU</v>
          </cell>
          <cell r="P12" t="str">
            <v>---</v>
          </cell>
          <cell r="Q12" t="str">
            <v>VCCGTU</v>
          </cell>
          <cell r="R12" t="str">
            <v>VSS</v>
          </cell>
          <cell r="S12" t="str">
            <v>---</v>
          </cell>
          <cell r="T12" t="str">
            <v>VCCGTU</v>
          </cell>
          <cell r="U12" t="str">
            <v>VCCGTU</v>
          </cell>
          <cell r="V12" t="str">
            <v>---</v>
          </cell>
          <cell r="W12" t="str">
            <v>VCCGTU</v>
          </cell>
          <cell r="X12" t="str">
            <v>---</v>
          </cell>
          <cell r="Y12" t="str">
            <v>VCCGTU</v>
          </cell>
          <cell r="Z12" t="str">
            <v>---</v>
          </cell>
          <cell r="AA12" t="str">
            <v>VSS</v>
          </cell>
          <cell r="AB12" t="str">
            <v>VSS</v>
          </cell>
          <cell r="AC12" t="str">
            <v>---</v>
          </cell>
          <cell r="AD12" t="str">
            <v>VSS</v>
          </cell>
          <cell r="AE12" t="str">
            <v>VCCIO</v>
          </cell>
          <cell r="AF12" t="str">
            <v>---</v>
          </cell>
          <cell r="AG12" t="str">
            <v>VCCDDQ_CLK</v>
          </cell>
          <cell r="AH12" t="str">
            <v>---</v>
          </cell>
          <cell r="AI12" t="str">
            <v>VCCCORE</v>
          </cell>
          <cell r="AJ12" t="str">
            <v>VCCCORE</v>
          </cell>
          <cell r="AK12" t="str">
            <v>---</v>
          </cell>
          <cell r="AL12" t="str">
            <v>VCCCORE</v>
          </cell>
          <cell r="AM12" t="str">
            <v>---</v>
          </cell>
          <cell r="AN12" t="str">
            <v>VCCCORE</v>
          </cell>
          <cell r="AO12" t="str">
            <v>VCCCORE</v>
          </cell>
          <cell r="AP12" t="str">
            <v>---</v>
          </cell>
          <cell r="AQ12" t="str">
            <v>VCCIO</v>
          </cell>
          <cell r="AR12" t="str">
            <v>---</v>
          </cell>
          <cell r="AS12" t="str">
            <v>VCCIO</v>
          </cell>
          <cell r="AT12" t="str">
            <v>VSS</v>
          </cell>
          <cell r="AU12" t="str">
            <v>---</v>
          </cell>
          <cell r="AV12" t="str">
            <v>VSS</v>
          </cell>
          <cell r="AW12" t="str">
            <v>---</v>
          </cell>
          <cell r="AX12" t="str">
            <v>VCCIO_SENSE</v>
          </cell>
          <cell r="AY12" t="str">
            <v>VSSIO_SENSE</v>
          </cell>
          <cell r="AZ12" t="str">
            <v>VSS</v>
          </cell>
          <cell r="BA12" t="str">
            <v>RTCX2</v>
          </cell>
          <cell r="BB12" t="str">
            <v>---</v>
          </cell>
          <cell r="BC12" t="str">
            <v>RTCX1</v>
          </cell>
          <cell r="BD12" t="str">
            <v>---</v>
          </cell>
          <cell r="BE12" t="str">
            <v>RTESTB</v>
          </cell>
          <cell r="BF12" t="str">
            <v>GPD_2_LAN_WAKEB</v>
          </cell>
          <cell r="BG12" t="str">
            <v>---</v>
          </cell>
          <cell r="BH12" t="str">
            <v>VSS</v>
          </cell>
          <cell r="BI12" t="str">
            <v>---</v>
          </cell>
          <cell r="BJ12" t="str">
            <v>GPP_B_2_VRALERTB</v>
          </cell>
          <cell r="BK12" t="str">
            <v>GPP_B_11_EXT_PWR_GATEB</v>
          </cell>
          <cell r="BL12" t="str">
            <v>---</v>
          </cell>
          <cell r="BM12" t="str">
            <v>VSS</v>
          </cell>
          <cell r="BN12" t="str">
            <v>GPP_B_23_SML1ALERTB_PCHHOTB</v>
          </cell>
          <cell r="BO12" t="str">
            <v>---</v>
          </cell>
          <cell r="BP12" t="str">
            <v>GPP_B_19_GSPI1_CSB</v>
          </cell>
          <cell r="BQ12" t="str">
            <v>GPP_F_19_EMMC_DATA6</v>
          </cell>
          <cell r="BR12" t="str">
            <v>GPP_F_22_EMMC_CLK</v>
          </cell>
          <cell r="BS12" t="str">
            <v>GPP_F_21_EMMC_RCLK</v>
          </cell>
          <cell r="BT12" t="str">
            <v>GPP_F_20_EMMC_DATA7</v>
          </cell>
        </row>
        <row r="13">
          <cell r="A13" t="str">
            <v>AL</v>
          </cell>
          <cell r="B13" t="str">
            <v>DDRDQ_IL00_NIL00[0]</v>
          </cell>
          <cell r="C13" t="str">
            <v>DDRDQ_IL00_NIL00[4]</v>
          </cell>
          <cell r="D13" t="str">
            <v>DDRDQ_IL00_NIL00[5]</v>
          </cell>
          <cell r="E13" t="str">
            <v>DDRDQ_IL00_NIL00[1]</v>
          </cell>
          <cell r="F13" t="str">
            <v>---</v>
          </cell>
          <cell r="G13" t="str">
            <v>VSS</v>
          </cell>
          <cell r="H13" t="str">
            <v>VSS</v>
          </cell>
          <cell r="I13" t="str">
            <v>VSS</v>
          </cell>
          <cell r="J13" t="str">
            <v>VCCEOPIO_SENSE</v>
          </cell>
          <cell r="K13" t="str">
            <v>---</v>
          </cell>
          <cell r="L13" t="str">
            <v>VSSGTU_SENSE</v>
          </cell>
          <cell r="M13" t="str">
            <v>VCCGTU</v>
          </cell>
          <cell r="N13" t="str">
            <v>---</v>
          </cell>
          <cell r="O13" t="str">
            <v>VSS</v>
          </cell>
          <cell r="P13" t="str">
            <v>---</v>
          </cell>
          <cell r="Q13" t="str">
            <v>VCCGTU</v>
          </cell>
          <cell r="R13" t="str">
            <v>VSS</v>
          </cell>
          <cell r="S13" t="str">
            <v>---</v>
          </cell>
          <cell r="T13" t="str">
            <v>VCCGTU</v>
          </cell>
          <cell r="U13" t="str">
            <v>VSS</v>
          </cell>
          <cell r="V13" t="str">
            <v>---</v>
          </cell>
          <cell r="W13" t="str">
            <v>VCCGTU</v>
          </cell>
          <cell r="X13" t="str">
            <v>---</v>
          </cell>
          <cell r="Y13" t="str">
            <v>VSS</v>
          </cell>
          <cell r="Z13" t="str">
            <v>---</v>
          </cell>
          <cell r="AA13" t="str">
            <v>VCCGTU</v>
          </cell>
          <cell r="AB13" t="str">
            <v>VSS</v>
          </cell>
          <cell r="AC13" t="str">
            <v>---</v>
          </cell>
          <cell r="AD13" t="str">
            <v>VCCGTU</v>
          </cell>
          <cell r="AE13" t="str">
            <v>VCCIO</v>
          </cell>
          <cell r="AF13" t="str">
            <v>---</v>
          </cell>
          <cell r="AG13" t="str">
            <v>VCCCORE</v>
          </cell>
          <cell r="AH13" t="str">
            <v>---</v>
          </cell>
          <cell r="AI13" t="str">
            <v>VSS</v>
          </cell>
          <cell r="AJ13" t="str">
            <v>VCCCORE</v>
          </cell>
          <cell r="AK13" t="str">
            <v>---</v>
          </cell>
          <cell r="AL13" t="str">
            <v>VSS</v>
          </cell>
          <cell r="AM13" t="str">
            <v>---</v>
          </cell>
          <cell r="AN13" t="str">
            <v>VCCCORE</v>
          </cell>
          <cell r="AO13" t="str">
            <v>VSS</v>
          </cell>
          <cell r="AP13" t="str">
            <v>---</v>
          </cell>
          <cell r="AQ13" t="str">
            <v>VCCIO</v>
          </cell>
          <cell r="AR13" t="str">
            <v>---</v>
          </cell>
          <cell r="AS13" t="str">
            <v>VSS</v>
          </cell>
          <cell r="AT13" t="str">
            <v>THERMDC2</v>
          </cell>
          <cell r="AU13" t="str">
            <v>---</v>
          </cell>
          <cell r="AV13" t="str">
            <v>THERMDA2</v>
          </cell>
          <cell r="AW13" t="str">
            <v>---</v>
          </cell>
          <cell r="AX13" t="str">
            <v>VCCSFR_OC</v>
          </cell>
          <cell r="AY13" t="str">
            <v>---</v>
          </cell>
          <cell r="AZ13" t="str">
            <v>---</v>
          </cell>
          <cell r="BA13" t="str">
            <v>---</v>
          </cell>
          <cell r="BB13" t="str">
            <v>---</v>
          </cell>
          <cell r="BC13" t="str">
            <v>---</v>
          </cell>
          <cell r="BD13" t="str">
            <v>---</v>
          </cell>
          <cell r="BE13" t="str">
            <v>---</v>
          </cell>
          <cell r="BF13" t="str">
            <v>---</v>
          </cell>
          <cell r="BG13" t="str">
            <v>---</v>
          </cell>
          <cell r="BH13" t="str">
            <v>---</v>
          </cell>
          <cell r="BI13" t="str">
            <v>---</v>
          </cell>
          <cell r="BJ13" t="str">
            <v>---</v>
          </cell>
          <cell r="BK13" t="str">
            <v>---</v>
          </cell>
          <cell r="BL13" t="str">
            <v>---</v>
          </cell>
          <cell r="BM13" t="str">
            <v>---</v>
          </cell>
          <cell r="BN13" t="str">
            <v>---</v>
          </cell>
          <cell r="BO13" t="str">
            <v>---</v>
          </cell>
          <cell r="BP13" t="str">
            <v>---</v>
          </cell>
          <cell r="BQ13" t="str">
            <v>VSS</v>
          </cell>
          <cell r="BR13" t="str">
            <v>---</v>
          </cell>
          <cell r="BS13" t="str">
            <v>VSS</v>
          </cell>
          <cell r="BT13" t="str">
            <v>VCCDSW_1P0</v>
          </cell>
        </row>
        <row r="14">
          <cell r="A14" t="str">
            <v>AK</v>
          </cell>
          <cell r="B14" t="str">
            <v>---</v>
          </cell>
          <cell r="C14" t="str">
            <v>VCCGTU</v>
          </cell>
          <cell r="D14" t="str">
            <v>VSS</v>
          </cell>
          <cell r="E14" t="str">
            <v>VSS</v>
          </cell>
          <cell r="F14" t="str">
            <v>DDRDQ_IL10_NIL02[6]</v>
          </cell>
          <cell r="G14" t="str">
            <v>DDRDQ_IL10_NIL02[7]</v>
          </cell>
          <cell r="H14" t="str">
            <v>DDRDQ_IL10_NIL02[2]</v>
          </cell>
          <cell r="I14" t="str">
            <v>DDRDQ_IL10_NIL02[3]</v>
          </cell>
          <cell r="J14" t="str">
            <v>VSS</v>
          </cell>
          <cell r="K14" t="str">
            <v>VCCGTU_SENSE</v>
          </cell>
          <cell r="L14" t="str">
            <v>---</v>
          </cell>
          <cell r="M14" t="str">
            <v>VCCGTU</v>
          </cell>
          <cell r="N14" t="str">
            <v>---</v>
          </cell>
          <cell r="O14" t="str">
            <v>VCCGTU</v>
          </cell>
          <cell r="P14" t="str">
            <v>---</v>
          </cell>
          <cell r="Q14" t="str">
            <v>VCCGTU</v>
          </cell>
          <cell r="R14" t="str">
            <v>VCCGTU</v>
          </cell>
          <cell r="S14" t="str">
            <v>---</v>
          </cell>
          <cell r="T14" t="str">
            <v>VCCGTU</v>
          </cell>
          <cell r="U14" t="str">
            <v>VCCGTU</v>
          </cell>
          <cell r="V14" t="str">
            <v>---</v>
          </cell>
          <cell r="W14" t="str">
            <v>VCCGTU</v>
          </cell>
          <cell r="X14" t="str">
            <v>---</v>
          </cell>
          <cell r="Y14" t="str">
            <v>VCCGTU</v>
          </cell>
          <cell r="Z14" t="str">
            <v>---</v>
          </cell>
          <cell r="AA14" t="str">
            <v>VCCGTU</v>
          </cell>
          <cell r="AB14" t="str">
            <v>VCCGTU</v>
          </cell>
          <cell r="AC14" t="str">
            <v>---</v>
          </cell>
          <cell r="AD14" t="str">
            <v>VCCGTU</v>
          </cell>
          <cell r="AE14" t="str">
            <v>VCCGTU</v>
          </cell>
          <cell r="AF14" t="str">
            <v>---</v>
          </cell>
          <cell r="AG14" t="str">
            <v>VCCCORE</v>
          </cell>
          <cell r="AH14" t="str">
            <v>---</v>
          </cell>
          <cell r="AI14" t="str">
            <v>VCCCORE</v>
          </cell>
          <cell r="AJ14" t="str">
            <v>VCCCORE</v>
          </cell>
          <cell r="AK14" t="str">
            <v>---</v>
          </cell>
          <cell r="AL14" t="str">
            <v>VCCCORE</v>
          </cell>
          <cell r="AM14" t="str">
            <v>---</v>
          </cell>
          <cell r="AN14" t="str">
            <v>VCCCORE</v>
          </cell>
          <cell r="AO14" t="str">
            <v>VCCCOREG1</v>
          </cell>
          <cell r="AP14" t="str">
            <v>---</v>
          </cell>
          <cell r="AQ14" t="str">
            <v>VCCIO</v>
          </cell>
          <cell r="AR14" t="str">
            <v>---</v>
          </cell>
          <cell r="AS14" t="str">
            <v>VCCIO</v>
          </cell>
          <cell r="AT14" t="str">
            <v>VSS</v>
          </cell>
          <cell r="AU14" t="str">
            <v>---</v>
          </cell>
          <cell r="AV14" t="str">
            <v>VCCSA</v>
          </cell>
          <cell r="AW14" t="str">
            <v>---</v>
          </cell>
          <cell r="AX14" t="str">
            <v>VCCSA</v>
          </cell>
          <cell r="AY14" t="str">
            <v>VSS</v>
          </cell>
          <cell r="AZ14" t="str">
            <v>VSS</v>
          </cell>
          <cell r="BA14" t="str">
            <v>VCCFHV_2P8</v>
          </cell>
          <cell r="BB14" t="str">
            <v>VCCPRTC_3P3</v>
          </cell>
          <cell r="BC14" t="str">
            <v>VSS</v>
          </cell>
          <cell r="BD14" t="str">
            <v>VCCPRTCPRIM_3P3</v>
          </cell>
          <cell r="BE14" t="str">
            <v>VSS</v>
          </cell>
          <cell r="BF14" t="str">
            <v>VCCPGPPA</v>
          </cell>
          <cell r="BG14" t="str">
            <v>---</v>
          </cell>
          <cell r="BH14" t="str">
            <v>PEG_VIEW[2]</v>
          </cell>
          <cell r="BI14" t="str">
            <v>PEG_VIEW[3]</v>
          </cell>
          <cell r="BJ14" t="str">
            <v>VSS</v>
          </cell>
          <cell r="BK14" t="str">
            <v>GPP_F_3_SSP2_RXD</v>
          </cell>
          <cell r="BL14" t="str">
            <v>GPP_F_2_SSP2_TXD</v>
          </cell>
          <cell r="BM14" t="str">
            <v>VSS</v>
          </cell>
          <cell r="BN14" t="str">
            <v>GPP_F_1_SSP2_SFRM</v>
          </cell>
          <cell r="BO14" t="str">
            <v>GPP_F_0_SSP2_SCLK</v>
          </cell>
          <cell r="BP14" t="str">
            <v>---</v>
          </cell>
          <cell r="BQ14" t="str">
            <v>---</v>
          </cell>
          <cell r="BR14" t="str">
            <v>---</v>
          </cell>
          <cell r="BS14" t="str">
            <v>---</v>
          </cell>
          <cell r="BT14" t="str">
            <v>---</v>
          </cell>
        </row>
        <row r="15">
          <cell r="A15" t="str">
            <v>AJ</v>
          </cell>
          <cell r="B15" t="str">
            <v>---</v>
          </cell>
          <cell r="C15" t="str">
            <v>---</v>
          </cell>
          <cell r="D15" t="str">
            <v>---</v>
          </cell>
          <cell r="E15" t="str">
            <v>---</v>
          </cell>
          <cell r="F15" t="str">
            <v>---</v>
          </cell>
          <cell r="G15" t="str">
            <v>---</v>
          </cell>
          <cell r="H15" t="str">
            <v>---</v>
          </cell>
          <cell r="I15" t="str">
            <v>---</v>
          </cell>
          <cell r="J15" t="str">
            <v>---</v>
          </cell>
          <cell r="K15" t="str">
            <v>VSSEOPIO_SENSE</v>
          </cell>
          <cell r="L15" t="str">
            <v>---</v>
          </cell>
          <cell r="M15" t="str">
            <v>---</v>
          </cell>
          <cell r="N15" t="str">
            <v>---</v>
          </cell>
          <cell r="O15" t="str">
            <v>---</v>
          </cell>
          <cell r="P15" t="str">
            <v>---</v>
          </cell>
          <cell r="Q15" t="str">
            <v>---</v>
          </cell>
          <cell r="R15" t="str">
            <v>---</v>
          </cell>
          <cell r="S15" t="str">
            <v>---</v>
          </cell>
          <cell r="T15" t="str">
            <v>---</v>
          </cell>
          <cell r="U15" t="str">
            <v>---</v>
          </cell>
          <cell r="V15" t="str">
            <v>---</v>
          </cell>
          <cell r="W15" t="str">
            <v>---</v>
          </cell>
          <cell r="X15" t="str">
            <v>---</v>
          </cell>
          <cell r="Y15" t="str">
            <v>---</v>
          </cell>
          <cell r="Z15" t="str">
            <v>---</v>
          </cell>
          <cell r="AA15" t="str">
            <v>---</v>
          </cell>
          <cell r="AB15" t="str">
            <v>---</v>
          </cell>
          <cell r="AC15" t="str">
            <v>---</v>
          </cell>
          <cell r="AD15" t="str">
            <v>---</v>
          </cell>
          <cell r="AE15" t="str">
            <v>---</v>
          </cell>
          <cell r="AF15" t="str">
            <v>---</v>
          </cell>
          <cell r="AG15" t="str">
            <v>---</v>
          </cell>
          <cell r="AH15" t="str">
            <v>---</v>
          </cell>
          <cell r="AI15" t="str">
            <v>---</v>
          </cell>
          <cell r="AJ15" t="str">
            <v>---</v>
          </cell>
          <cell r="AK15" t="str">
            <v>---</v>
          </cell>
          <cell r="AL15" t="str">
            <v>---</v>
          </cell>
          <cell r="AM15" t="str">
            <v>---</v>
          </cell>
          <cell r="AN15" t="str">
            <v>---</v>
          </cell>
          <cell r="AO15" t="str">
            <v>---</v>
          </cell>
          <cell r="AP15" t="str">
            <v>---</v>
          </cell>
          <cell r="AQ15" t="str">
            <v>---</v>
          </cell>
          <cell r="AR15" t="str">
            <v>---</v>
          </cell>
          <cell r="AS15" t="str">
            <v>---</v>
          </cell>
          <cell r="AT15" t="str">
            <v>---</v>
          </cell>
          <cell r="AU15" t="str">
            <v>---</v>
          </cell>
          <cell r="AV15" t="str">
            <v>---</v>
          </cell>
          <cell r="AW15" t="str">
            <v>---</v>
          </cell>
          <cell r="AX15" t="str">
            <v>---</v>
          </cell>
          <cell r="AY15" t="str">
            <v>---</v>
          </cell>
          <cell r="AZ15" t="str">
            <v>VCCPFUSE_3P3</v>
          </cell>
          <cell r="BA15" t="str">
            <v>VSS</v>
          </cell>
          <cell r="BB15" t="str">
            <v>VCCPAZIO</v>
          </cell>
          <cell r="BC15" t="str">
            <v>VSS</v>
          </cell>
          <cell r="BD15" t="str">
            <v>VCCPDSW_3P3</v>
          </cell>
          <cell r="BE15" t="str">
            <v>VCCPSPI</v>
          </cell>
          <cell r="BF15" t="str">
            <v>VSS</v>
          </cell>
          <cell r="BG15" t="str">
            <v>---</v>
          </cell>
          <cell r="BH15" t="str">
            <v>---</v>
          </cell>
          <cell r="BI15" t="str">
            <v>---</v>
          </cell>
          <cell r="BJ15" t="str">
            <v>---</v>
          </cell>
          <cell r="BK15" t="str">
            <v>---</v>
          </cell>
          <cell r="BL15" t="str">
            <v>---</v>
          </cell>
          <cell r="BM15" t="str">
            <v>---</v>
          </cell>
          <cell r="BN15" t="str">
            <v>---</v>
          </cell>
          <cell r="BO15" t="str">
            <v>---</v>
          </cell>
          <cell r="BP15" t="str">
            <v>---</v>
          </cell>
          <cell r="BQ15" t="str">
            <v>VSS</v>
          </cell>
          <cell r="BR15" t="str">
            <v>USB2P_3</v>
          </cell>
          <cell r="BS15" t="str">
            <v>USB2P_5</v>
          </cell>
          <cell r="BT15" t="str">
            <v>USB2N_5</v>
          </cell>
        </row>
        <row r="16">
          <cell r="A16" t="str">
            <v>AH</v>
          </cell>
          <cell r="B16" t="str">
            <v>DDRDQ_IL11_NIL03[2]</v>
          </cell>
          <cell r="C16" t="str">
            <v>DDRDQ_IL11_NIL03[6]</v>
          </cell>
          <cell r="D16" t="str">
            <v>DDRDQ_IL11_NIL03[7]</v>
          </cell>
          <cell r="E16" t="str">
            <v>DDRDQ_IL11_NIL03[3]</v>
          </cell>
          <cell r="F16" t="str">
            <v>VSS</v>
          </cell>
          <cell r="G16" t="str">
            <v>DDRDQSN_IL10_NIL02</v>
          </cell>
          <cell r="H16" t="str">
            <v>DDRDQSP_IL10_NIL02</v>
          </cell>
          <cell r="I16" t="str">
            <v>VSS</v>
          </cell>
          <cell r="J16" t="str">
            <v>VSS</v>
          </cell>
          <cell r="K16" t="str">
            <v>---</v>
          </cell>
          <cell r="L16" t="str">
            <v>---</v>
          </cell>
          <cell r="M16" t="str">
            <v>---</v>
          </cell>
          <cell r="N16" t="str">
            <v>---</v>
          </cell>
          <cell r="O16" t="str">
            <v>---</v>
          </cell>
          <cell r="P16" t="str">
            <v>---</v>
          </cell>
          <cell r="Q16" t="str">
            <v>---</v>
          </cell>
          <cell r="R16" t="str">
            <v>---</v>
          </cell>
          <cell r="S16" t="str">
            <v>---</v>
          </cell>
          <cell r="T16" t="str">
            <v>---</v>
          </cell>
          <cell r="U16" t="str">
            <v>---</v>
          </cell>
          <cell r="V16" t="str">
            <v>---</v>
          </cell>
          <cell r="W16" t="str">
            <v>---</v>
          </cell>
          <cell r="X16" t="str">
            <v>---</v>
          </cell>
          <cell r="Y16" t="str">
            <v>---</v>
          </cell>
          <cell r="Z16" t="str">
            <v>---</v>
          </cell>
          <cell r="AA16" t="str">
            <v>---</v>
          </cell>
          <cell r="AB16" t="str">
            <v>---</v>
          </cell>
          <cell r="AC16" t="str">
            <v>---</v>
          </cell>
          <cell r="AD16" t="str">
            <v>---</v>
          </cell>
          <cell r="AE16" t="str">
            <v>---</v>
          </cell>
          <cell r="AF16" t="str">
            <v>---</v>
          </cell>
          <cell r="AG16" t="str">
            <v>---</v>
          </cell>
          <cell r="AH16" t="str">
            <v>---</v>
          </cell>
          <cell r="AI16" t="str">
            <v>---</v>
          </cell>
          <cell r="AJ16" t="str">
            <v>---</v>
          </cell>
          <cell r="AK16" t="str">
            <v>---</v>
          </cell>
          <cell r="AL16" t="str">
            <v>---</v>
          </cell>
          <cell r="AM16" t="str">
            <v>---</v>
          </cell>
          <cell r="AN16" t="str">
            <v>---</v>
          </cell>
          <cell r="AO16" t="str">
            <v>---</v>
          </cell>
          <cell r="AP16" t="str">
            <v>---</v>
          </cell>
          <cell r="AQ16" t="str">
            <v>---</v>
          </cell>
          <cell r="AR16" t="str">
            <v>---</v>
          </cell>
          <cell r="AS16" t="str">
            <v>---</v>
          </cell>
          <cell r="AT16" t="str">
            <v>---</v>
          </cell>
          <cell r="AU16" t="str">
            <v>---</v>
          </cell>
          <cell r="AV16" t="str">
            <v>---</v>
          </cell>
          <cell r="AW16" t="str">
            <v>---</v>
          </cell>
          <cell r="AX16" t="str">
            <v>---</v>
          </cell>
          <cell r="AY16" t="str">
            <v>---</v>
          </cell>
          <cell r="AZ16" t="str">
            <v>---</v>
          </cell>
          <cell r="BA16" t="str">
            <v>---</v>
          </cell>
          <cell r="BB16" t="str">
            <v>---</v>
          </cell>
          <cell r="BC16" t="str">
            <v>---</v>
          </cell>
          <cell r="BD16" t="str">
            <v>---</v>
          </cell>
          <cell r="BE16" t="str">
            <v>---</v>
          </cell>
          <cell r="BF16" t="str">
            <v>---</v>
          </cell>
          <cell r="BG16" t="str">
            <v>---</v>
          </cell>
          <cell r="BH16" t="str">
            <v>VSS</v>
          </cell>
          <cell r="BI16" t="str">
            <v>GPP_F_7_I2C3_SCL</v>
          </cell>
          <cell r="BJ16" t="str">
            <v>GPP_F_6_I2C3_SDA</v>
          </cell>
          <cell r="BK16" t="str">
            <v>GPP_F_5_I2C2_SCL</v>
          </cell>
          <cell r="BL16" t="str">
            <v>GPP_F_4_I2C2_SDA</v>
          </cell>
          <cell r="BM16" t="str">
            <v>USB2P_10</v>
          </cell>
          <cell r="BN16" t="str">
            <v>USB2N_10</v>
          </cell>
          <cell r="BO16" t="str">
            <v>VSS</v>
          </cell>
          <cell r="BP16" t="str">
            <v>---</v>
          </cell>
          <cell r="BQ16" t="str">
            <v>---</v>
          </cell>
          <cell r="BR16" t="str">
            <v>USB2N_3</v>
          </cell>
          <cell r="BS16" t="str">
            <v>USB2P_7</v>
          </cell>
          <cell r="BT16" t="str">
            <v>USB2N_7</v>
          </cell>
        </row>
        <row r="17">
          <cell r="A17" t="str">
            <v>AG</v>
          </cell>
          <cell r="B17" t="str">
            <v>VSS</v>
          </cell>
          <cell r="C17" t="str">
            <v>DDRDQSP_IL11_NIL03</v>
          </cell>
          <cell r="D17" t="str">
            <v>DDRDQSN_IL11_NIL03</v>
          </cell>
          <cell r="E17" t="str">
            <v>---</v>
          </cell>
          <cell r="F17" t="str">
            <v>---</v>
          </cell>
          <cell r="G17" t="str">
            <v>---</v>
          </cell>
          <cell r="H17" t="str">
            <v>---</v>
          </cell>
          <cell r="I17" t="str">
            <v>---</v>
          </cell>
          <cell r="J17" t="str">
            <v>---</v>
          </cell>
          <cell r="K17" t="str">
            <v>VCCEOPIO</v>
          </cell>
          <cell r="L17" t="str">
            <v>---</v>
          </cell>
          <cell r="M17" t="str">
            <v>---</v>
          </cell>
          <cell r="N17" t="str">
            <v>---</v>
          </cell>
          <cell r="O17" t="str">
            <v>---</v>
          </cell>
          <cell r="P17" t="str">
            <v>---</v>
          </cell>
          <cell r="Q17" t="str">
            <v>---</v>
          </cell>
          <cell r="R17" t="str">
            <v>---</v>
          </cell>
          <cell r="S17" t="str">
            <v>---</v>
          </cell>
          <cell r="T17" t="str">
            <v>---</v>
          </cell>
          <cell r="U17" t="str">
            <v>---</v>
          </cell>
          <cell r="V17" t="str">
            <v>---</v>
          </cell>
          <cell r="W17" t="str">
            <v>---</v>
          </cell>
          <cell r="X17" t="str">
            <v>---</v>
          </cell>
          <cell r="Y17" t="str">
            <v>---</v>
          </cell>
          <cell r="Z17" t="str">
            <v>---</v>
          </cell>
          <cell r="AA17" t="str">
            <v>---</v>
          </cell>
          <cell r="AB17" t="str">
            <v>---</v>
          </cell>
          <cell r="AC17" t="str">
            <v>---</v>
          </cell>
          <cell r="AD17" t="str">
            <v>---</v>
          </cell>
          <cell r="AE17" t="str">
            <v>---</v>
          </cell>
          <cell r="AF17" t="str">
            <v>---</v>
          </cell>
          <cell r="AG17" t="str">
            <v>---</v>
          </cell>
          <cell r="AH17" t="str">
            <v>---</v>
          </cell>
          <cell r="AI17" t="str">
            <v>---</v>
          </cell>
          <cell r="AJ17" t="str">
            <v>---</v>
          </cell>
          <cell r="AK17" t="str">
            <v>---</v>
          </cell>
          <cell r="AL17" t="str">
            <v>---</v>
          </cell>
          <cell r="AM17" t="str">
            <v>---</v>
          </cell>
          <cell r="AN17" t="str">
            <v>---</v>
          </cell>
          <cell r="AO17" t="str">
            <v>---</v>
          </cell>
          <cell r="AP17" t="str">
            <v>---</v>
          </cell>
          <cell r="AQ17" t="str">
            <v>---</v>
          </cell>
          <cell r="AR17" t="str">
            <v>---</v>
          </cell>
          <cell r="AS17" t="str">
            <v>---</v>
          </cell>
          <cell r="AT17" t="str">
            <v>---</v>
          </cell>
          <cell r="AU17" t="str">
            <v>---</v>
          </cell>
          <cell r="AV17" t="str">
            <v>---</v>
          </cell>
          <cell r="AW17" t="str">
            <v>---</v>
          </cell>
          <cell r="AX17" t="str">
            <v>---</v>
          </cell>
          <cell r="AY17" t="str">
            <v>---</v>
          </cell>
          <cell r="AZ17" t="str">
            <v>VSS</v>
          </cell>
          <cell r="BA17" t="str">
            <v>VSS</v>
          </cell>
          <cell r="BB17" t="str">
            <v>VSS</v>
          </cell>
          <cell r="BC17" t="str">
            <v>VSS</v>
          </cell>
          <cell r="BD17" t="str">
            <v>VSS</v>
          </cell>
          <cell r="BE17" t="str">
            <v>VSS</v>
          </cell>
          <cell r="BF17" t="str">
            <v>VCCPGPPB</v>
          </cell>
          <cell r="BG17" t="str">
            <v>---</v>
          </cell>
          <cell r="BH17" t="str">
            <v>---</v>
          </cell>
          <cell r="BI17" t="str">
            <v>---</v>
          </cell>
          <cell r="BJ17" t="str">
            <v>---</v>
          </cell>
          <cell r="BK17" t="str">
            <v>---</v>
          </cell>
          <cell r="BL17" t="str">
            <v>---</v>
          </cell>
          <cell r="BM17" t="str">
            <v>---</v>
          </cell>
          <cell r="BN17" t="str">
            <v>---</v>
          </cell>
          <cell r="BO17" t="str">
            <v>---</v>
          </cell>
          <cell r="BP17" t="str">
            <v>---</v>
          </cell>
          <cell r="BQ17" t="str">
            <v>USB2_VBUSSENSE</v>
          </cell>
          <cell r="BR17" t="str">
            <v>USB2_ID</v>
          </cell>
          <cell r="BS17" t="str">
            <v>USB2P_9</v>
          </cell>
          <cell r="BT17" t="str">
            <v>USB2N_9</v>
          </cell>
        </row>
        <row r="18">
          <cell r="A18" t="str">
            <v>AF</v>
          </cell>
          <cell r="B18" t="str">
            <v>DDRDQ_IL11_NIL03[4]</v>
          </cell>
          <cell r="C18" t="str">
            <v>DDRDQ_IL11_NIL03[0]</v>
          </cell>
          <cell r="D18" t="str">
            <v>DDRDQ_IL11_NIL03[5]</v>
          </cell>
          <cell r="E18" t="str">
            <v>DDRDQ_IL11_NIL03[1]</v>
          </cell>
          <cell r="F18" t="str">
            <v>DDRDQ_IL10_NIL02[5]</v>
          </cell>
          <cell r="G18" t="str">
            <v>DDRDQ_IL10_NIL02[4]</v>
          </cell>
          <cell r="H18" t="str">
            <v>DDRDQ_IL10_NIL02[0]</v>
          </cell>
          <cell r="I18" t="str">
            <v>DDRDQ_IL10_NIL02[1]</v>
          </cell>
          <cell r="J18" t="str">
            <v>VSS</v>
          </cell>
          <cell r="K18" t="str">
            <v>---</v>
          </cell>
          <cell r="L18" t="str">
            <v>---</v>
          </cell>
          <cell r="M18" t="str">
            <v>---</v>
          </cell>
          <cell r="N18" t="str">
            <v>---</v>
          </cell>
          <cell r="O18" t="str">
            <v>---</v>
          </cell>
          <cell r="P18" t="str">
            <v>---</v>
          </cell>
          <cell r="Q18" t="str">
            <v>---</v>
          </cell>
          <cell r="R18" t="str">
            <v>---</v>
          </cell>
          <cell r="S18" t="str">
            <v>---</v>
          </cell>
          <cell r="T18" t="str">
            <v>---</v>
          </cell>
          <cell r="U18" t="str">
            <v>---</v>
          </cell>
          <cell r="V18" t="str">
            <v>---</v>
          </cell>
          <cell r="W18" t="str">
            <v>---</v>
          </cell>
          <cell r="X18" t="str">
            <v>---</v>
          </cell>
          <cell r="Y18" t="str">
            <v>---</v>
          </cell>
          <cell r="Z18" t="str">
            <v>---</v>
          </cell>
          <cell r="AA18" t="str">
            <v>---</v>
          </cell>
          <cell r="AB18" t="str">
            <v>---</v>
          </cell>
          <cell r="AC18" t="str">
            <v>---</v>
          </cell>
          <cell r="AD18" t="str">
            <v>---</v>
          </cell>
          <cell r="AE18" t="str">
            <v>---</v>
          </cell>
          <cell r="AF18" t="str">
            <v>---</v>
          </cell>
          <cell r="AG18" t="str">
            <v>---</v>
          </cell>
          <cell r="AH18" t="str">
            <v>---</v>
          </cell>
          <cell r="AI18" t="str">
            <v>---</v>
          </cell>
          <cell r="AJ18" t="str">
            <v>---</v>
          </cell>
          <cell r="AK18" t="str">
            <v>---</v>
          </cell>
          <cell r="AL18" t="str">
            <v>---</v>
          </cell>
          <cell r="AM18" t="str">
            <v>---</v>
          </cell>
          <cell r="AN18" t="str">
            <v>---</v>
          </cell>
          <cell r="AO18" t="str">
            <v>---</v>
          </cell>
          <cell r="AP18" t="str">
            <v>---</v>
          </cell>
          <cell r="AQ18" t="str">
            <v>---</v>
          </cell>
          <cell r="AR18" t="str">
            <v>---</v>
          </cell>
          <cell r="AS18" t="str">
            <v>---</v>
          </cell>
          <cell r="AT18" t="str">
            <v>---</v>
          </cell>
          <cell r="AU18" t="str">
            <v>---</v>
          </cell>
          <cell r="AV18" t="str">
            <v>---</v>
          </cell>
          <cell r="AW18" t="str">
            <v>---</v>
          </cell>
          <cell r="AX18" t="str">
            <v>---</v>
          </cell>
          <cell r="AY18" t="str">
            <v>---</v>
          </cell>
          <cell r="AZ18" t="str">
            <v>VCCSRAM_1P0</v>
          </cell>
          <cell r="BA18" t="str">
            <v>VCCSRAM_1P0</v>
          </cell>
          <cell r="BB18" t="str">
            <v>VCCPRIM_CORE</v>
          </cell>
          <cell r="BC18" t="str">
            <v>VCCPRIM_CORE</v>
          </cell>
          <cell r="BD18" t="str">
            <v>VSS</v>
          </cell>
          <cell r="BE18" t="str">
            <v>VCCPGPPF</v>
          </cell>
          <cell r="BF18" t="str">
            <v>VSS</v>
          </cell>
          <cell r="BG18" t="str">
            <v>---</v>
          </cell>
          <cell r="BH18" t="str">
            <v>GPP_F_23</v>
          </cell>
          <cell r="BI18" t="str">
            <v>GPP_F_9_I2C4_SCL</v>
          </cell>
          <cell r="BJ18" t="str">
            <v>GPP_F_8_I2C4_SDA</v>
          </cell>
          <cell r="BK18" t="str">
            <v>VSS</v>
          </cell>
          <cell r="BL18" t="str">
            <v>USB2P_8</v>
          </cell>
          <cell r="BM18" t="str">
            <v>USB2N_8</v>
          </cell>
          <cell r="BN18" t="str">
            <v>USB2P_6</v>
          </cell>
          <cell r="BO18" t="str">
            <v>USB2N_6</v>
          </cell>
          <cell r="BP18" t="str">
            <v>---</v>
          </cell>
          <cell r="BQ18" t="str">
            <v>VSS</v>
          </cell>
          <cell r="BR18" t="str">
            <v>---</v>
          </cell>
          <cell r="BS18" t="str">
            <v>VSS</v>
          </cell>
          <cell r="BT18" t="str">
            <v>VSS</v>
          </cell>
        </row>
        <row r="19">
          <cell r="A19" t="str">
            <v>AE</v>
          </cell>
          <cell r="B19" t="str">
            <v>---</v>
          </cell>
          <cell r="C19" t="str">
            <v>VCCGTU</v>
          </cell>
          <cell r="D19" t="str">
            <v>VSS</v>
          </cell>
          <cell r="E19" t="str">
            <v>VSS</v>
          </cell>
          <cell r="F19" t="str">
            <v>VSS</v>
          </cell>
          <cell r="G19" t="str">
            <v>VSS</v>
          </cell>
          <cell r="H19" t="str">
            <v>VSS</v>
          </cell>
          <cell r="I19" t="str">
            <v>VSS</v>
          </cell>
          <cell r="J19" t="str">
            <v>VSSEDRAM_SENSE</v>
          </cell>
          <cell r="K19" t="str">
            <v>VCCEOPIO</v>
          </cell>
          <cell r="L19" t="str">
            <v>---</v>
          </cell>
          <cell r="M19" t="str">
            <v>---</v>
          </cell>
          <cell r="N19" t="str">
            <v>---</v>
          </cell>
          <cell r="O19" t="str">
            <v>---</v>
          </cell>
          <cell r="P19" t="str">
            <v>---</v>
          </cell>
          <cell r="Q19" t="str">
            <v>---</v>
          </cell>
          <cell r="R19" t="str">
            <v>---</v>
          </cell>
          <cell r="S19" t="str">
            <v>---</v>
          </cell>
          <cell r="T19" t="str">
            <v>---</v>
          </cell>
          <cell r="U19" t="str">
            <v>---</v>
          </cell>
          <cell r="V19" t="str">
            <v>---</v>
          </cell>
          <cell r="W19" t="str">
            <v>---</v>
          </cell>
          <cell r="X19" t="str">
            <v>---</v>
          </cell>
          <cell r="Y19" t="str">
            <v>---</v>
          </cell>
          <cell r="Z19" t="str">
            <v>---</v>
          </cell>
          <cell r="AA19" t="str">
            <v>---</v>
          </cell>
          <cell r="AB19" t="str">
            <v>---</v>
          </cell>
          <cell r="AC19" t="str">
            <v>---</v>
          </cell>
          <cell r="AD19" t="str">
            <v>---</v>
          </cell>
          <cell r="AE19" t="str">
            <v>---</v>
          </cell>
          <cell r="AF19" t="str">
            <v>---</v>
          </cell>
          <cell r="AG19" t="str">
            <v>---</v>
          </cell>
          <cell r="AH19" t="str">
            <v>---</v>
          </cell>
          <cell r="AI19" t="str">
            <v>---</v>
          </cell>
          <cell r="AJ19" t="str">
            <v>---</v>
          </cell>
          <cell r="AK19" t="str">
            <v>---</v>
          </cell>
          <cell r="AL19" t="str">
            <v>---</v>
          </cell>
          <cell r="AM19" t="str">
            <v>---</v>
          </cell>
          <cell r="AN19" t="str">
            <v>---</v>
          </cell>
          <cell r="AO19" t="str">
            <v>---</v>
          </cell>
          <cell r="AP19" t="str">
            <v>---</v>
          </cell>
          <cell r="AQ19" t="str">
            <v>---</v>
          </cell>
          <cell r="AR19" t="str">
            <v>---</v>
          </cell>
          <cell r="AS19" t="str">
            <v>---</v>
          </cell>
          <cell r="AT19" t="str">
            <v>---</v>
          </cell>
          <cell r="AU19" t="str">
            <v>---</v>
          </cell>
          <cell r="AV19" t="str">
            <v>---</v>
          </cell>
          <cell r="AW19" t="str">
            <v>---</v>
          </cell>
          <cell r="AX19" t="str">
            <v>---</v>
          </cell>
          <cell r="AY19" t="str">
            <v>---</v>
          </cell>
          <cell r="AZ19" t="str">
            <v>---</v>
          </cell>
          <cell r="BA19" t="str">
            <v>---</v>
          </cell>
          <cell r="BB19" t="str">
            <v>---</v>
          </cell>
          <cell r="BC19" t="str">
            <v>---</v>
          </cell>
          <cell r="BD19" t="str">
            <v>---</v>
          </cell>
          <cell r="BE19" t="str">
            <v>---</v>
          </cell>
          <cell r="BF19" t="str">
            <v>---</v>
          </cell>
          <cell r="BG19" t="str">
            <v>---</v>
          </cell>
          <cell r="BH19" t="str">
            <v>---</v>
          </cell>
          <cell r="BI19" t="str">
            <v>---</v>
          </cell>
          <cell r="BJ19" t="str">
            <v>---</v>
          </cell>
          <cell r="BK19" t="str">
            <v>---</v>
          </cell>
          <cell r="BL19" t="str">
            <v>---</v>
          </cell>
          <cell r="BM19" t="str">
            <v>---</v>
          </cell>
          <cell r="BN19" t="str">
            <v>---</v>
          </cell>
          <cell r="BO19" t="str">
            <v>---</v>
          </cell>
          <cell r="BP19" t="str">
            <v>---</v>
          </cell>
          <cell r="BQ19" t="str">
            <v>---</v>
          </cell>
          <cell r="BR19" t="str">
            <v>---</v>
          </cell>
          <cell r="BS19" t="str">
            <v>---</v>
          </cell>
          <cell r="BT19" t="str">
            <v>---</v>
          </cell>
        </row>
        <row r="20">
          <cell r="A20" t="str">
            <v>AD</v>
          </cell>
          <cell r="B20" t="str">
            <v>---</v>
          </cell>
          <cell r="C20" t="str">
            <v>---</v>
          </cell>
          <cell r="D20" t="str">
            <v>---</v>
          </cell>
          <cell r="E20" t="str">
            <v>---</v>
          </cell>
          <cell r="F20" t="str">
            <v>---</v>
          </cell>
          <cell r="G20" t="str">
            <v>---</v>
          </cell>
          <cell r="H20" t="str">
            <v>---</v>
          </cell>
          <cell r="I20" t="str">
            <v>---</v>
          </cell>
          <cell r="J20" t="str">
            <v>---</v>
          </cell>
          <cell r="K20" t="str">
            <v>VSS</v>
          </cell>
          <cell r="L20" t="str">
            <v>---</v>
          </cell>
          <cell r="M20" t="str">
            <v>---</v>
          </cell>
          <cell r="N20" t="str">
            <v>---</v>
          </cell>
          <cell r="O20" t="str">
            <v>---</v>
          </cell>
          <cell r="P20" t="str">
            <v>---</v>
          </cell>
          <cell r="Q20" t="str">
            <v>---</v>
          </cell>
          <cell r="R20" t="str">
            <v>---</v>
          </cell>
          <cell r="S20" t="str">
            <v>---</v>
          </cell>
          <cell r="T20" t="str">
            <v>---</v>
          </cell>
          <cell r="U20" t="str">
            <v>---</v>
          </cell>
          <cell r="V20" t="str">
            <v>---</v>
          </cell>
          <cell r="W20" t="str">
            <v>---</v>
          </cell>
          <cell r="X20" t="str">
            <v>---</v>
          </cell>
          <cell r="Y20" t="str">
            <v>---</v>
          </cell>
          <cell r="Z20" t="str">
            <v>---</v>
          </cell>
          <cell r="AA20" t="str">
            <v>---</v>
          </cell>
          <cell r="AB20" t="str">
            <v>---</v>
          </cell>
          <cell r="AC20" t="str">
            <v>---</v>
          </cell>
          <cell r="AD20" t="str">
            <v>---</v>
          </cell>
          <cell r="AE20" t="str">
            <v>---</v>
          </cell>
          <cell r="AF20" t="str">
            <v>---</v>
          </cell>
          <cell r="AG20" t="str">
            <v>---</v>
          </cell>
          <cell r="AH20" t="str">
            <v>---</v>
          </cell>
          <cell r="AI20" t="str">
            <v>---</v>
          </cell>
          <cell r="AJ20" t="str">
            <v>---</v>
          </cell>
          <cell r="AK20" t="str">
            <v>---</v>
          </cell>
          <cell r="AL20" t="str">
            <v>---</v>
          </cell>
          <cell r="AM20" t="str">
            <v>---</v>
          </cell>
          <cell r="AN20" t="str">
            <v>---</v>
          </cell>
          <cell r="AO20" t="str">
            <v>---</v>
          </cell>
          <cell r="AP20" t="str">
            <v>---</v>
          </cell>
          <cell r="AQ20" t="str">
            <v>---</v>
          </cell>
          <cell r="AR20" t="str">
            <v>---</v>
          </cell>
          <cell r="AS20" t="str">
            <v>---</v>
          </cell>
          <cell r="AT20" t="str">
            <v>---</v>
          </cell>
          <cell r="AU20" t="str">
            <v>---</v>
          </cell>
          <cell r="AV20" t="str">
            <v>---</v>
          </cell>
          <cell r="AW20" t="str">
            <v>---</v>
          </cell>
          <cell r="AX20" t="str">
            <v>---</v>
          </cell>
          <cell r="AY20" t="str">
            <v>---</v>
          </cell>
          <cell r="AZ20" t="str">
            <v>VSS</v>
          </cell>
          <cell r="BA20" t="str">
            <v>VSS</v>
          </cell>
          <cell r="BB20" t="str">
            <v>VSS</v>
          </cell>
          <cell r="BC20" t="str">
            <v>VCCPDSW_3P3</v>
          </cell>
          <cell r="BD20" t="str">
            <v>VCCPDSW_3P3</v>
          </cell>
          <cell r="BE20" t="str">
            <v>VSS</v>
          </cell>
          <cell r="BF20" t="str">
            <v>VCCPGPPG</v>
          </cell>
          <cell r="BG20" t="str">
            <v>---</v>
          </cell>
          <cell r="BH20" t="str">
            <v>VSS</v>
          </cell>
          <cell r="BI20" t="str">
            <v>GPP_F_11_I2C5_SCL_ISH_I2C2_SCL</v>
          </cell>
          <cell r="BJ20" t="str">
            <v>GPP_F_10_I2C5_SDA_ISH_I2C2_SDA</v>
          </cell>
          <cell r="BK20" t="str">
            <v>USB2P_4</v>
          </cell>
          <cell r="BL20" t="str">
            <v>USB2N_4</v>
          </cell>
          <cell r="BM20" t="str">
            <v>VSS</v>
          </cell>
          <cell r="BN20" t="str">
            <v>USB2P_2</v>
          </cell>
          <cell r="BO20" t="str">
            <v>USB2N_2</v>
          </cell>
          <cell r="BP20" t="str">
            <v>---</v>
          </cell>
          <cell r="BQ20" t="str">
            <v>GPP_C_23_UART2_CTSB</v>
          </cell>
          <cell r="BR20" t="str">
            <v>GPP_C_22_UART2_RTSB</v>
          </cell>
          <cell r="BS20" t="str">
            <v>GPP_C_21_UART2_TXD</v>
          </cell>
          <cell r="BT20" t="str">
            <v>GPP_C_20_UART2_RXD</v>
          </cell>
        </row>
        <row r="21">
          <cell r="A21" t="str">
            <v>AC</v>
          </cell>
          <cell r="B21" t="str">
            <v>VCCGT</v>
          </cell>
          <cell r="C21" t="str">
            <v>VCCGT</v>
          </cell>
          <cell r="D21" t="str">
            <v>VCCGT</v>
          </cell>
          <cell r="E21" t="str">
            <v>VCCGT</v>
          </cell>
          <cell r="F21" t="str">
            <v>VCCGT</v>
          </cell>
          <cell r="G21" t="str">
            <v>VCCGT</v>
          </cell>
          <cell r="H21" t="str">
            <v>VCCGT</v>
          </cell>
          <cell r="I21" t="str">
            <v>VCCGT</v>
          </cell>
          <cell r="J21" t="str">
            <v>VCCEDRAM_SENSE</v>
          </cell>
          <cell r="K21" t="str">
            <v>---</v>
          </cell>
          <cell r="L21" t="str">
            <v>---</v>
          </cell>
          <cell r="M21" t="str">
            <v>---</v>
          </cell>
          <cell r="N21" t="str">
            <v>---</v>
          </cell>
          <cell r="O21" t="str">
            <v>---</v>
          </cell>
          <cell r="P21" t="str">
            <v>---</v>
          </cell>
          <cell r="Q21" t="str">
            <v>---</v>
          </cell>
          <cell r="R21" t="str">
            <v>---</v>
          </cell>
          <cell r="S21" t="str">
            <v>---</v>
          </cell>
          <cell r="T21" t="str">
            <v>---</v>
          </cell>
          <cell r="U21" t="str">
            <v>---</v>
          </cell>
          <cell r="V21" t="str">
            <v>---</v>
          </cell>
          <cell r="W21" t="str">
            <v>---</v>
          </cell>
          <cell r="X21" t="str">
            <v>---</v>
          </cell>
          <cell r="Y21" t="str">
            <v>---</v>
          </cell>
          <cell r="Z21" t="str">
            <v>---</v>
          </cell>
          <cell r="AA21" t="str">
            <v>---</v>
          </cell>
          <cell r="AB21" t="str">
            <v>---</v>
          </cell>
          <cell r="AC21" t="str">
            <v>---</v>
          </cell>
          <cell r="AD21" t="str">
            <v>---</v>
          </cell>
          <cell r="AE21" t="str">
            <v>---</v>
          </cell>
          <cell r="AF21" t="str">
            <v>---</v>
          </cell>
          <cell r="AG21" t="str">
            <v>---</v>
          </cell>
          <cell r="AH21" t="str">
            <v>---</v>
          </cell>
          <cell r="AI21" t="str">
            <v>---</v>
          </cell>
          <cell r="AJ21" t="str">
            <v>---</v>
          </cell>
          <cell r="AK21" t="str">
            <v>---</v>
          </cell>
          <cell r="AL21" t="str">
            <v>---</v>
          </cell>
          <cell r="AM21" t="str">
            <v>---</v>
          </cell>
          <cell r="AN21" t="str">
            <v>---</v>
          </cell>
          <cell r="AO21" t="str">
            <v>---</v>
          </cell>
          <cell r="AP21" t="str">
            <v>---</v>
          </cell>
          <cell r="AQ21" t="str">
            <v>---</v>
          </cell>
          <cell r="AR21" t="str">
            <v>---</v>
          </cell>
          <cell r="AS21" t="str">
            <v>---</v>
          </cell>
          <cell r="AT21" t="str">
            <v>---</v>
          </cell>
          <cell r="AU21" t="str">
            <v>---</v>
          </cell>
          <cell r="AV21" t="str">
            <v>---</v>
          </cell>
          <cell r="AW21" t="str">
            <v>---</v>
          </cell>
          <cell r="AX21" t="str">
            <v>---</v>
          </cell>
          <cell r="AY21" t="str">
            <v>---</v>
          </cell>
          <cell r="AZ21" t="str">
            <v>---</v>
          </cell>
          <cell r="BA21" t="str">
            <v>---</v>
          </cell>
          <cell r="BB21" t="str">
            <v>---</v>
          </cell>
          <cell r="BC21" t="str">
            <v>---</v>
          </cell>
          <cell r="BD21" t="str">
            <v>---</v>
          </cell>
          <cell r="BE21" t="str">
            <v>---</v>
          </cell>
          <cell r="BF21" t="str">
            <v>---</v>
          </cell>
          <cell r="BG21" t="str">
            <v>---</v>
          </cell>
          <cell r="BH21" t="str">
            <v>---</v>
          </cell>
          <cell r="BI21" t="str">
            <v>---</v>
          </cell>
          <cell r="BJ21" t="str">
            <v>---</v>
          </cell>
          <cell r="BK21" t="str">
            <v>---</v>
          </cell>
          <cell r="BL21" t="str">
            <v>---</v>
          </cell>
          <cell r="BM21" t="str">
            <v>---</v>
          </cell>
          <cell r="BN21" t="str">
            <v>---</v>
          </cell>
          <cell r="BO21" t="str">
            <v>---</v>
          </cell>
          <cell r="BP21" t="str">
            <v>---</v>
          </cell>
          <cell r="BQ21" t="str">
            <v>---</v>
          </cell>
          <cell r="BR21" t="str">
            <v>GPP_C_14_UART1_RTSB_ISH_UART1_RTSB</v>
          </cell>
          <cell r="BS21" t="str">
            <v>GPP_C_13_UART1_TXD_ISH_UART1_TXD</v>
          </cell>
          <cell r="BT21" t="str">
            <v>GPP_C_12_UART1_RXD_ISH_UART1_RXD</v>
          </cell>
        </row>
        <row r="22">
          <cell r="A22" t="str">
            <v>AB</v>
          </cell>
          <cell r="B22" t="str">
            <v>---</v>
          </cell>
          <cell r="C22" t="str">
            <v>---</v>
          </cell>
          <cell r="D22" t="str">
            <v>---</v>
          </cell>
          <cell r="E22" t="str">
            <v>---</v>
          </cell>
          <cell r="F22" t="str">
            <v>---</v>
          </cell>
          <cell r="G22" t="str">
            <v>---</v>
          </cell>
          <cell r="H22" t="str">
            <v>---</v>
          </cell>
          <cell r="I22" t="str">
            <v>---</v>
          </cell>
          <cell r="J22" t="str">
            <v>---</v>
          </cell>
          <cell r="K22" t="str">
            <v>VCCEDRAM</v>
          </cell>
          <cell r="L22" t="str">
            <v>---</v>
          </cell>
          <cell r="M22" t="str">
            <v>---</v>
          </cell>
          <cell r="N22" t="str">
            <v>---</v>
          </cell>
          <cell r="O22" t="str">
            <v>---</v>
          </cell>
          <cell r="P22" t="str">
            <v>---</v>
          </cell>
          <cell r="Q22" t="str">
            <v>---</v>
          </cell>
          <cell r="R22" t="str">
            <v>---</v>
          </cell>
          <cell r="S22" t="str">
            <v>---</v>
          </cell>
          <cell r="T22" t="str">
            <v>---</v>
          </cell>
          <cell r="U22" t="str">
            <v>---</v>
          </cell>
          <cell r="V22" t="str">
            <v>---</v>
          </cell>
          <cell r="W22" t="str">
            <v>---</v>
          </cell>
          <cell r="X22" t="str">
            <v>---</v>
          </cell>
          <cell r="Y22" t="str">
            <v>---</v>
          </cell>
          <cell r="Z22" t="str">
            <v>---</v>
          </cell>
          <cell r="AA22" t="str">
            <v>---</v>
          </cell>
          <cell r="AB22" t="str">
            <v>---</v>
          </cell>
          <cell r="AC22" t="str">
            <v>---</v>
          </cell>
          <cell r="AD22" t="str">
            <v>---</v>
          </cell>
          <cell r="AE22" t="str">
            <v>---</v>
          </cell>
          <cell r="AF22" t="str">
            <v>---</v>
          </cell>
          <cell r="AG22" t="str">
            <v>---</v>
          </cell>
          <cell r="AH22" t="str">
            <v>---</v>
          </cell>
          <cell r="AI22" t="str">
            <v>---</v>
          </cell>
          <cell r="AJ22" t="str">
            <v>---</v>
          </cell>
          <cell r="AK22" t="str">
            <v>---</v>
          </cell>
          <cell r="AL22" t="str">
            <v>---</v>
          </cell>
          <cell r="AM22" t="str">
            <v>---</v>
          </cell>
          <cell r="AN22" t="str">
            <v>---</v>
          </cell>
          <cell r="AO22" t="str">
            <v>---</v>
          </cell>
          <cell r="AP22" t="str">
            <v>---</v>
          </cell>
          <cell r="AQ22" t="str">
            <v>---</v>
          </cell>
          <cell r="AR22" t="str">
            <v>---</v>
          </cell>
          <cell r="AS22" t="str">
            <v>---</v>
          </cell>
          <cell r="AT22" t="str">
            <v>---</v>
          </cell>
          <cell r="AU22" t="str">
            <v>---</v>
          </cell>
          <cell r="AV22" t="str">
            <v>---</v>
          </cell>
          <cell r="AW22" t="str">
            <v>---</v>
          </cell>
          <cell r="AX22" t="str">
            <v>---</v>
          </cell>
          <cell r="AY22" t="str">
            <v>---</v>
          </cell>
          <cell r="AZ22" t="str">
            <v>VSS</v>
          </cell>
          <cell r="BA22" t="str">
            <v>VCCPRIM_1P0</v>
          </cell>
          <cell r="BB22" t="str">
            <v>VCCPRIM_1P0</v>
          </cell>
          <cell r="BC22" t="str">
            <v>VSS</v>
          </cell>
          <cell r="BD22" t="str">
            <v>VCCDUSB_1P0</v>
          </cell>
          <cell r="BE22" t="str">
            <v>VSS</v>
          </cell>
          <cell r="BF22" t="str">
            <v>VSS</v>
          </cell>
          <cell r="BG22" t="str">
            <v>---</v>
          </cell>
          <cell r="BH22" t="str">
            <v>GPP_G_1_SD_DATA0</v>
          </cell>
          <cell r="BI22" t="str">
            <v>GPP_G_2_SD_DATA1</v>
          </cell>
          <cell r="BJ22" t="str">
            <v>GPP_G_0_SD_CMD</v>
          </cell>
          <cell r="BK22" t="str">
            <v>USB2P_1</v>
          </cell>
          <cell r="BL22" t="str">
            <v>USB2N_1</v>
          </cell>
          <cell r="BM22" t="str">
            <v>VSS</v>
          </cell>
          <cell r="BN22" t="str">
            <v>SD_RCOMP</v>
          </cell>
          <cell r="BO22" t="str">
            <v>USB2_COMP</v>
          </cell>
          <cell r="BP22" t="str">
            <v>---</v>
          </cell>
          <cell r="BQ22" t="str">
            <v>GPP_C_15_UART1_CTSB_ISH_UART1_CTSB</v>
          </cell>
          <cell r="BR22" t="str">
            <v>GPP_C_11_UART0_CTSB</v>
          </cell>
          <cell r="BS22" t="str">
            <v>GPP_C_9_UART0_TXD</v>
          </cell>
          <cell r="BT22" t="str">
            <v>GPP_C_8_UART0_RXD</v>
          </cell>
        </row>
        <row r="23">
          <cell r="A23" t="str">
            <v>AA</v>
          </cell>
          <cell r="B23" t="str">
            <v>VCCGT</v>
          </cell>
          <cell r="C23" t="str">
            <v>VCCGT</v>
          </cell>
          <cell r="D23" t="str">
            <v>VCCGT</v>
          </cell>
          <cell r="E23" t="str">
            <v>VSS</v>
          </cell>
          <cell r="F23" t="str">
            <v>VCCGT</v>
          </cell>
          <cell r="G23" t="str">
            <v>VCCGT</v>
          </cell>
          <cell r="H23" t="str">
            <v>VSS</v>
          </cell>
          <cell r="I23" t="str">
            <v>VCCGT</v>
          </cell>
          <cell r="J23" t="str">
            <v>VCCGT</v>
          </cell>
          <cell r="K23" t="str">
            <v>---</v>
          </cell>
          <cell r="L23" t="str">
            <v>---</v>
          </cell>
          <cell r="M23" t="str">
            <v>---</v>
          </cell>
          <cell r="N23" t="str">
            <v>---</v>
          </cell>
          <cell r="O23" t="str">
            <v>---</v>
          </cell>
          <cell r="P23" t="str">
            <v>---</v>
          </cell>
          <cell r="Q23" t="str">
            <v>---</v>
          </cell>
          <cell r="R23" t="str">
            <v>---</v>
          </cell>
          <cell r="S23" t="str">
            <v>---</v>
          </cell>
          <cell r="T23" t="str">
            <v>---</v>
          </cell>
          <cell r="U23" t="str">
            <v>---</v>
          </cell>
          <cell r="V23" t="str">
            <v>---</v>
          </cell>
          <cell r="W23" t="str">
            <v>---</v>
          </cell>
          <cell r="X23" t="str">
            <v>---</v>
          </cell>
          <cell r="Y23" t="str">
            <v>---</v>
          </cell>
          <cell r="Z23" t="str">
            <v>---</v>
          </cell>
          <cell r="AA23" t="str">
            <v>---</v>
          </cell>
          <cell r="AB23" t="str">
            <v>---</v>
          </cell>
          <cell r="AC23" t="str">
            <v>---</v>
          </cell>
          <cell r="AD23" t="str">
            <v>---</v>
          </cell>
          <cell r="AE23" t="str">
            <v>---</v>
          </cell>
          <cell r="AF23" t="str">
            <v>---</v>
          </cell>
          <cell r="AG23" t="str">
            <v>---</v>
          </cell>
          <cell r="AH23" t="str">
            <v>---</v>
          </cell>
          <cell r="AI23" t="str">
            <v>---</v>
          </cell>
          <cell r="AJ23" t="str">
            <v>---</v>
          </cell>
          <cell r="AK23" t="str">
            <v>---</v>
          </cell>
          <cell r="AL23" t="str">
            <v>---</v>
          </cell>
          <cell r="AM23" t="str">
            <v>---</v>
          </cell>
          <cell r="AN23" t="str">
            <v>---</v>
          </cell>
          <cell r="AO23" t="str">
            <v>---</v>
          </cell>
          <cell r="AP23" t="str">
            <v>---</v>
          </cell>
          <cell r="AQ23" t="str">
            <v>---</v>
          </cell>
          <cell r="AR23" t="str">
            <v>---</v>
          </cell>
          <cell r="AS23" t="str">
            <v>---</v>
          </cell>
          <cell r="AT23" t="str">
            <v>---</v>
          </cell>
          <cell r="AU23" t="str">
            <v>---</v>
          </cell>
          <cell r="AV23" t="str">
            <v>---</v>
          </cell>
          <cell r="AW23" t="str">
            <v>---</v>
          </cell>
          <cell r="AX23" t="str">
            <v>---</v>
          </cell>
          <cell r="AY23" t="str">
            <v>---</v>
          </cell>
          <cell r="AZ23" t="str">
            <v>---</v>
          </cell>
          <cell r="BA23" t="str">
            <v>---</v>
          </cell>
          <cell r="BB23" t="str">
            <v>---</v>
          </cell>
          <cell r="BC23" t="str">
            <v>---</v>
          </cell>
          <cell r="BD23" t="str">
            <v>---</v>
          </cell>
          <cell r="BE23" t="str">
            <v>---</v>
          </cell>
          <cell r="BF23" t="str">
            <v>---</v>
          </cell>
          <cell r="BG23" t="str">
            <v>---</v>
          </cell>
          <cell r="BH23" t="str">
            <v>---</v>
          </cell>
          <cell r="BI23" t="str">
            <v>---</v>
          </cell>
          <cell r="BJ23" t="str">
            <v>---</v>
          </cell>
          <cell r="BK23" t="str">
            <v>---</v>
          </cell>
          <cell r="BL23" t="str">
            <v>---</v>
          </cell>
          <cell r="BM23" t="str">
            <v>---</v>
          </cell>
          <cell r="BN23" t="str">
            <v>---</v>
          </cell>
          <cell r="BO23" t="str">
            <v>---</v>
          </cell>
          <cell r="BP23" t="str">
            <v>---</v>
          </cell>
          <cell r="BQ23" t="str">
            <v>VSS</v>
          </cell>
          <cell r="BR23" t="str">
            <v>---</v>
          </cell>
          <cell r="BS23" t="str">
            <v>VSS</v>
          </cell>
          <cell r="BT23" t="str">
            <v>VCCATS</v>
          </cell>
        </row>
        <row r="24">
          <cell r="A24" t="str">
            <v>Y</v>
          </cell>
          <cell r="B24" t="str">
            <v>---</v>
          </cell>
          <cell r="C24" t="str">
            <v>---</v>
          </cell>
          <cell r="D24" t="str">
            <v>---</v>
          </cell>
          <cell r="E24" t="str">
            <v>---</v>
          </cell>
          <cell r="F24" t="str">
            <v>---</v>
          </cell>
          <cell r="G24" t="str">
            <v>---</v>
          </cell>
          <cell r="H24" t="str">
            <v>---</v>
          </cell>
          <cell r="I24" t="str">
            <v>---</v>
          </cell>
          <cell r="J24" t="str">
            <v>---</v>
          </cell>
          <cell r="K24" t="str">
            <v>VCCGT</v>
          </cell>
          <cell r="L24" t="str">
            <v>---</v>
          </cell>
          <cell r="M24" t="str">
            <v>---</v>
          </cell>
          <cell r="N24" t="str">
            <v>---</v>
          </cell>
          <cell r="O24" t="str">
            <v>---</v>
          </cell>
          <cell r="P24" t="str">
            <v>---</v>
          </cell>
          <cell r="Q24" t="str">
            <v>---</v>
          </cell>
          <cell r="R24" t="str">
            <v>---</v>
          </cell>
          <cell r="S24" t="str">
            <v>---</v>
          </cell>
          <cell r="T24" t="str">
            <v>---</v>
          </cell>
          <cell r="U24" t="str">
            <v>---</v>
          </cell>
          <cell r="V24" t="str">
            <v>---</v>
          </cell>
          <cell r="W24" t="str">
            <v>---</v>
          </cell>
          <cell r="X24" t="str">
            <v>---</v>
          </cell>
          <cell r="Y24" t="str">
            <v>---</v>
          </cell>
          <cell r="Z24" t="str">
            <v>---</v>
          </cell>
          <cell r="AA24" t="str">
            <v>---</v>
          </cell>
          <cell r="AB24" t="str">
            <v>---</v>
          </cell>
          <cell r="AC24" t="str">
            <v>---</v>
          </cell>
          <cell r="AD24" t="str">
            <v>---</v>
          </cell>
          <cell r="AE24" t="str">
            <v>---</v>
          </cell>
          <cell r="AF24" t="str">
            <v>---</v>
          </cell>
          <cell r="AG24" t="str">
            <v>---</v>
          </cell>
          <cell r="AH24" t="str">
            <v>---</v>
          </cell>
          <cell r="AI24" t="str">
            <v>---</v>
          </cell>
          <cell r="AJ24" t="str">
            <v>---</v>
          </cell>
          <cell r="AK24" t="str">
            <v>---</v>
          </cell>
          <cell r="AL24" t="str">
            <v>---</v>
          </cell>
          <cell r="AM24" t="str">
            <v>---</v>
          </cell>
          <cell r="AN24" t="str">
            <v>---</v>
          </cell>
          <cell r="AO24" t="str">
            <v>---</v>
          </cell>
          <cell r="AP24" t="str">
            <v>---</v>
          </cell>
          <cell r="AQ24" t="str">
            <v>---</v>
          </cell>
          <cell r="AR24" t="str">
            <v>---</v>
          </cell>
          <cell r="AS24" t="str">
            <v>---</v>
          </cell>
          <cell r="AT24" t="str">
            <v>---</v>
          </cell>
          <cell r="AU24" t="str">
            <v>---</v>
          </cell>
          <cell r="AV24" t="str">
            <v>---</v>
          </cell>
          <cell r="AW24" t="str">
            <v>---</v>
          </cell>
          <cell r="AX24" t="str">
            <v>---</v>
          </cell>
          <cell r="AY24" t="str">
            <v>---</v>
          </cell>
          <cell r="AZ24" t="str">
            <v>VSS</v>
          </cell>
          <cell r="BA24" t="str">
            <v>VSS</v>
          </cell>
          <cell r="BB24" t="str">
            <v>VSS</v>
          </cell>
          <cell r="BC24" t="str">
            <v>VCCDUSB_1P0</v>
          </cell>
          <cell r="BD24" t="str">
            <v>VSS</v>
          </cell>
          <cell r="BE24" t="str">
            <v>VCCPGPPC</v>
          </cell>
          <cell r="BF24" t="str">
            <v>VCCPGPPD</v>
          </cell>
          <cell r="BG24" t="str">
            <v>---</v>
          </cell>
          <cell r="BH24" t="str">
            <v>---</v>
          </cell>
          <cell r="BI24" t="str">
            <v>---</v>
          </cell>
          <cell r="BJ24" t="str">
            <v>---</v>
          </cell>
          <cell r="BK24" t="str">
            <v>---</v>
          </cell>
          <cell r="BL24" t="str">
            <v>---</v>
          </cell>
          <cell r="BM24" t="str">
            <v>---</v>
          </cell>
          <cell r="BN24" t="str">
            <v>---</v>
          </cell>
          <cell r="BO24" t="str">
            <v>---</v>
          </cell>
          <cell r="BP24" t="str">
            <v>---</v>
          </cell>
          <cell r="BQ24" t="str">
            <v>---</v>
          </cell>
          <cell r="BR24" t="str">
            <v>---</v>
          </cell>
          <cell r="BS24" t="str">
            <v>---</v>
          </cell>
          <cell r="BT24" t="str">
            <v>---</v>
          </cell>
        </row>
        <row r="25">
          <cell r="A25" t="str">
            <v>W</v>
          </cell>
          <cell r="B25" t="str">
            <v>VCCGT</v>
          </cell>
          <cell r="C25" t="str">
            <v>VCCGT</v>
          </cell>
          <cell r="D25" t="str">
            <v>VCCGT</v>
          </cell>
          <cell r="E25" t="str">
            <v>VCCGT</v>
          </cell>
          <cell r="F25" t="str">
            <v>VCCGT</v>
          </cell>
          <cell r="G25" t="str">
            <v>VCCGT</v>
          </cell>
          <cell r="H25" t="str">
            <v>VCCGT</v>
          </cell>
          <cell r="I25" t="str">
            <v>VCCGT</v>
          </cell>
          <cell r="J25" t="str">
            <v>VCCGT</v>
          </cell>
          <cell r="K25" t="str">
            <v>---</v>
          </cell>
          <cell r="L25" t="str">
            <v>---</v>
          </cell>
          <cell r="M25" t="str">
            <v>---</v>
          </cell>
          <cell r="N25" t="str">
            <v>---</v>
          </cell>
          <cell r="O25" t="str">
            <v>---</v>
          </cell>
          <cell r="P25" t="str">
            <v>---</v>
          </cell>
          <cell r="Q25" t="str">
            <v>---</v>
          </cell>
          <cell r="R25" t="str">
            <v>---</v>
          </cell>
          <cell r="S25" t="str">
            <v>---</v>
          </cell>
          <cell r="T25" t="str">
            <v>---</v>
          </cell>
          <cell r="U25" t="str">
            <v>---</v>
          </cell>
          <cell r="V25" t="str">
            <v>---</v>
          </cell>
          <cell r="W25" t="str">
            <v>---</v>
          </cell>
          <cell r="X25" t="str">
            <v>---</v>
          </cell>
          <cell r="Y25" t="str">
            <v>---</v>
          </cell>
          <cell r="Z25" t="str">
            <v>---</v>
          </cell>
          <cell r="AA25" t="str">
            <v>---</v>
          </cell>
          <cell r="AB25" t="str">
            <v>---</v>
          </cell>
          <cell r="AC25" t="str">
            <v>---</v>
          </cell>
          <cell r="AD25" t="str">
            <v>---</v>
          </cell>
          <cell r="AE25" t="str">
            <v>---</v>
          </cell>
          <cell r="AF25" t="str">
            <v>---</v>
          </cell>
          <cell r="AG25" t="str">
            <v>---</v>
          </cell>
          <cell r="AH25" t="str">
            <v>---</v>
          </cell>
          <cell r="AI25" t="str">
            <v>---</v>
          </cell>
          <cell r="AJ25" t="str">
            <v>---</v>
          </cell>
          <cell r="AK25" t="str">
            <v>---</v>
          </cell>
          <cell r="AL25" t="str">
            <v>---</v>
          </cell>
          <cell r="AM25" t="str">
            <v>---</v>
          </cell>
          <cell r="AN25" t="str">
            <v>---</v>
          </cell>
          <cell r="AO25" t="str">
            <v>---</v>
          </cell>
          <cell r="AP25" t="str">
            <v>---</v>
          </cell>
          <cell r="AQ25" t="str">
            <v>---</v>
          </cell>
          <cell r="AR25" t="str">
            <v>---</v>
          </cell>
          <cell r="AS25" t="str">
            <v>---</v>
          </cell>
          <cell r="AT25" t="str">
            <v>---</v>
          </cell>
          <cell r="AU25" t="str">
            <v>---</v>
          </cell>
          <cell r="AV25" t="str">
            <v>---</v>
          </cell>
          <cell r="AW25" t="str">
            <v>---</v>
          </cell>
          <cell r="AX25" t="str">
            <v>---</v>
          </cell>
          <cell r="AY25" t="str">
            <v>---</v>
          </cell>
          <cell r="AZ25" t="str">
            <v>---</v>
          </cell>
          <cell r="BA25" t="str">
            <v>---</v>
          </cell>
          <cell r="BB25" t="str">
            <v>---</v>
          </cell>
          <cell r="BC25" t="str">
            <v>---</v>
          </cell>
          <cell r="BD25" t="str">
            <v>---</v>
          </cell>
          <cell r="BE25" t="str">
            <v>---</v>
          </cell>
          <cell r="BF25" t="str">
            <v>---</v>
          </cell>
          <cell r="BG25" t="str">
            <v>---</v>
          </cell>
          <cell r="BH25" t="str">
            <v>VSS</v>
          </cell>
          <cell r="BI25" t="str">
            <v>GPP_G_3_SD_DATA2</v>
          </cell>
          <cell r="BJ25" t="str">
            <v>GPP_G_4_SD_DATA3</v>
          </cell>
          <cell r="BK25" t="str">
            <v>GPP_G_5_SD_CDB</v>
          </cell>
          <cell r="BL25" t="str">
            <v>VSS</v>
          </cell>
          <cell r="BM25" t="str">
            <v>GPP_G_6_SD_CLK</v>
          </cell>
          <cell r="BN25" t="str">
            <v>GPP_G_7_SD_WP</v>
          </cell>
          <cell r="BO25" t="str">
            <v>VSS</v>
          </cell>
          <cell r="BP25" t="str">
            <v>---</v>
          </cell>
          <cell r="BQ25" t="str">
            <v>GPP_C_10_UART0_RTSB</v>
          </cell>
          <cell r="BR25" t="str">
            <v>GPP_C_6_SML1CLK</v>
          </cell>
          <cell r="BS25" t="str">
            <v>GPP_C_4_SML0DATA</v>
          </cell>
          <cell r="BT25" t="str">
            <v>GPP_C_5_SML0ALERTB</v>
          </cell>
        </row>
        <row r="26">
          <cell r="A26" t="str">
            <v>V</v>
          </cell>
          <cell r="B26" t="str">
            <v>---</v>
          </cell>
          <cell r="C26" t="str">
            <v>---</v>
          </cell>
          <cell r="D26" t="str">
            <v>---</v>
          </cell>
          <cell r="E26" t="str">
            <v>---</v>
          </cell>
          <cell r="F26" t="str">
            <v>---</v>
          </cell>
          <cell r="G26" t="str">
            <v>---</v>
          </cell>
          <cell r="H26" t="str">
            <v>---</v>
          </cell>
          <cell r="I26" t="str">
            <v>---</v>
          </cell>
          <cell r="J26" t="str">
            <v>---</v>
          </cell>
          <cell r="K26" t="str">
            <v>VCCEDRAM</v>
          </cell>
          <cell r="L26" t="str">
            <v>---</v>
          </cell>
          <cell r="M26" t="str">
            <v>---</v>
          </cell>
          <cell r="N26" t="str">
            <v>---</v>
          </cell>
          <cell r="O26" t="str">
            <v>---</v>
          </cell>
          <cell r="P26" t="str">
            <v>---</v>
          </cell>
          <cell r="Q26" t="str">
            <v>---</v>
          </cell>
          <cell r="R26" t="str">
            <v>---</v>
          </cell>
          <cell r="S26" t="str">
            <v>---</v>
          </cell>
          <cell r="T26" t="str">
            <v>---</v>
          </cell>
          <cell r="U26" t="str">
            <v>---</v>
          </cell>
          <cell r="V26" t="str">
            <v>---</v>
          </cell>
          <cell r="W26" t="str">
            <v>---</v>
          </cell>
          <cell r="X26" t="str">
            <v>---</v>
          </cell>
          <cell r="Y26" t="str">
            <v>---</v>
          </cell>
          <cell r="Z26" t="str">
            <v>---</v>
          </cell>
          <cell r="AA26" t="str">
            <v>---</v>
          </cell>
          <cell r="AB26" t="str">
            <v>---</v>
          </cell>
          <cell r="AC26" t="str">
            <v>---</v>
          </cell>
          <cell r="AD26" t="str">
            <v>---</v>
          </cell>
          <cell r="AE26" t="str">
            <v>---</v>
          </cell>
          <cell r="AF26" t="str">
            <v>---</v>
          </cell>
          <cell r="AG26" t="str">
            <v>---</v>
          </cell>
          <cell r="AH26" t="str">
            <v>---</v>
          </cell>
          <cell r="AI26" t="str">
            <v>---</v>
          </cell>
          <cell r="AJ26" t="str">
            <v>---</v>
          </cell>
          <cell r="AK26" t="str">
            <v>---</v>
          </cell>
          <cell r="AL26" t="str">
            <v>---</v>
          </cell>
          <cell r="AM26" t="str">
            <v>---</v>
          </cell>
          <cell r="AN26" t="str">
            <v>---</v>
          </cell>
          <cell r="AO26" t="str">
            <v>---</v>
          </cell>
          <cell r="AP26" t="str">
            <v>---</v>
          </cell>
          <cell r="AQ26" t="str">
            <v>---</v>
          </cell>
          <cell r="AR26" t="str">
            <v>---</v>
          </cell>
          <cell r="AS26" t="str">
            <v>---</v>
          </cell>
          <cell r="AT26" t="str">
            <v>---</v>
          </cell>
          <cell r="AU26" t="str">
            <v>---</v>
          </cell>
          <cell r="AV26" t="str">
            <v>---</v>
          </cell>
          <cell r="AW26" t="str">
            <v>---</v>
          </cell>
          <cell r="AX26" t="str">
            <v>---</v>
          </cell>
          <cell r="AY26" t="str">
            <v>---</v>
          </cell>
          <cell r="AZ26" t="str">
            <v>VCCPRIM_CORE</v>
          </cell>
          <cell r="BA26" t="str">
            <v>VCCPRIM_CORE</v>
          </cell>
          <cell r="BB26" t="str">
            <v>VCCPHVC_3P3</v>
          </cell>
          <cell r="BC26" t="str">
            <v>VSS</v>
          </cell>
          <cell r="BD26" t="str">
            <v>VSS</v>
          </cell>
          <cell r="BE26" t="str">
            <v>VSS</v>
          </cell>
          <cell r="BF26" t="str">
            <v>VCCAPLL_1P0</v>
          </cell>
          <cell r="BG26" t="str">
            <v>---</v>
          </cell>
          <cell r="BH26" t="str">
            <v>---</v>
          </cell>
          <cell r="BI26" t="str">
            <v>---</v>
          </cell>
          <cell r="BJ26" t="str">
            <v>---</v>
          </cell>
          <cell r="BK26" t="str">
            <v>---</v>
          </cell>
          <cell r="BL26" t="str">
            <v>---</v>
          </cell>
          <cell r="BM26" t="str">
            <v>---</v>
          </cell>
          <cell r="BN26" t="str">
            <v>---</v>
          </cell>
          <cell r="BO26" t="str">
            <v>---</v>
          </cell>
          <cell r="BP26" t="str">
            <v>---</v>
          </cell>
          <cell r="BQ26" t="str">
            <v>---</v>
          </cell>
          <cell r="BR26" t="str">
            <v>GPP_C_7_SML1DATA</v>
          </cell>
          <cell r="BS26" t="str">
            <v>GPP_D_22_SPI1_IO_3</v>
          </cell>
          <cell r="BT26" t="str">
            <v>GPP_D_21_SPI1_IO_2</v>
          </cell>
        </row>
        <row r="27">
          <cell r="A27" t="str">
            <v>U</v>
          </cell>
          <cell r="B27" t="str">
            <v>VCCGT</v>
          </cell>
          <cell r="C27" t="str">
            <v>VSS</v>
          </cell>
          <cell r="D27" t="str">
            <v>VSS</v>
          </cell>
          <cell r="E27" t="str">
            <v>VCCGT</v>
          </cell>
          <cell r="F27" t="str">
            <v>VSS</v>
          </cell>
          <cell r="G27" t="str">
            <v>VSS</v>
          </cell>
          <cell r="H27" t="str">
            <v>VCCGT</v>
          </cell>
          <cell r="I27" t="str">
            <v>VSS</v>
          </cell>
          <cell r="J27" t="str">
            <v>VSS</v>
          </cell>
          <cell r="K27" t="str">
            <v>---</v>
          </cell>
          <cell r="L27" t="str">
            <v>---</v>
          </cell>
          <cell r="M27" t="str">
            <v>---</v>
          </cell>
          <cell r="N27" t="str">
            <v>---</v>
          </cell>
          <cell r="O27" t="str">
            <v>---</v>
          </cell>
          <cell r="P27" t="str">
            <v>---</v>
          </cell>
          <cell r="Q27" t="str">
            <v>---</v>
          </cell>
          <cell r="R27" t="str">
            <v>---</v>
          </cell>
          <cell r="S27" t="str">
            <v>---</v>
          </cell>
          <cell r="T27" t="str">
            <v>---</v>
          </cell>
          <cell r="U27" t="str">
            <v>---</v>
          </cell>
          <cell r="V27" t="str">
            <v>---</v>
          </cell>
          <cell r="W27" t="str">
            <v>---</v>
          </cell>
          <cell r="X27" t="str">
            <v>---</v>
          </cell>
          <cell r="Y27" t="str">
            <v>---</v>
          </cell>
          <cell r="Z27" t="str">
            <v>---</v>
          </cell>
          <cell r="AA27" t="str">
            <v>---</v>
          </cell>
          <cell r="AB27" t="str">
            <v>---</v>
          </cell>
          <cell r="AC27" t="str">
            <v>---</v>
          </cell>
          <cell r="AD27" t="str">
            <v>---</v>
          </cell>
          <cell r="AE27" t="str">
            <v>---</v>
          </cell>
          <cell r="AF27" t="str">
            <v>---</v>
          </cell>
          <cell r="AG27" t="str">
            <v>---</v>
          </cell>
          <cell r="AH27" t="str">
            <v>---</v>
          </cell>
          <cell r="AI27" t="str">
            <v>---</v>
          </cell>
          <cell r="AJ27" t="str">
            <v>---</v>
          </cell>
          <cell r="AK27" t="str">
            <v>---</v>
          </cell>
          <cell r="AL27" t="str">
            <v>---</v>
          </cell>
          <cell r="AM27" t="str">
            <v>---</v>
          </cell>
          <cell r="AN27" t="str">
            <v>---</v>
          </cell>
          <cell r="AO27" t="str">
            <v>---</v>
          </cell>
          <cell r="AP27" t="str">
            <v>---</v>
          </cell>
          <cell r="AQ27" t="str">
            <v>---</v>
          </cell>
          <cell r="AR27" t="str">
            <v>---</v>
          </cell>
          <cell r="AS27" t="str">
            <v>---</v>
          </cell>
          <cell r="AT27" t="str">
            <v>---</v>
          </cell>
          <cell r="AU27" t="str">
            <v>---</v>
          </cell>
          <cell r="AV27" t="str">
            <v>---</v>
          </cell>
          <cell r="AW27" t="str">
            <v>---</v>
          </cell>
          <cell r="AX27" t="str">
            <v>---</v>
          </cell>
          <cell r="AY27" t="str">
            <v>---</v>
          </cell>
          <cell r="AZ27" t="str">
            <v>---</v>
          </cell>
          <cell r="BA27" t="str">
            <v>---</v>
          </cell>
          <cell r="BB27" t="str">
            <v>---</v>
          </cell>
          <cell r="BC27" t="str">
            <v>---</v>
          </cell>
          <cell r="BD27" t="str">
            <v>---</v>
          </cell>
          <cell r="BE27" t="str">
            <v>---</v>
          </cell>
          <cell r="BF27" t="str">
            <v>---</v>
          </cell>
          <cell r="BG27" t="str">
            <v>---</v>
          </cell>
          <cell r="BH27" t="str">
            <v>L_VDDEN</v>
          </cell>
          <cell r="BI27" t="str">
            <v>SPARE_6</v>
          </cell>
          <cell r="BJ27" t="str">
            <v>SPARE_7</v>
          </cell>
          <cell r="BK27" t="str">
            <v>VSS</v>
          </cell>
          <cell r="BL27" t="str">
            <v>GPP_C_19_I2C1_SCL</v>
          </cell>
          <cell r="BM27" t="str">
            <v>GPP_C_18_I2C1_SDA</v>
          </cell>
          <cell r="BN27" t="str">
            <v>GPP_C_16_I2C0_SDA</v>
          </cell>
          <cell r="BO27" t="str">
            <v>GPP_C_17_I2C0_SCL</v>
          </cell>
          <cell r="BP27" t="str">
            <v>---</v>
          </cell>
          <cell r="BQ27" t="str">
            <v>GPP_D_16_ISH_UART0_CTSB_SML0BALERTB</v>
          </cell>
          <cell r="BR27" t="str">
            <v>GPP_D_15_ISH_UART0_RTSB</v>
          </cell>
          <cell r="BS27" t="str">
            <v>GPP_D_14_ISH_UART0_TXD_SML0BCLK</v>
          </cell>
          <cell r="BT27" t="str">
            <v>GPP_D_13_ISH_UART0_RXD_SML0BDATA</v>
          </cell>
        </row>
        <row r="28">
          <cell r="A28" t="str">
            <v>T</v>
          </cell>
          <cell r="B28" t="str">
            <v>---</v>
          </cell>
          <cell r="C28" t="str">
            <v>---</v>
          </cell>
          <cell r="D28" t="str">
            <v>---</v>
          </cell>
          <cell r="E28" t="str">
            <v>---</v>
          </cell>
          <cell r="F28" t="str">
            <v>---</v>
          </cell>
          <cell r="G28" t="str">
            <v>---</v>
          </cell>
          <cell r="H28" t="str">
            <v>---</v>
          </cell>
          <cell r="I28" t="str">
            <v>---</v>
          </cell>
          <cell r="J28" t="str">
            <v>---</v>
          </cell>
          <cell r="K28" t="str">
            <v>VCCGT</v>
          </cell>
          <cell r="L28" t="str">
            <v>---</v>
          </cell>
          <cell r="M28" t="str">
            <v>---</v>
          </cell>
          <cell r="N28" t="str">
            <v>---</v>
          </cell>
          <cell r="O28" t="str">
            <v>---</v>
          </cell>
          <cell r="P28" t="str">
            <v>---</v>
          </cell>
          <cell r="Q28" t="str">
            <v>---</v>
          </cell>
          <cell r="R28" t="str">
            <v>---</v>
          </cell>
          <cell r="S28" t="str">
            <v>---</v>
          </cell>
          <cell r="T28" t="str">
            <v>---</v>
          </cell>
          <cell r="U28" t="str">
            <v>---</v>
          </cell>
          <cell r="V28" t="str">
            <v>---</v>
          </cell>
          <cell r="W28" t="str">
            <v>---</v>
          </cell>
          <cell r="X28" t="str">
            <v>---</v>
          </cell>
          <cell r="Y28" t="str">
            <v>---</v>
          </cell>
          <cell r="Z28" t="str">
            <v>---</v>
          </cell>
          <cell r="AA28" t="str">
            <v>---</v>
          </cell>
          <cell r="AB28" t="str">
            <v>---</v>
          </cell>
          <cell r="AC28" t="str">
            <v>---</v>
          </cell>
          <cell r="AD28" t="str">
            <v>---</v>
          </cell>
          <cell r="AE28" t="str">
            <v>---</v>
          </cell>
          <cell r="AF28" t="str">
            <v>---</v>
          </cell>
          <cell r="AG28" t="str">
            <v>---</v>
          </cell>
          <cell r="AH28" t="str">
            <v>---</v>
          </cell>
          <cell r="AI28" t="str">
            <v>---</v>
          </cell>
          <cell r="AJ28" t="str">
            <v>---</v>
          </cell>
          <cell r="AK28" t="str">
            <v>---</v>
          </cell>
          <cell r="AL28" t="str">
            <v>---</v>
          </cell>
          <cell r="AM28" t="str">
            <v>---</v>
          </cell>
          <cell r="AN28" t="str">
            <v>---</v>
          </cell>
          <cell r="AO28" t="str">
            <v>---</v>
          </cell>
          <cell r="AP28" t="str">
            <v>---</v>
          </cell>
          <cell r="AQ28" t="str">
            <v>---</v>
          </cell>
          <cell r="AR28" t="str">
            <v>---</v>
          </cell>
          <cell r="AS28" t="str">
            <v>---</v>
          </cell>
          <cell r="AT28" t="str">
            <v>---</v>
          </cell>
          <cell r="AU28" t="str">
            <v>---</v>
          </cell>
          <cell r="AV28" t="str">
            <v>---</v>
          </cell>
          <cell r="AW28" t="str">
            <v>---</v>
          </cell>
          <cell r="AX28" t="str">
            <v>---</v>
          </cell>
          <cell r="AY28" t="str">
            <v>---</v>
          </cell>
          <cell r="AZ28" t="str">
            <v>VSS</v>
          </cell>
          <cell r="BA28" t="str">
            <v>VCCSRAM_1P0</v>
          </cell>
          <cell r="BB28" t="str">
            <v>VCCSRAM_1P0</v>
          </cell>
          <cell r="BC28" t="str">
            <v>VSS</v>
          </cell>
          <cell r="BD28" t="str">
            <v>VSS</v>
          </cell>
          <cell r="BE28" t="str">
            <v>VCCPGPPE</v>
          </cell>
          <cell r="BF28" t="str">
            <v>VSS</v>
          </cell>
          <cell r="BG28" t="str">
            <v>---</v>
          </cell>
          <cell r="BH28" t="str">
            <v>---</v>
          </cell>
          <cell r="BI28" t="str">
            <v>---</v>
          </cell>
          <cell r="BJ28" t="str">
            <v>---</v>
          </cell>
          <cell r="BK28" t="str">
            <v>---</v>
          </cell>
          <cell r="BL28" t="str">
            <v>---</v>
          </cell>
          <cell r="BM28" t="str">
            <v>---</v>
          </cell>
          <cell r="BN28" t="str">
            <v>---</v>
          </cell>
          <cell r="BO28" t="str">
            <v>---</v>
          </cell>
          <cell r="BP28" t="str">
            <v>---</v>
          </cell>
          <cell r="BQ28" t="str">
            <v>VSS</v>
          </cell>
          <cell r="BR28" t="str">
            <v>---</v>
          </cell>
          <cell r="BS28" t="str">
            <v>VSS</v>
          </cell>
          <cell r="BT28" t="str">
            <v>VCCDTS_1P0</v>
          </cell>
        </row>
        <row r="29">
          <cell r="A29" t="str">
            <v>R</v>
          </cell>
          <cell r="B29" t="str">
            <v>VCCGT</v>
          </cell>
          <cell r="C29" t="str">
            <v>VCCGT</v>
          </cell>
          <cell r="D29" t="str">
            <v>VCCGT</v>
          </cell>
          <cell r="E29" t="str">
            <v>VCCGT</v>
          </cell>
          <cell r="F29" t="str">
            <v>VCCGT</v>
          </cell>
          <cell r="G29" t="str">
            <v>VCCGT</v>
          </cell>
          <cell r="H29" t="str">
            <v>VCCGT</v>
          </cell>
          <cell r="I29" t="str">
            <v>VCCGT</v>
          </cell>
          <cell r="J29" t="str">
            <v>VCCGT</v>
          </cell>
          <cell r="K29" t="str">
            <v>---</v>
          </cell>
          <cell r="L29" t="str">
            <v>---</v>
          </cell>
          <cell r="M29" t="str">
            <v>---</v>
          </cell>
          <cell r="N29" t="str">
            <v>---</v>
          </cell>
          <cell r="O29" t="str">
            <v>---</v>
          </cell>
          <cell r="P29" t="str">
            <v>---</v>
          </cell>
          <cell r="Q29" t="str">
            <v>---</v>
          </cell>
          <cell r="R29" t="str">
            <v>---</v>
          </cell>
          <cell r="S29" t="str">
            <v>---</v>
          </cell>
          <cell r="T29" t="str">
            <v>---</v>
          </cell>
          <cell r="U29" t="str">
            <v>---</v>
          </cell>
          <cell r="V29" t="str">
            <v>---</v>
          </cell>
          <cell r="W29" t="str">
            <v>---</v>
          </cell>
          <cell r="X29" t="str">
            <v>---</v>
          </cell>
          <cell r="Y29" t="str">
            <v>---</v>
          </cell>
          <cell r="Z29" t="str">
            <v>---</v>
          </cell>
          <cell r="AA29" t="str">
            <v>---</v>
          </cell>
          <cell r="AB29" t="str">
            <v>---</v>
          </cell>
          <cell r="AC29" t="str">
            <v>---</v>
          </cell>
          <cell r="AD29" t="str">
            <v>---</v>
          </cell>
          <cell r="AE29" t="str">
            <v>---</v>
          </cell>
          <cell r="AF29" t="str">
            <v>---</v>
          </cell>
          <cell r="AG29" t="str">
            <v>---</v>
          </cell>
          <cell r="AH29" t="str">
            <v>---</v>
          </cell>
          <cell r="AI29" t="str">
            <v>---</v>
          </cell>
          <cell r="AJ29" t="str">
            <v>---</v>
          </cell>
          <cell r="AK29" t="str">
            <v>---</v>
          </cell>
          <cell r="AL29" t="str">
            <v>---</v>
          </cell>
          <cell r="AM29" t="str">
            <v>---</v>
          </cell>
          <cell r="AN29" t="str">
            <v>---</v>
          </cell>
          <cell r="AO29" t="str">
            <v>---</v>
          </cell>
          <cell r="AP29" t="str">
            <v>---</v>
          </cell>
          <cell r="AQ29" t="str">
            <v>---</v>
          </cell>
          <cell r="AR29" t="str">
            <v>---</v>
          </cell>
          <cell r="AS29" t="str">
            <v>---</v>
          </cell>
          <cell r="AT29" t="str">
            <v>---</v>
          </cell>
          <cell r="AU29" t="str">
            <v>---</v>
          </cell>
          <cell r="AV29" t="str">
            <v>---</v>
          </cell>
          <cell r="AW29" t="str">
            <v>---</v>
          </cell>
          <cell r="AX29" t="str">
            <v>---</v>
          </cell>
          <cell r="AY29" t="str">
            <v>---</v>
          </cell>
          <cell r="AZ29" t="str">
            <v>---</v>
          </cell>
          <cell r="BA29" t="str">
            <v>---</v>
          </cell>
          <cell r="BB29" t="str">
            <v>---</v>
          </cell>
          <cell r="BC29" t="str">
            <v>---</v>
          </cell>
          <cell r="BD29" t="str">
            <v>---</v>
          </cell>
          <cell r="BE29" t="str">
            <v>---</v>
          </cell>
          <cell r="BF29" t="str">
            <v>---</v>
          </cell>
          <cell r="BG29" t="str">
            <v>---</v>
          </cell>
          <cell r="BH29" t="str">
            <v>VSS</v>
          </cell>
          <cell r="BI29" t="str">
            <v>L_BKLTEN</v>
          </cell>
          <cell r="BJ29" t="str">
            <v>L_BKLTCTL</v>
          </cell>
          <cell r="BK29" t="str">
            <v>GPP_C_2_SMBALERTB</v>
          </cell>
          <cell r="BL29" t="str">
            <v>GPP_C_3_SML0CLK</v>
          </cell>
          <cell r="BM29" t="str">
            <v>GPP_C_1_SMBDATA</v>
          </cell>
          <cell r="BN29" t="str">
            <v>GPP_C_0_SMBCLK</v>
          </cell>
          <cell r="BO29" t="str">
            <v>VSS</v>
          </cell>
          <cell r="BP29" t="str">
            <v>---</v>
          </cell>
          <cell r="BQ29" t="str">
            <v>---</v>
          </cell>
          <cell r="BR29" t="str">
            <v>---</v>
          </cell>
          <cell r="BS29" t="str">
            <v>---</v>
          </cell>
          <cell r="BT29" t="str">
            <v>---</v>
          </cell>
        </row>
        <row r="30">
          <cell r="A30" t="str">
            <v>P</v>
          </cell>
          <cell r="B30" t="str">
            <v>---</v>
          </cell>
          <cell r="C30" t="str">
            <v>---</v>
          </cell>
          <cell r="D30" t="str">
            <v>---</v>
          </cell>
          <cell r="E30" t="str">
            <v>---</v>
          </cell>
          <cell r="F30" t="str">
            <v>---</v>
          </cell>
          <cell r="G30" t="str">
            <v>---</v>
          </cell>
          <cell r="H30" t="str">
            <v>---</v>
          </cell>
          <cell r="I30" t="str">
            <v>---</v>
          </cell>
          <cell r="J30" t="str">
            <v>---</v>
          </cell>
          <cell r="K30" t="str">
            <v>VCCEDRAM</v>
          </cell>
          <cell r="L30" t="str">
            <v>---</v>
          </cell>
          <cell r="M30" t="str">
            <v>---</v>
          </cell>
          <cell r="N30" t="str">
            <v>---</v>
          </cell>
          <cell r="O30" t="str">
            <v>---</v>
          </cell>
          <cell r="P30" t="str">
            <v>---</v>
          </cell>
          <cell r="Q30" t="str">
            <v>---</v>
          </cell>
          <cell r="R30" t="str">
            <v>---</v>
          </cell>
          <cell r="S30" t="str">
            <v>---</v>
          </cell>
          <cell r="T30" t="str">
            <v>---</v>
          </cell>
          <cell r="U30" t="str">
            <v>---</v>
          </cell>
          <cell r="V30" t="str">
            <v>---</v>
          </cell>
          <cell r="W30" t="str">
            <v>---</v>
          </cell>
          <cell r="X30" t="str">
            <v>---</v>
          </cell>
          <cell r="Y30" t="str">
            <v>---</v>
          </cell>
          <cell r="Z30" t="str">
            <v>---</v>
          </cell>
          <cell r="AA30" t="str">
            <v>---</v>
          </cell>
          <cell r="AB30" t="str">
            <v>---</v>
          </cell>
          <cell r="AC30" t="str">
            <v>---</v>
          </cell>
          <cell r="AD30" t="str">
            <v>---</v>
          </cell>
          <cell r="AE30" t="str">
            <v>---</v>
          </cell>
          <cell r="AF30" t="str">
            <v>---</v>
          </cell>
          <cell r="AG30" t="str">
            <v>---</v>
          </cell>
          <cell r="AH30" t="str">
            <v>---</v>
          </cell>
          <cell r="AI30" t="str">
            <v>---</v>
          </cell>
          <cell r="AJ30" t="str">
            <v>---</v>
          </cell>
          <cell r="AK30" t="str">
            <v>---</v>
          </cell>
          <cell r="AL30" t="str">
            <v>---</v>
          </cell>
          <cell r="AM30" t="str">
            <v>---</v>
          </cell>
          <cell r="AN30" t="str">
            <v>---</v>
          </cell>
          <cell r="AO30" t="str">
            <v>---</v>
          </cell>
          <cell r="AP30" t="str">
            <v>---</v>
          </cell>
          <cell r="AQ30" t="str">
            <v>---</v>
          </cell>
          <cell r="AR30" t="str">
            <v>---</v>
          </cell>
          <cell r="AS30" t="str">
            <v>---</v>
          </cell>
          <cell r="AT30" t="str">
            <v>---</v>
          </cell>
          <cell r="AU30" t="str">
            <v>---</v>
          </cell>
          <cell r="AV30" t="str">
            <v>---</v>
          </cell>
          <cell r="AW30" t="str">
            <v>---</v>
          </cell>
          <cell r="AX30" t="str">
            <v>---</v>
          </cell>
          <cell r="AY30" t="str">
            <v>---</v>
          </cell>
          <cell r="AZ30" t="str">
            <v>VSS</v>
          </cell>
          <cell r="BA30" t="str">
            <v>VSS</v>
          </cell>
          <cell r="BB30" t="str">
            <v>VSS</v>
          </cell>
          <cell r="BC30" t="str">
            <v>VCCPRIM_1P0</v>
          </cell>
          <cell r="BD30" t="str">
            <v>VSS</v>
          </cell>
          <cell r="BE30" t="str">
            <v>VCCMPHYGTAON_1P0</v>
          </cell>
          <cell r="BF30" t="str">
            <v>VCCMPHYGTAON_1P0</v>
          </cell>
          <cell r="BG30" t="str">
            <v>---</v>
          </cell>
          <cell r="BH30" t="str">
            <v>---</v>
          </cell>
          <cell r="BI30" t="str">
            <v>---</v>
          </cell>
          <cell r="BJ30" t="str">
            <v>---</v>
          </cell>
          <cell r="BK30" t="str">
            <v>---</v>
          </cell>
          <cell r="BL30" t="str">
            <v>---</v>
          </cell>
          <cell r="BM30" t="str">
            <v>---</v>
          </cell>
          <cell r="BN30" t="str">
            <v>---</v>
          </cell>
          <cell r="BO30" t="str">
            <v>---</v>
          </cell>
          <cell r="BP30" t="str">
            <v>---</v>
          </cell>
          <cell r="BQ30" t="str">
            <v>GPP_D_11_ISH_SPI_MISO</v>
          </cell>
          <cell r="BR30" t="str">
            <v>GPP_D_10_ISH_SPI_CLK</v>
          </cell>
          <cell r="BS30" t="str">
            <v>GPP_D_9_ISH_SPI_CSB</v>
          </cell>
          <cell r="BT30" t="str">
            <v>GPP_D_12_ISH_SPI_MOSI</v>
          </cell>
        </row>
        <row r="31">
          <cell r="A31" t="str">
            <v>N</v>
          </cell>
          <cell r="B31" t="str">
            <v>VCCGT</v>
          </cell>
          <cell r="C31" t="str">
            <v>VCCGT</v>
          </cell>
          <cell r="D31" t="str">
            <v>VCCGT</v>
          </cell>
          <cell r="E31" t="str">
            <v>VSS</v>
          </cell>
          <cell r="F31" t="str">
            <v>VCCGT</v>
          </cell>
          <cell r="G31" t="str">
            <v>VCCGT</v>
          </cell>
          <cell r="H31" t="str">
            <v>VSS</v>
          </cell>
          <cell r="I31" t="str">
            <v>VCCGT</v>
          </cell>
          <cell r="J31" t="str">
            <v>VCCGT</v>
          </cell>
          <cell r="K31" t="str">
            <v>---</v>
          </cell>
          <cell r="L31" t="str">
            <v>---</v>
          </cell>
          <cell r="M31" t="str">
            <v>---</v>
          </cell>
          <cell r="N31" t="str">
            <v>---</v>
          </cell>
          <cell r="O31" t="str">
            <v>---</v>
          </cell>
          <cell r="P31" t="str">
            <v>---</v>
          </cell>
          <cell r="Q31" t="str">
            <v>---</v>
          </cell>
          <cell r="R31" t="str">
            <v>---</v>
          </cell>
          <cell r="S31" t="str">
            <v>---</v>
          </cell>
          <cell r="T31" t="str">
            <v>---</v>
          </cell>
          <cell r="U31" t="str">
            <v>---</v>
          </cell>
          <cell r="V31" t="str">
            <v>---</v>
          </cell>
          <cell r="W31" t="str">
            <v>---</v>
          </cell>
          <cell r="X31" t="str">
            <v>---</v>
          </cell>
          <cell r="Y31" t="str">
            <v>---</v>
          </cell>
          <cell r="Z31" t="str">
            <v>---</v>
          </cell>
          <cell r="AA31" t="str">
            <v>---</v>
          </cell>
          <cell r="AB31" t="str">
            <v>---</v>
          </cell>
          <cell r="AC31" t="str">
            <v>---</v>
          </cell>
          <cell r="AD31" t="str">
            <v>---</v>
          </cell>
          <cell r="AE31" t="str">
            <v>---</v>
          </cell>
          <cell r="AF31" t="str">
            <v>---</v>
          </cell>
          <cell r="AG31" t="str">
            <v>---</v>
          </cell>
          <cell r="AH31" t="str">
            <v>---</v>
          </cell>
          <cell r="AI31" t="str">
            <v>---</v>
          </cell>
          <cell r="AJ31" t="str">
            <v>---</v>
          </cell>
          <cell r="AK31" t="str">
            <v>---</v>
          </cell>
          <cell r="AL31" t="str">
            <v>---</v>
          </cell>
          <cell r="AM31" t="str">
            <v>---</v>
          </cell>
          <cell r="AN31" t="str">
            <v>---</v>
          </cell>
          <cell r="AO31" t="str">
            <v>---</v>
          </cell>
          <cell r="AP31" t="str">
            <v>---</v>
          </cell>
          <cell r="AQ31" t="str">
            <v>---</v>
          </cell>
          <cell r="AR31" t="str">
            <v>---</v>
          </cell>
          <cell r="AS31" t="str">
            <v>---</v>
          </cell>
          <cell r="AT31" t="str">
            <v>---</v>
          </cell>
          <cell r="AU31" t="str">
            <v>---</v>
          </cell>
          <cell r="AV31" t="str">
            <v>---</v>
          </cell>
          <cell r="AW31" t="str">
            <v>---</v>
          </cell>
          <cell r="AX31" t="str">
            <v>---</v>
          </cell>
          <cell r="AY31" t="str">
            <v>---</v>
          </cell>
          <cell r="AZ31" t="str">
            <v>VSS</v>
          </cell>
          <cell r="BA31" t="str">
            <v>VCCF100OC_1P0</v>
          </cell>
          <cell r="BB31" t="str">
            <v>VSS</v>
          </cell>
          <cell r="BC31" t="str">
            <v>VCCAPLLEBB_1P0</v>
          </cell>
          <cell r="BD31" t="str">
            <v>VCCMPHYGTAON_1P0</v>
          </cell>
          <cell r="BE31" t="str">
            <v>VCCMPHYGTAON_1P0</v>
          </cell>
          <cell r="BF31" t="str">
            <v>VCCMPHYGTAON_1P0</v>
          </cell>
          <cell r="BG31" t="str">
            <v>---</v>
          </cell>
          <cell r="BH31" t="str">
            <v>VSS</v>
          </cell>
          <cell r="BI31" t="str">
            <v>GPP_E_23_DDPD_CTRLDATA</v>
          </cell>
          <cell r="BJ31" t="str">
            <v>GPP_E_22_DDPD_CTRLCLK</v>
          </cell>
          <cell r="BK31" t="str">
            <v>VSS</v>
          </cell>
          <cell r="BL31" t="str">
            <v>GPP_E_16_DDSP_HPD_3</v>
          </cell>
          <cell r="BM31" t="str">
            <v>GPP_E_21_DDPC_CTRLDATA</v>
          </cell>
          <cell r="BN31" t="str">
            <v>GPP_E_20_DDPC_CTRLCLK</v>
          </cell>
          <cell r="BO31" t="str">
            <v>VSS</v>
          </cell>
          <cell r="BP31" t="str">
            <v>---</v>
          </cell>
          <cell r="BQ31" t="str">
            <v>---</v>
          </cell>
          <cell r="BR31" t="str">
            <v>GPP_D_6_ISH_I2C0_SCL</v>
          </cell>
          <cell r="BS31" t="str">
            <v>GPP_D_8_ISH_I2C1_SCL</v>
          </cell>
          <cell r="BT31" t="str">
            <v>GPP_D_7_ISH_I2C1_SDA</v>
          </cell>
        </row>
        <row r="32">
          <cell r="A32" t="str">
            <v>M</v>
          </cell>
          <cell r="B32" t="str">
            <v>---</v>
          </cell>
          <cell r="C32" t="str">
            <v>---</v>
          </cell>
          <cell r="D32" t="str">
            <v>---</v>
          </cell>
          <cell r="E32" t="str">
            <v>---</v>
          </cell>
          <cell r="F32" t="str">
            <v>---</v>
          </cell>
          <cell r="G32" t="str">
            <v>---</v>
          </cell>
          <cell r="H32" t="str">
            <v>---</v>
          </cell>
          <cell r="I32" t="str">
            <v>---</v>
          </cell>
          <cell r="J32" t="str">
            <v>---</v>
          </cell>
          <cell r="K32" t="str">
            <v>VCCGT</v>
          </cell>
          <cell r="L32" t="str">
            <v>---</v>
          </cell>
          <cell r="M32" t="str">
            <v>---</v>
          </cell>
          <cell r="N32" t="str">
            <v>---</v>
          </cell>
          <cell r="O32" t="str">
            <v>---</v>
          </cell>
          <cell r="P32" t="str">
            <v>---</v>
          </cell>
          <cell r="Q32" t="str">
            <v>---</v>
          </cell>
          <cell r="R32" t="str">
            <v>---</v>
          </cell>
          <cell r="S32" t="str">
            <v>---</v>
          </cell>
          <cell r="T32" t="str">
            <v>---</v>
          </cell>
          <cell r="U32" t="str">
            <v>---</v>
          </cell>
          <cell r="V32" t="str">
            <v>---</v>
          </cell>
          <cell r="W32" t="str">
            <v>---</v>
          </cell>
          <cell r="X32" t="str">
            <v>---</v>
          </cell>
          <cell r="Y32" t="str">
            <v>---</v>
          </cell>
          <cell r="Z32" t="str">
            <v>---</v>
          </cell>
          <cell r="AA32" t="str">
            <v>---</v>
          </cell>
          <cell r="AB32" t="str">
            <v>---</v>
          </cell>
          <cell r="AC32" t="str">
            <v>---</v>
          </cell>
          <cell r="AD32" t="str">
            <v>---</v>
          </cell>
          <cell r="AE32" t="str">
            <v>---</v>
          </cell>
          <cell r="AF32" t="str">
            <v>---</v>
          </cell>
          <cell r="AG32" t="str">
            <v>---</v>
          </cell>
          <cell r="AH32" t="str">
            <v>---</v>
          </cell>
          <cell r="AI32" t="str">
            <v>---</v>
          </cell>
          <cell r="AJ32" t="str">
            <v>---</v>
          </cell>
          <cell r="AK32" t="str">
            <v>---</v>
          </cell>
          <cell r="AL32" t="str">
            <v>---</v>
          </cell>
          <cell r="AM32" t="str">
            <v>---</v>
          </cell>
          <cell r="AN32" t="str">
            <v>---</v>
          </cell>
          <cell r="AO32" t="str">
            <v>---</v>
          </cell>
          <cell r="AP32" t="str">
            <v>---</v>
          </cell>
          <cell r="AQ32" t="str">
            <v>---</v>
          </cell>
          <cell r="AR32" t="str">
            <v>---</v>
          </cell>
          <cell r="AS32" t="str">
            <v>---</v>
          </cell>
          <cell r="AT32" t="str">
            <v>---</v>
          </cell>
          <cell r="AU32" t="str">
            <v>---</v>
          </cell>
          <cell r="AV32" t="str">
            <v>---</v>
          </cell>
          <cell r="AW32" t="str">
            <v>---</v>
          </cell>
          <cell r="AX32" t="str">
            <v>---</v>
          </cell>
          <cell r="AY32" t="str">
            <v>---</v>
          </cell>
          <cell r="AZ32" t="str">
            <v>---</v>
          </cell>
          <cell r="BA32" t="str">
            <v>---</v>
          </cell>
          <cell r="BB32" t="str">
            <v>---</v>
          </cell>
          <cell r="BC32" t="str">
            <v>---</v>
          </cell>
          <cell r="BD32" t="str">
            <v>---</v>
          </cell>
          <cell r="BE32" t="str">
            <v>---</v>
          </cell>
          <cell r="BF32" t="str">
            <v>---</v>
          </cell>
          <cell r="BG32" t="str">
            <v>---</v>
          </cell>
          <cell r="BH32" t="str">
            <v>---</v>
          </cell>
          <cell r="BI32" t="str">
            <v>---</v>
          </cell>
          <cell r="BJ32" t="str">
            <v>---</v>
          </cell>
          <cell r="BK32" t="str">
            <v>---</v>
          </cell>
          <cell r="BL32" t="str">
            <v>---</v>
          </cell>
          <cell r="BM32" t="str">
            <v>---</v>
          </cell>
          <cell r="BN32" t="str">
            <v>---</v>
          </cell>
          <cell r="BO32" t="str">
            <v>---</v>
          </cell>
          <cell r="BP32" t="str">
            <v>---</v>
          </cell>
          <cell r="BQ32" t="str">
            <v>GPP_D_5_ISH_I2C0_SDA</v>
          </cell>
          <cell r="BR32" t="str">
            <v>GPP_D_2_SPI1_MISO_IO_1</v>
          </cell>
          <cell r="BS32" t="str">
            <v>GPP_D_1_SPI1_CLK</v>
          </cell>
          <cell r="BT32" t="str">
            <v>GPP_D_0_SPI1_CSB</v>
          </cell>
        </row>
        <row r="33">
          <cell r="A33" t="str">
            <v>L</v>
          </cell>
          <cell r="B33" t="str">
            <v>VCCGT</v>
          </cell>
          <cell r="C33" t="str">
            <v>VCCGT</v>
          </cell>
          <cell r="D33" t="str">
            <v>VCCGT</v>
          </cell>
          <cell r="E33" t="str">
            <v>VCCGT</v>
          </cell>
          <cell r="F33" t="str">
            <v>VCCGT</v>
          </cell>
          <cell r="G33" t="str">
            <v>VCCGT</v>
          </cell>
          <cell r="H33" t="str">
            <v>VCCGT</v>
          </cell>
          <cell r="I33" t="str">
            <v>VCCGT</v>
          </cell>
          <cell r="J33" t="str">
            <v>VCCGT</v>
          </cell>
          <cell r="K33" t="str">
            <v>VCCGT</v>
          </cell>
          <cell r="L33" t="str">
            <v>---</v>
          </cell>
          <cell r="M33" t="str">
            <v>---</v>
          </cell>
          <cell r="N33" t="str">
            <v>---</v>
          </cell>
          <cell r="O33" t="str">
            <v>---</v>
          </cell>
          <cell r="P33" t="str">
            <v>---</v>
          </cell>
          <cell r="Q33" t="str">
            <v>---</v>
          </cell>
          <cell r="R33" t="str">
            <v>---</v>
          </cell>
          <cell r="S33" t="str">
            <v>---</v>
          </cell>
          <cell r="T33" t="str">
            <v>---</v>
          </cell>
          <cell r="U33" t="str">
            <v>---</v>
          </cell>
          <cell r="V33" t="str">
            <v>---</v>
          </cell>
          <cell r="W33" t="str">
            <v>---</v>
          </cell>
          <cell r="X33" t="str">
            <v>---</v>
          </cell>
          <cell r="Y33" t="str">
            <v>---</v>
          </cell>
          <cell r="Z33" t="str">
            <v>---</v>
          </cell>
          <cell r="AA33" t="str">
            <v>---</v>
          </cell>
          <cell r="AB33" t="str">
            <v>---</v>
          </cell>
          <cell r="AC33" t="str">
            <v>---</v>
          </cell>
          <cell r="AD33" t="str">
            <v>---</v>
          </cell>
          <cell r="AE33" t="str">
            <v>---</v>
          </cell>
          <cell r="AF33" t="str">
            <v>---</v>
          </cell>
          <cell r="AG33" t="str">
            <v>---</v>
          </cell>
          <cell r="AH33" t="str">
            <v>---</v>
          </cell>
          <cell r="AI33" t="str">
            <v>---</v>
          </cell>
          <cell r="AJ33" t="str">
            <v>---</v>
          </cell>
          <cell r="AK33" t="str">
            <v>---</v>
          </cell>
          <cell r="AL33" t="str">
            <v>---</v>
          </cell>
          <cell r="AM33" t="str">
            <v>---</v>
          </cell>
          <cell r="AN33" t="str">
            <v>---</v>
          </cell>
          <cell r="AO33" t="str">
            <v>---</v>
          </cell>
          <cell r="AP33" t="str">
            <v>---</v>
          </cell>
          <cell r="AQ33" t="str">
            <v>---</v>
          </cell>
          <cell r="AR33" t="str">
            <v>---</v>
          </cell>
          <cell r="AS33" t="str">
            <v>---</v>
          </cell>
          <cell r="AT33" t="str">
            <v>---</v>
          </cell>
          <cell r="AU33" t="str">
            <v>---</v>
          </cell>
          <cell r="AV33" t="str">
            <v>---</v>
          </cell>
          <cell r="AW33" t="str">
            <v>---</v>
          </cell>
          <cell r="AX33" t="str">
            <v>---</v>
          </cell>
          <cell r="AY33" t="str">
            <v>---</v>
          </cell>
          <cell r="AZ33" t="str">
            <v>VCCF135_1P0</v>
          </cell>
          <cell r="BA33" t="str">
            <v>VSS</v>
          </cell>
          <cell r="BB33" t="str">
            <v>VCCF24NS_1P0</v>
          </cell>
          <cell r="BC33" t="str">
            <v>VSS</v>
          </cell>
          <cell r="BD33" t="str">
            <v>VSS</v>
          </cell>
          <cell r="BE33" t="str">
            <v>VSS</v>
          </cell>
          <cell r="BF33" t="str">
            <v>VCCAMPHYPLL_1P0</v>
          </cell>
          <cell r="BG33" t="str">
            <v>---</v>
          </cell>
          <cell r="BH33" t="str">
            <v>GPP_E_18_DDPB_CTRLCLK</v>
          </cell>
          <cell r="BI33" t="str">
            <v>GPP_E_19_DDPB_CTRLDATA</v>
          </cell>
          <cell r="BJ33" t="str">
            <v>VSS</v>
          </cell>
          <cell r="BK33" t="str">
            <v>GPP_E_17_EDP_HPD</v>
          </cell>
          <cell r="BL33" t="str">
            <v>GPP_E_13_DDSP_HPD_0</v>
          </cell>
          <cell r="BM33" t="str">
            <v>VSS</v>
          </cell>
          <cell r="BN33" t="str">
            <v>GPP_E_14_DDSP_HPD_1</v>
          </cell>
          <cell r="BO33" t="str">
            <v>GPP_E_15_DDSP_HPD_2</v>
          </cell>
          <cell r="BP33" t="str">
            <v>---</v>
          </cell>
          <cell r="BQ33" t="str">
            <v>VSS</v>
          </cell>
          <cell r="BR33" t="str">
            <v>---</v>
          </cell>
          <cell r="BS33" t="str">
            <v>VSS</v>
          </cell>
          <cell r="BT33" t="str">
            <v>VCCMPHYAON_1P0</v>
          </cell>
        </row>
        <row r="34">
          <cell r="A34" t="str">
            <v>K</v>
          </cell>
          <cell r="B34" t="str">
            <v>VSS</v>
          </cell>
          <cell r="C34" t="str">
            <v>VSS</v>
          </cell>
          <cell r="D34" t="str">
            <v>---</v>
          </cell>
          <cell r="E34" t="str">
            <v>VSS</v>
          </cell>
          <cell r="F34" t="str">
            <v>VSS</v>
          </cell>
          <cell r="G34" t="str">
            <v>VSS</v>
          </cell>
          <cell r="H34" t="str">
            <v>VSS</v>
          </cell>
          <cell r="I34" t="str">
            <v>VSS</v>
          </cell>
          <cell r="J34" t="str">
            <v>VSS</v>
          </cell>
          <cell r="K34" t="str">
            <v>---</v>
          </cell>
          <cell r="L34" t="str">
            <v>VSS</v>
          </cell>
          <cell r="M34" t="str">
            <v>VCCGT</v>
          </cell>
          <cell r="N34" t="str">
            <v>---</v>
          </cell>
          <cell r="O34" t="str">
            <v>VCCGT</v>
          </cell>
          <cell r="P34" t="str">
            <v>---</v>
          </cell>
          <cell r="Q34" t="str">
            <v>VCCGT</v>
          </cell>
          <cell r="R34" t="str">
            <v>VCCGT</v>
          </cell>
          <cell r="S34" t="str">
            <v>---</v>
          </cell>
          <cell r="T34" t="str">
            <v>VCCGT</v>
          </cell>
          <cell r="U34" t="str">
            <v>VCCGT</v>
          </cell>
          <cell r="V34" t="str">
            <v>---</v>
          </cell>
          <cell r="W34" t="str">
            <v>VCCGT</v>
          </cell>
          <cell r="X34" t="str">
            <v>---</v>
          </cell>
          <cell r="Y34" t="str">
            <v>VCCGT</v>
          </cell>
          <cell r="Z34" t="str">
            <v>---</v>
          </cell>
          <cell r="AA34" t="str">
            <v>THERMDA1</v>
          </cell>
          <cell r="AB34" t="str">
            <v>THERMDC1</v>
          </cell>
          <cell r="AC34" t="str">
            <v>---</v>
          </cell>
          <cell r="AD34" t="str">
            <v>VCCCORE</v>
          </cell>
          <cell r="AE34" t="str">
            <v>VCCCORE</v>
          </cell>
          <cell r="AF34" t="str">
            <v>---</v>
          </cell>
          <cell r="AG34" t="str">
            <v>VCCCORE</v>
          </cell>
          <cell r="AH34" t="str">
            <v>---</v>
          </cell>
          <cell r="AI34" t="str">
            <v>VCCCORE</v>
          </cell>
          <cell r="AJ34" t="str">
            <v>VCCCORE</v>
          </cell>
          <cell r="AK34" t="str">
            <v>---</v>
          </cell>
          <cell r="AL34" t="str">
            <v>VCCCORE</v>
          </cell>
          <cell r="AM34" t="str">
            <v>---</v>
          </cell>
          <cell r="AN34" t="str">
            <v>VCCCORE</v>
          </cell>
          <cell r="AO34" t="str">
            <v>VCCCOREG0</v>
          </cell>
          <cell r="AP34" t="str">
            <v>---</v>
          </cell>
          <cell r="AQ34" t="str">
            <v>VCCSA</v>
          </cell>
          <cell r="AR34" t="str">
            <v>---</v>
          </cell>
          <cell r="AS34" t="str">
            <v>VCCSA</v>
          </cell>
          <cell r="AT34" t="str">
            <v>VCCSA</v>
          </cell>
          <cell r="AU34" t="str">
            <v>---</v>
          </cell>
          <cell r="AV34" t="str">
            <v>VCCSA</v>
          </cell>
          <cell r="AW34" t="str">
            <v>---</v>
          </cell>
          <cell r="AX34" t="str">
            <v>VCCSA</v>
          </cell>
          <cell r="AY34" t="str">
            <v>VSS</v>
          </cell>
          <cell r="AZ34" t="str">
            <v>VCCSFR</v>
          </cell>
          <cell r="BA34" t="str">
            <v>VCCSFR</v>
          </cell>
          <cell r="BB34" t="str">
            <v>VCCF100_1P0</v>
          </cell>
          <cell r="BC34" t="str">
            <v>VSS</v>
          </cell>
          <cell r="BD34" t="str">
            <v>VCCMPHYAON_1P0</v>
          </cell>
          <cell r="BE34" t="str">
            <v>VSS</v>
          </cell>
          <cell r="BF34" t="str">
            <v>VCCAMPHYPLL_1P0</v>
          </cell>
          <cell r="BG34" t="str">
            <v>---</v>
          </cell>
          <cell r="BH34" t="str">
            <v>---</v>
          </cell>
          <cell r="BI34" t="str">
            <v>---</v>
          </cell>
          <cell r="BJ34" t="str">
            <v>---</v>
          </cell>
          <cell r="BK34" t="str">
            <v>---</v>
          </cell>
          <cell r="BL34" t="str">
            <v>---</v>
          </cell>
          <cell r="BM34" t="str">
            <v>---</v>
          </cell>
          <cell r="BN34" t="str">
            <v>---</v>
          </cell>
          <cell r="BO34" t="str">
            <v>---</v>
          </cell>
          <cell r="BP34" t="str">
            <v>---</v>
          </cell>
          <cell r="BQ34" t="str">
            <v>---</v>
          </cell>
          <cell r="BR34" t="str">
            <v>---</v>
          </cell>
          <cell r="BS34" t="str">
            <v>---</v>
          </cell>
          <cell r="BT34" t="str">
            <v>---</v>
          </cell>
        </row>
        <row r="35">
          <cell r="A35" t="str">
            <v>J</v>
          </cell>
          <cell r="B35" t="str">
            <v>EANALOGVP[0]</v>
          </cell>
          <cell r="C35" t="str">
            <v>VCCGT_SENSE</v>
          </cell>
          <cell r="D35" t="str">
            <v>VSSGT_SENSE</v>
          </cell>
          <cell r="E35" t="str">
            <v>EANALOGVP[1]</v>
          </cell>
          <cell r="F35" t="str">
            <v>---</v>
          </cell>
          <cell r="G35" t="str">
            <v>---</v>
          </cell>
          <cell r="H35" t="str">
            <v>---</v>
          </cell>
          <cell r="I35" t="str">
            <v>---</v>
          </cell>
          <cell r="J35" t="str">
            <v>---</v>
          </cell>
          <cell r="K35" t="str">
            <v>---</v>
          </cell>
          <cell r="L35" t="str">
            <v>---</v>
          </cell>
          <cell r="M35" t="str">
            <v>VCCGT</v>
          </cell>
          <cell r="N35" t="str">
            <v>---</v>
          </cell>
          <cell r="O35" t="str">
            <v>VCCGT</v>
          </cell>
          <cell r="P35" t="str">
            <v>---</v>
          </cell>
          <cell r="Q35" t="str">
            <v>VCCGT</v>
          </cell>
          <cell r="R35" t="str">
            <v>VCCGT</v>
          </cell>
          <cell r="S35" t="str">
            <v>---</v>
          </cell>
          <cell r="T35" t="str">
            <v>VCCGT</v>
          </cell>
          <cell r="U35" t="str">
            <v>VCCGT</v>
          </cell>
          <cell r="V35" t="str">
            <v>---</v>
          </cell>
          <cell r="W35" t="str">
            <v>VCCGT</v>
          </cell>
          <cell r="X35" t="str">
            <v>---</v>
          </cell>
          <cell r="Y35" t="str">
            <v>VCCGT</v>
          </cell>
          <cell r="Z35" t="str">
            <v>---</v>
          </cell>
          <cell r="AA35" t="str">
            <v>VCCGT</v>
          </cell>
          <cell r="AB35" t="str">
            <v>VCCGT</v>
          </cell>
          <cell r="AC35" t="str">
            <v>---</v>
          </cell>
          <cell r="AD35" t="str">
            <v>VCCGT</v>
          </cell>
          <cell r="AE35" t="str">
            <v>VSS</v>
          </cell>
          <cell r="AF35" t="str">
            <v>---</v>
          </cell>
          <cell r="AG35" t="str">
            <v>VCCCORE</v>
          </cell>
          <cell r="AH35" t="str">
            <v>---</v>
          </cell>
          <cell r="AI35" t="str">
            <v>VSS</v>
          </cell>
          <cell r="AJ35" t="str">
            <v>VCCCORE</v>
          </cell>
          <cell r="AK35" t="str">
            <v>---</v>
          </cell>
          <cell r="AL35" t="str">
            <v>VSS</v>
          </cell>
          <cell r="AM35" t="str">
            <v>---</v>
          </cell>
          <cell r="AN35" t="str">
            <v>VCCCORE</v>
          </cell>
          <cell r="AO35" t="str">
            <v>VSS</v>
          </cell>
          <cell r="AP35" t="str">
            <v>---</v>
          </cell>
          <cell r="AQ35" t="str">
            <v>VCCCORE</v>
          </cell>
          <cell r="AR35" t="str">
            <v>---</v>
          </cell>
          <cell r="AS35" t="str">
            <v>VSS</v>
          </cell>
          <cell r="AT35" t="str">
            <v>VCCSA</v>
          </cell>
          <cell r="AU35" t="str">
            <v>---</v>
          </cell>
          <cell r="AV35" t="str">
            <v>VSS</v>
          </cell>
          <cell r="AW35" t="str">
            <v>---</v>
          </cell>
          <cell r="AX35" t="str">
            <v>VCCSA</v>
          </cell>
          <cell r="AY35" t="str">
            <v>VCCSA</v>
          </cell>
          <cell r="AZ35" t="str">
            <v>---</v>
          </cell>
          <cell r="BA35" t="str">
            <v>---</v>
          </cell>
          <cell r="BB35" t="str">
            <v>---</v>
          </cell>
          <cell r="BC35" t="str">
            <v>---</v>
          </cell>
          <cell r="BD35" t="str">
            <v>---</v>
          </cell>
          <cell r="BE35" t="str">
            <v>---</v>
          </cell>
          <cell r="BF35" t="str">
            <v>---</v>
          </cell>
          <cell r="BG35" t="str">
            <v>---</v>
          </cell>
          <cell r="BH35" t="str">
            <v>VSS</v>
          </cell>
          <cell r="BI35" t="str">
            <v>---</v>
          </cell>
          <cell r="BJ35" t="str">
            <v>VSS</v>
          </cell>
          <cell r="BK35" t="str">
            <v>USB3_3_SSIC_2_RXN</v>
          </cell>
          <cell r="BL35" t="str">
            <v>---</v>
          </cell>
          <cell r="BM35" t="str">
            <v>VSS</v>
          </cell>
          <cell r="BN35" t="str">
            <v>---</v>
          </cell>
          <cell r="BO35" t="str">
            <v>USB3_2_SSIC_1_RXN</v>
          </cell>
          <cell r="BP35" t="str">
            <v>GPP_D_23_SSP_MCLK</v>
          </cell>
          <cell r="BQ35" t="str">
            <v>GPP_D_3_SPI1_MOSI_IO_0</v>
          </cell>
          <cell r="BR35" t="str">
            <v>GPP_E_6_SATA_DEVSLP_2</v>
          </cell>
          <cell r="BS35" t="str">
            <v>GPP_E_5_SATA_DEVSLP_1</v>
          </cell>
          <cell r="BT35" t="str">
            <v>GPP_E_4_SATA_DEVSLP_0</v>
          </cell>
        </row>
        <row r="36">
          <cell r="A36" t="str">
            <v>H</v>
          </cell>
          <cell r="B36" t="str">
            <v>VSS</v>
          </cell>
          <cell r="C36" t="str">
            <v>NOA_N[12]</v>
          </cell>
          <cell r="D36" t="str">
            <v>NOA_N[14]</v>
          </cell>
          <cell r="E36" t="str">
            <v>---</v>
          </cell>
          <cell r="F36" t="str">
            <v>---</v>
          </cell>
          <cell r="G36" t="str">
            <v>EDRAM_OPIO_RCOMP</v>
          </cell>
          <cell r="H36" t="str">
            <v>CPU_EOPIO_RCOMP</v>
          </cell>
          <cell r="I36" t="str">
            <v>---</v>
          </cell>
          <cell r="J36" t="str">
            <v>VCC_EDRAM_1P8</v>
          </cell>
          <cell r="K36" t="str">
            <v>---</v>
          </cell>
          <cell r="L36" t="str">
            <v>---</v>
          </cell>
          <cell r="M36" t="str">
            <v>---</v>
          </cell>
          <cell r="N36" t="str">
            <v>---</v>
          </cell>
          <cell r="O36" t="str">
            <v>---</v>
          </cell>
          <cell r="P36" t="str">
            <v>---</v>
          </cell>
          <cell r="Q36" t="str">
            <v>---</v>
          </cell>
          <cell r="R36" t="str">
            <v>---</v>
          </cell>
          <cell r="S36" t="str">
            <v>---</v>
          </cell>
          <cell r="T36" t="str">
            <v>---</v>
          </cell>
          <cell r="U36" t="str">
            <v>---</v>
          </cell>
          <cell r="V36" t="str">
            <v>---</v>
          </cell>
          <cell r="W36" t="str">
            <v>---</v>
          </cell>
          <cell r="X36" t="str">
            <v>---</v>
          </cell>
          <cell r="Y36" t="str">
            <v>---</v>
          </cell>
          <cell r="Z36" t="str">
            <v>---</v>
          </cell>
          <cell r="AA36" t="str">
            <v>---</v>
          </cell>
          <cell r="AB36" t="str">
            <v>---</v>
          </cell>
          <cell r="AC36" t="str">
            <v>---</v>
          </cell>
          <cell r="AD36" t="str">
            <v>---</v>
          </cell>
          <cell r="AE36" t="str">
            <v>---</v>
          </cell>
          <cell r="AF36" t="str">
            <v>---</v>
          </cell>
          <cell r="AG36" t="str">
            <v>---</v>
          </cell>
          <cell r="AH36" t="str">
            <v>---</v>
          </cell>
          <cell r="AI36" t="str">
            <v>---</v>
          </cell>
          <cell r="AJ36" t="str">
            <v>---</v>
          </cell>
          <cell r="AK36" t="str">
            <v>---</v>
          </cell>
          <cell r="AL36" t="str">
            <v>---</v>
          </cell>
          <cell r="AM36" t="str">
            <v>---</v>
          </cell>
          <cell r="AN36" t="str">
            <v>---</v>
          </cell>
          <cell r="AO36" t="str">
            <v>---</v>
          </cell>
          <cell r="AP36" t="str">
            <v>---</v>
          </cell>
          <cell r="AQ36" t="str">
            <v>---</v>
          </cell>
          <cell r="AR36" t="str">
            <v>---</v>
          </cell>
          <cell r="AS36" t="str">
            <v>---</v>
          </cell>
          <cell r="AT36" t="str">
            <v>---</v>
          </cell>
          <cell r="AU36" t="str">
            <v>---</v>
          </cell>
          <cell r="AV36" t="str">
            <v>---</v>
          </cell>
          <cell r="AW36" t="str">
            <v>---</v>
          </cell>
          <cell r="AX36" t="str">
            <v>---</v>
          </cell>
          <cell r="AY36" t="str">
            <v>---</v>
          </cell>
          <cell r="AZ36" t="str">
            <v>VSSSA_SENSE</v>
          </cell>
          <cell r="BA36" t="str">
            <v>VCCSA_SENSE</v>
          </cell>
          <cell r="BB36" t="str">
            <v>---</v>
          </cell>
          <cell r="BC36" t="str">
            <v>VSS</v>
          </cell>
          <cell r="BD36" t="str">
            <v>---</v>
          </cell>
          <cell r="BE36" t="str">
            <v>PCIE_3_UFS_0B_LAN_0A_RXN</v>
          </cell>
          <cell r="BF36" t="str">
            <v>VSS</v>
          </cell>
          <cell r="BG36" t="str">
            <v>---</v>
          </cell>
          <cell r="BH36" t="str">
            <v>PCIE_1_USB3_5_RXN</v>
          </cell>
          <cell r="BI36" t="str">
            <v>---</v>
          </cell>
          <cell r="BJ36" t="str">
            <v>SPARE_8</v>
          </cell>
          <cell r="BK36" t="str">
            <v>USB3_3_SSIC_2_RXP</v>
          </cell>
          <cell r="BL36" t="str">
            <v>---</v>
          </cell>
          <cell r="BM36" t="str">
            <v>USB3_1_RXN</v>
          </cell>
          <cell r="BN36" t="str">
            <v>---</v>
          </cell>
          <cell r="BO36" t="str">
            <v>USB3_2_SSIC_1_RXP</v>
          </cell>
          <cell r="BP36" t="str">
            <v>GPP_D_19_DMIC_CLK_0</v>
          </cell>
          <cell r="BQ36" t="str">
            <v>---</v>
          </cell>
          <cell r="BR36" t="str">
            <v>GPP_E_1_SATAXPCIE_1_SATAGP_1</v>
          </cell>
          <cell r="BS36" t="str">
            <v>GPP_E_0_SATAXPCIE_0_SATAGP_0</v>
          </cell>
          <cell r="BT36" t="str">
            <v>GPP_E_8_SATA_LEDB</v>
          </cell>
        </row>
        <row r="37">
          <cell r="A37" t="str">
            <v>G</v>
          </cell>
          <cell r="B37" t="str">
            <v>NOA_N[13]</v>
          </cell>
          <cell r="C37" t="str">
            <v>NOA_N[15]</v>
          </cell>
          <cell r="D37" t="str">
            <v>NOA_N[9]</v>
          </cell>
          <cell r="E37" t="str">
            <v>NOA_N[11]</v>
          </cell>
          <cell r="F37" t="str">
            <v>---</v>
          </cell>
          <cell r="G37" t="str">
            <v>VSS</v>
          </cell>
          <cell r="H37" t="str">
            <v>EDRAM_THERMDC</v>
          </cell>
          <cell r="I37" t="str">
            <v>---</v>
          </cell>
          <cell r="J37" t="str">
            <v>VSS</v>
          </cell>
          <cell r="K37" t="str">
            <v>---</v>
          </cell>
          <cell r="L37" t="str">
            <v>VCC_EDRAM_FUSEPRG</v>
          </cell>
          <cell r="M37" t="str">
            <v>VSS</v>
          </cell>
          <cell r="N37" t="str">
            <v>---</v>
          </cell>
          <cell r="O37" t="str">
            <v>VSS</v>
          </cell>
          <cell r="P37" t="str">
            <v>---</v>
          </cell>
          <cell r="Q37" t="str">
            <v>DDI1_TXP[3]</v>
          </cell>
          <cell r="R37" t="str">
            <v>VSS</v>
          </cell>
          <cell r="S37" t="str">
            <v>---</v>
          </cell>
          <cell r="T37" t="str">
            <v>DDI1_TXP[2]</v>
          </cell>
          <cell r="U37" t="str">
            <v>VSS</v>
          </cell>
          <cell r="V37" t="str">
            <v>---</v>
          </cell>
          <cell r="W37" t="str">
            <v>DDI1_AUXN</v>
          </cell>
          <cell r="X37" t="str">
            <v>---</v>
          </cell>
          <cell r="Y37" t="str">
            <v>VSS</v>
          </cell>
          <cell r="Z37" t="str">
            <v>---</v>
          </cell>
          <cell r="AA37" t="str">
            <v>DDI3_AUXN</v>
          </cell>
          <cell r="AB37" t="str">
            <v>VSS</v>
          </cell>
          <cell r="AC37" t="str">
            <v>---</v>
          </cell>
          <cell r="AD37" t="str">
            <v>VSS</v>
          </cell>
          <cell r="AE37" t="str">
            <v>VCCCORE</v>
          </cell>
          <cell r="AF37" t="str">
            <v>---</v>
          </cell>
          <cell r="AG37" t="str">
            <v>VCCCORE</v>
          </cell>
          <cell r="AH37" t="str">
            <v>---</v>
          </cell>
          <cell r="AI37" t="str">
            <v>VCCCORE</v>
          </cell>
          <cell r="AJ37" t="str">
            <v>VCCCORE</v>
          </cell>
          <cell r="AK37" t="str">
            <v>---</v>
          </cell>
          <cell r="AL37" t="str">
            <v>VCCCORE</v>
          </cell>
          <cell r="AM37" t="str">
            <v>---</v>
          </cell>
          <cell r="AN37" t="str">
            <v>VCCCORE</v>
          </cell>
          <cell r="AO37" t="str">
            <v>VCCCORE</v>
          </cell>
          <cell r="AP37" t="str">
            <v>---</v>
          </cell>
          <cell r="AQ37" t="str">
            <v>VCCCORE</v>
          </cell>
          <cell r="AR37" t="str">
            <v>---</v>
          </cell>
          <cell r="AS37" t="str">
            <v>VCCSA</v>
          </cell>
          <cell r="AT37" t="str">
            <v>VCCSA</v>
          </cell>
          <cell r="AU37" t="str">
            <v>---</v>
          </cell>
          <cell r="AV37" t="str">
            <v>VCCSA</v>
          </cell>
          <cell r="AW37" t="str">
            <v>---</v>
          </cell>
          <cell r="AX37" t="str">
            <v>VCCSA</v>
          </cell>
          <cell r="AY37" t="str">
            <v>VSS</v>
          </cell>
          <cell r="AZ37" t="str">
            <v>PCIE_8_SATA_1A_RXN</v>
          </cell>
          <cell r="BA37" t="str">
            <v>VCCFUSEPRG</v>
          </cell>
          <cell r="BB37" t="str">
            <v>---</v>
          </cell>
          <cell r="BC37" t="str">
            <v>PCIE_6_RXN</v>
          </cell>
          <cell r="BD37" t="str">
            <v>---</v>
          </cell>
          <cell r="BE37" t="str">
            <v>PCIE_3_UFS_0B_LAN_0A_RXP</v>
          </cell>
          <cell r="BF37" t="str">
            <v>PCIE_4_LAN_0B_RXN</v>
          </cell>
          <cell r="BG37" t="str">
            <v>---</v>
          </cell>
          <cell r="BH37" t="str">
            <v>PCIE_1_USB3_5_RXP</v>
          </cell>
          <cell r="BI37" t="str">
            <v>---</v>
          </cell>
          <cell r="BJ37" t="str">
            <v>PCIE_2_UFS_0A_USB3_6_RXN</v>
          </cell>
          <cell r="BK37" t="str">
            <v>VSS</v>
          </cell>
          <cell r="BL37" t="str">
            <v>---</v>
          </cell>
          <cell r="BM37" t="str">
            <v>USB3_1_RXP</v>
          </cell>
          <cell r="BN37" t="str">
            <v>---</v>
          </cell>
          <cell r="BO37" t="str">
            <v>VSS</v>
          </cell>
          <cell r="BP37" t="str">
            <v>VSS</v>
          </cell>
          <cell r="BQ37" t="str">
            <v>GPP_E_2_SATAXPCIE_2_SATAGP_2</v>
          </cell>
          <cell r="BR37" t="str">
            <v>MLK_CLK</v>
          </cell>
          <cell r="BS37" t="str">
            <v>MLK_DATA</v>
          </cell>
          <cell r="BT37" t="str">
            <v>MLK_RSTB</v>
          </cell>
        </row>
        <row r="38">
          <cell r="A38" t="str">
            <v>F</v>
          </cell>
          <cell r="B38" t="str">
            <v>NOA_N[8]</v>
          </cell>
          <cell r="C38" t="str">
            <v>NOA_N[10]</v>
          </cell>
          <cell r="D38" t="str">
            <v>---</v>
          </cell>
          <cell r="E38" t="str">
            <v>VSS</v>
          </cell>
          <cell r="F38" t="str">
            <v>---</v>
          </cell>
          <cell r="G38" t="str">
            <v>NOA_STBP[1]</v>
          </cell>
          <cell r="H38" t="str">
            <v>EDRAM_THERMDA</v>
          </cell>
          <cell r="I38" t="str">
            <v>---</v>
          </cell>
          <cell r="J38" t="str">
            <v>NOA_STBP[0]</v>
          </cell>
          <cell r="K38" t="str">
            <v>---</v>
          </cell>
          <cell r="L38" t="str">
            <v>LGC_SPARE[1]</v>
          </cell>
          <cell r="M38" t="str">
            <v>LGC_SPARE[0]</v>
          </cell>
          <cell r="N38" t="str">
            <v>---</v>
          </cell>
          <cell r="O38" t="str">
            <v>DDI1_TXP[1]</v>
          </cell>
          <cell r="P38" t="str">
            <v>---</v>
          </cell>
          <cell r="Q38" t="str">
            <v>DDI1_TXN[3]</v>
          </cell>
          <cell r="R38" t="str">
            <v>DDI1_TXP[0]</v>
          </cell>
          <cell r="S38" t="str">
            <v>---</v>
          </cell>
          <cell r="T38" t="str">
            <v>DDI1_TXN[2]</v>
          </cell>
          <cell r="U38" t="str">
            <v>SPARE_16</v>
          </cell>
          <cell r="V38" t="str">
            <v>---</v>
          </cell>
          <cell r="W38" t="str">
            <v>DDI1_AUXP</v>
          </cell>
          <cell r="X38" t="str">
            <v>---</v>
          </cell>
          <cell r="Y38" t="str">
            <v>DDI2_AUXP</v>
          </cell>
          <cell r="Z38" t="str">
            <v>---</v>
          </cell>
          <cell r="AA38" t="str">
            <v>DDI3_AUXP</v>
          </cell>
          <cell r="AB38" t="str">
            <v>EDP_AUXP</v>
          </cell>
          <cell r="AC38" t="str">
            <v>---</v>
          </cell>
          <cell r="AD38" t="str">
            <v>CLKOUT_ITPXDP_N</v>
          </cell>
          <cell r="AE38" t="str">
            <v>VSS</v>
          </cell>
          <cell r="AF38" t="str">
            <v>---</v>
          </cell>
          <cell r="AG38" t="str">
            <v>VSS</v>
          </cell>
          <cell r="AH38" t="str">
            <v>---</v>
          </cell>
          <cell r="AI38" t="str">
            <v>VSS</v>
          </cell>
          <cell r="AJ38" t="str">
            <v>VSS</v>
          </cell>
          <cell r="AK38" t="str">
            <v>---</v>
          </cell>
          <cell r="AL38" t="str">
            <v>VSS</v>
          </cell>
          <cell r="AM38" t="str">
            <v>---</v>
          </cell>
          <cell r="AN38" t="str">
            <v>VSS</v>
          </cell>
          <cell r="AO38" t="str">
            <v>VSS</v>
          </cell>
          <cell r="AP38" t="str">
            <v>---</v>
          </cell>
          <cell r="AQ38" t="str">
            <v>PCIE_12_SATA_2_RXP</v>
          </cell>
          <cell r="AR38" t="str">
            <v>---</v>
          </cell>
          <cell r="AS38" t="str">
            <v>VSS</v>
          </cell>
          <cell r="AT38" t="str">
            <v>VSS</v>
          </cell>
          <cell r="AU38" t="str">
            <v>---</v>
          </cell>
          <cell r="AV38" t="str">
            <v>PCIE_10_LAN_0E_RXN</v>
          </cell>
          <cell r="AW38" t="str">
            <v>---</v>
          </cell>
          <cell r="AX38" t="str">
            <v>VSS</v>
          </cell>
          <cell r="AY38" t="str">
            <v>VSS</v>
          </cell>
          <cell r="AZ38" t="str">
            <v>PCIE_8_SATA_1A_RXP</v>
          </cell>
          <cell r="BA38" t="str">
            <v>PCIE_7_SATA_0_RXN</v>
          </cell>
          <cell r="BB38" t="str">
            <v>---</v>
          </cell>
          <cell r="BC38" t="str">
            <v>PCIE_6_RXP</v>
          </cell>
          <cell r="BD38" t="str">
            <v>---</v>
          </cell>
          <cell r="BE38" t="str">
            <v>PCIE_5_LAN_0C_RXN</v>
          </cell>
          <cell r="BF38" t="str">
            <v>PCIE_4_LAN_0B_RXP</v>
          </cell>
          <cell r="BG38" t="str">
            <v>---</v>
          </cell>
          <cell r="BH38" t="str">
            <v>VSS</v>
          </cell>
          <cell r="BI38" t="str">
            <v>---</v>
          </cell>
          <cell r="BJ38" t="str">
            <v>PCIE_2_UFS_0A_USB3_6_RXP</v>
          </cell>
          <cell r="BK38" t="str">
            <v>USB3_4_RXP</v>
          </cell>
          <cell r="BL38" t="str">
            <v>---</v>
          </cell>
          <cell r="BM38" t="str">
            <v>VSS</v>
          </cell>
          <cell r="BN38" t="str">
            <v>---</v>
          </cell>
          <cell r="BO38" t="str">
            <v>SPARE_9</v>
          </cell>
          <cell r="BP38" t="str">
            <v>PCIE_RCOMPN</v>
          </cell>
          <cell r="BQ38" t="str">
            <v>VSS</v>
          </cell>
          <cell r="BR38" t="str">
            <v>---</v>
          </cell>
          <cell r="BS38" t="str">
            <v>VSS</v>
          </cell>
          <cell r="BT38" t="str">
            <v>VSS</v>
          </cell>
        </row>
        <row r="39">
          <cell r="A39" t="str">
            <v>E</v>
          </cell>
          <cell r="B39" t="str">
            <v>VSS</v>
          </cell>
          <cell r="C39" t="str">
            <v>NOA_N[4]</v>
          </cell>
          <cell r="D39" t="str">
            <v>---</v>
          </cell>
          <cell r="E39" t="str">
            <v>NOA_N[0]</v>
          </cell>
          <cell r="F39" t="str">
            <v>---</v>
          </cell>
          <cell r="G39" t="str">
            <v>NOA_STBN[1]</v>
          </cell>
          <cell r="H39" t="str">
            <v>VSS</v>
          </cell>
          <cell r="I39" t="str">
            <v>---</v>
          </cell>
          <cell r="J39" t="str">
            <v>NOA_STBN[0]</v>
          </cell>
          <cell r="K39" t="str">
            <v>---</v>
          </cell>
          <cell r="L39" t="str">
            <v>LGC_SPARE[2]</v>
          </cell>
          <cell r="M39" t="str">
            <v>NOA_RCOMP</v>
          </cell>
          <cell r="N39" t="str">
            <v>---</v>
          </cell>
          <cell r="O39" t="str">
            <v>DDI1_TXN[1]</v>
          </cell>
          <cell r="P39" t="str">
            <v>---</v>
          </cell>
          <cell r="Q39" t="str">
            <v>VSS</v>
          </cell>
          <cell r="R39" t="str">
            <v>DDI1_TXN[0]</v>
          </cell>
          <cell r="S39" t="str">
            <v>---</v>
          </cell>
          <cell r="T39" t="str">
            <v>VSS</v>
          </cell>
          <cell r="U39" t="str">
            <v>DP_COMP</v>
          </cell>
          <cell r="V39" t="str">
            <v>---</v>
          </cell>
          <cell r="W39" t="str">
            <v>VSS</v>
          </cell>
          <cell r="X39" t="str">
            <v>---</v>
          </cell>
          <cell r="Y39" t="str">
            <v>DDI2_AUXN</v>
          </cell>
          <cell r="Z39" t="str">
            <v>---</v>
          </cell>
          <cell r="AA39" t="str">
            <v>VSS</v>
          </cell>
          <cell r="AB39" t="str">
            <v>EDP_AUXN</v>
          </cell>
          <cell r="AC39" t="str">
            <v>---</v>
          </cell>
          <cell r="AD39" t="str">
            <v>CLKOUT_ITPXDP_P</v>
          </cell>
          <cell r="AE39" t="str">
            <v>XCLK_BIASREF</v>
          </cell>
          <cell r="AF39" t="str">
            <v>---</v>
          </cell>
          <cell r="AG39" t="str">
            <v>CLKOUT_SRC_N_5</v>
          </cell>
          <cell r="AH39" t="str">
            <v>---</v>
          </cell>
          <cell r="AI39" t="str">
            <v>CLKOUT_SRC_P_5</v>
          </cell>
          <cell r="AJ39" t="str">
            <v>XTAL_IN</v>
          </cell>
          <cell r="AK39" t="str">
            <v>---</v>
          </cell>
          <cell r="AL39" t="str">
            <v>XTAL_OUT</v>
          </cell>
          <cell r="AM39" t="str">
            <v>---</v>
          </cell>
          <cell r="AN39" t="str">
            <v>VSSCORE_SENSE</v>
          </cell>
          <cell r="AO39" t="str">
            <v>VCCCORE_SENSE</v>
          </cell>
          <cell r="AP39" t="str">
            <v>---</v>
          </cell>
          <cell r="AQ39" t="str">
            <v>PCIE_12_SATA_2_RXN</v>
          </cell>
          <cell r="AR39" t="str">
            <v>---</v>
          </cell>
          <cell r="AS39" t="str">
            <v>PCIE_11_SATA_1B_RXN</v>
          </cell>
          <cell r="AT39" t="str">
            <v>PCIE_11_SATA_1B_RXP</v>
          </cell>
          <cell r="AU39" t="str">
            <v>---</v>
          </cell>
          <cell r="AV39" t="str">
            <v>PCIE_10_LAN_0E_RXP</v>
          </cell>
          <cell r="AW39" t="str">
            <v>---</v>
          </cell>
          <cell r="AX39" t="str">
            <v>PCIE_9_LAN_0D_RXP</v>
          </cell>
          <cell r="AY39" t="str">
            <v>PCIE_9_LAN_0D_RXN</v>
          </cell>
          <cell r="AZ39" t="str">
            <v>VSS</v>
          </cell>
          <cell r="BA39" t="str">
            <v>PCIE_7_SATA_0_RXP</v>
          </cell>
          <cell r="BB39" t="str">
            <v>---</v>
          </cell>
          <cell r="BC39" t="str">
            <v>VSS</v>
          </cell>
          <cell r="BD39" t="str">
            <v>---</v>
          </cell>
          <cell r="BE39" t="str">
            <v>PCIE_5_LAN_0C_RXP</v>
          </cell>
          <cell r="BF39" t="str">
            <v>VSS</v>
          </cell>
          <cell r="BG39" t="str">
            <v>---</v>
          </cell>
          <cell r="BH39" t="str">
            <v>CSI2_COMP</v>
          </cell>
          <cell r="BI39" t="str">
            <v>---</v>
          </cell>
          <cell r="BJ39" t="str">
            <v>VSS</v>
          </cell>
          <cell r="BK39" t="str">
            <v>USB3_4_RXN</v>
          </cell>
          <cell r="BL39" t="str">
            <v>---</v>
          </cell>
          <cell r="BM39" t="str">
            <v>ITP_PMODE</v>
          </cell>
          <cell r="BN39" t="str">
            <v>---</v>
          </cell>
          <cell r="BO39" t="str">
            <v>VSS</v>
          </cell>
          <cell r="BP39" t="str">
            <v>PCIE_RCOMPP</v>
          </cell>
          <cell r="BQ39" t="str">
            <v>---</v>
          </cell>
          <cell r="BR39" t="str">
            <v>SPARE_10</v>
          </cell>
          <cell r="BS39" t="str">
            <v>MIPI_PLLOBSP</v>
          </cell>
          <cell r="BT39" t="str">
            <v>MIPI_PLLOBSN</v>
          </cell>
        </row>
        <row r="40">
          <cell r="A40" t="str">
            <v>D</v>
          </cell>
          <cell r="B40" t="str">
            <v>FIVR_PROBE_ANA[0]</v>
          </cell>
          <cell r="C40" t="str">
            <v>---</v>
          </cell>
          <cell r="D40" t="str">
            <v>VSS</v>
          </cell>
          <cell r="E40" t="str">
            <v>NOA_N[6]</v>
          </cell>
          <cell r="F40" t="str">
            <v>NOA_N[3]</v>
          </cell>
          <cell r="G40" t="str">
            <v>VSS</v>
          </cell>
          <cell r="H40" t="str">
            <v>NOA_N[2]</v>
          </cell>
          <cell r="I40" t="str">
            <v>VIDSOUT</v>
          </cell>
          <cell r="J40" t="str">
            <v>CATERR_N</v>
          </cell>
          <cell r="K40" t="str">
            <v>VSS</v>
          </cell>
          <cell r="L40" t="str">
            <v>PREQ_N</v>
          </cell>
          <cell r="M40" t="str">
            <v>CPU_JTAG_TDI</v>
          </cell>
          <cell r="N40" t="str">
            <v>PCH_JTAG_TDI</v>
          </cell>
          <cell r="O40" t="str">
            <v>VSS</v>
          </cell>
          <cell r="P40" t="str">
            <v>---</v>
          </cell>
          <cell r="Q40" t="str">
            <v>PRDY_N</v>
          </cell>
          <cell r="R40" t="str">
            <v>MBP_N[1]</v>
          </cell>
          <cell r="S40" t="str">
            <v>FIVR_PROBE_DIG[1]</v>
          </cell>
          <cell r="T40" t="str">
            <v>VSS</v>
          </cell>
          <cell r="U40" t="str">
            <v>DDI2_TXP[1]</v>
          </cell>
          <cell r="V40" t="str">
            <v>DDI2_TXN[3]</v>
          </cell>
          <cell r="W40" t="str">
            <v>DDI2_TXP[0]</v>
          </cell>
          <cell r="X40" t="str">
            <v>---</v>
          </cell>
          <cell r="Y40" t="str">
            <v>VSS</v>
          </cell>
          <cell r="Z40" t="str">
            <v>VSS</v>
          </cell>
          <cell r="AA40" t="str">
            <v>EDP_TXN[1]</v>
          </cell>
          <cell r="AB40" t="str">
            <v>VSS</v>
          </cell>
          <cell r="AC40" t="str">
            <v>VSS</v>
          </cell>
          <cell r="AD40" t="str">
            <v>---</v>
          </cell>
          <cell r="AE40" t="str">
            <v>CLKOUT_SRC_N_0</v>
          </cell>
          <cell r="AF40" t="str">
            <v>CLKOUT_SRC_N_2</v>
          </cell>
          <cell r="AG40" t="str">
            <v>CLKOUT_SRC_N_3</v>
          </cell>
          <cell r="AH40" t="str">
            <v>VSS</v>
          </cell>
          <cell r="AI40" t="str">
            <v>CSI2_DP_1</v>
          </cell>
          <cell r="AJ40" t="str">
            <v>CSI2_CLKP_0</v>
          </cell>
          <cell r="AK40" t="str">
            <v>CSI2_DP_2</v>
          </cell>
          <cell r="AL40" t="str">
            <v>---</v>
          </cell>
          <cell r="AM40" t="str">
            <v>VSS</v>
          </cell>
          <cell r="AN40" t="str">
            <v>CSI2_DP_5</v>
          </cell>
          <cell r="AO40" t="str">
            <v>CSI2_CLKP_1</v>
          </cell>
          <cell r="AP40" t="str">
            <v>CSI2_DP_4</v>
          </cell>
          <cell r="AQ40" t="str">
            <v>VSS</v>
          </cell>
          <cell r="AR40" t="str">
            <v>CSI2_CLKP_2</v>
          </cell>
          <cell r="AS40" t="str">
            <v>CSI2_DP_9</v>
          </cell>
          <cell r="AT40" t="str">
            <v>CSI2_DP_11</v>
          </cell>
          <cell r="AU40" t="str">
            <v>VSS</v>
          </cell>
          <cell r="AV40" t="str">
            <v>VSS</v>
          </cell>
          <cell r="AW40" t="str">
            <v>PCIE_11_SATA_1B_TXN</v>
          </cell>
          <cell r="AX40" t="str">
            <v>PCIE_10_LAN_0E_TXN</v>
          </cell>
          <cell r="AY40" t="str">
            <v>VSS</v>
          </cell>
          <cell r="AZ40" t="str">
            <v>PCIE_8_SATA_1A_TXN</v>
          </cell>
          <cell r="BA40" t="str">
            <v>PCIE_6_TXN</v>
          </cell>
          <cell r="BB40" t="str">
            <v>PCIE_5_LAN_0C_TXP</v>
          </cell>
          <cell r="BC40" t="str">
            <v>VSS</v>
          </cell>
          <cell r="BD40" t="str">
            <v>PCIE_3_UFS_0B_LAN_0A_TXN</v>
          </cell>
          <cell r="BE40" t="str">
            <v>PCIE_2_UFS_0A_USB3_6_TXN</v>
          </cell>
          <cell r="BF40" t="str">
            <v>USB3_4_TXP</v>
          </cell>
          <cell r="BG40" t="str">
            <v>VSS</v>
          </cell>
          <cell r="BH40" t="str">
            <v>USB3_1_TXP</v>
          </cell>
          <cell r="BI40" t="str">
            <v>SPARE_14</v>
          </cell>
          <cell r="BJ40" t="str">
            <v>VSS</v>
          </cell>
          <cell r="BK40" t="str">
            <v>VSS</v>
          </cell>
          <cell r="BL40" t="str">
            <v>GPP_E_11_USB2_OCB_2</v>
          </cell>
          <cell r="BM40" t="str">
            <v>GPP_D_17_DMIC_CLK_1</v>
          </cell>
          <cell r="BN40" t="str">
            <v>GPP_D_20_DMIC_DATA_0</v>
          </cell>
          <cell r="BO40" t="str">
            <v>VSS</v>
          </cell>
          <cell r="BP40" t="str">
            <v>PCIE2_PLLOBSN</v>
          </cell>
          <cell r="BQ40" t="str">
            <v>PCIE2_PLLOBSP</v>
          </cell>
          <cell r="BR40" t="str">
            <v>TD_DFTANATP1</v>
          </cell>
          <cell r="BS40" t="str">
            <v>---</v>
          </cell>
          <cell r="BT40" t="str">
            <v>TD_DFTANATP0</v>
          </cell>
        </row>
        <row r="41">
          <cell r="A41" t="str">
            <v>C</v>
          </cell>
          <cell r="B41" t="str">
            <v>HVM_CLK_N</v>
          </cell>
          <cell r="C41" t="str">
            <v>FIVR_PROBE_ANA[1]</v>
          </cell>
          <cell r="D41" t="str">
            <v>---</v>
          </cell>
          <cell r="E41" t="str">
            <v>NOA_N[5]</v>
          </cell>
          <cell r="F41" t="str">
            <v>NOA_N[7]</v>
          </cell>
          <cell r="G41" t="str">
            <v>---</v>
          </cell>
          <cell r="H41" t="str">
            <v>PROCHOT_N</v>
          </cell>
          <cell r="I41" t="str">
            <v>SKL_CNL_N</v>
          </cell>
          <cell r="J41" t="str">
            <v>THRMTRIPB</v>
          </cell>
          <cell r="K41" t="str">
            <v>---</v>
          </cell>
          <cell r="L41" t="str">
            <v>PCH_TRSTB</v>
          </cell>
          <cell r="M41" t="str">
            <v>CPU_JTAG_TMS</v>
          </cell>
          <cell r="N41" t="str">
            <v>PCH_JTAG_TMS</v>
          </cell>
          <cell r="O41" t="str">
            <v>---</v>
          </cell>
          <cell r="P41" t="str">
            <v>---</v>
          </cell>
          <cell r="Q41" t="str">
            <v>MBP_N[3]</v>
          </cell>
          <cell r="R41" t="str">
            <v>MBP_N[0]</v>
          </cell>
          <cell r="S41" t="str">
            <v>FIVR_PROBE_DIG[0]</v>
          </cell>
          <cell r="T41" t="str">
            <v>---</v>
          </cell>
          <cell r="U41" t="str">
            <v>DDI2_TXN[1]</v>
          </cell>
          <cell r="V41" t="str">
            <v>DDI2_TXP[3]</v>
          </cell>
          <cell r="W41" t="str">
            <v>DDI2_TXN[0]</v>
          </cell>
          <cell r="X41" t="str">
            <v>---</v>
          </cell>
          <cell r="Y41" t="str">
            <v>---</v>
          </cell>
          <cell r="Z41" t="str">
            <v>EDP_TXN[0]</v>
          </cell>
          <cell r="AA41" t="str">
            <v>EDP_TXP[0]</v>
          </cell>
          <cell r="AB41" t="str">
            <v>EDP_TXP[1]</v>
          </cell>
          <cell r="AC41" t="str">
            <v>---</v>
          </cell>
          <cell r="AD41" t="str">
            <v>---</v>
          </cell>
          <cell r="AE41" t="str">
            <v>CLKOUT_SRC_P_0</v>
          </cell>
          <cell r="AF41" t="str">
            <v>CLKOUT_SRC_P_2</v>
          </cell>
          <cell r="AG41" t="str">
            <v>CLKOUT_SRC_P_3</v>
          </cell>
          <cell r="AH41" t="str">
            <v>---</v>
          </cell>
          <cell r="AI41" t="str">
            <v>CSI2_DN_1</v>
          </cell>
          <cell r="AJ41" t="str">
            <v>CSI2_CLKN_0</v>
          </cell>
          <cell r="AK41" t="str">
            <v>CSI2_DN_2</v>
          </cell>
          <cell r="AL41" t="str">
            <v>---</v>
          </cell>
          <cell r="AM41" t="str">
            <v>---</v>
          </cell>
          <cell r="AN41" t="str">
            <v>CSI2_DN_5</v>
          </cell>
          <cell r="AO41" t="str">
            <v>CSI2_CLKN_1</v>
          </cell>
          <cell r="AP41" t="str">
            <v>CSI2_DN_4</v>
          </cell>
          <cell r="AQ41" t="str">
            <v>---</v>
          </cell>
          <cell r="AR41" t="str">
            <v>CSI2_CLKN_2</v>
          </cell>
          <cell r="AS41" t="str">
            <v>CSI2_DN_9</v>
          </cell>
          <cell r="AT41" t="str">
            <v>CSI2_DN_11</v>
          </cell>
          <cell r="AU41" t="str">
            <v>---</v>
          </cell>
          <cell r="AV41" t="str">
            <v>VSS</v>
          </cell>
          <cell r="AW41" t="str">
            <v>PCIE_11_SATA_1B_TXP</v>
          </cell>
          <cell r="AX41" t="str">
            <v>PCIE_10_LAN_0E_TXP</v>
          </cell>
          <cell r="AY41" t="str">
            <v>---</v>
          </cell>
          <cell r="AZ41" t="str">
            <v>PCIE_8_SATA_1A_TXP</v>
          </cell>
          <cell r="BA41" t="str">
            <v>PCIE_6_TXP</v>
          </cell>
          <cell r="BB41" t="str">
            <v>PCIE_5_LAN_0C_TXN</v>
          </cell>
          <cell r="BC41" t="str">
            <v>---</v>
          </cell>
          <cell r="BD41" t="str">
            <v>PCIE_3_UFS_0B_LAN_0A_TXP</v>
          </cell>
          <cell r="BE41" t="str">
            <v>PCIE_2_UFS_0A_USB3_6_TXP</v>
          </cell>
          <cell r="BF41" t="str">
            <v>USB3_4_TXN</v>
          </cell>
          <cell r="BG41" t="str">
            <v>---</v>
          </cell>
          <cell r="BH41" t="str">
            <v>USB3_1_TXN</v>
          </cell>
          <cell r="BI41" t="str">
            <v>SPARE_15</v>
          </cell>
          <cell r="BJ41" t="str">
            <v>SPARE_11</v>
          </cell>
          <cell r="BK41" t="str">
            <v>---</v>
          </cell>
          <cell r="BL41" t="str">
            <v>GPP_E_10_USB2_OCB_1</v>
          </cell>
          <cell r="BM41" t="str">
            <v>GPP_D_18_DMIC_DATA_1</v>
          </cell>
          <cell r="BN41" t="str">
            <v>SPARE_5</v>
          </cell>
          <cell r="BO41" t="str">
            <v>---</v>
          </cell>
          <cell r="BP41" t="str">
            <v>VSS</v>
          </cell>
          <cell r="BQ41" t="str">
            <v>XCKPLL_MON_P</v>
          </cell>
          <cell r="BR41" t="str">
            <v>---</v>
          </cell>
          <cell r="BS41" t="str">
            <v>PCIE3_PLLOBSP</v>
          </cell>
          <cell r="BT41" t="str">
            <v>VSS</v>
          </cell>
        </row>
        <row r="42">
          <cell r="A42" t="str">
            <v>B</v>
          </cell>
          <cell r="B42" t="str">
            <v>VSS</v>
          </cell>
          <cell r="C42" t="str">
            <v>HVM_CLK_P</v>
          </cell>
          <cell r="D42" t="str">
            <v>CPU_EDM[1]</v>
          </cell>
          <cell r="E42" t="str">
            <v>---</v>
          </cell>
          <cell r="F42" t="str">
            <v>NOA_N[1]</v>
          </cell>
          <cell r="G42" t="str">
            <v>VSS</v>
          </cell>
          <cell r="H42" t="str">
            <v>VCCST_PWRGD</v>
          </cell>
          <cell r="I42" t="str">
            <v>---</v>
          </cell>
          <cell r="J42" t="str">
            <v>VIDALERT_N</v>
          </cell>
          <cell r="K42" t="str">
            <v>VSS</v>
          </cell>
          <cell r="L42" t="str">
            <v>CPU_JTAG_TCK</v>
          </cell>
          <cell r="M42" t="str">
            <v>---</v>
          </cell>
          <cell r="N42" t="str">
            <v>CPU_JTAG_TRST_N</v>
          </cell>
          <cell r="O42" t="str">
            <v>VSS</v>
          </cell>
          <cell r="P42" t="str">
            <v>---</v>
          </cell>
          <cell r="Q42" t="str">
            <v>PCH_JTAG_TCK</v>
          </cell>
          <cell r="R42" t="str">
            <v>---</v>
          </cell>
          <cell r="S42" t="str">
            <v>MBP_N[2]</v>
          </cell>
          <cell r="T42" t="str">
            <v>VSS</v>
          </cell>
          <cell r="U42" t="str">
            <v>EDP_DISP_UTIL</v>
          </cell>
          <cell r="V42" t="str">
            <v>---</v>
          </cell>
          <cell r="W42" t="str">
            <v>DDI2_TXP[2]</v>
          </cell>
          <cell r="X42" t="str">
            <v>---</v>
          </cell>
          <cell r="Y42" t="str">
            <v>VSS</v>
          </cell>
          <cell r="Z42" t="str">
            <v>EDP_TXP[3]</v>
          </cell>
          <cell r="AA42" t="str">
            <v>---</v>
          </cell>
          <cell r="AB42" t="str">
            <v>EDP_TXP[2]</v>
          </cell>
          <cell r="AC42" t="str">
            <v>VSS</v>
          </cell>
          <cell r="AD42" t="str">
            <v>---</v>
          </cell>
          <cell r="AE42" t="str">
            <v>CLKOUT_SRC_N_1</v>
          </cell>
          <cell r="AF42" t="str">
            <v>---</v>
          </cell>
          <cell r="AG42" t="str">
            <v>CLKOUT_SRC_N_4</v>
          </cell>
          <cell r="AH42" t="str">
            <v>VSS</v>
          </cell>
          <cell r="AI42" t="str">
            <v>CSI2_DP_3</v>
          </cell>
          <cell r="AJ42" t="str">
            <v>---</v>
          </cell>
          <cell r="AK42" t="str">
            <v>CSI2_DP_0</v>
          </cell>
          <cell r="AL42" t="str">
            <v>---</v>
          </cell>
          <cell r="AM42" t="str">
            <v>VSS</v>
          </cell>
          <cell r="AN42" t="str">
            <v>CSI2_DP_7</v>
          </cell>
          <cell r="AO42" t="str">
            <v>---</v>
          </cell>
          <cell r="AP42" t="str">
            <v>CSI2_DP_6</v>
          </cell>
          <cell r="AQ42" t="str">
            <v>VSS</v>
          </cell>
          <cell r="AR42" t="str">
            <v>CSI2_DP_8</v>
          </cell>
          <cell r="AS42" t="str">
            <v>---</v>
          </cell>
          <cell r="AT42" t="str">
            <v>CSI2_DP_10</v>
          </cell>
          <cell r="AU42" t="str">
            <v>CSI2_CLKN_3</v>
          </cell>
          <cell r="AV42" t="str">
            <v>PCIE_12_SATA_2_TXP</v>
          </cell>
          <cell r="AW42" t="str">
            <v>---</v>
          </cell>
          <cell r="AX42" t="str">
            <v>PCIE_9_LAN_0D_TXN</v>
          </cell>
          <cell r="AY42" t="str">
            <v>VSS</v>
          </cell>
          <cell r="AZ42" t="str">
            <v>PCIE_7_SATA_0_TXN</v>
          </cell>
          <cell r="BA42" t="str">
            <v>---</v>
          </cell>
          <cell r="BB42" t="str">
            <v>PCIE_4_LAN_0B_TXN</v>
          </cell>
          <cell r="BC42" t="str">
            <v>VSS</v>
          </cell>
          <cell r="BD42" t="str">
            <v>PCIE_1_USB3_5_TXN</v>
          </cell>
          <cell r="BE42" t="str">
            <v>---</v>
          </cell>
          <cell r="BF42" t="str">
            <v>USB3_3_SSIC_2_TXN</v>
          </cell>
          <cell r="BG42" t="str">
            <v>VSS</v>
          </cell>
          <cell r="BH42" t="str">
            <v>USB3_2_SSIC_1_TXN</v>
          </cell>
          <cell r="BI42" t="str">
            <v>---</v>
          </cell>
          <cell r="BJ42" t="str">
            <v>SPARE_12</v>
          </cell>
          <cell r="BK42" t="str">
            <v>VSS</v>
          </cell>
          <cell r="BL42" t="str">
            <v>GPP_E_12_USB2_OCB_3</v>
          </cell>
          <cell r="BM42" t="str">
            <v>---</v>
          </cell>
          <cell r="BN42" t="str">
            <v>GPP_D_4_FLASHTRIG</v>
          </cell>
          <cell r="BO42" t="str">
            <v>SYS_PWROK</v>
          </cell>
          <cell r="BP42" t="str">
            <v>SYS_RESETB</v>
          </cell>
          <cell r="BQ42" t="str">
            <v>---</v>
          </cell>
          <cell r="BR42" t="str">
            <v>SATA_PLLOBSN</v>
          </cell>
          <cell r="BS42" t="str">
            <v>PCIE3_PLLOBSN</v>
          </cell>
          <cell r="BT42" t="str">
            <v>---</v>
          </cell>
        </row>
        <row r="43">
          <cell r="A43" t="str">
            <v>A</v>
          </cell>
          <cell r="B43" t="str">
            <v>---</v>
          </cell>
          <cell r="C43" t="str">
            <v>VSS</v>
          </cell>
          <cell r="D43" t="str">
            <v>CPU_EDM[0]</v>
          </cell>
          <cell r="E43" t="str">
            <v>CPUPWRGD</v>
          </cell>
          <cell r="F43" t="str">
            <v>VSS</v>
          </cell>
          <cell r="G43" t="str">
            <v>VCCGT</v>
          </cell>
          <cell r="H43" t="str">
            <v>SKTOCC_N</v>
          </cell>
          <cell r="I43" t="str">
            <v>---</v>
          </cell>
          <cell r="J43" t="str">
            <v>VIDSCK</v>
          </cell>
          <cell r="K43" t="str">
            <v>VCCGT</v>
          </cell>
          <cell r="L43" t="str">
            <v>CPU_JTAG_TDO</v>
          </cell>
          <cell r="M43" t="str">
            <v>---</v>
          </cell>
          <cell r="N43" t="str">
            <v>JTAGX</v>
          </cell>
          <cell r="O43" t="str">
            <v>VCCGT</v>
          </cell>
          <cell r="P43" t="str">
            <v>---</v>
          </cell>
          <cell r="Q43" t="str">
            <v>PCH_JTAG_TDO</v>
          </cell>
          <cell r="R43" t="str">
            <v>---</v>
          </cell>
          <cell r="S43" t="str">
            <v>PECI</v>
          </cell>
          <cell r="T43" t="str">
            <v>VCCGT</v>
          </cell>
          <cell r="U43" t="str">
            <v>EXTBGREF</v>
          </cell>
          <cell r="V43" t="str">
            <v>---</v>
          </cell>
          <cell r="W43" t="str">
            <v>DDI2_TXN[2]</v>
          </cell>
          <cell r="X43" t="str">
            <v>---</v>
          </cell>
          <cell r="Y43" t="str">
            <v>VCCGT</v>
          </cell>
          <cell r="Z43" t="str">
            <v>EDP_TXN[3]</v>
          </cell>
          <cell r="AA43" t="str">
            <v>---</v>
          </cell>
          <cell r="AB43" t="str">
            <v>EDP_TXN[2]</v>
          </cell>
          <cell r="AC43" t="str">
            <v>VCCCORE</v>
          </cell>
          <cell r="AD43" t="str">
            <v>---</v>
          </cell>
          <cell r="AE43" t="str">
            <v>CLKOUT_SRC_P_1</v>
          </cell>
          <cell r="AF43" t="str">
            <v>---</v>
          </cell>
          <cell r="AG43" t="str">
            <v>CLKOUT_SRC_P_4</v>
          </cell>
          <cell r="AH43" t="str">
            <v>VCCCORE</v>
          </cell>
          <cell r="AI43" t="str">
            <v>CSI2_DN_3</v>
          </cell>
          <cell r="AJ43" t="str">
            <v>---</v>
          </cell>
          <cell r="AK43" t="str">
            <v>CSI2_DN_0</v>
          </cell>
          <cell r="AL43" t="str">
            <v>---</v>
          </cell>
          <cell r="AM43" t="str">
            <v>VCCCORE</v>
          </cell>
          <cell r="AN43" t="str">
            <v>CSI2_DN_7</v>
          </cell>
          <cell r="AO43" t="str">
            <v>---</v>
          </cell>
          <cell r="AP43" t="str">
            <v>CSI2_DN_6</v>
          </cell>
          <cell r="AQ43" t="str">
            <v>VCCCORE</v>
          </cell>
          <cell r="AR43" t="str">
            <v>CSI2_DN_8</v>
          </cell>
          <cell r="AS43" t="str">
            <v>---</v>
          </cell>
          <cell r="AT43" t="str">
            <v>CSI2_DN_10</v>
          </cell>
          <cell r="AU43" t="str">
            <v>CSI2_CLKP_3</v>
          </cell>
          <cell r="AV43" t="str">
            <v>PCIE_12_SATA_2_TXN</v>
          </cell>
          <cell r="AW43" t="str">
            <v>---</v>
          </cell>
          <cell r="AX43" t="str">
            <v>PCIE_9_LAN_0D_TXP</v>
          </cell>
          <cell r="AY43" t="str">
            <v>VCCSTG</v>
          </cell>
          <cell r="AZ43" t="str">
            <v>PCIE_7_SATA_0_TXP</v>
          </cell>
          <cell r="BA43" t="str">
            <v>---</v>
          </cell>
          <cell r="BB43" t="str">
            <v>PCIE_4_LAN_0B_TXP</v>
          </cell>
          <cell r="BC43" t="str">
            <v>VCCST</v>
          </cell>
          <cell r="BD43" t="str">
            <v>PCIE_1_USB3_5_TXP</v>
          </cell>
          <cell r="BE43" t="str">
            <v>---</v>
          </cell>
          <cell r="BF43" t="str">
            <v>USB3_3_SSIC_2_TXP</v>
          </cell>
          <cell r="BG43" t="str">
            <v>VCC19P2_1P0</v>
          </cell>
          <cell r="BH43" t="str">
            <v>USB3_2_SSIC_1_TXP</v>
          </cell>
          <cell r="BI43" t="str">
            <v>---</v>
          </cell>
          <cell r="BJ43" t="str">
            <v>SPARE_13</v>
          </cell>
          <cell r="BK43" t="str">
            <v>VCC24TBT_1P0</v>
          </cell>
          <cell r="BL43" t="str">
            <v>GPP_E_9_USB2_OCB_0</v>
          </cell>
          <cell r="BM43" t="str">
            <v>---</v>
          </cell>
          <cell r="BN43" t="str">
            <v>GPP_E_7_CPU_GP_1</v>
          </cell>
          <cell r="BO43" t="str">
            <v>GPP_E_3_CPU_GP_0</v>
          </cell>
          <cell r="BP43" t="str">
            <v>VSS</v>
          </cell>
          <cell r="BQ43" t="str">
            <v>XCKPLL_MON_N</v>
          </cell>
          <cell r="BR43" t="str">
            <v>SATA_PLLOBSP</v>
          </cell>
          <cell r="BS43" t="str">
            <v>---</v>
          </cell>
          <cell r="BT43" t="str">
            <v>---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A099-F465-4330-A18E-12A7ED8EEB97}">
  <dimension ref="A1:J1358"/>
  <sheetViews>
    <sheetView tabSelected="1" workbookViewId="0">
      <selection activeCell="M28" sqref="M28"/>
    </sheetView>
  </sheetViews>
  <sheetFormatPr defaultRowHeight="15"/>
  <sheetData>
    <row r="1" spans="1:10">
      <c r="A1" t="s">
        <v>1357</v>
      </c>
      <c r="B1" t="str">
        <f>_xlfn.XLOOKUP(A1,'Pinlist(S1)'!$Q$4:$Q$1362,'Pinlist(S1)'!$R$4:$R$1362,"")</f>
        <v>SATA_PLLOBSP</v>
      </c>
      <c r="C1" t="str" cm="1">
        <f t="array" ref="C1">_xlfn.TEXTJOIN(",",TRUE,_xlfn.UNIQUE(TRANSPOSE(_xlfn.MAP(_xlfn.XLOOKUP(A1,'Pinlist(S1)'!$C$4:$C$1362,'Pinlist(S1)'!$F$4:$K$1362,""),_xlfn.LAMBDA(_xlpm.x,IF(_xlpm.x&lt;&gt;"",TRIM(CLEAN(LEFT(_xlpm.x,FIND(".",_xlpm.x &amp; ".")-1))),""))))))</f>
        <v/>
      </c>
      <c r="D1">
        <v>0.96500000000000297</v>
      </c>
      <c r="E1">
        <v>0</v>
      </c>
      <c r="F1" t="str">
        <f>_xlfn.LET(_xlpm.raw,_xlfn.XLOOKUP(A1,'Pinlist(S1)'!$C$4:$C$1362,'Pinlist(S1)'!$E$4:$E$1362,""),_xlpm.cleanRaw,SUBSTITUTE(SUBSTITUTE(_xlpm.raw,"_PIN","."),"PIN","."),_xlpm.mainPart,MID(_xlpm.cleanRaw,2,FIND(".",_xlpm.cleanRaw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" t="str">
        <f>_xlfn.LET(_xlpm.raw,_xlfn.XLOOKUP(A1,'Pinlist(S3)'!$C$4:$C$1362,'Pinlist(S3)'!$E$4:$E$1362,""),_xlpm.cleanRaw,SUBSTITUTE(SUBSTITUTE(_xlpm.raw,"_PIN","."),"PIN","."),_xlpm.mainPart,MID(_xlpm.cleanRaw,2,FIND(".",_xlpm.cleanRaw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" t="str">
        <f>_xlfn.LET(_xlpm.raw,_xlfn.XLOOKUP(A1,'Pinlist(S5)'!$C$4:$C$1362,'Pinlist(S5)'!$E$4:$E$1362,""),_xlpm.cleanRaw,SUBSTITUTE(SUBSTITUTE(_xlpm.raw,"_PIN","."),"PIN","."),_xlpm.mainPart,MID(_xlpm.cleanRaw,2,FIND(".",_xlpm.cleanRaw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" t="str">
        <f>""</f>
        <v/>
      </c>
      <c r="J1" t="str">
        <f>A1&amp;";"&amp;B1&amp;";"&amp;C1&amp;";"&amp;D1&amp;";"&amp;E1&amp;";"&amp;F1&amp;";"&amp;G1&amp;";"&amp;H1&amp;";"&amp;I1</f>
        <v>A3;SATA_PLLOBSP;;0.965000000000003;0;;;;</v>
      </c>
    </row>
    <row r="2" spans="1:10">
      <c r="A2" t="s">
        <v>2261</v>
      </c>
      <c r="B2" t="str">
        <f>_xlfn.XLOOKUP(A2,'Pinlist(S1)'!$Q$4:$Q$1362,'Pinlist(S1)'!$R$4:$R$1362,"")</f>
        <v>XCKPLL_MON_N</v>
      </c>
      <c r="C2" t="str" cm="1">
        <f t="array" ref="C2">_xlfn.TEXTJOIN(",",TRUE,_xlfn.UNIQUE(TRANSPOSE(_xlfn.MAP(_xlfn.XLOOKUP(A2,'Pinlist(S1)'!$C$4:$C$1362,'Pinlist(S1)'!$F$4:$K$1362,""),_xlfn.LAMBDA(_xlpm.x,IF(_xlpm.x&lt;&gt;"",TRIM(CLEAN(LEFT(_xlpm.x,FIND(".",_xlpm.x &amp; ".")-1))),""))))))</f>
        <v/>
      </c>
      <c r="D2">
        <v>1.61499999999999</v>
      </c>
      <c r="E2">
        <v>0</v>
      </c>
      <c r="F2" t="str">
        <f>_xlfn.LET(_xlpm.raw,_xlfn.XLOOKUP(A2,'Pinlist(S1)'!$C$4:$C$1362,'Pinlist(S1)'!$E$4:$E$1362,""),_xlpm.cleanRaw,SUBSTITUTE(SUBSTITUTE(_xlpm.raw,"_PIN","."),"PIN","."),_xlpm.mainPart,MID(_xlpm.cleanRaw,2,FIND(".",_xlpm.cleanRaw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" t="str">
        <f>_xlfn.LET(_xlpm.raw,_xlfn.XLOOKUP(A2,'Pinlist(S3)'!$C$4:$C$1362,'Pinlist(S3)'!$E$4:$E$1362,""),_xlpm.cleanRaw,SUBSTITUTE(SUBSTITUTE(_xlpm.raw,"_PIN","."),"PIN","."),_xlpm.mainPart,MID(_xlpm.cleanRaw,2,FIND(".",_xlpm.cleanRaw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" t="str">
        <f>_xlfn.LET(_xlpm.raw,_xlfn.XLOOKUP(A2,'Pinlist(S5)'!$C$4:$C$1362,'Pinlist(S5)'!$E$4:$E$1362,""),_xlpm.cleanRaw,SUBSTITUTE(SUBSTITUTE(_xlpm.raw,"_PIN","."),"PIN","."),_xlpm.mainPart,MID(_xlpm.cleanRaw,2,FIND(".",_xlpm.cleanRaw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" t="str">
        <f>""</f>
        <v/>
      </c>
      <c r="J2" t="str">
        <f t="shared" ref="J2:J65" si="0">A2&amp;";"&amp;B2&amp;";"&amp;C2&amp;";"&amp;D2&amp;";"&amp;E2&amp;";"&amp;F2&amp;";"&amp;G2&amp;";"&amp;H2&amp;";"&amp;I2</f>
        <v>A4;XCKPLL_MON_N;;1.61499999999999;0;;;;</v>
      </c>
    </row>
    <row r="3" spans="1:10">
      <c r="A3" t="s">
        <v>1882</v>
      </c>
      <c r="B3" t="str">
        <f>_xlfn.XLOOKUP(A3,'Pinlist(S1)'!$Q$4:$Q$1362,'Pinlist(S1)'!$R$4:$R$1362,"")</f>
        <v>VSS</v>
      </c>
      <c r="C3" t="str" cm="1">
        <f t="array" ref="C3">_xlfn.TEXTJOIN(",",TRUE,_xlfn.UNIQUE(TRANSPOSE(_xlfn.MAP(_xlfn.XLOOKUP(A3,'Pinlist(S1)'!$C$4:$C$1362,'Pinlist(S1)'!$F$4:$K$1362,""),_xlfn.LAMBDA(_xlpm.x,IF(_xlpm.x&lt;&gt;"",TRIM(CLEAN(LEFT(_xlpm.x,FIND(".",_xlpm.x &amp; ".")-1))),""))))))</f>
        <v/>
      </c>
      <c r="D3">
        <v>2.2650000000000001</v>
      </c>
      <c r="E3">
        <v>0</v>
      </c>
      <c r="F3" t="str">
        <f>_xlfn.LET(_xlpm.raw,_xlfn.XLOOKUP(A3,'Pinlist(S1)'!$C$4:$C$1362,'Pinlist(S1)'!$E$4:$E$1362,""),_xlpm.cleanRaw,SUBSTITUTE(SUBSTITUTE(_xlpm.raw,"_PIN","."),"PIN","."),_xlpm.mainPart,MID(_xlpm.cleanRaw,2,FIND(".",_xlpm.cleanRaw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" t="str">
        <f>_xlfn.LET(_xlpm.raw,_xlfn.XLOOKUP(A3,'Pinlist(S3)'!$C$4:$C$1362,'Pinlist(S3)'!$E$4:$E$1362,""),_xlpm.cleanRaw,SUBSTITUTE(SUBSTITUTE(_xlpm.raw,"_PIN","."),"PIN","."),_xlpm.mainPart,MID(_xlpm.cleanRaw,2,FIND(".",_xlpm.cleanRaw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" t="str">
        <f>_xlfn.LET(_xlpm.raw,_xlfn.XLOOKUP(A3,'Pinlist(S5)'!$C$4:$C$1362,'Pinlist(S5)'!$E$4:$E$1362,""),_xlpm.cleanRaw,SUBSTITUTE(SUBSTITUTE(_xlpm.raw,"_PIN","."),"PIN","."),_xlpm.mainPart,MID(_xlpm.cleanRaw,2,FIND(".",_xlpm.cleanRaw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" t="str">
        <f>""</f>
        <v/>
      </c>
      <c r="J3" t="str">
        <f t="shared" si="0"/>
        <v>A5;VSS;;2.265;0;;;;</v>
      </c>
    </row>
    <row r="4" spans="1:10">
      <c r="A4" t="s">
        <v>1024</v>
      </c>
      <c r="B4" t="str">
        <f>_xlfn.XLOOKUP(A4,'Pinlist(S1)'!$Q$4:$Q$1362,'Pinlist(S1)'!$R$4:$R$1362,"")</f>
        <v>GPP_E_3_CPU_GP_0</v>
      </c>
      <c r="C4" t="str" cm="1">
        <f t="array" ref="C4">_xlfn.TEXTJOIN(",",TRUE,_xlfn.UNIQUE(TRANSPOSE(_xlfn.MAP(_xlfn.XLOOKUP(A4,'Pinlist(S1)'!$C$4:$C$1362,'Pinlist(S1)'!$F$4:$K$1362,""),_xlfn.LAMBDA(_xlpm.x,IF(_xlpm.x&lt;&gt;"",TRIM(CLEAN(LEFT(_xlpm.x,FIND(".",_xlpm.x &amp; ".")-1))),""))))))</f>
        <v/>
      </c>
      <c r="D4">
        <v>2.847</v>
      </c>
      <c r="E4">
        <v>0.32499999999999901</v>
      </c>
      <c r="F4" t="str">
        <f>_xlfn.LET(_xlpm.raw,_xlfn.XLOOKUP(A4,'Pinlist(S1)'!$C$4:$C$1362,'Pinlist(S1)'!$E$4:$E$1362,""),_xlpm.cleanRaw,SUBSTITUTE(SUBSTITUTE(_xlpm.raw,"_PIN","."),"PIN","."),_xlpm.mainPart,MID(_xlpm.cleanRaw,2,FIND(".",_xlpm.cleanRaw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504123</v>
      </c>
      <c r="G4" t="str">
        <f>_xlfn.LET(_xlpm.raw,_xlfn.XLOOKUP(A4,'Pinlist(S3)'!$C$4:$C$1362,'Pinlist(S3)'!$E$4:$E$1362,""),_xlpm.cleanRaw,SUBSTITUTE(SUBSTITUTE(_xlpm.raw,"_PIN","."),"PIN","."),_xlpm.mainPart,MID(_xlpm.cleanRaw,2,FIND(".",_xlpm.cleanRaw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808060</v>
      </c>
      <c r="H4" t="str">
        <f>_xlfn.LET(_xlpm.raw,_xlfn.XLOOKUP(A4,'Pinlist(S5)'!$C$4:$C$1362,'Pinlist(S5)'!$E$4:$E$1362,""),_xlpm.cleanRaw,SUBSTITUTE(SUBSTITUTE(_xlpm.raw,"_PIN","."),"PIN","."),_xlpm.mainPart,MID(_xlpm.cleanRaw,2,FIND(".",_xlpm.cleanRaw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602076</v>
      </c>
      <c r="I4" t="str">
        <f>""</f>
        <v/>
      </c>
      <c r="J4" t="str">
        <f t="shared" si="0"/>
        <v>A6;GPP_E_3_CPU_GP_0;;2.847;0.324999999999999;504123;808060;602076;</v>
      </c>
    </row>
    <row r="5" spans="1:10">
      <c r="A5" t="s">
        <v>1032</v>
      </c>
      <c r="B5" t="str">
        <f>_xlfn.XLOOKUP(A5,'Pinlist(S1)'!$Q$4:$Q$1362,'Pinlist(S1)'!$R$4:$R$1362,"")</f>
        <v>GPP_E_7_CPU_GP_1</v>
      </c>
      <c r="C5" t="str" cm="1">
        <f t="array" ref="C5">_xlfn.TEXTJOIN(",",TRUE,_xlfn.UNIQUE(TRANSPOSE(_xlfn.MAP(_xlfn.XLOOKUP(A5,'Pinlist(S1)'!$C$4:$C$1362,'Pinlist(S1)'!$F$4:$K$1362,""),_xlfn.LAMBDA(_xlpm.x,IF(_xlpm.x&lt;&gt;"",TRIM(CLEAN(LEFT(_xlpm.x,FIND(".",_xlpm.x &amp; ".")-1))),""))))))</f>
        <v/>
      </c>
      <c r="D5">
        <v>3.5229999999999899</v>
      </c>
      <c r="E5">
        <v>0</v>
      </c>
      <c r="F5" t="str">
        <f>_xlfn.LET(_xlpm.raw,_xlfn.XLOOKUP(A5,'Pinlist(S1)'!$C$4:$C$1362,'Pinlist(S1)'!$E$4:$E$1362,""),_xlpm.cleanRaw,SUBSTITUTE(SUBSTITUTE(_xlpm.raw,"_PIN","."),"PIN","."),_xlpm.mainPart,MID(_xlpm.cleanRaw,2,FIND(".",_xlpm.cleanRaw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504118</v>
      </c>
      <c r="G5" t="str">
        <f>_xlfn.LET(_xlpm.raw,_xlfn.XLOOKUP(A5,'Pinlist(S3)'!$C$4:$C$1362,'Pinlist(S3)'!$E$4:$E$1362,""),_xlpm.cleanRaw,SUBSTITUTE(SUBSTITUTE(_xlpm.raw,"_PIN","."),"PIN","."),_xlpm.mainPart,MID(_xlpm.cleanRaw,2,FIND(".",_xlpm.cleanRaw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807004</v>
      </c>
      <c r="H5" t="str">
        <f>_xlfn.LET(_xlpm.raw,_xlfn.XLOOKUP(A5,'Pinlist(S5)'!$C$4:$C$1362,'Pinlist(S5)'!$E$4:$E$1362,""),_xlpm.cleanRaw,SUBSTITUTE(SUBSTITUTE(_xlpm.raw,"_PIN","."),"PIN","."),_xlpm.mainPart,MID(_xlpm.cleanRaw,2,FIND(".",_xlpm.cleanRaw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602055</v>
      </c>
      <c r="I5" t="str">
        <f>""</f>
        <v/>
      </c>
      <c r="J5" t="str">
        <f t="shared" si="0"/>
        <v>A7;GPP_E_7_CPU_GP_1;;3.52299999999999;0;504118;807004;602055;</v>
      </c>
    </row>
    <row r="6" spans="1:10">
      <c r="A6" t="s">
        <v>1036</v>
      </c>
      <c r="B6" t="str">
        <f>_xlfn.XLOOKUP(A6,'Pinlist(S1)'!$Q$4:$Q$1362,'Pinlist(S1)'!$R$4:$R$1362,"")</f>
        <v>GPP_E_9_USB2_OCB_0</v>
      </c>
      <c r="C6" t="str" cm="1">
        <f t="array" ref="C6">_xlfn.TEXTJOIN(",",TRUE,_xlfn.UNIQUE(TRANSPOSE(_xlfn.MAP(_xlfn.XLOOKUP(A6,'Pinlist(S1)'!$C$4:$C$1362,'Pinlist(S1)'!$F$4:$K$1362,""),_xlfn.LAMBDA(_xlpm.x,IF(_xlpm.x&lt;&gt;"",TRIM(CLEAN(LEFT(_xlpm.x,FIND(".",_xlpm.x &amp; ".")-1))),""))))))</f>
        <v/>
      </c>
      <c r="D6">
        <v>4.6499999999999897</v>
      </c>
      <c r="E6">
        <v>0</v>
      </c>
      <c r="F6" t="str">
        <f>_xlfn.LET(_xlpm.raw,_xlfn.XLOOKUP(A6,'Pinlist(S1)'!$C$4:$C$1362,'Pinlist(S1)'!$E$4:$E$1362,""),_xlpm.cleanRaw,SUBSTITUTE(SUBSTITUTE(_xlpm.raw,"_PIN","."),"PIN","."),_xlpm.mainPart,MID(_xlpm.cleanRaw,2,FIND(".",_xlpm.cleanRaw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504125</v>
      </c>
      <c r="G6" t="str">
        <f>_xlfn.LET(_xlpm.raw,_xlfn.XLOOKUP(A6,'Pinlist(S3)'!$C$4:$C$1362,'Pinlist(S3)'!$E$4:$E$1362,""),_xlpm.cleanRaw,SUBSTITUTE(SUBSTITUTE(_xlpm.raw,"_PIN","."),"PIN","."),_xlpm.mainPart,MID(_xlpm.cleanRaw,2,FIND(".",_xlpm.cleanRaw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808055</v>
      </c>
      <c r="H6" t="str">
        <f>_xlfn.LET(_xlpm.raw,_xlfn.XLOOKUP(A6,'Pinlist(S5)'!$C$4:$C$1362,'Pinlist(S5)'!$E$4:$E$1362,""),_xlpm.cleanRaw,SUBSTITUTE(SUBSTITUTE(_xlpm.raw,"_PIN","."),"PIN","."),_xlpm.mainPart,MID(_xlpm.cleanRaw,2,FIND(".",_xlpm.cleanRaw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602063</v>
      </c>
      <c r="I6" t="str">
        <f>""</f>
        <v/>
      </c>
      <c r="J6" t="str">
        <f t="shared" si="0"/>
        <v>A9;GPP_E_9_USB2_OCB_0;;4.64999999999999;0;504125;808055;602063;</v>
      </c>
    </row>
    <row r="7" spans="1:10">
      <c r="A7" t="s">
        <v>1536</v>
      </c>
      <c r="B7" t="str">
        <f>_xlfn.XLOOKUP(A7,'Pinlist(S1)'!$Q$4:$Q$1362,'Pinlist(S1)'!$R$4:$R$1362,"")</f>
        <v>VCC24TBT_1P0</v>
      </c>
      <c r="C7" t="str" cm="1">
        <f t="array" ref="C7">_xlfn.TEXTJOIN(",",TRUE,_xlfn.UNIQUE(TRANSPOSE(_xlfn.MAP(_xlfn.XLOOKUP(A7,'Pinlist(S1)'!$C$4:$C$1362,'Pinlist(S1)'!$F$4:$K$1362,""),_xlfn.LAMBDA(_xlpm.x,IF(_xlpm.x&lt;&gt;"",TRIM(CLEAN(LEFT(_xlpm.x,FIND(".",_xlpm.x &amp; ".")-1))),""))))))</f>
        <v/>
      </c>
      <c r="D7">
        <v>5.3250000000000002</v>
      </c>
      <c r="E7">
        <v>0.32499999999999901</v>
      </c>
      <c r="F7" t="str">
        <f>_xlfn.LET(_xlpm.raw,_xlfn.XLOOKUP(A7,'Pinlist(S1)'!$C$4:$C$1362,'Pinlist(S1)'!$E$4:$E$1362,""),_xlpm.cleanRaw,SUBSTITUTE(SUBSTITUTE(_xlpm.raw,"_PIN","."),"PIN","."),_xlpm.mainPart,MID(_xlpm.cleanRaw,2,FIND(".",_xlpm.cleanRaw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" t="str">
        <f>_xlfn.LET(_xlpm.raw,_xlfn.XLOOKUP(A7,'Pinlist(S3)'!$C$4:$C$1362,'Pinlist(S3)'!$E$4:$E$1362,""),_xlpm.cleanRaw,SUBSTITUTE(SUBSTITUTE(_xlpm.raw,"_PIN","."),"PIN","."),_xlpm.mainPart,MID(_xlpm.cleanRaw,2,FIND(".",_xlpm.cleanRaw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" t="str">
        <f>_xlfn.LET(_xlpm.raw,_xlfn.XLOOKUP(A7,'Pinlist(S5)'!$C$4:$C$1362,'Pinlist(S5)'!$E$4:$E$1362,""),_xlpm.cleanRaw,SUBSTITUTE(SUBSTITUTE(_xlpm.raw,"_PIN","."),"PIN","."),_xlpm.mainPart,MID(_xlpm.cleanRaw,2,FIND(".",_xlpm.cleanRaw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" t="str">
        <f>""</f>
        <v/>
      </c>
      <c r="J7" t="str">
        <f t="shared" si="0"/>
        <v>A10;VCC24TBT_1P0;;5.325;0.324999999999999;;;;</v>
      </c>
    </row>
    <row r="8" spans="1:10">
      <c r="A8" t="s">
        <v>1378</v>
      </c>
      <c r="B8" t="str">
        <f>_xlfn.XLOOKUP(A8,'Pinlist(S1)'!$Q$4:$Q$1362,'Pinlist(S1)'!$R$4:$R$1362,"")</f>
        <v>SPARE_13</v>
      </c>
      <c r="C8" t="str" cm="1">
        <f t="array" ref="C8">_xlfn.TEXTJOIN(",",TRUE,_xlfn.UNIQUE(TRANSPOSE(_xlfn.MAP(_xlfn.XLOOKUP(A8,'Pinlist(S1)'!$C$4:$C$1362,'Pinlist(S1)'!$F$4:$K$1362,""),_xlfn.LAMBDA(_xlpm.x,IF(_xlpm.x&lt;&gt;"",TRIM(CLEAN(LEFT(_xlpm.x,FIND(".",_xlpm.x &amp; ".")-1))),""))))))</f>
        <v/>
      </c>
      <c r="D8">
        <v>6.0009999999999897</v>
      </c>
      <c r="E8">
        <v>0</v>
      </c>
      <c r="F8" t="str">
        <f>_xlfn.LET(_xlpm.raw,_xlfn.XLOOKUP(A8,'Pinlist(S1)'!$C$4:$C$1362,'Pinlist(S1)'!$E$4:$E$1362,""),_xlpm.cleanRaw,SUBSTITUTE(SUBSTITUTE(_xlpm.raw,"_PIN","."),"PIN","."),_xlpm.mainPart,MID(_xlpm.cleanRaw,2,FIND(".",_xlpm.cleanRaw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" t="str">
        <f>_xlfn.LET(_xlpm.raw,_xlfn.XLOOKUP(A8,'Pinlist(S3)'!$C$4:$C$1362,'Pinlist(S3)'!$E$4:$E$1362,""),_xlpm.cleanRaw,SUBSTITUTE(SUBSTITUTE(_xlpm.raw,"_PIN","."),"PIN","."),_xlpm.mainPart,MID(_xlpm.cleanRaw,2,FIND(".",_xlpm.cleanRaw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" t="str">
        <f>_xlfn.LET(_xlpm.raw,_xlfn.XLOOKUP(A8,'Pinlist(S5)'!$C$4:$C$1362,'Pinlist(S5)'!$E$4:$E$1362,""),_xlpm.cleanRaw,SUBSTITUTE(SUBSTITUTE(_xlpm.raw,"_PIN","."),"PIN","."),_xlpm.mainPart,MID(_xlpm.cleanRaw,2,FIND(".",_xlpm.cleanRaw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" t="str">
        <f>""</f>
        <v/>
      </c>
      <c r="J8" t="str">
        <f t="shared" si="0"/>
        <v>A11;SPARE_13;;6.00099999999999;0;;;;</v>
      </c>
    </row>
    <row r="9" spans="1:10">
      <c r="A9" t="s">
        <v>1508</v>
      </c>
      <c r="B9" t="str">
        <f>_xlfn.XLOOKUP(A9,'Pinlist(S1)'!$Q$4:$Q$1362,'Pinlist(S1)'!$R$4:$R$1362,"")</f>
        <v>USB3_2_SSIC_1_TXP</v>
      </c>
      <c r="C9" t="str" cm="1">
        <f t="array" ref="C9">_xlfn.TEXTJOIN(",",TRUE,_xlfn.UNIQUE(TRANSPOSE(_xlfn.MAP(_xlfn.XLOOKUP(A9,'Pinlist(S1)'!$C$4:$C$1362,'Pinlist(S1)'!$F$4:$K$1362,""),_xlfn.LAMBDA(_xlpm.x,IF(_xlpm.x&lt;&gt;"",TRIM(CLEAN(LEFT(_xlpm.x,FIND(".",_xlpm.x &amp; ".")-1))),""))))))</f>
        <v>LA528,CA528,KA514</v>
      </c>
      <c r="D9">
        <v>7.1280000000000001</v>
      </c>
      <c r="E9">
        <v>0</v>
      </c>
      <c r="F9" t="str">
        <f>_xlfn.LET(_xlpm.raw,_xlfn.XLOOKUP(A9,'Pinlist(S1)'!$C$4:$C$1362,'Pinlist(S1)'!$E$4:$E$1362,""),_xlpm.cleanRaw,SUBSTITUTE(SUBSTITUTE(_xlpm.raw,"_PIN","."),"PIN","."),_xlpm.mainPart,MID(_xlpm.cleanRaw,2,FIND(".",_xlpm.cleanRaw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G9" t="str">
        <f>_xlfn.LET(_xlpm.raw,_xlfn.XLOOKUP(A9,'Pinlist(S3)'!$C$4:$C$1362,'Pinlist(S3)'!$E$4:$E$1362,""),_xlpm.cleanRaw,SUBSTITUTE(SUBSTITUTE(_xlpm.raw,"_PIN","."),"PIN","."),_xlpm.mainPart,MID(_xlpm.cleanRaw,2,FIND(".",_xlpm.cleanRaw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9" t="str">
        <f>_xlfn.LET(_xlpm.raw,_xlfn.XLOOKUP(A9,'Pinlist(S5)'!$C$4:$C$1362,'Pinlist(S5)'!$E$4:$E$1362,""),_xlpm.cleanRaw,SUBSTITUTE(SUBSTITUTE(_xlpm.raw,"_PIN","."),"PIN","."),_xlpm.mainPart,MID(_xlpm.cleanRaw,2,FIND(".",_xlpm.cleanRaw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I9" t="str">
        <f>""</f>
        <v/>
      </c>
      <c r="J9" t="str">
        <f t="shared" si="0"/>
        <v>A13;USB3_2_SSIC_1_TXP;LA528,CA528,KA514;7.128;0;506031;807027;603096;</v>
      </c>
    </row>
    <row r="10" spans="1:10">
      <c r="A10" t="s">
        <v>1533</v>
      </c>
      <c r="B10" t="str">
        <f>_xlfn.XLOOKUP(A10,'Pinlist(S1)'!$Q$4:$Q$1362,'Pinlist(S1)'!$R$4:$R$1362,"")</f>
        <v>VCC19P2_1P0</v>
      </c>
      <c r="C10" t="str" cm="1">
        <f t="array" ref="C10">_xlfn.TEXTJOIN(",",TRUE,_xlfn.UNIQUE(TRANSPOSE(_xlfn.MAP(_xlfn.XLOOKUP(A10,'Pinlist(S1)'!$C$4:$C$1362,'Pinlist(S1)'!$F$4:$K$1362,""),_xlfn.LAMBDA(_xlpm.x,IF(_xlpm.x&lt;&gt;"",TRIM(CLEAN(LEFT(_xlpm.x,FIND(".",_xlpm.x &amp; ".")-1))),""))))))</f>
        <v/>
      </c>
      <c r="D10">
        <v>7.8029999999999902</v>
      </c>
      <c r="E10">
        <v>0.32499999999999901</v>
      </c>
      <c r="F10" t="str">
        <f>_xlfn.LET(_xlpm.raw,_xlfn.XLOOKUP(A10,'Pinlist(S1)'!$C$4:$C$1362,'Pinlist(S1)'!$E$4:$E$1362,""),_xlpm.cleanRaw,SUBSTITUTE(SUBSTITUTE(_xlpm.raw,"_PIN","."),"PIN","."),_xlpm.mainPart,MID(_xlpm.cleanRaw,2,FIND(".",_xlpm.cleanRaw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" t="str">
        <f>_xlfn.LET(_xlpm.raw,_xlfn.XLOOKUP(A10,'Pinlist(S3)'!$C$4:$C$1362,'Pinlist(S3)'!$E$4:$E$1362,""),_xlpm.cleanRaw,SUBSTITUTE(SUBSTITUTE(_xlpm.raw,"_PIN","."),"PIN","."),_xlpm.mainPart,MID(_xlpm.cleanRaw,2,FIND(".",_xlpm.cleanRaw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" t="str">
        <f>_xlfn.LET(_xlpm.raw,_xlfn.XLOOKUP(A10,'Pinlist(S5)'!$C$4:$C$1362,'Pinlist(S5)'!$E$4:$E$1362,""),_xlpm.cleanRaw,SUBSTITUTE(SUBSTITUTE(_xlpm.raw,"_PIN","."),"PIN","."),_xlpm.mainPart,MID(_xlpm.cleanRaw,2,FIND(".",_xlpm.cleanRaw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" t="str">
        <f>""</f>
        <v/>
      </c>
      <c r="J10" t="str">
        <f t="shared" si="0"/>
        <v>A14;VCC19P2_1P0;;7.80299999999999;0.324999999999999;;;;</v>
      </c>
    </row>
    <row r="11" spans="1:10">
      <c r="A11" t="s">
        <v>1516</v>
      </c>
      <c r="B11" t="str">
        <f>_xlfn.XLOOKUP(A11,'Pinlist(S1)'!$Q$4:$Q$1362,'Pinlist(S1)'!$R$4:$R$1362,"")</f>
        <v>USB3_3_SSIC_2_TXP</v>
      </c>
      <c r="C11" t="str" cm="1">
        <f t="array" ref="C11">_xlfn.TEXTJOIN(",",TRUE,_xlfn.UNIQUE(TRANSPOSE(_xlfn.MAP(_xlfn.XLOOKUP(A11,'Pinlist(S1)'!$C$4:$C$1362,'Pinlist(S1)'!$F$4:$K$1362,""),_xlfn.LAMBDA(_xlpm.x,IF(_xlpm.x&lt;&gt;"",TRIM(CLEAN(LEFT(_xlpm.x,FIND(".",_xlpm.x &amp; ".")-1))),""))))))</f>
        <v>LA530,CA530,KA515</v>
      </c>
      <c r="D11">
        <v>8.4789999999999992</v>
      </c>
      <c r="E11">
        <v>0</v>
      </c>
      <c r="F11" t="str">
        <f>_xlfn.LET(_xlpm.raw,_xlfn.XLOOKUP(A11,'Pinlist(S1)'!$C$4:$C$1362,'Pinlist(S1)'!$E$4:$E$1362,""),_xlpm.cleanRaw,SUBSTITUTE(SUBSTITUTE(_xlpm.raw,"_PIN","."),"PIN","."),_xlpm.mainPart,MID(_xlpm.cleanRaw,2,FIND(".",_xlpm.cleanRaw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G11" t="str">
        <f>_xlfn.LET(_xlpm.raw,_xlfn.XLOOKUP(A11,'Pinlist(S3)'!$C$4:$C$1362,'Pinlist(S3)'!$E$4:$E$1362,""),_xlpm.cleanRaw,SUBSTITUTE(SUBSTITUTE(_xlpm.raw,"_PIN","."),"PIN","."),_xlpm.mainPart,MID(_xlpm.cleanRaw,2,FIND(".",_xlpm.cleanRaw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807039</v>
      </c>
      <c r="H11" t="str">
        <f>_xlfn.LET(_xlpm.raw,_xlfn.XLOOKUP(A11,'Pinlist(S5)'!$C$4:$C$1362,'Pinlist(S5)'!$E$4:$E$1362,""),_xlpm.cleanRaw,SUBSTITUTE(SUBSTITUTE(_xlpm.raw,"_PIN","."),"PIN","."),_xlpm.mainPart,MID(_xlpm.cleanRaw,2,FIND(".",_xlpm.cleanRaw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I11" t="str">
        <f>""</f>
        <v/>
      </c>
      <c r="J11" t="str">
        <f t="shared" si="0"/>
        <v>A15;USB3_3_SSIC_2_TXP;LA530,CA530,KA515;8.479;0;504092;807039;603101;</v>
      </c>
    </row>
    <row r="12" spans="1:10">
      <c r="A12" t="s">
        <v>1228</v>
      </c>
      <c r="B12" t="str">
        <f>_xlfn.XLOOKUP(A12,'Pinlist(S1)'!$Q$4:$Q$1362,'Pinlist(S1)'!$R$4:$R$1362,"")</f>
        <v>PCIE_1_USB3_5_TXP</v>
      </c>
      <c r="C12" t="str" cm="1">
        <f t="array" ref="C12">_xlfn.TEXTJOIN(",",TRUE,_xlfn.UNIQUE(TRANSPOSE(_xlfn.MAP(_xlfn.XLOOKUP(A12,'Pinlist(S1)'!$C$4:$C$1362,'Pinlist(S1)'!$F$4:$K$1362,""),_xlfn.LAMBDA(_xlpm.x,IF(_xlpm.x&lt;&gt;"",TRIM(CLEAN(LEFT(_xlpm.x,FIND(".",_xlpm.x &amp; ".")-1))),""))))))</f>
        <v>LA502,CA502,KA501</v>
      </c>
      <c r="D12">
        <v>9.6059999999999999</v>
      </c>
      <c r="E12">
        <v>0</v>
      </c>
      <c r="F12" t="str">
        <f>_xlfn.LET(_xlpm.raw,_xlfn.XLOOKUP(A12,'Pinlist(S1)'!$C$4:$C$1362,'Pinlist(S1)'!$E$4:$E$1362,""),_xlpm.cleanRaw,SUBSTITUTE(SUBSTITUTE(_xlpm.raw,"_PIN","."),"PIN","."),_xlpm.mainPart,MID(_xlpm.cleanRaw,2,FIND(".",_xlpm.cleanRaw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G12" t="str">
        <f>_xlfn.LET(_xlpm.raw,_xlfn.XLOOKUP(A12,'Pinlist(S3)'!$C$4:$C$1362,'Pinlist(S3)'!$E$4:$E$1362,""),_xlpm.cleanRaw,SUBSTITUTE(SUBSTITUTE(_xlpm.raw,"_PIN","."),"PIN","."),_xlpm.mainPart,MID(_xlpm.cleanRaw,2,FIND(".",_xlpm.cleanRaw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807031</v>
      </c>
      <c r="H12" t="str">
        <f>_xlfn.LET(_xlpm.raw,_xlfn.XLOOKUP(A12,'Pinlist(S5)'!$C$4:$C$1362,'Pinlist(S5)'!$E$4:$E$1362,""),_xlpm.cleanRaw,SUBSTITUTE(SUBSTITUTE(_xlpm.raw,"_PIN","."),"PIN","."),_xlpm.mainPart,MID(_xlpm.cleanRaw,2,FIND(".",_xlpm.cleanRaw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I12" t="str">
        <f>""</f>
        <v/>
      </c>
      <c r="J12" t="str">
        <f t="shared" si="0"/>
        <v>A17;PCIE_1_USB3_5_TXP;LA502,CA502,KA501;9.606;0;506036;807031;603090;</v>
      </c>
    </row>
    <row r="13" spans="1:10">
      <c r="A13" t="s">
        <v>1868</v>
      </c>
      <c r="B13" t="str">
        <f>_xlfn.XLOOKUP(A13,'Pinlist(S1)'!$Q$4:$Q$1362,'Pinlist(S1)'!$R$4:$R$1362,"")</f>
        <v>VCCST</v>
      </c>
      <c r="C13" t="str" cm="1">
        <f t="array" ref="C13">_xlfn.TEXTJOIN(",",TRUE,_xlfn.UNIQUE(TRANSPOSE(_xlfn.MAP(_xlfn.XLOOKUP(A13,'Pinlist(S1)'!$C$4:$C$1362,'Pinlist(S1)'!$F$4:$K$1362,""),_xlfn.LAMBDA(_xlpm.x,IF(_xlpm.x&lt;&gt;"",TRIM(CLEAN(LEFT(_xlpm.x,FIND(".",_xlpm.x &amp; ".")-1))),""))))))</f>
        <v/>
      </c>
      <c r="D13">
        <v>10.280999999999899</v>
      </c>
      <c r="E13">
        <v>0.32499999999999901</v>
      </c>
      <c r="F13" t="str">
        <f>_xlfn.LET(_xlpm.raw,_xlfn.XLOOKUP(A13,'Pinlist(S1)'!$C$4:$C$1362,'Pinlist(S1)'!$E$4:$E$1362,""),_xlpm.cleanRaw,SUBSTITUTE(SUBSTITUTE(_xlpm.raw,"_PIN","."),"PIN","."),_xlpm.mainPart,MID(_xlpm.cleanRaw,2,FIND(".",_xlpm.cleanRaw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" t="str">
        <f>_xlfn.LET(_xlpm.raw,_xlfn.XLOOKUP(A13,'Pinlist(S3)'!$C$4:$C$1362,'Pinlist(S3)'!$E$4:$E$1362,""),_xlpm.cleanRaw,SUBSTITUTE(SUBSTITUTE(_xlpm.raw,"_PIN","."),"PIN","."),_xlpm.mainPart,MID(_xlpm.cleanRaw,2,FIND(".",_xlpm.cleanRaw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" t="str">
        <f>_xlfn.LET(_xlpm.raw,_xlfn.XLOOKUP(A13,'Pinlist(S5)'!$C$4:$C$1362,'Pinlist(S5)'!$E$4:$E$1362,""),_xlpm.cleanRaw,SUBSTITUTE(SUBSTITUTE(_xlpm.raw,"_PIN","."),"PIN","."),_xlpm.mainPart,MID(_xlpm.cleanRaw,2,FIND(".",_xlpm.cleanRaw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" t="str">
        <f>""</f>
        <v/>
      </c>
      <c r="J13" t="str">
        <f t="shared" si="0"/>
        <v>A18;VCCST;;10.2809999999999;0.324999999999999;;;;</v>
      </c>
    </row>
    <row r="14" spans="1:10">
      <c r="A14" t="s">
        <v>1276</v>
      </c>
      <c r="B14" t="str">
        <f>_xlfn.XLOOKUP(A14,'Pinlist(S1)'!$Q$4:$Q$1362,'Pinlist(S1)'!$R$4:$R$1362,"")</f>
        <v>PCIE_4_LAN_0B_TXP</v>
      </c>
      <c r="C14" t="str" cm="1">
        <f t="array" ref="C14">_xlfn.TEXTJOIN(",",TRUE,_xlfn.UNIQUE(TRANSPOSE(_xlfn.MAP(_xlfn.XLOOKUP(A14,'Pinlist(S1)'!$C$4:$C$1362,'Pinlist(S1)'!$F$4:$K$1362,""),_xlfn.LAMBDA(_xlpm.x,IF(_xlpm.x&lt;&gt;"",TRIM(CLEAN(LEFT(_xlpm.x,FIND(".",_xlpm.x &amp; ".")-1))),""))))))</f>
        <v>LA508,CA508,KA504</v>
      </c>
      <c r="D14">
        <v>10.957000000000001</v>
      </c>
      <c r="E14">
        <v>0</v>
      </c>
      <c r="F14" t="str">
        <f>_xlfn.LET(_xlpm.raw,_xlfn.XLOOKUP(A14,'Pinlist(S1)'!$C$4:$C$1362,'Pinlist(S1)'!$E$4:$E$1362,""),_xlpm.cleanRaw,SUBSTITUTE(SUBSTITUTE(_xlpm.raw,"_PIN","."),"PIN","."),_xlpm.mainPart,MID(_xlpm.cleanRaw,2,FIND(".",_xlpm.cleanRaw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G14" t="str">
        <f>_xlfn.LET(_xlpm.raw,_xlfn.XLOOKUP(A14,'Pinlist(S3)'!$C$4:$C$1362,'Pinlist(S3)'!$E$4:$E$1362,""),_xlpm.cleanRaw,SUBSTITUTE(SUBSTITUTE(_xlpm.raw,"_PIN","."),"PIN","."),_xlpm.mainPart,MID(_xlpm.cleanRaw,2,FIND(".",_xlpm.cleanRaw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807034</v>
      </c>
      <c r="H14" t="str">
        <f>_xlfn.LET(_xlpm.raw,_xlfn.XLOOKUP(A14,'Pinlist(S5)'!$C$4:$C$1362,'Pinlist(S5)'!$E$4:$E$1362,""),_xlpm.cleanRaw,SUBSTITUTE(SUBSTITUTE(_xlpm.raw,"_PIN","."),"PIN","."),_xlpm.mainPart,MID(_xlpm.cleanRaw,2,FIND(".",_xlpm.cleanRaw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I14" t="str">
        <f>""</f>
        <v/>
      </c>
      <c r="J14" t="str">
        <f t="shared" si="0"/>
        <v>A19;PCIE_4_LAN_0B_TXP;LA508,CA508,KA504;10.957;0;506034;807034;603093;</v>
      </c>
    </row>
    <row r="15" spans="1:10">
      <c r="A15" t="s">
        <v>1300</v>
      </c>
      <c r="B15" t="str">
        <f>_xlfn.XLOOKUP(A15,'Pinlist(S1)'!$Q$4:$Q$1362,'Pinlist(S1)'!$R$4:$R$1362,"")</f>
        <v>PCIE_7_SATA_0_TXP</v>
      </c>
      <c r="C15" t="str" cm="1">
        <f t="array" ref="C15">_xlfn.TEXTJOIN(",",TRUE,_xlfn.UNIQUE(TRANSPOSE(_xlfn.MAP(_xlfn.XLOOKUP(A15,'Pinlist(S1)'!$C$4:$C$1362,'Pinlist(S1)'!$F$4:$K$1362,""),_xlfn.LAMBDA(_xlpm.x,IF(_xlpm.x&lt;&gt;"",TRIM(CLEAN(LEFT(_xlpm.x,FIND(".",_xlpm.x &amp; ".")-1))),""))))))</f>
        <v>LA514,CA514,KA507</v>
      </c>
      <c r="D15">
        <v>12.084</v>
      </c>
      <c r="E15">
        <v>0</v>
      </c>
      <c r="F15" t="str">
        <f>_xlfn.LET(_xlpm.raw,_xlfn.XLOOKUP(A15,'Pinlist(S1)'!$C$4:$C$1362,'Pinlist(S1)'!$E$4:$E$1362,""),_xlpm.cleanRaw,SUBSTITUTE(SUBSTITUTE(_xlpm.raw,"_PIN","."),"PIN","."),_xlpm.mainPart,MID(_xlpm.cleanRaw,2,FIND(".",_xlpm.cleanRaw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504091</v>
      </c>
      <c r="G15" t="str">
        <f>_xlfn.LET(_xlpm.raw,_xlfn.XLOOKUP(A15,'Pinlist(S3)'!$C$4:$C$1362,'Pinlist(S3)'!$E$4:$E$1362,""),_xlpm.cleanRaw,SUBSTITUTE(SUBSTITUTE(_xlpm.raw,"_PIN","."),"PIN","."),_xlpm.mainPart,MID(_xlpm.cleanRaw,2,FIND(".",_xlpm.cleanRaw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809104</v>
      </c>
      <c r="H15" t="str">
        <f>_xlfn.LET(_xlpm.raw,_xlfn.XLOOKUP(A15,'Pinlist(S5)'!$C$4:$C$1362,'Pinlist(S5)'!$E$4:$E$1362,""),_xlpm.cleanRaw,SUBSTITUTE(SUBSTITUTE(_xlpm.raw,"_PIN","."),"PIN","."),_xlpm.mainPart,MID(_xlpm.cleanRaw,2,FIND(".",_xlpm.cleanRaw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I15" t="str">
        <f>""</f>
        <v/>
      </c>
      <c r="J15" t="str">
        <f t="shared" si="0"/>
        <v>A21;PCIE_7_SATA_0_TXP;LA514,CA514,KA507;12.084;0;504091;809104;601031;</v>
      </c>
    </row>
    <row r="16" spans="1:10">
      <c r="A16" t="s">
        <v>1873</v>
      </c>
      <c r="B16" t="str">
        <f>_xlfn.XLOOKUP(A16,'Pinlist(S1)'!$Q$4:$Q$1362,'Pinlist(S1)'!$R$4:$R$1362,"")</f>
        <v>VCCSTG</v>
      </c>
      <c r="C16" t="str" cm="1">
        <f t="array" ref="C16">_xlfn.TEXTJOIN(",",TRUE,_xlfn.UNIQUE(TRANSPOSE(_xlfn.MAP(_xlfn.XLOOKUP(A16,'Pinlist(S1)'!$C$4:$C$1362,'Pinlist(S1)'!$F$4:$K$1362,""),_xlfn.LAMBDA(_xlpm.x,IF(_xlpm.x&lt;&gt;"",TRIM(CLEAN(LEFT(_xlpm.x,FIND(".",_xlpm.x &amp; ".")-1))),""))))))</f>
        <v/>
      </c>
      <c r="D16">
        <v>12.759</v>
      </c>
      <c r="E16">
        <v>0.32499999999999901</v>
      </c>
      <c r="F16" t="str">
        <f>_xlfn.LET(_xlpm.raw,_xlfn.XLOOKUP(A16,'Pinlist(S1)'!$C$4:$C$1362,'Pinlist(S1)'!$E$4:$E$1362,""),_xlpm.cleanRaw,SUBSTITUTE(SUBSTITUTE(_xlpm.raw,"_PIN","."),"PIN","."),_xlpm.mainPart,MID(_xlpm.cleanRaw,2,FIND(".",_xlpm.cleanRaw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" t="str">
        <f>_xlfn.LET(_xlpm.raw,_xlfn.XLOOKUP(A16,'Pinlist(S3)'!$C$4:$C$1362,'Pinlist(S3)'!$E$4:$E$1362,""),_xlpm.cleanRaw,SUBSTITUTE(SUBSTITUTE(_xlpm.raw,"_PIN","."),"PIN","."),_xlpm.mainPart,MID(_xlpm.cleanRaw,2,FIND(".",_xlpm.cleanRaw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" t="str">
        <f>_xlfn.LET(_xlpm.raw,_xlfn.XLOOKUP(A16,'Pinlist(S5)'!$C$4:$C$1362,'Pinlist(S5)'!$E$4:$E$1362,""),_xlpm.cleanRaw,SUBSTITUTE(SUBSTITUTE(_xlpm.raw,"_PIN","."),"PIN","."),_xlpm.mainPart,MID(_xlpm.cleanRaw,2,FIND(".",_xlpm.cleanRaw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" t="str">
        <f>""</f>
        <v/>
      </c>
      <c r="J16" t="str">
        <f t="shared" si="0"/>
        <v>A22;VCCSTG;;12.759;0.324999999999999;;;;</v>
      </c>
    </row>
    <row r="17" spans="1:10">
      <c r="A17" t="s">
        <v>1316</v>
      </c>
      <c r="B17" t="str">
        <f>_xlfn.XLOOKUP(A17,'Pinlist(S1)'!$Q$4:$Q$1362,'Pinlist(S1)'!$R$4:$R$1362,"")</f>
        <v>PCIE_9_LAN_0D_TXP</v>
      </c>
      <c r="C17" t="str" cm="1">
        <f t="array" ref="C17">_xlfn.TEXTJOIN(",",TRUE,_xlfn.UNIQUE(TRANSPOSE(_xlfn.MAP(_xlfn.XLOOKUP(A17,'Pinlist(S1)'!$C$4:$C$1362,'Pinlist(S1)'!$F$4:$K$1362,""),_xlfn.LAMBDA(_xlpm.x,IF(_xlpm.x&lt;&gt;"",TRIM(CLEAN(LEFT(_xlpm.x,FIND(".",_xlpm.x &amp; ".")-1))),""))))))</f>
        <v>LA518,CA518,KA509</v>
      </c>
      <c r="D17">
        <v>13.435</v>
      </c>
      <c r="E17">
        <v>0</v>
      </c>
      <c r="F17" t="str">
        <f>_xlfn.LET(_xlpm.raw,_xlfn.XLOOKUP(A17,'Pinlist(S1)'!$C$4:$C$1362,'Pinlist(S1)'!$E$4:$E$1362,""),_xlpm.cleanRaw,SUBSTITUTE(SUBSTITUTE(_xlpm.raw,"_PIN","."),"PIN","."),_xlpm.mainPart,MID(_xlpm.cleanRaw,2,FIND(".",_xlpm.cleanRaw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G17" t="str">
        <f>_xlfn.LET(_xlpm.raw,_xlfn.XLOOKUP(A17,'Pinlist(S3)'!$C$4:$C$1362,'Pinlist(S3)'!$E$4:$E$1362,""),_xlpm.cleanRaw,SUBSTITUTE(SUBSTITUTE(_xlpm.raw,"_PIN","."),"PIN","."),_xlpm.mainPart,MID(_xlpm.cleanRaw,2,FIND(".",_xlpm.cleanRaw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809096</v>
      </c>
      <c r="H17" t="str">
        <f>_xlfn.LET(_xlpm.raw,_xlfn.XLOOKUP(A17,'Pinlist(S5)'!$C$4:$C$1362,'Pinlist(S5)'!$E$4:$E$1362,""),_xlpm.cleanRaw,SUBSTITUTE(SUBSTITUTE(_xlpm.raw,"_PIN","."),"PIN","."),_xlpm.mainPart,MID(_xlpm.cleanRaw,2,FIND(".",_xlpm.cleanRaw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I17" t="str">
        <f>""</f>
        <v/>
      </c>
      <c r="J17" t="str">
        <f t="shared" si="0"/>
        <v>A23;PCIE_9_LAN_0D_TXP;LA518,CA518,KA509;13.435;0;504099;809096;601024;</v>
      </c>
    </row>
    <row r="18" spans="1:10">
      <c r="A18" t="s">
        <v>1250</v>
      </c>
      <c r="B18" t="str">
        <f>_xlfn.XLOOKUP(A18,'Pinlist(S1)'!$Q$4:$Q$1362,'Pinlist(S1)'!$R$4:$R$1362,"")</f>
        <v>PCIE_12_SATA_2_TXN</v>
      </c>
      <c r="C18" t="str" cm="1">
        <f t="array" ref="C18">_xlfn.TEXTJOIN(",",TRUE,_xlfn.UNIQUE(TRANSPOSE(_xlfn.MAP(_xlfn.XLOOKUP(A18,'Pinlist(S1)'!$C$4:$C$1362,'Pinlist(S1)'!$F$4:$K$1362,""),_xlfn.LAMBDA(_xlpm.x,IF(_xlpm.x&lt;&gt;"",TRIM(CLEAN(LEFT(_xlpm.x,FIND(".",_xlpm.x &amp; ".")-1))),""))))))</f>
        <v>LA523,CA523,KA512</v>
      </c>
      <c r="D18">
        <v>14.561999999999999</v>
      </c>
      <c r="E18">
        <v>0</v>
      </c>
      <c r="F18" t="str">
        <f>_xlfn.LET(_xlpm.raw,_xlfn.XLOOKUP(A18,'Pinlist(S1)'!$C$4:$C$1362,'Pinlist(S1)'!$E$4:$E$1362,""),_xlpm.cleanRaw,SUBSTITUTE(SUBSTITUTE(_xlpm.raw,"_PIN","."),"PIN","."),_xlpm.mainPart,MID(_xlpm.cleanRaw,2,FIND(".",_xlpm.cleanRaw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G18" t="str">
        <f>_xlfn.LET(_xlpm.raw,_xlfn.XLOOKUP(A18,'Pinlist(S3)'!$C$4:$C$1362,'Pinlist(S3)'!$E$4:$E$1362,""),_xlpm.cleanRaw,SUBSTITUTE(SUBSTITUTE(_xlpm.raw,"_PIN","."),"PIN","."),_xlpm.mainPart,MID(_xlpm.cleanRaw,2,FIND(".",_xlpm.cleanRaw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807026</v>
      </c>
      <c r="H18" t="str">
        <f>_xlfn.LET(_xlpm.raw,_xlfn.XLOOKUP(A18,'Pinlist(S5)'!$C$4:$C$1362,'Pinlist(S5)'!$E$4:$E$1362,""),_xlpm.cleanRaw,SUBSTITUTE(SUBSTITUTE(_xlpm.raw,"_PIN","."),"PIN","."),_xlpm.mainPart,MID(_xlpm.cleanRaw,2,FIND(".",_xlpm.cleanRaw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I18" t="str">
        <f>""</f>
        <v/>
      </c>
      <c r="J18" t="str">
        <f t="shared" si="0"/>
        <v>A25;PCIE_12_SATA_2_TXN;LA523,CA523,KA512;14.562;0;504100;807026;601039;</v>
      </c>
    </row>
    <row r="19" spans="1:10">
      <c r="A19" t="s">
        <v>106</v>
      </c>
      <c r="B19" t="str">
        <f>_xlfn.XLOOKUP(A19,'Pinlist(S1)'!$Q$4:$Q$1362,'Pinlist(S1)'!$R$4:$R$1362,"")</f>
        <v>CSI2_CLKP_3</v>
      </c>
      <c r="C19" t="str" cm="1">
        <f t="array" ref="C19">_xlfn.TEXTJOIN(",",TRUE,_xlfn.UNIQUE(TRANSPOSE(_xlfn.MAP(_xlfn.XLOOKUP(A19,'Pinlist(S1)'!$C$4:$C$1362,'Pinlist(S1)'!$F$4:$K$1362,""),_xlfn.LAMBDA(_xlpm.x,IF(_xlpm.x&lt;&gt;"",TRIM(CLEAN(LEFT(_xlpm.x,FIND(".",_xlpm.x &amp; ".")-1))),""))))))</f>
        <v>KA103</v>
      </c>
      <c r="D19">
        <v>15.237</v>
      </c>
      <c r="E19">
        <v>0.32499999999999901</v>
      </c>
      <c r="F19" t="str">
        <f>_xlfn.LET(_xlpm.raw,_xlfn.XLOOKUP(A19,'Pinlist(S1)'!$C$4:$C$1362,'Pinlist(S1)'!$E$4:$E$1362,""),_xlpm.cleanRaw,SUBSTITUTE(SUBSTITUTE(_xlpm.raw,"_PIN","."),"PIN","."),_xlpm.mainPart,MID(_xlpm.cleanRaw,2,FIND(".",_xlpm.cleanRaw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9" t="str">
        <f>_xlfn.LET(_xlpm.raw,_xlfn.XLOOKUP(A19,'Pinlist(S3)'!$C$4:$C$1362,'Pinlist(S3)'!$E$4:$E$1362,""),_xlpm.cleanRaw,SUBSTITUTE(SUBSTITUTE(_xlpm.raw,"_PIN","."),"PIN","."),_xlpm.mainPart,MID(_xlpm.cleanRaw,2,FIND(".",_xlpm.cleanRaw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9" t="str">
        <f>_xlfn.LET(_xlpm.raw,_xlfn.XLOOKUP(A19,'Pinlist(S5)'!$C$4:$C$1362,'Pinlist(S5)'!$E$4:$E$1362,""),_xlpm.cleanRaw,SUBSTITUTE(SUBSTITUTE(_xlpm.raw,"_PIN","."),"PIN","."),_xlpm.mainPart,MID(_xlpm.cleanRaw,2,FIND(".",_xlpm.cleanRaw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9" t="str">
        <f>""</f>
        <v/>
      </c>
      <c r="J19" t="str">
        <f t="shared" si="0"/>
        <v>A26;CSI2_CLKP_3;KA103;15.237;0.324999999999999;505060;806128;701097;</v>
      </c>
    </row>
    <row r="20" spans="1:10">
      <c r="A20" t="s">
        <v>116</v>
      </c>
      <c r="B20" t="str">
        <f>_xlfn.XLOOKUP(A20,'Pinlist(S1)'!$Q$4:$Q$1362,'Pinlist(S1)'!$R$4:$R$1362,"")</f>
        <v>CSI2_DN_10</v>
      </c>
      <c r="C20" t="str" cm="1">
        <f t="array" ref="C20">_xlfn.TEXTJOIN(",",TRUE,_xlfn.UNIQUE(TRANSPOSE(_xlfn.MAP(_xlfn.XLOOKUP(A20,'Pinlist(S1)'!$C$4:$C$1362,'Pinlist(S1)'!$F$4:$K$1362,""),_xlfn.LAMBDA(_xlpm.x,IF(_xlpm.x&lt;&gt;"",TRIM(CLEAN(LEFT(_xlpm.x,FIND(".",_xlpm.x &amp; ".")-1))),""))))))</f>
        <v>KA105</v>
      </c>
      <c r="D20">
        <v>15.913</v>
      </c>
      <c r="E20">
        <v>0</v>
      </c>
      <c r="F20" t="str">
        <f>_xlfn.LET(_xlpm.raw,_xlfn.XLOOKUP(A20,'Pinlist(S1)'!$C$4:$C$1362,'Pinlist(S1)'!$E$4:$E$1362,""),_xlpm.cleanRaw,SUBSTITUTE(SUBSTITUTE(_xlpm.raw,"_PIN","."),"PIN","."),_xlpm.mainPart,MID(_xlpm.cleanRaw,2,FIND(".",_xlpm.cleanRaw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20" t="str">
        <f>_xlfn.LET(_xlpm.raw,_xlfn.XLOOKUP(A20,'Pinlist(S3)'!$C$4:$C$1362,'Pinlist(S3)'!$E$4:$E$1362,""),_xlpm.cleanRaw,SUBSTITUTE(SUBSTITUTE(_xlpm.raw,"_PIN","."),"PIN","."),_xlpm.mainPart,MID(_xlpm.cleanRaw,2,FIND(".",_xlpm.cleanRaw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20" t="str">
        <f>_xlfn.LET(_xlpm.raw,_xlfn.XLOOKUP(A20,'Pinlist(S5)'!$C$4:$C$1362,'Pinlist(S5)'!$E$4:$E$1362,""),_xlpm.cleanRaw,SUBSTITUTE(SUBSTITUTE(_xlpm.raw,"_PIN","."),"PIN","."),_xlpm.mainPart,MID(_xlpm.cleanRaw,2,FIND(".",_xlpm.cleanRaw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20" t="str">
        <f>""</f>
        <v/>
      </c>
      <c r="J20" t="str">
        <f t="shared" si="0"/>
        <v>A27;CSI2_DN_10;KA105;15.913;0;507125;806127;701085;</v>
      </c>
    </row>
    <row r="21" spans="1:10">
      <c r="A21" t="s">
        <v>134</v>
      </c>
      <c r="B21" t="str">
        <f>_xlfn.XLOOKUP(A21,'Pinlist(S1)'!$Q$4:$Q$1362,'Pinlist(S1)'!$R$4:$R$1362,"")</f>
        <v>CSI2_DN_8</v>
      </c>
      <c r="C21" t="str" cm="1">
        <f t="array" ref="C21">_xlfn.TEXTJOIN(",",TRUE,_xlfn.UNIQUE(TRANSPOSE(_xlfn.MAP(_xlfn.XLOOKUP(A21,'Pinlist(S1)'!$C$4:$C$1362,'Pinlist(S1)'!$F$4:$K$1362,""),_xlfn.LAMBDA(_xlpm.x,IF(_xlpm.x&lt;&gt;"",TRIM(CLEAN(LEFT(_xlpm.x,FIND(".",_xlpm.x &amp; ".")-1))),""))))))</f>
        <v>KA104</v>
      </c>
      <c r="D21">
        <v>17.04</v>
      </c>
      <c r="E21">
        <v>0</v>
      </c>
      <c r="F21" t="str">
        <f>_xlfn.LET(_xlpm.raw,_xlfn.XLOOKUP(A21,'Pinlist(S1)'!$C$4:$C$1362,'Pinlist(S1)'!$E$4:$E$1362,""),_xlpm.cleanRaw,SUBSTITUTE(SUBSTITUTE(_xlpm.raw,"_PIN","."),"PIN","."),_xlpm.mainPart,MID(_xlpm.cleanRaw,2,FIND(".",_xlpm.cleanRaw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21" t="str">
        <f>_xlfn.LET(_xlpm.raw,_xlfn.XLOOKUP(A21,'Pinlist(S3)'!$C$4:$C$1362,'Pinlist(S3)'!$E$4:$E$1362,""),_xlpm.cleanRaw,SUBSTITUTE(SUBSTITUTE(_xlpm.raw,"_PIN","."),"PIN","."),_xlpm.mainPart,MID(_xlpm.cleanRaw,2,FIND(".",_xlpm.cleanRaw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21" t="str">
        <f>_xlfn.LET(_xlpm.raw,_xlfn.XLOOKUP(A21,'Pinlist(S5)'!$C$4:$C$1362,'Pinlist(S5)'!$E$4:$E$1362,""),_xlpm.cleanRaw,SUBSTITUTE(SUBSTITUTE(_xlpm.raw,"_PIN","."),"PIN","."),_xlpm.mainPart,MID(_xlpm.cleanRaw,2,FIND(".",_xlpm.cleanRaw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21" t="str">
        <f>""</f>
        <v/>
      </c>
      <c r="J21" t="str">
        <f t="shared" si="0"/>
        <v>A29;CSI2_DN_8;KA104;17.04;0;506022;807021;603106;</v>
      </c>
    </row>
    <row r="22" spans="1:10">
      <c r="A22" t="s">
        <v>1549</v>
      </c>
      <c r="B22" t="str">
        <f>_xlfn.XLOOKUP(A22,'Pinlist(S1)'!$Q$4:$Q$1362,'Pinlist(S1)'!$R$4:$R$1362,"")</f>
        <v>VCCCORE</v>
      </c>
      <c r="C22" t="str" cm="1">
        <f t="array" ref="C22">_xlfn.TEXTJOIN(",",TRUE,_xlfn.UNIQUE(TRANSPOSE(_xlfn.MAP(_xlfn.XLOOKUP(A22,'Pinlist(S1)'!$C$4:$C$1362,'Pinlist(S1)'!$F$4:$K$1362,""),_xlfn.LAMBDA(_xlpm.x,IF(_xlpm.x&lt;&gt;"",TRIM(CLEAN(LEFT(_xlpm.x,FIND(".",_xlpm.x &amp; ".")-1))),""))))))</f>
        <v/>
      </c>
      <c r="D22">
        <v>17.715</v>
      </c>
      <c r="E22">
        <v>0.32499999999999901</v>
      </c>
      <c r="F22" t="str">
        <f>_xlfn.LET(_xlpm.raw,_xlfn.XLOOKUP(A22,'Pinlist(S1)'!$C$4:$C$1362,'Pinlist(S1)'!$E$4:$E$1362,""),_xlpm.cleanRaw,SUBSTITUTE(SUBSTITUTE(_xlpm.raw,"_PIN","."),"PIN","."),_xlpm.mainPart,MID(_xlpm.cleanRaw,2,FIND(".",_xlpm.cleanRaw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" t="str">
        <f>_xlfn.LET(_xlpm.raw,_xlfn.XLOOKUP(A22,'Pinlist(S3)'!$C$4:$C$1362,'Pinlist(S3)'!$E$4:$E$1362,""),_xlpm.cleanRaw,SUBSTITUTE(SUBSTITUTE(_xlpm.raw,"_PIN","."),"PIN","."),_xlpm.mainPart,MID(_xlpm.cleanRaw,2,FIND(".",_xlpm.cleanRaw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" t="str">
        <f>_xlfn.LET(_xlpm.raw,_xlfn.XLOOKUP(A22,'Pinlist(S5)'!$C$4:$C$1362,'Pinlist(S5)'!$E$4:$E$1362,""),_xlpm.cleanRaw,SUBSTITUTE(SUBSTITUTE(_xlpm.raw,"_PIN","."),"PIN","."),_xlpm.mainPart,MID(_xlpm.cleanRaw,2,FIND(".",_xlpm.cleanRaw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" t="str">
        <f>""</f>
        <v/>
      </c>
      <c r="J22" t="str">
        <f t="shared" si="0"/>
        <v>A30;VCCCORE;;17.715;0.324999999999999;;;;</v>
      </c>
    </row>
    <row r="23" spans="1:10">
      <c r="A23" t="s">
        <v>130</v>
      </c>
      <c r="B23" t="str">
        <f>_xlfn.XLOOKUP(A23,'Pinlist(S1)'!$Q$4:$Q$1362,'Pinlist(S1)'!$R$4:$R$1362,"")</f>
        <v>CSI2_DN_6</v>
      </c>
      <c r="C23" t="str" cm="1">
        <f t="array" ref="C23">_xlfn.TEXTJOIN(",",TRUE,_xlfn.UNIQUE(TRANSPOSE(_xlfn.MAP(_xlfn.XLOOKUP(A23,'Pinlist(S1)'!$C$4:$C$1362,'Pinlist(S1)'!$F$4:$K$1362,""),_xlfn.LAMBDA(_xlpm.x,IF(_xlpm.x&lt;&gt;"",TRIM(CLEAN(LEFT(_xlpm.x,FIND(".",_xlpm.x &amp; ".")-1))),""))))))</f>
        <v>KA105</v>
      </c>
      <c r="D23">
        <v>18.390999999999998</v>
      </c>
      <c r="E23">
        <v>0</v>
      </c>
      <c r="F23" t="str">
        <f>_xlfn.LET(_xlpm.raw,_xlfn.XLOOKUP(A23,'Pinlist(S1)'!$C$4:$C$1362,'Pinlist(S1)'!$E$4:$E$1362,""),_xlpm.cleanRaw,SUBSTITUTE(SUBSTITUTE(_xlpm.raw,"_PIN","."),"PIN","."),_xlpm.mainPart,MID(_xlpm.cleanRaw,2,FIND(".",_xlpm.cleanRaw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23" t="str">
        <f>_xlfn.LET(_xlpm.raw,_xlfn.XLOOKUP(A23,'Pinlist(S3)'!$C$4:$C$1362,'Pinlist(S3)'!$E$4:$E$1362,""),_xlpm.cleanRaw,SUBSTITUTE(SUBSTITUTE(_xlpm.raw,"_PIN","."),"PIN","."),_xlpm.mainPart,MID(_xlpm.cleanRaw,2,FIND(".",_xlpm.cleanRaw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23" t="str">
        <f>_xlfn.LET(_xlpm.raw,_xlfn.XLOOKUP(A23,'Pinlist(S5)'!$C$4:$C$1362,'Pinlist(S5)'!$E$4:$E$1362,""),_xlpm.cleanRaw,SUBSTITUTE(SUBSTITUTE(_xlpm.raw,"_PIN","."),"PIN","."),_xlpm.mainPart,MID(_xlpm.cleanRaw,2,FIND(".",_xlpm.cleanRaw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23" t="str">
        <f>""</f>
        <v/>
      </c>
      <c r="J23" t="str">
        <f t="shared" si="0"/>
        <v>A31;CSI2_DN_6;KA105;18.391;0;507125;806127;701085;</v>
      </c>
    </row>
    <row r="24" spans="1:10">
      <c r="A24" t="s">
        <v>132</v>
      </c>
      <c r="B24" t="str">
        <f>_xlfn.XLOOKUP(A24,'Pinlist(S1)'!$Q$4:$Q$1362,'Pinlist(S1)'!$R$4:$R$1362,"")</f>
        <v>CSI2_DN_7</v>
      </c>
      <c r="C24" t="str" cm="1">
        <f t="array" ref="C24">_xlfn.TEXTJOIN(",",TRUE,_xlfn.UNIQUE(TRANSPOSE(_xlfn.MAP(_xlfn.XLOOKUP(A24,'Pinlist(S1)'!$C$4:$C$1362,'Pinlist(S1)'!$F$4:$K$1362,""),_xlfn.LAMBDA(_xlpm.x,IF(_xlpm.x&lt;&gt;"",TRIM(CLEAN(LEFT(_xlpm.x,FIND(".",_xlpm.x &amp; ".")-1))),""))))))</f>
        <v>KA105</v>
      </c>
      <c r="D24">
        <v>19.518000000000001</v>
      </c>
      <c r="E24">
        <v>0</v>
      </c>
      <c r="F24" t="str">
        <f>_xlfn.LET(_xlpm.raw,_xlfn.XLOOKUP(A24,'Pinlist(S1)'!$C$4:$C$1362,'Pinlist(S1)'!$E$4:$E$1362,""),_xlpm.cleanRaw,SUBSTITUTE(SUBSTITUTE(_xlpm.raw,"_PIN","."),"PIN","."),_xlpm.mainPart,MID(_xlpm.cleanRaw,2,FIND(".",_xlpm.cleanRaw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24" t="str">
        <f>_xlfn.LET(_xlpm.raw,_xlfn.XLOOKUP(A24,'Pinlist(S3)'!$C$4:$C$1362,'Pinlist(S3)'!$E$4:$E$1362,""),_xlpm.cleanRaw,SUBSTITUTE(SUBSTITUTE(_xlpm.raw,"_PIN","."),"PIN","."),_xlpm.mainPart,MID(_xlpm.cleanRaw,2,FIND(".",_xlpm.cleanRaw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24" t="str">
        <f>_xlfn.LET(_xlpm.raw,_xlfn.XLOOKUP(A24,'Pinlist(S5)'!$C$4:$C$1362,'Pinlist(S5)'!$E$4:$E$1362,""),_xlpm.cleanRaw,SUBSTITUTE(SUBSTITUTE(_xlpm.raw,"_PIN","."),"PIN","."),_xlpm.mainPart,MID(_xlpm.cleanRaw,2,FIND(".",_xlpm.cleanRaw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24" t="str">
        <f>""</f>
        <v/>
      </c>
      <c r="J24" t="str">
        <f t="shared" si="0"/>
        <v>A33;CSI2_DN_7;KA105;19.518;0;507111;806086;701086;</v>
      </c>
    </row>
    <row r="25" spans="1:10">
      <c r="A25" t="s">
        <v>1552</v>
      </c>
      <c r="B25" t="str">
        <f>_xlfn.XLOOKUP(A25,'Pinlist(S1)'!$Q$4:$Q$1362,'Pinlist(S1)'!$R$4:$R$1362,"")</f>
        <v>VCCCORE</v>
      </c>
      <c r="C25" t="str" cm="1">
        <f t="array" ref="C25">_xlfn.TEXTJOIN(",",TRUE,_xlfn.UNIQUE(TRANSPOSE(_xlfn.MAP(_xlfn.XLOOKUP(A25,'Pinlist(S1)'!$C$4:$C$1362,'Pinlist(S1)'!$F$4:$K$1362,""),_xlfn.LAMBDA(_xlpm.x,IF(_xlpm.x&lt;&gt;"",TRIM(CLEAN(LEFT(_xlpm.x,FIND(".",_xlpm.x &amp; ".")-1))),""))))))</f>
        <v/>
      </c>
      <c r="D25">
        <v>20.193000000000001</v>
      </c>
      <c r="E25">
        <v>0.32499999999999901</v>
      </c>
      <c r="F25" t="str">
        <f>_xlfn.LET(_xlpm.raw,_xlfn.XLOOKUP(A25,'Pinlist(S1)'!$C$4:$C$1362,'Pinlist(S1)'!$E$4:$E$1362,""),_xlpm.cleanRaw,SUBSTITUTE(SUBSTITUTE(_xlpm.raw,"_PIN","."),"PIN","."),_xlpm.mainPart,MID(_xlpm.cleanRaw,2,FIND(".",_xlpm.cleanRaw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" t="str">
        <f>_xlfn.LET(_xlpm.raw,_xlfn.XLOOKUP(A25,'Pinlist(S3)'!$C$4:$C$1362,'Pinlist(S3)'!$E$4:$E$1362,""),_xlpm.cleanRaw,SUBSTITUTE(SUBSTITUTE(_xlpm.raw,"_PIN","."),"PIN","."),_xlpm.mainPart,MID(_xlpm.cleanRaw,2,FIND(".",_xlpm.cleanRaw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" t="str">
        <f>_xlfn.LET(_xlpm.raw,_xlfn.XLOOKUP(A25,'Pinlist(S5)'!$C$4:$C$1362,'Pinlist(S5)'!$E$4:$E$1362,""),_xlpm.cleanRaw,SUBSTITUTE(SUBSTITUTE(_xlpm.raw,"_PIN","."),"PIN","."),_xlpm.mainPart,MID(_xlpm.cleanRaw,2,FIND(".",_xlpm.cleanRaw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" t="str">
        <f>""</f>
        <v/>
      </c>
      <c r="J25" t="str">
        <f t="shared" si="0"/>
        <v>A34;VCCCORE;;20.193;0.324999999999999;;;;</v>
      </c>
    </row>
    <row r="26" spans="1:10">
      <c r="A26" t="s">
        <v>110</v>
      </c>
      <c r="B26" t="str">
        <f>_xlfn.XLOOKUP(A26,'Pinlist(S1)'!$Q$4:$Q$1362,'Pinlist(S1)'!$R$4:$R$1362,"")</f>
        <v>CSI2_DN_0</v>
      </c>
      <c r="C26" t="str" cm="1">
        <f t="array" ref="C26">_xlfn.TEXTJOIN(",",TRUE,_xlfn.UNIQUE(TRANSPOSE(_xlfn.MAP(_xlfn.XLOOKUP(A26,'Pinlist(S1)'!$C$4:$C$1362,'Pinlist(S1)'!$F$4:$K$1362,""),_xlfn.LAMBDA(_xlpm.x,IF(_xlpm.x&lt;&gt;"",TRIM(CLEAN(LEFT(_xlpm.x,FIND(".",_xlpm.x &amp; ".")-1))),""))))))</f>
        <v>KA104</v>
      </c>
      <c r="D26">
        <v>20.869</v>
      </c>
      <c r="E26">
        <v>0</v>
      </c>
      <c r="F26" t="str">
        <f>_xlfn.LET(_xlpm.raw,_xlfn.XLOOKUP(A26,'Pinlist(S1)'!$C$4:$C$1362,'Pinlist(S1)'!$E$4:$E$1362,""),_xlpm.cleanRaw,SUBSTITUTE(SUBSTITUTE(_xlpm.raw,"_PIN","."),"PIN","."),_xlpm.mainPart,MID(_xlpm.cleanRaw,2,FIND(".",_xlpm.cleanRaw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26" t="str">
        <f>_xlfn.LET(_xlpm.raw,_xlfn.XLOOKUP(A26,'Pinlist(S3)'!$C$4:$C$1362,'Pinlist(S3)'!$E$4:$E$1362,""),_xlpm.cleanRaw,SUBSTITUTE(SUBSTITUTE(_xlpm.raw,"_PIN","."),"PIN","."),_xlpm.mainPart,MID(_xlpm.cleanRaw,2,FIND(".",_xlpm.cleanRaw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26" t="str">
        <f>_xlfn.LET(_xlpm.raw,_xlfn.XLOOKUP(A26,'Pinlist(S5)'!$C$4:$C$1362,'Pinlist(S5)'!$E$4:$E$1362,""),_xlpm.cleanRaw,SUBSTITUTE(SUBSTITUTE(_xlpm.raw,"_PIN","."),"PIN","."),_xlpm.mainPart,MID(_xlpm.cleanRaw,2,FIND(".",_xlpm.cleanRaw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26" t="str">
        <f>""</f>
        <v/>
      </c>
      <c r="J26" t="str">
        <f t="shared" si="0"/>
        <v>A36;CSI2_DN_0;KA104;20.869;0;506022;807021;603106;</v>
      </c>
    </row>
    <row r="27" spans="1:10">
      <c r="A27" t="s">
        <v>124</v>
      </c>
      <c r="B27" t="str">
        <f>_xlfn.XLOOKUP(A27,'Pinlist(S1)'!$Q$4:$Q$1362,'Pinlist(S1)'!$R$4:$R$1362,"")</f>
        <v>CSI2_DN_3</v>
      </c>
      <c r="C27" t="str" cm="1">
        <f t="array" ref="C27">_xlfn.TEXTJOIN(",",TRUE,_xlfn.UNIQUE(TRANSPOSE(_xlfn.MAP(_xlfn.XLOOKUP(A27,'Pinlist(S1)'!$C$4:$C$1362,'Pinlist(S1)'!$F$4:$K$1362,""),_xlfn.LAMBDA(_xlpm.x,IF(_xlpm.x&lt;&gt;"",TRIM(CLEAN(LEFT(_xlpm.x,FIND(".",_xlpm.x &amp; ".")-1))),""))))))</f>
        <v>KA105</v>
      </c>
      <c r="D27">
        <v>21.995999999999999</v>
      </c>
      <c r="E27">
        <v>0</v>
      </c>
      <c r="F27" t="str">
        <f>_xlfn.LET(_xlpm.raw,_xlfn.XLOOKUP(A27,'Pinlist(S1)'!$C$4:$C$1362,'Pinlist(S1)'!$E$4:$E$1362,""),_xlpm.cleanRaw,SUBSTITUTE(SUBSTITUTE(_xlpm.raw,"_PIN","."),"PIN","."),_xlpm.mainPart,MID(_xlpm.cleanRaw,2,FIND(".",_xlpm.cleanRaw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27" t="str">
        <f>_xlfn.LET(_xlpm.raw,_xlfn.XLOOKUP(A27,'Pinlist(S3)'!$C$4:$C$1362,'Pinlist(S3)'!$E$4:$E$1362,""),_xlpm.cleanRaw,SUBSTITUTE(SUBSTITUTE(_xlpm.raw,"_PIN","."),"PIN","."),_xlpm.mainPart,MID(_xlpm.cleanRaw,2,FIND(".",_xlpm.cleanRaw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27" t="str">
        <f>_xlfn.LET(_xlpm.raw,_xlfn.XLOOKUP(A27,'Pinlist(S5)'!$C$4:$C$1362,'Pinlist(S5)'!$E$4:$E$1362,""),_xlpm.cleanRaw,SUBSTITUTE(SUBSTITUTE(_xlpm.raw,"_PIN","."),"PIN","."),_xlpm.mainPart,MID(_xlpm.cleanRaw,2,FIND(".",_xlpm.cleanRaw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27" t="str">
        <f>""</f>
        <v/>
      </c>
      <c r="J27" t="str">
        <f t="shared" si="0"/>
        <v>A38;CSI2_DN_3;KA105;21.996;0;507111;806086;701086;</v>
      </c>
    </row>
    <row r="28" spans="1:10">
      <c r="A28" t="s">
        <v>1553</v>
      </c>
      <c r="B28" t="str">
        <f>_xlfn.XLOOKUP(A28,'Pinlist(S1)'!$Q$4:$Q$1362,'Pinlist(S1)'!$R$4:$R$1362,"")</f>
        <v>VCCCORE</v>
      </c>
      <c r="C28" t="str" cm="1">
        <f t="array" ref="C28">_xlfn.TEXTJOIN(",",TRUE,_xlfn.UNIQUE(TRANSPOSE(_xlfn.MAP(_xlfn.XLOOKUP(A28,'Pinlist(S1)'!$C$4:$C$1362,'Pinlist(S1)'!$F$4:$K$1362,""),_xlfn.LAMBDA(_xlpm.x,IF(_xlpm.x&lt;&gt;"",TRIM(CLEAN(LEFT(_xlpm.x,FIND(".",_xlpm.x &amp; ".")-1))),""))))))</f>
        <v/>
      </c>
      <c r="D28">
        <v>22.670999999999999</v>
      </c>
      <c r="E28">
        <v>0.32499999999999901</v>
      </c>
      <c r="F28" t="str">
        <f>_xlfn.LET(_xlpm.raw,_xlfn.XLOOKUP(A28,'Pinlist(S1)'!$C$4:$C$1362,'Pinlist(S1)'!$E$4:$E$1362,""),_xlpm.cleanRaw,SUBSTITUTE(SUBSTITUTE(_xlpm.raw,"_PIN","."),"PIN","."),_xlpm.mainPart,MID(_xlpm.cleanRaw,2,FIND(".",_xlpm.cleanRaw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" t="str">
        <f>_xlfn.LET(_xlpm.raw,_xlfn.XLOOKUP(A28,'Pinlist(S3)'!$C$4:$C$1362,'Pinlist(S3)'!$E$4:$E$1362,""),_xlpm.cleanRaw,SUBSTITUTE(SUBSTITUTE(_xlpm.raw,"_PIN","."),"PIN","."),_xlpm.mainPart,MID(_xlpm.cleanRaw,2,FIND(".",_xlpm.cleanRaw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" t="str">
        <f>_xlfn.LET(_xlpm.raw,_xlfn.XLOOKUP(A28,'Pinlist(S5)'!$C$4:$C$1362,'Pinlist(S5)'!$E$4:$E$1362,""),_xlpm.cleanRaw,SUBSTITUTE(SUBSTITUTE(_xlpm.raw,"_PIN","."),"PIN","."),_xlpm.mainPart,MID(_xlpm.cleanRaw,2,FIND(".",_xlpm.cleanRaw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" t="str">
        <f>""</f>
        <v/>
      </c>
      <c r="J28" t="str">
        <f t="shared" si="0"/>
        <v>A39;VCCCORE;;22.671;0.324999999999999;;;;</v>
      </c>
    </row>
    <row r="29" spans="1:10">
      <c r="A29" t="s">
        <v>60</v>
      </c>
      <c r="B29" t="str">
        <f>_xlfn.XLOOKUP(A29,'Pinlist(S1)'!$Q$4:$Q$1362,'Pinlist(S1)'!$R$4:$R$1362,"")</f>
        <v>CLKOUT_SRC_P_4</v>
      </c>
      <c r="C29" t="str" cm="1">
        <f t="array" ref="C29">_xlfn.TEXTJOIN(",",TRUE,_xlfn.UNIQUE(TRANSPOSE(_xlfn.MAP(_xlfn.XLOOKUP(A29,'Pinlist(S1)'!$C$4:$C$1362,'Pinlist(S1)'!$F$4:$K$1362,""),_xlfn.LAMBDA(_xlpm.x,IF(_xlpm.x&lt;&gt;"",TRIM(CLEAN(LEFT(_xlpm.x,FIND(".",_xlpm.x &amp; ".")-1))),""))))))</f>
        <v>TPA104,KA102</v>
      </c>
      <c r="D29">
        <v>23.347000000000001</v>
      </c>
      <c r="E29">
        <v>0</v>
      </c>
      <c r="F29" t="str">
        <f>_xlfn.LET(_xlpm.raw,_xlfn.XLOOKUP(A29,'Pinlist(S1)'!$C$4:$C$1362,'Pinlist(S1)'!$E$4:$E$1362,""),_xlpm.cleanRaw,SUBSTITUTE(SUBSTITUTE(_xlpm.raw,"_PIN","."),"PIN","."),_xlpm.mainPart,MID(_xlpm.cleanRaw,2,FIND(".",_xlpm.cleanRaw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29" t="str">
        <f>_xlfn.LET(_xlpm.raw,_xlfn.XLOOKUP(A29,'Pinlist(S3)'!$C$4:$C$1362,'Pinlist(S3)'!$E$4:$E$1362,""),_xlpm.cleanRaw,SUBSTITUTE(SUBSTITUTE(_xlpm.raw,"_PIN","."),"PIN","."),_xlpm.mainPart,MID(_xlpm.cleanRaw,2,FIND(".",_xlpm.cleanRaw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29" t="str">
        <f>_xlfn.LET(_xlpm.raw,_xlfn.XLOOKUP(A29,'Pinlist(S5)'!$C$4:$C$1362,'Pinlist(S5)'!$E$4:$E$1362,""),_xlpm.cleanRaw,SUBSTITUTE(SUBSTITUTE(_xlpm.raw,"_PIN","."),"PIN","."),_xlpm.mainPart,MID(_xlpm.cleanRaw,2,FIND(".",_xlpm.cleanRaw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29" t="str">
        <f>""</f>
        <v/>
      </c>
      <c r="J29" t="str">
        <f t="shared" si="0"/>
        <v>A40;CLKOUT_SRC_P_4;TPA104,KA102;23.347;0;505059;805081;702081;</v>
      </c>
    </row>
    <row r="30" spans="1:10">
      <c r="A30" t="s">
        <v>54</v>
      </c>
      <c r="B30" t="str">
        <f>_xlfn.XLOOKUP(A30,'Pinlist(S1)'!$Q$4:$Q$1362,'Pinlist(S1)'!$R$4:$R$1362,"")</f>
        <v>CLKOUT_SRC_P_1</v>
      </c>
      <c r="C30" t="str" cm="1">
        <f t="array" ref="C30">_xlfn.TEXTJOIN(",",TRUE,_xlfn.UNIQUE(TRANSPOSE(_xlfn.MAP(_xlfn.XLOOKUP(A30,'Pinlist(S1)'!$C$4:$C$1362,'Pinlist(S1)'!$F$4:$K$1362,""),_xlfn.LAMBDA(_xlpm.x,IF(_xlpm.x&lt;&gt;"",TRIM(CLEAN(LEFT(_xlpm.x,FIND(".",_xlpm.x &amp; ".")-1))),""))))))</f>
        <v>TPA104,KA102</v>
      </c>
      <c r="D30">
        <v>24.474</v>
      </c>
      <c r="E30">
        <v>0</v>
      </c>
      <c r="F30" t="str">
        <f>_xlfn.LET(_xlpm.raw,_xlfn.XLOOKUP(A30,'Pinlist(S1)'!$C$4:$C$1362,'Pinlist(S1)'!$E$4:$E$1362,""),_xlpm.cleanRaw,SUBSTITUTE(SUBSTITUTE(_xlpm.raw,"_PIN","."),"PIN","."),_xlpm.mainPart,MID(_xlpm.cleanRaw,2,FIND(".",_xlpm.cleanRaw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30" t="str">
        <f>_xlfn.LET(_xlpm.raw,_xlfn.XLOOKUP(A30,'Pinlist(S3)'!$C$4:$C$1362,'Pinlist(S3)'!$E$4:$E$1362,""),_xlpm.cleanRaw,SUBSTITUTE(SUBSTITUTE(_xlpm.raw,"_PIN","."),"PIN","."),_xlpm.mainPart,MID(_xlpm.cleanRaw,2,FIND(".",_xlpm.cleanRaw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30" t="str">
        <f>_xlfn.LET(_xlpm.raw,_xlfn.XLOOKUP(A30,'Pinlist(S5)'!$C$4:$C$1362,'Pinlist(S5)'!$E$4:$E$1362,""),_xlpm.cleanRaw,SUBSTITUTE(SUBSTITUTE(_xlpm.raw,"_PIN","."),"PIN","."),_xlpm.mainPart,MID(_xlpm.cleanRaw,2,FIND(".",_xlpm.cleanRaw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30" t="str">
        <f>""</f>
        <v/>
      </c>
      <c r="J30" t="str">
        <f t="shared" si="0"/>
        <v>A42;CLKOUT_SRC_P_1;TPA104,KA102;24.474;0;505059;805081;702081;</v>
      </c>
    </row>
    <row r="31" spans="1:10">
      <c r="A31" t="s">
        <v>1554</v>
      </c>
      <c r="B31" t="str">
        <f>_xlfn.XLOOKUP(A31,'Pinlist(S1)'!$Q$4:$Q$1362,'Pinlist(S1)'!$R$4:$R$1362,"")</f>
        <v>VCCCORE</v>
      </c>
      <c r="C31" t="str" cm="1">
        <f t="array" ref="C31">_xlfn.TEXTJOIN(",",TRUE,_xlfn.UNIQUE(TRANSPOSE(_xlfn.MAP(_xlfn.XLOOKUP(A31,'Pinlist(S1)'!$C$4:$C$1362,'Pinlist(S1)'!$F$4:$K$1362,""),_xlfn.LAMBDA(_xlpm.x,IF(_xlpm.x&lt;&gt;"",TRIM(CLEAN(LEFT(_xlpm.x,FIND(".",_xlpm.x &amp; ".")-1))),""))))))</f>
        <v/>
      </c>
      <c r="D31">
        <v>25.149000000000001</v>
      </c>
      <c r="E31">
        <v>0.32499999999999901</v>
      </c>
      <c r="F31" t="str">
        <f>_xlfn.LET(_xlpm.raw,_xlfn.XLOOKUP(A31,'Pinlist(S1)'!$C$4:$C$1362,'Pinlist(S1)'!$E$4:$E$1362,""),_xlpm.cleanRaw,SUBSTITUTE(SUBSTITUTE(_xlpm.raw,"_PIN","."),"PIN","."),_xlpm.mainPart,MID(_xlpm.cleanRaw,2,FIND(".",_xlpm.cleanRaw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" t="str">
        <f>_xlfn.LET(_xlpm.raw,_xlfn.XLOOKUP(A31,'Pinlist(S3)'!$C$4:$C$1362,'Pinlist(S3)'!$E$4:$E$1362,""),_xlpm.cleanRaw,SUBSTITUTE(SUBSTITUTE(_xlpm.raw,"_PIN","."),"PIN","."),_xlpm.mainPart,MID(_xlpm.cleanRaw,2,FIND(".",_xlpm.cleanRaw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" t="str">
        <f>_xlfn.LET(_xlpm.raw,_xlfn.XLOOKUP(A31,'Pinlist(S5)'!$C$4:$C$1362,'Pinlist(S5)'!$E$4:$E$1362,""),_xlpm.cleanRaw,SUBSTITUTE(SUBSTITUTE(_xlpm.raw,"_PIN","."),"PIN","."),_xlpm.mainPart,MID(_xlpm.cleanRaw,2,FIND(".",_xlpm.cleanRaw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" t="str">
        <f>""</f>
        <v/>
      </c>
      <c r="J31" t="str">
        <f t="shared" si="0"/>
        <v>A44;VCCCORE;;25.149;0.324999999999999;;;;</v>
      </c>
    </row>
    <row r="32" spans="1:10">
      <c r="A32" t="s">
        <v>730</v>
      </c>
      <c r="B32" t="str">
        <f>_xlfn.XLOOKUP(A32,'Pinlist(S1)'!$Q$4:$Q$1362,'Pinlist(S1)'!$R$4:$R$1362,"")</f>
        <v>EDP_TXN[2]</v>
      </c>
      <c r="C32" t="str" cm="1">
        <f t="array" ref="C32">_xlfn.TEXTJOIN(",",TRUE,_xlfn.UNIQUE(TRANSPOSE(_xlfn.MAP(_xlfn.XLOOKUP(A32,'Pinlist(S1)'!$C$4:$C$1362,'Pinlist(S1)'!$F$4:$K$1362,""),_xlfn.LAMBDA(_xlpm.x,IF(_xlpm.x&lt;&gt;"",TRIM(CLEAN(LEFT(_xlpm.x,FIND(".",_xlpm.x &amp; ".")-1))),""))))))</f>
        <v/>
      </c>
      <c r="D32">
        <v>25.824999999999999</v>
      </c>
      <c r="E32">
        <v>0</v>
      </c>
      <c r="F32" t="str">
        <f>_xlfn.LET(_xlpm.raw,_xlfn.XLOOKUP(A32,'Pinlist(S1)'!$C$4:$C$1362,'Pinlist(S1)'!$E$4:$E$1362,""),_xlpm.cleanRaw,SUBSTITUTE(SUBSTITUTE(_xlpm.raw,"_PIN","."),"PIN","."),_xlpm.mainPart,MID(_xlpm.cleanRaw,2,FIND(".",_xlpm.cleanRaw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608069</v>
      </c>
      <c r="G32" t="str">
        <f>_xlfn.LET(_xlpm.raw,_xlfn.XLOOKUP(A32,'Pinlist(S3)'!$C$4:$C$1362,'Pinlist(S3)'!$E$4:$E$1362,""),_xlpm.cleanRaw,SUBSTITUTE(SUBSTITUTE(_xlpm.raw,"_PIN","."),"PIN","."),_xlpm.mainPart,MID(_xlpm.cleanRaw,2,FIND(".",_xlpm.cleanRaw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801019</v>
      </c>
      <c r="H32" t="str">
        <f>_xlfn.LET(_xlpm.raw,_xlfn.XLOOKUP(A32,'Pinlist(S5)'!$C$4:$C$1362,'Pinlist(S5)'!$E$4:$E$1362,""),_xlpm.cleanRaw,SUBSTITUTE(SUBSTITUTE(_xlpm.raw,"_PIN","."),"PIN","."),_xlpm.mainPart,MID(_xlpm.cleanRaw,2,FIND(".",_xlpm.cleanRaw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708066</v>
      </c>
      <c r="I32" t="str">
        <f>""</f>
        <v/>
      </c>
      <c r="J32" t="str">
        <f t="shared" si="0"/>
        <v>A45;EDP_TXN[2];;25.825;0;608069;801019;708066;</v>
      </c>
    </row>
    <row r="33" spans="1:10">
      <c r="A33" t="s">
        <v>732</v>
      </c>
      <c r="B33" t="str">
        <f>_xlfn.XLOOKUP(A33,'Pinlist(S1)'!$Q$4:$Q$1362,'Pinlist(S1)'!$R$4:$R$1362,"")</f>
        <v>EDP_TXN[3]</v>
      </c>
      <c r="C33" t="str" cm="1">
        <f t="array" ref="C33">_xlfn.TEXTJOIN(",",TRUE,_xlfn.UNIQUE(TRANSPOSE(_xlfn.MAP(_xlfn.XLOOKUP(A33,'Pinlist(S1)'!$C$4:$C$1362,'Pinlist(S1)'!$F$4:$K$1362,""),_xlfn.LAMBDA(_xlpm.x,IF(_xlpm.x&lt;&gt;"",TRIM(CLEAN(LEFT(_xlpm.x,FIND(".",_xlpm.x &amp; ".")-1))),""))))))</f>
        <v/>
      </c>
      <c r="D33">
        <v>26.951999999999899</v>
      </c>
      <c r="E33">
        <v>0</v>
      </c>
      <c r="F33" t="str">
        <f>_xlfn.LET(_xlpm.raw,_xlfn.XLOOKUP(A33,'Pinlist(S1)'!$C$4:$C$1362,'Pinlist(S1)'!$E$4:$E$1362,""),_xlpm.cleanRaw,SUBSTITUTE(SUBSTITUTE(_xlpm.raw,"_PIN","."),"PIN","."),_xlpm.mainPart,MID(_xlpm.cleanRaw,2,FIND(".",_xlpm.cleanRaw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607018</v>
      </c>
      <c r="G33" t="str">
        <f>_xlfn.LET(_xlpm.raw,_xlfn.XLOOKUP(A33,'Pinlist(S3)'!$C$4:$C$1362,'Pinlist(S3)'!$E$4:$E$1362,""),_xlpm.cleanRaw,SUBSTITUTE(SUBSTITUTE(_xlpm.raw,"_PIN","."),"PIN","."),_xlpm.mainPart,MID(_xlpm.cleanRaw,2,FIND(".",_xlpm.cleanRaw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502071</v>
      </c>
      <c r="H33" t="str">
        <f>_xlfn.LET(_xlpm.raw,_xlfn.XLOOKUP(A33,'Pinlist(S5)'!$C$4:$C$1362,'Pinlist(S5)'!$E$4:$E$1362,""),_xlpm.cleanRaw,SUBSTITUTE(SUBSTITUTE(_xlpm.raw,"_PIN","."),"PIN","."),_xlpm.mainPart,MID(_xlpm.cleanRaw,2,FIND(".",_xlpm.cleanRaw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706018</v>
      </c>
      <c r="I33" t="str">
        <f>""</f>
        <v/>
      </c>
      <c r="J33" t="str">
        <f t="shared" si="0"/>
        <v>A47;EDP_TXN[3];;26.9519999999999;0;607018;502071;706018;</v>
      </c>
    </row>
    <row r="34" spans="1:10">
      <c r="A34" t="s">
        <v>1644</v>
      </c>
      <c r="B34" t="str">
        <f>_xlfn.XLOOKUP(A34,'Pinlist(S1)'!$Q$4:$Q$1362,'Pinlist(S1)'!$R$4:$R$1362,"")</f>
        <v>VCCGT</v>
      </c>
      <c r="C34" t="str" cm="1">
        <f t="array" ref="C34">_xlfn.TEXTJOIN(",",TRUE,_xlfn.UNIQUE(TRANSPOSE(_xlfn.MAP(_xlfn.XLOOKUP(A34,'Pinlist(S1)'!$C$4:$C$1362,'Pinlist(S1)'!$F$4:$K$1362,""),_xlfn.LAMBDA(_xlpm.x,IF(_xlpm.x&lt;&gt;"",TRIM(CLEAN(LEFT(_xlpm.x,FIND(".",_xlpm.x &amp; ".")-1))),""))))))</f>
        <v/>
      </c>
      <c r="D34">
        <v>27.626999999999999</v>
      </c>
      <c r="E34">
        <v>0.32499999999999901</v>
      </c>
      <c r="F34" t="str">
        <f>_xlfn.LET(_xlpm.raw,_xlfn.XLOOKUP(A34,'Pinlist(S1)'!$C$4:$C$1362,'Pinlist(S1)'!$E$4:$E$1362,""),_xlpm.cleanRaw,SUBSTITUTE(SUBSTITUTE(_xlpm.raw,"_PIN","."),"PIN","."),_xlpm.mainPart,MID(_xlpm.cleanRaw,2,FIND(".",_xlpm.cleanRaw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" t="str">
        <f>_xlfn.LET(_xlpm.raw,_xlfn.XLOOKUP(A34,'Pinlist(S3)'!$C$4:$C$1362,'Pinlist(S3)'!$E$4:$E$1362,""),_xlpm.cleanRaw,SUBSTITUTE(SUBSTITUTE(_xlpm.raw,"_PIN","."),"PIN","."),_xlpm.mainPart,MID(_xlpm.cleanRaw,2,FIND(".",_xlpm.cleanRaw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" t="str">
        <f>_xlfn.LET(_xlpm.raw,_xlfn.XLOOKUP(A34,'Pinlist(S5)'!$C$4:$C$1362,'Pinlist(S5)'!$E$4:$E$1362,""),_xlpm.cleanRaw,SUBSTITUTE(SUBSTITUTE(_xlpm.raw,"_PIN","."),"PIN","."),_xlpm.mainPart,MID(_xlpm.cleanRaw,2,FIND(".",_xlpm.cleanRaw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" t="str">
        <f>""</f>
        <v/>
      </c>
      <c r="J34" t="str">
        <f t="shared" si="0"/>
        <v>A48;VCCGT;;27.627;0.324999999999999;;;;</v>
      </c>
    </row>
    <row r="35" spans="1:10">
      <c r="A35" t="s">
        <v>201</v>
      </c>
      <c r="B35" t="str">
        <f>_xlfn.XLOOKUP(A35,'Pinlist(S1)'!$Q$4:$Q$1362,'Pinlist(S1)'!$R$4:$R$1362,"")</f>
        <v>DDI2_TXN[2]</v>
      </c>
      <c r="C35" t="str" cm="1">
        <f t="array" ref="C35">_xlfn.TEXTJOIN(",",TRUE,_xlfn.UNIQUE(TRANSPOSE(_xlfn.MAP(_xlfn.XLOOKUP(A35,'Pinlist(S1)'!$C$4:$C$1362,'Pinlist(S1)'!$F$4:$K$1362,""),_xlfn.LAMBDA(_xlpm.x,IF(_xlpm.x&lt;&gt;"",TRIM(CLEAN(LEFT(_xlpm.x,FIND(".",_xlpm.x &amp; ".")-1))),""))))))</f>
        <v>KA129</v>
      </c>
      <c r="D35">
        <v>28.303000000000001</v>
      </c>
      <c r="E35">
        <v>0</v>
      </c>
      <c r="F35" t="str">
        <f>_xlfn.LET(_xlpm.raw,_xlfn.XLOOKUP(A35,'Pinlist(S1)'!$C$4:$C$1362,'Pinlist(S1)'!$E$4:$E$1362,""),_xlpm.cleanRaw,SUBSTITUTE(SUBSTITUTE(_xlpm.raw,"_PIN","."),"PIN","."),_xlpm.mainPart,MID(_xlpm.cleanRaw,2,FIND(".",_xlpm.cleanRaw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35" t="str">
        <f>_xlfn.LET(_xlpm.raw,_xlfn.XLOOKUP(A35,'Pinlist(S3)'!$C$4:$C$1362,'Pinlist(S3)'!$E$4:$E$1362,""),_xlpm.cleanRaw,SUBSTITUTE(SUBSTITUTE(_xlpm.raw,"_PIN","."),"PIN","."),_xlpm.mainPart,MID(_xlpm.cleanRaw,2,FIND(".",_xlpm.cleanRaw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503021</v>
      </c>
      <c r="H35" t="str">
        <f>_xlfn.LET(_xlpm.raw,_xlfn.XLOOKUP(A35,'Pinlist(S5)'!$C$4:$C$1362,'Pinlist(S5)'!$E$4:$E$1362,""),_xlpm.cleanRaw,SUBSTITUTE(SUBSTITUTE(_xlpm.raw,"_PIN","."),"PIN","."),_xlpm.mainPart,MID(_xlpm.cleanRaw,2,FIND(".",_xlpm.cleanRaw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709026</v>
      </c>
      <c r="I35" t="str">
        <f>""</f>
        <v/>
      </c>
      <c r="J35" t="str">
        <f t="shared" si="0"/>
        <v>A50;DDI2_TXN[2];KA129;28.303;0;604013;503021;709026;</v>
      </c>
    </row>
    <row r="36" spans="1:10">
      <c r="A36" t="s">
        <v>757</v>
      </c>
      <c r="B36" t="str">
        <f>_xlfn.XLOOKUP(A36,'Pinlist(S1)'!$Q$4:$Q$1362,'Pinlist(S1)'!$R$4:$R$1362,"")</f>
        <v>EXTBGREF</v>
      </c>
      <c r="C36" t="str" cm="1">
        <f t="array" ref="C36">_xlfn.TEXTJOIN(",",TRUE,_xlfn.UNIQUE(TRANSPOSE(_xlfn.MAP(_xlfn.XLOOKUP(A36,'Pinlist(S1)'!$C$4:$C$1362,'Pinlist(S1)'!$F$4:$K$1362,""),_xlfn.LAMBDA(_xlpm.x,IF(_xlpm.x&lt;&gt;"",TRIM(CLEAN(LEFT(_xlpm.x,FIND(".",_xlpm.x &amp; ".")-1))),""))))))</f>
        <v/>
      </c>
      <c r="D36">
        <v>29.43</v>
      </c>
      <c r="E36">
        <v>0</v>
      </c>
      <c r="F36" t="str">
        <f>_xlfn.LET(_xlpm.raw,_xlfn.XLOOKUP(A36,'Pinlist(S1)'!$C$4:$C$1362,'Pinlist(S1)'!$E$4:$E$1362,""),_xlpm.cleanRaw,SUBSTITUTE(SUBSTITUTE(_xlpm.raw,"_PIN","."),"PIN","."),_xlpm.mainPart,MID(_xlpm.cleanRaw,2,FIND(".",_xlpm.cleanRaw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605057</v>
      </c>
      <c r="G36" t="str">
        <f>_xlfn.LET(_xlpm.raw,_xlfn.XLOOKUP(A36,'Pinlist(S3)'!$C$4:$C$1362,'Pinlist(S3)'!$E$4:$E$1362,""),_xlpm.cleanRaw,SUBSTITUTE(SUBSTITUTE(_xlpm.raw,"_PIN","."),"PIN","."),_xlpm.mainPart,MID(_xlpm.cleanRaw,2,FIND(".",_xlpm.cleanRaw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503008</v>
      </c>
      <c r="H36" t="str">
        <f>_xlfn.LET(_xlpm.raw,_xlfn.XLOOKUP(A36,'Pinlist(S5)'!$C$4:$C$1362,'Pinlist(S5)'!$E$4:$E$1362,""),_xlpm.cleanRaw,SUBSTITUTE(SUBSTITUTE(_xlpm.raw,"_PIN","."),"PIN","."),_xlpm.mainPart,MID(_xlpm.cleanRaw,2,FIND(".",_xlpm.cleanRaw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709017</v>
      </c>
      <c r="I36" t="str">
        <f>""</f>
        <v/>
      </c>
      <c r="J36" t="str">
        <f t="shared" si="0"/>
        <v>A52;EXTBGREF;;29.43;0;605057;503008;709017;</v>
      </c>
    </row>
    <row r="37" spans="1:10">
      <c r="A37" t="s">
        <v>1647</v>
      </c>
      <c r="B37" t="str">
        <f>_xlfn.XLOOKUP(A37,'Pinlist(S1)'!$Q$4:$Q$1362,'Pinlist(S1)'!$R$4:$R$1362,"")</f>
        <v>VCCGT</v>
      </c>
      <c r="C37" t="str" cm="1">
        <f t="array" ref="C37">_xlfn.TEXTJOIN(",",TRUE,_xlfn.UNIQUE(TRANSPOSE(_xlfn.MAP(_xlfn.XLOOKUP(A37,'Pinlist(S1)'!$C$4:$C$1362,'Pinlist(S1)'!$F$4:$K$1362,""),_xlfn.LAMBDA(_xlpm.x,IF(_xlpm.x&lt;&gt;"",TRIM(CLEAN(LEFT(_xlpm.x,FIND(".",_xlpm.x &amp; ".")-1))),""))))))</f>
        <v/>
      </c>
      <c r="D37">
        <v>30.105</v>
      </c>
      <c r="E37">
        <v>0.32499999999999901</v>
      </c>
      <c r="F37" t="str">
        <f>_xlfn.LET(_xlpm.raw,_xlfn.XLOOKUP(A37,'Pinlist(S1)'!$C$4:$C$1362,'Pinlist(S1)'!$E$4:$E$1362,""),_xlpm.cleanRaw,SUBSTITUTE(SUBSTITUTE(_xlpm.raw,"_PIN","."),"PIN","."),_xlpm.mainPart,MID(_xlpm.cleanRaw,2,FIND(".",_xlpm.cleanRaw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" t="str">
        <f>_xlfn.LET(_xlpm.raw,_xlfn.XLOOKUP(A37,'Pinlist(S3)'!$C$4:$C$1362,'Pinlist(S3)'!$E$4:$E$1362,""),_xlpm.cleanRaw,SUBSTITUTE(SUBSTITUTE(_xlpm.raw,"_PIN","."),"PIN","."),_xlpm.mainPart,MID(_xlpm.cleanRaw,2,FIND(".",_xlpm.cleanRaw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" t="str">
        <f>_xlfn.LET(_xlpm.raw,_xlfn.XLOOKUP(A37,'Pinlist(S5)'!$C$4:$C$1362,'Pinlist(S5)'!$E$4:$E$1362,""),_xlpm.cleanRaw,SUBSTITUTE(SUBSTITUTE(_xlpm.raw,"_PIN","."),"PIN","."),_xlpm.mainPart,MID(_xlpm.cleanRaw,2,FIND(".",_xlpm.cleanRaw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" t="str">
        <f>""</f>
        <v/>
      </c>
      <c r="J37" t="str">
        <f t="shared" si="0"/>
        <v>A53;VCCGT;;30.105;0.324999999999999;;;;</v>
      </c>
    </row>
    <row r="38" spans="1:10">
      <c r="A38" t="s">
        <v>1330</v>
      </c>
      <c r="B38" t="str">
        <f>_xlfn.XLOOKUP(A38,'Pinlist(S1)'!$Q$4:$Q$1362,'Pinlist(S1)'!$R$4:$R$1362,"")</f>
        <v>PECI</v>
      </c>
      <c r="C38" t="str" cm="1">
        <f t="array" ref="C38">_xlfn.TEXTJOIN(",",TRUE,_xlfn.UNIQUE(TRANSPOSE(_xlfn.MAP(_xlfn.XLOOKUP(A38,'Pinlist(S1)'!$C$4:$C$1362,'Pinlist(S1)'!$F$4:$K$1362,""),_xlfn.LAMBDA(_xlpm.x,IF(_xlpm.x&lt;&gt;"",TRIM(CLEAN(LEFT(_xlpm.x,FIND(".",_xlpm.x &amp; ".")-1))),""))))))</f>
        <v>RA148,RA147</v>
      </c>
      <c r="D38">
        <v>30.780999999999999</v>
      </c>
      <c r="E38">
        <v>0</v>
      </c>
      <c r="F38" t="str">
        <f>_xlfn.LET(_xlpm.raw,_xlfn.XLOOKUP(A38,'Pinlist(S1)'!$C$4:$C$1362,'Pinlist(S1)'!$E$4:$E$1362,""),_xlpm.cleanRaw,SUBSTITUTE(SUBSTITUTE(_xlpm.raw,"_PIN","."),"PIN","."),_xlpm.mainPart,MID(_xlpm.cleanRaw,2,FIND(".",_xlpm.cleanRaw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504108</v>
      </c>
      <c r="G38" t="str">
        <f>_xlfn.LET(_xlpm.raw,_xlfn.XLOOKUP(A38,'Pinlist(S3)'!$C$4:$C$1362,'Pinlist(S3)'!$E$4:$E$1362,""),_xlpm.cleanRaw,SUBSTITUTE(SUBSTITUTE(_xlpm.raw,"_PIN","."),"PIN","."),_xlpm.mainPart,MID(_xlpm.cleanRaw,2,FIND(".",_xlpm.cleanRaw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809108</v>
      </c>
      <c r="H38" t="str">
        <f>_xlfn.LET(_xlpm.raw,_xlfn.XLOOKUP(A38,'Pinlist(S5)'!$C$4:$C$1362,'Pinlist(S5)'!$E$4:$E$1362,""),_xlpm.cleanRaw,SUBSTITUTE(SUBSTITUTE(_xlpm.raw,"_PIN","."),"PIN","."),_xlpm.mainPart,MID(_xlpm.cleanRaw,2,FIND(".",_xlpm.cleanRaw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603108</v>
      </c>
      <c r="I38" t="str">
        <f>""</f>
        <v/>
      </c>
      <c r="J38" t="str">
        <f t="shared" si="0"/>
        <v>A54;PECI;RA148,RA147;30.781;0;504108;809108;603108;</v>
      </c>
    </row>
    <row r="39" spans="1:10">
      <c r="A39" t="s">
        <v>1212</v>
      </c>
      <c r="B39" t="str">
        <f>_xlfn.XLOOKUP(A39,'Pinlist(S1)'!$Q$4:$Q$1362,'Pinlist(S1)'!$R$4:$R$1362,"")</f>
        <v>PCH_JTAG_TDO</v>
      </c>
      <c r="C39" t="str" cm="1">
        <f t="array" ref="C39">_xlfn.TEXTJOIN(",",TRUE,_xlfn.UNIQUE(TRANSPOSE(_xlfn.MAP(_xlfn.XLOOKUP(A39,'Pinlist(S1)'!$C$4:$C$1362,'Pinlist(S1)'!$F$4:$K$1362,""),_xlfn.LAMBDA(_xlpm.x,IF(_xlpm.x&lt;&gt;"",TRIM(CLEAN(LEFT(_xlpm.x,FIND(".",_xlpm.x &amp; ".")-1))),""))))))</f>
        <v/>
      </c>
      <c r="D39">
        <v>31.908000000000001</v>
      </c>
      <c r="E39">
        <v>0</v>
      </c>
      <c r="F39" t="str">
        <f>_xlfn.LET(_xlpm.raw,_xlfn.XLOOKUP(A39,'Pinlist(S1)'!$C$4:$C$1362,'Pinlist(S1)'!$E$4:$E$1362,""),_xlpm.cleanRaw,SUBSTITUTE(SUBSTITUTE(_xlpm.raw,"_PIN","."),"PIN","."),_xlpm.mainPart,MID(_xlpm.cleanRaw,2,FIND(".",_xlpm.cleanRaw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505056</v>
      </c>
      <c r="G39" t="str">
        <f>_xlfn.LET(_xlpm.raw,_xlfn.XLOOKUP(A39,'Pinlist(S3)'!$C$4:$C$1362,'Pinlist(S3)'!$E$4:$E$1362,""),_xlpm.cleanRaw,SUBSTITUTE(SUBSTITUTE(_xlpm.raw,"_PIN","."),"PIN","."),_xlpm.mainPart,MID(_xlpm.cleanRaw,2,FIND(".",_xlpm.cleanRaw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809114</v>
      </c>
      <c r="H39" t="str">
        <f>_xlfn.LET(_xlpm.raw,_xlfn.XLOOKUP(A39,'Pinlist(S5)'!$C$4:$C$1362,'Pinlist(S5)'!$E$4:$E$1362,""),_xlpm.cleanRaw,SUBSTITUTE(SUBSTITUTE(_xlpm.raw,"_PIN","."),"PIN","."),_xlpm.mainPart,MID(_xlpm.cleanRaw,2,FIND(".",_xlpm.cleanRaw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603115</v>
      </c>
      <c r="I39" t="str">
        <f>""</f>
        <v/>
      </c>
      <c r="J39" t="str">
        <f t="shared" si="0"/>
        <v>A56;PCH_JTAG_TDO;;31.908;0;505056;809114;603115;</v>
      </c>
    </row>
    <row r="40" spans="1:10">
      <c r="A40" t="s">
        <v>1648</v>
      </c>
      <c r="B40" t="str">
        <f>_xlfn.XLOOKUP(A40,'Pinlist(S1)'!$Q$4:$Q$1362,'Pinlist(S1)'!$R$4:$R$1362,"")</f>
        <v>VCCGT</v>
      </c>
      <c r="C40" t="str" cm="1">
        <f t="array" ref="C40">_xlfn.TEXTJOIN(",",TRUE,_xlfn.UNIQUE(TRANSPOSE(_xlfn.MAP(_xlfn.XLOOKUP(A40,'Pinlist(S1)'!$C$4:$C$1362,'Pinlist(S1)'!$F$4:$K$1362,""),_xlfn.LAMBDA(_xlpm.x,IF(_xlpm.x&lt;&gt;"",TRIM(CLEAN(LEFT(_xlpm.x,FIND(".",_xlpm.x &amp; ".")-1))),""))))))</f>
        <v/>
      </c>
      <c r="D40">
        <v>32.584000000000003</v>
      </c>
      <c r="E40">
        <v>0.32499999999999901</v>
      </c>
      <c r="F40" t="str">
        <f>_xlfn.LET(_xlpm.raw,_xlfn.XLOOKUP(A40,'Pinlist(S1)'!$C$4:$C$1362,'Pinlist(S1)'!$E$4:$E$1362,""),_xlpm.cleanRaw,SUBSTITUTE(SUBSTITUTE(_xlpm.raw,"_PIN","."),"PIN","."),_xlpm.mainPart,MID(_xlpm.cleanRaw,2,FIND(".",_xlpm.cleanRaw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" t="str">
        <f>_xlfn.LET(_xlpm.raw,_xlfn.XLOOKUP(A40,'Pinlist(S3)'!$C$4:$C$1362,'Pinlist(S3)'!$E$4:$E$1362,""),_xlpm.cleanRaw,SUBSTITUTE(SUBSTITUTE(_xlpm.raw,"_PIN","."),"PIN","."),_xlpm.mainPart,MID(_xlpm.cleanRaw,2,FIND(".",_xlpm.cleanRaw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" t="str">
        <f>_xlfn.LET(_xlpm.raw,_xlfn.XLOOKUP(A40,'Pinlist(S5)'!$C$4:$C$1362,'Pinlist(S5)'!$E$4:$E$1362,""),_xlpm.cleanRaw,SUBSTITUTE(SUBSTITUTE(_xlpm.raw,"_PIN","."),"PIN","."),_xlpm.mainPart,MID(_xlpm.cleanRaw,2,FIND(".",_xlpm.cleanRaw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" t="str">
        <f>""</f>
        <v/>
      </c>
      <c r="J40" t="str">
        <f t="shared" si="0"/>
        <v>A58;VCCGT;;32.584;0.324999999999999;;;;</v>
      </c>
    </row>
    <row r="41" spans="1:10">
      <c r="A41" t="s">
        <v>1124</v>
      </c>
      <c r="B41" t="str">
        <f>_xlfn.XLOOKUP(A41,'Pinlist(S1)'!$Q$4:$Q$1362,'Pinlist(S1)'!$R$4:$R$1362,"")</f>
        <v>JTAGX</v>
      </c>
      <c r="C41" t="str" cm="1">
        <f t="array" ref="C41">_xlfn.TEXTJOIN(",",TRUE,_xlfn.UNIQUE(TRANSPOSE(_xlfn.MAP(_xlfn.XLOOKUP(A41,'Pinlist(S1)'!$C$4:$C$1362,'Pinlist(S1)'!$F$4:$K$1362,""),_xlfn.LAMBDA(_xlpm.x,IF(_xlpm.x&lt;&gt;"",TRIM(CLEAN(LEFT(_xlpm.x,FIND(".",_xlpm.x &amp; ".")-1))),""))))))</f>
        <v/>
      </c>
      <c r="D41">
        <v>33.259</v>
      </c>
      <c r="E41">
        <v>0</v>
      </c>
      <c r="F41" t="str">
        <f>_xlfn.LET(_xlpm.raw,_xlfn.XLOOKUP(A41,'Pinlist(S1)'!$C$4:$C$1362,'Pinlist(S1)'!$E$4:$E$1362,""),_xlpm.cleanRaw,SUBSTITUTE(SUBSTITUTE(_xlpm.raw,"_PIN","."),"PIN","."),_xlpm.mainPart,MID(_xlpm.cleanRaw,2,FIND(".",_xlpm.cleanRaw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504115</v>
      </c>
      <c r="G41" t="str">
        <f>_xlfn.LET(_xlpm.raw,_xlfn.XLOOKUP(A41,'Pinlist(S3)'!$C$4:$C$1362,'Pinlist(S3)'!$E$4:$E$1362,""),_xlpm.cleanRaw,SUBSTITUTE(SUBSTITUTE(_xlpm.raw,"_PIN","."),"PIN","."),_xlpm.mainPart,MID(_xlpm.cleanRaw,2,FIND(".",_xlpm.cleanRaw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809113</v>
      </c>
      <c r="H41" t="str">
        <f>_xlfn.LET(_xlpm.raw,_xlfn.XLOOKUP(A41,'Pinlist(S5)'!$C$4:$C$1362,'Pinlist(S5)'!$E$4:$E$1362,""),_xlpm.cleanRaw,SUBSTITUTE(SUBSTITUTE(_xlpm.raw,"_PIN","."),"PIN","."),_xlpm.mainPart,MID(_xlpm.cleanRaw,2,FIND(".",_xlpm.cleanRaw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603113</v>
      </c>
      <c r="I41" t="str">
        <f>""</f>
        <v/>
      </c>
      <c r="J41" t="str">
        <f t="shared" si="0"/>
        <v>A59;JTAGX;;33.259;0;504115;809113;603113;</v>
      </c>
    </row>
    <row r="42" spans="1:10">
      <c r="A42" t="s">
        <v>77</v>
      </c>
      <c r="B42" t="str">
        <f>_xlfn.XLOOKUP(A42,'Pinlist(S1)'!$Q$4:$Q$1362,'Pinlist(S1)'!$R$4:$R$1362,"")</f>
        <v>CPU_JTAG_TDO</v>
      </c>
      <c r="C42" t="str" cm="1">
        <f t="array" ref="C42">_xlfn.TEXTJOIN(",",TRUE,_xlfn.UNIQUE(TRANSPOSE(_xlfn.MAP(_xlfn.XLOOKUP(A42,'Pinlist(S1)'!$C$4:$C$1362,'Pinlist(S1)'!$F$4:$K$1362,""),_xlfn.LAMBDA(_xlpm.x,IF(_xlpm.x&lt;&gt;"",TRIM(CLEAN(LEFT(_xlpm.x,FIND(".",_xlpm.x &amp; ".")-1))),""))))))</f>
        <v>RA321,RA320</v>
      </c>
      <c r="D42">
        <v>34.385999999999903</v>
      </c>
      <c r="E42">
        <v>0</v>
      </c>
      <c r="F42" t="str">
        <f>_xlfn.LET(_xlpm.raw,_xlfn.XLOOKUP(A42,'Pinlist(S1)'!$C$4:$C$1362,'Pinlist(S1)'!$E$4:$E$1362,""),_xlpm.cleanRaw,SUBSTITUTE(SUBSTITUTE(_xlpm.raw,"_PIN","."),"PIN","."),_xlpm.mainPart,MID(_xlpm.cleanRaw,2,FIND(".",_xlpm.cleanRaw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605042</v>
      </c>
      <c r="G42" t="str">
        <f>_xlfn.LET(_xlpm.raw,_xlfn.XLOOKUP(A42,'Pinlist(S3)'!$C$4:$C$1362,'Pinlist(S3)'!$E$4:$E$1362,""),_xlpm.cleanRaw,SUBSTITUTE(SUBSTITUTE(_xlpm.raw,"_PIN","."),"PIN","."),_xlpm.mainPart,MID(_xlpm.cleanRaw,2,FIND(".",_xlpm.cleanRaw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502044</v>
      </c>
      <c r="H42" t="str">
        <f>_xlfn.LET(_xlpm.raw,_xlfn.XLOOKUP(A42,'Pinlist(S5)'!$C$4:$C$1362,'Pinlist(S5)'!$E$4:$E$1362,""),_xlpm.cleanRaw,SUBSTITUTE(SUBSTITUTE(_xlpm.raw,"_PIN","."),"PIN","."),_xlpm.mainPart,MID(_xlpm.cleanRaw,2,FIND(".",_xlpm.cleanRaw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709008</v>
      </c>
      <c r="I42" t="str">
        <f>""</f>
        <v/>
      </c>
      <c r="J42" t="str">
        <f t="shared" si="0"/>
        <v>A61;CPU_JTAG_TDO;RA321,RA320;34.3859999999999;0;605042;502044;709008;</v>
      </c>
    </row>
    <row r="43" spans="1:10">
      <c r="A43" t="s">
        <v>1649</v>
      </c>
      <c r="B43" t="str">
        <f>_xlfn.XLOOKUP(A43,'Pinlist(S1)'!$Q$4:$Q$1362,'Pinlist(S1)'!$R$4:$R$1362,"")</f>
        <v>VCCGT</v>
      </c>
      <c r="C43" t="str" cm="1">
        <f t="array" ref="C43">_xlfn.TEXTJOIN(",",TRUE,_xlfn.UNIQUE(TRANSPOSE(_xlfn.MAP(_xlfn.XLOOKUP(A43,'Pinlist(S1)'!$C$4:$C$1362,'Pinlist(S1)'!$F$4:$K$1362,""),_xlfn.LAMBDA(_xlpm.x,IF(_xlpm.x&lt;&gt;"",TRIM(CLEAN(LEFT(_xlpm.x,FIND(".",_xlpm.x &amp; ".")-1))),""))))))</f>
        <v/>
      </c>
      <c r="D43">
        <v>35.061999999999998</v>
      </c>
      <c r="E43">
        <v>0.32499999999999901</v>
      </c>
      <c r="F43" t="str">
        <f>_xlfn.LET(_xlpm.raw,_xlfn.XLOOKUP(A43,'Pinlist(S1)'!$C$4:$C$1362,'Pinlist(S1)'!$E$4:$E$1362,""),_xlpm.cleanRaw,SUBSTITUTE(SUBSTITUTE(_xlpm.raw,"_PIN","."),"PIN","."),_xlpm.mainPart,MID(_xlpm.cleanRaw,2,FIND(".",_xlpm.cleanRaw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" t="str">
        <f>_xlfn.LET(_xlpm.raw,_xlfn.XLOOKUP(A43,'Pinlist(S3)'!$C$4:$C$1362,'Pinlist(S3)'!$E$4:$E$1362,""),_xlpm.cleanRaw,SUBSTITUTE(SUBSTITUTE(_xlpm.raw,"_PIN","."),"PIN","."),_xlpm.mainPart,MID(_xlpm.cleanRaw,2,FIND(".",_xlpm.cleanRaw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" t="str">
        <f>_xlfn.LET(_xlpm.raw,_xlfn.XLOOKUP(A43,'Pinlist(S5)'!$C$4:$C$1362,'Pinlist(S5)'!$E$4:$E$1362,""),_xlpm.cleanRaw,SUBSTITUTE(SUBSTITUTE(_xlpm.raw,"_PIN","."),"PIN","."),_xlpm.mainPart,MID(_xlpm.cleanRaw,2,FIND(".",_xlpm.cleanRaw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" t="str">
        <f>""</f>
        <v/>
      </c>
      <c r="J43" t="str">
        <f t="shared" si="0"/>
        <v>A62;VCCGT;;35.062;0.324999999999999;;;;</v>
      </c>
    </row>
    <row r="44" spans="1:10">
      <c r="A44" t="s">
        <v>1878</v>
      </c>
      <c r="B44" t="str">
        <f>_xlfn.XLOOKUP(A44,'Pinlist(S1)'!$Q$4:$Q$1362,'Pinlist(S1)'!$R$4:$R$1362,"")</f>
        <v>VIDSCK</v>
      </c>
      <c r="C44" t="str" cm="1">
        <f t="array" ref="C44">_xlfn.TEXTJOIN(",",TRUE,_xlfn.UNIQUE(TRANSPOSE(_xlfn.MAP(_xlfn.XLOOKUP(A44,'Pinlist(S1)'!$C$4:$C$1362,'Pinlist(S1)'!$F$4:$K$1362,""),_xlfn.LAMBDA(_xlpm.x,IF(_xlpm.x&lt;&gt;"",TRIM(CLEAN(LEFT(_xlpm.x,FIND(".",_xlpm.x &amp; ".")-1))),""))))))</f>
        <v/>
      </c>
      <c r="D44">
        <v>35.737000000000002</v>
      </c>
      <c r="E44">
        <v>0</v>
      </c>
      <c r="F44" t="str">
        <f>_xlfn.LET(_xlpm.raw,_xlfn.XLOOKUP(A44,'Pinlist(S1)'!$C$4:$C$1362,'Pinlist(S1)'!$E$4:$E$1362,""),_xlpm.cleanRaw,SUBSTITUTE(SUBSTITUTE(_xlpm.raw,"_PIN","."),"PIN","."),_xlpm.mainPart,MID(_xlpm.cleanRaw,2,FIND(".",_xlpm.cleanRaw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604030</v>
      </c>
      <c r="G44" t="str">
        <f>_xlfn.LET(_xlpm.raw,_xlfn.XLOOKUP(A44,'Pinlist(S3)'!$C$4:$C$1362,'Pinlist(S3)'!$E$4:$E$1362,""),_xlpm.cleanRaw,SUBSTITUTE(SUBSTITUTE(_xlpm.raw,"_PIN","."),"PIN","."),_xlpm.mainPart,MID(_xlpm.cleanRaw,2,FIND(".",_xlpm.cleanRaw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503037</v>
      </c>
      <c r="H44" t="str">
        <f>_xlfn.LET(_xlpm.raw,_xlfn.XLOOKUP(A44,'Pinlist(S5)'!$C$4:$C$1362,'Pinlist(S5)'!$E$4:$E$1362,""),_xlpm.cleanRaw,SUBSTITUTE(SUBSTITUTE(_xlpm.raw,"_PIN","."),"PIN","."),_xlpm.mainPart,MID(_xlpm.cleanRaw,2,FIND(".",_xlpm.cleanRaw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709015</v>
      </c>
      <c r="I44" t="str">
        <f>""</f>
        <v/>
      </c>
      <c r="J44" t="str">
        <f t="shared" si="0"/>
        <v>A63;VIDSCK;;35.737;0;604030;503037;709015;</v>
      </c>
    </row>
    <row r="45" spans="1:10">
      <c r="A45" t="s">
        <v>1364</v>
      </c>
      <c r="B45" t="str">
        <f>_xlfn.XLOOKUP(A45,'Pinlist(S1)'!$Q$4:$Q$1362,'Pinlist(S1)'!$R$4:$R$1362,"")</f>
        <v>SKTOCC_N</v>
      </c>
      <c r="C45" t="str" cm="1">
        <f t="array" ref="C45">_xlfn.TEXTJOIN(",",TRUE,_xlfn.UNIQUE(TRANSPOSE(_xlfn.MAP(_xlfn.XLOOKUP(A45,'Pinlist(S1)'!$C$4:$C$1362,'Pinlist(S1)'!$F$4:$K$1362,""),_xlfn.LAMBDA(_xlpm.x,IF(_xlpm.x&lt;&gt;"",TRIM(CLEAN(LEFT(_xlpm.x,FIND(".",_xlpm.x &amp; ".")-1))),""))))))</f>
        <v>RA178,RA177</v>
      </c>
      <c r="D45">
        <v>36.863999999999997</v>
      </c>
      <c r="E45">
        <v>0</v>
      </c>
      <c r="F45" t="str">
        <f>_xlfn.LET(_xlpm.raw,_xlfn.XLOOKUP(A45,'Pinlist(S1)'!$C$4:$C$1362,'Pinlist(S1)'!$E$4:$E$1362,""),_xlpm.cleanRaw,SUBSTITUTE(SUBSTITUTE(_xlpm.raw,"_PIN","."),"PIN","."),_xlpm.mainPart,MID(_xlpm.cleanRaw,2,FIND(".",_xlpm.cleanRaw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45" t="str">
        <f>_xlfn.LET(_xlpm.raw,_xlfn.XLOOKUP(A45,'Pinlist(S3)'!$C$4:$C$1362,'Pinlist(S3)'!$E$4:$E$1362,""),_xlpm.cleanRaw,SUBSTITUTE(SUBSTITUTE(_xlpm.raw,"_PIN","."),"PIN","."),_xlpm.mainPart,MID(_xlpm.cleanRaw,2,FIND(".",_xlpm.cleanRaw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503027</v>
      </c>
      <c r="H45" t="str">
        <f>_xlfn.LET(_xlpm.raw,_xlfn.XLOOKUP(A45,'Pinlist(S5)'!$C$4:$C$1362,'Pinlist(S5)'!$E$4:$E$1362,""),_xlpm.cleanRaw,SUBSTITUTE(SUBSTITUTE(_xlpm.raw,"_PIN","."),"PIN","."),_xlpm.mainPart,MID(_xlpm.cleanRaw,2,FIND(".",_xlpm.cleanRaw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I45" t="str">
        <f>""</f>
        <v/>
      </c>
      <c r="J45" t="str">
        <f t="shared" si="0"/>
        <v>A65;SKTOCC_N;RA178,RA177;36.864;0;604040;503027;709027;</v>
      </c>
    </row>
    <row r="46" spans="1:10">
      <c r="A46" t="s">
        <v>1650</v>
      </c>
      <c r="B46" t="str">
        <f>_xlfn.XLOOKUP(A46,'Pinlist(S1)'!$Q$4:$Q$1362,'Pinlist(S1)'!$R$4:$R$1362,"")</f>
        <v>VCCGT</v>
      </c>
      <c r="C46" t="str" cm="1">
        <f t="array" ref="C46">_xlfn.TEXTJOIN(",",TRUE,_xlfn.UNIQUE(TRANSPOSE(_xlfn.MAP(_xlfn.XLOOKUP(A46,'Pinlist(S1)'!$C$4:$C$1362,'Pinlist(S1)'!$F$4:$K$1362,""),_xlfn.LAMBDA(_xlpm.x,IF(_xlpm.x&lt;&gt;"",TRIM(CLEAN(LEFT(_xlpm.x,FIND(".",_xlpm.x &amp; ".")-1))),""))))))</f>
        <v/>
      </c>
      <c r="D46">
        <v>37.54</v>
      </c>
      <c r="E46">
        <v>0.32499999999999901</v>
      </c>
      <c r="F46" t="str">
        <f>_xlfn.LET(_xlpm.raw,_xlfn.XLOOKUP(A46,'Pinlist(S1)'!$C$4:$C$1362,'Pinlist(S1)'!$E$4:$E$1362,""),_xlpm.cleanRaw,SUBSTITUTE(SUBSTITUTE(_xlpm.raw,"_PIN","."),"PIN","."),_xlpm.mainPart,MID(_xlpm.cleanRaw,2,FIND(".",_xlpm.cleanRaw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" t="str">
        <f>_xlfn.LET(_xlpm.raw,_xlfn.XLOOKUP(A46,'Pinlist(S3)'!$C$4:$C$1362,'Pinlist(S3)'!$E$4:$E$1362,""),_xlpm.cleanRaw,SUBSTITUTE(SUBSTITUTE(_xlpm.raw,"_PIN","."),"PIN","."),_xlpm.mainPart,MID(_xlpm.cleanRaw,2,FIND(".",_xlpm.cleanRaw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" t="str">
        <f>_xlfn.LET(_xlpm.raw,_xlfn.XLOOKUP(A46,'Pinlist(S5)'!$C$4:$C$1362,'Pinlist(S5)'!$E$4:$E$1362,""),_xlpm.cleanRaw,SUBSTITUTE(SUBSTITUTE(_xlpm.raw,"_PIN","."),"PIN","."),_xlpm.mainPart,MID(_xlpm.cleanRaw,2,FIND(".",_xlpm.cleanRaw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" t="str">
        <f>""</f>
        <v/>
      </c>
      <c r="J46" t="str">
        <f t="shared" si="0"/>
        <v>A66;VCCGT;;37.54;0.324999999999999;;;;</v>
      </c>
    </row>
    <row r="47" spans="1:10">
      <c r="A47" t="s">
        <v>1885</v>
      </c>
      <c r="B47" t="str">
        <f>_xlfn.XLOOKUP(A47,'Pinlist(S1)'!$Q$4:$Q$1362,'Pinlist(S1)'!$R$4:$R$1362,"")</f>
        <v>VSS</v>
      </c>
      <c r="C47" t="str" cm="1">
        <f t="array" ref="C47">_xlfn.TEXTJOIN(",",TRUE,_xlfn.UNIQUE(TRANSPOSE(_xlfn.MAP(_xlfn.XLOOKUP(A47,'Pinlist(S1)'!$C$4:$C$1362,'Pinlist(S1)'!$F$4:$K$1362,""),_xlfn.LAMBDA(_xlpm.x,IF(_xlpm.x&lt;&gt;"",TRIM(CLEAN(LEFT(_xlpm.x,FIND(".",_xlpm.x &amp; ".")-1))),""))))))</f>
        <v/>
      </c>
      <c r="D47">
        <v>38.215000000000003</v>
      </c>
      <c r="E47">
        <v>0</v>
      </c>
      <c r="F47" t="str">
        <f>_xlfn.LET(_xlpm.raw,_xlfn.XLOOKUP(A47,'Pinlist(S1)'!$C$4:$C$1362,'Pinlist(S1)'!$E$4:$E$1362,""),_xlpm.cleanRaw,SUBSTITUTE(SUBSTITUTE(_xlpm.raw,"_PIN","."),"PIN","."),_xlpm.mainPart,MID(_xlpm.cleanRaw,2,FIND(".",_xlpm.cleanRaw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" t="str">
        <f>_xlfn.LET(_xlpm.raw,_xlfn.XLOOKUP(A47,'Pinlist(S3)'!$C$4:$C$1362,'Pinlist(S3)'!$E$4:$E$1362,""),_xlpm.cleanRaw,SUBSTITUTE(SUBSTITUTE(_xlpm.raw,"_PIN","."),"PIN","."),_xlpm.mainPart,MID(_xlpm.cleanRaw,2,FIND(".",_xlpm.cleanRaw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" t="str">
        <f>_xlfn.LET(_xlpm.raw,_xlfn.XLOOKUP(A47,'Pinlist(S5)'!$C$4:$C$1362,'Pinlist(S5)'!$E$4:$E$1362,""),_xlpm.cleanRaw,SUBSTITUTE(SUBSTITUTE(_xlpm.raw,"_PIN","."),"PIN","."),_xlpm.mainPart,MID(_xlpm.cleanRaw,2,FIND(".",_xlpm.cleanRaw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" t="str">
        <f>""</f>
        <v/>
      </c>
      <c r="J47" t="str">
        <f t="shared" si="0"/>
        <v>A67;VSS;;38.215;0;;;;</v>
      </c>
    </row>
    <row r="48" spans="1:10">
      <c r="A48" t="s">
        <v>88</v>
      </c>
      <c r="B48" t="str">
        <f>_xlfn.XLOOKUP(A48,'Pinlist(S1)'!$Q$4:$Q$1362,'Pinlist(S1)'!$R$4:$R$1362,"")</f>
        <v>CPUPWRGD</v>
      </c>
      <c r="C48" t="str" cm="1">
        <f t="array" ref="C48">_xlfn.TEXTJOIN(",",TRUE,_xlfn.UNIQUE(TRANSPOSE(_xlfn.MAP(_xlfn.XLOOKUP(A48,'Pinlist(S1)'!$C$4:$C$1362,'Pinlist(S1)'!$F$4:$K$1362,""),_xlfn.LAMBDA(_xlpm.x,IF(_xlpm.x&lt;&gt;"",TRIM(CLEAN(LEFT(_xlpm.x,FIND(".",_xlpm.x &amp; ".")-1))),""))))))</f>
        <v/>
      </c>
      <c r="D48">
        <v>38.866</v>
      </c>
      <c r="E48">
        <v>0</v>
      </c>
      <c r="F48" t="str">
        <f>_xlfn.LET(_xlpm.raw,_xlfn.XLOOKUP(A48,'Pinlist(S1)'!$C$4:$C$1362,'Pinlist(S1)'!$E$4:$E$1362,""),_xlpm.cleanRaw,SUBSTITUTE(SUBSTITUTE(_xlpm.raw,"_PIN","."),"PIN","."),_xlpm.mainPart,MID(_xlpm.cleanRaw,2,FIND(".",_xlpm.cleanRaw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508052</v>
      </c>
      <c r="G48" t="str">
        <f>_xlfn.LET(_xlpm.raw,_xlfn.XLOOKUP(A48,'Pinlist(S3)'!$C$4:$C$1362,'Pinlist(S3)'!$E$4:$E$1362,""),_xlpm.cleanRaw,SUBSTITUTE(SUBSTITUTE(_xlpm.raw,"_PIN","."),"PIN","."),_xlpm.mainPart,MID(_xlpm.cleanRaw,2,FIND(".",_xlpm.cleanRaw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48" t="str">
        <f>_xlfn.LET(_xlpm.raw,_xlfn.XLOOKUP(A48,'Pinlist(S5)'!$C$4:$C$1362,'Pinlist(S5)'!$E$4:$E$1362,""),_xlpm.cleanRaw,SUBSTITUTE(SUBSTITUTE(_xlpm.raw,"_PIN","."),"PIN","."),_xlpm.mainPart,MID(_xlpm.cleanRaw,2,FIND(".",_xlpm.cleanRaw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703030</v>
      </c>
      <c r="I48" t="str">
        <f>""</f>
        <v/>
      </c>
      <c r="J48" t="str">
        <f t="shared" si="0"/>
        <v>A68;CPUPWRGD;;38.866;0;508052;804038;703030;</v>
      </c>
    </row>
    <row r="49" spans="1:10">
      <c r="A49" t="s">
        <v>64</v>
      </c>
      <c r="B49" t="str">
        <f>_xlfn.XLOOKUP(A49,'Pinlist(S1)'!$Q$4:$Q$1362,'Pinlist(S1)'!$R$4:$R$1362,"")</f>
        <v>CPU_EDM[0]</v>
      </c>
      <c r="C49" t="str" cm="1">
        <f t="array" ref="C49">_xlfn.TEXTJOIN(",",TRUE,_xlfn.UNIQUE(TRANSPOSE(_xlfn.MAP(_xlfn.XLOOKUP(A49,'Pinlist(S1)'!$C$4:$C$1362,'Pinlist(S1)'!$F$4:$K$1362,""),_xlfn.LAMBDA(_xlpm.x,IF(_xlpm.x&lt;&gt;"",TRIM(CLEAN(LEFT(_xlpm.x,FIND(".",_xlpm.x &amp; ".")-1))),""))))))</f>
        <v/>
      </c>
      <c r="D49">
        <v>39.515999999999998</v>
      </c>
      <c r="E49">
        <v>0</v>
      </c>
      <c r="F49" t="str">
        <f>_xlfn.LET(_xlpm.raw,_xlfn.XLOOKUP(A49,'Pinlist(S1)'!$C$4:$C$1362,'Pinlist(S1)'!$E$4:$E$1362,""),_xlpm.cleanRaw,SUBSTITUTE(SUBSTITUTE(_xlpm.raw,"_PIN","."),"PIN","."),_xlpm.mainPart,MID(_xlpm.cleanRaw,2,FIND(".",_xlpm.cleanRaw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604028</v>
      </c>
      <c r="G49" t="str">
        <f>_xlfn.LET(_xlpm.raw,_xlfn.XLOOKUP(A49,'Pinlist(S3)'!$C$4:$C$1362,'Pinlist(S3)'!$E$4:$E$1362,""),_xlpm.cleanRaw,SUBSTITUTE(SUBSTITUTE(_xlpm.raw,"_PIN","."),"PIN","."),_xlpm.mainPart,MID(_xlpm.cleanRaw,2,FIND(".",_xlpm.cleanRaw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503035</v>
      </c>
      <c r="H49" t="str">
        <f>_xlfn.LET(_xlpm.raw,_xlfn.XLOOKUP(A49,'Pinlist(S5)'!$C$4:$C$1362,'Pinlist(S5)'!$E$4:$E$1362,""),_xlpm.cleanRaw,SUBSTITUTE(SUBSTITUTE(_xlpm.raw,"_PIN","."),"PIN","."),_xlpm.mainPart,MID(_xlpm.cleanRaw,2,FIND(".",_xlpm.cleanRaw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709040</v>
      </c>
      <c r="I49" t="str">
        <f>""</f>
        <v/>
      </c>
      <c r="J49" t="str">
        <f t="shared" si="0"/>
        <v>A69;CPU_EDM[0];;39.516;0;604028;503035;709040;</v>
      </c>
    </row>
    <row r="50" spans="1:10">
      <c r="A50" t="s">
        <v>1886</v>
      </c>
      <c r="B50" t="str">
        <f>_xlfn.XLOOKUP(A50,'Pinlist(S1)'!$Q$4:$Q$1362,'Pinlist(S1)'!$R$4:$R$1362,"")</f>
        <v>VSS</v>
      </c>
      <c r="C50" t="str" cm="1">
        <f t="array" ref="C50">_xlfn.TEXTJOIN(",",TRUE,_xlfn.UNIQUE(TRANSPOSE(_xlfn.MAP(_xlfn.XLOOKUP(A50,'Pinlist(S1)'!$C$4:$C$1362,'Pinlist(S1)'!$F$4:$K$1362,""),_xlfn.LAMBDA(_xlpm.x,IF(_xlpm.x&lt;&gt;"",TRIM(CLEAN(LEFT(_xlpm.x,FIND(".",_xlpm.x &amp; ".")-1))),""))))))</f>
        <v/>
      </c>
      <c r="D50">
        <v>40.165999999999997</v>
      </c>
      <c r="E50">
        <v>0</v>
      </c>
      <c r="F50" t="str">
        <f>_xlfn.LET(_xlpm.raw,_xlfn.XLOOKUP(A50,'Pinlist(S1)'!$C$4:$C$1362,'Pinlist(S1)'!$E$4:$E$1362,""),_xlpm.cleanRaw,SUBSTITUTE(SUBSTITUTE(_xlpm.raw,"_PIN","."),"PIN","."),_xlpm.mainPart,MID(_xlpm.cleanRaw,2,FIND(".",_xlpm.cleanRaw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" t="str">
        <f>_xlfn.LET(_xlpm.raw,_xlfn.XLOOKUP(A50,'Pinlist(S3)'!$C$4:$C$1362,'Pinlist(S3)'!$E$4:$E$1362,""),_xlpm.cleanRaw,SUBSTITUTE(SUBSTITUTE(_xlpm.raw,"_PIN","."),"PIN","."),_xlpm.mainPart,MID(_xlpm.cleanRaw,2,FIND(".",_xlpm.cleanRaw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" t="str">
        <f>_xlfn.LET(_xlpm.raw,_xlfn.XLOOKUP(A50,'Pinlist(S5)'!$C$4:$C$1362,'Pinlist(S5)'!$E$4:$E$1362,""),_xlpm.cleanRaw,SUBSTITUTE(SUBSTITUTE(_xlpm.raw,"_PIN","."),"PIN","."),_xlpm.mainPart,MID(_xlpm.cleanRaw,2,FIND(".",_xlpm.cleanRaw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" t="str">
        <f>""</f>
        <v/>
      </c>
      <c r="J50" t="str">
        <f t="shared" si="0"/>
        <v>A70;VSS;;40.166;0;;;;</v>
      </c>
    </row>
    <row r="51" spans="1:10">
      <c r="A51" t="s">
        <v>1326</v>
      </c>
      <c r="B51" t="str">
        <f>_xlfn.XLOOKUP(A51,'Pinlist(S1)'!$Q$4:$Q$1362,'Pinlist(S1)'!$R$4:$R$1362,"")</f>
        <v>PCIE3_PLLOBSN</v>
      </c>
      <c r="C51" t="str" cm="1">
        <f t="array" ref="C51">_xlfn.TEXTJOIN(",",TRUE,_xlfn.UNIQUE(TRANSPOSE(_xlfn.MAP(_xlfn.XLOOKUP(A51,'Pinlist(S1)'!$C$4:$C$1362,'Pinlist(S1)'!$F$4:$K$1362,""),_xlfn.LAMBDA(_xlpm.x,IF(_xlpm.x&lt;&gt;"",TRIM(CLEAN(LEFT(_xlpm.x,FIND(".",_xlpm.x &amp; ".")-1))),""))))))</f>
        <v/>
      </c>
      <c r="D51">
        <v>0.48199999999999898</v>
      </c>
      <c r="E51">
        <v>0.48199999999999898</v>
      </c>
      <c r="F51" t="str">
        <f>_xlfn.LET(_xlpm.raw,_xlfn.XLOOKUP(A51,'Pinlist(S1)'!$C$4:$C$1362,'Pinlist(S1)'!$E$4:$E$1362,""),_xlpm.cleanRaw,SUBSTITUTE(SUBSTITUTE(_xlpm.raw,"_PIN","."),"PIN","."),_xlpm.mainPart,MID(_xlpm.cleanRaw,2,FIND(".",_xlpm.cleanRaw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" t="str">
        <f>_xlfn.LET(_xlpm.raw,_xlfn.XLOOKUP(A51,'Pinlist(S3)'!$C$4:$C$1362,'Pinlist(S3)'!$E$4:$E$1362,""),_xlpm.cleanRaw,SUBSTITUTE(SUBSTITUTE(_xlpm.raw,"_PIN","."),"PIN","."),_xlpm.mainPart,MID(_xlpm.cleanRaw,2,FIND(".",_xlpm.cleanRaw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" t="str">
        <f>_xlfn.LET(_xlpm.raw,_xlfn.XLOOKUP(A51,'Pinlist(S5)'!$C$4:$C$1362,'Pinlist(S5)'!$E$4:$E$1362,""),_xlpm.cleanRaw,SUBSTITUTE(SUBSTITUTE(_xlpm.raw,"_PIN","."),"PIN","."),_xlpm.mainPart,MID(_xlpm.cleanRaw,2,FIND(".",_xlpm.cleanRaw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" t="str">
        <f>""</f>
        <v/>
      </c>
      <c r="J51" t="str">
        <f t="shared" si="0"/>
        <v>B2;PCIE3_PLLOBSN;;0.481999999999999;0.481999999999999;;;;</v>
      </c>
    </row>
    <row r="52" spans="1:10">
      <c r="A52" t="s">
        <v>1355</v>
      </c>
      <c r="B52" t="str">
        <f>_xlfn.XLOOKUP(A52,'Pinlist(S1)'!$Q$4:$Q$1362,'Pinlist(S1)'!$R$4:$R$1362,"")</f>
        <v>SATA_PLLOBSN</v>
      </c>
      <c r="C52" t="str" cm="1">
        <f t="array" ref="C52">_xlfn.TEXTJOIN(",",TRUE,_xlfn.UNIQUE(TRANSPOSE(_xlfn.MAP(_xlfn.XLOOKUP(A52,'Pinlist(S1)'!$C$4:$C$1362,'Pinlist(S1)'!$F$4:$K$1362,""),_xlfn.LAMBDA(_xlpm.x,IF(_xlpm.x&lt;&gt;"",TRIM(CLEAN(LEFT(_xlpm.x,FIND(".",_xlpm.x &amp; ".")-1))),""))))))</f>
        <v/>
      </c>
      <c r="D52">
        <v>1.117</v>
      </c>
      <c r="E52">
        <v>0.63499999999999801</v>
      </c>
      <c r="F52" t="str">
        <f>_xlfn.LET(_xlpm.raw,_xlfn.XLOOKUP(A52,'Pinlist(S1)'!$C$4:$C$1362,'Pinlist(S1)'!$E$4:$E$1362,""),_xlpm.cleanRaw,SUBSTITUTE(SUBSTITUTE(_xlpm.raw,"_PIN","."),"PIN","."),_xlpm.mainPart,MID(_xlpm.cleanRaw,2,FIND(".",_xlpm.cleanRaw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" t="str">
        <f>_xlfn.LET(_xlpm.raw,_xlfn.XLOOKUP(A52,'Pinlist(S3)'!$C$4:$C$1362,'Pinlist(S3)'!$E$4:$E$1362,""),_xlpm.cleanRaw,SUBSTITUTE(SUBSTITUTE(_xlpm.raw,"_PIN","."),"PIN","."),_xlpm.mainPart,MID(_xlpm.cleanRaw,2,FIND(".",_xlpm.cleanRaw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" t="str">
        <f>_xlfn.LET(_xlpm.raw,_xlfn.XLOOKUP(A52,'Pinlist(S5)'!$C$4:$C$1362,'Pinlist(S5)'!$E$4:$E$1362,""),_xlpm.cleanRaw,SUBSTITUTE(SUBSTITUTE(_xlpm.raw,"_PIN","."),"PIN","."),_xlpm.mainPart,MID(_xlpm.cleanRaw,2,FIND(".",_xlpm.cleanRaw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" t="str">
        <f>""</f>
        <v/>
      </c>
      <c r="J52" t="str">
        <f t="shared" si="0"/>
        <v>B3;SATA_PLLOBSN;;1.117;0.634999999999998;;;;</v>
      </c>
    </row>
    <row r="53" spans="1:10">
      <c r="A53" t="s">
        <v>1426</v>
      </c>
      <c r="B53" t="str">
        <f>_xlfn.XLOOKUP(A53,'Pinlist(S1)'!$Q$4:$Q$1362,'Pinlist(S1)'!$R$4:$R$1362,"")</f>
        <v>SYS_RESETB</v>
      </c>
      <c r="C53" t="str" cm="1">
        <f t="array" ref="C53">_xlfn.TEXTJOIN(",",TRUE,_xlfn.UNIQUE(TRANSPOSE(_xlfn.MAP(_xlfn.XLOOKUP(A53,'Pinlist(S1)'!$C$4:$C$1362,'Pinlist(S1)'!$F$4:$K$1362,""),_xlfn.LAMBDA(_xlpm.x,IF(_xlpm.x&lt;&gt;"",TRIM(CLEAN(LEFT(_xlpm.x,FIND(".",_xlpm.x &amp; ".")-1))),""))))))</f>
        <v>RA308,RA307</v>
      </c>
      <c r="D53">
        <v>2.2650000000000001</v>
      </c>
      <c r="E53">
        <v>0.64999999999999802</v>
      </c>
      <c r="F53" t="str">
        <f>_xlfn.LET(_xlpm.raw,_xlfn.XLOOKUP(A53,'Pinlist(S1)'!$C$4:$C$1362,'Pinlist(S1)'!$E$4:$E$1362,""),_xlpm.cleanRaw,SUBSTITUTE(SUBSTITUTE(_xlpm.raw,"_PIN","."),"PIN","."),_xlpm.mainPart,MID(_xlpm.cleanRaw,2,FIND(".",_xlpm.cleanRaw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505044</v>
      </c>
      <c r="G53" t="str">
        <f>_xlfn.LET(_xlpm.raw,_xlfn.XLOOKUP(A53,'Pinlist(S3)'!$C$4:$C$1362,'Pinlist(S3)'!$E$4:$E$1362,""),_xlpm.cleanRaw,SUBSTITUTE(SUBSTITUTE(_xlpm.raw,"_PIN","."),"PIN","."),_xlpm.mainPart,MID(_xlpm.cleanRaw,2,FIND(".",_xlpm.cleanRaw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809107</v>
      </c>
      <c r="H53" t="str">
        <f>_xlfn.LET(_xlpm.raw,_xlfn.XLOOKUP(A53,'Pinlist(S5)'!$C$4:$C$1362,'Pinlist(S5)'!$E$4:$E$1362,""),_xlpm.cleanRaw,SUBSTITUTE(SUBSTITUTE(_xlpm.raw,"_PIN","."),"PIN","."),_xlpm.mainPart,MID(_xlpm.cleanRaw,2,FIND(".",_xlpm.cleanRaw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603089</v>
      </c>
      <c r="I53" t="str">
        <f>""</f>
        <v/>
      </c>
      <c r="J53" t="str">
        <f t="shared" si="0"/>
        <v>B5;SYS_RESETB;RA308,RA307;2.265;0.649999999999998;505044;809107;603089;</v>
      </c>
    </row>
    <row r="54" spans="1:10">
      <c r="A54" t="s">
        <v>1424</v>
      </c>
      <c r="B54" t="str">
        <f>_xlfn.XLOOKUP(A54,'Pinlist(S1)'!$Q$4:$Q$1362,'Pinlist(S1)'!$R$4:$R$1362,"")</f>
        <v>SYS_PWROK</v>
      </c>
      <c r="C54" t="str" cm="1">
        <f t="array" ref="C54">_xlfn.TEXTJOIN(",",TRUE,_xlfn.UNIQUE(TRANSPOSE(_xlfn.MAP(_xlfn.XLOOKUP(A54,'Pinlist(S1)'!$C$4:$C$1362,'Pinlist(S1)'!$F$4:$K$1362,""),_xlfn.LAMBDA(_xlpm.x,IF(_xlpm.x&lt;&gt;"",TRIM(CLEAN(LEFT(_xlpm.x,FIND(".",_xlpm.x &amp; ".")-1))),""))))))</f>
        <v/>
      </c>
      <c r="D54">
        <v>2.847</v>
      </c>
      <c r="E54">
        <v>0.97500000000000098</v>
      </c>
      <c r="F54" t="str">
        <f>_xlfn.LET(_xlpm.raw,_xlfn.XLOOKUP(A54,'Pinlist(S1)'!$C$4:$C$1362,'Pinlist(S1)'!$E$4:$E$1362,""),_xlpm.cleanRaw,SUBSTITUTE(SUBSTITUTE(_xlpm.raw,"_PIN","."),"PIN","."),_xlpm.mainPart,MID(_xlpm.cleanRaw,2,FIND(".",_xlpm.cleanRaw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504089</v>
      </c>
      <c r="G54" t="str">
        <f>_xlfn.LET(_xlpm.raw,_xlfn.XLOOKUP(A54,'Pinlist(S3)'!$C$4:$C$1362,'Pinlist(S3)'!$E$4:$E$1362,""),_xlpm.cleanRaw,SUBSTITUTE(SUBSTITUTE(_xlpm.raw,"_PIN","."),"PIN","."),_xlpm.mainPart,MID(_xlpm.cleanRaw,2,FIND(".",_xlpm.cleanRaw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809105</v>
      </c>
      <c r="H54" t="str">
        <f>_xlfn.LET(_xlpm.raw,_xlfn.XLOOKUP(A54,'Pinlist(S5)'!$C$4:$C$1362,'Pinlist(S5)'!$E$4:$E$1362,""),_xlpm.cleanRaw,SUBSTITUTE(SUBSTITUTE(_xlpm.raw,"_PIN","."),"PIN","."),_xlpm.mainPart,MID(_xlpm.cleanRaw,2,FIND(".",_xlpm.cleanRaw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602043</v>
      </c>
      <c r="I54" t="str">
        <f>""</f>
        <v/>
      </c>
      <c r="J54" t="str">
        <f t="shared" si="0"/>
        <v>B6;SYS_PWROK;;2.847;0.975000000000001;504089;809105;602043;</v>
      </c>
    </row>
    <row r="55" spans="1:10">
      <c r="A55" t="s">
        <v>975</v>
      </c>
      <c r="B55" t="str">
        <f>_xlfn.XLOOKUP(A55,'Pinlist(S1)'!$Q$4:$Q$1362,'Pinlist(S1)'!$R$4:$R$1362,"")</f>
        <v>GPP_D_4_FLASHTRIG</v>
      </c>
      <c r="C55" t="str" cm="1">
        <f t="array" ref="C55">_xlfn.TEXTJOIN(",",TRUE,_xlfn.UNIQUE(TRANSPOSE(_xlfn.MAP(_xlfn.XLOOKUP(A55,'Pinlist(S1)'!$C$4:$C$1362,'Pinlist(S1)'!$F$4:$K$1362,""),_xlfn.LAMBDA(_xlpm.x,IF(_xlpm.x&lt;&gt;"",TRIM(CLEAN(LEFT(_xlpm.x,FIND(".",_xlpm.x &amp; ".")-1))),""))))))</f>
        <v/>
      </c>
      <c r="D55">
        <v>3.5229999999999899</v>
      </c>
      <c r="E55">
        <v>0.64999999999999802</v>
      </c>
      <c r="F55" t="str">
        <f>_xlfn.LET(_xlpm.raw,_xlfn.XLOOKUP(A55,'Pinlist(S1)'!$C$4:$C$1362,'Pinlist(S1)'!$E$4:$E$1362,""),_xlpm.cleanRaw,SUBSTITUTE(SUBSTITUTE(_xlpm.raw,"_PIN","."),"PIN","."),_xlpm.mainPart,MID(_xlpm.cleanRaw,2,FIND(".",_xlpm.cleanRaw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508056</v>
      </c>
      <c r="G55" t="str">
        <f>_xlfn.LET(_xlpm.raw,_xlfn.XLOOKUP(A55,'Pinlist(S3)'!$C$4:$C$1362,'Pinlist(S3)'!$E$4:$E$1362,""),_xlpm.cleanRaw,SUBSTITUTE(SUBSTITUTE(_xlpm.raw,"_PIN","."),"PIN","."),_xlpm.mainPart,MID(_xlpm.cleanRaw,2,FIND(".",_xlpm.cleanRaw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804036</v>
      </c>
      <c r="H55" t="str">
        <f>_xlfn.LET(_xlpm.raw,_xlfn.XLOOKUP(A55,'Pinlist(S5)'!$C$4:$C$1362,'Pinlist(S5)'!$E$4:$E$1362,""),_xlpm.cleanRaw,SUBSTITUTE(SUBSTITUTE(_xlpm.raw,"_PIN","."),"PIN","."),_xlpm.mainPart,MID(_xlpm.cleanRaw,2,FIND(".",_xlpm.cleanRaw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703036</v>
      </c>
      <c r="I55" t="str">
        <f>""</f>
        <v/>
      </c>
      <c r="J55" t="str">
        <f t="shared" si="0"/>
        <v>B7;GPP_D_4_FLASHTRIG;;3.52299999999999;0.649999999999998;508056;804036;703036;</v>
      </c>
    </row>
    <row r="56" spans="1:10">
      <c r="A56" t="s">
        <v>995</v>
      </c>
      <c r="B56" t="str">
        <f>_xlfn.XLOOKUP(A56,'Pinlist(S1)'!$Q$4:$Q$1362,'Pinlist(S1)'!$R$4:$R$1362,"")</f>
        <v>GPP_E_12_USB2_OCB_3</v>
      </c>
      <c r="C56" t="str" cm="1">
        <f t="array" ref="C56">_xlfn.TEXTJOIN(",",TRUE,_xlfn.UNIQUE(TRANSPOSE(_xlfn.MAP(_xlfn.XLOOKUP(A56,'Pinlist(S1)'!$C$4:$C$1362,'Pinlist(S1)'!$F$4:$K$1362,""),_xlfn.LAMBDA(_xlpm.x,IF(_xlpm.x&lt;&gt;"",TRIM(CLEAN(LEFT(_xlpm.x,FIND(".",_xlpm.x &amp; ".")-1))),""))))))</f>
        <v/>
      </c>
      <c r="D56">
        <v>4.6499999999999897</v>
      </c>
      <c r="E56">
        <v>0.64999999999999802</v>
      </c>
      <c r="F56" t="str">
        <f>_xlfn.LET(_xlpm.raw,_xlfn.XLOOKUP(A56,'Pinlist(S1)'!$C$4:$C$1362,'Pinlist(S1)'!$E$4:$E$1362,""),_xlpm.cleanRaw,SUBSTITUTE(SUBSTITUTE(_xlpm.raw,"_PIN","."),"PIN","."),_xlpm.mainPart,MID(_xlpm.cleanRaw,2,FIND(".",_xlpm.cleanRaw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504117</v>
      </c>
      <c r="G56" t="str">
        <f>_xlfn.LET(_xlpm.raw,_xlfn.XLOOKUP(A56,'Pinlist(S3)'!$C$4:$C$1362,'Pinlist(S3)'!$E$4:$E$1362,""),_xlpm.cleanRaw,SUBSTITUTE(SUBSTITUTE(_xlpm.raw,"_PIN","."),"PIN","."),_xlpm.mainPart,MID(_xlpm.cleanRaw,2,FIND(".",_xlpm.cleanRaw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807002</v>
      </c>
      <c r="H56" t="str">
        <f>_xlfn.LET(_xlpm.raw,_xlfn.XLOOKUP(A56,'Pinlist(S5)'!$C$4:$C$1362,'Pinlist(S5)'!$E$4:$E$1362,""),_xlpm.cleanRaw,SUBSTITUTE(SUBSTITUTE(_xlpm.raw,"_PIN","."),"PIN","."),_xlpm.mainPart,MID(_xlpm.cleanRaw,2,FIND(".",_xlpm.cleanRaw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603126</v>
      </c>
      <c r="I56" t="str">
        <f>""</f>
        <v/>
      </c>
      <c r="J56" t="str">
        <f t="shared" si="0"/>
        <v>B9;GPP_E_12_USB2_OCB_3;;4.64999999999999;0.649999999999998;504117;807002;603126;</v>
      </c>
    </row>
    <row r="57" spans="1:10">
      <c r="A57" t="s">
        <v>2068</v>
      </c>
      <c r="B57" t="str">
        <f>_xlfn.XLOOKUP(A57,'Pinlist(S1)'!$Q$4:$Q$1362,'Pinlist(S1)'!$R$4:$R$1362,"")</f>
        <v>VSS</v>
      </c>
      <c r="C57" t="str" cm="1">
        <f t="array" ref="C57">_xlfn.TEXTJOIN(",",TRUE,_xlfn.UNIQUE(TRANSPOSE(_xlfn.MAP(_xlfn.XLOOKUP(A57,'Pinlist(S1)'!$C$4:$C$1362,'Pinlist(S1)'!$F$4:$K$1362,""),_xlfn.LAMBDA(_xlpm.x,IF(_xlpm.x&lt;&gt;"",TRIM(CLEAN(LEFT(_xlpm.x,FIND(".",_xlpm.x &amp; ".")-1))),""))))))</f>
        <v/>
      </c>
      <c r="D57">
        <v>5.3250000000000002</v>
      </c>
      <c r="E57">
        <v>0.97500000000000098</v>
      </c>
      <c r="F57" t="str">
        <f>_xlfn.LET(_xlpm.raw,_xlfn.XLOOKUP(A57,'Pinlist(S1)'!$C$4:$C$1362,'Pinlist(S1)'!$E$4:$E$1362,""),_xlpm.cleanRaw,SUBSTITUTE(SUBSTITUTE(_xlpm.raw,"_PIN","."),"PIN","."),_xlpm.mainPart,MID(_xlpm.cleanRaw,2,FIND(".",_xlpm.cleanRaw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" t="str">
        <f>_xlfn.LET(_xlpm.raw,_xlfn.XLOOKUP(A57,'Pinlist(S3)'!$C$4:$C$1362,'Pinlist(S3)'!$E$4:$E$1362,""),_xlpm.cleanRaw,SUBSTITUTE(SUBSTITUTE(_xlpm.raw,"_PIN","."),"PIN","."),_xlpm.mainPart,MID(_xlpm.cleanRaw,2,FIND(".",_xlpm.cleanRaw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" t="str">
        <f>_xlfn.LET(_xlpm.raw,_xlfn.XLOOKUP(A57,'Pinlist(S5)'!$C$4:$C$1362,'Pinlist(S5)'!$E$4:$E$1362,""),_xlpm.cleanRaw,SUBSTITUTE(SUBSTITUTE(_xlpm.raw,"_PIN","."),"PIN","."),_xlpm.mainPart,MID(_xlpm.cleanRaw,2,FIND(".",_xlpm.cleanRaw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" t="str">
        <f>""</f>
        <v/>
      </c>
      <c r="J57" t="str">
        <f t="shared" si="0"/>
        <v>B10;VSS;;5.325;0.975000000000001;;;;</v>
      </c>
    </row>
    <row r="58" spans="1:10">
      <c r="A58" t="s">
        <v>1376</v>
      </c>
      <c r="B58" t="str">
        <f>_xlfn.XLOOKUP(A58,'Pinlist(S1)'!$Q$4:$Q$1362,'Pinlist(S1)'!$R$4:$R$1362,"")</f>
        <v>SPARE_12</v>
      </c>
      <c r="C58" t="str" cm="1">
        <f t="array" ref="C58">_xlfn.TEXTJOIN(",",TRUE,_xlfn.UNIQUE(TRANSPOSE(_xlfn.MAP(_xlfn.XLOOKUP(A58,'Pinlist(S1)'!$C$4:$C$1362,'Pinlist(S1)'!$F$4:$K$1362,""),_xlfn.LAMBDA(_xlpm.x,IF(_xlpm.x&lt;&gt;"",TRIM(CLEAN(LEFT(_xlpm.x,FIND(".",_xlpm.x &amp; ".")-1))),""))))))</f>
        <v/>
      </c>
      <c r="D58">
        <v>6.0009999999999897</v>
      </c>
      <c r="E58">
        <v>0.64999999999999802</v>
      </c>
      <c r="F58" t="str">
        <f>_xlfn.LET(_xlpm.raw,_xlfn.XLOOKUP(A58,'Pinlist(S1)'!$C$4:$C$1362,'Pinlist(S1)'!$E$4:$E$1362,""),_xlpm.cleanRaw,SUBSTITUTE(SUBSTITUTE(_xlpm.raw,"_PIN","."),"PIN","."),_xlpm.mainPart,MID(_xlpm.cleanRaw,2,FIND(".",_xlpm.cleanRaw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" t="str">
        <f>_xlfn.LET(_xlpm.raw,_xlfn.XLOOKUP(A58,'Pinlist(S3)'!$C$4:$C$1362,'Pinlist(S3)'!$E$4:$E$1362,""),_xlpm.cleanRaw,SUBSTITUTE(SUBSTITUTE(_xlpm.raw,"_PIN","."),"PIN","."),_xlpm.mainPart,MID(_xlpm.cleanRaw,2,FIND(".",_xlpm.cleanRaw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" t="str">
        <f>_xlfn.LET(_xlpm.raw,_xlfn.XLOOKUP(A58,'Pinlist(S5)'!$C$4:$C$1362,'Pinlist(S5)'!$E$4:$E$1362,""),_xlpm.cleanRaw,SUBSTITUTE(SUBSTITUTE(_xlpm.raw,"_PIN","."),"PIN","."),_xlpm.mainPart,MID(_xlpm.cleanRaw,2,FIND(".",_xlpm.cleanRaw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" t="str">
        <f>""</f>
        <v/>
      </c>
      <c r="J58" t="str">
        <f t="shared" si="0"/>
        <v>B11;SPARE_12;;6.00099999999999;0.649999999999998;;;;</v>
      </c>
    </row>
    <row r="59" spans="1:10">
      <c r="A59" t="s">
        <v>1506</v>
      </c>
      <c r="B59" t="str">
        <f>_xlfn.XLOOKUP(A59,'Pinlist(S1)'!$Q$4:$Q$1362,'Pinlist(S1)'!$R$4:$R$1362,"")</f>
        <v>USB3_2_SSIC_1_TXN</v>
      </c>
      <c r="C59" t="str" cm="1">
        <f t="array" ref="C59">_xlfn.TEXTJOIN(",",TRUE,_xlfn.UNIQUE(TRANSPOSE(_xlfn.MAP(_xlfn.XLOOKUP(A59,'Pinlist(S1)'!$C$4:$C$1362,'Pinlist(S1)'!$F$4:$K$1362,""),_xlfn.LAMBDA(_xlpm.x,IF(_xlpm.x&lt;&gt;"",TRIM(CLEAN(LEFT(_xlpm.x,FIND(".",_xlpm.x &amp; ".")-1))),""))))))</f>
        <v>LA527,CA527,KA514</v>
      </c>
      <c r="D59">
        <v>7.1280000000000001</v>
      </c>
      <c r="E59">
        <v>0.64999999999999802</v>
      </c>
      <c r="F59" t="str">
        <f>_xlfn.LET(_xlpm.raw,_xlfn.XLOOKUP(A59,'Pinlist(S1)'!$C$4:$C$1362,'Pinlist(S1)'!$E$4:$E$1362,""),_xlpm.cleanRaw,SUBSTITUTE(SUBSTITUTE(_xlpm.raw,"_PIN","."),"PIN","."),_xlpm.mainPart,MID(_xlpm.cleanRaw,2,FIND(".",_xlpm.cleanRaw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G59" t="str">
        <f>_xlfn.LET(_xlpm.raw,_xlfn.XLOOKUP(A59,'Pinlist(S3)'!$C$4:$C$1362,'Pinlist(S3)'!$E$4:$E$1362,""),_xlpm.cleanRaw,SUBSTITUTE(SUBSTITUTE(_xlpm.raw,"_PIN","."),"PIN","."),_xlpm.mainPart,MID(_xlpm.cleanRaw,2,FIND(".",_xlpm.cleanRaw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807029</v>
      </c>
      <c r="H59" t="str">
        <f>_xlfn.LET(_xlpm.raw,_xlfn.XLOOKUP(A59,'Pinlist(S5)'!$C$4:$C$1362,'Pinlist(S5)'!$E$4:$E$1362,""),_xlpm.cleanRaw,SUBSTITUTE(SUBSTITUTE(_xlpm.raw,"_PIN","."),"PIN","."),_xlpm.mainPart,MID(_xlpm.cleanRaw,2,FIND(".",_xlpm.cleanRaw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I59" t="str">
        <f>""</f>
        <v/>
      </c>
      <c r="J59" t="str">
        <f t="shared" si="0"/>
        <v>B13;USB3_2_SSIC_1_TXN;LA527,CA527,KA514;7.128;0.649999999999998;506033;807029;603098;</v>
      </c>
    </row>
    <row r="60" spans="1:10">
      <c r="A60" t="s">
        <v>2069</v>
      </c>
      <c r="B60" t="str">
        <f>_xlfn.XLOOKUP(A60,'Pinlist(S1)'!$Q$4:$Q$1362,'Pinlist(S1)'!$R$4:$R$1362,"")</f>
        <v>VSS</v>
      </c>
      <c r="C60" t="str" cm="1">
        <f t="array" ref="C60">_xlfn.TEXTJOIN(",",TRUE,_xlfn.UNIQUE(TRANSPOSE(_xlfn.MAP(_xlfn.XLOOKUP(A60,'Pinlist(S1)'!$C$4:$C$1362,'Pinlist(S1)'!$F$4:$K$1362,""),_xlfn.LAMBDA(_xlpm.x,IF(_xlpm.x&lt;&gt;"",TRIM(CLEAN(LEFT(_xlpm.x,FIND(".",_xlpm.x &amp; ".")-1))),""))))))</f>
        <v/>
      </c>
      <c r="D60">
        <v>7.8029999999999902</v>
      </c>
      <c r="E60">
        <v>0.97500000000000098</v>
      </c>
      <c r="F60" t="str">
        <f>_xlfn.LET(_xlpm.raw,_xlfn.XLOOKUP(A60,'Pinlist(S1)'!$C$4:$C$1362,'Pinlist(S1)'!$E$4:$E$1362,""),_xlpm.cleanRaw,SUBSTITUTE(SUBSTITUTE(_xlpm.raw,"_PIN","."),"PIN","."),_xlpm.mainPart,MID(_xlpm.cleanRaw,2,FIND(".",_xlpm.cleanRaw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" t="str">
        <f>_xlfn.LET(_xlpm.raw,_xlfn.XLOOKUP(A60,'Pinlist(S3)'!$C$4:$C$1362,'Pinlist(S3)'!$E$4:$E$1362,""),_xlpm.cleanRaw,SUBSTITUTE(SUBSTITUTE(_xlpm.raw,"_PIN","."),"PIN","."),_xlpm.mainPart,MID(_xlpm.cleanRaw,2,FIND(".",_xlpm.cleanRaw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" t="str">
        <f>_xlfn.LET(_xlpm.raw,_xlfn.XLOOKUP(A60,'Pinlist(S5)'!$C$4:$C$1362,'Pinlist(S5)'!$E$4:$E$1362,""),_xlpm.cleanRaw,SUBSTITUTE(SUBSTITUTE(_xlpm.raw,"_PIN","."),"PIN","."),_xlpm.mainPart,MID(_xlpm.cleanRaw,2,FIND(".",_xlpm.cleanRaw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" t="str">
        <f>""</f>
        <v/>
      </c>
      <c r="J60" t="str">
        <f t="shared" si="0"/>
        <v>B14;VSS;;7.80299999999999;0.975000000000001;;;;</v>
      </c>
    </row>
    <row r="61" spans="1:10">
      <c r="A61" t="s">
        <v>1514</v>
      </c>
      <c r="B61" t="str">
        <f>_xlfn.XLOOKUP(A61,'Pinlist(S1)'!$Q$4:$Q$1362,'Pinlist(S1)'!$R$4:$R$1362,"")</f>
        <v>USB3_3_SSIC_2_TXN</v>
      </c>
      <c r="C61" t="str" cm="1">
        <f t="array" ref="C61">_xlfn.TEXTJOIN(",",TRUE,_xlfn.UNIQUE(TRANSPOSE(_xlfn.MAP(_xlfn.XLOOKUP(A61,'Pinlist(S1)'!$C$4:$C$1362,'Pinlist(S1)'!$F$4:$K$1362,""),_xlfn.LAMBDA(_xlpm.x,IF(_xlpm.x&lt;&gt;"",TRIM(CLEAN(LEFT(_xlpm.x,FIND(".",_xlpm.x &amp; ".")-1))),""))))))</f>
        <v>LA529,CA529,KA515</v>
      </c>
      <c r="D61">
        <v>8.4789999999999992</v>
      </c>
      <c r="E61">
        <v>0.64999999999999802</v>
      </c>
      <c r="F61" t="str">
        <f>_xlfn.LET(_xlpm.raw,_xlfn.XLOOKUP(A61,'Pinlist(S1)'!$C$4:$C$1362,'Pinlist(S1)'!$E$4:$E$1362,""),_xlpm.cleanRaw,SUBSTITUTE(SUBSTITUTE(_xlpm.raw,"_PIN","."),"PIN","."),_xlpm.mainPart,MID(_xlpm.cleanRaw,2,FIND(".",_xlpm.cleanRaw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G61" t="str">
        <f>_xlfn.LET(_xlpm.raw,_xlfn.XLOOKUP(A61,'Pinlist(S3)'!$C$4:$C$1362,'Pinlist(S3)'!$E$4:$E$1362,""),_xlpm.cleanRaw,SUBSTITUTE(SUBSTITUTE(_xlpm.raw,"_PIN","."),"PIN","."),_xlpm.mainPart,MID(_xlpm.cleanRaw,2,FIND(".",_xlpm.cleanRaw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807040</v>
      </c>
      <c r="H61" t="str">
        <f>_xlfn.LET(_xlpm.raw,_xlfn.XLOOKUP(A61,'Pinlist(S5)'!$C$4:$C$1362,'Pinlist(S5)'!$E$4:$E$1362,""),_xlpm.cleanRaw,SUBSTITUTE(SUBSTITUTE(_xlpm.raw,"_PIN","."),"PIN","."),_xlpm.mainPart,MID(_xlpm.cleanRaw,2,FIND(".",_xlpm.cleanRaw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I61" t="str">
        <f>""</f>
        <v/>
      </c>
      <c r="J61" t="str">
        <f t="shared" si="0"/>
        <v>B15;USB3_3_SSIC_2_TXN;LA529,CA529,KA515;8.479;0.649999999999998;504094;807040;603099;</v>
      </c>
    </row>
    <row r="62" spans="1:10">
      <c r="A62" t="s">
        <v>1226</v>
      </c>
      <c r="B62" t="str">
        <f>_xlfn.XLOOKUP(A62,'Pinlist(S1)'!$Q$4:$Q$1362,'Pinlist(S1)'!$R$4:$R$1362,"")</f>
        <v>PCIE_1_USB3_5_TXN</v>
      </c>
      <c r="C62" t="str" cm="1">
        <f t="array" ref="C62">_xlfn.TEXTJOIN(",",TRUE,_xlfn.UNIQUE(TRANSPOSE(_xlfn.MAP(_xlfn.XLOOKUP(A62,'Pinlist(S1)'!$C$4:$C$1362,'Pinlist(S1)'!$F$4:$K$1362,""),_xlfn.LAMBDA(_xlpm.x,IF(_xlpm.x&lt;&gt;"",TRIM(CLEAN(LEFT(_xlpm.x,FIND(".",_xlpm.x &amp; ".")-1))),""))))))</f>
        <v>LA501,CA501,KA501</v>
      </c>
      <c r="D62">
        <v>9.6059999999999999</v>
      </c>
      <c r="E62">
        <v>0.64999999999999802</v>
      </c>
      <c r="F62" t="str">
        <f>_xlfn.LET(_xlpm.raw,_xlfn.XLOOKUP(A62,'Pinlist(S1)'!$C$4:$C$1362,'Pinlist(S1)'!$E$4:$E$1362,""),_xlpm.cleanRaw,SUBSTITUTE(SUBSTITUTE(_xlpm.raw,"_PIN","."),"PIN","."),_xlpm.mainPart,MID(_xlpm.cleanRaw,2,FIND(".",_xlpm.cleanRaw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G62" t="str">
        <f>_xlfn.LET(_xlpm.raw,_xlfn.XLOOKUP(A62,'Pinlist(S3)'!$C$4:$C$1362,'Pinlist(S3)'!$E$4:$E$1362,""),_xlpm.cleanRaw,SUBSTITUTE(SUBSTITUTE(_xlpm.raw,"_PIN","."),"PIN","."),_xlpm.mainPart,MID(_xlpm.cleanRaw,2,FIND(".",_xlpm.cleanRaw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807033</v>
      </c>
      <c r="H62" t="str">
        <f>_xlfn.LET(_xlpm.raw,_xlfn.XLOOKUP(A62,'Pinlist(S5)'!$C$4:$C$1362,'Pinlist(S5)'!$E$4:$E$1362,""),_xlpm.cleanRaw,SUBSTITUTE(SUBSTITUTE(_xlpm.raw,"_PIN","."),"PIN","."),_xlpm.mainPart,MID(_xlpm.cleanRaw,2,FIND(".",_xlpm.cleanRaw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I62" t="str">
        <f>""</f>
        <v/>
      </c>
      <c r="J62" t="str">
        <f t="shared" si="0"/>
        <v>B17;PCIE_1_USB3_5_TXN;LA501,CA501,KA501;9.606;0.649999999999998;506038;807033;603088;</v>
      </c>
    </row>
    <row r="63" spans="1:10">
      <c r="A63" t="s">
        <v>2070</v>
      </c>
      <c r="B63" t="str">
        <f>_xlfn.XLOOKUP(A63,'Pinlist(S1)'!$Q$4:$Q$1362,'Pinlist(S1)'!$R$4:$R$1362,"")</f>
        <v>VSS</v>
      </c>
      <c r="C63" t="str" cm="1">
        <f t="array" ref="C63">_xlfn.TEXTJOIN(",",TRUE,_xlfn.UNIQUE(TRANSPOSE(_xlfn.MAP(_xlfn.XLOOKUP(A63,'Pinlist(S1)'!$C$4:$C$1362,'Pinlist(S1)'!$F$4:$K$1362,""),_xlfn.LAMBDA(_xlpm.x,IF(_xlpm.x&lt;&gt;"",TRIM(CLEAN(LEFT(_xlpm.x,FIND(".",_xlpm.x &amp; ".")-1))),""))))))</f>
        <v/>
      </c>
      <c r="D63">
        <v>10.280999999999899</v>
      </c>
      <c r="E63">
        <v>0.97500000000000098</v>
      </c>
      <c r="F63" t="str">
        <f>_xlfn.LET(_xlpm.raw,_xlfn.XLOOKUP(A63,'Pinlist(S1)'!$C$4:$C$1362,'Pinlist(S1)'!$E$4:$E$1362,""),_xlpm.cleanRaw,SUBSTITUTE(SUBSTITUTE(_xlpm.raw,"_PIN","."),"PIN","."),_xlpm.mainPart,MID(_xlpm.cleanRaw,2,FIND(".",_xlpm.cleanRaw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" t="str">
        <f>_xlfn.LET(_xlpm.raw,_xlfn.XLOOKUP(A63,'Pinlist(S3)'!$C$4:$C$1362,'Pinlist(S3)'!$E$4:$E$1362,""),_xlpm.cleanRaw,SUBSTITUTE(SUBSTITUTE(_xlpm.raw,"_PIN","."),"PIN","."),_xlpm.mainPart,MID(_xlpm.cleanRaw,2,FIND(".",_xlpm.cleanRaw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" t="str">
        <f>_xlfn.LET(_xlpm.raw,_xlfn.XLOOKUP(A63,'Pinlist(S5)'!$C$4:$C$1362,'Pinlist(S5)'!$E$4:$E$1362,""),_xlpm.cleanRaw,SUBSTITUTE(SUBSTITUTE(_xlpm.raw,"_PIN","."),"PIN","."),_xlpm.mainPart,MID(_xlpm.cleanRaw,2,FIND(".",_xlpm.cleanRaw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" t="str">
        <f>""</f>
        <v/>
      </c>
      <c r="J63" t="str">
        <f t="shared" si="0"/>
        <v>B18;VSS;;10.2809999999999;0.975000000000001;;;;</v>
      </c>
    </row>
    <row r="64" spans="1:10">
      <c r="A64" t="s">
        <v>1274</v>
      </c>
      <c r="B64" t="str">
        <f>_xlfn.XLOOKUP(A64,'Pinlist(S1)'!$Q$4:$Q$1362,'Pinlist(S1)'!$R$4:$R$1362,"")</f>
        <v>PCIE_4_LAN_0B_TXN</v>
      </c>
      <c r="C64" t="str" cm="1">
        <f t="array" ref="C64">_xlfn.TEXTJOIN(",",TRUE,_xlfn.UNIQUE(TRANSPOSE(_xlfn.MAP(_xlfn.XLOOKUP(A64,'Pinlist(S1)'!$C$4:$C$1362,'Pinlist(S1)'!$F$4:$K$1362,""),_xlfn.LAMBDA(_xlpm.x,IF(_xlpm.x&lt;&gt;"",TRIM(CLEAN(LEFT(_xlpm.x,FIND(".",_xlpm.x &amp; ".")-1))),""))))))</f>
        <v>LA507,CA507,KA504</v>
      </c>
      <c r="D64">
        <v>10.957000000000001</v>
      </c>
      <c r="E64">
        <v>0.64999999999999802</v>
      </c>
      <c r="F64" t="str">
        <f>_xlfn.LET(_xlpm.raw,_xlfn.XLOOKUP(A64,'Pinlist(S1)'!$C$4:$C$1362,'Pinlist(S1)'!$E$4:$E$1362,""),_xlpm.cleanRaw,SUBSTITUTE(SUBSTITUTE(_xlpm.raw,"_PIN","."),"PIN","."),_xlpm.mainPart,MID(_xlpm.cleanRaw,2,FIND(".",_xlpm.cleanRaw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506032</v>
      </c>
      <c r="G64" t="str">
        <f>_xlfn.LET(_xlpm.raw,_xlfn.XLOOKUP(A64,'Pinlist(S3)'!$C$4:$C$1362,'Pinlist(S3)'!$E$4:$E$1362,""),_xlpm.cleanRaw,SUBSTITUTE(SUBSTITUTE(_xlpm.raw,"_PIN","."),"PIN","."),_xlpm.mainPart,MID(_xlpm.cleanRaw,2,FIND(".",_xlpm.cleanRaw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807032</v>
      </c>
      <c r="H64" t="str">
        <f>_xlfn.LET(_xlpm.raw,_xlfn.XLOOKUP(A64,'Pinlist(S5)'!$C$4:$C$1362,'Pinlist(S5)'!$E$4:$E$1362,""),_xlpm.cleanRaw,SUBSTITUTE(SUBSTITUTE(_xlpm.raw,"_PIN","."),"PIN","."),_xlpm.mainPart,MID(_xlpm.cleanRaw,2,FIND(".",_xlpm.cleanRaw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I64" t="str">
        <f>""</f>
        <v/>
      </c>
      <c r="J64" t="str">
        <f t="shared" si="0"/>
        <v>B19;PCIE_4_LAN_0B_TXN;LA507,CA507,KA504;10.957;0.649999999999998;506032;807032;603091;</v>
      </c>
    </row>
    <row r="65" spans="1:10">
      <c r="A65" t="s">
        <v>1298</v>
      </c>
      <c r="B65" t="str">
        <f>_xlfn.XLOOKUP(A65,'Pinlist(S1)'!$Q$4:$Q$1362,'Pinlist(S1)'!$R$4:$R$1362,"")</f>
        <v>PCIE_7_SATA_0_TXN</v>
      </c>
      <c r="C65" t="str" cm="1">
        <f t="array" ref="C65">_xlfn.TEXTJOIN(",",TRUE,_xlfn.UNIQUE(TRANSPOSE(_xlfn.MAP(_xlfn.XLOOKUP(A65,'Pinlist(S1)'!$C$4:$C$1362,'Pinlist(S1)'!$F$4:$K$1362,""),_xlfn.LAMBDA(_xlpm.x,IF(_xlpm.x&lt;&gt;"",TRIM(CLEAN(LEFT(_xlpm.x,FIND(".",_xlpm.x &amp; ".")-1))),""))))))</f>
        <v>LA513,CA513,KA507</v>
      </c>
      <c r="D65">
        <v>12.084</v>
      </c>
      <c r="E65">
        <v>0.64999999999999802</v>
      </c>
      <c r="F65" t="str">
        <f>_xlfn.LET(_xlpm.raw,_xlfn.XLOOKUP(A65,'Pinlist(S1)'!$C$4:$C$1362,'Pinlist(S1)'!$E$4:$E$1362,""),_xlpm.cleanRaw,SUBSTITUTE(SUBSTITUTE(_xlpm.raw,"_PIN","."),"PIN","."),_xlpm.mainPart,MID(_xlpm.cleanRaw,2,FIND(".",_xlpm.cleanRaw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504093</v>
      </c>
      <c r="G65" t="str">
        <f>_xlfn.LET(_xlpm.raw,_xlfn.XLOOKUP(A65,'Pinlist(S3)'!$C$4:$C$1362,'Pinlist(S3)'!$E$4:$E$1362,""),_xlpm.cleanRaw,SUBSTITUTE(SUBSTITUTE(_xlpm.raw,"_PIN","."),"PIN","."),_xlpm.mainPart,MID(_xlpm.cleanRaw,2,FIND(".",_xlpm.cleanRaw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809103</v>
      </c>
      <c r="H65" t="str">
        <f>_xlfn.LET(_xlpm.raw,_xlfn.XLOOKUP(A65,'Pinlist(S5)'!$C$4:$C$1362,'Pinlist(S5)'!$E$4:$E$1362,""),_xlpm.cleanRaw,SUBSTITUTE(SUBSTITUTE(_xlpm.raw,"_PIN","."),"PIN","."),_xlpm.mainPart,MID(_xlpm.cleanRaw,2,FIND(".",_xlpm.cleanRaw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601032</v>
      </c>
      <c r="I65" t="str">
        <f>""</f>
        <v/>
      </c>
      <c r="J65" t="str">
        <f t="shared" si="0"/>
        <v>B21;PCIE_7_SATA_0_TXN;LA513,CA513,KA507;12.084;0.649999999999998;504093;809103;601032;</v>
      </c>
    </row>
    <row r="66" spans="1:10">
      <c r="A66" t="s">
        <v>2071</v>
      </c>
      <c r="B66" t="str">
        <f>_xlfn.XLOOKUP(A66,'Pinlist(S1)'!$Q$4:$Q$1362,'Pinlist(S1)'!$R$4:$R$1362,"")</f>
        <v>VSS</v>
      </c>
      <c r="C66" t="str" cm="1">
        <f t="array" ref="C66">_xlfn.TEXTJOIN(",",TRUE,_xlfn.UNIQUE(TRANSPOSE(_xlfn.MAP(_xlfn.XLOOKUP(A66,'Pinlist(S1)'!$C$4:$C$1362,'Pinlist(S1)'!$F$4:$K$1362,""),_xlfn.LAMBDA(_xlpm.x,IF(_xlpm.x&lt;&gt;"",TRIM(CLEAN(LEFT(_xlpm.x,FIND(".",_xlpm.x &amp; ".")-1))),""))))))</f>
        <v/>
      </c>
      <c r="D66">
        <v>12.759</v>
      </c>
      <c r="E66">
        <v>0.97500000000000098</v>
      </c>
      <c r="F66" t="str">
        <f>_xlfn.LET(_xlpm.raw,_xlfn.XLOOKUP(A66,'Pinlist(S1)'!$C$4:$C$1362,'Pinlist(S1)'!$E$4:$E$1362,""),_xlpm.cleanRaw,SUBSTITUTE(SUBSTITUTE(_xlpm.raw,"_PIN","."),"PIN","."),_xlpm.mainPart,MID(_xlpm.cleanRaw,2,FIND(".",_xlpm.cleanRaw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" t="str">
        <f>_xlfn.LET(_xlpm.raw,_xlfn.XLOOKUP(A66,'Pinlist(S3)'!$C$4:$C$1362,'Pinlist(S3)'!$E$4:$E$1362,""),_xlpm.cleanRaw,SUBSTITUTE(SUBSTITUTE(_xlpm.raw,"_PIN","."),"PIN","."),_xlpm.mainPart,MID(_xlpm.cleanRaw,2,FIND(".",_xlpm.cleanRaw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" t="str">
        <f>_xlfn.LET(_xlpm.raw,_xlfn.XLOOKUP(A66,'Pinlist(S5)'!$C$4:$C$1362,'Pinlist(S5)'!$E$4:$E$1362,""),_xlpm.cleanRaw,SUBSTITUTE(SUBSTITUTE(_xlpm.raw,"_PIN","."),"PIN","."),_xlpm.mainPart,MID(_xlpm.cleanRaw,2,FIND(".",_xlpm.cleanRaw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" t="str">
        <f>""</f>
        <v/>
      </c>
      <c r="J66" t="str">
        <f t="shared" ref="J66:J129" si="1">A66&amp;";"&amp;B66&amp;";"&amp;C66&amp;";"&amp;D66&amp;";"&amp;E66&amp;";"&amp;F66&amp;";"&amp;G66&amp;";"&amp;H66&amp;";"&amp;I66</f>
        <v>B22;VSS;;12.759;0.975000000000001;;;;</v>
      </c>
    </row>
    <row r="67" spans="1:10">
      <c r="A67" t="s">
        <v>1314</v>
      </c>
      <c r="B67" t="str">
        <f>_xlfn.XLOOKUP(A67,'Pinlist(S1)'!$Q$4:$Q$1362,'Pinlist(S1)'!$R$4:$R$1362,"")</f>
        <v>PCIE_9_LAN_0D_TXN</v>
      </c>
      <c r="C67" t="str" cm="1">
        <f t="array" ref="C67">_xlfn.TEXTJOIN(",",TRUE,_xlfn.UNIQUE(TRANSPOSE(_xlfn.MAP(_xlfn.XLOOKUP(A67,'Pinlist(S1)'!$C$4:$C$1362,'Pinlist(S1)'!$F$4:$K$1362,""),_xlfn.LAMBDA(_xlpm.x,IF(_xlpm.x&lt;&gt;"",TRIM(CLEAN(LEFT(_xlpm.x,FIND(".",_xlpm.x &amp; ".")-1))),""))))))</f>
        <v>LA517,CA517,KA509</v>
      </c>
      <c r="D67">
        <v>13.435</v>
      </c>
      <c r="E67">
        <v>0.64999999999999802</v>
      </c>
      <c r="F67" t="str">
        <f>_xlfn.LET(_xlpm.raw,_xlfn.XLOOKUP(A67,'Pinlist(S1)'!$C$4:$C$1362,'Pinlist(S1)'!$E$4:$E$1362,""),_xlpm.cleanRaw,SUBSTITUTE(SUBSTITUTE(_xlpm.raw,"_PIN","."),"PIN","."),_xlpm.mainPart,MID(_xlpm.cleanRaw,2,FIND(".",_xlpm.cleanRaw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G67" t="str">
        <f>_xlfn.LET(_xlpm.raw,_xlfn.XLOOKUP(A67,'Pinlist(S3)'!$C$4:$C$1362,'Pinlist(S3)'!$E$4:$E$1362,""),_xlpm.cleanRaw,SUBSTITUTE(SUBSTITUTE(_xlpm.raw,"_PIN","."),"PIN","."),_xlpm.mainPart,MID(_xlpm.cleanRaw,2,FIND(".",_xlpm.cleanRaw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809098</v>
      </c>
      <c r="H67" t="str">
        <f>_xlfn.LET(_xlpm.raw,_xlfn.XLOOKUP(A67,'Pinlist(S5)'!$C$4:$C$1362,'Pinlist(S5)'!$E$4:$E$1362,""),_xlpm.cleanRaw,SUBSTITUTE(SUBSTITUTE(_xlpm.raw,"_PIN","."),"PIN","."),_xlpm.mainPart,MID(_xlpm.cleanRaw,2,FIND(".",_xlpm.cleanRaw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I67" t="str">
        <f>""</f>
        <v/>
      </c>
      <c r="J67" t="str">
        <f t="shared" si="1"/>
        <v>B23;PCIE_9_LAN_0D_TXN;LA517,CA517,KA509;13.435;0.649999999999998;504101;809098;601026;</v>
      </c>
    </row>
    <row r="68" spans="1:10">
      <c r="A68" t="s">
        <v>1252</v>
      </c>
      <c r="B68" t="str">
        <f>_xlfn.XLOOKUP(A68,'Pinlist(S1)'!$Q$4:$Q$1362,'Pinlist(S1)'!$R$4:$R$1362,"")</f>
        <v>PCIE_12_SATA_2_TXP</v>
      </c>
      <c r="C68" t="str" cm="1">
        <f t="array" ref="C68">_xlfn.TEXTJOIN(",",TRUE,_xlfn.UNIQUE(TRANSPOSE(_xlfn.MAP(_xlfn.XLOOKUP(A68,'Pinlist(S1)'!$C$4:$C$1362,'Pinlist(S1)'!$F$4:$K$1362,""),_xlfn.LAMBDA(_xlpm.x,IF(_xlpm.x&lt;&gt;"",TRIM(CLEAN(LEFT(_xlpm.x,FIND(".",_xlpm.x &amp; ".")-1))),""))))))</f>
        <v>LA524,CA524,KA512</v>
      </c>
      <c r="D68">
        <v>14.561999999999999</v>
      </c>
      <c r="E68">
        <v>0.64999999999999802</v>
      </c>
      <c r="F68" t="str">
        <f>_xlfn.LET(_xlpm.raw,_xlfn.XLOOKUP(A68,'Pinlist(S1)'!$C$4:$C$1362,'Pinlist(S1)'!$E$4:$E$1362,""),_xlpm.cleanRaw,SUBSTITUTE(SUBSTITUTE(_xlpm.raw,"_PIN","."),"PIN","."),_xlpm.mainPart,MID(_xlpm.cleanRaw,2,FIND(".",_xlpm.cleanRaw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G68" t="str">
        <f>_xlfn.LET(_xlpm.raw,_xlfn.XLOOKUP(A68,'Pinlist(S3)'!$C$4:$C$1362,'Pinlist(S3)'!$E$4:$E$1362,""),_xlpm.cleanRaw,SUBSTITUTE(SUBSTITUTE(_xlpm.raw,"_PIN","."),"PIN","."),_xlpm.mainPart,MID(_xlpm.cleanRaw,2,FIND(".",_xlpm.cleanRaw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807024</v>
      </c>
      <c r="H68" t="str">
        <f>_xlfn.LET(_xlpm.raw,_xlfn.XLOOKUP(A68,'Pinlist(S5)'!$C$4:$C$1362,'Pinlist(S5)'!$E$4:$E$1362,""),_xlpm.cleanRaw,SUBSTITUTE(SUBSTITUTE(_xlpm.raw,"_PIN","."),"PIN","."),_xlpm.mainPart,MID(_xlpm.cleanRaw,2,FIND(".",_xlpm.cleanRaw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I68" t="str">
        <f>""</f>
        <v/>
      </c>
      <c r="J68" t="str">
        <f t="shared" si="1"/>
        <v>B25;PCIE_12_SATA_2_TXP;LA524,CA524,KA512;14.562;0.649999999999998;504102;807024;601040;</v>
      </c>
    </row>
    <row r="69" spans="1:10">
      <c r="A69" t="s">
        <v>97</v>
      </c>
      <c r="B69" t="str">
        <f>_xlfn.XLOOKUP(A69,'Pinlist(S1)'!$Q$4:$Q$1362,'Pinlist(S1)'!$R$4:$R$1362,"")</f>
        <v>CSI2_CLKN_3</v>
      </c>
      <c r="C69" t="str" cm="1">
        <f t="array" ref="C69">_xlfn.TEXTJOIN(",",TRUE,_xlfn.UNIQUE(TRANSPOSE(_xlfn.MAP(_xlfn.XLOOKUP(A69,'Pinlist(S1)'!$C$4:$C$1362,'Pinlist(S1)'!$F$4:$K$1362,""),_xlfn.LAMBDA(_xlpm.x,IF(_xlpm.x&lt;&gt;"",TRIM(CLEAN(LEFT(_xlpm.x,FIND(".",_xlpm.x &amp; ".")-1))),""))))))</f>
        <v>KA103</v>
      </c>
      <c r="D69">
        <v>15.237</v>
      </c>
      <c r="E69">
        <v>0.97500000000000098</v>
      </c>
      <c r="F69" t="str">
        <f>_xlfn.LET(_xlpm.raw,_xlfn.XLOOKUP(A69,'Pinlist(S1)'!$C$4:$C$1362,'Pinlist(S1)'!$E$4:$E$1362,""),_xlpm.cleanRaw,SUBSTITUTE(SUBSTITUTE(_xlpm.raw,"_PIN","."),"PIN","."),_xlpm.mainPart,MID(_xlpm.cleanRaw,2,FIND(".",_xlpm.cleanRaw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69" t="str">
        <f>_xlfn.LET(_xlpm.raw,_xlfn.XLOOKUP(A69,'Pinlist(S3)'!$C$4:$C$1362,'Pinlist(S3)'!$E$4:$E$1362,""),_xlpm.cleanRaw,SUBSTITUTE(SUBSTITUTE(_xlpm.raw,"_PIN","."),"PIN","."),_xlpm.mainPart,MID(_xlpm.cleanRaw,2,FIND(".",_xlpm.cleanRaw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69" t="str">
        <f>_xlfn.LET(_xlpm.raw,_xlfn.XLOOKUP(A69,'Pinlist(S5)'!$C$4:$C$1362,'Pinlist(S5)'!$E$4:$E$1362,""),_xlpm.cleanRaw,SUBSTITUTE(SUBSTITUTE(_xlpm.raw,"_PIN","."),"PIN","."),_xlpm.mainPart,MID(_xlpm.cleanRaw,2,FIND(".",_xlpm.cleanRaw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69" t="str">
        <f>""</f>
        <v/>
      </c>
      <c r="J69" t="str">
        <f t="shared" si="1"/>
        <v>B26;CSI2_CLKN_3;KA103;15.237;0.975000000000001;504122;805083;601002;</v>
      </c>
    </row>
    <row r="70" spans="1:10">
      <c r="A70" t="s">
        <v>142</v>
      </c>
      <c r="B70" t="str">
        <f>_xlfn.XLOOKUP(A70,'Pinlist(S1)'!$Q$4:$Q$1362,'Pinlist(S1)'!$R$4:$R$1362,"")</f>
        <v>CSI2_DP_10</v>
      </c>
      <c r="C70" t="str" cm="1">
        <f t="array" ref="C70">_xlfn.TEXTJOIN(",",TRUE,_xlfn.UNIQUE(TRANSPOSE(_xlfn.MAP(_xlfn.XLOOKUP(A70,'Pinlist(S1)'!$C$4:$C$1362,'Pinlist(S1)'!$F$4:$K$1362,""),_xlfn.LAMBDA(_xlpm.x,IF(_xlpm.x&lt;&gt;"",TRIM(CLEAN(LEFT(_xlpm.x,FIND(".",_xlpm.x &amp; ".")-1))),""))))))</f>
        <v>KA106</v>
      </c>
      <c r="D70">
        <v>15.913</v>
      </c>
      <c r="E70">
        <v>0.64999999999999802</v>
      </c>
      <c r="F70" t="str">
        <f>_xlfn.LET(_xlpm.raw,_xlfn.XLOOKUP(A70,'Pinlist(S1)'!$C$4:$C$1362,'Pinlist(S1)'!$E$4:$E$1362,""),_xlpm.cleanRaw,SUBSTITUTE(SUBSTITUTE(_xlpm.raw,"_PIN","."),"PIN","."),_xlpm.mainPart,MID(_xlpm.cleanRaw,2,FIND(".",_xlpm.cleanRaw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70" t="str">
        <f>_xlfn.LET(_xlpm.raw,_xlfn.XLOOKUP(A70,'Pinlist(S3)'!$C$4:$C$1362,'Pinlist(S3)'!$E$4:$E$1362,""),_xlpm.cleanRaw,SUBSTITUTE(SUBSTITUTE(_xlpm.raw,"_PIN","."),"PIN","."),_xlpm.mainPart,MID(_xlpm.cleanRaw,2,FIND(".",_xlpm.cleanRaw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70" t="str">
        <f>_xlfn.LET(_xlpm.raw,_xlfn.XLOOKUP(A70,'Pinlist(S5)'!$C$4:$C$1362,'Pinlist(S5)'!$E$4:$E$1362,""),_xlpm.cleanRaw,SUBSTITUTE(SUBSTITUTE(_xlpm.raw,"_PIN","."),"PIN","."),_xlpm.mainPart,MID(_xlpm.cleanRaw,2,FIND(".",_xlpm.cleanRaw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70" t="str">
        <f>""</f>
        <v/>
      </c>
      <c r="J70" t="str">
        <f t="shared" si="1"/>
        <v>B27;CSI2_DP_10;KA106;15.913;0.649999999999998;505073;805084;702067;</v>
      </c>
    </row>
    <row r="71" spans="1:10">
      <c r="A71" t="s">
        <v>158</v>
      </c>
      <c r="B71" t="str">
        <f>_xlfn.XLOOKUP(A71,'Pinlist(S1)'!$Q$4:$Q$1362,'Pinlist(S1)'!$R$4:$R$1362,"")</f>
        <v>CSI2_DP_8</v>
      </c>
      <c r="C71" t="str" cm="1">
        <f t="array" ref="C71">_xlfn.TEXTJOIN(",",TRUE,_xlfn.UNIQUE(TRANSPOSE(_xlfn.MAP(_xlfn.XLOOKUP(A71,'Pinlist(S1)'!$C$4:$C$1362,'Pinlist(S1)'!$F$4:$K$1362,""),_xlfn.LAMBDA(_xlpm.x,IF(_xlpm.x&lt;&gt;"",TRIM(CLEAN(LEFT(_xlpm.x,FIND(".",_xlpm.x &amp; ".")-1))),""))))))</f>
        <v>KA107</v>
      </c>
      <c r="D71">
        <v>17.04</v>
      </c>
      <c r="E71">
        <v>0.64999999999999802</v>
      </c>
      <c r="F71" t="str">
        <f>_xlfn.LET(_xlpm.raw,_xlfn.XLOOKUP(A71,'Pinlist(S1)'!$C$4:$C$1362,'Pinlist(S1)'!$E$4:$E$1362,""),_xlpm.cleanRaw,SUBSTITUTE(SUBSTITUTE(_xlpm.raw,"_PIN","."),"PIN","."),_xlpm.mainPart,MID(_xlpm.cleanRaw,2,FIND(".",_xlpm.cleanRaw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71" t="str">
        <f>_xlfn.LET(_xlpm.raw,_xlfn.XLOOKUP(A71,'Pinlist(S3)'!$C$4:$C$1362,'Pinlist(S3)'!$E$4:$E$1362,""),_xlpm.cleanRaw,SUBSTITUTE(SUBSTITUTE(_xlpm.raw,"_PIN","."),"PIN","."),_xlpm.mainPart,MID(_xlpm.cleanRaw,2,FIND(".",_xlpm.cleanRaw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71" t="str">
        <f>_xlfn.LET(_xlpm.raw,_xlfn.XLOOKUP(A71,'Pinlist(S5)'!$C$4:$C$1362,'Pinlist(S5)'!$E$4:$E$1362,""),_xlpm.cleanRaw,SUBSTITUTE(SUBSTITUTE(_xlpm.raw,"_PIN","."),"PIN","."),_xlpm.mainPart,MID(_xlpm.cleanRaw,2,FIND(".",_xlpm.cleanRaw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71" t="str">
        <f>""</f>
        <v/>
      </c>
      <c r="J71" t="str">
        <f t="shared" si="1"/>
        <v>B29;CSI2_DP_8;KA107;17.04;0.649999999999998;506021;807025;603107;</v>
      </c>
    </row>
    <row r="72" spans="1:10">
      <c r="A72" t="s">
        <v>2072</v>
      </c>
      <c r="B72" t="str">
        <f>_xlfn.XLOOKUP(A72,'Pinlist(S1)'!$Q$4:$Q$1362,'Pinlist(S1)'!$R$4:$R$1362,"")</f>
        <v>VSS</v>
      </c>
      <c r="C72" t="str" cm="1">
        <f t="array" ref="C72">_xlfn.TEXTJOIN(",",TRUE,_xlfn.UNIQUE(TRANSPOSE(_xlfn.MAP(_xlfn.XLOOKUP(A72,'Pinlist(S1)'!$C$4:$C$1362,'Pinlist(S1)'!$F$4:$K$1362,""),_xlfn.LAMBDA(_xlpm.x,IF(_xlpm.x&lt;&gt;"",TRIM(CLEAN(LEFT(_xlpm.x,FIND(".",_xlpm.x &amp; ".")-1))),""))))))</f>
        <v/>
      </c>
      <c r="D72">
        <v>17.715</v>
      </c>
      <c r="E72">
        <v>0.97500000000000098</v>
      </c>
      <c r="F72" t="str">
        <f>_xlfn.LET(_xlpm.raw,_xlfn.XLOOKUP(A72,'Pinlist(S1)'!$C$4:$C$1362,'Pinlist(S1)'!$E$4:$E$1362,""),_xlpm.cleanRaw,SUBSTITUTE(SUBSTITUTE(_xlpm.raw,"_PIN","."),"PIN","."),_xlpm.mainPart,MID(_xlpm.cleanRaw,2,FIND(".",_xlpm.cleanRaw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" t="str">
        <f>_xlfn.LET(_xlpm.raw,_xlfn.XLOOKUP(A72,'Pinlist(S3)'!$C$4:$C$1362,'Pinlist(S3)'!$E$4:$E$1362,""),_xlpm.cleanRaw,SUBSTITUTE(SUBSTITUTE(_xlpm.raw,"_PIN","."),"PIN","."),_xlpm.mainPart,MID(_xlpm.cleanRaw,2,FIND(".",_xlpm.cleanRaw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" t="str">
        <f>_xlfn.LET(_xlpm.raw,_xlfn.XLOOKUP(A72,'Pinlist(S5)'!$C$4:$C$1362,'Pinlist(S5)'!$E$4:$E$1362,""),_xlpm.cleanRaw,SUBSTITUTE(SUBSTITUTE(_xlpm.raw,"_PIN","."),"PIN","."),_xlpm.mainPart,MID(_xlpm.cleanRaw,2,FIND(".",_xlpm.cleanRaw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" t="str">
        <f>""</f>
        <v/>
      </c>
      <c r="J72" t="str">
        <f t="shared" si="1"/>
        <v>B30;VSS;;17.715;0.975000000000001;;;;</v>
      </c>
    </row>
    <row r="73" spans="1:10">
      <c r="A73" t="s">
        <v>154</v>
      </c>
      <c r="B73" t="str">
        <f>_xlfn.XLOOKUP(A73,'Pinlist(S1)'!$Q$4:$Q$1362,'Pinlist(S1)'!$R$4:$R$1362,"")</f>
        <v>CSI2_DP_6</v>
      </c>
      <c r="C73" t="str" cm="1">
        <f t="array" ref="C73">_xlfn.TEXTJOIN(",",TRUE,_xlfn.UNIQUE(TRANSPOSE(_xlfn.MAP(_xlfn.XLOOKUP(A73,'Pinlist(S1)'!$C$4:$C$1362,'Pinlist(S1)'!$F$4:$K$1362,""),_xlfn.LAMBDA(_xlpm.x,IF(_xlpm.x&lt;&gt;"",TRIM(CLEAN(LEFT(_xlpm.x,FIND(".",_xlpm.x &amp; ".")-1))),""))))))</f>
        <v>KA106</v>
      </c>
      <c r="D73">
        <v>18.390999999999998</v>
      </c>
      <c r="E73">
        <v>0.64999999999999802</v>
      </c>
      <c r="F73" t="str">
        <f>_xlfn.LET(_xlpm.raw,_xlfn.XLOOKUP(A73,'Pinlist(S1)'!$C$4:$C$1362,'Pinlist(S1)'!$E$4:$E$1362,""),_xlpm.cleanRaw,SUBSTITUTE(SUBSTITUTE(_xlpm.raw,"_PIN","."),"PIN","."),_xlpm.mainPart,MID(_xlpm.cleanRaw,2,FIND(".",_xlpm.cleanRaw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73" t="str">
        <f>_xlfn.LET(_xlpm.raw,_xlfn.XLOOKUP(A73,'Pinlist(S3)'!$C$4:$C$1362,'Pinlist(S3)'!$E$4:$E$1362,""),_xlpm.cleanRaw,SUBSTITUTE(SUBSTITUTE(_xlpm.raw,"_PIN","."),"PIN","."),_xlpm.mainPart,MID(_xlpm.cleanRaw,2,FIND(".",_xlpm.cleanRaw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73" t="str">
        <f>_xlfn.LET(_xlpm.raw,_xlfn.XLOOKUP(A73,'Pinlist(S5)'!$C$4:$C$1362,'Pinlist(S5)'!$E$4:$E$1362,""),_xlpm.cleanRaw,SUBSTITUTE(SUBSTITUTE(_xlpm.raw,"_PIN","."),"PIN","."),_xlpm.mainPart,MID(_xlpm.cleanRaw,2,FIND(".",_xlpm.cleanRaw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73" t="str">
        <f>""</f>
        <v/>
      </c>
      <c r="J73" t="str">
        <f t="shared" si="1"/>
        <v>B31;CSI2_DP_6;KA106;18.391;0.649999999999998;505073;805084;702067;</v>
      </c>
    </row>
    <row r="74" spans="1:10">
      <c r="A74" t="s">
        <v>156</v>
      </c>
      <c r="B74" t="str">
        <f>_xlfn.XLOOKUP(A74,'Pinlist(S1)'!$Q$4:$Q$1362,'Pinlist(S1)'!$R$4:$R$1362,"")</f>
        <v>CSI2_DP_7</v>
      </c>
      <c r="C74" t="str" cm="1">
        <f t="array" ref="C74">_xlfn.TEXTJOIN(",",TRUE,_xlfn.UNIQUE(TRANSPOSE(_xlfn.MAP(_xlfn.XLOOKUP(A74,'Pinlist(S1)'!$C$4:$C$1362,'Pinlist(S1)'!$F$4:$K$1362,""),_xlfn.LAMBDA(_xlpm.x,IF(_xlpm.x&lt;&gt;"",TRIM(CLEAN(LEFT(_xlpm.x,FIND(".",_xlpm.x &amp; ".")-1))),""))))))</f>
        <v>KA107</v>
      </c>
      <c r="D74">
        <v>19.518000000000001</v>
      </c>
      <c r="E74">
        <v>0.64999999999999802</v>
      </c>
      <c r="F74" t="str">
        <f>_xlfn.LET(_xlpm.raw,_xlfn.XLOOKUP(A74,'Pinlist(S1)'!$C$4:$C$1362,'Pinlist(S1)'!$E$4:$E$1362,""),_xlpm.cleanRaw,SUBSTITUTE(SUBSTITUTE(_xlpm.raw,"_PIN","."),"PIN","."),_xlpm.mainPart,MID(_xlpm.cleanRaw,2,FIND(".",_xlpm.cleanRaw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74" t="str">
        <f>_xlfn.LET(_xlpm.raw,_xlfn.XLOOKUP(A74,'Pinlist(S3)'!$C$4:$C$1362,'Pinlist(S3)'!$E$4:$E$1362,""),_xlpm.cleanRaw,SUBSTITUTE(SUBSTITUTE(_xlpm.raw,"_PIN","."),"PIN","."),_xlpm.mainPart,MID(_xlpm.cleanRaw,2,FIND(".",_xlpm.cleanRaw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74" t="str">
        <f>_xlfn.LET(_xlpm.raw,_xlfn.XLOOKUP(A74,'Pinlist(S5)'!$C$4:$C$1362,'Pinlist(S5)'!$E$4:$E$1362,""),_xlpm.cleanRaw,SUBSTITUTE(SUBSTITUTE(_xlpm.raw,"_PIN","."),"PIN","."),_xlpm.mainPart,MID(_xlpm.cleanRaw,2,FIND(".",_xlpm.cleanRaw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74" t="str">
        <f>""</f>
        <v/>
      </c>
      <c r="J74" t="str">
        <f t="shared" si="1"/>
        <v>B33;CSI2_DP_7;KA107;19.518;0.649999999999998;507090;806125;701089;</v>
      </c>
    </row>
    <row r="75" spans="1:10">
      <c r="A75" t="s">
        <v>2073</v>
      </c>
      <c r="B75" t="str">
        <f>_xlfn.XLOOKUP(A75,'Pinlist(S1)'!$Q$4:$Q$1362,'Pinlist(S1)'!$R$4:$R$1362,"")</f>
        <v>VSS</v>
      </c>
      <c r="C75" t="str" cm="1">
        <f t="array" ref="C75">_xlfn.TEXTJOIN(",",TRUE,_xlfn.UNIQUE(TRANSPOSE(_xlfn.MAP(_xlfn.XLOOKUP(A75,'Pinlist(S1)'!$C$4:$C$1362,'Pinlist(S1)'!$F$4:$K$1362,""),_xlfn.LAMBDA(_xlpm.x,IF(_xlpm.x&lt;&gt;"",TRIM(CLEAN(LEFT(_xlpm.x,FIND(".",_xlpm.x &amp; ".")-1))),""))))))</f>
        <v/>
      </c>
      <c r="D75">
        <v>20.193000000000001</v>
      </c>
      <c r="E75">
        <v>0.97500000000000098</v>
      </c>
      <c r="F75" t="str">
        <f>_xlfn.LET(_xlpm.raw,_xlfn.XLOOKUP(A75,'Pinlist(S1)'!$C$4:$C$1362,'Pinlist(S1)'!$E$4:$E$1362,""),_xlpm.cleanRaw,SUBSTITUTE(SUBSTITUTE(_xlpm.raw,"_PIN","."),"PIN","."),_xlpm.mainPart,MID(_xlpm.cleanRaw,2,FIND(".",_xlpm.cleanRaw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" t="str">
        <f>_xlfn.LET(_xlpm.raw,_xlfn.XLOOKUP(A75,'Pinlist(S3)'!$C$4:$C$1362,'Pinlist(S3)'!$E$4:$E$1362,""),_xlpm.cleanRaw,SUBSTITUTE(SUBSTITUTE(_xlpm.raw,"_PIN","."),"PIN","."),_xlpm.mainPart,MID(_xlpm.cleanRaw,2,FIND(".",_xlpm.cleanRaw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" t="str">
        <f>_xlfn.LET(_xlpm.raw,_xlfn.XLOOKUP(A75,'Pinlist(S5)'!$C$4:$C$1362,'Pinlist(S5)'!$E$4:$E$1362,""),_xlpm.cleanRaw,SUBSTITUTE(SUBSTITUTE(_xlpm.raw,"_PIN","."),"PIN","."),_xlpm.mainPart,MID(_xlpm.cleanRaw,2,FIND(".",_xlpm.cleanRaw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" t="str">
        <f>""</f>
        <v/>
      </c>
      <c r="J75" t="str">
        <f t="shared" si="1"/>
        <v>B34;VSS;;20.193;0.975000000000001;;;;</v>
      </c>
    </row>
    <row r="76" spans="1:10">
      <c r="A76" t="s">
        <v>138</v>
      </c>
      <c r="B76" t="str">
        <f>_xlfn.XLOOKUP(A76,'Pinlist(S1)'!$Q$4:$Q$1362,'Pinlist(S1)'!$R$4:$R$1362,"")</f>
        <v>CSI2_DP_0</v>
      </c>
      <c r="C76" t="str" cm="1">
        <f t="array" ref="C76">_xlfn.TEXTJOIN(",",TRUE,_xlfn.UNIQUE(TRANSPOSE(_xlfn.MAP(_xlfn.XLOOKUP(A76,'Pinlist(S1)'!$C$4:$C$1362,'Pinlist(S1)'!$F$4:$K$1362,""),_xlfn.LAMBDA(_xlpm.x,IF(_xlpm.x&lt;&gt;"",TRIM(CLEAN(LEFT(_xlpm.x,FIND(".",_xlpm.x &amp; ".")-1))),""))))))</f>
        <v>KA107</v>
      </c>
      <c r="D76">
        <v>20.869</v>
      </c>
      <c r="E76">
        <v>0.64999999999999802</v>
      </c>
      <c r="F76" t="str">
        <f>_xlfn.LET(_xlpm.raw,_xlfn.XLOOKUP(A76,'Pinlist(S1)'!$C$4:$C$1362,'Pinlist(S1)'!$E$4:$E$1362,""),_xlpm.cleanRaw,SUBSTITUTE(SUBSTITUTE(_xlpm.raw,"_PIN","."),"PIN","."),_xlpm.mainPart,MID(_xlpm.cleanRaw,2,FIND(".",_xlpm.cleanRaw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76" t="str">
        <f>_xlfn.LET(_xlpm.raw,_xlfn.XLOOKUP(A76,'Pinlist(S3)'!$C$4:$C$1362,'Pinlist(S3)'!$E$4:$E$1362,""),_xlpm.cleanRaw,SUBSTITUTE(SUBSTITUTE(_xlpm.raw,"_PIN","."),"PIN","."),_xlpm.mainPart,MID(_xlpm.cleanRaw,2,FIND(".",_xlpm.cleanRaw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76" t="str">
        <f>_xlfn.LET(_xlpm.raw,_xlfn.XLOOKUP(A76,'Pinlist(S5)'!$C$4:$C$1362,'Pinlist(S5)'!$E$4:$E$1362,""),_xlpm.cleanRaw,SUBSTITUTE(SUBSTITUTE(_xlpm.raw,"_PIN","."),"PIN","."),_xlpm.mainPart,MID(_xlpm.cleanRaw,2,FIND(".",_xlpm.cleanRaw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76" t="str">
        <f>""</f>
        <v/>
      </c>
      <c r="J76" t="str">
        <f t="shared" si="1"/>
        <v>B36;CSI2_DP_0;KA107;20.869;0.649999999999998;506021;807025;603107;</v>
      </c>
    </row>
    <row r="77" spans="1:10">
      <c r="A77" t="s">
        <v>148</v>
      </c>
      <c r="B77" t="str">
        <f>_xlfn.XLOOKUP(A77,'Pinlist(S1)'!$Q$4:$Q$1362,'Pinlist(S1)'!$R$4:$R$1362,"")</f>
        <v>CSI2_DP_3</v>
      </c>
      <c r="C77" t="str" cm="1">
        <f t="array" ref="C77">_xlfn.TEXTJOIN(",",TRUE,_xlfn.UNIQUE(TRANSPOSE(_xlfn.MAP(_xlfn.XLOOKUP(A77,'Pinlist(S1)'!$C$4:$C$1362,'Pinlist(S1)'!$F$4:$K$1362,""),_xlfn.LAMBDA(_xlpm.x,IF(_xlpm.x&lt;&gt;"",TRIM(CLEAN(LEFT(_xlpm.x,FIND(".",_xlpm.x &amp; ".")-1))),""))))))</f>
        <v>KA107</v>
      </c>
      <c r="D77">
        <v>21.995999999999999</v>
      </c>
      <c r="E77">
        <v>0.64999999999999802</v>
      </c>
      <c r="F77" t="str">
        <f>_xlfn.LET(_xlpm.raw,_xlfn.XLOOKUP(A77,'Pinlist(S1)'!$C$4:$C$1362,'Pinlist(S1)'!$E$4:$E$1362,""),_xlpm.cleanRaw,SUBSTITUTE(SUBSTITUTE(_xlpm.raw,"_PIN","."),"PIN","."),_xlpm.mainPart,MID(_xlpm.cleanRaw,2,FIND(".",_xlpm.cleanRaw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77" t="str">
        <f>_xlfn.LET(_xlpm.raw,_xlfn.XLOOKUP(A77,'Pinlist(S3)'!$C$4:$C$1362,'Pinlist(S3)'!$E$4:$E$1362,""),_xlpm.cleanRaw,SUBSTITUTE(SUBSTITUTE(_xlpm.raw,"_PIN","."),"PIN","."),_xlpm.mainPart,MID(_xlpm.cleanRaw,2,FIND(".",_xlpm.cleanRaw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77" t="str">
        <f>_xlfn.LET(_xlpm.raw,_xlfn.XLOOKUP(A77,'Pinlist(S5)'!$C$4:$C$1362,'Pinlist(S5)'!$E$4:$E$1362,""),_xlpm.cleanRaw,SUBSTITUTE(SUBSTITUTE(_xlpm.raw,"_PIN","."),"PIN","."),_xlpm.mainPart,MID(_xlpm.cleanRaw,2,FIND(".",_xlpm.cleanRaw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77" t="str">
        <f>""</f>
        <v/>
      </c>
      <c r="J77" t="str">
        <f t="shared" si="1"/>
        <v>B38;CSI2_DP_3;KA107;21.996;0.649999999999998;507090;806125;701089;</v>
      </c>
    </row>
    <row r="78" spans="1:10">
      <c r="A78" t="s">
        <v>2074</v>
      </c>
      <c r="B78" t="str">
        <f>_xlfn.XLOOKUP(A78,'Pinlist(S1)'!$Q$4:$Q$1362,'Pinlist(S1)'!$R$4:$R$1362,"")</f>
        <v>VSS</v>
      </c>
      <c r="C78" t="str" cm="1">
        <f t="array" ref="C78">_xlfn.TEXTJOIN(",",TRUE,_xlfn.UNIQUE(TRANSPOSE(_xlfn.MAP(_xlfn.XLOOKUP(A78,'Pinlist(S1)'!$C$4:$C$1362,'Pinlist(S1)'!$F$4:$K$1362,""),_xlfn.LAMBDA(_xlpm.x,IF(_xlpm.x&lt;&gt;"",TRIM(CLEAN(LEFT(_xlpm.x,FIND(".",_xlpm.x &amp; ".")-1))),""))))))</f>
        <v/>
      </c>
      <c r="D78">
        <v>22.670999999999999</v>
      </c>
      <c r="E78">
        <v>0.97500000000000098</v>
      </c>
      <c r="F78" t="str">
        <f>_xlfn.LET(_xlpm.raw,_xlfn.XLOOKUP(A78,'Pinlist(S1)'!$C$4:$C$1362,'Pinlist(S1)'!$E$4:$E$1362,""),_xlpm.cleanRaw,SUBSTITUTE(SUBSTITUTE(_xlpm.raw,"_PIN","."),"PIN","."),_xlpm.mainPart,MID(_xlpm.cleanRaw,2,FIND(".",_xlpm.cleanRaw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" t="str">
        <f>_xlfn.LET(_xlpm.raw,_xlfn.XLOOKUP(A78,'Pinlist(S3)'!$C$4:$C$1362,'Pinlist(S3)'!$E$4:$E$1362,""),_xlpm.cleanRaw,SUBSTITUTE(SUBSTITUTE(_xlpm.raw,"_PIN","."),"PIN","."),_xlpm.mainPart,MID(_xlpm.cleanRaw,2,FIND(".",_xlpm.cleanRaw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" t="str">
        <f>_xlfn.LET(_xlpm.raw,_xlfn.XLOOKUP(A78,'Pinlist(S5)'!$C$4:$C$1362,'Pinlist(S5)'!$E$4:$E$1362,""),_xlpm.cleanRaw,SUBSTITUTE(SUBSTITUTE(_xlpm.raw,"_PIN","."),"PIN","."),_xlpm.mainPart,MID(_xlpm.cleanRaw,2,FIND(".",_xlpm.cleanRaw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" t="str">
        <f>""</f>
        <v/>
      </c>
      <c r="J78" t="str">
        <f t="shared" si="1"/>
        <v>B39;VSS;;22.671;0.975000000000001;;;;</v>
      </c>
    </row>
    <row r="79" spans="1:10">
      <c r="A79" t="s">
        <v>46</v>
      </c>
      <c r="B79" t="str">
        <f>_xlfn.XLOOKUP(A79,'Pinlist(S1)'!$Q$4:$Q$1362,'Pinlist(S1)'!$R$4:$R$1362,"")</f>
        <v>CLKOUT_SRC_N_4</v>
      </c>
      <c r="C79" t="str" cm="1">
        <f t="array" ref="C79">_xlfn.TEXTJOIN(",",TRUE,_xlfn.UNIQUE(TRANSPOSE(_xlfn.MAP(_xlfn.XLOOKUP(A79,'Pinlist(S1)'!$C$4:$C$1362,'Pinlist(S1)'!$F$4:$K$1362,""),_xlfn.LAMBDA(_xlpm.x,IF(_xlpm.x&lt;&gt;"",TRIM(CLEAN(LEFT(_xlpm.x,FIND(".",_xlpm.x &amp; ".")-1))),""))))))</f>
        <v>TPA103,KA102</v>
      </c>
      <c r="D79">
        <v>23.347000000000001</v>
      </c>
      <c r="E79">
        <v>0.64999999999999802</v>
      </c>
      <c r="F79" t="str">
        <f>_xlfn.LET(_xlpm.raw,_xlfn.XLOOKUP(A79,'Pinlist(S1)'!$C$4:$C$1362,'Pinlist(S1)'!$E$4:$E$1362,""),_xlpm.cleanRaw,SUBSTITUTE(SUBSTITUTE(_xlpm.raw,"_PIN","."),"PIN","."),_xlpm.mainPart,MID(_xlpm.cleanRaw,2,FIND(".",_xlpm.cleanRaw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79" t="str">
        <f>_xlfn.LET(_xlpm.raw,_xlfn.XLOOKUP(A79,'Pinlist(S3)'!$C$4:$C$1362,'Pinlist(S3)'!$E$4:$E$1362,""),_xlpm.cleanRaw,SUBSTITUTE(SUBSTITUTE(_xlpm.raw,"_PIN","."),"PIN","."),_xlpm.mainPart,MID(_xlpm.cleanRaw,2,FIND(".",_xlpm.cleanRaw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79" t="str">
        <f>_xlfn.LET(_xlpm.raw,_xlfn.XLOOKUP(A79,'Pinlist(S5)'!$C$4:$C$1362,'Pinlist(S5)'!$E$4:$E$1362,""),_xlpm.cleanRaw,SUBSTITUTE(SUBSTITUTE(_xlpm.raw,"_PIN","."),"PIN","."),_xlpm.mainPart,MID(_xlpm.cleanRaw,2,FIND(".",_xlpm.cleanRaw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79" t="str">
        <f>""</f>
        <v/>
      </c>
      <c r="J79" t="str">
        <f t="shared" si="1"/>
        <v>B40;CLKOUT_SRC_N_4;TPA103,KA102;23.347;0.649999999999998;505075;805077;702082;</v>
      </c>
    </row>
    <row r="80" spans="1:10">
      <c r="A80" t="s">
        <v>40</v>
      </c>
      <c r="B80" t="str">
        <f>_xlfn.XLOOKUP(A80,'Pinlist(S1)'!$Q$4:$Q$1362,'Pinlist(S1)'!$R$4:$R$1362,"")</f>
        <v>CLKOUT_SRC_N_1</v>
      </c>
      <c r="C80" t="str" cm="1">
        <f t="array" ref="C80">_xlfn.TEXTJOIN(",",TRUE,_xlfn.UNIQUE(TRANSPOSE(_xlfn.MAP(_xlfn.XLOOKUP(A80,'Pinlist(S1)'!$C$4:$C$1362,'Pinlist(S1)'!$F$4:$K$1362,""),_xlfn.LAMBDA(_xlpm.x,IF(_xlpm.x&lt;&gt;"",TRIM(CLEAN(LEFT(_xlpm.x,FIND(".",_xlpm.x &amp; ".")-1))),""))))))</f>
        <v>TPA103,KA102</v>
      </c>
      <c r="D80">
        <v>24.474</v>
      </c>
      <c r="E80">
        <v>0.64999999999999802</v>
      </c>
      <c r="F80" t="str">
        <f>_xlfn.LET(_xlpm.raw,_xlfn.XLOOKUP(A80,'Pinlist(S1)'!$C$4:$C$1362,'Pinlist(S1)'!$E$4:$E$1362,""),_xlpm.cleanRaw,SUBSTITUTE(SUBSTITUTE(_xlpm.raw,"_PIN","."),"PIN","."),_xlpm.mainPart,MID(_xlpm.cleanRaw,2,FIND(".",_xlpm.cleanRaw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80" t="str">
        <f>_xlfn.LET(_xlpm.raw,_xlfn.XLOOKUP(A80,'Pinlist(S3)'!$C$4:$C$1362,'Pinlist(S3)'!$E$4:$E$1362,""),_xlpm.cleanRaw,SUBSTITUTE(SUBSTITUTE(_xlpm.raw,"_PIN","."),"PIN","."),_xlpm.mainPart,MID(_xlpm.cleanRaw,2,FIND(".",_xlpm.cleanRaw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80" t="str">
        <f>_xlfn.LET(_xlpm.raw,_xlfn.XLOOKUP(A80,'Pinlist(S5)'!$C$4:$C$1362,'Pinlist(S5)'!$E$4:$E$1362,""),_xlpm.cleanRaw,SUBSTITUTE(SUBSTITUTE(_xlpm.raw,"_PIN","."),"PIN","."),_xlpm.mainPart,MID(_xlpm.cleanRaw,2,FIND(".",_xlpm.cleanRaw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80" t="str">
        <f>""</f>
        <v/>
      </c>
      <c r="J80" t="str">
        <f t="shared" si="1"/>
        <v>B42;CLKOUT_SRC_N_1;TPA103,KA102;24.474;0.649999999999998;505075;805077;702082;</v>
      </c>
    </row>
    <row r="81" spans="1:10">
      <c r="A81" t="s">
        <v>2075</v>
      </c>
      <c r="B81" t="str">
        <f>_xlfn.XLOOKUP(A81,'Pinlist(S1)'!$Q$4:$Q$1362,'Pinlist(S1)'!$R$4:$R$1362,"")</f>
        <v>VSS</v>
      </c>
      <c r="C81" t="str" cm="1">
        <f t="array" ref="C81">_xlfn.TEXTJOIN(",",TRUE,_xlfn.UNIQUE(TRANSPOSE(_xlfn.MAP(_xlfn.XLOOKUP(A81,'Pinlist(S1)'!$C$4:$C$1362,'Pinlist(S1)'!$F$4:$K$1362,""),_xlfn.LAMBDA(_xlpm.x,IF(_xlpm.x&lt;&gt;"",TRIM(CLEAN(LEFT(_xlpm.x,FIND(".",_xlpm.x &amp; ".")-1))),""))))))</f>
        <v/>
      </c>
      <c r="D81">
        <v>25.149000000000001</v>
      </c>
      <c r="E81">
        <v>0.97500000000000098</v>
      </c>
      <c r="F81" t="str">
        <f>_xlfn.LET(_xlpm.raw,_xlfn.XLOOKUP(A81,'Pinlist(S1)'!$C$4:$C$1362,'Pinlist(S1)'!$E$4:$E$1362,""),_xlpm.cleanRaw,SUBSTITUTE(SUBSTITUTE(_xlpm.raw,"_PIN","."),"PIN","."),_xlpm.mainPart,MID(_xlpm.cleanRaw,2,FIND(".",_xlpm.cleanRaw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" t="str">
        <f>_xlfn.LET(_xlpm.raw,_xlfn.XLOOKUP(A81,'Pinlist(S3)'!$C$4:$C$1362,'Pinlist(S3)'!$E$4:$E$1362,""),_xlpm.cleanRaw,SUBSTITUTE(SUBSTITUTE(_xlpm.raw,"_PIN","."),"PIN","."),_xlpm.mainPart,MID(_xlpm.cleanRaw,2,FIND(".",_xlpm.cleanRaw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" t="str">
        <f>_xlfn.LET(_xlpm.raw,_xlfn.XLOOKUP(A81,'Pinlist(S5)'!$C$4:$C$1362,'Pinlist(S5)'!$E$4:$E$1362,""),_xlpm.cleanRaw,SUBSTITUTE(SUBSTITUTE(_xlpm.raw,"_PIN","."),"PIN","."),_xlpm.mainPart,MID(_xlpm.cleanRaw,2,FIND(".",_xlpm.cleanRaw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" t="str">
        <f>""</f>
        <v/>
      </c>
      <c r="J81" t="str">
        <f t="shared" si="1"/>
        <v>B44;VSS;;25.149;0.975000000000001;;;;</v>
      </c>
    </row>
    <row r="82" spans="1:10">
      <c r="A82" t="s">
        <v>738</v>
      </c>
      <c r="B82" t="str">
        <f>_xlfn.XLOOKUP(A82,'Pinlist(S1)'!$Q$4:$Q$1362,'Pinlist(S1)'!$R$4:$R$1362,"")</f>
        <v>EDP_TXP[2]</v>
      </c>
      <c r="C82" t="str" cm="1">
        <f t="array" ref="C82">_xlfn.TEXTJOIN(",",TRUE,_xlfn.UNIQUE(TRANSPOSE(_xlfn.MAP(_xlfn.XLOOKUP(A82,'Pinlist(S1)'!$C$4:$C$1362,'Pinlist(S1)'!$F$4:$K$1362,""),_xlfn.LAMBDA(_xlpm.x,IF(_xlpm.x&lt;&gt;"",TRIM(CLEAN(LEFT(_xlpm.x,FIND(".",_xlpm.x &amp; ".")-1))),""))))))</f>
        <v/>
      </c>
      <c r="D82">
        <v>25.824999999999999</v>
      </c>
      <c r="E82">
        <v>0.64999999999999802</v>
      </c>
      <c r="F82" t="str">
        <f>_xlfn.LET(_xlpm.raw,_xlfn.XLOOKUP(A82,'Pinlist(S1)'!$C$4:$C$1362,'Pinlist(S1)'!$E$4:$E$1362,""),_xlpm.cleanRaw,SUBSTITUTE(SUBSTITUTE(_xlpm.raw,"_PIN","."),"PIN","."),_xlpm.mainPart,MID(_xlpm.cleanRaw,2,FIND(".",_xlpm.cleanRaw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608067</v>
      </c>
      <c r="G82" t="str">
        <f>_xlfn.LET(_xlpm.raw,_xlfn.XLOOKUP(A82,'Pinlist(S3)'!$C$4:$C$1362,'Pinlist(S3)'!$E$4:$E$1362,""),_xlpm.cleanRaw,SUBSTITUTE(SUBSTITUTE(_xlpm.raw,"_PIN","."),"PIN","."),_xlpm.mainPart,MID(_xlpm.cleanRaw,2,FIND(".",_xlpm.cleanRaw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801021</v>
      </c>
      <c r="H82" t="str">
        <f>_xlfn.LET(_xlpm.raw,_xlfn.XLOOKUP(A82,'Pinlist(S5)'!$C$4:$C$1362,'Pinlist(S5)'!$E$4:$E$1362,""),_xlpm.cleanRaw,SUBSTITUTE(SUBSTITUTE(_xlpm.raw,"_PIN","."),"PIN","."),_xlpm.mainPart,MID(_xlpm.cleanRaw,2,FIND(".",_xlpm.cleanRaw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708065</v>
      </c>
      <c r="I82" t="str">
        <f>""</f>
        <v/>
      </c>
      <c r="J82" t="str">
        <f t="shared" si="1"/>
        <v>B45;EDP_TXP[2];;25.825;0.649999999999998;608067;801021;708065;</v>
      </c>
    </row>
    <row r="83" spans="1:10">
      <c r="A83" t="s">
        <v>740</v>
      </c>
      <c r="B83" t="str">
        <f>_xlfn.XLOOKUP(A83,'Pinlist(S1)'!$Q$4:$Q$1362,'Pinlist(S1)'!$R$4:$R$1362,"")</f>
        <v>EDP_TXP[3]</v>
      </c>
      <c r="C83" t="str" cm="1">
        <f t="array" ref="C83">_xlfn.TEXTJOIN(",",TRUE,_xlfn.UNIQUE(TRANSPOSE(_xlfn.MAP(_xlfn.XLOOKUP(A83,'Pinlist(S1)'!$C$4:$C$1362,'Pinlist(S1)'!$F$4:$K$1362,""),_xlfn.LAMBDA(_xlpm.x,IF(_xlpm.x&lt;&gt;"",TRIM(CLEAN(LEFT(_xlpm.x,FIND(".",_xlpm.x &amp; ".")-1))),""))))))</f>
        <v/>
      </c>
      <c r="D83">
        <v>26.951999999999899</v>
      </c>
      <c r="E83">
        <v>0.64999999999999802</v>
      </c>
      <c r="F83" t="str">
        <f>_xlfn.LET(_xlpm.raw,_xlfn.XLOOKUP(A83,'Pinlist(S1)'!$C$4:$C$1362,'Pinlist(S1)'!$E$4:$E$1362,""),_xlpm.cleanRaw,SUBSTITUTE(SUBSTITUTE(_xlpm.raw,"_PIN","."),"PIN","."),_xlpm.mainPart,MID(_xlpm.cleanRaw,2,FIND(".",_xlpm.cleanRaw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607020</v>
      </c>
      <c r="G83" t="str">
        <f>_xlfn.LET(_xlpm.raw,_xlfn.XLOOKUP(A83,'Pinlist(S3)'!$C$4:$C$1362,'Pinlist(S3)'!$E$4:$E$1362,""),_xlpm.cleanRaw,SUBSTITUTE(SUBSTITUTE(_xlpm.raw,"_PIN","."),"PIN","."),_xlpm.mainPart,MID(_xlpm.cleanRaw,2,FIND(".",_xlpm.cleanRaw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502074</v>
      </c>
      <c r="H83" t="str">
        <f>_xlfn.LET(_xlpm.raw,_xlfn.XLOOKUP(A83,'Pinlist(S5)'!$C$4:$C$1362,'Pinlist(S5)'!$E$4:$E$1362,""),_xlpm.cleanRaw,SUBSTITUTE(SUBSTITUTE(_xlpm.raw,"_PIN","."),"PIN","."),_xlpm.mainPart,MID(_xlpm.cleanRaw,2,FIND(".",_xlpm.cleanRaw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706020</v>
      </c>
      <c r="I83" t="str">
        <f>""</f>
        <v/>
      </c>
      <c r="J83" t="str">
        <f t="shared" si="1"/>
        <v>B47;EDP_TXP[3];;26.9519999999999;0.649999999999998;607020;502074;706020;</v>
      </c>
    </row>
    <row r="84" spans="1:10">
      <c r="A84" t="s">
        <v>2076</v>
      </c>
      <c r="B84" t="str">
        <f>_xlfn.XLOOKUP(A84,'Pinlist(S1)'!$Q$4:$Q$1362,'Pinlist(S1)'!$R$4:$R$1362,"")</f>
        <v>VSS</v>
      </c>
      <c r="C84" t="str" cm="1">
        <f t="array" ref="C84">_xlfn.TEXTJOIN(",",TRUE,_xlfn.UNIQUE(TRANSPOSE(_xlfn.MAP(_xlfn.XLOOKUP(A84,'Pinlist(S1)'!$C$4:$C$1362,'Pinlist(S1)'!$F$4:$K$1362,""),_xlfn.LAMBDA(_xlpm.x,IF(_xlpm.x&lt;&gt;"",TRIM(CLEAN(LEFT(_xlpm.x,FIND(".",_xlpm.x &amp; ".")-1))),""))))))</f>
        <v/>
      </c>
      <c r="D84">
        <v>27.626999999999999</v>
      </c>
      <c r="E84">
        <v>0.97500000000000098</v>
      </c>
      <c r="F84" t="str">
        <f>_xlfn.LET(_xlpm.raw,_xlfn.XLOOKUP(A84,'Pinlist(S1)'!$C$4:$C$1362,'Pinlist(S1)'!$E$4:$E$1362,""),_xlpm.cleanRaw,SUBSTITUTE(SUBSTITUTE(_xlpm.raw,"_PIN","."),"PIN","."),_xlpm.mainPart,MID(_xlpm.cleanRaw,2,FIND(".",_xlpm.cleanRaw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" t="str">
        <f>_xlfn.LET(_xlpm.raw,_xlfn.XLOOKUP(A84,'Pinlist(S3)'!$C$4:$C$1362,'Pinlist(S3)'!$E$4:$E$1362,""),_xlpm.cleanRaw,SUBSTITUTE(SUBSTITUTE(_xlpm.raw,"_PIN","."),"PIN","."),_xlpm.mainPart,MID(_xlpm.cleanRaw,2,FIND(".",_xlpm.cleanRaw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" t="str">
        <f>_xlfn.LET(_xlpm.raw,_xlfn.XLOOKUP(A84,'Pinlist(S5)'!$C$4:$C$1362,'Pinlist(S5)'!$E$4:$E$1362,""),_xlpm.cleanRaw,SUBSTITUTE(SUBSTITUTE(_xlpm.raw,"_PIN","."),"PIN","."),_xlpm.mainPart,MID(_xlpm.cleanRaw,2,FIND(".",_xlpm.cleanRaw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4" t="str">
        <f>""</f>
        <v/>
      </c>
      <c r="J84" t="str">
        <f t="shared" si="1"/>
        <v>B48;VSS;;27.627;0.975000000000001;;;;</v>
      </c>
    </row>
    <row r="85" spans="1:10">
      <c r="A85" t="s">
        <v>213</v>
      </c>
      <c r="B85" t="str">
        <f>_xlfn.XLOOKUP(A85,'Pinlist(S1)'!$Q$4:$Q$1362,'Pinlist(S1)'!$R$4:$R$1362,"")</f>
        <v>DDI2_TXP[2]</v>
      </c>
      <c r="C85" t="str" cm="1">
        <f t="array" ref="C85">_xlfn.TEXTJOIN(",",TRUE,_xlfn.UNIQUE(TRANSPOSE(_xlfn.MAP(_xlfn.XLOOKUP(A85,'Pinlist(S1)'!$C$4:$C$1362,'Pinlist(S1)'!$F$4:$K$1362,""),_xlfn.LAMBDA(_xlpm.x,IF(_xlpm.x&lt;&gt;"",TRIM(CLEAN(LEFT(_xlpm.x,FIND(".",_xlpm.x &amp; ".")-1))),""))))))</f>
        <v>KA129</v>
      </c>
      <c r="D85">
        <v>28.303000000000001</v>
      </c>
      <c r="E85">
        <v>0.64999999999999802</v>
      </c>
      <c r="F85" t="str">
        <f>_xlfn.LET(_xlpm.raw,_xlfn.XLOOKUP(A85,'Pinlist(S1)'!$C$4:$C$1362,'Pinlist(S1)'!$E$4:$E$1362,""),_xlpm.cleanRaw,SUBSTITUTE(SUBSTITUTE(_xlpm.raw,"_PIN","."),"PIN","."),_xlpm.mainPart,MID(_xlpm.cleanRaw,2,FIND(".",_xlpm.cleanRaw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85" t="str">
        <f>_xlfn.LET(_xlpm.raw,_xlfn.XLOOKUP(A85,'Pinlist(S3)'!$C$4:$C$1362,'Pinlist(S3)'!$E$4:$E$1362,""),_xlpm.cleanRaw,SUBSTITUTE(SUBSTITUTE(_xlpm.raw,"_PIN","."),"PIN","."),_xlpm.mainPart,MID(_xlpm.cleanRaw,2,FIND(".",_xlpm.cleanRaw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503019</v>
      </c>
      <c r="H85" t="str">
        <f>_xlfn.LET(_xlpm.raw,_xlfn.XLOOKUP(A85,'Pinlist(S5)'!$C$4:$C$1362,'Pinlist(S5)'!$E$4:$E$1362,""),_xlpm.cleanRaw,SUBSTITUTE(SUBSTITUTE(_xlpm.raw,"_PIN","."),"PIN","."),_xlpm.mainPart,MID(_xlpm.cleanRaw,2,FIND(".",_xlpm.cleanRaw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I85" t="str">
        <f>""</f>
        <v/>
      </c>
      <c r="J85" t="str">
        <f t="shared" si="1"/>
        <v>B50;DDI2_TXP[2];KA129;28.303;0.649999999999998;604011;503019;709028;</v>
      </c>
    </row>
    <row r="86" spans="1:10">
      <c r="A86" t="s">
        <v>724</v>
      </c>
      <c r="B86" t="str">
        <f>_xlfn.XLOOKUP(A86,'Pinlist(S1)'!$Q$4:$Q$1362,'Pinlist(S1)'!$R$4:$R$1362,"")</f>
        <v>EDP_DISP_UTIL</v>
      </c>
      <c r="C86" t="str" cm="1">
        <f t="array" ref="C86">_xlfn.TEXTJOIN(",",TRUE,_xlfn.UNIQUE(TRANSPOSE(_xlfn.MAP(_xlfn.XLOOKUP(A86,'Pinlist(S1)'!$C$4:$C$1362,'Pinlist(S1)'!$F$4:$K$1362,""),_xlfn.LAMBDA(_xlpm.x,IF(_xlpm.x&lt;&gt;"",TRIM(CLEAN(LEFT(_xlpm.x,FIND(".",_xlpm.x &amp; ".")-1))),""))))))</f>
        <v/>
      </c>
      <c r="D86">
        <v>29.43</v>
      </c>
      <c r="E86">
        <v>0.64999999999999802</v>
      </c>
      <c r="F86" t="str">
        <f>_xlfn.LET(_xlpm.raw,_xlfn.XLOOKUP(A86,'Pinlist(S1)'!$C$4:$C$1362,'Pinlist(S1)'!$E$4:$E$1362,""),_xlpm.cleanRaw,SUBSTITUTE(SUBSTITUTE(_xlpm.raw,"_PIN","."),"PIN","."),_xlpm.mainPart,MID(_xlpm.cleanRaw,2,FIND(".",_xlpm.cleanRaw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608078</v>
      </c>
      <c r="G86" t="str">
        <f>_xlfn.LET(_xlpm.raw,_xlfn.XLOOKUP(A86,'Pinlist(S3)'!$C$4:$C$1362,'Pinlist(S3)'!$E$4:$E$1362,""),_xlpm.cleanRaw,SUBSTITUTE(SUBSTITUTE(_xlpm.raw,"_PIN","."),"PIN","."),_xlpm.mainPart,MID(_xlpm.cleanRaw,2,FIND(".",_xlpm.cleanRaw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802078</v>
      </c>
      <c r="H86" t="str">
        <f>_xlfn.LET(_xlpm.raw,_xlfn.XLOOKUP(A86,'Pinlist(S5)'!$C$4:$C$1362,'Pinlist(S5)'!$E$4:$E$1362,""),_xlpm.cleanRaw,SUBSTITUTE(SUBSTITUTE(_xlpm.raw,"_PIN","."),"PIN","."),_xlpm.mainPart,MID(_xlpm.cleanRaw,2,FIND(".",_xlpm.cleanRaw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705078</v>
      </c>
      <c r="I86" t="str">
        <f>""</f>
        <v/>
      </c>
      <c r="J86" t="str">
        <f t="shared" si="1"/>
        <v>B52;EDP_DISP_UTIL;;29.43;0.649999999999998;608078;802078;705078;</v>
      </c>
    </row>
    <row r="87" spans="1:10">
      <c r="A87" t="s">
        <v>2077</v>
      </c>
      <c r="B87" t="str">
        <f>_xlfn.XLOOKUP(A87,'Pinlist(S1)'!$Q$4:$Q$1362,'Pinlist(S1)'!$R$4:$R$1362,"")</f>
        <v>VSS</v>
      </c>
      <c r="C87" t="str" cm="1">
        <f t="array" ref="C87">_xlfn.TEXTJOIN(",",TRUE,_xlfn.UNIQUE(TRANSPOSE(_xlfn.MAP(_xlfn.XLOOKUP(A87,'Pinlist(S1)'!$C$4:$C$1362,'Pinlist(S1)'!$F$4:$K$1362,""),_xlfn.LAMBDA(_xlpm.x,IF(_xlpm.x&lt;&gt;"",TRIM(CLEAN(LEFT(_xlpm.x,FIND(".",_xlpm.x &amp; ".")-1))),""))))))</f>
        <v/>
      </c>
      <c r="D87">
        <v>30.105</v>
      </c>
      <c r="E87">
        <v>0.97500000000000098</v>
      </c>
      <c r="F87" t="str">
        <f>_xlfn.LET(_xlpm.raw,_xlfn.XLOOKUP(A87,'Pinlist(S1)'!$C$4:$C$1362,'Pinlist(S1)'!$E$4:$E$1362,""),_xlpm.cleanRaw,SUBSTITUTE(SUBSTITUTE(_xlpm.raw,"_PIN","."),"PIN","."),_xlpm.mainPart,MID(_xlpm.cleanRaw,2,FIND(".",_xlpm.cleanRaw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" t="str">
        <f>_xlfn.LET(_xlpm.raw,_xlfn.XLOOKUP(A87,'Pinlist(S3)'!$C$4:$C$1362,'Pinlist(S3)'!$E$4:$E$1362,""),_xlpm.cleanRaw,SUBSTITUTE(SUBSTITUTE(_xlpm.raw,"_PIN","."),"PIN","."),_xlpm.mainPart,MID(_xlpm.cleanRaw,2,FIND(".",_xlpm.cleanRaw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" t="str">
        <f>_xlfn.LET(_xlpm.raw,_xlfn.XLOOKUP(A87,'Pinlist(S5)'!$C$4:$C$1362,'Pinlist(S5)'!$E$4:$E$1362,""),_xlpm.cleanRaw,SUBSTITUTE(SUBSTITUTE(_xlpm.raw,"_PIN","."),"PIN","."),_xlpm.mainPart,MID(_xlpm.cleanRaw,2,FIND(".",_xlpm.cleanRaw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" t="str">
        <f>""</f>
        <v/>
      </c>
      <c r="J87" t="str">
        <f t="shared" si="1"/>
        <v>B53;VSS;;30.105;0.975000000000001;;;;</v>
      </c>
    </row>
    <row r="88" spans="1:10">
      <c r="A88" t="s">
        <v>1143</v>
      </c>
      <c r="B88" t="str">
        <f>_xlfn.XLOOKUP(A88,'Pinlist(S1)'!$Q$4:$Q$1362,'Pinlist(S1)'!$R$4:$R$1362,"")</f>
        <v>MBP_N[2]</v>
      </c>
      <c r="C88" t="str" cm="1">
        <f t="array" ref="C88">_xlfn.TEXTJOIN(",",TRUE,_xlfn.UNIQUE(TRANSPOSE(_xlfn.MAP(_xlfn.XLOOKUP(A88,'Pinlist(S1)'!$C$4:$C$1362,'Pinlist(S1)'!$F$4:$K$1362,""),_xlfn.LAMBDA(_xlpm.x,IF(_xlpm.x&lt;&gt;"",TRIM(CLEAN(LEFT(_xlpm.x,FIND(".",_xlpm.x &amp; ".")-1))),""))))))</f>
        <v/>
      </c>
      <c r="D88">
        <v>30.780999999999999</v>
      </c>
      <c r="E88">
        <v>0.64999999999999802</v>
      </c>
      <c r="F88" t="str">
        <f>_xlfn.LET(_xlpm.raw,_xlfn.XLOOKUP(A88,'Pinlist(S1)'!$C$4:$C$1362,'Pinlist(S1)'!$E$4:$E$1362,""),_xlpm.cleanRaw,SUBSTITUTE(SUBSTITUTE(_xlpm.raw,"_PIN","."),"PIN","."),_xlpm.mainPart,MID(_xlpm.cleanRaw,2,FIND(".",_xlpm.cleanRaw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605048</v>
      </c>
      <c r="G88" t="str">
        <f>_xlfn.LET(_xlpm.raw,_xlfn.XLOOKUP(A88,'Pinlist(S3)'!$C$4:$C$1362,'Pinlist(S3)'!$E$4:$E$1362,""),_xlpm.cleanRaw,SUBSTITUTE(SUBSTITUTE(_xlpm.raw,"_PIN","."),"PIN","."),_xlpm.mainPart,MID(_xlpm.cleanRaw,2,FIND(".",_xlpm.cleanRaw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502056</v>
      </c>
      <c r="H88" t="str">
        <f>_xlfn.LET(_xlpm.raw,_xlfn.XLOOKUP(A88,'Pinlist(S5)'!$C$4:$C$1362,'Pinlist(S5)'!$E$4:$E$1362,""),_xlpm.cleanRaw,SUBSTITUTE(SUBSTITUTE(_xlpm.raw,"_PIN","."),"PIN","."),_xlpm.mainPart,MID(_xlpm.cleanRaw,2,FIND(".",_xlpm.cleanRaw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708052</v>
      </c>
      <c r="I88" t="str">
        <f>""</f>
        <v/>
      </c>
      <c r="J88" t="str">
        <f t="shared" si="1"/>
        <v>B54;MBP_N[2];;30.781;0.649999999999998;605048;502056;708052;</v>
      </c>
    </row>
    <row r="89" spans="1:10">
      <c r="A89" t="s">
        <v>1208</v>
      </c>
      <c r="B89" t="str">
        <f>_xlfn.XLOOKUP(A89,'Pinlist(S1)'!$Q$4:$Q$1362,'Pinlist(S1)'!$R$4:$R$1362,"")</f>
        <v>PCH_JTAG_TCK</v>
      </c>
      <c r="C89" t="str" cm="1">
        <f t="array" ref="C89">_xlfn.TEXTJOIN(",",TRUE,_xlfn.UNIQUE(TRANSPOSE(_xlfn.MAP(_xlfn.XLOOKUP(A89,'Pinlist(S1)'!$C$4:$C$1362,'Pinlist(S1)'!$F$4:$K$1362,""),_xlfn.LAMBDA(_xlpm.x,IF(_xlpm.x&lt;&gt;"",TRIM(CLEAN(LEFT(_xlpm.x,FIND(".",_xlpm.x &amp; ".")-1))),""))))))</f>
        <v/>
      </c>
      <c r="D89">
        <v>31.908000000000001</v>
      </c>
      <c r="E89">
        <v>0.64999999999999802</v>
      </c>
      <c r="F89" t="str">
        <f>_xlfn.LET(_xlpm.raw,_xlfn.XLOOKUP(A89,'Pinlist(S1)'!$C$4:$C$1362,'Pinlist(S1)'!$E$4:$E$1362,""),_xlpm.cleanRaw,SUBSTITUTE(SUBSTITUTE(_xlpm.raw,"_PIN","."),"PIN","."),_xlpm.mainPart,MID(_xlpm.cleanRaw,2,FIND(".",_xlpm.cleanRaw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504110</v>
      </c>
      <c r="G89" t="str">
        <f>_xlfn.LET(_xlpm.raw,_xlfn.XLOOKUP(A89,'Pinlist(S3)'!$C$4:$C$1362,'Pinlist(S3)'!$E$4:$E$1362,""),_xlpm.cleanRaw,SUBSTITUTE(SUBSTITUTE(_xlpm.raw,"_PIN","."),"PIN","."),_xlpm.mainPart,MID(_xlpm.cleanRaw,2,FIND(".",_xlpm.cleanRaw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808056</v>
      </c>
      <c r="H89" t="str">
        <f>_xlfn.LET(_xlpm.raw,_xlfn.XLOOKUP(A89,'Pinlist(S5)'!$C$4:$C$1362,'Pinlist(S5)'!$E$4:$E$1362,""),_xlpm.cleanRaw,SUBSTITUTE(SUBSTITUTE(_xlpm.raw,"_PIN","."),"PIN","."),_xlpm.mainPart,MID(_xlpm.cleanRaw,2,FIND(".",_xlpm.cleanRaw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702077</v>
      </c>
      <c r="I89" t="str">
        <f>""</f>
        <v/>
      </c>
      <c r="J89" t="str">
        <f t="shared" si="1"/>
        <v>B56;PCH_JTAG_TCK;;31.908;0.649999999999998;504110;808056;702077;</v>
      </c>
    </row>
    <row r="90" spans="1:10">
      <c r="A90" t="s">
        <v>2078</v>
      </c>
      <c r="B90" t="str">
        <f>_xlfn.XLOOKUP(A90,'Pinlist(S1)'!$Q$4:$Q$1362,'Pinlist(S1)'!$R$4:$R$1362,"")</f>
        <v>VSS</v>
      </c>
      <c r="C90" t="str" cm="1">
        <f t="array" ref="C90">_xlfn.TEXTJOIN(",",TRUE,_xlfn.UNIQUE(TRANSPOSE(_xlfn.MAP(_xlfn.XLOOKUP(A90,'Pinlist(S1)'!$C$4:$C$1362,'Pinlist(S1)'!$F$4:$K$1362,""),_xlfn.LAMBDA(_xlpm.x,IF(_xlpm.x&lt;&gt;"",TRIM(CLEAN(LEFT(_xlpm.x,FIND(".",_xlpm.x &amp; ".")-1))),""))))))</f>
        <v/>
      </c>
      <c r="D90">
        <v>32.584000000000003</v>
      </c>
      <c r="E90">
        <v>0.97500000000000098</v>
      </c>
      <c r="F90" t="str">
        <f>_xlfn.LET(_xlpm.raw,_xlfn.XLOOKUP(A90,'Pinlist(S1)'!$C$4:$C$1362,'Pinlist(S1)'!$E$4:$E$1362,""),_xlpm.cleanRaw,SUBSTITUTE(SUBSTITUTE(_xlpm.raw,"_PIN","."),"PIN","."),_xlpm.mainPart,MID(_xlpm.cleanRaw,2,FIND(".",_xlpm.cleanRaw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" t="str">
        <f>_xlfn.LET(_xlpm.raw,_xlfn.XLOOKUP(A90,'Pinlist(S3)'!$C$4:$C$1362,'Pinlist(S3)'!$E$4:$E$1362,""),_xlpm.cleanRaw,SUBSTITUTE(SUBSTITUTE(_xlpm.raw,"_PIN","."),"PIN","."),_xlpm.mainPart,MID(_xlpm.cleanRaw,2,FIND(".",_xlpm.cleanRaw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" t="str">
        <f>_xlfn.LET(_xlpm.raw,_xlfn.XLOOKUP(A90,'Pinlist(S5)'!$C$4:$C$1362,'Pinlist(S5)'!$E$4:$E$1362,""),_xlpm.cleanRaw,SUBSTITUTE(SUBSTITUTE(_xlpm.raw,"_PIN","."),"PIN","."),_xlpm.mainPart,MID(_xlpm.cleanRaw,2,FIND(".",_xlpm.cleanRaw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" t="str">
        <f>""</f>
        <v/>
      </c>
      <c r="J90" t="str">
        <f t="shared" si="1"/>
        <v>B58;VSS;;32.584;0.975000000000001;;;;</v>
      </c>
    </row>
    <row r="91" spans="1:10">
      <c r="A91" t="s">
        <v>81</v>
      </c>
      <c r="B91" t="str">
        <f>_xlfn.XLOOKUP(A91,'Pinlist(S1)'!$Q$4:$Q$1362,'Pinlist(S1)'!$R$4:$R$1362,"")</f>
        <v>CPU_JTAG_TRST_N</v>
      </c>
      <c r="C91" t="str" cm="1">
        <f t="array" ref="C91">_xlfn.TEXTJOIN(",",TRUE,_xlfn.UNIQUE(TRANSPOSE(_xlfn.MAP(_xlfn.XLOOKUP(A91,'Pinlist(S1)'!$C$4:$C$1362,'Pinlist(S1)'!$F$4:$K$1362,""),_xlfn.LAMBDA(_xlpm.x,IF(_xlpm.x&lt;&gt;"",TRIM(CLEAN(LEFT(_xlpm.x,FIND(".",_xlpm.x &amp; ".")-1))),""))))))</f>
        <v>RA324,RA323</v>
      </c>
      <c r="D91">
        <v>33.259</v>
      </c>
      <c r="E91">
        <v>0.64999999999999802</v>
      </c>
      <c r="F91" t="str">
        <f>_xlfn.LET(_xlpm.raw,_xlfn.XLOOKUP(A91,'Pinlist(S1)'!$C$4:$C$1362,'Pinlist(S1)'!$E$4:$E$1362,""),_xlpm.cleanRaw,SUBSTITUTE(SUBSTITUTE(_xlpm.raw,"_PIN","."),"PIN","."),_xlpm.mainPart,MID(_xlpm.cleanRaw,2,FIND(".",_xlpm.cleanRaw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91" t="str">
        <f>_xlfn.LET(_xlpm.raw,_xlfn.XLOOKUP(A91,'Pinlist(S3)'!$C$4:$C$1362,'Pinlist(S3)'!$E$4:$E$1362,""),_xlpm.cleanRaw,SUBSTITUTE(SUBSTITUTE(_xlpm.raw,"_PIN","."),"PIN","."),_xlpm.mainPart,MID(_xlpm.cleanRaw,2,FIND(".",_xlpm.cleanRaw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502042</v>
      </c>
      <c r="H91" t="str">
        <f>_xlfn.LET(_xlpm.raw,_xlfn.XLOOKUP(A91,'Pinlist(S5)'!$C$4:$C$1362,'Pinlist(S5)'!$E$4:$E$1362,""),_xlpm.cleanRaw,SUBSTITUTE(SUBSTITUTE(_xlpm.raw,"_PIN","."),"PIN","."),_xlpm.mainPart,MID(_xlpm.cleanRaw,2,FIND(".",_xlpm.cleanRaw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709005</v>
      </c>
      <c r="I91" t="str">
        <f>""</f>
        <v/>
      </c>
      <c r="J91" t="str">
        <f t="shared" si="1"/>
        <v>B59;CPU_JTAG_TRST_N;RA324,RA323;33.259;0.649999999999998;605044;502042;709005;</v>
      </c>
    </row>
    <row r="92" spans="1:10">
      <c r="A92" t="s">
        <v>73</v>
      </c>
      <c r="B92" t="str">
        <f>_xlfn.XLOOKUP(A92,'Pinlist(S1)'!$Q$4:$Q$1362,'Pinlist(S1)'!$R$4:$R$1362,"")</f>
        <v>CPU_JTAG_TCK</v>
      </c>
      <c r="C92" t="str" cm="1">
        <f t="array" ref="C92">_xlfn.TEXTJOIN(",",TRUE,_xlfn.UNIQUE(TRANSPOSE(_xlfn.MAP(_xlfn.XLOOKUP(A92,'Pinlist(S1)'!$C$4:$C$1362,'Pinlist(S1)'!$F$4:$K$1362,""),_xlfn.LAMBDA(_xlpm.x,IF(_xlpm.x&lt;&gt;"",TRIM(CLEAN(LEFT(_xlpm.x,FIND(".",_xlpm.x &amp; ".")-1))),""))))))</f>
        <v>RA333,RA332</v>
      </c>
      <c r="D92">
        <v>34.385999999999903</v>
      </c>
      <c r="E92">
        <v>0.64999999999999802</v>
      </c>
      <c r="F92" t="str">
        <f>_xlfn.LET(_xlpm.raw,_xlfn.XLOOKUP(A92,'Pinlist(S1)'!$C$4:$C$1362,'Pinlist(S1)'!$E$4:$E$1362,""),_xlpm.cleanRaw,SUBSTITUTE(SUBSTITUTE(_xlpm.raw,"_PIN","."),"PIN","."),_xlpm.mainPart,MID(_xlpm.cleanRaw,2,FIND(".",_xlpm.cleanRaw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605056</v>
      </c>
      <c r="G92" t="str">
        <f>_xlfn.LET(_xlpm.raw,_xlfn.XLOOKUP(A92,'Pinlist(S3)'!$C$4:$C$1362,'Pinlist(S3)'!$E$4:$E$1362,""),_xlpm.cleanRaw,SUBSTITUTE(SUBSTITUTE(_xlpm.raw,"_PIN","."),"PIN","."),_xlpm.mainPart,MID(_xlpm.cleanRaw,2,FIND(".",_xlpm.cleanRaw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503002</v>
      </c>
      <c r="H92" t="str">
        <f>_xlfn.LET(_xlpm.raw,_xlfn.XLOOKUP(A92,'Pinlist(S5)'!$C$4:$C$1362,'Pinlist(S5)'!$E$4:$E$1362,""),_xlpm.cleanRaw,SUBSTITUTE(SUBSTITUTE(_xlpm.raw,"_PIN","."),"PIN","."),_xlpm.mainPart,MID(_xlpm.cleanRaw,2,FIND(".",_xlpm.cleanRaw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708043</v>
      </c>
      <c r="I92" t="str">
        <f>""</f>
        <v/>
      </c>
      <c r="J92" t="str">
        <f t="shared" si="1"/>
        <v>B61;CPU_JTAG_TCK;RA333,RA332;34.3859999999999;0.649999999999998;605056;503002;708043;</v>
      </c>
    </row>
    <row r="93" spans="1:10">
      <c r="A93" t="s">
        <v>2079</v>
      </c>
      <c r="B93" t="str">
        <f>_xlfn.XLOOKUP(A93,'Pinlist(S1)'!$Q$4:$Q$1362,'Pinlist(S1)'!$R$4:$R$1362,"")</f>
        <v>VSS</v>
      </c>
      <c r="C93" t="str" cm="1">
        <f t="array" ref="C93">_xlfn.TEXTJOIN(",",TRUE,_xlfn.UNIQUE(TRANSPOSE(_xlfn.MAP(_xlfn.XLOOKUP(A93,'Pinlist(S1)'!$C$4:$C$1362,'Pinlist(S1)'!$F$4:$K$1362,""),_xlfn.LAMBDA(_xlpm.x,IF(_xlpm.x&lt;&gt;"",TRIM(CLEAN(LEFT(_xlpm.x,FIND(".",_xlpm.x &amp; ".")-1))),""))))))</f>
        <v/>
      </c>
      <c r="D93">
        <v>35.061999999999998</v>
      </c>
      <c r="E93">
        <v>0.97500000000000098</v>
      </c>
      <c r="F93" t="str">
        <f>_xlfn.LET(_xlpm.raw,_xlfn.XLOOKUP(A93,'Pinlist(S1)'!$C$4:$C$1362,'Pinlist(S1)'!$E$4:$E$1362,""),_xlpm.cleanRaw,SUBSTITUTE(SUBSTITUTE(_xlpm.raw,"_PIN","."),"PIN","."),_xlpm.mainPart,MID(_xlpm.cleanRaw,2,FIND(".",_xlpm.cleanRaw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" t="str">
        <f>_xlfn.LET(_xlpm.raw,_xlfn.XLOOKUP(A93,'Pinlist(S3)'!$C$4:$C$1362,'Pinlist(S3)'!$E$4:$E$1362,""),_xlpm.cleanRaw,SUBSTITUTE(SUBSTITUTE(_xlpm.raw,"_PIN","."),"PIN","."),_xlpm.mainPart,MID(_xlpm.cleanRaw,2,FIND(".",_xlpm.cleanRaw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" t="str">
        <f>_xlfn.LET(_xlpm.raw,_xlfn.XLOOKUP(A93,'Pinlist(S5)'!$C$4:$C$1362,'Pinlist(S5)'!$E$4:$E$1362,""),_xlpm.cleanRaw,SUBSTITUTE(SUBSTITUTE(_xlpm.raw,"_PIN","."),"PIN","."),_xlpm.mainPart,MID(_xlpm.cleanRaw,2,FIND(".",_xlpm.cleanRaw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3" t="str">
        <f>""</f>
        <v/>
      </c>
      <c r="J93" t="str">
        <f t="shared" si="1"/>
        <v>B62;VSS;;35.062;0.975000000000001;;;;</v>
      </c>
    </row>
    <row r="94" spans="1:10">
      <c r="A94" t="s">
        <v>1876</v>
      </c>
      <c r="B94" t="str">
        <f>_xlfn.XLOOKUP(A94,'Pinlist(S1)'!$Q$4:$Q$1362,'Pinlist(S1)'!$R$4:$R$1362,"")</f>
        <v>VIDALERT_N</v>
      </c>
      <c r="C94" t="str" cm="1">
        <f t="array" ref="C94">_xlfn.TEXTJOIN(",",TRUE,_xlfn.UNIQUE(TRANSPOSE(_xlfn.MAP(_xlfn.XLOOKUP(A94,'Pinlist(S1)'!$C$4:$C$1362,'Pinlist(S1)'!$F$4:$K$1362,""),_xlfn.LAMBDA(_xlpm.x,IF(_xlpm.x&lt;&gt;"",TRIM(CLEAN(LEFT(_xlpm.x,FIND(".",_xlpm.x &amp; ".")-1))),""))))))</f>
        <v/>
      </c>
      <c r="D94">
        <v>35.737000000000002</v>
      </c>
      <c r="E94">
        <v>0.64999999999999802</v>
      </c>
      <c r="F94" t="str">
        <f>_xlfn.LET(_xlpm.raw,_xlfn.XLOOKUP(A94,'Pinlist(S1)'!$C$4:$C$1362,'Pinlist(S1)'!$E$4:$E$1362,""),_xlpm.cleanRaw,SUBSTITUTE(SUBSTITUTE(_xlpm.raw,"_PIN","."),"PIN","."),_xlpm.mainPart,MID(_xlpm.cleanRaw,2,FIND(".",_xlpm.cleanRaw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605050</v>
      </c>
      <c r="G94" t="str">
        <f>_xlfn.LET(_xlpm.raw,_xlfn.XLOOKUP(A94,'Pinlist(S3)'!$C$4:$C$1362,'Pinlist(S3)'!$E$4:$E$1362,""),_xlpm.cleanRaw,SUBSTITUTE(SUBSTITUTE(_xlpm.raw,"_PIN","."),"PIN","."),_xlpm.mainPart,MID(_xlpm.cleanRaw,2,FIND(".",_xlpm.cleanRaw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502055</v>
      </c>
      <c r="H94" t="str">
        <f>_xlfn.LET(_xlpm.raw,_xlfn.XLOOKUP(A94,'Pinlist(S5)'!$C$4:$C$1362,'Pinlist(S5)'!$E$4:$E$1362,""),_xlpm.cleanRaw,SUBSTITUTE(SUBSTITUTE(_xlpm.raw,"_PIN","."),"PIN","."),_xlpm.mainPart,MID(_xlpm.cleanRaw,2,FIND(".",_xlpm.cleanRaw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708054</v>
      </c>
      <c r="I94" t="str">
        <f>""</f>
        <v/>
      </c>
      <c r="J94" t="str">
        <f t="shared" si="1"/>
        <v>B63;VIDALERT_N;;35.737;0.649999999999998;605050;502055;708054;</v>
      </c>
    </row>
    <row r="95" spans="1:10">
      <c r="A95" t="s">
        <v>1871</v>
      </c>
      <c r="B95" t="str">
        <f>_xlfn.XLOOKUP(A95,'Pinlist(S1)'!$Q$4:$Q$1362,'Pinlist(S1)'!$R$4:$R$1362,"")</f>
        <v>VCCST_PWRGD</v>
      </c>
      <c r="C95" t="str" cm="1">
        <f t="array" ref="C95">_xlfn.TEXTJOIN(",",TRUE,_xlfn.UNIQUE(TRANSPOSE(_xlfn.MAP(_xlfn.XLOOKUP(A95,'Pinlist(S1)'!$C$4:$C$1362,'Pinlist(S1)'!$F$4:$K$1362,""),_xlfn.LAMBDA(_xlpm.x,IF(_xlpm.x&lt;&gt;"",TRIM(CLEAN(LEFT(_xlpm.x,FIND(".",_xlpm.x &amp; ".")-1))),""))))))</f>
        <v>RA314,RA313</v>
      </c>
      <c r="D95">
        <v>36.863999999999997</v>
      </c>
      <c r="E95">
        <v>0.64999999999999802</v>
      </c>
      <c r="F95" t="str">
        <f>_xlfn.LET(_xlpm.raw,_xlfn.XLOOKUP(A95,'Pinlist(S1)'!$C$4:$C$1362,'Pinlist(S1)'!$E$4:$E$1362,""),_xlpm.cleanRaw,SUBSTITUTE(SUBSTITUTE(_xlpm.raw,"_PIN","."),"PIN","."),_xlpm.mainPart,MID(_xlpm.cleanRaw,2,FIND(".",_xlpm.cleanRaw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605058</v>
      </c>
      <c r="G95" t="str">
        <f>_xlfn.LET(_xlpm.raw,_xlfn.XLOOKUP(A95,'Pinlist(S3)'!$C$4:$C$1362,'Pinlist(S3)'!$E$4:$E$1362,""),_xlpm.cleanRaw,SUBSTITUTE(SUBSTITUTE(_xlpm.raw,"_PIN","."),"PIN","."),_xlpm.mainPart,MID(_xlpm.cleanRaw,2,FIND(".",_xlpm.cleanRaw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503040</v>
      </c>
      <c r="H95" t="str">
        <f>_xlfn.LET(_xlpm.raw,_xlfn.XLOOKUP(A95,'Pinlist(S5)'!$C$4:$C$1362,'Pinlist(S5)'!$E$4:$E$1362,""),_xlpm.cleanRaw,SUBSTITUTE(SUBSTITUTE(_xlpm.raw,"_PIN","."),"PIN","."),_xlpm.mainPart,MID(_xlpm.cleanRaw,2,FIND(".",_xlpm.cleanRaw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709004</v>
      </c>
      <c r="I95" t="str">
        <f>""</f>
        <v/>
      </c>
      <c r="J95" t="str">
        <f t="shared" si="1"/>
        <v>B65;VCCST_PWRGD;RA314,RA313;36.864;0.649999999999998;605058;503040;709004;</v>
      </c>
    </row>
    <row r="96" spans="1:10">
      <c r="A96" t="s">
        <v>2080</v>
      </c>
      <c r="B96" t="str">
        <f>_xlfn.XLOOKUP(A96,'Pinlist(S1)'!$Q$4:$Q$1362,'Pinlist(S1)'!$R$4:$R$1362,"")</f>
        <v>VSS</v>
      </c>
      <c r="C96" t="str" cm="1">
        <f t="array" ref="C96">_xlfn.TEXTJOIN(",",TRUE,_xlfn.UNIQUE(TRANSPOSE(_xlfn.MAP(_xlfn.XLOOKUP(A96,'Pinlist(S1)'!$C$4:$C$1362,'Pinlist(S1)'!$F$4:$K$1362,""),_xlfn.LAMBDA(_xlpm.x,IF(_xlpm.x&lt;&gt;"",TRIM(CLEAN(LEFT(_xlpm.x,FIND(".",_xlpm.x &amp; ".")-1))),""))))))</f>
        <v/>
      </c>
      <c r="D96">
        <v>37.54</v>
      </c>
      <c r="E96">
        <v>0.97500000000000098</v>
      </c>
      <c r="F96" t="str">
        <f>_xlfn.LET(_xlpm.raw,_xlfn.XLOOKUP(A96,'Pinlist(S1)'!$C$4:$C$1362,'Pinlist(S1)'!$E$4:$E$1362,""),_xlpm.cleanRaw,SUBSTITUTE(SUBSTITUTE(_xlpm.raw,"_PIN","."),"PIN","."),_xlpm.mainPart,MID(_xlpm.cleanRaw,2,FIND(".",_xlpm.cleanRaw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" t="str">
        <f>_xlfn.LET(_xlpm.raw,_xlfn.XLOOKUP(A96,'Pinlist(S3)'!$C$4:$C$1362,'Pinlist(S3)'!$E$4:$E$1362,""),_xlpm.cleanRaw,SUBSTITUTE(SUBSTITUTE(_xlpm.raw,"_PIN","."),"PIN","."),_xlpm.mainPart,MID(_xlpm.cleanRaw,2,FIND(".",_xlpm.cleanRaw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" t="str">
        <f>_xlfn.LET(_xlpm.raw,_xlfn.XLOOKUP(A96,'Pinlist(S5)'!$C$4:$C$1362,'Pinlist(S5)'!$E$4:$E$1362,""),_xlpm.cleanRaw,SUBSTITUTE(SUBSTITUTE(_xlpm.raw,"_PIN","."),"PIN","."),_xlpm.mainPart,MID(_xlpm.cleanRaw,2,FIND(".",_xlpm.cleanRaw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" t="str">
        <f>""</f>
        <v/>
      </c>
      <c r="J96" t="str">
        <f t="shared" si="1"/>
        <v>B66;VSS;;37.54;0.975000000000001;;;;</v>
      </c>
    </row>
    <row r="97" spans="1:10">
      <c r="A97" t="s">
        <v>1164</v>
      </c>
      <c r="B97" t="str">
        <f>_xlfn.XLOOKUP(A97,'Pinlist(S1)'!$Q$4:$Q$1362,'Pinlist(S1)'!$R$4:$R$1362,"")</f>
        <v>NOA_N[1]</v>
      </c>
      <c r="C97" t="str" cm="1">
        <f t="array" ref="C97">_xlfn.TEXTJOIN(",",TRUE,_xlfn.UNIQUE(TRANSPOSE(_xlfn.MAP(_xlfn.XLOOKUP(A97,'Pinlist(S1)'!$C$4:$C$1362,'Pinlist(S1)'!$F$4:$K$1362,""),_xlfn.LAMBDA(_xlpm.x,IF(_xlpm.x&lt;&gt;"",TRIM(CLEAN(LEFT(_xlpm.x,FIND(".",_xlpm.x &amp; ".")-1))),""))))))</f>
        <v/>
      </c>
      <c r="D97">
        <v>38.215000000000003</v>
      </c>
      <c r="E97">
        <v>0.64999999999999802</v>
      </c>
      <c r="F97" t="str">
        <f>_xlfn.LET(_xlpm.raw,_xlfn.XLOOKUP(A97,'Pinlist(S1)'!$C$4:$C$1362,'Pinlist(S1)'!$E$4:$E$1362,""),_xlpm.cleanRaw,SUBSTITUTE(SUBSTITUTE(_xlpm.raw,"_PIN","."),"PIN","."),_xlpm.mainPart,MID(_xlpm.cleanRaw,2,FIND(".",_xlpm.cleanRaw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97" t="str">
        <f>_xlfn.LET(_xlpm.raw,_xlfn.XLOOKUP(A97,'Pinlist(S3)'!$C$4:$C$1362,'Pinlist(S3)'!$E$4:$E$1362,""),_xlpm.cleanRaw,SUBSTITUTE(SUBSTITUTE(_xlpm.raw,"_PIN","."),"PIN","."),_xlpm.mainPart,MID(_xlpm.cleanRaw,2,FIND(".",_xlpm.cleanRaw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503036</v>
      </c>
      <c r="H97" t="str">
        <f>_xlfn.LET(_xlpm.raw,_xlfn.XLOOKUP(A97,'Pinlist(S5)'!$C$4:$C$1362,'Pinlist(S5)'!$E$4:$E$1362,""),_xlpm.cleanRaw,SUBSTITUTE(SUBSTITUTE(_xlpm.raw,"_PIN","."),"PIN","."),_xlpm.mainPart,MID(_xlpm.cleanRaw,2,FIND(".",_xlpm.cleanRaw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709013</v>
      </c>
      <c r="I97" t="str">
        <f>""</f>
        <v/>
      </c>
      <c r="J97" t="str">
        <f t="shared" si="1"/>
        <v>B67;NOA_N[1];;38.215;0.649999999999998;604005;503036;709013;</v>
      </c>
    </row>
    <row r="98" spans="1:10">
      <c r="A98" t="s">
        <v>66</v>
      </c>
      <c r="B98" t="str">
        <f>_xlfn.XLOOKUP(A98,'Pinlist(S1)'!$Q$4:$Q$1362,'Pinlist(S1)'!$R$4:$R$1362,"")</f>
        <v>CPU_EDM[1]</v>
      </c>
      <c r="C98" t="str" cm="1">
        <f t="array" ref="C98">_xlfn.TEXTJOIN(",",TRUE,_xlfn.UNIQUE(TRANSPOSE(_xlfn.MAP(_xlfn.XLOOKUP(A98,'Pinlist(S1)'!$C$4:$C$1362,'Pinlist(S1)'!$F$4:$K$1362,""),_xlfn.LAMBDA(_xlpm.x,IF(_xlpm.x&lt;&gt;"",TRIM(CLEAN(LEFT(_xlpm.x,FIND(".",_xlpm.x &amp; ".")-1))),""))))))</f>
        <v/>
      </c>
      <c r="D98">
        <v>39.348999999999997</v>
      </c>
      <c r="E98">
        <v>0.62899999999999701</v>
      </c>
      <c r="F98" t="str">
        <f>_xlfn.LET(_xlpm.raw,_xlfn.XLOOKUP(A98,'Pinlist(S1)'!$C$4:$C$1362,'Pinlist(S1)'!$E$4:$E$1362,""),_xlpm.cleanRaw,SUBSTITUTE(SUBSTITUTE(_xlpm.raw,"_PIN","."),"PIN","."),_xlpm.mainPart,MID(_xlpm.cleanRaw,2,FIND(".",_xlpm.cleanRaw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604003</v>
      </c>
      <c r="G98" t="str">
        <f>_xlfn.LET(_xlpm.raw,_xlfn.XLOOKUP(A98,'Pinlist(S3)'!$C$4:$C$1362,'Pinlist(S3)'!$E$4:$E$1362,""),_xlpm.cleanRaw,SUBSTITUTE(SUBSTITUTE(_xlpm.raw,"_PIN","."),"PIN","."),_xlpm.mainPart,MID(_xlpm.cleanRaw,2,FIND(".",_xlpm.cleanRaw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503038</v>
      </c>
      <c r="H98" t="str">
        <f>_xlfn.LET(_xlpm.raw,_xlfn.XLOOKUP(A98,'Pinlist(S5)'!$C$4:$C$1362,'Pinlist(S5)'!$E$4:$E$1362,""),_xlpm.cleanRaw,SUBSTITUTE(SUBSTITUTE(_xlpm.raw,"_PIN","."),"PIN","."),_xlpm.mainPart,MID(_xlpm.cleanRaw,2,FIND(".",_xlpm.cleanRaw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709011</v>
      </c>
      <c r="I98" t="str">
        <f>""</f>
        <v/>
      </c>
      <c r="J98" t="str">
        <f t="shared" si="1"/>
        <v>B69;CPU_EDM[1];;39.349;0.628999999999997;604003;503038;709011;</v>
      </c>
    </row>
    <row r="99" spans="1:10">
      <c r="A99" t="s">
        <v>1117</v>
      </c>
      <c r="B99" t="str">
        <f>_xlfn.XLOOKUP(A99,'Pinlist(S1)'!$Q$4:$Q$1362,'Pinlist(S1)'!$R$4:$R$1362,"")</f>
        <v>HVM_CLK_P</v>
      </c>
      <c r="C99" t="str" cm="1">
        <f t="array" ref="C99">_xlfn.TEXTJOIN(",",TRUE,_xlfn.UNIQUE(TRANSPOSE(_xlfn.MAP(_xlfn.XLOOKUP(A99,'Pinlist(S1)'!$C$4:$C$1362,'Pinlist(S1)'!$F$4:$K$1362,""),_xlfn.LAMBDA(_xlpm.x,IF(_xlpm.x&lt;&gt;"",TRIM(CLEAN(LEFT(_xlpm.x,FIND(".",_xlpm.x &amp; ".")-1))),""))))))</f>
        <v/>
      </c>
      <c r="D99">
        <v>39.998999999999903</v>
      </c>
      <c r="E99">
        <v>0.62899999999999701</v>
      </c>
      <c r="F99" t="str">
        <f>_xlfn.LET(_xlpm.raw,_xlfn.XLOOKUP(A99,'Pinlist(S1)'!$C$4:$C$1362,'Pinlist(S1)'!$E$4:$E$1362,""),_xlpm.cleanRaw,SUBSTITUTE(SUBSTITUTE(_xlpm.raw,"_PIN","."),"PIN","."),_xlpm.mainPart,MID(_xlpm.cleanRaw,2,FIND(".",_xlpm.cleanRaw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99" t="str">
        <f>_xlfn.LET(_xlpm.raw,_xlfn.XLOOKUP(A99,'Pinlist(S3)'!$C$4:$C$1362,'Pinlist(S3)'!$E$4:$E$1362,""),_xlpm.cleanRaw,SUBSTITUTE(SUBSTITUTE(_xlpm.raw,"_PIN","."),"PIN","."),_xlpm.mainPart,MID(_xlpm.cleanRaw,2,FIND(".",_xlpm.cleanRaw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502052</v>
      </c>
      <c r="H99" t="str">
        <f>_xlfn.LET(_xlpm.raw,_xlfn.XLOOKUP(A99,'Pinlist(S5)'!$C$4:$C$1362,'Pinlist(S5)'!$E$4:$E$1362,""),_xlpm.cleanRaw,SUBSTITUTE(SUBSTITUTE(_xlpm.raw,"_PIN","."),"PIN","."),_xlpm.mainPart,MID(_xlpm.cleanRaw,2,FIND(".",_xlpm.cleanRaw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709037</v>
      </c>
      <c r="I99" t="str">
        <f>""</f>
        <v/>
      </c>
      <c r="J99" t="str">
        <f t="shared" si="1"/>
        <v>B70;HVM_CLK_P;;39.9989999999999;0.628999999999997;604027;502052;709037;</v>
      </c>
    </row>
    <row r="100" spans="1:10">
      <c r="A100" t="s">
        <v>2081</v>
      </c>
      <c r="B100" t="str">
        <f>_xlfn.XLOOKUP(A100,'Pinlist(S1)'!$Q$4:$Q$1362,'Pinlist(S1)'!$R$4:$R$1362,"")</f>
        <v>VSS</v>
      </c>
      <c r="C100" t="str" cm="1">
        <f t="array" ref="C100">_xlfn.TEXTJOIN(",",TRUE,_xlfn.UNIQUE(TRANSPOSE(_xlfn.MAP(_xlfn.XLOOKUP(A100,'Pinlist(S1)'!$C$4:$C$1362,'Pinlist(S1)'!$F$4:$K$1362,""),_xlfn.LAMBDA(_xlpm.x,IF(_xlpm.x&lt;&gt;"",TRIM(CLEAN(LEFT(_xlpm.x,FIND(".",_xlpm.x &amp; ".")-1))),""))))))</f>
        <v/>
      </c>
      <c r="D100">
        <v>40.628</v>
      </c>
      <c r="E100">
        <v>0.46199999999999902</v>
      </c>
      <c r="F100" t="str">
        <f>_xlfn.LET(_xlpm.raw,_xlfn.XLOOKUP(A100,'Pinlist(S1)'!$C$4:$C$1362,'Pinlist(S1)'!$E$4:$E$1362,""),_xlpm.cleanRaw,SUBSTITUTE(SUBSTITUTE(_xlpm.raw,"_PIN","."),"PIN","."),_xlpm.mainPart,MID(_xlpm.cleanRaw,2,FIND(".",_xlpm.cleanRaw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" t="str">
        <f>_xlfn.LET(_xlpm.raw,_xlfn.XLOOKUP(A100,'Pinlist(S3)'!$C$4:$C$1362,'Pinlist(S3)'!$E$4:$E$1362,""),_xlpm.cleanRaw,SUBSTITUTE(SUBSTITUTE(_xlpm.raw,"_PIN","."),"PIN","."),_xlpm.mainPart,MID(_xlpm.cleanRaw,2,FIND(".",_xlpm.cleanRaw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" t="str">
        <f>_xlfn.LET(_xlpm.raw,_xlfn.XLOOKUP(A100,'Pinlist(S5)'!$C$4:$C$1362,'Pinlist(S5)'!$E$4:$E$1362,""),_xlpm.cleanRaw,SUBSTITUTE(SUBSTITUTE(_xlpm.raw,"_PIN","."),"PIN","."),_xlpm.mainPart,MID(_xlpm.cleanRaw,2,FIND(".",_xlpm.cleanRaw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" t="str">
        <f>""</f>
        <v/>
      </c>
      <c r="J100" t="str">
        <f t="shared" si="1"/>
        <v>B71;VSS;;40.628;0.461999999999999;;;;</v>
      </c>
    </row>
    <row r="101" spans="1:10">
      <c r="A101" t="s">
        <v>2112</v>
      </c>
      <c r="B101" t="str">
        <f>_xlfn.XLOOKUP(A101,'Pinlist(S1)'!$Q$4:$Q$1362,'Pinlist(S1)'!$R$4:$R$1362,"")</f>
        <v>VSS</v>
      </c>
      <c r="C101" t="str" cm="1">
        <f t="array" ref="C101">_xlfn.TEXTJOIN(",",TRUE,_xlfn.UNIQUE(TRANSPOSE(_xlfn.MAP(_xlfn.XLOOKUP(A101,'Pinlist(S1)'!$C$4:$C$1362,'Pinlist(S1)'!$F$4:$K$1362,""),_xlfn.LAMBDA(_xlpm.x,IF(_xlpm.x&lt;&gt;"",TRIM(CLEAN(LEFT(_xlpm.x,FIND(".",_xlpm.x &amp; ".")-1))),""))))))</f>
        <v/>
      </c>
      <c r="D101">
        <v>0</v>
      </c>
      <c r="E101">
        <v>0.96499999999999897</v>
      </c>
      <c r="F101" t="str">
        <f>_xlfn.LET(_xlpm.raw,_xlfn.XLOOKUP(A101,'Pinlist(S1)'!$C$4:$C$1362,'Pinlist(S1)'!$E$4:$E$1362,""),_xlpm.cleanRaw,SUBSTITUTE(SUBSTITUTE(_xlpm.raw,"_PIN","."),"PIN","."),_xlpm.mainPart,MID(_xlpm.cleanRaw,2,FIND(".",_xlpm.cleanRaw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" t="str">
        <f>_xlfn.LET(_xlpm.raw,_xlfn.XLOOKUP(A101,'Pinlist(S3)'!$C$4:$C$1362,'Pinlist(S3)'!$E$4:$E$1362,""),_xlpm.cleanRaw,SUBSTITUTE(SUBSTITUTE(_xlpm.raw,"_PIN","."),"PIN","."),_xlpm.mainPart,MID(_xlpm.cleanRaw,2,FIND(".",_xlpm.cleanRaw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" t="str">
        <f>_xlfn.LET(_xlpm.raw,_xlfn.XLOOKUP(A101,'Pinlist(S5)'!$C$4:$C$1362,'Pinlist(S5)'!$E$4:$E$1362,""),_xlpm.cleanRaw,SUBSTITUTE(SUBSTITUTE(_xlpm.raw,"_PIN","."),"PIN","."),_xlpm.mainPart,MID(_xlpm.cleanRaw,2,FIND(".",_xlpm.cleanRaw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" t="str">
        <f>""</f>
        <v/>
      </c>
      <c r="J101" t="str">
        <f t="shared" si="1"/>
        <v>C1;VSS;;0;0.964999999999999;;;;</v>
      </c>
    </row>
    <row r="102" spans="1:10">
      <c r="A102" t="s">
        <v>1328</v>
      </c>
      <c r="B102" t="str">
        <f>_xlfn.XLOOKUP(A102,'Pinlist(S1)'!$Q$4:$Q$1362,'Pinlist(S1)'!$R$4:$R$1362,"")</f>
        <v>PCIE3_PLLOBSP</v>
      </c>
      <c r="C102" t="str" cm="1">
        <f t="array" ref="C102">_xlfn.TEXTJOIN(",",TRUE,_xlfn.UNIQUE(TRANSPOSE(_xlfn.MAP(_xlfn.XLOOKUP(A102,'Pinlist(S1)'!$C$4:$C$1362,'Pinlist(S1)'!$F$4:$K$1362,""),_xlfn.LAMBDA(_xlpm.x,IF(_xlpm.x&lt;&gt;"",TRIM(CLEAN(LEFT(_xlpm.x,FIND(".",_xlpm.x &amp; ".")-1))),""))))))</f>
        <v/>
      </c>
      <c r="D102">
        <v>0.635000000000005</v>
      </c>
      <c r="E102">
        <v>1.117</v>
      </c>
      <c r="F102" t="str">
        <f>_xlfn.LET(_xlpm.raw,_xlfn.XLOOKUP(A102,'Pinlist(S1)'!$C$4:$C$1362,'Pinlist(S1)'!$E$4:$E$1362,""),_xlpm.cleanRaw,SUBSTITUTE(SUBSTITUTE(_xlpm.raw,"_PIN","."),"PIN","."),_xlpm.mainPart,MID(_xlpm.cleanRaw,2,FIND(".",_xlpm.cleanRaw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" t="str">
        <f>_xlfn.LET(_xlpm.raw,_xlfn.XLOOKUP(A102,'Pinlist(S3)'!$C$4:$C$1362,'Pinlist(S3)'!$E$4:$E$1362,""),_xlpm.cleanRaw,SUBSTITUTE(SUBSTITUTE(_xlpm.raw,"_PIN","."),"PIN","."),_xlpm.mainPart,MID(_xlpm.cleanRaw,2,FIND(".",_xlpm.cleanRaw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" t="str">
        <f>_xlfn.LET(_xlpm.raw,_xlfn.XLOOKUP(A102,'Pinlist(S5)'!$C$4:$C$1362,'Pinlist(S5)'!$E$4:$E$1362,""),_xlpm.cleanRaw,SUBSTITUTE(SUBSTITUTE(_xlpm.raw,"_PIN","."),"PIN","."),_xlpm.mainPart,MID(_xlpm.cleanRaw,2,FIND(".",_xlpm.cleanRaw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" t="str">
        <f>""</f>
        <v/>
      </c>
      <c r="J102" t="str">
        <f t="shared" si="1"/>
        <v>C2;PCIE3_PLLOBSP;;0.635000000000005;1.117;;;;</v>
      </c>
    </row>
    <row r="103" spans="1:10">
      <c r="A103" t="s">
        <v>2263</v>
      </c>
      <c r="B103" t="str">
        <f>_xlfn.XLOOKUP(A103,'Pinlist(S1)'!$Q$4:$Q$1362,'Pinlist(S1)'!$R$4:$R$1362,"")</f>
        <v>XCKPLL_MON_P</v>
      </c>
      <c r="C103" t="str" cm="1">
        <f t="array" ref="C103">_xlfn.TEXTJOIN(",",TRUE,_xlfn.UNIQUE(TRANSPOSE(_xlfn.MAP(_xlfn.XLOOKUP(A103,'Pinlist(S1)'!$C$4:$C$1362,'Pinlist(S1)'!$F$4:$K$1362,""),_xlfn.LAMBDA(_xlpm.x,IF(_xlpm.x&lt;&gt;"",TRIM(CLEAN(LEFT(_xlpm.x,FIND(".",_xlpm.x &amp; ".")-1))),""))))))</f>
        <v/>
      </c>
      <c r="D103">
        <v>1.6989999999999901</v>
      </c>
      <c r="E103">
        <v>0.97800000000000098</v>
      </c>
      <c r="F103" t="str">
        <f>_xlfn.LET(_xlpm.raw,_xlfn.XLOOKUP(A103,'Pinlist(S1)'!$C$4:$C$1362,'Pinlist(S1)'!$E$4:$E$1362,""),_xlpm.cleanRaw,SUBSTITUTE(SUBSTITUTE(_xlpm.raw,"_PIN","."),"PIN","."),_xlpm.mainPart,MID(_xlpm.cleanRaw,2,FIND(".",_xlpm.cleanRaw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" t="str">
        <f>_xlfn.LET(_xlpm.raw,_xlfn.XLOOKUP(A103,'Pinlist(S3)'!$C$4:$C$1362,'Pinlist(S3)'!$E$4:$E$1362,""),_xlpm.cleanRaw,SUBSTITUTE(SUBSTITUTE(_xlpm.raw,"_PIN","."),"PIN","."),_xlpm.mainPart,MID(_xlpm.cleanRaw,2,FIND(".",_xlpm.cleanRaw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" t="str">
        <f>_xlfn.LET(_xlpm.raw,_xlfn.XLOOKUP(A103,'Pinlist(S5)'!$C$4:$C$1362,'Pinlist(S5)'!$E$4:$E$1362,""),_xlpm.cleanRaw,SUBSTITUTE(SUBSTITUTE(_xlpm.raw,"_PIN","."),"PIN","."),_xlpm.mainPart,MID(_xlpm.cleanRaw,2,FIND(".",_xlpm.cleanRaw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" t="str">
        <f>""</f>
        <v/>
      </c>
      <c r="J103" t="str">
        <f t="shared" si="1"/>
        <v>C4;XCKPLL_MON_P;;1.69899999999999;0.978000000000001;;;;</v>
      </c>
    </row>
    <row r="104" spans="1:10">
      <c r="A104" t="s">
        <v>2114</v>
      </c>
      <c r="B104" t="str">
        <f>_xlfn.XLOOKUP(A104,'Pinlist(S1)'!$Q$4:$Q$1362,'Pinlist(S1)'!$R$4:$R$1362,"")</f>
        <v>VSS</v>
      </c>
      <c r="C104" t="str" cm="1">
        <f t="array" ref="C104">_xlfn.TEXTJOIN(",",TRUE,_xlfn.UNIQUE(TRANSPOSE(_xlfn.MAP(_xlfn.XLOOKUP(A104,'Pinlist(S1)'!$C$4:$C$1362,'Pinlist(S1)'!$F$4:$K$1362,""),_xlfn.LAMBDA(_xlpm.x,IF(_xlpm.x&lt;&gt;"",TRIM(CLEAN(LEFT(_xlpm.x,FIND(".",_xlpm.x &amp; ".")-1))),""))))))</f>
        <v/>
      </c>
      <c r="D104">
        <v>2.2650000000000001</v>
      </c>
      <c r="E104">
        <v>1.3</v>
      </c>
      <c r="F104" t="str">
        <f>_xlfn.LET(_xlpm.raw,_xlfn.XLOOKUP(A104,'Pinlist(S1)'!$C$4:$C$1362,'Pinlist(S1)'!$E$4:$E$1362,""),_xlpm.cleanRaw,SUBSTITUTE(SUBSTITUTE(_xlpm.raw,"_PIN","."),"PIN","."),_xlpm.mainPart,MID(_xlpm.cleanRaw,2,FIND(".",_xlpm.cleanRaw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" t="str">
        <f>_xlfn.LET(_xlpm.raw,_xlfn.XLOOKUP(A104,'Pinlist(S3)'!$C$4:$C$1362,'Pinlist(S3)'!$E$4:$E$1362,""),_xlpm.cleanRaw,SUBSTITUTE(SUBSTITUTE(_xlpm.raw,"_PIN","."),"PIN","."),_xlpm.mainPart,MID(_xlpm.cleanRaw,2,FIND(".",_xlpm.cleanRaw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" t="str">
        <f>_xlfn.LET(_xlpm.raw,_xlfn.XLOOKUP(A104,'Pinlist(S5)'!$C$4:$C$1362,'Pinlist(S5)'!$E$4:$E$1362,""),_xlpm.cleanRaw,SUBSTITUTE(SUBSTITUTE(_xlpm.raw,"_PIN","."),"PIN","."),_xlpm.mainPart,MID(_xlpm.cleanRaw,2,FIND(".",_xlpm.cleanRaw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" t="str">
        <f>""</f>
        <v/>
      </c>
      <c r="J104" t="str">
        <f t="shared" si="1"/>
        <v>C5;VSS;;2.265;1.3;;;;</v>
      </c>
    </row>
    <row r="105" spans="1:10">
      <c r="A105" t="s">
        <v>1392</v>
      </c>
      <c r="B105" t="str">
        <f>_xlfn.XLOOKUP(A105,'Pinlist(S1)'!$Q$4:$Q$1362,'Pinlist(S1)'!$R$4:$R$1362,"")</f>
        <v>SPARE_5</v>
      </c>
      <c r="C105" t="str" cm="1">
        <f t="array" ref="C105">_xlfn.TEXTJOIN(",",TRUE,_xlfn.UNIQUE(TRANSPOSE(_xlfn.MAP(_xlfn.XLOOKUP(A105,'Pinlist(S1)'!$C$4:$C$1362,'Pinlist(S1)'!$F$4:$K$1362,""),_xlfn.LAMBDA(_xlpm.x,IF(_xlpm.x&lt;&gt;"",TRIM(CLEAN(LEFT(_xlpm.x,FIND(".",_xlpm.x &amp; ".")-1))),""))))))</f>
        <v/>
      </c>
      <c r="D105">
        <v>3.5229999999999899</v>
      </c>
      <c r="E105">
        <v>1.3</v>
      </c>
      <c r="F105" t="str">
        <f>_xlfn.LET(_xlpm.raw,_xlfn.XLOOKUP(A105,'Pinlist(S1)'!$C$4:$C$1362,'Pinlist(S1)'!$E$4:$E$1362,""),_xlpm.cleanRaw,SUBSTITUTE(SUBSTITUTE(_xlpm.raw,"_PIN","."),"PIN","."),_xlpm.mainPart,MID(_xlpm.cleanRaw,2,FIND(".",_xlpm.cleanRaw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" t="str">
        <f>_xlfn.LET(_xlpm.raw,_xlfn.XLOOKUP(A105,'Pinlist(S3)'!$C$4:$C$1362,'Pinlist(S3)'!$E$4:$E$1362,""),_xlpm.cleanRaw,SUBSTITUTE(SUBSTITUTE(_xlpm.raw,"_PIN","."),"PIN","."),_xlpm.mainPart,MID(_xlpm.cleanRaw,2,FIND(".",_xlpm.cleanRaw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" t="str">
        <f>_xlfn.LET(_xlpm.raw,_xlfn.XLOOKUP(A105,'Pinlist(S5)'!$C$4:$C$1362,'Pinlist(S5)'!$E$4:$E$1362,""),_xlpm.cleanRaw,SUBSTITUTE(SUBSTITUTE(_xlpm.raw,"_PIN","."),"PIN","."),_xlpm.mainPart,MID(_xlpm.cleanRaw,2,FIND(".",_xlpm.cleanRaw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" t="str">
        <f>""</f>
        <v/>
      </c>
      <c r="J105" t="str">
        <f t="shared" si="1"/>
        <v>C7;SPARE_5;;3.52299999999999;1.3;;;;</v>
      </c>
    </row>
    <row r="106" spans="1:10">
      <c r="A106" t="s">
        <v>959</v>
      </c>
      <c r="B106" t="str">
        <f>_xlfn.XLOOKUP(A106,'Pinlist(S1)'!$Q$4:$Q$1362,'Pinlist(S1)'!$R$4:$R$1362,"")</f>
        <v>GPP_D_18_DMIC_DATA_1</v>
      </c>
      <c r="C106" t="str" cm="1">
        <f t="array" ref="C106">_xlfn.TEXTJOIN(",",TRUE,_xlfn.UNIQUE(TRANSPOSE(_xlfn.MAP(_xlfn.XLOOKUP(A106,'Pinlist(S1)'!$C$4:$C$1362,'Pinlist(S1)'!$F$4:$K$1362,""),_xlfn.LAMBDA(_xlpm.x,IF(_xlpm.x&lt;&gt;"",TRIM(CLEAN(LEFT(_xlpm.x,FIND(".",_xlpm.x &amp; ".")-1))),""))))))</f>
        <v/>
      </c>
      <c r="D106">
        <v>4.0859999999999896</v>
      </c>
      <c r="E106">
        <v>0.97500000000000098</v>
      </c>
      <c r="F106" t="str">
        <f>_xlfn.LET(_xlpm.raw,_xlfn.XLOOKUP(A106,'Pinlist(S1)'!$C$4:$C$1362,'Pinlist(S1)'!$E$4:$E$1362,""),_xlpm.cleanRaw,SUBSTITUTE(SUBSTITUTE(_xlpm.raw,"_PIN","."),"PIN","."),_xlpm.mainPart,MID(_xlpm.cleanRaw,2,FIND(".",_xlpm.cleanRaw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508046</v>
      </c>
      <c r="G106" t="str">
        <f>_xlfn.LET(_xlpm.raw,_xlfn.XLOOKUP(A106,'Pinlist(S3)'!$C$4:$C$1362,'Pinlist(S3)'!$E$4:$E$1362,""),_xlpm.cleanRaw,SUBSTITUTE(SUBSTITUTE(_xlpm.raw,"_PIN","."),"PIN","."),_xlpm.mainPart,MID(_xlpm.cleanRaw,2,FIND(".",_xlpm.cleanRaw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805064</v>
      </c>
      <c r="H106" t="str">
        <f>_xlfn.LET(_xlpm.raw,_xlfn.XLOOKUP(A106,'Pinlist(S5)'!$C$4:$C$1362,'Pinlist(S5)'!$E$4:$E$1362,""),_xlpm.cleanRaw,SUBSTITUTE(SUBSTITUTE(_xlpm.raw,"_PIN","."),"PIN","."),_xlpm.mainPart,MID(_xlpm.cleanRaw,2,FIND(".",_xlpm.cleanRaw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702050</v>
      </c>
      <c r="I106" t="str">
        <f>""</f>
        <v/>
      </c>
      <c r="J106" t="str">
        <f t="shared" si="1"/>
        <v>C8;GPP_D_18_DMIC_DATA_1;;4.08599999999999;0.975000000000001;508046;805064;702050;</v>
      </c>
    </row>
    <row r="107" spans="1:10">
      <c r="A107" t="s">
        <v>991</v>
      </c>
      <c r="B107" t="str">
        <f>_xlfn.XLOOKUP(A107,'Pinlist(S1)'!$Q$4:$Q$1362,'Pinlist(S1)'!$R$4:$R$1362,"")</f>
        <v>GPP_E_10_USB2_OCB_1</v>
      </c>
      <c r="C107" t="str" cm="1">
        <f t="array" ref="C107">_xlfn.TEXTJOIN(",",TRUE,_xlfn.UNIQUE(TRANSPOSE(_xlfn.MAP(_xlfn.XLOOKUP(A107,'Pinlist(S1)'!$C$4:$C$1362,'Pinlist(S1)'!$F$4:$K$1362,""),_xlfn.LAMBDA(_xlpm.x,IF(_xlpm.x&lt;&gt;"",TRIM(CLEAN(LEFT(_xlpm.x,FIND(".",_xlpm.x &amp; ".")-1))),""))))))</f>
        <v/>
      </c>
      <c r="D107">
        <v>4.6499999999999897</v>
      </c>
      <c r="E107">
        <v>1.3</v>
      </c>
      <c r="F107" t="str">
        <f>_xlfn.LET(_xlpm.raw,_xlfn.XLOOKUP(A107,'Pinlist(S1)'!$C$4:$C$1362,'Pinlist(S1)'!$E$4:$E$1362,""),_xlpm.cleanRaw,SUBSTITUTE(SUBSTITUTE(_xlpm.raw,"_PIN","."),"PIN","."),_xlpm.mainPart,MID(_xlpm.cleanRaw,2,FIND(".",_xlpm.cleanRaw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505064</v>
      </c>
      <c r="G107" t="str">
        <f>_xlfn.LET(_xlpm.raw,_xlfn.XLOOKUP(A107,'Pinlist(S3)'!$C$4:$C$1362,'Pinlist(S3)'!$E$4:$E$1362,""),_xlpm.cleanRaw,SUBSTITUTE(SUBSTITUTE(_xlpm.raw,"_PIN","."),"PIN","."),_xlpm.mainPart,MID(_xlpm.cleanRaw,2,FIND(".",_xlpm.cleanRaw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808057</v>
      </c>
      <c r="H107" t="str">
        <f>_xlfn.LET(_xlpm.raw,_xlfn.XLOOKUP(A107,'Pinlist(S5)'!$C$4:$C$1362,'Pinlist(S5)'!$E$4:$E$1362,""),_xlpm.cleanRaw,SUBSTITUTE(SUBSTITUTE(_xlpm.raw,"_PIN","."),"PIN","."),_xlpm.mainPart,MID(_xlpm.cleanRaw,2,FIND(".",_xlpm.cleanRaw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602054</v>
      </c>
      <c r="I107" t="str">
        <f>""</f>
        <v/>
      </c>
      <c r="J107" t="str">
        <f t="shared" si="1"/>
        <v>C9;GPP_E_10_USB2_OCB_1;;4.64999999999999;1.3;505064;808057;602054;</v>
      </c>
    </row>
    <row r="108" spans="1:10">
      <c r="A108" t="s">
        <v>1374</v>
      </c>
      <c r="B108" t="str">
        <f>_xlfn.XLOOKUP(A108,'Pinlist(S1)'!$Q$4:$Q$1362,'Pinlist(S1)'!$R$4:$R$1362,"")</f>
        <v>SPARE_11</v>
      </c>
      <c r="C108" t="str" cm="1">
        <f t="array" ref="C108">_xlfn.TEXTJOIN(",",TRUE,_xlfn.UNIQUE(TRANSPOSE(_xlfn.MAP(_xlfn.XLOOKUP(A108,'Pinlist(S1)'!$C$4:$C$1362,'Pinlist(S1)'!$F$4:$K$1362,""),_xlfn.LAMBDA(_xlpm.x,IF(_xlpm.x&lt;&gt;"",TRIM(CLEAN(LEFT(_xlpm.x,FIND(".",_xlpm.x &amp; ".")-1))),""))))))</f>
        <v/>
      </c>
      <c r="D108">
        <v>6.0009999999999897</v>
      </c>
      <c r="E108">
        <v>1.3</v>
      </c>
      <c r="F108" t="str">
        <f>_xlfn.LET(_xlpm.raw,_xlfn.XLOOKUP(A108,'Pinlist(S1)'!$C$4:$C$1362,'Pinlist(S1)'!$E$4:$E$1362,""),_xlpm.cleanRaw,SUBSTITUTE(SUBSTITUTE(_xlpm.raw,"_PIN","."),"PIN","."),_xlpm.mainPart,MID(_xlpm.cleanRaw,2,FIND(".",_xlpm.cleanRaw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" t="str">
        <f>_xlfn.LET(_xlpm.raw,_xlfn.XLOOKUP(A108,'Pinlist(S3)'!$C$4:$C$1362,'Pinlist(S3)'!$E$4:$E$1362,""),_xlpm.cleanRaw,SUBSTITUTE(SUBSTITUTE(_xlpm.raw,"_PIN","."),"PIN","."),_xlpm.mainPart,MID(_xlpm.cleanRaw,2,FIND(".",_xlpm.cleanRaw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" t="str">
        <f>_xlfn.LET(_xlpm.raw,_xlfn.XLOOKUP(A108,'Pinlist(S5)'!$C$4:$C$1362,'Pinlist(S5)'!$E$4:$E$1362,""),_xlpm.cleanRaw,SUBSTITUTE(SUBSTITUTE(_xlpm.raw,"_PIN","."),"PIN","."),_xlpm.mainPart,MID(_xlpm.cleanRaw,2,FIND(".",_xlpm.cleanRaw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" t="str">
        <f>""</f>
        <v/>
      </c>
      <c r="J108" t="str">
        <f t="shared" si="1"/>
        <v>C11;SPARE_11;;6.00099999999999;1.3;;;;</v>
      </c>
    </row>
    <row r="109" spans="1:10">
      <c r="A109" t="s">
        <v>1382</v>
      </c>
      <c r="B109" t="str">
        <f>_xlfn.XLOOKUP(A109,'Pinlist(S1)'!$Q$4:$Q$1362,'Pinlist(S1)'!$R$4:$R$1362,"")</f>
        <v>SPARE_15</v>
      </c>
      <c r="C109" t="str" cm="1">
        <f t="array" ref="C109">_xlfn.TEXTJOIN(",",TRUE,_xlfn.UNIQUE(TRANSPOSE(_xlfn.MAP(_xlfn.XLOOKUP(A109,'Pinlist(S1)'!$C$4:$C$1362,'Pinlist(S1)'!$F$4:$K$1362,""),_xlfn.LAMBDA(_xlpm.x,IF(_xlpm.x&lt;&gt;"",TRIM(CLEAN(LEFT(_xlpm.x,FIND(".",_xlpm.x &amp; ".")-1))),""))))))</f>
        <v/>
      </c>
      <c r="D109">
        <v>6.5640000000000001</v>
      </c>
      <c r="E109">
        <v>0.97500000000000098</v>
      </c>
      <c r="F109" t="str">
        <f>_xlfn.LET(_xlpm.raw,_xlfn.XLOOKUP(A109,'Pinlist(S1)'!$C$4:$C$1362,'Pinlist(S1)'!$E$4:$E$1362,""),_xlpm.cleanRaw,SUBSTITUTE(SUBSTITUTE(_xlpm.raw,"_PIN","."),"PIN","."),_xlpm.mainPart,MID(_xlpm.cleanRaw,2,FIND(".",_xlpm.cleanRaw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" t="str">
        <f>_xlfn.LET(_xlpm.raw,_xlfn.XLOOKUP(A109,'Pinlist(S3)'!$C$4:$C$1362,'Pinlist(S3)'!$E$4:$E$1362,""),_xlpm.cleanRaw,SUBSTITUTE(SUBSTITUTE(_xlpm.raw,"_PIN","."),"PIN","."),_xlpm.mainPart,MID(_xlpm.cleanRaw,2,FIND(".",_xlpm.cleanRaw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" t="str">
        <f>_xlfn.LET(_xlpm.raw,_xlfn.XLOOKUP(A109,'Pinlist(S5)'!$C$4:$C$1362,'Pinlist(S5)'!$E$4:$E$1362,""),_xlpm.cleanRaw,SUBSTITUTE(SUBSTITUTE(_xlpm.raw,"_PIN","."),"PIN","."),_xlpm.mainPart,MID(_xlpm.cleanRaw,2,FIND(".",_xlpm.cleanRaw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" t="str">
        <f>""</f>
        <v/>
      </c>
      <c r="J109" t="str">
        <f t="shared" si="1"/>
        <v>C12;SPARE_15;;6.564;0.975000000000001;;;;</v>
      </c>
    </row>
    <row r="110" spans="1:10">
      <c r="A110" t="s">
        <v>1498</v>
      </c>
      <c r="B110" t="str">
        <f>_xlfn.XLOOKUP(A110,'Pinlist(S1)'!$Q$4:$Q$1362,'Pinlist(S1)'!$R$4:$R$1362,"")</f>
        <v>USB3_1_TXN</v>
      </c>
      <c r="C110" t="str" cm="1">
        <f t="array" ref="C110">_xlfn.TEXTJOIN(",",TRUE,_xlfn.UNIQUE(TRANSPOSE(_xlfn.MAP(_xlfn.XLOOKUP(A110,'Pinlist(S1)'!$C$4:$C$1362,'Pinlist(S1)'!$F$4:$K$1362,""),_xlfn.LAMBDA(_xlpm.x,IF(_xlpm.x&lt;&gt;"",TRIM(CLEAN(LEFT(_xlpm.x,FIND(".",_xlpm.x &amp; ".")-1))),""))))))</f>
        <v>LA525,CA525,KA513</v>
      </c>
      <c r="D110">
        <v>7.1280000000000001</v>
      </c>
      <c r="E110">
        <v>1.3</v>
      </c>
      <c r="F110" t="str">
        <f>_xlfn.LET(_xlpm.raw,_xlfn.XLOOKUP(A110,'Pinlist(S1)'!$C$4:$C$1362,'Pinlist(S1)'!$E$4:$E$1362,""),_xlpm.cleanRaw,SUBSTITUTE(SUBSTITUTE(_xlpm.raw,"_PIN","."),"PIN","."),_xlpm.mainPart,MID(_xlpm.cleanRaw,2,FIND(".",_xlpm.cleanRaw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G110" t="str">
        <f>_xlfn.LET(_xlpm.raw,_xlfn.XLOOKUP(A110,'Pinlist(S3)'!$C$4:$C$1362,'Pinlist(S3)'!$E$4:$E$1362,""),_xlpm.cleanRaw,SUBSTITUTE(SUBSTITUTE(_xlpm.raw,"_PIN","."),"PIN","."),_xlpm.mainPart,MID(_xlpm.cleanRaw,2,FIND(".",_xlpm.cleanRaw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807036</v>
      </c>
      <c r="H110" t="str">
        <f>_xlfn.LET(_xlpm.raw,_xlfn.XLOOKUP(A110,'Pinlist(S5)'!$C$4:$C$1362,'Pinlist(S5)'!$E$4:$E$1362,""),_xlpm.cleanRaw,SUBSTITUTE(SUBSTITUTE(_xlpm.raw,"_PIN","."),"PIN","."),_xlpm.mainPart,MID(_xlpm.cleanRaw,2,FIND(".",_xlpm.cleanRaw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I110" t="str">
        <f>""</f>
        <v/>
      </c>
      <c r="J110" t="str">
        <f t="shared" si="1"/>
        <v>C13;USB3_1_TXN;LA525,CA525,KA513;7.128;1.3;506029;807036;603094;</v>
      </c>
    </row>
    <row r="111" spans="1:10">
      <c r="A111" t="s">
        <v>1522</v>
      </c>
      <c r="B111" t="str">
        <f>_xlfn.XLOOKUP(A111,'Pinlist(S1)'!$Q$4:$Q$1362,'Pinlist(S1)'!$R$4:$R$1362,"")</f>
        <v>USB3_4_TXN</v>
      </c>
      <c r="C111" t="str" cm="1">
        <f t="array" ref="C111">_xlfn.TEXTJOIN(",",TRUE,_xlfn.UNIQUE(TRANSPOSE(_xlfn.MAP(_xlfn.XLOOKUP(A111,'Pinlist(S1)'!$C$4:$C$1362,'Pinlist(S1)'!$F$4:$K$1362,""),_xlfn.LAMBDA(_xlpm.x,IF(_xlpm.x&lt;&gt;"",TRIM(CLEAN(LEFT(_xlpm.x,FIND(".",_xlpm.x &amp; ".")-1))),""))))))</f>
        <v>LA531,CA531,KA516</v>
      </c>
      <c r="D111">
        <v>8.4789999999999992</v>
      </c>
      <c r="E111">
        <v>1.3</v>
      </c>
      <c r="F111" t="str">
        <f>_xlfn.LET(_xlpm.raw,_xlfn.XLOOKUP(A111,'Pinlist(S1)'!$C$4:$C$1362,'Pinlist(S1)'!$E$4:$E$1362,""),_xlpm.cleanRaw,SUBSTITUTE(SUBSTITUTE(_xlpm.raw,"_PIN","."),"PIN","."),_xlpm.mainPart,MID(_xlpm.cleanRaw,2,FIND(".",_xlpm.cleanRaw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G111" t="str">
        <f>_xlfn.LET(_xlpm.raw,_xlfn.XLOOKUP(A111,'Pinlist(S3)'!$C$4:$C$1362,'Pinlist(S3)'!$E$4:$E$1362,""),_xlpm.cleanRaw,SUBSTITUTE(SUBSTITUTE(_xlpm.raw,"_PIN","."),"PIN","."),_xlpm.mainPart,MID(_xlpm.cleanRaw,2,FIND(".",_xlpm.cleanRaw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807037</v>
      </c>
      <c r="H111" t="str">
        <f>_xlfn.LET(_xlpm.raw,_xlfn.XLOOKUP(A111,'Pinlist(S5)'!$C$4:$C$1362,'Pinlist(S5)'!$E$4:$E$1362,""),_xlpm.cleanRaw,SUBSTITUTE(SUBSTITUTE(_xlpm.raw,"_PIN","."),"PIN","."),_xlpm.mainPart,MID(_xlpm.cleanRaw,2,FIND(".",_xlpm.cleanRaw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603103</v>
      </c>
      <c r="I111" t="str">
        <f>""</f>
        <v/>
      </c>
      <c r="J111" t="str">
        <f t="shared" si="1"/>
        <v>C15;USB3_4_TXN;LA531,CA531,KA516;8.479;1.3;506028;807037;603103;</v>
      </c>
    </row>
    <row r="112" spans="1:10">
      <c r="A112" t="s">
        <v>1260</v>
      </c>
      <c r="B112" t="str">
        <f>_xlfn.XLOOKUP(A112,'Pinlist(S1)'!$Q$4:$Q$1362,'Pinlist(S1)'!$R$4:$R$1362,"")</f>
        <v>PCIE_2_UFS_0A_USB3_6_TXP</v>
      </c>
      <c r="C112" t="str" cm="1">
        <f t="array" ref="C112">_xlfn.TEXTJOIN(",",TRUE,_xlfn.UNIQUE(TRANSPOSE(_xlfn.MAP(_xlfn.XLOOKUP(A112,'Pinlist(S1)'!$C$4:$C$1362,'Pinlist(S1)'!$F$4:$K$1362,""),_xlfn.LAMBDA(_xlpm.x,IF(_xlpm.x&lt;&gt;"",TRIM(CLEAN(LEFT(_xlpm.x,FIND(".",_xlpm.x &amp; ".")-1))),""))))))</f>
        <v>LA504,CA504,KA502</v>
      </c>
      <c r="D112">
        <v>9.0419999999999998</v>
      </c>
      <c r="E112">
        <v>0.97500000000000098</v>
      </c>
      <c r="F112" t="str">
        <f>_xlfn.LET(_xlpm.raw,_xlfn.XLOOKUP(A112,'Pinlist(S1)'!$C$4:$C$1362,'Pinlist(S1)'!$E$4:$E$1362,""),_xlpm.cleanRaw,SUBSTITUTE(SUBSTITUTE(_xlpm.raw,"_PIN","."),"PIN","."),_xlpm.mainPart,MID(_xlpm.cleanRaw,2,FIND(".",_xlpm.cleanRaw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504095</v>
      </c>
      <c r="G112" t="str">
        <f>_xlfn.LET(_xlpm.raw,_xlfn.XLOOKUP(A112,'Pinlist(S3)'!$C$4:$C$1362,'Pinlist(S3)'!$E$4:$E$1362,""),_xlpm.cleanRaw,SUBSTITUTE(SUBSTITUTE(_xlpm.raw,"_PIN","."),"PIN","."),_xlpm.mainPart,MID(_xlpm.cleanRaw,2,FIND(".",_xlpm.cleanRaw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112" t="str">
        <f>_xlfn.LET(_xlpm.raw,_xlfn.XLOOKUP(A112,'Pinlist(S5)'!$C$4:$C$1362,'Pinlist(S5)'!$E$4:$E$1362,""),_xlpm.cleanRaw,SUBSTITUTE(SUBSTITUTE(_xlpm.raw,"_PIN","."),"PIN","."),_xlpm.mainPart,MID(_xlpm.cleanRaw,2,FIND(".",_xlpm.cleanRaw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I112" t="str">
        <f>""</f>
        <v/>
      </c>
      <c r="J112" t="str">
        <f t="shared" si="1"/>
        <v>C16;PCIE_2_UFS_0A_USB3_6_TXP;LA504,CA504,KA502;9.042;0.975000000000001;504095;807030;603100;</v>
      </c>
    </row>
    <row r="113" spans="1:10">
      <c r="A113" t="s">
        <v>1268</v>
      </c>
      <c r="B113" t="str">
        <f>_xlfn.XLOOKUP(A113,'Pinlist(S1)'!$Q$4:$Q$1362,'Pinlist(S1)'!$R$4:$R$1362,"")</f>
        <v>PCIE_3_UFS_0B_LAN_0A_TXP</v>
      </c>
      <c r="C113" t="str" cm="1">
        <f t="array" ref="C113">_xlfn.TEXTJOIN(",",TRUE,_xlfn.UNIQUE(TRANSPOSE(_xlfn.MAP(_xlfn.XLOOKUP(A113,'Pinlist(S1)'!$C$4:$C$1362,'Pinlist(S1)'!$F$4:$K$1362,""),_xlfn.LAMBDA(_xlpm.x,IF(_xlpm.x&lt;&gt;"",TRIM(CLEAN(LEFT(_xlpm.x,FIND(".",_xlpm.x &amp; ".")-1))),""))))))</f>
        <v>LA506,CA506,KA503</v>
      </c>
      <c r="D113">
        <v>9.6059999999999999</v>
      </c>
      <c r="E113">
        <v>1.3</v>
      </c>
      <c r="F113" t="str">
        <f>_xlfn.LET(_xlpm.raw,_xlfn.XLOOKUP(A113,'Pinlist(S1)'!$C$4:$C$1362,'Pinlist(S1)'!$E$4:$E$1362,""),_xlpm.cleanRaw,SUBSTITUTE(SUBSTITUTE(_xlpm.raw,"_PIN","."),"PIN","."),_xlpm.mainPart,MID(_xlpm.cleanRaw,2,FIND(".",_xlpm.cleanRaw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G113" t="str">
        <f>_xlfn.LET(_xlpm.raw,_xlfn.XLOOKUP(A113,'Pinlist(S3)'!$C$4:$C$1362,'Pinlist(S3)'!$E$4:$E$1362,""),_xlpm.cleanRaw,SUBSTITUTE(SUBSTITUTE(_xlpm.raw,"_PIN","."),"PIN","."),_xlpm.mainPart,MID(_xlpm.cleanRaw,2,FIND(".",_xlpm.cleanRaw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809093</v>
      </c>
      <c r="H113" t="str">
        <f>_xlfn.LET(_xlpm.raw,_xlfn.XLOOKUP(A113,'Pinlist(S5)'!$C$4:$C$1362,'Pinlist(S5)'!$E$4:$E$1362,""),_xlpm.cleanRaw,SUBSTITUTE(SUBSTITUTE(_xlpm.raw,"_PIN","."),"PIN","."),_xlpm.mainPart,MID(_xlpm.cleanRaw,2,FIND(".",_xlpm.cleanRaw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I113" t="str">
        <f>""</f>
        <v/>
      </c>
      <c r="J113" t="str">
        <f t="shared" si="1"/>
        <v>C17;PCIE_3_UFS_0B_LAN_0A_TXP;LA506,CA506,KA503;9.606;1.3;506035;809093;603097;</v>
      </c>
    </row>
    <row r="114" spans="1:10">
      <c r="A114" t="s">
        <v>1282</v>
      </c>
      <c r="B114" t="str">
        <f>_xlfn.XLOOKUP(A114,'Pinlist(S1)'!$Q$4:$Q$1362,'Pinlist(S1)'!$R$4:$R$1362,"")</f>
        <v>PCIE_5_LAN_0C_TXN</v>
      </c>
      <c r="C114" t="str" cm="1">
        <f t="array" ref="C114">_xlfn.TEXTJOIN(",",TRUE,_xlfn.UNIQUE(TRANSPOSE(_xlfn.MAP(_xlfn.XLOOKUP(A114,'Pinlist(S1)'!$C$4:$C$1362,'Pinlist(S1)'!$F$4:$K$1362,""),_xlfn.LAMBDA(_xlpm.x,IF(_xlpm.x&lt;&gt;"",TRIM(CLEAN(LEFT(_xlpm.x,FIND(".",_xlpm.x &amp; ".")-1))),""))))))</f>
        <v>LA509,CA509,KA505</v>
      </c>
      <c r="D114">
        <v>10.957000000000001</v>
      </c>
      <c r="E114">
        <v>1.3</v>
      </c>
      <c r="F114" t="str">
        <f>_xlfn.LET(_xlpm.raw,_xlfn.XLOOKUP(A114,'Pinlist(S1)'!$C$4:$C$1362,'Pinlist(S1)'!$E$4:$E$1362,""),_xlpm.cleanRaw,SUBSTITUTE(SUBSTITUTE(_xlpm.raw,"_PIN","."),"PIN","."),_xlpm.mainPart,MID(_xlpm.cleanRaw,2,FIND(".",_xlpm.cleanRaw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506040</v>
      </c>
      <c r="G114" t="str">
        <f>_xlfn.LET(_xlpm.raw,_xlfn.XLOOKUP(A114,'Pinlist(S3)'!$C$4:$C$1362,'Pinlist(S3)'!$E$4:$E$1362,""),_xlpm.cleanRaw,SUBSTITUTE(SUBSTITUTE(_xlpm.raw,"_PIN","."),"PIN","."),_xlpm.mainPart,MID(_xlpm.cleanRaw,2,FIND(".",_xlpm.cleanRaw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809097</v>
      </c>
      <c r="H114" t="str">
        <f>_xlfn.LET(_xlpm.raw,_xlfn.XLOOKUP(A114,'Pinlist(S5)'!$C$4:$C$1362,'Pinlist(S5)'!$E$4:$E$1362,""),_xlpm.cleanRaw,SUBSTITUTE(SUBSTITUTE(_xlpm.raw,"_PIN","."),"PIN","."),_xlpm.mainPart,MID(_xlpm.cleanRaw,2,FIND(".",_xlpm.cleanRaw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I114" t="str">
        <f>""</f>
        <v/>
      </c>
      <c r="J114" t="str">
        <f t="shared" si="1"/>
        <v>C19;PCIE_5_LAN_0C_TXN;LA509,CA509,KA505;10.957;1.3;506040;809097;601033;</v>
      </c>
    </row>
    <row r="115" spans="1:10">
      <c r="A115" t="s">
        <v>1292</v>
      </c>
      <c r="B115" t="str">
        <f>_xlfn.XLOOKUP(A115,'Pinlist(S1)'!$Q$4:$Q$1362,'Pinlist(S1)'!$R$4:$R$1362,"")</f>
        <v>PCIE_6_TXP</v>
      </c>
      <c r="C115" t="str" cm="1">
        <f t="array" ref="C115">_xlfn.TEXTJOIN(",",TRUE,_xlfn.UNIQUE(TRANSPOSE(_xlfn.MAP(_xlfn.XLOOKUP(A115,'Pinlist(S1)'!$C$4:$C$1362,'Pinlist(S1)'!$F$4:$K$1362,""),_xlfn.LAMBDA(_xlpm.x,IF(_xlpm.x&lt;&gt;"",TRIM(CLEAN(LEFT(_xlpm.x,FIND(".",_xlpm.x &amp; ".")-1))),""))))))</f>
        <v>LA512,CA512,KA506</v>
      </c>
      <c r="D115">
        <v>11.52</v>
      </c>
      <c r="E115">
        <v>0.97500000000000098</v>
      </c>
      <c r="F115" t="str">
        <f>_xlfn.LET(_xlpm.raw,_xlfn.XLOOKUP(A115,'Pinlist(S1)'!$C$4:$C$1362,'Pinlist(S1)'!$E$4:$E$1362,""),_xlpm.cleanRaw,SUBSTITUTE(SUBSTITUTE(_xlpm.raw,"_PIN","."),"PIN","."),_xlpm.mainPart,MID(_xlpm.cleanRaw,2,FIND(".",_xlpm.cleanRaw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G115" t="str">
        <f>_xlfn.LET(_xlpm.raw,_xlfn.XLOOKUP(A115,'Pinlist(S3)'!$C$4:$C$1362,'Pinlist(S3)'!$E$4:$E$1362,""),_xlpm.cleanRaw,SUBSTITUTE(SUBSTITUTE(_xlpm.raw,"_PIN","."),"PIN","."),_xlpm.mainPart,MID(_xlpm.cleanRaw,2,FIND(".",_xlpm.cleanRaw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809099</v>
      </c>
      <c r="H115" t="str">
        <f>_xlfn.LET(_xlpm.raw,_xlfn.XLOOKUP(A115,'Pinlist(S5)'!$C$4:$C$1362,'Pinlist(S5)'!$E$4:$E$1362,""),_xlpm.cleanRaw,SUBSTITUTE(SUBSTITUTE(_xlpm.raw,"_PIN","."),"PIN","."),_xlpm.mainPart,MID(_xlpm.cleanRaw,2,FIND(".",_xlpm.cleanRaw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601037</v>
      </c>
      <c r="I115" t="str">
        <f>""</f>
        <v/>
      </c>
      <c r="J115" t="str">
        <f t="shared" si="1"/>
        <v>C20;PCIE_6_TXP;LA512,CA512,KA506;11.52;0.975000000000001;506026;809099;601037;</v>
      </c>
    </row>
    <row r="116" spans="1:10">
      <c r="A116" t="s">
        <v>1308</v>
      </c>
      <c r="B116" t="str">
        <f>_xlfn.XLOOKUP(A116,'Pinlist(S1)'!$Q$4:$Q$1362,'Pinlist(S1)'!$R$4:$R$1362,"")</f>
        <v>PCIE_8_SATA_1A_TXP</v>
      </c>
      <c r="C116" t="str" cm="1">
        <f t="array" ref="C116">_xlfn.TEXTJOIN(",",TRUE,_xlfn.UNIQUE(TRANSPOSE(_xlfn.MAP(_xlfn.XLOOKUP(A116,'Pinlist(S1)'!$C$4:$C$1362,'Pinlist(S1)'!$F$4:$K$1362,""),_xlfn.LAMBDA(_xlpm.x,IF(_xlpm.x&lt;&gt;"",TRIM(CLEAN(LEFT(_xlpm.x,FIND(".",_xlpm.x &amp; ".")-1))),""))))))</f>
        <v>LA516,CA516,KA508</v>
      </c>
      <c r="D116">
        <v>12.084</v>
      </c>
      <c r="E116">
        <v>1.3</v>
      </c>
      <c r="F116" t="str">
        <f>_xlfn.LET(_xlpm.raw,_xlfn.XLOOKUP(A116,'Pinlist(S1)'!$C$4:$C$1362,'Pinlist(S1)'!$E$4:$E$1362,""),_xlpm.cleanRaw,SUBSTITUTE(SUBSTITUTE(_xlpm.raw,"_PIN","."),"PIN","."),_xlpm.mainPart,MID(_xlpm.cleanRaw,2,FIND(".",_xlpm.cleanRaw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G116" t="str">
        <f>_xlfn.LET(_xlpm.raw,_xlfn.XLOOKUP(A116,'Pinlist(S3)'!$C$4:$C$1362,'Pinlist(S3)'!$E$4:$E$1362,""),_xlpm.cleanRaw,SUBSTITUTE(SUBSTITUTE(_xlpm.raw,"_PIN","."),"PIN","."),_xlpm.mainPart,MID(_xlpm.cleanRaw,2,FIND(".",_xlpm.cleanRaw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809094</v>
      </c>
      <c r="H116" t="str">
        <f>_xlfn.LET(_xlpm.raw,_xlfn.XLOOKUP(A116,'Pinlist(S5)'!$C$4:$C$1362,'Pinlist(S5)'!$E$4:$E$1362,""),_xlpm.cleanRaw,SUBSTITUTE(SUBSTITUTE(_xlpm.raw,"_PIN","."),"PIN","."),_xlpm.mainPart,MID(_xlpm.cleanRaw,2,FIND(".",_xlpm.cleanRaw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I116" t="str">
        <f>""</f>
        <v/>
      </c>
      <c r="J116" t="str">
        <f t="shared" si="1"/>
        <v>C21;PCIE_8_SATA_1A_TXP;LA516,CA516,KA508;12.084;1.3;504090;809094;601029;</v>
      </c>
    </row>
    <row r="117" spans="1:10">
      <c r="A117" t="s">
        <v>1236</v>
      </c>
      <c r="B117" t="str">
        <f>_xlfn.XLOOKUP(A117,'Pinlist(S1)'!$Q$4:$Q$1362,'Pinlist(S1)'!$R$4:$R$1362,"")</f>
        <v>PCIE_10_LAN_0E_TXP</v>
      </c>
      <c r="C117" t="str" cm="1">
        <f t="array" ref="C117">_xlfn.TEXTJOIN(",",TRUE,_xlfn.UNIQUE(TRANSPOSE(_xlfn.MAP(_xlfn.XLOOKUP(A117,'Pinlist(S1)'!$C$4:$C$1362,'Pinlist(S1)'!$F$4:$K$1362,""),_xlfn.LAMBDA(_xlpm.x,IF(_xlpm.x&lt;&gt;"",TRIM(CLEAN(LEFT(_xlpm.x,FIND(".",_xlpm.x &amp; ".")-1))),""))))))</f>
        <v>LA520,CA520,KA510</v>
      </c>
      <c r="D117">
        <v>13.435</v>
      </c>
      <c r="E117">
        <v>1.3</v>
      </c>
      <c r="F117" t="str">
        <f>_xlfn.LET(_xlpm.raw,_xlfn.XLOOKUP(A117,'Pinlist(S1)'!$C$4:$C$1362,'Pinlist(S1)'!$E$4:$E$1362,""),_xlpm.cleanRaw,SUBSTITUTE(SUBSTITUTE(_xlpm.raw,"_PIN","."),"PIN","."),_xlpm.mainPart,MID(_xlpm.cleanRaw,2,FIND(".",_xlpm.cleanRaw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G117" t="str">
        <f>_xlfn.LET(_xlpm.raw,_xlfn.XLOOKUP(A117,'Pinlist(S3)'!$C$4:$C$1362,'Pinlist(S3)'!$E$4:$E$1362,""),_xlpm.cleanRaw,SUBSTITUTE(SUBSTITUTE(_xlpm.raw,"_PIN","."),"PIN","."),_xlpm.mainPart,MID(_xlpm.cleanRaw,2,FIND(".",_xlpm.cleanRaw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809088</v>
      </c>
      <c r="H117" t="str">
        <f>_xlfn.LET(_xlpm.raw,_xlfn.XLOOKUP(A117,'Pinlist(S5)'!$C$4:$C$1362,'Pinlist(S5)'!$E$4:$E$1362,""),_xlpm.cleanRaw,SUBSTITUTE(SUBSTITUTE(_xlpm.raw,"_PIN","."),"PIN","."),_xlpm.mainPart,MID(_xlpm.cleanRaw,2,FIND(".",_xlpm.cleanRaw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I117" t="str">
        <f>""</f>
        <v/>
      </c>
      <c r="J117" t="str">
        <f t="shared" si="1"/>
        <v>C23;PCIE_10_LAN_0E_TXP;LA520,CA520,KA510;13.435;1.3;504098;809088;601028;</v>
      </c>
    </row>
    <row r="118" spans="1:10">
      <c r="A118" t="s">
        <v>1244</v>
      </c>
      <c r="B118" t="str">
        <f>_xlfn.XLOOKUP(A118,'Pinlist(S1)'!$Q$4:$Q$1362,'Pinlist(S1)'!$R$4:$R$1362,"")</f>
        <v>PCIE_11_SATA_1B_TXP</v>
      </c>
      <c r="C118" t="str" cm="1">
        <f t="array" ref="C118">_xlfn.TEXTJOIN(",",TRUE,_xlfn.UNIQUE(TRANSPOSE(_xlfn.MAP(_xlfn.XLOOKUP(A118,'Pinlist(S1)'!$C$4:$C$1362,'Pinlist(S1)'!$F$4:$K$1362,""),_xlfn.LAMBDA(_xlpm.x,IF(_xlpm.x&lt;&gt;"",TRIM(CLEAN(LEFT(_xlpm.x,FIND(".",_xlpm.x &amp; ".")-1))),""))))))</f>
        <v>LA522,CA522,KA511</v>
      </c>
      <c r="D118">
        <v>13.997999999999999</v>
      </c>
      <c r="E118">
        <v>0.97500000000000098</v>
      </c>
      <c r="F118" t="str">
        <f>_xlfn.LET(_xlpm.raw,_xlfn.XLOOKUP(A118,'Pinlist(S1)'!$C$4:$C$1362,'Pinlist(S1)'!$E$4:$E$1362,""),_xlpm.cleanRaw,SUBSTITUTE(SUBSTITUTE(_xlpm.raw,"_PIN","."),"PIN","."),_xlpm.mainPart,MID(_xlpm.cleanRaw,2,FIND(".",_xlpm.cleanRaw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G118" t="str">
        <f>_xlfn.LET(_xlpm.raw,_xlfn.XLOOKUP(A118,'Pinlist(S3)'!$C$4:$C$1362,'Pinlist(S3)'!$E$4:$E$1362,""),_xlpm.cleanRaw,SUBSTITUTE(SUBSTITUTE(_xlpm.raw,"_PIN","."),"PIN","."),_xlpm.mainPart,MID(_xlpm.cleanRaw,2,FIND(".",_xlpm.cleanRaw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118" t="str">
        <f>_xlfn.LET(_xlpm.raw,_xlfn.XLOOKUP(A118,'Pinlist(S5)'!$C$4:$C$1362,'Pinlist(S5)'!$E$4:$E$1362,""),_xlpm.cleanRaw,SUBSTITUTE(SUBSTITUTE(_xlpm.raw,"_PIN","."),"PIN","."),_xlpm.mainPart,MID(_xlpm.cleanRaw,2,FIND(".",_xlpm.cleanRaw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601036</v>
      </c>
      <c r="I118" t="str">
        <f>""</f>
        <v/>
      </c>
      <c r="J118" t="str">
        <f t="shared" si="1"/>
        <v>C24;PCIE_11_SATA_1B_TXP;LA522,CA522,KA511;13.998;0.975000000000001;504103;809100;601036;</v>
      </c>
    </row>
    <row r="119" spans="1:10">
      <c r="A119" t="s">
        <v>2113</v>
      </c>
      <c r="B119" t="str">
        <f>_xlfn.XLOOKUP(A119,'Pinlist(S1)'!$Q$4:$Q$1362,'Pinlist(S1)'!$R$4:$R$1362,"")</f>
        <v>VSS</v>
      </c>
      <c r="C119" t="str" cm="1">
        <f t="array" ref="C119">_xlfn.TEXTJOIN(",",TRUE,_xlfn.UNIQUE(TRANSPOSE(_xlfn.MAP(_xlfn.XLOOKUP(A119,'Pinlist(S1)'!$C$4:$C$1362,'Pinlist(S1)'!$F$4:$K$1362,""),_xlfn.LAMBDA(_xlpm.x,IF(_xlpm.x&lt;&gt;"",TRIM(CLEAN(LEFT(_xlpm.x,FIND(".",_xlpm.x &amp; ".")-1))),""))))))</f>
        <v/>
      </c>
      <c r="D119">
        <v>14.561999999999999</v>
      </c>
      <c r="E119">
        <v>1.3</v>
      </c>
      <c r="F119" t="str">
        <f>_xlfn.LET(_xlpm.raw,_xlfn.XLOOKUP(A119,'Pinlist(S1)'!$C$4:$C$1362,'Pinlist(S1)'!$E$4:$E$1362,""),_xlpm.cleanRaw,SUBSTITUTE(SUBSTITUTE(_xlpm.raw,"_PIN","."),"PIN","."),_xlpm.mainPart,MID(_xlpm.cleanRaw,2,FIND(".",_xlpm.cleanRaw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" t="str">
        <f>_xlfn.LET(_xlpm.raw,_xlfn.XLOOKUP(A119,'Pinlist(S3)'!$C$4:$C$1362,'Pinlist(S3)'!$E$4:$E$1362,""),_xlpm.cleanRaw,SUBSTITUTE(SUBSTITUTE(_xlpm.raw,"_PIN","."),"PIN","."),_xlpm.mainPart,MID(_xlpm.cleanRaw,2,FIND(".",_xlpm.cleanRaw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" t="str">
        <f>_xlfn.LET(_xlpm.raw,_xlfn.XLOOKUP(A119,'Pinlist(S5)'!$C$4:$C$1362,'Pinlist(S5)'!$E$4:$E$1362,""),_xlpm.cleanRaw,SUBSTITUTE(SUBSTITUTE(_xlpm.raw,"_PIN","."),"PIN","."),_xlpm.mainPart,MID(_xlpm.cleanRaw,2,FIND(".",_xlpm.cleanRaw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9" t="str">
        <f>""</f>
        <v/>
      </c>
      <c r="J119" t="str">
        <f t="shared" si="1"/>
        <v>C25;VSS;;14.562;1.3;;;;</v>
      </c>
    </row>
    <row r="120" spans="1:10">
      <c r="A120" t="s">
        <v>119</v>
      </c>
      <c r="B120" t="str">
        <f>_xlfn.XLOOKUP(A120,'Pinlist(S1)'!$Q$4:$Q$1362,'Pinlist(S1)'!$R$4:$R$1362,"")</f>
        <v>CSI2_DN_11</v>
      </c>
      <c r="C120" t="str" cm="1">
        <f t="array" ref="C120">_xlfn.TEXTJOIN(",",TRUE,_xlfn.UNIQUE(TRANSPOSE(_xlfn.MAP(_xlfn.XLOOKUP(A120,'Pinlist(S1)'!$C$4:$C$1362,'Pinlist(S1)'!$F$4:$K$1362,""),_xlfn.LAMBDA(_xlpm.x,IF(_xlpm.x&lt;&gt;"",TRIM(CLEAN(LEFT(_xlpm.x,FIND(".",_xlpm.x &amp; ".")-1))),""))))))</f>
        <v>KA105</v>
      </c>
      <c r="D120">
        <v>15.913</v>
      </c>
      <c r="E120">
        <v>1.3</v>
      </c>
      <c r="F120" t="str">
        <f>_xlfn.LET(_xlpm.raw,_xlfn.XLOOKUP(A120,'Pinlist(S1)'!$C$4:$C$1362,'Pinlist(S1)'!$E$4:$E$1362,""),_xlpm.cleanRaw,SUBSTITUTE(SUBSTITUTE(_xlpm.raw,"_PIN","."),"PIN","."),_xlpm.mainPart,MID(_xlpm.cleanRaw,2,FIND(".",_xlpm.cleanRaw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20" t="str">
        <f>_xlfn.LET(_xlpm.raw,_xlfn.XLOOKUP(A120,'Pinlist(S3)'!$C$4:$C$1362,'Pinlist(S3)'!$E$4:$E$1362,""),_xlpm.cleanRaw,SUBSTITUTE(SUBSTITUTE(_xlpm.raw,"_PIN","."),"PIN","."),_xlpm.mainPart,MID(_xlpm.cleanRaw,2,FIND(".",_xlpm.cleanRaw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20" t="str">
        <f>_xlfn.LET(_xlpm.raw,_xlfn.XLOOKUP(A120,'Pinlist(S5)'!$C$4:$C$1362,'Pinlist(S5)'!$E$4:$E$1362,""),_xlpm.cleanRaw,SUBSTITUTE(SUBSTITUTE(_xlpm.raw,"_PIN","."),"PIN","."),_xlpm.mainPart,MID(_xlpm.cleanRaw,2,FIND(".",_xlpm.cleanRaw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20" t="str">
        <f>""</f>
        <v/>
      </c>
      <c r="J120" t="str">
        <f t="shared" si="1"/>
        <v>C27;CSI2_DN_11;KA105;15.913;1.3;507111;806086;701086;</v>
      </c>
    </row>
    <row r="121" spans="1:10">
      <c r="A121" t="s">
        <v>136</v>
      </c>
      <c r="B121" t="str">
        <f>_xlfn.XLOOKUP(A121,'Pinlist(S1)'!$Q$4:$Q$1362,'Pinlist(S1)'!$R$4:$R$1362,"")</f>
        <v>CSI2_DN_9</v>
      </c>
      <c r="C121" t="str" cm="1">
        <f t="array" ref="C121">_xlfn.TEXTJOIN(",",TRUE,_xlfn.UNIQUE(TRANSPOSE(_xlfn.MAP(_xlfn.XLOOKUP(A121,'Pinlist(S1)'!$C$4:$C$1362,'Pinlist(S1)'!$F$4:$K$1362,""),_xlfn.LAMBDA(_xlpm.x,IF(_xlpm.x&lt;&gt;"",TRIM(CLEAN(LEFT(_xlpm.x,FIND(".",_xlpm.x &amp; ".")-1))),""))))))</f>
        <v>KA104</v>
      </c>
      <c r="D121">
        <v>16.475999999999999</v>
      </c>
      <c r="E121">
        <v>0.97500000000000098</v>
      </c>
      <c r="F121" t="str">
        <f>_xlfn.LET(_xlpm.raw,_xlfn.XLOOKUP(A121,'Pinlist(S1)'!$C$4:$C$1362,'Pinlist(S1)'!$E$4:$E$1362,""),_xlpm.cleanRaw,SUBSTITUTE(SUBSTITUTE(_xlpm.raw,"_PIN","."),"PIN","."),_xlpm.mainPart,MID(_xlpm.cleanRaw,2,FIND(".",_xlpm.cleanRaw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1" t="str">
        <f>_xlfn.LET(_xlpm.raw,_xlfn.XLOOKUP(A121,'Pinlist(S3)'!$C$4:$C$1362,'Pinlist(S3)'!$E$4:$E$1362,""),_xlpm.cleanRaw,SUBSTITUTE(SUBSTITUTE(_xlpm.raw,"_PIN","."),"PIN","."),_xlpm.mainPart,MID(_xlpm.cleanRaw,2,FIND(".",_xlpm.cleanRaw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1" t="str">
        <f>_xlfn.LET(_xlpm.raw,_xlfn.XLOOKUP(A121,'Pinlist(S5)'!$C$4:$C$1362,'Pinlist(S5)'!$E$4:$E$1362,""),_xlpm.cleanRaw,SUBSTITUTE(SUBSTITUTE(_xlpm.raw,"_PIN","."),"PIN","."),_xlpm.mainPart,MID(_xlpm.cleanRaw,2,FIND(".",_xlpm.cleanRaw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1" t="str">
        <f>""</f>
        <v/>
      </c>
      <c r="J121" t="str">
        <f t="shared" si="1"/>
        <v>C28;CSI2_DN_9;KA104;16.476;0.975000000000001;506025;807022;603086;</v>
      </c>
    </row>
    <row r="122" spans="1:10">
      <c r="A122" t="s">
        <v>95</v>
      </c>
      <c r="B122" t="str">
        <f>_xlfn.XLOOKUP(A122,'Pinlist(S1)'!$Q$4:$Q$1362,'Pinlist(S1)'!$R$4:$R$1362,"")</f>
        <v>CSI2_CLKN_2</v>
      </c>
      <c r="C122" t="str" cm="1">
        <f t="array" ref="C122">_xlfn.TEXTJOIN(",",TRUE,_xlfn.UNIQUE(TRANSPOSE(_xlfn.MAP(_xlfn.XLOOKUP(A122,'Pinlist(S1)'!$C$4:$C$1362,'Pinlist(S1)'!$F$4:$K$1362,""),_xlfn.LAMBDA(_xlpm.x,IF(_xlpm.x&lt;&gt;"",TRIM(CLEAN(LEFT(_xlpm.x,FIND(".",_xlpm.x &amp; ".")-1))),""))))))</f>
        <v>KA103</v>
      </c>
      <c r="D122">
        <v>17.04</v>
      </c>
      <c r="E122">
        <v>1.3</v>
      </c>
      <c r="F122" t="str">
        <f>_xlfn.LET(_xlpm.raw,_xlfn.XLOOKUP(A122,'Pinlist(S1)'!$C$4:$C$1362,'Pinlist(S1)'!$E$4:$E$1362,""),_xlpm.cleanRaw,SUBSTITUTE(SUBSTITUTE(_xlpm.raw,"_PIN","."),"PIN","."),_xlpm.mainPart,MID(_xlpm.cleanRaw,2,FIND(".",_xlpm.cleanRaw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2" t="str">
        <f>_xlfn.LET(_xlpm.raw,_xlfn.XLOOKUP(A122,'Pinlist(S3)'!$C$4:$C$1362,'Pinlist(S3)'!$E$4:$E$1362,""),_xlpm.cleanRaw,SUBSTITUTE(SUBSTITUTE(_xlpm.raw,"_PIN","."),"PIN","."),_xlpm.mainPart,MID(_xlpm.cleanRaw,2,FIND(".",_xlpm.cleanRaw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2" t="str">
        <f>_xlfn.LET(_xlpm.raw,_xlfn.XLOOKUP(A122,'Pinlist(S5)'!$C$4:$C$1362,'Pinlist(S5)'!$E$4:$E$1362,""),_xlpm.cleanRaw,SUBSTITUTE(SUBSTITUTE(_xlpm.raw,"_PIN","."),"PIN","."),_xlpm.mainPart,MID(_xlpm.cleanRaw,2,FIND(".",_xlpm.cleanRaw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2" t="str">
        <f>""</f>
        <v/>
      </c>
      <c r="J122" t="str">
        <f t="shared" si="1"/>
        <v>C29;CSI2_CLKN_2;KA103;17.04;1.3;504122;805083;601002;</v>
      </c>
    </row>
    <row r="123" spans="1:10">
      <c r="A123" t="s">
        <v>126</v>
      </c>
      <c r="B123" t="str">
        <f>_xlfn.XLOOKUP(A123,'Pinlist(S1)'!$Q$4:$Q$1362,'Pinlist(S1)'!$R$4:$R$1362,"")</f>
        <v>CSI2_DN_4</v>
      </c>
      <c r="C123" t="str" cm="1">
        <f t="array" ref="C123">_xlfn.TEXTJOIN(",",TRUE,_xlfn.UNIQUE(TRANSPOSE(_xlfn.MAP(_xlfn.XLOOKUP(A123,'Pinlist(S1)'!$C$4:$C$1362,'Pinlist(S1)'!$F$4:$K$1362,""),_xlfn.LAMBDA(_xlpm.x,IF(_xlpm.x&lt;&gt;"",TRIM(CLEAN(LEFT(_xlpm.x,FIND(".",_xlpm.x &amp; ".")-1))),""))))))</f>
        <v>KA104</v>
      </c>
      <c r="D123">
        <v>18.390999999999998</v>
      </c>
      <c r="E123">
        <v>1.3</v>
      </c>
      <c r="F123" t="str">
        <f>_xlfn.LET(_xlpm.raw,_xlfn.XLOOKUP(A123,'Pinlist(S1)'!$C$4:$C$1362,'Pinlist(S1)'!$E$4:$E$1362,""),_xlpm.cleanRaw,SUBSTITUTE(SUBSTITUTE(_xlpm.raw,"_PIN","."),"PIN","."),_xlpm.mainPart,MID(_xlpm.cleanRaw,2,FIND(".",_xlpm.cleanRaw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123" t="str">
        <f>_xlfn.LET(_xlpm.raw,_xlfn.XLOOKUP(A123,'Pinlist(S3)'!$C$4:$C$1362,'Pinlist(S3)'!$E$4:$E$1362,""),_xlpm.cleanRaw,SUBSTITUTE(SUBSTITUTE(_xlpm.raw,"_PIN","."),"PIN","."),_xlpm.mainPart,MID(_xlpm.cleanRaw,2,FIND(".",_xlpm.cleanRaw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123" t="str">
        <f>_xlfn.LET(_xlpm.raw,_xlfn.XLOOKUP(A123,'Pinlist(S5)'!$C$4:$C$1362,'Pinlist(S5)'!$E$4:$E$1362,""),_xlpm.cleanRaw,SUBSTITUTE(SUBSTITUTE(_xlpm.raw,"_PIN","."),"PIN","."),_xlpm.mainPart,MID(_xlpm.cleanRaw,2,FIND(".",_xlpm.cleanRaw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123" t="str">
        <f>""</f>
        <v/>
      </c>
      <c r="J123" t="str">
        <f t="shared" si="1"/>
        <v>C31;CSI2_DN_4;KA104;18.391;1.3;506022;807021;603106;</v>
      </c>
    </row>
    <row r="124" spans="1:10">
      <c r="A124" t="s">
        <v>93</v>
      </c>
      <c r="B124" t="str">
        <f>_xlfn.XLOOKUP(A124,'Pinlist(S1)'!$Q$4:$Q$1362,'Pinlist(S1)'!$R$4:$R$1362,"")</f>
        <v>CSI2_CLKN_1</v>
      </c>
      <c r="C124" t="str" cm="1">
        <f t="array" ref="C124">_xlfn.TEXTJOIN(",",TRUE,_xlfn.UNIQUE(TRANSPOSE(_xlfn.MAP(_xlfn.XLOOKUP(A124,'Pinlist(S1)'!$C$4:$C$1362,'Pinlist(S1)'!$F$4:$K$1362,""),_xlfn.LAMBDA(_xlpm.x,IF(_xlpm.x&lt;&gt;"",TRIM(CLEAN(LEFT(_xlpm.x,FIND(".",_xlpm.x &amp; ".")-1))),""))))))</f>
        <v>KA103</v>
      </c>
      <c r="D124">
        <v>18.954000000000001</v>
      </c>
      <c r="E124">
        <v>0.97500000000000098</v>
      </c>
      <c r="F124" t="str">
        <f>_xlfn.LET(_xlpm.raw,_xlfn.XLOOKUP(A124,'Pinlist(S1)'!$C$4:$C$1362,'Pinlist(S1)'!$E$4:$E$1362,""),_xlpm.cleanRaw,SUBSTITUTE(SUBSTITUTE(_xlpm.raw,"_PIN","."),"PIN","."),_xlpm.mainPart,MID(_xlpm.cleanRaw,2,FIND(".",_xlpm.cleanRaw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4" t="str">
        <f>_xlfn.LET(_xlpm.raw,_xlfn.XLOOKUP(A124,'Pinlist(S3)'!$C$4:$C$1362,'Pinlist(S3)'!$E$4:$E$1362,""),_xlpm.cleanRaw,SUBSTITUTE(SUBSTITUTE(_xlpm.raw,"_PIN","."),"PIN","."),_xlpm.mainPart,MID(_xlpm.cleanRaw,2,FIND(".",_xlpm.cleanRaw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4" t="str">
        <f>_xlfn.LET(_xlpm.raw,_xlfn.XLOOKUP(A124,'Pinlist(S5)'!$C$4:$C$1362,'Pinlist(S5)'!$E$4:$E$1362,""),_xlpm.cleanRaw,SUBSTITUTE(SUBSTITUTE(_xlpm.raw,"_PIN","."),"PIN","."),_xlpm.mainPart,MID(_xlpm.cleanRaw,2,FIND(".",_xlpm.cleanRaw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4" t="str">
        <f>""</f>
        <v/>
      </c>
      <c r="J124" t="str">
        <f t="shared" si="1"/>
        <v>C32;CSI2_CLKN_1;KA103;18.954;0.975000000000001;504122;805083;601002;</v>
      </c>
    </row>
    <row r="125" spans="1:10">
      <c r="A125" t="s">
        <v>128</v>
      </c>
      <c r="B125" t="str">
        <f>_xlfn.XLOOKUP(A125,'Pinlist(S1)'!$Q$4:$Q$1362,'Pinlist(S1)'!$R$4:$R$1362,"")</f>
        <v>CSI2_DN_5</v>
      </c>
      <c r="C125" t="str" cm="1">
        <f t="array" ref="C125">_xlfn.TEXTJOIN(",",TRUE,_xlfn.UNIQUE(TRANSPOSE(_xlfn.MAP(_xlfn.XLOOKUP(A125,'Pinlist(S1)'!$C$4:$C$1362,'Pinlist(S1)'!$F$4:$K$1362,""),_xlfn.LAMBDA(_xlpm.x,IF(_xlpm.x&lt;&gt;"",TRIM(CLEAN(LEFT(_xlpm.x,FIND(".",_xlpm.x &amp; ".")-1))),""))))))</f>
        <v>KA104</v>
      </c>
      <c r="D125">
        <v>19.518000000000001</v>
      </c>
      <c r="E125">
        <v>1.3</v>
      </c>
      <c r="F125" t="str">
        <f>_xlfn.LET(_xlpm.raw,_xlfn.XLOOKUP(A125,'Pinlist(S1)'!$C$4:$C$1362,'Pinlist(S1)'!$E$4:$E$1362,""),_xlpm.cleanRaw,SUBSTITUTE(SUBSTITUTE(_xlpm.raw,"_PIN","."),"PIN","."),_xlpm.mainPart,MID(_xlpm.cleanRaw,2,FIND(".",_xlpm.cleanRaw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5" t="str">
        <f>_xlfn.LET(_xlpm.raw,_xlfn.XLOOKUP(A125,'Pinlist(S3)'!$C$4:$C$1362,'Pinlist(S3)'!$E$4:$E$1362,""),_xlpm.cleanRaw,SUBSTITUTE(SUBSTITUTE(_xlpm.raw,"_PIN","."),"PIN","."),_xlpm.mainPart,MID(_xlpm.cleanRaw,2,FIND(".",_xlpm.cleanRaw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5" t="str">
        <f>_xlfn.LET(_xlpm.raw,_xlfn.XLOOKUP(A125,'Pinlist(S5)'!$C$4:$C$1362,'Pinlist(S5)'!$E$4:$E$1362,""),_xlpm.cleanRaw,SUBSTITUTE(SUBSTITUTE(_xlpm.raw,"_PIN","."),"PIN","."),_xlpm.mainPart,MID(_xlpm.cleanRaw,2,FIND(".",_xlpm.cleanRaw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5" t="str">
        <f>""</f>
        <v/>
      </c>
      <c r="J125" t="str">
        <f t="shared" si="1"/>
        <v>C33;CSI2_DN_5;KA104;19.518;1.3;506025;807022;603086;</v>
      </c>
    </row>
    <row r="126" spans="1:10">
      <c r="A126" t="s">
        <v>122</v>
      </c>
      <c r="B126" t="str">
        <f>_xlfn.XLOOKUP(A126,'Pinlist(S1)'!$Q$4:$Q$1362,'Pinlist(S1)'!$R$4:$R$1362,"")</f>
        <v>CSI2_DN_2</v>
      </c>
      <c r="C126" t="str" cm="1">
        <f t="array" ref="C126">_xlfn.TEXTJOIN(",",TRUE,_xlfn.UNIQUE(TRANSPOSE(_xlfn.MAP(_xlfn.XLOOKUP(A126,'Pinlist(S1)'!$C$4:$C$1362,'Pinlist(S1)'!$F$4:$K$1362,""),_xlfn.LAMBDA(_xlpm.x,IF(_xlpm.x&lt;&gt;"",TRIM(CLEAN(LEFT(_xlpm.x,FIND(".",_xlpm.x &amp; ".")-1))),""))))))</f>
        <v>KA105</v>
      </c>
      <c r="D126">
        <v>20.869</v>
      </c>
      <c r="E126">
        <v>1.3</v>
      </c>
      <c r="F126" t="str">
        <f>_xlfn.LET(_xlpm.raw,_xlfn.XLOOKUP(A126,'Pinlist(S1)'!$C$4:$C$1362,'Pinlist(S1)'!$E$4:$E$1362,""),_xlpm.cleanRaw,SUBSTITUTE(SUBSTITUTE(_xlpm.raw,"_PIN","."),"PIN","."),_xlpm.mainPart,MID(_xlpm.cleanRaw,2,FIND(".",_xlpm.cleanRaw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26" t="str">
        <f>_xlfn.LET(_xlpm.raw,_xlfn.XLOOKUP(A126,'Pinlist(S3)'!$C$4:$C$1362,'Pinlist(S3)'!$E$4:$E$1362,""),_xlpm.cleanRaw,SUBSTITUTE(SUBSTITUTE(_xlpm.raw,"_PIN","."),"PIN","."),_xlpm.mainPart,MID(_xlpm.cleanRaw,2,FIND(".",_xlpm.cleanRaw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26" t="str">
        <f>_xlfn.LET(_xlpm.raw,_xlfn.XLOOKUP(A126,'Pinlist(S5)'!$C$4:$C$1362,'Pinlist(S5)'!$E$4:$E$1362,""),_xlpm.cleanRaw,SUBSTITUTE(SUBSTITUTE(_xlpm.raw,"_PIN","."),"PIN","."),_xlpm.mainPart,MID(_xlpm.cleanRaw,2,FIND(".",_xlpm.cleanRaw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26" t="str">
        <f>""</f>
        <v/>
      </c>
      <c r="J126" t="str">
        <f t="shared" si="1"/>
        <v>C36;CSI2_DN_2;KA105;20.869;1.3;507125;806127;701085;</v>
      </c>
    </row>
    <row r="127" spans="1:10">
      <c r="A127" t="s">
        <v>90</v>
      </c>
      <c r="B127" t="str">
        <f>_xlfn.XLOOKUP(A127,'Pinlist(S1)'!$Q$4:$Q$1362,'Pinlist(S1)'!$R$4:$R$1362,"")</f>
        <v>CSI2_CLKN_0</v>
      </c>
      <c r="C127" t="str" cm="1">
        <f t="array" ref="C127">_xlfn.TEXTJOIN(",",TRUE,_xlfn.UNIQUE(TRANSPOSE(_xlfn.MAP(_xlfn.XLOOKUP(A127,'Pinlist(S1)'!$C$4:$C$1362,'Pinlist(S1)'!$F$4:$K$1362,""),_xlfn.LAMBDA(_xlpm.x,IF(_xlpm.x&lt;&gt;"",TRIM(CLEAN(LEFT(_xlpm.x,FIND(".",_xlpm.x &amp; ".")-1))),""))))))</f>
        <v>KA103</v>
      </c>
      <c r="D127">
        <v>21.431999999999999</v>
      </c>
      <c r="E127">
        <v>0.97500000000000098</v>
      </c>
      <c r="F127" t="str">
        <f>_xlfn.LET(_xlpm.raw,_xlfn.XLOOKUP(A127,'Pinlist(S1)'!$C$4:$C$1362,'Pinlist(S1)'!$E$4:$E$1362,""),_xlpm.cleanRaw,SUBSTITUTE(SUBSTITUTE(_xlpm.raw,"_PIN","."),"PIN","."),_xlpm.mainPart,MID(_xlpm.cleanRaw,2,FIND(".",_xlpm.cleanRaw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7" t="str">
        <f>_xlfn.LET(_xlpm.raw,_xlfn.XLOOKUP(A127,'Pinlist(S3)'!$C$4:$C$1362,'Pinlist(S3)'!$E$4:$E$1362,""),_xlpm.cleanRaw,SUBSTITUTE(SUBSTITUTE(_xlpm.raw,"_PIN","."),"PIN","."),_xlpm.mainPart,MID(_xlpm.cleanRaw,2,FIND(".",_xlpm.cleanRaw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7" t="str">
        <f>_xlfn.LET(_xlpm.raw,_xlfn.XLOOKUP(A127,'Pinlist(S5)'!$C$4:$C$1362,'Pinlist(S5)'!$E$4:$E$1362,""),_xlpm.cleanRaw,SUBSTITUTE(SUBSTITUTE(_xlpm.raw,"_PIN","."),"PIN","."),_xlpm.mainPart,MID(_xlpm.cleanRaw,2,FIND(".",_xlpm.cleanRaw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7" t="str">
        <f>""</f>
        <v/>
      </c>
      <c r="J127" t="str">
        <f t="shared" si="1"/>
        <v>C37;CSI2_CLKN_0;KA103;21.432;0.975000000000001;504122;805083;601002;</v>
      </c>
    </row>
    <row r="128" spans="1:10">
      <c r="A128" t="s">
        <v>113</v>
      </c>
      <c r="B128" t="str">
        <f>_xlfn.XLOOKUP(A128,'Pinlist(S1)'!$Q$4:$Q$1362,'Pinlist(S1)'!$R$4:$R$1362,"")</f>
        <v>CSI2_DN_1</v>
      </c>
      <c r="C128" t="str" cm="1">
        <f t="array" ref="C128">_xlfn.TEXTJOIN(",",TRUE,_xlfn.UNIQUE(TRANSPOSE(_xlfn.MAP(_xlfn.XLOOKUP(A128,'Pinlist(S1)'!$C$4:$C$1362,'Pinlist(S1)'!$F$4:$K$1362,""),_xlfn.LAMBDA(_xlpm.x,IF(_xlpm.x&lt;&gt;"",TRIM(CLEAN(LEFT(_xlpm.x,FIND(".",_xlpm.x &amp; ".")-1))),""))))))</f>
        <v>KA104</v>
      </c>
      <c r="D128">
        <v>21.995999999999999</v>
      </c>
      <c r="E128">
        <v>1.3</v>
      </c>
      <c r="F128" t="str">
        <f>_xlfn.LET(_xlpm.raw,_xlfn.XLOOKUP(A128,'Pinlist(S1)'!$C$4:$C$1362,'Pinlist(S1)'!$E$4:$E$1362,""),_xlpm.cleanRaw,SUBSTITUTE(SUBSTITUTE(_xlpm.raw,"_PIN","."),"PIN","."),_xlpm.mainPart,MID(_xlpm.cleanRaw,2,FIND(".",_xlpm.cleanRaw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8" t="str">
        <f>_xlfn.LET(_xlpm.raw,_xlfn.XLOOKUP(A128,'Pinlist(S3)'!$C$4:$C$1362,'Pinlist(S3)'!$E$4:$E$1362,""),_xlpm.cleanRaw,SUBSTITUTE(SUBSTITUTE(_xlpm.raw,"_PIN","."),"PIN","."),_xlpm.mainPart,MID(_xlpm.cleanRaw,2,FIND(".",_xlpm.cleanRaw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8" t="str">
        <f>_xlfn.LET(_xlpm.raw,_xlfn.XLOOKUP(A128,'Pinlist(S5)'!$C$4:$C$1362,'Pinlist(S5)'!$E$4:$E$1362,""),_xlpm.cleanRaw,SUBSTITUTE(SUBSTITUTE(_xlpm.raw,"_PIN","."),"PIN","."),_xlpm.mainPart,MID(_xlpm.cleanRaw,2,FIND(".",_xlpm.cleanRaw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8" t="str">
        <f>""</f>
        <v/>
      </c>
      <c r="J128" t="str">
        <f t="shared" si="1"/>
        <v>C38;CSI2_DN_1;KA104;21.996;1.3;506025;807022;603086;</v>
      </c>
    </row>
    <row r="129" spans="1:10">
      <c r="A129" t="s">
        <v>58</v>
      </c>
      <c r="B129" t="str">
        <f>_xlfn.XLOOKUP(A129,'Pinlist(S1)'!$Q$4:$Q$1362,'Pinlist(S1)'!$R$4:$R$1362,"")</f>
        <v>CLKOUT_SRC_P_3</v>
      </c>
      <c r="C129" t="str" cm="1">
        <f t="array" ref="C129">_xlfn.TEXTJOIN(",",TRUE,_xlfn.UNIQUE(TRANSPOSE(_xlfn.MAP(_xlfn.XLOOKUP(A129,'Pinlist(S1)'!$C$4:$C$1362,'Pinlist(S1)'!$F$4:$K$1362,""),_xlfn.LAMBDA(_xlpm.x,IF(_xlpm.x&lt;&gt;"",TRIM(CLEAN(LEFT(_xlpm.x,FIND(".",_xlpm.x &amp; ".")-1))),""))))))</f>
        <v>TPA104,KA102</v>
      </c>
      <c r="D129">
        <v>23.347000000000001</v>
      </c>
      <c r="E129">
        <v>1.3</v>
      </c>
      <c r="F129" t="str">
        <f>_xlfn.LET(_xlpm.raw,_xlfn.XLOOKUP(A129,'Pinlist(S1)'!$C$4:$C$1362,'Pinlist(S1)'!$E$4:$E$1362,""),_xlpm.cleanRaw,SUBSTITUTE(SUBSTITUTE(_xlpm.raw,"_PIN","."),"PIN","."),_xlpm.mainPart,MID(_xlpm.cleanRaw,2,FIND(".",_xlpm.cleanRaw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29" t="str">
        <f>_xlfn.LET(_xlpm.raw,_xlfn.XLOOKUP(A129,'Pinlist(S3)'!$C$4:$C$1362,'Pinlist(S3)'!$E$4:$E$1362,""),_xlpm.cleanRaw,SUBSTITUTE(SUBSTITUTE(_xlpm.raw,"_PIN","."),"PIN","."),_xlpm.mainPart,MID(_xlpm.cleanRaw,2,FIND(".",_xlpm.cleanRaw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29" t="str">
        <f>_xlfn.LET(_xlpm.raw,_xlfn.XLOOKUP(A129,'Pinlist(S5)'!$C$4:$C$1362,'Pinlist(S5)'!$E$4:$E$1362,""),_xlpm.cleanRaw,SUBSTITUTE(SUBSTITUTE(_xlpm.raw,"_PIN","."),"PIN","."),_xlpm.mainPart,MID(_xlpm.cleanRaw,2,FIND(".",_xlpm.cleanRaw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29" t="str">
        <f>""</f>
        <v/>
      </c>
      <c r="J129" t="str">
        <f t="shared" si="1"/>
        <v>C40;CLKOUT_SRC_P_3;TPA104,KA102;23.347;1.3;505059;805081;702081;</v>
      </c>
    </row>
    <row r="130" spans="1:10">
      <c r="A130" t="s">
        <v>55</v>
      </c>
      <c r="B130" t="str">
        <f>_xlfn.XLOOKUP(A130,'Pinlist(S1)'!$Q$4:$Q$1362,'Pinlist(S1)'!$R$4:$R$1362,"")</f>
        <v>CLKOUT_SRC_P_2</v>
      </c>
      <c r="C130" t="str" cm="1">
        <f t="array" ref="C130">_xlfn.TEXTJOIN(",",TRUE,_xlfn.UNIQUE(TRANSPOSE(_xlfn.MAP(_xlfn.XLOOKUP(A130,'Pinlist(S1)'!$C$4:$C$1362,'Pinlist(S1)'!$F$4:$K$1362,""),_xlfn.LAMBDA(_xlpm.x,IF(_xlpm.x&lt;&gt;"",TRIM(CLEAN(LEFT(_xlpm.x,FIND(".",_xlpm.x &amp; ".")-1))),""))))))</f>
        <v>TPA104,KA102</v>
      </c>
      <c r="D130">
        <v>23.91</v>
      </c>
      <c r="E130">
        <v>0.97500000000000098</v>
      </c>
      <c r="F130" t="str">
        <f>_xlfn.LET(_xlpm.raw,_xlfn.XLOOKUP(A130,'Pinlist(S1)'!$C$4:$C$1362,'Pinlist(S1)'!$E$4:$E$1362,""),_xlpm.cleanRaw,SUBSTITUTE(SUBSTITUTE(_xlpm.raw,"_PIN","."),"PIN","."),_xlpm.mainPart,MID(_xlpm.cleanRaw,2,FIND(".",_xlpm.cleanRaw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30" t="str">
        <f>_xlfn.LET(_xlpm.raw,_xlfn.XLOOKUP(A130,'Pinlist(S3)'!$C$4:$C$1362,'Pinlist(S3)'!$E$4:$E$1362,""),_xlpm.cleanRaw,SUBSTITUTE(SUBSTITUTE(_xlpm.raw,"_PIN","."),"PIN","."),_xlpm.mainPart,MID(_xlpm.cleanRaw,2,FIND(".",_xlpm.cleanRaw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30" t="str">
        <f>_xlfn.LET(_xlpm.raw,_xlfn.XLOOKUP(A130,'Pinlist(S5)'!$C$4:$C$1362,'Pinlist(S5)'!$E$4:$E$1362,""),_xlpm.cleanRaw,SUBSTITUTE(SUBSTITUTE(_xlpm.raw,"_PIN","."),"PIN","."),_xlpm.mainPart,MID(_xlpm.cleanRaw,2,FIND(".",_xlpm.cleanRaw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30" t="str">
        <f>""</f>
        <v/>
      </c>
      <c r="J130" t="str">
        <f t="shared" ref="J130:J193" si="2">A130&amp;";"&amp;B130&amp;";"&amp;C130&amp;";"&amp;D130&amp;";"&amp;E130&amp;";"&amp;F130&amp;";"&amp;G130&amp;";"&amp;H130&amp;";"&amp;I130</f>
        <v>C41;CLKOUT_SRC_P_2;TPA104,KA102;23.91;0.975000000000001;505059;805081;702081;</v>
      </c>
    </row>
    <row r="131" spans="1:10">
      <c r="A131" t="s">
        <v>50</v>
      </c>
      <c r="B131" t="str">
        <f>_xlfn.XLOOKUP(A131,'Pinlist(S1)'!$Q$4:$Q$1362,'Pinlist(S1)'!$R$4:$R$1362,"")</f>
        <v>CLKOUT_SRC_P_0</v>
      </c>
      <c r="C131" t="str" cm="1">
        <f t="array" ref="C131">_xlfn.TEXTJOIN(",",TRUE,_xlfn.UNIQUE(TRANSPOSE(_xlfn.MAP(_xlfn.XLOOKUP(A131,'Pinlist(S1)'!$C$4:$C$1362,'Pinlist(S1)'!$F$4:$K$1362,""),_xlfn.LAMBDA(_xlpm.x,IF(_xlpm.x&lt;&gt;"",TRIM(CLEAN(LEFT(_xlpm.x,FIND(".",_xlpm.x &amp; ".")-1))),""))))))</f>
        <v>TPA104,KA102</v>
      </c>
      <c r="D131">
        <v>24.474</v>
      </c>
      <c r="E131">
        <v>1.3</v>
      </c>
      <c r="F131" t="str">
        <f>_xlfn.LET(_xlpm.raw,_xlfn.XLOOKUP(A131,'Pinlist(S1)'!$C$4:$C$1362,'Pinlist(S1)'!$E$4:$E$1362,""),_xlpm.cleanRaw,SUBSTITUTE(SUBSTITUTE(_xlpm.raw,"_PIN","."),"PIN","."),_xlpm.mainPart,MID(_xlpm.cleanRaw,2,FIND(".",_xlpm.cleanRaw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31" t="str">
        <f>_xlfn.LET(_xlpm.raw,_xlfn.XLOOKUP(A131,'Pinlist(S3)'!$C$4:$C$1362,'Pinlist(S3)'!$E$4:$E$1362,""),_xlpm.cleanRaw,SUBSTITUTE(SUBSTITUTE(_xlpm.raw,"_PIN","."),"PIN","."),_xlpm.mainPart,MID(_xlpm.cleanRaw,2,FIND(".",_xlpm.cleanRaw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31" t="str">
        <f>_xlfn.LET(_xlpm.raw,_xlfn.XLOOKUP(A131,'Pinlist(S5)'!$C$4:$C$1362,'Pinlist(S5)'!$E$4:$E$1362,""),_xlpm.cleanRaw,SUBSTITUTE(SUBSTITUTE(_xlpm.raw,"_PIN","."),"PIN","."),_xlpm.mainPart,MID(_xlpm.cleanRaw,2,FIND(".",_xlpm.cleanRaw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31" t="str">
        <f>""</f>
        <v/>
      </c>
      <c r="J131" t="str">
        <f t="shared" si="2"/>
        <v>C42;CLKOUT_SRC_P_0;TPA104,KA102;24.474;1.3;505059;805081;702081;</v>
      </c>
    </row>
    <row r="132" spans="1:10">
      <c r="A132" t="s">
        <v>736</v>
      </c>
      <c r="B132" t="str">
        <f>_xlfn.XLOOKUP(A132,'Pinlist(S1)'!$Q$4:$Q$1362,'Pinlist(S1)'!$R$4:$R$1362,"")</f>
        <v>EDP_TXP[1]</v>
      </c>
      <c r="C132" t="str" cm="1">
        <f t="array" ref="C132">_xlfn.TEXTJOIN(",",TRUE,_xlfn.UNIQUE(TRANSPOSE(_xlfn.MAP(_xlfn.XLOOKUP(A132,'Pinlist(S1)'!$C$4:$C$1362,'Pinlist(S1)'!$F$4:$K$1362,""),_xlfn.LAMBDA(_xlpm.x,IF(_xlpm.x&lt;&gt;"",TRIM(CLEAN(LEFT(_xlpm.x,FIND(".",_xlpm.x &amp; ".")-1))),""))))))</f>
        <v/>
      </c>
      <c r="D132">
        <v>25.824999999999999</v>
      </c>
      <c r="E132">
        <v>1.3</v>
      </c>
      <c r="F132" t="str">
        <f>_xlfn.LET(_xlpm.raw,_xlfn.XLOOKUP(A132,'Pinlist(S1)'!$C$4:$C$1362,'Pinlist(S1)'!$E$4:$E$1362,""),_xlpm.cleanRaw,SUBSTITUTE(SUBSTITUTE(_xlpm.raw,"_PIN","."),"PIN","."),_xlpm.mainPart,MID(_xlpm.cleanRaw,2,FIND(".",_xlpm.cleanRaw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608074</v>
      </c>
      <c r="G132" t="str">
        <f>_xlfn.LET(_xlpm.raw,_xlfn.XLOOKUP(A132,'Pinlist(S3)'!$C$4:$C$1362,'Pinlist(S3)'!$E$4:$E$1362,""),_xlpm.cleanRaw,SUBSTITUTE(SUBSTITUTE(_xlpm.raw,"_PIN","."),"PIN","."),_xlpm.mainPart,MID(_xlpm.cleanRaw,2,FIND(".",_xlpm.cleanRaw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502076</v>
      </c>
      <c r="H132" t="str">
        <f>_xlfn.LET(_xlpm.raw,_xlfn.XLOOKUP(A132,'Pinlist(S5)'!$C$4:$C$1362,'Pinlist(S5)'!$E$4:$E$1362,""),_xlpm.cleanRaw,SUBSTITUTE(SUBSTITUTE(_xlpm.raw,"_PIN","."),"PIN","."),_xlpm.mainPart,MID(_xlpm.cleanRaw,2,FIND(".",_xlpm.cleanRaw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705074</v>
      </c>
      <c r="I132" t="str">
        <f>""</f>
        <v/>
      </c>
      <c r="J132" t="str">
        <f t="shared" si="2"/>
        <v>C45;EDP_TXP[1];;25.825;1.3;608074;502076;705074;</v>
      </c>
    </row>
    <row r="133" spans="1:10">
      <c r="A133" t="s">
        <v>734</v>
      </c>
      <c r="B133" t="str">
        <f>_xlfn.XLOOKUP(A133,'Pinlist(S1)'!$Q$4:$Q$1362,'Pinlist(S1)'!$R$4:$R$1362,"")</f>
        <v>EDP_TXP[0]</v>
      </c>
      <c r="C133" t="str" cm="1">
        <f t="array" ref="C133">_xlfn.TEXTJOIN(",",TRUE,_xlfn.UNIQUE(TRANSPOSE(_xlfn.MAP(_xlfn.XLOOKUP(A133,'Pinlist(S1)'!$C$4:$C$1362,'Pinlist(S1)'!$F$4:$K$1362,""),_xlfn.LAMBDA(_xlpm.x,IF(_xlpm.x&lt;&gt;"",TRIM(CLEAN(LEFT(_xlpm.x,FIND(".",_xlpm.x &amp; ".")-1))),""))))))</f>
        <v/>
      </c>
      <c r="D133">
        <v>26.387999999999899</v>
      </c>
      <c r="E133">
        <v>0.97500000000000098</v>
      </c>
      <c r="F133" t="str">
        <f>_xlfn.LET(_xlpm.raw,_xlfn.XLOOKUP(A133,'Pinlist(S1)'!$C$4:$C$1362,'Pinlist(S1)'!$E$4:$E$1362,""),_xlpm.cleanRaw,SUBSTITUTE(SUBSTITUTE(_xlpm.raw,"_PIN","."),"PIN","."),_xlpm.mainPart,MID(_xlpm.cleanRaw,2,FIND(".",_xlpm.cleanRaw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607022</v>
      </c>
      <c r="G133" t="str">
        <f>_xlfn.LET(_xlpm.raw,_xlfn.XLOOKUP(A133,'Pinlist(S3)'!$C$4:$C$1362,'Pinlist(S3)'!$E$4:$E$1362,""),_xlpm.cleanRaw,SUBSTITUTE(SUBSTITUTE(_xlpm.raw,"_PIN","."),"PIN","."),_xlpm.mainPart,MID(_xlpm.cleanRaw,2,FIND(".",_xlpm.cleanRaw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801024</v>
      </c>
      <c r="H133" t="str">
        <f>_xlfn.LET(_xlpm.raw,_xlfn.XLOOKUP(A133,'Pinlist(S5)'!$C$4:$C$1362,'Pinlist(S5)'!$E$4:$E$1362,""),_xlpm.cleanRaw,SUBSTITUTE(SUBSTITUTE(_xlpm.raw,"_PIN","."),"PIN","."),_xlpm.mainPart,MID(_xlpm.cleanRaw,2,FIND(".",_xlpm.cleanRaw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708068</v>
      </c>
      <c r="I133" t="str">
        <f>""</f>
        <v/>
      </c>
      <c r="J133" t="str">
        <f t="shared" si="2"/>
        <v>C46;EDP_TXP[0];;26.3879999999999;0.975000000000001;607022;801024;708068;</v>
      </c>
    </row>
    <row r="134" spans="1:10">
      <c r="A134" t="s">
        <v>726</v>
      </c>
      <c r="B134" t="str">
        <f>_xlfn.XLOOKUP(A134,'Pinlist(S1)'!$Q$4:$Q$1362,'Pinlist(S1)'!$R$4:$R$1362,"")</f>
        <v>EDP_TXN[0]</v>
      </c>
      <c r="C134" t="str" cm="1">
        <f t="array" ref="C134">_xlfn.TEXTJOIN(",",TRUE,_xlfn.UNIQUE(TRANSPOSE(_xlfn.MAP(_xlfn.XLOOKUP(A134,'Pinlist(S1)'!$C$4:$C$1362,'Pinlist(S1)'!$F$4:$K$1362,""),_xlfn.LAMBDA(_xlpm.x,IF(_xlpm.x&lt;&gt;"",TRIM(CLEAN(LEFT(_xlpm.x,FIND(".",_xlpm.x &amp; ".")-1))),""))))))</f>
        <v/>
      </c>
      <c r="D134">
        <v>26.951999999999899</v>
      </c>
      <c r="E134">
        <v>1.3</v>
      </c>
      <c r="F134" t="str">
        <f>_xlfn.LET(_xlpm.raw,_xlfn.XLOOKUP(A134,'Pinlist(S1)'!$C$4:$C$1362,'Pinlist(S1)'!$E$4:$E$1362,""),_xlpm.cleanRaw,SUBSTITUTE(SUBSTITUTE(_xlpm.raw,"_PIN","."),"PIN","."),_xlpm.mainPart,MID(_xlpm.cleanRaw,2,FIND(".",_xlpm.cleanRaw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607021</v>
      </c>
      <c r="G134" t="str">
        <f>_xlfn.LET(_xlpm.raw,_xlfn.XLOOKUP(A134,'Pinlist(S3)'!$C$4:$C$1362,'Pinlist(S3)'!$E$4:$E$1362,""),_xlpm.cleanRaw,SUBSTITUTE(SUBSTITUTE(_xlpm.raw,"_PIN","."),"PIN","."),_xlpm.mainPart,MID(_xlpm.cleanRaw,2,FIND(".",_xlpm.cleanRaw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801026</v>
      </c>
      <c r="H134" t="str">
        <f>_xlfn.LET(_xlpm.raw,_xlfn.XLOOKUP(A134,'Pinlist(S5)'!$C$4:$C$1362,'Pinlist(S5)'!$E$4:$E$1362,""),_xlpm.cleanRaw,SUBSTITUTE(SUBSTITUTE(_xlpm.raw,"_PIN","."),"PIN","."),_xlpm.mainPart,MID(_xlpm.cleanRaw,2,FIND(".",_xlpm.cleanRaw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708070</v>
      </c>
      <c r="I134" t="str">
        <f>""</f>
        <v/>
      </c>
      <c r="J134" t="str">
        <f t="shared" si="2"/>
        <v>C47;EDP_TXN[0];;26.9519999999999;1.3;607021;801026;708070;</v>
      </c>
    </row>
    <row r="135" spans="1:10">
      <c r="A135" t="s">
        <v>195</v>
      </c>
      <c r="B135" t="str">
        <f>_xlfn.XLOOKUP(A135,'Pinlist(S1)'!$Q$4:$Q$1362,'Pinlist(S1)'!$R$4:$R$1362,"")</f>
        <v>DDI2_TXN[0]</v>
      </c>
      <c r="C135" t="str" cm="1">
        <f t="array" ref="C135">_xlfn.TEXTJOIN(",",TRUE,_xlfn.UNIQUE(TRANSPOSE(_xlfn.MAP(_xlfn.XLOOKUP(A135,'Pinlist(S1)'!$C$4:$C$1362,'Pinlist(S1)'!$F$4:$K$1362,""),_xlfn.LAMBDA(_xlpm.x,IF(_xlpm.x&lt;&gt;"",TRIM(CLEAN(LEFT(_xlpm.x,FIND(".",_xlpm.x &amp; ".")-1))),""))))))</f>
        <v>KA127</v>
      </c>
      <c r="D135">
        <v>28.303000000000001</v>
      </c>
      <c r="E135">
        <v>1.3</v>
      </c>
      <c r="F135" t="str">
        <f>_xlfn.LET(_xlpm.raw,_xlfn.XLOOKUP(A135,'Pinlist(S1)'!$C$4:$C$1362,'Pinlist(S1)'!$E$4:$E$1362,""),_xlpm.cleanRaw,SUBSTITUTE(SUBSTITUTE(_xlpm.raw,"_PIN","."),"PIN","."),_xlpm.mainPart,MID(_xlpm.cleanRaw,2,FIND(".",_xlpm.cleanRaw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35" t="str">
        <f>_xlfn.LET(_xlpm.raw,_xlfn.XLOOKUP(A135,'Pinlist(S3)'!$C$4:$C$1362,'Pinlist(S3)'!$E$4:$E$1362,""),_xlpm.cleanRaw,SUBSTITUTE(SUBSTITUTE(_xlpm.raw,"_PIN","."),"PIN","."),_xlpm.mainPart,MID(_xlpm.cleanRaw,2,FIND(".",_xlpm.cleanRaw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503020</v>
      </c>
      <c r="H135" t="str">
        <f>_xlfn.LET(_xlpm.raw,_xlfn.XLOOKUP(A135,'Pinlist(S5)'!$C$4:$C$1362,'Pinlist(S5)'!$E$4:$E$1362,""),_xlpm.cleanRaw,SUBSTITUTE(SUBSTITUTE(_xlpm.raw,"_PIN","."),"PIN","."),_xlpm.mainPart,MID(_xlpm.cleanRaw,2,FIND(".",_xlpm.cleanRaw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709007</v>
      </c>
      <c r="I135" t="str">
        <f>""</f>
        <v/>
      </c>
      <c r="J135" t="str">
        <f t="shared" si="2"/>
        <v>C50;DDI2_TXN[0];KA127;28.303;1.3;604008;503020;709007;</v>
      </c>
    </row>
    <row r="136" spans="1:10">
      <c r="A136" t="s">
        <v>215</v>
      </c>
      <c r="B136" t="str">
        <f>_xlfn.XLOOKUP(A136,'Pinlist(S1)'!$Q$4:$Q$1362,'Pinlist(S1)'!$R$4:$R$1362,"")</f>
        <v>DDI2_TXP[3]</v>
      </c>
      <c r="C136" t="str" cm="1">
        <f t="array" ref="C136">_xlfn.TEXTJOIN(",",TRUE,_xlfn.UNIQUE(TRANSPOSE(_xlfn.MAP(_xlfn.XLOOKUP(A136,'Pinlist(S1)'!$C$4:$C$1362,'Pinlist(S1)'!$F$4:$K$1362,""),_xlfn.LAMBDA(_xlpm.x,IF(_xlpm.x&lt;&gt;"",TRIM(CLEAN(LEFT(_xlpm.x,FIND(".",_xlpm.x &amp; ".")-1))),""))))))</f>
        <v>KA130</v>
      </c>
      <c r="D136">
        <v>28.866</v>
      </c>
      <c r="E136">
        <v>0.97500000000000098</v>
      </c>
      <c r="F136" t="str">
        <f>_xlfn.LET(_xlpm.raw,_xlfn.XLOOKUP(A136,'Pinlist(S1)'!$C$4:$C$1362,'Pinlist(S1)'!$E$4:$E$1362,""),_xlpm.cleanRaw,SUBSTITUTE(SUBSTITUTE(_xlpm.raw,"_PIN","."),"PIN","."),_xlpm.mainPart,MID(_xlpm.cleanRaw,2,FIND(".",_xlpm.cleanRaw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136" t="str">
        <f>_xlfn.LET(_xlpm.raw,_xlfn.XLOOKUP(A136,'Pinlist(S3)'!$C$4:$C$1362,'Pinlist(S3)'!$E$4:$E$1362,""),_xlpm.cleanRaw,SUBSTITUTE(SUBSTITUTE(_xlpm.raw,"_PIN","."),"PIN","."),_xlpm.mainPart,MID(_xlpm.cleanRaw,2,FIND(".",_xlpm.cleanRaw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503029</v>
      </c>
      <c r="H136" t="str">
        <f>_xlfn.LET(_xlpm.raw,_xlfn.XLOOKUP(A136,'Pinlist(S5)'!$C$4:$C$1362,'Pinlist(S5)'!$E$4:$E$1362,""),_xlpm.cleanRaw,SUBSTITUTE(SUBSTITUTE(_xlpm.raw,"_PIN","."),"PIN","."),_xlpm.mainPart,MID(_xlpm.cleanRaw,2,FIND(".",_xlpm.cleanRaw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709032</v>
      </c>
      <c r="I136" t="str">
        <f>""</f>
        <v/>
      </c>
      <c r="J136" t="str">
        <f t="shared" si="2"/>
        <v>C51;DDI2_TXP[3];KA130;28.866;0.975000000000001;604022;503029;709032;</v>
      </c>
    </row>
    <row r="137" spans="1:10">
      <c r="A137" t="s">
        <v>198</v>
      </c>
      <c r="B137" t="str">
        <f>_xlfn.XLOOKUP(A137,'Pinlist(S1)'!$Q$4:$Q$1362,'Pinlist(S1)'!$R$4:$R$1362,"")</f>
        <v>DDI2_TXN[1]</v>
      </c>
      <c r="C137" t="str" cm="1">
        <f t="array" ref="C137">_xlfn.TEXTJOIN(",",TRUE,_xlfn.UNIQUE(TRANSPOSE(_xlfn.MAP(_xlfn.XLOOKUP(A137,'Pinlist(S1)'!$C$4:$C$1362,'Pinlist(S1)'!$F$4:$K$1362,""),_xlfn.LAMBDA(_xlpm.x,IF(_xlpm.x&lt;&gt;"",TRIM(CLEAN(LEFT(_xlpm.x,FIND(".",_xlpm.x &amp; ".")-1))),""))))))</f>
        <v>KA128</v>
      </c>
      <c r="D137">
        <v>29.43</v>
      </c>
      <c r="E137">
        <v>1.3</v>
      </c>
      <c r="F137" t="str">
        <f>_xlfn.LET(_xlpm.raw,_xlfn.XLOOKUP(A137,'Pinlist(S1)'!$C$4:$C$1362,'Pinlist(S1)'!$E$4:$E$1362,""),_xlpm.cleanRaw,SUBSTITUTE(SUBSTITUTE(_xlpm.raw,"_PIN","."),"PIN","."),_xlpm.mainPart,MID(_xlpm.cleanRaw,2,FIND(".",_xlpm.cleanRaw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137" t="str">
        <f>_xlfn.LET(_xlpm.raw,_xlfn.XLOOKUP(A137,'Pinlist(S3)'!$C$4:$C$1362,'Pinlist(S3)'!$E$4:$E$1362,""),_xlpm.cleanRaw,SUBSTITUTE(SUBSTITUTE(_xlpm.raw,"_PIN","."),"PIN","."),_xlpm.mainPart,MID(_xlpm.cleanRaw,2,FIND(".",_xlpm.cleanRaw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503026</v>
      </c>
      <c r="H137" t="str">
        <f>_xlfn.LET(_xlpm.raw,_xlfn.XLOOKUP(A137,'Pinlist(S5)'!$C$4:$C$1362,'Pinlist(S5)'!$E$4:$E$1362,""),_xlpm.cleanRaw,SUBSTITUTE(SUBSTITUTE(_xlpm.raw,"_PIN","."),"PIN","."),_xlpm.mainPart,MID(_xlpm.cleanRaw,2,FIND(".",_xlpm.cleanRaw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709001</v>
      </c>
      <c r="I137" t="str">
        <f>""</f>
        <v/>
      </c>
      <c r="J137" t="str">
        <f t="shared" si="2"/>
        <v>C52;DDI2_TXN[1];KA128;29.43;1.3;604023;503026;709001;</v>
      </c>
    </row>
    <row r="138" spans="1:10">
      <c r="A138" t="s">
        <v>763</v>
      </c>
      <c r="B138" t="str">
        <f>_xlfn.XLOOKUP(A138,'Pinlist(S1)'!$Q$4:$Q$1362,'Pinlist(S1)'!$R$4:$R$1362,"")</f>
        <v>FIVR_PROBE_DIG[0]</v>
      </c>
      <c r="C138" t="str" cm="1">
        <f t="array" ref="C138">_xlfn.TEXTJOIN(",",TRUE,_xlfn.UNIQUE(TRANSPOSE(_xlfn.MAP(_xlfn.XLOOKUP(A138,'Pinlist(S1)'!$C$4:$C$1362,'Pinlist(S1)'!$F$4:$K$1362,""),_xlfn.LAMBDA(_xlpm.x,IF(_xlpm.x&lt;&gt;"",TRIM(CLEAN(LEFT(_xlpm.x,FIND(".",_xlpm.x &amp; ".")-1))),""))))))</f>
        <v/>
      </c>
      <c r="D138">
        <v>30.780999999999999</v>
      </c>
      <c r="E138">
        <v>1.3</v>
      </c>
      <c r="F138" t="str">
        <f>_xlfn.LET(_xlpm.raw,_xlfn.XLOOKUP(A138,'Pinlist(S1)'!$C$4:$C$1362,'Pinlist(S1)'!$E$4:$E$1362,""),_xlpm.cleanRaw,SUBSTITUTE(SUBSTITUTE(_xlpm.raw,"_PIN","."),"PIN","."),_xlpm.mainPart,MID(_xlpm.cleanRaw,2,FIND(".",_xlpm.cleanRaw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608080</v>
      </c>
      <c r="G138" t="str">
        <f>_xlfn.LET(_xlpm.raw,_xlfn.XLOOKUP(A138,'Pinlist(S3)'!$C$4:$C$1362,'Pinlist(S3)'!$E$4:$E$1362,""),_xlpm.cleanRaw,SUBSTITUTE(SUBSTITUTE(_xlpm.raw,"_PIN","."),"PIN","."),_xlpm.mainPart,MID(_xlpm.cleanRaw,2,FIND(".",_xlpm.cleanRaw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802080</v>
      </c>
      <c r="H138" t="str">
        <f>_xlfn.LET(_xlpm.raw,_xlfn.XLOOKUP(A138,'Pinlist(S5)'!$C$4:$C$1362,'Pinlist(S5)'!$E$4:$E$1362,""),_xlpm.cleanRaw,SUBSTITUTE(SUBSTITUTE(_xlpm.raw,"_PIN","."),"PIN","."),_xlpm.mainPart,MID(_xlpm.cleanRaw,2,FIND(".",_xlpm.cleanRaw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705080</v>
      </c>
      <c r="I138" t="str">
        <f>""</f>
        <v/>
      </c>
      <c r="J138" t="str">
        <f t="shared" si="2"/>
        <v>C54;FIVR_PROBE_DIG[0];;30.781;1.3;608080;802080;705080;</v>
      </c>
    </row>
    <row r="139" spans="1:10">
      <c r="A139" t="s">
        <v>1139</v>
      </c>
      <c r="B139" t="str">
        <f>_xlfn.XLOOKUP(A139,'Pinlist(S1)'!$Q$4:$Q$1362,'Pinlist(S1)'!$R$4:$R$1362,"")</f>
        <v>MBP_N[0]</v>
      </c>
      <c r="C139" t="str" cm="1">
        <f t="array" ref="C139">_xlfn.TEXTJOIN(",",TRUE,_xlfn.UNIQUE(TRANSPOSE(_xlfn.MAP(_xlfn.XLOOKUP(A139,'Pinlist(S1)'!$C$4:$C$1362,'Pinlist(S1)'!$F$4:$K$1362,""),_xlfn.LAMBDA(_xlpm.x,IF(_xlpm.x&lt;&gt;"",TRIM(CLEAN(LEFT(_xlpm.x,FIND(".",_xlpm.x &amp; ".")-1))),""))))))</f>
        <v/>
      </c>
      <c r="D139">
        <v>31.344999999999999</v>
      </c>
      <c r="E139">
        <v>0.97500000000000098</v>
      </c>
      <c r="F139" t="str">
        <f>_xlfn.LET(_xlpm.raw,_xlfn.XLOOKUP(A139,'Pinlist(S1)'!$C$4:$C$1362,'Pinlist(S1)'!$E$4:$E$1362,""),_xlpm.cleanRaw,SUBSTITUTE(SUBSTITUTE(_xlpm.raw,"_PIN","."),"PIN","."),_xlpm.mainPart,MID(_xlpm.cleanRaw,2,FIND(".",_xlpm.cleanRaw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604034</v>
      </c>
      <c r="G139" t="str">
        <f>_xlfn.LET(_xlpm.raw,_xlfn.XLOOKUP(A139,'Pinlist(S3)'!$C$4:$C$1362,'Pinlist(S3)'!$E$4:$E$1362,""),_xlpm.cleanRaw,SUBSTITUTE(SUBSTITUTE(_xlpm.raw,"_PIN","."),"PIN","."),_xlpm.mainPart,MID(_xlpm.cleanRaw,2,FIND(".",_xlpm.cleanRaw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503028</v>
      </c>
      <c r="H139" t="str">
        <f>_xlfn.LET(_xlpm.raw,_xlfn.XLOOKUP(A139,'Pinlist(S5)'!$C$4:$C$1362,'Pinlist(S5)'!$E$4:$E$1362,""),_xlpm.cleanRaw,SUBSTITUTE(SUBSTITUTE(_xlpm.raw,"_PIN","."),"PIN","."),_xlpm.mainPart,MID(_xlpm.cleanRaw,2,FIND(".",_xlpm.cleanRaw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709023</v>
      </c>
      <c r="I139" t="str">
        <f>""</f>
        <v/>
      </c>
      <c r="J139" t="str">
        <f t="shared" si="2"/>
        <v>C55;MBP_N[0];;31.345;0.975000000000001;604034;503028;709023;</v>
      </c>
    </row>
    <row r="140" spans="1:10">
      <c r="A140" t="s">
        <v>1145</v>
      </c>
      <c r="B140" t="str">
        <f>_xlfn.XLOOKUP(A140,'Pinlist(S1)'!$Q$4:$Q$1362,'Pinlist(S1)'!$R$4:$R$1362,"")</f>
        <v>MBP_N[3]</v>
      </c>
      <c r="C140" t="str" cm="1">
        <f t="array" ref="C140">_xlfn.TEXTJOIN(",",TRUE,_xlfn.UNIQUE(TRANSPOSE(_xlfn.MAP(_xlfn.XLOOKUP(A140,'Pinlist(S1)'!$C$4:$C$1362,'Pinlist(S1)'!$F$4:$K$1362,""),_xlfn.LAMBDA(_xlpm.x,IF(_xlpm.x&lt;&gt;"",TRIM(CLEAN(LEFT(_xlpm.x,FIND(".",_xlpm.x &amp; ".")-1))),""))))))</f>
        <v/>
      </c>
      <c r="D140">
        <v>31.908000000000001</v>
      </c>
      <c r="E140">
        <v>1.3</v>
      </c>
      <c r="F140" t="str">
        <f>_xlfn.LET(_xlpm.raw,_xlfn.XLOOKUP(A140,'Pinlist(S1)'!$C$4:$C$1362,'Pinlist(S1)'!$E$4:$E$1362,""),_xlpm.cleanRaw,SUBSTITUTE(SUBSTITUTE(_xlpm.raw,"_PIN","."),"PIN","."),_xlpm.mainPart,MID(_xlpm.cleanRaw,2,FIND(".",_xlpm.cleanRaw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604009</v>
      </c>
      <c r="G140" t="str">
        <f>_xlfn.LET(_xlpm.raw,_xlfn.XLOOKUP(A140,'Pinlist(S3)'!$C$4:$C$1362,'Pinlist(S3)'!$E$4:$E$1362,""),_xlpm.cleanRaw,SUBSTITUTE(SUBSTITUTE(_xlpm.raw,"_PIN","."),"PIN","."),_xlpm.mainPart,MID(_xlpm.cleanRaw,2,FIND(".",_xlpm.cleanRaw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503030</v>
      </c>
      <c r="H140" t="str">
        <f>_xlfn.LET(_xlpm.raw,_xlfn.XLOOKUP(A140,'Pinlist(S5)'!$C$4:$C$1362,'Pinlist(S5)'!$E$4:$E$1362,""),_xlpm.cleanRaw,SUBSTITUTE(SUBSTITUTE(_xlpm.raw,"_PIN","."),"PIN","."),_xlpm.mainPart,MID(_xlpm.cleanRaw,2,FIND(".",_xlpm.cleanRaw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709024</v>
      </c>
      <c r="I140" t="str">
        <f>""</f>
        <v/>
      </c>
      <c r="J140" t="str">
        <f t="shared" si="2"/>
        <v>C56;MBP_N[3];;31.908;1.3;604009;503030;709024;</v>
      </c>
    </row>
    <row r="141" spans="1:10">
      <c r="A141" t="s">
        <v>1214</v>
      </c>
      <c r="B141" t="str">
        <f>_xlfn.XLOOKUP(A141,'Pinlist(S1)'!$Q$4:$Q$1362,'Pinlist(S1)'!$R$4:$R$1362,"")</f>
        <v>PCH_JTAG_TMS</v>
      </c>
      <c r="C141" t="str" cm="1">
        <f t="array" ref="C141">_xlfn.TEXTJOIN(",",TRUE,_xlfn.UNIQUE(TRANSPOSE(_xlfn.MAP(_xlfn.XLOOKUP(A141,'Pinlist(S1)'!$C$4:$C$1362,'Pinlist(S1)'!$F$4:$K$1362,""),_xlfn.LAMBDA(_xlpm.x,IF(_xlpm.x&lt;&gt;"",TRIM(CLEAN(LEFT(_xlpm.x,FIND(".",_xlpm.x &amp; ".")-1))),""))))))</f>
        <v/>
      </c>
      <c r="D141">
        <v>33.259</v>
      </c>
      <c r="E141">
        <v>1.3</v>
      </c>
      <c r="F141" t="str">
        <f>_xlfn.LET(_xlpm.raw,_xlfn.XLOOKUP(A141,'Pinlist(S1)'!$C$4:$C$1362,'Pinlist(S1)'!$E$4:$E$1362,""),_xlpm.cleanRaw,SUBSTITUTE(SUBSTITUTE(_xlpm.raw,"_PIN","."),"PIN","."),_xlpm.mainPart,MID(_xlpm.cleanRaw,2,FIND(".",_xlpm.cleanRaw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505058</v>
      </c>
      <c r="G141" t="str">
        <f>_xlfn.LET(_xlpm.raw,_xlfn.XLOOKUP(A141,'Pinlist(S3)'!$C$4:$C$1362,'Pinlist(S3)'!$E$4:$E$1362,""),_xlpm.cleanRaw,SUBSTITUTE(SUBSTITUTE(_xlpm.raw,"_PIN","."),"PIN","."),_xlpm.mainPart,MID(_xlpm.cleanRaw,2,FIND(".",_xlpm.cleanRaw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809115</v>
      </c>
      <c r="H141" t="str">
        <f>_xlfn.LET(_xlpm.raw,_xlfn.XLOOKUP(A141,'Pinlist(S5)'!$C$4:$C$1362,'Pinlist(S5)'!$E$4:$E$1362,""),_xlpm.cleanRaw,SUBSTITUTE(SUBSTITUTE(_xlpm.raw,"_PIN","."),"PIN","."),_xlpm.mainPart,MID(_xlpm.cleanRaw,2,FIND(".",_xlpm.cleanRaw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602052</v>
      </c>
      <c r="I141" t="str">
        <f>""</f>
        <v/>
      </c>
      <c r="J141" t="str">
        <f t="shared" si="2"/>
        <v>C59;PCH_JTAG_TMS;;33.259;1.3;505058;809115;602052;</v>
      </c>
    </row>
    <row r="142" spans="1:10">
      <c r="A142" t="s">
        <v>79</v>
      </c>
      <c r="B142" t="str">
        <f>_xlfn.XLOOKUP(A142,'Pinlist(S1)'!$Q$4:$Q$1362,'Pinlist(S1)'!$R$4:$R$1362,"")</f>
        <v>CPU_JTAG_TMS</v>
      </c>
      <c r="C142" t="str" cm="1">
        <f t="array" ref="C142">_xlfn.TEXTJOIN(",",TRUE,_xlfn.UNIQUE(TRANSPOSE(_xlfn.MAP(_xlfn.XLOOKUP(A142,'Pinlist(S1)'!$C$4:$C$1362,'Pinlist(S1)'!$F$4:$K$1362,""),_xlfn.LAMBDA(_xlpm.x,IF(_xlpm.x&lt;&gt;"",TRIM(CLEAN(LEFT(_xlpm.x,FIND(".",_xlpm.x &amp; ".")-1))),""))))))</f>
        <v>RA330,RA329</v>
      </c>
      <c r="D142">
        <v>33.823</v>
      </c>
      <c r="E142">
        <v>0.97500000000000098</v>
      </c>
      <c r="F142" t="str">
        <f>_xlfn.LET(_xlpm.raw,_xlfn.XLOOKUP(A142,'Pinlist(S1)'!$C$4:$C$1362,'Pinlist(S1)'!$E$4:$E$1362,""),_xlpm.cleanRaw,SUBSTITUTE(SUBSTITUTE(_xlpm.raw,"_PIN","."),"PIN","."),_xlpm.mainPart,MID(_xlpm.cleanRaw,2,FIND(".",_xlpm.cleanRaw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605051</v>
      </c>
      <c r="G142" t="str">
        <f>_xlfn.LET(_xlpm.raw,_xlfn.XLOOKUP(A142,'Pinlist(S3)'!$C$4:$C$1362,'Pinlist(S3)'!$E$4:$E$1362,""),_xlpm.cleanRaw,SUBSTITUTE(SUBSTITUTE(_xlpm.raw,"_PIN","."),"PIN","."),_xlpm.mainPart,MID(_xlpm.cleanRaw,2,FIND(".",_xlpm.cleanRaw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502043</v>
      </c>
      <c r="H142" t="str">
        <f>_xlfn.LET(_xlpm.raw,_xlfn.XLOOKUP(A142,'Pinlist(S5)'!$C$4:$C$1362,'Pinlist(S5)'!$E$4:$E$1362,""),_xlpm.cleanRaw,SUBSTITUTE(SUBSTITUTE(_xlpm.raw,"_PIN","."),"PIN","."),_xlpm.mainPart,MID(_xlpm.cleanRaw,2,FIND(".",_xlpm.cleanRaw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709003</v>
      </c>
      <c r="I142" t="str">
        <f>""</f>
        <v/>
      </c>
      <c r="J142" t="str">
        <f t="shared" si="2"/>
        <v>C60;CPU_JTAG_TMS;RA330,RA329;33.823;0.975000000000001;605051;502043;709003;</v>
      </c>
    </row>
    <row r="143" spans="1:10">
      <c r="A143" t="s">
        <v>1220</v>
      </c>
      <c r="B143" t="str">
        <f>_xlfn.XLOOKUP(A143,'Pinlist(S1)'!$Q$4:$Q$1362,'Pinlist(S1)'!$R$4:$R$1362,"")</f>
        <v>PCH_TRSTB</v>
      </c>
      <c r="C143" t="str" cm="1">
        <f t="array" ref="C143">_xlfn.TEXTJOIN(",",TRUE,_xlfn.UNIQUE(TRANSPOSE(_xlfn.MAP(_xlfn.XLOOKUP(A143,'Pinlist(S1)'!$C$4:$C$1362,'Pinlist(S1)'!$F$4:$K$1362,""),_xlfn.LAMBDA(_xlpm.x,IF(_xlpm.x&lt;&gt;"",TRIM(CLEAN(LEFT(_xlpm.x,FIND(".",_xlpm.x &amp; ".")-1))),""))))))</f>
        <v/>
      </c>
      <c r="D143">
        <v>34.385999999999903</v>
      </c>
      <c r="E143">
        <v>1.3</v>
      </c>
      <c r="F143" t="str">
        <f>_xlfn.LET(_xlpm.raw,_xlfn.XLOOKUP(A143,'Pinlist(S1)'!$C$4:$C$1362,'Pinlist(S1)'!$E$4:$E$1362,""),_xlpm.cleanRaw,SUBSTITUTE(SUBSTITUTE(_xlpm.raw,"_PIN","."),"PIN","."),_xlpm.mainPart,MID(_xlpm.cleanRaw,2,FIND(".",_xlpm.cleanRaw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508054</v>
      </c>
      <c r="G143" t="str">
        <f>_xlfn.LET(_xlpm.raw,_xlfn.XLOOKUP(A143,'Pinlist(S3)'!$C$4:$C$1362,'Pinlist(S3)'!$E$4:$E$1362,""),_xlpm.cleanRaw,SUBSTITUTE(SUBSTITUTE(_xlpm.raw,"_PIN","."),"PIN","."),_xlpm.mainPart,MID(_xlpm.cleanRaw,2,FIND(".",_xlpm.cleanRaw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804035</v>
      </c>
      <c r="H143" t="str">
        <f>_xlfn.LET(_xlpm.raw,_xlfn.XLOOKUP(A143,'Pinlist(S5)'!$C$4:$C$1362,'Pinlist(S5)'!$E$4:$E$1362,""),_xlpm.cleanRaw,SUBSTITUTE(SUBSTITUTE(_xlpm.raw,"_PIN","."),"PIN","."),_xlpm.mainPart,MID(_xlpm.cleanRaw,2,FIND(".",_xlpm.cleanRaw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703029</v>
      </c>
      <c r="I143" t="str">
        <f>""</f>
        <v/>
      </c>
      <c r="J143" t="str">
        <f t="shared" si="2"/>
        <v>C61;PCH_TRSTB;;34.3859999999999;1.3;508054;804035;703029;</v>
      </c>
    </row>
    <row r="144" spans="1:10">
      <c r="A144" t="s">
        <v>1444</v>
      </c>
      <c r="B144" t="str">
        <f>_xlfn.XLOOKUP(A144,'Pinlist(S1)'!$Q$4:$Q$1362,'Pinlist(S1)'!$R$4:$R$1362,"")</f>
        <v>THRMTRIPB</v>
      </c>
      <c r="C144" t="str" cm="1">
        <f t="array" ref="C144">_xlfn.TEXTJOIN(",",TRUE,_xlfn.UNIQUE(TRANSPOSE(_xlfn.MAP(_xlfn.XLOOKUP(A144,'Pinlist(S1)'!$C$4:$C$1362,'Pinlist(S1)'!$F$4:$K$1362,""),_xlfn.LAMBDA(_xlpm.x,IF(_xlpm.x&lt;&gt;"",TRIM(CLEAN(LEFT(_xlpm.x,FIND(".",_xlpm.x &amp; ".")-1))),""))))))</f>
        <v/>
      </c>
      <c r="D144">
        <v>35.737000000000002</v>
      </c>
      <c r="E144">
        <v>1.3</v>
      </c>
      <c r="F144" t="str">
        <f>_xlfn.LET(_xlpm.raw,_xlfn.XLOOKUP(A144,'Pinlist(S1)'!$C$4:$C$1362,'Pinlist(S1)'!$E$4:$E$1362,""),_xlpm.cleanRaw,SUBSTITUTE(SUBSTITUTE(_xlpm.raw,"_PIN","."),"PIN","."),_xlpm.mainPart,MID(_xlpm.cleanRaw,2,FIND(".",_xlpm.cleanRaw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504107</v>
      </c>
      <c r="G144" t="str">
        <f>_xlfn.LET(_xlpm.raw,_xlfn.XLOOKUP(A144,'Pinlist(S3)'!$C$4:$C$1362,'Pinlist(S3)'!$E$4:$E$1362,""),_xlpm.cleanRaw,SUBSTITUTE(SUBSTITUTE(_xlpm.raw,"_PIN","."),"PIN","."),_xlpm.mainPart,MID(_xlpm.cleanRaw,2,FIND(".",_xlpm.cleanRaw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809106</v>
      </c>
      <c r="H144" t="str">
        <f>_xlfn.LET(_xlpm.raw,_xlfn.XLOOKUP(A144,'Pinlist(S5)'!$C$4:$C$1362,'Pinlist(S5)'!$E$4:$E$1362,""),_xlpm.cleanRaw,SUBSTITUTE(SUBSTITUTE(_xlpm.raw,"_PIN","."),"PIN","."),_xlpm.mainPart,MID(_xlpm.cleanRaw,2,FIND(".",_xlpm.cleanRaw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601021</v>
      </c>
      <c r="I144" t="str">
        <f>""</f>
        <v/>
      </c>
      <c r="J144" t="str">
        <f t="shared" si="2"/>
        <v>C63;THRMTRIPB;;35.737;1.3;504107;809106;601021;</v>
      </c>
    </row>
    <row r="145" spans="1:10">
      <c r="A145" t="s">
        <v>1361</v>
      </c>
      <c r="B145" t="str">
        <f>_xlfn.XLOOKUP(A145,'Pinlist(S1)'!$Q$4:$Q$1362,'Pinlist(S1)'!$R$4:$R$1362,"")</f>
        <v>SKL_CNL_N</v>
      </c>
      <c r="C145" t="str" cm="1">
        <f t="array" ref="C145">_xlfn.TEXTJOIN(",",TRUE,_xlfn.UNIQUE(TRANSPOSE(_xlfn.MAP(_xlfn.XLOOKUP(A145,'Pinlist(S1)'!$C$4:$C$1362,'Pinlist(S1)'!$F$4:$K$1362,""),_xlfn.LAMBDA(_xlpm.x,IF(_xlpm.x&lt;&gt;"",TRIM(CLEAN(LEFT(_xlpm.x,FIND(".",_xlpm.x &amp; ".")-1))),""))))))</f>
        <v>RA185,RA177,RA178</v>
      </c>
      <c r="D145">
        <v>36.301000000000002</v>
      </c>
      <c r="E145">
        <v>0.97500000000000098</v>
      </c>
      <c r="F145" t="str">
        <f>_xlfn.LET(_xlpm.raw,_xlfn.XLOOKUP(A145,'Pinlist(S1)'!$C$4:$C$1362,'Pinlist(S1)'!$E$4:$E$1362,""),_xlpm.cleanRaw,SUBSTITUTE(SUBSTITUTE(_xlpm.raw,"_PIN","."),"PIN","."),_xlpm.mainPart,MID(_xlpm.cleanRaw,2,FIND(".",_xlpm.cleanRaw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145" t="str">
        <f>_xlfn.LET(_xlpm.raw,_xlfn.XLOOKUP(A145,'Pinlist(S3)'!$C$4:$C$1362,'Pinlist(S3)'!$E$4:$E$1362,""),_xlpm.cleanRaw,SUBSTITUTE(SUBSTITUTE(_xlpm.raw,"_PIN","."),"PIN","."),_xlpm.mainPart,MID(_xlpm.cleanRaw,2,FIND(".",_xlpm.cleanRaw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503027</v>
      </c>
      <c r="H145" t="str">
        <f>_xlfn.LET(_xlpm.raw,_xlfn.XLOOKUP(A145,'Pinlist(S5)'!$C$4:$C$1362,'Pinlist(S5)'!$E$4:$E$1362,""),_xlpm.cleanRaw,SUBSTITUTE(SUBSTITUTE(_xlpm.raw,"_PIN","."),"PIN","."),_xlpm.mainPart,MID(_xlpm.cleanRaw,2,FIND(".",_xlpm.cleanRaw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I145" t="str">
        <f>""</f>
        <v/>
      </c>
      <c r="J145" t="str">
        <f t="shared" si="2"/>
        <v>C64;SKL_CNL_N;RA185,RA177,RA178;36.301;0.975000000000001;604040;503027;709027;</v>
      </c>
    </row>
    <row r="146" spans="1:10">
      <c r="A146" t="s">
        <v>1345</v>
      </c>
      <c r="B146" t="str">
        <f>_xlfn.XLOOKUP(A146,'Pinlist(S1)'!$Q$4:$Q$1362,'Pinlist(S1)'!$R$4:$R$1362,"")</f>
        <v>PROCHOT_N</v>
      </c>
      <c r="C146" t="str" cm="1">
        <f t="array" ref="C146">_xlfn.TEXTJOIN(",",TRUE,_xlfn.UNIQUE(TRANSPOSE(_xlfn.MAP(_xlfn.XLOOKUP(A146,'Pinlist(S1)'!$C$4:$C$1362,'Pinlist(S1)'!$F$4:$K$1362,""),_xlfn.LAMBDA(_xlpm.x,IF(_xlpm.x&lt;&gt;"",TRIM(CLEAN(LEFT(_xlpm.x,FIND(".",_xlpm.x &amp; ".")-1))),""))))))</f>
        <v/>
      </c>
      <c r="D146">
        <v>36.863999999999997</v>
      </c>
      <c r="E146">
        <v>1.3</v>
      </c>
      <c r="F146" t="str">
        <f>_xlfn.LET(_xlpm.raw,_xlfn.XLOOKUP(A146,'Pinlist(S1)'!$C$4:$C$1362,'Pinlist(S1)'!$E$4:$E$1362,""),_xlpm.cleanRaw,SUBSTITUTE(SUBSTITUTE(_xlpm.raw,"_PIN","."),"PIN","."),_xlpm.mainPart,MID(_xlpm.cleanRaw,2,FIND(".",_xlpm.cleanRaw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605045</v>
      </c>
      <c r="G146" t="str">
        <f>_xlfn.LET(_xlpm.raw,_xlfn.XLOOKUP(A146,'Pinlist(S3)'!$C$4:$C$1362,'Pinlist(S3)'!$E$4:$E$1362,""),_xlpm.cleanRaw,SUBSTITUTE(SUBSTITUTE(_xlpm.raw,"_PIN","."),"PIN","."),_xlpm.mainPart,MID(_xlpm.cleanRaw,2,FIND(".",_xlpm.cleanRaw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503011</v>
      </c>
      <c r="H146" t="str">
        <f>_xlfn.LET(_xlpm.raw,_xlfn.XLOOKUP(A146,'Pinlist(S5)'!$C$4:$C$1362,'Pinlist(S5)'!$E$4:$E$1362,""),_xlpm.cleanRaw,SUBSTITUTE(SUBSTITUTE(_xlpm.raw,"_PIN","."),"PIN","."),_xlpm.mainPart,MID(_xlpm.cleanRaw,2,FIND(".",_xlpm.cleanRaw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709012</v>
      </c>
      <c r="I146" t="str">
        <f>""</f>
        <v/>
      </c>
      <c r="J146" t="str">
        <f t="shared" si="2"/>
        <v>C65;PROCHOT_N;;36.864;1.3;605045;503011;709012;</v>
      </c>
    </row>
    <row r="147" spans="1:10">
      <c r="A147" t="s">
        <v>1188</v>
      </c>
      <c r="B147" t="str">
        <f>_xlfn.XLOOKUP(A147,'Pinlist(S1)'!$Q$4:$Q$1362,'Pinlist(S1)'!$R$4:$R$1362,"")</f>
        <v>NOA_N[7]</v>
      </c>
      <c r="C147" t="str" cm="1">
        <f t="array" ref="C147">_xlfn.TEXTJOIN(",",TRUE,_xlfn.UNIQUE(TRANSPOSE(_xlfn.MAP(_xlfn.XLOOKUP(A147,'Pinlist(S1)'!$C$4:$C$1362,'Pinlist(S1)'!$F$4:$K$1362,""),_xlfn.LAMBDA(_xlpm.x,IF(_xlpm.x&lt;&gt;"",TRIM(CLEAN(LEFT(_xlpm.x,FIND(".",_xlpm.x &amp; ".")-1))),""))))))</f>
        <v>KA124</v>
      </c>
      <c r="D147">
        <v>38.798999999999999</v>
      </c>
      <c r="E147">
        <v>1.01399999999999</v>
      </c>
      <c r="F147" t="str">
        <f>_xlfn.LET(_xlpm.raw,_xlfn.XLOOKUP(A147,'Pinlist(S1)'!$C$4:$C$1362,'Pinlist(S1)'!$E$4:$E$1362,""),_xlpm.cleanRaw,SUBSTITUTE(SUBSTITUTE(_xlpm.raw,"_PIN","."),"PIN","."),_xlpm.mainPart,MID(_xlpm.cleanRaw,2,FIND(".",_xlpm.cleanRaw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147" t="str">
        <f>_xlfn.LET(_xlpm.raw,_xlfn.XLOOKUP(A147,'Pinlist(S3)'!$C$4:$C$1362,'Pinlist(S3)'!$E$4:$E$1362,""),_xlpm.cleanRaw,SUBSTITUTE(SUBSTITUTE(_xlpm.raw,"_PIN","."),"PIN","."),_xlpm.mainPart,MID(_xlpm.cleanRaw,2,FIND(".",_xlpm.cleanRaw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503018</v>
      </c>
      <c r="H147" t="str">
        <f>_xlfn.LET(_xlpm.raw,_xlfn.XLOOKUP(A147,'Pinlist(S5)'!$C$4:$C$1362,'Pinlist(S5)'!$E$4:$E$1362,""),_xlpm.cleanRaw,SUBSTITUTE(SUBSTITUTE(_xlpm.raw,"_PIN","."),"PIN","."),_xlpm.mainPart,MID(_xlpm.cleanRaw,2,FIND(".",_xlpm.cleanRaw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I147" t="str">
        <f>""</f>
        <v/>
      </c>
      <c r="J147" t="str">
        <f t="shared" si="2"/>
        <v>C67;NOA_N[7];KA124;38.799;1.01399999999999;604024;503018;708055;</v>
      </c>
    </row>
    <row r="148" spans="1:10">
      <c r="A148" t="s">
        <v>1184</v>
      </c>
      <c r="B148" t="str">
        <f>_xlfn.XLOOKUP(A148,'Pinlist(S1)'!$Q$4:$Q$1362,'Pinlist(S1)'!$R$4:$R$1362,"")</f>
        <v>NOA_N[5]</v>
      </c>
      <c r="C148" t="str" cm="1">
        <f t="array" ref="C148">_xlfn.TEXTJOIN(",",TRUE,_xlfn.UNIQUE(TRANSPOSE(_xlfn.MAP(_xlfn.XLOOKUP(A148,'Pinlist(S1)'!$C$4:$C$1362,'Pinlist(S1)'!$F$4:$K$1362,""),_xlfn.LAMBDA(_xlpm.x,IF(_xlpm.x&lt;&gt;"",TRIM(CLEAN(LEFT(_xlpm.x,FIND(".",_xlpm.x &amp; ".")-1))),""))))))</f>
        <v>KA126</v>
      </c>
      <c r="D148">
        <v>38.936</v>
      </c>
      <c r="E148">
        <v>1.6919999999999999</v>
      </c>
      <c r="F148" t="str">
        <f>_xlfn.LET(_xlpm.raw,_xlfn.XLOOKUP(A148,'Pinlist(S1)'!$C$4:$C$1362,'Pinlist(S1)'!$E$4:$E$1362,""),_xlpm.cleanRaw,SUBSTITUTE(SUBSTITUTE(_xlpm.raw,"_PIN","."),"PIN","."),_xlpm.mainPart,MID(_xlpm.cleanRaw,2,FIND(".",_xlpm.cleanRaw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148" t="str">
        <f>_xlfn.LET(_xlpm.raw,_xlfn.XLOOKUP(A148,'Pinlist(S3)'!$C$4:$C$1362,'Pinlist(S3)'!$E$4:$E$1362,""),_xlpm.cleanRaw,SUBSTITUTE(SUBSTITUTE(_xlpm.raw,"_PIN","."),"PIN","."),_xlpm.mainPart,MID(_xlpm.cleanRaw,2,FIND(".",_xlpm.cleanRaw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503014</v>
      </c>
      <c r="H148" t="str">
        <f>_xlfn.LET(_xlpm.raw,_xlfn.XLOOKUP(A148,'Pinlist(S5)'!$C$4:$C$1362,'Pinlist(S5)'!$E$4:$E$1362,""),_xlpm.cleanRaw,SUBSTITUTE(SUBSTITUTE(_xlpm.raw,"_PIN","."),"PIN","."),_xlpm.mainPart,MID(_xlpm.cleanRaw,2,FIND(".",_xlpm.cleanRaw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709019</v>
      </c>
      <c r="I148" t="str">
        <f>""</f>
        <v/>
      </c>
      <c r="J148" t="str">
        <f t="shared" si="2"/>
        <v>C68;NOA_N[5];KA126;38.936;1.692;604019;503014;709019;</v>
      </c>
    </row>
    <row r="149" spans="1:10">
      <c r="A149" t="s">
        <v>761</v>
      </c>
      <c r="B149" t="str">
        <f>_xlfn.XLOOKUP(A149,'Pinlist(S1)'!$Q$4:$Q$1362,'Pinlist(S1)'!$R$4:$R$1362,"")</f>
        <v>FIVR_PROBE_ANA[1]</v>
      </c>
      <c r="C149" t="str" cm="1">
        <f t="array" ref="C149">_xlfn.TEXTJOIN(",",TRUE,_xlfn.UNIQUE(TRANSPOSE(_xlfn.MAP(_xlfn.XLOOKUP(A149,'Pinlist(S1)'!$C$4:$C$1362,'Pinlist(S1)'!$F$4:$K$1362,""),_xlfn.LAMBDA(_xlpm.x,IF(_xlpm.x&lt;&gt;"",TRIM(CLEAN(LEFT(_xlpm.x,FIND(".",_xlpm.x &amp; ".")-1))),""))))))</f>
        <v>KA148</v>
      </c>
      <c r="D149">
        <v>39.998999999999903</v>
      </c>
      <c r="E149">
        <v>1.28</v>
      </c>
      <c r="F149" t="str">
        <f>_xlfn.LET(_xlpm.raw,_xlfn.XLOOKUP(A149,'Pinlist(S1)'!$C$4:$C$1362,'Pinlist(S1)'!$E$4:$E$1362,""),_xlpm.cleanRaw,SUBSTITUTE(SUBSTITUTE(_xlpm.raw,"_PIN","."),"PIN","."),_xlpm.mainPart,MID(_xlpm.cleanRaw,2,FIND(".",_xlpm.cleanRaw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149" t="str">
        <f>_xlfn.LET(_xlpm.raw,_xlfn.XLOOKUP(A149,'Pinlist(S3)'!$C$4:$C$1362,'Pinlist(S3)'!$E$4:$E$1362,""),_xlpm.cleanRaw,SUBSTITUTE(SUBSTITUTE(_xlpm.raw,"_PIN","."),"PIN","."),_xlpm.mainPart,MID(_xlpm.cleanRaw,2,FIND(".",_xlpm.cleanRaw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503034</v>
      </c>
      <c r="H149" t="str">
        <f>_xlfn.LET(_xlpm.raw,_xlfn.XLOOKUP(A149,'Pinlist(S5)'!$C$4:$C$1362,'Pinlist(S5)'!$E$4:$E$1362,""),_xlpm.cleanRaw,SUBSTITUTE(SUBSTITUTE(_xlpm.raw,"_PIN","."),"PIN","."),_xlpm.mainPart,MID(_xlpm.cleanRaw,2,FIND(".",_xlpm.cleanRaw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I149" t="str">
        <f>""</f>
        <v/>
      </c>
      <c r="J149" t="str">
        <f t="shared" si="2"/>
        <v>C70;FIVR_PROBE_ANA[1];KA148;39.9989999999999;1.28;604032;503034;709025;</v>
      </c>
    </row>
    <row r="150" spans="1:10">
      <c r="A150" t="s">
        <v>1115</v>
      </c>
      <c r="B150" t="str">
        <f>_xlfn.XLOOKUP(A150,'Pinlist(S1)'!$Q$4:$Q$1362,'Pinlist(S1)'!$R$4:$R$1362,"")</f>
        <v>HVM_CLK_N</v>
      </c>
      <c r="C150" t="str" cm="1">
        <f t="array" ref="C150">_xlfn.TEXTJOIN(",",TRUE,_xlfn.UNIQUE(TRANSPOSE(_xlfn.MAP(_xlfn.XLOOKUP(A150,'Pinlist(S1)'!$C$4:$C$1362,'Pinlist(S1)'!$F$4:$K$1362,""),_xlfn.LAMBDA(_xlpm.x,IF(_xlpm.x&lt;&gt;"",TRIM(CLEAN(LEFT(_xlpm.x,FIND(".",_xlpm.x &amp; ".")-1))),""))))))</f>
        <v/>
      </c>
      <c r="D150">
        <v>40.628</v>
      </c>
      <c r="E150">
        <v>1.1120000000000001</v>
      </c>
      <c r="F150" t="str">
        <f>_xlfn.LET(_xlpm.raw,_xlfn.XLOOKUP(A150,'Pinlist(S1)'!$C$4:$C$1362,'Pinlist(S1)'!$E$4:$E$1362,""),_xlpm.cleanRaw,SUBSTITUTE(SUBSTITUTE(_xlpm.raw,"_PIN","."),"PIN","."),_xlpm.mainPart,MID(_xlpm.cleanRaw,2,FIND(".",_xlpm.cleanRaw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604029</v>
      </c>
      <c r="G150" t="str">
        <f>_xlfn.LET(_xlpm.raw,_xlfn.XLOOKUP(A150,'Pinlist(S3)'!$C$4:$C$1362,'Pinlist(S3)'!$E$4:$E$1362,""),_xlpm.cleanRaw,SUBSTITUTE(SUBSTITUTE(_xlpm.raw,"_PIN","."),"PIN","."),_xlpm.mainPart,MID(_xlpm.cleanRaw,2,FIND(".",_xlpm.cleanRaw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502050</v>
      </c>
      <c r="H150" t="str">
        <f>_xlfn.LET(_xlpm.raw,_xlfn.XLOOKUP(A150,'Pinlist(S5)'!$C$4:$C$1362,'Pinlist(S5)'!$E$4:$E$1362,""),_xlpm.cleanRaw,SUBSTITUTE(SUBSTITUTE(_xlpm.raw,"_PIN","."),"PIN","."),_xlpm.mainPart,MID(_xlpm.cleanRaw,2,FIND(".",_xlpm.cleanRaw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709038</v>
      </c>
      <c r="I150" t="str">
        <f>""</f>
        <v/>
      </c>
      <c r="J150" t="str">
        <f t="shared" si="2"/>
        <v>C71;HVM_CLK_N;;40.628;1.112;604029;502050;709038;</v>
      </c>
    </row>
    <row r="151" spans="1:10">
      <c r="A151" t="s">
        <v>1432</v>
      </c>
      <c r="B151" t="str">
        <f>_xlfn.XLOOKUP(A151,'Pinlist(S1)'!$Q$4:$Q$1362,'Pinlist(S1)'!$R$4:$R$1362,"")</f>
        <v>TD_DFTANATP0</v>
      </c>
      <c r="C151" t="str" cm="1">
        <f t="array" ref="C151">_xlfn.TEXTJOIN(",",TRUE,_xlfn.UNIQUE(TRANSPOSE(_xlfn.MAP(_xlfn.XLOOKUP(A151,'Pinlist(S1)'!$C$4:$C$1362,'Pinlist(S1)'!$F$4:$K$1362,""),_xlfn.LAMBDA(_xlpm.x,IF(_xlpm.x&lt;&gt;"",TRIM(CLEAN(LEFT(_xlpm.x,FIND(".",_xlpm.x &amp; ".")-1))),""))))))</f>
        <v>RA181,RA180</v>
      </c>
      <c r="D151">
        <v>0</v>
      </c>
      <c r="E151">
        <v>1.615</v>
      </c>
      <c r="F151" t="str">
        <f>_xlfn.LET(_xlpm.raw,_xlfn.XLOOKUP(A151,'Pinlist(S1)'!$C$4:$C$1362,'Pinlist(S1)'!$E$4:$E$1362,""),_xlpm.cleanRaw,SUBSTITUTE(SUBSTITUTE(_xlpm.raw,"_PIN","."),"PIN","."),_xlpm.mainPart,MID(_xlpm.cleanRaw,2,FIND(".",_xlpm.cleanRaw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508073</v>
      </c>
      <c r="G151" t="str">
        <f>_xlfn.LET(_xlpm.raw,_xlfn.XLOOKUP(A151,'Pinlist(S3)'!$C$4:$C$1362,'Pinlist(S3)'!$E$4:$E$1362,""),_xlpm.cleanRaw,SUBSTITUTE(SUBSTITUTE(_xlpm.raw,"_PIN","."),"PIN","."),_xlpm.mainPart,MID(_xlpm.cleanRaw,2,FIND(".",_xlpm.cleanRaw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808054</v>
      </c>
      <c r="H151" t="str">
        <f>_xlfn.LET(_xlpm.raw,_xlfn.XLOOKUP(A151,'Pinlist(S5)'!$C$4:$C$1362,'Pinlist(S5)'!$E$4:$E$1362,""),_xlpm.cleanRaw,SUBSTITUTE(SUBSTITUTE(_xlpm.raw,"_PIN","."),"PIN","."),_xlpm.mainPart,MID(_xlpm.cleanRaw,2,FIND(".",_xlpm.cleanRaw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702071</v>
      </c>
      <c r="I151" t="str">
        <f>""</f>
        <v/>
      </c>
      <c r="J151" t="str">
        <f t="shared" si="2"/>
        <v>D1;TD_DFTANATP0;RA181,RA180;0;1.615;508073;808054;702071;</v>
      </c>
    </row>
    <row r="152" spans="1:10">
      <c r="A152" t="s">
        <v>1434</v>
      </c>
      <c r="B152" t="str">
        <f>_xlfn.XLOOKUP(A152,'Pinlist(S1)'!$Q$4:$Q$1362,'Pinlist(S1)'!$R$4:$R$1362,"")</f>
        <v>TD_DFTANATP1</v>
      </c>
      <c r="C152" t="str" cm="1">
        <f t="array" ref="C152">_xlfn.TEXTJOIN(",",TRUE,_xlfn.UNIQUE(TRANSPOSE(_xlfn.MAP(_xlfn.XLOOKUP(A152,'Pinlist(S1)'!$C$4:$C$1362,'Pinlist(S1)'!$F$4:$K$1362,""),_xlfn.LAMBDA(_xlpm.x,IF(_xlpm.x&lt;&gt;"",TRIM(CLEAN(LEFT(_xlpm.x,FIND(".",_xlpm.x &amp; ".")-1))),""))))))</f>
        <v>RA184,RA183</v>
      </c>
      <c r="D152">
        <v>0.97500000000000098</v>
      </c>
      <c r="E152">
        <v>1.70599999999999</v>
      </c>
      <c r="F152" t="str">
        <f>_xlfn.LET(_xlpm.raw,_xlfn.XLOOKUP(A152,'Pinlist(S1)'!$C$4:$C$1362,'Pinlist(S1)'!$E$4:$E$1362,""),_xlpm.cleanRaw,SUBSTITUTE(SUBSTITUTE(_xlpm.raw,"_PIN","."),"PIN","."),_xlpm.mainPart,MID(_xlpm.cleanRaw,2,FIND(".",_xlpm.cleanRaw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508075</v>
      </c>
      <c r="G152" t="str">
        <f>_xlfn.LET(_xlpm.raw,_xlfn.XLOOKUP(A152,'Pinlist(S3)'!$C$4:$C$1362,'Pinlist(S3)'!$E$4:$E$1362,""),_xlpm.cleanRaw,SUBSTITUTE(SUBSTITUTE(_xlpm.raw,"_PIN","."),"PIN","."),_xlpm.mainPart,MID(_xlpm.cleanRaw,2,FIND(".",_xlpm.cleanRaw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808053</v>
      </c>
      <c r="H152" t="str">
        <f>_xlfn.LET(_xlpm.raw,_xlfn.XLOOKUP(A152,'Pinlist(S5)'!$C$4:$C$1362,'Pinlist(S5)'!$E$4:$E$1362,""),_xlpm.cleanRaw,SUBSTITUTE(SUBSTITUTE(_xlpm.raw,"_PIN","."),"PIN","."),_xlpm.mainPart,MID(_xlpm.cleanRaw,2,FIND(".",_xlpm.cleanRaw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702069</v>
      </c>
      <c r="I152" t="str">
        <f>""</f>
        <v/>
      </c>
      <c r="J152" t="str">
        <f t="shared" si="2"/>
        <v>D3;TD_DFTANATP1;RA184,RA183;0.975000000000001;1.70599999999999;508075;808053;702069;</v>
      </c>
    </row>
    <row r="153" spans="1:10">
      <c r="A153" t="s">
        <v>1324</v>
      </c>
      <c r="B153" t="str">
        <f>_xlfn.XLOOKUP(A153,'Pinlist(S1)'!$Q$4:$Q$1362,'Pinlist(S1)'!$R$4:$R$1362,"")</f>
        <v>PCIE2_PLLOBSP</v>
      </c>
      <c r="C153" t="str" cm="1">
        <f t="array" ref="C153">_xlfn.TEXTJOIN(",",TRUE,_xlfn.UNIQUE(TRANSPOSE(_xlfn.MAP(_xlfn.XLOOKUP(A153,'Pinlist(S1)'!$C$4:$C$1362,'Pinlist(S1)'!$F$4:$K$1362,""),_xlfn.LAMBDA(_xlpm.x,IF(_xlpm.x&lt;&gt;"",TRIM(CLEAN(LEFT(_xlpm.x,FIND(".",_xlpm.x &amp; ".")-1))),""))))))</f>
        <v/>
      </c>
      <c r="D153">
        <v>1.623</v>
      </c>
      <c r="E153">
        <v>1.64499999999999</v>
      </c>
      <c r="F153" t="str">
        <f>_xlfn.LET(_xlpm.raw,_xlfn.XLOOKUP(A153,'Pinlist(S1)'!$C$4:$C$1362,'Pinlist(S1)'!$E$4:$E$1362,""),_xlpm.cleanRaw,SUBSTITUTE(SUBSTITUTE(_xlpm.raw,"_PIN","."),"PIN","."),_xlpm.mainPart,MID(_xlpm.cleanRaw,2,FIND(".",_xlpm.cleanRaw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3" t="str">
        <f>_xlfn.LET(_xlpm.raw,_xlfn.XLOOKUP(A153,'Pinlist(S3)'!$C$4:$C$1362,'Pinlist(S3)'!$E$4:$E$1362,""),_xlpm.cleanRaw,SUBSTITUTE(SUBSTITUTE(_xlpm.raw,"_PIN","."),"PIN","."),_xlpm.mainPart,MID(_xlpm.cleanRaw,2,FIND(".",_xlpm.cleanRaw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3" t="str">
        <f>_xlfn.LET(_xlpm.raw,_xlfn.XLOOKUP(A153,'Pinlist(S5)'!$C$4:$C$1362,'Pinlist(S5)'!$E$4:$E$1362,""),_xlpm.cleanRaw,SUBSTITUTE(SUBSTITUTE(_xlpm.raw,"_PIN","."),"PIN","."),_xlpm.mainPart,MID(_xlpm.cleanRaw,2,FIND(".",_xlpm.cleanRaw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3" t="str">
        <f>""</f>
        <v/>
      </c>
      <c r="J153" t="str">
        <f t="shared" si="2"/>
        <v>D4;PCIE2_PLLOBSP;;1.623;1.64499999999999;;;;</v>
      </c>
    </row>
    <row r="154" spans="1:10">
      <c r="A154" t="s">
        <v>1322</v>
      </c>
      <c r="B154" t="str">
        <f>_xlfn.XLOOKUP(A154,'Pinlist(S1)'!$Q$4:$Q$1362,'Pinlist(S1)'!$R$4:$R$1362,"")</f>
        <v>PCIE2_PLLOBSN</v>
      </c>
      <c r="C154" t="str" cm="1">
        <f t="array" ref="C154">_xlfn.TEXTJOIN(",",TRUE,_xlfn.UNIQUE(TRANSPOSE(_xlfn.MAP(_xlfn.XLOOKUP(A154,'Pinlist(S1)'!$C$4:$C$1362,'Pinlist(S1)'!$F$4:$K$1362,""),_xlfn.LAMBDA(_xlpm.x,IF(_xlpm.x&lt;&gt;"",TRIM(CLEAN(LEFT(_xlpm.x,FIND(".",_xlpm.x &amp; ".")-1))),""))))))</f>
        <v/>
      </c>
      <c r="D154">
        <v>2.2240000000000002</v>
      </c>
      <c r="E154">
        <v>1.9510000000000001</v>
      </c>
      <c r="F154" t="str">
        <f>_xlfn.LET(_xlpm.raw,_xlfn.XLOOKUP(A154,'Pinlist(S1)'!$C$4:$C$1362,'Pinlist(S1)'!$E$4:$E$1362,""),_xlpm.cleanRaw,SUBSTITUTE(SUBSTITUTE(_xlpm.raw,"_PIN","."),"PIN","."),_xlpm.mainPart,MID(_xlpm.cleanRaw,2,FIND(".",_xlpm.cleanRaw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4" t="str">
        <f>_xlfn.LET(_xlpm.raw,_xlfn.XLOOKUP(A154,'Pinlist(S3)'!$C$4:$C$1362,'Pinlist(S3)'!$E$4:$E$1362,""),_xlpm.cleanRaw,SUBSTITUTE(SUBSTITUTE(_xlpm.raw,"_PIN","."),"PIN","."),_xlpm.mainPart,MID(_xlpm.cleanRaw,2,FIND(".",_xlpm.cleanRaw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4" t="str">
        <f>_xlfn.LET(_xlpm.raw,_xlfn.XLOOKUP(A154,'Pinlist(S5)'!$C$4:$C$1362,'Pinlist(S5)'!$E$4:$E$1362,""),_xlpm.cleanRaw,SUBSTITUTE(SUBSTITUTE(_xlpm.raw,"_PIN","."),"PIN","."),_xlpm.mainPart,MID(_xlpm.cleanRaw,2,FIND(".",_xlpm.cleanRaw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4" t="str">
        <f>""</f>
        <v/>
      </c>
      <c r="J154" t="str">
        <f t="shared" si="2"/>
        <v>D5;PCIE2_PLLOBSN;;2.224;1.951;;;;</v>
      </c>
    </row>
    <row r="155" spans="1:10">
      <c r="A155" t="s">
        <v>2131</v>
      </c>
      <c r="B155" t="str">
        <f>_xlfn.XLOOKUP(A155,'Pinlist(S1)'!$Q$4:$Q$1362,'Pinlist(S1)'!$R$4:$R$1362,"")</f>
        <v>VSS</v>
      </c>
      <c r="C155" t="str" cm="1">
        <f t="array" ref="C155">_xlfn.TEXTJOIN(",",TRUE,_xlfn.UNIQUE(TRANSPOSE(_xlfn.MAP(_xlfn.XLOOKUP(A155,'Pinlist(S1)'!$C$4:$C$1362,'Pinlist(S1)'!$F$4:$K$1362,""),_xlfn.LAMBDA(_xlpm.x,IF(_xlpm.x&lt;&gt;"",TRIM(CLEAN(LEFT(_xlpm.x,FIND(".",_xlpm.x &amp; ".")-1))),""))))))</f>
        <v/>
      </c>
      <c r="D155">
        <v>2.8730000000000002</v>
      </c>
      <c r="E155">
        <v>1.9909999999999899</v>
      </c>
      <c r="F155" t="str">
        <f>_xlfn.LET(_xlpm.raw,_xlfn.XLOOKUP(A155,'Pinlist(S1)'!$C$4:$C$1362,'Pinlist(S1)'!$E$4:$E$1362,""),_xlpm.cleanRaw,SUBSTITUTE(SUBSTITUTE(_xlpm.raw,"_PIN","."),"PIN","."),_xlpm.mainPart,MID(_xlpm.cleanRaw,2,FIND(".",_xlpm.cleanRaw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5" t="str">
        <f>_xlfn.LET(_xlpm.raw,_xlfn.XLOOKUP(A155,'Pinlist(S3)'!$C$4:$C$1362,'Pinlist(S3)'!$E$4:$E$1362,""),_xlpm.cleanRaw,SUBSTITUTE(SUBSTITUTE(_xlpm.raw,"_PIN","."),"PIN","."),_xlpm.mainPart,MID(_xlpm.cleanRaw,2,FIND(".",_xlpm.cleanRaw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5" t="str">
        <f>_xlfn.LET(_xlpm.raw,_xlfn.XLOOKUP(A155,'Pinlist(S5)'!$C$4:$C$1362,'Pinlist(S5)'!$E$4:$E$1362,""),_xlpm.cleanRaw,SUBSTITUTE(SUBSTITUTE(_xlpm.raw,"_PIN","."),"PIN","."),_xlpm.mainPart,MID(_xlpm.cleanRaw,2,FIND(".",_xlpm.cleanRaw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5" t="str">
        <f>""</f>
        <v/>
      </c>
      <c r="J155" t="str">
        <f t="shared" si="2"/>
        <v>D6;VSS;;2.873;1.99099999999999;;;;</v>
      </c>
    </row>
    <row r="156" spans="1:10">
      <c r="A156" t="s">
        <v>965</v>
      </c>
      <c r="B156" t="str">
        <f>_xlfn.XLOOKUP(A156,'Pinlist(S1)'!$Q$4:$Q$1362,'Pinlist(S1)'!$R$4:$R$1362,"")</f>
        <v>GPP_D_20_DMIC_DATA_0</v>
      </c>
      <c r="C156" t="str" cm="1">
        <f t="array" ref="C156">_xlfn.TEXTJOIN(",",TRUE,_xlfn.UNIQUE(TRANSPOSE(_xlfn.MAP(_xlfn.XLOOKUP(A156,'Pinlist(S1)'!$C$4:$C$1362,'Pinlist(S1)'!$F$4:$K$1362,""),_xlfn.LAMBDA(_xlpm.x,IF(_xlpm.x&lt;&gt;"",TRIM(CLEAN(LEFT(_xlpm.x,FIND(".",_xlpm.x &amp; ".")-1))),""))))))</f>
        <v/>
      </c>
      <c r="D156">
        <v>3.5229999999999899</v>
      </c>
      <c r="E156">
        <v>1.9510000000000001</v>
      </c>
      <c r="F156" t="str">
        <f>_xlfn.LET(_xlpm.raw,_xlfn.XLOOKUP(A156,'Pinlist(S1)'!$C$4:$C$1362,'Pinlist(S1)'!$E$4:$E$1362,""),_xlpm.cleanRaw,SUBSTITUTE(SUBSTITUTE(_xlpm.raw,"_PIN","."),"PIN","."),_xlpm.mainPart,MID(_xlpm.cleanRaw,2,FIND(".",_xlpm.cleanRaw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504119</v>
      </c>
      <c r="G156" t="str">
        <f>_xlfn.LET(_xlpm.raw,_xlfn.XLOOKUP(A156,'Pinlist(S3)'!$C$4:$C$1362,'Pinlist(S3)'!$E$4:$E$1362,""),_xlpm.cleanRaw,SUBSTITUTE(SUBSTITUTE(_xlpm.raw,"_PIN","."),"PIN","."),_xlpm.mainPart,MID(_xlpm.cleanRaw,2,FIND(".",_xlpm.cleanRaw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809111</v>
      </c>
      <c r="H156" t="str">
        <f>_xlfn.LET(_xlpm.raw,_xlfn.XLOOKUP(A156,'Pinlist(S5)'!$C$4:$C$1362,'Pinlist(S5)'!$E$4:$E$1362,""),_xlpm.cleanRaw,SUBSTITUTE(SUBSTITUTE(_xlpm.raw,"_PIN","."),"PIN","."),_xlpm.mainPart,MID(_xlpm.cleanRaw,2,FIND(".",_xlpm.cleanRaw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603112</v>
      </c>
      <c r="I156" t="str">
        <f>""</f>
        <v/>
      </c>
      <c r="J156" t="str">
        <f t="shared" si="2"/>
        <v>D7;GPP_D_20_DMIC_DATA_0;;3.52299999999999;1.951;504119;809111;603112;</v>
      </c>
    </row>
    <row r="157" spans="1:10">
      <c r="A157" t="s">
        <v>957</v>
      </c>
      <c r="B157" t="str">
        <f>_xlfn.XLOOKUP(A157,'Pinlist(S1)'!$Q$4:$Q$1362,'Pinlist(S1)'!$R$4:$R$1362,"")</f>
        <v>GPP_D_17_DMIC_CLK_1</v>
      </c>
      <c r="C157" t="str" cm="1">
        <f t="array" ref="C157">_xlfn.TEXTJOIN(",",TRUE,_xlfn.UNIQUE(TRANSPOSE(_xlfn.MAP(_xlfn.XLOOKUP(A157,'Pinlist(S1)'!$C$4:$C$1362,'Pinlist(S1)'!$F$4:$K$1362,""),_xlfn.LAMBDA(_xlpm.x,IF(_xlpm.x&lt;&gt;"",TRIM(CLEAN(LEFT(_xlpm.x,FIND(".",_xlpm.x &amp; ".")-1))),""))))))</f>
        <v/>
      </c>
      <c r="D157">
        <v>4.0859999999999896</v>
      </c>
      <c r="E157">
        <v>1.625</v>
      </c>
      <c r="F157" t="str">
        <f>_xlfn.LET(_xlpm.raw,_xlfn.XLOOKUP(A157,'Pinlist(S1)'!$C$4:$C$1362,'Pinlist(S1)'!$E$4:$E$1362,""),_xlpm.cleanRaw,SUBSTITUTE(SUBSTITUTE(_xlpm.raw,"_PIN","."),"PIN","."),_xlpm.mainPart,MID(_xlpm.cleanRaw,2,FIND(".",_xlpm.cleanRaw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508055</v>
      </c>
      <c r="G157" t="str">
        <f>_xlfn.LET(_xlpm.raw,_xlfn.XLOOKUP(A157,'Pinlist(S3)'!$C$4:$C$1362,'Pinlist(S3)'!$E$4:$E$1362,""),_xlpm.cleanRaw,SUBSTITUTE(SUBSTITUTE(_xlpm.raw,"_PIN","."),"PIN","."),_xlpm.mainPart,MID(_xlpm.cleanRaw,2,FIND(".",_xlpm.cleanRaw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57" t="str">
        <f>_xlfn.LET(_xlpm.raw,_xlfn.XLOOKUP(A157,'Pinlist(S5)'!$C$4:$C$1362,'Pinlist(S5)'!$E$4:$E$1362,""),_xlpm.cleanRaw,SUBSTITUTE(SUBSTITUTE(_xlpm.raw,"_PIN","."),"PIN","."),_xlpm.mainPart,MID(_xlpm.cleanRaw,2,FIND(".",_xlpm.cleanRaw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703038</v>
      </c>
      <c r="I157" t="str">
        <f>""</f>
        <v/>
      </c>
      <c r="J157" t="str">
        <f t="shared" si="2"/>
        <v>D8;GPP_D_17_DMIC_CLK_1;;4.08599999999999;1.625;508055;804033;703038;</v>
      </c>
    </row>
    <row r="158" spans="1:10">
      <c r="A158" t="s">
        <v>993</v>
      </c>
      <c r="B158" t="str">
        <f>_xlfn.XLOOKUP(A158,'Pinlist(S1)'!$Q$4:$Q$1362,'Pinlist(S1)'!$R$4:$R$1362,"")</f>
        <v>GPP_E_11_USB2_OCB_2</v>
      </c>
      <c r="C158" t="str" cm="1">
        <f t="array" ref="C158">_xlfn.TEXTJOIN(",",TRUE,_xlfn.UNIQUE(TRANSPOSE(_xlfn.MAP(_xlfn.XLOOKUP(A158,'Pinlist(S1)'!$C$4:$C$1362,'Pinlist(S1)'!$F$4:$K$1362,""),_xlfn.LAMBDA(_xlpm.x,IF(_xlpm.x&lt;&gt;"",TRIM(CLEAN(LEFT(_xlpm.x,FIND(".",_xlpm.x &amp; ".")-1))),""))))))</f>
        <v/>
      </c>
      <c r="D158">
        <v>4.6499999999999897</v>
      </c>
      <c r="E158">
        <v>1.9510000000000001</v>
      </c>
      <c r="F158" t="str">
        <f>_xlfn.LET(_xlpm.raw,_xlfn.XLOOKUP(A158,'Pinlist(S1)'!$C$4:$C$1362,'Pinlist(S1)'!$E$4:$E$1362,""),_xlpm.cleanRaw,SUBSTITUTE(SUBSTITUTE(_xlpm.raw,"_PIN","."),"PIN","."),_xlpm.mainPart,MID(_xlpm.cleanRaw,2,FIND(".",_xlpm.cleanRaw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505066</v>
      </c>
      <c r="G158" t="str">
        <f>_xlfn.LET(_xlpm.raw,_xlfn.XLOOKUP(A158,'Pinlist(S3)'!$C$4:$C$1362,'Pinlist(S3)'!$E$4:$E$1362,""),_xlpm.cleanRaw,SUBSTITUTE(SUBSTITUTE(_xlpm.raw,"_PIN","."),"PIN","."),_xlpm.mainPart,MID(_xlpm.cleanRaw,2,FIND(".",_xlpm.cleanRaw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808046</v>
      </c>
      <c r="H158" t="str">
        <f>_xlfn.LET(_xlpm.raw,_xlfn.XLOOKUP(A158,'Pinlist(S5)'!$C$4:$C$1362,'Pinlist(S5)'!$E$4:$E$1362,""),_xlpm.cleanRaw,SUBSTITUTE(SUBSTITUTE(_xlpm.raw,"_PIN","."),"PIN","."),_xlpm.mainPart,MID(_xlpm.cleanRaw,2,FIND(".",_xlpm.cleanRaw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602067</v>
      </c>
      <c r="I158" t="str">
        <f>""</f>
        <v/>
      </c>
      <c r="J158" t="str">
        <f t="shared" si="2"/>
        <v>D9;GPP_E_11_USB2_OCB_2;;4.64999999999999;1.951;505066;808046;602067;</v>
      </c>
    </row>
    <row r="159" spans="1:10">
      <c r="A159" t="s">
        <v>2115</v>
      </c>
      <c r="B159" t="str">
        <f>_xlfn.XLOOKUP(A159,'Pinlist(S1)'!$Q$4:$Q$1362,'Pinlist(S1)'!$R$4:$R$1362,"")</f>
        <v>VSS</v>
      </c>
      <c r="C159" t="str" cm="1">
        <f t="array" ref="C159">_xlfn.TEXTJOIN(",",TRUE,_xlfn.UNIQUE(TRANSPOSE(_xlfn.MAP(_xlfn.XLOOKUP(A159,'Pinlist(S1)'!$C$4:$C$1362,'Pinlist(S1)'!$F$4:$K$1362,""),_xlfn.LAMBDA(_xlpm.x,IF(_xlpm.x&lt;&gt;"",TRIM(CLEAN(LEFT(_xlpm.x,FIND(".",_xlpm.x &amp; ".")-1))),""))))))</f>
        <v/>
      </c>
      <c r="D159">
        <v>5.3250000000000002</v>
      </c>
      <c r="E159">
        <v>1.9909999999999899</v>
      </c>
      <c r="F159" t="str">
        <f>_xlfn.LET(_xlpm.raw,_xlfn.XLOOKUP(A159,'Pinlist(S1)'!$C$4:$C$1362,'Pinlist(S1)'!$E$4:$E$1362,""),_xlpm.cleanRaw,SUBSTITUTE(SUBSTITUTE(_xlpm.raw,"_PIN","."),"PIN","."),_xlpm.mainPart,MID(_xlpm.cleanRaw,2,FIND(".",_xlpm.cleanRaw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9" t="str">
        <f>_xlfn.LET(_xlpm.raw,_xlfn.XLOOKUP(A159,'Pinlist(S3)'!$C$4:$C$1362,'Pinlist(S3)'!$E$4:$E$1362,""),_xlpm.cleanRaw,SUBSTITUTE(SUBSTITUTE(_xlpm.raw,"_PIN","."),"PIN","."),_xlpm.mainPart,MID(_xlpm.cleanRaw,2,FIND(".",_xlpm.cleanRaw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9" t="str">
        <f>_xlfn.LET(_xlpm.raw,_xlfn.XLOOKUP(A159,'Pinlist(S5)'!$C$4:$C$1362,'Pinlist(S5)'!$E$4:$E$1362,""),_xlpm.cleanRaw,SUBSTITUTE(SUBSTITUTE(_xlpm.raw,"_PIN","."),"PIN","."),_xlpm.mainPart,MID(_xlpm.cleanRaw,2,FIND(".",_xlpm.cleanRaw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9" t="str">
        <f>""</f>
        <v/>
      </c>
      <c r="J159" t="str">
        <f t="shared" si="2"/>
        <v>D10;VSS;;5.325;1.99099999999999;;;;</v>
      </c>
    </row>
    <row r="160" spans="1:10">
      <c r="A160" t="s">
        <v>2116</v>
      </c>
      <c r="B160" t="str">
        <f>_xlfn.XLOOKUP(A160,'Pinlist(S1)'!$Q$4:$Q$1362,'Pinlist(S1)'!$R$4:$R$1362,"")</f>
        <v>VSS</v>
      </c>
      <c r="C160" t="str" cm="1">
        <f t="array" ref="C160">_xlfn.TEXTJOIN(",",TRUE,_xlfn.UNIQUE(TRANSPOSE(_xlfn.MAP(_xlfn.XLOOKUP(A160,'Pinlist(S1)'!$C$4:$C$1362,'Pinlist(S1)'!$F$4:$K$1362,""),_xlfn.LAMBDA(_xlpm.x,IF(_xlpm.x&lt;&gt;"",TRIM(CLEAN(LEFT(_xlpm.x,FIND(".",_xlpm.x &amp; ".")-1))),""))))))</f>
        <v/>
      </c>
      <c r="D160">
        <v>6.0009999999999897</v>
      </c>
      <c r="E160">
        <v>1.9510000000000001</v>
      </c>
      <c r="F160" t="str">
        <f>_xlfn.LET(_xlpm.raw,_xlfn.XLOOKUP(A160,'Pinlist(S1)'!$C$4:$C$1362,'Pinlist(S1)'!$E$4:$E$1362,""),_xlpm.cleanRaw,SUBSTITUTE(SUBSTITUTE(_xlpm.raw,"_PIN","."),"PIN","."),_xlpm.mainPart,MID(_xlpm.cleanRaw,2,FIND(".",_xlpm.cleanRaw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0" t="str">
        <f>_xlfn.LET(_xlpm.raw,_xlfn.XLOOKUP(A160,'Pinlist(S3)'!$C$4:$C$1362,'Pinlist(S3)'!$E$4:$E$1362,""),_xlpm.cleanRaw,SUBSTITUTE(SUBSTITUTE(_xlpm.raw,"_PIN","."),"PIN","."),_xlpm.mainPart,MID(_xlpm.cleanRaw,2,FIND(".",_xlpm.cleanRaw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0" t="str">
        <f>_xlfn.LET(_xlpm.raw,_xlfn.XLOOKUP(A160,'Pinlist(S5)'!$C$4:$C$1362,'Pinlist(S5)'!$E$4:$E$1362,""),_xlpm.cleanRaw,SUBSTITUTE(SUBSTITUTE(_xlpm.raw,"_PIN","."),"PIN","."),_xlpm.mainPart,MID(_xlpm.cleanRaw,2,FIND(".",_xlpm.cleanRaw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0" t="str">
        <f>""</f>
        <v/>
      </c>
      <c r="J160" t="str">
        <f t="shared" si="2"/>
        <v>D11;VSS;;6.00099999999999;1.951;;;;</v>
      </c>
    </row>
    <row r="161" spans="1:10">
      <c r="A161" t="s">
        <v>1380</v>
      </c>
      <c r="B161" t="str">
        <f>_xlfn.XLOOKUP(A161,'Pinlist(S1)'!$Q$4:$Q$1362,'Pinlist(S1)'!$R$4:$R$1362,"")</f>
        <v>SPARE_14</v>
      </c>
      <c r="C161" t="str" cm="1">
        <f t="array" ref="C161">_xlfn.TEXTJOIN(",",TRUE,_xlfn.UNIQUE(TRANSPOSE(_xlfn.MAP(_xlfn.XLOOKUP(A161,'Pinlist(S1)'!$C$4:$C$1362,'Pinlist(S1)'!$F$4:$K$1362,""),_xlfn.LAMBDA(_xlpm.x,IF(_xlpm.x&lt;&gt;"",TRIM(CLEAN(LEFT(_xlpm.x,FIND(".",_xlpm.x &amp; ".")-1))),""))))))</f>
        <v/>
      </c>
      <c r="D161">
        <v>6.5640000000000001</v>
      </c>
      <c r="E161">
        <v>1.625</v>
      </c>
      <c r="F161" t="str">
        <f>_xlfn.LET(_xlpm.raw,_xlfn.XLOOKUP(A161,'Pinlist(S1)'!$C$4:$C$1362,'Pinlist(S1)'!$E$4:$E$1362,""),_xlpm.cleanRaw,SUBSTITUTE(SUBSTITUTE(_xlpm.raw,"_PIN","."),"PIN","."),_xlpm.mainPart,MID(_xlpm.cleanRaw,2,FIND(".",_xlpm.cleanRaw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1" t="str">
        <f>_xlfn.LET(_xlpm.raw,_xlfn.XLOOKUP(A161,'Pinlist(S3)'!$C$4:$C$1362,'Pinlist(S3)'!$E$4:$E$1362,""),_xlpm.cleanRaw,SUBSTITUTE(SUBSTITUTE(_xlpm.raw,"_PIN","."),"PIN","."),_xlpm.mainPart,MID(_xlpm.cleanRaw,2,FIND(".",_xlpm.cleanRaw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1" t="str">
        <f>_xlfn.LET(_xlpm.raw,_xlfn.XLOOKUP(A161,'Pinlist(S5)'!$C$4:$C$1362,'Pinlist(S5)'!$E$4:$E$1362,""),_xlpm.cleanRaw,SUBSTITUTE(SUBSTITUTE(_xlpm.raw,"_PIN","."),"PIN","."),_xlpm.mainPart,MID(_xlpm.cleanRaw,2,FIND(".",_xlpm.cleanRaw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1" t="str">
        <f>""</f>
        <v/>
      </c>
      <c r="J161" t="str">
        <f t="shared" si="2"/>
        <v>D12;SPARE_14;;6.564;1.625;;;;</v>
      </c>
    </row>
    <row r="162" spans="1:10">
      <c r="A162" t="s">
        <v>1500</v>
      </c>
      <c r="B162" t="str">
        <f>_xlfn.XLOOKUP(A162,'Pinlist(S1)'!$Q$4:$Q$1362,'Pinlist(S1)'!$R$4:$R$1362,"")</f>
        <v>USB3_1_TXP</v>
      </c>
      <c r="C162" t="str" cm="1">
        <f t="array" ref="C162">_xlfn.TEXTJOIN(",",TRUE,_xlfn.UNIQUE(TRANSPOSE(_xlfn.MAP(_xlfn.XLOOKUP(A162,'Pinlist(S1)'!$C$4:$C$1362,'Pinlist(S1)'!$F$4:$K$1362,""),_xlfn.LAMBDA(_xlpm.x,IF(_xlpm.x&lt;&gt;"",TRIM(CLEAN(LEFT(_xlpm.x,FIND(".",_xlpm.x &amp; ".")-1))),""))))))</f>
        <v>LA526,CA526,KA513</v>
      </c>
      <c r="D162">
        <v>7.1280000000000001</v>
      </c>
      <c r="E162">
        <v>1.9510000000000001</v>
      </c>
      <c r="F162" t="str">
        <f>_xlfn.LET(_xlpm.raw,_xlfn.XLOOKUP(A162,'Pinlist(S1)'!$C$4:$C$1362,'Pinlist(S1)'!$E$4:$E$1362,""),_xlpm.cleanRaw,SUBSTITUTE(SUBSTITUTE(_xlpm.raw,"_PIN","."),"PIN","."),_xlpm.mainPart,MID(_xlpm.cleanRaw,2,FIND(".",_xlpm.cleanRaw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G162" t="str">
        <f>_xlfn.LET(_xlpm.raw,_xlfn.XLOOKUP(A162,'Pinlist(S3)'!$C$4:$C$1362,'Pinlist(S3)'!$E$4:$E$1362,""),_xlpm.cleanRaw,SUBSTITUTE(SUBSTITUTE(_xlpm.raw,"_PIN","."),"PIN","."),_xlpm.mainPart,MID(_xlpm.cleanRaw,2,FIND(".",_xlpm.cleanRaw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162" t="str">
        <f>_xlfn.LET(_xlpm.raw,_xlfn.XLOOKUP(A162,'Pinlist(S5)'!$C$4:$C$1362,'Pinlist(S5)'!$E$4:$E$1362,""),_xlpm.cleanRaw,SUBSTITUTE(SUBSTITUTE(_xlpm.raw,"_PIN","."),"PIN","."),_xlpm.mainPart,MID(_xlpm.cleanRaw,2,FIND(".",_xlpm.cleanRaw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I162" t="str">
        <f>""</f>
        <v/>
      </c>
      <c r="J162" t="str">
        <f t="shared" si="2"/>
        <v>D13;USB3_1_TXP;LA526,CA526,KA513;7.128;1.951;506027;807038;603092;</v>
      </c>
    </row>
    <row r="163" spans="1:10">
      <c r="A163" t="s">
        <v>2117</v>
      </c>
      <c r="B163" t="str">
        <f>_xlfn.XLOOKUP(A163,'Pinlist(S1)'!$Q$4:$Q$1362,'Pinlist(S1)'!$R$4:$R$1362,"")</f>
        <v>VSS</v>
      </c>
      <c r="C163" t="str" cm="1">
        <f t="array" ref="C163">_xlfn.TEXTJOIN(",",TRUE,_xlfn.UNIQUE(TRANSPOSE(_xlfn.MAP(_xlfn.XLOOKUP(A163,'Pinlist(S1)'!$C$4:$C$1362,'Pinlist(S1)'!$F$4:$K$1362,""),_xlfn.LAMBDA(_xlpm.x,IF(_xlpm.x&lt;&gt;"",TRIM(CLEAN(LEFT(_xlpm.x,FIND(".",_xlpm.x &amp; ".")-1))),""))))))</f>
        <v/>
      </c>
      <c r="D163">
        <v>7.8029999999999902</v>
      </c>
      <c r="E163">
        <v>1.9909999999999899</v>
      </c>
      <c r="F163" t="str">
        <f>_xlfn.LET(_xlpm.raw,_xlfn.XLOOKUP(A163,'Pinlist(S1)'!$C$4:$C$1362,'Pinlist(S1)'!$E$4:$E$1362,""),_xlpm.cleanRaw,SUBSTITUTE(SUBSTITUTE(_xlpm.raw,"_PIN","."),"PIN","."),_xlpm.mainPart,MID(_xlpm.cleanRaw,2,FIND(".",_xlpm.cleanRaw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3" t="str">
        <f>_xlfn.LET(_xlpm.raw,_xlfn.XLOOKUP(A163,'Pinlist(S3)'!$C$4:$C$1362,'Pinlist(S3)'!$E$4:$E$1362,""),_xlpm.cleanRaw,SUBSTITUTE(SUBSTITUTE(_xlpm.raw,"_PIN","."),"PIN","."),_xlpm.mainPart,MID(_xlpm.cleanRaw,2,FIND(".",_xlpm.cleanRaw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3" t="str">
        <f>_xlfn.LET(_xlpm.raw,_xlfn.XLOOKUP(A163,'Pinlist(S5)'!$C$4:$C$1362,'Pinlist(S5)'!$E$4:$E$1362,""),_xlpm.cleanRaw,SUBSTITUTE(SUBSTITUTE(_xlpm.raw,"_PIN","."),"PIN","."),_xlpm.mainPart,MID(_xlpm.cleanRaw,2,FIND(".",_xlpm.cleanRaw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3" t="str">
        <f>""</f>
        <v/>
      </c>
      <c r="J163" t="str">
        <f t="shared" si="2"/>
        <v>D14;VSS;;7.80299999999999;1.99099999999999;;;;</v>
      </c>
    </row>
    <row r="164" spans="1:10">
      <c r="A164" t="s">
        <v>1524</v>
      </c>
      <c r="B164" t="str">
        <f>_xlfn.XLOOKUP(A164,'Pinlist(S1)'!$Q$4:$Q$1362,'Pinlist(S1)'!$R$4:$R$1362,"")</f>
        <v>USB3_4_TXP</v>
      </c>
      <c r="C164" t="str" cm="1">
        <f t="array" ref="C164">_xlfn.TEXTJOIN(",",TRUE,_xlfn.UNIQUE(TRANSPOSE(_xlfn.MAP(_xlfn.XLOOKUP(A164,'Pinlist(S1)'!$C$4:$C$1362,'Pinlist(S1)'!$F$4:$K$1362,""),_xlfn.LAMBDA(_xlpm.x,IF(_xlpm.x&lt;&gt;"",TRIM(CLEAN(LEFT(_xlpm.x,FIND(".",_xlpm.x &amp; ".")-1))),""))))))</f>
        <v>LA532,CA532,KA516</v>
      </c>
      <c r="D164">
        <v>8.4789999999999992</v>
      </c>
      <c r="E164">
        <v>1.9510000000000001</v>
      </c>
      <c r="F164" t="str">
        <f>_xlfn.LET(_xlpm.raw,_xlfn.XLOOKUP(A164,'Pinlist(S1)'!$C$4:$C$1362,'Pinlist(S1)'!$E$4:$E$1362,""),_xlpm.cleanRaw,SUBSTITUTE(SUBSTITUTE(_xlpm.raw,"_PIN","."),"PIN","."),_xlpm.mainPart,MID(_xlpm.cleanRaw,2,FIND(".",_xlpm.cleanRaw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G164" t="str">
        <f>_xlfn.LET(_xlpm.raw,_xlfn.XLOOKUP(A164,'Pinlist(S3)'!$C$4:$C$1362,'Pinlist(S3)'!$E$4:$E$1362,""),_xlpm.cleanRaw,SUBSTITUTE(SUBSTITUTE(_xlpm.raw,"_PIN","."),"PIN","."),_xlpm.mainPart,MID(_xlpm.cleanRaw,2,FIND(".",_xlpm.cleanRaw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807035</v>
      </c>
      <c r="H164" t="str">
        <f>_xlfn.LET(_xlpm.raw,_xlfn.XLOOKUP(A164,'Pinlist(S5)'!$C$4:$C$1362,'Pinlist(S5)'!$E$4:$E$1362,""),_xlpm.cleanRaw,SUBSTITUTE(SUBSTITUTE(_xlpm.raw,"_PIN","."),"PIN","."),_xlpm.mainPart,MID(_xlpm.cleanRaw,2,FIND(".",_xlpm.cleanRaw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603104</v>
      </c>
      <c r="I164" t="str">
        <f>""</f>
        <v/>
      </c>
      <c r="J164" t="str">
        <f t="shared" si="2"/>
        <v>D15;USB3_4_TXP;LA532,CA532,KA516;8.479;1.951;506030;807035;603104;</v>
      </c>
    </row>
    <row r="165" spans="1:10">
      <c r="A165" t="s">
        <v>1258</v>
      </c>
      <c r="B165" t="str">
        <f>_xlfn.XLOOKUP(A165,'Pinlist(S1)'!$Q$4:$Q$1362,'Pinlist(S1)'!$R$4:$R$1362,"")</f>
        <v>PCIE_2_UFS_0A_USB3_6_TXN</v>
      </c>
      <c r="C165" t="str" cm="1">
        <f t="array" ref="C165">_xlfn.TEXTJOIN(",",TRUE,_xlfn.UNIQUE(TRANSPOSE(_xlfn.MAP(_xlfn.XLOOKUP(A165,'Pinlist(S1)'!$C$4:$C$1362,'Pinlist(S1)'!$F$4:$K$1362,""),_xlfn.LAMBDA(_xlpm.x,IF(_xlpm.x&lt;&gt;"",TRIM(CLEAN(LEFT(_xlpm.x,FIND(".",_xlpm.x &amp; ".")-1))),""))))))</f>
        <v>LA503,CA503,KA502</v>
      </c>
      <c r="D165">
        <v>9.0419999999999998</v>
      </c>
      <c r="E165">
        <v>1.625</v>
      </c>
      <c r="F165" t="str">
        <f>_xlfn.LET(_xlpm.raw,_xlfn.XLOOKUP(A165,'Pinlist(S1)'!$C$4:$C$1362,'Pinlist(S1)'!$E$4:$E$1362,""),_xlpm.cleanRaw,SUBSTITUTE(SUBSTITUTE(_xlpm.raw,"_PIN","."),"PIN","."),_xlpm.mainPart,MID(_xlpm.cleanRaw,2,FIND(".",_xlpm.cleanRaw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504097</v>
      </c>
      <c r="G165" t="str">
        <f>_xlfn.LET(_xlpm.raw,_xlfn.XLOOKUP(A165,'Pinlist(S3)'!$C$4:$C$1362,'Pinlist(S3)'!$E$4:$E$1362,""),_xlpm.cleanRaw,SUBSTITUTE(SUBSTITUTE(_xlpm.raw,"_PIN","."),"PIN","."),_xlpm.mainPart,MID(_xlpm.cleanRaw,2,FIND(".",_xlpm.cleanRaw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165" t="str">
        <f>_xlfn.LET(_xlpm.raw,_xlfn.XLOOKUP(A165,'Pinlist(S5)'!$C$4:$C$1362,'Pinlist(S5)'!$E$4:$E$1362,""),_xlpm.cleanRaw,SUBSTITUTE(SUBSTITUTE(_xlpm.raw,"_PIN","."),"PIN","."),_xlpm.mainPart,MID(_xlpm.cleanRaw,2,FIND(".",_xlpm.cleanRaw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I165" t="str">
        <f>""</f>
        <v/>
      </c>
      <c r="J165" t="str">
        <f t="shared" si="2"/>
        <v>D16;PCIE_2_UFS_0A_USB3_6_TXN;LA503,CA503,KA502;9.042;1.625;504097;807028;603102;</v>
      </c>
    </row>
    <row r="166" spans="1:10">
      <c r="A166" t="s">
        <v>1266</v>
      </c>
      <c r="B166" t="str">
        <f>_xlfn.XLOOKUP(A166,'Pinlist(S1)'!$Q$4:$Q$1362,'Pinlist(S1)'!$R$4:$R$1362,"")</f>
        <v>PCIE_3_UFS_0B_LAN_0A_TXN</v>
      </c>
      <c r="C166" t="str" cm="1">
        <f t="array" ref="C166">_xlfn.TEXTJOIN(",",TRUE,_xlfn.UNIQUE(TRANSPOSE(_xlfn.MAP(_xlfn.XLOOKUP(A166,'Pinlist(S1)'!$C$4:$C$1362,'Pinlist(S1)'!$F$4:$K$1362,""),_xlfn.LAMBDA(_xlpm.x,IF(_xlpm.x&lt;&gt;"",TRIM(CLEAN(LEFT(_xlpm.x,FIND(".",_xlpm.x &amp; ".")-1))),""))))))</f>
        <v>LA505,CA505,KA503</v>
      </c>
      <c r="D166">
        <v>9.6059999999999999</v>
      </c>
      <c r="E166">
        <v>1.9510000000000001</v>
      </c>
      <c r="F166" t="str">
        <f>_xlfn.LET(_xlpm.raw,_xlfn.XLOOKUP(A166,'Pinlist(S1)'!$C$4:$C$1362,'Pinlist(S1)'!$E$4:$E$1362,""),_xlpm.cleanRaw,SUBSTITUTE(SUBSTITUTE(_xlpm.raw,"_PIN","."),"PIN","."),_xlpm.mainPart,MID(_xlpm.cleanRaw,2,FIND(".",_xlpm.cleanRaw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506037</v>
      </c>
      <c r="G166" t="str">
        <f>_xlfn.LET(_xlpm.raw,_xlfn.XLOOKUP(A166,'Pinlist(S3)'!$C$4:$C$1362,'Pinlist(S3)'!$E$4:$E$1362,""),_xlpm.cleanRaw,SUBSTITUTE(SUBSTITUTE(_xlpm.raw,"_PIN","."),"PIN","."),_xlpm.mainPart,MID(_xlpm.cleanRaw,2,FIND(".",_xlpm.cleanRaw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809091</v>
      </c>
      <c r="H166" t="str">
        <f>_xlfn.LET(_xlpm.raw,_xlfn.XLOOKUP(A166,'Pinlist(S5)'!$C$4:$C$1362,'Pinlist(S5)'!$E$4:$E$1362,""),_xlpm.cleanRaw,SUBSTITUTE(SUBSTITUTE(_xlpm.raw,"_PIN","."),"PIN","."),_xlpm.mainPart,MID(_xlpm.cleanRaw,2,FIND(".",_xlpm.cleanRaw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I166" t="str">
        <f>""</f>
        <v/>
      </c>
      <c r="J166" t="str">
        <f t="shared" si="2"/>
        <v>D17;PCIE_3_UFS_0B_LAN_0A_TXN;LA505,CA505,KA503;9.606;1.951;506037;809091;603095;</v>
      </c>
    </row>
    <row r="167" spans="1:10">
      <c r="A167" t="s">
        <v>2118</v>
      </c>
      <c r="B167" t="str">
        <f>_xlfn.XLOOKUP(A167,'Pinlist(S1)'!$Q$4:$Q$1362,'Pinlist(S1)'!$R$4:$R$1362,"")</f>
        <v>VSS</v>
      </c>
      <c r="C167" t="str" cm="1">
        <f t="array" ref="C167">_xlfn.TEXTJOIN(",",TRUE,_xlfn.UNIQUE(TRANSPOSE(_xlfn.MAP(_xlfn.XLOOKUP(A167,'Pinlist(S1)'!$C$4:$C$1362,'Pinlist(S1)'!$F$4:$K$1362,""),_xlfn.LAMBDA(_xlpm.x,IF(_xlpm.x&lt;&gt;"",TRIM(CLEAN(LEFT(_xlpm.x,FIND(".",_xlpm.x &amp; ".")-1))),""))))))</f>
        <v/>
      </c>
      <c r="D167">
        <v>10.280999999999899</v>
      </c>
      <c r="E167">
        <v>1.9909999999999899</v>
      </c>
      <c r="F167" t="str">
        <f>_xlfn.LET(_xlpm.raw,_xlfn.XLOOKUP(A167,'Pinlist(S1)'!$C$4:$C$1362,'Pinlist(S1)'!$E$4:$E$1362,""),_xlpm.cleanRaw,SUBSTITUTE(SUBSTITUTE(_xlpm.raw,"_PIN","."),"PIN","."),_xlpm.mainPart,MID(_xlpm.cleanRaw,2,FIND(".",_xlpm.cleanRaw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7" t="str">
        <f>_xlfn.LET(_xlpm.raw,_xlfn.XLOOKUP(A167,'Pinlist(S3)'!$C$4:$C$1362,'Pinlist(S3)'!$E$4:$E$1362,""),_xlpm.cleanRaw,SUBSTITUTE(SUBSTITUTE(_xlpm.raw,"_PIN","."),"PIN","."),_xlpm.mainPart,MID(_xlpm.cleanRaw,2,FIND(".",_xlpm.cleanRaw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7" t="str">
        <f>_xlfn.LET(_xlpm.raw,_xlfn.XLOOKUP(A167,'Pinlist(S5)'!$C$4:$C$1362,'Pinlist(S5)'!$E$4:$E$1362,""),_xlpm.cleanRaw,SUBSTITUTE(SUBSTITUTE(_xlpm.raw,"_PIN","."),"PIN","."),_xlpm.mainPart,MID(_xlpm.cleanRaw,2,FIND(".",_xlpm.cleanRaw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7" t="str">
        <f>""</f>
        <v/>
      </c>
      <c r="J167" t="str">
        <f t="shared" si="2"/>
        <v>D18;VSS;;10.2809999999999;1.99099999999999;;;;</v>
      </c>
    </row>
    <row r="168" spans="1:10">
      <c r="A168" t="s">
        <v>1284</v>
      </c>
      <c r="B168" t="str">
        <f>_xlfn.XLOOKUP(A168,'Pinlist(S1)'!$Q$4:$Q$1362,'Pinlist(S1)'!$R$4:$R$1362,"")</f>
        <v>PCIE_5_LAN_0C_TXP</v>
      </c>
      <c r="C168" t="str" cm="1">
        <f t="array" ref="C168">_xlfn.TEXTJOIN(",",TRUE,_xlfn.UNIQUE(TRANSPOSE(_xlfn.MAP(_xlfn.XLOOKUP(A168,'Pinlist(S1)'!$C$4:$C$1362,'Pinlist(S1)'!$F$4:$K$1362,""),_xlfn.LAMBDA(_xlpm.x,IF(_xlpm.x&lt;&gt;"",TRIM(CLEAN(LEFT(_xlpm.x,FIND(".",_xlpm.x &amp; ".")-1))),""))))))</f>
        <v>LA510,CA510,KA505</v>
      </c>
      <c r="D168">
        <v>10.957000000000001</v>
      </c>
      <c r="E168">
        <v>1.9510000000000001</v>
      </c>
      <c r="F168" t="str">
        <f>_xlfn.LET(_xlpm.raw,_xlfn.XLOOKUP(A168,'Pinlist(S1)'!$C$4:$C$1362,'Pinlist(S1)'!$E$4:$E$1362,""),_xlpm.cleanRaw,SUBSTITUTE(SUBSTITUTE(_xlpm.raw,"_PIN","."),"PIN","."),_xlpm.mainPart,MID(_xlpm.cleanRaw,2,FIND(".",_xlpm.cleanRaw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506039</v>
      </c>
      <c r="G168" t="str">
        <f>_xlfn.LET(_xlpm.raw,_xlfn.XLOOKUP(A168,'Pinlist(S3)'!$C$4:$C$1362,'Pinlist(S3)'!$E$4:$E$1362,""),_xlpm.cleanRaw,SUBSTITUTE(SUBSTITUTE(_xlpm.raw,"_PIN","."),"PIN","."),_xlpm.mainPart,MID(_xlpm.cleanRaw,2,FIND(".",_xlpm.cleanRaw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809095</v>
      </c>
      <c r="H168" t="str">
        <f>_xlfn.LET(_xlpm.raw,_xlfn.XLOOKUP(A168,'Pinlist(S5)'!$C$4:$C$1362,'Pinlist(S5)'!$E$4:$E$1362,""),_xlpm.cleanRaw,SUBSTITUTE(SUBSTITUTE(_xlpm.raw,"_PIN","."),"PIN","."),_xlpm.mainPart,MID(_xlpm.cleanRaw,2,FIND(".",_xlpm.cleanRaw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I168" t="str">
        <f>""</f>
        <v/>
      </c>
      <c r="J168" t="str">
        <f t="shared" si="2"/>
        <v>D19;PCIE_5_LAN_0C_TXP;LA510,CA510,KA505;10.957;1.951;506039;809095;601035;</v>
      </c>
    </row>
    <row r="169" spans="1:10">
      <c r="A169" t="s">
        <v>1290</v>
      </c>
      <c r="B169" t="str">
        <f>_xlfn.XLOOKUP(A169,'Pinlist(S1)'!$Q$4:$Q$1362,'Pinlist(S1)'!$R$4:$R$1362,"")</f>
        <v>PCIE_6_TXN</v>
      </c>
      <c r="C169" t="str" cm="1">
        <f t="array" ref="C169">_xlfn.TEXTJOIN(",",TRUE,_xlfn.UNIQUE(TRANSPOSE(_xlfn.MAP(_xlfn.XLOOKUP(A169,'Pinlist(S1)'!$C$4:$C$1362,'Pinlist(S1)'!$F$4:$K$1362,""),_xlfn.LAMBDA(_xlpm.x,IF(_xlpm.x&lt;&gt;"",TRIM(CLEAN(LEFT(_xlpm.x,FIND(".",_xlpm.x &amp; ".")-1))),""))))))</f>
        <v>LA511,CA511,KA506</v>
      </c>
      <c r="D169">
        <v>11.52</v>
      </c>
      <c r="E169">
        <v>1.625</v>
      </c>
      <c r="F169" t="str">
        <f>_xlfn.LET(_xlpm.raw,_xlfn.XLOOKUP(A169,'Pinlist(S1)'!$C$4:$C$1362,'Pinlist(S1)'!$E$4:$E$1362,""),_xlpm.cleanRaw,SUBSTITUTE(SUBSTITUTE(_xlpm.raw,"_PIN","."),"PIN","."),_xlpm.mainPart,MID(_xlpm.cleanRaw,2,FIND(".",_xlpm.cleanRaw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G169" t="str">
        <f>_xlfn.LET(_xlpm.raw,_xlfn.XLOOKUP(A169,'Pinlist(S3)'!$C$4:$C$1362,'Pinlist(S3)'!$E$4:$E$1362,""),_xlpm.cleanRaw,SUBSTITUTE(SUBSTITUTE(_xlpm.raw,"_PIN","."),"PIN","."),_xlpm.mainPart,MID(_xlpm.cleanRaw,2,FIND(".",_xlpm.cleanRaw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809101</v>
      </c>
      <c r="H169" t="str">
        <f>_xlfn.LET(_xlpm.raw,_xlfn.XLOOKUP(A169,'Pinlist(S5)'!$C$4:$C$1362,'Pinlist(S5)'!$E$4:$E$1362,""),_xlpm.cleanRaw,SUBSTITUTE(SUBSTITUTE(_xlpm.raw,"_PIN","."),"PIN","."),_xlpm.mainPart,MID(_xlpm.cleanRaw,2,FIND(".",_xlpm.cleanRaw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601038</v>
      </c>
      <c r="I169" t="str">
        <f>""</f>
        <v/>
      </c>
      <c r="J169" t="str">
        <f t="shared" si="2"/>
        <v>D20;PCIE_6_TXN;LA511,CA511,KA506;11.52;1.625;506024;809101;601038;</v>
      </c>
    </row>
    <row r="170" spans="1:10">
      <c r="A170" t="s">
        <v>1306</v>
      </c>
      <c r="B170" t="str">
        <f>_xlfn.XLOOKUP(A170,'Pinlist(S1)'!$Q$4:$Q$1362,'Pinlist(S1)'!$R$4:$R$1362,"")</f>
        <v>PCIE_8_SATA_1A_TXN</v>
      </c>
      <c r="C170" t="str" cm="1">
        <f t="array" ref="C170">_xlfn.TEXTJOIN(",",TRUE,_xlfn.UNIQUE(TRANSPOSE(_xlfn.MAP(_xlfn.XLOOKUP(A170,'Pinlist(S1)'!$C$4:$C$1362,'Pinlist(S1)'!$F$4:$K$1362,""),_xlfn.LAMBDA(_xlpm.x,IF(_xlpm.x&lt;&gt;"",TRIM(CLEAN(LEFT(_xlpm.x,FIND(".",_xlpm.x &amp; ".")-1))),""))))))</f>
        <v>LA515,CA515,KA508</v>
      </c>
      <c r="D170">
        <v>12.084</v>
      </c>
      <c r="E170">
        <v>1.9510000000000001</v>
      </c>
      <c r="F170" t="str">
        <f>_xlfn.LET(_xlpm.raw,_xlfn.XLOOKUP(A170,'Pinlist(S1)'!$C$4:$C$1362,'Pinlist(S1)'!$E$4:$E$1362,""),_xlpm.cleanRaw,SUBSTITUTE(SUBSTITUTE(_xlpm.raw,"_PIN","."),"PIN","."),_xlpm.mainPart,MID(_xlpm.cleanRaw,2,FIND(".",_xlpm.cleanRaw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504088</v>
      </c>
      <c r="G170" t="str">
        <f>_xlfn.LET(_xlpm.raw,_xlfn.XLOOKUP(A170,'Pinlist(S3)'!$C$4:$C$1362,'Pinlist(S3)'!$E$4:$E$1362,""),_xlpm.cleanRaw,SUBSTITUTE(SUBSTITUTE(_xlpm.raw,"_PIN","."),"PIN","."),_xlpm.mainPart,MID(_xlpm.cleanRaw,2,FIND(".",_xlpm.cleanRaw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809092</v>
      </c>
      <c r="H170" t="str">
        <f>_xlfn.LET(_xlpm.raw,_xlfn.XLOOKUP(A170,'Pinlist(S5)'!$C$4:$C$1362,'Pinlist(S5)'!$E$4:$E$1362,""),_xlpm.cleanRaw,SUBSTITUTE(SUBSTITUTE(_xlpm.raw,"_PIN","."),"PIN","."),_xlpm.mainPart,MID(_xlpm.cleanRaw,2,FIND(".",_xlpm.cleanRaw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I170" t="str">
        <f>""</f>
        <v/>
      </c>
      <c r="J170" t="str">
        <f t="shared" si="2"/>
        <v>D21;PCIE_8_SATA_1A_TXN;LA515,CA515,KA508;12.084;1.951;504088;809092;601030;</v>
      </c>
    </row>
    <row r="171" spans="1:10">
      <c r="A171" t="s">
        <v>2119</v>
      </c>
      <c r="B171" t="str">
        <f>_xlfn.XLOOKUP(A171,'Pinlist(S1)'!$Q$4:$Q$1362,'Pinlist(S1)'!$R$4:$R$1362,"")</f>
        <v>VSS</v>
      </c>
      <c r="C171" t="str" cm="1">
        <f t="array" ref="C171">_xlfn.TEXTJOIN(",",TRUE,_xlfn.UNIQUE(TRANSPOSE(_xlfn.MAP(_xlfn.XLOOKUP(A171,'Pinlist(S1)'!$C$4:$C$1362,'Pinlist(S1)'!$F$4:$K$1362,""),_xlfn.LAMBDA(_xlpm.x,IF(_xlpm.x&lt;&gt;"",TRIM(CLEAN(LEFT(_xlpm.x,FIND(".",_xlpm.x &amp; ".")-1))),""))))))</f>
        <v/>
      </c>
      <c r="D171">
        <v>12.759</v>
      </c>
      <c r="E171">
        <v>1.9909999999999899</v>
      </c>
      <c r="F171" t="str">
        <f>_xlfn.LET(_xlpm.raw,_xlfn.XLOOKUP(A171,'Pinlist(S1)'!$C$4:$C$1362,'Pinlist(S1)'!$E$4:$E$1362,""),_xlpm.cleanRaw,SUBSTITUTE(SUBSTITUTE(_xlpm.raw,"_PIN","."),"PIN","."),_xlpm.mainPart,MID(_xlpm.cleanRaw,2,FIND(".",_xlpm.cleanRaw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1" t="str">
        <f>_xlfn.LET(_xlpm.raw,_xlfn.XLOOKUP(A171,'Pinlist(S3)'!$C$4:$C$1362,'Pinlist(S3)'!$E$4:$E$1362,""),_xlpm.cleanRaw,SUBSTITUTE(SUBSTITUTE(_xlpm.raw,"_PIN","."),"PIN","."),_xlpm.mainPart,MID(_xlpm.cleanRaw,2,FIND(".",_xlpm.cleanRaw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1" t="str">
        <f>_xlfn.LET(_xlpm.raw,_xlfn.XLOOKUP(A171,'Pinlist(S5)'!$C$4:$C$1362,'Pinlist(S5)'!$E$4:$E$1362,""),_xlpm.cleanRaw,SUBSTITUTE(SUBSTITUTE(_xlpm.raw,"_PIN","."),"PIN","."),_xlpm.mainPart,MID(_xlpm.cleanRaw,2,FIND(".",_xlpm.cleanRaw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1" t="str">
        <f>""</f>
        <v/>
      </c>
      <c r="J171" t="str">
        <f t="shared" si="2"/>
        <v>D22;VSS;;12.759;1.99099999999999;;;;</v>
      </c>
    </row>
    <row r="172" spans="1:10">
      <c r="A172" t="s">
        <v>1234</v>
      </c>
      <c r="B172" t="str">
        <f>_xlfn.XLOOKUP(A172,'Pinlist(S1)'!$Q$4:$Q$1362,'Pinlist(S1)'!$R$4:$R$1362,"")</f>
        <v>PCIE_10_LAN_0E_TXN</v>
      </c>
      <c r="C172" t="str" cm="1">
        <f t="array" ref="C172">_xlfn.TEXTJOIN(",",TRUE,_xlfn.UNIQUE(TRANSPOSE(_xlfn.MAP(_xlfn.XLOOKUP(A172,'Pinlist(S1)'!$C$4:$C$1362,'Pinlist(S1)'!$F$4:$K$1362,""),_xlfn.LAMBDA(_xlpm.x,IF(_xlpm.x&lt;&gt;"",TRIM(CLEAN(LEFT(_xlpm.x,FIND(".",_xlpm.x &amp; ".")-1))),""))))))</f>
        <v>LA519,CA519,KA510</v>
      </c>
      <c r="D172">
        <v>13.435</v>
      </c>
      <c r="E172">
        <v>1.9510000000000001</v>
      </c>
      <c r="F172" t="str">
        <f>_xlfn.LET(_xlpm.raw,_xlfn.XLOOKUP(A172,'Pinlist(S1)'!$C$4:$C$1362,'Pinlist(S1)'!$E$4:$E$1362,""),_xlpm.cleanRaw,SUBSTITUTE(SUBSTITUTE(_xlpm.raw,"_PIN","."),"PIN","."),_xlpm.mainPart,MID(_xlpm.cleanRaw,2,FIND(".",_xlpm.cleanRaw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G172" t="str">
        <f>_xlfn.LET(_xlpm.raw,_xlfn.XLOOKUP(A172,'Pinlist(S3)'!$C$4:$C$1362,'Pinlist(S3)'!$E$4:$E$1362,""),_xlpm.cleanRaw,SUBSTITUTE(SUBSTITUTE(_xlpm.raw,"_PIN","."),"PIN","."),_xlpm.mainPart,MID(_xlpm.cleanRaw,2,FIND(".",_xlpm.cleanRaw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809090</v>
      </c>
      <c r="H172" t="str">
        <f>_xlfn.LET(_xlpm.raw,_xlfn.XLOOKUP(A172,'Pinlist(S5)'!$C$4:$C$1362,'Pinlist(S5)'!$E$4:$E$1362,""),_xlpm.cleanRaw,SUBSTITUTE(SUBSTITUTE(_xlpm.raw,"_PIN","."),"PIN","."),_xlpm.mainPart,MID(_xlpm.cleanRaw,2,FIND(".",_xlpm.cleanRaw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I172" t="str">
        <f>""</f>
        <v/>
      </c>
      <c r="J172" t="str">
        <f t="shared" si="2"/>
        <v>D23;PCIE_10_LAN_0E_TXN;LA519,CA519,KA510;13.435;1.951;504096;809090;601027;</v>
      </c>
    </row>
    <row r="173" spans="1:10">
      <c r="A173" t="s">
        <v>1242</v>
      </c>
      <c r="B173" t="str">
        <f>_xlfn.XLOOKUP(A173,'Pinlist(S1)'!$Q$4:$Q$1362,'Pinlist(S1)'!$R$4:$R$1362,"")</f>
        <v>PCIE_11_SATA_1B_TXN</v>
      </c>
      <c r="C173" t="str" cm="1">
        <f t="array" ref="C173">_xlfn.TEXTJOIN(",",TRUE,_xlfn.UNIQUE(TRANSPOSE(_xlfn.MAP(_xlfn.XLOOKUP(A173,'Pinlist(S1)'!$C$4:$C$1362,'Pinlist(S1)'!$F$4:$K$1362,""),_xlfn.LAMBDA(_xlpm.x,IF(_xlpm.x&lt;&gt;"",TRIM(CLEAN(LEFT(_xlpm.x,FIND(".",_xlpm.x &amp; ".")-1))),""))))))</f>
        <v>LA521,CA521,KA511</v>
      </c>
      <c r="D173">
        <v>13.997999999999999</v>
      </c>
      <c r="E173">
        <v>1.625</v>
      </c>
      <c r="F173" t="str">
        <f>_xlfn.LET(_xlpm.raw,_xlfn.XLOOKUP(A173,'Pinlist(S1)'!$C$4:$C$1362,'Pinlist(S1)'!$E$4:$E$1362,""),_xlpm.cleanRaw,SUBSTITUTE(SUBSTITUTE(_xlpm.raw,"_PIN","."),"PIN","."),_xlpm.mainPart,MID(_xlpm.cleanRaw,2,FIND(".",_xlpm.cleanRaw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G173" t="str">
        <f>_xlfn.LET(_xlpm.raw,_xlfn.XLOOKUP(A173,'Pinlist(S3)'!$C$4:$C$1362,'Pinlist(S3)'!$E$4:$E$1362,""),_xlpm.cleanRaw,SUBSTITUTE(SUBSTITUTE(_xlpm.raw,"_PIN","."),"PIN","."),_xlpm.mainPart,MID(_xlpm.cleanRaw,2,FIND(".",_xlpm.cleanRaw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173" t="str">
        <f>_xlfn.LET(_xlpm.raw,_xlfn.XLOOKUP(A173,'Pinlist(S5)'!$C$4:$C$1362,'Pinlist(S5)'!$E$4:$E$1362,""),_xlpm.cleanRaw,SUBSTITUTE(SUBSTITUTE(_xlpm.raw,"_PIN","."),"PIN","."),_xlpm.mainPart,MID(_xlpm.cleanRaw,2,FIND(".",_xlpm.cleanRaw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I173" t="str">
        <f>""</f>
        <v/>
      </c>
      <c r="J173" t="str">
        <f t="shared" si="2"/>
        <v>D24;PCIE_11_SATA_1B_TXN;LA521,CA521,KA511;13.998;1.625;504104;809102;601034;</v>
      </c>
    </row>
    <row r="174" spans="1:10">
      <c r="A174" t="s">
        <v>2120</v>
      </c>
      <c r="B174" t="str">
        <f>_xlfn.XLOOKUP(A174,'Pinlist(S1)'!$Q$4:$Q$1362,'Pinlist(S1)'!$R$4:$R$1362,"")</f>
        <v>VSS</v>
      </c>
      <c r="C174" t="str" cm="1">
        <f t="array" ref="C174">_xlfn.TEXTJOIN(",",TRUE,_xlfn.UNIQUE(TRANSPOSE(_xlfn.MAP(_xlfn.XLOOKUP(A174,'Pinlist(S1)'!$C$4:$C$1362,'Pinlist(S1)'!$F$4:$K$1362,""),_xlfn.LAMBDA(_xlpm.x,IF(_xlpm.x&lt;&gt;"",TRIM(CLEAN(LEFT(_xlpm.x,FIND(".",_xlpm.x &amp; ".")-1))),""))))))</f>
        <v/>
      </c>
      <c r="D174">
        <v>14.561999999999999</v>
      </c>
      <c r="E174">
        <v>1.9510000000000001</v>
      </c>
      <c r="F174" t="str">
        <f>_xlfn.LET(_xlpm.raw,_xlfn.XLOOKUP(A174,'Pinlist(S1)'!$C$4:$C$1362,'Pinlist(S1)'!$E$4:$E$1362,""),_xlpm.cleanRaw,SUBSTITUTE(SUBSTITUTE(_xlpm.raw,"_PIN","."),"PIN","."),_xlpm.mainPart,MID(_xlpm.cleanRaw,2,FIND(".",_xlpm.cleanRaw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4" t="str">
        <f>_xlfn.LET(_xlpm.raw,_xlfn.XLOOKUP(A174,'Pinlist(S3)'!$C$4:$C$1362,'Pinlist(S3)'!$E$4:$E$1362,""),_xlpm.cleanRaw,SUBSTITUTE(SUBSTITUTE(_xlpm.raw,"_PIN","."),"PIN","."),_xlpm.mainPart,MID(_xlpm.cleanRaw,2,FIND(".",_xlpm.cleanRaw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4" t="str">
        <f>_xlfn.LET(_xlpm.raw,_xlfn.XLOOKUP(A174,'Pinlist(S5)'!$C$4:$C$1362,'Pinlist(S5)'!$E$4:$E$1362,""),_xlpm.cleanRaw,SUBSTITUTE(SUBSTITUTE(_xlpm.raw,"_PIN","."),"PIN","."),_xlpm.mainPart,MID(_xlpm.cleanRaw,2,FIND(".",_xlpm.cleanRaw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4" t="str">
        <f>""</f>
        <v/>
      </c>
      <c r="J174" t="str">
        <f t="shared" si="2"/>
        <v>D25;VSS;;14.562;1.951;;;;</v>
      </c>
    </row>
    <row r="175" spans="1:10">
      <c r="A175" t="s">
        <v>2121</v>
      </c>
      <c r="B175" t="str">
        <f>_xlfn.XLOOKUP(A175,'Pinlist(S1)'!$Q$4:$Q$1362,'Pinlist(S1)'!$R$4:$R$1362,"")</f>
        <v>VSS</v>
      </c>
      <c r="C175" t="str" cm="1">
        <f t="array" ref="C175">_xlfn.TEXTJOIN(",",TRUE,_xlfn.UNIQUE(TRANSPOSE(_xlfn.MAP(_xlfn.XLOOKUP(A175,'Pinlist(S1)'!$C$4:$C$1362,'Pinlist(S1)'!$F$4:$K$1362,""),_xlfn.LAMBDA(_xlpm.x,IF(_xlpm.x&lt;&gt;"",TRIM(CLEAN(LEFT(_xlpm.x,FIND(".",_xlpm.x &amp; ".")-1))),""))))))</f>
        <v/>
      </c>
      <c r="D175">
        <v>15.237</v>
      </c>
      <c r="E175">
        <v>1.9909999999999899</v>
      </c>
      <c r="F175" t="str">
        <f>_xlfn.LET(_xlpm.raw,_xlfn.XLOOKUP(A175,'Pinlist(S1)'!$C$4:$C$1362,'Pinlist(S1)'!$E$4:$E$1362,""),_xlpm.cleanRaw,SUBSTITUTE(SUBSTITUTE(_xlpm.raw,"_PIN","."),"PIN","."),_xlpm.mainPart,MID(_xlpm.cleanRaw,2,FIND(".",_xlpm.cleanRaw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5" t="str">
        <f>_xlfn.LET(_xlpm.raw,_xlfn.XLOOKUP(A175,'Pinlist(S3)'!$C$4:$C$1362,'Pinlist(S3)'!$E$4:$E$1362,""),_xlpm.cleanRaw,SUBSTITUTE(SUBSTITUTE(_xlpm.raw,"_PIN","."),"PIN","."),_xlpm.mainPart,MID(_xlpm.cleanRaw,2,FIND(".",_xlpm.cleanRaw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5" t="str">
        <f>_xlfn.LET(_xlpm.raw,_xlfn.XLOOKUP(A175,'Pinlist(S5)'!$C$4:$C$1362,'Pinlist(S5)'!$E$4:$E$1362,""),_xlpm.cleanRaw,SUBSTITUTE(SUBSTITUTE(_xlpm.raw,"_PIN","."),"PIN","."),_xlpm.mainPart,MID(_xlpm.cleanRaw,2,FIND(".",_xlpm.cleanRaw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5" t="str">
        <f>""</f>
        <v/>
      </c>
      <c r="J175" t="str">
        <f t="shared" si="2"/>
        <v>D26;VSS;;15.237;1.99099999999999;;;;</v>
      </c>
    </row>
    <row r="176" spans="1:10">
      <c r="A176" t="s">
        <v>144</v>
      </c>
      <c r="B176" t="str">
        <f>_xlfn.XLOOKUP(A176,'Pinlist(S1)'!$Q$4:$Q$1362,'Pinlist(S1)'!$R$4:$R$1362,"")</f>
        <v>CSI2_DP_11</v>
      </c>
      <c r="C176" t="str" cm="1">
        <f t="array" ref="C176">_xlfn.TEXTJOIN(",",TRUE,_xlfn.UNIQUE(TRANSPOSE(_xlfn.MAP(_xlfn.XLOOKUP(A176,'Pinlist(S1)'!$C$4:$C$1362,'Pinlist(S1)'!$F$4:$K$1362,""),_xlfn.LAMBDA(_xlpm.x,IF(_xlpm.x&lt;&gt;"",TRIM(CLEAN(LEFT(_xlpm.x,FIND(".",_xlpm.x &amp; ".")-1))),""))))))</f>
        <v>KA107</v>
      </c>
      <c r="D176">
        <v>15.913</v>
      </c>
      <c r="E176">
        <v>1.9510000000000001</v>
      </c>
      <c r="F176" t="str">
        <f>_xlfn.LET(_xlpm.raw,_xlfn.XLOOKUP(A176,'Pinlist(S1)'!$C$4:$C$1362,'Pinlist(S1)'!$E$4:$E$1362,""),_xlpm.cleanRaw,SUBSTITUTE(SUBSTITUTE(_xlpm.raw,"_PIN","."),"PIN","."),_xlpm.mainPart,MID(_xlpm.cleanRaw,2,FIND(".",_xlpm.cleanRaw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76" t="str">
        <f>_xlfn.LET(_xlpm.raw,_xlfn.XLOOKUP(A176,'Pinlist(S3)'!$C$4:$C$1362,'Pinlist(S3)'!$E$4:$E$1362,""),_xlpm.cleanRaw,SUBSTITUTE(SUBSTITUTE(_xlpm.raw,"_PIN","."),"PIN","."),_xlpm.mainPart,MID(_xlpm.cleanRaw,2,FIND(".",_xlpm.cleanRaw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76" t="str">
        <f>_xlfn.LET(_xlpm.raw,_xlfn.XLOOKUP(A176,'Pinlist(S5)'!$C$4:$C$1362,'Pinlist(S5)'!$E$4:$E$1362,""),_xlpm.cleanRaw,SUBSTITUTE(SUBSTITUTE(_xlpm.raw,"_PIN","."),"PIN","."),_xlpm.mainPart,MID(_xlpm.cleanRaw,2,FIND(".",_xlpm.cleanRaw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76" t="str">
        <f>""</f>
        <v/>
      </c>
      <c r="J176" t="str">
        <f t="shared" si="2"/>
        <v>D27;CSI2_DP_11;KA107;15.913;1.951;507090;806125;701089;</v>
      </c>
    </row>
    <row r="177" spans="1:10">
      <c r="A177" t="s">
        <v>160</v>
      </c>
      <c r="B177" t="str">
        <f>_xlfn.XLOOKUP(A177,'Pinlist(S1)'!$Q$4:$Q$1362,'Pinlist(S1)'!$R$4:$R$1362,"")</f>
        <v>CSI2_DP_9</v>
      </c>
      <c r="C177" t="str" cm="1">
        <f t="array" ref="C177">_xlfn.TEXTJOIN(",",TRUE,_xlfn.UNIQUE(TRANSPOSE(_xlfn.MAP(_xlfn.XLOOKUP(A177,'Pinlist(S1)'!$C$4:$C$1362,'Pinlist(S1)'!$F$4:$K$1362,""),_xlfn.LAMBDA(_xlpm.x,IF(_xlpm.x&lt;&gt;"",TRIM(CLEAN(LEFT(_xlpm.x,FIND(".",_xlpm.x &amp; ".")-1))),""))))))</f>
        <v>KA106</v>
      </c>
      <c r="D177">
        <v>16.475999999999999</v>
      </c>
      <c r="E177">
        <v>1.625</v>
      </c>
      <c r="F177" t="str">
        <f>_xlfn.LET(_xlpm.raw,_xlfn.XLOOKUP(A177,'Pinlist(S1)'!$C$4:$C$1362,'Pinlist(S1)'!$E$4:$E$1362,""),_xlpm.cleanRaw,SUBSTITUTE(SUBSTITUTE(_xlpm.raw,"_PIN","."),"PIN","."),_xlpm.mainPart,MID(_xlpm.cleanRaw,2,FIND(".",_xlpm.cleanRaw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77" t="str">
        <f>_xlfn.LET(_xlpm.raw,_xlfn.XLOOKUP(A177,'Pinlist(S3)'!$C$4:$C$1362,'Pinlist(S3)'!$E$4:$E$1362,""),_xlpm.cleanRaw,SUBSTITUTE(SUBSTITUTE(_xlpm.raw,"_PIN","."),"PIN","."),_xlpm.mainPart,MID(_xlpm.cleanRaw,2,FIND(".",_xlpm.cleanRaw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77" t="str">
        <f>_xlfn.LET(_xlpm.raw,_xlfn.XLOOKUP(A177,'Pinlist(S5)'!$C$4:$C$1362,'Pinlist(S5)'!$E$4:$E$1362,""),_xlpm.cleanRaw,SUBSTITUTE(SUBSTITUTE(_xlpm.raw,"_PIN","."),"PIN","."),_xlpm.mainPart,MID(_xlpm.cleanRaw,2,FIND(".",_xlpm.cleanRaw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77" t="str">
        <f>""</f>
        <v/>
      </c>
      <c r="J177" t="str">
        <f t="shared" si="2"/>
        <v>D28;CSI2_DP_9;KA106;16.476;1.625;504106;807023;603085;</v>
      </c>
    </row>
    <row r="178" spans="1:10">
      <c r="A178" t="s">
        <v>104</v>
      </c>
      <c r="B178" t="str">
        <f>_xlfn.XLOOKUP(A178,'Pinlist(S1)'!$Q$4:$Q$1362,'Pinlist(S1)'!$R$4:$R$1362,"")</f>
        <v>CSI2_CLKP_2</v>
      </c>
      <c r="C178" t="str" cm="1">
        <f t="array" ref="C178">_xlfn.TEXTJOIN(",",TRUE,_xlfn.UNIQUE(TRANSPOSE(_xlfn.MAP(_xlfn.XLOOKUP(A178,'Pinlist(S1)'!$C$4:$C$1362,'Pinlist(S1)'!$F$4:$K$1362,""),_xlfn.LAMBDA(_xlpm.x,IF(_xlpm.x&lt;&gt;"",TRIM(CLEAN(LEFT(_xlpm.x,FIND(".",_xlpm.x &amp; ".")-1))),""))))))</f>
        <v>KA103</v>
      </c>
      <c r="D178">
        <v>17.04</v>
      </c>
      <c r="E178">
        <v>1.9510000000000001</v>
      </c>
      <c r="F178" t="str">
        <f>_xlfn.LET(_xlpm.raw,_xlfn.XLOOKUP(A178,'Pinlist(S1)'!$C$4:$C$1362,'Pinlist(S1)'!$E$4:$E$1362,""),_xlpm.cleanRaw,SUBSTITUTE(SUBSTITUTE(_xlpm.raw,"_PIN","."),"PIN","."),_xlpm.mainPart,MID(_xlpm.cleanRaw,2,FIND(".",_xlpm.cleanRaw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78" t="str">
        <f>_xlfn.LET(_xlpm.raw,_xlfn.XLOOKUP(A178,'Pinlist(S3)'!$C$4:$C$1362,'Pinlist(S3)'!$E$4:$E$1362,""),_xlpm.cleanRaw,SUBSTITUTE(SUBSTITUTE(_xlpm.raw,"_PIN","."),"PIN","."),_xlpm.mainPart,MID(_xlpm.cleanRaw,2,FIND(".",_xlpm.cleanRaw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78" t="str">
        <f>_xlfn.LET(_xlpm.raw,_xlfn.XLOOKUP(A178,'Pinlist(S5)'!$C$4:$C$1362,'Pinlist(S5)'!$E$4:$E$1362,""),_xlpm.cleanRaw,SUBSTITUTE(SUBSTITUTE(_xlpm.raw,"_PIN","."),"PIN","."),_xlpm.mainPart,MID(_xlpm.cleanRaw,2,FIND(".",_xlpm.cleanRaw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78" t="str">
        <f>""</f>
        <v/>
      </c>
      <c r="J178" t="str">
        <f t="shared" si="2"/>
        <v>D29;CSI2_CLKP_2;KA103;17.04;1.951;505060;806128;701097;</v>
      </c>
    </row>
    <row r="179" spans="1:10">
      <c r="A179" t="s">
        <v>2122</v>
      </c>
      <c r="B179" t="str">
        <f>_xlfn.XLOOKUP(A179,'Pinlist(S1)'!$Q$4:$Q$1362,'Pinlist(S1)'!$R$4:$R$1362,"")</f>
        <v>VSS</v>
      </c>
      <c r="C179" t="str" cm="1">
        <f t="array" ref="C179">_xlfn.TEXTJOIN(",",TRUE,_xlfn.UNIQUE(TRANSPOSE(_xlfn.MAP(_xlfn.XLOOKUP(A179,'Pinlist(S1)'!$C$4:$C$1362,'Pinlist(S1)'!$F$4:$K$1362,""),_xlfn.LAMBDA(_xlpm.x,IF(_xlpm.x&lt;&gt;"",TRIM(CLEAN(LEFT(_xlpm.x,FIND(".",_xlpm.x &amp; ".")-1))),""))))))</f>
        <v/>
      </c>
      <c r="D179">
        <v>17.715</v>
      </c>
      <c r="E179">
        <v>1.9909999999999899</v>
      </c>
      <c r="F179" t="str">
        <f>_xlfn.LET(_xlpm.raw,_xlfn.XLOOKUP(A179,'Pinlist(S1)'!$C$4:$C$1362,'Pinlist(S1)'!$E$4:$E$1362,""),_xlpm.cleanRaw,SUBSTITUTE(SUBSTITUTE(_xlpm.raw,"_PIN","."),"PIN","."),_xlpm.mainPart,MID(_xlpm.cleanRaw,2,FIND(".",_xlpm.cleanRaw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9" t="str">
        <f>_xlfn.LET(_xlpm.raw,_xlfn.XLOOKUP(A179,'Pinlist(S3)'!$C$4:$C$1362,'Pinlist(S3)'!$E$4:$E$1362,""),_xlpm.cleanRaw,SUBSTITUTE(SUBSTITUTE(_xlpm.raw,"_PIN","."),"PIN","."),_xlpm.mainPart,MID(_xlpm.cleanRaw,2,FIND(".",_xlpm.cleanRaw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9" t="str">
        <f>_xlfn.LET(_xlpm.raw,_xlfn.XLOOKUP(A179,'Pinlist(S5)'!$C$4:$C$1362,'Pinlist(S5)'!$E$4:$E$1362,""),_xlpm.cleanRaw,SUBSTITUTE(SUBSTITUTE(_xlpm.raw,"_PIN","."),"PIN","."),_xlpm.mainPart,MID(_xlpm.cleanRaw,2,FIND(".",_xlpm.cleanRaw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9" t="str">
        <f>""</f>
        <v/>
      </c>
      <c r="J179" t="str">
        <f t="shared" si="2"/>
        <v>D30;VSS;;17.715;1.99099999999999;;;;</v>
      </c>
    </row>
    <row r="180" spans="1:10">
      <c r="A180" t="s">
        <v>150</v>
      </c>
      <c r="B180" t="str">
        <f>_xlfn.XLOOKUP(A180,'Pinlist(S1)'!$Q$4:$Q$1362,'Pinlist(S1)'!$R$4:$R$1362,"")</f>
        <v>CSI2_DP_4</v>
      </c>
      <c r="C180" t="str" cm="1">
        <f t="array" ref="C180">_xlfn.TEXTJOIN(",",TRUE,_xlfn.UNIQUE(TRANSPOSE(_xlfn.MAP(_xlfn.XLOOKUP(A180,'Pinlist(S1)'!$C$4:$C$1362,'Pinlist(S1)'!$F$4:$K$1362,""),_xlfn.LAMBDA(_xlpm.x,IF(_xlpm.x&lt;&gt;"",TRIM(CLEAN(LEFT(_xlpm.x,FIND(".",_xlpm.x &amp; ".")-1))),""))))))</f>
        <v>KA107</v>
      </c>
      <c r="D180">
        <v>18.390999999999998</v>
      </c>
      <c r="E180">
        <v>1.9510000000000001</v>
      </c>
      <c r="F180" t="str">
        <f>_xlfn.LET(_xlpm.raw,_xlfn.XLOOKUP(A180,'Pinlist(S1)'!$C$4:$C$1362,'Pinlist(S1)'!$E$4:$E$1362,""),_xlpm.cleanRaw,SUBSTITUTE(SUBSTITUTE(_xlpm.raw,"_PIN","."),"PIN","."),_xlpm.mainPart,MID(_xlpm.cleanRaw,2,FIND(".",_xlpm.cleanRaw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80" t="str">
        <f>_xlfn.LET(_xlpm.raw,_xlfn.XLOOKUP(A180,'Pinlist(S3)'!$C$4:$C$1362,'Pinlist(S3)'!$E$4:$E$1362,""),_xlpm.cleanRaw,SUBSTITUTE(SUBSTITUTE(_xlpm.raw,"_PIN","."),"PIN","."),_xlpm.mainPart,MID(_xlpm.cleanRaw,2,FIND(".",_xlpm.cleanRaw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80" t="str">
        <f>_xlfn.LET(_xlpm.raw,_xlfn.XLOOKUP(A180,'Pinlist(S5)'!$C$4:$C$1362,'Pinlist(S5)'!$E$4:$E$1362,""),_xlpm.cleanRaw,SUBSTITUTE(SUBSTITUTE(_xlpm.raw,"_PIN","."),"PIN","."),_xlpm.mainPart,MID(_xlpm.cleanRaw,2,FIND(".",_xlpm.cleanRaw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80" t="str">
        <f>""</f>
        <v/>
      </c>
      <c r="J180" t="str">
        <f t="shared" si="2"/>
        <v>D31;CSI2_DP_4;KA107;18.391;1.951;506021;807025;603107;</v>
      </c>
    </row>
    <row r="181" spans="1:10">
      <c r="A181" t="s">
        <v>102</v>
      </c>
      <c r="B181" t="str">
        <f>_xlfn.XLOOKUP(A181,'Pinlist(S1)'!$Q$4:$Q$1362,'Pinlist(S1)'!$R$4:$R$1362,"")</f>
        <v>CSI2_CLKP_1</v>
      </c>
      <c r="C181" t="str" cm="1">
        <f t="array" ref="C181">_xlfn.TEXTJOIN(",",TRUE,_xlfn.UNIQUE(TRANSPOSE(_xlfn.MAP(_xlfn.XLOOKUP(A181,'Pinlist(S1)'!$C$4:$C$1362,'Pinlist(S1)'!$F$4:$K$1362,""),_xlfn.LAMBDA(_xlpm.x,IF(_xlpm.x&lt;&gt;"",TRIM(CLEAN(LEFT(_xlpm.x,FIND(".",_xlpm.x &amp; ".")-1))),""))))))</f>
        <v>KA103</v>
      </c>
      <c r="D181">
        <v>18.954000000000001</v>
      </c>
      <c r="E181">
        <v>1.625</v>
      </c>
      <c r="F181" t="str">
        <f>_xlfn.LET(_xlpm.raw,_xlfn.XLOOKUP(A181,'Pinlist(S1)'!$C$4:$C$1362,'Pinlist(S1)'!$E$4:$E$1362,""),_xlpm.cleanRaw,SUBSTITUTE(SUBSTITUTE(_xlpm.raw,"_PIN","."),"PIN","."),_xlpm.mainPart,MID(_xlpm.cleanRaw,2,FIND(".",_xlpm.cleanRaw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81" t="str">
        <f>_xlfn.LET(_xlpm.raw,_xlfn.XLOOKUP(A181,'Pinlist(S3)'!$C$4:$C$1362,'Pinlist(S3)'!$E$4:$E$1362,""),_xlpm.cleanRaw,SUBSTITUTE(SUBSTITUTE(_xlpm.raw,"_PIN","."),"PIN","."),_xlpm.mainPart,MID(_xlpm.cleanRaw,2,FIND(".",_xlpm.cleanRaw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81" t="str">
        <f>_xlfn.LET(_xlpm.raw,_xlfn.XLOOKUP(A181,'Pinlist(S5)'!$C$4:$C$1362,'Pinlist(S5)'!$E$4:$E$1362,""),_xlpm.cleanRaw,SUBSTITUTE(SUBSTITUTE(_xlpm.raw,"_PIN","."),"PIN","."),_xlpm.mainPart,MID(_xlpm.cleanRaw,2,FIND(".",_xlpm.cleanRaw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81" t="str">
        <f>""</f>
        <v/>
      </c>
      <c r="J181" t="str">
        <f t="shared" si="2"/>
        <v>D32;CSI2_CLKP_1;KA103;18.954;1.625;505060;806128;701097;</v>
      </c>
    </row>
    <row r="182" spans="1:10">
      <c r="A182" t="s">
        <v>152</v>
      </c>
      <c r="B182" t="str">
        <f>_xlfn.XLOOKUP(A182,'Pinlist(S1)'!$Q$4:$Q$1362,'Pinlist(S1)'!$R$4:$R$1362,"")</f>
        <v>CSI2_DP_5</v>
      </c>
      <c r="C182" t="str" cm="1">
        <f t="array" ref="C182">_xlfn.TEXTJOIN(",",TRUE,_xlfn.UNIQUE(TRANSPOSE(_xlfn.MAP(_xlfn.XLOOKUP(A182,'Pinlist(S1)'!$C$4:$C$1362,'Pinlist(S1)'!$F$4:$K$1362,""),_xlfn.LAMBDA(_xlpm.x,IF(_xlpm.x&lt;&gt;"",TRIM(CLEAN(LEFT(_xlpm.x,FIND(".",_xlpm.x &amp; ".")-1))),""))))))</f>
        <v>KA106</v>
      </c>
      <c r="D182">
        <v>19.518000000000001</v>
      </c>
      <c r="E182">
        <v>1.9510000000000001</v>
      </c>
      <c r="F182" t="str">
        <f>_xlfn.LET(_xlpm.raw,_xlfn.XLOOKUP(A182,'Pinlist(S1)'!$C$4:$C$1362,'Pinlist(S1)'!$E$4:$E$1362,""),_xlpm.cleanRaw,SUBSTITUTE(SUBSTITUTE(_xlpm.raw,"_PIN","."),"PIN","."),_xlpm.mainPart,MID(_xlpm.cleanRaw,2,FIND(".",_xlpm.cleanRaw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82" t="str">
        <f>_xlfn.LET(_xlpm.raw,_xlfn.XLOOKUP(A182,'Pinlist(S3)'!$C$4:$C$1362,'Pinlist(S3)'!$E$4:$E$1362,""),_xlpm.cleanRaw,SUBSTITUTE(SUBSTITUTE(_xlpm.raw,"_PIN","."),"PIN","."),_xlpm.mainPart,MID(_xlpm.cleanRaw,2,FIND(".",_xlpm.cleanRaw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82" t="str">
        <f>_xlfn.LET(_xlpm.raw,_xlfn.XLOOKUP(A182,'Pinlist(S5)'!$C$4:$C$1362,'Pinlist(S5)'!$E$4:$E$1362,""),_xlpm.cleanRaw,SUBSTITUTE(SUBSTITUTE(_xlpm.raw,"_PIN","."),"PIN","."),_xlpm.mainPart,MID(_xlpm.cleanRaw,2,FIND(".",_xlpm.cleanRaw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82" t="str">
        <f>""</f>
        <v/>
      </c>
      <c r="J182" t="str">
        <f t="shared" si="2"/>
        <v>D33;CSI2_DP_5;KA106;19.518;1.951;504106;807023;603085;</v>
      </c>
    </row>
    <row r="183" spans="1:10">
      <c r="A183" t="s">
        <v>2123</v>
      </c>
      <c r="B183" t="str">
        <f>_xlfn.XLOOKUP(A183,'Pinlist(S1)'!$Q$4:$Q$1362,'Pinlist(S1)'!$R$4:$R$1362,"")</f>
        <v>VSS</v>
      </c>
      <c r="C183" t="str" cm="1">
        <f t="array" ref="C183">_xlfn.TEXTJOIN(",",TRUE,_xlfn.UNIQUE(TRANSPOSE(_xlfn.MAP(_xlfn.XLOOKUP(A183,'Pinlist(S1)'!$C$4:$C$1362,'Pinlist(S1)'!$F$4:$K$1362,""),_xlfn.LAMBDA(_xlpm.x,IF(_xlpm.x&lt;&gt;"",TRIM(CLEAN(LEFT(_xlpm.x,FIND(".",_xlpm.x &amp; ".")-1))),""))))))</f>
        <v/>
      </c>
      <c r="D183">
        <v>20.193000000000001</v>
      </c>
      <c r="E183">
        <v>1.9909999999999899</v>
      </c>
      <c r="F183" t="str">
        <f>_xlfn.LET(_xlpm.raw,_xlfn.XLOOKUP(A183,'Pinlist(S1)'!$C$4:$C$1362,'Pinlist(S1)'!$E$4:$E$1362,""),_xlpm.cleanRaw,SUBSTITUTE(SUBSTITUTE(_xlpm.raw,"_PIN","."),"PIN","."),_xlpm.mainPart,MID(_xlpm.cleanRaw,2,FIND(".",_xlpm.cleanRaw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3" t="str">
        <f>_xlfn.LET(_xlpm.raw,_xlfn.XLOOKUP(A183,'Pinlist(S3)'!$C$4:$C$1362,'Pinlist(S3)'!$E$4:$E$1362,""),_xlpm.cleanRaw,SUBSTITUTE(SUBSTITUTE(_xlpm.raw,"_PIN","."),"PIN","."),_xlpm.mainPart,MID(_xlpm.cleanRaw,2,FIND(".",_xlpm.cleanRaw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3" t="str">
        <f>_xlfn.LET(_xlpm.raw,_xlfn.XLOOKUP(A183,'Pinlist(S5)'!$C$4:$C$1362,'Pinlist(S5)'!$E$4:$E$1362,""),_xlpm.cleanRaw,SUBSTITUTE(SUBSTITUTE(_xlpm.raw,"_PIN","."),"PIN","."),_xlpm.mainPart,MID(_xlpm.cleanRaw,2,FIND(".",_xlpm.cleanRaw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83" t="str">
        <f>""</f>
        <v/>
      </c>
      <c r="J183" t="str">
        <f t="shared" si="2"/>
        <v>D34;VSS;;20.193;1.99099999999999;;;;</v>
      </c>
    </row>
    <row r="184" spans="1:10">
      <c r="A184" t="s">
        <v>146</v>
      </c>
      <c r="B184" t="str">
        <f>_xlfn.XLOOKUP(A184,'Pinlist(S1)'!$Q$4:$Q$1362,'Pinlist(S1)'!$R$4:$R$1362,"")</f>
        <v>CSI2_DP_2</v>
      </c>
      <c r="C184" t="str" cm="1">
        <f t="array" ref="C184">_xlfn.TEXTJOIN(",",TRUE,_xlfn.UNIQUE(TRANSPOSE(_xlfn.MAP(_xlfn.XLOOKUP(A184,'Pinlist(S1)'!$C$4:$C$1362,'Pinlist(S1)'!$F$4:$K$1362,""),_xlfn.LAMBDA(_xlpm.x,IF(_xlpm.x&lt;&gt;"",TRIM(CLEAN(LEFT(_xlpm.x,FIND(".",_xlpm.x &amp; ".")-1))),""))))))</f>
        <v>KA106</v>
      </c>
      <c r="D184">
        <v>20.869</v>
      </c>
      <c r="E184">
        <v>1.9510000000000001</v>
      </c>
      <c r="F184" t="str">
        <f>_xlfn.LET(_xlpm.raw,_xlfn.XLOOKUP(A184,'Pinlist(S1)'!$C$4:$C$1362,'Pinlist(S1)'!$E$4:$E$1362,""),_xlpm.cleanRaw,SUBSTITUTE(SUBSTITUTE(_xlpm.raw,"_PIN","."),"PIN","."),_xlpm.mainPart,MID(_xlpm.cleanRaw,2,FIND(".",_xlpm.cleanRaw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184" t="str">
        <f>_xlfn.LET(_xlpm.raw,_xlfn.XLOOKUP(A184,'Pinlist(S3)'!$C$4:$C$1362,'Pinlist(S3)'!$E$4:$E$1362,""),_xlpm.cleanRaw,SUBSTITUTE(SUBSTITUTE(_xlpm.raw,"_PIN","."),"PIN","."),_xlpm.mainPart,MID(_xlpm.cleanRaw,2,FIND(".",_xlpm.cleanRaw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184" t="str">
        <f>_xlfn.LET(_xlpm.raw,_xlfn.XLOOKUP(A184,'Pinlist(S5)'!$C$4:$C$1362,'Pinlist(S5)'!$E$4:$E$1362,""),_xlpm.cleanRaw,SUBSTITUTE(SUBSTITUTE(_xlpm.raw,"_PIN","."),"PIN","."),_xlpm.mainPart,MID(_xlpm.cleanRaw,2,FIND(".",_xlpm.cleanRaw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184" t="str">
        <f>""</f>
        <v/>
      </c>
      <c r="J184" t="str">
        <f t="shared" si="2"/>
        <v>D36;CSI2_DP_2;KA106;20.869;1.951;505073;805084;702067;</v>
      </c>
    </row>
    <row r="185" spans="1:10">
      <c r="A185" t="s">
        <v>99</v>
      </c>
      <c r="B185" t="str">
        <f>_xlfn.XLOOKUP(A185,'Pinlist(S1)'!$Q$4:$Q$1362,'Pinlist(S1)'!$R$4:$R$1362,"")</f>
        <v>CSI2_CLKP_0</v>
      </c>
      <c r="C185" t="str" cm="1">
        <f t="array" ref="C185">_xlfn.TEXTJOIN(",",TRUE,_xlfn.UNIQUE(TRANSPOSE(_xlfn.MAP(_xlfn.XLOOKUP(A185,'Pinlist(S1)'!$C$4:$C$1362,'Pinlist(S1)'!$F$4:$K$1362,""),_xlfn.LAMBDA(_xlpm.x,IF(_xlpm.x&lt;&gt;"",TRIM(CLEAN(LEFT(_xlpm.x,FIND(".",_xlpm.x &amp; ".")-1))),""))))))</f>
        <v>KA103</v>
      </c>
      <c r="D185">
        <v>21.431999999999999</v>
      </c>
      <c r="E185">
        <v>1.625</v>
      </c>
      <c r="F185" t="str">
        <f>_xlfn.LET(_xlpm.raw,_xlfn.XLOOKUP(A185,'Pinlist(S1)'!$C$4:$C$1362,'Pinlist(S1)'!$E$4:$E$1362,""),_xlpm.cleanRaw,SUBSTITUTE(SUBSTITUTE(_xlpm.raw,"_PIN","."),"PIN","."),_xlpm.mainPart,MID(_xlpm.cleanRaw,2,FIND(".",_xlpm.cleanRaw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85" t="str">
        <f>_xlfn.LET(_xlpm.raw,_xlfn.XLOOKUP(A185,'Pinlist(S3)'!$C$4:$C$1362,'Pinlist(S3)'!$E$4:$E$1362,""),_xlpm.cleanRaw,SUBSTITUTE(SUBSTITUTE(_xlpm.raw,"_PIN","."),"PIN","."),_xlpm.mainPart,MID(_xlpm.cleanRaw,2,FIND(".",_xlpm.cleanRaw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85" t="str">
        <f>_xlfn.LET(_xlpm.raw,_xlfn.XLOOKUP(A185,'Pinlist(S5)'!$C$4:$C$1362,'Pinlist(S5)'!$E$4:$E$1362,""),_xlpm.cleanRaw,SUBSTITUTE(SUBSTITUTE(_xlpm.raw,"_PIN","."),"PIN","."),_xlpm.mainPart,MID(_xlpm.cleanRaw,2,FIND(".",_xlpm.cleanRaw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85" t="str">
        <f>""</f>
        <v/>
      </c>
      <c r="J185" t="str">
        <f t="shared" si="2"/>
        <v>D37;CSI2_CLKP_0;KA103;21.432;1.625;505060;806128;701097;</v>
      </c>
    </row>
    <row r="186" spans="1:10">
      <c r="A186" t="s">
        <v>140</v>
      </c>
      <c r="B186" t="str">
        <f>_xlfn.XLOOKUP(A186,'Pinlist(S1)'!$Q$4:$Q$1362,'Pinlist(S1)'!$R$4:$R$1362,"")</f>
        <v>CSI2_DP_1</v>
      </c>
      <c r="C186" t="str" cm="1">
        <f t="array" ref="C186">_xlfn.TEXTJOIN(",",TRUE,_xlfn.UNIQUE(TRANSPOSE(_xlfn.MAP(_xlfn.XLOOKUP(A186,'Pinlist(S1)'!$C$4:$C$1362,'Pinlist(S1)'!$F$4:$K$1362,""),_xlfn.LAMBDA(_xlpm.x,IF(_xlpm.x&lt;&gt;"",TRIM(CLEAN(LEFT(_xlpm.x,FIND(".",_xlpm.x &amp; ".")-1))),""))))))</f>
        <v>KA106</v>
      </c>
      <c r="D186">
        <v>21.995999999999999</v>
      </c>
      <c r="E186">
        <v>1.9510000000000001</v>
      </c>
      <c r="F186" t="str">
        <f>_xlfn.LET(_xlpm.raw,_xlfn.XLOOKUP(A186,'Pinlist(S1)'!$C$4:$C$1362,'Pinlist(S1)'!$E$4:$E$1362,""),_xlpm.cleanRaw,SUBSTITUTE(SUBSTITUTE(_xlpm.raw,"_PIN","."),"PIN","."),_xlpm.mainPart,MID(_xlpm.cleanRaw,2,FIND(".",_xlpm.cleanRaw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86" t="str">
        <f>_xlfn.LET(_xlpm.raw,_xlfn.XLOOKUP(A186,'Pinlist(S3)'!$C$4:$C$1362,'Pinlist(S3)'!$E$4:$E$1362,""),_xlpm.cleanRaw,SUBSTITUTE(SUBSTITUTE(_xlpm.raw,"_PIN","."),"PIN","."),_xlpm.mainPart,MID(_xlpm.cleanRaw,2,FIND(".",_xlpm.cleanRaw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86" t="str">
        <f>_xlfn.LET(_xlpm.raw,_xlfn.XLOOKUP(A186,'Pinlist(S5)'!$C$4:$C$1362,'Pinlist(S5)'!$E$4:$E$1362,""),_xlpm.cleanRaw,SUBSTITUTE(SUBSTITUTE(_xlpm.raw,"_PIN","."),"PIN","."),_xlpm.mainPart,MID(_xlpm.cleanRaw,2,FIND(".",_xlpm.cleanRaw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86" t="str">
        <f>""</f>
        <v/>
      </c>
      <c r="J186" t="str">
        <f t="shared" si="2"/>
        <v>D38;CSI2_DP_1;KA106;21.996;1.951;504106;807023;603085;</v>
      </c>
    </row>
    <row r="187" spans="1:10">
      <c r="A187" t="s">
        <v>2124</v>
      </c>
      <c r="B187" t="str">
        <f>_xlfn.XLOOKUP(A187,'Pinlist(S1)'!$Q$4:$Q$1362,'Pinlist(S1)'!$R$4:$R$1362,"")</f>
        <v>VSS</v>
      </c>
      <c r="C187" t="str" cm="1">
        <f t="array" ref="C187">_xlfn.TEXTJOIN(",",TRUE,_xlfn.UNIQUE(TRANSPOSE(_xlfn.MAP(_xlfn.XLOOKUP(A187,'Pinlist(S1)'!$C$4:$C$1362,'Pinlist(S1)'!$F$4:$K$1362,""),_xlfn.LAMBDA(_xlpm.x,IF(_xlpm.x&lt;&gt;"",TRIM(CLEAN(LEFT(_xlpm.x,FIND(".",_xlpm.x &amp; ".")-1))),""))))))</f>
        <v/>
      </c>
      <c r="D187">
        <v>22.670999999999999</v>
      </c>
      <c r="E187">
        <v>1.9909999999999899</v>
      </c>
      <c r="F187" t="str">
        <f>_xlfn.LET(_xlpm.raw,_xlfn.XLOOKUP(A187,'Pinlist(S1)'!$C$4:$C$1362,'Pinlist(S1)'!$E$4:$E$1362,""),_xlpm.cleanRaw,SUBSTITUTE(SUBSTITUTE(_xlpm.raw,"_PIN","."),"PIN","."),_xlpm.mainPart,MID(_xlpm.cleanRaw,2,FIND(".",_xlpm.cleanRaw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7" t="str">
        <f>_xlfn.LET(_xlpm.raw,_xlfn.XLOOKUP(A187,'Pinlist(S3)'!$C$4:$C$1362,'Pinlist(S3)'!$E$4:$E$1362,""),_xlpm.cleanRaw,SUBSTITUTE(SUBSTITUTE(_xlpm.raw,"_PIN","."),"PIN","."),_xlpm.mainPart,MID(_xlpm.cleanRaw,2,FIND(".",_xlpm.cleanRaw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7" t="str">
        <f>_xlfn.LET(_xlpm.raw,_xlfn.XLOOKUP(A187,'Pinlist(S5)'!$C$4:$C$1362,'Pinlist(S5)'!$E$4:$E$1362,""),_xlpm.cleanRaw,SUBSTITUTE(SUBSTITUTE(_xlpm.raw,"_PIN","."),"PIN","."),_xlpm.mainPart,MID(_xlpm.cleanRaw,2,FIND(".",_xlpm.cleanRaw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87" t="str">
        <f>""</f>
        <v/>
      </c>
      <c r="J187" t="str">
        <f t="shared" si="2"/>
        <v>D39;VSS;;22.671;1.99099999999999;;;;</v>
      </c>
    </row>
    <row r="188" spans="1:10">
      <c r="A188" t="s">
        <v>44</v>
      </c>
      <c r="B188" t="str">
        <f>_xlfn.XLOOKUP(A188,'Pinlist(S1)'!$Q$4:$Q$1362,'Pinlist(S1)'!$R$4:$R$1362,"")</f>
        <v>CLKOUT_SRC_N_3</v>
      </c>
      <c r="C188" t="str" cm="1">
        <f t="array" ref="C188">_xlfn.TEXTJOIN(",",TRUE,_xlfn.UNIQUE(TRANSPOSE(_xlfn.MAP(_xlfn.XLOOKUP(A188,'Pinlist(S1)'!$C$4:$C$1362,'Pinlist(S1)'!$F$4:$K$1362,""),_xlfn.LAMBDA(_xlpm.x,IF(_xlpm.x&lt;&gt;"",TRIM(CLEAN(LEFT(_xlpm.x,FIND(".",_xlpm.x &amp; ".")-1))),""))))))</f>
        <v>TPA103,KA102</v>
      </c>
      <c r="D188">
        <v>23.347000000000001</v>
      </c>
      <c r="E188">
        <v>1.9510000000000001</v>
      </c>
      <c r="F188" t="str">
        <f>_xlfn.LET(_xlpm.raw,_xlfn.XLOOKUP(A188,'Pinlist(S1)'!$C$4:$C$1362,'Pinlist(S1)'!$E$4:$E$1362,""),_xlpm.cleanRaw,SUBSTITUTE(SUBSTITUTE(_xlpm.raw,"_PIN","."),"PIN","."),_xlpm.mainPart,MID(_xlpm.cleanRaw,2,FIND(".",_xlpm.cleanRaw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88" t="str">
        <f>_xlfn.LET(_xlpm.raw,_xlfn.XLOOKUP(A188,'Pinlist(S3)'!$C$4:$C$1362,'Pinlist(S3)'!$E$4:$E$1362,""),_xlpm.cleanRaw,SUBSTITUTE(SUBSTITUTE(_xlpm.raw,"_PIN","."),"PIN","."),_xlpm.mainPart,MID(_xlpm.cleanRaw,2,FIND(".",_xlpm.cleanRaw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88" t="str">
        <f>_xlfn.LET(_xlpm.raw,_xlfn.XLOOKUP(A188,'Pinlist(S5)'!$C$4:$C$1362,'Pinlist(S5)'!$E$4:$E$1362,""),_xlpm.cleanRaw,SUBSTITUTE(SUBSTITUTE(_xlpm.raw,"_PIN","."),"PIN","."),_xlpm.mainPart,MID(_xlpm.cleanRaw,2,FIND(".",_xlpm.cleanRaw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88" t="str">
        <f>""</f>
        <v/>
      </c>
      <c r="J188" t="str">
        <f t="shared" si="2"/>
        <v>D40;CLKOUT_SRC_N_3;TPA103,KA102;23.347;1.951;505075;805077;702082;</v>
      </c>
    </row>
    <row r="189" spans="1:10">
      <c r="A189" t="s">
        <v>42</v>
      </c>
      <c r="B189" t="str">
        <f>_xlfn.XLOOKUP(A189,'Pinlist(S1)'!$Q$4:$Q$1362,'Pinlist(S1)'!$R$4:$R$1362,"")</f>
        <v>CLKOUT_SRC_N_2</v>
      </c>
      <c r="C189" t="str" cm="1">
        <f t="array" ref="C189">_xlfn.TEXTJOIN(",",TRUE,_xlfn.UNIQUE(TRANSPOSE(_xlfn.MAP(_xlfn.XLOOKUP(A189,'Pinlist(S1)'!$C$4:$C$1362,'Pinlist(S1)'!$F$4:$K$1362,""),_xlfn.LAMBDA(_xlpm.x,IF(_xlpm.x&lt;&gt;"",TRIM(CLEAN(LEFT(_xlpm.x,FIND(".",_xlpm.x &amp; ".")-1))),""))))))</f>
        <v>TPA103,KA102</v>
      </c>
      <c r="D189">
        <v>23.91</v>
      </c>
      <c r="E189">
        <v>1.625</v>
      </c>
      <c r="F189" t="str">
        <f>_xlfn.LET(_xlpm.raw,_xlfn.XLOOKUP(A189,'Pinlist(S1)'!$C$4:$C$1362,'Pinlist(S1)'!$E$4:$E$1362,""),_xlpm.cleanRaw,SUBSTITUTE(SUBSTITUTE(_xlpm.raw,"_PIN","."),"PIN","."),_xlpm.mainPart,MID(_xlpm.cleanRaw,2,FIND(".",_xlpm.cleanRaw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89" t="str">
        <f>_xlfn.LET(_xlpm.raw,_xlfn.XLOOKUP(A189,'Pinlist(S3)'!$C$4:$C$1362,'Pinlist(S3)'!$E$4:$E$1362,""),_xlpm.cleanRaw,SUBSTITUTE(SUBSTITUTE(_xlpm.raw,"_PIN","."),"PIN","."),_xlpm.mainPart,MID(_xlpm.cleanRaw,2,FIND(".",_xlpm.cleanRaw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89" t="str">
        <f>_xlfn.LET(_xlpm.raw,_xlfn.XLOOKUP(A189,'Pinlist(S5)'!$C$4:$C$1362,'Pinlist(S5)'!$E$4:$E$1362,""),_xlpm.cleanRaw,SUBSTITUTE(SUBSTITUTE(_xlpm.raw,"_PIN","."),"PIN","."),_xlpm.mainPart,MID(_xlpm.cleanRaw,2,FIND(".",_xlpm.cleanRaw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89" t="str">
        <f>""</f>
        <v/>
      </c>
      <c r="J189" t="str">
        <f t="shared" si="2"/>
        <v>D41;CLKOUT_SRC_N_2;TPA103,KA102;23.91;1.625;505075;805077;702082;</v>
      </c>
    </row>
    <row r="190" spans="1:10">
      <c r="A190" t="s">
        <v>37</v>
      </c>
      <c r="B190" t="str">
        <f>_xlfn.XLOOKUP(A190,'Pinlist(S1)'!$Q$4:$Q$1362,'Pinlist(S1)'!$R$4:$R$1362,"")</f>
        <v>CLKOUT_SRC_N_0</v>
      </c>
      <c r="C190" t="str" cm="1">
        <f t="array" ref="C190">_xlfn.TEXTJOIN(",",TRUE,_xlfn.UNIQUE(TRANSPOSE(_xlfn.MAP(_xlfn.XLOOKUP(A190,'Pinlist(S1)'!$C$4:$C$1362,'Pinlist(S1)'!$F$4:$K$1362,""),_xlfn.LAMBDA(_xlpm.x,IF(_xlpm.x&lt;&gt;"",TRIM(CLEAN(LEFT(_xlpm.x,FIND(".",_xlpm.x &amp; ".")-1))),""))))))</f>
        <v>TPA103,KA102</v>
      </c>
      <c r="D190">
        <v>24.474</v>
      </c>
      <c r="E190">
        <v>1.9510000000000001</v>
      </c>
      <c r="F190" t="str">
        <f>_xlfn.LET(_xlpm.raw,_xlfn.XLOOKUP(A190,'Pinlist(S1)'!$C$4:$C$1362,'Pinlist(S1)'!$E$4:$E$1362,""),_xlpm.cleanRaw,SUBSTITUTE(SUBSTITUTE(_xlpm.raw,"_PIN","."),"PIN","."),_xlpm.mainPart,MID(_xlpm.cleanRaw,2,FIND(".",_xlpm.cleanRaw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90" t="str">
        <f>_xlfn.LET(_xlpm.raw,_xlfn.XLOOKUP(A190,'Pinlist(S3)'!$C$4:$C$1362,'Pinlist(S3)'!$E$4:$E$1362,""),_xlpm.cleanRaw,SUBSTITUTE(SUBSTITUTE(_xlpm.raw,"_PIN","."),"PIN","."),_xlpm.mainPart,MID(_xlpm.cleanRaw,2,FIND(".",_xlpm.cleanRaw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90" t="str">
        <f>_xlfn.LET(_xlpm.raw,_xlfn.XLOOKUP(A190,'Pinlist(S5)'!$C$4:$C$1362,'Pinlist(S5)'!$E$4:$E$1362,""),_xlpm.cleanRaw,SUBSTITUTE(SUBSTITUTE(_xlpm.raw,"_PIN","."),"PIN","."),_xlpm.mainPart,MID(_xlpm.cleanRaw,2,FIND(".",_xlpm.cleanRaw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90" t="str">
        <f>""</f>
        <v/>
      </c>
      <c r="J190" t="str">
        <f t="shared" si="2"/>
        <v>D42;CLKOUT_SRC_N_0;TPA103,KA102;24.474;1.951;505075;805077;702082;</v>
      </c>
    </row>
    <row r="191" spans="1:10">
      <c r="A191" t="s">
        <v>2125</v>
      </c>
      <c r="B191" t="str">
        <f>_xlfn.XLOOKUP(A191,'Pinlist(S1)'!$Q$4:$Q$1362,'Pinlist(S1)'!$R$4:$R$1362,"")</f>
        <v>VSS</v>
      </c>
      <c r="C191" t="str" cm="1">
        <f t="array" ref="C191">_xlfn.TEXTJOIN(",",TRUE,_xlfn.UNIQUE(TRANSPOSE(_xlfn.MAP(_xlfn.XLOOKUP(A191,'Pinlist(S1)'!$C$4:$C$1362,'Pinlist(S1)'!$F$4:$K$1362,""),_xlfn.LAMBDA(_xlpm.x,IF(_xlpm.x&lt;&gt;"",TRIM(CLEAN(LEFT(_xlpm.x,FIND(".",_xlpm.x &amp; ".")-1))),""))))))</f>
        <v/>
      </c>
      <c r="D191">
        <v>25.149000000000001</v>
      </c>
      <c r="E191">
        <v>1.9909999999999899</v>
      </c>
      <c r="F191" t="str">
        <f>_xlfn.LET(_xlpm.raw,_xlfn.XLOOKUP(A191,'Pinlist(S1)'!$C$4:$C$1362,'Pinlist(S1)'!$E$4:$E$1362,""),_xlpm.cleanRaw,SUBSTITUTE(SUBSTITUTE(_xlpm.raw,"_PIN","."),"PIN","."),_xlpm.mainPart,MID(_xlpm.cleanRaw,2,FIND(".",_xlpm.cleanRaw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1" t="str">
        <f>_xlfn.LET(_xlpm.raw,_xlfn.XLOOKUP(A191,'Pinlist(S3)'!$C$4:$C$1362,'Pinlist(S3)'!$E$4:$E$1362,""),_xlpm.cleanRaw,SUBSTITUTE(SUBSTITUTE(_xlpm.raw,"_PIN","."),"PIN","."),_xlpm.mainPart,MID(_xlpm.cleanRaw,2,FIND(".",_xlpm.cleanRaw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1" t="str">
        <f>_xlfn.LET(_xlpm.raw,_xlfn.XLOOKUP(A191,'Pinlist(S5)'!$C$4:$C$1362,'Pinlist(S5)'!$E$4:$E$1362,""),_xlpm.cleanRaw,SUBSTITUTE(SUBSTITUTE(_xlpm.raw,"_PIN","."),"PIN","."),_xlpm.mainPart,MID(_xlpm.cleanRaw,2,FIND(".",_xlpm.cleanRaw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1" t="str">
        <f>""</f>
        <v/>
      </c>
      <c r="J191" t="str">
        <f t="shared" si="2"/>
        <v>D44;VSS;;25.149;1.99099999999999;;;;</v>
      </c>
    </row>
    <row r="192" spans="1:10">
      <c r="A192" t="s">
        <v>2126</v>
      </c>
      <c r="B192" t="str">
        <f>_xlfn.XLOOKUP(A192,'Pinlist(S1)'!$Q$4:$Q$1362,'Pinlist(S1)'!$R$4:$R$1362,"")</f>
        <v>VSS</v>
      </c>
      <c r="C192" t="str" cm="1">
        <f t="array" ref="C192">_xlfn.TEXTJOIN(",",TRUE,_xlfn.UNIQUE(TRANSPOSE(_xlfn.MAP(_xlfn.XLOOKUP(A192,'Pinlist(S1)'!$C$4:$C$1362,'Pinlist(S1)'!$F$4:$K$1362,""),_xlfn.LAMBDA(_xlpm.x,IF(_xlpm.x&lt;&gt;"",TRIM(CLEAN(LEFT(_xlpm.x,FIND(".",_xlpm.x &amp; ".")-1))),""))))))</f>
        <v/>
      </c>
      <c r="D192">
        <v>25.824999999999999</v>
      </c>
      <c r="E192">
        <v>1.9510000000000001</v>
      </c>
      <c r="F192" t="str">
        <f>_xlfn.LET(_xlpm.raw,_xlfn.XLOOKUP(A192,'Pinlist(S1)'!$C$4:$C$1362,'Pinlist(S1)'!$E$4:$E$1362,""),_xlpm.cleanRaw,SUBSTITUTE(SUBSTITUTE(_xlpm.raw,"_PIN","."),"PIN","."),_xlpm.mainPart,MID(_xlpm.cleanRaw,2,FIND(".",_xlpm.cleanRaw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2" t="str">
        <f>_xlfn.LET(_xlpm.raw,_xlfn.XLOOKUP(A192,'Pinlist(S3)'!$C$4:$C$1362,'Pinlist(S3)'!$E$4:$E$1362,""),_xlpm.cleanRaw,SUBSTITUTE(SUBSTITUTE(_xlpm.raw,"_PIN","."),"PIN","."),_xlpm.mainPart,MID(_xlpm.cleanRaw,2,FIND(".",_xlpm.cleanRaw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2" t="str">
        <f>_xlfn.LET(_xlpm.raw,_xlfn.XLOOKUP(A192,'Pinlist(S5)'!$C$4:$C$1362,'Pinlist(S5)'!$E$4:$E$1362,""),_xlpm.cleanRaw,SUBSTITUTE(SUBSTITUTE(_xlpm.raw,"_PIN","."),"PIN","."),_xlpm.mainPart,MID(_xlpm.cleanRaw,2,FIND(".",_xlpm.cleanRaw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2" t="str">
        <f>""</f>
        <v/>
      </c>
      <c r="J192" t="str">
        <f t="shared" si="2"/>
        <v>D45;VSS;;25.825;1.951;;;;</v>
      </c>
    </row>
    <row r="193" spans="1:10">
      <c r="A193" t="s">
        <v>728</v>
      </c>
      <c r="B193" t="str">
        <f>_xlfn.XLOOKUP(A193,'Pinlist(S1)'!$Q$4:$Q$1362,'Pinlist(S1)'!$R$4:$R$1362,"")</f>
        <v>EDP_TXN[1]</v>
      </c>
      <c r="C193" t="str" cm="1">
        <f t="array" ref="C193">_xlfn.TEXTJOIN(",",TRUE,_xlfn.UNIQUE(TRANSPOSE(_xlfn.MAP(_xlfn.XLOOKUP(A193,'Pinlist(S1)'!$C$4:$C$1362,'Pinlist(S1)'!$F$4:$K$1362,""),_xlfn.LAMBDA(_xlpm.x,IF(_xlpm.x&lt;&gt;"",TRIM(CLEAN(LEFT(_xlpm.x,FIND(".",_xlpm.x &amp; ".")-1))),""))))))</f>
        <v/>
      </c>
      <c r="D193">
        <v>26.387999999999899</v>
      </c>
      <c r="E193">
        <v>1.625</v>
      </c>
      <c r="F193" t="str">
        <f>_xlfn.LET(_xlpm.raw,_xlfn.XLOOKUP(A193,'Pinlist(S1)'!$C$4:$C$1362,'Pinlist(S1)'!$E$4:$E$1362,""),_xlpm.cleanRaw,SUBSTITUTE(SUBSTITUTE(_xlpm.raw,"_PIN","."),"PIN","."),_xlpm.mainPart,MID(_xlpm.cleanRaw,2,FIND(".",_xlpm.cleanRaw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608076</v>
      </c>
      <c r="G193" t="str">
        <f>_xlfn.LET(_xlpm.raw,_xlfn.XLOOKUP(A193,'Pinlist(S3)'!$C$4:$C$1362,'Pinlist(S3)'!$E$4:$E$1362,""),_xlpm.cleanRaw,SUBSTITUTE(SUBSTITUTE(_xlpm.raw,"_PIN","."),"PIN","."),_xlpm.mainPart,MID(_xlpm.cleanRaw,2,FIND(".",_xlpm.cleanRaw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502078</v>
      </c>
      <c r="H193" t="str">
        <f>_xlfn.LET(_xlpm.raw,_xlfn.XLOOKUP(A193,'Pinlist(S5)'!$C$4:$C$1362,'Pinlist(S5)'!$E$4:$E$1362,""),_xlpm.cleanRaw,SUBSTITUTE(SUBSTITUTE(_xlpm.raw,"_PIN","."),"PIN","."),_xlpm.mainPart,MID(_xlpm.cleanRaw,2,FIND(".",_xlpm.cleanRaw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705076</v>
      </c>
      <c r="I193" t="str">
        <f>""</f>
        <v/>
      </c>
      <c r="J193" t="str">
        <f t="shared" si="2"/>
        <v>D46;EDP_TXN[1];;26.3879999999999;1.625;608076;502078;705076;</v>
      </c>
    </row>
    <row r="194" spans="1:10">
      <c r="A194" t="s">
        <v>2127</v>
      </c>
      <c r="B194" t="str">
        <f>_xlfn.XLOOKUP(A194,'Pinlist(S1)'!$Q$4:$Q$1362,'Pinlist(S1)'!$R$4:$R$1362,"")</f>
        <v>VSS</v>
      </c>
      <c r="C194" t="str" cm="1">
        <f t="array" ref="C194">_xlfn.TEXTJOIN(",",TRUE,_xlfn.UNIQUE(TRANSPOSE(_xlfn.MAP(_xlfn.XLOOKUP(A194,'Pinlist(S1)'!$C$4:$C$1362,'Pinlist(S1)'!$F$4:$K$1362,""),_xlfn.LAMBDA(_xlpm.x,IF(_xlpm.x&lt;&gt;"",TRIM(CLEAN(LEFT(_xlpm.x,FIND(".",_xlpm.x &amp; ".")-1))),""))))))</f>
        <v/>
      </c>
      <c r="D194">
        <v>26.951999999999899</v>
      </c>
      <c r="E194">
        <v>1.9510000000000001</v>
      </c>
      <c r="F194" t="str">
        <f>_xlfn.LET(_xlpm.raw,_xlfn.XLOOKUP(A194,'Pinlist(S1)'!$C$4:$C$1362,'Pinlist(S1)'!$E$4:$E$1362,""),_xlpm.cleanRaw,SUBSTITUTE(SUBSTITUTE(_xlpm.raw,"_PIN","."),"PIN","."),_xlpm.mainPart,MID(_xlpm.cleanRaw,2,FIND(".",_xlpm.cleanRaw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4" t="str">
        <f>_xlfn.LET(_xlpm.raw,_xlfn.XLOOKUP(A194,'Pinlist(S3)'!$C$4:$C$1362,'Pinlist(S3)'!$E$4:$E$1362,""),_xlpm.cleanRaw,SUBSTITUTE(SUBSTITUTE(_xlpm.raw,"_PIN","."),"PIN","."),_xlpm.mainPart,MID(_xlpm.cleanRaw,2,FIND(".",_xlpm.cleanRaw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4" t="str">
        <f>_xlfn.LET(_xlpm.raw,_xlfn.XLOOKUP(A194,'Pinlist(S5)'!$C$4:$C$1362,'Pinlist(S5)'!$E$4:$E$1362,""),_xlpm.cleanRaw,SUBSTITUTE(SUBSTITUTE(_xlpm.raw,"_PIN","."),"PIN","."),_xlpm.mainPart,MID(_xlpm.cleanRaw,2,FIND(".",_xlpm.cleanRaw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4" t="str">
        <f>""</f>
        <v/>
      </c>
      <c r="J194" t="str">
        <f t="shared" ref="J194:J257" si="3">A194&amp;";"&amp;B194&amp;";"&amp;C194&amp;";"&amp;D194&amp;";"&amp;E194&amp;";"&amp;F194&amp;";"&amp;G194&amp;";"&amp;H194&amp;";"&amp;I194</f>
        <v>D47;VSS;;26.9519999999999;1.951;;;;</v>
      </c>
    </row>
    <row r="195" spans="1:10">
      <c r="A195" t="s">
        <v>2128</v>
      </c>
      <c r="B195" t="str">
        <f>_xlfn.XLOOKUP(A195,'Pinlist(S1)'!$Q$4:$Q$1362,'Pinlist(S1)'!$R$4:$R$1362,"")</f>
        <v>VSS</v>
      </c>
      <c r="C195" t="str" cm="1">
        <f t="array" ref="C195">_xlfn.TEXTJOIN(",",TRUE,_xlfn.UNIQUE(TRANSPOSE(_xlfn.MAP(_xlfn.XLOOKUP(A195,'Pinlist(S1)'!$C$4:$C$1362,'Pinlist(S1)'!$F$4:$K$1362,""),_xlfn.LAMBDA(_xlpm.x,IF(_xlpm.x&lt;&gt;"",TRIM(CLEAN(LEFT(_xlpm.x,FIND(".",_xlpm.x &amp; ".")-1))),""))))))</f>
        <v/>
      </c>
      <c r="D195">
        <v>27.626999999999999</v>
      </c>
      <c r="E195">
        <v>1.9909999999999899</v>
      </c>
      <c r="F195" t="str">
        <f>_xlfn.LET(_xlpm.raw,_xlfn.XLOOKUP(A195,'Pinlist(S1)'!$C$4:$C$1362,'Pinlist(S1)'!$E$4:$E$1362,""),_xlpm.cleanRaw,SUBSTITUTE(SUBSTITUTE(_xlpm.raw,"_PIN","."),"PIN","."),_xlpm.mainPart,MID(_xlpm.cleanRaw,2,FIND(".",_xlpm.cleanRaw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5" t="str">
        <f>_xlfn.LET(_xlpm.raw,_xlfn.XLOOKUP(A195,'Pinlist(S3)'!$C$4:$C$1362,'Pinlist(S3)'!$E$4:$E$1362,""),_xlpm.cleanRaw,SUBSTITUTE(SUBSTITUTE(_xlpm.raw,"_PIN","."),"PIN","."),_xlpm.mainPart,MID(_xlpm.cleanRaw,2,FIND(".",_xlpm.cleanRaw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5" t="str">
        <f>_xlfn.LET(_xlpm.raw,_xlfn.XLOOKUP(A195,'Pinlist(S5)'!$C$4:$C$1362,'Pinlist(S5)'!$E$4:$E$1362,""),_xlpm.cleanRaw,SUBSTITUTE(SUBSTITUTE(_xlpm.raw,"_PIN","."),"PIN","."),_xlpm.mainPart,MID(_xlpm.cleanRaw,2,FIND(".",_xlpm.cleanRaw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5" t="str">
        <f>""</f>
        <v/>
      </c>
      <c r="J195" t="str">
        <f t="shared" si="3"/>
        <v>D48;VSS;;27.627;1.99099999999999;;;;</v>
      </c>
    </row>
    <row r="196" spans="1:10">
      <c r="A196" t="s">
        <v>207</v>
      </c>
      <c r="B196" t="str">
        <f>_xlfn.XLOOKUP(A196,'Pinlist(S1)'!$Q$4:$Q$1362,'Pinlist(S1)'!$R$4:$R$1362,"")</f>
        <v>DDI2_TXP[0]</v>
      </c>
      <c r="C196" t="str" cm="1">
        <f t="array" ref="C196">_xlfn.TEXTJOIN(",",TRUE,_xlfn.UNIQUE(TRANSPOSE(_xlfn.MAP(_xlfn.XLOOKUP(A196,'Pinlist(S1)'!$C$4:$C$1362,'Pinlist(S1)'!$F$4:$K$1362,""),_xlfn.LAMBDA(_xlpm.x,IF(_xlpm.x&lt;&gt;"",TRIM(CLEAN(LEFT(_xlpm.x,FIND(".",_xlpm.x &amp; ".")-1))),""))))))</f>
        <v>KA127</v>
      </c>
      <c r="D196">
        <v>28.303000000000001</v>
      </c>
      <c r="E196">
        <v>1.9510000000000001</v>
      </c>
      <c r="F196" t="str">
        <f>_xlfn.LET(_xlpm.raw,_xlfn.XLOOKUP(A196,'Pinlist(S1)'!$C$4:$C$1362,'Pinlist(S1)'!$E$4:$E$1362,""),_xlpm.cleanRaw,SUBSTITUTE(SUBSTITUTE(_xlpm.raw,"_PIN","."),"PIN","."),_xlpm.mainPart,MID(_xlpm.cleanRaw,2,FIND(".",_xlpm.cleanRaw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604006</v>
      </c>
      <c r="G196" t="str">
        <f>_xlfn.LET(_xlpm.raw,_xlfn.XLOOKUP(A196,'Pinlist(S3)'!$C$4:$C$1362,'Pinlist(S3)'!$E$4:$E$1362,""),_xlpm.cleanRaw,SUBSTITUTE(SUBSTITUTE(_xlpm.raw,"_PIN","."),"PIN","."),_xlpm.mainPart,MID(_xlpm.cleanRaw,2,FIND(".",_xlpm.cleanRaw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503022</v>
      </c>
      <c r="H196" t="str">
        <f>_xlfn.LET(_xlpm.raw,_xlfn.XLOOKUP(A196,'Pinlist(S5)'!$C$4:$C$1362,'Pinlist(S5)'!$E$4:$E$1362,""),_xlpm.cleanRaw,SUBSTITUTE(SUBSTITUTE(_xlpm.raw,"_PIN","."),"PIN","."),_xlpm.mainPart,MID(_xlpm.cleanRaw,2,FIND(".",_xlpm.cleanRaw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709009</v>
      </c>
      <c r="I196" t="str">
        <f>""</f>
        <v/>
      </c>
      <c r="J196" t="str">
        <f t="shared" si="3"/>
        <v>D50;DDI2_TXP[0];KA127;28.303;1.951;604006;503022;709009;</v>
      </c>
    </row>
    <row r="197" spans="1:10">
      <c r="A197" t="s">
        <v>204</v>
      </c>
      <c r="B197" t="str">
        <f>_xlfn.XLOOKUP(A197,'Pinlist(S1)'!$Q$4:$Q$1362,'Pinlist(S1)'!$R$4:$R$1362,"")</f>
        <v>DDI2_TXN[3]</v>
      </c>
      <c r="C197" t="str" cm="1">
        <f t="array" ref="C197">_xlfn.TEXTJOIN(",",TRUE,_xlfn.UNIQUE(TRANSPOSE(_xlfn.MAP(_xlfn.XLOOKUP(A197,'Pinlist(S1)'!$C$4:$C$1362,'Pinlist(S1)'!$F$4:$K$1362,""),_xlfn.LAMBDA(_xlpm.x,IF(_xlpm.x&lt;&gt;"",TRIM(CLEAN(LEFT(_xlpm.x,FIND(".",_xlpm.x &amp; ".")-1))),""))))))</f>
        <v>KA130</v>
      </c>
      <c r="D197">
        <v>28.866</v>
      </c>
      <c r="E197">
        <v>1.625</v>
      </c>
      <c r="F197" t="str">
        <f>_xlfn.LET(_xlpm.raw,_xlfn.XLOOKUP(A197,'Pinlist(S1)'!$C$4:$C$1362,'Pinlist(S1)'!$E$4:$E$1362,""),_xlpm.cleanRaw,SUBSTITUTE(SUBSTITUTE(_xlpm.raw,"_PIN","."),"PIN","."),_xlpm.mainPart,MID(_xlpm.cleanRaw,2,FIND(".",_xlpm.cleanRaw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197" t="str">
        <f>_xlfn.LET(_xlpm.raw,_xlfn.XLOOKUP(A197,'Pinlist(S3)'!$C$4:$C$1362,'Pinlist(S3)'!$E$4:$E$1362,""),_xlpm.cleanRaw,SUBSTITUTE(SUBSTITUTE(_xlpm.raw,"_PIN","."),"PIN","."),_xlpm.mainPart,MID(_xlpm.cleanRaw,2,FIND(".",_xlpm.cleanRaw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503031</v>
      </c>
      <c r="H197" t="str">
        <f>_xlfn.LET(_xlpm.raw,_xlfn.XLOOKUP(A197,'Pinlist(S5)'!$C$4:$C$1362,'Pinlist(S5)'!$E$4:$E$1362,""),_xlpm.cleanRaw,SUBSTITUTE(SUBSTITUTE(_xlpm.raw,"_PIN","."),"PIN","."),_xlpm.mainPart,MID(_xlpm.cleanRaw,2,FIND(".",_xlpm.cleanRaw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I197" t="str">
        <f>""</f>
        <v/>
      </c>
      <c r="J197" t="str">
        <f t="shared" si="3"/>
        <v>D51;DDI2_TXN[3];KA130;28.866;1.625;604020;503031;709030;</v>
      </c>
    </row>
    <row r="198" spans="1:10">
      <c r="A198" t="s">
        <v>210</v>
      </c>
      <c r="B198" t="str">
        <f>_xlfn.XLOOKUP(A198,'Pinlist(S1)'!$Q$4:$Q$1362,'Pinlist(S1)'!$R$4:$R$1362,"")</f>
        <v>DDI2_TXP[1]</v>
      </c>
      <c r="C198" t="str" cm="1">
        <f t="array" ref="C198">_xlfn.TEXTJOIN(",",TRUE,_xlfn.UNIQUE(TRANSPOSE(_xlfn.MAP(_xlfn.XLOOKUP(A198,'Pinlist(S1)'!$C$4:$C$1362,'Pinlist(S1)'!$F$4:$K$1362,""),_xlfn.LAMBDA(_xlpm.x,IF(_xlpm.x&lt;&gt;"",TRIM(CLEAN(LEFT(_xlpm.x,FIND(".",_xlpm.x &amp; ".")-1))),""))))))</f>
        <v>KA128</v>
      </c>
      <c r="D198">
        <v>29.43</v>
      </c>
      <c r="E198">
        <v>1.9510000000000001</v>
      </c>
      <c r="F198" t="str">
        <f>_xlfn.LET(_xlpm.raw,_xlfn.XLOOKUP(A198,'Pinlist(S1)'!$C$4:$C$1362,'Pinlist(S1)'!$E$4:$E$1362,""),_xlpm.cleanRaw,SUBSTITUTE(SUBSTITUTE(_xlpm.raw,"_PIN","."),"PIN","."),_xlpm.mainPart,MID(_xlpm.cleanRaw,2,FIND(".",_xlpm.cleanRaw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198" t="str">
        <f>_xlfn.LET(_xlpm.raw,_xlfn.XLOOKUP(A198,'Pinlist(S3)'!$C$4:$C$1362,'Pinlist(S3)'!$E$4:$E$1362,""),_xlpm.cleanRaw,SUBSTITUTE(SUBSTITUTE(_xlpm.raw,"_PIN","."),"PIN","."),_xlpm.mainPart,MID(_xlpm.cleanRaw,2,FIND(".",_xlpm.cleanRaw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503024</v>
      </c>
      <c r="H198" t="str">
        <f>_xlfn.LET(_xlpm.raw,_xlfn.XLOOKUP(A198,'Pinlist(S5)'!$C$4:$C$1362,'Pinlist(S5)'!$E$4:$E$1362,""),_xlpm.cleanRaw,SUBSTITUTE(SUBSTITUTE(_xlpm.raw,"_PIN","."),"PIN","."),_xlpm.mainPart,MID(_xlpm.cleanRaw,2,FIND(".",_xlpm.cleanRaw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709002</v>
      </c>
      <c r="I198" t="str">
        <f>""</f>
        <v/>
      </c>
      <c r="J198" t="str">
        <f t="shared" si="3"/>
        <v>D52;DDI2_TXP[1];KA128;29.43;1.951;604025;503024;709002;</v>
      </c>
    </row>
    <row r="199" spans="1:10">
      <c r="A199" t="s">
        <v>2129</v>
      </c>
      <c r="B199" t="str">
        <f>_xlfn.XLOOKUP(A199,'Pinlist(S1)'!$Q$4:$Q$1362,'Pinlist(S1)'!$R$4:$R$1362,"")</f>
        <v>VSS</v>
      </c>
      <c r="C199" t="str" cm="1">
        <f t="array" ref="C199">_xlfn.TEXTJOIN(",",TRUE,_xlfn.UNIQUE(TRANSPOSE(_xlfn.MAP(_xlfn.XLOOKUP(A199,'Pinlist(S1)'!$C$4:$C$1362,'Pinlist(S1)'!$F$4:$K$1362,""),_xlfn.LAMBDA(_xlpm.x,IF(_xlpm.x&lt;&gt;"",TRIM(CLEAN(LEFT(_xlpm.x,FIND(".",_xlpm.x &amp; ".")-1))),""))))))</f>
        <v/>
      </c>
      <c r="D199">
        <v>30.105</v>
      </c>
      <c r="E199">
        <v>1.9909999999999899</v>
      </c>
      <c r="F199" t="str">
        <f>_xlfn.LET(_xlpm.raw,_xlfn.XLOOKUP(A199,'Pinlist(S1)'!$C$4:$C$1362,'Pinlist(S1)'!$E$4:$E$1362,""),_xlpm.cleanRaw,SUBSTITUTE(SUBSTITUTE(_xlpm.raw,"_PIN","."),"PIN","."),_xlpm.mainPart,MID(_xlpm.cleanRaw,2,FIND(".",_xlpm.cleanRaw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9" t="str">
        <f>_xlfn.LET(_xlpm.raw,_xlfn.XLOOKUP(A199,'Pinlist(S3)'!$C$4:$C$1362,'Pinlist(S3)'!$E$4:$E$1362,""),_xlpm.cleanRaw,SUBSTITUTE(SUBSTITUTE(_xlpm.raw,"_PIN","."),"PIN","."),_xlpm.mainPart,MID(_xlpm.cleanRaw,2,FIND(".",_xlpm.cleanRaw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9" t="str">
        <f>_xlfn.LET(_xlpm.raw,_xlfn.XLOOKUP(A199,'Pinlist(S5)'!$C$4:$C$1362,'Pinlist(S5)'!$E$4:$E$1362,""),_xlpm.cleanRaw,SUBSTITUTE(SUBSTITUTE(_xlpm.raw,"_PIN","."),"PIN","."),_xlpm.mainPart,MID(_xlpm.cleanRaw,2,FIND(".",_xlpm.cleanRaw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9" t="str">
        <f>""</f>
        <v/>
      </c>
      <c r="J199" t="str">
        <f t="shared" si="3"/>
        <v>D53;VSS;;30.105;1.99099999999999;;;;</v>
      </c>
    </row>
    <row r="200" spans="1:10">
      <c r="A200" t="s">
        <v>765</v>
      </c>
      <c r="B200" t="str">
        <f>_xlfn.XLOOKUP(A200,'Pinlist(S1)'!$Q$4:$Q$1362,'Pinlist(S1)'!$R$4:$R$1362,"")</f>
        <v>FIVR_PROBE_DIG[1]</v>
      </c>
      <c r="C200" t="str" cm="1">
        <f t="array" ref="C200">_xlfn.TEXTJOIN(",",TRUE,_xlfn.UNIQUE(TRANSPOSE(_xlfn.MAP(_xlfn.XLOOKUP(A200,'Pinlist(S1)'!$C$4:$C$1362,'Pinlist(S1)'!$F$4:$K$1362,""),_xlfn.LAMBDA(_xlpm.x,IF(_xlpm.x&lt;&gt;"",TRIM(CLEAN(LEFT(_xlpm.x,FIND(".",_xlpm.x &amp; ".")-1))),""))))))</f>
        <v/>
      </c>
      <c r="D200">
        <v>30.780999999999999</v>
      </c>
      <c r="E200">
        <v>1.9510000000000001</v>
      </c>
      <c r="F200" t="str">
        <f>_xlfn.LET(_xlpm.raw,_xlfn.XLOOKUP(A200,'Pinlist(S1)'!$C$4:$C$1362,'Pinlist(S1)'!$E$4:$E$1362,""),_xlpm.cleanRaw,SUBSTITUTE(SUBSTITUTE(_xlpm.raw,"_PIN","."),"PIN","."),_xlpm.mainPart,MID(_xlpm.cleanRaw,2,FIND(".",_xlpm.cleanRaw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607019</v>
      </c>
      <c r="G200" t="str">
        <f>_xlfn.LET(_xlpm.raw,_xlfn.XLOOKUP(A200,'Pinlist(S3)'!$C$4:$C$1362,'Pinlist(S3)'!$E$4:$E$1362,""),_xlpm.cleanRaw,SUBSTITUTE(SUBSTITUTE(_xlpm.raw,"_PIN","."),"PIN","."),_xlpm.mainPart,MID(_xlpm.cleanRaw,2,FIND(".",_xlpm.cleanRaw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501114</v>
      </c>
      <c r="H200" t="str">
        <f>_xlfn.LET(_xlpm.raw,_xlfn.XLOOKUP(A200,'Pinlist(S5)'!$C$4:$C$1362,'Pinlist(S5)'!$E$4:$E$1362,""),_xlpm.cleanRaw,SUBSTITUTE(SUBSTITUTE(_xlpm.raw,"_PIN","."),"PIN","."),_xlpm.mainPart,MID(_xlpm.cleanRaw,2,FIND(".",_xlpm.cleanRaw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708072</v>
      </c>
      <c r="I200" t="str">
        <f>""</f>
        <v/>
      </c>
      <c r="J200" t="str">
        <f t="shared" si="3"/>
        <v>D54;FIVR_PROBE_DIG[1];;30.781;1.951;607019;501114;708072;</v>
      </c>
    </row>
    <row r="201" spans="1:10">
      <c r="A201" t="s">
        <v>1141</v>
      </c>
      <c r="B201" t="str">
        <f>_xlfn.XLOOKUP(A201,'Pinlist(S1)'!$Q$4:$Q$1362,'Pinlist(S1)'!$R$4:$R$1362,"")</f>
        <v>MBP_N[1]</v>
      </c>
      <c r="C201" t="str" cm="1">
        <f t="array" ref="C201">_xlfn.TEXTJOIN(",",TRUE,_xlfn.UNIQUE(TRANSPOSE(_xlfn.MAP(_xlfn.XLOOKUP(A201,'Pinlist(S1)'!$C$4:$C$1362,'Pinlist(S1)'!$F$4:$K$1362,""),_xlfn.LAMBDA(_xlpm.x,IF(_xlpm.x&lt;&gt;"",TRIM(CLEAN(LEFT(_xlpm.x,FIND(".",_xlpm.x &amp; ".")-1))),""))))))</f>
        <v/>
      </c>
      <c r="D201">
        <v>31.344999999999999</v>
      </c>
      <c r="E201">
        <v>1.625</v>
      </c>
      <c r="F201" t="str">
        <f>_xlfn.LET(_xlpm.raw,_xlfn.XLOOKUP(A201,'Pinlist(S1)'!$C$4:$C$1362,'Pinlist(S1)'!$E$4:$E$1362,""),_xlpm.cleanRaw,SUBSTITUTE(SUBSTITUTE(_xlpm.raw,"_PIN","."),"PIN","."),_xlpm.mainPart,MID(_xlpm.cleanRaw,2,FIND(".",_xlpm.cleanRaw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605046</v>
      </c>
      <c r="G201" t="str">
        <f>_xlfn.LET(_xlpm.raw,_xlfn.XLOOKUP(A201,'Pinlist(S3)'!$C$4:$C$1362,'Pinlist(S3)'!$E$4:$E$1362,""),_xlpm.cleanRaw,SUBSTITUTE(SUBSTITUTE(_xlpm.raw,"_PIN","."),"PIN","."),_xlpm.mainPart,MID(_xlpm.cleanRaw,2,FIND(".",_xlpm.cleanRaw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502054</v>
      </c>
      <c r="H201" t="str">
        <f>_xlfn.LET(_xlpm.raw,_xlfn.XLOOKUP(A201,'Pinlist(S5)'!$C$4:$C$1362,'Pinlist(S5)'!$E$4:$E$1362,""),_xlpm.cleanRaw,SUBSTITUTE(SUBSTITUTE(_xlpm.raw,"_PIN","."),"PIN","."),_xlpm.mainPart,MID(_xlpm.cleanRaw,2,FIND(".",_xlpm.cleanRaw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708050</v>
      </c>
      <c r="I201" t="str">
        <f>""</f>
        <v/>
      </c>
      <c r="J201" t="str">
        <f t="shared" si="3"/>
        <v>D55;MBP_N[1];;31.345;1.625;605046;502054;708050;</v>
      </c>
    </row>
    <row r="202" spans="1:10">
      <c r="A202" t="s">
        <v>1341</v>
      </c>
      <c r="B202" t="str">
        <f>_xlfn.XLOOKUP(A202,'Pinlist(S1)'!$Q$4:$Q$1362,'Pinlist(S1)'!$R$4:$R$1362,"")</f>
        <v>PRDY_N</v>
      </c>
      <c r="C202" t="str" cm="1">
        <f t="array" ref="C202">_xlfn.TEXTJOIN(",",TRUE,_xlfn.UNIQUE(TRANSPOSE(_xlfn.MAP(_xlfn.XLOOKUP(A202,'Pinlist(S1)'!$C$4:$C$1362,'Pinlist(S1)'!$F$4:$K$1362,""),_xlfn.LAMBDA(_xlpm.x,IF(_xlpm.x&lt;&gt;"",TRIM(CLEAN(LEFT(_xlpm.x,FIND(".",_xlpm.x &amp; ".")-1))),""))))))</f>
        <v>RA312,RA311</v>
      </c>
      <c r="D202">
        <v>31.908000000000001</v>
      </c>
      <c r="E202">
        <v>1.9510000000000001</v>
      </c>
      <c r="F202" t="str">
        <f>_xlfn.LET(_xlpm.raw,_xlfn.XLOOKUP(A202,'Pinlist(S1)'!$C$4:$C$1362,'Pinlist(S1)'!$E$4:$E$1362,""),_xlpm.cleanRaw,SUBSTITUTE(SUBSTITUTE(_xlpm.raw,"_PIN","."),"PIN","."),_xlpm.mainPart,MID(_xlpm.cleanRaw,2,FIND(".",_xlpm.cleanRaw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202" t="str">
        <f>_xlfn.LET(_xlpm.raw,_xlfn.XLOOKUP(A202,'Pinlist(S3)'!$C$4:$C$1362,'Pinlist(S3)'!$E$4:$E$1362,""),_xlpm.cleanRaw,SUBSTITUTE(SUBSTITUTE(_xlpm.raw,"_PIN","."),"PIN","."),_xlpm.mainPart,MID(_xlpm.cleanRaw,2,FIND(".",_xlpm.cleanRaw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503001</v>
      </c>
      <c r="H202" t="str">
        <f>_xlfn.LET(_xlpm.raw,_xlfn.XLOOKUP(A202,'Pinlist(S5)'!$C$4:$C$1362,'Pinlist(S5)'!$E$4:$E$1362,""),_xlpm.cleanRaw,SUBSTITUTE(SUBSTITUTE(_xlpm.raw,"_PIN","."),"PIN","."),_xlpm.mainPart,MID(_xlpm.cleanRaw,2,FIND(".",_xlpm.cleanRaw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708044</v>
      </c>
      <c r="I202" t="str">
        <f>""</f>
        <v/>
      </c>
      <c r="J202" t="str">
        <f t="shared" si="3"/>
        <v>D56;PRDY_N;RA312,RA311;31.908;1.951;605054;503001;708044;</v>
      </c>
    </row>
    <row r="203" spans="1:10">
      <c r="A203" t="s">
        <v>2130</v>
      </c>
      <c r="B203" t="str">
        <f>_xlfn.XLOOKUP(A203,'Pinlist(S1)'!$Q$4:$Q$1362,'Pinlist(S1)'!$R$4:$R$1362,"")</f>
        <v>VSS</v>
      </c>
      <c r="C203" t="str" cm="1">
        <f t="array" ref="C203">_xlfn.TEXTJOIN(",",TRUE,_xlfn.UNIQUE(TRANSPOSE(_xlfn.MAP(_xlfn.XLOOKUP(A203,'Pinlist(S1)'!$C$4:$C$1362,'Pinlist(S1)'!$F$4:$K$1362,""),_xlfn.LAMBDA(_xlpm.x,IF(_xlpm.x&lt;&gt;"",TRIM(CLEAN(LEFT(_xlpm.x,FIND(".",_xlpm.x &amp; ".")-1))),""))))))</f>
        <v/>
      </c>
      <c r="D203">
        <v>32.584000000000003</v>
      </c>
      <c r="E203">
        <v>1.9909999999999899</v>
      </c>
      <c r="F203" t="str">
        <f>_xlfn.LET(_xlpm.raw,_xlfn.XLOOKUP(A203,'Pinlist(S1)'!$C$4:$C$1362,'Pinlist(S1)'!$E$4:$E$1362,""),_xlpm.cleanRaw,SUBSTITUTE(SUBSTITUTE(_xlpm.raw,"_PIN","."),"PIN","."),_xlpm.mainPart,MID(_xlpm.cleanRaw,2,FIND(".",_xlpm.cleanRaw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3" t="str">
        <f>_xlfn.LET(_xlpm.raw,_xlfn.XLOOKUP(A203,'Pinlist(S3)'!$C$4:$C$1362,'Pinlist(S3)'!$E$4:$E$1362,""),_xlpm.cleanRaw,SUBSTITUTE(SUBSTITUTE(_xlpm.raw,"_PIN","."),"PIN","."),_xlpm.mainPart,MID(_xlpm.cleanRaw,2,FIND(".",_xlpm.cleanRaw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3" t="str">
        <f>_xlfn.LET(_xlpm.raw,_xlfn.XLOOKUP(A203,'Pinlist(S5)'!$C$4:$C$1362,'Pinlist(S5)'!$E$4:$E$1362,""),_xlpm.cleanRaw,SUBSTITUTE(SUBSTITUTE(_xlpm.raw,"_PIN","."),"PIN","."),_xlpm.mainPart,MID(_xlpm.cleanRaw,2,FIND(".",_xlpm.cleanRaw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03" t="str">
        <f>""</f>
        <v/>
      </c>
      <c r="J203" t="str">
        <f t="shared" si="3"/>
        <v>D58;VSS;;32.584;1.99099999999999;;;;</v>
      </c>
    </row>
    <row r="204" spans="1:10">
      <c r="A204" t="s">
        <v>1210</v>
      </c>
      <c r="B204" t="str">
        <f>_xlfn.XLOOKUP(A204,'Pinlist(S1)'!$Q$4:$Q$1362,'Pinlist(S1)'!$R$4:$R$1362,"")</f>
        <v>PCH_JTAG_TDI</v>
      </c>
      <c r="C204" t="str" cm="1">
        <f t="array" ref="C204">_xlfn.TEXTJOIN(",",TRUE,_xlfn.UNIQUE(TRANSPOSE(_xlfn.MAP(_xlfn.XLOOKUP(A204,'Pinlist(S1)'!$C$4:$C$1362,'Pinlist(S1)'!$F$4:$K$1362,""),_xlfn.LAMBDA(_xlpm.x,IF(_xlpm.x&lt;&gt;"",TRIM(CLEAN(LEFT(_xlpm.x,FIND(".",_xlpm.x &amp; ".")-1))),""))))))</f>
        <v/>
      </c>
      <c r="D204">
        <v>33.259</v>
      </c>
      <c r="E204">
        <v>1.9510000000000001</v>
      </c>
      <c r="F204" t="str">
        <f>_xlfn.LET(_xlpm.raw,_xlfn.XLOOKUP(A204,'Pinlist(S1)'!$C$4:$C$1362,'Pinlist(S1)'!$E$4:$E$1362,""),_xlpm.cleanRaw,SUBSTITUTE(SUBSTITUTE(_xlpm.raw,"_PIN","."),"PIN","."),_xlpm.mainPart,MID(_xlpm.cleanRaw,2,FIND(".",_xlpm.cleanRaw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504113</v>
      </c>
      <c r="G204" t="str">
        <f>_xlfn.LET(_xlpm.raw,_xlfn.XLOOKUP(A204,'Pinlist(S3)'!$C$4:$C$1362,'Pinlist(S3)'!$E$4:$E$1362,""),_xlpm.cleanRaw,SUBSTITUTE(SUBSTITUTE(_xlpm.raw,"_PIN","."),"PIN","."),_xlpm.mainPart,MID(_xlpm.cleanRaw,2,FIND(".",_xlpm.cleanRaw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806120</v>
      </c>
      <c r="H204" t="str">
        <f>_xlfn.LET(_xlpm.raw,_xlfn.XLOOKUP(A204,'Pinlist(S5)'!$C$4:$C$1362,'Pinlist(S5)'!$E$4:$E$1362,""),_xlpm.cleanRaw,SUBSTITUTE(SUBSTITUTE(_xlpm.raw,"_PIN","."),"PIN","."),_xlpm.mainPart,MID(_xlpm.cleanRaw,2,FIND(".",_xlpm.cleanRaw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603124</v>
      </c>
      <c r="I204" t="str">
        <f>""</f>
        <v/>
      </c>
      <c r="J204" t="str">
        <f t="shared" si="3"/>
        <v>D59;PCH_JTAG_TDI;;33.259;1.951;504113;806120;603124;</v>
      </c>
    </row>
    <row r="205" spans="1:10">
      <c r="A205" t="s">
        <v>75</v>
      </c>
      <c r="B205" t="str">
        <f>_xlfn.XLOOKUP(A205,'Pinlist(S1)'!$Q$4:$Q$1362,'Pinlist(S1)'!$R$4:$R$1362,"")</f>
        <v>CPU_JTAG_TDI</v>
      </c>
      <c r="C205" t="str" cm="1">
        <f t="array" ref="C205">_xlfn.TEXTJOIN(",",TRUE,_xlfn.UNIQUE(TRANSPOSE(_xlfn.MAP(_xlfn.XLOOKUP(A205,'Pinlist(S1)'!$C$4:$C$1362,'Pinlist(S1)'!$F$4:$K$1362,""),_xlfn.LAMBDA(_xlpm.x,IF(_xlpm.x&lt;&gt;"",TRIM(CLEAN(LEFT(_xlpm.x,FIND(".",_xlpm.x &amp; ".")-1))),""))))))</f>
        <v>RA327,RA326</v>
      </c>
      <c r="D205">
        <v>33.823</v>
      </c>
      <c r="E205">
        <v>1.625</v>
      </c>
      <c r="F205" t="str">
        <f>_xlfn.LET(_xlpm.raw,_xlfn.XLOOKUP(A205,'Pinlist(S1)'!$C$4:$C$1362,'Pinlist(S1)'!$E$4:$E$1362,""),_xlpm.cleanRaw,SUBSTITUTE(SUBSTITUTE(_xlpm.raw,"_PIN","."),"PIN","."),_xlpm.mainPart,MID(_xlpm.cleanRaw,2,FIND(".",_xlpm.cleanRaw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605049</v>
      </c>
      <c r="G205" t="str">
        <f>_xlfn.LET(_xlpm.raw,_xlfn.XLOOKUP(A205,'Pinlist(S3)'!$C$4:$C$1362,'Pinlist(S3)'!$E$4:$E$1362,""),_xlpm.cleanRaw,SUBSTITUTE(SUBSTITUTE(_xlpm.raw,"_PIN","."),"PIN","."),_xlpm.mainPart,MID(_xlpm.cleanRaw,2,FIND(".",_xlpm.cleanRaw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502041</v>
      </c>
      <c r="H205" t="str">
        <f>_xlfn.LET(_xlpm.raw,_xlfn.XLOOKUP(A205,'Pinlist(S5)'!$C$4:$C$1362,'Pinlist(S5)'!$E$4:$E$1362,""),_xlpm.cleanRaw,SUBSTITUTE(SUBSTITUTE(_xlpm.raw,"_PIN","."),"PIN","."),_xlpm.mainPart,MID(_xlpm.cleanRaw,2,FIND(".",_xlpm.cleanRaw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709006</v>
      </c>
      <c r="I205" t="str">
        <f>""</f>
        <v/>
      </c>
      <c r="J205" t="str">
        <f t="shared" si="3"/>
        <v>D60;CPU_JTAG_TDI;RA327,RA326;33.823;1.625;605049;502041;709006;</v>
      </c>
    </row>
    <row r="206" spans="1:10">
      <c r="A206" t="s">
        <v>1343</v>
      </c>
      <c r="B206" t="str">
        <f>_xlfn.XLOOKUP(A206,'Pinlist(S1)'!$Q$4:$Q$1362,'Pinlist(S1)'!$R$4:$R$1362,"")</f>
        <v>PREQ_N</v>
      </c>
      <c r="C206" t="str" cm="1">
        <f t="array" ref="C206">_xlfn.TEXTJOIN(",",TRUE,_xlfn.UNIQUE(TRANSPOSE(_xlfn.MAP(_xlfn.XLOOKUP(A206,'Pinlist(S1)'!$C$4:$C$1362,'Pinlist(S1)'!$F$4:$K$1362,""),_xlfn.LAMBDA(_xlpm.x,IF(_xlpm.x&lt;&gt;"",TRIM(CLEAN(LEFT(_xlpm.x,FIND(".",_xlpm.x &amp; ".")-1))),""))))))</f>
        <v>RA310,RA309</v>
      </c>
      <c r="D206">
        <v>34.385999999999903</v>
      </c>
      <c r="E206">
        <v>1.9510000000000001</v>
      </c>
      <c r="F206" t="str">
        <f>_xlfn.LET(_xlpm.raw,_xlfn.XLOOKUP(A206,'Pinlist(S1)'!$C$4:$C$1362,'Pinlist(S1)'!$E$4:$E$1362,""),_xlpm.cleanRaw,SUBSTITUTE(SUBSTITUTE(_xlpm.raw,"_PIN","."),"PIN","."),_xlpm.mainPart,MID(_xlpm.cleanRaw,2,FIND(".",_xlpm.cleanRaw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605052</v>
      </c>
      <c r="G206" t="str">
        <f>_xlfn.LET(_xlpm.raw,_xlfn.XLOOKUP(A206,'Pinlist(S3)'!$C$4:$C$1362,'Pinlist(S3)'!$E$4:$E$1362,""),_xlpm.cleanRaw,SUBSTITUTE(SUBSTITUTE(_xlpm.raw,"_PIN","."),"PIN","."),_xlpm.mainPart,MID(_xlpm.cleanRaw,2,FIND(".",_xlpm.cleanRaw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503039</v>
      </c>
      <c r="H206" t="str">
        <f>_xlfn.LET(_xlpm.raw,_xlfn.XLOOKUP(A206,'Pinlist(S5)'!$C$4:$C$1362,'Pinlist(S5)'!$E$4:$E$1362,""),_xlpm.cleanRaw,SUBSTITUTE(SUBSTITUTE(_xlpm.raw,"_PIN","."),"PIN","."),_xlpm.mainPart,MID(_xlpm.cleanRaw,2,FIND(".",_xlpm.cleanRaw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709039</v>
      </c>
      <c r="I206" t="str">
        <f>""</f>
        <v/>
      </c>
      <c r="J206" t="str">
        <f t="shared" si="3"/>
        <v>D61;PREQ_N;RA310,RA309;34.3859999999999;1.951;605052;503039;709039;</v>
      </c>
    </row>
    <row r="207" spans="1:10">
      <c r="A207" t="s">
        <v>2132</v>
      </c>
      <c r="B207" t="str">
        <f>_xlfn.XLOOKUP(A207,'Pinlist(S1)'!$Q$4:$Q$1362,'Pinlist(S1)'!$R$4:$R$1362,"")</f>
        <v>VSS</v>
      </c>
      <c r="C207" t="str" cm="1">
        <f t="array" ref="C207">_xlfn.TEXTJOIN(",",TRUE,_xlfn.UNIQUE(TRANSPOSE(_xlfn.MAP(_xlfn.XLOOKUP(A207,'Pinlist(S1)'!$C$4:$C$1362,'Pinlist(S1)'!$F$4:$K$1362,""),_xlfn.LAMBDA(_xlpm.x,IF(_xlpm.x&lt;&gt;"",TRIM(CLEAN(LEFT(_xlpm.x,FIND(".",_xlpm.x &amp; ".")-1))),""))))))</f>
        <v/>
      </c>
      <c r="D207">
        <v>35.061999999999998</v>
      </c>
      <c r="E207">
        <v>1.9909999999999899</v>
      </c>
      <c r="F207" t="str">
        <f>_xlfn.LET(_xlpm.raw,_xlfn.XLOOKUP(A207,'Pinlist(S1)'!$C$4:$C$1362,'Pinlist(S1)'!$E$4:$E$1362,""),_xlpm.cleanRaw,SUBSTITUTE(SUBSTITUTE(_xlpm.raw,"_PIN","."),"PIN","."),_xlpm.mainPart,MID(_xlpm.cleanRaw,2,FIND(".",_xlpm.cleanRaw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7" t="str">
        <f>_xlfn.LET(_xlpm.raw,_xlfn.XLOOKUP(A207,'Pinlist(S3)'!$C$4:$C$1362,'Pinlist(S3)'!$E$4:$E$1362,""),_xlpm.cleanRaw,SUBSTITUTE(SUBSTITUTE(_xlpm.raw,"_PIN","."),"PIN","."),_xlpm.mainPart,MID(_xlpm.cleanRaw,2,FIND(".",_xlpm.cleanRaw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7" t="str">
        <f>_xlfn.LET(_xlpm.raw,_xlfn.XLOOKUP(A207,'Pinlist(S5)'!$C$4:$C$1362,'Pinlist(S5)'!$E$4:$E$1362,""),_xlpm.cleanRaw,SUBSTITUTE(SUBSTITUTE(_xlpm.raw,"_PIN","."),"PIN","."),_xlpm.mainPart,MID(_xlpm.cleanRaw,2,FIND(".",_xlpm.cleanRaw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07" t="str">
        <f>""</f>
        <v/>
      </c>
      <c r="J207" t="str">
        <f t="shared" si="3"/>
        <v>D62;VSS;;35.062;1.99099999999999;;;;</v>
      </c>
    </row>
    <row r="208" spans="1:10">
      <c r="A208" t="s">
        <v>30</v>
      </c>
      <c r="B208" t="str">
        <f>_xlfn.XLOOKUP(A208,'Pinlist(S1)'!$Q$4:$Q$1362,'Pinlist(S1)'!$R$4:$R$1362,"")</f>
        <v>CATERR_N</v>
      </c>
      <c r="C208" t="str" cm="1">
        <f t="array" ref="C208">_xlfn.TEXTJOIN(",",TRUE,_xlfn.UNIQUE(TRANSPOSE(_xlfn.MAP(_xlfn.XLOOKUP(A208,'Pinlist(S1)'!$C$4:$C$1362,'Pinlist(S1)'!$F$4:$K$1362,""),_xlfn.LAMBDA(_xlpm.x,IF(_xlpm.x&lt;&gt;"",TRIM(CLEAN(LEFT(_xlpm.x,FIND(".",_xlpm.x &amp; ".")-1))),""))))))</f>
        <v/>
      </c>
      <c r="D208">
        <v>35.737000000000002</v>
      </c>
      <c r="E208">
        <v>1.9510000000000001</v>
      </c>
      <c r="F208" t="str">
        <f>_xlfn.LET(_xlpm.raw,_xlfn.XLOOKUP(A208,'Pinlist(S1)'!$C$4:$C$1362,'Pinlist(S1)'!$E$4:$E$1362,""),_xlpm.cleanRaw,SUBSTITUTE(SUBSTITUTE(_xlpm.raw,"_PIN","."),"PIN","."),_xlpm.mainPart,MID(_xlpm.cleanRaw,2,FIND(".",_xlpm.cleanRaw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605047</v>
      </c>
      <c r="G208" t="str">
        <f>_xlfn.LET(_xlpm.raw,_xlfn.XLOOKUP(A208,'Pinlist(S3)'!$C$4:$C$1362,'Pinlist(S3)'!$E$4:$E$1362,""),_xlpm.cleanRaw,SUBSTITUTE(SUBSTITUTE(_xlpm.raw,"_PIN","."),"PIN","."),_xlpm.mainPart,MID(_xlpm.cleanRaw,2,FIND(".",_xlpm.cleanRaw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503009</v>
      </c>
      <c r="H208" t="str">
        <f>_xlfn.LET(_xlpm.raw,_xlfn.XLOOKUP(A208,'Pinlist(S5)'!$C$4:$C$1362,'Pinlist(S5)'!$E$4:$E$1362,""),_xlpm.cleanRaw,SUBSTITUTE(SUBSTITUTE(_xlpm.raw,"_PIN","."),"PIN","."),_xlpm.mainPart,MID(_xlpm.cleanRaw,2,FIND(".",_xlpm.cleanRaw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709010</v>
      </c>
      <c r="I208" t="str">
        <f>""</f>
        <v/>
      </c>
      <c r="J208" t="str">
        <f t="shared" si="3"/>
        <v>D63;CATERR_N;;35.737;1.951;605047;503009;709010;</v>
      </c>
    </row>
    <row r="209" spans="1:10">
      <c r="A209" t="s">
        <v>1880</v>
      </c>
      <c r="B209" t="str">
        <f>_xlfn.XLOOKUP(A209,'Pinlist(S1)'!$Q$4:$Q$1362,'Pinlist(S1)'!$R$4:$R$1362,"")</f>
        <v>VIDSOUT</v>
      </c>
      <c r="C209" t="str" cm="1">
        <f t="array" ref="C209">_xlfn.TEXTJOIN(",",TRUE,_xlfn.UNIQUE(TRANSPOSE(_xlfn.MAP(_xlfn.XLOOKUP(A209,'Pinlist(S1)'!$C$4:$C$1362,'Pinlist(S1)'!$F$4:$K$1362,""),_xlfn.LAMBDA(_xlpm.x,IF(_xlpm.x&lt;&gt;"",TRIM(CLEAN(LEFT(_xlpm.x,FIND(".",_xlpm.x &amp; ".")-1))),""))))))</f>
        <v/>
      </c>
      <c r="D209">
        <v>36.301000000000002</v>
      </c>
      <c r="E209">
        <v>1.625</v>
      </c>
      <c r="F209" t="str">
        <f>_xlfn.LET(_xlpm.raw,_xlfn.XLOOKUP(A209,'Pinlist(S1)'!$C$4:$C$1362,'Pinlist(S1)'!$E$4:$E$1362,""),_xlpm.cleanRaw,SUBSTITUTE(SUBSTITUTE(_xlpm.raw,"_PIN","."),"PIN","."),_xlpm.mainPart,MID(_xlpm.cleanRaw,2,FIND(".",_xlpm.cleanRaw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604014</v>
      </c>
      <c r="G209" t="str">
        <f>_xlfn.LET(_xlpm.raw,_xlfn.XLOOKUP(A209,'Pinlist(S3)'!$C$4:$C$1362,'Pinlist(S3)'!$E$4:$E$1362,""),_xlpm.cleanRaw,SUBSTITUTE(SUBSTITUTE(_xlpm.raw,"_PIN","."),"PIN","."),_xlpm.mainPart,MID(_xlpm.cleanRaw,2,FIND(".",_xlpm.cleanRaw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503005</v>
      </c>
      <c r="H209" t="str">
        <f>_xlfn.LET(_xlpm.raw,_xlfn.XLOOKUP(A209,'Pinlist(S5)'!$C$4:$C$1362,'Pinlist(S5)'!$E$4:$E$1362,""),_xlpm.cleanRaw,SUBSTITUTE(SUBSTITUTE(_xlpm.raw,"_PIN","."),"PIN","."),_xlpm.mainPart,MID(_xlpm.cleanRaw,2,FIND(".",_xlpm.cleanRaw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709035</v>
      </c>
      <c r="I209" t="str">
        <f>""</f>
        <v/>
      </c>
      <c r="J209" t="str">
        <f t="shared" si="3"/>
        <v>D64;VIDSOUT;;36.301;1.625;604014;503005;709035;</v>
      </c>
    </row>
    <row r="210" spans="1:10">
      <c r="A210" t="s">
        <v>1178</v>
      </c>
      <c r="B210" t="str">
        <f>_xlfn.XLOOKUP(A210,'Pinlist(S1)'!$Q$4:$Q$1362,'Pinlist(S1)'!$R$4:$R$1362,"")</f>
        <v>NOA_N[2]</v>
      </c>
      <c r="C210" t="str" cm="1">
        <f t="array" ref="C210">_xlfn.TEXTJOIN(",",TRUE,_xlfn.UNIQUE(TRANSPOSE(_xlfn.MAP(_xlfn.XLOOKUP(A210,'Pinlist(S1)'!$C$4:$C$1362,'Pinlist(S1)'!$F$4:$K$1362,""),_xlfn.LAMBDA(_xlpm.x,IF(_xlpm.x&lt;&gt;"",TRIM(CLEAN(LEFT(_xlpm.x,FIND(".",_xlpm.x &amp; ".")-1))),""))))))</f>
        <v>KA123</v>
      </c>
      <c r="D210">
        <v>36.863999999999997</v>
      </c>
      <c r="E210">
        <v>1.9510000000000001</v>
      </c>
      <c r="F210" t="str">
        <f>_xlfn.LET(_xlpm.raw,_xlfn.XLOOKUP(A210,'Pinlist(S1)'!$C$4:$C$1362,'Pinlist(S1)'!$E$4:$E$1362,""),_xlpm.cleanRaw,SUBSTITUTE(SUBSTITUTE(_xlpm.raw,"_PIN","."),"PIN","."),_xlpm.mainPart,MID(_xlpm.cleanRaw,2,FIND(".",_xlpm.cleanRaw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210" t="str">
        <f>_xlfn.LET(_xlpm.raw,_xlfn.XLOOKUP(A210,'Pinlist(S3)'!$C$4:$C$1362,'Pinlist(S3)'!$E$4:$E$1362,""),_xlpm.cleanRaw,SUBSTITUTE(SUBSTITUTE(_xlpm.raw,"_PIN","."),"PIN","."),_xlpm.mainPart,MID(_xlpm.cleanRaw,2,FIND(".",_xlpm.cleanRaw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503015</v>
      </c>
      <c r="H210" t="str">
        <f>_xlfn.LET(_xlpm.raw,_xlfn.XLOOKUP(A210,'Pinlist(S5)'!$C$4:$C$1362,'Pinlist(S5)'!$E$4:$E$1362,""),_xlpm.cleanRaw,SUBSTITUTE(SUBSTITUTE(_xlpm.raw,"_PIN","."),"PIN","."),_xlpm.mainPart,MID(_xlpm.cleanRaw,2,FIND(".",_xlpm.cleanRaw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708058</v>
      </c>
      <c r="I210" t="str">
        <f>""</f>
        <v/>
      </c>
      <c r="J210" t="str">
        <f t="shared" si="3"/>
        <v>D65;NOA_N[2];KA123;36.864;1.951;604016;503015;708058;</v>
      </c>
    </row>
    <row r="211" spans="1:10">
      <c r="A211" t="s">
        <v>2133</v>
      </c>
      <c r="B211" t="str">
        <f>_xlfn.XLOOKUP(A211,'Pinlist(S1)'!$Q$4:$Q$1362,'Pinlist(S1)'!$R$4:$R$1362,"")</f>
        <v>VSS</v>
      </c>
      <c r="C211" t="str" cm="1">
        <f t="array" ref="C211">_xlfn.TEXTJOIN(",",TRUE,_xlfn.UNIQUE(TRANSPOSE(_xlfn.MAP(_xlfn.XLOOKUP(A211,'Pinlist(S1)'!$C$4:$C$1362,'Pinlist(S1)'!$F$4:$K$1362,""),_xlfn.LAMBDA(_xlpm.x,IF(_xlpm.x&lt;&gt;"",TRIM(CLEAN(LEFT(_xlpm.x,FIND(".",_xlpm.x &amp; ".")-1))),""))))))</f>
        <v/>
      </c>
      <c r="D211">
        <v>37.54</v>
      </c>
      <c r="E211">
        <v>1.9909999999999899</v>
      </c>
      <c r="F211" t="str">
        <f>_xlfn.LET(_xlpm.raw,_xlfn.XLOOKUP(A211,'Pinlist(S1)'!$C$4:$C$1362,'Pinlist(S1)'!$E$4:$E$1362,""),_xlpm.cleanRaw,SUBSTITUTE(SUBSTITUTE(_xlpm.raw,"_PIN","."),"PIN","."),_xlpm.mainPart,MID(_xlpm.cleanRaw,2,FIND(".",_xlpm.cleanRaw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1" t="str">
        <f>_xlfn.LET(_xlpm.raw,_xlfn.XLOOKUP(A211,'Pinlist(S3)'!$C$4:$C$1362,'Pinlist(S3)'!$E$4:$E$1362,""),_xlpm.cleanRaw,SUBSTITUTE(SUBSTITUTE(_xlpm.raw,"_PIN","."),"PIN","."),_xlpm.mainPart,MID(_xlpm.cleanRaw,2,FIND(".",_xlpm.cleanRaw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1" t="str">
        <f>_xlfn.LET(_xlpm.raw,_xlfn.XLOOKUP(A211,'Pinlist(S5)'!$C$4:$C$1362,'Pinlist(S5)'!$E$4:$E$1362,""),_xlpm.cleanRaw,SUBSTITUTE(SUBSTITUTE(_xlpm.raw,"_PIN","."),"PIN","."),_xlpm.mainPart,MID(_xlpm.cleanRaw,2,FIND(".",_xlpm.cleanRaw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1" t="str">
        <f>""</f>
        <v/>
      </c>
      <c r="J211" t="str">
        <f t="shared" si="3"/>
        <v>D66;VSS;;37.54;1.99099999999999;;;;</v>
      </c>
    </row>
    <row r="212" spans="1:10">
      <c r="A212" t="s">
        <v>1180</v>
      </c>
      <c r="B212" t="str">
        <f>_xlfn.XLOOKUP(A212,'Pinlist(S1)'!$Q$4:$Q$1362,'Pinlist(S1)'!$R$4:$R$1362,"")</f>
        <v>NOA_N[3]</v>
      </c>
      <c r="C212" t="str" cm="1">
        <f t="array" ref="C212">_xlfn.TEXTJOIN(",",TRUE,_xlfn.UNIQUE(TRANSPOSE(_xlfn.MAP(_xlfn.XLOOKUP(A212,'Pinlist(S1)'!$C$4:$C$1362,'Pinlist(S1)'!$F$4:$K$1362,""),_xlfn.LAMBDA(_xlpm.x,IF(_xlpm.x&lt;&gt;"",TRIM(CLEAN(LEFT(_xlpm.x,FIND(".",_xlpm.x &amp; ".")-1))),""))))))</f>
        <v>RA302,RA301,KA124</v>
      </c>
      <c r="D212">
        <v>38.213000000000001</v>
      </c>
      <c r="E212">
        <v>1.3</v>
      </c>
      <c r="F212" t="str">
        <f>_xlfn.LET(_xlpm.raw,_xlfn.XLOOKUP(A212,'Pinlist(S1)'!$C$4:$C$1362,'Pinlist(S1)'!$E$4:$E$1362,""),_xlpm.cleanRaw,SUBSTITUTE(SUBSTITUTE(_xlpm.raw,"_PIN","."),"PIN","."),_xlpm.mainPart,MID(_xlpm.cleanRaw,2,FIND(".",_xlpm.cleanRaw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212" t="str">
        <f>_xlfn.LET(_xlpm.raw,_xlfn.XLOOKUP(A212,'Pinlist(S3)'!$C$4:$C$1362,'Pinlist(S3)'!$E$4:$E$1362,""),_xlpm.cleanRaw,SUBSTITUTE(SUBSTITUTE(_xlpm.raw,"_PIN","."),"PIN","."),_xlpm.mainPart,MID(_xlpm.cleanRaw,2,FIND(".",_xlpm.cleanRaw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503016</v>
      </c>
      <c r="H212" t="str">
        <f>_xlfn.LET(_xlpm.raw,_xlfn.XLOOKUP(A212,'Pinlist(S5)'!$C$4:$C$1362,'Pinlist(S5)'!$E$4:$E$1362,""),_xlpm.cleanRaw,SUBSTITUTE(SUBSTITUTE(_xlpm.raw,"_PIN","."),"PIN","."),_xlpm.mainPart,MID(_xlpm.cleanRaw,2,FIND(".",_xlpm.cleanRaw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I212" t="str">
        <f>""</f>
        <v/>
      </c>
      <c r="J212" t="str">
        <f t="shared" si="3"/>
        <v>D67;NOA_N[3];RA302,RA301,KA124;38.213;1.3;604026;503016;708057;</v>
      </c>
    </row>
    <row r="213" spans="1:10">
      <c r="A213" t="s">
        <v>1186</v>
      </c>
      <c r="B213" t="str">
        <f>_xlfn.XLOOKUP(A213,'Pinlist(S1)'!$Q$4:$Q$1362,'Pinlist(S1)'!$R$4:$R$1362,"")</f>
        <v>NOA_N[6]</v>
      </c>
      <c r="C213" t="str" cm="1">
        <f t="array" ref="C213">_xlfn.TEXTJOIN(",",TRUE,_xlfn.UNIQUE(TRANSPOSE(_xlfn.MAP(_xlfn.XLOOKUP(A213,'Pinlist(S1)'!$C$4:$C$1362,'Pinlist(S1)'!$F$4:$K$1362,""),_xlfn.LAMBDA(_xlpm.x,IF(_xlpm.x&lt;&gt;"",TRIM(CLEAN(LEFT(_xlpm.x,FIND(".",_xlpm.x &amp; ".")-1))),""))))))</f>
        <v>KA123</v>
      </c>
      <c r="D213">
        <v>39.581000000000003</v>
      </c>
      <c r="E213">
        <v>1.7789999999999999</v>
      </c>
      <c r="F213" t="str">
        <f>_xlfn.LET(_xlpm.raw,_xlfn.XLOOKUP(A213,'Pinlist(S1)'!$C$4:$C$1362,'Pinlist(S1)'!$E$4:$E$1362,""),_xlpm.cleanRaw,SUBSTITUTE(SUBSTITUTE(_xlpm.raw,"_PIN","."),"PIN","."),_xlpm.mainPart,MID(_xlpm.cleanRaw,2,FIND(".",_xlpm.cleanRaw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213" t="str">
        <f>_xlfn.LET(_xlpm.raw,_xlfn.XLOOKUP(A213,'Pinlist(S3)'!$C$4:$C$1362,'Pinlist(S3)'!$E$4:$E$1362,""),_xlpm.cleanRaw,SUBSTITUTE(SUBSTITUTE(_xlpm.raw,"_PIN","."),"PIN","."),_xlpm.mainPart,MID(_xlpm.cleanRaw,2,FIND(".",_xlpm.cleanRaw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503017</v>
      </c>
      <c r="H213" t="str">
        <f>_xlfn.LET(_xlpm.raw,_xlfn.XLOOKUP(A213,'Pinlist(S5)'!$C$4:$C$1362,'Pinlist(S5)'!$E$4:$E$1362,""),_xlpm.cleanRaw,SUBSTITUTE(SUBSTITUTE(_xlpm.raw,"_PIN","."),"PIN","."),_xlpm.mainPart,MID(_xlpm.cleanRaw,2,FIND(".",_xlpm.cleanRaw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708056</v>
      </c>
      <c r="I213" t="str">
        <f>""</f>
        <v/>
      </c>
      <c r="J213" t="str">
        <f t="shared" si="3"/>
        <v>D68;NOA_N[6];KA123;39.581;1.779;604018;503017;708056;</v>
      </c>
    </row>
    <row r="214" spans="1:10">
      <c r="A214" t="s">
        <v>2134</v>
      </c>
      <c r="B214" t="str">
        <f>_xlfn.XLOOKUP(A214,'Pinlist(S1)'!$Q$4:$Q$1362,'Pinlist(S1)'!$R$4:$R$1362,"")</f>
        <v>VSS</v>
      </c>
      <c r="C214" t="str" cm="1">
        <f t="array" ref="C214">_xlfn.TEXTJOIN(",",TRUE,_xlfn.UNIQUE(TRANSPOSE(_xlfn.MAP(_xlfn.XLOOKUP(A214,'Pinlist(S1)'!$C$4:$C$1362,'Pinlist(S1)'!$F$4:$K$1362,""),_xlfn.LAMBDA(_xlpm.x,IF(_xlpm.x&lt;&gt;"",TRIM(CLEAN(LEFT(_xlpm.x,FIND(".",_xlpm.x &amp; ".")-1))),""))))))</f>
        <v/>
      </c>
      <c r="D214">
        <v>38.875999999999998</v>
      </c>
      <c r="E214">
        <v>2.343</v>
      </c>
      <c r="F214" t="str">
        <f>_xlfn.LET(_xlpm.raw,_xlfn.XLOOKUP(A214,'Pinlist(S1)'!$C$4:$C$1362,'Pinlist(S1)'!$E$4:$E$1362,""),_xlpm.cleanRaw,SUBSTITUTE(SUBSTITUTE(_xlpm.raw,"_PIN","."),"PIN","."),_xlpm.mainPart,MID(_xlpm.cleanRaw,2,FIND(".",_xlpm.cleanRaw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4" t="str">
        <f>_xlfn.LET(_xlpm.raw,_xlfn.XLOOKUP(A214,'Pinlist(S3)'!$C$4:$C$1362,'Pinlist(S3)'!$E$4:$E$1362,""),_xlpm.cleanRaw,SUBSTITUTE(SUBSTITUTE(_xlpm.raw,"_PIN","."),"PIN","."),_xlpm.mainPart,MID(_xlpm.cleanRaw,2,FIND(".",_xlpm.cleanRaw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4" t="str">
        <f>_xlfn.LET(_xlpm.raw,_xlfn.XLOOKUP(A214,'Pinlist(S5)'!$C$4:$C$1362,'Pinlist(S5)'!$E$4:$E$1362,""),_xlpm.cleanRaw,SUBSTITUTE(SUBSTITUTE(_xlpm.raw,"_PIN","."),"PIN","."),_xlpm.mainPart,MID(_xlpm.cleanRaw,2,FIND(".",_xlpm.cleanRaw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4" t="str">
        <f>""</f>
        <v/>
      </c>
      <c r="J214" t="str">
        <f t="shared" si="3"/>
        <v>D69;VSS;;38.876;2.343;;;;</v>
      </c>
    </row>
    <row r="215" spans="1:10">
      <c r="A215" t="s">
        <v>759</v>
      </c>
      <c r="B215" t="str">
        <f>_xlfn.XLOOKUP(A215,'Pinlist(S1)'!$Q$4:$Q$1362,'Pinlist(S1)'!$R$4:$R$1362,"")</f>
        <v>FIVR_PROBE_ANA[0]</v>
      </c>
      <c r="C215" t="str" cm="1">
        <f t="array" ref="C215">_xlfn.TEXTJOIN(",",TRUE,_xlfn.UNIQUE(TRANSPOSE(_xlfn.MAP(_xlfn.XLOOKUP(A215,'Pinlist(S1)'!$C$4:$C$1362,'Pinlist(S1)'!$F$4:$K$1362,""),_xlfn.LAMBDA(_xlpm.x,IF(_xlpm.x&lt;&gt;"",TRIM(CLEAN(LEFT(_xlpm.x,FIND(".",_xlpm.x &amp; ".")-1))),""))))))</f>
        <v>KA148</v>
      </c>
      <c r="D215">
        <v>40.628</v>
      </c>
      <c r="E215">
        <v>1.7629999999999899</v>
      </c>
      <c r="F215" t="str">
        <f>_xlfn.LET(_xlpm.raw,_xlfn.XLOOKUP(A215,'Pinlist(S1)'!$C$4:$C$1362,'Pinlist(S1)'!$E$4:$E$1362,""),_xlpm.cleanRaw,SUBSTITUTE(SUBSTITUTE(_xlpm.raw,"_PIN","."),"PIN","."),_xlpm.mainPart,MID(_xlpm.cleanRaw,2,FIND(".",_xlpm.cleanRaw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215" t="str">
        <f>_xlfn.LET(_xlpm.raw,_xlfn.XLOOKUP(A215,'Pinlist(S3)'!$C$4:$C$1362,'Pinlist(S3)'!$E$4:$E$1362,""),_xlpm.cleanRaw,SUBSTITUTE(SUBSTITUTE(_xlpm.raw,"_PIN","."),"PIN","."),_xlpm.mainPart,MID(_xlpm.cleanRaw,2,FIND(".",_xlpm.cleanRaw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503034</v>
      </c>
      <c r="H215" t="str">
        <f>_xlfn.LET(_xlpm.raw,_xlfn.XLOOKUP(A215,'Pinlist(S5)'!$C$4:$C$1362,'Pinlist(S5)'!$E$4:$E$1362,""),_xlpm.cleanRaw,SUBSTITUTE(SUBSTITUTE(_xlpm.raw,"_PIN","."),"PIN","."),_xlpm.mainPart,MID(_xlpm.cleanRaw,2,FIND(".",_xlpm.cleanRaw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I215" t="str">
        <f>""</f>
        <v/>
      </c>
      <c r="J215" t="str">
        <f t="shared" si="3"/>
        <v>D71;FIVR_PROBE_ANA[0];KA148;40.628;1.76299999999999;604032;503034;709025;</v>
      </c>
    </row>
    <row r="216" spans="1:10">
      <c r="A216" t="s">
        <v>1147</v>
      </c>
      <c r="B216" t="str">
        <f>_xlfn.XLOOKUP(A216,'Pinlist(S1)'!$Q$4:$Q$1362,'Pinlist(S1)'!$R$4:$R$1362,"")</f>
        <v>MIPI_PLLOBSN</v>
      </c>
      <c r="C216" t="str" cm="1">
        <f t="array" ref="C216">_xlfn.TEXTJOIN(",",TRUE,_xlfn.UNIQUE(TRANSPOSE(_xlfn.MAP(_xlfn.XLOOKUP(A216,'Pinlist(S1)'!$C$4:$C$1362,'Pinlist(S1)'!$F$4:$K$1362,""),_xlfn.LAMBDA(_xlpm.x,IF(_xlpm.x&lt;&gt;"",TRIM(CLEAN(LEFT(_xlpm.x,FIND(".",_xlpm.x &amp; ".")-1))),""))))))</f>
        <v/>
      </c>
      <c r="D216">
        <v>0</v>
      </c>
      <c r="E216">
        <v>2.274</v>
      </c>
      <c r="F216" t="str">
        <f>_xlfn.LET(_xlpm.raw,_xlfn.XLOOKUP(A216,'Pinlist(S1)'!$C$4:$C$1362,'Pinlist(S1)'!$E$4:$E$1362,""),_xlpm.cleanRaw,SUBSTITUTE(SUBSTITUTE(_xlpm.raw,"_PIN","."),"PIN","."),_xlpm.mainPart,MID(_xlpm.cleanRaw,2,FIND(".",_xlpm.cleanRaw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6" t="str">
        <f>_xlfn.LET(_xlpm.raw,_xlfn.XLOOKUP(A216,'Pinlist(S3)'!$C$4:$C$1362,'Pinlist(S3)'!$E$4:$E$1362,""),_xlpm.cleanRaw,SUBSTITUTE(SUBSTITUTE(_xlpm.raw,"_PIN","."),"PIN","."),_xlpm.mainPart,MID(_xlpm.cleanRaw,2,FIND(".",_xlpm.cleanRaw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6" t="str">
        <f>_xlfn.LET(_xlpm.raw,_xlfn.XLOOKUP(A216,'Pinlist(S5)'!$C$4:$C$1362,'Pinlist(S5)'!$E$4:$E$1362,""),_xlpm.cleanRaw,SUBSTITUTE(SUBSTITUTE(_xlpm.raw,"_PIN","."),"PIN","."),_xlpm.mainPart,MID(_xlpm.cleanRaw,2,FIND(".",_xlpm.cleanRaw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6" t="str">
        <f>""</f>
        <v/>
      </c>
      <c r="J216" t="str">
        <f t="shared" si="3"/>
        <v>E1;MIPI_PLLOBSN;;0;2.274;;;;</v>
      </c>
    </row>
    <row r="217" spans="1:10">
      <c r="A217" t="s">
        <v>1149</v>
      </c>
      <c r="B217" t="str">
        <f>_xlfn.XLOOKUP(A217,'Pinlist(S1)'!$Q$4:$Q$1362,'Pinlist(S1)'!$R$4:$R$1362,"")</f>
        <v>MIPI_PLLOBSP</v>
      </c>
      <c r="C217" t="str" cm="1">
        <f t="array" ref="C217">_xlfn.TEXTJOIN(",",TRUE,_xlfn.UNIQUE(TRANSPOSE(_xlfn.MAP(_xlfn.XLOOKUP(A217,'Pinlist(S1)'!$C$4:$C$1362,'Pinlist(S1)'!$F$4:$K$1362,""),_xlfn.LAMBDA(_xlpm.x,IF(_xlpm.x&lt;&gt;"",TRIM(CLEAN(LEFT(_xlpm.x,FIND(".",_xlpm.x &amp; ".")-1))),""))))))</f>
        <v/>
      </c>
      <c r="D217">
        <v>0.64999999999999802</v>
      </c>
      <c r="E217">
        <v>2.274</v>
      </c>
      <c r="F217" t="str">
        <f>_xlfn.LET(_xlpm.raw,_xlfn.XLOOKUP(A217,'Pinlist(S1)'!$C$4:$C$1362,'Pinlist(S1)'!$E$4:$E$1362,""),_xlpm.cleanRaw,SUBSTITUTE(SUBSTITUTE(_xlpm.raw,"_PIN","."),"PIN","."),_xlpm.mainPart,MID(_xlpm.cleanRaw,2,FIND(".",_xlpm.cleanRaw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7" t="str">
        <f>_xlfn.LET(_xlpm.raw,_xlfn.XLOOKUP(A217,'Pinlist(S3)'!$C$4:$C$1362,'Pinlist(S3)'!$E$4:$E$1362,""),_xlpm.cleanRaw,SUBSTITUTE(SUBSTITUTE(_xlpm.raw,"_PIN","."),"PIN","."),_xlpm.mainPart,MID(_xlpm.cleanRaw,2,FIND(".",_xlpm.cleanRaw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7" t="str">
        <f>_xlfn.LET(_xlpm.raw,_xlfn.XLOOKUP(A217,'Pinlist(S5)'!$C$4:$C$1362,'Pinlist(S5)'!$E$4:$E$1362,""),_xlpm.cleanRaw,SUBSTITUTE(SUBSTITUTE(_xlpm.raw,"_PIN","."),"PIN","."),_xlpm.mainPart,MID(_xlpm.cleanRaw,2,FIND(".",_xlpm.cleanRaw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7" t="str">
        <f>""</f>
        <v/>
      </c>
      <c r="J217" t="str">
        <f t="shared" si="3"/>
        <v>E2;MIPI_PLLOBSP;;0.649999999999998;2.274;;;;</v>
      </c>
    </row>
    <row r="218" spans="1:10">
      <c r="A218" t="s">
        <v>1372</v>
      </c>
      <c r="B218" t="str">
        <f>_xlfn.XLOOKUP(A218,'Pinlist(S1)'!$Q$4:$Q$1362,'Pinlist(S1)'!$R$4:$R$1362,"")</f>
        <v>SPARE_10</v>
      </c>
      <c r="C218" t="str" cm="1">
        <f t="array" ref="C218">_xlfn.TEXTJOIN(",",TRUE,_xlfn.UNIQUE(TRANSPOSE(_xlfn.MAP(_xlfn.XLOOKUP(A218,'Pinlist(S1)'!$C$4:$C$1362,'Pinlist(S1)'!$F$4:$K$1362,""),_xlfn.LAMBDA(_xlpm.x,IF(_xlpm.x&lt;&gt;"",TRIM(CLEAN(LEFT(_xlpm.x,FIND(".",_xlpm.x &amp; ".")-1))),""))))))</f>
        <v/>
      </c>
      <c r="D218">
        <v>1.2999999999999901</v>
      </c>
      <c r="E218">
        <v>2.274</v>
      </c>
      <c r="F218" t="str">
        <f>_xlfn.LET(_xlpm.raw,_xlfn.XLOOKUP(A218,'Pinlist(S1)'!$C$4:$C$1362,'Pinlist(S1)'!$E$4:$E$1362,""),_xlpm.cleanRaw,SUBSTITUTE(SUBSTITUTE(_xlpm.raw,"_PIN","."),"PIN","."),_xlpm.mainPart,MID(_xlpm.cleanRaw,2,FIND(".",_xlpm.cleanRaw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8" t="str">
        <f>_xlfn.LET(_xlpm.raw,_xlfn.XLOOKUP(A218,'Pinlist(S3)'!$C$4:$C$1362,'Pinlist(S3)'!$E$4:$E$1362,""),_xlpm.cleanRaw,SUBSTITUTE(SUBSTITUTE(_xlpm.raw,"_PIN","."),"PIN","."),_xlpm.mainPart,MID(_xlpm.cleanRaw,2,FIND(".",_xlpm.cleanRaw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8" t="str">
        <f>_xlfn.LET(_xlpm.raw,_xlfn.XLOOKUP(A218,'Pinlist(S5)'!$C$4:$C$1362,'Pinlist(S5)'!$E$4:$E$1362,""),_xlpm.cleanRaw,SUBSTITUTE(SUBSTITUTE(_xlpm.raw,"_PIN","."),"PIN","."),_xlpm.mainPart,MID(_xlpm.cleanRaw,2,FIND(".",_xlpm.cleanRaw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8" t="str">
        <f>""</f>
        <v/>
      </c>
      <c r="J218" t="str">
        <f t="shared" si="3"/>
        <v>E3;SPARE_10;;1.29999999999999;2.274;;;;</v>
      </c>
    </row>
    <row r="219" spans="1:10">
      <c r="A219" t="s">
        <v>1320</v>
      </c>
      <c r="B219" t="str">
        <f>_xlfn.XLOOKUP(A219,'Pinlist(S1)'!$Q$4:$Q$1362,'Pinlist(S1)'!$R$4:$R$1362,"")</f>
        <v>PCIE_RCOMPP</v>
      </c>
      <c r="C219" t="str" cm="1">
        <f t="array" ref="C219">_xlfn.TEXTJOIN(",",TRUE,_xlfn.UNIQUE(TRANSPOSE(_xlfn.MAP(_xlfn.XLOOKUP(A219,'Pinlist(S1)'!$C$4:$C$1362,'Pinlist(S1)'!$F$4:$K$1362,""),_xlfn.LAMBDA(_xlpm.x,IF(_xlpm.x&lt;&gt;"",TRIM(CLEAN(LEFT(_xlpm.x,FIND(".",_xlpm.x &amp; ".")-1))),""))))))</f>
        <v>RA103</v>
      </c>
      <c r="D219">
        <v>2.6599999999999899</v>
      </c>
      <c r="E219">
        <v>2.7229999999999901</v>
      </c>
      <c r="F219" t="str">
        <f>_xlfn.LET(_xlpm.raw,_xlfn.XLOOKUP(A219,'Pinlist(S1)'!$C$4:$C$1362,'Pinlist(S1)'!$E$4:$E$1362,""),_xlpm.cleanRaw,SUBSTITUTE(SUBSTITUTE(_xlpm.raw,"_PIN","."),"PIN","."),_xlpm.mainPart,MID(_xlpm.cleanRaw,2,FIND(".",_xlpm.cleanRaw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9" t="str">
        <f>_xlfn.LET(_xlpm.raw,_xlfn.XLOOKUP(A219,'Pinlist(S3)'!$C$4:$C$1362,'Pinlist(S3)'!$E$4:$E$1362,""),_xlpm.cleanRaw,SUBSTITUTE(SUBSTITUTE(_xlpm.raw,"_PIN","."),"PIN","."),_xlpm.mainPart,MID(_xlpm.cleanRaw,2,FIND(".",_xlpm.cleanRaw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9" t="str">
        <f>_xlfn.LET(_xlpm.raw,_xlfn.XLOOKUP(A219,'Pinlist(S5)'!$C$4:$C$1362,'Pinlist(S5)'!$E$4:$E$1362,""),_xlpm.cleanRaw,SUBSTITUTE(SUBSTITUTE(_xlpm.raw,"_PIN","."),"PIN","."),_xlpm.mainPart,MID(_xlpm.cleanRaw,2,FIND(".",_xlpm.cleanRaw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9" t="str">
        <f>""</f>
        <v/>
      </c>
      <c r="J219" t="str">
        <f t="shared" si="3"/>
        <v>E5;PCIE_RCOMPP;RA103;2.65999999999999;2.72299999999999;;;;</v>
      </c>
    </row>
    <row r="220" spans="1:10">
      <c r="A220" t="s">
        <v>2143</v>
      </c>
      <c r="B220" t="str">
        <f>_xlfn.XLOOKUP(A220,'Pinlist(S1)'!$Q$4:$Q$1362,'Pinlist(S1)'!$R$4:$R$1362,"")</f>
        <v>VSS</v>
      </c>
      <c r="C220" t="str" cm="1">
        <f t="array" ref="C220">_xlfn.TEXTJOIN(",",TRUE,_xlfn.UNIQUE(TRANSPOSE(_xlfn.MAP(_xlfn.XLOOKUP(A220,'Pinlist(S1)'!$C$4:$C$1362,'Pinlist(S1)'!$F$4:$K$1362,""),_xlfn.LAMBDA(_xlpm.x,IF(_xlpm.x&lt;&gt;"",TRIM(CLEAN(LEFT(_xlpm.x,FIND(".",_xlpm.x &amp; ".")-1))),""))))))</f>
        <v/>
      </c>
      <c r="D220">
        <v>3.5739999999999901</v>
      </c>
      <c r="E220">
        <v>2.7229999999999901</v>
      </c>
      <c r="F220" t="str">
        <f>_xlfn.LET(_xlpm.raw,_xlfn.XLOOKUP(A220,'Pinlist(S1)'!$C$4:$C$1362,'Pinlist(S1)'!$E$4:$E$1362,""),_xlpm.cleanRaw,SUBSTITUTE(SUBSTITUTE(_xlpm.raw,"_PIN","."),"PIN","."),_xlpm.mainPart,MID(_xlpm.cleanRaw,2,FIND(".",_xlpm.cleanRaw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0" t="str">
        <f>_xlfn.LET(_xlpm.raw,_xlfn.XLOOKUP(A220,'Pinlist(S3)'!$C$4:$C$1362,'Pinlist(S3)'!$E$4:$E$1362,""),_xlpm.cleanRaw,SUBSTITUTE(SUBSTITUTE(_xlpm.raw,"_PIN","."),"PIN","."),_xlpm.mainPart,MID(_xlpm.cleanRaw,2,FIND(".",_xlpm.cleanRaw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0" t="str">
        <f>_xlfn.LET(_xlpm.raw,_xlfn.XLOOKUP(A220,'Pinlist(S5)'!$C$4:$C$1362,'Pinlist(S5)'!$E$4:$E$1362,""),_xlpm.cleanRaw,SUBSTITUTE(SUBSTITUTE(_xlpm.raw,"_PIN","."),"PIN","."),_xlpm.mainPart,MID(_xlpm.cleanRaw,2,FIND(".",_xlpm.cleanRaw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0" t="str">
        <f>""</f>
        <v/>
      </c>
      <c r="J220" t="str">
        <f t="shared" si="3"/>
        <v>E6;VSS;;3.57399999999999;2.72299999999999;;;;</v>
      </c>
    </row>
    <row r="221" spans="1:10">
      <c r="A221" t="s">
        <v>1122</v>
      </c>
      <c r="B221" t="str">
        <f>_xlfn.XLOOKUP(A221,'Pinlist(S1)'!$Q$4:$Q$1362,'Pinlist(S1)'!$R$4:$R$1362,"")</f>
        <v>ITP_PMODE</v>
      </c>
      <c r="C221" t="str" cm="1">
        <f t="array" ref="C221">_xlfn.TEXTJOIN(",",TRUE,_xlfn.UNIQUE(TRANSPOSE(_xlfn.MAP(_xlfn.XLOOKUP(A221,'Pinlist(S1)'!$C$4:$C$1362,'Pinlist(S1)'!$F$4:$K$1362,""),_xlfn.LAMBDA(_xlpm.x,IF(_xlpm.x&lt;&gt;"",TRIM(CLEAN(LEFT(_xlpm.x,FIND(".",_xlpm.x &amp; ".")-1))),""))))))</f>
        <v/>
      </c>
      <c r="D221">
        <v>4.4889999999999999</v>
      </c>
      <c r="E221">
        <v>2.7229999999999901</v>
      </c>
      <c r="F221" t="str">
        <f>_xlfn.LET(_xlpm.raw,_xlfn.XLOOKUP(A221,'Pinlist(S1)'!$C$4:$C$1362,'Pinlist(S1)'!$E$4:$E$1362,""),_xlpm.cleanRaw,SUBSTITUTE(SUBSTITUTE(_xlpm.raw,"_PIN","."),"PIN","."),_xlpm.mainPart,MID(_xlpm.cleanRaw,2,FIND(".",_xlpm.cleanRaw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508058</v>
      </c>
      <c r="G221" t="str">
        <f>_xlfn.LET(_xlpm.raw,_xlfn.XLOOKUP(A221,'Pinlist(S3)'!$C$4:$C$1362,'Pinlist(S3)'!$E$4:$E$1362,""),_xlpm.cleanRaw,SUBSTITUTE(SUBSTITUTE(_xlpm.raw,"_PIN","."),"PIN","."),_xlpm.mainPart,MID(_xlpm.cleanRaw,2,FIND(".",_xlpm.cleanRaw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804009</v>
      </c>
      <c r="H221" t="str">
        <f>_xlfn.LET(_xlpm.raw,_xlfn.XLOOKUP(A221,'Pinlist(S5)'!$C$4:$C$1362,'Pinlist(S5)'!$E$4:$E$1362,""),_xlpm.cleanRaw,SUBSTITUTE(SUBSTITUTE(_xlpm.raw,"_PIN","."),"PIN","."),_xlpm.mainPart,MID(_xlpm.cleanRaw,2,FIND(".",_xlpm.cleanRaw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703037</v>
      </c>
      <c r="I221" t="str">
        <f>""</f>
        <v/>
      </c>
      <c r="J221" t="str">
        <f t="shared" si="3"/>
        <v>E8;ITP_PMODE;;4.489;2.72299999999999;508058;804009;703037;</v>
      </c>
    </row>
    <row r="222" spans="1:10">
      <c r="A222" t="s">
        <v>1518</v>
      </c>
      <c r="B222" t="str">
        <f>_xlfn.XLOOKUP(A222,'Pinlist(S1)'!$Q$4:$Q$1362,'Pinlist(S1)'!$R$4:$R$1362,"")</f>
        <v>USB3_4_RXN</v>
      </c>
      <c r="C222" t="str" cm="1">
        <f t="array" ref="C222">_xlfn.TEXTJOIN(",",TRUE,_xlfn.UNIQUE(TRANSPOSE(_xlfn.MAP(_xlfn.XLOOKUP(A222,'Pinlist(S1)'!$C$4:$C$1362,'Pinlist(S1)'!$F$4:$K$1362,""),_xlfn.LAMBDA(_xlpm.x,IF(_xlpm.x&lt;&gt;"",TRIM(CLEAN(LEFT(_xlpm.x,FIND(".",_xlpm.x &amp; ".")-1))),""))))))</f>
        <v>KA516,LA531</v>
      </c>
      <c r="D222">
        <v>5.4029999999999898</v>
      </c>
      <c r="E222">
        <v>2.7229999999999901</v>
      </c>
      <c r="F222" t="str">
        <f>_xlfn.LET(_xlpm.raw,_xlfn.XLOOKUP(A222,'Pinlist(S1)'!$C$4:$C$1362,'Pinlist(S1)'!$E$4:$E$1362,""),_xlpm.cleanRaw,SUBSTITUTE(SUBSTITUTE(_xlpm.raw,"_PIN","."),"PIN","."),_xlpm.mainPart,MID(_xlpm.cleanRaw,2,FIND(".",_xlpm.cleanRaw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G222" t="str">
        <f>_xlfn.LET(_xlpm.raw,_xlfn.XLOOKUP(A222,'Pinlist(S3)'!$C$4:$C$1362,'Pinlist(S3)'!$E$4:$E$1362,""),_xlpm.cleanRaw,SUBSTITUTE(SUBSTITUTE(_xlpm.raw,"_PIN","."),"PIN","."),_xlpm.mainPart,MID(_xlpm.cleanRaw,2,FIND(".",_xlpm.cleanRaw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807037</v>
      </c>
      <c r="H222" t="str">
        <f>_xlfn.LET(_xlpm.raw,_xlfn.XLOOKUP(A222,'Pinlist(S5)'!$C$4:$C$1362,'Pinlist(S5)'!$E$4:$E$1362,""),_xlpm.cleanRaw,SUBSTITUTE(SUBSTITUTE(_xlpm.raw,"_PIN","."),"PIN","."),_xlpm.mainPart,MID(_xlpm.cleanRaw,2,FIND(".",_xlpm.cleanRaw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603103</v>
      </c>
      <c r="I222" t="str">
        <f>""</f>
        <v/>
      </c>
      <c r="J222" t="str">
        <f t="shared" si="3"/>
        <v>E10;USB3_4_RXN;KA516,LA531;5.40299999999999;2.72299999999999;506028;807037;603103;</v>
      </c>
    </row>
    <row r="223" spans="1:10">
      <c r="A223" t="s">
        <v>2135</v>
      </c>
      <c r="B223" t="str">
        <f>_xlfn.XLOOKUP(A223,'Pinlist(S1)'!$Q$4:$Q$1362,'Pinlist(S1)'!$R$4:$R$1362,"")</f>
        <v>VSS</v>
      </c>
      <c r="C223" t="str" cm="1">
        <f t="array" ref="C223">_xlfn.TEXTJOIN(",",TRUE,_xlfn.UNIQUE(TRANSPOSE(_xlfn.MAP(_xlfn.XLOOKUP(A223,'Pinlist(S1)'!$C$4:$C$1362,'Pinlist(S1)'!$F$4:$K$1362,""),_xlfn.LAMBDA(_xlpm.x,IF(_xlpm.x&lt;&gt;"",TRIM(CLEAN(LEFT(_xlpm.x,FIND(".",_xlpm.x &amp; ".")-1))),""))))))</f>
        <v/>
      </c>
      <c r="D223">
        <v>6.3179999999999898</v>
      </c>
      <c r="E223">
        <v>2.7229999999999901</v>
      </c>
      <c r="F223" t="str">
        <f>_xlfn.LET(_xlpm.raw,_xlfn.XLOOKUP(A223,'Pinlist(S1)'!$C$4:$C$1362,'Pinlist(S1)'!$E$4:$E$1362,""),_xlpm.cleanRaw,SUBSTITUTE(SUBSTITUTE(_xlpm.raw,"_PIN","."),"PIN","."),_xlpm.mainPart,MID(_xlpm.cleanRaw,2,FIND(".",_xlpm.cleanRaw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3" t="str">
        <f>_xlfn.LET(_xlpm.raw,_xlfn.XLOOKUP(A223,'Pinlist(S3)'!$C$4:$C$1362,'Pinlist(S3)'!$E$4:$E$1362,""),_xlpm.cleanRaw,SUBSTITUTE(SUBSTITUTE(_xlpm.raw,"_PIN","."),"PIN","."),_xlpm.mainPart,MID(_xlpm.cleanRaw,2,FIND(".",_xlpm.cleanRaw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3" t="str">
        <f>_xlfn.LET(_xlpm.raw,_xlfn.XLOOKUP(A223,'Pinlist(S5)'!$C$4:$C$1362,'Pinlist(S5)'!$E$4:$E$1362,""),_xlpm.cleanRaw,SUBSTITUTE(SUBSTITUTE(_xlpm.raw,"_PIN","."),"PIN","."),_xlpm.mainPart,MID(_xlpm.cleanRaw,2,FIND(".",_xlpm.cleanRaw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3" t="str">
        <f>""</f>
        <v/>
      </c>
      <c r="J223" t="str">
        <f t="shared" si="3"/>
        <v>E11;VSS;;6.31799999999999;2.72299999999999;;;;</v>
      </c>
    </row>
    <row r="224" spans="1:10">
      <c r="A224" t="s">
        <v>108</v>
      </c>
      <c r="B224" t="str">
        <f>_xlfn.XLOOKUP(A224,'Pinlist(S1)'!$Q$4:$Q$1362,'Pinlist(S1)'!$R$4:$R$1362,"")</f>
        <v>CSI2_COMP</v>
      </c>
      <c r="C224" t="str" cm="1">
        <f t="array" ref="C224">_xlfn.TEXTJOIN(",",TRUE,_xlfn.UNIQUE(TRANSPOSE(_xlfn.MAP(_xlfn.XLOOKUP(A224,'Pinlist(S1)'!$C$4:$C$1362,'Pinlist(S1)'!$F$4:$K$1362,""),_xlfn.LAMBDA(_xlpm.x,IF(_xlpm.x&lt;&gt;"",TRIM(CLEAN(LEFT(_xlpm.x,FIND(".",_xlpm.x &amp; ".")-1))),""))))))</f>
        <v>RA120</v>
      </c>
      <c r="D224">
        <v>7.2319999999999904</v>
      </c>
      <c r="E224">
        <v>2.7229999999999901</v>
      </c>
      <c r="F224" t="str">
        <f>_xlfn.LET(_xlpm.raw,_xlfn.XLOOKUP(A224,'Pinlist(S1)'!$C$4:$C$1362,'Pinlist(S1)'!$E$4:$E$1362,""),_xlpm.cleanRaw,SUBSTITUTE(SUBSTITUTE(_xlpm.raw,"_PIN","."),"PIN","."),_xlpm.mainPart,MID(_xlpm.cleanRaw,2,FIND(".",_xlpm.cleanRaw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4" t="str">
        <f>_xlfn.LET(_xlpm.raw,_xlfn.XLOOKUP(A224,'Pinlist(S3)'!$C$4:$C$1362,'Pinlist(S3)'!$E$4:$E$1362,""),_xlpm.cleanRaw,SUBSTITUTE(SUBSTITUTE(_xlpm.raw,"_PIN","."),"PIN","."),_xlpm.mainPart,MID(_xlpm.cleanRaw,2,FIND(".",_xlpm.cleanRaw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4" t="str">
        <f>_xlfn.LET(_xlpm.raw,_xlfn.XLOOKUP(A224,'Pinlist(S5)'!$C$4:$C$1362,'Pinlist(S5)'!$E$4:$E$1362,""),_xlpm.cleanRaw,SUBSTITUTE(SUBSTITUTE(_xlpm.raw,"_PIN","."),"PIN","."),_xlpm.mainPart,MID(_xlpm.cleanRaw,2,FIND(".",_xlpm.cleanRaw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4" t="str">
        <f>""</f>
        <v/>
      </c>
      <c r="J224" t="str">
        <f t="shared" si="3"/>
        <v>E13;CSI2_COMP;RA120;7.23199999999999;2.72299999999999;;;;</v>
      </c>
    </row>
    <row r="225" spans="1:10">
      <c r="A225" t="s">
        <v>2136</v>
      </c>
      <c r="B225" t="str">
        <f>_xlfn.XLOOKUP(A225,'Pinlist(S1)'!$Q$4:$Q$1362,'Pinlist(S1)'!$R$4:$R$1362,"")</f>
        <v>VSS</v>
      </c>
      <c r="C225" t="str" cm="1">
        <f t="array" ref="C225">_xlfn.TEXTJOIN(",",TRUE,_xlfn.UNIQUE(TRANSPOSE(_xlfn.MAP(_xlfn.XLOOKUP(A225,'Pinlist(S1)'!$C$4:$C$1362,'Pinlist(S1)'!$F$4:$K$1362,""),_xlfn.LAMBDA(_xlpm.x,IF(_xlpm.x&lt;&gt;"",TRIM(CLEAN(LEFT(_xlpm.x,FIND(".",_xlpm.x &amp; ".")-1))),""))))))</f>
        <v/>
      </c>
      <c r="D225">
        <v>8.1460000000000008</v>
      </c>
      <c r="E225">
        <v>2.7229999999999901</v>
      </c>
      <c r="F225" t="str">
        <f>_xlfn.LET(_xlpm.raw,_xlfn.XLOOKUP(A225,'Pinlist(S1)'!$C$4:$C$1362,'Pinlist(S1)'!$E$4:$E$1362,""),_xlpm.cleanRaw,SUBSTITUTE(SUBSTITUTE(_xlpm.raw,"_PIN","."),"PIN","."),_xlpm.mainPart,MID(_xlpm.cleanRaw,2,FIND(".",_xlpm.cleanRaw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5" t="str">
        <f>_xlfn.LET(_xlpm.raw,_xlfn.XLOOKUP(A225,'Pinlist(S3)'!$C$4:$C$1362,'Pinlist(S3)'!$E$4:$E$1362,""),_xlpm.cleanRaw,SUBSTITUTE(SUBSTITUTE(_xlpm.raw,"_PIN","."),"PIN","."),_xlpm.mainPart,MID(_xlpm.cleanRaw,2,FIND(".",_xlpm.cleanRaw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5" t="str">
        <f>_xlfn.LET(_xlpm.raw,_xlfn.XLOOKUP(A225,'Pinlist(S5)'!$C$4:$C$1362,'Pinlist(S5)'!$E$4:$E$1362,""),_xlpm.cleanRaw,SUBSTITUTE(SUBSTITUTE(_xlpm.raw,"_PIN","."),"PIN","."),_xlpm.mainPart,MID(_xlpm.cleanRaw,2,FIND(".",_xlpm.cleanRaw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5" t="str">
        <f>""</f>
        <v/>
      </c>
      <c r="J225" t="str">
        <f t="shared" si="3"/>
        <v>E15;VSS;;8.146;2.72299999999999;;;;</v>
      </c>
    </row>
    <row r="226" spans="1:10">
      <c r="A226" t="s">
        <v>1280</v>
      </c>
      <c r="B226" t="str">
        <f>_xlfn.XLOOKUP(A226,'Pinlist(S1)'!$Q$4:$Q$1362,'Pinlist(S1)'!$R$4:$R$1362,"")</f>
        <v>PCIE_5_LAN_0C_RXP</v>
      </c>
      <c r="C226" t="str" cm="1">
        <f t="array" ref="C226">_xlfn.TEXTJOIN(",",TRUE,_xlfn.UNIQUE(TRANSPOSE(_xlfn.MAP(_xlfn.XLOOKUP(A226,'Pinlist(S1)'!$C$4:$C$1362,'Pinlist(S1)'!$F$4:$K$1362,""),_xlfn.LAMBDA(_xlpm.x,IF(_xlpm.x&lt;&gt;"",TRIM(CLEAN(LEFT(_xlpm.x,FIND(".",_xlpm.x &amp; ".")-1))),""))))))</f>
        <v>KA505,LA510</v>
      </c>
      <c r="D226">
        <v>9.0609999999999999</v>
      </c>
      <c r="E226">
        <v>2.7229999999999901</v>
      </c>
      <c r="F226" t="str">
        <f>_xlfn.LET(_xlpm.raw,_xlfn.XLOOKUP(A226,'Pinlist(S1)'!$C$4:$C$1362,'Pinlist(S1)'!$E$4:$E$1362,""),_xlpm.cleanRaw,SUBSTITUTE(SUBSTITUTE(_xlpm.raw,"_PIN","."),"PIN","."),_xlpm.mainPart,MID(_xlpm.cleanRaw,2,FIND(".",_xlpm.cleanRaw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506039</v>
      </c>
      <c r="G226" t="str">
        <f>_xlfn.LET(_xlpm.raw,_xlfn.XLOOKUP(A226,'Pinlist(S3)'!$C$4:$C$1362,'Pinlist(S3)'!$E$4:$E$1362,""),_xlpm.cleanRaw,SUBSTITUTE(SUBSTITUTE(_xlpm.raw,"_PIN","."),"PIN","."),_xlpm.mainPart,MID(_xlpm.cleanRaw,2,FIND(".",_xlpm.cleanRaw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809095</v>
      </c>
      <c r="H226" t="str">
        <f>_xlfn.LET(_xlpm.raw,_xlfn.XLOOKUP(A226,'Pinlist(S5)'!$C$4:$C$1362,'Pinlist(S5)'!$E$4:$E$1362,""),_xlpm.cleanRaw,SUBSTITUTE(SUBSTITUTE(_xlpm.raw,"_PIN","."),"PIN","."),_xlpm.mainPart,MID(_xlpm.cleanRaw,2,FIND(".",_xlpm.cleanRaw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I226" t="str">
        <f>""</f>
        <v/>
      </c>
      <c r="J226" t="str">
        <f t="shared" si="3"/>
        <v>E16;PCIE_5_LAN_0C_RXP;KA505,LA510;9.061;2.72299999999999;506039;809095;601035;</v>
      </c>
    </row>
    <row r="227" spans="1:10">
      <c r="A227" t="s">
        <v>2137</v>
      </c>
      <c r="B227" t="str">
        <f>_xlfn.XLOOKUP(A227,'Pinlist(S1)'!$Q$4:$Q$1362,'Pinlist(S1)'!$R$4:$R$1362,"")</f>
        <v>VSS</v>
      </c>
      <c r="C227" t="str" cm="1">
        <f t="array" ref="C227">_xlfn.TEXTJOIN(",",TRUE,_xlfn.UNIQUE(TRANSPOSE(_xlfn.MAP(_xlfn.XLOOKUP(A227,'Pinlist(S1)'!$C$4:$C$1362,'Pinlist(S1)'!$F$4:$K$1362,""),_xlfn.LAMBDA(_xlpm.x,IF(_xlpm.x&lt;&gt;"",TRIM(CLEAN(LEFT(_xlpm.x,FIND(".",_xlpm.x &amp; ".")-1))),""))))))</f>
        <v/>
      </c>
      <c r="D227">
        <v>9.9749999999999996</v>
      </c>
      <c r="E227">
        <v>2.7229999999999901</v>
      </c>
      <c r="F227" t="str">
        <f>_xlfn.LET(_xlpm.raw,_xlfn.XLOOKUP(A227,'Pinlist(S1)'!$C$4:$C$1362,'Pinlist(S1)'!$E$4:$E$1362,""),_xlpm.cleanRaw,SUBSTITUTE(SUBSTITUTE(_xlpm.raw,"_PIN","."),"PIN","."),_xlpm.mainPart,MID(_xlpm.cleanRaw,2,FIND(".",_xlpm.cleanRaw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7" t="str">
        <f>_xlfn.LET(_xlpm.raw,_xlfn.XLOOKUP(A227,'Pinlist(S3)'!$C$4:$C$1362,'Pinlist(S3)'!$E$4:$E$1362,""),_xlpm.cleanRaw,SUBSTITUTE(SUBSTITUTE(_xlpm.raw,"_PIN","."),"PIN","."),_xlpm.mainPart,MID(_xlpm.cleanRaw,2,FIND(".",_xlpm.cleanRaw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7" t="str">
        <f>_xlfn.LET(_xlpm.raw,_xlfn.XLOOKUP(A227,'Pinlist(S5)'!$C$4:$C$1362,'Pinlist(S5)'!$E$4:$E$1362,""),_xlpm.cleanRaw,SUBSTITUTE(SUBSTITUTE(_xlpm.raw,"_PIN","."),"PIN","."),_xlpm.mainPart,MID(_xlpm.cleanRaw,2,FIND(".",_xlpm.cleanRaw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7" t="str">
        <f>""</f>
        <v/>
      </c>
      <c r="J227" t="str">
        <f t="shared" si="3"/>
        <v>E18;VSS;;9.975;2.72299999999999;;;;</v>
      </c>
    </row>
    <row r="228" spans="1:10">
      <c r="A228" t="s">
        <v>1296</v>
      </c>
      <c r="B228" t="str">
        <f>_xlfn.XLOOKUP(A228,'Pinlist(S1)'!$Q$4:$Q$1362,'Pinlist(S1)'!$R$4:$R$1362,"")</f>
        <v>PCIE_7_SATA_0_RXP</v>
      </c>
      <c r="C228" t="str" cm="1">
        <f t="array" ref="C228">_xlfn.TEXTJOIN(",",TRUE,_xlfn.UNIQUE(TRANSPOSE(_xlfn.MAP(_xlfn.XLOOKUP(A228,'Pinlist(S1)'!$C$4:$C$1362,'Pinlist(S1)'!$F$4:$K$1362,""),_xlfn.LAMBDA(_xlpm.x,IF(_xlpm.x&lt;&gt;"",TRIM(CLEAN(LEFT(_xlpm.x,FIND(".",_xlpm.x &amp; ".")-1))),""))))))</f>
        <v>KA507,LA514</v>
      </c>
      <c r="D228">
        <v>10.89</v>
      </c>
      <c r="E228">
        <v>2.7229999999999901</v>
      </c>
      <c r="F228" t="str">
        <f>_xlfn.LET(_xlpm.raw,_xlfn.XLOOKUP(A228,'Pinlist(S1)'!$C$4:$C$1362,'Pinlist(S1)'!$E$4:$E$1362,""),_xlpm.cleanRaw,SUBSTITUTE(SUBSTITUTE(_xlpm.raw,"_PIN","."),"PIN","."),_xlpm.mainPart,MID(_xlpm.cleanRaw,2,FIND(".",_xlpm.cleanRaw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504091</v>
      </c>
      <c r="G228" t="str">
        <f>_xlfn.LET(_xlpm.raw,_xlfn.XLOOKUP(A228,'Pinlist(S3)'!$C$4:$C$1362,'Pinlist(S3)'!$E$4:$E$1362,""),_xlpm.cleanRaw,SUBSTITUTE(SUBSTITUTE(_xlpm.raw,"_PIN","."),"PIN","."),_xlpm.mainPart,MID(_xlpm.cleanRaw,2,FIND(".",_xlpm.cleanRaw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809104</v>
      </c>
      <c r="H228" t="str">
        <f>_xlfn.LET(_xlpm.raw,_xlfn.XLOOKUP(A228,'Pinlist(S5)'!$C$4:$C$1362,'Pinlist(S5)'!$E$4:$E$1362,""),_xlpm.cleanRaw,SUBSTITUTE(SUBSTITUTE(_xlpm.raw,"_PIN","."),"PIN","."),_xlpm.mainPart,MID(_xlpm.cleanRaw,2,FIND(".",_xlpm.cleanRaw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I228" t="str">
        <f>""</f>
        <v/>
      </c>
      <c r="J228" t="str">
        <f t="shared" si="3"/>
        <v>E20;PCIE_7_SATA_0_RXP;KA507,LA514;10.89;2.72299999999999;504091;809104;601031;</v>
      </c>
    </row>
    <row r="229" spans="1:10">
      <c r="A229" t="s">
        <v>2138</v>
      </c>
      <c r="B229" t="str">
        <f>_xlfn.XLOOKUP(A229,'Pinlist(S1)'!$Q$4:$Q$1362,'Pinlist(S1)'!$R$4:$R$1362,"")</f>
        <v>VSS</v>
      </c>
      <c r="C229" t="str" cm="1">
        <f t="array" ref="C229">_xlfn.TEXTJOIN(",",TRUE,_xlfn.UNIQUE(TRANSPOSE(_xlfn.MAP(_xlfn.XLOOKUP(A229,'Pinlist(S1)'!$C$4:$C$1362,'Pinlist(S1)'!$F$4:$K$1362,""),_xlfn.LAMBDA(_xlpm.x,IF(_xlpm.x&lt;&gt;"",TRIM(CLEAN(LEFT(_xlpm.x,FIND(".",_xlpm.x &amp; ".")-1))),""))))))</f>
        <v/>
      </c>
      <c r="D229">
        <v>11.804</v>
      </c>
      <c r="E229">
        <v>2.7229999999999901</v>
      </c>
      <c r="F229" t="str">
        <f>_xlfn.LET(_xlpm.raw,_xlfn.XLOOKUP(A229,'Pinlist(S1)'!$C$4:$C$1362,'Pinlist(S1)'!$E$4:$E$1362,""),_xlpm.cleanRaw,SUBSTITUTE(SUBSTITUTE(_xlpm.raw,"_PIN","."),"PIN","."),_xlpm.mainPart,MID(_xlpm.cleanRaw,2,FIND(".",_xlpm.cleanRaw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9" t="str">
        <f>_xlfn.LET(_xlpm.raw,_xlfn.XLOOKUP(A229,'Pinlist(S3)'!$C$4:$C$1362,'Pinlist(S3)'!$E$4:$E$1362,""),_xlpm.cleanRaw,SUBSTITUTE(SUBSTITUTE(_xlpm.raw,"_PIN","."),"PIN","."),_xlpm.mainPart,MID(_xlpm.cleanRaw,2,FIND(".",_xlpm.cleanRaw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9" t="str">
        <f>_xlfn.LET(_xlpm.raw,_xlfn.XLOOKUP(A229,'Pinlist(S5)'!$C$4:$C$1362,'Pinlist(S5)'!$E$4:$E$1362,""),_xlpm.cleanRaw,SUBSTITUTE(SUBSTITUTE(_xlpm.raw,"_PIN","."),"PIN","."),_xlpm.mainPart,MID(_xlpm.cleanRaw,2,FIND(".",_xlpm.cleanRaw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9" t="str">
        <f>""</f>
        <v/>
      </c>
      <c r="J229" t="str">
        <f t="shared" si="3"/>
        <v>E21;VSS;;11.804;2.72299999999999;;;;</v>
      </c>
    </row>
    <row r="230" spans="1:10">
      <c r="A230" t="s">
        <v>1310</v>
      </c>
      <c r="B230" t="str">
        <f>_xlfn.XLOOKUP(A230,'Pinlist(S1)'!$Q$4:$Q$1362,'Pinlist(S1)'!$R$4:$R$1362,"")</f>
        <v>PCIE_9_LAN_0D_RXN</v>
      </c>
      <c r="C230" t="str" cm="1">
        <f t="array" ref="C230">_xlfn.TEXTJOIN(",",TRUE,_xlfn.UNIQUE(TRANSPOSE(_xlfn.MAP(_xlfn.XLOOKUP(A230,'Pinlist(S1)'!$C$4:$C$1362,'Pinlist(S1)'!$F$4:$K$1362,""),_xlfn.LAMBDA(_xlpm.x,IF(_xlpm.x&lt;&gt;"",TRIM(CLEAN(LEFT(_xlpm.x,FIND(".",_xlpm.x &amp; ".")-1))),""))))))</f>
        <v>KA509,LA517</v>
      </c>
      <c r="D230">
        <v>12.718</v>
      </c>
      <c r="E230">
        <v>2.7229999999999901</v>
      </c>
      <c r="F230" t="str">
        <f>_xlfn.LET(_xlpm.raw,_xlfn.XLOOKUP(A230,'Pinlist(S1)'!$C$4:$C$1362,'Pinlist(S1)'!$E$4:$E$1362,""),_xlpm.cleanRaw,SUBSTITUTE(SUBSTITUTE(_xlpm.raw,"_PIN","."),"PIN","."),_xlpm.mainPart,MID(_xlpm.cleanRaw,2,FIND(".",_xlpm.cleanRaw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G230" t="str">
        <f>_xlfn.LET(_xlpm.raw,_xlfn.XLOOKUP(A230,'Pinlist(S3)'!$C$4:$C$1362,'Pinlist(S3)'!$E$4:$E$1362,""),_xlpm.cleanRaw,SUBSTITUTE(SUBSTITUTE(_xlpm.raw,"_PIN","."),"PIN","."),_xlpm.mainPart,MID(_xlpm.cleanRaw,2,FIND(".",_xlpm.cleanRaw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809098</v>
      </c>
      <c r="H230" t="str">
        <f>_xlfn.LET(_xlpm.raw,_xlfn.XLOOKUP(A230,'Pinlist(S5)'!$C$4:$C$1362,'Pinlist(S5)'!$E$4:$E$1362,""),_xlpm.cleanRaw,SUBSTITUTE(SUBSTITUTE(_xlpm.raw,"_PIN","."),"PIN","."),_xlpm.mainPart,MID(_xlpm.cleanRaw,2,FIND(".",_xlpm.cleanRaw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I230" t="str">
        <f>""</f>
        <v/>
      </c>
      <c r="J230" t="str">
        <f t="shared" si="3"/>
        <v>E22;PCIE_9_LAN_0D_RXN;KA509,LA517;12.718;2.72299999999999;504101;809098;601026;</v>
      </c>
    </row>
    <row r="231" spans="1:10">
      <c r="A231" t="s">
        <v>1312</v>
      </c>
      <c r="B231" t="str">
        <f>_xlfn.XLOOKUP(A231,'Pinlist(S1)'!$Q$4:$Q$1362,'Pinlist(S1)'!$R$4:$R$1362,"")</f>
        <v>PCIE_9_LAN_0D_RXP</v>
      </c>
      <c r="C231" t="str" cm="1">
        <f t="array" ref="C231">_xlfn.TEXTJOIN(",",TRUE,_xlfn.UNIQUE(TRANSPOSE(_xlfn.MAP(_xlfn.XLOOKUP(A231,'Pinlist(S1)'!$C$4:$C$1362,'Pinlist(S1)'!$F$4:$K$1362,""),_xlfn.LAMBDA(_xlpm.x,IF(_xlpm.x&lt;&gt;"",TRIM(CLEAN(LEFT(_xlpm.x,FIND(".",_xlpm.x &amp; ".")-1))),""))))))</f>
        <v>KA509,LA518</v>
      </c>
      <c r="D231">
        <v>13.632999999999999</v>
      </c>
      <c r="E231">
        <v>2.7229999999999901</v>
      </c>
      <c r="F231" t="str">
        <f>_xlfn.LET(_xlpm.raw,_xlfn.XLOOKUP(A231,'Pinlist(S1)'!$C$4:$C$1362,'Pinlist(S1)'!$E$4:$E$1362,""),_xlpm.cleanRaw,SUBSTITUTE(SUBSTITUTE(_xlpm.raw,"_PIN","."),"PIN","."),_xlpm.mainPart,MID(_xlpm.cleanRaw,2,FIND(".",_xlpm.cleanRaw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G231" t="str">
        <f>_xlfn.LET(_xlpm.raw,_xlfn.XLOOKUP(A231,'Pinlist(S3)'!$C$4:$C$1362,'Pinlist(S3)'!$E$4:$E$1362,""),_xlpm.cleanRaw,SUBSTITUTE(SUBSTITUTE(_xlpm.raw,"_PIN","."),"PIN","."),_xlpm.mainPart,MID(_xlpm.cleanRaw,2,FIND(".",_xlpm.cleanRaw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809096</v>
      </c>
      <c r="H231" t="str">
        <f>_xlfn.LET(_xlpm.raw,_xlfn.XLOOKUP(A231,'Pinlist(S5)'!$C$4:$C$1362,'Pinlist(S5)'!$E$4:$E$1362,""),_xlpm.cleanRaw,SUBSTITUTE(SUBSTITUTE(_xlpm.raw,"_PIN","."),"PIN","."),_xlpm.mainPart,MID(_xlpm.cleanRaw,2,FIND(".",_xlpm.cleanRaw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I231" t="str">
        <f>""</f>
        <v/>
      </c>
      <c r="J231" t="str">
        <f t="shared" si="3"/>
        <v>E23;PCIE_9_LAN_0D_RXP;KA509,LA518;13.633;2.72299999999999;504099;809096;601024;</v>
      </c>
    </row>
    <row r="232" spans="1:10">
      <c r="A232" t="s">
        <v>1232</v>
      </c>
      <c r="B232" t="str">
        <f>_xlfn.XLOOKUP(A232,'Pinlist(S1)'!$Q$4:$Q$1362,'Pinlist(S1)'!$R$4:$R$1362,"")</f>
        <v>PCIE_10_LAN_0E_RXP</v>
      </c>
      <c r="C232" t="str" cm="1">
        <f t="array" ref="C232">_xlfn.TEXTJOIN(",",TRUE,_xlfn.UNIQUE(TRANSPOSE(_xlfn.MAP(_xlfn.XLOOKUP(A232,'Pinlist(S1)'!$C$4:$C$1362,'Pinlist(S1)'!$F$4:$K$1362,""),_xlfn.LAMBDA(_xlpm.x,IF(_xlpm.x&lt;&gt;"",TRIM(CLEAN(LEFT(_xlpm.x,FIND(".",_xlpm.x &amp; ".")-1))),""))))))</f>
        <v>KA510,LA520</v>
      </c>
      <c r="D232">
        <v>14.547000000000001</v>
      </c>
      <c r="E232">
        <v>2.7229999999999901</v>
      </c>
      <c r="F232" t="str">
        <f>_xlfn.LET(_xlpm.raw,_xlfn.XLOOKUP(A232,'Pinlist(S1)'!$C$4:$C$1362,'Pinlist(S1)'!$E$4:$E$1362,""),_xlpm.cleanRaw,SUBSTITUTE(SUBSTITUTE(_xlpm.raw,"_PIN","."),"PIN","."),_xlpm.mainPart,MID(_xlpm.cleanRaw,2,FIND(".",_xlpm.cleanRaw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G232" t="str">
        <f>_xlfn.LET(_xlpm.raw,_xlfn.XLOOKUP(A232,'Pinlist(S3)'!$C$4:$C$1362,'Pinlist(S3)'!$E$4:$E$1362,""),_xlpm.cleanRaw,SUBSTITUTE(SUBSTITUTE(_xlpm.raw,"_PIN","."),"PIN","."),_xlpm.mainPart,MID(_xlpm.cleanRaw,2,FIND(".",_xlpm.cleanRaw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809088</v>
      </c>
      <c r="H232" t="str">
        <f>_xlfn.LET(_xlpm.raw,_xlfn.XLOOKUP(A232,'Pinlist(S5)'!$C$4:$C$1362,'Pinlist(S5)'!$E$4:$E$1362,""),_xlpm.cleanRaw,SUBSTITUTE(SUBSTITUTE(_xlpm.raw,"_PIN","."),"PIN","."),_xlpm.mainPart,MID(_xlpm.cleanRaw,2,FIND(".",_xlpm.cleanRaw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I232" t="str">
        <f>""</f>
        <v/>
      </c>
      <c r="J232" t="str">
        <f t="shared" si="3"/>
        <v>E25;PCIE_10_LAN_0E_RXP;KA510,LA520;14.547;2.72299999999999;504098;809088;601028;</v>
      </c>
    </row>
    <row r="233" spans="1:10">
      <c r="A233" t="s">
        <v>1240</v>
      </c>
      <c r="B233" t="str">
        <f>_xlfn.XLOOKUP(A233,'Pinlist(S1)'!$Q$4:$Q$1362,'Pinlist(S1)'!$R$4:$R$1362,"")</f>
        <v>PCIE_11_SATA_1B_RXP</v>
      </c>
      <c r="C233" t="str" cm="1">
        <f t="array" ref="C233">_xlfn.TEXTJOIN(",",TRUE,_xlfn.UNIQUE(TRANSPOSE(_xlfn.MAP(_xlfn.XLOOKUP(A233,'Pinlist(S1)'!$C$4:$C$1362,'Pinlist(S1)'!$F$4:$K$1362,""),_xlfn.LAMBDA(_xlpm.x,IF(_xlpm.x&lt;&gt;"",TRIM(CLEAN(LEFT(_xlpm.x,FIND(".",_xlpm.x &amp; ".")-1))),""))))))</f>
        <v>KA511,LA522</v>
      </c>
      <c r="D233">
        <v>15.462</v>
      </c>
      <c r="E233">
        <v>2.7229999999999901</v>
      </c>
      <c r="F233" t="str">
        <f>_xlfn.LET(_xlpm.raw,_xlfn.XLOOKUP(A233,'Pinlist(S1)'!$C$4:$C$1362,'Pinlist(S1)'!$E$4:$E$1362,""),_xlpm.cleanRaw,SUBSTITUTE(SUBSTITUTE(_xlpm.raw,"_PIN","."),"PIN","."),_xlpm.mainPart,MID(_xlpm.cleanRaw,2,FIND(".",_xlpm.cleanRaw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G233" t="str">
        <f>_xlfn.LET(_xlpm.raw,_xlfn.XLOOKUP(A233,'Pinlist(S3)'!$C$4:$C$1362,'Pinlist(S3)'!$E$4:$E$1362,""),_xlpm.cleanRaw,SUBSTITUTE(SUBSTITUTE(_xlpm.raw,"_PIN","."),"PIN","."),_xlpm.mainPart,MID(_xlpm.cleanRaw,2,FIND(".",_xlpm.cleanRaw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233" t="str">
        <f>_xlfn.LET(_xlpm.raw,_xlfn.XLOOKUP(A233,'Pinlist(S5)'!$C$4:$C$1362,'Pinlist(S5)'!$E$4:$E$1362,""),_xlpm.cleanRaw,SUBSTITUTE(SUBSTITUTE(_xlpm.raw,"_PIN","."),"PIN","."),_xlpm.mainPart,MID(_xlpm.cleanRaw,2,FIND(".",_xlpm.cleanRaw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601036</v>
      </c>
      <c r="I233" t="str">
        <f>""</f>
        <v/>
      </c>
      <c r="J233" t="str">
        <f t="shared" si="3"/>
        <v>E27;PCIE_11_SATA_1B_RXP;KA511,LA522;15.462;2.72299999999999;504103;809100;601036;</v>
      </c>
    </row>
    <row r="234" spans="1:10">
      <c r="A234" t="s">
        <v>1238</v>
      </c>
      <c r="B234" t="str">
        <f>_xlfn.XLOOKUP(A234,'Pinlist(S1)'!$Q$4:$Q$1362,'Pinlist(S1)'!$R$4:$R$1362,"")</f>
        <v>PCIE_11_SATA_1B_RXN</v>
      </c>
      <c r="C234" t="str" cm="1">
        <f t="array" ref="C234">_xlfn.TEXTJOIN(",",TRUE,_xlfn.UNIQUE(TRANSPOSE(_xlfn.MAP(_xlfn.XLOOKUP(A234,'Pinlist(S1)'!$C$4:$C$1362,'Pinlist(S1)'!$F$4:$K$1362,""),_xlfn.LAMBDA(_xlpm.x,IF(_xlpm.x&lt;&gt;"",TRIM(CLEAN(LEFT(_xlpm.x,FIND(".",_xlpm.x &amp; ".")-1))),""))))))</f>
        <v>KA511,LA521</v>
      </c>
      <c r="D234">
        <v>16.376000000000001</v>
      </c>
      <c r="E234">
        <v>2.7229999999999901</v>
      </c>
      <c r="F234" t="str">
        <f>_xlfn.LET(_xlpm.raw,_xlfn.XLOOKUP(A234,'Pinlist(S1)'!$C$4:$C$1362,'Pinlist(S1)'!$E$4:$E$1362,""),_xlpm.cleanRaw,SUBSTITUTE(SUBSTITUTE(_xlpm.raw,"_PIN","."),"PIN","."),_xlpm.mainPart,MID(_xlpm.cleanRaw,2,FIND(".",_xlpm.cleanRaw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G234" t="str">
        <f>_xlfn.LET(_xlpm.raw,_xlfn.XLOOKUP(A234,'Pinlist(S3)'!$C$4:$C$1362,'Pinlist(S3)'!$E$4:$E$1362,""),_xlpm.cleanRaw,SUBSTITUTE(SUBSTITUTE(_xlpm.raw,"_PIN","."),"PIN","."),_xlpm.mainPart,MID(_xlpm.cleanRaw,2,FIND(".",_xlpm.cleanRaw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234" t="str">
        <f>_xlfn.LET(_xlpm.raw,_xlfn.XLOOKUP(A234,'Pinlist(S5)'!$C$4:$C$1362,'Pinlist(S5)'!$E$4:$E$1362,""),_xlpm.cleanRaw,SUBSTITUTE(SUBSTITUTE(_xlpm.raw,"_PIN","."),"PIN","."),_xlpm.mainPart,MID(_xlpm.cleanRaw,2,FIND(".",_xlpm.cleanRaw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I234" t="str">
        <f>""</f>
        <v/>
      </c>
      <c r="J234" t="str">
        <f t="shared" si="3"/>
        <v>E28;PCIE_11_SATA_1B_RXN;KA511,LA521;16.376;2.72299999999999;504104;809102;601034;</v>
      </c>
    </row>
    <row r="235" spans="1:10">
      <c r="A235" t="s">
        <v>1246</v>
      </c>
      <c r="B235" t="str">
        <f>_xlfn.XLOOKUP(A235,'Pinlist(S1)'!$Q$4:$Q$1362,'Pinlist(S1)'!$R$4:$R$1362,"")</f>
        <v>PCIE_12_SATA_2_RXN</v>
      </c>
      <c r="C235" t="str" cm="1">
        <f t="array" ref="C235">_xlfn.TEXTJOIN(",",TRUE,_xlfn.UNIQUE(TRANSPOSE(_xlfn.MAP(_xlfn.XLOOKUP(A235,'Pinlist(S1)'!$C$4:$C$1362,'Pinlist(S1)'!$F$4:$K$1362,""),_xlfn.LAMBDA(_xlpm.x,IF(_xlpm.x&lt;&gt;"",TRIM(CLEAN(LEFT(_xlpm.x,FIND(".",_xlpm.x &amp; ".")-1))),""))))))</f>
        <v>KA512,LA523</v>
      </c>
      <c r="D235">
        <v>17.29</v>
      </c>
      <c r="E235">
        <v>2.7229999999999901</v>
      </c>
      <c r="F235" t="str">
        <f>_xlfn.LET(_xlpm.raw,_xlfn.XLOOKUP(A235,'Pinlist(S1)'!$C$4:$C$1362,'Pinlist(S1)'!$E$4:$E$1362,""),_xlpm.cleanRaw,SUBSTITUTE(SUBSTITUTE(_xlpm.raw,"_PIN","."),"PIN","."),_xlpm.mainPart,MID(_xlpm.cleanRaw,2,FIND(".",_xlpm.cleanRaw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G235" t="str">
        <f>_xlfn.LET(_xlpm.raw,_xlfn.XLOOKUP(A235,'Pinlist(S3)'!$C$4:$C$1362,'Pinlist(S3)'!$E$4:$E$1362,""),_xlpm.cleanRaw,SUBSTITUTE(SUBSTITUTE(_xlpm.raw,"_PIN","."),"PIN","."),_xlpm.mainPart,MID(_xlpm.cleanRaw,2,FIND(".",_xlpm.cleanRaw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807026</v>
      </c>
      <c r="H235" t="str">
        <f>_xlfn.LET(_xlpm.raw,_xlfn.XLOOKUP(A235,'Pinlist(S5)'!$C$4:$C$1362,'Pinlist(S5)'!$E$4:$E$1362,""),_xlpm.cleanRaw,SUBSTITUTE(SUBSTITUTE(_xlpm.raw,"_PIN","."),"PIN","."),_xlpm.mainPart,MID(_xlpm.cleanRaw,2,FIND(".",_xlpm.cleanRaw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I235" t="str">
        <f>""</f>
        <v/>
      </c>
      <c r="J235" t="str">
        <f t="shared" si="3"/>
        <v>E30;PCIE_12_SATA_2_RXN;KA512,LA523;17.29;2.72299999999999;504100;807026;601039;</v>
      </c>
    </row>
    <row r="236" spans="1:10">
      <c r="A236" t="s">
        <v>1587</v>
      </c>
      <c r="B236" t="str">
        <f>_xlfn.XLOOKUP(A236,'Pinlist(S1)'!$Q$4:$Q$1362,'Pinlist(S1)'!$R$4:$R$1362,"")</f>
        <v>VCCCORE_SENSE</v>
      </c>
      <c r="C236" t="str" cm="1">
        <f t="array" ref="C236">_xlfn.TEXTJOIN(",",TRUE,_xlfn.UNIQUE(TRANSPOSE(_xlfn.MAP(_xlfn.XLOOKUP(A236,'Pinlist(S1)'!$C$4:$C$1362,'Pinlist(S1)'!$F$4:$K$1362,""),_xlfn.LAMBDA(_xlpm.x,IF(_xlpm.x&lt;&gt;"",TRIM(CLEAN(LEFT(_xlpm.x,FIND(".",_xlpm.x &amp; ".")-1))),""))))))</f>
        <v/>
      </c>
      <c r="D236">
        <v>18.204999999999998</v>
      </c>
      <c r="E236">
        <v>2.7229999999999901</v>
      </c>
      <c r="F236" t="str">
        <f>_xlfn.LET(_xlpm.raw,_xlfn.XLOOKUP(A236,'Pinlist(S1)'!$C$4:$C$1362,'Pinlist(S1)'!$E$4:$E$1362,""),_xlpm.cleanRaw,SUBSTITUTE(SUBSTITUTE(_xlpm.raw,"_PIN","."),"PIN","."),_xlpm.mainPart,MID(_xlpm.cleanRaw,2,FIND(".",_xlpm.cleanRaw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6" t="str">
        <f>_xlfn.LET(_xlpm.raw,_xlfn.XLOOKUP(A236,'Pinlist(S3)'!$C$4:$C$1362,'Pinlist(S3)'!$E$4:$E$1362,""),_xlpm.cleanRaw,SUBSTITUTE(SUBSTITUTE(_xlpm.raw,"_PIN","."),"PIN","."),_xlpm.mainPart,MID(_xlpm.cleanRaw,2,FIND(".",_xlpm.cleanRaw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6" t="str">
        <f>_xlfn.LET(_xlpm.raw,_xlfn.XLOOKUP(A236,'Pinlist(S5)'!$C$4:$C$1362,'Pinlist(S5)'!$E$4:$E$1362,""),_xlpm.cleanRaw,SUBSTITUTE(SUBSTITUTE(_xlpm.raw,"_PIN","."),"PIN","."),_xlpm.mainPart,MID(_xlpm.cleanRaw,2,FIND(".",_xlpm.cleanRaw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6" t="str">
        <f>""</f>
        <v/>
      </c>
      <c r="J236" t="str">
        <f t="shared" si="3"/>
        <v>E32;VCCCORE_SENSE;;18.205;2.72299999999999;;;;</v>
      </c>
    </row>
    <row r="237" spans="1:10">
      <c r="A237" t="s">
        <v>2244</v>
      </c>
      <c r="B237" t="str">
        <f>_xlfn.XLOOKUP(A237,'Pinlist(S1)'!$Q$4:$Q$1362,'Pinlist(S1)'!$R$4:$R$1362,"")</f>
        <v>VSSCORE_SENSE</v>
      </c>
      <c r="C237" t="str" cm="1">
        <f t="array" ref="C237">_xlfn.TEXTJOIN(",",TRUE,_xlfn.UNIQUE(TRANSPOSE(_xlfn.MAP(_xlfn.XLOOKUP(A237,'Pinlist(S1)'!$C$4:$C$1362,'Pinlist(S1)'!$F$4:$K$1362,""),_xlfn.LAMBDA(_xlpm.x,IF(_xlpm.x&lt;&gt;"",TRIM(CLEAN(LEFT(_xlpm.x,FIND(".",_xlpm.x &amp; ".")-1))),""))))))</f>
        <v/>
      </c>
      <c r="D237">
        <v>19.119</v>
      </c>
      <c r="E237">
        <v>2.7229999999999901</v>
      </c>
      <c r="F237" t="str">
        <f>_xlfn.LET(_xlpm.raw,_xlfn.XLOOKUP(A237,'Pinlist(S1)'!$C$4:$C$1362,'Pinlist(S1)'!$E$4:$E$1362,""),_xlpm.cleanRaw,SUBSTITUTE(SUBSTITUTE(_xlpm.raw,"_PIN","."),"PIN","."),_xlpm.mainPart,MID(_xlpm.cleanRaw,2,FIND(".",_xlpm.cleanRaw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7" t="str">
        <f>_xlfn.LET(_xlpm.raw,_xlfn.XLOOKUP(A237,'Pinlist(S3)'!$C$4:$C$1362,'Pinlist(S3)'!$E$4:$E$1362,""),_xlpm.cleanRaw,SUBSTITUTE(SUBSTITUTE(_xlpm.raw,"_PIN","."),"PIN","."),_xlpm.mainPart,MID(_xlpm.cleanRaw,2,FIND(".",_xlpm.cleanRaw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7" t="str">
        <f>_xlfn.LET(_xlpm.raw,_xlfn.XLOOKUP(A237,'Pinlist(S5)'!$C$4:$C$1362,'Pinlist(S5)'!$E$4:$E$1362,""),_xlpm.cleanRaw,SUBSTITUTE(SUBSTITUTE(_xlpm.raw,"_PIN","."),"PIN","."),_xlpm.mainPart,MID(_xlpm.cleanRaw,2,FIND(".",_xlpm.cleanRaw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7" t="str">
        <f>""</f>
        <v/>
      </c>
      <c r="J237" t="str">
        <f t="shared" si="3"/>
        <v>E33;VSSCORE_SENSE;;19.119;2.72299999999999;;;;</v>
      </c>
    </row>
    <row r="238" spans="1:10">
      <c r="A238" t="s">
        <v>2269</v>
      </c>
      <c r="B238" t="str">
        <f>_xlfn.XLOOKUP(A238,'Pinlist(S1)'!$Q$4:$Q$1362,'Pinlist(S1)'!$R$4:$R$1362,"")</f>
        <v>XTAL_OUT</v>
      </c>
      <c r="C238" t="str" cm="1">
        <f t="array" ref="C238">_xlfn.TEXTJOIN(",",TRUE,_xlfn.UNIQUE(TRANSPOSE(_xlfn.MAP(_xlfn.XLOOKUP(A238,'Pinlist(S1)'!$C$4:$C$1362,'Pinlist(S1)'!$F$4:$K$1362,""),_xlfn.LAMBDA(_xlpm.x,IF(_xlpm.x&lt;&gt;"",TRIM(CLEAN(LEFT(_xlpm.x,FIND(".",_xlpm.x &amp; ".")-1))),""))))))</f>
        <v>KA139</v>
      </c>
      <c r="D238">
        <v>20.033999999999999</v>
      </c>
      <c r="E238">
        <v>2.7229999999999901</v>
      </c>
      <c r="F238" t="str">
        <f>_xlfn.LET(_xlpm.raw,_xlfn.XLOOKUP(A238,'Pinlist(S1)'!$C$4:$C$1362,'Pinlist(S1)'!$E$4:$E$1362,""),_xlpm.cleanRaw,SUBSTITUTE(SUBSTITUTE(_xlpm.raw,"_PIN","."),"PIN","."),_xlpm.mainPart,MID(_xlpm.cleanRaw,2,FIND(".",_xlpm.cleanRaw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509008</v>
      </c>
      <c r="G238" t="str">
        <f>_xlfn.LET(_xlpm.raw,_xlfn.XLOOKUP(A238,'Pinlist(S3)'!$C$4:$C$1362,'Pinlist(S3)'!$E$4:$E$1362,""),_xlpm.cleanRaw,SUBSTITUTE(SUBSTITUTE(_xlpm.raw,"_PIN","."),"PIN","."),_xlpm.mainPart,MID(_xlpm.cleanRaw,2,FIND(".",_xlpm.cleanRaw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238" t="str">
        <f>_xlfn.LET(_xlpm.raw,_xlfn.XLOOKUP(A238,'Pinlist(S5)'!$C$4:$C$1362,'Pinlist(S5)'!$E$4:$E$1362,""),_xlpm.cleanRaw,SUBSTITUTE(SUBSTITUTE(_xlpm.raw,"_PIN","."),"PIN","."),_xlpm.mainPart,MID(_xlpm.cleanRaw,2,FIND(".",_xlpm.cleanRaw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703001</v>
      </c>
      <c r="I238" t="str">
        <f>""</f>
        <v/>
      </c>
      <c r="J238" t="str">
        <f t="shared" si="3"/>
        <v>E35;XTAL_OUT;KA139;20.034;2.72299999999999;509008;804037;703001;</v>
      </c>
    </row>
    <row r="239" spans="1:10">
      <c r="A239" t="s">
        <v>2267</v>
      </c>
      <c r="B239" t="str">
        <f>_xlfn.XLOOKUP(A239,'Pinlist(S1)'!$Q$4:$Q$1362,'Pinlist(S1)'!$R$4:$R$1362,"")</f>
        <v>XTAL_IN</v>
      </c>
      <c r="C239" t="str" cm="1">
        <f t="array" ref="C239">_xlfn.TEXTJOIN(",",TRUE,_xlfn.UNIQUE(TRANSPOSE(_xlfn.MAP(_xlfn.XLOOKUP(A239,'Pinlist(S1)'!$C$4:$C$1362,'Pinlist(S1)'!$F$4:$K$1362,""),_xlfn.LAMBDA(_xlpm.x,IF(_xlpm.x&lt;&gt;"",TRIM(CLEAN(LEFT(_xlpm.x,FIND(".",_xlpm.x &amp; ".")-1))),""))))))</f>
        <v>KA139</v>
      </c>
      <c r="D239">
        <v>20.948</v>
      </c>
      <c r="E239">
        <v>2.7229999999999901</v>
      </c>
      <c r="F239" t="str">
        <f>_xlfn.LET(_xlpm.raw,_xlfn.XLOOKUP(A239,'Pinlist(S1)'!$C$4:$C$1362,'Pinlist(S1)'!$E$4:$E$1362,""),_xlpm.cleanRaw,SUBSTITUTE(SUBSTITUTE(_xlpm.raw,"_PIN","."),"PIN","."),_xlpm.mainPart,MID(_xlpm.cleanRaw,2,FIND(".",_xlpm.cleanRaw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509006</v>
      </c>
      <c r="G239" t="str">
        <f>_xlfn.LET(_xlpm.raw,_xlfn.XLOOKUP(A239,'Pinlist(S3)'!$C$4:$C$1362,'Pinlist(S3)'!$E$4:$E$1362,""),_xlpm.cleanRaw,SUBSTITUTE(SUBSTITUTE(_xlpm.raw,"_PIN","."),"PIN","."),_xlpm.mainPart,MID(_xlpm.cleanRaw,2,FIND(".",_xlpm.cleanRaw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239" t="str">
        <f>_xlfn.LET(_xlpm.raw,_xlfn.XLOOKUP(A239,'Pinlist(S5)'!$C$4:$C$1362,'Pinlist(S5)'!$E$4:$E$1362,""),_xlpm.cleanRaw,SUBSTITUTE(SUBSTITUTE(_xlpm.raw,"_PIN","."),"PIN","."),_xlpm.mainPart,MID(_xlpm.cleanRaw,2,FIND(".",_xlpm.cleanRaw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703003</v>
      </c>
      <c r="I239" t="str">
        <f>""</f>
        <v/>
      </c>
      <c r="J239" t="str">
        <f t="shared" si="3"/>
        <v>E37;XTAL_IN;KA139;20.948;2.72299999999999;509006;804005;703003;</v>
      </c>
    </row>
    <row r="240" spans="1:10">
      <c r="A240" t="s">
        <v>62</v>
      </c>
      <c r="B240" t="str">
        <f>_xlfn.XLOOKUP(A240,'Pinlist(S1)'!$Q$4:$Q$1362,'Pinlist(S1)'!$R$4:$R$1362,"")</f>
        <v>CLKOUT_SRC_P_5</v>
      </c>
      <c r="C240" t="str" cm="1">
        <f t="array" ref="C240">_xlfn.TEXTJOIN(",",TRUE,_xlfn.UNIQUE(TRANSPOSE(_xlfn.MAP(_xlfn.XLOOKUP(A240,'Pinlist(S1)'!$C$4:$C$1362,'Pinlist(S1)'!$F$4:$K$1362,""),_xlfn.LAMBDA(_xlpm.x,IF(_xlpm.x&lt;&gt;"",TRIM(CLEAN(LEFT(_xlpm.x,FIND(".",_xlpm.x &amp; ".")-1))),""))))))</f>
        <v>TPA104,KA102</v>
      </c>
      <c r="D240">
        <v>21.861999999999998</v>
      </c>
      <c r="E240">
        <v>2.7229999999999901</v>
      </c>
      <c r="F240" t="str">
        <f>_xlfn.LET(_xlpm.raw,_xlfn.XLOOKUP(A240,'Pinlist(S1)'!$C$4:$C$1362,'Pinlist(S1)'!$E$4:$E$1362,""),_xlpm.cleanRaw,SUBSTITUTE(SUBSTITUTE(_xlpm.raw,"_PIN","."),"PIN","."),_xlpm.mainPart,MID(_xlpm.cleanRaw,2,FIND(".",_xlpm.cleanRaw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240" t="str">
        <f>_xlfn.LET(_xlpm.raw,_xlfn.XLOOKUP(A240,'Pinlist(S3)'!$C$4:$C$1362,'Pinlist(S3)'!$E$4:$E$1362,""),_xlpm.cleanRaw,SUBSTITUTE(SUBSTITUTE(_xlpm.raw,"_PIN","."),"PIN","."),_xlpm.mainPart,MID(_xlpm.cleanRaw,2,FIND(".",_xlpm.cleanRaw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240" t="str">
        <f>_xlfn.LET(_xlpm.raw,_xlfn.XLOOKUP(A240,'Pinlist(S5)'!$C$4:$C$1362,'Pinlist(S5)'!$E$4:$E$1362,""),_xlpm.cleanRaw,SUBSTITUTE(SUBSTITUTE(_xlpm.raw,"_PIN","."),"PIN","."),_xlpm.mainPart,MID(_xlpm.cleanRaw,2,FIND(".",_xlpm.cleanRaw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240" t="str">
        <f>""</f>
        <v/>
      </c>
      <c r="J240" t="str">
        <f t="shared" si="3"/>
        <v>E38;CLKOUT_SRC_P_5;TPA104,KA102;21.862;2.72299999999999;505059;805081;702081;</v>
      </c>
    </row>
    <row r="241" spans="1:10">
      <c r="A241" t="s">
        <v>48</v>
      </c>
      <c r="B241" t="str">
        <f>_xlfn.XLOOKUP(A241,'Pinlist(S1)'!$Q$4:$Q$1362,'Pinlist(S1)'!$R$4:$R$1362,"")</f>
        <v>CLKOUT_SRC_N_5</v>
      </c>
      <c r="C241" t="str" cm="1">
        <f t="array" ref="C241">_xlfn.TEXTJOIN(",",TRUE,_xlfn.UNIQUE(TRANSPOSE(_xlfn.MAP(_xlfn.XLOOKUP(A241,'Pinlist(S1)'!$C$4:$C$1362,'Pinlist(S1)'!$F$4:$K$1362,""),_xlfn.LAMBDA(_xlpm.x,IF(_xlpm.x&lt;&gt;"",TRIM(CLEAN(LEFT(_xlpm.x,FIND(".",_xlpm.x &amp; ".")-1))),""))))))</f>
        <v>TPA103,KA102</v>
      </c>
      <c r="D241">
        <v>22.777000000000001</v>
      </c>
      <c r="E241">
        <v>2.7229999999999901</v>
      </c>
      <c r="F241" t="str">
        <f>_xlfn.LET(_xlpm.raw,_xlfn.XLOOKUP(A241,'Pinlist(S1)'!$C$4:$C$1362,'Pinlist(S1)'!$E$4:$E$1362,""),_xlpm.cleanRaw,SUBSTITUTE(SUBSTITUTE(_xlpm.raw,"_PIN","."),"PIN","."),_xlpm.mainPart,MID(_xlpm.cleanRaw,2,FIND(".",_xlpm.cleanRaw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241" t="str">
        <f>_xlfn.LET(_xlpm.raw,_xlfn.XLOOKUP(A241,'Pinlist(S3)'!$C$4:$C$1362,'Pinlist(S3)'!$E$4:$E$1362,""),_xlpm.cleanRaw,SUBSTITUTE(SUBSTITUTE(_xlpm.raw,"_PIN","."),"PIN","."),_xlpm.mainPart,MID(_xlpm.cleanRaw,2,FIND(".",_xlpm.cleanRaw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241" t="str">
        <f>_xlfn.LET(_xlpm.raw,_xlfn.XLOOKUP(A241,'Pinlist(S5)'!$C$4:$C$1362,'Pinlist(S5)'!$E$4:$E$1362,""),_xlpm.cleanRaw,SUBSTITUTE(SUBSTITUTE(_xlpm.raw,"_PIN","."),"PIN","."),_xlpm.mainPart,MID(_xlpm.cleanRaw,2,FIND(".",_xlpm.cleanRaw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241" t="str">
        <f>""</f>
        <v/>
      </c>
      <c r="J241" t="str">
        <f t="shared" si="3"/>
        <v>E40;CLKOUT_SRC_N_5;TPA103,KA102;22.777;2.72299999999999;505075;805077;702082;</v>
      </c>
    </row>
    <row r="242" spans="1:10">
      <c r="A242" t="s">
        <v>2265</v>
      </c>
      <c r="B242" t="str">
        <f>_xlfn.XLOOKUP(A242,'Pinlist(S1)'!$Q$4:$Q$1362,'Pinlist(S1)'!$R$4:$R$1362,"")</f>
        <v>XCLK_BIASREF</v>
      </c>
      <c r="C242" t="str" cm="1">
        <f t="array" ref="C242">_xlfn.TEXTJOIN(",",TRUE,_xlfn.UNIQUE(TRANSPOSE(_xlfn.MAP(_xlfn.XLOOKUP(A242,'Pinlist(S1)'!$C$4:$C$1362,'Pinlist(S1)'!$F$4:$K$1362,""),_xlfn.LAMBDA(_xlpm.x,IF(_xlpm.x&lt;&gt;"",TRIM(CLEAN(LEFT(_xlpm.x,FIND(".",_xlpm.x &amp; ".")-1))),""))))))</f>
        <v>RA237</v>
      </c>
      <c r="D242">
        <v>23.690999999999999</v>
      </c>
      <c r="E242">
        <v>2.7229999999999901</v>
      </c>
      <c r="F242" t="str">
        <f>_xlfn.LET(_xlpm.raw,_xlfn.XLOOKUP(A242,'Pinlist(S1)'!$C$4:$C$1362,'Pinlist(S1)'!$E$4:$E$1362,""),_xlpm.cleanRaw,SUBSTITUTE(SUBSTITUTE(_xlpm.raw,"_PIN","."),"PIN","."),_xlpm.mainPart,MID(_xlpm.cleanRaw,2,FIND(".",_xlpm.cleanRaw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2" t="str">
        <f>_xlfn.LET(_xlpm.raw,_xlfn.XLOOKUP(A242,'Pinlist(S3)'!$C$4:$C$1362,'Pinlist(S3)'!$E$4:$E$1362,""),_xlpm.cleanRaw,SUBSTITUTE(SUBSTITUTE(_xlpm.raw,"_PIN","."),"PIN","."),_xlpm.mainPart,MID(_xlpm.cleanRaw,2,FIND(".",_xlpm.cleanRaw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2" t="str">
        <f>_xlfn.LET(_xlpm.raw,_xlfn.XLOOKUP(A242,'Pinlist(S5)'!$C$4:$C$1362,'Pinlist(S5)'!$E$4:$E$1362,""),_xlpm.cleanRaw,SUBSTITUTE(SUBSTITUTE(_xlpm.raw,"_PIN","."),"PIN","."),_xlpm.mainPart,MID(_xlpm.cleanRaw,2,FIND(".",_xlpm.cleanRaw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2" t="str">
        <f>""</f>
        <v/>
      </c>
      <c r="J242" t="str">
        <f t="shared" si="3"/>
        <v>E42;XCLK_BIASREF;RA237;23.691;2.72299999999999;;;;</v>
      </c>
    </row>
    <row r="243" spans="1:10">
      <c r="A243" t="s">
        <v>35</v>
      </c>
      <c r="B243" t="str">
        <f>_xlfn.XLOOKUP(A243,'Pinlist(S1)'!$Q$4:$Q$1362,'Pinlist(S1)'!$R$4:$R$1362,"")</f>
        <v>CLKOUT_ITPXDP_P</v>
      </c>
      <c r="C243" t="str" cm="1">
        <f t="array" ref="C243">_xlfn.TEXTJOIN(",",TRUE,_xlfn.UNIQUE(TRANSPOSE(_xlfn.MAP(_xlfn.XLOOKUP(A243,'Pinlist(S1)'!$C$4:$C$1362,'Pinlist(S1)'!$F$4:$K$1362,""),_xlfn.LAMBDA(_xlpm.x,IF(_xlpm.x&lt;&gt;"",TRIM(CLEAN(LEFT(_xlpm.x,FIND(".",_xlpm.x &amp; ".")-1))),""))))))</f>
        <v>TPA102,KA101</v>
      </c>
      <c r="D243">
        <v>24.606000000000002</v>
      </c>
      <c r="E243">
        <v>2.7229999999999901</v>
      </c>
      <c r="F243" t="str">
        <f>_xlfn.LET(_xlpm.raw,_xlfn.XLOOKUP(A243,'Pinlist(S1)'!$C$4:$C$1362,'Pinlist(S1)'!$E$4:$E$1362,""),_xlpm.cleanRaw,SUBSTITUTE(SUBSTITUTE(_xlpm.raw,"_PIN","."),"PIN","."),_xlpm.mainPart,MID(_xlpm.cleanRaw,2,FIND(".",_xlpm.cleanRaw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243" t="str">
        <f>_xlfn.LET(_xlpm.raw,_xlfn.XLOOKUP(A243,'Pinlist(S3)'!$C$4:$C$1362,'Pinlist(S3)'!$E$4:$E$1362,""),_xlpm.cleanRaw,SUBSTITUTE(SUBSTITUTE(_xlpm.raw,"_PIN","."),"PIN","."),_xlpm.mainPart,MID(_xlpm.cleanRaw,2,FIND(".",_xlpm.cleanRaw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243" t="str">
        <f>_xlfn.LET(_xlpm.raw,_xlfn.XLOOKUP(A243,'Pinlist(S5)'!$C$4:$C$1362,'Pinlist(S5)'!$E$4:$E$1362,""),_xlpm.cleanRaw,SUBSTITUTE(SUBSTITUTE(_xlpm.raw,"_PIN","."),"PIN","."),_xlpm.mainPart,MID(_xlpm.cleanRaw,2,FIND(".",_xlpm.cleanRaw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243" t="str">
        <f>""</f>
        <v/>
      </c>
      <c r="J243" t="str">
        <f t="shared" si="3"/>
        <v>E43;CLKOUT_ITPXDP_P;TPA102,KA101;24.606;2.72299999999999;508041;804003;703040;</v>
      </c>
    </row>
    <row r="244" spans="1:10">
      <c r="A244" t="s">
        <v>720</v>
      </c>
      <c r="B244" t="str">
        <f>_xlfn.XLOOKUP(A244,'Pinlist(S1)'!$Q$4:$Q$1362,'Pinlist(S1)'!$R$4:$R$1362,"")</f>
        <v>EDP_AUXN</v>
      </c>
      <c r="C244" t="str" cm="1">
        <f t="array" ref="C244">_xlfn.TEXTJOIN(",",TRUE,_xlfn.UNIQUE(TRANSPOSE(_xlfn.MAP(_xlfn.XLOOKUP(A244,'Pinlist(S1)'!$C$4:$C$1362,'Pinlist(S1)'!$F$4:$K$1362,""),_xlfn.LAMBDA(_xlpm.x,IF(_xlpm.x&lt;&gt;"",TRIM(CLEAN(LEFT(_xlpm.x,FIND(".",_xlpm.x &amp; ".")-1))),""))))))</f>
        <v/>
      </c>
      <c r="D244">
        <v>25.52</v>
      </c>
      <c r="E244">
        <v>2.7229999999999901</v>
      </c>
      <c r="F244" t="str">
        <f>_xlfn.LET(_xlpm.raw,_xlfn.XLOOKUP(A244,'Pinlist(S1)'!$C$4:$C$1362,'Pinlist(S1)'!$E$4:$E$1362,""),_xlpm.cleanRaw,SUBSTITUTE(SUBSTITUTE(_xlpm.raw,"_PIN","."),"PIN","."),_xlpm.mainPart,MID(_xlpm.cleanRaw,2,FIND(".",_xlpm.cleanRaw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608070</v>
      </c>
      <c r="G244" t="str">
        <f>_xlfn.LET(_xlpm.raw,_xlfn.XLOOKUP(A244,'Pinlist(S3)'!$C$4:$C$1362,'Pinlist(S3)'!$E$4:$E$1362,""),_xlpm.cleanRaw,SUBSTITUTE(SUBSTITUTE(_xlpm.raw,"_PIN","."),"PIN","."),_xlpm.mainPart,MID(_xlpm.cleanRaw,2,FIND(".",_xlpm.cleanRaw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801025</v>
      </c>
      <c r="H244" t="str">
        <f>_xlfn.LET(_xlpm.raw,_xlfn.XLOOKUP(A244,'Pinlist(S5)'!$C$4:$C$1362,'Pinlist(S5)'!$E$4:$E$1362,""),_xlpm.cleanRaw,SUBSTITUTE(SUBSTITUTE(_xlpm.raw,"_PIN","."),"PIN","."),_xlpm.mainPart,MID(_xlpm.cleanRaw,2,FIND(".",_xlpm.cleanRaw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708069</v>
      </c>
      <c r="I244" t="str">
        <f>""</f>
        <v/>
      </c>
      <c r="J244" t="str">
        <f t="shared" si="3"/>
        <v>E45;EDP_AUXN;;25.52;2.72299999999999;608070;801025;708069;</v>
      </c>
    </row>
    <row r="245" spans="1:10">
      <c r="A245" t="s">
        <v>2139</v>
      </c>
      <c r="B245" t="str">
        <f>_xlfn.XLOOKUP(A245,'Pinlist(S1)'!$Q$4:$Q$1362,'Pinlist(S1)'!$R$4:$R$1362,"")</f>
        <v>VSS</v>
      </c>
      <c r="C245" t="str" cm="1">
        <f t="array" ref="C245">_xlfn.TEXTJOIN(",",TRUE,_xlfn.UNIQUE(TRANSPOSE(_xlfn.MAP(_xlfn.XLOOKUP(A245,'Pinlist(S1)'!$C$4:$C$1362,'Pinlist(S1)'!$F$4:$K$1362,""),_xlfn.LAMBDA(_xlpm.x,IF(_xlpm.x&lt;&gt;"",TRIM(CLEAN(LEFT(_xlpm.x,FIND(".",_xlpm.x &amp; ".")-1))),""))))))</f>
        <v/>
      </c>
      <c r="D245">
        <v>26.434000000000001</v>
      </c>
      <c r="E245">
        <v>2.7229999999999901</v>
      </c>
      <c r="F245" t="str">
        <f>_xlfn.LET(_xlpm.raw,_xlfn.XLOOKUP(A245,'Pinlist(S1)'!$C$4:$C$1362,'Pinlist(S1)'!$E$4:$E$1362,""),_xlpm.cleanRaw,SUBSTITUTE(SUBSTITUTE(_xlpm.raw,"_PIN","."),"PIN","."),_xlpm.mainPart,MID(_xlpm.cleanRaw,2,FIND(".",_xlpm.cleanRaw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5" t="str">
        <f>_xlfn.LET(_xlpm.raw,_xlfn.XLOOKUP(A245,'Pinlist(S3)'!$C$4:$C$1362,'Pinlist(S3)'!$E$4:$E$1362,""),_xlpm.cleanRaw,SUBSTITUTE(SUBSTITUTE(_xlpm.raw,"_PIN","."),"PIN","."),_xlpm.mainPart,MID(_xlpm.cleanRaw,2,FIND(".",_xlpm.cleanRaw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5" t="str">
        <f>_xlfn.LET(_xlpm.raw,_xlfn.XLOOKUP(A245,'Pinlist(S5)'!$C$4:$C$1362,'Pinlist(S5)'!$E$4:$E$1362,""),_xlpm.cleanRaw,SUBSTITUTE(SUBSTITUTE(_xlpm.raw,"_PIN","."),"PIN","."),_xlpm.mainPart,MID(_xlpm.cleanRaw,2,FIND(".",_xlpm.cleanRaw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5" t="str">
        <f>""</f>
        <v/>
      </c>
      <c r="J245" t="str">
        <f t="shared" si="3"/>
        <v>E46;VSS;;26.434;2.72299999999999;;;;</v>
      </c>
    </row>
    <row r="246" spans="1:10">
      <c r="A246" t="s">
        <v>189</v>
      </c>
      <c r="B246" t="str">
        <f>_xlfn.XLOOKUP(A246,'Pinlist(S1)'!$Q$4:$Q$1362,'Pinlist(S1)'!$R$4:$R$1362,"")</f>
        <v>DDI2_AUXN</v>
      </c>
      <c r="C246" t="str" cm="1">
        <f t="array" ref="C246">_xlfn.TEXTJOIN(",",TRUE,_xlfn.UNIQUE(TRANSPOSE(_xlfn.MAP(_xlfn.XLOOKUP(A246,'Pinlist(S1)'!$C$4:$C$1362,'Pinlist(S1)'!$F$4:$K$1362,""),_xlfn.LAMBDA(_xlpm.x,IF(_xlpm.x&lt;&gt;"",TRIM(CLEAN(LEFT(_xlpm.x,FIND(".",_xlpm.x &amp; ".")-1))),""))))))</f>
        <v>KA146</v>
      </c>
      <c r="D246">
        <v>27.349</v>
      </c>
      <c r="E246">
        <v>2.7229999999999901</v>
      </c>
      <c r="F246" t="str">
        <f>_xlfn.LET(_xlpm.raw,_xlfn.XLOOKUP(A246,'Pinlist(S1)'!$C$4:$C$1362,'Pinlist(S1)'!$E$4:$E$1362,""),_xlpm.cleanRaw,SUBSTITUTE(SUBSTITUTE(_xlpm.raw,"_PIN","."),"PIN","."),_xlpm.mainPart,MID(_xlpm.cleanRaw,2,FIND(".",_xlpm.cleanRaw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246" t="str">
        <f>_xlfn.LET(_xlpm.raw,_xlfn.XLOOKUP(A246,'Pinlist(S3)'!$C$4:$C$1362,'Pinlist(S3)'!$E$4:$E$1362,""),_xlpm.cleanRaw,SUBSTITUTE(SUBSTITUTE(_xlpm.raw,"_PIN","."),"PIN","."),_xlpm.mainPart,MID(_xlpm.cleanRaw,2,FIND(".",_xlpm.cleanRaw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503023</v>
      </c>
      <c r="H246" t="str">
        <f>_xlfn.LET(_xlpm.raw,_xlfn.XLOOKUP(A246,'Pinlist(S5)'!$C$4:$C$1362,'Pinlist(S5)'!$E$4:$E$1362,""),_xlpm.cleanRaw,SUBSTITUTE(SUBSTITUTE(_xlpm.raw,"_PIN","."),"PIN","."),_xlpm.mainPart,MID(_xlpm.cleanRaw,2,FIND(".",_xlpm.cleanRaw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I246" t="str">
        <f>""</f>
        <v/>
      </c>
      <c r="J246" t="str">
        <f t="shared" si="3"/>
        <v>E48;DDI2_AUXN;KA146;27.349;2.72299999999999;604015;503023;709036;</v>
      </c>
    </row>
    <row r="247" spans="1:10">
      <c r="A247" t="s">
        <v>2140</v>
      </c>
      <c r="B247" t="str">
        <f>_xlfn.XLOOKUP(A247,'Pinlist(S1)'!$Q$4:$Q$1362,'Pinlist(S1)'!$R$4:$R$1362,"")</f>
        <v>VSS</v>
      </c>
      <c r="C247" t="str" cm="1">
        <f t="array" ref="C247">_xlfn.TEXTJOIN(",",TRUE,_xlfn.UNIQUE(TRANSPOSE(_xlfn.MAP(_xlfn.XLOOKUP(A247,'Pinlist(S1)'!$C$4:$C$1362,'Pinlist(S1)'!$F$4:$K$1362,""),_xlfn.LAMBDA(_xlpm.x,IF(_xlpm.x&lt;&gt;"",TRIM(CLEAN(LEFT(_xlpm.x,FIND(".",_xlpm.x &amp; ".")-1))),""))))))</f>
        <v/>
      </c>
      <c r="D247">
        <v>28.262999999999899</v>
      </c>
      <c r="E247">
        <v>2.7229999999999901</v>
      </c>
      <c r="F247" t="str">
        <f>_xlfn.LET(_xlpm.raw,_xlfn.XLOOKUP(A247,'Pinlist(S1)'!$C$4:$C$1362,'Pinlist(S1)'!$E$4:$E$1362,""),_xlpm.cleanRaw,SUBSTITUTE(SUBSTITUTE(_xlpm.raw,"_PIN","."),"PIN","."),_xlpm.mainPart,MID(_xlpm.cleanRaw,2,FIND(".",_xlpm.cleanRaw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7" t="str">
        <f>_xlfn.LET(_xlpm.raw,_xlfn.XLOOKUP(A247,'Pinlist(S3)'!$C$4:$C$1362,'Pinlist(S3)'!$E$4:$E$1362,""),_xlpm.cleanRaw,SUBSTITUTE(SUBSTITUTE(_xlpm.raw,"_PIN","."),"PIN","."),_xlpm.mainPart,MID(_xlpm.cleanRaw,2,FIND(".",_xlpm.cleanRaw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7" t="str">
        <f>_xlfn.LET(_xlpm.raw,_xlfn.XLOOKUP(A247,'Pinlist(S5)'!$C$4:$C$1362,'Pinlist(S5)'!$E$4:$E$1362,""),_xlpm.cleanRaw,SUBSTITUTE(SUBSTITUTE(_xlpm.raw,"_PIN","."),"PIN","."),_xlpm.mainPart,MID(_xlpm.cleanRaw,2,FIND(".",_xlpm.cleanRaw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7" t="str">
        <f>""</f>
        <v/>
      </c>
      <c r="J247" t="str">
        <f t="shared" si="3"/>
        <v>E50;VSS;;28.2629999999999;2.72299999999999;;;;</v>
      </c>
    </row>
    <row r="248" spans="1:10">
      <c r="A248" t="s">
        <v>708</v>
      </c>
      <c r="B248" t="str">
        <f>_xlfn.XLOOKUP(A248,'Pinlist(S1)'!$Q$4:$Q$1362,'Pinlist(S1)'!$R$4:$R$1362,"")</f>
        <v>DP_COMP</v>
      </c>
      <c r="C248" t="str" cm="1">
        <f t="array" ref="C248">_xlfn.TEXTJOIN(",",TRUE,_xlfn.UNIQUE(TRANSPOSE(_xlfn.MAP(_xlfn.XLOOKUP(A248,'Pinlist(S1)'!$C$4:$C$1362,'Pinlist(S1)'!$F$4:$K$1362,""),_xlfn.LAMBDA(_xlpm.x,IF(_xlpm.x&lt;&gt;"",TRIM(CLEAN(LEFT(_xlpm.x,FIND(".",_xlpm.x &amp; ".")-1))),""))))))</f>
        <v>RA102,RA101</v>
      </c>
      <c r="D248">
        <v>29.178000000000001</v>
      </c>
      <c r="E248">
        <v>2.7229999999999901</v>
      </c>
      <c r="F248" t="str">
        <f>_xlfn.LET(_xlpm.raw,_xlfn.XLOOKUP(A248,'Pinlist(S1)'!$C$4:$C$1362,'Pinlist(S1)'!$E$4:$E$1362,""),_xlpm.cleanRaw,SUBSTITUTE(SUBSTITUTE(_xlpm.raw,"_PIN","."),"PIN","."),_xlpm.mainPart,MID(_xlpm.cleanRaw,2,FIND(".",_xlpm.cleanRaw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606122</v>
      </c>
      <c r="G248" t="str">
        <f>_xlfn.LET(_xlpm.raw,_xlfn.XLOOKUP(A248,'Pinlist(S3)'!$C$4:$C$1362,'Pinlist(S3)'!$E$4:$E$1362,""),_xlpm.cleanRaw,SUBSTITUTE(SUBSTITUTE(_xlpm.raw,"_PIN","."),"PIN","."),_xlpm.mainPart,MID(_xlpm.cleanRaw,2,FIND(".",_xlpm.cleanRaw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502084</v>
      </c>
      <c r="H248" t="str">
        <f>_xlfn.LET(_xlpm.raw,_xlfn.XLOOKUP(A248,'Pinlist(S5)'!$C$4:$C$1362,'Pinlist(S5)'!$E$4:$E$1362,""),_xlpm.cleanRaw,SUBSTITUTE(SUBSTITUTE(_xlpm.raw,"_PIN","."),"PIN","."),_xlpm.mainPart,MID(_xlpm.cleanRaw,2,FIND(".",_xlpm.cleanRaw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708083</v>
      </c>
      <c r="I248" t="str">
        <f>""</f>
        <v/>
      </c>
      <c r="J248" t="str">
        <f t="shared" si="3"/>
        <v>E52;DP_COMP;RA102,RA101;29.178;2.72299999999999;606122;502084;708083;</v>
      </c>
    </row>
    <row r="249" spans="1:10">
      <c r="A249" t="s">
        <v>2141</v>
      </c>
      <c r="B249" t="str">
        <f>_xlfn.XLOOKUP(A249,'Pinlist(S1)'!$Q$4:$Q$1362,'Pinlist(S1)'!$R$4:$R$1362,"")</f>
        <v>VSS</v>
      </c>
      <c r="C249" t="str" cm="1">
        <f t="array" ref="C249">_xlfn.TEXTJOIN(",",TRUE,_xlfn.UNIQUE(TRANSPOSE(_xlfn.MAP(_xlfn.XLOOKUP(A249,'Pinlist(S1)'!$C$4:$C$1362,'Pinlist(S1)'!$F$4:$K$1362,""),_xlfn.LAMBDA(_xlpm.x,IF(_xlpm.x&lt;&gt;"",TRIM(CLEAN(LEFT(_xlpm.x,FIND(".",_xlpm.x &amp; ".")-1))),""))))))</f>
        <v/>
      </c>
      <c r="D249">
        <v>30.091999999999999</v>
      </c>
      <c r="E249">
        <v>2.7229999999999901</v>
      </c>
      <c r="F249" t="str">
        <f>_xlfn.LET(_xlpm.raw,_xlfn.XLOOKUP(A249,'Pinlist(S1)'!$C$4:$C$1362,'Pinlist(S1)'!$E$4:$E$1362,""),_xlpm.cleanRaw,SUBSTITUTE(SUBSTITUTE(_xlpm.raw,"_PIN","."),"PIN","."),_xlpm.mainPart,MID(_xlpm.cleanRaw,2,FIND(".",_xlpm.cleanRaw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9" t="str">
        <f>_xlfn.LET(_xlpm.raw,_xlfn.XLOOKUP(A249,'Pinlist(S3)'!$C$4:$C$1362,'Pinlist(S3)'!$E$4:$E$1362,""),_xlpm.cleanRaw,SUBSTITUTE(SUBSTITUTE(_xlpm.raw,"_PIN","."),"PIN","."),_xlpm.mainPart,MID(_xlpm.cleanRaw,2,FIND(".",_xlpm.cleanRaw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9" t="str">
        <f>_xlfn.LET(_xlpm.raw,_xlfn.XLOOKUP(A249,'Pinlist(S5)'!$C$4:$C$1362,'Pinlist(S5)'!$E$4:$E$1362,""),_xlpm.cleanRaw,SUBSTITUTE(SUBSTITUTE(_xlpm.raw,"_PIN","."),"PIN","."),_xlpm.mainPart,MID(_xlpm.cleanRaw,2,FIND(".",_xlpm.cleanRaw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9" t="str">
        <f>""</f>
        <v/>
      </c>
      <c r="J249" t="str">
        <f t="shared" si="3"/>
        <v>E53;VSS;;30.092;2.72299999999999;;;;</v>
      </c>
    </row>
    <row r="250" spans="1:10">
      <c r="A250" t="s">
        <v>166</v>
      </c>
      <c r="B250" t="str">
        <f>_xlfn.XLOOKUP(A250,'Pinlist(S1)'!$Q$4:$Q$1362,'Pinlist(S1)'!$R$4:$R$1362,"")</f>
        <v>DDI1_TXN[0]</v>
      </c>
      <c r="C250" t="str" cm="1">
        <f t="array" ref="C250">_xlfn.TEXTJOIN(",",TRUE,_xlfn.UNIQUE(TRANSPOSE(_xlfn.MAP(_xlfn.XLOOKUP(A250,'Pinlist(S1)'!$C$4:$C$1362,'Pinlist(S1)'!$F$4:$K$1362,""),_xlfn.LAMBDA(_xlpm.x,IF(_xlpm.x&lt;&gt;"",TRIM(CLEAN(LEFT(_xlpm.x,FIND(".",_xlpm.x &amp; ".")-1))),""))))))</f>
        <v>KA123</v>
      </c>
      <c r="D250">
        <v>31.006</v>
      </c>
      <c r="E250">
        <v>2.7229999999999901</v>
      </c>
      <c r="F250" t="str">
        <f>_xlfn.LET(_xlpm.raw,_xlfn.XLOOKUP(A250,'Pinlist(S1)'!$C$4:$C$1362,'Pinlist(S1)'!$E$4:$E$1362,""),_xlpm.cleanRaw,SUBSTITUTE(SUBSTITUTE(_xlpm.raw,"_PIN","."),"PIN","."),_xlpm.mainPart,MID(_xlpm.cleanRaw,2,FIND(".",_xlpm.cleanRaw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250" t="str">
        <f>_xlfn.LET(_xlpm.raw,_xlfn.XLOOKUP(A250,'Pinlist(S3)'!$C$4:$C$1362,'Pinlist(S3)'!$E$4:$E$1362,""),_xlpm.cleanRaw,SUBSTITUTE(SUBSTITUTE(_xlpm.raw,"_PIN","."),"PIN","."),_xlpm.mainPart,MID(_xlpm.cleanRaw,2,FIND(".",_xlpm.cleanRaw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503015</v>
      </c>
      <c r="H250" t="str">
        <f>_xlfn.LET(_xlpm.raw,_xlfn.XLOOKUP(A250,'Pinlist(S5)'!$C$4:$C$1362,'Pinlist(S5)'!$E$4:$E$1362,""),_xlpm.cleanRaw,SUBSTITUTE(SUBSTITUTE(_xlpm.raw,"_PIN","."),"PIN","."),_xlpm.mainPart,MID(_xlpm.cleanRaw,2,FIND(".",_xlpm.cleanRaw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708058</v>
      </c>
      <c r="I250" t="str">
        <f>""</f>
        <v/>
      </c>
      <c r="J250" t="str">
        <f t="shared" si="3"/>
        <v>E55;DDI1_TXN[0];KA123;31.006;2.72299999999999;604016;503015;708058;</v>
      </c>
    </row>
    <row r="251" spans="1:10">
      <c r="A251" t="s">
        <v>2142</v>
      </c>
      <c r="B251" t="str">
        <f>_xlfn.XLOOKUP(A251,'Pinlist(S1)'!$Q$4:$Q$1362,'Pinlist(S1)'!$R$4:$R$1362,"")</f>
        <v>VSS</v>
      </c>
      <c r="C251" t="str" cm="1">
        <f t="array" ref="C251">_xlfn.TEXTJOIN(",",TRUE,_xlfn.UNIQUE(TRANSPOSE(_xlfn.MAP(_xlfn.XLOOKUP(A251,'Pinlist(S1)'!$C$4:$C$1362,'Pinlist(S1)'!$F$4:$K$1362,""),_xlfn.LAMBDA(_xlpm.x,IF(_xlpm.x&lt;&gt;"",TRIM(CLEAN(LEFT(_xlpm.x,FIND(".",_xlpm.x &amp; ".")-1))),""))))))</f>
        <v/>
      </c>
      <c r="D251">
        <v>31.920999999999999</v>
      </c>
      <c r="E251">
        <v>2.7229999999999901</v>
      </c>
      <c r="F251" t="str">
        <f>_xlfn.LET(_xlpm.raw,_xlfn.XLOOKUP(A251,'Pinlist(S1)'!$C$4:$C$1362,'Pinlist(S1)'!$E$4:$E$1362,""),_xlpm.cleanRaw,SUBSTITUTE(SUBSTITUTE(_xlpm.raw,"_PIN","."),"PIN","."),_xlpm.mainPart,MID(_xlpm.cleanRaw,2,FIND(".",_xlpm.cleanRaw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1" t="str">
        <f>_xlfn.LET(_xlpm.raw,_xlfn.XLOOKUP(A251,'Pinlist(S3)'!$C$4:$C$1362,'Pinlist(S3)'!$E$4:$E$1362,""),_xlpm.cleanRaw,SUBSTITUTE(SUBSTITUTE(_xlpm.raw,"_PIN","."),"PIN","."),_xlpm.mainPart,MID(_xlpm.cleanRaw,2,FIND(".",_xlpm.cleanRaw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1" t="str">
        <f>_xlfn.LET(_xlpm.raw,_xlfn.XLOOKUP(A251,'Pinlist(S5)'!$C$4:$C$1362,'Pinlist(S5)'!$E$4:$E$1362,""),_xlpm.cleanRaw,SUBSTITUTE(SUBSTITUTE(_xlpm.raw,"_PIN","."),"PIN","."),_xlpm.mainPart,MID(_xlpm.cleanRaw,2,FIND(".",_xlpm.cleanRaw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1" t="str">
        <f>""</f>
        <v/>
      </c>
      <c r="J251" t="str">
        <f t="shared" si="3"/>
        <v>E56;VSS;;31.921;2.72299999999999;;;;</v>
      </c>
    </row>
    <row r="252" spans="1:10">
      <c r="A252" t="s">
        <v>168</v>
      </c>
      <c r="B252" t="str">
        <f>_xlfn.XLOOKUP(A252,'Pinlist(S1)'!$Q$4:$Q$1362,'Pinlist(S1)'!$R$4:$R$1362,"")</f>
        <v>DDI1_TXN[1]</v>
      </c>
      <c r="C252" t="str" cm="1">
        <f t="array" ref="C252">_xlfn.TEXTJOIN(",",TRUE,_xlfn.UNIQUE(TRANSPOSE(_xlfn.MAP(_xlfn.XLOOKUP(A252,'Pinlist(S1)'!$C$4:$C$1362,'Pinlist(S1)'!$F$4:$K$1362,""),_xlfn.LAMBDA(_xlpm.x,IF(_xlpm.x&lt;&gt;"",TRIM(CLEAN(LEFT(_xlpm.x,FIND(".",_xlpm.x &amp; ".")-1))),""))))))</f>
        <v>KA124</v>
      </c>
      <c r="D252">
        <v>32.835000000000001</v>
      </c>
      <c r="E252">
        <v>2.7229999999999901</v>
      </c>
      <c r="F252" t="str">
        <f>_xlfn.LET(_xlpm.raw,_xlfn.XLOOKUP(A252,'Pinlist(S1)'!$C$4:$C$1362,'Pinlist(S1)'!$E$4:$E$1362,""),_xlpm.cleanRaw,SUBSTITUTE(SUBSTITUTE(_xlpm.raw,"_PIN","."),"PIN","."),_xlpm.mainPart,MID(_xlpm.cleanRaw,2,FIND(".",_xlpm.cleanRaw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252" t="str">
        <f>_xlfn.LET(_xlpm.raw,_xlfn.XLOOKUP(A252,'Pinlist(S3)'!$C$4:$C$1362,'Pinlist(S3)'!$E$4:$E$1362,""),_xlpm.cleanRaw,SUBSTITUTE(SUBSTITUTE(_xlpm.raw,"_PIN","."),"PIN","."),_xlpm.mainPart,MID(_xlpm.cleanRaw,2,FIND(".",_xlpm.cleanRaw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503016</v>
      </c>
      <c r="H252" t="str">
        <f>_xlfn.LET(_xlpm.raw,_xlfn.XLOOKUP(A252,'Pinlist(S5)'!$C$4:$C$1362,'Pinlist(S5)'!$E$4:$E$1362,""),_xlpm.cleanRaw,SUBSTITUTE(SUBSTITUTE(_xlpm.raw,"_PIN","."),"PIN","."),_xlpm.mainPart,MID(_xlpm.cleanRaw,2,FIND(".",_xlpm.cleanRaw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I252" t="str">
        <f>""</f>
        <v/>
      </c>
      <c r="J252" t="str">
        <f t="shared" si="3"/>
        <v>E58;DDI1_TXN[1];KA124;32.835;2.72299999999999;604026;503016;708057;</v>
      </c>
    </row>
    <row r="253" spans="1:10">
      <c r="A253" t="s">
        <v>1194</v>
      </c>
      <c r="B253" t="str">
        <f>_xlfn.XLOOKUP(A253,'Pinlist(S1)'!$Q$4:$Q$1362,'Pinlist(S1)'!$R$4:$R$1362,"")</f>
        <v>NOA_RCOMP</v>
      </c>
      <c r="C253" t="str" cm="1">
        <f t="array" ref="C253">_xlfn.TEXTJOIN(",",TRUE,_xlfn.UNIQUE(TRANSPOSE(_xlfn.MAP(_xlfn.XLOOKUP(A253,'Pinlist(S1)'!$C$4:$C$1362,'Pinlist(S1)'!$F$4:$K$1362,""),_xlfn.LAMBDA(_xlpm.x,IF(_xlpm.x&lt;&gt;"",TRIM(CLEAN(LEFT(_xlpm.x,FIND(".",_xlpm.x &amp; ".")-1))),""))))))</f>
        <v>RA221,RA133</v>
      </c>
      <c r="D253">
        <v>33.75</v>
      </c>
      <c r="E253">
        <v>2.7229999999999901</v>
      </c>
      <c r="F253" t="str">
        <f>_xlfn.LET(_xlpm.raw,_xlfn.XLOOKUP(A253,'Pinlist(S1)'!$C$4:$C$1362,'Pinlist(S1)'!$E$4:$E$1362,""),_xlpm.cleanRaw,SUBSTITUTE(SUBSTITUTE(_xlpm.raw,"_PIN","."),"PIN","."),_xlpm.mainPart,MID(_xlpm.cleanRaw,2,FIND(".",_xlpm.cleanRaw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3" t="str">
        <f>_xlfn.LET(_xlpm.raw,_xlfn.XLOOKUP(A253,'Pinlist(S3)'!$C$4:$C$1362,'Pinlist(S3)'!$E$4:$E$1362,""),_xlpm.cleanRaw,SUBSTITUTE(SUBSTITUTE(_xlpm.raw,"_PIN","."),"PIN","."),_xlpm.mainPart,MID(_xlpm.cleanRaw,2,FIND(".",_xlpm.cleanRaw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3" t="str">
        <f>_xlfn.LET(_xlpm.raw,_xlfn.XLOOKUP(A253,'Pinlist(S5)'!$C$4:$C$1362,'Pinlist(S5)'!$E$4:$E$1362,""),_xlpm.cleanRaw,SUBSTITUTE(SUBSTITUTE(_xlpm.raw,"_PIN","."),"PIN","."),_xlpm.mainPart,MID(_xlpm.cleanRaw,2,FIND(".",_xlpm.cleanRaw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3" t="str">
        <f>""</f>
        <v/>
      </c>
      <c r="J253" t="str">
        <f t="shared" si="3"/>
        <v>E60;NOA_RCOMP;RA221,RA133;33.75;2.72299999999999;;;;</v>
      </c>
    </row>
    <row r="254" spans="1:10">
      <c r="A254" t="s">
        <v>1137</v>
      </c>
      <c r="B254" t="str">
        <f>_xlfn.XLOOKUP(A254,'Pinlist(S1)'!$Q$4:$Q$1362,'Pinlist(S1)'!$R$4:$R$1362,"")</f>
        <v>LGC_SPARE[2]</v>
      </c>
      <c r="C254" t="str" cm="1">
        <f t="array" ref="C254">_xlfn.TEXTJOIN(",",TRUE,_xlfn.UNIQUE(TRANSPOSE(_xlfn.MAP(_xlfn.XLOOKUP(A254,'Pinlist(S1)'!$C$4:$C$1362,'Pinlist(S1)'!$F$4:$K$1362,""),_xlfn.LAMBDA(_xlpm.x,IF(_xlpm.x&lt;&gt;"",TRIM(CLEAN(LEFT(_xlpm.x,FIND(".",_xlpm.x &amp; ".")-1))),""))))))</f>
        <v>RA186,RA185</v>
      </c>
      <c r="D254">
        <v>34.664000000000001</v>
      </c>
      <c r="E254">
        <v>2.7229999999999901</v>
      </c>
      <c r="F254" t="str">
        <f>_xlfn.LET(_xlpm.raw,_xlfn.XLOOKUP(A254,'Pinlist(S1)'!$C$4:$C$1362,'Pinlist(S1)'!$E$4:$E$1362,""),_xlpm.cleanRaw,SUBSTITUTE(SUBSTITUTE(_xlpm.raw,"_PIN","."),"PIN","."),_xlpm.mainPart,MID(_xlpm.cleanRaw,2,FIND(".",_xlpm.cleanRaw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604039</v>
      </c>
      <c r="G254" t="str">
        <f>_xlfn.LET(_xlpm.raw,_xlfn.XLOOKUP(A254,'Pinlist(S3)'!$C$4:$C$1362,'Pinlist(S3)'!$E$4:$E$1362,""),_xlpm.cleanRaw,SUBSTITUTE(SUBSTITUTE(_xlpm.raw,"_PIN","."),"PIN","."),_xlpm.mainPart,MID(_xlpm.cleanRaw,2,FIND(".",_xlpm.cleanRaw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503032</v>
      </c>
      <c r="H254" t="str">
        <f>_xlfn.LET(_xlpm.raw,_xlfn.XLOOKUP(A254,'Pinlist(S5)'!$C$4:$C$1362,'Pinlist(S5)'!$E$4:$E$1362,""),_xlpm.cleanRaw,SUBSTITUTE(SUBSTITUTE(_xlpm.raw,"_PIN","."),"PIN","."),_xlpm.mainPart,MID(_xlpm.cleanRaw,2,FIND(".",_xlpm.cleanRaw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709029</v>
      </c>
      <c r="I254" t="str">
        <f>""</f>
        <v/>
      </c>
      <c r="J254" t="str">
        <f t="shared" si="3"/>
        <v>E61;LGC_SPARE[2];RA186,RA185;34.664;2.72299999999999;604039;503032;709029;</v>
      </c>
    </row>
    <row r="255" spans="1:10">
      <c r="A255" t="s">
        <v>1196</v>
      </c>
      <c r="B255" t="str">
        <f>_xlfn.XLOOKUP(A255,'Pinlist(S1)'!$Q$4:$Q$1362,'Pinlist(S1)'!$R$4:$R$1362,"")</f>
        <v>NOA_STBN[0]</v>
      </c>
      <c r="C255" t="str" cm="1">
        <f t="array" ref="C255">_xlfn.TEXTJOIN(",",TRUE,_xlfn.UNIQUE(TRANSPOSE(_xlfn.MAP(_xlfn.XLOOKUP(A255,'Pinlist(S1)'!$C$4:$C$1362,'Pinlist(S1)'!$F$4:$K$1362,""),_xlfn.LAMBDA(_xlpm.x,IF(_xlpm.x&lt;&gt;"",TRIM(CLEAN(LEFT(_xlpm.x,FIND(".",_xlpm.x &amp; ".")-1))),""))))))</f>
        <v/>
      </c>
      <c r="D255">
        <v>35.628999999999998</v>
      </c>
      <c r="E255">
        <v>2.65899999999999</v>
      </c>
      <c r="F255" t="str">
        <f>_xlfn.LET(_xlpm.raw,_xlfn.XLOOKUP(A255,'Pinlist(S1)'!$C$4:$C$1362,'Pinlist(S1)'!$E$4:$E$1362,""),_xlpm.cleanRaw,SUBSTITUTE(SUBSTITUTE(_xlpm.raw,"_PIN","."),"PIN","."),_xlpm.mainPart,MID(_xlpm.cleanRaw,2,FIND(".",_xlpm.cleanRaw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604012</v>
      </c>
      <c r="G255" t="str">
        <f>_xlfn.LET(_xlpm.raw,_xlfn.XLOOKUP(A255,'Pinlist(S3)'!$C$4:$C$1362,'Pinlist(S3)'!$E$4:$E$1362,""),_xlpm.cleanRaw,SUBSTITUTE(SUBSTITUTE(_xlpm.raw,"_PIN","."),"PIN","."),_xlpm.mainPart,MID(_xlpm.cleanRaw,2,FIND(".",_xlpm.cleanRaw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503007</v>
      </c>
      <c r="H255" t="str">
        <f>_xlfn.LET(_xlpm.raw,_xlfn.XLOOKUP(A255,'Pinlist(S5)'!$C$4:$C$1362,'Pinlist(S5)'!$E$4:$E$1362,""),_xlpm.cleanRaw,SUBSTITUTE(SUBSTITUTE(_xlpm.raw,"_PIN","."),"PIN","."),_xlpm.mainPart,MID(_xlpm.cleanRaw,2,FIND(".",_xlpm.cleanRaw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709033</v>
      </c>
      <c r="I255" t="str">
        <f>""</f>
        <v/>
      </c>
      <c r="J255" t="str">
        <f t="shared" si="3"/>
        <v>E63;NOA_STBN[0];;35.629;2.65899999999999;604012;503007;709033;</v>
      </c>
    </row>
    <row r="256" spans="1:10">
      <c r="A256" t="s">
        <v>2144</v>
      </c>
      <c r="B256" t="str">
        <f>_xlfn.XLOOKUP(A256,'Pinlist(S1)'!$Q$4:$Q$1362,'Pinlist(S1)'!$R$4:$R$1362,"")</f>
        <v>VSS</v>
      </c>
      <c r="C256" t="str" cm="1">
        <f t="array" ref="C256">_xlfn.TEXTJOIN(",",TRUE,_xlfn.UNIQUE(TRANSPOSE(_xlfn.MAP(_xlfn.XLOOKUP(A256,'Pinlist(S1)'!$C$4:$C$1362,'Pinlist(S1)'!$F$4:$K$1362,""),_xlfn.LAMBDA(_xlpm.x,IF(_xlpm.x&lt;&gt;"",TRIM(CLEAN(LEFT(_xlpm.x,FIND(".",_xlpm.x &amp; ".")-1))),""))))))</f>
        <v/>
      </c>
      <c r="D256">
        <v>36.644999999999897</v>
      </c>
      <c r="E256">
        <v>2.65899999999999</v>
      </c>
      <c r="F256" t="str">
        <f>_xlfn.LET(_xlpm.raw,_xlfn.XLOOKUP(A256,'Pinlist(S1)'!$C$4:$C$1362,'Pinlist(S1)'!$E$4:$E$1362,""),_xlpm.cleanRaw,SUBSTITUTE(SUBSTITUTE(_xlpm.raw,"_PIN","."),"PIN","."),_xlpm.mainPart,MID(_xlpm.cleanRaw,2,FIND(".",_xlpm.cleanRaw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6" t="str">
        <f>_xlfn.LET(_xlpm.raw,_xlfn.XLOOKUP(A256,'Pinlist(S3)'!$C$4:$C$1362,'Pinlist(S3)'!$E$4:$E$1362,""),_xlpm.cleanRaw,SUBSTITUTE(SUBSTITUTE(_xlpm.raw,"_PIN","."),"PIN","."),_xlpm.mainPart,MID(_xlpm.cleanRaw,2,FIND(".",_xlpm.cleanRaw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6" t="str">
        <f>_xlfn.LET(_xlpm.raw,_xlfn.XLOOKUP(A256,'Pinlist(S5)'!$C$4:$C$1362,'Pinlist(S5)'!$E$4:$E$1362,""),_xlpm.cleanRaw,SUBSTITUTE(SUBSTITUTE(_xlpm.raw,"_PIN","."),"PIN","."),_xlpm.mainPart,MID(_xlpm.cleanRaw,2,FIND(".",_xlpm.cleanRaw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6" t="str">
        <f>""</f>
        <v/>
      </c>
      <c r="J256" t="str">
        <f t="shared" si="3"/>
        <v>E65;VSS;;36.6449999999999;2.65899999999999;;;;</v>
      </c>
    </row>
    <row r="257" spans="1:10">
      <c r="A257" t="s">
        <v>1198</v>
      </c>
      <c r="B257" t="str">
        <f>_xlfn.XLOOKUP(A257,'Pinlist(S1)'!$Q$4:$Q$1362,'Pinlist(S1)'!$R$4:$R$1362,"")</f>
        <v>NOA_STBN[1]</v>
      </c>
      <c r="C257" t="str" cm="1">
        <f t="array" ref="C257">_xlfn.TEXTJOIN(",",TRUE,_xlfn.UNIQUE(TRANSPOSE(_xlfn.MAP(_xlfn.XLOOKUP(A257,'Pinlist(S1)'!$C$4:$C$1362,'Pinlist(S1)'!$F$4:$K$1362,""),_xlfn.LAMBDA(_xlpm.x,IF(_xlpm.x&lt;&gt;"",TRIM(CLEAN(LEFT(_xlpm.x,FIND(".",_xlpm.x &amp; ".")-1))),""))))))</f>
        <v>KA129</v>
      </c>
      <c r="D257">
        <v>37.661000000000001</v>
      </c>
      <c r="E257">
        <v>2.65899999999999</v>
      </c>
      <c r="F257" t="str">
        <f>_xlfn.LET(_xlpm.raw,_xlfn.XLOOKUP(A257,'Pinlist(S1)'!$C$4:$C$1362,'Pinlist(S1)'!$E$4:$E$1362,""),_xlpm.cleanRaw,SUBSTITUTE(SUBSTITUTE(_xlpm.raw,"_PIN","."),"PIN","."),_xlpm.mainPart,MID(_xlpm.cleanRaw,2,FIND(".",_xlpm.cleanRaw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257" t="str">
        <f>_xlfn.LET(_xlpm.raw,_xlfn.XLOOKUP(A257,'Pinlist(S3)'!$C$4:$C$1362,'Pinlist(S3)'!$E$4:$E$1362,""),_xlpm.cleanRaw,SUBSTITUTE(SUBSTITUTE(_xlpm.raw,"_PIN","."),"PIN","."),_xlpm.mainPart,MID(_xlpm.cleanRaw,2,FIND(".",_xlpm.cleanRaw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503019</v>
      </c>
      <c r="H257" t="str">
        <f>_xlfn.LET(_xlpm.raw,_xlfn.XLOOKUP(A257,'Pinlist(S5)'!$C$4:$C$1362,'Pinlist(S5)'!$E$4:$E$1362,""),_xlpm.cleanRaw,SUBSTITUTE(SUBSTITUTE(_xlpm.raw,"_PIN","."),"PIN","."),_xlpm.mainPart,MID(_xlpm.cleanRaw,2,FIND(".",_xlpm.cleanRaw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I257" t="str">
        <f>""</f>
        <v/>
      </c>
      <c r="J257" t="str">
        <f t="shared" si="3"/>
        <v>E66;NOA_STBN[1];KA129;37.661;2.65899999999999;604011;503019;709028;</v>
      </c>
    </row>
    <row r="258" spans="1:10">
      <c r="A258" t="s">
        <v>1162</v>
      </c>
      <c r="B258" t="str">
        <f>_xlfn.XLOOKUP(A258,'Pinlist(S1)'!$Q$4:$Q$1362,'Pinlist(S1)'!$R$4:$R$1362,"")</f>
        <v>NOA_N[0]</v>
      </c>
      <c r="C258" t="str" cm="1">
        <f t="array" ref="C258">_xlfn.TEXTJOIN(",",TRUE,_xlfn.UNIQUE(TRANSPOSE(_xlfn.MAP(_xlfn.XLOOKUP(A258,'Pinlist(S1)'!$C$4:$C$1362,'Pinlist(S1)'!$F$4:$K$1362,""),_xlfn.LAMBDA(_xlpm.x,IF(_xlpm.x&lt;&gt;"",TRIM(CLEAN(LEFT(_xlpm.x,FIND(".",_xlpm.x &amp; ".")-1))),""))))))</f>
        <v/>
      </c>
      <c r="D258">
        <v>38.213000000000001</v>
      </c>
      <c r="E258">
        <v>1.9510000000000001</v>
      </c>
      <c r="F258" t="str">
        <f>_xlfn.LET(_xlpm.raw,_xlfn.XLOOKUP(A258,'Pinlist(S1)'!$C$4:$C$1362,'Pinlist(S1)'!$E$4:$E$1362,""),_xlpm.cleanRaw,SUBSTITUTE(SUBSTITUTE(_xlpm.raw,"_PIN","."),"PIN","."),_xlpm.mainPart,MID(_xlpm.cleanRaw,2,FIND(".",_xlpm.cleanRaw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604002</v>
      </c>
      <c r="G258" t="str">
        <f>_xlfn.LET(_xlpm.raw,_xlfn.XLOOKUP(A258,'Pinlist(S3)'!$C$4:$C$1362,'Pinlist(S3)'!$E$4:$E$1362,""),_xlpm.cleanRaw,SUBSTITUTE(SUBSTITUTE(_xlpm.raw,"_PIN","."),"PIN","."),_xlpm.mainPart,MID(_xlpm.cleanRaw,2,FIND(".",_xlpm.cleanRaw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503033</v>
      </c>
      <c r="H258" t="str">
        <f>_xlfn.LET(_xlpm.raw,_xlfn.XLOOKUP(A258,'Pinlist(S5)'!$C$4:$C$1362,'Pinlist(S5)'!$E$4:$E$1362,""),_xlpm.cleanRaw,SUBSTITUTE(SUBSTITUTE(_xlpm.raw,"_PIN","."),"PIN","."),_xlpm.mainPart,MID(_xlpm.cleanRaw,2,FIND(".",_xlpm.cleanRaw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709014</v>
      </c>
      <c r="I258" t="str">
        <f>""</f>
        <v/>
      </c>
      <c r="J258" t="str">
        <f t="shared" ref="J258:J321" si="4">A258&amp;";"&amp;B258&amp;";"&amp;C258&amp;";"&amp;D258&amp;";"&amp;E258&amp;";"&amp;F258&amp;";"&amp;G258&amp;";"&amp;H258&amp;";"&amp;I258</f>
        <v>E68;NOA_N[0];;38.213;1.951;604002;503033;709014;</v>
      </c>
    </row>
    <row r="259" spans="1:10">
      <c r="A259" t="s">
        <v>1182</v>
      </c>
      <c r="B259" t="str">
        <f>_xlfn.XLOOKUP(A259,'Pinlist(S1)'!$Q$4:$Q$1362,'Pinlist(S1)'!$R$4:$R$1362,"")</f>
        <v>NOA_N[4]</v>
      </c>
      <c r="C259" t="str" cm="1">
        <f t="array" ref="C259">_xlfn.TEXTJOIN(",",TRUE,_xlfn.UNIQUE(TRANSPOSE(_xlfn.MAP(_xlfn.XLOOKUP(A259,'Pinlist(S1)'!$C$4:$C$1362,'Pinlist(S1)'!$F$4:$K$1362,""),_xlfn.LAMBDA(_xlpm.x,IF(_xlpm.x&lt;&gt;"",TRIM(CLEAN(LEFT(_xlpm.x,FIND(".",_xlpm.x &amp; ".")-1))),""))))))</f>
        <v>KA125</v>
      </c>
      <c r="D259">
        <v>39.978000000000002</v>
      </c>
      <c r="E259">
        <v>2.3049999999999899</v>
      </c>
      <c r="F259" t="str">
        <f>_xlfn.LET(_xlpm.raw,_xlfn.XLOOKUP(A259,'Pinlist(S1)'!$C$4:$C$1362,'Pinlist(S1)'!$E$4:$E$1362,""),_xlpm.cleanRaw,SUBSTITUTE(SUBSTITUTE(_xlpm.raw,"_PIN","."),"PIN","."),_xlpm.mainPart,MID(_xlpm.cleanRaw,2,FIND(".",_xlpm.cleanRaw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259" t="str">
        <f>_xlfn.LET(_xlpm.raw,_xlfn.XLOOKUP(A259,'Pinlist(S3)'!$C$4:$C$1362,'Pinlist(S3)'!$E$4:$E$1362,""),_xlpm.cleanRaw,SUBSTITUTE(SUBSTITUTE(_xlpm.raw,"_PIN","."),"PIN","."),_xlpm.mainPart,MID(_xlpm.cleanRaw,2,FIND(".",_xlpm.cleanRaw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502058</v>
      </c>
      <c r="H259" t="str">
        <f>_xlfn.LET(_xlpm.raw,_xlfn.XLOOKUP(A259,'Pinlist(S5)'!$C$4:$C$1362,'Pinlist(S5)'!$E$4:$E$1362,""),_xlpm.cleanRaw,SUBSTITUTE(SUBSTITUTE(_xlpm.raw,"_PIN","."),"PIN","."),_xlpm.mainPart,MID(_xlpm.cleanRaw,2,FIND(".",_xlpm.cleanRaw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I259" t="str">
        <f>""</f>
        <v/>
      </c>
      <c r="J259" t="str">
        <f t="shared" si="4"/>
        <v>E70;NOA_N[4];KA125;39.978;2.30499999999999;605053;502058;709020;</v>
      </c>
    </row>
    <row r="260" spans="1:10">
      <c r="A260" t="s">
        <v>2145</v>
      </c>
      <c r="B260" t="str">
        <f>_xlfn.XLOOKUP(A260,'Pinlist(S1)'!$Q$4:$Q$1362,'Pinlist(S1)'!$R$4:$R$1362,"")</f>
        <v>VSS</v>
      </c>
      <c r="C260" t="str" cm="1">
        <f t="array" ref="C260">_xlfn.TEXTJOIN(",",TRUE,_xlfn.UNIQUE(TRANSPOSE(_xlfn.MAP(_xlfn.XLOOKUP(A260,'Pinlist(S1)'!$C$4:$C$1362,'Pinlist(S1)'!$F$4:$K$1362,""),_xlfn.LAMBDA(_xlpm.x,IF(_xlpm.x&lt;&gt;"",TRIM(CLEAN(LEFT(_xlpm.x,FIND(".",_xlpm.x &amp; ".")-1))),""))))))</f>
        <v/>
      </c>
      <c r="D260">
        <v>40.628</v>
      </c>
      <c r="E260">
        <v>2.4129999999999998</v>
      </c>
      <c r="F260" t="str">
        <f>_xlfn.LET(_xlpm.raw,_xlfn.XLOOKUP(A260,'Pinlist(S1)'!$C$4:$C$1362,'Pinlist(S1)'!$E$4:$E$1362,""),_xlpm.cleanRaw,SUBSTITUTE(SUBSTITUTE(_xlpm.raw,"_PIN","."),"PIN","."),_xlpm.mainPart,MID(_xlpm.cleanRaw,2,FIND(".",_xlpm.cleanRaw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0" t="str">
        <f>_xlfn.LET(_xlpm.raw,_xlfn.XLOOKUP(A260,'Pinlist(S3)'!$C$4:$C$1362,'Pinlist(S3)'!$E$4:$E$1362,""),_xlpm.cleanRaw,SUBSTITUTE(SUBSTITUTE(_xlpm.raw,"_PIN","."),"PIN","."),_xlpm.mainPart,MID(_xlpm.cleanRaw,2,FIND(".",_xlpm.cleanRaw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0" t="str">
        <f>_xlfn.LET(_xlpm.raw,_xlfn.XLOOKUP(A260,'Pinlist(S5)'!$C$4:$C$1362,'Pinlist(S5)'!$E$4:$E$1362,""),_xlpm.cleanRaw,SUBSTITUTE(SUBSTITUTE(_xlpm.raw,"_PIN","."),"PIN","."),_xlpm.mainPart,MID(_xlpm.cleanRaw,2,FIND(".",_xlpm.cleanRaw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0" t="str">
        <f>""</f>
        <v/>
      </c>
      <c r="J260" t="str">
        <f t="shared" si="4"/>
        <v>E71;VSS;;40.628;2.413;;;;</v>
      </c>
    </row>
    <row r="261" spans="1:10">
      <c r="A261" t="s">
        <v>2146</v>
      </c>
      <c r="B261" t="str">
        <f>_xlfn.XLOOKUP(A261,'Pinlist(S1)'!$Q$4:$Q$1362,'Pinlist(S1)'!$R$4:$R$1362,"")</f>
        <v>VSS</v>
      </c>
      <c r="C261" t="str" cm="1">
        <f t="array" ref="C261">_xlfn.TEXTJOIN(",",TRUE,_xlfn.UNIQUE(TRANSPOSE(_xlfn.MAP(_xlfn.XLOOKUP(A261,'Pinlist(S1)'!$C$4:$C$1362,'Pinlist(S1)'!$F$4:$K$1362,""),_xlfn.LAMBDA(_xlpm.x,IF(_xlpm.x&lt;&gt;"",TRIM(CLEAN(LEFT(_xlpm.x,FIND(".",_xlpm.x &amp; ".")-1))),""))))))</f>
        <v/>
      </c>
      <c r="D261">
        <v>0.32500000000000201</v>
      </c>
      <c r="E261">
        <v>2.8479999999999901</v>
      </c>
      <c r="F261" t="str">
        <f>_xlfn.LET(_xlpm.raw,_xlfn.XLOOKUP(A261,'Pinlist(S1)'!$C$4:$C$1362,'Pinlist(S1)'!$E$4:$E$1362,""),_xlpm.cleanRaw,SUBSTITUTE(SUBSTITUTE(_xlpm.raw,"_PIN","."),"PIN","."),_xlpm.mainPart,MID(_xlpm.cleanRaw,2,FIND(".",_xlpm.cleanRaw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1" t="str">
        <f>_xlfn.LET(_xlpm.raw,_xlfn.XLOOKUP(A261,'Pinlist(S3)'!$C$4:$C$1362,'Pinlist(S3)'!$E$4:$E$1362,""),_xlpm.cleanRaw,SUBSTITUTE(SUBSTITUTE(_xlpm.raw,"_PIN","."),"PIN","."),_xlpm.mainPart,MID(_xlpm.cleanRaw,2,FIND(".",_xlpm.cleanRaw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1" t="str">
        <f>_xlfn.LET(_xlpm.raw,_xlfn.XLOOKUP(A261,'Pinlist(S5)'!$C$4:$C$1362,'Pinlist(S5)'!$E$4:$E$1362,""),_xlpm.cleanRaw,SUBSTITUTE(SUBSTITUTE(_xlpm.raw,"_PIN","."),"PIN","."),_xlpm.mainPart,MID(_xlpm.cleanRaw,2,FIND(".",_xlpm.cleanRaw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1" t="str">
        <f>""</f>
        <v/>
      </c>
      <c r="J261" t="str">
        <f t="shared" si="4"/>
        <v>F1;VSS;;0.325000000000002;2.84799999999999;;;;</v>
      </c>
    </row>
    <row r="262" spans="1:10">
      <c r="A262" t="s">
        <v>2148</v>
      </c>
      <c r="B262" t="str">
        <f>_xlfn.XLOOKUP(A262,'Pinlist(S1)'!$Q$4:$Q$1362,'Pinlist(S1)'!$R$4:$R$1362,"")</f>
        <v>VSS</v>
      </c>
      <c r="C262" t="str" cm="1">
        <f t="array" ref="C262">_xlfn.TEXTJOIN(",",TRUE,_xlfn.UNIQUE(TRANSPOSE(_xlfn.MAP(_xlfn.XLOOKUP(A262,'Pinlist(S1)'!$C$4:$C$1362,'Pinlist(S1)'!$F$4:$K$1362,""),_xlfn.LAMBDA(_xlpm.x,IF(_xlpm.x&lt;&gt;"",TRIM(CLEAN(LEFT(_xlpm.x,FIND(".",_xlpm.x &amp; ".")-1))),""))))))</f>
        <v/>
      </c>
      <c r="D262">
        <v>0.97500000000000098</v>
      </c>
      <c r="E262">
        <v>2.8479999999999901</v>
      </c>
      <c r="F262" t="str">
        <f>_xlfn.LET(_xlpm.raw,_xlfn.XLOOKUP(A262,'Pinlist(S1)'!$C$4:$C$1362,'Pinlist(S1)'!$E$4:$E$1362,""),_xlpm.cleanRaw,SUBSTITUTE(SUBSTITUTE(_xlpm.raw,"_PIN","."),"PIN","."),_xlpm.mainPart,MID(_xlpm.cleanRaw,2,FIND(".",_xlpm.cleanRaw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2" t="str">
        <f>_xlfn.LET(_xlpm.raw,_xlfn.XLOOKUP(A262,'Pinlist(S3)'!$C$4:$C$1362,'Pinlist(S3)'!$E$4:$E$1362,""),_xlpm.cleanRaw,SUBSTITUTE(SUBSTITUTE(_xlpm.raw,"_PIN","."),"PIN","."),_xlpm.mainPart,MID(_xlpm.cleanRaw,2,FIND(".",_xlpm.cleanRaw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2" t="str">
        <f>_xlfn.LET(_xlpm.raw,_xlfn.XLOOKUP(A262,'Pinlist(S5)'!$C$4:$C$1362,'Pinlist(S5)'!$E$4:$E$1362,""),_xlpm.cleanRaw,SUBSTITUTE(SUBSTITUTE(_xlpm.raw,"_PIN","."),"PIN","."),_xlpm.mainPart,MID(_xlpm.cleanRaw,2,FIND(".",_xlpm.cleanRaw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2" t="str">
        <f>""</f>
        <v/>
      </c>
      <c r="J262" t="str">
        <f t="shared" si="4"/>
        <v>F2;VSS;;0.975000000000001;2.84799999999999;;;;</v>
      </c>
    </row>
    <row r="263" spans="1:10">
      <c r="A263" t="s">
        <v>2158</v>
      </c>
      <c r="B263" t="str">
        <f>_xlfn.XLOOKUP(A263,'Pinlist(S1)'!$Q$4:$Q$1362,'Pinlist(S1)'!$R$4:$R$1362,"")</f>
        <v>VSS</v>
      </c>
      <c r="C263" t="str" cm="1">
        <f t="array" ref="C263">_xlfn.TEXTJOIN(",",TRUE,_xlfn.UNIQUE(TRANSPOSE(_xlfn.MAP(_xlfn.XLOOKUP(A263,'Pinlist(S1)'!$C$4:$C$1362,'Pinlist(S1)'!$F$4:$K$1362,""),_xlfn.LAMBDA(_xlpm.x,IF(_xlpm.x&lt;&gt;"",TRIM(CLEAN(LEFT(_xlpm.x,FIND(".",_xlpm.x &amp; ".")-1))),""))))))</f>
        <v/>
      </c>
      <c r="D263">
        <v>1.9510000000000001</v>
      </c>
      <c r="E263">
        <v>2.8479999999999901</v>
      </c>
      <c r="F263" t="str">
        <f>_xlfn.LET(_xlpm.raw,_xlfn.XLOOKUP(A263,'Pinlist(S1)'!$C$4:$C$1362,'Pinlist(S1)'!$E$4:$E$1362,""),_xlpm.cleanRaw,SUBSTITUTE(SUBSTITUTE(_xlpm.raw,"_PIN","."),"PIN","."),_xlpm.mainPart,MID(_xlpm.cleanRaw,2,FIND(".",_xlpm.cleanRaw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3" t="str">
        <f>_xlfn.LET(_xlpm.raw,_xlfn.XLOOKUP(A263,'Pinlist(S3)'!$C$4:$C$1362,'Pinlist(S3)'!$E$4:$E$1362,""),_xlpm.cleanRaw,SUBSTITUTE(SUBSTITUTE(_xlpm.raw,"_PIN","."),"PIN","."),_xlpm.mainPart,MID(_xlpm.cleanRaw,2,FIND(".",_xlpm.cleanRaw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3" t="str">
        <f>_xlfn.LET(_xlpm.raw,_xlfn.XLOOKUP(A263,'Pinlist(S5)'!$C$4:$C$1362,'Pinlist(S5)'!$E$4:$E$1362,""),_xlpm.cleanRaw,SUBSTITUTE(SUBSTITUTE(_xlpm.raw,"_PIN","."),"PIN","."),_xlpm.mainPart,MID(_xlpm.cleanRaw,2,FIND(".",_xlpm.cleanRaw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3" t="str">
        <f>""</f>
        <v/>
      </c>
      <c r="J263" t="str">
        <f t="shared" si="4"/>
        <v>F4;VSS;;1.951;2.84799999999999;;;;</v>
      </c>
    </row>
    <row r="264" spans="1:10">
      <c r="A264" t="s">
        <v>1318</v>
      </c>
      <c r="B264" t="str">
        <f>_xlfn.XLOOKUP(A264,'Pinlist(S1)'!$Q$4:$Q$1362,'Pinlist(S1)'!$R$4:$R$1362,"")</f>
        <v>PCIE_RCOMPN</v>
      </c>
      <c r="C264" t="str" cm="1">
        <f t="array" ref="C264">_xlfn.TEXTJOIN(",",TRUE,_xlfn.UNIQUE(TRANSPOSE(_xlfn.MAP(_xlfn.XLOOKUP(A264,'Pinlist(S1)'!$C$4:$C$1362,'Pinlist(S1)'!$F$4:$K$1362,""),_xlfn.LAMBDA(_xlpm.x,IF(_xlpm.x&lt;&gt;"",TRIM(CLEAN(LEFT(_xlpm.x,FIND(".",_xlpm.x &amp; ".")-1))),""))))))</f>
        <v>RA103</v>
      </c>
      <c r="D264">
        <v>2.6599999999999899</v>
      </c>
      <c r="E264">
        <v>3.3730000000000002</v>
      </c>
      <c r="F264" t="str">
        <f>_xlfn.LET(_xlpm.raw,_xlfn.XLOOKUP(A264,'Pinlist(S1)'!$C$4:$C$1362,'Pinlist(S1)'!$E$4:$E$1362,""),_xlpm.cleanRaw,SUBSTITUTE(SUBSTITUTE(_xlpm.raw,"_PIN","."),"PIN","."),_xlpm.mainPart,MID(_xlpm.cleanRaw,2,FIND(".",_xlpm.cleanRaw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4" t="str">
        <f>_xlfn.LET(_xlpm.raw,_xlfn.XLOOKUP(A264,'Pinlist(S3)'!$C$4:$C$1362,'Pinlist(S3)'!$E$4:$E$1362,""),_xlpm.cleanRaw,SUBSTITUTE(SUBSTITUTE(_xlpm.raw,"_PIN","."),"PIN","."),_xlpm.mainPart,MID(_xlpm.cleanRaw,2,FIND(".",_xlpm.cleanRaw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4" t="str">
        <f>_xlfn.LET(_xlpm.raw,_xlfn.XLOOKUP(A264,'Pinlist(S5)'!$C$4:$C$1362,'Pinlist(S5)'!$E$4:$E$1362,""),_xlpm.cleanRaw,SUBSTITUTE(SUBSTITUTE(_xlpm.raw,"_PIN","."),"PIN","."),_xlpm.mainPart,MID(_xlpm.cleanRaw,2,FIND(".",_xlpm.cleanRaw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4" t="str">
        <f>""</f>
        <v/>
      </c>
      <c r="J264" t="str">
        <f t="shared" si="4"/>
        <v>F5;PCIE_RCOMPN;RA103;2.65999999999999;3.373;;;;</v>
      </c>
    </row>
    <row r="265" spans="1:10">
      <c r="A265" t="s">
        <v>1398</v>
      </c>
      <c r="B265" t="str">
        <f>_xlfn.XLOOKUP(A265,'Pinlist(S1)'!$Q$4:$Q$1362,'Pinlist(S1)'!$R$4:$R$1362,"")</f>
        <v>SPARE_9</v>
      </c>
      <c r="C265" t="str" cm="1">
        <f t="array" ref="C265">_xlfn.TEXTJOIN(",",TRUE,_xlfn.UNIQUE(TRANSPOSE(_xlfn.MAP(_xlfn.XLOOKUP(A265,'Pinlist(S1)'!$C$4:$C$1362,'Pinlist(S1)'!$F$4:$K$1362,""),_xlfn.LAMBDA(_xlpm.x,IF(_xlpm.x&lt;&gt;"",TRIM(CLEAN(LEFT(_xlpm.x,FIND(".",_xlpm.x &amp; ".")-1))),""))))))</f>
        <v/>
      </c>
      <c r="D265">
        <v>3.5739999999999901</v>
      </c>
      <c r="E265">
        <v>3.3730000000000002</v>
      </c>
      <c r="F265" t="str">
        <f>_xlfn.LET(_xlpm.raw,_xlfn.XLOOKUP(A265,'Pinlist(S1)'!$C$4:$C$1362,'Pinlist(S1)'!$E$4:$E$1362,""),_xlpm.cleanRaw,SUBSTITUTE(SUBSTITUTE(_xlpm.raw,"_PIN","."),"PIN","."),_xlpm.mainPart,MID(_xlpm.cleanRaw,2,FIND(".",_xlpm.cleanRaw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5" t="str">
        <f>_xlfn.LET(_xlpm.raw,_xlfn.XLOOKUP(A265,'Pinlist(S3)'!$C$4:$C$1362,'Pinlist(S3)'!$E$4:$E$1362,""),_xlpm.cleanRaw,SUBSTITUTE(SUBSTITUTE(_xlpm.raw,"_PIN","."),"PIN","."),_xlpm.mainPart,MID(_xlpm.cleanRaw,2,FIND(".",_xlpm.cleanRaw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5" t="str">
        <f>_xlfn.LET(_xlpm.raw,_xlfn.XLOOKUP(A265,'Pinlist(S5)'!$C$4:$C$1362,'Pinlist(S5)'!$E$4:$E$1362,""),_xlpm.cleanRaw,SUBSTITUTE(SUBSTITUTE(_xlpm.raw,"_PIN","."),"PIN","."),_xlpm.mainPart,MID(_xlpm.cleanRaw,2,FIND(".",_xlpm.cleanRaw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5" t="str">
        <f>""</f>
        <v/>
      </c>
      <c r="J265" t="str">
        <f t="shared" si="4"/>
        <v>F6;SPARE_9;;3.57399999999999;3.373;;;;</v>
      </c>
    </row>
    <row r="266" spans="1:10">
      <c r="A266" t="s">
        <v>2162</v>
      </c>
      <c r="B266" t="str">
        <f>_xlfn.XLOOKUP(A266,'Pinlist(S1)'!$Q$4:$Q$1362,'Pinlist(S1)'!$R$4:$R$1362,"")</f>
        <v>VSS</v>
      </c>
      <c r="C266" t="str" cm="1">
        <f t="array" ref="C266">_xlfn.TEXTJOIN(",",TRUE,_xlfn.UNIQUE(TRANSPOSE(_xlfn.MAP(_xlfn.XLOOKUP(A266,'Pinlist(S1)'!$C$4:$C$1362,'Pinlist(S1)'!$F$4:$K$1362,""),_xlfn.LAMBDA(_xlpm.x,IF(_xlpm.x&lt;&gt;"",TRIM(CLEAN(LEFT(_xlpm.x,FIND(".",_xlpm.x &amp; ".")-1))),""))))))</f>
        <v/>
      </c>
      <c r="D266">
        <v>4.4889999999999999</v>
      </c>
      <c r="E266">
        <v>3.3730000000000002</v>
      </c>
      <c r="F266" t="str">
        <f>_xlfn.LET(_xlpm.raw,_xlfn.XLOOKUP(A266,'Pinlist(S1)'!$C$4:$C$1362,'Pinlist(S1)'!$E$4:$E$1362,""),_xlpm.cleanRaw,SUBSTITUTE(SUBSTITUTE(_xlpm.raw,"_PIN","."),"PIN","."),_xlpm.mainPart,MID(_xlpm.cleanRaw,2,FIND(".",_xlpm.cleanRaw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6" t="str">
        <f>_xlfn.LET(_xlpm.raw,_xlfn.XLOOKUP(A266,'Pinlist(S3)'!$C$4:$C$1362,'Pinlist(S3)'!$E$4:$E$1362,""),_xlpm.cleanRaw,SUBSTITUTE(SUBSTITUTE(_xlpm.raw,"_PIN","."),"PIN","."),_xlpm.mainPart,MID(_xlpm.cleanRaw,2,FIND(".",_xlpm.cleanRaw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6" t="str">
        <f>_xlfn.LET(_xlpm.raw,_xlfn.XLOOKUP(A266,'Pinlist(S5)'!$C$4:$C$1362,'Pinlist(S5)'!$E$4:$E$1362,""),_xlpm.cleanRaw,SUBSTITUTE(SUBSTITUTE(_xlpm.raw,"_PIN","."),"PIN","."),_xlpm.mainPart,MID(_xlpm.cleanRaw,2,FIND(".",_xlpm.cleanRaw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6" t="str">
        <f>""</f>
        <v/>
      </c>
      <c r="J266" t="str">
        <f t="shared" si="4"/>
        <v>F8;VSS;;4.489;3.373;;;;</v>
      </c>
    </row>
    <row r="267" spans="1:10">
      <c r="A267" t="s">
        <v>1520</v>
      </c>
      <c r="B267" t="str">
        <f>_xlfn.XLOOKUP(A267,'Pinlist(S1)'!$Q$4:$Q$1362,'Pinlist(S1)'!$R$4:$R$1362,"")</f>
        <v>USB3_4_RXP</v>
      </c>
      <c r="C267" t="str" cm="1">
        <f t="array" ref="C267">_xlfn.TEXTJOIN(",",TRUE,_xlfn.UNIQUE(TRANSPOSE(_xlfn.MAP(_xlfn.XLOOKUP(A267,'Pinlist(S1)'!$C$4:$C$1362,'Pinlist(S1)'!$F$4:$K$1362,""),_xlfn.LAMBDA(_xlpm.x,IF(_xlpm.x&lt;&gt;"",TRIM(CLEAN(LEFT(_xlpm.x,FIND(".",_xlpm.x &amp; ".")-1))),""))))))</f>
        <v>KA516,LA532</v>
      </c>
      <c r="D267">
        <v>5.4029999999999898</v>
      </c>
      <c r="E267">
        <v>3.3730000000000002</v>
      </c>
      <c r="F267" t="str">
        <f>_xlfn.LET(_xlpm.raw,_xlfn.XLOOKUP(A267,'Pinlist(S1)'!$C$4:$C$1362,'Pinlist(S1)'!$E$4:$E$1362,""),_xlpm.cleanRaw,SUBSTITUTE(SUBSTITUTE(_xlpm.raw,"_PIN","."),"PIN","."),_xlpm.mainPart,MID(_xlpm.cleanRaw,2,FIND(".",_xlpm.cleanRaw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G267" t="str">
        <f>_xlfn.LET(_xlpm.raw,_xlfn.XLOOKUP(A267,'Pinlist(S3)'!$C$4:$C$1362,'Pinlist(S3)'!$E$4:$E$1362,""),_xlpm.cleanRaw,SUBSTITUTE(SUBSTITUTE(_xlpm.raw,"_PIN","."),"PIN","."),_xlpm.mainPart,MID(_xlpm.cleanRaw,2,FIND(".",_xlpm.cleanRaw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807035</v>
      </c>
      <c r="H267" t="str">
        <f>_xlfn.LET(_xlpm.raw,_xlfn.XLOOKUP(A267,'Pinlist(S5)'!$C$4:$C$1362,'Pinlist(S5)'!$E$4:$E$1362,""),_xlpm.cleanRaw,SUBSTITUTE(SUBSTITUTE(_xlpm.raw,"_PIN","."),"PIN","."),_xlpm.mainPart,MID(_xlpm.cleanRaw,2,FIND(".",_xlpm.cleanRaw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603104</v>
      </c>
      <c r="I267" t="str">
        <f>""</f>
        <v/>
      </c>
      <c r="J267" t="str">
        <f t="shared" si="4"/>
        <v>F10;USB3_4_RXP;KA516,LA532;5.40299999999999;3.373;506030;807035;603104;</v>
      </c>
    </row>
    <row r="268" spans="1:10">
      <c r="A268" t="s">
        <v>1256</v>
      </c>
      <c r="B268" t="str">
        <f>_xlfn.XLOOKUP(A268,'Pinlist(S1)'!$Q$4:$Q$1362,'Pinlist(S1)'!$R$4:$R$1362,"")</f>
        <v>PCIE_2_UFS_0A_USB3_6_RXP</v>
      </c>
      <c r="C268" t="str" cm="1">
        <f t="array" ref="C268">_xlfn.TEXTJOIN(",",TRUE,_xlfn.UNIQUE(TRANSPOSE(_xlfn.MAP(_xlfn.XLOOKUP(A268,'Pinlist(S1)'!$C$4:$C$1362,'Pinlist(S1)'!$F$4:$K$1362,""),_xlfn.LAMBDA(_xlpm.x,IF(_xlpm.x&lt;&gt;"",TRIM(CLEAN(LEFT(_xlpm.x,FIND(".",_xlpm.x &amp; ".")-1))),""))))))</f>
        <v>KA502,LA504</v>
      </c>
      <c r="D268">
        <v>6.3179999999999898</v>
      </c>
      <c r="E268">
        <v>3.3730000000000002</v>
      </c>
      <c r="F268" t="str">
        <f>_xlfn.LET(_xlpm.raw,_xlfn.XLOOKUP(A268,'Pinlist(S1)'!$C$4:$C$1362,'Pinlist(S1)'!$E$4:$E$1362,""),_xlpm.cleanRaw,SUBSTITUTE(SUBSTITUTE(_xlpm.raw,"_PIN","."),"PIN","."),_xlpm.mainPart,MID(_xlpm.cleanRaw,2,FIND(".",_xlpm.cleanRaw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504095</v>
      </c>
      <c r="G268" t="str">
        <f>_xlfn.LET(_xlpm.raw,_xlfn.XLOOKUP(A268,'Pinlist(S3)'!$C$4:$C$1362,'Pinlist(S3)'!$E$4:$E$1362,""),_xlpm.cleanRaw,SUBSTITUTE(SUBSTITUTE(_xlpm.raw,"_PIN","."),"PIN","."),_xlpm.mainPart,MID(_xlpm.cleanRaw,2,FIND(".",_xlpm.cleanRaw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268" t="str">
        <f>_xlfn.LET(_xlpm.raw,_xlfn.XLOOKUP(A268,'Pinlist(S5)'!$C$4:$C$1362,'Pinlist(S5)'!$E$4:$E$1362,""),_xlpm.cleanRaw,SUBSTITUTE(SUBSTITUTE(_xlpm.raw,"_PIN","."),"PIN","."),_xlpm.mainPart,MID(_xlpm.cleanRaw,2,FIND(".",_xlpm.cleanRaw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I268" t="str">
        <f>""</f>
        <v/>
      </c>
      <c r="J268" t="str">
        <f t="shared" si="4"/>
        <v>F11;PCIE_2_UFS_0A_USB3_6_RXP;KA502,LA504;6.31799999999999;3.373;504095;807030;603100;</v>
      </c>
    </row>
    <row r="269" spans="1:10">
      <c r="A269" t="s">
        <v>2147</v>
      </c>
      <c r="B269" t="str">
        <f>_xlfn.XLOOKUP(A269,'Pinlist(S1)'!$Q$4:$Q$1362,'Pinlist(S1)'!$R$4:$R$1362,"")</f>
        <v>VSS</v>
      </c>
      <c r="C269" t="str" cm="1">
        <f t="array" ref="C269">_xlfn.TEXTJOIN(",",TRUE,_xlfn.UNIQUE(TRANSPOSE(_xlfn.MAP(_xlfn.XLOOKUP(A269,'Pinlist(S1)'!$C$4:$C$1362,'Pinlist(S1)'!$F$4:$K$1362,""),_xlfn.LAMBDA(_xlpm.x,IF(_xlpm.x&lt;&gt;"",TRIM(CLEAN(LEFT(_xlpm.x,FIND(".",_xlpm.x &amp; ".")-1))),""))))))</f>
        <v/>
      </c>
      <c r="D269">
        <v>7.2319999999999904</v>
      </c>
      <c r="E269">
        <v>3.3730000000000002</v>
      </c>
      <c r="F269" t="str">
        <f>_xlfn.LET(_xlpm.raw,_xlfn.XLOOKUP(A269,'Pinlist(S1)'!$C$4:$C$1362,'Pinlist(S1)'!$E$4:$E$1362,""),_xlpm.cleanRaw,SUBSTITUTE(SUBSTITUTE(_xlpm.raw,"_PIN","."),"PIN","."),_xlpm.mainPart,MID(_xlpm.cleanRaw,2,FIND(".",_xlpm.cleanRaw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9" t="str">
        <f>_xlfn.LET(_xlpm.raw,_xlfn.XLOOKUP(A269,'Pinlist(S3)'!$C$4:$C$1362,'Pinlist(S3)'!$E$4:$E$1362,""),_xlpm.cleanRaw,SUBSTITUTE(SUBSTITUTE(_xlpm.raw,"_PIN","."),"PIN","."),_xlpm.mainPart,MID(_xlpm.cleanRaw,2,FIND(".",_xlpm.cleanRaw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9" t="str">
        <f>_xlfn.LET(_xlpm.raw,_xlfn.XLOOKUP(A269,'Pinlist(S5)'!$C$4:$C$1362,'Pinlist(S5)'!$E$4:$E$1362,""),_xlpm.cleanRaw,SUBSTITUTE(SUBSTITUTE(_xlpm.raw,"_PIN","."),"PIN","."),_xlpm.mainPart,MID(_xlpm.cleanRaw,2,FIND(".",_xlpm.cleanRaw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9" t="str">
        <f>""</f>
        <v/>
      </c>
      <c r="J269" t="str">
        <f t="shared" si="4"/>
        <v>F13;VSS;;7.23199999999999;3.373;;;;</v>
      </c>
    </row>
    <row r="270" spans="1:10">
      <c r="A270" t="s">
        <v>1272</v>
      </c>
      <c r="B270" t="str">
        <f>_xlfn.XLOOKUP(A270,'Pinlist(S1)'!$Q$4:$Q$1362,'Pinlist(S1)'!$R$4:$R$1362,"")</f>
        <v>PCIE_4_LAN_0B_RXP</v>
      </c>
      <c r="C270" t="str" cm="1">
        <f t="array" ref="C270">_xlfn.TEXTJOIN(",",TRUE,_xlfn.UNIQUE(TRANSPOSE(_xlfn.MAP(_xlfn.XLOOKUP(A270,'Pinlist(S1)'!$C$4:$C$1362,'Pinlist(S1)'!$F$4:$K$1362,""),_xlfn.LAMBDA(_xlpm.x,IF(_xlpm.x&lt;&gt;"",TRIM(CLEAN(LEFT(_xlpm.x,FIND(".",_xlpm.x &amp; ".")-1))),""))))))</f>
        <v>KA504,LA508</v>
      </c>
      <c r="D270">
        <v>8.1460000000000008</v>
      </c>
      <c r="E270">
        <v>3.3730000000000002</v>
      </c>
      <c r="F270" t="str">
        <f>_xlfn.LET(_xlpm.raw,_xlfn.XLOOKUP(A270,'Pinlist(S1)'!$C$4:$C$1362,'Pinlist(S1)'!$E$4:$E$1362,""),_xlpm.cleanRaw,SUBSTITUTE(SUBSTITUTE(_xlpm.raw,"_PIN","."),"PIN","."),_xlpm.mainPart,MID(_xlpm.cleanRaw,2,FIND(".",_xlpm.cleanRaw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G270" t="str">
        <f>_xlfn.LET(_xlpm.raw,_xlfn.XLOOKUP(A270,'Pinlist(S3)'!$C$4:$C$1362,'Pinlist(S3)'!$E$4:$E$1362,""),_xlpm.cleanRaw,SUBSTITUTE(SUBSTITUTE(_xlpm.raw,"_PIN","."),"PIN","."),_xlpm.mainPart,MID(_xlpm.cleanRaw,2,FIND(".",_xlpm.cleanRaw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807034</v>
      </c>
      <c r="H270" t="str">
        <f>_xlfn.LET(_xlpm.raw,_xlfn.XLOOKUP(A270,'Pinlist(S5)'!$C$4:$C$1362,'Pinlist(S5)'!$E$4:$E$1362,""),_xlpm.cleanRaw,SUBSTITUTE(SUBSTITUTE(_xlpm.raw,"_PIN","."),"PIN","."),_xlpm.mainPart,MID(_xlpm.cleanRaw,2,FIND(".",_xlpm.cleanRaw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I270" t="str">
        <f>""</f>
        <v/>
      </c>
      <c r="J270" t="str">
        <f t="shared" si="4"/>
        <v>F15;PCIE_4_LAN_0B_RXP;KA504,LA508;8.146;3.373;506034;807034;603093;</v>
      </c>
    </row>
    <row r="271" spans="1:10">
      <c r="A271" t="s">
        <v>1278</v>
      </c>
      <c r="B271" t="str">
        <f>_xlfn.XLOOKUP(A271,'Pinlist(S1)'!$Q$4:$Q$1362,'Pinlist(S1)'!$R$4:$R$1362,"")</f>
        <v>PCIE_5_LAN_0C_RXN</v>
      </c>
      <c r="C271" t="str" cm="1">
        <f t="array" ref="C271">_xlfn.TEXTJOIN(",",TRUE,_xlfn.UNIQUE(TRANSPOSE(_xlfn.MAP(_xlfn.XLOOKUP(A271,'Pinlist(S1)'!$C$4:$C$1362,'Pinlist(S1)'!$F$4:$K$1362,""),_xlfn.LAMBDA(_xlpm.x,IF(_xlpm.x&lt;&gt;"",TRIM(CLEAN(LEFT(_xlpm.x,FIND(".",_xlpm.x &amp; ".")-1))),""))))))</f>
        <v>KA505,LA509</v>
      </c>
      <c r="D271">
        <v>9.0609999999999999</v>
      </c>
      <c r="E271">
        <v>3.3730000000000002</v>
      </c>
      <c r="F271" t="str">
        <f>_xlfn.LET(_xlpm.raw,_xlfn.XLOOKUP(A271,'Pinlist(S1)'!$C$4:$C$1362,'Pinlist(S1)'!$E$4:$E$1362,""),_xlpm.cleanRaw,SUBSTITUTE(SUBSTITUTE(_xlpm.raw,"_PIN","."),"PIN","."),_xlpm.mainPart,MID(_xlpm.cleanRaw,2,FIND(".",_xlpm.cleanRaw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506040</v>
      </c>
      <c r="G271" t="str">
        <f>_xlfn.LET(_xlpm.raw,_xlfn.XLOOKUP(A271,'Pinlist(S3)'!$C$4:$C$1362,'Pinlist(S3)'!$E$4:$E$1362,""),_xlpm.cleanRaw,SUBSTITUTE(SUBSTITUTE(_xlpm.raw,"_PIN","."),"PIN","."),_xlpm.mainPart,MID(_xlpm.cleanRaw,2,FIND(".",_xlpm.cleanRaw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809097</v>
      </c>
      <c r="H271" t="str">
        <f>_xlfn.LET(_xlpm.raw,_xlfn.XLOOKUP(A271,'Pinlist(S5)'!$C$4:$C$1362,'Pinlist(S5)'!$E$4:$E$1362,""),_xlpm.cleanRaw,SUBSTITUTE(SUBSTITUTE(_xlpm.raw,"_PIN","."),"PIN","."),_xlpm.mainPart,MID(_xlpm.cleanRaw,2,FIND(".",_xlpm.cleanRaw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I271" t="str">
        <f>""</f>
        <v/>
      </c>
      <c r="J271" t="str">
        <f t="shared" si="4"/>
        <v>F16;PCIE_5_LAN_0C_RXN;KA505,LA509;9.061;3.373;506040;809097;601033;</v>
      </c>
    </row>
    <row r="272" spans="1:10">
      <c r="A272" t="s">
        <v>1288</v>
      </c>
      <c r="B272" t="str">
        <f>_xlfn.XLOOKUP(A272,'Pinlist(S1)'!$Q$4:$Q$1362,'Pinlist(S1)'!$R$4:$R$1362,"")</f>
        <v>PCIE_6_RXP</v>
      </c>
      <c r="C272" t="str" cm="1">
        <f t="array" ref="C272">_xlfn.TEXTJOIN(",",TRUE,_xlfn.UNIQUE(TRANSPOSE(_xlfn.MAP(_xlfn.XLOOKUP(A272,'Pinlist(S1)'!$C$4:$C$1362,'Pinlist(S1)'!$F$4:$K$1362,""),_xlfn.LAMBDA(_xlpm.x,IF(_xlpm.x&lt;&gt;"",TRIM(CLEAN(LEFT(_xlpm.x,FIND(".",_xlpm.x &amp; ".")-1))),""))))))</f>
        <v>KA506,LA512</v>
      </c>
      <c r="D272">
        <v>9.9749999999999996</v>
      </c>
      <c r="E272">
        <v>3.3730000000000002</v>
      </c>
      <c r="F272" t="str">
        <f>_xlfn.LET(_xlpm.raw,_xlfn.XLOOKUP(A272,'Pinlist(S1)'!$C$4:$C$1362,'Pinlist(S1)'!$E$4:$E$1362,""),_xlpm.cleanRaw,SUBSTITUTE(SUBSTITUTE(_xlpm.raw,"_PIN","."),"PIN","."),_xlpm.mainPart,MID(_xlpm.cleanRaw,2,FIND(".",_xlpm.cleanRaw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G272" t="str">
        <f>_xlfn.LET(_xlpm.raw,_xlfn.XLOOKUP(A272,'Pinlist(S3)'!$C$4:$C$1362,'Pinlist(S3)'!$E$4:$E$1362,""),_xlpm.cleanRaw,SUBSTITUTE(SUBSTITUTE(_xlpm.raw,"_PIN","."),"PIN","."),_xlpm.mainPart,MID(_xlpm.cleanRaw,2,FIND(".",_xlpm.cleanRaw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809099</v>
      </c>
      <c r="H272" t="str">
        <f>_xlfn.LET(_xlpm.raw,_xlfn.XLOOKUP(A272,'Pinlist(S5)'!$C$4:$C$1362,'Pinlist(S5)'!$E$4:$E$1362,""),_xlpm.cleanRaw,SUBSTITUTE(SUBSTITUTE(_xlpm.raw,"_PIN","."),"PIN","."),_xlpm.mainPart,MID(_xlpm.cleanRaw,2,FIND(".",_xlpm.cleanRaw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601037</v>
      </c>
      <c r="I272" t="str">
        <f>""</f>
        <v/>
      </c>
      <c r="J272" t="str">
        <f t="shared" si="4"/>
        <v>F18;PCIE_6_RXP;KA506,LA512;9.975;3.373;506026;809099;601037;</v>
      </c>
    </row>
    <row r="273" spans="1:10">
      <c r="A273" t="s">
        <v>1294</v>
      </c>
      <c r="B273" t="str">
        <f>_xlfn.XLOOKUP(A273,'Pinlist(S1)'!$Q$4:$Q$1362,'Pinlist(S1)'!$R$4:$R$1362,"")</f>
        <v>PCIE_7_SATA_0_RXN</v>
      </c>
      <c r="C273" t="str" cm="1">
        <f t="array" ref="C273">_xlfn.TEXTJOIN(",",TRUE,_xlfn.UNIQUE(TRANSPOSE(_xlfn.MAP(_xlfn.XLOOKUP(A273,'Pinlist(S1)'!$C$4:$C$1362,'Pinlist(S1)'!$F$4:$K$1362,""),_xlfn.LAMBDA(_xlpm.x,IF(_xlpm.x&lt;&gt;"",TRIM(CLEAN(LEFT(_xlpm.x,FIND(".",_xlpm.x &amp; ".")-1))),""))))))</f>
        <v>KA507,LA513</v>
      </c>
      <c r="D273">
        <v>10.89</v>
      </c>
      <c r="E273">
        <v>3.3730000000000002</v>
      </c>
      <c r="F273" t="str">
        <f>_xlfn.LET(_xlpm.raw,_xlfn.XLOOKUP(A273,'Pinlist(S1)'!$C$4:$C$1362,'Pinlist(S1)'!$E$4:$E$1362,""),_xlpm.cleanRaw,SUBSTITUTE(SUBSTITUTE(_xlpm.raw,"_PIN","."),"PIN","."),_xlpm.mainPart,MID(_xlpm.cleanRaw,2,FIND(".",_xlpm.cleanRaw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504093</v>
      </c>
      <c r="G273" t="str">
        <f>_xlfn.LET(_xlpm.raw,_xlfn.XLOOKUP(A273,'Pinlist(S3)'!$C$4:$C$1362,'Pinlist(S3)'!$E$4:$E$1362,""),_xlpm.cleanRaw,SUBSTITUTE(SUBSTITUTE(_xlpm.raw,"_PIN","."),"PIN","."),_xlpm.mainPart,MID(_xlpm.cleanRaw,2,FIND(".",_xlpm.cleanRaw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809103</v>
      </c>
      <c r="H273" t="str">
        <f>_xlfn.LET(_xlpm.raw,_xlfn.XLOOKUP(A273,'Pinlist(S5)'!$C$4:$C$1362,'Pinlist(S5)'!$E$4:$E$1362,""),_xlpm.cleanRaw,SUBSTITUTE(SUBSTITUTE(_xlpm.raw,"_PIN","."),"PIN","."),_xlpm.mainPart,MID(_xlpm.cleanRaw,2,FIND(".",_xlpm.cleanRaw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601032</v>
      </c>
      <c r="I273" t="str">
        <f>""</f>
        <v/>
      </c>
      <c r="J273" t="str">
        <f t="shared" si="4"/>
        <v>F20;PCIE_7_SATA_0_RXN;KA507,LA513;10.89;3.373;504093;809103;601032;</v>
      </c>
    </row>
    <row r="274" spans="1:10">
      <c r="A274" t="s">
        <v>1304</v>
      </c>
      <c r="B274" t="str">
        <f>_xlfn.XLOOKUP(A274,'Pinlist(S1)'!$Q$4:$Q$1362,'Pinlist(S1)'!$R$4:$R$1362,"")</f>
        <v>PCIE_8_SATA_1A_RXP</v>
      </c>
      <c r="C274" t="str" cm="1">
        <f t="array" ref="C274">_xlfn.TEXTJOIN(",",TRUE,_xlfn.UNIQUE(TRANSPOSE(_xlfn.MAP(_xlfn.XLOOKUP(A274,'Pinlist(S1)'!$C$4:$C$1362,'Pinlist(S1)'!$F$4:$K$1362,""),_xlfn.LAMBDA(_xlpm.x,IF(_xlpm.x&lt;&gt;"",TRIM(CLEAN(LEFT(_xlpm.x,FIND(".",_xlpm.x &amp; ".")-1))),""))))))</f>
        <v>KA508,LA516</v>
      </c>
      <c r="D274">
        <v>11.804</v>
      </c>
      <c r="E274">
        <v>3.3730000000000002</v>
      </c>
      <c r="F274" t="str">
        <f>_xlfn.LET(_xlpm.raw,_xlfn.XLOOKUP(A274,'Pinlist(S1)'!$C$4:$C$1362,'Pinlist(S1)'!$E$4:$E$1362,""),_xlpm.cleanRaw,SUBSTITUTE(SUBSTITUTE(_xlpm.raw,"_PIN","."),"PIN","."),_xlpm.mainPart,MID(_xlpm.cleanRaw,2,FIND(".",_xlpm.cleanRaw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G274" t="str">
        <f>_xlfn.LET(_xlpm.raw,_xlfn.XLOOKUP(A274,'Pinlist(S3)'!$C$4:$C$1362,'Pinlist(S3)'!$E$4:$E$1362,""),_xlpm.cleanRaw,SUBSTITUTE(SUBSTITUTE(_xlpm.raw,"_PIN","."),"PIN","."),_xlpm.mainPart,MID(_xlpm.cleanRaw,2,FIND(".",_xlpm.cleanRaw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809094</v>
      </c>
      <c r="H274" t="str">
        <f>_xlfn.LET(_xlpm.raw,_xlfn.XLOOKUP(A274,'Pinlist(S5)'!$C$4:$C$1362,'Pinlist(S5)'!$E$4:$E$1362,""),_xlpm.cleanRaw,SUBSTITUTE(SUBSTITUTE(_xlpm.raw,"_PIN","."),"PIN","."),_xlpm.mainPart,MID(_xlpm.cleanRaw,2,FIND(".",_xlpm.cleanRaw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I274" t="str">
        <f>""</f>
        <v/>
      </c>
      <c r="J274" t="str">
        <f t="shared" si="4"/>
        <v>F21;PCIE_8_SATA_1A_RXP;KA508,LA516;11.804;3.373;504090;809094;601029;</v>
      </c>
    </row>
    <row r="275" spans="1:10">
      <c r="A275" t="s">
        <v>2149</v>
      </c>
      <c r="B275" t="str">
        <f>_xlfn.XLOOKUP(A275,'Pinlist(S1)'!$Q$4:$Q$1362,'Pinlist(S1)'!$R$4:$R$1362,"")</f>
        <v>VSS</v>
      </c>
      <c r="C275" t="str" cm="1">
        <f t="array" ref="C275">_xlfn.TEXTJOIN(",",TRUE,_xlfn.UNIQUE(TRANSPOSE(_xlfn.MAP(_xlfn.XLOOKUP(A275,'Pinlist(S1)'!$C$4:$C$1362,'Pinlist(S1)'!$F$4:$K$1362,""),_xlfn.LAMBDA(_xlpm.x,IF(_xlpm.x&lt;&gt;"",TRIM(CLEAN(LEFT(_xlpm.x,FIND(".",_xlpm.x &amp; ".")-1))),""))))))</f>
        <v/>
      </c>
      <c r="D275">
        <v>12.718</v>
      </c>
      <c r="E275">
        <v>3.3730000000000002</v>
      </c>
      <c r="F275" t="str">
        <f>_xlfn.LET(_xlpm.raw,_xlfn.XLOOKUP(A275,'Pinlist(S1)'!$C$4:$C$1362,'Pinlist(S1)'!$E$4:$E$1362,""),_xlpm.cleanRaw,SUBSTITUTE(SUBSTITUTE(_xlpm.raw,"_PIN","."),"PIN","."),_xlpm.mainPart,MID(_xlpm.cleanRaw,2,FIND(".",_xlpm.cleanRaw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5" t="str">
        <f>_xlfn.LET(_xlpm.raw,_xlfn.XLOOKUP(A275,'Pinlist(S3)'!$C$4:$C$1362,'Pinlist(S3)'!$E$4:$E$1362,""),_xlpm.cleanRaw,SUBSTITUTE(SUBSTITUTE(_xlpm.raw,"_PIN","."),"PIN","."),_xlpm.mainPart,MID(_xlpm.cleanRaw,2,FIND(".",_xlpm.cleanRaw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5" t="str">
        <f>_xlfn.LET(_xlpm.raw,_xlfn.XLOOKUP(A275,'Pinlist(S5)'!$C$4:$C$1362,'Pinlist(S5)'!$E$4:$E$1362,""),_xlpm.cleanRaw,SUBSTITUTE(SUBSTITUTE(_xlpm.raw,"_PIN","."),"PIN","."),_xlpm.mainPart,MID(_xlpm.cleanRaw,2,FIND(".",_xlpm.cleanRaw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5" t="str">
        <f>""</f>
        <v/>
      </c>
      <c r="J275" t="str">
        <f t="shared" si="4"/>
        <v>F22;VSS;;12.718;3.373;;;;</v>
      </c>
    </row>
    <row r="276" spans="1:10">
      <c r="A276" t="s">
        <v>2150</v>
      </c>
      <c r="B276" t="str">
        <f>_xlfn.XLOOKUP(A276,'Pinlist(S1)'!$Q$4:$Q$1362,'Pinlist(S1)'!$R$4:$R$1362,"")</f>
        <v>VSS</v>
      </c>
      <c r="C276" t="str" cm="1">
        <f t="array" ref="C276">_xlfn.TEXTJOIN(",",TRUE,_xlfn.UNIQUE(TRANSPOSE(_xlfn.MAP(_xlfn.XLOOKUP(A276,'Pinlist(S1)'!$C$4:$C$1362,'Pinlist(S1)'!$F$4:$K$1362,""),_xlfn.LAMBDA(_xlpm.x,IF(_xlpm.x&lt;&gt;"",TRIM(CLEAN(LEFT(_xlpm.x,FIND(".",_xlpm.x &amp; ".")-1))),""))))))</f>
        <v/>
      </c>
      <c r="D276">
        <v>13.632999999999999</v>
      </c>
      <c r="E276">
        <v>3.3730000000000002</v>
      </c>
      <c r="F276" t="str">
        <f>_xlfn.LET(_xlpm.raw,_xlfn.XLOOKUP(A276,'Pinlist(S1)'!$C$4:$C$1362,'Pinlist(S1)'!$E$4:$E$1362,""),_xlpm.cleanRaw,SUBSTITUTE(SUBSTITUTE(_xlpm.raw,"_PIN","."),"PIN","."),_xlpm.mainPart,MID(_xlpm.cleanRaw,2,FIND(".",_xlpm.cleanRaw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6" t="str">
        <f>_xlfn.LET(_xlpm.raw,_xlfn.XLOOKUP(A276,'Pinlist(S3)'!$C$4:$C$1362,'Pinlist(S3)'!$E$4:$E$1362,""),_xlpm.cleanRaw,SUBSTITUTE(SUBSTITUTE(_xlpm.raw,"_PIN","."),"PIN","."),_xlpm.mainPart,MID(_xlpm.cleanRaw,2,FIND(".",_xlpm.cleanRaw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6" t="str">
        <f>_xlfn.LET(_xlpm.raw,_xlfn.XLOOKUP(A276,'Pinlist(S5)'!$C$4:$C$1362,'Pinlist(S5)'!$E$4:$E$1362,""),_xlpm.cleanRaw,SUBSTITUTE(SUBSTITUTE(_xlpm.raw,"_PIN","."),"PIN","."),_xlpm.mainPart,MID(_xlpm.cleanRaw,2,FIND(".",_xlpm.cleanRaw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6" t="str">
        <f>""</f>
        <v/>
      </c>
      <c r="J276" t="str">
        <f t="shared" si="4"/>
        <v>F23;VSS;;13.633;3.373;;;;</v>
      </c>
    </row>
    <row r="277" spans="1:10">
      <c r="A277" t="s">
        <v>1230</v>
      </c>
      <c r="B277" t="str">
        <f>_xlfn.XLOOKUP(A277,'Pinlist(S1)'!$Q$4:$Q$1362,'Pinlist(S1)'!$R$4:$R$1362,"")</f>
        <v>PCIE_10_LAN_0E_RXN</v>
      </c>
      <c r="C277" t="str" cm="1">
        <f t="array" ref="C277">_xlfn.TEXTJOIN(",",TRUE,_xlfn.UNIQUE(TRANSPOSE(_xlfn.MAP(_xlfn.XLOOKUP(A277,'Pinlist(S1)'!$C$4:$C$1362,'Pinlist(S1)'!$F$4:$K$1362,""),_xlfn.LAMBDA(_xlpm.x,IF(_xlpm.x&lt;&gt;"",TRIM(CLEAN(LEFT(_xlpm.x,FIND(".",_xlpm.x &amp; ".")-1))),""))))))</f>
        <v>KA510,LA519</v>
      </c>
      <c r="D277">
        <v>14.547000000000001</v>
      </c>
      <c r="E277">
        <v>3.3730000000000002</v>
      </c>
      <c r="F277" t="str">
        <f>_xlfn.LET(_xlpm.raw,_xlfn.XLOOKUP(A277,'Pinlist(S1)'!$C$4:$C$1362,'Pinlist(S1)'!$E$4:$E$1362,""),_xlpm.cleanRaw,SUBSTITUTE(SUBSTITUTE(_xlpm.raw,"_PIN","."),"PIN","."),_xlpm.mainPart,MID(_xlpm.cleanRaw,2,FIND(".",_xlpm.cleanRaw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G277" t="str">
        <f>_xlfn.LET(_xlpm.raw,_xlfn.XLOOKUP(A277,'Pinlist(S3)'!$C$4:$C$1362,'Pinlist(S3)'!$E$4:$E$1362,""),_xlpm.cleanRaw,SUBSTITUTE(SUBSTITUTE(_xlpm.raw,"_PIN","."),"PIN","."),_xlpm.mainPart,MID(_xlpm.cleanRaw,2,FIND(".",_xlpm.cleanRaw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809090</v>
      </c>
      <c r="H277" t="str">
        <f>_xlfn.LET(_xlpm.raw,_xlfn.XLOOKUP(A277,'Pinlist(S5)'!$C$4:$C$1362,'Pinlist(S5)'!$E$4:$E$1362,""),_xlpm.cleanRaw,SUBSTITUTE(SUBSTITUTE(_xlpm.raw,"_PIN","."),"PIN","."),_xlpm.mainPart,MID(_xlpm.cleanRaw,2,FIND(".",_xlpm.cleanRaw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I277" t="str">
        <f>""</f>
        <v/>
      </c>
      <c r="J277" t="str">
        <f t="shared" si="4"/>
        <v>F25;PCIE_10_LAN_0E_RXN;KA510,LA519;14.547;3.373;504096;809090;601027;</v>
      </c>
    </row>
    <row r="278" spans="1:10">
      <c r="A278" t="s">
        <v>2151</v>
      </c>
      <c r="B278" t="str">
        <f>_xlfn.XLOOKUP(A278,'Pinlist(S1)'!$Q$4:$Q$1362,'Pinlist(S1)'!$R$4:$R$1362,"")</f>
        <v>VSS</v>
      </c>
      <c r="C278" t="str" cm="1">
        <f t="array" ref="C278">_xlfn.TEXTJOIN(",",TRUE,_xlfn.UNIQUE(TRANSPOSE(_xlfn.MAP(_xlfn.XLOOKUP(A278,'Pinlist(S1)'!$C$4:$C$1362,'Pinlist(S1)'!$F$4:$K$1362,""),_xlfn.LAMBDA(_xlpm.x,IF(_xlpm.x&lt;&gt;"",TRIM(CLEAN(LEFT(_xlpm.x,FIND(".",_xlpm.x &amp; ".")-1))),""))))))</f>
        <v/>
      </c>
      <c r="D278">
        <v>15.462</v>
      </c>
      <c r="E278">
        <v>3.3730000000000002</v>
      </c>
      <c r="F278" t="str">
        <f>_xlfn.LET(_xlpm.raw,_xlfn.XLOOKUP(A278,'Pinlist(S1)'!$C$4:$C$1362,'Pinlist(S1)'!$E$4:$E$1362,""),_xlpm.cleanRaw,SUBSTITUTE(SUBSTITUTE(_xlpm.raw,"_PIN","."),"PIN","."),_xlpm.mainPart,MID(_xlpm.cleanRaw,2,FIND(".",_xlpm.cleanRaw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8" t="str">
        <f>_xlfn.LET(_xlpm.raw,_xlfn.XLOOKUP(A278,'Pinlist(S3)'!$C$4:$C$1362,'Pinlist(S3)'!$E$4:$E$1362,""),_xlpm.cleanRaw,SUBSTITUTE(SUBSTITUTE(_xlpm.raw,"_PIN","."),"PIN","."),_xlpm.mainPart,MID(_xlpm.cleanRaw,2,FIND(".",_xlpm.cleanRaw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8" t="str">
        <f>_xlfn.LET(_xlpm.raw,_xlfn.XLOOKUP(A278,'Pinlist(S5)'!$C$4:$C$1362,'Pinlist(S5)'!$E$4:$E$1362,""),_xlpm.cleanRaw,SUBSTITUTE(SUBSTITUTE(_xlpm.raw,"_PIN","."),"PIN","."),_xlpm.mainPart,MID(_xlpm.cleanRaw,2,FIND(".",_xlpm.cleanRaw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8" t="str">
        <f>""</f>
        <v/>
      </c>
      <c r="J278" t="str">
        <f t="shared" si="4"/>
        <v>F27;VSS;;15.462;3.373;;;;</v>
      </c>
    </row>
    <row r="279" spans="1:10">
      <c r="A279" t="s">
        <v>2152</v>
      </c>
      <c r="B279" t="str">
        <f>_xlfn.XLOOKUP(A279,'Pinlist(S1)'!$Q$4:$Q$1362,'Pinlist(S1)'!$R$4:$R$1362,"")</f>
        <v>VSS</v>
      </c>
      <c r="C279" t="str" cm="1">
        <f t="array" ref="C279">_xlfn.TEXTJOIN(",",TRUE,_xlfn.UNIQUE(TRANSPOSE(_xlfn.MAP(_xlfn.XLOOKUP(A279,'Pinlist(S1)'!$C$4:$C$1362,'Pinlist(S1)'!$F$4:$K$1362,""),_xlfn.LAMBDA(_xlpm.x,IF(_xlpm.x&lt;&gt;"",TRIM(CLEAN(LEFT(_xlpm.x,FIND(".",_xlpm.x &amp; ".")-1))),""))))))</f>
        <v/>
      </c>
      <c r="D279">
        <v>16.376000000000001</v>
      </c>
      <c r="E279">
        <v>3.3730000000000002</v>
      </c>
      <c r="F279" t="str">
        <f>_xlfn.LET(_xlpm.raw,_xlfn.XLOOKUP(A279,'Pinlist(S1)'!$C$4:$C$1362,'Pinlist(S1)'!$E$4:$E$1362,""),_xlpm.cleanRaw,SUBSTITUTE(SUBSTITUTE(_xlpm.raw,"_PIN","."),"PIN","."),_xlpm.mainPart,MID(_xlpm.cleanRaw,2,FIND(".",_xlpm.cleanRaw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9" t="str">
        <f>_xlfn.LET(_xlpm.raw,_xlfn.XLOOKUP(A279,'Pinlist(S3)'!$C$4:$C$1362,'Pinlist(S3)'!$E$4:$E$1362,""),_xlpm.cleanRaw,SUBSTITUTE(SUBSTITUTE(_xlpm.raw,"_PIN","."),"PIN","."),_xlpm.mainPart,MID(_xlpm.cleanRaw,2,FIND(".",_xlpm.cleanRaw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9" t="str">
        <f>_xlfn.LET(_xlpm.raw,_xlfn.XLOOKUP(A279,'Pinlist(S5)'!$C$4:$C$1362,'Pinlist(S5)'!$E$4:$E$1362,""),_xlpm.cleanRaw,SUBSTITUTE(SUBSTITUTE(_xlpm.raw,"_PIN","."),"PIN","."),_xlpm.mainPart,MID(_xlpm.cleanRaw,2,FIND(".",_xlpm.cleanRaw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9" t="str">
        <f>""</f>
        <v/>
      </c>
      <c r="J279" t="str">
        <f t="shared" si="4"/>
        <v>F28;VSS;;16.376;3.373;;;;</v>
      </c>
    </row>
    <row r="280" spans="1:10">
      <c r="A280" t="s">
        <v>1248</v>
      </c>
      <c r="B280" t="str">
        <f>_xlfn.XLOOKUP(A280,'Pinlist(S1)'!$Q$4:$Q$1362,'Pinlist(S1)'!$R$4:$R$1362,"")</f>
        <v>PCIE_12_SATA_2_RXP</v>
      </c>
      <c r="C280" t="str" cm="1">
        <f t="array" ref="C280">_xlfn.TEXTJOIN(",",TRUE,_xlfn.UNIQUE(TRANSPOSE(_xlfn.MAP(_xlfn.XLOOKUP(A280,'Pinlist(S1)'!$C$4:$C$1362,'Pinlist(S1)'!$F$4:$K$1362,""),_xlfn.LAMBDA(_xlpm.x,IF(_xlpm.x&lt;&gt;"",TRIM(CLEAN(LEFT(_xlpm.x,FIND(".",_xlpm.x &amp; ".")-1))),""))))))</f>
        <v>KA512,LA524</v>
      </c>
      <c r="D280">
        <v>17.29</v>
      </c>
      <c r="E280">
        <v>3.3730000000000002</v>
      </c>
      <c r="F280" t="str">
        <f>_xlfn.LET(_xlpm.raw,_xlfn.XLOOKUP(A280,'Pinlist(S1)'!$C$4:$C$1362,'Pinlist(S1)'!$E$4:$E$1362,""),_xlpm.cleanRaw,SUBSTITUTE(SUBSTITUTE(_xlpm.raw,"_PIN","."),"PIN","."),_xlpm.mainPart,MID(_xlpm.cleanRaw,2,FIND(".",_xlpm.cleanRaw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G280" t="str">
        <f>_xlfn.LET(_xlpm.raw,_xlfn.XLOOKUP(A280,'Pinlist(S3)'!$C$4:$C$1362,'Pinlist(S3)'!$E$4:$E$1362,""),_xlpm.cleanRaw,SUBSTITUTE(SUBSTITUTE(_xlpm.raw,"_PIN","."),"PIN","."),_xlpm.mainPart,MID(_xlpm.cleanRaw,2,FIND(".",_xlpm.cleanRaw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807024</v>
      </c>
      <c r="H280" t="str">
        <f>_xlfn.LET(_xlpm.raw,_xlfn.XLOOKUP(A280,'Pinlist(S5)'!$C$4:$C$1362,'Pinlist(S5)'!$E$4:$E$1362,""),_xlpm.cleanRaw,SUBSTITUTE(SUBSTITUTE(_xlpm.raw,"_PIN","."),"PIN","."),_xlpm.mainPart,MID(_xlpm.cleanRaw,2,FIND(".",_xlpm.cleanRaw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I280" t="str">
        <f>""</f>
        <v/>
      </c>
      <c r="J280" t="str">
        <f t="shared" si="4"/>
        <v>F30;PCIE_12_SATA_2_RXP;KA512,LA524;17.29;3.373;504102;807024;601040;</v>
      </c>
    </row>
    <row r="281" spans="1:10">
      <c r="A281" t="s">
        <v>2153</v>
      </c>
      <c r="B281" t="str">
        <f>_xlfn.XLOOKUP(A281,'Pinlist(S1)'!$Q$4:$Q$1362,'Pinlist(S1)'!$R$4:$R$1362,"")</f>
        <v>VSS</v>
      </c>
      <c r="C281" t="str" cm="1">
        <f t="array" ref="C281">_xlfn.TEXTJOIN(",",TRUE,_xlfn.UNIQUE(TRANSPOSE(_xlfn.MAP(_xlfn.XLOOKUP(A281,'Pinlist(S1)'!$C$4:$C$1362,'Pinlist(S1)'!$F$4:$K$1362,""),_xlfn.LAMBDA(_xlpm.x,IF(_xlpm.x&lt;&gt;"",TRIM(CLEAN(LEFT(_xlpm.x,FIND(".",_xlpm.x &amp; ".")-1))),""))))))</f>
        <v/>
      </c>
      <c r="D281">
        <v>18.204999999999998</v>
      </c>
      <c r="E281">
        <v>3.3730000000000002</v>
      </c>
      <c r="F281" t="str">
        <f>_xlfn.LET(_xlpm.raw,_xlfn.XLOOKUP(A281,'Pinlist(S1)'!$C$4:$C$1362,'Pinlist(S1)'!$E$4:$E$1362,""),_xlpm.cleanRaw,SUBSTITUTE(SUBSTITUTE(_xlpm.raw,"_PIN","."),"PIN","."),_xlpm.mainPart,MID(_xlpm.cleanRaw,2,FIND(".",_xlpm.cleanRaw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1" t="str">
        <f>_xlfn.LET(_xlpm.raw,_xlfn.XLOOKUP(A281,'Pinlist(S3)'!$C$4:$C$1362,'Pinlist(S3)'!$E$4:$E$1362,""),_xlpm.cleanRaw,SUBSTITUTE(SUBSTITUTE(_xlpm.raw,"_PIN","."),"PIN","."),_xlpm.mainPart,MID(_xlpm.cleanRaw,2,FIND(".",_xlpm.cleanRaw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1" t="str">
        <f>_xlfn.LET(_xlpm.raw,_xlfn.XLOOKUP(A281,'Pinlist(S5)'!$C$4:$C$1362,'Pinlist(S5)'!$E$4:$E$1362,""),_xlpm.cleanRaw,SUBSTITUTE(SUBSTITUTE(_xlpm.raw,"_PIN","."),"PIN","."),_xlpm.mainPart,MID(_xlpm.cleanRaw,2,FIND(".",_xlpm.cleanRaw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1" t="str">
        <f>""</f>
        <v/>
      </c>
      <c r="J281" t="str">
        <f t="shared" si="4"/>
        <v>F32;VSS;;18.205;3.373;;;;</v>
      </c>
    </row>
    <row r="282" spans="1:10">
      <c r="A282" t="s">
        <v>2154</v>
      </c>
      <c r="B282" t="str">
        <f>_xlfn.XLOOKUP(A282,'Pinlist(S1)'!$Q$4:$Q$1362,'Pinlist(S1)'!$R$4:$R$1362,"")</f>
        <v>VSS</v>
      </c>
      <c r="C282" t="str" cm="1">
        <f t="array" ref="C282">_xlfn.TEXTJOIN(",",TRUE,_xlfn.UNIQUE(TRANSPOSE(_xlfn.MAP(_xlfn.XLOOKUP(A282,'Pinlist(S1)'!$C$4:$C$1362,'Pinlist(S1)'!$F$4:$K$1362,""),_xlfn.LAMBDA(_xlpm.x,IF(_xlpm.x&lt;&gt;"",TRIM(CLEAN(LEFT(_xlpm.x,FIND(".",_xlpm.x &amp; ".")-1))),""))))))</f>
        <v/>
      </c>
      <c r="D282">
        <v>19.119</v>
      </c>
      <c r="E282">
        <v>3.3730000000000002</v>
      </c>
      <c r="F282" t="str">
        <f>_xlfn.LET(_xlpm.raw,_xlfn.XLOOKUP(A282,'Pinlist(S1)'!$C$4:$C$1362,'Pinlist(S1)'!$E$4:$E$1362,""),_xlpm.cleanRaw,SUBSTITUTE(SUBSTITUTE(_xlpm.raw,"_PIN","."),"PIN","."),_xlpm.mainPart,MID(_xlpm.cleanRaw,2,FIND(".",_xlpm.cleanRaw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2" t="str">
        <f>_xlfn.LET(_xlpm.raw,_xlfn.XLOOKUP(A282,'Pinlist(S3)'!$C$4:$C$1362,'Pinlist(S3)'!$E$4:$E$1362,""),_xlpm.cleanRaw,SUBSTITUTE(SUBSTITUTE(_xlpm.raw,"_PIN","."),"PIN","."),_xlpm.mainPart,MID(_xlpm.cleanRaw,2,FIND(".",_xlpm.cleanRaw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2" t="str">
        <f>_xlfn.LET(_xlpm.raw,_xlfn.XLOOKUP(A282,'Pinlist(S5)'!$C$4:$C$1362,'Pinlist(S5)'!$E$4:$E$1362,""),_xlpm.cleanRaw,SUBSTITUTE(SUBSTITUTE(_xlpm.raw,"_PIN","."),"PIN","."),_xlpm.mainPart,MID(_xlpm.cleanRaw,2,FIND(".",_xlpm.cleanRaw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2" t="str">
        <f>""</f>
        <v/>
      </c>
      <c r="J282" t="str">
        <f t="shared" si="4"/>
        <v>F33;VSS;;19.119;3.373;;;;</v>
      </c>
    </row>
    <row r="283" spans="1:10">
      <c r="A283" t="s">
        <v>2155</v>
      </c>
      <c r="B283" t="str">
        <f>_xlfn.XLOOKUP(A283,'Pinlist(S1)'!$Q$4:$Q$1362,'Pinlist(S1)'!$R$4:$R$1362,"")</f>
        <v>VSS</v>
      </c>
      <c r="C283" t="str" cm="1">
        <f t="array" ref="C283">_xlfn.TEXTJOIN(",",TRUE,_xlfn.UNIQUE(TRANSPOSE(_xlfn.MAP(_xlfn.XLOOKUP(A283,'Pinlist(S1)'!$C$4:$C$1362,'Pinlist(S1)'!$F$4:$K$1362,""),_xlfn.LAMBDA(_xlpm.x,IF(_xlpm.x&lt;&gt;"",TRIM(CLEAN(LEFT(_xlpm.x,FIND(".",_xlpm.x &amp; ".")-1))),""))))))</f>
        <v/>
      </c>
      <c r="D283">
        <v>20.033999999999999</v>
      </c>
      <c r="E283">
        <v>3.3730000000000002</v>
      </c>
      <c r="F283" t="str">
        <f>_xlfn.LET(_xlpm.raw,_xlfn.XLOOKUP(A283,'Pinlist(S1)'!$C$4:$C$1362,'Pinlist(S1)'!$E$4:$E$1362,""),_xlpm.cleanRaw,SUBSTITUTE(SUBSTITUTE(_xlpm.raw,"_PIN","."),"PIN","."),_xlpm.mainPart,MID(_xlpm.cleanRaw,2,FIND(".",_xlpm.cleanRaw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3" t="str">
        <f>_xlfn.LET(_xlpm.raw,_xlfn.XLOOKUP(A283,'Pinlist(S3)'!$C$4:$C$1362,'Pinlist(S3)'!$E$4:$E$1362,""),_xlpm.cleanRaw,SUBSTITUTE(SUBSTITUTE(_xlpm.raw,"_PIN","."),"PIN","."),_xlpm.mainPart,MID(_xlpm.cleanRaw,2,FIND(".",_xlpm.cleanRaw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3" t="str">
        <f>_xlfn.LET(_xlpm.raw,_xlfn.XLOOKUP(A283,'Pinlist(S5)'!$C$4:$C$1362,'Pinlist(S5)'!$E$4:$E$1362,""),_xlpm.cleanRaw,SUBSTITUTE(SUBSTITUTE(_xlpm.raw,"_PIN","."),"PIN","."),_xlpm.mainPart,MID(_xlpm.cleanRaw,2,FIND(".",_xlpm.cleanRaw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3" t="str">
        <f>""</f>
        <v/>
      </c>
      <c r="J283" t="str">
        <f t="shared" si="4"/>
        <v>F35;VSS;;20.034;3.373;;;;</v>
      </c>
    </row>
    <row r="284" spans="1:10">
      <c r="A284" t="s">
        <v>2156</v>
      </c>
      <c r="B284" t="str">
        <f>_xlfn.XLOOKUP(A284,'Pinlist(S1)'!$Q$4:$Q$1362,'Pinlist(S1)'!$R$4:$R$1362,"")</f>
        <v>VSS</v>
      </c>
      <c r="C284" t="str" cm="1">
        <f t="array" ref="C284">_xlfn.TEXTJOIN(",",TRUE,_xlfn.UNIQUE(TRANSPOSE(_xlfn.MAP(_xlfn.XLOOKUP(A284,'Pinlist(S1)'!$C$4:$C$1362,'Pinlist(S1)'!$F$4:$K$1362,""),_xlfn.LAMBDA(_xlpm.x,IF(_xlpm.x&lt;&gt;"",TRIM(CLEAN(LEFT(_xlpm.x,FIND(".",_xlpm.x &amp; ".")-1))),""))))))</f>
        <v/>
      </c>
      <c r="D284">
        <v>20.948</v>
      </c>
      <c r="E284">
        <v>3.3730000000000002</v>
      </c>
      <c r="F284" t="str">
        <f>_xlfn.LET(_xlpm.raw,_xlfn.XLOOKUP(A284,'Pinlist(S1)'!$C$4:$C$1362,'Pinlist(S1)'!$E$4:$E$1362,""),_xlpm.cleanRaw,SUBSTITUTE(SUBSTITUTE(_xlpm.raw,"_PIN","."),"PIN","."),_xlpm.mainPart,MID(_xlpm.cleanRaw,2,FIND(".",_xlpm.cleanRaw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4" t="str">
        <f>_xlfn.LET(_xlpm.raw,_xlfn.XLOOKUP(A284,'Pinlist(S3)'!$C$4:$C$1362,'Pinlist(S3)'!$E$4:$E$1362,""),_xlpm.cleanRaw,SUBSTITUTE(SUBSTITUTE(_xlpm.raw,"_PIN","."),"PIN","."),_xlpm.mainPart,MID(_xlpm.cleanRaw,2,FIND(".",_xlpm.cleanRaw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4" t="str">
        <f>_xlfn.LET(_xlpm.raw,_xlfn.XLOOKUP(A284,'Pinlist(S5)'!$C$4:$C$1362,'Pinlist(S5)'!$E$4:$E$1362,""),_xlpm.cleanRaw,SUBSTITUTE(SUBSTITUTE(_xlpm.raw,"_PIN","."),"PIN","."),_xlpm.mainPart,MID(_xlpm.cleanRaw,2,FIND(".",_xlpm.cleanRaw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4" t="str">
        <f>""</f>
        <v/>
      </c>
      <c r="J284" t="str">
        <f t="shared" si="4"/>
        <v>F37;VSS;;20.948;3.373;;;;</v>
      </c>
    </row>
    <row r="285" spans="1:10">
      <c r="A285" t="s">
        <v>2157</v>
      </c>
      <c r="B285" t="str">
        <f>_xlfn.XLOOKUP(A285,'Pinlist(S1)'!$Q$4:$Q$1362,'Pinlist(S1)'!$R$4:$R$1362,"")</f>
        <v>VSS</v>
      </c>
      <c r="C285" t="str" cm="1">
        <f t="array" ref="C285">_xlfn.TEXTJOIN(",",TRUE,_xlfn.UNIQUE(TRANSPOSE(_xlfn.MAP(_xlfn.XLOOKUP(A285,'Pinlist(S1)'!$C$4:$C$1362,'Pinlist(S1)'!$F$4:$K$1362,""),_xlfn.LAMBDA(_xlpm.x,IF(_xlpm.x&lt;&gt;"",TRIM(CLEAN(LEFT(_xlpm.x,FIND(".",_xlpm.x &amp; ".")-1))),""))))))</f>
        <v/>
      </c>
      <c r="D285">
        <v>21.861999999999998</v>
      </c>
      <c r="E285">
        <v>3.3730000000000002</v>
      </c>
      <c r="F285" t="str">
        <f>_xlfn.LET(_xlpm.raw,_xlfn.XLOOKUP(A285,'Pinlist(S1)'!$C$4:$C$1362,'Pinlist(S1)'!$E$4:$E$1362,""),_xlpm.cleanRaw,SUBSTITUTE(SUBSTITUTE(_xlpm.raw,"_PIN","."),"PIN","."),_xlpm.mainPart,MID(_xlpm.cleanRaw,2,FIND(".",_xlpm.cleanRaw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5" t="str">
        <f>_xlfn.LET(_xlpm.raw,_xlfn.XLOOKUP(A285,'Pinlist(S3)'!$C$4:$C$1362,'Pinlist(S3)'!$E$4:$E$1362,""),_xlpm.cleanRaw,SUBSTITUTE(SUBSTITUTE(_xlpm.raw,"_PIN","."),"PIN","."),_xlpm.mainPart,MID(_xlpm.cleanRaw,2,FIND(".",_xlpm.cleanRaw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5" t="str">
        <f>_xlfn.LET(_xlpm.raw,_xlfn.XLOOKUP(A285,'Pinlist(S5)'!$C$4:$C$1362,'Pinlist(S5)'!$E$4:$E$1362,""),_xlpm.cleanRaw,SUBSTITUTE(SUBSTITUTE(_xlpm.raw,"_PIN","."),"PIN","."),_xlpm.mainPart,MID(_xlpm.cleanRaw,2,FIND(".",_xlpm.cleanRaw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5" t="str">
        <f>""</f>
        <v/>
      </c>
      <c r="J285" t="str">
        <f t="shared" si="4"/>
        <v>F38;VSS;;21.862;3.373;;;;</v>
      </c>
    </row>
    <row r="286" spans="1:10">
      <c r="A286" t="s">
        <v>2159</v>
      </c>
      <c r="B286" t="str">
        <f>_xlfn.XLOOKUP(A286,'Pinlist(S1)'!$Q$4:$Q$1362,'Pinlist(S1)'!$R$4:$R$1362,"")</f>
        <v>VSS</v>
      </c>
      <c r="C286" t="str" cm="1">
        <f t="array" ref="C286">_xlfn.TEXTJOIN(",",TRUE,_xlfn.UNIQUE(TRANSPOSE(_xlfn.MAP(_xlfn.XLOOKUP(A286,'Pinlist(S1)'!$C$4:$C$1362,'Pinlist(S1)'!$F$4:$K$1362,""),_xlfn.LAMBDA(_xlpm.x,IF(_xlpm.x&lt;&gt;"",TRIM(CLEAN(LEFT(_xlpm.x,FIND(".",_xlpm.x &amp; ".")-1))),""))))))</f>
        <v/>
      </c>
      <c r="D286">
        <v>22.777000000000001</v>
      </c>
      <c r="E286">
        <v>3.3730000000000002</v>
      </c>
      <c r="F286" t="str">
        <f>_xlfn.LET(_xlpm.raw,_xlfn.XLOOKUP(A286,'Pinlist(S1)'!$C$4:$C$1362,'Pinlist(S1)'!$E$4:$E$1362,""),_xlpm.cleanRaw,SUBSTITUTE(SUBSTITUTE(_xlpm.raw,"_PIN","."),"PIN","."),_xlpm.mainPart,MID(_xlpm.cleanRaw,2,FIND(".",_xlpm.cleanRaw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6" t="str">
        <f>_xlfn.LET(_xlpm.raw,_xlfn.XLOOKUP(A286,'Pinlist(S3)'!$C$4:$C$1362,'Pinlist(S3)'!$E$4:$E$1362,""),_xlpm.cleanRaw,SUBSTITUTE(SUBSTITUTE(_xlpm.raw,"_PIN","."),"PIN","."),_xlpm.mainPart,MID(_xlpm.cleanRaw,2,FIND(".",_xlpm.cleanRaw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6" t="str">
        <f>_xlfn.LET(_xlpm.raw,_xlfn.XLOOKUP(A286,'Pinlist(S5)'!$C$4:$C$1362,'Pinlist(S5)'!$E$4:$E$1362,""),_xlpm.cleanRaw,SUBSTITUTE(SUBSTITUTE(_xlpm.raw,"_PIN","."),"PIN","."),_xlpm.mainPart,MID(_xlpm.cleanRaw,2,FIND(".",_xlpm.cleanRaw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6" t="str">
        <f>""</f>
        <v/>
      </c>
      <c r="J286" t="str">
        <f t="shared" si="4"/>
        <v>F40;VSS;;22.777;3.373;;;;</v>
      </c>
    </row>
    <row r="287" spans="1:10">
      <c r="A287" t="s">
        <v>2160</v>
      </c>
      <c r="B287" t="str">
        <f>_xlfn.XLOOKUP(A287,'Pinlist(S1)'!$Q$4:$Q$1362,'Pinlist(S1)'!$R$4:$R$1362,"")</f>
        <v>VSS</v>
      </c>
      <c r="C287" t="str" cm="1">
        <f t="array" ref="C287">_xlfn.TEXTJOIN(",",TRUE,_xlfn.UNIQUE(TRANSPOSE(_xlfn.MAP(_xlfn.XLOOKUP(A287,'Pinlist(S1)'!$C$4:$C$1362,'Pinlist(S1)'!$F$4:$K$1362,""),_xlfn.LAMBDA(_xlpm.x,IF(_xlpm.x&lt;&gt;"",TRIM(CLEAN(LEFT(_xlpm.x,FIND(".",_xlpm.x &amp; ".")-1))),""))))))</f>
        <v/>
      </c>
      <c r="D287">
        <v>23.690999999999999</v>
      </c>
      <c r="E287">
        <v>3.3730000000000002</v>
      </c>
      <c r="F287" t="str">
        <f>_xlfn.LET(_xlpm.raw,_xlfn.XLOOKUP(A287,'Pinlist(S1)'!$C$4:$C$1362,'Pinlist(S1)'!$E$4:$E$1362,""),_xlpm.cleanRaw,SUBSTITUTE(SUBSTITUTE(_xlpm.raw,"_PIN","."),"PIN","."),_xlpm.mainPart,MID(_xlpm.cleanRaw,2,FIND(".",_xlpm.cleanRaw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7" t="str">
        <f>_xlfn.LET(_xlpm.raw,_xlfn.XLOOKUP(A287,'Pinlist(S3)'!$C$4:$C$1362,'Pinlist(S3)'!$E$4:$E$1362,""),_xlpm.cleanRaw,SUBSTITUTE(SUBSTITUTE(_xlpm.raw,"_PIN","."),"PIN","."),_xlpm.mainPart,MID(_xlpm.cleanRaw,2,FIND(".",_xlpm.cleanRaw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7" t="str">
        <f>_xlfn.LET(_xlpm.raw,_xlfn.XLOOKUP(A287,'Pinlist(S5)'!$C$4:$C$1362,'Pinlist(S5)'!$E$4:$E$1362,""),_xlpm.cleanRaw,SUBSTITUTE(SUBSTITUTE(_xlpm.raw,"_PIN","."),"PIN","."),_xlpm.mainPart,MID(_xlpm.cleanRaw,2,FIND(".",_xlpm.cleanRaw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7" t="str">
        <f>""</f>
        <v/>
      </c>
      <c r="J287" t="str">
        <f t="shared" si="4"/>
        <v>F42;VSS;;23.691;3.373;;;;</v>
      </c>
    </row>
    <row r="288" spans="1:10">
      <c r="A288" t="s">
        <v>33</v>
      </c>
      <c r="B288" t="str">
        <f>_xlfn.XLOOKUP(A288,'Pinlist(S1)'!$Q$4:$Q$1362,'Pinlist(S1)'!$R$4:$R$1362,"")</f>
        <v>CLKOUT_ITPXDP_N</v>
      </c>
      <c r="C288" t="str" cm="1">
        <f t="array" ref="C288">_xlfn.TEXTJOIN(",",TRUE,_xlfn.UNIQUE(TRANSPOSE(_xlfn.MAP(_xlfn.XLOOKUP(A288,'Pinlist(S1)'!$C$4:$C$1362,'Pinlist(S1)'!$F$4:$K$1362,""),_xlfn.LAMBDA(_xlpm.x,IF(_xlpm.x&lt;&gt;"",TRIM(CLEAN(LEFT(_xlpm.x,FIND(".",_xlpm.x &amp; ".")-1))),""))))))</f>
        <v>TPA101,KA101</v>
      </c>
      <c r="D288">
        <v>24.606000000000002</v>
      </c>
      <c r="E288">
        <v>3.3730000000000002</v>
      </c>
      <c r="F288" t="str">
        <f>_xlfn.LET(_xlpm.raw,_xlfn.XLOOKUP(A288,'Pinlist(S1)'!$C$4:$C$1362,'Pinlist(S1)'!$E$4:$E$1362,""),_xlpm.cleanRaw,SUBSTITUTE(SUBSTITUTE(_xlpm.raw,"_PIN","."),"PIN","."),_xlpm.mainPart,MID(_xlpm.cleanRaw,2,FIND(".",_xlpm.cleanRaw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288" t="str">
        <f>_xlfn.LET(_xlpm.raw,_xlfn.XLOOKUP(A288,'Pinlist(S3)'!$C$4:$C$1362,'Pinlist(S3)'!$E$4:$E$1362,""),_xlpm.cleanRaw,SUBSTITUTE(SUBSTITUTE(_xlpm.raw,"_PIN","."),"PIN","."),_xlpm.mainPart,MID(_xlpm.cleanRaw,2,FIND(".",_xlpm.cleanRaw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288" t="str">
        <f>_xlfn.LET(_xlpm.raw,_xlfn.XLOOKUP(A288,'Pinlist(S5)'!$C$4:$C$1362,'Pinlist(S5)'!$E$4:$E$1362,""),_xlpm.cleanRaw,SUBSTITUTE(SUBSTITUTE(_xlpm.raw,"_PIN","."),"PIN","."),_xlpm.mainPart,MID(_xlpm.cleanRaw,2,FIND(".",_xlpm.cleanRaw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288" t="str">
        <f>""</f>
        <v/>
      </c>
      <c r="J288" t="str">
        <f t="shared" si="4"/>
        <v>F43;CLKOUT_ITPXDP_N;TPA101,KA101;24.606;3.373;508042;804001;703039;</v>
      </c>
    </row>
    <row r="289" spans="1:10">
      <c r="A289" t="s">
        <v>722</v>
      </c>
      <c r="B289" t="str">
        <f>_xlfn.XLOOKUP(A289,'Pinlist(S1)'!$Q$4:$Q$1362,'Pinlist(S1)'!$R$4:$R$1362,"")</f>
        <v>EDP_AUXP</v>
      </c>
      <c r="C289" t="str" cm="1">
        <f t="array" ref="C289">_xlfn.TEXTJOIN(",",TRUE,_xlfn.UNIQUE(TRANSPOSE(_xlfn.MAP(_xlfn.XLOOKUP(A289,'Pinlist(S1)'!$C$4:$C$1362,'Pinlist(S1)'!$F$4:$K$1362,""),_xlfn.LAMBDA(_xlpm.x,IF(_xlpm.x&lt;&gt;"",TRIM(CLEAN(LEFT(_xlpm.x,FIND(".",_xlpm.x &amp; ".")-1))),""))))))</f>
        <v/>
      </c>
      <c r="D289">
        <v>25.52</v>
      </c>
      <c r="E289">
        <v>3.3730000000000002</v>
      </c>
      <c r="F289" t="str">
        <f>_xlfn.LET(_xlpm.raw,_xlfn.XLOOKUP(A289,'Pinlist(S1)'!$C$4:$C$1362,'Pinlist(S1)'!$E$4:$E$1362,""),_xlpm.cleanRaw,SUBSTITUTE(SUBSTITUTE(_xlpm.raw,"_PIN","."),"PIN","."),_xlpm.mainPart,MID(_xlpm.cleanRaw,2,FIND(".",_xlpm.cleanRaw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608072</v>
      </c>
      <c r="G289" t="str">
        <f>_xlfn.LET(_xlpm.raw,_xlfn.XLOOKUP(A289,'Pinlist(S3)'!$C$4:$C$1362,'Pinlist(S3)'!$E$4:$E$1362,""),_xlpm.cleanRaw,SUBSTITUTE(SUBSTITUTE(_xlpm.raw,"_PIN","."),"PIN","."),_xlpm.mainPart,MID(_xlpm.cleanRaw,2,FIND(".",_xlpm.cleanRaw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801023</v>
      </c>
      <c r="H289" t="str">
        <f>_xlfn.LET(_xlpm.raw,_xlfn.XLOOKUP(A289,'Pinlist(S5)'!$C$4:$C$1362,'Pinlist(S5)'!$E$4:$E$1362,""),_xlpm.cleanRaw,SUBSTITUTE(SUBSTITUTE(_xlpm.raw,"_PIN","."),"PIN","."),_xlpm.mainPart,MID(_xlpm.cleanRaw,2,FIND(".",_xlpm.cleanRaw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708067</v>
      </c>
      <c r="I289" t="str">
        <f>""</f>
        <v/>
      </c>
      <c r="J289" t="str">
        <f t="shared" si="4"/>
        <v>F45;EDP_AUXP;;25.52;3.373;608072;801023;708067;</v>
      </c>
    </row>
    <row r="290" spans="1:10">
      <c r="A290" t="s">
        <v>221</v>
      </c>
      <c r="B290" t="str">
        <f>_xlfn.XLOOKUP(A290,'Pinlist(S1)'!$Q$4:$Q$1362,'Pinlist(S1)'!$R$4:$R$1362,"")</f>
        <v>DDI3_AUXP</v>
      </c>
      <c r="C290" t="str" cm="1">
        <f t="array" ref="C290">_xlfn.TEXTJOIN(",",TRUE,_xlfn.UNIQUE(TRANSPOSE(_xlfn.MAP(_xlfn.XLOOKUP(A290,'Pinlist(S1)'!$C$4:$C$1362,'Pinlist(S1)'!$F$4:$K$1362,""),_xlfn.LAMBDA(_xlpm.x,IF(_xlpm.x&lt;&gt;"",TRIM(CLEAN(LEFT(_xlpm.x,FIND(".",_xlpm.x &amp; ".")-1))),""))))))</f>
        <v>KA146</v>
      </c>
      <c r="D290">
        <v>26.434000000000001</v>
      </c>
      <c r="E290">
        <v>3.3730000000000002</v>
      </c>
      <c r="F290" t="str">
        <f>_xlfn.LET(_xlpm.raw,_xlfn.XLOOKUP(A290,'Pinlist(S1)'!$C$4:$C$1362,'Pinlist(S1)'!$E$4:$E$1362,""),_xlpm.cleanRaw,SUBSTITUTE(SUBSTITUTE(_xlpm.raw,"_PIN","."),"PIN","."),_xlpm.mainPart,MID(_xlpm.cleanRaw,2,FIND(".",_xlpm.cleanRaw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290" t="str">
        <f>_xlfn.LET(_xlpm.raw,_xlfn.XLOOKUP(A290,'Pinlist(S3)'!$C$4:$C$1362,'Pinlist(S3)'!$E$4:$E$1362,""),_xlpm.cleanRaw,SUBSTITUTE(SUBSTITUTE(_xlpm.raw,"_PIN","."),"PIN","."),_xlpm.mainPart,MID(_xlpm.cleanRaw,2,FIND(".",_xlpm.cleanRaw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503025</v>
      </c>
      <c r="H290" t="str">
        <f>_xlfn.LET(_xlpm.raw,_xlfn.XLOOKUP(A290,'Pinlist(S5)'!$C$4:$C$1362,'Pinlist(S5)'!$E$4:$E$1362,""),_xlpm.cleanRaw,SUBSTITUTE(SUBSTITUTE(_xlpm.raw,"_PIN","."),"PIN","."),_xlpm.mainPart,MID(_xlpm.cleanRaw,2,FIND(".",_xlpm.cleanRaw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I290" t="str">
        <f>""</f>
        <v/>
      </c>
      <c r="J290" t="str">
        <f t="shared" si="4"/>
        <v>F46;DDI3_AUXP;KA146;26.434;3.373;604017;503025;709034;</v>
      </c>
    </row>
    <row r="291" spans="1:10">
      <c r="A291" t="s">
        <v>192</v>
      </c>
      <c r="B291" t="str">
        <f>_xlfn.XLOOKUP(A291,'Pinlist(S1)'!$Q$4:$Q$1362,'Pinlist(S1)'!$R$4:$R$1362,"")</f>
        <v>DDI2_AUXP</v>
      </c>
      <c r="C291" t="str" cm="1">
        <f t="array" ref="C291">_xlfn.TEXTJOIN(",",TRUE,_xlfn.UNIQUE(TRANSPOSE(_xlfn.MAP(_xlfn.XLOOKUP(A291,'Pinlist(S1)'!$C$4:$C$1362,'Pinlist(S1)'!$F$4:$K$1362,""),_xlfn.LAMBDA(_xlpm.x,IF(_xlpm.x&lt;&gt;"",TRIM(CLEAN(LEFT(_xlpm.x,FIND(".",_xlpm.x &amp; ".")-1))),""))))))</f>
        <v>KA146</v>
      </c>
      <c r="D291">
        <v>27.349</v>
      </c>
      <c r="E291">
        <v>3.3730000000000002</v>
      </c>
      <c r="F291" t="str">
        <f>_xlfn.LET(_xlpm.raw,_xlfn.XLOOKUP(A291,'Pinlist(S1)'!$C$4:$C$1362,'Pinlist(S1)'!$E$4:$E$1362,""),_xlpm.cleanRaw,SUBSTITUTE(SUBSTITUTE(_xlpm.raw,"_PIN","."),"PIN","."),_xlpm.mainPart,MID(_xlpm.cleanRaw,2,FIND(".",_xlpm.cleanRaw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291" t="str">
        <f>_xlfn.LET(_xlpm.raw,_xlfn.XLOOKUP(A291,'Pinlist(S3)'!$C$4:$C$1362,'Pinlist(S3)'!$E$4:$E$1362,""),_xlpm.cleanRaw,SUBSTITUTE(SUBSTITUTE(_xlpm.raw,"_PIN","."),"PIN","."),_xlpm.mainPart,MID(_xlpm.cleanRaw,2,FIND(".",_xlpm.cleanRaw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503025</v>
      </c>
      <c r="H291" t="str">
        <f>_xlfn.LET(_xlpm.raw,_xlfn.XLOOKUP(A291,'Pinlist(S5)'!$C$4:$C$1362,'Pinlist(S5)'!$E$4:$E$1362,""),_xlpm.cleanRaw,SUBSTITUTE(SUBSTITUTE(_xlpm.raw,"_PIN","."),"PIN","."),_xlpm.mainPart,MID(_xlpm.cleanRaw,2,FIND(".",_xlpm.cleanRaw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I291" t="str">
        <f>""</f>
        <v/>
      </c>
      <c r="J291" t="str">
        <f t="shared" si="4"/>
        <v>F48;DDI2_AUXP;KA146;27.349;3.373;604017;503025;709034;</v>
      </c>
    </row>
    <row r="292" spans="1:10">
      <c r="A292" t="s">
        <v>164</v>
      </c>
      <c r="B292" t="str">
        <f>_xlfn.XLOOKUP(A292,'Pinlist(S1)'!$Q$4:$Q$1362,'Pinlist(S1)'!$R$4:$R$1362,"")</f>
        <v>DDI1_AUXP</v>
      </c>
      <c r="C292" t="str" cm="1">
        <f t="array" ref="C292">_xlfn.TEXTJOIN(",",TRUE,_xlfn.UNIQUE(TRANSPOSE(_xlfn.MAP(_xlfn.XLOOKUP(A292,'Pinlist(S1)'!$C$4:$C$1362,'Pinlist(S1)'!$F$4:$K$1362,""),_xlfn.LAMBDA(_xlpm.x,IF(_xlpm.x&lt;&gt;"",TRIM(CLEAN(LEFT(_xlpm.x,FIND(".",_xlpm.x &amp; ".")-1))),""))))))</f>
        <v/>
      </c>
      <c r="D292">
        <v>28.262999999999899</v>
      </c>
      <c r="E292">
        <v>3.3730000000000002</v>
      </c>
      <c r="F292" t="str">
        <f>_xlfn.LET(_xlpm.raw,_xlfn.XLOOKUP(A292,'Pinlist(S1)'!$C$4:$C$1362,'Pinlist(S1)'!$E$4:$E$1362,""),_xlpm.cleanRaw,SUBSTITUTE(SUBSTITUTE(_xlpm.raw,"_PIN","."),"PIN","."),_xlpm.mainPart,MID(_xlpm.cleanRaw,2,FIND(".",_xlpm.cleanRaw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605062</v>
      </c>
      <c r="G292" t="str">
        <f>_xlfn.LET(_xlpm.raw,_xlfn.XLOOKUP(A292,'Pinlist(S3)'!$C$4:$C$1362,'Pinlist(S3)'!$E$4:$E$1362,""),_xlpm.cleanRaw,SUBSTITUTE(SUBSTITUTE(_xlpm.raw,"_PIN","."),"PIN","."),_xlpm.mainPart,MID(_xlpm.cleanRaw,2,FIND(".",_xlpm.cleanRaw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502047</v>
      </c>
      <c r="H292" t="str">
        <f>_xlfn.LET(_xlpm.raw,_xlfn.XLOOKUP(A292,'Pinlist(S5)'!$C$4:$C$1362,'Pinlist(S5)'!$E$4:$E$1362,""),_xlpm.cleanRaw,SUBSTITUTE(SUBSTITUTE(_xlpm.raw,"_PIN","."),"PIN","."),_xlpm.mainPart,MID(_xlpm.cleanRaw,2,FIND(".",_xlpm.cleanRaw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709016</v>
      </c>
      <c r="I292" t="str">
        <f>""</f>
        <v/>
      </c>
      <c r="J292" t="str">
        <f t="shared" si="4"/>
        <v>F50;DDI1_AUXP;;28.2629999999999;3.373;605062;502047;709016;</v>
      </c>
    </row>
    <row r="293" spans="1:10">
      <c r="A293" t="s">
        <v>1384</v>
      </c>
      <c r="B293" t="str">
        <f>_xlfn.XLOOKUP(A293,'Pinlist(S1)'!$Q$4:$Q$1362,'Pinlist(S1)'!$R$4:$R$1362,"")</f>
        <v>SPARE_16</v>
      </c>
      <c r="C293" t="str" cm="1">
        <f t="array" ref="C293">_xlfn.TEXTJOIN(",",TRUE,_xlfn.UNIQUE(TRANSPOSE(_xlfn.MAP(_xlfn.XLOOKUP(A293,'Pinlist(S1)'!$C$4:$C$1362,'Pinlist(S1)'!$F$4:$K$1362,""),_xlfn.LAMBDA(_xlpm.x,IF(_xlpm.x&lt;&gt;"",TRIM(CLEAN(LEFT(_xlpm.x,FIND(".",_xlpm.x &amp; ".")-1))),""))))))</f>
        <v/>
      </c>
      <c r="D293">
        <v>29.178000000000001</v>
      </c>
      <c r="E293">
        <v>3.3730000000000002</v>
      </c>
      <c r="F293" t="str">
        <f>_xlfn.LET(_xlpm.raw,_xlfn.XLOOKUP(A293,'Pinlist(S1)'!$C$4:$C$1362,'Pinlist(S1)'!$E$4:$E$1362,""),_xlpm.cleanRaw,SUBSTITUTE(SUBSTITUTE(_xlpm.raw,"_PIN","."),"PIN","."),_xlpm.mainPart,MID(_xlpm.cleanRaw,2,FIND(".",_xlpm.cleanRaw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3" t="str">
        <f>_xlfn.LET(_xlpm.raw,_xlfn.XLOOKUP(A293,'Pinlist(S3)'!$C$4:$C$1362,'Pinlist(S3)'!$E$4:$E$1362,""),_xlpm.cleanRaw,SUBSTITUTE(SUBSTITUTE(_xlpm.raw,"_PIN","."),"PIN","."),_xlpm.mainPart,MID(_xlpm.cleanRaw,2,FIND(".",_xlpm.cleanRaw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3" t="str">
        <f>_xlfn.LET(_xlpm.raw,_xlfn.XLOOKUP(A293,'Pinlist(S5)'!$C$4:$C$1362,'Pinlist(S5)'!$E$4:$E$1362,""),_xlpm.cleanRaw,SUBSTITUTE(SUBSTITUTE(_xlpm.raw,"_PIN","."),"PIN","."),_xlpm.mainPart,MID(_xlpm.cleanRaw,2,FIND(".",_xlpm.cleanRaw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93" t="str">
        <f>""</f>
        <v/>
      </c>
      <c r="J293" t="str">
        <f t="shared" si="4"/>
        <v>F52;SPARE_16;;29.178;3.373;;;;</v>
      </c>
    </row>
    <row r="294" spans="1:10">
      <c r="A294" t="s">
        <v>171</v>
      </c>
      <c r="B294" t="str">
        <f>_xlfn.XLOOKUP(A294,'Pinlist(S1)'!$Q$4:$Q$1362,'Pinlist(S1)'!$R$4:$R$1362,"")</f>
        <v>DDI1_TXN[2]</v>
      </c>
      <c r="C294" t="str" cm="1">
        <f t="array" ref="C294">_xlfn.TEXTJOIN(",",TRUE,_xlfn.UNIQUE(TRANSPOSE(_xlfn.MAP(_xlfn.XLOOKUP(A294,'Pinlist(S1)'!$C$4:$C$1362,'Pinlist(S1)'!$F$4:$K$1362,""),_xlfn.LAMBDA(_xlpm.x,IF(_xlpm.x&lt;&gt;"",TRIM(CLEAN(LEFT(_xlpm.x,FIND(".",_xlpm.x &amp; ".")-1))),""))))))</f>
        <v>KA125</v>
      </c>
      <c r="D294">
        <v>30.091999999999999</v>
      </c>
      <c r="E294">
        <v>3.3730000000000002</v>
      </c>
      <c r="F294" t="str">
        <f>_xlfn.LET(_xlpm.raw,_xlfn.XLOOKUP(A294,'Pinlist(S1)'!$C$4:$C$1362,'Pinlist(S1)'!$E$4:$E$1362,""),_xlpm.cleanRaw,SUBSTITUTE(SUBSTITUTE(_xlpm.raw,"_PIN","."),"PIN","."),_xlpm.mainPart,MID(_xlpm.cleanRaw,2,FIND(".",_xlpm.cleanRaw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294" t="str">
        <f>_xlfn.LET(_xlpm.raw,_xlfn.XLOOKUP(A294,'Pinlist(S3)'!$C$4:$C$1362,'Pinlist(S3)'!$E$4:$E$1362,""),_xlpm.cleanRaw,SUBSTITUTE(SUBSTITUTE(_xlpm.raw,"_PIN","."),"PIN","."),_xlpm.mainPart,MID(_xlpm.cleanRaw,2,FIND(".",_xlpm.cleanRaw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502058</v>
      </c>
      <c r="H294" t="str">
        <f>_xlfn.LET(_xlpm.raw,_xlfn.XLOOKUP(A294,'Pinlist(S5)'!$C$4:$C$1362,'Pinlist(S5)'!$E$4:$E$1362,""),_xlpm.cleanRaw,SUBSTITUTE(SUBSTITUTE(_xlpm.raw,"_PIN","."),"PIN","."),_xlpm.mainPart,MID(_xlpm.cleanRaw,2,FIND(".",_xlpm.cleanRaw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I294" t="str">
        <f>""</f>
        <v/>
      </c>
      <c r="J294" t="str">
        <f t="shared" si="4"/>
        <v>F53;DDI1_TXN[2];KA125;30.092;3.373;605053;502058;709020;</v>
      </c>
    </row>
    <row r="295" spans="1:10">
      <c r="A295" t="s">
        <v>177</v>
      </c>
      <c r="B295" t="str">
        <f>_xlfn.XLOOKUP(A295,'Pinlist(S1)'!$Q$4:$Q$1362,'Pinlist(S1)'!$R$4:$R$1362,"")</f>
        <v>DDI1_TXP[0]</v>
      </c>
      <c r="C295" t="str" cm="1">
        <f t="array" ref="C295">_xlfn.TEXTJOIN(",",TRUE,_xlfn.UNIQUE(TRANSPOSE(_xlfn.MAP(_xlfn.XLOOKUP(A295,'Pinlist(S1)'!$C$4:$C$1362,'Pinlist(S1)'!$F$4:$K$1362,""),_xlfn.LAMBDA(_xlpm.x,IF(_xlpm.x&lt;&gt;"",TRIM(CLEAN(LEFT(_xlpm.x,FIND(".",_xlpm.x &amp; ".")-1))),""))))))</f>
        <v>KA123</v>
      </c>
      <c r="D295">
        <v>31.006</v>
      </c>
      <c r="E295">
        <v>3.3730000000000002</v>
      </c>
      <c r="F295" t="str">
        <f>_xlfn.LET(_xlpm.raw,_xlfn.XLOOKUP(A295,'Pinlist(S1)'!$C$4:$C$1362,'Pinlist(S1)'!$E$4:$E$1362,""),_xlpm.cleanRaw,SUBSTITUTE(SUBSTITUTE(_xlpm.raw,"_PIN","."),"PIN","."),_xlpm.mainPart,MID(_xlpm.cleanRaw,2,FIND(".",_xlpm.cleanRaw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295" t="str">
        <f>_xlfn.LET(_xlpm.raw,_xlfn.XLOOKUP(A295,'Pinlist(S3)'!$C$4:$C$1362,'Pinlist(S3)'!$E$4:$E$1362,""),_xlpm.cleanRaw,SUBSTITUTE(SUBSTITUTE(_xlpm.raw,"_PIN","."),"PIN","."),_xlpm.mainPart,MID(_xlpm.cleanRaw,2,FIND(".",_xlpm.cleanRaw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503017</v>
      </c>
      <c r="H295" t="str">
        <f>_xlfn.LET(_xlpm.raw,_xlfn.XLOOKUP(A295,'Pinlist(S5)'!$C$4:$C$1362,'Pinlist(S5)'!$E$4:$E$1362,""),_xlpm.cleanRaw,SUBSTITUTE(SUBSTITUTE(_xlpm.raw,"_PIN","."),"PIN","."),_xlpm.mainPart,MID(_xlpm.cleanRaw,2,FIND(".",_xlpm.cleanRaw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708056</v>
      </c>
      <c r="I295" t="str">
        <f>""</f>
        <v/>
      </c>
      <c r="J295" t="str">
        <f t="shared" si="4"/>
        <v>F55;DDI1_TXP[0];KA123;31.006;3.373;604018;503017;708056;</v>
      </c>
    </row>
    <row r="296" spans="1:10">
      <c r="A296" t="s">
        <v>174</v>
      </c>
      <c r="B296" t="str">
        <f>_xlfn.XLOOKUP(A296,'Pinlist(S1)'!$Q$4:$Q$1362,'Pinlist(S1)'!$R$4:$R$1362,"")</f>
        <v>DDI1_TXN[3]</v>
      </c>
      <c r="C296" t="str" cm="1">
        <f t="array" ref="C296">_xlfn.TEXTJOIN(",",TRUE,_xlfn.UNIQUE(TRANSPOSE(_xlfn.MAP(_xlfn.XLOOKUP(A296,'Pinlist(S1)'!$C$4:$C$1362,'Pinlist(S1)'!$F$4:$K$1362,""),_xlfn.LAMBDA(_xlpm.x,IF(_xlpm.x&lt;&gt;"",TRIM(CLEAN(LEFT(_xlpm.x,FIND(".",_xlpm.x &amp; ".")-1))),""))))))</f>
        <v>KA126</v>
      </c>
      <c r="D296">
        <v>31.920999999999999</v>
      </c>
      <c r="E296">
        <v>3.3730000000000002</v>
      </c>
      <c r="F296" t="str">
        <f>_xlfn.LET(_xlpm.raw,_xlfn.XLOOKUP(A296,'Pinlist(S1)'!$C$4:$C$1362,'Pinlist(S1)'!$E$4:$E$1362,""),_xlpm.cleanRaw,SUBSTITUTE(SUBSTITUTE(_xlpm.raw,"_PIN","."),"PIN","."),_xlpm.mainPart,MID(_xlpm.cleanRaw,2,FIND(".",_xlpm.cleanRaw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296" t="str">
        <f>_xlfn.LET(_xlpm.raw,_xlfn.XLOOKUP(A296,'Pinlist(S3)'!$C$4:$C$1362,'Pinlist(S3)'!$E$4:$E$1362,""),_xlpm.cleanRaw,SUBSTITUTE(SUBSTITUTE(_xlpm.raw,"_PIN","."),"PIN","."),_xlpm.mainPart,MID(_xlpm.cleanRaw,2,FIND(".",_xlpm.cleanRaw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503014</v>
      </c>
      <c r="H296" t="str">
        <f>_xlfn.LET(_xlpm.raw,_xlfn.XLOOKUP(A296,'Pinlist(S5)'!$C$4:$C$1362,'Pinlist(S5)'!$E$4:$E$1362,""),_xlpm.cleanRaw,SUBSTITUTE(SUBSTITUTE(_xlpm.raw,"_PIN","."),"PIN","."),_xlpm.mainPart,MID(_xlpm.cleanRaw,2,FIND(".",_xlpm.cleanRaw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709019</v>
      </c>
      <c r="I296" t="str">
        <f>""</f>
        <v/>
      </c>
      <c r="J296" t="str">
        <f t="shared" si="4"/>
        <v>F56;DDI1_TXN[3];KA126;31.921;3.373;604019;503014;709019;</v>
      </c>
    </row>
    <row r="297" spans="1:10">
      <c r="A297" t="s">
        <v>180</v>
      </c>
      <c r="B297" t="str">
        <f>_xlfn.XLOOKUP(A297,'Pinlist(S1)'!$Q$4:$Q$1362,'Pinlist(S1)'!$R$4:$R$1362,"")</f>
        <v>DDI1_TXP[1]</v>
      </c>
      <c r="C297" t="str" cm="1">
        <f t="array" ref="C297">_xlfn.TEXTJOIN(",",TRUE,_xlfn.UNIQUE(TRANSPOSE(_xlfn.MAP(_xlfn.XLOOKUP(A297,'Pinlist(S1)'!$C$4:$C$1362,'Pinlist(S1)'!$F$4:$K$1362,""),_xlfn.LAMBDA(_xlpm.x,IF(_xlpm.x&lt;&gt;"",TRIM(CLEAN(LEFT(_xlpm.x,FIND(".",_xlpm.x &amp; ".")-1))),""))))))</f>
        <v>KA124</v>
      </c>
      <c r="D297">
        <v>32.835000000000001</v>
      </c>
      <c r="E297">
        <v>3.3730000000000002</v>
      </c>
      <c r="F297" t="str">
        <f>_xlfn.LET(_xlpm.raw,_xlfn.XLOOKUP(A297,'Pinlist(S1)'!$C$4:$C$1362,'Pinlist(S1)'!$E$4:$E$1362,""),_xlpm.cleanRaw,SUBSTITUTE(SUBSTITUTE(_xlpm.raw,"_PIN","."),"PIN","."),_xlpm.mainPart,MID(_xlpm.cleanRaw,2,FIND(".",_xlpm.cleanRaw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297" t="str">
        <f>_xlfn.LET(_xlpm.raw,_xlfn.XLOOKUP(A297,'Pinlist(S3)'!$C$4:$C$1362,'Pinlist(S3)'!$E$4:$E$1362,""),_xlpm.cleanRaw,SUBSTITUTE(SUBSTITUTE(_xlpm.raw,"_PIN","."),"PIN","."),_xlpm.mainPart,MID(_xlpm.cleanRaw,2,FIND(".",_xlpm.cleanRaw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503018</v>
      </c>
      <c r="H297" t="str">
        <f>_xlfn.LET(_xlpm.raw,_xlfn.XLOOKUP(A297,'Pinlist(S5)'!$C$4:$C$1362,'Pinlist(S5)'!$E$4:$E$1362,""),_xlpm.cleanRaw,SUBSTITUTE(SUBSTITUTE(_xlpm.raw,"_PIN","."),"PIN","."),_xlpm.mainPart,MID(_xlpm.cleanRaw,2,FIND(".",_xlpm.cleanRaw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I297" t="str">
        <f>""</f>
        <v/>
      </c>
      <c r="J297" t="str">
        <f t="shared" si="4"/>
        <v>F58;DDI1_TXP[1];KA124;32.835;3.373;604024;503018;708055;</v>
      </c>
    </row>
    <row r="298" spans="1:10">
      <c r="A298" t="s">
        <v>1132</v>
      </c>
      <c r="B298" t="str">
        <f>_xlfn.XLOOKUP(A298,'Pinlist(S1)'!$Q$4:$Q$1362,'Pinlist(S1)'!$R$4:$R$1362,"")</f>
        <v>LGC_SPARE[0]</v>
      </c>
      <c r="C298" t="str" cm="1">
        <f t="array" ref="C298">_xlfn.TEXTJOIN(",",TRUE,_xlfn.UNIQUE(TRANSPOSE(_xlfn.MAP(_xlfn.XLOOKUP(A298,'Pinlist(S1)'!$C$4:$C$1362,'Pinlist(S1)'!$F$4:$K$1362,""),_xlfn.LAMBDA(_xlpm.x,IF(_xlpm.x&lt;&gt;"",TRIM(CLEAN(LEFT(_xlpm.x,FIND(".",_xlpm.x &amp; ".")-1))),""))))))</f>
        <v/>
      </c>
      <c r="D298">
        <v>33.75</v>
      </c>
      <c r="E298">
        <v>3.3730000000000002</v>
      </c>
      <c r="F298" t="str">
        <f>_xlfn.LET(_xlpm.raw,_xlfn.XLOOKUP(A298,'Pinlist(S1)'!$C$4:$C$1362,'Pinlist(S1)'!$E$4:$E$1362,""),_xlpm.cleanRaw,SUBSTITUTE(SUBSTITUTE(_xlpm.raw,"_PIN","."),"PIN","."),_xlpm.mainPart,MID(_xlpm.cleanRaw,2,FIND(".",_xlpm.cleanRaw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605061</v>
      </c>
      <c r="G298" t="str">
        <f>_xlfn.LET(_xlpm.raw,_xlfn.XLOOKUP(A298,'Pinlist(S3)'!$C$4:$C$1362,'Pinlist(S3)'!$E$4:$E$1362,""),_xlpm.cleanRaw,SUBSTITUTE(SUBSTITUTE(_xlpm.raw,"_PIN","."),"PIN","."),_xlpm.mainPart,MID(_xlpm.cleanRaw,2,FIND(".",_xlpm.cleanRaw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502053</v>
      </c>
      <c r="H298" t="str">
        <f>_xlfn.LET(_xlpm.raw,_xlfn.XLOOKUP(A298,'Pinlist(S5)'!$C$4:$C$1362,'Pinlist(S5)'!$E$4:$E$1362,""),_xlpm.cleanRaw,SUBSTITUTE(SUBSTITUTE(_xlpm.raw,"_PIN","."),"PIN","."),_xlpm.mainPart,MID(_xlpm.cleanRaw,2,FIND(".",_xlpm.cleanRaw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708051</v>
      </c>
      <c r="I298" t="str">
        <f>""</f>
        <v/>
      </c>
      <c r="J298" t="str">
        <f t="shared" si="4"/>
        <v>F60;LGC_SPARE[0];;33.75;3.373;605061;502053;708051;</v>
      </c>
    </row>
    <row r="299" spans="1:10">
      <c r="A299" t="s">
        <v>1134</v>
      </c>
      <c r="B299" t="str">
        <f>_xlfn.XLOOKUP(A299,'Pinlist(S1)'!$Q$4:$Q$1362,'Pinlist(S1)'!$R$4:$R$1362,"")</f>
        <v>LGC_SPARE[1]</v>
      </c>
      <c r="C299" t="str" cm="1">
        <f t="array" ref="C299">_xlfn.TEXTJOIN(",",TRUE,_xlfn.UNIQUE(TRANSPOSE(_xlfn.MAP(_xlfn.XLOOKUP(A299,'Pinlist(S1)'!$C$4:$C$1362,'Pinlist(S1)'!$F$4:$K$1362,""),_xlfn.LAMBDA(_xlpm.x,IF(_xlpm.x&lt;&gt;"",TRIM(CLEAN(LEFT(_xlpm.x,FIND(".",_xlpm.x &amp; ".")-1))),""))))))</f>
        <v/>
      </c>
      <c r="D299">
        <v>34.664000000000001</v>
      </c>
      <c r="E299">
        <v>3.3730000000000002</v>
      </c>
      <c r="F299" t="str">
        <f>_xlfn.LET(_xlpm.raw,_xlfn.XLOOKUP(A299,'Pinlist(S1)'!$C$4:$C$1362,'Pinlist(S1)'!$E$4:$E$1362,""),_xlpm.cleanRaw,SUBSTITUTE(SUBSTITUTE(_xlpm.raw,"_PIN","."),"PIN","."),_xlpm.mainPart,MID(_xlpm.cleanRaw,2,FIND(".",_xlpm.cleanRaw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605059</v>
      </c>
      <c r="G299" t="str">
        <f>_xlfn.LET(_xlpm.raw,_xlfn.XLOOKUP(A299,'Pinlist(S3)'!$C$4:$C$1362,'Pinlist(S3)'!$E$4:$E$1362,""),_xlpm.cleanRaw,SUBSTITUTE(SUBSTITUTE(_xlpm.raw,"_PIN","."),"PIN","."),_xlpm.mainPart,MID(_xlpm.cleanRaw,2,FIND(".",_xlpm.cleanRaw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503012</v>
      </c>
      <c r="H299" t="str">
        <f>_xlfn.LET(_xlpm.raw,_xlfn.XLOOKUP(A299,'Pinlist(S5)'!$C$4:$C$1362,'Pinlist(S5)'!$E$4:$E$1362,""),_xlpm.cleanRaw,SUBSTITUTE(SUBSTITUTE(_xlpm.raw,"_PIN","."),"PIN","."),_xlpm.mainPart,MID(_xlpm.cleanRaw,2,FIND(".",_xlpm.cleanRaw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708053</v>
      </c>
      <c r="I299" t="str">
        <f>""</f>
        <v/>
      </c>
      <c r="J299" t="str">
        <f t="shared" si="4"/>
        <v>F61;LGC_SPARE[1];;34.664;3.373;605059;503012;708053;</v>
      </c>
    </row>
    <row r="300" spans="1:10">
      <c r="A300" t="s">
        <v>1201</v>
      </c>
      <c r="B300" t="str">
        <f>_xlfn.XLOOKUP(A300,'Pinlist(S1)'!$Q$4:$Q$1362,'Pinlist(S1)'!$R$4:$R$1362,"")</f>
        <v>NOA_STBP[0]</v>
      </c>
      <c r="C300" t="str" cm="1">
        <f t="array" ref="C300">_xlfn.TEXTJOIN(",",TRUE,_xlfn.UNIQUE(TRANSPOSE(_xlfn.MAP(_xlfn.XLOOKUP(A300,'Pinlist(S1)'!$C$4:$C$1362,'Pinlist(S1)'!$F$4:$K$1362,""),_xlfn.LAMBDA(_xlpm.x,IF(_xlpm.x&lt;&gt;"",TRIM(CLEAN(LEFT(_xlpm.x,FIND(".",_xlpm.x &amp; ".")-1))),""))))))</f>
        <v/>
      </c>
      <c r="D300">
        <v>35.628999999999998</v>
      </c>
      <c r="E300">
        <v>3.3089999999999899</v>
      </c>
      <c r="F300" t="str">
        <f>_xlfn.LET(_xlpm.raw,_xlfn.XLOOKUP(A300,'Pinlist(S1)'!$C$4:$C$1362,'Pinlist(S1)'!$E$4:$E$1362,""),_xlpm.cleanRaw,SUBSTITUTE(SUBSTITUTE(_xlpm.raw,"_PIN","."),"PIN","."),_xlpm.mainPart,MID(_xlpm.cleanRaw,2,FIND(".",_xlpm.cleanRaw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604010</v>
      </c>
      <c r="G300" t="str">
        <f>_xlfn.LET(_xlpm.raw,_xlfn.XLOOKUP(A300,'Pinlist(S3)'!$C$4:$C$1362,'Pinlist(S3)'!$E$4:$E$1362,""),_xlpm.cleanRaw,SUBSTITUTE(SUBSTITUTE(_xlpm.raw,"_PIN","."),"PIN","."),_xlpm.mainPart,MID(_xlpm.cleanRaw,2,FIND(".",_xlpm.cleanRaw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503010</v>
      </c>
      <c r="H300" t="str">
        <f>_xlfn.LET(_xlpm.raw,_xlfn.XLOOKUP(A300,'Pinlist(S5)'!$C$4:$C$1362,'Pinlist(S5)'!$E$4:$E$1362,""),_xlpm.cleanRaw,SUBSTITUTE(SUBSTITUTE(_xlpm.raw,"_PIN","."),"PIN","."),_xlpm.mainPart,MID(_xlpm.cleanRaw,2,FIND(".",_xlpm.cleanRaw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709031</v>
      </c>
      <c r="I300" t="str">
        <f>""</f>
        <v/>
      </c>
      <c r="J300" t="str">
        <f t="shared" si="4"/>
        <v>F63;NOA_STBP[0];;35.629;3.30899999999999;604010;503010;709031;</v>
      </c>
    </row>
    <row r="301" spans="1:10">
      <c r="A301" t="s">
        <v>746</v>
      </c>
      <c r="B301" t="str">
        <f>_xlfn.XLOOKUP(A301,'Pinlist(S1)'!$Q$4:$Q$1362,'Pinlist(S1)'!$R$4:$R$1362,"")</f>
        <v>EDRAM_THERMDA</v>
      </c>
      <c r="C301" t="str" cm="1">
        <f t="array" ref="C301">_xlfn.TEXTJOIN(",",TRUE,_xlfn.UNIQUE(TRANSPOSE(_xlfn.MAP(_xlfn.XLOOKUP(A301,'Pinlist(S1)'!$C$4:$C$1362,'Pinlist(S1)'!$F$4:$K$1362,""),_xlfn.LAMBDA(_xlpm.x,IF(_xlpm.x&lt;&gt;"",TRIM(CLEAN(LEFT(_xlpm.x,FIND(".",_xlpm.x &amp; ".")-1))),""))))))</f>
        <v/>
      </c>
      <c r="D301">
        <v>36.644999999999897</v>
      </c>
      <c r="E301">
        <v>3.3089999999999899</v>
      </c>
      <c r="F301" t="str">
        <f>_xlfn.LET(_xlpm.raw,_xlfn.XLOOKUP(A301,'Pinlist(S1)'!$C$4:$C$1362,'Pinlist(S1)'!$E$4:$E$1362,""),_xlpm.cleanRaw,SUBSTITUTE(SUBSTITUTE(_xlpm.raw,"_PIN","."),"PIN","."),_xlpm.mainPart,MID(_xlpm.cleanRaw,2,FIND(".",_xlpm.cleanRaw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1" t="str">
        <f>_xlfn.LET(_xlpm.raw,_xlfn.XLOOKUP(A301,'Pinlist(S3)'!$C$4:$C$1362,'Pinlist(S3)'!$E$4:$E$1362,""),_xlpm.cleanRaw,SUBSTITUTE(SUBSTITUTE(_xlpm.raw,"_PIN","."),"PIN","."),_xlpm.mainPart,MID(_xlpm.cleanRaw,2,FIND(".",_xlpm.cleanRaw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1" t="str">
        <f>_xlfn.LET(_xlpm.raw,_xlfn.XLOOKUP(A301,'Pinlist(S5)'!$C$4:$C$1362,'Pinlist(S5)'!$E$4:$E$1362,""),_xlpm.cleanRaw,SUBSTITUTE(SUBSTITUTE(_xlpm.raw,"_PIN","."),"PIN","."),_xlpm.mainPart,MID(_xlpm.cleanRaw,2,FIND(".",_xlpm.cleanRaw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01" t="str">
        <f>""</f>
        <v/>
      </c>
      <c r="J301" t="str">
        <f t="shared" si="4"/>
        <v>F65;EDRAM_THERMDA;;36.6449999999999;3.30899999999999;;;;</v>
      </c>
    </row>
    <row r="302" spans="1:10">
      <c r="A302" t="s">
        <v>1203</v>
      </c>
      <c r="B302" t="str">
        <f>_xlfn.XLOOKUP(A302,'Pinlist(S1)'!$Q$4:$Q$1362,'Pinlist(S1)'!$R$4:$R$1362,"")</f>
        <v>NOA_STBP[1]</v>
      </c>
      <c r="C302" t="str" cm="1">
        <f t="array" ref="C302">_xlfn.TEXTJOIN(",",TRUE,_xlfn.UNIQUE(TRANSPOSE(_xlfn.MAP(_xlfn.XLOOKUP(A302,'Pinlist(S1)'!$C$4:$C$1362,'Pinlist(S1)'!$F$4:$K$1362,""),_xlfn.LAMBDA(_xlpm.x,IF(_xlpm.x&lt;&gt;"",TRIM(CLEAN(LEFT(_xlpm.x,FIND(".",_xlpm.x &amp; ".")-1))),""))))))</f>
        <v>KA130</v>
      </c>
      <c r="D302">
        <v>37.661000000000001</v>
      </c>
      <c r="E302">
        <v>3.3089999999999899</v>
      </c>
      <c r="F302" t="str">
        <f>_xlfn.LET(_xlpm.raw,_xlfn.XLOOKUP(A302,'Pinlist(S1)'!$C$4:$C$1362,'Pinlist(S1)'!$E$4:$E$1362,""),_xlpm.cleanRaw,SUBSTITUTE(SUBSTITUTE(_xlpm.raw,"_PIN","."),"PIN","."),_xlpm.mainPart,MID(_xlpm.cleanRaw,2,FIND(".",_xlpm.cleanRaw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302" t="str">
        <f>_xlfn.LET(_xlpm.raw,_xlfn.XLOOKUP(A302,'Pinlist(S3)'!$C$4:$C$1362,'Pinlist(S3)'!$E$4:$E$1362,""),_xlpm.cleanRaw,SUBSTITUTE(SUBSTITUTE(_xlpm.raw,"_PIN","."),"PIN","."),_xlpm.mainPart,MID(_xlpm.cleanRaw,2,FIND(".",_xlpm.cleanRaw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503029</v>
      </c>
      <c r="H302" t="str">
        <f>_xlfn.LET(_xlpm.raw,_xlfn.XLOOKUP(A302,'Pinlist(S5)'!$C$4:$C$1362,'Pinlist(S5)'!$E$4:$E$1362,""),_xlpm.cleanRaw,SUBSTITUTE(SUBSTITUTE(_xlpm.raw,"_PIN","."),"PIN","."),_xlpm.mainPart,MID(_xlpm.cleanRaw,2,FIND(".",_xlpm.cleanRaw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709032</v>
      </c>
      <c r="I302" t="str">
        <f>""</f>
        <v/>
      </c>
      <c r="J302" t="str">
        <f t="shared" si="4"/>
        <v>F66;NOA_STBP[1];KA130;37.661;3.30899999999999;604022;503029;709032;</v>
      </c>
    </row>
    <row r="303" spans="1:10">
      <c r="A303" t="s">
        <v>2161</v>
      </c>
      <c r="B303" t="str">
        <f>_xlfn.XLOOKUP(A303,'Pinlist(S1)'!$Q$4:$Q$1362,'Pinlist(S1)'!$R$4:$R$1362,"")</f>
        <v>VSS</v>
      </c>
      <c r="C303" t="str" cm="1">
        <f t="array" ref="C303">_xlfn.TEXTJOIN(",",TRUE,_xlfn.UNIQUE(TRANSPOSE(_xlfn.MAP(_xlfn.XLOOKUP(A303,'Pinlist(S1)'!$C$4:$C$1362,'Pinlist(S1)'!$F$4:$K$1362,""),_xlfn.LAMBDA(_xlpm.x,IF(_xlpm.x&lt;&gt;"",TRIM(CLEAN(LEFT(_xlpm.x,FIND(".",_xlpm.x &amp; ".")-1))),""))))))</f>
        <v/>
      </c>
      <c r="D303">
        <v>38.875999999999998</v>
      </c>
      <c r="E303">
        <v>2.99399999999999</v>
      </c>
      <c r="F303" t="str">
        <f>_xlfn.LET(_xlpm.raw,_xlfn.XLOOKUP(A303,'Pinlist(S1)'!$C$4:$C$1362,'Pinlist(S1)'!$E$4:$E$1362,""),_xlpm.cleanRaw,SUBSTITUTE(SUBSTITUTE(_xlpm.raw,"_PIN","."),"PIN","."),_xlpm.mainPart,MID(_xlpm.cleanRaw,2,FIND(".",_xlpm.cleanRaw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3" t="str">
        <f>_xlfn.LET(_xlpm.raw,_xlfn.XLOOKUP(A303,'Pinlist(S3)'!$C$4:$C$1362,'Pinlist(S3)'!$E$4:$E$1362,""),_xlpm.cleanRaw,SUBSTITUTE(SUBSTITUTE(_xlpm.raw,"_PIN","."),"PIN","."),_xlpm.mainPart,MID(_xlpm.cleanRaw,2,FIND(".",_xlpm.cleanRaw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3" t="str">
        <f>_xlfn.LET(_xlpm.raw,_xlfn.XLOOKUP(A303,'Pinlist(S5)'!$C$4:$C$1362,'Pinlist(S5)'!$E$4:$E$1362,""),_xlpm.cleanRaw,SUBSTITUTE(SUBSTITUTE(_xlpm.raw,"_PIN","."),"PIN","."),_xlpm.mainPart,MID(_xlpm.cleanRaw,2,FIND(".",_xlpm.cleanRaw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03" t="str">
        <f>""</f>
        <v/>
      </c>
      <c r="J303" t="str">
        <f t="shared" si="4"/>
        <v>F68;VSS;;38.876;2.99399999999999;;;;</v>
      </c>
    </row>
    <row r="304" spans="1:10">
      <c r="A304" t="s">
        <v>1166</v>
      </c>
      <c r="B304" t="str">
        <f>_xlfn.XLOOKUP(A304,'Pinlist(S1)'!$Q$4:$Q$1362,'Pinlist(S1)'!$R$4:$R$1362,"")</f>
        <v>NOA_N[10]</v>
      </c>
      <c r="C304" t="str" cm="1">
        <f t="array" ref="C304">_xlfn.TEXTJOIN(",",TRUE,_xlfn.UNIQUE(TRANSPOSE(_xlfn.MAP(_xlfn.XLOOKUP(A304,'Pinlist(S1)'!$C$4:$C$1362,'Pinlist(S1)'!$F$4:$K$1362,""),_xlfn.LAMBDA(_xlpm.x,IF(_xlpm.x&lt;&gt;"",TRIM(CLEAN(LEFT(_xlpm.x,FIND(".",_xlpm.x &amp; ".")-1))),""))))))</f>
        <v>KA127</v>
      </c>
      <c r="D304">
        <v>39.525999999999897</v>
      </c>
      <c r="E304">
        <v>2.99399999999999</v>
      </c>
      <c r="F304" t="str">
        <f>_xlfn.LET(_xlpm.raw,_xlfn.XLOOKUP(A304,'Pinlist(S1)'!$C$4:$C$1362,'Pinlist(S1)'!$E$4:$E$1362,""),_xlpm.cleanRaw,SUBSTITUTE(SUBSTITUTE(_xlpm.raw,"_PIN","."),"PIN","."),_xlpm.mainPart,MID(_xlpm.cleanRaw,2,FIND(".",_xlpm.cleanRaw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304" t="str">
        <f>_xlfn.LET(_xlpm.raw,_xlfn.XLOOKUP(A304,'Pinlist(S3)'!$C$4:$C$1362,'Pinlist(S3)'!$E$4:$E$1362,""),_xlpm.cleanRaw,SUBSTITUTE(SUBSTITUTE(_xlpm.raw,"_PIN","."),"PIN","."),_xlpm.mainPart,MID(_xlpm.cleanRaw,2,FIND(".",_xlpm.cleanRaw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503020</v>
      </c>
      <c r="H304" t="str">
        <f>_xlfn.LET(_xlpm.raw,_xlfn.XLOOKUP(A304,'Pinlist(S5)'!$C$4:$C$1362,'Pinlist(S5)'!$E$4:$E$1362,""),_xlpm.cleanRaw,SUBSTITUTE(SUBSTITUTE(_xlpm.raw,"_PIN","."),"PIN","."),_xlpm.mainPart,MID(_xlpm.cleanRaw,2,FIND(".",_xlpm.cleanRaw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709007</v>
      </c>
      <c r="I304" t="str">
        <f>""</f>
        <v/>
      </c>
      <c r="J304" t="str">
        <f t="shared" si="4"/>
        <v>F70;NOA_N[10];KA127;39.5259999999999;2.99399999999999;604008;503020;709007;</v>
      </c>
    </row>
    <row r="305" spans="1:10">
      <c r="A305" t="s">
        <v>1190</v>
      </c>
      <c r="B305" t="str">
        <f>_xlfn.XLOOKUP(A305,'Pinlist(S1)'!$Q$4:$Q$1362,'Pinlist(S1)'!$R$4:$R$1362,"")</f>
        <v>NOA_N[8]</v>
      </c>
      <c r="C305" t="str" cm="1">
        <f t="array" ref="C305">_xlfn.TEXTJOIN(",",TRUE,_xlfn.UNIQUE(TRANSPOSE(_xlfn.MAP(_xlfn.XLOOKUP(A305,'Pinlist(S1)'!$C$4:$C$1362,'Pinlist(S1)'!$F$4:$K$1362,""),_xlfn.LAMBDA(_xlpm.x,IF(_xlpm.x&lt;&gt;"",TRIM(CLEAN(LEFT(_xlpm.x,FIND(".",_xlpm.x &amp; ".")-1))),""))))))</f>
        <v>KA125</v>
      </c>
      <c r="D305">
        <v>40.176000000000002</v>
      </c>
      <c r="E305">
        <v>2.9299999999999899</v>
      </c>
      <c r="F305" t="str">
        <f>_xlfn.LET(_xlpm.raw,_xlfn.XLOOKUP(A305,'Pinlist(S1)'!$C$4:$C$1362,'Pinlist(S1)'!$E$4:$E$1362,""),_xlpm.cleanRaw,SUBSTITUTE(SUBSTITUTE(_xlpm.raw,"_PIN","."),"PIN","."),_xlpm.mainPart,MID(_xlpm.cleanRaw,2,FIND(".",_xlpm.cleanRaw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305" t="str">
        <f>_xlfn.LET(_xlpm.raw,_xlfn.XLOOKUP(A305,'Pinlist(S3)'!$C$4:$C$1362,'Pinlist(S3)'!$E$4:$E$1362,""),_xlpm.cleanRaw,SUBSTITUTE(SUBSTITUTE(_xlpm.raw,"_PIN","."),"PIN","."),_xlpm.mainPart,MID(_xlpm.cleanRaw,2,FIND(".",_xlpm.cleanRaw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502057</v>
      </c>
      <c r="H305" t="str">
        <f>_xlfn.LET(_xlpm.raw,_xlfn.XLOOKUP(A305,'Pinlist(S5)'!$C$4:$C$1362,'Pinlist(S5)'!$E$4:$E$1362,""),_xlpm.cleanRaw,SUBSTITUTE(SUBSTITUTE(_xlpm.raw,"_PIN","."),"PIN","."),_xlpm.mainPart,MID(_xlpm.cleanRaw,2,FIND(".",_xlpm.cleanRaw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I305" t="str">
        <f>""</f>
        <v/>
      </c>
      <c r="J305" t="str">
        <f t="shared" si="4"/>
        <v>F71;NOA_N[8];KA125;40.176;2.92999999999999;605055;502057;709022;</v>
      </c>
    </row>
    <row r="306" spans="1:10">
      <c r="A306" t="s">
        <v>1157</v>
      </c>
      <c r="B306" t="str">
        <f>_xlfn.XLOOKUP(A306,'Pinlist(S1)'!$Q$4:$Q$1362,'Pinlist(S1)'!$R$4:$R$1362,"")</f>
        <v>MLK_RSTB</v>
      </c>
      <c r="C306" t="str" cm="1">
        <f t="array" ref="C306">_xlfn.TEXTJOIN(",",TRUE,_xlfn.UNIQUE(TRANSPOSE(_xlfn.MAP(_xlfn.XLOOKUP(A306,'Pinlist(S1)'!$C$4:$C$1362,'Pinlist(S1)'!$F$4:$K$1362,""),_xlfn.LAMBDA(_xlpm.x,IF(_xlpm.x&lt;&gt;"",TRIM(CLEAN(LEFT(_xlpm.x,FIND(".",_xlpm.x &amp; ".")-1))),""))))))</f>
        <v>KA144,KA108</v>
      </c>
      <c r="D306">
        <v>0</v>
      </c>
      <c r="E306">
        <v>3.5109999999999899</v>
      </c>
      <c r="F306" t="str">
        <f>_xlfn.LET(_xlpm.raw,_xlfn.XLOOKUP(A306,'Pinlist(S1)'!$C$4:$C$1362,'Pinlist(S1)'!$E$4:$E$1362,""),_xlpm.cleanRaw,SUBSTITUTE(SUBSTITUTE(_xlpm.raw,"_PIN","."),"PIN","."),_xlpm.mainPart,MID(_xlpm.cleanRaw,2,FIND(".",_xlpm.cleanRaw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306" t="str">
        <f>_xlfn.LET(_xlpm.raw,_xlfn.XLOOKUP(A306,'Pinlist(S3)'!$C$4:$C$1362,'Pinlist(S3)'!$E$4:$E$1362,""),_xlpm.cleanRaw,SUBSTITUTE(SUBSTITUTE(_xlpm.raw,"_PIN","."),"PIN","."),_xlpm.mainPart,MID(_xlpm.cleanRaw,2,FIND(".",_xlpm.cleanRaw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306" t="str">
        <f>_xlfn.LET(_xlpm.raw,_xlfn.XLOOKUP(A306,'Pinlist(S5)'!$C$4:$C$1362,'Pinlist(S5)'!$E$4:$E$1362,""),_xlpm.cleanRaw,SUBSTITUTE(SUBSTITUTE(_xlpm.raw,"_PIN","."),"PIN","."),_xlpm.mainPart,MID(_xlpm.cleanRaw,2,FIND(".",_xlpm.cleanRaw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306" t="str">
        <f>""</f>
        <v/>
      </c>
      <c r="J306" t="str">
        <f t="shared" si="4"/>
        <v>G1;MLK_RSTB;KA144,KA108;0;3.51099999999999;508053;805047;703034;</v>
      </c>
    </row>
    <row r="307" spans="1:10">
      <c r="A307" t="s">
        <v>1154</v>
      </c>
      <c r="B307" t="str">
        <f>_xlfn.XLOOKUP(A307,'Pinlist(S1)'!$Q$4:$Q$1362,'Pinlist(S1)'!$R$4:$R$1362,"")</f>
        <v>MLK_DATA</v>
      </c>
      <c r="C307" t="str" cm="1">
        <f t="array" ref="C307">_xlfn.TEXTJOIN(",",TRUE,_xlfn.UNIQUE(TRANSPOSE(_xlfn.MAP(_xlfn.XLOOKUP(A307,'Pinlist(S1)'!$C$4:$C$1362,'Pinlist(S1)'!$F$4:$K$1362,""),_xlfn.LAMBDA(_xlpm.x,IF(_xlpm.x&lt;&gt;"",TRIM(CLEAN(LEFT(_xlpm.x,FIND(".",_xlpm.x &amp; ".")-1))),""))))))</f>
        <v>KA142</v>
      </c>
      <c r="D307">
        <v>0.64999999999999802</v>
      </c>
      <c r="E307">
        <v>3.5109999999999899</v>
      </c>
      <c r="F307" t="str">
        <f>_xlfn.LET(_xlpm.raw,_xlfn.XLOOKUP(A307,'Pinlist(S1)'!$C$4:$C$1362,'Pinlist(S1)'!$E$4:$E$1362,""),_xlpm.cleanRaw,SUBSTITUTE(SUBSTITUTE(_xlpm.raw,"_PIN","."),"PIN","."),_xlpm.mainPart,MID(_xlpm.cleanRaw,2,FIND(".",_xlpm.cleanRaw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509007</v>
      </c>
      <c r="G307" t="str">
        <f>_xlfn.LET(_xlpm.raw,_xlfn.XLOOKUP(A307,'Pinlist(S3)'!$C$4:$C$1362,'Pinlist(S3)'!$E$4:$E$1362,""),_xlpm.cleanRaw,SUBSTITUTE(SUBSTITUTE(_xlpm.raw,"_PIN","."),"PIN","."),_xlpm.mainPart,MID(_xlpm.cleanRaw,2,FIND(".",_xlpm.cleanRaw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307" t="str">
        <f>_xlfn.LET(_xlpm.raw,_xlfn.XLOOKUP(A307,'Pinlist(S5)'!$C$4:$C$1362,'Pinlist(S5)'!$E$4:$E$1362,""),_xlpm.cleanRaw,SUBSTITUTE(SUBSTITUTE(_xlpm.raw,"_PIN","."),"PIN","."),_xlpm.mainPart,MID(_xlpm.cleanRaw,2,FIND(".",_xlpm.cleanRaw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703013</v>
      </c>
      <c r="I307" t="str">
        <f>""</f>
        <v/>
      </c>
      <c r="J307" t="str">
        <f t="shared" si="4"/>
        <v>G2;MLK_DATA;KA142;0.649999999999998;3.51099999999999;509007;805041;703013;</v>
      </c>
    </row>
    <row r="308" spans="1:10">
      <c r="A308" t="s">
        <v>1151</v>
      </c>
      <c r="B308" t="str">
        <f>_xlfn.XLOOKUP(A308,'Pinlist(S1)'!$Q$4:$Q$1362,'Pinlist(S1)'!$R$4:$R$1362,"")</f>
        <v>MLK_CLK</v>
      </c>
      <c r="C308" t="str" cm="1">
        <f t="array" ref="C308">_xlfn.TEXTJOIN(",",TRUE,_xlfn.UNIQUE(TRANSPOSE(_xlfn.MAP(_xlfn.XLOOKUP(A308,'Pinlist(S1)'!$C$4:$C$1362,'Pinlist(S1)'!$F$4:$K$1362,""),_xlfn.LAMBDA(_xlpm.x,IF(_xlpm.x&lt;&gt;"",TRIM(CLEAN(LEFT(_xlpm.x,FIND(".",_xlpm.x &amp; ".")-1))),""))))))</f>
        <v>KA143</v>
      </c>
      <c r="D308">
        <v>1.2999999999999901</v>
      </c>
      <c r="E308">
        <v>3.5109999999999899</v>
      </c>
      <c r="F308" t="str">
        <f>_xlfn.LET(_xlpm.raw,_xlfn.XLOOKUP(A308,'Pinlist(S1)'!$C$4:$C$1362,'Pinlist(S1)'!$E$4:$E$1362,""),_xlpm.cleanRaw,SUBSTITUTE(SUBSTITUTE(_xlpm.raw,"_PIN","."),"PIN","."),_xlpm.mainPart,MID(_xlpm.cleanRaw,2,FIND(".",_xlpm.cleanRaw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G308" t="str">
        <f>_xlfn.LET(_xlpm.raw,_xlfn.XLOOKUP(A308,'Pinlist(S3)'!$C$4:$C$1362,'Pinlist(S3)'!$E$4:$E$1362,""),_xlpm.cleanRaw,SUBSTITUTE(SUBSTITUTE(_xlpm.raw,"_PIN","."),"PIN","."),_xlpm.mainPart,MID(_xlpm.cleanRaw,2,FIND(".",_xlpm.cleanRaw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308" t="str">
        <f>_xlfn.LET(_xlpm.raw,_xlfn.XLOOKUP(A308,'Pinlist(S5)'!$C$4:$C$1362,'Pinlist(S5)'!$E$4:$E$1362,""),_xlpm.cleanRaw,SUBSTITUTE(SUBSTITUTE(_xlpm.raw,"_PIN","."),"PIN","."),_xlpm.mainPart,MID(_xlpm.cleanRaw,2,FIND(".",_xlpm.cleanRaw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703032</v>
      </c>
      <c r="I308" t="str">
        <f>""</f>
        <v/>
      </c>
      <c r="J308" t="str">
        <f t="shared" si="4"/>
        <v>G3;MLK_CLK;KA143;1.29999999999999;3.51099999999999;509018;804008;703032;</v>
      </c>
    </row>
    <row r="309" spans="1:10">
      <c r="A309" t="s">
        <v>1014</v>
      </c>
      <c r="B309" t="str">
        <f>_xlfn.XLOOKUP(A309,'Pinlist(S1)'!$Q$4:$Q$1362,'Pinlist(S1)'!$R$4:$R$1362,"")</f>
        <v>GPP_E_2_SATAXPCIE_2_SATAGP_2</v>
      </c>
      <c r="C309" t="str" cm="1">
        <f t="array" ref="C309">_xlfn.TEXTJOIN(",",TRUE,_xlfn.UNIQUE(TRANSPOSE(_xlfn.MAP(_xlfn.XLOOKUP(A309,'Pinlist(S1)'!$C$4:$C$1362,'Pinlist(S1)'!$F$4:$K$1362,""),_xlfn.LAMBDA(_xlpm.x,IF(_xlpm.x&lt;&gt;"",TRIM(CLEAN(LEFT(_xlpm.x,FIND(".",_xlpm.x &amp; ".")-1))),""))))))</f>
        <v/>
      </c>
      <c r="D309">
        <v>1.9510000000000001</v>
      </c>
      <c r="E309">
        <v>3.5109999999999899</v>
      </c>
      <c r="F309" t="str">
        <f>_xlfn.LET(_xlpm.raw,_xlfn.XLOOKUP(A309,'Pinlist(S1)'!$C$4:$C$1362,'Pinlist(S1)'!$E$4:$E$1362,""),_xlpm.cleanRaw,SUBSTITUTE(SUBSTITUTE(_xlpm.raw,"_PIN","."),"PIN","."),_xlpm.mainPart,MID(_xlpm.cleanRaw,2,FIND(".",_xlpm.cleanRaw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504121</v>
      </c>
      <c r="G309" t="str">
        <f>_xlfn.LET(_xlpm.raw,_xlfn.XLOOKUP(A309,'Pinlist(S3)'!$C$4:$C$1362,'Pinlist(S3)'!$E$4:$E$1362,""),_xlpm.cleanRaw,SUBSTITUTE(SUBSTITUTE(_xlpm.raw,"_PIN","."),"PIN","."),_xlpm.mainPart,MID(_xlpm.cleanRaw,2,FIND(".",_xlpm.cleanRaw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809117</v>
      </c>
      <c r="H309" t="str">
        <f>_xlfn.LET(_xlpm.raw,_xlfn.XLOOKUP(A309,'Pinlist(S5)'!$C$4:$C$1362,'Pinlist(S5)'!$E$4:$E$1362,""),_xlpm.cleanRaw,SUBSTITUTE(SUBSTITUTE(_xlpm.raw,"_PIN","."),"PIN","."),_xlpm.mainPart,MID(_xlpm.cleanRaw,2,FIND(".",_xlpm.cleanRaw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603114</v>
      </c>
      <c r="I309" t="str">
        <f>""</f>
        <v/>
      </c>
      <c r="J309" t="str">
        <f t="shared" si="4"/>
        <v>G4;GPP_E_2_SATAXPCIE_2_SATAGP_2;;1.951;3.51099999999999;504121;809117;603114;</v>
      </c>
    </row>
    <row r="310" spans="1:10">
      <c r="A310" t="s">
        <v>2168</v>
      </c>
      <c r="B310" t="str">
        <f>_xlfn.XLOOKUP(A310,'Pinlist(S1)'!$Q$4:$Q$1362,'Pinlist(S1)'!$R$4:$R$1362,"")</f>
        <v>VSS</v>
      </c>
      <c r="C310" t="str" cm="1">
        <f t="array" ref="C310">_xlfn.TEXTJOIN(",",TRUE,_xlfn.UNIQUE(TRANSPOSE(_xlfn.MAP(_xlfn.XLOOKUP(A310,'Pinlist(S1)'!$C$4:$C$1362,'Pinlist(S1)'!$F$4:$K$1362,""),_xlfn.LAMBDA(_xlpm.x,IF(_xlpm.x&lt;&gt;"",TRIM(CLEAN(LEFT(_xlpm.x,FIND(".",_xlpm.x &amp; ".")-1))),""))))))</f>
        <v/>
      </c>
      <c r="D310">
        <v>2.6599999999999899</v>
      </c>
      <c r="E310">
        <v>4.0229999999999997</v>
      </c>
      <c r="F310" t="str">
        <f>_xlfn.LET(_xlpm.raw,_xlfn.XLOOKUP(A310,'Pinlist(S1)'!$C$4:$C$1362,'Pinlist(S1)'!$E$4:$E$1362,""),_xlpm.cleanRaw,SUBSTITUTE(SUBSTITUTE(_xlpm.raw,"_PIN","."),"PIN","."),_xlpm.mainPart,MID(_xlpm.cleanRaw,2,FIND(".",_xlpm.cleanRaw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0" t="str">
        <f>_xlfn.LET(_xlpm.raw,_xlfn.XLOOKUP(A310,'Pinlist(S3)'!$C$4:$C$1362,'Pinlist(S3)'!$E$4:$E$1362,""),_xlpm.cleanRaw,SUBSTITUTE(SUBSTITUTE(_xlpm.raw,"_PIN","."),"PIN","."),_xlpm.mainPart,MID(_xlpm.cleanRaw,2,FIND(".",_xlpm.cleanRaw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0" t="str">
        <f>_xlfn.LET(_xlpm.raw,_xlfn.XLOOKUP(A310,'Pinlist(S5)'!$C$4:$C$1362,'Pinlist(S5)'!$E$4:$E$1362,""),_xlpm.cleanRaw,SUBSTITUTE(SUBSTITUTE(_xlpm.raw,"_PIN","."),"PIN","."),_xlpm.mainPart,MID(_xlpm.cleanRaw,2,FIND(".",_xlpm.cleanRaw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0" t="str">
        <f>""</f>
        <v/>
      </c>
      <c r="J310" t="str">
        <f t="shared" si="4"/>
        <v>G5;VSS;;2.65999999999999;4.023;;;;</v>
      </c>
    </row>
    <row r="311" spans="1:10">
      <c r="A311" t="s">
        <v>2172</v>
      </c>
      <c r="B311" t="str">
        <f>_xlfn.XLOOKUP(A311,'Pinlist(S1)'!$Q$4:$Q$1362,'Pinlist(S1)'!$R$4:$R$1362,"")</f>
        <v>VSS</v>
      </c>
      <c r="C311" t="str" cm="1">
        <f t="array" ref="C311">_xlfn.TEXTJOIN(",",TRUE,_xlfn.UNIQUE(TRANSPOSE(_xlfn.MAP(_xlfn.XLOOKUP(A311,'Pinlist(S1)'!$C$4:$C$1362,'Pinlist(S1)'!$F$4:$K$1362,""),_xlfn.LAMBDA(_xlpm.x,IF(_xlpm.x&lt;&gt;"",TRIM(CLEAN(LEFT(_xlpm.x,FIND(".",_xlpm.x &amp; ".")-1))),""))))))</f>
        <v/>
      </c>
      <c r="D311">
        <v>3.5739999999999901</v>
      </c>
      <c r="E311">
        <v>4.0229999999999997</v>
      </c>
      <c r="F311" t="str">
        <f>_xlfn.LET(_xlpm.raw,_xlfn.XLOOKUP(A311,'Pinlist(S1)'!$C$4:$C$1362,'Pinlist(S1)'!$E$4:$E$1362,""),_xlpm.cleanRaw,SUBSTITUTE(SUBSTITUTE(_xlpm.raw,"_PIN","."),"PIN","."),_xlpm.mainPart,MID(_xlpm.cleanRaw,2,FIND(".",_xlpm.cleanRaw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1" t="str">
        <f>_xlfn.LET(_xlpm.raw,_xlfn.XLOOKUP(A311,'Pinlist(S3)'!$C$4:$C$1362,'Pinlist(S3)'!$E$4:$E$1362,""),_xlpm.cleanRaw,SUBSTITUTE(SUBSTITUTE(_xlpm.raw,"_PIN","."),"PIN","."),_xlpm.mainPart,MID(_xlpm.cleanRaw,2,FIND(".",_xlpm.cleanRaw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1" t="str">
        <f>_xlfn.LET(_xlpm.raw,_xlfn.XLOOKUP(A311,'Pinlist(S5)'!$C$4:$C$1362,'Pinlist(S5)'!$E$4:$E$1362,""),_xlpm.cleanRaw,SUBSTITUTE(SUBSTITUTE(_xlpm.raw,"_PIN","."),"PIN","."),_xlpm.mainPart,MID(_xlpm.cleanRaw,2,FIND(".",_xlpm.cleanRaw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1" t="str">
        <f>""</f>
        <v/>
      </c>
      <c r="J311" t="str">
        <f t="shared" si="4"/>
        <v>G6;VSS;;3.57399999999999;4.023;;;;</v>
      </c>
    </row>
    <row r="312" spans="1:10">
      <c r="A312" t="s">
        <v>1496</v>
      </c>
      <c r="B312" t="str">
        <f>_xlfn.XLOOKUP(A312,'Pinlist(S1)'!$Q$4:$Q$1362,'Pinlist(S1)'!$R$4:$R$1362,"")</f>
        <v>USB3_1_RXP</v>
      </c>
      <c r="C312" t="str" cm="1">
        <f t="array" ref="C312">_xlfn.TEXTJOIN(",",TRUE,_xlfn.UNIQUE(TRANSPOSE(_xlfn.MAP(_xlfn.XLOOKUP(A312,'Pinlist(S1)'!$C$4:$C$1362,'Pinlist(S1)'!$F$4:$K$1362,""),_xlfn.LAMBDA(_xlpm.x,IF(_xlpm.x&lt;&gt;"",TRIM(CLEAN(LEFT(_xlpm.x,FIND(".",_xlpm.x &amp; ".")-1))),""))))))</f>
        <v>KA513,LA526</v>
      </c>
      <c r="D312">
        <v>4.4889999999999999</v>
      </c>
      <c r="E312">
        <v>4.0229999999999997</v>
      </c>
      <c r="F312" t="str">
        <f>_xlfn.LET(_xlpm.raw,_xlfn.XLOOKUP(A312,'Pinlist(S1)'!$C$4:$C$1362,'Pinlist(S1)'!$E$4:$E$1362,""),_xlpm.cleanRaw,SUBSTITUTE(SUBSTITUTE(_xlpm.raw,"_PIN","."),"PIN","."),_xlpm.mainPart,MID(_xlpm.cleanRaw,2,FIND(".",_xlpm.cleanRaw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G312" t="str">
        <f>_xlfn.LET(_xlpm.raw,_xlfn.XLOOKUP(A312,'Pinlist(S3)'!$C$4:$C$1362,'Pinlist(S3)'!$E$4:$E$1362,""),_xlpm.cleanRaw,SUBSTITUTE(SUBSTITUTE(_xlpm.raw,"_PIN","."),"PIN","."),_xlpm.mainPart,MID(_xlpm.cleanRaw,2,FIND(".",_xlpm.cleanRaw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312" t="str">
        <f>_xlfn.LET(_xlpm.raw,_xlfn.XLOOKUP(A312,'Pinlist(S5)'!$C$4:$C$1362,'Pinlist(S5)'!$E$4:$E$1362,""),_xlpm.cleanRaw,SUBSTITUTE(SUBSTITUTE(_xlpm.raw,"_PIN","."),"PIN","."),_xlpm.mainPart,MID(_xlpm.cleanRaw,2,FIND(".",_xlpm.cleanRaw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I312" t="str">
        <f>""</f>
        <v/>
      </c>
      <c r="J312" t="str">
        <f t="shared" si="4"/>
        <v>G8;USB3_1_RXP;KA513,LA526;4.489;4.023;506027;807038;603092;</v>
      </c>
    </row>
    <row r="313" spans="1:10">
      <c r="A313" t="s">
        <v>2163</v>
      </c>
      <c r="B313" t="str">
        <f>_xlfn.XLOOKUP(A313,'Pinlist(S1)'!$Q$4:$Q$1362,'Pinlist(S1)'!$R$4:$R$1362,"")</f>
        <v>VSS</v>
      </c>
      <c r="C313" t="str" cm="1">
        <f t="array" ref="C313">_xlfn.TEXTJOIN(",",TRUE,_xlfn.UNIQUE(TRANSPOSE(_xlfn.MAP(_xlfn.XLOOKUP(A313,'Pinlist(S1)'!$C$4:$C$1362,'Pinlist(S1)'!$F$4:$K$1362,""),_xlfn.LAMBDA(_xlpm.x,IF(_xlpm.x&lt;&gt;"",TRIM(CLEAN(LEFT(_xlpm.x,FIND(".",_xlpm.x &amp; ".")-1))),""))))))</f>
        <v/>
      </c>
      <c r="D313">
        <v>5.4029999999999898</v>
      </c>
      <c r="E313">
        <v>4.0229999999999997</v>
      </c>
      <c r="F313" t="str">
        <f>_xlfn.LET(_xlpm.raw,_xlfn.XLOOKUP(A313,'Pinlist(S1)'!$C$4:$C$1362,'Pinlist(S1)'!$E$4:$E$1362,""),_xlpm.cleanRaw,SUBSTITUTE(SUBSTITUTE(_xlpm.raw,"_PIN","."),"PIN","."),_xlpm.mainPart,MID(_xlpm.cleanRaw,2,FIND(".",_xlpm.cleanRaw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3" t="str">
        <f>_xlfn.LET(_xlpm.raw,_xlfn.XLOOKUP(A313,'Pinlist(S3)'!$C$4:$C$1362,'Pinlist(S3)'!$E$4:$E$1362,""),_xlpm.cleanRaw,SUBSTITUTE(SUBSTITUTE(_xlpm.raw,"_PIN","."),"PIN","."),_xlpm.mainPart,MID(_xlpm.cleanRaw,2,FIND(".",_xlpm.cleanRaw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3" t="str">
        <f>_xlfn.LET(_xlpm.raw,_xlfn.XLOOKUP(A313,'Pinlist(S5)'!$C$4:$C$1362,'Pinlist(S5)'!$E$4:$E$1362,""),_xlpm.cleanRaw,SUBSTITUTE(SUBSTITUTE(_xlpm.raw,"_PIN","."),"PIN","."),_xlpm.mainPart,MID(_xlpm.cleanRaw,2,FIND(".",_xlpm.cleanRaw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3" t="str">
        <f>""</f>
        <v/>
      </c>
      <c r="J313" t="str">
        <f t="shared" si="4"/>
        <v>G10;VSS;;5.40299999999999;4.023;;;;</v>
      </c>
    </row>
    <row r="314" spans="1:10">
      <c r="A314" t="s">
        <v>1254</v>
      </c>
      <c r="B314" t="str">
        <f>_xlfn.XLOOKUP(A314,'Pinlist(S1)'!$Q$4:$Q$1362,'Pinlist(S1)'!$R$4:$R$1362,"")</f>
        <v>PCIE_2_UFS_0A_USB3_6_RXN</v>
      </c>
      <c r="C314" t="str" cm="1">
        <f t="array" ref="C314">_xlfn.TEXTJOIN(",",TRUE,_xlfn.UNIQUE(TRANSPOSE(_xlfn.MAP(_xlfn.XLOOKUP(A314,'Pinlist(S1)'!$C$4:$C$1362,'Pinlist(S1)'!$F$4:$K$1362,""),_xlfn.LAMBDA(_xlpm.x,IF(_xlpm.x&lt;&gt;"",TRIM(CLEAN(LEFT(_xlpm.x,FIND(".",_xlpm.x &amp; ".")-1))),""))))))</f>
        <v>KA502,LA503</v>
      </c>
      <c r="D314">
        <v>6.3179999999999898</v>
      </c>
      <c r="E314">
        <v>4.0229999999999997</v>
      </c>
      <c r="F314" t="str">
        <f>_xlfn.LET(_xlpm.raw,_xlfn.XLOOKUP(A314,'Pinlist(S1)'!$C$4:$C$1362,'Pinlist(S1)'!$E$4:$E$1362,""),_xlpm.cleanRaw,SUBSTITUTE(SUBSTITUTE(_xlpm.raw,"_PIN","."),"PIN","."),_xlpm.mainPart,MID(_xlpm.cleanRaw,2,FIND(".",_xlpm.cleanRaw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504097</v>
      </c>
      <c r="G314" t="str">
        <f>_xlfn.LET(_xlpm.raw,_xlfn.XLOOKUP(A314,'Pinlist(S3)'!$C$4:$C$1362,'Pinlist(S3)'!$E$4:$E$1362,""),_xlpm.cleanRaw,SUBSTITUTE(SUBSTITUTE(_xlpm.raw,"_PIN","."),"PIN","."),_xlpm.mainPart,MID(_xlpm.cleanRaw,2,FIND(".",_xlpm.cleanRaw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314" t="str">
        <f>_xlfn.LET(_xlpm.raw,_xlfn.XLOOKUP(A314,'Pinlist(S5)'!$C$4:$C$1362,'Pinlist(S5)'!$E$4:$E$1362,""),_xlpm.cleanRaw,SUBSTITUTE(SUBSTITUTE(_xlpm.raw,"_PIN","."),"PIN","."),_xlpm.mainPart,MID(_xlpm.cleanRaw,2,FIND(".",_xlpm.cleanRaw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I314" t="str">
        <f>""</f>
        <v/>
      </c>
      <c r="J314" t="str">
        <f t="shared" si="4"/>
        <v>G11;PCIE_2_UFS_0A_USB3_6_RXN;KA502,LA503;6.31799999999999;4.023;504097;807028;603102;</v>
      </c>
    </row>
    <row r="315" spans="1:10">
      <c r="A315" t="s">
        <v>1224</v>
      </c>
      <c r="B315" t="str">
        <f>_xlfn.XLOOKUP(A315,'Pinlist(S1)'!$Q$4:$Q$1362,'Pinlist(S1)'!$R$4:$R$1362,"")</f>
        <v>PCIE_1_USB3_5_RXP</v>
      </c>
      <c r="C315" t="str" cm="1">
        <f t="array" ref="C315">_xlfn.TEXTJOIN(",",TRUE,_xlfn.UNIQUE(TRANSPOSE(_xlfn.MAP(_xlfn.XLOOKUP(A315,'Pinlist(S1)'!$C$4:$C$1362,'Pinlist(S1)'!$F$4:$K$1362,""),_xlfn.LAMBDA(_xlpm.x,IF(_xlpm.x&lt;&gt;"",TRIM(CLEAN(LEFT(_xlpm.x,FIND(".",_xlpm.x &amp; ".")-1))),""))))))</f>
        <v>KA501,LA502</v>
      </c>
      <c r="D315">
        <v>7.2319999999999904</v>
      </c>
      <c r="E315">
        <v>4.0229999999999997</v>
      </c>
      <c r="F315" t="str">
        <f>_xlfn.LET(_xlpm.raw,_xlfn.XLOOKUP(A315,'Pinlist(S1)'!$C$4:$C$1362,'Pinlist(S1)'!$E$4:$E$1362,""),_xlpm.cleanRaw,SUBSTITUTE(SUBSTITUTE(_xlpm.raw,"_PIN","."),"PIN","."),_xlpm.mainPart,MID(_xlpm.cleanRaw,2,FIND(".",_xlpm.cleanRaw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G315" t="str">
        <f>_xlfn.LET(_xlpm.raw,_xlfn.XLOOKUP(A315,'Pinlist(S3)'!$C$4:$C$1362,'Pinlist(S3)'!$E$4:$E$1362,""),_xlpm.cleanRaw,SUBSTITUTE(SUBSTITUTE(_xlpm.raw,"_PIN","."),"PIN","."),_xlpm.mainPart,MID(_xlpm.cleanRaw,2,FIND(".",_xlpm.cleanRaw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807031</v>
      </c>
      <c r="H315" t="str">
        <f>_xlfn.LET(_xlpm.raw,_xlfn.XLOOKUP(A315,'Pinlist(S5)'!$C$4:$C$1362,'Pinlist(S5)'!$E$4:$E$1362,""),_xlpm.cleanRaw,SUBSTITUTE(SUBSTITUTE(_xlpm.raw,"_PIN","."),"PIN","."),_xlpm.mainPart,MID(_xlpm.cleanRaw,2,FIND(".",_xlpm.cleanRaw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I315" t="str">
        <f>""</f>
        <v/>
      </c>
      <c r="J315" t="str">
        <f t="shared" si="4"/>
        <v>G13;PCIE_1_USB3_5_RXP;KA501,LA502;7.23199999999999;4.023;506036;807031;603090;</v>
      </c>
    </row>
    <row r="316" spans="1:10">
      <c r="A316" t="s">
        <v>1270</v>
      </c>
      <c r="B316" t="str">
        <f>_xlfn.XLOOKUP(A316,'Pinlist(S1)'!$Q$4:$Q$1362,'Pinlist(S1)'!$R$4:$R$1362,"")</f>
        <v>PCIE_4_LAN_0B_RXN</v>
      </c>
      <c r="C316" t="str" cm="1">
        <f t="array" ref="C316">_xlfn.TEXTJOIN(",",TRUE,_xlfn.UNIQUE(TRANSPOSE(_xlfn.MAP(_xlfn.XLOOKUP(A316,'Pinlist(S1)'!$C$4:$C$1362,'Pinlist(S1)'!$F$4:$K$1362,""),_xlfn.LAMBDA(_xlpm.x,IF(_xlpm.x&lt;&gt;"",TRIM(CLEAN(LEFT(_xlpm.x,FIND(".",_xlpm.x &amp; ".")-1))),""))))))</f>
        <v>KA504,LA507</v>
      </c>
      <c r="D316">
        <v>8.1460000000000008</v>
      </c>
      <c r="E316">
        <v>4.0229999999999997</v>
      </c>
      <c r="F316" t="str">
        <f>_xlfn.LET(_xlpm.raw,_xlfn.XLOOKUP(A316,'Pinlist(S1)'!$C$4:$C$1362,'Pinlist(S1)'!$E$4:$E$1362,""),_xlpm.cleanRaw,SUBSTITUTE(SUBSTITUTE(_xlpm.raw,"_PIN","."),"PIN","."),_xlpm.mainPart,MID(_xlpm.cleanRaw,2,FIND(".",_xlpm.cleanRaw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506032</v>
      </c>
      <c r="G316" t="str">
        <f>_xlfn.LET(_xlpm.raw,_xlfn.XLOOKUP(A316,'Pinlist(S3)'!$C$4:$C$1362,'Pinlist(S3)'!$E$4:$E$1362,""),_xlpm.cleanRaw,SUBSTITUTE(SUBSTITUTE(_xlpm.raw,"_PIN","."),"PIN","."),_xlpm.mainPart,MID(_xlpm.cleanRaw,2,FIND(".",_xlpm.cleanRaw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807032</v>
      </c>
      <c r="H316" t="str">
        <f>_xlfn.LET(_xlpm.raw,_xlfn.XLOOKUP(A316,'Pinlist(S5)'!$C$4:$C$1362,'Pinlist(S5)'!$E$4:$E$1362,""),_xlpm.cleanRaw,SUBSTITUTE(SUBSTITUTE(_xlpm.raw,"_PIN","."),"PIN","."),_xlpm.mainPart,MID(_xlpm.cleanRaw,2,FIND(".",_xlpm.cleanRaw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I316" t="str">
        <f>""</f>
        <v/>
      </c>
      <c r="J316" t="str">
        <f t="shared" si="4"/>
        <v>G15;PCIE_4_LAN_0B_RXN;KA504,LA507;8.146;4.023;506032;807032;603091;</v>
      </c>
    </row>
    <row r="317" spans="1:10">
      <c r="A317" t="s">
        <v>1264</v>
      </c>
      <c r="B317" t="str">
        <f>_xlfn.XLOOKUP(A317,'Pinlist(S1)'!$Q$4:$Q$1362,'Pinlist(S1)'!$R$4:$R$1362,"")</f>
        <v>PCIE_3_UFS_0B_LAN_0A_RXP</v>
      </c>
      <c r="C317" t="str" cm="1">
        <f t="array" ref="C317">_xlfn.TEXTJOIN(",",TRUE,_xlfn.UNIQUE(TRANSPOSE(_xlfn.MAP(_xlfn.XLOOKUP(A317,'Pinlist(S1)'!$C$4:$C$1362,'Pinlist(S1)'!$F$4:$K$1362,""),_xlfn.LAMBDA(_xlpm.x,IF(_xlpm.x&lt;&gt;"",TRIM(CLEAN(LEFT(_xlpm.x,FIND(".",_xlpm.x &amp; ".")-1))),""))))))</f>
        <v>KA503,LA506</v>
      </c>
      <c r="D317">
        <v>9.0609999999999999</v>
      </c>
      <c r="E317">
        <v>4.0229999999999997</v>
      </c>
      <c r="F317" t="str">
        <f>_xlfn.LET(_xlpm.raw,_xlfn.XLOOKUP(A317,'Pinlist(S1)'!$C$4:$C$1362,'Pinlist(S1)'!$E$4:$E$1362,""),_xlpm.cleanRaw,SUBSTITUTE(SUBSTITUTE(_xlpm.raw,"_PIN","."),"PIN","."),_xlpm.mainPart,MID(_xlpm.cleanRaw,2,FIND(".",_xlpm.cleanRaw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G317" t="str">
        <f>_xlfn.LET(_xlpm.raw,_xlfn.XLOOKUP(A317,'Pinlist(S3)'!$C$4:$C$1362,'Pinlist(S3)'!$E$4:$E$1362,""),_xlpm.cleanRaw,SUBSTITUTE(SUBSTITUTE(_xlpm.raw,"_PIN","."),"PIN","."),_xlpm.mainPart,MID(_xlpm.cleanRaw,2,FIND(".",_xlpm.cleanRaw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809093</v>
      </c>
      <c r="H317" t="str">
        <f>_xlfn.LET(_xlpm.raw,_xlfn.XLOOKUP(A317,'Pinlist(S5)'!$C$4:$C$1362,'Pinlist(S5)'!$E$4:$E$1362,""),_xlpm.cleanRaw,SUBSTITUTE(SUBSTITUTE(_xlpm.raw,"_PIN","."),"PIN","."),_xlpm.mainPart,MID(_xlpm.cleanRaw,2,FIND(".",_xlpm.cleanRaw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I317" t="str">
        <f>""</f>
        <v/>
      </c>
      <c r="J317" t="str">
        <f t="shared" si="4"/>
        <v>G16;PCIE_3_UFS_0B_LAN_0A_RXP;KA503,LA506;9.061;4.023;506035;809093;603097;</v>
      </c>
    </row>
    <row r="318" spans="1:10">
      <c r="A318" t="s">
        <v>1286</v>
      </c>
      <c r="B318" t="str">
        <f>_xlfn.XLOOKUP(A318,'Pinlist(S1)'!$Q$4:$Q$1362,'Pinlist(S1)'!$R$4:$R$1362,"")</f>
        <v>PCIE_6_RXN</v>
      </c>
      <c r="C318" t="str" cm="1">
        <f t="array" ref="C318">_xlfn.TEXTJOIN(",",TRUE,_xlfn.UNIQUE(TRANSPOSE(_xlfn.MAP(_xlfn.XLOOKUP(A318,'Pinlist(S1)'!$C$4:$C$1362,'Pinlist(S1)'!$F$4:$K$1362,""),_xlfn.LAMBDA(_xlpm.x,IF(_xlpm.x&lt;&gt;"",TRIM(CLEAN(LEFT(_xlpm.x,FIND(".",_xlpm.x &amp; ".")-1))),""))))))</f>
        <v>KA506,LA511</v>
      </c>
      <c r="D318">
        <v>9.9749999999999996</v>
      </c>
      <c r="E318">
        <v>4.0229999999999997</v>
      </c>
      <c r="F318" t="str">
        <f>_xlfn.LET(_xlpm.raw,_xlfn.XLOOKUP(A318,'Pinlist(S1)'!$C$4:$C$1362,'Pinlist(S1)'!$E$4:$E$1362,""),_xlpm.cleanRaw,SUBSTITUTE(SUBSTITUTE(_xlpm.raw,"_PIN","."),"PIN","."),_xlpm.mainPart,MID(_xlpm.cleanRaw,2,FIND(".",_xlpm.cleanRaw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G318" t="str">
        <f>_xlfn.LET(_xlpm.raw,_xlfn.XLOOKUP(A318,'Pinlist(S3)'!$C$4:$C$1362,'Pinlist(S3)'!$E$4:$E$1362,""),_xlpm.cleanRaw,SUBSTITUTE(SUBSTITUTE(_xlpm.raw,"_PIN","."),"PIN","."),_xlpm.mainPart,MID(_xlpm.cleanRaw,2,FIND(".",_xlpm.cleanRaw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809101</v>
      </c>
      <c r="H318" t="str">
        <f>_xlfn.LET(_xlpm.raw,_xlfn.XLOOKUP(A318,'Pinlist(S5)'!$C$4:$C$1362,'Pinlist(S5)'!$E$4:$E$1362,""),_xlpm.cleanRaw,SUBSTITUTE(SUBSTITUTE(_xlpm.raw,"_PIN","."),"PIN","."),_xlpm.mainPart,MID(_xlpm.cleanRaw,2,FIND(".",_xlpm.cleanRaw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601038</v>
      </c>
      <c r="I318" t="str">
        <f>""</f>
        <v/>
      </c>
      <c r="J318" t="str">
        <f t="shared" si="4"/>
        <v>G18;PCIE_6_RXN;KA506,LA511;9.975;4.023;506024;809101;601038;</v>
      </c>
    </row>
    <row r="319" spans="1:10">
      <c r="A319" t="s">
        <v>1641</v>
      </c>
      <c r="B319" t="str">
        <f>_xlfn.XLOOKUP(A319,'Pinlist(S1)'!$Q$4:$Q$1362,'Pinlist(S1)'!$R$4:$R$1362,"")</f>
        <v>VCCFUSEPRG</v>
      </c>
      <c r="C319" t="str" cm="1">
        <f t="array" ref="C319">_xlfn.TEXTJOIN(",",TRUE,_xlfn.UNIQUE(TRANSPOSE(_xlfn.MAP(_xlfn.XLOOKUP(A319,'Pinlist(S1)'!$C$4:$C$1362,'Pinlist(S1)'!$F$4:$K$1362,""),_xlfn.LAMBDA(_xlpm.x,IF(_xlpm.x&lt;&gt;"",TRIM(CLEAN(LEFT(_xlpm.x,FIND(".",_xlpm.x &amp; ".")-1))),""))))))</f>
        <v/>
      </c>
      <c r="D319">
        <v>10.89</v>
      </c>
      <c r="E319">
        <v>4.0229999999999997</v>
      </c>
      <c r="F319" t="str">
        <f>_xlfn.LET(_xlpm.raw,_xlfn.XLOOKUP(A319,'Pinlist(S1)'!$C$4:$C$1362,'Pinlist(S1)'!$E$4:$E$1362,""),_xlpm.cleanRaw,SUBSTITUTE(SUBSTITUTE(_xlpm.raw,"_PIN","."),"PIN","."),_xlpm.mainPart,MID(_xlpm.cleanRaw,2,FIND(".",_xlpm.cleanRaw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9" t="str">
        <f>_xlfn.LET(_xlpm.raw,_xlfn.XLOOKUP(A319,'Pinlist(S3)'!$C$4:$C$1362,'Pinlist(S3)'!$E$4:$E$1362,""),_xlpm.cleanRaw,SUBSTITUTE(SUBSTITUTE(_xlpm.raw,"_PIN","."),"PIN","."),_xlpm.mainPart,MID(_xlpm.cleanRaw,2,FIND(".",_xlpm.cleanRaw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9" t="str">
        <f>_xlfn.LET(_xlpm.raw,_xlfn.XLOOKUP(A319,'Pinlist(S5)'!$C$4:$C$1362,'Pinlist(S5)'!$E$4:$E$1362,""),_xlpm.cleanRaw,SUBSTITUTE(SUBSTITUTE(_xlpm.raw,"_PIN","."),"PIN","."),_xlpm.mainPart,MID(_xlpm.cleanRaw,2,FIND(".",_xlpm.cleanRaw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9" t="str">
        <f>""</f>
        <v/>
      </c>
      <c r="J319" t="str">
        <f t="shared" si="4"/>
        <v>G20;VCCFUSEPRG;;10.89;4.023;;;;</v>
      </c>
    </row>
    <row r="320" spans="1:10">
      <c r="A320" t="s">
        <v>1302</v>
      </c>
      <c r="B320" t="str">
        <f>_xlfn.XLOOKUP(A320,'Pinlist(S1)'!$Q$4:$Q$1362,'Pinlist(S1)'!$R$4:$R$1362,"")</f>
        <v>PCIE_8_SATA_1A_RXN</v>
      </c>
      <c r="C320" t="str" cm="1">
        <f t="array" ref="C320">_xlfn.TEXTJOIN(",",TRUE,_xlfn.UNIQUE(TRANSPOSE(_xlfn.MAP(_xlfn.XLOOKUP(A320,'Pinlist(S1)'!$C$4:$C$1362,'Pinlist(S1)'!$F$4:$K$1362,""),_xlfn.LAMBDA(_xlpm.x,IF(_xlpm.x&lt;&gt;"",TRIM(CLEAN(LEFT(_xlpm.x,FIND(".",_xlpm.x &amp; ".")-1))),""))))))</f>
        <v>KA508,LA515</v>
      </c>
      <c r="D320">
        <v>11.804</v>
      </c>
      <c r="E320">
        <v>4.0229999999999997</v>
      </c>
      <c r="F320" t="str">
        <f>_xlfn.LET(_xlpm.raw,_xlfn.XLOOKUP(A320,'Pinlist(S1)'!$C$4:$C$1362,'Pinlist(S1)'!$E$4:$E$1362,""),_xlpm.cleanRaw,SUBSTITUTE(SUBSTITUTE(_xlpm.raw,"_PIN","."),"PIN","."),_xlpm.mainPart,MID(_xlpm.cleanRaw,2,FIND(".",_xlpm.cleanRaw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504088</v>
      </c>
      <c r="G320" t="str">
        <f>_xlfn.LET(_xlpm.raw,_xlfn.XLOOKUP(A320,'Pinlist(S3)'!$C$4:$C$1362,'Pinlist(S3)'!$E$4:$E$1362,""),_xlpm.cleanRaw,SUBSTITUTE(SUBSTITUTE(_xlpm.raw,"_PIN","."),"PIN","."),_xlpm.mainPart,MID(_xlpm.cleanRaw,2,FIND(".",_xlpm.cleanRaw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809092</v>
      </c>
      <c r="H320" t="str">
        <f>_xlfn.LET(_xlpm.raw,_xlfn.XLOOKUP(A320,'Pinlist(S5)'!$C$4:$C$1362,'Pinlist(S5)'!$E$4:$E$1362,""),_xlpm.cleanRaw,SUBSTITUTE(SUBSTITUTE(_xlpm.raw,"_PIN","."),"PIN","."),_xlpm.mainPart,MID(_xlpm.cleanRaw,2,FIND(".",_xlpm.cleanRaw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I320" t="str">
        <f>""</f>
        <v/>
      </c>
      <c r="J320" t="str">
        <f t="shared" si="4"/>
        <v>G21;PCIE_8_SATA_1A_RXN;KA508,LA515;11.804;4.023;504088;809092;601030;</v>
      </c>
    </row>
    <row r="321" spans="1:10">
      <c r="A321" t="s">
        <v>2164</v>
      </c>
      <c r="B321" t="str">
        <f>_xlfn.XLOOKUP(A321,'Pinlist(S1)'!$Q$4:$Q$1362,'Pinlist(S1)'!$R$4:$R$1362,"")</f>
        <v>VSS</v>
      </c>
      <c r="C321" t="str" cm="1">
        <f t="array" ref="C321">_xlfn.TEXTJOIN(",",TRUE,_xlfn.UNIQUE(TRANSPOSE(_xlfn.MAP(_xlfn.XLOOKUP(A321,'Pinlist(S1)'!$C$4:$C$1362,'Pinlist(S1)'!$F$4:$K$1362,""),_xlfn.LAMBDA(_xlpm.x,IF(_xlpm.x&lt;&gt;"",TRIM(CLEAN(LEFT(_xlpm.x,FIND(".",_xlpm.x &amp; ".")-1))),""))))))</f>
        <v/>
      </c>
      <c r="D321">
        <v>12.718</v>
      </c>
      <c r="E321">
        <v>4.0229999999999997</v>
      </c>
      <c r="F321" t="str">
        <f>_xlfn.LET(_xlpm.raw,_xlfn.XLOOKUP(A321,'Pinlist(S1)'!$C$4:$C$1362,'Pinlist(S1)'!$E$4:$E$1362,""),_xlpm.cleanRaw,SUBSTITUTE(SUBSTITUTE(_xlpm.raw,"_PIN","."),"PIN","."),_xlpm.mainPart,MID(_xlpm.cleanRaw,2,FIND(".",_xlpm.cleanRaw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1" t="str">
        <f>_xlfn.LET(_xlpm.raw,_xlfn.XLOOKUP(A321,'Pinlist(S3)'!$C$4:$C$1362,'Pinlist(S3)'!$E$4:$E$1362,""),_xlpm.cleanRaw,SUBSTITUTE(SUBSTITUTE(_xlpm.raw,"_PIN","."),"PIN","."),_xlpm.mainPart,MID(_xlpm.cleanRaw,2,FIND(".",_xlpm.cleanRaw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1" t="str">
        <f>_xlfn.LET(_xlpm.raw,_xlfn.XLOOKUP(A321,'Pinlist(S5)'!$C$4:$C$1362,'Pinlist(S5)'!$E$4:$E$1362,""),_xlpm.cleanRaw,SUBSTITUTE(SUBSTITUTE(_xlpm.raw,"_PIN","."),"PIN","."),_xlpm.mainPart,MID(_xlpm.cleanRaw,2,FIND(".",_xlpm.cleanRaw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1" t="str">
        <f>""</f>
        <v/>
      </c>
      <c r="J321" t="str">
        <f t="shared" si="4"/>
        <v>G22;VSS;;12.718;4.023;;;;</v>
      </c>
    </row>
    <row r="322" spans="1:10">
      <c r="A322" t="s">
        <v>1840</v>
      </c>
      <c r="B322" t="str">
        <f>_xlfn.XLOOKUP(A322,'Pinlist(S1)'!$Q$4:$Q$1362,'Pinlist(S1)'!$R$4:$R$1362,"")</f>
        <v>VCCSA</v>
      </c>
      <c r="C322" t="str" cm="1">
        <f t="array" ref="C322">_xlfn.TEXTJOIN(",",TRUE,_xlfn.UNIQUE(TRANSPOSE(_xlfn.MAP(_xlfn.XLOOKUP(A322,'Pinlist(S1)'!$C$4:$C$1362,'Pinlist(S1)'!$F$4:$K$1362,""),_xlfn.LAMBDA(_xlpm.x,IF(_xlpm.x&lt;&gt;"",TRIM(CLEAN(LEFT(_xlpm.x,FIND(".",_xlpm.x &amp; ".")-1))),""))))))</f>
        <v/>
      </c>
      <c r="D322">
        <v>13.632999999999999</v>
      </c>
      <c r="E322">
        <v>4.0229999999999997</v>
      </c>
      <c r="F322" t="str">
        <f>_xlfn.LET(_xlpm.raw,_xlfn.XLOOKUP(A322,'Pinlist(S1)'!$C$4:$C$1362,'Pinlist(S1)'!$E$4:$E$1362,""),_xlpm.cleanRaw,SUBSTITUTE(SUBSTITUTE(_xlpm.raw,"_PIN","."),"PIN","."),_xlpm.mainPart,MID(_xlpm.cleanRaw,2,FIND(".",_xlpm.cleanRaw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2" t="str">
        <f>_xlfn.LET(_xlpm.raw,_xlfn.XLOOKUP(A322,'Pinlist(S3)'!$C$4:$C$1362,'Pinlist(S3)'!$E$4:$E$1362,""),_xlpm.cleanRaw,SUBSTITUTE(SUBSTITUTE(_xlpm.raw,"_PIN","."),"PIN","."),_xlpm.mainPart,MID(_xlpm.cleanRaw,2,FIND(".",_xlpm.cleanRaw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2" t="str">
        <f>_xlfn.LET(_xlpm.raw,_xlfn.XLOOKUP(A322,'Pinlist(S5)'!$C$4:$C$1362,'Pinlist(S5)'!$E$4:$E$1362,""),_xlpm.cleanRaw,SUBSTITUTE(SUBSTITUTE(_xlpm.raw,"_PIN","."),"PIN","."),_xlpm.mainPart,MID(_xlpm.cleanRaw,2,FIND(".",_xlpm.cleanRaw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2" t="str">
        <f>""</f>
        <v/>
      </c>
      <c r="J322" t="str">
        <f t="shared" ref="J322:J385" si="5">A322&amp;";"&amp;B322&amp;";"&amp;C322&amp;";"&amp;D322&amp;";"&amp;E322&amp;";"&amp;F322&amp;";"&amp;G322&amp;";"&amp;H322&amp;";"&amp;I322</f>
        <v>G23;VCCSA;;13.633;4.023;;;;</v>
      </c>
    </row>
    <row r="323" spans="1:10">
      <c r="A323" t="s">
        <v>1841</v>
      </c>
      <c r="B323" t="str">
        <f>_xlfn.XLOOKUP(A323,'Pinlist(S1)'!$Q$4:$Q$1362,'Pinlist(S1)'!$R$4:$R$1362,"")</f>
        <v>VCCSA</v>
      </c>
      <c r="C323" t="str" cm="1">
        <f t="array" ref="C323">_xlfn.TEXTJOIN(",",TRUE,_xlfn.UNIQUE(TRANSPOSE(_xlfn.MAP(_xlfn.XLOOKUP(A323,'Pinlist(S1)'!$C$4:$C$1362,'Pinlist(S1)'!$F$4:$K$1362,""),_xlfn.LAMBDA(_xlpm.x,IF(_xlpm.x&lt;&gt;"",TRIM(CLEAN(LEFT(_xlpm.x,FIND(".",_xlpm.x &amp; ".")-1))),""))))))</f>
        <v/>
      </c>
      <c r="D323">
        <v>14.547000000000001</v>
      </c>
      <c r="E323">
        <v>4.0229999999999997</v>
      </c>
      <c r="F323" t="str">
        <f>_xlfn.LET(_xlpm.raw,_xlfn.XLOOKUP(A323,'Pinlist(S1)'!$C$4:$C$1362,'Pinlist(S1)'!$E$4:$E$1362,""),_xlpm.cleanRaw,SUBSTITUTE(SUBSTITUTE(_xlpm.raw,"_PIN","."),"PIN","."),_xlpm.mainPart,MID(_xlpm.cleanRaw,2,FIND(".",_xlpm.cleanRaw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3" t="str">
        <f>_xlfn.LET(_xlpm.raw,_xlfn.XLOOKUP(A323,'Pinlist(S3)'!$C$4:$C$1362,'Pinlist(S3)'!$E$4:$E$1362,""),_xlpm.cleanRaw,SUBSTITUTE(SUBSTITUTE(_xlpm.raw,"_PIN","."),"PIN","."),_xlpm.mainPart,MID(_xlpm.cleanRaw,2,FIND(".",_xlpm.cleanRaw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3" t="str">
        <f>_xlfn.LET(_xlpm.raw,_xlfn.XLOOKUP(A323,'Pinlist(S5)'!$C$4:$C$1362,'Pinlist(S5)'!$E$4:$E$1362,""),_xlpm.cleanRaw,SUBSTITUTE(SUBSTITUTE(_xlpm.raw,"_PIN","."),"PIN","."),_xlpm.mainPart,MID(_xlpm.cleanRaw,2,FIND(".",_xlpm.cleanRaw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3" t="str">
        <f>""</f>
        <v/>
      </c>
      <c r="J323" t="str">
        <f t="shared" si="5"/>
        <v>G25;VCCSA;;14.547;4.023;;;;</v>
      </c>
    </row>
    <row r="324" spans="1:10">
      <c r="A324" t="s">
        <v>1842</v>
      </c>
      <c r="B324" t="str">
        <f>_xlfn.XLOOKUP(A324,'Pinlist(S1)'!$Q$4:$Q$1362,'Pinlist(S1)'!$R$4:$R$1362,"")</f>
        <v>VCCSA</v>
      </c>
      <c r="C324" t="str" cm="1">
        <f t="array" ref="C324">_xlfn.TEXTJOIN(",",TRUE,_xlfn.UNIQUE(TRANSPOSE(_xlfn.MAP(_xlfn.XLOOKUP(A324,'Pinlist(S1)'!$C$4:$C$1362,'Pinlist(S1)'!$F$4:$K$1362,""),_xlfn.LAMBDA(_xlpm.x,IF(_xlpm.x&lt;&gt;"",TRIM(CLEAN(LEFT(_xlpm.x,FIND(".",_xlpm.x &amp; ".")-1))),""))))))</f>
        <v/>
      </c>
      <c r="D324">
        <v>15.462</v>
      </c>
      <c r="E324">
        <v>4.0229999999999997</v>
      </c>
      <c r="F324" t="str">
        <f>_xlfn.LET(_xlpm.raw,_xlfn.XLOOKUP(A324,'Pinlist(S1)'!$C$4:$C$1362,'Pinlist(S1)'!$E$4:$E$1362,""),_xlpm.cleanRaw,SUBSTITUTE(SUBSTITUTE(_xlpm.raw,"_PIN","."),"PIN","."),_xlpm.mainPart,MID(_xlpm.cleanRaw,2,FIND(".",_xlpm.cleanRaw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4" t="str">
        <f>_xlfn.LET(_xlpm.raw,_xlfn.XLOOKUP(A324,'Pinlist(S3)'!$C$4:$C$1362,'Pinlist(S3)'!$E$4:$E$1362,""),_xlpm.cleanRaw,SUBSTITUTE(SUBSTITUTE(_xlpm.raw,"_PIN","."),"PIN","."),_xlpm.mainPart,MID(_xlpm.cleanRaw,2,FIND(".",_xlpm.cleanRaw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4" t="str">
        <f>_xlfn.LET(_xlpm.raw,_xlfn.XLOOKUP(A324,'Pinlist(S5)'!$C$4:$C$1362,'Pinlist(S5)'!$E$4:$E$1362,""),_xlpm.cleanRaw,SUBSTITUTE(SUBSTITUTE(_xlpm.raw,"_PIN","."),"PIN","."),_xlpm.mainPart,MID(_xlpm.cleanRaw,2,FIND(".",_xlpm.cleanRaw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4" t="str">
        <f>""</f>
        <v/>
      </c>
      <c r="J324" t="str">
        <f t="shared" si="5"/>
        <v>G27;VCCSA;;15.462;4.023;;;;</v>
      </c>
    </row>
    <row r="325" spans="1:10">
      <c r="A325" t="s">
        <v>1843</v>
      </c>
      <c r="B325" t="str">
        <f>_xlfn.XLOOKUP(A325,'Pinlist(S1)'!$Q$4:$Q$1362,'Pinlist(S1)'!$R$4:$R$1362,"")</f>
        <v>VCCSA</v>
      </c>
      <c r="C325" t="str" cm="1">
        <f t="array" ref="C325">_xlfn.TEXTJOIN(",",TRUE,_xlfn.UNIQUE(TRANSPOSE(_xlfn.MAP(_xlfn.XLOOKUP(A325,'Pinlist(S1)'!$C$4:$C$1362,'Pinlist(S1)'!$F$4:$K$1362,""),_xlfn.LAMBDA(_xlpm.x,IF(_xlpm.x&lt;&gt;"",TRIM(CLEAN(LEFT(_xlpm.x,FIND(".",_xlpm.x &amp; ".")-1))),""))))))</f>
        <v/>
      </c>
      <c r="D325">
        <v>16.376000000000001</v>
      </c>
      <c r="E325">
        <v>4.0229999999999997</v>
      </c>
      <c r="F325" t="str">
        <f>_xlfn.LET(_xlpm.raw,_xlfn.XLOOKUP(A325,'Pinlist(S1)'!$C$4:$C$1362,'Pinlist(S1)'!$E$4:$E$1362,""),_xlpm.cleanRaw,SUBSTITUTE(SUBSTITUTE(_xlpm.raw,"_PIN","."),"PIN","."),_xlpm.mainPart,MID(_xlpm.cleanRaw,2,FIND(".",_xlpm.cleanRaw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5" t="str">
        <f>_xlfn.LET(_xlpm.raw,_xlfn.XLOOKUP(A325,'Pinlist(S3)'!$C$4:$C$1362,'Pinlist(S3)'!$E$4:$E$1362,""),_xlpm.cleanRaw,SUBSTITUTE(SUBSTITUTE(_xlpm.raw,"_PIN","."),"PIN","."),_xlpm.mainPart,MID(_xlpm.cleanRaw,2,FIND(".",_xlpm.cleanRaw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5" t="str">
        <f>_xlfn.LET(_xlpm.raw,_xlfn.XLOOKUP(A325,'Pinlist(S5)'!$C$4:$C$1362,'Pinlist(S5)'!$E$4:$E$1362,""),_xlpm.cleanRaw,SUBSTITUTE(SUBSTITUTE(_xlpm.raw,"_PIN","."),"PIN","."),_xlpm.mainPart,MID(_xlpm.cleanRaw,2,FIND(".",_xlpm.cleanRaw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5" t="str">
        <f>""</f>
        <v/>
      </c>
      <c r="J325" t="str">
        <f t="shared" si="5"/>
        <v>G28;VCCSA;;16.376;4.023;;;;</v>
      </c>
    </row>
    <row r="326" spans="1:10">
      <c r="A326" t="s">
        <v>1568</v>
      </c>
      <c r="B326" t="str">
        <f>_xlfn.XLOOKUP(A326,'Pinlist(S1)'!$Q$4:$Q$1362,'Pinlist(S1)'!$R$4:$R$1362,"")</f>
        <v>VCCCORE</v>
      </c>
      <c r="C326" t="str" cm="1">
        <f t="array" ref="C326">_xlfn.TEXTJOIN(",",TRUE,_xlfn.UNIQUE(TRANSPOSE(_xlfn.MAP(_xlfn.XLOOKUP(A326,'Pinlist(S1)'!$C$4:$C$1362,'Pinlist(S1)'!$F$4:$K$1362,""),_xlfn.LAMBDA(_xlpm.x,IF(_xlpm.x&lt;&gt;"",TRIM(CLEAN(LEFT(_xlpm.x,FIND(".",_xlpm.x &amp; ".")-1))),""))))))</f>
        <v/>
      </c>
      <c r="D326">
        <v>17.29</v>
      </c>
      <c r="E326">
        <v>4.0229999999999997</v>
      </c>
      <c r="F326" t="str">
        <f>_xlfn.LET(_xlpm.raw,_xlfn.XLOOKUP(A326,'Pinlist(S1)'!$C$4:$C$1362,'Pinlist(S1)'!$E$4:$E$1362,""),_xlpm.cleanRaw,SUBSTITUTE(SUBSTITUTE(_xlpm.raw,"_PIN","."),"PIN","."),_xlpm.mainPart,MID(_xlpm.cleanRaw,2,FIND(".",_xlpm.cleanRaw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6" t="str">
        <f>_xlfn.LET(_xlpm.raw,_xlfn.XLOOKUP(A326,'Pinlist(S3)'!$C$4:$C$1362,'Pinlist(S3)'!$E$4:$E$1362,""),_xlpm.cleanRaw,SUBSTITUTE(SUBSTITUTE(_xlpm.raw,"_PIN","."),"PIN","."),_xlpm.mainPart,MID(_xlpm.cleanRaw,2,FIND(".",_xlpm.cleanRaw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6" t="str">
        <f>_xlfn.LET(_xlpm.raw,_xlfn.XLOOKUP(A326,'Pinlist(S5)'!$C$4:$C$1362,'Pinlist(S5)'!$E$4:$E$1362,""),_xlpm.cleanRaw,SUBSTITUTE(SUBSTITUTE(_xlpm.raw,"_PIN","."),"PIN","."),_xlpm.mainPart,MID(_xlpm.cleanRaw,2,FIND(".",_xlpm.cleanRaw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6" t="str">
        <f>""</f>
        <v/>
      </c>
      <c r="J326" t="str">
        <f t="shared" si="5"/>
        <v>G30;VCCCORE;;17.29;4.023;;;;</v>
      </c>
    </row>
    <row r="327" spans="1:10">
      <c r="A327" t="s">
        <v>1569</v>
      </c>
      <c r="B327" t="str">
        <f>_xlfn.XLOOKUP(A327,'Pinlist(S1)'!$Q$4:$Q$1362,'Pinlist(S1)'!$R$4:$R$1362,"")</f>
        <v>VCCCORE</v>
      </c>
      <c r="C327" t="str" cm="1">
        <f t="array" ref="C327">_xlfn.TEXTJOIN(",",TRUE,_xlfn.UNIQUE(TRANSPOSE(_xlfn.MAP(_xlfn.XLOOKUP(A327,'Pinlist(S1)'!$C$4:$C$1362,'Pinlist(S1)'!$F$4:$K$1362,""),_xlfn.LAMBDA(_xlpm.x,IF(_xlpm.x&lt;&gt;"",TRIM(CLEAN(LEFT(_xlpm.x,FIND(".",_xlpm.x &amp; ".")-1))),""))))))</f>
        <v/>
      </c>
      <c r="D327">
        <v>18.204999999999998</v>
      </c>
      <c r="E327">
        <v>4.0229999999999997</v>
      </c>
      <c r="F327" t="str">
        <f>_xlfn.LET(_xlpm.raw,_xlfn.XLOOKUP(A327,'Pinlist(S1)'!$C$4:$C$1362,'Pinlist(S1)'!$E$4:$E$1362,""),_xlpm.cleanRaw,SUBSTITUTE(SUBSTITUTE(_xlpm.raw,"_PIN","."),"PIN","."),_xlpm.mainPart,MID(_xlpm.cleanRaw,2,FIND(".",_xlpm.cleanRaw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7" t="str">
        <f>_xlfn.LET(_xlpm.raw,_xlfn.XLOOKUP(A327,'Pinlist(S3)'!$C$4:$C$1362,'Pinlist(S3)'!$E$4:$E$1362,""),_xlpm.cleanRaw,SUBSTITUTE(SUBSTITUTE(_xlpm.raw,"_PIN","."),"PIN","."),_xlpm.mainPart,MID(_xlpm.cleanRaw,2,FIND(".",_xlpm.cleanRaw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7" t="str">
        <f>_xlfn.LET(_xlpm.raw,_xlfn.XLOOKUP(A327,'Pinlist(S5)'!$C$4:$C$1362,'Pinlist(S5)'!$E$4:$E$1362,""),_xlpm.cleanRaw,SUBSTITUTE(SUBSTITUTE(_xlpm.raw,"_PIN","."),"PIN","."),_xlpm.mainPart,MID(_xlpm.cleanRaw,2,FIND(".",_xlpm.cleanRaw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7" t="str">
        <f>""</f>
        <v/>
      </c>
      <c r="J327" t="str">
        <f t="shared" si="5"/>
        <v>G32;VCCCORE;;18.205;4.023;;;;</v>
      </c>
    </row>
    <row r="328" spans="1:10">
      <c r="A328" t="s">
        <v>1570</v>
      </c>
      <c r="B328" t="str">
        <f>_xlfn.XLOOKUP(A328,'Pinlist(S1)'!$Q$4:$Q$1362,'Pinlist(S1)'!$R$4:$R$1362,"")</f>
        <v>VCCCORE</v>
      </c>
      <c r="C328" t="str" cm="1">
        <f t="array" ref="C328">_xlfn.TEXTJOIN(",",TRUE,_xlfn.UNIQUE(TRANSPOSE(_xlfn.MAP(_xlfn.XLOOKUP(A328,'Pinlist(S1)'!$C$4:$C$1362,'Pinlist(S1)'!$F$4:$K$1362,""),_xlfn.LAMBDA(_xlpm.x,IF(_xlpm.x&lt;&gt;"",TRIM(CLEAN(LEFT(_xlpm.x,FIND(".",_xlpm.x &amp; ".")-1))),""))))))</f>
        <v/>
      </c>
      <c r="D328">
        <v>19.119</v>
      </c>
      <c r="E328">
        <v>4.0229999999999997</v>
      </c>
      <c r="F328" t="str">
        <f>_xlfn.LET(_xlpm.raw,_xlfn.XLOOKUP(A328,'Pinlist(S1)'!$C$4:$C$1362,'Pinlist(S1)'!$E$4:$E$1362,""),_xlpm.cleanRaw,SUBSTITUTE(SUBSTITUTE(_xlpm.raw,"_PIN","."),"PIN","."),_xlpm.mainPart,MID(_xlpm.cleanRaw,2,FIND(".",_xlpm.cleanRaw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8" t="str">
        <f>_xlfn.LET(_xlpm.raw,_xlfn.XLOOKUP(A328,'Pinlist(S3)'!$C$4:$C$1362,'Pinlist(S3)'!$E$4:$E$1362,""),_xlpm.cleanRaw,SUBSTITUTE(SUBSTITUTE(_xlpm.raw,"_PIN","."),"PIN","."),_xlpm.mainPart,MID(_xlpm.cleanRaw,2,FIND(".",_xlpm.cleanRaw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8" t="str">
        <f>_xlfn.LET(_xlpm.raw,_xlfn.XLOOKUP(A328,'Pinlist(S5)'!$C$4:$C$1362,'Pinlist(S5)'!$E$4:$E$1362,""),_xlpm.cleanRaw,SUBSTITUTE(SUBSTITUTE(_xlpm.raw,"_PIN","."),"PIN","."),_xlpm.mainPart,MID(_xlpm.cleanRaw,2,FIND(".",_xlpm.cleanRaw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8" t="str">
        <f>""</f>
        <v/>
      </c>
      <c r="J328" t="str">
        <f t="shared" si="5"/>
        <v>G33;VCCCORE;;19.119;4.023;;;;</v>
      </c>
    </row>
    <row r="329" spans="1:10">
      <c r="A329" t="s">
        <v>1571</v>
      </c>
      <c r="B329" t="str">
        <f>_xlfn.XLOOKUP(A329,'Pinlist(S1)'!$Q$4:$Q$1362,'Pinlist(S1)'!$R$4:$R$1362,"")</f>
        <v>VCCCORE</v>
      </c>
      <c r="C329" t="str" cm="1">
        <f t="array" ref="C329">_xlfn.TEXTJOIN(",",TRUE,_xlfn.UNIQUE(TRANSPOSE(_xlfn.MAP(_xlfn.XLOOKUP(A329,'Pinlist(S1)'!$C$4:$C$1362,'Pinlist(S1)'!$F$4:$K$1362,""),_xlfn.LAMBDA(_xlpm.x,IF(_xlpm.x&lt;&gt;"",TRIM(CLEAN(LEFT(_xlpm.x,FIND(".",_xlpm.x &amp; ".")-1))),""))))))</f>
        <v/>
      </c>
      <c r="D329">
        <v>20.033999999999999</v>
      </c>
      <c r="E329">
        <v>4.0229999999999997</v>
      </c>
      <c r="F329" t="str">
        <f>_xlfn.LET(_xlpm.raw,_xlfn.XLOOKUP(A329,'Pinlist(S1)'!$C$4:$C$1362,'Pinlist(S1)'!$E$4:$E$1362,""),_xlpm.cleanRaw,SUBSTITUTE(SUBSTITUTE(_xlpm.raw,"_PIN","."),"PIN","."),_xlpm.mainPart,MID(_xlpm.cleanRaw,2,FIND(".",_xlpm.cleanRaw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9" t="str">
        <f>_xlfn.LET(_xlpm.raw,_xlfn.XLOOKUP(A329,'Pinlist(S3)'!$C$4:$C$1362,'Pinlist(S3)'!$E$4:$E$1362,""),_xlpm.cleanRaw,SUBSTITUTE(SUBSTITUTE(_xlpm.raw,"_PIN","."),"PIN","."),_xlpm.mainPart,MID(_xlpm.cleanRaw,2,FIND(".",_xlpm.cleanRaw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9" t="str">
        <f>_xlfn.LET(_xlpm.raw,_xlfn.XLOOKUP(A329,'Pinlist(S5)'!$C$4:$C$1362,'Pinlist(S5)'!$E$4:$E$1362,""),_xlpm.cleanRaw,SUBSTITUTE(SUBSTITUTE(_xlpm.raw,"_PIN","."),"PIN","."),_xlpm.mainPart,MID(_xlpm.cleanRaw,2,FIND(".",_xlpm.cleanRaw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9" t="str">
        <f>""</f>
        <v/>
      </c>
      <c r="J329" t="str">
        <f t="shared" si="5"/>
        <v>G35;VCCCORE;;20.034;4.023;;;;</v>
      </c>
    </row>
    <row r="330" spans="1:10">
      <c r="A330" t="s">
        <v>1572</v>
      </c>
      <c r="B330" t="str">
        <f>_xlfn.XLOOKUP(A330,'Pinlist(S1)'!$Q$4:$Q$1362,'Pinlist(S1)'!$R$4:$R$1362,"")</f>
        <v>VCCCORE</v>
      </c>
      <c r="C330" t="str" cm="1">
        <f t="array" ref="C330">_xlfn.TEXTJOIN(",",TRUE,_xlfn.UNIQUE(TRANSPOSE(_xlfn.MAP(_xlfn.XLOOKUP(A330,'Pinlist(S1)'!$C$4:$C$1362,'Pinlist(S1)'!$F$4:$K$1362,""),_xlfn.LAMBDA(_xlpm.x,IF(_xlpm.x&lt;&gt;"",TRIM(CLEAN(LEFT(_xlpm.x,FIND(".",_xlpm.x &amp; ".")-1))),""))))))</f>
        <v/>
      </c>
      <c r="D330">
        <v>20.948</v>
      </c>
      <c r="E330">
        <v>4.0229999999999997</v>
      </c>
      <c r="F330" t="str">
        <f>_xlfn.LET(_xlpm.raw,_xlfn.XLOOKUP(A330,'Pinlist(S1)'!$C$4:$C$1362,'Pinlist(S1)'!$E$4:$E$1362,""),_xlpm.cleanRaw,SUBSTITUTE(SUBSTITUTE(_xlpm.raw,"_PIN","."),"PIN","."),_xlpm.mainPart,MID(_xlpm.cleanRaw,2,FIND(".",_xlpm.cleanRaw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0" t="str">
        <f>_xlfn.LET(_xlpm.raw,_xlfn.XLOOKUP(A330,'Pinlist(S3)'!$C$4:$C$1362,'Pinlist(S3)'!$E$4:$E$1362,""),_xlpm.cleanRaw,SUBSTITUTE(SUBSTITUTE(_xlpm.raw,"_PIN","."),"PIN","."),_xlpm.mainPart,MID(_xlpm.cleanRaw,2,FIND(".",_xlpm.cleanRaw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0" t="str">
        <f>_xlfn.LET(_xlpm.raw,_xlfn.XLOOKUP(A330,'Pinlist(S5)'!$C$4:$C$1362,'Pinlist(S5)'!$E$4:$E$1362,""),_xlpm.cleanRaw,SUBSTITUTE(SUBSTITUTE(_xlpm.raw,"_PIN","."),"PIN","."),_xlpm.mainPart,MID(_xlpm.cleanRaw,2,FIND(".",_xlpm.cleanRaw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0" t="str">
        <f>""</f>
        <v/>
      </c>
      <c r="J330" t="str">
        <f t="shared" si="5"/>
        <v>G37;VCCCORE;;20.948;4.023;;;;</v>
      </c>
    </row>
    <row r="331" spans="1:10">
      <c r="A331" t="s">
        <v>1573</v>
      </c>
      <c r="B331" t="str">
        <f>_xlfn.XLOOKUP(A331,'Pinlist(S1)'!$Q$4:$Q$1362,'Pinlist(S1)'!$R$4:$R$1362,"")</f>
        <v>VCCCORE</v>
      </c>
      <c r="C331" t="str" cm="1">
        <f t="array" ref="C331">_xlfn.TEXTJOIN(",",TRUE,_xlfn.UNIQUE(TRANSPOSE(_xlfn.MAP(_xlfn.XLOOKUP(A331,'Pinlist(S1)'!$C$4:$C$1362,'Pinlist(S1)'!$F$4:$K$1362,""),_xlfn.LAMBDA(_xlpm.x,IF(_xlpm.x&lt;&gt;"",TRIM(CLEAN(LEFT(_xlpm.x,FIND(".",_xlpm.x &amp; ".")-1))),""))))))</f>
        <v/>
      </c>
      <c r="D331">
        <v>21.861999999999998</v>
      </c>
      <c r="E331">
        <v>4.0229999999999997</v>
      </c>
      <c r="F331" t="str">
        <f>_xlfn.LET(_xlpm.raw,_xlfn.XLOOKUP(A331,'Pinlist(S1)'!$C$4:$C$1362,'Pinlist(S1)'!$E$4:$E$1362,""),_xlpm.cleanRaw,SUBSTITUTE(SUBSTITUTE(_xlpm.raw,"_PIN","."),"PIN","."),_xlpm.mainPart,MID(_xlpm.cleanRaw,2,FIND(".",_xlpm.cleanRaw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1" t="str">
        <f>_xlfn.LET(_xlpm.raw,_xlfn.XLOOKUP(A331,'Pinlist(S3)'!$C$4:$C$1362,'Pinlist(S3)'!$E$4:$E$1362,""),_xlpm.cleanRaw,SUBSTITUTE(SUBSTITUTE(_xlpm.raw,"_PIN","."),"PIN","."),_xlpm.mainPart,MID(_xlpm.cleanRaw,2,FIND(".",_xlpm.cleanRaw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1" t="str">
        <f>_xlfn.LET(_xlpm.raw,_xlfn.XLOOKUP(A331,'Pinlist(S5)'!$C$4:$C$1362,'Pinlist(S5)'!$E$4:$E$1362,""),_xlpm.cleanRaw,SUBSTITUTE(SUBSTITUTE(_xlpm.raw,"_PIN","."),"PIN","."),_xlpm.mainPart,MID(_xlpm.cleanRaw,2,FIND(".",_xlpm.cleanRaw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1" t="str">
        <f>""</f>
        <v/>
      </c>
      <c r="J331" t="str">
        <f t="shared" si="5"/>
        <v>G38;VCCCORE;;21.862;4.023;;;;</v>
      </c>
    </row>
    <row r="332" spans="1:10">
      <c r="A332" t="s">
        <v>1574</v>
      </c>
      <c r="B332" t="str">
        <f>_xlfn.XLOOKUP(A332,'Pinlist(S1)'!$Q$4:$Q$1362,'Pinlist(S1)'!$R$4:$R$1362,"")</f>
        <v>VCCCORE</v>
      </c>
      <c r="C332" t="str" cm="1">
        <f t="array" ref="C332">_xlfn.TEXTJOIN(",",TRUE,_xlfn.UNIQUE(TRANSPOSE(_xlfn.MAP(_xlfn.XLOOKUP(A332,'Pinlist(S1)'!$C$4:$C$1362,'Pinlist(S1)'!$F$4:$K$1362,""),_xlfn.LAMBDA(_xlpm.x,IF(_xlpm.x&lt;&gt;"",TRIM(CLEAN(LEFT(_xlpm.x,FIND(".",_xlpm.x &amp; ".")-1))),""))))))</f>
        <v/>
      </c>
      <c r="D332">
        <v>22.777000000000001</v>
      </c>
      <c r="E332">
        <v>4.0229999999999997</v>
      </c>
      <c r="F332" t="str">
        <f>_xlfn.LET(_xlpm.raw,_xlfn.XLOOKUP(A332,'Pinlist(S1)'!$C$4:$C$1362,'Pinlist(S1)'!$E$4:$E$1362,""),_xlpm.cleanRaw,SUBSTITUTE(SUBSTITUTE(_xlpm.raw,"_PIN","."),"PIN","."),_xlpm.mainPart,MID(_xlpm.cleanRaw,2,FIND(".",_xlpm.cleanRaw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2" t="str">
        <f>_xlfn.LET(_xlpm.raw,_xlfn.XLOOKUP(A332,'Pinlist(S3)'!$C$4:$C$1362,'Pinlist(S3)'!$E$4:$E$1362,""),_xlpm.cleanRaw,SUBSTITUTE(SUBSTITUTE(_xlpm.raw,"_PIN","."),"PIN","."),_xlpm.mainPart,MID(_xlpm.cleanRaw,2,FIND(".",_xlpm.cleanRaw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2" t="str">
        <f>_xlfn.LET(_xlpm.raw,_xlfn.XLOOKUP(A332,'Pinlist(S5)'!$C$4:$C$1362,'Pinlist(S5)'!$E$4:$E$1362,""),_xlpm.cleanRaw,SUBSTITUTE(SUBSTITUTE(_xlpm.raw,"_PIN","."),"PIN","."),_xlpm.mainPart,MID(_xlpm.cleanRaw,2,FIND(".",_xlpm.cleanRaw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2" t="str">
        <f>""</f>
        <v/>
      </c>
      <c r="J332" t="str">
        <f t="shared" si="5"/>
        <v>G40;VCCCORE;;22.777;4.023;;;;</v>
      </c>
    </row>
    <row r="333" spans="1:10">
      <c r="A333" t="s">
        <v>1575</v>
      </c>
      <c r="B333" t="str">
        <f>_xlfn.XLOOKUP(A333,'Pinlist(S1)'!$Q$4:$Q$1362,'Pinlist(S1)'!$R$4:$R$1362,"")</f>
        <v>VCCCORE</v>
      </c>
      <c r="C333" t="str" cm="1">
        <f t="array" ref="C333">_xlfn.TEXTJOIN(",",TRUE,_xlfn.UNIQUE(TRANSPOSE(_xlfn.MAP(_xlfn.XLOOKUP(A333,'Pinlist(S1)'!$C$4:$C$1362,'Pinlist(S1)'!$F$4:$K$1362,""),_xlfn.LAMBDA(_xlpm.x,IF(_xlpm.x&lt;&gt;"",TRIM(CLEAN(LEFT(_xlpm.x,FIND(".",_xlpm.x &amp; ".")-1))),""))))))</f>
        <v/>
      </c>
      <c r="D333">
        <v>23.690999999999999</v>
      </c>
      <c r="E333">
        <v>4.0229999999999997</v>
      </c>
      <c r="F333" t="str">
        <f>_xlfn.LET(_xlpm.raw,_xlfn.XLOOKUP(A333,'Pinlist(S1)'!$C$4:$C$1362,'Pinlist(S1)'!$E$4:$E$1362,""),_xlpm.cleanRaw,SUBSTITUTE(SUBSTITUTE(_xlpm.raw,"_PIN","."),"PIN","."),_xlpm.mainPart,MID(_xlpm.cleanRaw,2,FIND(".",_xlpm.cleanRaw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3" t="str">
        <f>_xlfn.LET(_xlpm.raw,_xlfn.XLOOKUP(A333,'Pinlist(S3)'!$C$4:$C$1362,'Pinlist(S3)'!$E$4:$E$1362,""),_xlpm.cleanRaw,SUBSTITUTE(SUBSTITUTE(_xlpm.raw,"_PIN","."),"PIN","."),_xlpm.mainPart,MID(_xlpm.cleanRaw,2,FIND(".",_xlpm.cleanRaw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3" t="str">
        <f>_xlfn.LET(_xlpm.raw,_xlfn.XLOOKUP(A333,'Pinlist(S5)'!$C$4:$C$1362,'Pinlist(S5)'!$E$4:$E$1362,""),_xlpm.cleanRaw,SUBSTITUTE(SUBSTITUTE(_xlpm.raw,"_PIN","."),"PIN","."),_xlpm.mainPart,MID(_xlpm.cleanRaw,2,FIND(".",_xlpm.cleanRaw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3" t="str">
        <f>""</f>
        <v/>
      </c>
      <c r="J333" t="str">
        <f t="shared" si="5"/>
        <v>G42;VCCCORE;;23.691;4.023;;;;</v>
      </c>
    </row>
    <row r="334" spans="1:10">
      <c r="A334" t="s">
        <v>2165</v>
      </c>
      <c r="B334" t="str">
        <f>_xlfn.XLOOKUP(A334,'Pinlist(S1)'!$Q$4:$Q$1362,'Pinlist(S1)'!$R$4:$R$1362,"")</f>
        <v>VSS</v>
      </c>
      <c r="C334" t="str" cm="1">
        <f t="array" ref="C334">_xlfn.TEXTJOIN(",",TRUE,_xlfn.UNIQUE(TRANSPOSE(_xlfn.MAP(_xlfn.XLOOKUP(A334,'Pinlist(S1)'!$C$4:$C$1362,'Pinlist(S1)'!$F$4:$K$1362,""),_xlfn.LAMBDA(_xlpm.x,IF(_xlpm.x&lt;&gt;"",TRIM(CLEAN(LEFT(_xlpm.x,FIND(".",_xlpm.x &amp; ".")-1))),""))))))</f>
        <v/>
      </c>
      <c r="D334">
        <v>24.606000000000002</v>
      </c>
      <c r="E334">
        <v>4.0229999999999997</v>
      </c>
      <c r="F334" t="str">
        <f>_xlfn.LET(_xlpm.raw,_xlfn.XLOOKUP(A334,'Pinlist(S1)'!$C$4:$C$1362,'Pinlist(S1)'!$E$4:$E$1362,""),_xlpm.cleanRaw,SUBSTITUTE(SUBSTITUTE(_xlpm.raw,"_PIN","."),"PIN","."),_xlpm.mainPart,MID(_xlpm.cleanRaw,2,FIND(".",_xlpm.cleanRaw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4" t="str">
        <f>_xlfn.LET(_xlpm.raw,_xlfn.XLOOKUP(A334,'Pinlist(S3)'!$C$4:$C$1362,'Pinlist(S3)'!$E$4:$E$1362,""),_xlpm.cleanRaw,SUBSTITUTE(SUBSTITUTE(_xlpm.raw,"_PIN","."),"PIN","."),_xlpm.mainPart,MID(_xlpm.cleanRaw,2,FIND(".",_xlpm.cleanRaw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4" t="str">
        <f>_xlfn.LET(_xlpm.raw,_xlfn.XLOOKUP(A334,'Pinlist(S5)'!$C$4:$C$1362,'Pinlist(S5)'!$E$4:$E$1362,""),_xlpm.cleanRaw,SUBSTITUTE(SUBSTITUTE(_xlpm.raw,"_PIN","."),"PIN","."),_xlpm.mainPart,MID(_xlpm.cleanRaw,2,FIND(".",_xlpm.cleanRaw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4" t="str">
        <f>""</f>
        <v/>
      </c>
      <c r="J334" t="str">
        <f t="shared" si="5"/>
        <v>G43;VSS;;24.606;4.023;;;;</v>
      </c>
    </row>
    <row r="335" spans="1:10">
      <c r="A335" t="s">
        <v>2166</v>
      </c>
      <c r="B335" t="str">
        <f>_xlfn.XLOOKUP(A335,'Pinlist(S1)'!$Q$4:$Q$1362,'Pinlist(S1)'!$R$4:$R$1362,"")</f>
        <v>VSS</v>
      </c>
      <c r="C335" t="str" cm="1">
        <f t="array" ref="C335">_xlfn.TEXTJOIN(",",TRUE,_xlfn.UNIQUE(TRANSPOSE(_xlfn.MAP(_xlfn.XLOOKUP(A335,'Pinlist(S1)'!$C$4:$C$1362,'Pinlist(S1)'!$F$4:$K$1362,""),_xlfn.LAMBDA(_xlpm.x,IF(_xlpm.x&lt;&gt;"",TRIM(CLEAN(LEFT(_xlpm.x,FIND(".",_xlpm.x &amp; ".")-1))),""))))))</f>
        <v/>
      </c>
      <c r="D335">
        <v>25.52</v>
      </c>
      <c r="E335">
        <v>4.0229999999999997</v>
      </c>
      <c r="F335" t="str">
        <f>_xlfn.LET(_xlpm.raw,_xlfn.XLOOKUP(A335,'Pinlist(S1)'!$C$4:$C$1362,'Pinlist(S1)'!$E$4:$E$1362,""),_xlpm.cleanRaw,SUBSTITUTE(SUBSTITUTE(_xlpm.raw,"_PIN","."),"PIN","."),_xlpm.mainPart,MID(_xlpm.cleanRaw,2,FIND(".",_xlpm.cleanRaw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5" t="str">
        <f>_xlfn.LET(_xlpm.raw,_xlfn.XLOOKUP(A335,'Pinlist(S3)'!$C$4:$C$1362,'Pinlist(S3)'!$E$4:$E$1362,""),_xlpm.cleanRaw,SUBSTITUTE(SUBSTITUTE(_xlpm.raw,"_PIN","."),"PIN","."),_xlpm.mainPart,MID(_xlpm.cleanRaw,2,FIND(".",_xlpm.cleanRaw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5" t="str">
        <f>_xlfn.LET(_xlpm.raw,_xlfn.XLOOKUP(A335,'Pinlist(S5)'!$C$4:$C$1362,'Pinlist(S5)'!$E$4:$E$1362,""),_xlpm.cleanRaw,SUBSTITUTE(SUBSTITUTE(_xlpm.raw,"_PIN","."),"PIN","."),_xlpm.mainPart,MID(_xlpm.cleanRaw,2,FIND(".",_xlpm.cleanRaw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5" t="str">
        <f>""</f>
        <v/>
      </c>
      <c r="J335" t="str">
        <f t="shared" si="5"/>
        <v>G45;VSS;;25.52;4.023;;;;</v>
      </c>
    </row>
    <row r="336" spans="1:10">
      <c r="A336" t="s">
        <v>218</v>
      </c>
      <c r="B336" t="str">
        <f>_xlfn.XLOOKUP(A336,'Pinlist(S1)'!$Q$4:$Q$1362,'Pinlist(S1)'!$R$4:$R$1362,"")</f>
        <v>DDI3_AUXN</v>
      </c>
      <c r="C336" t="str" cm="1">
        <f t="array" ref="C336">_xlfn.TEXTJOIN(",",TRUE,_xlfn.UNIQUE(TRANSPOSE(_xlfn.MAP(_xlfn.XLOOKUP(A336,'Pinlist(S1)'!$C$4:$C$1362,'Pinlist(S1)'!$F$4:$K$1362,""),_xlfn.LAMBDA(_xlpm.x,IF(_xlpm.x&lt;&gt;"",TRIM(CLEAN(LEFT(_xlpm.x,FIND(".",_xlpm.x &amp; ".")-1))),""))))))</f>
        <v>KA146</v>
      </c>
      <c r="D336">
        <v>26.434000000000001</v>
      </c>
      <c r="E336">
        <v>4.0229999999999997</v>
      </c>
      <c r="F336" t="str">
        <f>_xlfn.LET(_xlpm.raw,_xlfn.XLOOKUP(A336,'Pinlist(S1)'!$C$4:$C$1362,'Pinlist(S1)'!$E$4:$E$1362,""),_xlpm.cleanRaw,SUBSTITUTE(SUBSTITUTE(_xlpm.raw,"_PIN","."),"PIN","."),_xlpm.mainPart,MID(_xlpm.cleanRaw,2,FIND(".",_xlpm.cleanRaw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336" t="str">
        <f>_xlfn.LET(_xlpm.raw,_xlfn.XLOOKUP(A336,'Pinlist(S3)'!$C$4:$C$1362,'Pinlist(S3)'!$E$4:$E$1362,""),_xlpm.cleanRaw,SUBSTITUTE(SUBSTITUTE(_xlpm.raw,"_PIN","."),"PIN","."),_xlpm.mainPart,MID(_xlpm.cleanRaw,2,FIND(".",_xlpm.cleanRaw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503023</v>
      </c>
      <c r="H336" t="str">
        <f>_xlfn.LET(_xlpm.raw,_xlfn.XLOOKUP(A336,'Pinlist(S5)'!$C$4:$C$1362,'Pinlist(S5)'!$E$4:$E$1362,""),_xlpm.cleanRaw,SUBSTITUTE(SUBSTITUTE(_xlpm.raw,"_PIN","."),"PIN","."),_xlpm.mainPart,MID(_xlpm.cleanRaw,2,FIND(".",_xlpm.cleanRaw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I336" t="str">
        <f>""</f>
        <v/>
      </c>
      <c r="J336" t="str">
        <f t="shared" si="5"/>
        <v>G46;DDI3_AUXN;KA146;26.434;4.023;604015;503023;709036;</v>
      </c>
    </row>
    <row r="337" spans="1:10">
      <c r="A337" t="s">
        <v>2167</v>
      </c>
      <c r="B337" t="str">
        <f>_xlfn.XLOOKUP(A337,'Pinlist(S1)'!$Q$4:$Q$1362,'Pinlist(S1)'!$R$4:$R$1362,"")</f>
        <v>VSS</v>
      </c>
      <c r="C337" t="str" cm="1">
        <f t="array" ref="C337">_xlfn.TEXTJOIN(",",TRUE,_xlfn.UNIQUE(TRANSPOSE(_xlfn.MAP(_xlfn.XLOOKUP(A337,'Pinlist(S1)'!$C$4:$C$1362,'Pinlist(S1)'!$F$4:$K$1362,""),_xlfn.LAMBDA(_xlpm.x,IF(_xlpm.x&lt;&gt;"",TRIM(CLEAN(LEFT(_xlpm.x,FIND(".",_xlpm.x &amp; ".")-1))),""))))))</f>
        <v/>
      </c>
      <c r="D337">
        <v>27.349</v>
      </c>
      <c r="E337">
        <v>4.0229999999999997</v>
      </c>
      <c r="F337" t="str">
        <f>_xlfn.LET(_xlpm.raw,_xlfn.XLOOKUP(A337,'Pinlist(S1)'!$C$4:$C$1362,'Pinlist(S1)'!$E$4:$E$1362,""),_xlpm.cleanRaw,SUBSTITUTE(SUBSTITUTE(_xlpm.raw,"_PIN","."),"PIN","."),_xlpm.mainPart,MID(_xlpm.cleanRaw,2,FIND(".",_xlpm.cleanRaw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7" t="str">
        <f>_xlfn.LET(_xlpm.raw,_xlfn.XLOOKUP(A337,'Pinlist(S3)'!$C$4:$C$1362,'Pinlist(S3)'!$E$4:$E$1362,""),_xlpm.cleanRaw,SUBSTITUTE(SUBSTITUTE(_xlpm.raw,"_PIN","."),"PIN","."),_xlpm.mainPart,MID(_xlpm.cleanRaw,2,FIND(".",_xlpm.cleanRaw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7" t="str">
        <f>_xlfn.LET(_xlpm.raw,_xlfn.XLOOKUP(A337,'Pinlist(S5)'!$C$4:$C$1362,'Pinlist(S5)'!$E$4:$E$1362,""),_xlpm.cleanRaw,SUBSTITUTE(SUBSTITUTE(_xlpm.raw,"_PIN","."),"PIN","."),_xlpm.mainPart,MID(_xlpm.cleanRaw,2,FIND(".",_xlpm.cleanRaw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7" t="str">
        <f>""</f>
        <v/>
      </c>
      <c r="J337" t="str">
        <f t="shared" si="5"/>
        <v>G48;VSS;;27.349;4.023;;;;</v>
      </c>
    </row>
    <row r="338" spans="1:10">
      <c r="A338" t="s">
        <v>162</v>
      </c>
      <c r="B338" t="str">
        <f>_xlfn.XLOOKUP(A338,'Pinlist(S1)'!$Q$4:$Q$1362,'Pinlist(S1)'!$R$4:$R$1362,"")</f>
        <v>DDI1_AUXN</v>
      </c>
      <c r="C338" t="str" cm="1">
        <f t="array" ref="C338">_xlfn.TEXTJOIN(",",TRUE,_xlfn.UNIQUE(TRANSPOSE(_xlfn.MAP(_xlfn.XLOOKUP(A338,'Pinlist(S1)'!$C$4:$C$1362,'Pinlist(S1)'!$F$4:$K$1362,""),_xlfn.LAMBDA(_xlpm.x,IF(_xlpm.x&lt;&gt;"",TRIM(CLEAN(LEFT(_xlpm.x,FIND(".",_xlpm.x &amp; ".")-1))),""))))))</f>
        <v/>
      </c>
      <c r="D338">
        <v>28.262999999999899</v>
      </c>
      <c r="E338">
        <v>4.0229999999999997</v>
      </c>
      <c r="F338" t="str">
        <f>_xlfn.LET(_xlpm.raw,_xlfn.XLOOKUP(A338,'Pinlist(S1)'!$C$4:$C$1362,'Pinlist(S1)'!$E$4:$E$1362,""),_xlpm.cleanRaw,SUBSTITUTE(SUBSTITUTE(_xlpm.raw,"_PIN","."),"PIN","."),_xlpm.mainPart,MID(_xlpm.cleanRaw,2,FIND(".",_xlpm.cleanRaw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605064</v>
      </c>
      <c r="G338" t="str">
        <f>_xlfn.LET(_xlpm.raw,_xlfn.XLOOKUP(A338,'Pinlist(S3)'!$C$4:$C$1362,'Pinlist(S3)'!$E$4:$E$1362,""),_xlpm.cleanRaw,SUBSTITUTE(SUBSTITUTE(_xlpm.raw,"_PIN","."),"PIN","."),_xlpm.mainPart,MID(_xlpm.cleanRaw,2,FIND(".",_xlpm.cleanRaw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502049</v>
      </c>
      <c r="H338" t="str">
        <f>_xlfn.LET(_xlpm.raw,_xlfn.XLOOKUP(A338,'Pinlist(S5)'!$C$4:$C$1362,'Pinlist(S5)'!$E$4:$E$1362,""),_xlpm.cleanRaw,SUBSTITUTE(SUBSTITUTE(_xlpm.raw,"_PIN","."),"PIN","."),_xlpm.mainPart,MID(_xlpm.cleanRaw,2,FIND(".",_xlpm.cleanRaw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709018</v>
      </c>
      <c r="I338" t="str">
        <f>""</f>
        <v/>
      </c>
      <c r="J338" t="str">
        <f t="shared" si="5"/>
        <v>G50;DDI1_AUXN;;28.2629999999999;4.023;605064;502049;709018;</v>
      </c>
    </row>
    <row r="339" spans="1:10">
      <c r="A339" t="s">
        <v>2169</v>
      </c>
      <c r="B339" t="str">
        <f>_xlfn.XLOOKUP(A339,'Pinlist(S1)'!$Q$4:$Q$1362,'Pinlist(S1)'!$R$4:$R$1362,"")</f>
        <v>VSS</v>
      </c>
      <c r="C339" t="str" cm="1">
        <f t="array" ref="C339">_xlfn.TEXTJOIN(",",TRUE,_xlfn.UNIQUE(TRANSPOSE(_xlfn.MAP(_xlfn.XLOOKUP(A339,'Pinlist(S1)'!$C$4:$C$1362,'Pinlist(S1)'!$F$4:$K$1362,""),_xlfn.LAMBDA(_xlpm.x,IF(_xlpm.x&lt;&gt;"",TRIM(CLEAN(LEFT(_xlpm.x,FIND(".",_xlpm.x &amp; ".")-1))),""))))))</f>
        <v/>
      </c>
      <c r="D339">
        <v>29.178000000000001</v>
      </c>
      <c r="E339">
        <v>4.0229999999999997</v>
      </c>
      <c r="F339" t="str">
        <f>_xlfn.LET(_xlpm.raw,_xlfn.XLOOKUP(A339,'Pinlist(S1)'!$C$4:$C$1362,'Pinlist(S1)'!$E$4:$E$1362,""),_xlpm.cleanRaw,SUBSTITUTE(SUBSTITUTE(_xlpm.raw,"_PIN","."),"PIN","."),_xlpm.mainPart,MID(_xlpm.cleanRaw,2,FIND(".",_xlpm.cleanRaw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9" t="str">
        <f>_xlfn.LET(_xlpm.raw,_xlfn.XLOOKUP(A339,'Pinlist(S3)'!$C$4:$C$1362,'Pinlist(S3)'!$E$4:$E$1362,""),_xlpm.cleanRaw,SUBSTITUTE(SUBSTITUTE(_xlpm.raw,"_PIN","."),"PIN","."),_xlpm.mainPart,MID(_xlpm.cleanRaw,2,FIND(".",_xlpm.cleanRaw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9" t="str">
        <f>_xlfn.LET(_xlpm.raw,_xlfn.XLOOKUP(A339,'Pinlist(S5)'!$C$4:$C$1362,'Pinlist(S5)'!$E$4:$E$1362,""),_xlpm.cleanRaw,SUBSTITUTE(SUBSTITUTE(_xlpm.raw,"_PIN","."),"PIN","."),_xlpm.mainPart,MID(_xlpm.cleanRaw,2,FIND(".",_xlpm.cleanRaw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9" t="str">
        <f>""</f>
        <v/>
      </c>
      <c r="J339" t="str">
        <f t="shared" si="5"/>
        <v>G52;VSS;;29.178;4.023;;;;</v>
      </c>
    </row>
    <row r="340" spans="1:10">
      <c r="A340" t="s">
        <v>183</v>
      </c>
      <c r="B340" t="str">
        <f>_xlfn.XLOOKUP(A340,'Pinlist(S1)'!$Q$4:$Q$1362,'Pinlist(S1)'!$R$4:$R$1362,"")</f>
        <v>DDI1_TXP[2]</v>
      </c>
      <c r="C340" t="str" cm="1">
        <f t="array" ref="C340">_xlfn.TEXTJOIN(",",TRUE,_xlfn.UNIQUE(TRANSPOSE(_xlfn.MAP(_xlfn.XLOOKUP(A340,'Pinlist(S1)'!$C$4:$C$1362,'Pinlist(S1)'!$F$4:$K$1362,""),_xlfn.LAMBDA(_xlpm.x,IF(_xlpm.x&lt;&gt;"",TRIM(CLEAN(LEFT(_xlpm.x,FIND(".",_xlpm.x &amp; ".")-1))),""))))))</f>
        <v>KA125</v>
      </c>
      <c r="D340">
        <v>30.091999999999999</v>
      </c>
      <c r="E340">
        <v>4.0229999999999997</v>
      </c>
      <c r="F340" t="str">
        <f>_xlfn.LET(_xlpm.raw,_xlfn.XLOOKUP(A340,'Pinlist(S1)'!$C$4:$C$1362,'Pinlist(S1)'!$E$4:$E$1362,""),_xlpm.cleanRaw,SUBSTITUTE(SUBSTITUTE(_xlpm.raw,"_PIN","."),"PIN","."),_xlpm.mainPart,MID(_xlpm.cleanRaw,2,FIND(".",_xlpm.cleanRaw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340" t="str">
        <f>_xlfn.LET(_xlpm.raw,_xlfn.XLOOKUP(A340,'Pinlist(S3)'!$C$4:$C$1362,'Pinlist(S3)'!$E$4:$E$1362,""),_xlpm.cleanRaw,SUBSTITUTE(SUBSTITUTE(_xlpm.raw,"_PIN","."),"PIN","."),_xlpm.mainPart,MID(_xlpm.cleanRaw,2,FIND(".",_xlpm.cleanRaw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502057</v>
      </c>
      <c r="H340" t="str">
        <f>_xlfn.LET(_xlpm.raw,_xlfn.XLOOKUP(A340,'Pinlist(S5)'!$C$4:$C$1362,'Pinlist(S5)'!$E$4:$E$1362,""),_xlpm.cleanRaw,SUBSTITUTE(SUBSTITUTE(_xlpm.raw,"_PIN","."),"PIN","."),_xlpm.mainPart,MID(_xlpm.cleanRaw,2,FIND(".",_xlpm.cleanRaw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I340" t="str">
        <f>""</f>
        <v/>
      </c>
      <c r="J340" t="str">
        <f t="shared" si="5"/>
        <v>G53;DDI1_TXP[2];KA125;30.092;4.023;605055;502057;709022;</v>
      </c>
    </row>
    <row r="341" spans="1:10">
      <c r="A341" t="s">
        <v>2170</v>
      </c>
      <c r="B341" t="str">
        <f>_xlfn.XLOOKUP(A341,'Pinlist(S1)'!$Q$4:$Q$1362,'Pinlist(S1)'!$R$4:$R$1362,"")</f>
        <v>VSS</v>
      </c>
      <c r="C341" t="str" cm="1">
        <f t="array" ref="C341">_xlfn.TEXTJOIN(",",TRUE,_xlfn.UNIQUE(TRANSPOSE(_xlfn.MAP(_xlfn.XLOOKUP(A341,'Pinlist(S1)'!$C$4:$C$1362,'Pinlist(S1)'!$F$4:$K$1362,""),_xlfn.LAMBDA(_xlpm.x,IF(_xlpm.x&lt;&gt;"",TRIM(CLEAN(LEFT(_xlpm.x,FIND(".",_xlpm.x &amp; ".")-1))),""))))))</f>
        <v/>
      </c>
      <c r="D341">
        <v>31.006</v>
      </c>
      <c r="E341">
        <v>4.0229999999999997</v>
      </c>
      <c r="F341" t="str">
        <f>_xlfn.LET(_xlpm.raw,_xlfn.XLOOKUP(A341,'Pinlist(S1)'!$C$4:$C$1362,'Pinlist(S1)'!$E$4:$E$1362,""),_xlpm.cleanRaw,SUBSTITUTE(SUBSTITUTE(_xlpm.raw,"_PIN","."),"PIN","."),_xlpm.mainPart,MID(_xlpm.cleanRaw,2,FIND(".",_xlpm.cleanRaw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1" t="str">
        <f>_xlfn.LET(_xlpm.raw,_xlfn.XLOOKUP(A341,'Pinlist(S3)'!$C$4:$C$1362,'Pinlist(S3)'!$E$4:$E$1362,""),_xlpm.cleanRaw,SUBSTITUTE(SUBSTITUTE(_xlpm.raw,"_PIN","."),"PIN","."),_xlpm.mainPart,MID(_xlpm.cleanRaw,2,FIND(".",_xlpm.cleanRaw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1" t="str">
        <f>_xlfn.LET(_xlpm.raw,_xlfn.XLOOKUP(A341,'Pinlist(S5)'!$C$4:$C$1362,'Pinlist(S5)'!$E$4:$E$1362,""),_xlpm.cleanRaw,SUBSTITUTE(SUBSTITUTE(_xlpm.raw,"_PIN","."),"PIN","."),_xlpm.mainPart,MID(_xlpm.cleanRaw,2,FIND(".",_xlpm.cleanRaw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1" t="str">
        <f>""</f>
        <v/>
      </c>
      <c r="J341" t="str">
        <f t="shared" si="5"/>
        <v>G55;VSS;;31.006;4.023;;;;</v>
      </c>
    </row>
    <row r="342" spans="1:10">
      <c r="A342" t="s">
        <v>186</v>
      </c>
      <c r="B342" t="str">
        <f>_xlfn.XLOOKUP(A342,'Pinlist(S1)'!$Q$4:$Q$1362,'Pinlist(S1)'!$R$4:$R$1362,"")</f>
        <v>DDI1_TXP[3]</v>
      </c>
      <c r="C342" t="str" cm="1">
        <f t="array" ref="C342">_xlfn.TEXTJOIN(",",TRUE,_xlfn.UNIQUE(TRANSPOSE(_xlfn.MAP(_xlfn.XLOOKUP(A342,'Pinlist(S1)'!$C$4:$C$1362,'Pinlist(S1)'!$F$4:$K$1362,""),_xlfn.LAMBDA(_xlpm.x,IF(_xlpm.x&lt;&gt;"",TRIM(CLEAN(LEFT(_xlpm.x,FIND(".",_xlpm.x &amp; ".")-1))),""))))))</f>
        <v>KA126</v>
      </c>
      <c r="D342">
        <v>31.920999999999999</v>
      </c>
      <c r="E342">
        <v>4.0229999999999997</v>
      </c>
      <c r="F342" t="str">
        <f>_xlfn.LET(_xlpm.raw,_xlfn.XLOOKUP(A342,'Pinlist(S1)'!$C$4:$C$1362,'Pinlist(S1)'!$E$4:$E$1362,""),_xlpm.cleanRaw,SUBSTITUTE(SUBSTITUTE(_xlpm.raw,"_PIN","."),"PIN","."),_xlpm.mainPart,MID(_xlpm.cleanRaw,2,FIND(".",_xlpm.cleanRaw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342" t="str">
        <f>_xlfn.LET(_xlpm.raw,_xlfn.XLOOKUP(A342,'Pinlist(S3)'!$C$4:$C$1362,'Pinlist(S3)'!$E$4:$E$1362,""),_xlpm.cleanRaw,SUBSTITUTE(SUBSTITUTE(_xlpm.raw,"_PIN","."),"PIN","."),_xlpm.mainPart,MID(_xlpm.cleanRaw,2,FIND(".",_xlpm.cleanRaw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503013</v>
      </c>
      <c r="H342" t="str">
        <f>_xlfn.LET(_xlpm.raw,_xlfn.XLOOKUP(A342,'Pinlist(S5)'!$C$4:$C$1362,'Pinlist(S5)'!$E$4:$E$1362,""),_xlpm.cleanRaw,SUBSTITUTE(SUBSTITUTE(_xlpm.raw,"_PIN","."),"PIN","."),_xlpm.mainPart,MID(_xlpm.cleanRaw,2,FIND(".",_xlpm.cleanRaw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709021</v>
      </c>
      <c r="I342" t="str">
        <f>""</f>
        <v/>
      </c>
      <c r="J342" t="str">
        <f t="shared" si="5"/>
        <v>G56;DDI1_TXP[3];KA126;31.921;4.023;604021;503013;709021;</v>
      </c>
    </row>
    <row r="343" spans="1:10">
      <c r="A343" t="s">
        <v>2171</v>
      </c>
      <c r="B343" t="str">
        <f>_xlfn.XLOOKUP(A343,'Pinlist(S1)'!$Q$4:$Q$1362,'Pinlist(S1)'!$R$4:$R$1362,"")</f>
        <v>VSS</v>
      </c>
      <c r="C343" t="str" cm="1">
        <f t="array" ref="C343">_xlfn.TEXTJOIN(",",TRUE,_xlfn.UNIQUE(TRANSPOSE(_xlfn.MAP(_xlfn.XLOOKUP(A343,'Pinlist(S1)'!$C$4:$C$1362,'Pinlist(S1)'!$F$4:$K$1362,""),_xlfn.LAMBDA(_xlpm.x,IF(_xlpm.x&lt;&gt;"",TRIM(CLEAN(LEFT(_xlpm.x,FIND(".",_xlpm.x &amp; ".")-1))),""))))))</f>
        <v/>
      </c>
      <c r="D343">
        <v>32.835000000000001</v>
      </c>
      <c r="E343">
        <v>4.0229999999999997</v>
      </c>
      <c r="F343" t="str">
        <f>_xlfn.LET(_xlpm.raw,_xlfn.XLOOKUP(A343,'Pinlist(S1)'!$C$4:$C$1362,'Pinlist(S1)'!$E$4:$E$1362,""),_xlpm.cleanRaw,SUBSTITUTE(SUBSTITUTE(_xlpm.raw,"_PIN","."),"PIN","."),_xlpm.mainPart,MID(_xlpm.cleanRaw,2,FIND(".",_xlpm.cleanRaw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3" t="str">
        <f>_xlfn.LET(_xlpm.raw,_xlfn.XLOOKUP(A343,'Pinlist(S3)'!$C$4:$C$1362,'Pinlist(S3)'!$E$4:$E$1362,""),_xlpm.cleanRaw,SUBSTITUTE(SUBSTITUTE(_xlpm.raw,"_PIN","."),"PIN","."),_xlpm.mainPart,MID(_xlpm.cleanRaw,2,FIND(".",_xlpm.cleanRaw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3" t="str">
        <f>_xlfn.LET(_xlpm.raw,_xlfn.XLOOKUP(A343,'Pinlist(S5)'!$C$4:$C$1362,'Pinlist(S5)'!$E$4:$E$1362,""),_xlpm.cleanRaw,SUBSTITUTE(SUBSTITUTE(_xlpm.raw,"_PIN","."),"PIN","."),_xlpm.mainPart,MID(_xlpm.cleanRaw,2,FIND(".",_xlpm.cleanRaw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3" t="str">
        <f>""</f>
        <v/>
      </c>
      <c r="J343" t="str">
        <f t="shared" si="5"/>
        <v>G58;VSS;;32.835;4.023;;;;</v>
      </c>
    </row>
    <row r="344" spans="1:10">
      <c r="A344" t="s">
        <v>2173</v>
      </c>
      <c r="B344" t="str">
        <f>_xlfn.XLOOKUP(A344,'Pinlist(S1)'!$Q$4:$Q$1362,'Pinlist(S1)'!$R$4:$R$1362,"")</f>
        <v>VSS</v>
      </c>
      <c r="C344" t="str" cm="1">
        <f t="array" ref="C344">_xlfn.TEXTJOIN(",",TRUE,_xlfn.UNIQUE(TRANSPOSE(_xlfn.MAP(_xlfn.XLOOKUP(A344,'Pinlist(S1)'!$C$4:$C$1362,'Pinlist(S1)'!$F$4:$K$1362,""),_xlfn.LAMBDA(_xlpm.x,IF(_xlpm.x&lt;&gt;"",TRIM(CLEAN(LEFT(_xlpm.x,FIND(".",_xlpm.x &amp; ".")-1))),""))))))</f>
        <v/>
      </c>
      <c r="D344">
        <v>33.75</v>
      </c>
      <c r="E344">
        <v>4.0229999999999997</v>
      </c>
      <c r="F344" t="str">
        <f>_xlfn.LET(_xlpm.raw,_xlfn.XLOOKUP(A344,'Pinlist(S1)'!$C$4:$C$1362,'Pinlist(S1)'!$E$4:$E$1362,""),_xlpm.cleanRaw,SUBSTITUTE(SUBSTITUTE(_xlpm.raw,"_PIN","."),"PIN","."),_xlpm.mainPart,MID(_xlpm.cleanRaw,2,FIND(".",_xlpm.cleanRaw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4" t="str">
        <f>_xlfn.LET(_xlpm.raw,_xlfn.XLOOKUP(A344,'Pinlist(S3)'!$C$4:$C$1362,'Pinlist(S3)'!$E$4:$E$1362,""),_xlpm.cleanRaw,SUBSTITUTE(SUBSTITUTE(_xlpm.raw,"_PIN","."),"PIN","."),_xlpm.mainPart,MID(_xlpm.cleanRaw,2,FIND(".",_xlpm.cleanRaw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4" t="str">
        <f>_xlfn.LET(_xlpm.raw,_xlfn.XLOOKUP(A344,'Pinlist(S5)'!$C$4:$C$1362,'Pinlist(S5)'!$E$4:$E$1362,""),_xlpm.cleanRaw,SUBSTITUTE(SUBSTITUTE(_xlpm.raw,"_PIN","."),"PIN","."),_xlpm.mainPart,MID(_xlpm.cleanRaw,2,FIND(".",_xlpm.cleanRaw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4" t="str">
        <f>""</f>
        <v/>
      </c>
      <c r="J344" t="str">
        <f t="shared" si="5"/>
        <v>G60;VSS;;33.75;4.023;;;;</v>
      </c>
    </row>
    <row r="345" spans="1:10">
      <c r="A345" t="s">
        <v>1530</v>
      </c>
      <c r="B345" t="str">
        <f>_xlfn.XLOOKUP(A345,'Pinlist(S1)'!$Q$4:$Q$1362,'Pinlist(S1)'!$R$4:$R$1362,"")</f>
        <v>VCC_EDRAM_FUSEPRG</v>
      </c>
      <c r="C345" t="str" cm="1">
        <f t="array" ref="C345">_xlfn.TEXTJOIN(",",TRUE,_xlfn.UNIQUE(TRANSPOSE(_xlfn.MAP(_xlfn.XLOOKUP(A345,'Pinlist(S1)'!$C$4:$C$1362,'Pinlist(S1)'!$F$4:$K$1362,""),_xlfn.LAMBDA(_xlpm.x,IF(_xlpm.x&lt;&gt;"",TRIM(CLEAN(LEFT(_xlpm.x,FIND(".",_xlpm.x &amp; ".")-1))),""))))))</f>
        <v/>
      </c>
      <c r="D345">
        <v>34.664000000000001</v>
      </c>
      <c r="E345">
        <v>4.0229999999999997</v>
      </c>
      <c r="F345" t="str">
        <f>_xlfn.LET(_xlpm.raw,_xlfn.XLOOKUP(A345,'Pinlist(S1)'!$C$4:$C$1362,'Pinlist(S1)'!$E$4:$E$1362,""),_xlpm.cleanRaw,SUBSTITUTE(SUBSTITUTE(_xlpm.raw,"_PIN","."),"PIN","."),_xlpm.mainPart,MID(_xlpm.cleanRaw,2,FIND(".",_xlpm.cleanRaw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5" t="str">
        <f>_xlfn.LET(_xlpm.raw,_xlfn.XLOOKUP(A345,'Pinlist(S3)'!$C$4:$C$1362,'Pinlist(S3)'!$E$4:$E$1362,""),_xlpm.cleanRaw,SUBSTITUTE(SUBSTITUTE(_xlpm.raw,"_PIN","."),"PIN","."),_xlpm.mainPart,MID(_xlpm.cleanRaw,2,FIND(".",_xlpm.cleanRaw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5" t="str">
        <f>_xlfn.LET(_xlpm.raw,_xlfn.XLOOKUP(A345,'Pinlist(S5)'!$C$4:$C$1362,'Pinlist(S5)'!$E$4:$E$1362,""),_xlpm.cleanRaw,SUBSTITUTE(SUBSTITUTE(_xlpm.raw,"_PIN","."),"PIN","."),_xlpm.mainPart,MID(_xlpm.cleanRaw,2,FIND(".",_xlpm.cleanRaw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5" t="str">
        <f>""</f>
        <v/>
      </c>
      <c r="J345" t="str">
        <f t="shared" si="5"/>
        <v>G61;VCC_EDRAM_FUSEPRG;;34.664;4.023;;;;</v>
      </c>
    </row>
    <row r="346" spans="1:10">
      <c r="A346" t="s">
        <v>2174</v>
      </c>
      <c r="B346" t="str">
        <f>_xlfn.XLOOKUP(A346,'Pinlist(S1)'!$Q$4:$Q$1362,'Pinlist(S1)'!$R$4:$R$1362,"")</f>
        <v>VSS</v>
      </c>
      <c r="C346" t="str" cm="1">
        <f t="array" ref="C346">_xlfn.TEXTJOIN(",",TRUE,_xlfn.UNIQUE(TRANSPOSE(_xlfn.MAP(_xlfn.XLOOKUP(A346,'Pinlist(S1)'!$C$4:$C$1362,'Pinlist(S1)'!$F$4:$K$1362,""),_xlfn.LAMBDA(_xlpm.x,IF(_xlpm.x&lt;&gt;"",TRIM(CLEAN(LEFT(_xlpm.x,FIND(".",_xlpm.x &amp; ".")-1))),""))))))</f>
        <v/>
      </c>
      <c r="D346">
        <v>35.628999999999998</v>
      </c>
      <c r="E346">
        <v>3.96</v>
      </c>
      <c r="F346" t="str">
        <f>_xlfn.LET(_xlpm.raw,_xlfn.XLOOKUP(A346,'Pinlist(S1)'!$C$4:$C$1362,'Pinlist(S1)'!$E$4:$E$1362,""),_xlpm.cleanRaw,SUBSTITUTE(SUBSTITUTE(_xlpm.raw,"_PIN","."),"PIN","."),_xlpm.mainPart,MID(_xlpm.cleanRaw,2,FIND(".",_xlpm.cleanRaw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6" t="str">
        <f>_xlfn.LET(_xlpm.raw,_xlfn.XLOOKUP(A346,'Pinlist(S3)'!$C$4:$C$1362,'Pinlist(S3)'!$E$4:$E$1362,""),_xlpm.cleanRaw,SUBSTITUTE(SUBSTITUTE(_xlpm.raw,"_PIN","."),"PIN","."),_xlpm.mainPart,MID(_xlpm.cleanRaw,2,FIND(".",_xlpm.cleanRaw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6" t="str">
        <f>_xlfn.LET(_xlpm.raw,_xlfn.XLOOKUP(A346,'Pinlist(S5)'!$C$4:$C$1362,'Pinlist(S5)'!$E$4:$E$1362,""),_xlpm.cleanRaw,SUBSTITUTE(SUBSTITUTE(_xlpm.raw,"_PIN","."),"PIN","."),_xlpm.mainPart,MID(_xlpm.cleanRaw,2,FIND(".",_xlpm.cleanRaw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6" t="str">
        <f>""</f>
        <v/>
      </c>
      <c r="J346" t="str">
        <f t="shared" si="5"/>
        <v>G63;VSS;;35.629;3.96;;;;</v>
      </c>
    </row>
    <row r="347" spans="1:10">
      <c r="A347" t="s">
        <v>749</v>
      </c>
      <c r="B347" t="str">
        <f>_xlfn.XLOOKUP(A347,'Pinlist(S1)'!$Q$4:$Q$1362,'Pinlist(S1)'!$R$4:$R$1362,"")</f>
        <v>EDRAM_THERMDC</v>
      </c>
      <c r="C347" t="str" cm="1">
        <f t="array" ref="C347">_xlfn.TEXTJOIN(",",TRUE,_xlfn.UNIQUE(TRANSPOSE(_xlfn.MAP(_xlfn.XLOOKUP(A347,'Pinlist(S1)'!$C$4:$C$1362,'Pinlist(S1)'!$F$4:$K$1362,""),_xlfn.LAMBDA(_xlpm.x,IF(_xlpm.x&lt;&gt;"",TRIM(CLEAN(LEFT(_xlpm.x,FIND(".",_xlpm.x &amp; ".")-1))),""))))))</f>
        <v/>
      </c>
      <c r="D347">
        <v>36.644999999999897</v>
      </c>
      <c r="E347">
        <v>3.96</v>
      </c>
      <c r="F347" t="str">
        <f>_xlfn.LET(_xlpm.raw,_xlfn.XLOOKUP(A347,'Pinlist(S1)'!$C$4:$C$1362,'Pinlist(S1)'!$E$4:$E$1362,""),_xlpm.cleanRaw,SUBSTITUTE(SUBSTITUTE(_xlpm.raw,"_PIN","."),"PIN","."),_xlpm.mainPart,MID(_xlpm.cleanRaw,2,FIND(".",_xlpm.cleanRaw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7" t="str">
        <f>_xlfn.LET(_xlpm.raw,_xlfn.XLOOKUP(A347,'Pinlist(S3)'!$C$4:$C$1362,'Pinlist(S3)'!$E$4:$E$1362,""),_xlpm.cleanRaw,SUBSTITUTE(SUBSTITUTE(_xlpm.raw,"_PIN","."),"PIN","."),_xlpm.mainPart,MID(_xlpm.cleanRaw,2,FIND(".",_xlpm.cleanRaw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7" t="str">
        <f>_xlfn.LET(_xlpm.raw,_xlfn.XLOOKUP(A347,'Pinlist(S5)'!$C$4:$C$1362,'Pinlist(S5)'!$E$4:$E$1362,""),_xlpm.cleanRaw,SUBSTITUTE(SUBSTITUTE(_xlpm.raw,"_PIN","."),"PIN","."),_xlpm.mainPart,MID(_xlpm.cleanRaw,2,FIND(".",_xlpm.cleanRaw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7" t="str">
        <f>""</f>
        <v/>
      </c>
      <c r="J347" t="str">
        <f t="shared" si="5"/>
        <v>G65;EDRAM_THERMDC;;36.6449999999999;3.96;;;;</v>
      </c>
    </row>
    <row r="348" spans="1:10">
      <c r="A348" t="s">
        <v>2175</v>
      </c>
      <c r="B348" t="str">
        <f>_xlfn.XLOOKUP(A348,'Pinlist(S1)'!$Q$4:$Q$1362,'Pinlist(S1)'!$R$4:$R$1362,"")</f>
        <v>VSS</v>
      </c>
      <c r="C348" t="str" cm="1">
        <f t="array" ref="C348">_xlfn.TEXTJOIN(",",TRUE,_xlfn.UNIQUE(TRANSPOSE(_xlfn.MAP(_xlfn.XLOOKUP(A348,'Pinlist(S1)'!$C$4:$C$1362,'Pinlist(S1)'!$F$4:$K$1362,""),_xlfn.LAMBDA(_xlpm.x,IF(_xlpm.x&lt;&gt;"",TRIM(CLEAN(LEFT(_xlpm.x,FIND(".",_xlpm.x &amp; ".")-1))),""))))))</f>
        <v/>
      </c>
      <c r="D348">
        <v>37.661000000000001</v>
      </c>
      <c r="E348">
        <v>3.96</v>
      </c>
      <c r="F348" t="str">
        <f>_xlfn.LET(_xlpm.raw,_xlfn.XLOOKUP(A348,'Pinlist(S1)'!$C$4:$C$1362,'Pinlist(S1)'!$E$4:$E$1362,""),_xlpm.cleanRaw,SUBSTITUTE(SUBSTITUTE(_xlpm.raw,"_PIN","."),"PIN","."),_xlpm.mainPart,MID(_xlpm.cleanRaw,2,FIND(".",_xlpm.cleanRaw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8" t="str">
        <f>_xlfn.LET(_xlpm.raw,_xlfn.XLOOKUP(A348,'Pinlist(S3)'!$C$4:$C$1362,'Pinlist(S3)'!$E$4:$E$1362,""),_xlpm.cleanRaw,SUBSTITUTE(SUBSTITUTE(_xlpm.raw,"_PIN","."),"PIN","."),_xlpm.mainPart,MID(_xlpm.cleanRaw,2,FIND(".",_xlpm.cleanRaw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8" t="str">
        <f>_xlfn.LET(_xlpm.raw,_xlfn.XLOOKUP(A348,'Pinlist(S5)'!$C$4:$C$1362,'Pinlist(S5)'!$E$4:$E$1362,""),_xlpm.cleanRaw,SUBSTITUTE(SUBSTITUTE(_xlpm.raw,"_PIN","."),"PIN","."),_xlpm.mainPart,MID(_xlpm.cleanRaw,2,FIND(".",_xlpm.cleanRaw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8" t="str">
        <f>""</f>
        <v/>
      </c>
      <c r="J348" t="str">
        <f t="shared" si="5"/>
        <v>G66;VSS;;37.661;3.96;;;;</v>
      </c>
    </row>
    <row r="349" spans="1:10">
      <c r="A349" t="s">
        <v>1168</v>
      </c>
      <c r="B349" t="str">
        <f>_xlfn.XLOOKUP(A349,'Pinlist(S1)'!$Q$4:$Q$1362,'Pinlist(S1)'!$R$4:$R$1362,"")</f>
        <v>NOA_N[11]</v>
      </c>
      <c r="C349" t="str" cm="1">
        <f t="array" ref="C349">_xlfn.TEXTJOIN(",",TRUE,_xlfn.UNIQUE(TRANSPOSE(_xlfn.MAP(_xlfn.XLOOKUP(A349,'Pinlist(S1)'!$C$4:$C$1362,'Pinlist(S1)'!$F$4:$K$1362,""),_xlfn.LAMBDA(_xlpm.x,IF(_xlpm.x&lt;&gt;"",TRIM(CLEAN(LEFT(_xlpm.x,FIND(".",_xlpm.x &amp; ".")-1))),""))))))</f>
        <v>KA128</v>
      </c>
      <c r="D349">
        <v>38.677999999999997</v>
      </c>
      <c r="E349">
        <v>3.6539999999999999</v>
      </c>
      <c r="F349" t="str">
        <f>_xlfn.LET(_xlpm.raw,_xlfn.XLOOKUP(A349,'Pinlist(S1)'!$C$4:$C$1362,'Pinlist(S1)'!$E$4:$E$1362,""),_xlpm.cleanRaw,SUBSTITUTE(SUBSTITUTE(_xlpm.raw,"_PIN","."),"PIN","."),_xlpm.mainPart,MID(_xlpm.cleanRaw,2,FIND(".",_xlpm.cleanRaw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349" t="str">
        <f>_xlfn.LET(_xlpm.raw,_xlfn.XLOOKUP(A349,'Pinlist(S3)'!$C$4:$C$1362,'Pinlist(S3)'!$E$4:$E$1362,""),_xlpm.cleanRaw,SUBSTITUTE(SUBSTITUTE(_xlpm.raw,"_PIN","."),"PIN","."),_xlpm.mainPart,MID(_xlpm.cleanRaw,2,FIND(".",_xlpm.cleanRaw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503026</v>
      </c>
      <c r="H349" t="str">
        <f>_xlfn.LET(_xlpm.raw,_xlfn.XLOOKUP(A349,'Pinlist(S5)'!$C$4:$C$1362,'Pinlist(S5)'!$E$4:$E$1362,""),_xlpm.cleanRaw,SUBSTITUTE(SUBSTITUTE(_xlpm.raw,"_PIN","."),"PIN","."),_xlpm.mainPart,MID(_xlpm.cleanRaw,2,FIND(".",_xlpm.cleanRaw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709001</v>
      </c>
      <c r="I349" t="str">
        <f>""</f>
        <v/>
      </c>
      <c r="J349" t="str">
        <f t="shared" si="5"/>
        <v>G68;NOA_N[11];KA128;38.678;3.654;604023;503026;709001;</v>
      </c>
    </row>
    <row r="350" spans="1:10">
      <c r="A350" t="s">
        <v>1192</v>
      </c>
      <c r="B350" t="str">
        <f>_xlfn.XLOOKUP(A350,'Pinlist(S1)'!$Q$4:$Q$1362,'Pinlist(S1)'!$R$4:$R$1362,"")</f>
        <v>NOA_N[9]</v>
      </c>
      <c r="C350" t="str" cm="1">
        <f t="array" ref="C350">_xlfn.TEXTJOIN(",",TRUE,_xlfn.UNIQUE(TRANSPOSE(_xlfn.MAP(_xlfn.XLOOKUP(A350,'Pinlist(S1)'!$C$4:$C$1362,'Pinlist(S1)'!$F$4:$K$1362,""),_xlfn.LAMBDA(_xlpm.x,IF(_xlpm.x&lt;&gt;"",TRIM(CLEAN(LEFT(_xlpm.x,FIND(".",_xlpm.x &amp; ".")-1))),""))))))</f>
        <v>KA126</v>
      </c>
      <c r="D350">
        <v>39.328000000000003</v>
      </c>
      <c r="E350">
        <v>3.6539999999999999</v>
      </c>
      <c r="F350" t="str">
        <f>_xlfn.LET(_xlpm.raw,_xlfn.XLOOKUP(A350,'Pinlist(S1)'!$C$4:$C$1362,'Pinlist(S1)'!$E$4:$E$1362,""),_xlpm.cleanRaw,SUBSTITUTE(SUBSTITUTE(_xlpm.raw,"_PIN","."),"PIN","."),_xlpm.mainPart,MID(_xlpm.cleanRaw,2,FIND(".",_xlpm.cleanRaw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350" t="str">
        <f>_xlfn.LET(_xlpm.raw,_xlfn.XLOOKUP(A350,'Pinlist(S3)'!$C$4:$C$1362,'Pinlist(S3)'!$E$4:$E$1362,""),_xlpm.cleanRaw,SUBSTITUTE(SUBSTITUTE(_xlpm.raw,"_PIN","."),"PIN","."),_xlpm.mainPart,MID(_xlpm.cleanRaw,2,FIND(".",_xlpm.cleanRaw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503013</v>
      </c>
      <c r="H350" t="str">
        <f>_xlfn.LET(_xlpm.raw,_xlfn.XLOOKUP(A350,'Pinlist(S5)'!$C$4:$C$1362,'Pinlist(S5)'!$E$4:$E$1362,""),_xlpm.cleanRaw,SUBSTITUTE(SUBSTITUTE(_xlpm.raw,"_PIN","."),"PIN","."),_xlpm.mainPart,MID(_xlpm.cleanRaw,2,FIND(".",_xlpm.cleanRaw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709021</v>
      </c>
      <c r="I350" t="str">
        <f>""</f>
        <v/>
      </c>
      <c r="J350" t="str">
        <f t="shared" si="5"/>
        <v>G69;NOA_N[9];KA126;39.328;3.654;604021;503013;709021;</v>
      </c>
    </row>
    <row r="351" spans="1:10">
      <c r="A351" t="s">
        <v>1176</v>
      </c>
      <c r="B351" t="str">
        <f>_xlfn.XLOOKUP(A351,'Pinlist(S1)'!$Q$4:$Q$1362,'Pinlist(S1)'!$R$4:$R$1362,"")</f>
        <v>NOA_N[15]</v>
      </c>
      <c r="C351" t="str" cm="1">
        <f t="array" ref="C351">_xlfn.TEXTJOIN(",",TRUE,_xlfn.UNIQUE(TRANSPOSE(_xlfn.MAP(_xlfn.XLOOKUP(A351,'Pinlist(S1)'!$C$4:$C$1362,'Pinlist(S1)'!$F$4:$K$1362,""),_xlfn.LAMBDA(_xlpm.x,IF(_xlpm.x&lt;&gt;"",TRIM(CLEAN(LEFT(_xlpm.x,FIND(".",_xlpm.x &amp; ".")-1))),""))))))</f>
        <v>KA128</v>
      </c>
      <c r="D351">
        <v>39.978000000000002</v>
      </c>
      <c r="E351">
        <v>3.5549999999999899</v>
      </c>
      <c r="F351" t="str">
        <f>_xlfn.LET(_xlpm.raw,_xlfn.XLOOKUP(A351,'Pinlist(S1)'!$C$4:$C$1362,'Pinlist(S1)'!$E$4:$E$1362,""),_xlpm.cleanRaw,SUBSTITUTE(SUBSTITUTE(_xlpm.raw,"_PIN","."),"PIN","."),_xlpm.mainPart,MID(_xlpm.cleanRaw,2,FIND(".",_xlpm.cleanRaw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351" t="str">
        <f>_xlfn.LET(_xlpm.raw,_xlfn.XLOOKUP(A351,'Pinlist(S3)'!$C$4:$C$1362,'Pinlist(S3)'!$E$4:$E$1362,""),_xlpm.cleanRaw,SUBSTITUTE(SUBSTITUTE(_xlpm.raw,"_PIN","."),"PIN","."),_xlpm.mainPart,MID(_xlpm.cleanRaw,2,FIND(".",_xlpm.cleanRaw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503024</v>
      </c>
      <c r="H351" t="str">
        <f>_xlfn.LET(_xlpm.raw,_xlfn.XLOOKUP(A351,'Pinlist(S5)'!$C$4:$C$1362,'Pinlist(S5)'!$E$4:$E$1362,""),_xlpm.cleanRaw,SUBSTITUTE(SUBSTITUTE(_xlpm.raw,"_PIN","."),"PIN","."),_xlpm.mainPart,MID(_xlpm.cleanRaw,2,FIND(".",_xlpm.cleanRaw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709002</v>
      </c>
      <c r="I351" t="str">
        <f>""</f>
        <v/>
      </c>
      <c r="J351" t="str">
        <f t="shared" si="5"/>
        <v>G70;NOA_N[15];KA128;39.978;3.55499999999999;604025;503024;709002;</v>
      </c>
    </row>
    <row r="352" spans="1:10">
      <c r="A352" t="s">
        <v>1172</v>
      </c>
      <c r="B352" t="str">
        <f>_xlfn.XLOOKUP(A352,'Pinlist(S1)'!$Q$4:$Q$1362,'Pinlist(S1)'!$R$4:$R$1362,"")</f>
        <v>NOA_N[13]</v>
      </c>
      <c r="C352" t="str" cm="1">
        <f t="array" ref="C352">_xlfn.TEXTJOIN(",",TRUE,_xlfn.UNIQUE(TRANSPOSE(_xlfn.MAP(_xlfn.XLOOKUP(A352,'Pinlist(S1)'!$C$4:$C$1362,'Pinlist(S1)'!$F$4:$K$1362,""),_xlfn.LAMBDA(_xlpm.x,IF(_xlpm.x&lt;&gt;"",TRIM(CLEAN(LEFT(_xlpm.x,FIND(".",_xlpm.x &amp; ".")-1))),""))))))</f>
        <v>KA130</v>
      </c>
      <c r="D352">
        <v>40.628</v>
      </c>
      <c r="E352">
        <v>3.5549999999999899</v>
      </c>
      <c r="F352" t="str">
        <f>_xlfn.LET(_xlpm.raw,_xlfn.XLOOKUP(A352,'Pinlist(S1)'!$C$4:$C$1362,'Pinlist(S1)'!$E$4:$E$1362,""),_xlpm.cleanRaw,SUBSTITUTE(SUBSTITUTE(_xlpm.raw,"_PIN","."),"PIN","."),_xlpm.mainPart,MID(_xlpm.cleanRaw,2,FIND(".",_xlpm.cleanRaw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352" t="str">
        <f>_xlfn.LET(_xlpm.raw,_xlfn.XLOOKUP(A352,'Pinlist(S3)'!$C$4:$C$1362,'Pinlist(S3)'!$E$4:$E$1362,""),_xlpm.cleanRaw,SUBSTITUTE(SUBSTITUTE(_xlpm.raw,"_PIN","."),"PIN","."),_xlpm.mainPart,MID(_xlpm.cleanRaw,2,FIND(".",_xlpm.cleanRaw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503031</v>
      </c>
      <c r="H352" t="str">
        <f>_xlfn.LET(_xlpm.raw,_xlfn.XLOOKUP(A352,'Pinlist(S5)'!$C$4:$C$1362,'Pinlist(S5)'!$E$4:$E$1362,""),_xlpm.cleanRaw,SUBSTITUTE(SUBSTITUTE(_xlpm.raw,"_PIN","."),"PIN","."),_xlpm.mainPart,MID(_xlpm.cleanRaw,2,FIND(".",_xlpm.cleanRaw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I352" t="str">
        <f>""</f>
        <v/>
      </c>
      <c r="J352" t="str">
        <f t="shared" si="5"/>
        <v>G71;NOA_N[13];KA130;40.628;3.55499999999999;604020;503031;709030;</v>
      </c>
    </row>
    <row r="353" spans="1:10">
      <c r="A353" t="s">
        <v>1034</v>
      </c>
      <c r="B353" t="str">
        <f>_xlfn.XLOOKUP(A353,'Pinlist(S1)'!$Q$4:$Q$1362,'Pinlist(S1)'!$R$4:$R$1362,"")</f>
        <v>GPP_E_8_SATA_LEDB</v>
      </c>
      <c r="C353" t="str" cm="1">
        <f t="array" ref="C353">_xlfn.TEXTJOIN(",",TRUE,_xlfn.UNIQUE(TRANSPOSE(_xlfn.MAP(_xlfn.XLOOKUP(A353,'Pinlist(S1)'!$C$4:$C$1362,'Pinlist(S1)'!$F$4:$K$1362,""),_xlfn.LAMBDA(_xlpm.x,IF(_xlpm.x&lt;&gt;"",TRIM(CLEAN(LEFT(_xlpm.x,FIND(".",_xlpm.x &amp; ".")-1))),""))))))</f>
        <v/>
      </c>
      <c r="D353">
        <v>0.32500000000000201</v>
      </c>
      <c r="E353">
        <v>4.1739999999999897</v>
      </c>
      <c r="F353" t="str">
        <f>_xlfn.LET(_xlpm.raw,_xlfn.XLOOKUP(A353,'Pinlist(S1)'!$C$4:$C$1362,'Pinlist(S1)'!$E$4:$E$1362,""),_xlpm.cleanRaw,SUBSTITUTE(SUBSTITUTE(_xlpm.raw,"_PIN","."),"PIN","."),_xlpm.mainPart,MID(_xlpm.cleanRaw,2,FIND(".",_xlpm.cleanRaw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504124</v>
      </c>
      <c r="G353" t="str">
        <f>_xlfn.LET(_xlpm.raw,_xlfn.XLOOKUP(A353,'Pinlist(S3)'!$C$4:$C$1362,'Pinlist(S3)'!$E$4:$E$1362,""),_xlpm.cleanRaw,SUBSTITUTE(SUBSTITUTE(_xlpm.raw,"_PIN","."),"PIN","."),_xlpm.mainPart,MID(_xlpm.cleanRaw,2,FIND(".",_xlpm.cleanRaw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809116</v>
      </c>
      <c r="H353" t="str">
        <f>_xlfn.LET(_xlpm.raw,_xlfn.XLOOKUP(A353,'Pinlist(S5)'!$C$4:$C$1362,'Pinlist(S5)'!$E$4:$E$1362,""),_xlpm.cleanRaw,SUBSTITUTE(SUBSTITUTE(_xlpm.raw,"_PIN","."),"PIN","."),_xlpm.mainPart,MID(_xlpm.cleanRaw,2,FIND(".",_xlpm.cleanRaw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603116</v>
      </c>
      <c r="I353" t="str">
        <f>""</f>
        <v/>
      </c>
      <c r="J353" t="str">
        <f t="shared" si="5"/>
        <v>H1;GPP_E_8_SATA_LEDB;;0.325000000000002;4.17399999999999;504124;809116;603116;</v>
      </c>
    </row>
    <row r="354" spans="1:10">
      <c r="A354" t="s">
        <v>987</v>
      </c>
      <c r="B354" t="str">
        <f>_xlfn.XLOOKUP(A354,'Pinlist(S1)'!$Q$4:$Q$1362,'Pinlist(S1)'!$R$4:$R$1362,"")</f>
        <v>GPP_E_0_SATAXPCIE_0_SATAGP_0</v>
      </c>
      <c r="C354" t="str" cm="1">
        <f t="array" ref="C354">_xlfn.TEXTJOIN(",",TRUE,_xlfn.UNIQUE(TRANSPOSE(_xlfn.MAP(_xlfn.XLOOKUP(A354,'Pinlist(S1)'!$C$4:$C$1362,'Pinlist(S1)'!$F$4:$K$1362,""),_xlfn.LAMBDA(_xlpm.x,IF(_xlpm.x&lt;&gt;"",TRIM(CLEAN(LEFT(_xlpm.x,FIND(".",_xlpm.x &amp; ".")-1))),""))))))</f>
        <v/>
      </c>
      <c r="D354">
        <v>0.97500000000000098</v>
      </c>
      <c r="E354">
        <v>4.1739999999999897</v>
      </c>
      <c r="F354" t="str">
        <f>_xlfn.LET(_xlpm.raw,_xlfn.XLOOKUP(A354,'Pinlist(S1)'!$C$4:$C$1362,'Pinlist(S1)'!$E$4:$E$1362,""),_xlpm.cleanRaw,SUBSTITUTE(SUBSTITUTE(_xlpm.raw,"_PIN","."),"PIN","."),_xlpm.mainPart,MID(_xlpm.cleanRaw,2,FIND(".",_xlpm.cleanRaw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505071</v>
      </c>
      <c r="G354" t="str">
        <f>_xlfn.LET(_xlpm.raw,_xlfn.XLOOKUP(A354,'Pinlist(S3)'!$C$4:$C$1362,'Pinlist(S3)'!$E$4:$E$1362,""),_xlpm.cleanRaw,SUBSTITUTE(SUBSTITUTE(_xlpm.raw,"_PIN","."),"PIN","."),_xlpm.mainPart,MID(_xlpm.cleanRaw,2,FIND(".",_xlpm.cleanRaw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808067</v>
      </c>
      <c r="H354" t="str">
        <f>_xlfn.LET(_xlpm.raw,_xlfn.XLOOKUP(A354,'Pinlist(S5)'!$C$4:$C$1362,'Pinlist(S5)'!$E$4:$E$1362,""),_xlpm.cleanRaw,SUBSTITUTE(SUBSTITUTE(_xlpm.raw,"_PIN","."),"PIN","."),_xlpm.mainPart,MID(_xlpm.cleanRaw,2,FIND(".",_xlpm.cleanRaw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602057</v>
      </c>
      <c r="I354" t="str">
        <f>""</f>
        <v/>
      </c>
      <c r="J354" t="str">
        <f t="shared" si="5"/>
        <v>H2;GPP_E_0_SATAXPCIE_0_SATAGP_0;;0.975000000000001;4.17399999999999;505071;808067;602057;</v>
      </c>
    </row>
    <row r="355" spans="1:10">
      <c r="A355" t="s">
        <v>989</v>
      </c>
      <c r="B355" t="str">
        <f>_xlfn.XLOOKUP(A355,'Pinlist(S1)'!$Q$4:$Q$1362,'Pinlist(S1)'!$R$4:$R$1362,"")</f>
        <v>GPP_E_1_SATAXPCIE_1_SATAGP_1</v>
      </c>
      <c r="C355" t="str" cm="1">
        <f t="array" ref="C355">_xlfn.TEXTJOIN(",",TRUE,_xlfn.UNIQUE(TRANSPOSE(_xlfn.MAP(_xlfn.XLOOKUP(A355,'Pinlist(S1)'!$C$4:$C$1362,'Pinlist(S1)'!$F$4:$K$1362,""),_xlfn.LAMBDA(_xlpm.x,IF(_xlpm.x&lt;&gt;"",TRIM(CLEAN(LEFT(_xlpm.x,FIND(".",_xlpm.x &amp; ".")-1))),""))))))</f>
        <v/>
      </c>
      <c r="D355">
        <v>1.625</v>
      </c>
      <c r="E355">
        <v>4.1739999999999897</v>
      </c>
      <c r="F355" t="str">
        <f>_xlfn.LET(_xlpm.raw,_xlfn.XLOOKUP(A355,'Pinlist(S1)'!$C$4:$C$1362,'Pinlist(S1)'!$E$4:$E$1362,""),_xlpm.cleanRaw,SUBSTITUTE(SUBSTITUTE(_xlpm.raw,"_PIN","."),"PIN","."),_xlpm.mainPart,MID(_xlpm.cleanRaw,2,FIND(".",_xlpm.cleanRaw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505052</v>
      </c>
      <c r="G355" t="str">
        <f>_xlfn.LET(_xlpm.raw,_xlfn.XLOOKUP(A355,'Pinlist(S3)'!$C$4:$C$1362,'Pinlist(S3)'!$E$4:$E$1362,""),_xlpm.cleanRaw,SUBSTITUTE(SUBSTITUTE(_xlpm.raw,"_PIN","."),"PIN","."),_xlpm.mainPart,MID(_xlpm.cleanRaw,2,FIND(".",_xlpm.cleanRaw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808058</v>
      </c>
      <c r="H355" t="str">
        <f>_xlfn.LET(_xlpm.raw,_xlfn.XLOOKUP(A355,'Pinlist(S5)'!$C$4:$C$1362,'Pinlist(S5)'!$E$4:$E$1362,""),_xlpm.cleanRaw,SUBSTITUTE(SUBSTITUTE(_xlpm.raw,"_PIN","."),"PIN","."),_xlpm.mainPart,MID(_xlpm.cleanRaw,2,FIND(".",_xlpm.cleanRaw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601010</v>
      </c>
      <c r="I355" t="str">
        <f>""</f>
        <v/>
      </c>
      <c r="J355" t="str">
        <f t="shared" si="5"/>
        <v>H3;GPP_E_1_SATAXPCIE_1_SATAGP_1;;1.625;4.17399999999999;505052;808058;601010;</v>
      </c>
    </row>
    <row r="356" spans="1:10">
      <c r="A356" t="s">
        <v>961</v>
      </c>
      <c r="B356" t="str">
        <f>_xlfn.XLOOKUP(A356,'Pinlist(S1)'!$Q$4:$Q$1362,'Pinlist(S1)'!$R$4:$R$1362,"")</f>
        <v>GPP_D_19_DMIC_CLK_0</v>
      </c>
      <c r="C356" t="str" cm="1">
        <f t="array" ref="C356">_xlfn.TEXTJOIN(",",TRUE,_xlfn.UNIQUE(TRANSPOSE(_xlfn.MAP(_xlfn.XLOOKUP(A356,'Pinlist(S1)'!$C$4:$C$1362,'Pinlist(S1)'!$F$4:$K$1362,""),_xlfn.LAMBDA(_xlpm.x,IF(_xlpm.x&lt;&gt;"",TRIM(CLEAN(LEFT(_xlpm.x,FIND(".",_xlpm.x &amp; ".")-1))),""))))))</f>
        <v/>
      </c>
      <c r="D356">
        <v>2.6599999999999899</v>
      </c>
      <c r="E356">
        <v>4.673</v>
      </c>
      <c r="F356" t="str">
        <f>_xlfn.LET(_xlpm.raw,_xlfn.XLOOKUP(A356,'Pinlist(S1)'!$C$4:$C$1362,'Pinlist(S1)'!$E$4:$E$1362,""),_xlpm.cleanRaw,SUBSTITUTE(SUBSTITUTE(_xlpm.raw,"_PIN","."),"PIN","."),_xlpm.mainPart,MID(_xlpm.cleanRaw,2,FIND(".",_xlpm.cleanRaw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505048</v>
      </c>
      <c r="G356" t="str">
        <f>_xlfn.LET(_xlpm.raw,_xlfn.XLOOKUP(A356,'Pinlist(S3)'!$C$4:$C$1362,'Pinlist(S3)'!$E$4:$E$1362,""),_xlpm.cleanRaw,SUBSTITUTE(SUBSTITUTE(_xlpm.raw,"_PIN","."),"PIN","."),_xlpm.mainPart,MID(_xlpm.cleanRaw,2,FIND(".",_xlpm.cleanRaw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808069</v>
      </c>
      <c r="H356" t="str">
        <f>_xlfn.LET(_xlpm.raw,_xlfn.XLOOKUP(A356,'Pinlist(S5)'!$C$4:$C$1362,'Pinlist(S5)'!$E$4:$E$1362,""),_xlpm.cleanRaw,SUBSTITUTE(SUBSTITUTE(_xlpm.raw,"_PIN","."),"PIN","."),_xlpm.mainPart,MID(_xlpm.cleanRaw,2,FIND(".",_xlpm.cleanRaw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602048</v>
      </c>
      <c r="I356" t="str">
        <f>""</f>
        <v/>
      </c>
      <c r="J356" t="str">
        <f t="shared" si="5"/>
        <v>H5;GPP_D_19_DMIC_CLK_0;;2.65999999999999;4.673;505048;808069;602048;</v>
      </c>
    </row>
    <row r="357" spans="1:10">
      <c r="A357" t="s">
        <v>1504</v>
      </c>
      <c r="B357" t="str">
        <f>_xlfn.XLOOKUP(A357,'Pinlist(S1)'!$Q$4:$Q$1362,'Pinlist(S1)'!$R$4:$R$1362,"")</f>
        <v>USB3_2_SSIC_1_RXP</v>
      </c>
      <c r="C357" t="str" cm="1">
        <f t="array" ref="C357">_xlfn.TEXTJOIN(",",TRUE,_xlfn.UNIQUE(TRANSPOSE(_xlfn.MAP(_xlfn.XLOOKUP(A357,'Pinlist(S1)'!$C$4:$C$1362,'Pinlist(S1)'!$F$4:$K$1362,""),_xlfn.LAMBDA(_xlpm.x,IF(_xlpm.x&lt;&gt;"",TRIM(CLEAN(LEFT(_xlpm.x,FIND(".",_xlpm.x &amp; ".")-1))),""))))))</f>
        <v>KA514,LA528</v>
      </c>
      <c r="D357">
        <v>3.5739999999999901</v>
      </c>
      <c r="E357">
        <v>4.673</v>
      </c>
      <c r="F357" t="str">
        <f>_xlfn.LET(_xlpm.raw,_xlfn.XLOOKUP(A357,'Pinlist(S1)'!$C$4:$C$1362,'Pinlist(S1)'!$E$4:$E$1362,""),_xlpm.cleanRaw,SUBSTITUTE(SUBSTITUTE(_xlpm.raw,"_PIN","."),"PIN","."),_xlpm.mainPart,MID(_xlpm.cleanRaw,2,FIND(".",_xlpm.cleanRaw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G357" t="str">
        <f>_xlfn.LET(_xlpm.raw,_xlfn.XLOOKUP(A357,'Pinlist(S3)'!$C$4:$C$1362,'Pinlist(S3)'!$E$4:$E$1362,""),_xlpm.cleanRaw,SUBSTITUTE(SUBSTITUTE(_xlpm.raw,"_PIN","."),"PIN","."),_xlpm.mainPart,MID(_xlpm.cleanRaw,2,FIND(".",_xlpm.cleanRaw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357" t="str">
        <f>_xlfn.LET(_xlpm.raw,_xlfn.XLOOKUP(A357,'Pinlist(S5)'!$C$4:$C$1362,'Pinlist(S5)'!$E$4:$E$1362,""),_xlpm.cleanRaw,SUBSTITUTE(SUBSTITUTE(_xlpm.raw,"_PIN","."),"PIN","."),_xlpm.mainPart,MID(_xlpm.cleanRaw,2,FIND(".",_xlpm.cleanRaw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I357" t="str">
        <f>""</f>
        <v/>
      </c>
      <c r="J357" t="str">
        <f t="shared" si="5"/>
        <v>H6;USB3_2_SSIC_1_RXP;KA514,LA528;3.57399999999999;4.673;506031;807027;603096;</v>
      </c>
    </row>
    <row r="358" spans="1:10">
      <c r="A358" t="s">
        <v>1494</v>
      </c>
      <c r="B358" t="str">
        <f>_xlfn.XLOOKUP(A358,'Pinlist(S1)'!$Q$4:$Q$1362,'Pinlist(S1)'!$R$4:$R$1362,"")</f>
        <v>USB3_1_RXN</v>
      </c>
      <c r="C358" t="str" cm="1">
        <f t="array" ref="C358">_xlfn.TEXTJOIN(",",TRUE,_xlfn.UNIQUE(TRANSPOSE(_xlfn.MAP(_xlfn.XLOOKUP(A358,'Pinlist(S1)'!$C$4:$C$1362,'Pinlist(S1)'!$F$4:$K$1362,""),_xlfn.LAMBDA(_xlpm.x,IF(_xlpm.x&lt;&gt;"",TRIM(CLEAN(LEFT(_xlpm.x,FIND(".",_xlpm.x &amp; ".")-1))),""))))))</f>
        <v>KA513,LA525</v>
      </c>
      <c r="D358">
        <v>4.4889999999999999</v>
      </c>
      <c r="E358">
        <v>4.673</v>
      </c>
      <c r="F358" t="str">
        <f>_xlfn.LET(_xlpm.raw,_xlfn.XLOOKUP(A358,'Pinlist(S1)'!$C$4:$C$1362,'Pinlist(S1)'!$E$4:$E$1362,""),_xlpm.cleanRaw,SUBSTITUTE(SUBSTITUTE(_xlpm.raw,"_PIN","."),"PIN","."),_xlpm.mainPart,MID(_xlpm.cleanRaw,2,FIND(".",_xlpm.cleanRaw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G358" t="str">
        <f>_xlfn.LET(_xlpm.raw,_xlfn.XLOOKUP(A358,'Pinlist(S3)'!$C$4:$C$1362,'Pinlist(S3)'!$E$4:$E$1362,""),_xlpm.cleanRaw,SUBSTITUTE(SUBSTITUTE(_xlpm.raw,"_PIN","."),"PIN","."),_xlpm.mainPart,MID(_xlpm.cleanRaw,2,FIND(".",_xlpm.cleanRaw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807036</v>
      </c>
      <c r="H358" t="str">
        <f>_xlfn.LET(_xlpm.raw,_xlfn.XLOOKUP(A358,'Pinlist(S5)'!$C$4:$C$1362,'Pinlist(S5)'!$E$4:$E$1362,""),_xlpm.cleanRaw,SUBSTITUTE(SUBSTITUTE(_xlpm.raw,"_PIN","."),"PIN","."),_xlpm.mainPart,MID(_xlpm.cleanRaw,2,FIND(".",_xlpm.cleanRaw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I358" t="str">
        <f>""</f>
        <v/>
      </c>
      <c r="J358" t="str">
        <f t="shared" si="5"/>
        <v>H8;USB3_1_RXN;KA513,LA525;4.489;4.673;506029;807036;603094;</v>
      </c>
    </row>
    <row r="359" spans="1:10">
      <c r="A359" t="s">
        <v>1512</v>
      </c>
      <c r="B359" t="str">
        <f>_xlfn.XLOOKUP(A359,'Pinlist(S1)'!$Q$4:$Q$1362,'Pinlist(S1)'!$R$4:$R$1362,"")</f>
        <v>USB3_3_SSIC_2_RXP</v>
      </c>
      <c r="C359" t="str" cm="1">
        <f t="array" ref="C359">_xlfn.TEXTJOIN(",",TRUE,_xlfn.UNIQUE(TRANSPOSE(_xlfn.MAP(_xlfn.XLOOKUP(A359,'Pinlist(S1)'!$C$4:$C$1362,'Pinlist(S1)'!$F$4:$K$1362,""),_xlfn.LAMBDA(_xlpm.x,IF(_xlpm.x&lt;&gt;"",TRIM(CLEAN(LEFT(_xlpm.x,FIND(".",_xlpm.x &amp; ".")-1))),""))))))</f>
        <v>KA515,LA530</v>
      </c>
      <c r="D359">
        <v>5.4029999999999898</v>
      </c>
      <c r="E359">
        <v>4.673</v>
      </c>
      <c r="F359" t="str">
        <f>_xlfn.LET(_xlpm.raw,_xlfn.XLOOKUP(A359,'Pinlist(S1)'!$C$4:$C$1362,'Pinlist(S1)'!$E$4:$E$1362,""),_xlpm.cleanRaw,SUBSTITUTE(SUBSTITUTE(_xlpm.raw,"_PIN","."),"PIN","."),_xlpm.mainPart,MID(_xlpm.cleanRaw,2,FIND(".",_xlpm.cleanRaw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G359" t="str">
        <f>_xlfn.LET(_xlpm.raw,_xlfn.XLOOKUP(A359,'Pinlist(S3)'!$C$4:$C$1362,'Pinlist(S3)'!$E$4:$E$1362,""),_xlpm.cleanRaw,SUBSTITUTE(SUBSTITUTE(_xlpm.raw,"_PIN","."),"PIN","."),_xlpm.mainPart,MID(_xlpm.cleanRaw,2,FIND(".",_xlpm.cleanRaw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807039</v>
      </c>
      <c r="H359" t="str">
        <f>_xlfn.LET(_xlpm.raw,_xlfn.XLOOKUP(A359,'Pinlist(S5)'!$C$4:$C$1362,'Pinlist(S5)'!$E$4:$E$1362,""),_xlpm.cleanRaw,SUBSTITUTE(SUBSTITUTE(_xlpm.raw,"_PIN","."),"PIN","."),_xlpm.mainPart,MID(_xlpm.cleanRaw,2,FIND(".",_xlpm.cleanRaw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I359" t="str">
        <f>""</f>
        <v/>
      </c>
      <c r="J359" t="str">
        <f t="shared" si="5"/>
        <v>H10;USB3_3_SSIC_2_RXP;KA515,LA530;5.40299999999999;4.673;504092;807039;603101;</v>
      </c>
    </row>
    <row r="360" spans="1:10">
      <c r="A360" t="s">
        <v>1396</v>
      </c>
      <c r="B360" t="str">
        <f>_xlfn.XLOOKUP(A360,'Pinlist(S1)'!$Q$4:$Q$1362,'Pinlist(S1)'!$R$4:$R$1362,"")</f>
        <v>SPARE_8</v>
      </c>
      <c r="C360" t="str" cm="1">
        <f t="array" ref="C360">_xlfn.TEXTJOIN(",",TRUE,_xlfn.UNIQUE(TRANSPOSE(_xlfn.MAP(_xlfn.XLOOKUP(A360,'Pinlist(S1)'!$C$4:$C$1362,'Pinlist(S1)'!$F$4:$K$1362,""),_xlfn.LAMBDA(_xlpm.x,IF(_xlpm.x&lt;&gt;"",TRIM(CLEAN(LEFT(_xlpm.x,FIND(".",_xlpm.x &amp; ".")-1))),""))))))</f>
        <v/>
      </c>
      <c r="D360">
        <v>6.3179999999999898</v>
      </c>
      <c r="E360">
        <v>4.673</v>
      </c>
      <c r="F360" t="str">
        <f>_xlfn.LET(_xlpm.raw,_xlfn.XLOOKUP(A360,'Pinlist(S1)'!$C$4:$C$1362,'Pinlist(S1)'!$E$4:$E$1362,""),_xlpm.cleanRaw,SUBSTITUTE(SUBSTITUTE(_xlpm.raw,"_PIN","."),"PIN","."),_xlpm.mainPart,MID(_xlpm.cleanRaw,2,FIND(".",_xlpm.cleanRaw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0" t="str">
        <f>_xlfn.LET(_xlpm.raw,_xlfn.XLOOKUP(A360,'Pinlist(S3)'!$C$4:$C$1362,'Pinlist(S3)'!$E$4:$E$1362,""),_xlpm.cleanRaw,SUBSTITUTE(SUBSTITUTE(_xlpm.raw,"_PIN","."),"PIN","."),_xlpm.mainPart,MID(_xlpm.cleanRaw,2,FIND(".",_xlpm.cleanRaw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0" t="str">
        <f>_xlfn.LET(_xlpm.raw,_xlfn.XLOOKUP(A360,'Pinlist(S5)'!$C$4:$C$1362,'Pinlist(S5)'!$E$4:$E$1362,""),_xlpm.cleanRaw,SUBSTITUTE(SUBSTITUTE(_xlpm.raw,"_PIN","."),"PIN","."),_xlpm.mainPart,MID(_xlpm.cleanRaw,2,FIND(".",_xlpm.cleanRaw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0" t="str">
        <f>""</f>
        <v/>
      </c>
      <c r="J360" t="str">
        <f t="shared" si="5"/>
        <v>H11;SPARE_8;;6.31799999999999;4.673;;;;</v>
      </c>
    </row>
    <row r="361" spans="1:10">
      <c r="A361" t="s">
        <v>1222</v>
      </c>
      <c r="B361" t="str">
        <f>_xlfn.XLOOKUP(A361,'Pinlist(S1)'!$Q$4:$Q$1362,'Pinlist(S1)'!$R$4:$R$1362,"")</f>
        <v>PCIE_1_USB3_5_RXN</v>
      </c>
      <c r="C361" t="str" cm="1">
        <f t="array" ref="C361">_xlfn.TEXTJOIN(",",TRUE,_xlfn.UNIQUE(TRANSPOSE(_xlfn.MAP(_xlfn.XLOOKUP(A361,'Pinlist(S1)'!$C$4:$C$1362,'Pinlist(S1)'!$F$4:$K$1362,""),_xlfn.LAMBDA(_xlpm.x,IF(_xlpm.x&lt;&gt;"",TRIM(CLEAN(LEFT(_xlpm.x,FIND(".",_xlpm.x &amp; ".")-1))),""))))))</f>
        <v>KA501,LA501</v>
      </c>
      <c r="D361">
        <v>7.2319999999999904</v>
      </c>
      <c r="E361">
        <v>4.673</v>
      </c>
      <c r="F361" t="str">
        <f>_xlfn.LET(_xlpm.raw,_xlfn.XLOOKUP(A361,'Pinlist(S1)'!$C$4:$C$1362,'Pinlist(S1)'!$E$4:$E$1362,""),_xlpm.cleanRaw,SUBSTITUTE(SUBSTITUTE(_xlpm.raw,"_PIN","."),"PIN","."),_xlpm.mainPart,MID(_xlpm.cleanRaw,2,FIND(".",_xlpm.cleanRaw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G361" t="str">
        <f>_xlfn.LET(_xlpm.raw,_xlfn.XLOOKUP(A361,'Pinlist(S3)'!$C$4:$C$1362,'Pinlist(S3)'!$E$4:$E$1362,""),_xlpm.cleanRaw,SUBSTITUTE(SUBSTITUTE(_xlpm.raw,"_PIN","."),"PIN","."),_xlpm.mainPart,MID(_xlpm.cleanRaw,2,FIND(".",_xlpm.cleanRaw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807033</v>
      </c>
      <c r="H361" t="str">
        <f>_xlfn.LET(_xlpm.raw,_xlfn.XLOOKUP(A361,'Pinlist(S5)'!$C$4:$C$1362,'Pinlist(S5)'!$E$4:$E$1362,""),_xlpm.cleanRaw,SUBSTITUTE(SUBSTITUTE(_xlpm.raw,"_PIN","."),"PIN","."),_xlpm.mainPart,MID(_xlpm.cleanRaw,2,FIND(".",_xlpm.cleanRaw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I361" t="str">
        <f>""</f>
        <v/>
      </c>
      <c r="J361" t="str">
        <f t="shared" si="5"/>
        <v>H13;PCIE_1_USB3_5_RXN;KA501,LA501;7.23199999999999;4.673;506038;807033;603088;</v>
      </c>
    </row>
    <row r="362" spans="1:10">
      <c r="A362" t="s">
        <v>2176</v>
      </c>
      <c r="B362" t="str">
        <f>_xlfn.XLOOKUP(A362,'Pinlist(S1)'!$Q$4:$Q$1362,'Pinlist(S1)'!$R$4:$R$1362,"")</f>
        <v>VSS</v>
      </c>
      <c r="C362" t="str" cm="1">
        <f t="array" ref="C362">_xlfn.TEXTJOIN(",",TRUE,_xlfn.UNIQUE(TRANSPOSE(_xlfn.MAP(_xlfn.XLOOKUP(A362,'Pinlist(S1)'!$C$4:$C$1362,'Pinlist(S1)'!$F$4:$K$1362,""),_xlfn.LAMBDA(_xlpm.x,IF(_xlpm.x&lt;&gt;"",TRIM(CLEAN(LEFT(_xlpm.x,FIND(".",_xlpm.x &amp; ".")-1))),""))))))</f>
        <v/>
      </c>
      <c r="D362">
        <v>8.1460000000000008</v>
      </c>
      <c r="E362">
        <v>4.673</v>
      </c>
      <c r="F362" t="str">
        <f>_xlfn.LET(_xlpm.raw,_xlfn.XLOOKUP(A362,'Pinlist(S1)'!$C$4:$C$1362,'Pinlist(S1)'!$E$4:$E$1362,""),_xlpm.cleanRaw,SUBSTITUTE(SUBSTITUTE(_xlpm.raw,"_PIN","."),"PIN","."),_xlpm.mainPart,MID(_xlpm.cleanRaw,2,FIND(".",_xlpm.cleanRaw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2" t="str">
        <f>_xlfn.LET(_xlpm.raw,_xlfn.XLOOKUP(A362,'Pinlist(S3)'!$C$4:$C$1362,'Pinlist(S3)'!$E$4:$E$1362,""),_xlpm.cleanRaw,SUBSTITUTE(SUBSTITUTE(_xlpm.raw,"_PIN","."),"PIN","."),_xlpm.mainPart,MID(_xlpm.cleanRaw,2,FIND(".",_xlpm.cleanRaw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2" t="str">
        <f>_xlfn.LET(_xlpm.raw,_xlfn.XLOOKUP(A362,'Pinlist(S5)'!$C$4:$C$1362,'Pinlist(S5)'!$E$4:$E$1362,""),_xlpm.cleanRaw,SUBSTITUTE(SUBSTITUTE(_xlpm.raw,"_PIN","."),"PIN","."),_xlpm.mainPart,MID(_xlpm.cleanRaw,2,FIND(".",_xlpm.cleanRaw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2" t="str">
        <f>""</f>
        <v/>
      </c>
      <c r="J362" t="str">
        <f t="shared" si="5"/>
        <v>H15;VSS;;8.146;4.673;;;;</v>
      </c>
    </row>
    <row r="363" spans="1:10">
      <c r="A363" t="s">
        <v>1262</v>
      </c>
      <c r="B363" t="str">
        <f>_xlfn.XLOOKUP(A363,'Pinlist(S1)'!$Q$4:$Q$1362,'Pinlist(S1)'!$R$4:$R$1362,"")</f>
        <v>PCIE_3_UFS_0B_LAN_0A_RXN</v>
      </c>
      <c r="C363" t="str" cm="1">
        <f t="array" ref="C363">_xlfn.TEXTJOIN(",",TRUE,_xlfn.UNIQUE(TRANSPOSE(_xlfn.MAP(_xlfn.XLOOKUP(A363,'Pinlist(S1)'!$C$4:$C$1362,'Pinlist(S1)'!$F$4:$K$1362,""),_xlfn.LAMBDA(_xlpm.x,IF(_xlpm.x&lt;&gt;"",TRIM(CLEAN(LEFT(_xlpm.x,FIND(".",_xlpm.x &amp; ".")-1))),""))))))</f>
        <v>KA503,LA505</v>
      </c>
      <c r="D363">
        <v>9.0609999999999999</v>
      </c>
      <c r="E363">
        <v>4.673</v>
      </c>
      <c r="F363" t="str">
        <f>_xlfn.LET(_xlpm.raw,_xlfn.XLOOKUP(A363,'Pinlist(S1)'!$C$4:$C$1362,'Pinlist(S1)'!$E$4:$E$1362,""),_xlpm.cleanRaw,SUBSTITUTE(SUBSTITUTE(_xlpm.raw,"_PIN","."),"PIN","."),_xlpm.mainPart,MID(_xlpm.cleanRaw,2,FIND(".",_xlpm.cleanRaw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506037</v>
      </c>
      <c r="G363" t="str">
        <f>_xlfn.LET(_xlpm.raw,_xlfn.XLOOKUP(A363,'Pinlist(S3)'!$C$4:$C$1362,'Pinlist(S3)'!$E$4:$E$1362,""),_xlpm.cleanRaw,SUBSTITUTE(SUBSTITUTE(_xlpm.raw,"_PIN","."),"PIN","."),_xlpm.mainPart,MID(_xlpm.cleanRaw,2,FIND(".",_xlpm.cleanRaw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809091</v>
      </c>
      <c r="H363" t="str">
        <f>_xlfn.LET(_xlpm.raw,_xlfn.XLOOKUP(A363,'Pinlist(S5)'!$C$4:$C$1362,'Pinlist(S5)'!$E$4:$E$1362,""),_xlpm.cleanRaw,SUBSTITUTE(SUBSTITUTE(_xlpm.raw,"_PIN","."),"PIN","."),_xlpm.mainPart,MID(_xlpm.cleanRaw,2,FIND(".",_xlpm.cleanRaw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I363" t="str">
        <f>""</f>
        <v/>
      </c>
      <c r="J363" t="str">
        <f t="shared" si="5"/>
        <v>H16;PCIE_3_UFS_0B_LAN_0A_RXN;KA503,LA505;9.061;4.673;506037;809091;603095;</v>
      </c>
    </row>
    <row r="364" spans="1:10">
      <c r="A364" t="s">
        <v>2177</v>
      </c>
      <c r="B364" t="str">
        <f>_xlfn.XLOOKUP(A364,'Pinlist(S1)'!$Q$4:$Q$1362,'Pinlist(S1)'!$R$4:$R$1362,"")</f>
        <v>VSS</v>
      </c>
      <c r="C364" t="str" cm="1">
        <f t="array" ref="C364">_xlfn.TEXTJOIN(",",TRUE,_xlfn.UNIQUE(TRANSPOSE(_xlfn.MAP(_xlfn.XLOOKUP(A364,'Pinlist(S1)'!$C$4:$C$1362,'Pinlist(S1)'!$F$4:$K$1362,""),_xlfn.LAMBDA(_xlpm.x,IF(_xlpm.x&lt;&gt;"",TRIM(CLEAN(LEFT(_xlpm.x,FIND(".",_xlpm.x &amp; ".")-1))),""))))))</f>
        <v/>
      </c>
      <c r="D364">
        <v>9.9749999999999996</v>
      </c>
      <c r="E364">
        <v>4.673</v>
      </c>
      <c r="F364" t="str">
        <f>_xlfn.LET(_xlpm.raw,_xlfn.XLOOKUP(A364,'Pinlist(S1)'!$C$4:$C$1362,'Pinlist(S1)'!$E$4:$E$1362,""),_xlpm.cleanRaw,SUBSTITUTE(SUBSTITUTE(_xlpm.raw,"_PIN","."),"PIN","."),_xlpm.mainPart,MID(_xlpm.cleanRaw,2,FIND(".",_xlpm.cleanRaw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4" t="str">
        <f>_xlfn.LET(_xlpm.raw,_xlfn.XLOOKUP(A364,'Pinlist(S3)'!$C$4:$C$1362,'Pinlist(S3)'!$E$4:$E$1362,""),_xlpm.cleanRaw,SUBSTITUTE(SUBSTITUTE(_xlpm.raw,"_PIN","."),"PIN","."),_xlpm.mainPart,MID(_xlpm.cleanRaw,2,FIND(".",_xlpm.cleanRaw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4" t="str">
        <f>_xlfn.LET(_xlpm.raw,_xlfn.XLOOKUP(A364,'Pinlist(S5)'!$C$4:$C$1362,'Pinlist(S5)'!$E$4:$E$1362,""),_xlpm.cleanRaw,SUBSTITUTE(SUBSTITUTE(_xlpm.raw,"_PIN","."),"PIN","."),_xlpm.mainPart,MID(_xlpm.cleanRaw,2,FIND(".",_xlpm.cleanRaw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4" t="str">
        <f>""</f>
        <v/>
      </c>
      <c r="J364" t="str">
        <f t="shared" si="5"/>
        <v>H18;VSS;;9.975;4.673;;;;</v>
      </c>
    </row>
    <row r="365" spans="1:10">
      <c r="A365" t="s">
        <v>1852</v>
      </c>
      <c r="B365" t="str">
        <f>_xlfn.XLOOKUP(A365,'Pinlist(S1)'!$Q$4:$Q$1362,'Pinlist(S1)'!$R$4:$R$1362,"")</f>
        <v>VCCSA_SENSE</v>
      </c>
      <c r="C365" t="str" cm="1">
        <f t="array" ref="C365">_xlfn.TEXTJOIN(",",TRUE,_xlfn.UNIQUE(TRANSPOSE(_xlfn.MAP(_xlfn.XLOOKUP(A365,'Pinlist(S1)'!$C$4:$C$1362,'Pinlist(S1)'!$F$4:$K$1362,""),_xlfn.LAMBDA(_xlpm.x,IF(_xlpm.x&lt;&gt;"",TRIM(CLEAN(LEFT(_xlpm.x,FIND(".",_xlpm.x &amp; ".")-1))),""))))))</f>
        <v/>
      </c>
      <c r="D365">
        <v>10.89</v>
      </c>
      <c r="E365">
        <v>4.673</v>
      </c>
      <c r="F365" t="str">
        <f>_xlfn.LET(_xlpm.raw,_xlfn.XLOOKUP(A365,'Pinlist(S1)'!$C$4:$C$1362,'Pinlist(S1)'!$E$4:$E$1362,""),_xlpm.cleanRaw,SUBSTITUTE(SUBSTITUTE(_xlpm.raw,"_PIN","."),"PIN","."),_xlpm.mainPart,MID(_xlpm.cleanRaw,2,FIND(".",_xlpm.cleanRaw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5" t="str">
        <f>_xlfn.LET(_xlpm.raw,_xlfn.XLOOKUP(A365,'Pinlist(S3)'!$C$4:$C$1362,'Pinlist(S3)'!$E$4:$E$1362,""),_xlpm.cleanRaw,SUBSTITUTE(SUBSTITUTE(_xlpm.raw,"_PIN","."),"PIN","."),_xlpm.mainPart,MID(_xlpm.cleanRaw,2,FIND(".",_xlpm.cleanRaw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5" t="str">
        <f>_xlfn.LET(_xlpm.raw,_xlfn.XLOOKUP(A365,'Pinlist(S5)'!$C$4:$C$1362,'Pinlist(S5)'!$E$4:$E$1362,""),_xlpm.cleanRaw,SUBSTITUTE(SUBSTITUTE(_xlpm.raw,"_PIN","."),"PIN","."),_xlpm.mainPart,MID(_xlpm.cleanRaw,2,FIND(".",_xlpm.cleanRaw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5" t="str">
        <f>""</f>
        <v/>
      </c>
      <c r="J365" t="str">
        <f t="shared" si="5"/>
        <v>H20;VCCSA_SENSE;;10.89;4.673;;;;</v>
      </c>
    </row>
    <row r="366" spans="1:10">
      <c r="A366" t="s">
        <v>2258</v>
      </c>
      <c r="B366" t="str">
        <f>_xlfn.XLOOKUP(A366,'Pinlist(S1)'!$Q$4:$Q$1362,'Pinlist(S1)'!$R$4:$R$1362,"")</f>
        <v>VSSSA_SENSE</v>
      </c>
      <c r="C366" t="str" cm="1">
        <f t="array" ref="C366">_xlfn.TEXTJOIN(",",TRUE,_xlfn.UNIQUE(TRANSPOSE(_xlfn.MAP(_xlfn.XLOOKUP(A366,'Pinlist(S1)'!$C$4:$C$1362,'Pinlist(S1)'!$F$4:$K$1362,""),_xlfn.LAMBDA(_xlpm.x,IF(_xlpm.x&lt;&gt;"",TRIM(CLEAN(LEFT(_xlpm.x,FIND(".",_xlpm.x &amp; ".")-1))),""))))))</f>
        <v/>
      </c>
      <c r="D366">
        <v>11.804</v>
      </c>
      <c r="E366">
        <v>4.673</v>
      </c>
      <c r="F366" t="str">
        <f>_xlfn.LET(_xlpm.raw,_xlfn.XLOOKUP(A366,'Pinlist(S1)'!$C$4:$C$1362,'Pinlist(S1)'!$E$4:$E$1362,""),_xlpm.cleanRaw,SUBSTITUTE(SUBSTITUTE(_xlpm.raw,"_PIN","."),"PIN","."),_xlpm.mainPart,MID(_xlpm.cleanRaw,2,FIND(".",_xlpm.cleanRaw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6" t="str">
        <f>_xlfn.LET(_xlpm.raw,_xlfn.XLOOKUP(A366,'Pinlist(S3)'!$C$4:$C$1362,'Pinlist(S3)'!$E$4:$E$1362,""),_xlpm.cleanRaw,SUBSTITUTE(SUBSTITUTE(_xlpm.raw,"_PIN","."),"PIN","."),_xlpm.mainPart,MID(_xlpm.cleanRaw,2,FIND(".",_xlpm.cleanRaw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6" t="str">
        <f>_xlfn.LET(_xlpm.raw,_xlfn.XLOOKUP(A366,'Pinlist(S5)'!$C$4:$C$1362,'Pinlist(S5)'!$E$4:$E$1362,""),_xlpm.cleanRaw,SUBSTITUTE(SUBSTITUTE(_xlpm.raw,"_PIN","."),"PIN","."),_xlpm.mainPart,MID(_xlpm.cleanRaw,2,FIND(".",_xlpm.cleanRaw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6" t="str">
        <f>""</f>
        <v/>
      </c>
      <c r="J366" t="str">
        <f t="shared" si="5"/>
        <v>H21;VSSSA_SENSE;;11.804;4.673;;;;</v>
      </c>
    </row>
    <row r="367" spans="1:10">
      <c r="A367" t="s">
        <v>1526</v>
      </c>
      <c r="B367" t="str">
        <f>_xlfn.XLOOKUP(A367,'Pinlist(S1)'!$Q$4:$Q$1362,'Pinlist(S1)'!$R$4:$R$1362,"")</f>
        <v>VCC_EDRAM_1P8</v>
      </c>
      <c r="C367" t="str" cm="1">
        <f t="array" ref="C367">_xlfn.TEXTJOIN(",",TRUE,_xlfn.UNIQUE(TRANSPOSE(_xlfn.MAP(_xlfn.XLOOKUP(A367,'Pinlist(S1)'!$C$4:$C$1362,'Pinlist(S1)'!$F$4:$K$1362,""),_xlfn.LAMBDA(_xlpm.x,IF(_xlpm.x&lt;&gt;"",TRIM(CLEAN(LEFT(_xlpm.x,FIND(".",_xlpm.x &amp; ".")-1))),""))))))</f>
        <v/>
      </c>
      <c r="D367">
        <v>35.628999999999998</v>
      </c>
      <c r="E367">
        <v>4.6099999999999897</v>
      </c>
      <c r="F367" t="str">
        <f>_xlfn.LET(_xlpm.raw,_xlfn.XLOOKUP(A367,'Pinlist(S1)'!$C$4:$C$1362,'Pinlist(S1)'!$E$4:$E$1362,""),_xlpm.cleanRaw,SUBSTITUTE(SUBSTITUTE(_xlpm.raw,"_PIN","."),"PIN","."),_xlpm.mainPart,MID(_xlpm.cleanRaw,2,FIND(".",_xlpm.cleanRaw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7" t="str">
        <f>_xlfn.LET(_xlpm.raw,_xlfn.XLOOKUP(A367,'Pinlist(S3)'!$C$4:$C$1362,'Pinlist(S3)'!$E$4:$E$1362,""),_xlpm.cleanRaw,SUBSTITUTE(SUBSTITUTE(_xlpm.raw,"_PIN","."),"PIN","."),_xlpm.mainPart,MID(_xlpm.cleanRaw,2,FIND(".",_xlpm.cleanRaw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7" t="str">
        <f>_xlfn.LET(_xlpm.raw,_xlfn.XLOOKUP(A367,'Pinlist(S5)'!$C$4:$C$1362,'Pinlist(S5)'!$E$4:$E$1362,""),_xlpm.cleanRaw,SUBSTITUTE(SUBSTITUTE(_xlpm.raw,"_PIN","."),"PIN","."),_xlpm.mainPart,MID(_xlpm.cleanRaw,2,FIND(".",_xlpm.cleanRaw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7" t="str">
        <f>""</f>
        <v/>
      </c>
      <c r="J367" t="str">
        <f t="shared" si="5"/>
        <v>H63;VCC_EDRAM_1P8;;35.629;4.60999999999999;;;;</v>
      </c>
    </row>
    <row r="368" spans="1:10">
      <c r="A368" t="s">
        <v>67</v>
      </c>
      <c r="B368" t="str">
        <f>_xlfn.XLOOKUP(A368,'Pinlist(S1)'!$Q$4:$Q$1362,'Pinlist(S1)'!$R$4:$R$1362,"")</f>
        <v>CPU_EOPIO_RCOMP</v>
      </c>
      <c r="C368" t="str" cm="1">
        <f t="array" ref="C368">_xlfn.TEXTJOIN(",",TRUE,_xlfn.UNIQUE(TRANSPOSE(_xlfn.MAP(_xlfn.XLOOKUP(A368,'Pinlist(S1)'!$C$4:$C$1362,'Pinlist(S1)'!$F$4:$K$1362,""),_xlfn.LAMBDA(_xlpm.x,IF(_xlpm.x&lt;&gt;"",TRIM(CLEAN(LEFT(_xlpm.x,FIND(".",_xlpm.x &amp; ".")-1))),""))))))</f>
        <v/>
      </c>
      <c r="D368">
        <v>36.644999999999897</v>
      </c>
      <c r="E368">
        <v>4.6099999999999897</v>
      </c>
      <c r="F368" t="str">
        <f>_xlfn.LET(_xlpm.raw,_xlfn.XLOOKUP(A368,'Pinlist(S1)'!$C$4:$C$1362,'Pinlist(S1)'!$E$4:$E$1362,""),_xlpm.cleanRaw,SUBSTITUTE(SUBSTITUTE(_xlpm.raw,"_PIN","."),"PIN","."),_xlpm.mainPart,MID(_xlpm.cleanRaw,2,FIND(".",_xlpm.cleanRaw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8" t="str">
        <f>_xlfn.LET(_xlpm.raw,_xlfn.XLOOKUP(A368,'Pinlist(S3)'!$C$4:$C$1362,'Pinlist(S3)'!$E$4:$E$1362,""),_xlpm.cleanRaw,SUBSTITUTE(SUBSTITUTE(_xlpm.raw,"_PIN","."),"PIN","."),_xlpm.mainPart,MID(_xlpm.cleanRaw,2,FIND(".",_xlpm.cleanRaw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8" t="str">
        <f>_xlfn.LET(_xlpm.raw,_xlfn.XLOOKUP(A368,'Pinlist(S5)'!$C$4:$C$1362,'Pinlist(S5)'!$E$4:$E$1362,""),_xlpm.cleanRaw,SUBSTITUTE(SUBSTITUTE(_xlpm.raw,"_PIN","."),"PIN","."),_xlpm.mainPart,MID(_xlpm.cleanRaw,2,FIND(".",_xlpm.cleanRaw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8" t="str">
        <f>""</f>
        <v/>
      </c>
      <c r="J368" t="str">
        <f t="shared" si="5"/>
        <v>H65;CPU_EOPIO_RCOMP;;36.6449999999999;4.60999999999999;;;;</v>
      </c>
    </row>
    <row r="369" spans="1:10">
      <c r="A369" t="s">
        <v>744</v>
      </c>
      <c r="B369" t="str">
        <f>_xlfn.XLOOKUP(A369,'Pinlist(S1)'!$Q$4:$Q$1362,'Pinlist(S1)'!$R$4:$R$1362,"")</f>
        <v>EDRAM_OPIO_RCOMP</v>
      </c>
      <c r="C369" t="str" cm="1">
        <f t="array" ref="C369">_xlfn.TEXTJOIN(",",TRUE,_xlfn.UNIQUE(TRANSPOSE(_xlfn.MAP(_xlfn.XLOOKUP(A369,'Pinlist(S1)'!$C$4:$C$1362,'Pinlist(S1)'!$F$4:$K$1362,""),_xlfn.LAMBDA(_xlpm.x,IF(_xlpm.x&lt;&gt;"",TRIM(CLEAN(LEFT(_xlpm.x,FIND(".",_xlpm.x &amp; ".")-1))),""))))))</f>
        <v/>
      </c>
      <c r="D369">
        <v>37.661000000000001</v>
      </c>
      <c r="E369">
        <v>4.6099999999999897</v>
      </c>
      <c r="F369" t="str">
        <f>_xlfn.LET(_xlpm.raw,_xlfn.XLOOKUP(A369,'Pinlist(S1)'!$C$4:$C$1362,'Pinlist(S1)'!$E$4:$E$1362,""),_xlpm.cleanRaw,SUBSTITUTE(SUBSTITUTE(_xlpm.raw,"_PIN","."),"PIN","."),_xlpm.mainPart,MID(_xlpm.cleanRaw,2,FIND(".",_xlpm.cleanRaw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9" t="str">
        <f>_xlfn.LET(_xlpm.raw,_xlfn.XLOOKUP(A369,'Pinlist(S3)'!$C$4:$C$1362,'Pinlist(S3)'!$E$4:$E$1362,""),_xlpm.cleanRaw,SUBSTITUTE(SUBSTITUTE(_xlpm.raw,"_PIN","."),"PIN","."),_xlpm.mainPart,MID(_xlpm.cleanRaw,2,FIND(".",_xlpm.cleanRaw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9" t="str">
        <f>_xlfn.LET(_xlpm.raw,_xlfn.XLOOKUP(A369,'Pinlist(S5)'!$C$4:$C$1362,'Pinlist(S5)'!$E$4:$E$1362,""),_xlpm.cleanRaw,SUBSTITUTE(SUBSTITUTE(_xlpm.raw,"_PIN","."),"PIN","."),_xlpm.mainPart,MID(_xlpm.cleanRaw,2,FIND(".",_xlpm.cleanRaw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9" t="str">
        <f>""</f>
        <v/>
      </c>
      <c r="J369" t="str">
        <f t="shared" si="5"/>
        <v>H66;EDRAM_OPIO_RCOMP;;37.661;4.60999999999999;;;;</v>
      </c>
    </row>
    <row r="370" spans="1:10">
      <c r="A370" t="s">
        <v>1174</v>
      </c>
      <c r="B370" t="str">
        <f>_xlfn.XLOOKUP(A370,'Pinlist(S1)'!$Q$4:$Q$1362,'Pinlist(S1)'!$R$4:$R$1362,"")</f>
        <v>NOA_N[14]</v>
      </c>
      <c r="C370" t="str" cm="1">
        <f t="array" ref="C370">_xlfn.TEXTJOIN(",",TRUE,_xlfn.UNIQUE(TRANSPOSE(_xlfn.MAP(_xlfn.XLOOKUP(A370,'Pinlist(S1)'!$C$4:$C$1362,'Pinlist(S1)'!$F$4:$K$1362,""),_xlfn.LAMBDA(_xlpm.x,IF(_xlpm.x&lt;&gt;"",TRIM(CLEAN(LEFT(_xlpm.x,FIND(".",_xlpm.x &amp; ".")-1))),""))))))</f>
        <v>KA127</v>
      </c>
      <c r="D370">
        <v>39.003</v>
      </c>
      <c r="E370">
        <v>4.218</v>
      </c>
      <c r="F370" t="str">
        <f>_xlfn.LET(_xlpm.raw,_xlfn.XLOOKUP(A370,'Pinlist(S1)'!$C$4:$C$1362,'Pinlist(S1)'!$E$4:$E$1362,""),_xlpm.cleanRaw,SUBSTITUTE(SUBSTITUTE(_xlpm.raw,"_PIN","."),"PIN","."),_xlpm.mainPart,MID(_xlpm.cleanRaw,2,FIND(".",_xlpm.cleanRaw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604006</v>
      </c>
      <c r="G370" t="str">
        <f>_xlfn.LET(_xlpm.raw,_xlfn.XLOOKUP(A370,'Pinlist(S3)'!$C$4:$C$1362,'Pinlist(S3)'!$E$4:$E$1362,""),_xlpm.cleanRaw,SUBSTITUTE(SUBSTITUTE(_xlpm.raw,"_PIN","."),"PIN","."),_xlpm.mainPart,MID(_xlpm.cleanRaw,2,FIND(".",_xlpm.cleanRaw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503022</v>
      </c>
      <c r="H370" t="str">
        <f>_xlfn.LET(_xlpm.raw,_xlfn.XLOOKUP(A370,'Pinlist(S5)'!$C$4:$C$1362,'Pinlist(S5)'!$E$4:$E$1362,""),_xlpm.cleanRaw,SUBSTITUTE(SUBSTITUTE(_xlpm.raw,"_PIN","."),"PIN","."),_xlpm.mainPart,MID(_xlpm.cleanRaw,2,FIND(".",_xlpm.cleanRaw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709009</v>
      </c>
      <c r="I370" t="str">
        <f>""</f>
        <v/>
      </c>
      <c r="J370" t="str">
        <f t="shared" si="5"/>
        <v>H69;NOA_N[14];KA127;39.003;4.218;604006;503022;709009;</v>
      </c>
    </row>
    <row r="371" spans="1:10">
      <c r="A371" t="s">
        <v>1170</v>
      </c>
      <c r="B371" t="str">
        <f>_xlfn.XLOOKUP(A371,'Pinlist(S1)'!$Q$4:$Q$1362,'Pinlist(S1)'!$R$4:$R$1362,"")</f>
        <v>NOA_N[12]</v>
      </c>
      <c r="C371" t="str" cm="1">
        <f t="array" ref="C371">_xlfn.TEXTJOIN(",",TRUE,_xlfn.UNIQUE(TRANSPOSE(_xlfn.MAP(_xlfn.XLOOKUP(A371,'Pinlist(S1)'!$C$4:$C$1362,'Pinlist(S1)'!$F$4:$K$1362,""),_xlfn.LAMBDA(_xlpm.x,IF(_xlpm.x&lt;&gt;"",TRIM(CLEAN(LEFT(_xlpm.x,FIND(".",_xlpm.x &amp; ".")-1))),""))))))</f>
        <v>KA129</v>
      </c>
      <c r="D371">
        <v>39.652999999999999</v>
      </c>
      <c r="E371">
        <v>4.218</v>
      </c>
      <c r="F371" t="str">
        <f>_xlfn.LET(_xlpm.raw,_xlfn.XLOOKUP(A371,'Pinlist(S1)'!$C$4:$C$1362,'Pinlist(S1)'!$E$4:$E$1362,""),_xlpm.cleanRaw,SUBSTITUTE(SUBSTITUTE(_xlpm.raw,"_PIN","."),"PIN","."),_xlpm.mainPart,MID(_xlpm.cleanRaw,2,FIND(".",_xlpm.cleanRaw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371" t="str">
        <f>_xlfn.LET(_xlpm.raw,_xlfn.XLOOKUP(A371,'Pinlist(S3)'!$C$4:$C$1362,'Pinlist(S3)'!$E$4:$E$1362,""),_xlpm.cleanRaw,SUBSTITUTE(SUBSTITUTE(_xlpm.raw,"_PIN","."),"PIN","."),_xlpm.mainPart,MID(_xlpm.cleanRaw,2,FIND(".",_xlpm.cleanRaw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503021</v>
      </c>
      <c r="H371" t="str">
        <f>_xlfn.LET(_xlpm.raw,_xlfn.XLOOKUP(A371,'Pinlist(S5)'!$C$4:$C$1362,'Pinlist(S5)'!$E$4:$E$1362,""),_xlpm.cleanRaw,SUBSTITUTE(SUBSTITUTE(_xlpm.raw,"_PIN","."),"PIN","."),_xlpm.mainPart,MID(_xlpm.cleanRaw,2,FIND(".",_xlpm.cleanRaw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709026</v>
      </c>
      <c r="I371" t="str">
        <f>""</f>
        <v/>
      </c>
      <c r="J371" t="str">
        <f t="shared" si="5"/>
        <v>H70;NOA_N[12];KA129;39.653;4.218;604013;503021;709026;</v>
      </c>
    </row>
    <row r="372" spans="1:10">
      <c r="A372" t="s">
        <v>2178</v>
      </c>
      <c r="B372" t="str">
        <f>_xlfn.XLOOKUP(A372,'Pinlist(S1)'!$Q$4:$Q$1362,'Pinlist(S1)'!$R$4:$R$1362,"")</f>
        <v>VSS</v>
      </c>
      <c r="C372" t="str" cm="1">
        <f t="array" ref="C372">_xlfn.TEXTJOIN(",",TRUE,_xlfn.UNIQUE(TRANSPOSE(_xlfn.MAP(_xlfn.XLOOKUP(A372,'Pinlist(S1)'!$C$4:$C$1362,'Pinlist(S1)'!$F$4:$K$1362,""),_xlfn.LAMBDA(_xlpm.x,IF(_xlpm.x&lt;&gt;"",TRIM(CLEAN(LEFT(_xlpm.x,FIND(".",_xlpm.x &amp; ".")-1))),""))))))</f>
        <v/>
      </c>
      <c r="D372">
        <v>40.302999999999997</v>
      </c>
      <c r="E372">
        <v>4.218</v>
      </c>
      <c r="F372" t="str">
        <f>_xlfn.LET(_xlpm.raw,_xlfn.XLOOKUP(A372,'Pinlist(S1)'!$C$4:$C$1362,'Pinlist(S1)'!$E$4:$E$1362,""),_xlpm.cleanRaw,SUBSTITUTE(SUBSTITUTE(_xlpm.raw,"_PIN","."),"PIN","."),_xlpm.mainPart,MID(_xlpm.cleanRaw,2,FIND(".",_xlpm.cleanRaw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2" t="str">
        <f>_xlfn.LET(_xlpm.raw,_xlfn.XLOOKUP(A372,'Pinlist(S3)'!$C$4:$C$1362,'Pinlist(S3)'!$E$4:$E$1362,""),_xlpm.cleanRaw,SUBSTITUTE(SUBSTITUTE(_xlpm.raw,"_PIN","."),"PIN","."),_xlpm.mainPart,MID(_xlpm.cleanRaw,2,FIND(".",_xlpm.cleanRaw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2" t="str">
        <f>_xlfn.LET(_xlpm.raw,_xlfn.XLOOKUP(A372,'Pinlist(S5)'!$C$4:$C$1362,'Pinlist(S5)'!$E$4:$E$1362,""),_xlpm.cleanRaw,SUBSTITUTE(SUBSTITUTE(_xlpm.raw,"_PIN","."),"PIN","."),_xlpm.mainPart,MID(_xlpm.cleanRaw,2,FIND(".",_xlpm.cleanRaw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2" t="str">
        <f>""</f>
        <v/>
      </c>
      <c r="J372" t="str">
        <f t="shared" si="5"/>
        <v>H71;VSS;;40.303;4.218;;;;</v>
      </c>
    </row>
    <row r="373" spans="1:10">
      <c r="A373" t="s">
        <v>1026</v>
      </c>
      <c r="B373" t="str">
        <f>_xlfn.XLOOKUP(A373,'Pinlist(S1)'!$Q$4:$Q$1362,'Pinlist(S1)'!$R$4:$R$1362,"")</f>
        <v>GPP_E_4_SATA_DEVSLP_0</v>
      </c>
      <c r="C373" t="str" cm="1">
        <f t="array" ref="C373">_xlfn.TEXTJOIN(",",TRUE,_xlfn.UNIQUE(TRANSPOSE(_xlfn.MAP(_xlfn.XLOOKUP(A373,'Pinlist(S1)'!$C$4:$C$1362,'Pinlist(S1)'!$F$4:$K$1362,""),_xlfn.LAMBDA(_xlpm.x,IF(_xlpm.x&lt;&gt;"",TRIM(CLEAN(LEFT(_xlpm.x,FIND(".",_xlpm.x &amp; ".")-1))),""))))))</f>
        <v/>
      </c>
      <c r="D373">
        <v>0</v>
      </c>
      <c r="E373">
        <v>4.8369999999999997</v>
      </c>
      <c r="F373" t="str">
        <f>_xlfn.LET(_xlpm.raw,_xlfn.XLOOKUP(A373,'Pinlist(S1)'!$C$4:$C$1362,'Pinlist(S1)'!$E$4:$E$1362,""),_xlpm.cleanRaw,SUBSTITUTE(SUBSTITUTE(_xlpm.raw,"_PIN","."),"PIN","."),_xlpm.mainPart,MID(_xlpm.cleanRaw,2,FIND(".",_xlpm.cleanRaw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505067</v>
      </c>
      <c r="G373" t="str">
        <f>_xlfn.LET(_xlpm.raw,_xlfn.XLOOKUP(A373,'Pinlist(S3)'!$C$4:$C$1362,'Pinlist(S3)'!$E$4:$E$1362,""),_xlpm.cleanRaw,SUBSTITUTE(SUBSTITUTE(_xlpm.raw,"_PIN","."),"PIN","."),_xlpm.mainPart,MID(_xlpm.cleanRaw,2,FIND(".",_xlpm.cleanRaw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808068</v>
      </c>
      <c r="H373" t="str">
        <f>_xlfn.LET(_xlpm.raw,_xlfn.XLOOKUP(A373,'Pinlist(S5)'!$C$4:$C$1362,'Pinlist(S5)'!$E$4:$E$1362,""),_xlpm.cleanRaw,SUBSTITUTE(SUBSTITUTE(_xlpm.raw,"_PIN","."),"PIN","."),_xlpm.mainPart,MID(_xlpm.cleanRaw,2,FIND(".",_xlpm.cleanRaw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602075</v>
      </c>
      <c r="I373" t="str">
        <f>""</f>
        <v/>
      </c>
      <c r="J373" t="str">
        <f t="shared" si="5"/>
        <v>J1;GPP_E_4_SATA_DEVSLP_0;;0;4.837;505067;808068;602075;</v>
      </c>
    </row>
    <row r="374" spans="1:10">
      <c r="A374" t="s">
        <v>1028</v>
      </c>
      <c r="B374" t="str">
        <f>_xlfn.XLOOKUP(A374,'Pinlist(S1)'!$Q$4:$Q$1362,'Pinlist(S1)'!$R$4:$R$1362,"")</f>
        <v>GPP_E_5_SATA_DEVSLP_1</v>
      </c>
      <c r="C374" t="str" cm="1">
        <f t="array" ref="C374">_xlfn.TEXTJOIN(",",TRUE,_xlfn.UNIQUE(TRANSPOSE(_xlfn.MAP(_xlfn.XLOOKUP(A374,'Pinlist(S1)'!$C$4:$C$1362,'Pinlist(S1)'!$F$4:$K$1362,""),_xlfn.LAMBDA(_xlpm.x,IF(_xlpm.x&lt;&gt;"",TRIM(CLEAN(LEFT(_xlpm.x,FIND(".",_xlpm.x &amp; ".")-1))),""))))))</f>
        <v/>
      </c>
      <c r="D374">
        <v>0.64999999999999802</v>
      </c>
      <c r="E374">
        <v>4.8369999999999997</v>
      </c>
      <c r="F374" t="str">
        <f>_xlfn.LET(_xlpm.raw,_xlfn.XLOOKUP(A374,'Pinlist(S1)'!$C$4:$C$1362,'Pinlist(S1)'!$E$4:$E$1362,""),_xlpm.cleanRaw,SUBSTITUTE(SUBSTITUTE(_xlpm.raw,"_PIN","."),"PIN","."),_xlpm.mainPart,MID(_xlpm.cleanRaw,2,FIND(".",_xlpm.cleanRaw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504109</v>
      </c>
      <c r="G374" t="str">
        <f>_xlfn.LET(_xlpm.raw,_xlfn.XLOOKUP(A374,'Pinlist(S3)'!$C$4:$C$1362,'Pinlist(S3)'!$E$4:$E$1362,""),_xlpm.cleanRaw,SUBSTITUTE(SUBSTITUTE(_xlpm.raw,"_PIN","."),"PIN","."),_xlpm.mainPart,MID(_xlpm.cleanRaw,2,FIND(".",_xlpm.cleanRaw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808077</v>
      </c>
      <c r="H374" t="str">
        <f>_xlfn.LET(_xlpm.raw,_xlfn.XLOOKUP(A374,'Pinlist(S5)'!$C$4:$C$1362,'Pinlist(S5)'!$E$4:$E$1362,""),_xlpm.cleanRaw,SUBSTITUTE(SUBSTITUTE(_xlpm.raw,"_PIN","."),"PIN","."),_xlpm.mainPart,MID(_xlpm.cleanRaw,2,FIND(".",_xlpm.cleanRaw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602050</v>
      </c>
      <c r="I374" t="str">
        <f>""</f>
        <v/>
      </c>
      <c r="J374" t="str">
        <f t="shared" si="5"/>
        <v>J2;GPP_E_5_SATA_DEVSLP_1;;0.649999999999998;4.837;504109;808077;602050;</v>
      </c>
    </row>
    <row r="375" spans="1:10">
      <c r="A375" t="s">
        <v>1030</v>
      </c>
      <c r="B375" t="str">
        <f>_xlfn.XLOOKUP(A375,'Pinlist(S1)'!$Q$4:$Q$1362,'Pinlist(S1)'!$R$4:$R$1362,"")</f>
        <v>GPP_E_6_SATA_DEVSLP_2</v>
      </c>
      <c r="C375" t="str" cm="1">
        <f t="array" ref="C375">_xlfn.TEXTJOIN(",",TRUE,_xlfn.UNIQUE(TRANSPOSE(_xlfn.MAP(_xlfn.XLOOKUP(A375,'Pinlist(S1)'!$C$4:$C$1362,'Pinlist(S1)'!$F$4:$K$1362,""),_xlfn.LAMBDA(_xlpm.x,IF(_xlpm.x&lt;&gt;"",TRIM(CLEAN(LEFT(_xlpm.x,FIND(".",_xlpm.x &amp; ".")-1))),""))))))</f>
        <v/>
      </c>
      <c r="D375">
        <v>1.2999999999999901</v>
      </c>
      <c r="E375">
        <v>4.8369999999999997</v>
      </c>
      <c r="F375" t="str">
        <f>_xlfn.LET(_xlpm.raw,_xlfn.XLOOKUP(A375,'Pinlist(S1)'!$C$4:$C$1362,'Pinlist(S1)'!$E$4:$E$1362,""),_xlpm.cleanRaw,SUBSTITUTE(SUBSTITUTE(_xlpm.raw,"_PIN","."),"PIN","."),_xlpm.mainPart,MID(_xlpm.cleanRaw,2,FIND(".",_xlpm.cleanRaw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505054</v>
      </c>
      <c r="G375" t="str">
        <f>_xlfn.LET(_xlpm.raw,_xlfn.XLOOKUP(A375,'Pinlist(S3)'!$C$4:$C$1362,'Pinlist(S3)'!$E$4:$E$1362,""),_xlpm.cleanRaw,SUBSTITUTE(SUBSTITUTE(_xlpm.raw,"_PIN","."),"PIN","."),_xlpm.mainPart,MID(_xlpm.cleanRaw,2,FIND(".",_xlpm.cleanRaw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809118</v>
      </c>
      <c r="H375" t="str">
        <f>_xlfn.LET(_xlpm.raw,_xlfn.XLOOKUP(A375,'Pinlist(S5)'!$C$4:$C$1362,'Pinlist(S5)'!$E$4:$E$1362,""),_xlpm.cleanRaw,SUBSTITUTE(SUBSTITUTE(_xlpm.raw,"_PIN","."),"PIN","."),_xlpm.mainPart,MID(_xlpm.cleanRaw,2,FIND(".",_xlpm.cleanRaw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602060</v>
      </c>
      <c r="I375" t="str">
        <f>""</f>
        <v/>
      </c>
      <c r="J375" t="str">
        <f t="shared" si="5"/>
        <v>J3;GPP_E_6_SATA_DEVSLP_2;;1.29999999999999;4.837;505054;809118;602060;</v>
      </c>
    </row>
    <row r="376" spans="1:10">
      <c r="A376" t="s">
        <v>973</v>
      </c>
      <c r="B376" t="str">
        <f>_xlfn.XLOOKUP(A376,'Pinlist(S1)'!$Q$4:$Q$1362,'Pinlist(S1)'!$R$4:$R$1362,"")</f>
        <v>GPP_D_3_SPI1_MOSI_IO_0</v>
      </c>
      <c r="C376" t="str" cm="1">
        <f t="array" ref="C376">_xlfn.TEXTJOIN(",",TRUE,_xlfn.UNIQUE(TRANSPOSE(_xlfn.MAP(_xlfn.XLOOKUP(A376,'Pinlist(S1)'!$C$4:$C$1362,'Pinlist(S1)'!$F$4:$K$1362,""),_xlfn.LAMBDA(_xlpm.x,IF(_xlpm.x&lt;&gt;"",TRIM(CLEAN(LEFT(_xlpm.x,FIND(".",_xlpm.x &amp; ".")-1))),""))))))</f>
        <v/>
      </c>
      <c r="D376">
        <v>1.9510000000000001</v>
      </c>
      <c r="E376">
        <v>4.8369999999999997</v>
      </c>
      <c r="F376" t="str">
        <f>_xlfn.LET(_xlpm.raw,_xlfn.XLOOKUP(A376,'Pinlist(S1)'!$C$4:$C$1362,'Pinlist(S1)'!$E$4:$E$1362,""),_xlpm.cleanRaw,SUBSTITUTE(SUBSTITUTE(_xlpm.raw,"_PIN","."),"PIN","."),_xlpm.mainPart,MID(_xlpm.cleanRaw,2,FIND(".",_xlpm.cleanRaw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508060</v>
      </c>
      <c r="G376" t="str">
        <f>_xlfn.LET(_xlpm.raw,_xlfn.XLOOKUP(A376,'Pinlist(S3)'!$C$4:$C$1362,'Pinlist(S3)'!$E$4:$E$1362,""),_xlpm.cleanRaw,SUBSTITUTE(SUBSTITUTE(_xlpm.raw,"_PIN","."),"PIN","."),_xlpm.mainPart,MID(_xlpm.cleanRaw,2,FIND(".",_xlpm.cleanRaw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805051</v>
      </c>
      <c r="H376" t="str">
        <f>_xlfn.LET(_xlpm.raw,_xlfn.XLOOKUP(A376,'Pinlist(S5)'!$C$4:$C$1362,'Pinlist(S5)'!$E$4:$E$1362,""),_xlpm.cleanRaw,SUBSTITUTE(SUBSTITUTE(_xlpm.raw,"_PIN","."),"PIN","."),_xlpm.mainPart,MID(_xlpm.cleanRaw,2,FIND(".",_xlpm.cleanRaw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703006</v>
      </c>
      <c r="I376" t="str">
        <f>""</f>
        <v/>
      </c>
      <c r="J376" t="str">
        <f t="shared" si="5"/>
        <v>J4;GPP_D_3_SPI1_MOSI_IO_0;;1.951;4.837;508060;805051;703006;</v>
      </c>
    </row>
    <row r="377" spans="1:10">
      <c r="A377" t="s">
        <v>971</v>
      </c>
      <c r="B377" t="str">
        <f>_xlfn.XLOOKUP(A377,'Pinlist(S1)'!$Q$4:$Q$1362,'Pinlist(S1)'!$R$4:$R$1362,"")</f>
        <v>GPP_D_23_SSP_MCLK</v>
      </c>
      <c r="C377" t="str" cm="1">
        <f t="array" ref="C377">_xlfn.TEXTJOIN(",",TRUE,_xlfn.UNIQUE(TRANSPOSE(_xlfn.MAP(_xlfn.XLOOKUP(A377,'Pinlist(S1)'!$C$4:$C$1362,'Pinlist(S1)'!$F$4:$K$1362,""),_xlfn.LAMBDA(_xlpm.x,IF(_xlpm.x&lt;&gt;"",TRIM(CLEAN(LEFT(_xlpm.x,FIND(".",_xlpm.x &amp; ".")-1))),""))))))</f>
        <v/>
      </c>
      <c r="D377">
        <v>2.6599999999999899</v>
      </c>
      <c r="E377">
        <v>5.3239999999999901</v>
      </c>
      <c r="F377" t="str">
        <f>_xlfn.LET(_xlpm.raw,_xlfn.XLOOKUP(A377,'Pinlist(S1)'!$C$4:$C$1362,'Pinlist(S1)'!$E$4:$E$1362,""),_xlpm.cleanRaw,SUBSTITUTE(SUBSTITUTE(_xlpm.raw,"_PIN","."),"PIN","."),_xlpm.mainPart,MID(_xlpm.cleanRaw,2,FIND(".",_xlpm.cleanRaw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508057</v>
      </c>
      <c r="G377" t="str">
        <f>_xlfn.LET(_xlpm.raw,_xlfn.XLOOKUP(A377,'Pinlist(S3)'!$C$4:$C$1362,'Pinlist(S3)'!$E$4:$E$1362,""),_xlpm.cleanRaw,SUBSTITUTE(SUBSTITUTE(_xlpm.raw,"_PIN","."),"PIN","."),_xlpm.mainPart,MID(_xlpm.cleanRaw,2,FIND(".",_xlpm.cleanRaw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804010</v>
      </c>
      <c r="H377" t="str">
        <f>_xlfn.LET(_xlpm.raw,_xlfn.XLOOKUP(A377,'Pinlist(S5)'!$C$4:$C$1362,'Pinlist(S5)'!$E$4:$E$1362,""),_xlpm.cleanRaw,SUBSTITUTE(SUBSTITUTE(_xlpm.raw,"_PIN","."),"PIN","."),_xlpm.mainPart,MID(_xlpm.cleanRaw,2,FIND(".",_xlpm.cleanRaw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703005</v>
      </c>
      <c r="I377" t="str">
        <f>""</f>
        <v/>
      </c>
      <c r="J377" t="str">
        <f t="shared" si="5"/>
        <v>J5;GPP_D_23_SSP_MCLK;;2.65999999999999;5.32399999999999;508057;804010;703005;</v>
      </c>
    </row>
    <row r="378" spans="1:10">
      <c r="A378" t="s">
        <v>1502</v>
      </c>
      <c r="B378" t="str">
        <f>_xlfn.XLOOKUP(A378,'Pinlist(S1)'!$Q$4:$Q$1362,'Pinlist(S1)'!$R$4:$R$1362,"")</f>
        <v>USB3_2_SSIC_1_RXN</v>
      </c>
      <c r="C378" t="str" cm="1">
        <f t="array" ref="C378">_xlfn.TEXTJOIN(",",TRUE,_xlfn.UNIQUE(TRANSPOSE(_xlfn.MAP(_xlfn.XLOOKUP(A378,'Pinlist(S1)'!$C$4:$C$1362,'Pinlist(S1)'!$F$4:$K$1362,""),_xlfn.LAMBDA(_xlpm.x,IF(_xlpm.x&lt;&gt;"",TRIM(CLEAN(LEFT(_xlpm.x,FIND(".",_xlpm.x &amp; ".")-1))),""))))))</f>
        <v>KA514,LA527</v>
      </c>
      <c r="D378">
        <v>3.5739999999999901</v>
      </c>
      <c r="E378">
        <v>5.3239999999999901</v>
      </c>
      <c r="F378" t="str">
        <f>_xlfn.LET(_xlpm.raw,_xlfn.XLOOKUP(A378,'Pinlist(S1)'!$C$4:$C$1362,'Pinlist(S1)'!$E$4:$E$1362,""),_xlpm.cleanRaw,SUBSTITUTE(SUBSTITUTE(_xlpm.raw,"_PIN","."),"PIN","."),_xlpm.mainPart,MID(_xlpm.cleanRaw,2,FIND(".",_xlpm.cleanRaw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G378" t="str">
        <f>_xlfn.LET(_xlpm.raw,_xlfn.XLOOKUP(A378,'Pinlist(S3)'!$C$4:$C$1362,'Pinlist(S3)'!$E$4:$E$1362,""),_xlpm.cleanRaw,SUBSTITUTE(SUBSTITUTE(_xlpm.raw,"_PIN","."),"PIN","."),_xlpm.mainPart,MID(_xlpm.cleanRaw,2,FIND(".",_xlpm.cleanRaw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807029</v>
      </c>
      <c r="H378" t="str">
        <f>_xlfn.LET(_xlpm.raw,_xlfn.XLOOKUP(A378,'Pinlist(S5)'!$C$4:$C$1362,'Pinlist(S5)'!$E$4:$E$1362,""),_xlpm.cleanRaw,SUBSTITUTE(SUBSTITUTE(_xlpm.raw,"_PIN","."),"PIN","."),_xlpm.mainPart,MID(_xlpm.cleanRaw,2,FIND(".",_xlpm.cleanRaw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I378" t="str">
        <f>""</f>
        <v/>
      </c>
      <c r="J378" t="str">
        <f t="shared" si="5"/>
        <v>J6;USB3_2_SSIC_1_RXN;KA514,LA527;3.57399999999999;5.32399999999999;506033;807029;603098;</v>
      </c>
    </row>
    <row r="379" spans="1:10">
      <c r="A379" t="s">
        <v>2187</v>
      </c>
      <c r="B379" t="str">
        <f>_xlfn.XLOOKUP(A379,'Pinlist(S1)'!$Q$4:$Q$1362,'Pinlist(S1)'!$R$4:$R$1362,"")</f>
        <v>VSS</v>
      </c>
      <c r="C379" t="str" cm="1">
        <f t="array" ref="C379">_xlfn.TEXTJOIN(",",TRUE,_xlfn.UNIQUE(TRANSPOSE(_xlfn.MAP(_xlfn.XLOOKUP(A379,'Pinlist(S1)'!$C$4:$C$1362,'Pinlist(S1)'!$F$4:$K$1362,""),_xlfn.LAMBDA(_xlpm.x,IF(_xlpm.x&lt;&gt;"",TRIM(CLEAN(LEFT(_xlpm.x,FIND(".",_xlpm.x &amp; ".")-1))),""))))))</f>
        <v/>
      </c>
      <c r="D379">
        <v>4.4889999999999999</v>
      </c>
      <c r="E379">
        <v>5.3239999999999901</v>
      </c>
      <c r="F379" t="str">
        <f>_xlfn.LET(_xlpm.raw,_xlfn.XLOOKUP(A379,'Pinlist(S1)'!$C$4:$C$1362,'Pinlist(S1)'!$E$4:$E$1362,""),_xlpm.cleanRaw,SUBSTITUTE(SUBSTITUTE(_xlpm.raw,"_PIN","."),"PIN","."),_xlpm.mainPart,MID(_xlpm.cleanRaw,2,FIND(".",_xlpm.cleanRaw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9" t="str">
        <f>_xlfn.LET(_xlpm.raw,_xlfn.XLOOKUP(A379,'Pinlist(S3)'!$C$4:$C$1362,'Pinlist(S3)'!$E$4:$E$1362,""),_xlpm.cleanRaw,SUBSTITUTE(SUBSTITUTE(_xlpm.raw,"_PIN","."),"PIN","."),_xlpm.mainPart,MID(_xlpm.cleanRaw,2,FIND(".",_xlpm.cleanRaw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9" t="str">
        <f>_xlfn.LET(_xlpm.raw,_xlfn.XLOOKUP(A379,'Pinlist(S5)'!$C$4:$C$1362,'Pinlist(S5)'!$E$4:$E$1362,""),_xlpm.cleanRaw,SUBSTITUTE(SUBSTITUTE(_xlpm.raw,"_PIN","."),"PIN","."),_xlpm.mainPart,MID(_xlpm.cleanRaw,2,FIND(".",_xlpm.cleanRaw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9" t="str">
        <f>""</f>
        <v/>
      </c>
      <c r="J379" t="str">
        <f t="shared" si="5"/>
        <v>J8;VSS;;4.489;5.32399999999999;;;;</v>
      </c>
    </row>
    <row r="380" spans="1:10">
      <c r="A380" t="s">
        <v>1510</v>
      </c>
      <c r="B380" t="str">
        <f>_xlfn.XLOOKUP(A380,'Pinlist(S1)'!$Q$4:$Q$1362,'Pinlist(S1)'!$R$4:$R$1362,"")</f>
        <v>USB3_3_SSIC_2_RXN</v>
      </c>
      <c r="C380" t="str" cm="1">
        <f t="array" ref="C380">_xlfn.TEXTJOIN(",",TRUE,_xlfn.UNIQUE(TRANSPOSE(_xlfn.MAP(_xlfn.XLOOKUP(A380,'Pinlist(S1)'!$C$4:$C$1362,'Pinlist(S1)'!$F$4:$K$1362,""),_xlfn.LAMBDA(_xlpm.x,IF(_xlpm.x&lt;&gt;"",TRIM(CLEAN(LEFT(_xlpm.x,FIND(".",_xlpm.x &amp; ".")-1))),""))))))</f>
        <v>KA515,LA529</v>
      </c>
      <c r="D380">
        <v>5.4029999999999898</v>
      </c>
      <c r="E380">
        <v>5.3239999999999901</v>
      </c>
      <c r="F380" t="str">
        <f>_xlfn.LET(_xlpm.raw,_xlfn.XLOOKUP(A380,'Pinlist(S1)'!$C$4:$C$1362,'Pinlist(S1)'!$E$4:$E$1362,""),_xlpm.cleanRaw,SUBSTITUTE(SUBSTITUTE(_xlpm.raw,"_PIN","."),"PIN","."),_xlpm.mainPart,MID(_xlpm.cleanRaw,2,FIND(".",_xlpm.cleanRaw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G380" t="str">
        <f>_xlfn.LET(_xlpm.raw,_xlfn.XLOOKUP(A380,'Pinlist(S3)'!$C$4:$C$1362,'Pinlist(S3)'!$E$4:$E$1362,""),_xlpm.cleanRaw,SUBSTITUTE(SUBSTITUTE(_xlpm.raw,"_PIN","."),"PIN","."),_xlpm.mainPart,MID(_xlpm.cleanRaw,2,FIND(".",_xlpm.cleanRaw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807040</v>
      </c>
      <c r="H380" t="str">
        <f>_xlfn.LET(_xlpm.raw,_xlfn.XLOOKUP(A380,'Pinlist(S5)'!$C$4:$C$1362,'Pinlist(S5)'!$E$4:$E$1362,""),_xlpm.cleanRaw,SUBSTITUTE(SUBSTITUTE(_xlpm.raw,"_PIN","."),"PIN","."),_xlpm.mainPart,MID(_xlpm.cleanRaw,2,FIND(".",_xlpm.cleanRaw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I380" t="str">
        <f>""</f>
        <v/>
      </c>
      <c r="J380" t="str">
        <f t="shared" si="5"/>
        <v>J10;USB3_3_SSIC_2_RXN;KA515,LA529;5.40299999999999;5.32399999999999;504094;807040;603099;</v>
      </c>
    </row>
    <row r="381" spans="1:10">
      <c r="A381" t="s">
        <v>2179</v>
      </c>
      <c r="B381" t="str">
        <f>_xlfn.XLOOKUP(A381,'Pinlist(S1)'!$Q$4:$Q$1362,'Pinlist(S1)'!$R$4:$R$1362,"")</f>
        <v>VSS</v>
      </c>
      <c r="C381" t="str" cm="1">
        <f t="array" ref="C381">_xlfn.TEXTJOIN(",",TRUE,_xlfn.UNIQUE(TRANSPOSE(_xlfn.MAP(_xlfn.XLOOKUP(A381,'Pinlist(S1)'!$C$4:$C$1362,'Pinlist(S1)'!$F$4:$K$1362,""),_xlfn.LAMBDA(_xlpm.x,IF(_xlpm.x&lt;&gt;"",TRIM(CLEAN(LEFT(_xlpm.x,FIND(".",_xlpm.x &amp; ".")-1))),""))))))</f>
        <v/>
      </c>
      <c r="D381">
        <v>6.3179999999999898</v>
      </c>
      <c r="E381">
        <v>5.3239999999999901</v>
      </c>
      <c r="F381" t="str">
        <f>_xlfn.LET(_xlpm.raw,_xlfn.XLOOKUP(A381,'Pinlist(S1)'!$C$4:$C$1362,'Pinlist(S1)'!$E$4:$E$1362,""),_xlpm.cleanRaw,SUBSTITUTE(SUBSTITUTE(_xlpm.raw,"_PIN","."),"PIN","."),_xlpm.mainPart,MID(_xlpm.cleanRaw,2,FIND(".",_xlpm.cleanRaw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1" t="str">
        <f>_xlfn.LET(_xlpm.raw,_xlfn.XLOOKUP(A381,'Pinlist(S3)'!$C$4:$C$1362,'Pinlist(S3)'!$E$4:$E$1362,""),_xlpm.cleanRaw,SUBSTITUTE(SUBSTITUTE(_xlpm.raw,"_PIN","."),"PIN","."),_xlpm.mainPart,MID(_xlpm.cleanRaw,2,FIND(".",_xlpm.cleanRaw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1" t="str">
        <f>_xlfn.LET(_xlpm.raw,_xlfn.XLOOKUP(A381,'Pinlist(S5)'!$C$4:$C$1362,'Pinlist(S5)'!$E$4:$E$1362,""),_xlpm.cleanRaw,SUBSTITUTE(SUBSTITUTE(_xlpm.raw,"_PIN","."),"PIN","."),_xlpm.mainPart,MID(_xlpm.cleanRaw,2,FIND(".",_xlpm.cleanRaw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1" t="str">
        <f>""</f>
        <v/>
      </c>
      <c r="J381" t="str">
        <f t="shared" si="5"/>
        <v>J11;VSS;;6.31799999999999;5.32399999999999;;;;</v>
      </c>
    </row>
    <row r="382" spans="1:10">
      <c r="A382" t="s">
        <v>2180</v>
      </c>
      <c r="B382" t="str">
        <f>_xlfn.XLOOKUP(A382,'Pinlist(S1)'!$Q$4:$Q$1362,'Pinlist(S1)'!$R$4:$R$1362,"")</f>
        <v>VSS</v>
      </c>
      <c r="C382" t="str" cm="1">
        <f t="array" ref="C382">_xlfn.TEXTJOIN(",",TRUE,_xlfn.UNIQUE(TRANSPOSE(_xlfn.MAP(_xlfn.XLOOKUP(A382,'Pinlist(S1)'!$C$4:$C$1362,'Pinlist(S1)'!$F$4:$K$1362,""),_xlfn.LAMBDA(_xlpm.x,IF(_xlpm.x&lt;&gt;"",TRIM(CLEAN(LEFT(_xlpm.x,FIND(".",_xlpm.x &amp; ".")-1))),""))))))</f>
        <v/>
      </c>
      <c r="D382">
        <v>7.2319999999999904</v>
      </c>
      <c r="E382">
        <v>5.3239999999999901</v>
      </c>
      <c r="F382" t="str">
        <f>_xlfn.LET(_xlpm.raw,_xlfn.XLOOKUP(A382,'Pinlist(S1)'!$C$4:$C$1362,'Pinlist(S1)'!$E$4:$E$1362,""),_xlpm.cleanRaw,SUBSTITUTE(SUBSTITUTE(_xlpm.raw,"_PIN","."),"PIN","."),_xlpm.mainPart,MID(_xlpm.cleanRaw,2,FIND(".",_xlpm.cleanRaw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2" t="str">
        <f>_xlfn.LET(_xlpm.raw,_xlfn.XLOOKUP(A382,'Pinlist(S3)'!$C$4:$C$1362,'Pinlist(S3)'!$E$4:$E$1362,""),_xlpm.cleanRaw,SUBSTITUTE(SUBSTITUTE(_xlpm.raw,"_PIN","."),"PIN","."),_xlpm.mainPart,MID(_xlpm.cleanRaw,2,FIND(".",_xlpm.cleanRaw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2" t="str">
        <f>_xlfn.LET(_xlpm.raw,_xlfn.XLOOKUP(A382,'Pinlist(S5)'!$C$4:$C$1362,'Pinlist(S5)'!$E$4:$E$1362,""),_xlpm.cleanRaw,SUBSTITUTE(SUBSTITUTE(_xlpm.raw,"_PIN","."),"PIN","."),_xlpm.mainPart,MID(_xlpm.cleanRaw,2,FIND(".",_xlpm.cleanRaw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2" t="str">
        <f>""</f>
        <v/>
      </c>
      <c r="J382" t="str">
        <f t="shared" si="5"/>
        <v>J13;VSS;;7.23199999999999;5.32399999999999;;;;</v>
      </c>
    </row>
    <row r="383" spans="1:10">
      <c r="A383" t="s">
        <v>1844</v>
      </c>
      <c r="B383" t="str">
        <f>_xlfn.XLOOKUP(A383,'Pinlist(S1)'!$Q$4:$Q$1362,'Pinlist(S1)'!$R$4:$R$1362,"")</f>
        <v>VCCSA</v>
      </c>
      <c r="C383" t="str" cm="1">
        <f t="array" ref="C383">_xlfn.TEXTJOIN(",",TRUE,_xlfn.UNIQUE(TRANSPOSE(_xlfn.MAP(_xlfn.XLOOKUP(A383,'Pinlist(S1)'!$C$4:$C$1362,'Pinlist(S1)'!$F$4:$K$1362,""),_xlfn.LAMBDA(_xlpm.x,IF(_xlpm.x&lt;&gt;"",TRIM(CLEAN(LEFT(_xlpm.x,FIND(".",_xlpm.x &amp; ".")-1))),""))))))</f>
        <v/>
      </c>
      <c r="D383">
        <v>13.176</v>
      </c>
      <c r="E383">
        <v>4.4870000000000001</v>
      </c>
      <c r="F383" t="str">
        <f>_xlfn.LET(_xlpm.raw,_xlfn.XLOOKUP(A383,'Pinlist(S1)'!$C$4:$C$1362,'Pinlist(S1)'!$E$4:$E$1362,""),_xlpm.cleanRaw,SUBSTITUTE(SUBSTITUTE(_xlpm.raw,"_PIN","."),"PIN","."),_xlpm.mainPart,MID(_xlpm.cleanRaw,2,FIND(".",_xlpm.cleanRaw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3" t="str">
        <f>_xlfn.LET(_xlpm.raw,_xlfn.XLOOKUP(A383,'Pinlist(S3)'!$C$4:$C$1362,'Pinlist(S3)'!$E$4:$E$1362,""),_xlpm.cleanRaw,SUBSTITUTE(SUBSTITUTE(_xlpm.raw,"_PIN","."),"PIN","."),_xlpm.mainPart,MID(_xlpm.cleanRaw,2,FIND(".",_xlpm.cleanRaw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3" t="str">
        <f>_xlfn.LET(_xlpm.raw,_xlfn.XLOOKUP(A383,'Pinlist(S5)'!$C$4:$C$1362,'Pinlist(S5)'!$E$4:$E$1362,""),_xlpm.cleanRaw,SUBSTITUTE(SUBSTITUTE(_xlpm.raw,"_PIN","."),"PIN","."),_xlpm.mainPart,MID(_xlpm.cleanRaw,2,FIND(".",_xlpm.cleanRaw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3" t="str">
        <f>""</f>
        <v/>
      </c>
      <c r="J383" t="str">
        <f t="shared" si="5"/>
        <v>J22;VCCSA;;13.176;4.487;;;;</v>
      </c>
    </row>
    <row r="384" spans="1:10">
      <c r="A384" t="s">
        <v>1845</v>
      </c>
      <c r="B384" t="str">
        <f>_xlfn.XLOOKUP(A384,'Pinlist(S1)'!$Q$4:$Q$1362,'Pinlist(S1)'!$R$4:$R$1362,"")</f>
        <v>VCCSA</v>
      </c>
      <c r="C384" t="str" cm="1">
        <f t="array" ref="C384">_xlfn.TEXTJOIN(",",TRUE,_xlfn.UNIQUE(TRANSPOSE(_xlfn.MAP(_xlfn.XLOOKUP(A384,'Pinlist(S1)'!$C$4:$C$1362,'Pinlist(S1)'!$F$4:$K$1362,""),_xlfn.LAMBDA(_xlpm.x,IF(_xlpm.x&lt;&gt;"",TRIM(CLEAN(LEFT(_xlpm.x,FIND(".",_xlpm.x &amp; ".")-1))),""))))))</f>
        <v/>
      </c>
      <c r="D384">
        <v>14.09</v>
      </c>
      <c r="E384">
        <v>4.4870000000000001</v>
      </c>
      <c r="F384" t="str">
        <f>_xlfn.LET(_xlpm.raw,_xlfn.XLOOKUP(A384,'Pinlist(S1)'!$C$4:$C$1362,'Pinlist(S1)'!$E$4:$E$1362,""),_xlpm.cleanRaw,SUBSTITUTE(SUBSTITUTE(_xlpm.raw,"_PIN","."),"PIN","."),_xlpm.mainPart,MID(_xlpm.cleanRaw,2,FIND(".",_xlpm.cleanRaw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4" t="str">
        <f>_xlfn.LET(_xlpm.raw,_xlfn.XLOOKUP(A384,'Pinlist(S3)'!$C$4:$C$1362,'Pinlist(S3)'!$E$4:$E$1362,""),_xlpm.cleanRaw,SUBSTITUTE(SUBSTITUTE(_xlpm.raw,"_PIN","."),"PIN","."),_xlpm.mainPart,MID(_xlpm.cleanRaw,2,FIND(".",_xlpm.cleanRaw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4" t="str">
        <f>_xlfn.LET(_xlpm.raw,_xlfn.XLOOKUP(A384,'Pinlist(S5)'!$C$4:$C$1362,'Pinlist(S5)'!$E$4:$E$1362,""),_xlpm.cleanRaw,SUBSTITUTE(SUBSTITUTE(_xlpm.raw,"_PIN","."),"PIN","."),_xlpm.mainPart,MID(_xlpm.cleanRaw,2,FIND(".",_xlpm.cleanRaw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4" t="str">
        <f>""</f>
        <v/>
      </c>
      <c r="J384" t="str">
        <f t="shared" si="5"/>
        <v>J23;VCCSA;;14.09;4.487;;;;</v>
      </c>
    </row>
    <row r="385" spans="1:10">
      <c r="A385" t="s">
        <v>2181</v>
      </c>
      <c r="B385" t="str">
        <f>_xlfn.XLOOKUP(A385,'Pinlist(S1)'!$Q$4:$Q$1362,'Pinlist(S1)'!$R$4:$R$1362,"")</f>
        <v>VSS</v>
      </c>
      <c r="C385" t="str" cm="1">
        <f t="array" ref="C385">_xlfn.TEXTJOIN(",",TRUE,_xlfn.UNIQUE(TRANSPOSE(_xlfn.MAP(_xlfn.XLOOKUP(A385,'Pinlist(S1)'!$C$4:$C$1362,'Pinlist(S1)'!$F$4:$K$1362,""),_xlfn.LAMBDA(_xlpm.x,IF(_xlpm.x&lt;&gt;"",TRIM(CLEAN(LEFT(_xlpm.x,FIND(".",_xlpm.x &amp; ".")-1))),""))))))</f>
        <v/>
      </c>
      <c r="D385">
        <v>15.004</v>
      </c>
      <c r="E385">
        <v>4.4870000000000001</v>
      </c>
      <c r="F385" t="str">
        <f>_xlfn.LET(_xlpm.raw,_xlfn.XLOOKUP(A385,'Pinlist(S1)'!$C$4:$C$1362,'Pinlist(S1)'!$E$4:$E$1362,""),_xlpm.cleanRaw,SUBSTITUTE(SUBSTITUTE(_xlpm.raw,"_PIN","."),"PIN","."),_xlpm.mainPart,MID(_xlpm.cleanRaw,2,FIND(".",_xlpm.cleanRaw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5" t="str">
        <f>_xlfn.LET(_xlpm.raw,_xlfn.XLOOKUP(A385,'Pinlist(S3)'!$C$4:$C$1362,'Pinlist(S3)'!$E$4:$E$1362,""),_xlpm.cleanRaw,SUBSTITUTE(SUBSTITUTE(_xlpm.raw,"_PIN","."),"PIN","."),_xlpm.mainPart,MID(_xlpm.cleanRaw,2,FIND(".",_xlpm.cleanRaw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5" t="str">
        <f>_xlfn.LET(_xlpm.raw,_xlfn.XLOOKUP(A385,'Pinlist(S5)'!$C$4:$C$1362,'Pinlist(S5)'!$E$4:$E$1362,""),_xlpm.cleanRaw,SUBSTITUTE(SUBSTITUTE(_xlpm.raw,"_PIN","."),"PIN","."),_xlpm.mainPart,MID(_xlpm.cleanRaw,2,FIND(".",_xlpm.cleanRaw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5" t="str">
        <f>""</f>
        <v/>
      </c>
      <c r="J385" t="str">
        <f t="shared" si="5"/>
        <v>J25;VSS;;15.004;4.487;;;;</v>
      </c>
    </row>
    <row r="386" spans="1:10">
      <c r="A386" t="s">
        <v>1846</v>
      </c>
      <c r="B386" t="str">
        <f>_xlfn.XLOOKUP(A386,'Pinlist(S1)'!$Q$4:$Q$1362,'Pinlist(S1)'!$R$4:$R$1362,"")</f>
        <v>VCCSA</v>
      </c>
      <c r="C386" t="str" cm="1">
        <f t="array" ref="C386">_xlfn.TEXTJOIN(",",TRUE,_xlfn.UNIQUE(TRANSPOSE(_xlfn.MAP(_xlfn.XLOOKUP(A386,'Pinlist(S1)'!$C$4:$C$1362,'Pinlist(S1)'!$F$4:$K$1362,""),_xlfn.LAMBDA(_xlpm.x,IF(_xlpm.x&lt;&gt;"",TRIM(CLEAN(LEFT(_xlpm.x,FIND(".",_xlpm.x &amp; ".")-1))),""))))))</f>
        <v/>
      </c>
      <c r="D386">
        <v>15.919</v>
      </c>
      <c r="E386">
        <v>4.4870000000000001</v>
      </c>
      <c r="F386" t="str">
        <f>_xlfn.LET(_xlpm.raw,_xlfn.XLOOKUP(A386,'Pinlist(S1)'!$C$4:$C$1362,'Pinlist(S1)'!$E$4:$E$1362,""),_xlpm.cleanRaw,SUBSTITUTE(SUBSTITUTE(_xlpm.raw,"_PIN","."),"PIN","."),_xlpm.mainPart,MID(_xlpm.cleanRaw,2,FIND(".",_xlpm.cleanRaw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6" t="str">
        <f>_xlfn.LET(_xlpm.raw,_xlfn.XLOOKUP(A386,'Pinlist(S3)'!$C$4:$C$1362,'Pinlist(S3)'!$E$4:$E$1362,""),_xlpm.cleanRaw,SUBSTITUTE(SUBSTITUTE(_xlpm.raw,"_PIN","."),"PIN","."),_xlpm.mainPart,MID(_xlpm.cleanRaw,2,FIND(".",_xlpm.cleanRaw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6" t="str">
        <f>_xlfn.LET(_xlpm.raw,_xlfn.XLOOKUP(A386,'Pinlist(S5)'!$C$4:$C$1362,'Pinlist(S5)'!$E$4:$E$1362,""),_xlpm.cleanRaw,SUBSTITUTE(SUBSTITUTE(_xlpm.raw,"_PIN","."),"PIN","."),_xlpm.mainPart,MID(_xlpm.cleanRaw,2,FIND(".",_xlpm.cleanRaw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6" t="str">
        <f>""</f>
        <v/>
      </c>
      <c r="J386" t="str">
        <f t="shared" ref="J386:J449" si="6">A386&amp;";"&amp;B386&amp;";"&amp;C386&amp;";"&amp;D386&amp;";"&amp;E386&amp;";"&amp;F386&amp;";"&amp;G386&amp;";"&amp;H386&amp;";"&amp;I386</f>
        <v>J27;VCCSA;;15.919;4.487;;;;</v>
      </c>
    </row>
    <row r="387" spans="1:10">
      <c r="A387" t="s">
        <v>2182</v>
      </c>
      <c r="B387" t="str">
        <f>_xlfn.XLOOKUP(A387,'Pinlist(S1)'!$Q$4:$Q$1362,'Pinlist(S1)'!$R$4:$R$1362,"")</f>
        <v>VSS</v>
      </c>
      <c r="C387" t="str" cm="1">
        <f t="array" ref="C387">_xlfn.TEXTJOIN(",",TRUE,_xlfn.UNIQUE(TRANSPOSE(_xlfn.MAP(_xlfn.XLOOKUP(A387,'Pinlist(S1)'!$C$4:$C$1362,'Pinlist(S1)'!$F$4:$K$1362,""),_xlfn.LAMBDA(_xlpm.x,IF(_xlpm.x&lt;&gt;"",TRIM(CLEAN(LEFT(_xlpm.x,FIND(".",_xlpm.x &amp; ".")-1))),""))))))</f>
        <v/>
      </c>
      <c r="D387">
        <v>16.832999999999998</v>
      </c>
      <c r="E387">
        <v>4.4870000000000001</v>
      </c>
      <c r="F387" t="str">
        <f>_xlfn.LET(_xlpm.raw,_xlfn.XLOOKUP(A387,'Pinlist(S1)'!$C$4:$C$1362,'Pinlist(S1)'!$E$4:$E$1362,""),_xlpm.cleanRaw,SUBSTITUTE(SUBSTITUTE(_xlpm.raw,"_PIN","."),"PIN","."),_xlpm.mainPart,MID(_xlpm.cleanRaw,2,FIND(".",_xlpm.cleanRaw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7" t="str">
        <f>_xlfn.LET(_xlpm.raw,_xlfn.XLOOKUP(A387,'Pinlist(S3)'!$C$4:$C$1362,'Pinlist(S3)'!$E$4:$E$1362,""),_xlpm.cleanRaw,SUBSTITUTE(SUBSTITUTE(_xlpm.raw,"_PIN","."),"PIN","."),_xlpm.mainPart,MID(_xlpm.cleanRaw,2,FIND(".",_xlpm.cleanRaw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7" t="str">
        <f>_xlfn.LET(_xlpm.raw,_xlfn.XLOOKUP(A387,'Pinlist(S5)'!$C$4:$C$1362,'Pinlist(S5)'!$E$4:$E$1362,""),_xlpm.cleanRaw,SUBSTITUTE(SUBSTITUTE(_xlpm.raw,"_PIN","."),"PIN","."),_xlpm.mainPart,MID(_xlpm.cleanRaw,2,FIND(".",_xlpm.cleanRaw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7" t="str">
        <f>""</f>
        <v/>
      </c>
      <c r="J387" t="str">
        <f t="shared" si="6"/>
        <v>J28;VSS;;16.833;4.487;;;;</v>
      </c>
    </row>
    <row r="388" spans="1:10">
      <c r="A388" t="s">
        <v>1576</v>
      </c>
      <c r="B388" t="str">
        <f>_xlfn.XLOOKUP(A388,'Pinlist(S1)'!$Q$4:$Q$1362,'Pinlist(S1)'!$R$4:$R$1362,"")</f>
        <v>VCCCORE</v>
      </c>
      <c r="C388" t="str" cm="1">
        <f t="array" ref="C388">_xlfn.TEXTJOIN(",",TRUE,_xlfn.UNIQUE(TRANSPOSE(_xlfn.MAP(_xlfn.XLOOKUP(A388,'Pinlist(S1)'!$C$4:$C$1362,'Pinlist(S1)'!$F$4:$K$1362,""),_xlfn.LAMBDA(_xlpm.x,IF(_xlpm.x&lt;&gt;"",TRIM(CLEAN(LEFT(_xlpm.x,FIND(".",_xlpm.x &amp; ".")-1))),""))))))</f>
        <v/>
      </c>
      <c r="D388">
        <v>17.748000000000001</v>
      </c>
      <c r="E388">
        <v>4.4870000000000001</v>
      </c>
      <c r="F388" t="str">
        <f>_xlfn.LET(_xlpm.raw,_xlfn.XLOOKUP(A388,'Pinlist(S1)'!$C$4:$C$1362,'Pinlist(S1)'!$E$4:$E$1362,""),_xlpm.cleanRaw,SUBSTITUTE(SUBSTITUTE(_xlpm.raw,"_PIN","."),"PIN","."),_xlpm.mainPart,MID(_xlpm.cleanRaw,2,FIND(".",_xlpm.cleanRaw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8" t="str">
        <f>_xlfn.LET(_xlpm.raw,_xlfn.XLOOKUP(A388,'Pinlist(S3)'!$C$4:$C$1362,'Pinlist(S3)'!$E$4:$E$1362,""),_xlpm.cleanRaw,SUBSTITUTE(SUBSTITUTE(_xlpm.raw,"_PIN","."),"PIN","."),_xlpm.mainPart,MID(_xlpm.cleanRaw,2,FIND(".",_xlpm.cleanRaw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8" t="str">
        <f>_xlfn.LET(_xlpm.raw,_xlfn.XLOOKUP(A388,'Pinlist(S5)'!$C$4:$C$1362,'Pinlist(S5)'!$E$4:$E$1362,""),_xlpm.cleanRaw,SUBSTITUTE(SUBSTITUTE(_xlpm.raw,"_PIN","."),"PIN","."),_xlpm.mainPart,MID(_xlpm.cleanRaw,2,FIND(".",_xlpm.cleanRaw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8" t="str">
        <f>""</f>
        <v/>
      </c>
      <c r="J388" t="str">
        <f t="shared" si="6"/>
        <v>J30;VCCCORE;;17.748;4.487;;;;</v>
      </c>
    </row>
    <row r="389" spans="1:10">
      <c r="A389" t="s">
        <v>2183</v>
      </c>
      <c r="B389" t="str">
        <f>_xlfn.XLOOKUP(A389,'Pinlist(S1)'!$Q$4:$Q$1362,'Pinlist(S1)'!$R$4:$R$1362,"")</f>
        <v>VSS</v>
      </c>
      <c r="C389" t="str" cm="1">
        <f t="array" ref="C389">_xlfn.TEXTJOIN(",",TRUE,_xlfn.UNIQUE(TRANSPOSE(_xlfn.MAP(_xlfn.XLOOKUP(A389,'Pinlist(S1)'!$C$4:$C$1362,'Pinlist(S1)'!$F$4:$K$1362,""),_xlfn.LAMBDA(_xlpm.x,IF(_xlpm.x&lt;&gt;"",TRIM(CLEAN(LEFT(_xlpm.x,FIND(".",_xlpm.x &amp; ".")-1))),""))))))</f>
        <v/>
      </c>
      <c r="D389">
        <v>18.661999999999999</v>
      </c>
      <c r="E389">
        <v>4.4870000000000001</v>
      </c>
      <c r="F389" t="str">
        <f>_xlfn.LET(_xlpm.raw,_xlfn.XLOOKUP(A389,'Pinlist(S1)'!$C$4:$C$1362,'Pinlist(S1)'!$E$4:$E$1362,""),_xlpm.cleanRaw,SUBSTITUTE(SUBSTITUTE(_xlpm.raw,"_PIN","."),"PIN","."),_xlpm.mainPart,MID(_xlpm.cleanRaw,2,FIND(".",_xlpm.cleanRaw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9" t="str">
        <f>_xlfn.LET(_xlpm.raw,_xlfn.XLOOKUP(A389,'Pinlist(S3)'!$C$4:$C$1362,'Pinlist(S3)'!$E$4:$E$1362,""),_xlpm.cleanRaw,SUBSTITUTE(SUBSTITUTE(_xlpm.raw,"_PIN","."),"PIN","."),_xlpm.mainPart,MID(_xlpm.cleanRaw,2,FIND(".",_xlpm.cleanRaw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9" t="str">
        <f>_xlfn.LET(_xlpm.raw,_xlfn.XLOOKUP(A389,'Pinlist(S5)'!$C$4:$C$1362,'Pinlist(S5)'!$E$4:$E$1362,""),_xlpm.cleanRaw,SUBSTITUTE(SUBSTITUTE(_xlpm.raw,"_PIN","."),"PIN","."),_xlpm.mainPart,MID(_xlpm.cleanRaw,2,FIND(".",_xlpm.cleanRaw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9" t="str">
        <f>""</f>
        <v/>
      </c>
      <c r="J389" t="str">
        <f t="shared" si="6"/>
        <v>J32;VSS;;18.662;4.487;;;;</v>
      </c>
    </row>
    <row r="390" spans="1:10">
      <c r="A390" t="s">
        <v>1577</v>
      </c>
      <c r="B390" t="str">
        <f>_xlfn.XLOOKUP(A390,'Pinlist(S1)'!$Q$4:$Q$1362,'Pinlist(S1)'!$R$4:$R$1362,"")</f>
        <v>VCCCORE</v>
      </c>
      <c r="C390" t="str" cm="1">
        <f t="array" ref="C390">_xlfn.TEXTJOIN(",",TRUE,_xlfn.UNIQUE(TRANSPOSE(_xlfn.MAP(_xlfn.XLOOKUP(A390,'Pinlist(S1)'!$C$4:$C$1362,'Pinlist(S1)'!$F$4:$K$1362,""),_xlfn.LAMBDA(_xlpm.x,IF(_xlpm.x&lt;&gt;"",TRIM(CLEAN(LEFT(_xlpm.x,FIND(".",_xlpm.x &amp; ".")-1))),""))))))</f>
        <v/>
      </c>
      <c r="D390">
        <v>19.576000000000001</v>
      </c>
      <c r="E390">
        <v>4.4870000000000001</v>
      </c>
      <c r="F390" t="str">
        <f>_xlfn.LET(_xlpm.raw,_xlfn.XLOOKUP(A390,'Pinlist(S1)'!$C$4:$C$1362,'Pinlist(S1)'!$E$4:$E$1362,""),_xlpm.cleanRaw,SUBSTITUTE(SUBSTITUTE(_xlpm.raw,"_PIN","."),"PIN","."),_xlpm.mainPart,MID(_xlpm.cleanRaw,2,FIND(".",_xlpm.cleanRaw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0" t="str">
        <f>_xlfn.LET(_xlpm.raw,_xlfn.XLOOKUP(A390,'Pinlist(S3)'!$C$4:$C$1362,'Pinlist(S3)'!$E$4:$E$1362,""),_xlpm.cleanRaw,SUBSTITUTE(SUBSTITUTE(_xlpm.raw,"_PIN","."),"PIN","."),_xlpm.mainPart,MID(_xlpm.cleanRaw,2,FIND(".",_xlpm.cleanRaw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0" t="str">
        <f>_xlfn.LET(_xlpm.raw,_xlfn.XLOOKUP(A390,'Pinlist(S5)'!$C$4:$C$1362,'Pinlist(S5)'!$E$4:$E$1362,""),_xlpm.cleanRaw,SUBSTITUTE(SUBSTITUTE(_xlpm.raw,"_PIN","."),"PIN","."),_xlpm.mainPart,MID(_xlpm.cleanRaw,2,FIND(".",_xlpm.cleanRaw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0" t="str">
        <f>""</f>
        <v/>
      </c>
      <c r="J390" t="str">
        <f t="shared" si="6"/>
        <v>J33;VCCCORE;;19.576;4.487;;;;</v>
      </c>
    </row>
    <row r="391" spans="1:10">
      <c r="A391" t="s">
        <v>2184</v>
      </c>
      <c r="B391" t="str">
        <f>_xlfn.XLOOKUP(A391,'Pinlist(S1)'!$Q$4:$Q$1362,'Pinlist(S1)'!$R$4:$R$1362,"")</f>
        <v>VSS</v>
      </c>
      <c r="C391" t="str" cm="1">
        <f t="array" ref="C391">_xlfn.TEXTJOIN(",",TRUE,_xlfn.UNIQUE(TRANSPOSE(_xlfn.MAP(_xlfn.XLOOKUP(A391,'Pinlist(S1)'!$C$4:$C$1362,'Pinlist(S1)'!$F$4:$K$1362,""),_xlfn.LAMBDA(_xlpm.x,IF(_xlpm.x&lt;&gt;"",TRIM(CLEAN(LEFT(_xlpm.x,FIND(".",_xlpm.x &amp; ".")-1))),""))))))</f>
        <v/>
      </c>
      <c r="D391">
        <v>20.491</v>
      </c>
      <c r="E391">
        <v>4.4870000000000001</v>
      </c>
      <c r="F391" t="str">
        <f>_xlfn.LET(_xlpm.raw,_xlfn.XLOOKUP(A391,'Pinlist(S1)'!$C$4:$C$1362,'Pinlist(S1)'!$E$4:$E$1362,""),_xlpm.cleanRaw,SUBSTITUTE(SUBSTITUTE(_xlpm.raw,"_PIN","."),"PIN","."),_xlpm.mainPart,MID(_xlpm.cleanRaw,2,FIND(".",_xlpm.cleanRaw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1" t="str">
        <f>_xlfn.LET(_xlpm.raw,_xlfn.XLOOKUP(A391,'Pinlist(S3)'!$C$4:$C$1362,'Pinlist(S3)'!$E$4:$E$1362,""),_xlpm.cleanRaw,SUBSTITUTE(SUBSTITUTE(_xlpm.raw,"_PIN","."),"PIN","."),_xlpm.mainPart,MID(_xlpm.cleanRaw,2,FIND(".",_xlpm.cleanRaw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1" t="str">
        <f>_xlfn.LET(_xlpm.raw,_xlfn.XLOOKUP(A391,'Pinlist(S5)'!$C$4:$C$1362,'Pinlist(S5)'!$E$4:$E$1362,""),_xlpm.cleanRaw,SUBSTITUTE(SUBSTITUTE(_xlpm.raw,"_PIN","."),"PIN","."),_xlpm.mainPart,MID(_xlpm.cleanRaw,2,FIND(".",_xlpm.cleanRaw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1" t="str">
        <f>""</f>
        <v/>
      </c>
      <c r="J391" t="str">
        <f t="shared" si="6"/>
        <v>J35;VSS;;20.491;4.487;;;;</v>
      </c>
    </row>
    <row r="392" spans="1:10">
      <c r="A392" t="s">
        <v>1578</v>
      </c>
      <c r="B392" t="str">
        <f>_xlfn.XLOOKUP(A392,'Pinlist(S1)'!$Q$4:$Q$1362,'Pinlist(S1)'!$R$4:$R$1362,"")</f>
        <v>VCCCORE</v>
      </c>
      <c r="C392" t="str" cm="1">
        <f t="array" ref="C392">_xlfn.TEXTJOIN(",",TRUE,_xlfn.UNIQUE(TRANSPOSE(_xlfn.MAP(_xlfn.XLOOKUP(A392,'Pinlist(S1)'!$C$4:$C$1362,'Pinlist(S1)'!$F$4:$K$1362,""),_xlfn.LAMBDA(_xlpm.x,IF(_xlpm.x&lt;&gt;"",TRIM(CLEAN(LEFT(_xlpm.x,FIND(".",_xlpm.x &amp; ".")-1))),""))))))</f>
        <v/>
      </c>
      <c r="D392">
        <v>21.405000000000001</v>
      </c>
      <c r="E392">
        <v>4.4870000000000001</v>
      </c>
      <c r="F392" t="str">
        <f>_xlfn.LET(_xlpm.raw,_xlfn.XLOOKUP(A392,'Pinlist(S1)'!$C$4:$C$1362,'Pinlist(S1)'!$E$4:$E$1362,""),_xlpm.cleanRaw,SUBSTITUTE(SUBSTITUTE(_xlpm.raw,"_PIN","."),"PIN","."),_xlpm.mainPart,MID(_xlpm.cleanRaw,2,FIND(".",_xlpm.cleanRaw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2" t="str">
        <f>_xlfn.LET(_xlpm.raw,_xlfn.XLOOKUP(A392,'Pinlist(S3)'!$C$4:$C$1362,'Pinlist(S3)'!$E$4:$E$1362,""),_xlpm.cleanRaw,SUBSTITUTE(SUBSTITUTE(_xlpm.raw,"_PIN","."),"PIN","."),_xlpm.mainPart,MID(_xlpm.cleanRaw,2,FIND(".",_xlpm.cleanRaw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2" t="str">
        <f>_xlfn.LET(_xlpm.raw,_xlfn.XLOOKUP(A392,'Pinlist(S5)'!$C$4:$C$1362,'Pinlist(S5)'!$E$4:$E$1362,""),_xlpm.cleanRaw,SUBSTITUTE(SUBSTITUTE(_xlpm.raw,"_PIN","."),"PIN","."),_xlpm.mainPart,MID(_xlpm.cleanRaw,2,FIND(".",_xlpm.cleanRaw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2" t="str">
        <f>""</f>
        <v/>
      </c>
      <c r="J392" t="str">
        <f t="shared" si="6"/>
        <v>J37;VCCCORE;;21.405;4.487;;;;</v>
      </c>
    </row>
    <row r="393" spans="1:10">
      <c r="A393" t="s">
        <v>2185</v>
      </c>
      <c r="B393" t="str">
        <f>_xlfn.XLOOKUP(A393,'Pinlist(S1)'!$Q$4:$Q$1362,'Pinlist(S1)'!$R$4:$R$1362,"")</f>
        <v>VSS</v>
      </c>
      <c r="C393" t="str" cm="1">
        <f t="array" ref="C393">_xlfn.TEXTJOIN(",",TRUE,_xlfn.UNIQUE(TRANSPOSE(_xlfn.MAP(_xlfn.XLOOKUP(A393,'Pinlist(S1)'!$C$4:$C$1362,'Pinlist(S1)'!$F$4:$K$1362,""),_xlfn.LAMBDA(_xlpm.x,IF(_xlpm.x&lt;&gt;"",TRIM(CLEAN(LEFT(_xlpm.x,FIND(".",_xlpm.x &amp; ".")-1))),""))))))</f>
        <v/>
      </c>
      <c r="D393">
        <v>22.32</v>
      </c>
      <c r="E393">
        <v>4.4870000000000001</v>
      </c>
      <c r="F393" t="str">
        <f>_xlfn.LET(_xlpm.raw,_xlfn.XLOOKUP(A393,'Pinlist(S1)'!$C$4:$C$1362,'Pinlist(S1)'!$E$4:$E$1362,""),_xlpm.cleanRaw,SUBSTITUTE(SUBSTITUTE(_xlpm.raw,"_PIN","."),"PIN","."),_xlpm.mainPart,MID(_xlpm.cleanRaw,2,FIND(".",_xlpm.cleanRaw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3" t="str">
        <f>_xlfn.LET(_xlpm.raw,_xlfn.XLOOKUP(A393,'Pinlist(S3)'!$C$4:$C$1362,'Pinlist(S3)'!$E$4:$E$1362,""),_xlpm.cleanRaw,SUBSTITUTE(SUBSTITUTE(_xlpm.raw,"_PIN","."),"PIN","."),_xlpm.mainPart,MID(_xlpm.cleanRaw,2,FIND(".",_xlpm.cleanRaw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3" t="str">
        <f>_xlfn.LET(_xlpm.raw,_xlfn.XLOOKUP(A393,'Pinlist(S5)'!$C$4:$C$1362,'Pinlist(S5)'!$E$4:$E$1362,""),_xlpm.cleanRaw,SUBSTITUTE(SUBSTITUTE(_xlpm.raw,"_PIN","."),"PIN","."),_xlpm.mainPart,MID(_xlpm.cleanRaw,2,FIND(".",_xlpm.cleanRaw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3" t="str">
        <f>""</f>
        <v/>
      </c>
      <c r="J393" t="str">
        <f t="shared" si="6"/>
        <v>J38;VSS;;22.32;4.487;;;;</v>
      </c>
    </row>
    <row r="394" spans="1:10">
      <c r="A394" t="s">
        <v>1579</v>
      </c>
      <c r="B394" t="str">
        <f>_xlfn.XLOOKUP(A394,'Pinlist(S1)'!$Q$4:$Q$1362,'Pinlist(S1)'!$R$4:$R$1362,"")</f>
        <v>VCCCORE</v>
      </c>
      <c r="C394" t="str" cm="1">
        <f t="array" ref="C394">_xlfn.TEXTJOIN(",",TRUE,_xlfn.UNIQUE(TRANSPOSE(_xlfn.MAP(_xlfn.XLOOKUP(A394,'Pinlist(S1)'!$C$4:$C$1362,'Pinlist(S1)'!$F$4:$K$1362,""),_xlfn.LAMBDA(_xlpm.x,IF(_xlpm.x&lt;&gt;"",TRIM(CLEAN(LEFT(_xlpm.x,FIND(".",_xlpm.x &amp; ".")-1))),""))))))</f>
        <v/>
      </c>
      <c r="D394">
        <v>23.234000000000002</v>
      </c>
      <c r="E394">
        <v>4.4870000000000001</v>
      </c>
      <c r="F394" t="str">
        <f>_xlfn.LET(_xlpm.raw,_xlfn.XLOOKUP(A394,'Pinlist(S1)'!$C$4:$C$1362,'Pinlist(S1)'!$E$4:$E$1362,""),_xlpm.cleanRaw,SUBSTITUTE(SUBSTITUTE(_xlpm.raw,"_PIN","."),"PIN","."),_xlpm.mainPart,MID(_xlpm.cleanRaw,2,FIND(".",_xlpm.cleanRaw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4" t="str">
        <f>_xlfn.LET(_xlpm.raw,_xlfn.XLOOKUP(A394,'Pinlist(S3)'!$C$4:$C$1362,'Pinlist(S3)'!$E$4:$E$1362,""),_xlpm.cleanRaw,SUBSTITUTE(SUBSTITUTE(_xlpm.raw,"_PIN","."),"PIN","."),_xlpm.mainPart,MID(_xlpm.cleanRaw,2,FIND(".",_xlpm.cleanRaw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4" t="str">
        <f>_xlfn.LET(_xlpm.raw,_xlfn.XLOOKUP(A394,'Pinlist(S5)'!$C$4:$C$1362,'Pinlist(S5)'!$E$4:$E$1362,""),_xlpm.cleanRaw,SUBSTITUTE(SUBSTITUTE(_xlpm.raw,"_PIN","."),"PIN","."),_xlpm.mainPart,MID(_xlpm.cleanRaw,2,FIND(".",_xlpm.cleanRaw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4" t="str">
        <f>""</f>
        <v/>
      </c>
      <c r="J394" t="str">
        <f t="shared" si="6"/>
        <v>J40;VCCCORE;;23.234;4.487;;;;</v>
      </c>
    </row>
    <row r="395" spans="1:10">
      <c r="A395" t="s">
        <v>2186</v>
      </c>
      <c r="B395" t="str">
        <f>_xlfn.XLOOKUP(A395,'Pinlist(S1)'!$Q$4:$Q$1362,'Pinlist(S1)'!$R$4:$R$1362,"")</f>
        <v>VSS</v>
      </c>
      <c r="C395" t="str" cm="1">
        <f t="array" ref="C395">_xlfn.TEXTJOIN(",",TRUE,_xlfn.UNIQUE(TRANSPOSE(_xlfn.MAP(_xlfn.XLOOKUP(A395,'Pinlist(S1)'!$C$4:$C$1362,'Pinlist(S1)'!$F$4:$K$1362,""),_xlfn.LAMBDA(_xlpm.x,IF(_xlpm.x&lt;&gt;"",TRIM(CLEAN(LEFT(_xlpm.x,FIND(".",_xlpm.x &amp; ".")-1))),""))))))</f>
        <v/>
      </c>
      <c r="D395">
        <v>24.148</v>
      </c>
      <c r="E395">
        <v>4.4870000000000001</v>
      </c>
      <c r="F395" t="str">
        <f>_xlfn.LET(_xlpm.raw,_xlfn.XLOOKUP(A395,'Pinlist(S1)'!$C$4:$C$1362,'Pinlist(S1)'!$E$4:$E$1362,""),_xlpm.cleanRaw,SUBSTITUTE(SUBSTITUTE(_xlpm.raw,"_PIN","."),"PIN","."),_xlpm.mainPart,MID(_xlpm.cleanRaw,2,FIND(".",_xlpm.cleanRaw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5" t="str">
        <f>_xlfn.LET(_xlpm.raw,_xlfn.XLOOKUP(A395,'Pinlist(S3)'!$C$4:$C$1362,'Pinlist(S3)'!$E$4:$E$1362,""),_xlpm.cleanRaw,SUBSTITUTE(SUBSTITUTE(_xlpm.raw,"_PIN","."),"PIN","."),_xlpm.mainPart,MID(_xlpm.cleanRaw,2,FIND(".",_xlpm.cleanRaw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5" t="str">
        <f>_xlfn.LET(_xlpm.raw,_xlfn.XLOOKUP(A395,'Pinlist(S5)'!$C$4:$C$1362,'Pinlist(S5)'!$E$4:$E$1362,""),_xlpm.cleanRaw,SUBSTITUTE(SUBSTITUTE(_xlpm.raw,"_PIN","."),"PIN","."),_xlpm.mainPart,MID(_xlpm.cleanRaw,2,FIND(".",_xlpm.cleanRaw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5" t="str">
        <f>""</f>
        <v/>
      </c>
      <c r="J395" t="str">
        <f t="shared" si="6"/>
        <v>J42;VSS;;24.148;4.487;;;;</v>
      </c>
    </row>
    <row r="396" spans="1:10">
      <c r="A396" t="s">
        <v>1666</v>
      </c>
      <c r="B396" t="str">
        <f>_xlfn.XLOOKUP(A396,'Pinlist(S1)'!$Q$4:$Q$1362,'Pinlist(S1)'!$R$4:$R$1362,"")</f>
        <v>VCCGT</v>
      </c>
      <c r="C396" t="str" cm="1">
        <f t="array" ref="C396">_xlfn.TEXTJOIN(",",TRUE,_xlfn.UNIQUE(TRANSPOSE(_xlfn.MAP(_xlfn.XLOOKUP(A396,'Pinlist(S1)'!$C$4:$C$1362,'Pinlist(S1)'!$F$4:$K$1362,""),_xlfn.LAMBDA(_xlpm.x,IF(_xlpm.x&lt;&gt;"",TRIM(CLEAN(LEFT(_xlpm.x,FIND(".",_xlpm.x &amp; ".")-1))),""))))))</f>
        <v/>
      </c>
      <c r="D396">
        <v>25.062999999999999</v>
      </c>
      <c r="E396">
        <v>4.4870000000000001</v>
      </c>
      <c r="F396" t="str">
        <f>_xlfn.LET(_xlpm.raw,_xlfn.XLOOKUP(A396,'Pinlist(S1)'!$C$4:$C$1362,'Pinlist(S1)'!$E$4:$E$1362,""),_xlpm.cleanRaw,SUBSTITUTE(SUBSTITUTE(_xlpm.raw,"_PIN","."),"PIN","."),_xlpm.mainPart,MID(_xlpm.cleanRaw,2,FIND(".",_xlpm.cleanRaw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6" t="str">
        <f>_xlfn.LET(_xlpm.raw,_xlfn.XLOOKUP(A396,'Pinlist(S3)'!$C$4:$C$1362,'Pinlist(S3)'!$E$4:$E$1362,""),_xlpm.cleanRaw,SUBSTITUTE(SUBSTITUTE(_xlpm.raw,"_PIN","."),"PIN","."),_xlpm.mainPart,MID(_xlpm.cleanRaw,2,FIND(".",_xlpm.cleanRaw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6" t="str">
        <f>_xlfn.LET(_xlpm.raw,_xlfn.XLOOKUP(A396,'Pinlist(S5)'!$C$4:$C$1362,'Pinlist(S5)'!$E$4:$E$1362,""),_xlpm.cleanRaw,SUBSTITUTE(SUBSTITUTE(_xlpm.raw,"_PIN","."),"PIN","."),_xlpm.mainPart,MID(_xlpm.cleanRaw,2,FIND(".",_xlpm.cleanRaw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6" t="str">
        <f>""</f>
        <v/>
      </c>
      <c r="J396" t="str">
        <f t="shared" si="6"/>
        <v>J43;VCCGT;;25.063;4.487;;;;</v>
      </c>
    </row>
    <row r="397" spans="1:10">
      <c r="A397" t="s">
        <v>1667</v>
      </c>
      <c r="B397" t="str">
        <f>_xlfn.XLOOKUP(A397,'Pinlist(S1)'!$Q$4:$Q$1362,'Pinlist(S1)'!$R$4:$R$1362,"")</f>
        <v>VCCGT</v>
      </c>
      <c r="C397" t="str" cm="1">
        <f t="array" ref="C397">_xlfn.TEXTJOIN(",",TRUE,_xlfn.UNIQUE(TRANSPOSE(_xlfn.MAP(_xlfn.XLOOKUP(A397,'Pinlist(S1)'!$C$4:$C$1362,'Pinlist(S1)'!$F$4:$K$1362,""),_xlfn.LAMBDA(_xlpm.x,IF(_xlpm.x&lt;&gt;"",TRIM(CLEAN(LEFT(_xlpm.x,FIND(".",_xlpm.x &amp; ".")-1))),""))))))</f>
        <v/>
      </c>
      <c r="D397">
        <v>25.977</v>
      </c>
      <c r="E397">
        <v>4.4870000000000001</v>
      </c>
      <c r="F397" t="str">
        <f>_xlfn.LET(_xlpm.raw,_xlfn.XLOOKUP(A397,'Pinlist(S1)'!$C$4:$C$1362,'Pinlist(S1)'!$E$4:$E$1362,""),_xlpm.cleanRaw,SUBSTITUTE(SUBSTITUTE(_xlpm.raw,"_PIN","."),"PIN","."),_xlpm.mainPart,MID(_xlpm.cleanRaw,2,FIND(".",_xlpm.cleanRaw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7" t="str">
        <f>_xlfn.LET(_xlpm.raw,_xlfn.XLOOKUP(A397,'Pinlist(S3)'!$C$4:$C$1362,'Pinlist(S3)'!$E$4:$E$1362,""),_xlpm.cleanRaw,SUBSTITUTE(SUBSTITUTE(_xlpm.raw,"_PIN","."),"PIN","."),_xlpm.mainPart,MID(_xlpm.cleanRaw,2,FIND(".",_xlpm.cleanRaw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7" t="str">
        <f>_xlfn.LET(_xlpm.raw,_xlfn.XLOOKUP(A397,'Pinlist(S5)'!$C$4:$C$1362,'Pinlist(S5)'!$E$4:$E$1362,""),_xlpm.cleanRaw,SUBSTITUTE(SUBSTITUTE(_xlpm.raw,"_PIN","."),"PIN","."),_xlpm.mainPart,MID(_xlpm.cleanRaw,2,FIND(".",_xlpm.cleanRaw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7" t="str">
        <f>""</f>
        <v/>
      </c>
      <c r="J397" t="str">
        <f t="shared" si="6"/>
        <v>J45;VCCGT;;25.977;4.487;;;;</v>
      </c>
    </row>
    <row r="398" spans="1:10">
      <c r="A398" t="s">
        <v>1668</v>
      </c>
      <c r="B398" t="str">
        <f>_xlfn.XLOOKUP(A398,'Pinlist(S1)'!$Q$4:$Q$1362,'Pinlist(S1)'!$R$4:$R$1362,"")</f>
        <v>VCCGT</v>
      </c>
      <c r="C398" t="str" cm="1">
        <f t="array" ref="C398">_xlfn.TEXTJOIN(",",TRUE,_xlfn.UNIQUE(TRANSPOSE(_xlfn.MAP(_xlfn.XLOOKUP(A398,'Pinlist(S1)'!$C$4:$C$1362,'Pinlist(S1)'!$F$4:$K$1362,""),_xlfn.LAMBDA(_xlpm.x,IF(_xlpm.x&lt;&gt;"",TRIM(CLEAN(LEFT(_xlpm.x,FIND(".",_xlpm.x &amp; ".")-1))),""))))))</f>
        <v/>
      </c>
      <c r="D398">
        <v>26.891999999999999</v>
      </c>
      <c r="E398">
        <v>4.4870000000000001</v>
      </c>
      <c r="F398" t="str">
        <f>_xlfn.LET(_xlpm.raw,_xlfn.XLOOKUP(A398,'Pinlist(S1)'!$C$4:$C$1362,'Pinlist(S1)'!$E$4:$E$1362,""),_xlpm.cleanRaw,SUBSTITUTE(SUBSTITUTE(_xlpm.raw,"_PIN","."),"PIN","."),_xlpm.mainPart,MID(_xlpm.cleanRaw,2,FIND(".",_xlpm.cleanRaw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8" t="str">
        <f>_xlfn.LET(_xlpm.raw,_xlfn.XLOOKUP(A398,'Pinlist(S3)'!$C$4:$C$1362,'Pinlist(S3)'!$E$4:$E$1362,""),_xlpm.cleanRaw,SUBSTITUTE(SUBSTITUTE(_xlpm.raw,"_PIN","."),"PIN","."),_xlpm.mainPart,MID(_xlpm.cleanRaw,2,FIND(".",_xlpm.cleanRaw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8" t="str">
        <f>_xlfn.LET(_xlpm.raw,_xlfn.XLOOKUP(A398,'Pinlist(S5)'!$C$4:$C$1362,'Pinlist(S5)'!$E$4:$E$1362,""),_xlpm.cleanRaw,SUBSTITUTE(SUBSTITUTE(_xlpm.raw,"_PIN","."),"PIN","."),_xlpm.mainPart,MID(_xlpm.cleanRaw,2,FIND(".",_xlpm.cleanRaw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8" t="str">
        <f>""</f>
        <v/>
      </c>
      <c r="J398" t="str">
        <f t="shared" si="6"/>
        <v>J46;VCCGT;;26.892;4.487;;;;</v>
      </c>
    </row>
    <row r="399" spans="1:10">
      <c r="A399" t="s">
        <v>1669</v>
      </c>
      <c r="B399" t="str">
        <f>_xlfn.XLOOKUP(A399,'Pinlist(S1)'!$Q$4:$Q$1362,'Pinlist(S1)'!$R$4:$R$1362,"")</f>
        <v>VCCGT</v>
      </c>
      <c r="C399" t="str" cm="1">
        <f t="array" ref="C399">_xlfn.TEXTJOIN(",",TRUE,_xlfn.UNIQUE(TRANSPOSE(_xlfn.MAP(_xlfn.XLOOKUP(A399,'Pinlist(S1)'!$C$4:$C$1362,'Pinlist(S1)'!$F$4:$K$1362,""),_xlfn.LAMBDA(_xlpm.x,IF(_xlpm.x&lt;&gt;"",TRIM(CLEAN(LEFT(_xlpm.x,FIND(".",_xlpm.x &amp; ".")-1))),""))))))</f>
        <v/>
      </c>
      <c r="D399">
        <v>27.806000000000001</v>
      </c>
      <c r="E399">
        <v>4.4870000000000001</v>
      </c>
      <c r="F399" t="str">
        <f>_xlfn.LET(_xlpm.raw,_xlfn.XLOOKUP(A399,'Pinlist(S1)'!$C$4:$C$1362,'Pinlist(S1)'!$E$4:$E$1362,""),_xlpm.cleanRaw,SUBSTITUTE(SUBSTITUTE(_xlpm.raw,"_PIN","."),"PIN","."),_xlpm.mainPart,MID(_xlpm.cleanRaw,2,FIND(".",_xlpm.cleanRaw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9" t="str">
        <f>_xlfn.LET(_xlpm.raw,_xlfn.XLOOKUP(A399,'Pinlist(S3)'!$C$4:$C$1362,'Pinlist(S3)'!$E$4:$E$1362,""),_xlpm.cleanRaw,SUBSTITUTE(SUBSTITUTE(_xlpm.raw,"_PIN","."),"PIN","."),_xlpm.mainPart,MID(_xlpm.cleanRaw,2,FIND(".",_xlpm.cleanRaw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9" t="str">
        <f>_xlfn.LET(_xlpm.raw,_xlfn.XLOOKUP(A399,'Pinlist(S5)'!$C$4:$C$1362,'Pinlist(S5)'!$E$4:$E$1362,""),_xlpm.cleanRaw,SUBSTITUTE(SUBSTITUTE(_xlpm.raw,"_PIN","."),"PIN","."),_xlpm.mainPart,MID(_xlpm.cleanRaw,2,FIND(".",_xlpm.cleanRaw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9" t="str">
        <f>""</f>
        <v/>
      </c>
      <c r="J399" t="str">
        <f t="shared" si="6"/>
        <v>J48;VCCGT;;27.806;4.487;;;;</v>
      </c>
    </row>
    <row r="400" spans="1:10">
      <c r="A400" t="s">
        <v>1670</v>
      </c>
      <c r="B400" t="str">
        <f>_xlfn.XLOOKUP(A400,'Pinlist(S1)'!$Q$4:$Q$1362,'Pinlist(S1)'!$R$4:$R$1362,"")</f>
        <v>VCCGT</v>
      </c>
      <c r="C400" t="str" cm="1">
        <f t="array" ref="C400">_xlfn.TEXTJOIN(",",TRUE,_xlfn.UNIQUE(TRANSPOSE(_xlfn.MAP(_xlfn.XLOOKUP(A400,'Pinlist(S1)'!$C$4:$C$1362,'Pinlist(S1)'!$F$4:$K$1362,""),_xlfn.LAMBDA(_xlpm.x,IF(_xlpm.x&lt;&gt;"",TRIM(CLEAN(LEFT(_xlpm.x,FIND(".",_xlpm.x &amp; ".")-1))),""))))))</f>
        <v/>
      </c>
      <c r="D400">
        <v>28.72</v>
      </c>
      <c r="E400">
        <v>4.4870000000000001</v>
      </c>
      <c r="F400" t="str">
        <f>_xlfn.LET(_xlpm.raw,_xlfn.XLOOKUP(A400,'Pinlist(S1)'!$C$4:$C$1362,'Pinlist(S1)'!$E$4:$E$1362,""),_xlpm.cleanRaw,SUBSTITUTE(SUBSTITUTE(_xlpm.raw,"_PIN","."),"PIN","."),_xlpm.mainPart,MID(_xlpm.cleanRaw,2,FIND(".",_xlpm.cleanRaw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0" t="str">
        <f>_xlfn.LET(_xlpm.raw,_xlfn.XLOOKUP(A400,'Pinlist(S3)'!$C$4:$C$1362,'Pinlist(S3)'!$E$4:$E$1362,""),_xlpm.cleanRaw,SUBSTITUTE(SUBSTITUTE(_xlpm.raw,"_PIN","."),"PIN","."),_xlpm.mainPart,MID(_xlpm.cleanRaw,2,FIND(".",_xlpm.cleanRaw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0" t="str">
        <f>_xlfn.LET(_xlpm.raw,_xlfn.XLOOKUP(A400,'Pinlist(S5)'!$C$4:$C$1362,'Pinlist(S5)'!$E$4:$E$1362,""),_xlpm.cleanRaw,SUBSTITUTE(SUBSTITUTE(_xlpm.raw,"_PIN","."),"PIN","."),_xlpm.mainPart,MID(_xlpm.cleanRaw,2,FIND(".",_xlpm.cleanRaw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0" t="str">
        <f>""</f>
        <v/>
      </c>
      <c r="J400" t="str">
        <f t="shared" si="6"/>
        <v>J50;VCCGT;;28.72;4.487;;;;</v>
      </c>
    </row>
    <row r="401" spans="1:10">
      <c r="A401" t="s">
        <v>1671</v>
      </c>
      <c r="B401" t="str">
        <f>_xlfn.XLOOKUP(A401,'Pinlist(S1)'!$Q$4:$Q$1362,'Pinlist(S1)'!$R$4:$R$1362,"")</f>
        <v>VCCGT</v>
      </c>
      <c r="C401" t="str" cm="1">
        <f t="array" ref="C401">_xlfn.TEXTJOIN(",",TRUE,_xlfn.UNIQUE(TRANSPOSE(_xlfn.MAP(_xlfn.XLOOKUP(A401,'Pinlist(S1)'!$C$4:$C$1362,'Pinlist(S1)'!$F$4:$K$1362,""),_xlfn.LAMBDA(_xlpm.x,IF(_xlpm.x&lt;&gt;"",TRIM(CLEAN(LEFT(_xlpm.x,FIND(".",_xlpm.x &amp; ".")-1))),""))))))</f>
        <v/>
      </c>
      <c r="D401">
        <v>29.634999999999899</v>
      </c>
      <c r="E401">
        <v>4.4870000000000001</v>
      </c>
      <c r="F401" t="str">
        <f>_xlfn.LET(_xlpm.raw,_xlfn.XLOOKUP(A401,'Pinlist(S1)'!$C$4:$C$1362,'Pinlist(S1)'!$E$4:$E$1362,""),_xlpm.cleanRaw,SUBSTITUTE(SUBSTITUTE(_xlpm.raw,"_PIN","."),"PIN","."),_xlpm.mainPart,MID(_xlpm.cleanRaw,2,FIND(".",_xlpm.cleanRaw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1" t="str">
        <f>_xlfn.LET(_xlpm.raw,_xlfn.XLOOKUP(A401,'Pinlist(S3)'!$C$4:$C$1362,'Pinlist(S3)'!$E$4:$E$1362,""),_xlpm.cleanRaw,SUBSTITUTE(SUBSTITUTE(_xlpm.raw,"_PIN","."),"PIN","."),_xlpm.mainPart,MID(_xlpm.cleanRaw,2,FIND(".",_xlpm.cleanRaw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1" t="str">
        <f>_xlfn.LET(_xlpm.raw,_xlfn.XLOOKUP(A401,'Pinlist(S5)'!$C$4:$C$1362,'Pinlist(S5)'!$E$4:$E$1362,""),_xlpm.cleanRaw,SUBSTITUTE(SUBSTITUTE(_xlpm.raw,"_PIN","."),"PIN","."),_xlpm.mainPart,MID(_xlpm.cleanRaw,2,FIND(".",_xlpm.cleanRaw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1" t="str">
        <f>""</f>
        <v/>
      </c>
      <c r="J401" t="str">
        <f t="shared" si="6"/>
        <v>J52;VCCGT;;29.6349999999999;4.487;;;;</v>
      </c>
    </row>
    <row r="402" spans="1:10">
      <c r="A402" t="s">
        <v>1672</v>
      </c>
      <c r="B402" t="str">
        <f>_xlfn.XLOOKUP(A402,'Pinlist(S1)'!$Q$4:$Q$1362,'Pinlist(S1)'!$R$4:$R$1362,"")</f>
        <v>VCCGT</v>
      </c>
      <c r="C402" t="str" cm="1">
        <f t="array" ref="C402">_xlfn.TEXTJOIN(",",TRUE,_xlfn.UNIQUE(TRANSPOSE(_xlfn.MAP(_xlfn.XLOOKUP(A402,'Pinlist(S1)'!$C$4:$C$1362,'Pinlist(S1)'!$F$4:$K$1362,""),_xlfn.LAMBDA(_xlpm.x,IF(_xlpm.x&lt;&gt;"",TRIM(CLEAN(LEFT(_xlpm.x,FIND(".",_xlpm.x &amp; ".")-1))),""))))))</f>
        <v/>
      </c>
      <c r="D402">
        <v>30.548999999999999</v>
      </c>
      <c r="E402">
        <v>4.4870000000000001</v>
      </c>
      <c r="F402" t="str">
        <f>_xlfn.LET(_xlpm.raw,_xlfn.XLOOKUP(A402,'Pinlist(S1)'!$C$4:$C$1362,'Pinlist(S1)'!$E$4:$E$1362,""),_xlpm.cleanRaw,SUBSTITUTE(SUBSTITUTE(_xlpm.raw,"_PIN","."),"PIN","."),_xlpm.mainPart,MID(_xlpm.cleanRaw,2,FIND(".",_xlpm.cleanRaw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2" t="str">
        <f>_xlfn.LET(_xlpm.raw,_xlfn.XLOOKUP(A402,'Pinlist(S3)'!$C$4:$C$1362,'Pinlist(S3)'!$E$4:$E$1362,""),_xlpm.cleanRaw,SUBSTITUTE(SUBSTITUTE(_xlpm.raw,"_PIN","."),"PIN","."),_xlpm.mainPart,MID(_xlpm.cleanRaw,2,FIND(".",_xlpm.cleanRaw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2" t="str">
        <f>_xlfn.LET(_xlpm.raw,_xlfn.XLOOKUP(A402,'Pinlist(S5)'!$C$4:$C$1362,'Pinlist(S5)'!$E$4:$E$1362,""),_xlpm.cleanRaw,SUBSTITUTE(SUBSTITUTE(_xlpm.raw,"_PIN","."),"PIN","."),_xlpm.mainPart,MID(_xlpm.cleanRaw,2,FIND(".",_xlpm.cleanRaw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2" t="str">
        <f>""</f>
        <v/>
      </c>
      <c r="J402" t="str">
        <f t="shared" si="6"/>
        <v>J53;VCCGT;;30.549;4.487;;;;</v>
      </c>
    </row>
    <row r="403" spans="1:10">
      <c r="A403" t="s">
        <v>1673</v>
      </c>
      <c r="B403" t="str">
        <f>_xlfn.XLOOKUP(A403,'Pinlist(S1)'!$Q$4:$Q$1362,'Pinlist(S1)'!$R$4:$R$1362,"")</f>
        <v>VCCGT</v>
      </c>
      <c r="C403" t="str" cm="1">
        <f t="array" ref="C403">_xlfn.TEXTJOIN(",",TRUE,_xlfn.UNIQUE(TRANSPOSE(_xlfn.MAP(_xlfn.XLOOKUP(A403,'Pinlist(S1)'!$C$4:$C$1362,'Pinlist(S1)'!$F$4:$K$1362,""),_xlfn.LAMBDA(_xlpm.x,IF(_xlpm.x&lt;&gt;"",TRIM(CLEAN(LEFT(_xlpm.x,FIND(".",_xlpm.x &amp; ".")-1))),""))))))</f>
        <v/>
      </c>
      <c r="D403">
        <v>31.463999999999999</v>
      </c>
      <c r="E403">
        <v>4.4870000000000001</v>
      </c>
      <c r="F403" t="str">
        <f>_xlfn.LET(_xlpm.raw,_xlfn.XLOOKUP(A403,'Pinlist(S1)'!$C$4:$C$1362,'Pinlist(S1)'!$E$4:$E$1362,""),_xlpm.cleanRaw,SUBSTITUTE(SUBSTITUTE(_xlpm.raw,"_PIN","."),"PIN","."),_xlpm.mainPart,MID(_xlpm.cleanRaw,2,FIND(".",_xlpm.cleanRaw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3" t="str">
        <f>_xlfn.LET(_xlpm.raw,_xlfn.XLOOKUP(A403,'Pinlist(S3)'!$C$4:$C$1362,'Pinlist(S3)'!$E$4:$E$1362,""),_xlpm.cleanRaw,SUBSTITUTE(SUBSTITUTE(_xlpm.raw,"_PIN","."),"PIN","."),_xlpm.mainPart,MID(_xlpm.cleanRaw,2,FIND(".",_xlpm.cleanRaw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3" t="str">
        <f>_xlfn.LET(_xlpm.raw,_xlfn.XLOOKUP(A403,'Pinlist(S5)'!$C$4:$C$1362,'Pinlist(S5)'!$E$4:$E$1362,""),_xlpm.cleanRaw,SUBSTITUTE(SUBSTITUTE(_xlpm.raw,"_PIN","."),"PIN","."),_xlpm.mainPart,MID(_xlpm.cleanRaw,2,FIND(".",_xlpm.cleanRaw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3" t="str">
        <f>""</f>
        <v/>
      </c>
      <c r="J403" t="str">
        <f t="shared" si="6"/>
        <v>J55;VCCGT;;31.464;4.487;;;;</v>
      </c>
    </row>
    <row r="404" spans="1:10">
      <c r="A404" t="s">
        <v>1674</v>
      </c>
      <c r="B404" t="str">
        <f>_xlfn.XLOOKUP(A404,'Pinlist(S1)'!$Q$4:$Q$1362,'Pinlist(S1)'!$R$4:$R$1362,"")</f>
        <v>VCCGT</v>
      </c>
      <c r="C404" t="str" cm="1">
        <f t="array" ref="C404">_xlfn.TEXTJOIN(",",TRUE,_xlfn.UNIQUE(TRANSPOSE(_xlfn.MAP(_xlfn.XLOOKUP(A404,'Pinlist(S1)'!$C$4:$C$1362,'Pinlist(S1)'!$F$4:$K$1362,""),_xlfn.LAMBDA(_xlpm.x,IF(_xlpm.x&lt;&gt;"",TRIM(CLEAN(LEFT(_xlpm.x,FIND(".",_xlpm.x &amp; ".")-1))),""))))))</f>
        <v/>
      </c>
      <c r="D404">
        <v>32.378</v>
      </c>
      <c r="E404">
        <v>4.4870000000000001</v>
      </c>
      <c r="F404" t="str">
        <f>_xlfn.LET(_xlpm.raw,_xlfn.XLOOKUP(A404,'Pinlist(S1)'!$C$4:$C$1362,'Pinlist(S1)'!$E$4:$E$1362,""),_xlpm.cleanRaw,SUBSTITUTE(SUBSTITUTE(_xlpm.raw,"_PIN","."),"PIN","."),_xlpm.mainPart,MID(_xlpm.cleanRaw,2,FIND(".",_xlpm.cleanRaw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4" t="str">
        <f>_xlfn.LET(_xlpm.raw,_xlfn.XLOOKUP(A404,'Pinlist(S3)'!$C$4:$C$1362,'Pinlist(S3)'!$E$4:$E$1362,""),_xlpm.cleanRaw,SUBSTITUTE(SUBSTITUTE(_xlpm.raw,"_PIN","."),"PIN","."),_xlpm.mainPart,MID(_xlpm.cleanRaw,2,FIND(".",_xlpm.cleanRaw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4" t="str">
        <f>_xlfn.LET(_xlpm.raw,_xlfn.XLOOKUP(A404,'Pinlist(S5)'!$C$4:$C$1362,'Pinlist(S5)'!$E$4:$E$1362,""),_xlpm.cleanRaw,SUBSTITUTE(SUBSTITUTE(_xlpm.raw,"_PIN","."),"PIN","."),_xlpm.mainPart,MID(_xlpm.cleanRaw,2,FIND(".",_xlpm.cleanRaw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4" t="str">
        <f>""</f>
        <v/>
      </c>
      <c r="J404" t="str">
        <f t="shared" si="6"/>
        <v>J56;VCCGT;;32.378;4.487;;;;</v>
      </c>
    </row>
    <row r="405" spans="1:10">
      <c r="A405" t="s">
        <v>1675</v>
      </c>
      <c r="B405" t="str">
        <f>_xlfn.XLOOKUP(A405,'Pinlist(S1)'!$Q$4:$Q$1362,'Pinlist(S1)'!$R$4:$R$1362,"")</f>
        <v>VCCGT</v>
      </c>
      <c r="C405" t="str" cm="1">
        <f t="array" ref="C405">_xlfn.TEXTJOIN(",",TRUE,_xlfn.UNIQUE(TRANSPOSE(_xlfn.MAP(_xlfn.XLOOKUP(A405,'Pinlist(S1)'!$C$4:$C$1362,'Pinlist(S1)'!$F$4:$K$1362,""),_xlfn.LAMBDA(_xlpm.x,IF(_xlpm.x&lt;&gt;"",TRIM(CLEAN(LEFT(_xlpm.x,FIND(".",_xlpm.x &amp; ".")-1))),""))))))</f>
        <v/>
      </c>
      <c r="D405">
        <v>33.292000000000002</v>
      </c>
      <c r="E405">
        <v>4.4870000000000001</v>
      </c>
      <c r="F405" t="str">
        <f>_xlfn.LET(_xlpm.raw,_xlfn.XLOOKUP(A405,'Pinlist(S1)'!$C$4:$C$1362,'Pinlist(S1)'!$E$4:$E$1362,""),_xlpm.cleanRaw,SUBSTITUTE(SUBSTITUTE(_xlpm.raw,"_PIN","."),"PIN","."),_xlpm.mainPart,MID(_xlpm.cleanRaw,2,FIND(".",_xlpm.cleanRaw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5" t="str">
        <f>_xlfn.LET(_xlpm.raw,_xlfn.XLOOKUP(A405,'Pinlist(S3)'!$C$4:$C$1362,'Pinlist(S3)'!$E$4:$E$1362,""),_xlpm.cleanRaw,SUBSTITUTE(SUBSTITUTE(_xlpm.raw,"_PIN","."),"PIN","."),_xlpm.mainPart,MID(_xlpm.cleanRaw,2,FIND(".",_xlpm.cleanRaw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5" t="str">
        <f>_xlfn.LET(_xlpm.raw,_xlfn.XLOOKUP(A405,'Pinlist(S5)'!$C$4:$C$1362,'Pinlist(S5)'!$E$4:$E$1362,""),_xlpm.cleanRaw,SUBSTITUTE(SUBSTITUTE(_xlpm.raw,"_PIN","."),"PIN","."),_xlpm.mainPart,MID(_xlpm.cleanRaw,2,FIND(".",_xlpm.cleanRaw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5" t="str">
        <f>""</f>
        <v/>
      </c>
      <c r="J405" t="str">
        <f t="shared" si="6"/>
        <v>J58;VCCGT;;33.292;4.487;;;;</v>
      </c>
    </row>
    <row r="406" spans="1:10">
      <c r="A406" t="s">
        <v>1676</v>
      </c>
      <c r="B406" t="str">
        <f>_xlfn.XLOOKUP(A406,'Pinlist(S1)'!$Q$4:$Q$1362,'Pinlist(S1)'!$R$4:$R$1362,"")</f>
        <v>VCCGT</v>
      </c>
      <c r="C406" t="str" cm="1">
        <f t="array" ref="C406">_xlfn.TEXTJOIN(",",TRUE,_xlfn.UNIQUE(TRANSPOSE(_xlfn.MAP(_xlfn.XLOOKUP(A406,'Pinlist(S1)'!$C$4:$C$1362,'Pinlist(S1)'!$F$4:$K$1362,""),_xlfn.LAMBDA(_xlpm.x,IF(_xlpm.x&lt;&gt;"",TRIM(CLEAN(LEFT(_xlpm.x,FIND(".",_xlpm.x &amp; ".")-1))),""))))))</f>
        <v/>
      </c>
      <c r="D406">
        <v>34.207000000000001</v>
      </c>
      <c r="E406">
        <v>4.4870000000000001</v>
      </c>
      <c r="F406" t="str">
        <f>_xlfn.LET(_xlpm.raw,_xlfn.XLOOKUP(A406,'Pinlist(S1)'!$C$4:$C$1362,'Pinlist(S1)'!$E$4:$E$1362,""),_xlpm.cleanRaw,SUBSTITUTE(SUBSTITUTE(_xlpm.raw,"_PIN","."),"PIN","."),_xlpm.mainPart,MID(_xlpm.cleanRaw,2,FIND(".",_xlpm.cleanRaw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6" t="str">
        <f>_xlfn.LET(_xlpm.raw,_xlfn.XLOOKUP(A406,'Pinlist(S3)'!$C$4:$C$1362,'Pinlist(S3)'!$E$4:$E$1362,""),_xlpm.cleanRaw,SUBSTITUTE(SUBSTITUTE(_xlpm.raw,"_PIN","."),"PIN","."),_xlpm.mainPart,MID(_xlpm.cleanRaw,2,FIND(".",_xlpm.cleanRaw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6" t="str">
        <f>_xlfn.LET(_xlpm.raw,_xlfn.XLOOKUP(A406,'Pinlist(S5)'!$C$4:$C$1362,'Pinlist(S5)'!$E$4:$E$1362,""),_xlpm.cleanRaw,SUBSTITUTE(SUBSTITUTE(_xlpm.raw,"_PIN","."),"PIN","."),_xlpm.mainPart,MID(_xlpm.cleanRaw,2,FIND(".",_xlpm.cleanRaw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6" t="str">
        <f>""</f>
        <v/>
      </c>
      <c r="J406" t="str">
        <f t="shared" si="6"/>
        <v>J60;VCCGT;;34.207;4.487;;;;</v>
      </c>
    </row>
    <row r="407" spans="1:10">
      <c r="A407" t="s">
        <v>718</v>
      </c>
      <c r="B407" t="str">
        <f>_xlfn.XLOOKUP(A407,'Pinlist(S1)'!$Q$4:$Q$1362,'Pinlist(S1)'!$R$4:$R$1362,"")</f>
        <v>EANALOGVP[1]</v>
      </c>
      <c r="C407" t="str" cm="1">
        <f t="array" ref="C407">_xlfn.TEXTJOIN(",",TRUE,_xlfn.UNIQUE(TRANSPOSE(_xlfn.MAP(_xlfn.XLOOKUP(A407,'Pinlist(S1)'!$C$4:$C$1362,'Pinlist(S1)'!$F$4:$K$1362,""),_xlfn.LAMBDA(_xlpm.x,IF(_xlpm.x&lt;&gt;"",TRIM(CLEAN(LEFT(_xlpm.x,FIND(".",_xlpm.x &amp; ".")-1))),""))))))</f>
        <v/>
      </c>
      <c r="D407">
        <v>38.676000000000002</v>
      </c>
      <c r="E407">
        <v>4.7939999999999996</v>
      </c>
      <c r="F407" t="str">
        <f>_xlfn.LET(_xlpm.raw,_xlfn.XLOOKUP(A407,'Pinlist(S1)'!$C$4:$C$1362,'Pinlist(S1)'!$E$4:$E$1362,""),_xlpm.cleanRaw,SUBSTITUTE(SUBSTITUTE(_xlpm.raw,"_PIN","."),"PIN","."),_xlpm.mainPart,MID(_xlpm.cleanRaw,2,FIND(".",_xlpm.cleanRaw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7" t="str">
        <f>_xlfn.LET(_xlpm.raw,_xlfn.XLOOKUP(A407,'Pinlist(S3)'!$C$4:$C$1362,'Pinlist(S3)'!$E$4:$E$1362,""),_xlpm.cleanRaw,SUBSTITUTE(SUBSTITUTE(_xlpm.raw,"_PIN","."),"PIN","."),_xlpm.mainPart,MID(_xlpm.cleanRaw,2,FIND(".",_xlpm.cleanRaw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7" t="str">
        <f>_xlfn.LET(_xlpm.raw,_xlfn.XLOOKUP(A407,'Pinlist(S5)'!$C$4:$C$1362,'Pinlist(S5)'!$E$4:$E$1362,""),_xlpm.cleanRaw,SUBSTITUTE(SUBSTITUTE(_xlpm.raw,"_PIN","."),"PIN","."),_xlpm.mainPart,MID(_xlpm.cleanRaw,2,FIND(".",_xlpm.cleanRaw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7" t="str">
        <f>""</f>
        <v/>
      </c>
      <c r="J407" t="str">
        <f t="shared" si="6"/>
        <v>J68;EANALOGVP[1];;38.676;4.794;;;;</v>
      </c>
    </row>
    <row r="408" spans="1:10">
      <c r="A408" t="s">
        <v>2253</v>
      </c>
      <c r="B408" t="str">
        <f>_xlfn.XLOOKUP(A408,'Pinlist(S1)'!$Q$4:$Q$1362,'Pinlist(S1)'!$R$4:$R$1362,"")</f>
        <v>VSSGT_SENSE</v>
      </c>
      <c r="C408" t="str" cm="1">
        <f t="array" ref="C408">_xlfn.TEXTJOIN(",",TRUE,_xlfn.UNIQUE(TRANSPOSE(_xlfn.MAP(_xlfn.XLOOKUP(A408,'Pinlist(S1)'!$C$4:$C$1362,'Pinlist(S1)'!$F$4:$K$1362,""),_xlfn.LAMBDA(_xlpm.x,IF(_xlpm.x&lt;&gt;"",TRIM(CLEAN(LEFT(_xlpm.x,FIND(".",_xlpm.x &amp; ".")-1))),""))))))</f>
        <v/>
      </c>
      <c r="D408">
        <v>39.328000000000003</v>
      </c>
      <c r="E408">
        <v>4.8810000000000002</v>
      </c>
      <c r="F408" t="str">
        <f>_xlfn.LET(_xlpm.raw,_xlfn.XLOOKUP(A408,'Pinlist(S1)'!$C$4:$C$1362,'Pinlist(S1)'!$E$4:$E$1362,""),_xlpm.cleanRaw,SUBSTITUTE(SUBSTITUTE(_xlpm.raw,"_PIN","."),"PIN","."),_xlpm.mainPart,MID(_xlpm.cleanRaw,2,FIND(".",_xlpm.cleanRaw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8" t="str">
        <f>_xlfn.LET(_xlpm.raw,_xlfn.XLOOKUP(A408,'Pinlist(S3)'!$C$4:$C$1362,'Pinlist(S3)'!$E$4:$E$1362,""),_xlpm.cleanRaw,SUBSTITUTE(SUBSTITUTE(_xlpm.raw,"_PIN","."),"PIN","."),_xlpm.mainPart,MID(_xlpm.cleanRaw,2,FIND(".",_xlpm.cleanRaw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8" t="str">
        <f>_xlfn.LET(_xlpm.raw,_xlfn.XLOOKUP(A408,'Pinlist(S5)'!$C$4:$C$1362,'Pinlist(S5)'!$E$4:$E$1362,""),_xlpm.cleanRaw,SUBSTITUTE(SUBSTITUTE(_xlpm.raw,"_PIN","."),"PIN","."),_xlpm.mainPart,MID(_xlpm.cleanRaw,2,FIND(".",_xlpm.cleanRaw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8" t="str">
        <f>""</f>
        <v/>
      </c>
      <c r="J408" t="str">
        <f t="shared" si="6"/>
        <v>J69;VSSGT_SENSE;;39.328;4.881;;;;</v>
      </c>
    </row>
    <row r="409" spans="1:10">
      <c r="A409" t="s">
        <v>1726</v>
      </c>
      <c r="B409" t="str">
        <f>_xlfn.XLOOKUP(A409,'Pinlist(S1)'!$Q$4:$Q$1362,'Pinlist(S1)'!$R$4:$R$1362,"")</f>
        <v>VCCGT_SENSE</v>
      </c>
      <c r="C409" t="str" cm="1">
        <f t="array" ref="C409">_xlfn.TEXTJOIN(",",TRUE,_xlfn.UNIQUE(TRANSPOSE(_xlfn.MAP(_xlfn.XLOOKUP(A409,'Pinlist(S1)'!$C$4:$C$1362,'Pinlist(S1)'!$F$4:$K$1362,""),_xlfn.LAMBDA(_xlpm.x,IF(_xlpm.x&lt;&gt;"",TRIM(CLEAN(LEFT(_xlpm.x,FIND(".",_xlpm.x &amp; ".")-1))),""))))))</f>
        <v/>
      </c>
      <c r="D409">
        <v>39.978000000000002</v>
      </c>
      <c r="E409">
        <v>4.8810000000000002</v>
      </c>
      <c r="F409" t="str">
        <f>_xlfn.LET(_xlpm.raw,_xlfn.XLOOKUP(A409,'Pinlist(S1)'!$C$4:$C$1362,'Pinlist(S1)'!$E$4:$E$1362,""),_xlpm.cleanRaw,SUBSTITUTE(SUBSTITUTE(_xlpm.raw,"_PIN","."),"PIN","."),_xlpm.mainPart,MID(_xlpm.cleanRaw,2,FIND(".",_xlpm.cleanRaw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9" t="str">
        <f>_xlfn.LET(_xlpm.raw,_xlfn.XLOOKUP(A409,'Pinlist(S3)'!$C$4:$C$1362,'Pinlist(S3)'!$E$4:$E$1362,""),_xlpm.cleanRaw,SUBSTITUTE(SUBSTITUTE(_xlpm.raw,"_PIN","."),"PIN","."),_xlpm.mainPart,MID(_xlpm.cleanRaw,2,FIND(".",_xlpm.cleanRaw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9" t="str">
        <f>_xlfn.LET(_xlpm.raw,_xlfn.XLOOKUP(A409,'Pinlist(S5)'!$C$4:$C$1362,'Pinlist(S5)'!$E$4:$E$1362,""),_xlpm.cleanRaw,SUBSTITUTE(SUBSTITUTE(_xlpm.raw,"_PIN","."),"PIN","."),_xlpm.mainPart,MID(_xlpm.cleanRaw,2,FIND(".",_xlpm.cleanRaw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9" t="str">
        <f>""</f>
        <v/>
      </c>
      <c r="J409" t="str">
        <f t="shared" si="6"/>
        <v>J70;VCCGT_SENSE;;39.978;4.881;;;;</v>
      </c>
    </row>
    <row r="410" spans="1:10">
      <c r="A410" t="s">
        <v>714</v>
      </c>
      <c r="B410" t="str">
        <f>_xlfn.XLOOKUP(A410,'Pinlist(S1)'!$Q$4:$Q$1362,'Pinlist(S1)'!$R$4:$R$1362,"")</f>
        <v>EANALOGVP[0]</v>
      </c>
      <c r="C410" t="str" cm="1">
        <f t="array" ref="C410">_xlfn.TEXTJOIN(",",TRUE,_xlfn.UNIQUE(TRANSPOSE(_xlfn.MAP(_xlfn.XLOOKUP(A410,'Pinlist(S1)'!$C$4:$C$1362,'Pinlist(S1)'!$F$4:$K$1362,""),_xlfn.LAMBDA(_xlpm.x,IF(_xlpm.x&lt;&gt;"",TRIM(CLEAN(LEFT(_xlpm.x,FIND(".",_xlpm.x &amp; ".")-1))),""))))))</f>
        <v/>
      </c>
      <c r="D410">
        <v>40.628</v>
      </c>
      <c r="E410">
        <v>4.8810000000000002</v>
      </c>
      <c r="F410" t="str">
        <f>_xlfn.LET(_xlpm.raw,_xlfn.XLOOKUP(A410,'Pinlist(S1)'!$C$4:$C$1362,'Pinlist(S1)'!$E$4:$E$1362,""),_xlpm.cleanRaw,SUBSTITUTE(SUBSTITUTE(_xlpm.raw,"_PIN","."),"PIN","."),_xlpm.mainPart,MID(_xlpm.cleanRaw,2,FIND(".",_xlpm.cleanRaw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0" t="str">
        <f>_xlfn.LET(_xlpm.raw,_xlfn.XLOOKUP(A410,'Pinlist(S3)'!$C$4:$C$1362,'Pinlist(S3)'!$E$4:$E$1362,""),_xlpm.cleanRaw,SUBSTITUTE(SUBSTITUTE(_xlpm.raw,"_PIN","."),"PIN","."),_xlpm.mainPart,MID(_xlpm.cleanRaw,2,FIND(".",_xlpm.cleanRaw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0" t="str">
        <f>_xlfn.LET(_xlpm.raw,_xlfn.XLOOKUP(A410,'Pinlist(S5)'!$C$4:$C$1362,'Pinlist(S5)'!$E$4:$E$1362,""),_xlpm.cleanRaw,SUBSTITUTE(SUBSTITUTE(_xlpm.raw,"_PIN","."),"PIN","."),_xlpm.mainPart,MID(_xlpm.cleanRaw,2,FIND(".",_xlpm.cleanRaw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0" t="str">
        <f>""</f>
        <v/>
      </c>
      <c r="J410" t="str">
        <f t="shared" si="6"/>
        <v>J71;EANALOGVP[0];;40.628;4.881;;;;</v>
      </c>
    </row>
    <row r="411" spans="1:10">
      <c r="A411" t="s">
        <v>1538</v>
      </c>
      <c r="B411" t="str">
        <f>_xlfn.XLOOKUP(A411,'Pinlist(S1)'!$Q$4:$Q$1362,'Pinlist(S1)'!$R$4:$R$1362,"")</f>
        <v>VCCAMPHYPLL_1P0</v>
      </c>
      <c r="C411" t="str" cm="1">
        <f t="array" ref="C411">_xlfn.TEXTJOIN(",",TRUE,_xlfn.UNIQUE(TRANSPOSE(_xlfn.MAP(_xlfn.XLOOKUP(A411,'Pinlist(S1)'!$C$4:$C$1362,'Pinlist(S1)'!$F$4:$K$1362,""),_xlfn.LAMBDA(_xlpm.x,IF(_xlpm.x&lt;&gt;"",TRIM(CLEAN(LEFT(_xlpm.x,FIND(".",_xlpm.x &amp; ".")-1))),""))))))</f>
        <v/>
      </c>
      <c r="D411">
        <v>8.1259999999999906</v>
      </c>
      <c r="E411">
        <v>5.43799999999999</v>
      </c>
      <c r="F411" t="str">
        <f>_xlfn.LET(_xlpm.raw,_xlfn.XLOOKUP(A411,'Pinlist(S1)'!$C$4:$C$1362,'Pinlist(S1)'!$E$4:$E$1362,""),_xlpm.cleanRaw,SUBSTITUTE(SUBSTITUTE(_xlpm.raw,"_PIN","."),"PIN","."),_xlpm.mainPart,MID(_xlpm.cleanRaw,2,FIND(".",_xlpm.cleanRaw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1" t="str">
        <f>_xlfn.LET(_xlpm.raw,_xlfn.XLOOKUP(A411,'Pinlist(S3)'!$C$4:$C$1362,'Pinlist(S3)'!$E$4:$E$1362,""),_xlpm.cleanRaw,SUBSTITUTE(SUBSTITUTE(_xlpm.raw,"_PIN","."),"PIN","."),_xlpm.mainPart,MID(_xlpm.cleanRaw,2,FIND(".",_xlpm.cleanRaw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1" t="str">
        <f>_xlfn.LET(_xlpm.raw,_xlfn.XLOOKUP(A411,'Pinlist(S5)'!$C$4:$C$1362,'Pinlist(S5)'!$E$4:$E$1362,""),_xlpm.cleanRaw,SUBSTITUTE(SUBSTITUTE(_xlpm.raw,"_PIN","."),"PIN","."),_xlpm.mainPart,MID(_xlpm.cleanRaw,2,FIND(".",_xlpm.cleanRaw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1" t="str">
        <f>""</f>
        <v/>
      </c>
      <c r="J411" t="str">
        <f t="shared" si="6"/>
        <v>K15;VCCAMPHYPLL_1P0;;8.12599999999999;5.43799999999999;;;;</v>
      </c>
    </row>
    <row r="412" spans="1:10">
      <c r="A412" t="s">
        <v>2188</v>
      </c>
      <c r="B412" t="str">
        <f>_xlfn.XLOOKUP(A412,'Pinlist(S1)'!$Q$4:$Q$1362,'Pinlist(S1)'!$R$4:$R$1362,"")</f>
        <v>VSS</v>
      </c>
      <c r="C412" t="str" cm="1">
        <f t="array" ref="C412">_xlfn.TEXTJOIN(",",TRUE,_xlfn.UNIQUE(TRANSPOSE(_xlfn.MAP(_xlfn.XLOOKUP(A412,'Pinlist(S1)'!$C$4:$C$1362,'Pinlist(S1)'!$F$4:$K$1362,""),_xlfn.LAMBDA(_xlpm.x,IF(_xlpm.x&lt;&gt;"",TRIM(CLEAN(LEFT(_xlpm.x,FIND(".",_xlpm.x &amp; ".")-1))),""))))))</f>
        <v/>
      </c>
      <c r="D412">
        <v>8.7759999999999998</v>
      </c>
      <c r="E412">
        <v>5.43799999999999</v>
      </c>
      <c r="F412" t="str">
        <f>_xlfn.LET(_xlpm.raw,_xlfn.XLOOKUP(A412,'Pinlist(S1)'!$C$4:$C$1362,'Pinlist(S1)'!$E$4:$E$1362,""),_xlpm.cleanRaw,SUBSTITUTE(SUBSTITUTE(_xlpm.raw,"_PIN","."),"PIN","."),_xlpm.mainPart,MID(_xlpm.cleanRaw,2,FIND(".",_xlpm.cleanRaw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2" t="str">
        <f>_xlfn.LET(_xlpm.raw,_xlfn.XLOOKUP(A412,'Pinlist(S3)'!$C$4:$C$1362,'Pinlist(S3)'!$E$4:$E$1362,""),_xlpm.cleanRaw,SUBSTITUTE(SUBSTITUTE(_xlpm.raw,"_PIN","."),"PIN","."),_xlpm.mainPart,MID(_xlpm.cleanRaw,2,FIND(".",_xlpm.cleanRaw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2" t="str">
        <f>_xlfn.LET(_xlpm.raw,_xlfn.XLOOKUP(A412,'Pinlist(S5)'!$C$4:$C$1362,'Pinlist(S5)'!$E$4:$E$1362,""),_xlpm.cleanRaw,SUBSTITUTE(SUBSTITUTE(_xlpm.raw,"_PIN","."),"PIN","."),_xlpm.mainPart,MID(_xlpm.cleanRaw,2,FIND(".",_xlpm.cleanRaw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2" t="str">
        <f>""</f>
        <v/>
      </c>
      <c r="J412" t="str">
        <f t="shared" si="6"/>
        <v>K16;VSS;;8.776;5.43799999999999;;;;</v>
      </c>
    </row>
    <row r="413" spans="1:10">
      <c r="A413" t="s">
        <v>1776</v>
      </c>
      <c r="B413" t="str">
        <f>_xlfn.XLOOKUP(A413,'Pinlist(S1)'!$Q$4:$Q$1362,'Pinlist(S1)'!$R$4:$R$1362,"")</f>
        <v>VCCMPHYAON_1P0</v>
      </c>
      <c r="C413" t="str" cm="1">
        <f t="array" ref="C413">_xlfn.TEXTJOIN(",",TRUE,_xlfn.UNIQUE(TRANSPOSE(_xlfn.MAP(_xlfn.XLOOKUP(A413,'Pinlist(S1)'!$C$4:$C$1362,'Pinlist(S1)'!$F$4:$K$1362,""),_xlfn.LAMBDA(_xlpm.x,IF(_xlpm.x&lt;&gt;"",TRIM(CLEAN(LEFT(_xlpm.x,FIND(".",_xlpm.x &amp; ".")-1))),""))))))</f>
        <v/>
      </c>
      <c r="D413">
        <v>9.4260000000000002</v>
      </c>
      <c r="E413">
        <v>5.43799999999999</v>
      </c>
      <c r="F413" t="str">
        <f>_xlfn.LET(_xlpm.raw,_xlfn.XLOOKUP(A413,'Pinlist(S1)'!$C$4:$C$1362,'Pinlist(S1)'!$E$4:$E$1362,""),_xlpm.cleanRaw,SUBSTITUTE(SUBSTITUTE(_xlpm.raw,"_PIN","."),"PIN","."),_xlpm.mainPart,MID(_xlpm.cleanRaw,2,FIND(".",_xlpm.cleanRaw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3" t="str">
        <f>_xlfn.LET(_xlpm.raw,_xlfn.XLOOKUP(A413,'Pinlist(S3)'!$C$4:$C$1362,'Pinlist(S3)'!$E$4:$E$1362,""),_xlpm.cleanRaw,SUBSTITUTE(SUBSTITUTE(_xlpm.raw,"_PIN","."),"PIN","."),_xlpm.mainPart,MID(_xlpm.cleanRaw,2,FIND(".",_xlpm.cleanRaw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3" t="str">
        <f>_xlfn.LET(_xlpm.raw,_xlfn.XLOOKUP(A413,'Pinlist(S5)'!$C$4:$C$1362,'Pinlist(S5)'!$E$4:$E$1362,""),_xlpm.cleanRaw,SUBSTITUTE(SUBSTITUTE(_xlpm.raw,"_PIN","."),"PIN","."),_xlpm.mainPart,MID(_xlpm.cleanRaw,2,FIND(".",_xlpm.cleanRaw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3" t="str">
        <f>""</f>
        <v/>
      </c>
      <c r="J413" t="str">
        <f t="shared" si="6"/>
        <v>K17;VCCMPHYAON_1P0;;9.426;5.43799999999999;;;;</v>
      </c>
    </row>
    <row r="414" spans="1:10">
      <c r="A414" t="s">
        <v>2189</v>
      </c>
      <c r="B414" t="str">
        <f>_xlfn.XLOOKUP(A414,'Pinlist(S1)'!$Q$4:$Q$1362,'Pinlist(S1)'!$R$4:$R$1362,"")</f>
        <v>VSS</v>
      </c>
      <c r="C414" t="str" cm="1">
        <f t="array" ref="C414">_xlfn.TEXTJOIN(",",TRUE,_xlfn.UNIQUE(TRANSPOSE(_xlfn.MAP(_xlfn.XLOOKUP(A414,'Pinlist(S1)'!$C$4:$C$1362,'Pinlist(S1)'!$F$4:$K$1362,""),_xlfn.LAMBDA(_xlpm.x,IF(_xlpm.x&lt;&gt;"",TRIM(CLEAN(LEFT(_xlpm.x,FIND(".",_xlpm.x &amp; ".")-1))),""))))))</f>
        <v/>
      </c>
      <c r="D414">
        <v>10.076000000000001</v>
      </c>
      <c r="E414">
        <v>5.43799999999999</v>
      </c>
      <c r="F414" t="str">
        <f>_xlfn.LET(_xlpm.raw,_xlfn.XLOOKUP(A414,'Pinlist(S1)'!$C$4:$C$1362,'Pinlist(S1)'!$E$4:$E$1362,""),_xlpm.cleanRaw,SUBSTITUTE(SUBSTITUTE(_xlpm.raw,"_PIN","."),"PIN","."),_xlpm.mainPart,MID(_xlpm.cleanRaw,2,FIND(".",_xlpm.cleanRaw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4" t="str">
        <f>_xlfn.LET(_xlpm.raw,_xlfn.XLOOKUP(A414,'Pinlist(S3)'!$C$4:$C$1362,'Pinlist(S3)'!$E$4:$E$1362,""),_xlpm.cleanRaw,SUBSTITUTE(SUBSTITUTE(_xlpm.raw,"_PIN","."),"PIN","."),_xlpm.mainPart,MID(_xlpm.cleanRaw,2,FIND(".",_xlpm.cleanRaw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4" t="str">
        <f>_xlfn.LET(_xlpm.raw,_xlfn.XLOOKUP(A414,'Pinlist(S5)'!$C$4:$C$1362,'Pinlist(S5)'!$E$4:$E$1362,""),_xlpm.cleanRaw,SUBSTITUTE(SUBSTITUTE(_xlpm.raw,"_PIN","."),"PIN","."),_xlpm.mainPart,MID(_xlpm.cleanRaw,2,FIND(".",_xlpm.cleanRaw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4" t="str">
        <f>""</f>
        <v/>
      </c>
      <c r="J414" t="str">
        <f t="shared" si="6"/>
        <v>K18;VSS;;10.076;5.43799999999999;;;;</v>
      </c>
    </row>
    <row r="415" spans="1:10">
      <c r="A415" t="s">
        <v>1630</v>
      </c>
      <c r="B415" t="str">
        <f>_xlfn.XLOOKUP(A415,'Pinlist(S1)'!$Q$4:$Q$1362,'Pinlist(S1)'!$R$4:$R$1362,"")</f>
        <v>VCCF100_1P0</v>
      </c>
      <c r="C415" t="str" cm="1">
        <f t="array" ref="C415">_xlfn.TEXTJOIN(",",TRUE,_xlfn.UNIQUE(TRANSPOSE(_xlfn.MAP(_xlfn.XLOOKUP(A415,'Pinlist(S1)'!$C$4:$C$1362,'Pinlist(S1)'!$F$4:$K$1362,""),_xlfn.LAMBDA(_xlpm.x,IF(_xlpm.x&lt;&gt;"",TRIM(CLEAN(LEFT(_xlpm.x,FIND(".",_xlpm.x &amp; ".")-1))),""))))))</f>
        <v/>
      </c>
      <c r="D415">
        <v>10.727</v>
      </c>
      <c r="E415">
        <v>5.43799999999999</v>
      </c>
      <c r="F415" t="str">
        <f>_xlfn.LET(_xlpm.raw,_xlfn.XLOOKUP(A415,'Pinlist(S1)'!$C$4:$C$1362,'Pinlist(S1)'!$E$4:$E$1362,""),_xlpm.cleanRaw,SUBSTITUTE(SUBSTITUTE(_xlpm.raw,"_PIN","."),"PIN","."),_xlpm.mainPart,MID(_xlpm.cleanRaw,2,FIND(".",_xlpm.cleanRaw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5" t="str">
        <f>_xlfn.LET(_xlpm.raw,_xlfn.XLOOKUP(A415,'Pinlist(S3)'!$C$4:$C$1362,'Pinlist(S3)'!$E$4:$E$1362,""),_xlpm.cleanRaw,SUBSTITUTE(SUBSTITUTE(_xlpm.raw,"_PIN","."),"PIN","."),_xlpm.mainPart,MID(_xlpm.cleanRaw,2,FIND(".",_xlpm.cleanRaw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5" t="str">
        <f>_xlfn.LET(_xlpm.raw,_xlfn.XLOOKUP(A415,'Pinlist(S5)'!$C$4:$C$1362,'Pinlist(S5)'!$E$4:$E$1362,""),_xlpm.cleanRaw,SUBSTITUTE(SUBSTITUTE(_xlpm.raw,"_PIN","."),"PIN","."),_xlpm.mainPart,MID(_xlpm.cleanRaw,2,FIND(".",_xlpm.cleanRaw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5" t="str">
        <f>""</f>
        <v/>
      </c>
      <c r="J415" t="str">
        <f t="shared" si="6"/>
        <v>K19;VCCF100_1P0;;10.727;5.43799999999999;;;;</v>
      </c>
    </row>
    <row r="416" spans="1:10">
      <c r="A416" t="s">
        <v>1855</v>
      </c>
      <c r="B416" t="str">
        <f>_xlfn.XLOOKUP(A416,'Pinlist(S1)'!$Q$4:$Q$1362,'Pinlist(S1)'!$R$4:$R$1362,"")</f>
        <v>VCCSFR</v>
      </c>
      <c r="C416" t="str" cm="1">
        <f t="array" ref="C416">_xlfn.TEXTJOIN(",",TRUE,_xlfn.UNIQUE(TRANSPOSE(_xlfn.MAP(_xlfn.XLOOKUP(A416,'Pinlist(S1)'!$C$4:$C$1362,'Pinlist(S1)'!$F$4:$K$1362,""),_xlfn.LAMBDA(_xlpm.x,IF(_xlpm.x&lt;&gt;"",TRIM(CLEAN(LEFT(_xlpm.x,FIND(".",_xlpm.x &amp; ".")-1))),""))))))</f>
        <v/>
      </c>
      <c r="D416">
        <v>11.377000000000001</v>
      </c>
      <c r="E416">
        <v>5.43799999999999</v>
      </c>
      <c r="F416" t="str">
        <f>_xlfn.LET(_xlpm.raw,_xlfn.XLOOKUP(A416,'Pinlist(S1)'!$C$4:$C$1362,'Pinlist(S1)'!$E$4:$E$1362,""),_xlpm.cleanRaw,SUBSTITUTE(SUBSTITUTE(_xlpm.raw,"_PIN","."),"PIN","."),_xlpm.mainPart,MID(_xlpm.cleanRaw,2,FIND(".",_xlpm.cleanRaw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6" t="str">
        <f>_xlfn.LET(_xlpm.raw,_xlfn.XLOOKUP(A416,'Pinlist(S3)'!$C$4:$C$1362,'Pinlist(S3)'!$E$4:$E$1362,""),_xlpm.cleanRaw,SUBSTITUTE(SUBSTITUTE(_xlpm.raw,"_PIN","."),"PIN","."),_xlpm.mainPart,MID(_xlpm.cleanRaw,2,FIND(".",_xlpm.cleanRaw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6" t="str">
        <f>_xlfn.LET(_xlpm.raw,_xlfn.XLOOKUP(A416,'Pinlist(S5)'!$C$4:$C$1362,'Pinlist(S5)'!$E$4:$E$1362,""),_xlpm.cleanRaw,SUBSTITUTE(SUBSTITUTE(_xlpm.raw,"_PIN","."),"PIN","."),_xlpm.mainPart,MID(_xlpm.cleanRaw,2,FIND(".",_xlpm.cleanRaw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6" t="str">
        <f>""</f>
        <v/>
      </c>
      <c r="J416" t="str">
        <f t="shared" si="6"/>
        <v>K20;VCCSFR;;11.377;5.43799999999999;;;;</v>
      </c>
    </row>
    <row r="417" spans="1:10">
      <c r="A417" t="s">
        <v>1858</v>
      </c>
      <c r="B417" t="str">
        <f>_xlfn.XLOOKUP(A417,'Pinlist(S1)'!$Q$4:$Q$1362,'Pinlist(S1)'!$R$4:$R$1362,"")</f>
        <v>VCCSFR</v>
      </c>
      <c r="C417" t="str" cm="1">
        <f t="array" ref="C417">_xlfn.TEXTJOIN(",",TRUE,_xlfn.UNIQUE(TRANSPOSE(_xlfn.MAP(_xlfn.XLOOKUP(A417,'Pinlist(S1)'!$C$4:$C$1362,'Pinlist(S1)'!$F$4:$K$1362,""),_xlfn.LAMBDA(_xlpm.x,IF(_xlpm.x&lt;&gt;"",TRIM(CLEAN(LEFT(_xlpm.x,FIND(".",_xlpm.x &amp; ".")-1))),""))))))</f>
        <v/>
      </c>
      <c r="D417">
        <v>12.026999999999999</v>
      </c>
      <c r="E417">
        <v>5.43799999999999</v>
      </c>
      <c r="F417" t="str">
        <f>_xlfn.LET(_xlpm.raw,_xlfn.XLOOKUP(A417,'Pinlist(S1)'!$C$4:$C$1362,'Pinlist(S1)'!$E$4:$E$1362,""),_xlpm.cleanRaw,SUBSTITUTE(SUBSTITUTE(_xlpm.raw,"_PIN","."),"PIN","."),_xlpm.mainPart,MID(_xlpm.cleanRaw,2,FIND(".",_xlpm.cleanRaw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7" t="str">
        <f>_xlfn.LET(_xlpm.raw,_xlfn.XLOOKUP(A417,'Pinlist(S3)'!$C$4:$C$1362,'Pinlist(S3)'!$E$4:$E$1362,""),_xlpm.cleanRaw,SUBSTITUTE(SUBSTITUTE(_xlpm.raw,"_PIN","."),"PIN","."),_xlpm.mainPart,MID(_xlpm.cleanRaw,2,FIND(".",_xlpm.cleanRaw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7" t="str">
        <f>_xlfn.LET(_xlpm.raw,_xlfn.XLOOKUP(A417,'Pinlist(S5)'!$C$4:$C$1362,'Pinlist(S5)'!$E$4:$E$1362,""),_xlpm.cleanRaw,SUBSTITUTE(SUBSTITUTE(_xlpm.raw,"_PIN","."),"PIN","."),_xlpm.mainPart,MID(_xlpm.cleanRaw,2,FIND(".",_xlpm.cleanRaw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7" t="str">
        <f>""</f>
        <v/>
      </c>
      <c r="J417" t="str">
        <f t="shared" si="6"/>
        <v>K21;VCCSFR;;12.027;5.43799999999999;;;;</v>
      </c>
    </row>
    <row r="418" spans="1:10">
      <c r="A418" t="s">
        <v>2190</v>
      </c>
      <c r="B418" t="str">
        <f>_xlfn.XLOOKUP(A418,'Pinlist(S1)'!$Q$4:$Q$1362,'Pinlist(S1)'!$R$4:$R$1362,"")</f>
        <v>VSS</v>
      </c>
      <c r="C418" t="str" cm="1">
        <f t="array" ref="C418">_xlfn.TEXTJOIN(",",TRUE,_xlfn.UNIQUE(TRANSPOSE(_xlfn.MAP(_xlfn.XLOOKUP(A418,'Pinlist(S1)'!$C$4:$C$1362,'Pinlist(S1)'!$F$4:$K$1362,""),_xlfn.LAMBDA(_xlpm.x,IF(_xlpm.x&lt;&gt;"",TRIM(CLEAN(LEFT(_xlpm.x,FIND(".",_xlpm.x &amp; ".")-1))),""))))))</f>
        <v/>
      </c>
      <c r="D418">
        <v>12.718</v>
      </c>
      <c r="E418">
        <v>4.9519999999999902</v>
      </c>
      <c r="F418" t="str">
        <f>_xlfn.LET(_xlpm.raw,_xlfn.XLOOKUP(A418,'Pinlist(S1)'!$C$4:$C$1362,'Pinlist(S1)'!$E$4:$E$1362,""),_xlpm.cleanRaw,SUBSTITUTE(SUBSTITUTE(_xlpm.raw,"_PIN","."),"PIN","."),_xlpm.mainPart,MID(_xlpm.cleanRaw,2,FIND(".",_xlpm.cleanRaw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8" t="str">
        <f>_xlfn.LET(_xlpm.raw,_xlfn.XLOOKUP(A418,'Pinlist(S3)'!$C$4:$C$1362,'Pinlist(S3)'!$E$4:$E$1362,""),_xlpm.cleanRaw,SUBSTITUTE(SUBSTITUTE(_xlpm.raw,"_PIN","."),"PIN","."),_xlpm.mainPart,MID(_xlpm.cleanRaw,2,FIND(".",_xlpm.cleanRaw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8" t="str">
        <f>_xlfn.LET(_xlpm.raw,_xlfn.XLOOKUP(A418,'Pinlist(S5)'!$C$4:$C$1362,'Pinlist(S5)'!$E$4:$E$1362,""),_xlpm.cleanRaw,SUBSTITUTE(SUBSTITUTE(_xlpm.raw,"_PIN","."),"PIN","."),_xlpm.mainPart,MID(_xlpm.cleanRaw,2,FIND(".",_xlpm.cleanRaw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8" t="str">
        <f>""</f>
        <v/>
      </c>
      <c r="J418" t="str">
        <f t="shared" si="6"/>
        <v>K22;VSS;;12.718;4.95199999999999;;;;</v>
      </c>
    </row>
    <row r="419" spans="1:10">
      <c r="A419" t="s">
        <v>1847</v>
      </c>
      <c r="B419" t="str">
        <f>_xlfn.XLOOKUP(A419,'Pinlist(S1)'!$Q$4:$Q$1362,'Pinlist(S1)'!$R$4:$R$1362,"")</f>
        <v>VCCSA</v>
      </c>
      <c r="C419" t="str" cm="1">
        <f t="array" ref="C419">_xlfn.TEXTJOIN(",",TRUE,_xlfn.UNIQUE(TRANSPOSE(_xlfn.MAP(_xlfn.XLOOKUP(A419,'Pinlist(S1)'!$C$4:$C$1362,'Pinlist(S1)'!$F$4:$K$1362,""),_xlfn.LAMBDA(_xlpm.x,IF(_xlpm.x&lt;&gt;"",TRIM(CLEAN(LEFT(_xlpm.x,FIND(".",_xlpm.x &amp; ".")-1))),""))))))</f>
        <v/>
      </c>
      <c r="D419">
        <v>13.632999999999999</v>
      </c>
      <c r="E419">
        <v>4.9519999999999902</v>
      </c>
      <c r="F419" t="str">
        <f>_xlfn.LET(_xlpm.raw,_xlfn.XLOOKUP(A419,'Pinlist(S1)'!$C$4:$C$1362,'Pinlist(S1)'!$E$4:$E$1362,""),_xlpm.cleanRaw,SUBSTITUTE(SUBSTITUTE(_xlpm.raw,"_PIN","."),"PIN","."),_xlpm.mainPart,MID(_xlpm.cleanRaw,2,FIND(".",_xlpm.cleanRaw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9" t="str">
        <f>_xlfn.LET(_xlpm.raw,_xlfn.XLOOKUP(A419,'Pinlist(S3)'!$C$4:$C$1362,'Pinlist(S3)'!$E$4:$E$1362,""),_xlpm.cleanRaw,SUBSTITUTE(SUBSTITUTE(_xlpm.raw,"_PIN","."),"PIN","."),_xlpm.mainPart,MID(_xlpm.cleanRaw,2,FIND(".",_xlpm.cleanRaw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9" t="str">
        <f>_xlfn.LET(_xlpm.raw,_xlfn.XLOOKUP(A419,'Pinlist(S5)'!$C$4:$C$1362,'Pinlist(S5)'!$E$4:$E$1362,""),_xlpm.cleanRaw,SUBSTITUTE(SUBSTITUTE(_xlpm.raw,"_PIN","."),"PIN","."),_xlpm.mainPart,MID(_xlpm.cleanRaw,2,FIND(".",_xlpm.cleanRaw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9" t="str">
        <f>""</f>
        <v/>
      </c>
      <c r="J419" t="str">
        <f t="shared" si="6"/>
        <v>K23;VCCSA;;13.633;4.95199999999999;;;;</v>
      </c>
    </row>
    <row r="420" spans="1:10">
      <c r="A420" t="s">
        <v>1848</v>
      </c>
      <c r="B420" t="str">
        <f>_xlfn.XLOOKUP(A420,'Pinlist(S1)'!$Q$4:$Q$1362,'Pinlist(S1)'!$R$4:$R$1362,"")</f>
        <v>VCCSA</v>
      </c>
      <c r="C420" t="str" cm="1">
        <f t="array" ref="C420">_xlfn.TEXTJOIN(",",TRUE,_xlfn.UNIQUE(TRANSPOSE(_xlfn.MAP(_xlfn.XLOOKUP(A420,'Pinlist(S1)'!$C$4:$C$1362,'Pinlist(S1)'!$F$4:$K$1362,""),_xlfn.LAMBDA(_xlpm.x,IF(_xlpm.x&lt;&gt;"",TRIM(CLEAN(LEFT(_xlpm.x,FIND(".",_xlpm.x &amp; ".")-1))),""))))))</f>
        <v/>
      </c>
      <c r="D420">
        <v>14.547000000000001</v>
      </c>
      <c r="E420">
        <v>4.9519999999999902</v>
      </c>
      <c r="F420" t="str">
        <f>_xlfn.LET(_xlpm.raw,_xlfn.XLOOKUP(A420,'Pinlist(S1)'!$C$4:$C$1362,'Pinlist(S1)'!$E$4:$E$1362,""),_xlpm.cleanRaw,SUBSTITUTE(SUBSTITUTE(_xlpm.raw,"_PIN","."),"PIN","."),_xlpm.mainPart,MID(_xlpm.cleanRaw,2,FIND(".",_xlpm.cleanRaw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0" t="str">
        <f>_xlfn.LET(_xlpm.raw,_xlfn.XLOOKUP(A420,'Pinlist(S3)'!$C$4:$C$1362,'Pinlist(S3)'!$E$4:$E$1362,""),_xlpm.cleanRaw,SUBSTITUTE(SUBSTITUTE(_xlpm.raw,"_PIN","."),"PIN","."),_xlpm.mainPart,MID(_xlpm.cleanRaw,2,FIND(".",_xlpm.cleanRaw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0" t="str">
        <f>_xlfn.LET(_xlpm.raw,_xlfn.XLOOKUP(A420,'Pinlist(S5)'!$C$4:$C$1362,'Pinlist(S5)'!$E$4:$E$1362,""),_xlpm.cleanRaw,SUBSTITUTE(SUBSTITUTE(_xlpm.raw,"_PIN","."),"PIN","."),_xlpm.mainPart,MID(_xlpm.cleanRaw,2,FIND(".",_xlpm.cleanRaw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0" t="str">
        <f>""</f>
        <v/>
      </c>
      <c r="J420" t="str">
        <f t="shared" si="6"/>
        <v>K25;VCCSA;;14.547;4.95199999999999;;;;</v>
      </c>
    </row>
    <row r="421" spans="1:10">
      <c r="A421" t="s">
        <v>1849</v>
      </c>
      <c r="B421" t="str">
        <f>_xlfn.XLOOKUP(A421,'Pinlist(S1)'!$Q$4:$Q$1362,'Pinlist(S1)'!$R$4:$R$1362,"")</f>
        <v>VCCSA</v>
      </c>
      <c r="C421" t="str" cm="1">
        <f t="array" ref="C421">_xlfn.TEXTJOIN(",",TRUE,_xlfn.UNIQUE(TRANSPOSE(_xlfn.MAP(_xlfn.XLOOKUP(A421,'Pinlist(S1)'!$C$4:$C$1362,'Pinlist(S1)'!$F$4:$K$1362,""),_xlfn.LAMBDA(_xlpm.x,IF(_xlpm.x&lt;&gt;"",TRIM(CLEAN(LEFT(_xlpm.x,FIND(".",_xlpm.x &amp; ".")-1))),""))))))</f>
        <v/>
      </c>
      <c r="D421">
        <v>15.462</v>
      </c>
      <c r="E421">
        <v>4.9519999999999902</v>
      </c>
      <c r="F421" t="str">
        <f>_xlfn.LET(_xlpm.raw,_xlfn.XLOOKUP(A421,'Pinlist(S1)'!$C$4:$C$1362,'Pinlist(S1)'!$E$4:$E$1362,""),_xlpm.cleanRaw,SUBSTITUTE(SUBSTITUTE(_xlpm.raw,"_PIN","."),"PIN","."),_xlpm.mainPart,MID(_xlpm.cleanRaw,2,FIND(".",_xlpm.cleanRaw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1" t="str">
        <f>_xlfn.LET(_xlpm.raw,_xlfn.XLOOKUP(A421,'Pinlist(S3)'!$C$4:$C$1362,'Pinlist(S3)'!$E$4:$E$1362,""),_xlpm.cleanRaw,SUBSTITUTE(SUBSTITUTE(_xlpm.raw,"_PIN","."),"PIN","."),_xlpm.mainPart,MID(_xlpm.cleanRaw,2,FIND(".",_xlpm.cleanRaw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1" t="str">
        <f>_xlfn.LET(_xlpm.raw,_xlfn.XLOOKUP(A421,'Pinlist(S5)'!$C$4:$C$1362,'Pinlist(S5)'!$E$4:$E$1362,""),_xlpm.cleanRaw,SUBSTITUTE(SUBSTITUTE(_xlpm.raw,"_PIN","."),"PIN","."),_xlpm.mainPart,MID(_xlpm.cleanRaw,2,FIND(".",_xlpm.cleanRaw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1" t="str">
        <f>""</f>
        <v/>
      </c>
      <c r="J421" t="str">
        <f t="shared" si="6"/>
        <v>K27;VCCSA;;15.462;4.95199999999999;;;;</v>
      </c>
    </row>
    <row r="422" spans="1:10">
      <c r="A422" t="s">
        <v>1850</v>
      </c>
      <c r="B422" t="str">
        <f>_xlfn.XLOOKUP(A422,'Pinlist(S1)'!$Q$4:$Q$1362,'Pinlist(S1)'!$R$4:$R$1362,"")</f>
        <v>VCCSA</v>
      </c>
      <c r="C422" t="str" cm="1">
        <f t="array" ref="C422">_xlfn.TEXTJOIN(",",TRUE,_xlfn.UNIQUE(TRANSPOSE(_xlfn.MAP(_xlfn.XLOOKUP(A422,'Pinlist(S1)'!$C$4:$C$1362,'Pinlist(S1)'!$F$4:$K$1362,""),_xlfn.LAMBDA(_xlpm.x,IF(_xlpm.x&lt;&gt;"",TRIM(CLEAN(LEFT(_xlpm.x,FIND(".",_xlpm.x &amp; ".")-1))),""))))))</f>
        <v/>
      </c>
      <c r="D422">
        <v>16.376000000000001</v>
      </c>
      <c r="E422">
        <v>4.9519999999999902</v>
      </c>
      <c r="F422" t="str">
        <f>_xlfn.LET(_xlpm.raw,_xlfn.XLOOKUP(A422,'Pinlist(S1)'!$C$4:$C$1362,'Pinlist(S1)'!$E$4:$E$1362,""),_xlpm.cleanRaw,SUBSTITUTE(SUBSTITUTE(_xlpm.raw,"_PIN","."),"PIN","."),_xlpm.mainPart,MID(_xlpm.cleanRaw,2,FIND(".",_xlpm.cleanRaw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2" t="str">
        <f>_xlfn.LET(_xlpm.raw,_xlfn.XLOOKUP(A422,'Pinlist(S3)'!$C$4:$C$1362,'Pinlist(S3)'!$E$4:$E$1362,""),_xlpm.cleanRaw,SUBSTITUTE(SUBSTITUTE(_xlpm.raw,"_PIN","."),"PIN","."),_xlpm.mainPart,MID(_xlpm.cleanRaw,2,FIND(".",_xlpm.cleanRaw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2" t="str">
        <f>_xlfn.LET(_xlpm.raw,_xlfn.XLOOKUP(A422,'Pinlist(S5)'!$C$4:$C$1362,'Pinlist(S5)'!$E$4:$E$1362,""),_xlpm.cleanRaw,SUBSTITUTE(SUBSTITUTE(_xlpm.raw,"_PIN","."),"PIN","."),_xlpm.mainPart,MID(_xlpm.cleanRaw,2,FIND(".",_xlpm.cleanRaw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2" t="str">
        <f>""</f>
        <v/>
      </c>
      <c r="J422" t="str">
        <f t="shared" si="6"/>
        <v>K28;VCCSA;;16.376;4.95199999999999;;;;</v>
      </c>
    </row>
    <row r="423" spans="1:10">
      <c r="A423" t="s">
        <v>1851</v>
      </c>
      <c r="B423" t="str">
        <f>_xlfn.XLOOKUP(A423,'Pinlist(S1)'!$Q$4:$Q$1362,'Pinlist(S1)'!$R$4:$R$1362,"")</f>
        <v>VCCSA</v>
      </c>
      <c r="C423" t="str" cm="1">
        <f t="array" ref="C423">_xlfn.TEXTJOIN(",",TRUE,_xlfn.UNIQUE(TRANSPOSE(_xlfn.MAP(_xlfn.XLOOKUP(A423,'Pinlist(S1)'!$C$4:$C$1362,'Pinlist(S1)'!$F$4:$K$1362,""),_xlfn.LAMBDA(_xlpm.x,IF(_xlpm.x&lt;&gt;"",TRIM(CLEAN(LEFT(_xlpm.x,FIND(".",_xlpm.x &amp; ".")-1))),""))))))</f>
        <v/>
      </c>
      <c r="D423">
        <v>17.29</v>
      </c>
      <c r="E423">
        <v>4.9519999999999902</v>
      </c>
      <c r="F423" t="str">
        <f>_xlfn.LET(_xlpm.raw,_xlfn.XLOOKUP(A423,'Pinlist(S1)'!$C$4:$C$1362,'Pinlist(S1)'!$E$4:$E$1362,""),_xlpm.cleanRaw,SUBSTITUTE(SUBSTITUTE(_xlpm.raw,"_PIN","."),"PIN","."),_xlpm.mainPart,MID(_xlpm.cleanRaw,2,FIND(".",_xlpm.cleanRaw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3" t="str">
        <f>_xlfn.LET(_xlpm.raw,_xlfn.XLOOKUP(A423,'Pinlist(S3)'!$C$4:$C$1362,'Pinlist(S3)'!$E$4:$E$1362,""),_xlpm.cleanRaw,SUBSTITUTE(SUBSTITUTE(_xlpm.raw,"_PIN","."),"PIN","."),_xlpm.mainPart,MID(_xlpm.cleanRaw,2,FIND(".",_xlpm.cleanRaw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3" t="str">
        <f>_xlfn.LET(_xlpm.raw,_xlfn.XLOOKUP(A423,'Pinlist(S5)'!$C$4:$C$1362,'Pinlist(S5)'!$E$4:$E$1362,""),_xlpm.cleanRaw,SUBSTITUTE(SUBSTITUTE(_xlpm.raw,"_PIN","."),"PIN","."),_xlpm.mainPart,MID(_xlpm.cleanRaw,2,FIND(".",_xlpm.cleanRaw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3" t="str">
        <f>""</f>
        <v/>
      </c>
      <c r="J423" t="str">
        <f t="shared" si="6"/>
        <v>K30;VCCSA;;17.29;4.95199999999999;;;;</v>
      </c>
    </row>
    <row r="424" spans="1:10">
      <c r="A424" t="s">
        <v>1589</v>
      </c>
      <c r="B424" t="str">
        <f>_xlfn.XLOOKUP(A424,'Pinlist(S1)'!$Q$4:$Q$1362,'Pinlist(S1)'!$R$4:$R$1362,"")</f>
        <v>VCCCOREG0</v>
      </c>
      <c r="C424" t="str" cm="1">
        <f t="array" ref="C424">_xlfn.TEXTJOIN(",",TRUE,_xlfn.UNIQUE(TRANSPOSE(_xlfn.MAP(_xlfn.XLOOKUP(A424,'Pinlist(S1)'!$C$4:$C$1362,'Pinlist(S1)'!$F$4:$K$1362,""),_xlfn.LAMBDA(_xlpm.x,IF(_xlpm.x&lt;&gt;"",TRIM(CLEAN(LEFT(_xlpm.x,FIND(".",_xlpm.x &amp; ".")-1))),""))))))</f>
        <v/>
      </c>
      <c r="D424">
        <v>18.204999999999998</v>
      </c>
      <c r="E424">
        <v>4.9519999999999902</v>
      </c>
      <c r="F424" t="str">
        <f>_xlfn.LET(_xlpm.raw,_xlfn.XLOOKUP(A424,'Pinlist(S1)'!$C$4:$C$1362,'Pinlist(S1)'!$E$4:$E$1362,""),_xlpm.cleanRaw,SUBSTITUTE(SUBSTITUTE(_xlpm.raw,"_PIN","."),"PIN","."),_xlpm.mainPart,MID(_xlpm.cleanRaw,2,FIND(".",_xlpm.cleanRaw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4" t="str">
        <f>_xlfn.LET(_xlpm.raw,_xlfn.XLOOKUP(A424,'Pinlist(S3)'!$C$4:$C$1362,'Pinlist(S3)'!$E$4:$E$1362,""),_xlpm.cleanRaw,SUBSTITUTE(SUBSTITUTE(_xlpm.raw,"_PIN","."),"PIN","."),_xlpm.mainPart,MID(_xlpm.cleanRaw,2,FIND(".",_xlpm.cleanRaw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4" t="str">
        <f>_xlfn.LET(_xlpm.raw,_xlfn.XLOOKUP(A424,'Pinlist(S5)'!$C$4:$C$1362,'Pinlist(S5)'!$E$4:$E$1362,""),_xlpm.cleanRaw,SUBSTITUTE(SUBSTITUTE(_xlpm.raw,"_PIN","."),"PIN","."),_xlpm.mainPart,MID(_xlpm.cleanRaw,2,FIND(".",_xlpm.cleanRaw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4" t="str">
        <f>""</f>
        <v/>
      </c>
      <c r="J424" t="str">
        <f t="shared" si="6"/>
        <v>K32;VCCCOREG0;;18.205;4.95199999999999;;;;</v>
      </c>
    </row>
    <row r="425" spans="1:10">
      <c r="A425" t="s">
        <v>1580</v>
      </c>
      <c r="B425" t="str">
        <f>_xlfn.XLOOKUP(A425,'Pinlist(S1)'!$Q$4:$Q$1362,'Pinlist(S1)'!$R$4:$R$1362,"")</f>
        <v>VCCCORE</v>
      </c>
      <c r="C425" t="str" cm="1">
        <f t="array" ref="C425">_xlfn.TEXTJOIN(",",TRUE,_xlfn.UNIQUE(TRANSPOSE(_xlfn.MAP(_xlfn.XLOOKUP(A425,'Pinlist(S1)'!$C$4:$C$1362,'Pinlist(S1)'!$F$4:$K$1362,""),_xlfn.LAMBDA(_xlpm.x,IF(_xlpm.x&lt;&gt;"",TRIM(CLEAN(LEFT(_xlpm.x,FIND(".",_xlpm.x &amp; ".")-1))),""))))))</f>
        <v/>
      </c>
      <c r="D425">
        <v>19.119</v>
      </c>
      <c r="E425">
        <v>4.9519999999999902</v>
      </c>
      <c r="F425" t="str">
        <f>_xlfn.LET(_xlpm.raw,_xlfn.XLOOKUP(A425,'Pinlist(S1)'!$C$4:$C$1362,'Pinlist(S1)'!$E$4:$E$1362,""),_xlpm.cleanRaw,SUBSTITUTE(SUBSTITUTE(_xlpm.raw,"_PIN","."),"PIN","."),_xlpm.mainPart,MID(_xlpm.cleanRaw,2,FIND(".",_xlpm.cleanRaw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5" t="str">
        <f>_xlfn.LET(_xlpm.raw,_xlfn.XLOOKUP(A425,'Pinlist(S3)'!$C$4:$C$1362,'Pinlist(S3)'!$E$4:$E$1362,""),_xlpm.cleanRaw,SUBSTITUTE(SUBSTITUTE(_xlpm.raw,"_PIN","."),"PIN","."),_xlpm.mainPart,MID(_xlpm.cleanRaw,2,FIND(".",_xlpm.cleanRaw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5" t="str">
        <f>_xlfn.LET(_xlpm.raw,_xlfn.XLOOKUP(A425,'Pinlist(S5)'!$C$4:$C$1362,'Pinlist(S5)'!$E$4:$E$1362,""),_xlpm.cleanRaw,SUBSTITUTE(SUBSTITUTE(_xlpm.raw,"_PIN","."),"PIN","."),_xlpm.mainPart,MID(_xlpm.cleanRaw,2,FIND(".",_xlpm.cleanRaw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5" t="str">
        <f>""</f>
        <v/>
      </c>
      <c r="J425" t="str">
        <f t="shared" si="6"/>
        <v>K33;VCCCORE;;19.119;4.95199999999999;;;;</v>
      </c>
    </row>
    <row r="426" spans="1:10">
      <c r="A426" t="s">
        <v>1581</v>
      </c>
      <c r="B426" t="str">
        <f>_xlfn.XLOOKUP(A426,'Pinlist(S1)'!$Q$4:$Q$1362,'Pinlist(S1)'!$R$4:$R$1362,"")</f>
        <v>VCCCORE</v>
      </c>
      <c r="C426" t="str" cm="1">
        <f t="array" ref="C426">_xlfn.TEXTJOIN(",",TRUE,_xlfn.UNIQUE(TRANSPOSE(_xlfn.MAP(_xlfn.XLOOKUP(A426,'Pinlist(S1)'!$C$4:$C$1362,'Pinlist(S1)'!$F$4:$K$1362,""),_xlfn.LAMBDA(_xlpm.x,IF(_xlpm.x&lt;&gt;"",TRIM(CLEAN(LEFT(_xlpm.x,FIND(".",_xlpm.x &amp; ".")-1))),""))))))</f>
        <v/>
      </c>
      <c r="D426">
        <v>20.033999999999999</v>
      </c>
      <c r="E426">
        <v>4.9519999999999902</v>
      </c>
      <c r="F426" t="str">
        <f>_xlfn.LET(_xlpm.raw,_xlfn.XLOOKUP(A426,'Pinlist(S1)'!$C$4:$C$1362,'Pinlist(S1)'!$E$4:$E$1362,""),_xlpm.cleanRaw,SUBSTITUTE(SUBSTITUTE(_xlpm.raw,"_PIN","."),"PIN","."),_xlpm.mainPart,MID(_xlpm.cleanRaw,2,FIND(".",_xlpm.cleanRaw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6" t="str">
        <f>_xlfn.LET(_xlpm.raw,_xlfn.XLOOKUP(A426,'Pinlist(S3)'!$C$4:$C$1362,'Pinlist(S3)'!$E$4:$E$1362,""),_xlpm.cleanRaw,SUBSTITUTE(SUBSTITUTE(_xlpm.raw,"_PIN","."),"PIN","."),_xlpm.mainPart,MID(_xlpm.cleanRaw,2,FIND(".",_xlpm.cleanRaw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6" t="str">
        <f>_xlfn.LET(_xlpm.raw,_xlfn.XLOOKUP(A426,'Pinlist(S5)'!$C$4:$C$1362,'Pinlist(S5)'!$E$4:$E$1362,""),_xlpm.cleanRaw,SUBSTITUTE(SUBSTITUTE(_xlpm.raw,"_PIN","."),"PIN","."),_xlpm.mainPart,MID(_xlpm.cleanRaw,2,FIND(".",_xlpm.cleanRaw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6" t="str">
        <f>""</f>
        <v/>
      </c>
      <c r="J426" t="str">
        <f t="shared" si="6"/>
        <v>K35;VCCCORE;;20.034;4.95199999999999;;;;</v>
      </c>
    </row>
    <row r="427" spans="1:10">
      <c r="A427" t="s">
        <v>1582</v>
      </c>
      <c r="B427" t="str">
        <f>_xlfn.XLOOKUP(A427,'Pinlist(S1)'!$Q$4:$Q$1362,'Pinlist(S1)'!$R$4:$R$1362,"")</f>
        <v>VCCCORE</v>
      </c>
      <c r="C427" t="str" cm="1">
        <f t="array" ref="C427">_xlfn.TEXTJOIN(",",TRUE,_xlfn.UNIQUE(TRANSPOSE(_xlfn.MAP(_xlfn.XLOOKUP(A427,'Pinlist(S1)'!$C$4:$C$1362,'Pinlist(S1)'!$F$4:$K$1362,""),_xlfn.LAMBDA(_xlpm.x,IF(_xlpm.x&lt;&gt;"",TRIM(CLEAN(LEFT(_xlpm.x,FIND(".",_xlpm.x &amp; ".")-1))),""))))))</f>
        <v/>
      </c>
      <c r="D427">
        <v>20.948</v>
      </c>
      <c r="E427">
        <v>4.9519999999999902</v>
      </c>
      <c r="F427" t="str">
        <f>_xlfn.LET(_xlpm.raw,_xlfn.XLOOKUP(A427,'Pinlist(S1)'!$C$4:$C$1362,'Pinlist(S1)'!$E$4:$E$1362,""),_xlpm.cleanRaw,SUBSTITUTE(SUBSTITUTE(_xlpm.raw,"_PIN","."),"PIN","."),_xlpm.mainPart,MID(_xlpm.cleanRaw,2,FIND(".",_xlpm.cleanRaw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7" t="str">
        <f>_xlfn.LET(_xlpm.raw,_xlfn.XLOOKUP(A427,'Pinlist(S3)'!$C$4:$C$1362,'Pinlist(S3)'!$E$4:$E$1362,""),_xlpm.cleanRaw,SUBSTITUTE(SUBSTITUTE(_xlpm.raw,"_PIN","."),"PIN","."),_xlpm.mainPart,MID(_xlpm.cleanRaw,2,FIND(".",_xlpm.cleanRaw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7" t="str">
        <f>_xlfn.LET(_xlpm.raw,_xlfn.XLOOKUP(A427,'Pinlist(S5)'!$C$4:$C$1362,'Pinlist(S5)'!$E$4:$E$1362,""),_xlpm.cleanRaw,SUBSTITUTE(SUBSTITUTE(_xlpm.raw,"_PIN","."),"PIN","."),_xlpm.mainPart,MID(_xlpm.cleanRaw,2,FIND(".",_xlpm.cleanRaw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7" t="str">
        <f>""</f>
        <v/>
      </c>
      <c r="J427" t="str">
        <f t="shared" si="6"/>
        <v>K37;VCCCORE;;20.948;4.95199999999999;;;;</v>
      </c>
    </row>
    <row r="428" spans="1:10">
      <c r="A428" t="s">
        <v>1583</v>
      </c>
      <c r="B428" t="str">
        <f>_xlfn.XLOOKUP(A428,'Pinlist(S1)'!$Q$4:$Q$1362,'Pinlist(S1)'!$R$4:$R$1362,"")</f>
        <v>VCCCORE</v>
      </c>
      <c r="C428" t="str" cm="1">
        <f t="array" ref="C428">_xlfn.TEXTJOIN(",",TRUE,_xlfn.UNIQUE(TRANSPOSE(_xlfn.MAP(_xlfn.XLOOKUP(A428,'Pinlist(S1)'!$C$4:$C$1362,'Pinlist(S1)'!$F$4:$K$1362,""),_xlfn.LAMBDA(_xlpm.x,IF(_xlpm.x&lt;&gt;"",TRIM(CLEAN(LEFT(_xlpm.x,FIND(".",_xlpm.x &amp; ".")-1))),""))))))</f>
        <v/>
      </c>
      <c r="D428">
        <v>21.861999999999998</v>
      </c>
      <c r="E428">
        <v>4.9519999999999902</v>
      </c>
      <c r="F428" t="str">
        <f>_xlfn.LET(_xlpm.raw,_xlfn.XLOOKUP(A428,'Pinlist(S1)'!$C$4:$C$1362,'Pinlist(S1)'!$E$4:$E$1362,""),_xlpm.cleanRaw,SUBSTITUTE(SUBSTITUTE(_xlpm.raw,"_PIN","."),"PIN","."),_xlpm.mainPart,MID(_xlpm.cleanRaw,2,FIND(".",_xlpm.cleanRaw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8" t="str">
        <f>_xlfn.LET(_xlpm.raw,_xlfn.XLOOKUP(A428,'Pinlist(S3)'!$C$4:$C$1362,'Pinlist(S3)'!$E$4:$E$1362,""),_xlpm.cleanRaw,SUBSTITUTE(SUBSTITUTE(_xlpm.raw,"_PIN","."),"PIN","."),_xlpm.mainPart,MID(_xlpm.cleanRaw,2,FIND(".",_xlpm.cleanRaw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8" t="str">
        <f>_xlfn.LET(_xlpm.raw,_xlfn.XLOOKUP(A428,'Pinlist(S5)'!$C$4:$C$1362,'Pinlist(S5)'!$E$4:$E$1362,""),_xlpm.cleanRaw,SUBSTITUTE(SUBSTITUTE(_xlpm.raw,"_PIN","."),"PIN","."),_xlpm.mainPart,MID(_xlpm.cleanRaw,2,FIND(".",_xlpm.cleanRaw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8" t="str">
        <f>""</f>
        <v/>
      </c>
      <c r="J428" t="str">
        <f t="shared" si="6"/>
        <v>K38;VCCCORE;;21.862;4.95199999999999;;;;</v>
      </c>
    </row>
    <row r="429" spans="1:10">
      <c r="A429" t="s">
        <v>1584</v>
      </c>
      <c r="B429" t="str">
        <f>_xlfn.XLOOKUP(A429,'Pinlist(S1)'!$Q$4:$Q$1362,'Pinlist(S1)'!$R$4:$R$1362,"")</f>
        <v>VCCCORE</v>
      </c>
      <c r="C429" t="str" cm="1">
        <f t="array" ref="C429">_xlfn.TEXTJOIN(",",TRUE,_xlfn.UNIQUE(TRANSPOSE(_xlfn.MAP(_xlfn.XLOOKUP(A429,'Pinlist(S1)'!$C$4:$C$1362,'Pinlist(S1)'!$F$4:$K$1362,""),_xlfn.LAMBDA(_xlpm.x,IF(_xlpm.x&lt;&gt;"",TRIM(CLEAN(LEFT(_xlpm.x,FIND(".",_xlpm.x &amp; ".")-1))),""))))))</f>
        <v/>
      </c>
      <c r="D429">
        <v>22.777000000000001</v>
      </c>
      <c r="E429">
        <v>4.9519999999999902</v>
      </c>
      <c r="F429" t="str">
        <f>_xlfn.LET(_xlpm.raw,_xlfn.XLOOKUP(A429,'Pinlist(S1)'!$C$4:$C$1362,'Pinlist(S1)'!$E$4:$E$1362,""),_xlpm.cleanRaw,SUBSTITUTE(SUBSTITUTE(_xlpm.raw,"_PIN","."),"PIN","."),_xlpm.mainPart,MID(_xlpm.cleanRaw,2,FIND(".",_xlpm.cleanRaw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9" t="str">
        <f>_xlfn.LET(_xlpm.raw,_xlfn.XLOOKUP(A429,'Pinlist(S3)'!$C$4:$C$1362,'Pinlist(S3)'!$E$4:$E$1362,""),_xlpm.cleanRaw,SUBSTITUTE(SUBSTITUTE(_xlpm.raw,"_PIN","."),"PIN","."),_xlpm.mainPart,MID(_xlpm.cleanRaw,2,FIND(".",_xlpm.cleanRaw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9" t="str">
        <f>_xlfn.LET(_xlpm.raw,_xlfn.XLOOKUP(A429,'Pinlist(S5)'!$C$4:$C$1362,'Pinlist(S5)'!$E$4:$E$1362,""),_xlpm.cleanRaw,SUBSTITUTE(SUBSTITUTE(_xlpm.raw,"_PIN","."),"PIN","."),_xlpm.mainPart,MID(_xlpm.cleanRaw,2,FIND(".",_xlpm.cleanRaw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9" t="str">
        <f>""</f>
        <v/>
      </c>
      <c r="J429" t="str">
        <f t="shared" si="6"/>
        <v>K40;VCCCORE;;22.777;4.95199999999999;;;;</v>
      </c>
    </row>
    <row r="430" spans="1:10">
      <c r="A430" t="s">
        <v>1585</v>
      </c>
      <c r="B430" t="str">
        <f>_xlfn.XLOOKUP(A430,'Pinlist(S1)'!$Q$4:$Q$1362,'Pinlist(S1)'!$R$4:$R$1362,"")</f>
        <v>VCCCORE</v>
      </c>
      <c r="C430" t="str" cm="1">
        <f t="array" ref="C430">_xlfn.TEXTJOIN(",",TRUE,_xlfn.UNIQUE(TRANSPOSE(_xlfn.MAP(_xlfn.XLOOKUP(A430,'Pinlist(S1)'!$C$4:$C$1362,'Pinlist(S1)'!$F$4:$K$1362,""),_xlfn.LAMBDA(_xlpm.x,IF(_xlpm.x&lt;&gt;"",TRIM(CLEAN(LEFT(_xlpm.x,FIND(".",_xlpm.x &amp; ".")-1))),""))))))</f>
        <v/>
      </c>
      <c r="D430">
        <v>23.690999999999999</v>
      </c>
      <c r="E430">
        <v>4.9519999999999902</v>
      </c>
      <c r="F430" t="str">
        <f>_xlfn.LET(_xlpm.raw,_xlfn.XLOOKUP(A430,'Pinlist(S1)'!$C$4:$C$1362,'Pinlist(S1)'!$E$4:$E$1362,""),_xlpm.cleanRaw,SUBSTITUTE(SUBSTITUTE(_xlpm.raw,"_PIN","."),"PIN","."),_xlpm.mainPart,MID(_xlpm.cleanRaw,2,FIND(".",_xlpm.cleanRaw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0" t="str">
        <f>_xlfn.LET(_xlpm.raw,_xlfn.XLOOKUP(A430,'Pinlist(S3)'!$C$4:$C$1362,'Pinlist(S3)'!$E$4:$E$1362,""),_xlpm.cleanRaw,SUBSTITUTE(SUBSTITUTE(_xlpm.raw,"_PIN","."),"PIN","."),_xlpm.mainPart,MID(_xlpm.cleanRaw,2,FIND(".",_xlpm.cleanRaw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0" t="str">
        <f>_xlfn.LET(_xlpm.raw,_xlfn.XLOOKUP(A430,'Pinlist(S5)'!$C$4:$C$1362,'Pinlist(S5)'!$E$4:$E$1362,""),_xlpm.cleanRaw,SUBSTITUTE(SUBSTITUTE(_xlpm.raw,"_PIN","."),"PIN","."),_xlpm.mainPart,MID(_xlpm.cleanRaw,2,FIND(".",_xlpm.cleanRaw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0" t="str">
        <f>""</f>
        <v/>
      </c>
      <c r="J430" t="str">
        <f t="shared" si="6"/>
        <v>K42;VCCCORE;;23.691;4.95199999999999;;;;</v>
      </c>
    </row>
    <row r="431" spans="1:10">
      <c r="A431" t="s">
        <v>1586</v>
      </c>
      <c r="B431" t="str">
        <f>_xlfn.XLOOKUP(A431,'Pinlist(S1)'!$Q$4:$Q$1362,'Pinlist(S1)'!$R$4:$R$1362,"")</f>
        <v>VCCCORE</v>
      </c>
      <c r="C431" t="str" cm="1">
        <f t="array" ref="C431">_xlfn.TEXTJOIN(",",TRUE,_xlfn.UNIQUE(TRANSPOSE(_xlfn.MAP(_xlfn.XLOOKUP(A431,'Pinlist(S1)'!$C$4:$C$1362,'Pinlist(S1)'!$F$4:$K$1362,""),_xlfn.LAMBDA(_xlpm.x,IF(_xlpm.x&lt;&gt;"",TRIM(CLEAN(LEFT(_xlpm.x,FIND(".",_xlpm.x &amp; ".")-1))),""))))))</f>
        <v/>
      </c>
      <c r="D431">
        <v>24.606000000000002</v>
      </c>
      <c r="E431">
        <v>4.9519999999999902</v>
      </c>
      <c r="F431" t="str">
        <f>_xlfn.LET(_xlpm.raw,_xlfn.XLOOKUP(A431,'Pinlist(S1)'!$C$4:$C$1362,'Pinlist(S1)'!$E$4:$E$1362,""),_xlpm.cleanRaw,SUBSTITUTE(SUBSTITUTE(_xlpm.raw,"_PIN","."),"PIN","."),_xlpm.mainPart,MID(_xlpm.cleanRaw,2,FIND(".",_xlpm.cleanRaw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1" t="str">
        <f>_xlfn.LET(_xlpm.raw,_xlfn.XLOOKUP(A431,'Pinlist(S3)'!$C$4:$C$1362,'Pinlist(S3)'!$E$4:$E$1362,""),_xlpm.cleanRaw,SUBSTITUTE(SUBSTITUTE(_xlpm.raw,"_PIN","."),"PIN","."),_xlpm.mainPart,MID(_xlpm.cleanRaw,2,FIND(".",_xlpm.cleanRaw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1" t="str">
        <f>_xlfn.LET(_xlpm.raw,_xlfn.XLOOKUP(A431,'Pinlist(S5)'!$C$4:$C$1362,'Pinlist(S5)'!$E$4:$E$1362,""),_xlpm.cleanRaw,SUBSTITUTE(SUBSTITUTE(_xlpm.raw,"_PIN","."),"PIN","."),_xlpm.mainPart,MID(_xlpm.cleanRaw,2,FIND(".",_xlpm.cleanRaw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1" t="str">
        <f>""</f>
        <v/>
      </c>
      <c r="J431" t="str">
        <f t="shared" si="6"/>
        <v>K43;VCCCORE;;24.606;4.95199999999999;;;;</v>
      </c>
    </row>
    <row r="432" spans="1:10">
      <c r="A432" t="s">
        <v>1440</v>
      </c>
      <c r="B432" t="str">
        <f>_xlfn.XLOOKUP(A432,'Pinlist(S1)'!$Q$4:$Q$1362,'Pinlist(S1)'!$R$4:$R$1362,"")</f>
        <v>THERMDC1</v>
      </c>
      <c r="C432" t="str" cm="1">
        <f t="array" ref="C432">_xlfn.TEXTJOIN(",",TRUE,_xlfn.UNIQUE(TRANSPOSE(_xlfn.MAP(_xlfn.XLOOKUP(A432,'Pinlist(S1)'!$C$4:$C$1362,'Pinlist(S1)'!$F$4:$K$1362,""),_xlfn.LAMBDA(_xlpm.x,IF(_xlpm.x&lt;&gt;"",TRIM(CLEAN(LEFT(_xlpm.x,FIND(".",_xlpm.x &amp; ".")-1))),""))))))</f>
        <v>RA140,KA131</v>
      </c>
      <c r="D432">
        <v>25.52</v>
      </c>
      <c r="E432">
        <v>4.9519999999999902</v>
      </c>
      <c r="F432" t="str">
        <f>_xlfn.LET(_xlpm.raw,_xlfn.XLOOKUP(A432,'Pinlist(S1)'!$C$4:$C$1362,'Pinlist(S1)'!$E$4:$E$1362,""),_xlpm.cleanRaw,SUBSTITUTE(SUBSTITUTE(_xlpm.raw,"_PIN","."),"PIN","."),_xlpm.mainPart,MID(_xlpm.cleanRaw,2,FIND(".",_xlpm.cleanRaw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2" t="str">
        <f>_xlfn.LET(_xlpm.raw,_xlfn.XLOOKUP(A432,'Pinlist(S3)'!$C$4:$C$1362,'Pinlist(S3)'!$E$4:$E$1362,""),_xlpm.cleanRaw,SUBSTITUTE(SUBSTITUTE(_xlpm.raw,"_PIN","."),"PIN","."),_xlpm.mainPart,MID(_xlpm.cleanRaw,2,FIND(".",_xlpm.cleanRaw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2" t="str">
        <f>_xlfn.LET(_xlpm.raw,_xlfn.XLOOKUP(A432,'Pinlist(S5)'!$C$4:$C$1362,'Pinlist(S5)'!$E$4:$E$1362,""),_xlpm.cleanRaw,SUBSTITUTE(SUBSTITUTE(_xlpm.raw,"_PIN","."),"PIN","."),_xlpm.mainPart,MID(_xlpm.cleanRaw,2,FIND(".",_xlpm.cleanRaw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2" t="str">
        <f>""</f>
        <v/>
      </c>
      <c r="J432" t="str">
        <f t="shared" si="6"/>
        <v>K45;THERMDC1;RA140,KA131;25.52;4.95199999999999;;;;</v>
      </c>
    </row>
    <row r="433" spans="1:10">
      <c r="A433" t="s">
        <v>1436</v>
      </c>
      <c r="B433" t="str">
        <f>_xlfn.XLOOKUP(A433,'Pinlist(S1)'!$Q$4:$Q$1362,'Pinlist(S1)'!$R$4:$R$1362,"")</f>
        <v>THERMDA1</v>
      </c>
      <c r="C433" t="str" cm="1">
        <f t="array" ref="C433">_xlfn.TEXTJOIN(",",TRUE,_xlfn.UNIQUE(TRANSPOSE(_xlfn.MAP(_xlfn.XLOOKUP(A433,'Pinlist(S1)'!$C$4:$C$1362,'Pinlist(S1)'!$F$4:$K$1362,""),_xlfn.LAMBDA(_xlpm.x,IF(_xlpm.x&lt;&gt;"",TRIM(CLEAN(LEFT(_xlpm.x,FIND(".",_xlpm.x &amp; ".")-1))),""))))))</f>
        <v>RA141,KA131</v>
      </c>
      <c r="D433">
        <v>26.434000000000001</v>
      </c>
      <c r="E433">
        <v>4.9519999999999902</v>
      </c>
      <c r="F433" t="str">
        <f>_xlfn.LET(_xlpm.raw,_xlfn.XLOOKUP(A433,'Pinlist(S1)'!$C$4:$C$1362,'Pinlist(S1)'!$E$4:$E$1362,""),_xlpm.cleanRaw,SUBSTITUTE(SUBSTITUTE(_xlpm.raw,"_PIN","."),"PIN","."),_xlpm.mainPart,MID(_xlpm.cleanRaw,2,FIND(".",_xlpm.cleanRaw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3" t="str">
        <f>_xlfn.LET(_xlpm.raw,_xlfn.XLOOKUP(A433,'Pinlist(S3)'!$C$4:$C$1362,'Pinlist(S3)'!$E$4:$E$1362,""),_xlpm.cleanRaw,SUBSTITUTE(SUBSTITUTE(_xlpm.raw,"_PIN","."),"PIN","."),_xlpm.mainPart,MID(_xlpm.cleanRaw,2,FIND(".",_xlpm.cleanRaw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3" t="str">
        <f>_xlfn.LET(_xlpm.raw,_xlfn.XLOOKUP(A433,'Pinlist(S5)'!$C$4:$C$1362,'Pinlist(S5)'!$E$4:$E$1362,""),_xlpm.cleanRaw,SUBSTITUTE(SUBSTITUTE(_xlpm.raw,"_PIN","."),"PIN","."),_xlpm.mainPart,MID(_xlpm.cleanRaw,2,FIND(".",_xlpm.cleanRaw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3" t="str">
        <f>""</f>
        <v/>
      </c>
      <c r="J433" t="str">
        <f t="shared" si="6"/>
        <v>K46;THERMDA1;RA141,KA131;26.434;4.95199999999999;;;;</v>
      </c>
    </row>
    <row r="434" spans="1:10">
      <c r="A434" t="s">
        <v>1677</v>
      </c>
      <c r="B434" t="str">
        <f>_xlfn.XLOOKUP(A434,'Pinlist(S1)'!$Q$4:$Q$1362,'Pinlist(S1)'!$R$4:$R$1362,"")</f>
        <v>VCCGT</v>
      </c>
      <c r="C434" t="str" cm="1">
        <f t="array" ref="C434">_xlfn.TEXTJOIN(",",TRUE,_xlfn.UNIQUE(TRANSPOSE(_xlfn.MAP(_xlfn.XLOOKUP(A434,'Pinlist(S1)'!$C$4:$C$1362,'Pinlist(S1)'!$F$4:$K$1362,""),_xlfn.LAMBDA(_xlpm.x,IF(_xlpm.x&lt;&gt;"",TRIM(CLEAN(LEFT(_xlpm.x,FIND(".",_xlpm.x &amp; ".")-1))),""))))))</f>
        <v/>
      </c>
      <c r="D434">
        <v>27.349</v>
      </c>
      <c r="E434">
        <v>4.9519999999999902</v>
      </c>
      <c r="F434" t="str">
        <f>_xlfn.LET(_xlpm.raw,_xlfn.XLOOKUP(A434,'Pinlist(S1)'!$C$4:$C$1362,'Pinlist(S1)'!$E$4:$E$1362,""),_xlpm.cleanRaw,SUBSTITUTE(SUBSTITUTE(_xlpm.raw,"_PIN","."),"PIN","."),_xlpm.mainPart,MID(_xlpm.cleanRaw,2,FIND(".",_xlpm.cleanRaw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4" t="str">
        <f>_xlfn.LET(_xlpm.raw,_xlfn.XLOOKUP(A434,'Pinlist(S3)'!$C$4:$C$1362,'Pinlist(S3)'!$E$4:$E$1362,""),_xlpm.cleanRaw,SUBSTITUTE(SUBSTITUTE(_xlpm.raw,"_PIN","."),"PIN","."),_xlpm.mainPart,MID(_xlpm.cleanRaw,2,FIND(".",_xlpm.cleanRaw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4" t="str">
        <f>_xlfn.LET(_xlpm.raw,_xlfn.XLOOKUP(A434,'Pinlist(S5)'!$C$4:$C$1362,'Pinlist(S5)'!$E$4:$E$1362,""),_xlpm.cleanRaw,SUBSTITUTE(SUBSTITUTE(_xlpm.raw,"_PIN","."),"PIN","."),_xlpm.mainPart,MID(_xlpm.cleanRaw,2,FIND(".",_xlpm.cleanRaw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4" t="str">
        <f>""</f>
        <v/>
      </c>
      <c r="J434" t="str">
        <f t="shared" si="6"/>
        <v>K48;VCCGT;;27.349;4.95199999999999;;;;</v>
      </c>
    </row>
    <row r="435" spans="1:10">
      <c r="A435" t="s">
        <v>1678</v>
      </c>
      <c r="B435" t="str">
        <f>_xlfn.XLOOKUP(A435,'Pinlist(S1)'!$Q$4:$Q$1362,'Pinlist(S1)'!$R$4:$R$1362,"")</f>
        <v>VCCGT</v>
      </c>
      <c r="C435" t="str" cm="1">
        <f t="array" ref="C435">_xlfn.TEXTJOIN(",",TRUE,_xlfn.UNIQUE(TRANSPOSE(_xlfn.MAP(_xlfn.XLOOKUP(A435,'Pinlist(S1)'!$C$4:$C$1362,'Pinlist(S1)'!$F$4:$K$1362,""),_xlfn.LAMBDA(_xlpm.x,IF(_xlpm.x&lt;&gt;"",TRIM(CLEAN(LEFT(_xlpm.x,FIND(".",_xlpm.x &amp; ".")-1))),""))))))</f>
        <v/>
      </c>
      <c r="D435">
        <v>28.262999999999899</v>
      </c>
      <c r="E435">
        <v>4.9519999999999902</v>
      </c>
      <c r="F435" t="str">
        <f>_xlfn.LET(_xlpm.raw,_xlfn.XLOOKUP(A435,'Pinlist(S1)'!$C$4:$C$1362,'Pinlist(S1)'!$E$4:$E$1362,""),_xlpm.cleanRaw,SUBSTITUTE(SUBSTITUTE(_xlpm.raw,"_PIN","."),"PIN","."),_xlpm.mainPart,MID(_xlpm.cleanRaw,2,FIND(".",_xlpm.cleanRaw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5" t="str">
        <f>_xlfn.LET(_xlpm.raw,_xlfn.XLOOKUP(A435,'Pinlist(S3)'!$C$4:$C$1362,'Pinlist(S3)'!$E$4:$E$1362,""),_xlpm.cleanRaw,SUBSTITUTE(SUBSTITUTE(_xlpm.raw,"_PIN","."),"PIN","."),_xlpm.mainPart,MID(_xlpm.cleanRaw,2,FIND(".",_xlpm.cleanRaw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5" t="str">
        <f>_xlfn.LET(_xlpm.raw,_xlfn.XLOOKUP(A435,'Pinlist(S5)'!$C$4:$C$1362,'Pinlist(S5)'!$E$4:$E$1362,""),_xlpm.cleanRaw,SUBSTITUTE(SUBSTITUTE(_xlpm.raw,"_PIN","."),"PIN","."),_xlpm.mainPart,MID(_xlpm.cleanRaw,2,FIND(".",_xlpm.cleanRaw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5" t="str">
        <f>""</f>
        <v/>
      </c>
      <c r="J435" t="str">
        <f t="shared" si="6"/>
        <v>K50;VCCGT;;28.2629999999999;4.95199999999999;;;;</v>
      </c>
    </row>
    <row r="436" spans="1:10">
      <c r="A436" t="s">
        <v>1679</v>
      </c>
      <c r="B436" t="str">
        <f>_xlfn.XLOOKUP(A436,'Pinlist(S1)'!$Q$4:$Q$1362,'Pinlist(S1)'!$R$4:$R$1362,"")</f>
        <v>VCCGT</v>
      </c>
      <c r="C436" t="str" cm="1">
        <f t="array" ref="C436">_xlfn.TEXTJOIN(",",TRUE,_xlfn.UNIQUE(TRANSPOSE(_xlfn.MAP(_xlfn.XLOOKUP(A436,'Pinlist(S1)'!$C$4:$C$1362,'Pinlist(S1)'!$F$4:$K$1362,""),_xlfn.LAMBDA(_xlpm.x,IF(_xlpm.x&lt;&gt;"",TRIM(CLEAN(LEFT(_xlpm.x,FIND(".",_xlpm.x &amp; ".")-1))),""))))))</f>
        <v/>
      </c>
      <c r="D436">
        <v>29.178000000000001</v>
      </c>
      <c r="E436">
        <v>4.9519999999999902</v>
      </c>
      <c r="F436" t="str">
        <f>_xlfn.LET(_xlpm.raw,_xlfn.XLOOKUP(A436,'Pinlist(S1)'!$C$4:$C$1362,'Pinlist(S1)'!$E$4:$E$1362,""),_xlpm.cleanRaw,SUBSTITUTE(SUBSTITUTE(_xlpm.raw,"_PIN","."),"PIN","."),_xlpm.mainPart,MID(_xlpm.cleanRaw,2,FIND(".",_xlpm.cleanRaw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6" t="str">
        <f>_xlfn.LET(_xlpm.raw,_xlfn.XLOOKUP(A436,'Pinlist(S3)'!$C$4:$C$1362,'Pinlist(S3)'!$E$4:$E$1362,""),_xlpm.cleanRaw,SUBSTITUTE(SUBSTITUTE(_xlpm.raw,"_PIN","."),"PIN","."),_xlpm.mainPart,MID(_xlpm.cleanRaw,2,FIND(".",_xlpm.cleanRaw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6" t="str">
        <f>_xlfn.LET(_xlpm.raw,_xlfn.XLOOKUP(A436,'Pinlist(S5)'!$C$4:$C$1362,'Pinlist(S5)'!$E$4:$E$1362,""),_xlpm.cleanRaw,SUBSTITUTE(SUBSTITUTE(_xlpm.raw,"_PIN","."),"PIN","."),_xlpm.mainPart,MID(_xlpm.cleanRaw,2,FIND(".",_xlpm.cleanRaw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6" t="str">
        <f>""</f>
        <v/>
      </c>
      <c r="J436" t="str">
        <f t="shared" si="6"/>
        <v>K52;VCCGT;;29.178;4.95199999999999;;;;</v>
      </c>
    </row>
    <row r="437" spans="1:10">
      <c r="A437" t="s">
        <v>1680</v>
      </c>
      <c r="B437" t="str">
        <f>_xlfn.XLOOKUP(A437,'Pinlist(S1)'!$Q$4:$Q$1362,'Pinlist(S1)'!$R$4:$R$1362,"")</f>
        <v>VCCGT</v>
      </c>
      <c r="C437" t="str" cm="1">
        <f t="array" ref="C437">_xlfn.TEXTJOIN(",",TRUE,_xlfn.UNIQUE(TRANSPOSE(_xlfn.MAP(_xlfn.XLOOKUP(A437,'Pinlist(S1)'!$C$4:$C$1362,'Pinlist(S1)'!$F$4:$K$1362,""),_xlfn.LAMBDA(_xlpm.x,IF(_xlpm.x&lt;&gt;"",TRIM(CLEAN(LEFT(_xlpm.x,FIND(".",_xlpm.x &amp; ".")-1))),""))))))</f>
        <v/>
      </c>
      <c r="D437">
        <v>30.091999999999999</v>
      </c>
      <c r="E437">
        <v>4.9519999999999902</v>
      </c>
      <c r="F437" t="str">
        <f>_xlfn.LET(_xlpm.raw,_xlfn.XLOOKUP(A437,'Pinlist(S1)'!$C$4:$C$1362,'Pinlist(S1)'!$E$4:$E$1362,""),_xlpm.cleanRaw,SUBSTITUTE(SUBSTITUTE(_xlpm.raw,"_PIN","."),"PIN","."),_xlpm.mainPart,MID(_xlpm.cleanRaw,2,FIND(".",_xlpm.cleanRaw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7" t="str">
        <f>_xlfn.LET(_xlpm.raw,_xlfn.XLOOKUP(A437,'Pinlist(S3)'!$C$4:$C$1362,'Pinlist(S3)'!$E$4:$E$1362,""),_xlpm.cleanRaw,SUBSTITUTE(SUBSTITUTE(_xlpm.raw,"_PIN","."),"PIN","."),_xlpm.mainPart,MID(_xlpm.cleanRaw,2,FIND(".",_xlpm.cleanRaw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7" t="str">
        <f>_xlfn.LET(_xlpm.raw,_xlfn.XLOOKUP(A437,'Pinlist(S5)'!$C$4:$C$1362,'Pinlist(S5)'!$E$4:$E$1362,""),_xlpm.cleanRaw,SUBSTITUTE(SUBSTITUTE(_xlpm.raw,"_PIN","."),"PIN","."),_xlpm.mainPart,MID(_xlpm.cleanRaw,2,FIND(".",_xlpm.cleanRaw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7" t="str">
        <f>""</f>
        <v/>
      </c>
      <c r="J437" t="str">
        <f t="shared" si="6"/>
        <v>K53;VCCGT;;30.092;4.95199999999999;;;;</v>
      </c>
    </row>
    <row r="438" spans="1:10">
      <c r="A438" t="s">
        <v>1681</v>
      </c>
      <c r="B438" t="str">
        <f>_xlfn.XLOOKUP(A438,'Pinlist(S1)'!$Q$4:$Q$1362,'Pinlist(S1)'!$R$4:$R$1362,"")</f>
        <v>VCCGT</v>
      </c>
      <c r="C438" t="str" cm="1">
        <f t="array" ref="C438">_xlfn.TEXTJOIN(",",TRUE,_xlfn.UNIQUE(TRANSPOSE(_xlfn.MAP(_xlfn.XLOOKUP(A438,'Pinlist(S1)'!$C$4:$C$1362,'Pinlist(S1)'!$F$4:$K$1362,""),_xlfn.LAMBDA(_xlpm.x,IF(_xlpm.x&lt;&gt;"",TRIM(CLEAN(LEFT(_xlpm.x,FIND(".",_xlpm.x &amp; ".")-1))),""))))))</f>
        <v/>
      </c>
      <c r="D438">
        <v>31.006</v>
      </c>
      <c r="E438">
        <v>4.9519999999999902</v>
      </c>
      <c r="F438" t="str">
        <f>_xlfn.LET(_xlpm.raw,_xlfn.XLOOKUP(A438,'Pinlist(S1)'!$C$4:$C$1362,'Pinlist(S1)'!$E$4:$E$1362,""),_xlpm.cleanRaw,SUBSTITUTE(SUBSTITUTE(_xlpm.raw,"_PIN","."),"PIN","."),_xlpm.mainPart,MID(_xlpm.cleanRaw,2,FIND(".",_xlpm.cleanRaw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8" t="str">
        <f>_xlfn.LET(_xlpm.raw,_xlfn.XLOOKUP(A438,'Pinlist(S3)'!$C$4:$C$1362,'Pinlist(S3)'!$E$4:$E$1362,""),_xlpm.cleanRaw,SUBSTITUTE(SUBSTITUTE(_xlpm.raw,"_PIN","."),"PIN","."),_xlpm.mainPart,MID(_xlpm.cleanRaw,2,FIND(".",_xlpm.cleanRaw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8" t="str">
        <f>_xlfn.LET(_xlpm.raw,_xlfn.XLOOKUP(A438,'Pinlist(S5)'!$C$4:$C$1362,'Pinlist(S5)'!$E$4:$E$1362,""),_xlpm.cleanRaw,SUBSTITUTE(SUBSTITUTE(_xlpm.raw,"_PIN","."),"PIN","."),_xlpm.mainPart,MID(_xlpm.cleanRaw,2,FIND(".",_xlpm.cleanRaw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8" t="str">
        <f>""</f>
        <v/>
      </c>
      <c r="J438" t="str">
        <f t="shared" si="6"/>
        <v>K55;VCCGT;;31.006;4.95199999999999;;;;</v>
      </c>
    </row>
    <row r="439" spans="1:10">
      <c r="A439" t="s">
        <v>1682</v>
      </c>
      <c r="B439" t="str">
        <f>_xlfn.XLOOKUP(A439,'Pinlist(S1)'!$Q$4:$Q$1362,'Pinlist(S1)'!$R$4:$R$1362,"")</f>
        <v>VCCGT</v>
      </c>
      <c r="C439" t="str" cm="1">
        <f t="array" ref="C439">_xlfn.TEXTJOIN(",",TRUE,_xlfn.UNIQUE(TRANSPOSE(_xlfn.MAP(_xlfn.XLOOKUP(A439,'Pinlist(S1)'!$C$4:$C$1362,'Pinlist(S1)'!$F$4:$K$1362,""),_xlfn.LAMBDA(_xlpm.x,IF(_xlpm.x&lt;&gt;"",TRIM(CLEAN(LEFT(_xlpm.x,FIND(".",_xlpm.x &amp; ".")-1))),""))))))</f>
        <v/>
      </c>
      <c r="D439">
        <v>31.920999999999999</v>
      </c>
      <c r="E439">
        <v>4.9519999999999902</v>
      </c>
      <c r="F439" t="str">
        <f>_xlfn.LET(_xlpm.raw,_xlfn.XLOOKUP(A439,'Pinlist(S1)'!$C$4:$C$1362,'Pinlist(S1)'!$E$4:$E$1362,""),_xlpm.cleanRaw,SUBSTITUTE(SUBSTITUTE(_xlpm.raw,"_PIN","."),"PIN","."),_xlpm.mainPart,MID(_xlpm.cleanRaw,2,FIND(".",_xlpm.cleanRaw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9" t="str">
        <f>_xlfn.LET(_xlpm.raw,_xlfn.XLOOKUP(A439,'Pinlist(S3)'!$C$4:$C$1362,'Pinlist(S3)'!$E$4:$E$1362,""),_xlpm.cleanRaw,SUBSTITUTE(SUBSTITUTE(_xlpm.raw,"_PIN","."),"PIN","."),_xlpm.mainPart,MID(_xlpm.cleanRaw,2,FIND(".",_xlpm.cleanRaw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9" t="str">
        <f>_xlfn.LET(_xlpm.raw,_xlfn.XLOOKUP(A439,'Pinlist(S5)'!$C$4:$C$1362,'Pinlist(S5)'!$E$4:$E$1362,""),_xlpm.cleanRaw,SUBSTITUTE(SUBSTITUTE(_xlpm.raw,"_PIN","."),"PIN","."),_xlpm.mainPart,MID(_xlpm.cleanRaw,2,FIND(".",_xlpm.cleanRaw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9" t="str">
        <f>""</f>
        <v/>
      </c>
      <c r="J439" t="str">
        <f t="shared" si="6"/>
        <v>K56;VCCGT;;31.921;4.95199999999999;;;;</v>
      </c>
    </row>
    <row r="440" spans="1:10">
      <c r="A440" t="s">
        <v>1683</v>
      </c>
      <c r="B440" t="str">
        <f>_xlfn.XLOOKUP(A440,'Pinlist(S1)'!$Q$4:$Q$1362,'Pinlist(S1)'!$R$4:$R$1362,"")</f>
        <v>VCCGT</v>
      </c>
      <c r="C440" t="str" cm="1">
        <f t="array" ref="C440">_xlfn.TEXTJOIN(",",TRUE,_xlfn.UNIQUE(TRANSPOSE(_xlfn.MAP(_xlfn.XLOOKUP(A440,'Pinlist(S1)'!$C$4:$C$1362,'Pinlist(S1)'!$F$4:$K$1362,""),_xlfn.LAMBDA(_xlpm.x,IF(_xlpm.x&lt;&gt;"",TRIM(CLEAN(LEFT(_xlpm.x,FIND(".",_xlpm.x &amp; ".")-1))),""))))))</f>
        <v/>
      </c>
      <c r="D440">
        <v>32.835000000000001</v>
      </c>
      <c r="E440">
        <v>4.9519999999999902</v>
      </c>
      <c r="F440" t="str">
        <f>_xlfn.LET(_xlpm.raw,_xlfn.XLOOKUP(A440,'Pinlist(S1)'!$C$4:$C$1362,'Pinlist(S1)'!$E$4:$E$1362,""),_xlpm.cleanRaw,SUBSTITUTE(SUBSTITUTE(_xlpm.raw,"_PIN","."),"PIN","."),_xlpm.mainPart,MID(_xlpm.cleanRaw,2,FIND(".",_xlpm.cleanRaw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0" t="str">
        <f>_xlfn.LET(_xlpm.raw,_xlfn.XLOOKUP(A440,'Pinlist(S3)'!$C$4:$C$1362,'Pinlist(S3)'!$E$4:$E$1362,""),_xlpm.cleanRaw,SUBSTITUTE(SUBSTITUTE(_xlpm.raw,"_PIN","."),"PIN","."),_xlpm.mainPart,MID(_xlpm.cleanRaw,2,FIND(".",_xlpm.cleanRaw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0" t="str">
        <f>_xlfn.LET(_xlpm.raw,_xlfn.XLOOKUP(A440,'Pinlist(S5)'!$C$4:$C$1362,'Pinlist(S5)'!$E$4:$E$1362,""),_xlpm.cleanRaw,SUBSTITUTE(SUBSTITUTE(_xlpm.raw,"_PIN","."),"PIN","."),_xlpm.mainPart,MID(_xlpm.cleanRaw,2,FIND(".",_xlpm.cleanRaw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0" t="str">
        <f>""</f>
        <v/>
      </c>
      <c r="J440" t="str">
        <f t="shared" si="6"/>
        <v>K58;VCCGT;;32.835;4.95199999999999;;;;</v>
      </c>
    </row>
    <row r="441" spans="1:10">
      <c r="A441" t="s">
        <v>1684</v>
      </c>
      <c r="B441" t="str">
        <f>_xlfn.XLOOKUP(A441,'Pinlist(S1)'!$Q$4:$Q$1362,'Pinlist(S1)'!$R$4:$R$1362,"")</f>
        <v>VCCGT</v>
      </c>
      <c r="C441" t="str" cm="1">
        <f t="array" ref="C441">_xlfn.TEXTJOIN(",",TRUE,_xlfn.UNIQUE(TRANSPOSE(_xlfn.MAP(_xlfn.XLOOKUP(A441,'Pinlist(S1)'!$C$4:$C$1362,'Pinlist(S1)'!$F$4:$K$1362,""),_xlfn.LAMBDA(_xlpm.x,IF(_xlpm.x&lt;&gt;"",TRIM(CLEAN(LEFT(_xlpm.x,FIND(".",_xlpm.x &amp; ".")-1))),""))))))</f>
        <v/>
      </c>
      <c r="D441">
        <v>33.75</v>
      </c>
      <c r="E441">
        <v>4.9519999999999902</v>
      </c>
      <c r="F441" t="str">
        <f>_xlfn.LET(_xlpm.raw,_xlfn.XLOOKUP(A441,'Pinlist(S1)'!$C$4:$C$1362,'Pinlist(S1)'!$E$4:$E$1362,""),_xlpm.cleanRaw,SUBSTITUTE(SUBSTITUTE(_xlpm.raw,"_PIN","."),"PIN","."),_xlpm.mainPart,MID(_xlpm.cleanRaw,2,FIND(".",_xlpm.cleanRaw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1" t="str">
        <f>_xlfn.LET(_xlpm.raw,_xlfn.XLOOKUP(A441,'Pinlist(S3)'!$C$4:$C$1362,'Pinlist(S3)'!$E$4:$E$1362,""),_xlpm.cleanRaw,SUBSTITUTE(SUBSTITUTE(_xlpm.raw,"_PIN","."),"PIN","."),_xlpm.mainPart,MID(_xlpm.cleanRaw,2,FIND(".",_xlpm.cleanRaw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1" t="str">
        <f>_xlfn.LET(_xlpm.raw,_xlfn.XLOOKUP(A441,'Pinlist(S5)'!$C$4:$C$1362,'Pinlist(S5)'!$E$4:$E$1362,""),_xlpm.cleanRaw,SUBSTITUTE(SUBSTITUTE(_xlpm.raw,"_PIN","."),"PIN","."),_xlpm.mainPart,MID(_xlpm.cleanRaw,2,FIND(".",_xlpm.cleanRaw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1" t="str">
        <f>""</f>
        <v/>
      </c>
      <c r="J441" t="str">
        <f t="shared" si="6"/>
        <v>K60;VCCGT;;33.75;4.95199999999999;;;;</v>
      </c>
    </row>
    <row r="442" spans="1:10">
      <c r="A442" t="s">
        <v>2191</v>
      </c>
      <c r="B442" t="str">
        <f>_xlfn.XLOOKUP(A442,'Pinlist(S1)'!$Q$4:$Q$1362,'Pinlist(S1)'!$R$4:$R$1362,"")</f>
        <v>VSS</v>
      </c>
      <c r="C442" t="str" cm="1">
        <f t="array" ref="C442">_xlfn.TEXTJOIN(",",TRUE,_xlfn.UNIQUE(TRANSPOSE(_xlfn.MAP(_xlfn.XLOOKUP(A442,'Pinlist(S1)'!$C$4:$C$1362,'Pinlist(S1)'!$F$4:$K$1362,""),_xlfn.LAMBDA(_xlpm.x,IF(_xlpm.x&lt;&gt;"",TRIM(CLEAN(LEFT(_xlpm.x,FIND(".",_xlpm.x &amp; ".")-1))),""))))))</f>
        <v/>
      </c>
      <c r="D442">
        <v>34.664000000000001</v>
      </c>
      <c r="E442">
        <v>4.9519999999999902</v>
      </c>
      <c r="F442" t="str">
        <f>_xlfn.LET(_xlpm.raw,_xlfn.XLOOKUP(A442,'Pinlist(S1)'!$C$4:$C$1362,'Pinlist(S1)'!$E$4:$E$1362,""),_xlpm.cleanRaw,SUBSTITUTE(SUBSTITUTE(_xlpm.raw,"_PIN","."),"PIN","."),_xlpm.mainPart,MID(_xlpm.cleanRaw,2,FIND(".",_xlpm.cleanRaw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2" t="str">
        <f>_xlfn.LET(_xlpm.raw,_xlfn.XLOOKUP(A442,'Pinlist(S3)'!$C$4:$C$1362,'Pinlist(S3)'!$E$4:$E$1362,""),_xlpm.cleanRaw,SUBSTITUTE(SUBSTITUTE(_xlpm.raw,"_PIN","."),"PIN","."),_xlpm.mainPart,MID(_xlpm.cleanRaw,2,FIND(".",_xlpm.cleanRaw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2" t="str">
        <f>_xlfn.LET(_xlpm.raw,_xlfn.XLOOKUP(A442,'Pinlist(S5)'!$C$4:$C$1362,'Pinlist(S5)'!$E$4:$E$1362,""),_xlpm.cleanRaw,SUBSTITUTE(SUBSTITUTE(_xlpm.raw,"_PIN","."),"PIN","."),_xlpm.mainPart,MID(_xlpm.cleanRaw,2,FIND(".",_xlpm.cleanRaw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2" t="str">
        <f>""</f>
        <v/>
      </c>
      <c r="J442" t="str">
        <f t="shared" si="6"/>
        <v>K61;VSS;;34.664;4.95199999999999;;;;</v>
      </c>
    </row>
    <row r="443" spans="1:10">
      <c r="A443" t="s">
        <v>2192</v>
      </c>
      <c r="B443" t="str">
        <f>_xlfn.XLOOKUP(A443,'Pinlist(S1)'!$Q$4:$Q$1362,'Pinlist(S1)'!$R$4:$R$1362,"")</f>
        <v>VSS</v>
      </c>
      <c r="C443" t="str" cm="1">
        <f t="array" ref="C443">_xlfn.TEXTJOIN(",",TRUE,_xlfn.UNIQUE(TRANSPOSE(_xlfn.MAP(_xlfn.XLOOKUP(A443,'Pinlist(S1)'!$C$4:$C$1362,'Pinlist(S1)'!$F$4:$K$1362,""),_xlfn.LAMBDA(_xlpm.x,IF(_xlpm.x&lt;&gt;"",TRIM(CLEAN(LEFT(_xlpm.x,FIND(".",_xlpm.x &amp; ".")-1))),""))))))</f>
        <v/>
      </c>
      <c r="D443">
        <v>35.447000000000003</v>
      </c>
      <c r="E443">
        <v>5.25999999999999</v>
      </c>
      <c r="F443" t="str">
        <f>_xlfn.LET(_xlpm.raw,_xlfn.XLOOKUP(A443,'Pinlist(S1)'!$C$4:$C$1362,'Pinlist(S1)'!$E$4:$E$1362,""),_xlpm.cleanRaw,SUBSTITUTE(SUBSTITUTE(_xlpm.raw,"_PIN","."),"PIN","."),_xlpm.mainPart,MID(_xlpm.cleanRaw,2,FIND(".",_xlpm.cleanRaw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3" t="str">
        <f>_xlfn.LET(_xlpm.raw,_xlfn.XLOOKUP(A443,'Pinlist(S3)'!$C$4:$C$1362,'Pinlist(S3)'!$E$4:$E$1362,""),_xlpm.cleanRaw,SUBSTITUTE(SUBSTITUTE(_xlpm.raw,"_PIN","."),"PIN","."),_xlpm.mainPart,MID(_xlpm.cleanRaw,2,FIND(".",_xlpm.cleanRaw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3" t="str">
        <f>_xlfn.LET(_xlpm.raw,_xlfn.XLOOKUP(A443,'Pinlist(S5)'!$C$4:$C$1362,'Pinlist(S5)'!$E$4:$E$1362,""),_xlpm.cleanRaw,SUBSTITUTE(SUBSTITUTE(_xlpm.raw,"_PIN","."),"PIN","."),_xlpm.mainPart,MID(_xlpm.cleanRaw,2,FIND(".",_xlpm.cleanRaw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3" t="str">
        <f>""</f>
        <v/>
      </c>
      <c r="J443" t="str">
        <f t="shared" si="6"/>
        <v>K63;VSS;;35.447;5.25999999999999;;;;</v>
      </c>
    </row>
    <row r="444" spans="1:10">
      <c r="A444" t="s">
        <v>2193</v>
      </c>
      <c r="B444" t="str">
        <f>_xlfn.XLOOKUP(A444,'Pinlist(S1)'!$Q$4:$Q$1362,'Pinlist(S1)'!$R$4:$R$1362,"")</f>
        <v>VSS</v>
      </c>
      <c r="C444" t="str" cm="1">
        <f t="array" ref="C444">_xlfn.TEXTJOIN(",",TRUE,_xlfn.UNIQUE(TRANSPOSE(_xlfn.MAP(_xlfn.XLOOKUP(A444,'Pinlist(S1)'!$C$4:$C$1362,'Pinlist(S1)'!$F$4:$K$1362,""),_xlfn.LAMBDA(_xlpm.x,IF(_xlpm.x&lt;&gt;"",TRIM(CLEAN(LEFT(_xlpm.x,FIND(".",_xlpm.x &amp; ".")-1))),""))))))</f>
        <v/>
      </c>
      <c r="D444">
        <v>36.097000000000001</v>
      </c>
      <c r="E444">
        <v>5.25999999999999</v>
      </c>
      <c r="F444" t="str">
        <f>_xlfn.LET(_xlpm.raw,_xlfn.XLOOKUP(A444,'Pinlist(S1)'!$C$4:$C$1362,'Pinlist(S1)'!$E$4:$E$1362,""),_xlpm.cleanRaw,SUBSTITUTE(SUBSTITUTE(_xlpm.raw,"_PIN","."),"PIN","."),_xlpm.mainPart,MID(_xlpm.cleanRaw,2,FIND(".",_xlpm.cleanRaw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4" t="str">
        <f>_xlfn.LET(_xlpm.raw,_xlfn.XLOOKUP(A444,'Pinlist(S3)'!$C$4:$C$1362,'Pinlist(S3)'!$E$4:$E$1362,""),_xlpm.cleanRaw,SUBSTITUTE(SUBSTITUTE(_xlpm.raw,"_PIN","."),"PIN","."),_xlpm.mainPart,MID(_xlpm.cleanRaw,2,FIND(".",_xlpm.cleanRaw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4" t="str">
        <f>_xlfn.LET(_xlpm.raw,_xlfn.XLOOKUP(A444,'Pinlist(S5)'!$C$4:$C$1362,'Pinlist(S5)'!$E$4:$E$1362,""),_xlpm.cleanRaw,SUBSTITUTE(SUBSTITUTE(_xlpm.raw,"_PIN","."),"PIN","."),_xlpm.mainPart,MID(_xlpm.cleanRaw,2,FIND(".",_xlpm.cleanRaw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4" t="str">
        <f>""</f>
        <v/>
      </c>
      <c r="J444" t="str">
        <f t="shared" si="6"/>
        <v>K64;VSS;;36.097;5.25999999999999;;;;</v>
      </c>
    </row>
    <row r="445" spans="1:10">
      <c r="A445" t="s">
        <v>2194</v>
      </c>
      <c r="B445" t="str">
        <f>_xlfn.XLOOKUP(A445,'Pinlist(S1)'!$Q$4:$Q$1362,'Pinlist(S1)'!$R$4:$R$1362,"")</f>
        <v>VSS</v>
      </c>
      <c r="C445" t="str" cm="1">
        <f t="array" ref="C445">_xlfn.TEXTJOIN(",",TRUE,_xlfn.UNIQUE(TRANSPOSE(_xlfn.MAP(_xlfn.XLOOKUP(A445,'Pinlist(S1)'!$C$4:$C$1362,'Pinlist(S1)'!$F$4:$K$1362,""),_xlfn.LAMBDA(_xlpm.x,IF(_xlpm.x&lt;&gt;"",TRIM(CLEAN(LEFT(_xlpm.x,FIND(".",_xlpm.x &amp; ".")-1))),""))))))</f>
        <v/>
      </c>
      <c r="D445">
        <v>36.747</v>
      </c>
      <c r="E445">
        <v>5.25999999999999</v>
      </c>
      <c r="F445" t="str">
        <f>_xlfn.LET(_xlpm.raw,_xlfn.XLOOKUP(A445,'Pinlist(S1)'!$C$4:$C$1362,'Pinlist(S1)'!$E$4:$E$1362,""),_xlpm.cleanRaw,SUBSTITUTE(SUBSTITUTE(_xlpm.raw,"_PIN","."),"PIN","."),_xlpm.mainPart,MID(_xlpm.cleanRaw,2,FIND(".",_xlpm.cleanRaw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5" t="str">
        <f>_xlfn.LET(_xlpm.raw,_xlfn.XLOOKUP(A445,'Pinlist(S3)'!$C$4:$C$1362,'Pinlist(S3)'!$E$4:$E$1362,""),_xlpm.cleanRaw,SUBSTITUTE(SUBSTITUTE(_xlpm.raw,"_PIN","."),"PIN","."),_xlpm.mainPart,MID(_xlpm.cleanRaw,2,FIND(".",_xlpm.cleanRaw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5" t="str">
        <f>_xlfn.LET(_xlpm.raw,_xlfn.XLOOKUP(A445,'Pinlist(S5)'!$C$4:$C$1362,'Pinlist(S5)'!$E$4:$E$1362,""),_xlpm.cleanRaw,SUBSTITUTE(SUBSTITUTE(_xlpm.raw,"_PIN","."),"PIN","."),_xlpm.mainPart,MID(_xlpm.cleanRaw,2,FIND(".",_xlpm.cleanRaw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5" t="str">
        <f>""</f>
        <v/>
      </c>
      <c r="J445" t="str">
        <f t="shared" si="6"/>
        <v>K65;VSS;;36.747;5.25999999999999;;;;</v>
      </c>
    </row>
    <row r="446" spans="1:10">
      <c r="A446" t="s">
        <v>2195</v>
      </c>
      <c r="B446" t="str">
        <f>_xlfn.XLOOKUP(A446,'Pinlist(S1)'!$Q$4:$Q$1362,'Pinlist(S1)'!$R$4:$R$1362,"")</f>
        <v>VSS</v>
      </c>
      <c r="C446" t="str" cm="1">
        <f t="array" ref="C446">_xlfn.TEXTJOIN(",",TRUE,_xlfn.UNIQUE(TRANSPOSE(_xlfn.MAP(_xlfn.XLOOKUP(A446,'Pinlist(S1)'!$C$4:$C$1362,'Pinlist(S1)'!$F$4:$K$1362,""),_xlfn.LAMBDA(_xlpm.x,IF(_xlpm.x&lt;&gt;"",TRIM(CLEAN(LEFT(_xlpm.x,FIND(".",_xlpm.x &amp; ".")-1))),""))))))</f>
        <v/>
      </c>
      <c r="D446">
        <v>37.397999999999897</v>
      </c>
      <c r="E446">
        <v>5.25999999999999</v>
      </c>
      <c r="F446" t="str">
        <f>_xlfn.LET(_xlpm.raw,_xlfn.XLOOKUP(A446,'Pinlist(S1)'!$C$4:$C$1362,'Pinlist(S1)'!$E$4:$E$1362,""),_xlpm.cleanRaw,SUBSTITUTE(SUBSTITUTE(_xlpm.raw,"_PIN","."),"PIN","."),_xlpm.mainPart,MID(_xlpm.cleanRaw,2,FIND(".",_xlpm.cleanRaw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6" t="str">
        <f>_xlfn.LET(_xlpm.raw,_xlfn.XLOOKUP(A446,'Pinlist(S3)'!$C$4:$C$1362,'Pinlist(S3)'!$E$4:$E$1362,""),_xlpm.cleanRaw,SUBSTITUTE(SUBSTITUTE(_xlpm.raw,"_PIN","."),"PIN","."),_xlpm.mainPart,MID(_xlpm.cleanRaw,2,FIND(".",_xlpm.cleanRaw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6" t="str">
        <f>_xlfn.LET(_xlpm.raw,_xlfn.XLOOKUP(A446,'Pinlist(S5)'!$C$4:$C$1362,'Pinlist(S5)'!$E$4:$E$1362,""),_xlpm.cleanRaw,SUBSTITUTE(SUBSTITUTE(_xlpm.raw,"_PIN","."),"PIN","."),_xlpm.mainPart,MID(_xlpm.cleanRaw,2,FIND(".",_xlpm.cleanRaw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6" t="str">
        <f>""</f>
        <v/>
      </c>
      <c r="J446" t="str">
        <f t="shared" si="6"/>
        <v>K66;VSS;;37.3979999999999;5.25999999999999;;;;</v>
      </c>
    </row>
    <row r="447" spans="1:10">
      <c r="A447" t="s">
        <v>2196</v>
      </c>
      <c r="B447" t="str">
        <f>_xlfn.XLOOKUP(A447,'Pinlist(S1)'!$Q$4:$Q$1362,'Pinlist(S1)'!$R$4:$R$1362,"")</f>
        <v>VSS</v>
      </c>
      <c r="C447" t="str" cm="1">
        <f t="array" ref="C447">_xlfn.TEXTJOIN(",",TRUE,_xlfn.UNIQUE(TRANSPOSE(_xlfn.MAP(_xlfn.XLOOKUP(A447,'Pinlist(S1)'!$C$4:$C$1362,'Pinlist(S1)'!$F$4:$K$1362,""),_xlfn.LAMBDA(_xlpm.x,IF(_xlpm.x&lt;&gt;"",TRIM(CLEAN(LEFT(_xlpm.x,FIND(".",_xlpm.x &amp; ".")-1))),""))))))</f>
        <v/>
      </c>
      <c r="D447">
        <v>38.048000000000002</v>
      </c>
      <c r="E447">
        <v>5.25999999999999</v>
      </c>
      <c r="F447" t="str">
        <f>_xlfn.LET(_xlpm.raw,_xlfn.XLOOKUP(A447,'Pinlist(S1)'!$C$4:$C$1362,'Pinlist(S1)'!$E$4:$E$1362,""),_xlpm.cleanRaw,SUBSTITUTE(SUBSTITUTE(_xlpm.raw,"_PIN","."),"PIN","."),_xlpm.mainPart,MID(_xlpm.cleanRaw,2,FIND(".",_xlpm.cleanRaw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7" t="str">
        <f>_xlfn.LET(_xlpm.raw,_xlfn.XLOOKUP(A447,'Pinlist(S3)'!$C$4:$C$1362,'Pinlist(S3)'!$E$4:$E$1362,""),_xlpm.cleanRaw,SUBSTITUTE(SUBSTITUTE(_xlpm.raw,"_PIN","."),"PIN","."),_xlpm.mainPart,MID(_xlpm.cleanRaw,2,FIND(".",_xlpm.cleanRaw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7" t="str">
        <f>_xlfn.LET(_xlpm.raw,_xlfn.XLOOKUP(A447,'Pinlist(S5)'!$C$4:$C$1362,'Pinlist(S5)'!$E$4:$E$1362,""),_xlpm.cleanRaw,SUBSTITUTE(SUBSTITUTE(_xlpm.raw,"_PIN","."),"PIN","."),_xlpm.mainPart,MID(_xlpm.cleanRaw,2,FIND(".",_xlpm.cleanRaw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7" t="str">
        <f>""</f>
        <v/>
      </c>
      <c r="J447" t="str">
        <f t="shared" si="6"/>
        <v>K67;VSS;;38.048;5.25999999999999;;;;</v>
      </c>
    </row>
    <row r="448" spans="1:10">
      <c r="A448" t="s">
        <v>2197</v>
      </c>
      <c r="B448" t="str">
        <f>_xlfn.XLOOKUP(A448,'Pinlist(S1)'!$Q$4:$Q$1362,'Pinlist(S1)'!$R$4:$R$1362,"")</f>
        <v>VSS</v>
      </c>
      <c r="C448" t="str" cm="1">
        <f t="array" ref="C448">_xlfn.TEXTJOIN(",",TRUE,_xlfn.UNIQUE(TRANSPOSE(_xlfn.MAP(_xlfn.XLOOKUP(A448,'Pinlist(S1)'!$C$4:$C$1362,'Pinlist(S1)'!$F$4:$K$1362,""),_xlfn.LAMBDA(_xlpm.x,IF(_xlpm.x&lt;&gt;"",TRIM(CLEAN(LEFT(_xlpm.x,FIND(".",_xlpm.x &amp; ".")-1))),""))))))</f>
        <v/>
      </c>
      <c r="D448">
        <v>38.665999999999997</v>
      </c>
      <c r="E448">
        <v>5.468</v>
      </c>
      <c r="F448" t="str">
        <f>_xlfn.LET(_xlpm.raw,_xlfn.XLOOKUP(A448,'Pinlist(S1)'!$C$4:$C$1362,'Pinlist(S1)'!$E$4:$E$1362,""),_xlpm.cleanRaw,SUBSTITUTE(SUBSTITUTE(_xlpm.raw,"_PIN","."),"PIN","."),_xlpm.mainPart,MID(_xlpm.cleanRaw,2,FIND(".",_xlpm.cleanRaw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8" t="str">
        <f>_xlfn.LET(_xlpm.raw,_xlfn.XLOOKUP(A448,'Pinlist(S3)'!$C$4:$C$1362,'Pinlist(S3)'!$E$4:$E$1362,""),_xlpm.cleanRaw,SUBSTITUTE(SUBSTITUTE(_xlpm.raw,"_PIN","."),"PIN","."),_xlpm.mainPart,MID(_xlpm.cleanRaw,2,FIND(".",_xlpm.cleanRaw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8" t="str">
        <f>_xlfn.LET(_xlpm.raw,_xlfn.XLOOKUP(A448,'Pinlist(S5)'!$C$4:$C$1362,'Pinlist(S5)'!$E$4:$E$1362,""),_xlpm.cleanRaw,SUBSTITUTE(SUBSTITUTE(_xlpm.raw,"_PIN","."),"PIN","."),_xlpm.mainPart,MID(_xlpm.cleanRaw,2,FIND(".",_xlpm.cleanRaw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8" t="str">
        <f>""</f>
        <v/>
      </c>
      <c r="J448" t="str">
        <f t="shared" si="6"/>
        <v>K68;VSS;;38.666;5.468;;;;</v>
      </c>
    </row>
    <row r="449" spans="1:10">
      <c r="A449" t="s">
        <v>2198</v>
      </c>
      <c r="B449" t="str">
        <f>_xlfn.XLOOKUP(A449,'Pinlist(S1)'!$Q$4:$Q$1362,'Pinlist(S1)'!$R$4:$R$1362,"")</f>
        <v>VSS</v>
      </c>
      <c r="C449" t="str" cm="1">
        <f t="array" ref="C449">_xlfn.TEXTJOIN(",",TRUE,_xlfn.UNIQUE(TRANSPOSE(_xlfn.MAP(_xlfn.XLOOKUP(A449,'Pinlist(S1)'!$C$4:$C$1362,'Pinlist(S1)'!$F$4:$K$1362,""),_xlfn.LAMBDA(_xlpm.x,IF(_xlpm.x&lt;&gt;"",TRIM(CLEAN(LEFT(_xlpm.x,FIND(".",_xlpm.x &amp; ".")-1))),""))))))</f>
        <v/>
      </c>
      <c r="D449">
        <v>39.652999999999999</v>
      </c>
      <c r="E449">
        <v>5.57</v>
      </c>
      <c r="F449" t="str">
        <f>_xlfn.LET(_xlpm.raw,_xlfn.XLOOKUP(A449,'Pinlist(S1)'!$C$4:$C$1362,'Pinlist(S1)'!$E$4:$E$1362,""),_xlpm.cleanRaw,SUBSTITUTE(SUBSTITUTE(_xlpm.raw,"_PIN","."),"PIN","."),_xlpm.mainPart,MID(_xlpm.cleanRaw,2,FIND(".",_xlpm.cleanRaw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9" t="str">
        <f>_xlfn.LET(_xlpm.raw,_xlfn.XLOOKUP(A449,'Pinlist(S3)'!$C$4:$C$1362,'Pinlist(S3)'!$E$4:$E$1362,""),_xlpm.cleanRaw,SUBSTITUTE(SUBSTITUTE(_xlpm.raw,"_PIN","."),"PIN","."),_xlpm.mainPart,MID(_xlpm.cleanRaw,2,FIND(".",_xlpm.cleanRaw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9" t="str">
        <f>_xlfn.LET(_xlpm.raw,_xlfn.XLOOKUP(A449,'Pinlist(S5)'!$C$4:$C$1362,'Pinlist(S5)'!$E$4:$E$1362,""),_xlpm.cleanRaw,SUBSTITUTE(SUBSTITUTE(_xlpm.raw,"_PIN","."),"PIN","."),_xlpm.mainPart,MID(_xlpm.cleanRaw,2,FIND(".",_xlpm.cleanRaw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9" t="str">
        <f>""</f>
        <v/>
      </c>
      <c r="J449" t="str">
        <f t="shared" si="6"/>
        <v>K70;VSS;;39.653;5.57;;;;</v>
      </c>
    </row>
    <row r="450" spans="1:10">
      <c r="A450" t="s">
        <v>2199</v>
      </c>
      <c r="B450" t="str">
        <f>_xlfn.XLOOKUP(A450,'Pinlist(S1)'!$Q$4:$Q$1362,'Pinlist(S1)'!$R$4:$R$1362,"")</f>
        <v>VSS</v>
      </c>
      <c r="C450" t="str" cm="1">
        <f t="array" ref="C450">_xlfn.TEXTJOIN(",",TRUE,_xlfn.UNIQUE(TRANSPOSE(_xlfn.MAP(_xlfn.XLOOKUP(A450,'Pinlist(S1)'!$C$4:$C$1362,'Pinlist(S1)'!$F$4:$K$1362,""),_xlfn.LAMBDA(_xlpm.x,IF(_xlpm.x&lt;&gt;"",TRIM(CLEAN(LEFT(_xlpm.x,FIND(".",_xlpm.x &amp; ".")-1))),""))))))</f>
        <v/>
      </c>
      <c r="D450">
        <v>40.302999999999997</v>
      </c>
      <c r="E450">
        <v>5.57</v>
      </c>
      <c r="F450" t="str">
        <f>_xlfn.LET(_xlpm.raw,_xlfn.XLOOKUP(A450,'Pinlist(S1)'!$C$4:$C$1362,'Pinlist(S1)'!$E$4:$E$1362,""),_xlpm.cleanRaw,SUBSTITUTE(SUBSTITUTE(_xlpm.raw,"_PIN","."),"PIN","."),_xlpm.mainPart,MID(_xlpm.cleanRaw,2,FIND(".",_xlpm.cleanRaw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0" t="str">
        <f>_xlfn.LET(_xlpm.raw,_xlfn.XLOOKUP(A450,'Pinlist(S3)'!$C$4:$C$1362,'Pinlist(S3)'!$E$4:$E$1362,""),_xlpm.cleanRaw,SUBSTITUTE(SUBSTITUTE(_xlpm.raw,"_PIN","."),"PIN","."),_xlpm.mainPart,MID(_xlpm.cleanRaw,2,FIND(".",_xlpm.cleanRaw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0" t="str">
        <f>_xlfn.LET(_xlpm.raw,_xlfn.XLOOKUP(A450,'Pinlist(S5)'!$C$4:$C$1362,'Pinlist(S5)'!$E$4:$E$1362,""),_xlpm.cleanRaw,SUBSTITUTE(SUBSTITUTE(_xlpm.raw,"_PIN","."),"PIN","."),_xlpm.mainPart,MID(_xlpm.cleanRaw,2,FIND(".",_xlpm.cleanRaw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0" t="str">
        <f>""</f>
        <v/>
      </c>
      <c r="J450" t="str">
        <f t="shared" ref="J450:J513" si="7">A450&amp;";"&amp;B450&amp;";"&amp;C450&amp;";"&amp;D450&amp;";"&amp;E450&amp;";"&amp;F450&amp;";"&amp;G450&amp;";"&amp;H450&amp;";"&amp;I450</f>
        <v>K71;VSS;;40.303;5.57;;;;</v>
      </c>
    </row>
    <row r="451" spans="1:10">
      <c r="A451" t="s">
        <v>1778</v>
      </c>
      <c r="B451" t="str">
        <f>_xlfn.XLOOKUP(A451,'Pinlist(S1)'!$Q$4:$Q$1362,'Pinlist(S1)'!$R$4:$R$1362,"")</f>
        <v>VCCMPHYAON_1P0</v>
      </c>
      <c r="C451" t="str" cm="1">
        <f t="array" ref="C451">_xlfn.TEXTJOIN(",",TRUE,_xlfn.UNIQUE(TRANSPOSE(_xlfn.MAP(_xlfn.XLOOKUP(A451,'Pinlist(S1)'!$C$4:$C$1362,'Pinlist(S1)'!$F$4:$K$1362,""),_xlfn.LAMBDA(_xlpm.x,IF(_xlpm.x&lt;&gt;"",TRIM(CLEAN(LEFT(_xlpm.x,FIND(".",_xlpm.x &amp; ".")-1))),""))))))</f>
        <v/>
      </c>
      <c r="D451">
        <v>0.32500000000000201</v>
      </c>
      <c r="E451">
        <v>5.5</v>
      </c>
      <c r="F451" t="str">
        <f>_xlfn.LET(_xlpm.raw,_xlfn.XLOOKUP(A451,'Pinlist(S1)'!$C$4:$C$1362,'Pinlist(S1)'!$E$4:$E$1362,""),_xlpm.cleanRaw,SUBSTITUTE(SUBSTITUTE(_xlpm.raw,"_PIN","."),"PIN","."),_xlpm.mainPart,MID(_xlpm.cleanRaw,2,FIND(".",_xlpm.cleanRaw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1" t="str">
        <f>_xlfn.LET(_xlpm.raw,_xlfn.XLOOKUP(A451,'Pinlist(S3)'!$C$4:$C$1362,'Pinlist(S3)'!$E$4:$E$1362,""),_xlpm.cleanRaw,SUBSTITUTE(SUBSTITUTE(_xlpm.raw,"_PIN","."),"PIN","."),_xlpm.mainPart,MID(_xlpm.cleanRaw,2,FIND(".",_xlpm.cleanRaw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1" t="str">
        <f>_xlfn.LET(_xlpm.raw,_xlfn.XLOOKUP(A451,'Pinlist(S5)'!$C$4:$C$1362,'Pinlist(S5)'!$E$4:$E$1362,""),_xlpm.cleanRaw,SUBSTITUTE(SUBSTITUTE(_xlpm.raw,"_PIN","."),"PIN","."),_xlpm.mainPart,MID(_xlpm.cleanRaw,2,FIND(".",_xlpm.cleanRaw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1" t="str">
        <f>""</f>
        <v/>
      </c>
      <c r="J451" t="str">
        <f t="shared" si="7"/>
        <v>L1;VCCMPHYAON_1P0;;0.325000000000002;5.5;;;;</v>
      </c>
    </row>
    <row r="452" spans="1:10">
      <c r="A452" t="s">
        <v>2204</v>
      </c>
      <c r="B452" t="str">
        <f>_xlfn.XLOOKUP(A452,'Pinlist(S1)'!$Q$4:$Q$1362,'Pinlist(S1)'!$R$4:$R$1362,"")</f>
        <v>VSS</v>
      </c>
      <c r="C452" t="str" cm="1">
        <f t="array" ref="C452">_xlfn.TEXTJOIN(",",TRUE,_xlfn.UNIQUE(TRANSPOSE(_xlfn.MAP(_xlfn.XLOOKUP(A452,'Pinlist(S1)'!$C$4:$C$1362,'Pinlist(S1)'!$F$4:$K$1362,""),_xlfn.LAMBDA(_xlpm.x,IF(_xlpm.x&lt;&gt;"",TRIM(CLEAN(LEFT(_xlpm.x,FIND(".",_xlpm.x &amp; ".")-1))),""))))))</f>
        <v/>
      </c>
      <c r="D452">
        <v>0.97500000000000098</v>
      </c>
      <c r="E452">
        <v>5.5</v>
      </c>
      <c r="F452" t="str">
        <f>_xlfn.LET(_xlpm.raw,_xlfn.XLOOKUP(A452,'Pinlist(S1)'!$C$4:$C$1362,'Pinlist(S1)'!$E$4:$E$1362,""),_xlpm.cleanRaw,SUBSTITUTE(SUBSTITUTE(_xlpm.raw,"_PIN","."),"PIN","."),_xlpm.mainPart,MID(_xlpm.cleanRaw,2,FIND(".",_xlpm.cleanRaw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2" t="str">
        <f>_xlfn.LET(_xlpm.raw,_xlfn.XLOOKUP(A452,'Pinlist(S3)'!$C$4:$C$1362,'Pinlist(S3)'!$E$4:$E$1362,""),_xlpm.cleanRaw,SUBSTITUTE(SUBSTITUTE(_xlpm.raw,"_PIN","."),"PIN","."),_xlpm.mainPart,MID(_xlpm.cleanRaw,2,FIND(".",_xlpm.cleanRaw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2" t="str">
        <f>_xlfn.LET(_xlpm.raw,_xlfn.XLOOKUP(A452,'Pinlist(S5)'!$C$4:$C$1362,'Pinlist(S5)'!$E$4:$E$1362,""),_xlpm.cleanRaw,SUBSTITUTE(SUBSTITUTE(_xlpm.raw,"_PIN","."),"PIN","."),_xlpm.mainPart,MID(_xlpm.cleanRaw,2,FIND(".",_xlpm.cleanRaw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2" t="str">
        <f>""</f>
        <v/>
      </c>
      <c r="J452" t="str">
        <f t="shared" si="7"/>
        <v>L2;VSS;;0.975000000000001;5.5;;;;</v>
      </c>
    </row>
    <row r="453" spans="1:10">
      <c r="A453" t="s">
        <v>2206</v>
      </c>
      <c r="B453" t="str">
        <f>_xlfn.XLOOKUP(A453,'Pinlist(S1)'!$Q$4:$Q$1362,'Pinlist(S1)'!$R$4:$R$1362,"")</f>
        <v>VSS</v>
      </c>
      <c r="C453" t="str" cm="1">
        <f t="array" ref="C453">_xlfn.TEXTJOIN(",",TRUE,_xlfn.UNIQUE(TRANSPOSE(_xlfn.MAP(_xlfn.XLOOKUP(A453,'Pinlist(S1)'!$C$4:$C$1362,'Pinlist(S1)'!$F$4:$K$1362,""),_xlfn.LAMBDA(_xlpm.x,IF(_xlpm.x&lt;&gt;"",TRIM(CLEAN(LEFT(_xlpm.x,FIND(".",_xlpm.x &amp; ".")-1))),""))))))</f>
        <v/>
      </c>
      <c r="D453">
        <v>1.9510000000000001</v>
      </c>
      <c r="E453">
        <v>5.5</v>
      </c>
      <c r="F453" t="str">
        <f>_xlfn.LET(_xlpm.raw,_xlfn.XLOOKUP(A453,'Pinlist(S1)'!$C$4:$C$1362,'Pinlist(S1)'!$E$4:$E$1362,""),_xlpm.cleanRaw,SUBSTITUTE(SUBSTITUTE(_xlpm.raw,"_PIN","."),"PIN","."),_xlpm.mainPart,MID(_xlpm.cleanRaw,2,FIND(".",_xlpm.cleanRaw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3" t="str">
        <f>_xlfn.LET(_xlpm.raw,_xlfn.XLOOKUP(A453,'Pinlist(S3)'!$C$4:$C$1362,'Pinlist(S3)'!$E$4:$E$1362,""),_xlpm.cleanRaw,SUBSTITUTE(SUBSTITUTE(_xlpm.raw,"_PIN","."),"PIN","."),_xlpm.mainPart,MID(_xlpm.cleanRaw,2,FIND(".",_xlpm.cleanRaw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3" t="str">
        <f>_xlfn.LET(_xlpm.raw,_xlfn.XLOOKUP(A453,'Pinlist(S5)'!$C$4:$C$1362,'Pinlist(S5)'!$E$4:$E$1362,""),_xlpm.cleanRaw,SUBSTITUTE(SUBSTITUTE(_xlpm.raw,"_PIN","."),"PIN","."),_xlpm.mainPart,MID(_xlpm.cleanRaw,2,FIND(".",_xlpm.cleanRaw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3" t="str">
        <f>""</f>
        <v/>
      </c>
      <c r="J453" t="str">
        <f t="shared" si="7"/>
        <v>L4;VSS;;1.951;5.5;;;;</v>
      </c>
    </row>
    <row r="454" spans="1:10">
      <c r="A454" t="s">
        <v>1002</v>
      </c>
      <c r="B454" t="str">
        <f>_xlfn.XLOOKUP(A454,'Pinlist(S1)'!$Q$4:$Q$1362,'Pinlist(S1)'!$R$4:$R$1362,"")</f>
        <v>GPP_E_15_DDSP_HPD_2</v>
      </c>
      <c r="C454" t="str" cm="1">
        <f t="array" ref="C454">_xlfn.TEXTJOIN(",",TRUE,_xlfn.UNIQUE(TRANSPOSE(_xlfn.MAP(_xlfn.XLOOKUP(A454,'Pinlist(S1)'!$C$4:$C$1362,'Pinlist(S1)'!$F$4:$K$1362,""),_xlfn.LAMBDA(_xlpm.x,IF(_xlpm.x&lt;&gt;"",TRIM(CLEAN(LEFT(_xlpm.x,FIND(".",_xlpm.x &amp; ".")-1))),""))))))</f>
        <v/>
      </c>
      <c r="D454">
        <v>2.7289999999999899</v>
      </c>
      <c r="E454">
        <v>5.9740000000000002</v>
      </c>
      <c r="F454" t="str">
        <f>_xlfn.LET(_xlpm.raw,_xlfn.XLOOKUP(A454,'Pinlist(S1)'!$C$4:$C$1362,'Pinlist(S1)'!$E$4:$E$1362,""),_xlpm.cleanRaw,SUBSTITUTE(SUBSTITUTE(_xlpm.raw,"_PIN","."),"PIN","."),_xlpm.mainPart,MID(_xlpm.cleanRaw,2,FIND(".",_xlpm.cleanRaw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4" t="str">
        <f>_xlfn.LET(_xlpm.raw,_xlfn.XLOOKUP(A454,'Pinlist(S3)'!$C$4:$C$1362,'Pinlist(S3)'!$E$4:$E$1362,""),_xlpm.cleanRaw,SUBSTITUTE(SUBSTITUTE(_xlpm.raw,"_PIN","."),"PIN","."),_xlpm.mainPart,MID(_xlpm.cleanRaw,2,FIND(".",_xlpm.cleanRaw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4" t="str">
        <f>_xlfn.LET(_xlpm.raw,_xlfn.XLOOKUP(A454,'Pinlist(S5)'!$C$4:$C$1362,'Pinlist(S5)'!$E$4:$E$1362,""),_xlpm.cleanRaw,SUBSTITUTE(SUBSTITUTE(_xlpm.raw,"_PIN","."),"PIN","."),_xlpm.mainPart,MID(_xlpm.cleanRaw,2,FIND(".",_xlpm.cleanRaw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4" t="str">
        <f>""</f>
        <v/>
      </c>
      <c r="J454" t="str">
        <f t="shared" si="7"/>
        <v>L6;GPP_E_15_DDSP_HPD_2;;2.72899999999999;5.974;505065;807005;602068;</v>
      </c>
    </row>
    <row r="455" spans="1:10">
      <c r="A455" t="s">
        <v>1000</v>
      </c>
      <c r="B455" t="str">
        <f>_xlfn.XLOOKUP(A455,'Pinlist(S1)'!$Q$4:$Q$1362,'Pinlist(S1)'!$R$4:$R$1362,"")</f>
        <v>GPP_E_14_DDSP_HPD_1</v>
      </c>
      <c r="C455" t="str" cm="1">
        <f t="array" ref="C455">_xlfn.TEXTJOIN(",",TRUE,_xlfn.UNIQUE(TRANSPOSE(_xlfn.MAP(_xlfn.XLOOKUP(A455,'Pinlist(S1)'!$C$4:$C$1362,'Pinlist(S1)'!$F$4:$K$1362,""),_xlfn.LAMBDA(_xlpm.x,IF(_xlpm.x&lt;&gt;"",TRIM(CLEAN(LEFT(_xlpm.x,FIND(".",_xlpm.x &amp; ".")-1))),""))))))</f>
        <v/>
      </c>
      <c r="D455">
        <v>3.379</v>
      </c>
      <c r="E455">
        <v>5.9740000000000002</v>
      </c>
      <c r="F455" t="str">
        <f>_xlfn.LET(_xlpm.raw,_xlfn.XLOOKUP(A455,'Pinlist(S1)'!$C$4:$C$1362,'Pinlist(S1)'!$E$4:$E$1362,""),_xlpm.cleanRaw,SUBSTITUTE(SUBSTITUTE(_xlpm.raw,"_PIN","."),"PIN","."),_xlpm.mainPart,MID(_xlpm.cleanRaw,2,FIND(".",_xlpm.cleanRaw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5" t="str">
        <f>_xlfn.LET(_xlpm.raw,_xlfn.XLOOKUP(A455,'Pinlist(S3)'!$C$4:$C$1362,'Pinlist(S3)'!$E$4:$E$1362,""),_xlpm.cleanRaw,SUBSTITUTE(SUBSTITUTE(_xlpm.raw,"_PIN","."),"PIN","."),_xlpm.mainPart,MID(_xlpm.cleanRaw,2,FIND(".",_xlpm.cleanRaw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5" t="str">
        <f>_xlfn.LET(_xlpm.raw,_xlfn.XLOOKUP(A455,'Pinlist(S5)'!$C$4:$C$1362,'Pinlist(S5)'!$E$4:$E$1362,""),_xlpm.cleanRaw,SUBSTITUTE(SUBSTITUTE(_xlpm.raw,"_PIN","."),"PIN","."),_xlpm.mainPart,MID(_xlpm.cleanRaw,2,FIND(".",_xlpm.cleanRaw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5" t="str">
        <f>""</f>
        <v/>
      </c>
      <c r="J455" t="str">
        <f t="shared" si="7"/>
        <v>L7;GPP_E_14_DDSP_HPD_1;;3.379;5.974;505065;807005;602068;</v>
      </c>
    </row>
    <row r="456" spans="1:10">
      <c r="A456" t="s">
        <v>2207</v>
      </c>
      <c r="B456" t="str">
        <f>_xlfn.XLOOKUP(A456,'Pinlist(S1)'!$Q$4:$Q$1362,'Pinlist(S1)'!$R$4:$R$1362,"")</f>
        <v>VSS</v>
      </c>
      <c r="C456" t="str" cm="1">
        <f t="array" ref="C456">_xlfn.TEXTJOIN(",",TRUE,_xlfn.UNIQUE(TRANSPOSE(_xlfn.MAP(_xlfn.XLOOKUP(A456,'Pinlist(S1)'!$C$4:$C$1362,'Pinlist(S1)'!$F$4:$K$1362,""),_xlfn.LAMBDA(_xlpm.x,IF(_xlpm.x&lt;&gt;"",TRIM(CLEAN(LEFT(_xlpm.x,FIND(".",_xlpm.x &amp; ".")-1))),""))))))</f>
        <v/>
      </c>
      <c r="D456">
        <v>4.0289999999999901</v>
      </c>
      <c r="E456">
        <v>5.9740000000000002</v>
      </c>
      <c r="F456" t="str">
        <f>_xlfn.LET(_xlpm.raw,_xlfn.XLOOKUP(A456,'Pinlist(S1)'!$C$4:$C$1362,'Pinlist(S1)'!$E$4:$E$1362,""),_xlpm.cleanRaw,SUBSTITUTE(SUBSTITUTE(_xlpm.raw,"_PIN","."),"PIN","."),_xlpm.mainPart,MID(_xlpm.cleanRaw,2,FIND(".",_xlpm.cleanRaw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6" t="str">
        <f>_xlfn.LET(_xlpm.raw,_xlfn.XLOOKUP(A456,'Pinlist(S3)'!$C$4:$C$1362,'Pinlist(S3)'!$E$4:$E$1362,""),_xlpm.cleanRaw,SUBSTITUTE(SUBSTITUTE(_xlpm.raw,"_PIN","."),"PIN","."),_xlpm.mainPart,MID(_xlpm.cleanRaw,2,FIND(".",_xlpm.cleanRaw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6" t="str">
        <f>_xlfn.LET(_xlpm.raw,_xlfn.XLOOKUP(A456,'Pinlist(S5)'!$C$4:$C$1362,'Pinlist(S5)'!$E$4:$E$1362,""),_xlpm.cleanRaw,SUBSTITUTE(SUBSTITUTE(_xlpm.raw,"_PIN","."),"PIN","."),_xlpm.mainPart,MID(_xlpm.cleanRaw,2,FIND(".",_xlpm.cleanRaw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6" t="str">
        <f>""</f>
        <v/>
      </c>
      <c r="J456" t="str">
        <f t="shared" si="7"/>
        <v>L8;VSS;;4.02899999999999;5.974;;;;</v>
      </c>
    </row>
    <row r="457" spans="1:10">
      <c r="A457" t="s">
        <v>997</v>
      </c>
      <c r="B457" t="str">
        <f>_xlfn.XLOOKUP(A457,'Pinlist(S1)'!$Q$4:$Q$1362,'Pinlist(S1)'!$R$4:$R$1362,"")</f>
        <v>GPP_E_13_DDSP_HPD_0</v>
      </c>
      <c r="C457" t="str" cm="1">
        <f t="array" ref="C457">_xlfn.TEXTJOIN(",",TRUE,_xlfn.UNIQUE(TRANSPOSE(_xlfn.MAP(_xlfn.XLOOKUP(A457,'Pinlist(S1)'!$C$4:$C$1362,'Pinlist(S1)'!$F$4:$K$1362,""),_xlfn.LAMBDA(_xlpm.x,IF(_xlpm.x&lt;&gt;"",TRIM(CLEAN(LEFT(_xlpm.x,FIND(".",_xlpm.x &amp; ".")-1))),""))))))</f>
        <v/>
      </c>
      <c r="D457">
        <v>4.6790000000000003</v>
      </c>
      <c r="E457">
        <v>5.9740000000000002</v>
      </c>
      <c r="F457" t="str">
        <f>_xlfn.LET(_xlpm.raw,_xlfn.XLOOKUP(A457,'Pinlist(S1)'!$C$4:$C$1362,'Pinlist(S1)'!$E$4:$E$1362,""),_xlpm.cleanRaw,SUBSTITUTE(SUBSTITUTE(_xlpm.raw,"_PIN","."),"PIN","."),_xlpm.mainPart,MID(_xlpm.cleanRaw,2,FIND(".",_xlpm.cleanRaw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7" t="str">
        <f>_xlfn.LET(_xlpm.raw,_xlfn.XLOOKUP(A457,'Pinlist(S3)'!$C$4:$C$1362,'Pinlist(S3)'!$E$4:$E$1362,""),_xlpm.cleanRaw,SUBSTITUTE(SUBSTITUTE(_xlpm.raw,"_PIN","."),"PIN","."),_xlpm.mainPart,MID(_xlpm.cleanRaw,2,FIND(".",_xlpm.cleanRaw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7" t="str">
        <f>_xlfn.LET(_xlpm.raw,_xlfn.XLOOKUP(A457,'Pinlist(S5)'!$C$4:$C$1362,'Pinlist(S5)'!$E$4:$E$1362,""),_xlpm.cleanRaw,SUBSTITUTE(SUBSTITUTE(_xlpm.raw,"_PIN","."),"PIN","."),_xlpm.mainPart,MID(_xlpm.cleanRaw,2,FIND(".",_xlpm.cleanRaw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7" t="str">
        <f>""</f>
        <v/>
      </c>
      <c r="J457" t="str">
        <f t="shared" si="7"/>
        <v>L9;GPP_E_13_DDSP_HPD_0;;4.679;5.974;505065;807005;602068;</v>
      </c>
    </row>
    <row r="458" spans="1:10">
      <c r="A458" t="s">
        <v>1006</v>
      </c>
      <c r="B458" t="str">
        <f>_xlfn.XLOOKUP(A458,'Pinlist(S1)'!$Q$4:$Q$1362,'Pinlist(S1)'!$R$4:$R$1362,"")</f>
        <v>GPP_E_17_EDP_HPD</v>
      </c>
      <c r="C458" t="str" cm="1">
        <f t="array" ref="C458">_xlfn.TEXTJOIN(",",TRUE,_xlfn.UNIQUE(TRANSPOSE(_xlfn.MAP(_xlfn.XLOOKUP(A458,'Pinlist(S1)'!$C$4:$C$1362,'Pinlist(S1)'!$F$4:$K$1362,""),_xlfn.LAMBDA(_xlpm.x,IF(_xlpm.x&lt;&gt;"",TRIM(CLEAN(LEFT(_xlpm.x,FIND(".",_xlpm.x &amp; ".")-1))),""))))))</f>
        <v/>
      </c>
      <c r="D458">
        <v>5.3289999999999997</v>
      </c>
      <c r="E458">
        <v>5.9740000000000002</v>
      </c>
      <c r="F458" t="str">
        <f>_xlfn.LET(_xlpm.raw,_xlfn.XLOOKUP(A458,'Pinlist(S1)'!$C$4:$C$1362,'Pinlist(S1)'!$E$4:$E$1362,""),_xlpm.cleanRaw,SUBSTITUTE(SUBSTITUTE(_xlpm.raw,"_PIN","."),"PIN","."),_xlpm.mainPart,MID(_xlpm.cleanRaw,2,FIND(".",_xlpm.cleanRaw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505063</v>
      </c>
      <c r="G458" t="str">
        <f>_xlfn.LET(_xlpm.raw,_xlfn.XLOOKUP(A458,'Pinlist(S3)'!$C$4:$C$1362,'Pinlist(S3)'!$E$4:$E$1362,""),_xlpm.cleanRaw,SUBSTITUTE(SUBSTITUTE(_xlpm.raw,"_PIN","."),"PIN","."),_xlpm.mainPart,MID(_xlpm.cleanRaw,2,FIND(".",_xlpm.cleanRaw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808071</v>
      </c>
      <c r="H458" t="str">
        <f>_xlfn.LET(_xlpm.raw,_xlfn.XLOOKUP(A458,'Pinlist(S5)'!$C$4:$C$1362,'Pinlist(S5)'!$E$4:$E$1362,""),_xlpm.cleanRaw,SUBSTITUTE(SUBSTITUTE(_xlpm.raw,"_PIN","."),"PIN","."),_xlpm.mainPart,MID(_xlpm.cleanRaw,2,FIND(".",_xlpm.cleanRaw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602056</v>
      </c>
      <c r="I458" t="str">
        <f>""</f>
        <v/>
      </c>
      <c r="J458" t="str">
        <f t="shared" si="7"/>
        <v>L10;GPP_E_17_EDP_HPD;;5.329;5.974;505063;808071;602056;</v>
      </c>
    </row>
    <row r="459" spans="1:10">
      <c r="A459" t="s">
        <v>2200</v>
      </c>
      <c r="B459" t="str">
        <f>_xlfn.XLOOKUP(A459,'Pinlist(S1)'!$Q$4:$Q$1362,'Pinlist(S1)'!$R$4:$R$1362,"")</f>
        <v>VSS</v>
      </c>
      <c r="C459" t="str" cm="1">
        <f t="array" ref="C459">_xlfn.TEXTJOIN(",",TRUE,_xlfn.UNIQUE(TRANSPOSE(_xlfn.MAP(_xlfn.XLOOKUP(A459,'Pinlist(S1)'!$C$4:$C$1362,'Pinlist(S1)'!$F$4:$K$1362,""),_xlfn.LAMBDA(_xlpm.x,IF(_xlpm.x&lt;&gt;"",TRIM(CLEAN(LEFT(_xlpm.x,FIND(".",_xlpm.x &amp; ".")-1))),""))))))</f>
        <v/>
      </c>
      <c r="D459">
        <v>5.98</v>
      </c>
      <c r="E459">
        <v>5.9740000000000002</v>
      </c>
      <c r="F459" t="str">
        <f>_xlfn.LET(_xlpm.raw,_xlfn.XLOOKUP(A459,'Pinlist(S1)'!$C$4:$C$1362,'Pinlist(S1)'!$E$4:$E$1362,""),_xlpm.cleanRaw,SUBSTITUTE(SUBSTITUTE(_xlpm.raw,"_PIN","."),"PIN","."),_xlpm.mainPart,MID(_xlpm.cleanRaw,2,FIND(".",_xlpm.cleanRaw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9" t="str">
        <f>_xlfn.LET(_xlpm.raw,_xlfn.XLOOKUP(A459,'Pinlist(S3)'!$C$4:$C$1362,'Pinlist(S3)'!$E$4:$E$1362,""),_xlpm.cleanRaw,SUBSTITUTE(SUBSTITUTE(_xlpm.raw,"_PIN","."),"PIN","."),_xlpm.mainPart,MID(_xlpm.cleanRaw,2,FIND(".",_xlpm.cleanRaw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9" t="str">
        <f>_xlfn.LET(_xlpm.raw,_xlfn.XLOOKUP(A459,'Pinlist(S5)'!$C$4:$C$1362,'Pinlist(S5)'!$E$4:$E$1362,""),_xlpm.cleanRaw,SUBSTITUTE(SUBSTITUTE(_xlpm.raw,"_PIN","."),"PIN","."),_xlpm.mainPart,MID(_xlpm.cleanRaw,2,FIND(".",_xlpm.cleanRaw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9" t="str">
        <f>""</f>
        <v/>
      </c>
      <c r="J459" t="str">
        <f t="shared" si="7"/>
        <v>L11;VSS;;5.98;5.974;;;;</v>
      </c>
    </row>
    <row r="460" spans="1:10">
      <c r="A460" t="s">
        <v>1011</v>
      </c>
      <c r="B460" t="str">
        <f>_xlfn.XLOOKUP(A460,'Pinlist(S1)'!$Q$4:$Q$1362,'Pinlist(S1)'!$R$4:$R$1362,"")</f>
        <v>GPP_E_19_DDPB_CTRLDATA</v>
      </c>
      <c r="C460" t="str" cm="1">
        <f t="array" ref="C460">_xlfn.TEXTJOIN(",",TRUE,_xlfn.UNIQUE(TRANSPOSE(_xlfn.MAP(_xlfn.XLOOKUP(A460,'Pinlist(S1)'!$C$4:$C$1362,'Pinlist(S1)'!$F$4:$K$1362,""),_xlfn.LAMBDA(_xlpm.x,IF(_xlpm.x&lt;&gt;"",TRIM(CLEAN(LEFT(_xlpm.x,FIND(".",_xlpm.x &amp; ".")-1))),""))))))</f>
        <v>KA109</v>
      </c>
      <c r="D460">
        <v>6.63</v>
      </c>
      <c r="E460">
        <v>5.9740000000000002</v>
      </c>
      <c r="F460" t="str">
        <f>_xlfn.LET(_xlpm.raw,_xlfn.XLOOKUP(A460,'Pinlist(S1)'!$C$4:$C$1362,'Pinlist(S1)'!$E$4:$E$1362,""),_xlpm.cleanRaw,SUBSTITUTE(SUBSTITUTE(_xlpm.raw,"_PIN","."),"PIN","."),_xlpm.mainPart,MID(_xlpm.cleanRaw,2,FIND(".",_xlpm.cleanRaw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60" t="str">
        <f>_xlfn.LET(_xlpm.raw,_xlfn.XLOOKUP(A460,'Pinlist(S3)'!$C$4:$C$1362,'Pinlist(S3)'!$E$4:$E$1362,""),_xlpm.cleanRaw,SUBSTITUTE(SUBSTITUTE(_xlpm.raw,"_PIN","."),"PIN","."),_xlpm.mainPart,MID(_xlpm.cleanRaw,2,FIND(".",_xlpm.cleanRaw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60" t="str">
        <f>_xlfn.LET(_xlpm.raw,_xlfn.XLOOKUP(A460,'Pinlist(S5)'!$C$4:$C$1362,'Pinlist(S5)'!$E$4:$E$1362,""),_xlpm.cleanRaw,SUBSTITUTE(SUBSTITUTE(_xlpm.raw,"_PIN","."),"PIN","."),_xlpm.mainPart,MID(_xlpm.cleanRaw,2,FIND(".",_xlpm.cleanRaw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60" t="str">
        <f>""</f>
        <v/>
      </c>
      <c r="J460" t="str">
        <f t="shared" si="7"/>
        <v>L12;GPP_E_19_DDPB_CTRLDATA;KA109;6.63;5.974;507103;805082;602058;</v>
      </c>
    </row>
    <row r="461" spans="1:10">
      <c r="A461" t="s">
        <v>1008</v>
      </c>
      <c r="B461" t="str">
        <f>_xlfn.XLOOKUP(A461,'Pinlist(S1)'!$Q$4:$Q$1362,'Pinlist(S1)'!$R$4:$R$1362,"")</f>
        <v>GPP_E_18_DDPB_CTRLCLK</v>
      </c>
      <c r="C461" t="str" cm="1">
        <f t="array" ref="C461">_xlfn.TEXTJOIN(",",TRUE,_xlfn.UNIQUE(TRANSPOSE(_xlfn.MAP(_xlfn.XLOOKUP(A461,'Pinlist(S1)'!$C$4:$C$1362,'Pinlist(S1)'!$F$4:$K$1362,""),_xlfn.LAMBDA(_xlpm.x,IF(_xlpm.x&lt;&gt;"",TRIM(CLEAN(LEFT(_xlpm.x,FIND(".",_xlpm.x &amp; ".")-1))),""))))))</f>
        <v>KA109</v>
      </c>
      <c r="D461">
        <v>7.28</v>
      </c>
      <c r="E461">
        <v>5.9740000000000002</v>
      </c>
      <c r="F461" t="str">
        <f>_xlfn.LET(_xlpm.raw,_xlfn.XLOOKUP(A461,'Pinlist(S1)'!$C$4:$C$1362,'Pinlist(S1)'!$E$4:$E$1362,""),_xlpm.cleanRaw,SUBSTITUTE(SUBSTITUTE(_xlpm.raw,"_PIN","."),"PIN","."),_xlpm.mainPart,MID(_xlpm.cleanRaw,2,FIND(".",_xlpm.cleanRaw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61" t="str">
        <f>_xlfn.LET(_xlpm.raw,_xlfn.XLOOKUP(A461,'Pinlist(S3)'!$C$4:$C$1362,'Pinlist(S3)'!$E$4:$E$1362,""),_xlpm.cleanRaw,SUBSTITUTE(SUBSTITUTE(_xlpm.raw,"_PIN","."),"PIN","."),_xlpm.mainPart,MID(_xlpm.cleanRaw,2,FIND(".",_xlpm.cleanRaw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61" t="str">
        <f>_xlfn.LET(_xlpm.raw,_xlfn.XLOOKUP(A461,'Pinlist(S5)'!$C$4:$C$1362,'Pinlist(S5)'!$E$4:$E$1362,""),_xlpm.cleanRaw,SUBSTITUTE(SUBSTITUTE(_xlpm.raw,"_PIN","."),"PIN","."),_xlpm.mainPart,MID(_xlpm.cleanRaw,2,FIND(".",_xlpm.cleanRaw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61" t="str">
        <f>""</f>
        <v/>
      </c>
      <c r="J461" t="str">
        <f t="shared" si="7"/>
        <v>L13;GPP_E_18_DDPB_CTRLCLK;KA109;7.28;5.974;507097;805080;603119;</v>
      </c>
    </row>
    <row r="462" spans="1:10">
      <c r="A462" t="s">
        <v>1541</v>
      </c>
      <c r="B462" t="str">
        <f>_xlfn.XLOOKUP(A462,'Pinlist(S1)'!$Q$4:$Q$1362,'Pinlist(S1)'!$R$4:$R$1362,"")</f>
        <v>VCCAMPHYPLL_1P0</v>
      </c>
      <c r="C462" t="str" cm="1">
        <f t="array" ref="C462">_xlfn.TEXTJOIN(",",TRUE,_xlfn.UNIQUE(TRANSPOSE(_xlfn.MAP(_xlfn.XLOOKUP(A462,'Pinlist(S1)'!$C$4:$C$1362,'Pinlist(S1)'!$F$4:$K$1362,""),_xlfn.LAMBDA(_xlpm.x,IF(_xlpm.x&lt;&gt;"",TRIM(CLEAN(LEFT(_xlpm.x,FIND(".",_xlpm.x &amp; ".")-1))),""))))))</f>
        <v/>
      </c>
      <c r="D462">
        <v>8.1259999999999906</v>
      </c>
      <c r="E462">
        <v>6.2759999999999998</v>
      </c>
      <c r="F462" t="str">
        <f>_xlfn.LET(_xlpm.raw,_xlfn.XLOOKUP(A462,'Pinlist(S1)'!$C$4:$C$1362,'Pinlist(S1)'!$E$4:$E$1362,""),_xlpm.cleanRaw,SUBSTITUTE(SUBSTITUTE(_xlpm.raw,"_PIN","."),"PIN","."),_xlpm.mainPart,MID(_xlpm.cleanRaw,2,FIND(".",_xlpm.cleanRaw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2" t="str">
        <f>_xlfn.LET(_xlpm.raw,_xlfn.XLOOKUP(A462,'Pinlist(S3)'!$C$4:$C$1362,'Pinlist(S3)'!$E$4:$E$1362,""),_xlpm.cleanRaw,SUBSTITUTE(SUBSTITUTE(_xlpm.raw,"_PIN","."),"PIN","."),_xlpm.mainPart,MID(_xlpm.cleanRaw,2,FIND(".",_xlpm.cleanRaw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2" t="str">
        <f>_xlfn.LET(_xlpm.raw,_xlfn.XLOOKUP(A462,'Pinlist(S5)'!$C$4:$C$1362,'Pinlist(S5)'!$E$4:$E$1362,""),_xlpm.cleanRaw,SUBSTITUTE(SUBSTITUTE(_xlpm.raw,"_PIN","."),"PIN","."),_xlpm.mainPart,MID(_xlpm.cleanRaw,2,FIND(".",_xlpm.cleanRaw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2" t="str">
        <f>""</f>
        <v/>
      </c>
      <c r="J462" t="str">
        <f t="shared" si="7"/>
        <v>L15;VCCAMPHYPLL_1P0;;8.12599999999999;6.276;;;;</v>
      </c>
    </row>
    <row r="463" spans="1:10">
      <c r="A463" t="s">
        <v>2201</v>
      </c>
      <c r="B463" t="str">
        <f>_xlfn.XLOOKUP(A463,'Pinlist(S1)'!$Q$4:$Q$1362,'Pinlist(S1)'!$R$4:$R$1362,"")</f>
        <v>VSS</v>
      </c>
      <c r="C463" t="str" cm="1">
        <f t="array" ref="C463">_xlfn.TEXTJOIN(",",TRUE,_xlfn.UNIQUE(TRANSPOSE(_xlfn.MAP(_xlfn.XLOOKUP(A463,'Pinlist(S1)'!$C$4:$C$1362,'Pinlist(S1)'!$F$4:$K$1362,""),_xlfn.LAMBDA(_xlpm.x,IF(_xlpm.x&lt;&gt;"",TRIM(CLEAN(LEFT(_xlpm.x,FIND(".",_xlpm.x &amp; ".")-1))),""))))))</f>
        <v/>
      </c>
      <c r="D463">
        <v>8.7759999999999998</v>
      </c>
      <c r="E463">
        <v>6.2759999999999998</v>
      </c>
      <c r="F463" t="str">
        <f>_xlfn.LET(_xlpm.raw,_xlfn.XLOOKUP(A463,'Pinlist(S1)'!$C$4:$C$1362,'Pinlist(S1)'!$E$4:$E$1362,""),_xlpm.cleanRaw,SUBSTITUTE(SUBSTITUTE(_xlpm.raw,"_PIN","."),"PIN","."),_xlpm.mainPart,MID(_xlpm.cleanRaw,2,FIND(".",_xlpm.cleanRaw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3" t="str">
        <f>_xlfn.LET(_xlpm.raw,_xlfn.XLOOKUP(A463,'Pinlist(S3)'!$C$4:$C$1362,'Pinlist(S3)'!$E$4:$E$1362,""),_xlpm.cleanRaw,SUBSTITUTE(SUBSTITUTE(_xlpm.raw,"_PIN","."),"PIN","."),_xlpm.mainPart,MID(_xlpm.cleanRaw,2,FIND(".",_xlpm.cleanRaw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3" t="str">
        <f>_xlfn.LET(_xlpm.raw,_xlfn.XLOOKUP(A463,'Pinlist(S5)'!$C$4:$C$1362,'Pinlist(S5)'!$E$4:$E$1362,""),_xlpm.cleanRaw,SUBSTITUTE(SUBSTITUTE(_xlpm.raw,"_PIN","."),"PIN","."),_xlpm.mainPart,MID(_xlpm.cleanRaw,2,FIND(".",_xlpm.cleanRaw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3" t="str">
        <f>""</f>
        <v/>
      </c>
      <c r="J463" t="str">
        <f t="shared" si="7"/>
        <v>L16;VSS;;8.776;6.276;;;;</v>
      </c>
    </row>
    <row r="464" spans="1:10">
      <c r="A464" t="s">
        <v>2202</v>
      </c>
      <c r="B464" t="str">
        <f>_xlfn.XLOOKUP(A464,'Pinlist(S1)'!$Q$4:$Q$1362,'Pinlist(S1)'!$R$4:$R$1362,"")</f>
        <v>VSS</v>
      </c>
      <c r="C464" t="str" cm="1">
        <f t="array" ref="C464">_xlfn.TEXTJOIN(",",TRUE,_xlfn.UNIQUE(TRANSPOSE(_xlfn.MAP(_xlfn.XLOOKUP(A464,'Pinlist(S1)'!$C$4:$C$1362,'Pinlist(S1)'!$F$4:$K$1362,""),_xlfn.LAMBDA(_xlpm.x,IF(_xlpm.x&lt;&gt;"",TRIM(CLEAN(LEFT(_xlpm.x,FIND(".",_xlpm.x &amp; ".")-1))),""))))))</f>
        <v/>
      </c>
      <c r="D464">
        <v>9.4260000000000002</v>
      </c>
      <c r="E464">
        <v>6.2759999999999998</v>
      </c>
      <c r="F464" t="str">
        <f>_xlfn.LET(_xlpm.raw,_xlfn.XLOOKUP(A464,'Pinlist(S1)'!$C$4:$C$1362,'Pinlist(S1)'!$E$4:$E$1362,""),_xlpm.cleanRaw,SUBSTITUTE(SUBSTITUTE(_xlpm.raw,"_PIN","."),"PIN","."),_xlpm.mainPart,MID(_xlpm.cleanRaw,2,FIND(".",_xlpm.cleanRaw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4" t="str">
        <f>_xlfn.LET(_xlpm.raw,_xlfn.XLOOKUP(A464,'Pinlist(S3)'!$C$4:$C$1362,'Pinlist(S3)'!$E$4:$E$1362,""),_xlpm.cleanRaw,SUBSTITUTE(SUBSTITUTE(_xlpm.raw,"_PIN","."),"PIN","."),_xlpm.mainPart,MID(_xlpm.cleanRaw,2,FIND(".",_xlpm.cleanRaw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4" t="str">
        <f>_xlfn.LET(_xlpm.raw,_xlfn.XLOOKUP(A464,'Pinlist(S5)'!$C$4:$C$1362,'Pinlist(S5)'!$E$4:$E$1362,""),_xlpm.cleanRaw,SUBSTITUTE(SUBSTITUTE(_xlpm.raw,"_PIN","."),"PIN","."),_xlpm.mainPart,MID(_xlpm.cleanRaw,2,FIND(".",_xlpm.cleanRaw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4" t="str">
        <f>""</f>
        <v/>
      </c>
      <c r="J464" t="str">
        <f t="shared" si="7"/>
        <v>L17;VSS;;9.426;6.276;;;;</v>
      </c>
    </row>
    <row r="465" spans="1:10">
      <c r="A465" t="s">
        <v>2203</v>
      </c>
      <c r="B465" t="str">
        <f>_xlfn.XLOOKUP(A465,'Pinlist(S1)'!$Q$4:$Q$1362,'Pinlist(S1)'!$R$4:$R$1362,"")</f>
        <v>VSS</v>
      </c>
      <c r="C465" t="str" cm="1">
        <f t="array" ref="C465">_xlfn.TEXTJOIN(",",TRUE,_xlfn.UNIQUE(TRANSPOSE(_xlfn.MAP(_xlfn.XLOOKUP(A465,'Pinlist(S1)'!$C$4:$C$1362,'Pinlist(S1)'!$F$4:$K$1362,""),_xlfn.LAMBDA(_xlpm.x,IF(_xlpm.x&lt;&gt;"",TRIM(CLEAN(LEFT(_xlpm.x,FIND(".",_xlpm.x &amp; ".")-1))),""))))))</f>
        <v/>
      </c>
      <c r="D465">
        <v>10.076000000000001</v>
      </c>
      <c r="E465">
        <v>6.2759999999999998</v>
      </c>
      <c r="F465" t="str">
        <f>_xlfn.LET(_xlpm.raw,_xlfn.XLOOKUP(A465,'Pinlist(S1)'!$C$4:$C$1362,'Pinlist(S1)'!$E$4:$E$1362,""),_xlpm.cleanRaw,SUBSTITUTE(SUBSTITUTE(_xlpm.raw,"_PIN","."),"PIN","."),_xlpm.mainPart,MID(_xlpm.cleanRaw,2,FIND(".",_xlpm.cleanRaw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5" t="str">
        <f>_xlfn.LET(_xlpm.raw,_xlfn.XLOOKUP(A465,'Pinlist(S3)'!$C$4:$C$1362,'Pinlist(S3)'!$E$4:$E$1362,""),_xlpm.cleanRaw,SUBSTITUTE(SUBSTITUTE(_xlpm.raw,"_PIN","."),"PIN","."),_xlpm.mainPart,MID(_xlpm.cleanRaw,2,FIND(".",_xlpm.cleanRaw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5" t="str">
        <f>_xlfn.LET(_xlpm.raw,_xlfn.XLOOKUP(A465,'Pinlist(S5)'!$C$4:$C$1362,'Pinlist(S5)'!$E$4:$E$1362,""),_xlpm.cleanRaw,SUBSTITUTE(SUBSTITUTE(_xlpm.raw,"_PIN","."),"PIN","."),_xlpm.mainPart,MID(_xlpm.cleanRaw,2,FIND(".",_xlpm.cleanRaw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5" t="str">
        <f>""</f>
        <v/>
      </c>
      <c r="J465" t="str">
        <f t="shared" si="7"/>
        <v>L18;VSS;;10.076;6.276;;;;</v>
      </c>
    </row>
    <row r="466" spans="1:10">
      <c r="A466" t="s">
        <v>1636</v>
      </c>
      <c r="B466" t="str">
        <f>_xlfn.XLOOKUP(A466,'Pinlist(S1)'!$Q$4:$Q$1362,'Pinlist(S1)'!$R$4:$R$1362,"")</f>
        <v>VCCF24NS_1P0</v>
      </c>
      <c r="C466" t="str" cm="1">
        <f t="array" ref="C466">_xlfn.TEXTJOIN(",",TRUE,_xlfn.UNIQUE(TRANSPOSE(_xlfn.MAP(_xlfn.XLOOKUP(A466,'Pinlist(S1)'!$C$4:$C$1362,'Pinlist(S1)'!$F$4:$K$1362,""),_xlfn.LAMBDA(_xlpm.x,IF(_xlpm.x&lt;&gt;"",TRIM(CLEAN(LEFT(_xlpm.x,FIND(".",_xlpm.x &amp; ".")-1))),""))))))</f>
        <v/>
      </c>
      <c r="D466">
        <v>10.727</v>
      </c>
      <c r="E466">
        <v>6.2759999999999998</v>
      </c>
      <c r="F466" t="str">
        <f>_xlfn.LET(_xlpm.raw,_xlfn.XLOOKUP(A466,'Pinlist(S1)'!$C$4:$C$1362,'Pinlist(S1)'!$E$4:$E$1362,""),_xlpm.cleanRaw,SUBSTITUTE(SUBSTITUTE(_xlpm.raw,"_PIN","."),"PIN","."),_xlpm.mainPart,MID(_xlpm.cleanRaw,2,FIND(".",_xlpm.cleanRaw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6" t="str">
        <f>_xlfn.LET(_xlpm.raw,_xlfn.XLOOKUP(A466,'Pinlist(S3)'!$C$4:$C$1362,'Pinlist(S3)'!$E$4:$E$1362,""),_xlpm.cleanRaw,SUBSTITUTE(SUBSTITUTE(_xlpm.raw,"_PIN","."),"PIN","."),_xlpm.mainPart,MID(_xlpm.cleanRaw,2,FIND(".",_xlpm.cleanRaw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6" t="str">
        <f>_xlfn.LET(_xlpm.raw,_xlfn.XLOOKUP(A466,'Pinlist(S5)'!$C$4:$C$1362,'Pinlist(S5)'!$E$4:$E$1362,""),_xlpm.cleanRaw,SUBSTITUTE(SUBSTITUTE(_xlpm.raw,"_PIN","."),"PIN","."),_xlpm.mainPart,MID(_xlpm.cleanRaw,2,FIND(".",_xlpm.cleanRaw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6" t="str">
        <f>""</f>
        <v/>
      </c>
      <c r="J466" t="str">
        <f t="shared" si="7"/>
        <v>L19;VCCF24NS_1P0;;10.727;6.276;;;;</v>
      </c>
    </row>
    <row r="467" spans="1:10">
      <c r="A467" t="s">
        <v>2205</v>
      </c>
      <c r="B467" t="str">
        <f>_xlfn.XLOOKUP(A467,'Pinlist(S1)'!$Q$4:$Q$1362,'Pinlist(S1)'!$R$4:$R$1362,"")</f>
        <v>VSS</v>
      </c>
      <c r="C467" t="str" cm="1">
        <f t="array" ref="C467">_xlfn.TEXTJOIN(",",TRUE,_xlfn.UNIQUE(TRANSPOSE(_xlfn.MAP(_xlfn.XLOOKUP(A467,'Pinlist(S1)'!$C$4:$C$1362,'Pinlist(S1)'!$F$4:$K$1362,""),_xlfn.LAMBDA(_xlpm.x,IF(_xlpm.x&lt;&gt;"",TRIM(CLEAN(LEFT(_xlpm.x,FIND(".",_xlpm.x &amp; ".")-1))),""))))))</f>
        <v/>
      </c>
      <c r="D467">
        <v>11.377000000000001</v>
      </c>
      <c r="E467">
        <v>6.2759999999999998</v>
      </c>
      <c r="F467" t="str">
        <f>_xlfn.LET(_xlpm.raw,_xlfn.XLOOKUP(A467,'Pinlist(S1)'!$C$4:$C$1362,'Pinlist(S1)'!$E$4:$E$1362,""),_xlpm.cleanRaw,SUBSTITUTE(SUBSTITUTE(_xlpm.raw,"_PIN","."),"PIN","."),_xlpm.mainPart,MID(_xlpm.cleanRaw,2,FIND(".",_xlpm.cleanRaw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7" t="str">
        <f>_xlfn.LET(_xlpm.raw,_xlfn.XLOOKUP(A467,'Pinlist(S3)'!$C$4:$C$1362,'Pinlist(S3)'!$E$4:$E$1362,""),_xlpm.cleanRaw,SUBSTITUTE(SUBSTITUTE(_xlpm.raw,"_PIN","."),"PIN","."),_xlpm.mainPart,MID(_xlpm.cleanRaw,2,FIND(".",_xlpm.cleanRaw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7" t="str">
        <f>_xlfn.LET(_xlpm.raw,_xlfn.XLOOKUP(A467,'Pinlist(S5)'!$C$4:$C$1362,'Pinlist(S5)'!$E$4:$E$1362,""),_xlpm.cleanRaw,SUBSTITUTE(SUBSTITUTE(_xlpm.raw,"_PIN","."),"PIN","."),_xlpm.mainPart,MID(_xlpm.cleanRaw,2,FIND(".",_xlpm.cleanRaw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7" t="str">
        <f>""</f>
        <v/>
      </c>
      <c r="J467" t="str">
        <f t="shared" si="7"/>
        <v>L20;VSS;;11.377;6.276;;;;</v>
      </c>
    </row>
    <row r="468" spans="1:10">
      <c r="A468" t="s">
        <v>1634</v>
      </c>
      <c r="B468" t="str">
        <f>_xlfn.XLOOKUP(A468,'Pinlist(S1)'!$Q$4:$Q$1362,'Pinlist(S1)'!$R$4:$R$1362,"")</f>
        <v>VCCF135_1P0</v>
      </c>
      <c r="C468" t="str" cm="1">
        <f t="array" ref="C468">_xlfn.TEXTJOIN(",",TRUE,_xlfn.UNIQUE(TRANSPOSE(_xlfn.MAP(_xlfn.XLOOKUP(A468,'Pinlist(S1)'!$C$4:$C$1362,'Pinlist(S1)'!$F$4:$K$1362,""),_xlfn.LAMBDA(_xlpm.x,IF(_xlpm.x&lt;&gt;"",TRIM(CLEAN(LEFT(_xlpm.x,FIND(".",_xlpm.x &amp; ".")-1))),""))))))</f>
        <v/>
      </c>
      <c r="D468">
        <v>12.026999999999999</v>
      </c>
      <c r="E468">
        <v>6.2759999999999998</v>
      </c>
      <c r="F468" t="str">
        <f>_xlfn.LET(_xlpm.raw,_xlfn.XLOOKUP(A468,'Pinlist(S1)'!$C$4:$C$1362,'Pinlist(S1)'!$E$4:$E$1362,""),_xlpm.cleanRaw,SUBSTITUTE(SUBSTITUTE(_xlpm.raw,"_PIN","."),"PIN","."),_xlpm.mainPart,MID(_xlpm.cleanRaw,2,FIND(".",_xlpm.cleanRaw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8" t="str">
        <f>_xlfn.LET(_xlpm.raw,_xlfn.XLOOKUP(A468,'Pinlist(S3)'!$C$4:$C$1362,'Pinlist(S3)'!$E$4:$E$1362,""),_xlpm.cleanRaw,SUBSTITUTE(SUBSTITUTE(_xlpm.raw,"_PIN","."),"PIN","."),_xlpm.mainPart,MID(_xlpm.cleanRaw,2,FIND(".",_xlpm.cleanRaw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8" t="str">
        <f>_xlfn.LET(_xlpm.raw,_xlfn.XLOOKUP(A468,'Pinlist(S5)'!$C$4:$C$1362,'Pinlist(S5)'!$E$4:$E$1362,""),_xlpm.cleanRaw,SUBSTITUTE(SUBSTITUTE(_xlpm.raw,"_PIN","."),"PIN","."),_xlpm.mainPart,MID(_xlpm.cleanRaw,2,FIND(".",_xlpm.cleanRaw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8" t="str">
        <f>""</f>
        <v/>
      </c>
      <c r="J468" t="str">
        <f t="shared" si="7"/>
        <v>L21;VCCF135_1P0;;12.027;6.276;;;;</v>
      </c>
    </row>
    <row r="469" spans="1:10">
      <c r="A469" t="s">
        <v>1685</v>
      </c>
      <c r="B469" t="str">
        <f>_xlfn.XLOOKUP(A469,'Pinlist(S1)'!$Q$4:$Q$1362,'Pinlist(S1)'!$R$4:$R$1362,"")</f>
        <v>VCCGT</v>
      </c>
      <c r="C469" t="str" cm="1">
        <f t="array" ref="C469">_xlfn.TEXTJOIN(",",TRUE,_xlfn.UNIQUE(TRANSPOSE(_xlfn.MAP(_xlfn.XLOOKUP(A469,'Pinlist(S1)'!$C$4:$C$1362,'Pinlist(S1)'!$F$4:$K$1362,""),_xlfn.LAMBDA(_xlpm.x,IF(_xlpm.x&lt;&gt;"",TRIM(CLEAN(LEFT(_xlpm.x,FIND(".",_xlpm.x &amp; ".")-1))),""))))))</f>
        <v/>
      </c>
      <c r="D469">
        <v>34.957999999999998</v>
      </c>
      <c r="E469">
        <v>5.6890000000000001</v>
      </c>
      <c r="F469" t="str">
        <f>_xlfn.LET(_xlpm.raw,_xlfn.XLOOKUP(A469,'Pinlist(S1)'!$C$4:$C$1362,'Pinlist(S1)'!$E$4:$E$1362,""),_xlpm.cleanRaw,SUBSTITUTE(SUBSTITUTE(_xlpm.raw,"_PIN","."),"PIN","."),_xlpm.mainPart,MID(_xlpm.cleanRaw,2,FIND(".",_xlpm.cleanRaw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9" t="str">
        <f>_xlfn.LET(_xlpm.raw,_xlfn.XLOOKUP(A469,'Pinlist(S3)'!$C$4:$C$1362,'Pinlist(S3)'!$E$4:$E$1362,""),_xlpm.cleanRaw,SUBSTITUTE(SUBSTITUTE(_xlpm.raw,"_PIN","."),"PIN","."),_xlpm.mainPart,MID(_xlpm.cleanRaw,2,FIND(".",_xlpm.cleanRaw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9" t="str">
        <f>_xlfn.LET(_xlpm.raw,_xlfn.XLOOKUP(A469,'Pinlist(S5)'!$C$4:$C$1362,'Pinlist(S5)'!$E$4:$E$1362,""),_xlpm.cleanRaw,SUBSTITUTE(SUBSTITUTE(_xlpm.raw,"_PIN","."),"PIN","."),_xlpm.mainPart,MID(_xlpm.cleanRaw,2,FIND(".",_xlpm.cleanRaw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9" t="str">
        <f>""</f>
        <v/>
      </c>
      <c r="J469" t="str">
        <f t="shared" si="7"/>
        <v>L62;VCCGT;;34.958;5.689;;;;</v>
      </c>
    </row>
    <row r="470" spans="1:10">
      <c r="A470" t="s">
        <v>1686</v>
      </c>
      <c r="B470" t="str">
        <f>_xlfn.XLOOKUP(A470,'Pinlist(S1)'!$Q$4:$Q$1362,'Pinlist(S1)'!$R$4:$R$1362,"")</f>
        <v>VCCGT</v>
      </c>
      <c r="C470" t="str" cm="1">
        <f t="array" ref="C470">_xlfn.TEXTJOIN(",",TRUE,_xlfn.UNIQUE(TRANSPOSE(_xlfn.MAP(_xlfn.XLOOKUP(A470,'Pinlist(S1)'!$C$4:$C$1362,'Pinlist(S1)'!$F$4:$K$1362,""),_xlfn.LAMBDA(_xlpm.x,IF(_xlpm.x&lt;&gt;"",TRIM(CLEAN(LEFT(_xlpm.x,FIND(".",_xlpm.x &amp; ".")-1))),""))))))</f>
        <v/>
      </c>
      <c r="D470">
        <v>35.427</v>
      </c>
      <c r="E470">
        <v>6.1459999999999999</v>
      </c>
      <c r="F470" t="str">
        <f>_xlfn.LET(_xlpm.raw,_xlfn.XLOOKUP(A470,'Pinlist(S1)'!$C$4:$C$1362,'Pinlist(S1)'!$E$4:$E$1362,""),_xlpm.cleanRaw,SUBSTITUTE(SUBSTITUTE(_xlpm.raw,"_PIN","."),"PIN","."),_xlpm.mainPart,MID(_xlpm.cleanRaw,2,FIND(".",_xlpm.cleanRaw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0" t="str">
        <f>_xlfn.LET(_xlpm.raw,_xlfn.XLOOKUP(A470,'Pinlist(S3)'!$C$4:$C$1362,'Pinlist(S3)'!$E$4:$E$1362,""),_xlpm.cleanRaw,SUBSTITUTE(SUBSTITUTE(_xlpm.raw,"_PIN","."),"PIN","."),_xlpm.mainPart,MID(_xlpm.cleanRaw,2,FIND(".",_xlpm.cleanRaw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0" t="str">
        <f>_xlfn.LET(_xlpm.raw,_xlfn.XLOOKUP(A470,'Pinlist(S5)'!$C$4:$C$1362,'Pinlist(S5)'!$E$4:$E$1362,""),_xlpm.cleanRaw,SUBSTITUTE(SUBSTITUTE(_xlpm.raw,"_PIN","."),"PIN","."),_xlpm.mainPart,MID(_xlpm.cleanRaw,2,FIND(".",_xlpm.cleanRaw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0" t="str">
        <f>""</f>
        <v/>
      </c>
      <c r="J470" t="str">
        <f t="shared" si="7"/>
        <v>L63;VCCGT;;35.427;6.146;;;;</v>
      </c>
    </row>
    <row r="471" spans="1:10">
      <c r="A471" t="s">
        <v>1687</v>
      </c>
      <c r="B471" t="str">
        <f>_xlfn.XLOOKUP(A471,'Pinlist(S1)'!$Q$4:$Q$1362,'Pinlist(S1)'!$R$4:$R$1362,"")</f>
        <v>VCCGT</v>
      </c>
      <c r="C471" t="str" cm="1">
        <f t="array" ref="C471">_xlfn.TEXTJOIN(",",TRUE,_xlfn.UNIQUE(TRANSPOSE(_xlfn.MAP(_xlfn.XLOOKUP(A471,'Pinlist(S1)'!$C$4:$C$1362,'Pinlist(S1)'!$F$4:$K$1362,""),_xlfn.LAMBDA(_xlpm.x,IF(_xlpm.x&lt;&gt;"",TRIM(CLEAN(LEFT(_xlpm.x,FIND(".",_xlpm.x &amp; ".")-1))),""))))))</f>
        <v/>
      </c>
      <c r="D471">
        <v>36.076999999999998</v>
      </c>
      <c r="E471">
        <v>6.1459999999999999</v>
      </c>
      <c r="F471" t="str">
        <f>_xlfn.LET(_xlpm.raw,_xlfn.XLOOKUP(A471,'Pinlist(S1)'!$C$4:$C$1362,'Pinlist(S1)'!$E$4:$E$1362,""),_xlpm.cleanRaw,SUBSTITUTE(SUBSTITUTE(_xlpm.raw,"_PIN","."),"PIN","."),_xlpm.mainPart,MID(_xlpm.cleanRaw,2,FIND(".",_xlpm.cleanRaw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1" t="str">
        <f>_xlfn.LET(_xlpm.raw,_xlfn.XLOOKUP(A471,'Pinlist(S3)'!$C$4:$C$1362,'Pinlist(S3)'!$E$4:$E$1362,""),_xlpm.cleanRaw,SUBSTITUTE(SUBSTITUTE(_xlpm.raw,"_PIN","."),"PIN","."),_xlpm.mainPart,MID(_xlpm.cleanRaw,2,FIND(".",_xlpm.cleanRaw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1" t="str">
        <f>_xlfn.LET(_xlpm.raw,_xlfn.XLOOKUP(A471,'Pinlist(S5)'!$C$4:$C$1362,'Pinlist(S5)'!$E$4:$E$1362,""),_xlpm.cleanRaw,SUBSTITUTE(SUBSTITUTE(_xlpm.raw,"_PIN","."),"PIN","."),_xlpm.mainPart,MID(_xlpm.cleanRaw,2,FIND(".",_xlpm.cleanRaw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1" t="str">
        <f>""</f>
        <v/>
      </c>
      <c r="J471" t="str">
        <f t="shared" si="7"/>
        <v>L64;VCCGT;;36.077;6.146;;;;</v>
      </c>
    </row>
    <row r="472" spans="1:10">
      <c r="A472" t="s">
        <v>1688</v>
      </c>
      <c r="B472" t="str">
        <f>_xlfn.XLOOKUP(A472,'Pinlist(S1)'!$Q$4:$Q$1362,'Pinlist(S1)'!$R$4:$R$1362,"")</f>
        <v>VCCGT</v>
      </c>
      <c r="C472" t="str" cm="1">
        <f t="array" ref="C472">_xlfn.TEXTJOIN(",",TRUE,_xlfn.UNIQUE(TRANSPOSE(_xlfn.MAP(_xlfn.XLOOKUP(A472,'Pinlist(S1)'!$C$4:$C$1362,'Pinlist(S1)'!$F$4:$K$1362,""),_xlfn.LAMBDA(_xlpm.x,IF(_xlpm.x&lt;&gt;"",TRIM(CLEAN(LEFT(_xlpm.x,FIND(".",_xlpm.x &amp; ".")-1))),""))))))</f>
        <v/>
      </c>
      <c r="D472">
        <v>36.726999999999997</v>
      </c>
      <c r="E472">
        <v>6.1459999999999999</v>
      </c>
      <c r="F472" t="str">
        <f>_xlfn.LET(_xlpm.raw,_xlfn.XLOOKUP(A472,'Pinlist(S1)'!$C$4:$C$1362,'Pinlist(S1)'!$E$4:$E$1362,""),_xlpm.cleanRaw,SUBSTITUTE(SUBSTITUTE(_xlpm.raw,"_PIN","."),"PIN","."),_xlpm.mainPart,MID(_xlpm.cleanRaw,2,FIND(".",_xlpm.cleanRaw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2" t="str">
        <f>_xlfn.LET(_xlpm.raw,_xlfn.XLOOKUP(A472,'Pinlist(S3)'!$C$4:$C$1362,'Pinlist(S3)'!$E$4:$E$1362,""),_xlpm.cleanRaw,SUBSTITUTE(SUBSTITUTE(_xlpm.raw,"_PIN","."),"PIN","."),_xlpm.mainPart,MID(_xlpm.cleanRaw,2,FIND(".",_xlpm.cleanRaw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2" t="str">
        <f>_xlfn.LET(_xlpm.raw,_xlfn.XLOOKUP(A472,'Pinlist(S5)'!$C$4:$C$1362,'Pinlist(S5)'!$E$4:$E$1362,""),_xlpm.cleanRaw,SUBSTITUTE(SUBSTITUTE(_xlpm.raw,"_PIN","."),"PIN","."),_xlpm.mainPart,MID(_xlpm.cleanRaw,2,FIND(".",_xlpm.cleanRaw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2" t="str">
        <f>""</f>
        <v/>
      </c>
      <c r="J472" t="str">
        <f t="shared" si="7"/>
        <v>L65;VCCGT;;36.727;6.146;;;;</v>
      </c>
    </row>
    <row r="473" spans="1:10">
      <c r="A473" t="s">
        <v>1689</v>
      </c>
      <c r="B473" t="str">
        <f>_xlfn.XLOOKUP(A473,'Pinlist(S1)'!$Q$4:$Q$1362,'Pinlist(S1)'!$R$4:$R$1362,"")</f>
        <v>VCCGT</v>
      </c>
      <c r="C473" t="str" cm="1">
        <f t="array" ref="C473">_xlfn.TEXTJOIN(",",TRUE,_xlfn.UNIQUE(TRANSPOSE(_xlfn.MAP(_xlfn.XLOOKUP(A473,'Pinlist(S1)'!$C$4:$C$1362,'Pinlist(S1)'!$F$4:$K$1362,""),_xlfn.LAMBDA(_xlpm.x,IF(_xlpm.x&lt;&gt;"",TRIM(CLEAN(LEFT(_xlpm.x,FIND(".",_xlpm.x &amp; ".")-1))),""))))))</f>
        <v/>
      </c>
      <c r="D473">
        <v>37.376999999999903</v>
      </c>
      <c r="E473">
        <v>6.1459999999999999</v>
      </c>
      <c r="F473" t="str">
        <f>_xlfn.LET(_xlpm.raw,_xlfn.XLOOKUP(A473,'Pinlist(S1)'!$C$4:$C$1362,'Pinlist(S1)'!$E$4:$E$1362,""),_xlpm.cleanRaw,SUBSTITUTE(SUBSTITUTE(_xlpm.raw,"_PIN","."),"PIN","."),_xlpm.mainPart,MID(_xlpm.cleanRaw,2,FIND(".",_xlpm.cleanRaw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3" t="str">
        <f>_xlfn.LET(_xlpm.raw,_xlfn.XLOOKUP(A473,'Pinlist(S3)'!$C$4:$C$1362,'Pinlist(S3)'!$E$4:$E$1362,""),_xlpm.cleanRaw,SUBSTITUTE(SUBSTITUTE(_xlpm.raw,"_PIN","."),"PIN","."),_xlpm.mainPart,MID(_xlpm.cleanRaw,2,FIND(".",_xlpm.cleanRaw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3" t="str">
        <f>_xlfn.LET(_xlpm.raw,_xlfn.XLOOKUP(A473,'Pinlist(S5)'!$C$4:$C$1362,'Pinlist(S5)'!$E$4:$E$1362,""),_xlpm.cleanRaw,SUBSTITUTE(SUBSTITUTE(_xlpm.raw,"_PIN","."),"PIN","."),_xlpm.mainPart,MID(_xlpm.cleanRaw,2,FIND(".",_xlpm.cleanRaw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3" t="str">
        <f>""</f>
        <v/>
      </c>
      <c r="J473" t="str">
        <f t="shared" si="7"/>
        <v>L66;VCCGT;;37.3769999999999;6.146;;;;</v>
      </c>
    </row>
    <row r="474" spans="1:10">
      <c r="A474" t="s">
        <v>1690</v>
      </c>
      <c r="B474" t="str">
        <f>_xlfn.XLOOKUP(A474,'Pinlist(S1)'!$Q$4:$Q$1362,'Pinlist(S1)'!$R$4:$R$1362,"")</f>
        <v>VCCGT</v>
      </c>
      <c r="C474" t="str" cm="1">
        <f t="array" ref="C474">_xlfn.TEXTJOIN(",",TRUE,_xlfn.UNIQUE(TRANSPOSE(_xlfn.MAP(_xlfn.XLOOKUP(A474,'Pinlist(S1)'!$C$4:$C$1362,'Pinlist(S1)'!$F$4:$K$1362,""),_xlfn.LAMBDA(_xlpm.x,IF(_xlpm.x&lt;&gt;"",TRIM(CLEAN(LEFT(_xlpm.x,FIND(".",_xlpm.x &amp; ".")-1))),""))))))</f>
        <v/>
      </c>
      <c r="D474">
        <v>38.027999999999999</v>
      </c>
      <c r="E474">
        <v>6.1459999999999999</v>
      </c>
      <c r="F474" t="str">
        <f>_xlfn.LET(_xlpm.raw,_xlfn.XLOOKUP(A474,'Pinlist(S1)'!$C$4:$C$1362,'Pinlist(S1)'!$E$4:$E$1362,""),_xlpm.cleanRaw,SUBSTITUTE(SUBSTITUTE(_xlpm.raw,"_PIN","."),"PIN","."),_xlpm.mainPart,MID(_xlpm.cleanRaw,2,FIND(".",_xlpm.cleanRaw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4" t="str">
        <f>_xlfn.LET(_xlpm.raw,_xlfn.XLOOKUP(A474,'Pinlist(S3)'!$C$4:$C$1362,'Pinlist(S3)'!$E$4:$E$1362,""),_xlpm.cleanRaw,SUBSTITUTE(SUBSTITUTE(_xlpm.raw,"_PIN","."),"PIN","."),_xlpm.mainPart,MID(_xlpm.cleanRaw,2,FIND(".",_xlpm.cleanRaw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4" t="str">
        <f>_xlfn.LET(_xlpm.raw,_xlfn.XLOOKUP(A474,'Pinlist(S5)'!$C$4:$C$1362,'Pinlist(S5)'!$E$4:$E$1362,""),_xlpm.cleanRaw,SUBSTITUTE(SUBSTITUTE(_xlpm.raw,"_PIN","."),"PIN","."),_xlpm.mainPart,MID(_xlpm.cleanRaw,2,FIND(".",_xlpm.cleanRaw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4" t="str">
        <f>""</f>
        <v/>
      </c>
      <c r="J474" t="str">
        <f t="shared" si="7"/>
        <v>L67;VCCGT;;38.028;6.146;;;;</v>
      </c>
    </row>
    <row r="475" spans="1:10">
      <c r="A475" t="s">
        <v>1691</v>
      </c>
      <c r="B475" t="str">
        <f>_xlfn.XLOOKUP(A475,'Pinlist(S1)'!$Q$4:$Q$1362,'Pinlist(S1)'!$R$4:$R$1362,"")</f>
        <v>VCCGT</v>
      </c>
      <c r="C475" t="str" cm="1">
        <f t="array" ref="C475">_xlfn.TEXTJOIN(",",TRUE,_xlfn.UNIQUE(TRANSPOSE(_xlfn.MAP(_xlfn.XLOOKUP(A475,'Pinlist(S1)'!$C$4:$C$1362,'Pinlist(S1)'!$F$4:$K$1362,""),_xlfn.LAMBDA(_xlpm.x,IF(_xlpm.x&lt;&gt;"",TRIM(CLEAN(LEFT(_xlpm.x,FIND(".",_xlpm.x &amp; ".")-1))),""))))))</f>
        <v/>
      </c>
      <c r="D475">
        <v>38.677999999999997</v>
      </c>
      <c r="E475">
        <v>6.1459999999999999</v>
      </c>
      <c r="F475" t="str">
        <f>_xlfn.LET(_xlpm.raw,_xlfn.XLOOKUP(A475,'Pinlist(S1)'!$C$4:$C$1362,'Pinlist(S1)'!$E$4:$E$1362,""),_xlpm.cleanRaw,SUBSTITUTE(SUBSTITUTE(_xlpm.raw,"_PIN","."),"PIN","."),_xlpm.mainPart,MID(_xlpm.cleanRaw,2,FIND(".",_xlpm.cleanRaw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5" t="str">
        <f>_xlfn.LET(_xlpm.raw,_xlfn.XLOOKUP(A475,'Pinlist(S3)'!$C$4:$C$1362,'Pinlist(S3)'!$E$4:$E$1362,""),_xlpm.cleanRaw,SUBSTITUTE(SUBSTITUTE(_xlpm.raw,"_PIN","."),"PIN","."),_xlpm.mainPart,MID(_xlpm.cleanRaw,2,FIND(".",_xlpm.cleanRaw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5" t="str">
        <f>_xlfn.LET(_xlpm.raw,_xlfn.XLOOKUP(A475,'Pinlist(S5)'!$C$4:$C$1362,'Pinlist(S5)'!$E$4:$E$1362,""),_xlpm.cleanRaw,SUBSTITUTE(SUBSTITUTE(_xlpm.raw,"_PIN","."),"PIN","."),_xlpm.mainPart,MID(_xlpm.cleanRaw,2,FIND(".",_xlpm.cleanRaw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5" t="str">
        <f>""</f>
        <v/>
      </c>
      <c r="J475" t="str">
        <f t="shared" si="7"/>
        <v>L68;VCCGT;;38.678;6.146;;;;</v>
      </c>
    </row>
    <row r="476" spans="1:10">
      <c r="A476" t="s">
        <v>1692</v>
      </c>
      <c r="B476" t="str">
        <f>_xlfn.XLOOKUP(A476,'Pinlist(S1)'!$Q$4:$Q$1362,'Pinlist(S1)'!$R$4:$R$1362,"")</f>
        <v>VCCGT</v>
      </c>
      <c r="C476" t="str" cm="1">
        <f t="array" ref="C476">_xlfn.TEXTJOIN(",",TRUE,_xlfn.UNIQUE(TRANSPOSE(_xlfn.MAP(_xlfn.XLOOKUP(A476,'Pinlist(S1)'!$C$4:$C$1362,'Pinlist(S1)'!$F$4:$K$1362,""),_xlfn.LAMBDA(_xlpm.x,IF(_xlpm.x&lt;&gt;"",TRIM(CLEAN(LEFT(_xlpm.x,FIND(".",_xlpm.x &amp; ".")-1))),""))))))</f>
        <v/>
      </c>
      <c r="D476">
        <v>39.328000000000003</v>
      </c>
      <c r="E476">
        <v>6.1459999999999999</v>
      </c>
      <c r="F476" t="str">
        <f>_xlfn.LET(_xlpm.raw,_xlfn.XLOOKUP(A476,'Pinlist(S1)'!$C$4:$C$1362,'Pinlist(S1)'!$E$4:$E$1362,""),_xlpm.cleanRaw,SUBSTITUTE(SUBSTITUTE(_xlpm.raw,"_PIN","."),"PIN","."),_xlpm.mainPart,MID(_xlpm.cleanRaw,2,FIND(".",_xlpm.cleanRaw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6" t="str">
        <f>_xlfn.LET(_xlpm.raw,_xlfn.XLOOKUP(A476,'Pinlist(S3)'!$C$4:$C$1362,'Pinlist(S3)'!$E$4:$E$1362,""),_xlpm.cleanRaw,SUBSTITUTE(SUBSTITUTE(_xlpm.raw,"_PIN","."),"PIN","."),_xlpm.mainPart,MID(_xlpm.cleanRaw,2,FIND(".",_xlpm.cleanRaw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6" t="str">
        <f>_xlfn.LET(_xlpm.raw,_xlfn.XLOOKUP(A476,'Pinlist(S5)'!$C$4:$C$1362,'Pinlist(S5)'!$E$4:$E$1362,""),_xlpm.cleanRaw,SUBSTITUTE(SUBSTITUTE(_xlpm.raw,"_PIN","."),"PIN","."),_xlpm.mainPart,MID(_xlpm.cleanRaw,2,FIND(".",_xlpm.cleanRaw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6" t="str">
        <f>""</f>
        <v/>
      </c>
      <c r="J476" t="str">
        <f t="shared" si="7"/>
        <v>L69;VCCGT;;39.328;6.146;;;;</v>
      </c>
    </row>
    <row r="477" spans="1:10">
      <c r="A477" t="s">
        <v>1693</v>
      </c>
      <c r="B477" t="str">
        <f>_xlfn.XLOOKUP(A477,'Pinlist(S1)'!$Q$4:$Q$1362,'Pinlist(S1)'!$R$4:$R$1362,"")</f>
        <v>VCCGT</v>
      </c>
      <c r="C477" t="str" cm="1">
        <f t="array" ref="C477">_xlfn.TEXTJOIN(",",TRUE,_xlfn.UNIQUE(TRANSPOSE(_xlfn.MAP(_xlfn.XLOOKUP(A477,'Pinlist(S1)'!$C$4:$C$1362,'Pinlist(S1)'!$F$4:$K$1362,""),_xlfn.LAMBDA(_xlpm.x,IF(_xlpm.x&lt;&gt;"",TRIM(CLEAN(LEFT(_xlpm.x,FIND(".",_xlpm.x &amp; ".")-1))),""))))))</f>
        <v/>
      </c>
      <c r="D477">
        <v>39.978000000000002</v>
      </c>
      <c r="E477">
        <v>6.1459999999999999</v>
      </c>
      <c r="F477" t="str">
        <f>_xlfn.LET(_xlpm.raw,_xlfn.XLOOKUP(A477,'Pinlist(S1)'!$C$4:$C$1362,'Pinlist(S1)'!$E$4:$E$1362,""),_xlpm.cleanRaw,SUBSTITUTE(SUBSTITUTE(_xlpm.raw,"_PIN","."),"PIN","."),_xlpm.mainPart,MID(_xlpm.cleanRaw,2,FIND(".",_xlpm.cleanRaw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7" t="str">
        <f>_xlfn.LET(_xlpm.raw,_xlfn.XLOOKUP(A477,'Pinlist(S3)'!$C$4:$C$1362,'Pinlist(S3)'!$E$4:$E$1362,""),_xlpm.cleanRaw,SUBSTITUTE(SUBSTITUTE(_xlpm.raw,"_PIN","."),"PIN","."),_xlpm.mainPart,MID(_xlpm.cleanRaw,2,FIND(".",_xlpm.cleanRaw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7" t="str">
        <f>_xlfn.LET(_xlpm.raw,_xlfn.XLOOKUP(A477,'Pinlist(S5)'!$C$4:$C$1362,'Pinlist(S5)'!$E$4:$E$1362,""),_xlpm.cleanRaw,SUBSTITUTE(SUBSTITUTE(_xlpm.raw,"_PIN","."),"PIN","."),_xlpm.mainPart,MID(_xlpm.cleanRaw,2,FIND(".",_xlpm.cleanRaw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7" t="str">
        <f>""</f>
        <v/>
      </c>
      <c r="J477" t="str">
        <f t="shared" si="7"/>
        <v>L70;VCCGT;;39.978;6.146;;;;</v>
      </c>
    </row>
    <row r="478" spans="1:10">
      <c r="A478" t="s">
        <v>1694</v>
      </c>
      <c r="B478" t="str">
        <f>_xlfn.XLOOKUP(A478,'Pinlist(S1)'!$Q$4:$Q$1362,'Pinlist(S1)'!$R$4:$R$1362,"")</f>
        <v>VCCGT</v>
      </c>
      <c r="C478" t="str" cm="1">
        <f t="array" ref="C478">_xlfn.TEXTJOIN(",",TRUE,_xlfn.UNIQUE(TRANSPOSE(_xlfn.MAP(_xlfn.XLOOKUP(A478,'Pinlist(S1)'!$C$4:$C$1362,'Pinlist(S1)'!$F$4:$K$1362,""),_xlfn.LAMBDA(_xlpm.x,IF(_xlpm.x&lt;&gt;"",TRIM(CLEAN(LEFT(_xlpm.x,FIND(".",_xlpm.x &amp; ".")-1))),""))))))</f>
        <v/>
      </c>
      <c r="D478">
        <v>40.628</v>
      </c>
      <c r="E478">
        <v>6.1459999999999999</v>
      </c>
      <c r="F478" t="str">
        <f>_xlfn.LET(_xlpm.raw,_xlfn.XLOOKUP(A478,'Pinlist(S1)'!$C$4:$C$1362,'Pinlist(S1)'!$E$4:$E$1362,""),_xlpm.cleanRaw,SUBSTITUTE(SUBSTITUTE(_xlpm.raw,"_PIN","."),"PIN","."),_xlpm.mainPart,MID(_xlpm.cleanRaw,2,FIND(".",_xlpm.cleanRaw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8" t="str">
        <f>_xlfn.LET(_xlpm.raw,_xlfn.XLOOKUP(A478,'Pinlist(S3)'!$C$4:$C$1362,'Pinlist(S3)'!$E$4:$E$1362,""),_xlpm.cleanRaw,SUBSTITUTE(SUBSTITUTE(_xlpm.raw,"_PIN","."),"PIN","."),_xlpm.mainPart,MID(_xlpm.cleanRaw,2,FIND(".",_xlpm.cleanRaw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8" t="str">
        <f>_xlfn.LET(_xlpm.raw,_xlfn.XLOOKUP(A478,'Pinlist(S5)'!$C$4:$C$1362,'Pinlist(S5)'!$E$4:$E$1362,""),_xlpm.cleanRaw,SUBSTITUTE(SUBSTITUTE(_xlpm.raw,"_PIN","."),"PIN","."),_xlpm.mainPart,MID(_xlpm.cleanRaw,2,FIND(".",_xlpm.cleanRaw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8" t="str">
        <f>""</f>
        <v/>
      </c>
      <c r="J478" t="str">
        <f t="shared" si="7"/>
        <v>L71;VCCGT;;40.628;6.146;;;;</v>
      </c>
    </row>
    <row r="479" spans="1:10">
      <c r="A479" t="s">
        <v>939</v>
      </c>
      <c r="B479" t="str">
        <f>_xlfn.XLOOKUP(A479,'Pinlist(S1)'!$Q$4:$Q$1362,'Pinlist(S1)'!$R$4:$R$1362,"")</f>
        <v>GPP_D_0_SPI1_CSB</v>
      </c>
      <c r="C479" t="str" cm="1">
        <f t="array" ref="C479">_xlfn.TEXTJOIN(",",TRUE,_xlfn.UNIQUE(TRANSPOSE(_xlfn.MAP(_xlfn.XLOOKUP(A479,'Pinlist(S1)'!$C$4:$C$1362,'Pinlist(S1)'!$F$4:$K$1362,""),_xlfn.LAMBDA(_xlpm.x,IF(_xlpm.x&lt;&gt;"",TRIM(CLEAN(LEFT(_xlpm.x,FIND(".",_xlpm.x &amp; ".")-1))),""))))))</f>
        <v/>
      </c>
      <c r="D479">
        <v>0</v>
      </c>
      <c r="E479">
        <v>6.1630000000000003</v>
      </c>
      <c r="F479" t="str">
        <f>_xlfn.LET(_xlpm.raw,_xlfn.XLOOKUP(A479,'Pinlist(S1)'!$C$4:$C$1362,'Pinlist(S1)'!$E$4:$E$1362,""),_xlpm.cleanRaw,SUBSTITUTE(SUBSTITUTE(_xlpm.raw,"_PIN","."),"PIN","."),_xlpm.mainPart,MID(_xlpm.cleanRaw,2,FIND(".",_xlpm.cleanRaw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508064</v>
      </c>
      <c r="G479" t="str">
        <f>_xlfn.LET(_xlpm.raw,_xlfn.XLOOKUP(A479,'Pinlist(S3)'!$C$4:$C$1362,'Pinlist(S3)'!$E$4:$E$1362,""),_xlpm.cleanRaw,SUBSTITUTE(SUBSTITUTE(_xlpm.raw,"_PIN","."),"PIN","."),_xlpm.mainPart,MID(_xlpm.cleanRaw,2,FIND(".",_xlpm.cleanRaw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479" t="str">
        <f>_xlfn.LET(_xlpm.raw,_xlfn.XLOOKUP(A479,'Pinlist(S5)'!$C$4:$C$1362,'Pinlist(S5)'!$E$4:$E$1362,""),_xlpm.cleanRaw,SUBSTITUTE(SUBSTITUTE(_xlpm.raw,"_PIN","."),"PIN","."),_xlpm.mainPart,MID(_xlpm.cleanRaw,2,FIND(".",_xlpm.cleanRaw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702044</v>
      </c>
      <c r="I479" t="str">
        <f>""</f>
        <v/>
      </c>
      <c r="J479" t="str">
        <f t="shared" si="7"/>
        <v>M1;GPP_D_0_SPI1_CSB;;0;6.163;508064;805054;702044;</v>
      </c>
    </row>
    <row r="480" spans="1:10">
      <c r="A480" t="s">
        <v>941</v>
      </c>
      <c r="B480" t="str">
        <f>_xlfn.XLOOKUP(A480,'Pinlist(S1)'!$Q$4:$Q$1362,'Pinlist(S1)'!$R$4:$R$1362,"")</f>
        <v>GPP_D_1_SPI1_CLK</v>
      </c>
      <c r="C480" t="str" cm="1">
        <f t="array" ref="C480">_xlfn.TEXTJOIN(",",TRUE,_xlfn.UNIQUE(TRANSPOSE(_xlfn.MAP(_xlfn.XLOOKUP(A480,'Pinlist(S1)'!$C$4:$C$1362,'Pinlist(S1)'!$F$4:$K$1362,""),_xlfn.LAMBDA(_xlpm.x,IF(_xlpm.x&lt;&gt;"",TRIM(CLEAN(LEFT(_xlpm.x,FIND(".",_xlpm.x &amp; ".")-1))),""))))))</f>
        <v/>
      </c>
      <c r="D480">
        <v>0.64999999999999802</v>
      </c>
      <c r="E480">
        <v>6.1630000000000003</v>
      </c>
      <c r="F480" t="str">
        <f>_xlfn.LET(_xlpm.raw,_xlfn.XLOOKUP(A480,'Pinlist(S1)'!$C$4:$C$1362,'Pinlist(S1)'!$E$4:$E$1362,""),_xlpm.cleanRaw,SUBSTITUTE(SUBSTITUTE(_xlpm.raw,"_PIN","."),"PIN","."),_xlpm.mainPart,MID(_xlpm.cleanRaw,2,FIND(".",_xlpm.cleanRaw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508044</v>
      </c>
      <c r="G480" t="str">
        <f>_xlfn.LET(_xlpm.raw,_xlfn.XLOOKUP(A480,'Pinlist(S3)'!$C$4:$C$1362,'Pinlist(S3)'!$E$4:$E$1362,""),_xlpm.cleanRaw,SUBSTITUTE(SUBSTITUTE(_xlpm.raw,"_PIN","."),"PIN","."),_xlpm.mainPart,MID(_xlpm.cleanRaw,2,FIND(".",_xlpm.cleanRaw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805062</v>
      </c>
      <c r="H480" t="str">
        <f>_xlfn.LET(_xlpm.raw,_xlfn.XLOOKUP(A480,'Pinlist(S5)'!$C$4:$C$1362,'Pinlist(S5)'!$E$4:$E$1362,""),_xlpm.cleanRaw,SUBSTITUTE(SUBSTITUTE(_xlpm.raw,"_PIN","."),"PIN","."),_xlpm.mainPart,MID(_xlpm.cleanRaw,2,FIND(".",_xlpm.cleanRaw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702048</v>
      </c>
      <c r="I480" t="str">
        <f>""</f>
        <v/>
      </c>
      <c r="J480" t="str">
        <f t="shared" si="7"/>
        <v>M2;GPP_D_1_SPI1_CLK;;0.649999999999998;6.163;508044;805062;702048;</v>
      </c>
    </row>
    <row r="481" spans="1:10">
      <c r="A481" t="s">
        <v>963</v>
      </c>
      <c r="B481" t="str">
        <f>_xlfn.XLOOKUP(A481,'Pinlist(S1)'!$Q$4:$Q$1362,'Pinlist(S1)'!$R$4:$R$1362,"")</f>
        <v>GPP_D_2_SPI1_MISO_IO_1</v>
      </c>
      <c r="C481" t="str" cm="1">
        <f t="array" ref="C481">_xlfn.TEXTJOIN(",",TRUE,_xlfn.UNIQUE(TRANSPOSE(_xlfn.MAP(_xlfn.XLOOKUP(A481,'Pinlist(S1)'!$C$4:$C$1362,'Pinlist(S1)'!$F$4:$K$1362,""),_xlfn.LAMBDA(_xlpm.x,IF(_xlpm.x&lt;&gt;"",TRIM(CLEAN(LEFT(_xlpm.x,FIND(".",_xlpm.x &amp; ".")-1))),""))))))</f>
        <v/>
      </c>
      <c r="D481">
        <v>1.2999999999999901</v>
      </c>
      <c r="E481">
        <v>6.1630000000000003</v>
      </c>
      <c r="F481" t="str">
        <f>_xlfn.LET(_xlpm.raw,_xlfn.XLOOKUP(A481,'Pinlist(S1)'!$C$4:$C$1362,'Pinlist(S1)'!$E$4:$E$1362,""),_xlpm.cleanRaw,SUBSTITUTE(SUBSTITUTE(_xlpm.raw,"_PIN","."),"PIN","."),_xlpm.mainPart,MID(_xlpm.cleanRaw,2,FIND(".",_xlpm.cleanRaw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508062</v>
      </c>
      <c r="G481" t="str">
        <f>_xlfn.LET(_xlpm.raw,_xlfn.XLOOKUP(A481,'Pinlist(S3)'!$C$4:$C$1362,'Pinlist(S3)'!$E$4:$E$1362,""),_xlpm.cleanRaw,SUBSTITUTE(SUBSTITUTE(_xlpm.raw,"_PIN","."),"PIN","."),_xlpm.mainPart,MID(_xlpm.cleanRaw,2,FIND(".",_xlpm.cleanRaw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805052</v>
      </c>
      <c r="H481" t="str">
        <f>_xlfn.LET(_xlpm.raw,_xlfn.XLOOKUP(A481,'Pinlist(S5)'!$C$4:$C$1362,'Pinlist(S5)'!$E$4:$E$1362,""),_xlpm.cleanRaw,SUBSTITUTE(SUBSTITUTE(_xlpm.raw,"_PIN","."),"PIN","."),_xlpm.mainPart,MID(_xlpm.cleanRaw,2,FIND(".",_xlpm.cleanRaw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702043</v>
      </c>
      <c r="I481" t="str">
        <f>""</f>
        <v/>
      </c>
      <c r="J481" t="str">
        <f t="shared" si="7"/>
        <v>M3;GPP_D_2_SPI1_MISO_IO_1;;1.29999999999999;6.163;508062;805052;702043;</v>
      </c>
    </row>
    <row r="482" spans="1:10">
      <c r="A482" t="s">
        <v>977</v>
      </c>
      <c r="B482" t="str">
        <f>_xlfn.XLOOKUP(A482,'Pinlist(S1)'!$Q$4:$Q$1362,'Pinlist(S1)'!$R$4:$R$1362,"")</f>
        <v>GPP_D_5_ISH_I2C0_SDA</v>
      </c>
      <c r="C482" t="str" cm="1">
        <f t="array" ref="C482">_xlfn.TEXTJOIN(",",TRUE,_xlfn.UNIQUE(TRANSPOSE(_xlfn.MAP(_xlfn.XLOOKUP(A482,'Pinlist(S1)'!$C$4:$C$1362,'Pinlist(S1)'!$F$4:$K$1362,""),_xlfn.LAMBDA(_xlpm.x,IF(_xlpm.x&lt;&gt;"",TRIM(CLEAN(LEFT(_xlpm.x,FIND(".",_xlpm.x &amp; ".")-1))),""))))))</f>
        <v/>
      </c>
      <c r="D482">
        <v>1.9510000000000001</v>
      </c>
      <c r="E482">
        <v>6.1630000000000003</v>
      </c>
      <c r="F482" t="str">
        <f>_xlfn.LET(_xlpm.raw,_xlfn.XLOOKUP(A482,'Pinlist(S1)'!$C$4:$C$1362,'Pinlist(S1)'!$E$4:$E$1362,""),_xlpm.cleanRaw,SUBSTITUTE(SUBSTITUTE(_xlpm.raw,"_PIN","."),"PIN","."),_xlpm.mainPart,MID(_xlpm.cleanRaw,2,FIND(".",_xlpm.cleanRaw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505046</v>
      </c>
      <c r="G482" t="str">
        <f>_xlfn.LET(_xlpm.raw,_xlfn.XLOOKUP(A482,'Pinlist(S3)'!$C$4:$C$1362,'Pinlist(S3)'!$E$4:$E$1362,""),_xlpm.cleanRaw,SUBSTITUTE(SUBSTITUTE(_xlpm.raw,"_PIN","."),"PIN","."),_xlpm.mainPart,MID(_xlpm.cleanRaw,2,FIND(".",_xlpm.cleanRaw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808064</v>
      </c>
      <c r="H482" t="str">
        <f>_xlfn.LET(_xlpm.raw,_xlfn.XLOOKUP(A482,'Pinlist(S5)'!$C$4:$C$1362,'Pinlist(S5)'!$E$4:$E$1362,""),_xlpm.cleanRaw,SUBSTITUTE(SUBSTITUTE(_xlpm.raw,"_PIN","."),"PIN","."),_xlpm.mainPart,MID(_xlpm.cleanRaw,2,FIND(".",_xlpm.cleanRaw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603111</v>
      </c>
      <c r="I482" t="str">
        <f>""</f>
        <v/>
      </c>
      <c r="J482" t="str">
        <f t="shared" si="7"/>
        <v>M4;GPP_D_5_ISH_I2C0_SDA;;1.951;6.163;505046;808064;603111;</v>
      </c>
    </row>
    <row r="483" spans="1:10">
      <c r="A483" t="s">
        <v>1695</v>
      </c>
      <c r="B483" t="str">
        <f>_xlfn.XLOOKUP(A483,'Pinlist(S1)'!$Q$4:$Q$1362,'Pinlist(S1)'!$R$4:$R$1362,"")</f>
        <v>VCCGT</v>
      </c>
      <c r="C483" t="str" cm="1">
        <f t="array" ref="C483">_xlfn.TEXTJOIN(",",TRUE,_xlfn.UNIQUE(TRANSPOSE(_xlfn.MAP(_xlfn.XLOOKUP(A483,'Pinlist(S1)'!$C$4:$C$1362,'Pinlist(S1)'!$F$4:$K$1362,""),_xlfn.LAMBDA(_xlpm.x,IF(_xlpm.x&lt;&gt;"",TRIM(CLEAN(LEFT(_xlpm.x,FIND(".",_xlpm.x &amp; ".")-1))),""))))))</f>
        <v/>
      </c>
      <c r="D483">
        <v>34.957999999999998</v>
      </c>
      <c r="E483">
        <v>6.6039999999999903</v>
      </c>
      <c r="F483" t="str">
        <f>_xlfn.LET(_xlpm.raw,_xlfn.XLOOKUP(A483,'Pinlist(S1)'!$C$4:$C$1362,'Pinlist(S1)'!$E$4:$E$1362,""),_xlpm.cleanRaw,SUBSTITUTE(SUBSTITUTE(_xlpm.raw,"_PIN","."),"PIN","."),_xlpm.mainPart,MID(_xlpm.cleanRaw,2,FIND(".",_xlpm.cleanRaw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3" t="str">
        <f>_xlfn.LET(_xlpm.raw,_xlfn.XLOOKUP(A483,'Pinlist(S3)'!$C$4:$C$1362,'Pinlist(S3)'!$E$4:$E$1362,""),_xlpm.cleanRaw,SUBSTITUTE(SUBSTITUTE(_xlpm.raw,"_PIN","."),"PIN","."),_xlpm.mainPart,MID(_xlpm.cleanRaw,2,FIND(".",_xlpm.cleanRaw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3" t="str">
        <f>_xlfn.LET(_xlpm.raw,_xlfn.XLOOKUP(A483,'Pinlist(S5)'!$C$4:$C$1362,'Pinlist(S5)'!$E$4:$E$1362,""),_xlpm.cleanRaw,SUBSTITUTE(SUBSTITUTE(_xlpm.raw,"_PIN","."),"PIN","."),_xlpm.mainPart,MID(_xlpm.cleanRaw,2,FIND(".",_xlpm.cleanRaw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83" t="str">
        <f>""</f>
        <v/>
      </c>
      <c r="J483" t="str">
        <f t="shared" si="7"/>
        <v>M62;VCCGT;;34.958;6.60399999999999;;;;</v>
      </c>
    </row>
    <row r="484" spans="1:10">
      <c r="A484" t="s">
        <v>981</v>
      </c>
      <c r="B484" t="str">
        <f>_xlfn.XLOOKUP(A484,'Pinlist(S1)'!$Q$4:$Q$1362,'Pinlist(S1)'!$R$4:$R$1362,"")</f>
        <v>GPP_D_7_ISH_I2C1_SDA</v>
      </c>
      <c r="C484" t="str" cm="1">
        <f t="array" ref="C484">_xlfn.TEXTJOIN(",",TRUE,_xlfn.UNIQUE(TRANSPOSE(_xlfn.MAP(_xlfn.XLOOKUP(A484,'Pinlist(S1)'!$C$4:$C$1362,'Pinlist(S1)'!$F$4:$K$1362,""),_xlfn.LAMBDA(_xlpm.x,IF(_xlpm.x&lt;&gt;"",TRIM(CLEAN(LEFT(_xlpm.x,FIND(".",_xlpm.x &amp; ".")-1))),""))))))</f>
        <v/>
      </c>
      <c r="D484">
        <v>0.32500000000000201</v>
      </c>
      <c r="E484">
        <v>6.8259999999999996</v>
      </c>
      <c r="F484" t="str">
        <f>_xlfn.LET(_xlpm.raw,_xlfn.XLOOKUP(A484,'Pinlist(S1)'!$C$4:$C$1362,'Pinlist(S1)'!$E$4:$E$1362,""),_xlpm.cleanRaw,SUBSTITUTE(SUBSTITUTE(_xlpm.raw,"_PIN","."),"PIN","."),_xlpm.mainPart,MID(_xlpm.cleanRaw,2,FIND(".",_xlpm.cleanRaw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504111</v>
      </c>
      <c r="G484" t="str">
        <f>_xlfn.LET(_xlpm.raw,_xlfn.XLOOKUP(A484,'Pinlist(S3)'!$C$4:$C$1362,'Pinlist(S3)'!$E$4:$E$1362,""),_xlpm.cleanRaw,SUBSTITUTE(SUBSTITUTE(_xlpm.raw,"_PIN","."),"PIN","."),_xlpm.mainPart,MID(_xlpm.cleanRaw,2,FIND(".",_xlpm.cleanRaw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809110</v>
      </c>
      <c r="H484" t="str">
        <f>_xlfn.LET(_xlpm.raw,_xlfn.XLOOKUP(A484,'Pinlist(S5)'!$C$4:$C$1362,'Pinlist(S5)'!$E$4:$E$1362,""),_xlpm.cleanRaw,SUBSTITUTE(SUBSTITUTE(_xlpm.raw,"_PIN","."),"PIN","."),_xlpm.mainPart,MID(_xlpm.cleanRaw,2,FIND(".",_xlpm.cleanRaw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603121</v>
      </c>
      <c r="I484" t="str">
        <f>""</f>
        <v/>
      </c>
      <c r="J484" t="str">
        <f t="shared" si="7"/>
        <v>N1;GPP_D_7_ISH_I2C1_SDA;;0.325000000000002;6.826;504111;809110;603121;</v>
      </c>
    </row>
    <row r="485" spans="1:10">
      <c r="A485" t="s">
        <v>983</v>
      </c>
      <c r="B485" t="str">
        <f>_xlfn.XLOOKUP(A485,'Pinlist(S1)'!$Q$4:$Q$1362,'Pinlist(S1)'!$R$4:$R$1362,"")</f>
        <v>GPP_D_8_ISH_I2C1_SCL</v>
      </c>
      <c r="C485" t="str" cm="1">
        <f t="array" ref="C485">_xlfn.TEXTJOIN(",",TRUE,_xlfn.UNIQUE(TRANSPOSE(_xlfn.MAP(_xlfn.XLOOKUP(A485,'Pinlist(S1)'!$C$4:$C$1362,'Pinlist(S1)'!$F$4:$K$1362,""),_xlfn.LAMBDA(_xlpm.x,IF(_xlpm.x&lt;&gt;"",TRIM(CLEAN(LEFT(_xlpm.x,FIND(".",_xlpm.x &amp; ".")-1))),""))))))</f>
        <v/>
      </c>
      <c r="D485">
        <v>0.97500000000000098</v>
      </c>
      <c r="E485">
        <v>6.8259999999999996</v>
      </c>
      <c r="F485" t="str">
        <f>_xlfn.LET(_xlpm.raw,_xlfn.XLOOKUP(A485,'Pinlist(S1)'!$C$4:$C$1362,'Pinlist(S1)'!$E$4:$E$1362,""),_xlpm.cleanRaw,SUBSTITUTE(SUBSTITUTE(_xlpm.raw,"_PIN","."),"PIN","."),_xlpm.mainPart,MID(_xlpm.cleanRaw,2,FIND(".",_xlpm.cleanRaw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506020</v>
      </c>
      <c r="G485" t="str">
        <f>_xlfn.LET(_xlpm.raw,_xlfn.XLOOKUP(A485,'Pinlist(S3)'!$C$4:$C$1362,'Pinlist(S3)'!$E$4:$E$1362,""),_xlpm.cleanRaw,SUBSTITUTE(SUBSTITUTE(_xlpm.raw,"_PIN","."),"PIN","."),_xlpm.mainPart,MID(_xlpm.cleanRaw,2,FIND(".",_xlpm.cleanRaw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808072</v>
      </c>
      <c r="H485" t="str">
        <f>_xlfn.LET(_xlpm.raw,_xlfn.XLOOKUP(A485,'Pinlist(S5)'!$C$4:$C$1362,'Pinlist(S5)'!$E$4:$E$1362,""),_xlpm.cleanRaw,SUBSTITUTE(SUBSTITUTE(_xlpm.raw,"_PIN","."),"PIN","."),_xlpm.mainPart,MID(_xlpm.cleanRaw,2,FIND(".",_xlpm.cleanRaw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602045</v>
      </c>
      <c r="I485" t="str">
        <f>""</f>
        <v/>
      </c>
      <c r="J485" t="str">
        <f t="shared" si="7"/>
        <v>N2;GPP_D_8_ISH_I2C1_SCL;;0.975000000000001;6.826;506020;808072;602045;</v>
      </c>
    </row>
    <row r="486" spans="1:10">
      <c r="A486" t="s">
        <v>979</v>
      </c>
      <c r="B486" t="str">
        <f>_xlfn.XLOOKUP(A486,'Pinlist(S1)'!$Q$4:$Q$1362,'Pinlist(S1)'!$R$4:$R$1362,"")</f>
        <v>GPP_D_6_ISH_I2C0_SCL</v>
      </c>
      <c r="C486" t="str" cm="1">
        <f t="array" ref="C486">_xlfn.TEXTJOIN(",",TRUE,_xlfn.UNIQUE(TRANSPOSE(_xlfn.MAP(_xlfn.XLOOKUP(A486,'Pinlist(S1)'!$C$4:$C$1362,'Pinlist(S1)'!$F$4:$K$1362,""),_xlfn.LAMBDA(_xlpm.x,IF(_xlpm.x&lt;&gt;"",TRIM(CLEAN(LEFT(_xlpm.x,FIND(".",_xlpm.x &amp; ".")-1))),""))))))</f>
        <v/>
      </c>
      <c r="D486">
        <v>1.625</v>
      </c>
      <c r="E486">
        <v>6.8259999999999996</v>
      </c>
      <c r="F486" t="str">
        <f>_xlfn.LET(_xlpm.raw,_xlfn.XLOOKUP(A486,'Pinlist(S1)'!$C$4:$C$1362,'Pinlist(S1)'!$E$4:$E$1362,""),_xlpm.cleanRaw,SUBSTITUTE(SUBSTITUTE(_xlpm.raw,"_PIN","."),"PIN","."),_xlpm.mainPart,MID(_xlpm.cleanRaw,2,FIND(".",_xlpm.cleanRaw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505057</v>
      </c>
      <c r="G486" t="str">
        <f>_xlfn.LET(_xlpm.raw,_xlfn.XLOOKUP(A486,'Pinlist(S3)'!$C$4:$C$1362,'Pinlist(S3)'!$E$4:$E$1362,""),_xlpm.cleanRaw,SUBSTITUTE(SUBSTITUTE(_xlpm.raw,"_PIN","."),"PIN","."),_xlpm.mainPart,MID(_xlpm.cleanRaw,2,FIND(".",_xlpm.cleanRaw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808063</v>
      </c>
      <c r="H486" t="str">
        <f>_xlfn.LET(_xlpm.raw,_xlfn.XLOOKUP(A486,'Pinlist(S5)'!$C$4:$C$1362,'Pinlist(S5)'!$E$4:$E$1362,""),_xlpm.cleanRaw,SUBSTITUTE(SUBSTITUTE(_xlpm.raw,"_PIN","."),"PIN","."),_xlpm.mainPart,MID(_xlpm.cleanRaw,2,FIND(".",_xlpm.cleanRaw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602059</v>
      </c>
      <c r="I486" t="str">
        <f>""</f>
        <v/>
      </c>
      <c r="J486" t="str">
        <f t="shared" si="7"/>
        <v>N3;GPP_D_6_ISH_I2C0_SCL;;1.625;6.826;505057;808063;602059;</v>
      </c>
    </row>
    <row r="487" spans="1:10">
      <c r="A487" t="s">
        <v>2212</v>
      </c>
      <c r="B487" t="str">
        <f>_xlfn.XLOOKUP(A487,'Pinlist(S1)'!$Q$4:$Q$1362,'Pinlist(S1)'!$R$4:$R$1362,"")</f>
        <v>VSS</v>
      </c>
      <c r="C487" t="str" cm="1">
        <f t="array" ref="C487">_xlfn.TEXTJOIN(",",TRUE,_xlfn.UNIQUE(TRANSPOSE(_xlfn.MAP(_xlfn.XLOOKUP(A487,'Pinlist(S1)'!$C$4:$C$1362,'Pinlist(S1)'!$F$4:$K$1362,""),_xlfn.LAMBDA(_xlpm.x,IF(_xlpm.x&lt;&gt;"",TRIM(CLEAN(LEFT(_xlpm.x,FIND(".",_xlpm.x &amp; ".")-1))),""))))))</f>
        <v/>
      </c>
      <c r="D487">
        <v>2.7289999999999899</v>
      </c>
      <c r="E487">
        <v>6.9139999999999997</v>
      </c>
      <c r="F487" t="str">
        <f>_xlfn.LET(_xlpm.raw,_xlfn.XLOOKUP(A487,'Pinlist(S1)'!$C$4:$C$1362,'Pinlist(S1)'!$E$4:$E$1362,""),_xlpm.cleanRaw,SUBSTITUTE(SUBSTITUTE(_xlpm.raw,"_PIN","."),"PIN","."),_xlpm.mainPart,MID(_xlpm.cleanRaw,2,FIND(".",_xlpm.cleanRaw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7" t="str">
        <f>_xlfn.LET(_xlpm.raw,_xlfn.XLOOKUP(A487,'Pinlist(S3)'!$C$4:$C$1362,'Pinlist(S3)'!$E$4:$E$1362,""),_xlpm.cleanRaw,SUBSTITUTE(SUBSTITUTE(_xlpm.raw,"_PIN","."),"PIN","."),_xlpm.mainPart,MID(_xlpm.cleanRaw,2,FIND(".",_xlpm.cleanRaw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7" t="str">
        <f>_xlfn.LET(_xlpm.raw,_xlfn.XLOOKUP(A487,'Pinlist(S5)'!$C$4:$C$1362,'Pinlist(S5)'!$E$4:$E$1362,""),_xlpm.cleanRaw,SUBSTITUTE(SUBSTITUTE(_xlpm.raw,"_PIN","."),"PIN","."),_xlpm.mainPart,MID(_xlpm.cleanRaw,2,FIND(".",_xlpm.cleanRaw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87" t="str">
        <f>""</f>
        <v/>
      </c>
      <c r="J487" t="str">
        <f t="shared" si="7"/>
        <v>N6;VSS;;2.72899999999999;6.914;;;;</v>
      </c>
    </row>
    <row r="488" spans="1:10">
      <c r="A488" t="s">
        <v>1016</v>
      </c>
      <c r="B488" t="str">
        <f>_xlfn.XLOOKUP(A488,'Pinlist(S1)'!$Q$4:$Q$1362,'Pinlist(S1)'!$R$4:$R$1362,"")</f>
        <v>GPP_E_20_DDPC_CTRLCLK</v>
      </c>
      <c r="C488" t="str" cm="1">
        <f t="array" ref="C488">_xlfn.TEXTJOIN(",",TRUE,_xlfn.UNIQUE(TRANSPOSE(_xlfn.MAP(_xlfn.XLOOKUP(A488,'Pinlist(S1)'!$C$4:$C$1362,'Pinlist(S1)'!$F$4:$K$1362,""),_xlfn.LAMBDA(_xlpm.x,IF(_xlpm.x&lt;&gt;"",TRIM(CLEAN(LEFT(_xlpm.x,FIND(".",_xlpm.x &amp; ".")-1))),""))))))</f>
        <v>KA109</v>
      </c>
      <c r="D488">
        <v>3.379</v>
      </c>
      <c r="E488">
        <v>6.9139999999999997</v>
      </c>
      <c r="F488" t="str">
        <f>_xlfn.LET(_xlpm.raw,_xlfn.XLOOKUP(A488,'Pinlist(S1)'!$C$4:$C$1362,'Pinlist(S1)'!$E$4:$E$1362,""),_xlpm.cleanRaw,SUBSTITUTE(SUBSTITUTE(_xlpm.raw,"_PIN","."),"PIN","."),_xlpm.mainPart,MID(_xlpm.cleanRaw,2,FIND(".",_xlpm.cleanRaw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88" t="str">
        <f>_xlfn.LET(_xlpm.raw,_xlfn.XLOOKUP(A488,'Pinlist(S3)'!$C$4:$C$1362,'Pinlist(S3)'!$E$4:$E$1362,""),_xlpm.cleanRaw,SUBSTITUTE(SUBSTITUTE(_xlpm.raw,"_PIN","."),"PIN","."),_xlpm.mainPart,MID(_xlpm.cleanRaw,2,FIND(".",_xlpm.cleanRaw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88" t="str">
        <f>_xlfn.LET(_xlpm.raw,_xlfn.XLOOKUP(A488,'Pinlist(S5)'!$C$4:$C$1362,'Pinlist(S5)'!$E$4:$E$1362,""),_xlpm.cleanRaw,SUBSTITUTE(SUBSTITUTE(_xlpm.raw,"_PIN","."),"PIN","."),_xlpm.mainPart,MID(_xlpm.cleanRaw,2,FIND(".",_xlpm.cleanRaw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88" t="str">
        <f>""</f>
        <v/>
      </c>
      <c r="J488" t="str">
        <f t="shared" si="7"/>
        <v>N7;GPP_E_20_DDPC_CTRLCLK;KA109;3.379;6.914;507097;805080;603119;</v>
      </c>
    </row>
    <row r="489" spans="1:10">
      <c r="A489" t="s">
        <v>1018</v>
      </c>
      <c r="B489" t="str">
        <f>_xlfn.XLOOKUP(A489,'Pinlist(S1)'!$Q$4:$Q$1362,'Pinlist(S1)'!$R$4:$R$1362,"")</f>
        <v>GPP_E_21_DDPC_CTRLDATA</v>
      </c>
      <c r="C489" t="str" cm="1">
        <f t="array" ref="C489">_xlfn.TEXTJOIN(",",TRUE,_xlfn.UNIQUE(TRANSPOSE(_xlfn.MAP(_xlfn.XLOOKUP(A489,'Pinlist(S1)'!$C$4:$C$1362,'Pinlist(S1)'!$F$4:$K$1362,""),_xlfn.LAMBDA(_xlpm.x,IF(_xlpm.x&lt;&gt;"",TRIM(CLEAN(LEFT(_xlpm.x,FIND(".",_xlpm.x &amp; ".")-1))),""))))))</f>
        <v>KA109</v>
      </c>
      <c r="D489">
        <v>4.0289999999999901</v>
      </c>
      <c r="E489">
        <v>6.9139999999999997</v>
      </c>
      <c r="F489" t="str">
        <f>_xlfn.LET(_xlpm.raw,_xlfn.XLOOKUP(A489,'Pinlist(S1)'!$C$4:$C$1362,'Pinlist(S1)'!$E$4:$E$1362,""),_xlpm.cleanRaw,SUBSTITUTE(SUBSTITUTE(_xlpm.raw,"_PIN","."),"PIN","."),_xlpm.mainPart,MID(_xlpm.cleanRaw,2,FIND(".",_xlpm.cleanRaw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89" t="str">
        <f>_xlfn.LET(_xlpm.raw,_xlfn.XLOOKUP(A489,'Pinlist(S3)'!$C$4:$C$1362,'Pinlist(S3)'!$E$4:$E$1362,""),_xlpm.cleanRaw,SUBSTITUTE(SUBSTITUTE(_xlpm.raw,"_PIN","."),"PIN","."),_xlpm.mainPart,MID(_xlpm.cleanRaw,2,FIND(".",_xlpm.cleanRaw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89" t="str">
        <f>_xlfn.LET(_xlpm.raw,_xlfn.XLOOKUP(A489,'Pinlist(S5)'!$C$4:$C$1362,'Pinlist(S5)'!$E$4:$E$1362,""),_xlpm.cleanRaw,SUBSTITUTE(SUBSTITUTE(_xlpm.raw,"_PIN","."),"PIN","."),_xlpm.mainPart,MID(_xlpm.cleanRaw,2,FIND(".",_xlpm.cleanRaw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89" t="str">
        <f>""</f>
        <v/>
      </c>
      <c r="J489" t="str">
        <f t="shared" si="7"/>
        <v>N8;GPP_E_21_DDPC_CTRLDATA;KA109;4.02899999999999;6.914;507103;805082;602058;</v>
      </c>
    </row>
    <row r="490" spans="1:10">
      <c r="A490" t="s">
        <v>1004</v>
      </c>
      <c r="B490" t="str">
        <f>_xlfn.XLOOKUP(A490,'Pinlist(S1)'!$Q$4:$Q$1362,'Pinlist(S1)'!$R$4:$R$1362,"")</f>
        <v>GPP_E_16_DDSP_HPD_3</v>
      </c>
      <c r="C490" t="str" cm="1">
        <f t="array" ref="C490">_xlfn.TEXTJOIN(",",TRUE,_xlfn.UNIQUE(TRANSPOSE(_xlfn.MAP(_xlfn.XLOOKUP(A490,'Pinlist(S1)'!$C$4:$C$1362,'Pinlist(S1)'!$F$4:$K$1362,""),_xlfn.LAMBDA(_xlpm.x,IF(_xlpm.x&lt;&gt;"",TRIM(CLEAN(LEFT(_xlpm.x,FIND(".",_xlpm.x &amp; ".")-1))),""))))))</f>
        <v/>
      </c>
      <c r="D490">
        <v>4.6790000000000003</v>
      </c>
      <c r="E490">
        <v>6.9139999999999997</v>
      </c>
      <c r="F490" t="str">
        <f>_xlfn.LET(_xlpm.raw,_xlfn.XLOOKUP(A490,'Pinlist(S1)'!$C$4:$C$1362,'Pinlist(S1)'!$E$4:$E$1362,""),_xlpm.cleanRaw,SUBSTITUTE(SUBSTITUTE(_xlpm.raw,"_PIN","."),"PIN","."),_xlpm.mainPart,MID(_xlpm.cleanRaw,2,FIND(".",_xlpm.cleanRaw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90" t="str">
        <f>_xlfn.LET(_xlpm.raw,_xlfn.XLOOKUP(A490,'Pinlist(S3)'!$C$4:$C$1362,'Pinlist(S3)'!$E$4:$E$1362,""),_xlpm.cleanRaw,SUBSTITUTE(SUBSTITUTE(_xlpm.raw,"_PIN","."),"PIN","."),_xlpm.mainPart,MID(_xlpm.cleanRaw,2,FIND(".",_xlpm.cleanRaw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90" t="str">
        <f>_xlfn.LET(_xlpm.raw,_xlfn.XLOOKUP(A490,'Pinlist(S5)'!$C$4:$C$1362,'Pinlist(S5)'!$E$4:$E$1362,""),_xlpm.cleanRaw,SUBSTITUTE(SUBSTITUTE(_xlpm.raw,"_PIN","."),"PIN","."),_xlpm.mainPart,MID(_xlpm.cleanRaw,2,FIND(".",_xlpm.cleanRaw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90" t="str">
        <f>""</f>
        <v/>
      </c>
      <c r="J490" t="str">
        <f t="shared" si="7"/>
        <v>N9;GPP_E_16_DDSP_HPD_3;;4.679;6.914;505065;807005;602068;</v>
      </c>
    </row>
    <row r="491" spans="1:10">
      <c r="A491" t="s">
        <v>2208</v>
      </c>
      <c r="B491" t="str">
        <f>_xlfn.XLOOKUP(A491,'Pinlist(S1)'!$Q$4:$Q$1362,'Pinlist(S1)'!$R$4:$R$1362,"")</f>
        <v>VSS</v>
      </c>
      <c r="C491" t="str" cm="1">
        <f t="array" ref="C491">_xlfn.TEXTJOIN(",",TRUE,_xlfn.UNIQUE(TRANSPOSE(_xlfn.MAP(_xlfn.XLOOKUP(A491,'Pinlist(S1)'!$C$4:$C$1362,'Pinlist(S1)'!$F$4:$K$1362,""),_xlfn.LAMBDA(_xlpm.x,IF(_xlpm.x&lt;&gt;"",TRIM(CLEAN(LEFT(_xlpm.x,FIND(".",_xlpm.x &amp; ".")-1))),""))))))</f>
        <v/>
      </c>
      <c r="D491">
        <v>5.3289999999999997</v>
      </c>
      <c r="E491">
        <v>6.9139999999999997</v>
      </c>
      <c r="F491" t="str">
        <f>_xlfn.LET(_xlpm.raw,_xlfn.XLOOKUP(A491,'Pinlist(S1)'!$C$4:$C$1362,'Pinlist(S1)'!$E$4:$E$1362,""),_xlpm.cleanRaw,SUBSTITUTE(SUBSTITUTE(_xlpm.raw,"_PIN","."),"PIN","."),_xlpm.mainPart,MID(_xlpm.cleanRaw,2,FIND(".",_xlpm.cleanRaw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1" t="str">
        <f>_xlfn.LET(_xlpm.raw,_xlfn.XLOOKUP(A491,'Pinlist(S3)'!$C$4:$C$1362,'Pinlist(S3)'!$E$4:$E$1362,""),_xlpm.cleanRaw,SUBSTITUTE(SUBSTITUTE(_xlpm.raw,"_PIN","."),"PIN","."),_xlpm.mainPart,MID(_xlpm.cleanRaw,2,FIND(".",_xlpm.cleanRaw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1" t="str">
        <f>_xlfn.LET(_xlpm.raw,_xlfn.XLOOKUP(A491,'Pinlist(S5)'!$C$4:$C$1362,'Pinlist(S5)'!$E$4:$E$1362,""),_xlpm.cleanRaw,SUBSTITUTE(SUBSTITUTE(_xlpm.raw,"_PIN","."),"PIN","."),_xlpm.mainPart,MID(_xlpm.cleanRaw,2,FIND(".",_xlpm.cleanRaw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1" t="str">
        <f>""</f>
        <v/>
      </c>
      <c r="J491" t="str">
        <f t="shared" si="7"/>
        <v>N10;VSS;;5.329;6.914;;;;</v>
      </c>
    </row>
    <row r="492" spans="1:10">
      <c r="A492" t="s">
        <v>1020</v>
      </c>
      <c r="B492" t="str">
        <f>_xlfn.XLOOKUP(A492,'Pinlist(S1)'!$Q$4:$Q$1362,'Pinlist(S1)'!$R$4:$R$1362,"")</f>
        <v>GPP_E_22_DDPD_CTRLCLK</v>
      </c>
      <c r="C492" t="str" cm="1">
        <f t="array" ref="C492">_xlfn.TEXTJOIN(",",TRUE,_xlfn.UNIQUE(TRANSPOSE(_xlfn.MAP(_xlfn.XLOOKUP(A492,'Pinlist(S1)'!$C$4:$C$1362,'Pinlist(S1)'!$F$4:$K$1362,""),_xlfn.LAMBDA(_xlpm.x,IF(_xlpm.x&lt;&gt;"",TRIM(CLEAN(LEFT(_xlpm.x,FIND(".",_xlpm.x &amp; ".")-1))),""))))))</f>
        <v>KA109</v>
      </c>
      <c r="D492">
        <v>5.98</v>
      </c>
      <c r="E492">
        <v>6.9139999999999997</v>
      </c>
      <c r="F492" t="str">
        <f>_xlfn.LET(_xlpm.raw,_xlfn.XLOOKUP(A492,'Pinlist(S1)'!$C$4:$C$1362,'Pinlist(S1)'!$E$4:$E$1362,""),_xlpm.cleanRaw,SUBSTITUTE(SUBSTITUTE(_xlpm.raw,"_PIN","."),"PIN","."),_xlpm.mainPart,MID(_xlpm.cleanRaw,2,FIND(".",_xlpm.cleanRaw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92" t="str">
        <f>_xlfn.LET(_xlpm.raw,_xlfn.XLOOKUP(A492,'Pinlist(S3)'!$C$4:$C$1362,'Pinlist(S3)'!$E$4:$E$1362,""),_xlpm.cleanRaw,SUBSTITUTE(SUBSTITUTE(_xlpm.raw,"_PIN","."),"PIN","."),_xlpm.mainPart,MID(_xlpm.cleanRaw,2,FIND(".",_xlpm.cleanRaw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92" t="str">
        <f>_xlfn.LET(_xlpm.raw,_xlfn.XLOOKUP(A492,'Pinlist(S5)'!$C$4:$C$1362,'Pinlist(S5)'!$E$4:$E$1362,""),_xlpm.cleanRaw,SUBSTITUTE(SUBSTITUTE(_xlpm.raw,"_PIN","."),"PIN","."),_xlpm.mainPart,MID(_xlpm.cleanRaw,2,FIND(".",_xlpm.cleanRaw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92" t="str">
        <f>""</f>
        <v/>
      </c>
      <c r="J492" t="str">
        <f t="shared" si="7"/>
        <v>N11;GPP_E_22_DDPD_CTRLCLK;KA109;5.98;6.914;507097;805080;603119;</v>
      </c>
    </row>
    <row r="493" spans="1:10">
      <c r="A493" t="s">
        <v>1022</v>
      </c>
      <c r="B493" t="str">
        <f>_xlfn.XLOOKUP(A493,'Pinlist(S1)'!$Q$4:$Q$1362,'Pinlist(S1)'!$R$4:$R$1362,"")</f>
        <v>GPP_E_23_DDPD_CTRLDATA</v>
      </c>
      <c r="C493" t="str" cm="1">
        <f t="array" ref="C493">_xlfn.TEXTJOIN(",",TRUE,_xlfn.UNIQUE(TRANSPOSE(_xlfn.MAP(_xlfn.XLOOKUP(A493,'Pinlist(S1)'!$C$4:$C$1362,'Pinlist(S1)'!$F$4:$K$1362,""),_xlfn.LAMBDA(_xlpm.x,IF(_xlpm.x&lt;&gt;"",TRIM(CLEAN(LEFT(_xlpm.x,FIND(".",_xlpm.x &amp; ".")-1))),""))))))</f>
        <v>KA109</v>
      </c>
      <c r="D493">
        <v>6.63</v>
      </c>
      <c r="E493">
        <v>6.9139999999999997</v>
      </c>
      <c r="F493" t="str">
        <f>_xlfn.LET(_xlpm.raw,_xlfn.XLOOKUP(A493,'Pinlist(S1)'!$C$4:$C$1362,'Pinlist(S1)'!$E$4:$E$1362,""),_xlpm.cleanRaw,SUBSTITUTE(SUBSTITUTE(_xlpm.raw,"_PIN","."),"PIN","."),_xlpm.mainPart,MID(_xlpm.cleanRaw,2,FIND(".",_xlpm.cleanRaw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93" t="str">
        <f>_xlfn.LET(_xlpm.raw,_xlfn.XLOOKUP(A493,'Pinlist(S3)'!$C$4:$C$1362,'Pinlist(S3)'!$E$4:$E$1362,""),_xlpm.cleanRaw,SUBSTITUTE(SUBSTITUTE(_xlpm.raw,"_PIN","."),"PIN","."),_xlpm.mainPart,MID(_xlpm.cleanRaw,2,FIND(".",_xlpm.cleanRaw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93" t="str">
        <f>_xlfn.LET(_xlpm.raw,_xlfn.XLOOKUP(A493,'Pinlist(S5)'!$C$4:$C$1362,'Pinlist(S5)'!$E$4:$E$1362,""),_xlpm.cleanRaw,SUBSTITUTE(SUBSTITUTE(_xlpm.raw,"_PIN","."),"PIN","."),_xlpm.mainPart,MID(_xlpm.cleanRaw,2,FIND(".",_xlpm.cleanRaw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93" t="str">
        <f>""</f>
        <v/>
      </c>
      <c r="J493" t="str">
        <f t="shared" si="7"/>
        <v>N12;GPP_E_23_DDPD_CTRLDATA;KA109;6.63;6.914;507103;805082;602058;</v>
      </c>
    </row>
    <row r="494" spans="1:10">
      <c r="A494" t="s">
        <v>2209</v>
      </c>
      <c r="B494" t="str">
        <f>_xlfn.XLOOKUP(A494,'Pinlist(S1)'!$Q$4:$Q$1362,'Pinlist(S1)'!$R$4:$R$1362,"")</f>
        <v>VSS</v>
      </c>
      <c r="C494" t="str" cm="1">
        <f t="array" ref="C494">_xlfn.TEXTJOIN(",",TRUE,_xlfn.UNIQUE(TRANSPOSE(_xlfn.MAP(_xlfn.XLOOKUP(A494,'Pinlist(S1)'!$C$4:$C$1362,'Pinlist(S1)'!$F$4:$K$1362,""),_xlfn.LAMBDA(_xlpm.x,IF(_xlpm.x&lt;&gt;"",TRIM(CLEAN(LEFT(_xlpm.x,FIND(".",_xlpm.x &amp; ".")-1))),""))))))</f>
        <v/>
      </c>
      <c r="D494">
        <v>7.28</v>
      </c>
      <c r="E494">
        <v>6.9139999999999997</v>
      </c>
      <c r="F494" t="str">
        <f>_xlfn.LET(_xlpm.raw,_xlfn.XLOOKUP(A494,'Pinlist(S1)'!$C$4:$C$1362,'Pinlist(S1)'!$E$4:$E$1362,""),_xlpm.cleanRaw,SUBSTITUTE(SUBSTITUTE(_xlpm.raw,"_PIN","."),"PIN","."),_xlpm.mainPart,MID(_xlpm.cleanRaw,2,FIND(".",_xlpm.cleanRaw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4" t="str">
        <f>_xlfn.LET(_xlpm.raw,_xlfn.XLOOKUP(A494,'Pinlist(S3)'!$C$4:$C$1362,'Pinlist(S3)'!$E$4:$E$1362,""),_xlpm.cleanRaw,SUBSTITUTE(SUBSTITUTE(_xlpm.raw,"_PIN","."),"PIN","."),_xlpm.mainPart,MID(_xlpm.cleanRaw,2,FIND(".",_xlpm.cleanRaw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4" t="str">
        <f>_xlfn.LET(_xlpm.raw,_xlfn.XLOOKUP(A494,'Pinlist(S5)'!$C$4:$C$1362,'Pinlist(S5)'!$E$4:$E$1362,""),_xlpm.cleanRaw,SUBSTITUTE(SUBSTITUTE(_xlpm.raw,"_PIN","."),"PIN","."),_xlpm.mainPart,MID(_xlpm.cleanRaw,2,FIND(".",_xlpm.cleanRaw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4" t="str">
        <f>""</f>
        <v/>
      </c>
      <c r="J494" t="str">
        <f t="shared" si="7"/>
        <v>N13;VSS;;7.28;6.914;;;;</v>
      </c>
    </row>
    <row r="495" spans="1:10">
      <c r="A495" t="s">
        <v>1779</v>
      </c>
      <c r="B495" t="str">
        <f>_xlfn.XLOOKUP(A495,'Pinlist(S1)'!$Q$4:$Q$1362,'Pinlist(S1)'!$R$4:$R$1362,"")</f>
        <v>VCCMPHYGTAON_1P0</v>
      </c>
      <c r="C495" t="str" cm="1">
        <f t="array" ref="C495">_xlfn.TEXTJOIN(",",TRUE,_xlfn.UNIQUE(TRANSPOSE(_xlfn.MAP(_xlfn.XLOOKUP(A495,'Pinlist(S1)'!$C$4:$C$1362,'Pinlist(S1)'!$F$4:$K$1362,""),_xlfn.LAMBDA(_xlpm.x,IF(_xlpm.x&lt;&gt;"",TRIM(CLEAN(LEFT(_xlpm.x,FIND(".",_xlpm.x &amp; ".")-1))),""))))))</f>
        <v/>
      </c>
      <c r="D495">
        <v>8.1259999999999906</v>
      </c>
      <c r="E495">
        <v>7.1139999999999999</v>
      </c>
      <c r="F495" t="str">
        <f>_xlfn.LET(_xlpm.raw,_xlfn.XLOOKUP(A495,'Pinlist(S1)'!$C$4:$C$1362,'Pinlist(S1)'!$E$4:$E$1362,""),_xlpm.cleanRaw,SUBSTITUTE(SUBSTITUTE(_xlpm.raw,"_PIN","."),"PIN","."),_xlpm.mainPart,MID(_xlpm.cleanRaw,2,FIND(".",_xlpm.cleanRaw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5" t="str">
        <f>_xlfn.LET(_xlpm.raw,_xlfn.XLOOKUP(A495,'Pinlist(S3)'!$C$4:$C$1362,'Pinlist(S3)'!$E$4:$E$1362,""),_xlpm.cleanRaw,SUBSTITUTE(SUBSTITUTE(_xlpm.raw,"_PIN","."),"PIN","."),_xlpm.mainPart,MID(_xlpm.cleanRaw,2,FIND(".",_xlpm.cleanRaw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5" t="str">
        <f>_xlfn.LET(_xlpm.raw,_xlfn.XLOOKUP(A495,'Pinlist(S5)'!$C$4:$C$1362,'Pinlist(S5)'!$E$4:$E$1362,""),_xlpm.cleanRaw,SUBSTITUTE(SUBSTITUTE(_xlpm.raw,"_PIN","."),"PIN","."),_xlpm.mainPart,MID(_xlpm.cleanRaw,2,FIND(".",_xlpm.cleanRaw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5" t="str">
        <f>""</f>
        <v/>
      </c>
      <c r="J495" t="str">
        <f t="shared" si="7"/>
        <v>N15;VCCMPHYGTAON_1P0;;8.12599999999999;7.114;;;;</v>
      </c>
    </row>
    <row r="496" spans="1:10">
      <c r="A496" t="s">
        <v>1781</v>
      </c>
      <c r="B496" t="str">
        <f>_xlfn.XLOOKUP(A496,'Pinlist(S1)'!$Q$4:$Q$1362,'Pinlist(S1)'!$R$4:$R$1362,"")</f>
        <v>VCCMPHYGTAON_1P0</v>
      </c>
      <c r="C496" t="str" cm="1">
        <f t="array" ref="C496">_xlfn.TEXTJOIN(",",TRUE,_xlfn.UNIQUE(TRANSPOSE(_xlfn.MAP(_xlfn.XLOOKUP(A496,'Pinlist(S1)'!$C$4:$C$1362,'Pinlist(S1)'!$F$4:$K$1362,""),_xlfn.LAMBDA(_xlpm.x,IF(_xlpm.x&lt;&gt;"",TRIM(CLEAN(LEFT(_xlpm.x,FIND(".",_xlpm.x &amp; ".")-1))),""))))))</f>
        <v/>
      </c>
      <c r="D496">
        <v>8.7759999999999998</v>
      </c>
      <c r="E496">
        <v>7.1139999999999999</v>
      </c>
      <c r="F496" t="str">
        <f>_xlfn.LET(_xlpm.raw,_xlfn.XLOOKUP(A496,'Pinlist(S1)'!$C$4:$C$1362,'Pinlist(S1)'!$E$4:$E$1362,""),_xlpm.cleanRaw,SUBSTITUTE(SUBSTITUTE(_xlpm.raw,"_PIN","."),"PIN","."),_xlpm.mainPart,MID(_xlpm.cleanRaw,2,FIND(".",_xlpm.cleanRaw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6" t="str">
        <f>_xlfn.LET(_xlpm.raw,_xlfn.XLOOKUP(A496,'Pinlist(S3)'!$C$4:$C$1362,'Pinlist(S3)'!$E$4:$E$1362,""),_xlpm.cleanRaw,SUBSTITUTE(SUBSTITUTE(_xlpm.raw,"_PIN","."),"PIN","."),_xlpm.mainPart,MID(_xlpm.cleanRaw,2,FIND(".",_xlpm.cleanRaw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6" t="str">
        <f>_xlfn.LET(_xlpm.raw,_xlfn.XLOOKUP(A496,'Pinlist(S5)'!$C$4:$C$1362,'Pinlist(S5)'!$E$4:$E$1362,""),_xlpm.cleanRaw,SUBSTITUTE(SUBSTITUTE(_xlpm.raw,"_PIN","."),"PIN","."),_xlpm.mainPart,MID(_xlpm.cleanRaw,2,FIND(".",_xlpm.cleanRaw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6" t="str">
        <f>""</f>
        <v/>
      </c>
      <c r="J496" t="str">
        <f t="shared" si="7"/>
        <v>N16;VCCMPHYGTAON_1P0;;8.776;7.114;;;;</v>
      </c>
    </row>
    <row r="497" spans="1:10">
      <c r="A497" t="s">
        <v>1782</v>
      </c>
      <c r="B497" t="str">
        <f>_xlfn.XLOOKUP(A497,'Pinlist(S1)'!$Q$4:$Q$1362,'Pinlist(S1)'!$R$4:$R$1362,"")</f>
        <v>VCCMPHYGTAON_1P0</v>
      </c>
      <c r="C497" t="str" cm="1">
        <f t="array" ref="C497">_xlfn.TEXTJOIN(",",TRUE,_xlfn.UNIQUE(TRANSPOSE(_xlfn.MAP(_xlfn.XLOOKUP(A497,'Pinlist(S1)'!$C$4:$C$1362,'Pinlist(S1)'!$F$4:$K$1362,""),_xlfn.LAMBDA(_xlpm.x,IF(_xlpm.x&lt;&gt;"",TRIM(CLEAN(LEFT(_xlpm.x,FIND(".",_xlpm.x &amp; ".")-1))),""))))))</f>
        <v/>
      </c>
      <c r="D497">
        <v>9.4260000000000002</v>
      </c>
      <c r="E497">
        <v>7.1139999999999999</v>
      </c>
      <c r="F497" t="str">
        <f>_xlfn.LET(_xlpm.raw,_xlfn.XLOOKUP(A497,'Pinlist(S1)'!$C$4:$C$1362,'Pinlist(S1)'!$E$4:$E$1362,""),_xlpm.cleanRaw,SUBSTITUTE(SUBSTITUTE(_xlpm.raw,"_PIN","."),"PIN","."),_xlpm.mainPart,MID(_xlpm.cleanRaw,2,FIND(".",_xlpm.cleanRaw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7" t="str">
        <f>_xlfn.LET(_xlpm.raw,_xlfn.XLOOKUP(A497,'Pinlist(S3)'!$C$4:$C$1362,'Pinlist(S3)'!$E$4:$E$1362,""),_xlpm.cleanRaw,SUBSTITUTE(SUBSTITUTE(_xlpm.raw,"_PIN","."),"PIN","."),_xlpm.mainPart,MID(_xlpm.cleanRaw,2,FIND(".",_xlpm.cleanRaw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7" t="str">
        <f>_xlfn.LET(_xlpm.raw,_xlfn.XLOOKUP(A497,'Pinlist(S5)'!$C$4:$C$1362,'Pinlist(S5)'!$E$4:$E$1362,""),_xlpm.cleanRaw,SUBSTITUTE(SUBSTITUTE(_xlpm.raw,"_PIN","."),"PIN","."),_xlpm.mainPart,MID(_xlpm.cleanRaw,2,FIND(".",_xlpm.cleanRaw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7" t="str">
        <f>""</f>
        <v/>
      </c>
      <c r="J497" t="str">
        <f t="shared" si="7"/>
        <v>N17;VCCMPHYGTAON_1P0;;9.426;7.114;;;;</v>
      </c>
    </row>
    <row r="498" spans="1:10">
      <c r="A498" t="s">
        <v>1544</v>
      </c>
      <c r="B498" t="str">
        <f>_xlfn.XLOOKUP(A498,'Pinlist(S1)'!$Q$4:$Q$1362,'Pinlist(S1)'!$R$4:$R$1362,"")</f>
        <v>VCCAPLLEBB_1P0</v>
      </c>
      <c r="C498" t="str" cm="1">
        <f t="array" ref="C498">_xlfn.TEXTJOIN(",",TRUE,_xlfn.UNIQUE(TRANSPOSE(_xlfn.MAP(_xlfn.XLOOKUP(A498,'Pinlist(S1)'!$C$4:$C$1362,'Pinlist(S1)'!$F$4:$K$1362,""),_xlfn.LAMBDA(_xlpm.x,IF(_xlpm.x&lt;&gt;"",TRIM(CLEAN(LEFT(_xlpm.x,FIND(".",_xlpm.x &amp; ".")-1))),""))))))</f>
        <v/>
      </c>
      <c r="D498">
        <v>10.076000000000001</v>
      </c>
      <c r="E498">
        <v>7.1139999999999999</v>
      </c>
      <c r="F498" t="str">
        <f>_xlfn.LET(_xlpm.raw,_xlfn.XLOOKUP(A498,'Pinlist(S1)'!$C$4:$C$1362,'Pinlist(S1)'!$E$4:$E$1362,""),_xlpm.cleanRaw,SUBSTITUTE(SUBSTITUTE(_xlpm.raw,"_PIN","."),"PIN","."),_xlpm.mainPart,MID(_xlpm.cleanRaw,2,FIND(".",_xlpm.cleanRaw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8" t="str">
        <f>_xlfn.LET(_xlpm.raw,_xlfn.XLOOKUP(A498,'Pinlist(S3)'!$C$4:$C$1362,'Pinlist(S3)'!$E$4:$E$1362,""),_xlpm.cleanRaw,SUBSTITUTE(SUBSTITUTE(_xlpm.raw,"_PIN","."),"PIN","."),_xlpm.mainPart,MID(_xlpm.cleanRaw,2,FIND(".",_xlpm.cleanRaw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8" t="str">
        <f>_xlfn.LET(_xlpm.raw,_xlfn.XLOOKUP(A498,'Pinlist(S5)'!$C$4:$C$1362,'Pinlist(S5)'!$E$4:$E$1362,""),_xlpm.cleanRaw,SUBSTITUTE(SUBSTITUTE(_xlpm.raw,"_PIN","."),"PIN","."),_xlpm.mainPart,MID(_xlpm.cleanRaw,2,FIND(".",_xlpm.cleanRaw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8" t="str">
        <f>""</f>
        <v/>
      </c>
      <c r="J498" t="str">
        <f t="shared" si="7"/>
        <v>N18;VCCAPLLEBB_1P0;;10.076;7.114;;;;</v>
      </c>
    </row>
    <row r="499" spans="1:10">
      <c r="A499" t="s">
        <v>2210</v>
      </c>
      <c r="B499" t="str">
        <f>_xlfn.XLOOKUP(A499,'Pinlist(S1)'!$Q$4:$Q$1362,'Pinlist(S1)'!$R$4:$R$1362,"")</f>
        <v>VSS</v>
      </c>
      <c r="C499" t="str" cm="1">
        <f t="array" ref="C499">_xlfn.TEXTJOIN(",",TRUE,_xlfn.UNIQUE(TRANSPOSE(_xlfn.MAP(_xlfn.XLOOKUP(A499,'Pinlist(S1)'!$C$4:$C$1362,'Pinlist(S1)'!$F$4:$K$1362,""),_xlfn.LAMBDA(_xlpm.x,IF(_xlpm.x&lt;&gt;"",TRIM(CLEAN(LEFT(_xlpm.x,FIND(".",_xlpm.x &amp; ".")-1))),""))))))</f>
        <v/>
      </c>
      <c r="D499">
        <v>10.727</v>
      </c>
      <c r="E499">
        <v>7.1139999999999999</v>
      </c>
      <c r="F499" t="str">
        <f>_xlfn.LET(_xlpm.raw,_xlfn.XLOOKUP(A499,'Pinlist(S1)'!$C$4:$C$1362,'Pinlist(S1)'!$E$4:$E$1362,""),_xlpm.cleanRaw,SUBSTITUTE(SUBSTITUTE(_xlpm.raw,"_PIN","."),"PIN","."),_xlpm.mainPart,MID(_xlpm.cleanRaw,2,FIND(".",_xlpm.cleanRaw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9" t="str">
        <f>_xlfn.LET(_xlpm.raw,_xlfn.XLOOKUP(A499,'Pinlist(S3)'!$C$4:$C$1362,'Pinlist(S3)'!$E$4:$E$1362,""),_xlpm.cleanRaw,SUBSTITUTE(SUBSTITUTE(_xlpm.raw,"_PIN","."),"PIN","."),_xlpm.mainPart,MID(_xlpm.cleanRaw,2,FIND(".",_xlpm.cleanRaw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9" t="str">
        <f>_xlfn.LET(_xlpm.raw,_xlfn.XLOOKUP(A499,'Pinlist(S5)'!$C$4:$C$1362,'Pinlist(S5)'!$E$4:$E$1362,""),_xlpm.cleanRaw,SUBSTITUTE(SUBSTITUTE(_xlpm.raw,"_PIN","."),"PIN","."),_xlpm.mainPart,MID(_xlpm.cleanRaw,2,FIND(".",_xlpm.cleanRaw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9" t="str">
        <f>""</f>
        <v/>
      </c>
      <c r="J499" t="str">
        <f t="shared" si="7"/>
        <v>N19;VSS;;10.727;7.114;;;;</v>
      </c>
    </row>
    <row r="500" spans="1:10">
      <c r="A500" t="s">
        <v>1632</v>
      </c>
      <c r="B500" t="str">
        <f>_xlfn.XLOOKUP(A500,'Pinlist(S1)'!$Q$4:$Q$1362,'Pinlist(S1)'!$R$4:$R$1362,"")</f>
        <v>VCCF100OC_1P0</v>
      </c>
      <c r="C500" t="str" cm="1">
        <f t="array" ref="C500">_xlfn.TEXTJOIN(",",TRUE,_xlfn.UNIQUE(TRANSPOSE(_xlfn.MAP(_xlfn.XLOOKUP(A500,'Pinlist(S1)'!$C$4:$C$1362,'Pinlist(S1)'!$F$4:$K$1362,""),_xlfn.LAMBDA(_xlpm.x,IF(_xlpm.x&lt;&gt;"",TRIM(CLEAN(LEFT(_xlpm.x,FIND(".",_xlpm.x &amp; ".")-1))),""))))))</f>
        <v/>
      </c>
      <c r="D500">
        <v>11.377000000000001</v>
      </c>
      <c r="E500">
        <v>7.1139999999999999</v>
      </c>
      <c r="F500" t="str">
        <f>_xlfn.LET(_xlpm.raw,_xlfn.XLOOKUP(A500,'Pinlist(S1)'!$C$4:$C$1362,'Pinlist(S1)'!$E$4:$E$1362,""),_xlpm.cleanRaw,SUBSTITUTE(SUBSTITUTE(_xlpm.raw,"_PIN","."),"PIN","."),_xlpm.mainPart,MID(_xlpm.cleanRaw,2,FIND(".",_xlpm.cleanRaw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0" t="str">
        <f>_xlfn.LET(_xlpm.raw,_xlfn.XLOOKUP(A500,'Pinlist(S3)'!$C$4:$C$1362,'Pinlist(S3)'!$E$4:$E$1362,""),_xlpm.cleanRaw,SUBSTITUTE(SUBSTITUTE(_xlpm.raw,"_PIN","."),"PIN","."),_xlpm.mainPart,MID(_xlpm.cleanRaw,2,FIND(".",_xlpm.cleanRaw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0" t="str">
        <f>_xlfn.LET(_xlpm.raw,_xlfn.XLOOKUP(A500,'Pinlist(S5)'!$C$4:$C$1362,'Pinlist(S5)'!$E$4:$E$1362,""),_xlpm.cleanRaw,SUBSTITUTE(SUBSTITUTE(_xlpm.raw,"_PIN","."),"PIN","."),_xlpm.mainPart,MID(_xlpm.cleanRaw,2,FIND(".",_xlpm.cleanRaw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0" t="str">
        <f>""</f>
        <v/>
      </c>
      <c r="J500" t="str">
        <f t="shared" si="7"/>
        <v>N20;VCCF100OC_1P0;;11.377;7.114;;;;</v>
      </c>
    </row>
    <row r="501" spans="1:10">
      <c r="A501" t="s">
        <v>2211</v>
      </c>
      <c r="B501" t="str">
        <f>_xlfn.XLOOKUP(A501,'Pinlist(S1)'!$Q$4:$Q$1362,'Pinlist(S1)'!$R$4:$R$1362,"")</f>
        <v>VSS</v>
      </c>
      <c r="C501" t="str" cm="1">
        <f t="array" ref="C501">_xlfn.TEXTJOIN(",",TRUE,_xlfn.UNIQUE(TRANSPOSE(_xlfn.MAP(_xlfn.XLOOKUP(A501,'Pinlist(S1)'!$C$4:$C$1362,'Pinlist(S1)'!$F$4:$K$1362,""),_xlfn.LAMBDA(_xlpm.x,IF(_xlpm.x&lt;&gt;"",TRIM(CLEAN(LEFT(_xlpm.x,FIND(".",_xlpm.x &amp; ".")-1))),""))))))</f>
        <v/>
      </c>
      <c r="D501">
        <v>12.026999999999999</v>
      </c>
      <c r="E501">
        <v>7.1139999999999999</v>
      </c>
      <c r="F501" t="str">
        <f>_xlfn.LET(_xlpm.raw,_xlfn.XLOOKUP(A501,'Pinlist(S1)'!$C$4:$C$1362,'Pinlist(S1)'!$E$4:$E$1362,""),_xlpm.cleanRaw,SUBSTITUTE(SUBSTITUTE(_xlpm.raw,"_PIN","."),"PIN","."),_xlpm.mainPart,MID(_xlpm.cleanRaw,2,FIND(".",_xlpm.cleanRaw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1" t="str">
        <f>_xlfn.LET(_xlpm.raw,_xlfn.XLOOKUP(A501,'Pinlist(S3)'!$C$4:$C$1362,'Pinlist(S3)'!$E$4:$E$1362,""),_xlpm.cleanRaw,SUBSTITUTE(SUBSTITUTE(_xlpm.raw,"_PIN","."),"PIN","."),_xlpm.mainPart,MID(_xlpm.cleanRaw,2,FIND(".",_xlpm.cleanRaw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1" t="str">
        <f>_xlfn.LET(_xlpm.raw,_xlfn.XLOOKUP(A501,'Pinlist(S5)'!$C$4:$C$1362,'Pinlist(S5)'!$E$4:$E$1362,""),_xlpm.cleanRaw,SUBSTITUTE(SUBSTITUTE(_xlpm.raw,"_PIN","."),"PIN","."),_xlpm.mainPart,MID(_xlpm.cleanRaw,2,FIND(".",_xlpm.cleanRaw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1" t="str">
        <f>""</f>
        <v/>
      </c>
      <c r="J501" t="str">
        <f t="shared" si="7"/>
        <v>N21;VSS;;12.027;7.114;;;;</v>
      </c>
    </row>
    <row r="502" spans="1:10">
      <c r="A502" t="s">
        <v>1696</v>
      </c>
      <c r="B502" t="str">
        <f>_xlfn.XLOOKUP(A502,'Pinlist(S1)'!$Q$4:$Q$1362,'Pinlist(S1)'!$R$4:$R$1362,"")</f>
        <v>VCCGT</v>
      </c>
      <c r="C502" t="str" cm="1">
        <f t="array" ref="C502">_xlfn.TEXTJOIN(",",TRUE,_xlfn.UNIQUE(TRANSPOSE(_xlfn.MAP(_xlfn.XLOOKUP(A502,'Pinlist(S1)'!$C$4:$C$1362,'Pinlist(S1)'!$F$4:$K$1362,""),_xlfn.LAMBDA(_xlpm.x,IF(_xlpm.x&lt;&gt;"",TRIM(CLEAN(LEFT(_xlpm.x,FIND(".",_xlpm.x &amp; ".")-1))),""))))))</f>
        <v/>
      </c>
      <c r="D502">
        <v>35.427</v>
      </c>
      <c r="E502">
        <v>7.0609999999999999</v>
      </c>
      <c r="F502" t="str">
        <f>_xlfn.LET(_xlpm.raw,_xlfn.XLOOKUP(A502,'Pinlist(S1)'!$C$4:$C$1362,'Pinlist(S1)'!$E$4:$E$1362,""),_xlpm.cleanRaw,SUBSTITUTE(SUBSTITUTE(_xlpm.raw,"_PIN","."),"PIN","."),_xlpm.mainPart,MID(_xlpm.cleanRaw,2,FIND(".",_xlpm.cleanRaw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2" t="str">
        <f>_xlfn.LET(_xlpm.raw,_xlfn.XLOOKUP(A502,'Pinlist(S3)'!$C$4:$C$1362,'Pinlist(S3)'!$E$4:$E$1362,""),_xlpm.cleanRaw,SUBSTITUTE(SUBSTITUTE(_xlpm.raw,"_PIN","."),"PIN","."),_xlpm.mainPart,MID(_xlpm.cleanRaw,2,FIND(".",_xlpm.cleanRaw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2" t="str">
        <f>_xlfn.LET(_xlpm.raw,_xlfn.XLOOKUP(A502,'Pinlist(S5)'!$C$4:$C$1362,'Pinlist(S5)'!$E$4:$E$1362,""),_xlpm.cleanRaw,SUBSTITUTE(SUBSTITUTE(_xlpm.raw,"_PIN","."),"PIN","."),_xlpm.mainPart,MID(_xlpm.cleanRaw,2,FIND(".",_xlpm.cleanRaw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2" t="str">
        <f>""</f>
        <v/>
      </c>
      <c r="J502" t="str">
        <f t="shared" si="7"/>
        <v>N63;VCCGT;;35.427;7.061;;;;</v>
      </c>
    </row>
    <row r="503" spans="1:10">
      <c r="A503" t="s">
        <v>1697</v>
      </c>
      <c r="B503" t="str">
        <f>_xlfn.XLOOKUP(A503,'Pinlist(S1)'!$Q$4:$Q$1362,'Pinlist(S1)'!$R$4:$R$1362,"")</f>
        <v>VCCGT</v>
      </c>
      <c r="C503" t="str" cm="1">
        <f t="array" ref="C503">_xlfn.TEXTJOIN(",",TRUE,_xlfn.UNIQUE(TRANSPOSE(_xlfn.MAP(_xlfn.XLOOKUP(A503,'Pinlist(S1)'!$C$4:$C$1362,'Pinlist(S1)'!$F$4:$K$1362,""),_xlfn.LAMBDA(_xlpm.x,IF(_xlpm.x&lt;&gt;"",TRIM(CLEAN(LEFT(_xlpm.x,FIND(".",_xlpm.x &amp; ".")-1))),""))))))</f>
        <v/>
      </c>
      <c r="D503">
        <v>36.076999999999998</v>
      </c>
      <c r="E503">
        <v>7.0609999999999999</v>
      </c>
      <c r="F503" t="str">
        <f>_xlfn.LET(_xlpm.raw,_xlfn.XLOOKUP(A503,'Pinlist(S1)'!$C$4:$C$1362,'Pinlist(S1)'!$E$4:$E$1362,""),_xlpm.cleanRaw,SUBSTITUTE(SUBSTITUTE(_xlpm.raw,"_PIN","."),"PIN","."),_xlpm.mainPart,MID(_xlpm.cleanRaw,2,FIND(".",_xlpm.cleanRaw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3" t="str">
        <f>_xlfn.LET(_xlpm.raw,_xlfn.XLOOKUP(A503,'Pinlist(S3)'!$C$4:$C$1362,'Pinlist(S3)'!$E$4:$E$1362,""),_xlpm.cleanRaw,SUBSTITUTE(SUBSTITUTE(_xlpm.raw,"_PIN","."),"PIN","."),_xlpm.mainPart,MID(_xlpm.cleanRaw,2,FIND(".",_xlpm.cleanRaw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3" t="str">
        <f>_xlfn.LET(_xlpm.raw,_xlfn.XLOOKUP(A503,'Pinlist(S5)'!$C$4:$C$1362,'Pinlist(S5)'!$E$4:$E$1362,""),_xlpm.cleanRaw,SUBSTITUTE(SUBSTITUTE(_xlpm.raw,"_PIN","."),"PIN","."),_xlpm.mainPart,MID(_xlpm.cleanRaw,2,FIND(".",_xlpm.cleanRaw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3" t="str">
        <f>""</f>
        <v/>
      </c>
      <c r="J503" t="str">
        <f t="shared" si="7"/>
        <v>N64;VCCGT;;36.077;7.061;;;;</v>
      </c>
    </row>
    <row r="504" spans="1:10">
      <c r="A504" t="s">
        <v>2213</v>
      </c>
      <c r="B504" t="str">
        <f>_xlfn.XLOOKUP(A504,'Pinlist(S1)'!$Q$4:$Q$1362,'Pinlist(S1)'!$R$4:$R$1362,"")</f>
        <v>VSS</v>
      </c>
      <c r="C504" t="str" cm="1">
        <f t="array" ref="C504">_xlfn.TEXTJOIN(",",TRUE,_xlfn.UNIQUE(TRANSPOSE(_xlfn.MAP(_xlfn.XLOOKUP(A504,'Pinlist(S1)'!$C$4:$C$1362,'Pinlist(S1)'!$F$4:$K$1362,""),_xlfn.LAMBDA(_xlpm.x,IF(_xlpm.x&lt;&gt;"",TRIM(CLEAN(LEFT(_xlpm.x,FIND(".",_xlpm.x &amp; ".")-1))),""))))))</f>
        <v/>
      </c>
      <c r="D504">
        <v>36.726999999999997</v>
      </c>
      <c r="E504">
        <v>7.0609999999999999</v>
      </c>
      <c r="F504" t="str">
        <f>_xlfn.LET(_xlpm.raw,_xlfn.XLOOKUP(A504,'Pinlist(S1)'!$C$4:$C$1362,'Pinlist(S1)'!$E$4:$E$1362,""),_xlpm.cleanRaw,SUBSTITUTE(SUBSTITUTE(_xlpm.raw,"_PIN","."),"PIN","."),_xlpm.mainPart,MID(_xlpm.cleanRaw,2,FIND(".",_xlpm.cleanRaw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4" t="str">
        <f>_xlfn.LET(_xlpm.raw,_xlfn.XLOOKUP(A504,'Pinlist(S3)'!$C$4:$C$1362,'Pinlist(S3)'!$E$4:$E$1362,""),_xlpm.cleanRaw,SUBSTITUTE(SUBSTITUTE(_xlpm.raw,"_PIN","."),"PIN","."),_xlpm.mainPart,MID(_xlpm.cleanRaw,2,FIND(".",_xlpm.cleanRaw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4" t="str">
        <f>_xlfn.LET(_xlpm.raw,_xlfn.XLOOKUP(A504,'Pinlist(S5)'!$C$4:$C$1362,'Pinlist(S5)'!$E$4:$E$1362,""),_xlpm.cleanRaw,SUBSTITUTE(SUBSTITUTE(_xlpm.raw,"_PIN","."),"PIN","."),_xlpm.mainPart,MID(_xlpm.cleanRaw,2,FIND(".",_xlpm.cleanRaw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4" t="str">
        <f>""</f>
        <v/>
      </c>
      <c r="J504" t="str">
        <f t="shared" si="7"/>
        <v>N65;VSS;;36.727;7.061;;;;</v>
      </c>
    </row>
    <row r="505" spans="1:10">
      <c r="A505" t="s">
        <v>1698</v>
      </c>
      <c r="B505" t="str">
        <f>_xlfn.XLOOKUP(A505,'Pinlist(S1)'!$Q$4:$Q$1362,'Pinlist(S1)'!$R$4:$R$1362,"")</f>
        <v>VCCGT</v>
      </c>
      <c r="C505" t="str" cm="1">
        <f t="array" ref="C505">_xlfn.TEXTJOIN(",",TRUE,_xlfn.UNIQUE(TRANSPOSE(_xlfn.MAP(_xlfn.XLOOKUP(A505,'Pinlist(S1)'!$C$4:$C$1362,'Pinlist(S1)'!$F$4:$K$1362,""),_xlfn.LAMBDA(_xlpm.x,IF(_xlpm.x&lt;&gt;"",TRIM(CLEAN(LEFT(_xlpm.x,FIND(".",_xlpm.x &amp; ".")-1))),""))))))</f>
        <v/>
      </c>
      <c r="D505">
        <v>37.376999999999903</v>
      </c>
      <c r="E505">
        <v>7.0609999999999999</v>
      </c>
      <c r="F505" t="str">
        <f>_xlfn.LET(_xlpm.raw,_xlfn.XLOOKUP(A505,'Pinlist(S1)'!$C$4:$C$1362,'Pinlist(S1)'!$E$4:$E$1362,""),_xlpm.cleanRaw,SUBSTITUTE(SUBSTITUTE(_xlpm.raw,"_PIN","."),"PIN","."),_xlpm.mainPart,MID(_xlpm.cleanRaw,2,FIND(".",_xlpm.cleanRaw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5" t="str">
        <f>_xlfn.LET(_xlpm.raw,_xlfn.XLOOKUP(A505,'Pinlist(S3)'!$C$4:$C$1362,'Pinlist(S3)'!$E$4:$E$1362,""),_xlpm.cleanRaw,SUBSTITUTE(SUBSTITUTE(_xlpm.raw,"_PIN","."),"PIN","."),_xlpm.mainPart,MID(_xlpm.cleanRaw,2,FIND(".",_xlpm.cleanRaw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5" t="str">
        <f>_xlfn.LET(_xlpm.raw,_xlfn.XLOOKUP(A505,'Pinlist(S5)'!$C$4:$C$1362,'Pinlist(S5)'!$E$4:$E$1362,""),_xlpm.cleanRaw,SUBSTITUTE(SUBSTITUTE(_xlpm.raw,"_PIN","."),"PIN","."),_xlpm.mainPart,MID(_xlpm.cleanRaw,2,FIND(".",_xlpm.cleanRaw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5" t="str">
        <f>""</f>
        <v/>
      </c>
      <c r="J505" t="str">
        <f t="shared" si="7"/>
        <v>N66;VCCGT;;37.3769999999999;7.061;;;;</v>
      </c>
    </row>
    <row r="506" spans="1:10">
      <c r="A506" t="s">
        <v>1699</v>
      </c>
      <c r="B506" t="str">
        <f>_xlfn.XLOOKUP(A506,'Pinlist(S1)'!$Q$4:$Q$1362,'Pinlist(S1)'!$R$4:$R$1362,"")</f>
        <v>VCCGT</v>
      </c>
      <c r="C506" t="str" cm="1">
        <f t="array" ref="C506">_xlfn.TEXTJOIN(",",TRUE,_xlfn.UNIQUE(TRANSPOSE(_xlfn.MAP(_xlfn.XLOOKUP(A506,'Pinlist(S1)'!$C$4:$C$1362,'Pinlist(S1)'!$F$4:$K$1362,""),_xlfn.LAMBDA(_xlpm.x,IF(_xlpm.x&lt;&gt;"",TRIM(CLEAN(LEFT(_xlpm.x,FIND(".",_xlpm.x &amp; ".")-1))),""))))))</f>
        <v/>
      </c>
      <c r="D506">
        <v>38.027999999999999</v>
      </c>
      <c r="E506">
        <v>7.0609999999999999</v>
      </c>
      <c r="F506" t="str">
        <f>_xlfn.LET(_xlpm.raw,_xlfn.XLOOKUP(A506,'Pinlist(S1)'!$C$4:$C$1362,'Pinlist(S1)'!$E$4:$E$1362,""),_xlpm.cleanRaw,SUBSTITUTE(SUBSTITUTE(_xlpm.raw,"_PIN","."),"PIN","."),_xlpm.mainPart,MID(_xlpm.cleanRaw,2,FIND(".",_xlpm.cleanRaw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6" t="str">
        <f>_xlfn.LET(_xlpm.raw,_xlfn.XLOOKUP(A506,'Pinlist(S3)'!$C$4:$C$1362,'Pinlist(S3)'!$E$4:$E$1362,""),_xlpm.cleanRaw,SUBSTITUTE(SUBSTITUTE(_xlpm.raw,"_PIN","."),"PIN","."),_xlpm.mainPart,MID(_xlpm.cleanRaw,2,FIND(".",_xlpm.cleanRaw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6" t="str">
        <f>_xlfn.LET(_xlpm.raw,_xlfn.XLOOKUP(A506,'Pinlist(S5)'!$C$4:$C$1362,'Pinlist(S5)'!$E$4:$E$1362,""),_xlpm.cleanRaw,SUBSTITUTE(SUBSTITUTE(_xlpm.raw,"_PIN","."),"PIN","."),_xlpm.mainPart,MID(_xlpm.cleanRaw,2,FIND(".",_xlpm.cleanRaw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6" t="str">
        <f>""</f>
        <v/>
      </c>
      <c r="J506" t="str">
        <f t="shared" si="7"/>
        <v>N67;VCCGT;;38.028;7.061;;;;</v>
      </c>
    </row>
    <row r="507" spans="1:10">
      <c r="A507" t="s">
        <v>2214</v>
      </c>
      <c r="B507" t="str">
        <f>_xlfn.XLOOKUP(A507,'Pinlist(S1)'!$Q$4:$Q$1362,'Pinlist(S1)'!$R$4:$R$1362,"")</f>
        <v>VSS</v>
      </c>
      <c r="C507" t="str" cm="1">
        <f t="array" ref="C507">_xlfn.TEXTJOIN(",",TRUE,_xlfn.UNIQUE(TRANSPOSE(_xlfn.MAP(_xlfn.XLOOKUP(A507,'Pinlist(S1)'!$C$4:$C$1362,'Pinlist(S1)'!$F$4:$K$1362,""),_xlfn.LAMBDA(_xlpm.x,IF(_xlpm.x&lt;&gt;"",TRIM(CLEAN(LEFT(_xlpm.x,FIND(".",_xlpm.x &amp; ".")-1))),""))))))</f>
        <v/>
      </c>
      <c r="D507">
        <v>38.677999999999997</v>
      </c>
      <c r="E507">
        <v>7.0609999999999999</v>
      </c>
      <c r="F507" t="str">
        <f>_xlfn.LET(_xlpm.raw,_xlfn.XLOOKUP(A507,'Pinlist(S1)'!$C$4:$C$1362,'Pinlist(S1)'!$E$4:$E$1362,""),_xlpm.cleanRaw,SUBSTITUTE(SUBSTITUTE(_xlpm.raw,"_PIN","."),"PIN","."),_xlpm.mainPart,MID(_xlpm.cleanRaw,2,FIND(".",_xlpm.cleanRaw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7" t="str">
        <f>_xlfn.LET(_xlpm.raw,_xlfn.XLOOKUP(A507,'Pinlist(S3)'!$C$4:$C$1362,'Pinlist(S3)'!$E$4:$E$1362,""),_xlpm.cleanRaw,SUBSTITUTE(SUBSTITUTE(_xlpm.raw,"_PIN","."),"PIN","."),_xlpm.mainPart,MID(_xlpm.cleanRaw,2,FIND(".",_xlpm.cleanRaw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7" t="str">
        <f>_xlfn.LET(_xlpm.raw,_xlfn.XLOOKUP(A507,'Pinlist(S5)'!$C$4:$C$1362,'Pinlist(S5)'!$E$4:$E$1362,""),_xlpm.cleanRaw,SUBSTITUTE(SUBSTITUTE(_xlpm.raw,"_PIN","."),"PIN","."),_xlpm.mainPart,MID(_xlpm.cleanRaw,2,FIND(".",_xlpm.cleanRaw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7" t="str">
        <f>""</f>
        <v/>
      </c>
      <c r="J507" t="str">
        <f t="shared" si="7"/>
        <v>N68;VSS;;38.678;7.061;;;;</v>
      </c>
    </row>
    <row r="508" spans="1:10">
      <c r="A508" t="s">
        <v>1700</v>
      </c>
      <c r="B508" t="str">
        <f>_xlfn.XLOOKUP(A508,'Pinlist(S1)'!$Q$4:$Q$1362,'Pinlist(S1)'!$R$4:$R$1362,"")</f>
        <v>VCCGT</v>
      </c>
      <c r="C508" t="str" cm="1">
        <f t="array" ref="C508">_xlfn.TEXTJOIN(",",TRUE,_xlfn.UNIQUE(TRANSPOSE(_xlfn.MAP(_xlfn.XLOOKUP(A508,'Pinlist(S1)'!$C$4:$C$1362,'Pinlist(S1)'!$F$4:$K$1362,""),_xlfn.LAMBDA(_xlpm.x,IF(_xlpm.x&lt;&gt;"",TRIM(CLEAN(LEFT(_xlpm.x,FIND(".",_xlpm.x &amp; ".")-1))),""))))))</f>
        <v/>
      </c>
      <c r="D508">
        <v>39.328000000000003</v>
      </c>
      <c r="E508">
        <v>7.0609999999999999</v>
      </c>
      <c r="F508" t="str">
        <f>_xlfn.LET(_xlpm.raw,_xlfn.XLOOKUP(A508,'Pinlist(S1)'!$C$4:$C$1362,'Pinlist(S1)'!$E$4:$E$1362,""),_xlpm.cleanRaw,SUBSTITUTE(SUBSTITUTE(_xlpm.raw,"_PIN","."),"PIN","."),_xlpm.mainPart,MID(_xlpm.cleanRaw,2,FIND(".",_xlpm.cleanRaw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8" t="str">
        <f>_xlfn.LET(_xlpm.raw,_xlfn.XLOOKUP(A508,'Pinlist(S3)'!$C$4:$C$1362,'Pinlist(S3)'!$E$4:$E$1362,""),_xlpm.cleanRaw,SUBSTITUTE(SUBSTITUTE(_xlpm.raw,"_PIN","."),"PIN","."),_xlpm.mainPart,MID(_xlpm.cleanRaw,2,FIND(".",_xlpm.cleanRaw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8" t="str">
        <f>_xlfn.LET(_xlpm.raw,_xlfn.XLOOKUP(A508,'Pinlist(S5)'!$C$4:$C$1362,'Pinlist(S5)'!$E$4:$E$1362,""),_xlpm.cleanRaw,SUBSTITUTE(SUBSTITUTE(_xlpm.raw,"_PIN","."),"PIN","."),_xlpm.mainPart,MID(_xlpm.cleanRaw,2,FIND(".",_xlpm.cleanRaw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8" t="str">
        <f>""</f>
        <v/>
      </c>
      <c r="J508" t="str">
        <f t="shared" si="7"/>
        <v>N69;VCCGT;;39.328;7.061;;;;</v>
      </c>
    </row>
    <row r="509" spans="1:10">
      <c r="A509" t="s">
        <v>1701</v>
      </c>
      <c r="B509" t="str">
        <f>_xlfn.XLOOKUP(A509,'Pinlist(S1)'!$Q$4:$Q$1362,'Pinlist(S1)'!$R$4:$R$1362,"")</f>
        <v>VCCGT</v>
      </c>
      <c r="C509" t="str" cm="1">
        <f t="array" ref="C509">_xlfn.TEXTJOIN(",",TRUE,_xlfn.UNIQUE(TRANSPOSE(_xlfn.MAP(_xlfn.XLOOKUP(A509,'Pinlist(S1)'!$C$4:$C$1362,'Pinlist(S1)'!$F$4:$K$1362,""),_xlfn.LAMBDA(_xlpm.x,IF(_xlpm.x&lt;&gt;"",TRIM(CLEAN(LEFT(_xlpm.x,FIND(".",_xlpm.x &amp; ".")-1))),""))))))</f>
        <v/>
      </c>
      <c r="D509">
        <v>39.978000000000002</v>
      </c>
      <c r="E509">
        <v>7.0609999999999999</v>
      </c>
      <c r="F509" t="str">
        <f>_xlfn.LET(_xlpm.raw,_xlfn.XLOOKUP(A509,'Pinlist(S1)'!$C$4:$C$1362,'Pinlist(S1)'!$E$4:$E$1362,""),_xlpm.cleanRaw,SUBSTITUTE(SUBSTITUTE(_xlpm.raw,"_PIN","."),"PIN","."),_xlpm.mainPart,MID(_xlpm.cleanRaw,2,FIND(".",_xlpm.cleanRaw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9" t="str">
        <f>_xlfn.LET(_xlpm.raw,_xlfn.XLOOKUP(A509,'Pinlist(S3)'!$C$4:$C$1362,'Pinlist(S3)'!$E$4:$E$1362,""),_xlpm.cleanRaw,SUBSTITUTE(SUBSTITUTE(_xlpm.raw,"_PIN","."),"PIN","."),_xlpm.mainPart,MID(_xlpm.cleanRaw,2,FIND(".",_xlpm.cleanRaw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9" t="str">
        <f>_xlfn.LET(_xlpm.raw,_xlfn.XLOOKUP(A509,'Pinlist(S5)'!$C$4:$C$1362,'Pinlist(S5)'!$E$4:$E$1362,""),_xlpm.cleanRaw,SUBSTITUTE(SUBSTITUTE(_xlpm.raw,"_PIN","."),"PIN","."),_xlpm.mainPart,MID(_xlpm.cleanRaw,2,FIND(".",_xlpm.cleanRaw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9" t="str">
        <f>""</f>
        <v/>
      </c>
      <c r="J509" t="str">
        <f t="shared" si="7"/>
        <v>N70;VCCGT;;39.978;7.061;;;;</v>
      </c>
    </row>
    <row r="510" spans="1:10">
      <c r="A510" t="s">
        <v>1702</v>
      </c>
      <c r="B510" t="str">
        <f>_xlfn.XLOOKUP(A510,'Pinlist(S1)'!$Q$4:$Q$1362,'Pinlist(S1)'!$R$4:$R$1362,"")</f>
        <v>VCCGT</v>
      </c>
      <c r="C510" t="str" cm="1">
        <f t="array" ref="C510">_xlfn.TEXTJOIN(",",TRUE,_xlfn.UNIQUE(TRANSPOSE(_xlfn.MAP(_xlfn.XLOOKUP(A510,'Pinlist(S1)'!$C$4:$C$1362,'Pinlist(S1)'!$F$4:$K$1362,""),_xlfn.LAMBDA(_xlpm.x,IF(_xlpm.x&lt;&gt;"",TRIM(CLEAN(LEFT(_xlpm.x,FIND(".",_xlpm.x &amp; ".")-1))),""))))))</f>
        <v/>
      </c>
      <c r="D510">
        <v>40.628</v>
      </c>
      <c r="E510">
        <v>7.0609999999999999</v>
      </c>
      <c r="F510" t="str">
        <f>_xlfn.LET(_xlpm.raw,_xlfn.XLOOKUP(A510,'Pinlist(S1)'!$C$4:$C$1362,'Pinlist(S1)'!$E$4:$E$1362,""),_xlpm.cleanRaw,SUBSTITUTE(SUBSTITUTE(_xlpm.raw,"_PIN","."),"PIN","."),_xlpm.mainPart,MID(_xlpm.cleanRaw,2,FIND(".",_xlpm.cleanRaw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0" t="str">
        <f>_xlfn.LET(_xlpm.raw,_xlfn.XLOOKUP(A510,'Pinlist(S3)'!$C$4:$C$1362,'Pinlist(S3)'!$E$4:$E$1362,""),_xlpm.cleanRaw,SUBSTITUTE(SUBSTITUTE(_xlpm.raw,"_PIN","."),"PIN","."),_xlpm.mainPart,MID(_xlpm.cleanRaw,2,FIND(".",_xlpm.cleanRaw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0" t="str">
        <f>_xlfn.LET(_xlpm.raw,_xlfn.XLOOKUP(A510,'Pinlist(S5)'!$C$4:$C$1362,'Pinlist(S5)'!$E$4:$E$1362,""),_xlpm.cleanRaw,SUBSTITUTE(SUBSTITUTE(_xlpm.raw,"_PIN","."),"PIN","."),_xlpm.mainPart,MID(_xlpm.cleanRaw,2,FIND(".",_xlpm.cleanRaw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0" t="str">
        <f>""</f>
        <v/>
      </c>
      <c r="J510" t="str">
        <f t="shared" si="7"/>
        <v>N71;VCCGT;;40.628;7.061;;;;</v>
      </c>
    </row>
    <row r="511" spans="1:10">
      <c r="A511" t="s">
        <v>947</v>
      </c>
      <c r="B511" t="str">
        <f>_xlfn.XLOOKUP(A511,'Pinlist(S1)'!$Q$4:$Q$1362,'Pinlist(S1)'!$R$4:$R$1362,"")</f>
        <v>GPP_D_12_ISH_SPI_MOSI</v>
      </c>
      <c r="C511" t="str" cm="1">
        <f t="array" ref="C511">_xlfn.TEXTJOIN(",",TRUE,_xlfn.UNIQUE(TRANSPOSE(_xlfn.MAP(_xlfn.XLOOKUP(A511,'Pinlist(S1)'!$C$4:$C$1362,'Pinlist(S1)'!$F$4:$K$1362,""),_xlfn.LAMBDA(_xlpm.x,IF(_xlpm.x&lt;&gt;"",TRIM(CLEAN(LEFT(_xlpm.x,FIND(".",_xlpm.x &amp; ".")-1))),""))))))</f>
        <v/>
      </c>
      <c r="D511">
        <v>0</v>
      </c>
      <c r="E511">
        <v>7.4889999999999999</v>
      </c>
      <c r="F511" t="str">
        <f>_xlfn.LET(_xlpm.raw,_xlfn.XLOOKUP(A511,'Pinlist(S1)'!$C$4:$C$1362,'Pinlist(S1)'!$E$4:$E$1362,""),_xlpm.cleanRaw,SUBSTITUTE(SUBSTITUTE(_xlpm.raw,"_PIN","."),"PIN","."),_xlpm.mainPart,MID(_xlpm.cleanRaw,2,FIND(".",_xlpm.cleanRaw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508066</v>
      </c>
      <c r="G511" t="str">
        <f>_xlfn.LET(_xlpm.raw,_xlfn.XLOOKUP(A511,'Pinlist(S3)'!$C$4:$C$1362,'Pinlist(S3)'!$E$4:$E$1362,""),_xlpm.cleanRaw,SUBSTITUTE(SUBSTITUTE(_xlpm.raw,"_PIN","."),"PIN","."),_xlpm.mainPart,MID(_xlpm.cleanRaw,2,FIND(".",_xlpm.cleanRaw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808049</v>
      </c>
      <c r="H511" t="str">
        <f>_xlfn.LET(_xlpm.raw,_xlfn.XLOOKUP(A511,'Pinlist(S5)'!$C$4:$C$1362,'Pinlist(S5)'!$E$4:$E$1362,""),_xlpm.cleanRaw,SUBSTITUTE(SUBSTITUTE(_xlpm.raw,"_PIN","."),"PIN","."),_xlpm.mainPart,MID(_xlpm.cleanRaw,2,FIND(".",_xlpm.cleanRaw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602069</v>
      </c>
      <c r="I511" t="str">
        <f>""</f>
        <v/>
      </c>
      <c r="J511" t="str">
        <f t="shared" si="7"/>
        <v>P1;GPP_D_12_ISH_SPI_MOSI;;0;7.489;508066;808049;602069;</v>
      </c>
    </row>
    <row r="512" spans="1:10">
      <c r="A512" t="s">
        <v>985</v>
      </c>
      <c r="B512" t="str">
        <f>_xlfn.XLOOKUP(A512,'Pinlist(S1)'!$Q$4:$Q$1362,'Pinlist(S1)'!$R$4:$R$1362,"")</f>
        <v>GPP_D_9_ISH_SPI_CSB</v>
      </c>
      <c r="C512" t="str" cm="1">
        <f t="array" ref="C512">_xlfn.TEXTJOIN(",",TRUE,_xlfn.UNIQUE(TRANSPOSE(_xlfn.MAP(_xlfn.XLOOKUP(A512,'Pinlist(S1)'!$C$4:$C$1362,'Pinlist(S1)'!$F$4:$K$1362,""),_xlfn.LAMBDA(_xlpm.x,IF(_xlpm.x&lt;&gt;"",TRIM(CLEAN(LEFT(_xlpm.x,FIND(".",_xlpm.x &amp; ".")-1))),""))))))</f>
        <v/>
      </c>
      <c r="D512">
        <v>0.64999999999999802</v>
      </c>
      <c r="E512">
        <v>7.4889999999999999</v>
      </c>
      <c r="F512" t="str">
        <f>_xlfn.LET(_xlpm.raw,_xlfn.XLOOKUP(A512,'Pinlist(S1)'!$C$4:$C$1362,'Pinlist(S1)'!$E$4:$E$1362,""),_xlpm.cleanRaw,SUBSTITUTE(SUBSTITUTE(_xlpm.raw,"_PIN","."),"PIN","."),_xlpm.mainPart,MID(_xlpm.cleanRaw,2,FIND(".",_xlpm.cleanRaw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505053</v>
      </c>
      <c r="G512" t="str">
        <f>_xlfn.LET(_xlpm.raw,_xlfn.XLOOKUP(A512,'Pinlist(S3)'!$C$4:$C$1362,'Pinlist(S3)'!$E$4:$E$1362,""),_xlpm.cleanRaw,SUBSTITUTE(SUBSTITUTE(_xlpm.raw,"_PIN","."),"PIN","."),_xlpm.mainPart,MID(_xlpm.cleanRaw,2,FIND(".",_xlpm.cleanRaw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809124</v>
      </c>
      <c r="H512" t="str">
        <f>_xlfn.LET(_xlpm.raw,_xlfn.XLOOKUP(A512,'Pinlist(S5)'!$C$4:$C$1362,'Pinlist(S5)'!$E$4:$E$1362,""),_xlpm.cleanRaw,SUBSTITUTE(SUBSTITUTE(_xlpm.raw,"_PIN","."),"PIN","."),_xlpm.mainPart,MID(_xlpm.cleanRaw,2,FIND(".",_xlpm.cleanRaw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603122</v>
      </c>
      <c r="I512" t="str">
        <f>""</f>
        <v/>
      </c>
      <c r="J512" t="str">
        <f t="shared" si="7"/>
        <v>P2;GPP_D_9_ISH_SPI_CSB;;0.649999999999998;7.489;505053;809124;603122;</v>
      </c>
    </row>
    <row r="513" spans="1:10">
      <c r="A513" t="s">
        <v>943</v>
      </c>
      <c r="B513" t="str">
        <f>_xlfn.XLOOKUP(A513,'Pinlist(S1)'!$Q$4:$Q$1362,'Pinlist(S1)'!$R$4:$R$1362,"")</f>
        <v>GPP_D_10_ISH_SPI_CLK</v>
      </c>
      <c r="C513" t="str" cm="1">
        <f t="array" ref="C513">_xlfn.TEXTJOIN(",",TRUE,_xlfn.UNIQUE(TRANSPOSE(_xlfn.MAP(_xlfn.XLOOKUP(A513,'Pinlist(S1)'!$C$4:$C$1362,'Pinlist(S1)'!$F$4:$K$1362,""),_xlfn.LAMBDA(_xlpm.x,IF(_xlpm.x&lt;&gt;"",TRIM(CLEAN(LEFT(_xlpm.x,FIND(".",_xlpm.x &amp; ".")-1))),""))))))</f>
        <v/>
      </c>
      <c r="D513">
        <v>1.2999999999999901</v>
      </c>
      <c r="E513">
        <v>7.4889999999999999</v>
      </c>
      <c r="F513" t="str">
        <f>_xlfn.LET(_xlpm.raw,_xlfn.XLOOKUP(A513,'Pinlist(S1)'!$C$4:$C$1362,'Pinlist(S1)'!$E$4:$E$1362,""),_xlpm.cleanRaw,SUBSTITUTE(SUBSTITUTE(_xlpm.raw,"_PIN","."),"PIN","."),_xlpm.mainPart,MID(_xlpm.cleanRaw,2,FIND(".",_xlpm.cleanRaw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508065</v>
      </c>
      <c r="G513" t="str">
        <f>_xlfn.LET(_xlpm.raw,_xlfn.XLOOKUP(A513,'Pinlist(S3)'!$C$4:$C$1362,'Pinlist(S3)'!$E$4:$E$1362,""),_xlpm.cleanRaw,SUBSTITUTE(SUBSTITUTE(_xlpm.raw,"_PIN","."),"PIN","."),_xlpm.mainPart,MID(_xlpm.cleanRaw,2,FIND(".",_xlpm.cleanRaw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806085</v>
      </c>
      <c r="H513" t="str">
        <f>_xlfn.LET(_xlpm.raw,_xlfn.XLOOKUP(A513,'Pinlist(S5)'!$C$4:$C$1362,'Pinlist(S5)'!$E$4:$E$1362,""),_xlpm.cleanRaw,SUBSTITUTE(SUBSTITUTE(_xlpm.raw,"_PIN","."),"PIN","."),_xlpm.mainPart,MID(_xlpm.cleanRaw,2,FIND(".",_xlpm.cleanRaw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602070</v>
      </c>
      <c r="I513" t="str">
        <f>""</f>
        <v/>
      </c>
      <c r="J513" t="str">
        <f t="shared" si="7"/>
        <v>P3;GPP_D_10_ISH_SPI_CLK;;1.29999999999999;7.489;508065;806085;602070;</v>
      </c>
    </row>
    <row r="514" spans="1:10">
      <c r="A514" t="s">
        <v>945</v>
      </c>
      <c r="B514" t="str">
        <f>_xlfn.XLOOKUP(A514,'Pinlist(S1)'!$Q$4:$Q$1362,'Pinlist(S1)'!$R$4:$R$1362,"")</f>
        <v>GPP_D_11_ISH_SPI_MISO</v>
      </c>
      <c r="C514" t="str" cm="1">
        <f t="array" ref="C514">_xlfn.TEXTJOIN(",",TRUE,_xlfn.UNIQUE(TRANSPOSE(_xlfn.MAP(_xlfn.XLOOKUP(A514,'Pinlist(S1)'!$C$4:$C$1362,'Pinlist(S1)'!$F$4:$K$1362,""),_xlfn.LAMBDA(_xlpm.x,IF(_xlpm.x&lt;&gt;"",TRIM(CLEAN(LEFT(_xlpm.x,FIND(".",_xlpm.x &amp; ".")-1))),""))))))</f>
        <v/>
      </c>
      <c r="D514">
        <v>1.9510000000000001</v>
      </c>
      <c r="E514">
        <v>7.4889999999999999</v>
      </c>
      <c r="F514" t="str">
        <f>_xlfn.LET(_xlpm.raw,_xlfn.XLOOKUP(A514,'Pinlist(S1)'!$C$4:$C$1362,'Pinlist(S1)'!$E$4:$E$1362,""),_xlpm.cleanRaw,SUBSTITUTE(SUBSTITUTE(_xlpm.raw,"_PIN","."),"PIN","."),_xlpm.mainPart,MID(_xlpm.cleanRaw,2,FIND(".",_xlpm.cleanRaw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505047</v>
      </c>
      <c r="G514" t="str">
        <f>_xlfn.LET(_xlpm.raw,_xlfn.XLOOKUP(A514,'Pinlist(S3)'!$C$4:$C$1362,'Pinlist(S3)'!$E$4:$E$1362,""),_xlpm.cleanRaw,SUBSTITUTE(SUBSTITUTE(_xlpm.raw,"_PIN","."),"PIN","."),_xlpm.mainPart,MID(_xlpm.cleanRaw,2,FIND(".",_xlpm.cleanRaw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808051</v>
      </c>
      <c r="H514" t="str">
        <f>_xlfn.LET(_xlpm.raw,_xlfn.XLOOKUP(A514,'Pinlist(S5)'!$C$4:$C$1362,'Pinlist(S5)'!$E$4:$E$1362,""),_xlpm.cleanRaw,SUBSTITUTE(SUBSTITUTE(_xlpm.raw,"_PIN","."),"PIN","."),_xlpm.mainPart,MID(_xlpm.cleanRaw,2,FIND(".",_xlpm.cleanRaw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602078</v>
      </c>
      <c r="I514" t="str">
        <f>""</f>
        <v/>
      </c>
      <c r="J514" t="str">
        <f t="shared" ref="J514:J577" si="8">A514&amp;";"&amp;B514&amp;";"&amp;C514&amp;";"&amp;D514&amp;";"&amp;E514&amp;";"&amp;F514&amp;";"&amp;G514&amp;";"&amp;H514&amp;";"&amp;I514</f>
        <v>P4;GPP_D_11_ISH_SPI_MISO;;1.951;7.489;505047;808051;602078;</v>
      </c>
    </row>
    <row r="515" spans="1:10">
      <c r="A515" t="s">
        <v>1783</v>
      </c>
      <c r="B515" t="str">
        <f>_xlfn.XLOOKUP(A515,'Pinlist(S1)'!$Q$4:$Q$1362,'Pinlist(S1)'!$R$4:$R$1362,"")</f>
        <v>VCCMPHYGTAON_1P0</v>
      </c>
      <c r="C515" t="str" cm="1">
        <f t="array" ref="C515">_xlfn.TEXTJOIN(",",TRUE,_xlfn.UNIQUE(TRANSPOSE(_xlfn.MAP(_xlfn.XLOOKUP(A515,'Pinlist(S1)'!$C$4:$C$1362,'Pinlist(S1)'!$F$4:$K$1362,""),_xlfn.LAMBDA(_xlpm.x,IF(_xlpm.x&lt;&gt;"",TRIM(CLEAN(LEFT(_xlpm.x,FIND(".",_xlpm.x &amp; ".")-1))),""))))))</f>
        <v/>
      </c>
      <c r="D515">
        <v>8.1259999999999906</v>
      </c>
      <c r="E515">
        <v>7.952</v>
      </c>
      <c r="F515" t="str">
        <f>_xlfn.LET(_xlpm.raw,_xlfn.XLOOKUP(A515,'Pinlist(S1)'!$C$4:$C$1362,'Pinlist(S1)'!$E$4:$E$1362,""),_xlpm.cleanRaw,SUBSTITUTE(SUBSTITUTE(_xlpm.raw,"_PIN","."),"PIN","."),_xlpm.mainPart,MID(_xlpm.cleanRaw,2,FIND(".",_xlpm.cleanRaw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5" t="str">
        <f>_xlfn.LET(_xlpm.raw,_xlfn.XLOOKUP(A515,'Pinlist(S3)'!$C$4:$C$1362,'Pinlist(S3)'!$E$4:$E$1362,""),_xlpm.cleanRaw,SUBSTITUTE(SUBSTITUTE(_xlpm.raw,"_PIN","."),"PIN","."),_xlpm.mainPart,MID(_xlpm.cleanRaw,2,FIND(".",_xlpm.cleanRaw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5" t="str">
        <f>_xlfn.LET(_xlpm.raw,_xlfn.XLOOKUP(A515,'Pinlist(S5)'!$C$4:$C$1362,'Pinlist(S5)'!$E$4:$E$1362,""),_xlpm.cleanRaw,SUBSTITUTE(SUBSTITUTE(_xlpm.raw,"_PIN","."),"PIN","."),_xlpm.mainPart,MID(_xlpm.cleanRaw,2,FIND(".",_xlpm.cleanRaw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5" t="str">
        <f>""</f>
        <v/>
      </c>
      <c r="J515" t="str">
        <f t="shared" si="8"/>
        <v>P15;VCCMPHYGTAON_1P0;;8.12599999999999;7.952;;;;</v>
      </c>
    </row>
    <row r="516" spans="1:10">
      <c r="A516" t="s">
        <v>1784</v>
      </c>
      <c r="B516" t="str">
        <f>_xlfn.XLOOKUP(A516,'Pinlist(S1)'!$Q$4:$Q$1362,'Pinlist(S1)'!$R$4:$R$1362,"")</f>
        <v>VCCMPHYGTAON_1P0</v>
      </c>
      <c r="C516" t="str" cm="1">
        <f t="array" ref="C516">_xlfn.TEXTJOIN(",",TRUE,_xlfn.UNIQUE(TRANSPOSE(_xlfn.MAP(_xlfn.XLOOKUP(A516,'Pinlist(S1)'!$C$4:$C$1362,'Pinlist(S1)'!$F$4:$K$1362,""),_xlfn.LAMBDA(_xlpm.x,IF(_xlpm.x&lt;&gt;"",TRIM(CLEAN(LEFT(_xlpm.x,FIND(".",_xlpm.x &amp; ".")-1))),""))))))</f>
        <v/>
      </c>
      <c r="D516">
        <v>8.7759999999999998</v>
      </c>
      <c r="E516">
        <v>7.952</v>
      </c>
      <c r="F516" t="str">
        <f>_xlfn.LET(_xlpm.raw,_xlfn.XLOOKUP(A516,'Pinlist(S1)'!$C$4:$C$1362,'Pinlist(S1)'!$E$4:$E$1362,""),_xlpm.cleanRaw,SUBSTITUTE(SUBSTITUTE(_xlpm.raw,"_PIN","."),"PIN","."),_xlpm.mainPart,MID(_xlpm.cleanRaw,2,FIND(".",_xlpm.cleanRaw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6" t="str">
        <f>_xlfn.LET(_xlpm.raw,_xlfn.XLOOKUP(A516,'Pinlist(S3)'!$C$4:$C$1362,'Pinlist(S3)'!$E$4:$E$1362,""),_xlpm.cleanRaw,SUBSTITUTE(SUBSTITUTE(_xlpm.raw,"_PIN","."),"PIN","."),_xlpm.mainPart,MID(_xlpm.cleanRaw,2,FIND(".",_xlpm.cleanRaw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6" t="str">
        <f>_xlfn.LET(_xlpm.raw,_xlfn.XLOOKUP(A516,'Pinlist(S5)'!$C$4:$C$1362,'Pinlist(S5)'!$E$4:$E$1362,""),_xlpm.cleanRaw,SUBSTITUTE(SUBSTITUTE(_xlpm.raw,"_PIN","."),"PIN","."),_xlpm.mainPart,MID(_xlpm.cleanRaw,2,FIND(".",_xlpm.cleanRaw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6" t="str">
        <f>""</f>
        <v/>
      </c>
      <c r="J516" t="str">
        <f t="shared" si="8"/>
        <v>P16;VCCMPHYGTAON_1P0;;8.776;7.952;;;;</v>
      </c>
    </row>
    <row r="517" spans="1:10">
      <c r="A517" t="s">
        <v>2215</v>
      </c>
      <c r="B517" t="str">
        <f>_xlfn.XLOOKUP(A517,'Pinlist(S1)'!$Q$4:$Q$1362,'Pinlist(S1)'!$R$4:$R$1362,"")</f>
        <v>VSS</v>
      </c>
      <c r="C517" t="str" cm="1">
        <f t="array" ref="C517">_xlfn.TEXTJOIN(",",TRUE,_xlfn.UNIQUE(TRANSPOSE(_xlfn.MAP(_xlfn.XLOOKUP(A517,'Pinlist(S1)'!$C$4:$C$1362,'Pinlist(S1)'!$F$4:$K$1362,""),_xlfn.LAMBDA(_xlpm.x,IF(_xlpm.x&lt;&gt;"",TRIM(CLEAN(LEFT(_xlpm.x,FIND(".",_xlpm.x &amp; ".")-1))),""))))))</f>
        <v/>
      </c>
      <c r="D517">
        <v>9.4260000000000002</v>
      </c>
      <c r="E517">
        <v>7.952</v>
      </c>
      <c r="F517" t="str">
        <f>_xlfn.LET(_xlpm.raw,_xlfn.XLOOKUP(A517,'Pinlist(S1)'!$C$4:$C$1362,'Pinlist(S1)'!$E$4:$E$1362,""),_xlpm.cleanRaw,SUBSTITUTE(SUBSTITUTE(_xlpm.raw,"_PIN","."),"PIN","."),_xlpm.mainPart,MID(_xlpm.cleanRaw,2,FIND(".",_xlpm.cleanRaw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7" t="str">
        <f>_xlfn.LET(_xlpm.raw,_xlfn.XLOOKUP(A517,'Pinlist(S3)'!$C$4:$C$1362,'Pinlist(S3)'!$E$4:$E$1362,""),_xlpm.cleanRaw,SUBSTITUTE(SUBSTITUTE(_xlpm.raw,"_PIN","."),"PIN","."),_xlpm.mainPart,MID(_xlpm.cleanRaw,2,FIND(".",_xlpm.cleanRaw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7" t="str">
        <f>_xlfn.LET(_xlpm.raw,_xlfn.XLOOKUP(A517,'Pinlist(S5)'!$C$4:$C$1362,'Pinlist(S5)'!$E$4:$E$1362,""),_xlpm.cleanRaw,SUBSTITUTE(SUBSTITUTE(_xlpm.raw,"_PIN","."),"PIN","."),_xlpm.mainPart,MID(_xlpm.cleanRaw,2,FIND(".",_xlpm.cleanRaw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7" t="str">
        <f>""</f>
        <v/>
      </c>
      <c r="J517" t="str">
        <f t="shared" si="8"/>
        <v>P17;VSS;;9.426;7.952;;;;</v>
      </c>
    </row>
    <row r="518" spans="1:10">
      <c r="A518" t="s">
        <v>1817</v>
      </c>
      <c r="B518" t="str">
        <f>_xlfn.XLOOKUP(A518,'Pinlist(S1)'!$Q$4:$Q$1362,'Pinlist(S1)'!$R$4:$R$1362,"")</f>
        <v>VCCPRIM_1P0</v>
      </c>
      <c r="C518" t="str" cm="1">
        <f t="array" ref="C518">_xlfn.TEXTJOIN(",",TRUE,_xlfn.UNIQUE(TRANSPOSE(_xlfn.MAP(_xlfn.XLOOKUP(A518,'Pinlist(S1)'!$C$4:$C$1362,'Pinlist(S1)'!$F$4:$K$1362,""),_xlfn.LAMBDA(_xlpm.x,IF(_xlpm.x&lt;&gt;"",TRIM(CLEAN(LEFT(_xlpm.x,FIND(".",_xlpm.x &amp; ".")-1))),""))))))</f>
        <v/>
      </c>
      <c r="D518">
        <v>10.076000000000001</v>
      </c>
      <c r="E518">
        <v>7.952</v>
      </c>
      <c r="F518" t="str">
        <f>_xlfn.LET(_xlpm.raw,_xlfn.XLOOKUP(A518,'Pinlist(S1)'!$C$4:$C$1362,'Pinlist(S1)'!$E$4:$E$1362,""),_xlpm.cleanRaw,SUBSTITUTE(SUBSTITUTE(_xlpm.raw,"_PIN","."),"PIN","."),_xlpm.mainPart,MID(_xlpm.cleanRaw,2,FIND(".",_xlpm.cleanRaw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8" t="str">
        <f>_xlfn.LET(_xlpm.raw,_xlfn.XLOOKUP(A518,'Pinlist(S3)'!$C$4:$C$1362,'Pinlist(S3)'!$E$4:$E$1362,""),_xlpm.cleanRaw,SUBSTITUTE(SUBSTITUTE(_xlpm.raw,"_PIN","."),"PIN","."),_xlpm.mainPart,MID(_xlpm.cleanRaw,2,FIND(".",_xlpm.cleanRaw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8" t="str">
        <f>_xlfn.LET(_xlpm.raw,_xlfn.XLOOKUP(A518,'Pinlist(S5)'!$C$4:$C$1362,'Pinlist(S5)'!$E$4:$E$1362,""),_xlpm.cleanRaw,SUBSTITUTE(SUBSTITUTE(_xlpm.raw,"_PIN","."),"PIN","."),_xlpm.mainPart,MID(_xlpm.cleanRaw,2,FIND(".",_xlpm.cleanRaw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8" t="str">
        <f>""</f>
        <v/>
      </c>
      <c r="J518" t="str">
        <f t="shared" si="8"/>
        <v>P18;VCCPRIM_1P0;;10.076;7.952;;;;</v>
      </c>
    </row>
    <row r="519" spans="1:10">
      <c r="A519" t="s">
        <v>2216</v>
      </c>
      <c r="B519" t="str">
        <f>_xlfn.XLOOKUP(A519,'Pinlist(S1)'!$Q$4:$Q$1362,'Pinlist(S1)'!$R$4:$R$1362,"")</f>
        <v>VSS</v>
      </c>
      <c r="C519" t="str" cm="1">
        <f t="array" ref="C519">_xlfn.TEXTJOIN(",",TRUE,_xlfn.UNIQUE(TRANSPOSE(_xlfn.MAP(_xlfn.XLOOKUP(A519,'Pinlist(S1)'!$C$4:$C$1362,'Pinlist(S1)'!$F$4:$K$1362,""),_xlfn.LAMBDA(_xlpm.x,IF(_xlpm.x&lt;&gt;"",TRIM(CLEAN(LEFT(_xlpm.x,FIND(".",_xlpm.x &amp; ".")-1))),""))))))</f>
        <v/>
      </c>
      <c r="D519">
        <v>10.727</v>
      </c>
      <c r="E519">
        <v>7.952</v>
      </c>
      <c r="F519" t="str">
        <f>_xlfn.LET(_xlpm.raw,_xlfn.XLOOKUP(A519,'Pinlist(S1)'!$C$4:$C$1362,'Pinlist(S1)'!$E$4:$E$1362,""),_xlpm.cleanRaw,SUBSTITUTE(SUBSTITUTE(_xlpm.raw,"_PIN","."),"PIN","."),_xlpm.mainPart,MID(_xlpm.cleanRaw,2,FIND(".",_xlpm.cleanRaw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9" t="str">
        <f>_xlfn.LET(_xlpm.raw,_xlfn.XLOOKUP(A519,'Pinlist(S3)'!$C$4:$C$1362,'Pinlist(S3)'!$E$4:$E$1362,""),_xlpm.cleanRaw,SUBSTITUTE(SUBSTITUTE(_xlpm.raw,"_PIN","."),"PIN","."),_xlpm.mainPart,MID(_xlpm.cleanRaw,2,FIND(".",_xlpm.cleanRaw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9" t="str">
        <f>_xlfn.LET(_xlpm.raw,_xlfn.XLOOKUP(A519,'Pinlist(S5)'!$C$4:$C$1362,'Pinlist(S5)'!$E$4:$E$1362,""),_xlpm.cleanRaw,SUBSTITUTE(SUBSTITUTE(_xlpm.raw,"_PIN","."),"PIN","."),_xlpm.mainPart,MID(_xlpm.cleanRaw,2,FIND(".",_xlpm.cleanRaw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9" t="str">
        <f>""</f>
        <v/>
      </c>
      <c r="J519" t="str">
        <f t="shared" si="8"/>
        <v>P19;VSS;;10.727;7.952;;;;</v>
      </c>
    </row>
    <row r="520" spans="1:10">
      <c r="A520" t="s">
        <v>2217</v>
      </c>
      <c r="B520" t="str">
        <f>_xlfn.XLOOKUP(A520,'Pinlist(S1)'!$Q$4:$Q$1362,'Pinlist(S1)'!$R$4:$R$1362,"")</f>
        <v>VSS</v>
      </c>
      <c r="C520" t="str" cm="1">
        <f t="array" ref="C520">_xlfn.TEXTJOIN(",",TRUE,_xlfn.UNIQUE(TRANSPOSE(_xlfn.MAP(_xlfn.XLOOKUP(A520,'Pinlist(S1)'!$C$4:$C$1362,'Pinlist(S1)'!$F$4:$K$1362,""),_xlfn.LAMBDA(_xlpm.x,IF(_xlpm.x&lt;&gt;"",TRIM(CLEAN(LEFT(_xlpm.x,FIND(".",_xlpm.x &amp; ".")-1))),""))))))</f>
        <v/>
      </c>
      <c r="D520">
        <v>11.377000000000001</v>
      </c>
      <c r="E520">
        <v>7.952</v>
      </c>
      <c r="F520" t="str">
        <f>_xlfn.LET(_xlpm.raw,_xlfn.XLOOKUP(A520,'Pinlist(S1)'!$C$4:$C$1362,'Pinlist(S1)'!$E$4:$E$1362,""),_xlpm.cleanRaw,SUBSTITUTE(SUBSTITUTE(_xlpm.raw,"_PIN","."),"PIN","."),_xlpm.mainPart,MID(_xlpm.cleanRaw,2,FIND(".",_xlpm.cleanRaw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0" t="str">
        <f>_xlfn.LET(_xlpm.raw,_xlfn.XLOOKUP(A520,'Pinlist(S3)'!$C$4:$C$1362,'Pinlist(S3)'!$E$4:$E$1362,""),_xlpm.cleanRaw,SUBSTITUTE(SUBSTITUTE(_xlpm.raw,"_PIN","."),"PIN","."),_xlpm.mainPart,MID(_xlpm.cleanRaw,2,FIND(".",_xlpm.cleanRaw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0" t="str">
        <f>_xlfn.LET(_xlpm.raw,_xlfn.XLOOKUP(A520,'Pinlist(S5)'!$C$4:$C$1362,'Pinlist(S5)'!$E$4:$E$1362,""),_xlpm.cleanRaw,SUBSTITUTE(SUBSTITUTE(_xlpm.raw,"_PIN","."),"PIN","."),_xlpm.mainPart,MID(_xlpm.cleanRaw,2,FIND(".",_xlpm.cleanRaw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0" t="str">
        <f>""</f>
        <v/>
      </c>
      <c r="J520" t="str">
        <f t="shared" si="8"/>
        <v>P20;VSS;;11.377;7.952;;;;</v>
      </c>
    </row>
    <row r="521" spans="1:10">
      <c r="A521" t="s">
        <v>2218</v>
      </c>
      <c r="B521" t="str">
        <f>_xlfn.XLOOKUP(A521,'Pinlist(S1)'!$Q$4:$Q$1362,'Pinlist(S1)'!$R$4:$R$1362,"")</f>
        <v>VSS</v>
      </c>
      <c r="C521" t="str" cm="1">
        <f t="array" ref="C521">_xlfn.TEXTJOIN(",",TRUE,_xlfn.UNIQUE(TRANSPOSE(_xlfn.MAP(_xlfn.XLOOKUP(A521,'Pinlist(S1)'!$C$4:$C$1362,'Pinlist(S1)'!$F$4:$K$1362,""),_xlfn.LAMBDA(_xlpm.x,IF(_xlpm.x&lt;&gt;"",TRIM(CLEAN(LEFT(_xlpm.x,FIND(".",_xlpm.x &amp; ".")-1))),""))))))</f>
        <v/>
      </c>
      <c r="D521">
        <v>12.026999999999999</v>
      </c>
      <c r="E521">
        <v>7.952</v>
      </c>
      <c r="F521" t="str">
        <f>_xlfn.LET(_xlpm.raw,_xlfn.XLOOKUP(A521,'Pinlist(S1)'!$C$4:$C$1362,'Pinlist(S1)'!$E$4:$E$1362,""),_xlpm.cleanRaw,SUBSTITUTE(SUBSTITUTE(_xlpm.raw,"_PIN","."),"PIN","."),_xlpm.mainPart,MID(_xlpm.cleanRaw,2,FIND(".",_xlpm.cleanRaw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1" t="str">
        <f>_xlfn.LET(_xlpm.raw,_xlfn.XLOOKUP(A521,'Pinlist(S3)'!$C$4:$C$1362,'Pinlist(S3)'!$E$4:$E$1362,""),_xlpm.cleanRaw,SUBSTITUTE(SUBSTITUTE(_xlpm.raw,"_PIN","."),"PIN","."),_xlpm.mainPart,MID(_xlpm.cleanRaw,2,FIND(".",_xlpm.cleanRaw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1" t="str">
        <f>_xlfn.LET(_xlpm.raw,_xlfn.XLOOKUP(A521,'Pinlist(S5)'!$C$4:$C$1362,'Pinlist(S5)'!$E$4:$E$1362,""),_xlpm.cleanRaw,SUBSTITUTE(SUBSTITUTE(_xlpm.raw,"_PIN","."),"PIN","."),_xlpm.mainPart,MID(_xlpm.cleanRaw,2,FIND(".",_xlpm.cleanRaw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1" t="str">
        <f>""</f>
        <v/>
      </c>
      <c r="J521" t="str">
        <f t="shared" si="8"/>
        <v>P21;VSS;;12.027;7.952;;;;</v>
      </c>
    </row>
    <row r="522" spans="1:10">
      <c r="A522" t="s">
        <v>1618</v>
      </c>
      <c r="B522" t="str">
        <f>_xlfn.XLOOKUP(A522,'Pinlist(S1)'!$Q$4:$Q$1362,'Pinlist(S1)'!$R$4:$R$1362,"")</f>
        <v>VCCEDRAM</v>
      </c>
      <c r="C522" t="str" cm="1">
        <f t="array" ref="C522">_xlfn.TEXTJOIN(",",TRUE,_xlfn.UNIQUE(TRANSPOSE(_xlfn.MAP(_xlfn.XLOOKUP(A522,'Pinlist(S1)'!$C$4:$C$1362,'Pinlist(S1)'!$F$4:$K$1362,""),_xlfn.LAMBDA(_xlpm.x,IF(_xlpm.x&lt;&gt;"",TRIM(CLEAN(LEFT(_xlpm.x,FIND(".",_xlpm.x &amp; ".")-1))),""))))))</f>
        <v/>
      </c>
      <c r="D522">
        <v>34.957999999999998</v>
      </c>
      <c r="E522">
        <v>7.5179999999999998</v>
      </c>
      <c r="F522" t="str">
        <f>_xlfn.LET(_xlpm.raw,_xlfn.XLOOKUP(A522,'Pinlist(S1)'!$C$4:$C$1362,'Pinlist(S1)'!$E$4:$E$1362,""),_xlpm.cleanRaw,SUBSTITUTE(SUBSTITUTE(_xlpm.raw,"_PIN","."),"PIN","."),_xlpm.mainPart,MID(_xlpm.cleanRaw,2,FIND(".",_xlpm.cleanRaw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2" t="str">
        <f>_xlfn.LET(_xlpm.raw,_xlfn.XLOOKUP(A522,'Pinlist(S3)'!$C$4:$C$1362,'Pinlist(S3)'!$E$4:$E$1362,""),_xlpm.cleanRaw,SUBSTITUTE(SUBSTITUTE(_xlpm.raw,"_PIN","."),"PIN","."),_xlpm.mainPart,MID(_xlpm.cleanRaw,2,FIND(".",_xlpm.cleanRaw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2" t="str">
        <f>_xlfn.LET(_xlpm.raw,_xlfn.XLOOKUP(A522,'Pinlist(S5)'!$C$4:$C$1362,'Pinlist(S5)'!$E$4:$E$1362,""),_xlpm.cleanRaw,SUBSTITUTE(SUBSTITUTE(_xlpm.raw,"_PIN","."),"PIN","."),_xlpm.mainPart,MID(_xlpm.cleanRaw,2,FIND(".",_xlpm.cleanRaw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2" t="str">
        <f>""</f>
        <v/>
      </c>
      <c r="J522" t="str">
        <f t="shared" si="8"/>
        <v>P62;VCCEDRAM;;34.958;7.518;;;;</v>
      </c>
    </row>
    <row r="523" spans="1:10">
      <c r="A523" t="s">
        <v>2220</v>
      </c>
      <c r="B523" t="str">
        <f>_xlfn.XLOOKUP(A523,'Pinlist(S1)'!$Q$4:$Q$1362,'Pinlist(S1)'!$R$4:$R$1362,"")</f>
        <v>VSS</v>
      </c>
      <c r="C523" t="str" cm="1">
        <f t="array" ref="C523">_xlfn.TEXTJOIN(",",TRUE,_xlfn.UNIQUE(TRANSPOSE(_xlfn.MAP(_xlfn.XLOOKUP(A523,'Pinlist(S1)'!$C$4:$C$1362,'Pinlist(S1)'!$F$4:$K$1362,""),_xlfn.LAMBDA(_xlpm.x,IF(_xlpm.x&lt;&gt;"",TRIM(CLEAN(LEFT(_xlpm.x,FIND(".",_xlpm.x &amp; ".")-1))),""))))))</f>
        <v/>
      </c>
      <c r="D523">
        <v>2.7289999999999899</v>
      </c>
      <c r="E523">
        <v>7.98</v>
      </c>
      <c r="F523" t="str">
        <f>_xlfn.LET(_xlpm.raw,_xlfn.XLOOKUP(A523,'Pinlist(S1)'!$C$4:$C$1362,'Pinlist(S1)'!$E$4:$E$1362,""),_xlpm.cleanRaw,SUBSTITUTE(SUBSTITUTE(_xlpm.raw,"_PIN","."),"PIN","."),_xlpm.mainPart,MID(_xlpm.cleanRaw,2,FIND(".",_xlpm.cleanRaw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3" t="str">
        <f>_xlfn.LET(_xlpm.raw,_xlfn.XLOOKUP(A523,'Pinlist(S3)'!$C$4:$C$1362,'Pinlist(S3)'!$E$4:$E$1362,""),_xlpm.cleanRaw,SUBSTITUTE(SUBSTITUTE(_xlpm.raw,"_PIN","."),"PIN","."),_xlpm.mainPart,MID(_xlpm.cleanRaw,2,FIND(".",_xlpm.cleanRaw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3" t="str">
        <f>_xlfn.LET(_xlpm.raw,_xlfn.XLOOKUP(A523,'Pinlist(S5)'!$C$4:$C$1362,'Pinlist(S5)'!$E$4:$E$1362,""),_xlpm.cleanRaw,SUBSTITUTE(SUBSTITUTE(_xlpm.raw,"_PIN","."),"PIN","."),_xlpm.mainPart,MID(_xlpm.cleanRaw,2,FIND(".",_xlpm.cleanRaw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3" t="str">
        <f>""</f>
        <v/>
      </c>
      <c r="J523" t="str">
        <f t="shared" si="8"/>
        <v>R6;VSS;;2.72899999999999;7.98;;;;</v>
      </c>
    </row>
    <row r="524" spans="1:10">
      <c r="A524" t="s">
        <v>891</v>
      </c>
      <c r="B524" t="str">
        <f>_xlfn.XLOOKUP(A524,'Pinlist(S1)'!$Q$4:$Q$1362,'Pinlist(S1)'!$R$4:$R$1362,"")</f>
        <v>GPP_C_0_SMBCLK</v>
      </c>
      <c r="C524" t="str" cm="1">
        <f t="array" ref="C524">_xlfn.TEXTJOIN(",",TRUE,_xlfn.UNIQUE(TRANSPOSE(_xlfn.MAP(_xlfn.XLOOKUP(A524,'Pinlist(S1)'!$C$4:$C$1362,'Pinlist(S1)'!$F$4:$K$1362,""),_xlfn.LAMBDA(_xlpm.x,IF(_xlpm.x&lt;&gt;"",TRIM(CLEAN(LEFT(_xlpm.x,FIND(".",_xlpm.x &amp; ".")-1))),""))))))</f>
        <v/>
      </c>
      <c r="D524">
        <v>3.379</v>
      </c>
      <c r="E524">
        <v>7.98</v>
      </c>
      <c r="F524" t="str">
        <f>_xlfn.LET(_xlpm.raw,_xlfn.XLOOKUP(A524,'Pinlist(S1)'!$C$4:$C$1362,'Pinlist(S1)'!$E$4:$E$1362,""),_xlpm.cleanRaw,SUBSTITUTE(SUBSTITUTE(_xlpm.raw,"_PIN","."),"PIN","."),_xlpm.mainPart,MID(_xlpm.cleanRaw,2,FIND(".",_xlpm.cleanRaw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505055</v>
      </c>
      <c r="G524" t="str">
        <f>_xlfn.LET(_xlpm.raw,_xlfn.XLOOKUP(A524,'Pinlist(S3)'!$C$4:$C$1362,'Pinlist(S3)'!$E$4:$E$1362,""),_xlpm.cleanRaw,SUBSTITUTE(SUBSTITUTE(_xlpm.raw,"_PIN","."),"PIN","."),_xlpm.mainPart,MID(_xlpm.cleanRaw,2,FIND(".",_xlpm.cleanRaw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808047</v>
      </c>
      <c r="H524" t="str">
        <f>_xlfn.LET(_xlpm.raw,_xlfn.XLOOKUP(A524,'Pinlist(S5)'!$C$4:$C$1362,'Pinlist(S5)'!$E$4:$E$1362,""),_xlpm.cleanRaw,SUBSTITUTE(SUBSTITUTE(_xlpm.raw,"_PIN","."),"PIN","."),_xlpm.mainPart,MID(_xlpm.cleanRaw,2,FIND(".",_xlpm.cleanRaw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602073</v>
      </c>
      <c r="I524" t="str">
        <f>""</f>
        <v/>
      </c>
      <c r="J524" t="str">
        <f t="shared" si="8"/>
        <v>R7;GPP_C_0_SMBCLK;;3.379;7.98;505055;808047;602073;</v>
      </c>
    </row>
    <row r="525" spans="1:10">
      <c r="A525" t="s">
        <v>893</v>
      </c>
      <c r="B525" t="str">
        <f>_xlfn.XLOOKUP(A525,'Pinlist(S1)'!$Q$4:$Q$1362,'Pinlist(S1)'!$R$4:$R$1362,"")</f>
        <v>GPP_C_1_SMBDATA</v>
      </c>
      <c r="C525" t="str" cm="1">
        <f t="array" ref="C525">_xlfn.TEXTJOIN(",",TRUE,_xlfn.UNIQUE(TRANSPOSE(_xlfn.MAP(_xlfn.XLOOKUP(A525,'Pinlist(S1)'!$C$4:$C$1362,'Pinlist(S1)'!$F$4:$K$1362,""),_xlfn.LAMBDA(_xlpm.x,IF(_xlpm.x&lt;&gt;"",TRIM(CLEAN(LEFT(_xlpm.x,FIND(".",_xlpm.x &amp; ".")-1))),""))))))</f>
        <v/>
      </c>
      <c r="D525">
        <v>4.0289999999999901</v>
      </c>
      <c r="E525">
        <v>7.98</v>
      </c>
      <c r="F525" t="str">
        <f>_xlfn.LET(_xlpm.raw,_xlfn.XLOOKUP(A525,'Pinlist(S1)'!$C$4:$C$1362,'Pinlist(S1)'!$E$4:$E$1362,""),_xlpm.cleanRaw,SUBSTITUTE(SUBSTITUTE(_xlpm.raw,"_PIN","."),"PIN","."),_xlpm.mainPart,MID(_xlpm.cleanRaw,2,FIND(".",_xlpm.cleanRaw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506018</v>
      </c>
      <c r="G525" t="str">
        <f>_xlfn.LET(_xlpm.raw,_xlfn.XLOOKUP(A525,'Pinlist(S3)'!$C$4:$C$1362,'Pinlist(S3)'!$E$4:$E$1362,""),_xlpm.cleanRaw,SUBSTITUTE(SUBSTITUTE(_xlpm.raw,"_PIN","."),"PIN","."),_xlpm.mainPart,MID(_xlpm.cleanRaw,2,FIND(".",_xlpm.cleanRaw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808070</v>
      </c>
      <c r="H525" t="str">
        <f>_xlfn.LET(_xlpm.raw,_xlfn.XLOOKUP(A525,'Pinlist(S5)'!$C$4:$C$1362,'Pinlist(S5)'!$E$4:$E$1362,""),_xlpm.cleanRaw,SUBSTITUTE(SUBSTITUTE(_xlpm.raw,"_PIN","."),"PIN","."),_xlpm.mainPart,MID(_xlpm.cleanRaw,2,FIND(".",_xlpm.cleanRaw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602047</v>
      </c>
      <c r="I525" t="str">
        <f>""</f>
        <v/>
      </c>
      <c r="J525" t="str">
        <f t="shared" si="8"/>
        <v>R8;GPP_C_1_SMBDATA;;4.02899999999999;7.98;506018;808070;602047;</v>
      </c>
    </row>
    <row r="526" spans="1:10">
      <c r="A526" t="s">
        <v>925</v>
      </c>
      <c r="B526" t="str">
        <f>_xlfn.XLOOKUP(A526,'Pinlist(S1)'!$Q$4:$Q$1362,'Pinlist(S1)'!$R$4:$R$1362,"")</f>
        <v>GPP_C_3_SML0CLK</v>
      </c>
      <c r="C526" t="str" cm="1">
        <f t="array" ref="C526">_xlfn.TEXTJOIN(",",TRUE,_xlfn.UNIQUE(TRANSPOSE(_xlfn.MAP(_xlfn.XLOOKUP(A526,'Pinlist(S1)'!$C$4:$C$1362,'Pinlist(S1)'!$F$4:$K$1362,""),_xlfn.LAMBDA(_xlpm.x,IF(_xlpm.x&lt;&gt;"",TRIM(CLEAN(LEFT(_xlpm.x,FIND(".",_xlpm.x &amp; ".")-1))),""))))))</f>
        <v/>
      </c>
      <c r="D526">
        <v>4.6790000000000003</v>
      </c>
      <c r="E526">
        <v>7.98</v>
      </c>
      <c r="F526" t="str">
        <f>_xlfn.LET(_xlpm.raw,_xlfn.XLOOKUP(A526,'Pinlist(S1)'!$C$4:$C$1362,'Pinlist(S1)'!$E$4:$E$1362,""),_xlpm.cleanRaw,SUBSTITUTE(SUBSTITUTE(_xlpm.raw,"_PIN","."),"PIN","."),_xlpm.mainPart,MID(_xlpm.cleanRaw,2,FIND(".",_xlpm.cleanRaw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505045</v>
      </c>
      <c r="G526" t="str">
        <f>_xlfn.LET(_xlpm.raw,_xlfn.XLOOKUP(A526,'Pinlist(S3)'!$C$4:$C$1362,'Pinlist(S3)'!$E$4:$E$1362,""),_xlpm.cleanRaw,SUBSTITUTE(SUBSTITUTE(_xlpm.raw,"_PIN","."),"PIN","."),_xlpm.mainPart,MID(_xlpm.cleanRaw,2,FIND(".",_xlpm.cleanRaw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808079</v>
      </c>
      <c r="H526" t="str">
        <f>_xlfn.LET(_xlpm.raw,_xlfn.XLOOKUP(A526,'Pinlist(S5)'!$C$4:$C$1362,'Pinlist(S5)'!$E$4:$E$1362,""),_xlpm.cleanRaw,SUBSTITUTE(SUBSTITUTE(_xlpm.raw,"_PIN","."),"PIN","."),_xlpm.mainPart,MID(_xlpm.cleanRaw,2,FIND(".",_xlpm.cleanRaw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602080</v>
      </c>
      <c r="I526" t="str">
        <f>""</f>
        <v/>
      </c>
      <c r="J526" t="str">
        <f t="shared" si="8"/>
        <v>R9;GPP_C_3_SML0CLK;;4.679;7.98;505045;808079;602080;</v>
      </c>
    </row>
    <row r="527" spans="1:10">
      <c r="A527" t="s">
        <v>915</v>
      </c>
      <c r="B527" t="str">
        <f>_xlfn.XLOOKUP(A527,'Pinlist(S1)'!$Q$4:$Q$1362,'Pinlist(S1)'!$R$4:$R$1362,"")</f>
        <v>GPP_C_2_SMBALERTB</v>
      </c>
      <c r="C527" t="str" cm="1">
        <f t="array" ref="C527">_xlfn.TEXTJOIN(",",TRUE,_xlfn.UNIQUE(TRANSPOSE(_xlfn.MAP(_xlfn.XLOOKUP(A527,'Pinlist(S1)'!$C$4:$C$1362,'Pinlist(S1)'!$F$4:$K$1362,""),_xlfn.LAMBDA(_xlpm.x,IF(_xlpm.x&lt;&gt;"",TRIM(CLEAN(LEFT(_xlpm.x,FIND(".",_xlpm.x &amp; ".")-1))),""))))))</f>
        <v/>
      </c>
      <c r="D527">
        <v>5.3289999999999997</v>
      </c>
      <c r="E527">
        <v>7.98</v>
      </c>
      <c r="F527" t="str">
        <f>_xlfn.LET(_xlpm.raw,_xlfn.XLOOKUP(A527,'Pinlist(S1)'!$C$4:$C$1362,'Pinlist(S1)'!$E$4:$E$1362,""),_xlpm.cleanRaw,SUBSTITUTE(SUBSTITUTE(_xlpm.raw,"_PIN","."),"PIN","."),_xlpm.mainPart,MID(_xlpm.cleanRaw,2,FIND(".",_xlpm.cleanRaw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507116</v>
      </c>
      <c r="G527" t="str">
        <f>_xlfn.LET(_xlpm.raw,_xlfn.XLOOKUP(A527,'Pinlist(S3)'!$C$4:$C$1362,'Pinlist(S3)'!$E$4:$E$1362,""),_xlpm.cleanRaw,SUBSTITUTE(SUBSTITUTE(_xlpm.raw,"_PIN","."),"PIN","."),_xlpm.mainPart,MID(_xlpm.cleanRaw,2,FIND(".",_xlpm.cleanRaw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806106</v>
      </c>
      <c r="H527" t="str">
        <f>_xlfn.LET(_xlpm.raw,_xlfn.XLOOKUP(A527,'Pinlist(S5)'!$C$4:$C$1362,'Pinlist(S5)'!$E$4:$E$1362,""),_xlpm.cleanRaw,SUBSTITUTE(SUBSTITUTE(_xlpm.raw,"_PIN","."),"PIN","."),_xlpm.mainPart,MID(_xlpm.cleanRaw,2,FIND(".",_xlpm.cleanRaw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701099</v>
      </c>
      <c r="I527" t="str">
        <f>""</f>
        <v/>
      </c>
      <c r="J527" t="str">
        <f t="shared" si="8"/>
        <v>R10;GPP_C_2_SMBALERTB;;5.329;7.98;507116;806106;701099;</v>
      </c>
    </row>
    <row r="528" spans="1:10">
      <c r="A528" t="s">
        <v>1126</v>
      </c>
      <c r="B528" t="str">
        <f>_xlfn.XLOOKUP(A528,'Pinlist(S1)'!$Q$4:$Q$1362,'Pinlist(S1)'!$R$4:$R$1362,"")</f>
        <v>L_BKLTCTL</v>
      </c>
      <c r="C528" t="str" cm="1">
        <f t="array" ref="C528">_xlfn.TEXTJOIN(",",TRUE,_xlfn.UNIQUE(TRANSPOSE(_xlfn.MAP(_xlfn.XLOOKUP(A528,'Pinlist(S1)'!$C$4:$C$1362,'Pinlist(S1)'!$F$4:$K$1362,""),_xlfn.LAMBDA(_xlpm.x,IF(_xlpm.x&lt;&gt;"",TRIM(CLEAN(LEFT(_xlpm.x,FIND(".",_xlpm.x &amp; ".")-1))),""))))))</f>
        <v>KA110</v>
      </c>
      <c r="D528">
        <v>5.98</v>
      </c>
      <c r="E528">
        <v>7.98</v>
      </c>
      <c r="F528" t="str">
        <f>_xlfn.LET(_xlpm.raw,_xlfn.XLOOKUP(A528,'Pinlist(S1)'!$C$4:$C$1362,'Pinlist(S1)'!$E$4:$E$1362,""),_xlpm.cleanRaw,SUBSTITUTE(SUBSTITUTE(_xlpm.raw,"_PIN","."),"PIN","."),_xlpm.mainPart,MID(_xlpm.cleanRaw,2,FIND(".",_xlpm.cleanRaw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528" t="str">
        <f>_xlfn.LET(_xlpm.raw,_xlfn.XLOOKUP(A528,'Pinlist(S3)'!$C$4:$C$1362,'Pinlist(S3)'!$E$4:$E$1362,""),_xlpm.cleanRaw,SUBSTITUTE(SUBSTITUTE(_xlpm.raw,"_PIN","."),"PIN","."),_xlpm.mainPart,MID(_xlpm.cleanRaw,2,FIND(".",_xlpm.cleanRaw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528" t="str">
        <f>_xlfn.LET(_xlpm.raw,_xlfn.XLOOKUP(A528,'Pinlist(S5)'!$C$4:$C$1362,'Pinlist(S5)'!$E$4:$E$1362,""),_xlpm.cleanRaw,SUBSTITUTE(SUBSTITUTE(_xlpm.raw,"_PIN","."),"PIN","."),_xlpm.mainPart,MID(_xlpm.cleanRaw,2,FIND(".",_xlpm.cleanRaw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528" t="str">
        <f>""</f>
        <v/>
      </c>
      <c r="J528" t="str">
        <f t="shared" si="8"/>
        <v>R11;L_BKLTCTL;KA110;5.98;7.98;509034;804039;702041;</v>
      </c>
    </row>
    <row r="529" spans="1:10">
      <c r="A529" t="s">
        <v>1128</v>
      </c>
      <c r="B529" t="str">
        <f>_xlfn.XLOOKUP(A529,'Pinlist(S1)'!$Q$4:$Q$1362,'Pinlist(S1)'!$R$4:$R$1362,"")</f>
        <v>L_BKLTEN</v>
      </c>
      <c r="C529" t="str" cm="1">
        <f t="array" ref="C529">_xlfn.TEXTJOIN(",",TRUE,_xlfn.UNIQUE(TRANSPOSE(_xlfn.MAP(_xlfn.XLOOKUP(A529,'Pinlist(S1)'!$C$4:$C$1362,'Pinlist(S1)'!$F$4:$K$1362,""),_xlfn.LAMBDA(_xlpm.x,IF(_xlpm.x&lt;&gt;"",TRIM(CLEAN(LEFT(_xlpm.x,FIND(".",_xlpm.x &amp; ".")-1))),""))))))</f>
        <v>KA110</v>
      </c>
      <c r="D529">
        <v>6.63</v>
      </c>
      <c r="E529">
        <v>7.98</v>
      </c>
      <c r="F529" t="str">
        <f>_xlfn.LET(_xlpm.raw,_xlfn.XLOOKUP(A529,'Pinlist(S1)'!$C$4:$C$1362,'Pinlist(S1)'!$E$4:$E$1362,""),_xlpm.cleanRaw,SUBSTITUTE(SUBSTITUTE(_xlpm.raw,"_PIN","."),"PIN","."),_xlpm.mainPart,MID(_xlpm.cleanRaw,2,FIND(".",_xlpm.cleanRaw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529" t="str">
        <f>_xlfn.LET(_xlpm.raw,_xlfn.XLOOKUP(A529,'Pinlist(S3)'!$C$4:$C$1362,'Pinlist(S3)'!$E$4:$E$1362,""),_xlpm.cleanRaw,SUBSTITUTE(SUBSTITUTE(_xlpm.raw,"_PIN","."),"PIN","."),_xlpm.mainPart,MID(_xlpm.cleanRaw,2,FIND(".",_xlpm.cleanRaw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529" t="str">
        <f>_xlfn.LET(_xlpm.raw,_xlfn.XLOOKUP(A529,'Pinlist(S5)'!$C$4:$C$1362,'Pinlist(S5)'!$E$4:$E$1362,""),_xlpm.cleanRaw,SUBSTITUTE(SUBSTITUTE(_xlpm.raw,"_PIN","."),"PIN","."),_xlpm.mainPart,MID(_xlpm.cleanRaw,2,FIND(".",_xlpm.cleanRaw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529" t="str">
        <f>""</f>
        <v/>
      </c>
      <c r="J529" t="str">
        <f t="shared" si="8"/>
        <v>R12;L_BKLTEN;KA110;6.63;7.98;509031;804040;703004;</v>
      </c>
    </row>
    <row r="530" spans="1:10">
      <c r="A530" t="s">
        <v>2219</v>
      </c>
      <c r="B530" t="str">
        <f>_xlfn.XLOOKUP(A530,'Pinlist(S1)'!$Q$4:$Q$1362,'Pinlist(S1)'!$R$4:$R$1362,"")</f>
        <v>VSS</v>
      </c>
      <c r="C530" t="str" cm="1">
        <f t="array" ref="C530">_xlfn.TEXTJOIN(",",TRUE,_xlfn.UNIQUE(TRANSPOSE(_xlfn.MAP(_xlfn.XLOOKUP(A530,'Pinlist(S1)'!$C$4:$C$1362,'Pinlist(S1)'!$F$4:$K$1362,""),_xlfn.LAMBDA(_xlpm.x,IF(_xlpm.x&lt;&gt;"",TRIM(CLEAN(LEFT(_xlpm.x,FIND(".",_xlpm.x &amp; ".")-1))),""))))))</f>
        <v/>
      </c>
      <c r="D530">
        <v>7.28</v>
      </c>
      <c r="E530">
        <v>7.98</v>
      </c>
      <c r="F530" t="str">
        <f>_xlfn.LET(_xlpm.raw,_xlfn.XLOOKUP(A530,'Pinlist(S1)'!$C$4:$C$1362,'Pinlist(S1)'!$E$4:$E$1362,""),_xlpm.cleanRaw,SUBSTITUTE(SUBSTITUTE(_xlpm.raw,"_PIN","."),"PIN","."),_xlpm.mainPart,MID(_xlpm.cleanRaw,2,FIND(".",_xlpm.cleanRaw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0" t="str">
        <f>_xlfn.LET(_xlpm.raw,_xlfn.XLOOKUP(A530,'Pinlist(S3)'!$C$4:$C$1362,'Pinlist(S3)'!$E$4:$E$1362,""),_xlpm.cleanRaw,SUBSTITUTE(SUBSTITUTE(_xlpm.raw,"_PIN","."),"PIN","."),_xlpm.mainPart,MID(_xlpm.cleanRaw,2,FIND(".",_xlpm.cleanRaw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0" t="str">
        <f>_xlfn.LET(_xlpm.raw,_xlfn.XLOOKUP(A530,'Pinlist(S5)'!$C$4:$C$1362,'Pinlist(S5)'!$E$4:$E$1362,""),_xlpm.cleanRaw,SUBSTITUTE(SUBSTITUTE(_xlpm.raw,"_PIN","."),"PIN","."),_xlpm.mainPart,MID(_xlpm.cleanRaw,2,FIND(".",_xlpm.cleanRaw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0" t="str">
        <f>""</f>
        <v/>
      </c>
      <c r="J530" t="str">
        <f t="shared" si="8"/>
        <v>R13;VSS;;7.28;7.98;;;;</v>
      </c>
    </row>
    <row r="531" spans="1:10">
      <c r="A531" t="s">
        <v>1703</v>
      </c>
      <c r="B531" t="str">
        <f>_xlfn.XLOOKUP(A531,'Pinlist(S1)'!$Q$4:$Q$1362,'Pinlist(S1)'!$R$4:$R$1362,"")</f>
        <v>VCCGT</v>
      </c>
      <c r="C531" t="str" cm="1">
        <f t="array" ref="C531">_xlfn.TEXTJOIN(",",TRUE,_xlfn.UNIQUE(TRANSPOSE(_xlfn.MAP(_xlfn.XLOOKUP(A531,'Pinlist(S1)'!$C$4:$C$1362,'Pinlist(S1)'!$F$4:$K$1362,""),_xlfn.LAMBDA(_xlpm.x,IF(_xlpm.x&lt;&gt;"",TRIM(CLEAN(LEFT(_xlpm.x,FIND(".",_xlpm.x &amp; ".")-1))),""))))))</f>
        <v/>
      </c>
      <c r="D531">
        <v>35.427</v>
      </c>
      <c r="E531">
        <v>7.9749999999999996</v>
      </c>
      <c r="F531" t="str">
        <f>_xlfn.LET(_xlpm.raw,_xlfn.XLOOKUP(A531,'Pinlist(S1)'!$C$4:$C$1362,'Pinlist(S1)'!$E$4:$E$1362,""),_xlpm.cleanRaw,SUBSTITUTE(SUBSTITUTE(_xlpm.raw,"_PIN","."),"PIN","."),_xlpm.mainPart,MID(_xlpm.cleanRaw,2,FIND(".",_xlpm.cleanRaw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1" t="str">
        <f>_xlfn.LET(_xlpm.raw,_xlfn.XLOOKUP(A531,'Pinlist(S3)'!$C$4:$C$1362,'Pinlist(S3)'!$E$4:$E$1362,""),_xlpm.cleanRaw,SUBSTITUTE(SUBSTITUTE(_xlpm.raw,"_PIN","."),"PIN","."),_xlpm.mainPart,MID(_xlpm.cleanRaw,2,FIND(".",_xlpm.cleanRaw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1" t="str">
        <f>_xlfn.LET(_xlpm.raw,_xlfn.XLOOKUP(A531,'Pinlist(S5)'!$C$4:$C$1362,'Pinlist(S5)'!$E$4:$E$1362,""),_xlpm.cleanRaw,SUBSTITUTE(SUBSTITUTE(_xlpm.raw,"_PIN","."),"PIN","."),_xlpm.mainPart,MID(_xlpm.cleanRaw,2,FIND(".",_xlpm.cleanRaw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1" t="str">
        <f>""</f>
        <v/>
      </c>
      <c r="J531" t="str">
        <f t="shared" si="8"/>
        <v>R63;VCCGT;;35.427;7.975;;;;</v>
      </c>
    </row>
    <row r="532" spans="1:10">
      <c r="A532" t="s">
        <v>1704</v>
      </c>
      <c r="B532" t="str">
        <f>_xlfn.XLOOKUP(A532,'Pinlist(S1)'!$Q$4:$Q$1362,'Pinlist(S1)'!$R$4:$R$1362,"")</f>
        <v>VCCGT</v>
      </c>
      <c r="C532" t="str" cm="1">
        <f t="array" ref="C532">_xlfn.TEXTJOIN(",",TRUE,_xlfn.UNIQUE(TRANSPOSE(_xlfn.MAP(_xlfn.XLOOKUP(A532,'Pinlist(S1)'!$C$4:$C$1362,'Pinlist(S1)'!$F$4:$K$1362,""),_xlfn.LAMBDA(_xlpm.x,IF(_xlpm.x&lt;&gt;"",TRIM(CLEAN(LEFT(_xlpm.x,FIND(".",_xlpm.x &amp; ".")-1))),""))))))</f>
        <v/>
      </c>
      <c r="D532">
        <v>36.076999999999998</v>
      </c>
      <c r="E532">
        <v>7.9749999999999996</v>
      </c>
      <c r="F532" t="str">
        <f>_xlfn.LET(_xlpm.raw,_xlfn.XLOOKUP(A532,'Pinlist(S1)'!$C$4:$C$1362,'Pinlist(S1)'!$E$4:$E$1362,""),_xlpm.cleanRaw,SUBSTITUTE(SUBSTITUTE(_xlpm.raw,"_PIN","."),"PIN","."),_xlpm.mainPart,MID(_xlpm.cleanRaw,2,FIND(".",_xlpm.cleanRaw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2" t="str">
        <f>_xlfn.LET(_xlpm.raw,_xlfn.XLOOKUP(A532,'Pinlist(S3)'!$C$4:$C$1362,'Pinlist(S3)'!$E$4:$E$1362,""),_xlpm.cleanRaw,SUBSTITUTE(SUBSTITUTE(_xlpm.raw,"_PIN","."),"PIN","."),_xlpm.mainPart,MID(_xlpm.cleanRaw,2,FIND(".",_xlpm.cleanRaw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2" t="str">
        <f>_xlfn.LET(_xlpm.raw,_xlfn.XLOOKUP(A532,'Pinlist(S5)'!$C$4:$C$1362,'Pinlist(S5)'!$E$4:$E$1362,""),_xlpm.cleanRaw,SUBSTITUTE(SUBSTITUTE(_xlpm.raw,"_PIN","."),"PIN","."),_xlpm.mainPart,MID(_xlpm.cleanRaw,2,FIND(".",_xlpm.cleanRaw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2" t="str">
        <f>""</f>
        <v/>
      </c>
      <c r="J532" t="str">
        <f t="shared" si="8"/>
        <v>R64;VCCGT;;36.077;7.975;;;;</v>
      </c>
    </row>
    <row r="533" spans="1:10">
      <c r="A533" t="s">
        <v>1705</v>
      </c>
      <c r="B533" t="str">
        <f>_xlfn.XLOOKUP(A533,'Pinlist(S1)'!$Q$4:$Q$1362,'Pinlist(S1)'!$R$4:$R$1362,"")</f>
        <v>VCCGT</v>
      </c>
      <c r="C533" t="str" cm="1">
        <f t="array" ref="C533">_xlfn.TEXTJOIN(",",TRUE,_xlfn.UNIQUE(TRANSPOSE(_xlfn.MAP(_xlfn.XLOOKUP(A533,'Pinlist(S1)'!$C$4:$C$1362,'Pinlist(S1)'!$F$4:$K$1362,""),_xlfn.LAMBDA(_xlpm.x,IF(_xlpm.x&lt;&gt;"",TRIM(CLEAN(LEFT(_xlpm.x,FIND(".",_xlpm.x &amp; ".")-1))),""))))))</f>
        <v/>
      </c>
      <c r="D533">
        <v>36.726999999999997</v>
      </c>
      <c r="E533">
        <v>7.9749999999999996</v>
      </c>
      <c r="F533" t="str">
        <f>_xlfn.LET(_xlpm.raw,_xlfn.XLOOKUP(A533,'Pinlist(S1)'!$C$4:$C$1362,'Pinlist(S1)'!$E$4:$E$1362,""),_xlpm.cleanRaw,SUBSTITUTE(SUBSTITUTE(_xlpm.raw,"_PIN","."),"PIN","."),_xlpm.mainPart,MID(_xlpm.cleanRaw,2,FIND(".",_xlpm.cleanRaw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3" t="str">
        <f>_xlfn.LET(_xlpm.raw,_xlfn.XLOOKUP(A533,'Pinlist(S3)'!$C$4:$C$1362,'Pinlist(S3)'!$E$4:$E$1362,""),_xlpm.cleanRaw,SUBSTITUTE(SUBSTITUTE(_xlpm.raw,"_PIN","."),"PIN","."),_xlpm.mainPart,MID(_xlpm.cleanRaw,2,FIND(".",_xlpm.cleanRaw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3" t="str">
        <f>_xlfn.LET(_xlpm.raw,_xlfn.XLOOKUP(A533,'Pinlist(S5)'!$C$4:$C$1362,'Pinlist(S5)'!$E$4:$E$1362,""),_xlpm.cleanRaw,SUBSTITUTE(SUBSTITUTE(_xlpm.raw,"_PIN","."),"PIN","."),_xlpm.mainPart,MID(_xlpm.cleanRaw,2,FIND(".",_xlpm.cleanRaw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3" t="str">
        <f>""</f>
        <v/>
      </c>
      <c r="J533" t="str">
        <f t="shared" si="8"/>
        <v>R65;VCCGT;;36.727;7.975;;;;</v>
      </c>
    </row>
    <row r="534" spans="1:10">
      <c r="A534" t="s">
        <v>1706</v>
      </c>
      <c r="B534" t="str">
        <f>_xlfn.XLOOKUP(A534,'Pinlist(S1)'!$Q$4:$Q$1362,'Pinlist(S1)'!$R$4:$R$1362,"")</f>
        <v>VCCGT</v>
      </c>
      <c r="C534" t="str" cm="1">
        <f t="array" ref="C534">_xlfn.TEXTJOIN(",",TRUE,_xlfn.UNIQUE(TRANSPOSE(_xlfn.MAP(_xlfn.XLOOKUP(A534,'Pinlist(S1)'!$C$4:$C$1362,'Pinlist(S1)'!$F$4:$K$1362,""),_xlfn.LAMBDA(_xlpm.x,IF(_xlpm.x&lt;&gt;"",TRIM(CLEAN(LEFT(_xlpm.x,FIND(".",_xlpm.x &amp; ".")-1))),""))))))</f>
        <v/>
      </c>
      <c r="D534">
        <v>37.376999999999903</v>
      </c>
      <c r="E534">
        <v>7.9749999999999996</v>
      </c>
      <c r="F534" t="str">
        <f>_xlfn.LET(_xlpm.raw,_xlfn.XLOOKUP(A534,'Pinlist(S1)'!$C$4:$C$1362,'Pinlist(S1)'!$E$4:$E$1362,""),_xlpm.cleanRaw,SUBSTITUTE(SUBSTITUTE(_xlpm.raw,"_PIN","."),"PIN","."),_xlpm.mainPart,MID(_xlpm.cleanRaw,2,FIND(".",_xlpm.cleanRaw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4" t="str">
        <f>_xlfn.LET(_xlpm.raw,_xlfn.XLOOKUP(A534,'Pinlist(S3)'!$C$4:$C$1362,'Pinlist(S3)'!$E$4:$E$1362,""),_xlpm.cleanRaw,SUBSTITUTE(SUBSTITUTE(_xlpm.raw,"_PIN","."),"PIN","."),_xlpm.mainPart,MID(_xlpm.cleanRaw,2,FIND(".",_xlpm.cleanRaw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4" t="str">
        <f>_xlfn.LET(_xlpm.raw,_xlfn.XLOOKUP(A534,'Pinlist(S5)'!$C$4:$C$1362,'Pinlist(S5)'!$E$4:$E$1362,""),_xlpm.cleanRaw,SUBSTITUTE(SUBSTITUTE(_xlpm.raw,"_PIN","."),"PIN","."),_xlpm.mainPart,MID(_xlpm.cleanRaw,2,FIND(".",_xlpm.cleanRaw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4" t="str">
        <f>""</f>
        <v/>
      </c>
      <c r="J534" t="str">
        <f t="shared" si="8"/>
        <v>R66;VCCGT;;37.3769999999999;7.975;;;;</v>
      </c>
    </row>
    <row r="535" spans="1:10">
      <c r="A535" t="s">
        <v>1707</v>
      </c>
      <c r="B535" t="str">
        <f>_xlfn.XLOOKUP(A535,'Pinlist(S1)'!$Q$4:$Q$1362,'Pinlist(S1)'!$R$4:$R$1362,"")</f>
        <v>VCCGT</v>
      </c>
      <c r="C535" t="str" cm="1">
        <f t="array" ref="C535">_xlfn.TEXTJOIN(",",TRUE,_xlfn.UNIQUE(TRANSPOSE(_xlfn.MAP(_xlfn.XLOOKUP(A535,'Pinlist(S1)'!$C$4:$C$1362,'Pinlist(S1)'!$F$4:$K$1362,""),_xlfn.LAMBDA(_xlpm.x,IF(_xlpm.x&lt;&gt;"",TRIM(CLEAN(LEFT(_xlpm.x,FIND(".",_xlpm.x &amp; ".")-1))),""))))))</f>
        <v/>
      </c>
      <c r="D535">
        <v>38.027999999999999</v>
      </c>
      <c r="E535">
        <v>7.9749999999999996</v>
      </c>
      <c r="F535" t="str">
        <f>_xlfn.LET(_xlpm.raw,_xlfn.XLOOKUP(A535,'Pinlist(S1)'!$C$4:$C$1362,'Pinlist(S1)'!$E$4:$E$1362,""),_xlpm.cleanRaw,SUBSTITUTE(SUBSTITUTE(_xlpm.raw,"_PIN","."),"PIN","."),_xlpm.mainPart,MID(_xlpm.cleanRaw,2,FIND(".",_xlpm.cleanRaw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5" t="str">
        <f>_xlfn.LET(_xlpm.raw,_xlfn.XLOOKUP(A535,'Pinlist(S3)'!$C$4:$C$1362,'Pinlist(S3)'!$E$4:$E$1362,""),_xlpm.cleanRaw,SUBSTITUTE(SUBSTITUTE(_xlpm.raw,"_PIN","."),"PIN","."),_xlpm.mainPart,MID(_xlpm.cleanRaw,2,FIND(".",_xlpm.cleanRaw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5" t="str">
        <f>_xlfn.LET(_xlpm.raw,_xlfn.XLOOKUP(A535,'Pinlist(S5)'!$C$4:$C$1362,'Pinlist(S5)'!$E$4:$E$1362,""),_xlpm.cleanRaw,SUBSTITUTE(SUBSTITUTE(_xlpm.raw,"_PIN","."),"PIN","."),_xlpm.mainPart,MID(_xlpm.cleanRaw,2,FIND(".",_xlpm.cleanRaw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5" t="str">
        <f>""</f>
        <v/>
      </c>
      <c r="J535" t="str">
        <f t="shared" si="8"/>
        <v>R67;VCCGT;;38.028;7.975;;;;</v>
      </c>
    </row>
    <row r="536" spans="1:10">
      <c r="A536" t="s">
        <v>1708</v>
      </c>
      <c r="B536" t="str">
        <f>_xlfn.XLOOKUP(A536,'Pinlist(S1)'!$Q$4:$Q$1362,'Pinlist(S1)'!$R$4:$R$1362,"")</f>
        <v>VCCGT</v>
      </c>
      <c r="C536" t="str" cm="1">
        <f t="array" ref="C536">_xlfn.TEXTJOIN(",",TRUE,_xlfn.UNIQUE(TRANSPOSE(_xlfn.MAP(_xlfn.XLOOKUP(A536,'Pinlist(S1)'!$C$4:$C$1362,'Pinlist(S1)'!$F$4:$K$1362,""),_xlfn.LAMBDA(_xlpm.x,IF(_xlpm.x&lt;&gt;"",TRIM(CLEAN(LEFT(_xlpm.x,FIND(".",_xlpm.x &amp; ".")-1))),""))))))</f>
        <v/>
      </c>
      <c r="D536">
        <v>38.677999999999997</v>
      </c>
      <c r="E536">
        <v>7.9749999999999996</v>
      </c>
      <c r="F536" t="str">
        <f>_xlfn.LET(_xlpm.raw,_xlfn.XLOOKUP(A536,'Pinlist(S1)'!$C$4:$C$1362,'Pinlist(S1)'!$E$4:$E$1362,""),_xlpm.cleanRaw,SUBSTITUTE(SUBSTITUTE(_xlpm.raw,"_PIN","."),"PIN","."),_xlpm.mainPart,MID(_xlpm.cleanRaw,2,FIND(".",_xlpm.cleanRaw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6" t="str">
        <f>_xlfn.LET(_xlpm.raw,_xlfn.XLOOKUP(A536,'Pinlist(S3)'!$C$4:$C$1362,'Pinlist(S3)'!$E$4:$E$1362,""),_xlpm.cleanRaw,SUBSTITUTE(SUBSTITUTE(_xlpm.raw,"_PIN","."),"PIN","."),_xlpm.mainPart,MID(_xlpm.cleanRaw,2,FIND(".",_xlpm.cleanRaw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6" t="str">
        <f>_xlfn.LET(_xlpm.raw,_xlfn.XLOOKUP(A536,'Pinlist(S5)'!$C$4:$C$1362,'Pinlist(S5)'!$E$4:$E$1362,""),_xlpm.cleanRaw,SUBSTITUTE(SUBSTITUTE(_xlpm.raw,"_PIN","."),"PIN","."),_xlpm.mainPart,MID(_xlpm.cleanRaw,2,FIND(".",_xlpm.cleanRaw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6" t="str">
        <f>""</f>
        <v/>
      </c>
      <c r="J536" t="str">
        <f t="shared" si="8"/>
        <v>R68;VCCGT;;38.678;7.975;;;;</v>
      </c>
    </row>
    <row r="537" spans="1:10">
      <c r="A537" t="s">
        <v>1709</v>
      </c>
      <c r="B537" t="str">
        <f>_xlfn.XLOOKUP(A537,'Pinlist(S1)'!$Q$4:$Q$1362,'Pinlist(S1)'!$R$4:$R$1362,"")</f>
        <v>VCCGT</v>
      </c>
      <c r="C537" t="str" cm="1">
        <f t="array" ref="C537">_xlfn.TEXTJOIN(",",TRUE,_xlfn.UNIQUE(TRANSPOSE(_xlfn.MAP(_xlfn.XLOOKUP(A537,'Pinlist(S1)'!$C$4:$C$1362,'Pinlist(S1)'!$F$4:$K$1362,""),_xlfn.LAMBDA(_xlpm.x,IF(_xlpm.x&lt;&gt;"",TRIM(CLEAN(LEFT(_xlpm.x,FIND(".",_xlpm.x &amp; ".")-1))),""))))))</f>
        <v/>
      </c>
      <c r="D537">
        <v>39.328000000000003</v>
      </c>
      <c r="E537">
        <v>7.9749999999999996</v>
      </c>
      <c r="F537" t="str">
        <f>_xlfn.LET(_xlpm.raw,_xlfn.XLOOKUP(A537,'Pinlist(S1)'!$C$4:$C$1362,'Pinlist(S1)'!$E$4:$E$1362,""),_xlpm.cleanRaw,SUBSTITUTE(SUBSTITUTE(_xlpm.raw,"_PIN","."),"PIN","."),_xlpm.mainPart,MID(_xlpm.cleanRaw,2,FIND(".",_xlpm.cleanRaw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7" t="str">
        <f>_xlfn.LET(_xlpm.raw,_xlfn.XLOOKUP(A537,'Pinlist(S3)'!$C$4:$C$1362,'Pinlist(S3)'!$E$4:$E$1362,""),_xlpm.cleanRaw,SUBSTITUTE(SUBSTITUTE(_xlpm.raw,"_PIN","."),"PIN","."),_xlpm.mainPart,MID(_xlpm.cleanRaw,2,FIND(".",_xlpm.cleanRaw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7" t="str">
        <f>_xlfn.LET(_xlpm.raw,_xlfn.XLOOKUP(A537,'Pinlist(S5)'!$C$4:$C$1362,'Pinlist(S5)'!$E$4:$E$1362,""),_xlpm.cleanRaw,SUBSTITUTE(SUBSTITUTE(_xlpm.raw,"_PIN","."),"PIN","."),_xlpm.mainPart,MID(_xlpm.cleanRaw,2,FIND(".",_xlpm.cleanRaw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7" t="str">
        <f>""</f>
        <v/>
      </c>
      <c r="J537" t="str">
        <f t="shared" si="8"/>
        <v>R69;VCCGT;;39.328;7.975;;;;</v>
      </c>
    </row>
    <row r="538" spans="1:10">
      <c r="A538" t="s">
        <v>1710</v>
      </c>
      <c r="B538" t="str">
        <f>_xlfn.XLOOKUP(A538,'Pinlist(S1)'!$Q$4:$Q$1362,'Pinlist(S1)'!$R$4:$R$1362,"")</f>
        <v>VCCGT</v>
      </c>
      <c r="C538" t="str" cm="1">
        <f t="array" ref="C538">_xlfn.TEXTJOIN(",",TRUE,_xlfn.UNIQUE(TRANSPOSE(_xlfn.MAP(_xlfn.XLOOKUP(A538,'Pinlist(S1)'!$C$4:$C$1362,'Pinlist(S1)'!$F$4:$K$1362,""),_xlfn.LAMBDA(_xlpm.x,IF(_xlpm.x&lt;&gt;"",TRIM(CLEAN(LEFT(_xlpm.x,FIND(".",_xlpm.x &amp; ".")-1))),""))))))</f>
        <v/>
      </c>
      <c r="D538">
        <v>39.978000000000002</v>
      </c>
      <c r="E538">
        <v>7.9749999999999996</v>
      </c>
      <c r="F538" t="str">
        <f>_xlfn.LET(_xlpm.raw,_xlfn.XLOOKUP(A538,'Pinlist(S1)'!$C$4:$C$1362,'Pinlist(S1)'!$E$4:$E$1362,""),_xlpm.cleanRaw,SUBSTITUTE(SUBSTITUTE(_xlpm.raw,"_PIN","."),"PIN","."),_xlpm.mainPart,MID(_xlpm.cleanRaw,2,FIND(".",_xlpm.cleanRaw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8" t="str">
        <f>_xlfn.LET(_xlpm.raw,_xlfn.XLOOKUP(A538,'Pinlist(S3)'!$C$4:$C$1362,'Pinlist(S3)'!$E$4:$E$1362,""),_xlpm.cleanRaw,SUBSTITUTE(SUBSTITUTE(_xlpm.raw,"_PIN","."),"PIN","."),_xlpm.mainPart,MID(_xlpm.cleanRaw,2,FIND(".",_xlpm.cleanRaw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8" t="str">
        <f>_xlfn.LET(_xlpm.raw,_xlfn.XLOOKUP(A538,'Pinlist(S5)'!$C$4:$C$1362,'Pinlist(S5)'!$E$4:$E$1362,""),_xlpm.cleanRaw,SUBSTITUTE(SUBSTITUTE(_xlpm.raw,"_PIN","."),"PIN","."),_xlpm.mainPart,MID(_xlpm.cleanRaw,2,FIND(".",_xlpm.cleanRaw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8" t="str">
        <f>""</f>
        <v/>
      </c>
      <c r="J538" t="str">
        <f t="shared" si="8"/>
        <v>R70;VCCGT;;39.978;7.975;;;;</v>
      </c>
    </row>
    <row r="539" spans="1:10">
      <c r="A539" t="s">
        <v>1711</v>
      </c>
      <c r="B539" t="str">
        <f>_xlfn.XLOOKUP(A539,'Pinlist(S1)'!$Q$4:$Q$1362,'Pinlist(S1)'!$R$4:$R$1362,"")</f>
        <v>VCCGT</v>
      </c>
      <c r="C539" t="str" cm="1">
        <f t="array" ref="C539">_xlfn.TEXTJOIN(",",TRUE,_xlfn.UNIQUE(TRANSPOSE(_xlfn.MAP(_xlfn.XLOOKUP(A539,'Pinlist(S1)'!$C$4:$C$1362,'Pinlist(S1)'!$F$4:$K$1362,""),_xlfn.LAMBDA(_xlpm.x,IF(_xlpm.x&lt;&gt;"",TRIM(CLEAN(LEFT(_xlpm.x,FIND(".",_xlpm.x &amp; ".")-1))),""))))))</f>
        <v/>
      </c>
      <c r="D539">
        <v>40.628</v>
      </c>
      <c r="E539">
        <v>7.9749999999999996</v>
      </c>
      <c r="F539" t="str">
        <f>_xlfn.LET(_xlpm.raw,_xlfn.XLOOKUP(A539,'Pinlist(S1)'!$C$4:$C$1362,'Pinlist(S1)'!$E$4:$E$1362,""),_xlpm.cleanRaw,SUBSTITUTE(SUBSTITUTE(_xlpm.raw,"_PIN","."),"PIN","."),_xlpm.mainPart,MID(_xlpm.cleanRaw,2,FIND(".",_xlpm.cleanRaw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9" t="str">
        <f>_xlfn.LET(_xlpm.raw,_xlfn.XLOOKUP(A539,'Pinlist(S3)'!$C$4:$C$1362,'Pinlist(S3)'!$E$4:$E$1362,""),_xlpm.cleanRaw,SUBSTITUTE(SUBSTITUTE(_xlpm.raw,"_PIN","."),"PIN","."),_xlpm.mainPart,MID(_xlpm.cleanRaw,2,FIND(".",_xlpm.cleanRaw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9" t="str">
        <f>_xlfn.LET(_xlpm.raw,_xlfn.XLOOKUP(A539,'Pinlist(S5)'!$C$4:$C$1362,'Pinlist(S5)'!$E$4:$E$1362,""),_xlpm.cleanRaw,SUBSTITUTE(SUBSTITUTE(_xlpm.raw,"_PIN","."),"PIN","."),_xlpm.mainPart,MID(_xlpm.cleanRaw,2,FIND(".",_xlpm.cleanRaw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9" t="str">
        <f>""</f>
        <v/>
      </c>
      <c r="J539" t="str">
        <f t="shared" si="8"/>
        <v>R71;VCCGT;;40.628;7.975;;;;</v>
      </c>
    </row>
    <row r="540" spans="1:10">
      <c r="A540" t="s">
        <v>1599</v>
      </c>
      <c r="B540" t="str">
        <f>_xlfn.XLOOKUP(A540,'Pinlist(S1)'!$Q$4:$Q$1362,'Pinlist(S1)'!$R$4:$R$1362,"")</f>
        <v>VCCDTS_1P0</v>
      </c>
      <c r="C540" t="str" cm="1">
        <f t="array" ref="C540">_xlfn.TEXTJOIN(",",TRUE,_xlfn.UNIQUE(TRANSPOSE(_xlfn.MAP(_xlfn.XLOOKUP(A540,'Pinlist(S1)'!$C$4:$C$1362,'Pinlist(S1)'!$F$4:$K$1362,""),_xlfn.LAMBDA(_xlpm.x,IF(_xlpm.x&lt;&gt;"",TRIM(CLEAN(LEFT(_xlpm.x,FIND(".",_xlpm.x &amp; ".")-1))),""))))))</f>
        <v/>
      </c>
      <c r="D540">
        <v>0.32500000000000201</v>
      </c>
      <c r="E540">
        <v>8.1519999999999992</v>
      </c>
      <c r="F540" t="str">
        <f>_xlfn.LET(_xlpm.raw,_xlfn.XLOOKUP(A540,'Pinlist(S1)'!$C$4:$C$1362,'Pinlist(S1)'!$E$4:$E$1362,""),_xlpm.cleanRaw,SUBSTITUTE(SUBSTITUTE(_xlpm.raw,"_PIN","."),"PIN","."),_xlpm.mainPart,MID(_xlpm.cleanRaw,2,FIND(".",_xlpm.cleanRaw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0" t="str">
        <f>_xlfn.LET(_xlpm.raw,_xlfn.XLOOKUP(A540,'Pinlist(S3)'!$C$4:$C$1362,'Pinlist(S3)'!$E$4:$E$1362,""),_xlpm.cleanRaw,SUBSTITUTE(SUBSTITUTE(_xlpm.raw,"_PIN","."),"PIN","."),_xlpm.mainPart,MID(_xlpm.cleanRaw,2,FIND(".",_xlpm.cleanRaw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0" t="str">
        <f>_xlfn.LET(_xlpm.raw,_xlfn.XLOOKUP(A540,'Pinlist(S5)'!$C$4:$C$1362,'Pinlist(S5)'!$E$4:$E$1362,""),_xlpm.cleanRaw,SUBSTITUTE(SUBSTITUTE(_xlpm.raw,"_PIN","."),"PIN","."),_xlpm.mainPart,MID(_xlpm.cleanRaw,2,FIND(".",_xlpm.cleanRaw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0" t="str">
        <f>""</f>
        <v/>
      </c>
      <c r="J540" t="str">
        <f t="shared" si="8"/>
        <v>T1;VCCDTS_1P0;;0.325000000000002;8.152;;;;</v>
      </c>
    </row>
    <row r="541" spans="1:10">
      <c r="A541" t="s">
        <v>2224</v>
      </c>
      <c r="B541" t="str">
        <f>_xlfn.XLOOKUP(A541,'Pinlist(S1)'!$Q$4:$Q$1362,'Pinlist(S1)'!$R$4:$R$1362,"")</f>
        <v>VSS</v>
      </c>
      <c r="C541" t="str" cm="1">
        <f t="array" ref="C541">_xlfn.TEXTJOIN(",",TRUE,_xlfn.UNIQUE(TRANSPOSE(_xlfn.MAP(_xlfn.XLOOKUP(A541,'Pinlist(S1)'!$C$4:$C$1362,'Pinlist(S1)'!$F$4:$K$1362,""),_xlfn.LAMBDA(_xlpm.x,IF(_xlpm.x&lt;&gt;"",TRIM(CLEAN(LEFT(_xlpm.x,FIND(".",_xlpm.x &amp; ".")-1))),""))))))</f>
        <v/>
      </c>
      <c r="D541">
        <v>0.97500000000000098</v>
      </c>
      <c r="E541">
        <v>8.1519999999999992</v>
      </c>
      <c r="F541" t="str">
        <f>_xlfn.LET(_xlpm.raw,_xlfn.XLOOKUP(A541,'Pinlist(S1)'!$C$4:$C$1362,'Pinlist(S1)'!$E$4:$E$1362,""),_xlpm.cleanRaw,SUBSTITUTE(SUBSTITUTE(_xlpm.raw,"_PIN","."),"PIN","."),_xlpm.mainPart,MID(_xlpm.cleanRaw,2,FIND(".",_xlpm.cleanRaw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1" t="str">
        <f>_xlfn.LET(_xlpm.raw,_xlfn.XLOOKUP(A541,'Pinlist(S3)'!$C$4:$C$1362,'Pinlist(S3)'!$E$4:$E$1362,""),_xlpm.cleanRaw,SUBSTITUTE(SUBSTITUTE(_xlpm.raw,"_PIN","."),"PIN","."),_xlpm.mainPart,MID(_xlpm.cleanRaw,2,FIND(".",_xlpm.cleanRaw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1" t="str">
        <f>_xlfn.LET(_xlpm.raw,_xlfn.XLOOKUP(A541,'Pinlist(S5)'!$C$4:$C$1362,'Pinlist(S5)'!$E$4:$E$1362,""),_xlpm.cleanRaw,SUBSTITUTE(SUBSTITUTE(_xlpm.raw,"_PIN","."),"PIN","."),_xlpm.mainPart,MID(_xlpm.cleanRaw,2,FIND(".",_xlpm.cleanRaw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1" t="str">
        <f>""</f>
        <v/>
      </c>
      <c r="J541" t="str">
        <f t="shared" si="8"/>
        <v>T2;VSS;;0.975000000000001;8.152;;;;</v>
      </c>
    </row>
    <row r="542" spans="1:10">
      <c r="A542" t="s">
        <v>2226</v>
      </c>
      <c r="B542" t="str">
        <f>_xlfn.XLOOKUP(A542,'Pinlist(S1)'!$Q$4:$Q$1362,'Pinlist(S1)'!$R$4:$R$1362,"")</f>
        <v>VSS</v>
      </c>
      <c r="C542" t="str" cm="1">
        <f t="array" ref="C542">_xlfn.TEXTJOIN(",",TRUE,_xlfn.UNIQUE(TRANSPOSE(_xlfn.MAP(_xlfn.XLOOKUP(A542,'Pinlist(S1)'!$C$4:$C$1362,'Pinlist(S1)'!$F$4:$K$1362,""),_xlfn.LAMBDA(_xlpm.x,IF(_xlpm.x&lt;&gt;"",TRIM(CLEAN(LEFT(_xlpm.x,FIND(".",_xlpm.x &amp; ".")-1))),""))))))</f>
        <v/>
      </c>
      <c r="D542">
        <v>1.9510000000000001</v>
      </c>
      <c r="E542">
        <v>8.1519999999999992</v>
      </c>
      <c r="F542" t="str">
        <f>_xlfn.LET(_xlpm.raw,_xlfn.XLOOKUP(A542,'Pinlist(S1)'!$C$4:$C$1362,'Pinlist(S1)'!$E$4:$E$1362,""),_xlpm.cleanRaw,SUBSTITUTE(SUBSTITUTE(_xlpm.raw,"_PIN","."),"PIN","."),_xlpm.mainPart,MID(_xlpm.cleanRaw,2,FIND(".",_xlpm.cleanRaw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2" t="str">
        <f>_xlfn.LET(_xlpm.raw,_xlfn.XLOOKUP(A542,'Pinlist(S3)'!$C$4:$C$1362,'Pinlist(S3)'!$E$4:$E$1362,""),_xlpm.cleanRaw,SUBSTITUTE(SUBSTITUTE(_xlpm.raw,"_PIN","."),"PIN","."),_xlpm.mainPart,MID(_xlpm.cleanRaw,2,FIND(".",_xlpm.cleanRaw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2" t="str">
        <f>_xlfn.LET(_xlpm.raw,_xlfn.XLOOKUP(A542,'Pinlist(S5)'!$C$4:$C$1362,'Pinlist(S5)'!$E$4:$E$1362,""),_xlpm.cleanRaw,SUBSTITUTE(SUBSTITUTE(_xlpm.raw,"_PIN","."),"PIN","."),_xlpm.mainPart,MID(_xlpm.cleanRaw,2,FIND(".",_xlpm.cleanRaw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2" t="str">
        <f>""</f>
        <v/>
      </c>
      <c r="J542" t="str">
        <f t="shared" si="8"/>
        <v>T4;VSS;;1.951;8.152;;;;</v>
      </c>
    </row>
    <row r="543" spans="1:10">
      <c r="A543" t="s">
        <v>2221</v>
      </c>
      <c r="B543" t="str">
        <f>_xlfn.XLOOKUP(A543,'Pinlist(S1)'!$Q$4:$Q$1362,'Pinlist(S1)'!$R$4:$R$1362,"")</f>
        <v>VSS</v>
      </c>
      <c r="C543" t="str" cm="1">
        <f t="array" ref="C543">_xlfn.TEXTJOIN(",",TRUE,_xlfn.UNIQUE(TRANSPOSE(_xlfn.MAP(_xlfn.XLOOKUP(A543,'Pinlist(S1)'!$C$4:$C$1362,'Pinlist(S1)'!$F$4:$K$1362,""),_xlfn.LAMBDA(_xlpm.x,IF(_xlpm.x&lt;&gt;"",TRIM(CLEAN(LEFT(_xlpm.x,FIND(".",_xlpm.x &amp; ".")-1))),""))))))</f>
        <v/>
      </c>
      <c r="D543">
        <v>8.1259999999999906</v>
      </c>
      <c r="E543">
        <v>8.7910000000000004</v>
      </c>
      <c r="F543" t="str">
        <f>_xlfn.LET(_xlpm.raw,_xlfn.XLOOKUP(A543,'Pinlist(S1)'!$C$4:$C$1362,'Pinlist(S1)'!$E$4:$E$1362,""),_xlpm.cleanRaw,SUBSTITUTE(SUBSTITUTE(_xlpm.raw,"_PIN","."),"PIN","."),_xlpm.mainPart,MID(_xlpm.cleanRaw,2,FIND(".",_xlpm.cleanRaw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3" t="str">
        <f>_xlfn.LET(_xlpm.raw,_xlfn.XLOOKUP(A543,'Pinlist(S3)'!$C$4:$C$1362,'Pinlist(S3)'!$E$4:$E$1362,""),_xlpm.cleanRaw,SUBSTITUTE(SUBSTITUTE(_xlpm.raw,"_PIN","."),"PIN","."),_xlpm.mainPart,MID(_xlpm.cleanRaw,2,FIND(".",_xlpm.cleanRaw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3" t="str">
        <f>_xlfn.LET(_xlpm.raw,_xlfn.XLOOKUP(A543,'Pinlist(S5)'!$C$4:$C$1362,'Pinlist(S5)'!$E$4:$E$1362,""),_xlpm.cleanRaw,SUBSTITUTE(SUBSTITUTE(_xlpm.raw,"_PIN","."),"PIN","."),_xlpm.mainPart,MID(_xlpm.cleanRaw,2,FIND(".",_xlpm.cleanRaw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3" t="str">
        <f>""</f>
        <v/>
      </c>
      <c r="J543" t="str">
        <f t="shared" si="8"/>
        <v>T15;VSS;;8.12599999999999;8.791;;;;</v>
      </c>
    </row>
    <row r="544" spans="1:10">
      <c r="A544" t="s">
        <v>1805</v>
      </c>
      <c r="B544" t="str">
        <f>_xlfn.XLOOKUP(A544,'Pinlist(S1)'!$Q$4:$Q$1362,'Pinlist(S1)'!$R$4:$R$1362,"")</f>
        <v>VCCPGPPE</v>
      </c>
      <c r="C544" t="str" cm="1">
        <f t="array" ref="C544">_xlfn.TEXTJOIN(",",TRUE,_xlfn.UNIQUE(TRANSPOSE(_xlfn.MAP(_xlfn.XLOOKUP(A544,'Pinlist(S1)'!$C$4:$C$1362,'Pinlist(S1)'!$F$4:$K$1362,""),_xlfn.LAMBDA(_xlpm.x,IF(_xlpm.x&lt;&gt;"",TRIM(CLEAN(LEFT(_xlpm.x,FIND(".",_xlpm.x &amp; ".")-1))),""))))))</f>
        <v/>
      </c>
      <c r="D544">
        <v>8.7759999999999998</v>
      </c>
      <c r="E544">
        <v>8.7910000000000004</v>
      </c>
      <c r="F544" t="str">
        <f>_xlfn.LET(_xlpm.raw,_xlfn.XLOOKUP(A544,'Pinlist(S1)'!$C$4:$C$1362,'Pinlist(S1)'!$E$4:$E$1362,""),_xlpm.cleanRaw,SUBSTITUTE(SUBSTITUTE(_xlpm.raw,"_PIN","."),"PIN","."),_xlpm.mainPart,MID(_xlpm.cleanRaw,2,FIND(".",_xlpm.cleanRaw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4" t="str">
        <f>_xlfn.LET(_xlpm.raw,_xlfn.XLOOKUP(A544,'Pinlist(S3)'!$C$4:$C$1362,'Pinlist(S3)'!$E$4:$E$1362,""),_xlpm.cleanRaw,SUBSTITUTE(SUBSTITUTE(_xlpm.raw,"_PIN","."),"PIN","."),_xlpm.mainPart,MID(_xlpm.cleanRaw,2,FIND(".",_xlpm.cleanRaw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4" t="str">
        <f>_xlfn.LET(_xlpm.raw,_xlfn.XLOOKUP(A544,'Pinlist(S5)'!$C$4:$C$1362,'Pinlist(S5)'!$E$4:$E$1362,""),_xlpm.cleanRaw,SUBSTITUTE(SUBSTITUTE(_xlpm.raw,"_PIN","."),"PIN","."),_xlpm.mainPart,MID(_xlpm.cleanRaw,2,FIND(".",_xlpm.cleanRaw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4" t="str">
        <f>""</f>
        <v/>
      </c>
      <c r="J544" t="str">
        <f t="shared" si="8"/>
        <v>T16;VCCPGPPE;;8.776;8.791;;;;</v>
      </c>
    </row>
    <row r="545" spans="1:10">
      <c r="A545" t="s">
        <v>2222</v>
      </c>
      <c r="B545" t="str">
        <f>_xlfn.XLOOKUP(A545,'Pinlist(S1)'!$Q$4:$Q$1362,'Pinlist(S1)'!$R$4:$R$1362,"")</f>
        <v>VSS</v>
      </c>
      <c r="C545" t="str" cm="1">
        <f t="array" ref="C545">_xlfn.TEXTJOIN(",",TRUE,_xlfn.UNIQUE(TRANSPOSE(_xlfn.MAP(_xlfn.XLOOKUP(A545,'Pinlist(S1)'!$C$4:$C$1362,'Pinlist(S1)'!$F$4:$K$1362,""),_xlfn.LAMBDA(_xlpm.x,IF(_xlpm.x&lt;&gt;"",TRIM(CLEAN(LEFT(_xlpm.x,FIND(".",_xlpm.x &amp; ".")-1))),""))))))</f>
        <v/>
      </c>
      <c r="D545">
        <v>9.4260000000000002</v>
      </c>
      <c r="E545">
        <v>8.7910000000000004</v>
      </c>
      <c r="F545" t="str">
        <f>_xlfn.LET(_xlpm.raw,_xlfn.XLOOKUP(A545,'Pinlist(S1)'!$C$4:$C$1362,'Pinlist(S1)'!$E$4:$E$1362,""),_xlpm.cleanRaw,SUBSTITUTE(SUBSTITUTE(_xlpm.raw,"_PIN","."),"PIN","."),_xlpm.mainPart,MID(_xlpm.cleanRaw,2,FIND(".",_xlpm.cleanRaw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5" t="str">
        <f>_xlfn.LET(_xlpm.raw,_xlfn.XLOOKUP(A545,'Pinlist(S3)'!$C$4:$C$1362,'Pinlist(S3)'!$E$4:$E$1362,""),_xlpm.cleanRaw,SUBSTITUTE(SUBSTITUTE(_xlpm.raw,"_PIN","."),"PIN","."),_xlpm.mainPart,MID(_xlpm.cleanRaw,2,FIND(".",_xlpm.cleanRaw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5" t="str">
        <f>_xlfn.LET(_xlpm.raw,_xlfn.XLOOKUP(A545,'Pinlist(S5)'!$C$4:$C$1362,'Pinlist(S5)'!$E$4:$E$1362,""),_xlpm.cleanRaw,SUBSTITUTE(SUBSTITUTE(_xlpm.raw,"_PIN","."),"PIN","."),_xlpm.mainPart,MID(_xlpm.cleanRaw,2,FIND(".",_xlpm.cleanRaw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5" t="str">
        <f>""</f>
        <v/>
      </c>
      <c r="J545" t="str">
        <f t="shared" si="8"/>
        <v>T17;VSS;;9.426;8.791;;;;</v>
      </c>
    </row>
    <row r="546" spans="1:10">
      <c r="A546" t="s">
        <v>2223</v>
      </c>
      <c r="B546" t="str">
        <f>_xlfn.XLOOKUP(A546,'Pinlist(S1)'!$Q$4:$Q$1362,'Pinlist(S1)'!$R$4:$R$1362,"")</f>
        <v>VSS</v>
      </c>
      <c r="C546" t="str" cm="1">
        <f t="array" ref="C546">_xlfn.TEXTJOIN(",",TRUE,_xlfn.UNIQUE(TRANSPOSE(_xlfn.MAP(_xlfn.XLOOKUP(A546,'Pinlist(S1)'!$C$4:$C$1362,'Pinlist(S1)'!$F$4:$K$1362,""),_xlfn.LAMBDA(_xlpm.x,IF(_xlpm.x&lt;&gt;"",TRIM(CLEAN(LEFT(_xlpm.x,FIND(".",_xlpm.x &amp; ".")-1))),""))))))</f>
        <v/>
      </c>
      <c r="D546">
        <v>10.076000000000001</v>
      </c>
      <c r="E546">
        <v>8.7910000000000004</v>
      </c>
      <c r="F546" t="str">
        <f>_xlfn.LET(_xlpm.raw,_xlfn.XLOOKUP(A546,'Pinlist(S1)'!$C$4:$C$1362,'Pinlist(S1)'!$E$4:$E$1362,""),_xlpm.cleanRaw,SUBSTITUTE(SUBSTITUTE(_xlpm.raw,"_PIN","."),"PIN","."),_xlpm.mainPart,MID(_xlpm.cleanRaw,2,FIND(".",_xlpm.cleanRaw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6" t="str">
        <f>_xlfn.LET(_xlpm.raw,_xlfn.XLOOKUP(A546,'Pinlist(S3)'!$C$4:$C$1362,'Pinlist(S3)'!$E$4:$E$1362,""),_xlpm.cleanRaw,SUBSTITUTE(SUBSTITUTE(_xlpm.raw,"_PIN","."),"PIN","."),_xlpm.mainPart,MID(_xlpm.cleanRaw,2,FIND(".",_xlpm.cleanRaw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6" t="str">
        <f>_xlfn.LET(_xlpm.raw,_xlfn.XLOOKUP(A546,'Pinlist(S5)'!$C$4:$C$1362,'Pinlist(S5)'!$E$4:$E$1362,""),_xlpm.cleanRaw,SUBSTITUTE(SUBSTITUTE(_xlpm.raw,"_PIN","."),"PIN","."),_xlpm.mainPart,MID(_xlpm.cleanRaw,2,FIND(".",_xlpm.cleanRaw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6" t="str">
        <f>""</f>
        <v/>
      </c>
      <c r="J546" t="str">
        <f t="shared" si="8"/>
        <v>T18;VSS;;10.076;8.791;;;;</v>
      </c>
    </row>
    <row r="547" spans="1:10">
      <c r="A547" t="s">
        <v>1866</v>
      </c>
      <c r="B547" t="str">
        <f>_xlfn.XLOOKUP(A547,'Pinlist(S1)'!$Q$4:$Q$1362,'Pinlist(S1)'!$R$4:$R$1362,"")</f>
        <v>VCCSRAM_1P0</v>
      </c>
      <c r="C547" t="str" cm="1">
        <f t="array" ref="C547">_xlfn.TEXTJOIN(",",TRUE,_xlfn.UNIQUE(TRANSPOSE(_xlfn.MAP(_xlfn.XLOOKUP(A547,'Pinlist(S1)'!$C$4:$C$1362,'Pinlist(S1)'!$F$4:$K$1362,""),_xlfn.LAMBDA(_xlpm.x,IF(_xlpm.x&lt;&gt;"",TRIM(CLEAN(LEFT(_xlpm.x,FIND(".",_xlpm.x &amp; ".")-1))),""))))))</f>
        <v/>
      </c>
      <c r="D547">
        <v>10.727</v>
      </c>
      <c r="E547">
        <v>8.7910000000000004</v>
      </c>
      <c r="F547" t="str">
        <f>_xlfn.LET(_xlpm.raw,_xlfn.XLOOKUP(A547,'Pinlist(S1)'!$C$4:$C$1362,'Pinlist(S1)'!$E$4:$E$1362,""),_xlpm.cleanRaw,SUBSTITUTE(SUBSTITUTE(_xlpm.raw,"_PIN","."),"PIN","."),_xlpm.mainPart,MID(_xlpm.cleanRaw,2,FIND(".",_xlpm.cleanRaw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7" t="str">
        <f>_xlfn.LET(_xlpm.raw,_xlfn.XLOOKUP(A547,'Pinlist(S3)'!$C$4:$C$1362,'Pinlist(S3)'!$E$4:$E$1362,""),_xlpm.cleanRaw,SUBSTITUTE(SUBSTITUTE(_xlpm.raw,"_PIN","."),"PIN","."),_xlpm.mainPart,MID(_xlpm.cleanRaw,2,FIND(".",_xlpm.cleanRaw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7" t="str">
        <f>_xlfn.LET(_xlpm.raw,_xlfn.XLOOKUP(A547,'Pinlist(S5)'!$C$4:$C$1362,'Pinlist(S5)'!$E$4:$E$1362,""),_xlpm.cleanRaw,SUBSTITUTE(SUBSTITUTE(_xlpm.raw,"_PIN","."),"PIN","."),_xlpm.mainPart,MID(_xlpm.cleanRaw,2,FIND(".",_xlpm.cleanRaw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7" t="str">
        <f>""</f>
        <v/>
      </c>
      <c r="J547" t="str">
        <f t="shared" si="8"/>
        <v>T19;VCCSRAM_1P0;;10.727;8.791;;;;</v>
      </c>
    </row>
    <row r="548" spans="1:10">
      <c r="A548" t="s">
        <v>1867</v>
      </c>
      <c r="B548" t="str">
        <f>_xlfn.XLOOKUP(A548,'Pinlist(S1)'!$Q$4:$Q$1362,'Pinlist(S1)'!$R$4:$R$1362,"")</f>
        <v>VCCSRAM_1P0</v>
      </c>
      <c r="C548" t="str" cm="1">
        <f t="array" ref="C548">_xlfn.TEXTJOIN(",",TRUE,_xlfn.UNIQUE(TRANSPOSE(_xlfn.MAP(_xlfn.XLOOKUP(A548,'Pinlist(S1)'!$C$4:$C$1362,'Pinlist(S1)'!$F$4:$K$1362,""),_xlfn.LAMBDA(_xlpm.x,IF(_xlpm.x&lt;&gt;"",TRIM(CLEAN(LEFT(_xlpm.x,FIND(".",_xlpm.x &amp; ".")-1))),""))))))</f>
        <v/>
      </c>
      <c r="D548">
        <v>11.377000000000001</v>
      </c>
      <c r="E548">
        <v>8.7910000000000004</v>
      </c>
      <c r="F548" t="str">
        <f>_xlfn.LET(_xlpm.raw,_xlfn.XLOOKUP(A548,'Pinlist(S1)'!$C$4:$C$1362,'Pinlist(S1)'!$E$4:$E$1362,""),_xlpm.cleanRaw,SUBSTITUTE(SUBSTITUTE(_xlpm.raw,"_PIN","."),"PIN","."),_xlpm.mainPart,MID(_xlpm.cleanRaw,2,FIND(".",_xlpm.cleanRaw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8" t="str">
        <f>_xlfn.LET(_xlpm.raw,_xlfn.XLOOKUP(A548,'Pinlist(S3)'!$C$4:$C$1362,'Pinlist(S3)'!$E$4:$E$1362,""),_xlpm.cleanRaw,SUBSTITUTE(SUBSTITUTE(_xlpm.raw,"_PIN","."),"PIN","."),_xlpm.mainPart,MID(_xlpm.cleanRaw,2,FIND(".",_xlpm.cleanRaw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8" t="str">
        <f>_xlfn.LET(_xlpm.raw,_xlfn.XLOOKUP(A548,'Pinlist(S5)'!$C$4:$C$1362,'Pinlist(S5)'!$E$4:$E$1362,""),_xlpm.cleanRaw,SUBSTITUTE(SUBSTITUTE(_xlpm.raw,"_PIN","."),"PIN","."),_xlpm.mainPart,MID(_xlpm.cleanRaw,2,FIND(".",_xlpm.cleanRaw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8" t="str">
        <f>""</f>
        <v/>
      </c>
      <c r="J548" t="str">
        <f t="shared" si="8"/>
        <v>T20;VCCSRAM_1P0;;11.377;8.791;;;;</v>
      </c>
    </row>
    <row r="549" spans="1:10">
      <c r="A549" t="s">
        <v>2225</v>
      </c>
      <c r="B549" t="str">
        <f>_xlfn.XLOOKUP(A549,'Pinlist(S1)'!$Q$4:$Q$1362,'Pinlist(S1)'!$R$4:$R$1362,"")</f>
        <v>VSS</v>
      </c>
      <c r="C549" t="str" cm="1">
        <f t="array" ref="C549">_xlfn.TEXTJOIN(",",TRUE,_xlfn.UNIQUE(TRANSPOSE(_xlfn.MAP(_xlfn.XLOOKUP(A549,'Pinlist(S1)'!$C$4:$C$1362,'Pinlist(S1)'!$F$4:$K$1362,""),_xlfn.LAMBDA(_xlpm.x,IF(_xlpm.x&lt;&gt;"",TRIM(CLEAN(LEFT(_xlpm.x,FIND(".",_xlpm.x &amp; ".")-1))),""))))))</f>
        <v/>
      </c>
      <c r="D549">
        <v>12.026999999999999</v>
      </c>
      <c r="E549">
        <v>8.7910000000000004</v>
      </c>
      <c r="F549" t="str">
        <f>_xlfn.LET(_xlpm.raw,_xlfn.XLOOKUP(A549,'Pinlist(S1)'!$C$4:$C$1362,'Pinlist(S1)'!$E$4:$E$1362,""),_xlpm.cleanRaw,SUBSTITUTE(SUBSTITUTE(_xlpm.raw,"_PIN","."),"PIN","."),_xlpm.mainPart,MID(_xlpm.cleanRaw,2,FIND(".",_xlpm.cleanRaw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9" t="str">
        <f>_xlfn.LET(_xlpm.raw,_xlfn.XLOOKUP(A549,'Pinlist(S3)'!$C$4:$C$1362,'Pinlist(S3)'!$E$4:$E$1362,""),_xlpm.cleanRaw,SUBSTITUTE(SUBSTITUTE(_xlpm.raw,"_PIN","."),"PIN","."),_xlpm.mainPart,MID(_xlpm.cleanRaw,2,FIND(".",_xlpm.cleanRaw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9" t="str">
        <f>_xlfn.LET(_xlpm.raw,_xlfn.XLOOKUP(A549,'Pinlist(S5)'!$C$4:$C$1362,'Pinlist(S5)'!$E$4:$E$1362,""),_xlpm.cleanRaw,SUBSTITUTE(SUBSTITUTE(_xlpm.raw,"_PIN","."),"PIN","."),_xlpm.mainPart,MID(_xlpm.cleanRaw,2,FIND(".",_xlpm.cleanRaw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9" t="str">
        <f>""</f>
        <v/>
      </c>
      <c r="J549" t="str">
        <f t="shared" si="8"/>
        <v>T21;VSS;;12.027;8.791;;;;</v>
      </c>
    </row>
    <row r="550" spans="1:10">
      <c r="A550" t="s">
        <v>1712</v>
      </c>
      <c r="B550" t="str">
        <f>_xlfn.XLOOKUP(A550,'Pinlist(S1)'!$Q$4:$Q$1362,'Pinlist(S1)'!$R$4:$R$1362,"")</f>
        <v>VCCGT</v>
      </c>
      <c r="C550" t="str" cm="1">
        <f t="array" ref="C550">_xlfn.TEXTJOIN(",",TRUE,_xlfn.UNIQUE(TRANSPOSE(_xlfn.MAP(_xlfn.XLOOKUP(A550,'Pinlist(S1)'!$C$4:$C$1362,'Pinlist(S1)'!$F$4:$K$1362,""),_xlfn.LAMBDA(_xlpm.x,IF(_xlpm.x&lt;&gt;"",TRIM(CLEAN(LEFT(_xlpm.x,FIND(".",_xlpm.x &amp; ".")-1))),""))))))</f>
        <v/>
      </c>
      <c r="D550">
        <v>34.957999999999998</v>
      </c>
      <c r="E550">
        <v>8.4320000000000004</v>
      </c>
      <c r="F550" t="str">
        <f>_xlfn.LET(_xlpm.raw,_xlfn.XLOOKUP(A550,'Pinlist(S1)'!$C$4:$C$1362,'Pinlist(S1)'!$E$4:$E$1362,""),_xlpm.cleanRaw,SUBSTITUTE(SUBSTITUTE(_xlpm.raw,"_PIN","."),"PIN","."),_xlpm.mainPart,MID(_xlpm.cleanRaw,2,FIND(".",_xlpm.cleanRaw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0" t="str">
        <f>_xlfn.LET(_xlpm.raw,_xlfn.XLOOKUP(A550,'Pinlist(S3)'!$C$4:$C$1362,'Pinlist(S3)'!$E$4:$E$1362,""),_xlpm.cleanRaw,SUBSTITUTE(SUBSTITUTE(_xlpm.raw,"_PIN","."),"PIN","."),_xlpm.mainPart,MID(_xlpm.cleanRaw,2,FIND(".",_xlpm.cleanRaw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0" t="str">
        <f>_xlfn.LET(_xlpm.raw,_xlfn.XLOOKUP(A550,'Pinlist(S5)'!$C$4:$C$1362,'Pinlist(S5)'!$E$4:$E$1362,""),_xlpm.cleanRaw,SUBSTITUTE(SUBSTITUTE(_xlpm.raw,"_PIN","."),"PIN","."),_xlpm.mainPart,MID(_xlpm.cleanRaw,2,FIND(".",_xlpm.cleanRaw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50" t="str">
        <f>""</f>
        <v/>
      </c>
      <c r="J550" t="str">
        <f t="shared" si="8"/>
        <v>T62;VCCGT;;34.958;8.432;;;;</v>
      </c>
    </row>
    <row r="551" spans="1:10">
      <c r="A551" t="s">
        <v>949</v>
      </c>
      <c r="B551" t="str">
        <f>_xlfn.XLOOKUP(A551,'Pinlist(S1)'!$Q$4:$Q$1362,'Pinlist(S1)'!$R$4:$R$1362,"")</f>
        <v>GPP_D_13_ISH_UART0_RXD_SML0BDATA</v>
      </c>
      <c r="C551" t="str" cm="1">
        <f t="array" ref="C551">_xlfn.TEXTJOIN(",",TRUE,_xlfn.UNIQUE(TRANSPOSE(_xlfn.MAP(_xlfn.XLOOKUP(A551,'Pinlist(S1)'!$C$4:$C$1362,'Pinlist(S1)'!$F$4:$K$1362,""),_xlfn.LAMBDA(_xlpm.x,IF(_xlpm.x&lt;&gt;"",TRIM(CLEAN(LEFT(_xlpm.x,FIND(".",_xlpm.x &amp; ".")-1))),""))))))</f>
        <v/>
      </c>
      <c r="D551">
        <v>0</v>
      </c>
      <c r="E551">
        <v>8.8149999999999995</v>
      </c>
      <c r="F551" t="str">
        <f>_xlfn.LET(_xlpm.raw,_xlfn.XLOOKUP(A551,'Pinlist(S1)'!$C$4:$C$1362,'Pinlist(S1)'!$E$4:$E$1362,""),_xlpm.cleanRaw,SUBSTITUTE(SUBSTITUTE(_xlpm.raw,"_PIN","."),"PIN","."),_xlpm.mainPart,MID(_xlpm.cleanRaw,2,FIND(".",_xlpm.cleanRaw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507110</v>
      </c>
      <c r="G551" t="str">
        <f>_xlfn.LET(_xlpm.raw,_xlfn.XLOOKUP(A551,'Pinlist(S3)'!$C$4:$C$1362,'Pinlist(S3)'!$E$4:$E$1362,""),_xlpm.cleanRaw,SUBSTITUTE(SUBSTITUTE(_xlpm.raw,"_PIN","."),"PIN","."),_xlpm.mainPart,MID(_xlpm.cleanRaw,2,FIND(".",_xlpm.cleanRaw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807018</v>
      </c>
      <c r="H551" t="str">
        <f>_xlfn.LET(_xlpm.raw,_xlfn.XLOOKUP(A551,'Pinlist(S5)'!$C$4:$C$1362,'Pinlist(S5)'!$E$4:$E$1362,""),_xlpm.cleanRaw,SUBSTITUTE(SUBSTITUTE(_xlpm.raw,"_PIN","."),"PIN","."),_xlpm.mainPart,MID(_xlpm.cleanRaw,2,FIND(".",_xlpm.cleanRaw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601020</v>
      </c>
      <c r="I551" t="str">
        <f>""</f>
        <v/>
      </c>
      <c r="J551" t="str">
        <f t="shared" si="8"/>
        <v>U1;GPP_D_13_ISH_UART0_RXD_SML0BDATA;;0;8.815;507110;807018;601020;</v>
      </c>
    </row>
    <row r="552" spans="1:10">
      <c r="A552" t="s">
        <v>951</v>
      </c>
      <c r="B552" t="str">
        <f>_xlfn.XLOOKUP(A552,'Pinlist(S1)'!$Q$4:$Q$1362,'Pinlist(S1)'!$R$4:$R$1362,"")</f>
        <v>GPP_D_14_ISH_UART0_TXD_SML0BCLK</v>
      </c>
      <c r="C552" t="str" cm="1">
        <f t="array" ref="C552">_xlfn.TEXTJOIN(",",TRUE,_xlfn.UNIQUE(TRANSPOSE(_xlfn.MAP(_xlfn.XLOOKUP(A552,'Pinlist(S1)'!$C$4:$C$1362,'Pinlist(S1)'!$F$4:$K$1362,""),_xlfn.LAMBDA(_xlpm.x,IF(_xlpm.x&lt;&gt;"",TRIM(CLEAN(LEFT(_xlpm.x,FIND(".",_xlpm.x &amp; ".")-1))),""))))))</f>
        <v/>
      </c>
      <c r="D552">
        <v>0.64999999999999802</v>
      </c>
      <c r="E552">
        <v>8.8149999999999995</v>
      </c>
      <c r="F552" t="str">
        <f>_xlfn.LET(_xlpm.raw,_xlfn.XLOOKUP(A552,'Pinlist(S1)'!$C$4:$C$1362,'Pinlist(S1)'!$E$4:$E$1362,""),_xlpm.cleanRaw,SUBSTITUTE(SUBSTITUTE(_xlpm.raw,"_PIN","."),"PIN","."),_xlpm.mainPart,MID(_xlpm.cleanRaw,2,FIND(".",_xlpm.cleanRaw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504112</v>
      </c>
      <c r="G552" t="str">
        <f>_xlfn.LET(_xlpm.raw,_xlfn.XLOOKUP(A552,'Pinlist(S3)'!$C$4:$C$1362,'Pinlist(S3)'!$E$4:$E$1362,""),_xlpm.cleanRaw,SUBSTITUTE(SUBSTITUTE(_xlpm.raw,"_PIN","."),"PIN","."),_xlpm.mainPart,MID(_xlpm.cleanRaw,2,FIND(".",_xlpm.cleanRaw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809109</v>
      </c>
      <c r="H552" t="str">
        <f>_xlfn.LET(_xlpm.raw,_xlfn.XLOOKUP(A552,'Pinlist(S5)'!$C$4:$C$1362,'Pinlist(S5)'!$E$4:$E$1362,""),_xlpm.cleanRaw,SUBSTITUTE(SUBSTITUTE(_xlpm.raw,"_PIN","."),"PIN","."),_xlpm.mainPart,MID(_xlpm.cleanRaw,2,FIND(".",_xlpm.cleanRaw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602051</v>
      </c>
      <c r="I552" t="str">
        <f>""</f>
        <v/>
      </c>
      <c r="J552" t="str">
        <f t="shared" si="8"/>
        <v>U2;GPP_D_14_ISH_UART0_TXD_SML0BCLK;;0.649999999999998;8.815;504112;809109;602051;</v>
      </c>
    </row>
    <row r="553" spans="1:10">
      <c r="A553" t="s">
        <v>953</v>
      </c>
      <c r="B553" t="str">
        <f>_xlfn.XLOOKUP(A553,'Pinlist(S1)'!$Q$4:$Q$1362,'Pinlist(S1)'!$R$4:$R$1362,"")</f>
        <v>GPP_D_15_ISH_UART0_RTSB</v>
      </c>
      <c r="C553" t="str" cm="1">
        <f t="array" ref="C553">_xlfn.TEXTJOIN(",",TRUE,_xlfn.UNIQUE(TRANSPOSE(_xlfn.MAP(_xlfn.XLOOKUP(A553,'Pinlist(S1)'!$C$4:$C$1362,'Pinlist(S1)'!$F$4:$K$1362,""),_xlfn.LAMBDA(_xlpm.x,IF(_xlpm.x&lt;&gt;"",TRIM(CLEAN(LEFT(_xlpm.x,FIND(".",_xlpm.x &amp; ".")-1))),""))))))</f>
        <v/>
      </c>
      <c r="D553">
        <v>1.2999999999999901</v>
      </c>
      <c r="E553">
        <v>8.8149999999999995</v>
      </c>
      <c r="F553" t="str">
        <f>_xlfn.LET(_xlpm.raw,_xlfn.XLOOKUP(A553,'Pinlist(S1)'!$C$4:$C$1362,'Pinlist(S1)'!$E$4:$E$1362,""),_xlpm.cleanRaw,SUBSTITUTE(SUBSTITUTE(_xlpm.raw,"_PIN","."),"PIN","."),_xlpm.mainPart,MID(_xlpm.cleanRaw,2,FIND(".",_xlpm.cleanRaw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505077</v>
      </c>
      <c r="G553" t="str">
        <f>_xlfn.LET(_xlpm.raw,_xlfn.XLOOKUP(A553,'Pinlist(S3)'!$C$4:$C$1362,'Pinlist(S3)'!$E$4:$E$1362,""),_xlpm.cleanRaw,SUBSTITUTE(SUBSTITUTE(_xlpm.raw,"_PIN","."),"PIN","."),_xlpm.mainPart,MID(_xlpm.cleanRaw,2,FIND(".",_xlpm.cleanRaw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808059</v>
      </c>
      <c r="H553" t="str">
        <f>_xlfn.LET(_xlpm.raw,_xlfn.XLOOKUP(A553,'Pinlist(S5)'!$C$4:$C$1362,'Pinlist(S5)'!$E$4:$E$1362,""),_xlpm.cleanRaw,SUBSTITUTE(SUBSTITUTE(_xlpm.raw,"_PIN","."),"PIN","."),_xlpm.mainPart,MID(_xlpm.cleanRaw,2,FIND(".",_xlpm.cleanRaw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602053</v>
      </c>
      <c r="I553" t="str">
        <f>""</f>
        <v/>
      </c>
      <c r="J553" t="str">
        <f t="shared" si="8"/>
        <v>U3;GPP_D_15_ISH_UART0_RTSB;;1.29999999999999;8.815;505077;808059;602053;</v>
      </c>
    </row>
    <row r="554" spans="1:10">
      <c r="A554" t="s">
        <v>955</v>
      </c>
      <c r="B554" t="str">
        <f>_xlfn.XLOOKUP(A554,'Pinlist(S1)'!$Q$4:$Q$1362,'Pinlist(S1)'!$R$4:$R$1362,"")</f>
        <v>GPP_D_16_ISH_UART0_CTSB_SML0BALERTB</v>
      </c>
      <c r="C554" t="str" cm="1">
        <f t="array" ref="C554">_xlfn.TEXTJOIN(",",TRUE,_xlfn.UNIQUE(TRANSPOSE(_xlfn.MAP(_xlfn.XLOOKUP(A554,'Pinlist(S1)'!$C$4:$C$1362,'Pinlist(S1)'!$F$4:$K$1362,""),_xlfn.LAMBDA(_xlpm.x,IF(_xlpm.x&lt;&gt;"",TRIM(CLEAN(LEFT(_xlpm.x,FIND(".",_xlpm.x &amp; ".")-1))),""))))))</f>
        <v/>
      </c>
      <c r="D554">
        <v>1.9510000000000001</v>
      </c>
      <c r="E554">
        <v>8.8149999999999995</v>
      </c>
      <c r="F554" t="str">
        <f>_xlfn.LET(_xlpm.raw,_xlfn.XLOOKUP(A554,'Pinlist(S1)'!$C$4:$C$1362,'Pinlist(S1)'!$E$4:$E$1362,""),_xlpm.cleanRaw,SUBSTITUTE(SUBSTITUTE(_xlpm.raw,"_PIN","."),"PIN","."),_xlpm.mainPart,MID(_xlpm.cleanRaw,2,FIND(".",_xlpm.cleanRaw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508071</v>
      </c>
      <c r="G554" t="str">
        <f>_xlfn.LET(_xlpm.raw,_xlfn.XLOOKUP(A554,'Pinlist(S3)'!$C$4:$C$1362,'Pinlist(S3)'!$E$4:$E$1362,""),_xlpm.cleanRaw,SUBSTITUTE(SUBSTITUTE(_xlpm.raw,"_PIN","."),"PIN","."),_xlpm.mainPart,MID(_xlpm.cleanRaw,2,FIND(".",_xlpm.cleanRaw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806087</v>
      </c>
      <c r="H554" t="str">
        <f>_xlfn.LET(_xlpm.raw,_xlfn.XLOOKUP(A554,'Pinlist(S5)'!$C$4:$C$1362,'Pinlist(S5)'!$E$4:$E$1362,""),_xlpm.cleanRaw,SUBSTITUTE(SUBSTITUTE(_xlpm.raw,"_PIN","."),"PIN","."),_xlpm.mainPart,MID(_xlpm.cleanRaw,2,FIND(".",_xlpm.cleanRaw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601016</v>
      </c>
      <c r="I554" t="str">
        <f>""</f>
        <v/>
      </c>
      <c r="J554" t="str">
        <f t="shared" si="8"/>
        <v>U4;GPP_D_16_ISH_UART0_CTSB_SML0BALERTB;;1.951;8.815;508071;806087;601016;</v>
      </c>
    </row>
    <row r="555" spans="1:10">
      <c r="A555" t="s">
        <v>909</v>
      </c>
      <c r="B555" t="str">
        <f>_xlfn.XLOOKUP(A555,'Pinlist(S1)'!$Q$4:$Q$1362,'Pinlist(S1)'!$R$4:$R$1362,"")</f>
        <v>GPP_C_17_I2C0_SCL</v>
      </c>
      <c r="C555" t="str" cm="1">
        <f t="array" ref="C555">_xlfn.TEXTJOIN(",",TRUE,_xlfn.UNIQUE(TRANSPOSE(_xlfn.MAP(_xlfn.XLOOKUP(A555,'Pinlist(S1)'!$C$4:$C$1362,'Pinlist(S1)'!$F$4:$K$1362,""),_xlfn.LAMBDA(_xlpm.x,IF(_xlpm.x&lt;&gt;"",TRIM(CLEAN(LEFT(_xlpm.x,FIND(".",_xlpm.x &amp; ".")-1))),""))))))</f>
        <v/>
      </c>
      <c r="D555">
        <v>2.7289999999999899</v>
      </c>
      <c r="E555">
        <v>9.0470000000000006</v>
      </c>
      <c r="F555" t="str">
        <f>_xlfn.LET(_xlpm.raw,_xlfn.XLOOKUP(A555,'Pinlist(S1)'!$C$4:$C$1362,'Pinlist(S1)'!$E$4:$E$1362,""),_xlpm.cleanRaw,SUBSTITUTE(SUBSTITUTE(_xlpm.raw,"_PIN","."),"PIN","."),_xlpm.mainPart,MID(_xlpm.cleanRaw,2,FIND(".",_xlpm.cleanRaw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505068</v>
      </c>
      <c r="G555" t="str">
        <f>_xlfn.LET(_xlpm.raw,_xlfn.XLOOKUP(A555,'Pinlist(S3)'!$C$4:$C$1362,'Pinlist(S3)'!$E$4:$E$1362,""),_xlpm.cleanRaw,SUBSTITUTE(SUBSTITUTE(_xlpm.raw,"_PIN","."),"PIN","."),_xlpm.mainPart,MID(_xlpm.cleanRaw,2,FIND(".",_xlpm.cleanRaw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807008</v>
      </c>
      <c r="H555" t="str">
        <f>_xlfn.LET(_xlpm.raw,_xlfn.XLOOKUP(A555,'Pinlist(S5)'!$C$4:$C$1362,'Pinlist(S5)'!$E$4:$E$1362,""),_xlpm.cleanRaw,SUBSTITUTE(SUBSTITUTE(_xlpm.raw,"_PIN","."),"PIN","."),_xlpm.mainPart,MID(_xlpm.cleanRaw,2,FIND(".",_xlpm.cleanRaw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601017</v>
      </c>
      <c r="I555" t="str">
        <f>""</f>
        <v/>
      </c>
      <c r="J555" t="str">
        <f t="shared" si="8"/>
        <v>U6;GPP_C_17_I2C0_SCL;;2.72899999999999;9.047;505068;807008;601017;</v>
      </c>
    </row>
    <row r="556" spans="1:10">
      <c r="A556" t="s">
        <v>907</v>
      </c>
      <c r="B556" t="str">
        <f>_xlfn.XLOOKUP(A556,'Pinlist(S1)'!$Q$4:$Q$1362,'Pinlist(S1)'!$R$4:$R$1362,"")</f>
        <v>GPP_C_16_I2C0_SDA</v>
      </c>
      <c r="C556" t="str" cm="1">
        <f t="array" ref="C556">_xlfn.TEXTJOIN(",",TRUE,_xlfn.UNIQUE(TRANSPOSE(_xlfn.MAP(_xlfn.XLOOKUP(A556,'Pinlist(S1)'!$C$4:$C$1362,'Pinlist(S1)'!$F$4:$K$1362,""),_xlfn.LAMBDA(_xlpm.x,IF(_xlpm.x&lt;&gt;"",TRIM(CLEAN(LEFT(_xlpm.x,FIND(".",_xlpm.x &amp; ".")-1))),""))))))</f>
        <v/>
      </c>
      <c r="D556">
        <v>3.379</v>
      </c>
      <c r="E556">
        <v>9.0470000000000006</v>
      </c>
      <c r="F556" t="str">
        <f>_xlfn.LET(_xlpm.raw,_xlfn.XLOOKUP(A556,'Pinlist(S1)'!$C$4:$C$1362,'Pinlist(S1)'!$E$4:$E$1362,""),_xlpm.cleanRaw,SUBSTITUTE(SUBSTITUTE(_xlpm.raw,"_PIN","."),"PIN","."),_xlpm.mainPart,MID(_xlpm.cleanRaw,2,FIND(".",_xlpm.cleanRaw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506012</v>
      </c>
      <c r="G556" t="str">
        <f>_xlfn.LET(_xlpm.raw,_xlfn.XLOOKUP(A556,'Pinlist(S3)'!$C$4:$C$1362,'Pinlist(S3)'!$E$4:$E$1362,""),_xlpm.cleanRaw,SUBSTITUTE(SUBSTITUTE(_xlpm.raw,"_PIN","."),"PIN","."),_xlpm.mainPart,MID(_xlpm.cleanRaw,2,FIND(".",_xlpm.cleanRaw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808048</v>
      </c>
      <c r="H556" t="str">
        <f>_xlfn.LET(_xlpm.raw,_xlfn.XLOOKUP(A556,'Pinlist(S5)'!$C$4:$C$1362,'Pinlist(S5)'!$E$4:$E$1362,""),_xlpm.cleanRaw,SUBSTITUTE(SUBSTITUTE(_xlpm.raw,"_PIN","."),"PIN","."),_xlpm.mainPart,MID(_xlpm.cleanRaw,2,FIND(".",_xlpm.cleanRaw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602071</v>
      </c>
      <c r="I556" t="str">
        <f>""</f>
        <v/>
      </c>
      <c r="J556" t="str">
        <f t="shared" si="8"/>
        <v>U7;GPP_C_16_I2C0_SDA;;3.379;9.047;506012;808048;602071;</v>
      </c>
    </row>
    <row r="557" spans="1:10">
      <c r="A557" t="s">
        <v>911</v>
      </c>
      <c r="B557" t="str">
        <f>_xlfn.XLOOKUP(A557,'Pinlist(S1)'!$Q$4:$Q$1362,'Pinlist(S1)'!$R$4:$R$1362,"")</f>
        <v>GPP_C_18_I2C1_SDA</v>
      </c>
      <c r="C557" t="str" cm="1">
        <f t="array" ref="C557">_xlfn.TEXTJOIN(",",TRUE,_xlfn.UNIQUE(TRANSPOSE(_xlfn.MAP(_xlfn.XLOOKUP(A557,'Pinlist(S1)'!$C$4:$C$1362,'Pinlist(S1)'!$F$4:$K$1362,""),_xlfn.LAMBDA(_xlpm.x,IF(_xlpm.x&lt;&gt;"",TRIM(CLEAN(LEFT(_xlpm.x,FIND(".",_xlpm.x &amp; ".")-1))),""))))))</f>
        <v/>
      </c>
      <c r="D557">
        <v>4.0289999999999901</v>
      </c>
      <c r="E557">
        <v>9.0470000000000006</v>
      </c>
      <c r="F557" t="str">
        <f>_xlfn.LET(_xlpm.raw,_xlfn.XLOOKUP(A557,'Pinlist(S1)'!$C$4:$C$1362,'Pinlist(S1)'!$E$4:$E$1362,""),_xlpm.cleanRaw,SUBSTITUTE(SUBSTITUTE(_xlpm.raw,"_PIN","."),"PIN","."),_xlpm.mainPart,MID(_xlpm.cleanRaw,2,FIND(".",_xlpm.cleanRaw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505070</v>
      </c>
      <c r="G557" t="str">
        <f>_xlfn.LET(_xlpm.raw,_xlfn.XLOOKUP(A557,'Pinlist(S3)'!$C$4:$C$1362,'Pinlist(S3)'!$E$4:$E$1362,""),_xlpm.cleanRaw,SUBSTITUTE(SUBSTITUTE(_xlpm.raw,"_PIN","."),"PIN","."),_xlpm.mainPart,MID(_xlpm.cleanRaw,2,FIND(".",_xlpm.cleanRaw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807006</v>
      </c>
      <c r="H557" t="str">
        <f>_xlfn.LET(_xlpm.raw,_xlfn.XLOOKUP(A557,'Pinlist(S5)'!$C$4:$C$1362,'Pinlist(S5)'!$E$4:$E$1362,""),_xlpm.cleanRaw,SUBSTITUTE(SUBSTITUTE(_xlpm.raw,"_PIN","."),"PIN","."),_xlpm.mainPart,MID(_xlpm.cleanRaw,2,FIND(".",_xlpm.cleanRaw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601013</v>
      </c>
      <c r="I557" t="str">
        <f>""</f>
        <v/>
      </c>
      <c r="J557" t="str">
        <f t="shared" si="8"/>
        <v>U8;GPP_C_18_I2C1_SDA;;4.02899999999999;9.047;505070;807006;601013;</v>
      </c>
    </row>
    <row r="558" spans="1:10">
      <c r="A558" t="s">
        <v>913</v>
      </c>
      <c r="B558" t="str">
        <f>_xlfn.XLOOKUP(A558,'Pinlist(S1)'!$Q$4:$Q$1362,'Pinlist(S1)'!$R$4:$R$1362,"")</f>
        <v>GPP_C_19_I2C1_SCL</v>
      </c>
      <c r="C558" t="str" cm="1">
        <f t="array" ref="C558">_xlfn.TEXTJOIN(",",TRUE,_xlfn.UNIQUE(TRANSPOSE(_xlfn.MAP(_xlfn.XLOOKUP(A558,'Pinlist(S1)'!$C$4:$C$1362,'Pinlist(S1)'!$F$4:$K$1362,""),_xlfn.LAMBDA(_xlpm.x,IF(_xlpm.x&lt;&gt;"",TRIM(CLEAN(LEFT(_xlpm.x,FIND(".",_xlpm.x &amp; ".")-1))),""))))))</f>
        <v/>
      </c>
      <c r="D558">
        <v>4.6790000000000003</v>
      </c>
      <c r="E558">
        <v>9.0470000000000006</v>
      </c>
      <c r="F558" t="str">
        <f>_xlfn.LET(_xlpm.raw,_xlfn.XLOOKUP(A558,'Pinlist(S1)'!$C$4:$C$1362,'Pinlist(S1)'!$E$4:$E$1362,""),_xlpm.cleanRaw,SUBSTITUTE(SUBSTITUTE(_xlpm.raw,"_PIN","."),"PIN","."),_xlpm.mainPart,MID(_xlpm.cleanRaw,2,FIND(".",_xlpm.cleanRaw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506014</v>
      </c>
      <c r="G558" t="str">
        <f>_xlfn.LET(_xlpm.raw,_xlfn.XLOOKUP(A558,'Pinlist(S3)'!$C$4:$C$1362,'Pinlist(S3)'!$E$4:$E$1362,""),_xlpm.cleanRaw,SUBSTITUTE(SUBSTITUTE(_xlpm.raw,"_PIN","."),"PIN","."),_xlpm.mainPart,MID(_xlpm.cleanRaw,2,FIND(".",_xlpm.cleanRaw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808045</v>
      </c>
      <c r="H558" t="str">
        <f>_xlfn.LET(_xlpm.raw,_xlfn.XLOOKUP(A558,'Pinlist(S5)'!$C$4:$C$1362,'Pinlist(S5)'!$E$4:$E$1362,""),_xlpm.cleanRaw,SUBSTITUTE(SUBSTITUTE(_xlpm.raw,"_PIN","."),"PIN","."),_xlpm.mainPart,MID(_xlpm.cleanRaw,2,FIND(".",_xlpm.cleanRaw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602074</v>
      </c>
      <c r="I558" t="str">
        <f>""</f>
        <v/>
      </c>
      <c r="J558" t="str">
        <f t="shared" si="8"/>
        <v>U9;GPP_C_19_I2C1_SCL;;4.679;9.047;506014;808045;602074;</v>
      </c>
    </row>
    <row r="559" spans="1:10">
      <c r="A559" t="s">
        <v>2227</v>
      </c>
      <c r="B559" t="str">
        <f>_xlfn.XLOOKUP(A559,'Pinlist(S1)'!$Q$4:$Q$1362,'Pinlist(S1)'!$R$4:$R$1362,"")</f>
        <v>VSS</v>
      </c>
      <c r="C559" t="str" cm="1">
        <f t="array" ref="C559">_xlfn.TEXTJOIN(",",TRUE,_xlfn.UNIQUE(TRANSPOSE(_xlfn.MAP(_xlfn.XLOOKUP(A559,'Pinlist(S1)'!$C$4:$C$1362,'Pinlist(S1)'!$F$4:$K$1362,""),_xlfn.LAMBDA(_xlpm.x,IF(_xlpm.x&lt;&gt;"",TRIM(CLEAN(LEFT(_xlpm.x,FIND(".",_xlpm.x &amp; ".")-1))),""))))))</f>
        <v/>
      </c>
      <c r="D559">
        <v>5.3289999999999997</v>
      </c>
      <c r="E559">
        <v>9.0470000000000006</v>
      </c>
      <c r="F559" t="str">
        <f>_xlfn.LET(_xlpm.raw,_xlfn.XLOOKUP(A559,'Pinlist(S1)'!$C$4:$C$1362,'Pinlist(S1)'!$E$4:$E$1362,""),_xlpm.cleanRaw,SUBSTITUTE(SUBSTITUTE(_xlpm.raw,"_PIN","."),"PIN","."),_xlpm.mainPart,MID(_xlpm.cleanRaw,2,FIND(".",_xlpm.cleanRaw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9" t="str">
        <f>_xlfn.LET(_xlpm.raw,_xlfn.XLOOKUP(A559,'Pinlist(S3)'!$C$4:$C$1362,'Pinlist(S3)'!$E$4:$E$1362,""),_xlpm.cleanRaw,SUBSTITUTE(SUBSTITUTE(_xlpm.raw,"_PIN","."),"PIN","."),_xlpm.mainPart,MID(_xlpm.cleanRaw,2,FIND(".",_xlpm.cleanRaw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9" t="str">
        <f>_xlfn.LET(_xlpm.raw,_xlfn.XLOOKUP(A559,'Pinlist(S5)'!$C$4:$C$1362,'Pinlist(S5)'!$E$4:$E$1362,""),_xlpm.cleanRaw,SUBSTITUTE(SUBSTITUTE(_xlpm.raw,"_PIN","."),"PIN","."),_xlpm.mainPart,MID(_xlpm.cleanRaw,2,FIND(".",_xlpm.cleanRaw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59" t="str">
        <f>""</f>
        <v/>
      </c>
      <c r="J559" t="str">
        <f t="shared" si="8"/>
        <v>U10;VSS;;5.329;9.047;;;;</v>
      </c>
    </row>
    <row r="560" spans="1:10">
      <c r="A560" t="s">
        <v>1395</v>
      </c>
      <c r="B560" t="str">
        <f>_xlfn.XLOOKUP(A560,'Pinlist(S1)'!$Q$4:$Q$1362,'Pinlist(S1)'!$R$4:$R$1362,"")</f>
        <v>VCCPGPPF</v>
      </c>
      <c r="C560" t="str" cm="1">
        <f t="array" ref="C560">_xlfn.TEXTJOIN(",",TRUE,_xlfn.UNIQUE(TRANSPOSE(_xlfn.MAP(_xlfn.XLOOKUP(A560,'Pinlist(S1)'!$C$4:$C$1362,'Pinlist(S1)'!$F$4:$K$1362,""),_xlfn.LAMBDA(_xlpm.x,IF(_xlpm.x&lt;&gt;"",TRIM(CLEAN(LEFT(_xlpm.x,FIND(".",_xlpm.x &amp; ".")-1))),""))))))</f>
        <v/>
      </c>
      <c r="D560">
        <v>5.98</v>
      </c>
      <c r="E560">
        <v>9.0470000000000006</v>
      </c>
      <c r="F560" t="str">
        <f>_xlfn.LET(_xlpm.raw,_xlfn.XLOOKUP(A560,'Pinlist(S1)'!$C$4:$C$1362,'Pinlist(S1)'!$E$4:$E$1362,""),_xlpm.cleanRaw,SUBSTITUTE(SUBSTITUTE(_xlpm.raw,"_PIN","."),"PIN","."),_xlpm.mainPart,MID(_xlpm.cleanRaw,2,FIND(".",_xlpm.cleanRaw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0" t="str">
        <f>_xlfn.LET(_xlpm.raw,_xlfn.XLOOKUP(A560,'Pinlist(S3)'!$C$4:$C$1362,'Pinlist(S3)'!$E$4:$E$1362,""),_xlpm.cleanRaw,SUBSTITUTE(SUBSTITUTE(_xlpm.raw,"_PIN","."),"PIN","."),_xlpm.mainPart,MID(_xlpm.cleanRaw,2,FIND(".",_xlpm.cleanRaw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0" t="str">
        <f>_xlfn.LET(_xlpm.raw,_xlfn.XLOOKUP(A560,'Pinlist(S5)'!$C$4:$C$1362,'Pinlist(S5)'!$E$4:$E$1362,""),_xlpm.cleanRaw,SUBSTITUTE(SUBSTITUTE(_xlpm.raw,"_PIN","."),"PIN","."),_xlpm.mainPart,MID(_xlpm.cleanRaw,2,FIND(".",_xlpm.cleanRaw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0" t="str">
        <f>""</f>
        <v/>
      </c>
      <c r="J560" t="str">
        <f t="shared" si="8"/>
        <v>U11;VCCPGPPF;;5.98;9.047;;;;</v>
      </c>
    </row>
    <row r="561" spans="1:10">
      <c r="A561" t="s">
        <v>1394</v>
      </c>
      <c r="B561" t="str">
        <f>_xlfn.XLOOKUP(A561,'Pinlist(S1)'!$Q$4:$Q$1362,'Pinlist(S1)'!$R$4:$R$1362,"")</f>
        <v>VCCPGPPF</v>
      </c>
      <c r="C561" t="str" cm="1">
        <f t="array" ref="C561">_xlfn.TEXTJOIN(",",TRUE,_xlfn.UNIQUE(TRANSPOSE(_xlfn.MAP(_xlfn.XLOOKUP(A561,'Pinlist(S1)'!$C$4:$C$1362,'Pinlist(S1)'!$F$4:$K$1362,""),_xlfn.LAMBDA(_xlpm.x,IF(_xlpm.x&lt;&gt;"",TRIM(CLEAN(LEFT(_xlpm.x,FIND(".",_xlpm.x &amp; ".")-1))),""))))))</f>
        <v/>
      </c>
      <c r="D561">
        <v>6.63</v>
      </c>
      <c r="E561">
        <v>9.0470000000000006</v>
      </c>
      <c r="F561" t="str">
        <f>_xlfn.LET(_xlpm.raw,_xlfn.XLOOKUP(A561,'Pinlist(S1)'!$C$4:$C$1362,'Pinlist(S1)'!$E$4:$E$1362,""),_xlpm.cleanRaw,SUBSTITUTE(SUBSTITUTE(_xlpm.raw,"_PIN","."),"PIN","."),_xlpm.mainPart,MID(_xlpm.cleanRaw,2,FIND(".",_xlpm.cleanRaw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1" t="str">
        <f>_xlfn.LET(_xlpm.raw,_xlfn.XLOOKUP(A561,'Pinlist(S3)'!$C$4:$C$1362,'Pinlist(S3)'!$E$4:$E$1362,""),_xlpm.cleanRaw,SUBSTITUTE(SUBSTITUTE(_xlpm.raw,"_PIN","."),"PIN","."),_xlpm.mainPart,MID(_xlpm.cleanRaw,2,FIND(".",_xlpm.cleanRaw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1" t="str">
        <f>_xlfn.LET(_xlpm.raw,_xlfn.XLOOKUP(A561,'Pinlist(S5)'!$C$4:$C$1362,'Pinlist(S5)'!$E$4:$E$1362,""),_xlpm.cleanRaw,SUBSTITUTE(SUBSTITUTE(_xlpm.raw,"_PIN","."),"PIN","."),_xlpm.mainPart,MID(_xlpm.cleanRaw,2,FIND(".",_xlpm.cleanRaw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1" t="str">
        <f>""</f>
        <v/>
      </c>
      <c r="J561" t="str">
        <f t="shared" si="8"/>
        <v>U12;VCCPGPPF;;6.63;9.047;;;;</v>
      </c>
    </row>
    <row r="562" spans="1:10">
      <c r="A562" t="s">
        <v>1130</v>
      </c>
      <c r="B562" t="str">
        <f>_xlfn.XLOOKUP(A562,'Pinlist(S1)'!$Q$4:$Q$1362,'Pinlist(S1)'!$R$4:$R$1362,"")</f>
        <v>L_VDDEN</v>
      </c>
      <c r="C562" t="str" cm="1">
        <f t="array" ref="C562">_xlfn.TEXTJOIN(",",TRUE,_xlfn.UNIQUE(TRANSPOSE(_xlfn.MAP(_xlfn.XLOOKUP(A562,'Pinlist(S1)'!$C$4:$C$1362,'Pinlist(S1)'!$F$4:$K$1362,""),_xlfn.LAMBDA(_xlpm.x,IF(_xlpm.x&lt;&gt;"",TRIM(CLEAN(LEFT(_xlpm.x,FIND(".",_xlpm.x &amp; ".")-1))),""))))))</f>
        <v>KA111</v>
      </c>
      <c r="D562">
        <v>7.28</v>
      </c>
      <c r="E562">
        <v>9.0470000000000006</v>
      </c>
      <c r="F562" t="str">
        <f>_xlfn.LET(_xlpm.raw,_xlfn.XLOOKUP(A562,'Pinlist(S1)'!$C$4:$C$1362,'Pinlist(S1)'!$E$4:$E$1362,""),_xlpm.cleanRaw,SUBSTITUTE(SUBSTITUTE(_xlpm.raw,"_PIN","."),"PIN","."),_xlpm.mainPart,MID(_xlpm.cleanRaw,2,FIND(".",_xlpm.cleanRaw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562" t="str">
        <f>_xlfn.LET(_xlpm.raw,_xlfn.XLOOKUP(A562,'Pinlist(S3)'!$C$4:$C$1362,'Pinlist(S3)'!$E$4:$E$1362,""),_xlpm.cleanRaw,SUBSTITUTE(SUBSTITUTE(_xlpm.raw,"_PIN","."),"PIN","."),_xlpm.mainPart,MID(_xlpm.cleanRaw,2,FIND(".",_xlpm.cleanRaw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562" t="str">
        <f>_xlfn.LET(_xlpm.raw,_xlfn.XLOOKUP(A562,'Pinlist(S5)'!$C$4:$C$1362,'Pinlist(S5)'!$E$4:$E$1362,""),_xlpm.cleanRaw,SUBSTITUTE(SUBSTITUTE(_xlpm.raw,"_PIN","."),"PIN","."),_xlpm.mainPart,MID(_xlpm.cleanRaw,2,FIND(".",_xlpm.cleanRaw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562" t="str">
        <f>""</f>
        <v/>
      </c>
      <c r="J562" t="str">
        <f t="shared" si="8"/>
        <v>U13;L_VDDEN;KA111;7.28;9.047;509013;804002;702042;</v>
      </c>
    </row>
    <row r="563" spans="1:10">
      <c r="A563" t="s">
        <v>2228</v>
      </c>
      <c r="B563" t="str">
        <f>_xlfn.XLOOKUP(A563,'Pinlist(S1)'!$Q$4:$Q$1362,'Pinlist(S1)'!$R$4:$R$1362,"")</f>
        <v>VSS</v>
      </c>
      <c r="C563" t="str" cm="1">
        <f t="array" ref="C563">_xlfn.TEXTJOIN(",",TRUE,_xlfn.UNIQUE(TRANSPOSE(_xlfn.MAP(_xlfn.XLOOKUP(A563,'Pinlist(S1)'!$C$4:$C$1362,'Pinlist(S1)'!$F$4:$K$1362,""),_xlfn.LAMBDA(_xlpm.x,IF(_xlpm.x&lt;&gt;"",TRIM(CLEAN(LEFT(_xlpm.x,FIND(".",_xlpm.x &amp; ".")-1))),""))))))</f>
        <v/>
      </c>
      <c r="D563">
        <v>35.427</v>
      </c>
      <c r="E563">
        <v>8.89</v>
      </c>
      <c r="F563" t="str">
        <f>_xlfn.LET(_xlpm.raw,_xlfn.XLOOKUP(A563,'Pinlist(S1)'!$C$4:$C$1362,'Pinlist(S1)'!$E$4:$E$1362,""),_xlpm.cleanRaw,SUBSTITUTE(SUBSTITUTE(_xlpm.raw,"_PIN","."),"PIN","."),_xlpm.mainPart,MID(_xlpm.cleanRaw,2,FIND(".",_xlpm.cleanRaw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3" t="str">
        <f>_xlfn.LET(_xlpm.raw,_xlfn.XLOOKUP(A563,'Pinlist(S3)'!$C$4:$C$1362,'Pinlist(S3)'!$E$4:$E$1362,""),_xlpm.cleanRaw,SUBSTITUTE(SUBSTITUTE(_xlpm.raw,"_PIN","."),"PIN","."),_xlpm.mainPart,MID(_xlpm.cleanRaw,2,FIND(".",_xlpm.cleanRaw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3" t="str">
        <f>_xlfn.LET(_xlpm.raw,_xlfn.XLOOKUP(A563,'Pinlist(S5)'!$C$4:$C$1362,'Pinlist(S5)'!$E$4:$E$1362,""),_xlpm.cleanRaw,SUBSTITUTE(SUBSTITUTE(_xlpm.raw,"_PIN","."),"PIN","."),_xlpm.mainPart,MID(_xlpm.cleanRaw,2,FIND(".",_xlpm.cleanRaw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3" t="str">
        <f>""</f>
        <v/>
      </c>
      <c r="J563" t="str">
        <f t="shared" si="8"/>
        <v>U63;VSS;;35.427;8.89;;;;</v>
      </c>
    </row>
    <row r="564" spans="1:10">
      <c r="A564" t="s">
        <v>2229</v>
      </c>
      <c r="B564" t="str">
        <f>_xlfn.XLOOKUP(A564,'Pinlist(S1)'!$Q$4:$Q$1362,'Pinlist(S1)'!$R$4:$R$1362,"")</f>
        <v>VSS</v>
      </c>
      <c r="C564" t="str" cm="1">
        <f t="array" ref="C564">_xlfn.TEXTJOIN(",",TRUE,_xlfn.UNIQUE(TRANSPOSE(_xlfn.MAP(_xlfn.XLOOKUP(A564,'Pinlist(S1)'!$C$4:$C$1362,'Pinlist(S1)'!$F$4:$K$1362,""),_xlfn.LAMBDA(_xlpm.x,IF(_xlpm.x&lt;&gt;"",TRIM(CLEAN(LEFT(_xlpm.x,FIND(".",_xlpm.x &amp; ".")-1))),""))))))</f>
        <v/>
      </c>
      <c r="D564">
        <v>36.076999999999998</v>
      </c>
      <c r="E564">
        <v>8.89</v>
      </c>
      <c r="F564" t="str">
        <f>_xlfn.LET(_xlpm.raw,_xlfn.XLOOKUP(A564,'Pinlist(S1)'!$C$4:$C$1362,'Pinlist(S1)'!$E$4:$E$1362,""),_xlpm.cleanRaw,SUBSTITUTE(SUBSTITUTE(_xlpm.raw,"_PIN","."),"PIN","."),_xlpm.mainPart,MID(_xlpm.cleanRaw,2,FIND(".",_xlpm.cleanRaw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4" t="str">
        <f>_xlfn.LET(_xlpm.raw,_xlfn.XLOOKUP(A564,'Pinlist(S3)'!$C$4:$C$1362,'Pinlist(S3)'!$E$4:$E$1362,""),_xlpm.cleanRaw,SUBSTITUTE(SUBSTITUTE(_xlpm.raw,"_PIN","."),"PIN","."),_xlpm.mainPart,MID(_xlpm.cleanRaw,2,FIND(".",_xlpm.cleanRaw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4" t="str">
        <f>_xlfn.LET(_xlpm.raw,_xlfn.XLOOKUP(A564,'Pinlist(S5)'!$C$4:$C$1362,'Pinlist(S5)'!$E$4:$E$1362,""),_xlpm.cleanRaw,SUBSTITUTE(SUBSTITUTE(_xlpm.raw,"_PIN","."),"PIN","."),_xlpm.mainPart,MID(_xlpm.cleanRaw,2,FIND(".",_xlpm.cleanRaw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4" t="str">
        <f>""</f>
        <v/>
      </c>
      <c r="J564" t="str">
        <f t="shared" si="8"/>
        <v>U64;VSS;;36.077;8.89;;;;</v>
      </c>
    </row>
    <row r="565" spans="1:10">
      <c r="A565" t="s">
        <v>1713</v>
      </c>
      <c r="B565" t="str">
        <f>_xlfn.XLOOKUP(A565,'Pinlist(S1)'!$Q$4:$Q$1362,'Pinlist(S1)'!$R$4:$R$1362,"")</f>
        <v>VCCGT</v>
      </c>
      <c r="C565" t="str" cm="1">
        <f t="array" ref="C565">_xlfn.TEXTJOIN(",",TRUE,_xlfn.UNIQUE(TRANSPOSE(_xlfn.MAP(_xlfn.XLOOKUP(A565,'Pinlist(S1)'!$C$4:$C$1362,'Pinlist(S1)'!$F$4:$K$1362,""),_xlfn.LAMBDA(_xlpm.x,IF(_xlpm.x&lt;&gt;"",TRIM(CLEAN(LEFT(_xlpm.x,FIND(".",_xlpm.x &amp; ".")-1))),""))))))</f>
        <v/>
      </c>
      <c r="D565">
        <v>36.726999999999997</v>
      </c>
      <c r="E565">
        <v>8.89</v>
      </c>
      <c r="F565" t="str">
        <f>_xlfn.LET(_xlpm.raw,_xlfn.XLOOKUP(A565,'Pinlist(S1)'!$C$4:$C$1362,'Pinlist(S1)'!$E$4:$E$1362,""),_xlpm.cleanRaw,SUBSTITUTE(SUBSTITUTE(_xlpm.raw,"_PIN","."),"PIN","."),_xlpm.mainPart,MID(_xlpm.cleanRaw,2,FIND(".",_xlpm.cleanRaw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5" t="str">
        <f>_xlfn.LET(_xlpm.raw,_xlfn.XLOOKUP(A565,'Pinlist(S3)'!$C$4:$C$1362,'Pinlist(S3)'!$E$4:$E$1362,""),_xlpm.cleanRaw,SUBSTITUTE(SUBSTITUTE(_xlpm.raw,"_PIN","."),"PIN","."),_xlpm.mainPart,MID(_xlpm.cleanRaw,2,FIND(".",_xlpm.cleanRaw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5" t="str">
        <f>_xlfn.LET(_xlpm.raw,_xlfn.XLOOKUP(A565,'Pinlist(S5)'!$C$4:$C$1362,'Pinlist(S5)'!$E$4:$E$1362,""),_xlpm.cleanRaw,SUBSTITUTE(SUBSTITUTE(_xlpm.raw,"_PIN","."),"PIN","."),_xlpm.mainPart,MID(_xlpm.cleanRaw,2,FIND(".",_xlpm.cleanRaw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5" t="str">
        <f>""</f>
        <v/>
      </c>
      <c r="J565" t="str">
        <f t="shared" si="8"/>
        <v>U65;VCCGT;;36.727;8.89;;;;</v>
      </c>
    </row>
    <row r="566" spans="1:10">
      <c r="A566" t="s">
        <v>2230</v>
      </c>
      <c r="B566" t="str">
        <f>_xlfn.XLOOKUP(A566,'Pinlist(S1)'!$Q$4:$Q$1362,'Pinlist(S1)'!$R$4:$R$1362,"")</f>
        <v>VSS</v>
      </c>
      <c r="C566" t="str" cm="1">
        <f t="array" ref="C566">_xlfn.TEXTJOIN(",",TRUE,_xlfn.UNIQUE(TRANSPOSE(_xlfn.MAP(_xlfn.XLOOKUP(A566,'Pinlist(S1)'!$C$4:$C$1362,'Pinlist(S1)'!$F$4:$K$1362,""),_xlfn.LAMBDA(_xlpm.x,IF(_xlpm.x&lt;&gt;"",TRIM(CLEAN(LEFT(_xlpm.x,FIND(".",_xlpm.x &amp; ".")-1))),""))))))</f>
        <v/>
      </c>
      <c r="D566">
        <v>37.376999999999903</v>
      </c>
      <c r="E566">
        <v>8.89</v>
      </c>
      <c r="F566" t="str">
        <f>_xlfn.LET(_xlpm.raw,_xlfn.XLOOKUP(A566,'Pinlist(S1)'!$C$4:$C$1362,'Pinlist(S1)'!$E$4:$E$1362,""),_xlpm.cleanRaw,SUBSTITUTE(SUBSTITUTE(_xlpm.raw,"_PIN","."),"PIN","."),_xlpm.mainPart,MID(_xlpm.cleanRaw,2,FIND(".",_xlpm.cleanRaw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6" t="str">
        <f>_xlfn.LET(_xlpm.raw,_xlfn.XLOOKUP(A566,'Pinlist(S3)'!$C$4:$C$1362,'Pinlist(S3)'!$E$4:$E$1362,""),_xlpm.cleanRaw,SUBSTITUTE(SUBSTITUTE(_xlpm.raw,"_PIN","."),"PIN","."),_xlpm.mainPart,MID(_xlpm.cleanRaw,2,FIND(".",_xlpm.cleanRaw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6" t="str">
        <f>_xlfn.LET(_xlpm.raw,_xlfn.XLOOKUP(A566,'Pinlist(S5)'!$C$4:$C$1362,'Pinlist(S5)'!$E$4:$E$1362,""),_xlpm.cleanRaw,SUBSTITUTE(SUBSTITUTE(_xlpm.raw,"_PIN","."),"PIN","."),_xlpm.mainPart,MID(_xlpm.cleanRaw,2,FIND(".",_xlpm.cleanRaw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6" t="str">
        <f>""</f>
        <v/>
      </c>
      <c r="J566" t="str">
        <f t="shared" si="8"/>
        <v>U66;VSS;;37.3769999999999;8.89;;;;</v>
      </c>
    </row>
    <row r="567" spans="1:10">
      <c r="A567" t="s">
        <v>2231</v>
      </c>
      <c r="B567" t="str">
        <f>_xlfn.XLOOKUP(A567,'Pinlist(S1)'!$Q$4:$Q$1362,'Pinlist(S1)'!$R$4:$R$1362,"")</f>
        <v>VSS</v>
      </c>
      <c r="C567" t="str" cm="1">
        <f t="array" ref="C567">_xlfn.TEXTJOIN(",",TRUE,_xlfn.UNIQUE(TRANSPOSE(_xlfn.MAP(_xlfn.XLOOKUP(A567,'Pinlist(S1)'!$C$4:$C$1362,'Pinlist(S1)'!$F$4:$K$1362,""),_xlfn.LAMBDA(_xlpm.x,IF(_xlpm.x&lt;&gt;"",TRIM(CLEAN(LEFT(_xlpm.x,FIND(".",_xlpm.x &amp; ".")-1))),""))))))</f>
        <v/>
      </c>
      <c r="D567">
        <v>38.027999999999999</v>
      </c>
      <c r="E567">
        <v>8.89</v>
      </c>
      <c r="F567" t="str">
        <f>_xlfn.LET(_xlpm.raw,_xlfn.XLOOKUP(A567,'Pinlist(S1)'!$C$4:$C$1362,'Pinlist(S1)'!$E$4:$E$1362,""),_xlpm.cleanRaw,SUBSTITUTE(SUBSTITUTE(_xlpm.raw,"_PIN","."),"PIN","."),_xlpm.mainPart,MID(_xlpm.cleanRaw,2,FIND(".",_xlpm.cleanRaw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7" t="str">
        <f>_xlfn.LET(_xlpm.raw,_xlfn.XLOOKUP(A567,'Pinlist(S3)'!$C$4:$C$1362,'Pinlist(S3)'!$E$4:$E$1362,""),_xlpm.cleanRaw,SUBSTITUTE(SUBSTITUTE(_xlpm.raw,"_PIN","."),"PIN","."),_xlpm.mainPart,MID(_xlpm.cleanRaw,2,FIND(".",_xlpm.cleanRaw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7" t="str">
        <f>_xlfn.LET(_xlpm.raw,_xlfn.XLOOKUP(A567,'Pinlist(S5)'!$C$4:$C$1362,'Pinlist(S5)'!$E$4:$E$1362,""),_xlpm.cleanRaw,SUBSTITUTE(SUBSTITUTE(_xlpm.raw,"_PIN","."),"PIN","."),_xlpm.mainPart,MID(_xlpm.cleanRaw,2,FIND(".",_xlpm.cleanRaw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7" t="str">
        <f>""</f>
        <v/>
      </c>
      <c r="J567" t="str">
        <f t="shared" si="8"/>
        <v>U67;VSS;;38.028;8.89;;;;</v>
      </c>
    </row>
    <row r="568" spans="1:10">
      <c r="A568" t="s">
        <v>1714</v>
      </c>
      <c r="B568" t="str">
        <f>_xlfn.XLOOKUP(A568,'Pinlist(S1)'!$Q$4:$Q$1362,'Pinlist(S1)'!$R$4:$R$1362,"")</f>
        <v>VCCGT</v>
      </c>
      <c r="C568" t="str" cm="1">
        <f t="array" ref="C568">_xlfn.TEXTJOIN(",",TRUE,_xlfn.UNIQUE(TRANSPOSE(_xlfn.MAP(_xlfn.XLOOKUP(A568,'Pinlist(S1)'!$C$4:$C$1362,'Pinlist(S1)'!$F$4:$K$1362,""),_xlfn.LAMBDA(_xlpm.x,IF(_xlpm.x&lt;&gt;"",TRIM(CLEAN(LEFT(_xlpm.x,FIND(".",_xlpm.x &amp; ".")-1))),""))))))</f>
        <v/>
      </c>
      <c r="D568">
        <v>38.677999999999997</v>
      </c>
      <c r="E568">
        <v>8.89</v>
      </c>
      <c r="F568" t="str">
        <f>_xlfn.LET(_xlpm.raw,_xlfn.XLOOKUP(A568,'Pinlist(S1)'!$C$4:$C$1362,'Pinlist(S1)'!$E$4:$E$1362,""),_xlpm.cleanRaw,SUBSTITUTE(SUBSTITUTE(_xlpm.raw,"_PIN","."),"PIN","."),_xlpm.mainPart,MID(_xlpm.cleanRaw,2,FIND(".",_xlpm.cleanRaw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8" t="str">
        <f>_xlfn.LET(_xlpm.raw,_xlfn.XLOOKUP(A568,'Pinlist(S3)'!$C$4:$C$1362,'Pinlist(S3)'!$E$4:$E$1362,""),_xlpm.cleanRaw,SUBSTITUTE(SUBSTITUTE(_xlpm.raw,"_PIN","."),"PIN","."),_xlpm.mainPart,MID(_xlpm.cleanRaw,2,FIND(".",_xlpm.cleanRaw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8" t="str">
        <f>_xlfn.LET(_xlpm.raw,_xlfn.XLOOKUP(A568,'Pinlist(S5)'!$C$4:$C$1362,'Pinlist(S5)'!$E$4:$E$1362,""),_xlpm.cleanRaw,SUBSTITUTE(SUBSTITUTE(_xlpm.raw,"_PIN","."),"PIN","."),_xlpm.mainPart,MID(_xlpm.cleanRaw,2,FIND(".",_xlpm.cleanRaw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8" t="str">
        <f>""</f>
        <v/>
      </c>
      <c r="J568" t="str">
        <f t="shared" si="8"/>
        <v>U68;VCCGT;;38.678;8.89;;;;</v>
      </c>
    </row>
    <row r="569" spans="1:10">
      <c r="A569" t="s">
        <v>2232</v>
      </c>
      <c r="B569" t="str">
        <f>_xlfn.XLOOKUP(A569,'Pinlist(S1)'!$Q$4:$Q$1362,'Pinlist(S1)'!$R$4:$R$1362,"")</f>
        <v>VSS</v>
      </c>
      <c r="C569" t="str" cm="1">
        <f t="array" ref="C569">_xlfn.TEXTJOIN(",",TRUE,_xlfn.UNIQUE(TRANSPOSE(_xlfn.MAP(_xlfn.XLOOKUP(A569,'Pinlist(S1)'!$C$4:$C$1362,'Pinlist(S1)'!$F$4:$K$1362,""),_xlfn.LAMBDA(_xlpm.x,IF(_xlpm.x&lt;&gt;"",TRIM(CLEAN(LEFT(_xlpm.x,FIND(".",_xlpm.x &amp; ".")-1))),""))))))</f>
        <v/>
      </c>
      <c r="D569">
        <v>39.328000000000003</v>
      </c>
      <c r="E569">
        <v>8.89</v>
      </c>
      <c r="F569" t="str">
        <f>_xlfn.LET(_xlpm.raw,_xlfn.XLOOKUP(A569,'Pinlist(S1)'!$C$4:$C$1362,'Pinlist(S1)'!$E$4:$E$1362,""),_xlpm.cleanRaw,SUBSTITUTE(SUBSTITUTE(_xlpm.raw,"_PIN","."),"PIN","."),_xlpm.mainPart,MID(_xlpm.cleanRaw,2,FIND(".",_xlpm.cleanRaw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9" t="str">
        <f>_xlfn.LET(_xlpm.raw,_xlfn.XLOOKUP(A569,'Pinlist(S3)'!$C$4:$C$1362,'Pinlist(S3)'!$E$4:$E$1362,""),_xlpm.cleanRaw,SUBSTITUTE(SUBSTITUTE(_xlpm.raw,"_PIN","."),"PIN","."),_xlpm.mainPart,MID(_xlpm.cleanRaw,2,FIND(".",_xlpm.cleanRaw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9" t="str">
        <f>_xlfn.LET(_xlpm.raw,_xlfn.XLOOKUP(A569,'Pinlist(S5)'!$C$4:$C$1362,'Pinlist(S5)'!$E$4:$E$1362,""),_xlpm.cleanRaw,SUBSTITUTE(SUBSTITUTE(_xlpm.raw,"_PIN","."),"PIN","."),_xlpm.mainPart,MID(_xlpm.cleanRaw,2,FIND(".",_xlpm.cleanRaw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9" t="str">
        <f>""</f>
        <v/>
      </c>
      <c r="J569" t="str">
        <f t="shared" si="8"/>
        <v>U69;VSS;;39.328;8.89;;;;</v>
      </c>
    </row>
    <row r="570" spans="1:10">
      <c r="A570" t="s">
        <v>2233</v>
      </c>
      <c r="B570" t="str">
        <f>_xlfn.XLOOKUP(A570,'Pinlist(S1)'!$Q$4:$Q$1362,'Pinlist(S1)'!$R$4:$R$1362,"")</f>
        <v>VSS</v>
      </c>
      <c r="C570" t="str" cm="1">
        <f t="array" ref="C570">_xlfn.TEXTJOIN(",",TRUE,_xlfn.UNIQUE(TRANSPOSE(_xlfn.MAP(_xlfn.XLOOKUP(A570,'Pinlist(S1)'!$C$4:$C$1362,'Pinlist(S1)'!$F$4:$K$1362,""),_xlfn.LAMBDA(_xlpm.x,IF(_xlpm.x&lt;&gt;"",TRIM(CLEAN(LEFT(_xlpm.x,FIND(".",_xlpm.x &amp; ".")-1))),""))))))</f>
        <v/>
      </c>
      <c r="D570">
        <v>39.978000000000002</v>
      </c>
      <c r="E570">
        <v>8.89</v>
      </c>
      <c r="F570" t="str">
        <f>_xlfn.LET(_xlpm.raw,_xlfn.XLOOKUP(A570,'Pinlist(S1)'!$C$4:$C$1362,'Pinlist(S1)'!$E$4:$E$1362,""),_xlpm.cleanRaw,SUBSTITUTE(SUBSTITUTE(_xlpm.raw,"_PIN","."),"PIN","."),_xlpm.mainPart,MID(_xlpm.cleanRaw,2,FIND(".",_xlpm.cleanRaw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0" t="str">
        <f>_xlfn.LET(_xlpm.raw,_xlfn.XLOOKUP(A570,'Pinlist(S3)'!$C$4:$C$1362,'Pinlist(S3)'!$E$4:$E$1362,""),_xlpm.cleanRaw,SUBSTITUTE(SUBSTITUTE(_xlpm.raw,"_PIN","."),"PIN","."),_xlpm.mainPart,MID(_xlpm.cleanRaw,2,FIND(".",_xlpm.cleanRaw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0" t="str">
        <f>_xlfn.LET(_xlpm.raw,_xlfn.XLOOKUP(A570,'Pinlist(S5)'!$C$4:$C$1362,'Pinlist(S5)'!$E$4:$E$1362,""),_xlpm.cleanRaw,SUBSTITUTE(SUBSTITUTE(_xlpm.raw,"_PIN","."),"PIN","."),_xlpm.mainPart,MID(_xlpm.cleanRaw,2,FIND(".",_xlpm.cleanRaw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0" t="str">
        <f>""</f>
        <v/>
      </c>
      <c r="J570" t="str">
        <f t="shared" si="8"/>
        <v>U70;VSS;;39.978;8.89;;;;</v>
      </c>
    </row>
    <row r="571" spans="1:10">
      <c r="A571" t="s">
        <v>1715</v>
      </c>
      <c r="B571" t="str">
        <f>_xlfn.XLOOKUP(A571,'Pinlist(S1)'!$Q$4:$Q$1362,'Pinlist(S1)'!$R$4:$R$1362,"")</f>
        <v>VCCGT</v>
      </c>
      <c r="C571" t="str" cm="1">
        <f t="array" ref="C571">_xlfn.TEXTJOIN(",",TRUE,_xlfn.UNIQUE(TRANSPOSE(_xlfn.MAP(_xlfn.XLOOKUP(A571,'Pinlist(S1)'!$C$4:$C$1362,'Pinlist(S1)'!$F$4:$K$1362,""),_xlfn.LAMBDA(_xlpm.x,IF(_xlpm.x&lt;&gt;"",TRIM(CLEAN(LEFT(_xlpm.x,FIND(".",_xlpm.x &amp; ".")-1))),""))))))</f>
        <v/>
      </c>
      <c r="D571">
        <v>40.628</v>
      </c>
      <c r="E571">
        <v>8.89</v>
      </c>
      <c r="F571" t="str">
        <f>_xlfn.LET(_xlpm.raw,_xlfn.XLOOKUP(A571,'Pinlist(S1)'!$C$4:$C$1362,'Pinlist(S1)'!$E$4:$E$1362,""),_xlpm.cleanRaw,SUBSTITUTE(SUBSTITUTE(_xlpm.raw,"_PIN","."),"PIN","."),_xlpm.mainPart,MID(_xlpm.cleanRaw,2,FIND(".",_xlpm.cleanRaw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1" t="str">
        <f>_xlfn.LET(_xlpm.raw,_xlfn.XLOOKUP(A571,'Pinlist(S3)'!$C$4:$C$1362,'Pinlist(S3)'!$E$4:$E$1362,""),_xlpm.cleanRaw,SUBSTITUTE(SUBSTITUTE(_xlpm.raw,"_PIN","."),"PIN","."),_xlpm.mainPart,MID(_xlpm.cleanRaw,2,FIND(".",_xlpm.cleanRaw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1" t="str">
        <f>_xlfn.LET(_xlpm.raw,_xlfn.XLOOKUP(A571,'Pinlist(S5)'!$C$4:$C$1362,'Pinlist(S5)'!$E$4:$E$1362,""),_xlpm.cleanRaw,SUBSTITUTE(SUBSTITUTE(_xlpm.raw,"_PIN","."),"PIN","."),_xlpm.mainPart,MID(_xlpm.cleanRaw,2,FIND(".",_xlpm.cleanRaw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1" t="str">
        <f>""</f>
        <v/>
      </c>
      <c r="J571" t="str">
        <f t="shared" si="8"/>
        <v>U71;VCCGT;;40.628;8.89;;;;</v>
      </c>
    </row>
    <row r="572" spans="1:10">
      <c r="A572" t="s">
        <v>967</v>
      </c>
      <c r="B572" t="str">
        <f>_xlfn.XLOOKUP(A572,'Pinlist(S1)'!$Q$4:$Q$1362,'Pinlist(S1)'!$R$4:$R$1362,"")</f>
        <v>GPP_D_21_SPI1_IO_2</v>
      </c>
      <c r="C572" t="str" cm="1">
        <f t="array" ref="C572">_xlfn.TEXTJOIN(",",TRUE,_xlfn.UNIQUE(TRANSPOSE(_xlfn.MAP(_xlfn.XLOOKUP(A572,'Pinlist(S1)'!$C$4:$C$1362,'Pinlist(S1)'!$F$4:$K$1362,""),_xlfn.LAMBDA(_xlpm.x,IF(_xlpm.x&lt;&gt;"",TRIM(CLEAN(LEFT(_xlpm.x,FIND(".",_xlpm.x &amp; ".")-1))),""))))))</f>
        <v/>
      </c>
      <c r="D572">
        <v>0.32500000000000201</v>
      </c>
      <c r="E572">
        <v>9.4779999999999998</v>
      </c>
      <c r="F572" t="str">
        <f>_xlfn.LET(_xlpm.raw,_xlfn.XLOOKUP(A572,'Pinlist(S1)'!$C$4:$C$1362,'Pinlist(S1)'!$E$4:$E$1362,""),_xlpm.cleanRaw,SUBSTITUTE(SUBSTITUTE(_xlpm.raw,"_PIN","."),"PIN","."),_xlpm.mainPart,MID(_xlpm.cleanRaw,2,FIND(".",_xlpm.cleanRaw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507108</v>
      </c>
      <c r="G572" t="str">
        <f>_xlfn.LET(_xlpm.raw,_xlfn.XLOOKUP(A572,'Pinlist(S3)'!$C$4:$C$1362,'Pinlist(S3)'!$E$4:$E$1362,""),_xlpm.cleanRaw,SUBSTITUTE(SUBSTITUTE(_xlpm.raw,"_PIN","."),"PIN","."),_xlpm.mainPart,MID(_xlpm.cleanRaw,2,FIND(".",_xlpm.cleanRaw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807016</v>
      </c>
      <c r="H572" t="str">
        <f>_xlfn.LET(_xlpm.raw,_xlfn.XLOOKUP(A572,'Pinlist(S5)'!$C$4:$C$1362,'Pinlist(S5)'!$E$4:$E$1362,""),_xlpm.cleanRaw,SUBSTITUTE(SUBSTITUTE(_xlpm.raw,"_PIN","."),"PIN","."),_xlpm.mainPart,MID(_xlpm.cleanRaw,2,FIND(".",_xlpm.cleanRaw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601019</v>
      </c>
      <c r="I572" t="str">
        <f>""</f>
        <v/>
      </c>
      <c r="J572" t="str">
        <f t="shared" si="8"/>
        <v>V1;GPP_D_21_SPI1_IO_2;;0.325000000000002;9.478;507108;807016;601019;</v>
      </c>
    </row>
    <row r="573" spans="1:10">
      <c r="A573" t="s">
        <v>969</v>
      </c>
      <c r="B573" t="str">
        <f>_xlfn.XLOOKUP(A573,'Pinlist(S1)'!$Q$4:$Q$1362,'Pinlist(S1)'!$R$4:$R$1362,"")</f>
        <v>GPP_D_22_SPI1_IO_3</v>
      </c>
      <c r="C573" t="str" cm="1">
        <f t="array" ref="C573">_xlfn.TEXTJOIN(",",TRUE,_xlfn.UNIQUE(TRANSPOSE(_xlfn.MAP(_xlfn.XLOOKUP(A573,'Pinlist(S1)'!$C$4:$C$1362,'Pinlist(S1)'!$F$4:$K$1362,""),_xlfn.LAMBDA(_xlpm.x,IF(_xlpm.x&lt;&gt;"",TRIM(CLEAN(LEFT(_xlpm.x,FIND(".",_xlpm.x &amp; ".")-1))),""))))))</f>
        <v/>
      </c>
      <c r="D573">
        <v>0.97500000000000098</v>
      </c>
      <c r="E573">
        <v>9.4779999999999998</v>
      </c>
      <c r="F573" t="str">
        <f>_xlfn.LET(_xlpm.raw,_xlfn.XLOOKUP(A573,'Pinlist(S1)'!$C$4:$C$1362,'Pinlist(S1)'!$E$4:$E$1362,""),_xlpm.cleanRaw,SUBSTITUTE(SUBSTITUTE(_xlpm.raw,"_PIN","."),"PIN","."),_xlpm.mainPart,MID(_xlpm.cleanRaw,2,FIND(".",_xlpm.cleanRaw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504114</v>
      </c>
      <c r="G573" t="str">
        <f>_xlfn.LET(_xlpm.raw,_xlfn.XLOOKUP(A573,'Pinlist(S3)'!$C$4:$C$1362,'Pinlist(S3)'!$E$4:$E$1362,""),_xlpm.cleanRaw,SUBSTITUTE(SUBSTITUTE(_xlpm.raw,"_PIN","."),"PIN","."),_xlpm.mainPart,MID(_xlpm.cleanRaw,2,FIND(".",_xlpm.cleanRaw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808075</v>
      </c>
      <c r="H573" t="str">
        <f>_xlfn.LET(_xlpm.raw,_xlfn.XLOOKUP(A573,'Pinlist(S5)'!$C$4:$C$1362,'Pinlist(S5)'!$E$4:$E$1362,""),_xlpm.cleanRaw,SUBSTITUTE(SUBSTITUTE(_xlpm.raw,"_PIN","."),"PIN","."),_xlpm.mainPart,MID(_xlpm.cleanRaw,2,FIND(".",_xlpm.cleanRaw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602049</v>
      </c>
      <c r="I573" t="str">
        <f>""</f>
        <v/>
      </c>
      <c r="J573" t="str">
        <f t="shared" si="8"/>
        <v>V2;GPP_D_22_SPI1_IO_3;;0.975000000000001;9.478;504114;808075;602049;</v>
      </c>
    </row>
    <row r="574" spans="1:10">
      <c r="A574" t="s">
        <v>933</v>
      </c>
      <c r="B574" t="str">
        <f>_xlfn.XLOOKUP(A574,'Pinlist(S1)'!$Q$4:$Q$1362,'Pinlist(S1)'!$R$4:$R$1362,"")</f>
        <v>GPP_C_7_SML1DATA</v>
      </c>
      <c r="C574" t="str" cm="1">
        <f t="array" ref="C574">_xlfn.TEXTJOIN(",",TRUE,_xlfn.UNIQUE(TRANSPOSE(_xlfn.MAP(_xlfn.XLOOKUP(A574,'Pinlist(S1)'!$C$4:$C$1362,'Pinlist(S1)'!$F$4:$K$1362,""),_xlfn.LAMBDA(_xlpm.x,IF(_xlpm.x&lt;&gt;"",TRIM(CLEAN(LEFT(_xlpm.x,FIND(".",_xlpm.x &amp; ".")-1))),""))))))</f>
        <v/>
      </c>
      <c r="D574">
        <v>1.625</v>
      </c>
      <c r="E574">
        <v>9.4779999999999998</v>
      </c>
      <c r="F574" t="str">
        <f>_xlfn.LET(_xlpm.raw,_xlfn.XLOOKUP(A574,'Pinlist(S1)'!$C$4:$C$1362,'Pinlist(S1)'!$E$4:$E$1362,""),_xlpm.cleanRaw,SUBSTITUTE(SUBSTITUTE(_xlpm.raw,"_PIN","."),"PIN","."),_xlpm.mainPart,MID(_xlpm.cleanRaw,2,FIND(".",_xlpm.cleanRaw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506019</v>
      </c>
      <c r="G574" t="str">
        <f>_xlfn.LET(_xlpm.raw,_xlfn.XLOOKUP(A574,'Pinlist(S3)'!$C$4:$C$1362,'Pinlist(S3)'!$E$4:$E$1362,""),_xlpm.cleanRaw,SUBSTITUTE(SUBSTITUTE(_xlpm.raw,"_PIN","."),"PIN","."),_xlpm.mainPart,MID(_xlpm.cleanRaw,2,FIND(".",_xlpm.cleanRaw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807020</v>
      </c>
      <c r="H574" t="str">
        <f>_xlfn.LET(_xlpm.raw,_xlfn.XLOOKUP(A574,'Pinlist(S5)'!$C$4:$C$1362,'Pinlist(S5)'!$E$4:$E$1362,""),_xlpm.cleanRaw,SUBSTITUTE(SUBSTITUTE(_xlpm.raw,"_PIN","."),"PIN","."),_xlpm.mainPart,MID(_xlpm.cleanRaw,2,FIND(".",_xlpm.cleanRaw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602046</v>
      </c>
      <c r="I574" t="str">
        <f>""</f>
        <v/>
      </c>
      <c r="J574" t="str">
        <f t="shared" si="8"/>
        <v>V3;GPP_C_7_SML1DATA;;1.625;9.478;506019;807020;602046;</v>
      </c>
    </row>
    <row r="575" spans="1:10">
      <c r="A575" t="s">
        <v>1542</v>
      </c>
      <c r="B575" t="str">
        <f>_xlfn.XLOOKUP(A575,'Pinlist(S1)'!$Q$4:$Q$1362,'Pinlist(S1)'!$R$4:$R$1362,"")</f>
        <v>VCCAPLL_1P0</v>
      </c>
      <c r="C575" t="str" cm="1">
        <f t="array" ref="C575">_xlfn.TEXTJOIN(",",TRUE,_xlfn.UNIQUE(TRANSPOSE(_xlfn.MAP(_xlfn.XLOOKUP(A575,'Pinlist(S1)'!$C$4:$C$1362,'Pinlist(S1)'!$F$4:$K$1362,""),_xlfn.LAMBDA(_xlpm.x,IF(_xlpm.x&lt;&gt;"",TRIM(CLEAN(LEFT(_xlpm.x,FIND(".",_xlpm.x &amp; ".")-1))),""))))))</f>
        <v/>
      </c>
      <c r="D575">
        <v>8.1259999999999906</v>
      </c>
      <c r="E575">
        <v>9.6289999999999996</v>
      </c>
      <c r="F575" t="str">
        <f>_xlfn.LET(_xlpm.raw,_xlfn.XLOOKUP(A575,'Pinlist(S1)'!$C$4:$C$1362,'Pinlist(S1)'!$E$4:$E$1362,""),_xlpm.cleanRaw,SUBSTITUTE(SUBSTITUTE(_xlpm.raw,"_PIN","."),"PIN","."),_xlpm.mainPart,MID(_xlpm.cleanRaw,2,FIND(".",_xlpm.cleanRaw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5" t="str">
        <f>_xlfn.LET(_xlpm.raw,_xlfn.XLOOKUP(A575,'Pinlist(S3)'!$C$4:$C$1362,'Pinlist(S3)'!$E$4:$E$1362,""),_xlpm.cleanRaw,SUBSTITUTE(SUBSTITUTE(_xlpm.raw,"_PIN","."),"PIN","."),_xlpm.mainPart,MID(_xlpm.cleanRaw,2,FIND(".",_xlpm.cleanRaw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5" t="str">
        <f>_xlfn.LET(_xlpm.raw,_xlfn.XLOOKUP(A575,'Pinlist(S5)'!$C$4:$C$1362,'Pinlist(S5)'!$E$4:$E$1362,""),_xlpm.cleanRaw,SUBSTITUTE(SUBSTITUTE(_xlpm.raw,"_PIN","."),"PIN","."),_xlpm.mainPart,MID(_xlpm.cleanRaw,2,FIND(".",_xlpm.cleanRaw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5" t="str">
        <f>""</f>
        <v/>
      </c>
      <c r="J575" t="str">
        <f t="shared" si="8"/>
        <v>V15;VCCAPLL_1P0;;8.12599999999999;9.629;;;;</v>
      </c>
    </row>
    <row r="576" spans="1:10">
      <c r="A576" t="s">
        <v>2234</v>
      </c>
      <c r="B576" t="str">
        <f>_xlfn.XLOOKUP(A576,'Pinlist(S1)'!$Q$4:$Q$1362,'Pinlist(S1)'!$R$4:$R$1362,"")</f>
        <v>VSS</v>
      </c>
      <c r="C576" t="str" cm="1">
        <f t="array" ref="C576">_xlfn.TEXTJOIN(",",TRUE,_xlfn.UNIQUE(TRANSPOSE(_xlfn.MAP(_xlfn.XLOOKUP(A576,'Pinlist(S1)'!$C$4:$C$1362,'Pinlist(S1)'!$F$4:$K$1362,""),_xlfn.LAMBDA(_xlpm.x,IF(_xlpm.x&lt;&gt;"",TRIM(CLEAN(LEFT(_xlpm.x,FIND(".",_xlpm.x &amp; ".")-1))),""))))))</f>
        <v/>
      </c>
      <c r="D576">
        <v>8.7759999999999998</v>
      </c>
      <c r="E576">
        <v>9.6289999999999996</v>
      </c>
      <c r="F576" t="str">
        <f>_xlfn.LET(_xlpm.raw,_xlfn.XLOOKUP(A576,'Pinlist(S1)'!$C$4:$C$1362,'Pinlist(S1)'!$E$4:$E$1362,""),_xlpm.cleanRaw,SUBSTITUTE(SUBSTITUTE(_xlpm.raw,"_PIN","."),"PIN","."),_xlpm.mainPart,MID(_xlpm.cleanRaw,2,FIND(".",_xlpm.cleanRaw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6" t="str">
        <f>_xlfn.LET(_xlpm.raw,_xlfn.XLOOKUP(A576,'Pinlist(S3)'!$C$4:$C$1362,'Pinlist(S3)'!$E$4:$E$1362,""),_xlpm.cleanRaw,SUBSTITUTE(SUBSTITUTE(_xlpm.raw,"_PIN","."),"PIN","."),_xlpm.mainPart,MID(_xlpm.cleanRaw,2,FIND(".",_xlpm.cleanRaw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6" t="str">
        <f>_xlfn.LET(_xlpm.raw,_xlfn.XLOOKUP(A576,'Pinlist(S5)'!$C$4:$C$1362,'Pinlist(S5)'!$E$4:$E$1362,""),_xlpm.cleanRaw,SUBSTITUTE(SUBSTITUTE(_xlpm.raw,"_PIN","."),"PIN","."),_xlpm.mainPart,MID(_xlpm.cleanRaw,2,FIND(".",_xlpm.cleanRaw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6" t="str">
        <f>""</f>
        <v/>
      </c>
      <c r="J576" t="str">
        <f t="shared" si="8"/>
        <v>V16;VSS;;8.776;9.629;;;;</v>
      </c>
    </row>
    <row r="577" spans="1:10">
      <c r="A577" t="s">
        <v>2235</v>
      </c>
      <c r="B577" t="str">
        <f>_xlfn.XLOOKUP(A577,'Pinlist(S1)'!$Q$4:$Q$1362,'Pinlist(S1)'!$R$4:$R$1362,"")</f>
        <v>VSS</v>
      </c>
      <c r="C577" t="str" cm="1">
        <f t="array" ref="C577">_xlfn.TEXTJOIN(",",TRUE,_xlfn.UNIQUE(TRANSPOSE(_xlfn.MAP(_xlfn.XLOOKUP(A577,'Pinlist(S1)'!$C$4:$C$1362,'Pinlist(S1)'!$F$4:$K$1362,""),_xlfn.LAMBDA(_xlpm.x,IF(_xlpm.x&lt;&gt;"",TRIM(CLEAN(LEFT(_xlpm.x,FIND(".",_xlpm.x &amp; ".")-1))),""))))))</f>
        <v/>
      </c>
      <c r="D577">
        <v>9.4260000000000002</v>
      </c>
      <c r="E577">
        <v>9.6289999999999996</v>
      </c>
      <c r="F577" t="str">
        <f>_xlfn.LET(_xlpm.raw,_xlfn.XLOOKUP(A577,'Pinlist(S1)'!$C$4:$C$1362,'Pinlist(S1)'!$E$4:$E$1362,""),_xlpm.cleanRaw,SUBSTITUTE(SUBSTITUTE(_xlpm.raw,"_PIN","."),"PIN","."),_xlpm.mainPart,MID(_xlpm.cleanRaw,2,FIND(".",_xlpm.cleanRaw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7" t="str">
        <f>_xlfn.LET(_xlpm.raw,_xlfn.XLOOKUP(A577,'Pinlist(S3)'!$C$4:$C$1362,'Pinlist(S3)'!$E$4:$E$1362,""),_xlpm.cleanRaw,SUBSTITUTE(SUBSTITUTE(_xlpm.raw,"_PIN","."),"PIN","."),_xlpm.mainPart,MID(_xlpm.cleanRaw,2,FIND(".",_xlpm.cleanRaw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7" t="str">
        <f>_xlfn.LET(_xlpm.raw,_xlfn.XLOOKUP(A577,'Pinlist(S5)'!$C$4:$C$1362,'Pinlist(S5)'!$E$4:$E$1362,""),_xlpm.cleanRaw,SUBSTITUTE(SUBSTITUTE(_xlpm.raw,"_PIN","."),"PIN","."),_xlpm.mainPart,MID(_xlpm.cleanRaw,2,FIND(".",_xlpm.cleanRaw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7" t="str">
        <f>""</f>
        <v/>
      </c>
      <c r="J577" t="str">
        <f t="shared" si="8"/>
        <v>V17;VSS;;9.426;9.629;;;;</v>
      </c>
    </row>
    <row r="578" spans="1:10">
      <c r="A578" t="s">
        <v>2236</v>
      </c>
      <c r="B578" t="str">
        <f>_xlfn.XLOOKUP(A578,'Pinlist(S1)'!$Q$4:$Q$1362,'Pinlist(S1)'!$R$4:$R$1362,"")</f>
        <v>VSS</v>
      </c>
      <c r="C578" t="str" cm="1">
        <f t="array" ref="C578">_xlfn.TEXTJOIN(",",TRUE,_xlfn.UNIQUE(TRANSPOSE(_xlfn.MAP(_xlfn.XLOOKUP(A578,'Pinlist(S1)'!$C$4:$C$1362,'Pinlist(S1)'!$F$4:$K$1362,""),_xlfn.LAMBDA(_xlpm.x,IF(_xlpm.x&lt;&gt;"",TRIM(CLEAN(LEFT(_xlpm.x,FIND(".",_xlpm.x &amp; ".")-1))),""))))))</f>
        <v/>
      </c>
      <c r="D578">
        <v>10.076000000000001</v>
      </c>
      <c r="E578">
        <v>9.6289999999999996</v>
      </c>
      <c r="F578" t="str">
        <f>_xlfn.LET(_xlpm.raw,_xlfn.XLOOKUP(A578,'Pinlist(S1)'!$C$4:$C$1362,'Pinlist(S1)'!$E$4:$E$1362,""),_xlpm.cleanRaw,SUBSTITUTE(SUBSTITUTE(_xlpm.raw,"_PIN","."),"PIN","."),_xlpm.mainPart,MID(_xlpm.cleanRaw,2,FIND(".",_xlpm.cleanRaw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8" t="str">
        <f>_xlfn.LET(_xlpm.raw,_xlfn.XLOOKUP(A578,'Pinlist(S3)'!$C$4:$C$1362,'Pinlist(S3)'!$E$4:$E$1362,""),_xlpm.cleanRaw,SUBSTITUTE(SUBSTITUTE(_xlpm.raw,"_PIN","."),"PIN","."),_xlpm.mainPart,MID(_xlpm.cleanRaw,2,FIND(".",_xlpm.cleanRaw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8" t="str">
        <f>_xlfn.LET(_xlpm.raw,_xlfn.XLOOKUP(A578,'Pinlist(S5)'!$C$4:$C$1362,'Pinlist(S5)'!$E$4:$E$1362,""),_xlpm.cleanRaw,SUBSTITUTE(SUBSTITUTE(_xlpm.raw,"_PIN","."),"PIN","."),_xlpm.mainPart,MID(_xlpm.cleanRaw,2,FIND(".",_xlpm.cleanRaw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8" t="str">
        <f>""</f>
        <v/>
      </c>
      <c r="J578" t="str">
        <f t="shared" ref="J578:J641" si="9">A578&amp;";"&amp;B578&amp;";"&amp;C578&amp;";"&amp;D578&amp;";"&amp;E578&amp;";"&amp;F578&amp;";"&amp;G578&amp;";"&amp;H578&amp;";"&amp;I578</f>
        <v>V18;VSS;;10.076;9.629;;;;</v>
      </c>
    </row>
    <row r="579" spans="1:10">
      <c r="A579" t="s">
        <v>1812</v>
      </c>
      <c r="B579" t="str">
        <f>_xlfn.XLOOKUP(A579,'Pinlist(S1)'!$Q$4:$Q$1362,'Pinlist(S1)'!$R$4:$R$1362,"")</f>
        <v>VCCPHVC_3P3</v>
      </c>
      <c r="C579" t="str" cm="1">
        <f t="array" ref="C579">_xlfn.TEXTJOIN(",",TRUE,_xlfn.UNIQUE(TRANSPOSE(_xlfn.MAP(_xlfn.XLOOKUP(A579,'Pinlist(S1)'!$C$4:$C$1362,'Pinlist(S1)'!$F$4:$K$1362,""),_xlfn.LAMBDA(_xlpm.x,IF(_xlpm.x&lt;&gt;"",TRIM(CLEAN(LEFT(_xlpm.x,FIND(".",_xlpm.x &amp; ".")-1))),""))))))</f>
        <v/>
      </c>
      <c r="D579">
        <v>10.727</v>
      </c>
      <c r="E579">
        <v>9.6289999999999996</v>
      </c>
      <c r="F579" t="str">
        <f>_xlfn.LET(_xlpm.raw,_xlfn.XLOOKUP(A579,'Pinlist(S1)'!$C$4:$C$1362,'Pinlist(S1)'!$E$4:$E$1362,""),_xlpm.cleanRaw,SUBSTITUTE(SUBSTITUTE(_xlpm.raw,"_PIN","."),"PIN","."),_xlpm.mainPart,MID(_xlpm.cleanRaw,2,FIND(".",_xlpm.cleanRaw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9" t="str">
        <f>_xlfn.LET(_xlpm.raw,_xlfn.XLOOKUP(A579,'Pinlist(S3)'!$C$4:$C$1362,'Pinlist(S3)'!$E$4:$E$1362,""),_xlpm.cleanRaw,SUBSTITUTE(SUBSTITUTE(_xlpm.raw,"_PIN","."),"PIN","."),_xlpm.mainPart,MID(_xlpm.cleanRaw,2,FIND(".",_xlpm.cleanRaw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9" t="str">
        <f>_xlfn.LET(_xlpm.raw,_xlfn.XLOOKUP(A579,'Pinlist(S5)'!$C$4:$C$1362,'Pinlist(S5)'!$E$4:$E$1362,""),_xlpm.cleanRaw,SUBSTITUTE(SUBSTITUTE(_xlpm.raw,"_PIN","."),"PIN","."),_xlpm.mainPart,MID(_xlpm.cleanRaw,2,FIND(".",_xlpm.cleanRaw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9" t="str">
        <f>""</f>
        <v/>
      </c>
      <c r="J579" t="str">
        <f t="shared" si="9"/>
        <v>V19;VCCPHVC_3P3;;10.727;9.629;;;;</v>
      </c>
    </row>
    <row r="580" spans="1:10">
      <c r="A580" t="s">
        <v>1822</v>
      </c>
      <c r="B580" t="str">
        <f>_xlfn.XLOOKUP(A580,'Pinlist(S1)'!$Q$4:$Q$1362,'Pinlist(S1)'!$R$4:$R$1362,"")</f>
        <v>VCCPRIM_CORE</v>
      </c>
      <c r="C580" t="str" cm="1">
        <f t="array" ref="C580">_xlfn.TEXTJOIN(",",TRUE,_xlfn.UNIQUE(TRANSPOSE(_xlfn.MAP(_xlfn.XLOOKUP(A580,'Pinlist(S1)'!$C$4:$C$1362,'Pinlist(S1)'!$F$4:$K$1362,""),_xlfn.LAMBDA(_xlpm.x,IF(_xlpm.x&lt;&gt;"",TRIM(CLEAN(LEFT(_xlpm.x,FIND(".",_xlpm.x &amp; ".")-1))),""))))))</f>
        <v/>
      </c>
      <c r="D580">
        <v>11.377000000000001</v>
      </c>
      <c r="E580">
        <v>9.6289999999999996</v>
      </c>
      <c r="F580" t="str">
        <f>_xlfn.LET(_xlpm.raw,_xlfn.XLOOKUP(A580,'Pinlist(S1)'!$C$4:$C$1362,'Pinlist(S1)'!$E$4:$E$1362,""),_xlpm.cleanRaw,SUBSTITUTE(SUBSTITUTE(_xlpm.raw,"_PIN","."),"PIN","."),_xlpm.mainPart,MID(_xlpm.cleanRaw,2,FIND(".",_xlpm.cleanRaw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0" t="str">
        <f>_xlfn.LET(_xlpm.raw,_xlfn.XLOOKUP(A580,'Pinlist(S3)'!$C$4:$C$1362,'Pinlist(S3)'!$E$4:$E$1362,""),_xlpm.cleanRaw,SUBSTITUTE(SUBSTITUTE(_xlpm.raw,"_PIN","."),"PIN","."),_xlpm.mainPart,MID(_xlpm.cleanRaw,2,FIND(".",_xlpm.cleanRaw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0" t="str">
        <f>_xlfn.LET(_xlpm.raw,_xlfn.XLOOKUP(A580,'Pinlist(S5)'!$C$4:$C$1362,'Pinlist(S5)'!$E$4:$E$1362,""),_xlpm.cleanRaw,SUBSTITUTE(SUBSTITUTE(_xlpm.raw,"_PIN","."),"PIN","."),_xlpm.mainPart,MID(_xlpm.cleanRaw,2,FIND(".",_xlpm.cleanRaw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0" t="str">
        <f>""</f>
        <v/>
      </c>
      <c r="J580" t="str">
        <f t="shared" si="9"/>
        <v>V20;VCCPRIM_CORE;;11.377;9.629;;;;</v>
      </c>
    </row>
    <row r="581" spans="1:10">
      <c r="A581" t="s">
        <v>1823</v>
      </c>
      <c r="B581" t="str">
        <f>_xlfn.XLOOKUP(A581,'Pinlist(S1)'!$Q$4:$Q$1362,'Pinlist(S1)'!$R$4:$R$1362,"")</f>
        <v>VCCPRIM_CORE</v>
      </c>
      <c r="C581" t="str" cm="1">
        <f t="array" ref="C581">_xlfn.TEXTJOIN(",",TRUE,_xlfn.UNIQUE(TRANSPOSE(_xlfn.MAP(_xlfn.XLOOKUP(A581,'Pinlist(S1)'!$C$4:$C$1362,'Pinlist(S1)'!$F$4:$K$1362,""),_xlfn.LAMBDA(_xlpm.x,IF(_xlpm.x&lt;&gt;"",TRIM(CLEAN(LEFT(_xlpm.x,FIND(".",_xlpm.x &amp; ".")-1))),""))))))</f>
        <v/>
      </c>
      <c r="D581">
        <v>12.026999999999999</v>
      </c>
      <c r="E581">
        <v>9.6289999999999996</v>
      </c>
      <c r="F581" t="str">
        <f>_xlfn.LET(_xlpm.raw,_xlfn.XLOOKUP(A581,'Pinlist(S1)'!$C$4:$C$1362,'Pinlist(S1)'!$E$4:$E$1362,""),_xlpm.cleanRaw,SUBSTITUTE(SUBSTITUTE(_xlpm.raw,"_PIN","."),"PIN","."),_xlpm.mainPart,MID(_xlpm.cleanRaw,2,FIND(".",_xlpm.cleanRaw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1" t="str">
        <f>_xlfn.LET(_xlpm.raw,_xlfn.XLOOKUP(A581,'Pinlist(S3)'!$C$4:$C$1362,'Pinlist(S3)'!$E$4:$E$1362,""),_xlpm.cleanRaw,SUBSTITUTE(SUBSTITUTE(_xlpm.raw,"_PIN","."),"PIN","."),_xlpm.mainPart,MID(_xlpm.cleanRaw,2,FIND(".",_xlpm.cleanRaw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1" t="str">
        <f>_xlfn.LET(_xlpm.raw,_xlfn.XLOOKUP(A581,'Pinlist(S5)'!$C$4:$C$1362,'Pinlist(S5)'!$E$4:$E$1362,""),_xlpm.cleanRaw,SUBSTITUTE(SUBSTITUTE(_xlpm.raw,"_PIN","."),"PIN","."),_xlpm.mainPart,MID(_xlpm.cleanRaw,2,FIND(".",_xlpm.cleanRaw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1" t="str">
        <f>""</f>
        <v/>
      </c>
      <c r="J581" t="str">
        <f t="shared" si="9"/>
        <v>V21;VCCPRIM_CORE;;12.027;9.629;;;;</v>
      </c>
    </row>
    <row r="582" spans="1:10">
      <c r="A582" t="s">
        <v>1619</v>
      </c>
      <c r="B582" t="str">
        <f>_xlfn.XLOOKUP(A582,'Pinlist(S1)'!$Q$4:$Q$1362,'Pinlist(S1)'!$R$4:$R$1362,"")</f>
        <v>VCCEDRAM</v>
      </c>
      <c r="C582" t="str" cm="1">
        <f t="array" ref="C582">_xlfn.TEXTJOIN(",",TRUE,_xlfn.UNIQUE(TRANSPOSE(_xlfn.MAP(_xlfn.XLOOKUP(A582,'Pinlist(S1)'!$C$4:$C$1362,'Pinlist(S1)'!$F$4:$K$1362,""),_xlfn.LAMBDA(_xlpm.x,IF(_xlpm.x&lt;&gt;"",TRIM(CLEAN(LEFT(_xlpm.x,FIND(".",_xlpm.x &amp; ".")-1))),""))))))</f>
        <v/>
      </c>
      <c r="D582">
        <v>34.957999999999998</v>
      </c>
      <c r="E582">
        <v>9.3469999999999995</v>
      </c>
      <c r="F582" t="str">
        <f>_xlfn.LET(_xlpm.raw,_xlfn.XLOOKUP(A582,'Pinlist(S1)'!$C$4:$C$1362,'Pinlist(S1)'!$E$4:$E$1362,""),_xlpm.cleanRaw,SUBSTITUTE(SUBSTITUTE(_xlpm.raw,"_PIN","."),"PIN","."),_xlpm.mainPart,MID(_xlpm.cleanRaw,2,FIND(".",_xlpm.cleanRaw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2" t="str">
        <f>_xlfn.LET(_xlpm.raw,_xlfn.XLOOKUP(A582,'Pinlist(S3)'!$C$4:$C$1362,'Pinlist(S3)'!$E$4:$E$1362,""),_xlpm.cleanRaw,SUBSTITUTE(SUBSTITUTE(_xlpm.raw,"_PIN","."),"PIN","."),_xlpm.mainPart,MID(_xlpm.cleanRaw,2,FIND(".",_xlpm.cleanRaw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2" t="str">
        <f>_xlfn.LET(_xlpm.raw,_xlfn.XLOOKUP(A582,'Pinlist(S5)'!$C$4:$C$1362,'Pinlist(S5)'!$E$4:$E$1362,""),_xlpm.cleanRaw,SUBSTITUTE(SUBSTITUTE(_xlpm.raw,"_PIN","."),"PIN","."),_xlpm.mainPart,MID(_xlpm.cleanRaw,2,FIND(".",_xlpm.cleanRaw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2" t="str">
        <f>""</f>
        <v/>
      </c>
      <c r="J582" t="str">
        <f t="shared" si="9"/>
        <v>V62;VCCEDRAM;;34.958;9.347;;;;</v>
      </c>
    </row>
    <row r="583" spans="1:10">
      <c r="A583" t="s">
        <v>929</v>
      </c>
      <c r="B583" t="str">
        <f>_xlfn.XLOOKUP(A583,'Pinlist(S1)'!$Q$4:$Q$1362,'Pinlist(S1)'!$R$4:$R$1362,"")</f>
        <v>GPP_C_5_SML0ALERTB</v>
      </c>
      <c r="C583" t="str" cm="1">
        <f t="array" ref="C583">_xlfn.TEXTJOIN(",",TRUE,_xlfn.UNIQUE(TRANSPOSE(_xlfn.MAP(_xlfn.XLOOKUP(A583,'Pinlist(S1)'!$C$4:$C$1362,'Pinlist(S1)'!$F$4:$K$1362,""),_xlfn.LAMBDA(_xlpm.x,IF(_xlpm.x&lt;&gt;"",TRIM(CLEAN(LEFT(_xlpm.x,FIND(".",_xlpm.x &amp; ".")-1))),""))))))</f>
        <v/>
      </c>
      <c r="D583">
        <v>0</v>
      </c>
      <c r="E583">
        <v>10.141</v>
      </c>
      <c r="F583" t="str">
        <f>_xlfn.LET(_xlpm.raw,_xlfn.XLOOKUP(A583,'Pinlist(S1)'!$C$4:$C$1362,'Pinlist(S1)'!$E$4:$E$1362,""),_xlpm.cleanRaw,SUBSTITUTE(SUBSTITUTE(_xlpm.raw,"_PIN","."),"PIN","."),_xlpm.mainPart,MID(_xlpm.cleanRaw,2,FIND(".",_xlpm.cleanRaw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505082</v>
      </c>
      <c r="G583" t="str">
        <f>_xlfn.LET(_xlpm.raw,_xlfn.XLOOKUP(A583,'Pinlist(S3)'!$C$4:$C$1362,'Pinlist(S3)'!$E$4:$E$1362,""),_xlpm.cleanRaw,SUBSTITUTE(SUBSTITUTE(_xlpm.raw,"_PIN","."),"PIN","."),_xlpm.mainPart,MID(_xlpm.cleanRaw,2,FIND(".",_xlpm.cleanRaw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809123</v>
      </c>
      <c r="H583" t="str">
        <f>_xlfn.LET(_xlpm.raw,_xlfn.XLOOKUP(A583,'Pinlist(S5)'!$C$4:$C$1362,'Pinlist(S5)'!$E$4:$E$1362,""),_xlpm.cleanRaw,SUBSTITUTE(SUBSTITUTE(_xlpm.raw,"_PIN","."),"PIN","."),_xlpm.mainPart,MID(_xlpm.cleanRaw,2,FIND(".",_xlpm.cleanRaw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603123</v>
      </c>
      <c r="I583" t="str">
        <f>""</f>
        <v/>
      </c>
      <c r="J583" t="str">
        <f t="shared" si="9"/>
        <v>W1;GPP_C_5_SML0ALERTB;;0;10.141;505082;809123;603123;</v>
      </c>
    </row>
    <row r="584" spans="1:10">
      <c r="A584" t="s">
        <v>927</v>
      </c>
      <c r="B584" t="str">
        <f>_xlfn.XLOOKUP(A584,'Pinlist(S1)'!$Q$4:$Q$1362,'Pinlist(S1)'!$R$4:$R$1362,"")</f>
        <v>GPP_C_4_SML0DATA</v>
      </c>
      <c r="C584" t="str" cm="1">
        <f t="array" ref="C584">_xlfn.TEXTJOIN(",",TRUE,_xlfn.UNIQUE(TRANSPOSE(_xlfn.MAP(_xlfn.XLOOKUP(A584,'Pinlist(S1)'!$C$4:$C$1362,'Pinlist(S1)'!$F$4:$K$1362,""),_xlfn.LAMBDA(_xlpm.x,IF(_xlpm.x&lt;&gt;"",TRIM(CLEAN(LEFT(_xlpm.x,FIND(".",_xlpm.x &amp; ".")-1))),""))))))</f>
        <v/>
      </c>
      <c r="D584">
        <v>0.64999999999999802</v>
      </c>
      <c r="E584">
        <v>10.141</v>
      </c>
      <c r="F584" t="str">
        <f>_xlfn.LET(_xlpm.raw,_xlfn.XLOOKUP(A584,'Pinlist(S1)'!$C$4:$C$1362,'Pinlist(S1)'!$E$4:$E$1362,""),_xlpm.cleanRaw,SUBSTITUTE(SUBSTITUTE(_xlpm.raw,"_PIN","."),"PIN","."),_xlpm.mainPart,MID(_xlpm.cleanRaw,2,FIND(".",_xlpm.cleanRaw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508072</v>
      </c>
      <c r="G584" t="str">
        <f>_xlfn.LET(_xlpm.raw,_xlfn.XLOOKUP(A584,'Pinlist(S3)'!$C$4:$C$1362,'Pinlist(S3)'!$E$4:$E$1362,""),_xlpm.cleanRaw,SUBSTITUTE(SUBSTITUTE(_xlpm.raw,"_PIN","."),"PIN","."),_xlpm.mainPart,MID(_xlpm.cleanRaw,2,FIND(".",_xlpm.cleanRaw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806100</v>
      </c>
      <c r="H584" t="str">
        <f>_xlfn.LET(_xlpm.raw,_xlfn.XLOOKUP(A584,'Pinlist(S5)'!$C$4:$C$1362,'Pinlist(S5)'!$E$4:$E$1362,""),_xlpm.cleanRaw,SUBSTITUTE(SUBSTITUTE(_xlpm.raw,"_PIN","."),"PIN","."),_xlpm.mainPart,MID(_xlpm.cleanRaw,2,FIND(".",_xlpm.cleanRaw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601015</v>
      </c>
      <c r="I584" t="str">
        <f>""</f>
        <v/>
      </c>
      <c r="J584" t="str">
        <f t="shared" si="9"/>
        <v>W2;GPP_C_4_SML0DATA;;0.649999999999998;10.141;508072;806100;601015;</v>
      </c>
    </row>
    <row r="585" spans="1:10">
      <c r="A585" t="s">
        <v>931</v>
      </c>
      <c r="B585" t="str">
        <f>_xlfn.XLOOKUP(A585,'Pinlist(S1)'!$Q$4:$Q$1362,'Pinlist(S1)'!$R$4:$R$1362,"")</f>
        <v>GPP_C_6_SML1CLK</v>
      </c>
      <c r="C585" t="str" cm="1">
        <f t="array" ref="C585">_xlfn.TEXTJOIN(",",TRUE,_xlfn.UNIQUE(TRANSPOSE(_xlfn.MAP(_xlfn.XLOOKUP(A585,'Pinlist(S1)'!$C$4:$C$1362,'Pinlist(S1)'!$F$4:$K$1362,""),_xlfn.LAMBDA(_xlpm.x,IF(_xlpm.x&lt;&gt;"",TRIM(CLEAN(LEFT(_xlpm.x,FIND(".",_xlpm.x &amp; ".")-1))),""))))))</f>
        <v/>
      </c>
      <c r="D585">
        <v>1.2999999999999901</v>
      </c>
      <c r="E585">
        <v>10.141</v>
      </c>
      <c r="F585" t="str">
        <f>_xlfn.LET(_xlpm.raw,_xlfn.XLOOKUP(A585,'Pinlist(S1)'!$C$4:$C$1362,'Pinlist(S1)'!$E$4:$E$1362,""),_xlpm.cleanRaw,SUBSTITUTE(SUBSTITUTE(_xlpm.raw,"_PIN","."),"PIN","."),_xlpm.mainPart,MID(_xlpm.cleanRaw,2,FIND(".",_xlpm.cleanRaw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505081</v>
      </c>
      <c r="G585" t="str">
        <f>_xlfn.LET(_xlpm.raw,_xlfn.XLOOKUP(A585,'Pinlist(S3)'!$C$4:$C$1362,'Pinlist(S3)'!$E$4:$E$1362,""),_xlpm.cleanRaw,SUBSTITUTE(SUBSTITUTE(_xlpm.raw,"_PIN","."),"PIN","."),_xlpm.mainPart,MID(_xlpm.cleanRaw,2,FIND(".",_xlpm.cleanRaw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808078</v>
      </c>
      <c r="H585" t="str">
        <f>_xlfn.LET(_xlpm.raw,_xlfn.XLOOKUP(A585,'Pinlist(S5)'!$C$4:$C$1362,'Pinlist(S5)'!$E$4:$E$1362,""),_xlpm.cleanRaw,SUBSTITUTE(SUBSTITUTE(_xlpm.raw,"_PIN","."),"PIN","."),_xlpm.mainPart,MID(_xlpm.cleanRaw,2,FIND(".",_xlpm.cleanRaw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603125</v>
      </c>
      <c r="I585" t="str">
        <f>""</f>
        <v/>
      </c>
      <c r="J585" t="str">
        <f t="shared" si="9"/>
        <v>W3;GPP_C_6_SML1CLK;;1.29999999999999;10.141;505081;808078;603125;</v>
      </c>
    </row>
    <row r="586" spans="1:10">
      <c r="A586" t="s">
        <v>895</v>
      </c>
      <c r="B586" t="str">
        <f>_xlfn.XLOOKUP(A586,'Pinlist(S1)'!$Q$4:$Q$1362,'Pinlist(S1)'!$R$4:$R$1362,"")</f>
        <v>GPP_C_10_UART0_RTSB</v>
      </c>
      <c r="C586" t="str" cm="1">
        <f t="array" ref="C586">_xlfn.TEXTJOIN(",",TRUE,_xlfn.UNIQUE(TRANSPOSE(_xlfn.MAP(_xlfn.XLOOKUP(A586,'Pinlist(S1)'!$C$4:$C$1362,'Pinlist(S1)'!$F$4:$K$1362,""),_xlfn.LAMBDA(_xlpm.x,IF(_xlpm.x&lt;&gt;"",TRIM(CLEAN(LEFT(_xlpm.x,FIND(".",_xlpm.x &amp; ".")-1))),""))))))</f>
        <v/>
      </c>
      <c r="D586">
        <v>1.9510000000000001</v>
      </c>
      <c r="E586">
        <v>10.141</v>
      </c>
      <c r="F586" t="str">
        <f>_xlfn.LET(_xlpm.raw,_xlfn.XLOOKUP(A586,'Pinlist(S1)'!$C$4:$C$1362,'Pinlist(S1)'!$E$4:$E$1362,""),_xlpm.cleanRaw,SUBSTITUTE(SUBSTITUTE(_xlpm.raw,"_PIN","."),"PIN","."),_xlpm.mainPart,MID(_xlpm.cleanRaw,2,FIND(".",_xlpm.cleanRaw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508074</v>
      </c>
      <c r="G586" t="str">
        <f>_xlfn.LET(_xlpm.raw,_xlfn.XLOOKUP(A586,'Pinlist(S3)'!$C$4:$C$1362,'Pinlist(S3)'!$E$4:$E$1362,""),_xlpm.cleanRaw,SUBSTITUTE(SUBSTITUTE(_xlpm.raw,"_PIN","."),"PIN","."),_xlpm.mainPart,MID(_xlpm.cleanRaw,2,FIND(".",_xlpm.cleanRaw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806099</v>
      </c>
      <c r="H586" t="str">
        <f>_xlfn.LET(_xlpm.raw,_xlfn.XLOOKUP(A586,'Pinlist(S5)'!$C$4:$C$1362,'Pinlist(S5)'!$E$4:$E$1362,""),_xlpm.cleanRaw,SUBSTITUTE(SUBSTITUTE(_xlpm.raw,"_PIN","."),"PIN","."),_xlpm.mainPart,MID(_xlpm.cleanRaw,2,FIND(".",_xlpm.cleanRaw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601011</v>
      </c>
      <c r="I586" t="str">
        <f>""</f>
        <v/>
      </c>
      <c r="J586" t="str">
        <f t="shared" si="9"/>
        <v>W4;GPP_C_10_UART0_RTSB;;1.951;10.141;508074;806099;601011;</v>
      </c>
    </row>
    <row r="587" spans="1:10">
      <c r="A587" t="s">
        <v>2238</v>
      </c>
      <c r="B587" t="str">
        <f>_xlfn.XLOOKUP(A587,'Pinlist(S1)'!$Q$4:$Q$1362,'Pinlist(S1)'!$R$4:$R$1362,"")</f>
        <v>VSS</v>
      </c>
      <c r="C587" t="str" cm="1">
        <f t="array" ref="C587">_xlfn.TEXTJOIN(",",TRUE,_xlfn.UNIQUE(TRANSPOSE(_xlfn.MAP(_xlfn.XLOOKUP(A587,'Pinlist(S1)'!$C$4:$C$1362,'Pinlist(S1)'!$F$4:$K$1362,""),_xlfn.LAMBDA(_xlpm.x,IF(_xlpm.x&lt;&gt;"",TRIM(CLEAN(LEFT(_xlpm.x,FIND(".",_xlpm.x &amp; ".")-1))),""))))))</f>
        <v/>
      </c>
      <c r="D587">
        <v>2.7289999999999899</v>
      </c>
      <c r="E587">
        <v>10.114000000000001</v>
      </c>
      <c r="F587" t="str">
        <f>_xlfn.LET(_xlpm.raw,_xlfn.XLOOKUP(A587,'Pinlist(S1)'!$C$4:$C$1362,'Pinlist(S1)'!$E$4:$E$1362,""),_xlpm.cleanRaw,SUBSTITUTE(SUBSTITUTE(_xlpm.raw,"_PIN","."),"PIN","."),_xlpm.mainPart,MID(_xlpm.cleanRaw,2,FIND(".",_xlpm.cleanRaw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7" t="str">
        <f>_xlfn.LET(_xlpm.raw,_xlfn.XLOOKUP(A587,'Pinlist(S3)'!$C$4:$C$1362,'Pinlist(S3)'!$E$4:$E$1362,""),_xlpm.cleanRaw,SUBSTITUTE(SUBSTITUTE(_xlpm.raw,"_PIN","."),"PIN","."),_xlpm.mainPart,MID(_xlpm.cleanRaw,2,FIND(".",_xlpm.cleanRaw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7" t="str">
        <f>_xlfn.LET(_xlpm.raw,_xlfn.XLOOKUP(A587,'Pinlist(S5)'!$C$4:$C$1362,'Pinlist(S5)'!$E$4:$E$1362,""),_xlpm.cleanRaw,SUBSTITUTE(SUBSTITUTE(_xlpm.raw,"_PIN","."),"PIN","."),_xlpm.mainPart,MID(_xlpm.cleanRaw,2,FIND(".",_xlpm.cleanRaw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7" t="str">
        <f>""</f>
        <v/>
      </c>
      <c r="J587" t="str">
        <f t="shared" si="9"/>
        <v>W6;VSS;;2.72899999999999;10.114;;;;</v>
      </c>
    </row>
    <row r="588" spans="1:10">
      <c r="A588" t="s">
        <v>1113</v>
      </c>
      <c r="B588" t="str">
        <f>_xlfn.XLOOKUP(A588,'Pinlist(S1)'!$Q$4:$Q$1362,'Pinlist(S1)'!$R$4:$R$1362,"")</f>
        <v>GPP_G_7_SD_WP</v>
      </c>
      <c r="C588" t="str" cm="1">
        <f t="array" ref="C588">_xlfn.TEXTJOIN(",",TRUE,_xlfn.UNIQUE(TRANSPOSE(_xlfn.MAP(_xlfn.XLOOKUP(A588,'Pinlist(S1)'!$C$4:$C$1362,'Pinlist(S1)'!$F$4:$K$1362,""),_xlfn.LAMBDA(_xlpm.x,IF(_xlpm.x&lt;&gt;"",TRIM(CLEAN(LEFT(_xlpm.x,FIND(".",_xlpm.x &amp; ".")-1))),""))))))</f>
        <v/>
      </c>
      <c r="D588">
        <v>3.379</v>
      </c>
      <c r="E588">
        <v>10.114000000000001</v>
      </c>
      <c r="F588" t="str">
        <f>_xlfn.LET(_xlpm.raw,_xlfn.XLOOKUP(A588,'Pinlist(S1)'!$C$4:$C$1362,'Pinlist(S1)'!$E$4:$E$1362,""),_xlpm.cleanRaw,SUBSTITUTE(SUBSTITUTE(_xlpm.raw,"_PIN","."),"PIN","."),_xlpm.mainPart,MID(_xlpm.cleanRaw,2,FIND(".",_xlpm.cleanRaw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507107</v>
      </c>
      <c r="G588" t="str">
        <f>_xlfn.LET(_xlpm.raw,_xlfn.XLOOKUP(A588,'Pinlist(S3)'!$C$4:$C$1362,'Pinlist(S3)'!$E$4:$E$1362,""),_xlpm.cleanRaw,SUBSTITUTE(SUBSTITUTE(_xlpm.raw,"_PIN","."),"PIN","."),_xlpm.mainPart,MID(_xlpm.cleanRaw,2,FIND(".",_xlpm.cleanRaw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807019</v>
      </c>
      <c r="H588" t="str">
        <f>_xlfn.LET(_xlpm.raw,_xlfn.XLOOKUP(A588,'Pinlist(S5)'!$C$4:$C$1362,'Pinlist(S5)'!$E$4:$E$1362,""),_xlpm.cleanRaw,SUBSTITUTE(SUBSTITUTE(_xlpm.raw,"_PIN","."),"PIN","."),_xlpm.mainPart,MID(_xlpm.cleanRaw,2,FIND(".",_xlpm.cleanRaw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701093</v>
      </c>
      <c r="I588" t="str">
        <f>""</f>
        <v/>
      </c>
      <c r="J588" t="str">
        <f t="shared" si="9"/>
        <v>W7;GPP_G_7_SD_WP;;3.379;10.114;507107;807019;701093;</v>
      </c>
    </row>
    <row r="589" spans="1:10">
      <c r="A589" t="s">
        <v>1111</v>
      </c>
      <c r="B589" t="str">
        <f>_xlfn.XLOOKUP(A589,'Pinlist(S1)'!$Q$4:$Q$1362,'Pinlist(S1)'!$R$4:$R$1362,"")</f>
        <v>GPP_G_6_SD_CLK</v>
      </c>
      <c r="C589" t="str" cm="1">
        <f t="array" ref="C589">_xlfn.TEXTJOIN(",",TRUE,_xlfn.UNIQUE(TRANSPOSE(_xlfn.MAP(_xlfn.XLOOKUP(A589,'Pinlist(S1)'!$C$4:$C$1362,'Pinlist(S1)'!$F$4:$K$1362,""),_xlfn.LAMBDA(_xlpm.x,IF(_xlpm.x&lt;&gt;"",TRIM(CLEAN(LEFT(_xlpm.x,FIND(".",_xlpm.x &amp; ".")-1))),""))))))</f>
        <v/>
      </c>
      <c r="D589">
        <v>4.0289999999999901</v>
      </c>
      <c r="E589">
        <v>10.114000000000001</v>
      </c>
      <c r="F589" t="str">
        <f>_xlfn.LET(_xlpm.raw,_xlfn.XLOOKUP(A589,'Pinlist(S1)'!$C$4:$C$1362,'Pinlist(S1)'!$E$4:$E$1362,""),_xlpm.cleanRaw,SUBSTITUTE(SUBSTITUTE(_xlpm.raw,"_PIN","."),"PIN","."),_xlpm.mainPart,MID(_xlpm.cleanRaw,2,FIND(".",_xlpm.cleanRaw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509020</v>
      </c>
      <c r="G589" t="str">
        <f>_xlfn.LET(_xlpm.raw,_xlfn.XLOOKUP(A589,'Pinlist(S3)'!$C$4:$C$1362,'Pinlist(S3)'!$E$4:$E$1362,""),_xlpm.cleanRaw,SUBSTITUTE(SUBSTITUTE(_xlpm.raw,"_PIN","."),"PIN","."),_xlpm.mainPart,MID(_xlpm.cleanRaw,2,FIND(".",_xlpm.cleanRaw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805053</v>
      </c>
      <c r="H589" t="str">
        <f>_xlfn.LET(_xlpm.raw,_xlfn.XLOOKUP(A589,'Pinlist(S5)'!$C$4:$C$1362,'Pinlist(S5)'!$E$4:$E$1362,""),_xlpm.cleanRaw,SUBSTITUTE(SUBSTITUTE(_xlpm.raw,"_PIN","."),"PIN","."),_xlpm.mainPart,MID(_xlpm.cleanRaw,2,FIND(".",_xlpm.cleanRaw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702056</v>
      </c>
      <c r="I589" t="str">
        <f>""</f>
        <v/>
      </c>
      <c r="J589" t="str">
        <f t="shared" si="9"/>
        <v>W8;GPP_G_6_SD_CLK;;4.02899999999999;10.114;509020;805053;702056;</v>
      </c>
    </row>
    <row r="590" spans="1:10">
      <c r="A590" t="s">
        <v>2239</v>
      </c>
      <c r="B590" t="str">
        <f>_xlfn.XLOOKUP(A590,'Pinlist(S1)'!$Q$4:$Q$1362,'Pinlist(S1)'!$R$4:$R$1362,"")</f>
        <v>VSS</v>
      </c>
      <c r="C590" t="str" cm="1">
        <f t="array" ref="C590">_xlfn.TEXTJOIN(",",TRUE,_xlfn.UNIQUE(TRANSPOSE(_xlfn.MAP(_xlfn.XLOOKUP(A590,'Pinlist(S1)'!$C$4:$C$1362,'Pinlist(S1)'!$F$4:$K$1362,""),_xlfn.LAMBDA(_xlpm.x,IF(_xlpm.x&lt;&gt;"",TRIM(CLEAN(LEFT(_xlpm.x,FIND(".",_xlpm.x &amp; ".")-1))),""))))))</f>
        <v/>
      </c>
      <c r="D590">
        <v>4.6790000000000003</v>
      </c>
      <c r="E590">
        <v>10.114000000000001</v>
      </c>
      <c r="F590" t="str">
        <f>_xlfn.LET(_xlpm.raw,_xlfn.XLOOKUP(A590,'Pinlist(S1)'!$C$4:$C$1362,'Pinlist(S1)'!$E$4:$E$1362,""),_xlpm.cleanRaw,SUBSTITUTE(SUBSTITUTE(_xlpm.raw,"_PIN","."),"PIN","."),_xlpm.mainPart,MID(_xlpm.cleanRaw,2,FIND(".",_xlpm.cleanRaw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0" t="str">
        <f>_xlfn.LET(_xlpm.raw,_xlfn.XLOOKUP(A590,'Pinlist(S3)'!$C$4:$C$1362,'Pinlist(S3)'!$E$4:$E$1362,""),_xlpm.cleanRaw,SUBSTITUTE(SUBSTITUTE(_xlpm.raw,"_PIN","."),"PIN","."),_xlpm.mainPart,MID(_xlpm.cleanRaw,2,FIND(".",_xlpm.cleanRaw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0" t="str">
        <f>_xlfn.LET(_xlpm.raw,_xlfn.XLOOKUP(A590,'Pinlist(S5)'!$C$4:$C$1362,'Pinlist(S5)'!$E$4:$E$1362,""),_xlpm.cleanRaw,SUBSTITUTE(SUBSTITUTE(_xlpm.raw,"_PIN","."),"PIN","."),_xlpm.mainPart,MID(_xlpm.cleanRaw,2,FIND(".",_xlpm.cleanRaw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0" t="str">
        <f>""</f>
        <v/>
      </c>
      <c r="J590" t="str">
        <f t="shared" si="9"/>
        <v>W9;VSS;;4.679;10.114;;;;</v>
      </c>
    </row>
    <row r="591" spans="1:10">
      <c r="A591" t="s">
        <v>1109</v>
      </c>
      <c r="B591" t="str">
        <f>_xlfn.XLOOKUP(A591,'Pinlist(S1)'!$Q$4:$Q$1362,'Pinlist(S1)'!$R$4:$R$1362,"")</f>
        <v>GPP_G_5_SD_CDB</v>
      </c>
      <c r="C591" t="str" cm="1">
        <f t="array" ref="C591">_xlfn.TEXTJOIN(",",TRUE,_xlfn.UNIQUE(TRANSPOSE(_xlfn.MAP(_xlfn.XLOOKUP(A591,'Pinlist(S1)'!$C$4:$C$1362,'Pinlist(S1)'!$F$4:$K$1362,""),_xlfn.LAMBDA(_xlpm.x,IF(_xlpm.x&lt;&gt;"",TRIM(CLEAN(LEFT(_xlpm.x,FIND(".",_xlpm.x &amp; ".")-1))),""))))))</f>
        <v/>
      </c>
      <c r="D591">
        <v>5.3289999999999997</v>
      </c>
      <c r="E591">
        <v>10.114000000000001</v>
      </c>
      <c r="F591" t="str">
        <f>_xlfn.LET(_xlpm.raw,_xlfn.XLOOKUP(A591,'Pinlist(S1)'!$C$4:$C$1362,'Pinlist(S1)'!$E$4:$E$1362,""),_xlpm.cleanRaw,SUBSTITUTE(SUBSTITUTE(_xlpm.raw,"_PIN","."),"PIN","."),_xlpm.mainPart,MID(_xlpm.cleanRaw,2,FIND(".",_xlpm.cleanRaw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505072</v>
      </c>
      <c r="G591" t="str">
        <f>_xlfn.LET(_xlpm.raw,_xlfn.XLOOKUP(A591,'Pinlist(S3)'!$C$4:$C$1362,'Pinlist(S3)'!$E$4:$E$1362,""),_xlpm.cleanRaw,SUBSTITUTE(SUBSTITUTE(_xlpm.raw,"_PIN","."),"PIN","."),_xlpm.mainPart,MID(_xlpm.cleanRaw,2,FIND(".",_xlpm.cleanRaw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807003</v>
      </c>
      <c r="H591" t="str">
        <f>_xlfn.LET(_xlpm.raw,_xlfn.XLOOKUP(A591,'Pinlist(S5)'!$C$4:$C$1362,'Pinlist(S5)'!$E$4:$E$1362,""),_xlpm.cleanRaw,SUBSTITUTE(SUBSTITUTE(_xlpm.raw,"_PIN","."),"PIN","."),_xlpm.mainPart,MID(_xlpm.cleanRaw,2,FIND(".",_xlpm.cleanRaw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601014</v>
      </c>
      <c r="I591" t="str">
        <f>""</f>
        <v/>
      </c>
      <c r="J591" t="str">
        <f t="shared" si="9"/>
        <v>W10;GPP_G_5_SD_CDB;;5.329;10.114;505072;807003;601014;</v>
      </c>
    </row>
    <row r="592" spans="1:10">
      <c r="A592" t="s">
        <v>1107</v>
      </c>
      <c r="B592" t="str">
        <f>_xlfn.XLOOKUP(A592,'Pinlist(S1)'!$Q$4:$Q$1362,'Pinlist(S1)'!$R$4:$R$1362,"")</f>
        <v>GPP_G_4_SD_DATA3</v>
      </c>
      <c r="C592" t="str" cm="1">
        <f t="array" ref="C592">_xlfn.TEXTJOIN(",",TRUE,_xlfn.UNIQUE(TRANSPOSE(_xlfn.MAP(_xlfn.XLOOKUP(A592,'Pinlist(S1)'!$C$4:$C$1362,'Pinlist(S1)'!$F$4:$K$1362,""),_xlfn.LAMBDA(_xlpm.x,IF(_xlpm.x&lt;&gt;"",TRIM(CLEAN(LEFT(_xlpm.x,FIND(".",_xlpm.x &amp; ".")-1))),""))))))</f>
        <v/>
      </c>
      <c r="D592">
        <v>5.98</v>
      </c>
      <c r="E592">
        <v>10.114000000000001</v>
      </c>
      <c r="F592" t="str">
        <f>_xlfn.LET(_xlpm.raw,_xlfn.XLOOKUP(A592,'Pinlist(S1)'!$C$4:$C$1362,'Pinlist(S1)'!$E$4:$E$1362,""),_xlpm.cleanRaw,SUBSTITUTE(SUBSTITUTE(_xlpm.raw,"_PIN","."),"PIN","."),_xlpm.mainPart,MID(_xlpm.cleanRaw,2,FIND(".",_xlpm.cleanRaw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506016</v>
      </c>
      <c r="G592" t="str">
        <f>_xlfn.LET(_xlpm.raw,_xlfn.XLOOKUP(A592,'Pinlist(S3)'!$C$4:$C$1362,'Pinlist(S3)'!$E$4:$E$1362,""),_xlpm.cleanRaw,SUBSTITUTE(SUBSTITUTE(_xlpm.raw,"_PIN","."),"PIN","."),_xlpm.mainPart,MID(_xlpm.cleanRaw,2,FIND(".",_xlpm.cleanRaw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808074</v>
      </c>
      <c r="H592" t="str">
        <f>_xlfn.LET(_xlpm.raw,_xlfn.XLOOKUP(A592,'Pinlist(S5)'!$C$4:$C$1362,'Pinlist(S5)'!$E$4:$E$1362,""),_xlpm.cleanRaw,SUBSTITUTE(SUBSTITUTE(_xlpm.raw,"_PIN","."),"PIN","."),_xlpm.mainPart,MID(_xlpm.cleanRaw,2,FIND(".",_xlpm.cleanRaw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602072</v>
      </c>
      <c r="I592" t="str">
        <f>""</f>
        <v/>
      </c>
      <c r="J592" t="str">
        <f t="shared" si="9"/>
        <v>W11;GPP_G_4_SD_DATA3;;5.98;10.114;506016;808074;602072;</v>
      </c>
    </row>
    <row r="593" spans="1:10">
      <c r="A593" t="s">
        <v>1105</v>
      </c>
      <c r="B593" t="str">
        <f>_xlfn.XLOOKUP(A593,'Pinlist(S1)'!$Q$4:$Q$1362,'Pinlist(S1)'!$R$4:$R$1362,"")</f>
        <v>GPP_G_3_SD_DATA2</v>
      </c>
      <c r="C593" t="str" cm="1">
        <f t="array" ref="C593">_xlfn.TEXTJOIN(",",TRUE,_xlfn.UNIQUE(TRANSPOSE(_xlfn.MAP(_xlfn.XLOOKUP(A593,'Pinlist(S1)'!$C$4:$C$1362,'Pinlist(S1)'!$F$4:$K$1362,""),_xlfn.LAMBDA(_xlpm.x,IF(_xlpm.x&lt;&gt;"",TRIM(CLEAN(LEFT(_xlpm.x,FIND(".",_xlpm.x &amp; ".")-1))),""))))))</f>
        <v/>
      </c>
      <c r="D593">
        <v>6.63</v>
      </c>
      <c r="E593">
        <v>10.114000000000001</v>
      </c>
      <c r="F593" t="str">
        <f>_xlfn.LET(_xlpm.raw,_xlfn.XLOOKUP(A593,'Pinlist(S1)'!$C$4:$C$1362,'Pinlist(S1)'!$E$4:$E$1362,""),_xlpm.cleanRaw,SUBSTITUTE(SUBSTITUTE(_xlpm.raw,"_PIN","."),"PIN","."),_xlpm.mainPart,MID(_xlpm.cleanRaw,2,FIND(".",_xlpm.cleanRaw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509019</v>
      </c>
      <c r="G593" t="str">
        <f>_xlfn.LET(_xlpm.raw,_xlfn.XLOOKUP(A593,'Pinlist(S3)'!$C$4:$C$1362,'Pinlist(S3)'!$E$4:$E$1362,""),_xlpm.cleanRaw,SUBSTITUTE(SUBSTITUTE(_xlpm.raw,"_PIN","."),"PIN","."),_xlpm.mainPart,MID(_xlpm.cleanRaw,2,FIND(".",_xlpm.cleanRaw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805057</v>
      </c>
      <c r="H593" t="str">
        <f>_xlfn.LET(_xlpm.raw,_xlfn.XLOOKUP(A593,'Pinlist(S5)'!$C$4:$C$1362,'Pinlist(S5)'!$E$4:$E$1362,""),_xlpm.cleanRaw,SUBSTITUTE(SUBSTITUTE(_xlpm.raw,"_PIN","."),"PIN","."),_xlpm.mainPart,MID(_xlpm.cleanRaw,2,FIND(".",_xlpm.cleanRaw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702058</v>
      </c>
      <c r="I593" t="str">
        <f>""</f>
        <v/>
      </c>
      <c r="J593" t="str">
        <f t="shared" si="9"/>
        <v>W12;GPP_G_3_SD_DATA2;;6.63;10.114;509019;805057;702058;</v>
      </c>
    </row>
    <row r="594" spans="1:10">
      <c r="A594" t="s">
        <v>2237</v>
      </c>
      <c r="B594" t="str">
        <f>_xlfn.XLOOKUP(A594,'Pinlist(S1)'!$Q$4:$Q$1362,'Pinlist(S1)'!$R$4:$R$1362,"")</f>
        <v>VSS</v>
      </c>
      <c r="C594" t="str" cm="1">
        <f t="array" ref="C594">_xlfn.TEXTJOIN(",",TRUE,_xlfn.UNIQUE(TRANSPOSE(_xlfn.MAP(_xlfn.XLOOKUP(A594,'Pinlist(S1)'!$C$4:$C$1362,'Pinlist(S1)'!$F$4:$K$1362,""),_xlfn.LAMBDA(_xlpm.x,IF(_xlpm.x&lt;&gt;"",TRIM(CLEAN(LEFT(_xlpm.x,FIND(".",_xlpm.x &amp; ".")-1))),""))))))</f>
        <v/>
      </c>
      <c r="D594">
        <v>7.28</v>
      </c>
      <c r="E594">
        <v>10.114000000000001</v>
      </c>
      <c r="F594" t="str">
        <f>_xlfn.LET(_xlpm.raw,_xlfn.XLOOKUP(A594,'Pinlist(S1)'!$C$4:$C$1362,'Pinlist(S1)'!$E$4:$E$1362,""),_xlpm.cleanRaw,SUBSTITUTE(SUBSTITUTE(_xlpm.raw,"_PIN","."),"PIN","."),_xlpm.mainPart,MID(_xlpm.cleanRaw,2,FIND(".",_xlpm.cleanRaw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4" t="str">
        <f>_xlfn.LET(_xlpm.raw,_xlfn.XLOOKUP(A594,'Pinlist(S3)'!$C$4:$C$1362,'Pinlist(S3)'!$E$4:$E$1362,""),_xlpm.cleanRaw,SUBSTITUTE(SUBSTITUTE(_xlpm.raw,"_PIN","."),"PIN","."),_xlpm.mainPart,MID(_xlpm.cleanRaw,2,FIND(".",_xlpm.cleanRaw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4" t="str">
        <f>_xlfn.LET(_xlpm.raw,_xlfn.XLOOKUP(A594,'Pinlist(S5)'!$C$4:$C$1362,'Pinlist(S5)'!$E$4:$E$1362,""),_xlpm.cleanRaw,SUBSTITUTE(SUBSTITUTE(_xlpm.raw,"_PIN","."),"PIN","."),_xlpm.mainPart,MID(_xlpm.cleanRaw,2,FIND(".",_xlpm.cleanRaw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4" t="str">
        <f>""</f>
        <v/>
      </c>
      <c r="J594" t="str">
        <f t="shared" si="9"/>
        <v>W13;VSS;;7.28;10.114;;;;</v>
      </c>
    </row>
    <row r="595" spans="1:10">
      <c r="A595" t="s">
        <v>1716</v>
      </c>
      <c r="B595" t="str">
        <f>_xlfn.XLOOKUP(A595,'Pinlist(S1)'!$Q$4:$Q$1362,'Pinlist(S1)'!$R$4:$R$1362,"")</f>
        <v>VCCGT</v>
      </c>
      <c r="C595" t="str" cm="1">
        <f t="array" ref="C595">_xlfn.TEXTJOIN(",",TRUE,_xlfn.UNIQUE(TRANSPOSE(_xlfn.MAP(_xlfn.XLOOKUP(A595,'Pinlist(S1)'!$C$4:$C$1362,'Pinlist(S1)'!$F$4:$K$1362,""),_xlfn.LAMBDA(_xlpm.x,IF(_xlpm.x&lt;&gt;"",TRIM(CLEAN(LEFT(_xlpm.x,FIND(".",_xlpm.x &amp; ".")-1))),""))))))</f>
        <v/>
      </c>
      <c r="D595">
        <v>35.427</v>
      </c>
      <c r="E595">
        <v>9.8040000000000003</v>
      </c>
      <c r="F595" t="str">
        <f>_xlfn.LET(_xlpm.raw,_xlfn.XLOOKUP(A595,'Pinlist(S1)'!$C$4:$C$1362,'Pinlist(S1)'!$E$4:$E$1362,""),_xlpm.cleanRaw,SUBSTITUTE(SUBSTITUTE(_xlpm.raw,"_PIN","."),"PIN","."),_xlpm.mainPart,MID(_xlpm.cleanRaw,2,FIND(".",_xlpm.cleanRaw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5" t="str">
        <f>_xlfn.LET(_xlpm.raw,_xlfn.XLOOKUP(A595,'Pinlist(S3)'!$C$4:$C$1362,'Pinlist(S3)'!$E$4:$E$1362,""),_xlpm.cleanRaw,SUBSTITUTE(SUBSTITUTE(_xlpm.raw,"_PIN","."),"PIN","."),_xlpm.mainPart,MID(_xlpm.cleanRaw,2,FIND(".",_xlpm.cleanRaw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5" t="str">
        <f>_xlfn.LET(_xlpm.raw,_xlfn.XLOOKUP(A595,'Pinlist(S5)'!$C$4:$C$1362,'Pinlist(S5)'!$E$4:$E$1362,""),_xlpm.cleanRaw,SUBSTITUTE(SUBSTITUTE(_xlpm.raw,"_PIN","."),"PIN","."),_xlpm.mainPart,MID(_xlpm.cleanRaw,2,FIND(".",_xlpm.cleanRaw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5" t="str">
        <f>""</f>
        <v/>
      </c>
      <c r="J595" t="str">
        <f t="shared" si="9"/>
        <v>W63;VCCGT;;35.427;9.804;;;;</v>
      </c>
    </row>
    <row r="596" spans="1:10">
      <c r="A596" t="s">
        <v>1717</v>
      </c>
      <c r="B596" t="str">
        <f>_xlfn.XLOOKUP(A596,'Pinlist(S1)'!$Q$4:$Q$1362,'Pinlist(S1)'!$R$4:$R$1362,"")</f>
        <v>VCCGT</v>
      </c>
      <c r="C596" t="str" cm="1">
        <f t="array" ref="C596">_xlfn.TEXTJOIN(",",TRUE,_xlfn.UNIQUE(TRANSPOSE(_xlfn.MAP(_xlfn.XLOOKUP(A596,'Pinlist(S1)'!$C$4:$C$1362,'Pinlist(S1)'!$F$4:$K$1362,""),_xlfn.LAMBDA(_xlpm.x,IF(_xlpm.x&lt;&gt;"",TRIM(CLEAN(LEFT(_xlpm.x,FIND(".",_xlpm.x &amp; ".")-1))),""))))))</f>
        <v/>
      </c>
      <c r="D596">
        <v>36.076999999999998</v>
      </c>
      <c r="E596">
        <v>9.8040000000000003</v>
      </c>
      <c r="F596" t="str">
        <f>_xlfn.LET(_xlpm.raw,_xlfn.XLOOKUP(A596,'Pinlist(S1)'!$C$4:$C$1362,'Pinlist(S1)'!$E$4:$E$1362,""),_xlpm.cleanRaw,SUBSTITUTE(SUBSTITUTE(_xlpm.raw,"_PIN","."),"PIN","."),_xlpm.mainPart,MID(_xlpm.cleanRaw,2,FIND(".",_xlpm.cleanRaw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6" t="str">
        <f>_xlfn.LET(_xlpm.raw,_xlfn.XLOOKUP(A596,'Pinlist(S3)'!$C$4:$C$1362,'Pinlist(S3)'!$E$4:$E$1362,""),_xlpm.cleanRaw,SUBSTITUTE(SUBSTITUTE(_xlpm.raw,"_PIN","."),"PIN","."),_xlpm.mainPart,MID(_xlpm.cleanRaw,2,FIND(".",_xlpm.cleanRaw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6" t="str">
        <f>_xlfn.LET(_xlpm.raw,_xlfn.XLOOKUP(A596,'Pinlist(S5)'!$C$4:$C$1362,'Pinlist(S5)'!$E$4:$E$1362,""),_xlpm.cleanRaw,SUBSTITUTE(SUBSTITUTE(_xlpm.raw,"_PIN","."),"PIN","."),_xlpm.mainPart,MID(_xlpm.cleanRaw,2,FIND(".",_xlpm.cleanRaw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6" t="str">
        <f>""</f>
        <v/>
      </c>
      <c r="J596" t="str">
        <f t="shared" si="9"/>
        <v>W64;VCCGT;;36.077;9.804;;;;</v>
      </c>
    </row>
    <row r="597" spans="1:10">
      <c r="A597" t="s">
        <v>1718</v>
      </c>
      <c r="B597" t="str">
        <f>_xlfn.XLOOKUP(A597,'Pinlist(S1)'!$Q$4:$Q$1362,'Pinlist(S1)'!$R$4:$R$1362,"")</f>
        <v>VCCGT</v>
      </c>
      <c r="C597" t="str" cm="1">
        <f t="array" ref="C597">_xlfn.TEXTJOIN(",",TRUE,_xlfn.UNIQUE(TRANSPOSE(_xlfn.MAP(_xlfn.XLOOKUP(A597,'Pinlist(S1)'!$C$4:$C$1362,'Pinlist(S1)'!$F$4:$K$1362,""),_xlfn.LAMBDA(_xlpm.x,IF(_xlpm.x&lt;&gt;"",TRIM(CLEAN(LEFT(_xlpm.x,FIND(".",_xlpm.x &amp; ".")-1))),""))))))</f>
        <v/>
      </c>
      <c r="D597">
        <v>36.726999999999997</v>
      </c>
      <c r="E597">
        <v>9.8040000000000003</v>
      </c>
      <c r="F597" t="str">
        <f>_xlfn.LET(_xlpm.raw,_xlfn.XLOOKUP(A597,'Pinlist(S1)'!$C$4:$C$1362,'Pinlist(S1)'!$E$4:$E$1362,""),_xlpm.cleanRaw,SUBSTITUTE(SUBSTITUTE(_xlpm.raw,"_PIN","."),"PIN","."),_xlpm.mainPart,MID(_xlpm.cleanRaw,2,FIND(".",_xlpm.cleanRaw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7" t="str">
        <f>_xlfn.LET(_xlpm.raw,_xlfn.XLOOKUP(A597,'Pinlist(S3)'!$C$4:$C$1362,'Pinlist(S3)'!$E$4:$E$1362,""),_xlpm.cleanRaw,SUBSTITUTE(SUBSTITUTE(_xlpm.raw,"_PIN","."),"PIN","."),_xlpm.mainPart,MID(_xlpm.cleanRaw,2,FIND(".",_xlpm.cleanRaw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7" t="str">
        <f>_xlfn.LET(_xlpm.raw,_xlfn.XLOOKUP(A597,'Pinlist(S5)'!$C$4:$C$1362,'Pinlist(S5)'!$E$4:$E$1362,""),_xlpm.cleanRaw,SUBSTITUTE(SUBSTITUTE(_xlpm.raw,"_PIN","."),"PIN","."),_xlpm.mainPart,MID(_xlpm.cleanRaw,2,FIND(".",_xlpm.cleanRaw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7" t="str">
        <f>""</f>
        <v/>
      </c>
      <c r="J597" t="str">
        <f t="shared" si="9"/>
        <v>W65;VCCGT;;36.727;9.804;;;;</v>
      </c>
    </row>
    <row r="598" spans="1:10">
      <c r="A598" t="s">
        <v>1719</v>
      </c>
      <c r="B598" t="str">
        <f>_xlfn.XLOOKUP(A598,'Pinlist(S1)'!$Q$4:$Q$1362,'Pinlist(S1)'!$R$4:$R$1362,"")</f>
        <v>VCCGT</v>
      </c>
      <c r="C598" t="str" cm="1">
        <f t="array" ref="C598">_xlfn.TEXTJOIN(",",TRUE,_xlfn.UNIQUE(TRANSPOSE(_xlfn.MAP(_xlfn.XLOOKUP(A598,'Pinlist(S1)'!$C$4:$C$1362,'Pinlist(S1)'!$F$4:$K$1362,""),_xlfn.LAMBDA(_xlpm.x,IF(_xlpm.x&lt;&gt;"",TRIM(CLEAN(LEFT(_xlpm.x,FIND(".",_xlpm.x &amp; ".")-1))),""))))))</f>
        <v/>
      </c>
      <c r="D598">
        <v>37.376999999999903</v>
      </c>
      <c r="E598">
        <v>9.8040000000000003</v>
      </c>
      <c r="F598" t="str">
        <f>_xlfn.LET(_xlpm.raw,_xlfn.XLOOKUP(A598,'Pinlist(S1)'!$C$4:$C$1362,'Pinlist(S1)'!$E$4:$E$1362,""),_xlpm.cleanRaw,SUBSTITUTE(SUBSTITUTE(_xlpm.raw,"_PIN","."),"PIN","."),_xlpm.mainPart,MID(_xlpm.cleanRaw,2,FIND(".",_xlpm.cleanRaw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8" t="str">
        <f>_xlfn.LET(_xlpm.raw,_xlfn.XLOOKUP(A598,'Pinlist(S3)'!$C$4:$C$1362,'Pinlist(S3)'!$E$4:$E$1362,""),_xlpm.cleanRaw,SUBSTITUTE(SUBSTITUTE(_xlpm.raw,"_PIN","."),"PIN","."),_xlpm.mainPart,MID(_xlpm.cleanRaw,2,FIND(".",_xlpm.cleanRaw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8" t="str">
        <f>_xlfn.LET(_xlpm.raw,_xlfn.XLOOKUP(A598,'Pinlist(S5)'!$C$4:$C$1362,'Pinlist(S5)'!$E$4:$E$1362,""),_xlpm.cleanRaw,SUBSTITUTE(SUBSTITUTE(_xlpm.raw,"_PIN","."),"PIN","."),_xlpm.mainPart,MID(_xlpm.cleanRaw,2,FIND(".",_xlpm.cleanRaw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8" t="str">
        <f>""</f>
        <v/>
      </c>
      <c r="J598" t="str">
        <f t="shared" si="9"/>
        <v>W66;VCCGT;;37.3769999999999;9.804;;;;</v>
      </c>
    </row>
    <row r="599" spans="1:10">
      <c r="A599" t="s">
        <v>1720</v>
      </c>
      <c r="B599" t="str">
        <f>_xlfn.XLOOKUP(A599,'Pinlist(S1)'!$Q$4:$Q$1362,'Pinlist(S1)'!$R$4:$R$1362,"")</f>
        <v>VCCGT</v>
      </c>
      <c r="C599" t="str" cm="1">
        <f t="array" ref="C599">_xlfn.TEXTJOIN(",",TRUE,_xlfn.UNIQUE(TRANSPOSE(_xlfn.MAP(_xlfn.XLOOKUP(A599,'Pinlist(S1)'!$C$4:$C$1362,'Pinlist(S1)'!$F$4:$K$1362,""),_xlfn.LAMBDA(_xlpm.x,IF(_xlpm.x&lt;&gt;"",TRIM(CLEAN(LEFT(_xlpm.x,FIND(".",_xlpm.x &amp; ".")-1))),""))))))</f>
        <v/>
      </c>
      <c r="D599">
        <v>38.027999999999999</v>
      </c>
      <c r="E599">
        <v>9.8040000000000003</v>
      </c>
      <c r="F599" t="str">
        <f>_xlfn.LET(_xlpm.raw,_xlfn.XLOOKUP(A599,'Pinlist(S1)'!$C$4:$C$1362,'Pinlist(S1)'!$E$4:$E$1362,""),_xlpm.cleanRaw,SUBSTITUTE(SUBSTITUTE(_xlpm.raw,"_PIN","."),"PIN","."),_xlpm.mainPart,MID(_xlpm.cleanRaw,2,FIND(".",_xlpm.cleanRaw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9" t="str">
        <f>_xlfn.LET(_xlpm.raw,_xlfn.XLOOKUP(A599,'Pinlist(S3)'!$C$4:$C$1362,'Pinlist(S3)'!$E$4:$E$1362,""),_xlpm.cleanRaw,SUBSTITUTE(SUBSTITUTE(_xlpm.raw,"_PIN","."),"PIN","."),_xlpm.mainPart,MID(_xlpm.cleanRaw,2,FIND(".",_xlpm.cleanRaw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9" t="str">
        <f>_xlfn.LET(_xlpm.raw,_xlfn.XLOOKUP(A599,'Pinlist(S5)'!$C$4:$C$1362,'Pinlist(S5)'!$E$4:$E$1362,""),_xlpm.cleanRaw,SUBSTITUTE(SUBSTITUTE(_xlpm.raw,"_PIN","."),"PIN","."),_xlpm.mainPart,MID(_xlpm.cleanRaw,2,FIND(".",_xlpm.cleanRaw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9" t="str">
        <f>""</f>
        <v/>
      </c>
      <c r="J599" t="str">
        <f t="shared" si="9"/>
        <v>W67;VCCGT;;38.028;9.804;;;;</v>
      </c>
    </row>
    <row r="600" spans="1:10">
      <c r="A600" t="s">
        <v>1721</v>
      </c>
      <c r="B600" t="str">
        <f>_xlfn.XLOOKUP(A600,'Pinlist(S1)'!$Q$4:$Q$1362,'Pinlist(S1)'!$R$4:$R$1362,"")</f>
        <v>VCCGT</v>
      </c>
      <c r="C600" t="str" cm="1">
        <f t="array" ref="C600">_xlfn.TEXTJOIN(",",TRUE,_xlfn.UNIQUE(TRANSPOSE(_xlfn.MAP(_xlfn.XLOOKUP(A600,'Pinlist(S1)'!$C$4:$C$1362,'Pinlist(S1)'!$F$4:$K$1362,""),_xlfn.LAMBDA(_xlpm.x,IF(_xlpm.x&lt;&gt;"",TRIM(CLEAN(LEFT(_xlpm.x,FIND(".",_xlpm.x &amp; ".")-1))),""))))))</f>
        <v/>
      </c>
      <c r="D600">
        <v>38.677999999999997</v>
      </c>
      <c r="E600">
        <v>9.8040000000000003</v>
      </c>
      <c r="F600" t="str">
        <f>_xlfn.LET(_xlpm.raw,_xlfn.XLOOKUP(A600,'Pinlist(S1)'!$C$4:$C$1362,'Pinlist(S1)'!$E$4:$E$1362,""),_xlpm.cleanRaw,SUBSTITUTE(SUBSTITUTE(_xlpm.raw,"_PIN","."),"PIN","."),_xlpm.mainPart,MID(_xlpm.cleanRaw,2,FIND(".",_xlpm.cleanRaw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0" t="str">
        <f>_xlfn.LET(_xlpm.raw,_xlfn.XLOOKUP(A600,'Pinlist(S3)'!$C$4:$C$1362,'Pinlist(S3)'!$E$4:$E$1362,""),_xlpm.cleanRaw,SUBSTITUTE(SUBSTITUTE(_xlpm.raw,"_PIN","."),"PIN","."),_xlpm.mainPart,MID(_xlpm.cleanRaw,2,FIND(".",_xlpm.cleanRaw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0" t="str">
        <f>_xlfn.LET(_xlpm.raw,_xlfn.XLOOKUP(A600,'Pinlist(S5)'!$C$4:$C$1362,'Pinlist(S5)'!$E$4:$E$1362,""),_xlpm.cleanRaw,SUBSTITUTE(SUBSTITUTE(_xlpm.raw,"_PIN","."),"PIN","."),_xlpm.mainPart,MID(_xlpm.cleanRaw,2,FIND(".",_xlpm.cleanRaw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0" t="str">
        <f>""</f>
        <v/>
      </c>
      <c r="J600" t="str">
        <f t="shared" si="9"/>
        <v>W68;VCCGT;;38.678;9.804;;;;</v>
      </c>
    </row>
    <row r="601" spans="1:10">
      <c r="A601" t="s">
        <v>1722</v>
      </c>
      <c r="B601" t="str">
        <f>_xlfn.XLOOKUP(A601,'Pinlist(S1)'!$Q$4:$Q$1362,'Pinlist(S1)'!$R$4:$R$1362,"")</f>
        <v>VCCGT</v>
      </c>
      <c r="C601" t="str" cm="1">
        <f t="array" ref="C601">_xlfn.TEXTJOIN(",",TRUE,_xlfn.UNIQUE(TRANSPOSE(_xlfn.MAP(_xlfn.XLOOKUP(A601,'Pinlist(S1)'!$C$4:$C$1362,'Pinlist(S1)'!$F$4:$K$1362,""),_xlfn.LAMBDA(_xlpm.x,IF(_xlpm.x&lt;&gt;"",TRIM(CLEAN(LEFT(_xlpm.x,FIND(".",_xlpm.x &amp; ".")-1))),""))))))</f>
        <v/>
      </c>
      <c r="D601">
        <v>39.328000000000003</v>
      </c>
      <c r="E601">
        <v>9.8040000000000003</v>
      </c>
      <c r="F601" t="str">
        <f>_xlfn.LET(_xlpm.raw,_xlfn.XLOOKUP(A601,'Pinlist(S1)'!$C$4:$C$1362,'Pinlist(S1)'!$E$4:$E$1362,""),_xlpm.cleanRaw,SUBSTITUTE(SUBSTITUTE(_xlpm.raw,"_PIN","."),"PIN","."),_xlpm.mainPart,MID(_xlpm.cleanRaw,2,FIND(".",_xlpm.cleanRaw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1" t="str">
        <f>_xlfn.LET(_xlpm.raw,_xlfn.XLOOKUP(A601,'Pinlist(S3)'!$C$4:$C$1362,'Pinlist(S3)'!$E$4:$E$1362,""),_xlpm.cleanRaw,SUBSTITUTE(SUBSTITUTE(_xlpm.raw,"_PIN","."),"PIN","."),_xlpm.mainPart,MID(_xlpm.cleanRaw,2,FIND(".",_xlpm.cleanRaw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1" t="str">
        <f>_xlfn.LET(_xlpm.raw,_xlfn.XLOOKUP(A601,'Pinlist(S5)'!$C$4:$C$1362,'Pinlist(S5)'!$E$4:$E$1362,""),_xlpm.cleanRaw,SUBSTITUTE(SUBSTITUTE(_xlpm.raw,"_PIN","."),"PIN","."),_xlpm.mainPart,MID(_xlpm.cleanRaw,2,FIND(".",_xlpm.cleanRaw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1" t="str">
        <f>""</f>
        <v/>
      </c>
      <c r="J601" t="str">
        <f t="shared" si="9"/>
        <v>W69;VCCGT;;39.328;9.804;;;;</v>
      </c>
    </row>
    <row r="602" spans="1:10">
      <c r="A602" t="s">
        <v>1723</v>
      </c>
      <c r="B602" t="str">
        <f>_xlfn.XLOOKUP(A602,'Pinlist(S1)'!$Q$4:$Q$1362,'Pinlist(S1)'!$R$4:$R$1362,"")</f>
        <v>VCCGT</v>
      </c>
      <c r="C602" t="str" cm="1">
        <f t="array" ref="C602">_xlfn.TEXTJOIN(",",TRUE,_xlfn.UNIQUE(TRANSPOSE(_xlfn.MAP(_xlfn.XLOOKUP(A602,'Pinlist(S1)'!$C$4:$C$1362,'Pinlist(S1)'!$F$4:$K$1362,""),_xlfn.LAMBDA(_xlpm.x,IF(_xlpm.x&lt;&gt;"",TRIM(CLEAN(LEFT(_xlpm.x,FIND(".",_xlpm.x &amp; ".")-1))),""))))))</f>
        <v/>
      </c>
      <c r="D602">
        <v>39.978000000000002</v>
      </c>
      <c r="E602">
        <v>9.8040000000000003</v>
      </c>
      <c r="F602" t="str">
        <f>_xlfn.LET(_xlpm.raw,_xlfn.XLOOKUP(A602,'Pinlist(S1)'!$C$4:$C$1362,'Pinlist(S1)'!$E$4:$E$1362,""),_xlpm.cleanRaw,SUBSTITUTE(SUBSTITUTE(_xlpm.raw,"_PIN","."),"PIN","."),_xlpm.mainPart,MID(_xlpm.cleanRaw,2,FIND(".",_xlpm.cleanRaw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2" t="str">
        <f>_xlfn.LET(_xlpm.raw,_xlfn.XLOOKUP(A602,'Pinlist(S3)'!$C$4:$C$1362,'Pinlist(S3)'!$E$4:$E$1362,""),_xlpm.cleanRaw,SUBSTITUTE(SUBSTITUTE(_xlpm.raw,"_PIN","."),"PIN","."),_xlpm.mainPart,MID(_xlpm.cleanRaw,2,FIND(".",_xlpm.cleanRaw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2" t="str">
        <f>_xlfn.LET(_xlpm.raw,_xlfn.XLOOKUP(A602,'Pinlist(S5)'!$C$4:$C$1362,'Pinlist(S5)'!$E$4:$E$1362,""),_xlpm.cleanRaw,SUBSTITUTE(SUBSTITUTE(_xlpm.raw,"_PIN","."),"PIN","."),_xlpm.mainPart,MID(_xlpm.cleanRaw,2,FIND(".",_xlpm.cleanRaw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2" t="str">
        <f>""</f>
        <v/>
      </c>
      <c r="J602" t="str">
        <f t="shared" si="9"/>
        <v>W70;VCCGT;;39.978;9.804;;;;</v>
      </c>
    </row>
    <row r="603" spans="1:10">
      <c r="A603" t="s">
        <v>1724</v>
      </c>
      <c r="B603" t="str">
        <f>_xlfn.XLOOKUP(A603,'Pinlist(S1)'!$Q$4:$Q$1362,'Pinlist(S1)'!$R$4:$R$1362,"")</f>
        <v>VCCGT</v>
      </c>
      <c r="C603" t="str" cm="1">
        <f t="array" ref="C603">_xlfn.TEXTJOIN(",",TRUE,_xlfn.UNIQUE(TRANSPOSE(_xlfn.MAP(_xlfn.XLOOKUP(A603,'Pinlist(S1)'!$C$4:$C$1362,'Pinlist(S1)'!$F$4:$K$1362,""),_xlfn.LAMBDA(_xlpm.x,IF(_xlpm.x&lt;&gt;"",TRIM(CLEAN(LEFT(_xlpm.x,FIND(".",_xlpm.x &amp; ".")-1))),""))))))</f>
        <v/>
      </c>
      <c r="D603">
        <v>40.628</v>
      </c>
      <c r="E603">
        <v>9.8040000000000003</v>
      </c>
      <c r="F603" t="str">
        <f>_xlfn.LET(_xlpm.raw,_xlfn.XLOOKUP(A603,'Pinlist(S1)'!$C$4:$C$1362,'Pinlist(S1)'!$E$4:$E$1362,""),_xlpm.cleanRaw,SUBSTITUTE(SUBSTITUTE(_xlpm.raw,"_PIN","."),"PIN","."),_xlpm.mainPart,MID(_xlpm.cleanRaw,2,FIND(".",_xlpm.cleanRaw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3" t="str">
        <f>_xlfn.LET(_xlpm.raw,_xlfn.XLOOKUP(A603,'Pinlist(S3)'!$C$4:$C$1362,'Pinlist(S3)'!$E$4:$E$1362,""),_xlpm.cleanRaw,SUBSTITUTE(SUBSTITUTE(_xlpm.raw,"_PIN","."),"PIN","."),_xlpm.mainPart,MID(_xlpm.cleanRaw,2,FIND(".",_xlpm.cleanRaw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3" t="str">
        <f>_xlfn.LET(_xlpm.raw,_xlfn.XLOOKUP(A603,'Pinlist(S5)'!$C$4:$C$1362,'Pinlist(S5)'!$E$4:$E$1362,""),_xlpm.cleanRaw,SUBSTITUTE(SUBSTITUTE(_xlpm.raw,"_PIN","."),"PIN","."),_xlpm.mainPart,MID(_xlpm.cleanRaw,2,FIND(".",_xlpm.cleanRaw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3" t="str">
        <f>""</f>
        <v/>
      </c>
      <c r="J603" t="str">
        <f t="shared" si="9"/>
        <v>W71;VCCGT;;40.628;9.804;;;;</v>
      </c>
    </row>
    <row r="604" spans="1:10">
      <c r="A604" t="s">
        <v>1803</v>
      </c>
      <c r="B604" t="str">
        <f>_xlfn.XLOOKUP(A604,'Pinlist(S1)'!$Q$4:$Q$1362,'Pinlist(S1)'!$R$4:$R$1362,"")</f>
        <v>VCCPGPPD</v>
      </c>
      <c r="C604" t="str" cm="1">
        <f t="array" ref="C604">_xlfn.TEXTJOIN(",",TRUE,_xlfn.UNIQUE(TRANSPOSE(_xlfn.MAP(_xlfn.XLOOKUP(A604,'Pinlist(S1)'!$C$4:$C$1362,'Pinlist(S1)'!$F$4:$K$1362,""),_xlfn.LAMBDA(_xlpm.x,IF(_xlpm.x&lt;&gt;"",TRIM(CLEAN(LEFT(_xlpm.x,FIND(".",_xlpm.x &amp; ".")-1))),""))))))</f>
        <v/>
      </c>
      <c r="D604">
        <v>8.1259999999999906</v>
      </c>
      <c r="E604">
        <v>10.467000000000001</v>
      </c>
      <c r="F604" t="str">
        <f>_xlfn.LET(_xlpm.raw,_xlfn.XLOOKUP(A604,'Pinlist(S1)'!$C$4:$C$1362,'Pinlist(S1)'!$E$4:$E$1362,""),_xlpm.cleanRaw,SUBSTITUTE(SUBSTITUTE(_xlpm.raw,"_PIN","."),"PIN","."),_xlpm.mainPart,MID(_xlpm.cleanRaw,2,FIND(".",_xlpm.cleanRaw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4" t="str">
        <f>_xlfn.LET(_xlpm.raw,_xlfn.XLOOKUP(A604,'Pinlist(S3)'!$C$4:$C$1362,'Pinlist(S3)'!$E$4:$E$1362,""),_xlpm.cleanRaw,SUBSTITUTE(SUBSTITUTE(_xlpm.raw,"_PIN","."),"PIN","."),_xlpm.mainPart,MID(_xlpm.cleanRaw,2,FIND(".",_xlpm.cleanRaw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4" t="str">
        <f>_xlfn.LET(_xlpm.raw,_xlfn.XLOOKUP(A604,'Pinlist(S5)'!$C$4:$C$1362,'Pinlist(S5)'!$E$4:$E$1362,""),_xlpm.cleanRaw,SUBSTITUTE(SUBSTITUTE(_xlpm.raw,"_PIN","."),"PIN","."),_xlpm.mainPart,MID(_xlpm.cleanRaw,2,FIND(".",_xlpm.cleanRaw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4" t="str">
        <f>""</f>
        <v/>
      </c>
      <c r="J604" t="str">
        <f t="shared" si="9"/>
        <v>Y15;VCCPGPPD;;8.12599999999999;10.467;;;;</v>
      </c>
    </row>
    <row r="605" spans="1:10">
      <c r="A605" t="s">
        <v>1801</v>
      </c>
      <c r="B605" t="str">
        <f>_xlfn.XLOOKUP(A605,'Pinlist(S1)'!$Q$4:$Q$1362,'Pinlist(S1)'!$R$4:$R$1362,"")</f>
        <v>VCCPGPPC</v>
      </c>
      <c r="C605" t="str" cm="1">
        <f t="array" ref="C605">_xlfn.TEXTJOIN(",",TRUE,_xlfn.UNIQUE(TRANSPOSE(_xlfn.MAP(_xlfn.XLOOKUP(A605,'Pinlist(S1)'!$C$4:$C$1362,'Pinlist(S1)'!$F$4:$K$1362,""),_xlfn.LAMBDA(_xlpm.x,IF(_xlpm.x&lt;&gt;"",TRIM(CLEAN(LEFT(_xlpm.x,FIND(".",_xlpm.x &amp; ".")-1))),""))))))</f>
        <v/>
      </c>
      <c r="D605">
        <v>8.7759999999999998</v>
      </c>
      <c r="E605">
        <v>10.467000000000001</v>
      </c>
      <c r="F605" t="str">
        <f>_xlfn.LET(_xlpm.raw,_xlfn.XLOOKUP(A605,'Pinlist(S1)'!$C$4:$C$1362,'Pinlist(S1)'!$E$4:$E$1362,""),_xlpm.cleanRaw,SUBSTITUTE(SUBSTITUTE(_xlpm.raw,"_PIN","."),"PIN","."),_xlpm.mainPart,MID(_xlpm.cleanRaw,2,FIND(".",_xlpm.cleanRaw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5" t="str">
        <f>_xlfn.LET(_xlpm.raw,_xlfn.XLOOKUP(A605,'Pinlist(S3)'!$C$4:$C$1362,'Pinlist(S3)'!$E$4:$E$1362,""),_xlpm.cleanRaw,SUBSTITUTE(SUBSTITUTE(_xlpm.raw,"_PIN","."),"PIN","."),_xlpm.mainPart,MID(_xlpm.cleanRaw,2,FIND(".",_xlpm.cleanRaw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5" t="str">
        <f>_xlfn.LET(_xlpm.raw,_xlfn.XLOOKUP(A605,'Pinlist(S5)'!$C$4:$C$1362,'Pinlist(S5)'!$E$4:$E$1362,""),_xlpm.cleanRaw,SUBSTITUTE(SUBSTITUTE(_xlpm.raw,"_PIN","."),"PIN","."),_xlpm.mainPart,MID(_xlpm.cleanRaw,2,FIND(".",_xlpm.cleanRaw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5" t="str">
        <f>""</f>
        <v/>
      </c>
      <c r="J605" t="str">
        <f t="shared" si="9"/>
        <v>Y16;VCCPGPPC;;8.776;10.467;;;;</v>
      </c>
    </row>
    <row r="606" spans="1:10">
      <c r="A606" t="s">
        <v>2240</v>
      </c>
      <c r="B606" t="str">
        <f>_xlfn.XLOOKUP(A606,'Pinlist(S1)'!$Q$4:$Q$1362,'Pinlist(S1)'!$R$4:$R$1362,"")</f>
        <v>VSS</v>
      </c>
      <c r="C606" t="str" cm="1">
        <f t="array" ref="C606">_xlfn.TEXTJOIN(",",TRUE,_xlfn.UNIQUE(TRANSPOSE(_xlfn.MAP(_xlfn.XLOOKUP(A606,'Pinlist(S1)'!$C$4:$C$1362,'Pinlist(S1)'!$F$4:$K$1362,""),_xlfn.LAMBDA(_xlpm.x,IF(_xlpm.x&lt;&gt;"",TRIM(CLEAN(LEFT(_xlpm.x,FIND(".",_xlpm.x &amp; ".")-1))),""))))))</f>
        <v/>
      </c>
      <c r="D606">
        <v>9.4260000000000002</v>
      </c>
      <c r="E606">
        <v>10.467000000000001</v>
      </c>
      <c r="F606" t="str">
        <f>_xlfn.LET(_xlpm.raw,_xlfn.XLOOKUP(A606,'Pinlist(S1)'!$C$4:$C$1362,'Pinlist(S1)'!$E$4:$E$1362,""),_xlpm.cleanRaw,SUBSTITUTE(SUBSTITUTE(_xlpm.raw,"_PIN","."),"PIN","."),_xlpm.mainPart,MID(_xlpm.cleanRaw,2,FIND(".",_xlpm.cleanRaw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6" t="str">
        <f>_xlfn.LET(_xlpm.raw,_xlfn.XLOOKUP(A606,'Pinlist(S3)'!$C$4:$C$1362,'Pinlist(S3)'!$E$4:$E$1362,""),_xlpm.cleanRaw,SUBSTITUTE(SUBSTITUTE(_xlpm.raw,"_PIN","."),"PIN","."),_xlpm.mainPart,MID(_xlpm.cleanRaw,2,FIND(".",_xlpm.cleanRaw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6" t="str">
        <f>_xlfn.LET(_xlpm.raw,_xlfn.XLOOKUP(A606,'Pinlist(S5)'!$C$4:$C$1362,'Pinlist(S5)'!$E$4:$E$1362,""),_xlpm.cleanRaw,SUBSTITUTE(SUBSTITUTE(_xlpm.raw,"_PIN","."),"PIN","."),_xlpm.mainPart,MID(_xlpm.cleanRaw,2,FIND(".",_xlpm.cleanRaw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6" t="str">
        <f>""</f>
        <v/>
      </c>
      <c r="J606" t="str">
        <f t="shared" si="9"/>
        <v>Y17;VSS;;9.426;10.467;;;;</v>
      </c>
    </row>
    <row r="607" spans="1:10">
      <c r="A607" t="s">
        <v>1614</v>
      </c>
      <c r="B607" t="str">
        <f>_xlfn.XLOOKUP(A607,'Pinlist(S1)'!$Q$4:$Q$1362,'Pinlist(S1)'!$R$4:$R$1362,"")</f>
        <v>VCCDUSB_1P0</v>
      </c>
      <c r="C607" t="str" cm="1">
        <f t="array" ref="C607">_xlfn.TEXTJOIN(",",TRUE,_xlfn.UNIQUE(TRANSPOSE(_xlfn.MAP(_xlfn.XLOOKUP(A607,'Pinlist(S1)'!$C$4:$C$1362,'Pinlist(S1)'!$F$4:$K$1362,""),_xlfn.LAMBDA(_xlpm.x,IF(_xlpm.x&lt;&gt;"",TRIM(CLEAN(LEFT(_xlpm.x,FIND(".",_xlpm.x &amp; ".")-1))),""))))))</f>
        <v/>
      </c>
      <c r="D607">
        <v>10.076000000000001</v>
      </c>
      <c r="E607">
        <v>10.467000000000001</v>
      </c>
      <c r="F607" t="str">
        <f>_xlfn.LET(_xlpm.raw,_xlfn.XLOOKUP(A607,'Pinlist(S1)'!$C$4:$C$1362,'Pinlist(S1)'!$E$4:$E$1362,""),_xlpm.cleanRaw,SUBSTITUTE(SUBSTITUTE(_xlpm.raw,"_PIN","."),"PIN","."),_xlpm.mainPart,MID(_xlpm.cleanRaw,2,FIND(".",_xlpm.cleanRaw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7" t="str">
        <f>_xlfn.LET(_xlpm.raw,_xlfn.XLOOKUP(A607,'Pinlist(S3)'!$C$4:$C$1362,'Pinlist(S3)'!$E$4:$E$1362,""),_xlpm.cleanRaw,SUBSTITUTE(SUBSTITUTE(_xlpm.raw,"_PIN","."),"PIN","."),_xlpm.mainPart,MID(_xlpm.cleanRaw,2,FIND(".",_xlpm.cleanRaw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7" t="str">
        <f>_xlfn.LET(_xlpm.raw,_xlfn.XLOOKUP(A607,'Pinlist(S5)'!$C$4:$C$1362,'Pinlist(S5)'!$E$4:$E$1362,""),_xlpm.cleanRaw,SUBSTITUTE(SUBSTITUTE(_xlpm.raw,"_PIN","."),"PIN","."),_xlpm.mainPart,MID(_xlpm.cleanRaw,2,FIND(".",_xlpm.cleanRaw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7" t="str">
        <f>""</f>
        <v/>
      </c>
      <c r="J607" t="str">
        <f t="shared" si="9"/>
        <v>Y18;VCCDUSB_1P0;;10.076;10.467;;;;</v>
      </c>
    </row>
    <row r="608" spans="1:10">
      <c r="A608" t="s">
        <v>2241</v>
      </c>
      <c r="B608" t="str">
        <f>_xlfn.XLOOKUP(A608,'Pinlist(S1)'!$Q$4:$Q$1362,'Pinlist(S1)'!$R$4:$R$1362,"")</f>
        <v>VSS</v>
      </c>
      <c r="C608" t="str" cm="1">
        <f t="array" ref="C608">_xlfn.TEXTJOIN(",",TRUE,_xlfn.UNIQUE(TRANSPOSE(_xlfn.MAP(_xlfn.XLOOKUP(A608,'Pinlist(S1)'!$C$4:$C$1362,'Pinlist(S1)'!$F$4:$K$1362,""),_xlfn.LAMBDA(_xlpm.x,IF(_xlpm.x&lt;&gt;"",TRIM(CLEAN(LEFT(_xlpm.x,FIND(".",_xlpm.x &amp; ".")-1))),""))))))</f>
        <v/>
      </c>
      <c r="D608">
        <v>10.727</v>
      </c>
      <c r="E608">
        <v>10.467000000000001</v>
      </c>
      <c r="F608" t="str">
        <f>_xlfn.LET(_xlpm.raw,_xlfn.XLOOKUP(A608,'Pinlist(S1)'!$C$4:$C$1362,'Pinlist(S1)'!$E$4:$E$1362,""),_xlpm.cleanRaw,SUBSTITUTE(SUBSTITUTE(_xlpm.raw,"_PIN","."),"PIN","."),_xlpm.mainPart,MID(_xlpm.cleanRaw,2,FIND(".",_xlpm.cleanRaw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8" t="str">
        <f>_xlfn.LET(_xlpm.raw,_xlfn.XLOOKUP(A608,'Pinlist(S3)'!$C$4:$C$1362,'Pinlist(S3)'!$E$4:$E$1362,""),_xlpm.cleanRaw,SUBSTITUTE(SUBSTITUTE(_xlpm.raw,"_PIN","."),"PIN","."),_xlpm.mainPart,MID(_xlpm.cleanRaw,2,FIND(".",_xlpm.cleanRaw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8" t="str">
        <f>_xlfn.LET(_xlpm.raw,_xlfn.XLOOKUP(A608,'Pinlist(S5)'!$C$4:$C$1362,'Pinlist(S5)'!$E$4:$E$1362,""),_xlpm.cleanRaw,SUBSTITUTE(SUBSTITUTE(_xlpm.raw,"_PIN","."),"PIN","."),_xlpm.mainPart,MID(_xlpm.cleanRaw,2,FIND(".",_xlpm.cleanRaw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8" t="str">
        <f>""</f>
        <v/>
      </c>
      <c r="J608" t="str">
        <f t="shared" si="9"/>
        <v>Y19;VSS;;10.727;10.467;;;;</v>
      </c>
    </row>
    <row r="609" spans="1:10">
      <c r="A609" t="s">
        <v>2242</v>
      </c>
      <c r="B609" t="str">
        <f>_xlfn.XLOOKUP(A609,'Pinlist(S1)'!$Q$4:$Q$1362,'Pinlist(S1)'!$R$4:$R$1362,"")</f>
        <v>VSS</v>
      </c>
      <c r="C609" t="str" cm="1">
        <f t="array" ref="C609">_xlfn.TEXTJOIN(",",TRUE,_xlfn.UNIQUE(TRANSPOSE(_xlfn.MAP(_xlfn.XLOOKUP(A609,'Pinlist(S1)'!$C$4:$C$1362,'Pinlist(S1)'!$F$4:$K$1362,""),_xlfn.LAMBDA(_xlpm.x,IF(_xlpm.x&lt;&gt;"",TRIM(CLEAN(LEFT(_xlpm.x,FIND(".",_xlpm.x &amp; ".")-1))),""))))))</f>
        <v/>
      </c>
      <c r="D609">
        <v>11.377000000000001</v>
      </c>
      <c r="E609">
        <v>10.467000000000001</v>
      </c>
      <c r="F609" t="str">
        <f>_xlfn.LET(_xlpm.raw,_xlfn.XLOOKUP(A609,'Pinlist(S1)'!$C$4:$C$1362,'Pinlist(S1)'!$E$4:$E$1362,""),_xlpm.cleanRaw,SUBSTITUTE(SUBSTITUTE(_xlpm.raw,"_PIN","."),"PIN","."),_xlpm.mainPart,MID(_xlpm.cleanRaw,2,FIND(".",_xlpm.cleanRaw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9" t="str">
        <f>_xlfn.LET(_xlpm.raw,_xlfn.XLOOKUP(A609,'Pinlist(S3)'!$C$4:$C$1362,'Pinlist(S3)'!$E$4:$E$1362,""),_xlpm.cleanRaw,SUBSTITUTE(SUBSTITUTE(_xlpm.raw,"_PIN","."),"PIN","."),_xlpm.mainPart,MID(_xlpm.cleanRaw,2,FIND(".",_xlpm.cleanRaw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9" t="str">
        <f>_xlfn.LET(_xlpm.raw,_xlfn.XLOOKUP(A609,'Pinlist(S5)'!$C$4:$C$1362,'Pinlist(S5)'!$E$4:$E$1362,""),_xlpm.cleanRaw,SUBSTITUTE(SUBSTITUTE(_xlpm.raw,"_PIN","."),"PIN","."),_xlpm.mainPart,MID(_xlpm.cleanRaw,2,FIND(".",_xlpm.cleanRaw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9" t="str">
        <f>""</f>
        <v/>
      </c>
      <c r="J609" t="str">
        <f t="shared" si="9"/>
        <v>Y20;VSS;;11.377;10.467;;;;</v>
      </c>
    </row>
    <row r="610" spans="1:10">
      <c r="A610" t="s">
        <v>2243</v>
      </c>
      <c r="B610" t="str">
        <f>_xlfn.XLOOKUP(A610,'Pinlist(S1)'!$Q$4:$Q$1362,'Pinlist(S1)'!$R$4:$R$1362,"")</f>
        <v>VSS</v>
      </c>
      <c r="C610" t="str" cm="1">
        <f t="array" ref="C610">_xlfn.TEXTJOIN(",",TRUE,_xlfn.UNIQUE(TRANSPOSE(_xlfn.MAP(_xlfn.XLOOKUP(A610,'Pinlist(S1)'!$C$4:$C$1362,'Pinlist(S1)'!$F$4:$K$1362,""),_xlfn.LAMBDA(_xlpm.x,IF(_xlpm.x&lt;&gt;"",TRIM(CLEAN(LEFT(_xlpm.x,FIND(".",_xlpm.x &amp; ".")-1))),""))))))</f>
        <v/>
      </c>
      <c r="D610">
        <v>12.026999999999999</v>
      </c>
      <c r="E610">
        <v>10.467000000000001</v>
      </c>
      <c r="F610" t="str">
        <f>_xlfn.LET(_xlpm.raw,_xlfn.XLOOKUP(A610,'Pinlist(S1)'!$C$4:$C$1362,'Pinlist(S1)'!$E$4:$E$1362,""),_xlpm.cleanRaw,SUBSTITUTE(SUBSTITUTE(_xlpm.raw,"_PIN","."),"PIN","."),_xlpm.mainPart,MID(_xlpm.cleanRaw,2,FIND(".",_xlpm.cleanRaw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0" t="str">
        <f>_xlfn.LET(_xlpm.raw,_xlfn.XLOOKUP(A610,'Pinlist(S3)'!$C$4:$C$1362,'Pinlist(S3)'!$E$4:$E$1362,""),_xlpm.cleanRaw,SUBSTITUTE(SUBSTITUTE(_xlpm.raw,"_PIN","."),"PIN","."),_xlpm.mainPart,MID(_xlpm.cleanRaw,2,FIND(".",_xlpm.cleanRaw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0" t="str">
        <f>_xlfn.LET(_xlpm.raw,_xlfn.XLOOKUP(A610,'Pinlist(S5)'!$C$4:$C$1362,'Pinlist(S5)'!$E$4:$E$1362,""),_xlpm.cleanRaw,SUBSTITUTE(SUBSTITUTE(_xlpm.raw,"_PIN","."),"PIN","."),_xlpm.mainPart,MID(_xlpm.cleanRaw,2,FIND(".",_xlpm.cleanRaw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0" t="str">
        <f>""</f>
        <v/>
      </c>
      <c r="J610" t="str">
        <f t="shared" si="9"/>
        <v>Y21;VSS;;12.027;10.467;;;;</v>
      </c>
    </row>
    <row r="611" spans="1:10">
      <c r="A611" t="s">
        <v>1725</v>
      </c>
      <c r="B611" t="str">
        <f>_xlfn.XLOOKUP(A611,'Pinlist(S1)'!$Q$4:$Q$1362,'Pinlist(S1)'!$R$4:$R$1362,"")</f>
        <v>VCCGT</v>
      </c>
      <c r="C611" t="str" cm="1">
        <f t="array" ref="C611">_xlfn.TEXTJOIN(",",TRUE,_xlfn.UNIQUE(TRANSPOSE(_xlfn.MAP(_xlfn.XLOOKUP(A611,'Pinlist(S1)'!$C$4:$C$1362,'Pinlist(S1)'!$F$4:$K$1362,""),_xlfn.LAMBDA(_xlpm.x,IF(_xlpm.x&lt;&gt;"",TRIM(CLEAN(LEFT(_xlpm.x,FIND(".",_xlpm.x &amp; ".")-1))),""))))))</f>
        <v/>
      </c>
      <c r="D611">
        <v>34.957999999999998</v>
      </c>
      <c r="E611">
        <v>10.260999999999999</v>
      </c>
      <c r="F611" t="str">
        <f>_xlfn.LET(_xlpm.raw,_xlfn.XLOOKUP(A611,'Pinlist(S1)'!$C$4:$C$1362,'Pinlist(S1)'!$E$4:$E$1362,""),_xlpm.cleanRaw,SUBSTITUTE(SUBSTITUTE(_xlpm.raw,"_PIN","."),"PIN","."),_xlpm.mainPart,MID(_xlpm.cleanRaw,2,FIND(".",_xlpm.cleanRaw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1" t="str">
        <f>_xlfn.LET(_xlpm.raw,_xlfn.XLOOKUP(A611,'Pinlist(S3)'!$C$4:$C$1362,'Pinlist(S3)'!$E$4:$E$1362,""),_xlpm.cleanRaw,SUBSTITUTE(SUBSTITUTE(_xlpm.raw,"_PIN","."),"PIN","."),_xlpm.mainPart,MID(_xlpm.cleanRaw,2,FIND(".",_xlpm.cleanRaw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1" t="str">
        <f>_xlfn.LET(_xlpm.raw,_xlfn.XLOOKUP(A611,'Pinlist(S5)'!$C$4:$C$1362,'Pinlist(S5)'!$E$4:$E$1362,""),_xlpm.cleanRaw,SUBSTITUTE(SUBSTITUTE(_xlpm.raw,"_PIN","."),"PIN","."),_xlpm.mainPart,MID(_xlpm.cleanRaw,2,FIND(".",_xlpm.cleanRaw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1" t="str">
        <f>""</f>
        <v/>
      </c>
      <c r="J611" t="str">
        <f t="shared" si="9"/>
        <v>Y62;VCCGT;;34.958;10.261;;;;</v>
      </c>
    </row>
    <row r="612" spans="1:10">
      <c r="A612" t="s">
        <v>1546</v>
      </c>
      <c r="B612" t="str">
        <f>_xlfn.XLOOKUP(A612,'Pinlist(S1)'!$Q$4:$Q$1362,'Pinlist(S1)'!$R$4:$R$1362,"")</f>
        <v>VCCATS</v>
      </c>
      <c r="C612" t="str" cm="1">
        <f t="array" ref="C612">_xlfn.TEXTJOIN(",",TRUE,_xlfn.UNIQUE(TRANSPOSE(_xlfn.MAP(_xlfn.XLOOKUP(A612,'Pinlist(S1)'!$C$4:$C$1362,'Pinlist(S1)'!$F$4:$K$1362,""),_xlfn.LAMBDA(_xlpm.x,IF(_xlpm.x&lt;&gt;"",TRIM(CLEAN(LEFT(_xlpm.x,FIND(".",_xlpm.x &amp; ".")-1))),""))))))</f>
        <v/>
      </c>
      <c r="D612">
        <v>0.32500000000000201</v>
      </c>
      <c r="E612">
        <v>10.803000000000001</v>
      </c>
      <c r="F612" t="str">
        <f>_xlfn.LET(_xlpm.raw,_xlfn.XLOOKUP(A612,'Pinlist(S1)'!$C$4:$C$1362,'Pinlist(S1)'!$E$4:$E$1362,""),_xlpm.cleanRaw,SUBSTITUTE(SUBSTITUTE(_xlpm.raw,"_PIN","."),"PIN","."),_xlpm.mainPart,MID(_xlpm.cleanRaw,2,FIND(".",_xlpm.cleanRaw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2" t="str">
        <f>_xlfn.LET(_xlpm.raw,_xlfn.XLOOKUP(A612,'Pinlist(S3)'!$C$4:$C$1362,'Pinlist(S3)'!$E$4:$E$1362,""),_xlpm.cleanRaw,SUBSTITUTE(SUBSTITUTE(_xlpm.raw,"_PIN","."),"PIN","."),_xlpm.mainPart,MID(_xlpm.cleanRaw,2,FIND(".",_xlpm.cleanRaw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2" t="str">
        <f>_xlfn.LET(_xlpm.raw,_xlfn.XLOOKUP(A612,'Pinlist(S5)'!$C$4:$C$1362,'Pinlist(S5)'!$E$4:$E$1362,""),_xlpm.cleanRaw,SUBSTITUTE(SUBSTITUTE(_xlpm.raw,"_PIN","."),"PIN","."),_xlpm.mainPart,MID(_xlpm.cleanRaw,2,FIND(".",_xlpm.cleanRaw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2" t="str">
        <f>""</f>
        <v/>
      </c>
      <c r="J612" t="str">
        <f t="shared" si="9"/>
        <v>AA1;VCCATS;;0.325000000000002;10.803;;;;</v>
      </c>
    </row>
    <row r="613" spans="1:10">
      <c r="A613" t="s">
        <v>1887</v>
      </c>
      <c r="B613" t="str">
        <f>_xlfn.XLOOKUP(A613,'Pinlist(S1)'!$Q$4:$Q$1362,'Pinlist(S1)'!$R$4:$R$1362,"")</f>
        <v>VSS</v>
      </c>
      <c r="C613" t="str" cm="1">
        <f t="array" ref="C613">_xlfn.TEXTJOIN(",",TRUE,_xlfn.UNIQUE(TRANSPOSE(_xlfn.MAP(_xlfn.XLOOKUP(A613,'Pinlist(S1)'!$C$4:$C$1362,'Pinlist(S1)'!$F$4:$K$1362,""),_xlfn.LAMBDA(_xlpm.x,IF(_xlpm.x&lt;&gt;"",TRIM(CLEAN(LEFT(_xlpm.x,FIND(".",_xlpm.x &amp; ".")-1))),""))))))</f>
        <v/>
      </c>
      <c r="D613">
        <v>0.97500000000000098</v>
      </c>
      <c r="E613">
        <v>10.803000000000001</v>
      </c>
      <c r="F613" t="str">
        <f>_xlfn.LET(_xlpm.raw,_xlfn.XLOOKUP(A613,'Pinlist(S1)'!$C$4:$C$1362,'Pinlist(S1)'!$E$4:$E$1362,""),_xlpm.cleanRaw,SUBSTITUTE(SUBSTITUTE(_xlpm.raw,"_PIN","."),"PIN","."),_xlpm.mainPart,MID(_xlpm.cleanRaw,2,FIND(".",_xlpm.cleanRaw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3" t="str">
        <f>_xlfn.LET(_xlpm.raw,_xlfn.XLOOKUP(A613,'Pinlist(S3)'!$C$4:$C$1362,'Pinlist(S3)'!$E$4:$E$1362,""),_xlpm.cleanRaw,SUBSTITUTE(SUBSTITUTE(_xlpm.raw,"_PIN","."),"PIN","."),_xlpm.mainPart,MID(_xlpm.cleanRaw,2,FIND(".",_xlpm.cleanRaw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3" t="str">
        <f>_xlfn.LET(_xlpm.raw,_xlfn.XLOOKUP(A613,'Pinlist(S5)'!$C$4:$C$1362,'Pinlist(S5)'!$E$4:$E$1362,""),_xlpm.cleanRaw,SUBSTITUTE(SUBSTITUTE(_xlpm.raw,"_PIN","."),"PIN","."),_xlpm.mainPart,MID(_xlpm.cleanRaw,2,FIND(".",_xlpm.cleanRaw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3" t="str">
        <f>""</f>
        <v/>
      </c>
      <c r="J613" t="str">
        <f t="shared" si="9"/>
        <v>AA2;VSS;;0.975000000000001;10.803;;;;</v>
      </c>
    </row>
    <row r="614" spans="1:10">
      <c r="A614" t="s">
        <v>1888</v>
      </c>
      <c r="B614" t="str">
        <f>_xlfn.XLOOKUP(A614,'Pinlist(S1)'!$Q$4:$Q$1362,'Pinlist(S1)'!$R$4:$R$1362,"")</f>
        <v>VSS</v>
      </c>
      <c r="C614" t="str" cm="1">
        <f t="array" ref="C614">_xlfn.TEXTJOIN(",",TRUE,_xlfn.UNIQUE(TRANSPOSE(_xlfn.MAP(_xlfn.XLOOKUP(A614,'Pinlist(S1)'!$C$4:$C$1362,'Pinlist(S1)'!$F$4:$K$1362,""),_xlfn.LAMBDA(_xlpm.x,IF(_xlpm.x&lt;&gt;"",TRIM(CLEAN(LEFT(_xlpm.x,FIND(".",_xlpm.x &amp; ".")-1))),""))))))</f>
        <v/>
      </c>
      <c r="D614">
        <v>1.9510000000000001</v>
      </c>
      <c r="E614">
        <v>10.803000000000001</v>
      </c>
      <c r="F614" t="str">
        <f>_xlfn.LET(_xlpm.raw,_xlfn.XLOOKUP(A614,'Pinlist(S1)'!$C$4:$C$1362,'Pinlist(S1)'!$E$4:$E$1362,""),_xlpm.cleanRaw,SUBSTITUTE(SUBSTITUTE(_xlpm.raw,"_PIN","."),"PIN","."),_xlpm.mainPart,MID(_xlpm.cleanRaw,2,FIND(".",_xlpm.cleanRaw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4" t="str">
        <f>_xlfn.LET(_xlpm.raw,_xlfn.XLOOKUP(A614,'Pinlist(S3)'!$C$4:$C$1362,'Pinlist(S3)'!$E$4:$E$1362,""),_xlpm.cleanRaw,SUBSTITUTE(SUBSTITUTE(_xlpm.raw,"_PIN","."),"PIN","."),_xlpm.mainPart,MID(_xlpm.cleanRaw,2,FIND(".",_xlpm.cleanRaw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4" t="str">
        <f>_xlfn.LET(_xlpm.raw,_xlfn.XLOOKUP(A614,'Pinlist(S5)'!$C$4:$C$1362,'Pinlist(S5)'!$E$4:$E$1362,""),_xlpm.cleanRaw,SUBSTITUTE(SUBSTITUTE(_xlpm.raw,"_PIN","."),"PIN","."),_xlpm.mainPart,MID(_xlpm.cleanRaw,2,FIND(".",_xlpm.cleanRaw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4" t="str">
        <f>""</f>
        <v/>
      </c>
      <c r="J614" t="str">
        <f t="shared" si="9"/>
        <v>AA4;VSS;;1.951;10.803;;;;</v>
      </c>
    </row>
    <row r="615" spans="1:10">
      <c r="A615" t="s">
        <v>1651</v>
      </c>
      <c r="B615" t="str">
        <f>_xlfn.XLOOKUP(A615,'Pinlist(S1)'!$Q$4:$Q$1362,'Pinlist(S1)'!$R$4:$R$1362,"")</f>
        <v>VCCGT</v>
      </c>
      <c r="C615" t="str" cm="1">
        <f t="array" ref="C615">_xlfn.TEXTJOIN(",",TRUE,_xlfn.UNIQUE(TRANSPOSE(_xlfn.MAP(_xlfn.XLOOKUP(A615,'Pinlist(S1)'!$C$4:$C$1362,'Pinlist(S1)'!$F$4:$K$1362,""),_xlfn.LAMBDA(_xlpm.x,IF(_xlpm.x&lt;&gt;"",TRIM(CLEAN(LEFT(_xlpm.x,FIND(".",_xlpm.x &amp; ".")-1))),""))))))</f>
        <v/>
      </c>
      <c r="D615">
        <v>35.427</v>
      </c>
      <c r="E615">
        <v>10.718</v>
      </c>
      <c r="F615" t="str">
        <f>_xlfn.LET(_xlpm.raw,_xlfn.XLOOKUP(A615,'Pinlist(S1)'!$C$4:$C$1362,'Pinlist(S1)'!$E$4:$E$1362,""),_xlpm.cleanRaw,SUBSTITUTE(SUBSTITUTE(_xlpm.raw,"_PIN","."),"PIN","."),_xlpm.mainPart,MID(_xlpm.cleanRaw,2,FIND(".",_xlpm.cleanRaw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5" t="str">
        <f>_xlfn.LET(_xlpm.raw,_xlfn.XLOOKUP(A615,'Pinlist(S3)'!$C$4:$C$1362,'Pinlist(S3)'!$E$4:$E$1362,""),_xlpm.cleanRaw,SUBSTITUTE(SUBSTITUTE(_xlpm.raw,"_PIN","."),"PIN","."),_xlpm.mainPart,MID(_xlpm.cleanRaw,2,FIND(".",_xlpm.cleanRaw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5" t="str">
        <f>_xlfn.LET(_xlpm.raw,_xlfn.XLOOKUP(A615,'Pinlist(S5)'!$C$4:$C$1362,'Pinlist(S5)'!$E$4:$E$1362,""),_xlpm.cleanRaw,SUBSTITUTE(SUBSTITUTE(_xlpm.raw,"_PIN","."),"PIN","."),_xlpm.mainPart,MID(_xlpm.cleanRaw,2,FIND(".",_xlpm.cleanRaw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5" t="str">
        <f>""</f>
        <v/>
      </c>
      <c r="J615" t="str">
        <f t="shared" si="9"/>
        <v>AA63;VCCGT;;35.427;10.718;;;;</v>
      </c>
    </row>
    <row r="616" spans="1:10">
      <c r="A616" t="s">
        <v>1652</v>
      </c>
      <c r="B616" t="str">
        <f>_xlfn.XLOOKUP(A616,'Pinlist(S1)'!$Q$4:$Q$1362,'Pinlist(S1)'!$R$4:$R$1362,"")</f>
        <v>VCCGT</v>
      </c>
      <c r="C616" t="str" cm="1">
        <f t="array" ref="C616">_xlfn.TEXTJOIN(",",TRUE,_xlfn.UNIQUE(TRANSPOSE(_xlfn.MAP(_xlfn.XLOOKUP(A616,'Pinlist(S1)'!$C$4:$C$1362,'Pinlist(S1)'!$F$4:$K$1362,""),_xlfn.LAMBDA(_xlpm.x,IF(_xlpm.x&lt;&gt;"",TRIM(CLEAN(LEFT(_xlpm.x,FIND(".",_xlpm.x &amp; ".")-1))),""))))))</f>
        <v/>
      </c>
      <c r="D616">
        <v>36.076999999999998</v>
      </c>
      <c r="E616">
        <v>10.718</v>
      </c>
      <c r="F616" t="str">
        <f>_xlfn.LET(_xlpm.raw,_xlfn.XLOOKUP(A616,'Pinlist(S1)'!$C$4:$C$1362,'Pinlist(S1)'!$E$4:$E$1362,""),_xlpm.cleanRaw,SUBSTITUTE(SUBSTITUTE(_xlpm.raw,"_PIN","."),"PIN","."),_xlpm.mainPart,MID(_xlpm.cleanRaw,2,FIND(".",_xlpm.cleanRaw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6" t="str">
        <f>_xlfn.LET(_xlpm.raw,_xlfn.XLOOKUP(A616,'Pinlist(S3)'!$C$4:$C$1362,'Pinlist(S3)'!$E$4:$E$1362,""),_xlpm.cleanRaw,SUBSTITUTE(SUBSTITUTE(_xlpm.raw,"_PIN","."),"PIN","."),_xlpm.mainPart,MID(_xlpm.cleanRaw,2,FIND(".",_xlpm.cleanRaw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6" t="str">
        <f>_xlfn.LET(_xlpm.raw,_xlfn.XLOOKUP(A616,'Pinlist(S5)'!$C$4:$C$1362,'Pinlist(S5)'!$E$4:$E$1362,""),_xlpm.cleanRaw,SUBSTITUTE(SUBSTITUTE(_xlpm.raw,"_PIN","."),"PIN","."),_xlpm.mainPart,MID(_xlpm.cleanRaw,2,FIND(".",_xlpm.cleanRaw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6" t="str">
        <f>""</f>
        <v/>
      </c>
      <c r="J616" t="str">
        <f t="shared" si="9"/>
        <v>AA64;VCCGT;;36.077;10.718;;;;</v>
      </c>
    </row>
    <row r="617" spans="1:10">
      <c r="A617" t="s">
        <v>1889</v>
      </c>
      <c r="B617" t="str">
        <f>_xlfn.XLOOKUP(A617,'Pinlist(S1)'!$Q$4:$Q$1362,'Pinlist(S1)'!$R$4:$R$1362,"")</f>
        <v>VSS</v>
      </c>
      <c r="C617" t="str" cm="1">
        <f t="array" ref="C617">_xlfn.TEXTJOIN(",",TRUE,_xlfn.UNIQUE(TRANSPOSE(_xlfn.MAP(_xlfn.XLOOKUP(A617,'Pinlist(S1)'!$C$4:$C$1362,'Pinlist(S1)'!$F$4:$K$1362,""),_xlfn.LAMBDA(_xlpm.x,IF(_xlpm.x&lt;&gt;"",TRIM(CLEAN(LEFT(_xlpm.x,FIND(".",_xlpm.x &amp; ".")-1))),""))))))</f>
        <v/>
      </c>
      <c r="D617">
        <v>36.726999999999997</v>
      </c>
      <c r="E617">
        <v>10.718</v>
      </c>
      <c r="F617" t="str">
        <f>_xlfn.LET(_xlpm.raw,_xlfn.XLOOKUP(A617,'Pinlist(S1)'!$C$4:$C$1362,'Pinlist(S1)'!$E$4:$E$1362,""),_xlpm.cleanRaw,SUBSTITUTE(SUBSTITUTE(_xlpm.raw,"_PIN","."),"PIN","."),_xlpm.mainPart,MID(_xlpm.cleanRaw,2,FIND(".",_xlpm.cleanRaw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7" t="str">
        <f>_xlfn.LET(_xlpm.raw,_xlfn.XLOOKUP(A617,'Pinlist(S3)'!$C$4:$C$1362,'Pinlist(S3)'!$E$4:$E$1362,""),_xlpm.cleanRaw,SUBSTITUTE(SUBSTITUTE(_xlpm.raw,"_PIN","."),"PIN","."),_xlpm.mainPart,MID(_xlpm.cleanRaw,2,FIND(".",_xlpm.cleanRaw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7" t="str">
        <f>_xlfn.LET(_xlpm.raw,_xlfn.XLOOKUP(A617,'Pinlist(S5)'!$C$4:$C$1362,'Pinlist(S5)'!$E$4:$E$1362,""),_xlpm.cleanRaw,SUBSTITUTE(SUBSTITUTE(_xlpm.raw,"_PIN","."),"PIN","."),_xlpm.mainPart,MID(_xlpm.cleanRaw,2,FIND(".",_xlpm.cleanRaw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7" t="str">
        <f>""</f>
        <v/>
      </c>
      <c r="J617" t="str">
        <f t="shared" si="9"/>
        <v>AA65;VSS;;36.727;10.718;;;;</v>
      </c>
    </row>
    <row r="618" spans="1:10">
      <c r="A618" t="s">
        <v>1653</v>
      </c>
      <c r="B618" t="str">
        <f>_xlfn.XLOOKUP(A618,'Pinlist(S1)'!$Q$4:$Q$1362,'Pinlist(S1)'!$R$4:$R$1362,"")</f>
        <v>VCCGT</v>
      </c>
      <c r="C618" t="str" cm="1">
        <f t="array" ref="C618">_xlfn.TEXTJOIN(",",TRUE,_xlfn.UNIQUE(TRANSPOSE(_xlfn.MAP(_xlfn.XLOOKUP(A618,'Pinlist(S1)'!$C$4:$C$1362,'Pinlist(S1)'!$F$4:$K$1362,""),_xlfn.LAMBDA(_xlpm.x,IF(_xlpm.x&lt;&gt;"",TRIM(CLEAN(LEFT(_xlpm.x,FIND(".",_xlpm.x &amp; ".")-1))),""))))))</f>
        <v/>
      </c>
      <c r="D618">
        <v>37.376999999999903</v>
      </c>
      <c r="E618">
        <v>10.718</v>
      </c>
      <c r="F618" t="str">
        <f>_xlfn.LET(_xlpm.raw,_xlfn.XLOOKUP(A618,'Pinlist(S1)'!$C$4:$C$1362,'Pinlist(S1)'!$E$4:$E$1362,""),_xlpm.cleanRaw,SUBSTITUTE(SUBSTITUTE(_xlpm.raw,"_PIN","."),"PIN","."),_xlpm.mainPart,MID(_xlpm.cleanRaw,2,FIND(".",_xlpm.cleanRaw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8" t="str">
        <f>_xlfn.LET(_xlpm.raw,_xlfn.XLOOKUP(A618,'Pinlist(S3)'!$C$4:$C$1362,'Pinlist(S3)'!$E$4:$E$1362,""),_xlpm.cleanRaw,SUBSTITUTE(SUBSTITUTE(_xlpm.raw,"_PIN","."),"PIN","."),_xlpm.mainPart,MID(_xlpm.cleanRaw,2,FIND(".",_xlpm.cleanRaw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8" t="str">
        <f>_xlfn.LET(_xlpm.raw,_xlfn.XLOOKUP(A618,'Pinlist(S5)'!$C$4:$C$1362,'Pinlist(S5)'!$E$4:$E$1362,""),_xlpm.cleanRaw,SUBSTITUTE(SUBSTITUTE(_xlpm.raw,"_PIN","."),"PIN","."),_xlpm.mainPart,MID(_xlpm.cleanRaw,2,FIND(".",_xlpm.cleanRaw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8" t="str">
        <f>""</f>
        <v/>
      </c>
      <c r="J618" t="str">
        <f t="shared" si="9"/>
        <v>AA66;VCCGT;;37.3769999999999;10.718;;;;</v>
      </c>
    </row>
    <row r="619" spans="1:10">
      <c r="A619" t="s">
        <v>1654</v>
      </c>
      <c r="B619" t="str">
        <f>_xlfn.XLOOKUP(A619,'Pinlist(S1)'!$Q$4:$Q$1362,'Pinlist(S1)'!$R$4:$R$1362,"")</f>
        <v>VCCGT</v>
      </c>
      <c r="C619" t="str" cm="1">
        <f t="array" ref="C619">_xlfn.TEXTJOIN(",",TRUE,_xlfn.UNIQUE(TRANSPOSE(_xlfn.MAP(_xlfn.XLOOKUP(A619,'Pinlist(S1)'!$C$4:$C$1362,'Pinlist(S1)'!$F$4:$K$1362,""),_xlfn.LAMBDA(_xlpm.x,IF(_xlpm.x&lt;&gt;"",TRIM(CLEAN(LEFT(_xlpm.x,FIND(".",_xlpm.x &amp; ".")-1))),""))))))</f>
        <v/>
      </c>
      <c r="D619">
        <v>38.027999999999999</v>
      </c>
      <c r="E619">
        <v>10.718</v>
      </c>
      <c r="F619" t="str">
        <f>_xlfn.LET(_xlpm.raw,_xlfn.XLOOKUP(A619,'Pinlist(S1)'!$C$4:$C$1362,'Pinlist(S1)'!$E$4:$E$1362,""),_xlpm.cleanRaw,SUBSTITUTE(SUBSTITUTE(_xlpm.raw,"_PIN","."),"PIN","."),_xlpm.mainPart,MID(_xlpm.cleanRaw,2,FIND(".",_xlpm.cleanRaw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9" t="str">
        <f>_xlfn.LET(_xlpm.raw,_xlfn.XLOOKUP(A619,'Pinlist(S3)'!$C$4:$C$1362,'Pinlist(S3)'!$E$4:$E$1362,""),_xlpm.cleanRaw,SUBSTITUTE(SUBSTITUTE(_xlpm.raw,"_PIN","."),"PIN","."),_xlpm.mainPart,MID(_xlpm.cleanRaw,2,FIND(".",_xlpm.cleanRaw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9" t="str">
        <f>_xlfn.LET(_xlpm.raw,_xlfn.XLOOKUP(A619,'Pinlist(S5)'!$C$4:$C$1362,'Pinlist(S5)'!$E$4:$E$1362,""),_xlpm.cleanRaw,SUBSTITUTE(SUBSTITUTE(_xlpm.raw,"_PIN","."),"PIN","."),_xlpm.mainPart,MID(_xlpm.cleanRaw,2,FIND(".",_xlpm.cleanRaw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9" t="str">
        <f>""</f>
        <v/>
      </c>
      <c r="J619" t="str">
        <f t="shared" si="9"/>
        <v>AA67;VCCGT;;38.028;10.718;;;;</v>
      </c>
    </row>
    <row r="620" spans="1:10">
      <c r="A620" t="s">
        <v>1890</v>
      </c>
      <c r="B620" t="str">
        <f>_xlfn.XLOOKUP(A620,'Pinlist(S1)'!$Q$4:$Q$1362,'Pinlist(S1)'!$R$4:$R$1362,"")</f>
        <v>VSS</v>
      </c>
      <c r="C620" t="str" cm="1">
        <f t="array" ref="C620">_xlfn.TEXTJOIN(",",TRUE,_xlfn.UNIQUE(TRANSPOSE(_xlfn.MAP(_xlfn.XLOOKUP(A620,'Pinlist(S1)'!$C$4:$C$1362,'Pinlist(S1)'!$F$4:$K$1362,""),_xlfn.LAMBDA(_xlpm.x,IF(_xlpm.x&lt;&gt;"",TRIM(CLEAN(LEFT(_xlpm.x,FIND(".",_xlpm.x &amp; ".")-1))),""))))))</f>
        <v/>
      </c>
      <c r="D620">
        <v>38.677999999999997</v>
      </c>
      <c r="E620">
        <v>10.718</v>
      </c>
      <c r="F620" t="str">
        <f>_xlfn.LET(_xlpm.raw,_xlfn.XLOOKUP(A620,'Pinlist(S1)'!$C$4:$C$1362,'Pinlist(S1)'!$E$4:$E$1362,""),_xlpm.cleanRaw,SUBSTITUTE(SUBSTITUTE(_xlpm.raw,"_PIN","."),"PIN","."),_xlpm.mainPart,MID(_xlpm.cleanRaw,2,FIND(".",_xlpm.cleanRaw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0" t="str">
        <f>_xlfn.LET(_xlpm.raw,_xlfn.XLOOKUP(A620,'Pinlist(S3)'!$C$4:$C$1362,'Pinlist(S3)'!$E$4:$E$1362,""),_xlpm.cleanRaw,SUBSTITUTE(SUBSTITUTE(_xlpm.raw,"_PIN","."),"PIN","."),_xlpm.mainPart,MID(_xlpm.cleanRaw,2,FIND(".",_xlpm.cleanRaw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0" t="str">
        <f>_xlfn.LET(_xlpm.raw,_xlfn.XLOOKUP(A620,'Pinlist(S5)'!$C$4:$C$1362,'Pinlist(S5)'!$E$4:$E$1362,""),_xlpm.cleanRaw,SUBSTITUTE(SUBSTITUTE(_xlpm.raw,"_PIN","."),"PIN","."),_xlpm.mainPart,MID(_xlpm.cleanRaw,2,FIND(".",_xlpm.cleanRaw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0" t="str">
        <f>""</f>
        <v/>
      </c>
      <c r="J620" t="str">
        <f t="shared" si="9"/>
        <v>AA68;VSS;;38.678;10.718;;;;</v>
      </c>
    </row>
    <row r="621" spans="1:10">
      <c r="A621" t="s">
        <v>1655</v>
      </c>
      <c r="B621" t="str">
        <f>_xlfn.XLOOKUP(A621,'Pinlist(S1)'!$Q$4:$Q$1362,'Pinlist(S1)'!$R$4:$R$1362,"")</f>
        <v>VCCGT</v>
      </c>
      <c r="C621" t="str" cm="1">
        <f t="array" ref="C621">_xlfn.TEXTJOIN(",",TRUE,_xlfn.UNIQUE(TRANSPOSE(_xlfn.MAP(_xlfn.XLOOKUP(A621,'Pinlist(S1)'!$C$4:$C$1362,'Pinlist(S1)'!$F$4:$K$1362,""),_xlfn.LAMBDA(_xlpm.x,IF(_xlpm.x&lt;&gt;"",TRIM(CLEAN(LEFT(_xlpm.x,FIND(".",_xlpm.x &amp; ".")-1))),""))))))</f>
        <v/>
      </c>
      <c r="D621">
        <v>39.328000000000003</v>
      </c>
      <c r="E621">
        <v>10.718</v>
      </c>
      <c r="F621" t="str">
        <f>_xlfn.LET(_xlpm.raw,_xlfn.XLOOKUP(A621,'Pinlist(S1)'!$C$4:$C$1362,'Pinlist(S1)'!$E$4:$E$1362,""),_xlpm.cleanRaw,SUBSTITUTE(SUBSTITUTE(_xlpm.raw,"_PIN","."),"PIN","."),_xlpm.mainPart,MID(_xlpm.cleanRaw,2,FIND(".",_xlpm.cleanRaw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1" t="str">
        <f>_xlfn.LET(_xlpm.raw,_xlfn.XLOOKUP(A621,'Pinlist(S3)'!$C$4:$C$1362,'Pinlist(S3)'!$E$4:$E$1362,""),_xlpm.cleanRaw,SUBSTITUTE(SUBSTITUTE(_xlpm.raw,"_PIN","."),"PIN","."),_xlpm.mainPart,MID(_xlpm.cleanRaw,2,FIND(".",_xlpm.cleanRaw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1" t="str">
        <f>_xlfn.LET(_xlpm.raw,_xlfn.XLOOKUP(A621,'Pinlist(S5)'!$C$4:$C$1362,'Pinlist(S5)'!$E$4:$E$1362,""),_xlpm.cleanRaw,SUBSTITUTE(SUBSTITUTE(_xlpm.raw,"_PIN","."),"PIN","."),_xlpm.mainPart,MID(_xlpm.cleanRaw,2,FIND(".",_xlpm.cleanRaw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1" t="str">
        <f>""</f>
        <v/>
      </c>
      <c r="J621" t="str">
        <f t="shared" si="9"/>
        <v>AA69;VCCGT;;39.328;10.718;;;;</v>
      </c>
    </row>
    <row r="622" spans="1:10">
      <c r="A622" t="s">
        <v>1656</v>
      </c>
      <c r="B622" t="str">
        <f>_xlfn.XLOOKUP(A622,'Pinlist(S1)'!$Q$4:$Q$1362,'Pinlist(S1)'!$R$4:$R$1362,"")</f>
        <v>VCCGT</v>
      </c>
      <c r="C622" t="str" cm="1">
        <f t="array" ref="C622">_xlfn.TEXTJOIN(",",TRUE,_xlfn.UNIQUE(TRANSPOSE(_xlfn.MAP(_xlfn.XLOOKUP(A622,'Pinlist(S1)'!$C$4:$C$1362,'Pinlist(S1)'!$F$4:$K$1362,""),_xlfn.LAMBDA(_xlpm.x,IF(_xlpm.x&lt;&gt;"",TRIM(CLEAN(LEFT(_xlpm.x,FIND(".",_xlpm.x &amp; ".")-1))),""))))))</f>
        <v/>
      </c>
      <c r="D622">
        <v>39.978000000000002</v>
      </c>
      <c r="E622">
        <v>10.718</v>
      </c>
      <c r="F622" t="str">
        <f>_xlfn.LET(_xlpm.raw,_xlfn.XLOOKUP(A622,'Pinlist(S1)'!$C$4:$C$1362,'Pinlist(S1)'!$E$4:$E$1362,""),_xlpm.cleanRaw,SUBSTITUTE(SUBSTITUTE(_xlpm.raw,"_PIN","."),"PIN","."),_xlpm.mainPart,MID(_xlpm.cleanRaw,2,FIND(".",_xlpm.cleanRaw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2" t="str">
        <f>_xlfn.LET(_xlpm.raw,_xlfn.XLOOKUP(A622,'Pinlist(S3)'!$C$4:$C$1362,'Pinlist(S3)'!$E$4:$E$1362,""),_xlpm.cleanRaw,SUBSTITUTE(SUBSTITUTE(_xlpm.raw,"_PIN","."),"PIN","."),_xlpm.mainPart,MID(_xlpm.cleanRaw,2,FIND(".",_xlpm.cleanRaw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2" t="str">
        <f>_xlfn.LET(_xlpm.raw,_xlfn.XLOOKUP(A622,'Pinlist(S5)'!$C$4:$C$1362,'Pinlist(S5)'!$E$4:$E$1362,""),_xlpm.cleanRaw,SUBSTITUTE(SUBSTITUTE(_xlpm.raw,"_PIN","."),"PIN","."),_xlpm.mainPart,MID(_xlpm.cleanRaw,2,FIND(".",_xlpm.cleanRaw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2" t="str">
        <f>""</f>
        <v/>
      </c>
      <c r="J622" t="str">
        <f t="shared" si="9"/>
        <v>AA70;VCCGT;;39.978;10.718;;;;</v>
      </c>
    </row>
    <row r="623" spans="1:10">
      <c r="A623" t="s">
        <v>1657</v>
      </c>
      <c r="B623" t="str">
        <f>_xlfn.XLOOKUP(A623,'Pinlist(S1)'!$Q$4:$Q$1362,'Pinlist(S1)'!$R$4:$R$1362,"")</f>
        <v>VCCGT</v>
      </c>
      <c r="C623" t="str" cm="1">
        <f t="array" ref="C623">_xlfn.TEXTJOIN(",",TRUE,_xlfn.UNIQUE(TRANSPOSE(_xlfn.MAP(_xlfn.XLOOKUP(A623,'Pinlist(S1)'!$C$4:$C$1362,'Pinlist(S1)'!$F$4:$K$1362,""),_xlfn.LAMBDA(_xlpm.x,IF(_xlpm.x&lt;&gt;"",TRIM(CLEAN(LEFT(_xlpm.x,FIND(".",_xlpm.x &amp; ".")-1))),""))))))</f>
        <v/>
      </c>
      <c r="D623">
        <v>40.628</v>
      </c>
      <c r="E623">
        <v>10.718</v>
      </c>
      <c r="F623" t="str">
        <f>_xlfn.LET(_xlpm.raw,_xlfn.XLOOKUP(A623,'Pinlist(S1)'!$C$4:$C$1362,'Pinlist(S1)'!$E$4:$E$1362,""),_xlpm.cleanRaw,SUBSTITUTE(SUBSTITUTE(_xlpm.raw,"_PIN","."),"PIN","."),_xlpm.mainPart,MID(_xlpm.cleanRaw,2,FIND(".",_xlpm.cleanRaw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3" t="str">
        <f>_xlfn.LET(_xlpm.raw,_xlfn.XLOOKUP(A623,'Pinlist(S3)'!$C$4:$C$1362,'Pinlist(S3)'!$E$4:$E$1362,""),_xlpm.cleanRaw,SUBSTITUTE(SUBSTITUTE(_xlpm.raw,"_PIN","."),"PIN","."),_xlpm.mainPart,MID(_xlpm.cleanRaw,2,FIND(".",_xlpm.cleanRaw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3" t="str">
        <f>_xlfn.LET(_xlpm.raw,_xlfn.XLOOKUP(A623,'Pinlist(S5)'!$C$4:$C$1362,'Pinlist(S5)'!$E$4:$E$1362,""),_xlpm.cleanRaw,SUBSTITUTE(SUBSTITUTE(_xlpm.raw,"_PIN","."),"PIN","."),_xlpm.mainPart,MID(_xlpm.cleanRaw,2,FIND(".",_xlpm.cleanRaw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3" t="str">
        <f>""</f>
        <v/>
      </c>
      <c r="J623" t="str">
        <f t="shared" si="9"/>
        <v>AA71;VCCGT;;40.628;10.718;;;;</v>
      </c>
    </row>
    <row r="624" spans="1:10">
      <c r="A624" t="s">
        <v>935</v>
      </c>
      <c r="B624" t="str">
        <f>_xlfn.XLOOKUP(A624,'Pinlist(S1)'!$Q$4:$Q$1362,'Pinlist(S1)'!$R$4:$R$1362,"")</f>
        <v>GPP_C_8_UART0_RXD</v>
      </c>
      <c r="C624" t="str" cm="1">
        <f t="array" ref="C624">_xlfn.TEXTJOIN(",",TRUE,_xlfn.UNIQUE(TRANSPOSE(_xlfn.MAP(_xlfn.XLOOKUP(A624,'Pinlist(S1)'!$C$4:$C$1362,'Pinlist(S1)'!$F$4:$K$1362,""),_xlfn.LAMBDA(_xlpm.x,IF(_xlpm.x&lt;&gt;"",TRIM(CLEAN(LEFT(_xlpm.x,FIND(".",_xlpm.x &amp; ".")-1))),""))))))</f>
        <v/>
      </c>
      <c r="D624">
        <v>0</v>
      </c>
      <c r="E624">
        <v>11.465999999999999</v>
      </c>
      <c r="F624" t="str">
        <f>_xlfn.LET(_xlpm.raw,_xlfn.XLOOKUP(A624,'Pinlist(S1)'!$C$4:$C$1362,'Pinlist(S1)'!$E$4:$E$1362,""),_xlpm.cleanRaw,SUBSTITUTE(SUBSTITUTE(_xlpm.raw,"_PIN","."),"PIN","."),_xlpm.mainPart,MID(_xlpm.cleanRaw,2,FIND(".",_xlpm.cleanRaw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507109</v>
      </c>
      <c r="G624" t="str">
        <f>_xlfn.LET(_xlpm.raw,_xlfn.XLOOKUP(A624,'Pinlist(S3)'!$C$4:$C$1362,'Pinlist(S3)'!$E$4:$E$1362,""),_xlpm.cleanRaw,SUBSTITUTE(SUBSTITUTE(_xlpm.raw,"_PIN","."),"PIN","."),_xlpm.mainPart,MID(_xlpm.cleanRaw,2,FIND(".",_xlpm.cleanRaw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807017</v>
      </c>
      <c r="H624" t="str">
        <f>_xlfn.LET(_xlpm.raw,_xlfn.XLOOKUP(A624,'Pinlist(S5)'!$C$4:$C$1362,'Pinlist(S5)'!$E$4:$E$1362,""),_xlpm.cleanRaw,SUBSTITUTE(SUBSTITUTE(_xlpm.raw,"_PIN","."),"PIN","."),_xlpm.mainPart,MID(_xlpm.cleanRaw,2,FIND(".",_xlpm.cleanRaw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701096</v>
      </c>
      <c r="I624" t="str">
        <f>""</f>
        <v/>
      </c>
      <c r="J624" t="str">
        <f t="shared" si="9"/>
        <v>AB1;GPP_C_8_UART0_RXD;;0;11.466;507109;807017;701096;</v>
      </c>
    </row>
    <row r="625" spans="1:10">
      <c r="A625" t="s">
        <v>937</v>
      </c>
      <c r="B625" t="str">
        <f>_xlfn.XLOOKUP(A625,'Pinlist(S1)'!$Q$4:$Q$1362,'Pinlist(S1)'!$R$4:$R$1362,"")</f>
        <v>GPP_C_9_UART0_TXD</v>
      </c>
      <c r="C625" t="str" cm="1">
        <f t="array" ref="C625">_xlfn.TEXTJOIN(",",TRUE,_xlfn.UNIQUE(TRANSPOSE(_xlfn.MAP(_xlfn.XLOOKUP(A625,'Pinlist(S1)'!$C$4:$C$1362,'Pinlist(S1)'!$F$4:$K$1362,""),_xlfn.LAMBDA(_xlpm.x,IF(_xlpm.x&lt;&gt;"",TRIM(CLEAN(LEFT(_xlpm.x,FIND(".",_xlpm.x &amp; ".")-1))),""))))))</f>
        <v/>
      </c>
      <c r="D625">
        <v>0.64999999999999802</v>
      </c>
      <c r="E625">
        <v>11.465999999999999</v>
      </c>
      <c r="F625" t="str">
        <f>_xlfn.LET(_xlpm.raw,_xlfn.XLOOKUP(A625,'Pinlist(S1)'!$C$4:$C$1362,'Pinlist(S1)'!$E$4:$E$1362,""),_xlpm.cleanRaw,SUBSTITUTE(SUBSTITUTE(_xlpm.raw,"_PIN","."),"PIN","."),_xlpm.mainPart,MID(_xlpm.cleanRaw,2,FIND(".",_xlpm.cleanRaw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504116</v>
      </c>
      <c r="G625" t="str">
        <f>_xlfn.LET(_xlpm.raw,_xlfn.XLOOKUP(A625,'Pinlist(S3)'!$C$4:$C$1362,'Pinlist(S3)'!$E$4:$E$1362,""),_xlpm.cleanRaw,SUBSTITUTE(SUBSTITUTE(_xlpm.raw,"_PIN","."),"PIN","."),_xlpm.mainPart,MID(_xlpm.cleanRaw,2,FIND(".",_xlpm.cleanRaw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809112</v>
      </c>
      <c r="H625" t="str">
        <f>_xlfn.LET(_xlpm.raw,_xlfn.XLOOKUP(A625,'Pinlist(S5)'!$C$4:$C$1362,'Pinlist(S5)'!$E$4:$E$1362,""),_xlpm.cleanRaw,SUBSTITUTE(SUBSTITUTE(_xlpm.raw,"_PIN","."),"PIN","."),_xlpm.mainPart,MID(_xlpm.cleanRaw,2,FIND(".",_xlpm.cleanRaw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602081</v>
      </c>
      <c r="I625" t="str">
        <f>""</f>
        <v/>
      </c>
      <c r="J625" t="str">
        <f t="shared" si="9"/>
        <v>AB2;GPP_C_9_UART0_TXD;;0.649999999999998;11.466;504116;809112;602081;</v>
      </c>
    </row>
    <row r="626" spans="1:10">
      <c r="A626" t="s">
        <v>897</v>
      </c>
      <c r="B626" t="str">
        <f>_xlfn.XLOOKUP(A626,'Pinlist(S1)'!$Q$4:$Q$1362,'Pinlist(S1)'!$R$4:$R$1362,"")</f>
        <v>GPP_C_11_UART0_CTSB</v>
      </c>
      <c r="C626" t="str" cm="1">
        <f t="array" ref="C626">_xlfn.TEXTJOIN(",",TRUE,_xlfn.UNIQUE(TRANSPOSE(_xlfn.MAP(_xlfn.XLOOKUP(A626,'Pinlist(S1)'!$C$4:$C$1362,'Pinlist(S1)'!$F$4:$K$1362,""),_xlfn.LAMBDA(_xlpm.x,IF(_xlpm.x&lt;&gt;"",TRIM(CLEAN(LEFT(_xlpm.x,FIND(".",_xlpm.x &amp; ".")-1))),""))))))</f>
        <v/>
      </c>
      <c r="D626">
        <v>1.2999999999999901</v>
      </c>
      <c r="E626">
        <v>11.465999999999999</v>
      </c>
      <c r="F626" t="str">
        <f>_xlfn.LET(_xlpm.raw,_xlfn.XLOOKUP(A626,'Pinlist(S1)'!$C$4:$C$1362,'Pinlist(S1)'!$E$4:$E$1362,""),_xlpm.cleanRaw,SUBSTITUTE(SUBSTITUTE(_xlpm.raw,"_PIN","."),"PIN","."),_xlpm.mainPart,MID(_xlpm.cleanRaw,2,FIND(".",_xlpm.cleanRaw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506017</v>
      </c>
      <c r="G626" t="str">
        <f>_xlfn.LET(_xlpm.raw,_xlfn.XLOOKUP(A626,'Pinlist(S3)'!$C$4:$C$1362,'Pinlist(S3)'!$E$4:$E$1362,""),_xlpm.cleanRaw,SUBSTITUTE(SUBSTITUTE(_xlpm.raw,"_PIN","."),"PIN","."),_xlpm.mainPart,MID(_xlpm.cleanRaw,2,FIND(".",_xlpm.cleanRaw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807001</v>
      </c>
      <c r="H626" t="str">
        <f>_xlfn.LET(_xlpm.raw,_xlfn.XLOOKUP(A626,'Pinlist(S5)'!$C$4:$C$1362,'Pinlist(S5)'!$E$4:$E$1362,""),_xlpm.cleanRaw,SUBSTITUTE(SUBSTITUTE(_xlpm.raw,"_PIN","."),"PIN","."),_xlpm.mainPart,MID(_xlpm.cleanRaw,2,FIND(".",_xlpm.cleanRaw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602082</v>
      </c>
      <c r="I626" t="str">
        <f>""</f>
        <v/>
      </c>
      <c r="J626" t="str">
        <f t="shared" si="9"/>
        <v>AB3;GPP_C_11_UART0_CTSB;;1.29999999999999;11.466;506017;807001;602082;</v>
      </c>
    </row>
    <row r="627" spans="1:10">
      <c r="A627" t="s">
        <v>905</v>
      </c>
      <c r="B627" t="str">
        <f>_xlfn.XLOOKUP(A627,'Pinlist(S1)'!$Q$4:$Q$1362,'Pinlist(S1)'!$R$4:$R$1362,"")</f>
        <v>GPP_C_15_UART1_CTSB_ISH_UART1_CTSB</v>
      </c>
      <c r="C627" t="str" cm="1">
        <f t="array" ref="C627">_xlfn.TEXTJOIN(",",TRUE,_xlfn.UNIQUE(TRANSPOSE(_xlfn.MAP(_xlfn.XLOOKUP(A627,'Pinlist(S1)'!$C$4:$C$1362,'Pinlist(S1)'!$F$4:$K$1362,""),_xlfn.LAMBDA(_xlpm.x,IF(_xlpm.x&lt;&gt;"",TRIM(CLEAN(LEFT(_xlpm.x,FIND(".",_xlpm.x &amp; ".")-1))),""))))))</f>
        <v/>
      </c>
      <c r="D627">
        <v>1.9510000000000001</v>
      </c>
      <c r="E627">
        <v>11.465999999999999</v>
      </c>
      <c r="F627" t="str">
        <f>_xlfn.LET(_xlpm.raw,_xlfn.XLOOKUP(A627,'Pinlist(S1)'!$C$4:$C$1362,'Pinlist(S1)'!$E$4:$E$1362,""),_xlpm.cleanRaw,SUBSTITUTE(SUBSTITUTE(_xlpm.raw,"_PIN","."),"PIN","."),_xlpm.mainPart,MID(_xlpm.cleanRaw,2,FIND(".",_xlpm.cleanRaw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507098</v>
      </c>
      <c r="G627" t="str">
        <f>_xlfn.LET(_xlpm.raw,_xlfn.XLOOKUP(A627,'Pinlist(S3)'!$C$4:$C$1362,'Pinlist(S3)'!$E$4:$E$1362,""),_xlpm.cleanRaw,SUBSTITUTE(SUBSTITUTE(_xlpm.raw,"_PIN","."),"PIN","."),_xlpm.mainPart,MID(_xlpm.cleanRaw,2,FIND(".",_xlpm.cleanRaw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808082</v>
      </c>
      <c r="H627" t="str">
        <f>_xlfn.LET(_xlpm.raw,_xlfn.XLOOKUP(A627,'Pinlist(S5)'!$C$4:$C$1362,'Pinlist(S5)'!$E$4:$E$1362,""),_xlpm.cleanRaw,SUBSTITUTE(SUBSTITUTE(_xlpm.raw,"_PIN","."),"PIN","."),_xlpm.mainPart,MID(_xlpm.cleanRaw,2,FIND(".",_xlpm.cleanRaw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601018</v>
      </c>
      <c r="I627" t="str">
        <f>""</f>
        <v/>
      </c>
      <c r="J627" t="str">
        <f t="shared" si="9"/>
        <v>AB4;GPP_C_15_UART1_CTSB_ISH_UART1_CTSB;;1.951;11.466;507098;808082;601018;</v>
      </c>
    </row>
    <row r="628" spans="1:10">
      <c r="A628" t="s">
        <v>1446</v>
      </c>
      <c r="B628" t="str">
        <f>_xlfn.XLOOKUP(A628,'Pinlist(S1)'!$Q$4:$Q$1362,'Pinlist(S1)'!$R$4:$R$1362,"")</f>
        <v>USB2_COMP</v>
      </c>
      <c r="C628" t="str" cm="1">
        <f t="array" ref="C628">_xlfn.TEXTJOIN(",",TRUE,_xlfn.UNIQUE(TRANSPOSE(_xlfn.MAP(_xlfn.XLOOKUP(A628,'Pinlist(S1)'!$C$4:$C$1362,'Pinlist(S1)'!$F$4:$K$1362,""),_xlfn.LAMBDA(_xlpm.x,IF(_xlpm.x&lt;&gt;"",TRIM(CLEAN(LEFT(_xlpm.x,FIND(".",_xlpm.x &amp; ".")-1))),""))))))</f>
        <v>RA119</v>
      </c>
      <c r="D628">
        <v>2.7289999999999899</v>
      </c>
      <c r="E628">
        <v>11.180999999999999</v>
      </c>
      <c r="F628" t="str">
        <f>_xlfn.LET(_xlpm.raw,_xlfn.XLOOKUP(A628,'Pinlist(S1)'!$C$4:$C$1362,'Pinlist(S1)'!$E$4:$E$1362,""),_xlpm.cleanRaw,SUBSTITUTE(SUBSTITUTE(_xlpm.raw,"_PIN","."),"PIN","."),_xlpm.mainPart,MID(_xlpm.cleanRaw,2,FIND(".",_xlpm.cleanRaw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8" t="str">
        <f>_xlfn.LET(_xlpm.raw,_xlfn.XLOOKUP(A628,'Pinlist(S3)'!$C$4:$C$1362,'Pinlist(S3)'!$E$4:$E$1362,""),_xlpm.cleanRaw,SUBSTITUTE(SUBSTITUTE(_xlpm.raw,"_PIN","."),"PIN","."),_xlpm.mainPart,MID(_xlpm.cleanRaw,2,FIND(".",_xlpm.cleanRaw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8" t="str">
        <f>_xlfn.LET(_xlpm.raw,_xlfn.XLOOKUP(A628,'Pinlist(S5)'!$C$4:$C$1362,'Pinlist(S5)'!$E$4:$E$1362,""),_xlpm.cleanRaw,SUBSTITUTE(SUBSTITUTE(_xlpm.raw,"_PIN","."),"PIN","."),_xlpm.mainPart,MID(_xlpm.cleanRaw,2,FIND(".",_xlpm.cleanRaw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8" t="str">
        <f>""</f>
        <v/>
      </c>
      <c r="J628" t="str">
        <f t="shared" si="9"/>
        <v>AB6;USB2_COMP;RA119;2.72899999999999;11.181;;;;</v>
      </c>
    </row>
    <row r="629" spans="1:10">
      <c r="A629" t="s">
        <v>1359</v>
      </c>
      <c r="B629" t="str">
        <f>_xlfn.XLOOKUP(A629,'Pinlist(S1)'!$Q$4:$Q$1362,'Pinlist(S1)'!$R$4:$R$1362,"")</f>
        <v>SD_RCOMP</v>
      </c>
      <c r="C629" t="str" cm="1">
        <f t="array" ref="C629">_xlfn.TEXTJOIN(",",TRUE,_xlfn.UNIQUE(TRANSPOSE(_xlfn.MAP(_xlfn.XLOOKUP(A629,'Pinlist(S1)'!$C$4:$C$1362,'Pinlist(S1)'!$F$4:$K$1362,""),_xlfn.LAMBDA(_xlpm.x,IF(_xlpm.x&lt;&gt;"",TRIM(CLEAN(LEFT(_xlpm.x,FIND(".",_xlpm.x &amp; ".")-1))),""))))))</f>
        <v>RA150</v>
      </c>
      <c r="D629">
        <v>3.379</v>
      </c>
      <c r="E629">
        <v>11.180999999999999</v>
      </c>
      <c r="F629" t="str">
        <f>_xlfn.LET(_xlpm.raw,_xlfn.XLOOKUP(A629,'Pinlist(S1)'!$C$4:$C$1362,'Pinlist(S1)'!$E$4:$E$1362,""),_xlpm.cleanRaw,SUBSTITUTE(SUBSTITUTE(_xlpm.raw,"_PIN","."),"PIN","."),_xlpm.mainPart,MID(_xlpm.cleanRaw,2,FIND(".",_xlpm.cleanRaw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9" t="str">
        <f>_xlfn.LET(_xlpm.raw,_xlfn.XLOOKUP(A629,'Pinlist(S3)'!$C$4:$C$1362,'Pinlist(S3)'!$E$4:$E$1362,""),_xlpm.cleanRaw,SUBSTITUTE(SUBSTITUTE(_xlpm.raw,"_PIN","."),"PIN","."),_xlpm.mainPart,MID(_xlpm.cleanRaw,2,FIND(".",_xlpm.cleanRaw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9" t="str">
        <f>_xlfn.LET(_xlpm.raw,_xlfn.XLOOKUP(A629,'Pinlist(S5)'!$C$4:$C$1362,'Pinlist(S5)'!$E$4:$E$1362,""),_xlpm.cleanRaw,SUBSTITUTE(SUBSTITUTE(_xlpm.raw,"_PIN","."),"PIN","."),_xlpm.mainPart,MID(_xlpm.cleanRaw,2,FIND(".",_xlpm.cleanRaw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9" t="str">
        <f>""</f>
        <v/>
      </c>
      <c r="J629" t="str">
        <f t="shared" si="9"/>
        <v>AB7;SD_RCOMP;RA150;3.379;11.181;;;;</v>
      </c>
    </row>
    <row r="630" spans="1:10">
      <c r="A630" t="s">
        <v>1895</v>
      </c>
      <c r="B630" t="str">
        <f>_xlfn.XLOOKUP(A630,'Pinlist(S1)'!$Q$4:$Q$1362,'Pinlist(S1)'!$R$4:$R$1362,"")</f>
        <v>VSS</v>
      </c>
      <c r="C630" t="str" cm="1">
        <f t="array" ref="C630">_xlfn.TEXTJOIN(",",TRUE,_xlfn.UNIQUE(TRANSPOSE(_xlfn.MAP(_xlfn.XLOOKUP(A630,'Pinlist(S1)'!$C$4:$C$1362,'Pinlist(S1)'!$F$4:$K$1362,""),_xlfn.LAMBDA(_xlpm.x,IF(_xlpm.x&lt;&gt;"",TRIM(CLEAN(LEFT(_xlpm.x,FIND(".",_xlpm.x &amp; ".")-1))),""))))))</f>
        <v/>
      </c>
      <c r="D630">
        <v>4.0289999999999901</v>
      </c>
      <c r="E630">
        <v>11.180999999999999</v>
      </c>
      <c r="F630" t="str">
        <f>_xlfn.LET(_xlpm.raw,_xlfn.XLOOKUP(A630,'Pinlist(S1)'!$C$4:$C$1362,'Pinlist(S1)'!$E$4:$E$1362,""),_xlpm.cleanRaw,SUBSTITUTE(SUBSTITUTE(_xlpm.raw,"_PIN","."),"PIN","."),_xlpm.mainPart,MID(_xlpm.cleanRaw,2,FIND(".",_xlpm.cleanRaw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0" t="str">
        <f>_xlfn.LET(_xlpm.raw,_xlfn.XLOOKUP(A630,'Pinlist(S3)'!$C$4:$C$1362,'Pinlist(S3)'!$E$4:$E$1362,""),_xlpm.cleanRaw,SUBSTITUTE(SUBSTITUTE(_xlpm.raw,"_PIN","."),"PIN","."),_xlpm.mainPart,MID(_xlpm.cleanRaw,2,FIND(".",_xlpm.cleanRaw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0" t="str">
        <f>_xlfn.LET(_xlpm.raw,_xlfn.XLOOKUP(A630,'Pinlist(S5)'!$C$4:$C$1362,'Pinlist(S5)'!$E$4:$E$1362,""),_xlpm.cleanRaw,SUBSTITUTE(SUBSTITUTE(_xlpm.raw,"_PIN","."),"PIN","."),_xlpm.mainPart,MID(_xlpm.cleanRaw,2,FIND(".",_xlpm.cleanRaw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0" t="str">
        <f>""</f>
        <v/>
      </c>
      <c r="J630" t="str">
        <f t="shared" si="9"/>
        <v>AB8;VSS;;4.02899999999999;11.181;;;;</v>
      </c>
    </row>
    <row r="631" spans="1:10">
      <c r="A631" t="s">
        <v>1454</v>
      </c>
      <c r="B631" t="str">
        <f>_xlfn.XLOOKUP(A631,'Pinlist(S1)'!$Q$4:$Q$1362,'Pinlist(S1)'!$R$4:$R$1362,"")</f>
        <v>USB2N_1</v>
      </c>
      <c r="C631" t="str" cm="1">
        <f t="array" ref="C631">_xlfn.TEXTJOIN(",",TRUE,_xlfn.UNIQUE(TRANSPOSE(_xlfn.MAP(_xlfn.XLOOKUP(A631,'Pinlist(S1)'!$C$4:$C$1362,'Pinlist(S1)'!$F$4:$K$1362,""),_xlfn.LAMBDA(_xlpm.x,IF(_xlpm.x&lt;&gt;"",TRIM(CLEAN(LEFT(_xlpm.x,FIND(".",_xlpm.x &amp; ".")-1))),""))))))</f>
        <v>KA112,KA117</v>
      </c>
      <c r="D631">
        <v>4.6790000000000003</v>
      </c>
      <c r="E631">
        <v>11.180999999999999</v>
      </c>
      <c r="F631" t="str">
        <f>_xlfn.LET(_xlpm.raw,_xlfn.XLOOKUP(A631,'Pinlist(S1)'!$C$4:$C$1362,'Pinlist(S1)'!$E$4:$E$1362,""),_xlpm.cleanRaw,SUBSTITUTE(SUBSTITUTE(_xlpm.raw,"_PIN","."),"PIN","."),_xlpm.mainPart,MID(_xlpm.cleanRaw,2,FIND(".",_xlpm.cleanRaw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631" t="str">
        <f>_xlfn.LET(_xlpm.raw,_xlfn.XLOOKUP(A631,'Pinlist(S3)'!$C$4:$C$1362,'Pinlist(S3)'!$E$4:$E$1362,""),_xlpm.cleanRaw,SUBSTITUTE(SUBSTITUTE(_xlpm.raw,"_PIN","."),"PIN","."),_xlpm.mainPart,MID(_xlpm.cleanRaw,2,FIND(".",_xlpm.cleanRaw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631" t="str">
        <f>_xlfn.LET(_xlpm.raw,_xlfn.XLOOKUP(A631,'Pinlist(S5)'!$C$4:$C$1362,'Pinlist(S5)'!$E$4:$E$1362,""),_xlpm.cleanRaw,SUBSTITUTE(SUBSTITUTE(_xlpm.raw,"_PIN","."),"PIN","."),_xlpm.mainPart,MID(_xlpm.cleanRaw,2,FIND(".",_xlpm.cleanRaw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631" t="str">
        <f>""</f>
        <v/>
      </c>
      <c r="J631" t="str">
        <f t="shared" si="9"/>
        <v>AB9;USB2N_1;KA112,KA117;4.679;11.181;507105;809120;603118;</v>
      </c>
    </row>
    <row r="632" spans="1:10">
      <c r="A632" t="s">
        <v>1474</v>
      </c>
      <c r="B632" t="str">
        <f>_xlfn.XLOOKUP(A632,'Pinlist(S1)'!$Q$4:$Q$1362,'Pinlist(S1)'!$R$4:$R$1362,"")</f>
        <v>USB2P_1</v>
      </c>
      <c r="C632" t="str" cm="1">
        <f t="array" ref="C632">_xlfn.TEXTJOIN(",",TRUE,_xlfn.UNIQUE(TRANSPOSE(_xlfn.MAP(_xlfn.XLOOKUP(A632,'Pinlist(S1)'!$C$4:$C$1362,'Pinlist(S1)'!$F$4:$K$1362,""),_xlfn.LAMBDA(_xlpm.x,IF(_xlpm.x&lt;&gt;"",TRIM(CLEAN(LEFT(_xlpm.x,FIND(".",_xlpm.x &amp; ".")-1))),""))))))</f>
        <v>KA112,KA118</v>
      </c>
      <c r="D632">
        <v>5.3289999999999997</v>
      </c>
      <c r="E632">
        <v>11.180999999999999</v>
      </c>
      <c r="F632" t="str">
        <f>_xlfn.LET(_xlpm.raw,_xlfn.XLOOKUP(A632,'Pinlist(S1)'!$C$4:$C$1362,'Pinlist(S1)'!$E$4:$E$1362,""),_xlpm.cleanRaw,SUBSTITUTE(SUBSTITUTE(_xlpm.raw,"_PIN","."),"PIN","."),_xlpm.mainPart,MID(_xlpm.cleanRaw,2,FIND(".",_xlpm.cleanRaw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632" t="str">
        <f>_xlfn.LET(_xlpm.raw,_xlfn.XLOOKUP(A632,'Pinlist(S3)'!$C$4:$C$1362,'Pinlist(S3)'!$E$4:$E$1362,""),_xlpm.cleanRaw,SUBSTITUTE(SUBSTITUTE(_xlpm.raw,"_PIN","."),"PIN","."),_xlpm.mainPart,MID(_xlpm.cleanRaw,2,FIND(".",_xlpm.cleanRaw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632" t="str">
        <f>_xlfn.LET(_xlpm.raw,_xlfn.XLOOKUP(A632,'Pinlist(S5)'!$C$4:$C$1362,'Pinlist(S5)'!$E$4:$E$1362,""),_xlpm.cleanRaw,SUBSTITUTE(SUBSTITUTE(_xlpm.raw,"_PIN","."),"PIN","."),_xlpm.mainPart,MID(_xlpm.cleanRaw,2,FIND(".",_xlpm.cleanRaw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632" t="str">
        <f>""</f>
        <v/>
      </c>
      <c r="J632" t="str">
        <f t="shared" si="9"/>
        <v>AB10;USB2P_1;KA112,KA118;5.329;11.181;507106;809122;603117;</v>
      </c>
    </row>
    <row r="633" spans="1:10">
      <c r="A633" t="s">
        <v>1097</v>
      </c>
      <c r="B633" t="str">
        <f>_xlfn.XLOOKUP(A633,'Pinlist(S1)'!$Q$4:$Q$1362,'Pinlist(S1)'!$R$4:$R$1362,"")</f>
        <v>GPP_G_0_SD_CMD</v>
      </c>
      <c r="C633" t="str" cm="1">
        <f t="array" ref="C633">_xlfn.TEXTJOIN(",",TRUE,_xlfn.UNIQUE(TRANSPOSE(_xlfn.MAP(_xlfn.XLOOKUP(A633,'Pinlist(S1)'!$C$4:$C$1362,'Pinlist(S1)'!$F$4:$K$1362,""),_xlfn.LAMBDA(_xlpm.x,IF(_xlpm.x&lt;&gt;"",TRIM(CLEAN(LEFT(_xlpm.x,FIND(".",_xlpm.x &amp; ".")-1))),""))))))</f>
        <v/>
      </c>
      <c r="D633">
        <v>5.98</v>
      </c>
      <c r="E633">
        <v>11.180999999999999</v>
      </c>
      <c r="F633" t="str">
        <f>_xlfn.LET(_xlpm.raw,_xlfn.XLOOKUP(A633,'Pinlist(S1)'!$C$4:$C$1362,'Pinlist(S1)'!$E$4:$E$1362,""),_xlpm.cleanRaw,SUBSTITUTE(SUBSTITUTE(_xlpm.raw,"_PIN","."),"PIN","."),_xlpm.mainPart,MID(_xlpm.cleanRaw,2,FIND(".",_xlpm.cleanRaw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507094</v>
      </c>
      <c r="G633" t="str">
        <f>_xlfn.LET(_xlpm.raw,_xlfn.XLOOKUP(A633,'Pinlist(S3)'!$C$4:$C$1362,'Pinlist(S3)'!$E$4:$E$1362,""),_xlpm.cleanRaw,SUBSTITUTE(SUBSTITUTE(_xlpm.raw,"_PIN","."),"PIN","."),_xlpm.mainPart,MID(_xlpm.cleanRaw,2,FIND(".",_xlpm.cleanRaw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807014</v>
      </c>
      <c r="H633" t="str">
        <f>_xlfn.LET(_xlpm.raw,_xlfn.XLOOKUP(A633,'Pinlist(S5)'!$C$4:$C$1362,'Pinlist(S5)'!$E$4:$E$1362,""),_xlpm.cleanRaw,SUBSTITUTE(SUBSTITUTE(_xlpm.raw,"_PIN","."),"PIN","."),_xlpm.mainPart,MID(_xlpm.cleanRaw,2,FIND(".",_xlpm.cleanRaw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701106</v>
      </c>
      <c r="I633" t="str">
        <f>""</f>
        <v/>
      </c>
      <c r="J633" t="str">
        <f t="shared" si="9"/>
        <v>AB11;GPP_G_0_SD_CMD;;5.98;11.181;507094;807014;701106;</v>
      </c>
    </row>
    <row r="634" spans="1:10">
      <c r="A634" t="s">
        <v>1102</v>
      </c>
      <c r="B634" t="str">
        <f>_xlfn.XLOOKUP(A634,'Pinlist(S1)'!$Q$4:$Q$1362,'Pinlist(S1)'!$R$4:$R$1362,"")</f>
        <v>GPP_G_2_SD_DATA1</v>
      </c>
      <c r="C634" t="str" cm="1">
        <f t="array" ref="C634">_xlfn.TEXTJOIN(",",TRUE,_xlfn.UNIQUE(TRANSPOSE(_xlfn.MAP(_xlfn.XLOOKUP(A634,'Pinlist(S1)'!$C$4:$C$1362,'Pinlist(S1)'!$F$4:$K$1362,""),_xlfn.LAMBDA(_xlpm.x,IF(_xlpm.x&lt;&gt;"",TRIM(CLEAN(LEFT(_xlpm.x,FIND(".",_xlpm.x &amp; ".")-1))),""))))))</f>
        <v>KA145</v>
      </c>
      <c r="D634">
        <v>6.63</v>
      </c>
      <c r="E634">
        <v>11.180999999999999</v>
      </c>
      <c r="F634" t="str">
        <f>_xlfn.LET(_xlpm.raw,_xlfn.XLOOKUP(A634,'Pinlist(S1)'!$C$4:$C$1362,'Pinlist(S1)'!$E$4:$E$1362,""),_xlpm.cleanRaw,SUBSTITUTE(SUBSTITUTE(_xlpm.raw,"_PIN","."),"PIN","."),_xlpm.mainPart,MID(_xlpm.cleanRaw,2,FIND(".",_xlpm.cleanRaw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G634" t="str">
        <f>_xlfn.LET(_xlpm.raw,_xlfn.XLOOKUP(A634,'Pinlist(S3)'!$C$4:$C$1362,'Pinlist(S3)'!$E$4:$E$1362,""),_xlpm.cleanRaw,SUBSTITUTE(SUBSTITUTE(_xlpm.raw,"_PIN","."),"PIN","."),_xlpm.mainPart,MID(_xlpm.cleanRaw,2,FIND(".",_xlpm.cleanRaw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634" t="str">
        <f>_xlfn.LET(_xlpm.raw,_xlfn.XLOOKUP(A634,'Pinlist(S5)'!$C$4:$C$1362,'Pinlist(S5)'!$E$4:$E$1362,""),_xlpm.cleanRaw,SUBSTITUTE(SUBSTITUTE(_xlpm.raw,"_PIN","."),"PIN","."),_xlpm.mainPart,MID(_xlpm.cleanRaw,2,FIND(".",_xlpm.cleanRaw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703033</v>
      </c>
      <c r="I634" t="str">
        <f>""</f>
        <v/>
      </c>
      <c r="J634" t="str">
        <f t="shared" si="9"/>
        <v>AB12;GPP_G_2_SD_DATA1;KA145;6.63;11.181;508049;805048;703033;</v>
      </c>
    </row>
    <row r="635" spans="1:10">
      <c r="A635" t="s">
        <v>1099</v>
      </c>
      <c r="B635" t="str">
        <f>_xlfn.XLOOKUP(A635,'Pinlist(S1)'!$Q$4:$Q$1362,'Pinlist(S1)'!$R$4:$R$1362,"")</f>
        <v>GPP_G_1_SD_DATA0</v>
      </c>
      <c r="C635" t="str" cm="1">
        <f t="array" ref="C635">_xlfn.TEXTJOIN(",",TRUE,_xlfn.UNIQUE(TRANSPOSE(_xlfn.MAP(_xlfn.XLOOKUP(A635,'Pinlist(S1)'!$C$4:$C$1362,'Pinlist(S1)'!$F$4:$K$1362,""),_xlfn.LAMBDA(_xlpm.x,IF(_xlpm.x&lt;&gt;"",TRIM(CLEAN(LEFT(_xlpm.x,FIND(".",_xlpm.x &amp; ".")-1))),""))))))</f>
        <v>KA145</v>
      </c>
      <c r="D635">
        <v>7.28</v>
      </c>
      <c r="E635">
        <v>11.180999999999999</v>
      </c>
      <c r="F635" t="str">
        <f>_xlfn.LET(_xlpm.raw,_xlfn.XLOOKUP(A635,'Pinlist(S1)'!$C$4:$C$1362,'Pinlist(S1)'!$E$4:$E$1362,""),_xlpm.cleanRaw,SUBSTITUTE(SUBSTITUTE(_xlpm.raw,"_PIN","."),"PIN","."),_xlpm.mainPart,MID(_xlpm.cleanRaw,2,FIND(".",_xlpm.cleanRaw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508051</v>
      </c>
      <c r="G635" t="str">
        <f>_xlfn.LET(_xlpm.raw,_xlfn.XLOOKUP(A635,'Pinlist(S3)'!$C$4:$C$1362,'Pinlist(S3)'!$E$4:$E$1362,""),_xlpm.cleanRaw,SUBSTITUTE(SUBSTITUTE(_xlpm.raw,"_PIN","."),"PIN","."),_xlpm.mainPart,MID(_xlpm.cleanRaw,2,FIND(".",_xlpm.cleanRaw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635" t="str">
        <f>_xlfn.LET(_xlpm.raw,_xlfn.XLOOKUP(A635,'Pinlist(S5)'!$C$4:$C$1362,'Pinlist(S5)'!$E$4:$E$1362,""),_xlpm.cleanRaw,SUBSTITUTE(SUBSTITUTE(_xlpm.raw,"_PIN","."),"PIN","."),_xlpm.mainPart,MID(_xlpm.cleanRaw,2,FIND(".",_xlpm.cleanRaw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703035</v>
      </c>
      <c r="I635" t="str">
        <f>""</f>
        <v/>
      </c>
      <c r="J635" t="str">
        <f t="shared" si="9"/>
        <v>AB13;GPP_G_1_SD_DATA0;KA145;7.28;11.181;508051;805050;703035;</v>
      </c>
    </row>
    <row r="636" spans="1:10">
      <c r="A636" t="s">
        <v>1891</v>
      </c>
      <c r="B636" t="str">
        <f>_xlfn.XLOOKUP(A636,'Pinlist(S1)'!$Q$4:$Q$1362,'Pinlist(S1)'!$R$4:$R$1362,"")</f>
        <v>VSS</v>
      </c>
      <c r="C636" t="str" cm="1">
        <f t="array" ref="C636">_xlfn.TEXTJOIN(",",TRUE,_xlfn.UNIQUE(TRANSPOSE(_xlfn.MAP(_xlfn.XLOOKUP(A636,'Pinlist(S1)'!$C$4:$C$1362,'Pinlist(S1)'!$F$4:$K$1362,""),_xlfn.LAMBDA(_xlpm.x,IF(_xlpm.x&lt;&gt;"",TRIM(CLEAN(LEFT(_xlpm.x,FIND(".",_xlpm.x &amp; ".")-1))),""))))))</f>
        <v/>
      </c>
      <c r="D636">
        <v>8.1259999999999906</v>
      </c>
      <c r="E636">
        <v>11.305</v>
      </c>
      <c r="F636" t="str">
        <f>_xlfn.LET(_xlpm.raw,_xlfn.XLOOKUP(A636,'Pinlist(S1)'!$C$4:$C$1362,'Pinlist(S1)'!$E$4:$E$1362,""),_xlpm.cleanRaw,SUBSTITUTE(SUBSTITUTE(_xlpm.raw,"_PIN","."),"PIN","."),_xlpm.mainPart,MID(_xlpm.cleanRaw,2,FIND(".",_xlpm.cleanRaw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6" t="str">
        <f>_xlfn.LET(_xlpm.raw,_xlfn.XLOOKUP(A636,'Pinlist(S3)'!$C$4:$C$1362,'Pinlist(S3)'!$E$4:$E$1362,""),_xlpm.cleanRaw,SUBSTITUTE(SUBSTITUTE(_xlpm.raw,"_PIN","."),"PIN","."),_xlpm.mainPart,MID(_xlpm.cleanRaw,2,FIND(".",_xlpm.cleanRaw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6" t="str">
        <f>_xlfn.LET(_xlpm.raw,_xlfn.XLOOKUP(A636,'Pinlist(S5)'!$C$4:$C$1362,'Pinlist(S5)'!$E$4:$E$1362,""),_xlpm.cleanRaw,SUBSTITUTE(SUBSTITUTE(_xlpm.raw,"_PIN","."),"PIN","."),_xlpm.mainPart,MID(_xlpm.cleanRaw,2,FIND(".",_xlpm.cleanRaw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6" t="str">
        <f>""</f>
        <v/>
      </c>
      <c r="J636" t="str">
        <f t="shared" si="9"/>
        <v>AB15;VSS;;8.12599999999999;11.305;;;;</v>
      </c>
    </row>
    <row r="637" spans="1:10">
      <c r="A637" t="s">
        <v>1892</v>
      </c>
      <c r="B637" t="str">
        <f>_xlfn.XLOOKUP(A637,'Pinlist(S1)'!$Q$4:$Q$1362,'Pinlist(S1)'!$R$4:$R$1362,"")</f>
        <v>VSS</v>
      </c>
      <c r="C637" t="str" cm="1">
        <f t="array" ref="C637">_xlfn.TEXTJOIN(",",TRUE,_xlfn.UNIQUE(TRANSPOSE(_xlfn.MAP(_xlfn.XLOOKUP(A637,'Pinlist(S1)'!$C$4:$C$1362,'Pinlist(S1)'!$F$4:$K$1362,""),_xlfn.LAMBDA(_xlpm.x,IF(_xlpm.x&lt;&gt;"",TRIM(CLEAN(LEFT(_xlpm.x,FIND(".",_xlpm.x &amp; ".")-1))),""))))))</f>
        <v/>
      </c>
      <c r="D637">
        <v>8.7759999999999998</v>
      </c>
      <c r="E637">
        <v>11.305</v>
      </c>
      <c r="F637" t="str">
        <f>_xlfn.LET(_xlpm.raw,_xlfn.XLOOKUP(A637,'Pinlist(S1)'!$C$4:$C$1362,'Pinlist(S1)'!$E$4:$E$1362,""),_xlpm.cleanRaw,SUBSTITUTE(SUBSTITUTE(_xlpm.raw,"_PIN","."),"PIN","."),_xlpm.mainPart,MID(_xlpm.cleanRaw,2,FIND(".",_xlpm.cleanRaw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7" t="str">
        <f>_xlfn.LET(_xlpm.raw,_xlfn.XLOOKUP(A637,'Pinlist(S3)'!$C$4:$C$1362,'Pinlist(S3)'!$E$4:$E$1362,""),_xlpm.cleanRaw,SUBSTITUTE(SUBSTITUTE(_xlpm.raw,"_PIN","."),"PIN","."),_xlpm.mainPart,MID(_xlpm.cleanRaw,2,FIND(".",_xlpm.cleanRaw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7" t="str">
        <f>_xlfn.LET(_xlpm.raw,_xlfn.XLOOKUP(A637,'Pinlist(S5)'!$C$4:$C$1362,'Pinlist(S5)'!$E$4:$E$1362,""),_xlpm.cleanRaw,SUBSTITUTE(SUBSTITUTE(_xlpm.raw,"_PIN","."),"PIN","."),_xlpm.mainPart,MID(_xlpm.cleanRaw,2,FIND(".",_xlpm.cleanRaw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7" t="str">
        <f>""</f>
        <v/>
      </c>
      <c r="J637" t="str">
        <f t="shared" si="9"/>
        <v>AB16;VSS;;8.776;11.305;;;;</v>
      </c>
    </row>
    <row r="638" spans="1:10">
      <c r="A638" t="s">
        <v>1612</v>
      </c>
      <c r="B638" t="str">
        <f>_xlfn.XLOOKUP(A638,'Pinlist(S1)'!$Q$4:$Q$1362,'Pinlist(S1)'!$R$4:$R$1362,"")</f>
        <v>VCCDUSB_1P0</v>
      </c>
      <c r="C638" t="str" cm="1">
        <f t="array" ref="C638">_xlfn.TEXTJOIN(",",TRUE,_xlfn.UNIQUE(TRANSPOSE(_xlfn.MAP(_xlfn.XLOOKUP(A638,'Pinlist(S1)'!$C$4:$C$1362,'Pinlist(S1)'!$F$4:$K$1362,""),_xlfn.LAMBDA(_xlpm.x,IF(_xlpm.x&lt;&gt;"",TRIM(CLEAN(LEFT(_xlpm.x,FIND(".",_xlpm.x &amp; ".")-1))),""))))))</f>
        <v/>
      </c>
      <c r="D638">
        <v>9.4260000000000002</v>
      </c>
      <c r="E638">
        <v>11.305</v>
      </c>
      <c r="F638" t="str">
        <f>_xlfn.LET(_xlpm.raw,_xlfn.XLOOKUP(A638,'Pinlist(S1)'!$C$4:$C$1362,'Pinlist(S1)'!$E$4:$E$1362,""),_xlpm.cleanRaw,SUBSTITUTE(SUBSTITUTE(_xlpm.raw,"_PIN","."),"PIN","."),_xlpm.mainPart,MID(_xlpm.cleanRaw,2,FIND(".",_xlpm.cleanRaw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8" t="str">
        <f>_xlfn.LET(_xlpm.raw,_xlfn.XLOOKUP(A638,'Pinlist(S3)'!$C$4:$C$1362,'Pinlist(S3)'!$E$4:$E$1362,""),_xlpm.cleanRaw,SUBSTITUTE(SUBSTITUTE(_xlpm.raw,"_PIN","."),"PIN","."),_xlpm.mainPart,MID(_xlpm.cleanRaw,2,FIND(".",_xlpm.cleanRaw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8" t="str">
        <f>_xlfn.LET(_xlpm.raw,_xlfn.XLOOKUP(A638,'Pinlist(S5)'!$C$4:$C$1362,'Pinlist(S5)'!$E$4:$E$1362,""),_xlpm.cleanRaw,SUBSTITUTE(SUBSTITUTE(_xlpm.raw,"_PIN","."),"PIN","."),_xlpm.mainPart,MID(_xlpm.cleanRaw,2,FIND(".",_xlpm.cleanRaw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8" t="str">
        <f>""</f>
        <v/>
      </c>
      <c r="J638" t="str">
        <f t="shared" si="9"/>
        <v>AB17;VCCDUSB_1P0;;9.426;11.305;;;;</v>
      </c>
    </row>
    <row r="639" spans="1:10">
      <c r="A639" t="s">
        <v>1893</v>
      </c>
      <c r="B639" t="str">
        <f>_xlfn.XLOOKUP(A639,'Pinlist(S1)'!$Q$4:$Q$1362,'Pinlist(S1)'!$R$4:$R$1362,"")</f>
        <v>VSS</v>
      </c>
      <c r="C639" t="str" cm="1">
        <f t="array" ref="C639">_xlfn.TEXTJOIN(",",TRUE,_xlfn.UNIQUE(TRANSPOSE(_xlfn.MAP(_xlfn.XLOOKUP(A639,'Pinlist(S1)'!$C$4:$C$1362,'Pinlist(S1)'!$F$4:$K$1362,""),_xlfn.LAMBDA(_xlpm.x,IF(_xlpm.x&lt;&gt;"",TRIM(CLEAN(LEFT(_xlpm.x,FIND(".",_xlpm.x &amp; ".")-1))),""))))))</f>
        <v/>
      </c>
      <c r="D639">
        <v>10.076000000000001</v>
      </c>
      <c r="E639">
        <v>11.305</v>
      </c>
      <c r="F639" t="str">
        <f>_xlfn.LET(_xlpm.raw,_xlfn.XLOOKUP(A639,'Pinlist(S1)'!$C$4:$C$1362,'Pinlist(S1)'!$E$4:$E$1362,""),_xlpm.cleanRaw,SUBSTITUTE(SUBSTITUTE(_xlpm.raw,"_PIN","."),"PIN","."),_xlpm.mainPart,MID(_xlpm.cleanRaw,2,FIND(".",_xlpm.cleanRaw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9" t="str">
        <f>_xlfn.LET(_xlpm.raw,_xlfn.XLOOKUP(A639,'Pinlist(S3)'!$C$4:$C$1362,'Pinlist(S3)'!$E$4:$E$1362,""),_xlpm.cleanRaw,SUBSTITUTE(SUBSTITUTE(_xlpm.raw,"_PIN","."),"PIN","."),_xlpm.mainPart,MID(_xlpm.cleanRaw,2,FIND(".",_xlpm.cleanRaw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9" t="str">
        <f>_xlfn.LET(_xlpm.raw,_xlfn.XLOOKUP(A639,'Pinlist(S5)'!$C$4:$C$1362,'Pinlist(S5)'!$E$4:$E$1362,""),_xlpm.cleanRaw,SUBSTITUTE(SUBSTITUTE(_xlpm.raw,"_PIN","."),"PIN","."),_xlpm.mainPart,MID(_xlpm.cleanRaw,2,FIND(".",_xlpm.cleanRaw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9" t="str">
        <f>""</f>
        <v/>
      </c>
      <c r="J639" t="str">
        <f t="shared" si="9"/>
        <v>AB18;VSS;;10.076;11.305;;;;</v>
      </c>
    </row>
    <row r="640" spans="1:10">
      <c r="A640" t="s">
        <v>1814</v>
      </c>
      <c r="B640" t="str">
        <f>_xlfn.XLOOKUP(A640,'Pinlist(S1)'!$Q$4:$Q$1362,'Pinlist(S1)'!$R$4:$R$1362,"")</f>
        <v>VCCPRIM_1P0</v>
      </c>
      <c r="C640" t="str" cm="1">
        <f t="array" ref="C640">_xlfn.TEXTJOIN(",",TRUE,_xlfn.UNIQUE(TRANSPOSE(_xlfn.MAP(_xlfn.XLOOKUP(A640,'Pinlist(S1)'!$C$4:$C$1362,'Pinlist(S1)'!$F$4:$K$1362,""),_xlfn.LAMBDA(_xlpm.x,IF(_xlpm.x&lt;&gt;"",TRIM(CLEAN(LEFT(_xlpm.x,FIND(".",_xlpm.x &amp; ".")-1))),""))))))</f>
        <v/>
      </c>
      <c r="D640">
        <v>10.727</v>
      </c>
      <c r="E640">
        <v>11.305</v>
      </c>
      <c r="F640" t="str">
        <f>_xlfn.LET(_xlpm.raw,_xlfn.XLOOKUP(A640,'Pinlist(S1)'!$C$4:$C$1362,'Pinlist(S1)'!$E$4:$E$1362,""),_xlpm.cleanRaw,SUBSTITUTE(SUBSTITUTE(_xlpm.raw,"_PIN","."),"PIN","."),_xlpm.mainPart,MID(_xlpm.cleanRaw,2,FIND(".",_xlpm.cleanRaw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0" t="str">
        <f>_xlfn.LET(_xlpm.raw,_xlfn.XLOOKUP(A640,'Pinlist(S3)'!$C$4:$C$1362,'Pinlist(S3)'!$E$4:$E$1362,""),_xlpm.cleanRaw,SUBSTITUTE(SUBSTITUTE(_xlpm.raw,"_PIN","."),"PIN","."),_xlpm.mainPart,MID(_xlpm.cleanRaw,2,FIND(".",_xlpm.cleanRaw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0" t="str">
        <f>_xlfn.LET(_xlpm.raw,_xlfn.XLOOKUP(A640,'Pinlist(S5)'!$C$4:$C$1362,'Pinlist(S5)'!$E$4:$E$1362,""),_xlpm.cleanRaw,SUBSTITUTE(SUBSTITUTE(_xlpm.raw,"_PIN","."),"PIN","."),_xlpm.mainPart,MID(_xlpm.cleanRaw,2,FIND(".",_xlpm.cleanRaw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0" t="str">
        <f>""</f>
        <v/>
      </c>
      <c r="J640" t="str">
        <f t="shared" si="9"/>
        <v>AB19;VCCPRIM_1P0;;10.727;11.305;;;;</v>
      </c>
    </row>
    <row r="641" spans="1:10">
      <c r="A641" t="s">
        <v>1816</v>
      </c>
      <c r="B641" t="str">
        <f>_xlfn.XLOOKUP(A641,'Pinlist(S1)'!$Q$4:$Q$1362,'Pinlist(S1)'!$R$4:$R$1362,"")</f>
        <v>VCCPRIM_1P0</v>
      </c>
      <c r="C641" t="str" cm="1">
        <f t="array" ref="C641">_xlfn.TEXTJOIN(",",TRUE,_xlfn.UNIQUE(TRANSPOSE(_xlfn.MAP(_xlfn.XLOOKUP(A641,'Pinlist(S1)'!$C$4:$C$1362,'Pinlist(S1)'!$F$4:$K$1362,""),_xlfn.LAMBDA(_xlpm.x,IF(_xlpm.x&lt;&gt;"",TRIM(CLEAN(LEFT(_xlpm.x,FIND(".",_xlpm.x &amp; ".")-1))),""))))))</f>
        <v/>
      </c>
      <c r="D641">
        <v>11.377000000000001</v>
      </c>
      <c r="E641">
        <v>11.305</v>
      </c>
      <c r="F641" t="str">
        <f>_xlfn.LET(_xlpm.raw,_xlfn.XLOOKUP(A641,'Pinlist(S1)'!$C$4:$C$1362,'Pinlist(S1)'!$E$4:$E$1362,""),_xlpm.cleanRaw,SUBSTITUTE(SUBSTITUTE(_xlpm.raw,"_PIN","."),"PIN","."),_xlpm.mainPart,MID(_xlpm.cleanRaw,2,FIND(".",_xlpm.cleanRaw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1" t="str">
        <f>_xlfn.LET(_xlpm.raw,_xlfn.XLOOKUP(A641,'Pinlist(S3)'!$C$4:$C$1362,'Pinlist(S3)'!$E$4:$E$1362,""),_xlpm.cleanRaw,SUBSTITUTE(SUBSTITUTE(_xlpm.raw,"_PIN","."),"PIN","."),_xlpm.mainPart,MID(_xlpm.cleanRaw,2,FIND(".",_xlpm.cleanRaw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1" t="str">
        <f>_xlfn.LET(_xlpm.raw,_xlfn.XLOOKUP(A641,'Pinlist(S5)'!$C$4:$C$1362,'Pinlist(S5)'!$E$4:$E$1362,""),_xlpm.cleanRaw,SUBSTITUTE(SUBSTITUTE(_xlpm.raw,"_PIN","."),"PIN","."),_xlpm.mainPart,MID(_xlpm.cleanRaw,2,FIND(".",_xlpm.cleanRaw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1" t="str">
        <f>""</f>
        <v/>
      </c>
      <c r="J641" t="str">
        <f t="shared" si="9"/>
        <v>AB20;VCCPRIM_1P0;;11.377;11.305;;;;</v>
      </c>
    </row>
    <row r="642" spans="1:10">
      <c r="A642" t="s">
        <v>1894</v>
      </c>
      <c r="B642" t="str">
        <f>_xlfn.XLOOKUP(A642,'Pinlist(S1)'!$Q$4:$Q$1362,'Pinlist(S1)'!$R$4:$R$1362,"")</f>
        <v>VSS</v>
      </c>
      <c r="C642" t="str" cm="1">
        <f t="array" ref="C642">_xlfn.TEXTJOIN(",",TRUE,_xlfn.UNIQUE(TRANSPOSE(_xlfn.MAP(_xlfn.XLOOKUP(A642,'Pinlist(S1)'!$C$4:$C$1362,'Pinlist(S1)'!$F$4:$K$1362,""),_xlfn.LAMBDA(_xlpm.x,IF(_xlpm.x&lt;&gt;"",TRIM(CLEAN(LEFT(_xlpm.x,FIND(".",_xlpm.x &amp; ".")-1))),""))))))</f>
        <v/>
      </c>
      <c r="D642">
        <v>12.026999999999999</v>
      </c>
      <c r="E642">
        <v>11.305</v>
      </c>
      <c r="F642" t="str">
        <f>_xlfn.LET(_xlpm.raw,_xlfn.XLOOKUP(A642,'Pinlist(S1)'!$C$4:$C$1362,'Pinlist(S1)'!$E$4:$E$1362,""),_xlpm.cleanRaw,SUBSTITUTE(SUBSTITUTE(_xlpm.raw,"_PIN","."),"PIN","."),_xlpm.mainPart,MID(_xlpm.cleanRaw,2,FIND(".",_xlpm.cleanRaw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2" t="str">
        <f>_xlfn.LET(_xlpm.raw,_xlfn.XLOOKUP(A642,'Pinlist(S3)'!$C$4:$C$1362,'Pinlist(S3)'!$E$4:$E$1362,""),_xlpm.cleanRaw,SUBSTITUTE(SUBSTITUTE(_xlpm.raw,"_PIN","."),"PIN","."),_xlpm.mainPart,MID(_xlpm.cleanRaw,2,FIND(".",_xlpm.cleanRaw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2" t="str">
        <f>_xlfn.LET(_xlpm.raw,_xlfn.XLOOKUP(A642,'Pinlist(S5)'!$C$4:$C$1362,'Pinlist(S5)'!$E$4:$E$1362,""),_xlpm.cleanRaw,SUBSTITUTE(SUBSTITUTE(_xlpm.raw,"_PIN","."),"PIN","."),_xlpm.mainPart,MID(_xlpm.cleanRaw,2,FIND(".",_xlpm.cleanRaw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2" t="str">
        <f>""</f>
        <v/>
      </c>
      <c r="J642" t="str">
        <f t="shared" ref="J642:J705" si="10">A642&amp;";"&amp;B642&amp;";"&amp;C642&amp;";"&amp;D642&amp;";"&amp;E642&amp;";"&amp;F642&amp;";"&amp;G642&amp;";"&amp;H642&amp;";"&amp;I642</f>
        <v>AB21;VSS;;12.027;11.305;;;;</v>
      </c>
    </row>
    <row r="643" spans="1:10">
      <c r="A643" t="s">
        <v>1615</v>
      </c>
      <c r="B643" t="str">
        <f>_xlfn.XLOOKUP(A643,'Pinlist(S1)'!$Q$4:$Q$1362,'Pinlist(S1)'!$R$4:$R$1362,"")</f>
        <v>VCCEDRAM</v>
      </c>
      <c r="C643" t="str" cm="1">
        <f t="array" ref="C643">_xlfn.TEXTJOIN(",",TRUE,_xlfn.UNIQUE(TRANSPOSE(_xlfn.MAP(_xlfn.XLOOKUP(A643,'Pinlist(S1)'!$C$4:$C$1362,'Pinlist(S1)'!$F$4:$K$1362,""),_xlfn.LAMBDA(_xlpm.x,IF(_xlpm.x&lt;&gt;"",TRIM(CLEAN(LEFT(_xlpm.x,FIND(".",_xlpm.x &amp; ".")-1))),""))))))</f>
        <v/>
      </c>
      <c r="D643">
        <v>34.957999999999998</v>
      </c>
      <c r="E643">
        <v>11.176</v>
      </c>
      <c r="F643" t="str">
        <f>_xlfn.LET(_xlpm.raw,_xlfn.XLOOKUP(A643,'Pinlist(S1)'!$C$4:$C$1362,'Pinlist(S1)'!$E$4:$E$1362,""),_xlpm.cleanRaw,SUBSTITUTE(SUBSTITUTE(_xlpm.raw,"_PIN","."),"PIN","."),_xlpm.mainPart,MID(_xlpm.cleanRaw,2,FIND(".",_xlpm.cleanRaw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3" t="str">
        <f>_xlfn.LET(_xlpm.raw,_xlfn.XLOOKUP(A643,'Pinlist(S3)'!$C$4:$C$1362,'Pinlist(S3)'!$E$4:$E$1362,""),_xlpm.cleanRaw,SUBSTITUTE(SUBSTITUTE(_xlpm.raw,"_PIN","."),"PIN","."),_xlpm.mainPart,MID(_xlpm.cleanRaw,2,FIND(".",_xlpm.cleanRaw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3" t="str">
        <f>_xlfn.LET(_xlpm.raw,_xlfn.XLOOKUP(A643,'Pinlist(S5)'!$C$4:$C$1362,'Pinlist(S5)'!$E$4:$E$1362,""),_xlpm.cleanRaw,SUBSTITUTE(SUBSTITUTE(_xlpm.raw,"_PIN","."),"PIN","."),_xlpm.mainPart,MID(_xlpm.cleanRaw,2,FIND(".",_xlpm.cleanRaw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3" t="str">
        <f>""</f>
        <v/>
      </c>
      <c r="J643" t="str">
        <f t="shared" si="10"/>
        <v>AB62;VCCEDRAM;;34.958;11.176;;;;</v>
      </c>
    </row>
    <row r="644" spans="1:10">
      <c r="A644" t="s">
        <v>899</v>
      </c>
      <c r="B644" t="str">
        <f>_xlfn.XLOOKUP(A644,'Pinlist(S1)'!$Q$4:$Q$1362,'Pinlist(S1)'!$R$4:$R$1362,"")</f>
        <v>GPP_C_12_UART1_RXD_ISH_UART1_RXD</v>
      </c>
      <c r="C644" t="str" cm="1">
        <f t="array" ref="C644">_xlfn.TEXTJOIN(",",TRUE,_xlfn.UNIQUE(TRANSPOSE(_xlfn.MAP(_xlfn.XLOOKUP(A644,'Pinlist(S1)'!$C$4:$C$1362,'Pinlist(S1)'!$F$4:$K$1362,""),_xlfn.LAMBDA(_xlpm.x,IF(_xlpm.x&lt;&gt;"",TRIM(CLEAN(LEFT(_xlpm.x,FIND(".",_xlpm.x &amp; ".")-1))),""))))))</f>
        <v/>
      </c>
      <c r="D644">
        <v>0.32500000000000201</v>
      </c>
      <c r="E644">
        <v>12.129</v>
      </c>
      <c r="F644" t="str">
        <f>_xlfn.LET(_xlpm.raw,_xlfn.XLOOKUP(A644,'Pinlist(S1)'!$C$4:$C$1362,'Pinlist(S1)'!$E$4:$E$1362,""),_xlpm.cleanRaw,SUBSTITUTE(SUBSTITUTE(_xlpm.raw,"_PIN","."),"PIN","."),_xlpm.mainPart,MID(_xlpm.cleanRaw,2,FIND(".",_xlpm.cleanRaw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504120</v>
      </c>
      <c r="G644" t="str">
        <f>_xlfn.LET(_xlpm.raw,_xlfn.XLOOKUP(A644,'Pinlist(S3)'!$C$4:$C$1362,'Pinlist(S3)'!$E$4:$E$1362,""),_xlpm.cleanRaw,SUBSTITUTE(SUBSTITUTE(_xlpm.raw,"_PIN","."),"PIN","."),_xlpm.mainPart,MID(_xlpm.cleanRaw,2,FIND(".",_xlpm.cleanRaw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808062</v>
      </c>
      <c r="H644" t="str">
        <f>_xlfn.LET(_xlpm.raw,_xlfn.XLOOKUP(A644,'Pinlist(S5)'!$C$4:$C$1362,'Pinlist(S5)'!$E$4:$E$1362,""),_xlpm.cleanRaw,SUBSTITUTE(SUBSTITUTE(_xlpm.raw,"_PIN","."),"PIN","."),_xlpm.mainPart,MID(_xlpm.cleanRaw,2,FIND(".",_xlpm.cleanRaw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602083</v>
      </c>
      <c r="I644" t="str">
        <f>""</f>
        <v/>
      </c>
      <c r="J644" t="str">
        <f t="shared" si="10"/>
        <v>AC1;GPP_C_12_UART1_RXD_ISH_UART1_RXD;;0.325000000000002;12.129;504120;808062;602083;</v>
      </c>
    </row>
    <row r="645" spans="1:10">
      <c r="A645" t="s">
        <v>901</v>
      </c>
      <c r="B645" t="str">
        <f>_xlfn.XLOOKUP(A645,'Pinlist(S1)'!$Q$4:$Q$1362,'Pinlist(S1)'!$R$4:$R$1362,"")</f>
        <v>GPP_C_13_UART1_TXD_ISH_UART1_TXD</v>
      </c>
      <c r="C645" t="str" cm="1">
        <f t="array" ref="C645">_xlfn.TEXTJOIN(",",TRUE,_xlfn.UNIQUE(TRANSPOSE(_xlfn.MAP(_xlfn.XLOOKUP(A645,'Pinlist(S1)'!$C$4:$C$1362,'Pinlist(S1)'!$F$4:$K$1362,""),_xlfn.LAMBDA(_xlpm.x,IF(_xlpm.x&lt;&gt;"",TRIM(CLEAN(LEFT(_xlpm.x,FIND(".",_xlpm.x &amp; ".")-1))),""))))))</f>
        <v/>
      </c>
      <c r="D645">
        <v>0.97500000000000098</v>
      </c>
      <c r="E645">
        <v>12.129</v>
      </c>
      <c r="F645" t="str">
        <f>_xlfn.LET(_xlpm.raw,_xlfn.XLOOKUP(A645,'Pinlist(S1)'!$C$4:$C$1362,'Pinlist(S1)'!$E$4:$E$1362,""),_xlpm.cleanRaw,SUBSTITUTE(SUBSTITUTE(_xlpm.raw,"_PIN","."),"PIN","."),_xlpm.mainPart,MID(_xlpm.cleanRaw,2,FIND(".",_xlpm.cleanRaw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507113</v>
      </c>
      <c r="G645" t="str">
        <f>_xlfn.LET(_xlpm.raw,_xlfn.XLOOKUP(A645,'Pinlist(S3)'!$C$4:$C$1362,'Pinlist(S3)'!$E$4:$E$1362,""),_xlpm.cleanRaw,SUBSTITUTE(SUBSTITUTE(_xlpm.raw,"_PIN","."),"PIN","."),_xlpm.mainPart,MID(_xlpm.cleanRaw,2,FIND(".",_xlpm.cleanRaw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807015</v>
      </c>
      <c r="H645" t="str">
        <f>_xlfn.LET(_xlpm.raw,_xlfn.XLOOKUP(A645,'Pinlist(S5)'!$C$4:$C$1362,'Pinlist(S5)'!$E$4:$E$1362,""),_xlpm.cleanRaw,SUBSTITUTE(SUBSTITUTE(_xlpm.raw,"_PIN","."),"PIN","."),_xlpm.mainPart,MID(_xlpm.cleanRaw,2,FIND(".",_xlpm.cleanRaw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701098</v>
      </c>
      <c r="I645" t="str">
        <f>""</f>
        <v/>
      </c>
      <c r="J645" t="str">
        <f t="shared" si="10"/>
        <v>AC2;GPP_C_13_UART1_TXD_ISH_UART1_TXD;;0.975000000000001;12.129;507113;807015;701098;</v>
      </c>
    </row>
    <row r="646" spans="1:10">
      <c r="A646" t="s">
        <v>903</v>
      </c>
      <c r="B646" t="str">
        <f>_xlfn.XLOOKUP(A646,'Pinlist(S1)'!$Q$4:$Q$1362,'Pinlist(S1)'!$R$4:$R$1362,"")</f>
        <v>GPP_C_14_UART1_RTSB_ISH_UART1_RTSB</v>
      </c>
      <c r="C646" t="str" cm="1">
        <f t="array" ref="C646">_xlfn.TEXTJOIN(",",TRUE,_xlfn.UNIQUE(TRANSPOSE(_xlfn.MAP(_xlfn.XLOOKUP(A646,'Pinlist(S1)'!$C$4:$C$1362,'Pinlist(S1)'!$F$4:$K$1362,""),_xlfn.LAMBDA(_xlpm.x,IF(_xlpm.x&lt;&gt;"",TRIM(CLEAN(LEFT(_xlpm.x,FIND(".",_xlpm.x &amp; ".")-1))),""))))))</f>
        <v/>
      </c>
      <c r="D646">
        <v>1.625</v>
      </c>
      <c r="E646">
        <v>12.129</v>
      </c>
      <c r="F646" t="str">
        <f>_xlfn.LET(_xlpm.raw,_xlfn.XLOOKUP(A646,'Pinlist(S1)'!$C$4:$C$1362,'Pinlist(S1)'!$E$4:$E$1362,""),_xlpm.cleanRaw,SUBSTITUTE(SUBSTITUTE(_xlpm.raw,"_PIN","."),"PIN","."),_xlpm.mainPart,MID(_xlpm.cleanRaw,2,FIND(".",_xlpm.cleanRaw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506008</v>
      </c>
      <c r="G646" t="str">
        <f>_xlfn.LET(_xlpm.raw,_xlfn.XLOOKUP(A646,'Pinlist(S3)'!$C$4:$C$1362,'Pinlist(S3)'!$E$4:$E$1362,""),_xlpm.cleanRaw,SUBSTITUTE(SUBSTITUTE(_xlpm.raw,"_PIN","."),"PIN","."),_xlpm.mainPart,MID(_xlpm.cleanRaw,2,FIND(".",_xlpm.cleanRaw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807010</v>
      </c>
      <c r="H646" t="str">
        <f>_xlfn.LET(_xlpm.raw,_xlfn.XLOOKUP(A646,'Pinlist(S5)'!$C$4:$C$1362,'Pinlist(S5)'!$E$4:$E$1362,""),_xlpm.cleanRaw,SUBSTITUTE(SUBSTITUTE(_xlpm.raw,"_PIN","."),"PIN","."),_xlpm.mainPart,MID(_xlpm.cleanRaw,2,FIND(".",_xlpm.cleanRaw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603128</v>
      </c>
      <c r="I646" t="str">
        <f>""</f>
        <v/>
      </c>
      <c r="J646" t="str">
        <f t="shared" si="10"/>
        <v>AC3;GPP_C_14_UART1_RTSB_ISH_UART1_RTSB;;1.625;12.129;506008;807010;603128;</v>
      </c>
    </row>
    <row r="647" spans="1:10">
      <c r="A647" t="s">
        <v>1620</v>
      </c>
      <c r="B647" t="str">
        <f>_xlfn.XLOOKUP(A647,'Pinlist(S1)'!$Q$4:$Q$1362,'Pinlist(S1)'!$R$4:$R$1362,"")</f>
        <v>VCCEDRAM_SENSE</v>
      </c>
      <c r="C647" t="str" cm="1">
        <f t="array" ref="C647">_xlfn.TEXTJOIN(",",TRUE,_xlfn.UNIQUE(TRANSPOSE(_xlfn.MAP(_xlfn.XLOOKUP(A647,'Pinlist(S1)'!$C$4:$C$1362,'Pinlist(S1)'!$F$4:$K$1362,""),_xlfn.LAMBDA(_xlpm.x,IF(_xlpm.x&lt;&gt;"",TRIM(CLEAN(LEFT(_xlpm.x,FIND(".",_xlpm.x &amp; ".")-1))),""))))))</f>
        <v/>
      </c>
      <c r="D647">
        <v>35.427</v>
      </c>
      <c r="E647">
        <v>11.632999999999999</v>
      </c>
      <c r="F647" t="str">
        <f>_xlfn.LET(_xlpm.raw,_xlfn.XLOOKUP(A647,'Pinlist(S1)'!$C$4:$C$1362,'Pinlist(S1)'!$E$4:$E$1362,""),_xlpm.cleanRaw,SUBSTITUTE(SUBSTITUTE(_xlpm.raw,"_PIN","."),"PIN","."),_xlpm.mainPart,MID(_xlpm.cleanRaw,2,FIND(".",_xlpm.cleanRaw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7" t="str">
        <f>_xlfn.LET(_xlpm.raw,_xlfn.XLOOKUP(A647,'Pinlist(S3)'!$C$4:$C$1362,'Pinlist(S3)'!$E$4:$E$1362,""),_xlpm.cleanRaw,SUBSTITUTE(SUBSTITUTE(_xlpm.raw,"_PIN","."),"PIN","."),_xlpm.mainPart,MID(_xlpm.cleanRaw,2,FIND(".",_xlpm.cleanRaw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7" t="str">
        <f>_xlfn.LET(_xlpm.raw,_xlfn.XLOOKUP(A647,'Pinlist(S5)'!$C$4:$C$1362,'Pinlist(S5)'!$E$4:$E$1362,""),_xlpm.cleanRaw,SUBSTITUTE(SUBSTITUTE(_xlpm.raw,"_PIN","."),"PIN","."),_xlpm.mainPart,MID(_xlpm.cleanRaw,2,FIND(".",_xlpm.cleanRaw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7" t="str">
        <f>""</f>
        <v/>
      </c>
      <c r="J647" t="str">
        <f t="shared" si="10"/>
        <v>AC63;VCCEDRAM_SENSE;;35.427;11.633;;;;</v>
      </c>
    </row>
    <row r="648" spans="1:10">
      <c r="A648" t="s">
        <v>1658</v>
      </c>
      <c r="B648" t="str">
        <f>_xlfn.XLOOKUP(A648,'Pinlist(S1)'!$Q$4:$Q$1362,'Pinlist(S1)'!$R$4:$R$1362,"")</f>
        <v>VCCGT</v>
      </c>
      <c r="C648" t="str" cm="1">
        <f t="array" ref="C648">_xlfn.TEXTJOIN(",",TRUE,_xlfn.UNIQUE(TRANSPOSE(_xlfn.MAP(_xlfn.XLOOKUP(A648,'Pinlist(S1)'!$C$4:$C$1362,'Pinlist(S1)'!$F$4:$K$1362,""),_xlfn.LAMBDA(_xlpm.x,IF(_xlpm.x&lt;&gt;"",TRIM(CLEAN(LEFT(_xlpm.x,FIND(".",_xlpm.x &amp; ".")-1))),""))))))</f>
        <v/>
      </c>
      <c r="D648">
        <v>36.076999999999998</v>
      </c>
      <c r="E648">
        <v>11.632999999999999</v>
      </c>
      <c r="F648" t="str">
        <f>_xlfn.LET(_xlpm.raw,_xlfn.XLOOKUP(A648,'Pinlist(S1)'!$C$4:$C$1362,'Pinlist(S1)'!$E$4:$E$1362,""),_xlpm.cleanRaw,SUBSTITUTE(SUBSTITUTE(_xlpm.raw,"_PIN","."),"PIN","."),_xlpm.mainPart,MID(_xlpm.cleanRaw,2,FIND(".",_xlpm.cleanRaw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8" t="str">
        <f>_xlfn.LET(_xlpm.raw,_xlfn.XLOOKUP(A648,'Pinlist(S3)'!$C$4:$C$1362,'Pinlist(S3)'!$E$4:$E$1362,""),_xlpm.cleanRaw,SUBSTITUTE(SUBSTITUTE(_xlpm.raw,"_PIN","."),"PIN","."),_xlpm.mainPart,MID(_xlpm.cleanRaw,2,FIND(".",_xlpm.cleanRaw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8" t="str">
        <f>_xlfn.LET(_xlpm.raw,_xlfn.XLOOKUP(A648,'Pinlist(S5)'!$C$4:$C$1362,'Pinlist(S5)'!$E$4:$E$1362,""),_xlpm.cleanRaw,SUBSTITUTE(SUBSTITUTE(_xlpm.raw,"_PIN","."),"PIN","."),_xlpm.mainPart,MID(_xlpm.cleanRaw,2,FIND(".",_xlpm.cleanRaw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8" t="str">
        <f>""</f>
        <v/>
      </c>
      <c r="J648" t="str">
        <f t="shared" si="10"/>
        <v>AC64;VCCGT;;36.077;11.633;;;;</v>
      </c>
    </row>
    <row r="649" spans="1:10">
      <c r="A649" t="s">
        <v>1659</v>
      </c>
      <c r="B649" t="str">
        <f>_xlfn.XLOOKUP(A649,'Pinlist(S1)'!$Q$4:$Q$1362,'Pinlist(S1)'!$R$4:$R$1362,"")</f>
        <v>VCCGT</v>
      </c>
      <c r="C649" t="str" cm="1">
        <f t="array" ref="C649">_xlfn.TEXTJOIN(",",TRUE,_xlfn.UNIQUE(TRANSPOSE(_xlfn.MAP(_xlfn.XLOOKUP(A649,'Pinlist(S1)'!$C$4:$C$1362,'Pinlist(S1)'!$F$4:$K$1362,""),_xlfn.LAMBDA(_xlpm.x,IF(_xlpm.x&lt;&gt;"",TRIM(CLEAN(LEFT(_xlpm.x,FIND(".",_xlpm.x &amp; ".")-1))),""))))))</f>
        <v/>
      </c>
      <c r="D649">
        <v>36.726999999999997</v>
      </c>
      <c r="E649">
        <v>11.632999999999999</v>
      </c>
      <c r="F649" t="str">
        <f>_xlfn.LET(_xlpm.raw,_xlfn.XLOOKUP(A649,'Pinlist(S1)'!$C$4:$C$1362,'Pinlist(S1)'!$E$4:$E$1362,""),_xlpm.cleanRaw,SUBSTITUTE(SUBSTITUTE(_xlpm.raw,"_PIN","."),"PIN","."),_xlpm.mainPart,MID(_xlpm.cleanRaw,2,FIND(".",_xlpm.cleanRaw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9" t="str">
        <f>_xlfn.LET(_xlpm.raw,_xlfn.XLOOKUP(A649,'Pinlist(S3)'!$C$4:$C$1362,'Pinlist(S3)'!$E$4:$E$1362,""),_xlpm.cleanRaw,SUBSTITUTE(SUBSTITUTE(_xlpm.raw,"_PIN","."),"PIN","."),_xlpm.mainPart,MID(_xlpm.cleanRaw,2,FIND(".",_xlpm.cleanRaw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9" t="str">
        <f>_xlfn.LET(_xlpm.raw,_xlfn.XLOOKUP(A649,'Pinlist(S5)'!$C$4:$C$1362,'Pinlist(S5)'!$E$4:$E$1362,""),_xlpm.cleanRaw,SUBSTITUTE(SUBSTITUTE(_xlpm.raw,"_PIN","."),"PIN","."),_xlpm.mainPart,MID(_xlpm.cleanRaw,2,FIND(".",_xlpm.cleanRaw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9" t="str">
        <f>""</f>
        <v/>
      </c>
      <c r="J649" t="str">
        <f t="shared" si="10"/>
        <v>AC65;VCCGT;;36.727;11.633;;;;</v>
      </c>
    </row>
    <row r="650" spans="1:10">
      <c r="A650" t="s">
        <v>1660</v>
      </c>
      <c r="B650" t="str">
        <f>_xlfn.XLOOKUP(A650,'Pinlist(S1)'!$Q$4:$Q$1362,'Pinlist(S1)'!$R$4:$R$1362,"")</f>
        <v>VCCGT</v>
      </c>
      <c r="C650" t="str" cm="1">
        <f t="array" ref="C650">_xlfn.TEXTJOIN(",",TRUE,_xlfn.UNIQUE(TRANSPOSE(_xlfn.MAP(_xlfn.XLOOKUP(A650,'Pinlist(S1)'!$C$4:$C$1362,'Pinlist(S1)'!$F$4:$K$1362,""),_xlfn.LAMBDA(_xlpm.x,IF(_xlpm.x&lt;&gt;"",TRIM(CLEAN(LEFT(_xlpm.x,FIND(".",_xlpm.x &amp; ".")-1))),""))))))</f>
        <v/>
      </c>
      <c r="D650">
        <v>37.376999999999903</v>
      </c>
      <c r="E650">
        <v>11.632999999999999</v>
      </c>
      <c r="F650" t="str">
        <f>_xlfn.LET(_xlpm.raw,_xlfn.XLOOKUP(A650,'Pinlist(S1)'!$C$4:$C$1362,'Pinlist(S1)'!$E$4:$E$1362,""),_xlpm.cleanRaw,SUBSTITUTE(SUBSTITUTE(_xlpm.raw,"_PIN","."),"PIN","."),_xlpm.mainPart,MID(_xlpm.cleanRaw,2,FIND(".",_xlpm.cleanRaw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0" t="str">
        <f>_xlfn.LET(_xlpm.raw,_xlfn.XLOOKUP(A650,'Pinlist(S3)'!$C$4:$C$1362,'Pinlist(S3)'!$E$4:$E$1362,""),_xlpm.cleanRaw,SUBSTITUTE(SUBSTITUTE(_xlpm.raw,"_PIN","."),"PIN","."),_xlpm.mainPart,MID(_xlpm.cleanRaw,2,FIND(".",_xlpm.cleanRaw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0" t="str">
        <f>_xlfn.LET(_xlpm.raw,_xlfn.XLOOKUP(A650,'Pinlist(S5)'!$C$4:$C$1362,'Pinlist(S5)'!$E$4:$E$1362,""),_xlpm.cleanRaw,SUBSTITUTE(SUBSTITUTE(_xlpm.raw,"_PIN","."),"PIN","."),_xlpm.mainPart,MID(_xlpm.cleanRaw,2,FIND(".",_xlpm.cleanRaw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0" t="str">
        <f>""</f>
        <v/>
      </c>
      <c r="J650" t="str">
        <f t="shared" si="10"/>
        <v>AC66;VCCGT;;37.3769999999999;11.633;;;;</v>
      </c>
    </row>
    <row r="651" spans="1:10">
      <c r="A651" t="s">
        <v>1661</v>
      </c>
      <c r="B651" t="str">
        <f>_xlfn.XLOOKUP(A651,'Pinlist(S1)'!$Q$4:$Q$1362,'Pinlist(S1)'!$R$4:$R$1362,"")</f>
        <v>VCCGT</v>
      </c>
      <c r="C651" t="str" cm="1">
        <f t="array" ref="C651">_xlfn.TEXTJOIN(",",TRUE,_xlfn.UNIQUE(TRANSPOSE(_xlfn.MAP(_xlfn.XLOOKUP(A651,'Pinlist(S1)'!$C$4:$C$1362,'Pinlist(S1)'!$F$4:$K$1362,""),_xlfn.LAMBDA(_xlpm.x,IF(_xlpm.x&lt;&gt;"",TRIM(CLEAN(LEFT(_xlpm.x,FIND(".",_xlpm.x &amp; ".")-1))),""))))))</f>
        <v/>
      </c>
      <c r="D651">
        <v>38.027999999999999</v>
      </c>
      <c r="E651">
        <v>11.632999999999999</v>
      </c>
      <c r="F651" t="str">
        <f>_xlfn.LET(_xlpm.raw,_xlfn.XLOOKUP(A651,'Pinlist(S1)'!$C$4:$C$1362,'Pinlist(S1)'!$E$4:$E$1362,""),_xlpm.cleanRaw,SUBSTITUTE(SUBSTITUTE(_xlpm.raw,"_PIN","."),"PIN","."),_xlpm.mainPart,MID(_xlpm.cleanRaw,2,FIND(".",_xlpm.cleanRaw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1" t="str">
        <f>_xlfn.LET(_xlpm.raw,_xlfn.XLOOKUP(A651,'Pinlist(S3)'!$C$4:$C$1362,'Pinlist(S3)'!$E$4:$E$1362,""),_xlpm.cleanRaw,SUBSTITUTE(SUBSTITUTE(_xlpm.raw,"_PIN","."),"PIN","."),_xlpm.mainPart,MID(_xlpm.cleanRaw,2,FIND(".",_xlpm.cleanRaw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1" t="str">
        <f>_xlfn.LET(_xlpm.raw,_xlfn.XLOOKUP(A651,'Pinlist(S5)'!$C$4:$C$1362,'Pinlist(S5)'!$E$4:$E$1362,""),_xlpm.cleanRaw,SUBSTITUTE(SUBSTITUTE(_xlpm.raw,"_PIN","."),"PIN","."),_xlpm.mainPart,MID(_xlpm.cleanRaw,2,FIND(".",_xlpm.cleanRaw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1" t="str">
        <f>""</f>
        <v/>
      </c>
      <c r="J651" t="str">
        <f t="shared" si="10"/>
        <v>AC67;VCCGT;;38.028;11.633;;;;</v>
      </c>
    </row>
    <row r="652" spans="1:10">
      <c r="A652" t="s">
        <v>1662</v>
      </c>
      <c r="B652" t="str">
        <f>_xlfn.XLOOKUP(A652,'Pinlist(S1)'!$Q$4:$Q$1362,'Pinlist(S1)'!$R$4:$R$1362,"")</f>
        <v>VCCGT</v>
      </c>
      <c r="C652" t="str" cm="1">
        <f t="array" ref="C652">_xlfn.TEXTJOIN(",",TRUE,_xlfn.UNIQUE(TRANSPOSE(_xlfn.MAP(_xlfn.XLOOKUP(A652,'Pinlist(S1)'!$C$4:$C$1362,'Pinlist(S1)'!$F$4:$K$1362,""),_xlfn.LAMBDA(_xlpm.x,IF(_xlpm.x&lt;&gt;"",TRIM(CLEAN(LEFT(_xlpm.x,FIND(".",_xlpm.x &amp; ".")-1))),""))))))</f>
        <v/>
      </c>
      <c r="D652">
        <v>38.677999999999997</v>
      </c>
      <c r="E652">
        <v>11.632999999999999</v>
      </c>
      <c r="F652" t="str">
        <f>_xlfn.LET(_xlpm.raw,_xlfn.XLOOKUP(A652,'Pinlist(S1)'!$C$4:$C$1362,'Pinlist(S1)'!$E$4:$E$1362,""),_xlpm.cleanRaw,SUBSTITUTE(SUBSTITUTE(_xlpm.raw,"_PIN","."),"PIN","."),_xlpm.mainPart,MID(_xlpm.cleanRaw,2,FIND(".",_xlpm.cleanRaw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2" t="str">
        <f>_xlfn.LET(_xlpm.raw,_xlfn.XLOOKUP(A652,'Pinlist(S3)'!$C$4:$C$1362,'Pinlist(S3)'!$E$4:$E$1362,""),_xlpm.cleanRaw,SUBSTITUTE(SUBSTITUTE(_xlpm.raw,"_PIN","."),"PIN","."),_xlpm.mainPart,MID(_xlpm.cleanRaw,2,FIND(".",_xlpm.cleanRaw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2" t="str">
        <f>_xlfn.LET(_xlpm.raw,_xlfn.XLOOKUP(A652,'Pinlist(S5)'!$C$4:$C$1362,'Pinlist(S5)'!$E$4:$E$1362,""),_xlpm.cleanRaw,SUBSTITUTE(SUBSTITUTE(_xlpm.raw,"_PIN","."),"PIN","."),_xlpm.mainPart,MID(_xlpm.cleanRaw,2,FIND(".",_xlpm.cleanRaw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2" t="str">
        <f>""</f>
        <v/>
      </c>
      <c r="J652" t="str">
        <f t="shared" si="10"/>
        <v>AC68;VCCGT;;38.678;11.633;;;;</v>
      </c>
    </row>
    <row r="653" spans="1:10">
      <c r="A653" t="s">
        <v>1663</v>
      </c>
      <c r="B653" t="str">
        <f>_xlfn.XLOOKUP(A653,'Pinlist(S1)'!$Q$4:$Q$1362,'Pinlist(S1)'!$R$4:$R$1362,"")</f>
        <v>VCCGT</v>
      </c>
      <c r="C653" t="str" cm="1">
        <f t="array" ref="C653">_xlfn.TEXTJOIN(",",TRUE,_xlfn.UNIQUE(TRANSPOSE(_xlfn.MAP(_xlfn.XLOOKUP(A653,'Pinlist(S1)'!$C$4:$C$1362,'Pinlist(S1)'!$F$4:$K$1362,""),_xlfn.LAMBDA(_xlpm.x,IF(_xlpm.x&lt;&gt;"",TRIM(CLEAN(LEFT(_xlpm.x,FIND(".",_xlpm.x &amp; ".")-1))),""))))))</f>
        <v/>
      </c>
      <c r="D653">
        <v>39.328000000000003</v>
      </c>
      <c r="E653">
        <v>11.632999999999999</v>
      </c>
      <c r="F653" t="str">
        <f>_xlfn.LET(_xlpm.raw,_xlfn.XLOOKUP(A653,'Pinlist(S1)'!$C$4:$C$1362,'Pinlist(S1)'!$E$4:$E$1362,""),_xlpm.cleanRaw,SUBSTITUTE(SUBSTITUTE(_xlpm.raw,"_PIN","."),"PIN","."),_xlpm.mainPart,MID(_xlpm.cleanRaw,2,FIND(".",_xlpm.cleanRaw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3" t="str">
        <f>_xlfn.LET(_xlpm.raw,_xlfn.XLOOKUP(A653,'Pinlist(S3)'!$C$4:$C$1362,'Pinlist(S3)'!$E$4:$E$1362,""),_xlpm.cleanRaw,SUBSTITUTE(SUBSTITUTE(_xlpm.raw,"_PIN","."),"PIN","."),_xlpm.mainPart,MID(_xlpm.cleanRaw,2,FIND(".",_xlpm.cleanRaw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3" t="str">
        <f>_xlfn.LET(_xlpm.raw,_xlfn.XLOOKUP(A653,'Pinlist(S5)'!$C$4:$C$1362,'Pinlist(S5)'!$E$4:$E$1362,""),_xlpm.cleanRaw,SUBSTITUTE(SUBSTITUTE(_xlpm.raw,"_PIN","."),"PIN","."),_xlpm.mainPart,MID(_xlpm.cleanRaw,2,FIND(".",_xlpm.cleanRaw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3" t="str">
        <f>""</f>
        <v/>
      </c>
      <c r="J653" t="str">
        <f t="shared" si="10"/>
        <v>AC69;VCCGT;;39.328;11.633;;;;</v>
      </c>
    </row>
    <row r="654" spans="1:10">
      <c r="A654" t="s">
        <v>1664</v>
      </c>
      <c r="B654" t="str">
        <f>_xlfn.XLOOKUP(A654,'Pinlist(S1)'!$Q$4:$Q$1362,'Pinlist(S1)'!$R$4:$R$1362,"")</f>
        <v>VCCGT</v>
      </c>
      <c r="C654" t="str" cm="1">
        <f t="array" ref="C654">_xlfn.TEXTJOIN(",",TRUE,_xlfn.UNIQUE(TRANSPOSE(_xlfn.MAP(_xlfn.XLOOKUP(A654,'Pinlist(S1)'!$C$4:$C$1362,'Pinlist(S1)'!$F$4:$K$1362,""),_xlfn.LAMBDA(_xlpm.x,IF(_xlpm.x&lt;&gt;"",TRIM(CLEAN(LEFT(_xlpm.x,FIND(".",_xlpm.x &amp; ".")-1))),""))))))</f>
        <v/>
      </c>
      <c r="D654">
        <v>39.978000000000002</v>
      </c>
      <c r="E654">
        <v>11.632999999999999</v>
      </c>
      <c r="F654" t="str">
        <f>_xlfn.LET(_xlpm.raw,_xlfn.XLOOKUP(A654,'Pinlist(S1)'!$C$4:$C$1362,'Pinlist(S1)'!$E$4:$E$1362,""),_xlpm.cleanRaw,SUBSTITUTE(SUBSTITUTE(_xlpm.raw,"_PIN","."),"PIN","."),_xlpm.mainPart,MID(_xlpm.cleanRaw,2,FIND(".",_xlpm.cleanRaw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4" t="str">
        <f>_xlfn.LET(_xlpm.raw,_xlfn.XLOOKUP(A654,'Pinlist(S3)'!$C$4:$C$1362,'Pinlist(S3)'!$E$4:$E$1362,""),_xlpm.cleanRaw,SUBSTITUTE(SUBSTITUTE(_xlpm.raw,"_PIN","."),"PIN","."),_xlpm.mainPart,MID(_xlpm.cleanRaw,2,FIND(".",_xlpm.cleanRaw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4" t="str">
        <f>_xlfn.LET(_xlpm.raw,_xlfn.XLOOKUP(A654,'Pinlist(S5)'!$C$4:$C$1362,'Pinlist(S5)'!$E$4:$E$1362,""),_xlpm.cleanRaw,SUBSTITUTE(SUBSTITUTE(_xlpm.raw,"_PIN","."),"PIN","."),_xlpm.mainPart,MID(_xlpm.cleanRaw,2,FIND(".",_xlpm.cleanRaw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4" t="str">
        <f>""</f>
        <v/>
      </c>
      <c r="J654" t="str">
        <f t="shared" si="10"/>
        <v>AC70;VCCGT;;39.978;11.633;;;;</v>
      </c>
    </row>
    <row r="655" spans="1:10">
      <c r="A655" t="s">
        <v>1665</v>
      </c>
      <c r="B655" t="str">
        <f>_xlfn.XLOOKUP(A655,'Pinlist(S1)'!$Q$4:$Q$1362,'Pinlist(S1)'!$R$4:$R$1362,"")</f>
        <v>VCCGT</v>
      </c>
      <c r="C655" t="str" cm="1">
        <f t="array" ref="C655">_xlfn.TEXTJOIN(",",TRUE,_xlfn.UNIQUE(TRANSPOSE(_xlfn.MAP(_xlfn.XLOOKUP(A655,'Pinlist(S1)'!$C$4:$C$1362,'Pinlist(S1)'!$F$4:$K$1362,""),_xlfn.LAMBDA(_xlpm.x,IF(_xlpm.x&lt;&gt;"",TRIM(CLEAN(LEFT(_xlpm.x,FIND(".",_xlpm.x &amp; ".")-1))),""))))))</f>
        <v/>
      </c>
      <c r="D655">
        <v>40.628</v>
      </c>
      <c r="E655">
        <v>11.632999999999999</v>
      </c>
      <c r="F655" t="str">
        <f>_xlfn.LET(_xlpm.raw,_xlfn.XLOOKUP(A655,'Pinlist(S1)'!$C$4:$C$1362,'Pinlist(S1)'!$E$4:$E$1362,""),_xlpm.cleanRaw,SUBSTITUTE(SUBSTITUTE(_xlpm.raw,"_PIN","."),"PIN","."),_xlpm.mainPart,MID(_xlpm.cleanRaw,2,FIND(".",_xlpm.cleanRaw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5" t="str">
        <f>_xlfn.LET(_xlpm.raw,_xlfn.XLOOKUP(A655,'Pinlist(S3)'!$C$4:$C$1362,'Pinlist(S3)'!$E$4:$E$1362,""),_xlpm.cleanRaw,SUBSTITUTE(SUBSTITUTE(_xlpm.raw,"_PIN","."),"PIN","."),_xlpm.mainPart,MID(_xlpm.cleanRaw,2,FIND(".",_xlpm.cleanRaw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5" t="str">
        <f>_xlfn.LET(_xlpm.raw,_xlfn.XLOOKUP(A655,'Pinlist(S5)'!$C$4:$C$1362,'Pinlist(S5)'!$E$4:$E$1362,""),_xlpm.cleanRaw,SUBSTITUTE(SUBSTITUTE(_xlpm.raw,"_PIN","."),"PIN","."),_xlpm.mainPart,MID(_xlpm.cleanRaw,2,FIND(".",_xlpm.cleanRaw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5" t="str">
        <f>""</f>
        <v/>
      </c>
      <c r="J655" t="str">
        <f t="shared" si="10"/>
        <v>AC71;VCCGT;;40.628;11.633;;;;</v>
      </c>
    </row>
    <row r="656" spans="1:10">
      <c r="A656" t="s">
        <v>917</v>
      </c>
      <c r="B656" t="str">
        <f>_xlfn.XLOOKUP(A656,'Pinlist(S1)'!$Q$4:$Q$1362,'Pinlist(S1)'!$R$4:$R$1362,"")</f>
        <v>GPP_C_20_UART2_RXD</v>
      </c>
      <c r="C656" t="str" cm="1">
        <f t="array" ref="C656">_xlfn.TEXTJOIN(",",TRUE,_xlfn.UNIQUE(TRANSPOSE(_xlfn.MAP(_xlfn.XLOOKUP(A656,'Pinlist(S1)'!$C$4:$C$1362,'Pinlist(S1)'!$F$4:$K$1362,""),_xlfn.LAMBDA(_xlpm.x,IF(_xlpm.x&lt;&gt;"",TRIM(CLEAN(LEFT(_xlpm.x,FIND(".",_xlpm.x &amp; ".")-1))),""))))))</f>
        <v/>
      </c>
      <c r="D656">
        <v>0</v>
      </c>
      <c r="E656">
        <v>12.792</v>
      </c>
      <c r="F656" t="str">
        <f>_xlfn.LET(_xlpm.raw,_xlfn.XLOOKUP(A656,'Pinlist(S1)'!$C$4:$C$1362,'Pinlist(S1)'!$E$4:$E$1362,""),_xlpm.cleanRaw,SUBSTITUTE(SUBSTITUTE(_xlpm.raw,"_PIN","."),"PIN","."),_xlpm.mainPart,MID(_xlpm.cleanRaw,2,FIND(".",_xlpm.cleanRaw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505083</v>
      </c>
      <c r="G656" t="str">
        <f>_xlfn.LET(_xlpm.raw,_xlfn.XLOOKUP(A656,'Pinlist(S3)'!$C$4:$C$1362,'Pinlist(S3)'!$E$4:$E$1362,""),_xlpm.cleanRaw,SUBSTITUTE(SUBSTITUTE(_xlpm.raw,"_PIN","."),"PIN","."),_xlpm.mainPart,MID(_xlpm.cleanRaw,2,FIND(".",_xlpm.cleanRaw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808080</v>
      </c>
      <c r="H656" t="str">
        <f>_xlfn.LET(_xlpm.raw,_xlfn.XLOOKUP(A656,'Pinlist(S5)'!$C$4:$C$1362,'Pinlist(S5)'!$E$4:$E$1362,""),_xlpm.cleanRaw,SUBSTITUTE(SUBSTITUTE(_xlpm.raw,"_PIN","."),"PIN","."),_xlpm.mainPart,MID(_xlpm.cleanRaw,2,FIND(".",_xlpm.cleanRaw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603127</v>
      </c>
      <c r="I656" t="str">
        <f>""</f>
        <v/>
      </c>
      <c r="J656" t="str">
        <f t="shared" si="10"/>
        <v>AD1;GPP_C_20_UART2_RXD;;0;12.792;505083;808080;603127;</v>
      </c>
    </row>
    <row r="657" spans="1:10">
      <c r="A657" t="s">
        <v>919</v>
      </c>
      <c r="B657" t="str">
        <f>_xlfn.XLOOKUP(A657,'Pinlist(S1)'!$Q$4:$Q$1362,'Pinlist(S1)'!$R$4:$R$1362,"")</f>
        <v>GPP_C_21_UART2_TXD</v>
      </c>
      <c r="C657" t="str" cm="1">
        <f t="array" ref="C657">_xlfn.TEXTJOIN(",",TRUE,_xlfn.UNIQUE(TRANSPOSE(_xlfn.MAP(_xlfn.XLOOKUP(A657,'Pinlist(S1)'!$C$4:$C$1362,'Pinlist(S1)'!$F$4:$K$1362,""),_xlfn.LAMBDA(_xlpm.x,IF(_xlpm.x&lt;&gt;"",TRIM(CLEAN(LEFT(_xlpm.x,FIND(".",_xlpm.x &amp; ".")-1))),""))))))</f>
        <v/>
      </c>
      <c r="D657">
        <v>0.64999999999999802</v>
      </c>
      <c r="E657">
        <v>12.792</v>
      </c>
      <c r="F657" t="str">
        <f>_xlfn.LET(_xlpm.raw,_xlfn.XLOOKUP(A657,'Pinlist(S1)'!$C$4:$C$1362,'Pinlist(S1)'!$E$4:$E$1362,""),_xlpm.cleanRaw,SUBSTITUTE(SUBSTITUTE(_xlpm.raw,"_PIN","."),"PIN","."),_xlpm.mainPart,MID(_xlpm.cleanRaw,2,FIND(".",_xlpm.cleanRaw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505062</v>
      </c>
      <c r="G657" t="str">
        <f>_xlfn.LET(_xlpm.raw,_xlfn.XLOOKUP(A657,'Pinlist(S3)'!$C$4:$C$1362,'Pinlist(S3)'!$E$4:$E$1362,""),_xlpm.cleanRaw,SUBSTITUTE(SUBSTITUTE(_xlpm.raw,"_PIN","."),"PIN","."),_xlpm.mainPart,MID(_xlpm.cleanRaw,2,FIND(".",_xlpm.cleanRaw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808061</v>
      </c>
      <c r="H657" t="str">
        <f>_xlfn.LET(_xlpm.raw,_xlfn.XLOOKUP(A657,'Pinlist(S5)'!$C$4:$C$1362,'Pinlist(S5)'!$E$4:$E$1362,""),_xlpm.cleanRaw,SUBSTITUTE(SUBSTITUTE(_xlpm.raw,"_PIN","."),"PIN","."),_xlpm.mainPart,MID(_xlpm.cleanRaw,2,FIND(".",_xlpm.cleanRaw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602084</v>
      </c>
      <c r="I657" t="str">
        <f>""</f>
        <v/>
      </c>
      <c r="J657" t="str">
        <f t="shared" si="10"/>
        <v>AD2;GPP_C_21_UART2_TXD;;0.649999999999998;12.792;505062;808061;602084;</v>
      </c>
    </row>
    <row r="658" spans="1:10">
      <c r="A658" t="s">
        <v>921</v>
      </c>
      <c r="B658" t="str">
        <f>_xlfn.XLOOKUP(A658,'Pinlist(S1)'!$Q$4:$Q$1362,'Pinlist(S1)'!$R$4:$R$1362,"")</f>
        <v>GPP_C_22_UART2_RTSB</v>
      </c>
      <c r="C658" t="str" cm="1">
        <f t="array" ref="C658">_xlfn.TEXTJOIN(",",TRUE,_xlfn.UNIQUE(TRANSPOSE(_xlfn.MAP(_xlfn.XLOOKUP(A658,'Pinlist(S1)'!$C$4:$C$1362,'Pinlist(S1)'!$F$4:$K$1362,""),_xlfn.LAMBDA(_xlpm.x,IF(_xlpm.x&lt;&gt;"",TRIM(CLEAN(LEFT(_xlpm.x,FIND(".",_xlpm.x &amp; ".")-1))),""))))))</f>
        <v/>
      </c>
      <c r="D658">
        <v>1.2999999999999901</v>
      </c>
      <c r="E658">
        <v>12.792</v>
      </c>
      <c r="F658" t="str">
        <f>_xlfn.LET(_xlpm.raw,_xlfn.XLOOKUP(A658,'Pinlist(S1)'!$C$4:$C$1362,'Pinlist(S1)'!$E$4:$E$1362,""),_xlpm.cleanRaw,SUBSTITUTE(SUBSTITUTE(_xlpm.raw,"_PIN","."),"PIN","."),_xlpm.mainPart,MID(_xlpm.cleanRaw,2,FIND(".",_xlpm.cleanRaw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509022</v>
      </c>
      <c r="G658" t="str">
        <f>_xlfn.LET(_xlpm.raw,_xlfn.XLOOKUP(A658,'Pinlist(S3)'!$C$4:$C$1362,'Pinlist(S3)'!$E$4:$E$1362,""),_xlpm.cleanRaw,SUBSTITUTE(SUBSTITUTE(_xlpm.raw,"_PIN","."),"PIN","."),_xlpm.mainPart,MID(_xlpm.cleanRaw,2,FIND(".",_xlpm.cleanRaw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805058</v>
      </c>
      <c r="H658" t="str">
        <f>_xlfn.LET(_xlpm.raw,_xlfn.XLOOKUP(A658,'Pinlist(S5)'!$C$4:$C$1362,'Pinlist(S5)'!$E$4:$E$1362,""),_xlpm.cleanRaw,SUBSTITUTE(SUBSTITUTE(_xlpm.raw,"_PIN","."),"PIN","."),_xlpm.mainPart,MID(_xlpm.cleanRaw,2,FIND(".",_xlpm.cleanRaw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702053</v>
      </c>
      <c r="I658" t="str">
        <f>""</f>
        <v/>
      </c>
      <c r="J658" t="str">
        <f t="shared" si="10"/>
        <v>AD3;GPP_C_22_UART2_RTSB;;1.29999999999999;12.792;509022;805058;702053;</v>
      </c>
    </row>
    <row r="659" spans="1:10">
      <c r="A659" t="s">
        <v>923</v>
      </c>
      <c r="B659" t="str">
        <f>_xlfn.XLOOKUP(A659,'Pinlist(S1)'!$Q$4:$Q$1362,'Pinlist(S1)'!$R$4:$R$1362,"")</f>
        <v>GPP_C_23_UART2_CTSB</v>
      </c>
      <c r="C659" t="str" cm="1">
        <f t="array" ref="C659">_xlfn.TEXTJOIN(",",TRUE,_xlfn.UNIQUE(TRANSPOSE(_xlfn.MAP(_xlfn.XLOOKUP(A659,'Pinlist(S1)'!$C$4:$C$1362,'Pinlist(S1)'!$F$4:$K$1362,""),_xlfn.LAMBDA(_xlpm.x,IF(_xlpm.x&lt;&gt;"",TRIM(CLEAN(LEFT(_xlpm.x,FIND(".",_xlpm.x &amp; ".")-1))),""))))))</f>
        <v/>
      </c>
      <c r="D659">
        <v>1.9510000000000001</v>
      </c>
      <c r="E659">
        <v>12.792</v>
      </c>
      <c r="F659" t="str">
        <f>_xlfn.LET(_xlpm.raw,_xlfn.XLOOKUP(A659,'Pinlist(S1)'!$C$4:$C$1362,'Pinlist(S1)'!$E$4:$E$1362,""),_xlpm.cleanRaw,SUBSTITUTE(SUBSTITUTE(_xlpm.raw,"_PIN","."),"PIN","."),_xlpm.mainPart,MID(_xlpm.cleanRaw,2,FIND(".",_xlpm.cleanRaw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507114</v>
      </c>
      <c r="G659" t="str">
        <f>_xlfn.LET(_xlpm.raw,_xlfn.XLOOKUP(A659,'Pinlist(S3)'!$C$4:$C$1362,'Pinlist(S3)'!$E$4:$E$1362,""),_xlpm.cleanRaw,SUBSTITUTE(SUBSTITUTE(_xlpm.raw,"_PIN","."),"PIN","."),_xlpm.mainPart,MID(_xlpm.cleanRaw,2,FIND(".",_xlpm.cleanRaw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806104</v>
      </c>
      <c r="H659" t="str">
        <f>_xlfn.LET(_xlpm.raw,_xlfn.XLOOKUP(A659,'Pinlist(S5)'!$C$4:$C$1362,'Pinlist(S5)'!$E$4:$E$1362,""),_xlpm.cleanRaw,SUBSTITUTE(SUBSTITUTE(_xlpm.raw,"_PIN","."),"PIN","."),_xlpm.mainPart,MID(_xlpm.cleanRaw,2,FIND(".",_xlpm.cleanRaw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701100</v>
      </c>
      <c r="I659" t="str">
        <f>""</f>
        <v/>
      </c>
      <c r="J659" t="str">
        <f t="shared" si="10"/>
        <v>AD4;GPP_C_23_UART2_CTSB;;1.951;12.792;507114;806104;701100;</v>
      </c>
    </row>
    <row r="660" spans="1:10">
      <c r="A660" t="s">
        <v>1458</v>
      </c>
      <c r="B660" t="str">
        <f>_xlfn.XLOOKUP(A660,'Pinlist(S1)'!$Q$4:$Q$1362,'Pinlist(S1)'!$R$4:$R$1362,"")</f>
        <v>USB2N_2</v>
      </c>
      <c r="C660" t="str" cm="1">
        <f t="array" ref="C660">_xlfn.TEXTJOIN(",",TRUE,_xlfn.UNIQUE(TRANSPOSE(_xlfn.MAP(_xlfn.XLOOKUP(A660,'Pinlist(S1)'!$C$4:$C$1362,'Pinlist(S1)'!$F$4:$K$1362,""),_xlfn.LAMBDA(_xlpm.x,IF(_xlpm.x&lt;&gt;"",TRIM(CLEAN(LEFT(_xlpm.x,FIND(".",_xlpm.x &amp; ".")-1))),""))))))</f>
        <v>KA112,KA117</v>
      </c>
      <c r="D660">
        <v>2.7289999999999899</v>
      </c>
      <c r="E660">
        <v>12.247999999999999</v>
      </c>
      <c r="F660" t="str">
        <f>_xlfn.LET(_xlpm.raw,_xlfn.XLOOKUP(A660,'Pinlist(S1)'!$C$4:$C$1362,'Pinlist(S1)'!$E$4:$E$1362,""),_xlpm.cleanRaw,SUBSTITUTE(SUBSTITUTE(_xlpm.raw,"_PIN","."),"PIN","."),_xlpm.mainPart,MID(_xlpm.cleanRaw,2,FIND(".",_xlpm.cleanRaw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660" t="str">
        <f>_xlfn.LET(_xlpm.raw,_xlfn.XLOOKUP(A660,'Pinlist(S3)'!$C$4:$C$1362,'Pinlist(S3)'!$E$4:$E$1362,""),_xlpm.cleanRaw,SUBSTITUTE(SUBSTITUTE(_xlpm.raw,"_PIN","."),"PIN","."),_xlpm.mainPart,MID(_xlpm.cleanRaw,2,FIND(".",_xlpm.cleanRaw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660" t="str">
        <f>_xlfn.LET(_xlpm.raw,_xlfn.XLOOKUP(A660,'Pinlist(S5)'!$C$4:$C$1362,'Pinlist(S5)'!$E$4:$E$1362,""),_xlpm.cleanRaw,SUBSTITUTE(SUBSTITUTE(_xlpm.raw,"_PIN","."),"PIN","."),_xlpm.mainPart,MID(_xlpm.cleanRaw,2,FIND(".",_xlpm.cleanRaw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660" t="str">
        <f>""</f>
        <v/>
      </c>
      <c r="J660" t="str">
        <f t="shared" si="10"/>
        <v>AD6;USB2N_2;KA112,KA117;2.72899999999999;12.248;507105;809120;603118;</v>
      </c>
    </row>
    <row r="661" spans="1:10">
      <c r="A661" t="s">
        <v>1478</v>
      </c>
      <c r="B661" t="str">
        <f>_xlfn.XLOOKUP(A661,'Pinlist(S1)'!$Q$4:$Q$1362,'Pinlist(S1)'!$R$4:$R$1362,"")</f>
        <v>USB2P_2</v>
      </c>
      <c r="C661" t="str" cm="1">
        <f t="array" ref="C661">_xlfn.TEXTJOIN(",",TRUE,_xlfn.UNIQUE(TRANSPOSE(_xlfn.MAP(_xlfn.XLOOKUP(A661,'Pinlist(S1)'!$C$4:$C$1362,'Pinlist(S1)'!$F$4:$K$1362,""),_xlfn.LAMBDA(_xlpm.x,IF(_xlpm.x&lt;&gt;"",TRIM(CLEAN(LEFT(_xlpm.x,FIND(".",_xlpm.x &amp; ".")-1))),""))))))</f>
        <v>KA112,KA118</v>
      </c>
      <c r="D661">
        <v>3.379</v>
      </c>
      <c r="E661">
        <v>12.247999999999999</v>
      </c>
      <c r="F661" t="str">
        <f>_xlfn.LET(_xlpm.raw,_xlfn.XLOOKUP(A661,'Pinlist(S1)'!$C$4:$C$1362,'Pinlist(S1)'!$E$4:$E$1362,""),_xlpm.cleanRaw,SUBSTITUTE(SUBSTITUTE(_xlpm.raw,"_PIN","."),"PIN","."),_xlpm.mainPart,MID(_xlpm.cleanRaw,2,FIND(".",_xlpm.cleanRaw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661" t="str">
        <f>_xlfn.LET(_xlpm.raw,_xlfn.XLOOKUP(A661,'Pinlist(S3)'!$C$4:$C$1362,'Pinlist(S3)'!$E$4:$E$1362,""),_xlpm.cleanRaw,SUBSTITUTE(SUBSTITUTE(_xlpm.raw,"_PIN","."),"PIN","."),_xlpm.mainPart,MID(_xlpm.cleanRaw,2,FIND(".",_xlpm.cleanRaw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661" t="str">
        <f>_xlfn.LET(_xlpm.raw,_xlfn.XLOOKUP(A661,'Pinlist(S5)'!$C$4:$C$1362,'Pinlist(S5)'!$E$4:$E$1362,""),_xlpm.cleanRaw,SUBSTITUTE(SUBSTITUTE(_xlpm.raw,"_PIN","."),"PIN","."),_xlpm.mainPart,MID(_xlpm.cleanRaw,2,FIND(".",_xlpm.cleanRaw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661" t="str">
        <f>""</f>
        <v/>
      </c>
      <c r="J661" t="str">
        <f t="shared" si="10"/>
        <v>AD7;USB2P_2;KA112,KA118;3.379;12.248;507106;809122;603117;</v>
      </c>
    </row>
    <row r="662" spans="1:10">
      <c r="A662" t="s">
        <v>1902</v>
      </c>
      <c r="B662" t="str">
        <f>_xlfn.XLOOKUP(A662,'Pinlist(S1)'!$Q$4:$Q$1362,'Pinlist(S1)'!$R$4:$R$1362,"")</f>
        <v>VSS</v>
      </c>
      <c r="C662" t="str" cm="1">
        <f t="array" ref="C662">_xlfn.TEXTJOIN(",",TRUE,_xlfn.UNIQUE(TRANSPOSE(_xlfn.MAP(_xlfn.XLOOKUP(A662,'Pinlist(S1)'!$C$4:$C$1362,'Pinlist(S1)'!$F$4:$K$1362,""),_xlfn.LAMBDA(_xlpm.x,IF(_xlpm.x&lt;&gt;"",TRIM(CLEAN(LEFT(_xlpm.x,FIND(".",_xlpm.x &amp; ".")-1))),""))))))</f>
        <v/>
      </c>
      <c r="D662">
        <v>4.0289999999999901</v>
      </c>
      <c r="E662">
        <v>12.247999999999999</v>
      </c>
      <c r="F662" t="str">
        <f>_xlfn.LET(_xlpm.raw,_xlfn.XLOOKUP(A662,'Pinlist(S1)'!$C$4:$C$1362,'Pinlist(S1)'!$E$4:$E$1362,""),_xlpm.cleanRaw,SUBSTITUTE(SUBSTITUTE(_xlpm.raw,"_PIN","."),"PIN","."),_xlpm.mainPart,MID(_xlpm.cleanRaw,2,FIND(".",_xlpm.cleanRaw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2" t="str">
        <f>_xlfn.LET(_xlpm.raw,_xlfn.XLOOKUP(A662,'Pinlist(S3)'!$C$4:$C$1362,'Pinlist(S3)'!$E$4:$E$1362,""),_xlpm.cleanRaw,SUBSTITUTE(SUBSTITUTE(_xlpm.raw,"_PIN","."),"PIN","."),_xlpm.mainPart,MID(_xlpm.cleanRaw,2,FIND(".",_xlpm.cleanRaw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2" t="str">
        <f>_xlfn.LET(_xlpm.raw,_xlfn.XLOOKUP(A662,'Pinlist(S5)'!$C$4:$C$1362,'Pinlist(S5)'!$E$4:$E$1362,""),_xlpm.cleanRaw,SUBSTITUTE(SUBSTITUTE(_xlpm.raw,"_PIN","."),"PIN","."),_xlpm.mainPart,MID(_xlpm.cleanRaw,2,FIND(".",_xlpm.cleanRaw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2" t="str">
        <f>""</f>
        <v/>
      </c>
      <c r="J662" t="str">
        <f t="shared" si="10"/>
        <v>AD8;VSS;;4.02899999999999;12.248;;;;</v>
      </c>
    </row>
    <row r="663" spans="1:10">
      <c r="A663" t="s">
        <v>1462</v>
      </c>
      <c r="B663" t="str">
        <f>_xlfn.XLOOKUP(A663,'Pinlist(S1)'!$Q$4:$Q$1362,'Pinlist(S1)'!$R$4:$R$1362,"")</f>
        <v>USB2N_4</v>
      </c>
      <c r="C663" t="str" cm="1">
        <f t="array" ref="C663">_xlfn.TEXTJOIN(",",TRUE,_xlfn.UNIQUE(TRANSPOSE(_xlfn.MAP(_xlfn.XLOOKUP(A663,'Pinlist(S1)'!$C$4:$C$1362,'Pinlist(S1)'!$F$4:$K$1362,""),_xlfn.LAMBDA(_xlpm.x,IF(_xlpm.x&lt;&gt;"",TRIM(CLEAN(LEFT(_xlpm.x,FIND(".",_xlpm.x &amp; ".")-1))),""))))))</f>
        <v>KA113,KA117</v>
      </c>
      <c r="D663">
        <v>4.6790000000000003</v>
      </c>
      <c r="E663">
        <v>12.247999999999999</v>
      </c>
      <c r="F663" t="str">
        <f>_xlfn.LET(_xlpm.raw,_xlfn.XLOOKUP(A663,'Pinlist(S1)'!$C$4:$C$1362,'Pinlist(S1)'!$E$4:$E$1362,""),_xlpm.cleanRaw,SUBSTITUTE(SUBSTITUTE(_xlpm.raw,"_PIN","."),"PIN","."),_xlpm.mainPart,MID(_xlpm.cleanRaw,2,FIND(".",_xlpm.cleanRaw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663" t="str">
        <f>_xlfn.LET(_xlpm.raw,_xlfn.XLOOKUP(A663,'Pinlist(S3)'!$C$4:$C$1362,'Pinlist(S3)'!$E$4:$E$1362,""),_xlpm.cleanRaw,SUBSTITUTE(SUBSTITUTE(_xlpm.raw,"_PIN","."),"PIN","."),_xlpm.mainPart,MID(_xlpm.cleanRaw,2,FIND(".",_xlpm.cleanRaw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663" t="str">
        <f>_xlfn.LET(_xlpm.raw,_xlfn.XLOOKUP(A663,'Pinlist(S5)'!$C$4:$C$1362,'Pinlist(S5)'!$E$4:$E$1362,""),_xlpm.cleanRaw,SUBSTITUTE(SUBSTITUTE(_xlpm.raw,"_PIN","."),"PIN","."),_xlpm.mainPart,MID(_xlpm.cleanRaw,2,FIND(".",_xlpm.cleanRaw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663" t="str">
        <f>""</f>
        <v/>
      </c>
      <c r="J663" t="str">
        <f t="shared" si="10"/>
        <v>AD9;USB2N_4;KA113,KA117;4.679;12.248;507122;809119;603109;</v>
      </c>
    </row>
    <row r="664" spans="1:10">
      <c r="A664" t="s">
        <v>1482</v>
      </c>
      <c r="B664" t="str">
        <f>_xlfn.XLOOKUP(A664,'Pinlist(S1)'!$Q$4:$Q$1362,'Pinlist(S1)'!$R$4:$R$1362,"")</f>
        <v>USB2P_4</v>
      </c>
      <c r="C664" t="str" cm="1">
        <f t="array" ref="C664">_xlfn.TEXTJOIN(",",TRUE,_xlfn.UNIQUE(TRANSPOSE(_xlfn.MAP(_xlfn.XLOOKUP(A664,'Pinlist(S1)'!$C$4:$C$1362,'Pinlist(S1)'!$F$4:$K$1362,""),_xlfn.LAMBDA(_xlpm.x,IF(_xlpm.x&lt;&gt;"",TRIM(CLEAN(LEFT(_xlpm.x,FIND(".",_xlpm.x &amp; ".")-1))),""))))))</f>
        <v>KA113,KA119</v>
      </c>
      <c r="D664">
        <v>5.3289999999999997</v>
      </c>
      <c r="E664">
        <v>12.247999999999999</v>
      </c>
      <c r="F664" t="str">
        <f>_xlfn.LET(_xlpm.raw,_xlfn.XLOOKUP(A664,'Pinlist(S1)'!$C$4:$C$1362,'Pinlist(S1)'!$E$4:$E$1362,""),_xlpm.cleanRaw,SUBSTITUTE(SUBSTITUTE(_xlpm.raw,"_PIN","."),"PIN","."),_xlpm.mainPart,MID(_xlpm.cleanRaw,2,FIND(".",_xlpm.cleanRaw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664" t="str">
        <f>_xlfn.LET(_xlpm.raw,_xlfn.XLOOKUP(A664,'Pinlist(S3)'!$C$4:$C$1362,'Pinlist(S3)'!$E$4:$E$1362,""),_xlpm.cleanRaw,SUBSTITUTE(SUBSTITUTE(_xlpm.raw,"_PIN","."),"PIN","."),_xlpm.mainPart,MID(_xlpm.cleanRaw,2,FIND(".",_xlpm.cleanRaw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664" t="str">
        <f>_xlfn.LET(_xlpm.raw,_xlfn.XLOOKUP(A664,'Pinlist(S5)'!$C$4:$C$1362,'Pinlist(S5)'!$E$4:$E$1362,""),_xlpm.cleanRaw,SUBSTITUTE(SUBSTITUTE(_xlpm.raw,"_PIN","."),"PIN","."),_xlpm.mainPart,MID(_xlpm.cleanRaw,2,FIND(".",_xlpm.cleanRaw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664" t="str">
        <f>""</f>
        <v/>
      </c>
      <c r="J664" t="str">
        <f t="shared" si="10"/>
        <v>AD10;USB2P_4;KA113,KA119;5.329;12.248;507124;809121;603110;</v>
      </c>
    </row>
    <row r="665" spans="1:10">
      <c r="A665" t="s">
        <v>1042</v>
      </c>
      <c r="B665" t="str">
        <f>_xlfn.XLOOKUP(A665,'Pinlist(S1)'!$Q$4:$Q$1362,'Pinlist(S1)'!$R$4:$R$1362,"")</f>
        <v>GPP_F_10_I2C5_SDA_ISH_I2C2_SDA</v>
      </c>
      <c r="C665" t="str" cm="1">
        <f t="array" ref="C665">_xlfn.TEXTJOIN(",",TRUE,_xlfn.UNIQUE(TRANSPOSE(_xlfn.MAP(_xlfn.XLOOKUP(A665,'Pinlist(S1)'!$C$4:$C$1362,'Pinlist(S1)'!$F$4:$K$1362,""),_xlfn.LAMBDA(_xlpm.x,IF(_xlpm.x&lt;&gt;"",TRIM(CLEAN(LEFT(_xlpm.x,FIND(".",_xlpm.x &amp; ".")-1))),""))))))</f>
        <v/>
      </c>
      <c r="D665">
        <v>5.98</v>
      </c>
      <c r="E665">
        <v>12.247999999999999</v>
      </c>
      <c r="F665" t="str">
        <f>_xlfn.LET(_xlpm.raw,_xlfn.XLOOKUP(A665,'Pinlist(S1)'!$C$4:$C$1362,'Pinlist(S1)'!$E$4:$E$1362,""),_xlpm.cleanRaw,SUBSTITUTE(SUBSTITUTE(_xlpm.raw,"_PIN","."),"PIN","."),_xlpm.mainPart,MID(_xlpm.cleanRaw,2,FIND(".",_xlpm.cleanRaw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665" t="str">
        <f>_xlfn.LET(_xlpm.raw,_xlfn.XLOOKUP(A665,'Pinlist(S3)'!$C$4:$C$1362,'Pinlist(S3)'!$E$4:$E$1362,""),_xlpm.cleanRaw,SUBSTITUTE(SUBSTITUTE(_xlpm.raw,"_PIN","."),"PIN","."),_xlpm.mainPart,MID(_xlpm.cleanRaw,2,FIND(".",_xlpm.cleanRaw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665" t="str">
        <f>_xlfn.LET(_xlpm.raw,_xlfn.XLOOKUP(A665,'Pinlist(S5)'!$C$4:$C$1362,'Pinlist(S5)'!$E$4:$E$1362,""),_xlpm.cleanRaw,SUBSTITUTE(SUBSTITUTE(_xlpm.raw,"_PIN","."),"PIN","."),_xlpm.mainPart,MID(_xlpm.cleanRaw,2,FIND(".",_xlpm.cleanRaw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665" t="str">
        <f>""</f>
        <v/>
      </c>
      <c r="J665" t="str">
        <f t="shared" si="10"/>
        <v>AD11;GPP_F_10_I2C5_SDA_ISH_I2C2_SDA;;5.98;12.248;506015;806088;601009;</v>
      </c>
    </row>
    <row r="666" spans="1:10">
      <c r="A666" t="s">
        <v>1045</v>
      </c>
      <c r="B666" t="str">
        <f>_xlfn.XLOOKUP(A666,'Pinlist(S1)'!$Q$4:$Q$1362,'Pinlist(S1)'!$R$4:$R$1362,"")</f>
        <v>GPP_F_11_I2C5_SCL_ISH_I2C2_SCL</v>
      </c>
      <c r="C666" t="str" cm="1">
        <f t="array" ref="C666">_xlfn.TEXTJOIN(",",TRUE,_xlfn.UNIQUE(TRANSPOSE(_xlfn.MAP(_xlfn.XLOOKUP(A666,'Pinlist(S1)'!$C$4:$C$1362,'Pinlist(S1)'!$F$4:$K$1362,""),_xlfn.LAMBDA(_xlpm.x,IF(_xlpm.x&lt;&gt;"",TRIM(CLEAN(LEFT(_xlpm.x,FIND(".",_xlpm.x &amp; ".")-1))),""))))))</f>
        <v/>
      </c>
      <c r="D666">
        <v>6.63</v>
      </c>
      <c r="E666">
        <v>12.247999999999999</v>
      </c>
      <c r="F666" t="str">
        <f>_xlfn.LET(_xlpm.raw,_xlfn.XLOOKUP(A666,'Pinlist(S1)'!$C$4:$C$1362,'Pinlist(S1)'!$E$4:$E$1362,""),_xlpm.cleanRaw,SUBSTITUTE(SUBSTITUTE(_xlpm.raw,"_PIN","."),"PIN","."),_xlpm.mainPart,MID(_xlpm.cleanRaw,2,FIND(".",_xlpm.cleanRaw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666" t="str">
        <f>_xlfn.LET(_xlpm.raw,_xlfn.XLOOKUP(A666,'Pinlist(S3)'!$C$4:$C$1362,'Pinlist(S3)'!$E$4:$E$1362,""),_xlpm.cleanRaw,SUBSTITUTE(SUBSTITUTE(_xlpm.raw,"_PIN","."),"PIN","."),_xlpm.mainPart,MID(_xlpm.cleanRaw,2,FIND(".",_xlpm.cleanRaw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666" t="str">
        <f>_xlfn.LET(_xlpm.raw,_xlfn.XLOOKUP(A666,'Pinlist(S5)'!$C$4:$C$1362,'Pinlist(S5)'!$E$4:$E$1362,""),_xlpm.cleanRaw,SUBSTITUTE(SUBSTITUTE(_xlpm.raw,"_PIN","."),"PIN","."),_xlpm.mainPart,MID(_xlpm.cleanRaw,2,FIND(".",_xlpm.cleanRaw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666" t="str">
        <f>""</f>
        <v/>
      </c>
      <c r="J666" t="str">
        <f t="shared" si="10"/>
        <v>AD12;GPP_F_11_I2C5_SCL_ISH_I2C2_SCL;;6.63;12.248;507093;807013;701105;</v>
      </c>
    </row>
    <row r="667" spans="1:10">
      <c r="A667" t="s">
        <v>1896</v>
      </c>
      <c r="B667" t="str">
        <f>_xlfn.XLOOKUP(A667,'Pinlist(S1)'!$Q$4:$Q$1362,'Pinlist(S1)'!$R$4:$R$1362,"")</f>
        <v>VSS</v>
      </c>
      <c r="C667" t="str" cm="1">
        <f t="array" ref="C667">_xlfn.TEXTJOIN(",",TRUE,_xlfn.UNIQUE(TRANSPOSE(_xlfn.MAP(_xlfn.XLOOKUP(A667,'Pinlist(S1)'!$C$4:$C$1362,'Pinlist(S1)'!$F$4:$K$1362,""),_xlfn.LAMBDA(_xlpm.x,IF(_xlpm.x&lt;&gt;"",TRIM(CLEAN(LEFT(_xlpm.x,FIND(".",_xlpm.x &amp; ".")-1))),""))))))</f>
        <v/>
      </c>
      <c r="D667">
        <v>7.28</v>
      </c>
      <c r="E667">
        <v>12.247999999999999</v>
      </c>
      <c r="F667" t="str">
        <f>_xlfn.LET(_xlpm.raw,_xlfn.XLOOKUP(A667,'Pinlist(S1)'!$C$4:$C$1362,'Pinlist(S1)'!$E$4:$E$1362,""),_xlpm.cleanRaw,SUBSTITUTE(SUBSTITUTE(_xlpm.raw,"_PIN","."),"PIN","."),_xlpm.mainPart,MID(_xlpm.cleanRaw,2,FIND(".",_xlpm.cleanRaw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7" t="str">
        <f>_xlfn.LET(_xlpm.raw,_xlfn.XLOOKUP(A667,'Pinlist(S3)'!$C$4:$C$1362,'Pinlist(S3)'!$E$4:$E$1362,""),_xlpm.cleanRaw,SUBSTITUTE(SUBSTITUTE(_xlpm.raw,"_PIN","."),"PIN","."),_xlpm.mainPart,MID(_xlpm.cleanRaw,2,FIND(".",_xlpm.cleanRaw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7" t="str">
        <f>_xlfn.LET(_xlpm.raw,_xlfn.XLOOKUP(A667,'Pinlist(S5)'!$C$4:$C$1362,'Pinlist(S5)'!$E$4:$E$1362,""),_xlpm.cleanRaw,SUBSTITUTE(SUBSTITUTE(_xlpm.raw,"_PIN","."),"PIN","."),_xlpm.mainPart,MID(_xlpm.cleanRaw,2,FIND(".",_xlpm.cleanRaw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7" t="str">
        <f>""</f>
        <v/>
      </c>
      <c r="J667" t="str">
        <f t="shared" si="10"/>
        <v>AD13;VSS;;7.28;12.248;;;;</v>
      </c>
    </row>
    <row r="668" spans="1:10">
      <c r="A668" t="s">
        <v>1810</v>
      </c>
      <c r="B668" t="str">
        <f>_xlfn.XLOOKUP(A668,'Pinlist(S1)'!$Q$4:$Q$1362,'Pinlist(S1)'!$R$4:$R$1362,"")</f>
        <v>VCCPGPPG</v>
      </c>
      <c r="C668" t="str" cm="1">
        <f t="array" ref="C668">_xlfn.TEXTJOIN(",",TRUE,_xlfn.UNIQUE(TRANSPOSE(_xlfn.MAP(_xlfn.XLOOKUP(A668,'Pinlist(S1)'!$C$4:$C$1362,'Pinlist(S1)'!$F$4:$K$1362,""),_xlfn.LAMBDA(_xlpm.x,IF(_xlpm.x&lt;&gt;"",TRIM(CLEAN(LEFT(_xlpm.x,FIND(".",_xlpm.x &amp; ".")-1))),""))))))</f>
        <v/>
      </c>
      <c r="D668">
        <v>8.1259999999999906</v>
      </c>
      <c r="E668">
        <v>12.143000000000001</v>
      </c>
      <c r="F668" t="str">
        <f>_xlfn.LET(_xlpm.raw,_xlfn.XLOOKUP(A668,'Pinlist(S1)'!$C$4:$C$1362,'Pinlist(S1)'!$E$4:$E$1362,""),_xlpm.cleanRaw,SUBSTITUTE(SUBSTITUTE(_xlpm.raw,"_PIN","."),"PIN","."),_xlpm.mainPart,MID(_xlpm.cleanRaw,2,FIND(".",_xlpm.cleanRaw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8" t="str">
        <f>_xlfn.LET(_xlpm.raw,_xlfn.XLOOKUP(A668,'Pinlist(S3)'!$C$4:$C$1362,'Pinlist(S3)'!$E$4:$E$1362,""),_xlpm.cleanRaw,SUBSTITUTE(SUBSTITUTE(_xlpm.raw,"_PIN","."),"PIN","."),_xlpm.mainPart,MID(_xlpm.cleanRaw,2,FIND(".",_xlpm.cleanRaw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8" t="str">
        <f>_xlfn.LET(_xlpm.raw,_xlfn.XLOOKUP(A668,'Pinlist(S5)'!$C$4:$C$1362,'Pinlist(S5)'!$E$4:$E$1362,""),_xlpm.cleanRaw,SUBSTITUTE(SUBSTITUTE(_xlpm.raw,"_PIN","."),"PIN","."),_xlpm.mainPart,MID(_xlpm.cleanRaw,2,FIND(".",_xlpm.cleanRaw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8" t="str">
        <f>""</f>
        <v/>
      </c>
      <c r="J668" t="str">
        <f t="shared" si="10"/>
        <v>AD15;VCCPGPPG;;8.12599999999999;12.143;;;;</v>
      </c>
    </row>
    <row r="669" spans="1:10">
      <c r="A669" t="s">
        <v>1897</v>
      </c>
      <c r="B669" t="str">
        <f>_xlfn.XLOOKUP(A669,'Pinlist(S1)'!$Q$4:$Q$1362,'Pinlist(S1)'!$R$4:$R$1362,"")</f>
        <v>VSS</v>
      </c>
      <c r="C669" t="str" cm="1">
        <f t="array" ref="C669">_xlfn.TEXTJOIN(",",TRUE,_xlfn.UNIQUE(TRANSPOSE(_xlfn.MAP(_xlfn.XLOOKUP(A669,'Pinlist(S1)'!$C$4:$C$1362,'Pinlist(S1)'!$F$4:$K$1362,""),_xlfn.LAMBDA(_xlpm.x,IF(_xlpm.x&lt;&gt;"",TRIM(CLEAN(LEFT(_xlpm.x,FIND(".",_xlpm.x &amp; ".")-1))),""))))))</f>
        <v/>
      </c>
      <c r="D669">
        <v>8.7759999999999998</v>
      </c>
      <c r="E669">
        <v>12.143000000000001</v>
      </c>
      <c r="F669" t="str">
        <f>_xlfn.LET(_xlpm.raw,_xlfn.XLOOKUP(A669,'Pinlist(S1)'!$C$4:$C$1362,'Pinlist(S1)'!$E$4:$E$1362,""),_xlpm.cleanRaw,SUBSTITUTE(SUBSTITUTE(_xlpm.raw,"_PIN","."),"PIN","."),_xlpm.mainPart,MID(_xlpm.cleanRaw,2,FIND(".",_xlpm.cleanRaw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9" t="str">
        <f>_xlfn.LET(_xlpm.raw,_xlfn.XLOOKUP(A669,'Pinlist(S3)'!$C$4:$C$1362,'Pinlist(S3)'!$E$4:$E$1362,""),_xlpm.cleanRaw,SUBSTITUTE(SUBSTITUTE(_xlpm.raw,"_PIN","."),"PIN","."),_xlpm.mainPart,MID(_xlpm.cleanRaw,2,FIND(".",_xlpm.cleanRaw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9" t="str">
        <f>_xlfn.LET(_xlpm.raw,_xlfn.XLOOKUP(A669,'Pinlist(S5)'!$C$4:$C$1362,'Pinlist(S5)'!$E$4:$E$1362,""),_xlpm.cleanRaw,SUBSTITUTE(SUBSTITUTE(_xlpm.raw,"_PIN","."),"PIN","."),_xlpm.mainPart,MID(_xlpm.cleanRaw,2,FIND(".",_xlpm.cleanRaw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9" t="str">
        <f>""</f>
        <v/>
      </c>
      <c r="J669" t="str">
        <f t="shared" si="10"/>
        <v>AD16;VSS;;8.776;12.143;;;;</v>
      </c>
    </row>
    <row r="670" spans="1:10">
      <c r="A670" t="s">
        <v>1788</v>
      </c>
      <c r="B670" t="str">
        <f>_xlfn.XLOOKUP(A670,'Pinlist(S1)'!$Q$4:$Q$1362,'Pinlist(S1)'!$R$4:$R$1362,"")</f>
        <v>VCCPDSW_3P3</v>
      </c>
      <c r="C670" t="str" cm="1">
        <f t="array" ref="C670">_xlfn.TEXTJOIN(",",TRUE,_xlfn.UNIQUE(TRANSPOSE(_xlfn.MAP(_xlfn.XLOOKUP(A670,'Pinlist(S1)'!$C$4:$C$1362,'Pinlist(S1)'!$F$4:$K$1362,""),_xlfn.LAMBDA(_xlpm.x,IF(_xlpm.x&lt;&gt;"",TRIM(CLEAN(LEFT(_xlpm.x,FIND(".",_xlpm.x &amp; ".")-1))),""))))))</f>
        <v/>
      </c>
      <c r="D670">
        <v>9.4260000000000002</v>
      </c>
      <c r="E670">
        <v>12.143000000000001</v>
      </c>
      <c r="F670" t="str">
        <f>_xlfn.LET(_xlpm.raw,_xlfn.XLOOKUP(A670,'Pinlist(S1)'!$C$4:$C$1362,'Pinlist(S1)'!$E$4:$E$1362,""),_xlpm.cleanRaw,SUBSTITUTE(SUBSTITUTE(_xlpm.raw,"_PIN","."),"PIN","."),_xlpm.mainPart,MID(_xlpm.cleanRaw,2,FIND(".",_xlpm.cleanRaw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0" t="str">
        <f>_xlfn.LET(_xlpm.raw,_xlfn.XLOOKUP(A670,'Pinlist(S3)'!$C$4:$C$1362,'Pinlist(S3)'!$E$4:$E$1362,""),_xlpm.cleanRaw,SUBSTITUTE(SUBSTITUTE(_xlpm.raw,"_PIN","."),"PIN","."),_xlpm.mainPart,MID(_xlpm.cleanRaw,2,FIND(".",_xlpm.cleanRaw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0" t="str">
        <f>_xlfn.LET(_xlpm.raw,_xlfn.XLOOKUP(A670,'Pinlist(S5)'!$C$4:$C$1362,'Pinlist(S5)'!$E$4:$E$1362,""),_xlpm.cleanRaw,SUBSTITUTE(SUBSTITUTE(_xlpm.raw,"_PIN","."),"PIN","."),_xlpm.mainPart,MID(_xlpm.cleanRaw,2,FIND(".",_xlpm.cleanRaw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0" t="str">
        <f>""</f>
        <v/>
      </c>
      <c r="J670" t="str">
        <f t="shared" si="10"/>
        <v>AD17;VCCPDSW_3P3;;9.426;12.143;;;;</v>
      </c>
    </row>
    <row r="671" spans="1:10">
      <c r="A671" t="s">
        <v>1791</v>
      </c>
      <c r="B671" t="str">
        <f>_xlfn.XLOOKUP(A671,'Pinlist(S1)'!$Q$4:$Q$1362,'Pinlist(S1)'!$R$4:$R$1362,"")</f>
        <v>VCCPDSW_3P3</v>
      </c>
      <c r="C671" t="str" cm="1">
        <f t="array" ref="C671">_xlfn.TEXTJOIN(",",TRUE,_xlfn.UNIQUE(TRANSPOSE(_xlfn.MAP(_xlfn.XLOOKUP(A671,'Pinlist(S1)'!$C$4:$C$1362,'Pinlist(S1)'!$F$4:$K$1362,""),_xlfn.LAMBDA(_xlpm.x,IF(_xlpm.x&lt;&gt;"",TRIM(CLEAN(LEFT(_xlpm.x,FIND(".",_xlpm.x &amp; ".")-1))),""))))))</f>
        <v/>
      </c>
      <c r="D671">
        <v>10.076000000000001</v>
      </c>
      <c r="E671">
        <v>12.143000000000001</v>
      </c>
      <c r="F671" t="str">
        <f>_xlfn.LET(_xlpm.raw,_xlfn.XLOOKUP(A671,'Pinlist(S1)'!$C$4:$C$1362,'Pinlist(S1)'!$E$4:$E$1362,""),_xlpm.cleanRaw,SUBSTITUTE(SUBSTITUTE(_xlpm.raw,"_PIN","."),"PIN","."),_xlpm.mainPart,MID(_xlpm.cleanRaw,2,FIND(".",_xlpm.cleanRaw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1" t="str">
        <f>_xlfn.LET(_xlpm.raw,_xlfn.XLOOKUP(A671,'Pinlist(S3)'!$C$4:$C$1362,'Pinlist(S3)'!$E$4:$E$1362,""),_xlpm.cleanRaw,SUBSTITUTE(SUBSTITUTE(_xlpm.raw,"_PIN","."),"PIN","."),_xlpm.mainPart,MID(_xlpm.cleanRaw,2,FIND(".",_xlpm.cleanRaw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1" t="str">
        <f>_xlfn.LET(_xlpm.raw,_xlfn.XLOOKUP(A671,'Pinlist(S5)'!$C$4:$C$1362,'Pinlist(S5)'!$E$4:$E$1362,""),_xlpm.cleanRaw,SUBSTITUTE(SUBSTITUTE(_xlpm.raw,"_PIN","."),"PIN","."),_xlpm.mainPart,MID(_xlpm.cleanRaw,2,FIND(".",_xlpm.cleanRaw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1" t="str">
        <f>""</f>
        <v/>
      </c>
      <c r="J671" t="str">
        <f t="shared" si="10"/>
        <v>AD18;VCCPDSW_3P3;;10.076;12.143;;;;</v>
      </c>
    </row>
    <row r="672" spans="1:10">
      <c r="A672" t="s">
        <v>1898</v>
      </c>
      <c r="B672" t="str">
        <f>_xlfn.XLOOKUP(A672,'Pinlist(S1)'!$Q$4:$Q$1362,'Pinlist(S1)'!$R$4:$R$1362,"")</f>
        <v>VSS</v>
      </c>
      <c r="C672" t="str" cm="1">
        <f t="array" ref="C672">_xlfn.TEXTJOIN(",",TRUE,_xlfn.UNIQUE(TRANSPOSE(_xlfn.MAP(_xlfn.XLOOKUP(A672,'Pinlist(S1)'!$C$4:$C$1362,'Pinlist(S1)'!$F$4:$K$1362,""),_xlfn.LAMBDA(_xlpm.x,IF(_xlpm.x&lt;&gt;"",TRIM(CLEAN(LEFT(_xlpm.x,FIND(".",_xlpm.x &amp; ".")-1))),""))))))</f>
        <v/>
      </c>
      <c r="D672">
        <v>10.727</v>
      </c>
      <c r="E672">
        <v>12.143000000000001</v>
      </c>
      <c r="F672" t="str">
        <f>_xlfn.LET(_xlpm.raw,_xlfn.XLOOKUP(A672,'Pinlist(S1)'!$C$4:$C$1362,'Pinlist(S1)'!$E$4:$E$1362,""),_xlpm.cleanRaw,SUBSTITUTE(SUBSTITUTE(_xlpm.raw,"_PIN","."),"PIN","."),_xlpm.mainPart,MID(_xlpm.cleanRaw,2,FIND(".",_xlpm.cleanRaw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2" t="str">
        <f>_xlfn.LET(_xlpm.raw,_xlfn.XLOOKUP(A672,'Pinlist(S3)'!$C$4:$C$1362,'Pinlist(S3)'!$E$4:$E$1362,""),_xlpm.cleanRaw,SUBSTITUTE(SUBSTITUTE(_xlpm.raw,"_PIN","."),"PIN","."),_xlpm.mainPart,MID(_xlpm.cleanRaw,2,FIND(".",_xlpm.cleanRaw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2" t="str">
        <f>_xlfn.LET(_xlpm.raw,_xlfn.XLOOKUP(A672,'Pinlist(S5)'!$C$4:$C$1362,'Pinlist(S5)'!$E$4:$E$1362,""),_xlpm.cleanRaw,SUBSTITUTE(SUBSTITUTE(_xlpm.raw,"_PIN","."),"PIN","."),_xlpm.mainPart,MID(_xlpm.cleanRaw,2,FIND(".",_xlpm.cleanRaw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2" t="str">
        <f>""</f>
        <v/>
      </c>
      <c r="J672" t="str">
        <f t="shared" si="10"/>
        <v>AD19;VSS;;10.727;12.143;;;;</v>
      </c>
    </row>
    <row r="673" spans="1:10">
      <c r="A673" t="s">
        <v>1899</v>
      </c>
      <c r="B673" t="str">
        <f>_xlfn.XLOOKUP(A673,'Pinlist(S1)'!$Q$4:$Q$1362,'Pinlist(S1)'!$R$4:$R$1362,"")</f>
        <v>VSS</v>
      </c>
      <c r="C673" t="str" cm="1">
        <f t="array" ref="C673">_xlfn.TEXTJOIN(",",TRUE,_xlfn.UNIQUE(TRANSPOSE(_xlfn.MAP(_xlfn.XLOOKUP(A673,'Pinlist(S1)'!$C$4:$C$1362,'Pinlist(S1)'!$F$4:$K$1362,""),_xlfn.LAMBDA(_xlpm.x,IF(_xlpm.x&lt;&gt;"",TRIM(CLEAN(LEFT(_xlpm.x,FIND(".",_xlpm.x &amp; ".")-1))),""))))))</f>
        <v/>
      </c>
      <c r="D673">
        <v>11.377000000000001</v>
      </c>
      <c r="E673">
        <v>12.143000000000001</v>
      </c>
      <c r="F673" t="str">
        <f>_xlfn.LET(_xlpm.raw,_xlfn.XLOOKUP(A673,'Pinlist(S1)'!$C$4:$C$1362,'Pinlist(S1)'!$E$4:$E$1362,""),_xlpm.cleanRaw,SUBSTITUTE(SUBSTITUTE(_xlpm.raw,"_PIN","."),"PIN","."),_xlpm.mainPart,MID(_xlpm.cleanRaw,2,FIND(".",_xlpm.cleanRaw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3" t="str">
        <f>_xlfn.LET(_xlpm.raw,_xlfn.XLOOKUP(A673,'Pinlist(S3)'!$C$4:$C$1362,'Pinlist(S3)'!$E$4:$E$1362,""),_xlpm.cleanRaw,SUBSTITUTE(SUBSTITUTE(_xlpm.raw,"_PIN","."),"PIN","."),_xlpm.mainPart,MID(_xlpm.cleanRaw,2,FIND(".",_xlpm.cleanRaw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3" t="str">
        <f>_xlfn.LET(_xlpm.raw,_xlfn.XLOOKUP(A673,'Pinlist(S5)'!$C$4:$C$1362,'Pinlist(S5)'!$E$4:$E$1362,""),_xlpm.cleanRaw,SUBSTITUTE(SUBSTITUTE(_xlpm.raw,"_PIN","."),"PIN","."),_xlpm.mainPart,MID(_xlpm.cleanRaw,2,FIND(".",_xlpm.cleanRaw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3" t="str">
        <f>""</f>
        <v/>
      </c>
      <c r="J673" t="str">
        <f t="shared" si="10"/>
        <v>AD20;VSS;;11.377;12.143;;;;</v>
      </c>
    </row>
    <row r="674" spans="1:10">
      <c r="A674" t="s">
        <v>1900</v>
      </c>
      <c r="B674" t="str">
        <f>_xlfn.XLOOKUP(A674,'Pinlist(S1)'!$Q$4:$Q$1362,'Pinlist(S1)'!$R$4:$R$1362,"")</f>
        <v>VSS</v>
      </c>
      <c r="C674" t="str" cm="1">
        <f t="array" ref="C674">_xlfn.TEXTJOIN(",",TRUE,_xlfn.UNIQUE(TRANSPOSE(_xlfn.MAP(_xlfn.XLOOKUP(A674,'Pinlist(S1)'!$C$4:$C$1362,'Pinlist(S1)'!$F$4:$K$1362,""),_xlfn.LAMBDA(_xlpm.x,IF(_xlpm.x&lt;&gt;"",TRIM(CLEAN(LEFT(_xlpm.x,FIND(".",_xlpm.x &amp; ".")-1))),""))))))</f>
        <v/>
      </c>
      <c r="D674">
        <v>12.026999999999999</v>
      </c>
      <c r="E674">
        <v>12.143000000000001</v>
      </c>
      <c r="F674" t="str">
        <f>_xlfn.LET(_xlpm.raw,_xlfn.XLOOKUP(A674,'Pinlist(S1)'!$C$4:$C$1362,'Pinlist(S1)'!$E$4:$E$1362,""),_xlpm.cleanRaw,SUBSTITUTE(SUBSTITUTE(_xlpm.raw,"_PIN","."),"PIN","."),_xlpm.mainPart,MID(_xlpm.cleanRaw,2,FIND(".",_xlpm.cleanRaw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4" t="str">
        <f>_xlfn.LET(_xlpm.raw,_xlfn.XLOOKUP(A674,'Pinlist(S3)'!$C$4:$C$1362,'Pinlist(S3)'!$E$4:$E$1362,""),_xlpm.cleanRaw,SUBSTITUTE(SUBSTITUTE(_xlpm.raw,"_PIN","."),"PIN","."),_xlpm.mainPart,MID(_xlpm.cleanRaw,2,FIND(".",_xlpm.cleanRaw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4" t="str">
        <f>_xlfn.LET(_xlpm.raw,_xlfn.XLOOKUP(A674,'Pinlist(S5)'!$C$4:$C$1362,'Pinlist(S5)'!$E$4:$E$1362,""),_xlpm.cleanRaw,SUBSTITUTE(SUBSTITUTE(_xlpm.raw,"_PIN","."),"PIN","."),_xlpm.mainPart,MID(_xlpm.cleanRaw,2,FIND(".",_xlpm.cleanRaw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4" t="str">
        <f>""</f>
        <v/>
      </c>
      <c r="J674" t="str">
        <f t="shared" si="10"/>
        <v>AD21;VSS;;12.027;12.143;;;;</v>
      </c>
    </row>
    <row r="675" spans="1:10">
      <c r="A675" t="s">
        <v>1901</v>
      </c>
      <c r="B675" t="str">
        <f>_xlfn.XLOOKUP(A675,'Pinlist(S1)'!$Q$4:$Q$1362,'Pinlist(S1)'!$R$4:$R$1362,"")</f>
        <v>VSS</v>
      </c>
      <c r="C675" t="str" cm="1">
        <f t="array" ref="C675">_xlfn.TEXTJOIN(",",TRUE,_xlfn.UNIQUE(TRANSPOSE(_xlfn.MAP(_xlfn.XLOOKUP(A675,'Pinlist(S1)'!$C$4:$C$1362,'Pinlist(S1)'!$F$4:$K$1362,""),_xlfn.LAMBDA(_xlpm.x,IF(_xlpm.x&lt;&gt;"",TRIM(CLEAN(LEFT(_xlpm.x,FIND(".",_xlpm.x &amp; ".")-1))),""))))))</f>
        <v/>
      </c>
      <c r="D675">
        <v>34.957999999999998</v>
      </c>
      <c r="E675">
        <v>12.09</v>
      </c>
      <c r="F675" t="str">
        <f>_xlfn.LET(_xlpm.raw,_xlfn.XLOOKUP(A675,'Pinlist(S1)'!$C$4:$C$1362,'Pinlist(S1)'!$E$4:$E$1362,""),_xlpm.cleanRaw,SUBSTITUTE(SUBSTITUTE(_xlpm.raw,"_PIN","."),"PIN","."),_xlpm.mainPart,MID(_xlpm.cleanRaw,2,FIND(".",_xlpm.cleanRaw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5" t="str">
        <f>_xlfn.LET(_xlpm.raw,_xlfn.XLOOKUP(A675,'Pinlist(S3)'!$C$4:$C$1362,'Pinlist(S3)'!$E$4:$E$1362,""),_xlpm.cleanRaw,SUBSTITUTE(SUBSTITUTE(_xlpm.raw,"_PIN","."),"PIN","."),_xlpm.mainPart,MID(_xlpm.cleanRaw,2,FIND(".",_xlpm.cleanRaw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5" t="str">
        <f>_xlfn.LET(_xlpm.raw,_xlfn.XLOOKUP(A675,'Pinlist(S5)'!$C$4:$C$1362,'Pinlist(S5)'!$E$4:$E$1362,""),_xlpm.cleanRaw,SUBSTITUTE(SUBSTITUTE(_xlpm.raw,"_PIN","."),"PIN","."),_xlpm.mainPart,MID(_xlpm.cleanRaw,2,FIND(".",_xlpm.cleanRaw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5" t="str">
        <f>""</f>
        <v/>
      </c>
      <c r="J675" t="str">
        <f t="shared" si="10"/>
        <v>AD62;VSS;;34.958;12.09;;;;</v>
      </c>
    </row>
    <row r="676" spans="1:10">
      <c r="A676" t="s">
        <v>1623</v>
      </c>
      <c r="B676" t="str">
        <f>_xlfn.XLOOKUP(A676,'Pinlist(S1)'!$Q$4:$Q$1362,'Pinlist(S1)'!$R$4:$R$1362,"")</f>
        <v>VCCEOPIO</v>
      </c>
      <c r="C676" t="str" cm="1">
        <f t="array" ref="C676">_xlfn.TEXTJOIN(",",TRUE,_xlfn.UNIQUE(TRANSPOSE(_xlfn.MAP(_xlfn.XLOOKUP(A676,'Pinlist(S1)'!$C$4:$C$1362,'Pinlist(S1)'!$F$4:$K$1362,""),_xlfn.LAMBDA(_xlpm.x,IF(_xlpm.x&lt;&gt;"",TRIM(CLEAN(LEFT(_xlpm.x,FIND(".",_xlpm.x &amp; ".")-1))),""))))))</f>
        <v/>
      </c>
      <c r="D676">
        <v>34.957999999999998</v>
      </c>
      <c r="E676">
        <v>13.004</v>
      </c>
      <c r="F676" t="str">
        <f>_xlfn.LET(_xlpm.raw,_xlfn.XLOOKUP(A676,'Pinlist(S1)'!$C$4:$C$1362,'Pinlist(S1)'!$E$4:$E$1362,""),_xlpm.cleanRaw,SUBSTITUTE(SUBSTITUTE(_xlpm.raw,"_PIN","."),"PIN","."),_xlpm.mainPart,MID(_xlpm.cleanRaw,2,FIND(".",_xlpm.cleanRaw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6" t="str">
        <f>_xlfn.LET(_xlpm.raw,_xlfn.XLOOKUP(A676,'Pinlist(S3)'!$C$4:$C$1362,'Pinlist(S3)'!$E$4:$E$1362,""),_xlpm.cleanRaw,SUBSTITUTE(SUBSTITUTE(_xlpm.raw,"_PIN","."),"PIN","."),_xlpm.mainPart,MID(_xlpm.cleanRaw,2,FIND(".",_xlpm.cleanRaw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6" t="str">
        <f>_xlfn.LET(_xlpm.raw,_xlfn.XLOOKUP(A676,'Pinlist(S5)'!$C$4:$C$1362,'Pinlist(S5)'!$E$4:$E$1362,""),_xlpm.cleanRaw,SUBSTITUTE(SUBSTITUTE(_xlpm.raw,"_PIN","."),"PIN","."),_xlpm.mainPart,MID(_xlpm.cleanRaw,2,FIND(".",_xlpm.cleanRaw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6" t="str">
        <f>""</f>
        <v/>
      </c>
      <c r="J676" t="str">
        <f t="shared" si="10"/>
        <v>AE62;VCCEOPIO;;34.958;13.004;;;;</v>
      </c>
    </row>
    <row r="677" spans="1:10">
      <c r="A677" t="s">
        <v>2247</v>
      </c>
      <c r="B677" t="str">
        <f>_xlfn.XLOOKUP(A677,'Pinlist(S1)'!$Q$4:$Q$1362,'Pinlist(S1)'!$R$4:$R$1362,"")</f>
        <v>VSSEDRAM_SENSE</v>
      </c>
      <c r="C677" t="str" cm="1">
        <f t="array" ref="C677">_xlfn.TEXTJOIN(",",TRUE,_xlfn.UNIQUE(TRANSPOSE(_xlfn.MAP(_xlfn.XLOOKUP(A677,'Pinlist(S1)'!$C$4:$C$1362,'Pinlist(S1)'!$F$4:$K$1362,""),_xlfn.LAMBDA(_xlpm.x,IF(_xlpm.x&lt;&gt;"",TRIM(CLEAN(LEFT(_xlpm.x,FIND(".",_xlpm.x &amp; ".")-1))),""))))))</f>
        <v/>
      </c>
      <c r="D677">
        <v>35.427</v>
      </c>
      <c r="E677">
        <v>12.547000000000001</v>
      </c>
      <c r="F677" t="str">
        <f>_xlfn.LET(_xlpm.raw,_xlfn.XLOOKUP(A677,'Pinlist(S1)'!$C$4:$C$1362,'Pinlist(S1)'!$E$4:$E$1362,""),_xlpm.cleanRaw,SUBSTITUTE(SUBSTITUTE(_xlpm.raw,"_PIN","."),"PIN","."),_xlpm.mainPart,MID(_xlpm.cleanRaw,2,FIND(".",_xlpm.cleanRaw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7" t="str">
        <f>_xlfn.LET(_xlpm.raw,_xlfn.XLOOKUP(A677,'Pinlist(S3)'!$C$4:$C$1362,'Pinlist(S3)'!$E$4:$E$1362,""),_xlpm.cleanRaw,SUBSTITUTE(SUBSTITUTE(_xlpm.raw,"_PIN","."),"PIN","."),_xlpm.mainPart,MID(_xlpm.cleanRaw,2,FIND(".",_xlpm.cleanRaw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7" t="str">
        <f>_xlfn.LET(_xlpm.raw,_xlfn.XLOOKUP(A677,'Pinlist(S5)'!$C$4:$C$1362,'Pinlist(S5)'!$E$4:$E$1362,""),_xlpm.cleanRaw,SUBSTITUTE(SUBSTITUTE(_xlpm.raw,"_PIN","."),"PIN","."),_xlpm.mainPart,MID(_xlpm.cleanRaw,2,FIND(".",_xlpm.cleanRaw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7" t="str">
        <f>""</f>
        <v/>
      </c>
      <c r="J677" t="str">
        <f t="shared" si="10"/>
        <v>AE63;VSSEDRAM_SENSE;;35.427;12.547;;;;</v>
      </c>
    </row>
    <row r="678" spans="1:10">
      <c r="A678" t="s">
        <v>1903</v>
      </c>
      <c r="B678" t="str">
        <f>_xlfn.XLOOKUP(A678,'Pinlist(S1)'!$Q$4:$Q$1362,'Pinlist(S1)'!$R$4:$R$1362,"")</f>
        <v>VSS</v>
      </c>
      <c r="C678" t="str" cm="1">
        <f t="array" ref="C678">_xlfn.TEXTJOIN(",",TRUE,_xlfn.UNIQUE(TRANSPOSE(_xlfn.MAP(_xlfn.XLOOKUP(A678,'Pinlist(S1)'!$C$4:$C$1362,'Pinlist(S1)'!$F$4:$K$1362,""),_xlfn.LAMBDA(_xlpm.x,IF(_xlpm.x&lt;&gt;"",TRIM(CLEAN(LEFT(_xlpm.x,FIND(".",_xlpm.x &amp; ".")-1))),""))))))</f>
        <v/>
      </c>
      <c r="D678">
        <v>36.076999999999998</v>
      </c>
      <c r="E678">
        <v>12.547000000000001</v>
      </c>
      <c r="F678" t="str">
        <f>_xlfn.LET(_xlpm.raw,_xlfn.XLOOKUP(A678,'Pinlist(S1)'!$C$4:$C$1362,'Pinlist(S1)'!$E$4:$E$1362,""),_xlpm.cleanRaw,SUBSTITUTE(SUBSTITUTE(_xlpm.raw,"_PIN","."),"PIN","."),_xlpm.mainPart,MID(_xlpm.cleanRaw,2,FIND(".",_xlpm.cleanRaw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8" t="str">
        <f>_xlfn.LET(_xlpm.raw,_xlfn.XLOOKUP(A678,'Pinlist(S3)'!$C$4:$C$1362,'Pinlist(S3)'!$E$4:$E$1362,""),_xlpm.cleanRaw,SUBSTITUTE(SUBSTITUTE(_xlpm.raw,"_PIN","."),"PIN","."),_xlpm.mainPart,MID(_xlpm.cleanRaw,2,FIND(".",_xlpm.cleanRaw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8" t="str">
        <f>_xlfn.LET(_xlpm.raw,_xlfn.XLOOKUP(A678,'Pinlist(S5)'!$C$4:$C$1362,'Pinlist(S5)'!$E$4:$E$1362,""),_xlpm.cleanRaw,SUBSTITUTE(SUBSTITUTE(_xlpm.raw,"_PIN","."),"PIN","."),_xlpm.mainPart,MID(_xlpm.cleanRaw,2,FIND(".",_xlpm.cleanRaw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8" t="str">
        <f>""</f>
        <v/>
      </c>
      <c r="J678" t="str">
        <f t="shared" si="10"/>
        <v>AE64;VSS;;36.077;12.547;;;;</v>
      </c>
    </row>
    <row r="679" spans="1:10">
      <c r="A679" t="s">
        <v>1904</v>
      </c>
      <c r="B679" t="str">
        <f>_xlfn.XLOOKUP(A679,'Pinlist(S1)'!$Q$4:$Q$1362,'Pinlist(S1)'!$R$4:$R$1362,"")</f>
        <v>VSS</v>
      </c>
      <c r="C679" t="str" cm="1">
        <f t="array" ref="C679">_xlfn.TEXTJOIN(",",TRUE,_xlfn.UNIQUE(TRANSPOSE(_xlfn.MAP(_xlfn.XLOOKUP(A679,'Pinlist(S1)'!$C$4:$C$1362,'Pinlist(S1)'!$F$4:$K$1362,""),_xlfn.LAMBDA(_xlpm.x,IF(_xlpm.x&lt;&gt;"",TRIM(CLEAN(LEFT(_xlpm.x,FIND(".",_xlpm.x &amp; ".")-1))),""))))))</f>
        <v/>
      </c>
      <c r="D679">
        <v>36.726999999999997</v>
      </c>
      <c r="E679">
        <v>12.547000000000001</v>
      </c>
      <c r="F679" t="str">
        <f>_xlfn.LET(_xlpm.raw,_xlfn.XLOOKUP(A679,'Pinlist(S1)'!$C$4:$C$1362,'Pinlist(S1)'!$E$4:$E$1362,""),_xlpm.cleanRaw,SUBSTITUTE(SUBSTITUTE(_xlpm.raw,"_PIN","."),"PIN","."),_xlpm.mainPart,MID(_xlpm.cleanRaw,2,FIND(".",_xlpm.cleanRaw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9" t="str">
        <f>_xlfn.LET(_xlpm.raw,_xlfn.XLOOKUP(A679,'Pinlist(S3)'!$C$4:$C$1362,'Pinlist(S3)'!$E$4:$E$1362,""),_xlpm.cleanRaw,SUBSTITUTE(SUBSTITUTE(_xlpm.raw,"_PIN","."),"PIN","."),_xlpm.mainPart,MID(_xlpm.cleanRaw,2,FIND(".",_xlpm.cleanRaw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9" t="str">
        <f>_xlfn.LET(_xlpm.raw,_xlfn.XLOOKUP(A679,'Pinlist(S5)'!$C$4:$C$1362,'Pinlist(S5)'!$E$4:$E$1362,""),_xlpm.cleanRaw,SUBSTITUTE(SUBSTITUTE(_xlpm.raw,"_PIN","."),"PIN","."),_xlpm.mainPart,MID(_xlpm.cleanRaw,2,FIND(".",_xlpm.cleanRaw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9" t="str">
        <f>""</f>
        <v/>
      </c>
      <c r="J679" t="str">
        <f t="shared" si="10"/>
        <v>AE65;VSS;;36.727;12.547;;;;</v>
      </c>
    </row>
    <row r="680" spans="1:10">
      <c r="A680" t="s">
        <v>1905</v>
      </c>
      <c r="B680" t="str">
        <f>_xlfn.XLOOKUP(A680,'Pinlist(S1)'!$Q$4:$Q$1362,'Pinlist(S1)'!$R$4:$R$1362,"")</f>
        <v>VSS</v>
      </c>
      <c r="C680" t="str" cm="1">
        <f t="array" ref="C680">_xlfn.TEXTJOIN(",",TRUE,_xlfn.UNIQUE(TRANSPOSE(_xlfn.MAP(_xlfn.XLOOKUP(A680,'Pinlist(S1)'!$C$4:$C$1362,'Pinlist(S1)'!$F$4:$K$1362,""),_xlfn.LAMBDA(_xlpm.x,IF(_xlpm.x&lt;&gt;"",TRIM(CLEAN(LEFT(_xlpm.x,FIND(".",_xlpm.x &amp; ".")-1))),""))))))</f>
        <v/>
      </c>
      <c r="D680">
        <v>37.376999999999903</v>
      </c>
      <c r="E680">
        <v>12.547000000000001</v>
      </c>
      <c r="F680" t="str">
        <f>_xlfn.LET(_xlpm.raw,_xlfn.XLOOKUP(A680,'Pinlist(S1)'!$C$4:$C$1362,'Pinlist(S1)'!$E$4:$E$1362,""),_xlpm.cleanRaw,SUBSTITUTE(SUBSTITUTE(_xlpm.raw,"_PIN","."),"PIN","."),_xlpm.mainPart,MID(_xlpm.cleanRaw,2,FIND(".",_xlpm.cleanRaw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0" t="str">
        <f>_xlfn.LET(_xlpm.raw,_xlfn.XLOOKUP(A680,'Pinlist(S3)'!$C$4:$C$1362,'Pinlist(S3)'!$E$4:$E$1362,""),_xlpm.cleanRaw,SUBSTITUTE(SUBSTITUTE(_xlpm.raw,"_PIN","."),"PIN","."),_xlpm.mainPart,MID(_xlpm.cleanRaw,2,FIND(".",_xlpm.cleanRaw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0" t="str">
        <f>_xlfn.LET(_xlpm.raw,_xlfn.XLOOKUP(A680,'Pinlist(S5)'!$C$4:$C$1362,'Pinlist(S5)'!$E$4:$E$1362,""),_xlpm.cleanRaw,SUBSTITUTE(SUBSTITUTE(_xlpm.raw,"_PIN","."),"PIN","."),_xlpm.mainPart,MID(_xlpm.cleanRaw,2,FIND(".",_xlpm.cleanRaw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0" t="str">
        <f>""</f>
        <v/>
      </c>
      <c r="J680" t="str">
        <f t="shared" si="10"/>
        <v>AE66;VSS;;37.3769999999999;12.547;;;;</v>
      </c>
    </row>
    <row r="681" spans="1:10">
      <c r="A681" t="s">
        <v>1906</v>
      </c>
      <c r="B681" t="str">
        <f>_xlfn.XLOOKUP(A681,'Pinlist(S1)'!$Q$4:$Q$1362,'Pinlist(S1)'!$R$4:$R$1362,"")</f>
        <v>VSS</v>
      </c>
      <c r="C681" t="str" cm="1">
        <f t="array" ref="C681">_xlfn.TEXTJOIN(",",TRUE,_xlfn.UNIQUE(TRANSPOSE(_xlfn.MAP(_xlfn.XLOOKUP(A681,'Pinlist(S1)'!$C$4:$C$1362,'Pinlist(S1)'!$F$4:$K$1362,""),_xlfn.LAMBDA(_xlpm.x,IF(_xlpm.x&lt;&gt;"",TRIM(CLEAN(LEFT(_xlpm.x,FIND(".",_xlpm.x &amp; ".")-1))),""))))))</f>
        <v/>
      </c>
      <c r="D681">
        <v>38.027999999999999</v>
      </c>
      <c r="E681">
        <v>12.547000000000001</v>
      </c>
      <c r="F681" t="str">
        <f>_xlfn.LET(_xlpm.raw,_xlfn.XLOOKUP(A681,'Pinlist(S1)'!$C$4:$C$1362,'Pinlist(S1)'!$E$4:$E$1362,""),_xlpm.cleanRaw,SUBSTITUTE(SUBSTITUTE(_xlpm.raw,"_PIN","."),"PIN","."),_xlpm.mainPart,MID(_xlpm.cleanRaw,2,FIND(".",_xlpm.cleanRaw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1" t="str">
        <f>_xlfn.LET(_xlpm.raw,_xlfn.XLOOKUP(A681,'Pinlist(S3)'!$C$4:$C$1362,'Pinlist(S3)'!$E$4:$E$1362,""),_xlpm.cleanRaw,SUBSTITUTE(SUBSTITUTE(_xlpm.raw,"_PIN","."),"PIN","."),_xlpm.mainPart,MID(_xlpm.cleanRaw,2,FIND(".",_xlpm.cleanRaw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1" t="str">
        <f>_xlfn.LET(_xlpm.raw,_xlfn.XLOOKUP(A681,'Pinlist(S5)'!$C$4:$C$1362,'Pinlist(S5)'!$E$4:$E$1362,""),_xlpm.cleanRaw,SUBSTITUTE(SUBSTITUTE(_xlpm.raw,"_PIN","."),"PIN","."),_xlpm.mainPart,MID(_xlpm.cleanRaw,2,FIND(".",_xlpm.cleanRaw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1" t="str">
        <f>""</f>
        <v/>
      </c>
      <c r="J681" t="str">
        <f t="shared" si="10"/>
        <v>AE67;VSS;;38.028;12.547;;;;</v>
      </c>
    </row>
    <row r="682" spans="1:10">
      <c r="A682" t="s">
        <v>1907</v>
      </c>
      <c r="B682" t="str">
        <f>_xlfn.XLOOKUP(A682,'Pinlist(S1)'!$Q$4:$Q$1362,'Pinlist(S1)'!$R$4:$R$1362,"")</f>
        <v>VSS</v>
      </c>
      <c r="C682" t="str" cm="1">
        <f t="array" ref="C682">_xlfn.TEXTJOIN(",",TRUE,_xlfn.UNIQUE(TRANSPOSE(_xlfn.MAP(_xlfn.XLOOKUP(A682,'Pinlist(S1)'!$C$4:$C$1362,'Pinlist(S1)'!$F$4:$K$1362,""),_xlfn.LAMBDA(_xlpm.x,IF(_xlpm.x&lt;&gt;"",TRIM(CLEAN(LEFT(_xlpm.x,FIND(".",_xlpm.x &amp; ".")-1))),""))))))</f>
        <v/>
      </c>
      <c r="D682">
        <v>38.677999999999997</v>
      </c>
      <c r="E682">
        <v>12.547000000000001</v>
      </c>
      <c r="F682" t="str">
        <f>_xlfn.LET(_xlpm.raw,_xlfn.XLOOKUP(A682,'Pinlist(S1)'!$C$4:$C$1362,'Pinlist(S1)'!$E$4:$E$1362,""),_xlpm.cleanRaw,SUBSTITUTE(SUBSTITUTE(_xlpm.raw,"_PIN","."),"PIN","."),_xlpm.mainPart,MID(_xlpm.cleanRaw,2,FIND(".",_xlpm.cleanRaw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2" t="str">
        <f>_xlfn.LET(_xlpm.raw,_xlfn.XLOOKUP(A682,'Pinlist(S3)'!$C$4:$C$1362,'Pinlist(S3)'!$E$4:$E$1362,""),_xlpm.cleanRaw,SUBSTITUTE(SUBSTITUTE(_xlpm.raw,"_PIN","."),"PIN","."),_xlpm.mainPart,MID(_xlpm.cleanRaw,2,FIND(".",_xlpm.cleanRaw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2" t="str">
        <f>_xlfn.LET(_xlpm.raw,_xlfn.XLOOKUP(A682,'Pinlist(S5)'!$C$4:$C$1362,'Pinlist(S5)'!$E$4:$E$1362,""),_xlpm.cleanRaw,SUBSTITUTE(SUBSTITUTE(_xlpm.raw,"_PIN","."),"PIN","."),_xlpm.mainPart,MID(_xlpm.cleanRaw,2,FIND(".",_xlpm.cleanRaw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2" t="str">
        <f>""</f>
        <v/>
      </c>
      <c r="J682" t="str">
        <f t="shared" si="10"/>
        <v>AE68;VSS;;38.678;12.547;;;;</v>
      </c>
    </row>
    <row r="683" spans="1:10">
      <c r="A683" t="s">
        <v>1908</v>
      </c>
      <c r="B683" t="str">
        <f>_xlfn.XLOOKUP(A683,'Pinlist(S1)'!$Q$4:$Q$1362,'Pinlist(S1)'!$R$4:$R$1362,"")</f>
        <v>VSS</v>
      </c>
      <c r="C683" t="str" cm="1">
        <f t="array" ref="C683">_xlfn.TEXTJOIN(",",TRUE,_xlfn.UNIQUE(TRANSPOSE(_xlfn.MAP(_xlfn.XLOOKUP(A683,'Pinlist(S1)'!$C$4:$C$1362,'Pinlist(S1)'!$F$4:$K$1362,""),_xlfn.LAMBDA(_xlpm.x,IF(_xlpm.x&lt;&gt;"",TRIM(CLEAN(LEFT(_xlpm.x,FIND(".",_xlpm.x &amp; ".")-1))),""))))))</f>
        <v/>
      </c>
      <c r="D683">
        <v>39.328000000000003</v>
      </c>
      <c r="E683">
        <v>12.547000000000001</v>
      </c>
      <c r="F683" t="str">
        <f>_xlfn.LET(_xlpm.raw,_xlfn.XLOOKUP(A683,'Pinlist(S1)'!$C$4:$C$1362,'Pinlist(S1)'!$E$4:$E$1362,""),_xlpm.cleanRaw,SUBSTITUTE(SUBSTITUTE(_xlpm.raw,"_PIN","."),"PIN","."),_xlpm.mainPart,MID(_xlpm.cleanRaw,2,FIND(".",_xlpm.cleanRaw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3" t="str">
        <f>_xlfn.LET(_xlpm.raw,_xlfn.XLOOKUP(A683,'Pinlist(S3)'!$C$4:$C$1362,'Pinlist(S3)'!$E$4:$E$1362,""),_xlpm.cleanRaw,SUBSTITUTE(SUBSTITUTE(_xlpm.raw,"_PIN","."),"PIN","."),_xlpm.mainPart,MID(_xlpm.cleanRaw,2,FIND(".",_xlpm.cleanRaw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3" t="str">
        <f>_xlfn.LET(_xlpm.raw,_xlfn.XLOOKUP(A683,'Pinlist(S5)'!$C$4:$C$1362,'Pinlist(S5)'!$E$4:$E$1362,""),_xlpm.cleanRaw,SUBSTITUTE(SUBSTITUTE(_xlpm.raw,"_PIN","."),"PIN","."),_xlpm.mainPart,MID(_xlpm.cleanRaw,2,FIND(".",_xlpm.cleanRaw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3" t="str">
        <f>""</f>
        <v/>
      </c>
      <c r="J683" t="str">
        <f t="shared" si="10"/>
        <v>AE69;VSS;;39.328;12.547;;;;</v>
      </c>
    </row>
    <row r="684" spans="1:10">
      <c r="A684" t="s">
        <v>1729</v>
      </c>
      <c r="B684" t="str">
        <f>_xlfn.XLOOKUP(A684,'Pinlist(S1)'!$Q$4:$Q$1362,'Pinlist(S1)'!$R$4:$R$1362,"")</f>
        <v>VCCGTU</v>
      </c>
      <c r="C684" t="str" cm="1">
        <f t="array" ref="C684">_xlfn.TEXTJOIN(",",TRUE,_xlfn.UNIQUE(TRANSPOSE(_xlfn.MAP(_xlfn.XLOOKUP(A684,'Pinlist(S1)'!$C$4:$C$1362,'Pinlist(S1)'!$F$4:$K$1362,""),_xlfn.LAMBDA(_xlpm.x,IF(_xlpm.x&lt;&gt;"",TRIM(CLEAN(LEFT(_xlpm.x,FIND(".",_xlpm.x &amp; ".")-1))),""))))))</f>
        <v/>
      </c>
      <c r="D684">
        <v>39.978000000000002</v>
      </c>
      <c r="E684">
        <v>12.547000000000001</v>
      </c>
      <c r="F684" t="str">
        <f>_xlfn.LET(_xlpm.raw,_xlfn.XLOOKUP(A684,'Pinlist(S1)'!$C$4:$C$1362,'Pinlist(S1)'!$E$4:$E$1362,""),_xlpm.cleanRaw,SUBSTITUTE(SUBSTITUTE(_xlpm.raw,"_PIN","."),"PIN","."),_xlpm.mainPart,MID(_xlpm.cleanRaw,2,FIND(".",_xlpm.cleanRaw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4" t="str">
        <f>_xlfn.LET(_xlpm.raw,_xlfn.XLOOKUP(A684,'Pinlist(S3)'!$C$4:$C$1362,'Pinlist(S3)'!$E$4:$E$1362,""),_xlpm.cleanRaw,SUBSTITUTE(SUBSTITUTE(_xlpm.raw,"_PIN","."),"PIN","."),_xlpm.mainPart,MID(_xlpm.cleanRaw,2,FIND(".",_xlpm.cleanRaw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4" t="str">
        <f>_xlfn.LET(_xlpm.raw,_xlfn.XLOOKUP(A684,'Pinlist(S5)'!$C$4:$C$1362,'Pinlist(S5)'!$E$4:$E$1362,""),_xlpm.cleanRaw,SUBSTITUTE(SUBSTITUTE(_xlpm.raw,"_PIN","."),"PIN","."),_xlpm.mainPart,MID(_xlpm.cleanRaw,2,FIND(".",_xlpm.cleanRaw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4" t="str">
        <f>""</f>
        <v/>
      </c>
      <c r="J684" t="str">
        <f t="shared" si="10"/>
        <v>AE70;VCCGTU;;39.978;12.547;;;;</v>
      </c>
    </row>
    <row r="685" spans="1:10">
      <c r="A685" t="s">
        <v>1909</v>
      </c>
      <c r="B685" t="str">
        <f>_xlfn.XLOOKUP(A685,'Pinlist(S1)'!$Q$4:$Q$1362,'Pinlist(S1)'!$R$4:$R$1362,"")</f>
        <v>VSS</v>
      </c>
      <c r="C685" t="str" cm="1">
        <f t="array" ref="C685">_xlfn.TEXTJOIN(",",TRUE,_xlfn.UNIQUE(TRANSPOSE(_xlfn.MAP(_xlfn.XLOOKUP(A685,'Pinlist(S1)'!$C$4:$C$1362,'Pinlist(S1)'!$F$4:$K$1362,""),_xlfn.LAMBDA(_xlpm.x,IF(_xlpm.x&lt;&gt;"",TRIM(CLEAN(LEFT(_xlpm.x,FIND(".",_xlpm.x &amp; ".")-1))),""))))))</f>
        <v/>
      </c>
      <c r="D685">
        <v>0.32500000000000201</v>
      </c>
      <c r="E685">
        <v>13.455</v>
      </c>
      <c r="F685" t="str">
        <f>_xlfn.LET(_xlpm.raw,_xlfn.XLOOKUP(A685,'Pinlist(S1)'!$C$4:$C$1362,'Pinlist(S1)'!$E$4:$E$1362,""),_xlpm.cleanRaw,SUBSTITUTE(SUBSTITUTE(_xlpm.raw,"_PIN","."),"PIN","."),_xlpm.mainPart,MID(_xlpm.cleanRaw,2,FIND(".",_xlpm.cleanRaw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5" t="str">
        <f>_xlfn.LET(_xlpm.raw,_xlfn.XLOOKUP(A685,'Pinlist(S3)'!$C$4:$C$1362,'Pinlist(S3)'!$E$4:$E$1362,""),_xlpm.cleanRaw,SUBSTITUTE(SUBSTITUTE(_xlpm.raw,"_PIN","."),"PIN","."),_xlpm.mainPart,MID(_xlpm.cleanRaw,2,FIND(".",_xlpm.cleanRaw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5" t="str">
        <f>_xlfn.LET(_xlpm.raw,_xlfn.XLOOKUP(A685,'Pinlist(S5)'!$C$4:$C$1362,'Pinlist(S5)'!$E$4:$E$1362,""),_xlpm.cleanRaw,SUBSTITUTE(SUBSTITUTE(_xlpm.raw,"_PIN","."),"PIN","."),_xlpm.mainPart,MID(_xlpm.cleanRaw,2,FIND(".",_xlpm.cleanRaw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5" t="str">
        <f>""</f>
        <v/>
      </c>
      <c r="J685" t="str">
        <f t="shared" si="10"/>
        <v>AF1;VSS;;0.325000000000002;13.455;;;;</v>
      </c>
    </row>
    <row r="686" spans="1:10">
      <c r="A686" t="s">
        <v>1913</v>
      </c>
      <c r="B686" t="str">
        <f>_xlfn.XLOOKUP(A686,'Pinlist(S1)'!$Q$4:$Q$1362,'Pinlist(S1)'!$R$4:$R$1362,"")</f>
        <v>VSS</v>
      </c>
      <c r="C686" t="str" cm="1">
        <f t="array" ref="C686">_xlfn.TEXTJOIN(",",TRUE,_xlfn.UNIQUE(TRANSPOSE(_xlfn.MAP(_xlfn.XLOOKUP(A686,'Pinlist(S1)'!$C$4:$C$1362,'Pinlist(S1)'!$F$4:$K$1362,""),_xlfn.LAMBDA(_xlpm.x,IF(_xlpm.x&lt;&gt;"",TRIM(CLEAN(LEFT(_xlpm.x,FIND(".",_xlpm.x &amp; ".")-1))),""))))))</f>
        <v/>
      </c>
      <c r="D686">
        <v>0.97500000000000098</v>
      </c>
      <c r="E686">
        <v>13.455</v>
      </c>
      <c r="F686" t="str">
        <f>_xlfn.LET(_xlpm.raw,_xlfn.XLOOKUP(A686,'Pinlist(S1)'!$C$4:$C$1362,'Pinlist(S1)'!$E$4:$E$1362,""),_xlpm.cleanRaw,SUBSTITUTE(SUBSTITUTE(_xlpm.raw,"_PIN","."),"PIN","."),_xlpm.mainPart,MID(_xlpm.cleanRaw,2,FIND(".",_xlpm.cleanRaw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6" t="str">
        <f>_xlfn.LET(_xlpm.raw,_xlfn.XLOOKUP(A686,'Pinlist(S3)'!$C$4:$C$1362,'Pinlist(S3)'!$E$4:$E$1362,""),_xlpm.cleanRaw,SUBSTITUTE(SUBSTITUTE(_xlpm.raw,"_PIN","."),"PIN","."),_xlpm.mainPart,MID(_xlpm.cleanRaw,2,FIND(".",_xlpm.cleanRaw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6" t="str">
        <f>_xlfn.LET(_xlpm.raw,_xlfn.XLOOKUP(A686,'Pinlist(S5)'!$C$4:$C$1362,'Pinlist(S5)'!$E$4:$E$1362,""),_xlpm.cleanRaw,SUBSTITUTE(SUBSTITUTE(_xlpm.raw,"_PIN","."),"PIN","."),_xlpm.mainPart,MID(_xlpm.cleanRaw,2,FIND(".",_xlpm.cleanRaw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6" t="str">
        <f>""</f>
        <v/>
      </c>
      <c r="J686" t="str">
        <f t="shared" si="10"/>
        <v>AF2;VSS;;0.975000000000001;13.455;;;;</v>
      </c>
    </row>
    <row r="687" spans="1:10">
      <c r="A687" t="s">
        <v>1914</v>
      </c>
      <c r="B687" t="str">
        <f>_xlfn.XLOOKUP(A687,'Pinlist(S1)'!$Q$4:$Q$1362,'Pinlist(S1)'!$R$4:$R$1362,"")</f>
        <v>VSS</v>
      </c>
      <c r="C687" t="str" cm="1">
        <f t="array" ref="C687">_xlfn.TEXTJOIN(",",TRUE,_xlfn.UNIQUE(TRANSPOSE(_xlfn.MAP(_xlfn.XLOOKUP(A687,'Pinlist(S1)'!$C$4:$C$1362,'Pinlist(S1)'!$F$4:$K$1362,""),_xlfn.LAMBDA(_xlpm.x,IF(_xlpm.x&lt;&gt;"",TRIM(CLEAN(LEFT(_xlpm.x,FIND(".",_xlpm.x &amp; ".")-1))),""))))))</f>
        <v/>
      </c>
      <c r="D687">
        <v>1.9510000000000001</v>
      </c>
      <c r="E687">
        <v>13.455</v>
      </c>
      <c r="F687" t="str">
        <f>_xlfn.LET(_xlpm.raw,_xlfn.XLOOKUP(A687,'Pinlist(S1)'!$C$4:$C$1362,'Pinlist(S1)'!$E$4:$E$1362,""),_xlpm.cleanRaw,SUBSTITUTE(SUBSTITUTE(_xlpm.raw,"_PIN","."),"PIN","."),_xlpm.mainPart,MID(_xlpm.cleanRaw,2,FIND(".",_xlpm.cleanRaw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7" t="str">
        <f>_xlfn.LET(_xlpm.raw,_xlfn.XLOOKUP(A687,'Pinlist(S3)'!$C$4:$C$1362,'Pinlist(S3)'!$E$4:$E$1362,""),_xlpm.cleanRaw,SUBSTITUTE(SUBSTITUTE(_xlpm.raw,"_PIN","."),"PIN","."),_xlpm.mainPart,MID(_xlpm.cleanRaw,2,FIND(".",_xlpm.cleanRaw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7" t="str">
        <f>_xlfn.LET(_xlpm.raw,_xlfn.XLOOKUP(A687,'Pinlist(S5)'!$C$4:$C$1362,'Pinlist(S5)'!$E$4:$E$1362,""),_xlpm.cleanRaw,SUBSTITUTE(SUBSTITUTE(_xlpm.raw,"_PIN","."),"PIN","."),_xlpm.mainPart,MID(_xlpm.cleanRaw,2,FIND(".",_xlpm.cleanRaw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7" t="str">
        <f>""</f>
        <v/>
      </c>
      <c r="J687" t="str">
        <f t="shared" si="10"/>
        <v>AF4;VSS;;1.951;13.455;;;;</v>
      </c>
    </row>
    <row r="688" spans="1:10">
      <c r="A688" t="s">
        <v>1466</v>
      </c>
      <c r="B688" t="str">
        <f>_xlfn.XLOOKUP(A688,'Pinlist(S1)'!$Q$4:$Q$1362,'Pinlist(S1)'!$R$4:$R$1362,"")</f>
        <v>USB2N_6</v>
      </c>
      <c r="C688" t="str" cm="1">
        <f t="array" ref="C688">_xlfn.TEXTJOIN(",",TRUE,_xlfn.UNIQUE(TRANSPOSE(_xlfn.MAP(_xlfn.XLOOKUP(A688,'Pinlist(S1)'!$C$4:$C$1362,'Pinlist(S1)'!$F$4:$K$1362,""),_xlfn.LAMBDA(_xlpm.x,IF(_xlpm.x&lt;&gt;"",TRIM(CLEAN(LEFT(_xlpm.x,FIND(".",_xlpm.x &amp; ".")-1))),""))))))</f>
        <v>KA114,KA118</v>
      </c>
      <c r="D688">
        <v>2.7289999999999899</v>
      </c>
      <c r="E688">
        <v>13.315</v>
      </c>
      <c r="F688" t="str">
        <f>_xlfn.LET(_xlpm.raw,_xlfn.XLOOKUP(A688,'Pinlist(S1)'!$C$4:$C$1362,'Pinlist(S1)'!$E$4:$E$1362,""),_xlpm.cleanRaw,SUBSTITUTE(SUBSTITUTE(_xlpm.raw,"_PIN","."),"PIN","."),_xlpm.mainPart,MID(_xlpm.cleanRaw,2,FIND(".",_xlpm.cleanRaw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688" t="str">
        <f>_xlfn.LET(_xlpm.raw,_xlfn.XLOOKUP(A688,'Pinlist(S3)'!$C$4:$C$1362,'Pinlist(S3)'!$E$4:$E$1362,""),_xlpm.cleanRaw,SUBSTITUTE(SUBSTITUTE(_xlpm.raw,"_PIN","."),"PIN","."),_xlpm.mainPart,MID(_xlpm.cleanRaw,2,FIND(".",_xlpm.cleanRaw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688" t="str">
        <f>_xlfn.LET(_xlpm.raw,_xlfn.XLOOKUP(A688,'Pinlist(S5)'!$C$4:$C$1362,'Pinlist(S5)'!$E$4:$E$1362,""),_xlpm.cleanRaw,SUBSTITUTE(SUBSTITUTE(_xlpm.raw,"_PIN","."),"PIN","."),_xlpm.mainPart,MID(_xlpm.cleanRaw,2,FIND(".",_xlpm.cleanRaw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688" t="str">
        <f>""</f>
        <v/>
      </c>
      <c r="J688" t="str">
        <f t="shared" si="10"/>
        <v>AF6;USB2N_6;KA114,KA118;2.72899999999999;13.315;506001;809125;602077;</v>
      </c>
    </row>
    <row r="689" spans="1:10">
      <c r="A689" t="s">
        <v>1486</v>
      </c>
      <c r="B689" t="str">
        <f>_xlfn.XLOOKUP(A689,'Pinlist(S1)'!$Q$4:$Q$1362,'Pinlist(S1)'!$R$4:$R$1362,"")</f>
        <v>USB2P_6</v>
      </c>
      <c r="C689" t="str" cm="1">
        <f t="array" ref="C689">_xlfn.TEXTJOIN(",",TRUE,_xlfn.UNIQUE(TRANSPOSE(_xlfn.MAP(_xlfn.XLOOKUP(A689,'Pinlist(S1)'!$C$4:$C$1362,'Pinlist(S1)'!$F$4:$K$1362,""),_xlfn.LAMBDA(_xlpm.x,IF(_xlpm.x&lt;&gt;"",TRIM(CLEAN(LEFT(_xlpm.x,FIND(".",_xlpm.x &amp; ".")-1))),""))))))</f>
        <v>KA114,KA119</v>
      </c>
      <c r="D689">
        <v>3.379</v>
      </c>
      <c r="E689">
        <v>13.315</v>
      </c>
      <c r="F689" t="str">
        <f>_xlfn.LET(_xlpm.raw,_xlfn.XLOOKUP(A689,'Pinlist(S1)'!$C$4:$C$1362,'Pinlist(S1)'!$E$4:$E$1362,""),_xlpm.cleanRaw,SUBSTITUTE(SUBSTITUTE(_xlpm.raw,"_PIN","."),"PIN","."),_xlpm.mainPart,MID(_xlpm.cleanRaw,2,FIND(".",_xlpm.cleanRaw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689" t="str">
        <f>_xlfn.LET(_xlpm.raw,_xlfn.XLOOKUP(A689,'Pinlist(S3)'!$C$4:$C$1362,'Pinlist(S3)'!$E$4:$E$1362,""),_xlpm.cleanRaw,SUBSTITUTE(SUBSTITUTE(_xlpm.raw,"_PIN","."),"PIN","."),_xlpm.mainPart,MID(_xlpm.cleanRaw,2,FIND(".",_xlpm.cleanRaw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689" t="str">
        <f>_xlfn.LET(_xlpm.raw,_xlfn.XLOOKUP(A689,'Pinlist(S5)'!$C$4:$C$1362,'Pinlist(S5)'!$E$4:$E$1362,""),_xlpm.cleanRaw,SUBSTITUTE(SUBSTITUTE(_xlpm.raw,"_PIN","."),"PIN","."),_xlpm.mainPart,MID(_xlpm.cleanRaw,2,FIND(".",_xlpm.cleanRaw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689" t="str">
        <f>""</f>
        <v/>
      </c>
      <c r="J689" t="str">
        <f t="shared" si="10"/>
        <v>AF7;USB2P_6;KA114,KA119;3.379;13.315;506002;809126;602079;</v>
      </c>
    </row>
    <row r="690" spans="1:10">
      <c r="A690" t="s">
        <v>1470</v>
      </c>
      <c r="B690" t="str">
        <f>_xlfn.XLOOKUP(A690,'Pinlist(S1)'!$Q$4:$Q$1362,'Pinlist(S1)'!$R$4:$R$1362,"")</f>
        <v>USB2N_8</v>
      </c>
      <c r="C690" t="str" cm="1">
        <f t="array" ref="C690">_xlfn.TEXTJOIN(",",TRUE,_xlfn.UNIQUE(TRANSPOSE(_xlfn.MAP(_xlfn.XLOOKUP(A690,'Pinlist(S1)'!$C$4:$C$1362,'Pinlist(S1)'!$F$4:$K$1362,""),_xlfn.LAMBDA(_xlpm.x,IF(_xlpm.x&lt;&gt;"",TRIM(CLEAN(LEFT(_xlpm.x,FIND(".",_xlpm.x &amp; ".")-1))),""))))))</f>
        <v>KA115</v>
      </c>
      <c r="D690">
        <v>4.0289999999999901</v>
      </c>
      <c r="E690">
        <v>13.315</v>
      </c>
      <c r="F690" t="str">
        <f>_xlfn.LET(_xlpm.raw,_xlfn.XLOOKUP(A690,'Pinlist(S1)'!$C$4:$C$1362,'Pinlist(S1)'!$E$4:$E$1362,""),_xlpm.cleanRaw,SUBSTITUTE(SUBSTITUTE(_xlpm.raw,"_PIN","."),"PIN","."),_xlpm.mainPart,MID(_xlpm.cleanRaw,2,FIND(".",_xlpm.cleanRaw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506004</v>
      </c>
      <c r="G690" t="str">
        <f>_xlfn.LET(_xlpm.raw,_xlfn.XLOOKUP(A690,'Pinlist(S3)'!$C$4:$C$1362,'Pinlist(S3)'!$E$4:$E$1362,""),_xlpm.cleanRaw,SUBSTITUTE(SUBSTITUTE(_xlpm.raw,"_PIN","."),"PIN","."),_xlpm.mainPart,MID(_xlpm.cleanRaw,2,FIND(".",_xlpm.cleanRaw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809128</v>
      </c>
      <c r="H690" t="str">
        <f>_xlfn.LET(_xlpm.raw,_xlfn.XLOOKUP(A690,'Pinlist(S5)'!$C$4:$C$1362,'Pinlist(S5)'!$E$4:$E$1362,""),_xlpm.cleanRaw,SUBSTITUTE(SUBSTITUTE(_xlpm.raw,"_PIN","."),"PIN","."),_xlpm.mainPart,MID(_xlpm.cleanRaw,2,FIND(".",_xlpm.cleanRaw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I690" t="str">
        <f>""</f>
        <v/>
      </c>
      <c r="J690" t="str">
        <f t="shared" si="10"/>
        <v>AF8;USB2N_8;KA115;4.02899999999999;13.315;506004;809128;602066;</v>
      </c>
    </row>
    <row r="691" spans="1:10">
      <c r="A691" t="s">
        <v>1490</v>
      </c>
      <c r="B691" t="str">
        <f>_xlfn.XLOOKUP(A691,'Pinlist(S1)'!$Q$4:$Q$1362,'Pinlist(S1)'!$R$4:$R$1362,"")</f>
        <v>USB2P_8</v>
      </c>
      <c r="C691" t="str" cm="1">
        <f t="array" ref="C691">_xlfn.TEXTJOIN(",",TRUE,_xlfn.UNIQUE(TRANSPOSE(_xlfn.MAP(_xlfn.XLOOKUP(A691,'Pinlist(S1)'!$C$4:$C$1362,'Pinlist(S1)'!$F$4:$K$1362,""),_xlfn.LAMBDA(_xlpm.x,IF(_xlpm.x&lt;&gt;"",TRIM(CLEAN(LEFT(_xlpm.x,FIND(".",_xlpm.x &amp; ".")-1))),""))))))</f>
        <v>KA115</v>
      </c>
      <c r="D691">
        <v>4.6790000000000003</v>
      </c>
      <c r="E691">
        <v>13.315</v>
      </c>
      <c r="F691" t="str">
        <f>_xlfn.LET(_xlpm.raw,_xlfn.XLOOKUP(A691,'Pinlist(S1)'!$C$4:$C$1362,'Pinlist(S1)'!$E$4:$E$1362,""),_xlpm.cleanRaw,SUBSTITUTE(SUBSTITUTE(_xlpm.raw,"_PIN","."),"PIN","."),_xlpm.mainPart,MID(_xlpm.cleanRaw,2,FIND(".",_xlpm.cleanRaw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506003</v>
      </c>
      <c r="G691" t="str">
        <f>_xlfn.LET(_xlpm.raw,_xlfn.XLOOKUP(A691,'Pinlist(S3)'!$C$4:$C$1362,'Pinlist(S3)'!$E$4:$E$1362,""),_xlpm.cleanRaw,SUBSTITUTE(SUBSTITUTE(_xlpm.raw,"_PIN","."),"PIN","."),_xlpm.mainPart,MID(_xlpm.cleanRaw,2,FIND(".",_xlpm.cleanRaw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809127</v>
      </c>
      <c r="H691" t="str">
        <f>_xlfn.LET(_xlpm.raw,_xlfn.XLOOKUP(A691,'Pinlist(S5)'!$C$4:$C$1362,'Pinlist(S5)'!$E$4:$E$1362,""),_xlpm.cleanRaw,SUBSTITUTE(SUBSTITUTE(_xlpm.raw,"_PIN","."),"PIN","."),_xlpm.mainPart,MID(_xlpm.cleanRaw,2,FIND(".",_xlpm.cleanRaw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I691" t="str">
        <f>""</f>
        <v/>
      </c>
      <c r="J691" t="str">
        <f t="shared" si="10"/>
        <v>AF9;USB2P_8;KA115;4.679;13.315;506003;809127;602065;</v>
      </c>
    </row>
    <row r="692" spans="1:10">
      <c r="A692" t="s">
        <v>1910</v>
      </c>
      <c r="B692" t="str">
        <f>_xlfn.XLOOKUP(A692,'Pinlist(S1)'!$Q$4:$Q$1362,'Pinlist(S1)'!$R$4:$R$1362,"")</f>
        <v>VSS</v>
      </c>
      <c r="C692" t="str" cm="1">
        <f t="array" ref="C692">_xlfn.TEXTJOIN(",",TRUE,_xlfn.UNIQUE(TRANSPOSE(_xlfn.MAP(_xlfn.XLOOKUP(A692,'Pinlist(S1)'!$C$4:$C$1362,'Pinlist(S1)'!$F$4:$K$1362,""),_xlfn.LAMBDA(_xlpm.x,IF(_xlpm.x&lt;&gt;"",TRIM(CLEAN(LEFT(_xlpm.x,FIND(".",_xlpm.x &amp; ".")-1))),""))))))</f>
        <v/>
      </c>
      <c r="D692">
        <v>5.3289999999999997</v>
      </c>
      <c r="E692">
        <v>13.315</v>
      </c>
      <c r="F692" t="str">
        <f>_xlfn.LET(_xlpm.raw,_xlfn.XLOOKUP(A692,'Pinlist(S1)'!$C$4:$C$1362,'Pinlist(S1)'!$E$4:$E$1362,""),_xlpm.cleanRaw,SUBSTITUTE(SUBSTITUTE(_xlpm.raw,"_PIN","."),"PIN","."),_xlpm.mainPart,MID(_xlpm.cleanRaw,2,FIND(".",_xlpm.cleanRaw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2" t="str">
        <f>_xlfn.LET(_xlpm.raw,_xlfn.XLOOKUP(A692,'Pinlist(S3)'!$C$4:$C$1362,'Pinlist(S3)'!$E$4:$E$1362,""),_xlpm.cleanRaw,SUBSTITUTE(SUBSTITUTE(_xlpm.raw,"_PIN","."),"PIN","."),_xlpm.mainPart,MID(_xlpm.cleanRaw,2,FIND(".",_xlpm.cleanRaw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2" t="str">
        <f>_xlfn.LET(_xlpm.raw,_xlfn.XLOOKUP(A692,'Pinlist(S5)'!$C$4:$C$1362,'Pinlist(S5)'!$E$4:$E$1362,""),_xlpm.cleanRaw,SUBSTITUTE(SUBSTITUTE(_xlpm.raw,"_PIN","."),"PIN","."),_xlpm.mainPart,MID(_xlpm.cleanRaw,2,FIND(".",_xlpm.cleanRaw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2" t="str">
        <f>""</f>
        <v/>
      </c>
      <c r="J692" t="str">
        <f t="shared" si="10"/>
        <v>AF10;VSS;;5.329;13.315;;;;</v>
      </c>
    </row>
    <row r="693" spans="1:10">
      <c r="A693" t="s">
        <v>1093</v>
      </c>
      <c r="B693" t="str">
        <f>_xlfn.XLOOKUP(A693,'Pinlist(S1)'!$Q$4:$Q$1362,'Pinlist(S1)'!$R$4:$R$1362,"")</f>
        <v>GPP_F_8_I2C4_SDA</v>
      </c>
      <c r="C693" t="str" cm="1">
        <f t="array" ref="C693">_xlfn.TEXTJOIN(",",TRUE,_xlfn.UNIQUE(TRANSPOSE(_xlfn.MAP(_xlfn.XLOOKUP(A693,'Pinlist(S1)'!$C$4:$C$1362,'Pinlist(S1)'!$F$4:$K$1362,""),_xlfn.LAMBDA(_xlpm.x,IF(_xlpm.x&lt;&gt;"",TRIM(CLEAN(LEFT(_xlpm.x,FIND(".",_xlpm.x &amp; ".")-1))),""))))))</f>
        <v/>
      </c>
      <c r="D693">
        <v>5.98</v>
      </c>
      <c r="E693">
        <v>13.315</v>
      </c>
      <c r="F693" t="str">
        <f>_xlfn.LET(_xlpm.raw,_xlfn.XLOOKUP(A693,'Pinlist(S1)'!$C$4:$C$1362,'Pinlist(S1)'!$E$4:$E$1362,""),_xlpm.cleanRaw,SUBSTITUTE(SUBSTITUTE(_xlpm.raw,"_PIN","."),"PIN","."),_xlpm.mainPart,MID(_xlpm.cleanRaw,2,FIND(".",_xlpm.cleanRaw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693" t="str">
        <f>_xlfn.LET(_xlpm.raw,_xlfn.XLOOKUP(A693,'Pinlist(S3)'!$C$4:$C$1362,'Pinlist(S3)'!$E$4:$E$1362,""),_xlpm.cleanRaw,SUBSTITUTE(SUBSTITUTE(_xlpm.raw,"_PIN","."),"PIN","."),_xlpm.mainPart,MID(_xlpm.cleanRaw,2,FIND(".",_xlpm.cleanRaw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693" t="str">
        <f>_xlfn.LET(_xlpm.raw,_xlfn.XLOOKUP(A693,'Pinlist(S5)'!$C$4:$C$1362,'Pinlist(S5)'!$E$4:$E$1362,""),_xlpm.cleanRaw,SUBSTITUTE(SUBSTITUTE(_xlpm.raw,"_PIN","."),"PIN","."),_xlpm.mainPart,MID(_xlpm.cleanRaw,2,FIND(".",_xlpm.cleanRaw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693" t="str">
        <f>""</f>
        <v/>
      </c>
      <c r="J693" t="str">
        <f t="shared" si="10"/>
        <v>AF11;GPP_F_8_I2C4_SDA;;5.98;13.315;506015;806088;601009;</v>
      </c>
    </row>
    <row r="694" spans="1:10">
      <c r="A694" t="s">
        <v>1095</v>
      </c>
      <c r="B694" t="str">
        <f>_xlfn.XLOOKUP(A694,'Pinlist(S1)'!$Q$4:$Q$1362,'Pinlist(S1)'!$R$4:$R$1362,"")</f>
        <v>GPP_F_9_I2C4_SCL</v>
      </c>
      <c r="C694" t="str" cm="1">
        <f t="array" ref="C694">_xlfn.TEXTJOIN(",",TRUE,_xlfn.UNIQUE(TRANSPOSE(_xlfn.MAP(_xlfn.XLOOKUP(A694,'Pinlist(S1)'!$C$4:$C$1362,'Pinlist(S1)'!$F$4:$K$1362,""),_xlfn.LAMBDA(_xlpm.x,IF(_xlpm.x&lt;&gt;"",TRIM(CLEAN(LEFT(_xlpm.x,FIND(".",_xlpm.x &amp; ".")-1))),""))))))</f>
        <v/>
      </c>
      <c r="D694">
        <v>6.63</v>
      </c>
      <c r="E694">
        <v>13.315</v>
      </c>
      <c r="F694" t="str">
        <f>_xlfn.LET(_xlpm.raw,_xlfn.XLOOKUP(A694,'Pinlist(S1)'!$C$4:$C$1362,'Pinlist(S1)'!$E$4:$E$1362,""),_xlpm.cleanRaw,SUBSTITUTE(SUBSTITUTE(_xlpm.raw,"_PIN","."),"PIN","."),_xlpm.mainPart,MID(_xlpm.cleanRaw,2,FIND(".",_xlpm.cleanRaw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694" t="str">
        <f>_xlfn.LET(_xlpm.raw,_xlfn.XLOOKUP(A694,'Pinlist(S3)'!$C$4:$C$1362,'Pinlist(S3)'!$E$4:$E$1362,""),_xlpm.cleanRaw,SUBSTITUTE(SUBSTITUTE(_xlpm.raw,"_PIN","."),"PIN","."),_xlpm.mainPart,MID(_xlpm.cleanRaw,2,FIND(".",_xlpm.cleanRaw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694" t="str">
        <f>_xlfn.LET(_xlpm.raw,_xlfn.XLOOKUP(A694,'Pinlist(S5)'!$C$4:$C$1362,'Pinlist(S5)'!$E$4:$E$1362,""),_xlpm.cleanRaw,SUBSTITUTE(SUBSTITUTE(_xlpm.raw,"_PIN","."),"PIN","."),_xlpm.mainPart,MID(_xlpm.cleanRaw,2,FIND(".",_xlpm.cleanRaw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694" t="str">
        <f>""</f>
        <v/>
      </c>
      <c r="J694" t="str">
        <f t="shared" si="10"/>
        <v>AF12;GPP_F_9_I2C4_SCL;;6.63;13.315;507093;807013;701105;</v>
      </c>
    </row>
    <row r="695" spans="1:10">
      <c r="A695" t="s">
        <v>1080</v>
      </c>
      <c r="B695" t="str">
        <f>_xlfn.XLOOKUP(A695,'Pinlist(S1)'!$Q$4:$Q$1362,'Pinlist(S1)'!$R$4:$R$1362,"")</f>
        <v>GPP_F_23</v>
      </c>
      <c r="C695" t="str" cm="1">
        <f t="array" ref="C695">_xlfn.TEXTJOIN(",",TRUE,_xlfn.UNIQUE(TRANSPOSE(_xlfn.MAP(_xlfn.XLOOKUP(A695,'Pinlist(S1)'!$C$4:$C$1362,'Pinlist(S1)'!$F$4:$K$1362,""),_xlfn.LAMBDA(_xlpm.x,IF(_xlpm.x&lt;&gt;"",TRIM(CLEAN(LEFT(_xlpm.x,FIND(".",_xlpm.x &amp; ".")-1))),""))))))</f>
        <v>KA144,KA108</v>
      </c>
      <c r="D695">
        <v>7.28</v>
      </c>
      <c r="E695">
        <v>13.315</v>
      </c>
      <c r="F695" t="str">
        <f>_xlfn.LET(_xlpm.raw,_xlfn.XLOOKUP(A695,'Pinlist(S1)'!$C$4:$C$1362,'Pinlist(S1)'!$E$4:$E$1362,""),_xlpm.cleanRaw,SUBSTITUTE(SUBSTITUTE(_xlpm.raw,"_PIN","."),"PIN","."),_xlpm.mainPart,MID(_xlpm.cleanRaw,2,FIND(".",_xlpm.cleanRaw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695" t="str">
        <f>_xlfn.LET(_xlpm.raw,_xlfn.XLOOKUP(A695,'Pinlist(S3)'!$C$4:$C$1362,'Pinlist(S3)'!$E$4:$E$1362,""),_xlpm.cleanRaw,SUBSTITUTE(SUBSTITUTE(_xlpm.raw,"_PIN","."),"PIN","."),_xlpm.mainPart,MID(_xlpm.cleanRaw,2,FIND(".",_xlpm.cleanRaw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695" t="str">
        <f>_xlfn.LET(_xlpm.raw,_xlfn.XLOOKUP(A695,'Pinlist(S5)'!$C$4:$C$1362,'Pinlist(S5)'!$E$4:$E$1362,""),_xlpm.cleanRaw,SUBSTITUTE(SUBSTITUTE(_xlpm.raw,"_PIN","."),"PIN","."),_xlpm.mainPart,MID(_xlpm.cleanRaw,2,FIND(".",_xlpm.cleanRaw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695" t="str">
        <f>""</f>
        <v/>
      </c>
      <c r="J695" t="str">
        <f t="shared" si="10"/>
        <v>AF13;GPP_F_23;KA144,KA108;7.28;13.315;508053;805047;703034;</v>
      </c>
    </row>
    <row r="696" spans="1:10">
      <c r="A696" t="s">
        <v>1911</v>
      </c>
      <c r="B696" t="str">
        <f>_xlfn.XLOOKUP(A696,'Pinlist(S1)'!$Q$4:$Q$1362,'Pinlist(S1)'!$R$4:$R$1362,"")</f>
        <v>VSS</v>
      </c>
      <c r="C696" t="str" cm="1">
        <f t="array" ref="C696">_xlfn.TEXTJOIN(",",TRUE,_xlfn.UNIQUE(TRANSPOSE(_xlfn.MAP(_xlfn.XLOOKUP(A696,'Pinlist(S1)'!$C$4:$C$1362,'Pinlist(S1)'!$F$4:$K$1362,""),_xlfn.LAMBDA(_xlpm.x,IF(_xlpm.x&lt;&gt;"",TRIM(CLEAN(LEFT(_xlpm.x,FIND(".",_xlpm.x &amp; ".")-1))),""))))))</f>
        <v/>
      </c>
      <c r="D696">
        <v>8.1259999999999906</v>
      </c>
      <c r="E696">
        <v>12.981999999999999</v>
      </c>
      <c r="F696" t="str">
        <f>_xlfn.LET(_xlpm.raw,_xlfn.XLOOKUP(A696,'Pinlist(S1)'!$C$4:$C$1362,'Pinlist(S1)'!$E$4:$E$1362,""),_xlpm.cleanRaw,SUBSTITUTE(SUBSTITUTE(_xlpm.raw,"_PIN","."),"PIN","."),_xlpm.mainPart,MID(_xlpm.cleanRaw,2,FIND(".",_xlpm.cleanRaw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6" t="str">
        <f>_xlfn.LET(_xlpm.raw,_xlfn.XLOOKUP(A696,'Pinlist(S3)'!$C$4:$C$1362,'Pinlist(S3)'!$E$4:$E$1362,""),_xlpm.cleanRaw,SUBSTITUTE(SUBSTITUTE(_xlpm.raw,"_PIN","."),"PIN","."),_xlpm.mainPart,MID(_xlpm.cleanRaw,2,FIND(".",_xlpm.cleanRaw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6" t="str">
        <f>_xlfn.LET(_xlpm.raw,_xlfn.XLOOKUP(A696,'Pinlist(S5)'!$C$4:$C$1362,'Pinlist(S5)'!$E$4:$E$1362,""),_xlpm.cleanRaw,SUBSTITUTE(SUBSTITUTE(_xlpm.raw,"_PIN","."),"PIN","."),_xlpm.mainPart,MID(_xlpm.cleanRaw,2,FIND(".",_xlpm.cleanRaw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6" t="str">
        <f>""</f>
        <v/>
      </c>
      <c r="J696" t="str">
        <f t="shared" si="10"/>
        <v>AF15;VSS;;8.12599999999999;12.982;;;;</v>
      </c>
    </row>
    <row r="697" spans="1:10">
      <c r="A697" t="s">
        <v>1807</v>
      </c>
      <c r="B697" t="str">
        <f>_xlfn.XLOOKUP(A697,'Pinlist(S1)'!$Q$4:$Q$1362,'Pinlist(S1)'!$R$4:$R$1362,"")</f>
        <v>VCCPGPPF</v>
      </c>
      <c r="C697" t="str" cm="1">
        <f t="array" ref="C697">_xlfn.TEXTJOIN(",",TRUE,_xlfn.UNIQUE(TRANSPOSE(_xlfn.MAP(_xlfn.XLOOKUP(A697,'Pinlist(S1)'!$C$4:$C$1362,'Pinlist(S1)'!$F$4:$K$1362,""),_xlfn.LAMBDA(_xlpm.x,IF(_xlpm.x&lt;&gt;"",TRIM(CLEAN(LEFT(_xlpm.x,FIND(".",_xlpm.x &amp; ".")-1))),""))))))</f>
        <v/>
      </c>
      <c r="D697">
        <v>8.7759999999999998</v>
      </c>
      <c r="E697">
        <v>12.981999999999999</v>
      </c>
      <c r="F697" t="str">
        <f>_xlfn.LET(_xlpm.raw,_xlfn.XLOOKUP(A697,'Pinlist(S1)'!$C$4:$C$1362,'Pinlist(S1)'!$E$4:$E$1362,""),_xlpm.cleanRaw,SUBSTITUTE(SUBSTITUTE(_xlpm.raw,"_PIN","."),"PIN","."),_xlpm.mainPart,MID(_xlpm.cleanRaw,2,FIND(".",_xlpm.cleanRaw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7" t="str">
        <f>_xlfn.LET(_xlpm.raw,_xlfn.XLOOKUP(A697,'Pinlist(S3)'!$C$4:$C$1362,'Pinlist(S3)'!$E$4:$E$1362,""),_xlpm.cleanRaw,SUBSTITUTE(SUBSTITUTE(_xlpm.raw,"_PIN","."),"PIN","."),_xlpm.mainPart,MID(_xlpm.cleanRaw,2,FIND(".",_xlpm.cleanRaw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7" t="str">
        <f>_xlfn.LET(_xlpm.raw,_xlfn.XLOOKUP(A697,'Pinlist(S5)'!$C$4:$C$1362,'Pinlist(S5)'!$E$4:$E$1362,""),_xlpm.cleanRaw,SUBSTITUTE(SUBSTITUTE(_xlpm.raw,"_PIN","."),"PIN","."),_xlpm.mainPart,MID(_xlpm.cleanRaw,2,FIND(".",_xlpm.cleanRaw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7" t="str">
        <f>""</f>
        <v/>
      </c>
      <c r="J697" t="str">
        <f t="shared" si="10"/>
        <v>AF16;VCCPGPPF;;8.776;12.982;;;;</v>
      </c>
    </row>
    <row r="698" spans="1:10">
      <c r="A698" t="s">
        <v>1912</v>
      </c>
      <c r="B698" t="str">
        <f>_xlfn.XLOOKUP(A698,'Pinlist(S1)'!$Q$4:$Q$1362,'Pinlist(S1)'!$R$4:$R$1362,"")</f>
        <v>VSS</v>
      </c>
      <c r="C698" t="str" cm="1">
        <f t="array" ref="C698">_xlfn.TEXTJOIN(",",TRUE,_xlfn.UNIQUE(TRANSPOSE(_xlfn.MAP(_xlfn.XLOOKUP(A698,'Pinlist(S1)'!$C$4:$C$1362,'Pinlist(S1)'!$F$4:$K$1362,""),_xlfn.LAMBDA(_xlpm.x,IF(_xlpm.x&lt;&gt;"",TRIM(CLEAN(LEFT(_xlpm.x,FIND(".",_xlpm.x &amp; ".")-1))),""))))))</f>
        <v/>
      </c>
      <c r="D698">
        <v>9.4260000000000002</v>
      </c>
      <c r="E698">
        <v>12.981999999999999</v>
      </c>
      <c r="F698" t="str">
        <f>_xlfn.LET(_xlpm.raw,_xlfn.XLOOKUP(A698,'Pinlist(S1)'!$C$4:$C$1362,'Pinlist(S1)'!$E$4:$E$1362,""),_xlpm.cleanRaw,SUBSTITUTE(SUBSTITUTE(_xlpm.raw,"_PIN","."),"PIN","."),_xlpm.mainPart,MID(_xlpm.cleanRaw,2,FIND(".",_xlpm.cleanRaw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8" t="str">
        <f>_xlfn.LET(_xlpm.raw,_xlfn.XLOOKUP(A698,'Pinlist(S3)'!$C$4:$C$1362,'Pinlist(S3)'!$E$4:$E$1362,""),_xlpm.cleanRaw,SUBSTITUTE(SUBSTITUTE(_xlpm.raw,"_PIN","."),"PIN","."),_xlpm.mainPart,MID(_xlpm.cleanRaw,2,FIND(".",_xlpm.cleanRaw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8" t="str">
        <f>_xlfn.LET(_xlpm.raw,_xlfn.XLOOKUP(A698,'Pinlist(S5)'!$C$4:$C$1362,'Pinlist(S5)'!$E$4:$E$1362,""),_xlpm.cleanRaw,SUBSTITUTE(SUBSTITUTE(_xlpm.raw,"_PIN","."),"PIN","."),_xlpm.mainPart,MID(_xlpm.cleanRaw,2,FIND(".",_xlpm.cleanRaw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8" t="str">
        <f>""</f>
        <v/>
      </c>
      <c r="J698" t="str">
        <f t="shared" si="10"/>
        <v>AF17;VSS;;9.426;12.982;;;;</v>
      </c>
    </row>
    <row r="699" spans="1:10">
      <c r="A699" t="s">
        <v>1818</v>
      </c>
      <c r="B699" t="str">
        <f>_xlfn.XLOOKUP(A699,'Pinlist(S1)'!$Q$4:$Q$1362,'Pinlist(S1)'!$R$4:$R$1362,"")</f>
        <v>VCCPRIM_CORE</v>
      </c>
      <c r="C699" t="str" cm="1">
        <f t="array" ref="C699">_xlfn.TEXTJOIN(",",TRUE,_xlfn.UNIQUE(TRANSPOSE(_xlfn.MAP(_xlfn.XLOOKUP(A699,'Pinlist(S1)'!$C$4:$C$1362,'Pinlist(S1)'!$F$4:$K$1362,""),_xlfn.LAMBDA(_xlpm.x,IF(_xlpm.x&lt;&gt;"",TRIM(CLEAN(LEFT(_xlpm.x,FIND(".",_xlpm.x &amp; ".")-1))),""))))))</f>
        <v/>
      </c>
      <c r="D699">
        <v>10.076000000000001</v>
      </c>
      <c r="E699">
        <v>12.981999999999999</v>
      </c>
      <c r="F699" t="str">
        <f>_xlfn.LET(_xlpm.raw,_xlfn.XLOOKUP(A699,'Pinlist(S1)'!$C$4:$C$1362,'Pinlist(S1)'!$E$4:$E$1362,""),_xlpm.cleanRaw,SUBSTITUTE(SUBSTITUTE(_xlpm.raw,"_PIN","."),"PIN","."),_xlpm.mainPart,MID(_xlpm.cleanRaw,2,FIND(".",_xlpm.cleanRaw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9" t="str">
        <f>_xlfn.LET(_xlpm.raw,_xlfn.XLOOKUP(A699,'Pinlist(S3)'!$C$4:$C$1362,'Pinlist(S3)'!$E$4:$E$1362,""),_xlpm.cleanRaw,SUBSTITUTE(SUBSTITUTE(_xlpm.raw,"_PIN","."),"PIN","."),_xlpm.mainPart,MID(_xlpm.cleanRaw,2,FIND(".",_xlpm.cleanRaw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9" t="str">
        <f>_xlfn.LET(_xlpm.raw,_xlfn.XLOOKUP(A699,'Pinlist(S5)'!$C$4:$C$1362,'Pinlist(S5)'!$E$4:$E$1362,""),_xlpm.cleanRaw,SUBSTITUTE(SUBSTITUTE(_xlpm.raw,"_PIN","."),"PIN","."),_xlpm.mainPart,MID(_xlpm.cleanRaw,2,FIND(".",_xlpm.cleanRaw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9" t="str">
        <f>""</f>
        <v/>
      </c>
      <c r="J699" t="str">
        <f t="shared" si="10"/>
        <v>AF18;VCCPRIM_CORE;;10.076;12.982;;;;</v>
      </c>
    </row>
    <row r="700" spans="1:10">
      <c r="A700" t="s">
        <v>1821</v>
      </c>
      <c r="B700" t="str">
        <f>_xlfn.XLOOKUP(A700,'Pinlist(S1)'!$Q$4:$Q$1362,'Pinlist(S1)'!$R$4:$R$1362,"")</f>
        <v>VCCPRIM_CORE</v>
      </c>
      <c r="C700" t="str" cm="1">
        <f t="array" ref="C700">_xlfn.TEXTJOIN(",",TRUE,_xlfn.UNIQUE(TRANSPOSE(_xlfn.MAP(_xlfn.XLOOKUP(A700,'Pinlist(S1)'!$C$4:$C$1362,'Pinlist(S1)'!$F$4:$K$1362,""),_xlfn.LAMBDA(_xlpm.x,IF(_xlpm.x&lt;&gt;"",TRIM(CLEAN(LEFT(_xlpm.x,FIND(".",_xlpm.x &amp; ".")-1))),""))))))</f>
        <v/>
      </c>
      <c r="D700">
        <v>10.727</v>
      </c>
      <c r="E700">
        <v>12.981999999999999</v>
      </c>
      <c r="F700" t="str">
        <f>_xlfn.LET(_xlpm.raw,_xlfn.XLOOKUP(A700,'Pinlist(S1)'!$C$4:$C$1362,'Pinlist(S1)'!$E$4:$E$1362,""),_xlpm.cleanRaw,SUBSTITUTE(SUBSTITUTE(_xlpm.raw,"_PIN","."),"PIN","."),_xlpm.mainPart,MID(_xlpm.cleanRaw,2,FIND(".",_xlpm.cleanRaw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0" t="str">
        <f>_xlfn.LET(_xlpm.raw,_xlfn.XLOOKUP(A700,'Pinlist(S3)'!$C$4:$C$1362,'Pinlist(S3)'!$E$4:$E$1362,""),_xlpm.cleanRaw,SUBSTITUTE(SUBSTITUTE(_xlpm.raw,"_PIN","."),"PIN","."),_xlpm.mainPart,MID(_xlpm.cleanRaw,2,FIND(".",_xlpm.cleanRaw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0" t="str">
        <f>_xlfn.LET(_xlpm.raw,_xlfn.XLOOKUP(A700,'Pinlist(S5)'!$C$4:$C$1362,'Pinlist(S5)'!$E$4:$E$1362,""),_xlpm.cleanRaw,SUBSTITUTE(SUBSTITUTE(_xlpm.raw,"_PIN","."),"PIN","."),_xlpm.mainPart,MID(_xlpm.cleanRaw,2,FIND(".",_xlpm.cleanRaw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0" t="str">
        <f>""</f>
        <v/>
      </c>
      <c r="J700" t="str">
        <f t="shared" si="10"/>
        <v>AF19;VCCPRIM_CORE;;10.727;12.982;;;;</v>
      </c>
    </row>
    <row r="701" spans="1:10">
      <c r="A701" t="s">
        <v>1862</v>
      </c>
      <c r="B701" t="str">
        <f>_xlfn.XLOOKUP(A701,'Pinlist(S1)'!$Q$4:$Q$1362,'Pinlist(S1)'!$R$4:$R$1362,"")</f>
        <v>VCCSRAM_1P0</v>
      </c>
      <c r="C701" t="str" cm="1">
        <f t="array" ref="C701">_xlfn.TEXTJOIN(",",TRUE,_xlfn.UNIQUE(TRANSPOSE(_xlfn.MAP(_xlfn.XLOOKUP(A701,'Pinlist(S1)'!$C$4:$C$1362,'Pinlist(S1)'!$F$4:$K$1362,""),_xlfn.LAMBDA(_xlpm.x,IF(_xlpm.x&lt;&gt;"",TRIM(CLEAN(LEFT(_xlpm.x,FIND(".",_xlpm.x &amp; ".")-1))),""))))))</f>
        <v/>
      </c>
      <c r="D701">
        <v>11.377000000000001</v>
      </c>
      <c r="E701">
        <v>12.981999999999999</v>
      </c>
      <c r="F701" t="str">
        <f>_xlfn.LET(_xlpm.raw,_xlfn.XLOOKUP(A701,'Pinlist(S1)'!$C$4:$C$1362,'Pinlist(S1)'!$E$4:$E$1362,""),_xlpm.cleanRaw,SUBSTITUTE(SUBSTITUTE(_xlpm.raw,"_PIN","."),"PIN","."),_xlpm.mainPart,MID(_xlpm.cleanRaw,2,FIND(".",_xlpm.cleanRaw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1" t="str">
        <f>_xlfn.LET(_xlpm.raw,_xlfn.XLOOKUP(A701,'Pinlist(S3)'!$C$4:$C$1362,'Pinlist(S3)'!$E$4:$E$1362,""),_xlpm.cleanRaw,SUBSTITUTE(SUBSTITUTE(_xlpm.raw,"_PIN","."),"PIN","."),_xlpm.mainPart,MID(_xlpm.cleanRaw,2,FIND(".",_xlpm.cleanRaw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1" t="str">
        <f>_xlfn.LET(_xlpm.raw,_xlfn.XLOOKUP(A701,'Pinlist(S5)'!$C$4:$C$1362,'Pinlist(S5)'!$E$4:$E$1362,""),_xlpm.cleanRaw,SUBSTITUTE(SUBSTITUTE(_xlpm.raw,"_PIN","."),"PIN","."),_xlpm.mainPart,MID(_xlpm.cleanRaw,2,FIND(".",_xlpm.cleanRaw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1" t="str">
        <f>""</f>
        <v/>
      </c>
      <c r="J701" t="str">
        <f t="shared" si="10"/>
        <v>AF20;VCCSRAM_1P0;;11.377;12.982;;;;</v>
      </c>
    </row>
    <row r="702" spans="1:10">
      <c r="A702" t="s">
        <v>1865</v>
      </c>
      <c r="B702" t="str">
        <f>_xlfn.XLOOKUP(A702,'Pinlist(S1)'!$Q$4:$Q$1362,'Pinlist(S1)'!$R$4:$R$1362,"")</f>
        <v>VCCSRAM_1P0</v>
      </c>
      <c r="C702" t="str" cm="1">
        <f t="array" ref="C702">_xlfn.TEXTJOIN(",",TRUE,_xlfn.UNIQUE(TRANSPOSE(_xlfn.MAP(_xlfn.XLOOKUP(A702,'Pinlist(S1)'!$C$4:$C$1362,'Pinlist(S1)'!$F$4:$K$1362,""),_xlfn.LAMBDA(_xlpm.x,IF(_xlpm.x&lt;&gt;"",TRIM(CLEAN(LEFT(_xlpm.x,FIND(".",_xlpm.x &amp; ".")-1))),""))))))</f>
        <v/>
      </c>
      <c r="D702">
        <v>12.026999999999999</v>
      </c>
      <c r="E702">
        <v>12.981999999999999</v>
      </c>
      <c r="F702" t="str">
        <f>_xlfn.LET(_xlpm.raw,_xlfn.XLOOKUP(A702,'Pinlist(S1)'!$C$4:$C$1362,'Pinlist(S1)'!$E$4:$E$1362,""),_xlpm.cleanRaw,SUBSTITUTE(SUBSTITUTE(_xlpm.raw,"_PIN","."),"PIN","."),_xlpm.mainPart,MID(_xlpm.cleanRaw,2,FIND(".",_xlpm.cleanRaw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2" t="str">
        <f>_xlfn.LET(_xlpm.raw,_xlfn.XLOOKUP(A702,'Pinlist(S3)'!$C$4:$C$1362,'Pinlist(S3)'!$E$4:$E$1362,""),_xlpm.cleanRaw,SUBSTITUTE(SUBSTITUTE(_xlpm.raw,"_PIN","."),"PIN","."),_xlpm.mainPart,MID(_xlpm.cleanRaw,2,FIND(".",_xlpm.cleanRaw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2" t="str">
        <f>_xlfn.LET(_xlpm.raw,_xlfn.XLOOKUP(A702,'Pinlist(S5)'!$C$4:$C$1362,'Pinlist(S5)'!$E$4:$E$1362,""),_xlpm.cleanRaw,SUBSTITUTE(SUBSTITUTE(_xlpm.raw,"_PIN","."),"PIN","."),_xlpm.mainPart,MID(_xlpm.cleanRaw,2,FIND(".",_xlpm.cleanRaw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2" t="str">
        <f>""</f>
        <v/>
      </c>
      <c r="J702" t="str">
        <f t="shared" si="10"/>
        <v>AF21;VCCSRAM_1P0;;12.027;12.982;;;;</v>
      </c>
    </row>
    <row r="703" spans="1:10">
      <c r="A703" t="s">
        <v>1915</v>
      </c>
      <c r="B703" t="str">
        <f>_xlfn.XLOOKUP(A703,'Pinlist(S1)'!$Q$4:$Q$1362,'Pinlist(S1)'!$R$4:$R$1362,"")</f>
        <v>VSS</v>
      </c>
      <c r="C703" t="str" cm="1">
        <f t="array" ref="C703">_xlfn.TEXTJOIN(",",TRUE,_xlfn.UNIQUE(TRANSPOSE(_xlfn.MAP(_xlfn.XLOOKUP(A703,'Pinlist(S1)'!$C$4:$C$1362,'Pinlist(S1)'!$F$4:$K$1362,""),_xlfn.LAMBDA(_xlpm.x,IF(_xlpm.x&lt;&gt;"",TRIM(CLEAN(LEFT(_xlpm.x,FIND(".",_xlpm.x &amp; ".")-1))),""))))))</f>
        <v/>
      </c>
      <c r="D703">
        <v>35.427</v>
      </c>
      <c r="E703">
        <v>13.462</v>
      </c>
      <c r="F703" t="str">
        <f>_xlfn.LET(_xlpm.raw,_xlfn.XLOOKUP(A703,'Pinlist(S1)'!$C$4:$C$1362,'Pinlist(S1)'!$E$4:$E$1362,""),_xlpm.cleanRaw,SUBSTITUTE(SUBSTITUTE(_xlpm.raw,"_PIN","."),"PIN","."),_xlpm.mainPart,MID(_xlpm.cleanRaw,2,FIND(".",_xlpm.cleanRaw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3" t="str">
        <f>_xlfn.LET(_xlpm.raw,_xlfn.XLOOKUP(A703,'Pinlist(S3)'!$C$4:$C$1362,'Pinlist(S3)'!$E$4:$E$1362,""),_xlpm.cleanRaw,SUBSTITUTE(SUBSTITUTE(_xlpm.raw,"_PIN","."),"PIN","."),_xlpm.mainPart,MID(_xlpm.cleanRaw,2,FIND(".",_xlpm.cleanRaw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3" t="str">
        <f>_xlfn.LET(_xlpm.raw,_xlfn.XLOOKUP(A703,'Pinlist(S5)'!$C$4:$C$1362,'Pinlist(S5)'!$E$4:$E$1362,""),_xlpm.cleanRaw,SUBSTITUTE(SUBSTITUTE(_xlpm.raw,"_PIN","."),"PIN","."),_xlpm.mainPart,MID(_xlpm.cleanRaw,2,FIND(".",_xlpm.cleanRaw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3" t="str">
        <f>""</f>
        <v/>
      </c>
      <c r="J703" t="str">
        <f t="shared" si="10"/>
        <v>AF63;VSS;;35.427;13.462;;;;</v>
      </c>
    </row>
    <row r="704" spans="1:10">
      <c r="A704" t="s">
        <v>518</v>
      </c>
      <c r="B704" t="str">
        <f>_xlfn.XLOOKUP(A704,'Pinlist(S1)'!$Q$4:$Q$1362,'Pinlist(S1)'!$R$4:$R$1362,"")</f>
        <v>DDRDQ_IL10_NIL02[1]</v>
      </c>
      <c r="C704" t="str" cm="1">
        <f t="array" ref="C704">_xlfn.TEXTJOIN(",",TRUE,_xlfn.UNIQUE(TRANSPOSE(_xlfn.MAP(_xlfn.XLOOKUP(A704,'Pinlist(S1)'!$C$4:$C$1362,'Pinlist(S1)'!$F$4:$K$1362,""),_xlfn.LAMBDA(_xlpm.x,IF(_xlpm.x&lt;&gt;"",TRIM(CLEAN(LEFT(_xlpm.x,FIND(".",_xlpm.x &amp; ".")-1))),""))))))</f>
        <v/>
      </c>
      <c r="D704">
        <v>36.076999999999998</v>
      </c>
      <c r="E704">
        <v>13.462</v>
      </c>
      <c r="F704" t="str">
        <f>_xlfn.LET(_xlpm.raw,_xlfn.XLOOKUP(A704,'Pinlist(S1)'!$C$4:$C$1362,'Pinlist(S1)'!$E$4:$E$1362,""),_xlpm.cleanRaw,SUBSTITUTE(SUBSTITUTE(_xlpm.raw,"_PIN","."),"PIN","."),_xlpm.mainPart,MID(_xlpm.cleanRaw,2,FIND(".",_xlpm.cleanRaw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605082</v>
      </c>
      <c r="G704" t="str">
        <f>_xlfn.LET(_xlpm.raw,_xlfn.XLOOKUP(A704,'Pinlist(S3)'!$C$4:$C$1362,'Pinlist(S3)'!$E$4:$E$1362,""),_xlpm.cleanRaw,SUBSTITUTE(SUBSTITUTE(_xlpm.raw,"_PIN","."),"PIN","."),_xlpm.mainPart,MID(_xlpm.cleanRaw,2,FIND(".",_xlpm.cleanRaw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502081</v>
      </c>
      <c r="H704" t="str">
        <f>_xlfn.LET(_xlpm.raw,_xlfn.XLOOKUP(A704,'Pinlist(S5)'!$C$4:$C$1362,'Pinlist(S5)'!$E$4:$E$1362,""),_xlpm.cleanRaw,SUBSTITUTE(SUBSTITUTE(_xlpm.raw,"_PIN","."),"PIN","."),_xlpm.mainPart,MID(_xlpm.cleanRaw,2,FIND(".",_xlpm.cleanRaw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708081</v>
      </c>
      <c r="I704" t="str">
        <f>""</f>
        <v/>
      </c>
      <c r="J704" t="str">
        <f t="shared" si="10"/>
        <v>AF64;DDRDQ_IL10_NIL02[1];;36.077;13.462;605082;502081;708081;</v>
      </c>
    </row>
    <row r="705" spans="1:10">
      <c r="A705" t="s">
        <v>516</v>
      </c>
      <c r="B705" t="str">
        <f>_xlfn.XLOOKUP(A705,'Pinlist(S1)'!$Q$4:$Q$1362,'Pinlist(S1)'!$R$4:$R$1362,"")</f>
        <v>DDRDQ_IL10_NIL02[0]</v>
      </c>
      <c r="C705" t="str" cm="1">
        <f t="array" ref="C705">_xlfn.TEXTJOIN(",",TRUE,_xlfn.UNIQUE(TRANSPOSE(_xlfn.MAP(_xlfn.XLOOKUP(A705,'Pinlist(S1)'!$C$4:$C$1362,'Pinlist(S1)'!$F$4:$K$1362,""),_xlfn.LAMBDA(_xlpm.x,IF(_xlpm.x&lt;&gt;"",TRIM(CLEAN(LEFT(_xlpm.x,FIND(".",_xlpm.x &amp; ".")-1))),""))))))</f>
        <v/>
      </c>
      <c r="D705">
        <v>36.726999999999997</v>
      </c>
      <c r="E705">
        <v>13.462</v>
      </c>
      <c r="F705" t="str">
        <f>_xlfn.LET(_xlpm.raw,_xlfn.XLOOKUP(A705,'Pinlist(S1)'!$C$4:$C$1362,'Pinlist(S1)'!$E$4:$E$1362,""),_xlpm.cleanRaw,SUBSTITUTE(SUBSTITUTE(_xlpm.raw,"_PIN","."),"PIN","."),_xlpm.mainPart,MID(_xlpm.cleanRaw,2,FIND(".",_xlpm.cleanRaw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605077</v>
      </c>
      <c r="G705" t="str">
        <f>_xlfn.LET(_xlpm.raw,_xlfn.XLOOKUP(A705,'Pinlist(S3)'!$C$4:$C$1362,'Pinlist(S3)'!$E$4:$E$1362,""),_xlpm.cleanRaw,SUBSTITUTE(SUBSTITUTE(_xlpm.raw,"_PIN","."),"PIN","."),_xlpm.mainPart,MID(_xlpm.cleanRaw,2,FIND(".",_xlpm.cleanRaw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502082</v>
      </c>
      <c r="H705" t="str">
        <f>_xlfn.LET(_xlpm.raw,_xlfn.XLOOKUP(A705,'Pinlist(S5)'!$C$4:$C$1362,'Pinlist(S5)'!$E$4:$E$1362,""),_xlpm.cleanRaw,SUBSTITUTE(SUBSTITUTE(_xlpm.raw,"_PIN","."),"PIN","."),_xlpm.mainPart,MID(_xlpm.cleanRaw,2,FIND(".",_xlpm.cleanRaw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708082</v>
      </c>
      <c r="I705" t="str">
        <f>""</f>
        <v/>
      </c>
      <c r="J705" t="str">
        <f t="shared" si="10"/>
        <v>AF65;DDRDQ_IL10_NIL02[0];;36.727;13.462;605077;502082;708082;</v>
      </c>
    </row>
    <row r="706" spans="1:10">
      <c r="A706" t="s">
        <v>524</v>
      </c>
      <c r="B706" t="str">
        <f>_xlfn.XLOOKUP(A706,'Pinlist(S1)'!$Q$4:$Q$1362,'Pinlist(S1)'!$R$4:$R$1362,"")</f>
        <v>DDRDQ_IL10_NIL02[4]</v>
      </c>
      <c r="C706" t="str" cm="1">
        <f t="array" ref="C706">_xlfn.TEXTJOIN(",",TRUE,_xlfn.UNIQUE(TRANSPOSE(_xlfn.MAP(_xlfn.XLOOKUP(A706,'Pinlist(S1)'!$C$4:$C$1362,'Pinlist(S1)'!$F$4:$K$1362,""),_xlfn.LAMBDA(_xlpm.x,IF(_xlpm.x&lt;&gt;"",TRIM(CLEAN(LEFT(_xlpm.x,FIND(".",_xlpm.x &amp; ".")-1))),""))))))</f>
        <v/>
      </c>
      <c r="D706">
        <v>37.376999999999903</v>
      </c>
      <c r="E706">
        <v>13.462</v>
      </c>
      <c r="F706" t="str">
        <f>_xlfn.LET(_xlpm.raw,_xlfn.XLOOKUP(A706,'Pinlist(S1)'!$C$4:$C$1362,'Pinlist(S1)'!$E$4:$E$1362,""),_xlpm.cleanRaw,SUBSTITUTE(SUBSTITUTE(_xlpm.raw,"_PIN","."),"PIN","."),_xlpm.mainPart,MID(_xlpm.cleanRaw,2,FIND(".",_xlpm.cleanRaw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605075</v>
      </c>
      <c r="G706" t="str">
        <f>_xlfn.LET(_xlpm.raw,_xlfn.XLOOKUP(A706,'Pinlist(S3)'!$C$4:$C$1362,'Pinlist(S3)'!$E$4:$E$1362,""),_xlpm.cleanRaw,SUBSTITUTE(SUBSTITUTE(_xlpm.raw,"_PIN","."),"PIN","."),_xlpm.mainPart,MID(_xlpm.cleanRaw,2,FIND(".",_xlpm.cleanRaw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502079</v>
      </c>
      <c r="H706" t="str">
        <f>_xlfn.LET(_xlpm.raw,_xlfn.XLOOKUP(A706,'Pinlist(S5)'!$C$4:$C$1362,'Pinlist(S5)'!$E$4:$E$1362,""),_xlpm.cleanRaw,SUBSTITUTE(SUBSTITUTE(_xlpm.raw,"_PIN","."),"PIN","."),_xlpm.mainPart,MID(_xlpm.cleanRaw,2,FIND(".",_xlpm.cleanRaw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708079</v>
      </c>
      <c r="I706" t="str">
        <f>""</f>
        <v/>
      </c>
      <c r="J706" t="str">
        <f t="shared" ref="J706:J769" si="11">A706&amp;";"&amp;B706&amp;";"&amp;C706&amp;";"&amp;D706&amp;";"&amp;E706&amp;";"&amp;F706&amp;";"&amp;G706&amp;";"&amp;H706&amp;";"&amp;I706</f>
        <v>AF66;DDRDQ_IL10_NIL02[4];;37.3769999999999;13.462;605075;502079;708079;</v>
      </c>
    </row>
    <row r="707" spans="1:10">
      <c r="A707" t="s">
        <v>526</v>
      </c>
      <c r="B707" t="str">
        <f>_xlfn.XLOOKUP(A707,'Pinlist(S1)'!$Q$4:$Q$1362,'Pinlist(S1)'!$R$4:$R$1362,"")</f>
        <v>DDRDQ_IL10_NIL02[5]</v>
      </c>
      <c r="C707" t="str" cm="1">
        <f t="array" ref="C707">_xlfn.TEXTJOIN(",",TRUE,_xlfn.UNIQUE(TRANSPOSE(_xlfn.MAP(_xlfn.XLOOKUP(A707,'Pinlist(S1)'!$C$4:$C$1362,'Pinlist(S1)'!$F$4:$K$1362,""),_xlfn.LAMBDA(_xlpm.x,IF(_xlpm.x&lt;&gt;"",TRIM(CLEAN(LEFT(_xlpm.x,FIND(".",_xlpm.x &amp; ".")-1))),""))))))</f>
        <v/>
      </c>
      <c r="D707">
        <v>38.027999999999999</v>
      </c>
      <c r="E707">
        <v>13.462</v>
      </c>
      <c r="F707" t="str">
        <f>_xlfn.LET(_xlpm.raw,_xlfn.XLOOKUP(A707,'Pinlist(S1)'!$C$4:$C$1362,'Pinlist(S1)'!$E$4:$E$1362,""),_xlpm.cleanRaw,SUBSTITUTE(SUBSTITUTE(_xlpm.raw,"_PIN","."),"PIN","."),_xlpm.mainPart,MID(_xlpm.cleanRaw,2,FIND(".",_xlpm.cleanRaw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605073</v>
      </c>
      <c r="G707" t="str">
        <f>_xlfn.LET(_xlpm.raw,_xlfn.XLOOKUP(A707,'Pinlist(S3)'!$C$4:$C$1362,'Pinlist(S3)'!$E$4:$E$1362,""),_xlpm.cleanRaw,SUBSTITUTE(SUBSTITUTE(_xlpm.raw,"_PIN","."),"PIN","."),_xlpm.mainPart,MID(_xlpm.cleanRaw,2,FIND(".",_xlpm.cleanRaw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502080</v>
      </c>
      <c r="H707" t="str">
        <f>_xlfn.LET(_xlpm.raw,_xlfn.XLOOKUP(A707,'Pinlist(S5)'!$C$4:$C$1362,'Pinlist(S5)'!$E$4:$E$1362,""),_xlpm.cleanRaw,SUBSTITUTE(SUBSTITUTE(_xlpm.raw,"_PIN","."),"PIN","."),_xlpm.mainPart,MID(_xlpm.cleanRaw,2,FIND(".",_xlpm.cleanRaw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708080</v>
      </c>
      <c r="I707" t="str">
        <f>""</f>
        <v/>
      </c>
      <c r="J707" t="str">
        <f t="shared" si="11"/>
        <v>AF67;DDRDQ_IL10_NIL02[5];;38.028;13.462;605073;502080;708080;</v>
      </c>
    </row>
    <row r="708" spans="1:10">
      <c r="A708" t="s">
        <v>534</v>
      </c>
      <c r="B708" t="str">
        <f>_xlfn.XLOOKUP(A708,'Pinlist(S1)'!$Q$4:$Q$1362,'Pinlist(S1)'!$R$4:$R$1362,"")</f>
        <v>DDRDQ_IL11_NIL03[1]</v>
      </c>
      <c r="C708" t="str" cm="1">
        <f t="array" ref="C708">_xlfn.TEXTJOIN(",",TRUE,_xlfn.UNIQUE(TRANSPOSE(_xlfn.MAP(_xlfn.XLOOKUP(A708,'Pinlist(S1)'!$C$4:$C$1362,'Pinlist(S1)'!$F$4:$K$1362,""),_xlfn.LAMBDA(_xlpm.x,IF(_xlpm.x&lt;&gt;"",TRIM(CLEAN(LEFT(_xlpm.x,FIND(".",_xlpm.x &amp; ".")-1))),""))))))</f>
        <v/>
      </c>
      <c r="D708">
        <v>38.677999999999997</v>
      </c>
      <c r="E708">
        <v>13.253</v>
      </c>
      <c r="F708" t="str">
        <f>_xlfn.LET(_xlpm.raw,_xlfn.XLOOKUP(A708,'Pinlist(S1)'!$C$4:$C$1362,'Pinlist(S1)'!$E$4:$E$1362,""),_xlpm.cleanRaw,SUBSTITUTE(SUBSTITUTE(_xlpm.raw,"_PIN","."),"PIN","."),_xlpm.mainPart,MID(_xlpm.cleanRaw,2,FIND(".",_xlpm.cleanRaw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605069</v>
      </c>
      <c r="G708" t="str">
        <f>_xlfn.LET(_xlpm.raw,_xlfn.XLOOKUP(A708,'Pinlist(S3)'!$C$4:$C$1362,'Pinlist(S3)'!$E$4:$E$1362,""),_xlpm.cleanRaw,SUBSTITUTE(SUBSTITUTE(_xlpm.raw,"_PIN","."),"PIN","."),_xlpm.mainPart,MID(_xlpm.cleanRaw,2,FIND(".",_xlpm.cleanRaw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501128</v>
      </c>
      <c r="H708" t="str">
        <f>_xlfn.LET(_xlpm.raw,_xlfn.XLOOKUP(A708,'Pinlist(S5)'!$C$4:$C$1362,'Pinlist(S5)'!$E$4:$E$1362,""),_xlpm.cleanRaw,SUBSTITUTE(SUBSTITUTE(_xlpm.raw,"_PIN","."),"PIN","."),_xlpm.mainPart,MID(_xlpm.cleanRaw,2,FIND(".",_xlpm.cleanRaw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707128</v>
      </c>
      <c r="I708" t="str">
        <f>""</f>
        <v/>
      </c>
      <c r="J708" t="str">
        <f t="shared" si="11"/>
        <v>AF68;DDRDQ_IL11_NIL03[1];;38.678;13.253;605069;501128;707128;</v>
      </c>
    </row>
    <row r="709" spans="1:10">
      <c r="A709" t="s">
        <v>542</v>
      </c>
      <c r="B709" t="str">
        <f>_xlfn.XLOOKUP(A709,'Pinlist(S1)'!$Q$4:$Q$1362,'Pinlist(S1)'!$R$4:$R$1362,"")</f>
        <v>DDRDQ_IL11_NIL03[5]</v>
      </c>
      <c r="C709" t="str" cm="1">
        <f t="array" ref="C709">_xlfn.TEXTJOIN(",",TRUE,_xlfn.UNIQUE(TRANSPOSE(_xlfn.MAP(_xlfn.XLOOKUP(A709,'Pinlist(S1)'!$C$4:$C$1362,'Pinlist(S1)'!$F$4:$K$1362,""),_xlfn.LAMBDA(_xlpm.x,IF(_xlpm.x&lt;&gt;"",TRIM(CLEAN(LEFT(_xlpm.x,FIND(".",_xlpm.x &amp; ".")-1))),""))))))</f>
        <v/>
      </c>
      <c r="D709">
        <v>39.328000000000003</v>
      </c>
      <c r="E709">
        <v>13.253</v>
      </c>
      <c r="F709" t="str">
        <f>_xlfn.LET(_xlpm.raw,_xlfn.XLOOKUP(A709,'Pinlist(S1)'!$C$4:$C$1362,'Pinlist(S1)'!$E$4:$E$1362,""),_xlpm.cleanRaw,SUBSTITUTE(SUBSTITUTE(_xlpm.raw,"_PIN","."),"PIN","."),_xlpm.mainPart,MID(_xlpm.cleanRaw,2,FIND(".",_xlpm.cleanRaw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605070</v>
      </c>
      <c r="G709" t="str">
        <f>_xlfn.LET(_xlpm.raw,_xlfn.XLOOKUP(A709,'Pinlist(S3)'!$C$4:$C$1362,'Pinlist(S3)'!$E$4:$E$1362,""),_xlpm.cleanRaw,SUBSTITUTE(SUBSTITUTE(_xlpm.raw,"_PIN","."),"PIN","."),_xlpm.mainPart,MID(_xlpm.cleanRaw,2,FIND(".",_xlpm.cleanRaw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501124</v>
      </c>
      <c r="H709" t="str">
        <f>_xlfn.LET(_xlpm.raw,_xlfn.XLOOKUP(A709,'Pinlist(S5)'!$C$4:$C$1362,'Pinlist(S5)'!$E$4:$E$1362,""),_xlpm.cleanRaw,SUBSTITUTE(SUBSTITUTE(_xlpm.raw,"_PIN","."),"PIN","."),_xlpm.mainPart,MID(_xlpm.cleanRaw,2,FIND(".",_xlpm.cleanRaw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707126</v>
      </c>
      <c r="I709" t="str">
        <f>""</f>
        <v/>
      </c>
      <c r="J709" t="str">
        <f t="shared" si="11"/>
        <v>AF69;DDRDQ_IL11_NIL03[5];;39.328;13.253;605070;501124;707126;</v>
      </c>
    </row>
    <row r="710" spans="1:10">
      <c r="A710" t="s">
        <v>532</v>
      </c>
      <c r="B710" t="str">
        <f>_xlfn.XLOOKUP(A710,'Pinlist(S1)'!$Q$4:$Q$1362,'Pinlist(S1)'!$R$4:$R$1362,"")</f>
        <v>DDRDQ_IL11_NIL03[0]</v>
      </c>
      <c r="C710" t="str" cm="1">
        <f t="array" ref="C710">_xlfn.TEXTJOIN(",",TRUE,_xlfn.UNIQUE(TRANSPOSE(_xlfn.MAP(_xlfn.XLOOKUP(A710,'Pinlist(S1)'!$C$4:$C$1362,'Pinlist(S1)'!$F$4:$K$1362,""),_xlfn.LAMBDA(_xlpm.x,IF(_xlpm.x&lt;&gt;"",TRIM(CLEAN(LEFT(_xlpm.x,FIND(".",_xlpm.x &amp; ".")-1))),""))))))</f>
        <v/>
      </c>
      <c r="D710">
        <v>39.978000000000002</v>
      </c>
      <c r="E710">
        <v>13.154</v>
      </c>
      <c r="F710" t="str">
        <f>_xlfn.LET(_xlpm.raw,_xlfn.XLOOKUP(A710,'Pinlist(S1)'!$C$4:$C$1362,'Pinlist(S1)'!$E$4:$E$1362,""),_xlpm.cleanRaw,SUBSTITUTE(SUBSTITUTE(_xlpm.raw,"_PIN","."),"PIN","."),_xlpm.mainPart,MID(_xlpm.cleanRaw,2,FIND(".",_xlpm.cleanRaw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605068</v>
      </c>
      <c r="G710" t="str">
        <f>_xlfn.LET(_xlpm.raw,_xlfn.XLOOKUP(A710,'Pinlist(S3)'!$C$4:$C$1362,'Pinlist(S3)'!$E$4:$E$1362,""),_xlpm.cleanRaw,SUBSTITUTE(SUBSTITUTE(_xlpm.raw,"_PIN","."),"PIN","."),_xlpm.mainPart,MID(_xlpm.cleanRaw,2,FIND(".",_xlpm.cleanRaw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501122</v>
      </c>
      <c r="H710" t="str">
        <f>_xlfn.LET(_xlpm.raw,_xlfn.XLOOKUP(A710,'Pinlist(S5)'!$C$4:$C$1362,'Pinlist(S5)'!$E$4:$E$1362,""),_xlpm.cleanRaw,SUBSTITUTE(SUBSTITUTE(_xlpm.raw,"_PIN","."),"PIN","."),_xlpm.mainPart,MID(_xlpm.cleanRaw,2,FIND(".",_xlpm.cleanRaw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707124</v>
      </c>
      <c r="I710" t="str">
        <f>""</f>
        <v/>
      </c>
      <c r="J710" t="str">
        <f t="shared" si="11"/>
        <v>AF70;DDRDQ_IL11_NIL03[0];;39.978;13.154;605068;501122;707124;</v>
      </c>
    </row>
    <row r="711" spans="1:10">
      <c r="A711" t="s">
        <v>540</v>
      </c>
      <c r="B711" t="str">
        <f>_xlfn.XLOOKUP(A711,'Pinlist(S1)'!$Q$4:$Q$1362,'Pinlist(S1)'!$R$4:$R$1362,"")</f>
        <v>DDRDQ_IL11_NIL03[4]</v>
      </c>
      <c r="C711" t="str" cm="1">
        <f t="array" ref="C711">_xlfn.TEXTJOIN(",",TRUE,_xlfn.UNIQUE(TRANSPOSE(_xlfn.MAP(_xlfn.XLOOKUP(A711,'Pinlist(S1)'!$C$4:$C$1362,'Pinlist(S1)'!$F$4:$K$1362,""),_xlfn.LAMBDA(_xlpm.x,IF(_xlpm.x&lt;&gt;"",TRIM(CLEAN(LEFT(_xlpm.x,FIND(".",_xlpm.x &amp; ".")-1))),""))))))</f>
        <v/>
      </c>
      <c r="D711">
        <v>40.628</v>
      </c>
      <c r="E711">
        <v>13.154</v>
      </c>
      <c r="F711" t="str">
        <f>_xlfn.LET(_xlpm.raw,_xlfn.XLOOKUP(A711,'Pinlist(S1)'!$C$4:$C$1362,'Pinlist(S1)'!$E$4:$E$1362,""),_xlpm.cleanRaw,SUBSTITUTE(SUBSTITUTE(_xlpm.raw,"_PIN","."),"PIN","."),_xlpm.mainPart,MID(_xlpm.cleanRaw,2,FIND(".",_xlpm.cleanRaw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605067</v>
      </c>
      <c r="G711" t="str">
        <f>_xlfn.LET(_xlpm.raw,_xlfn.XLOOKUP(A711,'Pinlist(S3)'!$C$4:$C$1362,'Pinlist(S3)'!$E$4:$E$1362,""),_xlpm.cleanRaw,SUBSTITUTE(SUBSTITUTE(_xlpm.raw,"_PIN","."),"PIN","."),_xlpm.mainPart,MID(_xlpm.cleanRaw,2,FIND(".",_xlpm.cleanRaw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501116</v>
      </c>
      <c r="H711" t="str">
        <f>_xlfn.LET(_xlpm.raw,_xlfn.XLOOKUP(A711,'Pinlist(S5)'!$C$4:$C$1362,'Pinlist(S5)'!$E$4:$E$1362,""),_xlpm.cleanRaw,SUBSTITUTE(SUBSTITUTE(_xlpm.raw,"_PIN","."),"PIN","."),_xlpm.mainPart,MID(_xlpm.cleanRaw,2,FIND(".",_xlpm.cleanRaw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707116</v>
      </c>
      <c r="I711" t="str">
        <f>""</f>
        <v/>
      </c>
      <c r="J711" t="str">
        <f t="shared" si="11"/>
        <v>AF71;DDRDQ_IL11_NIL03[4];;40.628;13.154;605067;501116;707116;</v>
      </c>
    </row>
    <row r="712" spans="1:10">
      <c r="A712" t="s">
        <v>1472</v>
      </c>
      <c r="B712" t="str">
        <f>_xlfn.XLOOKUP(A712,'Pinlist(S1)'!$Q$4:$Q$1362,'Pinlist(S1)'!$R$4:$R$1362,"")</f>
        <v>USB2N_9</v>
      </c>
      <c r="C712" t="str" cm="1">
        <f t="array" ref="C712">_xlfn.TEXTJOIN(",",TRUE,_xlfn.UNIQUE(TRANSPOSE(_xlfn.MAP(_xlfn.XLOOKUP(A712,'Pinlist(S1)'!$C$4:$C$1362,'Pinlist(S1)'!$F$4:$K$1362,""),_xlfn.LAMBDA(_xlpm.x,IF(_xlpm.x&lt;&gt;"",TRIM(CLEAN(LEFT(_xlpm.x,FIND(".",_xlpm.x &amp; ".")-1))),""))))))</f>
        <v>KA116</v>
      </c>
      <c r="D712">
        <v>0</v>
      </c>
      <c r="E712">
        <v>14.118</v>
      </c>
      <c r="F712" t="str">
        <f>_xlfn.LET(_xlpm.raw,_xlfn.XLOOKUP(A712,'Pinlist(S1)'!$C$4:$C$1362,'Pinlist(S1)'!$E$4:$E$1362,""),_xlpm.cleanRaw,SUBSTITUTE(SUBSTITUTE(_xlpm.raw,"_PIN","."),"PIN","."),_xlpm.mainPart,MID(_xlpm.cleanRaw,2,FIND(".",_xlpm.cleanRaw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504127</v>
      </c>
      <c r="G712" t="str">
        <f>_xlfn.LET(_xlpm.raw,_xlfn.XLOOKUP(A712,'Pinlist(S3)'!$C$4:$C$1362,'Pinlist(S3)'!$E$4:$E$1362,""),_xlpm.cleanRaw,SUBSTITUTE(SUBSTITUTE(_xlpm.raw,"_PIN","."),"PIN","."),_xlpm.mainPart,MID(_xlpm.cleanRaw,2,FIND(".",_xlpm.cleanRaw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808050</v>
      </c>
      <c r="H712" t="str">
        <f>_xlfn.LET(_xlpm.raw,_xlfn.XLOOKUP(A712,'Pinlist(S5)'!$C$4:$C$1362,'Pinlist(S5)'!$E$4:$E$1362,""),_xlpm.cleanRaw,SUBSTITUTE(SUBSTITUTE(_xlpm.raw,"_PIN","."),"PIN","."),_xlpm.mainPart,MID(_xlpm.cleanRaw,2,FIND(".",_xlpm.cleanRaw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I712" t="str">
        <f>""</f>
        <v/>
      </c>
      <c r="J712" t="str">
        <f t="shared" si="11"/>
        <v>AG1;USB2N_9;KA116;0;14.118;504127;808050;602064;</v>
      </c>
    </row>
    <row r="713" spans="1:10">
      <c r="A713" t="s">
        <v>1492</v>
      </c>
      <c r="B713" t="str">
        <f>_xlfn.XLOOKUP(A713,'Pinlist(S1)'!$Q$4:$Q$1362,'Pinlist(S1)'!$R$4:$R$1362,"")</f>
        <v>USB2P_9</v>
      </c>
      <c r="C713" t="str" cm="1">
        <f t="array" ref="C713">_xlfn.TEXTJOIN(",",TRUE,_xlfn.UNIQUE(TRANSPOSE(_xlfn.MAP(_xlfn.XLOOKUP(A713,'Pinlist(S1)'!$C$4:$C$1362,'Pinlist(S1)'!$F$4:$K$1362,""),_xlfn.LAMBDA(_xlpm.x,IF(_xlpm.x&lt;&gt;"",TRIM(CLEAN(LEFT(_xlpm.x,FIND(".",_xlpm.x &amp; ".")-1))),""))))))</f>
        <v>KA116</v>
      </c>
      <c r="D713">
        <v>0.64999999999999802</v>
      </c>
      <c r="E713">
        <v>14.118</v>
      </c>
      <c r="F713" t="str">
        <f>_xlfn.LET(_xlpm.raw,_xlfn.XLOOKUP(A713,'Pinlist(S1)'!$C$4:$C$1362,'Pinlist(S1)'!$E$4:$E$1362,""),_xlpm.cleanRaw,SUBSTITUTE(SUBSTITUTE(_xlpm.raw,"_PIN","."),"PIN","."),_xlpm.mainPart,MID(_xlpm.cleanRaw,2,FIND(".",_xlpm.cleanRaw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504128</v>
      </c>
      <c r="G713" t="str">
        <f>_xlfn.LET(_xlpm.raw,_xlfn.XLOOKUP(A713,'Pinlist(S3)'!$C$4:$C$1362,'Pinlist(S3)'!$E$4:$E$1362,""),_xlpm.cleanRaw,SUBSTITUTE(SUBSTITUTE(_xlpm.raw,"_PIN","."),"PIN","."),_xlpm.mainPart,MID(_xlpm.cleanRaw,2,FIND(".",_xlpm.cleanRaw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808052</v>
      </c>
      <c r="H713" t="str">
        <f>_xlfn.LET(_xlpm.raw,_xlfn.XLOOKUP(A713,'Pinlist(S5)'!$C$4:$C$1362,'Pinlist(S5)'!$E$4:$E$1362,""),_xlpm.cleanRaw,SUBSTITUTE(SUBSTITUTE(_xlpm.raw,"_PIN","."),"PIN","."),_xlpm.mainPart,MID(_xlpm.cleanRaw,2,FIND(".",_xlpm.cleanRaw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I713" t="str">
        <f>""</f>
        <v/>
      </c>
      <c r="J713" t="str">
        <f t="shared" si="11"/>
        <v>AG2;USB2P_9;KA116;0.649999999999998;14.118;504128;808052;602062;</v>
      </c>
    </row>
    <row r="714" spans="1:10">
      <c r="A714" t="s">
        <v>1448</v>
      </c>
      <c r="B714" t="str">
        <f>_xlfn.XLOOKUP(A714,'Pinlist(S1)'!$Q$4:$Q$1362,'Pinlist(S1)'!$R$4:$R$1362,"")</f>
        <v>USB2_ID</v>
      </c>
      <c r="C714" t="str" cm="1">
        <f t="array" ref="C714">_xlfn.TEXTJOIN(",",TRUE,_xlfn.UNIQUE(TRANSPOSE(_xlfn.MAP(_xlfn.XLOOKUP(A714,'Pinlist(S1)'!$C$4:$C$1362,'Pinlist(S1)'!$F$4:$K$1362,""),_xlfn.LAMBDA(_xlpm.x,IF(_xlpm.x&lt;&gt;"",TRIM(CLEAN(LEFT(_xlpm.x,FIND(".",_xlpm.x &amp; ".")-1))),""))))))</f>
        <v>KA111</v>
      </c>
      <c r="D714">
        <v>1.2999999999999901</v>
      </c>
      <c r="E714">
        <v>14.118</v>
      </c>
      <c r="F714" t="str">
        <f>_xlfn.LET(_xlpm.raw,_xlfn.XLOOKUP(A714,'Pinlist(S1)'!$C$4:$C$1362,'Pinlist(S1)'!$E$4:$E$1362,""),_xlpm.cleanRaw,SUBSTITUTE(SUBSTITUTE(_xlpm.raw,"_PIN","."),"PIN","."),_xlpm.mainPart,MID(_xlpm.cleanRaw,2,FIND(".",_xlpm.cleanRaw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714" t="str">
        <f>_xlfn.LET(_xlpm.raw,_xlfn.XLOOKUP(A714,'Pinlist(S3)'!$C$4:$C$1362,'Pinlist(S3)'!$E$4:$E$1362,""),_xlpm.cleanRaw,SUBSTITUTE(SUBSTITUTE(_xlpm.raw,"_PIN","."),"PIN","."),_xlpm.mainPart,MID(_xlpm.cleanRaw,2,FIND(".",_xlpm.cleanRaw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714" t="str">
        <f>_xlfn.LET(_xlpm.raw,_xlfn.XLOOKUP(A714,'Pinlist(S5)'!$C$4:$C$1362,'Pinlist(S5)'!$E$4:$E$1362,""),_xlpm.cleanRaw,SUBSTITUTE(SUBSTITUTE(_xlpm.raw,"_PIN","."),"PIN","."),_xlpm.mainPart,MID(_xlpm.cleanRaw,2,FIND(".",_xlpm.cleanRaw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714" t="str">
        <f>""</f>
        <v/>
      </c>
      <c r="J714" t="str">
        <f t="shared" si="11"/>
        <v>AG3;USB2_ID;KA111;1.29999999999999;14.118;507127;805079;603120;</v>
      </c>
    </row>
    <row r="715" spans="1:10">
      <c r="A715" t="s">
        <v>1452</v>
      </c>
      <c r="B715" t="str">
        <f>_xlfn.XLOOKUP(A715,'Pinlist(S1)'!$Q$4:$Q$1362,'Pinlist(S1)'!$R$4:$R$1362,"")</f>
        <v>USB2_VBUSSENSE</v>
      </c>
      <c r="C715" t="str" cm="1">
        <f t="array" ref="C715">_xlfn.TEXTJOIN(",",TRUE,_xlfn.UNIQUE(TRANSPOSE(_xlfn.MAP(_xlfn.XLOOKUP(A715,'Pinlist(S1)'!$C$4:$C$1362,'Pinlist(S1)'!$F$4:$K$1362,""),_xlfn.LAMBDA(_xlpm.x,IF(_xlpm.x&lt;&gt;"",TRIM(CLEAN(LEFT(_xlpm.x,FIND(".",_xlpm.x &amp; ".")-1))),""))))))</f>
        <v/>
      </c>
      <c r="D715">
        <v>1.9510000000000001</v>
      </c>
      <c r="E715">
        <v>14.118</v>
      </c>
      <c r="F715" t="str">
        <f>_xlfn.LET(_xlpm.raw,_xlfn.XLOOKUP(A715,'Pinlist(S1)'!$C$4:$C$1362,'Pinlist(S1)'!$E$4:$E$1362,""),_xlpm.cleanRaw,SUBSTITUTE(SUBSTITUTE(_xlpm.raw,"_PIN","."),"PIN","."),_xlpm.mainPart,MID(_xlpm.cleanRaw,2,FIND(".",_xlpm.cleanRaw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506023</v>
      </c>
      <c r="G715" t="str">
        <f>_xlfn.LET(_xlpm.raw,_xlfn.XLOOKUP(A715,'Pinlist(S3)'!$C$4:$C$1362,'Pinlist(S3)'!$E$4:$E$1362,""),_xlpm.cleanRaw,SUBSTITUTE(SUBSTITUTE(_xlpm.raw,"_PIN","."),"PIN","."),_xlpm.mainPart,MID(_xlpm.cleanRaw,2,FIND(".",_xlpm.cleanRaw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808043</v>
      </c>
      <c r="H715" t="str">
        <f>_xlfn.LET(_xlpm.raw,_xlfn.XLOOKUP(A715,'Pinlist(S5)'!$C$4:$C$1362,'Pinlist(S5)'!$E$4:$E$1362,""),_xlpm.cleanRaw,SUBSTITUTE(SUBSTITUTE(_xlpm.raw,"_PIN","."),"PIN","."),_xlpm.mainPart,MID(_xlpm.cleanRaw,2,FIND(".",_xlpm.cleanRaw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603087</v>
      </c>
      <c r="I715" t="str">
        <f>""</f>
        <v/>
      </c>
      <c r="J715" t="str">
        <f t="shared" si="11"/>
        <v>AG4;USB2_VBUSSENSE;;1.951;14.118;506023;808043;603087;</v>
      </c>
    </row>
    <row r="716" spans="1:10">
      <c r="A716" t="s">
        <v>1799</v>
      </c>
      <c r="B716" t="str">
        <f>_xlfn.XLOOKUP(A716,'Pinlist(S1)'!$Q$4:$Q$1362,'Pinlist(S1)'!$R$4:$R$1362,"")</f>
        <v>VCCPGPPB</v>
      </c>
      <c r="C716" t="str" cm="1">
        <f t="array" ref="C716">_xlfn.TEXTJOIN(",",TRUE,_xlfn.UNIQUE(TRANSPOSE(_xlfn.MAP(_xlfn.XLOOKUP(A716,'Pinlist(S1)'!$C$4:$C$1362,'Pinlist(S1)'!$F$4:$K$1362,""),_xlfn.LAMBDA(_xlpm.x,IF(_xlpm.x&lt;&gt;"",TRIM(CLEAN(LEFT(_xlpm.x,FIND(".",_xlpm.x &amp; ".")-1))),""))))))</f>
        <v/>
      </c>
      <c r="D716">
        <v>8.1259999999999906</v>
      </c>
      <c r="E716">
        <v>13.82</v>
      </c>
      <c r="F716" t="str">
        <f>_xlfn.LET(_xlpm.raw,_xlfn.XLOOKUP(A716,'Pinlist(S1)'!$C$4:$C$1362,'Pinlist(S1)'!$E$4:$E$1362,""),_xlpm.cleanRaw,SUBSTITUTE(SUBSTITUTE(_xlpm.raw,"_PIN","."),"PIN","."),_xlpm.mainPart,MID(_xlpm.cleanRaw,2,FIND(".",_xlpm.cleanRaw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6" t="str">
        <f>_xlfn.LET(_xlpm.raw,_xlfn.XLOOKUP(A716,'Pinlist(S3)'!$C$4:$C$1362,'Pinlist(S3)'!$E$4:$E$1362,""),_xlpm.cleanRaw,SUBSTITUTE(SUBSTITUTE(_xlpm.raw,"_PIN","."),"PIN","."),_xlpm.mainPart,MID(_xlpm.cleanRaw,2,FIND(".",_xlpm.cleanRaw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6" t="str">
        <f>_xlfn.LET(_xlpm.raw,_xlfn.XLOOKUP(A716,'Pinlist(S5)'!$C$4:$C$1362,'Pinlist(S5)'!$E$4:$E$1362,""),_xlpm.cleanRaw,SUBSTITUTE(SUBSTITUTE(_xlpm.raw,"_PIN","."),"PIN","."),_xlpm.mainPart,MID(_xlpm.cleanRaw,2,FIND(".",_xlpm.cleanRaw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6" t="str">
        <f>""</f>
        <v/>
      </c>
      <c r="J716" t="str">
        <f t="shared" si="11"/>
        <v>AG15;VCCPGPPB;;8.12599999999999;13.82;;;;</v>
      </c>
    </row>
    <row r="717" spans="1:10">
      <c r="A717" t="s">
        <v>1916</v>
      </c>
      <c r="B717" t="str">
        <f>_xlfn.XLOOKUP(A717,'Pinlist(S1)'!$Q$4:$Q$1362,'Pinlist(S1)'!$R$4:$R$1362,"")</f>
        <v>VSS</v>
      </c>
      <c r="C717" t="str" cm="1">
        <f t="array" ref="C717">_xlfn.TEXTJOIN(",",TRUE,_xlfn.UNIQUE(TRANSPOSE(_xlfn.MAP(_xlfn.XLOOKUP(A717,'Pinlist(S1)'!$C$4:$C$1362,'Pinlist(S1)'!$F$4:$K$1362,""),_xlfn.LAMBDA(_xlpm.x,IF(_xlpm.x&lt;&gt;"",TRIM(CLEAN(LEFT(_xlpm.x,FIND(".",_xlpm.x &amp; ".")-1))),""))))))</f>
        <v/>
      </c>
      <c r="D717">
        <v>8.7759999999999998</v>
      </c>
      <c r="E717">
        <v>13.82</v>
      </c>
      <c r="F717" t="str">
        <f>_xlfn.LET(_xlpm.raw,_xlfn.XLOOKUP(A717,'Pinlist(S1)'!$C$4:$C$1362,'Pinlist(S1)'!$E$4:$E$1362,""),_xlpm.cleanRaw,SUBSTITUTE(SUBSTITUTE(_xlpm.raw,"_PIN","."),"PIN","."),_xlpm.mainPart,MID(_xlpm.cleanRaw,2,FIND(".",_xlpm.cleanRaw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7" t="str">
        <f>_xlfn.LET(_xlpm.raw,_xlfn.XLOOKUP(A717,'Pinlist(S3)'!$C$4:$C$1362,'Pinlist(S3)'!$E$4:$E$1362,""),_xlpm.cleanRaw,SUBSTITUTE(SUBSTITUTE(_xlpm.raw,"_PIN","."),"PIN","."),_xlpm.mainPart,MID(_xlpm.cleanRaw,2,FIND(".",_xlpm.cleanRaw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7" t="str">
        <f>_xlfn.LET(_xlpm.raw,_xlfn.XLOOKUP(A717,'Pinlist(S5)'!$C$4:$C$1362,'Pinlist(S5)'!$E$4:$E$1362,""),_xlpm.cleanRaw,SUBSTITUTE(SUBSTITUTE(_xlpm.raw,"_PIN","."),"PIN","."),_xlpm.mainPart,MID(_xlpm.cleanRaw,2,FIND(".",_xlpm.cleanRaw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7" t="str">
        <f>""</f>
        <v/>
      </c>
      <c r="J717" t="str">
        <f t="shared" si="11"/>
        <v>AG16;VSS;;8.776;13.82;;;;</v>
      </c>
    </row>
    <row r="718" spans="1:10">
      <c r="A718" t="s">
        <v>1917</v>
      </c>
      <c r="B718" t="str">
        <f>_xlfn.XLOOKUP(A718,'Pinlist(S1)'!$Q$4:$Q$1362,'Pinlist(S1)'!$R$4:$R$1362,"")</f>
        <v>VSS</v>
      </c>
      <c r="C718" t="str" cm="1">
        <f t="array" ref="C718">_xlfn.TEXTJOIN(",",TRUE,_xlfn.UNIQUE(TRANSPOSE(_xlfn.MAP(_xlfn.XLOOKUP(A718,'Pinlist(S1)'!$C$4:$C$1362,'Pinlist(S1)'!$F$4:$K$1362,""),_xlfn.LAMBDA(_xlpm.x,IF(_xlpm.x&lt;&gt;"",TRIM(CLEAN(LEFT(_xlpm.x,FIND(".",_xlpm.x &amp; ".")-1))),""))))))</f>
        <v/>
      </c>
      <c r="D718">
        <v>9.4260000000000002</v>
      </c>
      <c r="E718">
        <v>13.82</v>
      </c>
      <c r="F718" t="str">
        <f>_xlfn.LET(_xlpm.raw,_xlfn.XLOOKUP(A718,'Pinlist(S1)'!$C$4:$C$1362,'Pinlist(S1)'!$E$4:$E$1362,""),_xlpm.cleanRaw,SUBSTITUTE(SUBSTITUTE(_xlpm.raw,"_PIN","."),"PIN","."),_xlpm.mainPart,MID(_xlpm.cleanRaw,2,FIND(".",_xlpm.cleanRaw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8" t="str">
        <f>_xlfn.LET(_xlpm.raw,_xlfn.XLOOKUP(A718,'Pinlist(S3)'!$C$4:$C$1362,'Pinlist(S3)'!$E$4:$E$1362,""),_xlpm.cleanRaw,SUBSTITUTE(SUBSTITUTE(_xlpm.raw,"_PIN","."),"PIN","."),_xlpm.mainPart,MID(_xlpm.cleanRaw,2,FIND(".",_xlpm.cleanRaw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8" t="str">
        <f>_xlfn.LET(_xlpm.raw,_xlfn.XLOOKUP(A718,'Pinlist(S5)'!$C$4:$C$1362,'Pinlist(S5)'!$E$4:$E$1362,""),_xlpm.cleanRaw,SUBSTITUTE(SUBSTITUTE(_xlpm.raw,"_PIN","."),"PIN","."),_xlpm.mainPart,MID(_xlpm.cleanRaw,2,FIND(".",_xlpm.cleanRaw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8" t="str">
        <f>""</f>
        <v/>
      </c>
      <c r="J718" t="str">
        <f t="shared" si="11"/>
        <v>AG17;VSS;;9.426;13.82;;;;</v>
      </c>
    </row>
    <row r="719" spans="1:10">
      <c r="A719" t="s">
        <v>1918</v>
      </c>
      <c r="B719" t="str">
        <f>_xlfn.XLOOKUP(A719,'Pinlist(S1)'!$Q$4:$Q$1362,'Pinlist(S1)'!$R$4:$R$1362,"")</f>
        <v>VSS</v>
      </c>
      <c r="C719" t="str" cm="1">
        <f t="array" ref="C719">_xlfn.TEXTJOIN(",",TRUE,_xlfn.UNIQUE(TRANSPOSE(_xlfn.MAP(_xlfn.XLOOKUP(A719,'Pinlist(S1)'!$C$4:$C$1362,'Pinlist(S1)'!$F$4:$K$1362,""),_xlfn.LAMBDA(_xlpm.x,IF(_xlpm.x&lt;&gt;"",TRIM(CLEAN(LEFT(_xlpm.x,FIND(".",_xlpm.x &amp; ".")-1))),""))))))</f>
        <v/>
      </c>
      <c r="D719">
        <v>10.076000000000001</v>
      </c>
      <c r="E719">
        <v>13.82</v>
      </c>
      <c r="F719" t="str">
        <f>_xlfn.LET(_xlpm.raw,_xlfn.XLOOKUP(A719,'Pinlist(S1)'!$C$4:$C$1362,'Pinlist(S1)'!$E$4:$E$1362,""),_xlpm.cleanRaw,SUBSTITUTE(SUBSTITUTE(_xlpm.raw,"_PIN","."),"PIN","."),_xlpm.mainPart,MID(_xlpm.cleanRaw,2,FIND(".",_xlpm.cleanRaw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9" t="str">
        <f>_xlfn.LET(_xlpm.raw,_xlfn.XLOOKUP(A719,'Pinlist(S3)'!$C$4:$C$1362,'Pinlist(S3)'!$E$4:$E$1362,""),_xlpm.cleanRaw,SUBSTITUTE(SUBSTITUTE(_xlpm.raw,"_PIN","."),"PIN","."),_xlpm.mainPart,MID(_xlpm.cleanRaw,2,FIND(".",_xlpm.cleanRaw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9" t="str">
        <f>_xlfn.LET(_xlpm.raw,_xlfn.XLOOKUP(A719,'Pinlist(S5)'!$C$4:$C$1362,'Pinlist(S5)'!$E$4:$E$1362,""),_xlpm.cleanRaw,SUBSTITUTE(SUBSTITUTE(_xlpm.raw,"_PIN","."),"PIN","."),_xlpm.mainPart,MID(_xlpm.cleanRaw,2,FIND(".",_xlpm.cleanRaw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9" t="str">
        <f>""</f>
        <v/>
      </c>
      <c r="J719" t="str">
        <f t="shared" si="11"/>
        <v>AG18;VSS;;10.076;13.82;;;;</v>
      </c>
    </row>
    <row r="720" spans="1:10">
      <c r="A720" t="s">
        <v>1919</v>
      </c>
      <c r="B720" t="str">
        <f>_xlfn.XLOOKUP(A720,'Pinlist(S1)'!$Q$4:$Q$1362,'Pinlist(S1)'!$R$4:$R$1362,"")</f>
        <v>VSS</v>
      </c>
      <c r="C720" t="str" cm="1">
        <f t="array" ref="C720">_xlfn.TEXTJOIN(",",TRUE,_xlfn.UNIQUE(TRANSPOSE(_xlfn.MAP(_xlfn.XLOOKUP(A720,'Pinlist(S1)'!$C$4:$C$1362,'Pinlist(S1)'!$F$4:$K$1362,""),_xlfn.LAMBDA(_xlpm.x,IF(_xlpm.x&lt;&gt;"",TRIM(CLEAN(LEFT(_xlpm.x,FIND(".",_xlpm.x &amp; ".")-1))),""))))))</f>
        <v/>
      </c>
      <c r="D720">
        <v>10.727</v>
      </c>
      <c r="E720">
        <v>13.82</v>
      </c>
      <c r="F720" t="str">
        <f>_xlfn.LET(_xlpm.raw,_xlfn.XLOOKUP(A720,'Pinlist(S1)'!$C$4:$C$1362,'Pinlist(S1)'!$E$4:$E$1362,""),_xlpm.cleanRaw,SUBSTITUTE(SUBSTITUTE(_xlpm.raw,"_PIN","."),"PIN","."),_xlpm.mainPart,MID(_xlpm.cleanRaw,2,FIND(".",_xlpm.cleanRaw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0" t="str">
        <f>_xlfn.LET(_xlpm.raw,_xlfn.XLOOKUP(A720,'Pinlist(S3)'!$C$4:$C$1362,'Pinlist(S3)'!$E$4:$E$1362,""),_xlpm.cleanRaw,SUBSTITUTE(SUBSTITUTE(_xlpm.raw,"_PIN","."),"PIN","."),_xlpm.mainPart,MID(_xlpm.cleanRaw,2,FIND(".",_xlpm.cleanRaw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0" t="str">
        <f>_xlfn.LET(_xlpm.raw,_xlfn.XLOOKUP(A720,'Pinlist(S5)'!$C$4:$C$1362,'Pinlist(S5)'!$E$4:$E$1362,""),_xlpm.cleanRaw,SUBSTITUTE(SUBSTITUTE(_xlpm.raw,"_PIN","."),"PIN","."),_xlpm.mainPart,MID(_xlpm.cleanRaw,2,FIND(".",_xlpm.cleanRaw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0" t="str">
        <f>""</f>
        <v/>
      </c>
      <c r="J720" t="str">
        <f t="shared" si="11"/>
        <v>AG19;VSS;;10.727;13.82;;;;</v>
      </c>
    </row>
    <row r="721" spans="1:10">
      <c r="A721" t="s">
        <v>1920</v>
      </c>
      <c r="B721" t="str">
        <f>_xlfn.XLOOKUP(A721,'Pinlist(S1)'!$Q$4:$Q$1362,'Pinlist(S1)'!$R$4:$R$1362,"")</f>
        <v>VSS</v>
      </c>
      <c r="C721" t="str" cm="1">
        <f t="array" ref="C721">_xlfn.TEXTJOIN(",",TRUE,_xlfn.UNIQUE(TRANSPOSE(_xlfn.MAP(_xlfn.XLOOKUP(A721,'Pinlist(S1)'!$C$4:$C$1362,'Pinlist(S1)'!$F$4:$K$1362,""),_xlfn.LAMBDA(_xlpm.x,IF(_xlpm.x&lt;&gt;"",TRIM(CLEAN(LEFT(_xlpm.x,FIND(".",_xlpm.x &amp; ".")-1))),""))))))</f>
        <v/>
      </c>
      <c r="D721">
        <v>11.377000000000001</v>
      </c>
      <c r="E721">
        <v>13.82</v>
      </c>
      <c r="F721" t="str">
        <f>_xlfn.LET(_xlpm.raw,_xlfn.XLOOKUP(A721,'Pinlist(S1)'!$C$4:$C$1362,'Pinlist(S1)'!$E$4:$E$1362,""),_xlpm.cleanRaw,SUBSTITUTE(SUBSTITUTE(_xlpm.raw,"_PIN","."),"PIN","."),_xlpm.mainPart,MID(_xlpm.cleanRaw,2,FIND(".",_xlpm.cleanRaw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1" t="str">
        <f>_xlfn.LET(_xlpm.raw,_xlfn.XLOOKUP(A721,'Pinlist(S3)'!$C$4:$C$1362,'Pinlist(S3)'!$E$4:$E$1362,""),_xlpm.cleanRaw,SUBSTITUTE(SUBSTITUTE(_xlpm.raw,"_PIN","."),"PIN","."),_xlpm.mainPart,MID(_xlpm.cleanRaw,2,FIND(".",_xlpm.cleanRaw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1" t="str">
        <f>_xlfn.LET(_xlpm.raw,_xlfn.XLOOKUP(A721,'Pinlist(S5)'!$C$4:$C$1362,'Pinlist(S5)'!$E$4:$E$1362,""),_xlpm.cleanRaw,SUBSTITUTE(SUBSTITUTE(_xlpm.raw,"_PIN","."),"PIN","."),_xlpm.mainPart,MID(_xlpm.cleanRaw,2,FIND(".",_xlpm.cleanRaw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1" t="str">
        <f>""</f>
        <v/>
      </c>
      <c r="J721" t="str">
        <f t="shared" si="11"/>
        <v>AG20;VSS;;11.377;13.82;;;;</v>
      </c>
    </row>
    <row r="722" spans="1:10">
      <c r="A722" t="s">
        <v>1921</v>
      </c>
      <c r="B722" t="str">
        <f>_xlfn.XLOOKUP(A722,'Pinlist(S1)'!$Q$4:$Q$1362,'Pinlist(S1)'!$R$4:$R$1362,"")</f>
        <v>VSS</v>
      </c>
      <c r="C722" t="str" cm="1">
        <f t="array" ref="C722">_xlfn.TEXTJOIN(",",TRUE,_xlfn.UNIQUE(TRANSPOSE(_xlfn.MAP(_xlfn.XLOOKUP(A722,'Pinlist(S1)'!$C$4:$C$1362,'Pinlist(S1)'!$F$4:$K$1362,""),_xlfn.LAMBDA(_xlpm.x,IF(_xlpm.x&lt;&gt;"",TRIM(CLEAN(LEFT(_xlpm.x,FIND(".",_xlpm.x &amp; ".")-1))),""))))))</f>
        <v/>
      </c>
      <c r="D722">
        <v>12.026999999999999</v>
      </c>
      <c r="E722">
        <v>13.82</v>
      </c>
      <c r="F722" t="str">
        <f>_xlfn.LET(_xlpm.raw,_xlfn.XLOOKUP(A722,'Pinlist(S1)'!$C$4:$C$1362,'Pinlist(S1)'!$E$4:$E$1362,""),_xlpm.cleanRaw,SUBSTITUTE(SUBSTITUTE(_xlpm.raw,"_PIN","."),"PIN","."),_xlpm.mainPart,MID(_xlpm.cleanRaw,2,FIND(".",_xlpm.cleanRaw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2" t="str">
        <f>_xlfn.LET(_xlpm.raw,_xlfn.XLOOKUP(A722,'Pinlist(S3)'!$C$4:$C$1362,'Pinlist(S3)'!$E$4:$E$1362,""),_xlpm.cleanRaw,SUBSTITUTE(SUBSTITUTE(_xlpm.raw,"_PIN","."),"PIN","."),_xlpm.mainPart,MID(_xlpm.cleanRaw,2,FIND(".",_xlpm.cleanRaw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2" t="str">
        <f>_xlfn.LET(_xlpm.raw,_xlfn.XLOOKUP(A722,'Pinlist(S5)'!$C$4:$C$1362,'Pinlist(S5)'!$E$4:$E$1362,""),_xlpm.cleanRaw,SUBSTITUTE(SUBSTITUTE(_xlpm.raw,"_PIN","."),"PIN","."),_xlpm.mainPart,MID(_xlpm.cleanRaw,2,FIND(".",_xlpm.cleanRaw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2" t="str">
        <f>""</f>
        <v/>
      </c>
      <c r="J722" t="str">
        <f t="shared" si="11"/>
        <v>AG21;VSS;;12.027;13.82;;;;</v>
      </c>
    </row>
    <row r="723" spans="1:10">
      <c r="A723" t="s">
        <v>1626</v>
      </c>
      <c r="B723" t="str">
        <f>_xlfn.XLOOKUP(A723,'Pinlist(S1)'!$Q$4:$Q$1362,'Pinlist(S1)'!$R$4:$R$1362,"")</f>
        <v>VCCEOPIO</v>
      </c>
      <c r="C723" t="str" cm="1">
        <f t="array" ref="C723">_xlfn.TEXTJOIN(",",TRUE,_xlfn.UNIQUE(TRANSPOSE(_xlfn.MAP(_xlfn.XLOOKUP(A723,'Pinlist(S1)'!$C$4:$C$1362,'Pinlist(S1)'!$F$4:$K$1362,""),_xlfn.LAMBDA(_xlpm.x,IF(_xlpm.x&lt;&gt;"",TRIM(CLEAN(LEFT(_xlpm.x,FIND(".",_xlpm.x &amp; ".")-1))),""))))))</f>
        <v/>
      </c>
      <c r="D723">
        <v>34.957999999999998</v>
      </c>
      <c r="E723">
        <v>13.919</v>
      </c>
      <c r="F723" t="str">
        <f>_xlfn.LET(_xlpm.raw,_xlfn.XLOOKUP(A723,'Pinlist(S1)'!$C$4:$C$1362,'Pinlist(S1)'!$E$4:$E$1362,""),_xlpm.cleanRaw,SUBSTITUTE(SUBSTITUTE(_xlpm.raw,"_PIN","."),"PIN","."),_xlpm.mainPart,MID(_xlpm.cleanRaw,2,FIND(".",_xlpm.cleanRaw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3" t="str">
        <f>_xlfn.LET(_xlpm.raw,_xlfn.XLOOKUP(A723,'Pinlist(S3)'!$C$4:$C$1362,'Pinlist(S3)'!$E$4:$E$1362,""),_xlpm.cleanRaw,SUBSTITUTE(SUBSTITUTE(_xlpm.raw,"_PIN","."),"PIN","."),_xlpm.mainPart,MID(_xlpm.cleanRaw,2,FIND(".",_xlpm.cleanRaw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3" t="str">
        <f>_xlfn.LET(_xlpm.raw,_xlfn.XLOOKUP(A723,'Pinlist(S5)'!$C$4:$C$1362,'Pinlist(S5)'!$E$4:$E$1362,""),_xlpm.cleanRaw,SUBSTITUTE(SUBSTITUTE(_xlpm.raw,"_PIN","."),"PIN","."),_xlpm.mainPart,MID(_xlpm.cleanRaw,2,FIND(".",_xlpm.cleanRaw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3" t="str">
        <f>""</f>
        <v/>
      </c>
      <c r="J723" t="str">
        <f t="shared" si="11"/>
        <v>AG62;VCCEOPIO;;34.958;13.919;;;;</v>
      </c>
    </row>
    <row r="724" spans="1:10">
      <c r="A724" t="s">
        <v>662</v>
      </c>
      <c r="B724" t="str">
        <f>_xlfn.XLOOKUP(A724,'Pinlist(S1)'!$Q$4:$Q$1362,'Pinlist(S1)'!$R$4:$R$1362,"")</f>
        <v>DDRDQSN_IL11_NIL03</v>
      </c>
      <c r="C724" t="str" cm="1">
        <f t="array" ref="C724">_xlfn.TEXTJOIN(",",TRUE,_xlfn.UNIQUE(TRANSPOSE(_xlfn.MAP(_xlfn.XLOOKUP(A724,'Pinlist(S1)'!$C$4:$C$1362,'Pinlist(S1)'!$F$4:$K$1362,""),_xlfn.LAMBDA(_xlpm.x,IF(_xlpm.x&lt;&gt;"",TRIM(CLEAN(LEFT(_xlpm.x,FIND(".",_xlpm.x &amp; ".")-1))),""))))))</f>
        <v/>
      </c>
      <c r="D724">
        <v>39.003</v>
      </c>
      <c r="E724">
        <v>13.916</v>
      </c>
      <c r="F724" t="str">
        <f>_xlfn.LET(_xlpm.raw,_xlfn.XLOOKUP(A724,'Pinlist(S1)'!$C$4:$C$1362,'Pinlist(S1)'!$E$4:$E$1362,""),_xlpm.cleanRaw,SUBSTITUTE(SUBSTITUTE(_xlpm.raw,"_PIN","."),"PIN","."),_xlpm.mainPart,MID(_xlpm.cleanRaw,2,FIND(".",_xlpm.cleanRaw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605078</v>
      </c>
      <c r="G724" t="str">
        <f>_xlfn.LET(_xlpm.raw,_xlfn.XLOOKUP(A724,'Pinlist(S3)'!$C$4:$C$1362,'Pinlist(S3)'!$E$4:$E$1362,""),_xlpm.cleanRaw,SUBSTITUTE(SUBSTITUTE(_xlpm.raw,"_PIN","."),"PIN","."),_xlpm.mainPart,MID(_xlpm.cleanRaw,2,FIND(".",_xlpm.cleanRaw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501120</v>
      </c>
      <c r="H724" t="str">
        <f>_xlfn.LET(_xlpm.raw,_xlfn.XLOOKUP(A724,'Pinlist(S5)'!$C$4:$C$1362,'Pinlist(S5)'!$E$4:$E$1362,""),_xlpm.cleanRaw,SUBSTITUTE(SUBSTITUTE(_xlpm.raw,"_PIN","."),"PIN","."),_xlpm.mainPart,MID(_xlpm.cleanRaw,2,FIND(".",_xlpm.cleanRaw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708078</v>
      </c>
      <c r="I724" t="str">
        <f>""</f>
        <v/>
      </c>
      <c r="J724" t="str">
        <f t="shared" si="11"/>
        <v>AG69;DDRDQSN_IL11_NIL03;;39.003;13.916;605078;501120;708078;</v>
      </c>
    </row>
    <row r="725" spans="1:10">
      <c r="A725" t="s">
        <v>694</v>
      </c>
      <c r="B725" t="str">
        <f>_xlfn.XLOOKUP(A725,'Pinlist(S1)'!$Q$4:$Q$1362,'Pinlist(S1)'!$R$4:$R$1362,"")</f>
        <v>DDRDQSP_IL11_NIL03</v>
      </c>
      <c r="C725" t="str" cm="1">
        <f t="array" ref="C725">_xlfn.TEXTJOIN(",",TRUE,_xlfn.UNIQUE(TRANSPOSE(_xlfn.MAP(_xlfn.XLOOKUP(A725,'Pinlist(S1)'!$C$4:$C$1362,'Pinlist(S1)'!$F$4:$K$1362,""),_xlfn.LAMBDA(_xlpm.x,IF(_xlpm.x&lt;&gt;"",TRIM(CLEAN(LEFT(_xlpm.x,FIND(".",_xlpm.x &amp; ".")-1))),""))))))</f>
        <v/>
      </c>
      <c r="D725">
        <v>39.652999999999999</v>
      </c>
      <c r="E725">
        <v>13.817</v>
      </c>
      <c r="F725" t="str">
        <f>_xlfn.LET(_xlpm.raw,_xlfn.XLOOKUP(A725,'Pinlist(S1)'!$C$4:$C$1362,'Pinlist(S1)'!$E$4:$E$1362,""),_xlpm.cleanRaw,SUBSTITUTE(SUBSTITUTE(_xlpm.raw,"_PIN","."),"PIN","."),_xlpm.mainPart,MID(_xlpm.cleanRaw,2,FIND(".",_xlpm.cleanRaw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605076</v>
      </c>
      <c r="G725" t="str">
        <f>_xlfn.LET(_xlpm.raw,_xlfn.XLOOKUP(A725,'Pinlist(S3)'!$C$4:$C$1362,'Pinlist(S3)'!$E$4:$E$1362,""),_xlpm.cleanRaw,SUBSTITUTE(SUBSTITUTE(_xlpm.raw,"_PIN","."),"PIN","."),_xlpm.mainPart,MID(_xlpm.cleanRaw,2,FIND(".",_xlpm.cleanRaw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501118</v>
      </c>
      <c r="H725" t="str">
        <f>_xlfn.LET(_xlpm.raw,_xlfn.XLOOKUP(A725,'Pinlist(S5)'!$C$4:$C$1362,'Pinlist(S5)'!$E$4:$E$1362,""),_xlpm.cleanRaw,SUBSTITUTE(SUBSTITUTE(_xlpm.raw,"_PIN","."),"PIN","."),_xlpm.mainPart,MID(_xlpm.cleanRaw,2,FIND(".",_xlpm.cleanRaw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708076</v>
      </c>
      <c r="I725" t="str">
        <f>""</f>
        <v/>
      </c>
      <c r="J725" t="str">
        <f t="shared" si="11"/>
        <v>AG70;DDRDQSP_IL11_NIL03;;39.653;13.817;605076;501118;708076;</v>
      </c>
    </row>
    <row r="726" spans="1:10">
      <c r="A726" t="s">
        <v>1922</v>
      </c>
      <c r="B726" t="str">
        <f>_xlfn.XLOOKUP(A726,'Pinlist(S1)'!$Q$4:$Q$1362,'Pinlist(S1)'!$R$4:$R$1362,"")</f>
        <v>VSS</v>
      </c>
      <c r="C726" t="str" cm="1">
        <f t="array" ref="C726">_xlfn.TEXTJOIN(",",TRUE,_xlfn.UNIQUE(TRANSPOSE(_xlfn.MAP(_xlfn.XLOOKUP(A726,'Pinlist(S1)'!$C$4:$C$1362,'Pinlist(S1)'!$F$4:$K$1362,""),_xlfn.LAMBDA(_xlpm.x,IF(_xlpm.x&lt;&gt;"",TRIM(CLEAN(LEFT(_xlpm.x,FIND(".",_xlpm.x &amp; ".")-1))),""))))))</f>
        <v/>
      </c>
      <c r="D726">
        <v>40.302999999999997</v>
      </c>
      <c r="E726">
        <v>13.817</v>
      </c>
      <c r="F726" t="str">
        <f>_xlfn.LET(_xlpm.raw,_xlfn.XLOOKUP(A726,'Pinlist(S1)'!$C$4:$C$1362,'Pinlist(S1)'!$E$4:$E$1362,""),_xlpm.cleanRaw,SUBSTITUTE(SUBSTITUTE(_xlpm.raw,"_PIN","."),"PIN","."),_xlpm.mainPart,MID(_xlpm.cleanRaw,2,FIND(".",_xlpm.cleanRaw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6" t="str">
        <f>_xlfn.LET(_xlpm.raw,_xlfn.XLOOKUP(A726,'Pinlist(S3)'!$C$4:$C$1362,'Pinlist(S3)'!$E$4:$E$1362,""),_xlpm.cleanRaw,SUBSTITUTE(SUBSTITUTE(_xlpm.raw,"_PIN","."),"PIN","."),_xlpm.mainPart,MID(_xlpm.cleanRaw,2,FIND(".",_xlpm.cleanRaw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6" t="str">
        <f>_xlfn.LET(_xlpm.raw,_xlfn.XLOOKUP(A726,'Pinlist(S5)'!$C$4:$C$1362,'Pinlist(S5)'!$E$4:$E$1362,""),_xlpm.cleanRaw,SUBSTITUTE(SUBSTITUTE(_xlpm.raw,"_PIN","."),"PIN","."),_xlpm.mainPart,MID(_xlpm.cleanRaw,2,FIND(".",_xlpm.cleanRaw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6" t="str">
        <f>""</f>
        <v/>
      </c>
      <c r="J726" t="str">
        <f t="shared" si="11"/>
        <v>AG71;VSS;;40.303;13.817;;;;</v>
      </c>
    </row>
    <row r="727" spans="1:10">
      <c r="A727" t="s">
        <v>1468</v>
      </c>
      <c r="B727" t="str">
        <f>_xlfn.XLOOKUP(A727,'Pinlist(S1)'!$Q$4:$Q$1362,'Pinlist(S1)'!$R$4:$R$1362,"")</f>
        <v>USB2N_7</v>
      </c>
      <c r="C727" t="str" cm="1">
        <f t="array" ref="C727">_xlfn.TEXTJOIN(",",TRUE,_xlfn.UNIQUE(TRANSPOSE(_xlfn.MAP(_xlfn.XLOOKUP(A727,'Pinlist(S1)'!$C$4:$C$1362,'Pinlist(S1)'!$F$4:$K$1362,""),_xlfn.LAMBDA(_xlpm.x,IF(_xlpm.x&lt;&gt;"",TRIM(CLEAN(LEFT(_xlpm.x,FIND(".",_xlpm.x &amp; ".")-1))),""))))))</f>
        <v>KA115</v>
      </c>
      <c r="D727">
        <v>0.32500000000000201</v>
      </c>
      <c r="E727">
        <v>14.781000000000001</v>
      </c>
      <c r="F727" t="str">
        <f>_xlfn.LET(_xlpm.raw,_xlfn.XLOOKUP(A727,'Pinlist(S1)'!$C$4:$C$1362,'Pinlist(S1)'!$E$4:$E$1362,""),_xlpm.cleanRaw,SUBSTITUTE(SUBSTITUTE(_xlpm.raw,"_PIN","."),"PIN","."),_xlpm.mainPart,MID(_xlpm.cleanRaw,2,FIND(".",_xlpm.cleanRaw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506004</v>
      </c>
      <c r="G727" t="str">
        <f>_xlfn.LET(_xlpm.raw,_xlfn.XLOOKUP(A727,'Pinlist(S3)'!$C$4:$C$1362,'Pinlist(S3)'!$E$4:$E$1362,""),_xlpm.cleanRaw,SUBSTITUTE(SUBSTITUTE(_xlpm.raw,"_PIN","."),"PIN","."),_xlpm.mainPart,MID(_xlpm.cleanRaw,2,FIND(".",_xlpm.cleanRaw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809128</v>
      </c>
      <c r="H727" t="str">
        <f>_xlfn.LET(_xlpm.raw,_xlfn.XLOOKUP(A727,'Pinlist(S5)'!$C$4:$C$1362,'Pinlist(S5)'!$E$4:$E$1362,""),_xlpm.cleanRaw,SUBSTITUTE(SUBSTITUTE(_xlpm.raw,"_PIN","."),"PIN","."),_xlpm.mainPart,MID(_xlpm.cleanRaw,2,FIND(".",_xlpm.cleanRaw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I727" t="str">
        <f>""</f>
        <v/>
      </c>
      <c r="J727" t="str">
        <f t="shared" si="11"/>
        <v>AH1;USB2N_7;KA115;0.325000000000002;14.781;506004;809128;602066;</v>
      </c>
    </row>
    <row r="728" spans="1:10">
      <c r="A728" t="s">
        <v>1488</v>
      </c>
      <c r="B728" t="str">
        <f>_xlfn.XLOOKUP(A728,'Pinlist(S1)'!$Q$4:$Q$1362,'Pinlist(S1)'!$R$4:$R$1362,"")</f>
        <v>USB2P_7</v>
      </c>
      <c r="C728" t="str" cm="1">
        <f t="array" ref="C728">_xlfn.TEXTJOIN(",",TRUE,_xlfn.UNIQUE(TRANSPOSE(_xlfn.MAP(_xlfn.XLOOKUP(A728,'Pinlist(S1)'!$C$4:$C$1362,'Pinlist(S1)'!$F$4:$K$1362,""),_xlfn.LAMBDA(_xlpm.x,IF(_xlpm.x&lt;&gt;"",TRIM(CLEAN(LEFT(_xlpm.x,FIND(".",_xlpm.x &amp; ".")-1))),""))))))</f>
        <v>KA115</v>
      </c>
      <c r="D728">
        <v>0.97500000000000098</v>
      </c>
      <c r="E728">
        <v>14.781000000000001</v>
      </c>
      <c r="F728" t="str">
        <f>_xlfn.LET(_xlpm.raw,_xlfn.XLOOKUP(A728,'Pinlist(S1)'!$C$4:$C$1362,'Pinlist(S1)'!$E$4:$E$1362,""),_xlpm.cleanRaw,SUBSTITUTE(SUBSTITUTE(_xlpm.raw,"_PIN","."),"PIN","."),_xlpm.mainPart,MID(_xlpm.cleanRaw,2,FIND(".",_xlpm.cleanRaw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506003</v>
      </c>
      <c r="G728" t="str">
        <f>_xlfn.LET(_xlpm.raw,_xlfn.XLOOKUP(A728,'Pinlist(S3)'!$C$4:$C$1362,'Pinlist(S3)'!$E$4:$E$1362,""),_xlpm.cleanRaw,SUBSTITUTE(SUBSTITUTE(_xlpm.raw,"_PIN","."),"PIN","."),_xlpm.mainPart,MID(_xlpm.cleanRaw,2,FIND(".",_xlpm.cleanRaw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809127</v>
      </c>
      <c r="H728" t="str">
        <f>_xlfn.LET(_xlpm.raw,_xlfn.XLOOKUP(A728,'Pinlist(S5)'!$C$4:$C$1362,'Pinlist(S5)'!$E$4:$E$1362,""),_xlpm.cleanRaw,SUBSTITUTE(SUBSTITUTE(_xlpm.raw,"_PIN","."),"PIN","."),_xlpm.mainPart,MID(_xlpm.cleanRaw,2,FIND(".",_xlpm.cleanRaw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I728" t="str">
        <f>""</f>
        <v/>
      </c>
      <c r="J728" t="str">
        <f t="shared" si="11"/>
        <v>AH2;USB2P_7;KA115;0.975000000000001;14.781;506003;809127;602065;</v>
      </c>
    </row>
    <row r="729" spans="1:10">
      <c r="A729" t="s">
        <v>1460</v>
      </c>
      <c r="B729" t="str">
        <f>_xlfn.XLOOKUP(A729,'Pinlist(S1)'!$Q$4:$Q$1362,'Pinlist(S1)'!$R$4:$R$1362,"")</f>
        <v>USB2N_3</v>
      </c>
      <c r="C729" t="str" cm="1">
        <f t="array" ref="C729">_xlfn.TEXTJOIN(",",TRUE,_xlfn.UNIQUE(TRANSPOSE(_xlfn.MAP(_xlfn.XLOOKUP(A729,'Pinlist(S1)'!$C$4:$C$1362,'Pinlist(S1)'!$F$4:$K$1362,""),_xlfn.LAMBDA(_xlpm.x,IF(_xlpm.x&lt;&gt;"",TRIM(CLEAN(LEFT(_xlpm.x,FIND(".",_xlpm.x &amp; ".")-1))),""))))))</f>
        <v>KA113,KA117</v>
      </c>
      <c r="D729">
        <v>1.625</v>
      </c>
      <c r="E729">
        <v>14.781000000000001</v>
      </c>
      <c r="F729" t="str">
        <f>_xlfn.LET(_xlpm.raw,_xlfn.XLOOKUP(A729,'Pinlist(S1)'!$C$4:$C$1362,'Pinlist(S1)'!$E$4:$E$1362,""),_xlpm.cleanRaw,SUBSTITUTE(SUBSTITUTE(_xlpm.raw,"_PIN","."),"PIN","."),_xlpm.mainPart,MID(_xlpm.cleanRaw,2,FIND(".",_xlpm.cleanRaw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729" t="str">
        <f>_xlfn.LET(_xlpm.raw,_xlfn.XLOOKUP(A729,'Pinlist(S3)'!$C$4:$C$1362,'Pinlist(S3)'!$E$4:$E$1362,""),_xlpm.cleanRaw,SUBSTITUTE(SUBSTITUTE(_xlpm.raw,"_PIN","."),"PIN","."),_xlpm.mainPart,MID(_xlpm.cleanRaw,2,FIND(".",_xlpm.cleanRaw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729" t="str">
        <f>_xlfn.LET(_xlpm.raw,_xlfn.XLOOKUP(A729,'Pinlist(S5)'!$C$4:$C$1362,'Pinlist(S5)'!$E$4:$E$1362,""),_xlpm.cleanRaw,SUBSTITUTE(SUBSTITUTE(_xlpm.raw,"_PIN","."),"PIN","."),_xlpm.mainPart,MID(_xlpm.cleanRaw,2,FIND(".",_xlpm.cleanRaw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729" t="str">
        <f>""</f>
        <v/>
      </c>
      <c r="J729" t="str">
        <f t="shared" si="11"/>
        <v>AH3;USB2N_3;KA113,KA117;1.625;14.781;507122;809119;603109;</v>
      </c>
    </row>
    <row r="730" spans="1:10">
      <c r="A730" t="s">
        <v>1924</v>
      </c>
      <c r="B730" t="str">
        <f>_xlfn.XLOOKUP(A730,'Pinlist(S1)'!$Q$4:$Q$1362,'Pinlist(S1)'!$R$4:$R$1362,"")</f>
        <v>VSS</v>
      </c>
      <c r="C730" t="str" cm="1">
        <f t="array" ref="C730">_xlfn.TEXTJOIN(",",TRUE,_xlfn.UNIQUE(TRANSPOSE(_xlfn.MAP(_xlfn.XLOOKUP(A730,'Pinlist(S1)'!$C$4:$C$1362,'Pinlist(S1)'!$F$4:$K$1362,""),_xlfn.LAMBDA(_xlpm.x,IF(_xlpm.x&lt;&gt;"",TRIM(CLEAN(LEFT(_xlpm.x,FIND(".",_xlpm.x &amp; ".")-1))),""))))))</f>
        <v/>
      </c>
      <c r="D730">
        <v>2.7289999999999899</v>
      </c>
      <c r="E730">
        <v>14.381</v>
      </c>
      <c r="F730" t="str">
        <f>_xlfn.LET(_xlpm.raw,_xlfn.XLOOKUP(A730,'Pinlist(S1)'!$C$4:$C$1362,'Pinlist(S1)'!$E$4:$E$1362,""),_xlpm.cleanRaw,SUBSTITUTE(SUBSTITUTE(_xlpm.raw,"_PIN","."),"PIN","."),_xlpm.mainPart,MID(_xlpm.cleanRaw,2,FIND(".",_xlpm.cleanRaw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0" t="str">
        <f>_xlfn.LET(_xlpm.raw,_xlfn.XLOOKUP(A730,'Pinlist(S3)'!$C$4:$C$1362,'Pinlist(S3)'!$E$4:$E$1362,""),_xlpm.cleanRaw,SUBSTITUTE(SUBSTITUTE(_xlpm.raw,"_PIN","."),"PIN","."),_xlpm.mainPart,MID(_xlpm.cleanRaw,2,FIND(".",_xlpm.cleanRaw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0" t="str">
        <f>_xlfn.LET(_xlpm.raw,_xlfn.XLOOKUP(A730,'Pinlist(S5)'!$C$4:$C$1362,'Pinlist(S5)'!$E$4:$E$1362,""),_xlpm.cleanRaw,SUBSTITUTE(SUBSTITUTE(_xlpm.raw,"_PIN","."),"PIN","."),_xlpm.mainPart,MID(_xlpm.cleanRaw,2,FIND(".",_xlpm.cleanRaw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0" t="str">
        <f>""</f>
        <v/>
      </c>
      <c r="J730" t="str">
        <f t="shared" si="11"/>
        <v>AH6;VSS;;2.72899999999999;14.381;;;;</v>
      </c>
    </row>
    <row r="731" spans="1:10">
      <c r="A731" t="s">
        <v>1456</v>
      </c>
      <c r="B731" t="str">
        <f>_xlfn.XLOOKUP(A731,'Pinlist(S1)'!$Q$4:$Q$1362,'Pinlist(S1)'!$R$4:$R$1362,"")</f>
        <v>USB2N_10</v>
      </c>
      <c r="C731" t="str" cm="1">
        <f t="array" ref="C731">_xlfn.TEXTJOIN(",",TRUE,_xlfn.UNIQUE(TRANSPOSE(_xlfn.MAP(_xlfn.XLOOKUP(A731,'Pinlist(S1)'!$C$4:$C$1362,'Pinlist(S1)'!$F$4:$K$1362,""),_xlfn.LAMBDA(_xlpm.x,IF(_xlpm.x&lt;&gt;"",TRIM(CLEAN(LEFT(_xlpm.x,FIND(".",_xlpm.x &amp; ".")-1))),""))))))</f>
        <v>KA116</v>
      </c>
      <c r="D731">
        <v>3.379</v>
      </c>
      <c r="E731">
        <v>14.381</v>
      </c>
      <c r="F731" t="str">
        <f>_xlfn.LET(_xlpm.raw,_xlfn.XLOOKUP(A731,'Pinlist(S1)'!$C$4:$C$1362,'Pinlist(S1)'!$E$4:$E$1362,""),_xlpm.cleanRaw,SUBSTITUTE(SUBSTITUTE(_xlpm.raw,"_PIN","."),"PIN","."),_xlpm.mainPart,MID(_xlpm.cleanRaw,2,FIND(".",_xlpm.cleanRaw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504127</v>
      </c>
      <c r="G731" t="str">
        <f>_xlfn.LET(_xlpm.raw,_xlfn.XLOOKUP(A731,'Pinlist(S3)'!$C$4:$C$1362,'Pinlist(S3)'!$E$4:$E$1362,""),_xlpm.cleanRaw,SUBSTITUTE(SUBSTITUTE(_xlpm.raw,"_PIN","."),"PIN","."),_xlpm.mainPart,MID(_xlpm.cleanRaw,2,FIND(".",_xlpm.cleanRaw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808050</v>
      </c>
      <c r="H731" t="str">
        <f>_xlfn.LET(_xlpm.raw,_xlfn.XLOOKUP(A731,'Pinlist(S5)'!$C$4:$C$1362,'Pinlist(S5)'!$E$4:$E$1362,""),_xlpm.cleanRaw,SUBSTITUTE(SUBSTITUTE(_xlpm.raw,"_PIN","."),"PIN","."),_xlpm.mainPart,MID(_xlpm.cleanRaw,2,FIND(".",_xlpm.cleanRaw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I731" t="str">
        <f>""</f>
        <v/>
      </c>
      <c r="J731" t="str">
        <f t="shared" si="11"/>
        <v>AH7;USB2N_10;KA116;3.379;14.381;504127;808050;602064;</v>
      </c>
    </row>
    <row r="732" spans="1:10">
      <c r="A732" t="s">
        <v>1476</v>
      </c>
      <c r="B732" t="str">
        <f>_xlfn.XLOOKUP(A732,'Pinlist(S1)'!$Q$4:$Q$1362,'Pinlist(S1)'!$R$4:$R$1362,"")</f>
        <v>USB2P_10</v>
      </c>
      <c r="C732" t="str" cm="1">
        <f t="array" ref="C732">_xlfn.TEXTJOIN(",",TRUE,_xlfn.UNIQUE(TRANSPOSE(_xlfn.MAP(_xlfn.XLOOKUP(A732,'Pinlist(S1)'!$C$4:$C$1362,'Pinlist(S1)'!$F$4:$K$1362,""),_xlfn.LAMBDA(_xlpm.x,IF(_xlpm.x&lt;&gt;"",TRIM(CLEAN(LEFT(_xlpm.x,FIND(".",_xlpm.x &amp; ".")-1))),""))))))</f>
        <v>KA116</v>
      </c>
      <c r="D732">
        <v>4.0289999999999901</v>
      </c>
      <c r="E732">
        <v>14.381</v>
      </c>
      <c r="F732" t="str">
        <f>_xlfn.LET(_xlpm.raw,_xlfn.XLOOKUP(A732,'Pinlist(S1)'!$C$4:$C$1362,'Pinlist(S1)'!$E$4:$E$1362,""),_xlpm.cleanRaw,SUBSTITUTE(SUBSTITUTE(_xlpm.raw,"_PIN","."),"PIN","."),_xlpm.mainPart,MID(_xlpm.cleanRaw,2,FIND(".",_xlpm.cleanRaw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504128</v>
      </c>
      <c r="G732" t="str">
        <f>_xlfn.LET(_xlpm.raw,_xlfn.XLOOKUP(A732,'Pinlist(S3)'!$C$4:$C$1362,'Pinlist(S3)'!$E$4:$E$1362,""),_xlpm.cleanRaw,SUBSTITUTE(SUBSTITUTE(_xlpm.raw,"_PIN","."),"PIN","."),_xlpm.mainPart,MID(_xlpm.cleanRaw,2,FIND(".",_xlpm.cleanRaw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808052</v>
      </c>
      <c r="H732" t="str">
        <f>_xlfn.LET(_xlpm.raw,_xlfn.XLOOKUP(A732,'Pinlist(S5)'!$C$4:$C$1362,'Pinlist(S5)'!$E$4:$E$1362,""),_xlpm.cleanRaw,SUBSTITUTE(SUBSTITUTE(_xlpm.raw,"_PIN","."),"PIN","."),_xlpm.mainPart,MID(_xlpm.cleanRaw,2,FIND(".",_xlpm.cleanRaw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I732" t="str">
        <f>""</f>
        <v/>
      </c>
      <c r="J732" t="str">
        <f t="shared" si="11"/>
        <v>AH8;USB2P_10;KA116;4.02899999999999;14.381;504128;808052;602062;</v>
      </c>
    </row>
    <row r="733" spans="1:10">
      <c r="A733" t="s">
        <v>1085</v>
      </c>
      <c r="B733" t="str">
        <f>_xlfn.XLOOKUP(A733,'Pinlist(S1)'!$Q$4:$Q$1362,'Pinlist(S1)'!$R$4:$R$1362,"")</f>
        <v>GPP_F_4_I2C2_SDA</v>
      </c>
      <c r="C733" t="str" cm="1">
        <f t="array" ref="C733">_xlfn.TEXTJOIN(",",TRUE,_xlfn.UNIQUE(TRANSPOSE(_xlfn.MAP(_xlfn.XLOOKUP(A733,'Pinlist(S1)'!$C$4:$C$1362,'Pinlist(S1)'!$F$4:$K$1362,""),_xlfn.LAMBDA(_xlpm.x,IF(_xlpm.x&lt;&gt;"",TRIM(CLEAN(LEFT(_xlpm.x,FIND(".",_xlpm.x &amp; ".")-1))),""))))))</f>
        <v/>
      </c>
      <c r="D733">
        <v>4.6790000000000003</v>
      </c>
      <c r="E733">
        <v>14.381</v>
      </c>
      <c r="F733" t="str">
        <f>_xlfn.LET(_xlpm.raw,_xlfn.XLOOKUP(A733,'Pinlist(S1)'!$C$4:$C$1362,'Pinlist(S1)'!$E$4:$E$1362,""),_xlpm.cleanRaw,SUBSTITUTE(SUBSTITUTE(_xlpm.raw,"_PIN","."),"PIN","."),_xlpm.mainPart,MID(_xlpm.cleanRaw,2,FIND(".",_xlpm.cleanRaw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733" t="str">
        <f>_xlfn.LET(_xlpm.raw,_xlfn.XLOOKUP(A733,'Pinlist(S3)'!$C$4:$C$1362,'Pinlist(S3)'!$E$4:$E$1362,""),_xlpm.cleanRaw,SUBSTITUTE(SUBSTITUTE(_xlpm.raw,"_PIN","."),"PIN","."),_xlpm.mainPart,MID(_xlpm.cleanRaw,2,FIND(".",_xlpm.cleanRaw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733" t="str">
        <f>_xlfn.LET(_xlpm.raw,_xlfn.XLOOKUP(A733,'Pinlist(S5)'!$C$4:$C$1362,'Pinlist(S5)'!$E$4:$E$1362,""),_xlpm.cleanRaw,SUBSTITUTE(SUBSTITUTE(_xlpm.raw,"_PIN","."),"PIN","."),_xlpm.mainPart,MID(_xlpm.cleanRaw,2,FIND(".",_xlpm.cleanRaw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733" t="str">
        <f>""</f>
        <v/>
      </c>
      <c r="J733" t="str">
        <f t="shared" si="11"/>
        <v>AH9;GPP_F_4_I2C2_SDA;;4.679;14.381;506015;806088;601009;</v>
      </c>
    </row>
    <row r="734" spans="1:10">
      <c r="A734" t="s">
        <v>1087</v>
      </c>
      <c r="B734" t="str">
        <f>_xlfn.XLOOKUP(A734,'Pinlist(S1)'!$Q$4:$Q$1362,'Pinlist(S1)'!$R$4:$R$1362,"")</f>
        <v>GPP_F_5_I2C2_SCL</v>
      </c>
      <c r="C734" t="str" cm="1">
        <f t="array" ref="C734">_xlfn.TEXTJOIN(",",TRUE,_xlfn.UNIQUE(TRANSPOSE(_xlfn.MAP(_xlfn.XLOOKUP(A734,'Pinlist(S1)'!$C$4:$C$1362,'Pinlist(S1)'!$F$4:$K$1362,""),_xlfn.LAMBDA(_xlpm.x,IF(_xlpm.x&lt;&gt;"",TRIM(CLEAN(LEFT(_xlpm.x,FIND(".",_xlpm.x &amp; ".")-1))),""))))))</f>
        <v/>
      </c>
      <c r="D734">
        <v>5.3289999999999997</v>
      </c>
      <c r="E734">
        <v>14.381</v>
      </c>
      <c r="F734" t="str">
        <f>_xlfn.LET(_xlpm.raw,_xlfn.XLOOKUP(A734,'Pinlist(S1)'!$C$4:$C$1362,'Pinlist(S1)'!$E$4:$E$1362,""),_xlpm.cleanRaw,SUBSTITUTE(SUBSTITUTE(_xlpm.raw,"_PIN","."),"PIN","."),_xlpm.mainPart,MID(_xlpm.cleanRaw,2,FIND(".",_xlpm.cleanRaw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734" t="str">
        <f>_xlfn.LET(_xlpm.raw,_xlfn.XLOOKUP(A734,'Pinlist(S3)'!$C$4:$C$1362,'Pinlist(S3)'!$E$4:$E$1362,""),_xlpm.cleanRaw,SUBSTITUTE(SUBSTITUTE(_xlpm.raw,"_PIN","."),"PIN","."),_xlpm.mainPart,MID(_xlpm.cleanRaw,2,FIND(".",_xlpm.cleanRaw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734" t="str">
        <f>_xlfn.LET(_xlpm.raw,_xlfn.XLOOKUP(A734,'Pinlist(S5)'!$C$4:$C$1362,'Pinlist(S5)'!$E$4:$E$1362,""),_xlpm.cleanRaw,SUBSTITUTE(SUBSTITUTE(_xlpm.raw,"_PIN","."),"PIN","."),_xlpm.mainPart,MID(_xlpm.cleanRaw,2,FIND(".",_xlpm.cleanRaw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734" t="str">
        <f>""</f>
        <v/>
      </c>
      <c r="J734" t="str">
        <f t="shared" si="11"/>
        <v>AH10;GPP_F_5_I2C2_SCL;;5.329;14.381;507093;807013;701105;</v>
      </c>
    </row>
    <row r="735" spans="1:10">
      <c r="A735" t="s">
        <v>1089</v>
      </c>
      <c r="B735" t="str">
        <f>_xlfn.XLOOKUP(A735,'Pinlist(S1)'!$Q$4:$Q$1362,'Pinlist(S1)'!$R$4:$R$1362,"")</f>
        <v>GPP_F_6_I2C3_SDA</v>
      </c>
      <c r="C735" t="str" cm="1">
        <f t="array" ref="C735">_xlfn.TEXTJOIN(",",TRUE,_xlfn.UNIQUE(TRANSPOSE(_xlfn.MAP(_xlfn.XLOOKUP(A735,'Pinlist(S1)'!$C$4:$C$1362,'Pinlist(S1)'!$F$4:$K$1362,""),_xlfn.LAMBDA(_xlpm.x,IF(_xlpm.x&lt;&gt;"",TRIM(CLEAN(LEFT(_xlpm.x,FIND(".",_xlpm.x &amp; ".")-1))),""))))))</f>
        <v/>
      </c>
      <c r="D735">
        <v>5.98</v>
      </c>
      <c r="E735">
        <v>14.381</v>
      </c>
      <c r="F735" t="str">
        <f>_xlfn.LET(_xlpm.raw,_xlfn.XLOOKUP(A735,'Pinlist(S1)'!$C$4:$C$1362,'Pinlist(S1)'!$E$4:$E$1362,""),_xlpm.cleanRaw,SUBSTITUTE(SUBSTITUTE(_xlpm.raw,"_PIN","."),"PIN","."),_xlpm.mainPart,MID(_xlpm.cleanRaw,2,FIND(".",_xlpm.cleanRaw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735" t="str">
        <f>_xlfn.LET(_xlpm.raw,_xlfn.XLOOKUP(A735,'Pinlist(S3)'!$C$4:$C$1362,'Pinlist(S3)'!$E$4:$E$1362,""),_xlpm.cleanRaw,SUBSTITUTE(SUBSTITUTE(_xlpm.raw,"_PIN","."),"PIN","."),_xlpm.mainPart,MID(_xlpm.cleanRaw,2,FIND(".",_xlpm.cleanRaw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735" t="str">
        <f>_xlfn.LET(_xlpm.raw,_xlfn.XLOOKUP(A735,'Pinlist(S5)'!$C$4:$C$1362,'Pinlist(S5)'!$E$4:$E$1362,""),_xlpm.cleanRaw,SUBSTITUTE(SUBSTITUTE(_xlpm.raw,"_PIN","."),"PIN","."),_xlpm.mainPart,MID(_xlpm.cleanRaw,2,FIND(".",_xlpm.cleanRaw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735" t="str">
        <f>""</f>
        <v/>
      </c>
      <c r="J735" t="str">
        <f t="shared" si="11"/>
        <v>AH11;GPP_F_6_I2C3_SDA;;5.98;14.381;506015;806088;601009;</v>
      </c>
    </row>
    <row r="736" spans="1:10">
      <c r="A736" t="s">
        <v>1091</v>
      </c>
      <c r="B736" t="str">
        <f>_xlfn.XLOOKUP(A736,'Pinlist(S1)'!$Q$4:$Q$1362,'Pinlist(S1)'!$R$4:$R$1362,"")</f>
        <v>GPP_F_7_I2C3_SCL</v>
      </c>
      <c r="C736" t="str" cm="1">
        <f t="array" ref="C736">_xlfn.TEXTJOIN(",",TRUE,_xlfn.UNIQUE(TRANSPOSE(_xlfn.MAP(_xlfn.XLOOKUP(A736,'Pinlist(S1)'!$C$4:$C$1362,'Pinlist(S1)'!$F$4:$K$1362,""),_xlfn.LAMBDA(_xlpm.x,IF(_xlpm.x&lt;&gt;"",TRIM(CLEAN(LEFT(_xlpm.x,FIND(".",_xlpm.x &amp; ".")-1))),""))))))</f>
        <v/>
      </c>
      <c r="D736">
        <v>6.63</v>
      </c>
      <c r="E736">
        <v>14.381</v>
      </c>
      <c r="F736" t="str">
        <f>_xlfn.LET(_xlpm.raw,_xlfn.XLOOKUP(A736,'Pinlist(S1)'!$C$4:$C$1362,'Pinlist(S1)'!$E$4:$E$1362,""),_xlpm.cleanRaw,SUBSTITUTE(SUBSTITUTE(_xlpm.raw,"_PIN","."),"PIN","."),_xlpm.mainPart,MID(_xlpm.cleanRaw,2,FIND(".",_xlpm.cleanRaw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736" t="str">
        <f>_xlfn.LET(_xlpm.raw,_xlfn.XLOOKUP(A736,'Pinlist(S3)'!$C$4:$C$1362,'Pinlist(S3)'!$E$4:$E$1362,""),_xlpm.cleanRaw,SUBSTITUTE(SUBSTITUTE(_xlpm.raw,"_PIN","."),"PIN","."),_xlpm.mainPart,MID(_xlpm.cleanRaw,2,FIND(".",_xlpm.cleanRaw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736" t="str">
        <f>_xlfn.LET(_xlpm.raw,_xlfn.XLOOKUP(A736,'Pinlist(S5)'!$C$4:$C$1362,'Pinlist(S5)'!$E$4:$E$1362,""),_xlpm.cleanRaw,SUBSTITUTE(SUBSTITUTE(_xlpm.raw,"_PIN","."),"PIN","."),_xlpm.mainPart,MID(_xlpm.cleanRaw,2,FIND(".",_xlpm.cleanRaw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736" t="str">
        <f>""</f>
        <v/>
      </c>
      <c r="J736" t="str">
        <f t="shared" si="11"/>
        <v>AH12;GPP_F_7_I2C3_SCL;;6.63;14.381;507093;807013;701105;</v>
      </c>
    </row>
    <row r="737" spans="1:10">
      <c r="A737" t="s">
        <v>1923</v>
      </c>
      <c r="B737" t="str">
        <f>_xlfn.XLOOKUP(A737,'Pinlist(S1)'!$Q$4:$Q$1362,'Pinlist(S1)'!$R$4:$R$1362,"")</f>
        <v>VSS</v>
      </c>
      <c r="C737" t="str" cm="1">
        <f t="array" ref="C737">_xlfn.TEXTJOIN(",",TRUE,_xlfn.UNIQUE(TRANSPOSE(_xlfn.MAP(_xlfn.XLOOKUP(A737,'Pinlist(S1)'!$C$4:$C$1362,'Pinlist(S1)'!$F$4:$K$1362,""),_xlfn.LAMBDA(_xlpm.x,IF(_xlpm.x&lt;&gt;"",TRIM(CLEAN(LEFT(_xlpm.x,FIND(".",_xlpm.x &amp; ".")-1))),""))))))</f>
        <v/>
      </c>
      <c r="D737">
        <v>7.28</v>
      </c>
      <c r="E737">
        <v>14.381</v>
      </c>
      <c r="F737" t="str">
        <f>_xlfn.LET(_xlpm.raw,_xlfn.XLOOKUP(A737,'Pinlist(S1)'!$C$4:$C$1362,'Pinlist(S1)'!$E$4:$E$1362,""),_xlpm.cleanRaw,SUBSTITUTE(SUBSTITUTE(_xlpm.raw,"_PIN","."),"PIN","."),_xlpm.mainPart,MID(_xlpm.cleanRaw,2,FIND(".",_xlpm.cleanRaw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7" t="str">
        <f>_xlfn.LET(_xlpm.raw,_xlfn.XLOOKUP(A737,'Pinlist(S3)'!$C$4:$C$1362,'Pinlist(S3)'!$E$4:$E$1362,""),_xlpm.cleanRaw,SUBSTITUTE(SUBSTITUTE(_xlpm.raw,"_PIN","."),"PIN","."),_xlpm.mainPart,MID(_xlpm.cleanRaw,2,FIND(".",_xlpm.cleanRaw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7" t="str">
        <f>_xlfn.LET(_xlpm.raw,_xlfn.XLOOKUP(A737,'Pinlist(S5)'!$C$4:$C$1362,'Pinlist(S5)'!$E$4:$E$1362,""),_xlpm.cleanRaw,SUBSTITUTE(SUBSTITUTE(_xlpm.raw,"_PIN","."),"PIN","."),_xlpm.mainPart,MID(_xlpm.cleanRaw,2,FIND(".",_xlpm.cleanRaw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7" t="str">
        <f>""</f>
        <v/>
      </c>
      <c r="J737" t="str">
        <f t="shared" si="11"/>
        <v>AH13;VSS;;7.28;14.381;;;;</v>
      </c>
    </row>
    <row r="738" spans="1:10">
      <c r="A738" t="s">
        <v>1925</v>
      </c>
      <c r="B738" t="str">
        <f>_xlfn.XLOOKUP(A738,'Pinlist(S1)'!$Q$4:$Q$1362,'Pinlist(S1)'!$R$4:$R$1362,"")</f>
        <v>VSS</v>
      </c>
      <c r="C738" t="str" cm="1">
        <f t="array" ref="C738">_xlfn.TEXTJOIN(",",TRUE,_xlfn.UNIQUE(TRANSPOSE(_xlfn.MAP(_xlfn.XLOOKUP(A738,'Pinlist(S1)'!$C$4:$C$1362,'Pinlist(S1)'!$F$4:$K$1362,""),_xlfn.LAMBDA(_xlpm.x,IF(_xlpm.x&lt;&gt;"",TRIM(CLEAN(LEFT(_xlpm.x,FIND(".",_xlpm.x &amp; ".")-1))),""))))))</f>
        <v/>
      </c>
      <c r="D738">
        <v>35.427</v>
      </c>
      <c r="E738">
        <v>14.375999999999999</v>
      </c>
      <c r="F738" t="str">
        <f>_xlfn.LET(_xlpm.raw,_xlfn.XLOOKUP(A738,'Pinlist(S1)'!$C$4:$C$1362,'Pinlist(S1)'!$E$4:$E$1362,""),_xlpm.cleanRaw,SUBSTITUTE(SUBSTITUTE(_xlpm.raw,"_PIN","."),"PIN","."),_xlpm.mainPart,MID(_xlpm.cleanRaw,2,FIND(".",_xlpm.cleanRaw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8" t="str">
        <f>_xlfn.LET(_xlpm.raw,_xlfn.XLOOKUP(A738,'Pinlist(S3)'!$C$4:$C$1362,'Pinlist(S3)'!$E$4:$E$1362,""),_xlpm.cleanRaw,SUBSTITUTE(SUBSTITUTE(_xlpm.raw,"_PIN","."),"PIN","."),_xlpm.mainPart,MID(_xlpm.cleanRaw,2,FIND(".",_xlpm.cleanRaw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8" t="str">
        <f>_xlfn.LET(_xlpm.raw,_xlfn.XLOOKUP(A738,'Pinlist(S5)'!$C$4:$C$1362,'Pinlist(S5)'!$E$4:$E$1362,""),_xlpm.cleanRaw,SUBSTITUTE(SUBSTITUTE(_xlpm.raw,"_PIN","."),"PIN","."),_xlpm.mainPart,MID(_xlpm.cleanRaw,2,FIND(".",_xlpm.cleanRaw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8" t="str">
        <f>""</f>
        <v/>
      </c>
      <c r="J738" t="str">
        <f t="shared" si="11"/>
        <v>AH63;VSS;;35.427;14.376;;;;</v>
      </c>
    </row>
    <row r="739" spans="1:10">
      <c r="A739" t="s">
        <v>1926</v>
      </c>
      <c r="B739" t="str">
        <f>_xlfn.XLOOKUP(A739,'Pinlist(S1)'!$Q$4:$Q$1362,'Pinlist(S1)'!$R$4:$R$1362,"")</f>
        <v>VSS</v>
      </c>
      <c r="C739" t="str" cm="1">
        <f t="array" ref="C739">_xlfn.TEXTJOIN(",",TRUE,_xlfn.UNIQUE(TRANSPOSE(_xlfn.MAP(_xlfn.XLOOKUP(A739,'Pinlist(S1)'!$C$4:$C$1362,'Pinlist(S1)'!$F$4:$K$1362,""),_xlfn.LAMBDA(_xlpm.x,IF(_xlpm.x&lt;&gt;"",TRIM(CLEAN(LEFT(_xlpm.x,FIND(".",_xlpm.x &amp; ".")-1))),""))))))</f>
        <v/>
      </c>
      <c r="D739">
        <v>36.076999999999998</v>
      </c>
      <c r="E739">
        <v>14.375999999999999</v>
      </c>
      <c r="F739" t="str">
        <f>_xlfn.LET(_xlpm.raw,_xlfn.XLOOKUP(A739,'Pinlist(S1)'!$C$4:$C$1362,'Pinlist(S1)'!$E$4:$E$1362,""),_xlpm.cleanRaw,SUBSTITUTE(SUBSTITUTE(_xlpm.raw,"_PIN","."),"PIN","."),_xlpm.mainPart,MID(_xlpm.cleanRaw,2,FIND(".",_xlpm.cleanRaw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9" t="str">
        <f>_xlfn.LET(_xlpm.raw,_xlfn.XLOOKUP(A739,'Pinlist(S3)'!$C$4:$C$1362,'Pinlist(S3)'!$E$4:$E$1362,""),_xlpm.cleanRaw,SUBSTITUTE(SUBSTITUTE(_xlpm.raw,"_PIN","."),"PIN","."),_xlpm.mainPart,MID(_xlpm.cleanRaw,2,FIND(".",_xlpm.cleanRaw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9" t="str">
        <f>_xlfn.LET(_xlpm.raw,_xlfn.XLOOKUP(A739,'Pinlist(S5)'!$C$4:$C$1362,'Pinlist(S5)'!$E$4:$E$1362,""),_xlpm.cleanRaw,SUBSTITUTE(SUBSTITUTE(_xlpm.raw,"_PIN","."),"PIN","."),_xlpm.mainPart,MID(_xlpm.cleanRaw,2,FIND(".",_xlpm.cleanRaw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9" t="str">
        <f>""</f>
        <v/>
      </c>
      <c r="J739" t="str">
        <f t="shared" si="11"/>
        <v>AH64;VSS;;36.077;14.376;;;;</v>
      </c>
    </row>
    <row r="740" spans="1:10">
      <c r="A740" t="s">
        <v>692</v>
      </c>
      <c r="B740" t="str">
        <f>_xlfn.XLOOKUP(A740,'Pinlist(S1)'!$Q$4:$Q$1362,'Pinlist(S1)'!$R$4:$R$1362,"")</f>
        <v>DDRDQSP_IL10_NIL02</v>
      </c>
      <c r="C740" t="str" cm="1">
        <f t="array" ref="C740">_xlfn.TEXTJOIN(",",TRUE,_xlfn.UNIQUE(TRANSPOSE(_xlfn.MAP(_xlfn.XLOOKUP(A740,'Pinlist(S1)'!$C$4:$C$1362,'Pinlist(S1)'!$F$4:$K$1362,""),_xlfn.LAMBDA(_xlpm.x,IF(_xlpm.x&lt;&gt;"",TRIM(CLEAN(LEFT(_xlpm.x,FIND(".",_xlpm.x &amp; ".")-1))),""))))))</f>
        <v/>
      </c>
      <c r="D740">
        <v>36.726999999999997</v>
      </c>
      <c r="E740">
        <v>14.375999999999999</v>
      </c>
      <c r="F740" t="str">
        <f>_xlfn.LET(_xlpm.raw,_xlfn.XLOOKUP(A740,'Pinlist(S1)'!$C$4:$C$1362,'Pinlist(S1)'!$E$4:$E$1362,""),_xlpm.cleanRaw,SUBSTITUTE(SUBSTITUTE(_xlpm.raw,"_PIN","."),"PIN","."),_xlpm.mainPart,MID(_xlpm.cleanRaw,2,FIND(".",_xlpm.cleanRaw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605079</v>
      </c>
      <c r="G740" t="str">
        <f>_xlfn.LET(_xlpm.raw,_xlfn.XLOOKUP(A740,'Pinlist(S3)'!$C$4:$C$1362,'Pinlist(S3)'!$E$4:$E$1362,""),_xlpm.cleanRaw,SUBSTITUTE(SUBSTITUTE(_xlpm.raw,"_PIN","."),"PIN","."),_xlpm.mainPart,MID(_xlpm.cleanRaw,2,FIND(".",_xlpm.cleanRaw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502075</v>
      </c>
      <c r="H740" t="str">
        <f>_xlfn.LET(_xlpm.raw,_xlfn.XLOOKUP(A740,'Pinlist(S5)'!$C$4:$C$1362,'Pinlist(S5)'!$E$4:$E$1362,""),_xlpm.cleanRaw,SUBSTITUTE(SUBSTITUTE(_xlpm.raw,"_PIN","."),"PIN","."),_xlpm.mainPart,MID(_xlpm.cleanRaw,2,FIND(".",_xlpm.cleanRaw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708075</v>
      </c>
      <c r="I740" t="str">
        <f>""</f>
        <v/>
      </c>
      <c r="J740" t="str">
        <f t="shared" si="11"/>
        <v>AH65;DDRDQSP_IL10_NIL02;;36.727;14.376;605079;502075;708075;</v>
      </c>
    </row>
    <row r="741" spans="1:10">
      <c r="A741" t="s">
        <v>660</v>
      </c>
      <c r="B741" t="str">
        <f>_xlfn.XLOOKUP(A741,'Pinlist(S1)'!$Q$4:$Q$1362,'Pinlist(S1)'!$R$4:$R$1362,"")</f>
        <v>DDRDQSN_IL10_NIL02</v>
      </c>
      <c r="C741" t="str" cm="1">
        <f t="array" ref="C741">_xlfn.TEXTJOIN(",",TRUE,_xlfn.UNIQUE(TRANSPOSE(_xlfn.MAP(_xlfn.XLOOKUP(A741,'Pinlist(S1)'!$C$4:$C$1362,'Pinlist(S1)'!$F$4:$K$1362,""),_xlfn.LAMBDA(_xlpm.x,IF(_xlpm.x&lt;&gt;"",TRIM(CLEAN(LEFT(_xlpm.x,FIND(".",_xlpm.x &amp; ".")-1))),""))))))</f>
        <v/>
      </c>
      <c r="D741">
        <v>37.376999999999903</v>
      </c>
      <c r="E741">
        <v>14.375999999999999</v>
      </c>
      <c r="F741" t="str">
        <f>_xlfn.LET(_xlpm.raw,_xlfn.XLOOKUP(A741,'Pinlist(S1)'!$C$4:$C$1362,'Pinlist(S1)'!$E$4:$E$1362,""),_xlpm.cleanRaw,SUBSTITUTE(SUBSTITUTE(_xlpm.raw,"_PIN","."),"PIN","."),_xlpm.mainPart,MID(_xlpm.cleanRaw,2,FIND(".",_xlpm.cleanRaw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605080</v>
      </c>
      <c r="G741" t="str">
        <f>_xlfn.LET(_xlpm.raw,_xlfn.XLOOKUP(A741,'Pinlist(S3)'!$C$4:$C$1362,'Pinlist(S3)'!$E$4:$E$1362,""),_xlpm.cleanRaw,SUBSTITUTE(SUBSTITUTE(_xlpm.raw,"_PIN","."),"PIN","."),_xlpm.mainPart,MID(_xlpm.cleanRaw,2,FIND(".",_xlpm.cleanRaw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502077</v>
      </c>
      <c r="H741" t="str">
        <f>_xlfn.LET(_xlpm.raw,_xlfn.XLOOKUP(A741,'Pinlist(S5)'!$C$4:$C$1362,'Pinlist(S5)'!$E$4:$E$1362,""),_xlpm.cleanRaw,SUBSTITUTE(SUBSTITUTE(_xlpm.raw,"_PIN","."),"PIN","."),_xlpm.mainPart,MID(_xlpm.cleanRaw,2,FIND(".",_xlpm.cleanRaw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708077</v>
      </c>
      <c r="I741" t="str">
        <f>""</f>
        <v/>
      </c>
      <c r="J741" t="str">
        <f t="shared" si="11"/>
        <v>AH66;DDRDQSN_IL10_NIL02;;37.3769999999999;14.376;605080;502077;708077;</v>
      </c>
    </row>
    <row r="742" spans="1:10">
      <c r="A742" t="s">
        <v>1927</v>
      </c>
      <c r="B742" t="str">
        <f>_xlfn.XLOOKUP(A742,'Pinlist(S1)'!$Q$4:$Q$1362,'Pinlist(S1)'!$R$4:$R$1362,"")</f>
        <v>VSS</v>
      </c>
      <c r="C742" t="str" cm="1">
        <f t="array" ref="C742">_xlfn.TEXTJOIN(",",TRUE,_xlfn.UNIQUE(TRANSPOSE(_xlfn.MAP(_xlfn.XLOOKUP(A742,'Pinlist(S1)'!$C$4:$C$1362,'Pinlist(S1)'!$F$4:$K$1362,""),_xlfn.LAMBDA(_xlpm.x,IF(_xlpm.x&lt;&gt;"",TRIM(CLEAN(LEFT(_xlpm.x,FIND(".",_xlpm.x &amp; ".")-1))),""))))))</f>
        <v/>
      </c>
      <c r="D742">
        <v>38.027999999999999</v>
      </c>
      <c r="E742">
        <v>14.375999999999999</v>
      </c>
      <c r="F742" t="str">
        <f>_xlfn.LET(_xlpm.raw,_xlfn.XLOOKUP(A742,'Pinlist(S1)'!$C$4:$C$1362,'Pinlist(S1)'!$E$4:$E$1362,""),_xlpm.cleanRaw,SUBSTITUTE(SUBSTITUTE(_xlpm.raw,"_PIN","."),"PIN","."),_xlpm.mainPart,MID(_xlpm.cleanRaw,2,FIND(".",_xlpm.cleanRaw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2" t="str">
        <f>_xlfn.LET(_xlpm.raw,_xlfn.XLOOKUP(A742,'Pinlist(S3)'!$C$4:$C$1362,'Pinlist(S3)'!$E$4:$E$1362,""),_xlpm.cleanRaw,SUBSTITUTE(SUBSTITUTE(_xlpm.raw,"_PIN","."),"PIN","."),_xlpm.mainPart,MID(_xlpm.cleanRaw,2,FIND(".",_xlpm.cleanRaw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2" t="str">
        <f>_xlfn.LET(_xlpm.raw,_xlfn.XLOOKUP(A742,'Pinlist(S5)'!$C$4:$C$1362,'Pinlist(S5)'!$E$4:$E$1362,""),_xlpm.cleanRaw,SUBSTITUTE(SUBSTITUTE(_xlpm.raw,"_PIN","."),"PIN","."),_xlpm.mainPart,MID(_xlpm.cleanRaw,2,FIND(".",_xlpm.cleanRaw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42" t="str">
        <f>""</f>
        <v/>
      </c>
      <c r="J742" t="str">
        <f t="shared" si="11"/>
        <v>AH67;VSS;;38.028;14.376;;;;</v>
      </c>
    </row>
    <row r="743" spans="1:10">
      <c r="A743" t="s">
        <v>538</v>
      </c>
      <c r="B743" t="str">
        <f>_xlfn.XLOOKUP(A743,'Pinlist(S1)'!$Q$4:$Q$1362,'Pinlist(S1)'!$R$4:$R$1362,"")</f>
        <v>DDRDQ_IL11_NIL03[3]</v>
      </c>
      <c r="C743" t="str" cm="1">
        <f t="array" ref="C743">_xlfn.TEXTJOIN(",",TRUE,_xlfn.UNIQUE(TRANSPOSE(_xlfn.MAP(_xlfn.XLOOKUP(A743,'Pinlist(S1)'!$C$4:$C$1362,'Pinlist(S1)'!$F$4:$K$1362,""),_xlfn.LAMBDA(_xlpm.x,IF(_xlpm.x&lt;&gt;"",TRIM(CLEAN(LEFT(_xlpm.x,FIND(".",_xlpm.x &amp; ".")-1))),""))))))</f>
        <v/>
      </c>
      <c r="D743">
        <v>38.677999999999997</v>
      </c>
      <c r="E743">
        <v>14.48</v>
      </c>
      <c r="F743" t="str">
        <f>_xlfn.LET(_xlpm.raw,_xlfn.XLOOKUP(A743,'Pinlist(S1)'!$C$4:$C$1362,'Pinlist(S1)'!$E$4:$E$1362,""),_xlpm.cleanRaw,SUBSTITUTE(SUBSTITUTE(_xlpm.raw,"_PIN","."),"PIN","."),_xlpm.mainPart,MID(_xlpm.cleanRaw,2,FIND(".",_xlpm.cleanRaw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605066</v>
      </c>
      <c r="G743" t="str">
        <f>_xlfn.LET(_xlpm.raw,_xlfn.XLOOKUP(A743,'Pinlist(S3)'!$C$4:$C$1362,'Pinlist(S3)'!$E$4:$E$1362,""),_xlpm.cleanRaw,SUBSTITUTE(SUBSTITUTE(_xlpm.raw,"_PIN","."),"PIN","."),_xlpm.mainPart,MID(_xlpm.cleanRaw,2,FIND(".",_xlpm.cleanRaw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501097</v>
      </c>
      <c r="H743" t="str">
        <f>_xlfn.LET(_xlpm.raw,_xlfn.XLOOKUP(A743,'Pinlist(S5)'!$C$4:$C$1362,'Pinlist(S5)'!$E$4:$E$1362,""),_xlpm.cleanRaw,SUBSTITUTE(SUBSTITUTE(_xlpm.raw,"_PIN","."),"PIN","."),_xlpm.mainPart,MID(_xlpm.cleanRaw,2,FIND(".",_xlpm.cleanRaw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707097</v>
      </c>
      <c r="I743" t="str">
        <f>""</f>
        <v/>
      </c>
      <c r="J743" t="str">
        <f t="shared" si="11"/>
        <v>AH68;DDRDQ_IL11_NIL03[3];;38.678;14.48;605066;501097;707097;</v>
      </c>
    </row>
    <row r="744" spans="1:10">
      <c r="A744" t="s">
        <v>546</v>
      </c>
      <c r="B744" t="str">
        <f>_xlfn.XLOOKUP(A744,'Pinlist(S1)'!$Q$4:$Q$1362,'Pinlist(S1)'!$R$4:$R$1362,"")</f>
        <v>DDRDQ_IL11_NIL03[7]</v>
      </c>
      <c r="C744" t="str" cm="1">
        <f t="array" ref="C744">_xlfn.TEXTJOIN(",",TRUE,_xlfn.UNIQUE(TRANSPOSE(_xlfn.MAP(_xlfn.XLOOKUP(A744,'Pinlist(S1)'!$C$4:$C$1362,'Pinlist(S1)'!$F$4:$K$1362,""),_xlfn.LAMBDA(_xlpm.x,IF(_xlpm.x&lt;&gt;"",TRIM(CLEAN(LEFT(_xlpm.x,FIND(".",_xlpm.x &amp; ".")-1))),""))))))</f>
        <v/>
      </c>
      <c r="D744">
        <v>39.328000000000003</v>
      </c>
      <c r="E744">
        <v>14.48</v>
      </c>
      <c r="F744" t="str">
        <f>_xlfn.LET(_xlpm.raw,_xlfn.XLOOKUP(A744,'Pinlist(S1)'!$C$4:$C$1362,'Pinlist(S1)'!$E$4:$E$1362,""),_xlpm.cleanRaw,SUBSTITUTE(SUBSTITUTE(_xlpm.raw,"_PIN","."),"PIN","."),_xlpm.mainPart,MID(_xlpm.cleanRaw,2,FIND(".",_xlpm.cleanRaw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606128</v>
      </c>
      <c r="G744" t="str">
        <f>_xlfn.LET(_xlpm.raw,_xlfn.XLOOKUP(A744,'Pinlist(S3)'!$C$4:$C$1362,'Pinlist(S3)'!$E$4:$E$1362,""),_xlpm.cleanRaw,SUBSTITUTE(SUBSTITUTE(_xlpm.raw,"_PIN","."),"PIN","."),_xlpm.mainPart,MID(_xlpm.cleanRaw,2,FIND(".",_xlpm.cleanRaw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501125</v>
      </c>
      <c r="H744" t="str">
        <f>_xlfn.LET(_xlpm.raw,_xlfn.XLOOKUP(A744,'Pinlist(S5)'!$C$4:$C$1362,'Pinlist(S5)'!$E$4:$E$1362,""),_xlpm.cleanRaw,SUBSTITUTE(SUBSTITUTE(_xlpm.raw,"_PIN","."),"PIN","."),_xlpm.mainPart,MID(_xlpm.cleanRaw,2,FIND(".",_xlpm.cleanRaw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707095</v>
      </c>
      <c r="I744" t="str">
        <f>""</f>
        <v/>
      </c>
      <c r="J744" t="str">
        <f t="shared" si="11"/>
        <v>AH69;DDRDQ_IL11_NIL03[7];;39.328;14.48;606128;501125;707095;</v>
      </c>
    </row>
    <row r="745" spans="1:10">
      <c r="A745" t="s">
        <v>544</v>
      </c>
      <c r="B745" t="str">
        <f>_xlfn.XLOOKUP(A745,'Pinlist(S1)'!$Q$4:$Q$1362,'Pinlist(S1)'!$R$4:$R$1362,"")</f>
        <v>DDRDQ_IL11_NIL03[6]</v>
      </c>
      <c r="C745" t="str" cm="1">
        <f t="array" ref="C745">_xlfn.TEXTJOIN(",",TRUE,_xlfn.UNIQUE(TRANSPOSE(_xlfn.MAP(_xlfn.XLOOKUP(A745,'Pinlist(S1)'!$C$4:$C$1362,'Pinlist(S1)'!$F$4:$K$1362,""),_xlfn.LAMBDA(_xlpm.x,IF(_xlpm.x&lt;&gt;"",TRIM(CLEAN(LEFT(_xlpm.x,FIND(".",_xlpm.x &amp; ".")-1))),""))))))</f>
        <v/>
      </c>
      <c r="D745">
        <v>39.978000000000002</v>
      </c>
      <c r="E745">
        <v>14.48</v>
      </c>
      <c r="F745" t="str">
        <f>_xlfn.LET(_xlpm.raw,_xlfn.XLOOKUP(A745,'Pinlist(S1)'!$C$4:$C$1362,'Pinlist(S1)'!$E$4:$E$1362,""),_xlpm.cleanRaw,SUBSTITUTE(SUBSTITUTE(_xlpm.raw,"_PIN","."),"PIN","."),_xlpm.mainPart,MID(_xlpm.cleanRaw,2,FIND(".",_xlpm.cleanRaw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605065</v>
      </c>
      <c r="G745" t="str">
        <f>_xlfn.LET(_xlpm.raw,_xlfn.XLOOKUP(A745,'Pinlist(S3)'!$C$4:$C$1362,'Pinlist(S3)'!$E$4:$E$1362,""),_xlpm.cleanRaw,SUBSTITUTE(SUBSTITUTE(_xlpm.raw,"_PIN","."),"PIN","."),_xlpm.mainPart,MID(_xlpm.cleanRaw,2,FIND(".",_xlpm.cleanRaw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501123</v>
      </c>
      <c r="H745" t="str">
        <f>_xlfn.LET(_xlpm.raw,_xlfn.XLOOKUP(A745,'Pinlist(S5)'!$C$4:$C$1362,'Pinlist(S5)'!$E$4:$E$1362,""),_xlpm.cleanRaw,SUBSTITUTE(SUBSTITUTE(_xlpm.raw,"_PIN","."),"PIN","."),_xlpm.mainPart,MID(_xlpm.cleanRaw,2,FIND(".",_xlpm.cleanRaw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707123</v>
      </c>
      <c r="I745" t="str">
        <f>""</f>
        <v/>
      </c>
      <c r="J745" t="str">
        <f t="shared" si="11"/>
        <v>AH70;DDRDQ_IL11_NIL03[6];;39.978;14.48;605065;501123;707123;</v>
      </c>
    </row>
    <row r="746" spans="1:10">
      <c r="A746" t="s">
        <v>536</v>
      </c>
      <c r="B746" t="str">
        <f>_xlfn.XLOOKUP(A746,'Pinlist(S1)'!$Q$4:$Q$1362,'Pinlist(S1)'!$R$4:$R$1362,"")</f>
        <v>DDRDQ_IL11_NIL03[2]</v>
      </c>
      <c r="C746" t="str" cm="1">
        <f t="array" ref="C746">_xlfn.TEXTJOIN(",",TRUE,_xlfn.UNIQUE(TRANSPOSE(_xlfn.MAP(_xlfn.XLOOKUP(A746,'Pinlist(S1)'!$C$4:$C$1362,'Pinlist(S1)'!$F$4:$K$1362,""),_xlfn.LAMBDA(_xlpm.x,IF(_xlpm.x&lt;&gt;"",TRIM(CLEAN(LEFT(_xlpm.x,FIND(".",_xlpm.x &amp; ".")-1))),""))))))</f>
        <v/>
      </c>
      <c r="D746">
        <v>40.628</v>
      </c>
      <c r="E746">
        <v>14.48</v>
      </c>
      <c r="F746" t="str">
        <f>_xlfn.LET(_xlpm.raw,_xlfn.XLOOKUP(A746,'Pinlist(S1)'!$C$4:$C$1362,'Pinlist(S1)'!$E$4:$E$1362,""),_xlpm.cleanRaw,SUBSTITUTE(SUBSTITUTE(_xlpm.raw,"_PIN","."),"PIN","."),_xlpm.mainPart,MID(_xlpm.cleanRaw,2,FIND(".",_xlpm.cleanRaw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605083</v>
      </c>
      <c r="G746" t="str">
        <f>_xlfn.LET(_xlpm.raw,_xlfn.XLOOKUP(A746,'Pinlist(S3)'!$C$4:$C$1362,'Pinlist(S3)'!$E$4:$E$1362,""),_xlpm.cleanRaw,SUBSTITUTE(SUBSTITUTE(_xlpm.raw,"_PIN","."),"PIN","."),_xlpm.mainPart,MID(_xlpm.cleanRaw,2,FIND(".",_xlpm.cleanRaw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501126</v>
      </c>
      <c r="H746" t="str">
        <f>_xlfn.LET(_xlpm.raw,_xlfn.XLOOKUP(A746,'Pinlist(S5)'!$C$4:$C$1362,'Pinlist(S5)'!$E$4:$E$1362,""),_xlpm.cleanRaw,SUBSTITUTE(SUBSTITUTE(_xlpm.raw,"_PIN","."),"PIN","."),_xlpm.mainPart,MID(_xlpm.cleanRaw,2,FIND(".",_xlpm.cleanRaw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707125</v>
      </c>
      <c r="I746" t="str">
        <f>""</f>
        <v/>
      </c>
      <c r="J746" t="str">
        <f t="shared" si="11"/>
        <v>AH71;DDRDQ_IL11_NIL03[2];;40.628;14.48;605083;501126;707125;</v>
      </c>
    </row>
    <row r="747" spans="1:10">
      <c r="A747" t="s">
        <v>1464</v>
      </c>
      <c r="B747" t="str">
        <f>_xlfn.XLOOKUP(A747,'Pinlist(S1)'!$Q$4:$Q$1362,'Pinlist(S1)'!$R$4:$R$1362,"")</f>
        <v>USB2N_5</v>
      </c>
      <c r="C747" t="str" cm="1">
        <f t="array" ref="C747">_xlfn.TEXTJOIN(",",TRUE,_xlfn.UNIQUE(TRANSPOSE(_xlfn.MAP(_xlfn.XLOOKUP(A747,'Pinlist(S1)'!$C$4:$C$1362,'Pinlist(S1)'!$F$4:$K$1362,""),_xlfn.LAMBDA(_xlpm.x,IF(_xlpm.x&lt;&gt;"",TRIM(CLEAN(LEFT(_xlpm.x,FIND(".",_xlpm.x &amp; ".")-1))),""))))))</f>
        <v>KA114,KA118</v>
      </c>
      <c r="D747">
        <v>0</v>
      </c>
      <c r="E747">
        <v>15.4439999999999</v>
      </c>
      <c r="F747" t="str">
        <f>_xlfn.LET(_xlpm.raw,_xlfn.XLOOKUP(A747,'Pinlist(S1)'!$C$4:$C$1362,'Pinlist(S1)'!$E$4:$E$1362,""),_xlpm.cleanRaw,SUBSTITUTE(SUBSTITUTE(_xlpm.raw,"_PIN","."),"PIN","."),_xlpm.mainPart,MID(_xlpm.cleanRaw,2,FIND(".",_xlpm.cleanRaw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747" t="str">
        <f>_xlfn.LET(_xlpm.raw,_xlfn.XLOOKUP(A747,'Pinlist(S3)'!$C$4:$C$1362,'Pinlist(S3)'!$E$4:$E$1362,""),_xlpm.cleanRaw,SUBSTITUTE(SUBSTITUTE(_xlpm.raw,"_PIN","."),"PIN","."),_xlpm.mainPart,MID(_xlpm.cleanRaw,2,FIND(".",_xlpm.cleanRaw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747" t="str">
        <f>_xlfn.LET(_xlpm.raw,_xlfn.XLOOKUP(A747,'Pinlist(S5)'!$C$4:$C$1362,'Pinlist(S5)'!$E$4:$E$1362,""),_xlpm.cleanRaw,SUBSTITUTE(SUBSTITUTE(_xlpm.raw,"_PIN","."),"PIN","."),_xlpm.mainPart,MID(_xlpm.cleanRaw,2,FIND(".",_xlpm.cleanRaw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747" t="str">
        <f>""</f>
        <v/>
      </c>
      <c r="J747" t="str">
        <f t="shared" si="11"/>
        <v>AJ1;USB2N_5;KA114,KA118;0;15.4439999999999;506001;809125;602077;</v>
      </c>
    </row>
    <row r="748" spans="1:10">
      <c r="A748" t="s">
        <v>1484</v>
      </c>
      <c r="B748" t="str">
        <f>_xlfn.XLOOKUP(A748,'Pinlist(S1)'!$Q$4:$Q$1362,'Pinlist(S1)'!$R$4:$R$1362,"")</f>
        <v>USB2P_5</v>
      </c>
      <c r="C748" t="str" cm="1">
        <f t="array" ref="C748">_xlfn.TEXTJOIN(",",TRUE,_xlfn.UNIQUE(TRANSPOSE(_xlfn.MAP(_xlfn.XLOOKUP(A748,'Pinlist(S1)'!$C$4:$C$1362,'Pinlist(S1)'!$F$4:$K$1362,""),_xlfn.LAMBDA(_xlpm.x,IF(_xlpm.x&lt;&gt;"",TRIM(CLEAN(LEFT(_xlpm.x,FIND(".",_xlpm.x &amp; ".")-1))),""))))))</f>
        <v>KA114,KA119</v>
      </c>
      <c r="D748">
        <v>0.64999999999999802</v>
      </c>
      <c r="E748">
        <v>15.4439999999999</v>
      </c>
      <c r="F748" t="str">
        <f>_xlfn.LET(_xlpm.raw,_xlfn.XLOOKUP(A748,'Pinlist(S1)'!$C$4:$C$1362,'Pinlist(S1)'!$E$4:$E$1362,""),_xlpm.cleanRaw,SUBSTITUTE(SUBSTITUTE(_xlpm.raw,"_PIN","."),"PIN","."),_xlpm.mainPart,MID(_xlpm.cleanRaw,2,FIND(".",_xlpm.cleanRaw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748" t="str">
        <f>_xlfn.LET(_xlpm.raw,_xlfn.XLOOKUP(A748,'Pinlist(S3)'!$C$4:$C$1362,'Pinlist(S3)'!$E$4:$E$1362,""),_xlpm.cleanRaw,SUBSTITUTE(SUBSTITUTE(_xlpm.raw,"_PIN","."),"PIN","."),_xlpm.mainPart,MID(_xlpm.cleanRaw,2,FIND(".",_xlpm.cleanRaw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748" t="str">
        <f>_xlfn.LET(_xlpm.raw,_xlfn.XLOOKUP(A748,'Pinlist(S5)'!$C$4:$C$1362,'Pinlist(S5)'!$E$4:$E$1362,""),_xlpm.cleanRaw,SUBSTITUTE(SUBSTITUTE(_xlpm.raw,"_PIN","."),"PIN","."),_xlpm.mainPart,MID(_xlpm.cleanRaw,2,FIND(".",_xlpm.cleanRaw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748" t="str">
        <f>""</f>
        <v/>
      </c>
      <c r="J748" t="str">
        <f t="shared" si="11"/>
        <v>AJ2;USB2P_5;KA114,KA119;0.649999999999998;15.4439999999999;506002;809126;602079;</v>
      </c>
    </row>
    <row r="749" spans="1:10">
      <c r="A749" t="s">
        <v>1480</v>
      </c>
      <c r="B749" t="str">
        <f>_xlfn.XLOOKUP(A749,'Pinlist(S1)'!$Q$4:$Q$1362,'Pinlist(S1)'!$R$4:$R$1362,"")</f>
        <v>USB2P_3</v>
      </c>
      <c r="C749" t="str" cm="1">
        <f t="array" ref="C749">_xlfn.TEXTJOIN(",",TRUE,_xlfn.UNIQUE(TRANSPOSE(_xlfn.MAP(_xlfn.XLOOKUP(A749,'Pinlist(S1)'!$C$4:$C$1362,'Pinlist(S1)'!$F$4:$K$1362,""),_xlfn.LAMBDA(_xlpm.x,IF(_xlpm.x&lt;&gt;"",TRIM(CLEAN(LEFT(_xlpm.x,FIND(".",_xlpm.x &amp; ".")-1))),""))))))</f>
        <v>KA113,KA119</v>
      </c>
      <c r="D749">
        <v>1.2999999999999901</v>
      </c>
      <c r="E749">
        <v>15.4439999999999</v>
      </c>
      <c r="F749" t="str">
        <f>_xlfn.LET(_xlpm.raw,_xlfn.XLOOKUP(A749,'Pinlist(S1)'!$C$4:$C$1362,'Pinlist(S1)'!$E$4:$E$1362,""),_xlpm.cleanRaw,SUBSTITUTE(SUBSTITUTE(_xlpm.raw,"_PIN","."),"PIN","."),_xlpm.mainPart,MID(_xlpm.cleanRaw,2,FIND(".",_xlpm.cleanRaw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749" t="str">
        <f>_xlfn.LET(_xlpm.raw,_xlfn.XLOOKUP(A749,'Pinlist(S3)'!$C$4:$C$1362,'Pinlist(S3)'!$E$4:$E$1362,""),_xlpm.cleanRaw,SUBSTITUTE(SUBSTITUTE(_xlpm.raw,"_PIN","."),"PIN","."),_xlpm.mainPart,MID(_xlpm.cleanRaw,2,FIND(".",_xlpm.cleanRaw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749" t="str">
        <f>_xlfn.LET(_xlpm.raw,_xlfn.XLOOKUP(A749,'Pinlist(S5)'!$C$4:$C$1362,'Pinlist(S5)'!$E$4:$E$1362,""),_xlpm.cleanRaw,SUBSTITUTE(SUBSTITUTE(_xlpm.raw,"_PIN","."),"PIN","."),_xlpm.mainPart,MID(_xlpm.cleanRaw,2,FIND(".",_xlpm.cleanRaw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749" t="str">
        <f>""</f>
        <v/>
      </c>
      <c r="J749" t="str">
        <f t="shared" si="11"/>
        <v>AJ3;USB2P_3;KA113,KA119;1.29999999999999;15.4439999999999;507124;809121;603110;</v>
      </c>
    </row>
    <row r="750" spans="1:10">
      <c r="A750" t="s">
        <v>1931</v>
      </c>
      <c r="B750" t="str">
        <f>_xlfn.XLOOKUP(A750,'Pinlist(S1)'!$Q$4:$Q$1362,'Pinlist(S1)'!$R$4:$R$1362,"")</f>
        <v>VSS</v>
      </c>
      <c r="C750" t="str" cm="1">
        <f t="array" ref="C750">_xlfn.TEXTJOIN(",",TRUE,_xlfn.UNIQUE(TRANSPOSE(_xlfn.MAP(_xlfn.XLOOKUP(A750,'Pinlist(S1)'!$C$4:$C$1362,'Pinlist(S1)'!$F$4:$K$1362,""),_xlfn.LAMBDA(_xlpm.x,IF(_xlpm.x&lt;&gt;"",TRIM(CLEAN(LEFT(_xlpm.x,FIND(".",_xlpm.x &amp; ".")-1))),""))))))</f>
        <v/>
      </c>
      <c r="D750">
        <v>1.9510000000000001</v>
      </c>
      <c r="E750">
        <v>15.4439999999999</v>
      </c>
      <c r="F750" t="str">
        <f>_xlfn.LET(_xlpm.raw,_xlfn.XLOOKUP(A750,'Pinlist(S1)'!$C$4:$C$1362,'Pinlist(S1)'!$E$4:$E$1362,""),_xlpm.cleanRaw,SUBSTITUTE(SUBSTITUTE(_xlpm.raw,"_PIN","."),"PIN","."),_xlpm.mainPart,MID(_xlpm.cleanRaw,2,FIND(".",_xlpm.cleanRaw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0" t="str">
        <f>_xlfn.LET(_xlpm.raw,_xlfn.XLOOKUP(A750,'Pinlist(S3)'!$C$4:$C$1362,'Pinlist(S3)'!$E$4:$E$1362,""),_xlpm.cleanRaw,SUBSTITUTE(SUBSTITUTE(_xlpm.raw,"_PIN","."),"PIN","."),_xlpm.mainPart,MID(_xlpm.cleanRaw,2,FIND(".",_xlpm.cleanRaw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0" t="str">
        <f>_xlfn.LET(_xlpm.raw,_xlfn.XLOOKUP(A750,'Pinlist(S5)'!$C$4:$C$1362,'Pinlist(S5)'!$E$4:$E$1362,""),_xlpm.cleanRaw,SUBSTITUTE(SUBSTITUTE(_xlpm.raw,"_PIN","."),"PIN","."),_xlpm.mainPart,MID(_xlpm.cleanRaw,2,FIND(".",_xlpm.cleanRaw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0" t="str">
        <f>""</f>
        <v/>
      </c>
      <c r="J750" t="str">
        <f t="shared" si="11"/>
        <v>AJ4;VSS;;1.951;15.4439999999999;;;;</v>
      </c>
    </row>
    <row r="751" spans="1:10">
      <c r="A751" t="s">
        <v>1928</v>
      </c>
      <c r="B751" t="str">
        <f>_xlfn.XLOOKUP(A751,'Pinlist(S1)'!$Q$4:$Q$1362,'Pinlist(S1)'!$R$4:$R$1362,"")</f>
        <v>VSS</v>
      </c>
      <c r="C751" t="str" cm="1">
        <f t="array" ref="C751">_xlfn.TEXTJOIN(",",TRUE,_xlfn.UNIQUE(TRANSPOSE(_xlfn.MAP(_xlfn.XLOOKUP(A751,'Pinlist(S1)'!$C$4:$C$1362,'Pinlist(S1)'!$F$4:$K$1362,""),_xlfn.LAMBDA(_xlpm.x,IF(_xlpm.x&lt;&gt;"",TRIM(CLEAN(LEFT(_xlpm.x,FIND(".",_xlpm.x &amp; ".")-1))),""))))))</f>
        <v/>
      </c>
      <c r="D751">
        <v>8.1259999999999906</v>
      </c>
      <c r="E751">
        <v>14.657999999999999</v>
      </c>
      <c r="F751" t="str">
        <f>_xlfn.LET(_xlpm.raw,_xlfn.XLOOKUP(A751,'Pinlist(S1)'!$C$4:$C$1362,'Pinlist(S1)'!$E$4:$E$1362,""),_xlpm.cleanRaw,SUBSTITUTE(SUBSTITUTE(_xlpm.raw,"_PIN","."),"PIN","."),_xlpm.mainPart,MID(_xlpm.cleanRaw,2,FIND(".",_xlpm.cleanRaw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1" t="str">
        <f>_xlfn.LET(_xlpm.raw,_xlfn.XLOOKUP(A751,'Pinlist(S3)'!$C$4:$C$1362,'Pinlist(S3)'!$E$4:$E$1362,""),_xlpm.cleanRaw,SUBSTITUTE(SUBSTITUTE(_xlpm.raw,"_PIN","."),"PIN","."),_xlpm.mainPart,MID(_xlpm.cleanRaw,2,FIND(".",_xlpm.cleanRaw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1" t="str">
        <f>_xlfn.LET(_xlpm.raw,_xlfn.XLOOKUP(A751,'Pinlist(S5)'!$C$4:$C$1362,'Pinlist(S5)'!$E$4:$E$1362,""),_xlpm.cleanRaw,SUBSTITUTE(SUBSTITUTE(_xlpm.raw,"_PIN","."),"PIN","."),_xlpm.mainPart,MID(_xlpm.cleanRaw,2,FIND(".",_xlpm.cleanRaw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1" t="str">
        <f>""</f>
        <v/>
      </c>
      <c r="J751" t="str">
        <f t="shared" si="11"/>
        <v>AJ15;VSS;;8.12599999999999;14.658;;;;</v>
      </c>
    </row>
    <row r="752" spans="1:10">
      <c r="A752" t="s">
        <v>1830</v>
      </c>
      <c r="B752" t="str">
        <f>_xlfn.XLOOKUP(A752,'Pinlist(S1)'!$Q$4:$Q$1362,'Pinlist(S1)'!$R$4:$R$1362,"")</f>
        <v>VCCPSPI</v>
      </c>
      <c r="C752" t="str" cm="1">
        <f t="array" ref="C752">_xlfn.TEXTJOIN(",",TRUE,_xlfn.UNIQUE(TRANSPOSE(_xlfn.MAP(_xlfn.XLOOKUP(A752,'Pinlist(S1)'!$C$4:$C$1362,'Pinlist(S1)'!$F$4:$K$1362,""),_xlfn.LAMBDA(_xlpm.x,IF(_xlpm.x&lt;&gt;"",TRIM(CLEAN(LEFT(_xlpm.x,FIND(".",_xlpm.x &amp; ".")-1))),""))))))</f>
        <v/>
      </c>
      <c r="D752">
        <v>8.7759999999999998</v>
      </c>
      <c r="E752">
        <v>14.657999999999999</v>
      </c>
      <c r="F752" t="str">
        <f>_xlfn.LET(_xlpm.raw,_xlfn.XLOOKUP(A752,'Pinlist(S1)'!$C$4:$C$1362,'Pinlist(S1)'!$E$4:$E$1362,""),_xlpm.cleanRaw,SUBSTITUTE(SUBSTITUTE(_xlpm.raw,"_PIN","."),"PIN","."),_xlpm.mainPart,MID(_xlpm.cleanRaw,2,FIND(".",_xlpm.cleanRaw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2" t="str">
        <f>_xlfn.LET(_xlpm.raw,_xlfn.XLOOKUP(A752,'Pinlist(S3)'!$C$4:$C$1362,'Pinlist(S3)'!$E$4:$E$1362,""),_xlpm.cleanRaw,SUBSTITUTE(SUBSTITUTE(_xlpm.raw,"_PIN","."),"PIN","."),_xlpm.mainPart,MID(_xlpm.cleanRaw,2,FIND(".",_xlpm.cleanRaw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2" t="str">
        <f>_xlfn.LET(_xlpm.raw,_xlfn.XLOOKUP(A752,'Pinlist(S5)'!$C$4:$C$1362,'Pinlist(S5)'!$E$4:$E$1362,""),_xlpm.cleanRaw,SUBSTITUTE(SUBSTITUTE(_xlpm.raw,"_PIN","."),"PIN","."),_xlpm.mainPart,MID(_xlpm.cleanRaw,2,FIND(".",_xlpm.cleanRaw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2" t="str">
        <f>""</f>
        <v/>
      </c>
      <c r="J752" t="str">
        <f t="shared" si="11"/>
        <v>AJ16;VCCPSPI;;8.776;14.658;;;;</v>
      </c>
    </row>
    <row r="753" spans="1:10">
      <c r="A753" t="s">
        <v>1792</v>
      </c>
      <c r="B753" t="str">
        <f>_xlfn.XLOOKUP(A753,'Pinlist(S1)'!$Q$4:$Q$1362,'Pinlist(S1)'!$R$4:$R$1362,"")</f>
        <v>VCCPDSW_3P3</v>
      </c>
      <c r="C753" t="str" cm="1">
        <f t="array" ref="C753">_xlfn.TEXTJOIN(",",TRUE,_xlfn.UNIQUE(TRANSPOSE(_xlfn.MAP(_xlfn.XLOOKUP(A753,'Pinlist(S1)'!$C$4:$C$1362,'Pinlist(S1)'!$F$4:$K$1362,""),_xlfn.LAMBDA(_xlpm.x,IF(_xlpm.x&lt;&gt;"",TRIM(CLEAN(LEFT(_xlpm.x,FIND(".",_xlpm.x &amp; ".")-1))),""))))))</f>
        <v/>
      </c>
      <c r="D753">
        <v>9.4260000000000002</v>
      </c>
      <c r="E753">
        <v>14.657999999999999</v>
      </c>
      <c r="F753" t="str">
        <f>_xlfn.LET(_xlpm.raw,_xlfn.XLOOKUP(A753,'Pinlist(S1)'!$C$4:$C$1362,'Pinlist(S1)'!$E$4:$E$1362,""),_xlpm.cleanRaw,SUBSTITUTE(SUBSTITUTE(_xlpm.raw,"_PIN","."),"PIN","."),_xlpm.mainPart,MID(_xlpm.cleanRaw,2,FIND(".",_xlpm.cleanRaw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3" t="str">
        <f>_xlfn.LET(_xlpm.raw,_xlfn.XLOOKUP(A753,'Pinlist(S3)'!$C$4:$C$1362,'Pinlist(S3)'!$E$4:$E$1362,""),_xlpm.cleanRaw,SUBSTITUTE(SUBSTITUTE(_xlpm.raw,"_PIN","."),"PIN","."),_xlpm.mainPart,MID(_xlpm.cleanRaw,2,FIND(".",_xlpm.cleanRaw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3" t="str">
        <f>_xlfn.LET(_xlpm.raw,_xlfn.XLOOKUP(A753,'Pinlist(S5)'!$C$4:$C$1362,'Pinlist(S5)'!$E$4:$E$1362,""),_xlpm.cleanRaw,SUBSTITUTE(SUBSTITUTE(_xlpm.raw,"_PIN","."),"PIN","."),_xlpm.mainPart,MID(_xlpm.cleanRaw,2,FIND(".",_xlpm.cleanRaw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3" t="str">
        <f>""</f>
        <v/>
      </c>
      <c r="J753" t="str">
        <f t="shared" si="11"/>
        <v>AJ17;VCCPDSW_3P3;;9.426;14.658;;;;</v>
      </c>
    </row>
    <row r="754" spans="1:10">
      <c r="A754" t="s">
        <v>1929</v>
      </c>
      <c r="B754" t="str">
        <f>_xlfn.XLOOKUP(A754,'Pinlist(S1)'!$Q$4:$Q$1362,'Pinlist(S1)'!$R$4:$R$1362,"")</f>
        <v>VSS</v>
      </c>
      <c r="C754" t="str" cm="1">
        <f t="array" ref="C754">_xlfn.TEXTJOIN(",",TRUE,_xlfn.UNIQUE(TRANSPOSE(_xlfn.MAP(_xlfn.XLOOKUP(A754,'Pinlist(S1)'!$C$4:$C$1362,'Pinlist(S1)'!$F$4:$K$1362,""),_xlfn.LAMBDA(_xlpm.x,IF(_xlpm.x&lt;&gt;"",TRIM(CLEAN(LEFT(_xlpm.x,FIND(".",_xlpm.x &amp; ".")-1))),""))))))</f>
        <v/>
      </c>
      <c r="D754">
        <v>10.076000000000001</v>
      </c>
      <c r="E754">
        <v>14.657999999999999</v>
      </c>
      <c r="F754" t="str">
        <f>_xlfn.LET(_xlpm.raw,_xlfn.XLOOKUP(A754,'Pinlist(S1)'!$C$4:$C$1362,'Pinlist(S1)'!$E$4:$E$1362,""),_xlpm.cleanRaw,SUBSTITUTE(SUBSTITUTE(_xlpm.raw,"_PIN","."),"PIN","."),_xlpm.mainPart,MID(_xlpm.cleanRaw,2,FIND(".",_xlpm.cleanRaw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4" t="str">
        <f>_xlfn.LET(_xlpm.raw,_xlfn.XLOOKUP(A754,'Pinlist(S3)'!$C$4:$C$1362,'Pinlist(S3)'!$E$4:$E$1362,""),_xlpm.cleanRaw,SUBSTITUTE(SUBSTITUTE(_xlpm.raw,"_PIN","."),"PIN","."),_xlpm.mainPart,MID(_xlpm.cleanRaw,2,FIND(".",_xlpm.cleanRaw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4" t="str">
        <f>_xlfn.LET(_xlpm.raw,_xlfn.XLOOKUP(A754,'Pinlist(S5)'!$C$4:$C$1362,'Pinlist(S5)'!$E$4:$E$1362,""),_xlpm.cleanRaw,SUBSTITUTE(SUBSTITUTE(_xlpm.raw,"_PIN","."),"PIN","."),_xlpm.mainPart,MID(_xlpm.cleanRaw,2,FIND(".",_xlpm.cleanRaw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4" t="str">
        <f>""</f>
        <v/>
      </c>
      <c r="J754" t="str">
        <f t="shared" si="11"/>
        <v>AJ18;VSS;;10.076;14.658;;;;</v>
      </c>
    </row>
    <row r="755" spans="1:10">
      <c r="A755" t="s">
        <v>1785</v>
      </c>
      <c r="B755" t="str">
        <f>_xlfn.XLOOKUP(A755,'Pinlist(S1)'!$Q$4:$Q$1362,'Pinlist(S1)'!$R$4:$R$1362,"")</f>
        <v>VCCPAZIO</v>
      </c>
      <c r="C755" t="str" cm="1">
        <f t="array" ref="C755">_xlfn.TEXTJOIN(",",TRUE,_xlfn.UNIQUE(TRANSPOSE(_xlfn.MAP(_xlfn.XLOOKUP(A755,'Pinlist(S1)'!$C$4:$C$1362,'Pinlist(S1)'!$F$4:$K$1362,""),_xlfn.LAMBDA(_xlpm.x,IF(_xlpm.x&lt;&gt;"",TRIM(CLEAN(LEFT(_xlpm.x,FIND(".",_xlpm.x &amp; ".")-1))),""))))))</f>
        <v/>
      </c>
      <c r="D755">
        <v>10.727</v>
      </c>
      <c r="E755">
        <v>14.657999999999999</v>
      </c>
      <c r="F755" t="str">
        <f>_xlfn.LET(_xlpm.raw,_xlfn.XLOOKUP(A755,'Pinlist(S1)'!$C$4:$C$1362,'Pinlist(S1)'!$E$4:$E$1362,""),_xlpm.cleanRaw,SUBSTITUTE(SUBSTITUTE(_xlpm.raw,"_PIN","."),"PIN","."),_xlpm.mainPart,MID(_xlpm.cleanRaw,2,FIND(".",_xlpm.cleanRaw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5" t="str">
        <f>_xlfn.LET(_xlpm.raw,_xlfn.XLOOKUP(A755,'Pinlist(S3)'!$C$4:$C$1362,'Pinlist(S3)'!$E$4:$E$1362,""),_xlpm.cleanRaw,SUBSTITUTE(SUBSTITUTE(_xlpm.raw,"_PIN","."),"PIN","."),_xlpm.mainPart,MID(_xlpm.cleanRaw,2,FIND(".",_xlpm.cleanRaw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5" t="str">
        <f>_xlfn.LET(_xlpm.raw,_xlfn.XLOOKUP(A755,'Pinlist(S5)'!$C$4:$C$1362,'Pinlist(S5)'!$E$4:$E$1362,""),_xlpm.cleanRaw,SUBSTITUTE(SUBSTITUTE(_xlpm.raw,"_PIN","."),"PIN","."),_xlpm.mainPart,MID(_xlpm.cleanRaw,2,FIND(".",_xlpm.cleanRaw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5" t="str">
        <f>""</f>
        <v/>
      </c>
      <c r="J755" t="str">
        <f t="shared" si="11"/>
        <v>AJ19;VCCPAZIO;;10.727;14.658;;;;</v>
      </c>
    </row>
    <row r="756" spans="1:10">
      <c r="A756" t="s">
        <v>1930</v>
      </c>
      <c r="B756" t="str">
        <f>_xlfn.XLOOKUP(A756,'Pinlist(S1)'!$Q$4:$Q$1362,'Pinlist(S1)'!$R$4:$R$1362,"")</f>
        <v>VSS</v>
      </c>
      <c r="C756" t="str" cm="1">
        <f t="array" ref="C756">_xlfn.TEXTJOIN(",",TRUE,_xlfn.UNIQUE(TRANSPOSE(_xlfn.MAP(_xlfn.XLOOKUP(A756,'Pinlist(S1)'!$C$4:$C$1362,'Pinlist(S1)'!$F$4:$K$1362,""),_xlfn.LAMBDA(_xlpm.x,IF(_xlpm.x&lt;&gt;"",TRIM(CLEAN(LEFT(_xlpm.x,FIND(".",_xlpm.x &amp; ".")-1))),""))))))</f>
        <v/>
      </c>
      <c r="D756">
        <v>11.377000000000001</v>
      </c>
      <c r="E756">
        <v>14.657999999999999</v>
      </c>
      <c r="F756" t="str">
        <f>_xlfn.LET(_xlpm.raw,_xlfn.XLOOKUP(A756,'Pinlist(S1)'!$C$4:$C$1362,'Pinlist(S1)'!$E$4:$E$1362,""),_xlpm.cleanRaw,SUBSTITUTE(SUBSTITUTE(_xlpm.raw,"_PIN","."),"PIN","."),_xlpm.mainPart,MID(_xlpm.cleanRaw,2,FIND(".",_xlpm.cleanRaw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6" t="str">
        <f>_xlfn.LET(_xlpm.raw,_xlfn.XLOOKUP(A756,'Pinlist(S3)'!$C$4:$C$1362,'Pinlist(S3)'!$E$4:$E$1362,""),_xlpm.cleanRaw,SUBSTITUTE(SUBSTITUTE(_xlpm.raw,"_PIN","."),"PIN","."),_xlpm.mainPart,MID(_xlpm.cleanRaw,2,FIND(".",_xlpm.cleanRaw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6" t="str">
        <f>_xlfn.LET(_xlpm.raw,_xlfn.XLOOKUP(A756,'Pinlist(S5)'!$C$4:$C$1362,'Pinlist(S5)'!$E$4:$E$1362,""),_xlpm.cleanRaw,SUBSTITUTE(SUBSTITUTE(_xlpm.raw,"_PIN","."),"PIN","."),_xlpm.mainPart,MID(_xlpm.cleanRaw,2,FIND(".",_xlpm.cleanRaw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6" t="str">
        <f>""</f>
        <v/>
      </c>
      <c r="J756" t="str">
        <f t="shared" si="11"/>
        <v>AJ20;VSS;;11.377;14.658;;;;</v>
      </c>
    </row>
    <row r="757" spans="1:10">
      <c r="A757" t="s">
        <v>1793</v>
      </c>
      <c r="B757" t="str">
        <f>_xlfn.XLOOKUP(A757,'Pinlist(S1)'!$Q$4:$Q$1362,'Pinlist(S1)'!$R$4:$R$1362,"")</f>
        <v>VCCPFUSE_3P3</v>
      </c>
      <c r="C757" t="str" cm="1">
        <f t="array" ref="C757">_xlfn.TEXTJOIN(",",TRUE,_xlfn.UNIQUE(TRANSPOSE(_xlfn.MAP(_xlfn.XLOOKUP(A757,'Pinlist(S1)'!$C$4:$C$1362,'Pinlist(S1)'!$F$4:$K$1362,""),_xlfn.LAMBDA(_xlpm.x,IF(_xlpm.x&lt;&gt;"",TRIM(CLEAN(LEFT(_xlpm.x,FIND(".",_xlpm.x &amp; ".")-1))),""))))))</f>
        <v/>
      </c>
      <c r="D757">
        <v>12.026999999999999</v>
      </c>
      <c r="E757">
        <v>14.657999999999999</v>
      </c>
      <c r="F757" t="str">
        <f>_xlfn.LET(_xlpm.raw,_xlfn.XLOOKUP(A757,'Pinlist(S1)'!$C$4:$C$1362,'Pinlist(S1)'!$E$4:$E$1362,""),_xlpm.cleanRaw,SUBSTITUTE(SUBSTITUTE(_xlpm.raw,"_PIN","."),"PIN","."),_xlpm.mainPart,MID(_xlpm.cleanRaw,2,FIND(".",_xlpm.cleanRaw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7" t="str">
        <f>_xlfn.LET(_xlpm.raw,_xlfn.XLOOKUP(A757,'Pinlist(S3)'!$C$4:$C$1362,'Pinlist(S3)'!$E$4:$E$1362,""),_xlpm.cleanRaw,SUBSTITUTE(SUBSTITUTE(_xlpm.raw,"_PIN","."),"PIN","."),_xlpm.mainPart,MID(_xlpm.cleanRaw,2,FIND(".",_xlpm.cleanRaw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7" t="str">
        <f>_xlfn.LET(_xlpm.raw,_xlfn.XLOOKUP(A757,'Pinlist(S5)'!$C$4:$C$1362,'Pinlist(S5)'!$E$4:$E$1362,""),_xlpm.cleanRaw,SUBSTITUTE(SUBSTITUTE(_xlpm.raw,"_PIN","."),"PIN","."),_xlpm.mainPart,MID(_xlpm.cleanRaw,2,FIND(".",_xlpm.cleanRaw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7" t="str">
        <f>""</f>
        <v/>
      </c>
      <c r="J757" t="str">
        <f t="shared" si="11"/>
        <v>AJ21;VCCPFUSE_3P3;;12.027;14.658;;;;</v>
      </c>
    </row>
    <row r="758" spans="1:10">
      <c r="A758" t="s">
        <v>2250</v>
      </c>
      <c r="B758" t="str">
        <f>_xlfn.XLOOKUP(A758,'Pinlist(S1)'!$Q$4:$Q$1362,'Pinlist(S1)'!$R$4:$R$1362,"")</f>
        <v>VSSEOPIO_SENSE</v>
      </c>
      <c r="C758" t="str" cm="1">
        <f t="array" ref="C758">_xlfn.TEXTJOIN(",",TRUE,_xlfn.UNIQUE(TRANSPOSE(_xlfn.MAP(_xlfn.XLOOKUP(A758,'Pinlist(S1)'!$C$4:$C$1362,'Pinlist(S1)'!$F$4:$K$1362,""),_xlfn.LAMBDA(_xlpm.x,IF(_xlpm.x&lt;&gt;"",TRIM(CLEAN(LEFT(_xlpm.x,FIND(".",_xlpm.x &amp; ".")-1))),""))))))</f>
        <v/>
      </c>
      <c r="D758">
        <v>34.957999999999998</v>
      </c>
      <c r="E758">
        <v>14.833</v>
      </c>
      <c r="F758" t="str">
        <f>_xlfn.LET(_xlpm.raw,_xlfn.XLOOKUP(A758,'Pinlist(S1)'!$C$4:$C$1362,'Pinlist(S1)'!$E$4:$E$1362,""),_xlpm.cleanRaw,SUBSTITUTE(SUBSTITUTE(_xlpm.raw,"_PIN","."),"PIN","."),_xlpm.mainPart,MID(_xlpm.cleanRaw,2,FIND(".",_xlpm.cleanRaw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8" t="str">
        <f>_xlfn.LET(_xlpm.raw,_xlfn.XLOOKUP(A758,'Pinlist(S3)'!$C$4:$C$1362,'Pinlist(S3)'!$E$4:$E$1362,""),_xlpm.cleanRaw,SUBSTITUTE(SUBSTITUTE(_xlpm.raw,"_PIN","."),"PIN","."),_xlpm.mainPart,MID(_xlpm.cleanRaw,2,FIND(".",_xlpm.cleanRaw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8" t="str">
        <f>_xlfn.LET(_xlpm.raw,_xlfn.XLOOKUP(A758,'Pinlist(S5)'!$C$4:$C$1362,'Pinlist(S5)'!$E$4:$E$1362,""),_xlpm.cleanRaw,SUBSTITUTE(SUBSTITUTE(_xlpm.raw,"_PIN","."),"PIN","."),_xlpm.mainPart,MID(_xlpm.cleanRaw,2,FIND(".",_xlpm.cleanRaw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8" t="str">
        <f>""</f>
        <v/>
      </c>
      <c r="J758" t="str">
        <f t="shared" si="11"/>
        <v>AJ62;VSSEOPIO_SENSE;;34.958;14.833;;;;</v>
      </c>
    </row>
    <row r="759" spans="1:10">
      <c r="A759" t="s">
        <v>1038</v>
      </c>
      <c r="B759" t="str">
        <f>_xlfn.XLOOKUP(A759,'Pinlist(S1)'!$Q$4:$Q$1362,'Pinlist(S1)'!$R$4:$R$1362,"")</f>
        <v>GPP_F_0_SSP2_SCLK</v>
      </c>
      <c r="C759" t="str" cm="1">
        <f t="array" ref="C759">_xlfn.TEXTJOIN(",",TRUE,_xlfn.UNIQUE(TRANSPOSE(_xlfn.MAP(_xlfn.XLOOKUP(A759,'Pinlist(S1)'!$C$4:$C$1362,'Pinlist(S1)'!$F$4:$K$1362,""),_xlfn.LAMBDA(_xlpm.x,IF(_xlpm.x&lt;&gt;"",TRIM(CLEAN(LEFT(_xlpm.x,FIND(".",_xlpm.x &amp; ".")-1))),""))))))</f>
        <v/>
      </c>
      <c r="D759">
        <v>2.7289999999999899</v>
      </c>
      <c r="E759">
        <v>15.321</v>
      </c>
      <c r="F759" t="str">
        <f>_xlfn.LET(_xlpm.raw,_xlfn.XLOOKUP(A759,'Pinlist(S1)'!$C$4:$C$1362,'Pinlist(S1)'!$E$4:$E$1362,""),_xlpm.cleanRaw,SUBSTITUTE(SUBSTITUTE(_xlpm.raw,"_PIN","."),"PIN","."),_xlpm.mainPart,MID(_xlpm.cleanRaw,2,FIND(".",_xlpm.cleanRaw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509021</v>
      </c>
      <c r="G759" t="str">
        <f>_xlfn.LET(_xlpm.raw,_xlfn.XLOOKUP(A759,'Pinlist(S3)'!$C$4:$C$1362,'Pinlist(S3)'!$E$4:$E$1362,""),_xlpm.cleanRaw,SUBSTITUTE(SUBSTITUTE(_xlpm.raw,"_PIN","."),"PIN","."),_xlpm.mainPart,MID(_xlpm.cleanRaw,2,FIND(".",_xlpm.cleanRaw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805060</v>
      </c>
      <c r="H759" t="str">
        <f>_xlfn.LET(_xlpm.raw,_xlfn.XLOOKUP(A759,'Pinlist(S5)'!$C$4:$C$1362,'Pinlist(S5)'!$E$4:$E$1362,""),_xlpm.cleanRaw,SUBSTITUTE(SUBSTITUTE(_xlpm.raw,"_PIN","."),"PIN","."),_xlpm.mainPart,MID(_xlpm.cleanRaw,2,FIND(".",_xlpm.cleanRaw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702062</v>
      </c>
      <c r="I759" t="str">
        <f>""</f>
        <v/>
      </c>
      <c r="J759" t="str">
        <f t="shared" si="11"/>
        <v>AK6;GPP_F_0_SSP2_SCLK;;2.72899999999999;15.321;509021;805060;702062;</v>
      </c>
    </row>
    <row r="760" spans="1:10">
      <c r="A760" t="s">
        <v>1040</v>
      </c>
      <c r="B760" t="str">
        <f>_xlfn.XLOOKUP(A760,'Pinlist(S1)'!$Q$4:$Q$1362,'Pinlist(S1)'!$R$4:$R$1362,"")</f>
        <v>GPP_F_1_SSP2_SFRM</v>
      </c>
      <c r="C760" t="str" cm="1">
        <f t="array" ref="C760">_xlfn.TEXTJOIN(",",TRUE,_xlfn.UNIQUE(TRANSPOSE(_xlfn.MAP(_xlfn.XLOOKUP(A760,'Pinlist(S1)'!$C$4:$C$1362,'Pinlist(S1)'!$F$4:$K$1362,""),_xlfn.LAMBDA(_xlpm.x,IF(_xlpm.x&lt;&gt;"",TRIM(CLEAN(LEFT(_xlpm.x,FIND(".",_xlpm.x &amp; ".")-1))),""))))))</f>
        <v/>
      </c>
      <c r="D760">
        <v>3.379</v>
      </c>
      <c r="E760">
        <v>15.321</v>
      </c>
      <c r="F760" t="str">
        <f>_xlfn.LET(_xlpm.raw,_xlfn.XLOOKUP(A760,'Pinlist(S1)'!$C$4:$C$1362,'Pinlist(S1)'!$E$4:$E$1362,""),_xlpm.cleanRaw,SUBSTITUTE(SUBSTITUTE(_xlpm.raw,"_PIN","."),"PIN","."),_xlpm.mainPart,MID(_xlpm.cleanRaw,2,FIND(".",_xlpm.cleanRaw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506013</v>
      </c>
      <c r="G760" t="str">
        <f>_xlfn.LET(_xlpm.raw,_xlfn.XLOOKUP(A760,'Pinlist(S3)'!$C$4:$C$1362,'Pinlist(S3)'!$E$4:$E$1362,""),_xlpm.cleanRaw,SUBSTITUTE(SUBSTITUTE(_xlpm.raw,"_PIN","."),"PIN","."),_xlpm.mainPart,MID(_xlpm.cleanRaw,2,FIND(".",_xlpm.cleanRaw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806090</v>
      </c>
      <c r="H760" t="str">
        <f>_xlfn.LET(_xlpm.raw,_xlfn.XLOOKUP(A760,'Pinlist(S5)'!$C$4:$C$1362,'Pinlist(S5)'!$E$4:$E$1362,""),_xlpm.cleanRaw,SUBSTITUTE(SUBSTITUTE(_xlpm.raw,"_PIN","."),"PIN","."),_xlpm.mainPart,MID(_xlpm.cleanRaw,2,FIND(".",_xlpm.cleanRaw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601012</v>
      </c>
      <c r="I760" t="str">
        <f>""</f>
        <v/>
      </c>
      <c r="J760" t="str">
        <f t="shared" si="11"/>
        <v>AK7;GPP_F_1_SSP2_SFRM;;3.379;15.321;506013;806090;601012;</v>
      </c>
    </row>
    <row r="761" spans="1:10">
      <c r="A761" t="s">
        <v>1941</v>
      </c>
      <c r="B761" t="str">
        <f>_xlfn.XLOOKUP(A761,'Pinlist(S1)'!$Q$4:$Q$1362,'Pinlist(S1)'!$R$4:$R$1362,"")</f>
        <v>VSS</v>
      </c>
      <c r="C761" t="str" cm="1">
        <f t="array" ref="C761">_xlfn.TEXTJOIN(",",TRUE,_xlfn.UNIQUE(TRANSPOSE(_xlfn.MAP(_xlfn.XLOOKUP(A761,'Pinlist(S1)'!$C$4:$C$1362,'Pinlist(S1)'!$F$4:$K$1362,""),_xlfn.LAMBDA(_xlpm.x,IF(_xlpm.x&lt;&gt;"",TRIM(CLEAN(LEFT(_xlpm.x,FIND(".",_xlpm.x &amp; ".")-1))),""))))))</f>
        <v/>
      </c>
      <c r="D761">
        <v>4.0289999999999901</v>
      </c>
      <c r="E761">
        <v>15.321</v>
      </c>
      <c r="F761" t="str">
        <f>_xlfn.LET(_xlpm.raw,_xlfn.XLOOKUP(A761,'Pinlist(S1)'!$C$4:$C$1362,'Pinlist(S1)'!$E$4:$E$1362,""),_xlpm.cleanRaw,SUBSTITUTE(SUBSTITUTE(_xlpm.raw,"_PIN","."),"PIN","."),_xlpm.mainPart,MID(_xlpm.cleanRaw,2,FIND(".",_xlpm.cleanRaw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1" t="str">
        <f>_xlfn.LET(_xlpm.raw,_xlfn.XLOOKUP(A761,'Pinlist(S3)'!$C$4:$C$1362,'Pinlist(S3)'!$E$4:$E$1362,""),_xlpm.cleanRaw,SUBSTITUTE(SUBSTITUTE(_xlpm.raw,"_PIN","."),"PIN","."),_xlpm.mainPart,MID(_xlpm.cleanRaw,2,FIND(".",_xlpm.cleanRaw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1" t="str">
        <f>_xlfn.LET(_xlpm.raw,_xlfn.XLOOKUP(A761,'Pinlist(S5)'!$C$4:$C$1362,'Pinlist(S5)'!$E$4:$E$1362,""),_xlpm.cleanRaw,SUBSTITUTE(SUBSTITUTE(_xlpm.raw,"_PIN","."),"PIN","."),_xlpm.mainPart,MID(_xlpm.cleanRaw,2,FIND(".",_xlpm.cleanRaw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1" t="str">
        <f>""</f>
        <v/>
      </c>
      <c r="J761" t="str">
        <f t="shared" si="11"/>
        <v>AK8;VSS;;4.02899999999999;15.321;;;;</v>
      </c>
    </row>
    <row r="762" spans="1:10">
      <c r="A762" t="s">
        <v>1071</v>
      </c>
      <c r="B762" t="str">
        <f>_xlfn.XLOOKUP(A762,'Pinlist(S1)'!$Q$4:$Q$1362,'Pinlist(S1)'!$R$4:$R$1362,"")</f>
        <v>GPP_F_2_SSP2_TXD</v>
      </c>
      <c r="C762" t="str" cm="1">
        <f t="array" ref="C762">_xlfn.TEXTJOIN(",",TRUE,_xlfn.UNIQUE(TRANSPOSE(_xlfn.MAP(_xlfn.XLOOKUP(A762,'Pinlist(S1)'!$C$4:$C$1362,'Pinlist(S1)'!$F$4:$K$1362,""),_xlfn.LAMBDA(_xlpm.x,IF(_xlpm.x&lt;&gt;"",TRIM(CLEAN(LEFT(_xlpm.x,FIND(".",_xlpm.x &amp; ".")-1))),""))))))</f>
        <v/>
      </c>
      <c r="D762">
        <v>4.6790000000000003</v>
      </c>
      <c r="E762">
        <v>15.321</v>
      </c>
      <c r="F762" t="str">
        <f>_xlfn.LET(_xlpm.raw,_xlfn.XLOOKUP(A762,'Pinlist(S1)'!$C$4:$C$1362,'Pinlist(S1)'!$E$4:$E$1362,""),_xlpm.cleanRaw,SUBSTITUTE(SUBSTITUTE(_xlpm.raw,"_PIN","."),"PIN","."),_xlpm.mainPart,MID(_xlpm.cleanRaw,2,FIND(".",_xlpm.cleanRaw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508047</v>
      </c>
      <c r="G762" t="str">
        <f>_xlfn.LET(_xlpm.raw,_xlfn.XLOOKUP(A762,'Pinlist(S3)'!$C$4:$C$1362,'Pinlist(S3)'!$E$4:$E$1362,""),_xlpm.cleanRaw,SUBSTITUTE(SUBSTITUTE(_xlpm.raw,"_PIN","."),"PIN","."),_xlpm.mainPart,MID(_xlpm.cleanRaw,2,FIND(".",_xlpm.cleanRaw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762" t="str">
        <f>_xlfn.LET(_xlpm.raw,_xlfn.XLOOKUP(A762,'Pinlist(S5)'!$C$4:$C$1362,'Pinlist(S5)'!$E$4:$E$1362,""),_xlpm.cleanRaw,SUBSTITUTE(SUBSTITUTE(_xlpm.raw,"_PIN","."),"PIN","."),_xlpm.mainPart,MID(_xlpm.cleanRaw,2,FIND(".",_xlpm.cleanRaw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702047</v>
      </c>
      <c r="I762" t="str">
        <f>""</f>
        <v/>
      </c>
      <c r="J762" t="str">
        <f t="shared" si="11"/>
        <v>AK9;GPP_F_2_SSP2_TXD;;4.679;15.321;508047;804017;702047;</v>
      </c>
    </row>
    <row r="763" spans="1:10">
      <c r="A763" t="s">
        <v>1083</v>
      </c>
      <c r="B763" t="str">
        <f>_xlfn.XLOOKUP(A763,'Pinlist(S1)'!$Q$4:$Q$1362,'Pinlist(S1)'!$R$4:$R$1362,"")</f>
        <v>GPP_F_3_SSP2_RXD</v>
      </c>
      <c r="C763" t="str" cm="1">
        <f t="array" ref="C763">_xlfn.TEXTJOIN(",",TRUE,_xlfn.UNIQUE(TRANSPOSE(_xlfn.MAP(_xlfn.XLOOKUP(A763,'Pinlist(S1)'!$C$4:$C$1362,'Pinlist(S1)'!$F$4:$K$1362,""),_xlfn.LAMBDA(_xlpm.x,IF(_xlpm.x&lt;&gt;"",TRIM(CLEAN(LEFT(_xlpm.x,FIND(".",_xlpm.x &amp; ".")-1))),""))))))</f>
        <v/>
      </c>
      <c r="D763">
        <v>5.3289999999999997</v>
      </c>
      <c r="E763">
        <v>15.321</v>
      </c>
      <c r="F763" t="str">
        <f>_xlfn.LET(_xlpm.raw,_xlfn.XLOOKUP(A763,'Pinlist(S1)'!$C$4:$C$1362,'Pinlist(S1)'!$E$4:$E$1362,""),_xlpm.cleanRaw,SUBSTITUTE(SUBSTITUTE(_xlpm.raw,"_PIN","."),"PIN","."),_xlpm.mainPart,MID(_xlpm.cleanRaw,2,FIND(".",_xlpm.cleanRaw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505061</v>
      </c>
      <c r="G763" t="str">
        <f>_xlfn.LET(_xlpm.raw,_xlfn.XLOOKUP(A763,'Pinlist(S3)'!$C$4:$C$1362,'Pinlist(S3)'!$E$4:$E$1362,""),_xlpm.cleanRaw,SUBSTITUTE(SUBSTITUTE(_xlpm.raw,"_PIN","."),"PIN","."),_xlpm.mainPart,MID(_xlpm.cleanRaw,2,FIND(".",_xlpm.cleanRaw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808066</v>
      </c>
      <c r="H763" t="str">
        <f>_xlfn.LET(_xlpm.raw,_xlfn.XLOOKUP(A763,'Pinlist(S5)'!$C$4:$C$1362,'Pinlist(S5)'!$E$4:$E$1362,""),_xlpm.cleanRaw,SUBSTITUTE(SUBSTITUTE(_xlpm.raw,"_PIN","."),"PIN","."),_xlpm.mainPart,MID(_xlpm.cleanRaw,2,FIND(".",_xlpm.cleanRaw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701090</v>
      </c>
      <c r="I763" t="str">
        <f>""</f>
        <v/>
      </c>
      <c r="J763" t="str">
        <f t="shared" si="11"/>
        <v>AK10;GPP_F_3_SSP2_RXD;;5.329;15.321;505061;808066;701090;</v>
      </c>
    </row>
    <row r="764" spans="1:10">
      <c r="A764" t="s">
        <v>1932</v>
      </c>
      <c r="B764" t="str">
        <f>_xlfn.XLOOKUP(A764,'Pinlist(S1)'!$Q$4:$Q$1362,'Pinlist(S1)'!$R$4:$R$1362,"")</f>
        <v>VSS</v>
      </c>
      <c r="C764" t="str" cm="1">
        <f t="array" ref="C764">_xlfn.TEXTJOIN(",",TRUE,_xlfn.UNIQUE(TRANSPOSE(_xlfn.MAP(_xlfn.XLOOKUP(A764,'Pinlist(S1)'!$C$4:$C$1362,'Pinlist(S1)'!$F$4:$K$1362,""),_xlfn.LAMBDA(_xlpm.x,IF(_xlpm.x&lt;&gt;"",TRIM(CLEAN(LEFT(_xlpm.x,FIND(".",_xlpm.x &amp; ".")-1))),""))))))</f>
        <v/>
      </c>
      <c r="D764">
        <v>5.98</v>
      </c>
      <c r="E764">
        <v>15.321</v>
      </c>
      <c r="F764" t="str">
        <f>_xlfn.LET(_xlpm.raw,_xlfn.XLOOKUP(A764,'Pinlist(S1)'!$C$4:$C$1362,'Pinlist(S1)'!$E$4:$E$1362,""),_xlpm.cleanRaw,SUBSTITUTE(SUBSTITUTE(_xlpm.raw,"_PIN","."),"PIN","."),_xlpm.mainPart,MID(_xlpm.cleanRaw,2,FIND(".",_xlpm.cleanRaw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4" t="str">
        <f>_xlfn.LET(_xlpm.raw,_xlfn.XLOOKUP(A764,'Pinlist(S3)'!$C$4:$C$1362,'Pinlist(S3)'!$E$4:$E$1362,""),_xlpm.cleanRaw,SUBSTITUTE(SUBSTITUTE(_xlpm.raw,"_PIN","."),"PIN","."),_xlpm.mainPart,MID(_xlpm.cleanRaw,2,FIND(".",_xlpm.cleanRaw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4" t="str">
        <f>_xlfn.LET(_xlpm.raw,_xlfn.XLOOKUP(A764,'Pinlist(S5)'!$C$4:$C$1362,'Pinlist(S5)'!$E$4:$E$1362,""),_xlpm.cleanRaw,SUBSTITUTE(SUBSTITUTE(_xlpm.raw,"_PIN","."),"PIN","."),_xlpm.mainPart,MID(_xlpm.cleanRaw,2,FIND(".",_xlpm.cleanRaw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4" t="str">
        <f>""</f>
        <v/>
      </c>
      <c r="J764" t="str">
        <f t="shared" si="11"/>
        <v>AK11;VSS;;5.98;15.321;;;;</v>
      </c>
    </row>
    <row r="765" spans="1:10">
      <c r="A765" t="s">
        <v>1334</v>
      </c>
      <c r="B765" t="str">
        <f>_xlfn.XLOOKUP(A765,'Pinlist(S1)'!$Q$4:$Q$1362,'Pinlist(S1)'!$R$4:$R$1362,"")</f>
        <v>PEG_VIEW[3]</v>
      </c>
      <c r="C765" t="str" cm="1">
        <f t="array" ref="C765">_xlfn.TEXTJOIN(",",TRUE,_xlfn.UNIQUE(TRANSPOSE(_xlfn.MAP(_xlfn.XLOOKUP(A765,'Pinlist(S1)'!$C$4:$C$1362,'Pinlist(S1)'!$F$4:$K$1362,""),_xlfn.LAMBDA(_xlpm.x,IF(_xlpm.x&lt;&gt;"",TRIM(CLEAN(LEFT(_xlpm.x,FIND(".",_xlpm.x &amp; ".")-1))),""))))))</f>
        <v/>
      </c>
      <c r="D765">
        <v>6.63</v>
      </c>
      <c r="E765">
        <v>15.321</v>
      </c>
      <c r="F765" t="str">
        <f>_xlfn.LET(_xlpm.raw,_xlfn.XLOOKUP(A765,'Pinlist(S1)'!$C$4:$C$1362,'Pinlist(S1)'!$E$4:$E$1362,""),_xlpm.cleanRaw,SUBSTITUTE(SUBSTITUTE(_xlpm.raw,"_PIN","."),"PIN","."),_xlpm.mainPart,MID(_xlpm.cleanRaw,2,FIND(".",_xlpm.cleanRaw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765" t="str">
        <f>_xlfn.LET(_xlpm.raw,_xlfn.XLOOKUP(A765,'Pinlist(S3)'!$C$4:$C$1362,'Pinlist(S3)'!$E$4:$E$1362,""),_xlpm.cleanRaw,SUBSTITUTE(SUBSTITUTE(_xlpm.raw,"_PIN","."),"PIN","."),_xlpm.mainPart,MID(_xlpm.cleanRaw,2,FIND(".",_xlpm.cleanRaw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502051</v>
      </c>
      <c r="H765" t="str">
        <f>_xlfn.LET(_xlpm.raw,_xlfn.XLOOKUP(A765,'Pinlist(S5)'!$C$4:$C$1362,'Pinlist(S5)'!$E$4:$E$1362,""),_xlpm.cleanRaw,SUBSTITUTE(SUBSTITUTE(_xlpm.raw,"_PIN","."),"PIN","."),_xlpm.mainPart,MID(_xlpm.cleanRaw,2,FIND(".",_xlpm.cleanRaw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708045</v>
      </c>
      <c r="I765" t="str">
        <f>""</f>
        <v/>
      </c>
      <c r="J765" t="str">
        <f t="shared" si="11"/>
        <v>AK12;PEG_VIEW[3];;6.63;15.321;604031;502051;708045;</v>
      </c>
    </row>
    <row r="766" spans="1:10">
      <c r="A766" t="s">
        <v>1332</v>
      </c>
      <c r="B766" t="str">
        <f>_xlfn.XLOOKUP(A766,'Pinlist(S1)'!$Q$4:$Q$1362,'Pinlist(S1)'!$R$4:$R$1362,"")</f>
        <v>PEG_VIEW[2]</v>
      </c>
      <c r="C766" t="str" cm="1">
        <f t="array" ref="C766">_xlfn.TEXTJOIN(",",TRUE,_xlfn.UNIQUE(TRANSPOSE(_xlfn.MAP(_xlfn.XLOOKUP(A766,'Pinlist(S1)'!$C$4:$C$1362,'Pinlist(S1)'!$F$4:$K$1362,""),_xlfn.LAMBDA(_xlpm.x,IF(_xlpm.x&lt;&gt;"",TRIM(CLEAN(LEFT(_xlpm.x,FIND(".",_xlpm.x &amp; ".")-1))),""))))))</f>
        <v/>
      </c>
      <c r="D766">
        <v>7.28</v>
      </c>
      <c r="E766">
        <v>15.321</v>
      </c>
      <c r="F766" t="str">
        <f>_xlfn.LET(_xlpm.raw,_xlfn.XLOOKUP(A766,'Pinlist(S1)'!$C$4:$C$1362,'Pinlist(S1)'!$E$4:$E$1362,""),_xlpm.cleanRaw,SUBSTITUTE(SUBSTITUTE(_xlpm.raw,"_PIN","."),"PIN","."),_xlpm.mainPart,MID(_xlpm.cleanRaw,2,FIND(".",_xlpm.cleanRaw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766" t="str">
        <f>_xlfn.LET(_xlpm.raw,_xlfn.XLOOKUP(A766,'Pinlist(S3)'!$C$4:$C$1362,'Pinlist(S3)'!$E$4:$E$1362,""),_xlpm.cleanRaw,SUBSTITUTE(SUBSTITUTE(_xlpm.raw,"_PIN","."),"PIN","."),_xlpm.mainPart,MID(_xlpm.cleanRaw,2,FIND(".",_xlpm.cleanRaw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502059</v>
      </c>
      <c r="H766" t="str">
        <f>_xlfn.LET(_xlpm.raw,_xlfn.XLOOKUP(A766,'Pinlist(S5)'!$C$4:$C$1362,'Pinlist(S5)'!$E$4:$E$1362,""),_xlpm.cleanRaw,SUBSTITUTE(SUBSTITUTE(_xlpm.raw,"_PIN","."),"PIN","."),_xlpm.mainPart,MID(_xlpm.cleanRaw,2,FIND(".",_xlpm.cleanRaw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708048</v>
      </c>
      <c r="I766" t="str">
        <f>""</f>
        <v/>
      </c>
      <c r="J766" t="str">
        <f t="shared" si="11"/>
        <v>AK13;PEG_VIEW[2];;7.28;15.321;604033;502059;708048;</v>
      </c>
    </row>
    <row r="767" spans="1:10">
      <c r="A767" t="s">
        <v>1796</v>
      </c>
      <c r="B767" t="str">
        <f>_xlfn.XLOOKUP(A767,'Pinlist(S1)'!$Q$4:$Q$1362,'Pinlist(S1)'!$R$4:$R$1362,"")</f>
        <v>VCCPGPPA</v>
      </c>
      <c r="C767" t="str" cm="1">
        <f t="array" ref="C767">_xlfn.TEXTJOIN(",",TRUE,_xlfn.UNIQUE(TRANSPOSE(_xlfn.MAP(_xlfn.XLOOKUP(A767,'Pinlist(S1)'!$C$4:$C$1362,'Pinlist(S1)'!$F$4:$K$1362,""),_xlfn.LAMBDA(_xlpm.x,IF(_xlpm.x&lt;&gt;"",TRIM(CLEAN(LEFT(_xlpm.x,FIND(".",_xlpm.x &amp; ".")-1))),""))))))</f>
        <v/>
      </c>
      <c r="D767">
        <v>8.1259999999999906</v>
      </c>
      <c r="E767">
        <v>15.496</v>
      </c>
      <c r="F767" t="str">
        <f>_xlfn.LET(_xlpm.raw,_xlfn.XLOOKUP(A767,'Pinlist(S1)'!$C$4:$C$1362,'Pinlist(S1)'!$E$4:$E$1362,""),_xlpm.cleanRaw,SUBSTITUTE(SUBSTITUTE(_xlpm.raw,"_PIN","."),"PIN","."),_xlpm.mainPart,MID(_xlpm.cleanRaw,2,FIND(".",_xlpm.cleanRaw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7" t="str">
        <f>_xlfn.LET(_xlpm.raw,_xlfn.XLOOKUP(A767,'Pinlist(S3)'!$C$4:$C$1362,'Pinlist(S3)'!$E$4:$E$1362,""),_xlpm.cleanRaw,SUBSTITUTE(SUBSTITUTE(_xlpm.raw,"_PIN","."),"PIN","."),_xlpm.mainPart,MID(_xlpm.cleanRaw,2,FIND(".",_xlpm.cleanRaw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7" t="str">
        <f>_xlfn.LET(_xlpm.raw,_xlfn.XLOOKUP(A767,'Pinlist(S5)'!$C$4:$C$1362,'Pinlist(S5)'!$E$4:$E$1362,""),_xlpm.cleanRaw,SUBSTITUTE(SUBSTITUTE(_xlpm.raw,"_PIN","."),"PIN","."),_xlpm.mainPart,MID(_xlpm.cleanRaw,2,FIND(".",_xlpm.cleanRaw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7" t="str">
        <f>""</f>
        <v/>
      </c>
      <c r="J767" t="str">
        <f t="shared" si="11"/>
        <v>AK15;VCCPGPPA;;8.12599999999999;15.496;;;;</v>
      </c>
    </row>
    <row r="768" spans="1:10">
      <c r="A768" t="s">
        <v>1933</v>
      </c>
      <c r="B768" t="str">
        <f>_xlfn.XLOOKUP(A768,'Pinlist(S1)'!$Q$4:$Q$1362,'Pinlist(S1)'!$R$4:$R$1362,"")</f>
        <v>VSS</v>
      </c>
      <c r="C768" t="str" cm="1">
        <f t="array" ref="C768">_xlfn.TEXTJOIN(",",TRUE,_xlfn.UNIQUE(TRANSPOSE(_xlfn.MAP(_xlfn.XLOOKUP(A768,'Pinlist(S1)'!$C$4:$C$1362,'Pinlist(S1)'!$F$4:$K$1362,""),_xlfn.LAMBDA(_xlpm.x,IF(_xlpm.x&lt;&gt;"",TRIM(CLEAN(LEFT(_xlpm.x,FIND(".",_xlpm.x &amp; ".")-1))),""))))))</f>
        <v/>
      </c>
      <c r="D768">
        <v>8.7759999999999998</v>
      </c>
      <c r="E768">
        <v>15.496</v>
      </c>
      <c r="F768" t="str">
        <f>_xlfn.LET(_xlpm.raw,_xlfn.XLOOKUP(A768,'Pinlist(S1)'!$C$4:$C$1362,'Pinlist(S1)'!$E$4:$E$1362,""),_xlpm.cleanRaw,SUBSTITUTE(SUBSTITUTE(_xlpm.raw,"_PIN","."),"PIN","."),_xlpm.mainPart,MID(_xlpm.cleanRaw,2,FIND(".",_xlpm.cleanRaw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8" t="str">
        <f>_xlfn.LET(_xlpm.raw,_xlfn.XLOOKUP(A768,'Pinlist(S3)'!$C$4:$C$1362,'Pinlist(S3)'!$E$4:$E$1362,""),_xlpm.cleanRaw,SUBSTITUTE(SUBSTITUTE(_xlpm.raw,"_PIN","."),"PIN","."),_xlpm.mainPart,MID(_xlpm.cleanRaw,2,FIND(".",_xlpm.cleanRaw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8" t="str">
        <f>_xlfn.LET(_xlpm.raw,_xlfn.XLOOKUP(A768,'Pinlist(S5)'!$C$4:$C$1362,'Pinlist(S5)'!$E$4:$E$1362,""),_xlpm.cleanRaw,SUBSTITUTE(SUBSTITUTE(_xlpm.raw,"_PIN","."),"PIN","."),_xlpm.mainPart,MID(_xlpm.cleanRaw,2,FIND(".",_xlpm.cleanRaw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8" t="str">
        <f>""</f>
        <v/>
      </c>
      <c r="J768" t="str">
        <f t="shared" si="11"/>
        <v>AK16;VSS;;8.776;15.496;;;;</v>
      </c>
    </row>
    <row r="769" spans="1:10">
      <c r="A769" t="s">
        <v>1828</v>
      </c>
      <c r="B769" t="str">
        <f>_xlfn.XLOOKUP(A769,'Pinlist(S1)'!$Q$4:$Q$1362,'Pinlist(S1)'!$R$4:$R$1362,"")</f>
        <v>VCCPRTCPRIM_3P3</v>
      </c>
      <c r="C769" t="str" cm="1">
        <f t="array" ref="C769">_xlfn.TEXTJOIN(",",TRUE,_xlfn.UNIQUE(TRANSPOSE(_xlfn.MAP(_xlfn.XLOOKUP(A769,'Pinlist(S1)'!$C$4:$C$1362,'Pinlist(S1)'!$F$4:$K$1362,""),_xlfn.LAMBDA(_xlpm.x,IF(_xlpm.x&lt;&gt;"",TRIM(CLEAN(LEFT(_xlpm.x,FIND(".",_xlpm.x &amp; ".")-1))),""))))))</f>
        <v/>
      </c>
      <c r="D769">
        <v>9.4260000000000002</v>
      </c>
      <c r="E769">
        <v>15.496</v>
      </c>
      <c r="F769" t="str">
        <f>_xlfn.LET(_xlpm.raw,_xlfn.XLOOKUP(A769,'Pinlist(S1)'!$C$4:$C$1362,'Pinlist(S1)'!$E$4:$E$1362,""),_xlpm.cleanRaw,SUBSTITUTE(SUBSTITUTE(_xlpm.raw,"_PIN","."),"PIN","."),_xlpm.mainPart,MID(_xlpm.cleanRaw,2,FIND(".",_xlpm.cleanRaw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9" t="str">
        <f>_xlfn.LET(_xlpm.raw,_xlfn.XLOOKUP(A769,'Pinlist(S3)'!$C$4:$C$1362,'Pinlist(S3)'!$E$4:$E$1362,""),_xlpm.cleanRaw,SUBSTITUTE(SUBSTITUTE(_xlpm.raw,"_PIN","."),"PIN","."),_xlpm.mainPart,MID(_xlpm.cleanRaw,2,FIND(".",_xlpm.cleanRaw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9" t="str">
        <f>_xlfn.LET(_xlpm.raw,_xlfn.XLOOKUP(A769,'Pinlist(S5)'!$C$4:$C$1362,'Pinlist(S5)'!$E$4:$E$1362,""),_xlpm.cleanRaw,SUBSTITUTE(SUBSTITUTE(_xlpm.raw,"_PIN","."),"PIN","."),_xlpm.mainPart,MID(_xlpm.cleanRaw,2,FIND(".",_xlpm.cleanRaw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9" t="str">
        <f>""</f>
        <v/>
      </c>
      <c r="J769" t="str">
        <f t="shared" si="11"/>
        <v>AK17;VCCPRTCPRIM_3P3;;9.426;15.496;;;;</v>
      </c>
    </row>
    <row r="770" spans="1:10">
      <c r="A770" t="s">
        <v>1934</v>
      </c>
      <c r="B770" t="str">
        <f>_xlfn.XLOOKUP(A770,'Pinlist(S1)'!$Q$4:$Q$1362,'Pinlist(S1)'!$R$4:$R$1362,"")</f>
        <v>VSS</v>
      </c>
      <c r="C770" t="str" cm="1">
        <f t="array" ref="C770">_xlfn.TEXTJOIN(",",TRUE,_xlfn.UNIQUE(TRANSPOSE(_xlfn.MAP(_xlfn.XLOOKUP(A770,'Pinlist(S1)'!$C$4:$C$1362,'Pinlist(S1)'!$F$4:$K$1362,""),_xlfn.LAMBDA(_xlpm.x,IF(_xlpm.x&lt;&gt;"",TRIM(CLEAN(LEFT(_xlpm.x,FIND(".",_xlpm.x &amp; ".")-1))),""))))))</f>
        <v/>
      </c>
      <c r="D770">
        <v>10.076000000000001</v>
      </c>
      <c r="E770">
        <v>15.496</v>
      </c>
      <c r="F770" t="str">
        <f>_xlfn.LET(_xlpm.raw,_xlfn.XLOOKUP(A770,'Pinlist(S1)'!$C$4:$C$1362,'Pinlist(S1)'!$E$4:$E$1362,""),_xlpm.cleanRaw,SUBSTITUTE(SUBSTITUTE(_xlpm.raw,"_PIN","."),"PIN","."),_xlpm.mainPart,MID(_xlpm.cleanRaw,2,FIND(".",_xlpm.cleanRaw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0" t="str">
        <f>_xlfn.LET(_xlpm.raw,_xlfn.XLOOKUP(A770,'Pinlist(S3)'!$C$4:$C$1362,'Pinlist(S3)'!$E$4:$E$1362,""),_xlpm.cleanRaw,SUBSTITUTE(SUBSTITUTE(_xlpm.raw,"_PIN","."),"PIN","."),_xlpm.mainPart,MID(_xlpm.cleanRaw,2,FIND(".",_xlpm.cleanRaw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0" t="str">
        <f>_xlfn.LET(_xlpm.raw,_xlfn.XLOOKUP(A770,'Pinlist(S5)'!$C$4:$C$1362,'Pinlist(S5)'!$E$4:$E$1362,""),_xlpm.cleanRaw,SUBSTITUTE(SUBSTITUTE(_xlpm.raw,"_PIN","."),"PIN","."),_xlpm.mainPart,MID(_xlpm.cleanRaw,2,FIND(".",_xlpm.cleanRaw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0" t="str">
        <f>""</f>
        <v/>
      </c>
      <c r="J770" t="str">
        <f t="shared" ref="J770:J833" si="12">A770&amp;";"&amp;B770&amp;";"&amp;C770&amp;";"&amp;D770&amp;";"&amp;E770&amp;";"&amp;F770&amp;";"&amp;G770&amp;";"&amp;H770&amp;";"&amp;I770</f>
        <v>AK18;VSS;;10.076;15.496;;;;</v>
      </c>
    </row>
    <row r="771" spans="1:10">
      <c r="A771" t="s">
        <v>1824</v>
      </c>
      <c r="B771" t="str">
        <f>_xlfn.XLOOKUP(A771,'Pinlist(S1)'!$Q$4:$Q$1362,'Pinlist(S1)'!$R$4:$R$1362,"")</f>
        <v>VCCPRTC_3P3</v>
      </c>
      <c r="C771" t="str" cm="1">
        <f t="array" ref="C771">_xlfn.TEXTJOIN(",",TRUE,_xlfn.UNIQUE(TRANSPOSE(_xlfn.MAP(_xlfn.XLOOKUP(A771,'Pinlist(S1)'!$C$4:$C$1362,'Pinlist(S1)'!$F$4:$K$1362,""),_xlfn.LAMBDA(_xlpm.x,IF(_xlpm.x&lt;&gt;"",TRIM(CLEAN(LEFT(_xlpm.x,FIND(".",_xlpm.x &amp; ".")-1))),""))))))</f>
        <v/>
      </c>
      <c r="D771">
        <v>10.727</v>
      </c>
      <c r="E771">
        <v>15.496</v>
      </c>
      <c r="F771" t="str">
        <f>_xlfn.LET(_xlpm.raw,_xlfn.XLOOKUP(A771,'Pinlist(S1)'!$C$4:$C$1362,'Pinlist(S1)'!$E$4:$E$1362,""),_xlpm.cleanRaw,SUBSTITUTE(SUBSTITUTE(_xlpm.raw,"_PIN","."),"PIN","."),_xlpm.mainPart,MID(_xlpm.cleanRaw,2,FIND(".",_xlpm.cleanRaw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1" t="str">
        <f>_xlfn.LET(_xlpm.raw,_xlfn.XLOOKUP(A771,'Pinlist(S3)'!$C$4:$C$1362,'Pinlist(S3)'!$E$4:$E$1362,""),_xlpm.cleanRaw,SUBSTITUTE(SUBSTITUTE(_xlpm.raw,"_PIN","."),"PIN","."),_xlpm.mainPart,MID(_xlpm.cleanRaw,2,FIND(".",_xlpm.cleanRaw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1" t="str">
        <f>_xlfn.LET(_xlpm.raw,_xlfn.XLOOKUP(A771,'Pinlist(S5)'!$C$4:$C$1362,'Pinlist(S5)'!$E$4:$E$1362,""),_xlpm.cleanRaw,SUBSTITUTE(SUBSTITUTE(_xlpm.raw,"_PIN","."),"PIN","."),_xlpm.mainPart,MID(_xlpm.cleanRaw,2,FIND(".",_xlpm.cleanRaw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1" t="str">
        <f>""</f>
        <v/>
      </c>
      <c r="J771" t="str">
        <f t="shared" si="12"/>
        <v>AK19;VCCPRTC_3P3;;10.727;15.496;;;;</v>
      </c>
    </row>
    <row r="772" spans="1:10">
      <c r="A772" t="s">
        <v>1638</v>
      </c>
      <c r="B772" t="str">
        <f>_xlfn.XLOOKUP(A772,'Pinlist(S1)'!$Q$4:$Q$1362,'Pinlist(S1)'!$R$4:$R$1362,"")</f>
        <v>VCCFHV_2P8</v>
      </c>
      <c r="C772" t="str" cm="1">
        <f t="array" ref="C772">_xlfn.TEXTJOIN(",",TRUE,_xlfn.UNIQUE(TRANSPOSE(_xlfn.MAP(_xlfn.XLOOKUP(A772,'Pinlist(S1)'!$C$4:$C$1362,'Pinlist(S1)'!$F$4:$K$1362,""),_xlfn.LAMBDA(_xlpm.x,IF(_xlpm.x&lt;&gt;"",TRIM(CLEAN(LEFT(_xlpm.x,FIND(".",_xlpm.x &amp; ".")-1))),""))))))</f>
        <v/>
      </c>
      <c r="D772">
        <v>11.377000000000001</v>
      </c>
      <c r="E772">
        <v>15.496</v>
      </c>
      <c r="F772" t="str">
        <f>_xlfn.LET(_xlpm.raw,_xlfn.XLOOKUP(A772,'Pinlist(S1)'!$C$4:$C$1362,'Pinlist(S1)'!$E$4:$E$1362,""),_xlpm.cleanRaw,SUBSTITUTE(SUBSTITUTE(_xlpm.raw,"_PIN","."),"PIN","."),_xlpm.mainPart,MID(_xlpm.cleanRaw,2,FIND(".",_xlpm.cleanRaw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2" t="str">
        <f>_xlfn.LET(_xlpm.raw,_xlfn.XLOOKUP(A772,'Pinlist(S3)'!$C$4:$C$1362,'Pinlist(S3)'!$E$4:$E$1362,""),_xlpm.cleanRaw,SUBSTITUTE(SUBSTITUTE(_xlpm.raw,"_PIN","."),"PIN","."),_xlpm.mainPart,MID(_xlpm.cleanRaw,2,FIND(".",_xlpm.cleanRaw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2" t="str">
        <f>_xlfn.LET(_xlpm.raw,_xlfn.XLOOKUP(A772,'Pinlist(S5)'!$C$4:$C$1362,'Pinlist(S5)'!$E$4:$E$1362,""),_xlpm.cleanRaw,SUBSTITUTE(SUBSTITUTE(_xlpm.raw,"_PIN","."),"PIN","."),_xlpm.mainPart,MID(_xlpm.cleanRaw,2,FIND(".",_xlpm.cleanRaw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2" t="str">
        <f>""</f>
        <v/>
      </c>
      <c r="J772" t="str">
        <f t="shared" si="12"/>
        <v>AK20;VCCFHV_2P8;;11.377;15.496;;;;</v>
      </c>
    </row>
    <row r="773" spans="1:10">
      <c r="A773" t="s">
        <v>1935</v>
      </c>
      <c r="B773" t="str">
        <f>_xlfn.XLOOKUP(A773,'Pinlist(S1)'!$Q$4:$Q$1362,'Pinlist(S1)'!$R$4:$R$1362,"")</f>
        <v>VSS</v>
      </c>
      <c r="C773" t="str" cm="1">
        <f t="array" ref="C773">_xlfn.TEXTJOIN(",",TRUE,_xlfn.UNIQUE(TRANSPOSE(_xlfn.MAP(_xlfn.XLOOKUP(A773,'Pinlist(S1)'!$C$4:$C$1362,'Pinlist(S1)'!$F$4:$K$1362,""),_xlfn.LAMBDA(_xlpm.x,IF(_xlpm.x&lt;&gt;"",TRIM(CLEAN(LEFT(_xlpm.x,FIND(".",_xlpm.x &amp; ".")-1))),""))))))</f>
        <v/>
      </c>
      <c r="D773">
        <v>12.026999999999999</v>
      </c>
      <c r="E773">
        <v>15.496</v>
      </c>
      <c r="F773" t="str">
        <f>_xlfn.LET(_xlpm.raw,_xlfn.XLOOKUP(A773,'Pinlist(S1)'!$C$4:$C$1362,'Pinlist(S1)'!$E$4:$E$1362,""),_xlpm.cleanRaw,SUBSTITUTE(SUBSTITUTE(_xlpm.raw,"_PIN","."),"PIN","."),_xlpm.mainPart,MID(_xlpm.cleanRaw,2,FIND(".",_xlpm.cleanRaw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3" t="str">
        <f>_xlfn.LET(_xlpm.raw,_xlfn.XLOOKUP(A773,'Pinlist(S3)'!$C$4:$C$1362,'Pinlist(S3)'!$E$4:$E$1362,""),_xlpm.cleanRaw,SUBSTITUTE(SUBSTITUTE(_xlpm.raw,"_PIN","."),"PIN","."),_xlpm.mainPart,MID(_xlpm.cleanRaw,2,FIND(".",_xlpm.cleanRaw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3" t="str">
        <f>_xlfn.LET(_xlpm.raw,_xlfn.XLOOKUP(A773,'Pinlist(S5)'!$C$4:$C$1362,'Pinlist(S5)'!$E$4:$E$1362,""),_xlpm.cleanRaw,SUBSTITUTE(SUBSTITUTE(_xlpm.raw,"_PIN","."),"PIN","."),_xlpm.mainPart,MID(_xlpm.cleanRaw,2,FIND(".",_xlpm.cleanRaw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3" t="str">
        <f>""</f>
        <v/>
      </c>
      <c r="J773" t="str">
        <f t="shared" si="12"/>
        <v>AK21;VSS;;12.027;15.496;;;;</v>
      </c>
    </row>
    <row r="774" spans="1:10">
      <c r="A774" t="s">
        <v>1936</v>
      </c>
      <c r="B774" t="str">
        <f>_xlfn.XLOOKUP(A774,'Pinlist(S1)'!$Q$4:$Q$1362,'Pinlist(S1)'!$R$4:$R$1362,"")</f>
        <v>VSS</v>
      </c>
      <c r="C774" t="str" cm="1">
        <f t="array" ref="C774">_xlfn.TEXTJOIN(",",TRUE,_xlfn.UNIQUE(TRANSPOSE(_xlfn.MAP(_xlfn.XLOOKUP(A774,'Pinlist(S1)'!$C$4:$C$1362,'Pinlist(S1)'!$F$4:$K$1362,""),_xlfn.LAMBDA(_xlpm.x,IF(_xlpm.x&lt;&gt;"",TRIM(CLEAN(LEFT(_xlpm.x,FIND(".",_xlpm.x &amp; ".")-1))),""))))))</f>
        <v/>
      </c>
      <c r="D774">
        <v>12.718</v>
      </c>
      <c r="E774">
        <v>15.323</v>
      </c>
      <c r="F774" t="str">
        <f>_xlfn.LET(_xlpm.raw,_xlfn.XLOOKUP(A774,'Pinlist(S1)'!$C$4:$C$1362,'Pinlist(S1)'!$E$4:$E$1362,""),_xlpm.cleanRaw,SUBSTITUTE(SUBSTITUTE(_xlpm.raw,"_PIN","."),"PIN","."),_xlpm.mainPart,MID(_xlpm.cleanRaw,2,FIND(".",_xlpm.cleanRaw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4" t="str">
        <f>_xlfn.LET(_xlpm.raw,_xlfn.XLOOKUP(A774,'Pinlist(S3)'!$C$4:$C$1362,'Pinlist(S3)'!$E$4:$E$1362,""),_xlpm.cleanRaw,SUBSTITUTE(SUBSTITUTE(_xlpm.raw,"_PIN","."),"PIN","."),_xlpm.mainPart,MID(_xlpm.cleanRaw,2,FIND(".",_xlpm.cleanRaw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4" t="str">
        <f>_xlfn.LET(_xlpm.raw,_xlfn.XLOOKUP(A774,'Pinlist(S5)'!$C$4:$C$1362,'Pinlist(S5)'!$E$4:$E$1362,""),_xlpm.cleanRaw,SUBSTITUTE(SUBSTITUTE(_xlpm.raw,"_PIN","."),"PIN","."),_xlpm.mainPart,MID(_xlpm.cleanRaw,2,FIND(".",_xlpm.cleanRaw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4" t="str">
        <f>""</f>
        <v/>
      </c>
      <c r="J774" t="str">
        <f t="shared" si="12"/>
        <v>AK22;VSS;;12.718;15.323;;;;</v>
      </c>
    </row>
    <row r="775" spans="1:10">
      <c r="A775" t="s">
        <v>1836</v>
      </c>
      <c r="B775" t="str">
        <f>_xlfn.XLOOKUP(A775,'Pinlist(S1)'!$Q$4:$Q$1362,'Pinlist(S1)'!$R$4:$R$1362,"")</f>
        <v>VCCSA</v>
      </c>
      <c r="C775" t="str" cm="1">
        <f t="array" ref="C775">_xlfn.TEXTJOIN(",",TRUE,_xlfn.UNIQUE(TRANSPOSE(_xlfn.MAP(_xlfn.XLOOKUP(A775,'Pinlist(S1)'!$C$4:$C$1362,'Pinlist(S1)'!$F$4:$K$1362,""),_xlfn.LAMBDA(_xlpm.x,IF(_xlpm.x&lt;&gt;"",TRIM(CLEAN(LEFT(_xlpm.x,FIND(".",_xlpm.x &amp; ".")-1))),""))))))</f>
        <v/>
      </c>
      <c r="D775">
        <v>13.632999999999999</v>
      </c>
      <c r="E775">
        <v>15.323</v>
      </c>
      <c r="F775" t="str">
        <f>_xlfn.LET(_xlpm.raw,_xlfn.XLOOKUP(A775,'Pinlist(S1)'!$C$4:$C$1362,'Pinlist(S1)'!$E$4:$E$1362,""),_xlpm.cleanRaw,SUBSTITUTE(SUBSTITUTE(_xlpm.raw,"_PIN","."),"PIN","."),_xlpm.mainPart,MID(_xlpm.cleanRaw,2,FIND(".",_xlpm.cleanRaw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5" t="str">
        <f>_xlfn.LET(_xlpm.raw,_xlfn.XLOOKUP(A775,'Pinlist(S3)'!$C$4:$C$1362,'Pinlist(S3)'!$E$4:$E$1362,""),_xlpm.cleanRaw,SUBSTITUTE(SUBSTITUTE(_xlpm.raw,"_PIN","."),"PIN","."),_xlpm.mainPart,MID(_xlpm.cleanRaw,2,FIND(".",_xlpm.cleanRaw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5" t="str">
        <f>_xlfn.LET(_xlpm.raw,_xlfn.XLOOKUP(A775,'Pinlist(S5)'!$C$4:$C$1362,'Pinlist(S5)'!$E$4:$E$1362,""),_xlpm.cleanRaw,SUBSTITUTE(SUBSTITUTE(_xlpm.raw,"_PIN","."),"PIN","."),_xlpm.mainPart,MID(_xlpm.cleanRaw,2,FIND(".",_xlpm.cleanRaw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5" t="str">
        <f>""</f>
        <v/>
      </c>
      <c r="J775" t="str">
        <f t="shared" si="12"/>
        <v>AK23;VCCSA;;13.633;15.323;;;;</v>
      </c>
    </row>
    <row r="776" spans="1:10">
      <c r="A776" t="s">
        <v>1839</v>
      </c>
      <c r="B776" t="str">
        <f>_xlfn.XLOOKUP(A776,'Pinlist(S1)'!$Q$4:$Q$1362,'Pinlist(S1)'!$R$4:$R$1362,"")</f>
        <v>VCCSA</v>
      </c>
      <c r="C776" t="str" cm="1">
        <f t="array" ref="C776">_xlfn.TEXTJOIN(",",TRUE,_xlfn.UNIQUE(TRANSPOSE(_xlfn.MAP(_xlfn.XLOOKUP(A776,'Pinlist(S1)'!$C$4:$C$1362,'Pinlist(S1)'!$F$4:$K$1362,""),_xlfn.LAMBDA(_xlpm.x,IF(_xlpm.x&lt;&gt;"",TRIM(CLEAN(LEFT(_xlpm.x,FIND(".",_xlpm.x &amp; ".")-1))),""))))))</f>
        <v/>
      </c>
      <c r="D776">
        <v>14.547000000000001</v>
      </c>
      <c r="E776">
        <v>15.323</v>
      </c>
      <c r="F776" t="str">
        <f>_xlfn.LET(_xlpm.raw,_xlfn.XLOOKUP(A776,'Pinlist(S1)'!$C$4:$C$1362,'Pinlist(S1)'!$E$4:$E$1362,""),_xlpm.cleanRaw,SUBSTITUTE(SUBSTITUTE(_xlpm.raw,"_PIN","."),"PIN","."),_xlpm.mainPart,MID(_xlpm.cleanRaw,2,FIND(".",_xlpm.cleanRaw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6" t="str">
        <f>_xlfn.LET(_xlpm.raw,_xlfn.XLOOKUP(A776,'Pinlist(S3)'!$C$4:$C$1362,'Pinlist(S3)'!$E$4:$E$1362,""),_xlpm.cleanRaw,SUBSTITUTE(SUBSTITUTE(_xlpm.raw,"_PIN","."),"PIN","."),_xlpm.mainPart,MID(_xlpm.cleanRaw,2,FIND(".",_xlpm.cleanRaw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6" t="str">
        <f>_xlfn.LET(_xlpm.raw,_xlfn.XLOOKUP(A776,'Pinlist(S5)'!$C$4:$C$1362,'Pinlist(S5)'!$E$4:$E$1362,""),_xlpm.cleanRaw,SUBSTITUTE(SUBSTITUTE(_xlpm.raw,"_PIN","."),"PIN","."),_xlpm.mainPart,MID(_xlpm.cleanRaw,2,FIND(".",_xlpm.cleanRaw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6" t="str">
        <f>""</f>
        <v/>
      </c>
      <c r="J776" t="str">
        <f t="shared" si="12"/>
        <v>AK25;VCCSA;;14.547;15.323;;;;</v>
      </c>
    </row>
    <row r="777" spans="1:10">
      <c r="A777" t="s">
        <v>1937</v>
      </c>
      <c r="B777" t="str">
        <f>_xlfn.XLOOKUP(A777,'Pinlist(S1)'!$Q$4:$Q$1362,'Pinlist(S1)'!$R$4:$R$1362,"")</f>
        <v>VSS</v>
      </c>
      <c r="C777" t="str" cm="1">
        <f t="array" ref="C777">_xlfn.TEXTJOIN(",",TRUE,_xlfn.UNIQUE(TRANSPOSE(_xlfn.MAP(_xlfn.XLOOKUP(A777,'Pinlist(S1)'!$C$4:$C$1362,'Pinlist(S1)'!$F$4:$K$1362,""),_xlfn.LAMBDA(_xlpm.x,IF(_xlpm.x&lt;&gt;"",TRIM(CLEAN(LEFT(_xlpm.x,FIND(".",_xlpm.x &amp; ".")-1))),""))))))</f>
        <v/>
      </c>
      <c r="D777">
        <v>15.462</v>
      </c>
      <c r="E777">
        <v>15.323</v>
      </c>
      <c r="F777" t="str">
        <f>_xlfn.LET(_xlpm.raw,_xlfn.XLOOKUP(A777,'Pinlist(S1)'!$C$4:$C$1362,'Pinlist(S1)'!$E$4:$E$1362,""),_xlpm.cleanRaw,SUBSTITUTE(SUBSTITUTE(_xlpm.raw,"_PIN","."),"PIN","."),_xlpm.mainPart,MID(_xlpm.cleanRaw,2,FIND(".",_xlpm.cleanRaw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7" t="str">
        <f>_xlfn.LET(_xlpm.raw,_xlfn.XLOOKUP(A777,'Pinlist(S3)'!$C$4:$C$1362,'Pinlist(S3)'!$E$4:$E$1362,""),_xlpm.cleanRaw,SUBSTITUTE(SUBSTITUTE(_xlpm.raw,"_PIN","."),"PIN","."),_xlpm.mainPart,MID(_xlpm.cleanRaw,2,FIND(".",_xlpm.cleanRaw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7" t="str">
        <f>_xlfn.LET(_xlpm.raw,_xlfn.XLOOKUP(A777,'Pinlist(S5)'!$C$4:$C$1362,'Pinlist(S5)'!$E$4:$E$1362,""),_xlpm.cleanRaw,SUBSTITUTE(SUBSTITUTE(_xlpm.raw,"_PIN","."),"PIN","."),_xlpm.mainPart,MID(_xlpm.cleanRaw,2,FIND(".",_xlpm.cleanRaw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7" t="str">
        <f>""</f>
        <v/>
      </c>
      <c r="J777" t="str">
        <f t="shared" si="12"/>
        <v>AK27;VSS;;15.462;15.323;;;;</v>
      </c>
    </row>
    <row r="778" spans="1:10">
      <c r="A778" t="s">
        <v>1764</v>
      </c>
      <c r="B778" t="str">
        <f>_xlfn.XLOOKUP(A778,'Pinlist(S1)'!$Q$4:$Q$1362,'Pinlist(S1)'!$R$4:$R$1362,"")</f>
        <v>VCCIO</v>
      </c>
      <c r="C778" t="str" cm="1">
        <f t="array" ref="C778">_xlfn.TEXTJOIN(",",TRUE,_xlfn.UNIQUE(TRANSPOSE(_xlfn.MAP(_xlfn.XLOOKUP(A778,'Pinlist(S1)'!$C$4:$C$1362,'Pinlist(S1)'!$F$4:$K$1362,""),_xlfn.LAMBDA(_xlpm.x,IF(_xlpm.x&lt;&gt;"",TRIM(CLEAN(LEFT(_xlpm.x,FIND(".",_xlpm.x &amp; ".")-1))),""))))))</f>
        <v/>
      </c>
      <c r="D778">
        <v>16.376000000000001</v>
      </c>
      <c r="E778">
        <v>15.323</v>
      </c>
      <c r="F778" t="str">
        <f>_xlfn.LET(_xlpm.raw,_xlfn.XLOOKUP(A778,'Pinlist(S1)'!$C$4:$C$1362,'Pinlist(S1)'!$E$4:$E$1362,""),_xlpm.cleanRaw,SUBSTITUTE(SUBSTITUTE(_xlpm.raw,"_PIN","."),"PIN","."),_xlpm.mainPart,MID(_xlpm.cleanRaw,2,FIND(".",_xlpm.cleanRaw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8" t="str">
        <f>_xlfn.LET(_xlpm.raw,_xlfn.XLOOKUP(A778,'Pinlist(S3)'!$C$4:$C$1362,'Pinlist(S3)'!$E$4:$E$1362,""),_xlpm.cleanRaw,SUBSTITUTE(SUBSTITUTE(_xlpm.raw,"_PIN","."),"PIN","."),_xlpm.mainPart,MID(_xlpm.cleanRaw,2,FIND(".",_xlpm.cleanRaw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8" t="str">
        <f>_xlfn.LET(_xlpm.raw,_xlfn.XLOOKUP(A778,'Pinlist(S5)'!$C$4:$C$1362,'Pinlist(S5)'!$E$4:$E$1362,""),_xlpm.cleanRaw,SUBSTITUTE(SUBSTITUTE(_xlpm.raw,"_PIN","."),"PIN","."),_xlpm.mainPart,MID(_xlpm.cleanRaw,2,FIND(".",_xlpm.cleanRaw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8" t="str">
        <f>""</f>
        <v/>
      </c>
      <c r="J778" t="str">
        <f t="shared" si="12"/>
        <v>AK28;VCCIO;;16.376;15.323;;;;</v>
      </c>
    </row>
    <row r="779" spans="1:10">
      <c r="A779" t="s">
        <v>1767</v>
      </c>
      <c r="B779" t="str">
        <f>_xlfn.XLOOKUP(A779,'Pinlist(S1)'!$Q$4:$Q$1362,'Pinlist(S1)'!$R$4:$R$1362,"")</f>
        <v>VCCIO</v>
      </c>
      <c r="C779" t="str" cm="1">
        <f t="array" ref="C779">_xlfn.TEXTJOIN(",",TRUE,_xlfn.UNIQUE(TRANSPOSE(_xlfn.MAP(_xlfn.XLOOKUP(A779,'Pinlist(S1)'!$C$4:$C$1362,'Pinlist(S1)'!$F$4:$K$1362,""),_xlfn.LAMBDA(_xlpm.x,IF(_xlpm.x&lt;&gt;"",TRIM(CLEAN(LEFT(_xlpm.x,FIND(".",_xlpm.x &amp; ".")-1))),""))))))</f>
        <v/>
      </c>
      <c r="D779">
        <v>17.29</v>
      </c>
      <c r="E779">
        <v>15.323</v>
      </c>
      <c r="F779" t="str">
        <f>_xlfn.LET(_xlpm.raw,_xlfn.XLOOKUP(A779,'Pinlist(S1)'!$C$4:$C$1362,'Pinlist(S1)'!$E$4:$E$1362,""),_xlpm.cleanRaw,SUBSTITUTE(SUBSTITUTE(_xlpm.raw,"_PIN","."),"PIN","."),_xlpm.mainPart,MID(_xlpm.cleanRaw,2,FIND(".",_xlpm.cleanRaw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9" t="str">
        <f>_xlfn.LET(_xlpm.raw,_xlfn.XLOOKUP(A779,'Pinlist(S3)'!$C$4:$C$1362,'Pinlist(S3)'!$E$4:$E$1362,""),_xlpm.cleanRaw,SUBSTITUTE(SUBSTITUTE(_xlpm.raw,"_PIN","."),"PIN","."),_xlpm.mainPart,MID(_xlpm.cleanRaw,2,FIND(".",_xlpm.cleanRaw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9" t="str">
        <f>_xlfn.LET(_xlpm.raw,_xlfn.XLOOKUP(A779,'Pinlist(S5)'!$C$4:$C$1362,'Pinlist(S5)'!$E$4:$E$1362,""),_xlpm.cleanRaw,SUBSTITUTE(SUBSTITUTE(_xlpm.raw,"_PIN","."),"PIN","."),_xlpm.mainPart,MID(_xlpm.cleanRaw,2,FIND(".",_xlpm.cleanRaw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9" t="str">
        <f>""</f>
        <v/>
      </c>
      <c r="J779" t="str">
        <f t="shared" si="12"/>
        <v>AK30;VCCIO;;17.29;15.323;;;;</v>
      </c>
    </row>
    <row r="780" spans="1:10">
      <c r="A780" t="s">
        <v>1592</v>
      </c>
      <c r="B780" t="str">
        <f>_xlfn.XLOOKUP(A780,'Pinlist(S1)'!$Q$4:$Q$1362,'Pinlist(S1)'!$R$4:$R$1362,"")</f>
        <v>VCCCOREG1</v>
      </c>
      <c r="C780" t="str" cm="1">
        <f t="array" ref="C780">_xlfn.TEXTJOIN(",",TRUE,_xlfn.UNIQUE(TRANSPOSE(_xlfn.MAP(_xlfn.XLOOKUP(A780,'Pinlist(S1)'!$C$4:$C$1362,'Pinlist(S1)'!$F$4:$K$1362,""),_xlfn.LAMBDA(_xlpm.x,IF(_xlpm.x&lt;&gt;"",TRIM(CLEAN(LEFT(_xlpm.x,FIND(".",_xlpm.x &amp; ".")-1))),""))))))</f>
        <v/>
      </c>
      <c r="D780">
        <v>18.204999999999998</v>
      </c>
      <c r="E780">
        <v>15.323</v>
      </c>
      <c r="F780" t="str">
        <f>_xlfn.LET(_xlpm.raw,_xlfn.XLOOKUP(A780,'Pinlist(S1)'!$C$4:$C$1362,'Pinlist(S1)'!$E$4:$E$1362,""),_xlpm.cleanRaw,SUBSTITUTE(SUBSTITUTE(_xlpm.raw,"_PIN","."),"PIN","."),_xlpm.mainPart,MID(_xlpm.cleanRaw,2,FIND(".",_xlpm.cleanRaw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0" t="str">
        <f>_xlfn.LET(_xlpm.raw,_xlfn.XLOOKUP(A780,'Pinlist(S3)'!$C$4:$C$1362,'Pinlist(S3)'!$E$4:$E$1362,""),_xlpm.cleanRaw,SUBSTITUTE(SUBSTITUTE(_xlpm.raw,"_PIN","."),"PIN","."),_xlpm.mainPart,MID(_xlpm.cleanRaw,2,FIND(".",_xlpm.cleanRaw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0" t="str">
        <f>_xlfn.LET(_xlpm.raw,_xlfn.XLOOKUP(A780,'Pinlist(S5)'!$C$4:$C$1362,'Pinlist(S5)'!$E$4:$E$1362,""),_xlpm.cleanRaw,SUBSTITUTE(SUBSTITUTE(_xlpm.raw,"_PIN","."),"PIN","."),_xlpm.mainPart,MID(_xlpm.cleanRaw,2,FIND(".",_xlpm.cleanRaw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0" t="str">
        <f>""</f>
        <v/>
      </c>
      <c r="J780" t="str">
        <f t="shared" si="12"/>
        <v>AK32;VCCCOREG1;;18.205;15.323;;;;</v>
      </c>
    </row>
    <row r="781" spans="1:10">
      <c r="A781" t="s">
        <v>1555</v>
      </c>
      <c r="B781" t="str">
        <f>_xlfn.XLOOKUP(A781,'Pinlist(S1)'!$Q$4:$Q$1362,'Pinlist(S1)'!$R$4:$R$1362,"")</f>
        <v>VCCCORE</v>
      </c>
      <c r="C781" t="str" cm="1">
        <f t="array" ref="C781">_xlfn.TEXTJOIN(",",TRUE,_xlfn.UNIQUE(TRANSPOSE(_xlfn.MAP(_xlfn.XLOOKUP(A781,'Pinlist(S1)'!$C$4:$C$1362,'Pinlist(S1)'!$F$4:$K$1362,""),_xlfn.LAMBDA(_xlpm.x,IF(_xlpm.x&lt;&gt;"",TRIM(CLEAN(LEFT(_xlpm.x,FIND(".",_xlpm.x &amp; ".")-1))),""))))))</f>
        <v/>
      </c>
      <c r="D781">
        <v>19.119</v>
      </c>
      <c r="E781">
        <v>15.323</v>
      </c>
      <c r="F781" t="str">
        <f>_xlfn.LET(_xlpm.raw,_xlfn.XLOOKUP(A781,'Pinlist(S1)'!$C$4:$C$1362,'Pinlist(S1)'!$E$4:$E$1362,""),_xlpm.cleanRaw,SUBSTITUTE(SUBSTITUTE(_xlpm.raw,"_PIN","."),"PIN","."),_xlpm.mainPart,MID(_xlpm.cleanRaw,2,FIND(".",_xlpm.cleanRaw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1" t="str">
        <f>_xlfn.LET(_xlpm.raw,_xlfn.XLOOKUP(A781,'Pinlist(S3)'!$C$4:$C$1362,'Pinlist(S3)'!$E$4:$E$1362,""),_xlpm.cleanRaw,SUBSTITUTE(SUBSTITUTE(_xlpm.raw,"_PIN","."),"PIN","."),_xlpm.mainPart,MID(_xlpm.cleanRaw,2,FIND(".",_xlpm.cleanRaw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1" t="str">
        <f>_xlfn.LET(_xlpm.raw,_xlfn.XLOOKUP(A781,'Pinlist(S5)'!$C$4:$C$1362,'Pinlist(S5)'!$E$4:$E$1362,""),_xlpm.cleanRaw,SUBSTITUTE(SUBSTITUTE(_xlpm.raw,"_PIN","."),"PIN","."),_xlpm.mainPart,MID(_xlpm.cleanRaw,2,FIND(".",_xlpm.cleanRaw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1" t="str">
        <f>""</f>
        <v/>
      </c>
      <c r="J781" t="str">
        <f t="shared" si="12"/>
        <v>AK33;VCCCORE;;19.119;15.323;;;;</v>
      </c>
    </row>
    <row r="782" spans="1:10">
      <c r="A782" t="s">
        <v>1556</v>
      </c>
      <c r="B782" t="str">
        <f>_xlfn.XLOOKUP(A782,'Pinlist(S1)'!$Q$4:$Q$1362,'Pinlist(S1)'!$R$4:$R$1362,"")</f>
        <v>VCCCORE</v>
      </c>
      <c r="C782" t="str" cm="1">
        <f t="array" ref="C782">_xlfn.TEXTJOIN(",",TRUE,_xlfn.UNIQUE(TRANSPOSE(_xlfn.MAP(_xlfn.XLOOKUP(A782,'Pinlist(S1)'!$C$4:$C$1362,'Pinlist(S1)'!$F$4:$K$1362,""),_xlfn.LAMBDA(_xlpm.x,IF(_xlpm.x&lt;&gt;"",TRIM(CLEAN(LEFT(_xlpm.x,FIND(".",_xlpm.x &amp; ".")-1))),""))))))</f>
        <v/>
      </c>
      <c r="D782">
        <v>20.033999999999999</v>
      </c>
      <c r="E782">
        <v>15.323</v>
      </c>
      <c r="F782" t="str">
        <f>_xlfn.LET(_xlpm.raw,_xlfn.XLOOKUP(A782,'Pinlist(S1)'!$C$4:$C$1362,'Pinlist(S1)'!$E$4:$E$1362,""),_xlpm.cleanRaw,SUBSTITUTE(SUBSTITUTE(_xlpm.raw,"_PIN","."),"PIN","."),_xlpm.mainPart,MID(_xlpm.cleanRaw,2,FIND(".",_xlpm.cleanRaw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2" t="str">
        <f>_xlfn.LET(_xlpm.raw,_xlfn.XLOOKUP(A782,'Pinlist(S3)'!$C$4:$C$1362,'Pinlist(S3)'!$E$4:$E$1362,""),_xlpm.cleanRaw,SUBSTITUTE(SUBSTITUTE(_xlpm.raw,"_PIN","."),"PIN","."),_xlpm.mainPart,MID(_xlpm.cleanRaw,2,FIND(".",_xlpm.cleanRaw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2" t="str">
        <f>_xlfn.LET(_xlpm.raw,_xlfn.XLOOKUP(A782,'Pinlist(S5)'!$C$4:$C$1362,'Pinlist(S5)'!$E$4:$E$1362,""),_xlpm.cleanRaw,SUBSTITUTE(SUBSTITUTE(_xlpm.raw,"_PIN","."),"PIN","."),_xlpm.mainPart,MID(_xlpm.cleanRaw,2,FIND(".",_xlpm.cleanRaw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2" t="str">
        <f>""</f>
        <v/>
      </c>
      <c r="J782" t="str">
        <f t="shared" si="12"/>
        <v>AK35;VCCCORE;;20.034;15.323;;;;</v>
      </c>
    </row>
    <row r="783" spans="1:10">
      <c r="A783" t="s">
        <v>1557</v>
      </c>
      <c r="B783" t="str">
        <f>_xlfn.XLOOKUP(A783,'Pinlist(S1)'!$Q$4:$Q$1362,'Pinlist(S1)'!$R$4:$R$1362,"")</f>
        <v>VCCCORE</v>
      </c>
      <c r="C783" t="str" cm="1">
        <f t="array" ref="C783">_xlfn.TEXTJOIN(",",TRUE,_xlfn.UNIQUE(TRANSPOSE(_xlfn.MAP(_xlfn.XLOOKUP(A783,'Pinlist(S1)'!$C$4:$C$1362,'Pinlist(S1)'!$F$4:$K$1362,""),_xlfn.LAMBDA(_xlpm.x,IF(_xlpm.x&lt;&gt;"",TRIM(CLEAN(LEFT(_xlpm.x,FIND(".",_xlpm.x &amp; ".")-1))),""))))))</f>
        <v/>
      </c>
      <c r="D783">
        <v>20.948</v>
      </c>
      <c r="E783">
        <v>15.323</v>
      </c>
      <c r="F783" t="str">
        <f>_xlfn.LET(_xlpm.raw,_xlfn.XLOOKUP(A783,'Pinlist(S1)'!$C$4:$C$1362,'Pinlist(S1)'!$E$4:$E$1362,""),_xlpm.cleanRaw,SUBSTITUTE(SUBSTITUTE(_xlpm.raw,"_PIN","."),"PIN","."),_xlpm.mainPart,MID(_xlpm.cleanRaw,2,FIND(".",_xlpm.cleanRaw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3" t="str">
        <f>_xlfn.LET(_xlpm.raw,_xlfn.XLOOKUP(A783,'Pinlist(S3)'!$C$4:$C$1362,'Pinlist(S3)'!$E$4:$E$1362,""),_xlpm.cleanRaw,SUBSTITUTE(SUBSTITUTE(_xlpm.raw,"_PIN","."),"PIN","."),_xlpm.mainPart,MID(_xlpm.cleanRaw,2,FIND(".",_xlpm.cleanRaw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3" t="str">
        <f>_xlfn.LET(_xlpm.raw,_xlfn.XLOOKUP(A783,'Pinlist(S5)'!$C$4:$C$1362,'Pinlist(S5)'!$E$4:$E$1362,""),_xlpm.cleanRaw,SUBSTITUTE(SUBSTITUTE(_xlpm.raw,"_PIN","."),"PIN","."),_xlpm.mainPart,MID(_xlpm.cleanRaw,2,FIND(".",_xlpm.cleanRaw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3" t="str">
        <f>""</f>
        <v/>
      </c>
      <c r="J783" t="str">
        <f t="shared" si="12"/>
        <v>AK37;VCCCORE;;20.948;15.323;;;;</v>
      </c>
    </row>
    <row r="784" spans="1:10">
      <c r="A784" t="s">
        <v>1558</v>
      </c>
      <c r="B784" t="str">
        <f>_xlfn.XLOOKUP(A784,'Pinlist(S1)'!$Q$4:$Q$1362,'Pinlist(S1)'!$R$4:$R$1362,"")</f>
        <v>VCCCORE</v>
      </c>
      <c r="C784" t="str" cm="1">
        <f t="array" ref="C784">_xlfn.TEXTJOIN(",",TRUE,_xlfn.UNIQUE(TRANSPOSE(_xlfn.MAP(_xlfn.XLOOKUP(A784,'Pinlist(S1)'!$C$4:$C$1362,'Pinlist(S1)'!$F$4:$K$1362,""),_xlfn.LAMBDA(_xlpm.x,IF(_xlpm.x&lt;&gt;"",TRIM(CLEAN(LEFT(_xlpm.x,FIND(".",_xlpm.x &amp; ".")-1))),""))))))</f>
        <v/>
      </c>
      <c r="D784">
        <v>21.861999999999998</v>
      </c>
      <c r="E784">
        <v>15.323</v>
      </c>
      <c r="F784" t="str">
        <f>_xlfn.LET(_xlpm.raw,_xlfn.XLOOKUP(A784,'Pinlist(S1)'!$C$4:$C$1362,'Pinlist(S1)'!$E$4:$E$1362,""),_xlpm.cleanRaw,SUBSTITUTE(SUBSTITUTE(_xlpm.raw,"_PIN","."),"PIN","."),_xlpm.mainPart,MID(_xlpm.cleanRaw,2,FIND(".",_xlpm.cleanRaw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4" t="str">
        <f>_xlfn.LET(_xlpm.raw,_xlfn.XLOOKUP(A784,'Pinlist(S3)'!$C$4:$C$1362,'Pinlist(S3)'!$E$4:$E$1362,""),_xlpm.cleanRaw,SUBSTITUTE(SUBSTITUTE(_xlpm.raw,"_PIN","."),"PIN","."),_xlpm.mainPart,MID(_xlpm.cleanRaw,2,FIND(".",_xlpm.cleanRaw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4" t="str">
        <f>_xlfn.LET(_xlpm.raw,_xlfn.XLOOKUP(A784,'Pinlist(S5)'!$C$4:$C$1362,'Pinlist(S5)'!$E$4:$E$1362,""),_xlpm.cleanRaw,SUBSTITUTE(SUBSTITUTE(_xlpm.raw,"_PIN","."),"PIN","."),_xlpm.mainPart,MID(_xlpm.cleanRaw,2,FIND(".",_xlpm.cleanRaw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4" t="str">
        <f>""</f>
        <v/>
      </c>
      <c r="J784" t="str">
        <f t="shared" si="12"/>
        <v>AK38;VCCCORE;;21.862;15.323;;;;</v>
      </c>
    </row>
    <row r="785" spans="1:10">
      <c r="A785" t="s">
        <v>1559</v>
      </c>
      <c r="B785" t="str">
        <f>_xlfn.XLOOKUP(A785,'Pinlist(S1)'!$Q$4:$Q$1362,'Pinlist(S1)'!$R$4:$R$1362,"")</f>
        <v>VCCCORE</v>
      </c>
      <c r="C785" t="str" cm="1">
        <f t="array" ref="C785">_xlfn.TEXTJOIN(",",TRUE,_xlfn.UNIQUE(TRANSPOSE(_xlfn.MAP(_xlfn.XLOOKUP(A785,'Pinlist(S1)'!$C$4:$C$1362,'Pinlist(S1)'!$F$4:$K$1362,""),_xlfn.LAMBDA(_xlpm.x,IF(_xlpm.x&lt;&gt;"",TRIM(CLEAN(LEFT(_xlpm.x,FIND(".",_xlpm.x &amp; ".")-1))),""))))))</f>
        <v/>
      </c>
      <c r="D785">
        <v>22.777000000000001</v>
      </c>
      <c r="E785">
        <v>15.323</v>
      </c>
      <c r="F785" t="str">
        <f>_xlfn.LET(_xlpm.raw,_xlfn.XLOOKUP(A785,'Pinlist(S1)'!$C$4:$C$1362,'Pinlist(S1)'!$E$4:$E$1362,""),_xlpm.cleanRaw,SUBSTITUTE(SUBSTITUTE(_xlpm.raw,"_PIN","."),"PIN","."),_xlpm.mainPart,MID(_xlpm.cleanRaw,2,FIND(".",_xlpm.cleanRaw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5" t="str">
        <f>_xlfn.LET(_xlpm.raw,_xlfn.XLOOKUP(A785,'Pinlist(S3)'!$C$4:$C$1362,'Pinlist(S3)'!$E$4:$E$1362,""),_xlpm.cleanRaw,SUBSTITUTE(SUBSTITUTE(_xlpm.raw,"_PIN","."),"PIN","."),_xlpm.mainPart,MID(_xlpm.cleanRaw,2,FIND(".",_xlpm.cleanRaw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5" t="str">
        <f>_xlfn.LET(_xlpm.raw,_xlfn.XLOOKUP(A785,'Pinlist(S5)'!$C$4:$C$1362,'Pinlist(S5)'!$E$4:$E$1362,""),_xlpm.cleanRaw,SUBSTITUTE(SUBSTITUTE(_xlpm.raw,"_PIN","."),"PIN","."),_xlpm.mainPart,MID(_xlpm.cleanRaw,2,FIND(".",_xlpm.cleanRaw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5" t="str">
        <f>""</f>
        <v/>
      </c>
      <c r="J785" t="str">
        <f t="shared" si="12"/>
        <v>AK40;VCCCORE;;22.777;15.323;;;;</v>
      </c>
    </row>
    <row r="786" spans="1:10">
      <c r="A786" t="s">
        <v>1732</v>
      </c>
      <c r="B786" t="str">
        <f>_xlfn.XLOOKUP(A786,'Pinlist(S1)'!$Q$4:$Q$1362,'Pinlist(S1)'!$R$4:$R$1362,"")</f>
        <v>VCCGTU</v>
      </c>
      <c r="C786" t="str" cm="1">
        <f t="array" ref="C786">_xlfn.TEXTJOIN(",",TRUE,_xlfn.UNIQUE(TRANSPOSE(_xlfn.MAP(_xlfn.XLOOKUP(A786,'Pinlist(S1)'!$C$4:$C$1362,'Pinlist(S1)'!$F$4:$K$1362,""),_xlfn.LAMBDA(_xlpm.x,IF(_xlpm.x&lt;&gt;"",TRIM(CLEAN(LEFT(_xlpm.x,FIND(".",_xlpm.x &amp; ".")-1))),""))))))</f>
        <v/>
      </c>
      <c r="D786">
        <v>23.690999999999999</v>
      </c>
      <c r="E786">
        <v>15.323</v>
      </c>
      <c r="F786" t="str">
        <f>_xlfn.LET(_xlpm.raw,_xlfn.XLOOKUP(A786,'Pinlist(S1)'!$C$4:$C$1362,'Pinlist(S1)'!$E$4:$E$1362,""),_xlpm.cleanRaw,SUBSTITUTE(SUBSTITUTE(_xlpm.raw,"_PIN","."),"PIN","."),_xlpm.mainPart,MID(_xlpm.cleanRaw,2,FIND(".",_xlpm.cleanRaw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6" t="str">
        <f>_xlfn.LET(_xlpm.raw,_xlfn.XLOOKUP(A786,'Pinlist(S3)'!$C$4:$C$1362,'Pinlist(S3)'!$E$4:$E$1362,""),_xlpm.cleanRaw,SUBSTITUTE(SUBSTITUTE(_xlpm.raw,"_PIN","."),"PIN","."),_xlpm.mainPart,MID(_xlpm.cleanRaw,2,FIND(".",_xlpm.cleanRaw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6" t="str">
        <f>_xlfn.LET(_xlpm.raw,_xlfn.XLOOKUP(A786,'Pinlist(S5)'!$C$4:$C$1362,'Pinlist(S5)'!$E$4:$E$1362,""),_xlpm.cleanRaw,SUBSTITUTE(SUBSTITUTE(_xlpm.raw,"_PIN","."),"PIN","."),_xlpm.mainPart,MID(_xlpm.cleanRaw,2,FIND(".",_xlpm.cleanRaw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6" t="str">
        <f>""</f>
        <v/>
      </c>
      <c r="J786" t="str">
        <f t="shared" si="12"/>
        <v>AK42;VCCGTU;;23.691;15.323;;;;</v>
      </c>
    </row>
    <row r="787" spans="1:10">
      <c r="A787" t="s">
        <v>1733</v>
      </c>
      <c r="B787" t="str">
        <f>_xlfn.XLOOKUP(A787,'Pinlist(S1)'!$Q$4:$Q$1362,'Pinlist(S1)'!$R$4:$R$1362,"")</f>
        <v>VCCGTU</v>
      </c>
      <c r="C787" t="str" cm="1">
        <f t="array" ref="C787">_xlfn.TEXTJOIN(",",TRUE,_xlfn.UNIQUE(TRANSPOSE(_xlfn.MAP(_xlfn.XLOOKUP(A787,'Pinlist(S1)'!$C$4:$C$1362,'Pinlist(S1)'!$F$4:$K$1362,""),_xlfn.LAMBDA(_xlpm.x,IF(_xlpm.x&lt;&gt;"",TRIM(CLEAN(LEFT(_xlpm.x,FIND(".",_xlpm.x &amp; ".")-1))),""))))))</f>
        <v/>
      </c>
      <c r="D787">
        <v>24.606000000000002</v>
      </c>
      <c r="E787">
        <v>15.323</v>
      </c>
      <c r="F787" t="str">
        <f>_xlfn.LET(_xlpm.raw,_xlfn.XLOOKUP(A787,'Pinlist(S1)'!$C$4:$C$1362,'Pinlist(S1)'!$E$4:$E$1362,""),_xlpm.cleanRaw,SUBSTITUTE(SUBSTITUTE(_xlpm.raw,"_PIN","."),"PIN","."),_xlpm.mainPart,MID(_xlpm.cleanRaw,2,FIND(".",_xlpm.cleanRaw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7" t="str">
        <f>_xlfn.LET(_xlpm.raw,_xlfn.XLOOKUP(A787,'Pinlist(S3)'!$C$4:$C$1362,'Pinlist(S3)'!$E$4:$E$1362,""),_xlpm.cleanRaw,SUBSTITUTE(SUBSTITUTE(_xlpm.raw,"_PIN","."),"PIN","."),_xlpm.mainPart,MID(_xlpm.cleanRaw,2,FIND(".",_xlpm.cleanRaw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7" t="str">
        <f>_xlfn.LET(_xlpm.raw,_xlfn.XLOOKUP(A787,'Pinlist(S5)'!$C$4:$C$1362,'Pinlist(S5)'!$E$4:$E$1362,""),_xlpm.cleanRaw,SUBSTITUTE(SUBSTITUTE(_xlpm.raw,"_PIN","."),"PIN","."),_xlpm.mainPart,MID(_xlpm.cleanRaw,2,FIND(".",_xlpm.cleanRaw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7" t="str">
        <f>""</f>
        <v/>
      </c>
      <c r="J787" t="str">
        <f t="shared" si="12"/>
        <v>AK43;VCCGTU;;24.606;15.323;;;;</v>
      </c>
    </row>
    <row r="788" spans="1:10">
      <c r="A788" t="s">
        <v>1734</v>
      </c>
      <c r="B788" t="str">
        <f>_xlfn.XLOOKUP(A788,'Pinlist(S1)'!$Q$4:$Q$1362,'Pinlist(S1)'!$R$4:$R$1362,"")</f>
        <v>VCCGTU</v>
      </c>
      <c r="C788" t="str" cm="1">
        <f t="array" ref="C788">_xlfn.TEXTJOIN(",",TRUE,_xlfn.UNIQUE(TRANSPOSE(_xlfn.MAP(_xlfn.XLOOKUP(A788,'Pinlist(S1)'!$C$4:$C$1362,'Pinlist(S1)'!$F$4:$K$1362,""),_xlfn.LAMBDA(_xlpm.x,IF(_xlpm.x&lt;&gt;"",TRIM(CLEAN(LEFT(_xlpm.x,FIND(".",_xlpm.x &amp; ".")-1))),""))))))</f>
        <v/>
      </c>
      <c r="D788">
        <v>25.52</v>
      </c>
      <c r="E788">
        <v>15.323</v>
      </c>
      <c r="F788" t="str">
        <f>_xlfn.LET(_xlpm.raw,_xlfn.XLOOKUP(A788,'Pinlist(S1)'!$C$4:$C$1362,'Pinlist(S1)'!$E$4:$E$1362,""),_xlpm.cleanRaw,SUBSTITUTE(SUBSTITUTE(_xlpm.raw,"_PIN","."),"PIN","."),_xlpm.mainPart,MID(_xlpm.cleanRaw,2,FIND(".",_xlpm.cleanRaw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8" t="str">
        <f>_xlfn.LET(_xlpm.raw,_xlfn.XLOOKUP(A788,'Pinlist(S3)'!$C$4:$C$1362,'Pinlist(S3)'!$E$4:$E$1362,""),_xlpm.cleanRaw,SUBSTITUTE(SUBSTITUTE(_xlpm.raw,"_PIN","."),"PIN","."),_xlpm.mainPart,MID(_xlpm.cleanRaw,2,FIND(".",_xlpm.cleanRaw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8" t="str">
        <f>_xlfn.LET(_xlpm.raw,_xlfn.XLOOKUP(A788,'Pinlist(S5)'!$C$4:$C$1362,'Pinlist(S5)'!$E$4:$E$1362,""),_xlpm.cleanRaw,SUBSTITUTE(SUBSTITUTE(_xlpm.raw,"_PIN","."),"PIN","."),_xlpm.mainPart,MID(_xlpm.cleanRaw,2,FIND(".",_xlpm.cleanRaw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8" t="str">
        <f>""</f>
        <v/>
      </c>
      <c r="J788" t="str">
        <f t="shared" si="12"/>
        <v>AK45;VCCGTU;;25.52;15.323;;;;</v>
      </c>
    </row>
    <row r="789" spans="1:10">
      <c r="A789" t="s">
        <v>1735</v>
      </c>
      <c r="B789" t="str">
        <f>_xlfn.XLOOKUP(A789,'Pinlist(S1)'!$Q$4:$Q$1362,'Pinlist(S1)'!$R$4:$R$1362,"")</f>
        <v>VCCGTU</v>
      </c>
      <c r="C789" t="str" cm="1">
        <f t="array" ref="C789">_xlfn.TEXTJOIN(",",TRUE,_xlfn.UNIQUE(TRANSPOSE(_xlfn.MAP(_xlfn.XLOOKUP(A789,'Pinlist(S1)'!$C$4:$C$1362,'Pinlist(S1)'!$F$4:$K$1362,""),_xlfn.LAMBDA(_xlpm.x,IF(_xlpm.x&lt;&gt;"",TRIM(CLEAN(LEFT(_xlpm.x,FIND(".",_xlpm.x &amp; ".")-1))),""))))))</f>
        <v/>
      </c>
      <c r="D789">
        <v>26.434000000000001</v>
      </c>
      <c r="E789">
        <v>15.323</v>
      </c>
      <c r="F789" t="str">
        <f>_xlfn.LET(_xlpm.raw,_xlfn.XLOOKUP(A789,'Pinlist(S1)'!$C$4:$C$1362,'Pinlist(S1)'!$E$4:$E$1362,""),_xlpm.cleanRaw,SUBSTITUTE(SUBSTITUTE(_xlpm.raw,"_PIN","."),"PIN","."),_xlpm.mainPart,MID(_xlpm.cleanRaw,2,FIND(".",_xlpm.cleanRaw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9" t="str">
        <f>_xlfn.LET(_xlpm.raw,_xlfn.XLOOKUP(A789,'Pinlist(S3)'!$C$4:$C$1362,'Pinlist(S3)'!$E$4:$E$1362,""),_xlpm.cleanRaw,SUBSTITUTE(SUBSTITUTE(_xlpm.raw,"_PIN","."),"PIN","."),_xlpm.mainPart,MID(_xlpm.cleanRaw,2,FIND(".",_xlpm.cleanRaw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9" t="str">
        <f>_xlfn.LET(_xlpm.raw,_xlfn.XLOOKUP(A789,'Pinlist(S5)'!$C$4:$C$1362,'Pinlist(S5)'!$E$4:$E$1362,""),_xlpm.cleanRaw,SUBSTITUTE(SUBSTITUTE(_xlpm.raw,"_PIN","."),"PIN","."),_xlpm.mainPart,MID(_xlpm.cleanRaw,2,FIND(".",_xlpm.cleanRaw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9" t="str">
        <f>""</f>
        <v/>
      </c>
      <c r="J789" t="str">
        <f t="shared" si="12"/>
        <v>AK46;VCCGTU;;26.434;15.323;;;;</v>
      </c>
    </row>
    <row r="790" spans="1:10">
      <c r="A790" t="s">
        <v>1736</v>
      </c>
      <c r="B790" t="str">
        <f>_xlfn.XLOOKUP(A790,'Pinlist(S1)'!$Q$4:$Q$1362,'Pinlist(S1)'!$R$4:$R$1362,"")</f>
        <v>VCCGTU</v>
      </c>
      <c r="C790" t="str" cm="1">
        <f t="array" ref="C790">_xlfn.TEXTJOIN(",",TRUE,_xlfn.UNIQUE(TRANSPOSE(_xlfn.MAP(_xlfn.XLOOKUP(A790,'Pinlist(S1)'!$C$4:$C$1362,'Pinlist(S1)'!$F$4:$K$1362,""),_xlfn.LAMBDA(_xlpm.x,IF(_xlpm.x&lt;&gt;"",TRIM(CLEAN(LEFT(_xlpm.x,FIND(".",_xlpm.x &amp; ".")-1))),""))))))</f>
        <v/>
      </c>
      <c r="D790">
        <v>27.349</v>
      </c>
      <c r="E790">
        <v>15.323</v>
      </c>
      <c r="F790" t="str">
        <f>_xlfn.LET(_xlpm.raw,_xlfn.XLOOKUP(A790,'Pinlist(S1)'!$C$4:$C$1362,'Pinlist(S1)'!$E$4:$E$1362,""),_xlpm.cleanRaw,SUBSTITUTE(SUBSTITUTE(_xlpm.raw,"_PIN","."),"PIN","."),_xlpm.mainPart,MID(_xlpm.cleanRaw,2,FIND(".",_xlpm.cleanRaw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0" t="str">
        <f>_xlfn.LET(_xlpm.raw,_xlfn.XLOOKUP(A790,'Pinlist(S3)'!$C$4:$C$1362,'Pinlist(S3)'!$E$4:$E$1362,""),_xlpm.cleanRaw,SUBSTITUTE(SUBSTITUTE(_xlpm.raw,"_PIN","."),"PIN","."),_xlpm.mainPart,MID(_xlpm.cleanRaw,2,FIND(".",_xlpm.cleanRaw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0" t="str">
        <f>_xlfn.LET(_xlpm.raw,_xlfn.XLOOKUP(A790,'Pinlist(S5)'!$C$4:$C$1362,'Pinlist(S5)'!$E$4:$E$1362,""),_xlpm.cleanRaw,SUBSTITUTE(SUBSTITUTE(_xlpm.raw,"_PIN","."),"PIN","."),_xlpm.mainPart,MID(_xlpm.cleanRaw,2,FIND(".",_xlpm.cleanRaw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0" t="str">
        <f>""</f>
        <v/>
      </c>
      <c r="J790" t="str">
        <f t="shared" si="12"/>
        <v>AK48;VCCGTU;;27.349;15.323;;;;</v>
      </c>
    </row>
    <row r="791" spans="1:10">
      <c r="A791" t="s">
        <v>1737</v>
      </c>
      <c r="B791" t="str">
        <f>_xlfn.XLOOKUP(A791,'Pinlist(S1)'!$Q$4:$Q$1362,'Pinlist(S1)'!$R$4:$R$1362,"")</f>
        <v>VCCGTU</v>
      </c>
      <c r="C791" t="str" cm="1">
        <f t="array" ref="C791">_xlfn.TEXTJOIN(",",TRUE,_xlfn.UNIQUE(TRANSPOSE(_xlfn.MAP(_xlfn.XLOOKUP(A791,'Pinlist(S1)'!$C$4:$C$1362,'Pinlist(S1)'!$F$4:$K$1362,""),_xlfn.LAMBDA(_xlpm.x,IF(_xlpm.x&lt;&gt;"",TRIM(CLEAN(LEFT(_xlpm.x,FIND(".",_xlpm.x &amp; ".")-1))),""))))))</f>
        <v/>
      </c>
      <c r="D791">
        <v>28.262999999999899</v>
      </c>
      <c r="E791">
        <v>15.323</v>
      </c>
      <c r="F791" t="str">
        <f>_xlfn.LET(_xlpm.raw,_xlfn.XLOOKUP(A791,'Pinlist(S1)'!$C$4:$C$1362,'Pinlist(S1)'!$E$4:$E$1362,""),_xlpm.cleanRaw,SUBSTITUTE(SUBSTITUTE(_xlpm.raw,"_PIN","."),"PIN","."),_xlpm.mainPart,MID(_xlpm.cleanRaw,2,FIND(".",_xlpm.cleanRaw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1" t="str">
        <f>_xlfn.LET(_xlpm.raw,_xlfn.XLOOKUP(A791,'Pinlist(S3)'!$C$4:$C$1362,'Pinlist(S3)'!$E$4:$E$1362,""),_xlpm.cleanRaw,SUBSTITUTE(SUBSTITUTE(_xlpm.raw,"_PIN","."),"PIN","."),_xlpm.mainPart,MID(_xlpm.cleanRaw,2,FIND(".",_xlpm.cleanRaw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1" t="str">
        <f>_xlfn.LET(_xlpm.raw,_xlfn.XLOOKUP(A791,'Pinlist(S5)'!$C$4:$C$1362,'Pinlist(S5)'!$E$4:$E$1362,""),_xlpm.cleanRaw,SUBSTITUTE(SUBSTITUTE(_xlpm.raw,"_PIN","."),"PIN","."),_xlpm.mainPart,MID(_xlpm.cleanRaw,2,FIND(".",_xlpm.cleanRaw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1" t="str">
        <f>""</f>
        <v/>
      </c>
      <c r="J791" t="str">
        <f t="shared" si="12"/>
        <v>AK50;VCCGTU;;28.2629999999999;15.323;;;;</v>
      </c>
    </row>
    <row r="792" spans="1:10">
      <c r="A792" t="s">
        <v>1738</v>
      </c>
      <c r="B792" t="str">
        <f>_xlfn.XLOOKUP(A792,'Pinlist(S1)'!$Q$4:$Q$1362,'Pinlist(S1)'!$R$4:$R$1362,"")</f>
        <v>VCCGTU</v>
      </c>
      <c r="C792" t="str" cm="1">
        <f t="array" ref="C792">_xlfn.TEXTJOIN(",",TRUE,_xlfn.UNIQUE(TRANSPOSE(_xlfn.MAP(_xlfn.XLOOKUP(A792,'Pinlist(S1)'!$C$4:$C$1362,'Pinlist(S1)'!$F$4:$K$1362,""),_xlfn.LAMBDA(_xlpm.x,IF(_xlpm.x&lt;&gt;"",TRIM(CLEAN(LEFT(_xlpm.x,FIND(".",_xlpm.x &amp; ".")-1))),""))))))</f>
        <v/>
      </c>
      <c r="D792">
        <v>29.178000000000001</v>
      </c>
      <c r="E792">
        <v>15.323</v>
      </c>
      <c r="F792" t="str">
        <f>_xlfn.LET(_xlpm.raw,_xlfn.XLOOKUP(A792,'Pinlist(S1)'!$C$4:$C$1362,'Pinlist(S1)'!$E$4:$E$1362,""),_xlpm.cleanRaw,SUBSTITUTE(SUBSTITUTE(_xlpm.raw,"_PIN","."),"PIN","."),_xlpm.mainPart,MID(_xlpm.cleanRaw,2,FIND(".",_xlpm.cleanRaw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2" t="str">
        <f>_xlfn.LET(_xlpm.raw,_xlfn.XLOOKUP(A792,'Pinlist(S3)'!$C$4:$C$1362,'Pinlist(S3)'!$E$4:$E$1362,""),_xlpm.cleanRaw,SUBSTITUTE(SUBSTITUTE(_xlpm.raw,"_PIN","."),"PIN","."),_xlpm.mainPart,MID(_xlpm.cleanRaw,2,FIND(".",_xlpm.cleanRaw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2" t="str">
        <f>_xlfn.LET(_xlpm.raw,_xlfn.XLOOKUP(A792,'Pinlist(S5)'!$C$4:$C$1362,'Pinlist(S5)'!$E$4:$E$1362,""),_xlpm.cleanRaw,SUBSTITUTE(SUBSTITUTE(_xlpm.raw,"_PIN","."),"PIN","."),_xlpm.mainPart,MID(_xlpm.cleanRaw,2,FIND(".",_xlpm.cleanRaw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2" t="str">
        <f>""</f>
        <v/>
      </c>
      <c r="J792" t="str">
        <f t="shared" si="12"/>
        <v>AK52;VCCGTU;;29.178;15.323;;;;</v>
      </c>
    </row>
    <row r="793" spans="1:10">
      <c r="A793" t="s">
        <v>1739</v>
      </c>
      <c r="B793" t="str">
        <f>_xlfn.XLOOKUP(A793,'Pinlist(S1)'!$Q$4:$Q$1362,'Pinlist(S1)'!$R$4:$R$1362,"")</f>
        <v>VCCGTU</v>
      </c>
      <c r="C793" t="str" cm="1">
        <f t="array" ref="C793">_xlfn.TEXTJOIN(",",TRUE,_xlfn.UNIQUE(TRANSPOSE(_xlfn.MAP(_xlfn.XLOOKUP(A793,'Pinlist(S1)'!$C$4:$C$1362,'Pinlist(S1)'!$F$4:$K$1362,""),_xlfn.LAMBDA(_xlpm.x,IF(_xlpm.x&lt;&gt;"",TRIM(CLEAN(LEFT(_xlpm.x,FIND(".",_xlpm.x &amp; ".")-1))),""))))))</f>
        <v/>
      </c>
      <c r="D793">
        <v>30.091999999999999</v>
      </c>
      <c r="E793">
        <v>15.323</v>
      </c>
      <c r="F793" t="str">
        <f>_xlfn.LET(_xlpm.raw,_xlfn.XLOOKUP(A793,'Pinlist(S1)'!$C$4:$C$1362,'Pinlist(S1)'!$E$4:$E$1362,""),_xlpm.cleanRaw,SUBSTITUTE(SUBSTITUTE(_xlpm.raw,"_PIN","."),"PIN","."),_xlpm.mainPart,MID(_xlpm.cleanRaw,2,FIND(".",_xlpm.cleanRaw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3" t="str">
        <f>_xlfn.LET(_xlpm.raw,_xlfn.XLOOKUP(A793,'Pinlist(S3)'!$C$4:$C$1362,'Pinlist(S3)'!$E$4:$E$1362,""),_xlpm.cleanRaw,SUBSTITUTE(SUBSTITUTE(_xlpm.raw,"_PIN","."),"PIN","."),_xlpm.mainPart,MID(_xlpm.cleanRaw,2,FIND(".",_xlpm.cleanRaw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3" t="str">
        <f>_xlfn.LET(_xlpm.raw,_xlfn.XLOOKUP(A793,'Pinlist(S5)'!$C$4:$C$1362,'Pinlist(S5)'!$E$4:$E$1362,""),_xlpm.cleanRaw,SUBSTITUTE(SUBSTITUTE(_xlpm.raw,"_PIN","."),"PIN","."),_xlpm.mainPart,MID(_xlpm.cleanRaw,2,FIND(".",_xlpm.cleanRaw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3" t="str">
        <f>""</f>
        <v/>
      </c>
      <c r="J793" t="str">
        <f t="shared" si="12"/>
        <v>AK53;VCCGTU;;30.092;15.323;;;;</v>
      </c>
    </row>
    <row r="794" spans="1:10">
      <c r="A794" t="s">
        <v>1740</v>
      </c>
      <c r="B794" t="str">
        <f>_xlfn.XLOOKUP(A794,'Pinlist(S1)'!$Q$4:$Q$1362,'Pinlist(S1)'!$R$4:$R$1362,"")</f>
        <v>VCCGTU</v>
      </c>
      <c r="C794" t="str" cm="1">
        <f t="array" ref="C794">_xlfn.TEXTJOIN(",",TRUE,_xlfn.UNIQUE(TRANSPOSE(_xlfn.MAP(_xlfn.XLOOKUP(A794,'Pinlist(S1)'!$C$4:$C$1362,'Pinlist(S1)'!$F$4:$K$1362,""),_xlfn.LAMBDA(_xlpm.x,IF(_xlpm.x&lt;&gt;"",TRIM(CLEAN(LEFT(_xlpm.x,FIND(".",_xlpm.x &amp; ".")-1))),""))))))</f>
        <v/>
      </c>
      <c r="D794">
        <v>31.006</v>
      </c>
      <c r="E794">
        <v>15.323</v>
      </c>
      <c r="F794" t="str">
        <f>_xlfn.LET(_xlpm.raw,_xlfn.XLOOKUP(A794,'Pinlist(S1)'!$C$4:$C$1362,'Pinlist(S1)'!$E$4:$E$1362,""),_xlpm.cleanRaw,SUBSTITUTE(SUBSTITUTE(_xlpm.raw,"_PIN","."),"PIN","."),_xlpm.mainPart,MID(_xlpm.cleanRaw,2,FIND(".",_xlpm.cleanRaw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4" t="str">
        <f>_xlfn.LET(_xlpm.raw,_xlfn.XLOOKUP(A794,'Pinlist(S3)'!$C$4:$C$1362,'Pinlist(S3)'!$E$4:$E$1362,""),_xlpm.cleanRaw,SUBSTITUTE(SUBSTITUTE(_xlpm.raw,"_PIN","."),"PIN","."),_xlpm.mainPart,MID(_xlpm.cleanRaw,2,FIND(".",_xlpm.cleanRaw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4" t="str">
        <f>_xlfn.LET(_xlpm.raw,_xlfn.XLOOKUP(A794,'Pinlist(S5)'!$C$4:$C$1362,'Pinlist(S5)'!$E$4:$E$1362,""),_xlpm.cleanRaw,SUBSTITUTE(SUBSTITUTE(_xlpm.raw,"_PIN","."),"PIN","."),_xlpm.mainPart,MID(_xlpm.cleanRaw,2,FIND(".",_xlpm.cleanRaw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4" t="str">
        <f>""</f>
        <v/>
      </c>
      <c r="J794" t="str">
        <f t="shared" si="12"/>
        <v>AK55;VCCGTU;;31.006;15.323;;;;</v>
      </c>
    </row>
    <row r="795" spans="1:10">
      <c r="A795" t="s">
        <v>1741</v>
      </c>
      <c r="B795" t="str">
        <f>_xlfn.XLOOKUP(A795,'Pinlist(S1)'!$Q$4:$Q$1362,'Pinlist(S1)'!$R$4:$R$1362,"")</f>
        <v>VCCGTU</v>
      </c>
      <c r="C795" t="str" cm="1">
        <f t="array" ref="C795">_xlfn.TEXTJOIN(",",TRUE,_xlfn.UNIQUE(TRANSPOSE(_xlfn.MAP(_xlfn.XLOOKUP(A795,'Pinlist(S1)'!$C$4:$C$1362,'Pinlist(S1)'!$F$4:$K$1362,""),_xlfn.LAMBDA(_xlpm.x,IF(_xlpm.x&lt;&gt;"",TRIM(CLEAN(LEFT(_xlpm.x,FIND(".",_xlpm.x &amp; ".")-1))),""))))))</f>
        <v/>
      </c>
      <c r="D795">
        <v>31.920999999999999</v>
      </c>
      <c r="E795">
        <v>15.323</v>
      </c>
      <c r="F795" t="str">
        <f>_xlfn.LET(_xlpm.raw,_xlfn.XLOOKUP(A795,'Pinlist(S1)'!$C$4:$C$1362,'Pinlist(S1)'!$E$4:$E$1362,""),_xlpm.cleanRaw,SUBSTITUTE(SUBSTITUTE(_xlpm.raw,"_PIN","."),"PIN","."),_xlpm.mainPart,MID(_xlpm.cleanRaw,2,FIND(".",_xlpm.cleanRaw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5" t="str">
        <f>_xlfn.LET(_xlpm.raw,_xlfn.XLOOKUP(A795,'Pinlist(S3)'!$C$4:$C$1362,'Pinlist(S3)'!$E$4:$E$1362,""),_xlpm.cleanRaw,SUBSTITUTE(SUBSTITUTE(_xlpm.raw,"_PIN","."),"PIN","."),_xlpm.mainPart,MID(_xlpm.cleanRaw,2,FIND(".",_xlpm.cleanRaw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5" t="str">
        <f>_xlfn.LET(_xlpm.raw,_xlfn.XLOOKUP(A795,'Pinlist(S5)'!$C$4:$C$1362,'Pinlist(S5)'!$E$4:$E$1362,""),_xlpm.cleanRaw,SUBSTITUTE(SUBSTITUTE(_xlpm.raw,"_PIN","."),"PIN","."),_xlpm.mainPart,MID(_xlpm.cleanRaw,2,FIND(".",_xlpm.cleanRaw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5" t="str">
        <f>""</f>
        <v/>
      </c>
      <c r="J795" t="str">
        <f t="shared" si="12"/>
        <v>AK56;VCCGTU;;31.921;15.323;;;;</v>
      </c>
    </row>
    <row r="796" spans="1:10">
      <c r="A796" t="s">
        <v>1742</v>
      </c>
      <c r="B796" t="str">
        <f>_xlfn.XLOOKUP(A796,'Pinlist(S1)'!$Q$4:$Q$1362,'Pinlist(S1)'!$R$4:$R$1362,"")</f>
        <v>VCCGTU</v>
      </c>
      <c r="C796" t="str" cm="1">
        <f t="array" ref="C796">_xlfn.TEXTJOIN(",",TRUE,_xlfn.UNIQUE(TRANSPOSE(_xlfn.MAP(_xlfn.XLOOKUP(A796,'Pinlist(S1)'!$C$4:$C$1362,'Pinlist(S1)'!$F$4:$K$1362,""),_xlfn.LAMBDA(_xlpm.x,IF(_xlpm.x&lt;&gt;"",TRIM(CLEAN(LEFT(_xlpm.x,FIND(".",_xlpm.x &amp; ".")-1))),""))))))</f>
        <v/>
      </c>
      <c r="D796">
        <v>32.835000000000001</v>
      </c>
      <c r="E796">
        <v>15.323</v>
      </c>
      <c r="F796" t="str">
        <f>_xlfn.LET(_xlpm.raw,_xlfn.XLOOKUP(A796,'Pinlist(S1)'!$C$4:$C$1362,'Pinlist(S1)'!$E$4:$E$1362,""),_xlpm.cleanRaw,SUBSTITUTE(SUBSTITUTE(_xlpm.raw,"_PIN","."),"PIN","."),_xlpm.mainPart,MID(_xlpm.cleanRaw,2,FIND(".",_xlpm.cleanRaw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6" t="str">
        <f>_xlfn.LET(_xlpm.raw,_xlfn.XLOOKUP(A796,'Pinlist(S3)'!$C$4:$C$1362,'Pinlist(S3)'!$E$4:$E$1362,""),_xlpm.cleanRaw,SUBSTITUTE(SUBSTITUTE(_xlpm.raw,"_PIN","."),"PIN","."),_xlpm.mainPart,MID(_xlpm.cleanRaw,2,FIND(".",_xlpm.cleanRaw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6" t="str">
        <f>_xlfn.LET(_xlpm.raw,_xlfn.XLOOKUP(A796,'Pinlist(S5)'!$C$4:$C$1362,'Pinlist(S5)'!$E$4:$E$1362,""),_xlpm.cleanRaw,SUBSTITUTE(SUBSTITUTE(_xlpm.raw,"_PIN","."),"PIN","."),_xlpm.mainPart,MID(_xlpm.cleanRaw,2,FIND(".",_xlpm.cleanRaw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6" t="str">
        <f>""</f>
        <v/>
      </c>
      <c r="J796" t="str">
        <f t="shared" si="12"/>
        <v>AK58;VCCGTU;;32.835;15.323;;;;</v>
      </c>
    </row>
    <row r="797" spans="1:10">
      <c r="A797" t="s">
        <v>1743</v>
      </c>
      <c r="B797" t="str">
        <f>_xlfn.XLOOKUP(A797,'Pinlist(S1)'!$Q$4:$Q$1362,'Pinlist(S1)'!$R$4:$R$1362,"")</f>
        <v>VCCGTU</v>
      </c>
      <c r="C797" t="str" cm="1">
        <f t="array" ref="C797">_xlfn.TEXTJOIN(",",TRUE,_xlfn.UNIQUE(TRANSPOSE(_xlfn.MAP(_xlfn.XLOOKUP(A797,'Pinlist(S1)'!$C$4:$C$1362,'Pinlist(S1)'!$F$4:$K$1362,""),_xlfn.LAMBDA(_xlpm.x,IF(_xlpm.x&lt;&gt;"",TRIM(CLEAN(LEFT(_xlpm.x,FIND(".",_xlpm.x &amp; ".")-1))),""))))))</f>
        <v/>
      </c>
      <c r="D797">
        <v>33.75</v>
      </c>
      <c r="E797">
        <v>15.323</v>
      </c>
      <c r="F797" t="str">
        <f>_xlfn.LET(_xlpm.raw,_xlfn.XLOOKUP(A797,'Pinlist(S1)'!$C$4:$C$1362,'Pinlist(S1)'!$E$4:$E$1362,""),_xlpm.cleanRaw,SUBSTITUTE(SUBSTITUTE(_xlpm.raw,"_PIN","."),"PIN","."),_xlpm.mainPart,MID(_xlpm.cleanRaw,2,FIND(".",_xlpm.cleanRaw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7" t="str">
        <f>_xlfn.LET(_xlpm.raw,_xlfn.XLOOKUP(A797,'Pinlist(S3)'!$C$4:$C$1362,'Pinlist(S3)'!$E$4:$E$1362,""),_xlpm.cleanRaw,SUBSTITUTE(SUBSTITUTE(_xlpm.raw,"_PIN","."),"PIN","."),_xlpm.mainPart,MID(_xlpm.cleanRaw,2,FIND(".",_xlpm.cleanRaw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7" t="str">
        <f>_xlfn.LET(_xlpm.raw,_xlfn.XLOOKUP(A797,'Pinlist(S5)'!$C$4:$C$1362,'Pinlist(S5)'!$E$4:$E$1362,""),_xlpm.cleanRaw,SUBSTITUTE(SUBSTITUTE(_xlpm.raw,"_PIN","."),"PIN","."),_xlpm.mainPart,MID(_xlpm.cleanRaw,2,FIND(".",_xlpm.cleanRaw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7" t="str">
        <f>""</f>
        <v/>
      </c>
      <c r="J797" t="str">
        <f t="shared" si="12"/>
        <v>AK60;VCCGTU;;33.75;15.323;;;;</v>
      </c>
    </row>
    <row r="798" spans="1:10">
      <c r="A798" t="s">
        <v>1761</v>
      </c>
      <c r="B798" t="str">
        <f>_xlfn.XLOOKUP(A798,'Pinlist(S1)'!$Q$4:$Q$1362,'Pinlist(S1)'!$R$4:$R$1362,"")</f>
        <v>VCCGTU_SENSE</v>
      </c>
      <c r="C798" t="str" cm="1">
        <f t="array" ref="C798">_xlfn.TEXTJOIN(",",TRUE,_xlfn.UNIQUE(TRANSPOSE(_xlfn.MAP(_xlfn.XLOOKUP(A798,'Pinlist(S1)'!$C$4:$C$1362,'Pinlist(S1)'!$F$4:$K$1362,""),_xlfn.LAMBDA(_xlpm.x,IF(_xlpm.x&lt;&gt;"",TRIM(CLEAN(LEFT(_xlpm.x,FIND(".",_xlpm.x &amp; ".")-1))),""))))))</f>
        <v/>
      </c>
      <c r="D798">
        <v>34.774000000000001</v>
      </c>
      <c r="E798">
        <v>15.458</v>
      </c>
      <c r="F798" t="str">
        <f>_xlfn.LET(_xlpm.raw,_xlfn.XLOOKUP(A798,'Pinlist(S1)'!$C$4:$C$1362,'Pinlist(S1)'!$E$4:$E$1362,""),_xlpm.cleanRaw,SUBSTITUTE(SUBSTITUTE(_xlpm.raw,"_PIN","."),"PIN","."),_xlpm.mainPart,MID(_xlpm.cleanRaw,2,FIND(".",_xlpm.cleanRaw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8" t="str">
        <f>_xlfn.LET(_xlpm.raw,_xlfn.XLOOKUP(A798,'Pinlist(S3)'!$C$4:$C$1362,'Pinlist(S3)'!$E$4:$E$1362,""),_xlpm.cleanRaw,SUBSTITUTE(SUBSTITUTE(_xlpm.raw,"_PIN","."),"PIN","."),_xlpm.mainPart,MID(_xlpm.cleanRaw,2,FIND(".",_xlpm.cleanRaw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8" t="str">
        <f>_xlfn.LET(_xlpm.raw,_xlfn.XLOOKUP(A798,'Pinlist(S5)'!$C$4:$C$1362,'Pinlist(S5)'!$E$4:$E$1362,""),_xlpm.cleanRaw,SUBSTITUTE(SUBSTITUTE(_xlpm.raw,"_PIN","."),"PIN","."),_xlpm.mainPart,MID(_xlpm.cleanRaw,2,FIND(".",_xlpm.cleanRaw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8" t="str">
        <f>""</f>
        <v/>
      </c>
      <c r="J798" t="str">
        <f t="shared" si="12"/>
        <v>AK62;VCCGTU_SENSE;;34.774;15.458;;;;</v>
      </c>
    </row>
    <row r="799" spans="1:10">
      <c r="A799" t="s">
        <v>1938</v>
      </c>
      <c r="B799" t="str">
        <f>_xlfn.XLOOKUP(A799,'Pinlist(S1)'!$Q$4:$Q$1362,'Pinlist(S1)'!$R$4:$R$1362,"")</f>
        <v>VSS</v>
      </c>
      <c r="C799" t="str" cm="1">
        <f t="array" ref="C799">_xlfn.TEXTJOIN(",",TRUE,_xlfn.UNIQUE(TRANSPOSE(_xlfn.MAP(_xlfn.XLOOKUP(A799,'Pinlist(S1)'!$C$4:$C$1362,'Pinlist(S1)'!$F$4:$K$1362,""),_xlfn.LAMBDA(_xlpm.x,IF(_xlpm.x&lt;&gt;"",TRIM(CLEAN(LEFT(_xlpm.x,FIND(".",_xlpm.x &amp; ".")-1))),""))))))</f>
        <v/>
      </c>
      <c r="D799">
        <v>35.427</v>
      </c>
      <c r="E799">
        <v>15.29</v>
      </c>
      <c r="F799" t="str">
        <f>_xlfn.LET(_xlpm.raw,_xlfn.XLOOKUP(A799,'Pinlist(S1)'!$C$4:$C$1362,'Pinlist(S1)'!$E$4:$E$1362,""),_xlpm.cleanRaw,SUBSTITUTE(SUBSTITUTE(_xlpm.raw,"_PIN","."),"PIN","."),_xlpm.mainPart,MID(_xlpm.cleanRaw,2,FIND(".",_xlpm.cleanRaw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9" t="str">
        <f>_xlfn.LET(_xlpm.raw,_xlfn.XLOOKUP(A799,'Pinlist(S3)'!$C$4:$C$1362,'Pinlist(S3)'!$E$4:$E$1362,""),_xlpm.cleanRaw,SUBSTITUTE(SUBSTITUTE(_xlpm.raw,"_PIN","."),"PIN","."),_xlpm.mainPart,MID(_xlpm.cleanRaw,2,FIND(".",_xlpm.cleanRaw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9" t="str">
        <f>_xlfn.LET(_xlpm.raw,_xlfn.XLOOKUP(A799,'Pinlist(S5)'!$C$4:$C$1362,'Pinlist(S5)'!$E$4:$E$1362,""),_xlpm.cleanRaw,SUBSTITUTE(SUBSTITUTE(_xlpm.raw,"_PIN","."),"PIN","."),_xlpm.mainPart,MID(_xlpm.cleanRaw,2,FIND(".",_xlpm.cleanRaw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9" t="str">
        <f>""</f>
        <v/>
      </c>
      <c r="J799" t="str">
        <f t="shared" si="12"/>
        <v>AK63;VSS;;35.427;15.29;;;;</v>
      </c>
    </row>
    <row r="800" spans="1:10">
      <c r="A800" t="s">
        <v>522</v>
      </c>
      <c r="B800" t="str">
        <f>_xlfn.XLOOKUP(A800,'Pinlist(S1)'!$Q$4:$Q$1362,'Pinlist(S1)'!$R$4:$R$1362,"")</f>
        <v>DDRDQ_IL10_NIL02[3]</v>
      </c>
      <c r="C800" t="str" cm="1">
        <f t="array" ref="C800">_xlfn.TEXTJOIN(",",TRUE,_xlfn.UNIQUE(TRANSPOSE(_xlfn.MAP(_xlfn.XLOOKUP(A800,'Pinlist(S1)'!$C$4:$C$1362,'Pinlist(S1)'!$F$4:$K$1362,""),_xlfn.LAMBDA(_xlpm.x,IF(_xlpm.x&lt;&gt;"",TRIM(CLEAN(LEFT(_xlpm.x,FIND(".",_xlpm.x &amp; ".")-1))),""))))))</f>
        <v/>
      </c>
      <c r="D800">
        <v>36.076999999999998</v>
      </c>
      <c r="E800">
        <v>15.29</v>
      </c>
      <c r="F800" t="str">
        <f>_xlfn.LET(_xlpm.raw,_xlfn.XLOOKUP(A800,'Pinlist(S1)'!$C$4:$C$1362,'Pinlist(S1)'!$E$4:$E$1362,""),_xlpm.cleanRaw,SUBSTITUTE(SUBSTITUTE(_xlpm.raw,"_PIN","."),"PIN","."),_xlpm.mainPart,MID(_xlpm.cleanRaw,2,FIND(".",_xlpm.cleanRaw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606117</v>
      </c>
      <c r="G800" t="str">
        <f>_xlfn.LET(_xlpm.raw,_xlfn.XLOOKUP(A800,'Pinlist(S3)'!$C$4:$C$1362,'Pinlist(S3)'!$E$4:$E$1362,""),_xlpm.cleanRaw,SUBSTITUTE(SUBSTITUTE(_xlpm.raw,"_PIN","."),"PIN","."),_xlpm.mainPart,MID(_xlpm.cleanRaw,2,FIND(".",_xlpm.cleanRaw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501117</v>
      </c>
      <c r="H800" t="str">
        <f>_xlfn.LET(_xlpm.raw,_xlfn.XLOOKUP(A800,'Pinlist(S5)'!$C$4:$C$1362,'Pinlist(S5)'!$E$4:$E$1362,""),_xlpm.cleanRaw,SUBSTITUTE(SUBSTITUTE(_xlpm.raw,"_PIN","."),"PIN","."),_xlpm.mainPart,MID(_xlpm.cleanRaw,2,FIND(".",_xlpm.cleanRaw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707117</v>
      </c>
      <c r="I800" t="str">
        <f>""</f>
        <v/>
      </c>
      <c r="J800" t="str">
        <f t="shared" si="12"/>
        <v>AK64;DDRDQ_IL10_NIL02[3];;36.077;15.29;606117;501117;707117;</v>
      </c>
    </row>
    <row r="801" spans="1:10">
      <c r="A801" t="s">
        <v>520</v>
      </c>
      <c r="B801" t="str">
        <f>_xlfn.XLOOKUP(A801,'Pinlist(S1)'!$Q$4:$Q$1362,'Pinlist(S1)'!$R$4:$R$1362,"")</f>
        <v>DDRDQ_IL10_NIL02[2]</v>
      </c>
      <c r="C801" t="str" cm="1">
        <f t="array" ref="C801">_xlfn.TEXTJOIN(",",TRUE,_xlfn.UNIQUE(TRANSPOSE(_xlfn.MAP(_xlfn.XLOOKUP(A801,'Pinlist(S1)'!$C$4:$C$1362,'Pinlist(S1)'!$F$4:$K$1362,""),_xlfn.LAMBDA(_xlpm.x,IF(_xlpm.x&lt;&gt;"",TRIM(CLEAN(LEFT(_xlpm.x,FIND(".",_xlpm.x &amp; ".")-1))),""))))))</f>
        <v/>
      </c>
      <c r="D801">
        <v>36.726999999999997</v>
      </c>
      <c r="E801">
        <v>15.29</v>
      </c>
      <c r="F801" t="str">
        <f>_xlfn.LET(_xlpm.raw,_xlfn.XLOOKUP(A801,'Pinlist(S1)'!$C$4:$C$1362,'Pinlist(S1)'!$E$4:$E$1362,""),_xlpm.cleanRaw,SUBSTITUTE(SUBSTITUTE(_xlpm.raw,"_PIN","."),"PIN","."),_xlpm.mainPart,MID(_xlpm.cleanRaw,2,FIND(".",_xlpm.cleanRaw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606119</v>
      </c>
      <c r="G801" t="str">
        <f>_xlfn.LET(_xlpm.raw,_xlfn.XLOOKUP(A801,'Pinlist(S3)'!$C$4:$C$1362,'Pinlist(S3)'!$E$4:$E$1362,""),_xlpm.cleanRaw,SUBSTITUTE(SUBSTITUTE(_xlpm.raw,"_PIN","."),"PIN","."),_xlpm.mainPart,MID(_xlpm.cleanRaw,2,FIND(".",_xlpm.cleanRaw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501119</v>
      </c>
      <c r="H801" t="str">
        <f>_xlfn.LET(_xlpm.raw,_xlfn.XLOOKUP(A801,'Pinlist(S5)'!$C$4:$C$1362,'Pinlist(S5)'!$E$4:$E$1362,""),_xlpm.cleanRaw,SUBSTITUTE(SUBSTITUTE(_xlpm.raw,"_PIN","."),"PIN","."),_xlpm.mainPart,MID(_xlpm.cleanRaw,2,FIND(".",_xlpm.cleanRaw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707119</v>
      </c>
      <c r="I801" t="str">
        <f>""</f>
        <v/>
      </c>
      <c r="J801" t="str">
        <f t="shared" si="12"/>
        <v>AK65;DDRDQ_IL10_NIL02[2];;36.727;15.29;606119;501119;707119;</v>
      </c>
    </row>
    <row r="802" spans="1:10">
      <c r="A802" t="s">
        <v>530</v>
      </c>
      <c r="B802" t="str">
        <f>_xlfn.XLOOKUP(A802,'Pinlist(S1)'!$Q$4:$Q$1362,'Pinlist(S1)'!$R$4:$R$1362,"")</f>
        <v>DDRDQ_IL10_NIL02[7]</v>
      </c>
      <c r="C802" t="str" cm="1">
        <f t="array" ref="C802">_xlfn.TEXTJOIN(",",TRUE,_xlfn.UNIQUE(TRANSPOSE(_xlfn.MAP(_xlfn.XLOOKUP(A802,'Pinlist(S1)'!$C$4:$C$1362,'Pinlist(S1)'!$F$4:$K$1362,""),_xlfn.LAMBDA(_xlpm.x,IF(_xlpm.x&lt;&gt;"",TRIM(CLEAN(LEFT(_xlpm.x,FIND(".",_xlpm.x &amp; ".")-1))),""))))))</f>
        <v/>
      </c>
      <c r="D802">
        <v>37.376999999999903</v>
      </c>
      <c r="E802">
        <v>15.29</v>
      </c>
      <c r="F802" t="str">
        <f>_xlfn.LET(_xlpm.raw,_xlfn.XLOOKUP(A802,'Pinlist(S1)'!$C$4:$C$1362,'Pinlist(S1)'!$E$4:$E$1362,""),_xlpm.cleanRaw,SUBSTITUTE(SUBSTITUTE(_xlpm.raw,"_PIN","."),"PIN","."),_xlpm.mainPart,MID(_xlpm.cleanRaw,2,FIND(".",_xlpm.cleanRaw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606121</v>
      </c>
      <c r="G802" t="str">
        <f>_xlfn.LET(_xlpm.raw,_xlfn.XLOOKUP(A802,'Pinlist(S3)'!$C$4:$C$1362,'Pinlist(S3)'!$E$4:$E$1362,""),_xlpm.cleanRaw,SUBSTITUTE(SUBSTITUTE(_xlpm.raw,"_PIN","."),"PIN","."),_xlpm.mainPart,MID(_xlpm.cleanRaw,2,FIND(".",_xlpm.cleanRaw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501121</v>
      </c>
      <c r="H802" t="str">
        <f>_xlfn.LET(_xlpm.raw,_xlfn.XLOOKUP(A802,'Pinlist(S5)'!$C$4:$C$1362,'Pinlist(S5)'!$E$4:$E$1362,""),_xlpm.cleanRaw,SUBSTITUTE(SUBSTITUTE(_xlpm.raw,"_PIN","."),"PIN","."),_xlpm.mainPart,MID(_xlpm.cleanRaw,2,FIND(".",_xlpm.cleanRaw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707121</v>
      </c>
      <c r="I802" t="str">
        <f>""</f>
        <v/>
      </c>
      <c r="J802" t="str">
        <f t="shared" si="12"/>
        <v>AK66;DDRDQ_IL10_NIL02[7];;37.3769999999999;15.29;606121;501121;707121;</v>
      </c>
    </row>
    <row r="803" spans="1:10">
      <c r="A803" t="s">
        <v>528</v>
      </c>
      <c r="B803" t="str">
        <f>_xlfn.XLOOKUP(A803,'Pinlist(S1)'!$Q$4:$Q$1362,'Pinlist(S1)'!$R$4:$R$1362,"")</f>
        <v>DDRDQ_IL10_NIL02[6]</v>
      </c>
      <c r="C803" t="str" cm="1">
        <f t="array" ref="C803">_xlfn.TEXTJOIN(",",TRUE,_xlfn.UNIQUE(TRANSPOSE(_xlfn.MAP(_xlfn.XLOOKUP(A803,'Pinlist(S1)'!$C$4:$C$1362,'Pinlist(S1)'!$F$4:$K$1362,""),_xlfn.LAMBDA(_xlpm.x,IF(_xlpm.x&lt;&gt;"",TRIM(CLEAN(LEFT(_xlpm.x,FIND(".",_xlpm.x &amp; ".")-1))),""))))))</f>
        <v/>
      </c>
      <c r="D803">
        <v>38.027999999999999</v>
      </c>
      <c r="E803">
        <v>15.29</v>
      </c>
      <c r="F803" t="str">
        <f>_xlfn.LET(_xlpm.raw,_xlfn.XLOOKUP(A803,'Pinlist(S1)'!$C$4:$C$1362,'Pinlist(S1)'!$E$4:$E$1362,""),_xlpm.cleanRaw,SUBSTITUTE(SUBSTITUTE(_xlpm.raw,"_PIN","."),"PIN","."),_xlpm.mainPart,MID(_xlpm.cleanRaw,2,FIND(".",_xlpm.cleanRaw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605081</v>
      </c>
      <c r="G803" t="str">
        <f>_xlfn.LET(_xlpm.raw,_xlfn.XLOOKUP(A803,'Pinlist(S3)'!$C$4:$C$1362,'Pinlist(S3)'!$E$4:$E$1362,""),_xlpm.cleanRaw,SUBSTITUTE(SUBSTITUTE(_xlpm.raw,"_PIN","."),"PIN","."),_xlpm.mainPart,MID(_xlpm.cleanRaw,2,FIND(".",_xlpm.cleanRaw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502073</v>
      </c>
      <c r="H803" t="str">
        <f>_xlfn.LET(_xlpm.raw,_xlfn.XLOOKUP(A803,'Pinlist(S5)'!$C$4:$C$1362,'Pinlist(S5)'!$E$4:$E$1362,""),_xlpm.cleanRaw,SUBSTITUTE(SUBSTITUTE(_xlpm.raw,"_PIN","."),"PIN","."),_xlpm.mainPart,MID(_xlpm.cleanRaw,2,FIND(".",_xlpm.cleanRaw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708073</v>
      </c>
      <c r="I803" t="str">
        <f>""</f>
        <v/>
      </c>
      <c r="J803" t="str">
        <f t="shared" si="12"/>
        <v>AK67;DDRDQ_IL10_NIL02[6];;38.028;15.29;605081;502073;708073;</v>
      </c>
    </row>
    <row r="804" spans="1:10">
      <c r="A804" t="s">
        <v>1939</v>
      </c>
      <c r="B804" t="str">
        <f>_xlfn.XLOOKUP(A804,'Pinlist(S1)'!$Q$4:$Q$1362,'Pinlist(S1)'!$R$4:$R$1362,"")</f>
        <v>VSS</v>
      </c>
      <c r="C804" t="str" cm="1">
        <f t="array" ref="C804">_xlfn.TEXTJOIN(",",TRUE,_xlfn.UNIQUE(TRANSPOSE(_xlfn.MAP(_xlfn.XLOOKUP(A804,'Pinlist(S1)'!$C$4:$C$1362,'Pinlist(S1)'!$F$4:$K$1362,""),_xlfn.LAMBDA(_xlpm.x,IF(_xlpm.x&lt;&gt;"",TRIM(CLEAN(LEFT(_xlpm.x,FIND(".",_xlpm.x &amp; ".")-1))),""))))))</f>
        <v/>
      </c>
      <c r="D804">
        <v>38.677999999999997</v>
      </c>
      <c r="E804">
        <v>15.143000000000001</v>
      </c>
      <c r="F804" t="str">
        <f>_xlfn.LET(_xlpm.raw,_xlfn.XLOOKUP(A804,'Pinlist(S1)'!$C$4:$C$1362,'Pinlist(S1)'!$E$4:$E$1362,""),_xlpm.cleanRaw,SUBSTITUTE(SUBSTITUTE(_xlpm.raw,"_PIN","."),"PIN","."),_xlpm.mainPart,MID(_xlpm.cleanRaw,2,FIND(".",_xlpm.cleanRaw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4" t="str">
        <f>_xlfn.LET(_xlpm.raw,_xlfn.XLOOKUP(A804,'Pinlist(S3)'!$C$4:$C$1362,'Pinlist(S3)'!$E$4:$E$1362,""),_xlpm.cleanRaw,SUBSTITUTE(SUBSTITUTE(_xlpm.raw,"_PIN","."),"PIN","."),_xlpm.mainPart,MID(_xlpm.cleanRaw,2,FIND(".",_xlpm.cleanRaw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4" t="str">
        <f>_xlfn.LET(_xlpm.raw,_xlfn.XLOOKUP(A804,'Pinlist(S5)'!$C$4:$C$1362,'Pinlist(S5)'!$E$4:$E$1362,""),_xlpm.cleanRaw,SUBSTITUTE(SUBSTITUTE(_xlpm.raw,"_PIN","."),"PIN","."),_xlpm.mainPart,MID(_xlpm.cleanRaw,2,FIND(".",_xlpm.cleanRaw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4" t="str">
        <f>""</f>
        <v/>
      </c>
      <c r="J804" t="str">
        <f t="shared" si="12"/>
        <v>AK68;VSS;;38.678;15.143;;;;</v>
      </c>
    </row>
    <row r="805" spans="1:10">
      <c r="A805" t="s">
        <v>1940</v>
      </c>
      <c r="B805" t="str">
        <f>_xlfn.XLOOKUP(A805,'Pinlist(S1)'!$Q$4:$Q$1362,'Pinlist(S1)'!$R$4:$R$1362,"")</f>
        <v>VSS</v>
      </c>
      <c r="C805" t="str" cm="1">
        <f t="array" ref="C805">_xlfn.TEXTJOIN(",",TRUE,_xlfn.UNIQUE(TRANSPOSE(_xlfn.MAP(_xlfn.XLOOKUP(A805,'Pinlist(S1)'!$C$4:$C$1362,'Pinlist(S1)'!$F$4:$K$1362,""),_xlfn.LAMBDA(_xlpm.x,IF(_xlpm.x&lt;&gt;"",TRIM(CLEAN(LEFT(_xlpm.x,FIND(".",_xlpm.x &amp; ".")-1))),""))))))</f>
        <v/>
      </c>
      <c r="D805">
        <v>39.652999999999999</v>
      </c>
      <c r="E805">
        <v>15.143000000000001</v>
      </c>
      <c r="F805" t="str">
        <f>_xlfn.LET(_xlpm.raw,_xlfn.XLOOKUP(A805,'Pinlist(S1)'!$C$4:$C$1362,'Pinlist(S1)'!$E$4:$E$1362,""),_xlpm.cleanRaw,SUBSTITUTE(SUBSTITUTE(_xlpm.raw,"_PIN","."),"PIN","."),_xlpm.mainPart,MID(_xlpm.cleanRaw,2,FIND(".",_xlpm.cleanRaw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5" t="str">
        <f>_xlfn.LET(_xlpm.raw,_xlfn.XLOOKUP(A805,'Pinlist(S3)'!$C$4:$C$1362,'Pinlist(S3)'!$E$4:$E$1362,""),_xlpm.cleanRaw,SUBSTITUTE(SUBSTITUTE(_xlpm.raw,"_PIN","."),"PIN","."),_xlpm.mainPart,MID(_xlpm.cleanRaw,2,FIND(".",_xlpm.cleanRaw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5" t="str">
        <f>_xlfn.LET(_xlpm.raw,_xlfn.XLOOKUP(A805,'Pinlist(S5)'!$C$4:$C$1362,'Pinlist(S5)'!$E$4:$E$1362,""),_xlpm.cleanRaw,SUBSTITUTE(SUBSTITUTE(_xlpm.raw,"_PIN","."),"PIN","."),_xlpm.mainPart,MID(_xlpm.cleanRaw,2,FIND(".",_xlpm.cleanRaw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5" t="str">
        <f>""</f>
        <v/>
      </c>
      <c r="J805" t="str">
        <f t="shared" si="12"/>
        <v>AK69;VSS;;39.653;15.143;;;;</v>
      </c>
    </row>
    <row r="806" spans="1:10">
      <c r="A806" t="s">
        <v>1744</v>
      </c>
      <c r="B806" t="str">
        <f>_xlfn.XLOOKUP(A806,'Pinlist(S1)'!$Q$4:$Q$1362,'Pinlist(S1)'!$R$4:$R$1362,"")</f>
        <v>VCCGTU</v>
      </c>
      <c r="C806" t="str" cm="1">
        <f t="array" ref="C806">_xlfn.TEXTJOIN(",",TRUE,_xlfn.UNIQUE(TRANSPOSE(_xlfn.MAP(_xlfn.XLOOKUP(A806,'Pinlist(S1)'!$C$4:$C$1362,'Pinlist(S1)'!$F$4:$K$1362,""),_xlfn.LAMBDA(_xlpm.x,IF(_xlpm.x&lt;&gt;"",TRIM(CLEAN(LEFT(_xlpm.x,FIND(".",_xlpm.x &amp; ".")-1))),""))))))</f>
        <v/>
      </c>
      <c r="D806">
        <v>40.302999999999997</v>
      </c>
      <c r="E806">
        <v>15.143000000000001</v>
      </c>
      <c r="F806" t="str">
        <f>_xlfn.LET(_xlpm.raw,_xlfn.XLOOKUP(A806,'Pinlist(S1)'!$C$4:$C$1362,'Pinlist(S1)'!$E$4:$E$1362,""),_xlpm.cleanRaw,SUBSTITUTE(SUBSTITUTE(_xlpm.raw,"_PIN","."),"PIN","."),_xlpm.mainPart,MID(_xlpm.cleanRaw,2,FIND(".",_xlpm.cleanRaw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6" t="str">
        <f>_xlfn.LET(_xlpm.raw,_xlfn.XLOOKUP(A806,'Pinlist(S3)'!$C$4:$C$1362,'Pinlist(S3)'!$E$4:$E$1362,""),_xlpm.cleanRaw,SUBSTITUTE(SUBSTITUTE(_xlpm.raw,"_PIN","."),"PIN","."),_xlpm.mainPart,MID(_xlpm.cleanRaw,2,FIND(".",_xlpm.cleanRaw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6" t="str">
        <f>_xlfn.LET(_xlpm.raw,_xlfn.XLOOKUP(A806,'Pinlist(S5)'!$C$4:$C$1362,'Pinlist(S5)'!$E$4:$E$1362,""),_xlpm.cleanRaw,SUBSTITUTE(SUBSTITUTE(_xlpm.raw,"_PIN","."),"PIN","."),_xlpm.mainPart,MID(_xlpm.cleanRaw,2,FIND(".",_xlpm.cleanRaw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6" t="str">
        <f>""</f>
        <v/>
      </c>
      <c r="J806" t="str">
        <f t="shared" si="12"/>
        <v>AK70;VCCGTU;;40.303;15.143;;;;</v>
      </c>
    </row>
    <row r="807" spans="1:10">
      <c r="A807" t="s">
        <v>1598</v>
      </c>
      <c r="B807" t="str">
        <f>_xlfn.XLOOKUP(A807,'Pinlist(S1)'!$Q$4:$Q$1362,'Pinlist(S1)'!$R$4:$R$1362,"")</f>
        <v>VCCDSW_1P0</v>
      </c>
      <c r="C807" t="str" cm="1">
        <f t="array" ref="C807">_xlfn.TEXTJOIN(",",TRUE,_xlfn.UNIQUE(TRANSPOSE(_xlfn.MAP(_xlfn.XLOOKUP(A807,'Pinlist(S1)'!$C$4:$C$1362,'Pinlist(S1)'!$F$4:$K$1362,""),_xlfn.LAMBDA(_xlpm.x,IF(_xlpm.x&lt;&gt;"",TRIM(CLEAN(LEFT(_xlpm.x,FIND(".",_xlpm.x &amp; ".")-1))),""))))))</f>
        <v>CA1390</v>
      </c>
      <c r="D807">
        <v>0.32500000000000201</v>
      </c>
      <c r="E807">
        <v>16.106999999999999</v>
      </c>
      <c r="F807" t="str">
        <f>_xlfn.LET(_xlpm.raw,_xlfn.XLOOKUP(A807,'Pinlist(S1)'!$C$4:$C$1362,'Pinlist(S1)'!$E$4:$E$1362,""),_xlpm.cleanRaw,SUBSTITUTE(SUBSTITUTE(_xlpm.raw,"_PIN","."),"PIN","."),_xlpm.mainPart,MID(_xlpm.cleanRaw,2,FIND(".",_xlpm.cleanRaw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508069</v>
      </c>
      <c r="G807" t="str">
        <f>_xlfn.LET(_xlpm.raw,_xlfn.XLOOKUP(A807,'Pinlist(S3)'!$C$4:$C$1362,'Pinlist(S3)'!$E$4:$E$1362,""),_xlpm.cleanRaw,SUBSTITUTE(SUBSTITUTE(_xlpm.raw,"_PIN","."),"PIN","."),_xlpm.mainPart,MID(_xlpm.cleanRaw,2,FIND(".",_xlpm.cleanRaw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806096</v>
      </c>
      <c r="H807" t="str">
        <f>_xlfn.LET(_xlpm.raw,_xlfn.XLOOKUP(A807,'Pinlist(S5)'!$C$4:$C$1362,'Pinlist(S5)'!$E$4:$E$1362,""),_xlpm.cleanRaw,SUBSTITUTE(SUBSTITUTE(_xlpm.raw,"_PIN","."),"PIN","."),_xlpm.mainPart,MID(_xlpm.cleanRaw,2,FIND(".",_xlpm.cleanRaw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601008</v>
      </c>
      <c r="I807" t="str">
        <f>""</f>
        <v/>
      </c>
      <c r="J807" t="str">
        <f t="shared" si="12"/>
        <v>AL1;VCCDSW_1P0;CA1390;0.325000000000002;16.107;508069;806096;601008;</v>
      </c>
    </row>
    <row r="808" spans="1:10">
      <c r="A808" t="s">
        <v>1942</v>
      </c>
      <c r="B808" t="str">
        <f>_xlfn.XLOOKUP(A808,'Pinlist(S1)'!$Q$4:$Q$1362,'Pinlist(S1)'!$R$4:$R$1362,"")</f>
        <v>VSS</v>
      </c>
      <c r="C808" t="str" cm="1">
        <f t="array" ref="C808">_xlfn.TEXTJOIN(",",TRUE,_xlfn.UNIQUE(TRANSPOSE(_xlfn.MAP(_xlfn.XLOOKUP(A808,'Pinlist(S1)'!$C$4:$C$1362,'Pinlist(S1)'!$F$4:$K$1362,""),_xlfn.LAMBDA(_xlpm.x,IF(_xlpm.x&lt;&gt;"",TRIM(CLEAN(LEFT(_xlpm.x,FIND(".",_xlpm.x &amp; ".")-1))),""))))))</f>
        <v/>
      </c>
      <c r="D808">
        <v>0.97500000000000098</v>
      </c>
      <c r="E808">
        <v>16.106999999999999</v>
      </c>
      <c r="F808" t="str">
        <f>_xlfn.LET(_xlpm.raw,_xlfn.XLOOKUP(A808,'Pinlist(S1)'!$C$4:$C$1362,'Pinlist(S1)'!$E$4:$E$1362,""),_xlpm.cleanRaw,SUBSTITUTE(SUBSTITUTE(_xlpm.raw,"_PIN","."),"PIN","."),_xlpm.mainPart,MID(_xlpm.cleanRaw,2,FIND(".",_xlpm.cleanRaw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8" t="str">
        <f>_xlfn.LET(_xlpm.raw,_xlfn.XLOOKUP(A808,'Pinlist(S3)'!$C$4:$C$1362,'Pinlist(S3)'!$E$4:$E$1362,""),_xlpm.cleanRaw,SUBSTITUTE(SUBSTITUTE(_xlpm.raw,"_PIN","."),"PIN","."),_xlpm.mainPart,MID(_xlpm.cleanRaw,2,FIND(".",_xlpm.cleanRaw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8" t="str">
        <f>_xlfn.LET(_xlpm.raw,_xlfn.XLOOKUP(A808,'Pinlist(S5)'!$C$4:$C$1362,'Pinlist(S5)'!$E$4:$E$1362,""),_xlpm.cleanRaw,SUBSTITUTE(SUBSTITUTE(_xlpm.raw,"_PIN","."),"PIN","."),_xlpm.mainPart,MID(_xlpm.cleanRaw,2,FIND(".",_xlpm.cleanRaw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8" t="str">
        <f>""</f>
        <v/>
      </c>
      <c r="J808" t="str">
        <f t="shared" si="12"/>
        <v>AL2;VSS;;0.975000000000001;16.107;;;;</v>
      </c>
    </row>
    <row r="809" spans="1:10">
      <c r="A809" t="s">
        <v>1947</v>
      </c>
      <c r="B809" t="str">
        <f>_xlfn.XLOOKUP(A809,'Pinlist(S1)'!$Q$4:$Q$1362,'Pinlist(S1)'!$R$4:$R$1362,"")</f>
        <v>VSS</v>
      </c>
      <c r="C809" t="str" cm="1">
        <f t="array" ref="C809">_xlfn.TEXTJOIN(",",TRUE,_xlfn.UNIQUE(TRANSPOSE(_xlfn.MAP(_xlfn.XLOOKUP(A809,'Pinlist(S1)'!$C$4:$C$1362,'Pinlist(S1)'!$F$4:$K$1362,""),_xlfn.LAMBDA(_xlpm.x,IF(_xlpm.x&lt;&gt;"",TRIM(CLEAN(LEFT(_xlpm.x,FIND(".",_xlpm.x &amp; ".")-1))),""))))))</f>
        <v/>
      </c>
      <c r="D809">
        <v>1.9510000000000001</v>
      </c>
      <c r="E809">
        <v>16.106999999999999</v>
      </c>
      <c r="F809" t="str">
        <f>_xlfn.LET(_xlpm.raw,_xlfn.XLOOKUP(A809,'Pinlist(S1)'!$C$4:$C$1362,'Pinlist(S1)'!$E$4:$E$1362,""),_xlpm.cleanRaw,SUBSTITUTE(SUBSTITUTE(_xlpm.raw,"_PIN","."),"PIN","."),_xlpm.mainPart,MID(_xlpm.cleanRaw,2,FIND(".",_xlpm.cleanRaw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9" t="str">
        <f>_xlfn.LET(_xlpm.raw,_xlfn.XLOOKUP(A809,'Pinlist(S3)'!$C$4:$C$1362,'Pinlist(S3)'!$E$4:$E$1362,""),_xlpm.cleanRaw,SUBSTITUTE(SUBSTITUTE(_xlpm.raw,"_PIN","."),"PIN","."),_xlpm.mainPart,MID(_xlpm.cleanRaw,2,FIND(".",_xlpm.cleanRaw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9" t="str">
        <f>_xlfn.LET(_xlpm.raw,_xlfn.XLOOKUP(A809,'Pinlist(S5)'!$C$4:$C$1362,'Pinlist(S5)'!$E$4:$E$1362,""),_xlpm.cleanRaw,SUBSTITUTE(SUBSTITUTE(_xlpm.raw,"_PIN","."),"PIN","."),_xlpm.mainPart,MID(_xlpm.cleanRaw,2,FIND(".",_xlpm.cleanRaw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9" t="str">
        <f>""</f>
        <v/>
      </c>
      <c r="J809" t="str">
        <f t="shared" si="12"/>
        <v>AL4;VSS;;1.951;16.107;;;;</v>
      </c>
    </row>
    <row r="810" spans="1:10">
      <c r="A810" t="s">
        <v>1859</v>
      </c>
      <c r="B810" t="str">
        <f>_xlfn.XLOOKUP(A810,'Pinlist(S1)'!$Q$4:$Q$1362,'Pinlist(S1)'!$R$4:$R$1362,"")</f>
        <v>VCCSFR_OC</v>
      </c>
      <c r="C810" t="str" cm="1">
        <f t="array" ref="C810">_xlfn.TEXTJOIN(",",TRUE,_xlfn.UNIQUE(TRANSPOSE(_xlfn.MAP(_xlfn.XLOOKUP(A810,'Pinlist(S1)'!$C$4:$C$1362,'Pinlist(S1)'!$F$4:$K$1362,""),_xlfn.LAMBDA(_xlpm.x,IF(_xlpm.x&lt;&gt;"",TRIM(CLEAN(LEFT(_xlpm.x,FIND(".",_xlpm.x &amp; ".")-1))),""))))))</f>
        <v/>
      </c>
      <c r="D810">
        <v>13.176</v>
      </c>
      <c r="E810">
        <v>15.788</v>
      </c>
      <c r="F810" t="str">
        <f>_xlfn.LET(_xlpm.raw,_xlfn.XLOOKUP(A810,'Pinlist(S1)'!$C$4:$C$1362,'Pinlist(S1)'!$E$4:$E$1362,""),_xlpm.cleanRaw,SUBSTITUTE(SUBSTITUTE(_xlpm.raw,"_PIN","."),"PIN","."),_xlpm.mainPart,MID(_xlpm.cleanRaw,2,FIND(".",_xlpm.cleanRaw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0" t="str">
        <f>_xlfn.LET(_xlpm.raw,_xlfn.XLOOKUP(A810,'Pinlist(S3)'!$C$4:$C$1362,'Pinlist(S3)'!$E$4:$E$1362,""),_xlpm.cleanRaw,SUBSTITUTE(SUBSTITUTE(_xlpm.raw,"_PIN","."),"PIN","."),_xlpm.mainPart,MID(_xlpm.cleanRaw,2,FIND(".",_xlpm.cleanRaw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0" t="str">
        <f>_xlfn.LET(_xlpm.raw,_xlfn.XLOOKUP(A810,'Pinlist(S5)'!$C$4:$C$1362,'Pinlist(S5)'!$E$4:$E$1362,""),_xlpm.cleanRaw,SUBSTITUTE(SUBSTITUTE(_xlpm.raw,"_PIN","."),"PIN","."),_xlpm.mainPart,MID(_xlpm.cleanRaw,2,FIND(".",_xlpm.cleanRaw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0" t="str">
        <f>""</f>
        <v/>
      </c>
      <c r="J810" t="str">
        <f t="shared" si="12"/>
        <v>AL23;VCCSFR_OC;;13.176;15.788;;;;</v>
      </c>
    </row>
    <row r="811" spans="1:10">
      <c r="A811" t="s">
        <v>1438</v>
      </c>
      <c r="B811" t="str">
        <f>_xlfn.XLOOKUP(A811,'Pinlist(S1)'!$Q$4:$Q$1362,'Pinlist(S1)'!$R$4:$R$1362,"")</f>
        <v>THERMDA2</v>
      </c>
      <c r="C811" t="str" cm="1">
        <f t="array" ref="C811">_xlfn.TEXTJOIN(",",TRUE,_xlfn.UNIQUE(TRANSPOSE(_xlfn.MAP(_xlfn.XLOOKUP(A811,'Pinlist(S1)'!$C$4:$C$1362,'Pinlist(S1)'!$F$4:$K$1362,""),_xlfn.LAMBDA(_xlpm.x,IF(_xlpm.x&lt;&gt;"",TRIM(CLEAN(LEFT(_xlpm.x,FIND(".",_xlpm.x &amp; ".")-1))),""))))))</f>
        <v/>
      </c>
      <c r="D811">
        <v>14.09</v>
      </c>
      <c r="E811">
        <v>15.788</v>
      </c>
      <c r="F811" t="str">
        <f>_xlfn.LET(_xlpm.raw,_xlfn.XLOOKUP(A811,'Pinlist(S1)'!$C$4:$C$1362,'Pinlist(S1)'!$E$4:$E$1362,""),_xlpm.cleanRaw,SUBSTITUTE(SUBSTITUTE(_xlpm.raw,"_PIN","."),"PIN","."),_xlpm.mainPart,MID(_xlpm.cleanRaw,2,FIND(".",_xlpm.cleanRaw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1" t="str">
        <f>_xlfn.LET(_xlpm.raw,_xlfn.XLOOKUP(A811,'Pinlist(S3)'!$C$4:$C$1362,'Pinlist(S3)'!$E$4:$E$1362,""),_xlpm.cleanRaw,SUBSTITUTE(SUBSTITUTE(_xlpm.raw,"_PIN","."),"PIN","."),_xlpm.mainPart,MID(_xlpm.cleanRaw,2,FIND(".",_xlpm.cleanRaw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1" t="str">
        <f>_xlfn.LET(_xlpm.raw,_xlfn.XLOOKUP(A811,'Pinlist(S5)'!$C$4:$C$1362,'Pinlist(S5)'!$E$4:$E$1362,""),_xlpm.cleanRaw,SUBSTITUTE(SUBSTITUTE(_xlpm.raw,"_PIN","."),"PIN","."),_xlpm.mainPart,MID(_xlpm.cleanRaw,2,FIND(".",_xlpm.cleanRaw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1" t="str">
        <f>""</f>
        <v/>
      </c>
      <c r="J811" t="str">
        <f t="shared" si="12"/>
        <v>AL25;THERMDA2;;14.09;15.788;;;;</v>
      </c>
    </row>
    <row r="812" spans="1:10">
      <c r="A812" t="s">
        <v>1442</v>
      </c>
      <c r="B812" t="str">
        <f>_xlfn.XLOOKUP(A812,'Pinlist(S1)'!$Q$4:$Q$1362,'Pinlist(S1)'!$R$4:$R$1362,"")</f>
        <v>THERMDC2</v>
      </c>
      <c r="C812" t="str" cm="1">
        <f t="array" ref="C812">_xlfn.TEXTJOIN(",",TRUE,_xlfn.UNIQUE(TRANSPOSE(_xlfn.MAP(_xlfn.XLOOKUP(A812,'Pinlist(S1)'!$C$4:$C$1362,'Pinlist(S1)'!$F$4:$K$1362,""),_xlfn.LAMBDA(_xlpm.x,IF(_xlpm.x&lt;&gt;"",TRIM(CLEAN(LEFT(_xlpm.x,FIND(".",_xlpm.x &amp; ".")-1))),""))))))</f>
        <v/>
      </c>
      <c r="D812">
        <v>15.004</v>
      </c>
      <c r="E812">
        <v>15.788</v>
      </c>
      <c r="F812" t="str">
        <f>_xlfn.LET(_xlpm.raw,_xlfn.XLOOKUP(A812,'Pinlist(S1)'!$C$4:$C$1362,'Pinlist(S1)'!$E$4:$E$1362,""),_xlpm.cleanRaw,SUBSTITUTE(SUBSTITUTE(_xlpm.raw,"_PIN","."),"PIN","."),_xlpm.mainPart,MID(_xlpm.cleanRaw,2,FIND(".",_xlpm.cleanRaw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2" t="str">
        <f>_xlfn.LET(_xlpm.raw,_xlfn.XLOOKUP(A812,'Pinlist(S3)'!$C$4:$C$1362,'Pinlist(S3)'!$E$4:$E$1362,""),_xlpm.cleanRaw,SUBSTITUTE(SUBSTITUTE(_xlpm.raw,"_PIN","."),"PIN","."),_xlpm.mainPart,MID(_xlpm.cleanRaw,2,FIND(".",_xlpm.cleanRaw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2" t="str">
        <f>_xlfn.LET(_xlpm.raw,_xlfn.XLOOKUP(A812,'Pinlist(S5)'!$C$4:$C$1362,'Pinlist(S5)'!$E$4:$E$1362,""),_xlpm.cleanRaw,SUBSTITUTE(SUBSTITUTE(_xlpm.raw,"_PIN","."),"PIN","."),_xlpm.mainPart,MID(_xlpm.cleanRaw,2,FIND(".",_xlpm.cleanRaw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2" t="str">
        <f>""</f>
        <v/>
      </c>
      <c r="J812" t="str">
        <f t="shared" si="12"/>
        <v>AL27;THERMDC2;;15.004;15.788;;;;</v>
      </c>
    </row>
    <row r="813" spans="1:10">
      <c r="A813" t="s">
        <v>1943</v>
      </c>
      <c r="B813" t="str">
        <f>_xlfn.XLOOKUP(A813,'Pinlist(S1)'!$Q$4:$Q$1362,'Pinlist(S1)'!$R$4:$R$1362,"")</f>
        <v>VSS</v>
      </c>
      <c r="C813" t="str" cm="1">
        <f t="array" ref="C813">_xlfn.TEXTJOIN(",",TRUE,_xlfn.UNIQUE(TRANSPOSE(_xlfn.MAP(_xlfn.XLOOKUP(A813,'Pinlist(S1)'!$C$4:$C$1362,'Pinlist(S1)'!$F$4:$K$1362,""),_xlfn.LAMBDA(_xlpm.x,IF(_xlpm.x&lt;&gt;"",TRIM(CLEAN(LEFT(_xlpm.x,FIND(".",_xlpm.x &amp; ".")-1))),""))))))</f>
        <v/>
      </c>
      <c r="D813">
        <v>15.919</v>
      </c>
      <c r="E813">
        <v>15.788</v>
      </c>
      <c r="F813" t="str">
        <f>_xlfn.LET(_xlpm.raw,_xlfn.XLOOKUP(A813,'Pinlist(S1)'!$C$4:$C$1362,'Pinlist(S1)'!$E$4:$E$1362,""),_xlpm.cleanRaw,SUBSTITUTE(SUBSTITUTE(_xlpm.raw,"_PIN","."),"PIN","."),_xlpm.mainPart,MID(_xlpm.cleanRaw,2,FIND(".",_xlpm.cleanRaw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3" t="str">
        <f>_xlfn.LET(_xlpm.raw,_xlfn.XLOOKUP(A813,'Pinlist(S3)'!$C$4:$C$1362,'Pinlist(S3)'!$E$4:$E$1362,""),_xlpm.cleanRaw,SUBSTITUTE(SUBSTITUTE(_xlpm.raw,"_PIN","."),"PIN","."),_xlpm.mainPart,MID(_xlpm.cleanRaw,2,FIND(".",_xlpm.cleanRaw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3" t="str">
        <f>_xlfn.LET(_xlpm.raw,_xlfn.XLOOKUP(A813,'Pinlist(S5)'!$C$4:$C$1362,'Pinlist(S5)'!$E$4:$E$1362,""),_xlpm.cleanRaw,SUBSTITUTE(SUBSTITUTE(_xlpm.raw,"_PIN","."),"PIN","."),_xlpm.mainPart,MID(_xlpm.cleanRaw,2,FIND(".",_xlpm.cleanRaw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3" t="str">
        <f>""</f>
        <v/>
      </c>
      <c r="J813" t="str">
        <f t="shared" si="12"/>
        <v>AL28;VSS;;15.919;15.788;;;;</v>
      </c>
    </row>
    <row r="814" spans="1:10">
      <c r="A814" t="s">
        <v>1768</v>
      </c>
      <c r="B814" t="str">
        <f>_xlfn.XLOOKUP(A814,'Pinlist(S1)'!$Q$4:$Q$1362,'Pinlist(S1)'!$R$4:$R$1362,"")</f>
        <v>VCCIO</v>
      </c>
      <c r="C814" t="str" cm="1">
        <f t="array" ref="C814">_xlfn.TEXTJOIN(",",TRUE,_xlfn.UNIQUE(TRANSPOSE(_xlfn.MAP(_xlfn.XLOOKUP(A814,'Pinlist(S1)'!$C$4:$C$1362,'Pinlist(S1)'!$F$4:$K$1362,""),_xlfn.LAMBDA(_xlpm.x,IF(_xlpm.x&lt;&gt;"",TRIM(CLEAN(LEFT(_xlpm.x,FIND(".",_xlpm.x &amp; ".")-1))),""))))))</f>
        <v/>
      </c>
      <c r="D814">
        <v>16.832999999999998</v>
      </c>
      <c r="E814">
        <v>15.788</v>
      </c>
      <c r="F814" t="str">
        <f>_xlfn.LET(_xlpm.raw,_xlfn.XLOOKUP(A814,'Pinlist(S1)'!$C$4:$C$1362,'Pinlist(S1)'!$E$4:$E$1362,""),_xlpm.cleanRaw,SUBSTITUTE(SUBSTITUTE(_xlpm.raw,"_PIN","."),"PIN","."),_xlpm.mainPart,MID(_xlpm.cleanRaw,2,FIND(".",_xlpm.cleanRaw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4" t="str">
        <f>_xlfn.LET(_xlpm.raw,_xlfn.XLOOKUP(A814,'Pinlist(S3)'!$C$4:$C$1362,'Pinlist(S3)'!$E$4:$E$1362,""),_xlpm.cleanRaw,SUBSTITUTE(SUBSTITUTE(_xlpm.raw,"_PIN","."),"PIN","."),_xlpm.mainPart,MID(_xlpm.cleanRaw,2,FIND(".",_xlpm.cleanRaw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4" t="str">
        <f>_xlfn.LET(_xlpm.raw,_xlfn.XLOOKUP(A814,'Pinlist(S5)'!$C$4:$C$1362,'Pinlist(S5)'!$E$4:$E$1362,""),_xlpm.cleanRaw,SUBSTITUTE(SUBSTITUTE(_xlpm.raw,"_PIN","."),"PIN","."),_xlpm.mainPart,MID(_xlpm.cleanRaw,2,FIND(".",_xlpm.cleanRaw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4" t="str">
        <f>""</f>
        <v/>
      </c>
      <c r="J814" t="str">
        <f t="shared" si="12"/>
        <v>AL30;VCCIO;;16.833;15.788;;;;</v>
      </c>
    </row>
    <row r="815" spans="1:10">
      <c r="A815" t="s">
        <v>1944</v>
      </c>
      <c r="B815" t="str">
        <f>_xlfn.XLOOKUP(A815,'Pinlist(S1)'!$Q$4:$Q$1362,'Pinlist(S1)'!$R$4:$R$1362,"")</f>
        <v>VSS</v>
      </c>
      <c r="C815" t="str" cm="1">
        <f t="array" ref="C815">_xlfn.TEXTJOIN(",",TRUE,_xlfn.UNIQUE(TRANSPOSE(_xlfn.MAP(_xlfn.XLOOKUP(A815,'Pinlist(S1)'!$C$4:$C$1362,'Pinlist(S1)'!$F$4:$K$1362,""),_xlfn.LAMBDA(_xlpm.x,IF(_xlpm.x&lt;&gt;"",TRIM(CLEAN(LEFT(_xlpm.x,FIND(".",_xlpm.x &amp; ".")-1))),""))))))</f>
        <v/>
      </c>
      <c r="D815">
        <v>17.748000000000001</v>
      </c>
      <c r="E815">
        <v>15.788</v>
      </c>
      <c r="F815" t="str">
        <f>_xlfn.LET(_xlpm.raw,_xlfn.XLOOKUP(A815,'Pinlist(S1)'!$C$4:$C$1362,'Pinlist(S1)'!$E$4:$E$1362,""),_xlpm.cleanRaw,SUBSTITUTE(SUBSTITUTE(_xlpm.raw,"_PIN","."),"PIN","."),_xlpm.mainPart,MID(_xlpm.cleanRaw,2,FIND(".",_xlpm.cleanRaw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5" t="str">
        <f>_xlfn.LET(_xlpm.raw,_xlfn.XLOOKUP(A815,'Pinlist(S3)'!$C$4:$C$1362,'Pinlist(S3)'!$E$4:$E$1362,""),_xlpm.cleanRaw,SUBSTITUTE(SUBSTITUTE(_xlpm.raw,"_PIN","."),"PIN","."),_xlpm.mainPart,MID(_xlpm.cleanRaw,2,FIND(".",_xlpm.cleanRaw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5" t="str">
        <f>_xlfn.LET(_xlpm.raw,_xlfn.XLOOKUP(A815,'Pinlist(S5)'!$C$4:$C$1362,'Pinlist(S5)'!$E$4:$E$1362,""),_xlpm.cleanRaw,SUBSTITUTE(SUBSTITUTE(_xlpm.raw,"_PIN","."),"PIN","."),_xlpm.mainPart,MID(_xlpm.cleanRaw,2,FIND(".",_xlpm.cleanRaw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5" t="str">
        <f>""</f>
        <v/>
      </c>
      <c r="J815" t="str">
        <f t="shared" si="12"/>
        <v>AL32;VSS;;17.748;15.788;;;;</v>
      </c>
    </row>
    <row r="816" spans="1:10">
      <c r="A816" t="s">
        <v>1560</v>
      </c>
      <c r="B816" t="str">
        <f>_xlfn.XLOOKUP(A816,'Pinlist(S1)'!$Q$4:$Q$1362,'Pinlist(S1)'!$R$4:$R$1362,"")</f>
        <v>VCCCORE</v>
      </c>
      <c r="C816" t="str" cm="1">
        <f t="array" ref="C816">_xlfn.TEXTJOIN(",",TRUE,_xlfn.UNIQUE(TRANSPOSE(_xlfn.MAP(_xlfn.XLOOKUP(A816,'Pinlist(S1)'!$C$4:$C$1362,'Pinlist(S1)'!$F$4:$K$1362,""),_xlfn.LAMBDA(_xlpm.x,IF(_xlpm.x&lt;&gt;"",TRIM(CLEAN(LEFT(_xlpm.x,FIND(".",_xlpm.x &amp; ".")-1))),""))))))</f>
        <v/>
      </c>
      <c r="D816">
        <v>18.661999999999999</v>
      </c>
      <c r="E816">
        <v>15.788</v>
      </c>
      <c r="F816" t="str">
        <f>_xlfn.LET(_xlpm.raw,_xlfn.XLOOKUP(A816,'Pinlist(S1)'!$C$4:$C$1362,'Pinlist(S1)'!$E$4:$E$1362,""),_xlpm.cleanRaw,SUBSTITUTE(SUBSTITUTE(_xlpm.raw,"_PIN","."),"PIN","."),_xlpm.mainPart,MID(_xlpm.cleanRaw,2,FIND(".",_xlpm.cleanRaw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6" t="str">
        <f>_xlfn.LET(_xlpm.raw,_xlfn.XLOOKUP(A816,'Pinlist(S3)'!$C$4:$C$1362,'Pinlist(S3)'!$E$4:$E$1362,""),_xlpm.cleanRaw,SUBSTITUTE(SUBSTITUTE(_xlpm.raw,"_PIN","."),"PIN","."),_xlpm.mainPart,MID(_xlpm.cleanRaw,2,FIND(".",_xlpm.cleanRaw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6" t="str">
        <f>_xlfn.LET(_xlpm.raw,_xlfn.XLOOKUP(A816,'Pinlist(S5)'!$C$4:$C$1362,'Pinlist(S5)'!$E$4:$E$1362,""),_xlpm.cleanRaw,SUBSTITUTE(SUBSTITUTE(_xlpm.raw,"_PIN","."),"PIN","."),_xlpm.mainPart,MID(_xlpm.cleanRaw,2,FIND(".",_xlpm.cleanRaw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6" t="str">
        <f>""</f>
        <v/>
      </c>
      <c r="J816" t="str">
        <f t="shared" si="12"/>
        <v>AL33;VCCCORE;;18.662;15.788;;;;</v>
      </c>
    </row>
    <row r="817" spans="1:10">
      <c r="A817" t="s">
        <v>1945</v>
      </c>
      <c r="B817" t="str">
        <f>_xlfn.XLOOKUP(A817,'Pinlist(S1)'!$Q$4:$Q$1362,'Pinlist(S1)'!$R$4:$R$1362,"")</f>
        <v>VSS</v>
      </c>
      <c r="C817" t="str" cm="1">
        <f t="array" ref="C817">_xlfn.TEXTJOIN(",",TRUE,_xlfn.UNIQUE(TRANSPOSE(_xlfn.MAP(_xlfn.XLOOKUP(A817,'Pinlist(S1)'!$C$4:$C$1362,'Pinlist(S1)'!$F$4:$K$1362,""),_xlfn.LAMBDA(_xlpm.x,IF(_xlpm.x&lt;&gt;"",TRIM(CLEAN(LEFT(_xlpm.x,FIND(".",_xlpm.x &amp; ".")-1))),""))))))</f>
        <v/>
      </c>
      <c r="D817">
        <v>19.576000000000001</v>
      </c>
      <c r="E817">
        <v>15.788</v>
      </c>
      <c r="F817" t="str">
        <f>_xlfn.LET(_xlpm.raw,_xlfn.XLOOKUP(A817,'Pinlist(S1)'!$C$4:$C$1362,'Pinlist(S1)'!$E$4:$E$1362,""),_xlpm.cleanRaw,SUBSTITUTE(SUBSTITUTE(_xlpm.raw,"_PIN","."),"PIN","."),_xlpm.mainPart,MID(_xlpm.cleanRaw,2,FIND(".",_xlpm.cleanRaw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7" t="str">
        <f>_xlfn.LET(_xlpm.raw,_xlfn.XLOOKUP(A817,'Pinlist(S3)'!$C$4:$C$1362,'Pinlist(S3)'!$E$4:$E$1362,""),_xlpm.cleanRaw,SUBSTITUTE(SUBSTITUTE(_xlpm.raw,"_PIN","."),"PIN","."),_xlpm.mainPart,MID(_xlpm.cleanRaw,2,FIND(".",_xlpm.cleanRaw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7" t="str">
        <f>_xlfn.LET(_xlpm.raw,_xlfn.XLOOKUP(A817,'Pinlist(S5)'!$C$4:$C$1362,'Pinlist(S5)'!$E$4:$E$1362,""),_xlpm.cleanRaw,SUBSTITUTE(SUBSTITUTE(_xlpm.raw,"_PIN","."),"PIN","."),_xlpm.mainPart,MID(_xlpm.cleanRaw,2,FIND(".",_xlpm.cleanRaw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7" t="str">
        <f>""</f>
        <v/>
      </c>
      <c r="J817" t="str">
        <f t="shared" si="12"/>
        <v>AL35;VSS;;19.576;15.788;;;;</v>
      </c>
    </row>
    <row r="818" spans="1:10">
      <c r="A818" t="s">
        <v>1561</v>
      </c>
      <c r="B818" t="str">
        <f>_xlfn.XLOOKUP(A818,'Pinlist(S1)'!$Q$4:$Q$1362,'Pinlist(S1)'!$R$4:$R$1362,"")</f>
        <v>VCCCORE</v>
      </c>
      <c r="C818" t="str" cm="1">
        <f t="array" ref="C818">_xlfn.TEXTJOIN(",",TRUE,_xlfn.UNIQUE(TRANSPOSE(_xlfn.MAP(_xlfn.XLOOKUP(A818,'Pinlist(S1)'!$C$4:$C$1362,'Pinlist(S1)'!$F$4:$K$1362,""),_xlfn.LAMBDA(_xlpm.x,IF(_xlpm.x&lt;&gt;"",TRIM(CLEAN(LEFT(_xlpm.x,FIND(".",_xlpm.x &amp; ".")-1))),""))))))</f>
        <v/>
      </c>
      <c r="D818">
        <v>20.491</v>
      </c>
      <c r="E818">
        <v>15.788</v>
      </c>
      <c r="F818" t="str">
        <f>_xlfn.LET(_xlpm.raw,_xlfn.XLOOKUP(A818,'Pinlist(S1)'!$C$4:$C$1362,'Pinlist(S1)'!$E$4:$E$1362,""),_xlpm.cleanRaw,SUBSTITUTE(SUBSTITUTE(_xlpm.raw,"_PIN","."),"PIN","."),_xlpm.mainPart,MID(_xlpm.cleanRaw,2,FIND(".",_xlpm.cleanRaw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8" t="str">
        <f>_xlfn.LET(_xlpm.raw,_xlfn.XLOOKUP(A818,'Pinlist(S3)'!$C$4:$C$1362,'Pinlist(S3)'!$E$4:$E$1362,""),_xlpm.cleanRaw,SUBSTITUTE(SUBSTITUTE(_xlpm.raw,"_PIN","."),"PIN","."),_xlpm.mainPart,MID(_xlpm.cleanRaw,2,FIND(".",_xlpm.cleanRaw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8" t="str">
        <f>_xlfn.LET(_xlpm.raw,_xlfn.XLOOKUP(A818,'Pinlist(S5)'!$C$4:$C$1362,'Pinlist(S5)'!$E$4:$E$1362,""),_xlpm.cleanRaw,SUBSTITUTE(SUBSTITUTE(_xlpm.raw,"_PIN","."),"PIN","."),_xlpm.mainPart,MID(_xlpm.cleanRaw,2,FIND(".",_xlpm.cleanRaw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8" t="str">
        <f>""</f>
        <v/>
      </c>
      <c r="J818" t="str">
        <f t="shared" si="12"/>
        <v>AL37;VCCCORE;;20.491;15.788;;;;</v>
      </c>
    </row>
    <row r="819" spans="1:10">
      <c r="A819" t="s">
        <v>1946</v>
      </c>
      <c r="B819" t="str">
        <f>_xlfn.XLOOKUP(A819,'Pinlist(S1)'!$Q$4:$Q$1362,'Pinlist(S1)'!$R$4:$R$1362,"")</f>
        <v>VSS</v>
      </c>
      <c r="C819" t="str" cm="1">
        <f t="array" ref="C819">_xlfn.TEXTJOIN(",",TRUE,_xlfn.UNIQUE(TRANSPOSE(_xlfn.MAP(_xlfn.XLOOKUP(A819,'Pinlist(S1)'!$C$4:$C$1362,'Pinlist(S1)'!$F$4:$K$1362,""),_xlfn.LAMBDA(_xlpm.x,IF(_xlpm.x&lt;&gt;"",TRIM(CLEAN(LEFT(_xlpm.x,FIND(".",_xlpm.x &amp; ".")-1))),""))))))</f>
        <v/>
      </c>
      <c r="D819">
        <v>21.405000000000001</v>
      </c>
      <c r="E819">
        <v>15.788</v>
      </c>
      <c r="F819" t="str">
        <f>_xlfn.LET(_xlpm.raw,_xlfn.XLOOKUP(A819,'Pinlist(S1)'!$C$4:$C$1362,'Pinlist(S1)'!$E$4:$E$1362,""),_xlpm.cleanRaw,SUBSTITUTE(SUBSTITUTE(_xlpm.raw,"_PIN","."),"PIN","."),_xlpm.mainPart,MID(_xlpm.cleanRaw,2,FIND(".",_xlpm.cleanRaw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9" t="str">
        <f>_xlfn.LET(_xlpm.raw,_xlfn.XLOOKUP(A819,'Pinlist(S3)'!$C$4:$C$1362,'Pinlist(S3)'!$E$4:$E$1362,""),_xlpm.cleanRaw,SUBSTITUTE(SUBSTITUTE(_xlpm.raw,"_PIN","."),"PIN","."),_xlpm.mainPart,MID(_xlpm.cleanRaw,2,FIND(".",_xlpm.cleanRaw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9" t="str">
        <f>_xlfn.LET(_xlpm.raw,_xlfn.XLOOKUP(A819,'Pinlist(S5)'!$C$4:$C$1362,'Pinlist(S5)'!$E$4:$E$1362,""),_xlpm.cleanRaw,SUBSTITUTE(SUBSTITUTE(_xlpm.raw,"_PIN","."),"PIN","."),_xlpm.mainPart,MID(_xlpm.cleanRaw,2,FIND(".",_xlpm.cleanRaw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9" t="str">
        <f>""</f>
        <v/>
      </c>
      <c r="J819" t="str">
        <f t="shared" si="12"/>
        <v>AL38;VSS;;21.405;15.788;;;;</v>
      </c>
    </row>
    <row r="820" spans="1:10">
      <c r="A820" t="s">
        <v>1562</v>
      </c>
      <c r="B820" t="str">
        <f>_xlfn.XLOOKUP(A820,'Pinlist(S1)'!$Q$4:$Q$1362,'Pinlist(S1)'!$R$4:$R$1362,"")</f>
        <v>VCCCORE</v>
      </c>
      <c r="C820" t="str" cm="1">
        <f t="array" ref="C820">_xlfn.TEXTJOIN(",",TRUE,_xlfn.UNIQUE(TRANSPOSE(_xlfn.MAP(_xlfn.XLOOKUP(A820,'Pinlist(S1)'!$C$4:$C$1362,'Pinlist(S1)'!$F$4:$K$1362,""),_xlfn.LAMBDA(_xlpm.x,IF(_xlpm.x&lt;&gt;"",TRIM(CLEAN(LEFT(_xlpm.x,FIND(".",_xlpm.x &amp; ".")-1))),""))))))</f>
        <v/>
      </c>
      <c r="D820">
        <v>22.32</v>
      </c>
      <c r="E820">
        <v>15.788</v>
      </c>
      <c r="F820" t="str">
        <f>_xlfn.LET(_xlpm.raw,_xlfn.XLOOKUP(A820,'Pinlist(S1)'!$C$4:$C$1362,'Pinlist(S1)'!$E$4:$E$1362,""),_xlpm.cleanRaw,SUBSTITUTE(SUBSTITUTE(_xlpm.raw,"_PIN","."),"PIN","."),_xlpm.mainPart,MID(_xlpm.cleanRaw,2,FIND(".",_xlpm.cleanRaw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0" t="str">
        <f>_xlfn.LET(_xlpm.raw,_xlfn.XLOOKUP(A820,'Pinlist(S3)'!$C$4:$C$1362,'Pinlist(S3)'!$E$4:$E$1362,""),_xlpm.cleanRaw,SUBSTITUTE(SUBSTITUTE(_xlpm.raw,"_PIN","."),"PIN","."),_xlpm.mainPart,MID(_xlpm.cleanRaw,2,FIND(".",_xlpm.cleanRaw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0" t="str">
        <f>_xlfn.LET(_xlpm.raw,_xlfn.XLOOKUP(A820,'Pinlist(S5)'!$C$4:$C$1362,'Pinlist(S5)'!$E$4:$E$1362,""),_xlpm.cleanRaw,SUBSTITUTE(SUBSTITUTE(_xlpm.raw,"_PIN","."),"PIN","."),_xlpm.mainPart,MID(_xlpm.cleanRaw,2,FIND(".",_xlpm.cleanRaw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0" t="str">
        <f>""</f>
        <v/>
      </c>
      <c r="J820" t="str">
        <f t="shared" si="12"/>
        <v>AL40;VCCCORE;;22.32;15.788;;;;</v>
      </c>
    </row>
    <row r="821" spans="1:10">
      <c r="A821" t="s">
        <v>1769</v>
      </c>
      <c r="B821" t="str">
        <f>_xlfn.XLOOKUP(A821,'Pinlist(S1)'!$Q$4:$Q$1362,'Pinlist(S1)'!$R$4:$R$1362,"")</f>
        <v>VCCIO</v>
      </c>
      <c r="C821" t="str" cm="1">
        <f t="array" ref="C821">_xlfn.TEXTJOIN(",",TRUE,_xlfn.UNIQUE(TRANSPOSE(_xlfn.MAP(_xlfn.XLOOKUP(A821,'Pinlist(S1)'!$C$4:$C$1362,'Pinlist(S1)'!$F$4:$K$1362,""),_xlfn.LAMBDA(_xlpm.x,IF(_xlpm.x&lt;&gt;"",TRIM(CLEAN(LEFT(_xlpm.x,FIND(".",_xlpm.x &amp; ".")-1))),""))))))</f>
        <v/>
      </c>
      <c r="D821">
        <v>23.234000000000002</v>
      </c>
      <c r="E821">
        <v>15.788</v>
      </c>
      <c r="F821" t="str">
        <f>_xlfn.LET(_xlpm.raw,_xlfn.XLOOKUP(A821,'Pinlist(S1)'!$C$4:$C$1362,'Pinlist(S1)'!$E$4:$E$1362,""),_xlpm.cleanRaw,SUBSTITUTE(SUBSTITUTE(_xlpm.raw,"_PIN","."),"PIN","."),_xlpm.mainPart,MID(_xlpm.cleanRaw,2,FIND(".",_xlpm.cleanRaw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1" t="str">
        <f>_xlfn.LET(_xlpm.raw,_xlfn.XLOOKUP(A821,'Pinlist(S3)'!$C$4:$C$1362,'Pinlist(S3)'!$E$4:$E$1362,""),_xlpm.cleanRaw,SUBSTITUTE(SUBSTITUTE(_xlpm.raw,"_PIN","."),"PIN","."),_xlpm.mainPart,MID(_xlpm.cleanRaw,2,FIND(".",_xlpm.cleanRaw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1" t="str">
        <f>_xlfn.LET(_xlpm.raw,_xlfn.XLOOKUP(A821,'Pinlist(S5)'!$C$4:$C$1362,'Pinlist(S5)'!$E$4:$E$1362,""),_xlpm.cleanRaw,SUBSTITUTE(SUBSTITUTE(_xlpm.raw,"_PIN","."),"PIN","."),_xlpm.mainPart,MID(_xlpm.cleanRaw,2,FIND(".",_xlpm.cleanRaw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1" t="str">
        <f>""</f>
        <v/>
      </c>
      <c r="J821" t="str">
        <f t="shared" si="12"/>
        <v>AL42;VCCIO;;23.234;15.788;;;;</v>
      </c>
    </row>
    <row r="822" spans="1:10">
      <c r="A822" t="s">
        <v>1745</v>
      </c>
      <c r="B822" t="str">
        <f>_xlfn.XLOOKUP(A822,'Pinlist(S1)'!$Q$4:$Q$1362,'Pinlist(S1)'!$R$4:$R$1362,"")</f>
        <v>VCCGTU</v>
      </c>
      <c r="C822" t="str" cm="1">
        <f t="array" ref="C822">_xlfn.TEXTJOIN(",",TRUE,_xlfn.UNIQUE(TRANSPOSE(_xlfn.MAP(_xlfn.XLOOKUP(A822,'Pinlist(S1)'!$C$4:$C$1362,'Pinlist(S1)'!$F$4:$K$1362,""),_xlfn.LAMBDA(_xlpm.x,IF(_xlpm.x&lt;&gt;"",TRIM(CLEAN(LEFT(_xlpm.x,FIND(".",_xlpm.x &amp; ".")-1))),""))))))</f>
        <v/>
      </c>
      <c r="D822">
        <v>24.148</v>
      </c>
      <c r="E822">
        <v>15.788</v>
      </c>
      <c r="F822" t="str">
        <f>_xlfn.LET(_xlpm.raw,_xlfn.XLOOKUP(A822,'Pinlist(S1)'!$C$4:$C$1362,'Pinlist(S1)'!$E$4:$E$1362,""),_xlpm.cleanRaw,SUBSTITUTE(SUBSTITUTE(_xlpm.raw,"_PIN","."),"PIN","."),_xlpm.mainPart,MID(_xlpm.cleanRaw,2,FIND(".",_xlpm.cleanRaw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2" t="str">
        <f>_xlfn.LET(_xlpm.raw,_xlfn.XLOOKUP(A822,'Pinlist(S3)'!$C$4:$C$1362,'Pinlist(S3)'!$E$4:$E$1362,""),_xlpm.cleanRaw,SUBSTITUTE(SUBSTITUTE(_xlpm.raw,"_PIN","."),"PIN","."),_xlpm.mainPart,MID(_xlpm.cleanRaw,2,FIND(".",_xlpm.cleanRaw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2" t="str">
        <f>_xlfn.LET(_xlpm.raw,_xlfn.XLOOKUP(A822,'Pinlist(S5)'!$C$4:$C$1362,'Pinlist(S5)'!$E$4:$E$1362,""),_xlpm.cleanRaw,SUBSTITUTE(SUBSTITUTE(_xlpm.raw,"_PIN","."),"PIN","."),_xlpm.mainPart,MID(_xlpm.cleanRaw,2,FIND(".",_xlpm.cleanRaw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2" t="str">
        <f>""</f>
        <v/>
      </c>
      <c r="J822" t="str">
        <f t="shared" si="12"/>
        <v>AL43;VCCGTU;;24.148;15.788;;;;</v>
      </c>
    </row>
    <row r="823" spans="1:10">
      <c r="A823" t="s">
        <v>1948</v>
      </c>
      <c r="B823" t="str">
        <f>_xlfn.XLOOKUP(A823,'Pinlist(S1)'!$Q$4:$Q$1362,'Pinlist(S1)'!$R$4:$R$1362,"")</f>
        <v>VSS</v>
      </c>
      <c r="C823" t="str" cm="1">
        <f t="array" ref="C823">_xlfn.TEXTJOIN(",",TRUE,_xlfn.UNIQUE(TRANSPOSE(_xlfn.MAP(_xlfn.XLOOKUP(A823,'Pinlist(S1)'!$C$4:$C$1362,'Pinlist(S1)'!$F$4:$K$1362,""),_xlfn.LAMBDA(_xlpm.x,IF(_xlpm.x&lt;&gt;"",TRIM(CLEAN(LEFT(_xlpm.x,FIND(".",_xlpm.x &amp; ".")-1))),""))))))</f>
        <v/>
      </c>
      <c r="D823">
        <v>25.062999999999999</v>
      </c>
      <c r="E823">
        <v>15.788</v>
      </c>
      <c r="F823" t="str">
        <f>_xlfn.LET(_xlpm.raw,_xlfn.XLOOKUP(A823,'Pinlist(S1)'!$C$4:$C$1362,'Pinlist(S1)'!$E$4:$E$1362,""),_xlpm.cleanRaw,SUBSTITUTE(SUBSTITUTE(_xlpm.raw,"_PIN","."),"PIN","."),_xlpm.mainPart,MID(_xlpm.cleanRaw,2,FIND(".",_xlpm.cleanRaw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3" t="str">
        <f>_xlfn.LET(_xlpm.raw,_xlfn.XLOOKUP(A823,'Pinlist(S3)'!$C$4:$C$1362,'Pinlist(S3)'!$E$4:$E$1362,""),_xlpm.cleanRaw,SUBSTITUTE(SUBSTITUTE(_xlpm.raw,"_PIN","."),"PIN","."),_xlpm.mainPart,MID(_xlpm.cleanRaw,2,FIND(".",_xlpm.cleanRaw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3" t="str">
        <f>_xlfn.LET(_xlpm.raw,_xlfn.XLOOKUP(A823,'Pinlist(S5)'!$C$4:$C$1362,'Pinlist(S5)'!$E$4:$E$1362,""),_xlpm.cleanRaw,SUBSTITUTE(SUBSTITUTE(_xlpm.raw,"_PIN","."),"PIN","."),_xlpm.mainPart,MID(_xlpm.cleanRaw,2,FIND(".",_xlpm.cleanRaw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3" t="str">
        <f>""</f>
        <v/>
      </c>
      <c r="J823" t="str">
        <f t="shared" si="12"/>
        <v>AL45;VSS;;25.063;15.788;;;;</v>
      </c>
    </row>
    <row r="824" spans="1:10">
      <c r="A824" t="s">
        <v>1746</v>
      </c>
      <c r="B824" t="str">
        <f>_xlfn.XLOOKUP(A824,'Pinlist(S1)'!$Q$4:$Q$1362,'Pinlist(S1)'!$R$4:$R$1362,"")</f>
        <v>VCCGTU</v>
      </c>
      <c r="C824" t="str" cm="1">
        <f t="array" ref="C824">_xlfn.TEXTJOIN(",",TRUE,_xlfn.UNIQUE(TRANSPOSE(_xlfn.MAP(_xlfn.XLOOKUP(A824,'Pinlist(S1)'!$C$4:$C$1362,'Pinlist(S1)'!$F$4:$K$1362,""),_xlfn.LAMBDA(_xlpm.x,IF(_xlpm.x&lt;&gt;"",TRIM(CLEAN(LEFT(_xlpm.x,FIND(".",_xlpm.x &amp; ".")-1))),""))))))</f>
        <v/>
      </c>
      <c r="D824">
        <v>25.977</v>
      </c>
      <c r="E824">
        <v>15.788</v>
      </c>
      <c r="F824" t="str">
        <f>_xlfn.LET(_xlpm.raw,_xlfn.XLOOKUP(A824,'Pinlist(S1)'!$C$4:$C$1362,'Pinlist(S1)'!$E$4:$E$1362,""),_xlpm.cleanRaw,SUBSTITUTE(SUBSTITUTE(_xlpm.raw,"_PIN","."),"PIN","."),_xlpm.mainPart,MID(_xlpm.cleanRaw,2,FIND(".",_xlpm.cleanRaw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4" t="str">
        <f>_xlfn.LET(_xlpm.raw,_xlfn.XLOOKUP(A824,'Pinlist(S3)'!$C$4:$C$1362,'Pinlist(S3)'!$E$4:$E$1362,""),_xlpm.cleanRaw,SUBSTITUTE(SUBSTITUTE(_xlpm.raw,"_PIN","."),"PIN","."),_xlpm.mainPart,MID(_xlpm.cleanRaw,2,FIND(".",_xlpm.cleanRaw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4" t="str">
        <f>_xlfn.LET(_xlpm.raw,_xlfn.XLOOKUP(A824,'Pinlist(S5)'!$C$4:$C$1362,'Pinlist(S5)'!$E$4:$E$1362,""),_xlpm.cleanRaw,SUBSTITUTE(SUBSTITUTE(_xlpm.raw,"_PIN","."),"PIN","."),_xlpm.mainPart,MID(_xlpm.cleanRaw,2,FIND(".",_xlpm.cleanRaw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4" t="str">
        <f>""</f>
        <v/>
      </c>
      <c r="J824" t="str">
        <f t="shared" si="12"/>
        <v>AL46;VCCGTU;;25.977;15.788;;;;</v>
      </c>
    </row>
    <row r="825" spans="1:10">
      <c r="A825" t="s">
        <v>1949</v>
      </c>
      <c r="B825" t="str">
        <f>_xlfn.XLOOKUP(A825,'Pinlist(S1)'!$Q$4:$Q$1362,'Pinlist(S1)'!$R$4:$R$1362,"")</f>
        <v>VSS</v>
      </c>
      <c r="C825" t="str" cm="1">
        <f t="array" ref="C825">_xlfn.TEXTJOIN(",",TRUE,_xlfn.UNIQUE(TRANSPOSE(_xlfn.MAP(_xlfn.XLOOKUP(A825,'Pinlist(S1)'!$C$4:$C$1362,'Pinlist(S1)'!$F$4:$K$1362,""),_xlfn.LAMBDA(_xlpm.x,IF(_xlpm.x&lt;&gt;"",TRIM(CLEAN(LEFT(_xlpm.x,FIND(".",_xlpm.x &amp; ".")-1))),""))))))</f>
        <v/>
      </c>
      <c r="D825">
        <v>26.891999999999999</v>
      </c>
      <c r="E825">
        <v>15.788</v>
      </c>
      <c r="F825" t="str">
        <f>_xlfn.LET(_xlpm.raw,_xlfn.XLOOKUP(A825,'Pinlist(S1)'!$C$4:$C$1362,'Pinlist(S1)'!$E$4:$E$1362,""),_xlpm.cleanRaw,SUBSTITUTE(SUBSTITUTE(_xlpm.raw,"_PIN","."),"PIN","."),_xlpm.mainPart,MID(_xlpm.cleanRaw,2,FIND(".",_xlpm.cleanRaw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5" t="str">
        <f>_xlfn.LET(_xlpm.raw,_xlfn.XLOOKUP(A825,'Pinlist(S3)'!$C$4:$C$1362,'Pinlist(S3)'!$E$4:$E$1362,""),_xlpm.cleanRaw,SUBSTITUTE(SUBSTITUTE(_xlpm.raw,"_PIN","."),"PIN","."),_xlpm.mainPart,MID(_xlpm.cleanRaw,2,FIND(".",_xlpm.cleanRaw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5" t="str">
        <f>_xlfn.LET(_xlpm.raw,_xlfn.XLOOKUP(A825,'Pinlist(S5)'!$C$4:$C$1362,'Pinlist(S5)'!$E$4:$E$1362,""),_xlpm.cleanRaw,SUBSTITUTE(SUBSTITUTE(_xlpm.raw,"_PIN","."),"PIN","."),_xlpm.mainPart,MID(_xlpm.cleanRaw,2,FIND(".",_xlpm.cleanRaw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5" t="str">
        <f>""</f>
        <v/>
      </c>
      <c r="J825" t="str">
        <f t="shared" si="12"/>
        <v>AL48;VSS;;26.892;15.788;;;;</v>
      </c>
    </row>
    <row r="826" spans="1:10">
      <c r="A826" t="s">
        <v>1747</v>
      </c>
      <c r="B826" t="str">
        <f>_xlfn.XLOOKUP(A826,'Pinlist(S1)'!$Q$4:$Q$1362,'Pinlist(S1)'!$R$4:$R$1362,"")</f>
        <v>VCCGTU</v>
      </c>
      <c r="C826" t="str" cm="1">
        <f t="array" ref="C826">_xlfn.TEXTJOIN(",",TRUE,_xlfn.UNIQUE(TRANSPOSE(_xlfn.MAP(_xlfn.XLOOKUP(A826,'Pinlist(S1)'!$C$4:$C$1362,'Pinlist(S1)'!$F$4:$K$1362,""),_xlfn.LAMBDA(_xlpm.x,IF(_xlpm.x&lt;&gt;"",TRIM(CLEAN(LEFT(_xlpm.x,FIND(".",_xlpm.x &amp; ".")-1))),""))))))</f>
        <v/>
      </c>
      <c r="D826">
        <v>27.806000000000001</v>
      </c>
      <c r="E826">
        <v>15.788</v>
      </c>
      <c r="F826" t="str">
        <f>_xlfn.LET(_xlpm.raw,_xlfn.XLOOKUP(A826,'Pinlist(S1)'!$C$4:$C$1362,'Pinlist(S1)'!$E$4:$E$1362,""),_xlpm.cleanRaw,SUBSTITUTE(SUBSTITUTE(_xlpm.raw,"_PIN","."),"PIN","."),_xlpm.mainPart,MID(_xlpm.cleanRaw,2,FIND(".",_xlpm.cleanRaw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6" t="str">
        <f>_xlfn.LET(_xlpm.raw,_xlfn.XLOOKUP(A826,'Pinlist(S3)'!$C$4:$C$1362,'Pinlist(S3)'!$E$4:$E$1362,""),_xlpm.cleanRaw,SUBSTITUTE(SUBSTITUTE(_xlpm.raw,"_PIN","."),"PIN","."),_xlpm.mainPart,MID(_xlpm.cleanRaw,2,FIND(".",_xlpm.cleanRaw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6" t="str">
        <f>_xlfn.LET(_xlpm.raw,_xlfn.XLOOKUP(A826,'Pinlist(S5)'!$C$4:$C$1362,'Pinlist(S5)'!$E$4:$E$1362,""),_xlpm.cleanRaw,SUBSTITUTE(SUBSTITUTE(_xlpm.raw,"_PIN","."),"PIN","."),_xlpm.mainPart,MID(_xlpm.cleanRaw,2,FIND(".",_xlpm.cleanRaw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6" t="str">
        <f>""</f>
        <v/>
      </c>
      <c r="J826" t="str">
        <f t="shared" si="12"/>
        <v>AL50;VCCGTU;;27.806;15.788;;;;</v>
      </c>
    </row>
    <row r="827" spans="1:10">
      <c r="A827" t="s">
        <v>1950</v>
      </c>
      <c r="B827" t="str">
        <f>_xlfn.XLOOKUP(A827,'Pinlist(S1)'!$Q$4:$Q$1362,'Pinlist(S1)'!$R$4:$R$1362,"")</f>
        <v>VSS</v>
      </c>
      <c r="C827" t="str" cm="1">
        <f t="array" ref="C827">_xlfn.TEXTJOIN(",",TRUE,_xlfn.UNIQUE(TRANSPOSE(_xlfn.MAP(_xlfn.XLOOKUP(A827,'Pinlist(S1)'!$C$4:$C$1362,'Pinlist(S1)'!$F$4:$K$1362,""),_xlfn.LAMBDA(_xlpm.x,IF(_xlpm.x&lt;&gt;"",TRIM(CLEAN(LEFT(_xlpm.x,FIND(".",_xlpm.x &amp; ".")-1))),""))))))</f>
        <v/>
      </c>
      <c r="D827">
        <v>28.72</v>
      </c>
      <c r="E827">
        <v>15.788</v>
      </c>
      <c r="F827" t="str">
        <f>_xlfn.LET(_xlpm.raw,_xlfn.XLOOKUP(A827,'Pinlist(S1)'!$C$4:$C$1362,'Pinlist(S1)'!$E$4:$E$1362,""),_xlpm.cleanRaw,SUBSTITUTE(SUBSTITUTE(_xlpm.raw,"_PIN","."),"PIN","."),_xlpm.mainPart,MID(_xlpm.cleanRaw,2,FIND(".",_xlpm.cleanRaw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7" t="str">
        <f>_xlfn.LET(_xlpm.raw,_xlfn.XLOOKUP(A827,'Pinlist(S3)'!$C$4:$C$1362,'Pinlist(S3)'!$E$4:$E$1362,""),_xlpm.cleanRaw,SUBSTITUTE(SUBSTITUTE(_xlpm.raw,"_PIN","."),"PIN","."),_xlpm.mainPart,MID(_xlpm.cleanRaw,2,FIND(".",_xlpm.cleanRaw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7" t="str">
        <f>_xlfn.LET(_xlpm.raw,_xlfn.XLOOKUP(A827,'Pinlist(S5)'!$C$4:$C$1362,'Pinlist(S5)'!$E$4:$E$1362,""),_xlpm.cleanRaw,SUBSTITUTE(SUBSTITUTE(_xlpm.raw,"_PIN","."),"PIN","."),_xlpm.mainPart,MID(_xlpm.cleanRaw,2,FIND(".",_xlpm.cleanRaw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7" t="str">
        <f>""</f>
        <v/>
      </c>
      <c r="J827" t="str">
        <f t="shared" si="12"/>
        <v>AL52;VSS;;28.72;15.788;;;;</v>
      </c>
    </row>
    <row r="828" spans="1:10">
      <c r="A828" t="s">
        <v>1748</v>
      </c>
      <c r="B828" t="str">
        <f>_xlfn.XLOOKUP(A828,'Pinlist(S1)'!$Q$4:$Q$1362,'Pinlist(S1)'!$R$4:$R$1362,"")</f>
        <v>VCCGTU</v>
      </c>
      <c r="C828" t="str" cm="1">
        <f t="array" ref="C828">_xlfn.TEXTJOIN(",",TRUE,_xlfn.UNIQUE(TRANSPOSE(_xlfn.MAP(_xlfn.XLOOKUP(A828,'Pinlist(S1)'!$C$4:$C$1362,'Pinlist(S1)'!$F$4:$K$1362,""),_xlfn.LAMBDA(_xlpm.x,IF(_xlpm.x&lt;&gt;"",TRIM(CLEAN(LEFT(_xlpm.x,FIND(".",_xlpm.x &amp; ".")-1))),""))))))</f>
        <v/>
      </c>
      <c r="D828">
        <v>29.634999999999899</v>
      </c>
      <c r="E828">
        <v>15.788</v>
      </c>
      <c r="F828" t="str">
        <f>_xlfn.LET(_xlpm.raw,_xlfn.XLOOKUP(A828,'Pinlist(S1)'!$C$4:$C$1362,'Pinlist(S1)'!$E$4:$E$1362,""),_xlpm.cleanRaw,SUBSTITUTE(SUBSTITUTE(_xlpm.raw,"_PIN","."),"PIN","."),_xlpm.mainPart,MID(_xlpm.cleanRaw,2,FIND(".",_xlpm.cleanRaw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8" t="str">
        <f>_xlfn.LET(_xlpm.raw,_xlfn.XLOOKUP(A828,'Pinlist(S3)'!$C$4:$C$1362,'Pinlist(S3)'!$E$4:$E$1362,""),_xlpm.cleanRaw,SUBSTITUTE(SUBSTITUTE(_xlpm.raw,"_PIN","."),"PIN","."),_xlpm.mainPart,MID(_xlpm.cleanRaw,2,FIND(".",_xlpm.cleanRaw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8" t="str">
        <f>_xlfn.LET(_xlpm.raw,_xlfn.XLOOKUP(A828,'Pinlist(S5)'!$C$4:$C$1362,'Pinlist(S5)'!$E$4:$E$1362,""),_xlpm.cleanRaw,SUBSTITUTE(SUBSTITUTE(_xlpm.raw,"_PIN","."),"PIN","."),_xlpm.mainPart,MID(_xlpm.cleanRaw,2,FIND(".",_xlpm.cleanRaw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8" t="str">
        <f>""</f>
        <v/>
      </c>
      <c r="J828" t="str">
        <f t="shared" si="12"/>
        <v>AL53;VCCGTU;;29.6349999999999;15.788;;;;</v>
      </c>
    </row>
    <row r="829" spans="1:10">
      <c r="A829" t="s">
        <v>1951</v>
      </c>
      <c r="B829" t="str">
        <f>_xlfn.XLOOKUP(A829,'Pinlist(S1)'!$Q$4:$Q$1362,'Pinlist(S1)'!$R$4:$R$1362,"")</f>
        <v>VSS</v>
      </c>
      <c r="C829" t="str" cm="1">
        <f t="array" ref="C829">_xlfn.TEXTJOIN(",",TRUE,_xlfn.UNIQUE(TRANSPOSE(_xlfn.MAP(_xlfn.XLOOKUP(A829,'Pinlist(S1)'!$C$4:$C$1362,'Pinlist(S1)'!$F$4:$K$1362,""),_xlfn.LAMBDA(_xlpm.x,IF(_xlpm.x&lt;&gt;"",TRIM(CLEAN(LEFT(_xlpm.x,FIND(".",_xlpm.x &amp; ".")-1))),""))))))</f>
        <v/>
      </c>
      <c r="D829">
        <v>30.548999999999999</v>
      </c>
      <c r="E829">
        <v>15.788</v>
      </c>
      <c r="F829" t="str">
        <f>_xlfn.LET(_xlpm.raw,_xlfn.XLOOKUP(A829,'Pinlist(S1)'!$C$4:$C$1362,'Pinlist(S1)'!$E$4:$E$1362,""),_xlpm.cleanRaw,SUBSTITUTE(SUBSTITUTE(_xlpm.raw,"_PIN","."),"PIN","."),_xlpm.mainPart,MID(_xlpm.cleanRaw,2,FIND(".",_xlpm.cleanRaw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9" t="str">
        <f>_xlfn.LET(_xlpm.raw,_xlfn.XLOOKUP(A829,'Pinlist(S3)'!$C$4:$C$1362,'Pinlist(S3)'!$E$4:$E$1362,""),_xlpm.cleanRaw,SUBSTITUTE(SUBSTITUTE(_xlpm.raw,"_PIN","."),"PIN","."),_xlpm.mainPart,MID(_xlpm.cleanRaw,2,FIND(".",_xlpm.cleanRaw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9" t="str">
        <f>_xlfn.LET(_xlpm.raw,_xlfn.XLOOKUP(A829,'Pinlist(S5)'!$C$4:$C$1362,'Pinlist(S5)'!$E$4:$E$1362,""),_xlpm.cleanRaw,SUBSTITUTE(SUBSTITUTE(_xlpm.raw,"_PIN","."),"PIN","."),_xlpm.mainPart,MID(_xlpm.cleanRaw,2,FIND(".",_xlpm.cleanRaw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9" t="str">
        <f>""</f>
        <v/>
      </c>
      <c r="J829" t="str">
        <f t="shared" si="12"/>
        <v>AL55;VSS;;30.549;15.788;;;;</v>
      </c>
    </row>
    <row r="830" spans="1:10">
      <c r="A830" t="s">
        <v>1749</v>
      </c>
      <c r="B830" t="str">
        <f>_xlfn.XLOOKUP(A830,'Pinlist(S1)'!$Q$4:$Q$1362,'Pinlist(S1)'!$R$4:$R$1362,"")</f>
        <v>VCCGTU</v>
      </c>
      <c r="C830" t="str" cm="1">
        <f t="array" ref="C830">_xlfn.TEXTJOIN(",",TRUE,_xlfn.UNIQUE(TRANSPOSE(_xlfn.MAP(_xlfn.XLOOKUP(A830,'Pinlist(S1)'!$C$4:$C$1362,'Pinlist(S1)'!$F$4:$K$1362,""),_xlfn.LAMBDA(_xlpm.x,IF(_xlpm.x&lt;&gt;"",TRIM(CLEAN(LEFT(_xlpm.x,FIND(".",_xlpm.x &amp; ".")-1))),""))))))</f>
        <v/>
      </c>
      <c r="D830">
        <v>31.463999999999999</v>
      </c>
      <c r="E830">
        <v>15.788</v>
      </c>
      <c r="F830" t="str">
        <f>_xlfn.LET(_xlpm.raw,_xlfn.XLOOKUP(A830,'Pinlist(S1)'!$C$4:$C$1362,'Pinlist(S1)'!$E$4:$E$1362,""),_xlpm.cleanRaw,SUBSTITUTE(SUBSTITUTE(_xlpm.raw,"_PIN","."),"PIN","."),_xlpm.mainPart,MID(_xlpm.cleanRaw,2,FIND(".",_xlpm.cleanRaw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0" t="str">
        <f>_xlfn.LET(_xlpm.raw,_xlfn.XLOOKUP(A830,'Pinlist(S3)'!$C$4:$C$1362,'Pinlist(S3)'!$E$4:$E$1362,""),_xlpm.cleanRaw,SUBSTITUTE(SUBSTITUTE(_xlpm.raw,"_PIN","."),"PIN","."),_xlpm.mainPart,MID(_xlpm.cleanRaw,2,FIND(".",_xlpm.cleanRaw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0" t="str">
        <f>_xlfn.LET(_xlpm.raw,_xlfn.XLOOKUP(A830,'Pinlist(S5)'!$C$4:$C$1362,'Pinlist(S5)'!$E$4:$E$1362,""),_xlpm.cleanRaw,SUBSTITUTE(SUBSTITUTE(_xlpm.raw,"_PIN","."),"PIN","."),_xlpm.mainPart,MID(_xlpm.cleanRaw,2,FIND(".",_xlpm.cleanRaw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0" t="str">
        <f>""</f>
        <v/>
      </c>
      <c r="J830" t="str">
        <f t="shared" si="12"/>
        <v>AL56;VCCGTU;;31.464;15.788;;;;</v>
      </c>
    </row>
    <row r="831" spans="1:10">
      <c r="A831" t="s">
        <v>1952</v>
      </c>
      <c r="B831" t="str">
        <f>_xlfn.XLOOKUP(A831,'Pinlist(S1)'!$Q$4:$Q$1362,'Pinlist(S1)'!$R$4:$R$1362,"")</f>
        <v>VSS</v>
      </c>
      <c r="C831" t="str" cm="1">
        <f t="array" ref="C831">_xlfn.TEXTJOIN(",",TRUE,_xlfn.UNIQUE(TRANSPOSE(_xlfn.MAP(_xlfn.XLOOKUP(A831,'Pinlist(S1)'!$C$4:$C$1362,'Pinlist(S1)'!$F$4:$K$1362,""),_xlfn.LAMBDA(_xlpm.x,IF(_xlpm.x&lt;&gt;"",TRIM(CLEAN(LEFT(_xlpm.x,FIND(".",_xlpm.x &amp; ".")-1))),""))))))</f>
        <v/>
      </c>
      <c r="D831">
        <v>32.378</v>
      </c>
      <c r="E831">
        <v>15.788</v>
      </c>
      <c r="F831" t="str">
        <f>_xlfn.LET(_xlpm.raw,_xlfn.XLOOKUP(A831,'Pinlist(S1)'!$C$4:$C$1362,'Pinlist(S1)'!$E$4:$E$1362,""),_xlpm.cleanRaw,SUBSTITUTE(SUBSTITUTE(_xlpm.raw,"_PIN","."),"PIN","."),_xlpm.mainPart,MID(_xlpm.cleanRaw,2,FIND(".",_xlpm.cleanRaw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1" t="str">
        <f>_xlfn.LET(_xlpm.raw,_xlfn.XLOOKUP(A831,'Pinlist(S3)'!$C$4:$C$1362,'Pinlist(S3)'!$E$4:$E$1362,""),_xlpm.cleanRaw,SUBSTITUTE(SUBSTITUTE(_xlpm.raw,"_PIN","."),"PIN","."),_xlpm.mainPart,MID(_xlpm.cleanRaw,2,FIND(".",_xlpm.cleanRaw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1" t="str">
        <f>_xlfn.LET(_xlpm.raw,_xlfn.XLOOKUP(A831,'Pinlist(S5)'!$C$4:$C$1362,'Pinlist(S5)'!$E$4:$E$1362,""),_xlpm.cleanRaw,SUBSTITUTE(SUBSTITUTE(_xlpm.raw,"_PIN","."),"PIN","."),_xlpm.mainPart,MID(_xlpm.cleanRaw,2,FIND(".",_xlpm.cleanRaw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1" t="str">
        <f>""</f>
        <v/>
      </c>
      <c r="J831" t="str">
        <f t="shared" si="12"/>
        <v>AL58;VSS;;32.378;15.788;;;;</v>
      </c>
    </row>
    <row r="832" spans="1:10">
      <c r="A832" t="s">
        <v>1750</v>
      </c>
      <c r="B832" t="str">
        <f>_xlfn.XLOOKUP(A832,'Pinlist(S1)'!$Q$4:$Q$1362,'Pinlist(S1)'!$R$4:$R$1362,"")</f>
        <v>VCCGTU</v>
      </c>
      <c r="C832" t="str" cm="1">
        <f t="array" ref="C832">_xlfn.TEXTJOIN(",",TRUE,_xlfn.UNIQUE(TRANSPOSE(_xlfn.MAP(_xlfn.XLOOKUP(A832,'Pinlist(S1)'!$C$4:$C$1362,'Pinlist(S1)'!$F$4:$K$1362,""),_xlfn.LAMBDA(_xlpm.x,IF(_xlpm.x&lt;&gt;"",TRIM(CLEAN(LEFT(_xlpm.x,FIND(".",_xlpm.x &amp; ".")-1))),""))))))</f>
        <v/>
      </c>
      <c r="D832">
        <v>33.292000000000002</v>
      </c>
      <c r="E832">
        <v>15.788</v>
      </c>
      <c r="F832" t="str">
        <f>_xlfn.LET(_xlpm.raw,_xlfn.XLOOKUP(A832,'Pinlist(S1)'!$C$4:$C$1362,'Pinlist(S1)'!$E$4:$E$1362,""),_xlpm.cleanRaw,SUBSTITUTE(SUBSTITUTE(_xlpm.raw,"_PIN","."),"PIN","."),_xlpm.mainPart,MID(_xlpm.cleanRaw,2,FIND(".",_xlpm.cleanRaw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2" t="str">
        <f>_xlfn.LET(_xlpm.raw,_xlfn.XLOOKUP(A832,'Pinlist(S3)'!$C$4:$C$1362,'Pinlist(S3)'!$E$4:$E$1362,""),_xlpm.cleanRaw,SUBSTITUTE(SUBSTITUTE(_xlpm.raw,"_PIN","."),"PIN","."),_xlpm.mainPart,MID(_xlpm.cleanRaw,2,FIND(".",_xlpm.cleanRaw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2" t="str">
        <f>_xlfn.LET(_xlpm.raw,_xlfn.XLOOKUP(A832,'Pinlist(S5)'!$C$4:$C$1362,'Pinlist(S5)'!$E$4:$E$1362,""),_xlpm.cleanRaw,SUBSTITUTE(SUBSTITUTE(_xlpm.raw,"_PIN","."),"PIN","."),_xlpm.mainPart,MID(_xlpm.cleanRaw,2,FIND(".",_xlpm.cleanRaw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2" t="str">
        <f>""</f>
        <v/>
      </c>
      <c r="J832" t="str">
        <f t="shared" si="12"/>
        <v>AL60;VCCGTU;;33.292;15.788;;;;</v>
      </c>
    </row>
    <row r="833" spans="1:10">
      <c r="A833" t="s">
        <v>2255</v>
      </c>
      <c r="B833" t="str">
        <f>_xlfn.XLOOKUP(A833,'Pinlist(S1)'!$Q$4:$Q$1362,'Pinlist(S1)'!$R$4:$R$1362,"")</f>
        <v>VSSGTU_SENSE</v>
      </c>
      <c r="C833" t="str" cm="1">
        <f t="array" ref="C833">_xlfn.TEXTJOIN(",",TRUE,_xlfn.UNIQUE(TRANSPOSE(_xlfn.MAP(_xlfn.XLOOKUP(A833,'Pinlist(S1)'!$C$4:$C$1362,'Pinlist(S1)'!$F$4:$K$1362,""),_xlfn.LAMBDA(_xlpm.x,IF(_xlpm.x&lt;&gt;"",TRIM(CLEAN(LEFT(_xlpm.x,FIND(".",_xlpm.x &amp; ".")-1))),""))))))</f>
        <v/>
      </c>
      <c r="D833">
        <v>34.207000000000001</v>
      </c>
      <c r="E833">
        <v>15.788</v>
      </c>
      <c r="F833" t="str">
        <f>_xlfn.LET(_xlpm.raw,_xlfn.XLOOKUP(A833,'Pinlist(S1)'!$C$4:$C$1362,'Pinlist(S1)'!$E$4:$E$1362,""),_xlpm.cleanRaw,SUBSTITUTE(SUBSTITUTE(_xlpm.raw,"_PIN","."),"PIN","."),_xlpm.mainPart,MID(_xlpm.cleanRaw,2,FIND(".",_xlpm.cleanRaw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3" t="str">
        <f>_xlfn.LET(_xlpm.raw,_xlfn.XLOOKUP(A833,'Pinlist(S3)'!$C$4:$C$1362,'Pinlist(S3)'!$E$4:$E$1362,""),_xlpm.cleanRaw,SUBSTITUTE(SUBSTITUTE(_xlpm.raw,"_PIN","."),"PIN","."),_xlpm.mainPart,MID(_xlpm.cleanRaw,2,FIND(".",_xlpm.cleanRaw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3" t="str">
        <f>_xlfn.LET(_xlpm.raw,_xlfn.XLOOKUP(A833,'Pinlist(S5)'!$C$4:$C$1362,'Pinlist(S5)'!$E$4:$E$1362,""),_xlpm.cleanRaw,SUBSTITUTE(SUBSTITUTE(_xlpm.raw,"_PIN","."),"PIN","."),_xlpm.mainPart,MID(_xlpm.cleanRaw,2,FIND(".",_xlpm.cleanRaw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3" t="str">
        <f>""</f>
        <v/>
      </c>
      <c r="J833" t="str">
        <f t="shared" si="12"/>
        <v>AL61;VSSGTU_SENSE;;34.207;15.788;;;;</v>
      </c>
    </row>
    <row r="834" spans="1:10">
      <c r="A834" t="s">
        <v>1627</v>
      </c>
      <c r="B834" t="str">
        <f>_xlfn.XLOOKUP(A834,'Pinlist(S1)'!$Q$4:$Q$1362,'Pinlist(S1)'!$R$4:$R$1362,"")</f>
        <v>VCCEOPIO_SENSE</v>
      </c>
      <c r="C834" t="str" cm="1">
        <f t="array" ref="C834">_xlfn.TEXTJOIN(",",TRUE,_xlfn.UNIQUE(TRANSPOSE(_xlfn.MAP(_xlfn.XLOOKUP(A834,'Pinlist(S1)'!$C$4:$C$1362,'Pinlist(S1)'!$F$4:$K$1362,""),_xlfn.LAMBDA(_xlpm.x,IF(_xlpm.x&lt;&gt;"",TRIM(CLEAN(LEFT(_xlpm.x,FIND(".",_xlpm.x &amp; ".")-1))),""))))))</f>
        <v/>
      </c>
      <c r="D834">
        <v>35.427</v>
      </c>
      <c r="E834">
        <v>16.158999999999999</v>
      </c>
      <c r="F834" t="str">
        <f>_xlfn.LET(_xlpm.raw,_xlfn.XLOOKUP(A834,'Pinlist(S1)'!$C$4:$C$1362,'Pinlist(S1)'!$E$4:$E$1362,""),_xlpm.cleanRaw,SUBSTITUTE(SUBSTITUTE(_xlpm.raw,"_PIN","."),"PIN","."),_xlpm.mainPart,MID(_xlpm.cleanRaw,2,FIND(".",_xlpm.cleanRaw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4" t="str">
        <f>_xlfn.LET(_xlpm.raw,_xlfn.XLOOKUP(A834,'Pinlist(S3)'!$C$4:$C$1362,'Pinlist(S3)'!$E$4:$E$1362,""),_xlpm.cleanRaw,SUBSTITUTE(SUBSTITUTE(_xlpm.raw,"_PIN","."),"PIN","."),_xlpm.mainPart,MID(_xlpm.cleanRaw,2,FIND(".",_xlpm.cleanRaw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4" t="str">
        <f>_xlfn.LET(_xlpm.raw,_xlfn.XLOOKUP(A834,'Pinlist(S5)'!$C$4:$C$1362,'Pinlist(S5)'!$E$4:$E$1362,""),_xlpm.cleanRaw,SUBSTITUTE(SUBSTITUTE(_xlpm.raw,"_PIN","."),"PIN","."),_xlpm.mainPart,MID(_xlpm.cleanRaw,2,FIND(".",_xlpm.cleanRaw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4" t="str">
        <f>""</f>
        <v/>
      </c>
      <c r="J834" t="str">
        <f t="shared" ref="J834:J897" si="13">A834&amp;";"&amp;B834&amp;";"&amp;C834&amp;";"&amp;D834&amp;";"&amp;E834&amp;";"&amp;F834&amp;";"&amp;G834&amp;";"&amp;H834&amp;";"&amp;I834</f>
        <v>AL63;VCCEOPIO_SENSE;;35.427;16.159;;;;</v>
      </c>
    </row>
    <row r="835" spans="1:10">
      <c r="A835" t="s">
        <v>1953</v>
      </c>
      <c r="B835" t="str">
        <f>_xlfn.XLOOKUP(A835,'Pinlist(S1)'!$Q$4:$Q$1362,'Pinlist(S1)'!$R$4:$R$1362,"")</f>
        <v>VSS</v>
      </c>
      <c r="C835" t="str" cm="1">
        <f t="array" ref="C835">_xlfn.TEXTJOIN(",",TRUE,_xlfn.UNIQUE(TRANSPOSE(_xlfn.MAP(_xlfn.XLOOKUP(A835,'Pinlist(S1)'!$C$4:$C$1362,'Pinlist(S1)'!$F$4:$K$1362,""),_xlfn.LAMBDA(_xlpm.x,IF(_xlpm.x&lt;&gt;"",TRIM(CLEAN(LEFT(_xlpm.x,FIND(".",_xlpm.x &amp; ".")-1))),""))))))</f>
        <v/>
      </c>
      <c r="D835">
        <v>36.076999999999998</v>
      </c>
      <c r="E835">
        <v>16.158999999999999</v>
      </c>
      <c r="F835" t="str">
        <f>_xlfn.LET(_xlpm.raw,_xlfn.XLOOKUP(A835,'Pinlist(S1)'!$C$4:$C$1362,'Pinlist(S1)'!$E$4:$E$1362,""),_xlpm.cleanRaw,SUBSTITUTE(SUBSTITUTE(_xlpm.raw,"_PIN","."),"PIN","."),_xlpm.mainPart,MID(_xlpm.cleanRaw,2,FIND(".",_xlpm.cleanRaw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5" t="str">
        <f>_xlfn.LET(_xlpm.raw,_xlfn.XLOOKUP(A835,'Pinlist(S3)'!$C$4:$C$1362,'Pinlist(S3)'!$E$4:$E$1362,""),_xlpm.cleanRaw,SUBSTITUTE(SUBSTITUTE(_xlpm.raw,"_PIN","."),"PIN","."),_xlpm.mainPart,MID(_xlpm.cleanRaw,2,FIND(".",_xlpm.cleanRaw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5" t="str">
        <f>_xlfn.LET(_xlpm.raw,_xlfn.XLOOKUP(A835,'Pinlist(S5)'!$C$4:$C$1362,'Pinlist(S5)'!$E$4:$E$1362,""),_xlpm.cleanRaw,SUBSTITUTE(SUBSTITUTE(_xlpm.raw,"_PIN","."),"PIN","."),_xlpm.mainPart,MID(_xlpm.cleanRaw,2,FIND(".",_xlpm.cleanRaw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5" t="str">
        <f>""</f>
        <v/>
      </c>
      <c r="J835" t="str">
        <f t="shared" si="13"/>
        <v>AL64;VSS;;36.077;16.159;;;;</v>
      </c>
    </row>
    <row r="836" spans="1:10">
      <c r="A836" t="s">
        <v>1954</v>
      </c>
      <c r="B836" t="str">
        <f>_xlfn.XLOOKUP(A836,'Pinlist(S1)'!$Q$4:$Q$1362,'Pinlist(S1)'!$R$4:$R$1362,"")</f>
        <v>VSS</v>
      </c>
      <c r="C836" t="str" cm="1">
        <f t="array" ref="C836">_xlfn.TEXTJOIN(",",TRUE,_xlfn.UNIQUE(TRANSPOSE(_xlfn.MAP(_xlfn.XLOOKUP(A836,'Pinlist(S1)'!$C$4:$C$1362,'Pinlist(S1)'!$F$4:$K$1362,""),_xlfn.LAMBDA(_xlpm.x,IF(_xlpm.x&lt;&gt;"",TRIM(CLEAN(LEFT(_xlpm.x,FIND(".",_xlpm.x &amp; ".")-1))),""))))))</f>
        <v/>
      </c>
      <c r="D836">
        <v>36.726999999999997</v>
      </c>
      <c r="E836">
        <v>16.158999999999999</v>
      </c>
      <c r="F836" t="str">
        <f>_xlfn.LET(_xlpm.raw,_xlfn.XLOOKUP(A836,'Pinlist(S1)'!$C$4:$C$1362,'Pinlist(S1)'!$E$4:$E$1362,""),_xlpm.cleanRaw,SUBSTITUTE(SUBSTITUTE(_xlpm.raw,"_PIN","."),"PIN","."),_xlpm.mainPart,MID(_xlpm.cleanRaw,2,FIND(".",_xlpm.cleanRaw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6" t="str">
        <f>_xlfn.LET(_xlpm.raw,_xlfn.XLOOKUP(A836,'Pinlist(S3)'!$C$4:$C$1362,'Pinlist(S3)'!$E$4:$E$1362,""),_xlpm.cleanRaw,SUBSTITUTE(SUBSTITUTE(_xlpm.raw,"_PIN","."),"PIN","."),_xlpm.mainPart,MID(_xlpm.cleanRaw,2,FIND(".",_xlpm.cleanRaw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6" t="str">
        <f>_xlfn.LET(_xlpm.raw,_xlfn.XLOOKUP(A836,'Pinlist(S5)'!$C$4:$C$1362,'Pinlist(S5)'!$E$4:$E$1362,""),_xlpm.cleanRaw,SUBSTITUTE(SUBSTITUTE(_xlpm.raw,"_PIN","."),"PIN","."),_xlpm.mainPart,MID(_xlpm.cleanRaw,2,FIND(".",_xlpm.cleanRaw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6" t="str">
        <f>""</f>
        <v/>
      </c>
      <c r="J836" t="str">
        <f t="shared" si="13"/>
        <v>AL65;VSS;;36.727;16.159;;;;</v>
      </c>
    </row>
    <row r="837" spans="1:10">
      <c r="A837" t="s">
        <v>1955</v>
      </c>
      <c r="B837" t="str">
        <f>_xlfn.XLOOKUP(A837,'Pinlist(S1)'!$Q$4:$Q$1362,'Pinlist(S1)'!$R$4:$R$1362,"")</f>
        <v>VSS</v>
      </c>
      <c r="C837" t="str" cm="1">
        <f t="array" ref="C837">_xlfn.TEXTJOIN(",",TRUE,_xlfn.UNIQUE(TRANSPOSE(_xlfn.MAP(_xlfn.XLOOKUP(A837,'Pinlist(S1)'!$C$4:$C$1362,'Pinlist(S1)'!$F$4:$K$1362,""),_xlfn.LAMBDA(_xlpm.x,IF(_xlpm.x&lt;&gt;"",TRIM(CLEAN(LEFT(_xlpm.x,FIND(".",_xlpm.x &amp; ".")-1))),""))))))</f>
        <v/>
      </c>
      <c r="D837">
        <v>37.376999999999903</v>
      </c>
      <c r="E837">
        <v>16.158999999999999</v>
      </c>
      <c r="F837" t="str">
        <f>_xlfn.LET(_xlpm.raw,_xlfn.XLOOKUP(A837,'Pinlist(S1)'!$C$4:$C$1362,'Pinlist(S1)'!$E$4:$E$1362,""),_xlpm.cleanRaw,SUBSTITUTE(SUBSTITUTE(_xlpm.raw,"_PIN","."),"PIN","."),_xlpm.mainPart,MID(_xlpm.cleanRaw,2,FIND(".",_xlpm.cleanRaw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7" t="str">
        <f>_xlfn.LET(_xlpm.raw,_xlfn.XLOOKUP(A837,'Pinlist(S3)'!$C$4:$C$1362,'Pinlist(S3)'!$E$4:$E$1362,""),_xlpm.cleanRaw,SUBSTITUTE(SUBSTITUTE(_xlpm.raw,"_PIN","."),"PIN","."),_xlpm.mainPart,MID(_xlpm.cleanRaw,2,FIND(".",_xlpm.cleanRaw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7" t="str">
        <f>_xlfn.LET(_xlpm.raw,_xlfn.XLOOKUP(A837,'Pinlist(S5)'!$C$4:$C$1362,'Pinlist(S5)'!$E$4:$E$1362,""),_xlpm.cleanRaw,SUBSTITUTE(SUBSTITUTE(_xlpm.raw,"_PIN","."),"PIN","."),_xlpm.mainPart,MID(_xlpm.cleanRaw,2,FIND(".",_xlpm.cleanRaw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7" t="str">
        <f>""</f>
        <v/>
      </c>
      <c r="J837" t="str">
        <f t="shared" si="13"/>
        <v>AL66;VSS;;37.3769999999999;16.159;;;;</v>
      </c>
    </row>
    <row r="838" spans="1:10">
      <c r="A838" t="s">
        <v>390</v>
      </c>
      <c r="B838" t="str">
        <f>_xlfn.XLOOKUP(A838,'Pinlist(S1)'!$Q$4:$Q$1362,'Pinlist(S1)'!$R$4:$R$1362,"")</f>
        <v>DDRDQ_IL00_NIL00[1]</v>
      </c>
      <c r="C838" t="str" cm="1">
        <f t="array" ref="C838">_xlfn.TEXTJOIN(",",TRUE,_xlfn.UNIQUE(TRANSPOSE(_xlfn.MAP(_xlfn.XLOOKUP(A838,'Pinlist(S1)'!$C$4:$C$1362,'Pinlist(S1)'!$F$4:$K$1362,""),_xlfn.LAMBDA(_xlpm.x,IF(_xlpm.x&lt;&gt;"",TRIM(CLEAN(LEFT(_xlpm.x,FIND(".",_xlpm.x &amp; ".")-1))),""))))))</f>
        <v/>
      </c>
      <c r="D838">
        <v>38.677999999999997</v>
      </c>
      <c r="E838">
        <v>15.805999999999999</v>
      </c>
      <c r="F838" t="str">
        <f>_xlfn.LET(_xlpm.raw,_xlfn.XLOOKUP(A838,'Pinlist(S1)'!$C$4:$C$1362,'Pinlist(S1)'!$E$4:$E$1362,""),_xlpm.cleanRaw,SUBSTITUTE(SUBSTITUTE(_xlpm.raw,"_PIN","."),"PIN","."),_xlpm.mainPart,MID(_xlpm.cleanRaw,2,FIND(".",_xlpm.cleanRaw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606120</v>
      </c>
      <c r="G838" t="str">
        <f>_xlfn.LET(_xlpm.raw,_xlfn.XLOOKUP(A838,'Pinlist(S3)'!$C$4:$C$1362,'Pinlist(S3)'!$E$4:$E$1362,""),_xlpm.cleanRaw,SUBSTITUTE(SUBSTITUTE(_xlpm.raw,"_PIN","."),"PIN","."),_xlpm.mainPart,MID(_xlpm.cleanRaw,2,FIND(".",_xlpm.cleanRaw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501127</v>
      </c>
      <c r="H838" t="str">
        <f>_xlfn.LET(_xlpm.raw,_xlfn.XLOOKUP(A838,'Pinlist(S5)'!$C$4:$C$1362,'Pinlist(S5)'!$E$4:$E$1362,""),_xlpm.cleanRaw,SUBSTITUTE(SUBSTITUTE(_xlpm.raw,"_PIN","."),"PIN","."),_xlpm.mainPart,MID(_xlpm.cleanRaw,2,FIND(".",_xlpm.cleanRaw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707127</v>
      </c>
      <c r="I838" t="str">
        <f>""</f>
        <v/>
      </c>
      <c r="J838" t="str">
        <f t="shared" si="13"/>
        <v>AL68;DDRDQ_IL00_NIL00[1];;38.678;15.806;606120;501127;707127;</v>
      </c>
    </row>
    <row r="839" spans="1:10">
      <c r="A839" t="s">
        <v>398</v>
      </c>
      <c r="B839" t="str">
        <f>_xlfn.XLOOKUP(A839,'Pinlist(S1)'!$Q$4:$Q$1362,'Pinlist(S1)'!$R$4:$R$1362,"")</f>
        <v>DDRDQ_IL00_NIL00[5]</v>
      </c>
      <c r="C839" t="str" cm="1">
        <f t="array" ref="C839">_xlfn.TEXTJOIN(",",TRUE,_xlfn.UNIQUE(TRANSPOSE(_xlfn.MAP(_xlfn.XLOOKUP(A839,'Pinlist(S1)'!$C$4:$C$1362,'Pinlist(S1)'!$F$4:$K$1362,""),_xlfn.LAMBDA(_xlpm.x,IF(_xlpm.x&lt;&gt;"",TRIM(CLEAN(LEFT(_xlpm.x,FIND(".",_xlpm.x &amp; ".")-1))),""))))))</f>
        <v/>
      </c>
      <c r="D839">
        <v>39.328000000000003</v>
      </c>
      <c r="E839">
        <v>15.805999999999999</v>
      </c>
      <c r="F839" t="str">
        <f>_xlfn.LET(_xlpm.raw,_xlfn.XLOOKUP(A839,'Pinlist(S1)'!$C$4:$C$1362,'Pinlist(S1)'!$E$4:$E$1362,""),_xlpm.cleanRaw,SUBSTITUTE(SUBSTITUTE(_xlpm.raw,"_PIN","."),"PIN","."),_xlpm.mainPart,MID(_xlpm.cleanRaw,2,FIND(".",_xlpm.cleanRaw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606127</v>
      </c>
      <c r="G839" t="str">
        <f>_xlfn.LET(_xlpm.raw,_xlfn.XLOOKUP(A839,'Pinlist(S3)'!$C$4:$C$1362,'Pinlist(S3)'!$E$4:$E$1362,""),_xlpm.cleanRaw,SUBSTITUTE(SUBSTITUTE(_xlpm.raw,"_PIN","."),"PIN","."),_xlpm.mainPart,MID(_xlpm.cleanRaw,2,FIND(".",_xlpm.cleanRaw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501089</v>
      </c>
      <c r="H839" t="str">
        <f>_xlfn.LET(_xlpm.raw,_xlfn.XLOOKUP(A839,'Pinlist(S5)'!$C$4:$C$1362,'Pinlist(S5)'!$E$4:$E$1362,""),_xlpm.cleanRaw,SUBSTITUTE(SUBSTITUTE(_xlpm.raw,"_PIN","."),"PIN","."),_xlpm.mainPart,MID(_xlpm.cleanRaw,2,FIND(".",_xlpm.cleanRaw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707089</v>
      </c>
      <c r="I839" t="str">
        <f>""</f>
        <v/>
      </c>
      <c r="J839" t="str">
        <f t="shared" si="13"/>
        <v>AL69;DDRDQ_IL00_NIL00[5];;39.328;15.806;606127;501089;707089;</v>
      </c>
    </row>
    <row r="840" spans="1:10">
      <c r="A840" t="s">
        <v>396</v>
      </c>
      <c r="B840" t="str">
        <f>_xlfn.XLOOKUP(A840,'Pinlist(S1)'!$Q$4:$Q$1362,'Pinlist(S1)'!$R$4:$R$1362,"")</f>
        <v>DDRDQ_IL00_NIL00[4]</v>
      </c>
      <c r="C840" t="str" cm="1">
        <f t="array" ref="C840">_xlfn.TEXTJOIN(",",TRUE,_xlfn.UNIQUE(TRANSPOSE(_xlfn.MAP(_xlfn.XLOOKUP(A840,'Pinlist(S1)'!$C$4:$C$1362,'Pinlist(S1)'!$F$4:$K$1362,""),_xlfn.LAMBDA(_xlpm.x,IF(_xlpm.x&lt;&gt;"",TRIM(CLEAN(LEFT(_xlpm.x,FIND(".",_xlpm.x &amp; ".")-1))),""))))))</f>
        <v/>
      </c>
      <c r="D840">
        <v>39.978000000000002</v>
      </c>
      <c r="E840">
        <v>15.805999999999999</v>
      </c>
      <c r="F840" t="str">
        <f>_xlfn.LET(_xlpm.raw,_xlfn.XLOOKUP(A840,'Pinlist(S1)'!$C$4:$C$1362,'Pinlist(S1)'!$E$4:$E$1362,""),_xlpm.cleanRaw,SUBSTITUTE(SUBSTITUTE(_xlpm.raw,"_PIN","."),"PIN","."),_xlpm.mainPart,MID(_xlpm.cleanRaw,2,FIND(".",_xlpm.cleanRaw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606091</v>
      </c>
      <c r="G840" t="str">
        <f>_xlfn.LET(_xlpm.raw,_xlfn.XLOOKUP(A840,'Pinlist(S3)'!$C$4:$C$1362,'Pinlist(S3)'!$E$4:$E$1362,""),_xlpm.cleanRaw,SUBSTITUTE(SUBSTITUTE(_xlpm.raw,"_PIN","."),"PIN","."),_xlpm.mainPart,MID(_xlpm.cleanRaw,2,FIND(".",_xlpm.cleanRaw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501091</v>
      </c>
      <c r="H840" t="str">
        <f>_xlfn.LET(_xlpm.raw,_xlfn.XLOOKUP(A840,'Pinlist(S5)'!$C$4:$C$1362,'Pinlist(S5)'!$E$4:$E$1362,""),_xlpm.cleanRaw,SUBSTITUTE(SUBSTITUTE(_xlpm.raw,"_PIN","."),"PIN","."),_xlpm.mainPart,MID(_xlpm.cleanRaw,2,FIND(".",_xlpm.cleanRaw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707091</v>
      </c>
      <c r="I840" t="str">
        <f>""</f>
        <v/>
      </c>
      <c r="J840" t="str">
        <f t="shared" si="13"/>
        <v>AL70;DDRDQ_IL00_NIL00[4];;39.978;15.806;606091;501091;707091;</v>
      </c>
    </row>
    <row r="841" spans="1:10">
      <c r="A841" t="s">
        <v>388</v>
      </c>
      <c r="B841" t="str">
        <f>_xlfn.XLOOKUP(A841,'Pinlist(S1)'!$Q$4:$Q$1362,'Pinlist(S1)'!$R$4:$R$1362,"")</f>
        <v>DDRDQ_IL00_NIL00[0]</v>
      </c>
      <c r="C841" t="str" cm="1">
        <f t="array" ref="C841">_xlfn.TEXTJOIN(",",TRUE,_xlfn.UNIQUE(TRANSPOSE(_xlfn.MAP(_xlfn.XLOOKUP(A841,'Pinlist(S1)'!$C$4:$C$1362,'Pinlist(S1)'!$F$4:$K$1362,""),_xlfn.LAMBDA(_xlpm.x,IF(_xlpm.x&lt;&gt;"",TRIM(CLEAN(LEFT(_xlpm.x,FIND(".",_xlpm.x &amp; ".")-1))),""))))))</f>
        <v/>
      </c>
      <c r="D841">
        <v>40.628</v>
      </c>
      <c r="E841">
        <v>15.805999999999999</v>
      </c>
      <c r="F841" t="str">
        <f>_xlfn.LET(_xlpm.raw,_xlfn.XLOOKUP(A841,'Pinlist(S1)'!$C$4:$C$1362,'Pinlist(S1)'!$E$4:$E$1362,""),_xlpm.cleanRaw,SUBSTITUTE(SUBSTITUTE(_xlpm.raw,"_PIN","."),"PIN","."),_xlpm.mainPart,MID(_xlpm.cleanRaw,2,FIND(".",_xlpm.cleanRaw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606089</v>
      </c>
      <c r="G841" t="str">
        <f>_xlfn.LET(_xlpm.raw,_xlfn.XLOOKUP(A841,'Pinlist(S3)'!$C$4:$C$1362,'Pinlist(S3)'!$E$4:$E$1362,""),_xlpm.cleanRaw,SUBSTITUTE(SUBSTITUTE(_xlpm.raw,"_PIN","."),"PIN","."),_xlpm.mainPart,MID(_xlpm.cleanRaw,2,FIND(".",_xlpm.cleanRaw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501094</v>
      </c>
      <c r="H841" t="str">
        <f>_xlfn.LET(_xlpm.raw,_xlfn.XLOOKUP(A841,'Pinlist(S5)'!$C$4:$C$1362,'Pinlist(S5)'!$E$4:$E$1362,""),_xlpm.cleanRaw,SUBSTITUTE(SUBSTITUTE(_xlpm.raw,"_PIN","."),"PIN","."),_xlpm.mainPart,MID(_xlpm.cleanRaw,2,FIND(".",_xlpm.cleanRaw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707088</v>
      </c>
      <c r="I841" t="str">
        <f>""</f>
        <v/>
      </c>
      <c r="J841" t="str">
        <f t="shared" si="13"/>
        <v>AL71;DDRDQ_IL00_NIL00[0];;40.628;15.806;606089;501094;707088;</v>
      </c>
    </row>
    <row r="842" spans="1:10">
      <c r="A842" t="s">
        <v>1073</v>
      </c>
      <c r="B842" t="str">
        <f>_xlfn.XLOOKUP(A842,'Pinlist(S1)'!$Q$4:$Q$1362,'Pinlist(S1)'!$R$4:$R$1362,"")</f>
        <v>GPP_F_20_EMMC_DATA7</v>
      </c>
      <c r="C842" t="str" cm="1">
        <f t="array" ref="C842">_xlfn.TEXTJOIN(",",TRUE,_xlfn.UNIQUE(TRANSPOSE(_xlfn.MAP(_xlfn.XLOOKUP(A842,'Pinlist(S1)'!$C$4:$C$1362,'Pinlist(S1)'!$F$4:$K$1362,""),_xlfn.LAMBDA(_xlpm.x,IF(_xlpm.x&lt;&gt;"",TRIM(CLEAN(LEFT(_xlpm.x,FIND(".",_xlpm.x &amp; ".")-1))),""))))))</f>
        <v>KA143</v>
      </c>
      <c r="D842">
        <v>0</v>
      </c>
      <c r="E842">
        <v>16.77</v>
      </c>
      <c r="F842" t="str">
        <f>_xlfn.LET(_xlpm.raw,_xlfn.XLOOKUP(A842,'Pinlist(S1)'!$C$4:$C$1362,'Pinlist(S1)'!$E$4:$E$1362,""),_xlpm.cleanRaw,SUBSTITUTE(SUBSTITUTE(_xlpm.raw,"_PIN","."),"PIN","."),_xlpm.mainPart,MID(_xlpm.cleanRaw,2,FIND(".",_xlpm.cleanRaw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G842" t="str">
        <f>_xlfn.LET(_xlpm.raw,_xlfn.XLOOKUP(A842,'Pinlist(S3)'!$C$4:$C$1362,'Pinlist(S3)'!$E$4:$E$1362,""),_xlpm.cleanRaw,SUBSTITUTE(SUBSTITUTE(_xlpm.raw,"_PIN","."),"PIN","."),_xlpm.mainPart,MID(_xlpm.cleanRaw,2,FIND(".",_xlpm.cleanRaw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842" t="str">
        <f>_xlfn.LET(_xlpm.raw,_xlfn.XLOOKUP(A842,'Pinlist(S5)'!$C$4:$C$1362,'Pinlist(S5)'!$E$4:$E$1362,""),_xlpm.cleanRaw,SUBSTITUTE(SUBSTITUTE(_xlpm.raw,"_PIN","."),"PIN","."),_xlpm.mainPart,MID(_xlpm.cleanRaw,2,FIND(".",_xlpm.cleanRaw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703032</v>
      </c>
      <c r="I842" t="str">
        <f>""</f>
        <v/>
      </c>
      <c r="J842" t="str">
        <f t="shared" si="13"/>
        <v>AM1;GPP_F_20_EMMC_DATA7;KA143;0;16.77;509018;804008;703032;</v>
      </c>
    </row>
    <row r="843" spans="1:10">
      <c r="A843" t="s">
        <v>1076</v>
      </c>
      <c r="B843" t="str">
        <f>_xlfn.XLOOKUP(A843,'Pinlist(S1)'!$Q$4:$Q$1362,'Pinlist(S1)'!$R$4:$R$1362,"")</f>
        <v>GPP_F_21_EMMC_RCLK</v>
      </c>
      <c r="C843" t="str" cm="1">
        <f t="array" ref="C843">_xlfn.TEXTJOIN(",",TRUE,_xlfn.UNIQUE(TRANSPOSE(_xlfn.MAP(_xlfn.XLOOKUP(A843,'Pinlist(S1)'!$C$4:$C$1362,'Pinlist(S1)'!$F$4:$K$1362,""),_xlfn.LAMBDA(_xlpm.x,IF(_xlpm.x&lt;&gt;"",TRIM(CLEAN(LEFT(_xlpm.x,FIND(".",_xlpm.x &amp; ".")-1))),""))))))</f>
        <v/>
      </c>
      <c r="D843">
        <v>0.64999999999999802</v>
      </c>
      <c r="E843">
        <v>16.77</v>
      </c>
      <c r="F843" t="str">
        <f>_xlfn.LET(_xlpm.raw,_xlfn.XLOOKUP(A843,'Pinlist(S1)'!$C$4:$C$1362,'Pinlist(S1)'!$E$4:$E$1362,""),_xlpm.cleanRaw,SUBSTITUTE(SUBSTITUTE(_xlpm.raw,"_PIN","."),"PIN","."),_xlpm.mainPart,MID(_xlpm.cleanRaw,2,FIND(".",_xlpm.cleanRaw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508076</v>
      </c>
      <c r="G843" t="str">
        <f>_xlfn.LET(_xlpm.raw,_xlfn.XLOOKUP(A843,'Pinlist(S3)'!$C$4:$C$1362,'Pinlist(S3)'!$E$4:$E$1362,""),_xlpm.cleanRaw,SUBSTITUTE(SUBSTITUTE(_xlpm.raw,"_PIN","."),"PIN","."),_xlpm.mainPart,MID(_xlpm.cleanRaw,2,FIND(".",_xlpm.cleanRaw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806107</v>
      </c>
      <c r="H843" t="str">
        <f>_xlfn.LET(_xlpm.raw,_xlfn.XLOOKUP(A843,'Pinlist(S5)'!$C$4:$C$1362,'Pinlist(S5)'!$E$4:$E$1362,""),_xlpm.cleanRaw,SUBSTITUTE(SUBSTITUTE(_xlpm.raw,"_PIN","."),"PIN","."),_xlpm.mainPart,MID(_xlpm.cleanRaw,2,FIND(".",_xlpm.cleanRaw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701102</v>
      </c>
      <c r="I843" t="str">
        <f>""</f>
        <v/>
      </c>
      <c r="J843" t="str">
        <f t="shared" si="13"/>
        <v>AM2;GPP_F_21_EMMC_RCLK;;0.649999999999998;16.77;508076;806107;701102;</v>
      </c>
    </row>
    <row r="844" spans="1:10">
      <c r="A844" t="s">
        <v>1078</v>
      </c>
      <c r="B844" t="str">
        <f>_xlfn.XLOOKUP(A844,'Pinlist(S1)'!$Q$4:$Q$1362,'Pinlist(S1)'!$R$4:$R$1362,"")</f>
        <v>GPP_F_22_EMMC_CLK</v>
      </c>
      <c r="C844" t="str" cm="1">
        <f t="array" ref="C844">_xlfn.TEXTJOIN(",",TRUE,_xlfn.UNIQUE(TRANSPOSE(_xlfn.MAP(_xlfn.XLOOKUP(A844,'Pinlist(S1)'!$C$4:$C$1362,'Pinlist(S1)'!$F$4:$K$1362,""),_xlfn.LAMBDA(_xlpm.x,IF(_xlpm.x&lt;&gt;"",TRIM(CLEAN(LEFT(_xlpm.x,FIND(".",_xlpm.x &amp; ".")-1))),""))))))</f>
        <v/>
      </c>
      <c r="D844">
        <v>1.2999999999999901</v>
      </c>
      <c r="E844">
        <v>16.77</v>
      </c>
      <c r="F844" t="str">
        <f>_xlfn.LET(_xlpm.raw,_xlfn.XLOOKUP(A844,'Pinlist(S1)'!$C$4:$C$1362,'Pinlist(S1)'!$E$4:$E$1362,""),_xlpm.cleanRaw,SUBSTITUTE(SUBSTITUTE(_xlpm.raw,"_PIN","."),"PIN","."),_xlpm.mainPart,MID(_xlpm.cleanRaw,2,FIND(".",_xlpm.cleanRaw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508048</v>
      </c>
      <c r="G844" t="str">
        <f>_xlfn.LET(_xlpm.raw,_xlfn.XLOOKUP(A844,'Pinlist(S3)'!$C$4:$C$1362,'Pinlist(S3)'!$E$4:$E$1362,""),_xlpm.cleanRaw,SUBSTITUTE(SUBSTITUTE(_xlpm.raw,"_PIN","."),"PIN","."),_xlpm.mainPart,MID(_xlpm.cleanRaw,2,FIND(".",_xlpm.cleanRaw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805063</v>
      </c>
      <c r="H844" t="str">
        <f>_xlfn.LET(_xlpm.raw,_xlfn.XLOOKUP(A844,'Pinlist(S5)'!$C$4:$C$1362,'Pinlist(S5)'!$E$4:$E$1362,""),_xlpm.cleanRaw,SUBSTITUTE(SUBSTITUTE(_xlpm.raw,"_PIN","."),"PIN","."),_xlpm.mainPart,MID(_xlpm.cleanRaw,2,FIND(".",_xlpm.cleanRaw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702052</v>
      </c>
      <c r="I844" t="str">
        <f>""</f>
        <v/>
      </c>
      <c r="J844" t="str">
        <f t="shared" si="13"/>
        <v>AM3;GPP_F_22_EMMC_CLK;;1.29999999999999;16.77;508048;805063;702052;</v>
      </c>
    </row>
    <row r="845" spans="1:10">
      <c r="A845" t="s">
        <v>1068</v>
      </c>
      <c r="B845" t="str">
        <f>_xlfn.XLOOKUP(A845,'Pinlist(S1)'!$Q$4:$Q$1362,'Pinlist(S1)'!$R$4:$R$1362,"")</f>
        <v>GPP_F_19_EMMC_DATA6</v>
      </c>
      <c r="C845" t="str" cm="1">
        <f t="array" ref="C845">_xlfn.TEXTJOIN(",",TRUE,_xlfn.UNIQUE(TRANSPOSE(_xlfn.MAP(_xlfn.XLOOKUP(A845,'Pinlist(S1)'!$C$4:$C$1362,'Pinlist(S1)'!$F$4:$K$1362,""),_xlfn.LAMBDA(_xlpm.x,IF(_xlpm.x&lt;&gt;"",TRIM(CLEAN(LEFT(_xlpm.x,FIND(".",_xlpm.x &amp; ".")-1))),""))))))</f>
        <v>KA142</v>
      </c>
      <c r="D845">
        <v>1.9510000000000001</v>
      </c>
      <c r="E845">
        <v>16.77</v>
      </c>
      <c r="F845" t="str">
        <f>_xlfn.LET(_xlpm.raw,_xlfn.XLOOKUP(A845,'Pinlist(S1)'!$C$4:$C$1362,'Pinlist(S1)'!$E$4:$E$1362,""),_xlpm.cleanRaw,SUBSTITUTE(SUBSTITUTE(_xlpm.raw,"_PIN","."),"PIN","."),_xlpm.mainPart,MID(_xlpm.cleanRaw,2,FIND(".",_xlpm.cleanRaw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509007</v>
      </c>
      <c r="G845" t="str">
        <f>_xlfn.LET(_xlpm.raw,_xlfn.XLOOKUP(A845,'Pinlist(S3)'!$C$4:$C$1362,'Pinlist(S3)'!$E$4:$E$1362,""),_xlpm.cleanRaw,SUBSTITUTE(SUBSTITUTE(_xlpm.raw,"_PIN","."),"PIN","."),_xlpm.mainPart,MID(_xlpm.cleanRaw,2,FIND(".",_xlpm.cleanRaw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845" t="str">
        <f>_xlfn.LET(_xlpm.raw,_xlfn.XLOOKUP(A845,'Pinlist(S5)'!$C$4:$C$1362,'Pinlist(S5)'!$E$4:$E$1362,""),_xlpm.cleanRaw,SUBSTITUTE(SUBSTITUTE(_xlpm.raw,"_PIN","."),"PIN","."),_xlpm.mainPart,MID(_xlpm.cleanRaw,2,FIND(".",_xlpm.cleanRaw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703013</v>
      </c>
      <c r="I845" t="str">
        <f>""</f>
        <v/>
      </c>
      <c r="J845" t="str">
        <f t="shared" si="13"/>
        <v>AM4;GPP_F_19_EMMC_DATA6;KA142;1.951;16.77;509007;805041;703013;</v>
      </c>
    </row>
    <row r="846" spans="1:10">
      <c r="A846" t="s">
        <v>865</v>
      </c>
      <c r="B846" t="str">
        <f>_xlfn.XLOOKUP(A846,'Pinlist(S1)'!$Q$4:$Q$1362,'Pinlist(S1)'!$R$4:$R$1362,"")</f>
        <v>GPP_B_19_GSPI1_CSB</v>
      </c>
      <c r="C846" t="str" cm="1">
        <f t="array" ref="C846">_xlfn.TEXTJOIN(",",TRUE,_xlfn.UNIQUE(TRANSPOSE(_xlfn.MAP(_xlfn.XLOOKUP(A846,'Pinlist(S1)'!$C$4:$C$1362,'Pinlist(S1)'!$F$4:$K$1362,""),_xlfn.LAMBDA(_xlpm.x,IF(_xlpm.x&lt;&gt;"",TRIM(CLEAN(LEFT(_xlpm.x,FIND(".",_xlpm.x &amp; ".")-1))),""))))))</f>
        <v/>
      </c>
      <c r="D846">
        <v>2.6599999999999899</v>
      </c>
      <c r="E846">
        <v>16.259999999999899</v>
      </c>
      <c r="F846" t="str">
        <f>_xlfn.LET(_xlpm.raw,_xlfn.XLOOKUP(A846,'Pinlist(S1)'!$C$4:$C$1362,'Pinlist(S1)'!$E$4:$E$1362,""),_xlpm.cleanRaw,SUBSTITUTE(SUBSTITUTE(_xlpm.raw,"_PIN","."),"PIN","."),_xlpm.mainPart,MID(_xlpm.cleanRaw,2,FIND(".",_xlpm.cleanRaw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509017</v>
      </c>
      <c r="G846" t="str">
        <f>_xlfn.LET(_xlpm.raw,_xlfn.XLOOKUP(A846,'Pinlist(S3)'!$C$4:$C$1362,'Pinlist(S3)'!$E$4:$E$1362,""),_xlpm.cleanRaw,SUBSTITUTE(SUBSTITUTE(_xlpm.raw,"_PIN","."),"PIN","."),_xlpm.mainPart,MID(_xlpm.cleanRaw,2,FIND(".",_xlpm.cleanRaw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805059</v>
      </c>
      <c r="H846" t="str">
        <f>_xlfn.LET(_xlpm.raw,_xlfn.XLOOKUP(A846,'Pinlist(S5)'!$C$4:$C$1362,'Pinlist(S5)'!$E$4:$E$1362,""),_xlpm.cleanRaw,SUBSTITUTE(SUBSTITUTE(_xlpm.raw,"_PIN","."),"PIN","."),_xlpm.mainPart,MID(_xlpm.cleanRaw,2,FIND(".",_xlpm.cleanRaw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702060</v>
      </c>
      <c r="I846" t="str">
        <f>""</f>
        <v/>
      </c>
      <c r="J846" t="str">
        <f t="shared" si="13"/>
        <v>AM5;GPP_B_19_GSPI1_CSB;;2.65999999999999;16.2599999999999;509017;805059;702060;</v>
      </c>
    </row>
    <row r="847" spans="1:10">
      <c r="A847" t="s">
        <v>875</v>
      </c>
      <c r="B847" t="str">
        <f>_xlfn.XLOOKUP(A847,'Pinlist(S1)'!$Q$4:$Q$1362,'Pinlist(S1)'!$R$4:$R$1362,"")</f>
        <v>GPP_B_23_SML1ALERTB_PCHHOTB</v>
      </c>
      <c r="C847" t="str" cm="1">
        <f t="array" ref="C847">_xlfn.TEXTJOIN(",",TRUE,_xlfn.UNIQUE(TRANSPOSE(_xlfn.MAP(_xlfn.XLOOKUP(A847,'Pinlist(S1)'!$C$4:$C$1362,'Pinlist(S1)'!$F$4:$K$1362,""),_xlfn.LAMBDA(_xlpm.x,IF(_xlpm.x&lt;&gt;"",TRIM(CLEAN(LEFT(_xlpm.x,FIND(".",_xlpm.x &amp; ".")-1))),""))))))</f>
        <v/>
      </c>
      <c r="D847">
        <v>3.5739999999999901</v>
      </c>
      <c r="E847">
        <v>16.259999999999899</v>
      </c>
      <c r="F847" t="str">
        <f>_xlfn.LET(_xlpm.raw,_xlfn.XLOOKUP(A847,'Pinlist(S1)'!$C$4:$C$1362,'Pinlist(S1)'!$E$4:$E$1362,""),_xlpm.cleanRaw,SUBSTITUTE(SUBSTITUTE(_xlpm.raw,"_PIN","."),"PIN","."),_xlpm.mainPart,MID(_xlpm.cleanRaw,2,FIND(".",_xlpm.cleanRaw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507092</v>
      </c>
      <c r="G847" t="str">
        <f>_xlfn.LET(_xlpm.raw,_xlfn.XLOOKUP(A847,'Pinlist(S3)'!$C$4:$C$1362,'Pinlist(S3)'!$E$4:$E$1362,""),_xlpm.cleanRaw,SUBSTITUTE(SUBSTITUTE(_xlpm.raw,"_PIN","."),"PIN","."),_xlpm.mainPart,MID(_xlpm.cleanRaw,2,FIND(".",_xlpm.cleanRaw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806102</v>
      </c>
      <c r="H847" t="str">
        <f>_xlfn.LET(_xlpm.raw,_xlfn.XLOOKUP(A847,'Pinlist(S5)'!$C$4:$C$1362,'Pinlist(S5)'!$E$4:$E$1362,""),_xlpm.cleanRaw,SUBSTITUTE(SUBSTITUTE(_xlpm.raw,"_PIN","."),"PIN","."),_xlpm.mainPart,MID(_xlpm.cleanRaw,2,FIND(".",_xlpm.cleanRaw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701113</v>
      </c>
      <c r="I847" t="str">
        <f>""</f>
        <v/>
      </c>
      <c r="J847" t="str">
        <f t="shared" si="13"/>
        <v>AM7;GPP_B_23_SML1ALERTB_PCHHOTB;;3.57399999999999;16.2599999999999;507092;806102;701113;</v>
      </c>
    </row>
    <row r="848" spans="1:10">
      <c r="A848" t="s">
        <v>1968</v>
      </c>
      <c r="B848" t="str">
        <f>_xlfn.XLOOKUP(A848,'Pinlist(S1)'!$Q$4:$Q$1362,'Pinlist(S1)'!$R$4:$R$1362,"")</f>
        <v>VSS</v>
      </c>
      <c r="C848" t="str" cm="1">
        <f t="array" ref="C848">_xlfn.TEXTJOIN(",",TRUE,_xlfn.UNIQUE(TRANSPOSE(_xlfn.MAP(_xlfn.XLOOKUP(A848,'Pinlist(S1)'!$C$4:$C$1362,'Pinlist(S1)'!$F$4:$K$1362,""),_xlfn.LAMBDA(_xlpm.x,IF(_xlpm.x&lt;&gt;"",TRIM(CLEAN(LEFT(_xlpm.x,FIND(".",_xlpm.x &amp; ".")-1))),""))))))</f>
        <v/>
      </c>
      <c r="D848">
        <v>4.4889999999999999</v>
      </c>
      <c r="E848">
        <v>16.259999999999899</v>
      </c>
      <c r="F848" t="str">
        <f>_xlfn.LET(_xlpm.raw,_xlfn.XLOOKUP(A848,'Pinlist(S1)'!$C$4:$C$1362,'Pinlist(S1)'!$E$4:$E$1362,""),_xlpm.cleanRaw,SUBSTITUTE(SUBSTITUTE(_xlpm.raw,"_PIN","."),"PIN","."),_xlpm.mainPart,MID(_xlpm.cleanRaw,2,FIND(".",_xlpm.cleanRaw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8" t="str">
        <f>_xlfn.LET(_xlpm.raw,_xlfn.XLOOKUP(A848,'Pinlist(S3)'!$C$4:$C$1362,'Pinlist(S3)'!$E$4:$E$1362,""),_xlpm.cleanRaw,SUBSTITUTE(SUBSTITUTE(_xlpm.raw,"_PIN","."),"PIN","."),_xlpm.mainPart,MID(_xlpm.cleanRaw,2,FIND(".",_xlpm.cleanRaw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8" t="str">
        <f>_xlfn.LET(_xlpm.raw,_xlfn.XLOOKUP(A848,'Pinlist(S5)'!$C$4:$C$1362,'Pinlist(S5)'!$E$4:$E$1362,""),_xlpm.cleanRaw,SUBSTITUTE(SUBSTITUTE(_xlpm.raw,"_PIN","."),"PIN","."),_xlpm.mainPart,MID(_xlpm.cleanRaw,2,FIND(".",_xlpm.cleanRaw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48" t="str">
        <f>""</f>
        <v/>
      </c>
      <c r="J848" t="str">
        <f t="shared" si="13"/>
        <v>AM8;VSS;;4.489;16.2599999999999;;;;</v>
      </c>
    </row>
    <row r="849" spans="1:10">
      <c r="A849" t="s">
        <v>849</v>
      </c>
      <c r="B849" t="str">
        <f>_xlfn.XLOOKUP(A849,'Pinlist(S1)'!$Q$4:$Q$1362,'Pinlist(S1)'!$R$4:$R$1362,"")</f>
        <v>GPP_B_11_EXT_PWR_GATEB</v>
      </c>
      <c r="C849" t="str" cm="1">
        <f t="array" ref="C849">_xlfn.TEXTJOIN(",",TRUE,_xlfn.UNIQUE(TRANSPOSE(_xlfn.MAP(_xlfn.XLOOKUP(A849,'Pinlist(S1)'!$C$4:$C$1362,'Pinlist(S1)'!$F$4:$K$1362,""),_xlfn.LAMBDA(_xlpm.x,IF(_xlpm.x&lt;&gt;"",TRIM(CLEAN(LEFT(_xlpm.x,FIND(".",_xlpm.x &amp; ".")-1))),""))))))</f>
        <v/>
      </c>
      <c r="D849">
        <v>5.4029999999999898</v>
      </c>
      <c r="E849">
        <v>16.259999999999899</v>
      </c>
      <c r="F849" t="str">
        <f>_xlfn.LET(_xlpm.raw,_xlfn.XLOOKUP(A849,'Pinlist(S1)'!$C$4:$C$1362,'Pinlist(S1)'!$E$4:$E$1362,""),_xlpm.cleanRaw,SUBSTITUTE(SUBSTITUTE(_xlpm.raw,"_PIN","."),"PIN","."),_xlpm.mainPart,MID(_xlpm.cleanRaw,2,FIND(".",_xlpm.cleanRaw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507112</v>
      </c>
      <c r="G849" t="str">
        <f>_xlfn.LET(_xlpm.raw,_xlfn.XLOOKUP(A849,'Pinlist(S3)'!$C$4:$C$1362,'Pinlist(S3)'!$E$4:$E$1362,""),_xlpm.cleanRaw,SUBSTITUTE(SUBSTITUTE(_xlpm.raw,"_PIN","."),"PIN","."),_xlpm.mainPart,MID(_xlpm.cleanRaw,2,FIND(".",_xlpm.cleanRaw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806095</v>
      </c>
      <c r="H849" t="str">
        <f>_xlfn.LET(_xlpm.raw,_xlfn.XLOOKUP(A849,'Pinlist(S5)'!$C$4:$C$1362,'Pinlist(S5)'!$E$4:$E$1362,""),_xlpm.cleanRaw,SUBSTITUTE(SUBSTITUTE(_xlpm.raw,"_PIN","."),"PIN","."),_xlpm.mainPart,MID(_xlpm.cleanRaw,2,FIND(".",_xlpm.cleanRaw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701114</v>
      </c>
      <c r="I849" t="str">
        <f>""</f>
        <v/>
      </c>
      <c r="J849" t="str">
        <f t="shared" si="13"/>
        <v>AM10;GPP_B_11_EXT_PWR_GATEB;;5.40299999999999;16.2599999999999;507112;806095;701114;</v>
      </c>
    </row>
    <row r="850" spans="1:10">
      <c r="A850" t="s">
        <v>867</v>
      </c>
      <c r="B850" t="str">
        <f>_xlfn.XLOOKUP(A850,'Pinlist(S1)'!$Q$4:$Q$1362,'Pinlist(S1)'!$R$4:$R$1362,"")</f>
        <v>GPP_B_2_VRALERTB</v>
      </c>
      <c r="C850" t="str" cm="1">
        <f t="array" ref="C850">_xlfn.TEXTJOIN(",",TRUE,_xlfn.UNIQUE(TRANSPOSE(_xlfn.MAP(_xlfn.XLOOKUP(A850,'Pinlist(S1)'!$C$4:$C$1362,'Pinlist(S1)'!$F$4:$K$1362,""),_xlfn.LAMBDA(_xlpm.x,IF(_xlpm.x&lt;&gt;"",TRIM(CLEAN(LEFT(_xlpm.x,FIND(".",_xlpm.x &amp; ".")-1))),""))))))</f>
        <v>KA108</v>
      </c>
      <c r="D850">
        <v>6.3179999999999898</v>
      </c>
      <c r="E850">
        <v>16.259999999999899</v>
      </c>
      <c r="F850" t="str">
        <f>_xlfn.LET(_xlpm.raw,_xlfn.XLOOKUP(A850,'Pinlist(S1)'!$C$4:$C$1362,'Pinlist(S1)'!$E$4:$E$1362,""),_xlpm.cleanRaw,SUBSTITUTE(SUBSTITUTE(_xlpm.raw,"_PIN","."),"PIN","."),_xlpm.mainPart,MID(_xlpm.cleanRaw,2,FIND(".",_xlpm.cleanRaw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850" t="str">
        <f>_xlfn.LET(_xlpm.raw,_xlfn.XLOOKUP(A850,'Pinlist(S3)'!$C$4:$C$1362,'Pinlist(S3)'!$E$4:$E$1362,""),_xlpm.cleanRaw,SUBSTITUTE(SUBSTITUTE(_xlpm.raw,"_PIN","."),"PIN","."),_xlpm.mainPart,MID(_xlpm.cleanRaw,2,FIND(".",_xlpm.cleanRaw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850" t="str">
        <f>_xlfn.LET(_xlpm.raw,_xlfn.XLOOKUP(A850,'Pinlist(S5)'!$C$4:$C$1362,'Pinlist(S5)'!$E$4:$E$1362,""),_xlpm.cleanRaw,SUBSTITUTE(SUBSTITUTE(_xlpm.raw,"_PIN","."),"PIN","."),_xlpm.mainPart,MID(_xlpm.cleanRaw,2,FIND(".",_xlpm.cleanRaw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850" t="str">
        <f>""</f>
        <v/>
      </c>
      <c r="J850" t="str">
        <f t="shared" si="13"/>
        <v>AM11;GPP_B_2_VRALERTB;KA108;6.31799999999999;16.2599999999999;507128;806098;601001;</v>
      </c>
    </row>
    <row r="851" spans="1:10">
      <c r="A851" t="s">
        <v>1956</v>
      </c>
      <c r="B851" t="str">
        <f>_xlfn.XLOOKUP(A851,'Pinlist(S1)'!$Q$4:$Q$1362,'Pinlist(S1)'!$R$4:$R$1362,"")</f>
        <v>VSS</v>
      </c>
      <c r="C851" t="str" cm="1">
        <f t="array" ref="C851">_xlfn.TEXTJOIN(",",TRUE,_xlfn.UNIQUE(TRANSPOSE(_xlfn.MAP(_xlfn.XLOOKUP(A851,'Pinlist(S1)'!$C$4:$C$1362,'Pinlist(S1)'!$F$4:$K$1362,""),_xlfn.LAMBDA(_xlpm.x,IF(_xlpm.x&lt;&gt;"",TRIM(CLEAN(LEFT(_xlpm.x,FIND(".",_xlpm.x &amp; ".")-1))),""))))))</f>
        <v/>
      </c>
      <c r="D851">
        <v>7.2319999999999904</v>
      </c>
      <c r="E851">
        <v>16.259999999999899</v>
      </c>
      <c r="F851" t="str">
        <f>_xlfn.LET(_xlpm.raw,_xlfn.XLOOKUP(A851,'Pinlist(S1)'!$C$4:$C$1362,'Pinlist(S1)'!$E$4:$E$1362,""),_xlpm.cleanRaw,SUBSTITUTE(SUBSTITUTE(_xlpm.raw,"_PIN","."),"PIN","."),_xlpm.mainPart,MID(_xlpm.cleanRaw,2,FIND(".",_xlpm.cleanRaw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1" t="str">
        <f>_xlfn.LET(_xlpm.raw,_xlfn.XLOOKUP(A851,'Pinlist(S3)'!$C$4:$C$1362,'Pinlist(S3)'!$E$4:$E$1362,""),_xlpm.cleanRaw,SUBSTITUTE(SUBSTITUTE(_xlpm.raw,"_PIN","."),"PIN","."),_xlpm.mainPart,MID(_xlpm.cleanRaw,2,FIND(".",_xlpm.cleanRaw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1" t="str">
        <f>_xlfn.LET(_xlpm.raw,_xlfn.XLOOKUP(A851,'Pinlist(S5)'!$C$4:$C$1362,'Pinlist(S5)'!$E$4:$E$1362,""),_xlpm.cleanRaw,SUBSTITUTE(SUBSTITUTE(_xlpm.raw,"_PIN","."),"PIN","."),_xlpm.mainPart,MID(_xlpm.cleanRaw,2,FIND(".",_xlpm.cleanRaw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1" t="str">
        <f>""</f>
        <v/>
      </c>
      <c r="J851" t="str">
        <f t="shared" si="13"/>
        <v>AM13;VSS;;7.23199999999999;16.2599999999999;;;;</v>
      </c>
    </row>
    <row r="852" spans="1:10">
      <c r="A852" t="s">
        <v>779</v>
      </c>
      <c r="B852" t="str">
        <f>_xlfn.XLOOKUP(A852,'Pinlist(S1)'!$Q$4:$Q$1362,'Pinlist(S1)'!$R$4:$R$1362,"")</f>
        <v>GPD_2_LAN_WAKEB</v>
      </c>
      <c r="C852" t="str" cm="1">
        <f t="array" ref="C852">_xlfn.TEXTJOIN(",",TRUE,_xlfn.UNIQUE(TRANSPOSE(_xlfn.MAP(_xlfn.XLOOKUP(A852,'Pinlist(S1)'!$C$4:$C$1362,'Pinlist(S1)'!$F$4:$K$1362,""),_xlfn.LAMBDA(_xlpm.x,IF(_xlpm.x&lt;&gt;"",TRIM(CLEAN(LEFT(_xlpm.x,FIND(".",_xlpm.x &amp; ".")-1))),""))))))</f>
        <v/>
      </c>
      <c r="D852">
        <v>8.1460000000000008</v>
      </c>
      <c r="E852">
        <v>16.259999999999899</v>
      </c>
      <c r="F852" t="str">
        <f>_xlfn.LET(_xlpm.raw,_xlfn.XLOOKUP(A852,'Pinlist(S1)'!$C$4:$C$1362,'Pinlist(S1)'!$E$4:$E$1362,""),_xlpm.cleanRaw,SUBSTITUTE(SUBSTITUTE(_xlpm.raw,"_PIN","."),"PIN","."),_xlpm.mainPart,MID(_xlpm.cleanRaw,2,FIND(".",_xlpm.cleanRaw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505069</v>
      </c>
      <c r="G852" t="str">
        <f>_xlfn.LET(_xlpm.raw,_xlfn.XLOOKUP(A852,'Pinlist(S3)'!$C$4:$C$1362,'Pinlist(S3)'!$E$4:$E$1362,""),_xlpm.cleanRaw,SUBSTITUTE(SUBSTITUTE(_xlpm.raw,"_PIN","."),"PIN","."),_xlpm.mainPart,MID(_xlpm.cleanRaw,2,FIND(".",_xlpm.cleanRaw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808065</v>
      </c>
      <c r="H852" t="str">
        <f>_xlfn.LET(_xlpm.raw,_xlfn.XLOOKUP(A852,'Pinlist(S5)'!$C$4:$C$1362,'Pinlist(S5)'!$E$4:$E$1362,""),_xlpm.cleanRaw,SUBSTITUTE(SUBSTITUTE(_xlpm.raw,"_PIN","."),"PIN","."),_xlpm.mainPart,MID(_xlpm.cleanRaw,2,FIND(".",_xlpm.cleanRaw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701094</v>
      </c>
      <c r="I852" t="str">
        <f>""</f>
        <v/>
      </c>
      <c r="J852" t="str">
        <f t="shared" si="13"/>
        <v>AM15;GPD_2_LAN_WAKEB;;8.146;16.2599999999999;505069;808065;701094;</v>
      </c>
    </row>
    <row r="853" spans="1:10">
      <c r="A853" t="s">
        <v>1353</v>
      </c>
      <c r="B853" t="str">
        <f>_xlfn.XLOOKUP(A853,'Pinlist(S1)'!$Q$4:$Q$1362,'Pinlist(S1)'!$R$4:$R$1362,"")</f>
        <v>RTESTB</v>
      </c>
      <c r="C853" t="str" cm="1">
        <f t="array" ref="C853">_xlfn.TEXTJOIN(",",TRUE,_xlfn.UNIQUE(TRANSPOSE(_xlfn.MAP(_xlfn.XLOOKUP(A853,'Pinlist(S1)'!$C$4:$C$1362,'Pinlist(S1)'!$F$4:$K$1362,""),_xlfn.LAMBDA(_xlpm.x,IF(_xlpm.x&lt;&gt;"",TRIM(CLEAN(LEFT(_xlpm.x,FIND(".",_xlpm.x &amp; ".")-1))),""))))))</f>
        <v/>
      </c>
      <c r="D853">
        <v>9.0609999999999999</v>
      </c>
      <c r="E853">
        <v>16.259999999999899</v>
      </c>
      <c r="F853" t="str">
        <f>_xlfn.LET(_xlpm.raw,_xlfn.XLOOKUP(A853,'Pinlist(S1)'!$C$4:$C$1362,'Pinlist(S1)'!$E$4:$E$1362,""),_xlpm.cleanRaw,SUBSTITUTE(SUBSTITUTE(_xlpm.raw,"_PIN","."),"PIN","."),_xlpm.mainPart,MID(_xlpm.cleanRaw,2,FIND(".",_xlpm.cleanRaw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505041</v>
      </c>
      <c r="G853" t="str">
        <f>_xlfn.LET(_xlpm.raw,_xlfn.XLOOKUP(A853,'Pinlist(S3)'!$C$4:$C$1362,'Pinlist(S3)'!$E$4:$E$1362,""),_xlpm.cleanRaw,SUBSTITUTE(SUBSTITUTE(_xlpm.raw,"_PIN","."),"PIN","."),_xlpm.mainPart,MID(_xlpm.cleanRaw,2,FIND(".",_xlpm.cleanRaw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809089</v>
      </c>
      <c r="H853" t="str">
        <f>_xlfn.LET(_xlpm.raw,_xlfn.XLOOKUP(A853,'Pinlist(S5)'!$C$4:$C$1362,'Pinlist(S5)'!$E$4:$E$1362,""),_xlpm.cleanRaw,SUBSTITUTE(SUBSTITUTE(_xlpm.raw,"_PIN","."),"PIN","."),_xlpm.mainPart,MID(_xlpm.cleanRaw,2,FIND(".",_xlpm.cleanRaw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602044</v>
      </c>
      <c r="I853" t="str">
        <f>""</f>
        <v/>
      </c>
      <c r="J853" t="str">
        <f t="shared" si="13"/>
        <v>AM16;RTESTB;;9.061;16.2599999999999;505041;809089;602044;</v>
      </c>
    </row>
    <row r="854" spans="1:10">
      <c r="A854" t="s">
        <v>1349</v>
      </c>
      <c r="B854" t="str">
        <f>_xlfn.XLOOKUP(A854,'Pinlist(S1)'!$Q$4:$Q$1362,'Pinlist(S1)'!$R$4:$R$1362,"")</f>
        <v>RTCX1</v>
      </c>
      <c r="C854" t="str" cm="1">
        <f t="array" ref="C854">_xlfn.TEXTJOIN(",",TRUE,_xlfn.UNIQUE(TRANSPOSE(_xlfn.MAP(_xlfn.XLOOKUP(A854,'Pinlist(S1)'!$C$4:$C$1362,'Pinlist(S1)'!$F$4:$K$1362,""),_xlfn.LAMBDA(_xlpm.x,IF(_xlpm.x&lt;&gt;"",TRIM(CLEAN(LEFT(_xlpm.x,FIND(".",_xlpm.x &amp; ".")-1))),""))))))</f>
        <v>KA137,KA138</v>
      </c>
      <c r="D854">
        <v>9.9749999999999996</v>
      </c>
      <c r="E854">
        <v>16.259999999999899</v>
      </c>
      <c r="F854" t="str">
        <f>_xlfn.LET(_xlpm.raw,_xlfn.XLOOKUP(A854,'Pinlist(S1)'!$C$4:$C$1362,'Pinlist(S1)'!$E$4:$E$1362,""),_xlpm.cleanRaw,SUBSTITUTE(SUBSTITUTE(_xlpm.raw,"_PIN","."),"PIN","."),_xlpm.mainPart,MID(_xlpm.cleanRaw,2,FIND(".",_xlpm.cleanRaw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509005</v>
      </c>
      <c r="G854" t="str">
        <f>_xlfn.LET(_xlpm.raw,_xlfn.XLOOKUP(A854,'Pinlist(S3)'!$C$4:$C$1362,'Pinlist(S3)'!$E$4:$E$1362,""),_xlpm.cleanRaw,SUBSTITUTE(SUBSTITUTE(_xlpm.raw,"_PIN","."),"PIN","."),_xlpm.mainPart,MID(_xlpm.cleanRaw,2,FIND(".",_xlpm.cleanRaw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804006</v>
      </c>
      <c r="H854" t="str">
        <f>_xlfn.LET(_xlpm.raw,_xlfn.XLOOKUP(A854,'Pinlist(S5)'!$C$4:$C$1362,'Pinlist(S5)'!$E$4:$E$1362,""),_xlpm.cleanRaw,SUBSTITUTE(SUBSTITUTE(_xlpm.raw,"_PIN","."),"PIN","."),_xlpm.mainPart,MID(_xlpm.cleanRaw,2,FIND(".",_xlpm.cleanRaw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703008</v>
      </c>
      <c r="I854" t="str">
        <f>""</f>
        <v/>
      </c>
      <c r="J854" t="str">
        <f t="shared" si="13"/>
        <v>AM18;RTCX1;KA137,KA138;9.975;16.2599999999999;509005;804006;703008;</v>
      </c>
    </row>
    <row r="855" spans="1:10">
      <c r="A855" t="s">
        <v>1351</v>
      </c>
      <c r="B855" t="str">
        <f>_xlfn.XLOOKUP(A855,'Pinlist(S1)'!$Q$4:$Q$1362,'Pinlist(S1)'!$R$4:$R$1362,"")</f>
        <v>RTCX2</v>
      </c>
      <c r="C855" t="str" cm="1">
        <f t="array" ref="C855">_xlfn.TEXTJOIN(",",TRUE,_xlfn.UNIQUE(TRANSPOSE(_xlfn.MAP(_xlfn.XLOOKUP(A855,'Pinlist(S1)'!$C$4:$C$1362,'Pinlist(S1)'!$F$4:$K$1362,""),_xlfn.LAMBDA(_xlpm.x,IF(_xlpm.x&lt;&gt;"",TRIM(CLEAN(LEFT(_xlpm.x,FIND(".",_xlpm.x &amp; ".")-1))),""))))))</f>
        <v>KA137,RA165</v>
      </c>
      <c r="D855">
        <v>10.89</v>
      </c>
      <c r="E855">
        <v>16.259999999999899</v>
      </c>
      <c r="F855" t="str">
        <f>_xlfn.LET(_xlpm.raw,_xlfn.XLOOKUP(A855,'Pinlist(S1)'!$C$4:$C$1362,'Pinlist(S1)'!$E$4:$E$1362,""),_xlpm.cleanRaw,SUBSTITUTE(SUBSTITUTE(_xlpm.raw,"_PIN","."),"PIN","."),_xlpm.mainPart,MID(_xlpm.cleanRaw,2,FIND(".",_xlpm.cleanRaw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509040</v>
      </c>
      <c r="G855" t="str">
        <f>_xlfn.LET(_xlpm.raw,_xlfn.XLOOKUP(A855,'Pinlist(S3)'!$C$4:$C$1362,'Pinlist(S3)'!$E$4:$E$1362,""),_xlpm.cleanRaw,SUBSTITUTE(SUBSTITUTE(_xlpm.raw,"_PIN","."),"PIN","."),_xlpm.mainPart,MID(_xlpm.cleanRaw,2,FIND(".",_xlpm.cleanRaw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804004</v>
      </c>
      <c r="H855" t="str">
        <f>_xlfn.LET(_xlpm.raw,_xlfn.XLOOKUP(A855,'Pinlist(S5)'!$C$4:$C$1362,'Pinlist(S5)'!$E$4:$E$1362,""),_xlpm.cleanRaw,SUBSTITUTE(SUBSTITUTE(_xlpm.raw,"_PIN","."),"PIN","."),_xlpm.mainPart,MID(_xlpm.cleanRaw,2,FIND(".",_xlpm.cleanRaw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702061</v>
      </c>
      <c r="I855" t="str">
        <f>""</f>
        <v/>
      </c>
      <c r="J855" t="str">
        <f t="shared" si="13"/>
        <v>AM20;RTCX2;KA137,RA165;10.89;16.2599999999999;509040;804004;702061;</v>
      </c>
    </row>
    <row r="856" spans="1:10">
      <c r="A856" t="s">
        <v>1957</v>
      </c>
      <c r="B856" t="str">
        <f>_xlfn.XLOOKUP(A856,'Pinlist(S1)'!$Q$4:$Q$1362,'Pinlist(S1)'!$R$4:$R$1362,"")</f>
        <v>VSS</v>
      </c>
      <c r="C856" t="str" cm="1">
        <f t="array" ref="C856">_xlfn.TEXTJOIN(",",TRUE,_xlfn.UNIQUE(TRANSPOSE(_xlfn.MAP(_xlfn.XLOOKUP(A856,'Pinlist(S1)'!$C$4:$C$1362,'Pinlist(S1)'!$F$4:$K$1362,""),_xlfn.LAMBDA(_xlpm.x,IF(_xlpm.x&lt;&gt;"",TRIM(CLEAN(LEFT(_xlpm.x,FIND(".",_xlpm.x &amp; ".")-1))),""))))))</f>
        <v/>
      </c>
      <c r="D856">
        <v>11.804</v>
      </c>
      <c r="E856">
        <v>16.259999999999899</v>
      </c>
      <c r="F856" t="str">
        <f>_xlfn.LET(_xlpm.raw,_xlfn.XLOOKUP(A856,'Pinlist(S1)'!$C$4:$C$1362,'Pinlist(S1)'!$E$4:$E$1362,""),_xlpm.cleanRaw,SUBSTITUTE(SUBSTITUTE(_xlpm.raw,"_PIN","."),"PIN","."),_xlpm.mainPart,MID(_xlpm.cleanRaw,2,FIND(".",_xlpm.cleanRaw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6" t="str">
        <f>_xlfn.LET(_xlpm.raw,_xlfn.XLOOKUP(A856,'Pinlist(S3)'!$C$4:$C$1362,'Pinlist(S3)'!$E$4:$E$1362,""),_xlpm.cleanRaw,SUBSTITUTE(SUBSTITUTE(_xlpm.raw,"_PIN","."),"PIN","."),_xlpm.mainPart,MID(_xlpm.cleanRaw,2,FIND(".",_xlpm.cleanRaw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6" t="str">
        <f>_xlfn.LET(_xlpm.raw,_xlfn.XLOOKUP(A856,'Pinlist(S5)'!$C$4:$C$1362,'Pinlist(S5)'!$E$4:$E$1362,""),_xlpm.cleanRaw,SUBSTITUTE(SUBSTITUTE(_xlpm.raw,"_PIN","."),"PIN","."),_xlpm.mainPart,MID(_xlpm.cleanRaw,2,FIND(".",_xlpm.cleanRaw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6" t="str">
        <f>""</f>
        <v/>
      </c>
      <c r="J856" t="str">
        <f t="shared" si="13"/>
        <v>AM21;VSS;;11.804;16.2599999999999;;;;</v>
      </c>
    </row>
    <row r="857" spans="1:10">
      <c r="A857" t="s">
        <v>2257</v>
      </c>
      <c r="B857" t="str">
        <f>_xlfn.XLOOKUP(A857,'Pinlist(S1)'!$Q$4:$Q$1362,'Pinlist(S1)'!$R$4:$R$1362,"")</f>
        <v>VSSIO_SENSE</v>
      </c>
      <c r="C857" t="str" cm="1">
        <f t="array" ref="C857">_xlfn.TEXTJOIN(",",TRUE,_xlfn.UNIQUE(TRANSPOSE(_xlfn.MAP(_xlfn.XLOOKUP(A857,'Pinlist(S1)'!$C$4:$C$1362,'Pinlist(S1)'!$F$4:$K$1362,""),_xlfn.LAMBDA(_xlpm.x,IF(_xlpm.x&lt;&gt;"",TRIM(CLEAN(LEFT(_xlpm.x,FIND(".",_xlpm.x &amp; ".")-1))),""))))))</f>
        <v/>
      </c>
      <c r="D857">
        <v>12.718</v>
      </c>
      <c r="E857">
        <v>16.259999999999899</v>
      </c>
      <c r="F857" t="str">
        <f>_xlfn.LET(_xlpm.raw,_xlfn.XLOOKUP(A857,'Pinlist(S1)'!$C$4:$C$1362,'Pinlist(S1)'!$E$4:$E$1362,""),_xlpm.cleanRaw,SUBSTITUTE(SUBSTITUTE(_xlpm.raw,"_PIN","."),"PIN","."),_xlpm.mainPart,MID(_xlpm.cleanRaw,2,FIND(".",_xlpm.cleanRaw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7" t="str">
        <f>_xlfn.LET(_xlpm.raw,_xlfn.XLOOKUP(A857,'Pinlist(S3)'!$C$4:$C$1362,'Pinlist(S3)'!$E$4:$E$1362,""),_xlpm.cleanRaw,SUBSTITUTE(SUBSTITUTE(_xlpm.raw,"_PIN","."),"PIN","."),_xlpm.mainPart,MID(_xlpm.cleanRaw,2,FIND(".",_xlpm.cleanRaw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7" t="str">
        <f>_xlfn.LET(_xlpm.raw,_xlfn.XLOOKUP(A857,'Pinlist(S5)'!$C$4:$C$1362,'Pinlist(S5)'!$E$4:$E$1362,""),_xlpm.cleanRaw,SUBSTITUTE(SUBSTITUTE(_xlpm.raw,"_PIN","."),"PIN","."),_xlpm.mainPart,MID(_xlpm.cleanRaw,2,FIND(".",_xlpm.cleanRaw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7" t="str">
        <f>""</f>
        <v/>
      </c>
      <c r="J857" t="str">
        <f t="shared" si="13"/>
        <v>AM22;VSSIO_SENSE;;12.718;16.2599999999999;;;;</v>
      </c>
    </row>
    <row r="858" spans="1:10">
      <c r="A858" t="s">
        <v>1773</v>
      </c>
      <c r="B858" t="str">
        <f>_xlfn.XLOOKUP(A858,'Pinlist(S1)'!$Q$4:$Q$1362,'Pinlist(S1)'!$R$4:$R$1362,"")</f>
        <v>VCCIO_SENSE</v>
      </c>
      <c r="C858" t="str" cm="1">
        <f t="array" ref="C858">_xlfn.TEXTJOIN(",",TRUE,_xlfn.UNIQUE(TRANSPOSE(_xlfn.MAP(_xlfn.XLOOKUP(A858,'Pinlist(S1)'!$C$4:$C$1362,'Pinlist(S1)'!$F$4:$K$1362,""),_xlfn.LAMBDA(_xlpm.x,IF(_xlpm.x&lt;&gt;"",TRIM(CLEAN(LEFT(_xlpm.x,FIND(".",_xlpm.x &amp; ".")-1))),""))))))</f>
        <v/>
      </c>
      <c r="D858">
        <v>13.632999999999999</v>
      </c>
      <c r="E858">
        <v>16.259999999999899</v>
      </c>
      <c r="F858" t="str">
        <f>_xlfn.LET(_xlpm.raw,_xlfn.XLOOKUP(A858,'Pinlist(S1)'!$C$4:$C$1362,'Pinlist(S1)'!$E$4:$E$1362,""),_xlpm.cleanRaw,SUBSTITUTE(SUBSTITUTE(_xlpm.raw,"_PIN","."),"PIN","."),_xlpm.mainPart,MID(_xlpm.cleanRaw,2,FIND(".",_xlpm.cleanRaw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8" t="str">
        <f>_xlfn.LET(_xlpm.raw,_xlfn.XLOOKUP(A858,'Pinlist(S3)'!$C$4:$C$1362,'Pinlist(S3)'!$E$4:$E$1362,""),_xlpm.cleanRaw,SUBSTITUTE(SUBSTITUTE(_xlpm.raw,"_PIN","."),"PIN","."),_xlpm.mainPart,MID(_xlpm.cleanRaw,2,FIND(".",_xlpm.cleanRaw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8" t="str">
        <f>_xlfn.LET(_xlpm.raw,_xlfn.XLOOKUP(A858,'Pinlist(S5)'!$C$4:$C$1362,'Pinlist(S5)'!$E$4:$E$1362,""),_xlpm.cleanRaw,SUBSTITUTE(SUBSTITUTE(_xlpm.raw,"_PIN","."),"PIN","."),_xlpm.mainPart,MID(_xlpm.cleanRaw,2,FIND(".",_xlpm.cleanRaw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8" t="str">
        <f>""</f>
        <v/>
      </c>
      <c r="J858" t="str">
        <f t="shared" si="13"/>
        <v>AM23;VCCIO_SENSE;;13.633;16.2599999999999;;;;</v>
      </c>
    </row>
    <row r="859" spans="1:10">
      <c r="A859" t="s">
        <v>1958</v>
      </c>
      <c r="B859" t="str">
        <f>_xlfn.XLOOKUP(A859,'Pinlist(S1)'!$Q$4:$Q$1362,'Pinlist(S1)'!$R$4:$R$1362,"")</f>
        <v>VSS</v>
      </c>
      <c r="C859" t="str" cm="1">
        <f t="array" ref="C859">_xlfn.TEXTJOIN(",",TRUE,_xlfn.UNIQUE(TRANSPOSE(_xlfn.MAP(_xlfn.XLOOKUP(A859,'Pinlist(S1)'!$C$4:$C$1362,'Pinlist(S1)'!$F$4:$K$1362,""),_xlfn.LAMBDA(_xlpm.x,IF(_xlpm.x&lt;&gt;"",TRIM(CLEAN(LEFT(_xlpm.x,FIND(".",_xlpm.x &amp; ".")-1))),""))))))</f>
        <v/>
      </c>
      <c r="D859">
        <v>14.547000000000001</v>
      </c>
      <c r="E859">
        <v>16.259999999999899</v>
      </c>
      <c r="F859" t="str">
        <f>_xlfn.LET(_xlpm.raw,_xlfn.XLOOKUP(A859,'Pinlist(S1)'!$C$4:$C$1362,'Pinlist(S1)'!$E$4:$E$1362,""),_xlpm.cleanRaw,SUBSTITUTE(SUBSTITUTE(_xlpm.raw,"_PIN","."),"PIN","."),_xlpm.mainPart,MID(_xlpm.cleanRaw,2,FIND(".",_xlpm.cleanRaw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9" t="str">
        <f>_xlfn.LET(_xlpm.raw,_xlfn.XLOOKUP(A859,'Pinlist(S3)'!$C$4:$C$1362,'Pinlist(S3)'!$E$4:$E$1362,""),_xlpm.cleanRaw,SUBSTITUTE(SUBSTITUTE(_xlpm.raw,"_PIN","."),"PIN","."),_xlpm.mainPart,MID(_xlpm.cleanRaw,2,FIND(".",_xlpm.cleanRaw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9" t="str">
        <f>_xlfn.LET(_xlpm.raw,_xlfn.XLOOKUP(A859,'Pinlist(S5)'!$C$4:$C$1362,'Pinlist(S5)'!$E$4:$E$1362,""),_xlpm.cleanRaw,SUBSTITUTE(SUBSTITUTE(_xlpm.raw,"_PIN","."),"PIN","."),_xlpm.mainPart,MID(_xlpm.cleanRaw,2,FIND(".",_xlpm.cleanRaw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9" t="str">
        <f>""</f>
        <v/>
      </c>
      <c r="J859" t="str">
        <f t="shared" si="13"/>
        <v>AM25;VSS;;14.547;16.2599999999999;;;;</v>
      </c>
    </row>
    <row r="860" spans="1:10">
      <c r="A860" t="s">
        <v>1959</v>
      </c>
      <c r="B860" t="str">
        <f>_xlfn.XLOOKUP(A860,'Pinlist(S1)'!$Q$4:$Q$1362,'Pinlist(S1)'!$R$4:$R$1362,"")</f>
        <v>VSS</v>
      </c>
      <c r="C860" t="str" cm="1">
        <f t="array" ref="C860">_xlfn.TEXTJOIN(",",TRUE,_xlfn.UNIQUE(TRANSPOSE(_xlfn.MAP(_xlfn.XLOOKUP(A860,'Pinlist(S1)'!$C$4:$C$1362,'Pinlist(S1)'!$F$4:$K$1362,""),_xlfn.LAMBDA(_xlpm.x,IF(_xlpm.x&lt;&gt;"",TRIM(CLEAN(LEFT(_xlpm.x,FIND(".",_xlpm.x &amp; ".")-1))),""))))))</f>
        <v/>
      </c>
      <c r="D860">
        <v>15.462</v>
      </c>
      <c r="E860">
        <v>16.259999999999899</v>
      </c>
      <c r="F860" t="str">
        <f>_xlfn.LET(_xlpm.raw,_xlfn.XLOOKUP(A860,'Pinlist(S1)'!$C$4:$C$1362,'Pinlist(S1)'!$E$4:$E$1362,""),_xlpm.cleanRaw,SUBSTITUTE(SUBSTITUTE(_xlpm.raw,"_PIN","."),"PIN","."),_xlpm.mainPart,MID(_xlpm.cleanRaw,2,FIND(".",_xlpm.cleanRaw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0" t="str">
        <f>_xlfn.LET(_xlpm.raw,_xlfn.XLOOKUP(A860,'Pinlist(S3)'!$C$4:$C$1362,'Pinlist(S3)'!$E$4:$E$1362,""),_xlpm.cleanRaw,SUBSTITUTE(SUBSTITUTE(_xlpm.raw,"_PIN","."),"PIN","."),_xlpm.mainPart,MID(_xlpm.cleanRaw,2,FIND(".",_xlpm.cleanRaw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0" t="str">
        <f>_xlfn.LET(_xlpm.raw,_xlfn.XLOOKUP(A860,'Pinlist(S5)'!$C$4:$C$1362,'Pinlist(S5)'!$E$4:$E$1362,""),_xlpm.cleanRaw,SUBSTITUTE(SUBSTITUTE(_xlpm.raw,"_PIN","."),"PIN","."),_xlpm.mainPart,MID(_xlpm.cleanRaw,2,FIND(".",_xlpm.cleanRaw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0" t="str">
        <f>""</f>
        <v/>
      </c>
      <c r="J860" t="str">
        <f t="shared" si="13"/>
        <v>AM27;VSS;;15.462;16.2599999999999;;;;</v>
      </c>
    </row>
    <row r="861" spans="1:10">
      <c r="A861" t="s">
        <v>1770</v>
      </c>
      <c r="B861" t="str">
        <f>_xlfn.XLOOKUP(A861,'Pinlist(S1)'!$Q$4:$Q$1362,'Pinlist(S1)'!$R$4:$R$1362,"")</f>
        <v>VCCIO</v>
      </c>
      <c r="C861" t="str" cm="1">
        <f t="array" ref="C861">_xlfn.TEXTJOIN(",",TRUE,_xlfn.UNIQUE(TRANSPOSE(_xlfn.MAP(_xlfn.XLOOKUP(A861,'Pinlist(S1)'!$C$4:$C$1362,'Pinlist(S1)'!$F$4:$K$1362,""),_xlfn.LAMBDA(_xlpm.x,IF(_xlpm.x&lt;&gt;"",TRIM(CLEAN(LEFT(_xlpm.x,FIND(".",_xlpm.x &amp; ".")-1))),""))))))</f>
        <v/>
      </c>
      <c r="D861">
        <v>16.376000000000001</v>
      </c>
      <c r="E861">
        <v>16.259999999999899</v>
      </c>
      <c r="F861" t="str">
        <f>_xlfn.LET(_xlpm.raw,_xlfn.XLOOKUP(A861,'Pinlist(S1)'!$C$4:$C$1362,'Pinlist(S1)'!$E$4:$E$1362,""),_xlpm.cleanRaw,SUBSTITUTE(SUBSTITUTE(_xlpm.raw,"_PIN","."),"PIN","."),_xlpm.mainPart,MID(_xlpm.cleanRaw,2,FIND(".",_xlpm.cleanRaw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1" t="str">
        <f>_xlfn.LET(_xlpm.raw,_xlfn.XLOOKUP(A861,'Pinlist(S3)'!$C$4:$C$1362,'Pinlist(S3)'!$E$4:$E$1362,""),_xlpm.cleanRaw,SUBSTITUTE(SUBSTITUTE(_xlpm.raw,"_PIN","."),"PIN","."),_xlpm.mainPart,MID(_xlpm.cleanRaw,2,FIND(".",_xlpm.cleanRaw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1" t="str">
        <f>_xlfn.LET(_xlpm.raw,_xlfn.XLOOKUP(A861,'Pinlist(S5)'!$C$4:$C$1362,'Pinlist(S5)'!$E$4:$E$1362,""),_xlpm.cleanRaw,SUBSTITUTE(SUBSTITUTE(_xlpm.raw,"_PIN","."),"PIN","."),_xlpm.mainPart,MID(_xlpm.cleanRaw,2,FIND(".",_xlpm.cleanRaw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1" t="str">
        <f>""</f>
        <v/>
      </c>
      <c r="J861" t="str">
        <f t="shared" si="13"/>
        <v>AM28;VCCIO;;16.376;16.2599999999999;;;;</v>
      </c>
    </row>
    <row r="862" spans="1:10">
      <c r="A862" t="s">
        <v>1771</v>
      </c>
      <c r="B862" t="str">
        <f>_xlfn.XLOOKUP(A862,'Pinlist(S1)'!$Q$4:$Q$1362,'Pinlist(S1)'!$R$4:$R$1362,"")</f>
        <v>VCCIO</v>
      </c>
      <c r="C862" t="str" cm="1">
        <f t="array" ref="C862">_xlfn.TEXTJOIN(",",TRUE,_xlfn.UNIQUE(TRANSPOSE(_xlfn.MAP(_xlfn.XLOOKUP(A862,'Pinlist(S1)'!$C$4:$C$1362,'Pinlist(S1)'!$F$4:$K$1362,""),_xlfn.LAMBDA(_xlpm.x,IF(_xlpm.x&lt;&gt;"",TRIM(CLEAN(LEFT(_xlpm.x,FIND(".",_xlpm.x &amp; ".")-1))),""))))))</f>
        <v/>
      </c>
      <c r="D862">
        <v>17.29</v>
      </c>
      <c r="E862">
        <v>16.259999999999899</v>
      </c>
      <c r="F862" t="str">
        <f>_xlfn.LET(_xlpm.raw,_xlfn.XLOOKUP(A862,'Pinlist(S1)'!$C$4:$C$1362,'Pinlist(S1)'!$E$4:$E$1362,""),_xlpm.cleanRaw,SUBSTITUTE(SUBSTITUTE(_xlpm.raw,"_PIN","."),"PIN","."),_xlpm.mainPart,MID(_xlpm.cleanRaw,2,FIND(".",_xlpm.cleanRaw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2" t="str">
        <f>_xlfn.LET(_xlpm.raw,_xlfn.XLOOKUP(A862,'Pinlist(S3)'!$C$4:$C$1362,'Pinlist(S3)'!$E$4:$E$1362,""),_xlpm.cleanRaw,SUBSTITUTE(SUBSTITUTE(_xlpm.raw,"_PIN","."),"PIN","."),_xlpm.mainPart,MID(_xlpm.cleanRaw,2,FIND(".",_xlpm.cleanRaw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2" t="str">
        <f>_xlfn.LET(_xlpm.raw,_xlfn.XLOOKUP(A862,'Pinlist(S5)'!$C$4:$C$1362,'Pinlist(S5)'!$E$4:$E$1362,""),_xlpm.cleanRaw,SUBSTITUTE(SUBSTITUTE(_xlpm.raw,"_PIN","."),"PIN","."),_xlpm.mainPart,MID(_xlpm.cleanRaw,2,FIND(".",_xlpm.cleanRaw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2" t="str">
        <f>""</f>
        <v/>
      </c>
      <c r="J862" t="str">
        <f t="shared" si="13"/>
        <v>AM30;VCCIO;;17.29;16.2599999999999;;;;</v>
      </c>
    </row>
    <row r="863" spans="1:10">
      <c r="A863" t="s">
        <v>1563</v>
      </c>
      <c r="B863" t="str">
        <f>_xlfn.XLOOKUP(A863,'Pinlist(S1)'!$Q$4:$Q$1362,'Pinlist(S1)'!$R$4:$R$1362,"")</f>
        <v>VCCCORE</v>
      </c>
      <c r="C863" t="str" cm="1">
        <f t="array" ref="C863">_xlfn.TEXTJOIN(",",TRUE,_xlfn.UNIQUE(TRANSPOSE(_xlfn.MAP(_xlfn.XLOOKUP(A863,'Pinlist(S1)'!$C$4:$C$1362,'Pinlist(S1)'!$F$4:$K$1362,""),_xlfn.LAMBDA(_xlpm.x,IF(_xlpm.x&lt;&gt;"",TRIM(CLEAN(LEFT(_xlpm.x,FIND(".",_xlpm.x &amp; ".")-1))),""))))))</f>
        <v/>
      </c>
      <c r="D863">
        <v>18.204999999999998</v>
      </c>
      <c r="E863">
        <v>16.259999999999899</v>
      </c>
      <c r="F863" t="str">
        <f>_xlfn.LET(_xlpm.raw,_xlfn.XLOOKUP(A863,'Pinlist(S1)'!$C$4:$C$1362,'Pinlist(S1)'!$E$4:$E$1362,""),_xlpm.cleanRaw,SUBSTITUTE(SUBSTITUTE(_xlpm.raw,"_PIN","."),"PIN","."),_xlpm.mainPart,MID(_xlpm.cleanRaw,2,FIND(".",_xlpm.cleanRaw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3" t="str">
        <f>_xlfn.LET(_xlpm.raw,_xlfn.XLOOKUP(A863,'Pinlist(S3)'!$C$4:$C$1362,'Pinlist(S3)'!$E$4:$E$1362,""),_xlpm.cleanRaw,SUBSTITUTE(SUBSTITUTE(_xlpm.raw,"_PIN","."),"PIN","."),_xlpm.mainPart,MID(_xlpm.cleanRaw,2,FIND(".",_xlpm.cleanRaw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3" t="str">
        <f>_xlfn.LET(_xlpm.raw,_xlfn.XLOOKUP(A863,'Pinlist(S5)'!$C$4:$C$1362,'Pinlist(S5)'!$E$4:$E$1362,""),_xlpm.cleanRaw,SUBSTITUTE(SUBSTITUTE(_xlpm.raw,"_PIN","."),"PIN","."),_xlpm.mainPart,MID(_xlpm.cleanRaw,2,FIND(".",_xlpm.cleanRaw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3" t="str">
        <f>""</f>
        <v/>
      </c>
      <c r="J863" t="str">
        <f t="shared" si="13"/>
        <v>AM32;VCCCORE;;18.205;16.2599999999999;;;;</v>
      </c>
    </row>
    <row r="864" spans="1:10">
      <c r="A864" t="s">
        <v>1564</v>
      </c>
      <c r="B864" t="str">
        <f>_xlfn.XLOOKUP(A864,'Pinlist(S1)'!$Q$4:$Q$1362,'Pinlist(S1)'!$R$4:$R$1362,"")</f>
        <v>VCCCORE</v>
      </c>
      <c r="C864" t="str" cm="1">
        <f t="array" ref="C864">_xlfn.TEXTJOIN(",",TRUE,_xlfn.UNIQUE(TRANSPOSE(_xlfn.MAP(_xlfn.XLOOKUP(A864,'Pinlist(S1)'!$C$4:$C$1362,'Pinlist(S1)'!$F$4:$K$1362,""),_xlfn.LAMBDA(_xlpm.x,IF(_xlpm.x&lt;&gt;"",TRIM(CLEAN(LEFT(_xlpm.x,FIND(".",_xlpm.x &amp; ".")-1))),""))))))</f>
        <v/>
      </c>
      <c r="D864">
        <v>19.119</v>
      </c>
      <c r="E864">
        <v>16.259999999999899</v>
      </c>
      <c r="F864" t="str">
        <f>_xlfn.LET(_xlpm.raw,_xlfn.XLOOKUP(A864,'Pinlist(S1)'!$C$4:$C$1362,'Pinlist(S1)'!$E$4:$E$1362,""),_xlpm.cleanRaw,SUBSTITUTE(SUBSTITUTE(_xlpm.raw,"_PIN","."),"PIN","."),_xlpm.mainPart,MID(_xlpm.cleanRaw,2,FIND(".",_xlpm.cleanRaw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4" t="str">
        <f>_xlfn.LET(_xlpm.raw,_xlfn.XLOOKUP(A864,'Pinlist(S3)'!$C$4:$C$1362,'Pinlist(S3)'!$E$4:$E$1362,""),_xlpm.cleanRaw,SUBSTITUTE(SUBSTITUTE(_xlpm.raw,"_PIN","."),"PIN","."),_xlpm.mainPart,MID(_xlpm.cleanRaw,2,FIND(".",_xlpm.cleanRaw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4" t="str">
        <f>_xlfn.LET(_xlpm.raw,_xlfn.XLOOKUP(A864,'Pinlist(S5)'!$C$4:$C$1362,'Pinlist(S5)'!$E$4:$E$1362,""),_xlpm.cleanRaw,SUBSTITUTE(SUBSTITUTE(_xlpm.raw,"_PIN","."),"PIN","."),_xlpm.mainPart,MID(_xlpm.cleanRaw,2,FIND(".",_xlpm.cleanRaw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4" t="str">
        <f>""</f>
        <v/>
      </c>
      <c r="J864" t="str">
        <f t="shared" si="13"/>
        <v>AM33;VCCCORE;;19.119;16.2599999999999;;;;</v>
      </c>
    </row>
    <row r="865" spans="1:10">
      <c r="A865" t="s">
        <v>1565</v>
      </c>
      <c r="B865" t="str">
        <f>_xlfn.XLOOKUP(A865,'Pinlist(S1)'!$Q$4:$Q$1362,'Pinlist(S1)'!$R$4:$R$1362,"")</f>
        <v>VCCCORE</v>
      </c>
      <c r="C865" t="str" cm="1">
        <f t="array" ref="C865">_xlfn.TEXTJOIN(",",TRUE,_xlfn.UNIQUE(TRANSPOSE(_xlfn.MAP(_xlfn.XLOOKUP(A865,'Pinlist(S1)'!$C$4:$C$1362,'Pinlist(S1)'!$F$4:$K$1362,""),_xlfn.LAMBDA(_xlpm.x,IF(_xlpm.x&lt;&gt;"",TRIM(CLEAN(LEFT(_xlpm.x,FIND(".",_xlpm.x &amp; ".")-1))),""))))))</f>
        <v/>
      </c>
      <c r="D865">
        <v>20.033999999999999</v>
      </c>
      <c r="E865">
        <v>16.259999999999899</v>
      </c>
      <c r="F865" t="str">
        <f>_xlfn.LET(_xlpm.raw,_xlfn.XLOOKUP(A865,'Pinlist(S1)'!$C$4:$C$1362,'Pinlist(S1)'!$E$4:$E$1362,""),_xlpm.cleanRaw,SUBSTITUTE(SUBSTITUTE(_xlpm.raw,"_PIN","."),"PIN","."),_xlpm.mainPart,MID(_xlpm.cleanRaw,2,FIND(".",_xlpm.cleanRaw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5" t="str">
        <f>_xlfn.LET(_xlpm.raw,_xlfn.XLOOKUP(A865,'Pinlist(S3)'!$C$4:$C$1362,'Pinlist(S3)'!$E$4:$E$1362,""),_xlpm.cleanRaw,SUBSTITUTE(SUBSTITUTE(_xlpm.raw,"_PIN","."),"PIN","."),_xlpm.mainPart,MID(_xlpm.cleanRaw,2,FIND(".",_xlpm.cleanRaw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5" t="str">
        <f>_xlfn.LET(_xlpm.raw,_xlfn.XLOOKUP(A865,'Pinlist(S5)'!$C$4:$C$1362,'Pinlist(S5)'!$E$4:$E$1362,""),_xlpm.cleanRaw,SUBSTITUTE(SUBSTITUTE(_xlpm.raw,"_PIN","."),"PIN","."),_xlpm.mainPart,MID(_xlpm.cleanRaw,2,FIND(".",_xlpm.cleanRaw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5" t="str">
        <f>""</f>
        <v/>
      </c>
      <c r="J865" t="str">
        <f t="shared" si="13"/>
        <v>AM35;VCCCORE;;20.034;16.2599999999999;;;;</v>
      </c>
    </row>
    <row r="866" spans="1:10">
      <c r="A866" t="s">
        <v>1566</v>
      </c>
      <c r="B866" t="str">
        <f>_xlfn.XLOOKUP(A866,'Pinlist(S1)'!$Q$4:$Q$1362,'Pinlist(S1)'!$R$4:$R$1362,"")</f>
        <v>VCCCORE</v>
      </c>
      <c r="C866" t="str" cm="1">
        <f t="array" ref="C866">_xlfn.TEXTJOIN(",",TRUE,_xlfn.UNIQUE(TRANSPOSE(_xlfn.MAP(_xlfn.XLOOKUP(A866,'Pinlist(S1)'!$C$4:$C$1362,'Pinlist(S1)'!$F$4:$K$1362,""),_xlfn.LAMBDA(_xlpm.x,IF(_xlpm.x&lt;&gt;"",TRIM(CLEAN(LEFT(_xlpm.x,FIND(".",_xlpm.x &amp; ".")-1))),""))))))</f>
        <v/>
      </c>
      <c r="D866">
        <v>20.948</v>
      </c>
      <c r="E866">
        <v>16.259999999999899</v>
      </c>
      <c r="F866" t="str">
        <f>_xlfn.LET(_xlpm.raw,_xlfn.XLOOKUP(A866,'Pinlist(S1)'!$C$4:$C$1362,'Pinlist(S1)'!$E$4:$E$1362,""),_xlpm.cleanRaw,SUBSTITUTE(SUBSTITUTE(_xlpm.raw,"_PIN","."),"PIN","."),_xlpm.mainPart,MID(_xlpm.cleanRaw,2,FIND(".",_xlpm.cleanRaw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6" t="str">
        <f>_xlfn.LET(_xlpm.raw,_xlfn.XLOOKUP(A866,'Pinlist(S3)'!$C$4:$C$1362,'Pinlist(S3)'!$E$4:$E$1362,""),_xlpm.cleanRaw,SUBSTITUTE(SUBSTITUTE(_xlpm.raw,"_PIN","."),"PIN","."),_xlpm.mainPart,MID(_xlpm.cleanRaw,2,FIND(".",_xlpm.cleanRaw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6" t="str">
        <f>_xlfn.LET(_xlpm.raw,_xlfn.XLOOKUP(A866,'Pinlist(S5)'!$C$4:$C$1362,'Pinlist(S5)'!$E$4:$E$1362,""),_xlpm.cleanRaw,SUBSTITUTE(SUBSTITUTE(_xlpm.raw,"_PIN","."),"PIN","."),_xlpm.mainPart,MID(_xlpm.cleanRaw,2,FIND(".",_xlpm.cleanRaw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6" t="str">
        <f>""</f>
        <v/>
      </c>
      <c r="J866" t="str">
        <f t="shared" si="13"/>
        <v>AM37;VCCCORE;;20.948;16.2599999999999;;;;</v>
      </c>
    </row>
    <row r="867" spans="1:10">
      <c r="A867" t="s">
        <v>1567</v>
      </c>
      <c r="B867" t="str">
        <f>_xlfn.XLOOKUP(A867,'Pinlist(S1)'!$Q$4:$Q$1362,'Pinlist(S1)'!$R$4:$R$1362,"")</f>
        <v>VCCCORE</v>
      </c>
      <c r="C867" t="str" cm="1">
        <f t="array" ref="C867">_xlfn.TEXTJOIN(",",TRUE,_xlfn.UNIQUE(TRANSPOSE(_xlfn.MAP(_xlfn.XLOOKUP(A867,'Pinlist(S1)'!$C$4:$C$1362,'Pinlist(S1)'!$F$4:$K$1362,""),_xlfn.LAMBDA(_xlpm.x,IF(_xlpm.x&lt;&gt;"",TRIM(CLEAN(LEFT(_xlpm.x,FIND(".",_xlpm.x &amp; ".")-1))),""))))))</f>
        <v/>
      </c>
      <c r="D867">
        <v>21.861999999999998</v>
      </c>
      <c r="E867">
        <v>16.259999999999899</v>
      </c>
      <c r="F867" t="str">
        <f>_xlfn.LET(_xlpm.raw,_xlfn.XLOOKUP(A867,'Pinlist(S1)'!$C$4:$C$1362,'Pinlist(S1)'!$E$4:$E$1362,""),_xlpm.cleanRaw,SUBSTITUTE(SUBSTITUTE(_xlpm.raw,"_PIN","."),"PIN","."),_xlpm.mainPart,MID(_xlpm.cleanRaw,2,FIND(".",_xlpm.cleanRaw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7" t="str">
        <f>_xlfn.LET(_xlpm.raw,_xlfn.XLOOKUP(A867,'Pinlist(S3)'!$C$4:$C$1362,'Pinlist(S3)'!$E$4:$E$1362,""),_xlpm.cleanRaw,SUBSTITUTE(SUBSTITUTE(_xlpm.raw,"_PIN","."),"PIN","."),_xlpm.mainPart,MID(_xlpm.cleanRaw,2,FIND(".",_xlpm.cleanRaw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7" t="str">
        <f>_xlfn.LET(_xlpm.raw,_xlfn.XLOOKUP(A867,'Pinlist(S5)'!$C$4:$C$1362,'Pinlist(S5)'!$E$4:$E$1362,""),_xlpm.cleanRaw,SUBSTITUTE(SUBSTITUTE(_xlpm.raw,"_PIN","."),"PIN","."),_xlpm.mainPart,MID(_xlpm.cleanRaw,2,FIND(".",_xlpm.cleanRaw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7" t="str">
        <f>""</f>
        <v/>
      </c>
      <c r="J867" t="str">
        <f t="shared" si="13"/>
        <v>AM38;VCCCORE;;21.862;16.2599999999999;;;;</v>
      </c>
    </row>
    <row r="868" spans="1:10">
      <c r="A868" t="s">
        <v>1595</v>
      </c>
      <c r="B868" t="str">
        <f>_xlfn.XLOOKUP(A868,'Pinlist(S1)'!$Q$4:$Q$1362,'Pinlist(S1)'!$R$4:$R$1362,"")</f>
        <v>VCCDDQ_CLK</v>
      </c>
      <c r="C868" t="str" cm="1">
        <f t="array" ref="C868">_xlfn.TEXTJOIN(",",TRUE,_xlfn.UNIQUE(TRANSPOSE(_xlfn.MAP(_xlfn.XLOOKUP(A868,'Pinlist(S1)'!$C$4:$C$1362,'Pinlist(S1)'!$F$4:$K$1362,""),_xlfn.LAMBDA(_xlpm.x,IF(_xlpm.x&lt;&gt;"",TRIM(CLEAN(LEFT(_xlpm.x,FIND(".",_xlpm.x &amp; ".")-1))),""))))))</f>
        <v/>
      </c>
      <c r="D868">
        <v>22.777000000000001</v>
      </c>
      <c r="E868">
        <v>16.259999999999899</v>
      </c>
      <c r="F868" t="str">
        <f>_xlfn.LET(_xlpm.raw,_xlfn.XLOOKUP(A868,'Pinlist(S1)'!$C$4:$C$1362,'Pinlist(S1)'!$E$4:$E$1362,""),_xlpm.cleanRaw,SUBSTITUTE(SUBSTITUTE(_xlpm.raw,"_PIN","."),"PIN","."),_xlpm.mainPart,MID(_xlpm.cleanRaw,2,FIND(".",_xlpm.cleanRaw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8" t="str">
        <f>_xlfn.LET(_xlpm.raw,_xlfn.XLOOKUP(A868,'Pinlist(S3)'!$C$4:$C$1362,'Pinlist(S3)'!$E$4:$E$1362,""),_xlpm.cleanRaw,SUBSTITUTE(SUBSTITUTE(_xlpm.raw,"_PIN","."),"PIN","."),_xlpm.mainPart,MID(_xlpm.cleanRaw,2,FIND(".",_xlpm.cleanRaw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8" t="str">
        <f>_xlfn.LET(_xlpm.raw,_xlfn.XLOOKUP(A868,'Pinlist(S5)'!$C$4:$C$1362,'Pinlist(S5)'!$E$4:$E$1362,""),_xlpm.cleanRaw,SUBSTITUTE(SUBSTITUTE(_xlpm.raw,"_PIN","."),"PIN","."),_xlpm.mainPart,MID(_xlpm.cleanRaw,2,FIND(".",_xlpm.cleanRaw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8" t="str">
        <f>""</f>
        <v/>
      </c>
      <c r="J868" t="str">
        <f t="shared" si="13"/>
        <v>AM40;VCCDDQ_CLK;;22.777;16.2599999999999;;;;</v>
      </c>
    </row>
    <row r="869" spans="1:10">
      <c r="A869" t="s">
        <v>1772</v>
      </c>
      <c r="B869" t="str">
        <f>_xlfn.XLOOKUP(A869,'Pinlist(S1)'!$Q$4:$Q$1362,'Pinlist(S1)'!$R$4:$R$1362,"")</f>
        <v>VCCIO</v>
      </c>
      <c r="C869" t="str" cm="1">
        <f t="array" ref="C869">_xlfn.TEXTJOIN(",",TRUE,_xlfn.UNIQUE(TRANSPOSE(_xlfn.MAP(_xlfn.XLOOKUP(A869,'Pinlist(S1)'!$C$4:$C$1362,'Pinlist(S1)'!$F$4:$K$1362,""),_xlfn.LAMBDA(_xlpm.x,IF(_xlpm.x&lt;&gt;"",TRIM(CLEAN(LEFT(_xlpm.x,FIND(".",_xlpm.x &amp; ".")-1))),""))))))</f>
        <v/>
      </c>
      <c r="D869">
        <v>23.690999999999999</v>
      </c>
      <c r="E869">
        <v>16.259999999999899</v>
      </c>
      <c r="F869" t="str">
        <f>_xlfn.LET(_xlpm.raw,_xlfn.XLOOKUP(A869,'Pinlist(S1)'!$C$4:$C$1362,'Pinlist(S1)'!$E$4:$E$1362,""),_xlpm.cleanRaw,SUBSTITUTE(SUBSTITUTE(_xlpm.raw,"_PIN","."),"PIN","."),_xlpm.mainPart,MID(_xlpm.cleanRaw,2,FIND(".",_xlpm.cleanRaw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9" t="str">
        <f>_xlfn.LET(_xlpm.raw,_xlfn.XLOOKUP(A869,'Pinlist(S3)'!$C$4:$C$1362,'Pinlist(S3)'!$E$4:$E$1362,""),_xlpm.cleanRaw,SUBSTITUTE(SUBSTITUTE(_xlpm.raw,"_PIN","."),"PIN","."),_xlpm.mainPart,MID(_xlpm.cleanRaw,2,FIND(".",_xlpm.cleanRaw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9" t="str">
        <f>_xlfn.LET(_xlpm.raw,_xlfn.XLOOKUP(A869,'Pinlist(S5)'!$C$4:$C$1362,'Pinlist(S5)'!$E$4:$E$1362,""),_xlpm.cleanRaw,SUBSTITUTE(SUBSTITUTE(_xlpm.raw,"_PIN","."),"PIN","."),_xlpm.mainPart,MID(_xlpm.cleanRaw,2,FIND(".",_xlpm.cleanRaw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9" t="str">
        <f>""</f>
        <v/>
      </c>
      <c r="J869" t="str">
        <f t="shared" si="13"/>
        <v>AM42;VCCIO;;23.691;16.2599999999999;;;;</v>
      </c>
    </row>
    <row r="870" spans="1:10">
      <c r="A870" t="s">
        <v>1960</v>
      </c>
      <c r="B870" t="str">
        <f>_xlfn.XLOOKUP(A870,'Pinlist(S1)'!$Q$4:$Q$1362,'Pinlist(S1)'!$R$4:$R$1362,"")</f>
        <v>VSS</v>
      </c>
      <c r="C870" t="str" cm="1">
        <f t="array" ref="C870">_xlfn.TEXTJOIN(",",TRUE,_xlfn.UNIQUE(TRANSPOSE(_xlfn.MAP(_xlfn.XLOOKUP(A870,'Pinlist(S1)'!$C$4:$C$1362,'Pinlist(S1)'!$F$4:$K$1362,""),_xlfn.LAMBDA(_xlpm.x,IF(_xlpm.x&lt;&gt;"",TRIM(CLEAN(LEFT(_xlpm.x,FIND(".",_xlpm.x &amp; ".")-1))),""))))))</f>
        <v/>
      </c>
      <c r="D870">
        <v>24.606000000000002</v>
      </c>
      <c r="E870">
        <v>16.259999999999899</v>
      </c>
      <c r="F870" t="str">
        <f>_xlfn.LET(_xlpm.raw,_xlfn.XLOOKUP(A870,'Pinlist(S1)'!$C$4:$C$1362,'Pinlist(S1)'!$E$4:$E$1362,""),_xlpm.cleanRaw,SUBSTITUTE(SUBSTITUTE(_xlpm.raw,"_PIN","."),"PIN","."),_xlpm.mainPart,MID(_xlpm.cleanRaw,2,FIND(".",_xlpm.cleanRaw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0" t="str">
        <f>_xlfn.LET(_xlpm.raw,_xlfn.XLOOKUP(A870,'Pinlist(S3)'!$C$4:$C$1362,'Pinlist(S3)'!$E$4:$E$1362,""),_xlpm.cleanRaw,SUBSTITUTE(SUBSTITUTE(_xlpm.raw,"_PIN","."),"PIN","."),_xlpm.mainPart,MID(_xlpm.cleanRaw,2,FIND(".",_xlpm.cleanRaw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0" t="str">
        <f>_xlfn.LET(_xlpm.raw,_xlfn.XLOOKUP(A870,'Pinlist(S5)'!$C$4:$C$1362,'Pinlist(S5)'!$E$4:$E$1362,""),_xlpm.cleanRaw,SUBSTITUTE(SUBSTITUTE(_xlpm.raw,"_PIN","."),"PIN","."),_xlpm.mainPart,MID(_xlpm.cleanRaw,2,FIND(".",_xlpm.cleanRaw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0" t="str">
        <f>""</f>
        <v/>
      </c>
      <c r="J870" t="str">
        <f t="shared" si="13"/>
        <v>AM43;VSS;;24.606;16.2599999999999;;;;</v>
      </c>
    </row>
    <row r="871" spans="1:10">
      <c r="A871" t="s">
        <v>1961</v>
      </c>
      <c r="B871" t="str">
        <f>_xlfn.XLOOKUP(A871,'Pinlist(S1)'!$Q$4:$Q$1362,'Pinlist(S1)'!$R$4:$R$1362,"")</f>
        <v>VSS</v>
      </c>
      <c r="C871" t="str" cm="1">
        <f t="array" ref="C871">_xlfn.TEXTJOIN(",",TRUE,_xlfn.UNIQUE(TRANSPOSE(_xlfn.MAP(_xlfn.XLOOKUP(A871,'Pinlist(S1)'!$C$4:$C$1362,'Pinlist(S1)'!$F$4:$K$1362,""),_xlfn.LAMBDA(_xlpm.x,IF(_xlpm.x&lt;&gt;"",TRIM(CLEAN(LEFT(_xlpm.x,FIND(".",_xlpm.x &amp; ".")-1))),""))))))</f>
        <v/>
      </c>
      <c r="D871">
        <v>25.52</v>
      </c>
      <c r="E871">
        <v>16.259999999999899</v>
      </c>
      <c r="F871" t="str">
        <f>_xlfn.LET(_xlpm.raw,_xlfn.XLOOKUP(A871,'Pinlist(S1)'!$C$4:$C$1362,'Pinlist(S1)'!$E$4:$E$1362,""),_xlpm.cleanRaw,SUBSTITUTE(SUBSTITUTE(_xlpm.raw,"_PIN","."),"PIN","."),_xlpm.mainPart,MID(_xlpm.cleanRaw,2,FIND(".",_xlpm.cleanRaw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1" t="str">
        <f>_xlfn.LET(_xlpm.raw,_xlfn.XLOOKUP(A871,'Pinlist(S3)'!$C$4:$C$1362,'Pinlist(S3)'!$E$4:$E$1362,""),_xlpm.cleanRaw,SUBSTITUTE(SUBSTITUTE(_xlpm.raw,"_PIN","."),"PIN","."),_xlpm.mainPart,MID(_xlpm.cleanRaw,2,FIND(".",_xlpm.cleanRaw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1" t="str">
        <f>_xlfn.LET(_xlpm.raw,_xlfn.XLOOKUP(A871,'Pinlist(S5)'!$C$4:$C$1362,'Pinlist(S5)'!$E$4:$E$1362,""),_xlpm.cleanRaw,SUBSTITUTE(SUBSTITUTE(_xlpm.raw,"_PIN","."),"PIN","."),_xlpm.mainPart,MID(_xlpm.cleanRaw,2,FIND(".",_xlpm.cleanRaw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1" t="str">
        <f>""</f>
        <v/>
      </c>
      <c r="J871" t="str">
        <f t="shared" si="13"/>
        <v>AM45;VSS;;25.52;16.2599999999999;;;;</v>
      </c>
    </row>
    <row r="872" spans="1:10">
      <c r="A872" t="s">
        <v>1962</v>
      </c>
      <c r="B872" t="str">
        <f>_xlfn.XLOOKUP(A872,'Pinlist(S1)'!$Q$4:$Q$1362,'Pinlist(S1)'!$R$4:$R$1362,"")</f>
        <v>VSS</v>
      </c>
      <c r="C872" t="str" cm="1">
        <f t="array" ref="C872">_xlfn.TEXTJOIN(",",TRUE,_xlfn.UNIQUE(TRANSPOSE(_xlfn.MAP(_xlfn.XLOOKUP(A872,'Pinlist(S1)'!$C$4:$C$1362,'Pinlist(S1)'!$F$4:$K$1362,""),_xlfn.LAMBDA(_xlpm.x,IF(_xlpm.x&lt;&gt;"",TRIM(CLEAN(LEFT(_xlpm.x,FIND(".",_xlpm.x &amp; ".")-1))),""))))))</f>
        <v/>
      </c>
      <c r="D872">
        <v>26.434000000000001</v>
      </c>
      <c r="E872">
        <v>16.259999999999899</v>
      </c>
      <c r="F872" t="str">
        <f>_xlfn.LET(_xlpm.raw,_xlfn.XLOOKUP(A872,'Pinlist(S1)'!$C$4:$C$1362,'Pinlist(S1)'!$E$4:$E$1362,""),_xlpm.cleanRaw,SUBSTITUTE(SUBSTITUTE(_xlpm.raw,"_PIN","."),"PIN","."),_xlpm.mainPart,MID(_xlpm.cleanRaw,2,FIND(".",_xlpm.cleanRaw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2" t="str">
        <f>_xlfn.LET(_xlpm.raw,_xlfn.XLOOKUP(A872,'Pinlist(S3)'!$C$4:$C$1362,'Pinlist(S3)'!$E$4:$E$1362,""),_xlpm.cleanRaw,SUBSTITUTE(SUBSTITUTE(_xlpm.raw,"_PIN","."),"PIN","."),_xlpm.mainPart,MID(_xlpm.cleanRaw,2,FIND(".",_xlpm.cleanRaw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2" t="str">
        <f>_xlfn.LET(_xlpm.raw,_xlfn.XLOOKUP(A872,'Pinlist(S5)'!$C$4:$C$1362,'Pinlist(S5)'!$E$4:$E$1362,""),_xlpm.cleanRaw,SUBSTITUTE(SUBSTITUTE(_xlpm.raw,"_PIN","."),"PIN","."),_xlpm.mainPart,MID(_xlpm.cleanRaw,2,FIND(".",_xlpm.cleanRaw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2" t="str">
        <f>""</f>
        <v/>
      </c>
      <c r="J872" t="str">
        <f t="shared" si="13"/>
        <v>AM46;VSS;;26.434;16.2599999999999;;;;</v>
      </c>
    </row>
    <row r="873" spans="1:10">
      <c r="A873" t="s">
        <v>1751</v>
      </c>
      <c r="B873" t="str">
        <f>_xlfn.XLOOKUP(A873,'Pinlist(S1)'!$Q$4:$Q$1362,'Pinlist(S1)'!$R$4:$R$1362,"")</f>
        <v>VCCGTU</v>
      </c>
      <c r="C873" t="str" cm="1">
        <f t="array" ref="C873">_xlfn.TEXTJOIN(",",TRUE,_xlfn.UNIQUE(TRANSPOSE(_xlfn.MAP(_xlfn.XLOOKUP(A873,'Pinlist(S1)'!$C$4:$C$1362,'Pinlist(S1)'!$F$4:$K$1362,""),_xlfn.LAMBDA(_xlpm.x,IF(_xlpm.x&lt;&gt;"",TRIM(CLEAN(LEFT(_xlpm.x,FIND(".",_xlpm.x &amp; ".")-1))),""))))))</f>
        <v/>
      </c>
      <c r="D873">
        <v>27.349</v>
      </c>
      <c r="E873">
        <v>16.259999999999899</v>
      </c>
      <c r="F873" t="str">
        <f>_xlfn.LET(_xlpm.raw,_xlfn.XLOOKUP(A873,'Pinlist(S1)'!$C$4:$C$1362,'Pinlist(S1)'!$E$4:$E$1362,""),_xlpm.cleanRaw,SUBSTITUTE(SUBSTITUTE(_xlpm.raw,"_PIN","."),"PIN","."),_xlpm.mainPart,MID(_xlpm.cleanRaw,2,FIND(".",_xlpm.cleanRaw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3" t="str">
        <f>_xlfn.LET(_xlpm.raw,_xlfn.XLOOKUP(A873,'Pinlist(S3)'!$C$4:$C$1362,'Pinlist(S3)'!$E$4:$E$1362,""),_xlpm.cleanRaw,SUBSTITUTE(SUBSTITUTE(_xlpm.raw,"_PIN","."),"PIN","."),_xlpm.mainPart,MID(_xlpm.cleanRaw,2,FIND(".",_xlpm.cleanRaw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3" t="str">
        <f>_xlfn.LET(_xlpm.raw,_xlfn.XLOOKUP(A873,'Pinlist(S5)'!$C$4:$C$1362,'Pinlist(S5)'!$E$4:$E$1362,""),_xlpm.cleanRaw,SUBSTITUTE(SUBSTITUTE(_xlpm.raw,"_PIN","."),"PIN","."),_xlpm.mainPart,MID(_xlpm.cleanRaw,2,FIND(".",_xlpm.cleanRaw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3" t="str">
        <f>""</f>
        <v/>
      </c>
      <c r="J873" t="str">
        <f t="shared" si="13"/>
        <v>AM48;VCCGTU;;27.349;16.2599999999999;;;;</v>
      </c>
    </row>
    <row r="874" spans="1:10">
      <c r="A874" t="s">
        <v>1752</v>
      </c>
      <c r="B874" t="str">
        <f>_xlfn.XLOOKUP(A874,'Pinlist(S1)'!$Q$4:$Q$1362,'Pinlist(S1)'!$R$4:$R$1362,"")</f>
        <v>VCCGTU</v>
      </c>
      <c r="C874" t="str" cm="1">
        <f t="array" ref="C874">_xlfn.TEXTJOIN(",",TRUE,_xlfn.UNIQUE(TRANSPOSE(_xlfn.MAP(_xlfn.XLOOKUP(A874,'Pinlist(S1)'!$C$4:$C$1362,'Pinlist(S1)'!$F$4:$K$1362,""),_xlfn.LAMBDA(_xlpm.x,IF(_xlpm.x&lt;&gt;"",TRIM(CLEAN(LEFT(_xlpm.x,FIND(".",_xlpm.x &amp; ".")-1))),""))))))</f>
        <v/>
      </c>
      <c r="D874">
        <v>28.262999999999899</v>
      </c>
      <c r="E874">
        <v>16.259999999999899</v>
      </c>
      <c r="F874" t="str">
        <f>_xlfn.LET(_xlpm.raw,_xlfn.XLOOKUP(A874,'Pinlist(S1)'!$C$4:$C$1362,'Pinlist(S1)'!$E$4:$E$1362,""),_xlpm.cleanRaw,SUBSTITUTE(SUBSTITUTE(_xlpm.raw,"_PIN","."),"PIN","."),_xlpm.mainPart,MID(_xlpm.cleanRaw,2,FIND(".",_xlpm.cleanRaw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4" t="str">
        <f>_xlfn.LET(_xlpm.raw,_xlfn.XLOOKUP(A874,'Pinlist(S3)'!$C$4:$C$1362,'Pinlist(S3)'!$E$4:$E$1362,""),_xlpm.cleanRaw,SUBSTITUTE(SUBSTITUTE(_xlpm.raw,"_PIN","."),"PIN","."),_xlpm.mainPart,MID(_xlpm.cleanRaw,2,FIND(".",_xlpm.cleanRaw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4" t="str">
        <f>_xlfn.LET(_xlpm.raw,_xlfn.XLOOKUP(A874,'Pinlist(S5)'!$C$4:$C$1362,'Pinlist(S5)'!$E$4:$E$1362,""),_xlpm.cleanRaw,SUBSTITUTE(SUBSTITUTE(_xlpm.raw,"_PIN","."),"PIN","."),_xlpm.mainPart,MID(_xlpm.cleanRaw,2,FIND(".",_xlpm.cleanRaw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4" t="str">
        <f>""</f>
        <v/>
      </c>
      <c r="J874" t="str">
        <f t="shared" si="13"/>
        <v>AM50;VCCGTU;;28.2629999999999;16.2599999999999;;;;</v>
      </c>
    </row>
    <row r="875" spans="1:10">
      <c r="A875" t="s">
        <v>1753</v>
      </c>
      <c r="B875" t="str">
        <f>_xlfn.XLOOKUP(A875,'Pinlist(S1)'!$Q$4:$Q$1362,'Pinlist(S1)'!$R$4:$R$1362,"")</f>
        <v>VCCGTU</v>
      </c>
      <c r="C875" t="str" cm="1">
        <f t="array" ref="C875">_xlfn.TEXTJOIN(",",TRUE,_xlfn.UNIQUE(TRANSPOSE(_xlfn.MAP(_xlfn.XLOOKUP(A875,'Pinlist(S1)'!$C$4:$C$1362,'Pinlist(S1)'!$F$4:$K$1362,""),_xlfn.LAMBDA(_xlpm.x,IF(_xlpm.x&lt;&gt;"",TRIM(CLEAN(LEFT(_xlpm.x,FIND(".",_xlpm.x &amp; ".")-1))),""))))))</f>
        <v/>
      </c>
      <c r="D875">
        <v>29.178000000000001</v>
      </c>
      <c r="E875">
        <v>16.259999999999899</v>
      </c>
      <c r="F875" t="str">
        <f>_xlfn.LET(_xlpm.raw,_xlfn.XLOOKUP(A875,'Pinlist(S1)'!$C$4:$C$1362,'Pinlist(S1)'!$E$4:$E$1362,""),_xlpm.cleanRaw,SUBSTITUTE(SUBSTITUTE(_xlpm.raw,"_PIN","."),"PIN","."),_xlpm.mainPart,MID(_xlpm.cleanRaw,2,FIND(".",_xlpm.cleanRaw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5" t="str">
        <f>_xlfn.LET(_xlpm.raw,_xlfn.XLOOKUP(A875,'Pinlist(S3)'!$C$4:$C$1362,'Pinlist(S3)'!$E$4:$E$1362,""),_xlpm.cleanRaw,SUBSTITUTE(SUBSTITUTE(_xlpm.raw,"_PIN","."),"PIN","."),_xlpm.mainPart,MID(_xlpm.cleanRaw,2,FIND(".",_xlpm.cleanRaw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5" t="str">
        <f>_xlfn.LET(_xlpm.raw,_xlfn.XLOOKUP(A875,'Pinlist(S5)'!$C$4:$C$1362,'Pinlist(S5)'!$E$4:$E$1362,""),_xlpm.cleanRaw,SUBSTITUTE(SUBSTITUTE(_xlpm.raw,"_PIN","."),"PIN","."),_xlpm.mainPart,MID(_xlpm.cleanRaw,2,FIND(".",_xlpm.cleanRaw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5" t="str">
        <f>""</f>
        <v/>
      </c>
      <c r="J875" t="str">
        <f t="shared" si="13"/>
        <v>AM52;VCCGTU;;29.178;16.2599999999999;;;;</v>
      </c>
    </row>
    <row r="876" spans="1:10">
      <c r="A876" t="s">
        <v>1754</v>
      </c>
      <c r="B876" t="str">
        <f>_xlfn.XLOOKUP(A876,'Pinlist(S1)'!$Q$4:$Q$1362,'Pinlist(S1)'!$R$4:$R$1362,"")</f>
        <v>VCCGTU</v>
      </c>
      <c r="C876" t="str" cm="1">
        <f t="array" ref="C876">_xlfn.TEXTJOIN(",",TRUE,_xlfn.UNIQUE(TRANSPOSE(_xlfn.MAP(_xlfn.XLOOKUP(A876,'Pinlist(S1)'!$C$4:$C$1362,'Pinlist(S1)'!$F$4:$K$1362,""),_xlfn.LAMBDA(_xlpm.x,IF(_xlpm.x&lt;&gt;"",TRIM(CLEAN(LEFT(_xlpm.x,FIND(".",_xlpm.x &amp; ".")-1))),""))))))</f>
        <v/>
      </c>
      <c r="D876">
        <v>30.091999999999999</v>
      </c>
      <c r="E876">
        <v>16.259999999999899</v>
      </c>
      <c r="F876" t="str">
        <f>_xlfn.LET(_xlpm.raw,_xlfn.XLOOKUP(A876,'Pinlist(S1)'!$C$4:$C$1362,'Pinlist(S1)'!$E$4:$E$1362,""),_xlpm.cleanRaw,SUBSTITUTE(SUBSTITUTE(_xlpm.raw,"_PIN","."),"PIN","."),_xlpm.mainPart,MID(_xlpm.cleanRaw,2,FIND(".",_xlpm.cleanRaw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6" t="str">
        <f>_xlfn.LET(_xlpm.raw,_xlfn.XLOOKUP(A876,'Pinlist(S3)'!$C$4:$C$1362,'Pinlist(S3)'!$E$4:$E$1362,""),_xlpm.cleanRaw,SUBSTITUTE(SUBSTITUTE(_xlpm.raw,"_PIN","."),"PIN","."),_xlpm.mainPart,MID(_xlpm.cleanRaw,2,FIND(".",_xlpm.cleanRaw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6" t="str">
        <f>_xlfn.LET(_xlpm.raw,_xlfn.XLOOKUP(A876,'Pinlist(S5)'!$C$4:$C$1362,'Pinlist(S5)'!$E$4:$E$1362,""),_xlpm.cleanRaw,SUBSTITUTE(SUBSTITUTE(_xlpm.raw,"_PIN","."),"PIN","."),_xlpm.mainPart,MID(_xlpm.cleanRaw,2,FIND(".",_xlpm.cleanRaw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6" t="str">
        <f>""</f>
        <v/>
      </c>
      <c r="J876" t="str">
        <f t="shared" si="13"/>
        <v>AM53;VCCGTU;;30.092;16.2599999999999;;;;</v>
      </c>
    </row>
    <row r="877" spans="1:10">
      <c r="A877" t="s">
        <v>1963</v>
      </c>
      <c r="B877" t="str">
        <f>_xlfn.XLOOKUP(A877,'Pinlist(S1)'!$Q$4:$Q$1362,'Pinlist(S1)'!$R$4:$R$1362,"")</f>
        <v>VSS</v>
      </c>
      <c r="C877" t="str" cm="1">
        <f t="array" ref="C877">_xlfn.TEXTJOIN(",",TRUE,_xlfn.UNIQUE(TRANSPOSE(_xlfn.MAP(_xlfn.XLOOKUP(A877,'Pinlist(S1)'!$C$4:$C$1362,'Pinlist(S1)'!$F$4:$K$1362,""),_xlfn.LAMBDA(_xlpm.x,IF(_xlpm.x&lt;&gt;"",TRIM(CLEAN(LEFT(_xlpm.x,FIND(".",_xlpm.x &amp; ".")-1))),""))))))</f>
        <v/>
      </c>
      <c r="D877">
        <v>31.006</v>
      </c>
      <c r="E877">
        <v>16.259999999999899</v>
      </c>
      <c r="F877" t="str">
        <f>_xlfn.LET(_xlpm.raw,_xlfn.XLOOKUP(A877,'Pinlist(S1)'!$C$4:$C$1362,'Pinlist(S1)'!$E$4:$E$1362,""),_xlpm.cleanRaw,SUBSTITUTE(SUBSTITUTE(_xlpm.raw,"_PIN","."),"PIN","."),_xlpm.mainPart,MID(_xlpm.cleanRaw,2,FIND(".",_xlpm.cleanRaw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7" t="str">
        <f>_xlfn.LET(_xlpm.raw,_xlfn.XLOOKUP(A877,'Pinlist(S3)'!$C$4:$C$1362,'Pinlist(S3)'!$E$4:$E$1362,""),_xlpm.cleanRaw,SUBSTITUTE(SUBSTITUTE(_xlpm.raw,"_PIN","."),"PIN","."),_xlpm.mainPart,MID(_xlpm.cleanRaw,2,FIND(".",_xlpm.cleanRaw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7" t="str">
        <f>_xlfn.LET(_xlpm.raw,_xlfn.XLOOKUP(A877,'Pinlist(S5)'!$C$4:$C$1362,'Pinlist(S5)'!$E$4:$E$1362,""),_xlpm.cleanRaw,SUBSTITUTE(SUBSTITUTE(_xlpm.raw,"_PIN","."),"PIN","."),_xlpm.mainPart,MID(_xlpm.cleanRaw,2,FIND(".",_xlpm.cleanRaw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7" t="str">
        <f>""</f>
        <v/>
      </c>
      <c r="J877" t="str">
        <f t="shared" si="13"/>
        <v>AM55;VSS;;31.006;16.2599999999999;;;;</v>
      </c>
    </row>
    <row r="878" spans="1:10">
      <c r="A878" t="s">
        <v>1755</v>
      </c>
      <c r="B878" t="str">
        <f>_xlfn.XLOOKUP(A878,'Pinlist(S1)'!$Q$4:$Q$1362,'Pinlist(S1)'!$R$4:$R$1362,"")</f>
        <v>VCCGTU</v>
      </c>
      <c r="C878" t="str" cm="1">
        <f t="array" ref="C878">_xlfn.TEXTJOIN(",",TRUE,_xlfn.UNIQUE(TRANSPOSE(_xlfn.MAP(_xlfn.XLOOKUP(A878,'Pinlist(S1)'!$C$4:$C$1362,'Pinlist(S1)'!$F$4:$K$1362,""),_xlfn.LAMBDA(_xlpm.x,IF(_xlpm.x&lt;&gt;"",TRIM(CLEAN(LEFT(_xlpm.x,FIND(".",_xlpm.x &amp; ".")-1))),""))))))</f>
        <v/>
      </c>
      <c r="D878">
        <v>31.920999999999999</v>
      </c>
      <c r="E878">
        <v>16.259999999999899</v>
      </c>
      <c r="F878" t="str">
        <f>_xlfn.LET(_xlpm.raw,_xlfn.XLOOKUP(A878,'Pinlist(S1)'!$C$4:$C$1362,'Pinlist(S1)'!$E$4:$E$1362,""),_xlpm.cleanRaw,SUBSTITUTE(SUBSTITUTE(_xlpm.raw,"_PIN","."),"PIN","."),_xlpm.mainPart,MID(_xlpm.cleanRaw,2,FIND(".",_xlpm.cleanRaw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8" t="str">
        <f>_xlfn.LET(_xlpm.raw,_xlfn.XLOOKUP(A878,'Pinlist(S3)'!$C$4:$C$1362,'Pinlist(S3)'!$E$4:$E$1362,""),_xlpm.cleanRaw,SUBSTITUTE(SUBSTITUTE(_xlpm.raw,"_PIN","."),"PIN","."),_xlpm.mainPart,MID(_xlpm.cleanRaw,2,FIND(".",_xlpm.cleanRaw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8" t="str">
        <f>_xlfn.LET(_xlpm.raw,_xlfn.XLOOKUP(A878,'Pinlist(S5)'!$C$4:$C$1362,'Pinlist(S5)'!$E$4:$E$1362,""),_xlpm.cleanRaw,SUBSTITUTE(SUBSTITUTE(_xlpm.raw,"_PIN","."),"PIN","."),_xlpm.mainPart,MID(_xlpm.cleanRaw,2,FIND(".",_xlpm.cleanRaw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8" t="str">
        <f>""</f>
        <v/>
      </c>
      <c r="J878" t="str">
        <f t="shared" si="13"/>
        <v>AM56;VCCGTU;;31.921;16.2599999999999;;;;</v>
      </c>
    </row>
    <row r="879" spans="1:10">
      <c r="A879" t="s">
        <v>1756</v>
      </c>
      <c r="B879" t="str">
        <f>_xlfn.XLOOKUP(A879,'Pinlist(S1)'!$Q$4:$Q$1362,'Pinlist(S1)'!$R$4:$R$1362,"")</f>
        <v>VCCGTU</v>
      </c>
      <c r="C879" t="str" cm="1">
        <f t="array" ref="C879">_xlfn.TEXTJOIN(",",TRUE,_xlfn.UNIQUE(TRANSPOSE(_xlfn.MAP(_xlfn.XLOOKUP(A879,'Pinlist(S1)'!$C$4:$C$1362,'Pinlist(S1)'!$F$4:$K$1362,""),_xlfn.LAMBDA(_xlpm.x,IF(_xlpm.x&lt;&gt;"",TRIM(CLEAN(LEFT(_xlpm.x,FIND(".",_xlpm.x &amp; ".")-1))),""))))))</f>
        <v/>
      </c>
      <c r="D879">
        <v>32.835000000000001</v>
      </c>
      <c r="E879">
        <v>16.259999999999899</v>
      </c>
      <c r="F879" t="str">
        <f>_xlfn.LET(_xlpm.raw,_xlfn.XLOOKUP(A879,'Pinlist(S1)'!$C$4:$C$1362,'Pinlist(S1)'!$E$4:$E$1362,""),_xlpm.cleanRaw,SUBSTITUTE(SUBSTITUTE(_xlpm.raw,"_PIN","."),"PIN","."),_xlpm.mainPart,MID(_xlpm.cleanRaw,2,FIND(".",_xlpm.cleanRaw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9" t="str">
        <f>_xlfn.LET(_xlpm.raw,_xlfn.XLOOKUP(A879,'Pinlist(S3)'!$C$4:$C$1362,'Pinlist(S3)'!$E$4:$E$1362,""),_xlpm.cleanRaw,SUBSTITUTE(SUBSTITUTE(_xlpm.raw,"_PIN","."),"PIN","."),_xlpm.mainPart,MID(_xlpm.cleanRaw,2,FIND(".",_xlpm.cleanRaw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9" t="str">
        <f>_xlfn.LET(_xlpm.raw,_xlfn.XLOOKUP(A879,'Pinlist(S5)'!$C$4:$C$1362,'Pinlist(S5)'!$E$4:$E$1362,""),_xlpm.cleanRaw,SUBSTITUTE(SUBSTITUTE(_xlpm.raw,"_PIN","."),"PIN","."),_xlpm.mainPart,MID(_xlpm.cleanRaw,2,FIND(".",_xlpm.cleanRaw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9" t="str">
        <f>""</f>
        <v/>
      </c>
      <c r="J879" t="str">
        <f t="shared" si="13"/>
        <v>AM58;VCCGTU;;32.835;16.2599999999999;;;;</v>
      </c>
    </row>
    <row r="880" spans="1:10">
      <c r="A880" t="s">
        <v>1964</v>
      </c>
      <c r="B880" t="str">
        <f>_xlfn.XLOOKUP(A880,'Pinlist(S1)'!$Q$4:$Q$1362,'Pinlist(S1)'!$R$4:$R$1362,"")</f>
        <v>VSS</v>
      </c>
      <c r="C880" t="str" cm="1">
        <f t="array" ref="C880">_xlfn.TEXTJOIN(",",TRUE,_xlfn.UNIQUE(TRANSPOSE(_xlfn.MAP(_xlfn.XLOOKUP(A880,'Pinlist(S1)'!$C$4:$C$1362,'Pinlist(S1)'!$F$4:$K$1362,""),_xlfn.LAMBDA(_xlpm.x,IF(_xlpm.x&lt;&gt;"",TRIM(CLEAN(LEFT(_xlpm.x,FIND(".",_xlpm.x &amp; ".")-1))),""))))))</f>
        <v/>
      </c>
      <c r="D880">
        <v>33.75</v>
      </c>
      <c r="E880">
        <v>16.259999999999899</v>
      </c>
      <c r="F880" t="str">
        <f>_xlfn.LET(_xlpm.raw,_xlfn.XLOOKUP(A880,'Pinlist(S1)'!$C$4:$C$1362,'Pinlist(S1)'!$E$4:$E$1362,""),_xlpm.cleanRaw,SUBSTITUTE(SUBSTITUTE(_xlpm.raw,"_PIN","."),"PIN","."),_xlpm.mainPart,MID(_xlpm.cleanRaw,2,FIND(".",_xlpm.cleanRaw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0" t="str">
        <f>_xlfn.LET(_xlpm.raw,_xlfn.XLOOKUP(A880,'Pinlist(S3)'!$C$4:$C$1362,'Pinlist(S3)'!$E$4:$E$1362,""),_xlpm.cleanRaw,SUBSTITUTE(SUBSTITUTE(_xlpm.raw,"_PIN","."),"PIN","."),_xlpm.mainPart,MID(_xlpm.cleanRaw,2,FIND(".",_xlpm.cleanRaw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0" t="str">
        <f>_xlfn.LET(_xlpm.raw,_xlfn.XLOOKUP(A880,'Pinlist(S5)'!$C$4:$C$1362,'Pinlist(S5)'!$E$4:$E$1362,""),_xlpm.cleanRaw,SUBSTITUTE(SUBSTITUTE(_xlpm.raw,"_PIN","."),"PIN","."),_xlpm.mainPart,MID(_xlpm.cleanRaw,2,FIND(".",_xlpm.cleanRaw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0" t="str">
        <f>""</f>
        <v/>
      </c>
      <c r="J880" t="str">
        <f t="shared" si="13"/>
        <v>AM60;VSS;;33.75;16.2599999999999;;;;</v>
      </c>
    </row>
    <row r="881" spans="1:10">
      <c r="A881" t="s">
        <v>1965</v>
      </c>
      <c r="B881" t="str">
        <f>_xlfn.XLOOKUP(A881,'Pinlist(S1)'!$Q$4:$Q$1362,'Pinlist(S1)'!$R$4:$R$1362,"")</f>
        <v>VSS</v>
      </c>
      <c r="C881" t="str" cm="1">
        <f t="array" ref="C881">_xlfn.TEXTJOIN(",",TRUE,_xlfn.UNIQUE(TRANSPOSE(_xlfn.MAP(_xlfn.XLOOKUP(A881,'Pinlist(S1)'!$C$4:$C$1362,'Pinlist(S1)'!$F$4:$K$1362,""),_xlfn.LAMBDA(_xlpm.x,IF(_xlpm.x&lt;&gt;"",TRIM(CLEAN(LEFT(_xlpm.x,FIND(".",_xlpm.x &amp; ".")-1))),""))))))</f>
        <v/>
      </c>
      <c r="D881">
        <v>34.664000000000001</v>
      </c>
      <c r="E881">
        <v>16.259999999999899</v>
      </c>
      <c r="F881" t="str">
        <f>_xlfn.LET(_xlpm.raw,_xlfn.XLOOKUP(A881,'Pinlist(S1)'!$C$4:$C$1362,'Pinlist(S1)'!$E$4:$E$1362,""),_xlpm.cleanRaw,SUBSTITUTE(SUBSTITUTE(_xlpm.raw,"_PIN","."),"PIN","."),_xlpm.mainPart,MID(_xlpm.cleanRaw,2,FIND(".",_xlpm.cleanRaw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1" t="str">
        <f>_xlfn.LET(_xlpm.raw,_xlfn.XLOOKUP(A881,'Pinlist(S3)'!$C$4:$C$1362,'Pinlist(S3)'!$E$4:$E$1362,""),_xlpm.cleanRaw,SUBSTITUTE(SUBSTITUTE(_xlpm.raw,"_PIN","."),"PIN","."),_xlpm.mainPart,MID(_xlpm.cleanRaw,2,FIND(".",_xlpm.cleanRaw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1" t="str">
        <f>_xlfn.LET(_xlpm.raw,_xlfn.XLOOKUP(A881,'Pinlist(S5)'!$C$4:$C$1362,'Pinlist(S5)'!$E$4:$E$1362,""),_xlpm.cleanRaw,SUBSTITUTE(SUBSTITUTE(_xlpm.raw,"_PIN","."),"PIN","."),_xlpm.mainPart,MID(_xlpm.cleanRaw,2,FIND(".",_xlpm.cleanRaw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1" t="str">
        <f>""</f>
        <v/>
      </c>
      <c r="J881" t="str">
        <f t="shared" si="13"/>
        <v>AM61;VSS;;34.664;16.2599999999999;;;;</v>
      </c>
    </row>
    <row r="882" spans="1:10">
      <c r="A882" t="s">
        <v>1966</v>
      </c>
      <c r="B882" t="str">
        <f>_xlfn.XLOOKUP(A882,'Pinlist(S1)'!$Q$4:$Q$1362,'Pinlist(S1)'!$R$4:$R$1362,"")</f>
        <v>VSS</v>
      </c>
      <c r="C882" t="str" cm="1">
        <f t="array" ref="C882">_xlfn.TEXTJOIN(",",TRUE,_xlfn.UNIQUE(TRANSPOSE(_xlfn.MAP(_xlfn.XLOOKUP(A882,'Pinlist(S1)'!$C$4:$C$1362,'Pinlist(S1)'!$F$4:$K$1362,""),_xlfn.LAMBDA(_xlpm.x,IF(_xlpm.x&lt;&gt;"",TRIM(CLEAN(LEFT(_xlpm.x,FIND(".",_xlpm.x &amp; ".")-1))),""))))))</f>
        <v/>
      </c>
      <c r="D882">
        <v>38.353000000000002</v>
      </c>
      <c r="E882">
        <v>16.37</v>
      </c>
      <c r="F882" t="str">
        <f>_xlfn.LET(_xlpm.raw,_xlfn.XLOOKUP(A882,'Pinlist(S1)'!$C$4:$C$1362,'Pinlist(S1)'!$E$4:$E$1362,""),_xlpm.cleanRaw,SUBSTITUTE(SUBSTITUTE(_xlpm.raw,"_PIN","."),"PIN","."),_xlpm.mainPart,MID(_xlpm.cleanRaw,2,FIND(".",_xlpm.cleanRaw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2" t="str">
        <f>_xlfn.LET(_xlpm.raw,_xlfn.XLOOKUP(A882,'Pinlist(S3)'!$C$4:$C$1362,'Pinlist(S3)'!$E$4:$E$1362,""),_xlpm.cleanRaw,SUBSTITUTE(SUBSTITUTE(_xlpm.raw,"_PIN","."),"PIN","."),_xlpm.mainPart,MID(_xlpm.cleanRaw,2,FIND(".",_xlpm.cleanRaw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2" t="str">
        <f>_xlfn.LET(_xlpm.raw,_xlfn.XLOOKUP(A882,'Pinlist(S5)'!$C$4:$C$1362,'Pinlist(S5)'!$E$4:$E$1362,""),_xlpm.cleanRaw,SUBSTITUTE(SUBSTITUTE(_xlpm.raw,"_PIN","."),"PIN","."),_xlpm.mainPart,MID(_xlpm.cleanRaw,2,FIND(".",_xlpm.cleanRaw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2" t="str">
        <f>""</f>
        <v/>
      </c>
      <c r="J882" t="str">
        <f t="shared" si="13"/>
        <v>AM68;VSS;;38.353;16.37;;;;</v>
      </c>
    </row>
    <row r="883" spans="1:10">
      <c r="A883" t="s">
        <v>676</v>
      </c>
      <c r="B883" t="str">
        <f>_xlfn.XLOOKUP(A883,'Pinlist(S1)'!$Q$4:$Q$1362,'Pinlist(S1)'!$R$4:$R$1362,"")</f>
        <v>DDRDQSP_IL00_NIL00</v>
      </c>
      <c r="C883" t="str" cm="1">
        <f t="array" ref="C883">_xlfn.TEXTJOIN(",",TRUE,_xlfn.UNIQUE(TRANSPOSE(_xlfn.MAP(_xlfn.XLOOKUP(A883,'Pinlist(S1)'!$C$4:$C$1362,'Pinlist(S1)'!$F$4:$K$1362,""),_xlfn.LAMBDA(_xlpm.x,IF(_xlpm.x&lt;&gt;"",TRIM(CLEAN(LEFT(_xlpm.x,FIND(".",_xlpm.x &amp; ".")-1))),""))))))</f>
        <v/>
      </c>
      <c r="D883">
        <v>39.003</v>
      </c>
      <c r="E883">
        <v>16.37</v>
      </c>
      <c r="F883" t="str">
        <f>_xlfn.LET(_xlpm.raw,_xlfn.XLOOKUP(A883,'Pinlist(S1)'!$C$4:$C$1362,'Pinlist(S1)'!$E$4:$E$1362,""),_xlpm.cleanRaw,SUBSTITUTE(SUBSTITUTE(_xlpm.raw,"_PIN","."),"PIN","."),_xlpm.mainPart,MID(_xlpm.cleanRaw,2,FIND(".",_xlpm.cleanRaw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606114</v>
      </c>
      <c r="G883" t="str">
        <f>_xlfn.LET(_xlpm.raw,_xlfn.XLOOKUP(A883,'Pinlist(S3)'!$C$4:$C$1362,'Pinlist(S3)'!$E$4:$E$1362,""),_xlpm.cleanRaw,SUBSTITUTE(SUBSTITUTE(_xlpm.raw,"_PIN","."),"PIN","."),_xlpm.mainPart,MID(_xlpm.cleanRaw,2,FIND(".",_xlpm.cleanRaw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502068</v>
      </c>
      <c r="H883" t="str">
        <f>_xlfn.LET(_xlpm.raw,_xlfn.XLOOKUP(A883,'Pinlist(S5)'!$C$4:$C$1362,'Pinlist(S5)'!$E$4:$E$1362,""),_xlpm.cleanRaw,SUBSTITUTE(SUBSTITUTE(_xlpm.raw,"_PIN","."),"PIN","."),_xlpm.mainPart,MID(_xlpm.cleanRaw,2,FIND(".",_xlpm.cleanRaw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707114</v>
      </c>
      <c r="I883" t="str">
        <f>""</f>
        <v/>
      </c>
      <c r="J883" t="str">
        <f t="shared" si="13"/>
        <v>AM69;DDRDQSP_IL00_NIL00;;39.003;16.37;606114;502068;707114;</v>
      </c>
    </row>
    <row r="884" spans="1:10">
      <c r="A884" t="s">
        <v>644</v>
      </c>
      <c r="B884" t="str">
        <f>_xlfn.XLOOKUP(A884,'Pinlist(S1)'!$Q$4:$Q$1362,'Pinlist(S1)'!$R$4:$R$1362,"")</f>
        <v>DDRDQSN_IL00_NIL00</v>
      </c>
      <c r="C884" t="str" cm="1">
        <f t="array" ref="C884">_xlfn.TEXTJOIN(",",TRUE,_xlfn.UNIQUE(TRANSPOSE(_xlfn.MAP(_xlfn.XLOOKUP(A884,'Pinlist(S1)'!$C$4:$C$1362,'Pinlist(S1)'!$F$4:$K$1362,""),_xlfn.LAMBDA(_xlpm.x,IF(_xlpm.x&lt;&gt;"",TRIM(CLEAN(LEFT(_xlpm.x,FIND(".",_xlpm.x &amp; ".")-1))),""))))))</f>
        <v/>
      </c>
      <c r="D884">
        <v>39.652999999999999</v>
      </c>
      <c r="E884">
        <v>16.469000000000001</v>
      </c>
      <c r="F884" t="str">
        <f>_xlfn.LET(_xlpm.raw,_xlfn.XLOOKUP(A884,'Pinlist(S1)'!$C$4:$C$1362,'Pinlist(S1)'!$E$4:$E$1362,""),_xlpm.cleanRaw,SUBSTITUTE(SUBSTITUTE(_xlpm.raw,"_PIN","."),"PIN","."),_xlpm.mainPart,MID(_xlpm.cleanRaw,2,FIND(".",_xlpm.cleanRaw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606112</v>
      </c>
      <c r="G884" t="str">
        <f>_xlfn.LET(_xlpm.raw,_xlfn.XLOOKUP(A884,'Pinlist(S3)'!$C$4:$C$1362,'Pinlist(S3)'!$E$4:$E$1362,""),_xlpm.cleanRaw,SUBSTITUTE(SUBSTITUTE(_xlpm.raw,"_PIN","."),"PIN","."),_xlpm.mainPart,MID(_xlpm.cleanRaw,2,FIND(".",_xlpm.cleanRaw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502067</v>
      </c>
      <c r="H884" t="str">
        <f>_xlfn.LET(_xlpm.raw,_xlfn.XLOOKUP(A884,'Pinlist(S5)'!$C$4:$C$1362,'Pinlist(S5)'!$E$4:$E$1362,""),_xlpm.cleanRaw,SUBSTITUTE(SUBSTITUTE(_xlpm.raw,"_PIN","."),"PIN","."),_xlpm.mainPart,MID(_xlpm.cleanRaw,2,FIND(".",_xlpm.cleanRaw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707112</v>
      </c>
      <c r="I884" t="str">
        <f>""</f>
        <v/>
      </c>
      <c r="J884" t="str">
        <f t="shared" si="13"/>
        <v>AM70;DDRDQSN_IL00_NIL00;;39.653;16.469;606112;502067;707112;</v>
      </c>
    </row>
    <row r="885" spans="1:10">
      <c r="A885" t="s">
        <v>1967</v>
      </c>
      <c r="B885" t="str">
        <f>_xlfn.XLOOKUP(A885,'Pinlist(S1)'!$Q$4:$Q$1362,'Pinlist(S1)'!$R$4:$R$1362,"")</f>
        <v>VSS</v>
      </c>
      <c r="C885" t="str" cm="1">
        <f t="array" ref="C885">_xlfn.TEXTJOIN(",",TRUE,_xlfn.UNIQUE(TRANSPOSE(_xlfn.MAP(_xlfn.XLOOKUP(A885,'Pinlist(S1)'!$C$4:$C$1362,'Pinlist(S1)'!$F$4:$K$1362,""),_xlfn.LAMBDA(_xlpm.x,IF(_xlpm.x&lt;&gt;"",TRIM(CLEAN(LEFT(_xlpm.x,FIND(".",_xlpm.x &amp; ".")-1))),""))))))</f>
        <v/>
      </c>
      <c r="D885">
        <v>40.302999999999997</v>
      </c>
      <c r="E885">
        <v>16.469000000000001</v>
      </c>
      <c r="F885" t="str">
        <f>_xlfn.LET(_xlpm.raw,_xlfn.XLOOKUP(A885,'Pinlist(S1)'!$C$4:$C$1362,'Pinlist(S1)'!$E$4:$E$1362,""),_xlpm.cleanRaw,SUBSTITUTE(SUBSTITUTE(_xlpm.raw,"_PIN","."),"PIN","."),_xlpm.mainPart,MID(_xlpm.cleanRaw,2,FIND(".",_xlpm.cleanRaw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5" t="str">
        <f>_xlfn.LET(_xlpm.raw,_xlfn.XLOOKUP(A885,'Pinlist(S3)'!$C$4:$C$1362,'Pinlist(S3)'!$E$4:$E$1362,""),_xlpm.cleanRaw,SUBSTITUTE(SUBSTITUTE(_xlpm.raw,"_PIN","."),"PIN","."),_xlpm.mainPart,MID(_xlpm.cleanRaw,2,FIND(".",_xlpm.cleanRaw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5" t="str">
        <f>_xlfn.LET(_xlpm.raw,_xlfn.XLOOKUP(A885,'Pinlist(S5)'!$C$4:$C$1362,'Pinlist(S5)'!$E$4:$E$1362,""),_xlpm.cleanRaw,SUBSTITUTE(SUBSTITUTE(_xlpm.raw,"_PIN","."),"PIN","."),_xlpm.mainPart,MID(_xlpm.cleanRaw,2,FIND(".",_xlpm.cleanRaw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5" t="str">
        <f>""</f>
        <v/>
      </c>
      <c r="J885" t="str">
        <f t="shared" si="13"/>
        <v>AM71;VSS;;40.303;16.469;;;;</v>
      </c>
    </row>
    <row r="886" spans="1:10">
      <c r="A886" t="s">
        <v>1062</v>
      </c>
      <c r="B886" t="str">
        <f>_xlfn.XLOOKUP(A886,'Pinlist(S1)'!$Q$4:$Q$1362,'Pinlist(S1)'!$R$4:$R$1362,"")</f>
        <v>GPP_F_17_EMMC_DATA4</v>
      </c>
      <c r="C886" t="str" cm="1">
        <f t="array" ref="C886">_xlfn.TEXTJOIN(",",TRUE,_xlfn.UNIQUE(TRANSPOSE(_xlfn.MAP(_xlfn.XLOOKUP(A886,'Pinlist(S1)'!$C$4:$C$1362,'Pinlist(S1)'!$F$4:$K$1362,""),_xlfn.LAMBDA(_xlpm.x,IF(_xlpm.x&lt;&gt;"",TRIM(CLEAN(LEFT(_xlpm.x,FIND(".",_xlpm.x &amp; ".")-1))),""))))))</f>
        <v>KA140</v>
      </c>
      <c r="D886">
        <v>0.32500000000000201</v>
      </c>
      <c r="E886">
        <v>17.433</v>
      </c>
      <c r="F886" t="str">
        <f>_xlfn.LET(_xlpm.raw,_xlfn.XLOOKUP(A886,'Pinlist(S1)'!$C$4:$C$1362,'Pinlist(S1)'!$E$4:$E$1362,""),_xlpm.cleanRaw,SUBSTITUTE(SUBSTITUTE(_xlpm.raw,"_PIN","."),"PIN","."),_xlpm.mainPart,MID(_xlpm.cleanRaw,2,FIND(".",_xlpm.cleanRaw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G886" t="str">
        <f>_xlfn.LET(_xlpm.raw,_xlfn.XLOOKUP(A886,'Pinlist(S3)'!$C$4:$C$1362,'Pinlist(S3)'!$E$4:$E$1362,""),_xlpm.cleanRaw,SUBSTITUTE(SUBSTITUTE(_xlpm.raw,"_PIN","."),"PIN","."),_xlpm.mainPart,MID(_xlpm.cleanRaw,2,FIND(".",_xlpm.cleanRaw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886" t="str">
        <f>_xlfn.LET(_xlpm.raw,_xlfn.XLOOKUP(A886,'Pinlist(S5)'!$C$4:$C$1362,'Pinlist(S5)'!$E$4:$E$1362,""),_xlpm.cleanRaw,SUBSTITUTE(SUBSTITUTE(_xlpm.raw,"_PIN","."),"PIN","."),_xlpm.mainPart,MID(_xlpm.cleanRaw,2,FIND(".",_xlpm.cleanRaw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703007</v>
      </c>
      <c r="I886" t="str">
        <f>""</f>
        <v/>
      </c>
      <c r="J886" t="str">
        <f t="shared" si="13"/>
        <v>AN1;GPP_F_17_EMMC_DATA4;KA140;0.325000000000002;17.433;509012;805046;703007;</v>
      </c>
    </row>
    <row r="887" spans="1:10">
      <c r="A887" t="s">
        <v>1065</v>
      </c>
      <c r="B887" t="str">
        <f>_xlfn.XLOOKUP(A887,'Pinlist(S1)'!$Q$4:$Q$1362,'Pinlist(S1)'!$R$4:$R$1362,"")</f>
        <v>GPP_F_18_EMMC_DATA5</v>
      </c>
      <c r="C887" t="str" cm="1">
        <f t="array" ref="C887">_xlfn.TEXTJOIN(",",TRUE,_xlfn.UNIQUE(TRANSPOSE(_xlfn.MAP(_xlfn.XLOOKUP(A887,'Pinlist(S1)'!$C$4:$C$1362,'Pinlist(S1)'!$F$4:$K$1362,""),_xlfn.LAMBDA(_xlpm.x,IF(_xlpm.x&lt;&gt;"",TRIM(CLEAN(LEFT(_xlpm.x,FIND(".",_xlpm.x &amp; ".")-1))),""))))))</f>
        <v>KA141</v>
      </c>
      <c r="D887">
        <v>0.97500000000000098</v>
      </c>
      <c r="E887">
        <v>17.433</v>
      </c>
      <c r="F887" t="str">
        <f>_xlfn.LET(_xlpm.raw,_xlfn.XLOOKUP(A887,'Pinlist(S1)'!$C$4:$C$1362,'Pinlist(S1)'!$E$4:$E$1362,""),_xlpm.cleanRaw,SUBSTITUTE(SUBSTITUTE(_xlpm.raw,"_PIN","."),"PIN","."),_xlpm.mainPart,MID(_xlpm.cleanRaw,2,FIND(".",_xlpm.cleanRaw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509016</v>
      </c>
      <c r="G887" t="str">
        <f>_xlfn.LET(_xlpm.raw,_xlfn.XLOOKUP(A887,'Pinlist(S3)'!$C$4:$C$1362,'Pinlist(S3)'!$E$4:$E$1362,""),_xlpm.cleanRaw,SUBSTITUTE(SUBSTITUTE(_xlpm.raw,"_PIN","."),"PIN","."),_xlpm.mainPart,MID(_xlpm.cleanRaw,2,FIND(".",_xlpm.cleanRaw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805045</v>
      </c>
      <c r="H887" t="str">
        <f>_xlfn.LET(_xlpm.raw,_xlfn.XLOOKUP(A887,'Pinlist(S5)'!$C$4:$C$1362,'Pinlist(S5)'!$E$4:$E$1362,""),_xlpm.cleanRaw,SUBSTITUTE(SUBSTITUTE(_xlpm.raw,"_PIN","."),"PIN","."),_xlpm.mainPart,MID(_xlpm.cleanRaw,2,FIND(".",_xlpm.cleanRaw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702063</v>
      </c>
      <c r="I887" t="str">
        <f>""</f>
        <v/>
      </c>
      <c r="J887" t="str">
        <f t="shared" si="13"/>
        <v>AN2;GPP_F_18_EMMC_DATA5;KA141;0.975000000000001;17.433;509016;805045;702063;</v>
      </c>
    </row>
    <row r="888" spans="1:10">
      <c r="A888" t="s">
        <v>1060</v>
      </c>
      <c r="B888" t="str">
        <f>_xlfn.XLOOKUP(A888,'Pinlist(S1)'!$Q$4:$Q$1362,'Pinlist(S1)'!$R$4:$R$1362,"")</f>
        <v>GPP_F_16_EMMC_DATA3</v>
      </c>
      <c r="C888" t="str" cm="1">
        <f t="array" ref="C888">_xlfn.TEXTJOIN(",",TRUE,_xlfn.UNIQUE(TRANSPOSE(_xlfn.MAP(_xlfn.XLOOKUP(A888,'Pinlist(S1)'!$C$4:$C$1362,'Pinlist(S1)'!$F$4:$K$1362,""),_xlfn.LAMBDA(_xlpm.x,IF(_xlpm.x&lt;&gt;"",TRIM(CLEAN(LEFT(_xlpm.x,FIND(".",_xlpm.x &amp; ".")-1))),""))))))</f>
        <v>KA144</v>
      </c>
      <c r="D888">
        <v>1.625</v>
      </c>
      <c r="E888">
        <v>17.433</v>
      </c>
      <c r="F888" t="str">
        <f>_xlfn.LET(_xlpm.raw,_xlfn.XLOOKUP(A888,'Pinlist(S1)'!$C$4:$C$1362,'Pinlist(S1)'!$E$4:$E$1362,""),_xlpm.cleanRaw,SUBSTITUTE(SUBSTITUTE(_xlpm.raw,"_PIN","."),"PIN","."),_xlpm.mainPart,MID(_xlpm.cleanRaw,2,FIND(".",_xlpm.cleanRaw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G888" t="str">
        <f>_xlfn.LET(_xlpm.raw,_xlfn.XLOOKUP(A888,'Pinlist(S3)'!$C$4:$C$1362,'Pinlist(S3)'!$E$4:$E$1362,""),_xlpm.cleanRaw,SUBSTITUTE(SUBSTITUTE(_xlpm.raw,"_PIN","."),"PIN","."),_xlpm.mainPart,MID(_xlpm.cleanRaw,2,FIND(".",_xlpm.cleanRaw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805049</v>
      </c>
      <c r="H888" t="str">
        <f>_xlfn.LET(_xlpm.raw,_xlfn.XLOOKUP(A888,'Pinlist(S5)'!$C$4:$C$1362,'Pinlist(S5)'!$E$4:$E$1362,""),_xlpm.cleanRaw,SUBSTITUTE(SUBSTITUTE(_xlpm.raw,"_PIN","."),"PIN","."),_xlpm.mainPart,MID(_xlpm.cleanRaw,2,FIND(".",_xlpm.cleanRaw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703002</v>
      </c>
      <c r="I888" t="str">
        <f>""</f>
        <v/>
      </c>
      <c r="J888" t="str">
        <f t="shared" si="13"/>
        <v>AN3;GPP_F_16_EMMC_DATA3;KA144;1.625;17.433;509014;805049;703002;</v>
      </c>
    </row>
    <row r="889" spans="1:10">
      <c r="A889" t="s">
        <v>873</v>
      </c>
      <c r="B889" t="str">
        <f>_xlfn.XLOOKUP(A889,'Pinlist(S1)'!$Q$4:$Q$1362,'Pinlist(S1)'!$R$4:$R$1362,"")</f>
        <v>GPP_B_22_GSPI1_MOSI</v>
      </c>
      <c r="C889" t="str" cm="1">
        <f t="array" ref="C889">_xlfn.TEXTJOIN(",",TRUE,_xlfn.UNIQUE(TRANSPOSE(_xlfn.MAP(_xlfn.XLOOKUP(A889,'Pinlist(S1)'!$C$4:$C$1362,'Pinlist(S1)'!$F$4:$K$1362,""),_xlfn.LAMBDA(_xlpm.x,IF(_xlpm.x&lt;&gt;"",TRIM(CLEAN(LEFT(_xlpm.x,FIND(".",_xlpm.x &amp; ".")-1))),""))))))</f>
        <v/>
      </c>
      <c r="D889">
        <v>2.6599999999999899</v>
      </c>
      <c r="E889">
        <v>16.911000000000001</v>
      </c>
      <c r="F889" t="str">
        <f>_xlfn.LET(_xlpm.raw,_xlfn.XLOOKUP(A889,'Pinlist(S1)'!$C$4:$C$1362,'Pinlist(S1)'!$E$4:$E$1362,""),_xlpm.cleanRaw,SUBSTITUTE(SUBSTITUTE(_xlpm.raw,"_PIN","."),"PIN","."),_xlpm.mainPart,MID(_xlpm.cleanRaw,2,FIND(".",_xlpm.cleanRaw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508050</v>
      </c>
      <c r="G889" t="str">
        <f>_xlfn.LET(_xlpm.raw,_xlfn.XLOOKUP(A889,'Pinlist(S3)'!$C$4:$C$1362,'Pinlist(S3)'!$E$4:$E$1362,""),_xlpm.cleanRaw,SUBSTITUTE(SUBSTITUTE(_xlpm.raw,"_PIN","."),"PIN","."),_xlpm.mainPart,MID(_xlpm.cleanRaw,2,FIND(".",_xlpm.cleanRaw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805061</v>
      </c>
      <c r="H889" t="str">
        <f>_xlfn.LET(_xlpm.raw,_xlfn.XLOOKUP(A889,'Pinlist(S5)'!$C$4:$C$1362,'Pinlist(S5)'!$E$4:$E$1362,""),_xlpm.cleanRaw,SUBSTITUTE(SUBSTITUTE(_xlpm.raw,"_PIN","."),"PIN","."),_xlpm.mainPart,MID(_xlpm.cleanRaw,2,FIND(".",_xlpm.cleanRaw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702054</v>
      </c>
      <c r="I889" t="str">
        <f>""</f>
        <v/>
      </c>
      <c r="J889" t="str">
        <f t="shared" si="13"/>
        <v>AN5;GPP_B_22_GSPI1_MOSI;;2.65999999999999;16.911;508050;805061;702054;</v>
      </c>
    </row>
    <row r="890" spans="1:10">
      <c r="A890" t="s">
        <v>869</v>
      </c>
      <c r="B890" t="str">
        <f>_xlfn.XLOOKUP(A890,'Pinlist(S1)'!$Q$4:$Q$1362,'Pinlist(S1)'!$R$4:$R$1362,"")</f>
        <v>GPP_B_20_GSPI1_CLK</v>
      </c>
      <c r="C890" t="str" cm="1">
        <f t="array" ref="C890">_xlfn.TEXTJOIN(",",TRUE,_xlfn.UNIQUE(TRANSPOSE(_xlfn.MAP(_xlfn.XLOOKUP(A890,'Pinlist(S1)'!$C$4:$C$1362,'Pinlist(S1)'!$F$4:$K$1362,""),_xlfn.LAMBDA(_xlpm.x,IF(_xlpm.x&lt;&gt;"",TRIM(CLEAN(LEFT(_xlpm.x,FIND(".",_xlpm.x &amp; ".")-1))),""))))))</f>
        <v/>
      </c>
      <c r="D890">
        <v>3.5739999999999901</v>
      </c>
      <c r="E890">
        <v>16.911000000000001</v>
      </c>
      <c r="F890" t="str">
        <f>_xlfn.LET(_xlpm.raw,_xlfn.XLOOKUP(A890,'Pinlist(S1)'!$C$4:$C$1362,'Pinlist(S1)'!$E$4:$E$1362,""),_xlpm.cleanRaw,SUBSTITUTE(SUBSTITUTE(_xlpm.raw,"_PIN","."),"PIN","."),_xlpm.mainPart,MID(_xlpm.cleanRaw,2,FIND(".",_xlpm.cleanRaw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509024</v>
      </c>
      <c r="G890" t="str">
        <f>_xlfn.LET(_xlpm.raw,_xlfn.XLOOKUP(A890,'Pinlist(S3)'!$C$4:$C$1362,'Pinlist(S3)'!$E$4:$E$1362,""),_xlpm.cleanRaw,SUBSTITUTE(SUBSTITUTE(_xlpm.raw,"_PIN","."),"PIN","."),_xlpm.mainPart,MID(_xlpm.cleanRaw,2,FIND(".",_xlpm.cleanRaw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805055</v>
      </c>
      <c r="H890" t="str">
        <f>_xlfn.LET(_xlpm.raw,_xlfn.XLOOKUP(A890,'Pinlist(S5)'!$C$4:$C$1362,'Pinlist(S5)'!$E$4:$E$1362,""),_xlpm.cleanRaw,SUBSTITUTE(SUBSTITUTE(_xlpm.raw,"_PIN","."),"PIN","."),_xlpm.mainPart,MID(_xlpm.cleanRaw,2,FIND(".",_xlpm.cleanRaw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702059</v>
      </c>
      <c r="I890" t="str">
        <f>""</f>
        <v/>
      </c>
      <c r="J890" t="str">
        <f t="shared" si="13"/>
        <v>AN7;GPP_B_20_GSPI1_CLK;;3.57399999999999;16.911;509024;805055;702059;</v>
      </c>
    </row>
    <row r="891" spans="1:10">
      <c r="A891" t="s">
        <v>857</v>
      </c>
      <c r="B891" t="str">
        <f>_xlfn.XLOOKUP(A891,'Pinlist(S1)'!$Q$4:$Q$1362,'Pinlist(S1)'!$R$4:$R$1362,"")</f>
        <v>GPP_B_15_GSPI0_CSB</v>
      </c>
      <c r="C891" t="str" cm="1">
        <f t="array" ref="C891">_xlfn.TEXTJOIN(",",TRUE,_xlfn.UNIQUE(TRANSPOSE(_xlfn.MAP(_xlfn.XLOOKUP(A891,'Pinlist(S1)'!$C$4:$C$1362,'Pinlist(S1)'!$F$4:$K$1362,""),_xlfn.LAMBDA(_xlpm.x,IF(_xlpm.x&lt;&gt;"",TRIM(CLEAN(LEFT(_xlpm.x,FIND(".",_xlpm.x &amp; ".")-1))),""))))))</f>
        <v/>
      </c>
      <c r="D891">
        <v>4.4889999999999999</v>
      </c>
      <c r="E891">
        <v>16.911000000000001</v>
      </c>
      <c r="F891" t="str">
        <f>_xlfn.LET(_xlpm.raw,_xlfn.XLOOKUP(A891,'Pinlist(S1)'!$C$4:$C$1362,'Pinlist(S1)'!$E$4:$E$1362,""),_xlpm.cleanRaw,SUBSTITUTE(SUBSTITUTE(_xlpm.raw,"_PIN","."),"PIN","."),_xlpm.mainPart,MID(_xlpm.cleanRaw,2,FIND(".",_xlpm.cleanRaw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509027</v>
      </c>
      <c r="G891" t="str">
        <f>_xlfn.LET(_xlpm.raw,_xlfn.XLOOKUP(A891,'Pinlist(S3)'!$C$4:$C$1362,'Pinlist(S3)'!$E$4:$E$1362,""),_xlpm.cleanRaw,SUBSTITUTE(SUBSTITUTE(_xlpm.raw,"_PIN","."),"PIN","."),_xlpm.mainPart,MID(_xlpm.cleanRaw,2,FIND(".",_xlpm.cleanRaw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804015</v>
      </c>
      <c r="H891" t="str">
        <f>_xlfn.LET(_xlpm.raw,_xlfn.XLOOKUP(A891,'Pinlist(S5)'!$C$4:$C$1362,'Pinlist(S5)'!$E$4:$E$1362,""),_xlpm.cleanRaw,SUBSTITUTE(SUBSTITUTE(_xlpm.raw,"_PIN","."),"PIN","."),_xlpm.mainPart,MID(_xlpm.cleanRaw,2,FIND(".",_xlpm.cleanRaw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703020</v>
      </c>
      <c r="I891" t="str">
        <f>""</f>
        <v/>
      </c>
      <c r="J891" t="str">
        <f t="shared" si="13"/>
        <v>AN8;GPP_B_15_GSPI0_CSB;;4.489;16.911;509027;804015;703020;</v>
      </c>
    </row>
    <row r="892" spans="1:10">
      <c r="A892" t="s">
        <v>853</v>
      </c>
      <c r="B892" t="str">
        <f>_xlfn.XLOOKUP(A892,'Pinlist(S1)'!$Q$4:$Q$1362,'Pinlist(S1)'!$R$4:$R$1362,"")</f>
        <v>GPP_B_13_PLTRSTB</v>
      </c>
      <c r="C892" t="str" cm="1">
        <f t="array" ref="C892">_xlfn.TEXTJOIN(",",TRUE,_xlfn.UNIQUE(TRANSPOSE(_xlfn.MAP(_xlfn.XLOOKUP(A892,'Pinlist(S1)'!$C$4:$C$1362,'Pinlist(S1)'!$F$4:$K$1362,""),_xlfn.LAMBDA(_xlpm.x,IF(_xlpm.x&lt;&gt;"",TRIM(CLEAN(LEFT(_xlpm.x,FIND(".",_xlpm.x &amp; ".")-1))),""))))))</f>
        <v>RA305,RA304</v>
      </c>
      <c r="D892">
        <v>5.4029999999999898</v>
      </c>
      <c r="E892">
        <v>16.911000000000001</v>
      </c>
      <c r="F892" t="str">
        <f>_xlfn.LET(_xlpm.raw,_xlfn.XLOOKUP(A892,'Pinlist(S1)'!$C$4:$C$1362,'Pinlist(S1)'!$E$4:$E$1362,""),_xlpm.cleanRaw,SUBSTITUTE(SUBSTITUTE(_xlpm.raw,"_PIN","."),"PIN","."),_xlpm.mainPart,MID(_xlpm.cleanRaw,2,FIND(".",_xlpm.cleanRaw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509039</v>
      </c>
      <c r="G892" t="str">
        <f>_xlfn.LET(_xlpm.raw,_xlfn.XLOOKUP(A892,'Pinlist(S3)'!$C$4:$C$1362,'Pinlist(S3)'!$E$4:$E$1362,""),_xlpm.cleanRaw,SUBSTITUTE(SUBSTITUTE(_xlpm.raw,"_PIN","."),"PIN","."),_xlpm.mainPart,MID(_xlpm.cleanRaw,2,FIND(".",_xlpm.cleanRaw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805056</v>
      </c>
      <c r="H892" t="str">
        <f>_xlfn.LET(_xlpm.raw,_xlfn.XLOOKUP(A892,'Pinlist(S5)'!$C$4:$C$1362,'Pinlist(S5)'!$E$4:$E$1362,""),_xlpm.cleanRaw,SUBSTITUTE(SUBSTITUTE(_xlpm.raw,"_PIN","."),"PIN","."),_xlpm.mainPart,MID(_xlpm.cleanRaw,2,FIND(".",_xlpm.cleanRaw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702046</v>
      </c>
      <c r="I892" t="str">
        <f>""</f>
        <v/>
      </c>
      <c r="J892" t="str">
        <f t="shared" si="13"/>
        <v>AN10;GPP_B_13_PLTRSTB;RA305,RA304;5.40299999999999;16.911;509039;805056;702046;</v>
      </c>
    </row>
    <row r="893" spans="1:10">
      <c r="A893" t="s">
        <v>843</v>
      </c>
      <c r="B893" t="str">
        <f>_xlfn.XLOOKUP(A893,'Pinlist(S1)'!$Q$4:$Q$1362,'Pinlist(S1)'!$R$4:$R$1362,"")</f>
        <v>GPP_B_0_CORE_VID_0</v>
      </c>
      <c r="C893" t="str" cm="1">
        <f t="array" ref="C893">_xlfn.TEXTJOIN(",",TRUE,_xlfn.UNIQUE(TRANSPOSE(_xlfn.MAP(_xlfn.XLOOKUP(A893,'Pinlist(S1)'!$C$4:$C$1362,'Pinlist(S1)'!$F$4:$K$1362,""),_xlfn.LAMBDA(_xlpm.x,IF(_xlpm.x&lt;&gt;"",TRIM(CLEAN(LEFT(_xlpm.x,FIND(".",_xlpm.x &amp; ".")-1))),""))))))</f>
        <v/>
      </c>
      <c r="D893">
        <v>6.3179999999999898</v>
      </c>
      <c r="E893">
        <v>16.911000000000001</v>
      </c>
      <c r="F893" t="str">
        <f>_xlfn.LET(_xlpm.raw,_xlfn.XLOOKUP(A893,'Pinlist(S1)'!$C$4:$C$1362,'Pinlist(S1)'!$E$4:$E$1362,""),_xlpm.cleanRaw,SUBSTITUTE(SUBSTITUTE(_xlpm.raw,"_PIN","."),"PIN","."),_xlpm.mainPart,MID(_xlpm.cleanRaw,2,FIND(".",_xlpm.cleanRaw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509030</v>
      </c>
      <c r="G893" t="str">
        <f>_xlfn.LET(_xlpm.raw,_xlfn.XLOOKUP(A893,'Pinlist(S3)'!$C$4:$C$1362,'Pinlist(S3)'!$E$4:$E$1362,""),_xlpm.cleanRaw,SUBSTITUTE(SUBSTITUTE(_xlpm.raw,"_PIN","."),"PIN","."),_xlpm.mainPart,MID(_xlpm.cleanRaw,2,FIND(".",_xlpm.cleanRaw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804011</v>
      </c>
      <c r="H893" t="str">
        <f>_xlfn.LET(_xlpm.raw,_xlfn.XLOOKUP(A893,'Pinlist(S5)'!$C$4:$C$1362,'Pinlist(S5)'!$E$4:$E$1362,""),_xlpm.cleanRaw,SUBSTITUTE(SUBSTITUTE(_xlpm.raw,"_PIN","."),"PIN","."),_xlpm.mainPart,MID(_xlpm.cleanRaw,2,FIND(".",_xlpm.cleanRaw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703017</v>
      </c>
      <c r="I893" t="str">
        <f>""</f>
        <v/>
      </c>
      <c r="J893" t="str">
        <f t="shared" si="13"/>
        <v>AN11;GPP_B_0_CORE_VID_0;;6.31799999999999;16.911;509030;804011;703017;</v>
      </c>
    </row>
    <row r="894" spans="1:10">
      <c r="A894" t="s">
        <v>845</v>
      </c>
      <c r="B894" t="str">
        <f>_xlfn.XLOOKUP(A894,'Pinlist(S1)'!$Q$4:$Q$1362,'Pinlist(S1)'!$R$4:$R$1362,"")</f>
        <v>GPP_B_1_CORE_VID_1</v>
      </c>
      <c r="C894" t="str" cm="1">
        <f t="array" ref="C894">_xlfn.TEXTJOIN(",",TRUE,_xlfn.UNIQUE(TRANSPOSE(_xlfn.MAP(_xlfn.XLOOKUP(A894,'Pinlist(S1)'!$C$4:$C$1362,'Pinlist(S1)'!$F$4:$K$1362,""),_xlfn.LAMBDA(_xlpm.x,IF(_xlpm.x&lt;&gt;"",TRIM(CLEAN(LEFT(_xlpm.x,FIND(".",_xlpm.x &amp; ".")-1))),""))))))</f>
        <v/>
      </c>
      <c r="D894">
        <v>7.2319999999999904</v>
      </c>
      <c r="E894">
        <v>16.911000000000001</v>
      </c>
      <c r="F894" t="str">
        <f>_xlfn.LET(_xlpm.raw,_xlfn.XLOOKUP(A894,'Pinlist(S1)'!$C$4:$C$1362,'Pinlist(S1)'!$E$4:$E$1362,""),_xlpm.cleanRaw,SUBSTITUTE(SUBSTITUTE(_xlpm.raw,"_PIN","."),"PIN","."),_xlpm.mainPart,MID(_xlpm.cleanRaw,2,FIND(".",_xlpm.cleanRaw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509029</v>
      </c>
      <c r="G894" t="str">
        <f>_xlfn.LET(_xlpm.raw,_xlfn.XLOOKUP(A894,'Pinlist(S3)'!$C$4:$C$1362,'Pinlist(S3)'!$E$4:$E$1362,""),_xlpm.cleanRaw,SUBSTITUTE(SUBSTITUTE(_xlpm.raw,"_PIN","."),"PIN","."),_xlpm.mainPart,MID(_xlpm.cleanRaw,2,FIND(".",_xlpm.cleanRaw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894" t="str">
        <f>_xlfn.LET(_xlpm.raw,_xlfn.XLOOKUP(A894,'Pinlist(S5)'!$C$4:$C$1362,'Pinlist(S5)'!$E$4:$E$1362,""),_xlpm.cleanRaw,SUBSTITUTE(SUBSTITUTE(_xlpm.raw,"_PIN","."),"PIN","."),_xlpm.mainPart,MID(_xlpm.cleanRaw,2,FIND(".",_xlpm.cleanRaw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703019</v>
      </c>
      <c r="I894" t="str">
        <f>""</f>
        <v/>
      </c>
      <c r="J894" t="str">
        <f t="shared" si="13"/>
        <v>AN13;GPP_B_1_CORE_VID_1;;7.23199999999999;16.911;509029;804027;703019;</v>
      </c>
    </row>
    <row r="895" spans="1:10">
      <c r="A895" t="s">
        <v>1368</v>
      </c>
      <c r="B895" t="str">
        <f>_xlfn.XLOOKUP(A895,'Pinlist(S1)'!$Q$4:$Q$1362,'Pinlist(S1)'!$R$4:$R$1362,"")</f>
        <v>SLP_SUSB</v>
      </c>
      <c r="C895" t="str" cm="1">
        <f t="array" ref="C895">_xlfn.TEXTJOIN(",",TRUE,_xlfn.UNIQUE(TRANSPOSE(_xlfn.MAP(_xlfn.XLOOKUP(A895,'Pinlist(S1)'!$C$4:$C$1362,'Pinlist(S1)'!$F$4:$K$1362,""),_xlfn.LAMBDA(_xlpm.x,IF(_xlpm.x&lt;&gt;"",TRIM(CLEAN(LEFT(_xlpm.x,FIND(".",_xlpm.x &amp; ".")-1))),""))))))</f>
        <v/>
      </c>
      <c r="D895">
        <v>8.1460000000000008</v>
      </c>
      <c r="E895">
        <v>16.911000000000001</v>
      </c>
      <c r="F895" t="str">
        <f>_xlfn.LET(_xlpm.raw,_xlfn.XLOOKUP(A895,'Pinlist(S1)'!$C$4:$C$1362,'Pinlist(S1)'!$E$4:$E$1362,""),_xlpm.cleanRaw,SUBSTITUTE(SUBSTITUTE(_xlpm.raw,"_PIN","."),"PIN","."),_xlpm.mainPart,MID(_xlpm.cleanRaw,2,FIND(".",_xlpm.cleanRaw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508043</v>
      </c>
      <c r="G895" t="str">
        <f>_xlfn.LET(_xlpm.raw,_xlfn.XLOOKUP(A895,'Pinlist(S3)'!$C$4:$C$1362,'Pinlist(S3)'!$E$4:$E$1362,""),_xlpm.cleanRaw,SUBSTITUTE(SUBSTITUTE(_xlpm.raw,"_PIN","."),"PIN","."),_xlpm.mainPart,MID(_xlpm.cleanRaw,2,FIND(".",_xlpm.cleanRaw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804021</v>
      </c>
      <c r="H895" t="str">
        <f>_xlfn.LET(_xlpm.raw,_xlfn.XLOOKUP(A895,'Pinlist(S5)'!$C$4:$C$1362,'Pinlist(S5)'!$E$4:$E$1362,""),_xlpm.cleanRaw,SUBSTITUTE(SUBSTITUTE(_xlpm.raw,"_PIN","."),"PIN","."),_xlpm.mainPart,MID(_xlpm.cleanRaw,2,FIND(".",_xlpm.cleanRaw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703012</v>
      </c>
      <c r="I895" t="str">
        <f>""</f>
        <v/>
      </c>
      <c r="J895" t="str">
        <f t="shared" si="13"/>
        <v>AN15;SLP_SUSB;;8.146;16.911;508043;804021;703012;</v>
      </c>
    </row>
    <row r="896" spans="1:10">
      <c r="A896" t="s">
        <v>787</v>
      </c>
      <c r="B896" t="str">
        <f>_xlfn.XLOOKUP(A896,'Pinlist(S1)'!$Q$4:$Q$1362,'Pinlist(S1)'!$R$4:$R$1362,"")</f>
        <v>GPD_6_SLP_AB</v>
      </c>
      <c r="C896" t="str" cm="1">
        <f t="array" ref="C896">_xlfn.TEXTJOIN(",",TRUE,_xlfn.UNIQUE(TRANSPOSE(_xlfn.MAP(_xlfn.XLOOKUP(A896,'Pinlist(S1)'!$C$4:$C$1362,'Pinlist(S1)'!$F$4:$K$1362,""),_xlfn.LAMBDA(_xlpm.x,IF(_xlpm.x&lt;&gt;"",TRIM(CLEAN(LEFT(_xlpm.x,FIND(".",_xlpm.x &amp; ".")-1))),""))))))</f>
        <v/>
      </c>
      <c r="D896">
        <v>9.0609999999999999</v>
      </c>
      <c r="E896">
        <v>16.911000000000001</v>
      </c>
      <c r="F896" t="str">
        <f>_xlfn.LET(_xlpm.raw,_xlfn.XLOOKUP(A896,'Pinlist(S1)'!$C$4:$C$1362,'Pinlist(S1)'!$E$4:$E$1362,""),_xlpm.cleanRaw,SUBSTITUTE(SUBSTITUTE(_xlpm.raw,"_PIN","."),"PIN","."),_xlpm.mainPart,MID(_xlpm.cleanRaw,2,FIND(".",_xlpm.cleanRaw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509003</v>
      </c>
      <c r="G896" t="str">
        <f>_xlfn.LET(_xlpm.raw,_xlfn.XLOOKUP(A896,'Pinlist(S3)'!$C$4:$C$1362,'Pinlist(S3)'!$E$4:$E$1362,""),_xlpm.cleanRaw,SUBSTITUTE(SUBSTITUTE(_xlpm.raw,"_PIN","."),"PIN","."),_xlpm.mainPart,MID(_xlpm.cleanRaw,2,FIND(".",_xlpm.cleanRaw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804024</v>
      </c>
      <c r="H896" t="str">
        <f>_xlfn.LET(_xlpm.raw,_xlfn.XLOOKUP(A896,'Pinlist(S5)'!$C$4:$C$1362,'Pinlist(S5)'!$E$4:$E$1362,""),_xlpm.cleanRaw,SUBSTITUTE(SUBSTITUTE(_xlpm.raw,"_PIN","."),"PIN","."),_xlpm.mainPart,MID(_xlpm.cleanRaw,2,FIND(".",_xlpm.cleanRaw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703022</v>
      </c>
      <c r="I896" t="str">
        <f>""</f>
        <v/>
      </c>
      <c r="J896" t="str">
        <f t="shared" si="13"/>
        <v>AN16;GPD_6_SLP_AB;;9.061;16.911;509003;804024;703022;</v>
      </c>
    </row>
    <row r="897" spans="1:10">
      <c r="A897" t="s">
        <v>1416</v>
      </c>
      <c r="B897" t="str">
        <f>_xlfn.XLOOKUP(A897,'Pinlist(S1)'!$Q$4:$Q$1362,'Pinlist(S1)'!$R$4:$R$1362,"")</f>
        <v>SRTCRSTB</v>
      </c>
      <c r="C897" t="str" cm="1">
        <f t="array" ref="C897">_xlfn.TEXTJOIN(",",TRUE,_xlfn.UNIQUE(TRANSPOSE(_xlfn.MAP(_xlfn.XLOOKUP(A897,'Pinlist(S1)'!$C$4:$C$1362,'Pinlist(S1)'!$F$4:$K$1362,""),_xlfn.LAMBDA(_xlpm.x,IF(_xlpm.x&lt;&gt;"",TRIM(CLEAN(LEFT(_xlpm.x,FIND(".",_xlpm.x &amp; ".")-1))),""))))))</f>
        <v/>
      </c>
      <c r="D897">
        <v>9.9749999999999996</v>
      </c>
      <c r="E897">
        <v>16.911000000000001</v>
      </c>
      <c r="F897" t="str">
        <f>_xlfn.LET(_xlpm.raw,_xlfn.XLOOKUP(A897,'Pinlist(S1)'!$C$4:$C$1362,'Pinlist(S1)'!$E$4:$E$1362,""),_xlpm.cleanRaw,SUBSTITUTE(SUBSTITUTE(_xlpm.raw,"_PIN","."),"PIN","."),_xlpm.mainPart,MID(_xlpm.cleanRaw,2,FIND(".",_xlpm.cleanRaw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505042</v>
      </c>
      <c r="G897" t="str">
        <f>_xlfn.LET(_xlpm.raw,_xlfn.XLOOKUP(A897,'Pinlist(S3)'!$C$4:$C$1362,'Pinlist(S3)'!$E$4:$E$1362,""),_xlpm.cleanRaw,SUBSTITUTE(SUBSTITUTE(_xlpm.raw,"_PIN","."),"PIN","."),_xlpm.mainPart,MID(_xlpm.cleanRaw,2,FIND(".",_xlpm.cleanRaw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809087</v>
      </c>
      <c r="H897" t="str">
        <f>_xlfn.LET(_xlpm.raw,_xlfn.XLOOKUP(A897,'Pinlist(S5)'!$C$4:$C$1362,'Pinlist(S5)'!$E$4:$E$1362,""),_xlpm.cleanRaw,SUBSTITUTE(SUBSTITUTE(_xlpm.raw,"_PIN","."),"PIN","."),_xlpm.mainPart,MID(_xlpm.cleanRaw,2,FIND(".",_xlpm.cleanRaw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602042</v>
      </c>
      <c r="I897" t="str">
        <f>""</f>
        <v/>
      </c>
      <c r="J897" t="str">
        <f t="shared" si="13"/>
        <v>AN18;SRTCRSTB;;9.975;16.911;505042;809087;602042;</v>
      </c>
    </row>
    <row r="898" spans="1:10">
      <c r="A898" t="s">
        <v>1969</v>
      </c>
      <c r="B898" t="str">
        <f>_xlfn.XLOOKUP(A898,'Pinlist(S1)'!$Q$4:$Q$1362,'Pinlist(S1)'!$R$4:$R$1362,"")</f>
        <v>VSS</v>
      </c>
      <c r="C898" t="str" cm="1">
        <f t="array" ref="C898">_xlfn.TEXTJOIN(",",TRUE,_xlfn.UNIQUE(TRANSPOSE(_xlfn.MAP(_xlfn.XLOOKUP(A898,'Pinlist(S1)'!$C$4:$C$1362,'Pinlist(S1)'!$F$4:$K$1362,""),_xlfn.LAMBDA(_xlpm.x,IF(_xlpm.x&lt;&gt;"",TRIM(CLEAN(LEFT(_xlpm.x,FIND(".",_xlpm.x &amp; ".")-1))),""))))))</f>
        <v/>
      </c>
      <c r="D898">
        <v>10.89</v>
      </c>
      <c r="E898">
        <v>16.911000000000001</v>
      </c>
      <c r="F898" t="str">
        <f>_xlfn.LET(_xlpm.raw,_xlfn.XLOOKUP(A898,'Pinlist(S1)'!$C$4:$C$1362,'Pinlist(S1)'!$E$4:$E$1362,""),_xlpm.cleanRaw,SUBSTITUTE(SUBSTITUTE(_xlpm.raw,"_PIN","."),"PIN","."),_xlpm.mainPart,MID(_xlpm.cleanRaw,2,FIND(".",_xlpm.cleanRaw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8" t="str">
        <f>_xlfn.LET(_xlpm.raw,_xlfn.XLOOKUP(A898,'Pinlist(S3)'!$C$4:$C$1362,'Pinlist(S3)'!$E$4:$E$1362,""),_xlpm.cleanRaw,SUBSTITUTE(SUBSTITUTE(_xlpm.raw,"_PIN","."),"PIN","."),_xlpm.mainPart,MID(_xlpm.cleanRaw,2,FIND(".",_xlpm.cleanRaw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8" t="str">
        <f>_xlfn.LET(_xlpm.raw,_xlfn.XLOOKUP(A898,'Pinlist(S5)'!$C$4:$C$1362,'Pinlist(S5)'!$E$4:$E$1362,""),_xlpm.cleanRaw,SUBSTITUTE(SUBSTITUTE(_xlpm.raw,"_PIN","."),"PIN","."),_xlpm.mainPart,MID(_xlpm.cleanRaw,2,FIND(".",_xlpm.cleanRaw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98" t="str">
        <f>""</f>
        <v/>
      </c>
      <c r="J898" t="str">
        <f t="shared" ref="J898:J961" si="14">A898&amp;";"&amp;B898&amp;";"&amp;C898&amp;";"&amp;D898&amp;";"&amp;E898&amp;";"&amp;F898&amp;";"&amp;G898&amp;";"&amp;H898&amp;";"&amp;I898</f>
        <v>AN20;VSS;;10.89;16.911;;;;</v>
      </c>
    </row>
    <row r="899" spans="1:10">
      <c r="A899" t="s">
        <v>642</v>
      </c>
      <c r="B899" t="str">
        <f>_xlfn.XLOOKUP(A899,'Pinlist(S1)'!$Q$4:$Q$1362,'Pinlist(S1)'!$R$4:$R$1362,"")</f>
        <v>DDRDQ_IL17_NIL17[7]</v>
      </c>
      <c r="C899" t="str" cm="1">
        <f t="array" ref="C899">_xlfn.TEXTJOIN(",",TRUE,_xlfn.UNIQUE(TRANSPOSE(_xlfn.MAP(_xlfn.XLOOKUP(A899,'Pinlist(S1)'!$C$4:$C$1362,'Pinlist(S1)'!$F$4:$K$1362,""),_xlfn.LAMBDA(_xlpm.x,IF(_xlpm.x&lt;&gt;"",TRIM(CLEAN(LEFT(_xlpm.x,FIND(".",_xlpm.x &amp; ".")-1))),""))))))</f>
        <v/>
      </c>
      <c r="D899">
        <v>11.804</v>
      </c>
      <c r="E899">
        <v>16.911000000000001</v>
      </c>
      <c r="F899" t="str">
        <f>_xlfn.LET(_xlpm.raw,_xlfn.XLOOKUP(A899,'Pinlist(S1)'!$C$4:$C$1362,'Pinlist(S1)'!$E$4:$E$1362,""),_xlpm.cleanRaw,SUBSTITUTE(SUBSTITUTE(_xlpm.raw,"_PIN","."),"PIN","."),_xlpm.mainPart,MID(_xlpm.cleanRaw,2,FIND(".",_xlpm.cleanRaw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609087</v>
      </c>
      <c r="G899" t="str">
        <f>_xlfn.LET(_xlpm.raw,_xlfn.XLOOKUP(A899,'Pinlist(S3)'!$C$4:$C$1362,'Pinlist(S3)'!$E$4:$E$1362,""),_xlpm.cleanRaw,SUBSTITUTE(SUBSTITUTE(_xlpm.raw,"_PIN","."),"PIN","."),_xlpm.mainPart,MID(_xlpm.cleanRaw,2,FIND(".",_xlpm.cleanRaw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803090</v>
      </c>
      <c r="H899" t="str">
        <f>_xlfn.LET(_xlpm.raw,_xlfn.XLOOKUP(A899,'Pinlist(S5)'!$C$4:$C$1362,'Pinlist(S5)'!$E$4:$E$1362,""),_xlpm.cleanRaw,SUBSTITUTE(SUBSTITUTE(_xlpm.raw,"_PIN","."),"PIN","."),_xlpm.mainPart,MID(_xlpm.cleanRaw,2,FIND(".",_xlpm.cleanRaw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704090</v>
      </c>
      <c r="I899" t="str">
        <f>""</f>
        <v/>
      </c>
      <c r="J899" t="str">
        <f t="shared" si="14"/>
        <v>AN21;DDRDQ_IL17_NIL17[7];;11.804;16.911;609087;803090;704090;</v>
      </c>
    </row>
    <row r="900" spans="1:10">
      <c r="A900" t="s">
        <v>636</v>
      </c>
      <c r="B900" t="str">
        <f>_xlfn.XLOOKUP(A900,'Pinlist(S1)'!$Q$4:$Q$1362,'Pinlist(S1)'!$R$4:$R$1362,"")</f>
        <v>DDRDQ_IL17_NIL17[4]</v>
      </c>
      <c r="C900" t="str" cm="1">
        <f t="array" ref="C900">_xlfn.TEXTJOIN(",",TRUE,_xlfn.UNIQUE(TRANSPOSE(_xlfn.MAP(_xlfn.XLOOKUP(A900,'Pinlist(S1)'!$C$4:$C$1362,'Pinlist(S1)'!$F$4:$K$1362,""),_xlfn.LAMBDA(_xlpm.x,IF(_xlpm.x&lt;&gt;"",TRIM(CLEAN(LEFT(_xlpm.x,FIND(".",_xlpm.x &amp; ".")-1))),""))))))</f>
        <v/>
      </c>
      <c r="D900">
        <v>12.718</v>
      </c>
      <c r="E900">
        <v>16.911000000000001</v>
      </c>
      <c r="F900" t="str">
        <f>_xlfn.LET(_xlpm.raw,_xlfn.XLOOKUP(A900,'Pinlist(S1)'!$C$4:$C$1362,'Pinlist(S1)'!$E$4:$E$1362,""),_xlpm.cleanRaw,SUBSTITUTE(SUBSTITUTE(_xlpm.raw,"_PIN","."),"PIN","."),_xlpm.mainPart,MID(_xlpm.cleanRaw,2,FIND(".",_xlpm.cleanRaw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608052</v>
      </c>
      <c r="G900" t="str">
        <f>_xlfn.LET(_xlpm.raw,_xlfn.XLOOKUP(A900,'Pinlist(S3)'!$C$4:$C$1362,'Pinlist(S3)'!$E$4:$E$1362,""),_xlpm.cleanRaw,SUBSTITUTE(SUBSTITUTE(_xlpm.raw,"_PIN","."),"PIN","."),_xlpm.mainPart,MID(_xlpm.cleanRaw,2,FIND(".",_xlpm.cleanRaw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803093</v>
      </c>
      <c r="H900" t="str">
        <f>_xlfn.LET(_xlpm.raw,_xlfn.XLOOKUP(A900,'Pinlist(S5)'!$C$4:$C$1362,'Pinlist(S5)'!$E$4:$E$1362,""),_xlpm.cleanRaw,SUBSTITUTE(SUBSTITUTE(_xlpm.raw,"_PIN","."),"PIN","."),_xlpm.mainPart,MID(_xlpm.cleanRaw,2,FIND(".",_xlpm.cleanRaw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704093</v>
      </c>
      <c r="I900" t="str">
        <f>""</f>
        <v/>
      </c>
      <c r="J900" t="str">
        <f t="shared" si="14"/>
        <v>AN22;DDRDQ_IL17_NIL17[4];;12.718;16.911;608052;803093;704093;</v>
      </c>
    </row>
    <row r="901" spans="1:10">
      <c r="A901" t="s">
        <v>1970</v>
      </c>
      <c r="B901" t="str">
        <f>_xlfn.XLOOKUP(A901,'Pinlist(S1)'!$Q$4:$Q$1362,'Pinlist(S1)'!$R$4:$R$1362,"")</f>
        <v>VSS</v>
      </c>
      <c r="C901" t="str" cm="1">
        <f t="array" ref="C901">_xlfn.TEXTJOIN(",",TRUE,_xlfn.UNIQUE(TRANSPOSE(_xlfn.MAP(_xlfn.XLOOKUP(A901,'Pinlist(S1)'!$C$4:$C$1362,'Pinlist(S1)'!$F$4:$K$1362,""),_xlfn.LAMBDA(_xlpm.x,IF(_xlpm.x&lt;&gt;"",TRIM(CLEAN(LEFT(_xlpm.x,FIND(".",_xlpm.x &amp; ".")-1))),""))))))</f>
        <v/>
      </c>
      <c r="D901">
        <v>13.632999999999999</v>
      </c>
      <c r="E901">
        <v>16.911000000000001</v>
      </c>
      <c r="F901" t="str">
        <f>_xlfn.LET(_xlpm.raw,_xlfn.XLOOKUP(A901,'Pinlist(S1)'!$C$4:$C$1362,'Pinlist(S1)'!$E$4:$E$1362,""),_xlpm.cleanRaw,SUBSTITUTE(SUBSTITUTE(_xlpm.raw,"_PIN","."),"PIN","."),_xlpm.mainPart,MID(_xlpm.cleanRaw,2,FIND(".",_xlpm.cleanRaw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1" t="str">
        <f>_xlfn.LET(_xlpm.raw,_xlfn.XLOOKUP(A901,'Pinlist(S3)'!$C$4:$C$1362,'Pinlist(S3)'!$E$4:$E$1362,""),_xlpm.cleanRaw,SUBSTITUTE(SUBSTITUTE(_xlpm.raw,"_PIN","."),"PIN","."),_xlpm.mainPart,MID(_xlpm.cleanRaw,2,FIND(".",_xlpm.cleanRaw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1" t="str">
        <f>_xlfn.LET(_xlpm.raw,_xlfn.XLOOKUP(A901,'Pinlist(S5)'!$C$4:$C$1362,'Pinlist(S5)'!$E$4:$E$1362,""),_xlpm.cleanRaw,SUBSTITUTE(SUBSTITUTE(_xlpm.raw,"_PIN","."),"PIN","."),_xlpm.mainPart,MID(_xlpm.cleanRaw,2,FIND(".",_xlpm.cleanRaw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1" t="str">
        <f>""</f>
        <v/>
      </c>
      <c r="J901" t="str">
        <f t="shared" si="14"/>
        <v>AN23;VSS;;13.633;16.911;;;;</v>
      </c>
    </row>
    <row r="902" spans="1:10">
      <c r="A902" t="s">
        <v>624</v>
      </c>
      <c r="B902" t="str">
        <f>_xlfn.XLOOKUP(A902,'Pinlist(S1)'!$Q$4:$Q$1362,'Pinlist(S1)'!$R$4:$R$1362,"")</f>
        <v>DDRDQ_IL16_NIL16[6]</v>
      </c>
      <c r="C902" t="str" cm="1">
        <f t="array" ref="C902">_xlfn.TEXTJOIN(",",TRUE,_xlfn.UNIQUE(TRANSPOSE(_xlfn.MAP(_xlfn.XLOOKUP(A902,'Pinlist(S1)'!$C$4:$C$1362,'Pinlist(S1)'!$F$4:$K$1362,""),_xlfn.LAMBDA(_xlpm.x,IF(_xlpm.x&lt;&gt;"",TRIM(CLEAN(LEFT(_xlpm.x,FIND(".",_xlpm.x &amp; ".")-1))),""))))))</f>
        <v/>
      </c>
      <c r="D902">
        <v>14.547000000000001</v>
      </c>
      <c r="E902">
        <v>16.911000000000001</v>
      </c>
      <c r="F902" t="str">
        <f>_xlfn.LET(_xlpm.raw,_xlfn.XLOOKUP(A902,'Pinlist(S1)'!$C$4:$C$1362,'Pinlist(S1)'!$E$4:$E$1362,""),_xlpm.cleanRaw,SUBSTITUTE(SUBSTITUTE(_xlpm.raw,"_PIN","."),"PIN","."),_xlpm.mainPart,MID(_xlpm.cleanRaw,2,FIND(".",_xlpm.cleanRaw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609102</v>
      </c>
      <c r="G902" t="str">
        <f>_xlfn.LET(_xlpm.raw,_xlfn.XLOOKUP(A902,'Pinlist(S3)'!$C$4:$C$1362,'Pinlist(S3)'!$E$4:$E$1362,""),_xlpm.cleanRaw,SUBSTITUTE(SUBSTITUTE(_xlpm.raw,"_PIN","."),"PIN","."),_xlpm.mainPart,MID(_xlpm.cleanRaw,2,FIND(".",_xlpm.cleanRaw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803104</v>
      </c>
      <c r="H902" t="str">
        <f>_xlfn.LET(_xlpm.raw,_xlfn.XLOOKUP(A902,'Pinlist(S5)'!$C$4:$C$1362,'Pinlist(S5)'!$E$4:$E$1362,""),_xlpm.cleanRaw,SUBSTITUTE(SUBSTITUTE(_xlpm.raw,"_PIN","."),"PIN","."),_xlpm.mainPart,MID(_xlpm.cleanRaw,2,FIND(".",_xlpm.cleanRaw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704102</v>
      </c>
      <c r="I902" t="str">
        <f>""</f>
        <v/>
      </c>
      <c r="J902" t="str">
        <f t="shared" si="14"/>
        <v>AN25;DDRDQ_IL16_NIL16[6];;14.547;16.911;609102;803104;704102;</v>
      </c>
    </row>
    <row r="903" spans="1:10">
      <c r="A903" t="s">
        <v>622</v>
      </c>
      <c r="B903" t="str">
        <f>_xlfn.XLOOKUP(A903,'Pinlist(S1)'!$Q$4:$Q$1362,'Pinlist(S1)'!$R$4:$R$1362,"")</f>
        <v>DDRDQ_IL16_NIL16[5]</v>
      </c>
      <c r="C903" t="str" cm="1">
        <f t="array" ref="C903">_xlfn.TEXTJOIN(",",TRUE,_xlfn.UNIQUE(TRANSPOSE(_xlfn.MAP(_xlfn.XLOOKUP(A903,'Pinlist(S1)'!$C$4:$C$1362,'Pinlist(S1)'!$F$4:$K$1362,""),_xlfn.LAMBDA(_xlpm.x,IF(_xlpm.x&lt;&gt;"",TRIM(CLEAN(LEFT(_xlpm.x,FIND(".",_xlpm.x &amp; ".")-1))),""))))))</f>
        <v/>
      </c>
      <c r="D903">
        <v>15.462</v>
      </c>
      <c r="E903">
        <v>16.911000000000001</v>
      </c>
      <c r="F903" t="str">
        <f>_xlfn.LET(_xlpm.raw,_xlfn.XLOOKUP(A903,'Pinlist(S1)'!$C$4:$C$1362,'Pinlist(S1)'!$E$4:$E$1362,""),_xlpm.cleanRaw,SUBSTITUTE(SUBSTITUTE(_xlpm.raw,"_PIN","."),"PIN","."),_xlpm.mainPart,MID(_xlpm.cleanRaw,2,FIND(".",_xlpm.cleanRaw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608060</v>
      </c>
      <c r="G903" t="str">
        <f>_xlfn.LET(_xlpm.raw,_xlfn.XLOOKUP(A903,'Pinlist(S3)'!$C$4:$C$1362,'Pinlist(S3)'!$E$4:$E$1362,""),_xlpm.cleanRaw,SUBSTITUTE(SUBSTITUTE(_xlpm.raw,"_PIN","."),"PIN","."),_xlpm.mainPart,MID(_xlpm.cleanRaw,2,FIND(".",_xlpm.cleanRaw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802060</v>
      </c>
      <c r="H903" t="str">
        <f>_xlfn.LET(_xlpm.raw,_xlfn.XLOOKUP(A903,'Pinlist(S5)'!$C$4:$C$1362,'Pinlist(S5)'!$E$4:$E$1362,""),_xlpm.cleanRaw,SUBSTITUTE(SUBSTITUTE(_xlpm.raw,"_PIN","."),"PIN","."),_xlpm.mainPart,MID(_xlpm.cleanRaw,2,FIND(".",_xlpm.cleanRaw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705060</v>
      </c>
      <c r="I903" t="str">
        <f>""</f>
        <v/>
      </c>
      <c r="J903" t="str">
        <f t="shared" si="14"/>
        <v>AN27;DDRDQ_IL16_NIL16[5];;15.462;16.911;608060;802060;705060;</v>
      </c>
    </row>
    <row r="904" spans="1:10">
      <c r="A904" t="s">
        <v>1971</v>
      </c>
      <c r="B904" t="str">
        <f>_xlfn.XLOOKUP(A904,'Pinlist(S1)'!$Q$4:$Q$1362,'Pinlist(S1)'!$R$4:$R$1362,"")</f>
        <v>VSS</v>
      </c>
      <c r="C904" t="str" cm="1">
        <f t="array" ref="C904">_xlfn.TEXTJOIN(",",TRUE,_xlfn.UNIQUE(TRANSPOSE(_xlfn.MAP(_xlfn.XLOOKUP(A904,'Pinlist(S1)'!$C$4:$C$1362,'Pinlist(S1)'!$F$4:$K$1362,""),_xlfn.LAMBDA(_xlpm.x,IF(_xlpm.x&lt;&gt;"",TRIM(CLEAN(LEFT(_xlpm.x,FIND(".",_xlpm.x &amp; ".")-1))),""))))))</f>
        <v/>
      </c>
      <c r="D904">
        <v>16.376000000000001</v>
      </c>
      <c r="E904">
        <v>16.911000000000001</v>
      </c>
      <c r="F904" t="str">
        <f>_xlfn.LET(_xlpm.raw,_xlfn.XLOOKUP(A904,'Pinlist(S1)'!$C$4:$C$1362,'Pinlist(S1)'!$E$4:$E$1362,""),_xlpm.cleanRaw,SUBSTITUTE(SUBSTITUTE(_xlpm.raw,"_PIN","."),"PIN","."),_xlpm.mainPart,MID(_xlpm.cleanRaw,2,FIND(".",_xlpm.cleanRaw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4" t="str">
        <f>_xlfn.LET(_xlpm.raw,_xlfn.XLOOKUP(A904,'Pinlist(S3)'!$C$4:$C$1362,'Pinlist(S3)'!$E$4:$E$1362,""),_xlpm.cleanRaw,SUBSTITUTE(SUBSTITUTE(_xlpm.raw,"_PIN","."),"PIN","."),_xlpm.mainPart,MID(_xlpm.cleanRaw,2,FIND(".",_xlpm.cleanRaw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4" t="str">
        <f>_xlfn.LET(_xlpm.raw,_xlfn.XLOOKUP(A904,'Pinlist(S5)'!$C$4:$C$1362,'Pinlist(S5)'!$E$4:$E$1362,""),_xlpm.cleanRaw,SUBSTITUTE(SUBSTITUTE(_xlpm.raw,"_PIN","."),"PIN","."),_xlpm.mainPart,MID(_xlpm.cleanRaw,2,FIND(".",_xlpm.cleanRaw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4" t="str">
        <f>""</f>
        <v/>
      </c>
      <c r="J904" t="str">
        <f t="shared" si="14"/>
        <v>AN28;VSS;;16.376;16.911;;;;</v>
      </c>
    </row>
    <row r="905" spans="1:10">
      <c r="A905" t="s">
        <v>1972</v>
      </c>
      <c r="B905" t="str">
        <f>_xlfn.XLOOKUP(A905,'Pinlist(S1)'!$Q$4:$Q$1362,'Pinlist(S1)'!$R$4:$R$1362,"")</f>
        <v>VSS</v>
      </c>
      <c r="C905" t="str" cm="1">
        <f t="array" ref="C905">_xlfn.TEXTJOIN(",",TRUE,_xlfn.UNIQUE(TRANSPOSE(_xlfn.MAP(_xlfn.XLOOKUP(A905,'Pinlist(S1)'!$C$4:$C$1362,'Pinlist(S1)'!$F$4:$K$1362,""),_xlfn.LAMBDA(_xlpm.x,IF(_xlpm.x&lt;&gt;"",TRIM(CLEAN(LEFT(_xlpm.x,FIND(".",_xlpm.x &amp; ".")-1))),""))))))</f>
        <v/>
      </c>
      <c r="D905">
        <v>17.29</v>
      </c>
      <c r="E905">
        <v>16.911000000000001</v>
      </c>
      <c r="F905" t="str">
        <f>_xlfn.LET(_xlpm.raw,_xlfn.XLOOKUP(A905,'Pinlist(S1)'!$C$4:$C$1362,'Pinlist(S1)'!$E$4:$E$1362,""),_xlpm.cleanRaw,SUBSTITUTE(SUBSTITUTE(_xlpm.raw,"_PIN","."),"PIN","."),_xlpm.mainPart,MID(_xlpm.cleanRaw,2,FIND(".",_xlpm.cleanRaw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5" t="str">
        <f>_xlfn.LET(_xlpm.raw,_xlfn.XLOOKUP(A905,'Pinlist(S3)'!$C$4:$C$1362,'Pinlist(S3)'!$E$4:$E$1362,""),_xlpm.cleanRaw,SUBSTITUTE(SUBSTITUTE(_xlpm.raw,"_PIN","."),"PIN","."),_xlpm.mainPart,MID(_xlpm.cleanRaw,2,FIND(".",_xlpm.cleanRaw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5" t="str">
        <f>_xlfn.LET(_xlpm.raw,_xlfn.XLOOKUP(A905,'Pinlist(S5)'!$C$4:$C$1362,'Pinlist(S5)'!$E$4:$E$1362,""),_xlpm.cleanRaw,SUBSTITUTE(SUBSTITUTE(_xlpm.raw,"_PIN","."),"PIN","."),_xlpm.mainPart,MID(_xlpm.cleanRaw,2,FIND(".",_xlpm.cleanRaw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5" t="str">
        <f>""</f>
        <v/>
      </c>
      <c r="J905" t="str">
        <f t="shared" si="14"/>
        <v>AN30;VSS;;17.29;16.911;;;;</v>
      </c>
    </row>
    <row r="906" spans="1:10">
      <c r="A906" t="s">
        <v>1973</v>
      </c>
      <c r="B906" t="str">
        <f>_xlfn.XLOOKUP(A906,'Pinlist(S1)'!$Q$4:$Q$1362,'Pinlist(S1)'!$R$4:$R$1362,"")</f>
        <v>VSS</v>
      </c>
      <c r="C906" t="str" cm="1">
        <f t="array" ref="C906">_xlfn.TEXTJOIN(",",TRUE,_xlfn.UNIQUE(TRANSPOSE(_xlfn.MAP(_xlfn.XLOOKUP(A906,'Pinlist(S1)'!$C$4:$C$1362,'Pinlist(S1)'!$F$4:$K$1362,""),_xlfn.LAMBDA(_xlpm.x,IF(_xlpm.x&lt;&gt;"",TRIM(CLEAN(LEFT(_xlpm.x,FIND(".",_xlpm.x &amp; ".")-1))),""))))))</f>
        <v/>
      </c>
      <c r="D906">
        <v>18.204999999999998</v>
      </c>
      <c r="E906">
        <v>16.911000000000001</v>
      </c>
      <c r="F906" t="str">
        <f>_xlfn.LET(_xlpm.raw,_xlfn.XLOOKUP(A906,'Pinlist(S1)'!$C$4:$C$1362,'Pinlist(S1)'!$E$4:$E$1362,""),_xlpm.cleanRaw,SUBSTITUTE(SUBSTITUTE(_xlpm.raw,"_PIN","."),"PIN","."),_xlpm.mainPart,MID(_xlpm.cleanRaw,2,FIND(".",_xlpm.cleanRaw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6" t="str">
        <f>_xlfn.LET(_xlpm.raw,_xlfn.XLOOKUP(A906,'Pinlist(S3)'!$C$4:$C$1362,'Pinlist(S3)'!$E$4:$E$1362,""),_xlpm.cleanRaw,SUBSTITUTE(SUBSTITUTE(_xlpm.raw,"_PIN","."),"PIN","."),_xlpm.mainPart,MID(_xlpm.cleanRaw,2,FIND(".",_xlpm.cleanRaw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6" t="str">
        <f>_xlfn.LET(_xlpm.raw,_xlfn.XLOOKUP(A906,'Pinlist(S5)'!$C$4:$C$1362,'Pinlist(S5)'!$E$4:$E$1362,""),_xlpm.cleanRaw,SUBSTITUTE(SUBSTITUTE(_xlpm.raw,"_PIN","."),"PIN","."),_xlpm.mainPart,MID(_xlpm.cleanRaw,2,FIND(".",_xlpm.cleanRaw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6" t="str">
        <f>""</f>
        <v/>
      </c>
      <c r="J906" t="str">
        <f t="shared" si="14"/>
        <v>AN32;VSS;;18.205;16.911;;;;</v>
      </c>
    </row>
    <row r="907" spans="1:10">
      <c r="A907" t="s">
        <v>1974</v>
      </c>
      <c r="B907" t="str">
        <f>_xlfn.XLOOKUP(A907,'Pinlist(S1)'!$Q$4:$Q$1362,'Pinlist(S1)'!$R$4:$R$1362,"")</f>
        <v>VSS</v>
      </c>
      <c r="C907" t="str" cm="1">
        <f t="array" ref="C907">_xlfn.TEXTJOIN(",",TRUE,_xlfn.UNIQUE(TRANSPOSE(_xlfn.MAP(_xlfn.XLOOKUP(A907,'Pinlist(S1)'!$C$4:$C$1362,'Pinlist(S1)'!$F$4:$K$1362,""),_xlfn.LAMBDA(_xlpm.x,IF(_xlpm.x&lt;&gt;"",TRIM(CLEAN(LEFT(_xlpm.x,FIND(".",_xlpm.x &amp; ".")-1))),""))))))</f>
        <v/>
      </c>
      <c r="D907">
        <v>19.119</v>
      </c>
      <c r="E907">
        <v>16.911000000000001</v>
      </c>
      <c r="F907" t="str">
        <f>_xlfn.LET(_xlpm.raw,_xlfn.XLOOKUP(A907,'Pinlist(S1)'!$C$4:$C$1362,'Pinlist(S1)'!$E$4:$E$1362,""),_xlpm.cleanRaw,SUBSTITUTE(SUBSTITUTE(_xlpm.raw,"_PIN","."),"PIN","."),_xlpm.mainPart,MID(_xlpm.cleanRaw,2,FIND(".",_xlpm.cleanRaw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7" t="str">
        <f>_xlfn.LET(_xlpm.raw,_xlfn.XLOOKUP(A907,'Pinlist(S3)'!$C$4:$C$1362,'Pinlist(S3)'!$E$4:$E$1362,""),_xlpm.cleanRaw,SUBSTITUTE(SUBSTITUTE(_xlpm.raw,"_PIN","."),"PIN","."),_xlpm.mainPart,MID(_xlpm.cleanRaw,2,FIND(".",_xlpm.cleanRaw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7" t="str">
        <f>_xlfn.LET(_xlpm.raw,_xlfn.XLOOKUP(A907,'Pinlist(S5)'!$C$4:$C$1362,'Pinlist(S5)'!$E$4:$E$1362,""),_xlpm.cleanRaw,SUBSTITUTE(SUBSTITUTE(_xlpm.raw,"_PIN","."),"PIN","."),_xlpm.mainPart,MID(_xlpm.cleanRaw,2,FIND(".",_xlpm.cleanRaw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7" t="str">
        <f>""</f>
        <v/>
      </c>
      <c r="J907" t="str">
        <f t="shared" si="14"/>
        <v>AN33;VSS;;19.119;16.911;;;;</v>
      </c>
    </row>
    <row r="908" spans="1:10">
      <c r="A908" t="s">
        <v>1975</v>
      </c>
      <c r="B908" t="str">
        <f>_xlfn.XLOOKUP(A908,'Pinlist(S1)'!$Q$4:$Q$1362,'Pinlist(S1)'!$R$4:$R$1362,"")</f>
        <v>VSS</v>
      </c>
      <c r="C908" t="str" cm="1">
        <f t="array" ref="C908">_xlfn.TEXTJOIN(",",TRUE,_xlfn.UNIQUE(TRANSPOSE(_xlfn.MAP(_xlfn.XLOOKUP(A908,'Pinlist(S1)'!$C$4:$C$1362,'Pinlist(S1)'!$F$4:$K$1362,""),_xlfn.LAMBDA(_xlpm.x,IF(_xlpm.x&lt;&gt;"",TRIM(CLEAN(LEFT(_xlpm.x,FIND(".",_xlpm.x &amp; ".")-1))),""))))))</f>
        <v/>
      </c>
      <c r="D908">
        <v>20.033999999999999</v>
      </c>
      <c r="E908">
        <v>16.911000000000001</v>
      </c>
      <c r="F908" t="str">
        <f>_xlfn.LET(_xlpm.raw,_xlfn.XLOOKUP(A908,'Pinlist(S1)'!$C$4:$C$1362,'Pinlist(S1)'!$E$4:$E$1362,""),_xlpm.cleanRaw,SUBSTITUTE(SUBSTITUTE(_xlpm.raw,"_PIN","."),"PIN","."),_xlpm.mainPart,MID(_xlpm.cleanRaw,2,FIND(".",_xlpm.cleanRaw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8" t="str">
        <f>_xlfn.LET(_xlpm.raw,_xlfn.XLOOKUP(A908,'Pinlist(S3)'!$C$4:$C$1362,'Pinlist(S3)'!$E$4:$E$1362,""),_xlpm.cleanRaw,SUBSTITUTE(SUBSTITUTE(_xlpm.raw,"_PIN","."),"PIN","."),_xlpm.mainPart,MID(_xlpm.cleanRaw,2,FIND(".",_xlpm.cleanRaw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8" t="str">
        <f>_xlfn.LET(_xlpm.raw,_xlfn.XLOOKUP(A908,'Pinlist(S5)'!$C$4:$C$1362,'Pinlist(S5)'!$E$4:$E$1362,""),_xlpm.cleanRaw,SUBSTITUTE(SUBSTITUTE(_xlpm.raw,"_PIN","."),"PIN","."),_xlpm.mainPart,MID(_xlpm.cleanRaw,2,FIND(".",_xlpm.cleanRaw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8" t="str">
        <f>""</f>
        <v/>
      </c>
      <c r="J908" t="str">
        <f t="shared" si="14"/>
        <v>AN35;VSS;;20.034;16.911;;;;</v>
      </c>
    </row>
    <row r="909" spans="1:10">
      <c r="A909" t="s">
        <v>1976</v>
      </c>
      <c r="B909" t="str">
        <f>_xlfn.XLOOKUP(A909,'Pinlist(S1)'!$Q$4:$Q$1362,'Pinlist(S1)'!$R$4:$R$1362,"")</f>
        <v>VSS</v>
      </c>
      <c r="C909" t="str" cm="1">
        <f t="array" ref="C909">_xlfn.TEXTJOIN(",",TRUE,_xlfn.UNIQUE(TRANSPOSE(_xlfn.MAP(_xlfn.XLOOKUP(A909,'Pinlist(S1)'!$C$4:$C$1362,'Pinlist(S1)'!$F$4:$K$1362,""),_xlfn.LAMBDA(_xlpm.x,IF(_xlpm.x&lt;&gt;"",TRIM(CLEAN(LEFT(_xlpm.x,FIND(".",_xlpm.x &amp; ".")-1))),""))))))</f>
        <v/>
      </c>
      <c r="D909">
        <v>20.948</v>
      </c>
      <c r="E909">
        <v>16.911000000000001</v>
      </c>
      <c r="F909" t="str">
        <f>_xlfn.LET(_xlpm.raw,_xlfn.XLOOKUP(A909,'Pinlist(S1)'!$C$4:$C$1362,'Pinlist(S1)'!$E$4:$E$1362,""),_xlpm.cleanRaw,SUBSTITUTE(SUBSTITUTE(_xlpm.raw,"_PIN","."),"PIN","."),_xlpm.mainPart,MID(_xlpm.cleanRaw,2,FIND(".",_xlpm.cleanRaw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9" t="str">
        <f>_xlfn.LET(_xlpm.raw,_xlfn.XLOOKUP(A909,'Pinlist(S3)'!$C$4:$C$1362,'Pinlist(S3)'!$E$4:$E$1362,""),_xlpm.cleanRaw,SUBSTITUTE(SUBSTITUTE(_xlpm.raw,"_PIN","."),"PIN","."),_xlpm.mainPart,MID(_xlpm.cleanRaw,2,FIND(".",_xlpm.cleanRaw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9" t="str">
        <f>_xlfn.LET(_xlpm.raw,_xlfn.XLOOKUP(A909,'Pinlist(S5)'!$C$4:$C$1362,'Pinlist(S5)'!$E$4:$E$1362,""),_xlpm.cleanRaw,SUBSTITUTE(SUBSTITUTE(_xlpm.raw,"_PIN","."),"PIN","."),_xlpm.mainPart,MID(_xlpm.cleanRaw,2,FIND(".",_xlpm.cleanRaw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9" t="str">
        <f>""</f>
        <v/>
      </c>
      <c r="J909" t="str">
        <f t="shared" si="14"/>
        <v>AN37;VSS;;20.948;16.911;;;;</v>
      </c>
    </row>
    <row r="910" spans="1:10">
      <c r="A910" t="s">
        <v>1977</v>
      </c>
      <c r="B910" t="str">
        <f>_xlfn.XLOOKUP(A910,'Pinlist(S1)'!$Q$4:$Q$1362,'Pinlist(S1)'!$R$4:$R$1362,"")</f>
        <v>VSS</v>
      </c>
      <c r="C910" t="str" cm="1">
        <f t="array" ref="C910">_xlfn.TEXTJOIN(",",TRUE,_xlfn.UNIQUE(TRANSPOSE(_xlfn.MAP(_xlfn.XLOOKUP(A910,'Pinlist(S1)'!$C$4:$C$1362,'Pinlist(S1)'!$F$4:$K$1362,""),_xlfn.LAMBDA(_xlpm.x,IF(_xlpm.x&lt;&gt;"",TRIM(CLEAN(LEFT(_xlpm.x,FIND(".",_xlpm.x &amp; ".")-1))),""))))))</f>
        <v/>
      </c>
      <c r="D910">
        <v>21.861999999999998</v>
      </c>
      <c r="E910">
        <v>16.911000000000001</v>
      </c>
      <c r="F910" t="str">
        <f>_xlfn.LET(_xlpm.raw,_xlfn.XLOOKUP(A910,'Pinlist(S1)'!$C$4:$C$1362,'Pinlist(S1)'!$E$4:$E$1362,""),_xlpm.cleanRaw,SUBSTITUTE(SUBSTITUTE(_xlpm.raw,"_PIN","."),"PIN","."),_xlpm.mainPart,MID(_xlpm.cleanRaw,2,FIND(".",_xlpm.cleanRaw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0" t="str">
        <f>_xlfn.LET(_xlpm.raw,_xlfn.XLOOKUP(A910,'Pinlist(S3)'!$C$4:$C$1362,'Pinlist(S3)'!$E$4:$E$1362,""),_xlpm.cleanRaw,SUBSTITUTE(SUBSTITUTE(_xlpm.raw,"_PIN","."),"PIN","."),_xlpm.mainPart,MID(_xlpm.cleanRaw,2,FIND(".",_xlpm.cleanRaw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0" t="str">
        <f>_xlfn.LET(_xlpm.raw,_xlfn.XLOOKUP(A910,'Pinlist(S5)'!$C$4:$C$1362,'Pinlist(S5)'!$E$4:$E$1362,""),_xlpm.cleanRaw,SUBSTITUTE(SUBSTITUTE(_xlpm.raw,"_PIN","."),"PIN","."),_xlpm.mainPart,MID(_xlpm.cleanRaw,2,FIND(".",_xlpm.cleanRaw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0" t="str">
        <f>""</f>
        <v/>
      </c>
      <c r="J910" t="str">
        <f t="shared" si="14"/>
        <v>AN38;VSS;;21.862;16.911;;;;</v>
      </c>
    </row>
    <row r="911" spans="1:10">
      <c r="A911" t="s">
        <v>1978</v>
      </c>
      <c r="B911" t="str">
        <f>_xlfn.XLOOKUP(A911,'Pinlist(S1)'!$Q$4:$Q$1362,'Pinlist(S1)'!$R$4:$R$1362,"")</f>
        <v>VSS</v>
      </c>
      <c r="C911" t="str" cm="1">
        <f t="array" ref="C911">_xlfn.TEXTJOIN(",",TRUE,_xlfn.UNIQUE(TRANSPOSE(_xlfn.MAP(_xlfn.XLOOKUP(A911,'Pinlist(S1)'!$C$4:$C$1362,'Pinlist(S1)'!$F$4:$K$1362,""),_xlfn.LAMBDA(_xlpm.x,IF(_xlpm.x&lt;&gt;"",TRIM(CLEAN(LEFT(_xlpm.x,FIND(".",_xlpm.x &amp; ".")-1))),""))))))</f>
        <v/>
      </c>
      <c r="D911">
        <v>22.777000000000001</v>
      </c>
      <c r="E911">
        <v>16.911000000000001</v>
      </c>
      <c r="F911" t="str">
        <f>_xlfn.LET(_xlpm.raw,_xlfn.XLOOKUP(A911,'Pinlist(S1)'!$C$4:$C$1362,'Pinlist(S1)'!$E$4:$E$1362,""),_xlpm.cleanRaw,SUBSTITUTE(SUBSTITUTE(_xlpm.raw,"_PIN","."),"PIN","."),_xlpm.mainPart,MID(_xlpm.cleanRaw,2,FIND(".",_xlpm.cleanRaw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1" t="str">
        <f>_xlfn.LET(_xlpm.raw,_xlfn.XLOOKUP(A911,'Pinlist(S3)'!$C$4:$C$1362,'Pinlist(S3)'!$E$4:$E$1362,""),_xlpm.cleanRaw,SUBSTITUTE(SUBSTITUTE(_xlpm.raw,"_PIN","."),"PIN","."),_xlpm.mainPart,MID(_xlpm.cleanRaw,2,FIND(".",_xlpm.cleanRaw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1" t="str">
        <f>_xlfn.LET(_xlpm.raw,_xlfn.XLOOKUP(A911,'Pinlist(S5)'!$C$4:$C$1362,'Pinlist(S5)'!$E$4:$E$1362,""),_xlpm.cleanRaw,SUBSTITUTE(SUBSTITUTE(_xlpm.raw,"_PIN","."),"PIN","."),_xlpm.mainPart,MID(_xlpm.cleanRaw,2,FIND(".",_xlpm.cleanRaw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1" t="str">
        <f>""</f>
        <v/>
      </c>
      <c r="J911" t="str">
        <f t="shared" si="14"/>
        <v>AN40;VSS;;22.777;16.911;;;;</v>
      </c>
    </row>
    <row r="912" spans="1:10">
      <c r="A912" t="s">
        <v>1979</v>
      </c>
      <c r="B912" t="str">
        <f>_xlfn.XLOOKUP(A912,'Pinlist(S1)'!$Q$4:$Q$1362,'Pinlist(S1)'!$R$4:$R$1362,"")</f>
        <v>VSS</v>
      </c>
      <c r="C912" t="str" cm="1">
        <f t="array" ref="C912">_xlfn.TEXTJOIN(",",TRUE,_xlfn.UNIQUE(TRANSPOSE(_xlfn.MAP(_xlfn.XLOOKUP(A912,'Pinlist(S1)'!$C$4:$C$1362,'Pinlist(S1)'!$F$4:$K$1362,""),_xlfn.LAMBDA(_xlpm.x,IF(_xlpm.x&lt;&gt;"",TRIM(CLEAN(LEFT(_xlpm.x,FIND(".",_xlpm.x &amp; ".")-1))),""))))))</f>
        <v/>
      </c>
      <c r="D912">
        <v>23.690999999999999</v>
      </c>
      <c r="E912">
        <v>16.911000000000001</v>
      </c>
      <c r="F912" t="str">
        <f>_xlfn.LET(_xlpm.raw,_xlfn.XLOOKUP(A912,'Pinlist(S1)'!$C$4:$C$1362,'Pinlist(S1)'!$E$4:$E$1362,""),_xlpm.cleanRaw,SUBSTITUTE(SUBSTITUTE(_xlpm.raw,"_PIN","."),"PIN","."),_xlpm.mainPart,MID(_xlpm.cleanRaw,2,FIND(".",_xlpm.cleanRaw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2" t="str">
        <f>_xlfn.LET(_xlpm.raw,_xlfn.XLOOKUP(A912,'Pinlist(S3)'!$C$4:$C$1362,'Pinlist(S3)'!$E$4:$E$1362,""),_xlpm.cleanRaw,SUBSTITUTE(SUBSTITUTE(_xlpm.raw,"_PIN","."),"PIN","."),_xlpm.mainPart,MID(_xlpm.cleanRaw,2,FIND(".",_xlpm.cleanRaw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2" t="str">
        <f>_xlfn.LET(_xlpm.raw,_xlfn.XLOOKUP(A912,'Pinlist(S5)'!$C$4:$C$1362,'Pinlist(S5)'!$E$4:$E$1362,""),_xlpm.cleanRaw,SUBSTITUTE(SUBSTITUTE(_xlpm.raw,"_PIN","."),"PIN","."),_xlpm.mainPart,MID(_xlpm.cleanRaw,2,FIND(".",_xlpm.cleanRaw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2" t="str">
        <f>""</f>
        <v/>
      </c>
      <c r="J912" t="str">
        <f t="shared" si="14"/>
        <v>AN42;VSS;;23.691;16.911;;;;</v>
      </c>
    </row>
    <row r="913" spans="1:10">
      <c r="A913" t="s">
        <v>316</v>
      </c>
      <c r="B913" t="str">
        <f>_xlfn.XLOOKUP(A913,'Pinlist(S1)'!$Q$4:$Q$1362,'Pinlist(S1)'!$R$4:$R$1362,"")</f>
        <v>DDR1_ALERT_N</v>
      </c>
      <c r="C913" t="str" cm="1">
        <f t="array" ref="C913">_xlfn.TEXTJOIN(",",TRUE,_xlfn.UNIQUE(TRANSPOSE(_xlfn.MAP(_xlfn.XLOOKUP(A913,'Pinlist(S1)'!$C$4:$C$1362,'Pinlist(S1)'!$F$4:$K$1362,""),_xlfn.LAMBDA(_xlpm.x,IF(_xlpm.x&lt;&gt;"",TRIM(CLEAN(LEFT(_xlpm.x,FIND(".",_xlpm.x &amp; ".")-1))),""))))))</f>
        <v/>
      </c>
      <c r="D913">
        <v>24.606000000000002</v>
      </c>
      <c r="E913">
        <v>16.911000000000001</v>
      </c>
      <c r="F913" t="str">
        <f>_xlfn.LET(_xlpm.raw,_xlfn.XLOOKUP(A913,'Pinlist(S1)'!$C$4:$C$1362,'Pinlist(S1)'!$E$4:$E$1362,""),_xlpm.cleanRaw,SUBSTITUTE(SUBSTITUTE(_xlpm.raw,"_PIN","."),"PIN","."),_xlpm.mainPart,MID(_xlpm.cleanRaw,2,FIND(".",_xlpm.cleanRaw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607037</v>
      </c>
      <c r="G913" t="str">
        <f>_xlfn.LET(_xlpm.raw,_xlfn.XLOOKUP(A913,'Pinlist(S3)'!$C$4:$C$1362,'Pinlist(S3)'!$E$4:$E$1362,""),_xlpm.cleanRaw,SUBSTITUTE(SUBSTITUTE(_xlpm.raw,"_PIN","."),"PIN","."),_xlpm.mainPart,MID(_xlpm.cleanRaw,2,FIND(".",_xlpm.cleanRaw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913" t="str">
        <f>_xlfn.LET(_xlpm.raw,_xlfn.XLOOKUP(A913,'Pinlist(S5)'!$C$4:$C$1362,'Pinlist(S5)'!$E$4:$E$1362,""),_xlpm.cleanRaw,SUBSTITUTE(SUBSTITUTE(_xlpm.raw,"_PIN","."),"PIN","."),_xlpm.mainPart,MID(_xlpm.cleanRaw,2,FIND(".",_xlpm.cleanRaw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706005</v>
      </c>
      <c r="I913" t="str">
        <f>""</f>
        <v/>
      </c>
      <c r="J913" t="str">
        <f t="shared" si="14"/>
        <v>AN43;DDR1_ALERT_N;;24.606;16.911;607037;801005;706005;</v>
      </c>
    </row>
    <row r="914" spans="1:10">
      <c r="A914" t="s">
        <v>334</v>
      </c>
      <c r="B914" t="str">
        <f>_xlfn.XLOOKUP(A914,'Pinlist(S1)'!$Q$4:$Q$1362,'Pinlist(S1)'!$R$4:$R$1362,"")</f>
        <v>DDR1_CLK_N[0]</v>
      </c>
      <c r="C914" t="str" cm="1">
        <f t="array" ref="C914">_xlfn.TEXTJOIN(",",TRUE,_xlfn.UNIQUE(TRANSPOSE(_xlfn.MAP(_xlfn.XLOOKUP(A914,'Pinlist(S1)'!$C$4:$C$1362,'Pinlist(S1)'!$F$4:$K$1362,""),_xlfn.LAMBDA(_xlpm.x,IF(_xlpm.x&lt;&gt;"",TRIM(CLEAN(LEFT(_xlpm.x,FIND(".",_xlpm.x &amp; ".")-1))),""))))))</f>
        <v>KA103</v>
      </c>
      <c r="D914">
        <v>25.52</v>
      </c>
      <c r="E914">
        <v>16.911000000000001</v>
      </c>
      <c r="F914" t="str">
        <f>_xlfn.LET(_xlpm.raw,_xlfn.XLOOKUP(A914,'Pinlist(S1)'!$C$4:$C$1362,'Pinlist(S1)'!$E$4:$E$1362,""),_xlpm.cleanRaw,SUBSTITUTE(SUBSTITUTE(_xlpm.raw,"_PIN","."),"PIN","."),_xlpm.mainPart,MID(_xlpm.cleanRaw,2,FIND(".",_xlpm.cleanRaw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914" t="str">
        <f>_xlfn.LET(_xlpm.raw,_xlfn.XLOOKUP(A914,'Pinlist(S3)'!$C$4:$C$1362,'Pinlist(S3)'!$E$4:$E$1362,""),_xlpm.cleanRaw,SUBSTITUTE(SUBSTITUTE(_xlpm.raw,"_PIN","."),"PIN","."),_xlpm.mainPart,MID(_xlpm.cleanRaw,2,FIND(".",_xlpm.cleanRaw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914" t="str">
        <f>_xlfn.LET(_xlpm.raw,_xlfn.XLOOKUP(A914,'Pinlist(S5)'!$C$4:$C$1362,'Pinlist(S5)'!$E$4:$E$1362,""),_xlpm.cleanRaw,SUBSTITUTE(SUBSTITUTE(_xlpm.raw,"_PIN","."),"PIN","."),_xlpm.mainPart,MID(_xlpm.cleanRaw,2,FIND(".",_xlpm.cleanRaw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914" t="str">
        <f>""</f>
        <v/>
      </c>
      <c r="J914" t="str">
        <f t="shared" si="14"/>
        <v>AN45;DDR1_CLK_N[0];KA103;25.52;16.911;504122;805083;601002;</v>
      </c>
    </row>
    <row r="915" spans="1:10">
      <c r="A915" t="s">
        <v>336</v>
      </c>
      <c r="B915" t="str">
        <f>_xlfn.XLOOKUP(A915,'Pinlist(S1)'!$Q$4:$Q$1362,'Pinlist(S1)'!$R$4:$R$1362,"")</f>
        <v>DDR1_CLK_N[1]</v>
      </c>
      <c r="C915" t="str" cm="1">
        <f t="array" ref="C915">_xlfn.TEXTJOIN(",",TRUE,_xlfn.UNIQUE(TRANSPOSE(_xlfn.MAP(_xlfn.XLOOKUP(A915,'Pinlist(S1)'!$C$4:$C$1362,'Pinlist(S1)'!$F$4:$K$1362,""),_xlfn.LAMBDA(_xlpm.x,IF(_xlpm.x&lt;&gt;"",TRIM(CLEAN(LEFT(_xlpm.x,FIND(".",_xlpm.x &amp; ".")-1))),""))))))</f>
        <v>KA103</v>
      </c>
      <c r="D915">
        <v>26.434000000000001</v>
      </c>
      <c r="E915">
        <v>16.911000000000001</v>
      </c>
      <c r="F915" t="str">
        <f>_xlfn.LET(_xlpm.raw,_xlfn.XLOOKUP(A915,'Pinlist(S1)'!$C$4:$C$1362,'Pinlist(S1)'!$E$4:$E$1362,""),_xlpm.cleanRaw,SUBSTITUTE(SUBSTITUTE(_xlpm.raw,"_PIN","."),"PIN","."),_xlpm.mainPart,MID(_xlpm.cleanRaw,2,FIND(".",_xlpm.cleanRaw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915" t="str">
        <f>_xlfn.LET(_xlpm.raw,_xlfn.XLOOKUP(A915,'Pinlist(S3)'!$C$4:$C$1362,'Pinlist(S3)'!$E$4:$E$1362,""),_xlpm.cleanRaw,SUBSTITUTE(SUBSTITUTE(_xlpm.raw,"_PIN","."),"PIN","."),_xlpm.mainPart,MID(_xlpm.cleanRaw,2,FIND(".",_xlpm.cleanRaw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915" t="str">
        <f>_xlfn.LET(_xlpm.raw,_xlfn.XLOOKUP(A915,'Pinlist(S5)'!$C$4:$C$1362,'Pinlist(S5)'!$E$4:$E$1362,""),_xlpm.cleanRaw,SUBSTITUTE(SUBSTITUTE(_xlpm.raw,"_PIN","."),"PIN","."),_xlpm.mainPart,MID(_xlpm.cleanRaw,2,FIND(".",_xlpm.cleanRaw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915" t="str">
        <f>""</f>
        <v/>
      </c>
      <c r="J915" t="str">
        <f t="shared" si="14"/>
        <v>AN46;DDR1_CLK_N[1];KA103;26.434;16.911;505060;806128;701097;</v>
      </c>
    </row>
    <row r="916" spans="1:10">
      <c r="A916" t="s">
        <v>352</v>
      </c>
      <c r="B916" t="str">
        <f>_xlfn.XLOOKUP(A916,'Pinlist(S1)'!$Q$4:$Q$1362,'Pinlist(S1)'!$R$4:$R$1362,"")</f>
        <v>DDR1_MA[11]_CAA7</v>
      </c>
      <c r="C916" t="str" cm="1">
        <f t="array" ref="C916">_xlfn.TEXTJOIN(",",TRUE,_xlfn.UNIQUE(TRANSPOSE(_xlfn.MAP(_xlfn.XLOOKUP(A916,'Pinlist(S1)'!$C$4:$C$1362,'Pinlist(S1)'!$F$4:$K$1362,""),_xlfn.LAMBDA(_xlpm.x,IF(_xlpm.x&lt;&gt;"",TRIM(CLEAN(LEFT(_xlpm.x,FIND(".",_xlpm.x &amp; ".")-1))),""))))))</f>
        <v>KA108</v>
      </c>
      <c r="D916">
        <v>27.349</v>
      </c>
      <c r="E916">
        <v>16.911000000000001</v>
      </c>
      <c r="F916" t="str">
        <f>_xlfn.LET(_xlpm.raw,_xlfn.XLOOKUP(A916,'Pinlist(S1)'!$C$4:$C$1362,'Pinlist(S1)'!$E$4:$E$1362,""),_xlpm.cleanRaw,SUBSTITUTE(SUBSTITUTE(_xlpm.raw,"_PIN","."),"PIN","."),_xlpm.mainPart,MID(_xlpm.cleanRaw,2,FIND(".",_xlpm.cleanRaw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916" t="str">
        <f>_xlfn.LET(_xlpm.raw,_xlfn.XLOOKUP(A916,'Pinlist(S3)'!$C$4:$C$1362,'Pinlist(S3)'!$E$4:$E$1362,""),_xlpm.cleanRaw,SUBSTITUTE(SUBSTITUTE(_xlpm.raw,"_PIN","."),"PIN","."),_xlpm.mainPart,MID(_xlpm.cleanRaw,2,FIND(".",_xlpm.cleanRaw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916" t="str">
        <f>_xlfn.LET(_xlpm.raw,_xlfn.XLOOKUP(A916,'Pinlist(S5)'!$C$4:$C$1362,'Pinlist(S5)'!$E$4:$E$1362,""),_xlpm.cleanRaw,SUBSTITUTE(SUBSTITUTE(_xlpm.raw,"_PIN","."),"PIN","."),_xlpm.mainPart,MID(_xlpm.cleanRaw,2,FIND(".",_xlpm.cleanRaw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916" t="str">
        <f>""</f>
        <v/>
      </c>
      <c r="J916" t="str">
        <f t="shared" si="14"/>
        <v>AN48;DDR1_MA[11]_CAA7;KA108;27.349;16.911;508053;805047;703034;</v>
      </c>
    </row>
    <row r="917" spans="1:10">
      <c r="A917" t="s">
        <v>354</v>
      </c>
      <c r="B917" t="str">
        <f>_xlfn.XLOOKUP(A917,'Pinlist(S1)'!$Q$4:$Q$1362,'Pinlist(S1)'!$R$4:$R$1362,"")</f>
        <v>DDR1_MA[12]_CAA6</v>
      </c>
      <c r="C917" t="str" cm="1">
        <f t="array" ref="C917">_xlfn.TEXTJOIN(",",TRUE,_xlfn.UNIQUE(TRANSPOSE(_xlfn.MAP(_xlfn.XLOOKUP(A917,'Pinlist(S1)'!$C$4:$C$1362,'Pinlist(S1)'!$F$4:$K$1362,""),_xlfn.LAMBDA(_xlpm.x,IF(_xlpm.x&lt;&gt;"",TRIM(CLEAN(LEFT(_xlpm.x,FIND(".",_xlpm.x &amp; ".")-1))),""))))))</f>
        <v>KA109</v>
      </c>
      <c r="D917">
        <v>28.262999999999899</v>
      </c>
      <c r="E917">
        <v>16.911000000000001</v>
      </c>
      <c r="F917" t="str">
        <f>_xlfn.LET(_xlpm.raw,_xlfn.XLOOKUP(A917,'Pinlist(S1)'!$C$4:$C$1362,'Pinlist(S1)'!$E$4:$E$1362,""),_xlpm.cleanRaw,SUBSTITUTE(SUBSTITUTE(_xlpm.raw,"_PIN","."),"PIN","."),_xlpm.mainPart,MID(_xlpm.cleanRaw,2,FIND(".",_xlpm.cleanRaw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917" t="str">
        <f>_xlfn.LET(_xlpm.raw,_xlfn.XLOOKUP(A917,'Pinlist(S3)'!$C$4:$C$1362,'Pinlist(S3)'!$E$4:$E$1362,""),_xlpm.cleanRaw,SUBSTITUTE(SUBSTITUTE(_xlpm.raw,"_PIN","."),"PIN","."),_xlpm.mainPart,MID(_xlpm.cleanRaw,2,FIND(".",_xlpm.cleanRaw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917" t="str">
        <f>_xlfn.LET(_xlpm.raw,_xlfn.XLOOKUP(A917,'Pinlist(S5)'!$C$4:$C$1362,'Pinlist(S5)'!$E$4:$E$1362,""),_xlpm.cleanRaw,SUBSTITUTE(SUBSTITUTE(_xlpm.raw,"_PIN","."),"PIN","."),_xlpm.mainPart,MID(_xlpm.cleanRaw,2,FIND(".",_xlpm.cleanRaw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917" t="str">
        <f>""</f>
        <v/>
      </c>
      <c r="J917" t="str">
        <f t="shared" si="14"/>
        <v>AN50;DDR1_MA[12]_CAA6;KA109;28.2629999999999;16.911;507097;805080;603119;</v>
      </c>
    </row>
    <row r="918" spans="1:10">
      <c r="A918" t="s">
        <v>358</v>
      </c>
      <c r="B918" t="str">
        <f>_xlfn.XLOOKUP(A918,'Pinlist(S1)'!$Q$4:$Q$1362,'Pinlist(S1)'!$R$4:$R$1362,"")</f>
        <v>DDR1_MA[14]_CAA9_BG1</v>
      </c>
      <c r="C918" t="str" cm="1">
        <f t="array" ref="C918">_xlfn.TEXTJOIN(",",TRUE,_xlfn.UNIQUE(TRANSPOSE(_xlfn.MAP(_xlfn.XLOOKUP(A918,'Pinlist(S1)'!$C$4:$C$1362,'Pinlist(S1)'!$F$4:$K$1362,""),_xlfn.LAMBDA(_xlpm.x,IF(_xlpm.x&lt;&gt;"",TRIM(CLEAN(LEFT(_xlpm.x,FIND(".",_xlpm.x &amp; ".")-1))),""))))))</f>
        <v>KA110</v>
      </c>
      <c r="D918">
        <v>29.178000000000001</v>
      </c>
      <c r="E918">
        <v>16.911000000000001</v>
      </c>
      <c r="F918" t="str">
        <f>_xlfn.LET(_xlpm.raw,_xlfn.XLOOKUP(A918,'Pinlist(S1)'!$C$4:$C$1362,'Pinlist(S1)'!$E$4:$E$1362,""),_xlpm.cleanRaw,SUBSTITUTE(SUBSTITUTE(_xlpm.raw,"_PIN","."),"PIN","."),_xlpm.mainPart,MID(_xlpm.cleanRaw,2,FIND(".",_xlpm.cleanRaw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918" t="str">
        <f>_xlfn.LET(_xlpm.raw,_xlfn.XLOOKUP(A918,'Pinlist(S3)'!$C$4:$C$1362,'Pinlist(S3)'!$E$4:$E$1362,""),_xlpm.cleanRaw,SUBSTITUTE(SUBSTITUTE(_xlpm.raw,"_PIN","."),"PIN","."),_xlpm.mainPart,MID(_xlpm.cleanRaw,2,FIND(".",_xlpm.cleanRaw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918" t="str">
        <f>_xlfn.LET(_xlpm.raw,_xlfn.XLOOKUP(A918,'Pinlist(S5)'!$C$4:$C$1362,'Pinlist(S5)'!$E$4:$E$1362,""),_xlpm.cleanRaw,SUBSTITUTE(SUBSTITUTE(_xlpm.raw,"_PIN","."),"PIN","."),_xlpm.mainPart,MID(_xlpm.cleanRaw,2,FIND(".",_xlpm.cleanRaw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918" t="str">
        <f>""</f>
        <v/>
      </c>
      <c r="J918" t="str">
        <f t="shared" si="14"/>
        <v>AN52;DDR1_MA[14]_CAA9_BG1;KA110;29.178;16.911;509034;804039;702041;</v>
      </c>
    </row>
    <row r="919" spans="1:10">
      <c r="A919" t="s">
        <v>360</v>
      </c>
      <c r="B919" t="str">
        <f>_xlfn.XLOOKUP(A919,'Pinlist(S1)'!$Q$4:$Q$1362,'Pinlist(S1)'!$R$4:$R$1362,"")</f>
        <v>DDR1_MA[15]_CAA8_ACT_N</v>
      </c>
      <c r="C919" t="str" cm="1">
        <f t="array" ref="C919">_xlfn.TEXTJOIN(",",TRUE,_xlfn.UNIQUE(TRANSPOSE(_xlfn.MAP(_xlfn.XLOOKUP(A919,'Pinlist(S1)'!$C$4:$C$1362,'Pinlist(S1)'!$F$4:$K$1362,""),_xlfn.LAMBDA(_xlpm.x,IF(_xlpm.x&lt;&gt;"",TRIM(CLEAN(LEFT(_xlpm.x,FIND(".",_xlpm.x &amp; ".")-1))),""))))))</f>
        <v>KA110</v>
      </c>
      <c r="D919">
        <v>30.091999999999999</v>
      </c>
      <c r="E919">
        <v>16.911000000000001</v>
      </c>
      <c r="F919" t="str">
        <f>_xlfn.LET(_xlpm.raw,_xlfn.XLOOKUP(A919,'Pinlist(S1)'!$C$4:$C$1362,'Pinlist(S1)'!$E$4:$E$1362,""),_xlpm.cleanRaw,SUBSTITUTE(SUBSTITUTE(_xlpm.raw,"_PIN","."),"PIN","."),_xlpm.mainPart,MID(_xlpm.cleanRaw,2,FIND(".",_xlpm.cleanRaw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919" t="str">
        <f>_xlfn.LET(_xlpm.raw,_xlfn.XLOOKUP(A919,'Pinlist(S3)'!$C$4:$C$1362,'Pinlist(S3)'!$E$4:$E$1362,""),_xlpm.cleanRaw,SUBSTITUTE(SUBSTITUTE(_xlpm.raw,"_PIN","."),"PIN","."),_xlpm.mainPart,MID(_xlpm.cleanRaw,2,FIND(".",_xlpm.cleanRaw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919" t="str">
        <f>_xlfn.LET(_xlpm.raw,_xlfn.XLOOKUP(A919,'Pinlist(S5)'!$C$4:$C$1362,'Pinlist(S5)'!$E$4:$E$1362,""),_xlpm.cleanRaw,SUBSTITUTE(SUBSTITUTE(_xlpm.raw,"_PIN","."),"PIN","."),_xlpm.mainPart,MID(_xlpm.cleanRaw,2,FIND(".",_xlpm.cleanRaw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919" t="str">
        <f>""</f>
        <v/>
      </c>
      <c r="J919" t="str">
        <f t="shared" si="14"/>
        <v>AN53;DDR1_MA[15]_CAA8_ACT_N;KA110;30.092;16.911;509031;804040;703004;</v>
      </c>
    </row>
    <row r="920" spans="1:10">
      <c r="A920" t="s">
        <v>330</v>
      </c>
      <c r="B920" t="str">
        <f>_xlfn.XLOOKUP(A920,'Pinlist(S1)'!$Q$4:$Q$1362,'Pinlist(S1)'!$R$4:$R$1362,"")</f>
        <v>DDR1_CKE[2]</v>
      </c>
      <c r="C920" t="str" cm="1">
        <f t="array" ref="C920">_xlfn.TEXTJOIN(",",TRUE,_xlfn.UNIQUE(TRANSPOSE(_xlfn.MAP(_xlfn.XLOOKUP(A920,'Pinlist(S1)'!$C$4:$C$1362,'Pinlist(S1)'!$F$4:$K$1362,""),_xlfn.LAMBDA(_xlpm.x,IF(_xlpm.x&lt;&gt;"",TRIM(CLEAN(LEFT(_xlpm.x,FIND(".",_xlpm.x &amp; ".")-1))),""))))))</f>
        <v>KA102</v>
      </c>
      <c r="D920">
        <v>31.006</v>
      </c>
      <c r="E920">
        <v>16.911000000000001</v>
      </c>
      <c r="F920" t="str">
        <f>_xlfn.LET(_xlpm.raw,_xlfn.XLOOKUP(A920,'Pinlist(S1)'!$C$4:$C$1362,'Pinlist(S1)'!$E$4:$E$1362,""),_xlpm.cleanRaw,SUBSTITUTE(SUBSTITUTE(_xlpm.raw,"_PIN","."),"PIN","."),_xlpm.mainPart,MID(_xlpm.cleanRaw,2,FIND(".",_xlpm.cleanRaw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920" t="str">
        <f>_xlfn.LET(_xlpm.raw,_xlfn.XLOOKUP(A920,'Pinlist(S3)'!$C$4:$C$1362,'Pinlist(S3)'!$E$4:$E$1362,""),_xlpm.cleanRaw,SUBSTITUTE(SUBSTITUTE(_xlpm.raw,"_PIN","."),"PIN","."),_xlpm.mainPart,MID(_xlpm.cleanRaw,2,FIND(".",_xlpm.cleanRaw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920" t="str">
        <f>_xlfn.LET(_xlpm.raw,_xlfn.XLOOKUP(A920,'Pinlist(S5)'!$C$4:$C$1362,'Pinlist(S5)'!$E$4:$E$1362,""),_xlpm.cleanRaw,SUBSTITUTE(SUBSTITUTE(_xlpm.raw,"_PIN","."),"PIN","."),_xlpm.mainPart,MID(_xlpm.cleanRaw,2,FIND(".",_xlpm.cleanRaw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920" t="str">
        <f>""</f>
        <v/>
      </c>
      <c r="J920" t="str">
        <f t="shared" si="14"/>
        <v>AN55;DDR1_CKE[2];KA102;31.006;16.911;505075;805077;702082;</v>
      </c>
    </row>
    <row r="921" spans="1:10">
      <c r="A921" t="s">
        <v>326</v>
      </c>
      <c r="B921" t="str">
        <f>_xlfn.XLOOKUP(A921,'Pinlist(S1)'!$Q$4:$Q$1362,'Pinlist(S1)'!$R$4:$R$1362,"")</f>
        <v>DDR1_CKE[0]</v>
      </c>
      <c r="C921" t="str" cm="1">
        <f t="array" ref="C921">_xlfn.TEXTJOIN(",",TRUE,_xlfn.UNIQUE(TRANSPOSE(_xlfn.MAP(_xlfn.XLOOKUP(A921,'Pinlist(S1)'!$C$4:$C$1362,'Pinlist(S1)'!$F$4:$K$1362,""),_xlfn.LAMBDA(_xlpm.x,IF(_xlpm.x&lt;&gt;"",TRIM(CLEAN(LEFT(_xlpm.x,FIND(".",_xlpm.x &amp; ".")-1))),""))))))</f>
        <v>KA101</v>
      </c>
      <c r="D921">
        <v>31.920999999999999</v>
      </c>
      <c r="E921">
        <v>16.911000000000001</v>
      </c>
      <c r="F921" t="str">
        <f>_xlfn.LET(_xlpm.raw,_xlfn.XLOOKUP(A921,'Pinlist(S1)'!$C$4:$C$1362,'Pinlist(S1)'!$E$4:$E$1362,""),_xlpm.cleanRaw,SUBSTITUTE(SUBSTITUTE(_xlpm.raw,"_PIN","."),"PIN","."),_xlpm.mainPart,MID(_xlpm.cleanRaw,2,FIND(".",_xlpm.cleanRaw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921" t="str">
        <f>_xlfn.LET(_xlpm.raw,_xlfn.XLOOKUP(A921,'Pinlist(S3)'!$C$4:$C$1362,'Pinlist(S3)'!$E$4:$E$1362,""),_xlpm.cleanRaw,SUBSTITUTE(SUBSTITUTE(_xlpm.raw,"_PIN","."),"PIN","."),_xlpm.mainPart,MID(_xlpm.cleanRaw,2,FIND(".",_xlpm.cleanRaw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921" t="str">
        <f>_xlfn.LET(_xlpm.raw,_xlfn.XLOOKUP(A921,'Pinlist(S5)'!$C$4:$C$1362,'Pinlist(S5)'!$E$4:$E$1362,""),_xlpm.cleanRaw,SUBSTITUTE(SUBSTITUTE(_xlpm.raw,"_PIN","."),"PIN","."),_xlpm.mainPart,MID(_xlpm.cleanRaw,2,FIND(".",_xlpm.cleanRaw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921" t="str">
        <f>""</f>
        <v/>
      </c>
      <c r="J921" t="str">
        <f t="shared" si="14"/>
        <v>AN56;DDR1_CKE[0];KA101;31.921;16.911;508042;804001;703039;</v>
      </c>
    </row>
    <row r="922" spans="1:10">
      <c r="A922" t="s">
        <v>1980</v>
      </c>
      <c r="B922" t="str">
        <f>_xlfn.XLOOKUP(A922,'Pinlist(S1)'!$Q$4:$Q$1362,'Pinlist(S1)'!$R$4:$R$1362,"")</f>
        <v>VSS</v>
      </c>
      <c r="C922" t="str" cm="1">
        <f t="array" ref="C922">_xlfn.TEXTJOIN(",",TRUE,_xlfn.UNIQUE(TRANSPOSE(_xlfn.MAP(_xlfn.XLOOKUP(A922,'Pinlist(S1)'!$C$4:$C$1362,'Pinlist(S1)'!$F$4:$K$1362,""),_xlfn.LAMBDA(_xlpm.x,IF(_xlpm.x&lt;&gt;"",TRIM(CLEAN(LEFT(_xlpm.x,FIND(".",_xlpm.x &amp; ".")-1))),""))))))</f>
        <v/>
      </c>
      <c r="D922">
        <v>32.835000000000001</v>
      </c>
      <c r="E922">
        <v>16.911000000000001</v>
      </c>
      <c r="F922" t="str">
        <f>_xlfn.LET(_xlpm.raw,_xlfn.XLOOKUP(A922,'Pinlist(S1)'!$C$4:$C$1362,'Pinlist(S1)'!$E$4:$E$1362,""),_xlpm.cleanRaw,SUBSTITUTE(SUBSTITUTE(_xlpm.raw,"_PIN","."),"PIN","."),_xlpm.mainPart,MID(_xlpm.cleanRaw,2,FIND(".",_xlpm.cleanRaw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2" t="str">
        <f>_xlfn.LET(_xlpm.raw,_xlfn.XLOOKUP(A922,'Pinlist(S3)'!$C$4:$C$1362,'Pinlist(S3)'!$E$4:$E$1362,""),_xlpm.cleanRaw,SUBSTITUTE(SUBSTITUTE(_xlpm.raw,"_PIN","."),"PIN","."),_xlpm.mainPart,MID(_xlpm.cleanRaw,2,FIND(".",_xlpm.cleanRaw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2" t="str">
        <f>_xlfn.LET(_xlpm.raw,_xlfn.XLOOKUP(A922,'Pinlist(S5)'!$C$4:$C$1362,'Pinlist(S5)'!$E$4:$E$1362,""),_xlpm.cleanRaw,SUBSTITUTE(SUBSTITUTE(_xlpm.raw,"_PIN","."),"PIN","."),_xlpm.mainPart,MID(_xlpm.cleanRaw,2,FIND(".",_xlpm.cleanRaw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22" t="str">
        <f>""</f>
        <v/>
      </c>
      <c r="J922" t="str">
        <f t="shared" si="14"/>
        <v>AN58;VSS;;32.835;16.911;;;;</v>
      </c>
    </row>
    <row r="923" spans="1:10">
      <c r="A923" t="s">
        <v>570</v>
      </c>
      <c r="B923" t="str">
        <f>_xlfn.XLOOKUP(A923,'Pinlist(S1)'!$Q$4:$Q$1362,'Pinlist(S1)'!$R$4:$R$1362,"")</f>
        <v>DDRDQ_IL13_NIL07[3]</v>
      </c>
      <c r="C923" t="str" cm="1">
        <f t="array" ref="C923">_xlfn.TEXTJOIN(",",TRUE,_xlfn.UNIQUE(TRANSPOSE(_xlfn.MAP(_xlfn.XLOOKUP(A923,'Pinlist(S1)'!$C$4:$C$1362,'Pinlist(S1)'!$F$4:$K$1362,""),_xlfn.LAMBDA(_xlpm.x,IF(_xlpm.x&lt;&gt;"",TRIM(CLEAN(LEFT(_xlpm.x,FIND(".",_xlpm.x &amp; ".")-1))),""))))))</f>
        <v/>
      </c>
      <c r="D923">
        <v>33.75</v>
      </c>
      <c r="E923">
        <v>16.911000000000001</v>
      </c>
      <c r="F923" t="str">
        <f>_xlfn.LET(_xlpm.raw,_xlfn.XLOOKUP(A923,'Pinlist(S1)'!$C$4:$C$1362,'Pinlist(S1)'!$E$4:$E$1362,""),_xlpm.cleanRaw,SUBSTITUTE(SUBSTITUTE(_xlpm.raw,"_PIN","."),"PIN","."),_xlpm.mainPart,MID(_xlpm.cleanRaw,2,FIND(".",_xlpm.cleanRaw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606093</v>
      </c>
      <c r="G923" t="str">
        <f>_xlfn.LET(_xlpm.raw,_xlfn.XLOOKUP(A923,'Pinlist(S3)'!$C$4:$C$1362,'Pinlist(S3)'!$E$4:$E$1362,""),_xlpm.cleanRaw,SUBSTITUTE(SUBSTITUTE(_xlpm.raw,"_PIN","."),"PIN","."),_xlpm.mainPart,MID(_xlpm.cleanRaw,2,FIND(".",_xlpm.cleanRaw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801028</v>
      </c>
      <c r="H923" t="str">
        <f>_xlfn.LET(_xlpm.raw,_xlfn.XLOOKUP(A923,'Pinlist(S5)'!$C$4:$C$1362,'Pinlist(S5)'!$E$4:$E$1362,""),_xlpm.cleanRaw,SUBSTITUTE(SUBSTITUTE(_xlpm.raw,"_PIN","."),"PIN","."),_xlpm.mainPart,MID(_xlpm.cleanRaw,2,FIND(".",_xlpm.cleanRaw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706009</v>
      </c>
      <c r="I923" t="str">
        <f>""</f>
        <v/>
      </c>
      <c r="J923" t="str">
        <f t="shared" si="14"/>
        <v>AN60;DDRDQ_IL13_NIL07[3];;33.75;16.911;606093;801028;706009;</v>
      </c>
    </row>
    <row r="924" spans="1:10">
      <c r="A924" t="s">
        <v>572</v>
      </c>
      <c r="B924" t="str">
        <f>_xlfn.XLOOKUP(A924,'Pinlist(S1)'!$Q$4:$Q$1362,'Pinlist(S1)'!$R$4:$R$1362,"")</f>
        <v>DDRDQ_IL13_NIL07[4]</v>
      </c>
      <c r="C924" t="str" cm="1">
        <f t="array" ref="C924">_xlfn.TEXTJOIN(",",TRUE,_xlfn.UNIQUE(TRANSPOSE(_xlfn.MAP(_xlfn.XLOOKUP(A924,'Pinlist(S1)'!$C$4:$C$1362,'Pinlist(S1)'!$F$4:$K$1362,""),_xlfn.LAMBDA(_xlpm.x,IF(_xlpm.x&lt;&gt;"",TRIM(CLEAN(LEFT(_xlpm.x,FIND(".",_xlpm.x &amp; ".")-1))),""))))))</f>
        <v/>
      </c>
      <c r="D924">
        <v>34.664000000000001</v>
      </c>
      <c r="E924">
        <v>16.911000000000001</v>
      </c>
      <c r="F924" t="str">
        <f>_xlfn.LET(_xlpm.raw,_xlfn.XLOOKUP(A924,'Pinlist(S1)'!$C$4:$C$1362,'Pinlist(S1)'!$E$4:$E$1362,""),_xlpm.cleanRaw,SUBSTITUTE(SUBSTITUTE(_xlpm.raw,"_PIN","."),"PIN","."),_xlpm.mainPart,MID(_xlpm.cleanRaw,2,FIND(".",_xlpm.cleanRaw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606126</v>
      </c>
      <c r="G924" t="str">
        <f>_xlfn.LET(_xlpm.raw,_xlfn.XLOOKUP(A924,'Pinlist(S3)'!$C$4:$C$1362,'Pinlist(S3)'!$E$4:$E$1362,""),_xlpm.cleanRaw,SUBSTITUTE(SUBSTITUTE(_xlpm.raw,"_PIN","."),"PIN","."),_xlpm.mainPart,MID(_xlpm.cleanRaw,2,FIND(".",_xlpm.cleanRaw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501095</v>
      </c>
      <c r="H924" t="str">
        <f>_xlfn.LET(_xlpm.raw,_xlfn.XLOOKUP(A924,'Pinlist(S5)'!$C$4:$C$1362,'Pinlist(S5)'!$E$4:$E$1362,""),_xlpm.cleanRaw,SUBSTITUTE(SUBSTITUTE(_xlpm.raw,"_PIN","."),"PIN","."),_xlpm.mainPart,MID(_xlpm.cleanRaw,2,FIND(".",_xlpm.cleanRaw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707093</v>
      </c>
      <c r="I924" t="str">
        <f>""</f>
        <v/>
      </c>
      <c r="J924" t="str">
        <f t="shared" si="14"/>
        <v>AN61;DDRDQ_IL13_NIL07[4];;34.664;16.911;606126;501095;707093;</v>
      </c>
    </row>
    <row r="925" spans="1:10">
      <c r="A925" t="s">
        <v>1981</v>
      </c>
      <c r="B925" t="str">
        <f>_xlfn.XLOOKUP(A925,'Pinlist(S1)'!$Q$4:$Q$1362,'Pinlist(S1)'!$R$4:$R$1362,"")</f>
        <v>VSS</v>
      </c>
      <c r="C925" t="str" cm="1">
        <f t="array" ref="C925">_xlfn.TEXTJOIN(",",TRUE,_xlfn.UNIQUE(TRANSPOSE(_xlfn.MAP(_xlfn.XLOOKUP(A925,'Pinlist(S1)'!$C$4:$C$1362,'Pinlist(S1)'!$F$4:$K$1362,""),_xlfn.LAMBDA(_xlpm.x,IF(_xlpm.x&lt;&gt;"",TRIM(CLEAN(LEFT(_xlpm.x,FIND(".",_xlpm.x &amp; ".")-1))),""))))))</f>
        <v/>
      </c>
      <c r="D925">
        <v>35.578000000000003</v>
      </c>
      <c r="E925">
        <v>16.911000000000001</v>
      </c>
      <c r="F925" t="str">
        <f>_xlfn.LET(_xlpm.raw,_xlfn.XLOOKUP(A925,'Pinlist(S1)'!$C$4:$C$1362,'Pinlist(S1)'!$E$4:$E$1362,""),_xlpm.cleanRaw,SUBSTITUTE(SUBSTITUTE(_xlpm.raw,"_PIN","."),"PIN","."),_xlpm.mainPart,MID(_xlpm.cleanRaw,2,FIND(".",_xlpm.cleanRaw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5" t="str">
        <f>_xlfn.LET(_xlpm.raw,_xlfn.XLOOKUP(A925,'Pinlist(S3)'!$C$4:$C$1362,'Pinlist(S3)'!$E$4:$E$1362,""),_xlpm.cleanRaw,SUBSTITUTE(SUBSTITUTE(_xlpm.raw,"_PIN","."),"PIN","."),_xlpm.mainPart,MID(_xlpm.cleanRaw,2,FIND(".",_xlpm.cleanRaw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5" t="str">
        <f>_xlfn.LET(_xlpm.raw,_xlfn.XLOOKUP(A925,'Pinlist(S5)'!$C$4:$C$1362,'Pinlist(S5)'!$E$4:$E$1362,""),_xlpm.cleanRaw,SUBSTITUTE(SUBSTITUTE(_xlpm.raw,"_PIN","."),"PIN","."),_xlpm.mainPart,MID(_xlpm.cleanRaw,2,FIND(".",_xlpm.cleanRaw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25" t="str">
        <f>""</f>
        <v/>
      </c>
      <c r="J925" t="str">
        <f t="shared" si="14"/>
        <v>AN63;VSS;;35.578;16.911;;;;</v>
      </c>
    </row>
    <row r="926" spans="1:10">
      <c r="A926" t="s">
        <v>554</v>
      </c>
      <c r="B926" t="str">
        <f>_xlfn.XLOOKUP(A926,'Pinlist(S1)'!$Q$4:$Q$1362,'Pinlist(S1)'!$R$4:$R$1362,"")</f>
        <v>DDRDQ_IL12_NIL06[3]</v>
      </c>
      <c r="C926" t="str" cm="1">
        <f t="array" ref="C926">_xlfn.TEXTJOIN(",",TRUE,_xlfn.UNIQUE(TRANSPOSE(_xlfn.MAP(_xlfn.XLOOKUP(A926,'Pinlist(S1)'!$C$4:$C$1362,'Pinlist(S1)'!$F$4:$K$1362,""),_xlfn.LAMBDA(_xlpm.x,IF(_xlpm.x&lt;&gt;"",TRIM(CLEAN(LEFT(_xlpm.x,FIND(".",_xlpm.x &amp; ".")-1))),""))))))</f>
        <v/>
      </c>
      <c r="D926">
        <v>36.492999999999903</v>
      </c>
      <c r="E926">
        <v>16.911000000000001</v>
      </c>
      <c r="F926" t="str">
        <f>_xlfn.LET(_xlpm.raw,_xlfn.XLOOKUP(A926,'Pinlist(S1)'!$C$4:$C$1362,'Pinlist(S1)'!$E$4:$E$1362,""),_xlpm.cleanRaw,SUBSTITUTE(SUBSTITUTE(_xlpm.raw,"_PIN","."),"PIN","."),_xlpm.mainPart,MID(_xlpm.cleanRaw,2,FIND(".",_xlpm.cleanRaw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608084</v>
      </c>
      <c r="G926" t="str">
        <f>_xlfn.LET(_xlpm.raw,_xlfn.XLOOKUP(A926,'Pinlist(S3)'!$C$4:$C$1362,'Pinlist(S3)'!$E$4:$E$1362,""),_xlpm.cleanRaw,SUBSTITUTE(SUBSTITUTE(_xlpm.raw,"_PIN","."),"PIN","."),_xlpm.mainPart,MID(_xlpm.cleanRaw,2,FIND(".",_xlpm.cleanRaw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802084</v>
      </c>
      <c r="H926" t="str">
        <f>_xlfn.LET(_xlpm.raw,_xlfn.XLOOKUP(A926,'Pinlist(S5)'!$C$4:$C$1362,'Pinlist(S5)'!$E$4:$E$1362,""),_xlpm.cleanRaw,SUBSTITUTE(SUBSTITUTE(_xlpm.raw,"_PIN","."),"PIN","."),_xlpm.mainPart,MID(_xlpm.cleanRaw,2,FIND(".",_xlpm.cleanRaw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705084</v>
      </c>
      <c r="I926" t="str">
        <f>""</f>
        <v/>
      </c>
      <c r="J926" t="str">
        <f t="shared" si="14"/>
        <v>AN65;DDRDQ_IL12_NIL06[3];;36.4929999999999;16.911;608084;802084;705084;</v>
      </c>
    </row>
    <row r="927" spans="1:10">
      <c r="A927" t="s">
        <v>556</v>
      </c>
      <c r="B927" t="str">
        <f>_xlfn.XLOOKUP(A927,'Pinlist(S1)'!$Q$4:$Q$1362,'Pinlist(S1)'!$R$4:$R$1362,"")</f>
        <v>DDRDQ_IL12_NIL06[4]</v>
      </c>
      <c r="C927" t="str" cm="1">
        <f t="array" ref="C927">_xlfn.TEXTJOIN(",",TRUE,_xlfn.UNIQUE(TRANSPOSE(_xlfn.MAP(_xlfn.XLOOKUP(A927,'Pinlist(S1)'!$C$4:$C$1362,'Pinlist(S1)'!$F$4:$K$1362,""),_xlfn.LAMBDA(_xlpm.x,IF(_xlpm.x&lt;&gt;"",TRIM(CLEAN(LEFT(_xlpm.x,FIND(".",_xlpm.x &amp; ".")-1))),""))))))</f>
        <v/>
      </c>
      <c r="D927">
        <v>37.406999999999996</v>
      </c>
      <c r="E927">
        <v>16.911000000000001</v>
      </c>
      <c r="F927" t="str">
        <f>_xlfn.LET(_xlpm.raw,_xlfn.XLOOKUP(A927,'Pinlist(S1)'!$C$4:$C$1362,'Pinlist(S1)'!$E$4:$E$1362,""),_xlpm.cleanRaw,SUBSTITUTE(SUBSTITUTE(_xlpm.raw,"_PIN","."),"PIN","."),_xlpm.mainPart,MID(_xlpm.cleanRaw,2,FIND(".",_xlpm.cleanRaw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606085</v>
      </c>
      <c r="G927" t="str">
        <f>_xlfn.LET(_xlpm.raw,_xlfn.XLOOKUP(A927,'Pinlist(S3)'!$C$4:$C$1362,'Pinlist(S3)'!$E$4:$E$1362,""),_xlpm.cleanRaw,SUBSTITUTE(SUBSTITUTE(_xlpm.raw,"_PIN","."),"PIN","."),_xlpm.mainPart,MID(_xlpm.cleanRaw,2,FIND(".",_xlpm.cleanRaw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501085</v>
      </c>
      <c r="H927" t="str">
        <f>_xlfn.LET(_xlpm.raw,_xlfn.XLOOKUP(A927,'Pinlist(S5)'!$C$4:$C$1362,'Pinlist(S5)'!$E$4:$E$1362,""),_xlpm.cleanRaw,SUBSTITUTE(SUBSTITUTE(_xlpm.raw,"_PIN","."),"PIN","."),_xlpm.mainPart,MID(_xlpm.cleanRaw,2,FIND(".",_xlpm.cleanRaw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707085</v>
      </c>
      <c r="I927" t="str">
        <f>""</f>
        <v/>
      </c>
      <c r="J927" t="str">
        <f t="shared" si="14"/>
        <v>AN66;DDRDQ_IL12_NIL06[4];;37.407;16.911;606085;501085;707085;</v>
      </c>
    </row>
    <row r="928" spans="1:10">
      <c r="A928" t="s">
        <v>392</v>
      </c>
      <c r="B928" t="str">
        <f>_xlfn.XLOOKUP(A928,'Pinlist(S1)'!$Q$4:$Q$1362,'Pinlist(S1)'!$R$4:$R$1362,"")</f>
        <v>DDRDQ_IL00_NIL00[2]</v>
      </c>
      <c r="C928" t="str" cm="1">
        <f t="array" ref="C928">_xlfn.TEXTJOIN(",",TRUE,_xlfn.UNIQUE(TRANSPOSE(_xlfn.MAP(_xlfn.XLOOKUP(A928,'Pinlist(S1)'!$C$4:$C$1362,'Pinlist(S1)'!$F$4:$K$1362,""),_xlfn.LAMBDA(_xlpm.x,IF(_xlpm.x&lt;&gt;"",TRIM(CLEAN(LEFT(_xlpm.x,FIND(".",_xlpm.x &amp; ".")-1))),""))))))</f>
        <v/>
      </c>
      <c r="D928">
        <v>38.677999999999997</v>
      </c>
      <c r="E928">
        <v>17.033000000000001</v>
      </c>
      <c r="F928" t="str">
        <f>_xlfn.LET(_xlpm.raw,_xlfn.XLOOKUP(A928,'Pinlist(S1)'!$C$4:$C$1362,'Pinlist(S1)'!$E$4:$E$1362,""),_xlpm.cleanRaw,SUBSTITUTE(SUBSTITUTE(_xlpm.raw,"_PIN","."),"PIN","."),_xlpm.mainPart,MID(_xlpm.cleanRaw,2,FIND(".",_xlpm.cleanRaw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607038</v>
      </c>
      <c r="G928" t="str">
        <f>_xlfn.LET(_xlpm.raw,_xlfn.XLOOKUP(A928,'Pinlist(S3)'!$C$4:$C$1362,'Pinlist(S3)'!$E$4:$E$1362,""),_xlpm.cleanRaw,SUBSTITUTE(SUBSTITUTE(_xlpm.raw,"_PIN","."),"PIN","."),_xlpm.mainPart,MID(_xlpm.cleanRaw,2,FIND(".",_xlpm.cleanRaw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501086</v>
      </c>
      <c r="H928" t="str">
        <f>_xlfn.LET(_xlpm.raw,_xlfn.XLOOKUP(A928,'Pinlist(S5)'!$C$4:$C$1362,'Pinlist(S5)'!$E$4:$E$1362,""),_xlpm.cleanRaw,SUBSTITUTE(SUBSTITUTE(_xlpm.raw,"_PIN","."),"PIN","."),_xlpm.mainPart,MID(_xlpm.cleanRaw,2,FIND(".",_xlpm.cleanRaw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I928" t="str">
        <f>""</f>
        <v/>
      </c>
      <c r="J928" t="str">
        <f t="shared" si="14"/>
        <v>AN68;DDRDQ_IL00_NIL00[2];;38.678;17.033;607038;501086;706038;</v>
      </c>
    </row>
    <row r="929" spans="1:10">
      <c r="A929" t="s">
        <v>394</v>
      </c>
      <c r="B929" t="str">
        <f>_xlfn.XLOOKUP(A929,'Pinlist(S1)'!$Q$4:$Q$1362,'Pinlist(S1)'!$R$4:$R$1362,"")</f>
        <v>DDRDQ_IL00_NIL00[3]</v>
      </c>
      <c r="C929" t="str" cm="1">
        <f t="array" ref="C929">_xlfn.TEXTJOIN(",",TRUE,_xlfn.UNIQUE(TRANSPOSE(_xlfn.MAP(_xlfn.XLOOKUP(A929,'Pinlist(S1)'!$C$4:$C$1362,'Pinlist(S1)'!$F$4:$K$1362,""),_xlfn.LAMBDA(_xlpm.x,IF(_xlpm.x&lt;&gt;"",TRIM(CLEAN(LEFT(_xlpm.x,FIND(".",_xlpm.x &amp; ".")-1))),""))))))</f>
        <v/>
      </c>
      <c r="D929">
        <v>39.328000000000003</v>
      </c>
      <c r="E929">
        <v>17.033000000000001</v>
      </c>
      <c r="F929" t="str">
        <f>_xlfn.LET(_xlpm.raw,_xlfn.XLOOKUP(A929,'Pinlist(S1)'!$C$4:$C$1362,'Pinlist(S1)'!$E$4:$E$1362,""),_xlpm.cleanRaw,SUBSTITUTE(SUBSTITUTE(_xlpm.raw,"_PIN","."),"PIN","."),_xlpm.mainPart,MID(_xlpm.cleanRaw,2,FIND(".",_xlpm.cleanRaw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606090</v>
      </c>
      <c r="G929" t="str">
        <f>_xlfn.LET(_xlpm.raw,_xlfn.XLOOKUP(A929,'Pinlist(S3)'!$C$4:$C$1362,'Pinlist(S3)'!$E$4:$E$1362,""),_xlpm.cleanRaw,SUBSTITUTE(SUBSTITUTE(_xlpm.raw,"_PIN","."),"PIN","."),_xlpm.mainPart,MID(_xlpm.cleanRaw,2,FIND(".",_xlpm.cleanRaw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501088</v>
      </c>
      <c r="H929" t="str">
        <f>_xlfn.LET(_xlpm.raw,_xlfn.XLOOKUP(A929,'Pinlist(S5)'!$C$4:$C$1362,'Pinlist(S5)'!$E$4:$E$1362,""),_xlpm.cleanRaw,SUBSTITUTE(SUBSTITUTE(_xlpm.raw,"_PIN","."),"PIN","."),_xlpm.mainPart,MID(_xlpm.cleanRaw,2,FIND(".",_xlpm.cleanRaw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707090</v>
      </c>
      <c r="I929" t="str">
        <f>""</f>
        <v/>
      </c>
      <c r="J929" t="str">
        <f t="shared" si="14"/>
        <v>AN69;DDRDQ_IL00_NIL00[3];;39.328;17.033;606090;501088;707090;</v>
      </c>
    </row>
    <row r="930" spans="1:10">
      <c r="A930" t="s">
        <v>400</v>
      </c>
      <c r="B930" t="str">
        <f>_xlfn.XLOOKUP(A930,'Pinlist(S1)'!$Q$4:$Q$1362,'Pinlist(S1)'!$R$4:$R$1362,"")</f>
        <v>DDRDQ_IL00_NIL00[6]</v>
      </c>
      <c r="C930" t="str" cm="1">
        <f t="array" ref="C930">_xlfn.TEXTJOIN(",",TRUE,_xlfn.UNIQUE(TRANSPOSE(_xlfn.MAP(_xlfn.XLOOKUP(A930,'Pinlist(S1)'!$C$4:$C$1362,'Pinlist(S1)'!$F$4:$K$1362,""),_xlfn.LAMBDA(_xlpm.x,IF(_xlpm.x&lt;&gt;"",TRIM(CLEAN(LEFT(_xlpm.x,FIND(".",_xlpm.x &amp; ".")-1))),""))))))</f>
        <v/>
      </c>
      <c r="D930">
        <v>39.978000000000002</v>
      </c>
      <c r="E930">
        <v>17.131999999999898</v>
      </c>
      <c r="F930" t="str">
        <f>_xlfn.LET(_xlpm.raw,_xlfn.XLOOKUP(A930,'Pinlist(S1)'!$C$4:$C$1362,'Pinlist(S1)'!$E$4:$E$1362,""),_xlpm.cleanRaw,SUBSTITUTE(SUBSTITUTE(_xlpm.raw,"_PIN","."),"PIN","."),_xlpm.mainPart,MID(_xlpm.cleanRaw,2,FIND(".",_xlpm.cleanRaw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606092</v>
      </c>
      <c r="G930" t="str">
        <f>_xlfn.LET(_xlpm.raw,_xlfn.XLOOKUP(A930,'Pinlist(S3)'!$C$4:$C$1362,'Pinlist(S3)'!$E$4:$E$1362,""),_xlpm.cleanRaw,SUBSTITUTE(SUBSTITUTE(_xlpm.raw,"_PIN","."),"PIN","."),_xlpm.mainPart,MID(_xlpm.cleanRaw,2,FIND(".",_xlpm.cleanRaw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501090</v>
      </c>
      <c r="H930" t="str">
        <f>_xlfn.LET(_xlpm.raw,_xlfn.XLOOKUP(A930,'Pinlist(S5)'!$C$4:$C$1362,'Pinlist(S5)'!$E$4:$E$1362,""),_xlpm.cleanRaw,SUBSTITUTE(SUBSTITUTE(_xlpm.raw,"_PIN","."),"PIN","."),_xlpm.mainPart,MID(_xlpm.cleanRaw,2,FIND(".",_xlpm.cleanRaw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707092</v>
      </c>
      <c r="I930" t="str">
        <f>""</f>
        <v/>
      </c>
      <c r="J930" t="str">
        <f t="shared" si="14"/>
        <v>AN70;DDRDQ_IL00_NIL00[6];;39.978;17.1319999999999;606092;501090;707092;</v>
      </c>
    </row>
    <row r="931" spans="1:10">
      <c r="A931" t="s">
        <v>402</v>
      </c>
      <c r="B931" t="str">
        <f>_xlfn.XLOOKUP(A931,'Pinlist(S1)'!$Q$4:$Q$1362,'Pinlist(S1)'!$R$4:$R$1362,"")</f>
        <v>DDRDQ_IL00_NIL00[7]</v>
      </c>
      <c r="C931" t="str" cm="1">
        <f t="array" ref="C931">_xlfn.TEXTJOIN(",",TRUE,_xlfn.UNIQUE(TRANSPOSE(_xlfn.MAP(_xlfn.XLOOKUP(A931,'Pinlist(S1)'!$C$4:$C$1362,'Pinlist(S1)'!$F$4:$K$1362,""),_xlfn.LAMBDA(_xlpm.x,IF(_xlpm.x&lt;&gt;"",TRIM(CLEAN(LEFT(_xlpm.x,FIND(".",_xlpm.x &amp; ".")-1))),""))))))</f>
        <v/>
      </c>
      <c r="D931">
        <v>40.628</v>
      </c>
      <c r="E931">
        <v>17.131999999999898</v>
      </c>
      <c r="F931" t="str">
        <f>_xlfn.LET(_xlpm.raw,_xlfn.XLOOKUP(A931,'Pinlist(S1)'!$C$4:$C$1362,'Pinlist(S1)'!$E$4:$E$1362,""),_xlpm.cleanRaw,SUBSTITUTE(SUBSTITUTE(_xlpm.raw,"_PIN","."),"PIN","."),_xlpm.mainPart,MID(_xlpm.cleanRaw,2,FIND(".",_xlpm.cleanRaw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606094</v>
      </c>
      <c r="G931" t="str">
        <f>_xlfn.LET(_xlpm.raw,_xlfn.XLOOKUP(A931,'Pinlist(S3)'!$C$4:$C$1362,'Pinlist(S3)'!$E$4:$E$1362,""),_xlpm.cleanRaw,SUBSTITUTE(SUBSTITUTE(_xlpm.raw,"_PIN","."),"PIN","."),_xlpm.mainPart,MID(_xlpm.cleanRaw,2,FIND(".",_xlpm.cleanRaw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501092</v>
      </c>
      <c r="H931" t="str">
        <f>_xlfn.LET(_xlpm.raw,_xlfn.XLOOKUP(A931,'Pinlist(S5)'!$C$4:$C$1362,'Pinlist(S5)'!$E$4:$E$1362,""),_xlpm.cleanRaw,SUBSTITUTE(SUBSTITUTE(_xlpm.raw,"_PIN","."),"PIN","."),_xlpm.mainPart,MID(_xlpm.cleanRaw,2,FIND(".",_xlpm.cleanRaw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707094</v>
      </c>
      <c r="I931" t="str">
        <f>""</f>
        <v/>
      </c>
      <c r="J931" t="str">
        <f t="shared" si="14"/>
        <v>AN71;DDRDQ_IL00_NIL00[7];;40.628;17.1319999999999;606094;501092;707094;</v>
      </c>
    </row>
    <row r="932" spans="1:10">
      <c r="A932" t="s">
        <v>1054</v>
      </c>
      <c r="B932" t="str">
        <f>_xlfn.XLOOKUP(A932,'Pinlist(S1)'!$Q$4:$Q$1362,'Pinlist(S1)'!$R$4:$R$1362,"")</f>
        <v>GPP_F_14_EMMC_DATA1</v>
      </c>
      <c r="C932" t="str" cm="1">
        <f t="array" ref="C932">_xlfn.TEXTJOIN(",",TRUE,_xlfn.UNIQUE(TRANSPOSE(_xlfn.MAP(_xlfn.XLOOKUP(A932,'Pinlist(S1)'!$C$4:$C$1362,'Pinlist(S1)'!$F$4:$K$1362,""),_xlfn.LAMBDA(_xlpm.x,IF(_xlpm.x&lt;&gt;"",TRIM(CLEAN(LEFT(_xlpm.x,FIND(".",_xlpm.x &amp; ".")-1))),""))))))</f>
        <v>KA142</v>
      </c>
      <c r="D932">
        <v>0</v>
      </c>
      <c r="E932">
        <v>18.096</v>
      </c>
      <c r="F932" t="str">
        <f>_xlfn.LET(_xlpm.raw,_xlfn.XLOOKUP(A932,'Pinlist(S1)'!$C$4:$C$1362,'Pinlist(S1)'!$E$4:$E$1362,""),_xlpm.cleanRaw,SUBSTITUTE(SUBSTITUTE(_xlpm.raw,"_PIN","."),"PIN","."),_xlpm.mainPart,MID(_xlpm.cleanRaw,2,FIND(".",_xlpm.cleanRaw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G932" t="str">
        <f>_xlfn.LET(_xlpm.raw,_xlfn.XLOOKUP(A932,'Pinlist(S3)'!$C$4:$C$1362,'Pinlist(S3)'!$E$4:$E$1362,""),_xlpm.cleanRaw,SUBSTITUTE(SUBSTITUTE(_xlpm.raw,"_PIN","."),"PIN","."),_xlpm.mainPart,MID(_xlpm.cleanRaw,2,FIND(".",_xlpm.cleanRaw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805043</v>
      </c>
      <c r="H932" t="str">
        <f>_xlfn.LET(_xlpm.raw,_xlfn.XLOOKUP(A932,'Pinlist(S5)'!$C$4:$C$1362,'Pinlist(S5)'!$E$4:$E$1362,""),_xlpm.cleanRaw,SUBSTITUTE(SUBSTITUTE(_xlpm.raw,"_PIN","."),"PIN","."),_xlpm.mainPart,MID(_xlpm.cleanRaw,2,FIND(".",_xlpm.cleanRaw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703011</v>
      </c>
      <c r="I932" t="str">
        <f>""</f>
        <v/>
      </c>
      <c r="J932" t="str">
        <f t="shared" si="14"/>
        <v>AP1;GPP_F_14_EMMC_DATA1;KA142;0;18.096;509010;805043;703011;</v>
      </c>
    </row>
    <row r="933" spans="1:10">
      <c r="A933" t="s">
        <v>1051</v>
      </c>
      <c r="B933" t="str">
        <f>_xlfn.XLOOKUP(A933,'Pinlist(S1)'!$Q$4:$Q$1362,'Pinlist(S1)'!$R$4:$R$1362,"")</f>
        <v>GPP_F_13_EMMC_DATA0</v>
      </c>
      <c r="C933" t="str" cm="1">
        <f t="array" ref="C933">_xlfn.TEXTJOIN(",",TRUE,_xlfn.UNIQUE(TRANSPOSE(_xlfn.MAP(_xlfn.XLOOKUP(A933,'Pinlist(S1)'!$C$4:$C$1362,'Pinlist(S1)'!$F$4:$K$1362,""),_xlfn.LAMBDA(_xlpm.x,IF(_xlpm.x&lt;&gt;"",TRIM(CLEAN(LEFT(_xlpm.x,FIND(".",_xlpm.x &amp; ".")-1))),""))))))</f>
        <v>KA141</v>
      </c>
      <c r="D933">
        <v>0.64999999999999802</v>
      </c>
      <c r="E933">
        <v>18.096</v>
      </c>
      <c r="F933" t="str">
        <f>_xlfn.LET(_xlpm.raw,_xlfn.XLOOKUP(A933,'Pinlist(S1)'!$C$4:$C$1362,'Pinlist(S1)'!$E$4:$E$1362,""),_xlpm.cleanRaw,SUBSTITUTE(SUBSTITUTE(_xlpm.raw,"_PIN","."),"PIN","."),_xlpm.mainPart,MID(_xlpm.cleanRaw,2,FIND(".",_xlpm.cleanRaw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G933" t="str">
        <f>_xlfn.LET(_xlpm.raw,_xlfn.XLOOKUP(A933,'Pinlist(S3)'!$C$4:$C$1362,'Pinlist(S3)'!$E$4:$E$1362,""),_xlpm.cleanRaw,SUBSTITUTE(SUBSTITUTE(_xlpm.raw,"_PIN","."),"PIN","."),_xlpm.mainPart,MID(_xlpm.cleanRaw,2,FIND(".",_xlpm.cleanRaw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933" t="str">
        <f>_xlfn.LET(_xlpm.raw,_xlfn.XLOOKUP(A933,'Pinlist(S5)'!$C$4:$C$1362,'Pinlist(S5)'!$E$4:$E$1362,""),_xlpm.cleanRaw,SUBSTITUTE(SUBSTITUTE(_xlpm.raw,"_PIN","."),"PIN","."),_xlpm.mainPart,MID(_xlpm.cleanRaw,2,FIND(".",_xlpm.cleanRaw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702064</v>
      </c>
      <c r="I933" t="str">
        <f>""</f>
        <v/>
      </c>
      <c r="J933" t="str">
        <f t="shared" si="14"/>
        <v>AP2;GPP_F_13_EMMC_DATA0;KA141;0.649999999999998;18.096;509035;805042;702064;</v>
      </c>
    </row>
    <row r="934" spans="1:10">
      <c r="A934" t="s">
        <v>1057</v>
      </c>
      <c r="B934" t="str">
        <f>_xlfn.XLOOKUP(A934,'Pinlist(S1)'!$Q$4:$Q$1362,'Pinlist(S1)'!$R$4:$R$1362,"")</f>
        <v>GPP_F_15_EMMC_DATA2</v>
      </c>
      <c r="C934" t="str" cm="1">
        <f t="array" ref="C934">_xlfn.TEXTJOIN(",",TRUE,_xlfn.UNIQUE(TRANSPOSE(_xlfn.MAP(_xlfn.XLOOKUP(A934,'Pinlist(S1)'!$C$4:$C$1362,'Pinlist(S1)'!$F$4:$K$1362,""),_xlfn.LAMBDA(_xlpm.x,IF(_xlpm.x&lt;&gt;"",TRIM(CLEAN(LEFT(_xlpm.x,FIND(".",_xlpm.x &amp; ".")-1))),""))))))</f>
        <v>KA143</v>
      </c>
      <c r="D934">
        <v>1.2999999999999901</v>
      </c>
      <c r="E934">
        <v>18.096</v>
      </c>
      <c r="F934" t="str">
        <f>_xlfn.LET(_xlpm.raw,_xlfn.XLOOKUP(A934,'Pinlist(S1)'!$C$4:$C$1362,'Pinlist(S1)'!$E$4:$E$1362,""),_xlpm.cleanRaw,SUBSTITUTE(SUBSTITUTE(_xlpm.raw,"_PIN","."),"PIN","."),_xlpm.mainPart,MID(_xlpm.cleanRaw,2,FIND(".",_xlpm.cleanRaw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509015</v>
      </c>
      <c r="G934" t="str">
        <f>_xlfn.LET(_xlpm.raw,_xlfn.XLOOKUP(A934,'Pinlist(S3)'!$C$4:$C$1362,'Pinlist(S3)'!$E$4:$E$1362,""),_xlpm.cleanRaw,SUBSTITUTE(SUBSTITUTE(_xlpm.raw,"_PIN","."),"PIN","."),_xlpm.mainPart,MID(_xlpm.cleanRaw,2,FIND(".",_xlpm.cleanRaw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934" t="str">
        <f>_xlfn.LET(_xlpm.raw,_xlfn.XLOOKUP(A934,'Pinlist(S5)'!$C$4:$C$1362,'Pinlist(S5)'!$E$4:$E$1362,""),_xlpm.cleanRaw,SUBSTITUTE(SUBSTITUTE(_xlpm.raw,"_PIN","."),"PIN","."),_xlpm.mainPart,MID(_xlpm.cleanRaw,2,FIND(".",_xlpm.cleanRaw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703031</v>
      </c>
      <c r="I934" t="str">
        <f>""</f>
        <v/>
      </c>
      <c r="J934" t="str">
        <f t="shared" si="14"/>
        <v>AP3;GPP_F_15_EMMC_DATA2;KA143;1.29999999999999;18.096;509015;804007;703031;</v>
      </c>
    </row>
    <row r="935" spans="1:10">
      <c r="A935" t="s">
        <v>1048</v>
      </c>
      <c r="B935" t="str">
        <f>_xlfn.XLOOKUP(A935,'Pinlist(S1)'!$Q$4:$Q$1362,'Pinlist(S1)'!$R$4:$R$1362,"")</f>
        <v>GPP_F_12_EMMC_CMD</v>
      </c>
      <c r="C935" t="str" cm="1">
        <f t="array" ref="C935">_xlfn.TEXTJOIN(",",TRUE,_xlfn.UNIQUE(TRANSPOSE(_xlfn.MAP(_xlfn.XLOOKUP(A935,'Pinlist(S1)'!$C$4:$C$1362,'Pinlist(S1)'!$F$4:$K$1362,""),_xlfn.LAMBDA(_xlpm.x,IF(_xlpm.x&lt;&gt;"",TRIM(CLEAN(LEFT(_xlpm.x,FIND(".",_xlpm.x &amp; ".")-1))),""))))))</f>
        <v>KA140</v>
      </c>
      <c r="D935">
        <v>1.9510000000000001</v>
      </c>
      <c r="E935">
        <v>18.096</v>
      </c>
      <c r="F935" t="str">
        <f>_xlfn.LET(_xlpm.raw,_xlfn.XLOOKUP(A935,'Pinlist(S1)'!$C$4:$C$1362,'Pinlist(S1)'!$E$4:$E$1362,""),_xlpm.cleanRaw,SUBSTITUTE(SUBSTITUTE(_xlpm.raw,"_PIN","."),"PIN","."),_xlpm.mainPart,MID(_xlpm.cleanRaw,2,FIND(".",_xlpm.cleanRaw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G935" t="str">
        <f>_xlfn.LET(_xlpm.raw,_xlfn.XLOOKUP(A935,'Pinlist(S3)'!$C$4:$C$1362,'Pinlist(S3)'!$E$4:$E$1362,""),_xlpm.cleanRaw,SUBSTITUTE(SUBSTITUTE(_xlpm.raw,"_PIN","."),"PIN","."),_xlpm.mainPart,MID(_xlpm.cleanRaw,2,FIND(".",_xlpm.cleanRaw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935" t="str">
        <f>_xlfn.LET(_xlpm.raw,_xlfn.XLOOKUP(A935,'Pinlist(S5)'!$C$4:$C$1362,'Pinlist(S5)'!$E$4:$E$1362,""),_xlpm.cleanRaw,SUBSTITUTE(SUBSTITUTE(_xlpm.raw,"_PIN","."),"PIN","."),_xlpm.mainPart,MID(_xlpm.cleanRaw,2,FIND(".",_xlpm.cleanRaw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703009</v>
      </c>
      <c r="I935" t="str">
        <f>""</f>
        <v/>
      </c>
      <c r="J935" t="str">
        <f t="shared" si="14"/>
        <v>AP4;GPP_F_12_EMMC_CMD;KA140;1.951;18.096;509037;805044;703009;</v>
      </c>
    </row>
    <row r="936" spans="1:10">
      <c r="A936" t="s">
        <v>871</v>
      </c>
      <c r="B936" t="str">
        <f>_xlfn.XLOOKUP(A936,'Pinlist(S1)'!$Q$4:$Q$1362,'Pinlist(S1)'!$R$4:$R$1362,"")</f>
        <v>GPP_B_21_GSPI1_MISO</v>
      </c>
      <c r="C936" t="str" cm="1">
        <f t="array" ref="C936">_xlfn.TEXTJOIN(",",TRUE,_xlfn.UNIQUE(TRANSPOSE(_xlfn.MAP(_xlfn.XLOOKUP(A936,'Pinlist(S1)'!$C$4:$C$1362,'Pinlist(S1)'!$F$4:$K$1362,""),_xlfn.LAMBDA(_xlpm.x,IF(_xlpm.x&lt;&gt;"",TRIM(CLEAN(LEFT(_xlpm.x,FIND(".",_xlpm.x &amp; ".")-1))),""))))))</f>
        <v/>
      </c>
      <c r="D936">
        <v>2.6599999999999899</v>
      </c>
      <c r="E936">
        <v>17.561</v>
      </c>
      <c r="F936" t="str">
        <f>_xlfn.LET(_xlpm.raw,_xlfn.XLOOKUP(A936,'Pinlist(S1)'!$C$4:$C$1362,'Pinlist(S1)'!$E$4:$E$1362,""),_xlpm.cleanRaw,SUBSTITUTE(SUBSTITUTE(_xlpm.raw,"_PIN","."),"PIN","."),_xlpm.mainPart,MID(_xlpm.cleanRaw,2,FIND(".",_xlpm.cleanRaw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505076</v>
      </c>
      <c r="G936" t="str">
        <f>_xlfn.LET(_xlpm.raw,_xlfn.XLOOKUP(A936,'Pinlist(S3)'!$C$4:$C$1362,'Pinlist(S3)'!$E$4:$E$1362,""),_xlpm.cleanRaw,SUBSTITUTE(SUBSTITUTE(_xlpm.raw,"_PIN","."),"PIN","."),_xlpm.mainPart,MID(_xlpm.cleanRaw,2,FIND(".",_xlpm.cleanRaw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808076</v>
      </c>
      <c r="H936" t="str">
        <f>_xlfn.LET(_xlpm.raw,_xlfn.XLOOKUP(A936,'Pinlist(S5)'!$C$4:$C$1362,'Pinlist(S5)'!$E$4:$E$1362,""),_xlpm.cleanRaw,SUBSTITUTE(SUBSTITUTE(_xlpm.raw,"_PIN","."),"PIN","."),_xlpm.mainPart,MID(_xlpm.cleanRaw,2,FIND(".",_xlpm.cleanRaw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701110</v>
      </c>
      <c r="I936" t="str">
        <f>""</f>
        <v/>
      </c>
      <c r="J936" t="str">
        <f t="shared" si="14"/>
        <v>AP5;GPP_B_21_GSPI1_MISO;;2.65999999999999;17.561;505076;808076;701110;</v>
      </c>
    </row>
    <row r="937" spans="1:10">
      <c r="A937" t="s">
        <v>859</v>
      </c>
      <c r="B937" t="str">
        <f>_xlfn.XLOOKUP(A937,'Pinlist(S1)'!$Q$4:$Q$1362,'Pinlist(S1)'!$R$4:$R$1362,"")</f>
        <v>GPP_B_16_GSPI0_CLK</v>
      </c>
      <c r="C937" t="str" cm="1">
        <f t="array" ref="C937">_xlfn.TEXTJOIN(",",TRUE,_xlfn.UNIQUE(TRANSPOSE(_xlfn.MAP(_xlfn.XLOOKUP(A937,'Pinlist(S1)'!$C$4:$C$1362,'Pinlist(S1)'!$F$4:$K$1362,""),_xlfn.LAMBDA(_xlpm.x,IF(_xlpm.x&lt;&gt;"",TRIM(CLEAN(LEFT(_xlpm.x,FIND(".",_xlpm.x &amp; ".")-1))),""))))))</f>
        <v/>
      </c>
      <c r="D937">
        <v>3.5739999999999901</v>
      </c>
      <c r="E937">
        <v>17.561</v>
      </c>
      <c r="F937" t="str">
        <f>_xlfn.LET(_xlpm.raw,_xlfn.XLOOKUP(A937,'Pinlist(S1)'!$C$4:$C$1362,'Pinlist(S1)'!$E$4:$E$1362,""),_xlpm.cleanRaw,SUBSTITUTE(SUBSTITUTE(_xlpm.raw,"_PIN","."),"PIN","."),_xlpm.mainPart,MID(_xlpm.cleanRaw,2,FIND(".",_xlpm.cleanRaw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508063</v>
      </c>
      <c r="G937" t="str">
        <f>_xlfn.LET(_xlpm.raw,_xlfn.XLOOKUP(A937,'Pinlist(S3)'!$C$4:$C$1362,'Pinlist(S3)'!$E$4:$E$1362,""),_xlpm.cleanRaw,SUBSTITUTE(SUBSTITUTE(_xlpm.raw,"_PIN","."),"PIN","."),_xlpm.mainPart,MID(_xlpm.cleanRaw,2,FIND(".",_xlpm.cleanRaw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804018</v>
      </c>
      <c r="H937" t="str">
        <f>_xlfn.LET(_xlpm.raw,_xlfn.XLOOKUP(A937,'Pinlist(S5)'!$C$4:$C$1362,'Pinlist(S5)'!$E$4:$E$1362,""),_xlpm.cleanRaw,SUBSTITUTE(SUBSTITUTE(_xlpm.raw,"_PIN","."),"PIN","."),_xlpm.mainPart,MID(_xlpm.cleanRaw,2,FIND(".",_xlpm.cleanRaw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702045</v>
      </c>
      <c r="I937" t="str">
        <f>""</f>
        <v/>
      </c>
      <c r="J937" t="str">
        <f t="shared" si="14"/>
        <v>AP7;GPP_B_16_GSPI0_CLK;;3.57399999999999;17.561;508063;804018;702045;</v>
      </c>
    </row>
    <row r="938" spans="1:10">
      <c r="A938" t="s">
        <v>861</v>
      </c>
      <c r="B938" t="str">
        <f>_xlfn.XLOOKUP(A938,'Pinlist(S1)'!$Q$4:$Q$1362,'Pinlist(S1)'!$R$4:$R$1362,"")</f>
        <v>GPP_B_17_GSPI0_MISO</v>
      </c>
      <c r="C938" t="str" cm="1">
        <f t="array" ref="C938">_xlfn.TEXTJOIN(",",TRUE,_xlfn.UNIQUE(TRANSPOSE(_xlfn.MAP(_xlfn.XLOOKUP(A938,'Pinlist(S1)'!$C$4:$C$1362,'Pinlist(S1)'!$F$4:$K$1362,""),_xlfn.LAMBDA(_xlpm.x,IF(_xlpm.x&lt;&gt;"",TRIM(CLEAN(LEFT(_xlpm.x,FIND(".",_xlpm.x &amp; ".")-1))),""))))))</f>
        <v/>
      </c>
      <c r="D938">
        <v>4.4889999999999999</v>
      </c>
      <c r="E938">
        <v>17.561</v>
      </c>
      <c r="F938" t="str">
        <f>_xlfn.LET(_xlpm.raw,_xlfn.XLOOKUP(A938,'Pinlist(S1)'!$C$4:$C$1362,'Pinlist(S1)'!$E$4:$E$1362,""),_xlpm.cleanRaw,SUBSTITUTE(SUBSTITUTE(_xlpm.raw,"_PIN","."),"PIN","."),_xlpm.mainPart,MID(_xlpm.cleanRaw,2,FIND(".",_xlpm.cleanRaw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507099</v>
      </c>
      <c r="G938" t="str">
        <f>_xlfn.LET(_xlpm.raw,_xlfn.XLOOKUP(A938,'Pinlist(S3)'!$C$4:$C$1362,'Pinlist(S3)'!$E$4:$E$1362,""),_xlpm.cleanRaw,SUBSTITUTE(SUBSTITUTE(_xlpm.raw,"_PIN","."),"PIN","."),_xlpm.mainPart,MID(_xlpm.cleanRaw,2,FIND(".",_xlpm.cleanRaw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806108</v>
      </c>
      <c r="H938" t="str">
        <f>_xlfn.LET(_xlpm.raw,_xlfn.XLOOKUP(A938,'Pinlist(S5)'!$C$4:$C$1362,'Pinlist(S5)'!$E$4:$E$1362,""),_xlpm.cleanRaw,SUBSTITUTE(SUBSTITUTE(_xlpm.raw,"_PIN","."),"PIN","."),_xlpm.mainPart,MID(_xlpm.cleanRaw,2,FIND(".",_xlpm.cleanRaw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701112</v>
      </c>
      <c r="I938" t="str">
        <f>""</f>
        <v/>
      </c>
      <c r="J938" t="str">
        <f t="shared" si="14"/>
        <v>AP8;GPP_B_17_GSPI0_MISO;;4.489;17.561;507099;806108;701112;</v>
      </c>
    </row>
    <row r="939" spans="1:10">
      <c r="A939" t="s">
        <v>1982</v>
      </c>
      <c r="B939" t="str">
        <f>_xlfn.XLOOKUP(A939,'Pinlist(S1)'!$Q$4:$Q$1362,'Pinlist(S1)'!$R$4:$R$1362,"")</f>
        <v>VSS</v>
      </c>
      <c r="C939" t="str" cm="1">
        <f t="array" ref="C939">_xlfn.TEXTJOIN(",",TRUE,_xlfn.UNIQUE(TRANSPOSE(_xlfn.MAP(_xlfn.XLOOKUP(A939,'Pinlist(S1)'!$C$4:$C$1362,'Pinlist(S1)'!$F$4:$K$1362,""),_xlfn.LAMBDA(_xlpm.x,IF(_xlpm.x&lt;&gt;"",TRIM(CLEAN(LEFT(_xlpm.x,FIND(".",_xlpm.x &amp; ".")-1))),""))))))</f>
        <v/>
      </c>
      <c r="D939">
        <v>5.4029999999999898</v>
      </c>
      <c r="E939">
        <v>17.561</v>
      </c>
      <c r="F939" t="str">
        <f>_xlfn.LET(_xlpm.raw,_xlfn.XLOOKUP(A939,'Pinlist(S1)'!$C$4:$C$1362,'Pinlist(S1)'!$E$4:$E$1362,""),_xlpm.cleanRaw,SUBSTITUTE(SUBSTITUTE(_xlpm.raw,"_PIN","."),"PIN","."),_xlpm.mainPart,MID(_xlpm.cleanRaw,2,FIND(".",_xlpm.cleanRaw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9" t="str">
        <f>_xlfn.LET(_xlpm.raw,_xlfn.XLOOKUP(A939,'Pinlist(S3)'!$C$4:$C$1362,'Pinlist(S3)'!$E$4:$E$1362,""),_xlpm.cleanRaw,SUBSTITUTE(SUBSTITUTE(_xlpm.raw,"_PIN","."),"PIN","."),_xlpm.mainPart,MID(_xlpm.cleanRaw,2,FIND(".",_xlpm.cleanRaw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9" t="str">
        <f>_xlfn.LET(_xlpm.raw,_xlfn.XLOOKUP(A939,'Pinlist(S5)'!$C$4:$C$1362,'Pinlist(S5)'!$E$4:$E$1362,""),_xlpm.cleanRaw,SUBSTITUTE(SUBSTITUTE(_xlpm.raw,"_PIN","."),"PIN","."),_xlpm.mainPart,MID(_xlpm.cleanRaw,2,FIND(".",_xlpm.cleanRaw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39" t="str">
        <f>""</f>
        <v/>
      </c>
      <c r="J939" t="str">
        <f t="shared" si="14"/>
        <v>AP10;VSS;;5.40299999999999;17.561;;;;</v>
      </c>
    </row>
    <row r="940" spans="1:10">
      <c r="A940" t="s">
        <v>809</v>
      </c>
      <c r="B940" t="str">
        <f>_xlfn.XLOOKUP(A940,'Pinlist(S1)'!$Q$4:$Q$1362,'Pinlist(S1)'!$R$4:$R$1362,"")</f>
        <v>GPP_A_15_SUSACKB</v>
      </c>
      <c r="C940" t="str" cm="1">
        <f t="array" ref="C940">_xlfn.TEXTJOIN(",",TRUE,_xlfn.UNIQUE(TRANSPOSE(_xlfn.MAP(_xlfn.XLOOKUP(A940,'Pinlist(S1)'!$C$4:$C$1362,'Pinlist(S1)'!$F$4:$K$1362,""),_xlfn.LAMBDA(_xlpm.x,IF(_xlpm.x&lt;&gt;"",TRIM(CLEAN(LEFT(_xlpm.x,FIND(".",_xlpm.x &amp; ".")-1))),""))))))</f>
        <v/>
      </c>
      <c r="D940">
        <v>6.3179999999999898</v>
      </c>
      <c r="E940">
        <v>17.561</v>
      </c>
      <c r="F940" t="str">
        <f>_xlfn.LET(_xlpm.raw,_xlfn.XLOOKUP(A940,'Pinlist(S1)'!$C$4:$C$1362,'Pinlist(S1)'!$E$4:$E$1362,""),_xlpm.cleanRaw,SUBSTITUTE(SUBSTITUTE(_xlpm.raw,"_PIN","."),"PIN","."),_xlpm.mainPart,MID(_xlpm.cleanRaw,2,FIND(".",_xlpm.cleanRaw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507115</v>
      </c>
      <c r="G940" t="str">
        <f>_xlfn.LET(_xlpm.raw,_xlfn.XLOOKUP(A940,'Pinlist(S3)'!$C$4:$C$1362,'Pinlist(S3)'!$E$4:$E$1362,""),_xlpm.cleanRaw,SUBSTITUTE(SUBSTITUTE(_xlpm.raw,"_PIN","."),"PIN","."),_xlpm.mainPart,MID(_xlpm.cleanRaw,2,FIND(".",_xlpm.cleanRaw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806110</v>
      </c>
      <c r="H940" t="str">
        <f>_xlfn.LET(_xlpm.raw,_xlfn.XLOOKUP(A940,'Pinlist(S5)'!$C$4:$C$1362,'Pinlist(S5)'!$E$4:$E$1362,""),_xlpm.cleanRaw,SUBSTITUTE(SUBSTITUTE(_xlpm.raw,"_PIN","."),"PIN","."),_xlpm.mainPart,MID(_xlpm.cleanRaw,2,FIND(".",_xlpm.cleanRaw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701109</v>
      </c>
      <c r="I940" t="str">
        <f>""</f>
        <v/>
      </c>
      <c r="J940" t="str">
        <f t="shared" si="14"/>
        <v>AP11;GPP_A_15_SUSACKB;;6.31799999999999;17.561;507115;806110;701109;</v>
      </c>
    </row>
    <row r="941" spans="1:10">
      <c r="A941" t="s">
        <v>803</v>
      </c>
      <c r="B941" t="str">
        <f>_xlfn.XLOOKUP(A941,'Pinlist(S1)'!$Q$4:$Q$1362,'Pinlist(S1)'!$R$4:$R$1362,"")</f>
        <v>GPP_A_12_BM_BUSYB_ISH_GP_6</v>
      </c>
      <c r="C941" t="str" cm="1">
        <f t="array" ref="C941">_xlfn.TEXTJOIN(",",TRUE,_xlfn.UNIQUE(TRANSPOSE(_xlfn.MAP(_xlfn.XLOOKUP(A941,'Pinlist(S1)'!$C$4:$C$1362,'Pinlist(S1)'!$F$4:$K$1362,""),_xlfn.LAMBDA(_xlpm.x,IF(_xlpm.x&lt;&gt;"",TRIM(CLEAN(LEFT(_xlpm.x,FIND(".",_xlpm.x &amp; ".")-1))),""))))))</f>
        <v/>
      </c>
      <c r="D941">
        <v>7.2319999999999904</v>
      </c>
      <c r="E941">
        <v>17.561</v>
      </c>
      <c r="F941" t="str">
        <f>_xlfn.LET(_xlpm.raw,_xlfn.XLOOKUP(A941,'Pinlist(S1)'!$C$4:$C$1362,'Pinlist(S1)'!$E$4:$E$1362,""),_xlpm.cleanRaw,SUBSTITUTE(SUBSTITUTE(_xlpm.raw,"_PIN","."),"PIN","."),_xlpm.mainPart,MID(_xlpm.cleanRaw,2,FIND(".",_xlpm.cleanRaw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506011</v>
      </c>
      <c r="G941" t="str">
        <f>_xlfn.LET(_xlpm.raw,_xlfn.XLOOKUP(A941,'Pinlist(S3)'!$C$4:$C$1362,'Pinlist(S3)'!$E$4:$E$1362,""),_xlpm.cleanRaw,SUBSTITUTE(SUBSTITUTE(_xlpm.raw,"_PIN","."),"PIN","."),_xlpm.mainPart,MID(_xlpm.cleanRaw,2,FIND(".",_xlpm.cleanRaw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806092</v>
      </c>
      <c r="H941" t="str">
        <f>_xlfn.LET(_xlpm.raw,_xlfn.XLOOKUP(A941,'Pinlist(S5)'!$C$4:$C$1362,'Pinlist(S5)'!$E$4:$E$1362,""),_xlpm.cleanRaw,SUBSTITUTE(SUBSTITUTE(_xlpm.raw,"_PIN","."),"PIN","."),_xlpm.mainPart,MID(_xlpm.cleanRaw,2,FIND(".",_xlpm.cleanRaw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I941" t="str">
        <f>""</f>
        <v/>
      </c>
      <c r="J941" t="str">
        <f t="shared" si="14"/>
        <v>AP13;GPP_A_12_BM_BUSYB_ISH_GP_6;;7.23199999999999;17.561;506011;806092;601005;</v>
      </c>
    </row>
    <row r="942" spans="1:10">
      <c r="A942" t="s">
        <v>783</v>
      </c>
      <c r="B942" t="str">
        <f>_xlfn.XLOOKUP(A942,'Pinlist(S1)'!$Q$4:$Q$1362,'Pinlist(S1)'!$R$4:$R$1362,"")</f>
        <v>GPD_4_SLP_S3B</v>
      </c>
      <c r="C942" t="str" cm="1">
        <f t="array" ref="C942">_xlfn.TEXTJOIN(",",TRUE,_xlfn.UNIQUE(TRANSPOSE(_xlfn.MAP(_xlfn.XLOOKUP(A942,'Pinlist(S1)'!$C$4:$C$1362,'Pinlist(S1)'!$F$4:$K$1362,""),_xlfn.LAMBDA(_xlpm.x,IF(_xlpm.x&lt;&gt;"",TRIM(CLEAN(LEFT(_xlpm.x,FIND(".",_xlpm.x &amp; ".")-1))),""))))))</f>
        <v/>
      </c>
      <c r="D942">
        <v>8.1460000000000008</v>
      </c>
      <c r="E942">
        <v>17.561</v>
      </c>
      <c r="F942" t="str">
        <f>_xlfn.LET(_xlpm.raw,_xlfn.XLOOKUP(A942,'Pinlist(S1)'!$C$4:$C$1362,'Pinlist(S1)'!$E$4:$E$1362,""),_xlpm.cleanRaw,SUBSTITUTE(SUBSTITUTE(_xlpm.raw,"_PIN","."),"PIN","."),_xlpm.mainPart,MID(_xlpm.cleanRaw,2,FIND(".",_xlpm.cleanRaw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509032</v>
      </c>
      <c r="G942" t="str">
        <f>_xlfn.LET(_xlpm.raw,_xlfn.XLOOKUP(A942,'Pinlist(S3)'!$C$4:$C$1362,'Pinlist(S3)'!$E$4:$E$1362,""),_xlpm.cleanRaw,SUBSTITUTE(SUBSTITUTE(_xlpm.raw,"_PIN","."),"PIN","."),_xlpm.mainPart,MID(_xlpm.cleanRaw,2,FIND(".",_xlpm.cleanRaw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804029</v>
      </c>
      <c r="H942" t="str">
        <f>_xlfn.LET(_xlpm.raw,_xlfn.XLOOKUP(A942,'Pinlist(S5)'!$C$4:$C$1362,'Pinlist(S5)'!$E$4:$E$1362,""),_xlpm.cleanRaw,SUBSTITUTE(SUBSTITUTE(_xlpm.raw,"_PIN","."),"PIN","."),_xlpm.mainPart,MID(_xlpm.cleanRaw,2,FIND(".",_xlpm.cleanRaw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703025</v>
      </c>
      <c r="I942" t="str">
        <f>""</f>
        <v/>
      </c>
      <c r="J942" t="str">
        <f t="shared" si="14"/>
        <v>AP15;GPD_4_SLP_S3B;;8.146;17.561;509032;804029;703025;</v>
      </c>
    </row>
    <row r="943" spans="1:10">
      <c r="A943" t="s">
        <v>1119</v>
      </c>
      <c r="B943" t="str">
        <f>_xlfn.XLOOKUP(A943,'Pinlist(S1)'!$Q$4:$Q$1362,'Pinlist(S1)'!$R$4:$R$1362,"")</f>
        <v>INTRUDERB</v>
      </c>
      <c r="C943" t="str" cm="1">
        <f t="array" ref="C943">_xlfn.TEXTJOIN(",",TRUE,_xlfn.UNIQUE(TRANSPOSE(_xlfn.MAP(_xlfn.XLOOKUP(A943,'Pinlist(S1)'!$C$4:$C$1362,'Pinlist(S1)'!$F$4:$K$1362,""),_xlfn.LAMBDA(_xlpm.x,IF(_xlpm.x&lt;&gt;"",TRIM(CLEAN(LEFT(_xlpm.x,FIND(".",_xlpm.x &amp; ".")-1))),""))))))</f>
        <v>KA145</v>
      </c>
      <c r="D943">
        <v>9.0609999999999999</v>
      </c>
      <c r="E943">
        <v>17.561</v>
      </c>
      <c r="F943" t="str">
        <f>_xlfn.LET(_xlpm.raw,_xlfn.XLOOKUP(A943,'Pinlist(S1)'!$C$4:$C$1362,'Pinlist(S1)'!$E$4:$E$1362,""),_xlpm.cleanRaw,SUBSTITUTE(SUBSTITUTE(_xlpm.raw,"_PIN","."),"PIN","."),_xlpm.mainPart,MID(_xlpm.cleanRaw,2,FIND(".",_xlpm.cleanRaw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508051</v>
      </c>
      <c r="G943" t="str">
        <f>_xlfn.LET(_xlpm.raw,_xlfn.XLOOKUP(A943,'Pinlist(S3)'!$C$4:$C$1362,'Pinlist(S3)'!$E$4:$E$1362,""),_xlpm.cleanRaw,SUBSTITUTE(SUBSTITUTE(_xlpm.raw,"_PIN","."),"PIN","."),_xlpm.mainPart,MID(_xlpm.cleanRaw,2,FIND(".",_xlpm.cleanRaw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943" t="str">
        <f>_xlfn.LET(_xlpm.raw,_xlfn.XLOOKUP(A943,'Pinlist(S5)'!$C$4:$C$1362,'Pinlist(S5)'!$E$4:$E$1362,""),_xlpm.cleanRaw,SUBSTITUTE(SUBSTITUTE(_xlpm.raw,"_PIN","."),"PIN","."),_xlpm.mainPart,MID(_xlpm.cleanRaw,2,FIND(".",_xlpm.cleanRaw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703035</v>
      </c>
      <c r="I943" t="str">
        <f>""</f>
        <v/>
      </c>
      <c r="J943" t="str">
        <f t="shared" si="14"/>
        <v>AP16;INTRUDERB;KA145;9.061;17.561;508051;805050;703035;</v>
      </c>
    </row>
    <row r="944" spans="1:10">
      <c r="A944" t="s">
        <v>1983</v>
      </c>
      <c r="B944" t="str">
        <f>_xlfn.XLOOKUP(A944,'Pinlist(S1)'!$Q$4:$Q$1362,'Pinlist(S1)'!$R$4:$R$1362,"")</f>
        <v>VSS</v>
      </c>
      <c r="C944" t="str" cm="1">
        <f t="array" ref="C944">_xlfn.TEXTJOIN(",",TRUE,_xlfn.UNIQUE(TRANSPOSE(_xlfn.MAP(_xlfn.XLOOKUP(A944,'Pinlist(S1)'!$C$4:$C$1362,'Pinlist(S1)'!$F$4:$K$1362,""),_xlfn.LAMBDA(_xlpm.x,IF(_xlpm.x&lt;&gt;"",TRIM(CLEAN(LEFT(_xlpm.x,FIND(".",_xlpm.x &amp; ".")-1))),""))))))</f>
        <v/>
      </c>
      <c r="D944">
        <v>9.9749999999999996</v>
      </c>
      <c r="E944">
        <v>17.561</v>
      </c>
      <c r="F944" t="str">
        <f>_xlfn.LET(_xlpm.raw,_xlfn.XLOOKUP(A944,'Pinlist(S1)'!$C$4:$C$1362,'Pinlist(S1)'!$E$4:$E$1362,""),_xlpm.cleanRaw,SUBSTITUTE(SUBSTITUTE(_xlpm.raw,"_PIN","."),"PIN","."),_xlpm.mainPart,MID(_xlpm.cleanRaw,2,FIND(".",_xlpm.cleanRaw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4" t="str">
        <f>_xlfn.LET(_xlpm.raw,_xlfn.XLOOKUP(A944,'Pinlist(S3)'!$C$4:$C$1362,'Pinlist(S3)'!$E$4:$E$1362,""),_xlpm.cleanRaw,SUBSTITUTE(SUBSTITUTE(_xlpm.raw,"_PIN","."),"PIN","."),_xlpm.mainPart,MID(_xlpm.cleanRaw,2,FIND(".",_xlpm.cleanRaw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4" t="str">
        <f>_xlfn.LET(_xlpm.raw,_xlfn.XLOOKUP(A944,'Pinlist(S5)'!$C$4:$C$1362,'Pinlist(S5)'!$E$4:$E$1362,""),_xlpm.cleanRaw,SUBSTITUTE(SUBSTITUTE(_xlpm.raw,"_PIN","."),"PIN","."),_xlpm.mainPart,MID(_xlpm.cleanRaw,2,FIND(".",_xlpm.cleanRaw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4" t="str">
        <f>""</f>
        <v/>
      </c>
      <c r="J944" t="str">
        <f t="shared" si="14"/>
        <v>AP18;VSS;;9.975;17.561;;;;</v>
      </c>
    </row>
    <row r="945" spans="1:10">
      <c r="A945" t="s">
        <v>1984</v>
      </c>
      <c r="B945" t="str">
        <f>_xlfn.XLOOKUP(A945,'Pinlist(S1)'!$Q$4:$Q$1362,'Pinlist(S1)'!$R$4:$R$1362,"")</f>
        <v>VSS</v>
      </c>
      <c r="C945" t="str" cm="1">
        <f t="array" ref="C945">_xlfn.TEXTJOIN(",",TRUE,_xlfn.UNIQUE(TRANSPOSE(_xlfn.MAP(_xlfn.XLOOKUP(A945,'Pinlist(S1)'!$C$4:$C$1362,'Pinlist(S1)'!$F$4:$K$1362,""),_xlfn.LAMBDA(_xlpm.x,IF(_xlpm.x&lt;&gt;"",TRIM(CLEAN(LEFT(_xlpm.x,FIND(".",_xlpm.x &amp; ".")-1))),""))))))</f>
        <v/>
      </c>
      <c r="D945">
        <v>10.89</v>
      </c>
      <c r="E945">
        <v>17.561</v>
      </c>
      <c r="F945" t="str">
        <f>_xlfn.LET(_xlpm.raw,_xlfn.XLOOKUP(A945,'Pinlist(S1)'!$C$4:$C$1362,'Pinlist(S1)'!$E$4:$E$1362,""),_xlpm.cleanRaw,SUBSTITUTE(SUBSTITUTE(_xlpm.raw,"_PIN","."),"PIN","."),_xlpm.mainPart,MID(_xlpm.cleanRaw,2,FIND(".",_xlpm.cleanRaw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5" t="str">
        <f>_xlfn.LET(_xlpm.raw,_xlfn.XLOOKUP(A945,'Pinlist(S3)'!$C$4:$C$1362,'Pinlist(S3)'!$E$4:$E$1362,""),_xlpm.cleanRaw,SUBSTITUTE(SUBSTITUTE(_xlpm.raw,"_PIN","."),"PIN","."),_xlpm.mainPart,MID(_xlpm.cleanRaw,2,FIND(".",_xlpm.cleanRaw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5" t="str">
        <f>_xlfn.LET(_xlpm.raw,_xlfn.XLOOKUP(A945,'Pinlist(S5)'!$C$4:$C$1362,'Pinlist(S5)'!$E$4:$E$1362,""),_xlpm.cleanRaw,SUBSTITUTE(SUBSTITUTE(_xlpm.raw,"_PIN","."),"PIN","."),_xlpm.mainPart,MID(_xlpm.cleanRaw,2,FIND(".",_xlpm.cleanRaw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5" t="str">
        <f>""</f>
        <v/>
      </c>
      <c r="J945" t="str">
        <f t="shared" si="14"/>
        <v>AP20;VSS;;10.89;17.561;;;;</v>
      </c>
    </row>
    <row r="946" spans="1:10">
      <c r="A946" t="s">
        <v>640</v>
      </c>
      <c r="B946" t="str">
        <f>_xlfn.XLOOKUP(A946,'Pinlist(S1)'!$Q$4:$Q$1362,'Pinlist(S1)'!$R$4:$R$1362,"")</f>
        <v>DDRDQ_IL17_NIL17[6]</v>
      </c>
      <c r="C946" t="str" cm="1">
        <f t="array" ref="C946">_xlfn.TEXTJOIN(",",TRUE,_xlfn.UNIQUE(TRANSPOSE(_xlfn.MAP(_xlfn.XLOOKUP(A946,'Pinlist(S1)'!$C$4:$C$1362,'Pinlist(S1)'!$F$4:$K$1362,""),_xlfn.LAMBDA(_xlpm.x,IF(_xlpm.x&lt;&gt;"",TRIM(CLEAN(LEFT(_xlpm.x,FIND(".",_xlpm.x &amp; ".")-1))),""))))))</f>
        <v/>
      </c>
      <c r="D946">
        <v>11.804</v>
      </c>
      <c r="E946">
        <v>17.561</v>
      </c>
      <c r="F946" t="str">
        <f>_xlfn.LET(_xlpm.raw,_xlfn.XLOOKUP(A946,'Pinlist(S1)'!$C$4:$C$1362,'Pinlist(S1)'!$E$4:$E$1362,""),_xlpm.cleanRaw,SUBSTITUTE(SUBSTITUTE(_xlpm.raw,"_PIN","."),"PIN","."),_xlpm.mainPart,MID(_xlpm.cleanRaw,2,FIND(".",_xlpm.cleanRaw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609090</v>
      </c>
      <c r="G946" t="str">
        <f>_xlfn.LET(_xlpm.raw,_xlfn.XLOOKUP(A946,'Pinlist(S3)'!$C$4:$C$1362,'Pinlist(S3)'!$E$4:$E$1362,""),_xlpm.cleanRaw,SUBSTITUTE(SUBSTITUTE(_xlpm.raw,"_PIN","."),"PIN","."),_xlpm.mainPart,MID(_xlpm.cleanRaw,2,FIND(".",_xlpm.cleanRaw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803092</v>
      </c>
      <c r="H946" t="str">
        <f>_xlfn.LET(_xlpm.raw,_xlfn.XLOOKUP(A946,'Pinlist(S5)'!$C$4:$C$1362,'Pinlist(S5)'!$E$4:$E$1362,""),_xlpm.cleanRaw,SUBSTITUTE(SUBSTITUTE(_xlpm.raw,"_PIN","."),"PIN","."),_xlpm.mainPart,MID(_xlpm.cleanRaw,2,FIND(".",_xlpm.cleanRaw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704092</v>
      </c>
      <c r="I946" t="str">
        <f>""</f>
        <v/>
      </c>
      <c r="J946" t="str">
        <f t="shared" si="14"/>
        <v>AP21;DDRDQ_IL17_NIL17[6];;11.804;17.561;609090;803092;704092;</v>
      </c>
    </row>
    <row r="947" spans="1:10">
      <c r="A947" t="s">
        <v>638</v>
      </c>
      <c r="B947" t="str">
        <f>_xlfn.XLOOKUP(A947,'Pinlist(S1)'!$Q$4:$Q$1362,'Pinlist(S1)'!$R$4:$R$1362,"")</f>
        <v>DDRDQ_IL17_NIL17[5]</v>
      </c>
      <c r="C947" t="str" cm="1">
        <f t="array" ref="C947">_xlfn.TEXTJOIN(",",TRUE,_xlfn.UNIQUE(TRANSPOSE(_xlfn.MAP(_xlfn.XLOOKUP(A947,'Pinlist(S1)'!$C$4:$C$1362,'Pinlist(S1)'!$F$4:$K$1362,""),_xlfn.LAMBDA(_xlpm.x,IF(_xlpm.x&lt;&gt;"",TRIM(CLEAN(LEFT(_xlpm.x,FIND(".",_xlpm.x &amp; ".")-1))),""))))))</f>
        <v/>
      </c>
      <c r="D947">
        <v>12.718</v>
      </c>
      <c r="E947">
        <v>17.561</v>
      </c>
      <c r="F947" t="str">
        <f>_xlfn.LET(_xlpm.raw,_xlfn.XLOOKUP(A947,'Pinlist(S1)'!$C$4:$C$1362,'Pinlist(S1)'!$E$4:$E$1362,""),_xlpm.cleanRaw,SUBSTITUTE(SUBSTITUTE(_xlpm.raw,"_PIN","."),"PIN","."),_xlpm.mainPart,MID(_xlpm.cleanRaw,2,FIND(".",_xlpm.cleanRaw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609125</v>
      </c>
      <c r="G947" t="str">
        <f>_xlfn.LET(_xlpm.raw,_xlfn.XLOOKUP(A947,'Pinlist(S3)'!$C$4:$C$1362,'Pinlist(S3)'!$E$4:$E$1362,""),_xlpm.cleanRaw,SUBSTITUTE(SUBSTITUTE(_xlpm.raw,"_PIN","."),"PIN","."),_xlpm.mainPart,MID(_xlpm.cleanRaw,2,FIND(".",_xlpm.cleanRaw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803100</v>
      </c>
      <c r="H947" t="str">
        <f>_xlfn.LET(_xlpm.raw,_xlfn.XLOOKUP(A947,'Pinlist(S5)'!$C$4:$C$1362,'Pinlist(S5)'!$E$4:$E$1362,""),_xlpm.cleanRaw,SUBSTITUTE(SUBSTITUTE(_xlpm.raw,"_PIN","."),"PIN","."),_xlpm.mainPart,MID(_xlpm.cleanRaw,2,FIND(".",_xlpm.cleanRaw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704100</v>
      </c>
      <c r="I947" t="str">
        <f>""</f>
        <v/>
      </c>
      <c r="J947" t="str">
        <f t="shared" si="14"/>
        <v>AP22;DDRDQ_IL17_NIL17[5];;12.718;17.561;609125;803100;704100;</v>
      </c>
    </row>
    <row r="948" spans="1:10">
      <c r="A948" t="s">
        <v>1985</v>
      </c>
      <c r="B948" t="str">
        <f>_xlfn.XLOOKUP(A948,'Pinlist(S1)'!$Q$4:$Q$1362,'Pinlist(S1)'!$R$4:$R$1362,"")</f>
        <v>VSS</v>
      </c>
      <c r="C948" t="str" cm="1">
        <f t="array" ref="C948">_xlfn.TEXTJOIN(",",TRUE,_xlfn.UNIQUE(TRANSPOSE(_xlfn.MAP(_xlfn.XLOOKUP(A948,'Pinlist(S1)'!$C$4:$C$1362,'Pinlist(S1)'!$F$4:$K$1362,""),_xlfn.LAMBDA(_xlpm.x,IF(_xlpm.x&lt;&gt;"",TRIM(CLEAN(LEFT(_xlpm.x,FIND(".",_xlpm.x &amp; ".")-1))),""))))))</f>
        <v/>
      </c>
      <c r="D948">
        <v>13.632999999999999</v>
      </c>
      <c r="E948">
        <v>17.561</v>
      </c>
      <c r="F948" t="str">
        <f>_xlfn.LET(_xlpm.raw,_xlfn.XLOOKUP(A948,'Pinlist(S1)'!$C$4:$C$1362,'Pinlist(S1)'!$E$4:$E$1362,""),_xlpm.cleanRaw,SUBSTITUTE(SUBSTITUTE(_xlpm.raw,"_PIN","."),"PIN","."),_xlpm.mainPart,MID(_xlpm.cleanRaw,2,FIND(".",_xlpm.cleanRaw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8" t="str">
        <f>_xlfn.LET(_xlpm.raw,_xlfn.XLOOKUP(A948,'Pinlist(S3)'!$C$4:$C$1362,'Pinlist(S3)'!$E$4:$E$1362,""),_xlpm.cleanRaw,SUBSTITUTE(SUBSTITUTE(_xlpm.raw,"_PIN","."),"PIN","."),_xlpm.mainPart,MID(_xlpm.cleanRaw,2,FIND(".",_xlpm.cleanRaw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8" t="str">
        <f>_xlfn.LET(_xlpm.raw,_xlfn.XLOOKUP(A948,'Pinlist(S5)'!$C$4:$C$1362,'Pinlist(S5)'!$E$4:$E$1362,""),_xlpm.cleanRaw,SUBSTITUTE(SUBSTITUTE(_xlpm.raw,"_PIN","."),"PIN","."),_xlpm.mainPart,MID(_xlpm.cleanRaw,2,FIND(".",_xlpm.cleanRaw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8" t="str">
        <f>""</f>
        <v/>
      </c>
      <c r="J948" t="str">
        <f t="shared" si="14"/>
        <v>AP23;VSS;;13.633;17.561;;;;</v>
      </c>
    </row>
    <row r="949" spans="1:10">
      <c r="A949" t="s">
        <v>626</v>
      </c>
      <c r="B949" t="str">
        <f>_xlfn.XLOOKUP(A949,'Pinlist(S1)'!$Q$4:$Q$1362,'Pinlist(S1)'!$R$4:$R$1362,"")</f>
        <v>DDRDQ_IL16_NIL16[7]</v>
      </c>
      <c r="C949" t="str" cm="1">
        <f t="array" ref="C949">_xlfn.TEXTJOIN(",",TRUE,_xlfn.UNIQUE(TRANSPOSE(_xlfn.MAP(_xlfn.XLOOKUP(A949,'Pinlist(S1)'!$C$4:$C$1362,'Pinlist(S1)'!$F$4:$K$1362,""),_xlfn.LAMBDA(_xlpm.x,IF(_xlpm.x&lt;&gt;"",TRIM(CLEAN(LEFT(_xlpm.x,FIND(".",_xlpm.x &amp; ".")-1))),""))))))</f>
        <v/>
      </c>
      <c r="D949">
        <v>14.547000000000001</v>
      </c>
      <c r="E949">
        <v>17.561</v>
      </c>
      <c r="F949" t="str">
        <f>_xlfn.LET(_xlpm.raw,_xlfn.XLOOKUP(A949,'Pinlist(S1)'!$C$4:$C$1362,'Pinlist(S1)'!$E$4:$E$1362,""),_xlpm.cleanRaw,SUBSTITUTE(SUBSTITUTE(_xlpm.raw,"_PIN","."),"PIN","."),_xlpm.mainPart,MID(_xlpm.cleanRaw,2,FIND(".",_xlpm.cleanRaw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609104</v>
      </c>
      <c r="G949" t="str">
        <f>_xlfn.LET(_xlpm.raw,_xlfn.XLOOKUP(A949,'Pinlist(S3)'!$C$4:$C$1362,'Pinlist(S3)'!$E$4:$E$1362,""),_xlpm.cleanRaw,SUBSTITUTE(SUBSTITUTE(_xlpm.raw,"_PIN","."),"PIN","."),_xlpm.mainPart,MID(_xlpm.cleanRaw,2,FIND(".",_xlpm.cleanRaw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803102</v>
      </c>
      <c r="H949" t="str">
        <f>_xlfn.LET(_xlpm.raw,_xlfn.XLOOKUP(A949,'Pinlist(S5)'!$C$4:$C$1362,'Pinlist(S5)'!$E$4:$E$1362,""),_xlpm.cleanRaw,SUBSTITUTE(SUBSTITUTE(_xlpm.raw,"_PIN","."),"PIN","."),_xlpm.mainPart,MID(_xlpm.cleanRaw,2,FIND(".",_xlpm.cleanRaw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704104</v>
      </c>
      <c r="I949" t="str">
        <f>""</f>
        <v/>
      </c>
      <c r="J949" t="str">
        <f t="shared" si="14"/>
        <v>AP25;DDRDQ_IL16_NIL16[7];;14.547;17.561;609104;803102;704104;</v>
      </c>
    </row>
    <row r="950" spans="1:10">
      <c r="A950" t="s">
        <v>620</v>
      </c>
      <c r="B950" t="str">
        <f>_xlfn.XLOOKUP(A950,'Pinlist(S1)'!$Q$4:$Q$1362,'Pinlist(S1)'!$R$4:$R$1362,"")</f>
        <v>DDRDQ_IL16_NIL16[4]</v>
      </c>
      <c r="C950" t="str" cm="1">
        <f t="array" ref="C950">_xlfn.TEXTJOIN(",",TRUE,_xlfn.UNIQUE(TRANSPOSE(_xlfn.MAP(_xlfn.XLOOKUP(A950,'Pinlist(S1)'!$C$4:$C$1362,'Pinlist(S1)'!$F$4:$K$1362,""),_xlfn.LAMBDA(_xlpm.x,IF(_xlpm.x&lt;&gt;"",TRIM(CLEAN(LEFT(_xlpm.x,FIND(".",_xlpm.x &amp; ".")-1))),""))))))</f>
        <v/>
      </c>
      <c r="D950">
        <v>15.462</v>
      </c>
      <c r="E950">
        <v>17.561</v>
      </c>
      <c r="F950" t="str">
        <f>_xlfn.LET(_xlpm.raw,_xlfn.XLOOKUP(A950,'Pinlist(S1)'!$C$4:$C$1362,'Pinlist(S1)'!$E$4:$E$1362,""),_xlpm.cleanRaw,SUBSTITUTE(SUBSTITUTE(_xlpm.raw,"_PIN","."),"PIN","."),_xlpm.mainPart,MID(_xlpm.cleanRaw,2,FIND(".",_xlpm.cleanRaw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609121</v>
      </c>
      <c r="G950" t="str">
        <f>_xlfn.LET(_xlpm.raw,_xlfn.XLOOKUP(A950,'Pinlist(S3)'!$C$4:$C$1362,'Pinlist(S3)'!$E$4:$E$1362,""),_xlpm.cleanRaw,SUBSTITUTE(SUBSTITUTE(_xlpm.raw,"_PIN","."),"PIN","."),_xlpm.mainPart,MID(_xlpm.cleanRaw,2,FIND(".",_xlpm.cleanRaw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803121</v>
      </c>
      <c r="H950" t="str">
        <f>_xlfn.LET(_xlpm.raw,_xlfn.XLOOKUP(A950,'Pinlist(S5)'!$C$4:$C$1362,'Pinlist(S5)'!$E$4:$E$1362,""),_xlpm.cleanRaw,SUBSTITUTE(SUBSTITUTE(_xlpm.raw,"_PIN","."),"PIN","."),_xlpm.mainPart,MID(_xlpm.cleanRaw,2,FIND(".",_xlpm.cleanRaw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704121</v>
      </c>
      <c r="I950" t="str">
        <f>""</f>
        <v/>
      </c>
      <c r="J950" t="str">
        <f t="shared" si="14"/>
        <v>AP27;DDRDQ_IL16_NIL16[4];;15.462;17.561;609121;803121;704121;</v>
      </c>
    </row>
    <row r="951" spans="1:10">
      <c r="A951" t="s">
        <v>1986</v>
      </c>
      <c r="B951" t="str">
        <f>_xlfn.XLOOKUP(A951,'Pinlist(S1)'!$Q$4:$Q$1362,'Pinlist(S1)'!$R$4:$R$1362,"")</f>
        <v>VSS</v>
      </c>
      <c r="C951" t="str" cm="1">
        <f t="array" ref="C951">_xlfn.TEXTJOIN(",",TRUE,_xlfn.UNIQUE(TRANSPOSE(_xlfn.MAP(_xlfn.XLOOKUP(A951,'Pinlist(S1)'!$C$4:$C$1362,'Pinlist(S1)'!$F$4:$K$1362,""),_xlfn.LAMBDA(_xlpm.x,IF(_xlpm.x&lt;&gt;"",TRIM(CLEAN(LEFT(_xlpm.x,FIND(".",_xlpm.x &amp; ".")-1))),""))))))</f>
        <v/>
      </c>
      <c r="D951">
        <v>16.376000000000001</v>
      </c>
      <c r="E951">
        <v>17.561</v>
      </c>
      <c r="F951" t="str">
        <f>_xlfn.LET(_xlpm.raw,_xlfn.XLOOKUP(A951,'Pinlist(S1)'!$C$4:$C$1362,'Pinlist(S1)'!$E$4:$E$1362,""),_xlpm.cleanRaw,SUBSTITUTE(SUBSTITUTE(_xlpm.raw,"_PIN","."),"PIN","."),_xlpm.mainPart,MID(_xlpm.cleanRaw,2,FIND(".",_xlpm.cleanRaw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1" t="str">
        <f>_xlfn.LET(_xlpm.raw,_xlfn.XLOOKUP(A951,'Pinlist(S3)'!$C$4:$C$1362,'Pinlist(S3)'!$E$4:$E$1362,""),_xlpm.cleanRaw,SUBSTITUTE(SUBSTITUTE(_xlpm.raw,"_PIN","."),"PIN","."),_xlpm.mainPart,MID(_xlpm.cleanRaw,2,FIND(".",_xlpm.cleanRaw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1" t="str">
        <f>_xlfn.LET(_xlpm.raw,_xlfn.XLOOKUP(A951,'Pinlist(S5)'!$C$4:$C$1362,'Pinlist(S5)'!$E$4:$E$1362,""),_xlpm.cleanRaw,SUBSTITUTE(SUBSTITUTE(_xlpm.raw,"_PIN","."),"PIN","."),_xlpm.mainPart,MID(_xlpm.cleanRaw,2,FIND(".",_xlpm.cleanRaw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1" t="str">
        <f>""</f>
        <v/>
      </c>
      <c r="J951" t="str">
        <f t="shared" si="14"/>
        <v>AP28;VSS;;16.376;17.561;;;;</v>
      </c>
    </row>
    <row r="952" spans="1:10">
      <c r="A952" t="s">
        <v>610</v>
      </c>
      <c r="B952" t="str">
        <f>_xlfn.XLOOKUP(A952,'Pinlist(S1)'!$Q$4:$Q$1362,'Pinlist(S1)'!$R$4:$R$1362,"")</f>
        <v>DDRDQ_IL15_NIL13[7]</v>
      </c>
      <c r="C952" t="str" cm="1">
        <f t="array" ref="C952">_xlfn.TEXTJOIN(",",TRUE,_xlfn.UNIQUE(TRANSPOSE(_xlfn.MAP(_xlfn.XLOOKUP(A952,'Pinlist(S1)'!$C$4:$C$1362,'Pinlist(S1)'!$F$4:$K$1362,""),_xlfn.LAMBDA(_xlpm.x,IF(_xlpm.x&lt;&gt;"",TRIM(CLEAN(LEFT(_xlpm.x,FIND(".",_xlpm.x &amp; ".")-1))),""))))))</f>
        <v/>
      </c>
      <c r="D952">
        <v>17.29</v>
      </c>
      <c r="E952">
        <v>17.561</v>
      </c>
      <c r="F952" t="str">
        <f>_xlfn.LET(_xlpm.raw,_xlfn.XLOOKUP(A952,'Pinlist(S1)'!$C$4:$C$1362,'Pinlist(S1)'!$E$4:$E$1362,""),_xlpm.cleanRaw,SUBSTITUTE(SUBSTITUTE(_xlpm.raw,"_PIN","."),"PIN","."),_xlpm.mainPart,MID(_xlpm.cleanRaw,2,FIND(".",_xlpm.cleanRaw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609127</v>
      </c>
      <c r="G952" t="str">
        <f>_xlfn.LET(_xlpm.raw,_xlfn.XLOOKUP(A952,'Pinlist(S3)'!$C$4:$C$1362,'Pinlist(S3)'!$E$4:$E$1362,""),_xlpm.cleanRaw,SUBSTITUTE(SUBSTITUTE(_xlpm.raw,"_PIN","."),"PIN","."),_xlpm.mainPart,MID(_xlpm.cleanRaw,2,FIND(".",_xlpm.cleanRaw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803127</v>
      </c>
      <c r="H952" t="str">
        <f>_xlfn.LET(_xlpm.raw,_xlfn.XLOOKUP(A952,'Pinlist(S5)'!$C$4:$C$1362,'Pinlist(S5)'!$E$4:$E$1362,""),_xlpm.cleanRaw,SUBSTITUTE(SUBSTITUTE(_xlpm.raw,"_PIN","."),"PIN","."),_xlpm.mainPart,MID(_xlpm.cleanRaw,2,FIND(".",_xlpm.cleanRaw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704127</v>
      </c>
      <c r="I952" t="str">
        <f>""</f>
        <v/>
      </c>
      <c r="J952" t="str">
        <f t="shared" si="14"/>
        <v>AP30;DDRDQ_IL15_NIL13[7];;17.29;17.561;609127;803127;704127;</v>
      </c>
    </row>
    <row r="953" spans="1:10">
      <c r="A953" t="s">
        <v>1987</v>
      </c>
      <c r="B953" t="str">
        <f>_xlfn.XLOOKUP(A953,'Pinlist(S1)'!$Q$4:$Q$1362,'Pinlist(S1)'!$R$4:$R$1362,"")</f>
        <v>VSS</v>
      </c>
      <c r="C953" t="str" cm="1">
        <f t="array" ref="C953">_xlfn.TEXTJOIN(",",TRUE,_xlfn.UNIQUE(TRANSPOSE(_xlfn.MAP(_xlfn.XLOOKUP(A953,'Pinlist(S1)'!$C$4:$C$1362,'Pinlist(S1)'!$F$4:$K$1362,""),_xlfn.LAMBDA(_xlpm.x,IF(_xlpm.x&lt;&gt;"",TRIM(CLEAN(LEFT(_xlpm.x,FIND(".",_xlpm.x &amp; ".")-1))),""))))))</f>
        <v/>
      </c>
      <c r="D953">
        <v>18.204999999999998</v>
      </c>
      <c r="E953">
        <v>17.561</v>
      </c>
      <c r="F953" t="str">
        <f>_xlfn.LET(_xlpm.raw,_xlfn.XLOOKUP(A953,'Pinlist(S1)'!$C$4:$C$1362,'Pinlist(S1)'!$E$4:$E$1362,""),_xlpm.cleanRaw,SUBSTITUTE(SUBSTITUTE(_xlpm.raw,"_PIN","."),"PIN","."),_xlpm.mainPart,MID(_xlpm.cleanRaw,2,FIND(".",_xlpm.cleanRaw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3" t="str">
        <f>_xlfn.LET(_xlpm.raw,_xlfn.XLOOKUP(A953,'Pinlist(S3)'!$C$4:$C$1362,'Pinlist(S3)'!$E$4:$E$1362,""),_xlpm.cleanRaw,SUBSTITUTE(SUBSTITUTE(_xlpm.raw,"_PIN","."),"PIN","."),_xlpm.mainPart,MID(_xlpm.cleanRaw,2,FIND(".",_xlpm.cleanRaw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3" t="str">
        <f>_xlfn.LET(_xlpm.raw,_xlfn.XLOOKUP(A953,'Pinlist(S5)'!$C$4:$C$1362,'Pinlist(S5)'!$E$4:$E$1362,""),_xlpm.cleanRaw,SUBSTITUTE(SUBSTITUTE(_xlpm.raw,"_PIN","."),"PIN","."),_xlpm.mainPart,MID(_xlpm.cleanRaw,2,FIND(".",_xlpm.cleanRaw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3" t="str">
        <f>""</f>
        <v/>
      </c>
      <c r="J953" t="str">
        <f t="shared" si="14"/>
        <v>AP32;VSS;;18.205;17.561;;;;</v>
      </c>
    </row>
    <row r="954" spans="1:10">
      <c r="A954" t="s">
        <v>606</v>
      </c>
      <c r="B954" t="str">
        <f>_xlfn.XLOOKUP(A954,'Pinlist(S1)'!$Q$4:$Q$1362,'Pinlist(S1)'!$R$4:$R$1362,"")</f>
        <v>DDRDQ_IL15_NIL13[5]</v>
      </c>
      <c r="C954" t="str" cm="1">
        <f t="array" ref="C954">_xlfn.TEXTJOIN(",",TRUE,_xlfn.UNIQUE(TRANSPOSE(_xlfn.MAP(_xlfn.XLOOKUP(A954,'Pinlist(S1)'!$C$4:$C$1362,'Pinlist(S1)'!$F$4:$K$1362,""),_xlfn.LAMBDA(_xlpm.x,IF(_xlpm.x&lt;&gt;"",TRIM(CLEAN(LEFT(_xlpm.x,FIND(".",_xlpm.x &amp; ".")-1))),""))))))</f>
        <v/>
      </c>
      <c r="D954">
        <v>19.119</v>
      </c>
      <c r="E954">
        <v>17.561</v>
      </c>
      <c r="F954" t="str">
        <f>_xlfn.LET(_xlpm.raw,_xlfn.XLOOKUP(A954,'Pinlist(S1)'!$C$4:$C$1362,'Pinlist(S1)'!$E$4:$E$1362,""),_xlpm.cleanRaw,SUBSTITUTE(SUBSTITUTE(_xlpm.raw,"_PIN","."),"PIN","."),_xlpm.mainPart,MID(_xlpm.cleanRaw,2,FIND(".",_xlpm.cleanRaw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608083</v>
      </c>
      <c r="G954" t="str">
        <f>_xlfn.LET(_xlpm.raw,_xlfn.XLOOKUP(A954,'Pinlist(S3)'!$C$4:$C$1362,'Pinlist(S3)'!$E$4:$E$1362,""),_xlpm.cleanRaw,SUBSTITUTE(SUBSTITUTE(_xlpm.raw,"_PIN","."),"PIN","."),_xlpm.mainPart,MID(_xlpm.cleanRaw,2,FIND(".",_xlpm.cleanRaw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802083</v>
      </c>
      <c r="H954" t="str">
        <f>_xlfn.LET(_xlpm.raw,_xlfn.XLOOKUP(A954,'Pinlist(S5)'!$C$4:$C$1362,'Pinlist(S5)'!$E$4:$E$1362,""),_xlpm.cleanRaw,SUBSTITUTE(SUBSTITUTE(_xlpm.raw,"_PIN","."),"PIN","."),_xlpm.mainPart,MID(_xlpm.cleanRaw,2,FIND(".",_xlpm.cleanRaw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705083</v>
      </c>
      <c r="I954" t="str">
        <f>""</f>
        <v/>
      </c>
      <c r="J954" t="str">
        <f t="shared" si="14"/>
        <v>AP33;DDRDQ_IL15_NIL13[5];;19.119;17.561;608083;802083;705083;</v>
      </c>
    </row>
    <row r="955" spans="1:10">
      <c r="A955" t="s">
        <v>1988</v>
      </c>
      <c r="B955" t="str">
        <f>_xlfn.XLOOKUP(A955,'Pinlist(S1)'!$Q$4:$Q$1362,'Pinlist(S1)'!$R$4:$R$1362,"")</f>
        <v>VSS</v>
      </c>
      <c r="C955" t="str" cm="1">
        <f t="array" ref="C955">_xlfn.TEXTJOIN(",",TRUE,_xlfn.UNIQUE(TRANSPOSE(_xlfn.MAP(_xlfn.XLOOKUP(A955,'Pinlist(S1)'!$C$4:$C$1362,'Pinlist(S1)'!$F$4:$K$1362,""),_xlfn.LAMBDA(_xlpm.x,IF(_xlpm.x&lt;&gt;"",TRIM(CLEAN(LEFT(_xlpm.x,FIND(".",_xlpm.x &amp; ".")-1))),""))))))</f>
        <v/>
      </c>
      <c r="D955">
        <v>20.033999999999999</v>
      </c>
      <c r="E955">
        <v>17.561</v>
      </c>
      <c r="F955" t="str">
        <f>_xlfn.LET(_xlpm.raw,_xlfn.XLOOKUP(A955,'Pinlist(S1)'!$C$4:$C$1362,'Pinlist(S1)'!$E$4:$E$1362,""),_xlpm.cleanRaw,SUBSTITUTE(SUBSTITUTE(_xlpm.raw,"_PIN","."),"PIN","."),_xlpm.mainPart,MID(_xlpm.cleanRaw,2,FIND(".",_xlpm.cleanRaw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5" t="str">
        <f>_xlfn.LET(_xlpm.raw,_xlfn.XLOOKUP(A955,'Pinlist(S3)'!$C$4:$C$1362,'Pinlist(S3)'!$E$4:$E$1362,""),_xlpm.cleanRaw,SUBSTITUTE(SUBSTITUTE(_xlpm.raw,"_PIN","."),"PIN","."),_xlpm.mainPart,MID(_xlpm.cleanRaw,2,FIND(".",_xlpm.cleanRaw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5" t="str">
        <f>_xlfn.LET(_xlpm.raw,_xlfn.XLOOKUP(A955,'Pinlist(S5)'!$C$4:$C$1362,'Pinlist(S5)'!$E$4:$E$1362,""),_xlpm.cleanRaw,SUBSTITUTE(SUBSTITUTE(_xlpm.raw,"_PIN","."),"PIN","."),_xlpm.mainPart,MID(_xlpm.cleanRaw,2,FIND(".",_xlpm.cleanRaw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5" t="str">
        <f>""</f>
        <v/>
      </c>
      <c r="J955" t="str">
        <f t="shared" si="14"/>
        <v>AP35;VSS;;20.034;17.561;;;;</v>
      </c>
    </row>
    <row r="956" spans="1:10">
      <c r="A956" t="s">
        <v>592</v>
      </c>
      <c r="B956" t="str">
        <f>_xlfn.XLOOKUP(A956,'Pinlist(S1)'!$Q$4:$Q$1362,'Pinlist(S1)'!$R$4:$R$1362,"")</f>
        <v>DDRDQ_IL14_NIL12[6]</v>
      </c>
      <c r="C956" t="str" cm="1">
        <f t="array" ref="C956">_xlfn.TEXTJOIN(",",TRUE,_xlfn.UNIQUE(TRANSPOSE(_xlfn.MAP(_xlfn.XLOOKUP(A956,'Pinlist(S1)'!$C$4:$C$1362,'Pinlist(S1)'!$F$4:$K$1362,""),_xlfn.LAMBDA(_xlpm.x,IF(_xlpm.x&lt;&gt;"",TRIM(CLEAN(LEFT(_xlpm.x,FIND(".",_xlpm.x &amp; ".")-1))),""))))))</f>
        <v/>
      </c>
      <c r="D956">
        <v>20.948</v>
      </c>
      <c r="E956">
        <v>17.561</v>
      </c>
      <c r="F956" t="str">
        <f>_xlfn.LET(_xlpm.raw,_xlfn.XLOOKUP(A956,'Pinlist(S1)'!$C$4:$C$1362,'Pinlist(S1)'!$E$4:$E$1362,""),_xlpm.cleanRaw,SUBSTITUTE(SUBSTITUTE(_xlpm.raw,"_PIN","."),"PIN","."),_xlpm.mainPart,MID(_xlpm.cleanRaw,2,FIND(".",_xlpm.cleanRaw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608053</v>
      </c>
      <c r="G956" t="str">
        <f>_xlfn.LET(_xlpm.raw,_xlfn.XLOOKUP(A956,'Pinlist(S3)'!$C$4:$C$1362,'Pinlist(S3)'!$E$4:$E$1362,""),_xlpm.cleanRaw,SUBSTITUTE(SUBSTITUTE(_xlpm.raw,"_PIN","."),"PIN","."),_xlpm.mainPart,MID(_xlpm.cleanRaw,2,FIND(".",_xlpm.cleanRaw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803125</v>
      </c>
      <c r="H956" t="str">
        <f>_xlfn.LET(_xlpm.raw,_xlfn.XLOOKUP(A956,'Pinlist(S5)'!$C$4:$C$1362,'Pinlist(S5)'!$E$4:$E$1362,""),_xlpm.cleanRaw,SUBSTITUTE(SUBSTITUTE(_xlpm.raw,"_PIN","."),"PIN","."),_xlpm.mainPart,MID(_xlpm.cleanRaw,2,FIND(".",_xlpm.cleanRaw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704125</v>
      </c>
      <c r="I956" t="str">
        <f>""</f>
        <v/>
      </c>
      <c r="J956" t="str">
        <f t="shared" si="14"/>
        <v>AP37;DDRDQ_IL14_NIL12[6];;20.948;17.561;608053;803125;704125;</v>
      </c>
    </row>
    <row r="957" spans="1:10">
      <c r="A957" t="s">
        <v>1989</v>
      </c>
      <c r="B957" t="str">
        <f>_xlfn.XLOOKUP(A957,'Pinlist(S1)'!$Q$4:$Q$1362,'Pinlist(S1)'!$R$4:$R$1362,"")</f>
        <v>VSS</v>
      </c>
      <c r="C957" t="str" cm="1">
        <f t="array" ref="C957">_xlfn.TEXTJOIN(",",TRUE,_xlfn.UNIQUE(TRANSPOSE(_xlfn.MAP(_xlfn.XLOOKUP(A957,'Pinlist(S1)'!$C$4:$C$1362,'Pinlist(S1)'!$F$4:$K$1362,""),_xlfn.LAMBDA(_xlpm.x,IF(_xlpm.x&lt;&gt;"",TRIM(CLEAN(LEFT(_xlpm.x,FIND(".",_xlpm.x &amp; ".")-1))),""))))))</f>
        <v/>
      </c>
      <c r="D957">
        <v>21.861999999999998</v>
      </c>
      <c r="E957">
        <v>17.561</v>
      </c>
      <c r="F957" t="str">
        <f>_xlfn.LET(_xlpm.raw,_xlfn.XLOOKUP(A957,'Pinlist(S1)'!$C$4:$C$1362,'Pinlist(S1)'!$E$4:$E$1362,""),_xlpm.cleanRaw,SUBSTITUTE(SUBSTITUTE(_xlpm.raw,"_PIN","."),"PIN","."),_xlpm.mainPart,MID(_xlpm.cleanRaw,2,FIND(".",_xlpm.cleanRaw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7" t="str">
        <f>_xlfn.LET(_xlpm.raw,_xlfn.XLOOKUP(A957,'Pinlist(S3)'!$C$4:$C$1362,'Pinlist(S3)'!$E$4:$E$1362,""),_xlpm.cleanRaw,SUBSTITUTE(SUBSTITUTE(_xlpm.raw,"_PIN","."),"PIN","."),_xlpm.mainPart,MID(_xlpm.cleanRaw,2,FIND(".",_xlpm.cleanRaw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7" t="str">
        <f>_xlfn.LET(_xlpm.raw,_xlfn.XLOOKUP(A957,'Pinlist(S5)'!$C$4:$C$1362,'Pinlist(S5)'!$E$4:$E$1362,""),_xlpm.cleanRaw,SUBSTITUTE(SUBSTITUTE(_xlpm.raw,"_PIN","."),"PIN","."),_xlpm.mainPart,MID(_xlpm.cleanRaw,2,FIND(".",_xlpm.cleanRaw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7" t="str">
        <f>""</f>
        <v/>
      </c>
      <c r="J957" t="str">
        <f t="shared" si="14"/>
        <v>AP38;VSS;;21.862;17.561;;;;</v>
      </c>
    </row>
    <row r="958" spans="1:10">
      <c r="A958" t="s">
        <v>590</v>
      </c>
      <c r="B958" t="str">
        <f>_xlfn.XLOOKUP(A958,'Pinlist(S1)'!$Q$4:$Q$1362,'Pinlist(S1)'!$R$4:$R$1362,"")</f>
        <v>DDRDQ_IL14_NIL12[5]</v>
      </c>
      <c r="C958" t="str" cm="1">
        <f t="array" ref="C958">_xlfn.TEXTJOIN(",",TRUE,_xlfn.UNIQUE(TRANSPOSE(_xlfn.MAP(_xlfn.XLOOKUP(A958,'Pinlist(S1)'!$C$4:$C$1362,'Pinlist(S1)'!$F$4:$K$1362,""),_xlfn.LAMBDA(_xlpm.x,IF(_xlpm.x&lt;&gt;"",TRIM(CLEAN(LEFT(_xlpm.x,FIND(".",_xlpm.x &amp; ".")-1))),""))))))</f>
        <v/>
      </c>
      <c r="D958">
        <v>22.777000000000001</v>
      </c>
      <c r="E958">
        <v>17.561</v>
      </c>
      <c r="F958" t="str">
        <f>_xlfn.LET(_xlpm.raw,_xlfn.XLOOKUP(A958,'Pinlist(S1)'!$C$4:$C$1362,'Pinlist(S1)'!$E$4:$E$1362,""),_xlpm.cleanRaw,SUBSTITUTE(SUBSTITUTE(_xlpm.raw,"_PIN","."),"PIN","."),_xlpm.mainPart,MID(_xlpm.cleanRaw,2,FIND(".",_xlpm.cleanRaw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607035</v>
      </c>
      <c r="G958" t="str">
        <f>_xlfn.LET(_xlpm.raw,_xlfn.XLOOKUP(A958,'Pinlist(S3)'!$C$4:$C$1362,'Pinlist(S3)'!$E$4:$E$1362,""),_xlpm.cleanRaw,SUBSTITUTE(SUBSTITUTE(_xlpm.raw,"_PIN","."),"PIN","."),_xlpm.mainPart,MID(_xlpm.cleanRaw,2,FIND(".",_xlpm.cleanRaw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801012</v>
      </c>
      <c r="H958" t="str">
        <f>_xlfn.LET(_xlpm.raw,_xlfn.XLOOKUP(A958,'Pinlist(S5)'!$C$4:$C$1362,'Pinlist(S5)'!$E$4:$E$1362,""),_xlpm.cleanRaw,SUBSTITUTE(SUBSTITUTE(_xlpm.raw,"_PIN","."),"PIN","."),_xlpm.mainPart,MID(_xlpm.cleanRaw,2,FIND(".",_xlpm.cleanRaw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706012</v>
      </c>
      <c r="I958" t="str">
        <f>""</f>
        <v/>
      </c>
      <c r="J958" t="str">
        <f t="shared" si="14"/>
        <v>AP40;DDRDQ_IL14_NIL12[5];;22.777;17.561;607035;801012;706012;</v>
      </c>
    </row>
    <row r="959" spans="1:10">
      <c r="A959" t="s">
        <v>1990</v>
      </c>
      <c r="B959" t="str">
        <f>_xlfn.XLOOKUP(A959,'Pinlist(S1)'!$Q$4:$Q$1362,'Pinlist(S1)'!$R$4:$R$1362,"")</f>
        <v>VSS</v>
      </c>
      <c r="C959" t="str" cm="1">
        <f t="array" ref="C959">_xlfn.TEXTJOIN(",",TRUE,_xlfn.UNIQUE(TRANSPOSE(_xlfn.MAP(_xlfn.XLOOKUP(A959,'Pinlist(S1)'!$C$4:$C$1362,'Pinlist(S1)'!$F$4:$K$1362,""),_xlfn.LAMBDA(_xlpm.x,IF(_xlpm.x&lt;&gt;"",TRIM(CLEAN(LEFT(_xlpm.x,FIND(".",_xlpm.x &amp; ".")-1))),""))))))</f>
        <v/>
      </c>
      <c r="D959">
        <v>23.690999999999999</v>
      </c>
      <c r="E959">
        <v>17.561</v>
      </c>
      <c r="F959" t="str">
        <f>_xlfn.LET(_xlpm.raw,_xlfn.XLOOKUP(A959,'Pinlist(S1)'!$C$4:$C$1362,'Pinlist(S1)'!$E$4:$E$1362,""),_xlpm.cleanRaw,SUBSTITUTE(SUBSTITUTE(_xlpm.raw,"_PIN","."),"PIN","."),_xlpm.mainPart,MID(_xlpm.cleanRaw,2,FIND(".",_xlpm.cleanRaw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9" t="str">
        <f>_xlfn.LET(_xlpm.raw,_xlfn.XLOOKUP(A959,'Pinlist(S3)'!$C$4:$C$1362,'Pinlist(S3)'!$E$4:$E$1362,""),_xlpm.cleanRaw,SUBSTITUTE(SUBSTITUTE(_xlpm.raw,"_PIN","."),"PIN","."),_xlpm.mainPart,MID(_xlpm.cleanRaw,2,FIND(".",_xlpm.cleanRaw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9" t="str">
        <f>_xlfn.LET(_xlpm.raw,_xlfn.XLOOKUP(A959,'Pinlist(S5)'!$C$4:$C$1362,'Pinlist(S5)'!$E$4:$E$1362,""),_xlpm.cleanRaw,SUBSTITUTE(SUBSTITUTE(_xlpm.raw,"_PIN","."),"PIN","."),_xlpm.mainPart,MID(_xlpm.cleanRaw,2,FIND(".",_xlpm.cleanRaw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9" t="str">
        <f>""</f>
        <v/>
      </c>
      <c r="J959" t="str">
        <f t="shared" si="14"/>
        <v>AP42;VSS;;23.691;17.561;;;;</v>
      </c>
    </row>
    <row r="960" spans="1:10">
      <c r="A960" t="s">
        <v>382</v>
      </c>
      <c r="B960" t="str">
        <f>_xlfn.XLOOKUP(A960,'Pinlist(S1)'!$Q$4:$Q$1362,'Pinlist(S1)'!$R$4:$R$1362,"")</f>
        <v>DDR1_PARITY</v>
      </c>
      <c r="C960" t="str" cm="1">
        <f t="array" ref="C960">_xlfn.TEXTJOIN(",",TRUE,_xlfn.UNIQUE(TRANSPOSE(_xlfn.MAP(_xlfn.XLOOKUP(A960,'Pinlist(S1)'!$C$4:$C$1362,'Pinlist(S1)'!$F$4:$K$1362,""),_xlfn.LAMBDA(_xlpm.x,IF(_xlpm.x&lt;&gt;"",TRIM(CLEAN(LEFT(_xlpm.x,FIND(".",_xlpm.x &amp; ".")-1))),""))))))</f>
        <v/>
      </c>
      <c r="D960">
        <v>24.606000000000002</v>
      </c>
      <c r="E960">
        <v>17.561</v>
      </c>
      <c r="F960" t="str">
        <f>_xlfn.LET(_xlpm.raw,_xlfn.XLOOKUP(A960,'Pinlist(S1)'!$C$4:$C$1362,'Pinlist(S1)'!$E$4:$E$1362,""),_xlpm.cleanRaw,SUBSTITUTE(SUBSTITUTE(_xlpm.raw,"_PIN","."),"PIN","."),_xlpm.mainPart,MID(_xlpm.cleanRaw,2,FIND(".",_xlpm.cleanRaw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607014</v>
      </c>
      <c r="G960" t="str">
        <f>_xlfn.LET(_xlpm.raw,_xlfn.XLOOKUP(A960,'Pinlist(S3)'!$C$4:$C$1362,'Pinlist(S3)'!$E$4:$E$1362,""),_xlpm.cleanRaw,SUBSTITUTE(SUBSTITUTE(_xlpm.raw,"_PIN","."),"PIN","."),_xlpm.mainPart,MID(_xlpm.cleanRaw,2,FIND(".",_xlpm.cleanRaw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801014</v>
      </c>
      <c r="H960" t="str">
        <f>_xlfn.LET(_xlpm.raw,_xlfn.XLOOKUP(A960,'Pinlist(S5)'!$C$4:$C$1362,'Pinlist(S5)'!$E$4:$E$1362,""),_xlpm.cleanRaw,SUBSTITUTE(SUBSTITUTE(_xlpm.raw,"_PIN","."),"PIN","."),_xlpm.mainPart,MID(_xlpm.cleanRaw,2,FIND(".",_xlpm.cleanRaw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706014</v>
      </c>
      <c r="I960" t="str">
        <f>""</f>
        <v/>
      </c>
      <c r="J960" t="str">
        <f t="shared" si="14"/>
        <v>AP43;DDR1_PARITY;;24.606;17.561;607014;801014;706014;</v>
      </c>
    </row>
    <row r="961" spans="1:10">
      <c r="A961" t="s">
        <v>338</v>
      </c>
      <c r="B961" t="str">
        <f>_xlfn.XLOOKUP(A961,'Pinlist(S1)'!$Q$4:$Q$1362,'Pinlist(S1)'!$R$4:$R$1362,"")</f>
        <v>DDR1_CLK_P[0]</v>
      </c>
      <c r="C961" t="str" cm="1">
        <f t="array" ref="C961">_xlfn.TEXTJOIN(",",TRUE,_xlfn.UNIQUE(TRANSPOSE(_xlfn.MAP(_xlfn.XLOOKUP(A961,'Pinlist(S1)'!$C$4:$C$1362,'Pinlist(S1)'!$F$4:$K$1362,""),_xlfn.LAMBDA(_xlpm.x,IF(_xlpm.x&lt;&gt;"",TRIM(CLEAN(LEFT(_xlpm.x,FIND(".",_xlpm.x &amp; ".")-1))),""))))))</f>
        <v>KA104</v>
      </c>
      <c r="D961">
        <v>25.52</v>
      </c>
      <c r="E961">
        <v>17.561</v>
      </c>
      <c r="F961" t="str">
        <f>_xlfn.LET(_xlpm.raw,_xlfn.XLOOKUP(A961,'Pinlist(S1)'!$C$4:$C$1362,'Pinlist(S1)'!$E$4:$E$1362,""),_xlpm.cleanRaw,SUBSTITUTE(SUBSTITUTE(_xlpm.raw,"_PIN","."),"PIN","."),_xlpm.mainPart,MID(_xlpm.cleanRaw,2,FIND(".",_xlpm.cleanRaw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961" t="str">
        <f>_xlfn.LET(_xlpm.raw,_xlfn.XLOOKUP(A961,'Pinlist(S3)'!$C$4:$C$1362,'Pinlist(S3)'!$E$4:$E$1362,""),_xlpm.cleanRaw,SUBSTITUTE(SUBSTITUTE(_xlpm.raw,"_PIN","."),"PIN","."),_xlpm.mainPart,MID(_xlpm.cleanRaw,2,FIND(".",_xlpm.cleanRaw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961" t="str">
        <f>_xlfn.LET(_xlpm.raw,_xlfn.XLOOKUP(A961,'Pinlist(S5)'!$C$4:$C$1362,'Pinlist(S5)'!$E$4:$E$1362,""),_xlpm.cleanRaw,SUBSTITUTE(SUBSTITUTE(_xlpm.raw,"_PIN","."),"PIN","."),_xlpm.mainPart,MID(_xlpm.cleanRaw,2,FIND(".",_xlpm.cleanRaw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961" t="str">
        <f>""</f>
        <v/>
      </c>
      <c r="J961" t="str">
        <f t="shared" si="14"/>
        <v>AP45;DDR1_CLK_P[0];KA104;25.52;17.561;506022;807021;603106;</v>
      </c>
    </row>
    <row r="962" spans="1:10">
      <c r="A962" t="s">
        <v>340</v>
      </c>
      <c r="B962" t="str">
        <f>_xlfn.XLOOKUP(A962,'Pinlist(S1)'!$Q$4:$Q$1362,'Pinlist(S1)'!$R$4:$R$1362,"")</f>
        <v>DDR1_CLK_P[1]</v>
      </c>
      <c r="C962" t="str" cm="1">
        <f t="array" ref="C962">_xlfn.TEXTJOIN(",",TRUE,_xlfn.UNIQUE(TRANSPOSE(_xlfn.MAP(_xlfn.XLOOKUP(A962,'Pinlist(S1)'!$C$4:$C$1362,'Pinlist(S1)'!$F$4:$K$1362,""),_xlfn.LAMBDA(_xlpm.x,IF(_xlpm.x&lt;&gt;"",TRIM(CLEAN(LEFT(_xlpm.x,FIND(".",_xlpm.x &amp; ".")-1))),""))))))</f>
        <v>KA104</v>
      </c>
      <c r="D962">
        <v>26.434000000000001</v>
      </c>
      <c r="E962">
        <v>17.561</v>
      </c>
      <c r="F962" t="str">
        <f>_xlfn.LET(_xlpm.raw,_xlfn.XLOOKUP(A962,'Pinlist(S1)'!$C$4:$C$1362,'Pinlist(S1)'!$E$4:$E$1362,""),_xlpm.cleanRaw,SUBSTITUTE(SUBSTITUTE(_xlpm.raw,"_PIN","."),"PIN","."),_xlpm.mainPart,MID(_xlpm.cleanRaw,2,FIND(".",_xlpm.cleanRaw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962" t="str">
        <f>_xlfn.LET(_xlpm.raw,_xlfn.XLOOKUP(A962,'Pinlist(S3)'!$C$4:$C$1362,'Pinlist(S3)'!$E$4:$E$1362,""),_xlpm.cleanRaw,SUBSTITUTE(SUBSTITUTE(_xlpm.raw,"_PIN","."),"PIN","."),_xlpm.mainPart,MID(_xlpm.cleanRaw,2,FIND(".",_xlpm.cleanRaw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962" t="str">
        <f>_xlfn.LET(_xlpm.raw,_xlfn.XLOOKUP(A962,'Pinlist(S5)'!$C$4:$C$1362,'Pinlist(S5)'!$E$4:$E$1362,""),_xlpm.cleanRaw,SUBSTITUTE(SUBSTITUTE(_xlpm.raw,"_PIN","."),"PIN","."),_xlpm.mainPart,MID(_xlpm.cleanRaw,2,FIND(".",_xlpm.cleanRaw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962" t="str">
        <f>""</f>
        <v/>
      </c>
      <c r="J962" t="str">
        <f t="shared" ref="J962:J1025" si="15">A962&amp;";"&amp;B962&amp;";"&amp;C962&amp;";"&amp;D962&amp;";"&amp;E962&amp;";"&amp;F962&amp;";"&amp;G962&amp;";"&amp;H962&amp;";"&amp;I962</f>
        <v>AP46;DDR1_CLK_P[1];KA104;26.434;17.561;506025;807022;603086;</v>
      </c>
    </row>
    <row r="963" spans="1:10">
      <c r="A963" t="s">
        <v>372</v>
      </c>
      <c r="B963" t="str">
        <f>_xlfn.XLOOKUP(A963,'Pinlist(S1)'!$Q$4:$Q$1362,'Pinlist(S1)'!$R$4:$R$1362,"")</f>
        <v>DDR1_MA[7]_CAA4</v>
      </c>
      <c r="C963" t="str" cm="1">
        <f t="array" ref="C963">_xlfn.TEXTJOIN(",",TRUE,_xlfn.UNIQUE(TRANSPOSE(_xlfn.MAP(_xlfn.XLOOKUP(A963,'Pinlist(S1)'!$C$4:$C$1362,'Pinlist(S1)'!$F$4:$K$1362,""),_xlfn.LAMBDA(_xlpm.x,IF(_xlpm.x&lt;&gt;"",TRIM(CLEAN(LEFT(_xlpm.x,FIND(".",_xlpm.x &amp; ".")-1))),""))))))</f>
        <v>KA118</v>
      </c>
      <c r="D963">
        <v>27.349</v>
      </c>
      <c r="E963">
        <v>17.561</v>
      </c>
      <c r="F963" t="str">
        <f>_xlfn.LET(_xlpm.raw,_xlfn.XLOOKUP(A963,'Pinlist(S1)'!$C$4:$C$1362,'Pinlist(S1)'!$E$4:$E$1362,""),_xlpm.cleanRaw,SUBSTITUTE(SUBSTITUTE(_xlpm.raw,"_PIN","."),"PIN","."),_xlpm.mainPart,MID(_xlpm.cleanRaw,2,FIND(".",_xlpm.cleanRaw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963" t="str">
        <f>_xlfn.LET(_xlpm.raw,_xlfn.XLOOKUP(A963,'Pinlist(S3)'!$C$4:$C$1362,'Pinlist(S3)'!$E$4:$E$1362,""),_xlpm.cleanRaw,SUBSTITUTE(SUBSTITUTE(_xlpm.raw,"_PIN","."),"PIN","."),_xlpm.mainPart,MID(_xlpm.cleanRaw,2,FIND(".",_xlpm.cleanRaw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963" t="str">
        <f>_xlfn.LET(_xlpm.raw,_xlfn.XLOOKUP(A963,'Pinlist(S5)'!$C$4:$C$1362,'Pinlist(S5)'!$E$4:$E$1362,""),_xlpm.cleanRaw,SUBSTITUTE(SUBSTITUTE(_xlpm.raw,"_PIN","."),"PIN","."),_xlpm.mainPart,MID(_xlpm.cleanRaw,2,FIND(".",_xlpm.cleanRaw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963" t="str">
        <f>""</f>
        <v/>
      </c>
      <c r="J963" t="str">
        <f t="shared" si="15"/>
        <v>AP48;DDR1_MA[7]_CAA4;KA118;27.349;17.561;507106;809122;603117;</v>
      </c>
    </row>
    <row r="964" spans="1:10">
      <c r="A964" t="s">
        <v>376</v>
      </c>
      <c r="B964" t="str">
        <f>_xlfn.XLOOKUP(A964,'Pinlist(S1)'!$Q$4:$Q$1362,'Pinlist(S1)'!$R$4:$R$1362,"")</f>
        <v>DDR1_MA[9]_CAA1</v>
      </c>
      <c r="C964" t="str" cm="1">
        <f t="array" ref="C964">_xlfn.TEXTJOIN(",",TRUE,_xlfn.UNIQUE(TRANSPOSE(_xlfn.MAP(_xlfn.XLOOKUP(A964,'Pinlist(S1)'!$C$4:$C$1362,'Pinlist(S1)'!$F$4:$K$1362,""),_xlfn.LAMBDA(_xlpm.x,IF(_xlpm.x&lt;&gt;"",TRIM(CLEAN(LEFT(_xlpm.x,FIND(".",_xlpm.x &amp; ".")-1))),""))))))</f>
        <v>KA119</v>
      </c>
      <c r="D964">
        <v>28.262999999999899</v>
      </c>
      <c r="E964">
        <v>17.561</v>
      </c>
      <c r="F964" t="str">
        <f>_xlfn.LET(_xlpm.raw,_xlfn.XLOOKUP(A964,'Pinlist(S1)'!$C$4:$C$1362,'Pinlist(S1)'!$E$4:$E$1362,""),_xlpm.cleanRaw,SUBSTITUTE(SUBSTITUTE(_xlpm.raw,"_PIN","."),"PIN","."),_xlpm.mainPart,MID(_xlpm.cleanRaw,2,FIND(".",_xlpm.cleanRaw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964" t="str">
        <f>_xlfn.LET(_xlpm.raw,_xlfn.XLOOKUP(A964,'Pinlist(S3)'!$C$4:$C$1362,'Pinlist(S3)'!$E$4:$E$1362,""),_xlpm.cleanRaw,SUBSTITUTE(SUBSTITUTE(_xlpm.raw,"_PIN","."),"PIN","."),_xlpm.mainPart,MID(_xlpm.cleanRaw,2,FIND(".",_xlpm.cleanRaw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964" t="str">
        <f>_xlfn.LET(_xlpm.raw,_xlfn.XLOOKUP(A964,'Pinlist(S5)'!$C$4:$C$1362,'Pinlist(S5)'!$E$4:$E$1362,""),_xlpm.cleanRaw,SUBSTITUTE(SUBSTITUTE(_xlpm.raw,"_PIN","."),"PIN","."),_xlpm.mainPart,MID(_xlpm.cleanRaw,2,FIND(".",_xlpm.cleanRaw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964" t="str">
        <f>""</f>
        <v/>
      </c>
      <c r="J964" t="str">
        <f t="shared" si="15"/>
        <v>AP50;DDR1_MA[9]_CAA1;KA119;28.2629999999999;17.561;506002;809126;602079;</v>
      </c>
    </row>
    <row r="965" spans="1:10">
      <c r="A965" t="s">
        <v>322</v>
      </c>
      <c r="B965" t="str">
        <f>_xlfn.XLOOKUP(A965,'Pinlist(S1)'!$Q$4:$Q$1362,'Pinlist(S1)'!$R$4:$R$1362,"")</f>
        <v>DDR1_BA[2]_CAA5_BG0</v>
      </c>
      <c r="C965" t="str" cm="1">
        <f t="array" ref="C965">_xlfn.TEXTJOIN(",",TRUE,_xlfn.UNIQUE(TRANSPOSE(_xlfn.MAP(_xlfn.XLOOKUP(A965,'Pinlist(S1)'!$C$4:$C$1362,'Pinlist(S1)'!$F$4:$K$1362,""),_xlfn.LAMBDA(_xlpm.x,IF(_xlpm.x&lt;&gt;"",TRIM(CLEAN(LEFT(_xlpm.x,FIND(".",_xlpm.x &amp; ".")-1))),""))))))</f>
        <v>KA106</v>
      </c>
      <c r="D965">
        <v>29.178000000000001</v>
      </c>
      <c r="E965">
        <v>17.561</v>
      </c>
      <c r="F965" t="str">
        <f>_xlfn.LET(_xlpm.raw,_xlfn.XLOOKUP(A965,'Pinlist(S1)'!$C$4:$C$1362,'Pinlist(S1)'!$E$4:$E$1362,""),_xlpm.cleanRaw,SUBSTITUTE(SUBSTITUTE(_xlpm.raw,"_PIN","."),"PIN","."),_xlpm.mainPart,MID(_xlpm.cleanRaw,2,FIND(".",_xlpm.cleanRaw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965" t="str">
        <f>_xlfn.LET(_xlpm.raw,_xlfn.XLOOKUP(A965,'Pinlist(S3)'!$C$4:$C$1362,'Pinlist(S3)'!$E$4:$E$1362,""),_xlpm.cleanRaw,SUBSTITUTE(SUBSTITUTE(_xlpm.raw,"_PIN","."),"PIN","."),_xlpm.mainPart,MID(_xlpm.cleanRaw,2,FIND(".",_xlpm.cleanRaw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965" t="str">
        <f>_xlfn.LET(_xlpm.raw,_xlfn.XLOOKUP(A965,'Pinlist(S5)'!$C$4:$C$1362,'Pinlist(S5)'!$E$4:$E$1362,""),_xlpm.cleanRaw,SUBSTITUTE(SUBSTITUTE(_xlpm.raw,"_PIN","."),"PIN","."),_xlpm.mainPart,MID(_xlpm.cleanRaw,2,FIND(".",_xlpm.cleanRaw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965" t="str">
        <f>""</f>
        <v/>
      </c>
      <c r="J965" t="str">
        <f t="shared" si="15"/>
        <v>AP52;DDR1_BA[2]_CAA5_BG0;KA106;29.178;17.561;505073;805084;702067;</v>
      </c>
    </row>
    <row r="966" spans="1:10">
      <c r="A966" t="s">
        <v>332</v>
      </c>
      <c r="B966" t="str">
        <f>_xlfn.XLOOKUP(A966,'Pinlist(S1)'!$Q$4:$Q$1362,'Pinlist(S1)'!$R$4:$R$1362,"")</f>
        <v>DDR1_CKE[3]</v>
      </c>
      <c r="C966" t="str" cm="1">
        <f t="array" ref="C966">_xlfn.TEXTJOIN(",",TRUE,_xlfn.UNIQUE(TRANSPOSE(_xlfn.MAP(_xlfn.XLOOKUP(A966,'Pinlist(S1)'!$C$4:$C$1362,'Pinlist(S1)'!$F$4:$K$1362,""),_xlfn.LAMBDA(_xlpm.x,IF(_xlpm.x&lt;&gt;"",TRIM(CLEAN(LEFT(_xlpm.x,FIND(".",_xlpm.x &amp; ".")-1))),""))))))</f>
        <v>KA102</v>
      </c>
      <c r="D966">
        <v>30.091999999999999</v>
      </c>
      <c r="E966">
        <v>17.561</v>
      </c>
      <c r="F966" t="str">
        <f>_xlfn.LET(_xlpm.raw,_xlfn.XLOOKUP(A966,'Pinlist(S1)'!$C$4:$C$1362,'Pinlist(S1)'!$E$4:$E$1362,""),_xlpm.cleanRaw,SUBSTITUTE(SUBSTITUTE(_xlpm.raw,"_PIN","."),"PIN","."),_xlpm.mainPart,MID(_xlpm.cleanRaw,2,FIND(".",_xlpm.cleanRaw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966" t="str">
        <f>_xlfn.LET(_xlpm.raw,_xlfn.XLOOKUP(A966,'Pinlist(S3)'!$C$4:$C$1362,'Pinlist(S3)'!$E$4:$E$1362,""),_xlpm.cleanRaw,SUBSTITUTE(SUBSTITUTE(_xlpm.raw,"_PIN","."),"PIN","."),_xlpm.mainPart,MID(_xlpm.cleanRaw,2,FIND(".",_xlpm.cleanRaw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966" t="str">
        <f>_xlfn.LET(_xlpm.raw,_xlfn.XLOOKUP(A966,'Pinlist(S5)'!$C$4:$C$1362,'Pinlist(S5)'!$E$4:$E$1362,""),_xlpm.cleanRaw,SUBSTITUTE(SUBSTITUTE(_xlpm.raw,"_PIN","."),"PIN","."),_xlpm.mainPart,MID(_xlpm.cleanRaw,2,FIND(".",_xlpm.cleanRaw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966" t="str">
        <f>""</f>
        <v/>
      </c>
      <c r="J966" t="str">
        <f t="shared" si="15"/>
        <v>AP53;DDR1_CKE[3];KA102;30.092;17.561;505059;805081;702081;</v>
      </c>
    </row>
    <row r="967" spans="1:10">
      <c r="A967" t="s">
        <v>328</v>
      </c>
      <c r="B967" t="str">
        <f>_xlfn.XLOOKUP(A967,'Pinlist(S1)'!$Q$4:$Q$1362,'Pinlist(S1)'!$R$4:$R$1362,"")</f>
        <v>DDR1_CKE[1]</v>
      </c>
      <c r="C967" t="str" cm="1">
        <f t="array" ref="C967">_xlfn.TEXTJOIN(",",TRUE,_xlfn.UNIQUE(TRANSPOSE(_xlfn.MAP(_xlfn.XLOOKUP(A967,'Pinlist(S1)'!$C$4:$C$1362,'Pinlist(S1)'!$F$4:$K$1362,""),_xlfn.LAMBDA(_xlpm.x,IF(_xlpm.x&lt;&gt;"",TRIM(CLEAN(LEFT(_xlpm.x,FIND(".",_xlpm.x &amp; ".")-1))),""))))))</f>
        <v>KA101</v>
      </c>
      <c r="D967">
        <v>31.006</v>
      </c>
      <c r="E967">
        <v>17.561</v>
      </c>
      <c r="F967" t="str">
        <f>_xlfn.LET(_xlpm.raw,_xlfn.XLOOKUP(A967,'Pinlist(S1)'!$C$4:$C$1362,'Pinlist(S1)'!$E$4:$E$1362,""),_xlpm.cleanRaw,SUBSTITUTE(SUBSTITUTE(_xlpm.raw,"_PIN","."),"PIN","."),_xlpm.mainPart,MID(_xlpm.cleanRaw,2,FIND(".",_xlpm.cleanRaw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967" t="str">
        <f>_xlfn.LET(_xlpm.raw,_xlfn.XLOOKUP(A967,'Pinlist(S3)'!$C$4:$C$1362,'Pinlist(S3)'!$E$4:$E$1362,""),_xlpm.cleanRaw,SUBSTITUTE(SUBSTITUTE(_xlpm.raw,"_PIN","."),"PIN","."),_xlpm.mainPart,MID(_xlpm.cleanRaw,2,FIND(".",_xlpm.cleanRaw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967" t="str">
        <f>_xlfn.LET(_xlpm.raw,_xlfn.XLOOKUP(A967,'Pinlist(S5)'!$C$4:$C$1362,'Pinlist(S5)'!$E$4:$E$1362,""),_xlpm.cleanRaw,SUBSTITUTE(SUBSTITUTE(_xlpm.raw,"_PIN","."),"PIN","."),_xlpm.mainPart,MID(_xlpm.cleanRaw,2,FIND(".",_xlpm.cleanRaw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967" t="str">
        <f>""</f>
        <v/>
      </c>
      <c r="J967" t="str">
        <f t="shared" si="15"/>
        <v>AP55;DDR1_CKE[1];KA101;31.006;17.561;508041;804003;703040;</v>
      </c>
    </row>
    <row r="968" spans="1:10">
      <c r="A968" t="s">
        <v>1160</v>
      </c>
      <c r="B968" t="str">
        <f>_xlfn.XLOOKUP(A968,'Pinlist(S1)'!$Q$4:$Q$1362,'Pinlist(S1)'!$R$4:$R$1362,"")</f>
        <v>MSM_N</v>
      </c>
      <c r="C968" t="str" cm="1">
        <f t="array" ref="C968">_xlfn.TEXTJOIN(",",TRUE,_xlfn.UNIQUE(TRANSPOSE(_xlfn.MAP(_xlfn.XLOOKUP(A968,'Pinlist(S1)'!$C$4:$C$1362,'Pinlist(S1)'!$F$4:$K$1362,""),_xlfn.LAMBDA(_xlpm.x,IF(_xlpm.x&lt;&gt;"",TRIM(CLEAN(LEFT(_xlpm.x,FIND(".",_xlpm.x &amp; ".")-1))),""))))))</f>
        <v/>
      </c>
      <c r="D968">
        <v>31.920999999999999</v>
      </c>
      <c r="E968">
        <v>17.561</v>
      </c>
      <c r="F968" t="str">
        <f>_xlfn.LET(_xlpm.raw,_xlfn.XLOOKUP(A968,'Pinlist(S1)'!$C$4:$C$1362,'Pinlist(S1)'!$E$4:$E$1362,""),_xlpm.cleanRaw,SUBSTITUTE(SUBSTITUTE(_xlpm.raw,"_PIN","."),"PIN","."),_xlpm.mainPart,MID(_xlpm.cleanRaw,2,FIND(".",_xlpm.cleanRaw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8" t="str">
        <f>_xlfn.LET(_xlpm.raw,_xlfn.XLOOKUP(A968,'Pinlist(S3)'!$C$4:$C$1362,'Pinlist(S3)'!$E$4:$E$1362,""),_xlpm.cleanRaw,SUBSTITUTE(SUBSTITUTE(_xlpm.raw,"_PIN","."),"PIN","."),_xlpm.mainPart,MID(_xlpm.cleanRaw,2,FIND(".",_xlpm.cleanRaw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8" t="str">
        <f>_xlfn.LET(_xlpm.raw,_xlfn.XLOOKUP(A968,'Pinlist(S5)'!$C$4:$C$1362,'Pinlist(S5)'!$E$4:$E$1362,""),_xlpm.cleanRaw,SUBSTITUTE(SUBSTITUTE(_xlpm.raw,"_PIN","."),"PIN","."),_xlpm.mainPart,MID(_xlpm.cleanRaw,2,FIND(".",_xlpm.cleanRaw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8" t="str">
        <f>""</f>
        <v/>
      </c>
      <c r="J968" t="str">
        <f t="shared" si="15"/>
        <v>AP56;MSM_N;;31.921;17.561;;;;</v>
      </c>
    </row>
    <row r="969" spans="1:10">
      <c r="A969" t="s">
        <v>1991</v>
      </c>
      <c r="B969" t="str">
        <f>_xlfn.XLOOKUP(A969,'Pinlist(S1)'!$Q$4:$Q$1362,'Pinlist(S1)'!$R$4:$R$1362,"")</f>
        <v>VSS</v>
      </c>
      <c r="C969" t="str" cm="1">
        <f t="array" ref="C969">_xlfn.TEXTJOIN(",",TRUE,_xlfn.UNIQUE(TRANSPOSE(_xlfn.MAP(_xlfn.XLOOKUP(A969,'Pinlist(S1)'!$C$4:$C$1362,'Pinlist(S1)'!$F$4:$K$1362,""),_xlfn.LAMBDA(_xlpm.x,IF(_xlpm.x&lt;&gt;"",TRIM(CLEAN(LEFT(_xlpm.x,FIND(".",_xlpm.x &amp; ".")-1))),""))))))</f>
        <v/>
      </c>
      <c r="D969">
        <v>32.835000000000001</v>
      </c>
      <c r="E969">
        <v>17.561</v>
      </c>
      <c r="F969" t="str">
        <f>_xlfn.LET(_xlpm.raw,_xlfn.XLOOKUP(A969,'Pinlist(S1)'!$C$4:$C$1362,'Pinlist(S1)'!$E$4:$E$1362,""),_xlpm.cleanRaw,SUBSTITUTE(SUBSTITUTE(_xlpm.raw,"_PIN","."),"PIN","."),_xlpm.mainPart,MID(_xlpm.cleanRaw,2,FIND(".",_xlpm.cleanRaw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9" t="str">
        <f>_xlfn.LET(_xlpm.raw,_xlfn.XLOOKUP(A969,'Pinlist(S3)'!$C$4:$C$1362,'Pinlist(S3)'!$E$4:$E$1362,""),_xlpm.cleanRaw,SUBSTITUTE(SUBSTITUTE(_xlpm.raw,"_PIN","."),"PIN","."),_xlpm.mainPart,MID(_xlpm.cleanRaw,2,FIND(".",_xlpm.cleanRaw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9" t="str">
        <f>_xlfn.LET(_xlpm.raw,_xlfn.XLOOKUP(A969,'Pinlist(S5)'!$C$4:$C$1362,'Pinlist(S5)'!$E$4:$E$1362,""),_xlpm.cleanRaw,SUBSTITUTE(SUBSTITUTE(_xlpm.raw,"_PIN","."),"PIN","."),_xlpm.mainPart,MID(_xlpm.cleanRaw,2,FIND(".",_xlpm.cleanRaw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9" t="str">
        <f>""</f>
        <v/>
      </c>
      <c r="J969" t="str">
        <f t="shared" si="15"/>
        <v>AP58;VSS;;32.835;17.561;;;;</v>
      </c>
    </row>
    <row r="970" spans="1:10">
      <c r="A970" t="s">
        <v>568</v>
      </c>
      <c r="B970" t="str">
        <f>_xlfn.XLOOKUP(A970,'Pinlist(S1)'!$Q$4:$Q$1362,'Pinlist(S1)'!$R$4:$R$1362,"")</f>
        <v>DDRDQ_IL13_NIL07[2]</v>
      </c>
      <c r="C970" t="str" cm="1">
        <f t="array" ref="C970">_xlfn.TEXTJOIN(",",TRUE,_xlfn.UNIQUE(TRANSPOSE(_xlfn.MAP(_xlfn.XLOOKUP(A970,'Pinlist(S1)'!$C$4:$C$1362,'Pinlist(S1)'!$F$4:$K$1362,""),_xlfn.LAMBDA(_xlpm.x,IF(_xlpm.x&lt;&gt;"",TRIM(CLEAN(LEFT(_xlpm.x,FIND(".",_xlpm.x &amp; ".")-1))),""))))))</f>
        <v/>
      </c>
      <c r="D970">
        <v>33.75</v>
      </c>
      <c r="E970">
        <v>17.561</v>
      </c>
      <c r="F970" t="str">
        <f>_xlfn.LET(_xlpm.raw,_xlfn.XLOOKUP(A970,'Pinlist(S1)'!$C$4:$C$1362,'Pinlist(S1)'!$E$4:$E$1362,""),_xlpm.cleanRaw,SUBSTITUTE(SUBSTITUTE(_xlpm.raw,"_PIN","."),"PIN","."),_xlpm.mainPart,MID(_xlpm.cleanRaw,2,FIND(".",_xlpm.cleanRaw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606097</v>
      </c>
      <c r="G970" t="str">
        <f>_xlfn.LET(_xlpm.raw,_xlfn.XLOOKUP(A970,'Pinlist(S3)'!$C$4:$C$1362,'Pinlist(S3)'!$E$4:$E$1362,""),_xlpm.cleanRaw,SUBSTITUTE(SUBSTITUTE(_xlpm.raw,"_PIN","."),"PIN","."),_xlpm.mainPart,MID(_xlpm.cleanRaw,2,FIND(".",_xlpm.cleanRaw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801037</v>
      </c>
      <c r="H970" t="str">
        <f>_xlfn.LET(_xlpm.raw,_xlfn.XLOOKUP(A970,'Pinlist(S5)'!$C$4:$C$1362,'Pinlist(S5)'!$E$4:$E$1362,""),_xlpm.cleanRaw,SUBSTITUTE(SUBSTITUTE(_xlpm.raw,"_PIN","."),"PIN","."),_xlpm.mainPart,MID(_xlpm.cleanRaw,2,FIND(".",_xlpm.cleanRaw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706007</v>
      </c>
      <c r="I970" t="str">
        <f>""</f>
        <v/>
      </c>
      <c r="J970" t="str">
        <f t="shared" si="15"/>
        <v>AP60;DDRDQ_IL13_NIL07[2];;33.75;17.561;606097;801037;706007;</v>
      </c>
    </row>
    <row r="971" spans="1:10">
      <c r="A971" t="s">
        <v>574</v>
      </c>
      <c r="B971" t="str">
        <f>_xlfn.XLOOKUP(A971,'Pinlist(S1)'!$Q$4:$Q$1362,'Pinlist(S1)'!$R$4:$R$1362,"")</f>
        <v>DDRDQ_IL13_NIL07[5]</v>
      </c>
      <c r="C971" t="str" cm="1">
        <f t="array" ref="C971">_xlfn.TEXTJOIN(",",TRUE,_xlfn.UNIQUE(TRANSPOSE(_xlfn.MAP(_xlfn.XLOOKUP(A971,'Pinlist(S1)'!$C$4:$C$1362,'Pinlist(S1)'!$F$4:$K$1362,""),_xlfn.LAMBDA(_xlpm.x,IF(_xlpm.x&lt;&gt;"",TRIM(CLEAN(LEFT(_xlpm.x,FIND(".",_xlpm.x &amp; ".")-1))),""))))))</f>
        <v/>
      </c>
      <c r="D971">
        <v>34.664000000000001</v>
      </c>
      <c r="E971">
        <v>17.561</v>
      </c>
      <c r="F971" t="str">
        <f>_xlfn.LET(_xlpm.raw,_xlfn.XLOOKUP(A971,'Pinlist(S1)'!$C$4:$C$1362,'Pinlist(S1)'!$E$4:$E$1362,""),_xlpm.cleanRaw,SUBSTITUTE(SUBSTITUTE(_xlpm.raw,"_PIN","."),"PIN","."),_xlpm.mainPart,MID(_xlpm.cleanRaw,2,FIND(".",_xlpm.cleanRaw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606124</v>
      </c>
      <c r="G971" t="str">
        <f>_xlfn.LET(_xlpm.raw,_xlfn.XLOOKUP(A971,'Pinlist(S3)'!$C$4:$C$1362,'Pinlist(S3)'!$E$4:$E$1362,""),_xlpm.cleanRaw,SUBSTITUTE(SUBSTITUTE(_xlpm.raw,"_PIN","."),"PIN","."),_xlpm.mainPart,MID(_xlpm.cleanRaw,2,FIND(".",_xlpm.cleanRaw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501110</v>
      </c>
      <c r="H971" t="str">
        <f>_xlfn.LET(_xlpm.raw,_xlfn.XLOOKUP(A971,'Pinlist(S5)'!$C$4:$C$1362,'Pinlist(S5)'!$E$4:$E$1362,""),_xlpm.cleanRaw,SUBSTITUTE(SUBSTITUTE(_xlpm.raw,"_PIN","."),"PIN","."),_xlpm.mainPart,MID(_xlpm.cleanRaw,2,FIND(".",_xlpm.cleanRaw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707100</v>
      </c>
      <c r="I971" t="str">
        <f>""</f>
        <v/>
      </c>
      <c r="J971" t="str">
        <f t="shared" si="15"/>
        <v>AP61;DDRDQ_IL13_NIL07[5];;34.664;17.561;606124;501110;707100;</v>
      </c>
    </row>
    <row r="972" spans="1:10">
      <c r="A972" t="s">
        <v>1992</v>
      </c>
      <c r="B972" t="str">
        <f>_xlfn.XLOOKUP(A972,'Pinlist(S1)'!$Q$4:$Q$1362,'Pinlist(S1)'!$R$4:$R$1362,"")</f>
        <v>VSS</v>
      </c>
      <c r="C972" t="str" cm="1">
        <f t="array" ref="C972">_xlfn.TEXTJOIN(",",TRUE,_xlfn.UNIQUE(TRANSPOSE(_xlfn.MAP(_xlfn.XLOOKUP(A972,'Pinlist(S1)'!$C$4:$C$1362,'Pinlist(S1)'!$F$4:$K$1362,""),_xlfn.LAMBDA(_xlpm.x,IF(_xlpm.x&lt;&gt;"",TRIM(CLEAN(LEFT(_xlpm.x,FIND(".",_xlpm.x &amp; ".")-1))),""))))))</f>
        <v/>
      </c>
      <c r="D972">
        <v>35.578000000000003</v>
      </c>
      <c r="E972">
        <v>17.561</v>
      </c>
      <c r="F972" t="str">
        <f>_xlfn.LET(_xlpm.raw,_xlfn.XLOOKUP(A972,'Pinlist(S1)'!$C$4:$C$1362,'Pinlist(S1)'!$E$4:$E$1362,""),_xlpm.cleanRaw,SUBSTITUTE(SUBSTITUTE(_xlpm.raw,"_PIN","."),"PIN","."),_xlpm.mainPart,MID(_xlpm.cleanRaw,2,FIND(".",_xlpm.cleanRaw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2" t="str">
        <f>_xlfn.LET(_xlpm.raw,_xlfn.XLOOKUP(A972,'Pinlist(S3)'!$C$4:$C$1362,'Pinlist(S3)'!$E$4:$E$1362,""),_xlpm.cleanRaw,SUBSTITUTE(SUBSTITUTE(_xlpm.raw,"_PIN","."),"PIN","."),_xlpm.mainPart,MID(_xlpm.cleanRaw,2,FIND(".",_xlpm.cleanRaw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2" t="str">
        <f>_xlfn.LET(_xlpm.raw,_xlfn.XLOOKUP(A972,'Pinlist(S5)'!$C$4:$C$1362,'Pinlist(S5)'!$E$4:$E$1362,""),_xlpm.cleanRaw,SUBSTITUTE(SUBSTITUTE(_xlpm.raw,"_PIN","."),"PIN","."),_xlpm.mainPart,MID(_xlpm.cleanRaw,2,FIND(".",_xlpm.cleanRaw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2" t="str">
        <f>""</f>
        <v/>
      </c>
      <c r="J972" t="str">
        <f t="shared" si="15"/>
        <v>AP63;VSS;;35.578;17.561;;;;</v>
      </c>
    </row>
    <row r="973" spans="1:10">
      <c r="A973" t="s">
        <v>552</v>
      </c>
      <c r="B973" t="str">
        <f>_xlfn.XLOOKUP(A973,'Pinlist(S1)'!$Q$4:$Q$1362,'Pinlist(S1)'!$R$4:$R$1362,"")</f>
        <v>DDRDQ_IL12_NIL06[2]</v>
      </c>
      <c r="C973" t="str" cm="1">
        <f t="array" ref="C973">_xlfn.TEXTJOIN(",",TRUE,_xlfn.UNIQUE(TRANSPOSE(_xlfn.MAP(_xlfn.XLOOKUP(A973,'Pinlist(S1)'!$C$4:$C$1362,'Pinlist(S1)'!$F$4:$K$1362,""),_xlfn.LAMBDA(_xlpm.x,IF(_xlpm.x&lt;&gt;"",TRIM(CLEAN(LEFT(_xlpm.x,FIND(".",_xlpm.x &amp; ".")-1))),""))))))</f>
        <v/>
      </c>
      <c r="D973">
        <v>36.492999999999903</v>
      </c>
      <c r="E973">
        <v>17.561</v>
      </c>
      <c r="F973" t="str">
        <f>_xlfn.LET(_xlpm.raw,_xlfn.XLOOKUP(A973,'Pinlist(S1)'!$C$4:$C$1362,'Pinlist(S1)'!$E$4:$E$1362,""),_xlpm.cleanRaw,SUBSTITUTE(SUBSTITUTE(_xlpm.raw,"_PIN","."),"PIN","."),_xlpm.mainPart,MID(_xlpm.cleanRaw,2,FIND(".",_xlpm.cleanRaw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607039</v>
      </c>
      <c r="G973" t="str">
        <f>_xlfn.LET(_xlpm.raw,_xlfn.XLOOKUP(A973,'Pinlist(S3)'!$C$4:$C$1362,'Pinlist(S3)'!$E$4:$E$1362,""),_xlpm.cleanRaw,SUBSTITUTE(SUBSTITUTE(_xlpm.raw,"_PIN","."),"PIN","."),_xlpm.mainPart,MID(_xlpm.cleanRaw,2,FIND(".",_xlpm.cleanRaw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801039</v>
      </c>
      <c r="H973" t="str">
        <f>_xlfn.LET(_xlpm.raw,_xlfn.XLOOKUP(A973,'Pinlist(S5)'!$C$4:$C$1362,'Pinlist(S5)'!$E$4:$E$1362,""),_xlpm.cleanRaw,SUBSTITUTE(SUBSTITUTE(_xlpm.raw,"_PIN","."),"PIN","."),_xlpm.mainPart,MID(_xlpm.cleanRaw,2,FIND(".",_xlpm.cleanRaw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706039</v>
      </c>
      <c r="I973" t="str">
        <f>""</f>
        <v/>
      </c>
      <c r="J973" t="str">
        <f t="shared" si="15"/>
        <v>AP65;DDRDQ_IL12_NIL06[2];;36.4929999999999;17.561;607039;801039;706039;</v>
      </c>
    </row>
    <row r="974" spans="1:10">
      <c r="A974" t="s">
        <v>558</v>
      </c>
      <c r="B974" t="str">
        <f>_xlfn.XLOOKUP(A974,'Pinlist(S1)'!$Q$4:$Q$1362,'Pinlist(S1)'!$R$4:$R$1362,"")</f>
        <v>DDRDQ_IL12_NIL06[5]</v>
      </c>
      <c r="C974" t="str" cm="1">
        <f t="array" ref="C974">_xlfn.TEXTJOIN(",",TRUE,_xlfn.UNIQUE(TRANSPOSE(_xlfn.MAP(_xlfn.XLOOKUP(A974,'Pinlist(S1)'!$C$4:$C$1362,'Pinlist(S1)'!$F$4:$K$1362,""),_xlfn.LAMBDA(_xlpm.x,IF(_xlpm.x&lt;&gt;"",TRIM(CLEAN(LEFT(_xlpm.x,FIND(".",_xlpm.x &amp; ".")-1))),""))))))</f>
        <v/>
      </c>
      <c r="D974">
        <v>37.406999999999996</v>
      </c>
      <c r="E974">
        <v>17.561</v>
      </c>
      <c r="F974" t="str">
        <f>_xlfn.LET(_xlpm.raw,_xlfn.XLOOKUP(A974,'Pinlist(S1)'!$C$4:$C$1362,'Pinlist(S1)'!$E$4:$E$1362,""),_xlpm.cleanRaw,SUBSTITUTE(SUBSTITUTE(_xlpm.raw,"_PIN","."),"PIN","."),_xlpm.mainPart,MID(_xlpm.cleanRaw,2,FIND(".",_xlpm.cleanRaw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606087</v>
      </c>
      <c r="G974" t="str">
        <f>_xlfn.LET(_xlpm.raw,_xlfn.XLOOKUP(A974,'Pinlist(S3)'!$C$4:$C$1362,'Pinlist(S3)'!$E$4:$E$1362,""),_xlpm.cleanRaw,SUBSTITUTE(SUBSTITUTE(_xlpm.raw,"_PIN","."),"PIN","."),_xlpm.mainPart,MID(_xlpm.cleanRaw,2,FIND(".",_xlpm.cleanRaw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501087</v>
      </c>
      <c r="H974" t="str">
        <f>_xlfn.LET(_xlpm.raw,_xlfn.XLOOKUP(A974,'Pinlist(S5)'!$C$4:$C$1362,'Pinlist(S5)'!$E$4:$E$1362,""),_xlpm.cleanRaw,SUBSTITUTE(SUBSTITUTE(_xlpm.raw,"_PIN","."),"PIN","."),_xlpm.mainPart,MID(_xlpm.cleanRaw,2,FIND(".",_xlpm.cleanRaw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707087</v>
      </c>
      <c r="I974" t="str">
        <f>""</f>
        <v/>
      </c>
      <c r="J974" t="str">
        <f t="shared" si="15"/>
        <v>AP66;DDRDQ_IL12_NIL06[5];;37.407;17.561;606087;501087;707087;</v>
      </c>
    </row>
    <row r="975" spans="1:10">
      <c r="A975" t="s">
        <v>1993</v>
      </c>
      <c r="B975" t="str">
        <f>_xlfn.XLOOKUP(A975,'Pinlist(S1)'!$Q$4:$Q$1362,'Pinlist(S1)'!$R$4:$R$1362,"")</f>
        <v>VSS</v>
      </c>
      <c r="C975" t="str" cm="1">
        <f t="array" ref="C975">_xlfn.TEXTJOIN(",",TRUE,_xlfn.UNIQUE(TRANSPOSE(_xlfn.MAP(_xlfn.XLOOKUP(A975,'Pinlist(S1)'!$C$4:$C$1362,'Pinlist(S1)'!$F$4:$K$1362,""),_xlfn.LAMBDA(_xlpm.x,IF(_xlpm.x&lt;&gt;"",TRIM(CLEAN(LEFT(_xlpm.x,FIND(".",_xlpm.x &amp; ".")-1))),""))))))</f>
        <v/>
      </c>
      <c r="D975">
        <v>38.353000000000002</v>
      </c>
      <c r="E975">
        <v>17.646000000000001</v>
      </c>
      <c r="F975" t="str">
        <f>_xlfn.LET(_xlpm.raw,_xlfn.XLOOKUP(A975,'Pinlist(S1)'!$C$4:$C$1362,'Pinlist(S1)'!$E$4:$E$1362,""),_xlpm.cleanRaw,SUBSTITUTE(SUBSTITUTE(_xlpm.raw,"_PIN","."),"PIN","."),_xlpm.mainPart,MID(_xlpm.cleanRaw,2,FIND(".",_xlpm.cleanRaw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5" t="str">
        <f>_xlfn.LET(_xlpm.raw,_xlfn.XLOOKUP(A975,'Pinlist(S3)'!$C$4:$C$1362,'Pinlist(S3)'!$E$4:$E$1362,""),_xlpm.cleanRaw,SUBSTITUTE(SUBSTITUTE(_xlpm.raw,"_PIN","."),"PIN","."),_xlpm.mainPart,MID(_xlpm.cleanRaw,2,FIND(".",_xlpm.cleanRaw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5" t="str">
        <f>_xlfn.LET(_xlpm.raw,_xlfn.XLOOKUP(A975,'Pinlist(S5)'!$C$4:$C$1362,'Pinlist(S5)'!$E$4:$E$1362,""),_xlpm.cleanRaw,SUBSTITUTE(SUBSTITUTE(_xlpm.raw,"_PIN","."),"PIN","."),_xlpm.mainPart,MID(_xlpm.cleanRaw,2,FIND(".",_xlpm.cleanRaw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5" t="str">
        <f>""</f>
        <v/>
      </c>
      <c r="J975" t="str">
        <f t="shared" si="15"/>
        <v>AP68;VSS;;38.353;17.646;;;;</v>
      </c>
    </row>
    <row r="976" spans="1:10">
      <c r="A976" t="s">
        <v>1994</v>
      </c>
      <c r="B976" t="str">
        <f>_xlfn.XLOOKUP(A976,'Pinlist(S1)'!$Q$4:$Q$1362,'Pinlist(S1)'!$R$4:$R$1362,"")</f>
        <v>VSS</v>
      </c>
      <c r="C976" t="str" cm="1">
        <f t="array" ref="C976">_xlfn.TEXTJOIN(",",TRUE,_xlfn.UNIQUE(TRANSPOSE(_xlfn.MAP(_xlfn.XLOOKUP(A976,'Pinlist(S1)'!$C$4:$C$1362,'Pinlist(S1)'!$F$4:$K$1362,""),_xlfn.LAMBDA(_xlpm.x,IF(_xlpm.x&lt;&gt;"",TRIM(CLEAN(LEFT(_xlpm.x,FIND(".",_xlpm.x &amp; ".")-1))),""))))))</f>
        <v/>
      </c>
      <c r="D976">
        <v>39.572000000000003</v>
      </c>
      <c r="E976">
        <v>17.646000000000001</v>
      </c>
      <c r="F976" t="str">
        <f>_xlfn.LET(_xlpm.raw,_xlfn.XLOOKUP(A976,'Pinlist(S1)'!$C$4:$C$1362,'Pinlist(S1)'!$E$4:$E$1362,""),_xlpm.cleanRaw,SUBSTITUTE(SUBSTITUTE(_xlpm.raw,"_PIN","."),"PIN","."),_xlpm.mainPart,MID(_xlpm.cleanRaw,2,FIND(".",_xlpm.cleanRaw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6" t="str">
        <f>_xlfn.LET(_xlpm.raw,_xlfn.XLOOKUP(A976,'Pinlist(S3)'!$C$4:$C$1362,'Pinlist(S3)'!$E$4:$E$1362,""),_xlpm.cleanRaw,SUBSTITUTE(SUBSTITUTE(_xlpm.raw,"_PIN","."),"PIN","."),_xlpm.mainPart,MID(_xlpm.cleanRaw,2,FIND(".",_xlpm.cleanRaw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6" t="str">
        <f>_xlfn.LET(_xlpm.raw,_xlfn.XLOOKUP(A976,'Pinlist(S5)'!$C$4:$C$1362,'Pinlist(S5)'!$E$4:$E$1362,""),_xlpm.cleanRaw,SUBSTITUTE(SUBSTITUTE(_xlpm.raw,"_PIN","."),"PIN","."),_xlpm.mainPart,MID(_xlpm.cleanRaw,2,FIND(".",_xlpm.cleanRaw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6" t="str">
        <f>""</f>
        <v/>
      </c>
      <c r="J976" t="str">
        <f t="shared" si="15"/>
        <v>AP70;VSS;;39.572;17.646;;;;</v>
      </c>
    </row>
    <row r="977" spans="1:10">
      <c r="A977" t="s">
        <v>2007</v>
      </c>
      <c r="B977" t="str">
        <f>_xlfn.XLOOKUP(A977,'Pinlist(S1)'!$Q$4:$Q$1362,'Pinlist(S1)'!$R$4:$R$1362,"")</f>
        <v>VSS</v>
      </c>
      <c r="C977" t="str" cm="1">
        <f t="array" ref="C977">_xlfn.TEXTJOIN(",",TRUE,_xlfn.UNIQUE(TRANSPOSE(_xlfn.MAP(_xlfn.XLOOKUP(A977,'Pinlist(S1)'!$C$4:$C$1362,'Pinlist(S1)'!$F$4:$K$1362,""),_xlfn.LAMBDA(_xlpm.x,IF(_xlpm.x&lt;&gt;"",TRIM(CLEAN(LEFT(_xlpm.x,FIND(".",_xlpm.x &amp; ".")-1))),""))))))</f>
        <v/>
      </c>
      <c r="D977">
        <v>2.6599999999999899</v>
      </c>
      <c r="E977">
        <v>18.210999999999999</v>
      </c>
      <c r="F977" t="str">
        <f>_xlfn.LET(_xlpm.raw,_xlfn.XLOOKUP(A977,'Pinlist(S1)'!$C$4:$C$1362,'Pinlist(S1)'!$E$4:$E$1362,""),_xlpm.cleanRaw,SUBSTITUTE(SUBSTITUTE(_xlpm.raw,"_PIN","."),"PIN","."),_xlpm.mainPart,MID(_xlpm.cleanRaw,2,FIND(".",_xlpm.cleanRaw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7" t="str">
        <f>_xlfn.LET(_xlpm.raw,_xlfn.XLOOKUP(A977,'Pinlist(S3)'!$C$4:$C$1362,'Pinlist(S3)'!$E$4:$E$1362,""),_xlpm.cleanRaw,SUBSTITUTE(SUBSTITUTE(_xlpm.raw,"_PIN","."),"PIN","."),_xlpm.mainPart,MID(_xlpm.cleanRaw,2,FIND(".",_xlpm.cleanRaw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7" t="str">
        <f>_xlfn.LET(_xlpm.raw,_xlfn.XLOOKUP(A977,'Pinlist(S5)'!$C$4:$C$1362,'Pinlist(S5)'!$E$4:$E$1362,""),_xlpm.cleanRaw,SUBSTITUTE(SUBSTITUTE(_xlpm.raw,"_PIN","."),"PIN","."),_xlpm.mainPart,MID(_xlpm.cleanRaw,2,FIND(".",_xlpm.cleanRaw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7" t="str">
        <f>""</f>
        <v/>
      </c>
      <c r="J977" t="str">
        <f t="shared" si="15"/>
        <v>AR5;VSS;;2.65999999999999;18.211;;;;</v>
      </c>
    </row>
    <row r="978" spans="1:10">
      <c r="A978" t="s">
        <v>863</v>
      </c>
      <c r="B978" t="str">
        <f>_xlfn.XLOOKUP(A978,'Pinlist(S1)'!$Q$4:$Q$1362,'Pinlist(S1)'!$R$4:$R$1362,"")</f>
        <v>GPP_B_18_GSPI0_MOSI</v>
      </c>
      <c r="C978" t="str" cm="1">
        <f t="array" ref="C978">_xlfn.TEXTJOIN(",",TRUE,_xlfn.UNIQUE(TRANSPOSE(_xlfn.MAP(_xlfn.XLOOKUP(A978,'Pinlist(S1)'!$C$4:$C$1362,'Pinlist(S1)'!$F$4:$K$1362,""),_xlfn.LAMBDA(_xlpm.x,IF(_xlpm.x&lt;&gt;"",TRIM(CLEAN(LEFT(_xlpm.x,FIND(".",_xlpm.x &amp; ".")-1))),""))))))</f>
        <v/>
      </c>
      <c r="D978">
        <v>3.5739999999999901</v>
      </c>
      <c r="E978">
        <v>18.210999999999999</v>
      </c>
      <c r="F978" t="str">
        <f>_xlfn.LET(_xlpm.raw,_xlfn.XLOOKUP(A978,'Pinlist(S1)'!$C$4:$C$1362,'Pinlist(S1)'!$E$4:$E$1362,""),_xlpm.cleanRaw,SUBSTITUTE(SUBSTITUTE(_xlpm.raw,"_PIN","."),"PIN","."),_xlpm.mainPart,MID(_xlpm.cleanRaw,2,FIND(".",_xlpm.cleanRaw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509023</v>
      </c>
      <c r="G978" t="str">
        <f>_xlfn.LET(_xlpm.raw,_xlfn.XLOOKUP(A978,'Pinlist(S3)'!$C$4:$C$1362,'Pinlist(S3)'!$E$4:$E$1362,""),_xlpm.cleanRaw,SUBSTITUTE(SUBSTITUTE(_xlpm.raw,"_PIN","."),"PIN","."),_xlpm.mainPart,MID(_xlpm.cleanRaw,2,FIND(".",_xlpm.cleanRaw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804012</v>
      </c>
      <c r="H978" t="str">
        <f>_xlfn.LET(_xlpm.raw,_xlfn.XLOOKUP(A978,'Pinlist(S5)'!$C$4:$C$1362,'Pinlist(S5)'!$E$4:$E$1362,""),_xlpm.cleanRaw,SUBSTITUTE(SUBSTITUTE(_xlpm.raw,"_PIN","."),"PIN","."),_xlpm.mainPart,MID(_xlpm.cleanRaw,2,FIND(".",_xlpm.cleanRaw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702057</v>
      </c>
      <c r="I978" t="str">
        <f>""</f>
        <v/>
      </c>
      <c r="J978" t="str">
        <f t="shared" si="15"/>
        <v>AR7;GPP_B_18_GSPI0_MOSI;;3.57399999999999;18.211;509023;804012;702057;</v>
      </c>
    </row>
    <row r="979" spans="1:10">
      <c r="A979" t="s">
        <v>2014</v>
      </c>
      <c r="B979" t="str">
        <f>_xlfn.XLOOKUP(A979,'Pinlist(S1)'!$Q$4:$Q$1362,'Pinlist(S1)'!$R$4:$R$1362,"")</f>
        <v>VSS</v>
      </c>
      <c r="C979" t="str" cm="1">
        <f t="array" ref="C979">_xlfn.TEXTJOIN(",",TRUE,_xlfn.UNIQUE(TRANSPOSE(_xlfn.MAP(_xlfn.XLOOKUP(A979,'Pinlist(S1)'!$C$4:$C$1362,'Pinlist(S1)'!$F$4:$K$1362,""),_xlfn.LAMBDA(_xlpm.x,IF(_xlpm.x&lt;&gt;"",TRIM(CLEAN(LEFT(_xlpm.x,FIND(".",_xlpm.x &amp; ".")-1))),""))))))</f>
        <v/>
      </c>
      <c r="D979">
        <v>4.4889999999999999</v>
      </c>
      <c r="E979">
        <v>18.210999999999999</v>
      </c>
      <c r="F979" t="str">
        <f>_xlfn.LET(_xlpm.raw,_xlfn.XLOOKUP(A979,'Pinlist(S1)'!$C$4:$C$1362,'Pinlist(S1)'!$E$4:$E$1362,""),_xlpm.cleanRaw,SUBSTITUTE(SUBSTITUTE(_xlpm.raw,"_PIN","."),"PIN","."),_xlpm.mainPart,MID(_xlpm.cleanRaw,2,FIND(".",_xlpm.cleanRaw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9" t="str">
        <f>_xlfn.LET(_xlpm.raw,_xlfn.XLOOKUP(A979,'Pinlist(S3)'!$C$4:$C$1362,'Pinlist(S3)'!$E$4:$E$1362,""),_xlpm.cleanRaw,SUBSTITUTE(SUBSTITUTE(_xlpm.raw,"_PIN","."),"PIN","."),_xlpm.mainPart,MID(_xlpm.cleanRaw,2,FIND(".",_xlpm.cleanRaw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9" t="str">
        <f>_xlfn.LET(_xlpm.raw,_xlfn.XLOOKUP(A979,'Pinlist(S5)'!$C$4:$C$1362,'Pinlist(S5)'!$E$4:$E$1362,""),_xlpm.cleanRaw,SUBSTITUTE(SUBSTITUTE(_xlpm.raw,"_PIN","."),"PIN","."),_xlpm.mainPart,MID(_xlpm.cleanRaw,2,FIND(".",_xlpm.cleanRaw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9" t="str">
        <f>""</f>
        <v/>
      </c>
      <c r="J979" t="str">
        <f t="shared" si="15"/>
        <v>AR8;VSS;;4.489;18.211;;;;</v>
      </c>
    </row>
    <row r="980" spans="1:10">
      <c r="A980" t="s">
        <v>881</v>
      </c>
      <c r="B980" t="str">
        <f>_xlfn.XLOOKUP(A980,'Pinlist(S1)'!$Q$4:$Q$1362,'Pinlist(S1)'!$R$4:$R$1362,"")</f>
        <v>GPP_B_5_SRCCLKREQB_0</v>
      </c>
      <c r="C980" t="str" cm="1">
        <f t="array" ref="C980">_xlfn.TEXTJOIN(",",TRUE,_xlfn.UNIQUE(TRANSPOSE(_xlfn.MAP(_xlfn.XLOOKUP(A980,'Pinlist(S1)'!$C$4:$C$1362,'Pinlist(S1)'!$F$4:$K$1362,""),_xlfn.LAMBDA(_xlpm.x,IF(_xlpm.x&lt;&gt;"",TRIM(CLEAN(LEFT(_xlpm.x,FIND(".",_xlpm.x &amp; ".")-1))),""))))))</f>
        <v/>
      </c>
      <c r="D980">
        <v>5.4029999999999898</v>
      </c>
      <c r="E980">
        <v>18.210999999999999</v>
      </c>
      <c r="F980" t="str">
        <f>_xlfn.LET(_xlpm.raw,_xlfn.XLOOKUP(A980,'Pinlist(S1)'!$C$4:$C$1362,'Pinlist(S1)'!$E$4:$E$1362,""),_xlpm.cleanRaw,SUBSTITUTE(SUBSTITUTE(_xlpm.raw,"_PIN","."),"PIN","."),_xlpm.mainPart,MID(_xlpm.cleanRaw,2,FIND(".",_xlpm.cleanRaw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508045</v>
      </c>
      <c r="G980" t="str">
        <f>_xlfn.LET(_xlpm.raw,_xlfn.XLOOKUP(A980,'Pinlist(S3)'!$C$4:$C$1362,'Pinlist(S3)'!$E$4:$E$1362,""),_xlpm.cleanRaw,SUBSTITUTE(SUBSTITUTE(_xlpm.raw,"_PIN","."),"PIN","."),_xlpm.mainPart,MID(_xlpm.cleanRaw,2,FIND(".",_xlpm.cleanRaw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804019</v>
      </c>
      <c r="H980" t="str">
        <f>_xlfn.LET(_xlpm.raw,_xlfn.XLOOKUP(A980,'Pinlist(S5)'!$C$4:$C$1362,'Pinlist(S5)'!$E$4:$E$1362,""),_xlpm.cleanRaw,SUBSTITUTE(SUBSTITUTE(_xlpm.raw,"_PIN","."),"PIN","."),_xlpm.mainPart,MID(_xlpm.cleanRaw,2,FIND(".",_xlpm.cleanRaw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703010</v>
      </c>
      <c r="I980" t="str">
        <f>""</f>
        <v/>
      </c>
      <c r="J980" t="str">
        <f t="shared" si="15"/>
        <v>AR10;GPP_B_5_SRCCLKREQB_0;;5.40299999999999;18.211;508045;804019;703010;</v>
      </c>
    </row>
    <row r="981" spans="1:10">
      <c r="A981" t="s">
        <v>1995</v>
      </c>
      <c r="B981" t="str">
        <f>_xlfn.XLOOKUP(A981,'Pinlist(S1)'!$Q$4:$Q$1362,'Pinlist(S1)'!$R$4:$R$1362,"")</f>
        <v>VSS</v>
      </c>
      <c r="C981" t="str" cm="1">
        <f t="array" ref="C981">_xlfn.TEXTJOIN(",",TRUE,_xlfn.UNIQUE(TRANSPOSE(_xlfn.MAP(_xlfn.XLOOKUP(A981,'Pinlist(S1)'!$C$4:$C$1362,'Pinlist(S1)'!$F$4:$K$1362,""),_xlfn.LAMBDA(_xlpm.x,IF(_xlpm.x&lt;&gt;"",TRIM(CLEAN(LEFT(_xlpm.x,FIND(".",_xlpm.x &amp; ".")-1))),""))))))</f>
        <v/>
      </c>
      <c r="D981">
        <v>6.3179999999999898</v>
      </c>
      <c r="E981">
        <v>18.210999999999999</v>
      </c>
      <c r="F981" t="str">
        <f>_xlfn.LET(_xlpm.raw,_xlfn.XLOOKUP(A981,'Pinlist(S1)'!$C$4:$C$1362,'Pinlist(S1)'!$E$4:$E$1362,""),_xlpm.cleanRaw,SUBSTITUTE(SUBSTITUTE(_xlpm.raw,"_PIN","."),"PIN","."),_xlpm.mainPart,MID(_xlpm.cleanRaw,2,FIND(".",_xlpm.cleanRaw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1" t="str">
        <f>_xlfn.LET(_xlpm.raw,_xlfn.XLOOKUP(A981,'Pinlist(S3)'!$C$4:$C$1362,'Pinlist(S3)'!$E$4:$E$1362,""),_xlpm.cleanRaw,SUBSTITUTE(SUBSTITUTE(_xlpm.raw,"_PIN","."),"PIN","."),_xlpm.mainPart,MID(_xlpm.cleanRaw,2,FIND(".",_xlpm.cleanRaw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1" t="str">
        <f>_xlfn.LET(_xlpm.raw,_xlfn.XLOOKUP(A981,'Pinlist(S5)'!$C$4:$C$1362,'Pinlist(S5)'!$E$4:$E$1362,""),_xlpm.cleanRaw,SUBSTITUTE(SUBSTITUTE(_xlpm.raw,"_PIN","."),"PIN","."),_xlpm.mainPart,MID(_xlpm.cleanRaw,2,FIND(".",_xlpm.cleanRaw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1" t="str">
        <f>""</f>
        <v/>
      </c>
      <c r="J981" t="str">
        <f t="shared" si="15"/>
        <v>AR11;VSS;;6.31799999999999;18.211;;;;</v>
      </c>
    </row>
    <row r="982" spans="1:10">
      <c r="A982" t="s">
        <v>805</v>
      </c>
      <c r="B982" t="str">
        <f>_xlfn.XLOOKUP(A982,'Pinlist(S1)'!$Q$4:$Q$1362,'Pinlist(S1)'!$R$4:$R$1362,"")</f>
        <v>GPP_A_13_SUSWARNB_SUSPWRDNACK</v>
      </c>
      <c r="C982" t="str" cm="1">
        <f t="array" ref="C982">_xlfn.TEXTJOIN(",",TRUE,_xlfn.UNIQUE(TRANSPOSE(_xlfn.MAP(_xlfn.XLOOKUP(A982,'Pinlist(S1)'!$C$4:$C$1362,'Pinlist(S1)'!$F$4:$K$1362,""),_xlfn.LAMBDA(_xlpm.x,IF(_xlpm.x&lt;&gt;"",TRIM(CLEAN(LEFT(_xlpm.x,FIND(".",_xlpm.x &amp; ".")-1))),""))))))</f>
        <v/>
      </c>
      <c r="D982">
        <v>7.2319999999999904</v>
      </c>
      <c r="E982">
        <v>18.210999999999999</v>
      </c>
      <c r="F982" t="str">
        <f>_xlfn.LET(_xlpm.raw,_xlfn.XLOOKUP(A982,'Pinlist(S1)'!$C$4:$C$1362,'Pinlist(S1)'!$E$4:$E$1362,""),_xlpm.cleanRaw,SUBSTITUTE(SUBSTITUTE(_xlpm.raw,"_PIN","."),"PIN","."),_xlpm.mainPart,MID(_xlpm.cleanRaw,2,FIND(".",_xlpm.cleanRaw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505074</v>
      </c>
      <c r="G982" t="str">
        <f>_xlfn.LET(_xlpm.raw,_xlfn.XLOOKUP(A982,'Pinlist(S3)'!$C$4:$C$1362,'Pinlist(S3)'!$E$4:$E$1362,""),_xlpm.cleanRaw,SUBSTITUTE(SUBSTITUTE(_xlpm.raw,"_PIN","."),"PIN","."),_xlpm.mainPart,MID(_xlpm.cleanRaw,2,FIND(".",_xlpm.cleanRaw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808073</v>
      </c>
      <c r="H982" t="str">
        <f>_xlfn.LET(_xlpm.raw,_xlfn.XLOOKUP(A982,'Pinlist(S5)'!$C$4:$C$1362,'Pinlist(S5)'!$E$4:$E$1362,""),_xlpm.cleanRaw,SUBSTITUTE(SUBSTITUTE(_xlpm.raw,"_PIN","."),"PIN","."),_xlpm.mainPart,MID(_xlpm.cleanRaw,2,FIND(".",_xlpm.cleanRaw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701108</v>
      </c>
      <c r="I982" t="str">
        <f>""</f>
        <v/>
      </c>
      <c r="J982" t="str">
        <f t="shared" si="15"/>
        <v>AR13;GPP_A_13_SUSWARNB_SUSPWRDNACK;;7.23199999999999;18.211;505074;808073;701108;</v>
      </c>
    </row>
    <row r="983" spans="1:10">
      <c r="A983" t="s">
        <v>1996</v>
      </c>
      <c r="B983" t="str">
        <f>_xlfn.XLOOKUP(A983,'Pinlist(S1)'!$Q$4:$Q$1362,'Pinlist(S1)'!$R$4:$R$1362,"")</f>
        <v>VSS</v>
      </c>
      <c r="C983" t="str" cm="1">
        <f t="array" ref="C983">_xlfn.TEXTJOIN(",",TRUE,_xlfn.UNIQUE(TRANSPOSE(_xlfn.MAP(_xlfn.XLOOKUP(A983,'Pinlist(S1)'!$C$4:$C$1362,'Pinlist(S1)'!$F$4:$K$1362,""),_xlfn.LAMBDA(_xlpm.x,IF(_xlpm.x&lt;&gt;"",TRIM(CLEAN(LEFT(_xlpm.x,FIND(".",_xlpm.x &amp; ".")-1))),""))))))</f>
        <v/>
      </c>
      <c r="D983">
        <v>8.1460000000000008</v>
      </c>
      <c r="E983">
        <v>18.210999999999999</v>
      </c>
      <c r="F983" t="str">
        <f>_xlfn.LET(_xlpm.raw,_xlfn.XLOOKUP(A983,'Pinlist(S1)'!$C$4:$C$1362,'Pinlist(S1)'!$E$4:$E$1362,""),_xlpm.cleanRaw,SUBSTITUTE(SUBSTITUTE(_xlpm.raw,"_PIN","."),"PIN","."),_xlpm.mainPart,MID(_xlpm.cleanRaw,2,FIND(".",_xlpm.cleanRaw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3" t="str">
        <f>_xlfn.LET(_xlpm.raw,_xlfn.XLOOKUP(A983,'Pinlist(S3)'!$C$4:$C$1362,'Pinlist(S3)'!$E$4:$E$1362,""),_xlpm.cleanRaw,SUBSTITUTE(SUBSTITUTE(_xlpm.raw,"_PIN","."),"PIN","."),_xlpm.mainPart,MID(_xlpm.cleanRaw,2,FIND(".",_xlpm.cleanRaw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3" t="str">
        <f>_xlfn.LET(_xlpm.raw,_xlfn.XLOOKUP(A983,'Pinlist(S5)'!$C$4:$C$1362,'Pinlist(S5)'!$E$4:$E$1362,""),_xlpm.cleanRaw,SUBSTITUTE(SUBSTITUTE(_xlpm.raw,"_PIN","."),"PIN","."),_xlpm.mainPart,MID(_xlpm.cleanRaw,2,FIND(".",_xlpm.cleanRaw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3" t="str">
        <f>""</f>
        <v/>
      </c>
      <c r="J983" t="str">
        <f t="shared" si="15"/>
        <v>AR15;VSS;;8.146;18.211;;;;</v>
      </c>
    </row>
    <row r="984" spans="1:10">
      <c r="A984" t="s">
        <v>1997</v>
      </c>
      <c r="B984" t="str">
        <f>_xlfn.XLOOKUP(A984,'Pinlist(S1)'!$Q$4:$Q$1362,'Pinlist(S1)'!$R$4:$R$1362,"")</f>
        <v>VSS</v>
      </c>
      <c r="C984" t="str" cm="1">
        <f t="array" ref="C984">_xlfn.TEXTJOIN(",",TRUE,_xlfn.UNIQUE(TRANSPOSE(_xlfn.MAP(_xlfn.XLOOKUP(A984,'Pinlist(S1)'!$C$4:$C$1362,'Pinlist(S1)'!$F$4:$K$1362,""),_xlfn.LAMBDA(_xlpm.x,IF(_xlpm.x&lt;&gt;"",TRIM(CLEAN(LEFT(_xlpm.x,FIND(".",_xlpm.x &amp; ".")-1))),""))))))</f>
        <v/>
      </c>
      <c r="D984">
        <v>9.0609999999999999</v>
      </c>
      <c r="E984">
        <v>18.210999999999999</v>
      </c>
      <c r="F984" t="str">
        <f>_xlfn.LET(_xlpm.raw,_xlfn.XLOOKUP(A984,'Pinlist(S1)'!$C$4:$C$1362,'Pinlist(S1)'!$E$4:$E$1362,""),_xlpm.cleanRaw,SUBSTITUTE(SUBSTITUTE(_xlpm.raw,"_PIN","."),"PIN","."),_xlpm.mainPart,MID(_xlpm.cleanRaw,2,FIND(".",_xlpm.cleanRaw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4" t="str">
        <f>_xlfn.LET(_xlpm.raw,_xlfn.XLOOKUP(A984,'Pinlist(S3)'!$C$4:$C$1362,'Pinlist(S3)'!$E$4:$E$1362,""),_xlpm.cleanRaw,SUBSTITUTE(SUBSTITUTE(_xlpm.raw,"_PIN","."),"PIN","."),_xlpm.mainPart,MID(_xlpm.cleanRaw,2,FIND(".",_xlpm.cleanRaw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4" t="str">
        <f>_xlfn.LET(_xlpm.raw,_xlfn.XLOOKUP(A984,'Pinlist(S5)'!$C$4:$C$1362,'Pinlist(S5)'!$E$4:$E$1362,""),_xlpm.cleanRaw,SUBSTITUTE(SUBSTITUTE(_xlpm.raw,"_PIN","."),"PIN","."),_xlpm.mainPart,MID(_xlpm.cleanRaw,2,FIND(".",_xlpm.cleanRaw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4" t="str">
        <f>""</f>
        <v/>
      </c>
      <c r="J984" t="str">
        <f t="shared" si="15"/>
        <v>AR16;VSS;;9.061;18.211;;;;</v>
      </c>
    </row>
    <row r="985" spans="1:10">
      <c r="A985" t="s">
        <v>224</v>
      </c>
      <c r="B985" t="str">
        <f>_xlfn.XLOOKUP(A985,'Pinlist(S1)'!$Q$4:$Q$1362,'Pinlist(S1)'!$R$4:$R$1362,"")</f>
        <v>DDR_COMP[0]</v>
      </c>
      <c r="C985" t="str" cm="1">
        <f t="array" ref="C985">_xlfn.TEXTJOIN(",",TRUE,_xlfn.UNIQUE(TRANSPOSE(_xlfn.MAP(_xlfn.XLOOKUP(A985,'Pinlist(S1)'!$C$4:$C$1362,'Pinlist(S1)'!$F$4:$K$1362,""),_xlfn.LAMBDA(_xlpm.x,IF(_xlpm.x&lt;&gt;"",TRIM(CLEAN(LEFT(_xlpm.x,FIND(".",_xlpm.x &amp; ".")-1))),""))))))</f>
        <v>RA105,RA104</v>
      </c>
      <c r="D985">
        <v>9.9749999999999996</v>
      </c>
      <c r="E985">
        <v>18.210999999999999</v>
      </c>
      <c r="F985" t="str">
        <f>_xlfn.LET(_xlpm.raw,_xlfn.XLOOKUP(A985,'Pinlist(S1)'!$C$4:$C$1362,'Pinlist(S1)'!$E$4:$E$1362,""),_xlpm.cleanRaw,SUBSTITUTE(SUBSTITUTE(_xlpm.raw,"_PIN","."),"PIN","."),_xlpm.mainPart,MID(_xlpm.cleanRaw,2,FIND(".",_xlpm.cleanRaw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604035</v>
      </c>
      <c r="G985" t="str">
        <f>_xlfn.LET(_xlpm.raw,_xlfn.XLOOKUP(A985,'Pinlist(S3)'!$C$4:$C$1362,'Pinlist(S3)'!$E$4:$E$1362,""),_xlpm.cleanRaw,SUBSTITUTE(SUBSTITUTE(_xlpm.raw,"_PIN","."),"PIN","."),_xlpm.mainPart,MID(_xlpm.cleanRaw,2,FIND(".",_xlpm.cleanRaw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502046</v>
      </c>
      <c r="H985" t="str">
        <f>_xlfn.LET(_xlpm.raw,_xlfn.XLOOKUP(A985,'Pinlist(S5)'!$C$4:$C$1362,'Pinlist(S5)'!$E$4:$E$1362,""),_xlpm.cleanRaw,SUBSTITUTE(SUBSTITUTE(_xlpm.raw,"_PIN","."),"PIN","."),_xlpm.mainPart,MID(_xlpm.cleanRaw,2,FIND(".",_xlpm.cleanRaw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708064</v>
      </c>
      <c r="I985" t="str">
        <f>""</f>
        <v/>
      </c>
      <c r="J985" t="str">
        <f t="shared" si="15"/>
        <v>AR18;DDR_COMP[0];RA105,RA104;9.975;18.211;604035;502046;708064;</v>
      </c>
    </row>
    <row r="986" spans="1:10">
      <c r="A986" t="s">
        <v>1998</v>
      </c>
      <c r="B986" t="str">
        <f>_xlfn.XLOOKUP(A986,'Pinlist(S1)'!$Q$4:$Q$1362,'Pinlist(S1)'!$R$4:$R$1362,"")</f>
        <v>VSS</v>
      </c>
      <c r="C986" t="str" cm="1">
        <f t="array" ref="C986">_xlfn.TEXTJOIN(",",TRUE,_xlfn.UNIQUE(TRANSPOSE(_xlfn.MAP(_xlfn.XLOOKUP(A986,'Pinlist(S1)'!$C$4:$C$1362,'Pinlist(S1)'!$F$4:$K$1362,""),_xlfn.LAMBDA(_xlpm.x,IF(_xlpm.x&lt;&gt;"",TRIM(CLEAN(LEFT(_xlpm.x,FIND(".",_xlpm.x &amp; ".")-1))),""))))))</f>
        <v/>
      </c>
      <c r="D986">
        <v>10.89</v>
      </c>
      <c r="E986">
        <v>18.210999999999999</v>
      </c>
      <c r="F986" t="str">
        <f>_xlfn.LET(_xlpm.raw,_xlfn.XLOOKUP(A986,'Pinlist(S1)'!$C$4:$C$1362,'Pinlist(S1)'!$E$4:$E$1362,""),_xlpm.cleanRaw,SUBSTITUTE(SUBSTITUTE(_xlpm.raw,"_PIN","."),"PIN","."),_xlpm.mainPart,MID(_xlpm.cleanRaw,2,FIND(".",_xlpm.cleanRaw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6" t="str">
        <f>_xlfn.LET(_xlpm.raw,_xlfn.XLOOKUP(A986,'Pinlist(S3)'!$C$4:$C$1362,'Pinlist(S3)'!$E$4:$E$1362,""),_xlpm.cleanRaw,SUBSTITUTE(SUBSTITUTE(_xlpm.raw,"_PIN","."),"PIN","."),_xlpm.mainPart,MID(_xlpm.cleanRaw,2,FIND(".",_xlpm.cleanRaw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6" t="str">
        <f>_xlfn.LET(_xlpm.raw,_xlfn.XLOOKUP(A986,'Pinlist(S5)'!$C$4:$C$1362,'Pinlist(S5)'!$E$4:$E$1362,""),_xlpm.cleanRaw,SUBSTITUTE(SUBSTITUTE(_xlpm.raw,"_PIN","."),"PIN","."),_xlpm.mainPart,MID(_xlpm.cleanRaw,2,FIND(".",_xlpm.cleanRaw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6" t="str">
        <f>""</f>
        <v/>
      </c>
      <c r="J986" t="str">
        <f t="shared" si="15"/>
        <v>AR20;VSS;;10.89;18.211;;;;</v>
      </c>
    </row>
    <row r="987" spans="1:10">
      <c r="A987" t="s">
        <v>706</v>
      </c>
      <c r="B987" t="str">
        <f>_xlfn.XLOOKUP(A987,'Pinlist(S1)'!$Q$4:$Q$1362,'Pinlist(S1)'!$R$4:$R$1362,"")</f>
        <v>DDRDQSP_IL17_NIL17</v>
      </c>
      <c r="C987" t="str" cm="1">
        <f t="array" ref="C987">_xlfn.TEXTJOIN(",",TRUE,_xlfn.UNIQUE(TRANSPOSE(_xlfn.MAP(_xlfn.XLOOKUP(A987,'Pinlist(S1)'!$C$4:$C$1362,'Pinlist(S1)'!$F$4:$K$1362,""),_xlfn.LAMBDA(_xlpm.x,IF(_xlpm.x&lt;&gt;"",TRIM(CLEAN(LEFT(_xlpm.x,FIND(".",_xlpm.x &amp; ".")-1))),""))))))</f>
        <v/>
      </c>
      <c r="D987">
        <v>11.804</v>
      </c>
      <c r="E987">
        <v>18.210999999999999</v>
      </c>
      <c r="F987" t="str">
        <f>_xlfn.LET(_xlpm.raw,_xlfn.XLOOKUP(A987,'Pinlist(S1)'!$C$4:$C$1362,'Pinlist(S1)'!$E$4:$E$1362,""),_xlpm.cleanRaw,SUBSTITUTE(SUBSTITUTE(_xlpm.raw,"_PIN","."),"PIN","."),_xlpm.mainPart,MID(_xlpm.cleanRaw,2,FIND(".",_xlpm.cleanRaw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609108</v>
      </c>
      <c r="G987" t="str">
        <f>_xlfn.LET(_xlpm.raw,_xlfn.XLOOKUP(A987,'Pinlist(S3)'!$C$4:$C$1362,'Pinlist(S3)'!$E$4:$E$1362,""),_xlpm.cleanRaw,SUBSTITUTE(SUBSTITUTE(_xlpm.raw,"_PIN","."),"PIN","."),_xlpm.mainPart,MID(_xlpm.cleanRaw,2,FIND(".",_xlpm.cleanRaw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803108</v>
      </c>
      <c r="H987" t="str">
        <f>_xlfn.LET(_xlpm.raw,_xlfn.XLOOKUP(A987,'Pinlist(S5)'!$C$4:$C$1362,'Pinlist(S5)'!$E$4:$E$1362,""),_xlpm.cleanRaw,SUBSTITUTE(SUBSTITUTE(_xlpm.raw,"_PIN","."),"PIN","."),_xlpm.mainPart,MID(_xlpm.cleanRaw,2,FIND(".",_xlpm.cleanRaw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704108</v>
      </c>
      <c r="I987" t="str">
        <f>""</f>
        <v/>
      </c>
      <c r="J987" t="str">
        <f t="shared" si="15"/>
        <v>AR21;DDRDQSP_IL17_NIL17;;11.804;18.211;609108;803108;704108;</v>
      </c>
    </row>
    <row r="988" spans="1:10">
      <c r="A988" t="s">
        <v>674</v>
      </c>
      <c r="B988" t="str">
        <f>_xlfn.XLOOKUP(A988,'Pinlist(S1)'!$Q$4:$Q$1362,'Pinlist(S1)'!$R$4:$R$1362,"")</f>
        <v>DDRDQSN_IL17_NIL17</v>
      </c>
      <c r="C988" t="str" cm="1">
        <f t="array" ref="C988">_xlfn.TEXTJOIN(",",TRUE,_xlfn.UNIQUE(TRANSPOSE(_xlfn.MAP(_xlfn.XLOOKUP(A988,'Pinlist(S1)'!$C$4:$C$1362,'Pinlist(S1)'!$F$4:$K$1362,""),_xlfn.LAMBDA(_xlpm.x,IF(_xlpm.x&lt;&gt;"",TRIM(CLEAN(LEFT(_xlpm.x,FIND(".",_xlpm.x &amp; ".")-1))),""))))))</f>
        <v/>
      </c>
      <c r="D988">
        <v>12.718</v>
      </c>
      <c r="E988">
        <v>18.210999999999999</v>
      </c>
      <c r="F988" t="str">
        <f>_xlfn.LET(_xlpm.raw,_xlfn.XLOOKUP(A988,'Pinlist(S1)'!$C$4:$C$1362,'Pinlist(S1)'!$E$4:$E$1362,""),_xlpm.cleanRaw,SUBSTITUTE(SUBSTITUTE(_xlpm.raw,"_PIN","."),"PIN","."),_xlpm.mainPart,MID(_xlpm.cleanRaw,2,FIND(".",_xlpm.cleanRaw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609106</v>
      </c>
      <c r="G988" t="str">
        <f>_xlfn.LET(_xlpm.raw,_xlfn.XLOOKUP(A988,'Pinlist(S3)'!$C$4:$C$1362,'Pinlist(S3)'!$E$4:$E$1362,""),_xlpm.cleanRaw,SUBSTITUTE(SUBSTITUTE(_xlpm.raw,"_PIN","."),"PIN","."),_xlpm.mainPart,MID(_xlpm.cleanRaw,2,FIND(".",_xlpm.cleanRaw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803106</v>
      </c>
      <c r="H988" t="str">
        <f>_xlfn.LET(_xlpm.raw,_xlfn.XLOOKUP(A988,'Pinlist(S5)'!$C$4:$C$1362,'Pinlist(S5)'!$E$4:$E$1362,""),_xlpm.cleanRaw,SUBSTITUTE(SUBSTITUTE(_xlpm.raw,"_PIN","."),"PIN","."),_xlpm.mainPart,MID(_xlpm.cleanRaw,2,FIND(".",_xlpm.cleanRaw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704106</v>
      </c>
      <c r="I988" t="str">
        <f>""</f>
        <v/>
      </c>
      <c r="J988" t="str">
        <f t="shared" si="15"/>
        <v>AR22;DDRDQSN_IL17_NIL17;;12.718;18.211;609106;803106;704106;</v>
      </c>
    </row>
    <row r="989" spans="1:10">
      <c r="A989" t="s">
        <v>1999</v>
      </c>
      <c r="B989" t="str">
        <f>_xlfn.XLOOKUP(A989,'Pinlist(S1)'!$Q$4:$Q$1362,'Pinlist(S1)'!$R$4:$R$1362,"")</f>
        <v>VSS</v>
      </c>
      <c r="C989" t="str" cm="1">
        <f t="array" ref="C989">_xlfn.TEXTJOIN(",",TRUE,_xlfn.UNIQUE(TRANSPOSE(_xlfn.MAP(_xlfn.XLOOKUP(A989,'Pinlist(S1)'!$C$4:$C$1362,'Pinlist(S1)'!$F$4:$K$1362,""),_xlfn.LAMBDA(_xlpm.x,IF(_xlpm.x&lt;&gt;"",TRIM(CLEAN(LEFT(_xlpm.x,FIND(".",_xlpm.x &amp; ".")-1))),""))))))</f>
        <v/>
      </c>
      <c r="D989">
        <v>13.632999999999999</v>
      </c>
      <c r="E989">
        <v>18.210999999999999</v>
      </c>
      <c r="F989" t="str">
        <f>_xlfn.LET(_xlpm.raw,_xlfn.XLOOKUP(A989,'Pinlist(S1)'!$C$4:$C$1362,'Pinlist(S1)'!$E$4:$E$1362,""),_xlpm.cleanRaw,SUBSTITUTE(SUBSTITUTE(_xlpm.raw,"_PIN","."),"PIN","."),_xlpm.mainPart,MID(_xlpm.cleanRaw,2,FIND(".",_xlpm.cleanRaw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9" t="str">
        <f>_xlfn.LET(_xlpm.raw,_xlfn.XLOOKUP(A989,'Pinlist(S3)'!$C$4:$C$1362,'Pinlist(S3)'!$E$4:$E$1362,""),_xlpm.cleanRaw,SUBSTITUTE(SUBSTITUTE(_xlpm.raw,"_PIN","."),"PIN","."),_xlpm.mainPart,MID(_xlpm.cleanRaw,2,FIND(".",_xlpm.cleanRaw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9" t="str">
        <f>_xlfn.LET(_xlpm.raw,_xlfn.XLOOKUP(A989,'Pinlist(S5)'!$C$4:$C$1362,'Pinlist(S5)'!$E$4:$E$1362,""),_xlpm.cleanRaw,SUBSTITUTE(SUBSTITUTE(_xlpm.raw,"_PIN","."),"PIN","."),_xlpm.mainPart,MID(_xlpm.cleanRaw,2,FIND(".",_xlpm.cleanRaw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9" t="str">
        <f>""</f>
        <v/>
      </c>
      <c r="J989" t="str">
        <f t="shared" si="15"/>
        <v>AR23;VSS;;13.633;18.211;;;;</v>
      </c>
    </row>
    <row r="990" spans="1:10">
      <c r="A990" t="s">
        <v>672</v>
      </c>
      <c r="B990" t="str">
        <f>_xlfn.XLOOKUP(A990,'Pinlist(S1)'!$Q$4:$Q$1362,'Pinlist(S1)'!$R$4:$R$1362,"")</f>
        <v>DDRDQSN_IL16_NIL16</v>
      </c>
      <c r="C990" t="str" cm="1">
        <f t="array" ref="C990">_xlfn.TEXTJOIN(",",TRUE,_xlfn.UNIQUE(TRANSPOSE(_xlfn.MAP(_xlfn.XLOOKUP(A990,'Pinlist(S1)'!$C$4:$C$1362,'Pinlist(S1)'!$F$4:$K$1362,""),_xlfn.LAMBDA(_xlpm.x,IF(_xlpm.x&lt;&gt;"",TRIM(CLEAN(LEFT(_xlpm.x,FIND(".",_xlpm.x &amp; ".")-1))),""))))))</f>
        <v/>
      </c>
      <c r="D990">
        <v>14.547000000000001</v>
      </c>
      <c r="E990">
        <v>18.210999999999999</v>
      </c>
      <c r="F990" t="str">
        <f>_xlfn.LET(_xlpm.raw,_xlfn.XLOOKUP(A990,'Pinlist(S1)'!$C$4:$C$1362,'Pinlist(S1)'!$E$4:$E$1362,""),_xlpm.cleanRaw,SUBSTITUTE(SUBSTITUTE(_xlpm.raw,"_PIN","."),"PIN","."),_xlpm.mainPart,MID(_xlpm.cleanRaw,2,FIND(".",_xlpm.cleanRaw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609105</v>
      </c>
      <c r="G990" t="str">
        <f>_xlfn.LET(_xlpm.raw,_xlfn.XLOOKUP(A990,'Pinlist(S3)'!$C$4:$C$1362,'Pinlist(S3)'!$E$4:$E$1362,""),_xlpm.cleanRaw,SUBSTITUTE(SUBSTITUTE(_xlpm.raw,"_PIN","."),"PIN","."),_xlpm.mainPart,MID(_xlpm.cleanRaw,2,FIND(".",_xlpm.cleanRaw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803105</v>
      </c>
      <c r="H990" t="str">
        <f>_xlfn.LET(_xlpm.raw,_xlfn.XLOOKUP(A990,'Pinlist(S5)'!$C$4:$C$1362,'Pinlist(S5)'!$E$4:$E$1362,""),_xlpm.cleanRaw,SUBSTITUTE(SUBSTITUTE(_xlpm.raw,"_PIN","."),"PIN","."),_xlpm.mainPart,MID(_xlpm.cleanRaw,2,FIND(".",_xlpm.cleanRaw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704105</v>
      </c>
      <c r="I990" t="str">
        <f>""</f>
        <v/>
      </c>
      <c r="J990" t="str">
        <f t="shared" si="15"/>
        <v>AR25;DDRDQSN_IL16_NIL16;;14.547;18.211;609105;803105;704105;</v>
      </c>
    </row>
    <row r="991" spans="1:10">
      <c r="A991" t="s">
        <v>704</v>
      </c>
      <c r="B991" t="str">
        <f>_xlfn.XLOOKUP(A991,'Pinlist(S1)'!$Q$4:$Q$1362,'Pinlist(S1)'!$R$4:$R$1362,"")</f>
        <v>DDRDQSP_IL16_NIL16</v>
      </c>
      <c r="C991" t="str" cm="1">
        <f t="array" ref="C991">_xlfn.TEXTJOIN(",",TRUE,_xlfn.UNIQUE(TRANSPOSE(_xlfn.MAP(_xlfn.XLOOKUP(A991,'Pinlist(S1)'!$C$4:$C$1362,'Pinlist(S1)'!$F$4:$K$1362,""),_xlfn.LAMBDA(_xlpm.x,IF(_xlpm.x&lt;&gt;"",TRIM(CLEAN(LEFT(_xlpm.x,FIND(".",_xlpm.x &amp; ".")-1))),""))))))</f>
        <v/>
      </c>
      <c r="D991">
        <v>15.462</v>
      </c>
      <c r="E991">
        <v>18.210999999999999</v>
      </c>
      <c r="F991" t="str">
        <f>_xlfn.LET(_xlpm.raw,_xlfn.XLOOKUP(A991,'Pinlist(S1)'!$C$4:$C$1362,'Pinlist(S1)'!$E$4:$E$1362,""),_xlpm.cleanRaw,SUBSTITUTE(SUBSTITUTE(_xlpm.raw,"_PIN","."),"PIN","."),_xlpm.mainPart,MID(_xlpm.cleanRaw,2,FIND(".",_xlpm.cleanRaw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609103</v>
      </c>
      <c r="G991" t="str">
        <f>_xlfn.LET(_xlpm.raw,_xlfn.XLOOKUP(A991,'Pinlist(S3)'!$C$4:$C$1362,'Pinlist(S3)'!$E$4:$E$1362,""),_xlpm.cleanRaw,SUBSTITUTE(SUBSTITUTE(_xlpm.raw,"_PIN","."),"PIN","."),_xlpm.mainPart,MID(_xlpm.cleanRaw,2,FIND(".",_xlpm.cleanRaw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803103</v>
      </c>
      <c r="H991" t="str">
        <f>_xlfn.LET(_xlpm.raw,_xlfn.XLOOKUP(A991,'Pinlist(S5)'!$C$4:$C$1362,'Pinlist(S5)'!$E$4:$E$1362,""),_xlpm.cleanRaw,SUBSTITUTE(SUBSTITUTE(_xlpm.raw,"_PIN","."),"PIN","."),_xlpm.mainPart,MID(_xlpm.cleanRaw,2,FIND(".",_xlpm.cleanRaw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704103</v>
      </c>
      <c r="I991" t="str">
        <f>""</f>
        <v/>
      </c>
      <c r="J991" t="str">
        <f t="shared" si="15"/>
        <v>AR27;DDRDQSP_IL16_NIL16;;15.462;18.211;609103;803103;704103;</v>
      </c>
    </row>
    <row r="992" spans="1:10">
      <c r="A992" t="s">
        <v>2000</v>
      </c>
      <c r="B992" t="str">
        <f>_xlfn.XLOOKUP(A992,'Pinlist(S1)'!$Q$4:$Q$1362,'Pinlist(S1)'!$R$4:$R$1362,"")</f>
        <v>VSS</v>
      </c>
      <c r="C992" t="str" cm="1">
        <f t="array" ref="C992">_xlfn.TEXTJOIN(",",TRUE,_xlfn.UNIQUE(TRANSPOSE(_xlfn.MAP(_xlfn.XLOOKUP(A992,'Pinlist(S1)'!$C$4:$C$1362,'Pinlist(S1)'!$F$4:$K$1362,""),_xlfn.LAMBDA(_xlpm.x,IF(_xlpm.x&lt;&gt;"",TRIM(CLEAN(LEFT(_xlpm.x,FIND(".",_xlpm.x &amp; ".")-1))),""))))))</f>
        <v/>
      </c>
      <c r="D992">
        <v>16.376000000000001</v>
      </c>
      <c r="E992">
        <v>18.210999999999999</v>
      </c>
      <c r="F992" t="str">
        <f>_xlfn.LET(_xlpm.raw,_xlfn.XLOOKUP(A992,'Pinlist(S1)'!$C$4:$C$1362,'Pinlist(S1)'!$E$4:$E$1362,""),_xlpm.cleanRaw,SUBSTITUTE(SUBSTITUTE(_xlpm.raw,"_PIN","."),"PIN","."),_xlpm.mainPart,MID(_xlpm.cleanRaw,2,FIND(".",_xlpm.cleanRaw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2" t="str">
        <f>_xlfn.LET(_xlpm.raw,_xlfn.XLOOKUP(A992,'Pinlist(S3)'!$C$4:$C$1362,'Pinlist(S3)'!$E$4:$E$1362,""),_xlpm.cleanRaw,SUBSTITUTE(SUBSTITUTE(_xlpm.raw,"_PIN","."),"PIN","."),_xlpm.mainPart,MID(_xlpm.cleanRaw,2,FIND(".",_xlpm.cleanRaw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2" t="str">
        <f>_xlfn.LET(_xlpm.raw,_xlfn.XLOOKUP(A992,'Pinlist(S5)'!$C$4:$C$1362,'Pinlist(S5)'!$E$4:$E$1362,""),_xlpm.cleanRaw,SUBSTITUTE(SUBSTITUTE(_xlpm.raw,"_PIN","."),"PIN","."),_xlpm.mainPart,MID(_xlpm.cleanRaw,2,FIND(".",_xlpm.cleanRaw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92" t="str">
        <f>""</f>
        <v/>
      </c>
      <c r="J992" t="str">
        <f t="shared" si="15"/>
        <v>AR28;VSS;;16.376;18.211;;;;</v>
      </c>
    </row>
    <row r="993" spans="1:10">
      <c r="A993" t="s">
        <v>608</v>
      </c>
      <c r="B993" t="str">
        <f>_xlfn.XLOOKUP(A993,'Pinlist(S1)'!$Q$4:$Q$1362,'Pinlist(S1)'!$R$4:$R$1362,"")</f>
        <v>DDRDQ_IL15_NIL13[6]</v>
      </c>
      <c r="C993" t="str" cm="1">
        <f t="array" ref="C993">_xlfn.TEXTJOIN(",",TRUE,_xlfn.UNIQUE(TRANSPOSE(_xlfn.MAP(_xlfn.XLOOKUP(A993,'Pinlist(S1)'!$C$4:$C$1362,'Pinlist(S1)'!$F$4:$K$1362,""),_xlfn.LAMBDA(_xlpm.x,IF(_xlpm.x&lt;&gt;"",TRIM(CLEAN(LEFT(_xlpm.x,FIND(".",_xlpm.x &amp; ".")-1))),""))))))</f>
        <v/>
      </c>
      <c r="D993">
        <v>17.29</v>
      </c>
      <c r="E993">
        <v>18.210999999999999</v>
      </c>
      <c r="F993" t="str">
        <f>_xlfn.LET(_xlpm.raw,_xlfn.XLOOKUP(A993,'Pinlist(S1)'!$C$4:$C$1362,'Pinlist(S1)'!$E$4:$E$1362,""),_xlpm.cleanRaw,SUBSTITUTE(SUBSTITUTE(_xlpm.raw,"_PIN","."),"PIN","."),_xlpm.mainPart,MID(_xlpm.cleanRaw,2,FIND(".",_xlpm.cleanRaw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609085</v>
      </c>
      <c r="G993" t="str">
        <f>_xlfn.LET(_xlpm.raw,_xlfn.XLOOKUP(A993,'Pinlist(S3)'!$C$4:$C$1362,'Pinlist(S3)'!$E$4:$E$1362,""),_xlpm.cleanRaw,SUBSTITUTE(SUBSTITUTE(_xlpm.raw,"_PIN","."),"PIN","."),_xlpm.mainPart,MID(_xlpm.cleanRaw,2,FIND(".",_xlpm.cleanRaw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803128</v>
      </c>
      <c r="H993" t="str">
        <f>_xlfn.LET(_xlpm.raw,_xlfn.XLOOKUP(A993,'Pinlist(S5)'!$C$4:$C$1362,'Pinlist(S5)'!$E$4:$E$1362,""),_xlpm.cleanRaw,SUBSTITUTE(SUBSTITUTE(_xlpm.raw,"_PIN","."),"PIN","."),_xlpm.mainPart,MID(_xlpm.cleanRaw,2,FIND(".",_xlpm.cleanRaw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704085</v>
      </c>
      <c r="I993" t="str">
        <f>""</f>
        <v/>
      </c>
      <c r="J993" t="str">
        <f t="shared" si="15"/>
        <v>AR30;DDRDQ_IL15_NIL13[6];;17.29;18.211;609085;803128;704085;</v>
      </c>
    </row>
    <row r="994" spans="1:10">
      <c r="A994" t="s">
        <v>702</v>
      </c>
      <c r="B994" t="str">
        <f>_xlfn.XLOOKUP(A994,'Pinlist(S1)'!$Q$4:$Q$1362,'Pinlist(S1)'!$R$4:$R$1362,"")</f>
        <v>DDRDQSP_IL15_NIL13</v>
      </c>
      <c r="C994" t="str" cm="1">
        <f t="array" ref="C994">_xlfn.TEXTJOIN(",",TRUE,_xlfn.UNIQUE(TRANSPOSE(_xlfn.MAP(_xlfn.XLOOKUP(A994,'Pinlist(S1)'!$C$4:$C$1362,'Pinlist(S1)'!$F$4:$K$1362,""),_xlfn.LAMBDA(_xlpm.x,IF(_xlpm.x&lt;&gt;"",TRIM(CLEAN(LEFT(_xlpm.x,FIND(".",_xlpm.x &amp; ".")-1))),""))))))</f>
        <v/>
      </c>
      <c r="D994">
        <v>18.204999999999998</v>
      </c>
      <c r="E994">
        <v>18.210999999999999</v>
      </c>
      <c r="F994" t="str">
        <f>_xlfn.LET(_xlpm.raw,_xlfn.XLOOKUP(A994,'Pinlist(S1)'!$C$4:$C$1362,'Pinlist(S1)'!$E$4:$E$1362,""),_xlpm.cleanRaw,SUBSTITUTE(SUBSTITUTE(_xlpm.raw,"_PIN","."),"PIN","."),_xlpm.mainPart,MID(_xlpm.cleanRaw,2,FIND(".",_xlpm.cleanRaw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608044</v>
      </c>
      <c r="G994" t="str">
        <f>_xlfn.LET(_xlpm.raw,_xlfn.XLOOKUP(A994,'Pinlist(S3)'!$C$4:$C$1362,'Pinlist(S3)'!$E$4:$E$1362,""),_xlpm.cleanRaw,SUBSTITUTE(SUBSTITUTE(_xlpm.raw,"_PIN","."),"PIN","."),_xlpm.mainPart,MID(_xlpm.cleanRaw,2,FIND(".",_xlpm.cleanRaw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802044</v>
      </c>
      <c r="H994" t="str">
        <f>_xlfn.LET(_xlpm.raw,_xlfn.XLOOKUP(A994,'Pinlist(S5)'!$C$4:$C$1362,'Pinlist(S5)'!$E$4:$E$1362,""),_xlpm.cleanRaw,SUBSTITUTE(SUBSTITUTE(_xlpm.raw,"_PIN","."),"PIN","."),_xlpm.mainPart,MID(_xlpm.cleanRaw,2,FIND(".",_xlpm.cleanRaw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705044</v>
      </c>
      <c r="I994" t="str">
        <f>""</f>
        <v/>
      </c>
      <c r="J994" t="str">
        <f t="shared" si="15"/>
        <v>AR32;DDRDQSP_IL15_NIL13;;18.205;18.211;608044;802044;705044;</v>
      </c>
    </row>
    <row r="995" spans="1:10">
      <c r="A995" t="s">
        <v>604</v>
      </c>
      <c r="B995" t="str">
        <f>_xlfn.XLOOKUP(A995,'Pinlist(S1)'!$Q$4:$Q$1362,'Pinlist(S1)'!$R$4:$R$1362,"")</f>
        <v>DDRDQ_IL15_NIL13[4]</v>
      </c>
      <c r="C995" t="str" cm="1">
        <f t="array" ref="C995">_xlfn.TEXTJOIN(",",TRUE,_xlfn.UNIQUE(TRANSPOSE(_xlfn.MAP(_xlfn.XLOOKUP(A995,'Pinlist(S1)'!$C$4:$C$1362,'Pinlist(S1)'!$F$4:$K$1362,""),_xlfn.LAMBDA(_xlpm.x,IF(_xlpm.x&lt;&gt;"",TRIM(CLEAN(LEFT(_xlpm.x,FIND(".",_xlpm.x &amp; ".")-1))),""))))))</f>
        <v/>
      </c>
      <c r="D995">
        <v>19.119</v>
      </c>
      <c r="E995">
        <v>18.210999999999999</v>
      </c>
      <c r="F995" t="str">
        <f>_xlfn.LET(_xlpm.raw,_xlfn.XLOOKUP(A995,'Pinlist(S1)'!$C$4:$C$1362,'Pinlist(S1)'!$E$4:$E$1362,""),_xlpm.cleanRaw,SUBSTITUTE(SUBSTITUTE(_xlpm.raw,"_PIN","."),"PIN","."),_xlpm.mainPart,MID(_xlpm.cleanRaw,2,FIND(".",_xlpm.cleanRaw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608043</v>
      </c>
      <c r="G995" t="str">
        <f>_xlfn.LET(_xlpm.raw,_xlfn.XLOOKUP(A995,'Pinlist(S3)'!$C$4:$C$1362,'Pinlist(S3)'!$E$4:$E$1362,""),_xlpm.cleanRaw,SUBSTITUTE(SUBSTITUTE(_xlpm.raw,"_PIN","."),"PIN","."),_xlpm.mainPart,MID(_xlpm.cleanRaw,2,FIND(".",_xlpm.cleanRaw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802043</v>
      </c>
      <c r="H995" t="str">
        <f>_xlfn.LET(_xlpm.raw,_xlfn.XLOOKUP(A995,'Pinlist(S5)'!$C$4:$C$1362,'Pinlist(S5)'!$E$4:$E$1362,""),_xlpm.cleanRaw,SUBSTITUTE(SUBSTITUTE(_xlpm.raw,"_PIN","."),"PIN","."),_xlpm.mainPart,MID(_xlpm.cleanRaw,2,FIND(".",_xlpm.cleanRaw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705043</v>
      </c>
      <c r="I995" t="str">
        <f>""</f>
        <v/>
      </c>
      <c r="J995" t="str">
        <f t="shared" si="15"/>
        <v>AR33;DDRDQ_IL15_NIL13[4];;19.119;18.211;608043;802043;705043;</v>
      </c>
    </row>
    <row r="996" spans="1:10">
      <c r="A996" t="s">
        <v>2001</v>
      </c>
      <c r="B996" t="str">
        <f>_xlfn.XLOOKUP(A996,'Pinlist(S1)'!$Q$4:$Q$1362,'Pinlist(S1)'!$R$4:$R$1362,"")</f>
        <v>VSS</v>
      </c>
      <c r="C996" t="str" cm="1">
        <f t="array" ref="C996">_xlfn.TEXTJOIN(",",TRUE,_xlfn.UNIQUE(TRANSPOSE(_xlfn.MAP(_xlfn.XLOOKUP(A996,'Pinlist(S1)'!$C$4:$C$1362,'Pinlist(S1)'!$F$4:$K$1362,""),_xlfn.LAMBDA(_xlpm.x,IF(_xlpm.x&lt;&gt;"",TRIM(CLEAN(LEFT(_xlpm.x,FIND(".",_xlpm.x &amp; ".")-1))),""))))))</f>
        <v/>
      </c>
      <c r="D996">
        <v>20.033999999999999</v>
      </c>
      <c r="E996">
        <v>18.210999999999999</v>
      </c>
      <c r="F996" t="str">
        <f>_xlfn.LET(_xlpm.raw,_xlfn.XLOOKUP(A996,'Pinlist(S1)'!$C$4:$C$1362,'Pinlist(S1)'!$E$4:$E$1362,""),_xlpm.cleanRaw,SUBSTITUTE(SUBSTITUTE(_xlpm.raw,"_PIN","."),"PIN","."),_xlpm.mainPart,MID(_xlpm.cleanRaw,2,FIND(".",_xlpm.cleanRaw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6" t="str">
        <f>_xlfn.LET(_xlpm.raw,_xlfn.XLOOKUP(A996,'Pinlist(S3)'!$C$4:$C$1362,'Pinlist(S3)'!$E$4:$E$1362,""),_xlpm.cleanRaw,SUBSTITUTE(SUBSTITUTE(_xlpm.raw,"_PIN","."),"PIN","."),_xlpm.mainPart,MID(_xlpm.cleanRaw,2,FIND(".",_xlpm.cleanRaw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6" t="str">
        <f>_xlfn.LET(_xlpm.raw,_xlfn.XLOOKUP(A996,'Pinlist(S5)'!$C$4:$C$1362,'Pinlist(S5)'!$E$4:$E$1362,""),_xlpm.cleanRaw,SUBSTITUTE(SUBSTITUTE(_xlpm.raw,"_PIN","."),"PIN","."),_xlpm.mainPart,MID(_xlpm.cleanRaw,2,FIND(".",_xlpm.cleanRaw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96" t="str">
        <f>""</f>
        <v/>
      </c>
      <c r="J996" t="str">
        <f t="shared" si="15"/>
        <v>AR35;VSS;;20.034;18.211;;;;</v>
      </c>
    </row>
    <row r="997" spans="1:10">
      <c r="A997" t="s">
        <v>594</v>
      </c>
      <c r="B997" t="str">
        <f>_xlfn.XLOOKUP(A997,'Pinlist(S1)'!$Q$4:$Q$1362,'Pinlist(S1)'!$R$4:$R$1362,"")</f>
        <v>DDRDQ_IL14_NIL12[7]</v>
      </c>
      <c r="C997" t="str" cm="1">
        <f t="array" ref="C997">_xlfn.TEXTJOIN(",",TRUE,_xlfn.UNIQUE(TRANSPOSE(_xlfn.MAP(_xlfn.XLOOKUP(A997,'Pinlist(S1)'!$C$4:$C$1362,'Pinlist(S1)'!$F$4:$K$1362,""),_xlfn.LAMBDA(_xlpm.x,IF(_xlpm.x&lt;&gt;"",TRIM(CLEAN(LEFT(_xlpm.x,FIND(".",_xlpm.x &amp; ".")-1))),""))))))</f>
        <v/>
      </c>
      <c r="D997">
        <v>20.948</v>
      </c>
      <c r="E997">
        <v>18.210999999999999</v>
      </c>
      <c r="F997" t="str">
        <f>_xlfn.LET(_xlpm.raw,_xlfn.XLOOKUP(A997,'Pinlist(S1)'!$C$4:$C$1362,'Pinlist(S1)'!$E$4:$E$1362,""),_xlpm.cleanRaw,SUBSTITUTE(SUBSTITUTE(_xlpm.raw,"_PIN","."),"PIN","."),_xlpm.mainPart,MID(_xlpm.cleanRaw,2,FIND(".",_xlpm.cleanRaw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608051</v>
      </c>
      <c r="G997" t="str">
        <f>_xlfn.LET(_xlpm.raw,_xlfn.XLOOKUP(A997,'Pinlist(S3)'!$C$4:$C$1362,'Pinlist(S3)'!$E$4:$E$1362,""),_xlpm.cleanRaw,SUBSTITUTE(SUBSTITUTE(_xlpm.raw,"_PIN","."),"PIN","."),_xlpm.mainPart,MID(_xlpm.cleanRaw,2,FIND(".",_xlpm.cleanRaw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802052</v>
      </c>
      <c r="H997" t="str">
        <f>_xlfn.LET(_xlpm.raw,_xlfn.XLOOKUP(A997,'Pinlist(S5)'!$C$4:$C$1362,'Pinlist(S5)'!$E$4:$E$1362,""),_xlpm.cleanRaw,SUBSTITUTE(SUBSTITUTE(_xlpm.raw,"_PIN","."),"PIN","."),_xlpm.mainPart,MID(_xlpm.cleanRaw,2,FIND(".",_xlpm.cleanRaw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705052</v>
      </c>
      <c r="I997" t="str">
        <f>""</f>
        <v/>
      </c>
      <c r="J997" t="str">
        <f t="shared" si="15"/>
        <v>AR37;DDRDQ_IL14_NIL12[7];;20.948;18.211;608051;802052;705052;</v>
      </c>
    </row>
    <row r="998" spans="1:10">
      <c r="A998" t="s">
        <v>700</v>
      </c>
      <c r="B998" t="str">
        <f>_xlfn.XLOOKUP(A998,'Pinlist(S1)'!$Q$4:$Q$1362,'Pinlist(S1)'!$R$4:$R$1362,"")</f>
        <v>DDRDQSP_IL14_NIL12</v>
      </c>
      <c r="C998" t="str" cm="1">
        <f t="array" ref="C998">_xlfn.TEXTJOIN(",",TRUE,_xlfn.UNIQUE(TRANSPOSE(_xlfn.MAP(_xlfn.XLOOKUP(A998,'Pinlist(S1)'!$C$4:$C$1362,'Pinlist(S1)'!$F$4:$K$1362,""),_xlfn.LAMBDA(_xlpm.x,IF(_xlpm.x&lt;&gt;"",TRIM(CLEAN(LEFT(_xlpm.x,FIND(".",_xlpm.x &amp; ".")-1))),""))))))</f>
        <v/>
      </c>
      <c r="D998">
        <v>21.861999999999998</v>
      </c>
      <c r="E998">
        <v>18.210999999999999</v>
      </c>
      <c r="F998" t="str">
        <f>_xlfn.LET(_xlpm.raw,_xlfn.XLOOKUP(A998,'Pinlist(S1)'!$C$4:$C$1362,'Pinlist(S1)'!$E$4:$E$1362,""),_xlpm.cleanRaw,SUBSTITUTE(SUBSTITUTE(_xlpm.raw,"_PIN","."),"PIN","."),_xlpm.mainPart,MID(_xlpm.cleanRaw,2,FIND(".",_xlpm.cleanRaw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607012</v>
      </c>
      <c r="G998" t="str">
        <f>_xlfn.LET(_xlpm.raw,_xlfn.XLOOKUP(A998,'Pinlist(S3)'!$C$4:$C$1362,'Pinlist(S3)'!$E$4:$E$1362,""),_xlpm.cleanRaw,SUBSTITUTE(SUBSTITUTE(_xlpm.raw,"_PIN","."),"PIN","."),_xlpm.mainPart,MID(_xlpm.cleanRaw,2,FIND(".",_xlpm.cleanRaw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802051</v>
      </c>
      <c r="H998" t="str">
        <f>_xlfn.LET(_xlpm.raw,_xlfn.XLOOKUP(A998,'Pinlist(S5)'!$C$4:$C$1362,'Pinlist(S5)'!$E$4:$E$1362,""),_xlpm.cleanRaw,SUBSTITUTE(SUBSTITUTE(_xlpm.raw,"_PIN","."),"PIN","."),_xlpm.mainPart,MID(_xlpm.cleanRaw,2,FIND(".",_xlpm.cleanRaw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705051</v>
      </c>
      <c r="I998" t="str">
        <f>""</f>
        <v/>
      </c>
      <c r="J998" t="str">
        <f t="shared" si="15"/>
        <v>AR38;DDRDQSP_IL14_NIL12;;21.862;18.211;607012;802051;705051;</v>
      </c>
    </row>
    <row r="999" spans="1:10">
      <c r="A999" t="s">
        <v>588</v>
      </c>
      <c r="B999" t="str">
        <f>_xlfn.XLOOKUP(A999,'Pinlist(S1)'!$Q$4:$Q$1362,'Pinlist(S1)'!$R$4:$R$1362,"")</f>
        <v>DDRDQ_IL14_NIL12[4]</v>
      </c>
      <c r="C999" t="str" cm="1">
        <f t="array" ref="C999">_xlfn.TEXTJOIN(",",TRUE,_xlfn.UNIQUE(TRANSPOSE(_xlfn.MAP(_xlfn.XLOOKUP(A999,'Pinlist(S1)'!$C$4:$C$1362,'Pinlist(S1)'!$F$4:$K$1362,""),_xlfn.LAMBDA(_xlpm.x,IF(_xlpm.x&lt;&gt;"",TRIM(CLEAN(LEFT(_xlpm.x,FIND(".",_xlpm.x &amp; ".")-1))),""))))))</f>
        <v/>
      </c>
      <c r="D999">
        <v>22.777000000000001</v>
      </c>
      <c r="E999">
        <v>18.210999999999999</v>
      </c>
      <c r="F999" t="str">
        <f>_xlfn.LET(_xlpm.raw,_xlfn.XLOOKUP(A999,'Pinlist(S1)'!$C$4:$C$1362,'Pinlist(S1)'!$E$4:$E$1362,""),_xlpm.cleanRaw,SUBSTITUTE(SUBSTITUTE(_xlpm.raw,"_PIN","."),"PIN","."),_xlpm.mainPart,MID(_xlpm.cleanRaw,2,FIND(".",_xlpm.cleanRaw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607007</v>
      </c>
      <c r="G999" t="str">
        <f>_xlfn.LET(_xlpm.raw,_xlfn.XLOOKUP(A999,'Pinlist(S3)'!$C$4:$C$1362,'Pinlist(S3)'!$E$4:$E$1362,""),_xlpm.cleanRaw,SUBSTITUTE(SUBSTITUTE(_xlpm.raw,"_PIN","."),"PIN","."),_xlpm.mainPart,MID(_xlpm.cleanRaw,2,FIND(".",_xlpm.cleanRaw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801010</v>
      </c>
      <c r="H999" t="str">
        <f>_xlfn.LET(_xlpm.raw,_xlfn.XLOOKUP(A999,'Pinlist(S5)'!$C$4:$C$1362,'Pinlist(S5)'!$E$4:$E$1362,""),_xlpm.cleanRaw,SUBSTITUTE(SUBSTITUTE(_xlpm.raw,"_PIN","."),"PIN","."),_xlpm.mainPart,MID(_xlpm.cleanRaw,2,FIND(".",_xlpm.cleanRaw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706010</v>
      </c>
      <c r="I999" t="str">
        <f>""</f>
        <v/>
      </c>
      <c r="J999" t="str">
        <f t="shared" si="15"/>
        <v>AR40;DDRDQ_IL14_NIL12[4];;22.777;18.211;607007;801010;706010;</v>
      </c>
    </row>
    <row r="1000" spans="1:10">
      <c r="A1000" t="s">
        <v>2002</v>
      </c>
      <c r="B1000" t="str">
        <f>_xlfn.XLOOKUP(A1000,'Pinlist(S1)'!$Q$4:$Q$1362,'Pinlist(S1)'!$R$4:$R$1362,"")</f>
        <v>VSS</v>
      </c>
      <c r="C1000" t="str" cm="1">
        <f t="array" ref="C1000">_xlfn.TEXTJOIN(",",TRUE,_xlfn.UNIQUE(TRANSPOSE(_xlfn.MAP(_xlfn.XLOOKUP(A1000,'Pinlist(S1)'!$C$4:$C$1362,'Pinlist(S1)'!$F$4:$K$1362,""),_xlfn.LAMBDA(_xlpm.x,IF(_xlpm.x&lt;&gt;"",TRIM(CLEAN(LEFT(_xlpm.x,FIND(".",_xlpm.x &amp; ".")-1))),""))))))</f>
        <v/>
      </c>
      <c r="D1000">
        <v>23.690999999999999</v>
      </c>
      <c r="E1000">
        <v>18.210999999999999</v>
      </c>
      <c r="F1000" t="str">
        <f>_xlfn.LET(_xlpm.raw,_xlfn.XLOOKUP(A1000,'Pinlist(S1)'!$C$4:$C$1362,'Pinlist(S1)'!$E$4:$E$1362,""),_xlpm.cleanRaw,SUBSTITUTE(SUBSTITUTE(_xlpm.raw,"_PIN","."),"PIN","."),_xlpm.mainPart,MID(_xlpm.cleanRaw,2,FIND(".",_xlpm.cleanRaw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0" t="str">
        <f>_xlfn.LET(_xlpm.raw,_xlfn.XLOOKUP(A1000,'Pinlist(S3)'!$C$4:$C$1362,'Pinlist(S3)'!$E$4:$E$1362,""),_xlpm.cleanRaw,SUBSTITUTE(SUBSTITUTE(_xlpm.raw,"_PIN","."),"PIN","."),_xlpm.mainPart,MID(_xlpm.cleanRaw,2,FIND(".",_xlpm.cleanRaw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0" t="str">
        <f>_xlfn.LET(_xlpm.raw,_xlfn.XLOOKUP(A1000,'Pinlist(S5)'!$C$4:$C$1362,'Pinlist(S5)'!$E$4:$E$1362,""),_xlpm.cleanRaw,SUBSTITUTE(SUBSTITUTE(_xlpm.raw,"_PIN","."),"PIN","."),_xlpm.mainPart,MID(_xlpm.cleanRaw,2,FIND(".",_xlpm.cleanRaw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0" t="str">
        <f>""</f>
        <v/>
      </c>
      <c r="J1000" t="str">
        <f t="shared" si="15"/>
        <v>AR42;VSS;;23.691;18.211;;;;</v>
      </c>
    </row>
    <row r="1001" spans="1:10">
      <c r="A1001" t="s">
        <v>2003</v>
      </c>
      <c r="B1001" t="str">
        <f>_xlfn.XLOOKUP(A1001,'Pinlist(S1)'!$Q$4:$Q$1362,'Pinlist(S1)'!$R$4:$R$1362,"")</f>
        <v>VSS</v>
      </c>
      <c r="C1001" t="str" cm="1">
        <f t="array" ref="C1001">_xlfn.TEXTJOIN(",",TRUE,_xlfn.UNIQUE(TRANSPOSE(_xlfn.MAP(_xlfn.XLOOKUP(A1001,'Pinlist(S1)'!$C$4:$C$1362,'Pinlist(S1)'!$F$4:$K$1362,""),_xlfn.LAMBDA(_xlpm.x,IF(_xlpm.x&lt;&gt;"",TRIM(CLEAN(LEFT(_xlpm.x,FIND(".",_xlpm.x &amp; ".")-1))),""))))))</f>
        <v/>
      </c>
      <c r="D1001">
        <v>24.606000000000002</v>
      </c>
      <c r="E1001">
        <v>18.210999999999999</v>
      </c>
      <c r="F1001" t="str">
        <f>_xlfn.LET(_xlpm.raw,_xlfn.XLOOKUP(A1001,'Pinlist(S1)'!$C$4:$C$1362,'Pinlist(S1)'!$E$4:$E$1362,""),_xlpm.cleanRaw,SUBSTITUTE(SUBSTITUTE(_xlpm.raw,"_PIN","."),"PIN","."),_xlpm.mainPart,MID(_xlpm.cleanRaw,2,FIND(".",_xlpm.cleanRaw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1" t="str">
        <f>_xlfn.LET(_xlpm.raw,_xlfn.XLOOKUP(A1001,'Pinlist(S3)'!$C$4:$C$1362,'Pinlist(S3)'!$E$4:$E$1362,""),_xlpm.cleanRaw,SUBSTITUTE(SUBSTITUTE(_xlpm.raw,"_PIN","."),"PIN","."),_xlpm.mainPart,MID(_xlpm.cleanRaw,2,FIND(".",_xlpm.cleanRaw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1" t="str">
        <f>_xlfn.LET(_xlpm.raw,_xlfn.XLOOKUP(A1001,'Pinlist(S5)'!$C$4:$C$1362,'Pinlist(S5)'!$E$4:$E$1362,""),_xlpm.cleanRaw,SUBSTITUTE(SUBSTITUTE(_xlpm.raw,"_PIN","."),"PIN","."),_xlpm.mainPart,MID(_xlpm.cleanRaw,2,FIND(".",_xlpm.cleanRaw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1" t="str">
        <f>""</f>
        <v/>
      </c>
      <c r="J1001" t="str">
        <f t="shared" si="15"/>
        <v>AR43;VSS;;24.606;18.211;;;;</v>
      </c>
    </row>
    <row r="1002" spans="1:10">
      <c r="A1002" t="s">
        <v>2004</v>
      </c>
      <c r="B1002" t="str">
        <f>_xlfn.XLOOKUP(A1002,'Pinlist(S1)'!$Q$4:$Q$1362,'Pinlist(S1)'!$R$4:$R$1362,"")</f>
        <v>VSS</v>
      </c>
      <c r="C1002" t="str" cm="1">
        <f t="array" ref="C1002">_xlfn.TEXTJOIN(",",TRUE,_xlfn.UNIQUE(TRANSPOSE(_xlfn.MAP(_xlfn.XLOOKUP(A1002,'Pinlist(S1)'!$C$4:$C$1362,'Pinlist(S1)'!$F$4:$K$1362,""),_xlfn.LAMBDA(_xlpm.x,IF(_xlpm.x&lt;&gt;"",TRIM(CLEAN(LEFT(_xlpm.x,FIND(".",_xlpm.x &amp; ".")-1))),""))))))</f>
        <v/>
      </c>
      <c r="D1002">
        <v>25.52</v>
      </c>
      <c r="E1002">
        <v>18.210999999999999</v>
      </c>
      <c r="F1002" t="str">
        <f>_xlfn.LET(_xlpm.raw,_xlfn.XLOOKUP(A1002,'Pinlist(S1)'!$C$4:$C$1362,'Pinlist(S1)'!$E$4:$E$1362,""),_xlpm.cleanRaw,SUBSTITUTE(SUBSTITUTE(_xlpm.raw,"_PIN","."),"PIN","."),_xlpm.mainPart,MID(_xlpm.cleanRaw,2,FIND(".",_xlpm.cleanRaw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2" t="str">
        <f>_xlfn.LET(_xlpm.raw,_xlfn.XLOOKUP(A1002,'Pinlist(S3)'!$C$4:$C$1362,'Pinlist(S3)'!$E$4:$E$1362,""),_xlpm.cleanRaw,SUBSTITUTE(SUBSTITUTE(_xlpm.raw,"_PIN","."),"PIN","."),_xlpm.mainPart,MID(_xlpm.cleanRaw,2,FIND(".",_xlpm.cleanRaw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2" t="str">
        <f>_xlfn.LET(_xlpm.raw,_xlfn.XLOOKUP(A1002,'Pinlist(S5)'!$C$4:$C$1362,'Pinlist(S5)'!$E$4:$E$1362,""),_xlpm.cleanRaw,SUBSTITUTE(SUBSTITUTE(_xlpm.raw,"_PIN","."),"PIN","."),_xlpm.mainPart,MID(_xlpm.cleanRaw,2,FIND(".",_xlpm.cleanRaw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2" t="str">
        <f>""</f>
        <v/>
      </c>
      <c r="J1002" t="str">
        <f t="shared" si="15"/>
        <v>AR45;VSS;;25.52;18.211;;;;</v>
      </c>
    </row>
    <row r="1003" spans="1:10">
      <c r="A1003" t="s">
        <v>2005</v>
      </c>
      <c r="B1003" t="str">
        <f>_xlfn.XLOOKUP(A1003,'Pinlist(S1)'!$Q$4:$Q$1362,'Pinlist(S1)'!$R$4:$R$1362,"")</f>
        <v>VSS</v>
      </c>
      <c r="C1003" t="str" cm="1">
        <f t="array" ref="C1003">_xlfn.TEXTJOIN(",",TRUE,_xlfn.UNIQUE(TRANSPOSE(_xlfn.MAP(_xlfn.XLOOKUP(A1003,'Pinlist(S1)'!$C$4:$C$1362,'Pinlist(S1)'!$F$4:$K$1362,""),_xlfn.LAMBDA(_xlpm.x,IF(_xlpm.x&lt;&gt;"",TRIM(CLEAN(LEFT(_xlpm.x,FIND(".",_xlpm.x &amp; ".")-1))),""))))))</f>
        <v/>
      </c>
      <c r="D1003">
        <v>26.434000000000001</v>
      </c>
      <c r="E1003">
        <v>18.210999999999999</v>
      </c>
      <c r="F1003" t="str">
        <f>_xlfn.LET(_xlpm.raw,_xlfn.XLOOKUP(A1003,'Pinlist(S1)'!$C$4:$C$1362,'Pinlist(S1)'!$E$4:$E$1362,""),_xlpm.cleanRaw,SUBSTITUTE(SUBSTITUTE(_xlpm.raw,"_PIN","."),"PIN","."),_xlpm.mainPart,MID(_xlpm.cleanRaw,2,FIND(".",_xlpm.cleanRaw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3" t="str">
        <f>_xlfn.LET(_xlpm.raw,_xlfn.XLOOKUP(A1003,'Pinlist(S3)'!$C$4:$C$1362,'Pinlist(S3)'!$E$4:$E$1362,""),_xlpm.cleanRaw,SUBSTITUTE(SUBSTITUTE(_xlpm.raw,"_PIN","."),"PIN","."),_xlpm.mainPart,MID(_xlpm.cleanRaw,2,FIND(".",_xlpm.cleanRaw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3" t="str">
        <f>_xlfn.LET(_xlpm.raw,_xlfn.XLOOKUP(A1003,'Pinlist(S5)'!$C$4:$C$1362,'Pinlist(S5)'!$E$4:$E$1362,""),_xlpm.cleanRaw,SUBSTITUTE(SUBSTITUTE(_xlpm.raw,"_PIN","."),"PIN","."),_xlpm.mainPart,MID(_xlpm.cleanRaw,2,FIND(".",_xlpm.cleanRaw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3" t="str">
        <f>""</f>
        <v/>
      </c>
      <c r="J1003" t="str">
        <f t="shared" si="15"/>
        <v>AR46;VSS;;26.434;18.211;;;;</v>
      </c>
    </row>
    <row r="1004" spans="1:10">
      <c r="A1004" t="s">
        <v>2006</v>
      </c>
      <c r="B1004" t="str">
        <f>_xlfn.XLOOKUP(A1004,'Pinlist(S1)'!$Q$4:$Q$1362,'Pinlist(S1)'!$R$4:$R$1362,"")</f>
        <v>VSS</v>
      </c>
      <c r="C1004" t="str" cm="1">
        <f t="array" ref="C1004">_xlfn.TEXTJOIN(",",TRUE,_xlfn.UNIQUE(TRANSPOSE(_xlfn.MAP(_xlfn.XLOOKUP(A1004,'Pinlist(S1)'!$C$4:$C$1362,'Pinlist(S1)'!$F$4:$K$1362,""),_xlfn.LAMBDA(_xlpm.x,IF(_xlpm.x&lt;&gt;"",TRIM(CLEAN(LEFT(_xlpm.x,FIND(".",_xlpm.x &amp; ".")-1))),""))))))</f>
        <v/>
      </c>
      <c r="D1004">
        <v>27.349</v>
      </c>
      <c r="E1004">
        <v>18.210999999999999</v>
      </c>
      <c r="F1004" t="str">
        <f>_xlfn.LET(_xlpm.raw,_xlfn.XLOOKUP(A1004,'Pinlist(S1)'!$C$4:$C$1362,'Pinlist(S1)'!$E$4:$E$1362,""),_xlpm.cleanRaw,SUBSTITUTE(SUBSTITUTE(_xlpm.raw,"_PIN","."),"PIN","."),_xlpm.mainPart,MID(_xlpm.cleanRaw,2,FIND(".",_xlpm.cleanRaw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4" t="str">
        <f>_xlfn.LET(_xlpm.raw,_xlfn.XLOOKUP(A1004,'Pinlist(S3)'!$C$4:$C$1362,'Pinlist(S3)'!$E$4:$E$1362,""),_xlpm.cleanRaw,SUBSTITUTE(SUBSTITUTE(_xlpm.raw,"_PIN","."),"PIN","."),_xlpm.mainPart,MID(_xlpm.cleanRaw,2,FIND(".",_xlpm.cleanRaw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4" t="str">
        <f>_xlfn.LET(_xlpm.raw,_xlfn.XLOOKUP(A1004,'Pinlist(S5)'!$C$4:$C$1362,'Pinlist(S5)'!$E$4:$E$1362,""),_xlpm.cleanRaw,SUBSTITUTE(SUBSTITUTE(_xlpm.raw,"_PIN","."),"PIN","."),_xlpm.mainPart,MID(_xlpm.cleanRaw,2,FIND(".",_xlpm.cleanRaw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4" t="str">
        <f>""</f>
        <v/>
      </c>
      <c r="J1004" t="str">
        <f t="shared" si="15"/>
        <v>AR48;VSS;;27.349;18.211;;;;</v>
      </c>
    </row>
    <row r="1005" spans="1:10">
      <c r="A1005" t="s">
        <v>2008</v>
      </c>
      <c r="B1005" t="str">
        <f>_xlfn.XLOOKUP(A1005,'Pinlist(S1)'!$Q$4:$Q$1362,'Pinlist(S1)'!$R$4:$R$1362,"")</f>
        <v>VSS</v>
      </c>
      <c r="C1005" t="str" cm="1">
        <f t="array" ref="C1005">_xlfn.TEXTJOIN(",",TRUE,_xlfn.UNIQUE(TRANSPOSE(_xlfn.MAP(_xlfn.XLOOKUP(A1005,'Pinlist(S1)'!$C$4:$C$1362,'Pinlist(S1)'!$F$4:$K$1362,""),_xlfn.LAMBDA(_xlpm.x,IF(_xlpm.x&lt;&gt;"",TRIM(CLEAN(LEFT(_xlpm.x,FIND(".",_xlpm.x &amp; ".")-1))),""))))))</f>
        <v/>
      </c>
      <c r="D1005">
        <v>28.262999999999899</v>
      </c>
      <c r="E1005">
        <v>18.210999999999999</v>
      </c>
      <c r="F1005" t="str">
        <f>_xlfn.LET(_xlpm.raw,_xlfn.XLOOKUP(A1005,'Pinlist(S1)'!$C$4:$C$1362,'Pinlist(S1)'!$E$4:$E$1362,""),_xlpm.cleanRaw,SUBSTITUTE(SUBSTITUTE(_xlpm.raw,"_PIN","."),"PIN","."),_xlpm.mainPart,MID(_xlpm.cleanRaw,2,FIND(".",_xlpm.cleanRaw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5" t="str">
        <f>_xlfn.LET(_xlpm.raw,_xlfn.XLOOKUP(A1005,'Pinlist(S3)'!$C$4:$C$1362,'Pinlist(S3)'!$E$4:$E$1362,""),_xlpm.cleanRaw,SUBSTITUTE(SUBSTITUTE(_xlpm.raw,"_PIN","."),"PIN","."),_xlpm.mainPart,MID(_xlpm.cleanRaw,2,FIND(".",_xlpm.cleanRaw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5" t="str">
        <f>_xlfn.LET(_xlpm.raw,_xlfn.XLOOKUP(A1005,'Pinlist(S5)'!$C$4:$C$1362,'Pinlist(S5)'!$E$4:$E$1362,""),_xlpm.cleanRaw,SUBSTITUTE(SUBSTITUTE(_xlpm.raw,"_PIN","."),"PIN","."),_xlpm.mainPart,MID(_xlpm.cleanRaw,2,FIND(".",_xlpm.cleanRaw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5" t="str">
        <f>""</f>
        <v/>
      </c>
      <c r="J1005" t="str">
        <f t="shared" si="15"/>
        <v>AR50;VSS;;28.2629999999999;18.211;;;;</v>
      </c>
    </row>
    <row r="1006" spans="1:10">
      <c r="A1006" t="s">
        <v>2009</v>
      </c>
      <c r="B1006" t="str">
        <f>_xlfn.XLOOKUP(A1006,'Pinlist(S1)'!$Q$4:$Q$1362,'Pinlist(S1)'!$R$4:$R$1362,"")</f>
        <v>VSS</v>
      </c>
      <c r="C1006" t="str" cm="1">
        <f t="array" ref="C1006">_xlfn.TEXTJOIN(",",TRUE,_xlfn.UNIQUE(TRANSPOSE(_xlfn.MAP(_xlfn.XLOOKUP(A1006,'Pinlist(S1)'!$C$4:$C$1362,'Pinlist(S1)'!$F$4:$K$1362,""),_xlfn.LAMBDA(_xlpm.x,IF(_xlpm.x&lt;&gt;"",TRIM(CLEAN(LEFT(_xlpm.x,FIND(".",_xlpm.x &amp; ".")-1))),""))))))</f>
        <v/>
      </c>
      <c r="D1006">
        <v>29.178000000000001</v>
      </c>
      <c r="E1006">
        <v>18.210999999999999</v>
      </c>
      <c r="F1006" t="str">
        <f>_xlfn.LET(_xlpm.raw,_xlfn.XLOOKUP(A1006,'Pinlist(S1)'!$C$4:$C$1362,'Pinlist(S1)'!$E$4:$E$1362,""),_xlpm.cleanRaw,SUBSTITUTE(SUBSTITUTE(_xlpm.raw,"_PIN","."),"PIN","."),_xlpm.mainPart,MID(_xlpm.cleanRaw,2,FIND(".",_xlpm.cleanRaw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6" t="str">
        <f>_xlfn.LET(_xlpm.raw,_xlfn.XLOOKUP(A1006,'Pinlist(S3)'!$C$4:$C$1362,'Pinlist(S3)'!$E$4:$E$1362,""),_xlpm.cleanRaw,SUBSTITUTE(SUBSTITUTE(_xlpm.raw,"_PIN","."),"PIN","."),_xlpm.mainPart,MID(_xlpm.cleanRaw,2,FIND(".",_xlpm.cleanRaw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6" t="str">
        <f>_xlfn.LET(_xlpm.raw,_xlfn.XLOOKUP(A1006,'Pinlist(S5)'!$C$4:$C$1362,'Pinlist(S5)'!$E$4:$E$1362,""),_xlpm.cleanRaw,SUBSTITUTE(SUBSTITUTE(_xlpm.raw,"_PIN","."),"PIN","."),_xlpm.mainPart,MID(_xlpm.cleanRaw,2,FIND(".",_xlpm.cleanRaw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6" t="str">
        <f>""</f>
        <v/>
      </c>
      <c r="J1006" t="str">
        <f t="shared" si="15"/>
        <v>AR52;VSS;;29.178;18.211;;;;</v>
      </c>
    </row>
    <row r="1007" spans="1:10">
      <c r="A1007" t="s">
        <v>2010</v>
      </c>
      <c r="B1007" t="str">
        <f>_xlfn.XLOOKUP(A1007,'Pinlist(S1)'!$Q$4:$Q$1362,'Pinlist(S1)'!$R$4:$R$1362,"")</f>
        <v>VSS</v>
      </c>
      <c r="C1007" t="str" cm="1">
        <f t="array" ref="C1007">_xlfn.TEXTJOIN(",",TRUE,_xlfn.UNIQUE(TRANSPOSE(_xlfn.MAP(_xlfn.XLOOKUP(A1007,'Pinlist(S1)'!$C$4:$C$1362,'Pinlist(S1)'!$F$4:$K$1362,""),_xlfn.LAMBDA(_xlpm.x,IF(_xlpm.x&lt;&gt;"",TRIM(CLEAN(LEFT(_xlpm.x,FIND(".",_xlpm.x &amp; ".")-1))),""))))))</f>
        <v/>
      </c>
      <c r="D1007">
        <v>30.091999999999999</v>
      </c>
      <c r="E1007">
        <v>18.210999999999999</v>
      </c>
      <c r="F1007" t="str">
        <f>_xlfn.LET(_xlpm.raw,_xlfn.XLOOKUP(A1007,'Pinlist(S1)'!$C$4:$C$1362,'Pinlist(S1)'!$E$4:$E$1362,""),_xlpm.cleanRaw,SUBSTITUTE(SUBSTITUTE(_xlpm.raw,"_PIN","."),"PIN","."),_xlpm.mainPart,MID(_xlpm.cleanRaw,2,FIND(".",_xlpm.cleanRaw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7" t="str">
        <f>_xlfn.LET(_xlpm.raw,_xlfn.XLOOKUP(A1007,'Pinlist(S3)'!$C$4:$C$1362,'Pinlist(S3)'!$E$4:$E$1362,""),_xlpm.cleanRaw,SUBSTITUTE(SUBSTITUTE(_xlpm.raw,"_PIN","."),"PIN","."),_xlpm.mainPart,MID(_xlpm.cleanRaw,2,FIND(".",_xlpm.cleanRaw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7" t="str">
        <f>_xlfn.LET(_xlpm.raw,_xlfn.XLOOKUP(A1007,'Pinlist(S5)'!$C$4:$C$1362,'Pinlist(S5)'!$E$4:$E$1362,""),_xlpm.cleanRaw,SUBSTITUTE(SUBSTITUTE(_xlpm.raw,"_PIN","."),"PIN","."),_xlpm.mainPart,MID(_xlpm.cleanRaw,2,FIND(".",_xlpm.cleanRaw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7" t="str">
        <f>""</f>
        <v/>
      </c>
      <c r="J1007" t="str">
        <f t="shared" si="15"/>
        <v>AR53;VSS;;30.092;18.211;;;;</v>
      </c>
    </row>
    <row r="1008" spans="1:10">
      <c r="A1008" t="s">
        <v>2011</v>
      </c>
      <c r="B1008" t="str">
        <f>_xlfn.XLOOKUP(A1008,'Pinlist(S1)'!$Q$4:$Q$1362,'Pinlist(S1)'!$R$4:$R$1362,"")</f>
        <v>VSS</v>
      </c>
      <c r="C1008" t="str" cm="1">
        <f t="array" ref="C1008">_xlfn.TEXTJOIN(",",TRUE,_xlfn.UNIQUE(TRANSPOSE(_xlfn.MAP(_xlfn.XLOOKUP(A1008,'Pinlist(S1)'!$C$4:$C$1362,'Pinlist(S1)'!$F$4:$K$1362,""),_xlfn.LAMBDA(_xlpm.x,IF(_xlpm.x&lt;&gt;"",TRIM(CLEAN(LEFT(_xlpm.x,FIND(".",_xlpm.x &amp; ".")-1))),""))))))</f>
        <v/>
      </c>
      <c r="D1008">
        <v>31.006</v>
      </c>
      <c r="E1008">
        <v>18.210999999999999</v>
      </c>
      <c r="F1008" t="str">
        <f>_xlfn.LET(_xlpm.raw,_xlfn.XLOOKUP(A1008,'Pinlist(S1)'!$C$4:$C$1362,'Pinlist(S1)'!$E$4:$E$1362,""),_xlpm.cleanRaw,SUBSTITUTE(SUBSTITUTE(_xlpm.raw,"_PIN","."),"PIN","."),_xlpm.mainPart,MID(_xlpm.cleanRaw,2,FIND(".",_xlpm.cleanRaw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8" t="str">
        <f>_xlfn.LET(_xlpm.raw,_xlfn.XLOOKUP(A1008,'Pinlist(S3)'!$C$4:$C$1362,'Pinlist(S3)'!$E$4:$E$1362,""),_xlpm.cleanRaw,SUBSTITUTE(SUBSTITUTE(_xlpm.raw,"_PIN","."),"PIN","."),_xlpm.mainPart,MID(_xlpm.cleanRaw,2,FIND(".",_xlpm.cleanRaw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8" t="str">
        <f>_xlfn.LET(_xlpm.raw,_xlfn.XLOOKUP(A1008,'Pinlist(S5)'!$C$4:$C$1362,'Pinlist(S5)'!$E$4:$E$1362,""),_xlpm.cleanRaw,SUBSTITUTE(SUBSTITUTE(_xlpm.raw,"_PIN","."),"PIN","."),_xlpm.mainPart,MID(_xlpm.cleanRaw,2,FIND(".",_xlpm.cleanRaw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8" t="str">
        <f>""</f>
        <v/>
      </c>
      <c r="J1008" t="str">
        <f t="shared" si="15"/>
        <v>AR55;VSS;;31.006;18.211;;;;</v>
      </c>
    </row>
    <row r="1009" spans="1:10">
      <c r="A1009" t="s">
        <v>2271</v>
      </c>
      <c r="B1009" t="str">
        <f>_xlfn.XLOOKUP(A1009,'Pinlist(S1)'!$Q$4:$Q$1362,'Pinlist(S1)'!$R$4:$R$1362,"")</f>
        <v>ZVM_N</v>
      </c>
      <c r="C1009" t="str" cm="1">
        <f t="array" ref="C1009">_xlfn.TEXTJOIN(",",TRUE,_xlfn.UNIQUE(TRANSPOSE(_xlfn.MAP(_xlfn.XLOOKUP(A1009,'Pinlist(S1)'!$C$4:$C$1362,'Pinlist(S1)'!$F$4:$K$1362,""),_xlfn.LAMBDA(_xlpm.x,IF(_xlpm.x&lt;&gt;"",TRIM(CLEAN(LEFT(_xlpm.x,FIND(".",_xlpm.x &amp; ".")-1))),""))))))</f>
        <v/>
      </c>
      <c r="D1009">
        <v>31.920999999999999</v>
      </c>
      <c r="E1009">
        <v>18.210999999999999</v>
      </c>
      <c r="F1009" t="str">
        <f>_xlfn.LET(_xlpm.raw,_xlfn.XLOOKUP(A1009,'Pinlist(S1)'!$C$4:$C$1362,'Pinlist(S1)'!$E$4:$E$1362,""),_xlpm.cleanRaw,SUBSTITUTE(SUBSTITUTE(_xlpm.raw,"_PIN","."),"PIN","."),_xlpm.mainPart,MID(_xlpm.cleanRaw,2,FIND(".",_xlpm.cleanRaw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9" t="str">
        <f>_xlfn.LET(_xlpm.raw,_xlfn.XLOOKUP(A1009,'Pinlist(S3)'!$C$4:$C$1362,'Pinlist(S3)'!$E$4:$E$1362,""),_xlpm.cleanRaw,SUBSTITUTE(SUBSTITUTE(_xlpm.raw,"_PIN","."),"PIN","."),_xlpm.mainPart,MID(_xlpm.cleanRaw,2,FIND(".",_xlpm.cleanRaw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9" t="str">
        <f>_xlfn.LET(_xlpm.raw,_xlfn.XLOOKUP(A1009,'Pinlist(S5)'!$C$4:$C$1362,'Pinlist(S5)'!$E$4:$E$1362,""),_xlpm.cleanRaw,SUBSTITUTE(SUBSTITUTE(_xlpm.raw,"_PIN","."),"PIN","."),_xlpm.mainPart,MID(_xlpm.cleanRaw,2,FIND(".",_xlpm.cleanRaw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9" t="str">
        <f>""</f>
        <v/>
      </c>
      <c r="J1009" t="str">
        <f t="shared" si="15"/>
        <v>AR56;ZVM_N;;31.921;18.211;;;;</v>
      </c>
    </row>
    <row r="1010" spans="1:10">
      <c r="A1010" t="s">
        <v>2012</v>
      </c>
      <c r="B1010" t="str">
        <f>_xlfn.XLOOKUP(A1010,'Pinlist(S1)'!$Q$4:$Q$1362,'Pinlist(S1)'!$R$4:$R$1362,"")</f>
        <v>VSS</v>
      </c>
      <c r="C1010" t="str" cm="1">
        <f t="array" ref="C1010">_xlfn.TEXTJOIN(",",TRUE,_xlfn.UNIQUE(TRANSPOSE(_xlfn.MAP(_xlfn.XLOOKUP(A1010,'Pinlist(S1)'!$C$4:$C$1362,'Pinlist(S1)'!$F$4:$K$1362,""),_xlfn.LAMBDA(_xlpm.x,IF(_xlpm.x&lt;&gt;"",TRIM(CLEAN(LEFT(_xlpm.x,FIND(".",_xlpm.x &amp; ".")-1))),""))))))</f>
        <v/>
      </c>
      <c r="D1010">
        <v>32.835000000000001</v>
      </c>
      <c r="E1010">
        <v>18.210999999999999</v>
      </c>
      <c r="F1010" t="str">
        <f>_xlfn.LET(_xlpm.raw,_xlfn.XLOOKUP(A1010,'Pinlist(S1)'!$C$4:$C$1362,'Pinlist(S1)'!$E$4:$E$1362,""),_xlpm.cleanRaw,SUBSTITUTE(SUBSTITUTE(_xlpm.raw,"_PIN","."),"PIN","."),_xlpm.mainPart,MID(_xlpm.cleanRaw,2,FIND(".",_xlpm.cleanRaw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0" t="str">
        <f>_xlfn.LET(_xlpm.raw,_xlfn.XLOOKUP(A1010,'Pinlist(S3)'!$C$4:$C$1362,'Pinlist(S3)'!$E$4:$E$1362,""),_xlpm.cleanRaw,SUBSTITUTE(SUBSTITUTE(_xlpm.raw,"_PIN","."),"PIN","."),_xlpm.mainPart,MID(_xlpm.cleanRaw,2,FIND(".",_xlpm.cleanRaw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0" t="str">
        <f>_xlfn.LET(_xlpm.raw,_xlfn.XLOOKUP(A1010,'Pinlist(S5)'!$C$4:$C$1362,'Pinlist(S5)'!$E$4:$E$1362,""),_xlpm.cleanRaw,SUBSTITUTE(SUBSTITUTE(_xlpm.raw,"_PIN","."),"PIN","."),_xlpm.mainPart,MID(_xlpm.cleanRaw,2,FIND(".",_xlpm.cleanRaw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0" t="str">
        <f>""</f>
        <v/>
      </c>
      <c r="J1010" t="str">
        <f t="shared" si="15"/>
        <v>AR58;VSS;;32.835;18.211;;;;</v>
      </c>
    </row>
    <row r="1011" spans="1:10">
      <c r="A1011" t="s">
        <v>698</v>
      </c>
      <c r="B1011" t="str">
        <f>_xlfn.XLOOKUP(A1011,'Pinlist(S1)'!$Q$4:$Q$1362,'Pinlist(S1)'!$R$4:$R$1362,"")</f>
        <v>DDRDQSP_IL13_NIL07</v>
      </c>
      <c r="C1011" t="str" cm="1">
        <f t="array" ref="C1011">_xlfn.TEXTJOIN(",",TRUE,_xlfn.UNIQUE(TRANSPOSE(_xlfn.MAP(_xlfn.XLOOKUP(A1011,'Pinlist(S1)'!$C$4:$C$1362,'Pinlist(S1)'!$F$4:$K$1362,""),_xlfn.LAMBDA(_xlpm.x,IF(_xlpm.x&lt;&gt;"",TRIM(CLEAN(LEFT(_xlpm.x,FIND(".",_xlpm.x &amp; ".")-1))),""))))))</f>
        <v/>
      </c>
      <c r="D1011">
        <v>33.75</v>
      </c>
      <c r="E1011">
        <v>18.210999999999999</v>
      </c>
      <c r="F1011" t="str">
        <f>_xlfn.LET(_xlpm.raw,_xlfn.XLOOKUP(A1011,'Pinlist(S1)'!$C$4:$C$1362,'Pinlist(S1)'!$E$4:$E$1362,""),_xlpm.cleanRaw,SUBSTITUTE(SUBSTITUTE(_xlpm.raw,"_PIN","."),"PIN","."),_xlpm.mainPart,MID(_xlpm.cleanRaw,2,FIND(".",_xlpm.cleanRaw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607032</v>
      </c>
      <c r="G1011" t="str">
        <f>_xlfn.LET(_xlpm.raw,_xlfn.XLOOKUP(A1011,'Pinlist(S3)'!$C$4:$C$1362,'Pinlist(S3)'!$E$4:$E$1362,""),_xlpm.cleanRaw,SUBSTITUTE(SUBSTITUTE(_xlpm.raw,"_PIN","."),"PIN","."),_xlpm.mainPart,MID(_xlpm.cleanRaw,2,FIND(".",_xlpm.cleanRaw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801018</v>
      </c>
      <c r="H1011" t="str">
        <f>_xlfn.LET(_xlpm.raw,_xlfn.XLOOKUP(A1011,'Pinlist(S5)'!$C$4:$C$1362,'Pinlist(S5)'!$E$4:$E$1362,""),_xlpm.cleanRaw,SUBSTITUTE(SUBSTITUTE(_xlpm.raw,"_PIN","."),"PIN","."),_xlpm.mainPart,MID(_xlpm.cleanRaw,2,FIND(".",_xlpm.cleanRaw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707106</v>
      </c>
      <c r="I1011" t="str">
        <f>""</f>
        <v/>
      </c>
      <c r="J1011" t="str">
        <f t="shared" si="15"/>
        <v>AR60;DDRDQSP_IL13_NIL07;;33.75;18.211;607032;801018;707106;</v>
      </c>
    </row>
    <row r="1012" spans="1:10">
      <c r="A1012" t="s">
        <v>666</v>
      </c>
      <c r="B1012" t="str">
        <f>_xlfn.XLOOKUP(A1012,'Pinlist(S1)'!$Q$4:$Q$1362,'Pinlist(S1)'!$R$4:$R$1362,"")</f>
        <v>DDRDQSN_IL13_NIL07</v>
      </c>
      <c r="C1012" t="str" cm="1">
        <f t="array" ref="C1012">_xlfn.TEXTJOIN(",",TRUE,_xlfn.UNIQUE(TRANSPOSE(_xlfn.MAP(_xlfn.XLOOKUP(A1012,'Pinlist(S1)'!$C$4:$C$1362,'Pinlist(S1)'!$F$4:$K$1362,""),_xlfn.LAMBDA(_xlpm.x,IF(_xlpm.x&lt;&gt;"",TRIM(CLEAN(LEFT(_xlpm.x,FIND(".",_xlpm.x &amp; ".")-1))),""))))))</f>
        <v/>
      </c>
      <c r="D1012">
        <v>34.664000000000001</v>
      </c>
      <c r="E1012">
        <v>18.210999999999999</v>
      </c>
      <c r="F1012" t="str">
        <f>_xlfn.LET(_xlpm.raw,_xlfn.XLOOKUP(A1012,'Pinlist(S1)'!$C$4:$C$1362,'Pinlist(S1)'!$E$4:$E$1362,""),_xlpm.cleanRaw,SUBSTITUTE(SUBSTITUTE(_xlpm.raw,"_PIN","."),"PIN","."),_xlpm.mainPart,MID(_xlpm.cleanRaw,2,FIND(".",_xlpm.cleanRaw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607034</v>
      </c>
      <c r="G1012" t="str">
        <f>_xlfn.LET(_xlpm.raw,_xlfn.XLOOKUP(A1012,'Pinlist(S3)'!$C$4:$C$1362,'Pinlist(S3)'!$E$4:$E$1362,""),_xlpm.cleanRaw,SUBSTITUTE(SUBSTITUTE(_xlpm.raw,"_PIN","."),"PIN","."),_xlpm.mainPart,MID(_xlpm.cleanRaw,2,FIND(".",_xlpm.cleanRaw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801017</v>
      </c>
      <c r="H1012" t="str">
        <f>_xlfn.LET(_xlpm.raw,_xlfn.XLOOKUP(A1012,'Pinlist(S5)'!$C$4:$C$1362,'Pinlist(S5)'!$E$4:$E$1362,""),_xlpm.cleanRaw,SUBSTITUTE(SUBSTITUTE(_xlpm.raw,"_PIN","."),"PIN","."),_xlpm.mainPart,MID(_xlpm.cleanRaw,2,FIND(".",_xlpm.cleanRaw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707108</v>
      </c>
      <c r="I1012" t="str">
        <f>""</f>
        <v/>
      </c>
      <c r="J1012" t="str">
        <f t="shared" si="15"/>
        <v>AR61;DDRDQSN_IL13_NIL07;;34.664;18.211;607034;801017;707108;</v>
      </c>
    </row>
    <row r="1013" spans="1:10">
      <c r="A1013" t="s">
        <v>2013</v>
      </c>
      <c r="B1013" t="str">
        <f>_xlfn.XLOOKUP(A1013,'Pinlist(S1)'!$Q$4:$Q$1362,'Pinlist(S1)'!$R$4:$R$1362,"")</f>
        <v>VSS</v>
      </c>
      <c r="C1013" t="str" cm="1">
        <f t="array" ref="C1013">_xlfn.TEXTJOIN(",",TRUE,_xlfn.UNIQUE(TRANSPOSE(_xlfn.MAP(_xlfn.XLOOKUP(A1013,'Pinlist(S1)'!$C$4:$C$1362,'Pinlist(S1)'!$F$4:$K$1362,""),_xlfn.LAMBDA(_xlpm.x,IF(_xlpm.x&lt;&gt;"",TRIM(CLEAN(LEFT(_xlpm.x,FIND(".",_xlpm.x &amp; ".")-1))),""))))))</f>
        <v/>
      </c>
      <c r="D1013">
        <v>35.578000000000003</v>
      </c>
      <c r="E1013">
        <v>18.210999999999999</v>
      </c>
      <c r="F1013" t="str">
        <f>_xlfn.LET(_xlpm.raw,_xlfn.XLOOKUP(A1013,'Pinlist(S1)'!$C$4:$C$1362,'Pinlist(S1)'!$E$4:$E$1362,""),_xlpm.cleanRaw,SUBSTITUTE(SUBSTITUTE(_xlpm.raw,"_PIN","."),"PIN","."),_xlpm.mainPart,MID(_xlpm.cleanRaw,2,FIND(".",_xlpm.cleanRaw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3" t="str">
        <f>_xlfn.LET(_xlpm.raw,_xlfn.XLOOKUP(A1013,'Pinlist(S3)'!$C$4:$C$1362,'Pinlist(S3)'!$E$4:$E$1362,""),_xlpm.cleanRaw,SUBSTITUTE(SUBSTITUTE(_xlpm.raw,"_PIN","."),"PIN","."),_xlpm.mainPart,MID(_xlpm.cleanRaw,2,FIND(".",_xlpm.cleanRaw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3" t="str">
        <f>_xlfn.LET(_xlpm.raw,_xlfn.XLOOKUP(A1013,'Pinlist(S5)'!$C$4:$C$1362,'Pinlist(S5)'!$E$4:$E$1362,""),_xlpm.cleanRaw,SUBSTITUTE(SUBSTITUTE(_xlpm.raw,"_PIN","."),"PIN","."),_xlpm.mainPart,MID(_xlpm.cleanRaw,2,FIND(".",_xlpm.cleanRaw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3" t="str">
        <f>""</f>
        <v/>
      </c>
      <c r="J1013" t="str">
        <f t="shared" si="15"/>
        <v>AR63;VSS;;35.578;18.211;;;;</v>
      </c>
    </row>
    <row r="1014" spans="1:10">
      <c r="A1014" t="s">
        <v>696</v>
      </c>
      <c r="B1014" t="str">
        <f>_xlfn.XLOOKUP(A1014,'Pinlist(S1)'!$Q$4:$Q$1362,'Pinlist(S1)'!$R$4:$R$1362,"")</f>
        <v>DDRDQSP_IL12_NIL06</v>
      </c>
      <c r="C1014" t="str" cm="1">
        <f t="array" ref="C1014">_xlfn.TEXTJOIN(",",TRUE,_xlfn.UNIQUE(TRANSPOSE(_xlfn.MAP(_xlfn.XLOOKUP(A1014,'Pinlist(S1)'!$C$4:$C$1362,'Pinlist(S1)'!$F$4:$K$1362,""),_xlfn.LAMBDA(_xlpm.x,IF(_xlpm.x&lt;&gt;"",TRIM(CLEAN(LEFT(_xlpm.x,FIND(".",_xlpm.x &amp; ".")-1))),""))))))</f>
        <v/>
      </c>
      <c r="D1014">
        <v>36.492999999999903</v>
      </c>
      <c r="E1014">
        <v>18.210999999999999</v>
      </c>
      <c r="F1014" t="str">
        <f>_xlfn.LET(_xlpm.raw,_xlfn.XLOOKUP(A1014,'Pinlist(S1)'!$C$4:$C$1362,'Pinlist(S1)'!$E$4:$E$1362,""),_xlpm.cleanRaw,SUBSTITUTE(SUBSTITUTE(_xlpm.raw,"_PIN","."),"PIN","."),_xlpm.mainPart,MID(_xlpm.cleanRaw,2,FIND(".",_xlpm.cleanRaw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606101</v>
      </c>
      <c r="G1014" t="str">
        <f>_xlfn.LET(_xlpm.raw,_xlfn.XLOOKUP(A1014,'Pinlist(S3)'!$C$4:$C$1362,'Pinlist(S3)'!$E$4:$E$1362,""),_xlpm.cleanRaw,SUBSTITUTE(SUBSTITUTE(_xlpm.raw,"_PIN","."),"PIN","."),_xlpm.mainPart,MID(_xlpm.cleanRaw,2,FIND(".",_xlpm.cleanRaw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501101</v>
      </c>
      <c r="H1014" t="str">
        <f>_xlfn.LET(_xlpm.raw,_xlfn.XLOOKUP(A1014,'Pinlist(S5)'!$C$4:$C$1362,'Pinlist(S5)'!$E$4:$E$1362,""),_xlpm.cleanRaw,SUBSTITUTE(SUBSTITUTE(_xlpm.raw,"_PIN","."),"PIN","."),_xlpm.mainPart,MID(_xlpm.cleanRaw,2,FIND(".",_xlpm.cleanRaw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707101</v>
      </c>
      <c r="I1014" t="str">
        <f>""</f>
        <v/>
      </c>
      <c r="J1014" t="str">
        <f t="shared" si="15"/>
        <v>AR65;DDRDQSP_IL12_NIL06;;36.4929999999999;18.211;606101;501101;707101;</v>
      </c>
    </row>
    <row r="1015" spans="1:10">
      <c r="A1015" t="s">
        <v>664</v>
      </c>
      <c r="B1015" t="str">
        <f>_xlfn.XLOOKUP(A1015,'Pinlist(S1)'!$Q$4:$Q$1362,'Pinlist(S1)'!$R$4:$R$1362,"")</f>
        <v>DDRDQSN_IL12_NIL06</v>
      </c>
      <c r="C1015" t="str" cm="1">
        <f t="array" ref="C1015">_xlfn.TEXTJOIN(",",TRUE,_xlfn.UNIQUE(TRANSPOSE(_xlfn.MAP(_xlfn.XLOOKUP(A1015,'Pinlist(S1)'!$C$4:$C$1362,'Pinlist(S1)'!$F$4:$K$1362,""),_xlfn.LAMBDA(_xlpm.x,IF(_xlpm.x&lt;&gt;"",TRIM(CLEAN(LEFT(_xlpm.x,FIND(".",_xlpm.x &amp; ".")-1))),""))))))</f>
        <v/>
      </c>
      <c r="D1015">
        <v>37.406999999999996</v>
      </c>
      <c r="E1015">
        <v>18.210999999999999</v>
      </c>
      <c r="F1015" t="str">
        <f>_xlfn.LET(_xlpm.raw,_xlfn.XLOOKUP(A1015,'Pinlist(S1)'!$C$4:$C$1362,'Pinlist(S1)'!$E$4:$E$1362,""),_xlpm.cleanRaw,SUBSTITUTE(SUBSTITUTE(_xlpm.raw,"_PIN","."),"PIN","."),_xlpm.mainPart,MID(_xlpm.cleanRaw,2,FIND(".",_xlpm.cleanRaw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606099</v>
      </c>
      <c r="G1015" t="str">
        <f>_xlfn.LET(_xlpm.raw,_xlfn.XLOOKUP(A1015,'Pinlist(S3)'!$C$4:$C$1362,'Pinlist(S3)'!$E$4:$E$1362,""),_xlpm.cleanRaw,SUBSTITUTE(SUBSTITUTE(_xlpm.raw,"_PIN","."),"PIN","."),_xlpm.mainPart,MID(_xlpm.cleanRaw,2,FIND(".",_xlpm.cleanRaw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501099</v>
      </c>
      <c r="H1015" t="str">
        <f>_xlfn.LET(_xlpm.raw,_xlfn.XLOOKUP(A1015,'Pinlist(S5)'!$C$4:$C$1362,'Pinlist(S5)'!$E$4:$E$1362,""),_xlpm.cleanRaw,SUBSTITUTE(SUBSTITUTE(_xlpm.raw,"_PIN","."),"PIN","."),_xlpm.mainPart,MID(_xlpm.cleanRaw,2,FIND(".",_xlpm.cleanRaw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707099</v>
      </c>
      <c r="I1015" t="str">
        <f>""</f>
        <v/>
      </c>
      <c r="J1015" t="str">
        <f t="shared" si="15"/>
        <v>AR66;DDRDQSN_IL12_NIL06;;37.407;18.211;606099;501099;707099;</v>
      </c>
    </row>
    <row r="1016" spans="1:10">
      <c r="A1016" t="s">
        <v>406</v>
      </c>
      <c r="B1016" t="str">
        <f>_xlfn.XLOOKUP(A1016,'Pinlist(S1)'!$Q$4:$Q$1362,'Pinlist(S1)'!$R$4:$R$1362,"")</f>
        <v>DDRDQ_IL01_NIL01[1]</v>
      </c>
      <c r="C1016" t="str" cm="1">
        <f t="array" ref="C1016">_xlfn.TEXTJOIN(",",TRUE,_xlfn.UNIQUE(TRANSPOSE(_xlfn.MAP(_xlfn.XLOOKUP(A1016,'Pinlist(S1)'!$C$4:$C$1362,'Pinlist(S1)'!$F$4:$K$1362,""),_xlfn.LAMBDA(_xlpm.x,IF(_xlpm.x&lt;&gt;"",TRIM(CLEAN(LEFT(_xlpm.x,FIND(".",_xlpm.x &amp; ".")-1))),""))))))</f>
        <v/>
      </c>
      <c r="D1016">
        <v>38.677999999999997</v>
      </c>
      <c r="E1016">
        <v>18.259</v>
      </c>
      <c r="F1016" t="str">
        <f>_xlfn.LET(_xlpm.raw,_xlfn.XLOOKUP(A1016,'Pinlist(S1)'!$C$4:$C$1362,'Pinlist(S1)'!$E$4:$E$1362,""),_xlpm.cleanRaw,SUBSTITUTE(SUBSTITUTE(_xlpm.raw,"_PIN","."),"PIN","."),_xlpm.mainPart,MID(_xlpm.cleanRaw,2,FIND(".",_xlpm.cleanRaw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605072</v>
      </c>
      <c r="G1016" t="str">
        <f>_xlfn.LET(_xlpm.raw,_xlfn.XLOOKUP(A1016,'Pinlist(S3)'!$C$4:$C$1362,'Pinlist(S3)'!$E$4:$E$1362,""),_xlpm.cleanRaw,SUBSTITUTE(SUBSTITUTE(_xlpm.raw,"_PIN","."),"PIN","."),_xlpm.mainPart,MID(_xlpm.cleanRaw,2,FIND(".",_xlpm.cleanRaw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501115</v>
      </c>
      <c r="H1016" t="str">
        <f>_xlfn.LET(_xlpm.raw,_xlfn.XLOOKUP(A1016,'Pinlist(S5)'!$C$4:$C$1362,'Pinlist(S5)'!$E$4:$E$1362,""),_xlpm.cleanRaw,SUBSTITUTE(SUBSTITUTE(_xlpm.raw,"_PIN","."),"PIN","."),_xlpm.mainPart,MID(_xlpm.cleanRaw,2,FIND(".",_xlpm.cleanRaw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708074</v>
      </c>
      <c r="I1016" t="str">
        <f>""</f>
        <v/>
      </c>
      <c r="J1016" t="str">
        <f t="shared" si="15"/>
        <v>AR68;DDRDQ_IL01_NIL01[1];;38.678;18.259;605072;501115;708074;</v>
      </c>
    </row>
    <row r="1017" spans="1:10">
      <c r="A1017" t="s">
        <v>414</v>
      </c>
      <c r="B1017" t="str">
        <f>_xlfn.XLOOKUP(A1017,'Pinlist(S1)'!$Q$4:$Q$1362,'Pinlist(S1)'!$R$4:$R$1362,"")</f>
        <v>DDRDQ_IL01_NIL01[5]</v>
      </c>
      <c r="C1017" t="str" cm="1">
        <f t="array" ref="C1017">_xlfn.TEXTJOIN(",",TRUE,_xlfn.UNIQUE(TRANSPOSE(_xlfn.MAP(_xlfn.XLOOKUP(A1017,'Pinlist(S1)'!$C$4:$C$1362,'Pinlist(S1)'!$F$4:$K$1362,""),_xlfn.LAMBDA(_xlpm.x,IF(_xlpm.x&lt;&gt;"",TRIM(CLEAN(LEFT(_xlpm.x,FIND(".",_xlpm.x &amp; ".")-1))),""))))))</f>
        <v/>
      </c>
      <c r="D1017">
        <v>39.328000000000003</v>
      </c>
      <c r="E1017">
        <v>18.259</v>
      </c>
      <c r="F1017" t="str">
        <f>_xlfn.LET(_xlpm.raw,_xlfn.XLOOKUP(A1017,'Pinlist(S1)'!$C$4:$C$1362,'Pinlist(S1)'!$E$4:$E$1362,""),_xlpm.cleanRaw,SUBSTITUTE(SUBSTITUTE(_xlpm.raw,"_PIN","."),"PIN","."),_xlpm.mainPart,MID(_xlpm.cleanRaw,2,FIND(".",_xlpm.cleanRaw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605071</v>
      </c>
      <c r="G1017" t="str">
        <f>_xlfn.LET(_xlpm.raw,_xlfn.XLOOKUP(A1017,'Pinlist(S3)'!$C$4:$C$1362,'Pinlist(S3)'!$E$4:$E$1362,""),_xlpm.cleanRaw,SUBSTITUTE(SUBSTITUTE(_xlpm.raw,"_PIN","."),"PIN","."),_xlpm.mainPart,MID(_xlpm.cleanRaw,2,FIND(".",_xlpm.cleanRaw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501103</v>
      </c>
      <c r="H1017" t="str">
        <f>_xlfn.LET(_xlpm.raw,_xlfn.XLOOKUP(A1017,'Pinlist(S5)'!$C$4:$C$1362,'Pinlist(S5)'!$E$4:$E$1362,""),_xlpm.cleanRaw,SUBSTITUTE(SUBSTITUTE(_xlpm.raw,"_PIN","."),"PIN","."),_xlpm.mainPart,MID(_xlpm.cleanRaw,2,FIND(".",_xlpm.cleanRaw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708071</v>
      </c>
      <c r="I1017" t="str">
        <f>""</f>
        <v/>
      </c>
      <c r="J1017" t="str">
        <f t="shared" si="15"/>
        <v>AR69;DDRDQ_IL01_NIL01[5];;39.328;18.259;605071;501103;708071;</v>
      </c>
    </row>
    <row r="1018" spans="1:10">
      <c r="A1018" t="s">
        <v>404</v>
      </c>
      <c r="B1018" t="str">
        <f>_xlfn.XLOOKUP(A1018,'Pinlist(S1)'!$Q$4:$Q$1362,'Pinlist(S1)'!$R$4:$R$1362,"")</f>
        <v>DDRDQ_IL01_NIL01[0]</v>
      </c>
      <c r="C1018" t="str" cm="1">
        <f t="array" ref="C1018">_xlfn.TEXTJOIN(",",TRUE,_xlfn.UNIQUE(TRANSPOSE(_xlfn.MAP(_xlfn.XLOOKUP(A1018,'Pinlist(S1)'!$C$4:$C$1362,'Pinlist(S1)'!$F$4:$K$1362,""),_xlfn.LAMBDA(_xlpm.x,IF(_xlpm.x&lt;&gt;"",TRIM(CLEAN(LEFT(_xlpm.x,FIND(".",_xlpm.x &amp; ".")-1))),""))))))</f>
        <v/>
      </c>
      <c r="D1018">
        <v>39.978000000000002</v>
      </c>
      <c r="E1018">
        <v>18.16</v>
      </c>
      <c r="F1018" t="str">
        <f>_xlfn.LET(_xlpm.raw,_xlfn.XLOOKUP(A1018,'Pinlist(S1)'!$C$4:$C$1362,'Pinlist(S1)'!$E$4:$E$1362,""),_xlpm.cleanRaw,SUBSTITUTE(SUBSTITUTE(_xlpm.raw,"_PIN","."),"PIN","."),_xlpm.mainPart,MID(_xlpm.cleanRaw,2,FIND(".",_xlpm.cleanRaw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605074</v>
      </c>
      <c r="G1018" t="str">
        <f>_xlfn.LET(_xlpm.raw,_xlfn.XLOOKUP(A1018,'Pinlist(S3)'!$C$4:$C$1362,'Pinlist(S3)'!$E$4:$E$1362,""),_xlpm.cleanRaw,SUBSTITUTE(SUBSTITUTE(_xlpm.raw,"_PIN","."),"PIN","."),_xlpm.mainPart,MID(_xlpm.cleanRaw,2,FIND(".",_xlpm.cleanRaw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501105</v>
      </c>
      <c r="H1018" t="str">
        <f>_xlfn.LET(_xlpm.raw,_xlfn.XLOOKUP(A1018,'Pinlist(S5)'!$C$4:$C$1362,'Pinlist(S5)'!$E$4:$E$1362,""),_xlpm.cleanRaw,SUBSTITUTE(SUBSTITUTE(_xlpm.raw,"_PIN","."),"PIN","."),_xlpm.mainPart,MID(_xlpm.cleanRaw,2,FIND(".",_xlpm.cleanRaw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707122</v>
      </c>
      <c r="I1018" t="str">
        <f>""</f>
        <v/>
      </c>
      <c r="J1018" t="str">
        <f t="shared" si="15"/>
        <v>AR70;DDRDQ_IL01_NIL01[0];;39.978;18.16;605074;501105;707122;</v>
      </c>
    </row>
    <row r="1019" spans="1:10">
      <c r="A1019" t="s">
        <v>412</v>
      </c>
      <c r="B1019" t="str">
        <f>_xlfn.XLOOKUP(A1019,'Pinlist(S1)'!$Q$4:$Q$1362,'Pinlist(S1)'!$R$4:$R$1362,"")</f>
        <v>DDRDQ_IL01_NIL01[4]</v>
      </c>
      <c r="C1019" t="str" cm="1">
        <f t="array" ref="C1019">_xlfn.TEXTJOIN(",",TRUE,_xlfn.UNIQUE(TRANSPOSE(_xlfn.MAP(_xlfn.XLOOKUP(A1019,'Pinlist(S1)'!$C$4:$C$1362,'Pinlist(S1)'!$F$4:$K$1362,""),_xlfn.LAMBDA(_xlpm.x,IF(_xlpm.x&lt;&gt;"",TRIM(CLEAN(LEFT(_xlpm.x,FIND(".",_xlpm.x &amp; ".")-1))),""))))))</f>
        <v/>
      </c>
      <c r="D1019">
        <v>40.628</v>
      </c>
      <c r="E1019">
        <v>18.16</v>
      </c>
      <c r="F1019" t="str">
        <f>_xlfn.LET(_xlpm.raw,_xlfn.XLOOKUP(A1019,'Pinlist(S1)'!$C$4:$C$1362,'Pinlist(S1)'!$E$4:$E$1362,""),_xlpm.cleanRaw,SUBSTITUTE(SUBSTITUTE(_xlpm.raw,"_PIN","."),"PIN","."),_xlpm.mainPart,MID(_xlpm.cleanRaw,2,FIND(".",_xlpm.cleanRaw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606118</v>
      </c>
      <c r="G1019" t="str">
        <f>_xlfn.LET(_xlpm.raw,_xlfn.XLOOKUP(A1019,'Pinlist(S3)'!$C$4:$C$1362,'Pinlist(S3)'!$E$4:$E$1362,""),_xlpm.cleanRaw,SUBSTITUTE(SUBSTITUTE(_xlpm.raw,"_PIN","."),"PIN","."),_xlpm.mainPart,MID(_xlpm.cleanRaw,2,FIND(".",_xlpm.cleanRaw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501106</v>
      </c>
      <c r="H1019" t="str">
        <f>_xlfn.LET(_xlpm.raw,_xlfn.XLOOKUP(A1019,'Pinlist(S5)'!$C$4:$C$1362,'Pinlist(S5)'!$E$4:$E$1362,""),_xlpm.cleanRaw,SUBSTITUTE(SUBSTITUTE(_xlpm.raw,"_PIN","."),"PIN","."),_xlpm.mainPart,MID(_xlpm.cleanRaw,2,FIND(".",_xlpm.cleanRaw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707120</v>
      </c>
      <c r="I1019" t="str">
        <f>""</f>
        <v/>
      </c>
      <c r="J1019" t="str">
        <f t="shared" si="15"/>
        <v>AR71;DDRDQ_IL01_NIL01[4];;40.628;18.16;606118;501106;707120;</v>
      </c>
    </row>
    <row r="1020" spans="1:10">
      <c r="A1020" t="s">
        <v>755</v>
      </c>
      <c r="B1020" t="str">
        <f>_xlfn.XLOOKUP(A1020,'Pinlist(S1)'!$Q$4:$Q$1362,'Pinlist(S1)'!$R$4:$R$1362,"")</f>
        <v>EMMC_RCOMP</v>
      </c>
      <c r="C1020" t="str" cm="1">
        <f t="array" ref="C1020">_xlfn.TEXTJOIN(",",TRUE,_xlfn.UNIQUE(TRANSPOSE(_xlfn.MAP(_xlfn.XLOOKUP(A1020,'Pinlist(S1)'!$C$4:$C$1362,'Pinlist(S1)'!$F$4:$K$1362,""),_xlfn.LAMBDA(_xlpm.x,IF(_xlpm.x&lt;&gt;"",TRIM(CLEAN(LEFT(_xlpm.x,FIND(".",_xlpm.x &amp; ".")-1))),""))))))</f>
        <v>RA121</v>
      </c>
      <c r="D1020">
        <v>0.32500000000000201</v>
      </c>
      <c r="E1020">
        <v>18.759</v>
      </c>
      <c r="F1020" t="str">
        <f>_xlfn.LET(_xlpm.raw,_xlfn.XLOOKUP(A1020,'Pinlist(S1)'!$C$4:$C$1362,'Pinlist(S1)'!$E$4:$E$1362,""),_xlpm.cleanRaw,SUBSTITUTE(SUBSTITUTE(_xlpm.raw,"_PIN","."),"PIN","."),_xlpm.mainPart,MID(_xlpm.cleanRaw,2,FIND(".",_xlpm.cleanRaw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0" t="str">
        <f>_xlfn.LET(_xlpm.raw,_xlfn.XLOOKUP(A1020,'Pinlist(S3)'!$C$4:$C$1362,'Pinlist(S3)'!$E$4:$E$1362,""),_xlpm.cleanRaw,SUBSTITUTE(SUBSTITUTE(_xlpm.raw,"_PIN","."),"PIN","."),_xlpm.mainPart,MID(_xlpm.cleanRaw,2,FIND(".",_xlpm.cleanRaw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0" t="str">
        <f>_xlfn.LET(_xlpm.raw,_xlfn.XLOOKUP(A1020,'Pinlist(S5)'!$C$4:$C$1362,'Pinlist(S5)'!$E$4:$E$1362,""),_xlpm.cleanRaw,SUBSTITUTE(SUBSTITUTE(_xlpm.raw,"_PIN","."),"PIN","."),_xlpm.mainPart,MID(_xlpm.cleanRaw,2,FIND(".",_xlpm.cleanRaw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0" t="str">
        <f>""</f>
        <v/>
      </c>
      <c r="J1020" t="str">
        <f t="shared" si="15"/>
        <v>AT1;EMMC_RCOMP;RA121;0.325000000000002;18.759;;;;</v>
      </c>
    </row>
    <row r="1021" spans="1:10">
      <c r="A1021" t="s">
        <v>2015</v>
      </c>
      <c r="B1021" t="str">
        <f>_xlfn.XLOOKUP(A1021,'Pinlist(S1)'!$Q$4:$Q$1362,'Pinlist(S1)'!$R$4:$R$1362,"")</f>
        <v>VSS</v>
      </c>
      <c r="C1021" t="str" cm="1">
        <f t="array" ref="C1021">_xlfn.TEXTJOIN(",",TRUE,_xlfn.UNIQUE(TRANSPOSE(_xlfn.MAP(_xlfn.XLOOKUP(A1021,'Pinlist(S1)'!$C$4:$C$1362,'Pinlist(S1)'!$F$4:$K$1362,""),_xlfn.LAMBDA(_xlpm.x,IF(_xlpm.x&lt;&gt;"",TRIM(CLEAN(LEFT(_xlpm.x,FIND(".",_xlpm.x &amp; ".")-1))),""))))))</f>
        <v/>
      </c>
      <c r="D1021">
        <v>0.97500000000000098</v>
      </c>
      <c r="E1021">
        <v>18.759</v>
      </c>
      <c r="F1021" t="str">
        <f>_xlfn.LET(_xlpm.raw,_xlfn.XLOOKUP(A1021,'Pinlist(S1)'!$C$4:$C$1362,'Pinlist(S1)'!$E$4:$E$1362,""),_xlpm.cleanRaw,SUBSTITUTE(SUBSTITUTE(_xlpm.raw,"_PIN","."),"PIN","."),_xlpm.mainPart,MID(_xlpm.cleanRaw,2,FIND(".",_xlpm.cleanRaw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1" t="str">
        <f>_xlfn.LET(_xlpm.raw,_xlfn.XLOOKUP(A1021,'Pinlist(S3)'!$C$4:$C$1362,'Pinlist(S3)'!$E$4:$E$1362,""),_xlpm.cleanRaw,SUBSTITUTE(SUBSTITUTE(_xlpm.raw,"_PIN","."),"PIN","."),_xlpm.mainPart,MID(_xlpm.cleanRaw,2,FIND(".",_xlpm.cleanRaw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1" t="str">
        <f>_xlfn.LET(_xlpm.raw,_xlfn.XLOOKUP(A1021,'Pinlist(S5)'!$C$4:$C$1362,'Pinlist(S5)'!$E$4:$E$1362,""),_xlpm.cleanRaw,SUBSTITUTE(SUBSTITUTE(_xlpm.raw,"_PIN","."),"PIN","."),_xlpm.mainPart,MID(_xlpm.cleanRaw,2,FIND(".",_xlpm.cleanRaw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1" t="str">
        <f>""</f>
        <v/>
      </c>
      <c r="J1021" t="str">
        <f t="shared" si="15"/>
        <v>AT2;VSS;;0.975000000000001;18.759;;;;</v>
      </c>
    </row>
    <row r="1022" spans="1:10">
      <c r="A1022" t="s">
        <v>2020</v>
      </c>
      <c r="B1022" t="str">
        <f>_xlfn.XLOOKUP(A1022,'Pinlist(S1)'!$Q$4:$Q$1362,'Pinlist(S1)'!$R$4:$R$1362,"")</f>
        <v>VSS</v>
      </c>
      <c r="C1022" t="str" cm="1">
        <f t="array" ref="C1022">_xlfn.TEXTJOIN(",",TRUE,_xlfn.UNIQUE(TRANSPOSE(_xlfn.MAP(_xlfn.XLOOKUP(A1022,'Pinlist(S1)'!$C$4:$C$1362,'Pinlist(S1)'!$F$4:$K$1362,""),_xlfn.LAMBDA(_xlpm.x,IF(_xlpm.x&lt;&gt;"",TRIM(CLEAN(LEFT(_xlpm.x,FIND(".",_xlpm.x &amp; ".")-1))),""))))))</f>
        <v/>
      </c>
      <c r="D1022">
        <v>1.9510000000000001</v>
      </c>
      <c r="E1022">
        <v>18.759</v>
      </c>
      <c r="F1022" t="str">
        <f>_xlfn.LET(_xlpm.raw,_xlfn.XLOOKUP(A1022,'Pinlist(S1)'!$C$4:$C$1362,'Pinlist(S1)'!$E$4:$E$1362,""),_xlpm.cleanRaw,SUBSTITUTE(SUBSTITUTE(_xlpm.raw,"_PIN","."),"PIN","."),_xlpm.mainPart,MID(_xlpm.cleanRaw,2,FIND(".",_xlpm.cleanRaw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2" t="str">
        <f>_xlfn.LET(_xlpm.raw,_xlfn.XLOOKUP(A1022,'Pinlist(S3)'!$C$4:$C$1362,'Pinlist(S3)'!$E$4:$E$1362,""),_xlpm.cleanRaw,SUBSTITUTE(SUBSTITUTE(_xlpm.raw,"_PIN","."),"PIN","."),_xlpm.mainPart,MID(_xlpm.cleanRaw,2,FIND(".",_xlpm.cleanRaw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2" t="str">
        <f>_xlfn.LET(_xlpm.raw,_xlfn.XLOOKUP(A1022,'Pinlist(S5)'!$C$4:$C$1362,'Pinlist(S5)'!$E$4:$E$1362,""),_xlpm.cleanRaw,SUBSTITUTE(SUBSTITUTE(_xlpm.raw,"_PIN","."),"PIN","."),_xlpm.mainPart,MID(_xlpm.cleanRaw,2,FIND(".",_xlpm.cleanRaw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2" t="str">
        <f>""</f>
        <v/>
      </c>
      <c r="J1022" t="str">
        <f t="shared" si="15"/>
        <v>AT4;VSS;;1.951;18.759;;;;</v>
      </c>
    </row>
    <row r="1023" spans="1:10">
      <c r="A1023" t="s">
        <v>1339</v>
      </c>
      <c r="B1023" t="str">
        <f>_xlfn.XLOOKUP(A1023,'Pinlist(S1)'!$Q$4:$Q$1362,'Pinlist(S1)'!$R$4:$R$1362,"")</f>
        <v>POPIICCOBS</v>
      </c>
      <c r="C1023" t="str" cm="1">
        <f t="array" ref="C1023">_xlfn.TEXTJOIN(",",TRUE,_xlfn.UNIQUE(TRANSPOSE(_xlfn.MAP(_xlfn.XLOOKUP(A1023,'Pinlist(S1)'!$C$4:$C$1362,'Pinlist(S1)'!$F$4:$K$1362,""),_xlfn.LAMBDA(_xlpm.x,IF(_xlpm.x&lt;&gt;"",TRIM(CLEAN(LEFT(_xlpm.x,FIND(".",_xlpm.x &amp; ".")-1))),""))))))</f>
        <v/>
      </c>
      <c r="D1023">
        <v>2.6599999999999899</v>
      </c>
      <c r="E1023">
        <v>18.861000000000001</v>
      </c>
      <c r="F1023" t="str">
        <f>_xlfn.LET(_xlpm.raw,_xlfn.XLOOKUP(A1023,'Pinlist(S1)'!$C$4:$C$1362,'Pinlist(S1)'!$E$4:$E$1362,""),_xlpm.cleanRaw,SUBSTITUTE(SUBSTITUTE(_xlpm.raw,"_PIN","."),"PIN","."),_xlpm.mainPart,MID(_xlpm.cleanRaw,2,FIND(".",_xlpm.cleanRaw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3" t="str">
        <f>_xlfn.LET(_xlpm.raw,_xlfn.XLOOKUP(A1023,'Pinlist(S3)'!$C$4:$C$1362,'Pinlist(S3)'!$E$4:$E$1362,""),_xlpm.cleanRaw,SUBSTITUTE(SUBSTITUTE(_xlpm.raw,"_PIN","."),"PIN","."),_xlpm.mainPart,MID(_xlpm.cleanRaw,2,FIND(".",_xlpm.cleanRaw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3" t="str">
        <f>_xlfn.LET(_xlpm.raw,_xlfn.XLOOKUP(A1023,'Pinlist(S5)'!$C$4:$C$1362,'Pinlist(S5)'!$E$4:$E$1362,""),_xlpm.cleanRaw,SUBSTITUTE(SUBSTITUTE(_xlpm.raw,"_PIN","."),"PIN","."),_xlpm.mainPart,MID(_xlpm.cleanRaw,2,FIND(".",_xlpm.cleanRaw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3" t="str">
        <f>""</f>
        <v/>
      </c>
      <c r="J1023" t="str">
        <f t="shared" si="15"/>
        <v>AT5;POPIICCOBS;;2.65999999999999;18.861;;;;</v>
      </c>
    </row>
    <row r="1024" spans="1:10">
      <c r="A1024" t="s">
        <v>883</v>
      </c>
      <c r="B1024" t="str">
        <f>_xlfn.XLOOKUP(A1024,'Pinlist(S1)'!$Q$4:$Q$1362,'Pinlist(S1)'!$R$4:$R$1362,"")</f>
        <v>GPP_B_6_SRCCLKREQB_1</v>
      </c>
      <c r="C1024" t="str" cm="1">
        <f t="array" ref="C1024">_xlfn.TEXTJOIN(",",TRUE,_xlfn.UNIQUE(TRANSPOSE(_xlfn.MAP(_xlfn.XLOOKUP(A1024,'Pinlist(S1)'!$C$4:$C$1362,'Pinlist(S1)'!$F$4:$K$1362,""),_xlfn.LAMBDA(_xlpm.x,IF(_xlpm.x&lt;&gt;"",TRIM(CLEAN(LEFT(_xlpm.x,FIND(".",_xlpm.x &amp; ".")-1))),""))))))</f>
        <v/>
      </c>
      <c r="D1024">
        <v>3.5739999999999901</v>
      </c>
      <c r="E1024">
        <v>18.861000000000001</v>
      </c>
      <c r="F1024" t="str">
        <f>_xlfn.LET(_xlpm.raw,_xlfn.XLOOKUP(A1024,'Pinlist(S1)'!$C$4:$C$1362,'Pinlist(S1)'!$E$4:$E$1362,""),_xlpm.cleanRaw,SUBSTITUTE(SUBSTITUTE(_xlpm.raw,"_PIN","."),"PIN","."),_xlpm.mainPart,MID(_xlpm.cleanRaw,2,FIND(".",_xlpm.cleanRaw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508059</v>
      </c>
      <c r="G1024" t="str">
        <f>_xlfn.LET(_xlpm.raw,_xlfn.XLOOKUP(A1024,'Pinlist(S3)'!$C$4:$C$1362,'Pinlist(S3)'!$E$4:$E$1362,""),_xlpm.cleanRaw,SUBSTITUTE(SUBSTITUTE(_xlpm.raw,"_PIN","."),"PIN","."),_xlpm.mainPart,MID(_xlpm.cleanRaw,2,FIND(".",_xlpm.cleanRaw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804022</v>
      </c>
      <c r="H1024" t="str">
        <f>_xlfn.LET(_xlpm.raw,_xlfn.XLOOKUP(A1024,'Pinlist(S5)'!$C$4:$C$1362,'Pinlist(S5)'!$E$4:$E$1362,""),_xlpm.cleanRaw,SUBSTITUTE(SUBSTITUTE(_xlpm.raw,"_PIN","."),"PIN","."),_xlpm.mainPart,MID(_xlpm.cleanRaw,2,FIND(".",_xlpm.cleanRaw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702049</v>
      </c>
      <c r="I1024" t="str">
        <f>""</f>
        <v/>
      </c>
      <c r="J1024" t="str">
        <f t="shared" si="15"/>
        <v>AT7;GPP_B_6_SRCCLKREQB_1;;3.57399999999999;18.861;508059;804022;702049;</v>
      </c>
    </row>
    <row r="1025" spans="1:10">
      <c r="A1025" t="s">
        <v>885</v>
      </c>
      <c r="B1025" t="str">
        <f>_xlfn.XLOOKUP(A1025,'Pinlist(S1)'!$Q$4:$Q$1362,'Pinlist(S1)'!$R$4:$R$1362,"")</f>
        <v>GPP_B_7_SRCCLKREQB_2</v>
      </c>
      <c r="C1025" t="str" cm="1">
        <f t="array" ref="C1025">_xlfn.TEXTJOIN(",",TRUE,_xlfn.UNIQUE(TRANSPOSE(_xlfn.MAP(_xlfn.XLOOKUP(A1025,'Pinlist(S1)'!$C$4:$C$1362,'Pinlist(S1)'!$F$4:$K$1362,""),_xlfn.LAMBDA(_xlpm.x,IF(_xlpm.x&lt;&gt;"",TRIM(CLEAN(LEFT(_xlpm.x,FIND(".",_xlpm.x &amp; ".")-1))),""))))))</f>
        <v/>
      </c>
      <c r="D1025">
        <v>4.4889999999999999</v>
      </c>
      <c r="E1025">
        <v>18.861000000000001</v>
      </c>
      <c r="F1025" t="str">
        <f>_xlfn.LET(_xlpm.raw,_xlfn.XLOOKUP(A1025,'Pinlist(S1)'!$C$4:$C$1362,'Pinlist(S1)'!$E$4:$E$1362,""),_xlpm.cleanRaw,SUBSTITUTE(SUBSTITUTE(_xlpm.raw,"_PIN","."),"PIN","."),_xlpm.mainPart,MID(_xlpm.cleanRaw,2,FIND(".",_xlpm.cleanRaw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506010</v>
      </c>
      <c r="G1025" t="str">
        <f>_xlfn.LET(_xlpm.raw,_xlfn.XLOOKUP(A1025,'Pinlist(S3)'!$C$4:$C$1362,'Pinlist(S3)'!$E$4:$E$1362,""),_xlpm.cleanRaw,SUBSTITUTE(SUBSTITUTE(_xlpm.raw,"_PIN","."),"PIN","."),_xlpm.mainPart,MID(_xlpm.cleanRaw,2,FIND(".",_xlpm.cleanRaw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806103</v>
      </c>
      <c r="H1025" t="str">
        <f>_xlfn.LET(_xlpm.raw,_xlfn.XLOOKUP(A1025,'Pinlist(S5)'!$C$4:$C$1362,'Pinlist(S5)'!$E$4:$E$1362,""),_xlpm.cleanRaw,SUBSTITUTE(SUBSTITUTE(_xlpm.raw,"_PIN","."),"PIN","."),_xlpm.mainPart,MID(_xlpm.cleanRaw,2,FIND(".",_xlpm.cleanRaw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701104</v>
      </c>
      <c r="I1025" t="str">
        <f>""</f>
        <v/>
      </c>
      <c r="J1025" t="str">
        <f t="shared" si="15"/>
        <v>AT8;GPP_B_7_SRCCLKREQB_2;;4.489;18.861;506010;806103;701104;</v>
      </c>
    </row>
    <row r="1026" spans="1:10">
      <c r="A1026" t="s">
        <v>887</v>
      </c>
      <c r="B1026" t="str">
        <f>_xlfn.XLOOKUP(A1026,'Pinlist(S1)'!$Q$4:$Q$1362,'Pinlist(S1)'!$R$4:$R$1362,"")</f>
        <v>GPP_B_8_SRCCLKREQB_3</v>
      </c>
      <c r="C1026" t="str" cm="1">
        <f t="array" ref="C1026">_xlfn.TEXTJOIN(",",TRUE,_xlfn.UNIQUE(TRANSPOSE(_xlfn.MAP(_xlfn.XLOOKUP(A1026,'Pinlist(S1)'!$C$4:$C$1362,'Pinlist(S1)'!$F$4:$K$1362,""),_xlfn.LAMBDA(_xlpm.x,IF(_xlpm.x&lt;&gt;"",TRIM(CLEAN(LEFT(_xlpm.x,FIND(".",_xlpm.x &amp; ".")-1))),""))))))</f>
        <v/>
      </c>
      <c r="D1026">
        <v>5.4029999999999898</v>
      </c>
      <c r="E1026">
        <v>18.861000000000001</v>
      </c>
      <c r="F1026" t="str">
        <f>_xlfn.LET(_xlpm.raw,_xlfn.XLOOKUP(A1026,'Pinlist(S1)'!$C$4:$C$1362,'Pinlist(S1)'!$E$4:$E$1362,""),_xlpm.cleanRaw,SUBSTITUTE(SUBSTITUTE(_xlpm.raw,"_PIN","."),"PIN","."),_xlpm.mainPart,MID(_xlpm.cleanRaw,2,FIND(".",_xlpm.cleanRaw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508067</v>
      </c>
      <c r="G1026" t="str">
        <f>_xlfn.LET(_xlpm.raw,_xlfn.XLOOKUP(A1026,'Pinlist(S3)'!$C$4:$C$1362,'Pinlist(S3)'!$E$4:$E$1362,""),_xlpm.cleanRaw,SUBSTITUTE(SUBSTITUTE(_xlpm.raw,"_PIN","."),"PIN","."),_xlpm.mainPart,MID(_xlpm.cleanRaw,2,FIND(".",_xlpm.cleanRaw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806113</v>
      </c>
      <c r="H1026" t="str">
        <f>_xlfn.LET(_xlpm.raw,_xlfn.XLOOKUP(A1026,'Pinlist(S5)'!$C$4:$C$1362,'Pinlist(S5)'!$E$4:$E$1362,""),_xlpm.cleanRaw,SUBSTITUTE(SUBSTITUTE(_xlpm.raw,"_PIN","."),"PIN","."),_xlpm.mainPart,MID(_xlpm.cleanRaw,2,FIND(".",_xlpm.cleanRaw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701111</v>
      </c>
      <c r="I1026" t="str">
        <f>""</f>
        <v/>
      </c>
      <c r="J1026" t="str">
        <f t="shared" ref="J1026:J1089" si="16">A1026&amp;";"&amp;B1026&amp;";"&amp;C1026&amp;";"&amp;D1026&amp;";"&amp;E1026&amp;";"&amp;F1026&amp;";"&amp;G1026&amp;";"&amp;H1026&amp;";"&amp;I1026</f>
        <v>AT10;GPP_B_8_SRCCLKREQB_3;;5.40299999999999;18.861;508067;806113;701111;</v>
      </c>
    </row>
    <row r="1027" spans="1:10">
      <c r="A1027" t="s">
        <v>851</v>
      </c>
      <c r="B1027" t="str">
        <f>_xlfn.XLOOKUP(A1027,'Pinlist(S1)'!$Q$4:$Q$1362,'Pinlist(S1)'!$R$4:$R$1362,"")</f>
        <v>GPP_B_12_SLP_S0B</v>
      </c>
      <c r="C1027" t="str" cm="1">
        <f t="array" ref="C1027">_xlfn.TEXTJOIN(",",TRUE,_xlfn.UNIQUE(TRANSPOSE(_xlfn.MAP(_xlfn.XLOOKUP(A1027,'Pinlist(S1)'!$C$4:$C$1362,'Pinlist(S1)'!$F$4:$K$1362,""),_xlfn.LAMBDA(_xlpm.x,IF(_xlpm.x&lt;&gt;"",TRIM(CLEAN(LEFT(_xlpm.x,FIND(".",_xlpm.x &amp; ".")-1))),""))))))</f>
        <v/>
      </c>
      <c r="D1027">
        <v>6.3179999999999898</v>
      </c>
      <c r="E1027">
        <v>18.861000000000001</v>
      </c>
      <c r="F1027" t="str">
        <f>_xlfn.LET(_xlpm.raw,_xlfn.XLOOKUP(A1027,'Pinlist(S1)'!$C$4:$C$1362,'Pinlist(S1)'!$E$4:$E$1362,""),_xlpm.cleanRaw,SUBSTITUTE(SUBSTITUTE(_xlpm.raw,"_PIN","."),"PIN","."),_xlpm.mainPart,MID(_xlpm.cleanRaw,2,FIND(".",_xlpm.cleanRaw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506009</v>
      </c>
      <c r="G1027" t="str">
        <f>_xlfn.LET(_xlpm.raw,_xlfn.XLOOKUP(A1027,'Pinlist(S3)'!$C$4:$C$1362,'Pinlist(S3)'!$E$4:$E$1362,""),_xlpm.cleanRaw,SUBSTITUTE(SUBSTITUTE(_xlpm.raw,"_PIN","."),"PIN","."),_xlpm.mainPart,MID(_xlpm.cleanRaw,2,FIND(".",_xlpm.cleanRaw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806091</v>
      </c>
      <c r="H1027" t="str">
        <f>_xlfn.LET(_xlpm.raw,_xlfn.XLOOKUP(A1027,'Pinlist(S5)'!$C$4:$C$1362,'Pinlist(S5)'!$E$4:$E$1362,""),_xlpm.cleanRaw,SUBSTITUTE(SUBSTITUTE(_xlpm.raw,"_PIN","."),"PIN","."),_xlpm.mainPart,MID(_xlpm.cleanRaw,2,FIND(".",_xlpm.cleanRaw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601006</v>
      </c>
      <c r="I1027" t="str">
        <f>""</f>
        <v/>
      </c>
      <c r="J1027" t="str">
        <f t="shared" si="16"/>
        <v>AT11;GPP_B_12_SLP_S0B;;6.31799999999999;18.861;506009;806091;601006;</v>
      </c>
    </row>
    <row r="1028" spans="1:10">
      <c r="A1028" t="s">
        <v>710</v>
      </c>
      <c r="B1028" t="str">
        <f>_xlfn.XLOOKUP(A1028,'Pinlist(S1)'!$Q$4:$Q$1362,'Pinlist(S1)'!$R$4:$R$1362,"")</f>
        <v>DRAM_RESETB</v>
      </c>
      <c r="C1028" t="str" cm="1">
        <f t="array" ref="C1028">_xlfn.TEXTJOIN(",",TRUE,_xlfn.UNIQUE(TRANSPOSE(_xlfn.MAP(_xlfn.XLOOKUP(A1028,'Pinlist(S1)'!$C$4:$C$1362,'Pinlist(S1)'!$F$4:$K$1362,""),_xlfn.LAMBDA(_xlpm.x,IF(_xlpm.x&lt;&gt;"",TRIM(CLEAN(LEFT(_xlpm.x,FIND(".",_xlpm.x &amp; ".")-1))),""))))))</f>
        <v/>
      </c>
      <c r="D1028">
        <v>7.2319999999999904</v>
      </c>
      <c r="E1028">
        <v>18.861000000000001</v>
      </c>
      <c r="F1028" t="str">
        <f>_xlfn.LET(_xlpm.raw,_xlfn.XLOOKUP(A1028,'Pinlist(S1)'!$C$4:$C$1362,'Pinlist(S1)'!$E$4:$E$1362,""),_xlpm.cleanRaw,SUBSTITUTE(SUBSTITUTE(_xlpm.raw,"_PIN","."),"PIN","."),_xlpm.mainPart,MID(_xlpm.cleanRaw,2,FIND(".",_xlpm.cleanRaw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505043</v>
      </c>
      <c r="G1028" t="str">
        <f>_xlfn.LET(_xlpm.raw,_xlfn.XLOOKUP(A1028,'Pinlist(S3)'!$C$4:$C$1362,'Pinlist(S3)'!$E$4:$E$1362,""),_xlpm.cleanRaw,SUBSTITUTE(SUBSTITUTE(_xlpm.raw,"_PIN","."),"PIN","."),_xlpm.mainPart,MID(_xlpm.cleanRaw,2,FIND(".",_xlpm.cleanRaw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808041</v>
      </c>
      <c r="H1028" t="str">
        <f>_xlfn.LET(_xlpm.raw,_xlfn.XLOOKUP(A1028,'Pinlist(S5)'!$C$4:$C$1362,'Pinlist(S5)'!$E$4:$E$1362,""),_xlpm.cleanRaw,SUBSTITUTE(SUBSTITUTE(_xlpm.raw,"_PIN","."),"PIN","."),_xlpm.mainPart,MID(_xlpm.cleanRaw,2,FIND(".",_xlpm.cleanRaw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601025</v>
      </c>
      <c r="I1028" t="str">
        <f>""</f>
        <v/>
      </c>
      <c r="J1028" t="str">
        <f t="shared" si="16"/>
        <v>AT13;DRAM_RESETB;;7.23199999999999;18.861;505043;808041;601025;</v>
      </c>
    </row>
    <row r="1029" spans="1:10">
      <c r="A1029" t="s">
        <v>789</v>
      </c>
      <c r="B1029" t="str">
        <f>_xlfn.XLOOKUP(A1029,'Pinlist(S1)'!$Q$4:$Q$1362,'Pinlist(S1)'!$R$4:$R$1362,"")</f>
        <v>GPD_7_USB2_WAKEOUTB</v>
      </c>
      <c r="C1029" t="str" cm="1">
        <f t="array" ref="C1029">_xlfn.TEXTJOIN(",",TRUE,_xlfn.UNIQUE(TRANSPOSE(_xlfn.MAP(_xlfn.XLOOKUP(A1029,'Pinlist(S1)'!$C$4:$C$1362,'Pinlist(S1)'!$F$4:$K$1362,""),_xlfn.LAMBDA(_xlpm.x,IF(_xlpm.x&lt;&gt;"",TRIM(CLEAN(LEFT(_xlpm.x,FIND(".",_xlpm.x &amp; ".")-1))),""))))))</f>
        <v/>
      </c>
      <c r="D1029">
        <v>8.1460000000000008</v>
      </c>
      <c r="E1029">
        <v>18.861000000000001</v>
      </c>
      <c r="F1029" t="str">
        <f>_xlfn.LET(_xlpm.raw,_xlfn.XLOOKUP(A1029,'Pinlist(S1)'!$C$4:$C$1362,'Pinlist(S1)'!$E$4:$E$1362,""),_xlpm.cleanRaw,SUBSTITUTE(SUBSTITUTE(_xlpm.raw,"_PIN","."),"PIN","."),_xlpm.mainPart,MID(_xlpm.cleanRaw,2,FIND(".",_xlpm.cleanRaw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509033</v>
      </c>
      <c r="G1029" t="str">
        <f>_xlfn.LET(_xlpm.raw,_xlfn.XLOOKUP(A1029,'Pinlist(S3)'!$C$4:$C$1362,'Pinlist(S3)'!$E$4:$E$1362,""),_xlpm.cleanRaw,SUBSTITUTE(SUBSTITUTE(_xlpm.raw,"_PIN","."),"PIN","."),_xlpm.mainPart,MID(_xlpm.cleanRaw,2,FIND(".",_xlpm.cleanRaw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1029" t="str">
        <f>_xlfn.LET(_xlpm.raw,_xlfn.XLOOKUP(A1029,'Pinlist(S5)'!$C$4:$C$1362,'Pinlist(S5)'!$E$4:$E$1362,""),_xlpm.cleanRaw,SUBSTITUTE(SUBSTITUTE(_xlpm.raw,"_PIN","."),"PIN","."),_xlpm.mainPart,MID(_xlpm.cleanRaw,2,FIND(".",_xlpm.cleanRaw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703014</v>
      </c>
      <c r="I1029" t="str">
        <f>""</f>
        <v/>
      </c>
      <c r="J1029" t="str">
        <f t="shared" si="16"/>
        <v>AT15;GPD_7_USB2_WAKEOUTB;;8.146;18.861;509033;804025;703014;</v>
      </c>
    </row>
    <row r="1030" spans="1:10">
      <c r="A1030" t="s">
        <v>86</v>
      </c>
      <c r="B1030" t="str">
        <f>_xlfn.XLOOKUP(A1030,'Pinlist(S1)'!$Q$4:$Q$1362,'Pinlist(S1)'!$R$4:$R$1362,"")</f>
        <v>CPU_POPIRCOMP</v>
      </c>
      <c r="C1030" t="str" cm="1">
        <f t="array" ref="C1030">_xlfn.TEXTJOIN(",",TRUE,_xlfn.UNIQUE(TRANSPOSE(_xlfn.MAP(_xlfn.XLOOKUP(A1030,'Pinlist(S1)'!$C$4:$C$1362,'Pinlist(S1)'!$F$4:$K$1362,""),_xlfn.LAMBDA(_xlpm.x,IF(_xlpm.x&lt;&gt;"",TRIM(CLEAN(LEFT(_xlpm.x,FIND(".",_xlpm.x &amp; ".")-1))),""))))))</f>
        <v>RA136,RA135</v>
      </c>
      <c r="D1030">
        <v>9.0609999999999999</v>
      </c>
      <c r="E1030">
        <v>18.861000000000001</v>
      </c>
      <c r="F1030" t="str">
        <f>_xlfn.LET(_xlpm.raw,_xlfn.XLOOKUP(A1030,'Pinlist(S1)'!$C$4:$C$1362,'Pinlist(S1)'!$E$4:$E$1362,""),_xlpm.cleanRaw,SUBSTITUTE(SUBSTITUTE(_xlpm.raw,"_PIN","."),"PIN","."),_xlpm.mainPart,MID(_xlpm.cleanRaw,2,FIND(".",_xlpm.cleanRaw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605084</v>
      </c>
      <c r="G1030" t="str">
        <f>_xlfn.LET(_xlpm.raw,_xlfn.XLOOKUP(A1030,'Pinlist(S3)'!$C$4:$C$1362,'Pinlist(S3)'!$E$4:$E$1362,""),_xlpm.cleanRaw,SUBSTITUTE(SUBSTITUTE(_xlpm.raw,"_PIN","."),"PIN","."),_xlpm.mainPart,MID(_xlpm.cleanRaw,2,FIND(".",_xlpm.cleanRaw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803085</v>
      </c>
      <c r="H1030" t="str">
        <f>_xlfn.LET(_xlpm.raw,_xlfn.XLOOKUP(A1030,'Pinlist(S5)'!$C$4:$C$1362,'Pinlist(S5)'!$E$4:$E$1362,""),_xlpm.cleanRaw,SUBSTITUTE(SUBSTITUTE(_xlpm.raw,"_PIN","."),"PIN","."),_xlpm.mainPart,MID(_xlpm.cleanRaw,2,FIND(".",_xlpm.cleanRaw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704128</v>
      </c>
      <c r="I1030" t="str">
        <f>""</f>
        <v/>
      </c>
      <c r="J1030" t="str">
        <f t="shared" si="16"/>
        <v>AT16;CPU_POPIRCOMP;RA136,RA135;9.061;18.861;605084;803085;704128;</v>
      </c>
    </row>
    <row r="1031" spans="1:10">
      <c r="A1031" t="s">
        <v>226</v>
      </c>
      <c r="B1031" t="str">
        <f>_xlfn.XLOOKUP(A1031,'Pinlist(S1)'!$Q$4:$Q$1362,'Pinlist(S1)'!$R$4:$R$1362,"")</f>
        <v>DDR_COMP[1]</v>
      </c>
      <c r="C1031" t="str" cm="1">
        <f t="array" ref="C1031">_xlfn.TEXTJOIN(",",TRUE,_xlfn.UNIQUE(TRANSPOSE(_xlfn.MAP(_xlfn.XLOOKUP(A1031,'Pinlist(S1)'!$C$4:$C$1362,'Pinlist(S1)'!$F$4:$K$1362,""),_xlfn.LAMBDA(_xlpm.x,IF(_xlpm.x&lt;&gt;"",TRIM(CLEAN(LEFT(_xlpm.x,FIND(".",_xlpm.x &amp; ".")-1))),""))))))</f>
        <v>RA107,RA106</v>
      </c>
      <c r="D1031">
        <v>9.9749999999999996</v>
      </c>
      <c r="E1031">
        <v>18.861000000000001</v>
      </c>
      <c r="F1031" t="str">
        <f>_xlfn.LET(_xlpm.raw,_xlfn.XLOOKUP(A1031,'Pinlist(S1)'!$C$4:$C$1362,'Pinlist(S1)'!$E$4:$E$1362,""),_xlpm.cleanRaw,SUBSTITUTE(SUBSTITUTE(_xlpm.raw,"_PIN","."),"PIN","."),_xlpm.mainPart,MID(_xlpm.cleanRaw,2,FIND(".",_xlpm.cleanRaw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604007</v>
      </c>
      <c r="G1031" t="str">
        <f>_xlfn.LET(_xlpm.raw,_xlfn.XLOOKUP(A1031,'Pinlist(S3)'!$C$4:$C$1362,'Pinlist(S3)'!$E$4:$E$1362,""),_xlpm.cleanRaw,SUBSTITUTE(SUBSTITUTE(_xlpm.raw,"_PIN","."),"PIN","."),_xlpm.mainPart,MID(_xlpm.cleanRaw,2,FIND(".",_xlpm.cleanRaw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503004</v>
      </c>
      <c r="H1031" t="str">
        <f>_xlfn.LET(_xlpm.raw,_xlfn.XLOOKUP(A1031,'Pinlist(S5)'!$C$4:$C$1362,'Pinlist(S5)'!$E$4:$E$1362,""),_xlpm.cleanRaw,SUBSTITUTE(SUBSTITUTE(_xlpm.raw,"_PIN","."),"PIN","."),_xlpm.mainPart,MID(_xlpm.cleanRaw,2,FIND(".",_xlpm.cleanRaw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708062</v>
      </c>
      <c r="I1031" t="str">
        <f>""</f>
        <v/>
      </c>
      <c r="J1031" t="str">
        <f t="shared" si="16"/>
        <v>AT18;DDR_COMP[1];RA107,RA106;9.975;18.861;604007;503004;708062;</v>
      </c>
    </row>
    <row r="1032" spans="1:10">
      <c r="A1032" t="s">
        <v>2016</v>
      </c>
      <c r="B1032" t="str">
        <f>_xlfn.XLOOKUP(A1032,'Pinlist(S1)'!$Q$4:$Q$1362,'Pinlist(S1)'!$R$4:$R$1362,"")</f>
        <v>VSS</v>
      </c>
      <c r="C1032" t="str" cm="1">
        <f t="array" ref="C1032">_xlfn.TEXTJOIN(",",TRUE,_xlfn.UNIQUE(TRANSPOSE(_xlfn.MAP(_xlfn.XLOOKUP(A1032,'Pinlist(S1)'!$C$4:$C$1362,'Pinlist(S1)'!$F$4:$K$1362,""),_xlfn.LAMBDA(_xlpm.x,IF(_xlpm.x&lt;&gt;"",TRIM(CLEAN(LEFT(_xlpm.x,FIND(".",_xlpm.x &amp; ".")-1))),""))))))</f>
        <v/>
      </c>
      <c r="D1032">
        <v>10.89</v>
      </c>
      <c r="E1032">
        <v>18.861000000000001</v>
      </c>
      <c r="F1032" t="str">
        <f>_xlfn.LET(_xlpm.raw,_xlfn.XLOOKUP(A1032,'Pinlist(S1)'!$C$4:$C$1362,'Pinlist(S1)'!$E$4:$E$1362,""),_xlpm.cleanRaw,SUBSTITUTE(SUBSTITUTE(_xlpm.raw,"_PIN","."),"PIN","."),_xlpm.mainPart,MID(_xlpm.cleanRaw,2,FIND(".",_xlpm.cleanRaw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2" t="str">
        <f>_xlfn.LET(_xlpm.raw,_xlfn.XLOOKUP(A1032,'Pinlist(S3)'!$C$4:$C$1362,'Pinlist(S3)'!$E$4:$E$1362,""),_xlpm.cleanRaw,SUBSTITUTE(SUBSTITUTE(_xlpm.raw,"_PIN","."),"PIN","."),_xlpm.mainPart,MID(_xlpm.cleanRaw,2,FIND(".",_xlpm.cleanRaw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2" t="str">
        <f>_xlfn.LET(_xlpm.raw,_xlfn.XLOOKUP(A1032,'Pinlist(S5)'!$C$4:$C$1362,'Pinlist(S5)'!$E$4:$E$1362,""),_xlpm.cleanRaw,SUBSTITUTE(SUBSTITUTE(_xlpm.raw,"_PIN","."),"PIN","."),_xlpm.mainPart,MID(_xlpm.cleanRaw,2,FIND(".",_xlpm.cleanRaw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2" t="str">
        <f>""</f>
        <v/>
      </c>
      <c r="J1032" t="str">
        <f t="shared" si="16"/>
        <v>AT20;VSS;;10.89;18.861;;;;</v>
      </c>
    </row>
    <row r="1033" spans="1:10">
      <c r="A1033" t="s">
        <v>634</v>
      </c>
      <c r="B1033" t="str">
        <f>_xlfn.XLOOKUP(A1033,'Pinlist(S1)'!$Q$4:$Q$1362,'Pinlist(S1)'!$R$4:$R$1362,"")</f>
        <v>DDRDQ_IL17_NIL17[3]</v>
      </c>
      <c r="C1033" t="str" cm="1">
        <f t="array" ref="C1033">_xlfn.TEXTJOIN(",",TRUE,_xlfn.UNIQUE(TRANSPOSE(_xlfn.MAP(_xlfn.XLOOKUP(A1033,'Pinlist(S1)'!$C$4:$C$1362,'Pinlist(S1)'!$F$4:$K$1362,""),_xlfn.LAMBDA(_xlpm.x,IF(_xlpm.x&lt;&gt;"",TRIM(CLEAN(LEFT(_xlpm.x,FIND(".",_xlpm.x &amp; ".")-1))),""))))))</f>
        <v/>
      </c>
      <c r="D1033">
        <v>11.804</v>
      </c>
      <c r="E1033">
        <v>18.861000000000001</v>
      </c>
      <c r="F1033" t="str">
        <f>_xlfn.LET(_xlpm.raw,_xlfn.XLOOKUP(A1033,'Pinlist(S1)'!$C$4:$C$1362,'Pinlist(S1)'!$E$4:$E$1362,""),_xlpm.cleanRaw,SUBSTITUTE(SUBSTITUTE(_xlpm.raw,"_PIN","."),"PIN","."),_xlpm.mainPart,MID(_xlpm.cleanRaw,2,FIND(".",_xlpm.cleanRaw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609089</v>
      </c>
      <c r="G1033" t="str">
        <f>_xlfn.LET(_xlpm.raw,_xlfn.XLOOKUP(A1033,'Pinlist(S3)'!$C$4:$C$1362,'Pinlist(S3)'!$E$4:$E$1362,""),_xlpm.cleanRaw,SUBSTITUTE(SUBSTITUTE(_xlpm.raw,"_PIN","."),"PIN","."),_xlpm.mainPart,MID(_xlpm.cleanRaw,2,FIND(".",_xlpm.cleanRaw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803091</v>
      </c>
      <c r="H1033" t="str">
        <f>_xlfn.LET(_xlpm.raw,_xlfn.XLOOKUP(A1033,'Pinlist(S5)'!$C$4:$C$1362,'Pinlist(S5)'!$E$4:$E$1362,""),_xlpm.cleanRaw,SUBSTITUTE(SUBSTITUTE(_xlpm.raw,"_PIN","."),"PIN","."),_xlpm.mainPart,MID(_xlpm.cleanRaw,2,FIND(".",_xlpm.cleanRaw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704091</v>
      </c>
      <c r="I1033" t="str">
        <f>""</f>
        <v/>
      </c>
      <c r="J1033" t="str">
        <f t="shared" si="16"/>
        <v>AT21;DDRDQ_IL17_NIL17[3];;11.804;18.861;609089;803091;704091;</v>
      </c>
    </row>
    <row r="1034" spans="1:10">
      <c r="A1034" t="s">
        <v>628</v>
      </c>
      <c r="B1034" t="str">
        <f>_xlfn.XLOOKUP(A1034,'Pinlist(S1)'!$Q$4:$Q$1362,'Pinlist(S1)'!$R$4:$R$1362,"")</f>
        <v>DDRDQ_IL17_NIL17[0]</v>
      </c>
      <c r="C1034" t="str" cm="1">
        <f t="array" ref="C1034">_xlfn.TEXTJOIN(",",TRUE,_xlfn.UNIQUE(TRANSPOSE(_xlfn.MAP(_xlfn.XLOOKUP(A1034,'Pinlist(S1)'!$C$4:$C$1362,'Pinlist(S1)'!$F$4:$K$1362,""),_xlfn.LAMBDA(_xlpm.x,IF(_xlpm.x&lt;&gt;"",TRIM(CLEAN(LEFT(_xlpm.x,FIND(".",_xlpm.x &amp; ".")-1))),""))))))</f>
        <v/>
      </c>
      <c r="D1034">
        <v>12.718</v>
      </c>
      <c r="E1034">
        <v>18.861000000000001</v>
      </c>
      <c r="F1034" t="str">
        <f>_xlfn.LET(_xlpm.raw,_xlfn.XLOOKUP(A1034,'Pinlist(S1)'!$C$4:$C$1362,'Pinlist(S1)'!$E$4:$E$1362,""),_xlpm.cleanRaw,SUBSTITUTE(SUBSTITUTE(_xlpm.raw,"_PIN","."),"PIN","."),_xlpm.mainPart,MID(_xlpm.cleanRaw,2,FIND(".",_xlpm.cleanRaw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609091</v>
      </c>
      <c r="G1034" t="str">
        <f>_xlfn.LET(_xlpm.raw,_xlfn.XLOOKUP(A1034,'Pinlist(S3)'!$C$4:$C$1362,'Pinlist(S3)'!$E$4:$E$1362,""),_xlpm.cleanRaw,SUBSTITUTE(SUBSTITUTE(_xlpm.raw,"_PIN","."),"PIN","."),_xlpm.mainPart,MID(_xlpm.cleanRaw,2,FIND(".",_xlpm.cleanRaw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803096</v>
      </c>
      <c r="H1034" t="str">
        <f>_xlfn.LET(_xlpm.raw,_xlfn.XLOOKUP(A1034,'Pinlist(S5)'!$C$4:$C$1362,'Pinlist(S5)'!$E$4:$E$1362,""),_xlpm.cleanRaw,SUBSTITUTE(SUBSTITUTE(_xlpm.raw,"_PIN","."),"PIN","."),_xlpm.mainPart,MID(_xlpm.cleanRaw,2,FIND(".",_xlpm.cleanRaw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704096</v>
      </c>
      <c r="I1034" t="str">
        <f>""</f>
        <v/>
      </c>
      <c r="J1034" t="str">
        <f t="shared" si="16"/>
        <v>AT22;DDRDQ_IL17_NIL17[0];;12.718;18.861;609091;803096;704096;</v>
      </c>
    </row>
    <row r="1035" spans="1:10">
      <c r="A1035" t="s">
        <v>2017</v>
      </c>
      <c r="B1035" t="str">
        <f>_xlfn.XLOOKUP(A1035,'Pinlist(S1)'!$Q$4:$Q$1362,'Pinlist(S1)'!$R$4:$R$1362,"")</f>
        <v>VSS</v>
      </c>
      <c r="C1035" t="str" cm="1">
        <f t="array" ref="C1035">_xlfn.TEXTJOIN(",",TRUE,_xlfn.UNIQUE(TRANSPOSE(_xlfn.MAP(_xlfn.XLOOKUP(A1035,'Pinlist(S1)'!$C$4:$C$1362,'Pinlist(S1)'!$F$4:$K$1362,""),_xlfn.LAMBDA(_xlpm.x,IF(_xlpm.x&lt;&gt;"",TRIM(CLEAN(LEFT(_xlpm.x,FIND(".",_xlpm.x &amp; ".")-1))),""))))))</f>
        <v/>
      </c>
      <c r="D1035">
        <v>13.632999999999999</v>
      </c>
      <c r="E1035">
        <v>18.861000000000001</v>
      </c>
      <c r="F1035" t="str">
        <f>_xlfn.LET(_xlpm.raw,_xlfn.XLOOKUP(A1035,'Pinlist(S1)'!$C$4:$C$1362,'Pinlist(S1)'!$E$4:$E$1362,""),_xlpm.cleanRaw,SUBSTITUTE(SUBSTITUTE(_xlpm.raw,"_PIN","."),"PIN","."),_xlpm.mainPart,MID(_xlpm.cleanRaw,2,FIND(".",_xlpm.cleanRaw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5" t="str">
        <f>_xlfn.LET(_xlpm.raw,_xlfn.XLOOKUP(A1035,'Pinlist(S3)'!$C$4:$C$1362,'Pinlist(S3)'!$E$4:$E$1362,""),_xlpm.cleanRaw,SUBSTITUTE(SUBSTITUTE(_xlpm.raw,"_PIN","."),"PIN","."),_xlpm.mainPart,MID(_xlpm.cleanRaw,2,FIND(".",_xlpm.cleanRaw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5" t="str">
        <f>_xlfn.LET(_xlpm.raw,_xlfn.XLOOKUP(A1035,'Pinlist(S5)'!$C$4:$C$1362,'Pinlist(S5)'!$E$4:$E$1362,""),_xlpm.cleanRaw,SUBSTITUTE(SUBSTITUTE(_xlpm.raw,"_PIN","."),"PIN","."),_xlpm.mainPart,MID(_xlpm.cleanRaw,2,FIND(".",_xlpm.cleanRaw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5" t="str">
        <f>""</f>
        <v/>
      </c>
      <c r="J1035" t="str">
        <f t="shared" si="16"/>
        <v>AT23;VSS;;13.633;18.861;;;;</v>
      </c>
    </row>
    <row r="1036" spans="1:10">
      <c r="A1036" t="s">
        <v>616</v>
      </c>
      <c r="B1036" t="str">
        <f>_xlfn.XLOOKUP(A1036,'Pinlist(S1)'!$Q$4:$Q$1362,'Pinlist(S1)'!$R$4:$R$1362,"")</f>
        <v>DDRDQ_IL16_NIL16[2]</v>
      </c>
      <c r="C1036" t="str" cm="1">
        <f t="array" ref="C1036">_xlfn.TEXTJOIN(",",TRUE,_xlfn.UNIQUE(TRANSPOSE(_xlfn.MAP(_xlfn.XLOOKUP(A1036,'Pinlist(S1)'!$C$4:$C$1362,'Pinlist(S1)'!$F$4:$K$1362,""),_xlfn.LAMBDA(_xlpm.x,IF(_xlpm.x&lt;&gt;"",TRIM(CLEAN(LEFT(_xlpm.x,FIND(".",_xlpm.x &amp; ".")-1))),""))))))</f>
        <v/>
      </c>
      <c r="D1036">
        <v>14.547000000000001</v>
      </c>
      <c r="E1036">
        <v>18.861000000000001</v>
      </c>
      <c r="F1036" t="str">
        <f>_xlfn.LET(_xlpm.raw,_xlfn.XLOOKUP(A1036,'Pinlist(S1)'!$C$4:$C$1362,'Pinlist(S1)'!$E$4:$E$1362,""),_xlpm.cleanRaw,SUBSTITUTE(SUBSTITUTE(_xlpm.raw,"_PIN","."),"PIN","."),_xlpm.mainPart,MID(_xlpm.cleanRaw,2,FIND(".",_xlpm.cleanRaw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609101</v>
      </c>
      <c r="G1036" t="str">
        <f>_xlfn.LET(_xlpm.raw,_xlfn.XLOOKUP(A1036,'Pinlist(S3)'!$C$4:$C$1362,'Pinlist(S3)'!$E$4:$E$1362,""),_xlpm.cleanRaw,SUBSTITUTE(SUBSTITUTE(_xlpm.raw,"_PIN","."),"PIN","."),_xlpm.mainPart,MID(_xlpm.cleanRaw,2,FIND(".",_xlpm.cleanRaw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803101</v>
      </c>
      <c r="H1036" t="str">
        <f>_xlfn.LET(_xlpm.raw,_xlfn.XLOOKUP(A1036,'Pinlist(S5)'!$C$4:$C$1362,'Pinlist(S5)'!$E$4:$E$1362,""),_xlpm.cleanRaw,SUBSTITUTE(SUBSTITUTE(_xlpm.raw,"_PIN","."),"PIN","."),_xlpm.mainPart,MID(_xlpm.cleanRaw,2,FIND(".",_xlpm.cleanRaw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704101</v>
      </c>
      <c r="I1036" t="str">
        <f>""</f>
        <v/>
      </c>
      <c r="J1036" t="str">
        <f t="shared" si="16"/>
        <v>AT25;DDRDQ_IL16_NIL16[2];;14.547;18.861;609101;803101;704101;</v>
      </c>
    </row>
    <row r="1037" spans="1:10">
      <c r="A1037" t="s">
        <v>614</v>
      </c>
      <c r="B1037" t="str">
        <f>_xlfn.XLOOKUP(A1037,'Pinlist(S1)'!$Q$4:$Q$1362,'Pinlist(S1)'!$R$4:$R$1362,"")</f>
        <v>DDRDQ_IL16_NIL16[1]</v>
      </c>
      <c r="C1037" t="str" cm="1">
        <f t="array" ref="C1037">_xlfn.TEXTJOIN(",",TRUE,_xlfn.UNIQUE(TRANSPOSE(_xlfn.MAP(_xlfn.XLOOKUP(A1037,'Pinlist(S1)'!$C$4:$C$1362,'Pinlist(S1)'!$F$4:$K$1362,""),_xlfn.LAMBDA(_xlpm.x,IF(_xlpm.x&lt;&gt;"",TRIM(CLEAN(LEFT(_xlpm.x,FIND(".",_xlpm.x &amp; ".")-1))),""))))))</f>
        <v/>
      </c>
      <c r="D1037">
        <v>15.462</v>
      </c>
      <c r="E1037">
        <v>18.861000000000001</v>
      </c>
      <c r="F1037" t="str">
        <f>_xlfn.LET(_xlpm.raw,_xlfn.XLOOKUP(A1037,'Pinlist(S1)'!$C$4:$C$1362,'Pinlist(S1)'!$E$4:$E$1362,""),_xlpm.cleanRaw,SUBSTITUTE(SUBSTITUTE(_xlpm.raw,"_PIN","."),"PIN","."),_xlpm.mainPart,MID(_xlpm.cleanRaw,2,FIND(".",_xlpm.cleanRaw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609117</v>
      </c>
      <c r="G1037" t="str">
        <f>_xlfn.LET(_xlpm.raw,_xlfn.XLOOKUP(A1037,'Pinlist(S3)'!$C$4:$C$1362,'Pinlist(S3)'!$E$4:$E$1362,""),_xlpm.cleanRaw,SUBSTITUTE(SUBSTITUTE(_xlpm.raw,"_PIN","."),"PIN","."),_xlpm.mainPart,MID(_xlpm.cleanRaw,2,FIND(".",_xlpm.cleanRaw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803117</v>
      </c>
      <c r="H1037" t="str">
        <f>_xlfn.LET(_xlpm.raw,_xlfn.XLOOKUP(A1037,'Pinlist(S5)'!$C$4:$C$1362,'Pinlist(S5)'!$E$4:$E$1362,""),_xlpm.cleanRaw,SUBSTITUTE(SUBSTITUTE(_xlpm.raw,"_PIN","."),"PIN","."),_xlpm.mainPart,MID(_xlpm.cleanRaw,2,FIND(".",_xlpm.cleanRaw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704117</v>
      </c>
      <c r="I1037" t="str">
        <f>""</f>
        <v/>
      </c>
      <c r="J1037" t="str">
        <f t="shared" si="16"/>
        <v>AT27;DDRDQ_IL16_NIL16[1];;15.462;18.861;609117;803117;704117;</v>
      </c>
    </row>
    <row r="1038" spans="1:10">
      <c r="A1038" t="s">
        <v>2018</v>
      </c>
      <c r="B1038" t="str">
        <f>_xlfn.XLOOKUP(A1038,'Pinlist(S1)'!$Q$4:$Q$1362,'Pinlist(S1)'!$R$4:$R$1362,"")</f>
        <v>VSS</v>
      </c>
      <c r="C1038" t="str" cm="1">
        <f t="array" ref="C1038">_xlfn.TEXTJOIN(",",TRUE,_xlfn.UNIQUE(TRANSPOSE(_xlfn.MAP(_xlfn.XLOOKUP(A1038,'Pinlist(S1)'!$C$4:$C$1362,'Pinlist(S1)'!$F$4:$K$1362,""),_xlfn.LAMBDA(_xlpm.x,IF(_xlpm.x&lt;&gt;"",TRIM(CLEAN(LEFT(_xlpm.x,FIND(".",_xlpm.x &amp; ".")-1))),""))))))</f>
        <v/>
      </c>
      <c r="D1038">
        <v>16.376000000000001</v>
      </c>
      <c r="E1038">
        <v>18.861000000000001</v>
      </c>
      <c r="F1038" t="str">
        <f>_xlfn.LET(_xlpm.raw,_xlfn.XLOOKUP(A1038,'Pinlist(S1)'!$C$4:$C$1362,'Pinlist(S1)'!$E$4:$E$1362,""),_xlpm.cleanRaw,SUBSTITUTE(SUBSTITUTE(_xlpm.raw,"_PIN","."),"PIN","."),_xlpm.mainPart,MID(_xlpm.cleanRaw,2,FIND(".",_xlpm.cleanRaw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8" t="str">
        <f>_xlfn.LET(_xlpm.raw,_xlfn.XLOOKUP(A1038,'Pinlist(S3)'!$C$4:$C$1362,'Pinlist(S3)'!$E$4:$E$1362,""),_xlpm.cleanRaw,SUBSTITUTE(SUBSTITUTE(_xlpm.raw,"_PIN","."),"PIN","."),_xlpm.mainPart,MID(_xlpm.cleanRaw,2,FIND(".",_xlpm.cleanRaw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8" t="str">
        <f>_xlfn.LET(_xlpm.raw,_xlfn.XLOOKUP(A1038,'Pinlist(S5)'!$C$4:$C$1362,'Pinlist(S5)'!$E$4:$E$1362,""),_xlpm.cleanRaw,SUBSTITUTE(SUBSTITUTE(_xlpm.raw,"_PIN","."),"PIN","."),_xlpm.mainPart,MID(_xlpm.cleanRaw,2,FIND(".",_xlpm.cleanRaw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8" t="str">
        <f>""</f>
        <v/>
      </c>
      <c r="J1038" t="str">
        <f t="shared" si="16"/>
        <v>AT28;VSS;;16.376;18.861;;;;</v>
      </c>
    </row>
    <row r="1039" spans="1:10">
      <c r="A1039" t="s">
        <v>602</v>
      </c>
      <c r="B1039" t="str">
        <f>_xlfn.XLOOKUP(A1039,'Pinlist(S1)'!$Q$4:$Q$1362,'Pinlist(S1)'!$R$4:$R$1362,"")</f>
        <v>DDRDQ_IL15_NIL13[3]</v>
      </c>
      <c r="C1039" t="str" cm="1">
        <f t="array" ref="C1039">_xlfn.TEXTJOIN(",",TRUE,_xlfn.UNIQUE(TRANSPOSE(_xlfn.MAP(_xlfn.XLOOKUP(A1039,'Pinlist(S1)'!$C$4:$C$1362,'Pinlist(S1)'!$F$4:$K$1362,""),_xlfn.LAMBDA(_xlpm.x,IF(_xlpm.x&lt;&gt;"",TRIM(CLEAN(LEFT(_xlpm.x,FIND(".",_xlpm.x &amp; ".")-1))),""))))))</f>
        <v/>
      </c>
      <c r="D1039">
        <v>17.29</v>
      </c>
      <c r="E1039">
        <v>18.861000000000001</v>
      </c>
      <c r="F1039" t="str">
        <f>_xlfn.LET(_xlpm.raw,_xlfn.XLOOKUP(A1039,'Pinlist(S1)'!$C$4:$C$1362,'Pinlist(S1)'!$E$4:$E$1362,""),_xlpm.cleanRaw,SUBSTITUTE(SUBSTITUTE(_xlpm.raw,"_PIN","."),"PIN","."),_xlpm.mainPart,MID(_xlpm.cleanRaw,2,FIND(".",_xlpm.cleanRaw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609115</v>
      </c>
      <c r="G1039" t="str">
        <f>_xlfn.LET(_xlpm.raw,_xlfn.XLOOKUP(A1039,'Pinlist(S3)'!$C$4:$C$1362,'Pinlist(S3)'!$E$4:$E$1362,""),_xlpm.cleanRaw,SUBSTITUTE(SUBSTITUTE(_xlpm.raw,"_PIN","."),"PIN","."),_xlpm.mainPart,MID(_xlpm.cleanRaw,2,FIND(".",_xlpm.cleanRaw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803115</v>
      </c>
      <c r="H1039" t="str">
        <f>_xlfn.LET(_xlpm.raw,_xlfn.XLOOKUP(A1039,'Pinlist(S5)'!$C$4:$C$1362,'Pinlist(S5)'!$E$4:$E$1362,""),_xlpm.cleanRaw,SUBSTITUTE(SUBSTITUTE(_xlpm.raw,"_PIN","."),"PIN","."),_xlpm.mainPart,MID(_xlpm.cleanRaw,2,FIND(".",_xlpm.cleanRaw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704115</v>
      </c>
      <c r="I1039" t="str">
        <f>""</f>
        <v/>
      </c>
      <c r="J1039" t="str">
        <f t="shared" si="16"/>
        <v>AT30;DDRDQ_IL15_NIL13[3];;17.29;18.861;609115;803115;704115;</v>
      </c>
    </row>
    <row r="1040" spans="1:10">
      <c r="A1040" t="s">
        <v>670</v>
      </c>
      <c r="B1040" t="str">
        <f>_xlfn.XLOOKUP(A1040,'Pinlist(S1)'!$Q$4:$Q$1362,'Pinlist(S1)'!$R$4:$R$1362,"")</f>
        <v>DDRDQSN_IL15_NIL13</v>
      </c>
      <c r="C1040" t="str" cm="1">
        <f t="array" ref="C1040">_xlfn.TEXTJOIN(",",TRUE,_xlfn.UNIQUE(TRANSPOSE(_xlfn.MAP(_xlfn.XLOOKUP(A1040,'Pinlist(S1)'!$C$4:$C$1362,'Pinlist(S1)'!$F$4:$K$1362,""),_xlfn.LAMBDA(_xlpm.x,IF(_xlpm.x&lt;&gt;"",TRIM(CLEAN(LEFT(_xlpm.x,FIND(".",_xlpm.x &amp; ".")-1))),""))))))</f>
        <v/>
      </c>
      <c r="D1040">
        <v>18.204999999999998</v>
      </c>
      <c r="E1040">
        <v>18.861000000000001</v>
      </c>
      <c r="F1040" t="str">
        <f>_xlfn.LET(_xlpm.raw,_xlfn.XLOOKUP(A1040,'Pinlist(S1)'!$C$4:$C$1362,'Pinlist(S1)'!$E$4:$E$1362,""),_xlpm.cleanRaw,SUBSTITUTE(SUBSTITUTE(_xlpm.raw,"_PIN","."),"PIN","."),_xlpm.mainPart,MID(_xlpm.cleanRaw,2,FIND(".",_xlpm.cleanRaw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608042</v>
      </c>
      <c r="G1040" t="str">
        <f>_xlfn.LET(_xlpm.raw,_xlfn.XLOOKUP(A1040,'Pinlist(S3)'!$C$4:$C$1362,'Pinlist(S3)'!$E$4:$E$1362,""),_xlpm.cleanRaw,SUBSTITUTE(SUBSTITUTE(_xlpm.raw,"_PIN","."),"PIN","."),_xlpm.mainPart,MID(_xlpm.cleanRaw,2,FIND(".",_xlpm.cleanRaw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802042</v>
      </c>
      <c r="H1040" t="str">
        <f>_xlfn.LET(_xlpm.raw,_xlfn.XLOOKUP(A1040,'Pinlist(S5)'!$C$4:$C$1362,'Pinlist(S5)'!$E$4:$E$1362,""),_xlpm.cleanRaw,SUBSTITUTE(SUBSTITUTE(_xlpm.raw,"_PIN","."),"PIN","."),_xlpm.mainPart,MID(_xlpm.cleanRaw,2,FIND(".",_xlpm.cleanRaw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705042</v>
      </c>
      <c r="I1040" t="str">
        <f>""</f>
        <v/>
      </c>
      <c r="J1040" t="str">
        <f t="shared" si="16"/>
        <v>AT32;DDRDQSN_IL15_NIL13;;18.205;18.861;608042;802042;705042;</v>
      </c>
    </row>
    <row r="1041" spans="1:10">
      <c r="A1041" t="s">
        <v>596</v>
      </c>
      <c r="B1041" t="str">
        <f>_xlfn.XLOOKUP(A1041,'Pinlist(S1)'!$Q$4:$Q$1362,'Pinlist(S1)'!$R$4:$R$1362,"")</f>
        <v>DDRDQ_IL15_NIL13[0]</v>
      </c>
      <c r="C1041" t="str" cm="1">
        <f t="array" ref="C1041">_xlfn.TEXTJOIN(",",TRUE,_xlfn.UNIQUE(TRANSPOSE(_xlfn.MAP(_xlfn.XLOOKUP(A1041,'Pinlist(S1)'!$C$4:$C$1362,'Pinlist(S1)'!$F$4:$K$1362,""),_xlfn.LAMBDA(_xlpm.x,IF(_xlpm.x&lt;&gt;"",TRIM(CLEAN(LEFT(_xlpm.x,FIND(".",_xlpm.x &amp; ".")-1))),""))))))</f>
        <v/>
      </c>
      <c r="D1041">
        <v>19.119</v>
      </c>
      <c r="E1041">
        <v>18.861000000000001</v>
      </c>
      <c r="F1041" t="str">
        <f>_xlfn.LET(_xlpm.raw,_xlfn.XLOOKUP(A1041,'Pinlist(S1)'!$C$4:$C$1362,'Pinlist(S1)'!$E$4:$E$1362,""),_xlpm.cleanRaw,SUBSTITUTE(SUBSTITUTE(_xlpm.raw,"_PIN","."),"PIN","."),_xlpm.mainPart,MID(_xlpm.cleanRaw,2,FIND(".",_xlpm.cleanRaw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608041</v>
      </c>
      <c r="G1041" t="str">
        <f>_xlfn.LET(_xlpm.raw,_xlfn.XLOOKUP(A1041,'Pinlist(S3)'!$C$4:$C$1362,'Pinlist(S3)'!$E$4:$E$1362,""),_xlpm.cleanRaw,SUBSTITUTE(SUBSTITUTE(_xlpm.raw,"_PIN","."),"PIN","."),_xlpm.mainPart,MID(_xlpm.cleanRaw,2,FIND(".",_xlpm.cleanRaw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802041</v>
      </c>
      <c r="H1041" t="str">
        <f>_xlfn.LET(_xlpm.raw,_xlfn.XLOOKUP(A1041,'Pinlist(S5)'!$C$4:$C$1362,'Pinlist(S5)'!$E$4:$E$1362,""),_xlpm.cleanRaw,SUBSTITUTE(SUBSTITUTE(_xlpm.raw,"_PIN","."),"PIN","."),_xlpm.mainPart,MID(_xlpm.cleanRaw,2,FIND(".",_xlpm.cleanRaw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705041</v>
      </c>
      <c r="I1041" t="str">
        <f>""</f>
        <v/>
      </c>
      <c r="J1041" t="str">
        <f t="shared" si="16"/>
        <v>AT33;DDRDQ_IL15_NIL13[0];;19.119;18.861;608041;802041;705041;</v>
      </c>
    </row>
    <row r="1042" spans="1:10">
      <c r="A1042" t="s">
        <v>2019</v>
      </c>
      <c r="B1042" t="str">
        <f>_xlfn.XLOOKUP(A1042,'Pinlist(S1)'!$Q$4:$Q$1362,'Pinlist(S1)'!$R$4:$R$1362,"")</f>
        <v>VSS</v>
      </c>
      <c r="C1042" t="str" cm="1">
        <f t="array" ref="C1042">_xlfn.TEXTJOIN(",",TRUE,_xlfn.UNIQUE(TRANSPOSE(_xlfn.MAP(_xlfn.XLOOKUP(A1042,'Pinlist(S1)'!$C$4:$C$1362,'Pinlist(S1)'!$F$4:$K$1362,""),_xlfn.LAMBDA(_xlpm.x,IF(_xlpm.x&lt;&gt;"",TRIM(CLEAN(LEFT(_xlpm.x,FIND(".",_xlpm.x &amp; ".")-1))),""))))))</f>
        <v/>
      </c>
      <c r="D1042">
        <v>20.033999999999999</v>
      </c>
      <c r="E1042">
        <v>18.861000000000001</v>
      </c>
      <c r="F1042" t="str">
        <f>_xlfn.LET(_xlpm.raw,_xlfn.XLOOKUP(A1042,'Pinlist(S1)'!$C$4:$C$1362,'Pinlist(S1)'!$E$4:$E$1362,""),_xlpm.cleanRaw,SUBSTITUTE(SUBSTITUTE(_xlpm.raw,"_PIN","."),"PIN","."),_xlpm.mainPart,MID(_xlpm.cleanRaw,2,FIND(".",_xlpm.cleanRaw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2" t="str">
        <f>_xlfn.LET(_xlpm.raw,_xlfn.XLOOKUP(A1042,'Pinlist(S3)'!$C$4:$C$1362,'Pinlist(S3)'!$E$4:$E$1362,""),_xlpm.cleanRaw,SUBSTITUTE(SUBSTITUTE(_xlpm.raw,"_PIN","."),"PIN","."),_xlpm.mainPart,MID(_xlpm.cleanRaw,2,FIND(".",_xlpm.cleanRaw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2" t="str">
        <f>_xlfn.LET(_xlpm.raw,_xlfn.XLOOKUP(A1042,'Pinlist(S5)'!$C$4:$C$1362,'Pinlist(S5)'!$E$4:$E$1362,""),_xlpm.cleanRaw,SUBSTITUTE(SUBSTITUTE(_xlpm.raw,"_PIN","."),"PIN","."),_xlpm.mainPart,MID(_xlpm.cleanRaw,2,FIND(".",_xlpm.cleanRaw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2" t="str">
        <f>""</f>
        <v/>
      </c>
      <c r="J1042" t="str">
        <f t="shared" si="16"/>
        <v>AT35;VSS;;20.034;18.861;;;;</v>
      </c>
    </row>
    <row r="1043" spans="1:10">
      <c r="A1043" t="s">
        <v>584</v>
      </c>
      <c r="B1043" t="str">
        <f>_xlfn.XLOOKUP(A1043,'Pinlist(S1)'!$Q$4:$Q$1362,'Pinlist(S1)'!$R$4:$R$1362,"")</f>
        <v>DDRDQ_IL14_NIL12[2]</v>
      </c>
      <c r="C1043" t="str" cm="1">
        <f t="array" ref="C1043">_xlfn.TEXTJOIN(",",TRUE,_xlfn.UNIQUE(TRANSPOSE(_xlfn.MAP(_xlfn.XLOOKUP(A1043,'Pinlist(S1)'!$C$4:$C$1362,'Pinlist(S1)'!$F$4:$K$1362,""),_xlfn.LAMBDA(_xlpm.x,IF(_xlpm.x&lt;&gt;"",TRIM(CLEAN(LEFT(_xlpm.x,FIND(".",_xlpm.x &amp; ".")-1))),""))))))</f>
        <v/>
      </c>
      <c r="D1043">
        <v>20.948</v>
      </c>
      <c r="E1043">
        <v>18.861000000000001</v>
      </c>
      <c r="F1043" t="str">
        <f>_xlfn.LET(_xlpm.raw,_xlfn.XLOOKUP(A1043,'Pinlist(S1)'!$C$4:$C$1362,'Pinlist(S1)'!$E$4:$E$1362,""),_xlpm.cleanRaw,SUBSTITUTE(SUBSTITUTE(_xlpm.raw,"_PIN","."),"PIN","."),_xlpm.mainPart,MID(_xlpm.cleanRaw,2,FIND(".",_xlpm.cleanRaw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608081</v>
      </c>
      <c r="G1043" t="str">
        <f>_xlfn.LET(_xlpm.raw,_xlfn.XLOOKUP(A1043,'Pinlist(S3)'!$C$4:$C$1362,'Pinlist(S3)'!$E$4:$E$1362,""),_xlpm.cleanRaw,SUBSTITUTE(SUBSTITUTE(_xlpm.raw,"_PIN","."),"PIN","."),_xlpm.mainPart,MID(_xlpm.cleanRaw,2,FIND(".",_xlpm.cleanRaw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802054</v>
      </c>
      <c r="H1043" t="str">
        <f>_xlfn.LET(_xlpm.raw,_xlfn.XLOOKUP(A1043,'Pinlist(S5)'!$C$4:$C$1362,'Pinlist(S5)'!$E$4:$E$1362,""),_xlpm.cleanRaw,SUBSTITUTE(SUBSTITUTE(_xlpm.raw,"_PIN","."),"PIN","."),_xlpm.mainPart,MID(_xlpm.cleanRaw,2,FIND(".",_xlpm.cleanRaw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705054</v>
      </c>
      <c r="I1043" t="str">
        <f>""</f>
        <v/>
      </c>
      <c r="J1043" t="str">
        <f t="shared" si="16"/>
        <v>AT37;DDRDQ_IL14_NIL12[2];;20.948;18.861;608081;802054;705054;</v>
      </c>
    </row>
    <row r="1044" spans="1:10">
      <c r="A1044" t="s">
        <v>668</v>
      </c>
      <c r="B1044" t="str">
        <f>_xlfn.XLOOKUP(A1044,'Pinlist(S1)'!$Q$4:$Q$1362,'Pinlist(S1)'!$R$4:$R$1362,"")</f>
        <v>DDRDQSN_IL14_NIL12</v>
      </c>
      <c r="C1044" t="str" cm="1">
        <f t="array" ref="C1044">_xlfn.TEXTJOIN(",",TRUE,_xlfn.UNIQUE(TRANSPOSE(_xlfn.MAP(_xlfn.XLOOKUP(A1044,'Pinlist(S1)'!$C$4:$C$1362,'Pinlist(S1)'!$F$4:$K$1362,""),_xlfn.LAMBDA(_xlpm.x,IF(_xlpm.x&lt;&gt;"",TRIM(CLEAN(LEFT(_xlpm.x,FIND(".",_xlpm.x &amp; ".")-1))),""))))))</f>
        <v/>
      </c>
      <c r="D1044">
        <v>21.861999999999998</v>
      </c>
      <c r="E1044">
        <v>18.861000000000001</v>
      </c>
      <c r="F1044" t="str">
        <f>_xlfn.LET(_xlpm.raw,_xlfn.XLOOKUP(A1044,'Pinlist(S1)'!$C$4:$C$1362,'Pinlist(S1)'!$E$4:$E$1362,""),_xlpm.cleanRaw,SUBSTITUTE(SUBSTITUTE(_xlpm.raw,"_PIN","."),"PIN","."),_xlpm.mainPart,MID(_xlpm.cleanRaw,2,FIND(".",_xlpm.cleanRaw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607010</v>
      </c>
      <c r="G1044" t="str">
        <f>_xlfn.LET(_xlpm.raw,_xlfn.XLOOKUP(A1044,'Pinlist(S3)'!$C$4:$C$1362,'Pinlist(S3)'!$E$4:$E$1362,""),_xlpm.cleanRaw,SUBSTITUTE(SUBSTITUTE(_xlpm.raw,"_PIN","."),"PIN","."),_xlpm.mainPart,MID(_xlpm.cleanRaw,2,FIND(".",_xlpm.cleanRaw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802053</v>
      </c>
      <c r="H1044" t="str">
        <f>_xlfn.LET(_xlpm.raw,_xlfn.XLOOKUP(A1044,'Pinlist(S5)'!$C$4:$C$1362,'Pinlist(S5)'!$E$4:$E$1362,""),_xlpm.cleanRaw,SUBSTITUTE(SUBSTITUTE(_xlpm.raw,"_PIN","."),"PIN","."),_xlpm.mainPart,MID(_xlpm.cleanRaw,2,FIND(".",_xlpm.cleanRaw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705053</v>
      </c>
      <c r="I1044" t="str">
        <f>""</f>
        <v/>
      </c>
      <c r="J1044" t="str">
        <f t="shared" si="16"/>
        <v>AT38;DDRDQSN_IL14_NIL12;;21.862;18.861;607010;802053;705053;</v>
      </c>
    </row>
    <row r="1045" spans="1:10">
      <c r="A1045" t="s">
        <v>582</v>
      </c>
      <c r="B1045" t="str">
        <f>_xlfn.XLOOKUP(A1045,'Pinlist(S1)'!$Q$4:$Q$1362,'Pinlist(S1)'!$R$4:$R$1362,"")</f>
        <v>DDRDQ_IL14_NIL12[1]</v>
      </c>
      <c r="C1045" t="str" cm="1">
        <f t="array" ref="C1045">_xlfn.TEXTJOIN(",",TRUE,_xlfn.UNIQUE(TRANSPOSE(_xlfn.MAP(_xlfn.XLOOKUP(A1045,'Pinlist(S1)'!$C$4:$C$1362,'Pinlist(S1)'!$F$4:$K$1362,""),_xlfn.LAMBDA(_xlpm.x,IF(_xlpm.x&lt;&gt;"",TRIM(CLEAN(LEFT(_xlpm.x,FIND(".",_xlpm.x &amp; ".")-1))),""))))))</f>
        <v/>
      </c>
      <c r="D1045">
        <v>22.777000000000001</v>
      </c>
      <c r="E1045">
        <v>18.861000000000001</v>
      </c>
      <c r="F1045" t="str">
        <f>_xlfn.LET(_xlpm.raw,_xlfn.XLOOKUP(A1045,'Pinlist(S1)'!$C$4:$C$1362,'Pinlist(S1)'!$E$4:$E$1362,""),_xlpm.cleanRaw,SUBSTITUTE(SUBSTITUTE(_xlpm.raw,"_PIN","."),"PIN","."),_xlpm.mainPart,MID(_xlpm.cleanRaw,2,FIND(".",_xlpm.cleanRaw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607009</v>
      </c>
      <c r="G1045" t="str">
        <f>_xlfn.LET(_xlpm.raw,_xlfn.XLOOKUP(A1045,'Pinlist(S3)'!$C$4:$C$1362,'Pinlist(S3)'!$E$4:$E$1362,""),_xlpm.cleanRaw,SUBSTITUTE(SUBSTITUTE(_xlpm.raw,"_PIN","."),"PIN","."),_xlpm.mainPart,MID(_xlpm.cleanRaw,2,FIND(".",_xlpm.cleanRaw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801008</v>
      </c>
      <c r="H1045" t="str">
        <f>_xlfn.LET(_xlpm.raw,_xlfn.XLOOKUP(A1045,'Pinlist(S5)'!$C$4:$C$1362,'Pinlist(S5)'!$E$4:$E$1362,""),_xlpm.cleanRaw,SUBSTITUTE(SUBSTITUTE(_xlpm.raw,"_PIN","."),"PIN","."),_xlpm.mainPart,MID(_xlpm.cleanRaw,2,FIND(".",_xlpm.cleanRaw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706008</v>
      </c>
      <c r="I1045" t="str">
        <f>""</f>
        <v/>
      </c>
      <c r="J1045" t="str">
        <f t="shared" si="16"/>
        <v>AT40;DDRDQ_IL14_NIL12[1];;22.777;18.861;607009;801008;706008;</v>
      </c>
    </row>
    <row r="1046" spans="1:10">
      <c r="A1046" t="s">
        <v>2021</v>
      </c>
      <c r="B1046" t="str">
        <f>_xlfn.XLOOKUP(A1046,'Pinlist(S1)'!$Q$4:$Q$1362,'Pinlist(S1)'!$R$4:$R$1362,"")</f>
        <v>VSS</v>
      </c>
      <c r="C1046" t="str" cm="1">
        <f t="array" ref="C1046">_xlfn.TEXTJOIN(",",TRUE,_xlfn.UNIQUE(TRANSPOSE(_xlfn.MAP(_xlfn.XLOOKUP(A1046,'Pinlist(S1)'!$C$4:$C$1362,'Pinlist(S1)'!$F$4:$K$1362,""),_xlfn.LAMBDA(_xlpm.x,IF(_xlpm.x&lt;&gt;"",TRIM(CLEAN(LEFT(_xlpm.x,FIND(".",_xlpm.x &amp; ".")-1))),""))))))</f>
        <v/>
      </c>
      <c r="D1046">
        <v>23.690999999999999</v>
      </c>
      <c r="E1046">
        <v>18.861000000000001</v>
      </c>
      <c r="F1046" t="str">
        <f>_xlfn.LET(_xlpm.raw,_xlfn.XLOOKUP(A1046,'Pinlist(S1)'!$C$4:$C$1362,'Pinlist(S1)'!$E$4:$E$1362,""),_xlpm.cleanRaw,SUBSTITUTE(SUBSTITUTE(_xlpm.raw,"_PIN","."),"PIN","."),_xlpm.mainPart,MID(_xlpm.cleanRaw,2,FIND(".",_xlpm.cleanRaw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6" t="str">
        <f>_xlfn.LET(_xlpm.raw,_xlfn.XLOOKUP(A1046,'Pinlist(S3)'!$C$4:$C$1362,'Pinlist(S3)'!$E$4:$E$1362,""),_xlpm.cleanRaw,SUBSTITUTE(SUBSTITUTE(_xlpm.raw,"_PIN","."),"PIN","."),_xlpm.mainPart,MID(_xlpm.cleanRaw,2,FIND(".",_xlpm.cleanRaw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6" t="str">
        <f>_xlfn.LET(_xlpm.raw,_xlfn.XLOOKUP(A1046,'Pinlist(S5)'!$C$4:$C$1362,'Pinlist(S5)'!$E$4:$E$1362,""),_xlpm.cleanRaw,SUBSTITUTE(SUBSTITUTE(_xlpm.raw,"_PIN","."),"PIN","."),_xlpm.mainPart,MID(_xlpm.cleanRaw,2,FIND(".",_xlpm.cleanRaw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6" t="str">
        <f>""</f>
        <v/>
      </c>
      <c r="J1046" t="str">
        <f t="shared" si="16"/>
        <v>AT42;VSS;;23.691;18.861;;;;</v>
      </c>
    </row>
    <row r="1047" spans="1:10">
      <c r="A1047" t="s">
        <v>308</v>
      </c>
      <c r="B1047" t="str">
        <f>_xlfn.XLOOKUP(A1047,'Pinlist(S1)'!$Q$4:$Q$1362,'Pinlist(S1)'!$R$4:$R$1362,"")</f>
        <v>DDR0_ODT[1]</v>
      </c>
      <c r="C1047" t="str" cm="1">
        <f t="array" ref="C1047">_xlfn.TEXTJOIN(",",TRUE,_xlfn.UNIQUE(TRANSPOSE(_xlfn.MAP(_xlfn.XLOOKUP(A1047,'Pinlist(S1)'!$C$4:$C$1362,'Pinlist(S1)'!$F$4:$K$1362,""),_xlfn.LAMBDA(_xlpm.x,IF(_xlpm.x&lt;&gt;"",TRIM(CLEAN(LEFT(_xlpm.x,FIND(".",_xlpm.x &amp; ".")-1))),""))))))</f>
        <v/>
      </c>
      <c r="D1047">
        <v>24.606000000000002</v>
      </c>
      <c r="E1047">
        <v>18.861000000000001</v>
      </c>
      <c r="F1047" t="str">
        <f>_xlfn.LET(_xlpm.raw,_xlfn.XLOOKUP(A1047,'Pinlist(S1)'!$C$4:$C$1362,'Pinlist(S1)'!$E$4:$E$1362,""),_xlpm.cleanRaw,SUBSTITUTE(SUBSTITUTE(_xlpm.raw,"_PIN","."),"PIN","."),_xlpm.mainPart,MID(_xlpm.cleanRaw,2,FIND(".",_xlpm.cleanRaw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508079</v>
      </c>
      <c r="G1047" t="str">
        <f>_xlfn.LET(_xlpm.raw,_xlfn.XLOOKUP(A1047,'Pinlist(S3)'!$C$4:$C$1362,'Pinlist(S3)'!$E$4:$E$1362,""),_xlpm.cleanRaw,SUBSTITUTE(SUBSTITUTE(_xlpm.raw,"_PIN","."),"PIN","."),_xlpm.mainPart,MID(_xlpm.cleanRaw,2,FIND(".",_xlpm.cleanRaw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1047" t="str">
        <f>_xlfn.LET(_xlpm.raw,_xlfn.XLOOKUP(A1047,'Pinlist(S5)'!$C$4:$C$1362,'Pinlist(S5)'!$E$4:$E$1362,""),_xlpm.cleanRaw,SUBSTITUTE(SUBSTITUTE(_xlpm.raw,"_PIN","."),"PIN","."),_xlpm.mainPart,MID(_xlpm.cleanRaw,2,FIND(".",_xlpm.cleanRaw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I1047" t="str">
        <f>""</f>
        <v/>
      </c>
      <c r="J1047" t="str">
        <f t="shared" si="16"/>
        <v>AT43;DDR0_ODT[1];;24.606;18.861;508079;806097;601007;</v>
      </c>
    </row>
    <row r="1048" spans="1:10">
      <c r="A1048" t="s">
        <v>306</v>
      </c>
      <c r="B1048" t="str">
        <f>_xlfn.XLOOKUP(A1048,'Pinlist(S1)'!$Q$4:$Q$1362,'Pinlist(S1)'!$R$4:$R$1362,"")</f>
        <v>DDR0_ODT[0]</v>
      </c>
      <c r="C1048" t="str" cm="1">
        <f t="array" ref="C1048">_xlfn.TEXTJOIN(",",TRUE,_xlfn.UNIQUE(TRANSPOSE(_xlfn.MAP(_xlfn.XLOOKUP(A1048,'Pinlist(S1)'!$C$4:$C$1362,'Pinlist(S1)'!$F$4:$K$1362,""),_xlfn.LAMBDA(_xlpm.x,IF(_xlpm.x&lt;&gt;"",TRIM(CLEAN(LEFT(_xlpm.x,FIND(".",_xlpm.x &amp; ".")-1))),""))))))</f>
        <v>KA105</v>
      </c>
      <c r="D1048">
        <v>25.52</v>
      </c>
      <c r="E1048">
        <v>18.861000000000001</v>
      </c>
      <c r="F1048" t="str">
        <f>_xlfn.LET(_xlpm.raw,_xlfn.XLOOKUP(A1048,'Pinlist(S1)'!$C$4:$C$1362,'Pinlist(S1)'!$E$4:$E$1362,""),_xlpm.cleanRaw,SUBSTITUTE(SUBSTITUTE(_xlpm.raw,"_PIN","."),"PIN","."),_xlpm.mainPart,MID(_xlpm.cleanRaw,2,FIND(".",_xlpm.cleanRaw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048" t="str">
        <f>_xlfn.LET(_xlpm.raw,_xlfn.XLOOKUP(A1048,'Pinlist(S3)'!$C$4:$C$1362,'Pinlist(S3)'!$E$4:$E$1362,""),_xlpm.cleanRaw,SUBSTITUTE(SUBSTITUTE(_xlpm.raw,"_PIN","."),"PIN","."),_xlpm.mainPart,MID(_xlpm.cleanRaw,2,FIND(".",_xlpm.cleanRaw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048" t="str">
        <f>_xlfn.LET(_xlpm.raw,_xlfn.XLOOKUP(A1048,'Pinlist(S5)'!$C$4:$C$1362,'Pinlist(S5)'!$E$4:$E$1362,""),_xlpm.cleanRaw,SUBSTITUTE(SUBSTITUTE(_xlpm.raw,"_PIN","."),"PIN","."),_xlpm.mainPart,MID(_xlpm.cleanRaw,2,FIND(".",_xlpm.cleanRaw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048" t="str">
        <f>""</f>
        <v/>
      </c>
      <c r="J1048" t="str">
        <f t="shared" si="16"/>
        <v>AT45;DDR0_ODT[0];KA105;25.52;18.861;507125;806127;701085;</v>
      </c>
    </row>
    <row r="1049" spans="1:10">
      <c r="A1049" t="s">
        <v>314</v>
      </c>
      <c r="B1049" t="str">
        <f>_xlfn.XLOOKUP(A1049,'Pinlist(S1)'!$Q$4:$Q$1362,'Pinlist(S1)'!$R$4:$R$1362,"")</f>
        <v>DDR0_WE_N_CAB2_MA14</v>
      </c>
      <c r="C1049" t="str" cm="1">
        <f t="array" ref="C1049">_xlfn.TEXTJOIN(",",TRUE,_xlfn.UNIQUE(TRANSPOSE(_xlfn.MAP(_xlfn.XLOOKUP(A1049,'Pinlist(S1)'!$C$4:$C$1362,'Pinlist(S1)'!$F$4:$K$1362,""),_xlfn.LAMBDA(_xlpm.x,IF(_xlpm.x&lt;&gt;"",TRIM(CLEAN(LEFT(_xlpm.x,FIND(".",_xlpm.x &amp; ".")-1))),""))))))</f>
        <v/>
      </c>
      <c r="D1049">
        <v>26.434000000000001</v>
      </c>
      <c r="E1049">
        <v>18.861000000000001</v>
      </c>
      <c r="F1049" t="str">
        <f>_xlfn.LET(_xlpm.raw,_xlfn.XLOOKUP(A1049,'Pinlist(S1)'!$C$4:$C$1362,'Pinlist(S1)'!$E$4:$E$1362,""),_xlpm.cleanRaw,SUBSTITUTE(SUBSTITUTE(_xlpm.raw,"_PIN","."),"PIN","."),_xlpm.mainPart,MID(_xlpm.cleanRaw,2,FIND(".",_xlpm.cleanRaw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608065</v>
      </c>
      <c r="G1049" t="str">
        <f>_xlfn.LET(_xlpm.raw,_xlfn.XLOOKUP(A1049,'Pinlist(S3)'!$C$4:$C$1362,'Pinlist(S3)'!$E$4:$E$1362,""),_xlpm.cleanRaw,SUBSTITUTE(SUBSTITUTE(_xlpm.raw,"_PIN","."),"PIN","."),_xlpm.mainPart,MID(_xlpm.cleanRaw,2,FIND(".",_xlpm.cleanRaw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801022</v>
      </c>
      <c r="H1049" t="str">
        <f>_xlfn.LET(_xlpm.raw,_xlfn.XLOOKUP(A1049,'Pinlist(S5)'!$C$4:$C$1362,'Pinlist(S5)'!$E$4:$E$1362,""),_xlpm.cleanRaw,SUBSTITUTE(SUBSTITUTE(_xlpm.raw,"_PIN","."),"PIN","."),_xlpm.mainPart,MID(_xlpm.cleanRaw,2,FIND(".",_xlpm.cleanRaw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706022</v>
      </c>
      <c r="I1049" t="str">
        <f>""</f>
        <v/>
      </c>
      <c r="J1049" t="str">
        <f t="shared" si="16"/>
        <v>AT46;DDR0_WE_N_CAB2_MA14;;26.434;18.861;608065;801022;706022;</v>
      </c>
    </row>
    <row r="1050" spans="1:10">
      <c r="A1050" t="s">
        <v>247</v>
      </c>
      <c r="B1050" t="str">
        <f>_xlfn.XLOOKUP(A1050,'Pinlist(S1)'!$Q$4:$Q$1362,'Pinlist(S1)'!$R$4:$R$1362,"")</f>
        <v>DDR0_BA[1]_CAB6</v>
      </c>
      <c r="C1050" t="str" cm="1">
        <f t="array" ref="C1050">_xlfn.TEXTJOIN(",",TRUE,_xlfn.UNIQUE(TRANSPOSE(_xlfn.MAP(_xlfn.XLOOKUP(A1050,'Pinlist(S1)'!$C$4:$C$1362,'Pinlist(S1)'!$F$4:$K$1362,""),_xlfn.LAMBDA(_xlpm.x,IF(_xlpm.x&lt;&gt;"",TRIM(CLEAN(LEFT(_xlpm.x,FIND(".",_xlpm.x &amp; ".")-1))),""))))))</f>
        <v>KA106</v>
      </c>
      <c r="D1050">
        <v>27.349</v>
      </c>
      <c r="E1050">
        <v>18.861000000000001</v>
      </c>
      <c r="F1050" t="str">
        <f>_xlfn.LET(_xlpm.raw,_xlfn.XLOOKUP(A1050,'Pinlist(S1)'!$C$4:$C$1362,'Pinlist(S1)'!$E$4:$E$1362,""),_xlpm.cleanRaw,SUBSTITUTE(SUBSTITUTE(_xlpm.raw,"_PIN","."),"PIN","."),_xlpm.mainPart,MID(_xlpm.cleanRaw,2,FIND(".",_xlpm.cleanRaw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050" t="str">
        <f>_xlfn.LET(_xlpm.raw,_xlfn.XLOOKUP(A1050,'Pinlist(S3)'!$C$4:$C$1362,'Pinlist(S3)'!$E$4:$E$1362,""),_xlpm.cleanRaw,SUBSTITUTE(SUBSTITUTE(_xlpm.raw,"_PIN","."),"PIN","."),_xlpm.mainPart,MID(_xlpm.cleanRaw,2,FIND(".",_xlpm.cleanRaw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050" t="str">
        <f>_xlfn.LET(_xlpm.raw,_xlfn.XLOOKUP(A1050,'Pinlist(S5)'!$C$4:$C$1362,'Pinlist(S5)'!$E$4:$E$1362,""),_xlpm.cleanRaw,SUBSTITUTE(SUBSTITUTE(_xlpm.raw,"_PIN","."),"PIN","."),_xlpm.mainPart,MID(_xlpm.cleanRaw,2,FIND(".",_xlpm.cleanRaw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050" t="str">
        <f>""</f>
        <v/>
      </c>
      <c r="J1050" t="str">
        <f t="shared" si="16"/>
        <v>AT48;DDR0_BA[1]_CAB6;KA106;27.349;18.861;504106;807023;603085;</v>
      </c>
    </row>
    <row r="1051" spans="1:10">
      <c r="A1051" t="s">
        <v>278</v>
      </c>
      <c r="B1051" t="str">
        <f>_xlfn.XLOOKUP(A1051,'Pinlist(S1)'!$Q$4:$Q$1362,'Pinlist(S1)'!$R$4:$R$1362,"")</f>
        <v>DDR0_MA[10]_CAB7</v>
      </c>
      <c r="C1051" t="str" cm="1">
        <f t="array" ref="C1051">_xlfn.TEXTJOIN(",",TRUE,_xlfn.UNIQUE(TRANSPOSE(_xlfn.MAP(_xlfn.XLOOKUP(A1051,'Pinlist(S1)'!$C$4:$C$1362,'Pinlist(S1)'!$F$4:$K$1362,""),_xlfn.LAMBDA(_xlpm.x,IF(_xlpm.x&lt;&gt;"",TRIM(CLEAN(LEFT(_xlpm.x,FIND(".",_xlpm.x &amp; ".")-1))),""))))))</f>
        <v>KA108</v>
      </c>
      <c r="D1051">
        <v>28.262999999999899</v>
      </c>
      <c r="E1051">
        <v>18.861000000000001</v>
      </c>
      <c r="F1051" t="str">
        <f>_xlfn.LET(_xlpm.raw,_xlfn.XLOOKUP(A1051,'Pinlist(S1)'!$C$4:$C$1362,'Pinlist(S1)'!$E$4:$E$1362,""),_xlpm.cleanRaw,SUBSTITUTE(SUBSTITUTE(_xlpm.raw,"_PIN","."),"PIN","."),_xlpm.mainPart,MID(_xlpm.cleanRaw,2,FIND(".",_xlpm.cleanRaw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1051" t="str">
        <f>_xlfn.LET(_xlpm.raw,_xlfn.XLOOKUP(A1051,'Pinlist(S3)'!$C$4:$C$1362,'Pinlist(S3)'!$E$4:$E$1362,""),_xlpm.cleanRaw,SUBSTITUTE(SUBSTITUTE(_xlpm.raw,"_PIN","."),"PIN","."),_xlpm.mainPart,MID(_xlpm.cleanRaw,2,FIND(".",_xlpm.cleanRaw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1051" t="str">
        <f>_xlfn.LET(_xlpm.raw,_xlfn.XLOOKUP(A1051,'Pinlist(S5)'!$C$4:$C$1362,'Pinlist(S5)'!$E$4:$E$1362,""),_xlpm.cleanRaw,SUBSTITUTE(SUBSTITUTE(_xlpm.raw,"_PIN","."),"PIN","."),_xlpm.mainPart,MID(_xlpm.cleanRaw,2,FIND(".",_xlpm.cleanRaw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1051" t="str">
        <f>""</f>
        <v/>
      </c>
      <c r="J1051" t="str">
        <f t="shared" si="16"/>
        <v>AT50;DDR0_MA[10]_CAB7;KA108;28.2629999999999;18.861;507128;806098;601001;</v>
      </c>
    </row>
    <row r="1052" spans="1:10">
      <c r="A1052" t="s">
        <v>310</v>
      </c>
      <c r="B1052" t="str">
        <f>_xlfn.XLOOKUP(A1052,'Pinlist(S1)'!$Q$4:$Q$1362,'Pinlist(S1)'!$R$4:$R$1362,"")</f>
        <v>DDR0_PARITY</v>
      </c>
      <c r="C1052" t="str" cm="1">
        <f t="array" ref="C1052">_xlfn.TEXTJOIN(",",TRUE,_xlfn.UNIQUE(TRANSPOSE(_xlfn.MAP(_xlfn.XLOOKUP(A1052,'Pinlist(S1)'!$C$4:$C$1362,'Pinlist(S1)'!$F$4:$K$1362,""),_xlfn.LAMBDA(_xlpm.x,IF(_xlpm.x&lt;&gt;"",TRIM(CLEAN(LEFT(_xlpm.x,FIND(".",_xlpm.x &amp; ".")-1))),""))))))</f>
        <v/>
      </c>
      <c r="D1052">
        <v>29.178000000000001</v>
      </c>
      <c r="E1052">
        <v>18.861000000000001</v>
      </c>
      <c r="F1052" t="str">
        <f>_xlfn.LET(_xlpm.raw,_xlfn.XLOOKUP(A1052,'Pinlist(S1)'!$C$4:$C$1362,'Pinlist(S1)'!$E$4:$E$1362,""),_xlpm.cleanRaw,SUBSTITUTE(SUBSTITUTE(_xlpm.raw,"_PIN","."),"PIN","."),_xlpm.mainPart,MID(_xlpm.cleanRaw,2,FIND(".",_xlpm.cleanRaw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606100</v>
      </c>
      <c r="G1052" t="str">
        <f>_xlfn.LET(_xlpm.raw,_xlfn.XLOOKUP(A1052,'Pinlist(S3)'!$C$4:$C$1362,'Pinlist(S3)'!$E$4:$E$1362,""),_xlpm.cleanRaw,SUBSTITUTE(SUBSTITUTE(_xlpm.raw,"_PIN","."),"PIN","."),_xlpm.mainPart,MID(_xlpm.cleanRaw,2,FIND(".",_xlpm.cleanRaw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801035</v>
      </c>
      <c r="H1052" t="str">
        <f>_xlfn.LET(_xlpm.raw,_xlfn.XLOOKUP(A1052,'Pinlist(S5)'!$C$4:$C$1362,'Pinlist(S5)'!$E$4:$E$1362,""),_xlpm.cleanRaw,SUBSTITUTE(SUBSTITUTE(_xlpm.raw,"_PIN","."),"PIN","."),_xlpm.mainPart,MID(_xlpm.cleanRaw,2,FIND(".",_xlpm.cleanRaw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706032</v>
      </c>
      <c r="I1052" t="str">
        <f>""</f>
        <v/>
      </c>
      <c r="J1052" t="str">
        <f t="shared" si="16"/>
        <v>AT52;DDR0_PARITY;;29.178;18.861;606100;801035;706032;</v>
      </c>
    </row>
    <row r="1053" spans="1:10">
      <c r="A1053" t="s">
        <v>265</v>
      </c>
      <c r="B1053" t="str">
        <f>_xlfn.XLOOKUP(A1053,'Pinlist(S1)'!$Q$4:$Q$1362,'Pinlist(S1)'!$R$4:$R$1362,"")</f>
        <v>DDR0_CLK_P[0]</v>
      </c>
      <c r="C1053" t="str" cm="1">
        <f t="array" ref="C1053">_xlfn.TEXTJOIN(",",TRUE,_xlfn.UNIQUE(TRANSPOSE(_xlfn.MAP(_xlfn.XLOOKUP(A1053,'Pinlist(S1)'!$C$4:$C$1362,'Pinlist(S1)'!$F$4:$K$1362,""),_xlfn.LAMBDA(_xlpm.x,IF(_xlpm.x&lt;&gt;"",TRIM(CLEAN(LEFT(_xlpm.x,FIND(".",_xlpm.x &amp; ".")-1))),""))))))</f>
        <v>KA104</v>
      </c>
      <c r="D1053">
        <v>30.091999999999999</v>
      </c>
      <c r="E1053">
        <v>18.861000000000001</v>
      </c>
      <c r="F1053" t="str">
        <f>_xlfn.LET(_xlpm.raw,_xlfn.XLOOKUP(A1053,'Pinlist(S1)'!$C$4:$C$1362,'Pinlist(S1)'!$E$4:$E$1362,""),_xlpm.cleanRaw,SUBSTITUTE(SUBSTITUTE(_xlpm.raw,"_PIN","."),"PIN","."),_xlpm.mainPart,MID(_xlpm.cleanRaw,2,FIND(".",_xlpm.cleanRaw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1053" t="str">
        <f>_xlfn.LET(_xlpm.raw,_xlfn.XLOOKUP(A1053,'Pinlist(S3)'!$C$4:$C$1362,'Pinlist(S3)'!$E$4:$E$1362,""),_xlpm.cleanRaw,SUBSTITUTE(SUBSTITUTE(_xlpm.raw,"_PIN","."),"PIN","."),_xlpm.mainPart,MID(_xlpm.cleanRaw,2,FIND(".",_xlpm.cleanRaw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1053" t="str">
        <f>_xlfn.LET(_xlpm.raw,_xlfn.XLOOKUP(A1053,'Pinlist(S5)'!$C$4:$C$1362,'Pinlist(S5)'!$E$4:$E$1362,""),_xlpm.cleanRaw,SUBSTITUTE(SUBSTITUTE(_xlpm.raw,"_PIN","."),"PIN","."),_xlpm.mainPart,MID(_xlpm.cleanRaw,2,FIND(".",_xlpm.cleanRaw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1053" t="str">
        <f>""</f>
        <v/>
      </c>
      <c r="J1053" t="str">
        <f t="shared" si="16"/>
        <v>AT53;DDR0_CLK_P[0];KA104;30.092;18.861;506022;807021;603106;</v>
      </c>
    </row>
    <row r="1054" spans="1:10">
      <c r="A1054" t="s">
        <v>267</v>
      </c>
      <c r="B1054" t="str">
        <f>_xlfn.XLOOKUP(A1054,'Pinlist(S1)'!$Q$4:$Q$1362,'Pinlist(S1)'!$R$4:$R$1362,"")</f>
        <v>DDR0_CLK_P[1]</v>
      </c>
      <c r="C1054" t="str" cm="1">
        <f t="array" ref="C1054">_xlfn.TEXTJOIN(",",TRUE,_xlfn.UNIQUE(TRANSPOSE(_xlfn.MAP(_xlfn.XLOOKUP(A1054,'Pinlist(S1)'!$C$4:$C$1362,'Pinlist(S1)'!$F$4:$K$1362,""),_xlfn.LAMBDA(_xlpm.x,IF(_xlpm.x&lt;&gt;"",TRIM(CLEAN(LEFT(_xlpm.x,FIND(".",_xlpm.x &amp; ".")-1))),""))))))</f>
        <v>KA104</v>
      </c>
      <c r="D1054">
        <v>31.006</v>
      </c>
      <c r="E1054">
        <v>18.861000000000001</v>
      </c>
      <c r="F1054" t="str">
        <f>_xlfn.LET(_xlpm.raw,_xlfn.XLOOKUP(A1054,'Pinlist(S1)'!$C$4:$C$1362,'Pinlist(S1)'!$E$4:$E$1362,""),_xlpm.cleanRaw,SUBSTITUTE(SUBSTITUTE(_xlpm.raw,"_PIN","."),"PIN","."),_xlpm.mainPart,MID(_xlpm.cleanRaw,2,FIND(".",_xlpm.cleanRaw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054" t="str">
        <f>_xlfn.LET(_xlpm.raw,_xlfn.XLOOKUP(A1054,'Pinlist(S3)'!$C$4:$C$1362,'Pinlist(S3)'!$E$4:$E$1362,""),_xlpm.cleanRaw,SUBSTITUTE(SUBSTITUTE(_xlpm.raw,"_PIN","."),"PIN","."),_xlpm.mainPart,MID(_xlpm.cleanRaw,2,FIND(".",_xlpm.cleanRaw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054" t="str">
        <f>_xlfn.LET(_xlpm.raw,_xlfn.XLOOKUP(A1054,'Pinlist(S5)'!$C$4:$C$1362,'Pinlist(S5)'!$E$4:$E$1362,""),_xlpm.cleanRaw,SUBSTITUTE(SUBSTITUTE(_xlpm.raw,"_PIN","."),"PIN","."),_xlpm.mainPart,MID(_xlpm.cleanRaw,2,FIND(".",_xlpm.cleanRaw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054" t="str">
        <f>""</f>
        <v/>
      </c>
      <c r="J1054" t="str">
        <f t="shared" si="16"/>
        <v>AT55;DDR0_CLK_P[1];KA104;31.006;18.861;506025;807022;603086;</v>
      </c>
    </row>
    <row r="1055" spans="1:10">
      <c r="A1055" t="s">
        <v>2022</v>
      </c>
      <c r="B1055" t="str">
        <f>_xlfn.XLOOKUP(A1055,'Pinlist(S1)'!$Q$4:$Q$1362,'Pinlist(S1)'!$R$4:$R$1362,"")</f>
        <v>VSS</v>
      </c>
      <c r="C1055" t="str" cm="1">
        <f t="array" ref="C1055">_xlfn.TEXTJOIN(",",TRUE,_xlfn.UNIQUE(TRANSPOSE(_xlfn.MAP(_xlfn.XLOOKUP(A1055,'Pinlist(S1)'!$C$4:$C$1362,'Pinlist(S1)'!$F$4:$K$1362,""),_xlfn.LAMBDA(_xlpm.x,IF(_xlpm.x&lt;&gt;"",TRIM(CLEAN(LEFT(_xlpm.x,FIND(".",_xlpm.x &amp; ".")-1))),""))))))</f>
        <v/>
      </c>
      <c r="D1055">
        <v>31.920999999999999</v>
      </c>
      <c r="E1055">
        <v>18.861000000000001</v>
      </c>
      <c r="F1055" t="str">
        <f>_xlfn.LET(_xlpm.raw,_xlfn.XLOOKUP(A1055,'Pinlist(S1)'!$C$4:$C$1362,'Pinlist(S1)'!$E$4:$E$1362,""),_xlpm.cleanRaw,SUBSTITUTE(SUBSTITUTE(_xlpm.raw,"_PIN","."),"PIN","."),_xlpm.mainPart,MID(_xlpm.cleanRaw,2,FIND(".",_xlpm.cleanRaw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5" t="str">
        <f>_xlfn.LET(_xlpm.raw,_xlfn.XLOOKUP(A1055,'Pinlist(S3)'!$C$4:$C$1362,'Pinlist(S3)'!$E$4:$E$1362,""),_xlpm.cleanRaw,SUBSTITUTE(SUBSTITUTE(_xlpm.raw,"_PIN","."),"PIN","."),_xlpm.mainPart,MID(_xlpm.cleanRaw,2,FIND(".",_xlpm.cleanRaw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5" t="str">
        <f>_xlfn.LET(_xlpm.raw,_xlfn.XLOOKUP(A1055,'Pinlist(S5)'!$C$4:$C$1362,'Pinlist(S5)'!$E$4:$E$1362,""),_xlpm.cleanRaw,SUBSTITUTE(SUBSTITUTE(_xlpm.raw,"_PIN","."),"PIN","."),_xlpm.mainPart,MID(_xlpm.cleanRaw,2,FIND(".",_xlpm.cleanRaw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5" t="str">
        <f>""</f>
        <v/>
      </c>
      <c r="J1055" t="str">
        <f t="shared" si="16"/>
        <v>AT56;VSS;;31.921;18.861;;;;</v>
      </c>
    </row>
    <row r="1056" spans="1:10">
      <c r="A1056" t="s">
        <v>2023</v>
      </c>
      <c r="B1056" t="str">
        <f>_xlfn.XLOOKUP(A1056,'Pinlist(S1)'!$Q$4:$Q$1362,'Pinlist(S1)'!$R$4:$R$1362,"")</f>
        <v>VSS</v>
      </c>
      <c r="C1056" t="str" cm="1">
        <f t="array" ref="C1056">_xlfn.TEXTJOIN(",",TRUE,_xlfn.UNIQUE(TRANSPOSE(_xlfn.MAP(_xlfn.XLOOKUP(A1056,'Pinlist(S1)'!$C$4:$C$1362,'Pinlist(S1)'!$F$4:$K$1362,""),_xlfn.LAMBDA(_xlpm.x,IF(_xlpm.x&lt;&gt;"",TRIM(CLEAN(LEFT(_xlpm.x,FIND(".",_xlpm.x &amp; ".")-1))),""))))))</f>
        <v/>
      </c>
      <c r="D1056">
        <v>32.835000000000001</v>
      </c>
      <c r="E1056">
        <v>18.861000000000001</v>
      </c>
      <c r="F1056" t="str">
        <f>_xlfn.LET(_xlpm.raw,_xlfn.XLOOKUP(A1056,'Pinlist(S1)'!$C$4:$C$1362,'Pinlist(S1)'!$E$4:$E$1362,""),_xlpm.cleanRaw,SUBSTITUTE(SUBSTITUTE(_xlpm.raw,"_PIN","."),"PIN","."),_xlpm.mainPart,MID(_xlpm.cleanRaw,2,FIND(".",_xlpm.cleanRaw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6" t="str">
        <f>_xlfn.LET(_xlpm.raw,_xlfn.XLOOKUP(A1056,'Pinlist(S3)'!$C$4:$C$1362,'Pinlist(S3)'!$E$4:$E$1362,""),_xlpm.cleanRaw,SUBSTITUTE(SUBSTITUTE(_xlpm.raw,"_PIN","."),"PIN","."),_xlpm.mainPart,MID(_xlpm.cleanRaw,2,FIND(".",_xlpm.cleanRaw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6" t="str">
        <f>_xlfn.LET(_xlpm.raw,_xlfn.XLOOKUP(A1056,'Pinlist(S5)'!$C$4:$C$1362,'Pinlist(S5)'!$E$4:$E$1362,""),_xlpm.cleanRaw,SUBSTITUTE(SUBSTITUTE(_xlpm.raw,"_PIN","."),"PIN","."),_xlpm.mainPart,MID(_xlpm.cleanRaw,2,FIND(".",_xlpm.cleanRaw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6" t="str">
        <f>""</f>
        <v/>
      </c>
      <c r="J1056" t="str">
        <f t="shared" si="16"/>
        <v>AT58;VSS;;32.835;18.861;;;;</v>
      </c>
    </row>
    <row r="1057" spans="1:10">
      <c r="A1057" t="s">
        <v>576</v>
      </c>
      <c r="B1057" t="str">
        <f>_xlfn.XLOOKUP(A1057,'Pinlist(S1)'!$Q$4:$Q$1362,'Pinlist(S1)'!$R$4:$R$1362,"")</f>
        <v>DDRDQ_IL13_NIL07[6]</v>
      </c>
      <c r="C1057" t="str" cm="1">
        <f t="array" ref="C1057">_xlfn.TEXTJOIN(",",TRUE,_xlfn.UNIQUE(TRANSPOSE(_xlfn.MAP(_xlfn.XLOOKUP(A1057,'Pinlist(S1)'!$C$4:$C$1362,'Pinlist(S1)'!$F$4:$K$1362,""),_xlfn.LAMBDA(_xlpm.x,IF(_xlpm.x&lt;&gt;"",TRIM(CLEAN(LEFT(_xlpm.x,FIND(".",_xlpm.x &amp; ".")-1))),""))))))</f>
        <v/>
      </c>
      <c r="D1057">
        <v>33.75</v>
      </c>
      <c r="E1057">
        <v>18.861000000000001</v>
      </c>
      <c r="F1057" t="str">
        <f>_xlfn.LET(_xlpm.raw,_xlfn.XLOOKUP(A1057,'Pinlist(S1)'!$C$4:$C$1362,'Pinlist(S1)'!$E$4:$E$1362,""),_xlpm.cleanRaw,SUBSTITUTE(SUBSTITUTE(_xlpm.raw,"_PIN","."),"PIN","."),_xlpm.mainPart,MID(_xlpm.cleanRaw,2,FIND(".",_xlpm.cleanRaw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606095</v>
      </c>
      <c r="G1057" t="str">
        <f>_xlfn.LET(_xlpm.raw,_xlfn.XLOOKUP(A1057,'Pinlist(S3)'!$C$4:$C$1362,'Pinlist(S3)'!$E$4:$E$1362,""),_xlpm.cleanRaw,SUBSTITUTE(SUBSTITUTE(_xlpm.raw,"_PIN","."),"PIN","."),_xlpm.mainPart,MID(_xlpm.cleanRaw,2,FIND(".",_xlpm.cleanRaw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501093</v>
      </c>
      <c r="H1057" t="str">
        <f>_xlfn.LET(_xlpm.raw,_xlfn.XLOOKUP(A1057,'Pinlist(S5)'!$C$4:$C$1362,'Pinlist(S5)'!$E$4:$E$1362,""),_xlpm.cleanRaw,SUBSTITUTE(SUBSTITUTE(_xlpm.raw,"_PIN","."),"PIN","."),_xlpm.mainPart,MID(_xlpm.cleanRaw,2,FIND(".",_xlpm.cleanRaw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706035</v>
      </c>
      <c r="I1057" t="str">
        <f>""</f>
        <v/>
      </c>
      <c r="J1057" t="str">
        <f t="shared" si="16"/>
        <v>AT60;DDRDQ_IL13_NIL07[6];;33.75;18.861;606095;501093;706035;</v>
      </c>
    </row>
    <row r="1058" spans="1:10">
      <c r="A1058" t="s">
        <v>564</v>
      </c>
      <c r="B1058" t="str">
        <f>_xlfn.XLOOKUP(A1058,'Pinlist(S1)'!$Q$4:$Q$1362,'Pinlist(S1)'!$R$4:$R$1362,"")</f>
        <v>DDRDQ_IL13_NIL07[0]</v>
      </c>
      <c r="C1058" t="str" cm="1">
        <f t="array" ref="C1058">_xlfn.TEXTJOIN(",",TRUE,_xlfn.UNIQUE(TRANSPOSE(_xlfn.MAP(_xlfn.XLOOKUP(A1058,'Pinlist(S1)'!$C$4:$C$1362,'Pinlist(S1)'!$F$4:$K$1362,""),_xlfn.LAMBDA(_xlpm.x,IF(_xlpm.x&lt;&gt;"",TRIM(CLEAN(LEFT(_xlpm.x,FIND(".",_xlpm.x &amp; ".")-1))),""))))))</f>
        <v/>
      </c>
      <c r="D1058">
        <v>34.664000000000001</v>
      </c>
      <c r="E1058">
        <v>18.861000000000001</v>
      </c>
      <c r="F1058" t="str">
        <f>_xlfn.LET(_xlpm.raw,_xlfn.XLOOKUP(A1058,'Pinlist(S1)'!$C$4:$C$1362,'Pinlist(S1)'!$E$4:$E$1362,""),_xlpm.cleanRaw,SUBSTITUTE(SUBSTITUTE(_xlpm.raw,"_PIN","."),"PIN","."),_xlpm.mainPart,MID(_xlpm.cleanRaw,2,FIND(".",_xlpm.cleanRaw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606116</v>
      </c>
      <c r="G1058" t="str">
        <f>_xlfn.LET(_xlpm.raw,_xlfn.XLOOKUP(A1058,'Pinlist(S3)'!$C$4:$C$1362,'Pinlist(S3)'!$E$4:$E$1362,""),_xlpm.cleanRaw,SUBSTITUTE(SUBSTITUTE(_xlpm.raw,"_PIN","."),"PIN","."),_xlpm.mainPart,MID(_xlpm.cleanRaw,2,FIND(".",_xlpm.cleanRaw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501100</v>
      </c>
      <c r="H1058" t="str">
        <f>_xlfn.LET(_xlpm.raw,_xlfn.XLOOKUP(A1058,'Pinlist(S5)'!$C$4:$C$1362,'Pinlist(S5)'!$E$4:$E$1362,""),_xlpm.cleanRaw,SUBSTITUTE(SUBSTITUTE(_xlpm.raw,"_PIN","."),"PIN","."),_xlpm.mainPart,MID(_xlpm.cleanRaw,2,FIND(".",_xlpm.cleanRaw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707098</v>
      </c>
      <c r="I1058" t="str">
        <f>""</f>
        <v/>
      </c>
      <c r="J1058" t="str">
        <f t="shared" si="16"/>
        <v>AT61;DDRDQ_IL13_NIL07[0];;34.664;18.861;606116;501100;707098;</v>
      </c>
    </row>
    <row r="1059" spans="1:10">
      <c r="A1059" t="s">
        <v>2024</v>
      </c>
      <c r="B1059" t="str">
        <f>_xlfn.XLOOKUP(A1059,'Pinlist(S1)'!$Q$4:$Q$1362,'Pinlist(S1)'!$R$4:$R$1362,"")</f>
        <v>VSS</v>
      </c>
      <c r="C1059" t="str" cm="1">
        <f t="array" ref="C1059">_xlfn.TEXTJOIN(",",TRUE,_xlfn.UNIQUE(TRANSPOSE(_xlfn.MAP(_xlfn.XLOOKUP(A1059,'Pinlist(S1)'!$C$4:$C$1362,'Pinlist(S1)'!$F$4:$K$1362,""),_xlfn.LAMBDA(_xlpm.x,IF(_xlpm.x&lt;&gt;"",TRIM(CLEAN(LEFT(_xlpm.x,FIND(".",_xlpm.x &amp; ".")-1))),""))))))</f>
        <v/>
      </c>
      <c r="D1059">
        <v>35.578000000000003</v>
      </c>
      <c r="E1059">
        <v>18.861000000000001</v>
      </c>
      <c r="F1059" t="str">
        <f>_xlfn.LET(_xlpm.raw,_xlfn.XLOOKUP(A1059,'Pinlist(S1)'!$C$4:$C$1362,'Pinlist(S1)'!$E$4:$E$1362,""),_xlpm.cleanRaw,SUBSTITUTE(SUBSTITUTE(_xlpm.raw,"_PIN","."),"PIN","."),_xlpm.mainPart,MID(_xlpm.cleanRaw,2,FIND(".",_xlpm.cleanRaw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9" t="str">
        <f>_xlfn.LET(_xlpm.raw,_xlfn.XLOOKUP(A1059,'Pinlist(S3)'!$C$4:$C$1362,'Pinlist(S3)'!$E$4:$E$1362,""),_xlpm.cleanRaw,SUBSTITUTE(SUBSTITUTE(_xlpm.raw,"_PIN","."),"PIN","."),_xlpm.mainPart,MID(_xlpm.cleanRaw,2,FIND(".",_xlpm.cleanRaw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9" t="str">
        <f>_xlfn.LET(_xlpm.raw,_xlfn.XLOOKUP(A1059,'Pinlist(S5)'!$C$4:$C$1362,'Pinlist(S5)'!$E$4:$E$1362,""),_xlpm.cleanRaw,SUBSTITUTE(SUBSTITUTE(_xlpm.raw,"_PIN","."),"PIN","."),_xlpm.mainPart,MID(_xlpm.cleanRaw,2,FIND(".",_xlpm.cleanRaw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9" t="str">
        <f>""</f>
        <v/>
      </c>
      <c r="J1059" t="str">
        <f t="shared" si="16"/>
        <v>AT63;VSS;;35.578;18.861;;;;</v>
      </c>
    </row>
    <row r="1060" spans="1:10">
      <c r="A1060" t="s">
        <v>560</v>
      </c>
      <c r="B1060" t="str">
        <f>_xlfn.XLOOKUP(A1060,'Pinlist(S1)'!$Q$4:$Q$1362,'Pinlist(S1)'!$R$4:$R$1362,"")</f>
        <v>DDRDQ_IL12_NIL06[6]</v>
      </c>
      <c r="C1060" t="str" cm="1">
        <f t="array" ref="C1060">_xlfn.TEXTJOIN(",",TRUE,_xlfn.UNIQUE(TRANSPOSE(_xlfn.MAP(_xlfn.XLOOKUP(A1060,'Pinlist(S1)'!$C$4:$C$1362,'Pinlist(S1)'!$F$4:$K$1362,""),_xlfn.LAMBDA(_xlpm.x,IF(_xlpm.x&lt;&gt;"",TRIM(CLEAN(LEFT(_xlpm.x,FIND(".",_xlpm.x &amp; ".")-1))),""))))))</f>
        <v/>
      </c>
      <c r="D1060">
        <v>36.492999999999903</v>
      </c>
      <c r="E1060">
        <v>18.861000000000001</v>
      </c>
      <c r="F1060" t="str">
        <f>_xlfn.LET(_xlpm.raw,_xlfn.XLOOKUP(A1060,'Pinlist(S1)'!$C$4:$C$1362,'Pinlist(S1)'!$E$4:$E$1362,""),_xlpm.cleanRaw,SUBSTITUTE(SUBSTITUTE(_xlpm.raw,"_PIN","."),"PIN","."),_xlpm.mainPart,MID(_xlpm.cleanRaw,2,FIND(".",_xlpm.cleanRaw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607040</v>
      </c>
      <c r="G1060" t="str">
        <f>_xlfn.LET(_xlpm.raw,_xlfn.XLOOKUP(A1060,'Pinlist(S3)'!$C$4:$C$1362,'Pinlist(S3)'!$E$4:$E$1362,""),_xlpm.cleanRaw,SUBSTITUTE(SUBSTITUTE(_xlpm.raw,"_PIN","."),"PIN","."),_xlpm.mainPart,MID(_xlpm.cleanRaw,2,FIND(".",_xlpm.cleanRaw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801040</v>
      </c>
      <c r="H1060" t="str">
        <f>_xlfn.LET(_xlpm.raw,_xlfn.XLOOKUP(A1060,'Pinlist(S5)'!$C$4:$C$1362,'Pinlist(S5)'!$E$4:$E$1362,""),_xlpm.cleanRaw,SUBSTITUTE(SUBSTITUTE(_xlpm.raw,"_PIN","."),"PIN","."),_xlpm.mainPart,MID(_xlpm.cleanRaw,2,FIND(".",_xlpm.cleanRaw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706040</v>
      </c>
      <c r="I1060" t="str">
        <f>""</f>
        <v/>
      </c>
      <c r="J1060" t="str">
        <f t="shared" si="16"/>
        <v>AT65;DDRDQ_IL12_NIL06[6];;36.4929999999999;18.861;607040;801040;706040;</v>
      </c>
    </row>
    <row r="1061" spans="1:10">
      <c r="A1061" t="s">
        <v>548</v>
      </c>
      <c r="B1061" t="str">
        <f>_xlfn.XLOOKUP(A1061,'Pinlist(S1)'!$Q$4:$Q$1362,'Pinlist(S1)'!$R$4:$R$1362,"")</f>
        <v>DDRDQ_IL12_NIL06[0]</v>
      </c>
      <c r="C1061" t="str" cm="1">
        <f t="array" ref="C1061">_xlfn.TEXTJOIN(",",TRUE,_xlfn.UNIQUE(TRANSPOSE(_xlfn.MAP(_xlfn.XLOOKUP(A1061,'Pinlist(S1)'!$C$4:$C$1362,'Pinlist(S1)'!$F$4:$K$1362,""),_xlfn.LAMBDA(_xlpm.x,IF(_xlpm.x&lt;&gt;"",TRIM(CLEAN(LEFT(_xlpm.x,FIND(".",_xlpm.x &amp; ".")-1))),""))))))</f>
        <v/>
      </c>
      <c r="D1061">
        <v>37.406999999999996</v>
      </c>
      <c r="E1061">
        <v>18.861000000000001</v>
      </c>
      <c r="F1061" t="str">
        <f>_xlfn.LET(_xlpm.raw,_xlfn.XLOOKUP(A1061,'Pinlist(S1)'!$C$4:$C$1362,'Pinlist(S1)'!$E$4:$E$1362,""),_xlpm.cleanRaw,SUBSTITUTE(SUBSTITUTE(_xlpm.raw,"_PIN","."),"PIN","."),_xlpm.mainPart,MID(_xlpm.cleanRaw,2,FIND(".",_xlpm.cleanRaw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606102</v>
      </c>
      <c r="G1061" t="str">
        <f>_xlfn.LET(_xlpm.raw,_xlfn.XLOOKUP(A1061,'Pinlist(S3)'!$C$4:$C$1362,'Pinlist(S3)'!$E$4:$E$1362,""),_xlpm.cleanRaw,SUBSTITUTE(SUBSTITUTE(_xlpm.raw,"_PIN","."),"PIN","."),_xlpm.mainPart,MID(_xlpm.cleanRaw,2,FIND(".",_xlpm.cleanRaw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501102</v>
      </c>
      <c r="H1061" t="str">
        <f>_xlfn.LET(_xlpm.raw,_xlfn.XLOOKUP(A1061,'Pinlist(S5)'!$C$4:$C$1362,'Pinlist(S5)'!$E$4:$E$1362,""),_xlpm.cleanRaw,SUBSTITUTE(SUBSTITUTE(_xlpm.raw,"_PIN","."),"PIN","."),_xlpm.mainPart,MID(_xlpm.cleanRaw,2,FIND(".",_xlpm.cleanRaw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707102</v>
      </c>
      <c r="I1061" t="str">
        <f>""</f>
        <v/>
      </c>
      <c r="J1061" t="str">
        <f t="shared" si="16"/>
        <v>AT66;DDRDQ_IL12_NIL06[0];;37.407;18.861;606102;501102;707102;</v>
      </c>
    </row>
    <row r="1062" spans="1:10">
      <c r="A1062" t="s">
        <v>2025</v>
      </c>
      <c r="B1062" t="str">
        <f>_xlfn.XLOOKUP(A1062,'Pinlist(S1)'!$Q$4:$Q$1362,'Pinlist(S1)'!$R$4:$R$1362,"")</f>
        <v>VSS</v>
      </c>
      <c r="C1062" t="str" cm="1">
        <f t="array" ref="C1062">_xlfn.TEXTJOIN(",",TRUE,_xlfn.UNIQUE(TRANSPOSE(_xlfn.MAP(_xlfn.XLOOKUP(A1062,'Pinlist(S1)'!$C$4:$C$1362,'Pinlist(S1)'!$F$4:$K$1362,""),_xlfn.LAMBDA(_xlpm.x,IF(_xlpm.x&lt;&gt;"",TRIM(CLEAN(LEFT(_xlpm.x,FIND(".",_xlpm.x &amp; ".")-1))),""))))))</f>
        <v/>
      </c>
      <c r="D1062">
        <v>38.353000000000002</v>
      </c>
      <c r="E1062">
        <v>18.823</v>
      </c>
      <c r="F1062" t="str">
        <f>_xlfn.LET(_xlpm.raw,_xlfn.XLOOKUP(A1062,'Pinlist(S1)'!$C$4:$C$1362,'Pinlist(S1)'!$E$4:$E$1362,""),_xlpm.cleanRaw,SUBSTITUTE(SUBSTITUTE(_xlpm.raw,"_PIN","."),"PIN","."),_xlpm.mainPart,MID(_xlpm.cleanRaw,2,FIND(".",_xlpm.cleanRaw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2" t="str">
        <f>_xlfn.LET(_xlpm.raw,_xlfn.XLOOKUP(A1062,'Pinlist(S3)'!$C$4:$C$1362,'Pinlist(S3)'!$E$4:$E$1362,""),_xlpm.cleanRaw,SUBSTITUTE(SUBSTITUTE(_xlpm.raw,"_PIN","."),"PIN","."),_xlpm.mainPart,MID(_xlpm.cleanRaw,2,FIND(".",_xlpm.cleanRaw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2" t="str">
        <f>_xlfn.LET(_xlpm.raw,_xlfn.XLOOKUP(A1062,'Pinlist(S5)'!$C$4:$C$1362,'Pinlist(S5)'!$E$4:$E$1362,""),_xlpm.cleanRaw,SUBSTITUTE(SUBSTITUTE(_xlpm.raw,"_PIN","."),"PIN","."),_xlpm.mainPart,MID(_xlpm.cleanRaw,2,FIND(".",_xlpm.cleanRaw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62" t="str">
        <f>""</f>
        <v/>
      </c>
      <c r="J1062" t="str">
        <f t="shared" si="16"/>
        <v>AT68;VSS;;38.353;18.823;;;;</v>
      </c>
    </row>
    <row r="1063" spans="1:10">
      <c r="A1063" t="s">
        <v>646</v>
      </c>
      <c r="B1063" t="str">
        <f>_xlfn.XLOOKUP(A1063,'Pinlist(S1)'!$Q$4:$Q$1362,'Pinlist(S1)'!$R$4:$R$1362,"")</f>
        <v>DDRDQSN_IL01_NIL01</v>
      </c>
      <c r="C1063" t="str" cm="1">
        <f t="array" ref="C1063">_xlfn.TEXTJOIN(",",TRUE,_xlfn.UNIQUE(TRANSPOSE(_xlfn.MAP(_xlfn.XLOOKUP(A1063,'Pinlist(S1)'!$C$4:$C$1362,'Pinlist(S1)'!$F$4:$K$1362,""),_xlfn.LAMBDA(_xlpm.x,IF(_xlpm.x&lt;&gt;"",TRIM(CLEAN(LEFT(_xlpm.x,FIND(".",_xlpm.x &amp; ".")-1))),""))))))</f>
        <v/>
      </c>
      <c r="D1063">
        <v>39.003</v>
      </c>
      <c r="E1063">
        <v>18.823</v>
      </c>
      <c r="F1063" t="str">
        <f>_xlfn.LET(_xlpm.raw,_xlfn.XLOOKUP(A1063,'Pinlist(S1)'!$C$4:$C$1362,'Pinlist(S1)'!$E$4:$E$1362,""),_xlpm.cleanRaw,SUBSTITUTE(SUBSTITUTE(_xlpm.raw,"_PIN","."),"PIN","."),_xlpm.mainPart,MID(_xlpm.cleanRaw,2,FIND(".",_xlpm.cleanRaw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606113</v>
      </c>
      <c r="G1063" t="str">
        <f>_xlfn.LET(_xlpm.raw,_xlfn.XLOOKUP(A1063,'Pinlist(S3)'!$C$4:$C$1362,'Pinlist(S3)'!$E$4:$E$1362,""),_xlpm.cleanRaw,SUBSTITUTE(SUBSTITUTE(_xlpm.raw,"_PIN","."),"PIN","."),_xlpm.mainPart,MID(_xlpm.cleanRaw,2,FIND(".",_xlpm.cleanRaw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502066</v>
      </c>
      <c r="H1063" t="str">
        <f>_xlfn.LET(_xlpm.raw,_xlfn.XLOOKUP(A1063,'Pinlist(S5)'!$C$4:$C$1362,'Pinlist(S5)'!$E$4:$E$1362,""),_xlpm.cleanRaw,SUBSTITUTE(SUBSTITUTE(_xlpm.raw,"_PIN","."),"PIN","."),_xlpm.mainPart,MID(_xlpm.cleanRaw,2,FIND(".",_xlpm.cleanRaw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707113</v>
      </c>
      <c r="I1063" t="str">
        <f>""</f>
        <v/>
      </c>
      <c r="J1063" t="str">
        <f t="shared" si="16"/>
        <v>AT69;DDRDQSN_IL01_NIL01;;39.003;18.823;606113;502066;707113;</v>
      </c>
    </row>
    <row r="1064" spans="1:10">
      <c r="A1064" t="s">
        <v>678</v>
      </c>
      <c r="B1064" t="str">
        <f>_xlfn.XLOOKUP(A1064,'Pinlist(S1)'!$Q$4:$Q$1362,'Pinlist(S1)'!$R$4:$R$1362,"")</f>
        <v>DDRDQSP_IL01_NIL01</v>
      </c>
      <c r="C1064" t="str" cm="1">
        <f t="array" ref="C1064">_xlfn.TEXTJOIN(",",TRUE,_xlfn.UNIQUE(TRANSPOSE(_xlfn.MAP(_xlfn.XLOOKUP(A1064,'Pinlist(S1)'!$C$4:$C$1362,'Pinlist(S1)'!$F$4:$K$1362,""),_xlfn.LAMBDA(_xlpm.x,IF(_xlpm.x&lt;&gt;"",TRIM(CLEAN(LEFT(_xlpm.x,FIND(".",_xlpm.x &amp; ".")-1))),""))))))</f>
        <v/>
      </c>
      <c r="D1064">
        <v>39.652999999999999</v>
      </c>
      <c r="E1064">
        <v>18.823</v>
      </c>
      <c r="F1064" t="str">
        <f>_xlfn.LET(_xlpm.raw,_xlfn.XLOOKUP(A1064,'Pinlist(S1)'!$C$4:$C$1362,'Pinlist(S1)'!$E$4:$E$1362,""),_xlpm.cleanRaw,SUBSTITUTE(SUBSTITUTE(_xlpm.raw,"_PIN","."),"PIN","."),_xlpm.mainPart,MID(_xlpm.cleanRaw,2,FIND(".",_xlpm.cleanRaw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606111</v>
      </c>
      <c r="G1064" t="str">
        <f>_xlfn.LET(_xlpm.raw,_xlfn.XLOOKUP(A1064,'Pinlist(S3)'!$C$4:$C$1362,'Pinlist(S3)'!$E$4:$E$1362,""),_xlpm.cleanRaw,SUBSTITUTE(SUBSTITUTE(_xlpm.raw,"_PIN","."),"PIN","."),_xlpm.mainPart,MID(_xlpm.cleanRaw,2,FIND(".",_xlpm.cleanRaw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502065</v>
      </c>
      <c r="H1064" t="str">
        <f>_xlfn.LET(_xlpm.raw,_xlfn.XLOOKUP(A1064,'Pinlist(S5)'!$C$4:$C$1362,'Pinlist(S5)'!$E$4:$E$1362,""),_xlpm.cleanRaw,SUBSTITUTE(SUBSTITUTE(_xlpm.raw,"_PIN","."),"PIN","."),_xlpm.mainPart,MID(_xlpm.cleanRaw,2,FIND(".",_xlpm.cleanRaw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707111</v>
      </c>
      <c r="I1064" t="str">
        <f>""</f>
        <v/>
      </c>
      <c r="J1064" t="str">
        <f t="shared" si="16"/>
        <v>AT70;DDRDQSP_IL01_NIL01;;39.653;18.823;606111;502065;707111;</v>
      </c>
    </row>
    <row r="1065" spans="1:10">
      <c r="A1065" t="s">
        <v>2026</v>
      </c>
      <c r="B1065" t="str">
        <f>_xlfn.XLOOKUP(A1065,'Pinlist(S1)'!$Q$4:$Q$1362,'Pinlist(S1)'!$R$4:$R$1362,"")</f>
        <v>VSS</v>
      </c>
      <c r="C1065" t="str" cm="1">
        <f t="array" ref="C1065">_xlfn.TEXTJOIN(",",TRUE,_xlfn.UNIQUE(TRANSPOSE(_xlfn.MAP(_xlfn.XLOOKUP(A1065,'Pinlist(S1)'!$C$4:$C$1362,'Pinlist(S1)'!$F$4:$K$1362,""),_xlfn.LAMBDA(_xlpm.x,IF(_xlpm.x&lt;&gt;"",TRIM(CLEAN(LEFT(_xlpm.x,FIND(".",_xlpm.x &amp; ".")-1))),""))))))</f>
        <v/>
      </c>
      <c r="D1065">
        <v>40.302999999999997</v>
      </c>
      <c r="E1065">
        <v>18.823</v>
      </c>
      <c r="F1065" t="str">
        <f>_xlfn.LET(_xlpm.raw,_xlfn.XLOOKUP(A1065,'Pinlist(S1)'!$C$4:$C$1362,'Pinlist(S1)'!$E$4:$E$1362,""),_xlpm.cleanRaw,SUBSTITUTE(SUBSTITUTE(_xlpm.raw,"_PIN","."),"PIN","."),_xlpm.mainPart,MID(_xlpm.cleanRaw,2,FIND(".",_xlpm.cleanRaw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5" t="str">
        <f>_xlfn.LET(_xlpm.raw,_xlfn.XLOOKUP(A1065,'Pinlist(S3)'!$C$4:$C$1362,'Pinlist(S3)'!$E$4:$E$1362,""),_xlpm.cleanRaw,SUBSTITUTE(SUBSTITUTE(_xlpm.raw,"_PIN","."),"PIN","."),_xlpm.mainPart,MID(_xlpm.cleanRaw,2,FIND(".",_xlpm.cleanRaw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5" t="str">
        <f>_xlfn.LET(_xlpm.raw,_xlfn.XLOOKUP(A1065,'Pinlist(S5)'!$C$4:$C$1362,'Pinlist(S5)'!$E$4:$E$1362,""),_xlpm.cleanRaw,SUBSTITUTE(SUBSTITUTE(_xlpm.raw,"_PIN","."),"PIN","."),_xlpm.mainPart,MID(_xlpm.cleanRaw,2,FIND(".",_xlpm.cleanRaw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65" t="str">
        <f>""</f>
        <v/>
      </c>
      <c r="J1065" t="str">
        <f t="shared" si="16"/>
        <v>AT71;VSS;;40.303;18.823;;;;</v>
      </c>
    </row>
    <row r="1066" spans="1:10">
      <c r="A1066" t="s">
        <v>1414</v>
      </c>
      <c r="B1066" t="str">
        <f>_xlfn.XLOOKUP(A1066,'Pinlist(S1)'!$Q$4:$Q$1362,'Pinlist(S1)'!$R$4:$R$1362,"")</f>
        <v>SPI0_TPM_CSB</v>
      </c>
      <c r="C1066" t="str" cm="1">
        <f t="array" ref="C1066">_xlfn.TEXTJOIN(",",TRUE,_xlfn.UNIQUE(TRANSPOSE(_xlfn.MAP(_xlfn.XLOOKUP(A1066,'Pinlist(S1)'!$C$4:$C$1362,'Pinlist(S1)'!$F$4:$K$1362,""),_xlfn.LAMBDA(_xlpm.x,IF(_xlpm.x&lt;&gt;"",TRIM(CLEAN(LEFT(_xlpm.x,FIND(".",_xlpm.x &amp; ".")-1))),""))))))</f>
        <v/>
      </c>
      <c r="D1066">
        <v>0</v>
      </c>
      <c r="E1066">
        <v>19.422000000000001</v>
      </c>
      <c r="F1066" t="str">
        <f>_xlfn.LET(_xlpm.raw,_xlfn.XLOOKUP(A1066,'Pinlist(S1)'!$C$4:$C$1362,'Pinlist(S1)'!$E$4:$E$1362,""),_xlpm.cleanRaw,SUBSTITUTE(SUBSTITUTE(_xlpm.raw,"_PIN","."),"PIN","."),_xlpm.mainPart,MID(_xlpm.cleanRaw,2,FIND(".",_xlpm.cleanRaw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509025</v>
      </c>
      <c r="G1066" t="str">
        <f>_xlfn.LET(_xlpm.raw,_xlfn.XLOOKUP(A1066,'Pinlist(S3)'!$C$4:$C$1362,'Pinlist(S3)'!$E$4:$E$1362,""),_xlpm.cleanRaw,SUBSTITUTE(SUBSTITUTE(_xlpm.raw,"_PIN","."),"PIN","."),_xlpm.mainPart,MID(_xlpm.cleanRaw,2,FIND(".",_xlpm.cleanRaw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804013</v>
      </c>
      <c r="H1066" t="str">
        <f>_xlfn.LET(_xlpm.raw,_xlfn.XLOOKUP(A1066,'Pinlist(S5)'!$C$4:$C$1362,'Pinlist(S5)'!$E$4:$E$1362,""),_xlpm.cleanRaw,SUBSTITUTE(SUBSTITUTE(_xlpm.raw,"_PIN","."),"PIN","."),_xlpm.mainPart,MID(_xlpm.cleanRaw,2,FIND(".",_xlpm.cleanRaw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703016</v>
      </c>
      <c r="I1066" t="str">
        <f>""</f>
        <v/>
      </c>
      <c r="J1066" t="str">
        <f t="shared" si="16"/>
        <v>AU1;SPI0_TPM_CSB;;0;19.422;509025;804013;703016;</v>
      </c>
    </row>
    <row r="1067" spans="1:10">
      <c r="A1067" t="s">
        <v>1404</v>
      </c>
      <c r="B1067" t="str">
        <f>_xlfn.XLOOKUP(A1067,'Pinlist(S1)'!$Q$4:$Q$1362,'Pinlist(S1)'!$R$4:$R$1362,"")</f>
        <v>SPI0_FLASH_1_CSB</v>
      </c>
      <c r="C1067" t="str" cm="1">
        <f t="array" ref="C1067">_xlfn.TEXTJOIN(",",TRUE,_xlfn.UNIQUE(TRANSPOSE(_xlfn.MAP(_xlfn.XLOOKUP(A1067,'Pinlist(S1)'!$C$4:$C$1362,'Pinlist(S1)'!$F$4:$K$1362,""),_xlfn.LAMBDA(_xlpm.x,IF(_xlpm.x&lt;&gt;"",TRIM(CLEAN(LEFT(_xlpm.x,FIND(".",_xlpm.x &amp; ".")-1))),""))))))</f>
        <v/>
      </c>
      <c r="D1067">
        <v>0.64999999999999802</v>
      </c>
      <c r="E1067">
        <v>19.422000000000001</v>
      </c>
      <c r="F1067" t="str">
        <f>_xlfn.LET(_xlpm.raw,_xlfn.XLOOKUP(A1067,'Pinlist(S1)'!$C$4:$C$1362,'Pinlist(S1)'!$E$4:$E$1362,""),_xlpm.cleanRaw,SUBSTITUTE(SUBSTITUTE(_xlpm.raw,"_PIN","."),"PIN","."),_xlpm.mainPart,MID(_xlpm.cleanRaw,2,FIND(".",_xlpm.cleanRaw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508061</v>
      </c>
      <c r="G1067" t="str">
        <f>_xlfn.LET(_xlpm.raw,_xlfn.XLOOKUP(A1067,'Pinlist(S3)'!$C$4:$C$1362,'Pinlist(S3)'!$E$4:$E$1362,""),_xlpm.cleanRaw,SUBSTITUTE(SUBSTITUTE(_xlpm.raw,"_PIN","."),"PIN","."),_xlpm.mainPart,MID(_xlpm.cleanRaw,2,FIND(".",_xlpm.cleanRaw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804020</v>
      </c>
      <c r="H1067" t="str">
        <f>_xlfn.LET(_xlpm.raw,_xlfn.XLOOKUP(A1067,'Pinlist(S5)'!$C$4:$C$1362,'Pinlist(S5)'!$E$4:$E$1362,""),_xlpm.cleanRaw,SUBSTITUTE(SUBSTITUTE(_xlpm.raw,"_PIN","."),"PIN","."),_xlpm.mainPart,MID(_xlpm.cleanRaw,2,FIND(".",_xlpm.cleanRaw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702051</v>
      </c>
      <c r="I1067" t="str">
        <f>""</f>
        <v/>
      </c>
      <c r="J1067" t="str">
        <f t="shared" si="16"/>
        <v>AU2;SPI0_FLASH_1_CSB;;0.649999999999998;19.422;508061;804020;702051;</v>
      </c>
    </row>
    <row r="1068" spans="1:10">
      <c r="A1068" t="s">
        <v>1402</v>
      </c>
      <c r="B1068" t="str">
        <f>_xlfn.XLOOKUP(A1068,'Pinlist(S1)'!$Q$4:$Q$1362,'Pinlist(S1)'!$R$4:$R$1362,"")</f>
        <v>SPI0_FLASH_0_CSB</v>
      </c>
      <c r="C1068" t="str" cm="1">
        <f t="array" ref="C1068">_xlfn.TEXTJOIN(",",TRUE,_xlfn.UNIQUE(TRANSPOSE(_xlfn.MAP(_xlfn.XLOOKUP(A1068,'Pinlist(S1)'!$C$4:$C$1362,'Pinlist(S1)'!$F$4:$K$1362,""),_xlfn.LAMBDA(_xlpm.x,IF(_xlpm.x&lt;&gt;"",TRIM(CLEAN(LEFT(_xlpm.x,FIND(".",_xlpm.x &amp; ".")-1))),""))))))</f>
        <v/>
      </c>
      <c r="D1068">
        <v>1.2999999999999901</v>
      </c>
      <c r="E1068">
        <v>19.422000000000001</v>
      </c>
      <c r="F1068" t="str">
        <f>_xlfn.LET(_xlpm.raw,_xlfn.XLOOKUP(A1068,'Pinlist(S1)'!$C$4:$C$1362,'Pinlist(S1)'!$E$4:$E$1362,""),_xlpm.cleanRaw,SUBSTITUTE(SUBSTITUTE(_xlpm.raw,"_PIN","."),"PIN","."),_xlpm.mainPart,MID(_xlpm.cleanRaw,2,FIND(".",_xlpm.cleanRaw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509026</v>
      </c>
      <c r="G1068" t="str">
        <f>_xlfn.LET(_xlpm.raw,_xlfn.XLOOKUP(A1068,'Pinlist(S3)'!$C$4:$C$1362,'Pinlist(S3)'!$E$4:$E$1362,""),_xlpm.cleanRaw,SUBSTITUTE(SUBSTITUTE(_xlpm.raw,"_PIN","."),"PIN","."),_xlpm.mainPart,MID(_xlpm.cleanRaw,2,FIND(".",_xlpm.cleanRaw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804014</v>
      </c>
      <c r="H1068" t="str">
        <f>_xlfn.LET(_xlpm.raw,_xlfn.XLOOKUP(A1068,'Pinlist(S5)'!$C$4:$C$1362,'Pinlist(S5)'!$E$4:$E$1362,""),_xlpm.cleanRaw,SUBSTITUTE(SUBSTITUTE(_xlpm.raw,"_PIN","."),"PIN","."),_xlpm.mainPart,MID(_xlpm.cleanRaw,2,FIND(".",_xlpm.cleanRaw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702055</v>
      </c>
      <c r="I1068" t="str">
        <f>""</f>
        <v/>
      </c>
      <c r="J1068" t="str">
        <f t="shared" si="16"/>
        <v>AU3;SPI0_FLASH_0_CSB;;1.29999999999999;19.422;509026;804014;702055;</v>
      </c>
    </row>
    <row r="1069" spans="1:10">
      <c r="A1069" t="s">
        <v>1408</v>
      </c>
      <c r="B1069" t="str">
        <f>_xlfn.XLOOKUP(A1069,'Pinlist(S1)'!$Q$4:$Q$1362,'Pinlist(S1)'!$R$4:$R$1362,"")</f>
        <v>SPI0_IO_3</v>
      </c>
      <c r="C1069" t="str" cm="1">
        <f t="array" ref="C1069">_xlfn.TEXTJOIN(",",TRUE,_xlfn.UNIQUE(TRANSPOSE(_xlfn.MAP(_xlfn.XLOOKUP(A1069,'Pinlist(S1)'!$C$4:$C$1362,'Pinlist(S1)'!$F$4:$K$1362,""),_xlfn.LAMBDA(_xlpm.x,IF(_xlpm.x&lt;&gt;"",TRIM(CLEAN(LEFT(_xlpm.x,FIND(".",_xlpm.x &amp; ".")-1))),""))))))</f>
        <v/>
      </c>
      <c r="D1069">
        <v>1.9510000000000001</v>
      </c>
      <c r="E1069">
        <v>19.422000000000001</v>
      </c>
      <c r="F1069" t="str">
        <f>_xlfn.LET(_xlpm.raw,_xlfn.XLOOKUP(A1069,'Pinlist(S1)'!$C$4:$C$1362,'Pinlist(S1)'!$E$4:$E$1362,""),_xlpm.cleanRaw,SUBSTITUTE(SUBSTITUTE(_xlpm.raw,"_PIN","."),"PIN","."),_xlpm.mainPart,MID(_xlpm.cleanRaw,2,FIND(".",_xlpm.cleanRaw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507119</v>
      </c>
      <c r="G1069" t="str">
        <f>_xlfn.LET(_xlpm.raw,_xlfn.XLOOKUP(A1069,'Pinlist(S3)'!$C$4:$C$1362,'Pinlist(S3)'!$E$4:$E$1362,""),_xlpm.cleanRaw,SUBSTITUTE(SUBSTITUTE(_xlpm.raw,"_PIN","."),"PIN","."),_xlpm.mainPart,MID(_xlpm.cleanRaw,2,FIND(".",_xlpm.cleanRaw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806115</v>
      </c>
      <c r="H1069" t="str">
        <f>_xlfn.LET(_xlpm.raw,_xlfn.XLOOKUP(A1069,'Pinlist(S5)'!$C$4:$C$1362,'Pinlist(S5)'!$E$4:$E$1362,""),_xlpm.cleanRaw,SUBSTITUTE(SUBSTITUTE(_xlpm.raw,"_PIN","."),"PIN","."),_xlpm.mainPart,MID(_xlpm.cleanRaw,2,FIND(".",_xlpm.cleanRaw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702075</v>
      </c>
      <c r="I1069" t="str">
        <f>""</f>
        <v/>
      </c>
      <c r="J1069" t="str">
        <f t="shared" si="16"/>
        <v>AU4;SPI0_IO_3;;1.951;19.422;507119;806115;702075;</v>
      </c>
    </row>
    <row r="1070" spans="1:10">
      <c r="A1070" t="s">
        <v>1338</v>
      </c>
      <c r="B1070" t="str">
        <f>_xlfn.XLOOKUP(A1070,'Pinlist(S1)'!$Q$4:$Q$1362,'Pinlist(S1)'!$R$4:$R$1362,"")</f>
        <v>POPIICCCTL</v>
      </c>
      <c r="C1070" t="str" cm="1">
        <f t="array" ref="C1070">_xlfn.TEXTJOIN(",",TRUE,_xlfn.UNIQUE(TRANSPOSE(_xlfn.MAP(_xlfn.XLOOKUP(A1070,'Pinlist(S1)'!$C$4:$C$1362,'Pinlist(S1)'!$F$4:$K$1362,""),_xlfn.LAMBDA(_xlpm.x,IF(_xlpm.x&lt;&gt;"",TRIM(CLEAN(LEFT(_xlpm.x,FIND(".",_xlpm.x &amp; ".")-1))),""))))))</f>
        <v>RA134</v>
      </c>
      <c r="D1070">
        <v>2.6599999999999899</v>
      </c>
      <c r="E1070">
        <v>19.512</v>
      </c>
      <c r="F1070" t="str">
        <f>_xlfn.LET(_xlpm.raw,_xlfn.XLOOKUP(A1070,'Pinlist(S1)'!$C$4:$C$1362,'Pinlist(S1)'!$E$4:$E$1362,""),_xlpm.cleanRaw,SUBSTITUTE(SUBSTITUTE(_xlpm.raw,"_PIN","."),"PIN","."),_xlpm.mainPart,MID(_xlpm.cleanRaw,2,FIND(".",_xlpm.cleanRaw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507089</v>
      </c>
      <c r="G1070" t="str">
        <f>_xlfn.LET(_xlpm.raw,_xlfn.XLOOKUP(A1070,'Pinlist(S3)'!$C$4:$C$1362,'Pinlist(S3)'!$E$4:$E$1362,""),_xlpm.cleanRaw,SUBSTITUTE(SUBSTITUTE(_xlpm.raw,"_PIN","."),"PIN","."),_xlpm.mainPart,MID(_xlpm.cleanRaw,2,FIND(".",_xlpm.cleanRaw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805076</v>
      </c>
      <c r="H1070" t="str">
        <f>_xlfn.LET(_xlpm.raw,_xlfn.XLOOKUP(A1070,'Pinlist(S5)'!$C$4:$C$1362,'Pinlist(S5)'!$E$4:$E$1362,""),_xlpm.cleanRaw,SUBSTITUTE(SUBSTITUTE(_xlpm.raw,"_PIN","."),"PIN","."),_xlpm.mainPart,MID(_xlpm.cleanRaw,2,FIND(".",_xlpm.cleanRaw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701123</v>
      </c>
      <c r="I1070" t="str">
        <f>""</f>
        <v/>
      </c>
      <c r="J1070" t="str">
        <f t="shared" si="16"/>
        <v>AU5;POPIICCCTL;RA134;2.65999999999999;19.512;507089;805076;701123;</v>
      </c>
    </row>
    <row r="1071" spans="1:10">
      <c r="A1071" t="s">
        <v>847</v>
      </c>
      <c r="B1071" t="str">
        <f>_xlfn.XLOOKUP(A1071,'Pinlist(S1)'!$Q$4:$Q$1362,'Pinlist(S1)'!$R$4:$R$1362,"")</f>
        <v>GPP_B_10_SRCCLKREQB_5</v>
      </c>
      <c r="C1071" t="str" cm="1">
        <f t="array" ref="C1071">_xlfn.TEXTJOIN(",",TRUE,_xlfn.UNIQUE(TRANSPOSE(_xlfn.MAP(_xlfn.XLOOKUP(A1071,'Pinlist(S1)'!$C$4:$C$1362,'Pinlist(S1)'!$F$4:$K$1362,""),_xlfn.LAMBDA(_xlpm.x,IF(_xlpm.x&lt;&gt;"",TRIM(CLEAN(LEFT(_xlpm.x,FIND(".",_xlpm.x &amp; ".")-1))),""))))))</f>
        <v/>
      </c>
      <c r="D1071">
        <v>3.5739999999999901</v>
      </c>
      <c r="E1071">
        <v>19.512</v>
      </c>
      <c r="F1071" t="str">
        <f>_xlfn.LET(_xlpm.raw,_xlfn.XLOOKUP(A1071,'Pinlist(S1)'!$C$4:$C$1362,'Pinlist(S1)'!$E$4:$E$1362,""),_xlpm.cleanRaw,SUBSTITUTE(SUBSTITUTE(_xlpm.raw,"_PIN","."),"PIN","."),_xlpm.mainPart,MID(_xlpm.cleanRaw,2,FIND(".",_xlpm.cleanRaw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507123</v>
      </c>
      <c r="G1071" t="str">
        <f>_xlfn.LET(_xlpm.raw,_xlfn.XLOOKUP(A1071,'Pinlist(S3)'!$C$4:$C$1362,'Pinlist(S3)'!$E$4:$E$1362,""),_xlpm.cleanRaw,SUBSTITUTE(SUBSTITUTE(_xlpm.raw,"_PIN","."),"PIN","."),_xlpm.mainPart,MID(_xlpm.cleanRaw,2,FIND(".",_xlpm.cleanRaw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806111</v>
      </c>
      <c r="H1071" t="str">
        <f>_xlfn.LET(_xlpm.raw,_xlfn.XLOOKUP(A1071,'Pinlist(S5)'!$C$4:$C$1362,'Pinlist(S5)'!$E$4:$E$1362,""),_xlpm.cleanRaw,SUBSTITUTE(SUBSTITUTE(_xlpm.raw,"_PIN","."),"PIN","."),_xlpm.mainPart,MID(_xlpm.cleanRaw,2,FIND(".",_xlpm.cleanRaw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701122</v>
      </c>
      <c r="I1071" t="str">
        <f>""</f>
        <v/>
      </c>
      <c r="J1071" t="str">
        <f t="shared" si="16"/>
        <v>AU7;GPP_B_10_SRCCLKREQB_5;;3.57399999999999;19.512;507123;806111;701122;</v>
      </c>
    </row>
    <row r="1072" spans="1:10">
      <c r="A1072" t="s">
        <v>889</v>
      </c>
      <c r="B1072" t="str">
        <f>_xlfn.XLOOKUP(A1072,'Pinlist(S1)'!$Q$4:$Q$1362,'Pinlist(S1)'!$R$4:$R$1362,"")</f>
        <v>GPP_B_9_SRCCLKREQB_4</v>
      </c>
      <c r="C1072" t="str" cm="1">
        <f t="array" ref="C1072">_xlfn.TEXTJOIN(",",TRUE,_xlfn.UNIQUE(TRANSPOSE(_xlfn.MAP(_xlfn.XLOOKUP(A1072,'Pinlist(S1)'!$C$4:$C$1362,'Pinlist(S1)'!$F$4:$K$1362,""),_xlfn.LAMBDA(_xlpm.x,IF(_xlpm.x&lt;&gt;"",TRIM(CLEAN(LEFT(_xlpm.x,FIND(".",_xlpm.x &amp; ".")-1))),""))))))</f>
        <v/>
      </c>
      <c r="D1072">
        <v>4.4889999999999999</v>
      </c>
      <c r="E1072">
        <v>19.512</v>
      </c>
      <c r="F1072" t="str">
        <f>_xlfn.LET(_xlpm.raw,_xlfn.XLOOKUP(A1072,'Pinlist(S1)'!$C$4:$C$1362,'Pinlist(S1)'!$E$4:$E$1362,""),_xlpm.cleanRaw,SUBSTITUTE(SUBSTITUTE(_xlpm.raw,"_PIN","."),"PIN","."),_xlpm.mainPart,MID(_xlpm.cleanRaw,2,FIND(".",_xlpm.cleanRaw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505078</v>
      </c>
      <c r="G1072" t="str">
        <f>_xlfn.LET(_xlpm.raw,_xlfn.XLOOKUP(A1072,'Pinlist(S3)'!$C$4:$C$1362,'Pinlist(S3)'!$E$4:$E$1362,""),_xlpm.cleanRaw,SUBSTITUTE(SUBSTITUTE(_xlpm.raw,"_PIN","."),"PIN","."),_xlpm.mainPart,MID(_xlpm.cleanRaw,2,FIND(".",_xlpm.cleanRaw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808081</v>
      </c>
      <c r="H1072" t="str">
        <f>_xlfn.LET(_xlpm.raw,_xlfn.XLOOKUP(A1072,'Pinlist(S5)'!$C$4:$C$1362,'Pinlist(S5)'!$E$4:$E$1362,""),_xlpm.cleanRaw,SUBSTITUTE(SUBSTITUTE(_xlpm.raw,"_PIN","."),"PIN","."),_xlpm.mainPart,MID(_xlpm.cleanRaw,2,FIND(".",_xlpm.cleanRaw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701101</v>
      </c>
      <c r="I1072" t="str">
        <f>""</f>
        <v/>
      </c>
      <c r="J1072" t="str">
        <f t="shared" si="16"/>
        <v>AU8;GPP_B_9_SRCCLKREQB_4;;4.489;19.512;505078;808081;701101;</v>
      </c>
    </row>
    <row r="1073" spans="1:10">
      <c r="A1073" t="s">
        <v>2027</v>
      </c>
      <c r="B1073" t="str">
        <f>_xlfn.XLOOKUP(A1073,'Pinlist(S1)'!$Q$4:$Q$1362,'Pinlist(S1)'!$R$4:$R$1362,"")</f>
        <v>VSS</v>
      </c>
      <c r="C1073" t="str" cm="1">
        <f t="array" ref="C1073">_xlfn.TEXTJOIN(",",TRUE,_xlfn.UNIQUE(TRANSPOSE(_xlfn.MAP(_xlfn.XLOOKUP(A1073,'Pinlist(S1)'!$C$4:$C$1362,'Pinlist(S1)'!$F$4:$K$1362,""),_xlfn.LAMBDA(_xlpm.x,IF(_xlpm.x&lt;&gt;"",TRIM(CLEAN(LEFT(_xlpm.x,FIND(".",_xlpm.x &amp; ".")-1))),""))))))</f>
        <v/>
      </c>
      <c r="D1073">
        <v>5.4029999999999898</v>
      </c>
      <c r="E1073">
        <v>19.512</v>
      </c>
      <c r="F1073" t="str">
        <f>_xlfn.LET(_xlpm.raw,_xlfn.XLOOKUP(A1073,'Pinlist(S1)'!$C$4:$C$1362,'Pinlist(S1)'!$E$4:$E$1362,""),_xlpm.cleanRaw,SUBSTITUTE(SUBSTITUTE(_xlpm.raw,"_PIN","."),"PIN","."),_xlpm.mainPart,MID(_xlpm.cleanRaw,2,FIND(".",_xlpm.cleanRaw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3" t="str">
        <f>_xlfn.LET(_xlpm.raw,_xlfn.XLOOKUP(A1073,'Pinlist(S3)'!$C$4:$C$1362,'Pinlist(S3)'!$E$4:$E$1362,""),_xlpm.cleanRaw,SUBSTITUTE(SUBSTITUTE(_xlpm.raw,"_PIN","."),"PIN","."),_xlpm.mainPart,MID(_xlpm.cleanRaw,2,FIND(".",_xlpm.cleanRaw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3" t="str">
        <f>_xlfn.LET(_xlpm.raw,_xlfn.XLOOKUP(A1073,'Pinlist(S5)'!$C$4:$C$1362,'Pinlist(S5)'!$E$4:$E$1362,""),_xlpm.cleanRaw,SUBSTITUTE(SUBSTITUTE(_xlpm.raw,"_PIN","."),"PIN","."),_xlpm.mainPart,MID(_xlpm.cleanRaw,2,FIND(".",_xlpm.cleanRaw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3" t="str">
        <f>""</f>
        <v/>
      </c>
      <c r="J1073" t="str">
        <f t="shared" si="16"/>
        <v>AU10;VSS;;5.40299999999999;19.512;;;;</v>
      </c>
    </row>
    <row r="1074" spans="1:10">
      <c r="A1074" t="s">
        <v>801</v>
      </c>
      <c r="B1074" t="str">
        <f>_xlfn.XLOOKUP(A1074,'Pinlist(S1)'!$Q$4:$Q$1362,'Pinlist(S1)'!$R$4:$R$1362,"")</f>
        <v>GPP_A_11_PMEB</v>
      </c>
      <c r="C1074" t="str" cm="1">
        <f t="array" ref="C1074">_xlfn.TEXTJOIN(",",TRUE,_xlfn.UNIQUE(TRANSPOSE(_xlfn.MAP(_xlfn.XLOOKUP(A1074,'Pinlist(S1)'!$C$4:$C$1362,'Pinlist(S1)'!$F$4:$K$1362,""),_xlfn.LAMBDA(_xlpm.x,IF(_xlpm.x&lt;&gt;"",TRIM(CLEAN(LEFT(_xlpm.x,FIND(".",_xlpm.x &amp; ".")-1))),""))))))</f>
        <v/>
      </c>
      <c r="D1074">
        <v>6.3179999999999898</v>
      </c>
      <c r="E1074">
        <v>19.512</v>
      </c>
      <c r="F1074" t="str">
        <f>_xlfn.LET(_xlpm.raw,_xlfn.XLOOKUP(A1074,'Pinlist(S1)'!$C$4:$C$1362,'Pinlist(S1)'!$E$4:$E$1362,""),_xlpm.cleanRaw,SUBSTITUTE(SUBSTITUTE(_xlpm.raw,"_PIN","."),"PIN","."),_xlpm.mainPart,MID(_xlpm.cleanRaw,2,FIND(".",_xlpm.cleanRaw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508068</v>
      </c>
      <c r="G1074" t="str">
        <f>_xlfn.LET(_xlpm.raw,_xlfn.XLOOKUP(A1074,'Pinlist(S3)'!$C$4:$C$1362,'Pinlist(S3)'!$E$4:$E$1362,""),_xlpm.cleanRaw,SUBSTITUTE(SUBSTITUTE(_xlpm.raw,"_PIN","."),"PIN","."),_xlpm.mainPart,MID(_xlpm.cleanRaw,2,FIND(".",_xlpm.cleanRaw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806112</v>
      </c>
      <c r="H1074" t="str">
        <f>_xlfn.LET(_xlpm.raw,_xlfn.XLOOKUP(A1074,'Pinlist(S5)'!$C$4:$C$1362,'Pinlist(S5)'!$E$4:$E$1362,""),_xlpm.cleanRaw,SUBSTITUTE(SUBSTITUTE(_xlpm.raw,"_PIN","."),"PIN","."),_xlpm.mainPart,MID(_xlpm.cleanRaw,2,FIND(".",_xlpm.cleanRaw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701124</v>
      </c>
      <c r="I1074" t="str">
        <f>""</f>
        <v/>
      </c>
      <c r="J1074" t="str">
        <f t="shared" si="16"/>
        <v>AU11;GPP_A_11_PMEB;;6.31799999999999;19.512;508068;806112;701124;</v>
      </c>
    </row>
    <row r="1075" spans="1:10">
      <c r="A1075" t="s">
        <v>771</v>
      </c>
      <c r="B1075" t="str">
        <f>_xlfn.XLOOKUP(A1075,'Pinlist(S1)'!$Q$4:$Q$1362,'Pinlist(S1)'!$R$4:$R$1362,"")</f>
        <v>GPD_0_BATLOWB</v>
      </c>
      <c r="C1075" t="str" cm="1">
        <f t="array" ref="C1075">_xlfn.TEXTJOIN(",",TRUE,_xlfn.UNIQUE(TRANSPOSE(_xlfn.MAP(_xlfn.XLOOKUP(A1075,'Pinlist(S1)'!$C$4:$C$1362,'Pinlist(S1)'!$F$4:$K$1362,""),_xlfn.LAMBDA(_xlpm.x,IF(_xlpm.x&lt;&gt;"",TRIM(CLEAN(LEFT(_xlpm.x,FIND(".",_xlpm.x &amp; ".")-1))),""))))))</f>
        <v/>
      </c>
      <c r="D1075">
        <v>7.2319999999999904</v>
      </c>
      <c r="E1075">
        <v>19.512</v>
      </c>
      <c r="F1075" t="str">
        <f>_xlfn.LET(_xlpm.raw,_xlfn.XLOOKUP(A1075,'Pinlist(S1)'!$C$4:$C$1362,'Pinlist(S1)'!$E$4:$E$1362,""),_xlpm.cleanRaw,SUBSTITUTE(SUBSTITUTE(_xlpm.raw,"_PIN","."),"PIN","."),_xlpm.mainPart,MID(_xlpm.cleanRaw,2,FIND(".",_xlpm.cleanRaw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508084</v>
      </c>
      <c r="G1075" t="str">
        <f>_xlfn.LET(_xlpm.raw,_xlfn.XLOOKUP(A1075,'Pinlist(S3)'!$C$4:$C$1362,'Pinlist(S3)'!$E$4:$E$1362,""),_xlpm.cleanRaw,SUBSTITUTE(SUBSTITUTE(_xlpm.raw,"_PIN","."),"PIN","."),_xlpm.mainPart,MID(_xlpm.cleanRaw,2,FIND(".",_xlpm.cleanRaw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805068</v>
      </c>
      <c r="H1075" t="str">
        <f>_xlfn.LET(_xlpm.raw,_xlfn.XLOOKUP(A1075,'Pinlist(S5)'!$C$4:$C$1362,'Pinlist(S5)'!$E$4:$E$1362,""),_xlpm.cleanRaw,SUBSTITUTE(SUBSTITUTE(_xlpm.raw,"_PIN","."),"PIN","."),_xlpm.mainPart,MID(_xlpm.cleanRaw,2,FIND(".",_xlpm.cleanRaw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602061</v>
      </c>
      <c r="I1075" t="str">
        <f>""</f>
        <v/>
      </c>
      <c r="J1075" t="str">
        <f t="shared" si="16"/>
        <v>AU13;GPD_0_BATLOWB;;7.23199999999999;19.512;508084;805068;602061;</v>
      </c>
    </row>
    <row r="1076" spans="1:10">
      <c r="A1076" t="s">
        <v>2028</v>
      </c>
      <c r="B1076" t="str">
        <f>_xlfn.XLOOKUP(A1076,'Pinlist(S1)'!$Q$4:$Q$1362,'Pinlist(S1)'!$R$4:$R$1362,"")</f>
        <v>VSS</v>
      </c>
      <c r="C1076" t="str" cm="1">
        <f t="array" ref="C1076">_xlfn.TEXTJOIN(",",TRUE,_xlfn.UNIQUE(TRANSPOSE(_xlfn.MAP(_xlfn.XLOOKUP(A1076,'Pinlist(S1)'!$C$4:$C$1362,'Pinlist(S1)'!$F$4:$K$1362,""),_xlfn.LAMBDA(_xlpm.x,IF(_xlpm.x&lt;&gt;"",TRIM(CLEAN(LEFT(_xlpm.x,FIND(".",_xlpm.x &amp; ".")-1))),""))))))</f>
        <v/>
      </c>
      <c r="D1076">
        <v>8.1460000000000008</v>
      </c>
      <c r="E1076">
        <v>19.512</v>
      </c>
      <c r="F1076" t="str">
        <f>_xlfn.LET(_xlpm.raw,_xlfn.XLOOKUP(A1076,'Pinlist(S1)'!$C$4:$C$1362,'Pinlist(S1)'!$E$4:$E$1362,""),_xlpm.cleanRaw,SUBSTITUTE(SUBSTITUTE(_xlpm.raw,"_PIN","."),"PIN","."),_xlpm.mainPart,MID(_xlpm.cleanRaw,2,FIND(".",_xlpm.cleanRaw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6" t="str">
        <f>_xlfn.LET(_xlpm.raw,_xlfn.XLOOKUP(A1076,'Pinlist(S3)'!$C$4:$C$1362,'Pinlist(S3)'!$E$4:$E$1362,""),_xlpm.cleanRaw,SUBSTITUTE(SUBSTITUTE(_xlpm.raw,"_PIN","."),"PIN","."),_xlpm.mainPart,MID(_xlpm.cleanRaw,2,FIND(".",_xlpm.cleanRaw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6" t="str">
        <f>_xlfn.LET(_xlpm.raw,_xlfn.XLOOKUP(A1076,'Pinlist(S5)'!$C$4:$C$1362,'Pinlist(S5)'!$E$4:$E$1362,""),_xlpm.cleanRaw,SUBSTITUTE(SUBSTITUTE(_xlpm.raw,"_PIN","."),"PIN","."),_xlpm.mainPart,MID(_xlpm.cleanRaw,2,FIND(".",_xlpm.cleanRaw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6" t="str">
        <f>""</f>
        <v/>
      </c>
      <c r="J1076" t="str">
        <f t="shared" si="16"/>
        <v>AU15;VSS;;8.146;19.512;;;;</v>
      </c>
    </row>
    <row r="1077" spans="1:10">
      <c r="A1077" t="s">
        <v>1216</v>
      </c>
      <c r="B1077" t="str">
        <f>_xlfn.XLOOKUP(A1077,'Pinlist(S1)'!$Q$4:$Q$1362,'Pinlist(S1)'!$R$4:$R$1362,"")</f>
        <v>PCH_POPIRCOMP</v>
      </c>
      <c r="C1077" t="str" cm="1">
        <f t="array" ref="C1077">_xlfn.TEXTJOIN(",",TRUE,_xlfn.UNIQUE(TRANSPOSE(_xlfn.MAP(_xlfn.XLOOKUP(A1077,'Pinlist(S1)'!$C$4:$C$1362,'Pinlist(S1)'!$F$4:$K$1362,""),_xlfn.LAMBDA(_xlpm.x,IF(_xlpm.x&lt;&gt;"",TRIM(CLEAN(LEFT(_xlpm.x,FIND(".",_xlpm.x &amp; ".")-1))),""))))))</f>
        <v>RA137</v>
      </c>
      <c r="D1077">
        <v>9.0609999999999999</v>
      </c>
      <c r="E1077">
        <v>19.512</v>
      </c>
      <c r="F1077" t="str">
        <f>_xlfn.LET(_xlpm.raw,_xlfn.XLOOKUP(A1077,'Pinlist(S1)'!$C$4:$C$1362,'Pinlist(S1)'!$E$4:$E$1362,""),_xlpm.cleanRaw,SUBSTITUTE(SUBSTITUTE(_xlpm.raw,"_PIN","."),"PIN","."),_xlpm.mainPart,MID(_xlpm.cleanRaw,2,FIND(".",_xlpm.cleanRaw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7" t="str">
        <f>_xlfn.LET(_xlpm.raw,_xlfn.XLOOKUP(A1077,'Pinlist(S3)'!$C$4:$C$1362,'Pinlist(S3)'!$E$4:$E$1362,""),_xlpm.cleanRaw,SUBSTITUTE(SUBSTITUTE(_xlpm.raw,"_PIN","."),"PIN","."),_xlpm.mainPart,MID(_xlpm.cleanRaw,2,FIND(".",_xlpm.cleanRaw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7" t="str">
        <f>_xlfn.LET(_xlpm.raw,_xlfn.XLOOKUP(A1077,'Pinlist(S5)'!$C$4:$C$1362,'Pinlist(S5)'!$E$4:$E$1362,""),_xlpm.cleanRaw,SUBSTITUTE(SUBSTITUTE(_xlpm.raw,"_PIN","."),"PIN","."),_xlpm.mainPart,MID(_xlpm.cleanRaw,2,FIND(".",_xlpm.cleanRaw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7" t="str">
        <f>""</f>
        <v/>
      </c>
      <c r="J1077" t="str">
        <f t="shared" si="16"/>
        <v>AU16;PCH_POPIRCOMP;RA137;9.061;19.512;;;;</v>
      </c>
    </row>
    <row r="1078" spans="1:10">
      <c r="A1078" t="s">
        <v>228</v>
      </c>
      <c r="B1078" t="str">
        <f>_xlfn.XLOOKUP(A1078,'Pinlist(S1)'!$Q$4:$Q$1362,'Pinlist(S1)'!$R$4:$R$1362,"")</f>
        <v>DDR_COMP[2]</v>
      </c>
      <c r="C1078" t="str" cm="1">
        <f t="array" ref="C1078">_xlfn.TEXTJOIN(",",TRUE,_xlfn.UNIQUE(TRANSPOSE(_xlfn.MAP(_xlfn.XLOOKUP(A1078,'Pinlist(S1)'!$C$4:$C$1362,'Pinlist(S1)'!$F$4:$K$1362,""),_xlfn.LAMBDA(_xlpm.x,IF(_xlpm.x&lt;&gt;"",TRIM(CLEAN(LEFT(_xlpm.x,FIND(".",_xlpm.x &amp; ".")-1))),""))))))</f>
        <v>RA109,RA108</v>
      </c>
      <c r="D1078">
        <v>9.9749999999999996</v>
      </c>
      <c r="E1078">
        <v>19.512</v>
      </c>
      <c r="F1078" t="str">
        <f>_xlfn.LET(_xlpm.raw,_xlfn.XLOOKUP(A1078,'Pinlist(S1)'!$C$4:$C$1362,'Pinlist(S1)'!$E$4:$E$1362,""),_xlpm.cleanRaw,SUBSTITUTE(SUBSTITUTE(_xlpm.raw,"_PIN","."),"PIN","."),_xlpm.mainPart,MID(_xlpm.cleanRaw,2,FIND(".",_xlpm.cleanRaw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604036</v>
      </c>
      <c r="G1078" t="str">
        <f>_xlfn.LET(_xlpm.raw,_xlfn.XLOOKUP(A1078,'Pinlist(S3)'!$C$4:$C$1362,'Pinlist(S3)'!$E$4:$E$1362,""),_xlpm.cleanRaw,SUBSTITUTE(SUBSTITUTE(_xlpm.raw,"_PIN","."),"PIN","."),_xlpm.mainPart,MID(_xlpm.cleanRaw,2,FIND(".",_xlpm.cleanRaw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503003</v>
      </c>
      <c r="H1078" t="str">
        <f>_xlfn.LET(_xlpm.raw,_xlfn.XLOOKUP(A1078,'Pinlist(S5)'!$C$4:$C$1362,'Pinlist(S5)'!$E$4:$E$1362,""),_xlpm.cleanRaw,SUBSTITUTE(SUBSTITUTE(_xlpm.raw,"_PIN","."),"PIN","."),_xlpm.mainPart,MID(_xlpm.cleanRaw,2,FIND(".",_xlpm.cleanRaw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708060</v>
      </c>
      <c r="I1078" t="str">
        <f>""</f>
        <v/>
      </c>
      <c r="J1078" t="str">
        <f t="shared" si="16"/>
        <v>AU18;DDR_COMP[2];RA109,RA108;9.975;19.512;604036;503003;708060;</v>
      </c>
    </row>
    <row r="1079" spans="1:10">
      <c r="A1079" t="s">
        <v>2029</v>
      </c>
      <c r="B1079" t="str">
        <f>_xlfn.XLOOKUP(A1079,'Pinlist(S1)'!$Q$4:$Q$1362,'Pinlist(S1)'!$R$4:$R$1362,"")</f>
        <v>VSS</v>
      </c>
      <c r="C1079" t="str" cm="1">
        <f t="array" ref="C1079">_xlfn.TEXTJOIN(",",TRUE,_xlfn.UNIQUE(TRANSPOSE(_xlfn.MAP(_xlfn.XLOOKUP(A1079,'Pinlist(S1)'!$C$4:$C$1362,'Pinlist(S1)'!$F$4:$K$1362,""),_xlfn.LAMBDA(_xlpm.x,IF(_xlpm.x&lt;&gt;"",TRIM(CLEAN(LEFT(_xlpm.x,FIND(".",_xlpm.x &amp; ".")-1))),""))))))</f>
        <v/>
      </c>
      <c r="D1079">
        <v>10.89</v>
      </c>
      <c r="E1079">
        <v>19.512</v>
      </c>
      <c r="F1079" t="str">
        <f>_xlfn.LET(_xlpm.raw,_xlfn.XLOOKUP(A1079,'Pinlist(S1)'!$C$4:$C$1362,'Pinlist(S1)'!$E$4:$E$1362,""),_xlpm.cleanRaw,SUBSTITUTE(SUBSTITUTE(_xlpm.raw,"_PIN","."),"PIN","."),_xlpm.mainPart,MID(_xlpm.cleanRaw,2,FIND(".",_xlpm.cleanRaw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9" t="str">
        <f>_xlfn.LET(_xlpm.raw,_xlfn.XLOOKUP(A1079,'Pinlist(S3)'!$C$4:$C$1362,'Pinlist(S3)'!$E$4:$E$1362,""),_xlpm.cleanRaw,SUBSTITUTE(SUBSTITUTE(_xlpm.raw,"_PIN","."),"PIN","."),_xlpm.mainPart,MID(_xlpm.cleanRaw,2,FIND(".",_xlpm.cleanRaw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9" t="str">
        <f>_xlfn.LET(_xlpm.raw,_xlfn.XLOOKUP(A1079,'Pinlist(S5)'!$C$4:$C$1362,'Pinlist(S5)'!$E$4:$E$1362,""),_xlpm.cleanRaw,SUBSTITUTE(SUBSTITUTE(_xlpm.raw,"_PIN","."),"PIN","."),_xlpm.mainPart,MID(_xlpm.cleanRaw,2,FIND(".",_xlpm.cleanRaw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9" t="str">
        <f>""</f>
        <v/>
      </c>
      <c r="J1079" t="str">
        <f t="shared" si="16"/>
        <v>AU20;VSS;;10.89;19.512;;;;</v>
      </c>
    </row>
    <row r="1080" spans="1:10">
      <c r="A1080" t="s">
        <v>632</v>
      </c>
      <c r="B1080" t="str">
        <f>_xlfn.XLOOKUP(A1080,'Pinlist(S1)'!$Q$4:$Q$1362,'Pinlist(S1)'!$R$4:$R$1362,"")</f>
        <v>DDRDQ_IL17_NIL17[2]</v>
      </c>
      <c r="C1080" t="str" cm="1">
        <f t="array" ref="C1080">_xlfn.TEXTJOIN(",",TRUE,_xlfn.UNIQUE(TRANSPOSE(_xlfn.MAP(_xlfn.XLOOKUP(A1080,'Pinlist(S1)'!$C$4:$C$1362,'Pinlist(S1)'!$F$4:$K$1362,""),_xlfn.LAMBDA(_xlpm.x,IF(_xlpm.x&lt;&gt;"",TRIM(CLEAN(LEFT(_xlpm.x,FIND(".",_xlpm.x &amp; ".")-1))),""))))))</f>
        <v/>
      </c>
      <c r="D1080">
        <v>11.804</v>
      </c>
      <c r="E1080">
        <v>19.512</v>
      </c>
      <c r="F1080" t="str">
        <f>_xlfn.LET(_xlpm.raw,_xlfn.XLOOKUP(A1080,'Pinlist(S1)'!$C$4:$C$1362,'Pinlist(S1)'!$E$4:$E$1362,""),_xlpm.cleanRaw,SUBSTITUTE(SUBSTITUTE(_xlpm.raw,"_PIN","."),"PIN","."),_xlpm.mainPart,MID(_xlpm.cleanRaw,2,FIND(".",_xlpm.cleanRaw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609092</v>
      </c>
      <c r="G1080" t="str">
        <f>_xlfn.LET(_xlpm.raw,_xlfn.XLOOKUP(A1080,'Pinlist(S3)'!$C$4:$C$1362,'Pinlist(S3)'!$E$4:$E$1362,""),_xlpm.cleanRaw,SUBSTITUTE(SUBSTITUTE(_xlpm.raw,"_PIN","."),"PIN","."),_xlpm.mainPart,MID(_xlpm.cleanRaw,2,FIND(".",_xlpm.cleanRaw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803094</v>
      </c>
      <c r="H1080" t="str">
        <f>_xlfn.LET(_xlpm.raw,_xlfn.XLOOKUP(A1080,'Pinlist(S5)'!$C$4:$C$1362,'Pinlist(S5)'!$E$4:$E$1362,""),_xlpm.cleanRaw,SUBSTITUTE(SUBSTITUTE(_xlpm.raw,"_PIN","."),"PIN","."),_xlpm.mainPart,MID(_xlpm.cleanRaw,2,FIND(".",_xlpm.cleanRaw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704094</v>
      </c>
      <c r="I1080" t="str">
        <f>""</f>
        <v/>
      </c>
      <c r="J1080" t="str">
        <f t="shared" si="16"/>
        <v>AU21;DDRDQ_IL17_NIL17[2];;11.804;19.512;609092;803094;704094;</v>
      </c>
    </row>
    <row r="1081" spans="1:10">
      <c r="A1081" t="s">
        <v>630</v>
      </c>
      <c r="B1081" t="str">
        <f>_xlfn.XLOOKUP(A1081,'Pinlist(S1)'!$Q$4:$Q$1362,'Pinlist(S1)'!$R$4:$R$1362,"")</f>
        <v>DDRDQ_IL17_NIL17[1]</v>
      </c>
      <c r="C1081" t="str" cm="1">
        <f t="array" ref="C1081">_xlfn.TEXTJOIN(",",TRUE,_xlfn.UNIQUE(TRANSPOSE(_xlfn.MAP(_xlfn.XLOOKUP(A1081,'Pinlist(S1)'!$C$4:$C$1362,'Pinlist(S1)'!$F$4:$K$1362,""),_xlfn.LAMBDA(_xlpm.x,IF(_xlpm.x&lt;&gt;"",TRIM(CLEAN(LEFT(_xlpm.x,FIND(".",_xlpm.x &amp; ".")-1))),""))))))</f>
        <v/>
      </c>
      <c r="D1081">
        <v>12.718</v>
      </c>
      <c r="E1081">
        <v>19.512</v>
      </c>
      <c r="F1081" t="str">
        <f>_xlfn.LET(_xlpm.raw,_xlfn.XLOOKUP(A1081,'Pinlist(S1)'!$C$4:$C$1362,'Pinlist(S1)'!$E$4:$E$1362,""),_xlpm.cleanRaw,SUBSTITUTE(SUBSTITUTE(_xlpm.raw,"_PIN","."),"PIN","."),_xlpm.mainPart,MID(_xlpm.cleanRaw,2,FIND(".",_xlpm.cleanRaw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609094</v>
      </c>
      <c r="G1081" t="str">
        <f>_xlfn.LET(_xlpm.raw,_xlfn.XLOOKUP(A1081,'Pinlist(S3)'!$C$4:$C$1362,'Pinlist(S3)'!$E$4:$E$1362,""),_xlpm.cleanRaw,SUBSTITUTE(SUBSTITUTE(_xlpm.raw,"_PIN","."),"PIN","."),_xlpm.mainPart,MID(_xlpm.cleanRaw,2,FIND(".",_xlpm.cleanRaw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803098</v>
      </c>
      <c r="H1081" t="str">
        <f>_xlfn.LET(_xlpm.raw,_xlfn.XLOOKUP(A1081,'Pinlist(S5)'!$C$4:$C$1362,'Pinlist(S5)'!$E$4:$E$1362,""),_xlpm.cleanRaw,SUBSTITUTE(SUBSTITUTE(_xlpm.raw,"_PIN","."),"PIN","."),_xlpm.mainPart,MID(_xlpm.cleanRaw,2,FIND(".",_xlpm.cleanRaw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704098</v>
      </c>
      <c r="I1081" t="str">
        <f>""</f>
        <v/>
      </c>
      <c r="J1081" t="str">
        <f t="shared" si="16"/>
        <v>AU22;DDRDQ_IL17_NIL17[1];;12.718;19.512;609094;803098;704098;</v>
      </c>
    </row>
    <row r="1082" spans="1:10">
      <c r="A1082" t="s">
        <v>1601</v>
      </c>
      <c r="B1082" t="str">
        <f>_xlfn.XLOOKUP(A1082,'Pinlist(S1)'!$Q$4:$Q$1362,'Pinlist(S1)'!$R$4:$R$1362,"")</f>
        <v>VCCDU</v>
      </c>
      <c r="C1082" t="str" cm="1">
        <f t="array" ref="C1082">_xlfn.TEXTJOIN(",",TRUE,_xlfn.UNIQUE(TRANSPOSE(_xlfn.MAP(_xlfn.XLOOKUP(A1082,'Pinlist(S1)'!$C$4:$C$1362,'Pinlist(S1)'!$F$4:$K$1362,""),_xlfn.LAMBDA(_xlpm.x,IF(_xlpm.x&lt;&gt;"",TRIM(CLEAN(LEFT(_xlpm.x,FIND(".",_xlpm.x &amp; ".")-1))),""))))))</f>
        <v/>
      </c>
      <c r="D1082">
        <v>13.632999999999999</v>
      </c>
      <c r="E1082">
        <v>19.512</v>
      </c>
      <c r="F1082" t="str">
        <f>_xlfn.LET(_xlpm.raw,_xlfn.XLOOKUP(A1082,'Pinlist(S1)'!$C$4:$C$1362,'Pinlist(S1)'!$E$4:$E$1362,""),_xlpm.cleanRaw,SUBSTITUTE(SUBSTITUTE(_xlpm.raw,"_PIN","."),"PIN","."),_xlpm.mainPart,MID(_xlpm.cleanRaw,2,FIND(".",_xlpm.cleanRaw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2" t="str">
        <f>_xlfn.LET(_xlpm.raw,_xlfn.XLOOKUP(A1082,'Pinlist(S3)'!$C$4:$C$1362,'Pinlist(S3)'!$E$4:$E$1362,""),_xlpm.cleanRaw,SUBSTITUTE(SUBSTITUTE(_xlpm.raw,"_PIN","."),"PIN","."),_xlpm.mainPart,MID(_xlpm.cleanRaw,2,FIND(".",_xlpm.cleanRaw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2" t="str">
        <f>_xlfn.LET(_xlpm.raw,_xlfn.XLOOKUP(A1082,'Pinlist(S5)'!$C$4:$C$1362,'Pinlist(S5)'!$E$4:$E$1362,""),_xlpm.cleanRaw,SUBSTITUTE(SUBSTITUTE(_xlpm.raw,"_PIN","."),"PIN","."),_xlpm.mainPart,MID(_xlpm.cleanRaw,2,FIND(".",_xlpm.cleanRaw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2" t="str">
        <f>""</f>
        <v/>
      </c>
      <c r="J1082" t="str">
        <f t="shared" si="16"/>
        <v>AU23;VCCDU;;13.633;19.512;;;;</v>
      </c>
    </row>
    <row r="1083" spans="1:10">
      <c r="A1083" t="s">
        <v>618</v>
      </c>
      <c r="B1083" t="str">
        <f>_xlfn.XLOOKUP(A1083,'Pinlist(S1)'!$Q$4:$Q$1362,'Pinlist(S1)'!$R$4:$R$1362,"")</f>
        <v>DDRDQ_IL16_NIL16[3]</v>
      </c>
      <c r="C1083" t="str" cm="1">
        <f t="array" ref="C1083">_xlfn.TEXTJOIN(",",TRUE,_xlfn.UNIQUE(TRANSPOSE(_xlfn.MAP(_xlfn.XLOOKUP(A1083,'Pinlist(S1)'!$C$4:$C$1362,'Pinlist(S1)'!$F$4:$K$1362,""),_xlfn.LAMBDA(_xlpm.x,IF(_xlpm.x&lt;&gt;"",TRIM(CLEAN(LEFT(_xlpm.x,FIND(".",_xlpm.x &amp; ".")-1))),""))))))</f>
        <v/>
      </c>
      <c r="D1083">
        <v>14.547000000000001</v>
      </c>
      <c r="E1083">
        <v>19.512</v>
      </c>
      <c r="F1083" t="str">
        <f>_xlfn.LET(_xlpm.raw,_xlfn.XLOOKUP(A1083,'Pinlist(S1)'!$C$4:$C$1362,'Pinlist(S1)'!$E$4:$E$1362,""),_xlpm.cleanRaw,SUBSTITUTE(SUBSTITUTE(_xlpm.raw,"_PIN","."),"PIN","."),_xlpm.mainPart,MID(_xlpm.cleanRaw,2,FIND(".",_xlpm.cleanRaw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609099</v>
      </c>
      <c r="G1083" t="str">
        <f>_xlfn.LET(_xlpm.raw,_xlfn.XLOOKUP(A1083,'Pinlist(S3)'!$C$4:$C$1362,'Pinlist(S3)'!$E$4:$E$1362,""),_xlpm.cleanRaw,SUBSTITUTE(SUBSTITUTE(_xlpm.raw,"_PIN","."),"PIN","."),_xlpm.mainPart,MID(_xlpm.cleanRaw,2,FIND(".",_xlpm.cleanRaw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803099</v>
      </c>
      <c r="H1083" t="str">
        <f>_xlfn.LET(_xlpm.raw,_xlfn.XLOOKUP(A1083,'Pinlist(S5)'!$C$4:$C$1362,'Pinlist(S5)'!$E$4:$E$1362,""),_xlpm.cleanRaw,SUBSTITUTE(SUBSTITUTE(_xlpm.raw,"_PIN","."),"PIN","."),_xlpm.mainPart,MID(_xlpm.cleanRaw,2,FIND(".",_xlpm.cleanRaw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704099</v>
      </c>
      <c r="I1083" t="str">
        <f>""</f>
        <v/>
      </c>
      <c r="J1083" t="str">
        <f t="shared" si="16"/>
        <v>AU25;DDRDQ_IL16_NIL16[3];;14.547;19.512;609099;803099;704099;</v>
      </c>
    </row>
    <row r="1084" spans="1:10">
      <c r="A1084" t="s">
        <v>612</v>
      </c>
      <c r="B1084" t="str">
        <f>_xlfn.XLOOKUP(A1084,'Pinlist(S1)'!$Q$4:$Q$1362,'Pinlist(S1)'!$R$4:$R$1362,"")</f>
        <v>DDRDQ_IL16_NIL16[0]</v>
      </c>
      <c r="C1084" t="str" cm="1">
        <f t="array" ref="C1084">_xlfn.TEXTJOIN(",",TRUE,_xlfn.UNIQUE(TRANSPOSE(_xlfn.MAP(_xlfn.XLOOKUP(A1084,'Pinlist(S1)'!$C$4:$C$1362,'Pinlist(S1)'!$F$4:$K$1362,""),_xlfn.LAMBDA(_xlpm.x,IF(_xlpm.x&lt;&gt;"",TRIM(CLEAN(LEFT(_xlpm.x,FIND(".",_xlpm.x &amp; ".")-1))),""))))))</f>
        <v/>
      </c>
      <c r="D1084">
        <v>15.462</v>
      </c>
      <c r="E1084">
        <v>19.512</v>
      </c>
      <c r="F1084" t="str">
        <f>_xlfn.LET(_xlpm.raw,_xlfn.XLOOKUP(A1084,'Pinlist(S1)'!$C$4:$C$1362,'Pinlist(S1)'!$E$4:$E$1362,""),_xlpm.cleanRaw,SUBSTITUTE(SUBSTITUTE(_xlpm.raw,"_PIN","."),"PIN","."),_xlpm.mainPart,MID(_xlpm.cleanRaw,2,FIND(".",_xlpm.cleanRaw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609119</v>
      </c>
      <c r="G1084" t="str">
        <f>_xlfn.LET(_xlpm.raw,_xlfn.XLOOKUP(A1084,'Pinlist(S3)'!$C$4:$C$1362,'Pinlist(S3)'!$E$4:$E$1362,""),_xlpm.cleanRaw,SUBSTITUTE(SUBSTITUTE(_xlpm.raw,"_PIN","."),"PIN","."),_xlpm.mainPart,MID(_xlpm.cleanRaw,2,FIND(".",_xlpm.cleanRaw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803119</v>
      </c>
      <c r="H1084" t="str">
        <f>_xlfn.LET(_xlpm.raw,_xlfn.XLOOKUP(A1084,'Pinlist(S5)'!$C$4:$C$1362,'Pinlist(S5)'!$E$4:$E$1362,""),_xlpm.cleanRaw,SUBSTITUTE(SUBSTITUTE(_xlpm.raw,"_PIN","."),"PIN","."),_xlpm.mainPart,MID(_xlpm.cleanRaw,2,FIND(".",_xlpm.cleanRaw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704119</v>
      </c>
      <c r="I1084" t="str">
        <f>""</f>
        <v/>
      </c>
      <c r="J1084" t="str">
        <f t="shared" si="16"/>
        <v>AU27;DDRDQ_IL16_NIL16[0];;15.462;19.512;609119;803119;704119;</v>
      </c>
    </row>
    <row r="1085" spans="1:10">
      <c r="A1085" t="s">
        <v>1604</v>
      </c>
      <c r="B1085" t="str">
        <f>_xlfn.XLOOKUP(A1085,'Pinlist(S1)'!$Q$4:$Q$1362,'Pinlist(S1)'!$R$4:$R$1362,"")</f>
        <v>VCCDU</v>
      </c>
      <c r="C1085" t="str" cm="1">
        <f t="array" ref="C1085">_xlfn.TEXTJOIN(",",TRUE,_xlfn.UNIQUE(TRANSPOSE(_xlfn.MAP(_xlfn.XLOOKUP(A1085,'Pinlist(S1)'!$C$4:$C$1362,'Pinlist(S1)'!$F$4:$K$1362,""),_xlfn.LAMBDA(_xlpm.x,IF(_xlpm.x&lt;&gt;"",TRIM(CLEAN(LEFT(_xlpm.x,FIND(".",_xlpm.x &amp; ".")-1))),""))))))</f>
        <v/>
      </c>
      <c r="D1085">
        <v>16.376000000000001</v>
      </c>
      <c r="E1085">
        <v>19.512</v>
      </c>
      <c r="F1085" t="str">
        <f>_xlfn.LET(_xlpm.raw,_xlfn.XLOOKUP(A1085,'Pinlist(S1)'!$C$4:$C$1362,'Pinlist(S1)'!$E$4:$E$1362,""),_xlpm.cleanRaw,SUBSTITUTE(SUBSTITUTE(_xlpm.raw,"_PIN","."),"PIN","."),_xlpm.mainPart,MID(_xlpm.cleanRaw,2,FIND(".",_xlpm.cleanRaw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5" t="str">
        <f>_xlfn.LET(_xlpm.raw,_xlfn.XLOOKUP(A1085,'Pinlist(S3)'!$C$4:$C$1362,'Pinlist(S3)'!$E$4:$E$1362,""),_xlpm.cleanRaw,SUBSTITUTE(SUBSTITUTE(_xlpm.raw,"_PIN","."),"PIN","."),_xlpm.mainPart,MID(_xlpm.cleanRaw,2,FIND(".",_xlpm.cleanRaw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5" t="str">
        <f>_xlfn.LET(_xlpm.raw,_xlfn.XLOOKUP(A1085,'Pinlist(S5)'!$C$4:$C$1362,'Pinlist(S5)'!$E$4:$E$1362,""),_xlpm.cleanRaw,SUBSTITUTE(SUBSTITUTE(_xlpm.raw,"_PIN","."),"PIN","."),_xlpm.mainPart,MID(_xlpm.cleanRaw,2,FIND(".",_xlpm.cleanRaw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5" t="str">
        <f>""</f>
        <v/>
      </c>
      <c r="J1085" t="str">
        <f t="shared" si="16"/>
        <v>AU28;VCCDU;;16.376;19.512;;;;</v>
      </c>
    </row>
    <row r="1086" spans="1:10">
      <c r="A1086" t="s">
        <v>600</v>
      </c>
      <c r="B1086" t="str">
        <f>_xlfn.XLOOKUP(A1086,'Pinlist(S1)'!$Q$4:$Q$1362,'Pinlist(S1)'!$R$4:$R$1362,"")</f>
        <v>DDRDQ_IL15_NIL13[2]</v>
      </c>
      <c r="C1086" t="str" cm="1">
        <f t="array" ref="C1086">_xlfn.TEXTJOIN(",",TRUE,_xlfn.UNIQUE(TRANSPOSE(_xlfn.MAP(_xlfn.XLOOKUP(A1086,'Pinlist(S1)'!$C$4:$C$1362,'Pinlist(S1)'!$F$4:$K$1362,""),_xlfn.LAMBDA(_xlpm.x,IF(_xlpm.x&lt;&gt;"",TRIM(CLEAN(LEFT(_xlpm.x,FIND(".",_xlpm.x &amp; ".")-1))),""))))))</f>
        <v/>
      </c>
      <c r="D1086">
        <v>17.29</v>
      </c>
      <c r="E1086">
        <v>19.512</v>
      </c>
      <c r="F1086" t="str">
        <f>_xlfn.LET(_xlpm.raw,_xlfn.XLOOKUP(A1086,'Pinlist(S1)'!$C$4:$C$1362,'Pinlist(S1)'!$E$4:$E$1362,""),_xlpm.cleanRaw,SUBSTITUTE(SUBSTITUTE(_xlpm.raw,"_PIN","."),"PIN","."),_xlpm.mainPart,MID(_xlpm.cleanRaw,2,FIND(".",_xlpm.cleanRaw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609124</v>
      </c>
      <c r="G1086" t="str">
        <f>_xlfn.LET(_xlpm.raw,_xlfn.XLOOKUP(A1086,'Pinlist(S3)'!$C$4:$C$1362,'Pinlist(S3)'!$E$4:$E$1362,""),_xlpm.cleanRaw,SUBSTITUTE(SUBSTITUTE(_xlpm.raw,"_PIN","."),"PIN","."),_xlpm.mainPart,MID(_xlpm.cleanRaw,2,FIND(".",_xlpm.cleanRaw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803124</v>
      </c>
      <c r="H1086" t="str">
        <f>_xlfn.LET(_xlpm.raw,_xlfn.XLOOKUP(A1086,'Pinlist(S5)'!$C$4:$C$1362,'Pinlist(S5)'!$E$4:$E$1362,""),_xlpm.cleanRaw,SUBSTITUTE(SUBSTITUTE(_xlpm.raw,"_PIN","."),"PIN","."),_xlpm.mainPart,MID(_xlpm.cleanRaw,2,FIND(".",_xlpm.cleanRaw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704124</v>
      </c>
      <c r="I1086" t="str">
        <f>""</f>
        <v/>
      </c>
      <c r="J1086" t="str">
        <f t="shared" si="16"/>
        <v>AU30;DDRDQ_IL15_NIL13[2];;17.29;19.512;609124;803124;704124;</v>
      </c>
    </row>
    <row r="1087" spans="1:10">
      <c r="A1087" t="s">
        <v>2030</v>
      </c>
      <c r="B1087" t="str">
        <f>_xlfn.XLOOKUP(A1087,'Pinlist(S1)'!$Q$4:$Q$1362,'Pinlist(S1)'!$R$4:$R$1362,"")</f>
        <v>VSS</v>
      </c>
      <c r="C1087" t="str" cm="1">
        <f t="array" ref="C1087">_xlfn.TEXTJOIN(",",TRUE,_xlfn.UNIQUE(TRANSPOSE(_xlfn.MAP(_xlfn.XLOOKUP(A1087,'Pinlist(S1)'!$C$4:$C$1362,'Pinlist(S1)'!$F$4:$K$1362,""),_xlfn.LAMBDA(_xlpm.x,IF(_xlpm.x&lt;&gt;"",TRIM(CLEAN(LEFT(_xlpm.x,FIND(".",_xlpm.x &amp; ".")-1))),""))))))</f>
        <v/>
      </c>
      <c r="D1087">
        <v>18.204999999999998</v>
      </c>
      <c r="E1087">
        <v>19.512</v>
      </c>
      <c r="F1087" t="str">
        <f>_xlfn.LET(_xlpm.raw,_xlfn.XLOOKUP(A1087,'Pinlist(S1)'!$C$4:$C$1362,'Pinlist(S1)'!$E$4:$E$1362,""),_xlpm.cleanRaw,SUBSTITUTE(SUBSTITUTE(_xlpm.raw,"_PIN","."),"PIN","."),_xlpm.mainPart,MID(_xlpm.cleanRaw,2,FIND(".",_xlpm.cleanRaw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7" t="str">
        <f>_xlfn.LET(_xlpm.raw,_xlfn.XLOOKUP(A1087,'Pinlist(S3)'!$C$4:$C$1362,'Pinlist(S3)'!$E$4:$E$1362,""),_xlpm.cleanRaw,SUBSTITUTE(SUBSTITUTE(_xlpm.raw,"_PIN","."),"PIN","."),_xlpm.mainPart,MID(_xlpm.cleanRaw,2,FIND(".",_xlpm.cleanRaw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7" t="str">
        <f>_xlfn.LET(_xlpm.raw,_xlfn.XLOOKUP(A1087,'Pinlist(S5)'!$C$4:$C$1362,'Pinlist(S5)'!$E$4:$E$1362,""),_xlpm.cleanRaw,SUBSTITUTE(SUBSTITUTE(_xlpm.raw,"_PIN","."),"PIN","."),_xlpm.mainPart,MID(_xlpm.cleanRaw,2,FIND(".",_xlpm.cleanRaw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7" t="str">
        <f>""</f>
        <v/>
      </c>
      <c r="J1087" t="str">
        <f t="shared" si="16"/>
        <v>AU32;VSS;;18.205;19.512;;;;</v>
      </c>
    </row>
    <row r="1088" spans="1:10">
      <c r="A1088" t="s">
        <v>598</v>
      </c>
      <c r="B1088" t="str">
        <f>_xlfn.XLOOKUP(A1088,'Pinlist(S1)'!$Q$4:$Q$1362,'Pinlist(S1)'!$R$4:$R$1362,"")</f>
        <v>DDRDQ_IL15_NIL13[1]</v>
      </c>
      <c r="C1088" t="str" cm="1">
        <f t="array" ref="C1088">_xlfn.TEXTJOIN(",",TRUE,_xlfn.UNIQUE(TRANSPOSE(_xlfn.MAP(_xlfn.XLOOKUP(A1088,'Pinlist(S1)'!$C$4:$C$1362,'Pinlist(S1)'!$F$4:$K$1362,""),_xlfn.LAMBDA(_xlpm.x,IF(_xlpm.x&lt;&gt;"",TRIM(CLEAN(LEFT(_xlpm.x,FIND(".",_xlpm.x &amp; ".")-1))),""))))))</f>
        <v/>
      </c>
      <c r="D1088">
        <v>19.119</v>
      </c>
      <c r="E1088">
        <v>19.512</v>
      </c>
      <c r="F1088" t="str">
        <f>_xlfn.LET(_xlpm.raw,_xlfn.XLOOKUP(A1088,'Pinlist(S1)'!$C$4:$C$1362,'Pinlist(S1)'!$E$4:$E$1362,""),_xlpm.cleanRaw,SUBSTITUTE(SUBSTITUTE(_xlpm.raw,"_PIN","."),"PIN","."),_xlpm.mainPart,MID(_xlpm.cleanRaw,2,FIND(".",_xlpm.cleanRaw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608058</v>
      </c>
      <c r="G1088" t="str">
        <f>_xlfn.LET(_xlpm.raw,_xlfn.XLOOKUP(A1088,'Pinlist(S3)'!$C$4:$C$1362,'Pinlist(S3)'!$E$4:$E$1362,""),_xlpm.cleanRaw,SUBSTITUTE(SUBSTITUTE(_xlpm.raw,"_PIN","."),"PIN","."),_xlpm.mainPart,MID(_xlpm.cleanRaw,2,FIND(".",_xlpm.cleanRaw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802058</v>
      </c>
      <c r="H1088" t="str">
        <f>_xlfn.LET(_xlpm.raw,_xlfn.XLOOKUP(A1088,'Pinlist(S5)'!$C$4:$C$1362,'Pinlist(S5)'!$E$4:$E$1362,""),_xlpm.cleanRaw,SUBSTITUTE(SUBSTITUTE(_xlpm.raw,"_PIN","."),"PIN","."),_xlpm.mainPart,MID(_xlpm.cleanRaw,2,FIND(".",_xlpm.cleanRaw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705058</v>
      </c>
      <c r="I1088" t="str">
        <f>""</f>
        <v/>
      </c>
      <c r="J1088" t="str">
        <f t="shared" si="16"/>
        <v>AU33;DDRDQ_IL15_NIL13[1];;19.119;19.512;608058;802058;705058;</v>
      </c>
    </row>
    <row r="1089" spans="1:10">
      <c r="A1089" t="s">
        <v>1605</v>
      </c>
      <c r="B1089" t="str">
        <f>_xlfn.XLOOKUP(A1089,'Pinlist(S1)'!$Q$4:$Q$1362,'Pinlist(S1)'!$R$4:$R$1362,"")</f>
        <v>VCCDU</v>
      </c>
      <c r="C1089" t="str" cm="1">
        <f t="array" ref="C1089">_xlfn.TEXTJOIN(",",TRUE,_xlfn.UNIQUE(TRANSPOSE(_xlfn.MAP(_xlfn.XLOOKUP(A1089,'Pinlist(S1)'!$C$4:$C$1362,'Pinlist(S1)'!$F$4:$K$1362,""),_xlfn.LAMBDA(_xlpm.x,IF(_xlpm.x&lt;&gt;"",TRIM(CLEAN(LEFT(_xlpm.x,FIND(".",_xlpm.x &amp; ".")-1))),""))))))</f>
        <v/>
      </c>
      <c r="D1089">
        <v>20.033999999999999</v>
      </c>
      <c r="E1089">
        <v>19.512</v>
      </c>
      <c r="F1089" t="str">
        <f>_xlfn.LET(_xlpm.raw,_xlfn.XLOOKUP(A1089,'Pinlist(S1)'!$C$4:$C$1362,'Pinlist(S1)'!$E$4:$E$1362,""),_xlpm.cleanRaw,SUBSTITUTE(SUBSTITUTE(_xlpm.raw,"_PIN","."),"PIN","."),_xlpm.mainPart,MID(_xlpm.cleanRaw,2,FIND(".",_xlpm.cleanRaw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9" t="str">
        <f>_xlfn.LET(_xlpm.raw,_xlfn.XLOOKUP(A1089,'Pinlist(S3)'!$C$4:$C$1362,'Pinlist(S3)'!$E$4:$E$1362,""),_xlpm.cleanRaw,SUBSTITUTE(SUBSTITUTE(_xlpm.raw,"_PIN","."),"PIN","."),_xlpm.mainPart,MID(_xlpm.cleanRaw,2,FIND(".",_xlpm.cleanRaw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9" t="str">
        <f>_xlfn.LET(_xlpm.raw,_xlfn.XLOOKUP(A1089,'Pinlist(S5)'!$C$4:$C$1362,'Pinlist(S5)'!$E$4:$E$1362,""),_xlpm.cleanRaw,SUBSTITUTE(SUBSTITUTE(_xlpm.raw,"_PIN","."),"PIN","."),_xlpm.mainPart,MID(_xlpm.cleanRaw,2,FIND(".",_xlpm.cleanRaw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9" t="str">
        <f>""</f>
        <v/>
      </c>
      <c r="J1089" t="str">
        <f t="shared" si="16"/>
        <v>AU35;VCCDU;;20.034;19.512;;;;</v>
      </c>
    </row>
    <row r="1090" spans="1:10">
      <c r="A1090" t="s">
        <v>586</v>
      </c>
      <c r="B1090" t="str">
        <f>_xlfn.XLOOKUP(A1090,'Pinlist(S1)'!$Q$4:$Q$1362,'Pinlist(S1)'!$R$4:$R$1362,"")</f>
        <v>DDRDQ_IL14_NIL12[3]</v>
      </c>
      <c r="C1090" t="str" cm="1">
        <f t="array" ref="C1090">_xlfn.TEXTJOIN(",",TRUE,_xlfn.UNIQUE(TRANSPOSE(_xlfn.MAP(_xlfn.XLOOKUP(A1090,'Pinlist(S1)'!$C$4:$C$1362,'Pinlist(S1)'!$F$4:$K$1362,""),_xlfn.LAMBDA(_xlpm.x,IF(_xlpm.x&lt;&gt;"",TRIM(CLEAN(LEFT(_xlpm.x,FIND(".",_xlpm.x &amp; ".")-1))),""))))))</f>
        <v/>
      </c>
      <c r="D1090">
        <v>20.948</v>
      </c>
      <c r="E1090">
        <v>19.512</v>
      </c>
      <c r="F1090" t="str">
        <f>_xlfn.LET(_xlpm.raw,_xlfn.XLOOKUP(A1090,'Pinlist(S1)'!$C$4:$C$1362,'Pinlist(S1)'!$E$4:$E$1362,""),_xlpm.cleanRaw,SUBSTITUTE(SUBSTITUTE(_xlpm.raw,"_PIN","."),"PIN","."),_xlpm.mainPart,MID(_xlpm.cleanRaw,2,FIND(".",_xlpm.cleanRaw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607008</v>
      </c>
      <c r="G1090" t="str">
        <f>_xlfn.LET(_xlpm.raw,_xlfn.XLOOKUP(A1090,'Pinlist(S3)'!$C$4:$C$1362,'Pinlist(S3)'!$E$4:$E$1362,""),_xlpm.cleanRaw,SUBSTITUTE(SUBSTITUTE(_xlpm.raw,"_PIN","."),"PIN","."),_xlpm.mainPart,MID(_xlpm.cleanRaw,2,FIND(".",_xlpm.cleanRaw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802056</v>
      </c>
      <c r="H1090" t="str">
        <f>_xlfn.LET(_xlpm.raw,_xlfn.XLOOKUP(A1090,'Pinlist(S5)'!$C$4:$C$1362,'Pinlist(S5)'!$E$4:$E$1362,""),_xlpm.cleanRaw,SUBSTITUTE(SUBSTITUTE(_xlpm.raw,"_PIN","."),"PIN","."),_xlpm.mainPart,MID(_xlpm.cleanRaw,2,FIND(".",_xlpm.cleanRaw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705056</v>
      </c>
      <c r="I1090" t="str">
        <f>""</f>
        <v/>
      </c>
      <c r="J1090" t="str">
        <f t="shared" ref="J1090:J1153" si="17">A1090&amp;";"&amp;B1090&amp;";"&amp;C1090&amp;";"&amp;D1090&amp;";"&amp;E1090&amp;";"&amp;F1090&amp;";"&amp;G1090&amp;";"&amp;H1090&amp;";"&amp;I1090</f>
        <v>AU37;DDRDQ_IL14_NIL12[3];;20.948;19.512;607008;802056;705056;</v>
      </c>
    </row>
    <row r="1091" spans="1:10">
      <c r="A1091" t="s">
        <v>2031</v>
      </c>
      <c r="B1091" t="str">
        <f>_xlfn.XLOOKUP(A1091,'Pinlist(S1)'!$Q$4:$Q$1362,'Pinlist(S1)'!$R$4:$R$1362,"")</f>
        <v>VSS</v>
      </c>
      <c r="C1091" t="str" cm="1">
        <f t="array" ref="C1091">_xlfn.TEXTJOIN(",",TRUE,_xlfn.UNIQUE(TRANSPOSE(_xlfn.MAP(_xlfn.XLOOKUP(A1091,'Pinlist(S1)'!$C$4:$C$1362,'Pinlist(S1)'!$F$4:$K$1362,""),_xlfn.LAMBDA(_xlpm.x,IF(_xlpm.x&lt;&gt;"",TRIM(CLEAN(LEFT(_xlpm.x,FIND(".",_xlpm.x &amp; ".")-1))),""))))))</f>
        <v/>
      </c>
      <c r="D1091">
        <v>21.861999999999998</v>
      </c>
      <c r="E1091">
        <v>19.512</v>
      </c>
      <c r="F1091" t="str">
        <f>_xlfn.LET(_xlpm.raw,_xlfn.XLOOKUP(A1091,'Pinlist(S1)'!$C$4:$C$1362,'Pinlist(S1)'!$E$4:$E$1362,""),_xlpm.cleanRaw,SUBSTITUTE(SUBSTITUTE(_xlpm.raw,"_PIN","."),"PIN","."),_xlpm.mainPart,MID(_xlpm.cleanRaw,2,FIND(".",_xlpm.cleanRaw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1" t="str">
        <f>_xlfn.LET(_xlpm.raw,_xlfn.XLOOKUP(A1091,'Pinlist(S3)'!$C$4:$C$1362,'Pinlist(S3)'!$E$4:$E$1362,""),_xlpm.cleanRaw,SUBSTITUTE(SUBSTITUTE(_xlpm.raw,"_PIN","."),"PIN","."),_xlpm.mainPart,MID(_xlpm.cleanRaw,2,FIND(".",_xlpm.cleanRaw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1" t="str">
        <f>_xlfn.LET(_xlpm.raw,_xlfn.XLOOKUP(A1091,'Pinlist(S5)'!$C$4:$C$1362,'Pinlist(S5)'!$E$4:$E$1362,""),_xlpm.cleanRaw,SUBSTITUTE(SUBSTITUTE(_xlpm.raw,"_PIN","."),"PIN","."),_xlpm.mainPart,MID(_xlpm.cleanRaw,2,FIND(".",_xlpm.cleanRaw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1" t="str">
        <f>""</f>
        <v/>
      </c>
      <c r="J1091" t="str">
        <f t="shared" si="17"/>
        <v>AU38;VSS;;21.862;19.512;;;;</v>
      </c>
    </row>
    <row r="1092" spans="1:10">
      <c r="A1092" t="s">
        <v>580</v>
      </c>
      <c r="B1092" t="str">
        <f>_xlfn.XLOOKUP(A1092,'Pinlist(S1)'!$Q$4:$Q$1362,'Pinlist(S1)'!$R$4:$R$1362,"")</f>
        <v>DDRDQ_IL14_NIL12[0]</v>
      </c>
      <c r="C1092" t="str" cm="1">
        <f t="array" ref="C1092">_xlfn.TEXTJOIN(",",TRUE,_xlfn.UNIQUE(TRANSPOSE(_xlfn.MAP(_xlfn.XLOOKUP(A1092,'Pinlist(S1)'!$C$4:$C$1362,'Pinlist(S1)'!$F$4:$K$1362,""),_xlfn.LAMBDA(_xlpm.x,IF(_xlpm.x&lt;&gt;"",TRIM(CLEAN(LEFT(_xlpm.x,FIND(".",_xlpm.x &amp; ".")-1))),""))))))</f>
        <v/>
      </c>
      <c r="D1092">
        <v>22.777000000000001</v>
      </c>
      <c r="E1092">
        <v>19.512</v>
      </c>
      <c r="F1092" t="str">
        <f>_xlfn.LET(_xlpm.raw,_xlfn.XLOOKUP(A1092,'Pinlist(S1)'!$C$4:$C$1362,'Pinlist(S1)'!$E$4:$E$1362,""),_xlpm.cleanRaw,SUBSTITUTE(SUBSTITUTE(_xlpm.raw,"_PIN","."),"PIN","."),_xlpm.mainPart,MID(_xlpm.cleanRaw,2,FIND(".",_xlpm.cleanRaw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607005</v>
      </c>
      <c r="G1092" t="str">
        <f>_xlfn.LET(_xlpm.raw,_xlfn.XLOOKUP(A1092,'Pinlist(S3)'!$C$4:$C$1362,'Pinlist(S3)'!$E$4:$E$1362,""),_xlpm.cleanRaw,SUBSTITUTE(SUBSTITUTE(_xlpm.raw,"_PIN","."),"PIN","."),_xlpm.mainPart,MID(_xlpm.cleanRaw,2,FIND(".",_xlpm.cleanRaw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802081</v>
      </c>
      <c r="H1092" t="str">
        <f>_xlfn.LET(_xlpm.raw,_xlfn.XLOOKUP(A1092,'Pinlist(S5)'!$C$4:$C$1362,'Pinlist(S5)'!$E$4:$E$1362,""),_xlpm.cleanRaw,SUBSTITUTE(SUBSTITUTE(_xlpm.raw,"_PIN","."),"PIN","."),_xlpm.mainPart,MID(_xlpm.cleanRaw,2,FIND(".",_xlpm.cleanRaw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705081</v>
      </c>
      <c r="I1092" t="str">
        <f>""</f>
        <v/>
      </c>
      <c r="J1092" t="str">
        <f t="shared" si="17"/>
        <v>AU40;DDRDQ_IL14_NIL12[0];;22.777;19.512;607005;802081;705081;</v>
      </c>
    </row>
    <row r="1093" spans="1:10">
      <c r="A1093" t="s">
        <v>1606</v>
      </c>
      <c r="B1093" t="str">
        <f>_xlfn.XLOOKUP(A1093,'Pinlist(S1)'!$Q$4:$Q$1362,'Pinlist(S1)'!$R$4:$R$1362,"")</f>
        <v>VCCDU</v>
      </c>
      <c r="C1093" t="str" cm="1">
        <f t="array" ref="C1093">_xlfn.TEXTJOIN(",",TRUE,_xlfn.UNIQUE(TRANSPOSE(_xlfn.MAP(_xlfn.XLOOKUP(A1093,'Pinlist(S1)'!$C$4:$C$1362,'Pinlist(S1)'!$F$4:$K$1362,""),_xlfn.LAMBDA(_xlpm.x,IF(_xlpm.x&lt;&gt;"",TRIM(CLEAN(LEFT(_xlpm.x,FIND(".",_xlpm.x &amp; ".")-1))),""))))))</f>
        <v/>
      </c>
      <c r="D1093">
        <v>23.690999999999999</v>
      </c>
      <c r="E1093">
        <v>19.512</v>
      </c>
      <c r="F1093" t="str">
        <f>_xlfn.LET(_xlpm.raw,_xlfn.XLOOKUP(A1093,'Pinlist(S1)'!$C$4:$C$1362,'Pinlist(S1)'!$E$4:$E$1362,""),_xlpm.cleanRaw,SUBSTITUTE(SUBSTITUTE(_xlpm.raw,"_PIN","."),"PIN","."),_xlpm.mainPart,MID(_xlpm.cleanRaw,2,FIND(".",_xlpm.cleanRaw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3" t="str">
        <f>_xlfn.LET(_xlpm.raw,_xlfn.XLOOKUP(A1093,'Pinlist(S3)'!$C$4:$C$1362,'Pinlist(S3)'!$E$4:$E$1362,""),_xlpm.cleanRaw,SUBSTITUTE(SUBSTITUTE(_xlpm.raw,"_PIN","."),"PIN","."),_xlpm.mainPart,MID(_xlpm.cleanRaw,2,FIND(".",_xlpm.cleanRaw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3" t="str">
        <f>_xlfn.LET(_xlpm.raw,_xlfn.XLOOKUP(A1093,'Pinlist(S5)'!$C$4:$C$1362,'Pinlist(S5)'!$E$4:$E$1362,""),_xlpm.cleanRaw,SUBSTITUTE(SUBSTITUTE(_xlpm.raw,"_PIN","."),"PIN","."),_xlpm.mainPart,MID(_xlpm.cleanRaw,2,FIND(".",_xlpm.cleanRaw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3" t="str">
        <f>""</f>
        <v/>
      </c>
      <c r="J1093" t="str">
        <f t="shared" si="17"/>
        <v>AU42;VCCDU;;23.691;19.512;;;;</v>
      </c>
    </row>
    <row r="1094" spans="1:10">
      <c r="A1094" t="s">
        <v>272</v>
      </c>
      <c r="B1094" t="str">
        <f>_xlfn.XLOOKUP(A1094,'Pinlist(S1)'!$Q$4:$Q$1362,'Pinlist(S1)'!$R$4:$R$1362,"")</f>
        <v>DDR0_CS_N[1]</v>
      </c>
      <c r="C1094" t="str" cm="1">
        <f t="array" ref="C1094">_xlfn.TEXTJOIN(",",TRUE,_xlfn.UNIQUE(TRANSPOSE(_xlfn.MAP(_xlfn.XLOOKUP(A1094,'Pinlist(S1)'!$C$4:$C$1362,'Pinlist(S1)'!$F$4:$K$1362,""),_xlfn.LAMBDA(_xlpm.x,IF(_xlpm.x&lt;&gt;"",TRIM(CLEAN(LEFT(_xlpm.x,FIND(".",_xlpm.x &amp; ".")-1))),""))))))</f>
        <v/>
      </c>
      <c r="D1094">
        <v>24.606000000000002</v>
      </c>
      <c r="E1094">
        <v>19.512</v>
      </c>
      <c r="F1094" t="str">
        <f>_xlfn.LET(_xlpm.raw,_xlfn.XLOOKUP(A1094,'Pinlist(S1)'!$C$4:$C$1362,'Pinlist(S1)'!$E$4:$E$1362,""),_xlpm.cleanRaw,SUBSTITUTE(SUBSTITUTE(_xlpm.raw,"_PIN","."),"PIN","."),_xlpm.mainPart,MID(_xlpm.cleanRaw,2,FIND(".",_xlpm.cleanRaw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607016</v>
      </c>
      <c r="G1094" t="str">
        <f>_xlfn.LET(_xlpm.raw,_xlfn.XLOOKUP(A1094,'Pinlist(S3)'!$C$4:$C$1362,'Pinlist(S3)'!$E$4:$E$1362,""),_xlpm.cleanRaw,SUBSTITUTE(SUBSTITUTE(_xlpm.raw,"_PIN","."),"PIN","."),_xlpm.mainPart,MID(_xlpm.cleanRaw,2,FIND(".",_xlpm.cleanRaw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801016</v>
      </c>
      <c r="H1094" t="str">
        <f>_xlfn.LET(_xlpm.raw,_xlfn.XLOOKUP(A1094,'Pinlist(S5)'!$C$4:$C$1362,'Pinlist(S5)'!$E$4:$E$1362,""),_xlpm.cleanRaw,SUBSTITUTE(SUBSTITUTE(_xlpm.raw,"_PIN","."),"PIN","."),_xlpm.mainPart,MID(_xlpm.cleanRaw,2,FIND(".",_xlpm.cleanRaw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706016</v>
      </c>
      <c r="I1094" t="str">
        <f>""</f>
        <v/>
      </c>
      <c r="J1094" t="str">
        <f t="shared" si="17"/>
        <v>AU43;DDR0_CS_N[1];;24.606;19.512;607016;801016;706016;</v>
      </c>
    </row>
    <row r="1095" spans="1:10">
      <c r="A1095" t="s">
        <v>269</v>
      </c>
      <c r="B1095" t="str">
        <f>_xlfn.XLOOKUP(A1095,'Pinlist(S1)'!$Q$4:$Q$1362,'Pinlist(S1)'!$R$4:$R$1362,"")</f>
        <v>DDR0_CS_N[0]</v>
      </c>
      <c r="C1095" t="str" cm="1">
        <f t="array" ref="C1095">_xlfn.TEXTJOIN(",",TRUE,_xlfn.UNIQUE(TRANSPOSE(_xlfn.MAP(_xlfn.XLOOKUP(A1095,'Pinlist(S1)'!$C$4:$C$1362,'Pinlist(S1)'!$F$4:$K$1362,""),_xlfn.LAMBDA(_xlpm.x,IF(_xlpm.x&lt;&gt;"",TRIM(CLEAN(LEFT(_xlpm.x,FIND(".",_xlpm.x &amp; ".")-1))),""))))))</f>
        <v/>
      </c>
      <c r="D1095">
        <v>25.52</v>
      </c>
      <c r="E1095">
        <v>19.512</v>
      </c>
      <c r="F1095" t="str">
        <f>_xlfn.LET(_xlpm.raw,_xlfn.XLOOKUP(A1095,'Pinlist(S1)'!$C$4:$C$1362,'Pinlist(S1)'!$E$4:$E$1362,""),_xlpm.cleanRaw,SUBSTITUTE(SUBSTITUTE(_xlpm.raw,"_PIN","."),"PIN","."),_xlpm.mainPart,MID(_xlpm.cleanRaw,2,FIND(".",_xlpm.cleanRaw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607013</v>
      </c>
      <c r="G1095" t="str">
        <f>_xlfn.LET(_xlpm.raw,_xlfn.XLOOKUP(A1095,'Pinlist(S3)'!$C$4:$C$1362,'Pinlist(S3)'!$E$4:$E$1362,""),_xlpm.cleanRaw,SUBSTITUTE(SUBSTITUTE(_xlpm.raw,"_PIN","."),"PIN","."),_xlpm.mainPart,MID(_xlpm.cleanRaw,2,FIND(".",_xlpm.cleanRaw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801013</v>
      </c>
      <c r="H1095" t="str">
        <f>_xlfn.LET(_xlpm.raw,_xlfn.XLOOKUP(A1095,'Pinlist(S5)'!$C$4:$C$1362,'Pinlist(S5)'!$E$4:$E$1362,""),_xlpm.cleanRaw,SUBSTITUTE(SUBSTITUTE(_xlpm.raw,"_PIN","."),"PIN","."),_xlpm.mainPart,MID(_xlpm.cleanRaw,2,FIND(".",_xlpm.cleanRaw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706013</v>
      </c>
      <c r="I1095" t="str">
        <f>""</f>
        <v/>
      </c>
      <c r="J1095" t="str">
        <f t="shared" si="17"/>
        <v>AU45;DDR0_CS_N[0];;25.52;19.512;607013;801013;706013;</v>
      </c>
    </row>
    <row r="1096" spans="1:10">
      <c r="A1096" t="s">
        <v>284</v>
      </c>
      <c r="B1096" t="str">
        <f>_xlfn.XLOOKUP(A1096,'Pinlist(S1)'!$Q$4:$Q$1362,'Pinlist(S1)'!$R$4:$R$1362,"")</f>
        <v>DDR0_MA[13]_CAB0</v>
      </c>
      <c r="C1096" t="str" cm="1">
        <f t="array" ref="C1096">_xlfn.TEXTJOIN(",",TRUE,_xlfn.UNIQUE(TRANSPOSE(_xlfn.MAP(_xlfn.XLOOKUP(A1096,'Pinlist(S1)'!$C$4:$C$1362,'Pinlist(S1)'!$F$4:$K$1362,""),_xlfn.LAMBDA(_xlpm.x,IF(_xlpm.x&lt;&gt;"",TRIM(CLEAN(LEFT(_xlpm.x,FIND(".",_xlpm.x &amp; ".")-1))),""))))))</f>
        <v>KA109</v>
      </c>
      <c r="D1096">
        <v>26.434000000000001</v>
      </c>
      <c r="E1096">
        <v>19.512</v>
      </c>
      <c r="F1096" t="str">
        <f>_xlfn.LET(_xlpm.raw,_xlfn.XLOOKUP(A1096,'Pinlist(S1)'!$C$4:$C$1362,'Pinlist(S1)'!$E$4:$E$1362,""),_xlpm.cleanRaw,SUBSTITUTE(SUBSTITUTE(_xlpm.raw,"_PIN","."),"PIN","."),_xlpm.mainPart,MID(_xlpm.cleanRaw,2,FIND(".",_xlpm.cleanRaw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1096" t="str">
        <f>_xlfn.LET(_xlpm.raw,_xlfn.XLOOKUP(A1096,'Pinlist(S3)'!$C$4:$C$1362,'Pinlist(S3)'!$E$4:$E$1362,""),_xlpm.cleanRaw,SUBSTITUTE(SUBSTITUTE(_xlpm.raw,"_PIN","."),"PIN","."),_xlpm.mainPart,MID(_xlpm.cleanRaw,2,FIND(".",_xlpm.cleanRaw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1096" t="str">
        <f>_xlfn.LET(_xlpm.raw,_xlfn.XLOOKUP(A1096,'Pinlist(S5)'!$C$4:$C$1362,'Pinlist(S5)'!$E$4:$E$1362,""),_xlpm.cleanRaw,SUBSTITUTE(SUBSTITUTE(_xlpm.raw,"_PIN","."),"PIN","."),_xlpm.mainPart,MID(_xlpm.cleanRaw,2,FIND(".",_xlpm.cleanRaw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1096" t="str">
        <f>""</f>
        <v/>
      </c>
      <c r="J1096" t="str">
        <f t="shared" si="17"/>
        <v>AU46;DDR0_MA[13]_CAB0;KA109;26.434;19.512;507103;805082;602058;</v>
      </c>
    </row>
    <row r="1097" spans="1:10">
      <c r="A1097" t="s">
        <v>251</v>
      </c>
      <c r="B1097" t="str">
        <f>_xlfn.XLOOKUP(A1097,'Pinlist(S1)'!$Q$4:$Q$1362,'Pinlist(S1)'!$R$4:$R$1362,"")</f>
        <v>DDR0_CAS_N_CAB1_MA15</v>
      </c>
      <c r="C1097" t="str" cm="1">
        <f t="array" ref="C1097">_xlfn.TEXTJOIN(",",TRUE,_xlfn.UNIQUE(TRANSPOSE(_xlfn.MAP(_xlfn.XLOOKUP(A1097,'Pinlist(S1)'!$C$4:$C$1362,'Pinlist(S1)'!$F$4:$K$1362,""),_xlfn.LAMBDA(_xlpm.x,IF(_xlpm.x&lt;&gt;"",TRIM(CLEAN(LEFT(_xlpm.x,FIND(".",_xlpm.x &amp; ".")-1))),""))))))</f>
        <v/>
      </c>
      <c r="D1097">
        <v>27.349</v>
      </c>
      <c r="E1097">
        <v>19.512</v>
      </c>
      <c r="F1097" t="str">
        <f>_xlfn.LET(_xlpm.raw,_xlfn.XLOOKUP(A1097,'Pinlist(S1)'!$C$4:$C$1362,'Pinlist(S1)'!$E$4:$E$1362,""),_xlpm.cleanRaw,SUBSTITUTE(SUBSTITUTE(_xlpm.raw,"_PIN","."),"PIN","."),_xlpm.mainPart,MID(_xlpm.cleanRaw,2,FIND(".",_xlpm.cleanRaw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606096</v>
      </c>
      <c r="G1097" t="str">
        <f>_xlfn.LET(_xlpm.raw,_xlfn.XLOOKUP(A1097,'Pinlist(S3)'!$C$4:$C$1362,'Pinlist(S3)'!$E$4:$E$1362,""),_xlpm.cleanRaw,SUBSTITUTE(SUBSTITUTE(_xlpm.raw,"_PIN","."),"PIN","."),_xlpm.mainPart,MID(_xlpm.cleanRaw,2,FIND(".",_xlpm.cleanRaw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801009</v>
      </c>
      <c r="H1097" t="str">
        <f>_xlfn.LET(_xlpm.raw,_xlfn.XLOOKUP(A1097,'Pinlist(S5)'!$C$4:$C$1362,'Pinlist(S5)'!$E$4:$E$1362,""),_xlpm.cleanRaw,SUBSTITUTE(SUBSTITUTE(_xlpm.raw,"_PIN","."),"PIN","."),_xlpm.mainPart,MID(_xlpm.cleanRaw,2,FIND(".",_xlpm.cleanRaw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706019</v>
      </c>
      <c r="I1097" t="str">
        <f>""</f>
        <v/>
      </c>
      <c r="J1097" t="str">
        <f t="shared" si="17"/>
        <v>AU48;DDR0_CAS_N_CAB1_MA15;;27.349;19.512;606096;801009;706019;</v>
      </c>
    </row>
    <row r="1098" spans="1:10">
      <c r="A1098" t="s">
        <v>312</v>
      </c>
      <c r="B1098" t="str">
        <f>_xlfn.XLOOKUP(A1098,'Pinlist(S1)'!$Q$4:$Q$1362,'Pinlist(S1)'!$R$4:$R$1362,"")</f>
        <v>DDR0_RAS_N_CAB3_MA16</v>
      </c>
      <c r="C1098" t="str" cm="1">
        <f t="array" ref="C1098">_xlfn.TEXTJOIN(",",TRUE,_xlfn.UNIQUE(TRANSPOSE(_xlfn.MAP(_xlfn.XLOOKUP(A1098,'Pinlist(S1)'!$C$4:$C$1362,'Pinlist(S1)'!$F$4:$K$1362,""),_xlfn.LAMBDA(_xlpm.x,IF(_xlpm.x&lt;&gt;"",TRIM(CLEAN(LEFT(_xlpm.x,FIND(".",_xlpm.x &amp; ".")-1))),""))))))</f>
        <v/>
      </c>
      <c r="D1098">
        <v>28.262999999999899</v>
      </c>
      <c r="E1098">
        <v>19.512</v>
      </c>
      <c r="F1098" t="str">
        <f>_xlfn.LET(_xlpm.raw,_xlfn.XLOOKUP(A1098,'Pinlist(S1)'!$C$4:$C$1362,'Pinlist(S1)'!$E$4:$E$1362,""),_xlpm.cleanRaw,SUBSTITUTE(SUBSTITUTE(_xlpm.raw,"_PIN","."),"PIN","."),_xlpm.mainPart,MID(_xlpm.cleanRaw,2,FIND(".",_xlpm.cleanRaw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606098</v>
      </c>
      <c r="G1098" t="str">
        <f>_xlfn.LET(_xlpm.raw,_xlfn.XLOOKUP(A1098,'Pinlist(S3)'!$C$4:$C$1362,'Pinlist(S3)'!$E$4:$E$1362,""),_xlpm.cleanRaw,SUBSTITUTE(SUBSTITUTE(_xlpm.raw,"_PIN","."),"PIN","."),_xlpm.mainPart,MID(_xlpm.cleanRaw,2,FIND(".",_xlpm.cleanRaw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801007</v>
      </c>
      <c r="H1098" t="str">
        <f>_xlfn.LET(_xlpm.raw,_xlfn.XLOOKUP(A1098,'Pinlist(S5)'!$C$4:$C$1362,'Pinlist(S5)'!$E$4:$E$1362,""),_xlpm.cleanRaw,SUBSTITUTE(SUBSTITUTE(_xlpm.raw,"_PIN","."),"PIN","."),_xlpm.mainPart,MID(_xlpm.cleanRaw,2,FIND(".",_xlpm.cleanRaw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706021</v>
      </c>
      <c r="I1098" t="str">
        <f>""</f>
        <v/>
      </c>
      <c r="J1098" t="str">
        <f t="shared" si="17"/>
        <v>AU50;DDR0_RAS_N_CAB3_MA16;;28.2629999999999;19.512;606098;801007;706021;</v>
      </c>
    </row>
    <row r="1099" spans="1:10">
      <c r="A1099" t="s">
        <v>244</v>
      </c>
      <c r="B1099" t="str">
        <f>_xlfn.XLOOKUP(A1099,'Pinlist(S1)'!$Q$4:$Q$1362,'Pinlist(S1)'!$R$4:$R$1362,"")</f>
        <v>DDR0_BA[0]_CAB4</v>
      </c>
      <c r="C1099" t="str" cm="1">
        <f t="array" ref="C1099">_xlfn.TEXTJOIN(",",TRUE,_xlfn.UNIQUE(TRANSPOSE(_xlfn.MAP(_xlfn.XLOOKUP(A1099,'Pinlist(S1)'!$C$4:$C$1362,'Pinlist(S1)'!$F$4:$K$1362,""),_xlfn.LAMBDA(_xlpm.x,IF(_xlpm.x&lt;&gt;"",TRIM(CLEAN(LEFT(_xlpm.x,FIND(".",_xlpm.x &amp; ".")-1))),""))))))</f>
        <v>KA105</v>
      </c>
      <c r="D1099">
        <v>29.178000000000001</v>
      </c>
      <c r="E1099">
        <v>19.512</v>
      </c>
      <c r="F1099" t="str">
        <f>_xlfn.LET(_xlpm.raw,_xlfn.XLOOKUP(A1099,'Pinlist(S1)'!$C$4:$C$1362,'Pinlist(S1)'!$E$4:$E$1362,""),_xlpm.cleanRaw,SUBSTITUTE(SUBSTITUTE(_xlpm.raw,"_PIN","."),"PIN","."),_xlpm.mainPart,MID(_xlpm.cleanRaw,2,FIND(".",_xlpm.cleanRaw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099" t="str">
        <f>_xlfn.LET(_xlpm.raw,_xlfn.XLOOKUP(A1099,'Pinlist(S3)'!$C$4:$C$1362,'Pinlist(S3)'!$E$4:$E$1362,""),_xlpm.cleanRaw,SUBSTITUTE(SUBSTITUTE(_xlpm.raw,"_PIN","."),"PIN","."),_xlpm.mainPart,MID(_xlpm.cleanRaw,2,FIND(".",_xlpm.cleanRaw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099" t="str">
        <f>_xlfn.LET(_xlpm.raw,_xlfn.XLOOKUP(A1099,'Pinlist(S5)'!$C$4:$C$1362,'Pinlist(S5)'!$E$4:$E$1362,""),_xlpm.cleanRaw,SUBSTITUTE(SUBSTITUTE(_xlpm.raw,"_PIN","."),"PIN","."),_xlpm.mainPart,MID(_xlpm.cleanRaw,2,FIND(".",_xlpm.cleanRaw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099" t="str">
        <f>""</f>
        <v/>
      </c>
      <c r="J1099" t="str">
        <f t="shared" si="17"/>
        <v>AU52;DDR0_BA[0]_CAB4;KA105;29.178;19.512;507111;806086;701086;</v>
      </c>
    </row>
    <row r="1100" spans="1:10">
      <c r="A1100" t="s">
        <v>261</v>
      </c>
      <c r="B1100" t="str">
        <f>_xlfn.XLOOKUP(A1100,'Pinlist(S1)'!$Q$4:$Q$1362,'Pinlist(S1)'!$R$4:$R$1362,"")</f>
        <v>DDR0_CLK_N[0]</v>
      </c>
      <c r="C1100" t="str" cm="1">
        <f t="array" ref="C1100">_xlfn.TEXTJOIN(",",TRUE,_xlfn.UNIQUE(TRANSPOSE(_xlfn.MAP(_xlfn.XLOOKUP(A1100,'Pinlist(S1)'!$C$4:$C$1362,'Pinlist(S1)'!$F$4:$K$1362,""),_xlfn.LAMBDA(_xlpm.x,IF(_xlpm.x&lt;&gt;"",TRIM(CLEAN(LEFT(_xlpm.x,FIND(".",_xlpm.x &amp; ".")-1))),""))))))</f>
        <v>KA103</v>
      </c>
      <c r="D1100">
        <v>30.091999999999999</v>
      </c>
      <c r="E1100">
        <v>19.512</v>
      </c>
      <c r="F1100" t="str">
        <f>_xlfn.LET(_xlpm.raw,_xlfn.XLOOKUP(A1100,'Pinlist(S1)'!$C$4:$C$1362,'Pinlist(S1)'!$E$4:$E$1362,""),_xlpm.cleanRaw,SUBSTITUTE(SUBSTITUTE(_xlpm.raw,"_PIN","."),"PIN","."),_xlpm.mainPart,MID(_xlpm.cleanRaw,2,FIND(".",_xlpm.cleanRaw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100" t="str">
        <f>_xlfn.LET(_xlpm.raw,_xlfn.XLOOKUP(A1100,'Pinlist(S3)'!$C$4:$C$1362,'Pinlist(S3)'!$E$4:$E$1362,""),_xlpm.cleanRaw,SUBSTITUTE(SUBSTITUTE(_xlpm.raw,"_PIN","."),"PIN","."),_xlpm.mainPart,MID(_xlpm.cleanRaw,2,FIND(".",_xlpm.cleanRaw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100" t="str">
        <f>_xlfn.LET(_xlpm.raw,_xlfn.XLOOKUP(A1100,'Pinlist(S5)'!$C$4:$C$1362,'Pinlist(S5)'!$E$4:$E$1362,""),_xlpm.cleanRaw,SUBSTITUTE(SUBSTITUTE(_xlpm.raw,"_PIN","."),"PIN","."),_xlpm.mainPart,MID(_xlpm.cleanRaw,2,FIND(".",_xlpm.cleanRaw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100" t="str">
        <f>""</f>
        <v/>
      </c>
      <c r="J1100" t="str">
        <f t="shared" si="17"/>
        <v>AU53;DDR0_CLK_N[0];KA103;30.092;19.512;504122;805083;601002;</v>
      </c>
    </row>
    <row r="1101" spans="1:10">
      <c r="A1101" t="s">
        <v>263</v>
      </c>
      <c r="B1101" t="str">
        <f>_xlfn.XLOOKUP(A1101,'Pinlist(S1)'!$Q$4:$Q$1362,'Pinlist(S1)'!$R$4:$R$1362,"")</f>
        <v>DDR0_CLK_N[1]</v>
      </c>
      <c r="C1101" t="str" cm="1">
        <f t="array" ref="C1101">_xlfn.TEXTJOIN(",",TRUE,_xlfn.UNIQUE(TRANSPOSE(_xlfn.MAP(_xlfn.XLOOKUP(A1101,'Pinlist(S1)'!$C$4:$C$1362,'Pinlist(S1)'!$F$4:$K$1362,""),_xlfn.LAMBDA(_xlpm.x,IF(_xlpm.x&lt;&gt;"",TRIM(CLEAN(LEFT(_xlpm.x,FIND(".",_xlpm.x &amp; ".")-1))),""))))))</f>
        <v>KA103</v>
      </c>
      <c r="D1101">
        <v>31.006</v>
      </c>
      <c r="E1101">
        <v>19.512</v>
      </c>
      <c r="F1101" t="str">
        <f>_xlfn.LET(_xlpm.raw,_xlfn.XLOOKUP(A1101,'Pinlist(S1)'!$C$4:$C$1362,'Pinlist(S1)'!$E$4:$E$1362,""),_xlpm.cleanRaw,SUBSTITUTE(SUBSTITUTE(_xlpm.raw,"_PIN","."),"PIN","."),_xlpm.mainPart,MID(_xlpm.cleanRaw,2,FIND(".",_xlpm.cleanRaw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101" t="str">
        <f>_xlfn.LET(_xlpm.raw,_xlfn.XLOOKUP(A1101,'Pinlist(S3)'!$C$4:$C$1362,'Pinlist(S3)'!$E$4:$E$1362,""),_xlpm.cleanRaw,SUBSTITUTE(SUBSTITUTE(_xlpm.raw,"_PIN","."),"PIN","."),_xlpm.mainPart,MID(_xlpm.cleanRaw,2,FIND(".",_xlpm.cleanRaw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101" t="str">
        <f>_xlfn.LET(_xlpm.raw,_xlfn.XLOOKUP(A1101,'Pinlist(S5)'!$C$4:$C$1362,'Pinlist(S5)'!$E$4:$E$1362,""),_xlpm.cleanRaw,SUBSTITUTE(SUBSTITUTE(_xlpm.raw,"_PIN","."),"PIN","."),_xlpm.mainPart,MID(_xlpm.cleanRaw,2,FIND(".",_xlpm.cleanRaw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101" t="str">
        <f>""</f>
        <v/>
      </c>
      <c r="J1101" t="str">
        <f t="shared" si="17"/>
        <v>AU55;DDR0_CLK_N[1];KA103;31.006;19.512;505060;806128;701097;</v>
      </c>
    </row>
    <row r="1102" spans="1:10">
      <c r="A1102" t="s">
        <v>1388</v>
      </c>
      <c r="B1102" t="str">
        <f>_xlfn.XLOOKUP(A1102,'Pinlist(S1)'!$Q$4:$Q$1362,'Pinlist(S1)'!$R$4:$R$1362,"")</f>
        <v>SPARE_3</v>
      </c>
      <c r="C1102" t="str" cm="1">
        <f t="array" ref="C1102">_xlfn.TEXTJOIN(",",TRUE,_xlfn.UNIQUE(TRANSPOSE(_xlfn.MAP(_xlfn.XLOOKUP(A1102,'Pinlist(S1)'!$C$4:$C$1362,'Pinlist(S1)'!$F$4:$K$1362,""),_xlfn.LAMBDA(_xlpm.x,IF(_xlpm.x&lt;&gt;"",TRIM(CLEAN(LEFT(_xlpm.x,FIND(".",_xlpm.x &amp; ".")-1))),""))))))</f>
        <v/>
      </c>
      <c r="D1102">
        <v>31.920999999999999</v>
      </c>
      <c r="E1102">
        <v>19.512</v>
      </c>
      <c r="F1102" t="str">
        <f>_xlfn.LET(_xlpm.raw,_xlfn.XLOOKUP(A1102,'Pinlist(S1)'!$C$4:$C$1362,'Pinlist(S1)'!$E$4:$E$1362,""),_xlpm.cleanRaw,SUBSTITUTE(SUBSTITUTE(_xlpm.raw,"_PIN","."),"PIN","."),_xlpm.mainPart,MID(_xlpm.cleanRaw,2,FIND(".",_xlpm.cleanRaw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2" t="str">
        <f>_xlfn.LET(_xlpm.raw,_xlfn.XLOOKUP(A1102,'Pinlist(S3)'!$C$4:$C$1362,'Pinlist(S3)'!$E$4:$E$1362,""),_xlpm.cleanRaw,SUBSTITUTE(SUBSTITUTE(_xlpm.raw,"_PIN","."),"PIN","."),_xlpm.mainPart,MID(_xlpm.cleanRaw,2,FIND(".",_xlpm.cleanRaw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2" t="str">
        <f>_xlfn.LET(_xlpm.raw,_xlfn.XLOOKUP(A1102,'Pinlist(S5)'!$C$4:$C$1362,'Pinlist(S5)'!$E$4:$E$1362,""),_xlpm.cleanRaw,SUBSTITUTE(SUBSTITUTE(_xlpm.raw,"_PIN","."),"PIN","."),_xlpm.mainPart,MID(_xlpm.cleanRaw,2,FIND(".",_xlpm.cleanRaw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2" t="str">
        <f>""</f>
        <v/>
      </c>
      <c r="J1102" t="str">
        <f t="shared" si="17"/>
        <v>AU56;SPARE_3;;31.921;19.512;;;;</v>
      </c>
    </row>
    <row r="1103" spans="1:10">
      <c r="A1103" t="s">
        <v>1757</v>
      </c>
      <c r="B1103" t="str">
        <f>_xlfn.XLOOKUP(A1103,'Pinlist(S1)'!$Q$4:$Q$1362,'Pinlist(S1)'!$R$4:$R$1362,"")</f>
        <v>VCCGTU</v>
      </c>
      <c r="C1103" t="str" cm="1">
        <f t="array" ref="C1103">_xlfn.TEXTJOIN(",",TRUE,_xlfn.UNIQUE(TRANSPOSE(_xlfn.MAP(_xlfn.XLOOKUP(A1103,'Pinlist(S1)'!$C$4:$C$1362,'Pinlist(S1)'!$F$4:$K$1362,""),_xlfn.LAMBDA(_xlpm.x,IF(_xlpm.x&lt;&gt;"",TRIM(CLEAN(LEFT(_xlpm.x,FIND(".",_xlpm.x &amp; ".")-1))),""))))))</f>
        <v/>
      </c>
      <c r="D1103">
        <v>32.835000000000001</v>
      </c>
      <c r="E1103">
        <v>19.512</v>
      </c>
      <c r="F1103" t="str">
        <f>_xlfn.LET(_xlpm.raw,_xlfn.XLOOKUP(A1103,'Pinlist(S1)'!$C$4:$C$1362,'Pinlist(S1)'!$E$4:$E$1362,""),_xlpm.cleanRaw,SUBSTITUTE(SUBSTITUTE(_xlpm.raw,"_PIN","."),"PIN","."),_xlpm.mainPart,MID(_xlpm.cleanRaw,2,FIND(".",_xlpm.cleanRaw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3" t="str">
        <f>_xlfn.LET(_xlpm.raw,_xlfn.XLOOKUP(A1103,'Pinlist(S3)'!$C$4:$C$1362,'Pinlist(S3)'!$E$4:$E$1362,""),_xlpm.cleanRaw,SUBSTITUTE(SUBSTITUTE(_xlpm.raw,"_PIN","."),"PIN","."),_xlpm.mainPart,MID(_xlpm.cleanRaw,2,FIND(".",_xlpm.cleanRaw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3" t="str">
        <f>_xlfn.LET(_xlpm.raw,_xlfn.XLOOKUP(A1103,'Pinlist(S5)'!$C$4:$C$1362,'Pinlist(S5)'!$E$4:$E$1362,""),_xlpm.cleanRaw,SUBSTITUTE(SUBSTITUTE(_xlpm.raw,"_PIN","."),"PIN","."),_xlpm.mainPart,MID(_xlpm.cleanRaw,2,FIND(".",_xlpm.cleanRaw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3" t="str">
        <f>""</f>
        <v/>
      </c>
      <c r="J1103" t="str">
        <f t="shared" si="17"/>
        <v>AU58;VCCGTU;;32.835;19.512;;;;</v>
      </c>
    </row>
    <row r="1104" spans="1:10">
      <c r="A1104" t="s">
        <v>578</v>
      </c>
      <c r="B1104" t="str">
        <f>_xlfn.XLOOKUP(A1104,'Pinlist(S1)'!$Q$4:$Q$1362,'Pinlist(S1)'!$R$4:$R$1362,"")</f>
        <v>DDRDQ_IL13_NIL07[7]</v>
      </c>
      <c r="C1104" t="str" cm="1">
        <f t="array" ref="C1104">_xlfn.TEXTJOIN(",",TRUE,_xlfn.UNIQUE(TRANSPOSE(_xlfn.MAP(_xlfn.XLOOKUP(A1104,'Pinlist(S1)'!$C$4:$C$1362,'Pinlist(S1)'!$F$4:$K$1362,""),_xlfn.LAMBDA(_xlpm.x,IF(_xlpm.x&lt;&gt;"",TRIM(CLEAN(LEFT(_xlpm.x,FIND(".",_xlpm.x &amp; ".")-1))),""))))))</f>
        <v/>
      </c>
      <c r="D1104">
        <v>33.75</v>
      </c>
      <c r="E1104">
        <v>19.512</v>
      </c>
      <c r="F1104" t="str">
        <f>_xlfn.LET(_xlpm.raw,_xlfn.XLOOKUP(A1104,'Pinlist(S1)'!$C$4:$C$1362,'Pinlist(S1)'!$E$4:$E$1362,""),_xlpm.cleanRaw,SUBSTITUTE(SUBSTITUTE(_xlpm.raw,"_PIN","."),"PIN","."),_xlpm.mainPart,MID(_xlpm.cleanRaw,2,FIND(".",_xlpm.cleanRaw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606123</v>
      </c>
      <c r="G1104" t="str">
        <f>_xlfn.LET(_xlpm.raw,_xlfn.XLOOKUP(A1104,'Pinlist(S3)'!$C$4:$C$1362,'Pinlist(S3)'!$E$4:$E$1362,""),_xlpm.cleanRaw,SUBSTITUTE(SUBSTITUTE(_xlpm.raw,"_PIN","."),"PIN","."),_xlpm.mainPart,MID(_xlpm.cleanRaw,2,FIND(".",_xlpm.cleanRaw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501096</v>
      </c>
      <c r="H1104" t="str">
        <f>_xlfn.LET(_xlpm.raw,_xlfn.XLOOKUP(A1104,'Pinlist(S5)'!$C$4:$C$1362,'Pinlist(S5)'!$E$4:$E$1362,""),_xlpm.cleanRaw,SUBSTITUTE(SUBSTITUTE(_xlpm.raw,"_PIN","."),"PIN","."),_xlpm.mainPart,MID(_xlpm.cleanRaw,2,FIND(".",_xlpm.cleanRaw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706037</v>
      </c>
      <c r="I1104" t="str">
        <f>""</f>
        <v/>
      </c>
      <c r="J1104" t="str">
        <f t="shared" si="17"/>
        <v>AU60;DDRDQ_IL13_NIL07[7];;33.75;19.512;606123;501096;706037;</v>
      </c>
    </row>
    <row r="1105" spans="1:10">
      <c r="A1105" t="s">
        <v>566</v>
      </c>
      <c r="B1105" t="str">
        <f>_xlfn.XLOOKUP(A1105,'Pinlist(S1)'!$Q$4:$Q$1362,'Pinlist(S1)'!$R$4:$R$1362,"")</f>
        <v>DDRDQ_IL13_NIL07[1]</v>
      </c>
      <c r="C1105" t="str" cm="1">
        <f t="array" ref="C1105">_xlfn.TEXTJOIN(",",TRUE,_xlfn.UNIQUE(TRANSPOSE(_xlfn.MAP(_xlfn.XLOOKUP(A1105,'Pinlist(S1)'!$C$4:$C$1362,'Pinlist(S1)'!$F$4:$K$1362,""),_xlfn.LAMBDA(_xlpm.x,IF(_xlpm.x&lt;&gt;"",TRIM(CLEAN(LEFT(_xlpm.x,FIND(".",_xlpm.x &amp; ".")-1))),""))))))</f>
        <v/>
      </c>
      <c r="D1105">
        <v>34.664000000000001</v>
      </c>
      <c r="E1105">
        <v>19.512</v>
      </c>
      <c r="F1105" t="str">
        <f>_xlfn.LET(_xlpm.raw,_xlfn.XLOOKUP(A1105,'Pinlist(S1)'!$C$4:$C$1362,'Pinlist(S1)'!$E$4:$E$1362,""),_xlpm.cleanRaw,SUBSTITUTE(SUBSTITUTE(_xlpm.raw,"_PIN","."),"PIN","."),_xlpm.mainPart,MID(_xlpm.cleanRaw,2,FIND(".",_xlpm.cleanRaw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606125</v>
      </c>
      <c r="G1105" t="str">
        <f>_xlfn.LET(_xlpm.raw,_xlfn.XLOOKUP(A1105,'Pinlist(S3)'!$C$4:$C$1362,'Pinlist(S3)'!$E$4:$E$1362,""),_xlpm.cleanRaw,SUBSTITUTE(SUBSTITUTE(_xlpm.raw,"_PIN","."),"PIN","."),_xlpm.mainPart,MID(_xlpm.cleanRaw,2,FIND(".",_xlpm.cleanRaw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501098</v>
      </c>
      <c r="H1105" t="str">
        <f>_xlfn.LET(_xlpm.raw,_xlfn.XLOOKUP(A1105,'Pinlist(S5)'!$C$4:$C$1362,'Pinlist(S5)'!$E$4:$E$1362,""),_xlpm.cleanRaw,SUBSTITUTE(SUBSTITUTE(_xlpm.raw,"_PIN","."),"PIN","."),_xlpm.mainPart,MID(_xlpm.cleanRaw,2,FIND(".",_xlpm.cleanRaw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707096</v>
      </c>
      <c r="I1105" t="str">
        <f>""</f>
        <v/>
      </c>
      <c r="J1105" t="str">
        <f t="shared" si="17"/>
        <v>AU61;DDRDQ_IL13_NIL07[1];;34.664;19.512;606125;501098;707096;</v>
      </c>
    </row>
    <row r="1106" spans="1:10">
      <c r="A1106" t="s">
        <v>1758</v>
      </c>
      <c r="B1106" t="str">
        <f>_xlfn.XLOOKUP(A1106,'Pinlist(S1)'!$Q$4:$Q$1362,'Pinlist(S1)'!$R$4:$R$1362,"")</f>
        <v>VCCGTU</v>
      </c>
      <c r="C1106" t="str" cm="1">
        <f t="array" ref="C1106">_xlfn.TEXTJOIN(",",TRUE,_xlfn.UNIQUE(TRANSPOSE(_xlfn.MAP(_xlfn.XLOOKUP(A1106,'Pinlist(S1)'!$C$4:$C$1362,'Pinlist(S1)'!$F$4:$K$1362,""),_xlfn.LAMBDA(_xlpm.x,IF(_xlpm.x&lt;&gt;"",TRIM(CLEAN(LEFT(_xlpm.x,FIND(".",_xlpm.x &amp; ".")-1))),""))))))</f>
        <v/>
      </c>
      <c r="D1106">
        <v>35.578000000000003</v>
      </c>
      <c r="E1106">
        <v>19.512</v>
      </c>
      <c r="F1106" t="str">
        <f>_xlfn.LET(_xlpm.raw,_xlfn.XLOOKUP(A1106,'Pinlist(S1)'!$C$4:$C$1362,'Pinlist(S1)'!$E$4:$E$1362,""),_xlpm.cleanRaw,SUBSTITUTE(SUBSTITUTE(_xlpm.raw,"_PIN","."),"PIN","."),_xlpm.mainPart,MID(_xlpm.cleanRaw,2,FIND(".",_xlpm.cleanRaw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6" t="str">
        <f>_xlfn.LET(_xlpm.raw,_xlfn.XLOOKUP(A1106,'Pinlist(S3)'!$C$4:$C$1362,'Pinlist(S3)'!$E$4:$E$1362,""),_xlpm.cleanRaw,SUBSTITUTE(SUBSTITUTE(_xlpm.raw,"_PIN","."),"PIN","."),_xlpm.mainPart,MID(_xlpm.cleanRaw,2,FIND(".",_xlpm.cleanRaw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6" t="str">
        <f>_xlfn.LET(_xlpm.raw,_xlfn.XLOOKUP(A1106,'Pinlist(S5)'!$C$4:$C$1362,'Pinlist(S5)'!$E$4:$E$1362,""),_xlpm.cleanRaw,SUBSTITUTE(SUBSTITUTE(_xlpm.raw,"_PIN","."),"PIN","."),_xlpm.mainPart,MID(_xlpm.cleanRaw,2,FIND(".",_xlpm.cleanRaw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6" t="str">
        <f>""</f>
        <v/>
      </c>
      <c r="J1106" t="str">
        <f t="shared" si="17"/>
        <v>AU63;VCCGTU;;35.578;19.512;;;;</v>
      </c>
    </row>
    <row r="1107" spans="1:10">
      <c r="A1107" t="s">
        <v>562</v>
      </c>
      <c r="B1107" t="str">
        <f>_xlfn.XLOOKUP(A1107,'Pinlist(S1)'!$Q$4:$Q$1362,'Pinlist(S1)'!$R$4:$R$1362,"")</f>
        <v>DDRDQ_IL12_NIL06[7]</v>
      </c>
      <c r="C1107" t="str" cm="1">
        <f t="array" ref="C1107">_xlfn.TEXTJOIN(",",TRUE,_xlfn.UNIQUE(TRANSPOSE(_xlfn.MAP(_xlfn.XLOOKUP(A1107,'Pinlist(S1)'!$C$4:$C$1362,'Pinlist(S1)'!$F$4:$K$1362,""),_xlfn.LAMBDA(_xlpm.x,IF(_xlpm.x&lt;&gt;"",TRIM(CLEAN(LEFT(_xlpm.x,FIND(".",_xlpm.x &amp; ".")-1))),""))))))</f>
        <v/>
      </c>
      <c r="D1107">
        <v>36.492999999999903</v>
      </c>
      <c r="E1107">
        <v>19.512</v>
      </c>
      <c r="F1107" t="str">
        <f>_xlfn.LET(_xlpm.raw,_xlfn.XLOOKUP(A1107,'Pinlist(S1)'!$C$4:$C$1362,'Pinlist(S1)'!$E$4:$E$1362,""),_xlpm.cleanRaw,SUBSTITUTE(SUBSTITUTE(_xlpm.raw,"_PIN","."),"PIN","."),_xlpm.mainPart,MID(_xlpm.cleanRaw,2,FIND(".",_xlpm.cleanRaw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607036</v>
      </c>
      <c r="G1107" t="str">
        <f>_xlfn.LET(_xlpm.raw,_xlfn.XLOOKUP(A1107,'Pinlist(S3)'!$C$4:$C$1362,'Pinlist(S3)'!$E$4:$E$1362,""),_xlpm.cleanRaw,SUBSTITUTE(SUBSTITUTE(_xlpm.raw,"_PIN","."),"PIN","."),_xlpm.mainPart,MID(_xlpm.cleanRaw,2,FIND(".",_xlpm.cleanRaw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801036</v>
      </c>
      <c r="H1107" t="str">
        <f>_xlfn.LET(_xlpm.raw,_xlfn.XLOOKUP(A1107,'Pinlist(S5)'!$C$4:$C$1362,'Pinlist(S5)'!$E$4:$E$1362,""),_xlpm.cleanRaw,SUBSTITUTE(SUBSTITUTE(_xlpm.raw,"_PIN","."),"PIN","."),_xlpm.mainPart,MID(_xlpm.cleanRaw,2,FIND(".",_xlpm.cleanRaw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706036</v>
      </c>
      <c r="I1107" t="str">
        <f>""</f>
        <v/>
      </c>
      <c r="J1107" t="str">
        <f t="shared" si="17"/>
        <v>AU65;DDRDQ_IL12_NIL06[7];;36.4929999999999;19.512;607036;801036;706036;</v>
      </c>
    </row>
    <row r="1108" spans="1:10">
      <c r="A1108" t="s">
        <v>550</v>
      </c>
      <c r="B1108" t="str">
        <f>_xlfn.XLOOKUP(A1108,'Pinlist(S1)'!$Q$4:$Q$1362,'Pinlist(S1)'!$R$4:$R$1362,"")</f>
        <v>DDRDQ_IL12_NIL06[1]</v>
      </c>
      <c r="C1108" t="str" cm="1">
        <f t="array" ref="C1108">_xlfn.TEXTJOIN(",",TRUE,_xlfn.UNIQUE(TRANSPOSE(_xlfn.MAP(_xlfn.XLOOKUP(A1108,'Pinlist(S1)'!$C$4:$C$1362,'Pinlist(S1)'!$F$4:$K$1362,""),_xlfn.LAMBDA(_xlpm.x,IF(_xlpm.x&lt;&gt;"",TRIM(CLEAN(LEFT(_xlpm.x,FIND(".",_xlpm.x &amp; ".")-1))),""))))))</f>
        <v/>
      </c>
      <c r="D1108">
        <v>37.406999999999996</v>
      </c>
      <c r="E1108">
        <v>19.512</v>
      </c>
      <c r="F1108" t="str">
        <f>_xlfn.LET(_xlpm.raw,_xlfn.XLOOKUP(A1108,'Pinlist(S1)'!$C$4:$C$1362,'Pinlist(S1)'!$E$4:$E$1362,""),_xlpm.cleanRaw,SUBSTITUTE(SUBSTITUTE(_xlpm.raw,"_PIN","."),"PIN","."),_xlpm.mainPart,MID(_xlpm.cleanRaw,2,FIND(".",_xlpm.cleanRaw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606104</v>
      </c>
      <c r="G1108" t="str">
        <f>_xlfn.LET(_xlpm.raw,_xlfn.XLOOKUP(A1108,'Pinlist(S3)'!$C$4:$C$1362,'Pinlist(S3)'!$E$4:$E$1362,""),_xlpm.cleanRaw,SUBSTITUTE(SUBSTITUTE(_xlpm.raw,"_PIN","."),"PIN","."),_xlpm.mainPart,MID(_xlpm.cleanRaw,2,FIND(".",_xlpm.cleanRaw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501104</v>
      </c>
      <c r="H1108" t="str">
        <f>_xlfn.LET(_xlpm.raw,_xlfn.XLOOKUP(A1108,'Pinlist(S5)'!$C$4:$C$1362,'Pinlist(S5)'!$E$4:$E$1362,""),_xlpm.cleanRaw,SUBSTITUTE(SUBSTITUTE(_xlpm.raw,"_PIN","."),"PIN","."),_xlpm.mainPart,MID(_xlpm.cleanRaw,2,FIND(".",_xlpm.cleanRaw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707104</v>
      </c>
      <c r="I1108" t="str">
        <f>""</f>
        <v/>
      </c>
      <c r="J1108" t="str">
        <f t="shared" si="17"/>
        <v>AU66;DDRDQ_IL12_NIL06[1];;37.407;19.512;606104;501104;707104;</v>
      </c>
    </row>
    <row r="1109" spans="1:10">
      <c r="A1109" t="s">
        <v>410</v>
      </c>
      <c r="B1109" t="str">
        <f>_xlfn.XLOOKUP(A1109,'Pinlist(S1)'!$Q$4:$Q$1362,'Pinlist(S1)'!$R$4:$R$1362,"")</f>
        <v>DDRDQ_IL01_NIL01[3]</v>
      </c>
      <c r="C1109" t="str" cm="1">
        <f t="array" ref="C1109">_xlfn.TEXTJOIN(",",TRUE,_xlfn.UNIQUE(TRANSPOSE(_xlfn.MAP(_xlfn.XLOOKUP(A1109,'Pinlist(S1)'!$C$4:$C$1362,'Pinlist(S1)'!$F$4:$K$1362,""),_xlfn.LAMBDA(_xlpm.x,IF(_xlpm.x&lt;&gt;"",TRIM(CLEAN(LEFT(_xlpm.x,FIND(".",_xlpm.x &amp; ".")-1))),""))))))</f>
        <v/>
      </c>
      <c r="D1109">
        <v>38.677999999999997</v>
      </c>
      <c r="E1109">
        <v>19.460999999999999</v>
      </c>
      <c r="F1109" t="str">
        <f>_xlfn.LET(_xlpm.raw,_xlfn.XLOOKUP(A1109,'Pinlist(S1)'!$C$4:$C$1362,'Pinlist(S1)'!$E$4:$E$1362,""),_xlpm.cleanRaw,SUBSTITUTE(SUBSTITUTE(_xlpm.raw,"_PIN","."),"PIN","."),_xlpm.mainPart,MID(_xlpm.cleanRaw,2,FIND(".",_xlpm.cleanRaw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606106</v>
      </c>
      <c r="G1109" t="str">
        <f>_xlfn.LET(_xlpm.raw,_xlfn.XLOOKUP(A1109,'Pinlist(S3)'!$C$4:$C$1362,'Pinlist(S3)'!$E$4:$E$1362,""),_xlpm.cleanRaw,SUBSTITUTE(SUBSTITUTE(_xlpm.raw,"_PIN","."),"PIN","."),_xlpm.mainPart,MID(_xlpm.cleanRaw,2,FIND(".",_xlpm.cleanRaw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801030</v>
      </c>
      <c r="H1109" t="str">
        <f>_xlfn.LET(_xlpm.raw,_xlfn.XLOOKUP(A1109,'Pinlist(S5)'!$C$4:$C$1362,'Pinlist(S5)'!$E$4:$E$1362,""),_xlpm.cleanRaw,SUBSTITUTE(SUBSTITUTE(_xlpm.raw,"_PIN","."),"PIN","."),_xlpm.mainPart,MID(_xlpm.cleanRaw,2,FIND(".",_xlpm.cleanRaw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707105</v>
      </c>
      <c r="I1109" t="str">
        <f>""</f>
        <v/>
      </c>
      <c r="J1109" t="str">
        <f t="shared" si="17"/>
        <v>AU68;DDRDQ_IL01_NIL01[3];;38.678;19.461;606106;801030;707105;</v>
      </c>
    </row>
    <row r="1110" spans="1:10">
      <c r="A1110" t="s">
        <v>418</v>
      </c>
      <c r="B1110" t="str">
        <f>_xlfn.XLOOKUP(A1110,'Pinlist(S1)'!$Q$4:$Q$1362,'Pinlist(S1)'!$R$4:$R$1362,"")</f>
        <v>DDRDQ_IL01_NIL01[7]</v>
      </c>
      <c r="C1110" t="str" cm="1">
        <f t="array" ref="C1110">_xlfn.TEXTJOIN(",",TRUE,_xlfn.UNIQUE(TRANSPOSE(_xlfn.MAP(_xlfn.XLOOKUP(A1110,'Pinlist(S1)'!$C$4:$C$1362,'Pinlist(S1)'!$F$4:$K$1362,""),_xlfn.LAMBDA(_xlpm.x,IF(_xlpm.x&lt;&gt;"",TRIM(CLEAN(LEFT(_xlpm.x,FIND(".",_xlpm.x &amp; ".")-1))),""))))))</f>
        <v/>
      </c>
      <c r="D1110">
        <v>39.328000000000003</v>
      </c>
      <c r="E1110">
        <v>19.486000000000001</v>
      </c>
      <c r="F1110" t="str">
        <f>_xlfn.LET(_xlpm.raw,_xlfn.XLOOKUP(A1110,'Pinlist(S1)'!$C$4:$C$1362,'Pinlist(S1)'!$E$4:$E$1362,""),_xlpm.cleanRaw,SUBSTITUTE(SUBSTITUTE(_xlpm.raw,"_PIN","."),"PIN","."),_xlpm.mainPart,MID(_xlpm.cleanRaw,2,FIND(".",_xlpm.cleanRaw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606105</v>
      </c>
      <c r="G1110" t="str">
        <f>_xlfn.LET(_xlpm.raw,_xlfn.XLOOKUP(A1110,'Pinlist(S3)'!$C$4:$C$1362,'Pinlist(S3)'!$E$4:$E$1362,""),_xlpm.cleanRaw,SUBSTITUTE(SUBSTITUTE(_xlpm.raw,"_PIN","."),"PIN","."),_xlpm.mainPart,MID(_xlpm.cleanRaw,2,FIND(".",_xlpm.cleanRaw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801032</v>
      </c>
      <c r="H1110" t="str">
        <f>_xlfn.LET(_xlpm.raw,_xlfn.XLOOKUP(A1110,'Pinlist(S5)'!$C$4:$C$1362,'Pinlist(S5)'!$E$4:$E$1362,""),_xlpm.cleanRaw,SUBSTITUTE(SUBSTITUTE(_xlpm.raw,"_PIN","."),"PIN","."),_xlpm.mainPart,MID(_xlpm.cleanRaw,2,FIND(".",_xlpm.cleanRaw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707103</v>
      </c>
      <c r="I1110" t="str">
        <f>""</f>
        <v/>
      </c>
      <c r="J1110" t="str">
        <f t="shared" si="17"/>
        <v>AU69;DDRDQ_IL01_NIL01[7];;39.328;19.486;606105;801032;707103;</v>
      </c>
    </row>
    <row r="1111" spans="1:10">
      <c r="A1111" t="s">
        <v>416</v>
      </c>
      <c r="B1111" t="str">
        <f>_xlfn.XLOOKUP(A1111,'Pinlist(S1)'!$Q$4:$Q$1362,'Pinlist(S1)'!$R$4:$R$1362,"")</f>
        <v>DDRDQ_IL01_NIL01[6]</v>
      </c>
      <c r="C1111" t="str" cm="1">
        <f t="array" ref="C1111">_xlfn.TEXTJOIN(",",TRUE,_xlfn.UNIQUE(TRANSPOSE(_xlfn.MAP(_xlfn.XLOOKUP(A1111,'Pinlist(S1)'!$C$4:$C$1362,'Pinlist(S1)'!$F$4:$K$1362,""),_xlfn.LAMBDA(_xlpm.x,IF(_xlpm.x&lt;&gt;"",TRIM(CLEAN(LEFT(_xlpm.x,FIND(".",_xlpm.x &amp; ".")-1))),""))))))</f>
        <v/>
      </c>
      <c r="D1111">
        <v>39.978000000000002</v>
      </c>
      <c r="E1111">
        <v>19.486000000000001</v>
      </c>
      <c r="F1111" t="str">
        <f>_xlfn.LET(_xlpm.raw,_xlfn.XLOOKUP(A1111,'Pinlist(S1)'!$C$4:$C$1362,'Pinlist(S1)'!$E$4:$E$1362,""),_xlpm.cleanRaw,SUBSTITUTE(SUBSTITUTE(_xlpm.raw,"_PIN","."),"PIN","."),_xlpm.mainPart,MID(_xlpm.cleanRaw,2,FIND(".",_xlpm.cleanRaw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606103</v>
      </c>
      <c r="G1111" t="str">
        <f>_xlfn.LET(_xlpm.raw,_xlfn.XLOOKUP(A1111,'Pinlist(S3)'!$C$4:$C$1362,'Pinlist(S3)'!$E$4:$E$1362,""),_xlpm.cleanRaw,SUBSTITUTE(SUBSTITUTE(_xlpm.raw,"_PIN","."),"PIN","."),_xlpm.mainPart,MID(_xlpm.cleanRaw,2,FIND(".",_xlpm.cleanRaw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801034</v>
      </c>
      <c r="H1111" t="str">
        <f>_xlfn.LET(_xlpm.raw,_xlfn.XLOOKUP(A1111,'Pinlist(S5)'!$C$4:$C$1362,'Pinlist(S5)'!$E$4:$E$1362,""),_xlpm.cleanRaw,SUBSTITUTE(SUBSTITUTE(_xlpm.raw,"_PIN","."),"PIN","."),_xlpm.mainPart,MID(_xlpm.cleanRaw,2,FIND(".",_xlpm.cleanRaw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707115</v>
      </c>
      <c r="I1111" t="str">
        <f>""</f>
        <v/>
      </c>
      <c r="J1111" t="str">
        <f t="shared" si="17"/>
        <v>AU70;DDRDQ_IL01_NIL01[6];;39.978;19.486;606103;801034;707115;</v>
      </c>
    </row>
    <row r="1112" spans="1:10">
      <c r="A1112" t="s">
        <v>408</v>
      </c>
      <c r="B1112" t="str">
        <f>_xlfn.XLOOKUP(A1112,'Pinlist(S1)'!$Q$4:$Q$1362,'Pinlist(S1)'!$R$4:$R$1362,"")</f>
        <v>DDRDQ_IL01_NIL01[2]</v>
      </c>
      <c r="C1112" t="str" cm="1">
        <f t="array" ref="C1112">_xlfn.TEXTJOIN(",",TRUE,_xlfn.UNIQUE(TRANSPOSE(_xlfn.MAP(_xlfn.XLOOKUP(A1112,'Pinlist(S1)'!$C$4:$C$1362,'Pinlist(S1)'!$F$4:$K$1362,""),_xlfn.LAMBDA(_xlpm.x,IF(_xlpm.x&lt;&gt;"",TRIM(CLEAN(LEFT(_xlpm.x,FIND(".",_xlpm.x &amp; ".")-1))),""))))))</f>
        <v/>
      </c>
      <c r="D1112">
        <v>40.628</v>
      </c>
      <c r="E1112">
        <v>19.486000000000001</v>
      </c>
      <c r="F1112" t="str">
        <f>_xlfn.LET(_xlpm.raw,_xlfn.XLOOKUP(A1112,'Pinlist(S1)'!$C$4:$C$1362,'Pinlist(S1)'!$E$4:$E$1362,""),_xlpm.cleanRaw,SUBSTITUTE(SUBSTITUTE(_xlpm.raw,"_PIN","."),"PIN","."),_xlpm.mainPart,MID(_xlpm.cleanRaw,2,FIND(".",_xlpm.cleanRaw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606115</v>
      </c>
      <c r="G1112" t="str">
        <f>_xlfn.LET(_xlpm.raw,_xlfn.XLOOKUP(A1112,'Pinlist(S3)'!$C$4:$C$1362,'Pinlist(S3)'!$E$4:$E$1362,""),_xlpm.cleanRaw,SUBSTITUTE(SUBSTITUTE(_xlpm.raw,"_PIN","."),"PIN","."),_xlpm.mainPart,MID(_xlpm.cleanRaw,2,FIND(".",_xlpm.cleanRaw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501108</v>
      </c>
      <c r="H1112" t="str">
        <f>_xlfn.LET(_xlpm.raw,_xlfn.XLOOKUP(A1112,'Pinlist(S5)'!$C$4:$C$1362,'Pinlist(S5)'!$E$4:$E$1362,""),_xlpm.cleanRaw,SUBSTITUTE(SUBSTITUTE(_xlpm.raw,"_PIN","."),"PIN","."),_xlpm.mainPart,MID(_xlpm.cleanRaw,2,FIND(".",_xlpm.cleanRaw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707118</v>
      </c>
      <c r="I1112" t="str">
        <f>""</f>
        <v/>
      </c>
      <c r="J1112" t="str">
        <f t="shared" si="17"/>
        <v>AU71;DDRDQ_IL01_NIL01[2];;40.628;19.486;606115;501108;707118;</v>
      </c>
    </row>
    <row r="1113" spans="1:10">
      <c r="A1113" t="s">
        <v>2032</v>
      </c>
      <c r="B1113" t="str">
        <f>_xlfn.XLOOKUP(A1113,'Pinlist(S1)'!$Q$4:$Q$1362,'Pinlist(S1)'!$R$4:$R$1362,"")</f>
        <v>VSS</v>
      </c>
      <c r="C1113" t="str" cm="1">
        <f t="array" ref="C1113">_xlfn.TEXTJOIN(",",TRUE,_xlfn.UNIQUE(TRANSPOSE(_xlfn.MAP(_xlfn.XLOOKUP(A1113,'Pinlist(S1)'!$C$4:$C$1362,'Pinlist(S1)'!$F$4:$K$1362,""),_xlfn.LAMBDA(_xlpm.x,IF(_xlpm.x&lt;&gt;"",TRIM(CLEAN(LEFT(_xlpm.x,FIND(".",_xlpm.x &amp; ".")-1))),""))))))</f>
        <v/>
      </c>
      <c r="D1113">
        <v>0</v>
      </c>
      <c r="E1113">
        <v>20.141999999999999</v>
      </c>
      <c r="F1113" t="str">
        <f>_xlfn.LET(_xlpm.raw,_xlfn.XLOOKUP(A1113,'Pinlist(S1)'!$C$4:$C$1362,'Pinlist(S1)'!$E$4:$E$1362,""),_xlpm.cleanRaw,SUBSTITUTE(SUBSTITUTE(_xlpm.raw,"_PIN","."),"PIN","."),_xlpm.mainPart,MID(_xlpm.cleanRaw,2,FIND(".",_xlpm.cleanRaw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3" t="str">
        <f>_xlfn.LET(_xlpm.raw,_xlfn.XLOOKUP(A1113,'Pinlist(S3)'!$C$4:$C$1362,'Pinlist(S3)'!$E$4:$E$1362,""),_xlpm.cleanRaw,SUBSTITUTE(SUBSTITUTE(_xlpm.raw,"_PIN","."),"PIN","."),_xlpm.mainPart,MID(_xlpm.cleanRaw,2,FIND(".",_xlpm.cleanRaw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3" t="str">
        <f>_xlfn.LET(_xlpm.raw,_xlfn.XLOOKUP(A1113,'Pinlist(S5)'!$C$4:$C$1362,'Pinlist(S5)'!$E$4:$E$1362,""),_xlpm.cleanRaw,SUBSTITUTE(SUBSTITUTE(_xlpm.raw,"_PIN","."),"PIN","."),_xlpm.mainPart,MID(_xlpm.cleanRaw,2,FIND(".",_xlpm.cleanRaw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3" t="str">
        <f>""</f>
        <v/>
      </c>
      <c r="J1113" t="str">
        <f t="shared" si="17"/>
        <v>AV1;VSS;;0;20.142;;;;</v>
      </c>
    </row>
    <row r="1114" spans="1:10">
      <c r="A1114" t="s">
        <v>1400</v>
      </c>
      <c r="B1114" t="str">
        <f>_xlfn.XLOOKUP(A1114,'Pinlist(S1)'!$Q$4:$Q$1362,'Pinlist(S1)'!$R$4:$R$1362,"")</f>
        <v>SPI0_CLK</v>
      </c>
      <c r="C1114" t="str" cm="1">
        <f t="array" ref="C1114">_xlfn.TEXTJOIN(",",TRUE,_xlfn.UNIQUE(TRANSPOSE(_xlfn.MAP(_xlfn.XLOOKUP(A1114,'Pinlist(S1)'!$C$4:$C$1362,'Pinlist(S1)'!$F$4:$K$1362,""),_xlfn.LAMBDA(_xlpm.x,IF(_xlpm.x&lt;&gt;"",TRIM(CLEAN(LEFT(_xlpm.x,FIND(".",_xlpm.x &amp; ".")-1))),""))))))</f>
        <v/>
      </c>
      <c r="D1114">
        <v>0.95000000000000195</v>
      </c>
      <c r="E1114">
        <v>20.113</v>
      </c>
      <c r="F1114" t="str">
        <f>_xlfn.LET(_xlpm.raw,_xlfn.XLOOKUP(A1114,'Pinlist(S1)'!$C$4:$C$1362,'Pinlist(S1)'!$E$4:$E$1362,""),_xlpm.cleanRaw,SUBSTITUTE(SUBSTITUTE(_xlpm.raw,"_PIN","."),"PIN","."),_xlpm.mainPart,MID(_xlpm.cleanRaw,2,FIND(".",_xlpm.cleanRaw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509028</v>
      </c>
      <c r="G1114" t="str">
        <f>_xlfn.LET(_xlpm.raw,_xlfn.XLOOKUP(A1114,'Pinlist(S3)'!$C$4:$C$1362,'Pinlist(S3)'!$E$4:$E$1362,""),_xlpm.cleanRaw,SUBSTITUTE(SUBSTITUTE(_xlpm.raw,"_PIN","."),"PIN","."),_xlpm.mainPart,MID(_xlpm.cleanRaw,2,FIND(".",_xlpm.cleanRaw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804016</v>
      </c>
      <c r="H1114" t="str">
        <f>_xlfn.LET(_xlpm.raw,_xlfn.XLOOKUP(A1114,'Pinlist(S5)'!$C$4:$C$1362,'Pinlist(S5)'!$E$4:$E$1362,""),_xlpm.cleanRaw,SUBSTITUTE(SUBSTITUTE(_xlpm.raw,"_PIN","."),"PIN","."),_xlpm.mainPart,MID(_xlpm.cleanRaw,2,FIND(".",_xlpm.cleanRaw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703018</v>
      </c>
      <c r="I1114" t="str">
        <f>""</f>
        <v/>
      </c>
      <c r="J1114" t="str">
        <f t="shared" si="17"/>
        <v>AV2;SPI0_CLK;;0.950000000000002;20.113;509028;804016;703018;</v>
      </c>
    </row>
    <row r="1115" spans="1:10">
      <c r="A1115" t="s">
        <v>1412</v>
      </c>
      <c r="B1115" t="str">
        <f>_xlfn.XLOOKUP(A1115,'Pinlist(S1)'!$Q$4:$Q$1362,'Pinlist(S1)'!$R$4:$R$1362,"")</f>
        <v>SPI0_MOSI_IO_0</v>
      </c>
      <c r="C1115" t="str" cm="1">
        <f t="array" ref="C1115">_xlfn.TEXTJOIN(",",TRUE,_xlfn.UNIQUE(TRANSPOSE(_xlfn.MAP(_xlfn.XLOOKUP(A1115,'Pinlist(S1)'!$C$4:$C$1362,'Pinlist(S1)'!$F$4:$K$1362,""),_xlfn.LAMBDA(_xlpm.x,IF(_xlpm.x&lt;&gt;"",TRIM(CLEAN(LEFT(_xlpm.x,FIND(".",_xlpm.x &amp; ".")-1))),""))))))</f>
        <v/>
      </c>
      <c r="D1115">
        <v>1.625</v>
      </c>
      <c r="E1115">
        <v>20.113</v>
      </c>
      <c r="F1115" t="str">
        <f>_xlfn.LET(_xlpm.raw,_xlfn.XLOOKUP(A1115,'Pinlist(S1)'!$C$4:$C$1362,'Pinlist(S1)'!$E$4:$E$1362,""),_xlpm.cleanRaw,SUBSTITUTE(SUBSTITUTE(_xlpm.raw,"_PIN","."),"PIN","."),_xlpm.mainPart,MID(_xlpm.cleanRaw,2,FIND(".",_xlpm.cleanRaw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508078</v>
      </c>
      <c r="G1115" t="str">
        <f>_xlfn.LET(_xlpm.raw,_xlfn.XLOOKUP(A1115,'Pinlist(S3)'!$C$4:$C$1362,'Pinlist(S3)'!$E$4:$E$1362,""),_xlpm.cleanRaw,SUBSTITUTE(SUBSTITUTE(_xlpm.raw,"_PIN","."),"PIN","."),_xlpm.mainPart,MID(_xlpm.cleanRaw,2,FIND(".",_xlpm.cleanRaw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806109</v>
      </c>
      <c r="H1115" t="str">
        <f>_xlfn.LET(_xlpm.raw,_xlfn.XLOOKUP(A1115,'Pinlist(S5)'!$C$4:$C$1362,'Pinlist(S5)'!$E$4:$E$1362,""),_xlpm.cleanRaw,SUBSTITUTE(SUBSTITUTE(_xlpm.raw,"_PIN","."),"PIN","."),_xlpm.mainPart,MID(_xlpm.cleanRaw,2,FIND(".",_xlpm.cleanRaw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701119</v>
      </c>
      <c r="I1115" t="str">
        <f>""</f>
        <v/>
      </c>
      <c r="J1115" t="str">
        <f t="shared" si="17"/>
        <v>AV3;SPI0_MOSI_IO_0;;1.625;20.113;508078;806109;701119;</v>
      </c>
    </row>
    <row r="1116" spans="1:10">
      <c r="A1116" t="s">
        <v>2033</v>
      </c>
      <c r="B1116" t="str">
        <f>_xlfn.XLOOKUP(A1116,'Pinlist(S1)'!$Q$4:$Q$1362,'Pinlist(S1)'!$R$4:$R$1362,"")</f>
        <v>VSS</v>
      </c>
      <c r="C1116" t="str" cm="1">
        <f t="array" ref="C1116">_xlfn.TEXTJOIN(",",TRUE,_xlfn.UNIQUE(TRANSPOSE(_xlfn.MAP(_xlfn.XLOOKUP(A1116,'Pinlist(S1)'!$C$4:$C$1362,'Pinlist(S1)'!$F$4:$K$1362,""),_xlfn.LAMBDA(_xlpm.x,IF(_xlpm.x&lt;&gt;"",TRIM(CLEAN(LEFT(_xlpm.x,FIND(".",_xlpm.x &amp; ".")-1))),""))))))</f>
        <v/>
      </c>
      <c r="D1116">
        <v>38.343000000000004</v>
      </c>
      <c r="E1116">
        <v>20.024999999999999</v>
      </c>
      <c r="F1116" t="str">
        <f>_xlfn.LET(_xlpm.raw,_xlfn.XLOOKUP(A1116,'Pinlist(S1)'!$C$4:$C$1362,'Pinlist(S1)'!$E$4:$E$1362,""),_xlpm.cleanRaw,SUBSTITUTE(SUBSTITUTE(_xlpm.raw,"_PIN","."),"PIN","."),_xlpm.mainPart,MID(_xlpm.cleanRaw,2,FIND(".",_xlpm.cleanRaw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6" t="str">
        <f>_xlfn.LET(_xlpm.raw,_xlfn.XLOOKUP(A1116,'Pinlist(S3)'!$C$4:$C$1362,'Pinlist(S3)'!$E$4:$E$1362,""),_xlpm.cleanRaw,SUBSTITUTE(SUBSTITUTE(_xlpm.raw,"_PIN","."),"PIN","."),_xlpm.mainPart,MID(_xlpm.cleanRaw,2,FIND(".",_xlpm.cleanRaw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6" t="str">
        <f>_xlfn.LET(_xlpm.raw,_xlfn.XLOOKUP(A1116,'Pinlist(S5)'!$C$4:$C$1362,'Pinlist(S5)'!$E$4:$E$1362,""),_xlpm.cleanRaw,SUBSTITUTE(SUBSTITUTE(_xlpm.raw,"_PIN","."),"PIN","."),_xlpm.mainPart,MID(_xlpm.cleanRaw,2,FIND(".",_xlpm.cleanRaw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6" t="str">
        <f>""</f>
        <v/>
      </c>
      <c r="J1116" t="str">
        <f t="shared" si="17"/>
        <v>AV68;VSS;;38.343;20.025;;;;</v>
      </c>
    </row>
    <row r="1117" spans="1:10">
      <c r="A1117" t="s">
        <v>2034</v>
      </c>
      <c r="B1117" t="str">
        <f>_xlfn.XLOOKUP(A1117,'Pinlist(S1)'!$Q$4:$Q$1362,'Pinlist(S1)'!$R$4:$R$1362,"")</f>
        <v>VSS</v>
      </c>
      <c r="C1117" t="str" cm="1">
        <f t="array" ref="C1117">_xlfn.TEXTJOIN(",",TRUE,_xlfn.UNIQUE(TRANSPOSE(_xlfn.MAP(_xlfn.XLOOKUP(A1117,'Pinlist(S1)'!$C$4:$C$1362,'Pinlist(S1)'!$F$4:$K$1362,""),_xlfn.LAMBDA(_xlpm.x,IF(_xlpm.x&lt;&gt;"",TRIM(CLEAN(LEFT(_xlpm.x,FIND(".",_xlpm.x &amp; ".")-1))),""))))))</f>
        <v/>
      </c>
      <c r="D1117">
        <v>39.328000000000003</v>
      </c>
      <c r="E1117">
        <v>20.215</v>
      </c>
      <c r="F1117" t="str">
        <f>_xlfn.LET(_xlpm.raw,_xlfn.XLOOKUP(A1117,'Pinlist(S1)'!$C$4:$C$1362,'Pinlist(S1)'!$E$4:$E$1362,""),_xlpm.cleanRaw,SUBSTITUTE(SUBSTITUTE(_xlpm.raw,"_PIN","."),"PIN","."),_xlpm.mainPart,MID(_xlpm.cleanRaw,2,FIND(".",_xlpm.cleanRaw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7" t="str">
        <f>_xlfn.LET(_xlpm.raw,_xlfn.XLOOKUP(A1117,'Pinlist(S3)'!$C$4:$C$1362,'Pinlist(S3)'!$E$4:$E$1362,""),_xlpm.cleanRaw,SUBSTITUTE(SUBSTITUTE(_xlpm.raw,"_PIN","."),"PIN","."),_xlpm.mainPart,MID(_xlpm.cleanRaw,2,FIND(".",_xlpm.cleanRaw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7" t="str">
        <f>_xlfn.LET(_xlpm.raw,_xlfn.XLOOKUP(A1117,'Pinlist(S5)'!$C$4:$C$1362,'Pinlist(S5)'!$E$4:$E$1362,""),_xlpm.cleanRaw,SUBSTITUTE(SUBSTITUTE(_xlpm.raw,"_PIN","."),"PIN","."),_xlpm.mainPart,MID(_xlpm.cleanRaw,2,FIND(".",_xlpm.cleanRaw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7" t="str">
        <f>""</f>
        <v/>
      </c>
      <c r="J1117" t="str">
        <f t="shared" si="17"/>
        <v>AV69;VSS;;39.328;20.215;;;;</v>
      </c>
    </row>
    <row r="1118" spans="1:10">
      <c r="A1118" t="s">
        <v>2035</v>
      </c>
      <c r="B1118" t="str">
        <f>_xlfn.XLOOKUP(A1118,'Pinlist(S1)'!$Q$4:$Q$1362,'Pinlist(S1)'!$R$4:$R$1362,"")</f>
        <v>VSS</v>
      </c>
      <c r="C1118" t="str" cm="1">
        <f t="array" ref="C1118">_xlfn.TEXTJOIN(",",TRUE,_xlfn.UNIQUE(TRANSPOSE(_xlfn.MAP(_xlfn.XLOOKUP(A1118,'Pinlist(S1)'!$C$4:$C$1362,'Pinlist(S1)'!$F$4:$K$1362,""),_xlfn.LAMBDA(_xlpm.x,IF(_xlpm.x&lt;&gt;"",TRIM(CLEAN(LEFT(_xlpm.x,FIND(".",_xlpm.x &amp; ".")-1))),""))))))</f>
        <v/>
      </c>
      <c r="D1118">
        <v>39.978000000000002</v>
      </c>
      <c r="E1118">
        <v>20.215</v>
      </c>
      <c r="F1118" t="str">
        <f>_xlfn.LET(_xlpm.raw,_xlfn.XLOOKUP(A1118,'Pinlist(S1)'!$C$4:$C$1362,'Pinlist(S1)'!$E$4:$E$1362,""),_xlpm.cleanRaw,SUBSTITUTE(SUBSTITUTE(_xlpm.raw,"_PIN","."),"PIN","."),_xlpm.mainPart,MID(_xlpm.cleanRaw,2,FIND(".",_xlpm.cleanRaw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8" t="str">
        <f>_xlfn.LET(_xlpm.raw,_xlfn.XLOOKUP(A1118,'Pinlist(S3)'!$C$4:$C$1362,'Pinlist(S3)'!$E$4:$E$1362,""),_xlpm.cleanRaw,SUBSTITUTE(SUBSTITUTE(_xlpm.raw,"_PIN","."),"PIN","."),_xlpm.mainPart,MID(_xlpm.cleanRaw,2,FIND(".",_xlpm.cleanRaw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8" t="str">
        <f>_xlfn.LET(_xlpm.raw,_xlfn.XLOOKUP(A1118,'Pinlist(S5)'!$C$4:$C$1362,'Pinlist(S5)'!$E$4:$E$1362,""),_xlpm.cleanRaw,SUBSTITUTE(SUBSTITUTE(_xlpm.raw,"_PIN","."),"PIN","."),_xlpm.mainPart,MID(_xlpm.cleanRaw,2,FIND(".",_xlpm.cleanRaw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8" t="str">
        <f>""</f>
        <v/>
      </c>
      <c r="J1118" t="str">
        <f t="shared" si="17"/>
        <v>AV70;VSS;;39.978;20.215;;;;</v>
      </c>
    </row>
    <row r="1119" spans="1:10">
      <c r="A1119" t="s">
        <v>2036</v>
      </c>
      <c r="B1119" t="str">
        <f>_xlfn.XLOOKUP(A1119,'Pinlist(S1)'!$Q$4:$Q$1362,'Pinlist(S1)'!$R$4:$R$1362,"")</f>
        <v>VSS</v>
      </c>
      <c r="C1119" t="str" cm="1">
        <f t="array" ref="C1119">_xlfn.TEXTJOIN(",",TRUE,_xlfn.UNIQUE(TRANSPOSE(_xlfn.MAP(_xlfn.XLOOKUP(A1119,'Pinlist(S1)'!$C$4:$C$1362,'Pinlist(S1)'!$F$4:$K$1362,""),_xlfn.LAMBDA(_xlpm.x,IF(_xlpm.x&lt;&gt;"",TRIM(CLEAN(LEFT(_xlpm.x,FIND(".",_xlpm.x &amp; ".")-1))),""))))))</f>
        <v/>
      </c>
      <c r="D1119">
        <v>40.628</v>
      </c>
      <c r="E1119">
        <v>20.215</v>
      </c>
      <c r="F1119" t="str">
        <f>_xlfn.LET(_xlpm.raw,_xlfn.XLOOKUP(A1119,'Pinlist(S1)'!$C$4:$C$1362,'Pinlist(S1)'!$E$4:$E$1362,""),_xlpm.cleanRaw,SUBSTITUTE(SUBSTITUTE(_xlpm.raw,"_PIN","."),"PIN","."),_xlpm.mainPart,MID(_xlpm.cleanRaw,2,FIND(".",_xlpm.cleanRaw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9" t="str">
        <f>_xlfn.LET(_xlpm.raw,_xlfn.XLOOKUP(A1119,'Pinlist(S3)'!$C$4:$C$1362,'Pinlist(S3)'!$E$4:$E$1362,""),_xlpm.cleanRaw,SUBSTITUTE(SUBSTITUTE(_xlpm.raw,"_PIN","."),"PIN","."),_xlpm.mainPart,MID(_xlpm.cleanRaw,2,FIND(".",_xlpm.cleanRaw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9" t="str">
        <f>_xlfn.LET(_xlpm.raw,_xlfn.XLOOKUP(A1119,'Pinlist(S5)'!$C$4:$C$1362,'Pinlist(S5)'!$E$4:$E$1362,""),_xlpm.cleanRaw,SUBSTITUTE(SUBSTITUTE(_xlpm.raw,"_PIN","."),"PIN","."),_xlpm.mainPart,MID(_xlpm.cleanRaw,2,FIND(".",_xlpm.cleanRaw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9" t="str">
        <f>""</f>
        <v/>
      </c>
      <c r="J1119" t="str">
        <f t="shared" si="17"/>
        <v>AV71;VSS;;40.628;20.215;;;;</v>
      </c>
    </row>
    <row r="1120" spans="1:10">
      <c r="A1120" t="s">
        <v>1450</v>
      </c>
      <c r="B1120" t="str">
        <f>_xlfn.XLOOKUP(A1120,'Pinlist(S1)'!$Q$4:$Q$1362,'Pinlist(S1)'!$R$4:$R$1362,"")</f>
        <v>USB2_PLLMON</v>
      </c>
      <c r="C1120" t="str" cm="1">
        <f t="array" ref="C1120">_xlfn.TEXTJOIN(",",TRUE,_xlfn.UNIQUE(TRANSPOSE(_xlfn.MAP(_xlfn.XLOOKUP(A1120,'Pinlist(S1)'!$C$4:$C$1362,'Pinlist(S1)'!$F$4:$K$1362,""),_xlfn.LAMBDA(_xlpm.x,IF(_xlpm.x&lt;&gt;"",TRIM(CLEAN(LEFT(_xlpm.x,FIND(".",_xlpm.x &amp; ".")-1))),""))))))</f>
        <v/>
      </c>
      <c r="D1120">
        <v>0</v>
      </c>
      <c r="E1120">
        <v>20.864999999999998</v>
      </c>
      <c r="F1120" t="str">
        <f>_xlfn.LET(_xlpm.raw,_xlfn.XLOOKUP(A1120,'Pinlist(S1)'!$C$4:$C$1362,'Pinlist(S1)'!$E$4:$E$1362,""),_xlpm.cleanRaw,SUBSTITUTE(SUBSTITUTE(_xlpm.raw,"_PIN","."),"PIN","."),_xlpm.mainPart,MID(_xlpm.cleanRaw,2,FIND(".",_xlpm.cleanRaw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0" t="str">
        <f>_xlfn.LET(_xlpm.raw,_xlfn.XLOOKUP(A1120,'Pinlist(S3)'!$C$4:$C$1362,'Pinlist(S3)'!$E$4:$E$1362,""),_xlpm.cleanRaw,SUBSTITUTE(SUBSTITUTE(_xlpm.raw,"_PIN","."),"PIN","."),_xlpm.mainPart,MID(_xlpm.cleanRaw,2,FIND(".",_xlpm.cleanRaw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0" t="str">
        <f>_xlfn.LET(_xlpm.raw,_xlfn.XLOOKUP(A1120,'Pinlist(S5)'!$C$4:$C$1362,'Pinlist(S5)'!$E$4:$E$1362,""),_xlpm.cleanRaw,SUBSTITUTE(SUBSTITUTE(_xlpm.raw,"_PIN","."),"PIN","."),_xlpm.mainPart,MID(_xlpm.cleanRaw,2,FIND(".",_xlpm.cleanRaw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0" t="str">
        <f>""</f>
        <v/>
      </c>
      <c r="J1120" t="str">
        <f t="shared" si="17"/>
        <v>AW1;USB2_PLLMON;;0;20.865;;;;</v>
      </c>
    </row>
    <row r="1121" spans="1:10">
      <c r="A1121" t="s">
        <v>1406</v>
      </c>
      <c r="B1121" t="str">
        <f>_xlfn.XLOOKUP(A1121,'Pinlist(S1)'!$Q$4:$Q$1362,'Pinlist(S1)'!$R$4:$R$1362,"")</f>
        <v>SPI0_IO_2</v>
      </c>
      <c r="C1121" t="str" cm="1">
        <f t="array" ref="C1121">_xlfn.TEXTJOIN(",",TRUE,_xlfn.UNIQUE(TRANSPOSE(_xlfn.MAP(_xlfn.XLOOKUP(A1121,'Pinlist(S1)'!$C$4:$C$1362,'Pinlist(S1)'!$F$4:$K$1362,""),_xlfn.LAMBDA(_xlpm.x,IF(_xlpm.x&lt;&gt;"",TRIM(CLEAN(LEFT(_xlpm.x,FIND(".",_xlpm.x &amp; ".")-1))),""))))))</f>
        <v/>
      </c>
      <c r="D1121">
        <v>0.625</v>
      </c>
      <c r="E1121">
        <v>20.675999999999998</v>
      </c>
      <c r="F1121" t="str">
        <f>_xlfn.LET(_xlpm.raw,_xlfn.XLOOKUP(A1121,'Pinlist(S1)'!$C$4:$C$1362,'Pinlist(S1)'!$E$4:$E$1362,""),_xlpm.cleanRaw,SUBSTITUTE(SUBSTITUTE(_xlpm.raw,"_PIN","."),"PIN","."),_xlpm.mainPart,MID(_xlpm.cleanRaw,2,FIND(".",_xlpm.cleanRaw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508080</v>
      </c>
      <c r="G1121" t="str">
        <f>_xlfn.LET(_xlpm.raw,_xlfn.XLOOKUP(A1121,'Pinlist(S3)'!$C$4:$C$1362,'Pinlist(S3)'!$E$4:$E$1362,""),_xlpm.cleanRaw,SUBSTITUTE(SUBSTITUTE(_xlpm.raw,"_PIN","."),"PIN","."),_xlpm.mainPart,MID(_xlpm.cleanRaw,2,FIND(".",_xlpm.cleanRaw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806121</v>
      </c>
      <c r="H1121" t="str">
        <f>_xlfn.LET(_xlpm.raw,_xlfn.XLOOKUP(A1121,'Pinlist(S5)'!$C$4:$C$1362,'Pinlist(S5)'!$E$4:$E$1362,""),_xlpm.cleanRaw,SUBSTITUTE(SUBSTITUTE(_xlpm.raw,"_PIN","."),"PIN","."),_xlpm.mainPart,MID(_xlpm.cleanRaw,2,FIND(".",_xlpm.cleanRaw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701115</v>
      </c>
      <c r="I1121" t="str">
        <f>""</f>
        <v/>
      </c>
      <c r="J1121" t="str">
        <f t="shared" si="17"/>
        <v>AW2;SPI0_IO_2;;0.625;20.676;508080;806121;701115;</v>
      </c>
    </row>
    <row r="1122" spans="1:10">
      <c r="A1122" t="s">
        <v>1410</v>
      </c>
      <c r="B1122" t="str">
        <f>_xlfn.XLOOKUP(A1122,'Pinlist(S1)'!$Q$4:$Q$1362,'Pinlist(S1)'!$R$4:$R$1362,"")</f>
        <v>SPI0_MISO_IO_1</v>
      </c>
      <c r="C1122" t="str" cm="1">
        <f t="array" ref="C1122">_xlfn.TEXTJOIN(",",TRUE,_xlfn.UNIQUE(TRANSPOSE(_xlfn.MAP(_xlfn.XLOOKUP(A1122,'Pinlist(S1)'!$C$4:$C$1362,'Pinlist(S1)'!$F$4:$K$1362,""),_xlfn.LAMBDA(_xlpm.x,IF(_xlpm.x&lt;&gt;"",TRIM(CLEAN(LEFT(_xlpm.x,FIND(".",_xlpm.x &amp; ".")-1))),""))))))</f>
        <v/>
      </c>
      <c r="D1122">
        <v>1.2749999999999899</v>
      </c>
      <c r="E1122">
        <v>20.675999999999998</v>
      </c>
      <c r="F1122" t="str">
        <f>_xlfn.LET(_xlpm.raw,_xlfn.XLOOKUP(A1122,'Pinlist(S1)'!$C$4:$C$1362,'Pinlist(S1)'!$E$4:$E$1362,""),_xlpm.cleanRaw,SUBSTITUTE(SUBSTITUTE(_xlpm.raw,"_PIN","."),"PIN","."),_xlpm.mainPart,MID(_xlpm.cleanRaw,2,FIND(".",_xlpm.cleanRaw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507121</v>
      </c>
      <c r="G1122" t="str">
        <f>_xlfn.LET(_xlpm.raw,_xlfn.XLOOKUP(A1122,'Pinlist(S3)'!$C$4:$C$1362,'Pinlist(S3)'!$E$4:$E$1362,""),_xlpm.cleanRaw,SUBSTITUTE(SUBSTITUTE(_xlpm.raw,"_PIN","."),"PIN","."),_xlpm.mainPart,MID(_xlpm.cleanRaw,2,FIND(".",_xlpm.cleanRaw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805071</v>
      </c>
      <c r="H1122" t="str">
        <f>_xlfn.LET(_xlpm.raw,_xlfn.XLOOKUP(A1122,'Pinlist(S5)'!$C$4:$C$1362,'Pinlist(S5)'!$E$4:$E$1362,""),_xlpm.cleanRaw,SUBSTITUTE(SUBSTITUTE(_xlpm.raw,"_PIN","."),"PIN","."),_xlpm.mainPart,MID(_xlpm.cleanRaw,2,FIND(".",_xlpm.cleanRaw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702076</v>
      </c>
      <c r="I1122" t="str">
        <f>""</f>
        <v/>
      </c>
      <c r="J1122" t="str">
        <f t="shared" si="17"/>
        <v>AW3;SPI0_MISO_IO_1;;1.27499999999999;20.676;507121;805071;702076;</v>
      </c>
    </row>
    <row r="1123" spans="1:10">
      <c r="A1123" t="s">
        <v>2051</v>
      </c>
      <c r="B1123" t="str">
        <f>_xlfn.XLOOKUP(A1123,'Pinlist(S1)'!$Q$4:$Q$1362,'Pinlist(S1)'!$R$4:$R$1362,"")</f>
        <v>VSS</v>
      </c>
      <c r="C1123" t="str" cm="1">
        <f t="array" ref="C1123">_xlfn.TEXTJOIN(",",TRUE,_xlfn.UNIQUE(TRANSPOSE(_xlfn.MAP(_xlfn.XLOOKUP(A1123,'Pinlist(S1)'!$C$4:$C$1362,'Pinlist(S1)'!$F$4:$K$1362,""),_xlfn.LAMBDA(_xlpm.x,IF(_xlpm.x&lt;&gt;"",TRIM(CLEAN(LEFT(_xlpm.x,FIND(".",_xlpm.x &amp; ".")-1))),""))))))</f>
        <v/>
      </c>
      <c r="D1123">
        <v>2.0750000000000002</v>
      </c>
      <c r="E1123">
        <v>20.677</v>
      </c>
      <c r="F1123" t="str">
        <f>_xlfn.LET(_xlpm.raw,_xlfn.XLOOKUP(A1123,'Pinlist(S1)'!$C$4:$C$1362,'Pinlist(S1)'!$E$4:$E$1362,""),_xlpm.cleanRaw,SUBSTITUTE(SUBSTITUTE(_xlpm.raw,"_PIN","."),"PIN","."),_xlpm.mainPart,MID(_xlpm.cleanRaw,2,FIND(".",_xlpm.cleanRaw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3" t="str">
        <f>_xlfn.LET(_xlpm.raw,_xlfn.XLOOKUP(A1123,'Pinlist(S3)'!$C$4:$C$1362,'Pinlist(S3)'!$E$4:$E$1362,""),_xlpm.cleanRaw,SUBSTITUTE(SUBSTITUTE(_xlpm.raw,"_PIN","."),"PIN","."),_xlpm.mainPart,MID(_xlpm.cleanRaw,2,FIND(".",_xlpm.cleanRaw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3" t="str">
        <f>_xlfn.LET(_xlpm.raw,_xlfn.XLOOKUP(A1123,'Pinlist(S5)'!$C$4:$C$1362,'Pinlist(S5)'!$E$4:$E$1362,""),_xlpm.cleanRaw,SUBSTITUTE(SUBSTITUTE(_xlpm.raw,"_PIN","."),"PIN","."),_xlpm.mainPart,MID(_xlpm.cleanRaw,2,FIND(".",_xlpm.cleanRaw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3" t="str">
        <f>""</f>
        <v/>
      </c>
      <c r="J1123" t="str">
        <f t="shared" si="17"/>
        <v>AW4;VSS;;2.075;20.677;;;;</v>
      </c>
    </row>
    <row r="1124" spans="1:10">
      <c r="A1124" t="s">
        <v>855</v>
      </c>
      <c r="B1124" t="str">
        <f>_xlfn.XLOOKUP(A1124,'Pinlist(S1)'!$Q$4:$Q$1362,'Pinlist(S1)'!$R$4:$R$1362,"")</f>
        <v>GPP_B_14_SPKR</v>
      </c>
      <c r="C1124" t="str" cm="1">
        <f t="array" ref="C1124">_xlfn.TEXTJOIN(",",TRUE,_xlfn.UNIQUE(TRANSPOSE(_xlfn.MAP(_xlfn.XLOOKUP(A1124,'Pinlist(S1)'!$C$4:$C$1362,'Pinlist(S1)'!$F$4:$K$1362,""),_xlfn.LAMBDA(_xlpm.x,IF(_xlpm.x&lt;&gt;"",TRIM(CLEAN(LEFT(_xlpm.x,FIND(".",_xlpm.x &amp; ".")-1))),""))))))</f>
        <v/>
      </c>
      <c r="D1124">
        <v>2.5329999999999999</v>
      </c>
      <c r="E1124">
        <v>20.225000000000001</v>
      </c>
      <c r="F1124" t="str">
        <f>_xlfn.LET(_xlpm.raw,_xlfn.XLOOKUP(A1124,'Pinlist(S1)'!$C$4:$C$1362,'Pinlist(S1)'!$E$4:$E$1362,""),_xlpm.cleanRaw,SUBSTITUTE(SUBSTITUTE(_xlpm.raw,"_PIN","."),"PIN","."),_xlpm.mainPart,MID(_xlpm.cleanRaw,2,FIND(".",_xlpm.cleanRaw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507100</v>
      </c>
      <c r="G1124" t="str">
        <f>_xlfn.LET(_xlpm.raw,_xlfn.XLOOKUP(A1124,'Pinlist(S3)'!$C$4:$C$1362,'Pinlist(S3)'!$E$4:$E$1362,""),_xlpm.cleanRaw,SUBSTITUTE(SUBSTITUTE(_xlpm.raw,"_PIN","."),"PIN","."),_xlpm.mainPart,MID(_xlpm.cleanRaw,2,FIND(".",_xlpm.cleanRaw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806105</v>
      </c>
      <c r="H1124" t="str">
        <f>_xlfn.LET(_xlpm.raw,_xlfn.XLOOKUP(A1124,'Pinlist(S5)'!$C$4:$C$1362,'Pinlist(S5)'!$E$4:$E$1362,""),_xlpm.cleanRaw,SUBSTITUTE(SUBSTITUTE(_xlpm.raw,"_PIN","."),"PIN","."),_xlpm.mainPart,MID(_xlpm.cleanRaw,2,FIND(".",_xlpm.cleanRaw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701103</v>
      </c>
      <c r="I1124" t="str">
        <f>""</f>
        <v/>
      </c>
      <c r="J1124" t="str">
        <f t="shared" si="17"/>
        <v>AW5;GPP_B_14_SPKR;;2.533;20.225;507100;806105;701103;</v>
      </c>
    </row>
    <row r="1125" spans="1:10">
      <c r="A1125" t="s">
        <v>2061</v>
      </c>
      <c r="B1125" t="str">
        <f>_xlfn.XLOOKUP(A1125,'Pinlist(S1)'!$Q$4:$Q$1362,'Pinlist(S1)'!$R$4:$R$1362,"")</f>
        <v>VSS</v>
      </c>
      <c r="C1125" t="str" cm="1">
        <f t="array" ref="C1125">_xlfn.TEXTJOIN(",",TRUE,_xlfn.UNIQUE(TRANSPOSE(_xlfn.MAP(_xlfn.XLOOKUP(A1125,'Pinlist(S1)'!$C$4:$C$1362,'Pinlist(S1)'!$F$4:$K$1362,""),_xlfn.LAMBDA(_xlpm.x,IF(_xlpm.x&lt;&gt;"",TRIM(CLEAN(LEFT(_xlpm.x,FIND(".",_xlpm.x &amp; ".")-1))),""))))))</f>
        <v/>
      </c>
      <c r="D1125">
        <v>3.1839999999999899</v>
      </c>
      <c r="E1125">
        <v>20.352</v>
      </c>
      <c r="F1125" t="str">
        <f>_xlfn.LET(_xlpm.raw,_xlfn.XLOOKUP(A1125,'Pinlist(S1)'!$C$4:$C$1362,'Pinlist(S1)'!$E$4:$E$1362,""),_xlpm.cleanRaw,SUBSTITUTE(SUBSTITUTE(_xlpm.raw,"_PIN","."),"PIN","."),_xlpm.mainPart,MID(_xlpm.cleanRaw,2,FIND(".",_xlpm.cleanRaw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5" t="str">
        <f>_xlfn.LET(_xlpm.raw,_xlfn.XLOOKUP(A1125,'Pinlist(S3)'!$C$4:$C$1362,'Pinlist(S3)'!$E$4:$E$1362,""),_xlpm.cleanRaw,SUBSTITUTE(SUBSTITUTE(_xlpm.raw,"_PIN","."),"PIN","."),_xlpm.mainPart,MID(_xlpm.cleanRaw,2,FIND(".",_xlpm.cleanRaw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5" t="str">
        <f>_xlfn.LET(_xlpm.raw,_xlfn.XLOOKUP(A1125,'Pinlist(S5)'!$C$4:$C$1362,'Pinlist(S5)'!$E$4:$E$1362,""),_xlpm.cleanRaw,SUBSTITUTE(SUBSTITUTE(_xlpm.raw,"_PIN","."),"PIN","."),_xlpm.mainPart,MID(_xlpm.cleanRaw,2,FIND(".",_xlpm.cleanRaw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5" t="str">
        <f>""</f>
        <v/>
      </c>
      <c r="J1125" t="str">
        <f t="shared" si="17"/>
        <v>AW6;VSS;;3.18399999999999;20.352;;;;</v>
      </c>
    </row>
    <row r="1126" spans="1:10">
      <c r="A1126" t="s">
        <v>827</v>
      </c>
      <c r="B1126" t="str">
        <f>_xlfn.XLOOKUP(A1126,'Pinlist(S1)'!$Q$4:$Q$1362,'Pinlist(S1)'!$R$4:$R$1362,"")</f>
        <v>GPP_A_23_ISH_GP_5</v>
      </c>
      <c r="C1126" t="str" cm="1">
        <f t="array" ref="C1126">_xlfn.TEXTJOIN(",",TRUE,_xlfn.UNIQUE(TRANSPOSE(_xlfn.MAP(_xlfn.XLOOKUP(A1126,'Pinlist(S1)'!$C$4:$C$1362,'Pinlist(S1)'!$F$4:$K$1362,""),_xlfn.LAMBDA(_xlpm.x,IF(_xlpm.x&lt;&gt;"",TRIM(CLEAN(LEFT(_xlpm.x,FIND(".",_xlpm.x &amp; ".")-1))),""))))))</f>
        <v/>
      </c>
      <c r="D1126">
        <v>3.75</v>
      </c>
      <c r="E1126">
        <v>20.677</v>
      </c>
      <c r="F1126" t="str">
        <f>_xlfn.LET(_xlpm.raw,_xlfn.XLOOKUP(A1126,'Pinlist(S1)'!$C$4:$C$1362,'Pinlist(S1)'!$E$4:$E$1362,""),_xlpm.cleanRaw,SUBSTITUTE(SUBSTITUTE(_xlpm.raw,"_PIN","."),"PIN","."),_xlpm.mainPart,MID(_xlpm.cleanRaw,2,FIND(".",_xlpm.cleanRaw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507096</v>
      </c>
      <c r="G1126" t="str">
        <f>_xlfn.LET(_xlpm.raw,_xlfn.XLOOKUP(A1126,'Pinlist(S3)'!$C$4:$C$1362,'Pinlist(S3)'!$E$4:$E$1362,""),_xlpm.cleanRaw,SUBSTITUTE(SUBSTITUTE(_xlpm.raw,"_PIN","."),"PIN","."),_xlpm.mainPart,MID(_xlpm.cleanRaw,2,FIND(".",_xlpm.cleanRaw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807009</v>
      </c>
      <c r="H1126" t="str">
        <f>_xlfn.LET(_xlpm.raw,_xlfn.XLOOKUP(A1126,'Pinlist(S5)'!$C$4:$C$1362,'Pinlist(S5)'!$E$4:$E$1362,""),_xlpm.cleanRaw,SUBSTITUTE(SUBSTITUTE(_xlpm.raw,"_PIN","."),"PIN","."),_xlpm.mainPart,MID(_xlpm.cleanRaw,2,FIND(".",_xlpm.cleanRaw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701092</v>
      </c>
      <c r="I1126" t="str">
        <f>""</f>
        <v/>
      </c>
      <c r="J1126" t="str">
        <f t="shared" si="17"/>
        <v>AW7;GPP_A_23_ISH_GP_5;;3.75;20.677;507096;807009;701092;</v>
      </c>
    </row>
    <row r="1127" spans="1:10">
      <c r="A1127" t="s">
        <v>2066</v>
      </c>
      <c r="B1127" t="str">
        <f>_xlfn.XLOOKUP(A1127,'Pinlist(S1)'!$Q$4:$Q$1362,'Pinlist(S1)'!$R$4:$R$1362,"")</f>
        <v>VSS</v>
      </c>
      <c r="C1127" t="str" cm="1">
        <f t="array" ref="C1127">_xlfn.TEXTJOIN(",",TRUE,_xlfn.UNIQUE(TRANSPOSE(_xlfn.MAP(_xlfn.XLOOKUP(A1127,'Pinlist(S1)'!$C$4:$C$1362,'Pinlist(S1)'!$F$4:$K$1362,""),_xlfn.LAMBDA(_xlpm.x,IF(_xlpm.x&lt;&gt;"",TRIM(CLEAN(LEFT(_xlpm.x,FIND(".",_xlpm.x &amp; ".")-1))),""))))))</f>
        <v/>
      </c>
      <c r="D1127">
        <v>4.3280000000000003</v>
      </c>
      <c r="E1127">
        <v>20.352</v>
      </c>
      <c r="F1127" t="str">
        <f>_xlfn.LET(_xlpm.raw,_xlfn.XLOOKUP(A1127,'Pinlist(S1)'!$C$4:$C$1362,'Pinlist(S1)'!$E$4:$E$1362,""),_xlpm.cleanRaw,SUBSTITUTE(SUBSTITUTE(_xlpm.raw,"_PIN","."),"PIN","."),_xlpm.mainPart,MID(_xlpm.cleanRaw,2,FIND(".",_xlpm.cleanRaw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7" t="str">
        <f>_xlfn.LET(_xlpm.raw,_xlfn.XLOOKUP(A1127,'Pinlist(S3)'!$C$4:$C$1362,'Pinlist(S3)'!$E$4:$E$1362,""),_xlpm.cleanRaw,SUBSTITUTE(SUBSTITUTE(_xlpm.raw,"_PIN","."),"PIN","."),_xlpm.mainPart,MID(_xlpm.cleanRaw,2,FIND(".",_xlpm.cleanRaw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7" t="str">
        <f>_xlfn.LET(_xlpm.raw,_xlfn.XLOOKUP(A1127,'Pinlist(S5)'!$C$4:$C$1362,'Pinlist(S5)'!$E$4:$E$1362,""),_xlpm.cleanRaw,SUBSTITUTE(SUBSTITUTE(_xlpm.raw,"_PIN","."),"PIN","."),_xlpm.mainPart,MID(_xlpm.cleanRaw,2,FIND(".",_xlpm.cleanRaw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7" t="str">
        <f>""</f>
        <v/>
      </c>
      <c r="J1127" t="str">
        <f t="shared" si="17"/>
        <v>AW8;VSS;;4.328;20.352;;;;</v>
      </c>
    </row>
    <row r="1128" spans="1:10">
      <c r="A1128" t="s">
        <v>841</v>
      </c>
      <c r="B1128" t="str">
        <f>_xlfn.XLOOKUP(A1128,'Pinlist(S1)'!$Q$4:$Q$1362,'Pinlist(S1)'!$R$4:$R$1362,"")</f>
        <v>GPP_A_9_CLKOUT_LPC_0_ESPI_CLK</v>
      </c>
      <c r="C1128" t="str" cm="1">
        <f t="array" ref="C1128">_xlfn.TEXTJOIN(",",TRUE,_xlfn.UNIQUE(TRANSPOSE(_xlfn.MAP(_xlfn.XLOOKUP(A1128,'Pinlist(S1)'!$C$4:$C$1362,'Pinlist(S1)'!$F$4:$K$1362,""),_xlfn.LAMBDA(_xlpm.x,IF(_xlpm.x&lt;&gt;"",TRIM(CLEAN(LEFT(_xlpm.x,FIND(".",_xlpm.x &amp; ".")-1))),""))))))</f>
        <v>TPA201</v>
      </c>
      <c r="D1128">
        <v>4.8979999999999899</v>
      </c>
      <c r="E1128">
        <v>20.677</v>
      </c>
      <c r="F1128" t="str">
        <f>_xlfn.LET(_xlpm.raw,_xlfn.XLOOKUP(A1128,'Pinlist(S1)'!$C$4:$C$1362,'Pinlist(S1)'!$E$4:$E$1362,""),_xlpm.cleanRaw,SUBSTITUTE(SUBSTITUTE(_xlpm.raw,"_PIN","."),"PIN","."),_xlpm.mainPart,MID(_xlpm.cleanRaw,2,FIND(".",_xlpm.cleanRaw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505080</v>
      </c>
      <c r="G1128" t="str">
        <f>_xlfn.LET(_xlpm.raw,_xlfn.XLOOKUP(A1128,'Pinlist(S3)'!$C$4:$C$1362,'Pinlist(S3)'!$E$4:$E$1362,""),_xlpm.cleanRaw,SUBSTITUTE(SUBSTITUTE(_xlpm.raw,"_PIN","."),"PIN","."),_xlpm.mainPart,MID(_xlpm.cleanRaw,2,FIND(".",_xlpm.cleanRaw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807007</v>
      </c>
      <c r="H1128" t="str">
        <f>_xlfn.LET(_xlpm.raw,_xlfn.XLOOKUP(A1128,'Pinlist(S5)'!$C$4:$C$1362,'Pinlist(S5)'!$E$4:$E$1362,""),_xlpm.cleanRaw,SUBSTITUTE(SUBSTITUTE(_xlpm.raw,"_PIN","."),"PIN","."),_xlpm.mainPart,MID(_xlpm.cleanRaw,2,FIND(".",_xlpm.cleanRaw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701128</v>
      </c>
      <c r="I1128" t="str">
        <f>""</f>
        <v/>
      </c>
      <c r="J1128" t="str">
        <f t="shared" si="17"/>
        <v>AW9;GPP_A_9_CLKOUT_LPC_0_ESPI_CLK;TPA201;4.89799999999999;20.677;505080;807007;701128;</v>
      </c>
    </row>
    <row r="1129" spans="1:10">
      <c r="A1129" t="s">
        <v>2037</v>
      </c>
      <c r="B1129" t="str">
        <f>_xlfn.XLOOKUP(A1129,'Pinlist(S1)'!$Q$4:$Q$1362,'Pinlist(S1)'!$R$4:$R$1362,"")</f>
        <v>VSS</v>
      </c>
      <c r="C1129" t="str" cm="1">
        <f t="array" ref="C1129">_xlfn.TEXTJOIN(",",TRUE,_xlfn.UNIQUE(TRANSPOSE(_xlfn.MAP(_xlfn.XLOOKUP(A1129,'Pinlist(S1)'!$C$4:$C$1362,'Pinlist(S1)'!$F$4:$K$1362,""),_xlfn.LAMBDA(_xlpm.x,IF(_xlpm.x&lt;&gt;"",TRIM(CLEAN(LEFT(_xlpm.x,FIND(".",_xlpm.x &amp; ".")-1))),""))))))</f>
        <v/>
      </c>
      <c r="D1129">
        <v>5.5609999999999999</v>
      </c>
      <c r="E1129">
        <v>20.352</v>
      </c>
      <c r="F1129" t="str">
        <f>_xlfn.LET(_xlpm.raw,_xlfn.XLOOKUP(A1129,'Pinlist(S1)'!$C$4:$C$1362,'Pinlist(S1)'!$E$4:$E$1362,""),_xlpm.cleanRaw,SUBSTITUTE(SUBSTITUTE(_xlpm.raw,"_PIN","."),"PIN","."),_xlpm.mainPart,MID(_xlpm.cleanRaw,2,FIND(".",_xlpm.cleanRaw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9" t="str">
        <f>_xlfn.LET(_xlpm.raw,_xlfn.XLOOKUP(A1129,'Pinlist(S3)'!$C$4:$C$1362,'Pinlist(S3)'!$E$4:$E$1362,""),_xlpm.cleanRaw,SUBSTITUTE(SUBSTITUTE(_xlpm.raw,"_PIN","."),"PIN","."),_xlpm.mainPart,MID(_xlpm.cleanRaw,2,FIND(".",_xlpm.cleanRaw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9" t="str">
        <f>_xlfn.LET(_xlpm.raw,_xlfn.XLOOKUP(A1129,'Pinlist(S5)'!$C$4:$C$1362,'Pinlist(S5)'!$E$4:$E$1362,""),_xlpm.cleanRaw,SUBSTITUTE(SUBSTITUTE(_xlpm.raw,"_PIN","."),"PIN","."),_xlpm.mainPart,MID(_xlpm.cleanRaw,2,FIND(".",_xlpm.cleanRaw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9" t="str">
        <f>""</f>
        <v/>
      </c>
      <c r="J1129" t="str">
        <f t="shared" si="17"/>
        <v>AW10;VSS;;5.561;20.352;;;;</v>
      </c>
    </row>
    <row r="1130" spans="1:10">
      <c r="A1130" t="s">
        <v>839</v>
      </c>
      <c r="B1130" t="str">
        <f>_xlfn.XLOOKUP(A1130,'Pinlist(S1)'!$Q$4:$Q$1362,'Pinlist(S1)'!$R$4:$R$1362,"")</f>
        <v>GPP_A_8_CLKRUNB</v>
      </c>
      <c r="C1130" t="str" cm="1">
        <f t="array" ref="C1130">_xlfn.TEXTJOIN(",",TRUE,_xlfn.UNIQUE(TRANSPOSE(_xlfn.MAP(_xlfn.XLOOKUP(A1130,'Pinlist(S1)'!$C$4:$C$1362,'Pinlist(S1)'!$F$4:$K$1362,""),_xlfn.LAMBDA(_xlpm.x,IF(_xlpm.x&lt;&gt;"",TRIM(CLEAN(LEFT(_xlpm.x,FIND(".",_xlpm.x &amp; ".")-1))),""))))))</f>
        <v/>
      </c>
      <c r="D1130">
        <v>6.1709999999999896</v>
      </c>
      <c r="E1130">
        <v>20.677</v>
      </c>
      <c r="F1130" t="str">
        <f>_xlfn.LET(_xlpm.raw,_xlfn.XLOOKUP(A1130,'Pinlist(S1)'!$C$4:$C$1362,'Pinlist(S1)'!$E$4:$E$1362,""),_xlpm.cleanRaw,SUBSTITUTE(SUBSTITUTE(_xlpm.raw,"_PIN","."),"PIN","."),_xlpm.mainPart,MID(_xlpm.cleanRaw,2,FIND(".",_xlpm.cleanRaw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505049</v>
      </c>
      <c r="G1130" t="str">
        <f>_xlfn.LET(_xlpm.raw,_xlfn.XLOOKUP(A1130,'Pinlist(S3)'!$C$4:$C$1362,'Pinlist(S3)'!$E$4:$E$1362,""),_xlpm.cleanRaw,SUBSTITUTE(SUBSTITUTE(_xlpm.raw,"_PIN","."),"PIN","."),_xlpm.mainPart,MID(_xlpm.cleanRaw,2,FIND(".",_xlpm.cleanRaw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806093</v>
      </c>
      <c r="H1130" t="str">
        <f>_xlfn.LET(_xlpm.raw,_xlfn.XLOOKUP(A1130,'Pinlist(S5)'!$C$4:$C$1362,'Pinlist(S5)'!$E$4:$E$1362,""),_xlpm.cleanRaw,SUBSTITUTE(SUBSTITUTE(_xlpm.raw,"_PIN","."),"PIN","."),_xlpm.mainPart,MID(_xlpm.cleanRaw,2,FIND(".",_xlpm.cleanRaw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701127</v>
      </c>
      <c r="I1130" t="str">
        <f>""</f>
        <v/>
      </c>
      <c r="J1130" t="str">
        <f t="shared" si="17"/>
        <v>AW11;GPP_A_8_CLKRUNB;;6.17099999999999;20.677;505049;806093;701127;</v>
      </c>
    </row>
    <row r="1131" spans="1:10">
      <c r="A1131" t="s">
        <v>2038</v>
      </c>
      <c r="B1131" t="str">
        <f>_xlfn.XLOOKUP(A1131,'Pinlist(S1)'!$Q$4:$Q$1362,'Pinlist(S1)'!$R$4:$R$1362,"")</f>
        <v>VSS</v>
      </c>
      <c r="C1131" t="str" cm="1">
        <f t="array" ref="C1131">_xlfn.TEXTJOIN(",",TRUE,_xlfn.UNIQUE(TRANSPOSE(_xlfn.MAP(_xlfn.XLOOKUP(A1131,'Pinlist(S1)'!$C$4:$C$1362,'Pinlist(S1)'!$F$4:$K$1362,""),_xlfn.LAMBDA(_xlpm.x,IF(_xlpm.x&lt;&gt;"",TRIM(CLEAN(LEFT(_xlpm.x,FIND(".",_xlpm.x &amp; ".")-1))),""))))))</f>
        <v/>
      </c>
      <c r="D1131">
        <v>6.7489999999999997</v>
      </c>
      <c r="E1131">
        <v>20.352</v>
      </c>
      <c r="F1131" t="str">
        <f>_xlfn.LET(_xlpm.raw,_xlfn.XLOOKUP(A1131,'Pinlist(S1)'!$C$4:$C$1362,'Pinlist(S1)'!$E$4:$E$1362,""),_xlpm.cleanRaw,SUBSTITUTE(SUBSTITUTE(_xlpm.raw,"_PIN","."),"PIN","."),_xlpm.mainPart,MID(_xlpm.cleanRaw,2,FIND(".",_xlpm.cleanRaw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1" t="str">
        <f>_xlfn.LET(_xlpm.raw,_xlfn.XLOOKUP(A1131,'Pinlist(S3)'!$C$4:$C$1362,'Pinlist(S3)'!$E$4:$E$1362,""),_xlpm.cleanRaw,SUBSTITUTE(SUBSTITUTE(_xlpm.raw,"_PIN","."),"PIN","."),_xlpm.mainPart,MID(_xlpm.cleanRaw,2,FIND(".",_xlpm.cleanRaw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1" t="str">
        <f>_xlfn.LET(_xlpm.raw,_xlfn.XLOOKUP(A1131,'Pinlist(S5)'!$C$4:$C$1362,'Pinlist(S5)'!$E$4:$E$1362,""),_xlpm.cleanRaw,SUBSTITUTE(SUBSTITUTE(_xlpm.raw,"_PIN","."),"PIN","."),_xlpm.mainPart,MID(_xlpm.cleanRaw,2,FIND(".",_xlpm.cleanRaw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1" t="str">
        <f>""</f>
        <v/>
      </c>
      <c r="J1131" t="str">
        <f t="shared" si="17"/>
        <v>AW12;VSS;;6.749;20.352;;;;</v>
      </c>
    </row>
    <row r="1132" spans="1:10">
      <c r="A1132" t="s">
        <v>795</v>
      </c>
      <c r="B1132" t="str">
        <f>_xlfn.XLOOKUP(A1132,'Pinlist(S1)'!$Q$4:$Q$1362,'Pinlist(S1)'!$R$4:$R$1362,"")</f>
        <v>GPP_A_0_RCINB</v>
      </c>
      <c r="C1132" t="str" cm="1">
        <f t="array" ref="C1132">_xlfn.TEXTJOIN(",",TRUE,_xlfn.UNIQUE(TRANSPOSE(_xlfn.MAP(_xlfn.XLOOKUP(A1132,'Pinlist(S1)'!$C$4:$C$1362,'Pinlist(S1)'!$F$4:$K$1362,""),_xlfn.LAMBDA(_xlpm.x,IF(_xlpm.x&lt;&gt;"",TRIM(CLEAN(LEFT(_xlpm.x,FIND(".",_xlpm.x &amp; ".")-1))),""))))))</f>
        <v/>
      </c>
      <c r="D1132">
        <v>7.319</v>
      </c>
      <c r="E1132">
        <v>20.677</v>
      </c>
      <c r="F1132" t="str">
        <f>_xlfn.LET(_xlpm.raw,_xlfn.XLOOKUP(A1132,'Pinlist(S1)'!$C$4:$C$1362,'Pinlist(S1)'!$E$4:$E$1362,""),_xlpm.cleanRaw,SUBSTITUTE(SUBSTITUTE(_xlpm.raw,"_PIN","."),"PIN","."),_xlpm.mainPart,MID(_xlpm.cleanRaw,2,FIND(".",_xlpm.cleanRaw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505051</v>
      </c>
      <c r="G1132" t="str">
        <f>_xlfn.LET(_xlpm.raw,_xlfn.XLOOKUP(A1132,'Pinlist(S3)'!$C$4:$C$1362,'Pinlist(S3)'!$E$4:$E$1362,""),_xlpm.cleanRaw,SUBSTITUTE(SUBSTITUTE(_xlpm.raw,"_PIN","."),"PIN","."),_xlpm.mainPart,MID(_xlpm.cleanRaw,2,FIND(".",_xlpm.cleanRaw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806117</v>
      </c>
      <c r="H1132" t="str">
        <f>_xlfn.LET(_xlpm.raw,_xlfn.XLOOKUP(A1132,'Pinlist(S5)'!$C$4:$C$1362,'Pinlist(S5)'!$E$4:$E$1362,""),_xlpm.cleanRaw,SUBSTITUTE(SUBSTITUTE(_xlpm.raw,"_PIN","."),"PIN","."),_xlpm.mainPart,MID(_xlpm.cleanRaw,2,FIND(".",_xlpm.cleanRaw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702073</v>
      </c>
      <c r="I1132" t="str">
        <f>""</f>
        <v/>
      </c>
      <c r="J1132" t="str">
        <f t="shared" si="17"/>
        <v>AW13;GPP_A_0_RCINB;;7.319;20.677;505051;806117;702073;</v>
      </c>
    </row>
    <row r="1133" spans="1:10">
      <c r="A1133" t="s">
        <v>2039</v>
      </c>
      <c r="B1133" t="str">
        <f>_xlfn.XLOOKUP(A1133,'Pinlist(S1)'!$Q$4:$Q$1362,'Pinlist(S1)'!$R$4:$R$1362,"")</f>
        <v>VSS</v>
      </c>
      <c r="C1133" t="str" cm="1">
        <f t="array" ref="C1133">_xlfn.TEXTJOIN(",",TRUE,_xlfn.UNIQUE(TRANSPOSE(_xlfn.MAP(_xlfn.XLOOKUP(A1133,'Pinlist(S1)'!$C$4:$C$1362,'Pinlist(S1)'!$F$4:$K$1362,""),_xlfn.LAMBDA(_xlpm.x,IF(_xlpm.x&lt;&gt;"",TRIM(CLEAN(LEFT(_xlpm.x,FIND(".",_xlpm.x &amp; ".")-1))),""))))))</f>
        <v/>
      </c>
      <c r="D1133">
        <v>7.9819999999999904</v>
      </c>
      <c r="E1133">
        <v>20.352</v>
      </c>
      <c r="F1133" t="str">
        <f>_xlfn.LET(_xlpm.raw,_xlfn.XLOOKUP(A1133,'Pinlist(S1)'!$C$4:$C$1362,'Pinlist(S1)'!$E$4:$E$1362,""),_xlpm.cleanRaw,SUBSTITUTE(SUBSTITUTE(_xlpm.raw,"_PIN","."),"PIN","."),_xlpm.mainPart,MID(_xlpm.cleanRaw,2,FIND(".",_xlpm.cleanRaw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3" t="str">
        <f>_xlfn.LET(_xlpm.raw,_xlfn.XLOOKUP(A1133,'Pinlist(S3)'!$C$4:$C$1362,'Pinlist(S3)'!$E$4:$E$1362,""),_xlpm.cleanRaw,SUBSTITUTE(SUBSTITUTE(_xlpm.raw,"_PIN","."),"PIN","."),_xlpm.mainPart,MID(_xlpm.cleanRaw,2,FIND(".",_xlpm.cleanRaw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3" t="str">
        <f>_xlfn.LET(_xlpm.raw,_xlfn.XLOOKUP(A1133,'Pinlist(S5)'!$C$4:$C$1362,'Pinlist(S5)'!$E$4:$E$1362,""),_xlpm.cleanRaw,SUBSTITUTE(SUBSTITUTE(_xlpm.raw,"_PIN","."),"PIN","."),_xlpm.mainPart,MID(_xlpm.cleanRaw,2,FIND(".",_xlpm.cleanRaw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3" t="str">
        <f>""</f>
        <v/>
      </c>
      <c r="J1133" t="str">
        <f t="shared" si="17"/>
        <v>AW14;VSS;;7.98199999999999;20.352;;;;</v>
      </c>
    </row>
    <row r="1134" spans="1:10">
      <c r="A1134" t="s">
        <v>1366</v>
      </c>
      <c r="B1134" t="str">
        <f>_xlfn.XLOOKUP(A1134,'Pinlist(S1)'!$Q$4:$Q$1362,'Pinlist(S1)'!$R$4:$R$1362,"")</f>
        <v>SLP_LANB</v>
      </c>
      <c r="C1134" t="str" cm="1">
        <f t="array" ref="C1134">_xlfn.TEXTJOIN(",",TRUE,_xlfn.UNIQUE(TRANSPOSE(_xlfn.MAP(_xlfn.XLOOKUP(A1134,'Pinlist(S1)'!$C$4:$C$1362,'Pinlist(S1)'!$F$4:$K$1362,""),_xlfn.LAMBDA(_xlpm.x,IF(_xlpm.x&lt;&gt;"",TRIM(CLEAN(LEFT(_xlpm.x,FIND(".",_xlpm.x &amp; ".")-1))),""))))))</f>
        <v/>
      </c>
      <c r="D1134">
        <v>8.5909999999999993</v>
      </c>
      <c r="E1134">
        <v>20.677</v>
      </c>
      <c r="F1134" t="str">
        <f>_xlfn.LET(_xlpm.raw,_xlfn.XLOOKUP(A1134,'Pinlist(S1)'!$C$4:$C$1362,'Pinlist(S1)'!$E$4:$E$1362,""),_xlpm.cleanRaw,SUBSTITUTE(SUBSTITUTE(_xlpm.raw,"_PIN","."),"PIN","."),_xlpm.mainPart,MID(_xlpm.cleanRaw,2,FIND(".",_xlpm.cleanRaw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509011</v>
      </c>
      <c r="G1134" t="str">
        <f>_xlfn.LET(_xlpm.raw,_xlfn.XLOOKUP(A1134,'Pinlist(S3)'!$C$4:$C$1362,'Pinlist(S3)'!$E$4:$E$1362,""),_xlpm.cleanRaw,SUBSTITUTE(SUBSTITUTE(_xlpm.raw,"_PIN","."),"PIN","."),_xlpm.mainPart,MID(_xlpm.cleanRaw,2,FIND(".",_xlpm.cleanRaw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804030</v>
      </c>
      <c r="H1134" t="str">
        <f>_xlfn.LET(_xlpm.raw,_xlfn.XLOOKUP(A1134,'Pinlist(S5)'!$C$4:$C$1362,'Pinlist(S5)'!$E$4:$E$1362,""),_xlpm.cleanRaw,SUBSTITUTE(SUBSTITUTE(_xlpm.raw,"_PIN","."),"PIN","."),_xlpm.mainPart,MID(_xlpm.cleanRaw,2,FIND(".",_xlpm.cleanRaw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703023</v>
      </c>
      <c r="I1134" t="str">
        <f>""</f>
        <v/>
      </c>
      <c r="J1134" t="str">
        <f t="shared" si="17"/>
        <v>AW15;SLP_LANB;;8.591;20.677;509011;804030;703023;</v>
      </c>
    </row>
    <row r="1135" spans="1:10">
      <c r="A1135" t="s">
        <v>2040</v>
      </c>
      <c r="B1135" t="str">
        <f>_xlfn.XLOOKUP(A1135,'Pinlist(S1)'!$Q$4:$Q$1362,'Pinlist(S1)'!$R$4:$R$1362,"")</f>
        <v>VSS</v>
      </c>
      <c r="C1135" t="str" cm="1">
        <f t="array" ref="C1135">_xlfn.TEXTJOIN(",",TRUE,_xlfn.UNIQUE(TRANSPOSE(_xlfn.MAP(_xlfn.XLOOKUP(A1135,'Pinlist(S1)'!$C$4:$C$1362,'Pinlist(S1)'!$F$4:$K$1362,""),_xlfn.LAMBDA(_xlpm.x,IF(_xlpm.x&lt;&gt;"",TRIM(CLEAN(LEFT(_xlpm.x,FIND(".",_xlpm.x &amp; ".")-1))),""))))))</f>
        <v/>
      </c>
      <c r="D1135">
        <v>9.1690000000000005</v>
      </c>
      <c r="E1135">
        <v>20.352</v>
      </c>
      <c r="F1135" t="str">
        <f>_xlfn.LET(_xlpm.raw,_xlfn.XLOOKUP(A1135,'Pinlist(S1)'!$C$4:$C$1362,'Pinlist(S1)'!$E$4:$E$1362,""),_xlpm.cleanRaw,SUBSTITUTE(SUBSTITUTE(_xlpm.raw,"_PIN","."),"PIN","."),_xlpm.mainPart,MID(_xlpm.cleanRaw,2,FIND(".",_xlpm.cleanRaw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5" t="str">
        <f>_xlfn.LET(_xlpm.raw,_xlfn.XLOOKUP(A1135,'Pinlist(S3)'!$C$4:$C$1362,'Pinlist(S3)'!$E$4:$E$1362,""),_xlpm.cleanRaw,SUBSTITUTE(SUBSTITUTE(_xlpm.raw,"_PIN","."),"PIN","."),_xlpm.mainPart,MID(_xlpm.cleanRaw,2,FIND(".",_xlpm.cleanRaw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5" t="str">
        <f>_xlfn.LET(_xlpm.raw,_xlfn.XLOOKUP(A1135,'Pinlist(S5)'!$C$4:$C$1362,'Pinlist(S5)'!$E$4:$E$1362,""),_xlpm.cleanRaw,SUBSTITUTE(SUBSTITUTE(_xlpm.raw,"_PIN","."),"PIN","."),_xlpm.mainPart,MID(_xlpm.cleanRaw,2,FIND(".",_xlpm.cleanRaw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5" t="str">
        <f>""</f>
        <v/>
      </c>
      <c r="J1135" t="str">
        <f t="shared" si="17"/>
        <v>AW16;VSS;;9.169;20.352;;;;</v>
      </c>
    </row>
    <row r="1136" spans="1:10">
      <c r="A1136" t="s">
        <v>777</v>
      </c>
      <c r="B1136" t="str">
        <f>_xlfn.XLOOKUP(A1136,'Pinlist(S1)'!$Q$4:$Q$1362,'Pinlist(S1)'!$R$4:$R$1362,"")</f>
        <v>GPD_11_LANPHYPC</v>
      </c>
      <c r="C1136" t="str" cm="1">
        <f t="array" ref="C1136">_xlfn.TEXTJOIN(",",TRUE,_xlfn.UNIQUE(TRANSPOSE(_xlfn.MAP(_xlfn.XLOOKUP(A1136,'Pinlist(S1)'!$C$4:$C$1362,'Pinlist(S1)'!$F$4:$K$1362,""),_xlfn.LAMBDA(_xlpm.x,IF(_xlpm.x&lt;&gt;"",TRIM(CLEAN(LEFT(_xlpm.x,FIND(".",_xlpm.x &amp; ".")-1))),""))))))</f>
        <v/>
      </c>
      <c r="D1136">
        <v>9.7390000000000008</v>
      </c>
      <c r="E1136">
        <v>20.677</v>
      </c>
      <c r="F1136" t="str">
        <f>_xlfn.LET(_xlpm.raw,_xlfn.XLOOKUP(A1136,'Pinlist(S1)'!$C$4:$C$1362,'Pinlist(S1)'!$E$4:$E$1362,""),_xlpm.cleanRaw,SUBSTITUTE(SUBSTITUTE(_xlpm.raw,"_PIN","."),"PIN","."),_xlpm.mainPart,MID(_xlpm.cleanRaw,2,FIND(".",_xlpm.cleanRaw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509038</v>
      </c>
      <c r="G1136" t="str">
        <f>_xlfn.LET(_xlpm.raw,_xlfn.XLOOKUP(A1136,'Pinlist(S3)'!$C$4:$C$1362,'Pinlist(S3)'!$E$4:$E$1362,""),_xlpm.cleanRaw,SUBSTITUTE(SUBSTITUTE(_xlpm.raw,"_PIN","."),"PIN","."),_xlpm.mainPart,MID(_xlpm.cleanRaw,2,FIND(".",_xlpm.cleanRaw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804034</v>
      </c>
      <c r="H1136" t="str">
        <f>_xlfn.LET(_xlpm.raw,_xlfn.XLOOKUP(A1136,'Pinlist(S5)'!$C$4:$C$1362,'Pinlist(S5)'!$E$4:$E$1362,""),_xlpm.cleanRaw,SUBSTITUTE(SUBSTITUTE(_xlpm.raw,"_PIN","."),"PIN","."),_xlpm.mainPart,MID(_xlpm.cleanRaw,2,FIND(".",_xlpm.cleanRaw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703026</v>
      </c>
      <c r="I1136" t="str">
        <f>""</f>
        <v/>
      </c>
      <c r="J1136" t="str">
        <f t="shared" si="17"/>
        <v>AW17;GPD_11_LANPHYPC;;9.739;20.677;509038;804034;703026;</v>
      </c>
    </row>
    <row r="1137" spans="1:10">
      <c r="A1137" t="s">
        <v>2041</v>
      </c>
      <c r="B1137" t="str">
        <f>_xlfn.XLOOKUP(A1137,'Pinlist(S1)'!$Q$4:$Q$1362,'Pinlist(S1)'!$R$4:$R$1362,"")</f>
        <v>VSS</v>
      </c>
      <c r="C1137" t="str" cm="1">
        <f t="array" ref="C1137">_xlfn.TEXTJOIN(",",TRUE,_xlfn.UNIQUE(TRANSPOSE(_xlfn.MAP(_xlfn.XLOOKUP(A1137,'Pinlist(S1)'!$C$4:$C$1362,'Pinlist(S1)'!$F$4:$K$1362,""),_xlfn.LAMBDA(_xlpm.x,IF(_xlpm.x&lt;&gt;"",TRIM(CLEAN(LEFT(_xlpm.x,FIND(".",_xlpm.x &amp; ".")-1))),""))))))</f>
        <v/>
      </c>
      <c r="D1137">
        <v>10.401999999999999</v>
      </c>
      <c r="E1137">
        <v>20.352</v>
      </c>
      <c r="F1137" t="str">
        <f>_xlfn.LET(_xlpm.raw,_xlfn.XLOOKUP(A1137,'Pinlist(S1)'!$C$4:$C$1362,'Pinlist(S1)'!$E$4:$E$1362,""),_xlpm.cleanRaw,SUBSTITUTE(SUBSTITUTE(_xlpm.raw,"_PIN","."),"PIN","."),_xlpm.mainPart,MID(_xlpm.cleanRaw,2,FIND(".",_xlpm.cleanRaw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7" t="str">
        <f>_xlfn.LET(_xlpm.raw,_xlfn.XLOOKUP(A1137,'Pinlist(S3)'!$C$4:$C$1362,'Pinlist(S3)'!$E$4:$E$1362,""),_xlpm.cleanRaw,SUBSTITUTE(SUBSTITUTE(_xlpm.raw,"_PIN","."),"PIN","."),_xlpm.mainPart,MID(_xlpm.cleanRaw,2,FIND(".",_xlpm.cleanRaw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7" t="str">
        <f>_xlfn.LET(_xlpm.raw,_xlfn.XLOOKUP(A1137,'Pinlist(S5)'!$C$4:$C$1362,'Pinlist(S5)'!$E$4:$E$1362,""),_xlpm.cleanRaw,SUBSTITUTE(SUBSTITUTE(_xlpm.raw,"_PIN","."),"PIN","."),_xlpm.mainPart,MID(_xlpm.cleanRaw,2,FIND(".",_xlpm.cleanRaw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7" t="str">
        <f>""</f>
        <v/>
      </c>
      <c r="J1137" t="str">
        <f t="shared" si="17"/>
        <v>AW18;VSS;;10.402;20.352;;;;</v>
      </c>
    </row>
    <row r="1138" spans="1:10">
      <c r="A1138" t="s">
        <v>1421</v>
      </c>
      <c r="B1138" t="str">
        <f>_xlfn.XLOOKUP(A1138,'Pinlist(S1)'!$Q$4:$Q$1362,'Pinlist(S1)'!$R$4:$R$1362,"")</f>
        <v>SSP1_TXD</v>
      </c>
      <c r="C1138" t="str" cm="1">
        <f t="array" ref="C1138">_xlfn.TEXTJOIN(",",TRUE,_xlfn.UNIQUE(TRANSPOSE(_xlfn.MAP(_xlfn.XLOOKUP(A1138,'Pinlist(S1)'!$C$4:$C$1362,'Pinlist(S1)'!$F$4:$K$1362,""),_xlfn.LAMBDA(_xlpm.x,IF(_xlpm.x&lt;&gt;"",TRIM(CLEAN(LEFT(_xlpm.x,FIND(".",_xlpm.x &amp; ".")-1))),""))))))</f>
        <v>KA141</v>
      </c>
      <c r="D1138">
        <v>11.012</v>
      </c>
      <c r="E1138">
        <v>20.677</v>
      </c>
      <c r="F1138" t="str">
        <f>_xlfn.LET(_xlpm.raw,_xlfn.XLOOKUP(A1138,'Pinlist(S1)'!$C$4:$C$1362,'Pinlist(S1)'!$E$4:$E$1362,""),_xlpm.cleanRaw,SUBSTITUTE(SUBSTITUTE(_xlpm.raw,"_PIN","."),"PIN","."),_xlpm.mainPart,MID(_xlpm.cleanRaw,2,FIND(".",_xlpm.cleanRaw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509016</v>
      </c>
      <c r="G1138" t="str">
        <f>_xlfn.LET(_xlpm.raw,_xlfn.XLOOKUP(A1138,'Pinlist(S3)'!$C$4:$C$1362,'Pinlist(S3)'!$E$4:$E$1362,""),_xlpm.cleanRaw,SUBSTITUTE(SUBSTITUTE(_xlpm.raw,"_PIN","."),"PIN","."),_xlpm.mainPart,MID(_xlpm.cleanRaw,2,FIND(".",_xlpm.cleanRaw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805045</v>
      </c>
      <c r="H1138" t="str">
        <f>_xlfn.LET(_xlpm.raw,_xlfn.XLOOKUP(A1138,'Pinlist(S5)'!$C$4:$C$1362,'Pinlist(S5)'!$E$4:$E$1362,""),_xlpm.cleanRaw,SUBSTITUTE(SUBSTITUTE(_xlpm.raw,"_PIN","."),"PIN","."),_xlpm.mainPart,MID(_xlpm.cleanRaw,2,FIND(".",_xlpm.cleanRaw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702063</v>
      </c>
      <c r="I1138" t="str">
        <f>""</f>
        <v/>
      </c>
      <c r="J1138" t="str">
        <f t="shared" si="17"/>
        <v>AW20;SSP1_TXD;KA141;11.012;20.677;509016;805045;702063;</v>
      </c>
    </row>
    <row r="1139" spans="1:10">
      <c r="A1139" t="s">
        <v>2042</v>
      </c>
      <c r="B1139" t="str">
        <f>_xlfn.XLOOKUP(A1139,'Pinlist(S1)'!$Q$4:$Q$1362,'Pinlist(S1)'!$R$4:$R$1362,"")</f>
        <v>VSS</v>
      </c>
      <c r="C1139" t="str" cm="1">
        <f t="array" ref="C1139">_xlfn.TEXTJOIN(",",TRUE,_xlfn.UNIQUE(TRANSPOSE(_xlfn.MAP(_xlfn.XLOOKUP(A1139,'Pinlist(S1)'!$C$4:$C$1362,'Pinlist(S1)'!$F$4:$K$1362,""),_xlfn.LAMBDA(_xlpm.x,IF(_xlpm.x&lt;&gt;"",TRIM(CLEAN(LEFT(_xlpm.x,FIND(".",_xlpm.x &amp; ".")-1))),""))))))</f>
        <v/>
      </c>
      <c r="D1139">
        <v>11.59</v>
      </c>
      <c r="E1139">
        <v>20.352</v>
      </c>
      <c r="F1139" t="str">
        <f>_xlfn.LET(_xlpm.raw,_xlfn.XLOOKUP(A1139,'Pinlist(S1)'!$C$4:$C$1362,'Pinlist(S1)'!$E$4:$E$1362,""),_xlpm.cleanRaw,SUBSTITUTE(SUBSTITUTE(_xlpm.raw,"_PIN","."),"PIN","."),_xlpm.mainPart,MID(_xlpm.cleanRaw,2,FIND(".",_xlpm.cleanRaw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9" t="str">
        <f>_xlfn.LET(_xlpm.raw,_xlfn.XLOOKUP(A1139,'Pinlist(S3)'!$C$4:$C$1362,'Pinlist(S3)'!$E$4:$E$1362,""),_xlpm.cleanRaw,SUBSTITUTE(SUBSTITUTE(_xlpm.raw,"_PIN","."),"PIN","."),_xlpm.mainPart,MID(_xlpm.cleanRaw,2,FIND(".",_xlpm.cleanRaw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9" t="str">
        <f>_xlfn.LET(_xlpm.raw,_xlfn.XLOOKUP(A1139,'Pinlist(S5)'!$C$4:$C$1362,'Pinlist(S5)'!$E$4:$E$1362,""),_xlpm.cleanRaw,SUBSTITUTE(SUBSTITUTE(_xlpm.raw,"_PIN","."),"PIN","."),_xlpm.mainPart,MID(_xlpm.cleanRaw,2,FIND(".",_xlpm.cleanRaw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9" t="str">
        <f>""</f>
        <v/>
      </c>
      <c r="J1139" t="str">
        <f t="shared" si="17"/>
        <v>AW21;VSS;;11.59;20.352;;;;</v>
      </c>
    </row>
    <row r="1140" spans="1:10">
      <c r="A1140" t="s">
        <v>15</v>
      </c>
      <c r="B1140" t="str">
        <f>_xlfn.XLOOKUP(A1140,'Pinlist(S1)'!$Q$4:$Q$1362,'Pinlist(S1)'!$R$4:$R$1362,"")</f>
        <v>AZA_RSTB_SSP1_SCLK</v>
      </c>
      <c r="C1140" t="str" cm="1">
        <f t="array" ref="C1140">_xlfn.TEXTJOIN(",",TRUE,_xlfn.UNIQUE(TRANSPOSE(_xlfn.MAP(_xlfn.XLOOKUP(A1140,'Pinlist(S1)'!$C$4:$C$1362,'Pinlist(S1)'!$F$4:$K$1362,""),_xlfn.LAMBDA(_xlpm.x,IF(_xlpm.x&lt;&gt;"",TRIM(CLEAN(LEFT(_xlpm.x,FIND(".",_xlpm.x &amp; ".")-1))),""))))))</f>
        <v>KA144</v>
      </c>
      <c r="D1140">
        <v>12.16</v>
      </c>
      <c r="E1140">
        <v>20.677</v>
      </c>
      <c r="F1140" t="str">
        <f>_xlfn.LET(_xlpm.raw,_xlfn.XLOOKUP(A1140,'Pinlist(S1)'!$C$4:$C$1362,'Pinlist(S1)'!$E$4:$E$1362,""),_xlpm.cleanRaw,SUBSTITUTE(SUBSTITUTE(_xlpm.raw,"_PIN","."),"PIN","."),_xlpm.mainPart,MID(_xlpm.cleanRaw,2,FIND(".",_xlpm.cleanRaw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G1140" t="str">
        <f>_xlfn.LET(_xlpm.raw,_xlfn.XLOOKUP(A1140,'Pinlist(S3)'!$C$4:$C$1362,'Pinlist(S3)'!$E$4:$E$1362,""),_xlpm.cleanRaw,SUBSTITUTE(SUBSTITUTE(_xlpm.raw,"_PIN","."),"PIN","."),_xlpm.mainPart,MID(_xlpm.cleanRaw,2,FIND(".",_xlpm.cleanRaw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805049</v>
      </c>
      <c r="H1140" t="str">
        <f>_xlfn.LET(_xlpm.raw,_xlfn.XLOOKUP(A1140,'Pinlist(S5)'!$C$4:$C$1362,'Pinlist(S5)'!$E$4:$E$1362,""),_xlpm.cleanRaw,SUBSTITUTE(SUBSTITUTE(_xlpm.raw,"_PIN","."),"PIN","."),_xlpm.mainPart,MID(_xlpm.cleanRaw,2,FIND(".",_xlpm.cleanRaw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703002</v>
      </c>
      <c r="I1140" t="str">
        <f>""</f>
        <v/>
      </c>
      <c r="J1140" t="str">
        <f t="shared" si="17"/>
        <v>AW22;AZA_RSTB_SSP1_SCLK;KA144;12.16;20.677;509014;805049;703002;</v>
      </c>
    </row>
    <row r="1141" spans="1:10">
      <c r="A1141" t="s">
        <v>2043</v>
      </c>
      <c r="B1141" t="str">
        <f>_xlfn.XLOOKUP(A1141,'Pinlist(S1)'!$Q$4:$Q$1362,'Pinlist(S1)'!$R$4:$R$1362,"")</f>
        <v>VSS</v>
      </c>
      <c r="C1141" t="str" cm="1">
        <f t="array" ref="C1141">_xlfn.TEXTJOIN(",",TRUE,_xlfn.UNIQUE(TRANSPOSE(_xlfn.MAP(_xlfn.XLOOKUP(A1141,'Pinlist(S1)'!$C$4:$C$1362,'Pinlist(S1)'!$F$4:$K$1362,""),_xlfn.LAMBDA(_xlpm.x,IF(_xlpm.x&lt;&gt;"",TRIM(CLEAN(LEFT(_xlpm.x,FIND(".",_xlpm.x &amp; ".")-1))),""))))))</f>
        <v/>
      </c>
      <c r="D1141">
        <v>12.8479999999999</v>
      </c>
      <c r="E1141">
        <v>20.352</v>
      </c>
      <c r="F1141" t="str">
        <f>_xlfn.LET(_xlpm.raw,_xlfn.XLOOKUP(A1141,'Pinlist(S1)'!$C$4:$C$1362,'Pinlist(S1)'!$E$4:$E$1362,""),_xlpm.cleanRaw,SUBSTITUTE(SUBSTITUTE(_xlpm.raw,"_PIN","."),"PIN","."),_xlpm.mainPart,MID(_xlpm.cleanRaw,2,FIND(".",_xlpm.cleanRaw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1" t="str">
        <f>_xlfn.LET(_xlpm.raw,_xlfn.XLOOKUP(A1141,'Pinlist(S3)'!$C$4:$C$1362,'Pinlist(S3)'!$E$4:$E$1362,""),_xlpm.cleanRaw,SUBSTITUTE(SUBSTITUTE(_xlpm.raw,"_PIN","."),"PIN","."),_xlpm.mainPart,MID(_xlpm.cleanRaw,2,FIND(".",_xlpm.cleanRaw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1" t="str">
        <f>_xlfn.LET(_xlpm.raw,_xlfn.XLOOKUP(A1141,'Pinlist(S5)'!$C$4:$C$1362,'Pinlist(S5)'!$E$4:$E$1362,""),_xlpm.cleanRaw,SUBSTITUTE(SUBSTITUTE(_xlpm.raw,"_PIN","."),"PIN","."),_xlpm.mainPart,MID(_xlpm.cleanRaw,2,FIND(".",_xlpm.cleanRaw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1" t="str">
        <f>""</f>
        <v/>
      </c>
      <c r="J1141" t="str">
        <f t="shared" si="17"/>
        <v>AW23;VSS;;12.8479999999999;20.352;;;;</v>
      </c>
    </row>
    <row r="1142" spans="1:10">
      <c r="A1142" t="s">
        <v>506</v>
      </c>
      <c r="B1142" t="str">
        <f>_xlfn.XLOOKUP(A1142,'Pinlist(S1)'!$Q$4:$Q$1362,'Pinlist(S1)'!$R$4:$R$1362,"")</f>
        <v>DDRDQ_IL07_NIL15[3]</v>
      </c>
      <c r="C1142" t="str" cm="1">
        <f t="array" ref="C1142">_xlfn.TEXTJOIN(",",TRUE,_xlfn.UNIQUE(TRANSPOSE(_xlfn.MAP(_xlfn.XLOOKUP(A1142,'Pinlist(S1)'!$C$4:$C$1362,'Pinlist(S1)'!$F$4:$K$1362,""),_xlfn.LAMBDA(_xlpm.x,IF(_xlpm.x&lt;&gt;"",TRIM(CLEAN(LEFT(_xlpm.x,FIND(".",_xlpm.x &amp; ".")-1))),""))))))</f>
        <v/>
      </c>
      <c r="D1142">
        <v>13.486000000000001</v>
      </c>
      <c r="E1142">
        <v>20.677</v>
      </c>
      <c r="F1142" t="str">
        <f>_xlfn.LET(_xlpm.raw,_xlfn.XLOOKUP(A1142,'Pinlist(S1)'!$C$4:$C$1362,'Pinlist(S1)'!$E$4:$E$1362,""),_xlpm.cleanRaw,SUBSTITUTE(SUBSTITUTE(_xlpm.raw,"_PIN","."),"PIN","."),_xlpm.mainPart,MID(_xlpm.cleanRaw,2,FIND(".",_xlpm.cleanRaw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609093</v>
      </c>
      <c r="G1142" t="str">
        <f>_xlfn.LET(_xlpm.raw,_xlfn.XLOOKUP(A1142,'Pinlist(S3)'!$C$4:$C$1362,'Pinlist(S3)'!$E$4:$E$1362,""),_xlpm.cleanRaw,SUBSTITUTE(SUBSTITUTE(_xlpm.raw,"_PIN","."),"PIN","."),_xlpm.mainPart,MID(_xlpm.cleanRaw,2,FIND(".",_xlpm.cleanRaw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803110</v>
      </c>
      <c r="H1142" t="str">
        <f>_xlfn.LET(_xlpm.raw,_xlfn.XLOOKUP(A1142,'Pinlist(S5)'!$C$4:$C$1362,'Pinlist(S5)'!$E$4:$E$1362,""),_xlpm.cleanRaw,SUBSTITUTE(SUBSTITUTE(_xlpm.raw,"_PIN","."),"PIN","."),_xlpm.mainPart,MID(_xlpm.cleanRaw,2,FIND(".",_xlpm.cleanRaw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704110</v>
      </c>
      <c r="I1142" t="str">
        <f>""</f>
        <v/>
      </c>
      <c r="J1142" t="str">
        <f t="shared" si="17"/>
        <v>AW25;DDRDQ_IL07_NIL15[3];;13.486;20.677;609093;803110;704110;</v>
      </c>
    </row>
    <row r="1143" spans="1:10">
      <c r="A1143" t="s">
        <v>2044</v>
      </c>
      <c r="B1143" t="str">
        <f>_xlfn.XLOOKUP(A1143,'Pinlist(S1)'!$Q$4:$Q$1362,'Pinlist(S1)'!$R$4:$R$1362,"")</f>
        <v>VSS</v>
      </c>
      <c r="C1143" t="str" cm="1">
        <f t="array" ref="C1143">_xlfn.TEXTJOIN(",",TRUE,_xlfn.UNIQUE(TRANSPOSE(_xlfn.MAP(_xlfn.XLOOKUP(A1143,'Pinlist(S1)'!$C$4:$C$1362,'Pinlist(S1)'!$F$4:$K$1362,""),_xlfn.LAMBDA(_xlpm.x,IF(_xlpm.x&lt;&gt;"",TRIM(CLEAN(LEFT(_xlpm.x,FIND(".",_xlpm.x &amp; ".")-1))),""))))))</f>
        <v/>
      </c>
      <c r="D1143">
        <v>14.05</v>
      </c>
      <c r="E1143">
        <v>20.352</v>
      </c>
      <c r="F1143" t="str">
        <f>_xlfn.LET(_xlpm.raw,_xlfn.XLOOKUP(A1143,'Pinlist(S1)'!$C$4:$C$1362,'Pinlist(S1)'!$E$4:$E$1362,""),_xlpm.cleanRaw,SUBSTITUTE(SUBSTITUTE(_xlpm.raw,"_PIN","."),"PIN","."),_xlpm.mainPart,MID(_xlpm.cleanRaw,2,FIND(".",_xlpm.cleanRaw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3" t="str">
        <f>_xlfn.LET(_xlpm.raw,_xlfn.XLOOKUP(A1143,'Pinlist(S3)'!$C$4:$C$1362,'Pinlist(S3)'!$E$4:$E$1362,""),_xlpm.cleanRaw,SUBSTITUTE(SUBSTITUTE(_xlpm.raw,"_PIN","."),"PIN","."),_xlpm.mainPart,MID(_xlpm.cleanRaw,2,FIND(".",_xlpm.cleanRaw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3" t="str">
        <f>_xlfn.LET(_xlpm.raw,_xlfn.XLOOKUP(A1143,'Pinlist(S5)'!$C$4:$C$1362,'Pinlist(S5)'!$E$4:$E$1362,""),_xlpm.cleanRaw,SUBSTITUTE(SUBSTITUTE(_xlpm.raw,"_PIN","."),"PIN","."),_xlpm.mainPart,MID(_xlpm.cleanRaw,2,FIND(".",_xlpm.cleanRaw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3" t="str">
        <f>""</f>
        <v/>
      </c>
      <c r="J1143" t="str">
        <f t="shared" si="17"/>
        <v>AW26;VSS;;14.05;20.352;;;;</v>
      </c>
    </row>
    <row r="1144" spans="1:10">
      <c r="A1144" t="s">
        <v>502</v>
      </c>
      <c r="B1144" t="str">
        <f>_xlfn.XLOOKUP(A1144,'Pinlist(S1)'!$Q$4:$Q$1362,'Pinlist(S1)'!$R$4:$R$1362,"")</f>
        <v>DDRDQ_IL07_NIL15[1]</v>
      </c>
      <c r="C1144" t="str" cm="1">
        <f t="array" ref="C1144">_xlfn.TEXTJOIN(",",TRUE,_xlfn.UNIQUE(TRANSPOSE(_xlfn.MAP(_xlfn.XLOOKUP(A1144,'Pinlist(S1)'!$C$4:$C$1362,'Pinlist(S1)'!$F$4:$K$1362,""),_xlfn.LAMBDA(_xlpm.x,IF(_xlpm.x&lt;&gt;"",TRIM(CLEAN(LEFT(_xlpm.x,FIND(".",_xlpm.x &amp; ".")-1))),""))))))</f>
        <v/>
      </c>
      <c r="D1144">
        <v>14.712999999999999</v>
      </c>
      <c r="E1144">
        <v>20.677</v>
      </c>
      <c r="F1144" t="str">
        <f>_xlfn.LET(_xlpm.raw,_xlfn.XLOOKUP(A1144,'Pinlist(S1)'!$C$4:$C$1362,'Pinlist(S1)'!$E$4:$E$1362,""),_xlpm.cleanRaw,SUBSTITUTE(SUBSTITUTE(_xlpm.raw,"_PIN","."),"PIN","."),_xlpm.mainPart,MID(_xlpm.cleanRaw,2,FIND(".",_xlpm.cleanRaw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609107</v>
      </c>
      <c r="G1144" t="str">
        <f>_xlfn.LET(_xlpm.raw,_xlfn.XLOOKUP(A1144,'Pinlist(S3)'!$C$4:$C$1362,'Pinlist(S3)'!$E$4:$E$1362,""),_xlpm.cleanRaw,SUBSTITUTE(SUBSTITUTE(_xlpm.raw,"_PIN","."),"PIN","."),_xlpm.mainPart,MID(_xlpm.cleanRaw,2,FIND(".",_xlpm.cleanRaw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803116</v>
      </c>
      <c r="H1144" t="str">
        <f>_xlfn.LET(_xlpm.raw,_xlfn.XLOOKUP(A1144,'Pinlist(S5)'!$C$4:$C$1362,'Pinlist(S5)'!$E$4:$E$1362,""),_xlpm.cleanRaw,SUBSTITUTE(SUBSTITUTE(_xlpm.raw,"_PIN","."),"PIN","."),_xlpm.mainPart,MID(_xlpm.cleanRaw,2,FIND(".",_xlpm.cleanRaw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704116</v>
      </c>
      <c r="I1144" t="str">
        <f>""</f>
        <v/>
      </c>
      <c r="J1144" t="str">
        <f t="shared" si="17"/>
        <v>AW27;DDRDQ_IL07_NIL15[1];;14.713;20.677;609107;803116;704116;</v>
      </c>
    </row>
    <row r="1145" spans="1:10">
      <c r="A1145" t="s">
        <v>2045</v>
      </c>
      <c r="B1145" t="str">
        <f>_xlfn.XLOOKUP(A1145,'Pinlist(S1)'!$Q$4:$Q$1362,'Pinlist(S1)'!$R$4:$R$1362,"")</f>
        <v>VSS</v>
      </c>
      <c r="C1145" t="str" cm="1">
        <f t="array" ref="C1145">_xlfn.TEXTJOIN(",",TRUE,_xlfn.UNIQUE(TRANSPOSE(_xlfn.MAP(_xlfn.XLOOKUP(A1145,'Pinlist(S1)'!$C$4:$C$1362,'Pinlist(S1)'!$F$4:$K$1362,""),_xlfn.LAMBDA(_xlpm.x,IF(_xlpm.x&lt;&gt;"",TRIM(CLEAN(LEFT(_xlpm.x,FIND(".",_xlpm.x &amp; ".")-1))),""))))))</f>
        <v/>
      </c>
      <c r="D1145">
        <v>15.326000000000001</v>
      </c>
      <c r="E1145">
        <v>20.352</v>
      </c>
      <c r="F1145" t="str">
        <f>_xlfn.LET(_xlpm.raw,_xlfn.XLOOKUP(A1145,'Pinlist(S1)'!$C$4:$C$1362,'Pinlist(S1)'!$E$4:$E$1362,""),_xlpm.cleanRaw,SUBSTITUTE(SUBSTITUTE(_xlpm.raw,"_PIN","."),"PIN","."),_xlpm.mainPart,MID(_xlpm.cleanRaw,2,FIND(".",_xlpm.cleanRaw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5" t="str">
        <f>_xlfn.LET(_xlpm.raw,_xlfn.XLOOKUP(A1145,'Pinlist(S3)'!$C$4:$C$1362,'Pinlist(S3)'!$E$4:$E$1362,""),_xlpm.cleanRaw,SUBSTITUTE(SUBSTITUTE(_xlpm.raw,"_PIN","."),"PIN","."),_xlpm.mainPart,MID(_xlpm.cleanRaw,2,FIND(".",_xlpm.cleanRaw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5" t="str">
        <f>_xlfn.LET(_xlpm.raw,_xlfn.XLOOKUP(A1145,'Pinlist(S5)'!$C$4:$C$1362,'Pinlist(S5)'!$E$4:$E$1362,""),_xlpm.cleanRaw,SUBSTITUTE(SUBSTITUTE(_xlpm.raw,"_PIN","."),"PIN","."),_xlpm.mainPart,MID(_xlpm.cleanRaw,2,FIND(".",_xlpm.cleanRaw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5" t="str">
        <f>""</f>
        <v/>
      </c>
      <c r="J1145" t="str">
        <f t="shared" si="17"/>
        <v>AW28;VSS;;15.326;20.352;;;;</v>
      </c>
    </row>
    <row r="1146" spans="1:10">
      <c r="A1146" t="s">
        <v>490</v>
      </c>
      <c r="B1146" t="str">
        <f>_xlfn.XLOOKUP(A1146,'Pinlist(S1)'!$Q$4:$Q$1362,'Pinlist(S1)'!$R$4:$R$1362,"")</f>
        <v>DDRDQ_IL06_NIL14[3]</v>
      </c>
      <c r="C1146" t="str" cm="1">
        <f t="array" ref="C1146">_xlfn.TEXTJOIN(",",TRUE,_xlfn.UNIQUE(TRANSPOSE(_xlfn.MAP(_xlfn.XLOOKUP(A1146,'Pinlist(S1)'!$C$4:$C$1362,'Pinlist(S1)'!$F$4:$K$1362,""),_xlfn.LAMBDA(_xlpm.x,IF(_xlpm.x&lt;&gt;"",TRIM(CLEAN(LEFT(_xlpm.x,FIND(".",_xlpm.x &amp; ".")-1))),""))))))</f>
        <v/>
      </c>
      <c r="D1146">
        <v>15.94</v>
      </c>
      <c r="E1146">
        <v>20.677</v>
      </c>
      <c r="F1146" t="str">
        <f>_xlfn.LET(_xlpm.raw,_xlfn.XLOOKUP(A1146,'Pinlist(S1)'!$C$4:$C$1362,'Pinlist(S1)'!$E$4:$E$1362,""),_xlpm.cleanRaw,SUBSTITUTE(SUBSTITUTE(_xlpm.raw,"_PIN","."),"PIN","."),_xlpm.mainPart,MID(_xlpm.cleanRaw,2,FIND(".",_xlpm.cleanRaw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609118</v>
      </c>
      <c r="G1146" t="str">
        <f>_xlfn.LET(_xlpm.raw,_xlfn.XLOOKUP(A1146,'Pinlist(S3)'!$C$4:$C$1362,'Pinlist(S3)'!$E$4:$E$1362,""),_xlpm.cleanRaw,SUBSTITUTE(SUBSTITUTE(_xlpm.raw,"_PIN","."),"PIN","."),_xlpm.mainPart,MID(_xlpm.cleanRaw,2,FIND(".",_xlpm.cleanRaw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803118</v>
      </c>
      <c r="H1146" t="str">
        <f>_xlfn.LET(_xlpm.raw,_xlfn.XLOOKUP(A1146,'Pinlist(S5)'!$C$4:$C$1362,'Pinlist(S5)'!$E$4:$E$1362,""),_xlpm.cleanRaw,SUBSTITUTE(SUBSTITUTE(_xlpm.raw,"_PIN","."),"PIN","."),_xlpm.mainPart,MID(_xlpm.cleanRaw,2,FIND(".",_xlpm.cleanRaw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704118</v>
      </c>
      <c r="I1146" t="str">
        <f>""</f>
        <v/>
      </c>
      <c r="J1146" t="str">
        <f t="shared" si="17"/>
        <v>AW29;DDRDQ_IL06_NIL14[3];;15.94;20.677;609118;803118;704118;</v>
      </c>
    </row>
    <row r="1147" spans="1:10">
      <c r="A1147" t="s">
        <v>2046</v>
      </c>
      <c r="B1147" t="str">
        <f>_xlfn.XLOOKUP(A1147,'Pinlist(S1)'!$Q$4:$Q$1362,'Pinlist(S1)'!$R$4:$R$1362,"")</f>
        <v>VSS</v>
      </c>
      <c r="C1147" t="str" cm="1">
        <f t="array" ref="C1147">_xlfn.TEXTJOIN(",",TRUE,_xlfn.UNIQUE(TRANSPOSE(_xlfn.MAP(_xlfn.XLOOKUP(A1147,'Pinlist(S1)'!$C$4:$C$1362,'Pinlist(S1)'!$F$4:$K$1362,""),_xlfn.LAMBDA(_xlpm.x,IF(_xlpm.x&lt;&gt;"",TRIM(CLEAN(LEFT(_xlpm.x,FIND(".",_xlpm.x &amp; ".")-1))),""))))))</f>
        <v/>
      </c>
      <c r="D1147">
        <v>16.603000000000002</v>
      </c>
      <c r="E1147">
        <v>20.352</v>
      </c>
      <c r="F1147" t="str">
        <f>_xlfn.LET(_xlpm.raw,_xlfn.XLOOKUP(A1147,'Pinlist(S1)'!$C$4:$C$1362,'Pinlist(S1)'!$E$4:$E$1362,""),_xlpm.cleanRaw,SUBSTITUTE(SUBSTITUTE(_xlpm.raw,"_PIN","."),"PIN","."),_xlpm.mainPart,MID(_xlpm.cleanRaw,2,FIND(".",_xlpm.cleanRaw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7" t="str">
        <f>_xlfn.LET(_xlpm.raw,_xlfn.XLOOKUP(A1147,'Pinlist(S3)'!$C$4:$C$1362,'Pinlist(S3)'!$E$4:$E$1362,""),_xlpm.cleanRaw,SUBSTITUTE(SUBSTITUTE(_xlpm.raw,"_PIN","."),"PIN","."),_xlpm.mainPart,MID(_xlpm.cleanRaw,2,FIND(".",_xlpm.cleanRaw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7" t="str">
        <f>_xlfn.LET(_xlpm.raw,_xlfn.XLOOKUP(A1147,'Pinlist(S5)'!$C$4:$C$1362,'Pinlist(S5)'!$E$4:$E$1362,""),_xlpm.cleanRaw,SUBSTITUTE(SUBSTITUTE(_xlpm.raw,"_PIN","."),"PIN","."),_xlpm.mainPart,MID(_xlpm.cleanRaw,2,FIND(".",_xlpm.cleanRaw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7" t="str">
        <f>""</f>
        <v/>
      </c>
      <c r="J1147" t="str">
        <f t="shared" si="17"/>
        <v>AW30;VSS;;16.603;20.352;;;;</v>
      </c>
    </row>
    <row r="1148" spans="1:10">
      <c r="A1148" t="s">
        <v>486</v>
      </c>
      <c r="B1148" t="str">
        <f>_xlfn.XLOOKUP(A1148,'Pinlist(S1)'!$Q$4:$Q$1362,'Pinlist(S1)'!$R$4:$R$1362,"")</f>
        <v>DDRDQ_IL06_NIL14[1]</v>
      </c>
      <c r="C1148" t="str" cm="1">
        <f t="array" ref="C1148">_xlfn.TEXTJOIN(",",TRUE,_xlfn.UNIQUE(TRANSPOSE(_xlfn.MAP(_xlfn.XLOOKUP(A1148,'Pinlist(S1)'!$C$4:$C$1362,'Pinlist(S1)'!$F$4:$K$1362,""),_xlfn.LAMBDA(_xlpm.x,IF(_xlpm.x&lt;&gt;"",TRIM(CLEAN(LEFT(_xlpm.x,FIND(".",_xlpm.x &amp; ".")-1))),""))))))</f>
        <v/>
      </c>
      <c r="D1148">
        <v>17.166</v>
      </c>
      <c r="E1148">
        <v>20.677</v>
      </c>
      <c r="F1148" t="str">
        <f>_xlfn.LET(_xlpm.raw,_xlfn.XLOOKUP(A1148,'Pinlist(S1)'!$C$4:$C$1362,'Pinlist(S1)'!$E$4:$E$1362,""),_xlpm.cleanRaw,SUBSTITUTE(SUBSTITUTE(_xlpm.raw,"_PIN","."),"PIN","."),_xlpm.mainPart,MID(_xlpm.cleanRaw,2,FIND(".",_xlpm.cleanRaw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608071</v>
      </c>
      <c r="G1148" t="str">
        <f>_xlfn.LET(_xlpm.raw,_xlfn.XLOOKUP(A1148,'Pinlist(S3)'!$C$4:$C$1362,'Pinlist(S3)'!$E$4:$E$1362,""),_xlpm.cleanRaw,SUBSTITUTE(SUBSTITUTE(_xlpm.raw,"_PIN","."),"PIN","."),_xlpm.mainPart,MID(_xlpm.cleanRaw,2,FIND(".",_xlpm.cleanRaw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802071</v>
      </c>
      <c r="H1148" t="str">
        <f>_xlfn.LET(_xlpm.raw,_xlfn.XLOOKUP(A1148,'Pinlist(S5)'!$C$4:$C$1362,'Pinlist(S5)'!$E$4:$E$1362,""),_xlpm.cleanRaw,SUBSTITUTE(SUBSTITUTE(_xlpm.raw,"_PIN","."),"PIN","."),_xlpm.mainPart,MID(_xlpm.cleanRaw,2,FIND(".",_xlpm.cleanRaw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705071</v>
      </c>
      <c r="I1148" t="str">
        <f>""</f>
        <v/>
      </c>
      <c r="J1148" t="str">
        <f t="shared" si="17"/>
        <v>AW31;DDRDQ_IL06_NIL14[1];;17.166;20.677;608071;802071;705071;</v>
      </c>
    </row>
    <row r="1149" spans="1:10">
      <c r="A1149" t="s">
        <v>2047</v>
      </c>
      <c r="B1149" t="str">
        <f>_xlfn.XLOOKUP(A1149,'Pinlist(S1)'!$Q$4:$Q$1362,'Pinlist(S1)'!$R$4:$R$1362,"")</f>
        <v>VSS</v>
      </c>
      <c r="C1149" t="str" cm="1">
        <f t="array" ref="C1149">_xlfn.TEXTJOIN(",",TRUE,_xlfn.UNIQUE(TRANSPOSE(_xlfn.MAP(_xlfn.XLOOKUP(A1149,'Pinlist(S1)'!$C$4:$C$1362,'Pinlist(S1)'!$F$4:$K$1362,""),_xlfn.LAMBDA(_xlpm.x,IF(_xlpm.x&lt;&gt;"",TRIM(CLEAN(LEFT(_xlpm.x,FIND(".",_xlpm.x &amp; ".")-1))),""))))))</f>
        <v/>
      </c>
      <c r="D1149">
        <v>17.829000000000001</v>
      </c>
      <c r="E1149">
        <v>20.352</v>
      </c>
      <c r="F1149" t="str">
        <f>_xlfn.LET(_xlpm.raw,_xlfn.XLOOKUP(A1149,'Pinlist(S1)'!$C$4:$C$1362,'Pinlist(S1)'!$E$4:$E$1362,""),_xlpm.cleanRaw,SUBSTITUTE(SUBSTITUTE(_xlpm.raw,"_PIN","."),"PIN","."),_xlpm.mainPart,MID(_xlpm.cleanRaw,2,FIND(".",_xlpm.cleanRaw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9" t="str">
        <f>_xlfn.LET(_xlpm.raw,_xlfn.XLOOKUP(A1149,'Pinlist(S3)'!$C$4:$C$1362,'Pinlist(S3)'!$E$4:$E$1362,""),_xlpm.cleanRaw,SUBSTITUTE(SUBSTITUTE(_xlpm.raw,"_PIN","."),"PIN","."),_xlpm.mainPart,MID(_xlpm.cleanRaw,2,FIND(".",_xlpm.cleanRaw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9" t="str">
        <f>_xlfn.LET(_xlpm.raw,_xlfn.XLOOKUP(A1149,'Pinlist(S5)'!$C$4:$C$1362,'Pinlist(S5)'!$E$4:$E$1362,""),_xlpm.cleanRaw,SUBSTITUTE(SUBSTITUTE(_xlpm.raw,"_PIN","."),"PIN","."),_xlpm.mainPart,MID(_xlpm.cleanRaw,2,FIND(".",_xlpm.cleanRaw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9" t="str">
        <f>""</f>
        <v/>
      </c>
      <c r="J1149" t="str">
        <f t="shared" si="17"/>
        <v>AW32;VSS;;17.829;20.352;;;;</v>
      </c>
    </row>
    <row r="1150" spans="1:10">
      <c r="A1150" t="s">
        <v>474</v>
      </c>
      <c r="B1150" t="str">
        <f>_xlfn.XLOOKUP(A1150,'Pinlist(S1)'!$Q$4:$Q$1362,'Pinlist(S1)'!$R$4:$R$1362,"")</f>
        <v>DDRDQ_IL05_NIL11[3]</v>
      </c>
      <c r="C1150" t="str" cm="1">
        <f t="array" ref="C1150">_xlfn.TEXTJOIN(",",TRUE,_xlfn.UNIQUE(TRANSPOSE(_xlfn.MAP(_xlfn.XLOOKUP(A1150,'Pinlist(S1)'!$C$4:$C$1362,'Pinlist(S1)'!$F$4:$K$1362,""),_xlfn.LAMBDA(_xlpm.x,IF(_xlpm.x&lt;&gt;"",TRIM(CLEAN(LEFT(_xlpm.x,FIND(".",_xlpm.x &amp; ".")-1))),""))))))</f>
        <v/>
      </c>
      <c r="D1150">
        <v>18.466999999999999</v>
      </c>
      <c r="E1150">
        <v>20.677</v>
      </c>
      <c r="F1150" t="str">
        <f>_xlfn.LET(_xlpm.raw,_xlfn.XLOOKUP(A1150,'Pinlist(S1)'!$C$4:$C$1362,'Pinlist(S1)'!$E$4:$E$1362,""),_xlpm.cleanRaw,SUBSTITUTE(SUBSTITUTE(_xlpm.raw,"_PIN","."),"PIN","."),_xlpm.mainPart,MID(_xlpm.cleanRaw,2,FIND(".",_xlpm.cleanRaw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609123</v>
      </c>
      <c r="G1150" t="str">
        <f>_xlfn.LET(_xlpm.raw,_xlfn.XLOOKUP(A1150,'Pinlist(S3)'!$C$4:$C$1362,'Pinlist(S3)'!$E$4:$E$1362,""),_xlpm.cleanRaw,SUBSTITUTE(SUBSTITUTE(_xlpm.raw,"_PIN","."),"PIN","."),_xlpm.mainPart,MID(_xlpm.cleanRaw,2,FIND(".",_xlpm.cleanRaw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803087</v>
      </c>
      <c r="H1150" t="str">
        <f>_xlfn.LET(_xlpm.raw,_xlfn.XLOOKUP(A1150,'Pinlist(S5)'!$C$4:$C$1362,'Pinlist(S5)'!$E$4:$E$1362,""),_xlpm.cleanRaw,SUBSTITUTE(SUBSTITUTE(_xlpm.raw,"_PIN","."),"PIN","."),_xlpm.mainPart,MID(_xlpm.cleanRaw,2,FIND(".",_xlpm.cleanRaw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704087</v>
      </c>
      <c r="I1150" t="str">
        <f>""</f>
        <v/>
      </c>
      <c r="J1150" t="str">
        <f t="shared" si="17"/>
        <v>AW33;DDRDQ_IL05_NIL11[3];;18.467;20.677;609123;803087;704087;</v>
      </c>
    </row>
    <row r="1151" spans="1:10">
      <c r="A1151" t="s">
        <v>2048</v>
      </c>
      <c r="B1151" t="str">
        <f>_xlfn.XLOOKUP(A1151,'Pinlist(S1)'!$Q$4:$Q$1362,'Pinlist(S1)'!$R$4:$R$1362,"")</f>
        <v>VSS</v>
      </c>
      <c r="C1151" t="str" cm="1">
        <f t="array" ref="C1151">_xlfn.TEXTJOIN(",",TRUE,_xlfn.UNIQUE(TRANSPOSE(_xlfn.MAP(_xlfn.XLOOKUP(A1151,'Pinlist(S1)'!$C$4:$C$1362,'Pinlist(S1)'!$F$4:$K$1362,""),_xlfn.LAMBDA(_xlpm.x,IF(_xlpm.x&lt;&gt;"",TRIM(CLEAN(LEFT(_xlpm.x,FIND(".",_xlpm.x &amp; ".")-1))),""))))))</f>
        <v/>
      </c>
      <c r="D1151">
        <v>19.030999999999999</v>
      </c>
      <c r="E1151">
        <v>20.352</v>
      </c>
      <c r="F1151" t="str">
        <f>_xlfn.LET(_xlpm.raw,_xlfn.XLOOKUP(A1151,'Pinlist(S1)'!$C$4:$C$1362,'Pinlist(S1)'!$E$4:$E$1362,""),_xlpm.cleanRaw,SUBSTITUTE(SUBSTITUTE(_xlpm.raw,"_PIN","."),"PIN","."),_xlpm.mainPart,MID(_xlpm.cleanRaw,2,FIND(".",_xlpm.cleanRaw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1" t="str">
        <f>_xlfn.LET(_xlpm.raw,_xlfn.XLOOKUP(A1151,'Pinlist(S3)'!$C$4:$C$1362,'Pinlist(S3)'!$E$4:$E$1362,""),_xlpm.cleanRaw,SUBSTITUTE(SUBSTITUTE(_xlpm.raw,"_PIN","."),"PIN","."),_xlpm.mainPart,MID(_xlpm.cleanRaw,2,FIND(".",_xlpm.cleanRaw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1" t="str">
        <f>_xlfn.LET(_xlpm.raw,_xlfn.XLOOKUP(A1151,'Pinlist(S5)'!$C$4:$C$1362,'Pinlist(S5)'!$E$4:$E$1362,""),_xlpm.cleanRaw,SUBSTITUTE(SUBSTITUTE(_xlpm.raw,"_PIN","."),"PIN","."),_xlpm.mainPart,MID(_xlpm.cleanRaw,2,FIND(".",_xlpm.cleanRaw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1" t="str">
        <f>""</f>
        <v/>
      </c>
      <c r="J1151" t="str">
        <f t="shared" si="17"/>
        <v>AW34;VSS;;19.031;20.352;;;;</v>
      </c>
    </row>
    <row r="1152" spans="1:10">
      <c r="A1152" t="s">
        <v>470</v>
      </c>
      <c r="B1152" t="str">
        <f>_xlfn.XLOOKUP(A1152,'Pinlist(S1)'!$Q$4:$Q$1362,'Pinlist(S1)'!$R$4:$R$1362,"")</f>
        <v>DDRDQ_IL05_NIL11[1]</v>
      </c>
      <c r="C1152" t="str" cm="1">
        <f t="array" ref="C1152">_xlfn.TEXTJOIN(",",TRUE,_xlfn.UNIQUE(TRANSPOSE(_xlfn.MAP(_xlfn.XLOOKUP(A1152,'Pinlist(S1)'!$C$4:$C$1362,'Pinlist(S1)'!$F$4:$K$1362,""),_xlfn.LAMBDA(_xlpm.x,IF(_xlpm.x&lt;&gt;"",TRIM(CLEAN(LEFT(_xlpm.x,FIND(".",_xlpm.x &amp; ".")-1))),""))))))</f>
        <v/>
      </c>
      <c r="D1152">
        <v>19.693999999999999</v>
      </c>
      <c r="E1152">
        <v>20.677</v>
      </c>
      <c r="F1152" t="str">
        <f>_xlfn.LET(_xlpm.raw,_xlfn.XLOOKUP(A1152,'Pinlist(S1)'!$C$4:$C$1362,'Pinlist(S1)'!$E$4:$E$1362,""),_xlpm.cleanRaw,SUBSTITUTE(SUBSTITUTE(_xlpm.raw,"_PIN","."),"PIN","."),_xlpm.mainPart,MID(_xlpm.cleanRaw,2,FIND(".",_xlpm.cleanRaw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608047</v>
      </c>
      <c r="G1152" t="str">
        <f>_xlfn.LET(_xlpm.raw,_xlfn.XLOOKUP(A1152,'Pinlist(S3)'!$C$4:$C$1362,'Pinlist(S3)'!$E$4:$E$1362,""),_xlpm.cleanRaw,SUBSTITUTE(SUBSTITUTE(_xlpm.raw,"_PIN","."),"PIN","."),_xlpm.mainPart,MID(_xlpm.cleanRaw,2,FIND(".",_xlpm.cleanRaw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802049</v>
      </c>
      <c r="H1152" t="str">
        <f>_xlfn.LET(_xlpm.raw,_xlfn.XLOOKUP(A1152,'Pinlist(S5)'!$C$4:$C$1362,'Pinlist(S5)'!$E$4:$E$1362,""),_xlpm.cleanRaw,SUBSTITUTE(SUBSTITUTE(_xlpm.raw,"_PIN","."),"PIN","."),_xlpm.mainPart,MID(_xlpm.cleanRaw,2,FIND(".",_xlpm.cleanRaw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705049</v>
      </c>
      <c r="I1152" t="str">
        <f>""</f>
        <v/>
      </c>
      <c r="J1152" t="str">
        <f t="shared" si="17"/>
        <v>AW35;DDRDQ_IL05_NIL11[1];;19.694;20.677;608047;802049;705049;</v>
      </c>
    </row>
    <row r="1153" spans="1:10">
      <c r="A1153" t="s">
        <v>2049</v>
      </c>
      <c r="B1153" t="str">
        <f>_xlfn.XLOOKUP(A1153,'Pinlist(S1)'!$Q$4:$Q$1362,'Pinlist(S1)'!$R$4:$R$1362,"")</f>
        <v>VSS</v>
      </c>
      <c r="C1153" t="str" cm="1">
        <f t="array" ref="C1153">_xlfn.TEXTJOIN(",",TRUE,_xlfn.UNIQUE(TRANSPOSE(_xlfn.MAP(_xlfn.XLOOKUP(A1153,'Pinlist(S1)'!$C$4:$C$1362,'Pinlist(S1)'!$F$4:$K$1362,""),_xlfn.LAMBDA(_xlpm.x,IF(_xlpm.x&lt;&gt;"",TRIM(CLEAN(LEFT(_xlpm.x,FIND(".",_xlpm.x &amp; ".")-1))),""))))))</f>
        <v/>
      </c>
      <c r="D1153">
        <v>20.306999999999999</v>
      </c>
      <c r="E1153">
        <v>20.352</v>
      </c>
      <c r="F1153" t="str">
        <f>_xlfn.LET(_xlpm.raw,_xlfn.XLOOKUP(A1153,'Pinlist(S1)'!$C$4:$C$1362,'Pinlist(S1)'!$E$4:$E$1362,""),_xlpm.cleanRaw,SUBSTITUTE(SUBSTITUTE(_xlpm.raw,"_PIN","."),"PIN","."),_xlpm.mainPart,MID(_xlpm.cleanRaw,2,FIND(".",_xlpm.cleanRaw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3" t="str">
        <f>_xlfn.LET(_xlpm.raw,_xlfn.XLOOKUP(A1153,'Pinlist(S3)'!$C$4:$C$1362,'Pinlist(S3)'!$E$4:$E$1362,""),_xlpm.cleanRaw,SUBSTITUTE(SUBSTITUTE(_xlpm.raw,"_PIN","."),"PIN","."),_xlpm.mainPart,MID(_xlpm.cleanRaw,2,FIND(".",_xlpm.cleanRaw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3" t="str">
        <f>_xlfn.LET(_xlpm.raw,_xlfn.XLOOKUP(A1153,'Pinlist(S5)'!$C$4:$C$1362,'Pinlist(S5)'!$E$4:$E$1362,""),_xlpm.cleanRaw,SUBSTITUTE(SUBSTITUTE(_xlpm.raw,"_PIN","."),"PIN","."),_xlpm.mainPart,MID(_xlpm.cleanRaw,2,FIND(".",_xlpm.cleanRaw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3" t="str">
        <f>""</f>
        <v/>
      </c>
      <c r="J1153" t="str">
        <f t="shared" si="17"/>
        <v>AW36;VSS;;20.307;20.352;;;;</v>
      </c>
    </row>
    <row r="1154" spans="1:10">
      <c r="A1154" t="s">
        <v>458</v>
      </c>
      <c r="B1154" t="str">
        <f>_xlfn.XLOOKUP(A1154,'Pinlist(S1)'!$Q$4:$Q$1362,'Pinlist(S1)'!$R$4:$R$1362,"")</f>
        <v>DDRDQ_IL04_NIL10[3]</v>
      </c>
      <c r="C1154" t="str" cm="1">
        <f t="array" ref="C1154">_xlfn.TEXTJOIN(",",TRUE,_xlfn.UNIQUE(TRANSPOSE(_xlfn.MAP(_xlfn.XLOOKUP(A1154,'Pinlist(S1)'!$C$4:$C$1362,'Pinlist(S1)'!$F$4:$K$1362,""),_xlfn.LAMBDA(_xlpm.x,IF(_xlpm.x&lt;&gt;"",TRIM(CLEAN(LEFT(_xlpm.x,FIND(".",_xlpm.x &amp; ".")-1))),""))))))</f>
        <v/>
      </c>
      <c r="D1154">
        <v>20.920999999999999</v>
      </c>
      <c r="E1154">
        <v>20.677</v>
      </c>
      <c r="F1154" t="str">
        <f>_xlfn.LET(_xlpm.raw,_xlfn.XLOOKUP(A1154,'Pinlist(S1)'!$C$4:$C$1362,'Pinlist(S1)'!$E$4:$E$1362,""),_xlpm.cleanRaw,SUBSTITUTE(SUBSTITUTE(_xlpm.raw,"_PIN","."),"PIN","."),_xlpm.mainPart,MID(_xlpm.cleanRaw,2,FIND(".",_xlpm.cleanRaw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609109</v>
      </c>
      <c r="G1154" t="str">
        <f>_xlfn.LET(_xlpm.raw,_xlfn.XLOOKUP(A1154,'Pinlist(S3)'!$C$4:$C$1362,'Pinlist(S3)'!$E$4:$E$1362,""),_xlpm.cleanRaw,SUBSTITUTE(SUBSTITUTE(_xlpm.raw,"_PIN","."),"PIN","."),_xlpm.mainPart,MID(_xlpm.cleanRaw,2,FIND(".",_xlpm.cleanRaw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802066</v>
      </c>
      <c r="H1154" t="str">
        <f>_xlfn.LET(_xlpm.raw,_xlfn.XLOOKUP(A1154,'Pinlist(S5)'!$C$4:$C$1362,'Pinlist(S5)'!$E$4:$E$1362,""),_xlpm.cleanRaw,SUBSTITUTE(SUBSTITUTE(_xlpm.raw,"_PIN","."),"PIN","."),_xlpm.mainPart,MID(_xlpm.cleanRaw,2,FIND(".",_xlpm.cleanRaw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705066</v>
      </c>
      <c r="I1154" t="str">
        <f>""</f>
        <v/>
      </c>
      <c r="J1154" t="str">
        <f t="shared" ref="J1154:J1217" si="18">A1154&amp;";"&amp;B1154&amp;";"&amp;C1154&amp;";"&amp;D1154&amp;";"&amp;E1154&amp;";"&amp;F1154&amp;";"&amp;G1154&amp;";"&amp;H1154&amp;";"&amp;I1154</f>
        <v>AW37;DDRDQ_IL04_NIL10[3];;20.921;20.677;609109;802066;705066;</v>
      </c>
    </row>
    <row r="1155" spans="1:10">
      <c r="A1155" t="s">
        <v>2050</v>
      </c>
      <c r="B1155" t="str">
        <f>_xlfn.XLOOKUP(A1155,'Pinlist(S1)'!$Q$4:$Q$1362,'Pinlist(S1)'!$R$4:$R$1362,"")</f>
        <v>VSS</v>
      </c>
      <c r="C1155" t="str" cm="1">
        <f t="array" ref="C1155">_xlfn.TEXTJOIN(",",TRUE,_xlfn.UNIQUE(TRANSPOSE(_xlfn.MAP(_xlfn.XLOOKUP(A1155,'Pinlist(S1)'!$C$4:$C$1362,'Pinlist(S1)'!$F$4:$K$1362,""),_xlfn.LAMBDA(_xlpm.x,IF(_xlpm.x&lt;&gt;"",TRIM(CLEAN(LEFT(_xlpm.x,FIND(".",_xlpm.x &amp; ".")-1))),""))))))</f>
        <v/>
      </c>
      <c r="D1155">
        <v>21.582999999999998</v>
      </c>
      <c r="E1155">
        <v>20.352</v>
      </c>
      <c r="F1155" t="str">
        <f>_xlfn.LET(_xlpm.raw,_xlfn.XLOOKUP(A1155,'Pinlist(S1)'!$C$4:$C$1362,'Pinlist(S1)'!$E$4:$E$1362,""),_xlpm.cleanRaw,SUBSTITUTE(SUBSTITUTE(_xlpm.raw,"_PIN","."),"PIN","."),_xlpm.mainPart,MID(_xlpm.cleanRaw,2,FIND(".",_xlpm.cleanRaw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5" t="str">
        <f>_xlfn.LET(_xlpm.raw,_xlfn.XLOOKUP(A1155,'Pinlist(S3)'!$C$4:$C$1362,'Pinlist(S3)'!$E$4:$E$1362,""),_xlpm.cleanRaw,SUBSTITUTE(SUBSTITUTE(_xlpm.raw,"_PIN","."),"PIN","."),_xlpm.mainPart,MID(_xlpm.cleanRaw,2,FIND(".",_xlpm.cleanRaw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5" t="str">
        <f>_xlfn.LET(_xlpm.raw,_xlfn.XLOOKUP(A1155,'Pinlist(S5)'!$C$4:$C$1362,'Pinlist(S5)'!$E$4:$E$1362,""),_xlpm.cleanRaw,SUBSTITUTE(SUBSTITUTE(_xlpm.raw,"_PIN","."),"PIN","."),_xlpm.mainPart,MID(_xlpm.cleanRaw,2,FIND(".",_xlpm.cleanRaw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5" t="str">
        <f>""</f>
        <v/>
      </c>
      <c r="J1155" t="str">
        <f t="shared" si="18"/>
        <v>AW38;VSS;;21.583;20.352;;;;</v>
      </c>
    </row>
    <row r="1156" spans="1:10">
      <c r="A1156" t="s">
        <v>454</v>
      </c>
      <c r="B1156" t="str">
        <f>_xlfn.XLOOKUP(A1156,'Pinlist(S1)'!$Q$4:$Q$1362,'Pinlist(S1)'!$R$4:$R$1362,"")</f>
        <v>DDRDQ_IL04_NIL10[1]</v>
      </c>
      <c r="C1156" t="str" cm="1">
        <f t="array" ref="C1156">_xlfn.TEXTJOIN(",",TRUE,_xlfn.UNIQUE(TRANSPOSE(_xlfn.MAP(_xlfn.XLOOKUP(A1156,'Pinlist(S1)'!$C$4:$C$1362,'Pinlist(S1)'!$F$4:$K$1362,""),_xlfn.LAMBDA(_xlpm.x,IF(_xlpm.x&lt;&gt;"",TRIM(CLEAN(LEFT(_xlpm.x,FIND(".",_xlpm.x &amp; ".")-1))),""))))))</f>
        <v/>
      </c>
      <c r="D1156">
        <v>22.146999999999998</v>
      </c>
      <c r="E1156">
        <v>20.677</v>
      </c>
      <c r="F1156" t="str">
        <f>_xlfn.LET(_xlpm.raw,_xlfn.XLOOKUP(A1156,'Pinlist(S1)'!$C$4:$C$1362,'Pinlist(S1)'!$E$4:$E$1362,""),_xlpm.cleanRaw,SUBSTITUTE(SUBSTITUTE(_xlpm.raw,"_PIN","."),"PIN","."),_xlpm.mainPart,MID(_xlpm.cleanRaw,2,FIND(".",_xlpm.cleanRaw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608063</v>
      </c>
      <c r="G1156" t="str">
        <f>_xlfn.LET(_xlpm.raw,_xlfn.XLOOKUP(A1156,'Pinlist(S3)'!$C$4:$C$1362,'Pinlist(S3)'!$E$4:$E$1362,""),_xlpm.cleanRaw,SUBSTITUTE(SUBSTITUTE(_xlpm.raw,"_PIN","."),"PIN","."),_xlpm.mainPart,MID(_xlpm.cleanRaw,2,FIND(".",_xlpm.cleanRaw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802070</v>
      </c>
      <c r="H1156" t="str">
        <f>_xlfn.LET(_xlpm.raw,_xlfn.XLOOKUP(A1156,'Pinlist(S5)'!$C$4:$C$1362,'Pinlist(S5)'!$E$4:$E$1362,""),_xlpm.cleanRaw,SUBSTITUTE(SUBSTITUTE(_xlpm.raw,"_PIN","."),"PIN","."),_xlpm.mainPart,MID(_xlpm.cleanRaw,2,FIND(".",_xlpm.cleanRaw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705072</v>
      </c>
      <c r="I1156" t="str">
        <f>""</f>
        <v/>
      </c>
      <c r="J1156" t="str">
        <f t="shared" si="18"/>
        <v>AW39;DDRDQ_IL04_NIL10[1];;22.147;20.677;608063;802070;705072;</v>
      </c>
    </row>
    <row r="1157" spans="1:10">
      <c r="A1157" t="s">
        <v>2052</v>
      </c>
      <c r="B1157" t="str">
        <f>_xlfn.XLOOKUP(A1157,'Pinlist(S1)'!$Q$4:$Q$1362,'Pinlist(S1)'!$R$4:$R$1362,"")</f>
        <v>VSS</v>
      </c>
      <c r="C1157" t="str" cm="1">
        <f t="array" ref="C1157">_xlfn.TEXTJOIN(",",TRUE,_xlfn.UNIQUE(TRANSPOSE(_xlfn.MAP(_xlfn.XLOOKUP(A1157,'Pinlist(S1)'!$C$4:$C$1362,'Pinlist(S1)'!$F$4:$K$1362,""),_xlfn.LAMBDA(_xlpm.x,IF(_xlpm.x&lt;&gt;"",TRIM(CLEAN(LEFT(_xlpm.x,FIND(".",_xlpm.x &amp; ".")-1))),""))))))</f>
        <v/>
      </c>
      <c r="D1157">
        <v>22.785</v>
      </c>
      <c r="E1157">
        <v>20.352</v>
      </c>
      <c r="F1157" t="str">
        <f>_xlfn.LET(_xlpm.raw,_xlfn.XLOOKUP(A1157,'Pinlist(S1)'!$C$4:$C$1362,'Pinlist(S1)'!$E$4:$E$1362,""),_xlpm.cleanRaw,SUBSTITUTE(SUBSTITUTE(_xlpm.raw,"_PIN","."),"PIN","."),_xlpm.mainPart,MID(_xlpm.cleanRaw,2,FIND(".",_xlpm.cleanRaw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7" t="str">
        <f>_xlfn.LET(_xlpm.raw,_xlfn.XLOOKUP(A1157,'Pinlist(S3)'!$C$4:$C$1362,'Pinlist(S3)'!$E$4:$E$1362,""),_xlpm.cleanRaw,SUBSTITUTE(SUBSTITUTE(_xlpm.raw,"_PIN","."),"PIN","."),_xlpm.mainPart,MID(_xlpm.cleanRaw,2,FIND(".",_xlpm.cleanRaw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7" t="str">
        <f>_xlfn.LET(_xlpm.raw,_xlfn.XLOOKUP(A1157,'Pinlist(S5)'!$C$4:$C$1362,'Pinlist(S5)'!$E$4:$E$1362,""),_xlpm.cleanRaw,SUBSTITUTE(SUBSTITUTE(_xlpm.raw,"_PIN","."),"PIN","."),_xlpm.mainPart,MID(_xlpm.cleanRaw,2,FIND(".",_xlpm.cleanRaw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7" t="str">
        <f>""</f>
        <v/>
      </c>
      <c r="J1157" t="str">
        <f t="shared" si="18"/>
        <v>AW41;VSS;;22.785;20.352;;;;</v>
      </c>
    </row>
    <row r="1158" spans="1:10">
      <c r="A1158" t="s">
        <v>380</v>
      </c>
      <c r="B1158" t="str">
        <f>_xlfn.XLOOKUP(A1158,'Pinlist(S1)'!$Q$4:$Q$1362,'Pinlist(S1)'!$R$4:$R$1362,"")</f>
        <v>DDR1_ODT[1]</v>
      </c>
      <c r="C1158" t="str" cm="1">
        <f t="array" ref="C1158">_xlfn.TEXTJOIN(",",TRUE,_xlfn.UNIQUE(TRANSPOSE(_xlfn.MAP(_xlfn.XLOOKUP(A1158,'Pinlist(S1)'!$C$4:$C$1362,'Pinlist(S1)'!$F$4:$K$1362,""),_xlfn.LAMBDA(_xlpm.x,IF(_xlpm.x&lt;&gt;"",TRIM(CLEAN(LEFT(_xlpm.x,FIND(".",_xlpm.x &amp; ".")-1))),""))))))</f>
        <v/>
      </c>
      <c r="D1158">
        <v>23.422000000000001</v>
      </c>
      <c r="E1158">
        <v>20.677</v>
      </c>
      <c r="F1158" t="str">
        <f>_xlfn.LET(_xlpm.raw,_xlfn.XLOOKUP(A1158,'Pinlist(S1)'!$C$4:$C$1362,'Pinlist(S1)'!$E$4:$E$1362,""),_xlpm.cleanRaw,SUBSTITUTE(SUBSTITUTE(_xlpm.raw,"_PIN","."),"PIN","."),_xlpm.mainPart,MID(_xlpm.cleanRaw,2,FIND(".",_xlpm.cleanRaw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508079</v>
      </c>
      <c r="G1158" t="str">
        <f>_xlfn.LET(_xlpm.raw,_xlfn.XLOOKUP(A1158,'Pinlist(S3)'!$C$4:$C$1362,'Pinlist(S3)'!$E$4:$E$1362,""),_xlpm.cleanRaw,SUBSTITUTE(SUBSTITUTE(_xlpm.raw,"_PIN","."),"PIN","."),_xlpm.mainPart,MID(_xlpm.cleanRaw,2,FIND(".",_xlpm.cleanRaw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1158" t="str">
        <f>_xlfn.LET(_xlpm.raw,_xlfn.XLOOKUP(A1158,'Pinlist(S5)'!$C$4:$C$1362,'Pinlist(S5)'!$E$4:$E$1362,""),_xlpm.cleanRaw,SUBSTITUTE(SUBSTITUTE(_xlpm.raw,"_PIN","."),"PIN","."),_xlpm.mainPart,MID(_xlpm.cleanRaw,2,FIND(".",_xlpm.cleanRaw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I1158" t="str">
        <f>""</f>
        <v/>
      </c>
      <c r="J1158" t="str">
        <f t="shared" si="18"/>
        <v>AW42;DDR1_ODT[1];;23.422;20.677;508079;806097;601007;</v>
      </c>
    </row>
    <row r="1159" spans="1:10">
      <c r="A1159" t="s">
        <v>2053</v>
      </c>
      <c r="B1159" t="str">
        <f>_xlfn.XLOOKUP(A1159,'Pinlist(S1)'!$Q$4:$Q$1362,'Pinlist(S1)'!$R$4:$R$1362,"")</f>
        <v>VSS</v>
      </c>
      <c r="C1159" t="str" cm="1">
        <f t="array" ref="C1159">_xlfn.TEXTJOIN(",",TRUE,_xlfn.UNIQUE(TRANSPOSE(_xlfn.MAP(_xlfn.XLOOKUP(A1159,'Pinlist(S1)'!$C$4:$C$1362,'Pinlist(S1)'!$F$4:$K$1362,""),_xlfn.LAMBDA(_xlpm.x,IF(_xlpm.x&lt;&gt;"",TRIM(CLEAN(LEFT(_xlpm.x,FIND(".",_xlpm.x &amp; ".")-1))),""))))))</f>
        <v/>
      </c>
      <c r="D1159">
        <v>23.986000000000001</v>
      </c>
      <c r="E1159">
        <v>20.352</v>
      </c>
      <c r="F1159" t="str">
        <f>_xlfn.LET(_xlpm.raw,_xlfn.XLOOKUP(A1159,'Pinlist(S1)'!$C$4:$C$1362,'Pinlist(S1)'!$E$4:$E$1362,""),_xlpm.cleanRaw,SUBSTITUTE(SUBSTITUTE(_xlpm.raw,"_PIN","."),"PIN","."),_xlpm.mainPart,MID(_xlpm.cleanRaw,2,FIND(".",_xlpm.cleanRaw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9" t="str">
        <f>_xlfn.LET(_xlpm.raw,_xlfn.XLOOKUP(A1159,'Pinlist(S3)'!$C$4:$C$1362,'Pinlist(S3)'!$E$4:$E$1362,""),_xlpm.cleanRaw,SUBSTITUTE(SUBSTITUTE(_xlpm.raw,"_PIN","."),"PIN","."),_xlpm.mainPart,MID(_xlpm.cleanRaw,2,FIND(".",_xlpm.cleanRaw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9" t="str">
        <f>_xlfn.LET(_xlpm.raw,_xlfn.XLOOKUP(A1159,'Pinlist(S5)'!$C$4:$C$1362,'Pinlist(S5)'!$E$4:$E$1362,""),_xlpm.cleanRaw,SUBSTITUTE(SUBSTITUTE(_xlpm.raw,"_PIN","."),"PIN","."),_xlpm.mainPart,MID(_xlpm.cleanRaw,2,FIND(".",_xlpm.cleanRaw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9" t="str">
        <f>""</f>
        <v/>
      </c>
      <c r="J1159" t="str">
        <f t="shared" si="18"/>
        <v>AW43;VSS;;23.986;20.352;;;;</v>
      </c>
    </row>
    <row r="1160" spans="1:10">
      <c r="A1160" t="s">
        <v>384</v>
      </c>
      <c r="B1160" t="str">
        <f>_xlfn.XLOOKUP(A1160,'Pinlist(S1)'!$Q$4:$Q$1362,'Pinlist(S1)'!$R$4:$R$1362,"")</f>
        <v>DDR1_RAS_N_CAB3_MA16</v>
      </c>
      <c r="C1160" t="str" cm="1">
        <f t="array" ref="C1160">_xlfn.TEXTJOIN(",",TRUE,_xlfn.UNIQUE(TRANSPOSE(_xlfn.MAP(_xlfn.XLOOKUP(A1160,'Pinlist(S1)'!$C$4:$C$1362,'Pinlist(S1)'!$F$4:$K$1362,""),_xlfn.LAMBDA(_xlpm.x,IF(_xlpm.x&lt;&gt;"",TRIM(CLEAN(LEFT(_xlpm.x,FIND(".",_xlpm.x &amp; ".")-1))),""))))))</f>
        <v/>
      </c>
      <c r="D1160">
        <v>24.649000000000001</v>
      </c>
      <c r="E1160">
        <v>20.677</v>
      </c>
      <c r="F1160" t="str">
        <f>_xlfn.LET(_xlpm.raw,_xlfn.XLOOKUP(A1160,'Pinlist(S1)'!$C$4:$C$1362,'Pinlist(S1)'!$E$4:$E$1362,""),_xlpm.cleanRaw,SUBSTITUTE(SUBSTITUTE(_xlpm.raw,"_PIN","."),"PIN","."),_xlpm.mainPart,MID(_xlpm.cleanRaw,2,FIND(".",_xlpm.cleanRaw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608045</v>
      </c>
      <c r="G1160" t="str">
        <f>_xlfn.LET(_xlpm.raw,_xlfn.XLOOKUP(A1160,'Pinlist(S3)'!$C$4:$C$1362,'Pinlist(S3)'!$E$4:$E$1362,""),_xlpm.cleanRaw,SUBSTITUTE(SUBSTITUTE(_xlpm.raw,"_PIN","."),"PIN","."),_xlpm.mainPart,MID(_xlpm.cleanRaw,2,FIND(".",_xlpm.cleanRaw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802047</v>
      </c>
      <c r="H1160" t="str">
        <f>_xlfn.LET(_xlpm.raw,_xlfn.XLOOKUP(A1160,'Pinlist(S5)'!$C$4:$C$1362,'Pinlist(S5)'!$E$4:$E$1362,""),_xlpm.cleanRaw,SUBSTITUTE(SUBSTITUTE(_xlpm.raw,"_PIN","."),"PIN","."),_xlpm.mainPart,MID(_xlpm.cleanRaw,2,FIND(".",_xlpm.cleanRaw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705047</v>
      </c>
      <c r="I1160" t="str">
        <f>""</f>
        <v/>
      </c>
      <c r="J1160" t="str">
        <f t="shared" si="18"/>
        <v>AW44;DDR1_RAS_N_CAB3_MA16;;24.649;20.677;608045;802047;705047;</v>
      </c>
    </row>
    <row r="1161" spans="1:10">
      <c r="A1161" t="s">
        <v>2054</v>
      </c>
      <c r="B1161" t="str">
        <f>_xlfn.XLOOKUP(A1161,'Pinlist(S1)'!$Q$4:$Q$1362,'Pinlist(S1)'!$R$4:$R$1362,"")</f>
        <v>VSS</v>
      </c>
      <c r="C1161" t="str" cm="1">
        <f t="array" ref="C1161">_xlfn.TEXTJOIN(",",TRUE,_xlfn.UNIQUE(TRANSPOSE(_xlfn.MAP(_xlfn.XLOOKUP(A1161,'Pinlist(S1)'!$C$4:$C$1362,'Pinlist(S1)'!$F$4:$K$1362,""),_xlfn.LAMBDA(_xlpm.x,IF(_xlpm.x&lt;&gt;"",TRIM(CLEAN(LEFT(_xlpm.x,FIND(".",_xlpm.x &amp; ".")-1))),""))))))</f>
        <v/>
      </c>
      <c r="D1161">
        <v>25.262999999999899</v>
      </c>
      <c r="E1161">
        <v>20.352</v>
      </c>
      <c r="F1161" t="str">
        <f>_xlfn.LET(_xlpm.raw,_xlfn.XLOOKUP(A1161,'Pinlist(S1)'!$C$4:$C$1362,'Pinlist(S1)'!$E$4:$E$1362,""),_xlpm.cleanRaw,SUBSTITUTE(SUBSTITUTE(_xlpm.raw,"_PIN","."),"PIN","."),_xlpm.mainPart,MID(_xlpm.cleanRaw,2,FIND(".",_xlpm.cleanRaw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1" t="str">
        <f>_xlfn.LET(_xlpm.raw,_xlfn.XLOOKUP(A1161,'Pinlist(S3)'!$C$4:$C$1362,'Pinlist(S3)'!$E$4:$E$1362,""),_xlpm.cleanRaw,SUBSTITUTE(SUBSTITUTE(_xlpm.raw,"_PIN","."),"PIN","."),_xlpm.mainPart,MID(_xlpm.cleanRaw,2,FIND(".",_xlpm.cleanRaw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1" t="str">
        <f>_xlfn.LET(_xlpm.raw,_xlfn.XLOOKUP(A1161,'Pinlist(S5)'!$C$4:$C$1362,'Pinlist(S5)'!$E$4:$E$1362,""),_xlpm.cleanRaw,SUBSTITUTE(SUBSTITUTE(_xlpm.raw,"_PIN","."),"PIN","."),_xlpm.mainPart,MID(_xlpm.cleanRaw,2,FIND(".",_xlpm.cleanRaw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1" t="str">
        <f>""</f>
        <v/>
      </c>
      <c r="J1161" t="str">
        <f t="shared" si="18"/>
        <v>AW45;VSS;;25.2629999999999;20.352;;;;</v>
      </c>
    </row>
    <row r="1162" spans="1:10">
      <c r="A1162" t="s">
        <v>350</v>
      </c>
      <c r="B1162" t="str">
        <f>_xlfn.XLOOKUP(A1162,'Pinlist(S1)'!$Q$4:$Q$1362,'Pinlist(S1)'!$R$4:$R$1362,"")</f>
        <v>DDR1_MA[10]_CAB7</v>
      </c>
      <c r="C1162" t="str" cm="1">
        <f t="array" ref="C1162">_xlfn.TEXTJOIN(",",TRUE,_xlfn.UNIQUE(TRANSPOSE(_xlfn.MAP(_xlfn.XLOOKUP(A1162,'Pinlist(S1)'!$C$4:$C$1362,'Pinlist(S1)'!$F$4:$K$1362,""),_xlfn.LAMBDA(_xlpm.x,IF(_xlpm.x&lt;&gt;"",TRIM(CLEAN(LEFT(_xlpm.x,FIND(".",_xlpm.x &amp; ".")-1))),""))))))</f>
        <v>KA108</v>
      </c>
      <c r="D1162">
        <v>25.876000000000001</v>
      </c>
      <c r="E1162">
        <v>20.677</v>
      </c>
      <c r="F1162" t="str">
        <f>_xlfn.LET(_xlpm.raw,_xlfn.XLOOKUP(A1162,'Pinlist(S1)'!$C$4:$C$1362,'Pinlist(S1)'!$E$4:$E$1362,""),_xlpm.cleanRaw,SUBSTITUTE(SUBSTITUTE(_xlpm.raw,"_PIN","."),"PIN","."),_xlpm.mainPart,MID(_xlpm.cleanRaw,2,FIND(".",_xlpm.cleanRaw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1162" t="str">
        <f>_xlfn.LET(_xlpm.raw,_xlfn.XLOOKUP(A1162,'Pinlist(S3)'!$C$4:$C$1362,'Pinlist(S3)'!$E$4:$E$1362,""),_xlpm.cleanRaw,SUBSTITUTE(SUBSTITUTE(_xlpm.raw,"_PIN","."),"PIN","."),_xlpm.mainPart,MID(_xlpm.cleanRaw,2,FIND(".",_xlpm.cleanRaw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1162" t="str">
        <f>_xlfn.LET(_xlpm.raw,_xlfn.XLOOKUP(A1162,'Pinlist(S5)'!$C$4:$C$1362,'Pinlist(S5)'!$E$4:$E$1362,""),_xlpm.cleanRaw,SUBSTITUTE(SUBSTITUTE(_xlpm.raw,"_PIN","."),"PIN","."),_xlpm.mainPart,MID(_xlpm.cleanRaw,2,FIND(".",_xlpm.cleanRaw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1162" t="str">
        <f>""</f>
        <v/>
      </c>
      <c r="J1162" t="str">
        <f t="shared" si="18"/>
        <v>AW46;DDR1_MA[10]_CAB7;KA108;25.876;20.677;507128;806098;601001;</v>
      </c>
    </row>
    <row r="1163" spans="1:10">
      <c r="A1163" t="s">
        <v>2055</v>
      </c>
      <c r="B1163" t="str">
        <f>_xlfn.XLOOKUP(A1163,'Pinlist(S1)'!$Q$4:$Q$1362,'Pinlist(S1)'!$R$4:$R$1362,"")</f>
        <v>VSS</v>
      </c>
      <c r="C1163" t="str" cm="1">
        <f t="array" ref="C1163">_xlfn.TEXTJOIN(",",TRUE,_xlfn.UNIQUE(TRANSPOSE(_xlfn.MAP(_xlfn.XLOOKUP(A1163,'Pinlist(S1)'!$C$4:$C$1362,'Pinlist(S1)'!$F$4:$K$1362,""),_xlfn.LAMBDA(_xlpm.x,IF(_xlpm.x&lt;&gt;"",TRIM(CLEAN(LEFT(_xlpm.x,FIND(".",_xlpm.x &amp; ".")-1))),""))))))</f>
        <v/>
      </c>
      <c r="D1163">
        <v>26.477</v>
      </c>
      <c r="E1163">
        <v>20.352</v>
      </c>
      <c r="F1163" t="str">
        <f>_xlfn.LET(_xlpm.raw,_xlfn.XLOOKUP(A1163,'Pinlist(S1)'!$C$4:$C$1362,'Pinlist(S1)'!$E$4:$E$1362,""),_xlpm.cleanRaw,SUBSTITUTE(SUBSTITUTE(_xlpm.raw,"_PIN","."),"PIN","."),_xlpm.mainPart,MID(_xlpm.cleanRaw,2,FIND(".",_xlpm.cleanRaw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3" t="str">
        <f>_xlfn.LET(_xlpm.raw,_xlfn.XLOOKUP(A1163,'Pinlist(S3)'!$C$4:$C$1362,'Pinlist(S3)'!$E$4:$E$1362,""),_xlpm.cleanRaw,SUBSTITUTE(SUBSTITUTE(_xlpm.raw,"_PIN","."),"PIN","."),_xlpm.mainPart,MID(_xlpm.cleanRaw,2,FIND(".",_xlpm.cleanRaw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3" t="str">
        <f>_xlfn.LET(_xlpm.raw,_xlfn.XLOOKUP(A1163,'Pinlist(S5)'!$C$4:$C$1362,'Pinlist(S5)'!$E$4:$E$1362,""),_xlpm.cleanRaw,SUBSTITUTE(SUBSTITUTE(_xlpm.raw,"_PIN","."),"PIN","."),_xlpm.mainPart,MID(_xlpm.cleanRaw,2,FIND(".",_xlpm.cleanRaw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3" t="str">
        <f>""</f>
        <v/>
      </c>
      <c r="J1163" t="str">
        <f t="shared" si="18"/>
        <v>AW47;VSS;;26.477;20.352;;;;</v>
      </c>
    </row>
    <row r="1164" spans="1:10">
      <c r="A1164" t="s">
        <v>1390</v>
      </c>
      <c r="B1164" t="str">
        <f>_xlfn.XLOOKUP(A1164,'Pinlist(S1)'!$Q$4:$Q$1362,'Pinlist(S1)'!$R$4:$R$1362,"")</f>
        <v>SPARE_4</v>
      </c>
      <c r="C1164" t="str" cm="1">
        <f t="array" ref="C1164">_xlfn.TEXTJOIN(",",TRUE,_xlfn.UNIQUE(TRANSPOSE(_xlfn.MAP(_xlfn.XLOOKUP(A1164,'Pinlist(S1)'!$C$4:$C$1362,'Pinlist(S1)'!$F$4:$K$1362,""),_xlfn.LAMBDA(_xlpm.x,IF(_xlpm.x&lt;&gt;"",TRIM(CLEAN(LEFT(_xlpm.x,FIND(".",_xlpm.x &amp; ".")-1))),""))))))</f>
        <v/>
      </c>
      <c r="D1164">
        <v>27.041</v>
      </c>
      <c r="E1164">
        <v>20.677</v>
      </c>
      <c r="F1164" t="str">
        <f>_xlfn.LET(_xlpm.raw,_xlfn.XLOOKUP(A1164,'Pinlist(S1)'!$C$4:$C$1362,'Pinlist(S1)'!$E$4:$E$1362,""),_xlpm.cleanRaw,SUBSTITUTE(SUBSTITUTE(_xlpm.raw,"_PIN","."),"PIN","."),_xlpm.mainPart,MID(_xlpm.cleanRaw,2,FIND(".",_xlpm.cleanRaw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4" t="str">
        <f>_xlfn.LET(_xlpm.raw,_xlfn.XLOOKUP(A1164,'Pinlist(S3)'!$C$4:$C$1362,'Pinlist(S3)'!$E$4:$E$1362,""),_xlpm.cleanRaw,SUBSTITUTE(SUBSTITUTE(_xlpm.raw,"_PIN","."),"PIN","."),_xlpm.mainPart,MID(_xlpm.cleanRaw,2,FIND(".",_xlpm.cleanRaw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4" t="str">
        <f>_xlfn.LET(_xlpm.raw,_xlfn.XLOOKUP(A1164,'Pinlist(S5)'!$C$4:$C$1362,'Pinlist(S5)'!$E$4:$E$1362,""),_xlpm.cleanRaw,SUBSTITUTE(SUBSTITUTE(_xlpm.raw,"_PIN","."),"PIN","."),_xlpm.mainPart,MID(_xlpm.cleanRaw,2,FIND(".",_xlpm.cleanRaw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4" t="str">
        <f>""</f>
        <v/>
      </c>
      <c r="J1164" t="str">
        <f t="shared" si="18"/>
        <v>AW48;SPARE_4;;27.041;20.677;;;;</v>
      </c>
    </row>
    <row r="1165" spans="1:10">
      <c r="A1165" t="s">
        <v>2056</v>
      </c>
      <c r="B1165" t="str">
        <f>_xlfn.XLOOKUP(A1165,'Pinlist(S1)'!$Q$4:$Q$1362,'Pinlist(S1)'!$R$4:$R$1362,"")</f>
        <v>VSS</v>
      </c>
      <c r="C1165" t="str" cm="1">
        <f t="array" ref="C1165">_xlfn.TEXTJOIN(",",TRUE,_xlfn.UNIQUE(TRANSPOSE(_xlfn.MAP(_xlfn.XLOOKUP(A1165,'Pinlist(S1)'!$C$4:$C$1362,'Pinlist(S1)'!$F$4:$K$1362,""),_xlfn.LAMBDA(_xlpm.x,IF(_xlpm.x&lt;&gt;"",TRIM(CLEAN(LEFT(_xlpm.x,FIND(".",_xlpm.x &amp; ".")-1))),""))))))</f>
        <v/>
      </c>
      <c r="D1165">
        <v>27.669</v>
      </c>
      <c r="E1165">
        <v>20.352</v>
      </c>
      <c r="F1165" t="str">
        <f>_xlfn.LET(_xlpm.raw,_xlfn.XLOOKUP(A1165,'Pinlist(S1)'!$C$4:$C$1362,'Pinlist(S1)'!$E$4:$E$1362,""),_xlpm.cleanRaw,SUBSTITUTE(SUBSTITUTE(_xlpm.raw,"_PIN","."),"PIN","."),_xlpm.mainPart,MID(_xlpm.cleanRaw,2,FIND(".",_xlpm.cleanRaw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5" t="str">
        <f>_xlfn.LET(_xlpm.raw,_xlfn.XLOOKUP(A1165,'Pinlist(S3)'!$C$4:$C$1362,'Pinlist(S3)'!$E$4:$E$1362,""),_xlpm.cleanRaw,SUBSTITUTE(SUBSTITUTE(_xlpm.raw,"_PIN","."),"PIN","."),_xlpm.mainPart,MID(_xlpm.cleanRaw,2,FIND(".",_xlpm.cleanRaw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5" t="str">
        <f>_xlfn.LET(_xlpm.raw,_xlfn.XLOOKUP(A1165,'Pinlist(S5)'!$C$4:$C$1362,'Pinlist(S5)'!$E$4:$E$1362,""),_xlpm.cleanRaw,SUBSTITUTE(SUBSTITUTE(_xlpm.raw,"_PIN","."),"PIN","."),_xlpm.mainPart,MID(_xlpm.cleanRaw,2,FIND(".",_xlpm.cleanRaw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5" t="str">
        <f>""</f>
        <v/>
      </c>
      <c r="J1165" t="str">
        <f t="shared" si="18"/>
        <v>AW49;VSS;;27.669;20.352;;;;</v>
      </c>
    </row>
    <row r="1166" spans="1:10">
      <c r="A1166" t="s">
        <v>242</v>
      </c>
      <c r="B1166" t="str">
        <f>_xlfn.XLOOKUP(A1166,'Pinlist(S1)'!$Q$4:$Q$1362,'Pinlist(S1)'!$R$4:$R$1362,"")</f>
        <v>DDR0_ALERT_N</v>
      </c>
      <c r="C1166" t="str" cm="1">
        <f t="array" ref="C1166">_xlfn.TEXTJOIN(",",TRUE,_xlfn.UNIQUE(TRANSPOSE(_xlfn.MAP(_xlfn.XLOOKUP(A1166,'Pinlist(S1)'!$C$4:$C$1362,'Pinlist(S1)'!$F$4:$K$1362,""),_xlfn.LAMBDA(_xlpm.x,IF(_xlpm.x&lt;&gt;"",TRIM(CLEAN(LEFT(_xlpm.x,FIND(".",_xlpm.x &amp; ".")-1))),""))))))</f>
        <v/>
      </c>
      <c r="D1166">
        <v>28.297999999999998</v>
      </c>
      <c r="E1166">
        <v>20.677</v>
      </c>
      <c r="F1166" t="str">
        <f>_xlfn.LET(_xlpm.raw,_xlfn.XLOOKUP(A1166,'Pinlist(S1)'!$C$4:$C$1362,'Pinlist(S1)'!$E$4:$E$1362,""),_xlpm.cleanRaw,SUBSTITUTE(SUBSTITUTE(_xlpm.raw,"_PIN","."),"PIN","."),_xlpm.mainPart,MID(_xlpm.cleanRaw,2,FIND(".",_xlpm.cleanRaw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607030</v>
      </c>
      <c r="G1166" t="str">
        <f>_xlfn.LET(_xlpm.raw,_xlfn.XLOOKUP(A1166,'Pinlist(S3)'!$C$4:$C$1362,'Pinlist(S3)'!$E$4:$E$1362,""),_xlpm.cleanRaw,SUBSTITUTE(SUBSTITUTE(_xlpm.raw,"_PIN","."),"PIN","."),_xlpm.mainPart,MID(_xlpm.cleanRaw,2,FIND(".",_xlpm.cleanRaw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801020</v>
      </c>
      <c r="H1166" t="str">
        <f>_xlfn.LET(_xlpm.raw,_xlfn.XLOOKUP(A1166,'Pinlist(S5)'!$C$4:$C$1362,'Pinlist(S5)'!$E$4:$E$1362,""),_xlpm.cleanRaw,SUBSTITUTE(SUBSTITUTE(_xlpm.raw,"_PIN","."),"PIN","."),_xlpm.mainPart,MID(_xlpm.cleanRaw,2,FIND(".",_xlpm.cleanRaw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706030</v>
      </c>
      <c r="I1166" t="str">
        <f>""</f>
        <v/>
      </c>
      <c r="J1166" t="str">
        <f t="shared" si="18"/>
        <v>AW50;DDR0_ALERT_N;;28.298;20.677;607030;801020;706030;</v>
      </c>
    </row>
    <row r="1167" spans="1:10">
      <c r="A1167" t="s">
        <v>2057</v>
      </c>
      <c r="B1167" t="str">
        <f>_xlfn.XLOOKUP(A1167,'Pinlist(S1)'!$Q$4:$Q$1362,'Pinlist(S1)'!$R$4:$R$1362,"")</f>
        <v>VSS</v>
      </c>
      <c r="C1167" t="str" cm="1">
        <f t="array" ref="C1167">_xlfn.TEXTJOIN(",",TRUE,_xlfn.UNIQUE(TRANSPOSE(_xlfn.MAP(_xlfn.XLOOKUP(A1167,'Pinlist(S1)'!$C$4:$C$1362,'Pinlist(S1)'!$F$4:$K$1362,""),_xlfn.LAMBDA(_xlpm.x,IF(_xlpm.x&lt;&gt;"",TRIM(CLEAN(LEFT(_xlpm.x,FIND(".",_xlpm.x &amp; ".")-1))),""))))))</f>
        <v/>
      </c>
      <c r="D1167">
        <v>28.861999999999998</v>
      </c>
      <c r="E1167">
        <v>20.352</v>
      </c>
      <c r="F1167" t="str">
        <f>_xlfn.LET(_xlpm.raw,_xlfn.XLOOKUP(A1167,'Pinlist(S1)'!$C$4:$C$1362,'Pinlist(S1)'!$E$4:$E$1362,""),_xlpm.cleanRaw,SUBSTITUTE(SUBSTITUTE(_xlpm.raw,"_PIN","."),"PIN","."),_xlpm.mainPart,MID(_xlpm.cleanRaw,2,FIND(".",_xlpm.cleanRaw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7" t="str">
        <f>_xlfn.LET(_xlpm.raw,_xlfn.XLOOKUP(A1167,'Pinlist(S3)'!$C$4:$C$1362,'Pinlist(S3)'!$E$4:$E$1362,""),_xlpm.cleanRaw,SUBSTITUTE(SUBSTITUTE(_xlpm.raw,"_PIN","."),"PIN","."),_xlpm.mainPart,MID(_xlpm.cleanRaw,2,FIND(".",_xlpm.cleanRaw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7" t="str">
        <f>_xlfn.LET(_xlpm.raw,_xlfn.XLOOKUP(A1167,'Pinlist(S5)'!$C$4:$C$1362,'Pinlist(S5)'!$E$4:$E$1362,""),_xlpm.cleanRaw,SUBSTITUTE(SUBSTITUTE(_xlpm.raw,"_PIN","."),"PIN","."),_xlpm.mainPart,MID(_xlpm.cleanRaw,2,FIND(".",_xlpm.cleanRaw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7" t="str">
        <f>""</f>
        <v/>
      </c>
      <c r="J1167" t="str">
        <f t="shared" si="18"/>
        <v>AW51;VSS;;28.862;20.352;;;;</v>
      </c>
    </row>
    <row r="1168" spans="1:10">
      <c r="A1168" t="s">
        <v>300</v>
      </c>
      <c r="B1168" t="str">
        <f>_xlfn.XLOOKUP(A1168,'Pinlist(S1)'!$Q$4:$Q$1362,'Pinlist(S1)'!$R$4:$R$1362,"")</f>
        <v>DDR0_MA[7]_CAA4</v>
      </c>
      <c r="C1168" t="str" cm="1">
        <f t="array" ref="C1168">_xlfn.TEXTJOIN(",",TRUE,_xlfn.UNIQUE(TRANSPOSE(_xlfn.MAP(_xlfn.XLOOKUP(A1168,'Pinlist(S1)'!$C$4:$C$1362,'Pinlist(S1)'!$F$4:$K$1362,""),_xlfn.LAMBDA(_xlpm.x,IF(_xlpm.x&lt;&gt;"",TRIM(CLEAN(LEFT(_xlpm.x,FIND(".",_xlpm.x &amp; ".")-1))),""))))))</f>
        <v>KA118</v>
      </c>
      <c r="D1168">
        <v>29.463000000000001</v>
      </c>
      <c r="E1168">
        <v>20.677</v>
      </c>
      <c r="F1168" t="str">
        <f>_xlfn.LET(_xlpm.raw,_xlfn.XLOOKUP(A1168,'Pinlist(S1)'!$C$4:$C$1362,'Pinlist(S1)'!$E$4:$E$1362,""),_xlpm.cleanRaw,SUBSTITUTE(SUBSTITUTE(_xlpm.raw,"_PIN","."),"PIN","."),_xlpm.mainPart,MID(_xlpm.cleanRaw,2,FIND(".",_xlpm.cleanRaw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1168" t="str">
        <f>_xlfn.LET(_xlpm.raw,_xlfn.XLOOKUP(A1168,'Pinlist(S3)'!$C$4:$C$1362,'Pinlist(S3)'!$E$4:$E$1362,""),_xlpm.cleanRaw,SUBSTITUTE(SUBSTITUTE(_xlpm.raw,"_PIN","."),"PIN","."),_xlpm.mainPart,MID(_xlpm.cleanRaw,2,FIND(".",_xlpm.cleanRaw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1168" t="str">
        <f>_xlfn.LET(_xlpm.raw,_xlfn.XLOOKUP(A1168,'Pinlist(S5)'!$C$4:$C$1362,'Pinlist(S5)'!$E$4:$E$1362,""),_xlpm.cleanRaw,SUBSTITUTE(SUBSTITUTE(_xlpm.raw,"_PIN","."),"PIN","."),_xlpm.mainPart,MID(_xlpm.cleanRaw,2,FIND(".",_xlpm.cleanRaw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1168" t="str">
        <f>""</f>
        <v/>
      </c>
      <c r="J1168" t="str">
        <f t="shared" si="18"/>
        <v>AW52;DDR0_MA[7]_CAA4;KA118;29.463;20.677;507106;809122;603117;</v>
      </c>
    </row>
    <row r="1169" spans="1:10">
      <c r="A1169" t="s">
        <v>2058</v>
      </c>
      <c r="B1169" t="str">
        <f>_xlfn.XLOOKUP(A1169,'Pinlist(S1)'!$Q$4:$Q$1362,'Pinlist(S1)'!$R$4:$R$1362,"")</f>
        <v>VSS</v>
      </c>
      <c r="C1169" t="str" cm="1">
        <f t="array" ref="C1169">_xlfn.TEXTJOIN(",",TRUE,_xlfn.UNIQUE(TRANSPOSE(_xlfn.MAP(_xlfn.XLOOKUP(A1169,'Pinlist(S1)'!$C$4:$C$1362,'Pinlist(S1)'!$F$4:$K$1362,""),_xlfn.LAMBDA(_xlpm.x,IF(_xlpm.x&lt;&gt;"",TRIM(CLEAN(LEFT(_xlpm.x,FIND(".",_xlpm.x &amp; ".")-1))),""))))))</f>
        <v/>
      </c>
      <c r="D1169">
        <v>30.076000000000001</v>
      </c>
      <c r="E1169">
        <v>20.352</v>
      </c>
      <c r="F1169" t="str">
        <f>_xlfn.LET(_xlpm.raw,_xlfn.XLOOKUP(A1169,'Pinlist(S1)'!$C$4:$C$1362,'Pinlist(S1)'!$E$4:$E$1362,""),_xlpm.cleanRaw,SUBSTITUTE(SUBSTITUTE(_xlpm.raw,"_PIN","."),"PIN","."),_xlpm.mainPart,MID(_xlpm.cleanRaw,2,FIND(".",_xlpm.cleanRaw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9" t="str">
        <f>_xlfn.LET(_xlpm.raw,_xlfn.XLOOKUP(A1169,'Pinlist(S3)'!$C$4:$C$1362,'Pinlist(S3)'!$E$4:$E$1362,""),_xlpm.cleanRaw,SUBSTITUTE(SUBSTITUTE(_xlpm.raw,"_PIN","."),"PIN","."),_xlpm.mainPart,MID(_xlpm.cleanRaw,2,FIND(".",_xlpm.cleanRaw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9" t="str">
        <f>_xlfn.LET(_xlpm.raw,_xlfn.XLOOKUP(A1169,'Pinlist(S5)'!$C$4:$C$1362,'Pinlist(S5)'!$E$4:$E$1362,""),_xlpm.cleanRaw,SUBSTITUTE(SUBSTITUTE(_xlpm.raw,"_PIN","."),"PIN","."),_xlpm.mainPart,MID(_xlpm.cleanRaw,2,FIND(".",_xlpm.cleanRaw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9" t="str">
        <f>""</f>
        <v/>
      </c>
      <c r="J1169" t="str">
        <f t="shared" si="18"/>
        <v>AW53;VSS;;30.076;20.352;;;;</v>
      </c>
    </row>
    <row r="1170" spans="1:10">
      <c r="A1170" t="s">
        <v>282</v>
      </c>
      <c r="B1170" t="str">
        <f>_xlfn.XLOOKUP(A1170,'Pinlist(S1)'!$Q$4:$Q$1362,'Pinlist(S1)'!$R$4:$R$1362,"")</f>
        <v>DDR0_MA[12]_CAA6</v>
      </c>
      <c r="C1170" t="str" cm="1">
        <f t="array" ref="C1170">_xlfn.TEXTJOIN(",",TRUE,_xlfn.UNIQUE(TRANSPOSE(_xlfn.MAP(_xlfn.XLOOKUP(A1170,'Pinlist(S1)'!$C$4:$C$1362,'Pinlist(S1)'!$F$4:$K$1362,""),_xlfn.LAMBDA(_xlpm.x,IF(_xlpm.x&lt;&gt;"",TRIM(CLEAN(LEFT(_xlpm.x,FIND(".",_xlpm.x &amp; ".")-1))),""))))))</f>
        <v>KA109</v>
      </c>
      <c r="D1170">
        <v>30.689</v>
      </c>
      <c r="E1170">
        <v>20.677</v>
      </c>
      <c r="F1170" t="str">
        <f>_xlfn.LET(_xlpm.raw,_xlfn.XLOOKUP(A1170,'Pinlist(S1)'!$C$4:$C$1362,'Pinlist(S1)'!$E$4:$E$1362,""),_xlpm.cleanRaw,SUBSTITUTE(SUBSTITUTE(_xlpm.raw,"_PIN","."),"PIN","."),_xlpm.mainPart,MID(_xlpm.cleanRaw,2,FIND(".",_xlpm.cleanRaw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1170" t="str">
        <f>_xlfn.LET(_xlpm.raw,_xlfn.XLOOKUP(A1170,'Pinlist(S3)'!$C$4:$C$1362,'Pinlist(S3)'!$E$4:$E$1362,""),_xlpm.cleanRaw,SUBSTITUTE(SUBSTITUTE(_xlpm.raw,"_PIN","."),"PIN","."),_xlpm.mainPart,MID(_xlpm.cleanRaw,2,FIND(".",_xlpm.cleanRaw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1170" t="str">
        <f>_xlfn.LET(_xlpm.raw,_xlfn.XLOOKUP(A1170,'Pinlist(S5)'!$C$4:$C$1362,'Pinlist(S5)'!$E$4:$E$1362,""),_xlpm.cleanRaw,SUBSTITUTE(SUBSTITUTE(_xlpm.raw,"_PIN","."),"PIN","."),_xlpm.mainPart,MID(_xlpm.cleanRaw,2,FIND(".",_xlpm.cleanRaw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1170" t="str">
        <f>""</f>
        <v/>
      </c>
      <c r="J1170" t="str">
        <f t="shared" si="18"/>
        <v>AW54;DDR0_MA[12]_CAA6;KA109;30.689;20.677;507097;805080;603119;</v>
      </c>
    </row>
    <row r="1171" spans="1:10">
      <c r="A1171" t="s">
        <v>2059</v>
      </c>
      <c r="B1171" t="str">
        <f>_xlfn.XLOOKUP(A1171,'Pinlist(S1)'!$Q$4:$Q$1362,'Pinlist(S1)'!$R$4:$R$1362,"")</f>
        <v>VSS</v>
      </c>
      <c r="C1171" t="str" cm="1">
        <f t="array" ref="C1171">_xlfn.TEXTJOIN(",",TRUE,_xlfn.UNIQUE(TRANSPOSE(_xlfn.MAP(_xlfn.XLOOKUP(A1171,'Pinlist(S1)'!$C$4:$C$1362,'Pinlist(S1)'!$F$4:$K$1362,""),_xlfn.LAMBDA(_xlpm.x,IF(_xlpm.x&lt;&gt;"",TRIM(CLEAN(LEFT(_xlpm.x,FIND(".",_xlpm.x &amp; ".")-1))),""))))))</f>
        <v/>
      </c>
      <c r="D1171">
        <v>31.352</v>
      </c>
      <c r="E1171">
        <v>20.352</v>
      </c>
      <c r="F1171" t="str">
        <f>_xlfn.LET(_xlpm.raw,_xlfn.XLOOKUP(A1171,'Pinlist(S1)'!$C$4:$C$1362,'Pinlist(S1)'!$E$4:$E$1362,""),_xlpm.cleanRaw,SUBSTITUTE(SUBSTITUTE(_xlpm.raw,"_PIN","."),"PIN","."),_xlpm.mainPart,MID(_xlpm.cleanRaw,2,FIND(".",_xlpm.cleanRaw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1" t="str">
        <f>_xlfn.LET(_xlpm.raw,_xlfn.XLOOKUP(A1171,'Pinlist(S3)'!$C$4:$C$1362,'Pinlist(S3)'!$E$4:$E$1362,""),_xlpm.cleanRaw,SUBSTITUTE(SUBSTITUTE(_xlpm.raw,"_PIN","."),"PIN","."),_xlpm.mainPart,MID(_xlpm.cleanRaw,2,FIND(".",_xlpm.cleanRaw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1" t="str">
        <f>_xlfn.LET(_xlpm.raw,_xlfn.XLOOKUP(A1171,'Pinlist(S5)'!$C$4:$C$1362,'Pinlist(S5)'!$E$4:$E$1362,""),_xlpm.cleanRaw,SUBSTITUTE(SUBSTITUTE(_xlpm.raw,"_PIN","."),"PIN","."),_xlpm.mainPart,MID(_xlpm.cleanRaw,2,FIND(".",_xlpm.cleanRaw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1" t="str">
        <f>""</f>
        <v/>
      </c>
      <c r="J1171" t="str">
        <f t="shared" si="18"/>
        <v>AW55;VSS;;31.352;20.352;;;;</v>
      </c>
    </row>
    <row r="1172" spans="1:10">
      <c r="A1172" t="s">
        <v>257</v>
      </c>
      <c r="B1172" t="str">
        <f>_xlfn.XLOOKUP(A1172,'Pinlist(S1)'!$Q$4:$Q$1362,'Pinlist(S1)'!$R$4:$R$1362,"")</f>
        <v>DDR0_CKE[2]</v>
      </c>
      <c r="C1172" t="str" cm="1">
        <f t="array" ref="C1172">_xlfn.TEXTJOIN(",",TRUE,_xlfn.UNIQUE(TRANSPOSE(_xlfn.MAP(_xlfn.XLOOKUP(A1172,'Pinlist(S1)'!$C$4:$C$1362,'Pinlist(S1)'!$F$4:$K$1362,""),_xlfn.LAMBDA(_xlpm.x,IF(_xlpm.x&lt;&gt;"",TRIM(CLEAN(LEFT(_xlpm.x,FIND(".",_xlpm.x &amp; ".")-1))),""))))))</f>
        <v>KA102</v>
      </c>
      <c r="D1172">
        <v>31.916</v>
      </c>
      <c r="E1172">
        <v>20.677</v>
      </c>
      <c r="F1172" t="str">
        <f>_xlfn.LET(_xlpm.raw,_xlfn.XLOOKUP(A1172,'Pinlist(S1)'!$C$4:$C$1362,'Pinlist(S1)'!$E$4:$E$1362,""),_xlpm.cleanRaw,SUBSTITUTE(SUBSTITUTE(_xlpm.raw,"_PIN","."),"PIN","."),_xlpm.mainPart,MID(_xlpm.cleanRaw,2,FIND(".",_xlpm.cleanRaw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172" t="str">
        <f>_xlfn.LET(_xlpm.raw,_xlfn.XLOOKUP(A1172,'Pinlist(S3)'!$C$4:$C$1362,'Pinlist(S3)'!$E$4:$E$1362,""),_xlpm.cleanRaw,SUBSTITUTE(SUBSTITUTE(_xlpm.raw,"_PIN","."),"PIN","."),_xlpm.mainPart,MID(_xlpm.cleanRaw,2,FIND(".",_xlpm.cleanRaw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172" t="str">
        <f>_xlfn.LET(_xlpm.raw,_xlfn.XLOOKUP(A1172,'Pinlist(S5)'!$C$4:$C$1362,'Pinlist(S5)'!$E$4:$E$1362,""),_xlpm.cleanRaw,SUBSTITUTE(SUBSTITUTE(_xlpm.raw,"_PIN","."),"PIN","."),_xlpm.mainPart,MID(_xlpm.cleanRaw,2,FIND(".",_xlpm.cleanRaw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172" t="str">
        <f>""</f>
        <v/>
      </c>
      <c r="J1172" t="str">
        <f t="shared" si="18"/>
        <v>AW56;DDR0_CKE[2];KA102;31.916;20.677;505075;805077;702082;</v>
      </c>
    </row>
    <row r="1173" spans="1:10">
      <c r="A1173" t="s">
        <v>2060</v>
      </c>
      <c r="B1173" t="str">
        <f>_xlfn.XLOOKUP(A1173,'Pinlist(S1)'!$Q$4:$Q$1362,'Pinlist(S1)'!$R$4:$R$1362,"")</f>
        <v>VSS</v>
      </c>
      <c r="C1173" t="str" cm="1">
        <f t="array" ref="C1173">_xlfn.TEXTJOIN(",",TRUE,_xlfn.UNIQUE(TRANSPOSE(_xlfn.MAP(_xlfn.XLOOKUP(A1173,'Pinlist(S1)'!$C$4:$C$1362,'Pinlist(S1)'!$F$4:$K$1362,""),_xlfn.LAMBDA(_xlpm.x,IF(_xlpm.x&lt;&gt;"",TRIM(CLEAN(LEFT(_xlpm.x,FIND(".",_xlpm.x &amp; ".")-1))),""))))))</f>
        <v/>
      </c>
      <c r="D1173">
        <v>32.554000000000002</v>
      </c>
      <c r="E1173">
        <v>20.352</v>
      </c>
      <c r="F1173" t="str">
        <f>_xlfn.LET(_xlpm.raw,_xlfn.XLOOKUP(A1173,'Pinlist(S1)'!$C$4:$C$1362,'Pinlist(S1)'!$E$4:$E$1362,""),_xlpm.cleanRaw,SUBSTITUTE(SUBSTITUTE(_xlpm.raw,"_PIN","."),"PIN","."),_xlpm.mainPart,MID(_xlpm.cleanRaw,2,FIND(".",_xlpm.cleanRaw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3" t="str">
        <f>_xlfn.LET(_xlpm.raw,_xlfn.XLOOKUP(A1173,'Pinlist(S3)'!$C$4:$C$1362,'Pinlist(S3)'!$E$4:$E$1362,""),_xlpm.cleanRaw,SUBSTITUTE(SUBSTITUTE(_xlpm.raw,"_PIN","."),"PIN","."),_xlpm.mainPart,MID(_xlpm.cleanRaw,2,FIND(".",_xlpm.cleanRaw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3" t="str">
        <f>_xlfn.LET(_xlpm.raw,_xlfn.XLOOKUP(A1173,'Pinlist(S5)'!$C$4:$C$1362,'Pinlist(S5)'!$E$4:$E$1362,""),_xlpm.cleanRaw,SUBSTITUTE(SUBSTITUTE(_xlpm.raw,"_PIN","."),"PIN","."),_xlpm.mainPart,MID(_xlpm.cleanRaw,2,FIND(".",_xlpm.cleanRaw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3" t="str">
        <f>""</f>
        <v/>
      </c>
      <c r="J1173" t="str">
        <f t="shared" si="18"/>
        <v>AW57;VSS;;32.554;20.352;;;;</v>
      </c>
    </row>
    <row r="1174" spans="1:10">
      <c r="A1174" t="s">
        <v>442</v>
      </c>
      <c r="B1174" t="str">
        <f>_xlfn.XLOOKUP(A1174,'Pinlist(S1)'!$Q$4:$Q$1362,'Pinlist(S1)'!$R$4:$R$1362,"")</f>
        <v>DDRDQ_IL03_NIL05[3]</v>
      </c>
      <c r="C1174" t="str" cm="1">
        <f t="array" ref="C1174">_xlfn.TEXTJOIN(",",TRUE,_xlfn.UNIQUE(TRANSPOSE(_xlfn.MAP(_xlfn.XLOOKUP(A1174,'Pinlist(S1)'!$C$4:$C$1362,'Pinlist(S1)'!$F$4:$K$1362,""),_xlfn.LAMBDA(_xlpm.x,IF(_xlpm.x&lt;&gt;"",TRIM(CLEAN(LEFT(_xlpm.x,FIND(".",_xlpm.x &amp; ".")-1))),""))))))</f>
        <v/>
      </c>
      <c r="D1174">
        <v>33.191000000000003</v>
      </c>
      <c r="E1174">
        <v>20.677</v>
      </c>
      <c r="F1174" t="str">
        <f>_xlfn.LET(_xlpm.raw,_xlfn.XLOOKUP(A1174,'Pinlist(S1)'!$C$4:$C$1362,'Pinlist(S1)'!$E$4:$E$1362,""),_xlpm.cleanRaw,SUBSTITUTE(SUBSTITUTE(_xlpm.raw,"_PIN","."),"PIN","."),_xlpm.mainPart,MID(_xlpm.cleanRaw,2,FIND(".",_xlpm.cleanRaw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608082</v>
      </c>
      <c r="G1174" t="str">
        <f>_xlfn.LET(_xlpm.raw,_xlfn.XLOOKUP(A1174,'Pinlist(S3)'!$C$4:$C$1362,'Pinlist(S3)'!$E$4:$E$1362,""),_xlpm.cleanRaw,SUBSTITUTE(SUBSTITUTE(_xlpm.raw,"_PIN","."),"PIN","."),_xlpm.mainPart,MID(_xlpm.cleanRaw,2,FIND(".",_xlpm.cleanRaw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802045</v>
      </c>
      <c r="H1174" t="str">
        <f>_xlfn.LET(_xlpm.raw,_xlfn.XLOOKUP(A1174,'Pinlist(S5)'!$C$4:$C$1362,'Pinlist(S5)'!$E$4:$E$1362,""),_xlpm.cleanRaw,SUBSTITUTE(SUBSTITUTE(_xlpm.raw,"_PIN","."),"PIN","."),_xlpm.mainPart,MID(_xlpm.cleanRaw,2,FIND(".",_xlpm.cleanRaw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705045</v>
      </c>
      <c r="I1174" t="str">
        <f>""</f>
        <v/>
      </c>
      <c r="J1174" t="str">
        <f t="shared" si="18"/>
        <v>AW59;DDRDQ_IL03_NIL05[3];;33.191;20.677;608082;802045;705045;</v>
      </c>
    </row>
    <row r="1175" spans="1:10">
      <c r="A1175" t="s">
        <v>2062</v>
      </c>
      <c r="B1175" t="str">
        <f>_xlfn.XLOOKUP(A1175,'Pinlist(S1)'!$Q$4:$Q$1362,'Pinlist(S1)'!$R$4:$R$1362,"")</f>
        <v>VSS</v>
      </c>
      <c r="C1175" t="str" cm="1">
        <f t="array" ref="C1175">_xlfn.TEXTJOIN(",",TRUE,_xlfn.UNIQUE(TRANSPOSE(_xlfn.MAP(_xlfn.XLOOKUP(A1175,'Pinlist(S1)'!$C$4:$C$1362,'Pinlist(S1)'!$F$4:$K$1362,""),_xlfn.LAMBDA(_xlpm.x,IF(_xlpm.x&lt;&gt;"",TRIM(CLEAN(LEFT(_xlpm.x,FIND(".",_xlpm.x &amp; ".")-1))),""))))))</f>
        <v/>
      </c>
      <c r="D1175">
        <v>33.755000000000003</v>
      </c>
      <c r="E1175">
        <v>20.352</v>
      </c>
      <c r="F1175" t="str">
        <f>_xlfn.LET(_xlpm.raw,_xlfn.XLOOKUP(A1175,'Pinlist(S1)'!$C$4:$C$1362,'Pinlist(S1)'!$E$4:$E$1362,""),_xlpm.cleanRaw,SUBSTITUTE(SUBSTITUTE(_xlpm.raw,"_PIN","."),"PIN","."),_xlpm.mainPart,MID(_xlpm.cleanRaw,2,FIND(".",_xlpm.cleanRaw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5" t="str">
        <f>_xlfn.LET(_xlpm.raw,_xlfn.XLOOKUP(A1175,'Pinlist(S3)'!$C$4:$C$1362,'Pinlist(S3)'!$E$4:$E$1362,""),_xlpm.cleanRaw,SUBSTITUTE(SUBSTITUTE(_xlpm.raw,"_PIN","."),"PIN","."),_xlpm.mainPart,MID(_xlpm.cleanRaw,2,FIND(".",_xlpm.cleanRaw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5" t="str">
        <f>_xlfn.LET(_xlpm.raw,_xlfn.XLOOKUP(A1175,'Pinlist(S5)'!$C$4:$C$1362,'Pinlist(S5)'!$E$4:$E$1362,""),_xlpm.cleanRaw,SUBSTITUTE(SUBSTITUTE(_xlpm.raw,"_PIN","."),"PIN","."),_xlpm.mainPart,MID(_xlpm.cleanRaw,2,FIND(".",_xlpm.cleanRaw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5" t="str">
        <f>""</f>
        <v/>
      </c>
      <c r="J1175" t="str">
        <f t="shared" si="18"/>
        <v>AW60;VSS;;33.755;20.352;;;;</v>
      </c>
    </row>
    <row r="1176" spans="1:10">
      <c r="A1176" t="s">
        <v>438</v>
      </c>
      <c r="B1176" t="str">
        <f>_xlfn.XLOOKUP(A1176,'Pinlist(S1)'!$Q$4:$Q$1362,'Pinlist(S1)'!$R$4:$R$1362,"")</f>
        <v>DDRDQ_IL03_NIL05[1]</v>
      </c>
      <c r="C1176" t="str" cm="1">
        <f t="array" ref="C1176">_xlfn.TEXTJOIN(",",TRUE,_xlfn.UNIQUE(TRANSPOSE(_xlfn.MAP(_xlfn.XLOOKUP(A1176,'Pinlist(S1)'!$C$4:$C$1362,'Pinlist(S1)'!$F$4:$K$1362,""),_xlfn.LAMBDA(_xlpm.x,IF(_xlpm.x&lt;&gt;"",TRIM(CLEAN(LEFT(_xlpm.x,FIND(".",_xlpm.x &amp; ".")-1))),""))))))</f>
        <v/>
      </c>
      <c r="D1176">
        <v>34.417999999999999</v>
      </c>
      <c r="E1176">
        <v>20.677</v>
      </c>
      <c r="F1176" t="str">
        <f>_xlfn.LET(_xlpm.raw,_xlfn.XLOOKUP(A1176,'Pinlist(S1)'!$C$4:$C$1362,'Pinlist(S1)'!$E$4:$E$1362,""),_xlpm.cleanRaw,SUBSTITUTE(SUBSTITUTE(_xlpm.raw,"_PIN","."),"PIN","."),_xlpm.mainPart,MID(_xlpm.cleanRaw,2,FIND(".",_xlpm.cleanRaw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606088</v>
      </c>
      <c r="G1176" t="str">
        <f>_xlfn.LET(_xlpm.raw,_xlfn.XLOOKUP(A1176,'Pinlist(S3)'!$C$4:$C$1362,'Pinlist(S3)'!$E$4:$E$1362,""),_xlpm.cleanRaw,SUBSTITUTE(SUBSTITUTE(_xlpm.raw,"_PIN","."),"PIN","."),_xlpm.mainPart,MID(_xlpm.cleanRaw,2,FIND(".",_xlpm.cleanRaw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801038</v>
      </c>
      <c r="H1176" t="str">
        <f>_xlfn.LET(_xlpm.raw,_xlfn.XLOOKUP(A1176,'Pinlist(S5)'!$C$4:$C$1362,'Pinlist(S5)'!$E$4:$E$1362,""),_xlpm.cleanRaw,SUBSTITUTE(SUBSTITUTE(_xlpm.raw,"_PIN","."),"PIN","."),_xlpm.mainPart,MID(_xlpm.cleanRaw,2,FIND(".",_xlpm.cleanRaw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706001</v>
      </c>
      <c r="I1176" t="str">
        <f>""</f>
        <v/>
      </c>
      <c r="J1176" t="str">
        <f t="shared" si="18"/>
        <v>AW61;DDRDQ_IL03_NIL05[1];;34.418;20.677;606088;801038;706001;</v>
      </c>
    </row>
    <row r="1177" spans="1:10">
      <c r="A1177" t="s">
        <v>2063</v>
      </c>
      <c r="B1177" t="str">
        <f>_xlfn.XLOOKUP(A1177,'Pinlist(S1)'!$Q$4:$Q$1362,'Pinlist(S1)'!$R$4:$R$1362,"")</f>
        <v>VSS</v>
      </c>
      <c r="C1177" t="str" cm="1">
        <f t="array" ref="C1177">_xlfn.TEXTJOIN(",",TRUE,_xlfn.UNIQUE(TRANSPOSE(_xlfn.MAP(_xlfn.XLOOKUP(A1177,'Pinlist(S1)'!$C$4:$C$1362,'Pinlist(S1)'!$F$4:$K$1362,""),_xlfn.LAMBDA(_xlpm.x,IF(_xlpm.x&lt;&gt;"",TRIM(CLEAN(LEFT(_xlpm.x,FIND(".",_xlpm.x &amp; ".")-1))),""))))))</f>
        <v/>
      </c>
      <c r="D1177">
        <v>35.031999999999996</v>
      </c>
      <c r="E1177">
        <v>20.352</v>
      </c>
      <c r="F1177" t="str">
        <f>_xlfn.LET(_xlpm.raw,_xlfn.XLOOKUP(A1177,'Pinlist(S1)'!$C$4:$C$1362,'Pinlist(S1)'!$E$4:$E$1362,""),_xlpm.cleanRaw,SUBSTITUTE(SUBSTITUTE(_xlpm.raw,"_PIN","."),"PIN","."),_xlpm.mainPart,MID(_xlpm.cleanRaw,2,FIND(".",_xlpm.cleanRaw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7" t="str">
        <f>_xlfn.LET(_xlpm.raw,_xlfn.XLOOKUP(A1177,'Pinlist(S3)'!$C$4:$C$1362,'Pinlist(S3)'!$E$4:$E$1362,""),_xlpm.cleanRaw,SUBSTITUTE(SUBSTITUTE(_xlpm.raw,"_PIN","."),"PIN","."),_xlpm.mainPart,MID(_xlpm.cleanRaw,2,FIND(".",_xlpm.cleanRaw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7" t="str">
        <f>_xlfn.LET(_xlpm.raw,_xlfn.XLOOKUP(A1177,'Pinlist(S5)'!$C$4:$C$1362,'Pinlist(S5)'!$E$4:$E$1362,""),_xlpm.cleanRaw,SUBSTITUTE(SUBSTITUTE(_xlpm.raw,"_PIN","."),"PIN","."),_xlpm.mainPart,MID(_xlpm.cleanRaw,2,FIND(".",_xlpm.cleanRaw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7" t="str">
        <f>""</f>
        <v/>
      </c>
      <c r="J1177" t="str">
        <f t="shared" si="18"/>
        <v>AW62;VSS;;35.032;20.352;;;;</v>
      </c>
    </row>
    <row r="1178" spans="1:10">
      <c r="A1178" t="s">
        <v>424</v>
      </c>
      <c r="B1178" t="str">
        <f>_xlfn.XLOOKUP(A1178,'Pinlist(S1)'!$Q$4:$Q$1362,'Pinlist(S1)'!$R$4:$R$1362,"")</f>
        <v>DDRDQ_IL02_NIL04[2]</v>
      </c>
      <c r="C1178" t="str" cm="1">
        <f t="array" ref="C1178">_xlfn.TEXTJOIN(",",TRUE,_xlfn.UNIQUE(TRANSPOSE(_xlfn.MAP(_xlfn.XLOOKUP(A1178,'Pinlist(S1)'!$C$4:$C$1362,'Pinlist(S1)'!$F$4:$K$1362,""),_xlfn.LAMBDA(_xlpm.x,IF(_xlpm.x&lt;&gt;"",TRIM(CLEAN(LEFT(_xlpm.x,FIND(".",_xlpm.x &amp; ".")-1))),""))))))</f>
        <v/>
      </c>
      <c r="D1178">
        <v>35.644999999999897</v>
      </c>
      <c r="E1178">
        <v>20.677</v>
      </c>
      <c r="F1178" t="str">
        <f>_xlfn.LET(_xlpm.raw,_xlfn.XLOOKUP(A1178,'Pinlist(S1)'!$C$4:$C$1362,'Pinlist(S1)'!$E$4:$E$1362,""),_xlpm.cleanRaw,SUBSTITUTE(SUBSTITUTE(_xlpm.raw,"_PIN","."),"PIN","."),_xlpm.mainPart,MID(_xlpm.cleanRaw,2,FIND(".",_xlpm.cleanRaw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607025</v>
      </c>
      <c r="G1178" t="str">
        <f>_xlfn.LET(_xlpm.raw,_xlfn.XLOOKUP(A1178,'Pinlist(S3)'!$C$4:$C$1362,'Pinlist(S3)'!$E$4:$E$1362,""),_xlpm.cleanRaw,SUBSTITUTE(SUBSTITUTE(_xlpm.raw,"_PIN","."),"PIN","."),_xlpm.mainPart,MID(_xlpm.cleanRaw,2,FIND(".",_xlpm.cleanRaw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501113</v>
      </c>
      <c r="H1178" t="str">
        <f>_xlfn.LET(_xlpm.raw,_xlfn.XLOOKUP(A1178,'Pinlist(S5)'!$C$4:$C$1362,'Pinlist(S5)'!$E$4:$E$1362,""),_xlpm.cleanRaw,SUBSTITUTE(SUBSTITUTE(_xlpm.raw,"_PIN","."),"PIN","."),_xlpm.mainPart,MID(_xlpm.cleanRaw,2,FIND(".",_xlpm.cleanRaw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706025</v>
      </c>
      <c r="I1178" t="str">
        <f>""</f>
        <v/>
      </c>
      <c r="J1178" t="str">
        <f t="shared" si="18"/>
        <v>AW63;DDRDQ_IL02_NIL04[2];;35.6449999999999;20.677;607025;501113;706025;</v>
      </c>
    </row>
    <row r="1179" spans="1:10">
      <c r="A1179" t="s">
        <v>2064</v>
      </c>
      <c r="B1179" t="str">
        <f>_xlfn.XLOOKUP(A1179,'Pinlist(S1)'!$Q$4:$Q$1362,'Pinlist(S1)'!$R$4:$R$1362,"")</f>
        <v>VSS</v>
      </c>
      <c r="C1179" t="str" cm="1">
        <f t="array" ref="C1179">_xlfn.TEXTJOIN(",",TRUE,_xlfn.UNIQUE(TRANSPOSE(_xlfn.MAP(_xlfn.XLOOKUP(A1179,'Pinlist(S1)'!$C$4:$C$1362,'Pinlist(S1)'!$F$4:$K$1362,""),_xlfn.LAMBDA(_xlpm.x,IF(_xlpm.x&lt;&gt;"",TRIM(CLEAN(LEFT(_xlpm.x,FIND(".",_xlpm.x &amp; ".")-1))),""))))))</f>
        <v/>
      </c>
      <c r="D1179">
        <v>36.308</v>
      </c>
      <c r="E1179">
        <v>20.352</v>
      </c>
      <c r="F1179" t="str">
        <f>_xlfn.LET(_xlpm.raw,_xlfn.XLOOKUP(A1179,'Pinlist(S1)'!$C$4:$C$1362,'Pinlist(S1)'!$E$4:$E$1362,""),_xlpm.cleanRaw,SUBSTITUTE(SUBSTITUTE(_xlpm.raw,"_PIN","."),"PIN","."),_xlpm.mainPart,MID(_xlpm.cleanRaw,2,FIND(".",_xlpm.cleanRaw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9" t="str">
        <f>_xlfn.LET(_xlpm.raw,_xlfn.XLOOKUP(A1179,'Pinlist(S3)'!$C$4:$C$1362,'Pinlist(S3)'!$E$4:$E$1362,""),_xlpm.cleanRaw,SUBSTITUTE(SUBSTITUTE(_xlpm.raw,"_PIN","."),"PIN","."),_xlpm.mainPart,MID(_xlpm.cleanRaw,2,FIND(".",_xlpm.cleanRaw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9" t="str">
        <f>_xlfn.LET(_xlpm.raw,_xlfn.XLOOKUP(A1179,'Pinlist(S5)'!$C$4:$C$1362,'Pinlist(S5)'!$E$4:$E$1362,""),_xlpm.cleanRaw,SUBSTITUTE(SUBSTITUTE(_xlpm.raw,"_PIN","."),"PIN","."),_xlpm.mainPart,MID(_xlpm.cleanRaw,2,FIND(".",_xlpm.cleanRaw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9" t="str">
        <f>""</f>
        <v/>
      </c>
      <c r="J1179" t="str">
        <f t="shared" si="18"/>
        <v>AW64;VSS;;36.308;20.352;;;;</v>
      </c>
    </row>
    <row r="1180" spans="1:10">
      <c r="A1180" t="s">
        <v>422</v>
      </c>
      <c r="B1180" t="str">
        <f>_xlfn.XLOOKUP(A1180,'Pinlist(S1)'!$Q$4:$Q$1362,'Pinlist(S1)'!$R$4:$R$1362,"")</f>
        <v>DDRDQ_IL02_NIL04[1]</v>
      </c>
      <c r="C1180" t="str" cm="1">
        <f t="array" ref="C1180">_xlfn.TEXTJOIN(",",TRUE,_xlfn.UNIQUE(TRANSPOSE(_xlfn.MAP(_xlfn.XLOOKUP(A1180,'Pinlist(S1)'!$C$4:$C$1362,'Pinlist(S1)'!$F$4:$K$1362,""),_xlfn.LAMBDA(_xlpm.x,IF(_xlpm.x&lt;&gt;"",TRIM(CLEAN(LEFT(_xlpm.x,FIND(".",_xlpm.x &amp; ".")-1))),""))))))</f>
        <v/>
      </c>
      <c r="D1180">
        <v>36.872</v>
      </c>
      <c r="E1180">
        <v>20.677</v>
      </c>
      <c r="F1180" t="str">
        <f>_xlfn.LET(_xlpm.raw,_xlfn.XLOOKUP(A1180,'Pinlist(S1)'!$C$4:$C$1362,'Pinlist(S1)'!$E$4:$E$1362,""),_xlpm.cleanRaw,SUBSTITUTE(SUBSTITUTE(_xlpm.raw,"_PIN","."),"PIN","."),_xlpm.mainPart,MID(_xlpm.cleanRaw,2,FIND(".",_xlpm.cleanRaw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606109</v>
      </c>
      <c r="G1180" t="str">
        <f>_xlfn.LET(_xlpm.raw,_xlfn.XLOOKUP(A1180,'Pinlist(S3)'!$C$4:$C$1362,'Pinlist(S3)'!$E$4:$E$1362,""),_xlpm.cleanRaw,SUBSTITUTE(SUBSTITUTE(_xlpm.raw,"_PIN","."),"PIN","."),_xlpm.mainPart,MID(_xlpm.cleanRaw,2,FIND(".",_xlpm.cleanRaw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502070</v>
      </c>
      <c r="H1180" t="str">
        <f>_xlfn.LET(_xlpm.raw,_xlfn.XLOOKUP(A1180,'Pinlist(S5)'!$C$4:$C$1362,'Pinlist(S5)'!$E$4:$E$1362,""),_xlpm.cleanRaw,SUBSTITUTE(SUBSTITUTE(_xlpm.raw,"_PIN","."),"PIN","."),_xlpm.mainPart,MID(_xlpm.cleanRaw,2,FIND(".",_xlpm.cleanRaw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707109</v>
      </c>
      <c r="I1180" t="str">
        <f>""</f>
        <v/>
      </c>
      <c r="J1180" t="str">
        <f t="shared" si="18"/>
        <v>AW65;DDRDQ_IL02_NIL04[1];;36.872;20.677;606109;502070;707109;</v>
      </c>
    </row>
    <row r="1181" spans="1:10">
      <c r="A1181" t="s">
        <v>2065</v>
      </c>
      <c r="B1181" t="str">
        <f>_xlfn.XLOOKUP(A1181,'Pinlist(S1)'!$Q$4:$Q$1362,'Pinlist(S1)'!$R$4:$R$1362,"")</f>
        <v>VSS</v>
      </c>
      <c r="C1181" t="str" cm="1">
        <f t="array" ref="C1181">_xlfn.TEXTJOIN(",",TRUE,_xlfn.UNIQUE(TRANSPOSE(_xlfn.MAP(_xlfn.XLOOKUP(A1181,'Pinlist(S1)'!$C$4:$C$1362,'Pinlist(S1)'!$F$4:$K$1362,""),_xlfn.LAMBDA(_xlpm.x,IF(_xlpm.x&lt;&gt;"",TRIM(CLEAN(LEFT(_xlpm.x,FIND(".",_xlpm.x &amp; ".")-1))),""))))))</f>
        <v/>
      </c>
      <c r="D1181">
        <v>37.406999999999996</v>
      </c>
      <c r="E1181">
        <v>20.213999999999999</v>
      </c>
      <c r="F1181" t="str">
        <f>_xlfn.LET(_xlpm.raw,_xlfn.XLOOKUP(A1181,'Pinlist(S1)'!$C$4:$C$1362,'Pinlist(S1)'!$E$4:$E$1362,""),_xlpm.cleanRaw,SUBSTITUTE(SUBSTITUTE(_xlpm.raw,"_PIN","."),"PIN","."),_xlpm.mainPart,MID(_xlpm.cleanRaw,2,FIND(".",_xlpm.cleanRaw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1" t="str">
        <f>_xlfn.LET(_xlpm.raw,_xlfn.XLOOKUP(A1181,'Pinlist(S3)'!$C$4:$C$1362,'Pinlist(S3)'!$E$4:$E$1362,""),_xlpm.cleanRaw,SUBSTITUTE(SUBSTITUTE(_xlpm.raw,"_PIN","."),"PIN","."),_xlpm.mainPart,MID(_xlpm.cleanRaw,2,FIND(".",_xlpm.cleanRaw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1" t="str">
        <f>_xlfn.LET(_xlpm.raw,_xlfn.XLOOKUP(A1181,'Pinlist(S5)'!$C$4:$C$1362,'Pinlist(S5)'!$E$4:$E$1362,""),_xlpm.cleanRaw,SUBSTITUTE(SUBSTITUTE(_xlpm.raw,"_PIN","."),"PIN","."),_xlpm.mainPart,MID(_xlpm.cleanRaw,2,FIND(".",_xlpm.cleanRaw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1" t="str">
        <f>""</f>
        <v/>
      </c>
      <c r="J1181" t="str">
        <f t="shared" si="18"/>
        <v>AW66;VSS;;37.407;20.214;;;;</v>
      </c>
    </row>
    <row r="1182" spans="1:10">
      <c r="A1182" t="s">
        <v>240</v>
      </c>
      <c r="B1182" t="str">
        <f>_xlfn.XLOOKUP(A1182,'Pinlist(S1)'!$Q$4:$Q$1362,'Pinlist(S1)'!$R$4:$R$1362,"")</f>
        <v>DDR_VTT_CNTL</v>
      </c>
      <c r="C1182" t="str" cm="1">
        <f t="array" ref="C1182">_xlfn.TEXTJOIN(",",TRUE,_xlfn.UNIQUE(TRANSPOSE(_xlfn.MAP(_xlfn.XLOOKUP(A1182,'Pinlist(S1)'!$C$4:$C$1362,'Pinlist(S1)'!$F$4:$K$1362,""),_xlfn.LAMBDA(_xlpm.x,IF(_xlpm.x&lt;&gt;"",TRIM(CLEAN(LEFT(_xlpm.x,FIND(".",_xlpm.x &amp; ".")-1))),""))))))</f>
        <v/>
      </c>
      <c r="D1182">
        <v>38.332000000000001</v>
      </c>
      <c r="E1182">
        <v>20.684999999999999</v>
      </c>
      <c r="F1182" t="str">
        <f>_xlfn.LET(_xlpm.raw,_xlfn.XLOOKUP(A1182,'Pinlist(S1)'!$C$4:$C$1362,'Pinlist(S1)'!$E$4:$E$1362,""),_xlpm.cleanRaw,SUBSTITUTE(SUBSTITUTE(_xlpm.raw,"_PIN","."),"PIN","."),_xlpm.mainPart,MID(_xlpm.cleanRaw,2,FIND(".",_xlpm.cleanRaw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606108</v>
      </c>
      <c r="G1182" t="str">
        <f>_xlfn.LET(_xlpm.raw,_xlfn.XLOOKUP(A1182,'Pinlist(S3)'!$C$4:$C$1362,'Pinlist(S3)'!$E$4:$E$1362,""),_xlpm.cleanRaw,SUBSTITUTE(SUBSTITUTE(_xlpm.raw,"_PIN","."),"PIN","."),_xlpm.mainPart,MID(_xlpm.cleanRaw,2,FIND(".",_xlpm.cleanRaw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801015</v>
      </c>
      <c r="H1182" t="str">
        <f>_xlfn.LET(_xlpm.raw,_xlfn.XLOOKUP(A1182,'Pinlist(S5)'!$C$4:$C$1362,'Pinlist(S5)'!$E$4:$E$1362,""),_xlpm.cleanRaw,SUBSTITUTE(SUBSTITUTE(_xlpm.raw,"_PIN","."),"PIN","."),_xlpm.mainPart,MID(_xlpm.cleanRaw,2,FIND(".",_xlpm.cleanRaw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706034</v>
      </c>
      <c r="I1182" t="str">
        <f>""</f>
        <v/>
      </c>
      <c r="J1182" t="str">
        <f t="shared" si="18"/>
        <v>AW67;DDR_VTT_CNTL;;38.332;20.685;606108;801015;706034;</v>
      </c>
    </row>
    <row r="1183" spans="1:10">
      <c r="A1183" t="s">
        <v>1386</v>
      </c>
      <c r="B1183" t="str">
        <f>_xlfn.XLOOKUP(A1183,'Pinlist(S1)'!$Q$4:$Q$1362,'Pinlist(S1)'!$R$4:$R$1362,"")</f>
        <v>SPARE_2</v>
      </c>
      <c r="C1183" t="str" cm="1">
        <f t="array" ref="C1183">_xlfn.TEXTJOIN(",",TRUE,_xlfn.UNIQUE(TRANSPOSE(_xlfn.MAP(_xlfn.XLOOKUP(A1183,'Pinlist(S1)'!$C$4:$C$1362,'Pinlist(S1)'!$F$4:$K$1362,""),_xlfn.LAMBDA(_xlpm.x,IF(_xlpm.x&lt;&gt;"",TRIM(CLEAN(LEFT(_xlpm.x,FIND(".",_xlpm.x &amp; ".")-1))),""))))))</f>
        <v/>
      </c>
      <c r="D1183">
        <v>38.936</v>
      </c>
      <c r="E1183">
        <v>20.936</v>
      </c>
      <c r="F1183" t="str">
        <f>_xlfn.LET(_xlpm.raw,_xlfn.XLOOKUP(A1183,'Pinlist(S1)'!$C$4:$C$1362,'Pinlist(S1)'!$E$4:$E$1362,""),_xlpm.cleanRaw,SUBSTITUTE(SUBSTITUTE(_xlpm.raw,"_PIN","."),"PIN","."),_xlpm.mainPart,MID(_xlpm.cleanRaw,2,FIND(".",_xlpm.cleanRaw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3" t="str">
        <f>_xlfn.LET(_xlpm.raw,_xlfn.XLOOKUP(A1183,'Pinlist(S3)'!$C$4:$C$1362,'Pinlist(S3)'!$E$4:$E$1362,""),_xlpm.cleanRaw,SUBSTITUTE(SUBSTITUTE(_xlpm.raw,"_PIN","."),"PIN","."),_xlpm.mainPart,MID(_xlpm.cleanRaw,2,FIND(".",_xlpm.cleanRaw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3" t="str">
        <f>_xlfn.LET(_xlpm.raw,_xlfn.XLOOKUP(A1183,'Pinlist(S5)'!$C$4:$C$1362,'Pinlist(S5)'!$E$4:$E$1362,""),_xlpm.cleanRaw,SUBSTITUTE(SUBSTITUTE(_xlpm.raw,"_PIN","."),"PIN","."),_xlpm.mainPart,MID(_xlpm.cleanRaw,2,FIND(".",_xlpm.cleanRaw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3" t="str">
        <f>""</f>
        <v/>
      </c>
      <c r="J1183" t="str">
        <f t="shared" si="18"/>
        <v>AW68;SPARE_2;;38.936;20.936;;;;</v>
      </c>
    </row>
    <row r="1184" spans="1:10">
      <c r="A1184" t="s">
        <v>1370</v>
      </c>
      <c r="B1184" t="str">
        <f>_xlfn.XLOOKUP(A1184,'Pinlist(S1)'!$Q$4:$Q$1362,'Pinlist(S1)'!$R$4:$R$1362,"")</f>
        <v>SPARE_1</v>
      </c>
      <c r="C1184" t="str" cm="1">
        <f t="array" ref="C1184">_xlfn.TEXTJOIN(",",TRUE,_xlfn.UNIQUE(TRANSPOSE(_xlfn.MAP(_xlfn.XLOOKUP(A1184,'Pinlist(S1)'!$C$4:$C$1362,'Pinlist(S1)'!$F$4:$K$1362,""),_xlfn.LAMBDA(_xlpm.x,IF(_xlpm.x&lt;&gt;"",TRIM(CLEAN(LEFT(_xlpm.x,FIND(".",_xlpm.x &amp; ".")-1))),""))))))</f>
        <v/>
      </c>
      <c r="D1184">
        <v>39.581000000000003</v>
      </c>
      <c r="E1184">
        <v>20.85</v>
      </c>
      <c r="F1184" t="str">
        <f>_xlfn.LET(_xlpm.raw,_xlfn.XLOOKUP(A1184,'Pinlist(S1)'!$C$4:$C$1362,'Pinlist(S1)'!$E$4:$E$1362,""),_xlpm.cleanRaw,SUBSTITUTE(SUBSTITUTE(_xlpm.raw,"_PIN","."),"PIN","."),_xlpm.mainPart,MID(_xlpm.cleanRaw,2,FIND(".",_xlpm.cleanRaw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4" t="str">
        <f>_xlfn.LET(_xlpm.raw,_xlfn.XLOOKUP(A1184,'Pinlist(S3)'!$C$4:$C$1362,'Pinlist(S3)'!$E$4:$E$1362,""),_xlpm.cleanRaw,SUBSTITUTE(SUBSTITUTE(_xlpm.raw,"_PIN","."),"PIN","."),_xlpm.mainPart,MID(_xlpm.cleanRaw,2,FIND(".",_xlpm.cleanRaw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4" t="str">
        <f>_xlfn.LET(_xlpm.raw,_xlfn.XLOOKUP(A1184,'Pinlist(S5)'!$C$4:$C$1362,'Pinlist(S5)'!$E$4:$E$1362,""),_xlpm.cleanRaw,SUBSTITUTE(SUBSTITUTE(_xlpm.raw,"_PIN","."),"PIN","."),_xlpm.mainPart,MID(_xlpm.cleanRaw,2,FIND(".",_xlpm.cleanRaw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4" t="str">
        <f>""</f>
        <v/>
      </c>
      <c r="J1184" t="str">
        <f t="shared" si="18"/>
        <v>AW69;SPARE_1;;39.581;20.85;;;;</v>
      </c>
    </row>
    <row r="1185" spans="1:10">
      <c r="A1185" t="s">
        <v>753</v>
      </c>
      <c r="B1185" t="str">
        <f>_xlfn.XLOOKUP(A1185,'Pinlist(S1)'!$Q$4:$Q$1362,'Pinlist(S1)'!$R$4:$R$1362,"")</f>
        <v>EDRAM_VIEW[1]</v>
      </c>
      <c r="C1185" t="str" cm="1">
        <f t="array" ref="C1185">_xlfn.TEXTJOIN(",",TRUE,_xlfn.UNIQUE(TRANSPOSE(_xlfn.MAP(_xlfn.XLOOKUP(A1185,'Pinlist(S1)'!$C$4:$C$1362,'Pinlist(S1)'!$F$4:$K$1362,""),_xlfn.LAMBDA(_xlpm.x,IF(_xlpm.x&lt;&gt;"",TRIM(CLEAN(LEFT(_xlpm.x,FIND(".",_xlpm.x &amp; ".")-1))),""))))))</f>
        <v/>
      </c>
      <c r="D1185">
        <v>39.998999999999903</v>
      </c>
      <c r="E1185">
        <v>21.349</v>
      </c>
      <c r="F1185" t="str">
        <f>_xlfn.LET(_xlpm.raw,_xlfn.XLOOKUP(A1185,'Pinlist(S1)'!$C$4:$C$1362,'Pinlist(S1)'!$E$4:$E$1362,""),_xlpm.cleanRaw,SUBSTITUTE(SUBSTITUTE(_xlpm.raw,"_PIN","."),"PIN","."),_xlpm.mainPart,MID(_xlpm.cleanRaw,2,FIND(".",_xlpm.cleanRaw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5" t="str">
        <f>_xlfn.LET(_xlpm.raw,_xlfn.XLOOKUP(A1185,'Pinlist(S3)'!$C$4:$C$1362,'Pinlist(S3)'!$E$4:$E$1362,""),_xlpm.cleanRaw,SUBSTITUTE(SUBSTITUTE(_xlpm.raw,"_PIN","."),"PIN","."),_xlpm.mainPart,MID(_xlpm.cleanRaw,2,FIND(".",_xlpm.cleanRaw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5" t="str">
        <f>_xlfn.LET(_xlpm.raw,_xlfn.XLOOKUP(A1185,'Pinlist(S5)'!$C$4:$C$1362,'Pinlist(S5)'!$E$4:$E$1362,""),_xlpm.cleanRaw,SUBSTITUTE(SUBSTITUTE(_xlpm.raw,"_PIN","."),"PIN","."),_xlpm.mainPart,MID(_xlpm.cleanRaw,2,FIND(".",_xlpm.cleanRaw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5" t="str">
        <f>""</f>
        <v/>
      </c>
      <c r="J1185" t="str">
        <f t="shared" si="18"/>
        <v>AW70;EDRAM_VIEW[1];;39.9989999999999;21.349;;;;</v>
      </c>
    </row>
    <row r="1186" spans="1:10">
      <c r="A1186" t="s">
        <v>751</v>
      </c>
      <c r="B1186" t="str">
        <f>_xlfn.XLOOKUP(A1186,'Pinlist(S1)'!$Q$4:$Q$1362,'Pinlist(S1)'!$R$4:$R$1362,"")</f>
        <v>EDRAM_VIEW[0]</v>
      </c>
      <c r="C1186" t="str" cm="1">
        <f t="array" ref="C1186">_xlfn.TEXTJOIN(",",TRUE,_xlfn.UNIQUE(TRANSPOSE(_xlfn.MAP(_xlfn.XLOOKUP(A1186,'Pinlist(S1)'!$C$4:$C$1362,'Pinlist(S1)'!$F$4:$K$1362,""),_xlfn.LAMBDA(_xlpm.x,IF(_xlpm.x&lt;&gt;"",TRIM(CLEAN(LEFT(_xlpm.x,FIND(".",_xlpm.x &amp; ".")-1))),""))))))</f>
        <v/>
      </c>
      <c r="D1186">
        <v>40.628</v>
      </c>
      <c r="E1186">
        <v>20.864999999999998</v>
      </c>
      <c r="F1186" t="str">
        <f>_xlfn.LET(_xlpm.raw,_xlfn.XLOOKUP(A1186,'Pinlist(S1)'!$C$4:$C$1362,'Pinlist(S1)'!$E$4:$E$1362,""),_xlpm.cleanRaw,SUBSTITUTE(SUBSTITUTE(_xlpm.raw,"_PIN","."),"PIN","."),_xlpm.mainPart,MID(_xlpm.cleanRaw,2,FIND(".",_xlpm.cleanRaw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6" t="str">
        <f>_xlfn.LET(_xlpm.raw,_xlfn.XLOOKUP(A1186,'Pinlist(S3)'!$C$4:$C$1362,'Pinlist(S3)'!$E$4:$E$1362,""),_xlpm.cleanRaw,SUBSTITUTE(SUBSTITUTE(_xlpm.raw,"_PIN","."),"PIN","."),_xlpm.mainPart,MID(_xlpm.cleanRaw,2,FIND(".",_xlpm.cleanRaw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6" t="str">
        <f>_xlfn.LET(_xlpm.raw,_xlfn.XLOOKUP(A1186,'Pinlist(S5)'!$C$4:$C$1362,'Pinlist(S5)'!$E$4:$E$1362,""),_xlpm.cleanRaw,SUBSTITUTE(SUBSTITUTE(_xlpm.raw,"_PIN","."),"PIN","."),_xlpm.mainPart,MID(_xlpm.cleanRaw,2,FIND(".",_xlpm.cleanRaw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6" t="str">
        <f>""</f>
        <v/>
      </c>
      <c r="J1186" t="str">
        <f t="shared" si="18"/>
        <v>AW71;EDRAM_VIEW[0];;40.628;20.865;;;;</v>
      </c>
    </row>
    <row r="1187" spans="1:10">
      <c r="A1187" t="s">
        <v>1430</v>
      </c>
      <c r="B1187" t="str">
        <f>_xlfn.XLOOKUP(A1187,'Pinlist(S1)'!$Q$4:$Q$1362,'Pinlist(S1)'!$R$4:$R$1362,"")</f>
        <v>TD_CATHODE</v>
      </c>
      <c r="C1187" t="str" cm="1">
        <f t="array" ref="C1187">_xlfn.TEXTJOIN(",",TRUE,_xlfn.UNIQUE(TRANSPOSE(_xlfn.MAP(_xlfn.XLOOKUP(A1187,'Pinlist(S1)'!$C$4:$C$1362,'Pinlist(S1)'!$F$4:$K$1362,""),_xlfn.LAMBDA(_xlpm.x,IF(_xlpm.x&lt;&gt;"",TRIM(CLEAN(LEFT(_xlpm.x,FIND(".",_xlpm.x &amp; ".")-1))),""))))))</f>
        <v>RA179</v>
      </c>
      <c r="D1187">
        <v>0</v>
      </c>
      <c r="E1187">
        <v>21.515999999999998</v>
      </c>
      <c r="F1187" t="str">
        <f>_xlfn.LET(_xlpm.raw,_xlfn.XLOOKUP(A1187,'Pinlist(S1)'!$C$4:$C$1362,'Pinlist(S1)'!$E$4:$E$1362,""),_xlpm.cleanRaw,SUBSTITUTE(SUBSTITUTE(_xlpm.raw,"_PIN","."),"PIN","."),_xlpm.mainPart,MID(_xlpm.cleanRaw,2,FIND(".",_xlpm.cleanRaw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7" t="str">
        <f>_xlfn.LET(_xlpm.raw,_xlfn.XLOOKUP(A1187,'Pinlist(S3)'!$C$4:$C$1362,'Pinlist(S3)'!$E$4:$E$1362,""),_xlpm.cleanRaw,SUBSTITUTE(SUBSTITUTE(_xlpm.raw,"_PIN","."),"PIN","."),_xlpm.mainPart,MID(_xlpm.cleanRaw,2,FIND(".",_xlpm.cleanRaw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7" t="str">
        <f>_xlfn.LET(_xlpm.raw,_xlfn.XLOOKUP(A1187,'Pinlist(S5)'!$C$4:$C$1362,'Pinlist(S5)'!$E$4:$E$1362,""),_xlpm.cleanRaw,SUBSTITUTE(SUBSTITUTE(_xlpm.raw,"_PIN","."),"PIN","."),_xlpm.mainPart,MID(_xlpm.cleanRaw,2,FIND(".",_xlpm.cleanRaw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7" t="str">
        <f>""</f>
        <v/>
      </c>
      <c r="J1187" t="str">
        <f t="shared" si="18"/>
        <v>AY1;TD_CATHODE;RA179;0;21.516;;;;</v>
      </c>
    </row>
    <row r="1188" spans="1:10">
      <c r="A1188" t="s">
        <v>1428</v>
      </c>
      <c r="B1188" t="str">
        <f>_xlfn.XLOOKUP(A1188,'Pinlist(S1)'!$Q$4:$Q$1362,'Pinlist(S1)'!$R$4:$R$1362,"")</f>
        <v>TD_ANODE</v>
      </c>
      <c r="C1188" t="str" cm="1">
        <f t="array" ref="C1188">_xlfn.TEXTJOIN(",",TRUE,_xlfn.UNIQUE(TRANSPOSE(_xlfn.MAP(_xlfn.XLOOKUP(A1188,'Pinlist(S1)'!$C$4:$C$1362,'Pinlist(S1)'!$F$4:$K$1362,""),_xlfn.LAMBDA(_xlpm.x,IF(_xlpm.x&lt;&gt;"",TRIM(CLEAN(LEFT(_xlpm.x,FIND(".",_xlpm.x &amp; ".")-1))),""))))))</f>
        <v>RA182</v>
      </c>
      <c r="D1188">
        <v>0.629000000000004</v>
      </c>
      <c r="E1188">
        <v>21.347999999999999</v>
      </c>
      <c r="F1188" t="str">
        <f>_xlfn.LET(_xlpm.raw,_xlfn.XLOOKUP(A1188,'Pinlist(S1)'!$C$4:$C$1362,'Pinlist(S1)'!$E$4:$E$1362,""),_xlpm.cleanRaw,SUBSTITUTE(SUBSTITUTE(_xlpm.raw,"_PIN","."),"PIN","."),_xlpm.mainPart,MID(_xlpm.cleanRaw,2,FIND(".",_xlpm.cleanRaw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8" t="str">
        <f>_xlfn.LET(_xlpm.raw,_xlfn.XLOOKUP(A1188,'Pinlist(S3)'!$C$4:$C$1362,'Pinlist(S3)'!$E$4:$E$1362,""),_xlpm.cleanRaw,SUBSTITUTE(SUBSTITUTE(_xlpm.raw,"_PIN","."),"PIN","."),_xlpm.mainPart,MID(_xlpm.cleanRaw,2,FIND(".",_xlpm.cleanRaw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8" t="str">
        <f>_xlfn.LET(_xlpm.raw,_xlfn.XLOOKUP(A1188,'Pinlist(S5)'!$C$4:$C$1362,'Pinlist(S5)'!$E$4:$E$1362,""),_xlpm.cleanRaw,SUBSTITUTE(SUBSTITUTE(_xlpm.raw,"_PIN","."),"PIN","."),_xlpm.mainPart,MID(_xlpm.cleanRaw,2,FIND(".",_xlpm.cleanRaw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8" t="str">
        <f>""</f>
        <v/>
      </c>
      <c r="J1188" t="str">
        <f t="shared" si="18"/>
        <v>AY2;TD_ANODE;RA182;0.629000000000004;21.348;;;;</v>
      </c>
    </row>
    <row r="1189" spans="1:10">
      <c r="A1189" t="s">
        <v>1206</v>
      </c>
      <c r="B1189" t="str">
        <f>_xlfn.XLOOKUP(A1189,'Pinlist(S1)'!$Q$4:$Q$1362,'Pinlist(S1)'!$R$4:$R$1362,"")</f>
        <v>PCH_EDM</v>
      </c>
      <c r="C1189" t="str" cm="1">
        <f t="array" ref="C1189">_xlfn.TEXTJOIN(",",TRUE,_xlfn.UNIQUE(TRANSPOSE(_xlfn.MAP(_xlfn.XLOOKUP(A1189,'Pinlist(S1)'!$C$4:$C$1362,'Pinlist(S1)'!$F$4:$K$1362,""),_xlfn.LAMBDA(_xlpm.x,IF(_xlpm.x&lt;&gt;"",TRIM(CLEAN(LEFT(_xlpm.x,FIND(".",_xlpm.x &amp; ".")-1))),""))))))</f>
        <v/>
      </c>
      <c r="D1189">
        <v>1.286</v>
      </c>
      <c r="E1189">
        <v>21.341999999999999</v>
      </c>
      <c r="F1189" t="str">
        <f>_xlfn.LET(_xlpm.raw,_xlfn.XLOOKUP(A1189,'Pinlist(S1)'!$C$4:$C$1362,'Pinlist(S1)'!$E$4:$E$1362,""),_xlpm.cleanRaw,SUBSTITUTE(SUBSTITUTE(_xlpm.raw,"_PIN","."),"PIN","."),_xlpm.mainPart,MID(_xlpm.cleanRaw,2,FIND(".",_xlpm.cleanRaw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507088</v>
      </c>
      <c r="G1189" t="str">
        <f>_xlfn.LET(_xlpm.raw,_xlfn.XLOOKUP(A1189,'Pinlist(S3)'!$C$4:$C$1362,'Pinlist(S3)'!$E$4:$E$1362,""),_xlpm.cleanRaw,SUBSTITUTE(SUBSTITUTE(_xlpm.raw,"_PIN","."),"PIN","."),_xlpm.mainPart,MID(_xlpm.cleanRaw,2,FIND(".",_xlpm.cleanRaw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806123</v>
      </c>
      <c r="H1189" t="str">
        <f>_xlfn.LET(_xlpm.raw,_xlfn.XLOOKUP(A1189,'Pinlist(S5)'!$C$4:$C$1362,'Pinlist(S5)'!$E$4:$E$1362,""),_xlpm.cleanRaw,SUBSTITUTE(SUBSTITUTE(_xlpm.raw,"_PIN","."),"PIN","."),_xlpm.mainPart,MID(_xlpm.cleanRaw,2,FIND(".",_xlpm.cleanRaw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701117</v>
      </c>
      <c r="I1189" t="str">
        <f>""</f>
        <v/>
      </c>
      <c r="J1189" t="str">
        <f t="shared" si="18"/>
        <v>AY3;PCH_EDM;;1.286;21.342;507088;806123;701117;</v>
      </c>
    </row>
    <row r="1190" spans="1:10">
      <c r="A1190" t="s">
        <v>767</v>
      </c>
      <c r="B1190" t="str">
        <f>_xlfn.XLOOKUP(A1190,'Pinlist(S1)'!$Q$4:$Q$1362,'Pinlist(S1)'!$R$4:$R$1362,"")</f>
        <v>FPF_MON</v>
      </c>
      <c r="C1190" t="str" cm="1">
        <f t="array" ref="C1190">_xlfn.TEXTJOIN(",",TRUE,_xlfn.UNIQUE(TRANSPOSE(_xlfn.MAP(_xlfn.XLOOKUP(A1190,'Pinlist(S1)'!$C$4:$C$1362,'Pinlist(S1)'!$F$4:$K$1362,""),_xlfn.LAMBDA(_xlpm.x,IF(_xlpm.x&lt;&gt;"",TRIM(CLEAN(LEFT(_xlpm.x,FIND(".",_xlpm.x &amp; ".")-1))),""))))))</f>
        <v/>
      </c>
      <c r="D1190">
        <v>2.0399999999999898</v>
      </c>
      <c r="E1190">
        <v>21.356999999999999</v>
      </c>
      <c r="F1190" t="str">
        <f>_xlfn.LET(_xlpm.raw,_xlfn.XLOOKUP(A1190,'Pinlist(S1)'!$C$4:$C$1362,'Pinlist(S1)'!$E$4:$E$1362,""),_xlpm.cleanRaw,SUBSTITUTE(SUBSTITUTE(_xlpm.raw,"_PIN","."),"PIN","."),_xlpm.mainPart,MID(_xlpm.cleanRaw,2,FIND(".",_xlpm.cleanRaw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508077</v>
      </c>
      <c r="G1190" t="str">
        <f>_xlfn.LET(_xlpm.raw,_xlfn.XLOOKUP(A1190,'Pinlist(S3)'!$C$4:$C$1362,'Pinlist(S3)'!$E$4:$E$1362,""),_xlpm.cleanRaw,SUBSTITUTE(SUBSTITUTE(_xlpm.raw,"_PIN","."),"PIN","."),_xlpm.mainPart,MID(_xlpm.cleanRaw,2,FIND(".",_xlpm.cleanRaw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805070</v>
      </c>
      <c r="H1190" t="str">
        <f>_xlfn.LET(_xlpm.raw,_xlfn.XLOOKUP(A1190,'Pinlist(S5)'!$C$4:$C$1362,'Pinlist(S5)'!$E$4:$E$1362,""),_xlpm.cleanRaw,SUBSTITUTE(SUBSTITUTE(_xlpm.raw,"_PIN","."),"PIN","."),_xlpm.mainPart,MID(_xlpm.cleanRaw,2,FIND(".",_xlpm.cleanRaw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702070</v>
      </c>
      <c r="I1190" t="str">
        <f>""</f>
        <v/>
      </c>
      <c r="J1190" t="str">
        <f t="shared" si="18"/>
        <v>AY4;FPF_MON;;2.03999999999999;21.357;508077;805070;702070;</v>
      </c>
    </row>
    <row r="1191" spans="1:10">
      <c r="A1191" t="s">
        <v>879</v>
      </c>
      <c r="B1191" t="str">
        <f>_xlfn.XLOOKUP(A1191,'Pinlist(S1)'!$Q$4:$Q$1362,'Pinlist(S1)'!$R$4:$R$1362,"")</f>
        <v>GPP_B_4_CPU_GP_3</v>
      </c>
      <c r="C1191" t="str" cm="1">
        <f t="array" ref="C1191">_xlfn.TEXTJOIN(",",TRUE,_xlfn.UNIQUE(TRANSPOSE(_xlfn.MAP(_xlfn.XLOOKUP(A1191,'Pinlist(S1)'!$C$4:$C$1362,'Pinlist(S1)'!$F$4:$K$1362,""),_xlfn.LAMBDA(_xlpm.x,IF(_xlpm.x&lt;&gt;"",TRIM(CLEAN(LEFT(_xlpm.x,FIND(".",_xlpm.x &amp; ".")-1))),""))))))</f>
        <v/>
      </c>
      <c r="D1191">
        <v>2.649</v>
      </c>
      <c r="E1191">
        <v>21.003</v>
      </c>
      <c r="F1191" t="str">
        <f>_xlfn.LET(_xlpm.raw,_xlfn.XLOOKUP(A1191,'Pinlist(S1)'!$C$4:$C$1362,'Pinlist(S1)'!$E$4:$E$1362,""),_xlpm.cleanRaw,SUBSTITUTE(SUBSTITUTE(_xlpm.raw,"_PIN","."),"PIN","."),_xlpm.mainPart,MID(_xlpm.cleanRaw,2,FIND(".",_xlpm.cleanRaw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506007</v>
      </c>
      <c r="G1191" t="str">
        <f>_xlfn.LET(_xlpm.raw,_xlfn.XLOOKUP(A1191,'Pinlist(S3)'!$C$4:$C$1362,'Pinlist(S3)'!$E$4:$E$1362,""),_xlpm.cleanRaw,SUBSTITUTE(SUBSTITUTE(_xlpm.raw,"_PIN","."),"PIN","."),_xlpm.mainPart,MID(_xlpm.cleanRaw,2,FIND(".",_xlpm.cleanRaw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808084</v>
      </c>
      <c r="H1191" t="str">
        <f>_xlfn.LET(_xlpm.raw,_xlfn.XLOOKUP(A1191,'Pinlist(S5)'!$C$4:$C$1362,'Pinlist(S5)'!$E$4:$E$1362,""),_xlpm.cleanRaw,SUBSTITUTE(SUBSTITUTE(_xlpm.raw,"_PIN","."),"PIN","."),_xlpm.mainPart,MID(_xlpm.cleanRaw,2,FIND(".",_xlpm.cleanRaw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701095</v>
      </c>
      <c r="I1191" t="str">
        <f>""</f>
        <v/>
      </c>
      <c r="J1191" t="str">
        <f t="shared" si="18"/>
        <v>AY5;GPP_B_4_CPU_GP_3;;2.649;21.003;506007;808084;701095;</v>
      </c>
    </row>
    <row r="1192" spans="1:10">
      <c r="A1192" t="s">
        <v>825</v>
      </c>
      <c r="B1192" t="str">
        <f>_xlfn.XLOOKUP(A1192,'Pinlist(S1)'!$Q$4:$Q$1362,'Pinlist(S1)'!$R$4:$R$1362,"")</f>
        <v>GPP_A_22_ISH_GP_4</v>
      </c>
      <c r="C1192" t="str" cm="1">
        <f t="array" ref="C1192">_xlfn.TEXTJOIN(",",TRUE,_xlfn.UNIQUE(TRANSPOSE(_xlfn.MAP(_xlfn.XLOOKUP(A1192,'Pinlist(S1)'!$C$4:$C$1362,'Pinlist(S1)'!$F$4:$K$1362,""),_xlfn.LAMBDA(_xlpm.x,IF(_xlpm.x&lt;&gt;"",TRIM(CLEAN(LEFT(_xlpm.x,FIND(".",_xlpm.x &amp; ".")-1))),""))))))</f>
        <v/>
      </c>
      <c r="D1192">
        <v>3.7629999999999999</v>
      </c>
      <c r="E1192">
        <v>21.327999999999999</v>
      </c>
      <c r="F1192" t="str">
        <f>_xlfn.LET(_xlpm.raw,_xlfn.XLOOKUP(A1192,'Pinlist(S1)'!$C$4:$C$1362,'Pinlist(S1)'!$E$4:$E$1362,""),_xlpm.cleanRaw,SUBSTITUTE(SUBSTITUTE(_xlpm.raw,"_PIN","."),"PIN","."),_xlpm.mainPart,MID(_xlpm.cleanRaw,2,FIND(".",_xlpm.cleanRaw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508070</v>
      </c>
      <c r="G1192" t="str">
        <f>_xlfn.LET(_xlpm.raw,_xlfn.XLOOKUP(A1192,'Pinlist(S3)'!$C$4:$C$1362,'Pinlist(S3)'!$E$4:$E$1362,""),_xlpm.cleanRaw,SUBSTITUTE(SUBSTITUTE(_xlpm.raw,"_PIN","."),"PIN","."),_xlpm.mainPart,MID(_xlpm.cleanRaw,2,FIND(".",_xlpm.cleanRaw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806114</v>
      </c>
      <c r="H1192" t="str">
        <f>_xlfn.LET(_xlpm.raw,_xlfn.XLOOKUP(A1192,'Pinlist(S5)'!$C$4:$C$1362,'Pinlist(S5)'!$E$4:$E$1362,""),_xlpm.cleanRaw,SUBSTITUTE(SUBSTITUTE(_xlpm.raw,"_PIN","."),"PIN","."),_xlpm.mainPart,MID(_xlpm.cleanRaw,2,FIND(".",_xlpm.cleanRaw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701126</v>
      </c>
      <c r="I1192" t="str">
        <f>""</f>
        <v/>
      </c>
      <c r="J1192" t="str">
        <f t="shared" si="18"/>
        <v>AY7;GPP_A_22_ISH_GP_4;;3.763;21.328;508070;806114;701126;</v>
      </c>
    </row>
    <row r="1193" spans="1:10">
      <c r="A1193" t="s">
        <v>815</v>
      </c>
      <c r="B1193" t="str">
        <f>_xlfn.XLOOKUP(A1193,'Pinlist(S1)'!$Q$4:$Q$1362,'Pinlist(S1)'!$R$4:$R$1362,"")</f>
        <v>GPP_A_18_ISH_GP_0</v>
      </c>
      <c r="C1193" t="str" cm="1">
        <f t="array" ref="C1193">_xlfn.TEXTJOIN(",",TRUE,_xlfn.UNIQUE(TRANSPOSE(_xlfn.MAP(_xlfn.XLOOKUP(A1193,'Pinlist(S1)'!$C$4:$C$1362,'Pinlist(S1)'!$F$4:$K$1362,""),_xlfn.LAMBDA(_xlpm.x,IF(_xlpm.x&lt;&gt;"",TRIM(CLEAN(LEFT(_xlpm.x,FIND(".",_xlpm.x &amp; ".")-1))),""))))))</f>
        <v/>
      </c>
      <c r="D1193">
        <v>4.3280000000000003</v>
      </c>
      <c r="E1193">
        <v>21.003</v>
      </c>
      <c r="F1193" t="str">
        <f>_xlfn.LET(_xlpm.raw,_xlfn.XLOOKUP(A1193,'Pinlist(S1)'!$C$4:$C$1362,'Pinlist(S1)'!$E$4:$E$1362,""),_xlpm.cleanRaw,SUBSTITUTE(SUBSTITUTE(_xlpm.raw,"_PIN","."),"PIN","."),_xlpm.mainPart,MID(_xlpm.cleanRaw,2,FIND(".",_xlpm.cleanRaw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507101</v>
      </c>
      <c r="G1193" t="str">
        <f>_xlfn.LET(_xlpm.raw,_xlfn.XLOOKUP(A1193,'Pinlist(S3)'!$C$4:$C$1362,'Pinlist(S3)'!$E$4:$E$1362,""),_xlpm.cleanRaw,SUBSTITUTE(SUBSTITUTE(_xlpm.raw,"_PIN","."),"PIN","."),_xlpm.mainPart,MID(_xlpm.cleanRaw,2,FIND(".",_xlpm.cleanRaw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806122</v>
      </c>
      <c r="H1193" t="str">
        <f>_xlfn.LET(_xlpm.raw,_xlfn.XLOOKUP(A1193,'Pinlist(S5)'!$C$4:$C$1362,'Pinlist(S5)'!$E$4:$E$1362,""),_xlpm.cleanRaw,SUBSTITUTE(SUBSTITUTE(_xlpm.raw,"_PIN","."),"PIN","."),_xlpm.mainPart,MID(_xlpm.cleanRaw,2,FIND(".",_xlpm.cleanRaw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701120</v>
      </c>
      <c r="I1193" t="str">
        <f>""</f>
        <v/>
      </c>
      <c r="J1193" t="str">
        <f t="shared" si="18"/>
        <v>AY8;GPP_A_18_ISH_GP_0;;4.328;21.003;507101;806122;701120;</v>
      </c>
    </row>
    <row r="1194" spans="1:10">
      <c r="A1194" t="s">
        <v>799</v>
      </c>
      <c r="B1194" t="str">
        <f>_xlfn.XLOOKUP(A1194,'Pinlist(S1)'!$Q$4:$Q$1362,'Pinlist(S1)'!$R$4:$R$1362,"")</f>
        <v>GPP_A_10_CLKOUT_LPC_1</v>
      </c>
      <c r="C1194" t="str" cm="1">
        <f t="array" ref="C1194">_xlfn.TEXTJOIN(",",TRUE,_xlfn.UNIQUE(TRANSPOSE(_xlfn.MAP(_xlfn.XLOOKUP(A1194,'Pinlist(S1)'!$C$4:$C$1362,'Pinlist(S1)'!$F$4:$K$1362,""),_xlfn.LAMBDA(_xlpm.x,IF(_xlpm.x&lt;&gt;"",TRIM(CLEAN(LEFT(_xlpm.x,FIND(".",_xlpm.x &amp; ".")-1))),""))))))</f>
        <v>TPA202</v>
      </c>
      <c r="D1194">
        <v>4.8979999999999899</v>
      </c>
      <c r="E1194">
        <v>21.327999999999999</v>
      </c>
      <c r="F1194" t="str">
        <f>_xlfn.LET(_xlpm.raw,_xlfn.XLOOKUP(A1194,'Pinlist(S1)'!$C$4:$C$1362,'Pinlist(S1)'!$E$4:$E$1362,""),_xlpm.cleanRaw,SUBSTITUTE(SUBSTITUTE(_xlpm.raw,"_PIN","."),"PIN","."),_xlpm.mainPart,MID(_xlpm.cleanRaw,2,FIND(".",_xlpm.cleanRaw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505079</v>
      </c>
      <c r="G1194" t="str">
        <f>_xlfn.LET(_xlpm.raw,_xlfn.XLOOKUP(A1194,'Pinlist(S3)'!$C$4:$C$1362,'Pinlist(S3)'!$E$4:$E$1362,""),_xlpm.cleanRaw,SUBSTITUTE(SUBSTITUTE(_xlpm.raw,"_PIN","."),"PIN","."),_xlpm.mainPart,MID(_xlpm.cleanRaw,2,FIND(".",_xlpm.cleanRaw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805073</v>
      </c>
      <c r="H1194" t="str">
        <f>_xlfn.LET(_xlpm.raw,_xlfn.XLOOKUP(A1194,'Pinlist(S5)'!$C$4:$C$1362,'Pinlist(S5)'!$E$4:$E$1362,""),_xlpm.cleanRaw,SUBSTITUTE(SUBSTITUTE(_xlpm.raw,"_PIN","."),"PIN","."),_xlpm.mainPart,MID(_xlpm.cleanRaw,2,FIND(".",_xlpm.cleanRaw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701088</v>
      </c>
      <c r="I1194" t="str">
        <f>""</f>
        <v/>
      </c>
      <c r="J1194" t="str">
        <f t="shared" si="18"/>
        <v>AY9;GPP_A_10_CLKOUT_LPC_1;TPA202;4.89799999999999;21.328;505079;805073;701088;</v>
      </c>
    </row>
    <row r="1195" spans="1:10">
      <c r="A1195" t="s">
        <v>835</v>
      </c>
      <c r="B1195" t="str">
        <f>_xlfn.XLOOKUP(A1195,'Pinlist(S1)'!$Q$4:$Q$1362,'Pinlist(S1)'!$R$4:$R$1362,"")</f>
        <v>GPP_A_6_SERIRQ</v>
      </c>
      <c r="C1195" t="str" cm="1">
        <f t="array" ref="C1195">_xlfn.TEXTJOIN(",",TRUE,_xlfn.UNIQUE(TRANSPOSE(_xlfn.MAP(_xlfn.XLOOKUP(A1195,'Pinlist(S1)'!$C$4:$C$1362,'Pinlist(S1)'!$F$4:$K$1362,""),_xlfn.LAMBDA(_xlpm.x,IF(_xlpm.x&lt;&gt;"",TRIM(CLEAN(LEFT(_xlpm.x,FIND(".",_xlpm.x &amp; ".")-1))),""))))))</f>
        <v/>
      </c>
      <c r="D1195">
        <v>6.1829999999999998</v>
      </c>
      <c r="E1195">
        <v>21.327999999999999</v>
      </c>
      <c r="F1195" t="str">
        <f>_xlfn.LET(_xlpm.raw,_xlfn.XLOOKUP(A1195,'Pinlist(S1)'!$C$4:$C$1362,'Pinlist(S1)'!$E$4:$E$1362,""),_xlpm.cleanRaw,SUBSTITUTE(SUBSTITUTE(_xlpm.raw,"_PIN","."),"PIN","."),_xlpm.mainPart,MID(_xlpm.cleanRaw,2,FIND(".",_xlpm.cleanRaw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505084</v>
      </c>
      <c r="G1195" t="str">
        <f>_xlfn.LET(_xlpm.raw,_xlfn.XLOOKUP(A1195,'Pinlist(S3)'!$C$4:$C$1362,'Pinlist(S3)'!$E$4:$E$1362,""),_xlpm.cleanRaw,SUBSTITUTE(SUBSTITUTE(_xlpm.raw,"_PIN","."),"PIN","."),_xlpm.mainPart,MID(_xlpm.cleanRaw,2,FIND(".",_xlpm.cleanRaw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805072</v>
      </c>
      <c r="H1195" t="str">
        <f>_xlfn.LET(_xlpm.raw,_xlfn.XLOOKUP(A1195,'Pinlist(S5)'!$C$4:$C$1362,'Pinlist(S5)'!$E$4:$E$1362,""),_xlpm.cleanRaw,SUBSTITUTE(SUBSTITUTE(_xlpm.raw,"_PIN","."),"PIN","."),_xlpm.mainPart,MID(_xlpm.cleanRaw,2,FIND(".",_xlpm.cleanRaw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702068</v>
      </c>
      <c r="I1195" t="str">
        <f>""</f>
        <v/>
      </c>
      <c r="J1195" t="str">
        <f t="shared" si="18"/>
        <v>AY11;GPP_A_6_SERIRQ;;6.183;21.328;505084;805072;702068;</v>
      </c>
    </row>
    <row r="1196" spans="1:10">
      <c r="A1196" t="s">
        <v>831</v>
      </c>
      <c r="B1196" t="str">
        <f>_xlfn.XLOOKUP(A1196,'Pinlist(S1)'!$Q$4:$Q$1362,'Pinlist(S1)'!$R$4:$R$1362,"")</f>
        <v>GPP_A_4_LAD_3_ESPI_IO_3</v>
      </c>
      <c r="C1196" t="str" cm="1">
        <f t="array" ref="C1196">_xlfn.TEXTJOIN(",",TRUE,_xlfn.UNIQUE(TRANSPOSE(_xlfn.MAP(_xlfn.XLOOKUP(A1196,'Pinlist(S1)'!$C$4:$C$1362,'Pinlist(S1)'!$F$4:$K$1362,""),_xlfn.LAMBDA(_xlpm.x,IF(_xlpm.x&lt;&gt;"",TRIM(CLEAN(LEFT(_xlpm.x,FIND(".",_xlpm.x &amp; ".")-1))),""))))))</f>
        <v/>
      </c>
      <c r="D1196">
        <v>6.7489999999999997</v>
      </c>
      <c r="E1196">
        <v>21.003</v>
      </c>
      <c r="F1196" t="str">
        <f>_xlfn.LET(_xlpm.raw,_xlfn.XLOOKUP(A1196,'Pinlist(S1)'!$C$4:$C$1362,'Pinlist(S1)'!$E$4:$E$1362,""),_xlpm.cleanRaw,SUBSTITUTE(SUBSTITUTE(_xlpm.raw,"_PIN","."),"PIN","."),_xlpm.mainPart,MID(_xlpm.cleanRaw,2,FIND(".",_xlpm.cleanRaw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507120</v>
      </c>
      <c r="G1196" t="str">
        <f>_xlfn.LET(_xlpm.raw,_xlfn.XLOOKUP(A1196,'Pinlist(S3)'!$C$4:$C$1362,'Pinlist(S3)'!$E$4:$E$1362,""),_xlpm.cleanRaw,SUBSTITUTE(SUBSTITUTE(_xlpm.raw,"_PIN","."),"PIN","."),_xlpm.mainPart,MID(_xlpm.cleanRaw,2,FIND(".",_xlpm.cleanRaw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805065</v>
      </c>
      <c r="H1196" t="str">
        <f>_xlfn.LET(_xlpm.raw,_xlfn.XLOOKUP(A1196,'Pinlist(S5)'!$C$4:$C$1362,'Pinlist(S5)'!$E$4:$E$1362,""),_xlpm.cleanRaw,SUBSTITUTE(SUBSTITUTE(_xlpm.raw,"_PIN","."),"PIN","."),_xlpm.mainPart,MID(_xlpm.cleanRaw,2,FIND(".",_xlpm.cleanRaw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702072</v>
      </c>
      <c r="I1196" t="str">
        <f>""</f>
        <v/>
      </c>
      <c r="J1196" t="str">
        <f t="shared" si="18"/>
        <v>AY12;GPP_A_4_LAD_3_ESPI_IO_3;;6.749;21.003;507120;805065;702072;</v>
      </c>
    </row>
    <row r="1197" spans="1:10">
      <c r="A1197" t="s">
        <v>797</v>
      </c>
      <c r="B1197" t="str">
        <f>_xlfn.XLOOKUP(A1197,'Pinlist(S1)'!$Q$4:$Q$1362,'Pinlist(S1)'!$R$4:$R$1362,"")</f>
        <v>GPP_A_1_LAD_0_ESPI_IO_0</v>
      </c>
      <c r="C1197" t="str" cm="1">
        <f t="array" ref="C1197">_xlfn.TEXTJOIN(",",TRUE,_xlfn.UNIQUE(TRANSPOSE(_xlfn.MAP(_xlfn.XLOOKUP(A1197,'Pinlist(S1)'!$C$4:$C$1362,'Pinlist(S1)'!$F$4:$K$1362,""),_xlfn.LAMBDA(_xlpm.x,IF(_xlpm.x&lt;&gt;"",TRIM(CLEAN(LEFT(_xlpm.x,FIND(".",_xlpm.x &amp; ".")-1))),""))))))</f>
        <v/>
      </c>
      <c r="D1197">
        <v>7.319</v>
      </c>
      <c r="E1197">
        <v>21.327999999999999</v>
      </c>
      <c r="F1197" t="str">
        <f>_xlfn.LET(_xlpm.raw,_xlfn.XLOOKUP(A1197,'Pinlist(S1)'!$C$4:$C$1362,'Pinlist(S1)'!$E$4:$E$1362,""),_xlpm.cleanRaw,SUBSTITUTE(SUBSTITUTE(_xlpm.raw,"_PIN","."),"PIN","."),_xlpm.mainPart,MID(_xlpm.cleanRaw,2,FIND(".",_xlpm.cleanRaw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507086</v>
      </c>
      <c r="G1197" t="str">
        <f>_xlfn.LET(_xlpm.raw,_xlfn.XLOOKUP(A1197,'Pinlist(S3)'!$C$4:$C$1362,'Pinlist(S3)'!$E$4:$E$1362,""),_xlpm.cleanRaw,SUBSTITUTE(SUBSTITUTE(_xlpm.raw,"_PIN","."),"PIN","."),_xlpm.mainPart,MID(_xlpm.cleanRaw,2,FIND(".",_xlpm.cleanRaw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805067</v>
      </c>
      <c r="H1197" t="str">
        <f>_xlfn.LET(_xlpm.raw,_xlfn.XLOOKUP(A1197,'Pinlist(S5)'!$C$4:$C$1362,'Pinlist(S5)'!$E$4:$E$1362,""),_xlpm.cleanRaw,SUBSTITUTE(SUBSTITUTE(_xlpm.raw,"_PIN","."),"PIN","."),_xlpm.mainPart,MID(_xlpm.cleanRaw,2,FIND(".",_xlpm.cleanRaw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702083</v>
      </c>
      <c r="I1197" t="str">
        <f>""</f>
        <v/>
      </c>
      <c r="J1197" t="str">
        <f t="shared" si="18"/>
        <v>AY13;GPP_A_1_LAD_0_ESPI_IO_0;;7.319;21.328;507086;805067;702083;</v>
      </c>
    </row>
    <row r="1198" spans="1:10">
      <c r="A1198" t="s">
        <v>773</v>
      </c>
      <c r="B1198" t="str">
        <f>_xlfn.XLOOKUP(A1198,'Pinlist(S1)'!$Q$4:$Q$1362,'Pinlist(S1)'!$R$4:$R$1362,"")</f>
        <v>GPD_1_ACPRESENT</v>
      </c>
      <c r="C1198" t="str" cm="1">
        <f t="array" ref="C1198">_xlfn.TEXTJOIN(",",TRUE,_xlfn.UNIQUE(TRANSPOSE(_xlfn.MAP(_xlfn.XLOOKUP(A1198,'Pinlist(S1)'!$C$4:$C$1362,'Pinlist(S1)'!$F$4:$K$1362,""),_xlfn.LAMBDA(_xlpm.x,IF(_xlpm.x&lt;&gt;"",TRIM(CLEAN(LEFT(_xlpm.x,FIND(".",_xlpm.x &amp; ".")-1))),""))))))</f>
        <v/>
      </c>
      <c r="D1198">
        <v>8.6039999999999992</v>
      </c>
      <c r="E1198">
        <v>21.327999999999999</v>
      </c>
      <c r="F1198" t="str">
        <f>_xlfn.LET(_xlpm.raw,_xlfn.XLOOKUP(A1198,'Pinlist(S1)'!$C$4:$C$1362,'Pinlist(S1)'!$E$4:$E$1362,""),_xlpm.cleanRaw,SUBSTITUTE(SUBSTITUTE(_xlpm.raw,"_PIN","."),"PIN","."),_xlpm.mainPart,MID(_xlpm.cleanRaw,2,FIND(".",_xlpm.cleanRaw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504126</v>
      </c>
      <c r="G1198" t="str">
        <f>_xlfn.LET(_xlpm.raw,_xlfn.XLOOKUP(A1198,'Pinlist(S3)'!$C$4:$C$1362,'Pinlist(S3)'!$E$4:$E$1362,""),_xlpm.cleanRaw,SUBSTITUTE(SUBSTITUTE(_xlpm.raw,"_PIN","."),"PIN","."),_xlpm.mainPart,MID(_xlpm.cleanRaw,2,FIND(".",_xlpm.cleanRaw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806118</v>
      </c>
      <c r="H1198" t="str">
        <f>_xlfn.LET(_xlpm.raw,_xlfn.XLOOKUP(A1198,'Pinlist(S5)'!$C$4:$C$1362,'Pinlist(S5)'!$E$4:$E$1362,""),_xlpm.cleanRaw,SUBSTITUTE(SUBSTITUTE(_xlpm.raw,"_PIN","."),"PIN","."),_xlpm.mainPart,MID(_xlpm.cleanRaw,2,FIND(".",_xlpm.cleanRaw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702078</v>
      </c>
      <c r="I1198" t="str">
        <f>""</f>
        <v/>
      </c>
      <c r="J1198" t="str">
        <f t="shared" si="18"/>
        <v>AY15;GPD_1_ACPRESENT;;8.604;21.328;504126;806118;702078;</v>
      </c>
    </row>
    <row r="1199" spans="1:10">
      <c r="A1199" t="s">
        <v>775</v>
      </c>
      <c r="B1199" t="str">
        <f>_xlfn.XLOOKUP(A1199,'Pinlist(S1)'!$Q$4:$Q$1362,'Pinlist(S1)'!$R$4:$R$1362,"")</f>
        <v>GPD_10_SLP_S5B</v>
      </c>
      <c r="C1199" t="str" cm="1">
        <f t="array" ref="C1199">_xlfn.TEXTJOIN(",",TRUE,_xlfn.UNIQUE(TRANSPOSE(_xlfn.MAP(_xlfn.XLOOKUP(A1199,'Pinlist(S1)'!$C$4:$C$1362,'Pinlist(S1)'!$F$4:$K$1362,""),_xlfn.LAMBDA(_xlpm.x,IF(_xlpm.x&lt;&gt;"",TRIM(CLEAN(LEFT(_xlpm.x,FIND(".",_xlpm.x &amp; ".")-1))),""))))))</f>
        <v/>
      </c>
      <c r="D1199">
        <v>9.1690000000000005</v>
      </c>
      <c r="E1199">
        <v>21.003</v>
      </c>
      <c r="F1199" t="str">
        <f>_xlfn.LET(_xlpm.raw,_xlfn.XLOOKUP(A1199,'Pinlist(S1)'!$C$4:$C$1362,'Pinlist(S1)'!$E$4:$E$1362,""),_xlpm.cleanRaw,SUBSTITUTE(SUBSTITUTE(_xlpm.raw,"_PIN","."),"PIN","."),_xlpm.mainPart,MID(_xlpm.cleanRaw,2,FIND(".",_xlpm.cleanRaw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509002</v>
      </c>
      <c r="G1199" t="str">
        <f>_xlfn.LET(_xlpm.raw,_xlfn.XLOOKUP(A1199,'Pinlist(S3)'!$C$4:$C$1362,'Pinlist(S3)'!$E$4:$E$1362,""),_xlpm.cleanRaw,SUBSTITUTE(SUBSTITUTE(_xlpm.raw,"_PIN","."),"PIN","."),_xlpm.mainPart,MID(_xlpm.cleanRaw,2,FIND(".",_xlpm.cleanRaw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804028</v>
      </c>
      <c r="H1199" t="str">
        <f>_xlfn.LET(_xlpm.raw,_xlfn.XLOOKUP(A1199,'Pinlist(S5)'!$C$4:$C$1362,'Pinlist(S5)'!$E$4:$E$1362,""),_xlpm.cleanRaw,SUBSTITUTE(SUBSTITUTE(_xlpm.raw,"_PIN","."),"PIN","."),_xlpm.mainPart,MID(_xlpm.cleanRaw,2,FIND(".",_xlpm.cleanRaw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703028</v>
      </c>
      <c r="I1199" t="str">
        <f>""</f>
        <v/>
      </c>
      <c r="J1199" t="str">
        <f t="shared" si="18"/>
        <v>AY16;GPD_10_SLP_S5B;;9.169;21.003;509002;804028;703028;</v>
      </c>
    </row>
    <row r="1200" spans="1:10">
      <c r="A1200" t="s">
        <v>1347</v>
      </c>
      <c r="B1200" t="str">
        <f>_xlfn.XLOOKUP(A1200,'Pinlist(S1)'!$Q$4:$Q$1362,'Pinlist(S1)'!$R$4:$R$1362,"")</f>
        <v>RSMRSTB</v>
      </c>
      <c r="C1200" t="str" cm="1">
        <f t="array" ref="C1200">_xlfn.TEXTJOIN(",",TRUE,_xlfn.UNIQUE(TRANSPOSE(_xlfn.MAP(_xlfn.XLOOKUP(A1200,'Pinlist(S1)'!$C$4:$C$1362,'Pinlist(S1)'!$F$4:$K$1362,""),_xlfn.LAMBDA(_xlpm.x,IF(_xlpm.x&lt;&gt;"",TRIM(CLEAN(LEFT(_xlpm.x,FIND(".",_xlpm.x &amp; ".")-1))),""))))))</f>
        <v/>
      </c>
      <c r="D1200">
        <v>9.7390000000000008</v>
      </c>
      <c r="E1200">
        <v>21.327999999999999</v>
      </c>
      <c r="F1200" t="str">
        <f>_xlfn.LET(_xlpm.raw,_xlfn.XLOOKUP(A1200,'Pinlist(S1)'!$C$4:$C$1362,'Pinlist(S1)'!$E$4:$E$1362,""),_xlpm.cleanRaw,SUBSTITUTE(SUBSTITUTE(_xlpm.raw,"_PIN","."),"PIN","."),_xlpm.mainPart,MID(_xlpm.cleanRaw,2,FIND(".",_xlpm.cleanRaw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504086</v>
      </c>
      <c r="G1200" t="str">
        <f>_xlfn.LET(_xlpm.raw,_xlfn.XLOOKUP(A1200,'Pinlist(S3)'!$C$4:$C$1362,'Pinlist(S3)'!$E$4:$E$1362,""),_xlpm.cleanRaw,SUBSTITUTE(SUBSTITUTE(_xlpm.raw,"_PIN","."),"PIN","."),_xlpm.mainPart,MID(_xlpm.cleanRaw,2,FIND(".",_xlpm.cleanRaw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809086</v>
      </c>
      <c r="H1200" t="str">
        <f>_xlfn.LET(_xlpm.raw,_xlfn.XLOOKUP(A1200,'Pinlist(S5)'!$C$4:$C$1362,'Pinlist(S5)'!$E$4:$E$1362,""),_xlpm.cleanRaw,SUBSTITUTE(SUBSTITUTE(_xlpm.raw,"_PIN","."),"PIN","."),_xlpm.mainPart,MID(_xlpm.cleanRaw,2,FIND(".",_xlpm.cleanRaw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603105</v>
      </c>
      <c r="I1200" t="str">
        <f>""</f>
        <v/>
      </c>
      <c r="J1200" t="str">
        <f t="shared" si="18"/>
        <v>AY17;RSMRSTB;;9.739;21.328;504086;809086;603105;</v>
      </c>
    </row>
    <row r="1201" spans="1:10">
      <c r="A1201" t="s">
        <v>1418</v>
      </c>
      <c r="B1201" t="str">
        <f>_xlfn.XLOOKUP(A1201,'Pinlist(S1)'!$Q$4:$Q$1362,'Pinlist(S1)'!$R$4:$R$1362,"")</f>
        <v>SSP1_SFRM</v>
      </c>
      <c r="C1201" t="str" cm="1">
        <f t="array" ref="C1201">_xlfn.TEXTJOIN(",",TRUE,_xlfn.UNIQUE(TRANSPOSE(_xlfn.MAP(_xlfn.XLOOKUP(A1201,'Pinlist(S1)'!$C$4:$C$1362,'Pinlist(S1)'!$F$4:$K$1362,""),_xlfn.LAMBDA(_xlpm.x,IF(_xlpm.x&lt;&gt;"",TRIM(CLEAN(LEFT(_xlpm.x,FIND(".",_xlpm.x &amp; ".")-1))),""))))))</f>
        <v>KA140</v>
      </c>
      <c r="D1201">
        <v>11.024999999999901</v>
      </c>
      <c r="E1201">
        <v>21.327999999999999</v>
      </c>
      <c r="F1201" t="str">
        <f>_xlfn.LET(_xlpm.raw,_xlfn.XLOOKUP(A1201,'Pinlist(S1)'!$C$4:$C$1362,'Pinlist(S1)'!$E$4:$E$1362,""),_xlpm.cleanRaw,SUBSTITUTE(SUBSTITUTE(_xlpm.raw,"_PIN","."),"PIN","."),_xlpm.mainPart,MID(_xlpm.cleanRaw,2,FIND(".",_xlpm.cleanRaw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G1201" t="str">
        <f>_xlfn.LET(_xlpm.raw,_xlfn.XLOOKUP(A1201,'Pinlist(S3)'!$C$4:$C$1362,'Pinlist(S3)'!$E$4:$E$1362,""),_xlpm.cleanRaw,SUBSTITUTE(SUBSTITUTE(_xlpm.raw,"_PIN","."),"PIN","."),_xlpm.mainPart,MID(_xlpm.cleanRaw,2,FIND(".",_xlpm.cleanRaw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1201" t="str">
        <f>_xlfn.LET(_xlpm.raw,_xlfn.XLOOKUP(A1201,'Pinlist(S5)'!$C$4:$C$1362,'Pinlist(S5)'!$E$4:$E$1362,""),_xlpm.cleanRaw,SUBSTITUTE(SUBSTITUTE(_xlpm.raw,"_PIN","."),"PIN","."),_xlpm.mainPart,MID(_xlpm.cleanRaw,2,FIND(".",_xlpm.cleanRaw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703007</v>
      </c>
      <c r="I1201" t="str">
        <f>""</f>
        <v/>
      </c>
      <c r="J1201" t="str">
        <f t="shared" si="18"/>
        <v>AY20;SSP1_SFRM;KA140;11.0249999999999;21.328;509012;805046;703007;</v>
      </c>
    </row>
    <row r="1202" spans="1:10">
      <c r="A1202" t="s">
        <v>21</v>
      </c>
      <c r="B1202" t="str">
        <f>_xlfn.XLOOKUP(A1202,'Pinlist(S1)'!$Q$4:$Q$1362,'Pinlist(S1)'!$R$4:$R$1362,"")</f>
        <v>AZA_SDI_1_SSP1_RXD</v>
      </c>
      <c r="C1202" t="str" cm="1">
        <f t="array" ref="C1202">_xlfn.TEXTJOIN(",",TRUE,_xlfn.UNIQUE(TRANSPOSE(_xlfn.MAP(_xlfn.XLOOKUP(A1202,'Pinlist(S1)'!$C$4:$C$1362,'Pinlist(S1)'!$F$4:$K$1362,""),_xlfn.LAMBDA(_xlpm.x,IF(_xlpm.x&lt;&gt;"",TRIM(CLEAN(LEFT(_xlpm.x,FIND(".",_xlpm.x &amp; ".")-1))),""))))))</f>
        <v>KA145</v>
      </c>
      <c r="D1202">
        <v>11.59</v>
      </c>
      <c r="E1202">
        <v>21.003</v>
      </c>
      <c r="F1202" t="str">
        <f>_xlfn.LET(_xlpm.raw,_xlfn.XLOOKUP(A1202,'Pinlist(S1)'!$C$4:$C$1362,'Pinlist(S1)'!$E$4:$E$1362,""),_xlpm.cleanRaw,SUBSTITUTE(SUBSTITUTE(_xlpm.raw,"_PIN","."),"PIN","."),_xlpm.mainPart,MID(_xlpm.cleanRaw,2,FIND(".",_xlpm.cleanRaw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G1202" t="str">
        <f>_xlfn.LET(_xlpm.raw,_xlfn.XLOOKUP(A1202,'Pinlist(S3)'!$C$4:$C$1362,'Pinlist(S3)'!$E$4:$E$1362,""),_xlpm.cleanRaw,SUBSTITUTE(SUBSTITUTE(_xlpm.raw,"_PIN","."),"PIN","."),_xlpm.mainPart,MID(_xlpm.cleanRaw,2,FIND(".",_xlpm.cleanRaw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1202" t="str">
        <f>_xlfn.LET(_xlpm.raw,_xlfn.XLOOKUP(A1202,'Pinlist(S5)'!$C$4:$C$1362,'Pinlist(S5)'!$E$4:$E$1362,""),_xlpm.cleanRaw,SUBSTITUTE(SUBSTITUTE(_xlpm.raw,"_PIN","."),"PIN","."),_xlpm.mainPart,MID(_xlpm.cleanRaw,2,FIND(".",_xlpm.cleanRaw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703033</v>
      </c>
      <c r="I1202" t="str">
        <f>""</f>
        <v/>
      </c>
      <c r="J1202" t="str">
        <f t="shared" si="18"/>
        <v>AY21;AZA_SDI_1_SSP1_RXD;KA145;11.59;21.003;508049;805048;703033;</v>
      </c>
    </row>
    <row r="1203" spans="1:10">
      <c r="A1203" t="s">
        <v>9</v>
      </c>
      <c r="B1203" t="str">
        <f>_xlfn.XLOOKUP(A1203,'Pinlist(S1)'!$Q$4:$Q$1362,'Pinlist(S1)'!$R$4:$R$1362,"")</f>
        <v>AZA_BCLK_SSP0_SCLK</v>
      </c>
      <c r="C1203" t="str" cm="1">
        <f t="array" ref="C1203">_xlfn.TEXTJOIN(",",TRUE,_xlfn.UNIQUE(TRANSPOSE(_xlfn.MAP(_xlfn.XLOOKUP(A1203,'Pinlist(S1)'!$C$4:$C$1362,'Pinlist(S1)'!$F$4:$K$1362,""),_xlfn.LAMBDA(_xlpm.x,IF(_xlpm.x&lt;&gt;"",TRIM(CLEAN(LEFT(_xlpm.x,FIND(".",_xlpm.x &amp; ".")-1))),""))))))</f>
        <v>KA142</v>
      </c>
      <c r="D1203">
        <v>12.16</v>
      </c>
      <c r="E1203">
        <v>21.327999999999999</v>
      </c>
      <c r="F1203" t="str">
        <f>_xlfn.LET(_xlpm.raw,_xlfn.XLOOKUP(A1203,'Pinlist(S1)'!$C$4:$C$1362,'Pinlist(S1)'!$E$4:$E$1362,""),_xlpm.cleanRaw,SUBSTITUTE(SUBSTITUTE(_xlpm.raw,"_PIN","."),"PIN","."),_xlpm.mainPart,MID(_xlpm.cleanRaw,2,FIND(".",_xlpm.cleanRaw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G1203" t="str">
        <f>_xlfn.LET(_xlpm.raw,_xlfn.XLOOKUP(A1203,'Pinlist(S3)'!$C$4:$C$1362,'Pinlist(S3)'!$E$4:$E$1362,""),_xlpm.cleanRaw,SUBSTITUTE(SUBSTITUTE(_xlpm.raw,"_PIN","."),"PIN","."),_xlpm.mainPart,MID(_xlpm.cleanRaw,2,FIND(".",_xlpm.cleanRaw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805043</v>
      </c>
      <c r="H1203" t="str">
        <f>_xlfn.LET(_xlpm.raw,_xlfn.XLOOKUP(A1203,'Pinlist(S5)'!$C$4:$C$1362,'Pinlist(S5)'!$E$4:$E$1362,""),_xlpm.cleanRaw,SUBSTITUTE(SUBSTITUTE(_xlpm.raw,"_PIN","."),"PIN","."),_xlpm.mainPart,MID(_xlpm.cleanRaw,2,FIND(".",_xlpm.cleanRaw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703011</v>
      </c>
      <c r="I1203" t="str">
        <f>""</f>
        <v/>
      </c>
      <c r="J1203" t="str">
        <f t="shared" si="18"/>
        <v>AY22;AZA_BCLK_SSP0_SCLK;KA142;12.16;21.328;509010;805043;703011;</v>
      </c>
    </row>
    <row r="1204" spans="1:10">
      <c r="A1204" t="s">
        <v>504</v>
      </c>
      <c r="B1204" t="str">
        <f>_xlfn.XLOOKUP(A1204,'Pinlist(S1)'!$Q$4:$Q$1362,'Pinlist(S1)'!$R$4:$R$1362,"")</f>
        <v>DDRDQ_IL07_NIL15[2]</v>
      </c>
      <c r="C1204" t="str" cm="1">
        <f t="array" ref="C1204">_xlfn.TEXTJOIN(",",TRUE,_xlfn.UNIQUE(TRANSPOSE(_xlfn.MAP(_xlfn.XLOOKUP(A1204,'Pinlist(S1)'!$C$4:$C$1362,'Pinlist(S1)'!$F$4:$K$1362,""),_xlfn.LAMBDA(_xlpm.x,IF(_xlpm.x&lt;&gt;"",TRIM(CLEAN(LEFT(_xlpm.x,FIND(".",_xlpm.x &amp; ".")-1))),""))))))</f>
        <v/>
      </c>
      <c r="D1204">
        <v>13.486000000000001</v>
      </c>
      <c r="E1204">
        <v>21.327999999999999</v>
      </c>
      <c r="F1204" t="str">
        <f>_xlfn.LET(_xlpm.raw,_xlfn.XLOOKUP(A1204,'Pinlist(S1)'!$C$4:$C$1362,'Pinlist(S1)'!$E$4:$E$1362,""),_xlpm.cleanRaw,SUBSTITUTE(SUBSTITUTE(_xlpm.raw,"_PIN","."),"PIN","."),_xlpm.mainPart,MID(_xlpm.cleanRaw,2,FIND(".",_xlpm.cleanRaw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609096</v>
      </c>
      <c r="G1204" t="str">
        <f>_xlfn.LET(_xlpm.raw,_xlfn.XLOOKUP(A1204,'Pinlist(S3)'!$C$4:$C$1362,'Pinlist(S3)'!$E$4:$E$1362,""),_xlpm.cleanRaw,SUBSTITUTE(SUBSTITUTE(_xlpm.raw,"_PIN","."),"PIN","."),_xlpm.mainPart,MID(_xlpm.cleanRaw,2,FIND(".",_xlpm.cleanRaw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803107</v>
      </c>
      <c r="H1204" t="str">
        <f>_xlfn.LET(_xlpm.raw,_xlfn.XLOOKUP(A1204,'Pinlist(S5)'!$C$4:$C$1362,'Pinlist(S5)'!$E$4:$E$1362,""),_xlpm.cleanRaw,SUBSTITUTE(SUBSTITUTE(_xlpm.raw,"_PIN","."),"PIN","."),_xlpm.mainPart,MID(_xlpm.cleanRaw,2,FIND(".",_xlpm.cleanRaw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704107</v>
      </c>
      <c r="I1204" t="str">
        <f>""</f>
        <v/>
      </c>
      <c r="J1204" t="str">
        <f t="shared" si="18"/>
        <v>AY25;DDRDQ_IL07_NIL15[2];;13.486;21.328;609096;803107;704107;</v>
      </c>
    </row>
    <row r="1205" spans="1:10">
      <c r="A1205" t="s">
        <v>658</v>
      </c>
      <c r="B1205" t="str">
        <f>_xlfn.XLOOKUP(A1205,'Pinlist(S1)'!$Q$4:$Q$1362,'Pinlist(S1)'!$R$4:$R$1362,"")</f>
        <v>DDRDQSN_IL07_NIL15</v>
      </c>
      <c r="C1205" t="str" cm="1">
        <f t="array" ref="C1205">_xlfn.TEXTJOIN(",",TRUE,_xlfn.UNIQUE(TRANSPOSE(_xlfn.MAP(_xlfn.XLOOKUP(A1205,'Pinlist(S1)'!$C$4:$C$1362,'Pinlist(S1)'!$F$4:$K$1362,""),_xlfn.LAMBDA(_xlpm.x,IF(_xlpm.x&lt;&gt;"",TRIM(CLEAN(LEFT(_xlpm.x,FIND(".",_xlpm.x &amp; ".")-1))),""))))))</f>
        <v/>
      </c>
      <c r="D1205">
        <v>14.05</v>
      </c>
      <c r="E1205">
        <v>21.003</v>
      </c>
      <c r="F1205" t="str">
        <f>_xlfn.LET(_xlpm.raw,_xlfn.XLOOKUP(A1205,'Pinlist(S1)'!$C$4:$C$1362,'Pinlist(S1)'!$E$4:$E$1362,""),_xlpm.cleanRaw,SUBSTITUTE(SUBSTITUTE(_xlpm.raw,"_PIN","."),"PIN","."),_xlpm.mainPart,MID(_xlpm.cleanRaw,2,FIND(".",_xlpm.cleanRaw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609088</v>
      </c>
      <c r="G1205" t="str">
        <f>_xlfn.LET(_xlpm.raw,_xlfn.XLOOKUP(A1205,'Pinlist(S3)'!$C$4:$C$1362,'Pinlist(S3)'!$E$4:$E$1362,""),_xlpm.cleanRaw,SUBSTITUTE(SUBSTITUTE(_xlpm.raw,"_PIN","."),"PIN","."),_xlpm.mainPart,MID(_xlpm.cleanRaw,2,FIND(".",_xlpm.cleanRaw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803088</v>
      </c>
      <c r="H1205" t="str">
        <f>_xlfn.LET(_xlpm.raw,_xlfn.XLOOKUP(A1205,'Pinlist(S5)'!$C$4:$C$1362,'Pinlist(S5)'!$E$4:$E$1362,""),_xlpm.cleanRaw,SUBSTITUTE(SUBSTITUTE(_xlpm.raw,"_PIN","."),"PIN","."),_xlpm.mainPart,MID(_xlpm.cleanRaw,2,FIND(".",_xlpm.cleanRaw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704088</v>
      </c>
      <c r="I1205" t="str">
        <f>""</f>
        <v/>
      </c>
      <c r="J1205" t="str">
        <f t="shared" si="18"/>
        <v>AY26;DDRDQSN_IL07_NIL15;;14.05;21.003;609088;803088;704088;</v>
      </c>
    </row>
    <row r="1206" spans="1:10">
      <c r="A1206" t="s">
        <v>500</v>
      </c>
      <c r="B1206" t="str">
        <f>_xlfn.XLOOKUP(A1206,'Pinlist(S1)'!$Q$4:$Q$1362,'Pinlist(S1)'!$R$4:$R$1362,"")</f>
        <v>DDRDQ_IL07_NIL15[0]</v>
      </c>
      <c r="C1206" t="str" cm="1">
        <f t="array" ref="C1206">_xlfn.TEXTJOIN(",",TRUE,_xlfn.UNIQUE(TRANSPOSE(_xlfn.MAP(_xlfn.XLOOKUP(A1206,'Pinlist(S1)'!$C$4:$C$1362,'Pinlist(S1)'!$F$4:$K$1362,""),_xlfn.LAMBDA(_xlpm.x,IF(_xlpm.x&lt;&gt;"",TRIM(CLEAN(LEFT(_xlpm.x,FIND(".",_xlpm.x &amp; ".")-1))),""))))))</f>
        <v/>
      </c>
      <c r="D1206">
        <v>14.712999999999999</v>
      </c>
      <c r="E1206">
        <v>21.327999999999999</v>
      </c>
      <c r="F1206" t="str">
        <f>_xlfn.LET(_xlpm.raw,_xlfn.XLOOKUP(A1206,'Pinlist(S1)'!$C$4:$C$1362,'Pinlist(S1)'!$E$4:$E$1362,""),_xlpm.cleanRaw,SUBSTITUTE(SUBSTITUTE(_xlpm.raw,"_PIN","."),"PIN","."),_xlpm.mainPart,MID(_xlpm.cleanRaw,2,FIND(".",_xlpm.cleanRaw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609110</v>
      </c>
      <c r="G1206" t="str">
        <f>_xlfn.LET(_xlpm.raw,_xlfn.XLOOKUP(A1206,'Pinlist(S3)'!$C$4:$C$1362,'Pinlist(S3)'!$E$4:$E$1362,""),_xlpm.cleanRaw,SUBSTITUTE(SUBSTITUTE(_xlpm.raw,"_PIN","."),"PIN","."),_xlpm.mainPart,MID(_xlpm.cleanRaw,2,FIND(".",_xlpm.cleanRaw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803114</v>
      </c>
      <c r="H1206" t="str">
        <f>_xlfn.LET(_xlpm.raw,_xlfn.XLOOKUP(A1206,'Pinlist(S5)'!$C$4:$C$1362,'Pinlist(S5)'!$E$4:$E$1362,""),_xlpm.cleanRaw,SUBSTITUTE(SUBSTITUTE(_xlpm.raw,"_PIN","."),"PIN","."),_xlpm.mainPart,MID(_xlpm.cleanRaw,2,FIND(".",_xlpm.cleanRaw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704114</v>
      </c>
      <c r="I1206" t="str">
        <f>""</f>
        <v/>
      </c>
      <c r="J1206" t="str">
        <f t="shared" si="18"/>
        <v>AY27;DDRDQ_IL07_NIL15[0];;14.713;21.328;609110;803114;704114;</v>
      </c>
    </row>
    <row r="1207" spans="1:10">
      <c r="A1207" t="s">
        <v>488</v>
      </c>
      <c r="B1207" t="str">
        <f>_xlfn.XLOOKUP(A1207,'Pinlist(S1)'!$Q$4:$Q$1362,'Pinlist(S1)'!$R$4:$R$1362,"")</f>
        <v>DDRDQ_IL06_NIL14[2]</v>
      </c>
      <c r="C1207" t="str" cm="1">
        <f t="array" ref="C1207">_xlfn.TEXTJOIN(",",TRUE,_xlfn.UNIQUE(TRANSPOSE(_xlfn.MAP(_xlfn.XLOOKUP(A1207,'Pinlist(S1)'!$C$4:$C$1362,'Pinlist(S1)'!$F$4:$K$1362,""),_xlfn.LAMBDA(_xlpm.x,IF(_xlpm.x&lt;&gt;"",TRIM(CLEAN(LEFT(_xlpm.x,FIND(".",_xlpm.x &amp; ".")-1))),""))))))</f>
        <v/>
      </c>
      <c r="D1207">
        <v>15.94</v>
      </c>
      <c r="E1207">
        <v>21.327999999999999</v>
      </c>
      <c r="F1207" t="str">
        <f>_xlfn.LET(_xlpm.raw,_xlfn.XLOOKUP(A1207,'Pinlist(S1)'!$C$4:$C$1362,'Pinlist(S1)'!$E$4:$E$1362,""),_xlpm.cleanRaw,SUBSTITUTE(SUBSTITUTE(_xlpm.raw,"_PIN","."),"PIN","."),_xlpm.mainPart,MID(_xlpm.cleanRaw,2,FIND(".",_xlpm.cleanRaw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609120</v>
      </c>
      <c r="G1207" t="str">
        <f>_xlfn.LET(_xlpm.raw,_xlfn.XLOOKUP(A1207,'Pinlist(S3)'!$C$4:$C$1362,'Pinlist(S3)'!$E$4:$E$1362,""),_xlpm.cleanRaw,SUBSTITUTE(SUBSTITUTE(_xlpm.raw,"_PIN","."),"PIN","."),_xlpm.mainPart,MID(_xlpm.cleanRaw,2,FIND(".",_xlpm.cleanRaw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207" t="str">
        <f>_xlfn.LET(_xlpm.raw,_xlfn.XLOOKUP(A1207,'Pinlist(S5)'!$C$4:$C$1362,'Pinlist(S5)'!$E$4:$E$1362,""),_xlpm.cleanRaw,SUBSTITUTE(SUBSTITUTE(_xlpm.raw,"_PIN","."),"PIN","."),_xlpm.mainPart,MID(_xlpm.cleanRaw,2,FIND(".",_xlpm.cleanRaw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704120</v>
      </c>
      <c r="I1207" t="str">
        <f>""</f>
        <v/>
      </c>
      <c r="J1207" t="str">
        <f t="shared" si="18"/>
        <v>AY29;DDRDQ_IL06_NIL14[2];;15.94;21.328;609120;803120;704120;</v>
      </c>
    </row>
    <row r="1208" spans="1:10">
      <c r="A1208" t="s">
        <v>688</v>
      </c>
      <c r="B1208" t="str">
        <f>_xlfn.XLOOKUP(A1208,'Pinlist(S1)'!$Q$4:$Q$1362,'Pinlist(S1)'!$R$4:$R$1362,"")</f>
        <v>DDRDQSP_IL06_NIL14</v>
      </c>
      <c r="C1208" t="str" cm="1">
        <f t="array" ref="C1208">_xlfn.TEXTJOIN(",",TRUE,_xlfn.UNIQUE(TRANSPOSE(_xlfn.MAP(_xlfn.XLOOKUP(A1208,'Pinlist(S1)'!$C$4:$C$1362,'Pinlist(S1)'!$F$4:$K$1362,""),_xlfn.LAMBDA(_xlpm.x,IF(_xlpm.x&lt;&gt;"",TRIM(CLEAN(LEFT(_xlpm.x,FIND(".",_xlpm.x &amp; ".")-1))),""))))))</f>
        <v/>
      </c>
      <c r="D1208">
        <v>16.603000000000002</v>
      </c>
      <c r="E1208">
        <v>21.003</v>
      </c>
      <c r="F1208" t="str">
        <f>_xlfn.LET(_xlpm.raw,_xlfn.XLOOKUP(A1208,'Pinlist(S1)'!$C$4:$C$1362,'Pinlist(S1)'!$E$4:$E$1362,""),_xlpm.cleanRaw,SUBSTITUTE(SUBSTITUTE(_xlpm.raw,"_PIN","."),"PIN","."),_xlpm.mainPart,MID(_xlpm.cleanRaw,2,FIND(".",_xlpm.cleanRaw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608056</v>
      </c>
      <c r="G1208" t="str">
        <f>_xlfn.LET(_xlpm.raw,_xlfn.XLOOKUP(A1208,'Pinlist(S3)'!$C$4:$C$1362,'Pinlist(S3)'!$E$4:$E$1362,""),_xlpm.cleanRaw,SUBSTITUTE(SUBSTITUTE(_xlpm.raw,"_PIN","."),"PIN","."),_xlpm.mainPart,MID(_xlpm.cleanRaw,2,FIND(".",_xlpm.cleanRaw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803095</v>
      </c>
      <c r="H1208" t="str">
        <f>_xlfn.LET(_xlpm.raw,_xlfn.XLOOKUP(A1208,'Pinlist(S5)'!$C$4:$C$1362,'Pinlist(S5)'!$E$4:$E$1362,""),_xlpm.cleanRaw,SUBSTITUTE(SUBSTITUTE(_xlpm.raw,"_PIN","."),"PIN","."),_xlpm.mainPart,MID(_xlpm.cleanRaw,2,FIND(".",_xlpm.cleanRaw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704095</v>
      </c>
      <c r="I1208" t="str">
        <f>""</f>
        <v/>
      </c>
      <c r="J1208" t="str">
        <f t="shared" si="18"/>
        <v>AY30;DDRDQSP_IL06_NIL14;;16.603;21.003;608056;803095;704095;</v>
      </c>
    </row>
    <row r="1209" spans="1:10">
      <c r="A1209" t="s">
        <v>484</v>
      </c>
      <c r="B1209" t="str">
        <f>_xlfn.XLOOKUP(A1209,'Pinlist(S1)'!$Q$4:$Q$1362,'Pinlist(S1)'!$R$4:$R$1362,"")</f>
        <v>DDRDQ_IL06_NIL14[0]</v>
      </c>
      <c r="C1209" t="str" cm="1">
        <f t="array" ref="C1209">_xlfn.TEXTJOIN(",",TRUE,_xlfn.UNIQUE(TRANSPOSE(_xlfn.MAP(_xlfn.XLOOKUP(A1209,'Pinlist(S1)'!$C$4:$C$1362,'Pinlist(S1)'!$F$4:$K$1362,""),_xlfn.LAMBDA(_xlpm.x,IF(_xlpm.x&lt;&gt;"",TRIM(CLEAN(LEFT(_xlpm.x,FIND(".",_xlpm.x &amp; ".")-1))),""))))))</f>
        <v/>
      </c>
      <c r="D1209">
        <v>17.166</v>
      </c>
      <c r="E1209">
        <v>21.327999999999999</v>
      </c>
      <c r="F1209" t="str">
        <f>_xlfn.LET(_xlpm.raw,_xlfn.XLOOKUP(A1209,'Pinlist(S1)'!$C$4:$C$1362,'Pinlist(S1)'!$E$4:$E$1362,""),_xlpm.cleanRaw,SUBSTITUTE(SUBSTITUTE(_xlpm.raw,"_PIN","."),"PIN","."),_xlpm.mainPart,MID(_xlpm.cleanRaw,2,FIND(".",_xlpm.cleanRaw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608059</v>
      </c>
      <c r="G1209" t="str">
        <f>_xlfn.LET(_xlpm.raw,_xlfn.XLOOKUP(A1209,'Pinlist(S3)'!$C$4:$C$1362,'Pinlist(S3)'!$E$4:$E$1362,""),_xlpm.cleanRaw,SUBSTITUTE(SUBSTITUTE(_xlpm.raw,"_PIN","."),"PIN","."),_xlpm.mainPart,MID(_xlpm.cleanRaw,2,FIND(".",_xlpm.cleanRaw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802059</v>
      </c>
      <c r="H1209" t="str">
        <f>_xlfn.LET(_xlpm.raw,_xlfn.XLOOKUP(A1209,'Pinlist(S5)'!$C$4:$C$1362,'Pinlist(S5)'!$E$4:$E$1362,""),_xlpm.cleanRaw,SUBSTITUTE(SUBSTITUTE(_xlpm.raw,"_PIN","."),"PIN","."),_xlpm.mainPart,MID(_xlpm.cleanRaw,2,FIND(".",_xlpm.cleanRaw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705059</v>
      </c>
      <c r="I1209" t="str">
        <f>""</f>
        <v/>
      </c>
      <c r="J1209" t="str">
        <f t="shared" si="18"/>
        <v>AY31;DDRDQ_IL06_NIL14[0];;17.166;21.328;608059;802059;705059;</v>
      </c>
    </row>
    <row r="1210" spans="1:10">
      <c r="A1210" t="s">
        <v>472</v>
      </c>
      <c r="B1210" t="str">
        <f>_xlfn.XLOOKUP(A1210,'Pinlist(S1)'!$Q$4:$Q$1362,'Pinlist(S1)'!$R$4:$R$1362,"")</f>
        <v>DDRDQ_IL05_NIL11[2]</v>
      </c>
      <c r="C1210" t="str" cm="1">
        <f t="array" ref="C1210">_xlfn.TEXTJOIN(",",TRUE,_xlfn.UNIQUE(TRANSPOSE(_xlfn.MAP(_xlfn.XLOOKUP(A1210,'Pinlist(S1)'!$C$4:$C$1362,'Pinlist(S1)'!$F$4:$K$1362,""),_xlfn.LAMBDA(_xlpm.x,IF(_xlpm.x&lt;&gt;"",TRIM(CLEAN(LEFT(_xlpm.x,FIND(".",_xlpm.x &amp; ".")-1))),""))))))</f>
        <v/>
      </c>
      <c r="D1210">
        <v>18.466999999999999</v>
      </c>
      <c r="E1210">
        <v>21.327999999999999</v>
      </c>
      <c r="F1210" t="str">
        <f>_xlfn.LET(_xlpm.raw,_xlfn.XLOOKUP(A1210,'Pinlist(S1)'!$C$4:$C$1362,'Pinlist(S1)'!$E$4:$E$1362,""),_xlpm.cleanRaw,SUBSTITUTE(SUBSTITUTE(_xlpm.raw,"_PIN","."),"PIN","."),_xlpm.mainPart,MID(_xlpm.cleanRaw,2,FIND(".",_xlpm.cleanRaw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609128</v>
      </c>
      <c r="G1210" t="str">
        <f>_xlfn.LET(_xlpm.raw,_xlfn.XLOOKUP(A1210,'Pinlist(S3)'!$C$4:$C$1362,'Pinlist(S3)'!$E$4:$E$1362,""),_xlpm.cleanRaw,SUBSTITUTE(SUBSTITUTE(_xlpm.raw,"_PIN","."),"PIN","."),_xlpm.mainPart,MID(_xlpm.cleanRaw,2,FIND(".",_xlpm.cleanRaw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803089</v>
      </c>
      <c r="H1210" t="str">
        <f>_xlfn.LET(_xlpm.raw,_xlfn.XLOOKUP(A1210,'Pinlist(S5)'!$C$4:$C$1362,'Pinlist(S5)'!$E$4:$E$1362,""),_xlpm.cleanRaw,SUBSTITUTE(SUBSTITUTE(_xlpm.raw,"_PIN","."),"PIN","."),_xlpm.mainPart,MID(_xlpm.cleanRaw,2,FIND(".",_xlpm.cleanRaw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704089</v>
      </c>
      <c r="I1210" t="str">
        <f>""</f>
        <v/>
      </c>
      <c r="J1210" t="str">
        <f t="shared" si="18"/>
        <v>AY33;DDRDQ_IL05_NIL11[2];;18.467;21.328;609128;803089;704089;</v>
      </c>
    </row>
    <row r="1211" spans="1:10">
      <c r="A1211" t="s">
        <v>654</v>
      </c>
      <c r="B1211" t="str">
        <f>_xlfn.XLOOKUP(A1211,'Pinlist(S1)'!$Q$4:$Q$1362,'Pinlist(S1)'!$R$4:$R$1362,"")</f>
        <v>DDRDQSN_IL05_NIL11</v>
      </c>
      <c r="C1211" t="str" cm="1">
        <f t="array" ref="C1211">_xlfn.TEXTJOIN(",",TRUE,_xlfn.UNIQUE(TRANSPOSE(_xlfn.MAP(_xlfn.XLOOKUP(A1211,'Pinlist(S1)'!$C$4:$C$1362,'Pinlist(S1)'!$F$4:$K$1362,""),_xlfn.LAMBDA(_xlpm.x,IF(_xlpm.x&lt;&gt;"",TRIM(CLEAN(LEFT(_xlpm.x,FIND(".",_xlpm.x &amp; ".")-1))),""))))))</f>
        <v/>
      </c>
      <c r="D1211">
        <v>19.030999999999999</v>
      </c>
      <c r="E1211">
        <v>21.003</v>
      </c>
      <c r="F1211" t="str">
        <f>_xlfn.LET(_xlpm.raw,_xlfn.XLOOKUP(A1211,'Pinlist(S1)'!$C$4:$C$1362,'Pinlist(S1)'!$E$4:$E$1362,""),_xlpm.cleanRaw,SUBSTITUTE(SUBSTITUTE(_xlpm.raw,"_PIN","."),"PIN","."),_xlpm.mainPart,MID(_xlpm.cleanRaw,2,FIND(".",_xlpm.cleanRaw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608055</v>
      </c>
      <c r="G1211" t="str">
        <f>_xlfn.LET(_xlpm.raw,_xlfn.XLOOKUP(A1211,'Pinlist(S3)'!$C$4:$C$1362,'Pinlist(S3)'!$E$4:$E$1362,""),_xlpm.cleanRaw,SUBSTITUTE(SUBSTITUTE(_xlpm.raw,"_PIN","."),"PIN","."),_xlpm.mainPart,MID(_xlpm.cleanRaw,2,FIND(".",_xlpm.cleanRaw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802055</v>
      </c>
      <c r="H1211" t="str">
        <f>_xlfn.LET(_xlpm.raw,_xlfn.XLOOKUP(A1211,'Pinlist(S5)'!$C$4:$C$1362,'Pinlist(S5)'!$E$4:$E$1362,""),_xlpm.cleanRaw,SUBSTITUTE(SUBSTITUTE(_xlpm.raw,"_PIN","."),"PIN","."),_xlpm.mainPart,MID(_xlpm.cleanRaw,2,FIND(".",_xlpm.cleanRaw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705055</v>
      </c>
      <c r="I1211" t="str">
        <f>""</f>
        <v/>
      </c>
      <c r="J1211" t="str">
        <f t="shared" si="18"/>
        <v>AY34;DDRDQSN_IL05_NIL11;;19.031;21.003;608055;802055;705055;</v>
      </c>
    </row>
    <row r="1212" spans="1:10">
      <c r="A1212" t="s">
        <v>468</v>
      </c>
      <c r="B1212" t="str">
        <f>_xlfn.XLOOKUP(A1212,'Pinlist(S1)'!$Q$4:$Q$1362,'Pinlist(S1)'!$R$4:$R$1362,"")</f>
        <v>DDRDQ_IL05_NIL11[0]</v>
      </c>
      <c r="C1212" t="str" cm="1">
        <f t="array" ref="C1212">_xlfn.TEXTJOIN(",",TRUE,_xlfn.UNIQUE(TRANSPOSE(_xlfn.MAP(_xlfn.XLOOKUP(A1212,'Pinlist(S1)'!$C$4:$C$1362,'Pinlist(S1)'!$F$4:$K$1362,""),_xlfn.LAMBDA(_xlpm.x,IF(_xlpm.x&lt;&gt;"",TRIM(CLEAN(LEFT(_xlpm.x,FIND(".",_xlpm.x &amp; ".")-1))),""))))))</f>
        <v/>
      </c>
      <c r="D1212">
        <v>19.693999999999999</v>
      </c>
      <c r="E1212">
        <v>21.327999999999999</v>
      </c>
      <c r="F1212" t="str">
        <f>_xlfn.LET(_xlpm.raw,_xlfn.XLOOKUP(A1212,'Pinlist(S1)'!$C$4:$C$1362,'Pinlist(S1)'!$E$4:$E$1362,""),_xlpm.cleanRaw,SUBSTITUTE(SUBSTITUTE(_xlpm.raw,"_PIN","."),"PIN","."),_xlpm.mainPart,MID(_xlpm.cleanRaw,2,FIND(".",_xlpm.cleanRaw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608049</v>
      </c>
      <c r="G1212" t="str">
        <f>_xlfn.LET(_xlpm.raw,_xlfn.XLOOKUP(A1212,'Pinlist(S3)'!$C$4:$C$1362,'Pinlist(S3)'!$E$4:$E$1362,""),_xlpm.cleanRaw,SUBSTITUTE(SUBSTITUTE(_xlpm.raw,"_PIN","."),"PIN","."),_xlpm.mainPart,MID(_xlpm.cleanRaw,2,FIND(".",_xlpm.cleanRaw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802050</v>
      </c>
      <c r="H1212" t="str">
        <f>_xlfn.LET(_xlpm.raw,_xlfn.XLOOKUP(A1212,'Pinlist(S5)'!$C$4:$C$1362,'Pinlist(S5)'!$E$4:$E$1362,""),_xlpm.cleanRaw,SUBSTITUTE(SUBSTITUTE(_xlpm.raw,"_PIN","."),"PIN","."),_xlpm.mainPart,MID(_xlpm.cleanRaw,2,FIND(".",_xlpm.cleanRaw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705050</v>
      </c>
      <c r="I1212" t="str">
        <f>""</f>
        <v/>
      </c>
      <c r="J1212" t="str">
        <f t="shared" si="18"/>
        <v>AY35;DDRDQ_IL05_NIL11[0];;19.694;21.328;608049;802050;705050;</v>
      </c>
    </row>
    <row r="1213" spans="1:10">
      <c r="A1213" t="s">
        <v>456</v>
      </c>
      <c r="B1213" t="str">
        <f>_xlfn.XLOOKUP(A1213,'Pinlist(S1)'!$Q$4:$Q$1362,'Pinlist(S1)'!$R$4:$R$1362,"")</f>
        <v>DDRDQ_IL04_NIL10[2]</v>
      </c>
      <c r="C1213" t="str" cm="1">
        <f t="array" ref="C1213">_xlfn.TEXTJOIN(",",TRUE,_xlfn.UNIQUE(TRANSPOSE(_xlfn.MAP(_xlfn.XLOOKUP(A1213,'Pinlist(S1)'!$C$4:$C$1362,'Pinlist(S1)'!$F$4:$K$1362,""),_xlfn.LAMBDA(_xlpm.x,IF(_xlpm.x&lt;&gt;"",TRIM(CLEAN(LEFT(_xlpm.x,FIND(".",_xlpm.x &amp; ".")-1))),""))))))</f>
        <v/>
      </c>
      <c r="D1213">
        <v>20.920999999999999</v>
      </c>
      <c r="E1213">
        <v>21.327999999999999</v>
      </c>
      <c r="F1213" t="str">
        <f>_xlfn.LET(_xlpm.raw,_xlfn.XLOOKUP(A1213,'Pinlist(S1)'!$C$4:$C$1362,'Pinlist(S1)'!$E$4:$E$1362,""),_xlpm.cleanRaw,SUBSTITUTE(SUBSTITUTE(_xlpm.raw,"_PIN","."),"PIN","."),_xlpm.mainPart,MID(_xlpm.cleanRaw,2,FIND(".",_xlpm.cleanRaw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609113</v>
      </c>
      <c r="G1213" t="str">
        <f>_xlfn.LET(_xlpm.raw,_xlfn.XLOOKUP(A1213,'Pinlist(S3)'!$C$4:$C$1362,'Pinlist(S3)'!$E$4:$E$1362,""),_xlpm.cleanRaw,SUBSTITUTE(SUBSTITUTE(_xlpm.raw,"_PIN","."),"PIN","."),_xlpm.mainPart,MID(_xlpm.cleanRaw,2,FIND(".",_xlpm.cleanRaw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802063</v>
      </c>
      <c r="H1213" t="str">
        <f>_xlfn.LET(_xlpm.raw,_xlfn.XLOOKUP(A1213,'Pinlist(S5)'!$C$4:$C$1362,'Pinlist(S5)'!$E$4:$E$1362,""),_xlpm.cleanRaw,SUBSTITUTE(SUBSTITUTE(_xlpm.raw,"_PIN","."),"PIN","."),_xlpm.mainPart,MID(_xlpm.cleanRaw,2,FIND(".",_xlpm.cleanRaw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705063</v>
      </c>
      <c r="I1213" t="str">
        <f>""</f>
        <v/>
      </c>
      <c r="J1213" t="str">
        <f t="shared" si="18"/>
        <v>AY37;DDRDQ_IL04_NIL10[2];;20.921;21.328;609113;802063;705063;</v>
      </c>
    </row>
    <row r="1214" spans="1:10">
      <c r="A1214" t="s">
        <v>684</v>
      </c>
      <c r="B1214" t="str">
        <f>_xlfn.XLOOKUP(A1214,'Pinlist(S1)'!$Q$4:$Q$1362,'Pinlist(S1)'!$R$4:$R$1362,"")</f>
        <v>DDRDQSP_IL04_NIL10</v>
      </c>
      <c r="C1214" t="str" cm="1">
        <f t="array" ref="C1214">_xlfn.TEXTJOIN(",",TRUE,_xlfn.UNIQUE(TRANSPOSE(_xlfn.MAP(_xlfn.XLOOKUP(A1214,'Pinlist(S1)'!$C$4:$C$1362,'Pinlist(S1)'!$F$4:$K$1362,""),_xlfn.LAMBDA(_xlpm.x,IF(_xlpm.x&lt;&gt;"",TRIM(CLEAN(LEFT(_xlpm.x,FIND(".",_xlpm.x &amp; ".")-1))),""))))))</f>
        <v/>
      </c>
      <c r="D1214">
        <v>21.582999999999998</v>
      </c>
      <c r="E1214">
        <v>21.003</v>
      </c>
      <c r="F1214" t="str">
        <f>_xlfn.LET(_xlpm.raw,_xlfn.XLOOKUP(A1214,'Pinlist(S1)'!$C$4:$C$1362,'Pinlist(S1)'!$E$4:$E$1362,""),_xlpm.cleanRaw,SUBSTITUTE(SUBSTITUTE(_xlpm.raw,"_PIN","."),"PIN","."),_xlpm.mainPart,MID(_xlpm.cleanRaw,2,FIND(".",_xlpm.cleanRaw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608077</v>
      </c>
      <c r="G1214" t="str">
        <f>_xlfn.LET(_xlpm.raw,_xlfn.XLOOKUP(A1214,'Pinlist(S3)'!$C$4:$C$1362,'Pinlist(S3)'!$E$4:$E$1362,""),_xlpm.cleanRaw,SUBSTITUTE(SUBSTITUTE(_xlpm.raw,"_PIN","."),"PIN","."),_xlpm.mainPart,MID(_xlpm.cleanRaw,2,FIND(".",_xlpm.cleanRaw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802077</v>
      </c>
      <c r="H1214" t="str">
        <f>_xlfn.LET(_xlpm.raw,_xlfn.XLOOKUP(A1214,'Pinlist(S5)'!$C$4:$C$1362,'Pinlist(S5)'!$E$4:$E$1362,""),_xlpm.cleanRaw,SUBSTITUTE(SUBSTITUTE(_xlpm.raw,"_PIN","."),"PIN","."),_xlpm.mainPart,MID(_xlpm.cleanRaw,2,FIND(".",_xlpm.cleanRaw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705077</v>
      </c>
      <c r="I1214" t="str">
        <f>""</f>
        <v/>
      </c>
      <c r="J1214" t="str">
        <f t="shared" si="18"/>
        <v>AY38;DDRDQSP_IL04_NIL10;;21.583;21.003;608077;802077;705077;</v>
      </c>
    </row>
    <row r="1215" spans="1:10">
      <c r="A1215" t="s">
        <v>452</v>
      </c>
      <c r="B1215" t="str">
        <f>_xlfn.XLOOKUP(A1215,'Pinlist(S1)'!$Q$4:$Q$1362,'Pinlist(S1)'!$R$4:$R$1362,"")</f>
        <v>DDRDQ_IL04_NIL10[0]</v>
      </c>
      <c r="C1215" t="str" cm="1">
        <f t="array" ref="C1215">_xlfn.TEXTJOIN(",",TRUE,_xlfn.UNIQUE(TRANSPOSE(_xlfn.MAP(_xlfn.XLOOKUP(A1215,'Pinlist(S1)'!$C$4:$C$1362,'Pinlist(S1)'!$F$4:$K$1362,""),_xlfn.LAMBDA(_xlpm.x,IF(_xlpm.x&lt;&gt;"",TRIM(CLEAN(LEFT(_xlpm.x,FIND(".",_xlpm.x &amp; ".")-1))),""))))))</f>
        <v/>
      </c>
      <c r="D1215">
        <v>22.146999999999998</v>
      </c>
      <c r="E1215">
        <v>21.327999999999999</v>
      </c>
      <c r="F1215" t="str">
        <f>_xlfn.LET(_xlpm.raw,_xlfn.XLOOKUP(A1215,'Pinlist(S1)'!$C$4:$C$1362,'Pinlist(S1)'!$E$4:$E$1362,""),_xlpm.cleanRaw,SUBSTITUTE(SUBSTITUTE(_xlpm.raw,"_PIN","."),"PIN","."),_xlpm.mainPart,MID(_xlpm.cleanRaw,2,FIND(".",_xlpm.cleanRaw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608066</v>
      </c>
      <c r="G1215" t="str">
        <f>_xlfn.LET(_xlpm.raw,_xlfn.XLOOKUP(A1215,'Pinlist(S3)'!$C$4:$C$1362,'Pinlist(S3)'!$E$4:$E$1362,""),_xlpm.cleanRaw,SUBSTITUTE(SUBSTITUTE(_xlpm.raw,"_PIN","."),"PIN","."),_xlpm.mainPart,MID(_xlpm.cleanRaw,2,FIND(".",_xlpm.cleanRaw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802068</v>
      </c>
      <c r="H1215" t="str">
        <f>_xlfn.LET(_xlpm.raw,_xlfn.XLOOKUP(A1215,'Pinlist(S5)'!$C$4:$C$1362,'Pinlist(S5)'!$E$4:$E$1362,""),_xlpm.cleanRaw,SUBSTITUTE(SUBSTITUTE(_xlpm.raw,"_PIN","."),"PIN","."),_xlpm.mainPart,MID(_xlpm.cleanRaw,2,FIND(".",_xlpm.cleanRaw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705070</v>
      </c>
      <c r="I1215" t="str">
        <f>""</f>
        <v/>
      </c>
      <c r="J1215" t="str">
        <f t="shared" si="18"/>
        <v>AY39;DDRDQ_IL04_NIL10[0];;22.147;21.328;608066;802068;705070;</v>
      </c>
    </row>
    <row r="1216" spans="1:10">
      <c r="A1216" t="s">
        <v>344</v>
      </c>
      <c r="B1216" t="str">
        <f>_xlfn.XLOOKUP(A1216,'Pinlist(S1)'!$Q$4:$Q$1362,'Pinlist(S1)'!$R$4:$R$1362,"")</f>
        <v>DDR1_CS_N[1]</v>
      </c>
      <c r="C1216" t="str" cm="1">
        <f t="array" ref="C1216">_xlfn.TEXTJOIN(",",TRUE,_xlfn.UNIQUE(TRANSPOSE(_xlfn.MAP(_xlfn.XLOOKUP(A1216,'Pinlist(S1)'!$C$4:$C$1362,'Pinlist(S1)'!$F$4:$K$1362,""),_xlfn.LAMBDA(_xlpm.x,IF(_xlpm.x&lt;&gt;"",TRIM(CLEAN(LEFT(_xlpm.x,FIND(".",_xlpm.x &amp; ".")-1))),""))))))</f>
        <v/>
      </c>
      <c r="D1216">
        <v>23.422000000000001</v>
      </c>
      <c r="E1216">
        <v>21.327999999999999</v>
      </c>
      <c r="F1216" t="str">
        <f>_xlfn.LET(_xlpm.raw,_xlfn.XLOOKUP(A1216,'Pinlist(S1)'!$C$4:$C$1362,'Pinlist(S1)'!$E$4:$E$1362,""),_xlpm.cleanRaw,SUBSTITUTE(SUBSTITUTE(_xlpm.raw,"_PIN","."),"PIN","."),_xlpm.mainPart,MID(_xlpm.cleanRaw,2,FIND(".",_xlpm.cleanRaw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607017</v>
      </c>
      <c r="G1216" t="str">
        <f>_xlfn.LET(_xlpm.raw,_xlfn.XLOOKUP(A1216,'Pinlist(S3)'!$C$4:$C$1362,'Pinlist(S3)'!$E$4:$E$1362,""),_xlpm.cleanRaw,SUBSTITUTE(SUBSTITUTE(_xlpm.raw,"_PIN","."),"PIN","."),_xlpm.mainPart,MID(_xlpm.cleanRaw,2,FIND(".",_xlpm.cleanRaw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802074</v>
      </c>
      <c r="H1216" t="str">
        <f>_xlfn.LET(_xlpm.raw,_xlfn.XLOOKUP(A1216,'Pinlist(S5)'!$C$4:$C$1362,'Pinlist(S5)'!$E$4:$E$1362,""),_xlpm.cleanRaw,SUBSTITUTE(SUBSTITUTE(_xlpm.raw,"_PIN","."),"PIN","."),_xlpm.mainPart,MID(_xlpm.cleanRaw,2,FIND(".",_xlpm.cleanRaw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706017</v>
      </c>
      <c r="I1216" t="str">
        <f>""</f>
        <v/>
      </c>
      <c r="J1216" t="str">
        <f t="shared" si="18"/>
        <v>AY42;DDR1_CS_N[1];;23.422;21.328;607017;802074;706017;</v>
      </c>
    </row>
    <row r="1217" spans="1:10">
      <c r="A1217" t="s">
        <v>324</v>
      </c>
      <c r="B1217" t="str">
        <f>_xlfn.XLOOKUP(A1217,'Pinlist(S1)'!$Q$4:$Q$1362,'Pinlist(S1)'!$R$4:$R$1362,"")</f>
        <v>DDR1_CAS_N_CAB1_MA15</v>
      </c>
      <c r="C1217" t="str" cm="1">
        <f t="array" ref="C1217">_xlfn.TEXTJOIN(",",TRUE,_xlfn.UNIQUE(TRANSPOSE(_xlfn.MAP(_xlfn.XLOOKUP(A1217,'Pinlist(S1)'!$C$4:$C$1362,'Pinlist(S1)'!$F$4:$K$1362,""),_xlfn.LAMBDA(_xlpm.x,IF(_xlpm.x&lt;&gt;"",TRIM(CLEAN(LEFT(_xlpm.x,FIND(".",_xlpm.x &amp; ".")-1))),""))))))</f>
        <v/>
      </c>
      <c r="D1217">
        <v>23.986000000000001</v>
      </c>
      <c r="E1217">
        <v>21.003</v>
      </c>
      <c r="F1217" t="str">
        <f>_xlfn.LET(_xlpm.raw,_xlfn.XLOOKUP(A1217,'Pinlist(S1)'!$C$4:$C$1362,'Pinlist(S1)'!$E$4:$E$1362,""),_xlpm.cleanRaw,SUBSTITUTE(SUBSTITUTE(_xlpm.raw,"_PIN","."),"PIN","."),_xlpm.mainPart,MID(_xlpm.cleanRaw,2,FIND(".",_xlpm.cleanRaw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608079</v>
      </c>
      <c r="G1217" t="str">
        <f>_xlfn.LET(_xlpm.raw,_xlfn.XLOOKUP(A1217,'Pinlist(S3)'!$C$4:$C$1362,'Pinlist(S3)'!$E$4:$E$1362,""),_xlpm.cleanRaw,SUBSTITUTE(SUBSTITUTE(_xlpm.raw,"_PIN","."),"PIN","."),_xlpm.mainPart,MID(_xlpm.cleanRaw,2,FIND(".",_xlpm.cleanRaw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217" t="str">
        <f>_xlfn.LET(_xlpm.raw,_xlfn.XLOOKUP(A1217,'Pinlist(S5)'!$C$4:$C$1362,'Pinlist(S5)'!$E$4:$E$1362,""),_xlpm.cleanRaw,SUBSTITUTE(SUBSTITUTE(_xlpm.raw,"_PIN","."),"PIN","."),_xlpm.mainPart,MID(_xlpm.cleanRaw,2,FIND(".",_xlpm.cleanRaw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705079</v>
      </c>
      <c r="I1217" t="str">
        <f>""</f>
        <v/>
      </c>
      <c r="J1217" t="str">
        <f t="shared" si="18"/>
        <v>AY43;DDR1_CAS_N_CAB1_MA15;;23.986;21.003;608079;802079;705079;</v>
      </c>
    </row>
    <row r="1218" spans="1:10">
      <c r="A1218" t="s">
        <v>386</v>
      </c>
      <c r="B1218" t="str">
        <f>_xlfn.XLOOKUP(A1218,'Pinlist(S1)'!$Q$4:$Q$1362,'Pinlist(S1)'!$R$4:$R$1362,"")</f>
        <v>DDR1_WE_N_CAB2_MA14</v>
      </c>
      <c r="C1218" t="str" cm="1">
        <f t="array" ref="C1218">_xlfn.TEXTJOIN(",",TRUE,_xlfn.UNIQUE(TRANSPOSE(_xlfn.MAP(_xlfn.XLOOKUP(A1218,'Pinlist(S1)'!$C$4:$C$1362,'Pinlist(S1)'!$F$4:$K$1362,""),_xlfn.LAMBDA(_xlpm.x,IF(_xlpm.x&lt;&gt;"",TRIM(CLEAN(LEFT(_xlpm.x,FIND(".",_xlpm.x &amp; ".")-1))),""))))))</f>
        <v/>
      </c>
      <c r="D1218">
        <v>24.649000000000001</v>
      </c>
      <c r="E1218">
        <v>21.327999999999999</v>
      </c>
      <c r="F1218" t="str">
        <f>_xlfn.LET(_xlpm.raw,_xlfn.XLOOKUP(A1218,'Pinlist(S1)'!$C$4:$C$1362,'Pinlist(S1)'!$E$4:$E$1362,""),_xlpm.cleanRaw,SUBSTITUTE(SUBSTITUTE(_xlpm.raw,"_PIN","."),"PIN","."),_xlpm.mainPart,MID(_xlpm.cleanRaw,2,FIND(".",_xlpm.cleanRaw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607015</v>
      </c>
      <c r="G1218" t="str">
        <f>_xlfn.LET(_xlpm.raw,_xlfn.XLOOKUP(A1218,'Pinlist(S3)'!$C$4:$C$1362,'Pinlist(S3)'!$E$4:$E$1362,""),_xlpm.cleanRaw,SUBSTITUTE(SUBSTITUTE(_xlpm.raw,"_PIN","."),"PIN","."),_xlpm.mainPart,MID(_xlpm.cleanRaw,2,FIND(".",_xlpm.cleanRaw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802076</v>
      </c>
      <c r="H1218" t="str">
        <f>_xlfn.LET(_xlpm.raw,_xlfn.XLOOKUP(A1218,'Pinlist(S5)'!$C$4:$C$1362,'Pinlist(S5)'!$E$4:$E$1362,""),_xlpm.cleanRaw,SUBSTITUTE(SUBSTITUTE(_xlpm.raw,"_PIN","."),"PIN","."),_xlpm.mainPart,MID(_xlpm.cleanRaw,2,FIND(".",_xlpm.cleanRaw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706015</v>
      </c>
      <c r="I1218" t="str">
        <f>""</f>
        <v/>
      </c>
      <c r="J1218" t="str">
        <f t="shared" ref="J1218:J1281" si="19">A1218&amp;";"&amp;B1218&amp;";"&amp;C1218&amp;";"&amp;D1218&amp;";"&amp;E1218&amp;";"&amp;F1218&amp;";"&amp;G1218&amp;";"&amp;H1218&amp;";"&amp;I1218</f>
        <v>AY44;DDR1_WE_N_CAB2_MA14;;24.649;21.328;607015;802076;706015;</v>
      </c>
    </row>
    <row r="1219" spans="1:10">
      <c r="A1219" t="s">
        <v>348</v>
      </c>
      <c r="B1219" t="str">
        <f>_xlfn.XLOOKUP(A1219,'Pinlist(S1)'!$Q$4:$Q$1362,'Pinlist(S1)'!$R$4:$R$1362,"")</f>
        <v>DDR1_MA[1]_CAB8</v>
      </c>
      <c r="C1219" t="str" cm="1">
        <f t="array" ref="C1219">_xlfn.TEXTJOIN(",",TRUE,_xlfn.UNIQUE(TRANSPOSE(_xlfn.MAP(_xlfn.XLOOKUP(A1219,'Pinlist(S1)'!$C$4:$C$1362,'Pinlist(S1)'!$F$4:$K$1362,""),_xlfn.LAMBDA(_xlpm.x,IF(_xlpm.x&lt;&gt;"",TRIM(CLEAN(LEFT(_xlpm.x,FIND(".",_xlpm.x &amp; ".")-1))),""))))))</f>
        <v>KA107</v>
      </c>
      <c r="D1219">
        <v>25.876000000000001</v>
      </c>
      <c r="E1219">
        <v>21.327999999999999</v>
      </c>
      <c r="F1219" t="str">
        <f>_xlfn.LET(_xlpm.raw,_xlfn.XLOOKUP(A1219,'Pinlist(S1)'!$C$4:$C$1362,'Pinlist(S1)'!$E$4:$E$1362,""),_xlpm.cleanRaw,SUBSTITUTE(SUBSTITUTE(_xlpm.raw,"_PIN","."),"PIN","."),_xlpm.mainPart,MID(_xlpm.cleanRaw,2,FIND(".",_xlpm.cleanRaw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219" t="str">
        <f>_xlfn.LET(_xlpm.raw,_xlfn.XLOOKUP(A1219,'Pinlist(S3)'!$C$4:$C$1362,'Pinlist(S3)'!$E$4:$E$1362,""),_xlpm.cleanRaw,SUBSTITUTE(SUBSTITUTE(_xlpm.raw,"_PIN","."),"PIN","."),_xlpm.mainPart,MID(_xlpm.cleanRaw,2,FIND(".",_xlpm.cleanRaw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219" t="str">
        <f>_xlfn.LET(_xlpm.raw,_xlfn.XLOOKUP(A1219,'Pinlist(S5)'!$C$4:$C$1362,'Pinlist(S5)'!$E$4:$E$1362,""),_xlpm.cleanRaw,SUBSTITUTE(SUBSTITUTE(_xlpm.raw,"_PIN","."),"PIN","."),_xlpm.mainPart,MID(_xlpm.cleanRaw,2,FIND(".",_xlpm.cleanRaw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219" t="str">
        <f>""</f>
        <v/>
      </c>
      <c r="J1219" t="str">
        <f t="shared" si="19"/>
        <v>AY46;DDR1_MA[1]_CAB8;KA107;25.876;21.328;506021;807025;603107;</v>
      </c>
    </row>
    <row r="1220" spans="1:10">
      <c r="A1220" t="s">
        <v>362</v>
      </c>
      <c r="B1220" t="str">
        <f>_xlfn.XLOOKUP(A1220,'Pinlist(S1)'!$Q$4:$Q$1362,'Pinlist(S1)'!$R$4:$R$1362,"")</f>
        <v>DDR1_MA[2]_CAB5</v>
      </c>
      <c r="C1220" t="str" cm="1">
        <f t="array" ref="C1220">_xlfn.TEXTJOIN(",",TRUE,_xlfn.UNIQUE(TRANSPOSE(_xlfn.MAP(_xlfn.XLOOKUP(A1220,'Pinlist(S1)'!$C$4:$C$1362,'Pinlist(S1)'!$F$4:$K$1362,""),_xlfn.LAMBDA(_xlpm.x,IF(_xlpm.x&lt;&gt;"",TRIM(CLEAN(LEFT(_xlpm.x,FIND(".",_xlpm.x &amp; ".")-1))),""))))))</f>
        <v>KA111</v>
      </c>
      <c r="D1220">
        <v>26.477</v>
      </c>
      <c r="E1220">
        <v>21.003</v>
      </c>
      <c r="F1220" t="str">
        <f>_xlfn.LET(_xlpm.raw,_xlfn.XLOOKUP(A1220,'Pinlist(S1)'!$C$4:$C$1362,'Pinlist(S1)'!$E$4:$E$1362,""),_xlpm.cleanRaw,SUBSTITUTE(SUBSTITUTE(_xlpm.raw,"_PIN","."),"PIN","."),_xlpm.mainPart,MID(_xlpm.cleanRaw,2,FIND(".",_xlpm.cleanRaw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1220" t="str">
        <f>_xlfn.LET(_xlpm.raw,_xlfn.XLOOKUP(A1220,'Pinlist(S3)'!$C$4:$C$1362,'Pinlist(S3)'!$E$4:$E$1362,""),_xlpm.cleanRaw,SUBSTITUTE(SUBSTITUTE(_xlpm.raw,"_PIN","."),"PIN","."),_xlpm.mainPart,MID(_xlpm.cleanRaw,2,FIND(".",_xlpm.cleanRaw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1220" t="str">
        <f>_xlfn.LET(_xlpm.raw,_xlfn.XLOOKUP(A1220,'Pinlist(S5)'!$C$4:$C$1362,'Pinlist(S5)'!$E$4:$E$1362,""),_xlpm.cleanRaw,SUBSTITUTE(SUBSTITUTE(_xlpm.raw,"_PIN","."),"PIN","."),_xlpm.mainPart,MID(_xlpm.cleanRaw,2,FIND(".",_xlpm.cleanRaw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1220" t="str">
        <f>""</f>
        <v/>
      </c>
      <c r="J1220" t="str">
        <f t="shared" si="19"/>
        <v>AY47;DDR1_MA[2]_CAB5;KA111;26.477;21.003;509013;804002;702042;</v>
      </c>
    </row>
    <row r="1221" spans="1:10">
      <c r="A1221" t="s">
        <v>368</v>
      </c>
      <c r="B1221" t="str">
        <f>_xlfn.XLOOKUP(A1221,'Pinlist(S1)'!$Q$4:$Q$1362,'Pinlist(S1)'!$R$4:$R$1362,"")</f>
        <v>DDR1_MA[5]_CAA0</v>
      </c>
      <c r="C1221" t="str" cm="1">
        <f t="array" ref="C1221">_xlfn.TEXTJOIN(",",TRUE,_xlfn.UNIQUE(TRANSPOSE(_xlfn.MAP(_xlfn.XLOOKUP(A1221,'Pinlist(S1)'!$C$4:$C$1362,'Pinlist(S1)'!$F$4:$K$1362,""),_xlfn.LAMBDA(_xlpm.x,IF(_xlpm.x&lt;&gt;"",TRIM(CLEAN(LEFT(_xlpm.x,FIND(".",_xlpm.x &amp; ".")-1))),""))))))</f>
        <v>KA117</v>
      </c>
      <c r="D1221">
        <v>27.103000000000002</v>
      </c>
      <c r="E1221">
        <v>21.327999999999999</v>
      </c>
      <c r="F1221" t="str">
        <f>_xlfn.LET(_xlpm.raw,_xlfn.XLOOKUP(A1221,'Pinlist(S1)'!$C$4:$C$1362,'Pinlist(S1)'!$E$4:$E$1362,""),_xlpm.cleanRaw,SUBSTITUTE(SUBSTITUTE(_xlpm.raw,"_PIN","."),"PIN","."),_xlpm.mainPart,MID(_xlpm.cleanRaw,2,FIND(".",_xlpm.cleanRaw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1221" t="str">
        <f>_xlfn.LET(_xlpm.raw,_xlfn.XLOOKUP(A1221,'Pinlist(S3)'!$C$4:$C$1362,'Pinlist(S3)'!$E$4:$E$1362,""),_xlpm.cleanRaw,SUBSTITUTE(SUBSTITUTE(_xlpm.raw,"_PIN","."),"PIN","."),_xlpm.mainPart,MID(_xlpm.cleanRaw,2,FIND(".",_xlpm.cleanRaw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1221" t="str">
        <f>_xlfn.LET(_xlpm.raw,_xlfn.XLOOKUP(A1221,'Pinlist(S5)'!$C$4:$C$1362,'Pinlist(S5)'!$E$4:$E$1362,""),_xlpm.cleanRaw,SUBSTITUTE(SUBSTITUTE(_xlpm.raw,"_PIN","."),"PIN","."),_xlpm.mainPart,MID(_xlpm.cleanRaw,2,FIND(".",_xlpm.cleanRaw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1221" t="str">
        <f>""</f>
        <v/>
      </c>
      <c r="J1221" t="str">
        <f t="shared" si="19"/>
        <v>AY48;DDR1_MA[5]_CAA0;KA117;27.103;21.328;507122;809119;603109;</v>
      </c>
    </row>
    <row r="1222" spans="1:10">
      <c r="A1222" t="s">
        <v>274</v>
      </c>
      <c r="B1222" t="str">
        <f>_xlfn.XLOOKUP(A1222,'Pinlist(S1)'!$Q$4:$Q$1362,'Pinlist(S1)'!$R$4:$R$1362,"")</f>
        <v>DDR0_MA[0]_CAB9</v>
      </c>
      <c r="C1222" t="str" cm="1">
        <f t="array" ref="C1222">_xlfn.TEXTJOIN(",",TRUE,_xlfn.UNIQUE(TRANSPOSE(_xlfn.MAP(_xlfn.XLOOKUP(A1222,'Pinlist(S1)'!$C$4:$C$1362,'Pinlist(S1)'!$F$4:$K$1362,""),_xlfn.LAMBDA(_xlpm.x,IF(_xlpm.x&lt;&gt;"",TRIM(CLEAN(LEFT(_xlpm.x,FIND(".",_xlpm.x &amp; ".")-1))),""))))))</f>
        <v>KA107</v>
      </c>
      <c r="D1222">
        <v>28.236000000000001</v>
      </c>
      <c r="E1222">
        <v>21.327999999999999</v>
      </c>
      <c r="F1222" t="str">
        <f>_xlfn.LET(_xlpm.raw,_xlfn.XLOOKUP(A1222,'Pinlist(S1)'!$C$4:$C$1362,'Pinlist(S1)'!$E$4:$E$1362,""),_xlpm.cleanRaw,SUBSTITUTE(SUBSTITUTE(_xlpm.raw,"_PIN","."),"PIN","."),_xlpm.mainPart,MID(_xlpm.cleanRaw,2,FIND(".",_xlpm.cleanRaw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222" t="str">
        <f>_xlfn.LET(_xlpm.raw,_xlfn.XLOOKUP(A1222,'Pinlist(S3)'!$C$4:$C$1362,'Pinlist(S3)'!$E$4:$E$1362,""),_xlpm.cleanRaw,SUBSTITUTE(SUBSTITUTE(_xlpm.raw,"_PIN","."),"PIN","."),_xlpm.mainPart,MID(_xlpm.cleanRaw,2,FIND(".",_xlpm.cleanRaw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222" t="str">
        <f>_xlfn.LET(_xlpm.raw,_xlfn.XLOOKUP(A1222,'Pinlist(S5)'!$C$4:$C$1362,'Pinlist(S5)'!$E$4:$E$1362,""),_xlpm.cleanRaw,SUBSTITUTE(SUBSTITUTE(_xlpm.raw,"_PIN","."),"PIN","."),_xlpm.mainPart,MID(_xlpm.cleanRaw,2,FIND(".",_xlpm.cleanRaw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222" t="str">
        <f>""</f>
        <v/>
      </c>
      <c r="J1222" t="str">
        <f t="shared" si="19"/>
        <v>AY50;DDR0_MA[0]_CAB9;KA107;28.236;21.328;507090;806125;701089;</v>
      </c>
    </row>
    <row r="1223" spans="1:10">
      <c r="A1223" t="s">
        <v>290</v>
      </c>
      <c r="B1223" t="str">
        <f>_xlfn.XLOOKUP(A1223,'Pinlist(S1)'!$Q$4:$Q$1362,'Pinlist(S1)'!$R$4:$R$1362,"")</f>
        <v>DDR0_MA[2]_CAB5</v>
      </c>
      <c r="C1223" t="str" cm="1">
        <f t="array" ref="C1223">_xlfn.TEXTJOIN(",",TRUE,_xlfn.UNIQUE(TRANSPOSE(_xlfn.MAP(_xlfn.XLOOKUP(A1223,'Pinlist(S1)'!$C$4:$C$1362,'Pinlist(S1)'!$F$4:$K$1362,""),_xlfn.LAMBDA(_xlpm.x,IF(_xlpm.x&lt;&gt;"",TRIM(CLEAN(LEFT(_xlpm.x,FIND(".",_xlpm.x &amp; ".")-1))),""))))))</f>
        <v>KA111</v>
      </c>
      <c r="D1223">
        <v>28.861999999999998</v>
      </c>
      <c r="E1223">
        <v>21.003</v>
      </c>
      <c r="F1223" t="str">
        <f>_xlfn.LET(_xlpm.raw,_xlfn.XLOOKUP(A1223,'Pinlist(S1)'!$C$4:$C$1362,'Pinlist(S1)'!$E$4:$E$1362,""),_xlpm.cleanRaw,SUBSTITUTE(SUBSTITUTE(_xlpm.raw,"_PIN","."),"PIN","."),_xlpm.mainPart,MID(_xlpm.cleanRaw,2,FIND(".",_xlpm.cleanRaw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1223" t="str">
        <f>_xlfn.LET(_xlpm.raw,_xlfn.XLOOKUP(A1223,'Pinlist(S3)'!$C$4:$C$1362,'Pinlist(S3)'!$E$4:$E$1362,""),_xlpm.cleanRaw,SUBSTITUTE(SUBSTITUTE(_xlpm.raw,"_PIN","."),"PIN","."),_xlpm.mainPart,MID(_xlpm.cleanRaw,2,FIND(".",_xlpm.cleanRaw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1223" t="str">
        <f>_xlfn.LET(_xlpm.raw,_xlfn.XLOOKUP(A1223,'Pinlist(S5)'!$C$4:$C$1362,'Pinlist(S5)'!$E$4:$E$1362,""),_xlpm.cleanRaw,SUBSTITUTE(SUBSTITUTE(_xlpm.raw,"_PIN","."),"PIN","."),_xlpm.mainPart,MID(_xlpm.cleanRaw,2,FIND(".",_xlpm.cleanRaw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1223" t="str">
        <f>""</f>
        <v/>
      </c>
      <c r="J1223" t="str">
        <f t="shared" si="19"/>
        <v>AY51;DDR0_MA[2]_CAB5;KA111;28.862;21.003;509013;804002;702042;</v>
      </c>
    </row>
    <row r="1224" spans="1:10">
      <c r="A1224" t="s">
        <v>302</v>
      </c>
      <c r="B1224" t="str">
        <f>_xlfn.XLOOKUP(A1224,'Pinlist(S1)'!$Q$4:$Q$1362,'Pinlist(S1)'!$R$4:$R$1362,"")</f>
        <v>DDR0_MA[8]_CAA3</v>
      </c>
      <c r="C1224" t="str" cm="1">
        <f t="array" ref="C1224">_xlfn.TEXTJOIN(",",TRUE,_xlfn.UNIQUE(TRANSPOSE(_xlfn.MAP(_xlfn.XLOOKUP(A1224,'Pinlist(S1)'!$C$4:$C$1362,'Pinlist(S1)'!$F$4:$K$1362,""),_xlfn.LAMBDA(_xlpm.x,IF(_xlpm.x&lt;&gt;"",TRIM(CLEAN(LEFT(_xlpm.x,FIND(".",_xlpm.x &amp; ".")-1))),""))))))</f>
        <v>KA119</v>
      </c>
      <c r="D1224">
        <v>29.463000000000001</v>
      </c>
      <c r="E1224">
        <v>21.327999999999999</v>
      </c>
      <c r="F1224" t="str">
        <f>_xlfn.LET(_xlpm.raw,_xlfn.XLOOKUP(A1224,'Pinlist(S1)'!$C$4:$C$1362,'Pinlist(S1)'!$E$4:$E$1362,""),_xlpm.cleanRaw,SUBSTITUTE(SUBSTITUTE(_xlpm.raw,"_PIN","."),"PIN","."),_xlpm.mainPart,MID(_xlpm.cleanRaw,2,FIND(".",_xlpm.cleanRaw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1224" t="str">
        <f>_xlfn.LET(_xlpm.raw,_xlfn.XLOOKUP(A1224,'Pinlist(S3)'!$C$4:$C$1362,'Pinlist(S3)'!$E$4:$E$1362,""),_xlpm.cleanRaw,SUBSTITUTE(SUBSTITUTE(_xlpm.raw,"_PIN","."),"PIN","."),_xlpm.mainPart,MID(_xlpm.cleanRaw,2,FIND(".",_xlpm.cleanRaw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1224" t="str">
        <f>_xlfn.LET(_xlpm.raw,_xlfn.XLOOKUP(A1224,'Pinlist(S5)'!$C$4:$C$1362,'Pinlist(S5)'!$E$4:$E$1362,""),_xlpm.cleanRaw,SUBSTITUTE(SUBSTITUTE(_xlpm.raw,"_PIN","."),"PIN","."),_xlpm.mainPart,MID(_xlpm.cleanRaw,2,FIND(".",_xlpm.cleanRaw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1224" t="str">
        <f>""</f>
        <v/>
      </c>
      <c r="J1224" t="str">
        <f t="shared" si="19"/>
        <v>AY52;DDR0_MA[8]_CAA3;KA119;29.463;21.328;507124;809121;603110;</v>
      </c>
    </row>
    <row r="1225" spans="1:10">
      <c r="A1225" t="s">
        <v>286</v>
      </c>
      <c r="B1225" t="str">
        <f>_xlfn.XLOOKUP(A1225,'Pinlist(S1)'!$Q$4:$Q$1362,'Pinlist(S1)'!$R$4:$R$1362,"")</f>
        <v>DDR0_MA[14]_CAA9_BG1</v>
      </c>
      <c r="C1225" t="str" cm="1">
        <f t="array" ref="C1225">_xlfn.TEXTJOIN(",",TRUE,_xlfn.UNIQUE(TRANSPOSE(_xlfn.MAP(_xlfn.XLOOKUP(A1225,'Pinlist(S1)'!$C$4:$C$1362,'Pinlist(S1)'!$F$4:$K$1362,""),_xlfn.LAMBDA(_xlpm.x,IF(_xlpm.x&lt;&gt;"",TRIM(CLEAN(LEFT(_xlpm.x,FIND(".",_xlpm.x &amp; ".")-1))),""))))))</f>
        <v>KA110</v>
      </c>
      <c r="D1225">
        <v>30.689</v>
      </c>
      <c r="E1225">
        <v>21.327999999999999</v>
      </c>
      <c r="F1225" t="str">
        <f>_xlfn.LET(_xlpm.raw,_xlfn.XLOOKUP(A1225,'Pinlist(S1)'!$C$4:$C$1362,'Pinlist(S1)'!$E$4:$E$1362,""),_xlpm.cleanRaw,SUBSTITUTE(SUBSTITUTE(_xlpm.raw,"_PIN","."),"PIN","."),_xlpm.mainPart,MID(_xlpm.cleanRaw,2,FIND(".",_xlpm.cleanRaw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1225" t="str">
        <f>_xlfn.LET(_xlpm.raw,_xlfn.XLOOKUP(A1225,'Pinlist(S3)'!$C$4:$C$1362,'Pinlist(S3)'!$E$4:$E$1362,""),_xlpm.cleanRaw,SUBSTITUTE(SUBSTITUTE(_xlpm.raw,"_PIN","."),"PIN","."),_xlpm.mainPart,MID(_xlpm.cleanRaw,2,FIND(".",_xlpm.cleanRaw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1225" t="str">
        <f>_xlfn.LET(_xlpm.raw,_xlfn.XLOOKUP(A1225,'Pinlist(S5)'!$C$4:$C$1362,'Pinlist(S5)'!$E$4:$E$1362,""),_xlpm.cleanRaw,SUBSTITUTE(SUBSTITUTE(_xlpm.raw,"_PIN","."),"PIN","."),_xlpm.mainPart,MID(_xlpm.cleanRaw,2,FIND(".",_xlpm.cleanRaw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1225" t="str">
        <f>""</f>
        <v/>
      </c>
      <c r="J1225" t="str">
        <f t="shared" si="19"/>
        <v>AY54;DDR0_MA[14]_CAA9_BG1;KA110;30.689;21.328;509034;804039;702041;</v>
      </c>
    </row>
    <row r="1226" spans="1:10">
      <c r="A1226" t="s">
        <v>249</v>
      </c>
      <c r="B1226" t="str">
        <f>_xlfn.XLOOKUP(A1226,'Pinlist(S1)'!$Q$4:$Q$1362,'Pinlist(S1)'!$R$4:$R$1362,"")</f>
        <v>DDR0_BA[2]_CAA5_BG0</v>
      </c>
      <c r="C1226" t="str" cm="1">
        <f t="array" ref="C1226">_xlfn.TEXTJOIN(",",TRUE,_xlfn.UNIQUE(TRANSPOSE(_xlfn.MAP(_xlfn.XLOOKUP(A1226,'Pinlist(S1)'!$C$4:$C$1362,'Pinlist(S1)'!$F$4:$K$1362,""),_xlfn.LAMBDA(_xlpm.x,IF(_xlpm.x&lt;&gt;"",TRIM(CLEAN(LEFT(_xlpm.x,FIND(".",_xlpm.x &amp; ".")-1))),""))))))</f>
        <v>KA106</v>
      </c>
      <c r="D1226">
        <v>31.352</v>
      </c>
      <c r="E1226">
        <v>21.003</v>
      </c>
      <c r="F1226" t="str">
        <f>_xlfn.LET(_xlpm.raw,_xlfn.XLOOKUP(A1226,'Pinlist(S1)'!$C$4:$C$1362,'Pinlist(S1)'!$E$4:$E$1362,""),_xlpm.cleanRaw,SUBSTITUTE(SUBSTITUTE(_xlpm.raw,"_PIN","."),"PIN","."),_xlpm.mainPart,MID(_xlpm.cleanRaw,2,FIND(".",_xlpm.cleanRaw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1226" t="str">
        <f>_xlfn.LET(_xlpm.raw,_xlfn.XLOOKUP(A1226,'Pinlist(S3)'!$C$4:$C$1362,'Pinlist(S3)'!$E$4:$E$1362,""),_xlpm.cleanRaw,SUBSTITUTE(SUBSTITUTE(_xlpm.raw,"_PIN","."),"PIN","."),_xlpm.mainPart,MID(_xlpm.cleanRaw,2,FIND(".",_xlpm.cleanRaw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1226" t="str">
        <f>_xlfn.LET(_xlpm.raw,_xlfn.XLOOKUP(A1226,'Pinlist(S5)'!$C$4:$C$1362,'Pinlist(S5)'!$E$4:$E$1362,""),_xlpm.cleanRaw,SUBSTITUTE(SUBSTITUTE(_xlpm.raw,"_PIN","."),"PIN","."),_xlpm.mainPart,MID(_xlpm.cleanRaw,2,FIND(".",_xlpm.cleanRaw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1226" t="str">
        <f>""</f>
        <v/>
      </c>
      <c r="J1226" t="str">
        <f t="shared" si="19"/>
        <v>AY55;DDR0_BA[2]_CAA5_BG0;KA106;31.352;21.003;505073;805084;702067;</v>
      </c>
    </row>
    <row r="1227" spans="1:10">
      <c r="A1227" t="s">
        <v>259</v>
      </c>
      <c r="B1227" t="str">
        <f>_xlfn.XLOOKUP(A1227,'Pinlist(S1)'!$Q$4:$Q$1362,'Pinlist(S1)'!$R$4:$R$1362,"")</f>
        <v>DDR0_CKE[3]</v>
      </c>
      <c r="C1227" t="str" cm="1">
        <f t="array" ref="C1227">_xlfn.TEXTJOIN(",",TRUE,_xlfn.UNIQUE(TRANSPOSE(_xlfn.MAP(_xlfn.XLOOKUP(A1227,'Pinlist(S1)'!$C$4:$C$1362,'Pinlist(S1)'!$F$4:$K$1362,""),_xlfn.LAMBDA(_xlpm.x,IF(_xlpm.x&lt;&gt;"",TRIM(CLEAN(LEFT(_xlpm.x,FIND(".",_xlpm.x &amp; ".")-1))),""))))))</f>
        <v>KA102</v>
      </c>
      <c r="D1227">
        <v>31.916</v>
      </c>
      <c r="E1227">
        <v>21.327999999999999</v>
      </c>
      <c r="F1227" t="str">
        <f>_xlfn.LET(_xlpm.raw,_xlfn.XLOOKUP(A1227,'Pinlist(S1)'!$C$4:$C$1362,'Pinlist(S1)'!$E$4:$E$1362,""),_xlpm.cleanRaw,SUBSTITUTE(SUBSTITUTE(_xlpm.raw,"_PIN","."),"PIN","."),_xlpm.mainPart,MID(_xlpm.cleanRaw,2,FIND(".",_xlpm.cleanRaw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227" t="str">
        <f>_xlfn.LET(_xlpm.raw,_xlfn.XLOOKUP(A1227,'Pinlist(S3)'!$C$4:$C$1362,'Pinlist(S3)'!$E$4:$E$1362,""),_xlpm.cleanRaw,SUBSTITUTE(SUBSTITUTE(_xlpm.raw,"_PIN","."),"PIN","."),_xlpm.mainPart,MID(_xlpm.cleanRaw,2,FIND(".",_xlpm.cleanRaw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227" t="str">
        <f>_xlfn.LET(_xlpm.raw,_xlfn.XLOOKUP(A1227,'Pinlist(S5)'!$C$4:$C$1362,'Pinlist(S5)'!$E$4:$E$1362,""),_xlpm.cleanRaw,SUBSTITUTE(SUBSTITUTE(_xlpm.raw,"_PIN","."),"PIN","."),_xlpm.mainPart,MID(_xlpm.cleanRaw,2,FIND(".",_xlpm.cleanRaw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227" t="str">
        <f>""</f>
        <v/>
      </c>
      <c r="J1227" t="str">
        <f t="shared" si="19"/>
        <v>AY56;DDR0_CKE[3];KA102;31.916;21.328;505059;805081;702081;</v>
      </c>
    </row>
    <row r="1228" spans="1:10">
      <c r="A1228" t="s">
        <v>450</v>
      </c>
      <c r="B1228" t="str">
        <f>_xlfn.XLOOKUP(A1228,'Pinlist(S1)'!$Q$4:$Q$1362,'Pinlist(S1)'!$R$4:$R$1362,"")</f>
        <v>DDRDQ_IL03_NIL05[7]</v>
      </c>
      <c r="C1228" t="str" cm="1">
        <f t="array" ref="C1228">_xlfn.TEXTJOIN(",",TRUE,_xlfn.UNIQUE(TRANSPOSE(_xlfn.MAP(_xlfn.XLOOKUP(A1228,'Pinlist(S1)'!$C$4:$C$1362,'Pinlist(S1)'!$F$4:$K$1362,""),_xlfn.LAMBDA(_xlpm.x,IF(_xlpm.x&lt;&gt;"",TRIM(CLEAN(LEFT(_xlpm.x,FIND(".",_xlpm.x &amp; ".")-1))),""))))))</f>
        <v/>
      </c>
      <c r="D1228">
        <v>33.191000000000003</v>
      </c>
      <c r="E1228">
        <v>21.327999999999999</v>
      </c>
      <c r="F1228" t="str">
        <f>_xlfn.LET(_xlpm.raw,_xlfn.XLOOKUP(A1228,'Pinlist(S1)'!$C$4:$C$1362,'Pinlist(S1)'!$E$4:$E$1362,""),_xlpm.cleanRaw,SUBSTITUTE(SUBSTITUTE(_xlpm.raw,"_PIN","."),"PIN","."),_xlpm.mainPart,MID(_xlpm.cleanRaw,2,FIND(".",_xlpm.cleanRaw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608068</v>
      </c>
      <c r="G1228" t="str">
        <f>_xlfn.LET(_xlpm.raw,_xlfn.XLOOKUP(A1228,'Pinlist(S3)'!$C$4:$C$1362,'Pinlist(S3)'!$E$4:$E$1362,""),_xlpm.cleanRaw,SUBSTITUTE(SUBSTITUTE(_xlpm.raw,"_PIN","."),"PIN","."),_xlpm.mainPart,MID(_xlpm.cleanRaw,2,FIND(".",_xlpm.cleanRaw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802082</v>
      </c>
      <c r="H1228" t="str">
        <f>_xlfn.LET(_xlpm.raw,_xlfn.XLOOKUP(A1228,'Pinlist(S5)'!$C$4:$C$1362,'Pinlist(S5)'!$E$4:$E$1362,""),_xlpm.cleanRaw,SUBSTITUTE(SUBSTITUTE(_xlpm.raw,"_PIN","."),"PIN","."),_xlpm.mainPart,MID(_xlpm.cleanRaw,2,FIND(".",_xlpm.cleanRaw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705082</v>
      </c>
      <c r="I1228" t="str">
        <f>""</f>
        <v/>
      </c>
      <c r="J1228" t="str">
        <f t="shared" si="19"/>
        <v>AY59;DDRDQ_IL03_NIL05[7];;33.191;21.328;608068;802082;705082;</v>
      </c>
    </row>
    <row r="1229" spans="1:10">
      <c r="A1229" t="s">
        <v>650</v>
      </c>
      <c r="B1229" t="str">
        <f>_xlfn.XLOOKUP(A1229,'Pinlist(S1)'!$Q$4:$Q$1362,'Pinlist(S1)'!$R$4:$R$1362,"")</f>
        <v>DDRDQSN_IL03_NIL05</v>
      </c>
      <c r="C1229" t="str" cm="1">
        <f t="array" ref="C1229">_xlfn.TEXTJOIN(",",TRUE,_xlfn.UNIQUE(TRANSPOSE(_xlfn.MAP(_xlfn.XLOOKUP(A1229,'Pinlist(S1)'!$C$4:$C$1362,'Pinlist(S1)'!$F$4:$K$1362,""),_xlfn.LAMBDA(_xlpm.x,IF(_xlpm.x&lt;&gt;"",TRIM(CLEAN(LEFT(_xlpm.x,FIND(".",_xlpm.x &amp; ".")-1))),""))))))</f>
        <v/>
      </c>
      <c r="D1229">
        <v>33.755000000000003</v>
      </c>
      <c r="E1229">
        <v>21.003</v>
      </c>
      <c r="F1229" t="str">
        <f>_xlfn.LET(_xlpm.raw,_xlfn.XLOOKUP(A1229,'Pinlist(S1)'!$C$4:$C$1362,'Pinlist(S1)'!$E$4:$E$1362,""),_xlpm.cleanRaw,SUBSTITUTE(SUBSTITUTE(_xlpm.raw,"_PIN","."),"PIN","."),_xlpm.mainPart,MID(_xlpm.cleanRaw,2,FIND(".",_xlpm.cleanRaw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607027</v>
      </c>
      <c r="G1229" t="str">
        <f>_xlfn.LET(_xlpm.raw,_xlfn.XLOOKUP(A1229,'Pinlist(S3)'!$C$4:$C$1362,'Pinlist(S3)'!$E$4:$E$1362,""),_xlpm.cleanRaw,SUBSTITUTE(SUBSTITUTE(_xlpm.raw,"_PIN","."),"PIN","."),_xlpm.mainPart,MID(_xlpm.cleanRaw,2,FIND(".",_xlpm.cleanRaw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801027</v>
      </c>
      <c r="H1229" t="str">
        <f>_xlfn.LET(_xlpm.raw,_xlfn.XLOOKUP(A1229,'Pinlist(S5)'!$C$4:$C$1362,'Pinlist(S5)'!$E$4:$E$1362,""),_xlpm.cleanRaw,SUBSTITUTE(SUBSTITUTE(_xlpm.raw,"_PIN","."),"PIN","."),_xlpm.mainPart,MID(_xlpm.cleanRaw,2,FIND(".",_xlpm.cleanRaw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706027</v>
      </c>
      <c r="I1229" t="str">
        <f>""</f>
        <v/>
      </c>
      <c r="J1229" t="str">
        <f t="shared" si="19"/>
        <v>AY60;DDRDQSN_IL03_NIL05;;33.755;21.003;607027;801027;706027;</v>
      </c>
    </row>
    <row r="1230" spans="1:10">
      <c r="A1230" t="s">
        <v>446</v>
      </c>
      <c r="B1230" t="str">
        <f>_xlfn.XLOOKUP(A1230,'Pinlist(S1)'!$Q$4:$Q$1362,'Pinlist(S1)'!$R$4:$R$1362,"")</f>
        <v>DDRDQ_IL03_NIL05[5]</v>
      </c>
      <c r="C1230" t="str" cm="1">
        <f t="array" ref="C1230">_xlfn.TEXTJOIN(",",TRUE,_xlfn.UNIQUE(TRANSPOSE(_xlfn.MAP(_xlfn.XLOOKUP(A1230,'Pinlist(S1)'!$C$4:$C$1362,'Pinlist(S1)'!$F$4:$K$1362,""),_xlfn.LAMBDA(_xlpm.x,IF(_xlpm.x&lt;&gt;"",TRIM(CLEAN(LEFT(_xlpm.x,FIND(".",_xlpm.x &amp; ".")-1))),""))))))</f>
        <v/>
      </c>
      <c r="D1230">
        <v>34.417999999999999</v>
      </c>
      <c r="E1230">
        <v>21.327999999999999</v>
      </c>
      <c r="F1230" t="str">
        <f>_xlfn.LET(_xlpm.raw,_xlfn.XLOOKUP(A1230,'Pinlist(S1)'!$C$4:$C$1362,'Pinlist(S1)'!$E$4:$E$1362,""),_xlpm.cleanRaw,SUBSTITUTE(SUBSTITUTE(_xlpm.raw,"_PIN","."),"PIN","."),_xlpm.mainPart,MID(_xlpm.cleanRaw,2,FIND(".",_xlpm.cleanRaw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606086</v>
      </c>
      <c r="G1230" t="str">
        <f>_xlfn.LET(_xlpm.raw,_xlfn.XLOOKUP(A1230,'Pinlist(S3)'!$C$4:$C$1362,'Pinlist(S3)'!$E$4:$E$1362,""),_xlpm.cleanRaw,SUBSTITUTE(SUBSTITUTE(_xlpm.raw,"_PIN","."),"PIN","."),_xlpm.mainPart,MID(_xlpm.cleanRaw,2,FIND(".",_xlpm.cleanRaw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801001</v>
      </c>
      <c r="H1230" t="str">
        <f>_xlfn.LET(_xlpm.raw,_xlfn.XLOOKUP(A1230,'Pinlist(S5)'!$C$4:$C$1362,'Pinlist(S5)'!$E$4:$E$1362,""),_xlpm.cleanRaw,SUBSTITUTE(SUBSTITUTE(_xlpm.raw,"_PIN","."),"PIN","."),_xlpm.mainPart,MID(_xlpm.cleanRaw,2,FIND(".",_xlpm.cleanRaw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706003</v>
      </c>
      <c r="I1230" t="str">
        <f>""</f>
        <v/>
      </c>
      <c r="J1230" t="str">
        <f t="shared" si="19"/>
        <v>AY61;DDRDQ_IL03_NIL05[5];;34.418;21.328;606086;801001;706003;</v>
      </c>
    </row>
    <row r="1231" spans="1:10">
      <c r="A1231" t="s">
        <v>426</v>
      </c>
      <c r="B1231" t="str">
        <f>_xlfn.XLOOKUP(A1231,'Pinlist(S1)'!$Q$4:$Q$1362,'Pinlist(S1)'!$R$4:$R$1362,"")</f>
        <v>DDRDQ_IL02_NIL04[3]</v>
      </c>
      <c r="C1231" t="str" cm="1">
        <f t="array" ref="C1231">_xlfn.TEXTJOIN(",",TRUE,_xlfn.UNIQUE(TRANSPOSE(_xlfn.MAP(_xlfn.XLOOKUP(A1231,'Pinlist(S1)'!$C$4:$C$1362,'Pinlist(S1)'!$F$4:$K$1362,""),_xlfn.LAMBDA(_xlpm.x,IF(_xlpm.x&lt;&gt;"",TRIM(CLEAN(LEFT(_xlpm.x,FIND(".",_xlpm.x &amp; ".")-1))),""))))))</f>
        <v/>
      </c>
      <c r="D1231">
        <v>35.644999999999897</v>
      </c>
      <c r="E1231">
        <v>21.327999999999999</v>
      </c>
      <c r="F1231" t="str">
        <f>_xlfn.LET(_xlpm.raw,_xlfn.XLOOKUP(A1231,'Pinlist(S1)'!$C$4:$C$1362,'Pinlist(S1)'!$E$4:$E$1362,""),_xlpm.cleanRaw,SUBSTITUTE(SUBSTITUTE(_xlpm.raw,"_PIN","."),"PIN","."),_xlpm.mainPart,MID(_xlpm.cleanRaw,2,FIND(".",_xlpm.cleanRaw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607023</v>
      </c>
      <c r="G1231" t="str">
        <f>_xlfn.LET(_xlpm.raw,_xlfn.XLOOKUP(A1231,'Pinlist(S3)'!$C$4:$C$1362,'Pinlist(S3)'!$E$4:$E$1362,""),_xlpm.cleanRaw,SUBSTITUTE(SUBSTITUTE(_xlpm.raw,"_PIN","."),"PIN","."),_xlpm.mainPart,MID(_xlpm.cleanRaw,2,FIND(".",_xlpm.cleanRaw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501107</v>
      </c>
      <c r="H1231" t="str">
        <f>_xlfn.LET(_xlpm.raw,_xlfn.XLOOKUP(A1231,'Pinlist(S5)'!$C$4:$C$1362,'Pinlist(S5)'!$E$4:$E$1362,""),_xlpm.cleanRaw,SUBSTITUTE(SUBSTITUTE(_xlpm.raw,"_PIN","."),"PIN","."),_xlpm.mainPart,MID(_xlpm.cleanRaw,2,FIND(".",_xlpm.cleanRaw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706023</v>
      </c>
      <c r="I1231" t="str">
        <f>""</f>
        <v/>
      </c>
      <c r="J1231" t="str">
        <f t="shared" si="19"/>
        <v>AY63;DDRDQ_IL02_NIL04[3];;35.6449999999999;21.328;607023;501107;706023;</v>
      </c>
    </row>
    <row r="1232" spans="1:10">
      <c r="A1232" t="s">
        <v>680</v>
      </c>
      <c r="B1232" t="str">
        <f>_xlfn.XLOOKUP(A1232,'Pinlist(S1)'!$Q$4:$Q$1362,'Pinlist(S1)'!$R$4:$R$1362,"")</f>
        <v>DDRDQSP_IL02_NIL04</v>
      </c>
      <c r="C1232" t="str" cm="1">
        <f t="array" ref="C1232">_xlfn.TEXTJOIN(",",TRUE,_xlfn.UNIQUE(TRANSPOSE(_xlfn.MAP(_xlfn.XLOOKUP(A1232,'Pinlist(S1)'!$C$4:$C$1362,'Pinlist(S1)'!$F$4:$K$1362,""),_xlfn.LAMBDA(_xlpm.x,IF(_xlpm.x&lt;&gt;"",TRIM(CLEAN(LEFT(_xlpm.x,FIND(".",_xlpm.x &amp; ".")-1))),""))))))</f>
        <v/>
      </c>
      <c r="D1232">
        <v>36.308</v>
      </c>
      <c r="E1232">
        <v>21.003</v>
      </c>
      <c r="F1232" t="str">
        <f>_xlfn.LET(_xlpm.raw,_xlfn.XLOOKUP(A1232,'Pinlist(S1)'!$C$4:$C$1362,'Pinlist(S1)'!$E$4:$E$1362,""),_xlpm.cleanRaw,SUBSTITUTE(SUBSTITUTE(_xlpm.raw,"_PIN","."),"PIN","."),_xlpm.mainPart,MID(_xlpm.cleanRaw,2,FIND(".",_xlpm.cleanRaw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607033</v>
      </c>
      <c r="G1232" t="str">
        <f>_xlfn.LET(_xlpm.raw,_xlfn.XLOOKUP(A1232,'Pinlist(S3)'!$C$4:$C$1362,'Pinlist(S3)'!$E$4:$E$1362,""),_xlpm.cleanRaw,SUBSTITUTE(SUBSTITUTE(_xlpm.raw,"_PIN","."),"PIN","."),_xlpm.mainPart,MID(_xlpm.cleanRaw,2,FIND(".",_xlpm.cleanRaw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801033</v>
      </c>
      <c r="H1232" t="str">
        <f>_xlfn.LET(_xlpm.raw,_xlfn.XLOOKUP(A1232,'Pinlist(S5)'!$C$4:$C$1362,'Pinlist(S5)'!$E$4:$E$1362,""),_xlpm.cleanRaw,SUBSTITUTE(SUBSTITUTE(_xlpm.raw,"_PIN","."),"PIN","."),_xlpm.mainPart,MID(_xlpm.cleanRaw,2,FIND(".",_xlpm.cleanRaw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706033</v>
      </c>
      <c r="I1232" t="str">
        <f>""</f>
        <v/>
      </c>
      <c r="J1232" t="str">
        <f t="shared" si="19"/>
        <v>AY64;DDRDQSP_IL02_NIL04;;36.308;21.003;607033;801033;706033;</v>
      </c>
    </row>
    <row r="1233" spans="1:10">
      <c r="A1233" t="s">
        <v>430</v>
      </c>
      <c r="B1233" t="str">
        <f>_xlfn.XLOOKUP(A1233,'Pinlist(S1)'!$Q$4:$Q$1362,'Pinlist(S1)'!$R$4:$R$1362,"")</f>
        <v>DDRDQ_IL02_NIL04[5]</v>
      </c>
      <c r="C1233" t="str" cm="1">
        <f t="array" ref="C1233">_xlfn.TEXTJOIN(",",TRUE,_xlfn.UNIQUE(TRANSPOSE(_xlfn.MAP(_xlfn.XLOOKUP(A1233,'Pinlist(S1)'!$C$4:$C$1362,'Pinlist(S1)'!$F$4:$K$1362,""),_xlfn.LAMBDA(_xlpm.x,IF(_xlpm.x&lt;&gt;"",TRIM(CLEAN(LEFT(_xlpm.x,FIND(".",_xlpm.x &amp; ".")-1))),""))))))</f>
        <v/>
      </c>
      <c r="D1233">
        <v>36.872</v>
      </c>
      <c r="E1233">
        <v>21.327999999999999</v>
      </c>
      <c r="F1233" t="str">
        <f>_xlfn.LET(_xlpm.raw,_xlfn.XLOOKUP(A1233,'Pinlist(S1)'!$C$4:$C$1362,'Pinlist(S1)'!$E$4:$E$1362,""),_xlpm.cleanRaw,SUBSTITUTE(SUBSTITUTE(_xlpm.raw,"_PIN","."),"PIN","."),_xlpm.mainPart,MID(_xlpm.cleanRaw,2,FIND(".",_xlpm.cleanRaw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606107</v>
      </c>
      <c r="G1233" t="str">
        <f>_xlfn.LET(_xlpm.raw,_xlfn.XLOOKUP(A1233,'Pinlist(S3)'!$C$4:$C$1362,'Pinlist(S3)'!$E$4:$E$1362,""),_xlpm.cleanRaw,SUBSTITUTE(SUBSTITUTE(_xlpm.raw,"_PIN","."),"PIN","."),_xlpm.mainPart,MID(_xlpm.cleanRaw,2,FIND(".",_xlpm.cleanRaw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502069</v>
      </c>
      <c r="H1233" t="str">
        <f>_xlfn.LET(_xlpm.raw,_xlfn.XLOOKUP(A1233,'Pinlist(S5)'!$C$4:$C$1362,'Pinlist(S5)'!$E$4:$E$1362,""),_xlpm.cleanRaw,SUBSTITUTE(SUBSTITUTE(_xlpm.raw,"_PIN","."),"PIN","."),_xlpm.mainPart,MID(_xlpm.cleanRaw,2,FIND(".",_xlpm.cleanRaw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707107</v>
      </c>
      <c r="I1233" t="str">
        <f>""</f>
        <v/>
      </c>
      <c r="J1233" t="str">
        <f t="shared" si="19"/>
        <v>AY65;DDRDQ_IL02_NIL04[5];;36.872;21.328;606107;502069;707107;</v>
      </c>
    </row>
    <row r="1234" spans="1:10">
      <c r="A1234" t="s">
        <v>2067</v>
      </c>
      <c r="B1234" t="str">
        <f>_xlfn.XLOOKUP(A1234,'Pinlist(S1)'!$Q$4:$Q$1362,'Pinlist(S1)'!$R$4:$R$1362,"")</f>
        <v>VSS</v>
      </c>
      <c r="C1234" t="str" cm="1">
        <f t="array" ref="C1234">_xlfn.TEXTJOIN(",",TRUE,_xlfn.UNIQUE(TRANSPOSE(_xlfn.MAP(_xlfn.XLOOKUP(A1234,'Pinlist(S1)'!$C$4:$C$1362,'Pinlist(S1)'!$F$4:$K$1362,""),_xlfn.LAMBDA(_xlpm.x,IF(_xlpm.x&lt;&gt;"",TRIM(CLEAN(LEFT(_xlpm.x,FIND(".",_xlpm.x &amp; ".")-1))),""))))))</f>
        <v/>
      </c>
      <c r="D1234">
        <v>37.534999999999997</v>
      </c>
      <c r="E1234">
        <v>21.003</v>
      </c>
      <c r="F1234" t="str">
        <f>_xlfn.LET(_xlpm.raw,_xlfn.XLOOKUP(A1234,'Pinlist(S1)'!$C$4:$C$1362,'Pinlist(S1)'!$E$4:$E$1362,""),_xlpm.cleanRaw,SUBSTITUTE(SUBSTITUTE(_xlpm.raw,"_PIN","."),"PIN","."),_xlpm.mainPart,MID(_xlpm.cleanRaw,2,FIND(".",_xlpm.cleanRaw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4" t="str">
        <f>_xlfn.LET(_xlpm.raw,_xlfn.XLOOKUP(A1234,'Pinlist(S3)'!$C$4:$C$1362,'Pinlist(S3)'!$E$4:$E$1362,""),_xlpm.cleanRaw,SUBSTITUTE(SUBSTITUTE(_xlpm.raw,"_PIN","."),"PIN","."),_xlpm.mainPart,MID(_xlpm.cleanRaw,2,FIND(".",_xlpm.cleanRaw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4" t="str">
        <f>_xlfn.LET(_xlpm.raw,_xlfn.XLOOKUP(A1234,'Pinlist(S5)'!$C$4:$C$1362,'Pinlist(S5)'!$E$4:$E$1362,""),_xlpm.cleanRaw,SUBSTITUTE(SUBSTITUTE(_xlpm.raw,"_PIN","."),"PIN","."),_xlpm.mainPart,MID(_xlpm.cleanRaw,2,FIND(".",_xlpm.cleanRaw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4" t="str">
        <f>""</f>
        <v/>
      </c>
      <c r="J1234" t="str">
        <f t="shared" si="19"/>
        <v>AY66;VSS;;37.535;21.003;;;;</v>
      </c>
    </row>
    <row r="1235" spans="1:10">
      <c r="A1235" t="s">
        <v>234</v>
      </c>
      <c r="B1235" t="str">
        <f>_xlfn.XLOOKUP(A1235,'Pinlist(S1)'!$Q$4:$Q$1362,'Pinlist(S1)'!$R$4:$R$1362,"")</f>
        <v>DDR_VREF_CA</v>
      </c>
      <c r="C1235" t="str" cm="1">
        <f t="array" ref="C1235">_xlfn.TEXTJOIN(",",TRUE,_xlfn.UNIQUE(TRANSPOSE(_xlfn.MAP(_xlfn.XLOOKUP(A1235,'Pinlist(S1)'!$C$4:$C$1362,'Pinlist(S1)'!$F$4:$K$1362,""),_xlfn.LAMBDA(_xlpm.x,IF(_xlpm.x&lt;&gt;"",TRIM(CLEAN(LEFT(_xlpm.x,FIND(".",_xlpm.x &amp; ".")-1))),""))))))</f>
        <v>KA120</v>
      </c>
      <c r="D1235">
        <v>38.215000000000003</v>
      </c>
      <c r="E1235">
        <v>21.327999999999999</v>
      </c>
      <c r="F1235" t="str">
        <f>_xlfn.LET(_xlpm.raw,_xlfn.XLOOKUP(A1235,'Pinlist(S1)'!$C$4:$C$1362,'Pinlist(S1)'!$E$4:$E$1362,""),_xlpm.cleanRaw,SUBSTITUTE(SUBSTITUTE(_xlpm.raw,"_PIN","."),"PIN","."),_xlpm.mainPart,MID(_xlpm.cleanRaw,2,FIND(".",_xlpm.cleanRaw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604004</v>
      </c>
      <c r="G1235" t="str">
        <f>_xlfn.LET(_xlpm.raw,_xlfn.XLOOKUP(A1235,'Pinlist(S3)'!$C$4:$C$1362,'Pinlist(S3)'!$E$4:$E$1362,""),_xlpm.cleanRaw,SUBSTITUTE(SUBSTITUTE(_xlpm.raw,"_PIN","."),"PIN","."),_xlpm.mainPart,MID(_xlpm.cleanRaw,2,FIND(".",_xlpm.cleanRaw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502061</v>
      </c>
      <c r="H1235" t="str">
        <f>_xlfn.LET(_xlpm.raw,_xlfn.XLOOKUP(A1235,'Pinlist(S5)'!$C$4:$C$1362,'Pinlist(S5)'!$E$4:$E$1362,""),_xlpm.cleanRaw,SUBSTITUTE(SUBSTITUTE(_xlpm.raw,"_PIN","."),"PIN","."),_xlpm.mainPart,MID(_xlpm.cleanRaw,2,FIND(".",_xlpm.cleanRaw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708063</v>
      </c>
      <c r="I1235" t="str">
        <f>""</f>
        <v/>
      </c>
      <c r="J1235" t="str">
        <f t="shared" si="19"/>
        <v>AY67;DDR_VREF_CA;KA120;38.215;21.328;604004;502061;708063;</v>
      </c>
    </row>
    <row r="1236" spans="1:10">
      <c r="A1236" t="s">
        <v>236</v>
      </c>
      <c r="B1236" t="str">
        <f>_xlfn.XLOOKUP(A1236,'Pinlist(S1)'!$Q$4:$Q$1362,'Pinlist(S1)'!$R$4:$R$1362,"")</f>
        <v>DDR_VREF_DQ[0]</v>
      </c>
      <c r="C1236" t="str" cm="1">
        <f t="array" ref="C1236">_xlfn.TEXTJOIN(",",TRUE,_xlfn.UNIQUE(TRANSPOSE(_xlfn.MAP(_xlfn.XLOOKUP(A1236,'Pinlist(S1)'!$C$4:$C$1362,'Pinlist(S1)'!$F$4:$K$1362,""),_xlfn.LAMBDA(_xlpm.x,IF(_xlpm.x&lt;&gt;"",TRIM(CLEAN(LEFT(_xlpm.x,FIND(".",_xlpm.x &amp; ".")-1))),""))))))</f>
        <v>KA121</v>
      </c>
      <c r="D1236">
        <v>38.848999999999997</v>
      </c>
      <c r="E1236">
        <v>21.581</v>
      </c>
      <c r="F1236" t="str">
        <f>_xlfn.LET(_xlpm.raw,_xlfn.XLOOKUP(A1236,'Pinlist(S1)'!$C$4:$C$1362,'Pinlist(S1)'!$E$4:$E$1362,""),_xlpm.cleanRaw,SUBSTITUTE(SUBSTITUTE(_xlpm.raw,"_PIN","."),"PIN","."),_xlpm.mainPart,MID(_xlpm.cleanRaw,2,FIND(".",_xlpm.cleanRaw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236" t="str">
        <f>_xlfn.LET(_xlpm.raw,_xlfn.XLOOKUP(A1236,'Pinlist(S3)'!$C$4:$C$1362,'Pinlist(S3)'!$E$4:$E$1362,""),_xlpm.cleanRaw,SUBSTITUTE(SUBSTITUTE(_xlpm.raw,"_PIN","."),"PIN","."),_xlpm.mainPart,MID(_xlpm.cleanRaw,2,FIND(".",_xlpm.cleanRaw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502063</v>
      </c>
      <c r="H1236" t="str">
        <f>_xlfn.LET(_xlpm.raw,_xlfn.XLOOKUP(A1236,'Pinlist(S5)'!$C$4:$C$1362,'Pinlist(S5)'!$E$4:$E$1362,""),_xlpm.cleanRaw,SUBSTITUTE(SUBSTITUTE(_xlpm.raw,"_PIN","."),"PIN","."),_xlpm.mainPart,MID(_xlpm.cleanRaw,2,FIND(".",_xlpm.cleanRaw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708059</v>
      </c>
      <c r="I1236" t="str">
        <f>""</f>
        <v/>
      </c>
      <c r="J1236" t="str">
        <f t="shared" si="19"/>
        <v>AY68;DDR_VREF_DQ[0];KA121;38.849;21.581;604037;502063;708059;</v>
      </c>
    </row>
    <row r="1237" spans="1:10">
      <c r="A1237" t="s">
        <v>742</v>
      </c>
      <c r="B1237" t="str">
        <f>_xlfn.XLOOKUP(A1237,'Pinlist(S1)'!$Q$4:$Q$1362,'Pinlist(S1)'!$R$4:$R$1362,"")</f>
        <v>EDRAM_EDM</v>
      </c>
      <c r="C1237" t="str" cm="1">
        <f t="array" ref="C1237">_xlfn.TEXTJOIN(",",TRUE,_xlfn.UNIQUE(TRANSPOSE(_xlfn.MAP(_xlfn.XLOOKUP(A1237,'Pinlist(S1)'!$C$4:$C$1362,'Pinlist(S1)'!$F$4:$K$1362,""),_xlfn.LAMBDA(_xlpm.x,IF(_xlpm.x&lt;&gt;"",TRIM(CLEAN(LEFT(_xlpm.x,FIND(".",_xlpm.x &amp; ".")-1))),""))))))</f>
        <v/>
      </c>
      <c r="D1237">
        <v>40.628</v>
      </c>
      <c r="E1237">
        <v>21.515999999999998</v>
      </c>
      <c r="F1237" t="str">
        <f>_xlfn.LET(_xlpm.raw,_xlfn.XLOOKUP(A1237,'Pinlist(S1)'!$C$4:$C$1362,'Pinlist(S1)'!$E$4:$E$1362,""),_xlpm.cleanRaw,SUBSTITUTE(SUBSTITUTE(_xlpm.raw,"_PIN","."),"PIN","."),_xlpm.mainPart,MID(_xlpm.cleanRaw,2,FIND(".",_xlpm.cleanRaw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7" t="str">
        <f>_xlfn.LET(_xlpm.raw,_xlfn.XLOOKUP(A1237,'Pinlist(S3)'!$C$4:$C$1362,'Pinlist(S3)'!$E$4:$E$1362,""),_xlpm.cleanRaw,SUBSTITUTE(SUBSTITUTE(_xlpm.raw,"_PIN","."),"PIN","."),_xlpm.mainPart,MID(_xlpm.cleanRaw,2,FIND(".",_xlpm.cleanRaw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7" t="str">
        <f>_xlfn.LET(_xlpm.raw,_xlfn.XLOOKUP(A1237,'Pinlist(S5)'!$C$4:$C$1362,'Pinlist(S5)'!$E$4:$E$1362,""),_xlpm.cleanRaw,SUBSTITUTE(SUBSTITUTE(_xlpm.raw,"_PIN","."),"PIN","."),_xlpm.mainPart,MID(_xlpm.cleanRaw,2,FIND(".",_xlpm.cleanRaw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7" t="str">
        <f>""</f>
        <v/>
      </c>
      <c r="J1237" t="str">
        <f t="shared" si="19"/>
        <v>AY71;EDRAM_EDM;;40.628;21.516;;;;</v>
      </c>
    </row>
    <row r="1238" spans="1:10">
      <c r="A1238" t="s">
        <v>2082</v>
      </c>
      <c r="B1238" t="str">
        <f>_xlfn.XLOOKUP(A1238,'Pinlist(S1)'!$Q$4:$Q$1362,'Pinlist(S1)'!$R$4:$R$1362,"")</f>
        <v>VSS</v>
      </c>
      <c r="C1238" t="str" cm="1">
        <f t="array" ref="C1238">_xlfn.TEXTJOIN(",",TRUE,_xlfn.UNIQUE(TRANSPOSE(_xlfn.MAP(_xlfn.XLOOKUP(A1238,'Pinlist(S1)'!$C$4:$C$1362,'Pinlist(S1)'!$F$4:$K$1362,""),_xlfn.LAMBDA(_xlpm.x,IF(_xlpm.x&lt;&gt;"",TRIM(CLEAN(LEFT(_xlpm.x,FIND(".",_xlpm.x &amp; ".")-1))),""))))))</f>
        <v/>
      </c>
      <c r="D1238">
        <v>0</v>
      </c>
      <c r="E1238">
        <v>22.166</v>
      </c>
      <c r="F1238" t="str">
        <f>_xlfn.LET(_xlpm.raw,_xlfn.XLOOKUP(A1238,'Pinlist(S1)'!$C$4:$C$1362,'Pinlist(S1)'!$E$4:$E$1362,""),_xlpm.cleanRaw,SUBSTITUTE(SUBSTITUTE(_xlpm.raw,"_PIN","."),"PIN","."),_xlpm.mainPart,MID(_xlpm.cleanRaw,2,FIND(".",_xlpm.cleanRaw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8" t="str">
        <f>_xlfn.LET(_xlpm.raw,_xlfn.XLOOKUP(A1238,'Pinlist(S3)'!$C$4:$C$1362,'Pinlist(S3)'!$E$4:$E$1362,""),_xlpm.cleanRaw,SUBSTITUTE(SUBSTITUTE(_xlpm.raw,"_PIN","."),"PIN","."),_xlpm.mainPart,MID(_xlpm.cleanRaw,2,FIND(".",_xlpm.cleanRaw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8" t="str">
        <f>_xlfn.LET(_xlpm.raw,_xlfn.XLOOKUP(A1238,'Pinlist(S5)'!$C$4:$C$1362,'Pinlist(S5)'!$E$4:$E$1362,""),_xlpm.cleanRaw,SUBSTITUTE(SUBSTITUTE(_xlpm.raw,"_PIN","."),"PIN","."),_xlpm.mainPart,MID(_xlpm.cleanRaw,2,FIND(".",_xlpm.cleanRaw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8" t="str">
        <f>""</f>
        <v/>
      </c>
      <c r="J1238" t="str">
        <f t="shared" si="19"/>
        <v>BA1;VSS;;0;22.166;;;;</v>
      </c>
    </row>
    <row r="1239" spans="1:10">
      <c r="A1239" t="s">
        <v>2086</v>
      </c>
      <c r="B1239" t="str">
        <f>_xlfn.XLOOKUP(A1239,'Pinlist(S1)'!$Q$4:$Q$1362,'Pinlist(S1)'!$R$4:$R$1362,"")</f>
        <v>VSS</v>
      </c>
      <c r="C1239" t="str" cm="1">
        <f t="array" ref="C1239">_xlfn.TEXTJOIN(",",TRUE,_xlfn.UNIQUE(TRANSPOSE(_xlfn.MAP(_xlfn.XLOOKUP(A1239,'Pinlist(S1)'!$C$4:$C$1362,'Pinlist(S1)'!$F$4:$K$1362,""),_xlfn.LAMBDA(_xlpm.x,IF(_xlpm.x&lt;&gt;"",TRIM(CLEAN(LEFT(_xlpm.x,FIND(".",_xlpm.x &amp; ".")-1))),""))))))</f>
        <v/>
      </c>
      <c r="D1239">
        <v>0.629000000000004</v>
      </c>
      <c r="E1239">
        <v>21.998999999999999</v>
      </c>
      <c r="F1239" t="str">
        <f>_xlfn.LET(_xlpm.raw,_xlfn.XLOOKUP(A1239,'Pinlist(S1)'!$C$4:$C$1362,'Pinlist(S1)'!$E$4:$E$1362,""),_xlpm.cleanRaw,SUBSTITUTE(SUBSTITUTE(_xlpm.raw,"_PIN","."),"PIN","."),_xlpm.mainPart,MID(_xlpm.cleanRaw,2,FIND(".",_xlpm.cleanRaw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9" t="str">
        <f>_xlfn.LET(_xlpm.raw,_xlfn.XLOOKUP(A1239,'Pinlist(S3)'!$C$4:$C$1362,'Pinlist(S3)'!$E$4:$E$1362,""),_xlpm.cleanRaw,SUBSTITUTE(SUBSTITUTE(_xlpm.raw,"_PIN","."),"PIN","."),_xlpm.mainPart,MID(_xlpm.cleanRaw,2,FIND(".",_xlpm.cleanRaw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9" t="str">
        <f>_xlfn.LET(_xlpm.raw,_xlfn.XLOOKUP(A1239,'Pinlist(S5)'!$C$4:$C$1362,'Pinlist(S5)'!$E$4:$E$1362,""),_xlpm.cleanRaw,SUBSTITUTE(SUBSTITUTE(_xlpm.raw,"_PIN","."),"PIN","."),_xlpm.mainPart,MID(_xlpm.cleanRaw,2,FIND(".",_xlpm.cleanRaw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9" t="str">
        <f>""</f>
        <v/>
      </c>
      <c r="J1239" t="str">
        <f t="shared" si="19"/>
        <v>BA2;VSS;;0.629000000000004;21.999;;;;</v>
      </c>
    </row>
    <row r="1240" spans="1:10">
      <c r="A1240" t="s">
        <v>84</v>
      </c>
      <c r="B1240" t="str">
        <f>_xlfn.XLOOKUP(A1240,'Pinlist(S1)'!$Q$4:$Q$1362,'Pinlist(S1)'!$R$4:$R$1362,"")</f>
        <v>CPU_POPIO_VIEW[1]</v>
      </c>
      <c r="C1240" t="str" cm="1">
        <f t="array" ref="C1240">_xlfn.TEXTJOIN(",",TRUE,_xlfn.UNIQUE(TRANSPOSE(_xlfn.MAP(_xlfn.XLOOKUP(A1240,'Pinlist(S1)'!$C$4:$C$1362,'Pinlist(S1)'!$F$4:$K$1362,""),_xlfn.LAMBDA(_xlpm.x,IF(_xlpm.x&lt;&gt;"",TRIM(CLEAN(LEFT(_xlpm.x,FIND(".",_xlpm.x &amp; ".")-1))),""))))))</f>
        <v/>
      </c>
      <c r="D1240">
        <v>1.2789999999999899</v>
      </c>
      <c r="E1240">
        <v>21.998999999999999</v>
      </c>
      <c r="F1240" t="str">
        <f>_xlfn.LET(_xlpm.raw,_xlfn.XLOOKUP(A1240,'Pinlist(S1)'!$C$4:$C$1362,'Pinlist(S1)'!$E$4:$E$1362,""),_xlpm.cleanRaw,SUBSTITUTE(SUBSTITUTE(_xlpm.raw,"_PIN","."),"PIN","."),_xlpm.mainPart,MID(_xlpm.cleanRaw,2,FIND(".",_xlpm.cleanRaw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605063</v>
      </c>
      <c r="G1240" t="str">
        <f>_xlfn.LET(_xlpm.raw,_xlfn.XLOOKUP(A1240,'Pinlist(S3)'!$C$4:$C$1362,'Pinlist(S3)'!$E$4:$E$1362,""),_xlpm.cleanRaw,SUBSTITUTE(SUBSTITUTE(_xlpm.raw,"_PIN","."),"PIN","."),_xlpm.mainPart,MID(_xlpm.cleanRaw,2,FIND(".",_xlpm.cleanRaw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502060</v>
      </c>
      <c r="H1240" t="str">
        <f>_xlfn.LET(_xlpm.raw,_xlfn.XLOOKUP(A1240,'Pinlist(S5)'!$C$4:$C$1362,'Pinlist(S5)'!$E$4:$E$1362,""),_xlpm.cleanRaw,SUBSTITUTE(SUBSTITUTE(_xlpm.raw,"_PIN","."),"PIN","."),_xlpm.mainPart,MID(_xlpm.cleanRaw,2,FIND(".",_xlpm.cleanRaw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708042</v>
      </c>
      <c r="I1240" t="str">
        <f>""</f>
        <v/>
      </c>
      <c r="J1240" t="str">
        <f t="shared" si="19"/>
        <v>BA3;CPU_POPIO_VIEW[1];;1.27899999999999;21.999;605063;502060;708042;</v>
      </c>
    </row>
    <row r="1241" spans="1:10">
      <c r="A1241" t="s">
        <v>12</v>
      </c>
      <c r="B1241" t="str">
        <f>_xlfn.XLOOKUP(A1241,'Pinlist(S1)'!$Q$4:$Q$1362,'Pinlist(S1)'!$R$4:$R$1362,"")</f>
        <v>AZA_PLLMON_N</v>
      </c>
      <c r="C1241" t="str" cm="1">
        <f t="array" ref="C1241">_xlfn.TEXTJOIN(",",TRUE,_xlfn.UNIQUE(TRANSPOSE(_xlfn.MAP(_xlfn.XLOOKUP(A1241,'Pinlist(S1)'!$C$4:$C$1362,'Pinlist(S1)'!$F$4:$K$1362,""),_xlfn.LAMBDA(_xlpm.x,IF(_xlpm.x&lt;&gt;"",TRIM(CLEAN(LEFT(_xlpm.x,FIND(".",_xlpm.x &amp; ".")-1))),""))))))</f>
        <v/>
      </c>
      <c r="D1241">
        <v>1.948</v>
      </c>
      <c r="E1241">
        <v>22.003</v>
      </c>
      <c r="F1241" t="str">
        <f>_xlfn.LET(_xlpm.raw,_xlfn.XLOOKUP(A1241,'Pinlist(S1)'!$C$4:$C$1362,'Pinlist(S1)'!$E$4:$E$1362,""),_xlpm.cleanRaw,SUBSTITUTE(SUBSTITUTE(_xlpm.raw,"_PIN","."),"PIN","."),_xlpm.mainPart,MID(_xlpm.cleanRaw,2,FIND(".",_xlpm.cleanRaw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1" t="str">
        <f>_xlfn.LET(_xlpm.raw,_xlfn.XLOOKUP(A1241,'Pinlist(S3)'!$C$4:$C$1362,'Pinlist(S3)'!$E$4:$E$1362,""),_xlpm.cleanRaw,SUBSTITUTE(SUBSTITUTE(_xlpm.raw,"_PIN","."),"PIN","."),_xlpm.mainPart,MID(_xlpm.cleanRaw,2,FIND(".",_xlpm.cleanRaw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1" t="str">
        <f>_xlfn.LET(_xlpm.raw,_xlfn.XLOOKUP(A1241,'Pinlist(S5)'!$C$4:$C$1362,'Pinlist(S5)'!$E$4:$E$1362,""),_xlpm.cleanRaw,SUBSTITUTE(SUBSTITUTE(_xlpm.raw,"_PIN","."),"PIN","."),_xlpm.mainPart,MID(_xlpm.cleanRaw,2,FIND(".",_xlpm.cleanRaw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1" t="str">
        <f>""</f>
        <v/>
      </c>
      <c r="J1241" t="str">
        <f t="shared" si="19"/>
        <v>BA4;AZA_PLLMON_N;;1.948;22.003;;;;</v>
      </c>
    </row>
    <row r="1242" spans="1:10">
      <c r="A1242" t="s">
        <v>877</v>
      </c>
      <c r="B1242" t="str">
        <f>_xlfn.XLOOKUP(A1242,'Pinlist(S1)'!$Q$4:$Q$1362,'Pinlist(S1)'!$R$4:$R$1362,"")</f>
        <v>GPP_B_3_CPU_GP_2</v>
      </c>
      <c r="C1242" t="str" cm="1">
        <f t="array" ref="C1242">_xlfn.TEXTJOIN(",",TRUE,_xlfn.UNIQUE(TRANSPOSE(_xlfn.MAP(_xlfn.XLOOKUP(A1242,'Pinlist(S1)'!$C$4:$C$1362,'Pinlist(S1)'!$F$4:$K$1362,""),_xlfn.LAMBDA(_xlpm.x,IF(_xlpm.x&lt;&gt;"",TRIM(CLEAN(LEFT(_xlpm.x,FIND(".",_xlpm.x &amp; ".")-1))),""))))))</f>
        <v/>
      </c>
      <c r="D1242">
        <v>2.5979999999999901</v>
      </c>
      <c r="E1242">
        <v>21.939999999999898</v>
      </c>
      <c r="F1242" t="str">
        <f>_xlfn.LET(_xlpm.raw,_xlfn.XLOOKUP(A1242,'Pinlist(S1)'!$C$4:$C$1362,'Pinlist(S1)'!$E$4:$E$1362,""),_xlpm.cleanRaw,SUBSTITUTE(SUBSTITUTE(_xlpm.raw,"_PIN","."),"PIN","."),_xlpm.mainPart,MID(_xlpm.cleanRaw,2,FIND(".",_xlpm.cleanRaw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506005</v>
      </c>
      <c r="G1242" t="str">
        <f>_xlfn.LET(_xlpm.raw,_xlfn.XLOOKUP(A1242,'Pinlist(S3)'!$C$4:$C$1362,'Pinlist(S3)'!$E$4:$E$1362,""),_xlpm.cleanRaw,SUBSTITUTE(SUBSTITUTE(_xlpm.raw,"_PIN","."),"PIN","."),_xlpm.mainPart,MID(_xlpm.cleanRaw,2,FIND(".",_xlpm.cleanRaw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808083</v>
      </c>
      <c r="H1242" t="str">
        <f>_xlfn.LET(_xlpm.raw,_xlfn.XLOOKUP(A1242,'Pinlist(S5)'!$C$4:$C$1362,'Pinlist(S5)'!$E$4:$E$1362,""),_xlpm.cleanRaw,SUBSTITUTE(SUBSTITUTE(_xlpm.raw,"_PIN","."),"PIN","."),_xlpm.mainPart,MID(_xlpm.cleanRaw,2,FIND(".",_xlpm.cleanRaw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701091</v>
      </c>
      <c r="I1242" t="str">
        <f>""</f>
        <v/>
      </c>
      <c r="J1242" t="str">
        <f t="shared" si="19"/>
        <v>BA5;GPP_B_3_CPU_GP_2;;2.59799999999999;21.9399999999999;506005;808083;701091;</v>
      </c>
    </row>
    <row r="1243" spans="1:10">
      <c r="A1243" t="s">
        <v>2096</v>
      </c>
      <c r="B1243" t="str">
        <f>_xlfn.XLOOKUP(A1243,'Pinlist(S1)'!$Q$4:$Q$1362,'Pinlist(S1)'!$R$4:$R$1362,"")</f>
        <v>VSS</v>
      </c>
      <c r="C1243" t="str" cm="1">
        <f t="array" ref="C1243">_xlfn.TEXTJOIN(",",TRUE,_xlfn.UNIQUE(TRANSPOSE(_xlfn.MAP(_xlfn.XLOOKUP(A1243,'Pinlist(S1)'!$C$4:$C$1362,'Pinlist(S1)'!$F$4:$K$1362,""),_xlfn.LAMBDA(_xlpm.x,IF(_xlpm.x&lt;&gt;"",TRIM(CLEAN(LEFT(_xlpm.x,FIND(".",_xlpm.x &amp; ".")-1))),""))))))</f>
        <v/>
      </c>
      <c r="D1243">
        <v>3.141</v>
      </c>
      <c r="E1243">
        <v>21.571999999999999</v>
      </c>
      <c r="F1243" t="str">
        <f>_xlfn.LET(_xlpm.raw,_xlfn.XLOOKUP(A1243,'Pinlist(S1)'!$C$4:$C$1362,'Pinlist(S1)'!$E$4:$E$1362,""),_xlpm.cleanRaw,SUBSTITUTE(SUBSTITUTE(_xlpm.raw,"_PIN","."),"PIN","."),_xlpm.mainPart,MID(_xlpm.cleanRaw,2,FIND(".",_xlpm.cleanRaw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3" t="str">
        <f>_xlfn.LET(_xlpm.raw,_xlfn.XLOOKUP(A1243,'Pinlist(S3)'!$C$4:$C$1362,'Pinlist(S3)'!$E$4:$E$1362,""),_xlpm.cleanRaw,SUBSTITUTE(SUBSTITUTE(_xlpm.raw,"_PIN","."),"PIN","."),_xlpm.mainPart,MID(_xlpm.cleanRaw,2,FIND(".",_xlpm.cleanRaw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3" t="str">
        <f>_xlfn.LET(_xlpm.raw,_xlfn.XLOOKUP(A1243,'Pinlist(S5)'!$C$4:$C$1362,'Pinlist(S5)'!$E$4:$E$1362,""),_xlpm.cleanRaw,SUBSTITUTE(SUBSTITUTE(_xlpm.raw,"_PIN","."),"PIN","."),_xlpm.mainPart,MID(_xlpm.cleanRaw,2,FIND(".",_xlpm.cleanRaw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3" t="str">
        <f>""</f>
        <v/>
      </c>
      <c r="J1243" t="str">
        <f t="shared" si="19"/>
        <v>BA6;VSS;;3.141;21.572;;;;</v>
      </c>
    </row>
    <row r="1244" spans="1:10">
      <c r="A1244" t="s">
        <v>823</v>
      </c>
      <c r="B1244" t="str">
        <f>_xlfn.XLOOKUP(A1244,'Pinlist(S1)'!$Q$4:$Q$1362,'Pinlist(S1)'!$R$4:$R$1362,"")</f>
        <v>GPP_A_21_ISH_GP_3</v>
      </c>
      <c r="C1244" t="str" cm="1">
        <f t="array" ref="C1244">_xlfn.TEXTJOIN(",",TRUE,_xlfn.UNIQUE(TRANSPOSE(_xlfn.MAP(_xlfn.XLOOKUP(A1244,'Pinlist(S1)'!$C$4:$C$1362,'Pinlist(S1)'!$F$4:$K$1362,""),_xlfn.LAMBDA(_xlpm.x,IF(_xlpm.x&lt;&gt;"",TRIM(CLEAN(LEFT(_xlpm.x,FIND(".",_xlpm.x &amp; ".")-1))),""))))))</f>
        <v/>
      </c>
      <c r="D1244">
        <v>3.7040000000000002</v>
      </c>
      <c r="E1244">
        <v>21.978000000000002</v>
      </c>
      <c r="F1244" t="str">
        <f>_xlfn.LET(_xlpm.raw,_xlfn.XLOOKUP(A1244,'Pinlist(S1)'!$C$4:$C$1362,'Pinlist(S1)'!$E$4:$E$1362,""),_xlpm.cleanRaw,SUBSTITUTE(SUBSTITUTE(_xlpm.raw,"_PIN","."),"PIN","."),_xlpm.mainPart,MID(_xlpm.cleanRaw,2,FIND(".",_xlpm.cleanRaw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507117</v>
      </c>
      <c r="G1244" t="str">
        <f>_xlfn.LET(_xlpm.raw,_xlfn.XLOOKUP(A1244,'Pinlist(S3)'!$C$4:$C$1362,'Pinlist(S3)'!$E$4:$E$1362,""),_xlpm.cleanRaw,SUBSTITUTE(SUBSTITUTE(_xlpm.raw,"_PIN","."),"PIN","."),_xlpm.mainPart,MID(_xlpm.cleanRaw,2,FIND(".",_xlpm.cleanRaw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806124</v>
      </c>
      <c r="H1244" t="str">
        <f>_xlfn.LET(_xlpm.raw,_xlfn.XLOOKUP(A1244,'Pinlist(S5)'!$C$4:$C$1362,'Pinlist(S5)'!$E$4:$E$1362,""),_xlpm.cleanRaw,SUBSTITUTE(SUBSTITUTE(_xlpm.raw,"_PIN","."),"PIN","."),_xlpm.mainPart,MID(_xlpm.cleanRaw,2,FIND(".",_xlpm.cleanRaw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601004</v>
      </c>
      <c r="I1244" t="str">
        <f>""</f>
        <v/>
      </c>
      <c r="J1244" t="str">
        <f t="shared" si="19"/>
        <v>BA7;GPP_A_21_ISH_GP_3;;3.704;21.978;507117;806124;601004;</v>
      </c>
    </row>
    <row r="1245" spans="1:10">
      <c r="A1245" t="s">
        <v>817</v>
      </c>
      <c r="B1245" t="str">
        <f>_xlfn.XLOOKUP(A1245,'Pinlist(S1)'!$Q$4:$Q$1362,'Pinlist(S1)'!$R$4:$R$1362,"")</f>
        <v>GPP_A_19_ISH_GP_1</v>
      </c>
      <c r="C1245" t="str" cm="1">
        <f t="array" ref="C1245">_xlfn.TEXTJOIN(",",TRUE,_xlfn.UNIQUE(TRANSPOSE(_xlfn.MAP(_xlfn.XLOOKUP(A1245,'Pinlist(S1)'!$C$4:$C$1362,'Pinlist(S1)'!$F$4:$K$1362,""),_xlfn.LAMBDA(_xlpm.x,IF(_xlpm.x&lt;&gt;"",TRIM(CLEAN(LEFT(_xlpm.x,FIND(".",_xlpm.x &amp; ".")-1))),""))))))</f>
        <v/>
      </c>
      <c r="D1245">
        <v>4.3280000000000003</v>
      </c>
      <c r="E1245">
        <v>21.652999999999999</v>
      </c>
      <c r="F1245" t="str">
        <f>_xlfn.LET(_xlpm.raw,_xlfn.XLOOKUP(A1245,'Pinlist(S1)'!$C$4:$C$1362,'Pinlist(S1)'!$E$4:$E$1362,""),_xlpm.cleanRaw,SUBSTITUTE(SUBSTITUTE(_xlpm.raw,"_PIN","."),"PIN","."),_xlpm.mainPart,MID(_xlpm.cleanRaw,2,FIND(".",_xlpm.cleanRaw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508081</v>
      </c>
      <c r="G1245" t="str">
        <f>_xlfn.LET(_xlpm.raw,_xlfn.XLOOKUP(A1245,'Pinlist(S3)'!$C$4:$C$1362,'Pinlist(S3)'!$E$4:$E$1362,""),_xlpm.cleanRaw,SUBSTITUTE(SUBSTITUTE(_xlpm.raw,"_PIN","."),"PIN","."),_xlpm.mainPart,MID(_xlpm.cleanRaw,2,FIND(".",_xlpm.cleanRaw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805066</v>
      </c>
      <c r="H1245" t="str">
        <f>_xlfn.LET(_xlpm.raw,_xlfn.XLOOKUP(A1245,'Pinlist(S5)'!$C$4:$C$1362,'Pinlist(S5)'!$E$4:$E$1362,""),_xlpm.cleanRaw,SUBSTITUTE(SUBSTITUTE(_xlpm.raw,"_PIN","."),"PIN","."),_xlpm.mainPart,MID(_xlpm.cleanRaw,2,FIND(".",_xlpm.cleanRaw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702080</v>
      </c>
      <c r="I1245" t="str">
        <f>""</f>
        <v/>
      </c>
      <c r="J1245" t="str">
        <f t="shared" si="19"/>
        <v>BA8;GPP_A_19_ISH_GP_1;;4.328;21.653;508081;805066;702080;</v>
      </c>
    </row>
    <row r="1246" spans="1:10">
      <c r="A1246" t="s">
        <v>813</v>
      </c>
      <c r="B1246" t="str">
        <f>_xlfn.XLOOKUP(A1246,'Pinlist(S1)'!$Q$4:$Q$1362,'Pinlist(S1)'!$R$4:$R$1362,"")</f>
        <v>GPP_A_17_SD_PWR_EN_B_ISH_GP_7</v>
      </c>
      <c r="C1246" t="str" cm="1">
        <f t="array" ref="C1246">_xlfn.TEXTJOIN(",",TRUE,_xlfn.UNIQUE(TRANSPOSE(_xlfn.MAP(_xlfn.XLOOKUP(A1246,'Pinlist(S1)'!$C$4:$C$1362,'Pinlist(S1)'!$F$4:$K$1362,""),_xlfn.LAMBDA(_xlpm.x,IF(_xlpm.x&lt;&gt;"",TRIM(CLEAN(LEFT(_xlpm.x,FIND(".",_xlpm.x &amp; ".")-1))),""))))))</f>
        <v/>
      </c>
      <c r="D1246">
        <v>4.8979999999999899</v>
      </c>
      <c r="E1246">
        <v>21.978000000000002</v>
      </c>
      <c r="F1246" t="str">
        <f>_xlfn.LET(_xlpm.raw,_xlfn.XLOOKUP(A1246,'Pinlist(S1)'!$C$4:$C$1362,'Pinlist(S1)'!$E$4:$E$1362,""),_xlpm.cleanRaw,SUBSTITUTE(SUBSTITUTE(_xlpm.raw,"_PIN","."),"PIN","."),_xlpm.mainPart,MID(_xlpm.cleanRaw,2,FIND(".",_xlpm.cleanRaw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507118</v>
      </c>
      <c r="G1246" t="str">
        <f>_xlfn.LET(_xlpm.raw,_xlfn.XLOOKUP(A1246,'Pinlist(S3)'!$C$4:$C$1362,'Pinlist(S3)'!$E$4:$E$1362,""),_xlpm.cleanRaw,SUBSTITUTE(SUBSTITUTE(_xlpm.raw,"_PIN","."),"PIN","."),_xlpm.mainPart,MID(_xlpm.cleanRaw,2,FIND(".",_xlpm.cleanRaw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806126</v>
      </c>
      <c r="H1246" t="str">
        <f>_xlfn.LET(_xlpm.raw,_xlfn.XLOOKUP(A1246,'Pinlist(S5)'!$C$4:$C$1362,'Pinlist(S5)'!$E$4:$E$1362,""),_xlpm.cleanRaw,SUBSTITUTE(SUBSTITUTE(_xlpm.raw,"_PIN","."),"PIN","."),_xlpm.mainPart,MID(_xlpm.cleanRaw,2,FIND(".",_xlpm.cleanRaw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601003</v>
      </c>
      <c r="I1246" t="str">
        <f>""</f>
        <v/>
      </c>
      <c r="J1246" t="str">
        <f t="shared" si="19"/>
        <v>BA9;GPP_A_17_SD_PWR_EN_B_ISH_GP_7;;4.89799999999999;21.978;507118;806126;601003;</v>
      </c>
    </row>
    <row r="1247" spans="1:10">
      <c r="A1247" t="s">
        <v>2083</v>
      </c>
      <c r="B1247" t="str">
        <f>_xlfn.XLOOKUP(A1247,'Pinlist(S1)'!$Q$4:$Q$1362,'Pinlist(S1)'!$R$4:$R$1362,"")</f>
        <v>VSS</v>
      </c>
      <c r="C1247" t="str" cm="1">
        <f t="array" ref="C1247">_xlfn.TEXTJOIN(",",TRUE,_xlfn.UNIQUE(TRANSPOSE(_xlfn.MAP(_xlfn.XLOOKUP(A1247,'Pinlist(S1)'!$C$4:$C$1362,'Pinlist(S1)'!$F$4:$K$1362,""),_xlfn.LAMBDA(_xlpm.x,IF(_xlpm.x&lt;&gt;"",TRIM(CLEAN(LEFT(_xlpm.x,FIND(".",_xlpm.x &amp; ".")-1))),""))))))</f>
        <v/>
      </c>
      <c r="D1247">
        <v>5.5609999999999999</v>
      </c>
      <c r="E1247">
        <v>21.571999999999999</v>
      </c>
      <c r="F1247" t="str">
        <f>_xlfn.LET(_xlpm.raw,_xlfn.XLOOKUP(A1247,'Pinlist(S1)'!$C$4:$C$1362,'Pinlist(S1)'!$E$4:$E$1362,""),_xlpm.cleanRaw,SUBSTITUTE(SUBSTITUTE(_xlpm.raw,"_PIN","."),"PIN","."),_xlpm.mainPart,MID(_xlpm.cleanRaw,2,FIND(".",_xlpm.cleanRaw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7" t="str">
        <f>_xlfn.LET(_xlpm.raw,_xlfn.XLOOKUP(A1247,'Pinlist(S3)'!$C$4:$C$1362,'Pinlist(S3)'!$E$4:$E$1362,""),_xlpm.cleanRaw,SUBSTITUTE(SUBSTITUTE(_xlpm.raw,"_PIN","."),"PIN","."),_xlpm.mainPart,MID(_xlpm.cleanRaw,2,FIND(".",_xlpm.cleanRaw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7" t="str">
        <f>_xlfn.LET(_xlpm.raw,_xlfn.XLOOKUP(A1247,'Pinlist(S5)'!$C$4:$C$1362,'Pinlist(S5)'!$E$4:$E$1362,""),_xlpm.cleanRaw,SUBSTITUTE(SUBSTITUTE(_xlpm.raw,"_PIN","."),"PIN","."),_xlpm.mainPart,MID(_xlpm.cleanRaw,2,FIND(".",_xlpm.cleanRaw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7" t="str">
        <f>""</f>
        <v/>
      </c>
      <c r="J1247" t="str">
        <f t="shared" si="19"/>
        <v>BA10;VSS;;5.561;21.572;;;;</v>
      </c>
    </row>
    <row r="1248" spans="1:10">
      <c r="A1248" t="s">
        <v>807</v>
      </c>
      <c r="B1248" t="str">
        <f>_xlfn.XLOOKUP(A1248,'Pinlist(S1)'!$Q$4:$Q$1362,'Pinlist(S1)'!$R$4:$R$1362,"")</f>
        <v>GPP_A_14_SUS_STATB_ESPI_RESETB</v>
      </c>
      <c r="C1248" t="str" cm="1">
        <f t="array" ref="C1248">_xlfn.TEXTJOIN(",",TRUE,_xlfn.UNIQUE(TRANSPOSE(_xlfn.MAP(_xlfn.XLOOKUP(A1248,'Pinlist(S1)'!$C$4:$C$1362,'Pinlist(S1)'!$F$4:$K$1362,""),_xlfn.LAMBDA(_xlpm.x,IF(_xlpm.x&lt;&gt;"",TRIM(CLEAN(LEFT(_xlpm.x,FIND(".",_xlpm.x &amp; ".")-1))),""))))))</f>
        <v/>
      </c>
      <c r="D1248">
        <v>6.125</v>
      </c>
      <c r="E1248">
        <v>21.978000000000002</v>
      </c>
      <c r="F1248" t="str">
        <f>_xlfn.LET(_xlpm.raw,_xlfn.XLOOKUP(A1248,'Pinlist(S1)'!$C$4:$C$1362,'Pinlist(S1)'!$E$4:$E$1362,""),_xlpm.cleanRaw,SUBSTITUTE(SUBSTITUTE(_xlpm.raw,"_PIN","."),"PIN","."),_xlpm.mainPart,MID(_xlpm.cleanRaw,2,FIND(".",_xlpm.cleanRaw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507085</v>
      </c>
      <c r="G1248" t="str">
        <f>_xlfn.LET(_xlpm.raw,_xlfn.XLOOKUP(A1248,'Pinlist(S3)'!$C$4:$C$1362,'Pinlist(S3)'!$E$4:$E$1362,""),_xlpm.cleanRaw,SUBSTITUTE(SUBSTITUTE(_xlpm.raw,"_PIN","."),"PIN","."),_xlpm.mainPart,MID(_xlpm.cleanRaw,2,FIND(".",_xlpm.cleanRaw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805074</v>
      </c>
      <c r="H1248" t="str">
        <f>_xlfn.LET(_xlpm.raw,_xlfn.XLOOKUP(A1248,'Pinlist(S5)'!$C$4:$C$1362,'Pinlist(S5)'!$E$4:$E$1362,""),_xlpm.cleanRaw,SUBSTITUTE(SUBSTITUTE(_xlpm.raw,"_PIN","."),"PIN","."),_xlpm.mainPart,MID(_xlpm.cleanRaw,2,FIND(".",_xlpm.cleanRaw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702079</v>
      </c>
      <c r="I1248" t="str">
        <f>""</f>
        <v/>
      </c>
      <c r="J1248" t="str">
        <f t="shared" si="19"/>
        <v>BA11;GPP_A_14_SUS_STATB_ESPI_RESETB;;6.125;21.978;507085;805074;702079;</v>
      </c>
    </row>
    <row r="1249" spans="1:10">
      <c r="A1249" t="s">
        <v>833</v>
      </c>
      <c r="B1249" t="str">
        <f>_xlfn.XLOOKUP(A1249,'Pinlist(S1)'!$Q$4:$Q$1362,'Pinlist(S1)'!$R$4:$R$1362,"")</f>
        <v>GPP_A_5_LFRAMEB_ESPI_CSB</v>
      </c>
      <c r="C1249" t="str" cm="1">
        <f t="array" ref="C1249">_xlfn.TEXTJOIN(",",TRUE,_xlfn.UNIQUE(TRANSPOSE(_xlfn.MAP(_xlfn.XLOOKUP(A1249,'Pinlist(S1)'!$C$4:$C$1362,'Pinlist(S1)'!$F$4:$K$1362,""),_xlfn.LAMBDA(_xlpm.x,IF(_xlpm.x&lt;&gt;"",TRIM(CLEAN(LEFT(_xlpm.x,FIND(".",_xlpm.x &amp; ".")-1))),""))))))</f>
        <v/>
      </c>
      <c r="D1249">
        <v>6.7489999999999997</v>
      </c>
      <c r="E1249">
        <v>21.652999999999999</v>
      </c>
      <c r="F1249" t="str">
        <f>_xlfn.LET(_xlpm.raw,_xlfn.XLOOKUP(A1249,'Pinlist(S1)'!$C$4:$C$1362,'Pinlist(S1)'!$E$4:$E$1362,""),_xlpm.cleanRaw,SUBSTITUTE(SUBSTITUTE(_xlpm.raw,"_PIN","."),"PIN","."),_xlpm.mainPart,MID(_xlpm.cleanRaw,2,FIND(".",_xlpm.cleanRaw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507087</v>
      </c>
      <c r="G1249" t="str">
        <f>_xlfn.LET(_xlpm.raw,_xlfn.XLOOKUP(A1249,'Pinlist(S3)'!$C$4:$C$1362,'Pinlist(S3)'!$E$4:$E$1362,""),_xlpm.cleanRaw,SUBSTITUTE(SUBSTITUTE(_xlpm.raw,"_PIN","."),"PIN","."),_xlpm.mainPart,MID(_xlpm.cleanRaw,2,FIND(".",_xlpm.cleanRaw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805069</v>
      </c>
      <c r="H1249" t="str">
        <f>_xlfn.LET(_xlpm.raw,_xlfn.XLOOKUP(A1249,'Pinlist(S5)'!$C$4:$C$1362,'Pinlist(S5)'!$E$4:$E$1362,""),_xlpm.cleanRaw,SUBSTITUTE(SUBSTITUTE(_xlpm.raw,"_PIN","."),"PIN","."),_xlpm.mainPart,MID(_xlpm.cleanRaw,2,FIND(".",_xlpm.cleanRaw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702084</v>
      </c>
      <c r="I1249" t="str">
        <f>""</f>
        <v/>
      </c>
      <c r="J1249" t="str">
        <f t="shared" si="19"/>
        <v>BA12;GPP_A_5_LFRAMEB_ESPI_CSB;;6.749;21.653;507087;805069;702084;</v>
      </c>
    </row>
    <row r="1250" spans="1:10">
      <c r="A1250" t="s">
        <v>819</v>
      </c>
      <c r="B1250" t="str">
        <f>_xlfn.XLOOKUP(A1250,'Pinlist(S1)'!$Q$4:$Q$1362,'Pinlist(S1)'!$R$4:$R$1362,"")</f>
        <v>GPP_A_2_LAD_1_ESPI_IO_1</v>
      </c>
      <c r="C1250" t="str" cm="1">
        <f t="array" ref="C1250">_xlfn.TEXTJOIN(",",TRUE,_xlfn.UNIQUE(TRANSPOSE(_xlfn.MAP(_xlfn.XLOOKUP(A1250,'Pinlist(S1)'!$C$4:$C$1362,'Pinlist(S1)'!$F$4:$K$1362,""),_xlfn.LAMBDA(_xlpm.x,IF(_xlpm.x&lt;&gt;"",TRIM(CLEAN(LEFT(_xlpm.x,FIND(".",_xlpm.x &amp; ".")-1))),""))))))</f>
        <v/>
      </c>
      <c r="D1250">
        <v>7.319</v>
      </c>
      <c r="E1250">
        <v>21.978000000000002</v>
      </c>
      <c r="F1250" t="str">
        <f>_xlfn.LET(_xlpm.raw,_xlfn.XLOOKUP(A1250,'Pinlist(S1)'!$C$4:$C$1362,'Pinlist(S1)'!$E$4:$E$1362,""),_xlpm.cleanRaw,SUBSTITUTE(SUBSTITUTE(_xlpm.raw,"_PIN","."),"PIN","."),_xlpm.mainPart,MID(_xlpm.cleanRaw,2,FIND(".",_xlpm.cleanRaw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508083</v>
      </c>
      <c r="G1250" t="str">
        <f>_xlfn.LET(_xlpm.raw,_xlfn.XLOOKUP(A1250,'Pinlist(S3)'!$C$4:$C$1362,'Pinlist(S3)'!$E$4:$E$1362,""),_xlpm.cleanRaw,SUBSTITUTE(SUBSTITUTE(_xlpm.raw,"_PIN","."),"PIN","."),_xlpm.mainPart,MID(_xlpm.cleanRaw,2,FIND(".",_xlpm.cleanRaw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805078</v>
      </c>
      <c r="H1250" t="str">
        <f>_xlfn.LET(_xlpm.raw,_xlfn.XLOOKUP(A1250,'Pinlist(S5)'!$C$4:$C$1362,'Pinlist(S5)'!$E$4:$E$1362,""),_xlpm.cleanRaw,SUBSTITUTE(SUBSTITUTE(_xlpm.raw,"_PIN","."),"PIN","."),_xlpm.mainPart,MID(_xlpm.cleanRaw,2,FIND(".",_xlpm.cleanRaw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702074</v>
      </c>
      <c r="I1250" t="str">
        <f>""</f>
        <v/>
      </c>
      <c r="J1250" t="str">
        <f t="shared" si="19"/>
        <v>BA13;GPP_A_2_LAD_1_ESPI_IO_1;;7.319;21.978;508083;805078;702074;</v>
      </c>
    </row>
    <row r="1251" spans="1:10">
      <c r="A1251" t="s">
        <v>2084</v>
      </c>
      <c r="B1251" t="str">
        <f>_xlfn.XLOOKUP(A1251,'Pinlist(S1)'!$Q$4:$Q$1362,'Pinlist(S1)'!$R$4:$R$1362,"")</f>
        <v>VSS</v>
      </c>
      <c r="C1251" t="str" cm="1">
        <f t="array" ref="C1251">_xlfn.TEXTJOIN(",",TRUE,_xlfn.UNIQUE(TRANSPOSE(_xlfn.MAP(_xlfn.XLOOKUP(A1251,'Pinlist(S1)'!$C$4:$C$1362,'Pinlist(S1)'!$F$4:$K$1362,""),_xlfn.LAMBDA(_xlpm.x,IF(_xlpm.x&lt;&gt;"",TRIM(CLEAN(LEFT(_xlpm.x,FIND(".",_xlpm.x &amp; ".")-1))),""))))))</f>
        <v/>
      </c>
      <c r="D1251">
        <v>7.9819999999999904</v>
      </c>
      <c r="E1251">
        <v>21.571999999999999</v>
      </c>
      <c r="F1251" t="str">
        <f>_xlfn.LET(_xlpm.raw,_xlfn.XLOOKUP(A1251,'Pinlist(S1)'!$C$4:$C$1362,'Pinlist(S1)'!$E$4:$E$1362,""),_xlpm.cleanRaw,SUBSTITUTE(SUBSTITUTE(_xlpm.raw,"_PIN","."),"PIN","."),_xlpm.mainPart,MID(_xlpm.cleanRaw,2,FIND(".",_xlpm.cleanRaw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1" t="str">
        <f>_xlfn.LET(_xlpm.raw,_xlfn.XLOOKUP(A1251,'Pinlist(S3)'!$C$4:$C$1362,'Pinlist(S3)'!$E$4:$E$1362,""),_xlpm.cleanRaw,SUBSTITUTE(SUBSTITUTE(_xlpm.raw,"_PIN","."),"PIN","."),_xlpm.mainPart,MID(_xlpm.cleanRaw,2,FIND(".",_xlpm.cleanRaw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1" t="str">
        <f>_xlfn.LET(_xlpm.raw,_xlfn.XLOOKUP(A1251,'Pinlist(S5)'!$C$4:$C$1362,'Pinlist(S5)'!$E$4:$E$1362,""),_xlpm.cleanRaw,SUBSTITUTE(SUBSTITUTE(_xlpm.raw,"_PIN","."),"PIN","."),_xlpm.mainPart,MID(_xlpm.cleanRaw,2,FIND(".",_xlpm.cleanRaw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1" t="str">
        <f>""</f>
        <v/>
      </c>
      <c r="J1251" t="str">
        <f t="shared" si="19"/>
        <v>BA14;VSS;;7.98199999999999;21.572;;;;</v>
      </c>
    </row>
    <row r="1252" spans="1:10">
      <c r="A1252" t="s">
        <v>781</v>
      </c>
      <c r="B1252" t="str">
        <f>_xlfn.XLOOKUP(A1252,'Pinlist(S1)'!$Q$4:$Q$1362,'Pinlist(S1)'!$R$4:$R$1362,"")</f>
        <v>GPD_3_PWRBTNB</v>
      </c>
      <c r="C1252" t="str" cm="1">
        <f t="array" ref="C1252">_xlfn.TEXTJOIN(",",TRUE,_xlfn.UNIQUE(TRANSPOSE(_xlfn.MAP(_xlfn.XLOOKUP(A1252,'Pinlist(S1)'!$C$4:$C$1362,'Pinlist(S1)'!$F$4:$K$1362,""),_xlfn.LAMBDA(_xlpm.x,IF(_xlpm.x&lt;&gt;"",TRIM(CLEAN(LEFT(_xlpm.x,FIND(".",_xlpm.x &amp; ".")-1))),""))))))</f>
        <v>RA317,RA316</v>
      </c>
      <c r="D1252">
        <v>8.5459999999999994</v>
      </c>
      <c r="E1252">
        <v>21.978000000000002</v>
      </c>
      <c r="F1252" t="str">
        <f>_xlfn.LET(_xlpm.raw,_xlfn.XLOOKUP(A1252,'Pinlist(S1)'!$C$4:$C$1362,'Pinlist(S1)'!$E$4:$E$1362,""),_xlpm.cleanRaw,SUBSTITUTE(SUBSTITUTE(_xlpm.raw,"_PIN","."),"PIN","."),_xlpm.mainPart,MID(_xlpm.cleanRaw,2,FIND(".",_xlpm.cleanRaw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506006</v>
      </c>
      <c r="G1252" t="str">
        <f>_xlfn.LET(_xlpm.raw,_xlfn.XLOOKUP(A1252,'Pinlist(S3)'!$C$4:$C$1362,'Pinlist(S3)'!$E$4:$E$1362,""),_xlpm.cleanRaw,SUBSTITUTE(SUBSTITUTE(_xlpm.raw,"_PIN","."),"PIN","."),_xlpm.mainPart,MID(_xlpm.cleanRaw,2,FIND(".",_xlpm.cleanRaw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806101</v>
      </c>
      <c r="H1252" t="str">
        <f>_xlfn.LET(_xlpm.raw,_xlfn.XLOOKUP(A1252,'Pinlist(S5)'!$C$4:$C$1362,'Pinlist(S5)'!$E$4:$E$1362,""),_xlpm.cleanRaw,SUBSTITUTE(SUBSTITUTE(_xlpm.raw,"_PIN","."),"PIN","."),_xlpm.mainPart,MID(_xlpm.cleanRaw,2,FIND(".",_xlpm.cleanRaw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701107</v>
      </c>
      <c r="I1252" t="str">
        <f>""</f>
        <v/>
      </c>
      <c r="J1252" t="str">
        <f t="shared" si="19"/>
        <v>BA15;GPD_3_PWRBTNB;RA317,RA316;8.546;21.978;506006;806101;701107;</v>
      </c>
    </row>
    <row r="1253" spans="1:10">
      <c r="A1253" t="s">
        <v>785</v>
      </c>
      <c r="B1253" t="str">
        <f>_xlfn.XLOOKUP(A1253,'Pinlist(S1)'!$Q$4:$Q$1362,'Pinlist(S1)'!$R$4:$R$1362,"")</f>
        <v>GPD_5_SLP_S4B</v>
      </c>
      <c r="C1253" t="str" cm="1">
        <f t="array" ref="C1253">_xlfn.TEXTJOIN(",",TRUE,_xlfn.UNIQUE(TRANSPOSE(_xlfn.MAP(_xlfn.XLOOKUP(A1253,'Pinlist(S1)'!$C$4:$C$1362,'Pinlist(S1)'!$F$4:$K$1362,""),_xlfn.LAMBDA(_xlpm.x,IF(_xlpm.x&lt;&gt;"",TRIM(CLEAN(LEFT(_xlpm.x,FIND(".",_xlpm.x &amp; ".")-1))),""))))))</f>
        <v/>
      </c>
      <c r="D1253">
        <v>9.1690000000000005</v>
      </c>
      <c r="E1253">
        <v>21.652999999999999</v>
      </c>
      <c r="F1253" t="str">
        <f>_xlfn.LET(_xlpm.raw,_xlfn.XLOOKUP(A1253,'Pinlist(S1)'!$C$4:$C$1362,'Pinlist(S1)'!$E$4:$E$1362,""),_xlpm.cleanRaw,SUBSTITUTE(SUBSTITUTE(_xlpm.raw,"_PIN","."),"PIN","."),_xlpm.mainPart,MID(_xlpm.cleanRaw,2,FIND(".",_xlpm.cleanRaw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509036</v>
      </c>
      <c r="G1253" t="str">
        <f>_xlfn.LET(_xlpm.raw,_xlfn.XLOOKUP(A1253,'Pinlist(S3)'!$C$4:$C$1362,'Pinlist(S3)'!$E$4:$E$1362,""),_xlpm.cleanRaw,SUBSTITUTE(SUBSTITUTE(_xlpm.raw,"_PIN","."),"PIN","."),_xlpm.mainPart,MID(_xlpm.cleanRaw,2,FIND(".",_xlpm.cleanRaw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804032</v>
      </c>
      <c r="H1253" t="str">
        <f>_xlfn.LET(_xlpm.raw,_xlfn.XLOOKUP(A1253,'Pinlist(S5)'!$C$4:$C$1362,'Pinlist(S5)'!$E$4:$E$1362,""),_xlpm.cleanRaw,SUBSTITUTE(SUBSTITUTE(_xlpm.raw,"_PIN","."),"PIN","."),_xlpm.mainPart,MID(_xlpm.cleanRaw,2,FIND(".",_xlpm.cleanRaw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703027</v>
      </c>
      <c r="I1253" t="str">
        <f>""</f>
        <v/>
      </c>
      <c r="J1253" t="str">
        <f t="shared" si="19"/>
        <v>BA16;GPD_5_SLP_S4B;;9.169;21.653;509036;804032;703027;</v>
      </c>
    </row>
    <row r="1254" spans="1:10">
      <c r="A1254" t="s">
        <v>791</v>
      </c>
      <c r="B1254" t="str">
        <f>_xlfn.XLOOKUP(A1254,'Pinlist(S1)'!$Q$4:$Q$1362,'Pinlist(S1)'!$R$4:$R$1362,"")</f>
        <v>GPD_8_SUSCLK</v>
      </c>
      <c r="C1254" t="str" cm="1">
        <f t="array" ref="C1254">_xlfn.TEXTJOIN(",",TRUE,_xlfn.UNIQUE(TRANSPOSE(_xlfn.MAP(_xlfn.XLOOKUP(A1254,'Pinlist(S1)'!$C$4:$C$1362,'Pinlist(S1)'!$F$4:$K$1362,""),_xlfn.LAMBDA(_xlpm.x,IF(_xlpm.x&lt;&gt;"",TRIM(CLEAN(LEFT(_xlpm.x,FIND(".",_xlpm.x &amp; ".")-1))),""))))))</f>
        <v/>
      </c>
      <c r="D1254">
        <v>9.7390000000000008</v>
      </c>
      <c r="E1254">
        <v>21.978000000000002</v>
      </c>
      <c r="F1254" t="str">
        <f>_xlfn.LET(_xlpm.raw,_xlfn.XLOOKUP(A1254,'Pinlist(S1)'!$C$4:$C$1362,'Pinlist(S1)'!$E$4:$E$1362,""),_xlpm.cleanRaw,SUBSTITUTE(SUBSTITUTE(_xlpm.raw,"_PIN","."),"PIN","."),_xlpm.mainPart,MID(_xlpm.cleanRaw,2,FIND(".",_xlpm.cleanRaw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509004</v>
      </c>
      <c r="G1254" t="str">
        <f>_xlfn.LET(_xlpm.raw,_xlfn.XLOOKUP(A1254,'Pinlist(S3)'!$C$4:$C$1362,'Pinlist(S3)'!$E$4:$E$1362,""),_xlpm.cleanRaw,SUBSTITUTE(SUBSTITUTE(_xlpm.raw,"_PIN","."),"PIN","."),_xlpm.mainPart,MID(_xlpm.cleanRaw,2,FIND(".",_xlpm.cleanRaw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804026</v>
      </c>
      <c r="H1254" t="str">
        <f>_xlfn.LET(_xlpm.raw,_xlfn.XLOOKUP(A1254,'Pinlist(S5)'!$C$4:$C$1362,'Pinlist(S5)'!$E$4:$E$1362,""),_xlpm.cleanRaw,SUBSTITUTE(SUBSTITUTE(_xlpm.raw,"_PIN","."),"PIN","."),_xlpm.mainPart,MID(_xlpm.cleanRaw,2,FIND(".",_xlpm.cleanRaw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703015</v>
      </c>
      <c r="I1254" t="str">
        <f>""</f>
        <v/>
      </c>
      <c r="J1254" t="str">
        <f t="shared" si="19"/>
        <v>BA17;GPD_8_SUSCLK;;9.739;21.978;509004;804026;703015;</v>
      </c>
    </row>
    <row r="1255" spans="1:10">
      <c r="A1255" t="s">
        <v>2085</v>
      </c>
      <c r="B1255" t="str">
        <f>_xlfn.XLOOKUP(A1255,'Pinlist(S1)'!$Q$4:$Q$1362,'Pinlist(S1)'!$R$4:$R$1362,"")</f>
        <v>VSS</v>
      </c>
      <c r="C1255" t="str" cm="1">
        <f t="array" ref="C1255">_xlfn.TEXTJOIN(",",TRUE,_xlfn.UNIQUE(TRANSPOSE(_xlfn.MAP(_xlfn.XLOOKUP(A1255,'Pinlist(S1)'!$C$4:$C$1362,'Pinlist(S1)'!$F$4:$K$1362,""),_xlfn.LAMBDA(_xlpm.x,IF(_xlpm.x&lt;&gt;"",TRIM(CLEAN(LEFT(_xlpm.x,FIND(".",_xlpm.x &amp; ".")-1))),""))))))</f>
        <v/>
      </c>
      <c r="D1255">
        <v>10.401999999999999</v>
      </c>
      <c r="E1255">
        <v>21.571999999999999</v>
      </c>
      <c r="F1255" t="str">
        <f>_xlfn.LET(_xlpm.raw,_xlfn.XLOOKUP(A1255,'Pinlist(S1)'!$C$4:$C$1362,'Pinlist(S1)'!$E$4:$E$1362,""),_xlpm.cleanRaw,SUBSTITUTE(SUBSTITUTE(_xlpm.raw,"_PIN","."),"PIN","."),_xlpm.mainPart,MID(_xlpm.cleanRaw,2,FIND(".",_xlpm.cleanRaw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5" t="str">
        <f>_xlfn.LET(_xlpm.raw,_xlfn.XLOOKUP(A1255,'Pinlist(S3)'!$C$4:$C$1362,'Pinlist(S3)'!$E$4:$E$1362,""),_xlpm.cleanRaw,SUBSTITUTE(SUBSTITUTE(_xlpm.raw,"_PIN","."),"PIN","."),_xlpm.mainPart,MID(_xlpm.cleanRaw,2,FIND(".",_xlpm.cleanRaw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5" t="str">
        <f>_xlfn.LET(_xlpm.raw,_xlfn.XLOOKUP(A1255,'Pinlist(S5)'!$C$4:$C$1362,'Pinlist(S5)'!$E$4:$E$1362,""),_xlpm.cleanRaw,SUBSTITUTE(SUBSTITUTE(_xlpm.raw,"_PIN","."),"PIN","."),_xlpm.mainPart,MID(_xlpm.cleanRaw,2,FIND(".",_xlpm.cleanRaw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5" t="str">
        <f>""</f>
        <v/>
      </c>
      <c r="J1255" t="str">
        <f t="shared" si="19"/>
        <v>BA18;VSS;;10.402;21.572;;;;</v>
      </c>
    </row>
    <row r="1256" spans="1:10">
      <c r="A1256" t="s">
        <v>1218</v>
      </c>
      <c r="B1256" t="str">
        <f>_xlfn.XLOOKUP(A1256,'Pinlist(S1)'!$Q$4:$Q$1362,'Pinlist(S1)'!$R$4:$R$1362,"")</f>
        <v>PCH_PWROK</v>
      </c>
      <c r="C1256" t="str" cm="1">
        <f t="array" ref="C1256">_xlfn.TEXTJOIN(",",TRUE,_xlfn.UNIQUE(TRANSPOSE(_xlfn.MAP(_xlfn.XLOOKUP(A1256,'Pinlist(S1)'!$C$4:$C$1362,'Pinlist(S1)'!$F$4:$K$1362,""),_xlfn.LAMBDA(_xlpm.x,IF(_xlpm.x&lt;&gt;"",TRIM(CLEAN(LEFT(_xlpm.x,FIND(".",_xlpm.x &amp; ".")-1))),""))))))</f>
        <v/>
      </c>
      <c r="D1256">
        <v>10.965999999999999</v>
      </c>
      <c r="E1256">
        <v>21.978000000000002</v>
      </c>
      <c r="F1256" t="str">
        <f>_xlfn.LET(_xlpm.raw,_xlfn.XLOOKUP(A1256,'Pinlist(S1)'!$C$4:$C$1362,'Pinlist(S1)'!$E$4:$E$1362,""),_xlpm.cleanRaw,SUBSTITUTE(SUBSTITUTE(_xlpm.raw,"_PIN","."),"PIN","."),_xlpm.mainPart,MID(_xlpm.cleanRaw,2,FIND(".",_xlpm.cleanRaw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504105</v>
      </c>
      <c r="G1256" t="str">
        <f>_xlfn.LET(_xlpm.raw,_xlfn.XLOOKUP(A1256,'Pinlist(S3)'!$C$4:$C$1362,'Pinlist(S3)'!$E$4:$E$1362,""),_xlpm.cleanRaw,SUBSTITUTE(SUBSTITUTE(_xlpm.raw,"_PIN","."),"PIN","."),_xlpm.mainPart,MID(_xlpm.cleanRaw,2,FIND(".",_xlpm.cleanRaw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808044</v>
      </c>
      <c r="H1256" t="str">
        <f>_xlfn.LET(_xlpm.raw,_xlfn.XLOOKUP(A1256,'Pinlist(S5)'!$C$4:$C$1362,'Pinlist(S5)'!$E$4:$E$1362,""),_xlpm.cleanRaw,SUBSTITUTE(SUBSTITUTE(_xlpm.raw,"_PIN","."),"PIN","."),_xlpm.mainPart,MID(_xlpm.cleanRaw,2,FIND(".",_xlpm.cleanRaw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602041</v>
      </c>
      <c r="I1256" t="str">
        <f>""</f>
        <v/>
      </c>
      <c r="J1256" t="str">
        <f t="shared" si="19"/>
        <v>BA20;PCH_PWROK;;10.966;21.978;504105;808044;602041;</v>
      </c>
    </row>
    <row r="1257" spans="1:10">
      <c r="A1257" t="s">
        <v>18</v>
      </c>
      <c r="B1257" t="str">
        <f>_xlfn.XLOOKUP(A1257,'Pinlist(S1)'!$Q$4:$Q$1362,'Pinlist(S1)'!$R$4:$R$1362,"")</f>
        <v>AZA_SDI_0_SSP0_RXD</v>
      </c>
      <c r="C1257" t="str" cm="1">
        <f t="array" ref="C1257">_xlfn.TEXTJOIN(",",TRUE,_xlfn.UNIQUE(TRANSPOSE(_xlfn.MAP(_xlfn.XLOOKUP(A1257,'Pinlist(S1)'!$C$4:$C$1362,'Pinlist(S1)'!$F$4:$K$1362,""),_xlfn.LAMBDA(_xlpm.x,IF(_xlpm.x&lt;&gt;"",TRIM(CLEAN(LEFT(_xlpm.x,FIND(".",_xlpm.x &amp; ".")-1))),""))))))</f>
        <v>KA140</v>
      </c>
      <c r="D1257">
        <v>11.59</v>
      </c>
      <c r="E1257">
        <v>21.652999999999999</v>
      </c>
      <c r="F1257" t="str">
        <f>_xlfn.LET(_xlpm.raw,_xlfn.XLOOKUP(A1257,'Pinlist(S1)'!$C$4:$C$1362,'Pinlist(S1)'!$E$4:$E$1362,""),_xlpm.cleanRaw,SUBSTITUTE(SUBSTITUTE(_xlpm.raw,"_PIN","."),"PIN","."),_xlpm.mainPart,MID(_xlpm.cleanRaw,2,FIND(".",_xlpm.cleanRaw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G1257" t="str">
        <f>_xlfn.LET(_xlpm.raw,_xlfn.XLOOKUP(A1257,'Pinlist(S3)'!$C$4:$C$1362,'Pinlist(S3)'!$E$4:$E$1362,""),_xlpm.cleanRaw,SUBSTITUTE(SUBSTITUTE(_xlpm.raw,"_PIN","."),"PIN","."),_xlpm.mainPart,MID(_xlpm.cleanRaw,2,FIND(".",_xlpm.cleanRaw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1257" t="str">
        <f>_xlfn.LET(_xlpm.raw,_xlfn.XLOOKUP(A1257,'Pinlist(S5)'!$C$4:$C$1362,'Pinlist(S5)'!$E$4:$E$1362,""),_xlpm.cleanRaw,SUBSTITUTE(SUBSTITUTE(_xlpm.raw,"_PIN","."),"PIN","."),_xlpm.mainPart,MID(_xlpm.cleanRaw,2,FIND(".",_xlpm.cleanRaw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703009</v>
      </c>
      <c r="I1257" t="str">
        <f>""</f>
        <v/>
      </c>
      <c r="J1257" t="str">
        <f t="shared" si="19"/>
        <v>BA21;AZA_SDI_0_SSP0_RXD;KA140;11.59;21.653;509037;805044;703009;</v>
      </c>
    </row>
    <row r="1258" spans="1:10">
      <c r="A1258" t="s">
        <v>27</v>
      </c>
      <c r="B1258" t="str">
        <f>_xlfn.XLOOKUP(A1258,'Pinlist(S1)'!$Q$4:$Q$1362,'Pinlist(S1)'!$R$4:$R$1362,"")</f>
        <v>AZA_SYNC_SSP0_SFRM</v>
      </c>
      <c r="C1258" t="str" cm="1">
        <f t="array" ref="C1258">_xlfn.TEXTJOIN(",",TRUE,_xlfn.UNIQUE(TRANSPOSE(_xlfn.MAP(_xlfn.XLOOKUP(A1258,'Pinlist(S1)'!$C$4:$C$1362,'Pinlist(S1)'!$F$4:$K$1362,""),_xlfn.LAMBDA(_xlpm.x,IF(_xlpm.x&lt;&gt;"",TRIM(CLEAN(LEFT(_xlpm.x,FIND(".",_xlpm.x &amp; ".")-1))),""))))))</f>
        <v>KA143</v>
      </c>
      <c r="D1258">
        <v>12.16</v>
      </c>
      <c r="E1258">
        <v>21.978000000000002</v>
      </c>
      <c r="F1258" t="str">
        <f>_xlfn.LET(_xlpm.raw,_xlfn.XLOOKUP(A1258,'Pinlist(S1)'!$C$4:$C$1362,'Pinlist(S1)'!$E$4:$E$1362,""),_xlpm.cleanRaw,SUBSTITUTE(SUBSTITUTE(_xlpm.raw,"_PIN","."),"PIN","."),_xlpm.mainPart,MID(_xlpm.cleanRaw,2,FIND(".",_xlpm.cleanRaw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509015</v>
      </c>
      <c r="G1258" t="str">
        <f>_xlfn.LET(_xlpm.raw,_xlfn.XLOOKUP(A1258,'Pinlist(S3)'!$C$4:$C$1362,'Pinlist(S3)'!$E$4:$E$1362,""),_xlpm.cleanRaw,SUBSTITUTE(SUBSTITUTE(_xlpm.raw,"_PIN","."),"PIN","."),_xlpm.mainPart,MID(_xlpm.cleanRaw,2,FIND(".",_xlpm.cleanRaw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1258" t="str">
        <f>_xlfn.LET(_xlpm.raw,_xlfn.XLOOKUP(A1258,'Pinlist(S5)'!$C$4:$C$1362,'Pinlist(S5)'!$E$4:$E$1362,""),_xlpm.cleanRaw,SUBSTITUTE(SUBSTITUTE(_xlpm.raw,"_PIN","."),"PIN","."),_xlpm.mainPart,MID(_xlpm.cleanRaw,2,FIND(".",_xlpm.cleanRaw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703031</v>
      </c>
      <c r="I1258" t="str">
        <f>""</f>
        <v/>
      </c>
      <c r="J1258" t="str">
        <f t="shared" si="19"/>
        <v>BA22;AZA_SYNC_SSP0_SFRM;KA143;12.16;21.978;509015;804007;703031;</v>
      </c>
    </row>
    <row r="1259" spans="1:10">
      <c r="A1259" t="s">
        <v>2087</v>
      </c>
      <c r="B1259" t="str">
        <f>_xlfn.XLOOKUP(A1259,'Pinlist(S1)'!$Q$4:$Q$1362,'Pinlist(S1)'!$R$4:$R$1362,"")</f>
        <v>VSS</v>
      </c>
      <c r="C1259" t="str" cm="1">
        <f t="array" ref="C1259">_xlfn.TEXTJOIN(",",TRUE,_xlfn.UNIQUE(TRANSPOSE(_xlfn.MAP(_xlfn.XLOOKUP(A1259,'Pinlist(S1)'!$C$4:$C$1362,'Pinlist(S1)'!$F$4:$K$1362,""),_xlfn.LAMBDA(_xlpm.x,IF(_xlpm.x&lt;&gt;"",TRIM(CLEAN(LEFT(_xlpm.x,FIND(".",_xlpm.x &amp; ".")-1))),""))))))</f>
        <v/>
      </c>
      <c r="D1259">
        <v>12.8479999999999</v>
      </c>
      <c r="E1259">
        <v>21.571999999999999</v>
      </c>
      <c r="F1259" t="str">
        <f>_xlfn.LET(_xlpm.raw,_xlfn.XLOOKUP(A1259,'Pinlist(S1)'!$C$4:$C$1362,'Pinlist(S1)'!$E$4:$E$1362,""),_xlpm.cleanRaw,SUBSTITUTE(SUBSTITUTE(_xlpm.raw,"_PIN","."),"PIN","."),_xlpm.mainPart,MID(_xlpm.cleanRaw,2,FIND(".",_xlpm.cleanRaw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9" t="str">
        <f>_xlfn.LET(_xlpm.raw,_xlfn.XLOOKUP(A1259,'Pinlist(S3)'!$C$4:$C$1362,'Pinlist(S3)'!$E$4:$E$1362,""),_xlpm.cleanRaw,SUBSTITUTE(SUBSTITUTE(_xlpm.raw,"_PIN","."),"PIN","."),_xlpm.mainPart,MID(_xlpm.cleanRaw,2,FIND(".",_xlpm.cleanRaw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9" t="str">
        <f>_xlfn.LET(_xlpm.raw,_xlfn.XLOOKUP(A1259,'Pinlist(S5)'!$C$4:$C$1362,'Pinlist(S5)'!$E$4:$E$1362,""),_xlpm.cleanRaw,SUBSTITUTE(SUBSTITUTE(_xlpm.raw,"_PIN","."),"PIN","."),_xlpm.mainPart,MID(_xlpm.cleanRaw,2,FIND(".",_xlpm.cleanRaw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9" t="str">
        <f>""</f>
        <v/>
      </c>
      <c r="J1259" t="str">
        <f t="shared" si="19"/>
        <v>BA23;VSS;;12.8479999999999;21.572;;;;</v>
      </c>
    </row>
    <row r="1260" spans="1:10">
      <c r="A1260" t="s">
        <v>512</v>
      </c>
      <c r="B1260" t="str">
        <f>_xlfn.XLOOKUP(A1260,'Pinlist(S1)'!$Q$4:$Q$1362,'Pinlist(S1)'!$R$4:$R$1362,"")</f>
        <v>DDRDQ_IL07_NIL15[6]</v>
      </c>
      <c r="C1260" t="str" cm="1">
        <f t="array" ref="C1260">_xlfn.TEXTJOIN(",",TRUE,_xlfn.UNIQUE(TRANSPOSE(_xlfn.MAP(_xlfn.XLOOKUP(A1260,'Pinlist(S1)'!$C$4:$C$1362,'Pinlist(S1)'!$F$4:$K$1362,""),_xlfn.LAMBDA(_xlpm.x,IF(_xlpm.x&lt;&gt;"",TRIM(CLEAN(LEFT(_xlpm.x,FIND(".",_xlpm.x &amp; ".")-1))),""))))))</f>
        <v/>
      </c>
      <c r="D1260">
        <v>13.486000000000001</v>
      </c>
      <c r="E1260">
        <v>21.978000000000002</v>
      </c>
      <c r="F1260" t="str">
        <f>_xlfn.LET(_xlpm.raw,_xlfn.XLOOKUP(A1260,'Pinlist(S1)'!$C$4:$C$1362,'Pinlist(S1)'!$E$4:$E$1362,""),_xlpm.cleanRaw,SUBSTITUTE(SUBSTITUTE(_xlpm.raw,"_PIN","."),"PIN","."),_xlpm.mainPart,MID(_xlpm.cleanRaw,2,FIND(".",_xlpm.cleanRaw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609095</v>
      </c>
      <c r="G1260" t="str">
        <f>_xlfn.LET(_xlpm.raw,_xlfn.XLOOKUP(A1260,'Pinlist(S3)'!$C$4:$C$1362,'Pinlist(S3)'!$E$4:$E$1362,""),_xlpm.cleanRaw,SUBSTITUTE(SUBSTITUTE(_xlpm.raw,"_PIN","."),"PIN","."),_xlpm.mainPart,MID(_xlpm.cleanRaw,2,FIND(".",_xlpm.cleanRaw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803109</v>
      </c>
      <c r="H1260" t="str">
        <f>_xlfn.LET(_xlpm.raw,_xlfn.XLOOKUP(A1260,'Pinlist(S5)'!$C$4:$C$1362,'Pinlist(S5)'!$E$4:$E$1362,""),_xlpm.cleanRaw,SUBSTITUTE(SUBSTITUTE(_xlpm.raw,"_PIN","."),"PIN","."),_xlpm.mainPart,MID(_xlpm.cleanRaw,2,FIND(".",_xlpm.cleanRaw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704109</v>
      </c>
      <c r="I1260" t="str">
        <f>""</f>
        <v/>
      </c>
      <c r="J1260" t="str">
        <f t="shared" si="19"/>
        <v>BA25;DDRDQ_IL07_NIL15[6];;13.486;21.978;609095;803109;704109;</v>
      </c>
    </row>
    <row r="1261" spans="1:10">
      <c r="A1261" t="s">
        <v>690</v>
      </c>
      <c r="B1261" t="str">
        <f>_xlfn.XLOOKUP(A1261,'Pinlist(S1)'!$Q$4:$Q$1362,'Pinlist(S1)'!$R$4:$R$1362,"")</f>
        <v>DDRDQSP_IL07_NIL15</v>
      </c>
      <c r="C1261" t="str" cm="1">
        <f t="array" ref="C1261">_xlfn.TEXTJOIN(",",TRUE,_xlfn.UNIQUE(TRANSPOSE(_xlfn.MAP(_xlfn.XLOOKUP(A1261,'Pinlist(S1)'!$C$4:$C$1362,'Pinlist(S1)'!$F$4:$K$1362,""),_xlfn.LAMBDA(_xlpm.x,IF(_xlpm.x&lt;&gt;"",TRIM(CLEAN(LEFT(_xlpm.x,FIND(".",_xlpm.x &amp; ".")-1))),""))))))</f>
        <v/>
      </c>
      <c r="D1261">
        <v>14.148999999999999</v>
      </c>
      <c r="E1261">
        <v>21.652999999999999</v>
      </c>
      <c r="F1261" t="str">
        <f>_xlfn.LET(_xlpm.raw,_xlfn.XLOOKUP(A1261,'Pinlist(S1)'!$C$4:$C$1362,'Pinlist(S1)'!$E$4:$E$1362,""),_xlpm.cleanRaw,SUBSTITUTE(SUBSTITUTE(_xlpm.raw,"_PIN","."),"PIN","."),_xlpm.mainPart,MID(_xlpm.cleanRaw,2,FIND(".",_xlpm.cleanRaw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609086</v>
      </c>
      <c r="G1261" t="str">
        <f>_xlfn.LET(_xlpm.raw,_xlfn.XLOOKUP(A1261,'Pinlist(S3)'!$C$4:$C$1362,'Pinlist(S3)'!$E$4:$E$1362,""),_xlpm.cleanRaw,SUBSTITUTE(SUBSTITUTE(_xlpm.raw,"_PIN","."),"PIN","."),_xlpm.mainPart,MID(_xlpm.cleanRaw,2,FIND(".",_xlpm.cleanRaw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1261" t="str">
        <f>_xlfn.LET(_xlpm.raw,_xlfn.XLOOKUP(A1261,'Pinlist(S5)'!$C$4:$C$1362,'Pinlist(S5)'!$E$4:$E$1362,""),_xlpm.cleanRaw,SUBSTITUTE(SUBSTITUTE(_xlpm.raw,"_PIN","."),"PIN","."),_xlpm.mainPart,MID(_xlpm.cleanRaw,2,FIND(".",_xlpm.cleanRaw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704086</v>
      </c>
      <c r="I1261" t="str">
        <f>""</f>
        <v/>
      </c>
      <c r="J1261" t="str">
        <f t="shared" si="19"/>
        <v>BA26;DDRDQSP_IL07_NIL15;;14.149;21.653;609086;803086;704086;</v>
      </c>
    </row>
    <row r="1262" spans="1:10">
      <c r="A1262" t="s">
        <v>510</v>
      </c>
      <c r="B1262" t="str">
        <f>_xlfn.XLOOKUP(A1262,'Pinlist(S1)'!$Q$4:$Q$1362,'Pinlist(S1)'!$R$4:$R$1362,"")</f>
        <v>DDRDQ_IL07_NIL15[5]</v>
      </c>
      <c r="C1262" t="str" cm="1">
        <f t="array" ref="C1262">_xlfn.TEXTJOIN(",",TRUE,_xlfn.UNIQUE(TRANSPOSE(_xlfn.MAP(_xlfn.XLOOKUP(A1262,'Pinlist(S1)'!$C$4:$C$1362,'Pinlist(S1)'!$F$4:$K$1362,""),_xlfn.LAMBDA(_xlpm.x,IF(_xlpm.x&lt;&gt;"",TRIM(CLEAN(LEFT(_xlpm.x,FIND(".",_xlpm.x &amp; ".")-1))),""))))))</f>
        <v/>
      </c>
      <c r="D1262">
        <v>14.811999999999999</v>
      </c>
      <c r="E1262">
        <v>21.978000000000002</v>
      </c>
      <c r="F1262" t="str">
        <f>_xlfn.LET(_xlpm.raw,_xlfn.XLOOKUP(A1262,'Pinlist(S1)'!$C$4:$C$1362,'Pinlist(S1)'!$E$4:$E$1362,""),_xlpm.cleanRaw,SUBSTITUTE(SUBSTITUTE(_xlpm.raw,"_PIN","."),"PIN","."),_xlpm.mainPart,MID(_xlpm.cleanRaw,2,FIND(".",_xlpm.cleanRaw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609100</v>
      </c>
      <c r="G1262" t="str">
        <f>_xlfn.LET(_xlpm.raw,_xlfn.XLOOKUP(A1262,'Pinlist(S3)'!$C$4:$C$1362,'Pinlist(S3)'!$E$4:$E$1362,""),_xlpm.cleanRaw,SUBSTITUTE(SUBSTITUTE(_xlpm.raw,"_PIN","."),"PIN","."),_xlpm.mainPart,MID(_xlpm.cleanRaw,2,FIND(".",_xlpm.cleanRaw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803112</v>
      </c>
      <c r="H1262" t="str">
        <f>_xlfn.LET(_xlpm.raw,_xlfn.XLOOKUP(A1262,'Pinlist(S5)'!$C$4:$C$1362,'Pinlist(S5)'!$E$4:$E$1362,""),_xlpm.cleanRaw,SUBSTITUTE(SUBSTITUTE(_xlpm.raw,"_PIN","."),"PIN","."),_xlpm.mainPart,MID(_xlpm.cleanRaw,2,FIND(".",_xlpm.cleanRaw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704112</v>
      </c>
      <c r="I1262" t="str">
        <f>""</f>
        <v/>
      </c>
      <c r="J1262" t="str">
        <f t="shared" si="19"/>
        <v>BA27;DDRDQ_IL07_NIL15[5];;14.812;21.978;609100;803112;704112;</v>
      </c>
    </row>
    <row r="1263" spans="1:10">
      <c r="A1263" t="s">
        <v>2088</v>
      </c>
      <c r="B1263" t="str">
        <f>_xlfn.XLOOKUP(A1263,'Pinlist(S1)'!$Q$4:$Q$1362,'Pinlist(S1)'!$R$4:$R$1362,"")</f>
        <v>VSS</v>
      </c>
      <c r="C1263" t="str" cm="1">
        <f t="array" ref="C1263">_xlfn.TEXTJOIN(",",TRUE,_xlfn.UNIQUE(TRANSPOSE(_xlfn.MAP(_xlfn.XLOOKUP(A1263,'Pinlist(S1)'!$C$4:$C$1362,'Pinlist(S1)'!$F$4:$K$1362,""),_xlfn.LAMBDA(_xlpm.x,IF(_xlpm.x&lt;&gt;"",TRIM(CLEAN(LEFT(_xlpm.x,FIND(".",_xlpm.x &amp; ".")-1))),""))))))</f>
        <v/>
      </c>
      <c r="D1263">
        <v>15.326000000000001</v>
      </c>
      <c r="E1263">
        <v>21.571999999999999</v>
      </c>
      <c r="F1263" t="str">
        <f>_xlfn.LET(_xlpm.raw,_xlfn.XLOOKUP(A1263,'Pinlist(S1)'!$C$4:$C$1362,'Pinlist(S1)'!$E$4:$E$1362,""),_xlpm.cleanRaw,SUBSTITUTE(SUBSTITUTE(_xlpm.raw,"_PIN","."),"PIN","."),_xlpm.mainPart,MID(_xlpm.cleanRaw,2,FIND(".",_xlpm.cleanRaw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3" t="str">
        <f>_xlfn.LET(_xlpm.raw,_xlfn.XLOOKUP(A1263,'Pinlist(S3)'!$C$4:$C$1362,'Pinlist(S3)'!$E$4:$E$1362,""),_xlpm.cleanRaw,SUBSTITUTE(SUBSTITUTE(_xlpm.raw,"_PIN","."),"PIN","."),_xlpm.mainPart,MID(_xlpm.cleanRaw,2,FIND(".",_xlpm.cleanRaw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3" t="str">
        <f>_xlfn.LET(_xlpm.raw,_xlfn.XLOOKUP(A1263,'Pinlist(S5)'!$C$4:$C$1362,'Pinlist(S5)'!$E$4:$E$1362,""),_xlpm.cleanRaw,SUBSTITUTE(SUBSTITUTE(_xlpm.raw,"_PIN","."),"PIN","."),_xlpm.mainPart,MID(_xlpm.cleanRaw,2,FIND(".",_xlpm.cleanRaw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63" t="str">
        <f>""</f>
        <v/>
      </c>
      <c r="J1263" t="str">
        <f t="shared" si="19"/>
        <v>BA28;VSS;;15.326;21.572;;;;</v>
      </c>
    </row>
    <row r="1264" spans="1:10">
      <c r="A1264" t="s">
        <v>496</v>
      </c>
      <c r="B1264" t="str">
        <f>_xlfn.XLOOKUP(A1264,'Pinlist(S1)'!$Q$4:$Q$1362,'Pinlist(S1)'!$R$4:$R$1362,"")</f>
        <v>DDRDQ_IL06_NIL14[6]</v>
      </c>
      <c r="C1264" t="str" cm="1">
        <f t="array" ref="C1264">_xlfn.TEXTJOIN(",",TRUE,_xlfn.UNIQUE(TRANSPOSE(_xlfn.MAP(_xlfn.XLOOKUP(A1264,'Pinlist(S1)'!$C$4:$C$1362,'Pinlist(S1)'!$F$4:$K$1362,""),_xlfn.LAMBDA(_xlpm.x,IF(_xlpm.x&lt;&gt;"",TRIM(CLEAN(LEFT(_xlpm.x,FIND(".",_xlpm.x &amp; ".")-1))),""))))))</f>
        <v/>
      </c>
      <c r="D1264">
        <v>15.840999999999999</v>
      </c>
      <c r="E1264">
        <v>21.978000000000002</v>
      </c>
      <c r="F1264" t="str">
        <f>_xlfn.LET(_xlpm.raw,_xlfn.XLOOKUP(A1264,'Pinlist(S1)'!$C$4:$C$1362,'Pinlist(S1)'!$E$4:$E$1362,""),_xlpm.cleanRaw,SUBSTITUTE(SUBSTITUTE(_xlpm.raw,"_PIN","."),"PIN","."),_xlpm.mainPart,MID(_xlpm.cleanRaw,2,FIND(".",_xlpm.cleanRaw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609122</v>
      </c>
      <c r="G1264" t="str">
        <f>_xlfn.LET(_xlpm.raw,_xlfn.XLOOKUP(A1264,'Pinlist(S3)'!$C$4:$C$1362,'Pinlist(S3)'!$E$4:$E$1362,""),_xlpm.cleanRaw,SUBSTITUTE(SUBSTITUTE(_xlpm.raw,"_PIN","."),"PIN","."),_xlpm.mainPart,MID(_xlpm.cleanRaw,2,FIND(".",_xlpm.cleanRaw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803122</v>
      </c>
      <c r="H1264" t="str">
        <f>_xlfn.LET(_xlpm.raw,_xlfn.XLOOKUP(A1264,'Pinlist(S5)'!$C$4:$C$1362,'Pinlist(S5)'!$E$4:$E$1362,""),_xlpm.cleanRaw,SUBSTITUTE(SUBSTITUTE(_xlpm.raw,"_PIN","."),"PIN","."),_xlpm.mainPart,MID(_xlpm.cleanRaw,2,FIND(".",_xlpm.cleanRaw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704122</v>
      </c>
      <c r="I1264" t="str">
        <f>""</f>
        <v/>
      </c>
      <c r="J1264" t="str">
        <f t="shared" si="19"/>
        <v>BA29;DDRDQ_IL06_NIL14[6];;15.841;21.978;609122;803122;704122;</v>
      </c>
    </row>
    <row r="1265" spans="1:10">
      <c r="A1265" t="s">
        <v>656</v>
      </c>
      <c r="B1265" t="str">
        <f>_xlfn.XLOOKUP(A1265,'Pinlist(S1)'!$Q$4:$Q$1362,'Pinlist(S1)'!$R$4:$R$1362,"")</f>
        <v>DDRDQSN_IL06_NIL14</v>
      </c>
      <c r="C1265" t="str" cm="1">
        <f t="array" ref="C1265">_xlfn.TEXTJOIN(",",TRUE,_xlfn.UNIQUE(TRANSPOSE(_xlfn.MAP(_xlfn.XLOOKUP(A1265,'Pinlist(S1)'!$C$4:$C$1362,'Pinlist(S1)'!$F$4:$K$1362,""),_xlfn.LAMBDA(_xlpm.x,IF(_xlpm.x&lt;&gt;"",TRIM(CLEAN(LEFT(_xlpm.x,FIND(".",_xlpm.x &amp; ".")-1))),""))))))</f>
        <v/>
      </c>
      <c r="D1265">
        <v>16.503</v>
      </c>
      <c r="E1265">
        <v>21.652999999999999</v>
      </c>
      <c r="F1265" t="str">
        <f>_xlfn.LET(_xlpm.raw,_xlfn.XLOOKUP(A1265,'Pinlist(S1)'!$C$4:$C$1362,'Pinlist(S1)'!$E$4:$E$1362,""),_xlpm.cleanRaw,SUBSTITUTE(SUBSTITUTE(_xlpm.raw,"_PIN","."),"PIN","."),_xlpm.mainPart,MID(_xlpm.cleanRaw,2,FIND(".",_xlpm.cleanRaw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608054</v>
      </c>
      <c r="G1265" t="str">
        <f>_xlfn.LET(_xlpm.raw,_xlfn.XLOOKUP(A1265,'Pinlist(S3)'!$C$4:$C$1362,'Pinlist(S3)'!$E$4:$E$1362,""),_xlpm.cleanRaw,SUBSTITUTE(SUBSTITUTE(_xlpm.raw,"_PIN","."),"PIN","."),_xlpm.mainPart,MID(_xlpm.cleanRaw,2,FIND(".",_xlpm.cleanRaw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803097</v>
      </c>
      <c r="H1265" t="str">
        <f>_xlfn.LET(_xlpm.raw,_xlfn.XLOOKUP(A1265,'Pinlist(S5)'!$C$4:$C$1362,'Pinlist(S5)'!$E$4:$E$1362,""),_xlpm.cleanRaw,SUBSTITUTE(SUBSTITUTE(_xlpm.raw,"_PIN","."),"PIN","."),_xlpm.mainPart,MID(_xlpm.cleanRaw,2,FIND(".",_xlpm.cleanRaw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704097</v>
      </c>
      <c r="I1265" t="str">
        <f>""</f>
        <v/>
      </c>
      <c r="J1265" t="str">
        <f t="shared" si="19"/>
        <v>BA30;DDRDQSN_IL06_NIL14;;16.503;21.653;608054;803097;704097;</v>
      </c>
    </row>
    <row r="1266" spans="1:10">
      <c r="A1266" t="s">
        <v>494</v>
      </c>
      <c r="B1266" t="str">
        <f>_xlfn.XLOOKUP(A1266,'Pinlist(S1)'!$Q$4:$Q$1362,'Pinlist(S1)'!$R$4:$R$1362,"")</f>
        <v>DDRDQ_IL06_NIL14[5]</v>
      </c>
      <c r="C1266" t="str" cm="1">
        <f t="array" ref="C1266">_xlfn.TEXTJOIN(",",TRUE,_xlfn.UNIQUE(TRANSPOSE(_xlfn.MAP(_xlfn.XLOOKUP(A1266,'Pinlist(S1)'!$C$4:$C$1362,'Pinlist(S1)'!$F$4:$K$1362,""),_xlfn.LAMBDA(_xlpm.x,IF(_xlpm.x&lt;&gt;"",TRIM(CLEAN(LEFT(_xlpm.x,FIND(".",_xlpm.x &amp; ".")-1))),""))))))</f>
        <v/>
      </c>
      <c r="D1266">
        <v>17.166</v>
      </c>
      <c r="E1266">
        <v>21.978000000000002</v>
      </c>
      <c r="F1266" t="str">
        <f>_xlfn.LET(_xlpm.raw,_xlfn.XLOOKUP(A1266,'Pinlist(S1)'!$C$4:$C$1362,'Pinlist(S1)'!$E$4:$E$1362,""),_xlpm.cleanRaw,SUBSTITUTE(SUBSTITUTE(_xlpm.raw,"_PIN","."),"PIN","."),_xlpm.mainPart,MID(_xlpm.cleanRaw,2,FIND(".",_xlpm.cleanRaw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608061</v>
      </c>
      <c r="G1266" t="str">
        <f>_xlfn.LET(_xlpm.raw,_xlfn.XLOOKUP(A1266,'Pinlist(S3)'!$C$4:$C$1362,'Pinlist(S3)'!$E$4:$E$1362,""),_xlpm.cleanRaw,SUBSTITUTE(SUBSTITUTE(_xlpm.raw,"_PIN","."),"PIN","."),_xlpm.mainPart,MID(_xlpm.cleanRaw,2,FIND(".",_xlpm.cleanRaw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802061</v>
      </c>
      <c r="H1266" t="str">
        <f>_xlfn.LET(_xlpm.raw,_xlfn.XLOOKUP(A1266,'Pinlist(S5)'!$C$4:$C$1362,'Pinlist(S5)'!$E$4:$E$1362,""),_xlpm.cleanRaw,SUBSTITUTE(SUBSTITUTE(_xlpm.raw,"_PIN","."),"PIN","."),_xlpm.mainPart,MID(_xlpm.cleanRaw,2,FIND(".",_xlpm.cleanRaw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705061</v>
      </c>
      <c r="I1266" t="str">
        <f>""</f>
        <v/>
      </c>
      <c r="J1266" t="str">
        <f t="shared" si="19"/>
        <v>BA31;DDRDQ_IL06_NIL14[5];;17.166;21.978;608061;802061;705061;</v>
      </c>
    </row>
    <row r="1267" spans="1:10">
      <c r="A1267" t="s">
        <v>2089</v>
      </c>
      <c r="B1267" t="str">
        <f>_xlfn.XLOOKUP(A1267,'Pinlist(S1)'!$Q$4:$Q$1362,'Pinlist(S1)'!$R$4:$R$1362,"")</f>
        <v>VSS</v>
      </c>
      <c r="C1267" t="str" cm="1">
        <f t="array" ref="C1267">_xlfn.TEXTJOIN(",",TRUE,_xlfn.UNIQUE(TRANSPOSE(_xlfn.MAP(_xlfn.XLOOKUP(A1267,'Pinlist(S1)'!$C$4:$C$1362,'Pinlist(S1)'!$F$4:$K$1362,""),_xlfn.LAMBDA(_xlpm.x,IF(_xlpm.x&lt;&gt;"",TRIM(CLEAN(LEFT(_xlpm.x,FIND(".",_xlpm.x &amp; ".")-1))),""))))))</f>
        <v/>
      </c>
      <c r="D1267">
        <v>17.829000000000001</v>
      </c>
      <c r="E1267">
        <v>21.571999999999999</v>
      </c>
      <c r="F1267" t="str">
        <f>_xlfn.LET(_xlpm.raw,_xlfn.XLOOKUP(A1267,'Pinlist(S1)'!$C$4:$C$1362,'Pinlist(S1)'!$E$4:$E$1362,""),_xlpm.cleanRaw,SUBSTITUTE(SUBSTITUTE(_xlpm.raw,"_PIN","."),"PIN","."),_xlpm.mainPart,MID(_xlpm.cleanRaw,2,FIND(".",_xlpm.cleanRaw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7" t="str">
        <f>_xlfn.LET(_xlpm.raw,_xlfn.XLOOKUP(A1267,'Pinlist(S3)'!$C$4:$C$1362,'Pinlist(S3)'!$E$4:$E$1362,""),_xlpm.cleanRaw,SUBSTITUTE(SUBSTITUTE(_xlpm.raw,"_PIN","."),"PIN","."),_xlpm.mainPart,MID(_xlpm.cleanRaw,2,FIND(".",_xlpm.cleanRaw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7" t="str">
        <f>_xlfn.LET(_xlpm.raw,_xlfn.XLOOKUP(A1267,'Pinlist(S5)'!$C$4:$C$1362,'Pinlist(S5)'!$E$4:$E$1362,""),_xlpm.cleanRaw,SUBSTITUTE(SUBSTITUTE(_xlpm.raw,"_PIN","."),"PIN","."),_xlpm.mainPart,MID(_xlpm.cleanRaw,2,FIND(".",_xlpm.cleanRaw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67" t="str">
        <f>""</f>
        <v/>
      </c>
      <c r="J1267" t="str">
        <f t="shared" si="19"/>
        <v>BA32;VSS;;17.829;21.572;;;;</v>
      </c>
    </row>
    <row r="1268" spans="1:10">
      <c r="A1268" t="s">
        <v>480</v>
      </c>
      <c r="B1268" t="str">
        <f>_xlfn.XLOOKUP(A1268,'Pinlist(S1)'!$Q$4:$Q$1362,'Pinlist(S1)'!$R$4:$R$1362,"")</f>
        <v>DDRDQ_IL05_NIL11[6]</v>
      </c>
      <c r="C1268" t="str" cm="1">
        <f t="array" ref="C1268">_xlfn.TEXTJOIN(",",TRUE,_xlfn.UNIQUE(TRANSPOSE(_xlfn.MAP(_xlfn.XLOOKUP(A1268,'Pinlist(S1)'!$C$4:$C$1362,'Pinlist(S1)'!$F$4:$K$1362,""),_xlfn.LAMBDA(_xlpm.x,IF(_xlpm.x&lt;&gt;"",TRIM(CLEAN(LEFT(_xlpm.x,FIND(".",_xlpm.x &amp; ".")-1))),""))))))</f>
        <v/>
      </c>
      <c r="D1268">
        <v>18.466999999999999</v>
      </c>
      <c r="E1268">
        <v>21.978000000000002</v>
      </c>
      <c r="F1268" t="str">
        <f>_xlfn.LET(_xlpm.raw,_xlfn.XLOOKUP(A1268,'Pinlist(S1)'!$C$4:$C$1362,'Pinlist(S1)'!$E$4:$E$1362,""),_xlpm.cleanRaw,SUBSTITUTE(SUBSTITUTE(_xlpm.raw,"_PIN","."),"PIN","."),_xlpm.mainPart,MID(_xlpm.cleanRaw,2,FIND(".",_xlpm.cleanRaw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609126</v>
      </c>
      <c r="G1268" t="str">
        <f>_xlfn.LET(_xlpm.raw,_xlfn.XLOOKUP(A1268,'Pinlist(S3)'!$C$4:$C$1362,'Pinlist(S3)'!$E$4:$E$1362,""),_xlpm.cleanRaw,SUBSTITUTE(SUBSTITUTE(_xlpm.raw,"_PIN","."),"PIN","."),_xlpm.mainPart,MID(_xlpm.cleanRaw,2,FIND(".",_xlpm.cleanRaw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803123</v>
      </c>
      <c r="H1268" t="str">
        <f>_xlfn.LET(_xlpm.raw,_xlfn.XLOOKUP(A1268,'Pinlist(S5)'!$C$4:$C$1362,'Pinlist(S5)'!$E$4:$E$1362,""),_xlpm.cleanRaw,SUBSTITUTE(SUBSTITUTE(_xlpm.raw,"_PIN","."),"PIN","."),_xlpm.mainPart,MID(_xlpm.cleanRaw,2,FIND(".",_xlpm.cleanRaw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704123</v>
      </c>
      <c r="I1268" t="str">
        <f>""</f>
        <v/>
      </c>
      <c r="J1268" t="str">
        <f t="shared" si="19"/>
        <v>BA33;DDRDQ_IL05_NIL11[6];;18.467;21.978;609126;803123;704123;</v>
      </c>
    </row>
    <row r="1269" spans="1:10">
      <c r="A1269" t="s">
        <v>686</v>
      </c>
      <c r="B1269" t="str">
        <f>_xlfn.XLOOKUP(A1269,'Pinlist(S1)'!$Q$4:$Q$1362,'Pinlist(S1)'!$R$4:$R$1362,"")</f>
        <v>DDRDQSP_IL05_NIL11</v>
      </c>
      <c r="C1269" t="str" cm="1">
        <f t="array" ref="C1269">_xlfn.TEXTJOIN(",",TRUE,_xlfn.UNIQUE(TRANSPOSE(_xlfn.MAP(_xlfn.XLOOKUP(A1269,'Pinlist(S1)'!$C$4:$C$1362,'Pinlist(S1)'!$F$4:$K$1362,""),_xlfn.LAMBDA(_xlpm.x,IF(_xlpm.x&lt;&gt;"",TRIM(CLEAN(LEFT(_xlpm.x,FIND(".",_xlpm.x &amp; ".")-1))),""))))))</f>
        <v/>
      </c>
      <c r="D1269">
        <v>19.13</v>
      </c>
      <c r="E1269">
        <v>21.652999999999999</v>
      </c>
      <c r="F1269" t="str">
        <f>_xlfn.LET(_xlpm.raw,_xlfn.XLOOKUP(A1269,'Pinlist(S1)'!$C$4:$C$1362,'Pinlist(S1)'!$E$4:$E$1362,""),_xlpm.cleanRaw,SUBSTITUTE(SUBSTITUTE(_xlpm.raw,"_PIN","."),"PIN","."),_xlpm.mainPart,MID(_xlpm.cleanRaw,2,FIND(".",_xlpm.cleanRaw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608057</v>
      </c>
      <c r="G1269" t="str">
        <f>_xlfn.LET(_xlpm.raw,_xlfn.XLOOKUP(A1269,'Pinlist(S3)'!$C$4:$C$1362,'Pinlist(S3)'!$E$4:$E$1362,""),_xlpm.cleanRaw,SUBSTITUTE(SUBSTITUTE(_xlpm.raw,"_PIN","."),"PIN","."),_xlpm.mainPart,MID(_xlpm.cleanRaw,2,FIND(".",_xlpm.cleanRaw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802057</v>
      </c>
      <c r="H1269" t="str">
        <f>_xlfn.LET(_xlpm.raw,_xlfn.XLOOKUP(A1269,'Pinlist(S5)'!$C$4:$C$1362,'Pinlist(S5)'!$E$4:$E$1362,""),_xlpm.cleanRaw,SUBSTITUTE(SUBSTITUTE(_xlpm.raw,"_PIN","."),"PIN","."),_xlpm.mainPart,MID(_xlpm.cleanRaw,2,FIND(".",_xlpm.cleanRaw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705057</v>
      </c>
      <c r="I1269" t="str">
        <f>""</f>
        <v/>
      </c>
      <c r="J1269" t="str">
        <f t="shared" si="19"/>
        <v>BA34;DDRDQSP_IL05_NIL11;;19.13;21.653;608057;802057;705057;</v>
      </c>
    </row>
    <row r="1270" spans="1:10">
      <c r="A1270" t="s">
        <v>478</v>
      </c>
      <c r="B1270" t="str">
        <f>_xlfn.XLOOKUP(A1270,'Pinlist(S1)'!$Q$4:$Q$1362,'Pinlist(S1)'!$R$4:$R$1362,"")</f>
        <v>DDRDQ_IL05_NIL11[5]</v>
      </c>
      <c r="C1270" t="str" cm="1">
        <f t="array" ref="C1270">_xlfn.TEXTJOIN(",",TRUE,_xlfn.UNIQUE(TRANSPOSE(_xlfn.MAP(_xlfn.XLOOKUP(A1270,'Pinlist(S1)'!$C$4:$C$1362,'Pinlist(S1)'!$F$4:$K$1362,""),_xlfn.LAMBDA(_xlpm.x,IF(_xlpm.x&lt;&gt;"",TRIM(CLEAN(LEFT(_xlpm.x,FIND(".",_xlpm.x &amp; ".")-1))),""))))))</f>
        <v/>
      </c>
      <c r="D1270">
        <v>19.792999999999999</v>
      </c>
      <c r="E1270">
        <v>21.978000000000002</v>
      </c>
      <c r="F1270" t="str">
        <f>_xlfn.LET(_xlpm.raw,_xlfn.XLOOKUP(A1270,'Pinlist(S1)'!$C$4:$C$1362,'Pinlist(S1)'!$E$4:$E$1362,""),_xlpm.cleanRaw,SUBSTITUTE(SUBSTITUTE(_xlpm.raw,"_PIN","."),"PIN","."),_xlpm.mainPart,MID(_xlpm.cleanRaw,2,FIND(".",_xlpm.cleanRaw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608050</v>
      </c>
      <c r="G1270" t="str">
        <f>_xlfn.LET(_xlpm.raw,_xlfn.XLOOKUP(A1270,'Pinlist(S3)'!$C$4:$C$1362,'Pinlist(S3)'!$E$4:$E$1362,""),_xlpm.cleanRaw,SUBSTITUTE(SUBSTITUTE(_xlpm.raw,"_PIN","."),"PIN","."),_xlpm.mainPart,MID(_xlpm.cleanRaw,2,FIND(".",_xlpm.cleanRaw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802048</v>
      </c>
      <c r="H1270" t="str">
        <f>_xlfn.LET(_xlpm.raw,_xlfn.XLOOKUP(A1270,'Pinlist(S5)'!$C$4:$C$1362,'Pinlist(S5)'!$E$4:$E$1362,""),_xlpm.cleanRaw,SUBSTITUTE(SUBSTITUTE(_xlpm.raw,"_PIN","."),"PIN","."),_xlpm.mainPart,MID(_xlpm.cleanRaw,2,FIND(".",_xlpm.cleanRaw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705048</v>
      </c>
      <c r="I1270" t="str">
        <f>""</f>
        <v/>
      </c>
      <c r="J1270" t="str">
        <f t="shared" si="19"/>
        <v>BA35;DDRDQ_IL05_NIL11[5];;19.793;21.978;608050;802048;705048;</v>
      </c>
    </row>
    <row r="1271" spans="1:10">
      <c r="A1271" t="s">
        <v>2090</v>
      </c>
      <c r="B1271" t="str">
        <f>_xlfn.XLOOKUP(A1271,'Pinlist(S1)'!$Q$4:$Q$1362,'Pinlist(S1)'!$R$4:$R$1362,"")</f>
        <v>VSS</v>
      </c>
      <c r="C1271" t="str" cm="1">
        <f t="array" ref="C1271">_xlfn.TEXTJOIN(",",TRUE,_xlfn.UNIQUE(TRANSPOSE(_xlfn.MAP(_xlfn.XLOOKUP(A1271,'Pinlist(S1)'!$C$4:$C$1362,'Pinlist(S1)'!$F$4:$K$1362,""),_xlfn.LAMBDA(_xlpm.x,IF(_xlpm.x&lt;&gt;"",TRIM(CLEAN(LEFT(_xlpm.x,FIND(".",_xlpm.x &amp; ".")-1))),""))))))</f>
        <v/>
      </c>
      <c r="D1271">
        <v>20.306999999999999</v>
      </c>
      <c r="E1271">
        <v>21.571999999999999</v>
      </c>
      <c r="F1271" t="str">
        <f>_xlfn.LET(_xlpm.raw,_xlfn.XLOOKUP(A1271,'Pinlist(S1)'!$C$4:$C$1362,'Pinlist(S1)'!$E$4:$E$1362,""),_xlpm.cleanRaw,SUBSTITUTE(SUBSTITUTE(_xlpm.raw,"_PIN","."),"PIN","."),_xlpm.mainPart,MID(_xlpm.cleanRaw,2,FIND(".",_xlpm.cleanRaw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1" t="str">
        <f>_xlfn.LET(_xlpm.raw,_xlfn.XLOOKUP(A1271,'Pinlist(S3)'!$C$4:$C$1362,'Pinlist(S3)'!$E$4:$E$1362,""),_xlpm.cleanRaw,SUBSTITUTE(SUBSTITUTE(_xlpm.raw,"_PIN","."),"PIN","."),_xlpm.mainPart,MID(_xlpm.cleanRaw,2,FIND(".",_xlpm.cleanRaw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1" t="str">
        <f>_xlfn.LET(_xlpm.raw,_xlfn.XLOOKUP(A1271,'Pinlist(S5)'!$C$4:$C$1362,'Pinlist(S5)'!$E$4:$E$1362,""),_xlpm.cleanRaw,SUBSTITUTE(SUBSTITUTE(_xlpm.raw,"_PIN","."),"PIN","."),_xlpm.mainPart,MID(_xlpm.cleanRaw,2,FIND(".",_xlpm.cleanRaw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1" t="str">
        <f>""</f>
        <v/>
      </c>
      <c r="J1271" t="str">
        <f t="shared" si="19"/>
        <v>BA36;VSS;;20.307;21.572;;;;</v>
      </c>
    </row>
    <row r="1272" spans="1:10">
      <c r="A1272" t="s">
        <v>464</v>
      </c>
      <c r="B1272" t="str">
        <f>_xlfn.XLOOKUP(A1272,'Pinlist(S1)'!$Q$4:$Q$1362,'Pinlist(S1)'!$R$4:$R$1362,"")</f>
        <v>DDRDQ_IL04_NIL10[6]</v>
      </c>
      <c r="C1272" t="str" cm="1">
        <f t="array" ref="C1272">_xlfn.TEXTJOIN(",",TRUE,_xlfn.UNIQUE(TRANSPOSE(_xlfn.MAP(_xlfn.XLOOKUP(A1272,'Pinlist(S1)'!$C$4:$C$1362,'Pinlist(S1)'!$F$4:$K$1362,""),_xlfn.LAMBDA(_xlpm.x,IF(_xlpm.x&lt;&gt;"",TRIM(CLEAN(LEFT(_xlpm.x,FIND(".",_xlpm.x &amp; ".")-1))),""))))))</f>
        <v/>
      </c>
      <c r="D1272">
        <v>20.821000000000002</v>
      </c>
      <c r="E1272">
        <v>21.978000000000002</v>
      </c>
      <c r="F1272" t="str">
        <f>_xlfn.LET(_xlpm.raw,_xlfn.XLOOKUP(A1272,'Pinlist(S1)'!$C$4:$C$1362,'Pinlist(S1)'!$E$4:$E$1362,""),_xlpm.cleanRaw,SUBSTITUTE(SUBSTITUTE(_xlpm.raw,"_PIN","."),"PIN","."),_xlpm.mainPart,MID(_xlpm.cleanRaw,2,FIND(".",_xlpm.cleanRaw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609111</v>
      </c>
      <c r="G1272" t="str">
        <f>_xlfn.LET(_xlpm.raw,_xlfn.XLOOKUP(A1272,'Pinlist(S3)'!$C$4:$C$1362,'Pinlist(S3)'!$E$4:$E$1362,""),_xlpm.cleanRaw,SUBSTITUTE(SUBSTITUTE(_xlpm.raw,"_PIN","."),"PIN","."),_xlpm.mainPart,MID(_xlpm.cleanRaw,2,FIND(".",_xlpm.cleanRaw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802065</v>
      </c>
      <c r="H1272" t="str">
        <f>_xlfn.LET(_xlpm.raw,_xlfn.XLOOKUP(A1272,'Pinlist(S5)'!$C$4:$C$1362,'Pinlist(S5)'!$E$4:$E$1362,""),_xlpm.cleanRaw,SUBSTITUTE(SUBSTITUTE(_xlpm.raw,"_PIN","."),"PIN","."),_xlpm.mainPart,MID(_xlpm.cleanRaw,2,FIND(".",_xlpm.cleanRaw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705065</v>
      </c>
      <c r="I1272" t="str">
        <f>""</f>
        <v/>
      </c>
      <c r="J1272" t="str">
        <f t="shared" si="19"/>
        <v>BA37;DDRDQ_IL04_NIL10[6];;20.821;21.978;609111;802065;705065;</v>
      </c>
    </row>
    <row r="1273" spans="1:10">
      <c r="A1273" t="s">
        <v>652</v>
      </c>
      <c r="B1273" t="str">
        <f>_xlfn.XLOOKUP(A1273,'Pinlist(S1)'!$Q$4:$Q$1362,'Pinlist(S1)'!$R$4:$R$1362,"")</f>
        <v>DDRDQSN_IL04_NIL10</v>
      </c>
      <c r="C1273" t="str" cm="1">
        <f t="array" ref="C1273">_xlfn.TEXTJOIN(",",TRUE,_xlfn.UNIQUE(TRANSPOSE(_xlfn.MAP(_xlfn.XLOOKUP(A1273,'Pinlist(S1)'!$C$4:$C$1362,'Pinlist(S1)'!$F$4:$K$1362,""),_xlfn.LAMBDA(_xlpm.x,IF(_xlpm.x&lt;&gt;"",TRIM(CLEAN(LEFT(_xlpm.x,FIND(".",_xlpm.x &amp; ".")-1))),""))))))</f>
        <v/>
      </c>
      <c r="D1273">
        <v>21.484000000000002</v>
      </c>
      <c r="E1273">
        <v>21.652999999999999</v>
      </c>
      <c r="F1273" t="str">
        <f>_xlfn.LET(_xlpm.raw,_xlfn.XLOOKUP(A1273,'Pinlist(S1)'!$C$4:$C$1362,'Pinlist(S1)'!$E$4:$E$1362,""),_xlpm.cleanRaw,SUBSTITUTE(SUBSTITUTE(_xlpm.raw,"_PIN","."),"PIN","."),_xlpm.mainPart,MID(_xlpm.cleanRaw,2,FIND(".",_xlpm.cleanRaw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608075</v>
      </c>
      <c r="G1273" t="str">
        <f>_xlfn.LET(_xlpm.raw,_xlfn.XLOOKUP(A1273,'Pinlist(S3)'!$C$4:$C$1362,'Pinlist(S3)'!$E$4:$E$1362,""),_xlpm.cleanRaw,SUBSTITUTE(SUBSTITUTE(_xlpm.raw,"_PIN","."),"PIN","."),_xlpm.mainPart,MID(_xlpm.cleanRaw,2,FIND(".",_xlpm.cleanRaw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802075</v>
      </c>
      <c r="H1273" t="str">
        <f>_xlfn.LET(_xlpm.raw,_xlfn.XLOOKUP(A1273,'Pinlist(S5)'!$C$4:$C$1362,'Pinlist(S5)'!$E$4:$E$1362,""),_xlpm.cleanRaw,SUBSTITUTE(SUBSTITUTE(_xlpm.raw,"_PIN","."),"PIN","."),_xlpm.mainPart,MID(_xlpm.cleanRaw,2,FIND(".",_xlpm.cleanRaw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705075</v>
      </c>
      <c r="I1273" t="str">
        <f>""</f>
        <v/>
      </c>
      <c r="J1273" t="str">
        <f t="shared" si="19"/>
        <v>BA38;DDRDQSN_IL04_NIL10;;21.484;21.653;608075;802075;705075;</v>
      </c>
    </row>
    <row r="1274" spans="1:10">
      <c r="A1274" t="s">
        <v>462</v>
      </c>
      <c r="B1274" t="str">
        <f>_xlfn.XLOOKUP(A1274,'Pinlist(S1)'!$Q$4:$Q$1362,'Pinlist(S1)'!$R$4:$R$1362,"")</f>
        <v>DDRDQ_IL04_NIL10[5]</v>
      </c>
      <c r="C1274" t="str" cm="1">
        <f t="array" ref="C1274">_xlfn.TEXTJOIN(",",TRUE,_xlfn.UNIQUE(TRANSPOSE(_xlfn.MAP(_xlfn.XLOOKUP(A1274,'Pinlist(S1)'!$C$4:$C$1362,'Pinlist(S1)'!$F$4:$K$1362,""),_xlfn.LAMBDA(_xlpm.x,IF(_xlpm.x&lt;&gt;"",TRIM(CLEAN(LEFT(_xlpm.x,FIND(".",_xlpm.x &amp; ".")-1))),""))))))</f>
        <v/>
      </c>
      <c r="D1274">
        <v>22.146999999999998</v>
      </c>
      <c r="E1274">
        <v>21.978000000000002</v>
      </c>
      <c r="F1274" t="str">
        <f>_xlfn.LET(_xlpm.raw,_xlfn.XLOOKUP(A1274,'Pinlist(S1)'!$C$4:$C$1362,'Pinlist(S1)'!$E$4:$E$1362,""),_xlpm.cleanRaw,SUBSTITUTE(SUBSTITUTE(_xlpm.raw,"_PIN","."),"PIN","."),_xlpm.mainPart,MID(_xlpm.cleanRaw,2,FIND(".",_xlpm.cleanRaw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609116</v>
      </c>
      <c r="G1274" t="str">
        <f>_xlfn.LET(_xlpm.raw,_xlfn.XLOOKUP(A1274,'Pinlist(S3)'!$C$4:$C$1362,'Pinlist(S3)'!$E$4:$E$1362,""),_xlpm.cleanRaw,SUBSTITUTE(SUBSTITUTE(_xlpm.raw,"_PIN","."),"PIN","."),_xlpm.mainPart,MID(_xlpm.cleanRaw,2,FIND(".",_xlpm.cleanRaw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802072</v>
      </c>
      <c r="H1274" t="str">
        <f>_xlfn.LET(_xlpm.raw,_xlfn.XLOOKUP(A1274,'Pinlist(S5)'!$C$4:$C$1362,'Pinlist(S5)'!$E$4:$E$1362,""),_xlpm.cleanRaw,SUBSTITUTE(SUBSTITUTE(_xlpm.raw,"_PIN","."),"PIN","."),_xlpm.mainPart,MID(_xlpm.cleanRaw,2,FIND(".",_xlpm.cleanRaw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705068</v>
      </c>
      <c r="I1274" t="str">
        <f>""</f>
        <v/>
      </c>
      <c r="J1274" t="str">
        <f t="shared" si="19"/>
        <v>BA39;DDRDQ_IL04_NIL10[5];;22.147;21.978;609116;802072;705068;</v>
      </c>
    </row>
    <row r="1275" spans="1:10">
      <c r="A1275" t="s">
        <v>2091</v>
      </c>
      <c r="B1275" t="str">
        <f>_xlfn.XLOOKUP(A1275,'Pinlist(S1)'!$Q$4:$Q$1362,'Pinlist(S1)'!$R$4:$R$1362,"")</f>
        <v>VSS</v>
      </c>
      <c r="C1275" t="str" cm="1">
        <f t="array" ref="C1275">_xlfn.TEXTJOIN(",",TRUE,_xlfn.UNIQUE(TRANSPOSE(_xlfn.MAP(_xlfn.XLOOKUP(A1275,'Pinlist(S1)'!$C$4:$C$1362,'Pinlist(S1)'!$F$4:$K$1362,""),_xlfn.LAMBDA(_xlpm.x,IF(_xlpm.x&lt;&gt;"",TRIM(CLEAN(LEFT(_xlpm.x,FIND(".",_xlpm.x &amp; ".")-1))),""))))))</f>
        <v/>
      </c>
      <c r="D1275">
        <v>22.785</v>
      </c>
      <c r="E1275">
        <v>21.571999999999999</v>
      </c>
      <c r="F1275" t="str">
        <f>_xlfn.LET(_xlpm.raw,_xlfn.XLOOKUP(A1275,'Pinlist(S1)'!$C$4:$C$1362,'Pinlist(S1)'!$E$4:$E$1362,""),_xlpm.cleanRaw,SUBSTITUTE(SUBSTITUTE(_xlpm.raw,"_PIN","."),"PIN","."),_xlpm.mainPart,MID(_xlpm.cleanRaw,2,FIND(".",_xlpm.cleanRaw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5" t="str">
        <f>_xlfn.LET(_xlpm.raw,_xlfn.XLOOKUP(A1275,'Pinlist(S3)'!$C$4:$C$1362,'Pinlist(S3)'!$E$4:$E$1362,""),_xlpm.cleanRaw,SUBSTITUTE(SUBSTITUTE(_xlpm.raw,"_PIN","."),"PIN","."),_xlpm.mainPart,MID(_xlpm.cleanRaw,2,FIND(".",_xlpm.cleanRaw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5" t="str">
        <f>_xlfn.LET(_xlpm.raw,_xlfn.XLOOKUP(A1275,'Pinlist(S5)'!$C$4:$C$1362,'Pinlist(S5)'!$E$4:$E$1362,""),_xlpm.cleanRaw,SUBSTITUTE(SUBSTITUTE(_xlpm.raw,"_PIN","."),"PIN","."),_xlpm.mainPart,MID(_xlpm.cleanRaw,2,FIND(".",_xlpm.cleanRaw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5" t="str">
        <f>""</f>
        <v/>
      </c>
      <c r="J1275" t="str">
        <f t="shared" si="19"/>
        <v>BA41;VSS;;22.785;21.572;;;;</v>
      </c>
    </row>
    <row r="1276" spans="1:10">
      <c r="A1276" t="s">
        <v>378</v>
      </c>
      <c r="B1276" t="str">
        <f>_xlfn.XLOOKUP(A1276,'Pinlist(S1)'!$Q$4:$Q$1362,'Pinlist(S1)'!$R$4:$R$1362,"")</f>
        <v>DDR1_ODT[0]</v>
      </c>
      <c r="C1276" t="str" cm="1">
        <f t="array" ref="C1276">_xlfn.TEXTJOIN(",",TRUE,_xlfn.UNIQUE(TRANSPOSE(_xlfn.MAP(_xlfn.XLOOKUP(A1276,'Pinlist(S1)'!$C$4:$C$1362,'Pinlist(S1)'!$F$4:$K$1362,""),_xlfn.LAMBDA(_xlpm.x,IF(_xlpm.x&lt;&gt;"",TRIM(CLEAN(LEFT(_xlpm.x,FIND(".",_xlpm.x &amp; ".")-1))),""))))))</f>
        <v>KA105</v>
      </c>
      <c r="D1276">
        <v>23.422000000000001</v>
      </c>
      <c r="E1276">
        <v>21.978000000000002</v>
      </c>
      <c r="F1276" t="str">
        <f>_xlfn.LET(_xlpm.raw,_xlfn.XLOOKUP(A1276,'Pinlist(S1)'!$C$4:$C$1362,'Pinlist(S1)'!$E$4:$E$1362,""),_xlpm.cleanRaw,SUBSTITUTE(SUBSTITUTE(_xlpm.raw,"_PIN","."),"PIN","."),_xlpm.mainPart,MID(_xlpm.cleanRaw,2,FIND(".",_xlpm.cleanRaw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276" t="str">
        <f>_xlfn.LET(_xlpm.raw,_xlfn.XLOOKUP(A1276,'Pinlist(S3)'!$C$4:$C$1362,'Pinlist(S3)'!$E$4:$E$1362,""),_xlpm.cleanRaw,SUBSTITUTE(SUBSTITUTE(_xlpm.raw,"_PIN","."),"PIN","."),_xlpm.mainPart,MID(_xlpm.cleanRaw,2,FIND(".",_xlpm.cleanRaw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276" t="str">
        <f>_xlfn.LET(_xlpm.raw,_xlfn.XLOOKUP(A1276,'Pinlist(S5)'!$C$4:$C$1362,'Pinlist(S5)'!$E$4:$E$1362,""),_xlpm.cleanRaw,SUBSTITUTE(SUBSTITUTE(_xlpm.raw,"_PIN","."),"PIN","."),_xlpm.mainPart,MID(_xlpm.cleanRaw,2,FIND(".",_xlpm.cleanRaw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276" t="str">
        <f>""</f>
        <v/>
      </c>
      <c r="J1276" t="str">
        <f t="shared" si="19"/>
        <v>BA42;DDR1_ODT[0];KA105;23.422;21.978;507125;806127;701085;</v>
      </c>
    </row>
    <row r="1277" spans="1:10">
      <c r="A1277" t="s">
        <v>356</v>
      </c>
      <c r="B1277" t="str">
        <f>_xlfn.XLOOKUP(A1277,'Pinlist(S1)'!$Q$4:$Q$1362,'Pinlist(S1)'!$R$4:$R$1362,"")</f>
        <v>DDR1_MA[13]_CAB0</v>
      </c>
      <c r="C1277" t="str" cm="1">
        <f t="array" ref="C1277">_xlfn.TEXTJOIN(",",TRUE,_xlfn.UNIQUE(TRANSPOSE(_xlfn.MAP(_xlfn.XLOOKUP(A1277,'Pinlist(S1)'!$C$4:$C$1362,'Pinlist(S1)'!$F$4:$K$1362,""),_xlfn.LAMBDA(_xlpm.x,IF(_xlpm.x&lt;&gt;"",TRIM(CLEAN(LEFT(_xlpm.x,FIND(".",_xlpm.x &amp; ".")-1))),""))))))</f>
        <v>KA109</v>
      </c>
      <c r="D1277">
        <v>24.085000000000001</v>
      </c>
      <c r="E1277">
        <v>21.652999999999999</v>
      </c>
      <c r="F1277" t="str">
        <f>_xlfn.LET(_xlpm.raw,_xlfn.XLOOKUP(A1277,'Pinlist(S1)'!$C$4:$C$1362,'Pinlist(S1)'!$E$4:$E$1362,""),_xlpm.cleanRaw,SUBSTITUTE(SUBSTITUTE(_xlpm.raw,"_PIN","."),"PIN","."),_xlpm.mainPart,MID(_xlpm.cleanRaw,2,FIND(".",_xlpm.cleanRaw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1277" t="str">
        <f>_xlfn.LET(_xlpm.raw,_xlfn.XLOOKUP(A1277,'Pinlist(S3)'!$C$4:$C$1362,'Pinlist(S3)'!$E$4:$E$1362,""),_xlpm.cleanRaw,SUBSTITUTE(SUBSTITUTE(_xlpm.raw,"_PIN","."),"PIN","."),_xlpm.mainPart,MID(_xlpm.cleanRaw,2,FIND(".",_xlpm.cleanRaw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1277" t="str">
        <f>_xlfn.LET(_xlpm.raw,_xlfn.XLOOKUP(A1277,'Pinlist(S5)'!$C$4:$C$1362,'Pinlist(S5)'!$E$4:$E$1362,""),_xlpm.cleanRaw,SUBSTITUTE(SUBSTITUTE(_xlpm.raw,"_PIN","."),"PIN","."),_xlpm.mainPart,MID(_xlpm.cleanRaw,2,FIND(".",_xlpm.cleanRaw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1277" t="str">
        <f>""</f>
        <v/>
      </c>
      <c r="J1277" t="str">
        <f t="shared" si="19"/>
        <v>BA43;DDR1_MA[13]_CAB0;KA109;24.085;21.653;507103;805082;602058;</v>
      </c>
    </row>
    <row r="1278" spans="1:10">
      <c r="A1278" t="s">
        <v>320</v>
      </c>
      <c r="B1278" t="str">
        <f>_xlfn.XLOOKUP(A1278,'Pinlist(S1)'!$Q$4:$Q$1362,'Pinlist(S1)'!$R$4:$R$1362,"")</f>
        <v>DDR1_BA[1]_CAB6</v>
      </c>
      <c r="C1278" t="str" cm="1">
        <f t="array" ref="C1278">_xlfn.TEXTJOIN(",",TRUE,_xlfn.UNIQUE(TRANSPOSE(_xlfn.MAP(_xlfn.XLOOKUP(A1278,'Pinlist(S1)'!$C$4:$C$1362,'Pinlist(S1)'!$F$4:$K$1362,""),_xlfn.LAMBDA(_xlpm.x,IF(_xlpm.x&lt;&gt;"",TRIM(CLEAN(LEFT(_xlpm.x,FIND(".",_xlpm.x &amp; ".")-1))),""))))))</f>
        <v>KA106</v>
      </c>
      <c r="D1278">
        <v>24.748000000000001</v>
      </c>
      <c r="E1278">
        <v>21.978000000000002</v>
      </c>
      <c r="F1278" t="str">
        <f>_xlfn.LET(_xlpm.raw,_xlfn.XLOOKUP(A1278,'Pinlist(S1)'!$C$4:$C$1362,'Pinlist(S1)'!$E$4:$E$1362,""),_xlpm.cleanRaw,SUBSTITUTE(SUBSTITUTE(_xlpm.raw,"_PIN","."),"PIN","."),_xlpm.mainPart,MID(_xlpm.cleanRaw,2,FIND(".",_xlpm.cleanRaw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278" t="str">
        <f>_xlfn.LET(_xlpm.raw,_xlfn.XLOOKUP(A1278,'Pinlist(S3)'!$C$4:$C$1362,'Pinlist(S3)'!$E$4:$E$1362,""),_xlpm.cleanRaw,SUBSTITUTE(SUBSTITUTE(_xlpm.raw,"_PIN","."),"PIN","."),_xlpm.mainPart,MID(_xlpm.cleanRaw,2,FIND(".",_xlpm.cleanRaw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278" t="str">
        <f>_xlfn.LET(_xlpm.raw,_xlfn.XLOOKUP(A1278,'Pinlist(S5)'!$C$4:$C$1362,'Pinlist(S5)'!$E$4:$E$1362,""),_xlpm.cleanRaw,SUBSTITUTE(SUBSTITUTE(_xlpm.raw,"_PIN","."),"PIN","."),_xlpm.mainPart,MID(_xlpm.cleanRaw,2,FIND(".",_xlpm.cleanRaw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278" t="str">
        <f>""</f>
        <v/>
      </c>
      <c r="J1278" t="str">
        <f t="shared" si="19"/>
        <v>BA44;DDR1_BA[1]_CAB6;KA106;24.748;21.978;504106;807023;603085;</v>
      </c>
    </row>
    <row r="1279" spans="1:10">
      <c r="A1279" t="s">
        <v>2092</v>
      </c>
      <c r="B1279" t="str">
        <f>_xlfn.XLOOKUP(A1279,'Pinlist(S1)'!$Q$4:$Q$1362,'Pinlist(S1)'!$R$4:$R$1362,"")</f>
        <v>VSS</v>
      </c>
      <c r="C1279" t="str" cm="1">
        <f t="array" ref="C1279">_xlfn.TEXTJOIN(",",TRUE,_xlfn.UNIQUE(TRANSPOSE(_xlfn.MAP(_xlfn.XLOOKUP(A1279,'Pinlist(S1)'!$C$4:$C$1362,'Pinlist(S1)'!$F$4:$K$1362,""),_xlfn.LAMBDA(_xlpm.x,IF(_xlpm.x&lt;&gt;"",TRIM(CLEAN(LEFT(_xlpm.x,FIND(".",_xlpm.x &amp; ".")-1))),""))))))</f>
        <v/>
      </c>
      <c r="D1279">
        <v>25.262999999999899</v>
      </c>
      <c r="E1279">
        <v>21.571999999999999</v>
      </c>
      <c r="F1279" t="str">
        <f>_xlfn.LET(_xlpm.raw,_xlfn.XLOOKUP(A1279,'Pinlist(S1)'!$C$4:$C$1362,'Pinlist(S1)'!$E$4:$E$1362,""),_xlpm.cleanRaw,SUBSTITUTE(SUBSTITUTE(_xlpm.raw,"_PIN","."),"PIN","."),_xlpm.mainPart,MID(_xlpm.cleanRaw,2,FIND(".",_xlpm.cleanRaw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9" t="str">
        <f>_xlfn.LET(_xlpm.raw,_xlfn.XLOOKUP(A1279,'Pinlist(S3)'!$C$4:$C$1362,'Pinlist(S3)'!$E$4:$E$1362,""),_xlpm.cleanRaw,SUBSTITUTE(SUBSTITUTE(_xlpm.raw,"_PIN","."),"PIN","."),_xlpm.mainPart,MID(_xlpm.cleanRaw,2,FIND(".",_xlpm.cleanRaw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9" t="str">
        <f>_xlfn.LET(_xlpm.raw,_xlfn.XLOOKUP(A1279,'Pinlist(S5)'!$C$4:$C$1362,'Pinlist(S5)'!$E$4:$E$1362,""),_xlpm.cleanRaw,SUBSTITUTE(SUBSTITUTE(_xlpm.raw,"_PIN","."),"PIN","."),_xlpm.mainPart,MID(_xlpm.cleanRaw,2,FIND(".",_xlpm.cleanRaw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9" t="str">
        <f>""</f>
        <v/>
      </c>
      <c r="J1279" t="str">
        <f t="shared" si="19"/>
        <v>BA45;VSS;;25.2629999999999;21.572;;;;</v>
      </c>
    </row>
    <row r="1280" spans="1:10">
      <c r="A1280" t="s">
        <v>346</v>
      </c>
      <c r="B1280" t="str">
        <f>_xlfn.XLOOKUP(A1280,'Pinlist(S1)'!$Q$4:$Q$1362,'Pinlist(S1)'!$R$4:$R$1362,"")</f>
        <v>DDR1_MA[0]_CAB9</v>
      </c>
      <c r="C1280" t="str" cm="1">
        <f t="array" ref="C1280">_xlfn.TEXTJOIN(",",TRUE,_xlfn.UNIQUE(TRANSPOSE(_xlfn.MAP(_xlfn.XLOOKUP(A1280,'Pinlist(S1)'!$C$4:$C$1362,'Pinlist(S1)'!$F$4:$K$1362,""),_xlfn.LAMBDA(_xlpm.x,IF(_xlpm.x&lt;&gt;"",TRIM(CLEAN(LEFT(_xlpm.x,FIND(".",_xlpm.x &amp; ".")-1))),""))))))</f>
        <v>KA107</v>
      </c>
      <c r="D1280">
        <v>25.777000000000001</v>
      </c>
      <c r="E1280">
        <v>21.978000000000002</v>
      </c>
      <c r="F1280" t="str">
        <f>_xlfn.LET(_xlpm.raw,_xlfn.XLOOKUP(A1280,'Pinlist(S1)'!$C$4:$C$1362,'Pinlist(S1)'!$E$4:$E$1362,""),_xlpm.cleanRaw,SUBSTITUTE(SUBSTITUTE(_xlpm.raw,"_PIN","."),"PIN","."),_xlpm.mainPart,MID(_xlpm.cleanRaw,2,FIND(".",_xlpm.cleanRaw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280" t="str">
        <f>_xlfn.LET(_xlpm.raw,_xlfn.XLOOKUP(A1280,'Pinlist(S3)'!$C$4:$C$1362,'Pinlist(S3)'!$E$4:$E$1362,""),_xlpm.cleanRaw,SUBSTITUTE(SUBSTITUTE(_xlpm.raw,"_PIN","."),"PIN","."),_xlpm.mainPart,MID(_xlpm.cleanRaw,2,FIND(".",_xlpm.cleanRaw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280" t="str">
        <f>_xlfn.LET(_xlpm.raw,_xlfn.XLOOKUP(A1280,'Pinlist(S5)'!$C$4:$C$1362,'Pinlist(S5)'!$E$4:$E$1362,""),_xlpm.cleanRaw,SUBSTITUTE(SUBSTITUTE(_xlpm.raw,"_PIN","."),"PIN","."),_xlpm.mainPart,MID(_xlpm.cleanRaw,2,FIND(".",_xlpm.cleanRaw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280" t="str">
        <f>""</f>
        <v/>
      </c>
      <c r="J1280" t="str">
        <f t="shared" si="19"/>
        <v>BA46;DDR1_MA[0]_CAB9;KA107;25.777;21.978;507090;806125;701089;</v>
      </c>
    </row>
    <row r="1281" spans="1:10">
      <c r="A1281" t="s">
        <v>366</v>
      </c>
      <c r="B1281" t="str">
        <f>_xlfn.XLOOKUP(A1281,'Pinlist(S1)'!$Q$4:$Q$1362,'Pinlist(S1)'!$R$4:$R$1362,"")</f>
        <v>DDR1_MA[4]</v>
      </c>
      <c r="C1281" t="str" cm="1">
        <f t="array" ref="C1281">_xlfn.TEXTJOIN(",",TRUE,_xlfn.UNIQUE(TRANSPOSE(_xlfn.MAP(_xlfn.XLOOKUP(A1281,'Pinlist(S1)'!$C$4:$C$1362,'Pinlist(S1)'!$F$4:$K$1362,""),_xlfn.LAMBDA(_xlpm.x,IF(_xlpm.x&lt;&gt;"",TRIM(CLEAN(LEFT(_xlpm.x,FIND(".",_xlpm.x &amp; ".")-1))),""))))))</f>
        <v>KA117</v>
      </c>
      <c r="D1281">
        <v>26.44</v>
      </c>
      <c r="E1281">
        <v>21.652999999999999</v>
      </c>
      <c r="F1281" t="str">
        <f>_xlfn.LET(_xlpm.raw,_xlfn.XLOOKUP(A1281,'Pinlist(S1)'!$C$4:$C$1362,'Pinlist(S1)'!$E$4:$E$1362,""),_xlpm.cleanRaw,SUBSTITUTE(SUBSTITUTE(_xlpm.raw,"_PIN","."),"PIN","."),_xlpm.mainPart,MID(_xlpm.cleanRaw,2,FIND(".",_xlpm.cleanRaw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1281" t="str">
        <f>_xlfn.LET(_xlpm.raw,_xlfn.XLOOKUP(A1281,'Pinlist(S3)'!$C$4:$C$1362,'Pinlist(S3)'!$E$4:$E$1362,""),_xlpm.cleanRaw,SUBSTITUTE(SUBSTITUTE(_xlpm.raw,"_PIN","."),"PIN","."),_xlpm.mainPart,MID(_xlpm.cleanRaw,2,FIND(".",_xlpm.cleanRaw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1281" t="str">
        <f>_xlfn.LET(_xlpm.raw,_xlfn.XLOOKUP(A1281,'Pinlist(S5)'!$C$4:$C$1362,'Pinlist(S5)'!$E$4:$E$1362,""),_xlpm.cleanRaw,SUBSTITUTE(SUBSTITUTE(_xlpm.raw,"_PIN","."),"PIN","."),_xlpm.mainPart,MID(_xlpm.cleanRaw,2,FIND(".",_xlpm.cleanRaw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1281" t="str">
        <f>""</f>
        <v/>
      </c>
      <c r="J1281" t="str">
        <f t="shared" si="19"/>
        <v>BA47;DDR1_MA[4];KA117;26.44;21.653;507105;809120;603118;</v>
      </c>
    </row>
    <row r="1282" spans="1:10">
      <c r="A1282" t="s">
        <v>370</v>
      </c>
      <c r="B1282" t="str">
        <f>_xlfn.XLOOKUP(A1282,'Pinlist(S1)'!$Q$4:$Q$1362,'Pinlist(S1)'!$R$4:$R$1362,"")</f>
        <v>DDR1_MA[6]_CAA2</v>
      </c>
      <c r="C1282" t="str" cm="1">
        <f t="array" ref="C1282">_xlfn.TEXTJOIN(",",TRUE,_xlfn.UNIQUE(TRANSPOSE(_xlfn.MAP(_xlfn.XLOOKUP(A1282,'Pinlist(S1)'!$C$4:$C$1362,'Pinlist(S1)'!$F$4:$K$1362,""),_xlfn.LAMBDA(_xlpm.x,IF(_xlpm.x&lt;&gt;"",TRIM(CLEAN(LEFT(_xlpm.x,FIND(".",_xlpm.x &amp; ".")-1))),""))))))</f>
        <v>KA118</v>
      </c>
      <c r="D1282">
        <v>27.103000000000002</v>
      </c>
      <c r="E1282">
        <v>21.978000000000002</v>
      </c>
      <c r="F1282" t="str">
        <f>_xlfn.LET(_xlpm.raw,_xlfn.XLOOKUP(A1282,'Pinlist(S1)'!$C$4:$C$1362,'Pinlist(S1)'!$E$4:$E$1362,""),_xlpm.cleanRaw,SUBSTITUTE(SUBSTITUTE(_xlpm.raw,"_PIN","."),"PIN","."),_xlpm.mainPart,MID(_xlpm.cleanRaw,2,FIND(".",_xlpm.cleanRaw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1282" t="str">
        <f>_xlfn.LET(_xlpm.raw,_xlfn.XLOOKUP(A1282,'Pinlist(S3)'!$C$4:$C$1362,'Pinlist(S3)'!$E$4:$E$1362,""),_xlpm.cleanRaw,SUBSTITUTE(SUBSTITUTE(_xlpm.raw,"_PIN","."),"PIN","."),_xlpm.mainPart,MID(_xlpm.cleanRaw,2,FIND(".",_xlpm.cleanRaw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1282" t="str">
        <f>_xlfn.LET(_xlpm.raw,_xlfn.XLOOKUP(A1282,'Pinlist(S5)'!$C$4:$C$1362,'Pinlist(S5)'!$E$4:$E$1362,""),_xlpm.cleanRaw,SUBSTITUTE(SUBSTITUTE(_xlpm.raw,"_PIN","."),"PIN","."),_xlpm.mainPart,MID(_xlpm.cleanRaw,2,FIND(".",_xlpm.cleanRaw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1282" t="str">
        <f>""</f>
        <v/>
      </c>
      <c r="J1282" t="str">
        <f t="shared" ref="J1282:J1345" si="20">A1282&amp;";"&amp;B1282&amp;";"&amp;C1282&amp;";"&amp;D1282&amp;";"&amp;E1282&amp;";"&amp;F1282&amp;";"&amp;G1282&amp;";"&amp;H1282&amp;";"&amp;I1282</f>
        <v>BA48;DDR1_MA[6]_CAA2;KA118;27.103;21.978;506001;809125;602077;</v>
      </c>
    </row>
    <row r="1283" spans="1:10">
      <c r="A1283" t="s">
        <v>2093</v>
      </c>
      <c r="B1283" t="str">
        <f>_xlfn.XLOOKUP(A1283,'Pinlist(S1)'!$Q$4:$Q$1362,'Pinlist(S1)'!$R$4:$R$1362,"")</f>
        <v>VSS</v>
      </c>
      <c r="C1283" t="str" cm="1">
        <f t="array" ref="C1283">_xlfn.TEXTJOIN(",",TRUE,_xlfn.UNIQUE(TRANSPOSE(_xlfn.MAP(_xlfn.XLOOKUP(A1283,'Pinlist(S1)'!$C$4:$C$1362,'Pinlist(S1)'!$F$4:$K$1362,""),_xlfn.LAMBDA(_xlpm.x,IF(_xlpm.x&lt;&gt;"",TRIM(CLEAN(LEFT(_xlpm.x,FIND(".",_xlpm.x &amp; ".")-1))),""))))))</f>
        <v/>
      </c>
      <c r="D1283">
        <v>27.669</v>
      </c>
      <c r="E1283">
        <v>21.652999999999999</v>
      </c>
      <c r="F1283" t="str">
        <f>_xlfn.LET(_xlpm.raw,_xlfn.XLOOKUP(A1283,'Pinlist(S1)'!$C$4:$C$1362,'Pinlist(S1)'!$E$4:$E$1362,""),_xlpm.cleanRaw,SUBSTITUTE(SUBSTITUTE(_xlpm.raw,"_PIN","."),"PIN","."),_xlpm.mainPart,MID(_xlpm.cleanRaw,2,FIND(".",_xlpm.cleanRaw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3" t="str">
        <f>_xlfn.LET(_xlpm.raw,_xlfn.XLOOKUP(A1283,'Pinlist(S3)'!$C$4:$C$1362,'Pinlist(S3)'!$E$4:$E$1362,""),_xlpm.cleanRaw,SUBSTITUTE(SUBSTITUTE(_xlpm.raw,"_PIN","."),"PIN","."),_xlpm.mainPart,MID(_xlpm.cleanRaw,2,FIND(".",_xlpm.cleanRaw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3" t="str">
        <f>_xlfn.LET(_xlpm.raw,_xlfn.XLOOKUP(A1283,'Pinlist(S5)'!$C$4:$C$1362,'Pinlist(S5)'!$E$4:$E$1362,""),_xlpm.cleanRaw,SUBSTITUTE(SUBSTITUTE(_xlpm.raw,"_PIN","."),"PIN","."),_xlpm.mainPart,MID(_xlpm.cleanRaw,2,FIND(".",_xlpm.cleanRaw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83" t="str">
        <f>""</f>
        <v/>
      </c>
      <c r="J1283" t="str">
        <f t="shared" si="20"/>
        <v>BA49;VSS;;27.669;21.653;;;;</v>
      </c>
    </row>
    <row r="1284" spans="1:10">
      <c r="A1284" t="s">
        <v>292</v>
      </c>
      <c r="B1284" t="str">
        <f>_xlfn.XLOOKUP(A1284,'Pinlist(S1)'!$Q$4:$Q$1362,'Pinlist(S1)'!$R$4:$R$1362,"")</f>
        <v>DDR0_MA[3]</v>
      </c>
      <c r="C1284" t="str" cm="1">
        <f t="array" ref="C1284">_xlfn.TEXTJOIN(",",TRUE,_xlfn.UNIQUE(TRANSPOSE(_xlfn.MAP(_xlfn.XLOOKUP(A1284,'Pinlist(S1)'!$C$4:$C$1362,'Pinlist(S1)'!$F$4:$K$1362,""),_xlfn.LAMBDA(_xlpm.x,IF(_xlpm.x&lt;&gt;"",TRIM(CLEAN(LEFT(_xlpm.x,FIND(".",_xlpm.x &amp; ".")-1))),""))))))</f>
        <v>KA111</v>
      </c>
      <c r="D1284">
        <v>28.236000000000001</v>
      </c>
      <c r="E1284">
        <v>21.978000000000002</v>
      </c>
      <c r="F1284" t="str">
        <f>_xlfn.LET(_xlpm.raw,_xlfn.XLOOKUP(A1284,'Pinlist(S1)'!$C$4:$C$1362,'Pinlist(S1)'!$E$4:$E$1362,""),_xlpm.cleanRaw,SUBSTITUTE(SUBSTITUTE(_xlpm.raw,"_PIN","."),"PIN","."),_xlpm.mainPart,MID(_xlpm.cleanRaw,2,FIND(".",_xlpm.cleanRaw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1284" t="str">
        <f>_xlfn.LET(_xlpm.raw,_xlfn.XLOOKUP(A1284,'Pinlist(S3)'!$C$4:$C$1362,'Pinlist(S3)'!$E$4:$E$1362,""),_xlpm.cleanRaw,SUBSTITUTE(SUBSTITUTE(_xlpm.raw,"_PIN","."),"PIN","."),_xlpm.mainPart,MID(_xlpm.cleanRaw,2,FIND(".",_xlpm.cleanRaw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1284" t="str">
        <f>_xlfn.LET(_xlpm.raw,_xlfn.XLOOKUP(A1284,'Pinlist(S5)'!$C$4:$C$1362,'Pinlist(S5)'!$E$4:$E$1362,""),_xlpm.cleanRaw,SUBSTITUTE(SUBSTITUTE(_xlpm.raw,"_PIN","."),"PIN","."),_xlpm.mainPart,MID(_xlpm.cleanRaw,2,FIND(".",_xlpm.cleanRaw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1284" t="str">
        <f>""</f>
        <v/>
      </c>
      <c r="J1284" t="str">
        <f t="shared" si="20"/>
        <v>BA50;DDR0_MA[3];KA111;28.236;21.978;507127;805079;603120;</v>
      </c>
    </row>
    <row r="1285" spans="1:10">
      <c r="A1285" t="s">
        <v>296</v>
      </c>
      <c r="B1285" t="str">
        <f>_xlfn.XLOOKUP(A1285,'Pinlist(S1)'!$Q$4:$Q$1362,'Pinlist(S1)'!$R$4:$R$1362,"")</f>
        <v>DDR0_MA[5]_CAA0</v>
      </c>
      <c r="C1285" t="str" cm="1">
        <f t="array" ref="C1285">_xlfn.TEXTJOIN(",",TRUE,_xlfn.UNIQUE(TRANSPOSE(_xlfn.MAP(_xlfn.XLOOKUP(A1285,'Pinlist(S1)'!$C$4:$C$1362,'Pinlist(S1)'!$F$4:$K$1362,""),_xlfn.LAMBDA(_xlpm.x,IF(_xlpm.x&lt;&gt;"",TRIM(CLEAN(LEFT(_xlpm.x,FIND(".",_xlpm.x &amp; ".")-1))),""))))))</f>
        <v>KA117</v>
      </c>
      <c r="D1285">
        <v>28.899000000000001</v>
      </c>
      <c r="E1285">
        <v>21.652999999999999</v>
      </c>
      <c r="F1285" t="str">
        <f>_xlfn.LET(_xlpm.raw,_xlfn.XLOOKUP(A1285,'Pinlist(S1)'!$C$4:$C$1362,'Pinlist(S1)'!$E$4:$E$1362,""),_xlpm.cleanRaw,SUBSTITUTE(SUBSTITUTE(_xlpm.raw,"_PIN","."),"PIN","."),_xlpm.mainPart,MID(_xlpm.cleanRaw,2,FIND(".",_xlpm.cleanRaw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1285" t="str">
        <f>_xlfn.LET(_xlpm.raw,_xlfn.XLOOKUP(A1285,'Pinlist(S3)'!$C$4:$C$1362,'Pinlist(S3)'!$E$4:$E$1362,""),_xlpm.cleanRaw,SUBSTITUTE(SUBSTITUTE(_xlpm.raw,"_PIN","."),"PIN","."),_xlpm.mainPart,MID(_xlpm.cleanRaw,2,FIND(".",_xlpm.cleanRaw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1285" t="str">
        <f>_xlfn.LET(_xlpm.raw,_xlfn.XLOOKUP(A1285,'Pinlist(S5)'!$C$4:$C$1362,'Pinlist(S5)'!$E$4:$E$1362,""),_xlpm.cleanRaw,SUBSTITUTE(SUBSTITUTE(_xlpm.raw,"_PIN","."),"PIN","."),_xlpm.mainPart,MID(_xlpm.cleanRaw,2,FIND(".",_xlpm.cleanRaw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1285" t="str">
        <f>""</f>
        <v/>
      </c>
      <c r="J1285" t="str">
        <f t="shared" si="20"/>
        <v>BA51;DDR0_MA[5]_CAA0;KA117;28.899;21.653;507122;809119;603109;</v>
      </c>
    </row>
    <row r="1286" spans="1:10">
      <c r="A1286" t="s">
        <v>298</v>
      </c>
      <c r="B1286" t="str">
        <f>_xlfn.XLOOKUP(A1286,'Pinlist(S1)'!$Q$4:$Q$1362,'Pinlist(S1)'!$R$4:$R$1362,"")</f>
        <v>DDR0_MA[6]_CAA2</v>
      </c>
      <c r="C1286" t="str" cm="1">
        <f t="array" ref="C1286">_xlfn.TEXTJOIN(",",TRUE,_xlfn.UNIQUE(TRANSPOSE(_xlfn.MAP(_xlfn.XLOOKUP(A1286,'Pinlist(S1)'!$C$4:$C$1362,'Pinlist(S1)'!$F$4:$K$1362,""),_xlfn.LAMBDA(_xlpm.x,IF(_xlpm.x&lt;&gt;"",TRIM(CLEAN(LEFT(_xlpm.x,FIND(".",_xlpm.x &amp; ".")-1))),""))))))</f>
        <v>KA118</v>
      </c>
      <c r="D1286">
        <v>29.561999999999902</v>
      </c>
      <c r="E1286">
        <v>21.978000000000002</v>
      </c>
      <c r="F1286" t="str">
        <f>_xlfn.LET(_xlpm.raw,_xlfn.XLOOKUP(A1286,'Pinlist(S1)'!$C$4:$C$1362,'Pinlist(S1)'!$E$4:$E$1362,""),_xlpm.cleanRaw,SUBSTITUTE(SUBSTITUTE(_xlpm.raw,"_PIN","."),"PIN","."),_xlpm.mainPart,MID(_xlpm.cleanRaw,2,FIND(".",_xlpm.cleanRaw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1286" t="str">
        <f>_xlfn.LET(_xlpm.raw,_xlfn.XLOOKUP(A1286,'Pinlist(S3)'!$C$4:$C$1362,'Pinlist(S3)'!$E$4:$E$1362,""),_xlpm.cleanRaw,SUBSTITUTE(SUBSTITUTE(_xlpm.raw,"_PIN","."),"PIN","."),_xlpm.mainPart,MID(_xlpm.cleanRaw,2,FIND(".",_xlpm.cleanRaw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1286" t="str">
        <f>_xlfn.LET(_xlpm.raw,_xlfn.XLOOKUP(A1286,'Pinlist(S5)'!$C$4:$C$1362,'Pinlist(S5)'!$E$4:$E$1362,""),_xlpm.cleanRaw,SUBSTITUTE(SUBSTITUTE(_xlpm.raw,"_PIN","."),"PIN","."),_xlpm.mainPart,MID(_xlpm.cleanRaw,2,FIND(".",_xlpm.cleanRaw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1286" t="str">
        <f>""</f>
        <v/>
      </c>
      <c r="J1286" t="str">
        <f t="shared" si="20"/>
        <v>BA52;DDR0_MA[6]_CAA2;KA118;29.5619999999999;21.978;506001;809125;602077;</v>
      </c>
    </row>
    <row r="1287" spans="1:10">
      <c r="A1287" t="s">
        <v>2094</v>
      </c>
      <c r="B1287" t="str">
        <f>_xlfn.XLOOKUP(A1287,'Pinlist(S1)'!$Q$4:$Q$1362,'Pinlist(S1)'!$R$4:$R$1362,"")</f>
        <v>VSS</v>
      </c>
      <c r="C1287" t="str" cm="1">
        <f t="array" ref="C1287">_xlfn.TEXTJOIN(",",TRUE,_xlfn.UNIQUE(TRANSPOSE(_xlfn.MAP(_xlfn.XLOOKUP(A1287,'Pinlist(S1)'!$C$4:$C$1362,'Pinlist(S1)'!$F$4:$K$1362,""),_xlfn.LAMBDA(_xlpm.x,IF(_xlpm.x&lt;&gt;"",TRIM(CLEAN(LEFT(_xlpm.x,FIND(".",_xlpm.x &amp; ".")-1))),""))))))</f>
        <v/>
      </c>
      <c r="D1287">
        <v>30.076000000000001</v>
      </c>
      <c r="E1287">
        <v>21.571999999999999</v>
      </c>
      <c r="F1287" t="str">
        <f>_xlfn.LET(_xlpm.raw,_xlfn.XLOOKUP(A1287,'Pinlist(S1)'!$C$4:$C$1362,'Pinlist(S1)'!$E$4:$E$1362,""),_xlpm.cleanRaw,SUBSTITUTE(SUBSTITUTE(_xlpm.raw,"_PIN","."),"PIN","."),_xlpm.mainPart,MID(_xlpm.cleanRaw,2,FIND(".",_xlpm.cleanRaw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7" t="str">
        <f>_xlfn.LET(_xlpm.raw,_xlfn.XLOOKUP(A1287,'Pinlist(S3)'!$C$4:$C$1362,'Pinlist(S3)'!$E$4:$E$1362,""),_xlpm.cleanRaw,SUBSTITUTE(SUBSTITUTE(_xlpm.raw,"_PIN","."),"PIN","."),_xlpm.mainPart,MID(_xlpm.cleanRaw,2,FIND(".",_xlpm.cleanRaw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7" t="str">
        <f>_xlfn.LET(_xlpm.raw,_xlfn.XLOOKUP(A1287,'Pinlist(S5)'!$C$4:$C$1362,'Pinlist(S5)'!$E$4:$E$1362,""),_xlpm.cleanRaw,SUBSTITUTE(SUBSTITUTE(_xlpm.raw,"_PIN","."),"PIN","."),_xlpm.mainPart,MID(_xlpm.cleanRaw,2,FIND(".",_xlpm.cleanRaw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87" t="str">
        <f>""</f>
        <v/>
      </c>
      <c r="J1287" t="str">
        <f t="shared" si="20"/>
        <v>BA53;VSS;;30.076;21.572;;;;</v>
      </c>
    </row>
    <row r="1288" spans="1:10">
      <c r="A1288" t="s">
        <v>280</v>
      </c>
      <c r="B1288" t="str">
        <f>_xlfn.XLOOKUP(A1288,'Pinlist(S1)'!$Q$4:$Q$1362,'Pinlist(S1)'!$R$4:$R$1362,"")</f>
        <v>DDR0_MA[11]_CAA7</v>
      </c>
      <c r="C1288" t="str" cm="1">
        <f t="array" ref="C1288">_xlfn.TEXTJOIN(",",TRUE,_xlfn.UNIQUE(TRANSPOSE(_xlfn.MAP(_xlfn.XLOOKUP(A1288,'Pinlist(S1)'!$C$4:$C$1362,'Pinlist(S1)'!$F$4:$K$1362,""),_xlfn.LAMBDA(_xlpm.x,IF(_xlpm.x&lt;&gt;"",TRIM(CLEAN(LEFT(_xlpm.x,FIND(".",_xlpm.x &amp; ".")-1))),""))))))</f>
        <v>KA108</v>
      </c>
      <c r="D1288">
        <v>30.59</v>
      </c>
      <c r="E1288">
        <v>21.978000000000002</v>
      </c>
      <c r="F1288" t="str">
        <f>_xlfn.LET(_xlpm.raw,_xlfn.XLOOKUP(A1288,'Pinlist(S1)'!$C$4:$C$1362,'Pinlist(S1)'!$E$4:$E$1362,""),_xlpm.cleanRaw,SUBSTITUTE(SUBSTITUTE(_xlpm.raw,"_PIN","."),"PIN","."),_xlpm.mainPart,MID(_xlpm.cleanRaw,2,FIND(".",_xlpm.cleanRaw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1288" t="str">
        <f>_xlfn.LET(_xlpm.raw,_xlfn.XLOOKUP(A1288,'Pinlist(S3)'!$C$4:$C$1362,'Pinlist(S3)'!$E$4:$E$1362,""),_xlpm.cleanRaw,SUBSTITUTE(SUBSTITUTE(_xlpm.raw,"_PIN","."),"PIN","."),_xlpm.mainPart,MID(_xlpm.cleanRaw,2,FIND(".",_xlpm.cleanRaw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1288" t="str">
        <f>_xlfn.LET(_xlpm.raw,_xlfn.XLOOKUP(A1288,'Pinlist(S5)'!$C$4:$C$1362,'Pinlist(S5)'!$E$4:$E$1362,""),_xlpm.cleanRaw,SUBSTITUTE(SUBSTITUTE(_xlpm.raw,"_PIN","."),"PIN","."),_xlpm.mainPart,MID(_xlpm.cleanRaw,2,FIND(".",_xlpm.cleanRaw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1288" t="str">
        <f>""</f>
        <v/>
      </c>
      <c r="J1288" t="str">
        <f t="shared" si="20"/>
        <v>BA54;DDR0_MA[11]_CAA7;KA108;30.59;21.978;508053;805047;703034;</v>
      </c>
    </row>
    <row r="1289" spans="1:10">
      <c r="A1289" t="s">
        <v>288</v>
      </c>
      <c r="B1289" t="str">
        <f>_xlfn.XLOOKUP(A1289,'Pinlist(S1)'!$Q$4:$Q$1362,'Pinlist(S1)'!$R$4:$R$1362,"")</f>
        <v>DDR0_MA[15]_CAA8_ACT_N</v>
      </c>
      <c r="C1289" t="str" cm="1">
        <f t="array" ref="C1289">_xlfn.TEXTJOIN(",",TRUE,_xlfn.UNIQUE(TRANSPOSE(_xlfn.MAP(_xlfn.XLOOKUP(A1289,'Pinlist(S1)'!$C$4:$C$1362,'Pinlist(S1)'!$F$4:$K$1362,""),_xlfn.LAMBDA(_xlpm.x,IF(_xlpm.x&lt;&gt;"",TRIM(CLEAN(LEFT(_xlpm.x,FIND(".",_xlpm.x &amp; ".")-1))),""))))))</f>
        <v>KA110</v>
      </c>
      <c r="D1289">
        <v>31.253</v>
      </c>
      <c r="E1289">
        <v>21.652999999999999</v>
      </c>
      <c r="F1289" t="str">
        <f>_xlfn.LET(_xlpm.raw,_xlfn.XLOOKUP(A1289,'Pinlist(S1)'!$C$4:$C$1362,'Pinlist(S1)'!$E$4:$E$1362,""),_xlpm.cleanRaw,SUBSTITUTE(SUBSTITUTE(_xlpm.raw,"_PIN","."),"PIN","."),_xlpm.mainPart,MID(_xlpm.cleanRaw,2,FIND(".",_xlpm.cleanRaw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1289" t="str">
        <f>_xlfn.LET(_xlpm.raw,_xlfn.XLOOKUP(A1289,'Pinlist(S3)'!$C$4:$C$1362,'Pinlist(S3)'!$E$4:$E$1362,""),_xlpm.cleanRaw,SUBSTITUTE(SUBSTITUTE(_xlpm.raw,"_PIN","."),"PIN","."),_xlpm.mainPart,MID(_xlpm.cleanRaw,2,FIND(".",_xlpm.cleanRaw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1289" t="str">
        <f>_xlfn.LET(_xlpm.raw,_xlfn.XLOOKUP(A1289,'Pinlist(S5)'!$C$4:$C$1362,'Pinlist(S5)'!$E$4:$E$1362,""),_xlpm.cleanRaw,SUBSTITUTE(SUBSTITUTE(_xlpm.raw,"_PIN","."),"PIN","."),_xlpm.mainPart,MID(_xlpm.cleanRaw,2,FIND(".",_xlpm.cleanRaw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1289" t="str">
        <f>""</f>
        <v/>
      </c>
      <c r="J1289" t="str">
        <f t="shared" si="20"/>
        <v>BA55;DDR0_MA[15]_CAA8_ACT_N;KA110;31.253;21.653;509031;804040;703004;</v>
      </c>
    </row>
    <row r="1290" spans="1:10">
      <c r="A1290" t="s">
        <v>253</v>
      </c>
      <c r="B1290" t="str">
        <f>_xlfn.XLOOKUP(A1290,'Pinlist(S1)'!$Q$4:$Q$1362,'Pinlist(S1)'!$R$4:$R$1362,"")</f>
        <v>DDR0_CKE[0]</v>
      </c>
      <c r="C1290" t="str" cm="1">
        <f t="array" ref="C1290">_xlfn.TEXTJOIN(",",TRUE,_xlfn.UNIQUE(TRANSPOSE(_xlfn.MAP(_xlfn.XLOOKUP(A1290,'Pinlist(S1)'!$C$4:$C$1362,'Pinlist(S1)'!$F$4:$K$1362,""),_xlfn.LAMBDA(_xlpm.x,IF(_xlpm.x&lt;&gt;"",TRIM(CLEAN(LEFT(_xlpm.x,FIND(".",_xlpm.x &amp; ".")-1))),""))))))</f>
        <v>KA101</v>
      </c>
      <c r="D1290">
        <v>31.916</v>
      </c>
      <c r="E1290">
        <v>21.978000000000002</v>
      </c>
      <c r="F1290" t="str">
        <f>_xlfn.LET(_xlpm.raw,_xlfn.XLOOKUP(A1290,'Pinlist(S1)'!$C$4:$C$1362,'Pinlist(S1)'!$E$4:$E$1362,""),_xlpm.cleanRaw,SUBSTITUTE(SUBSTITUTE(_xlpm.raw,"_PIN","."),"PIN","."),_xlpm.mainPart,MID(_xlpm.cleanRaw,2,FIND(".",_xlpm.cleanRaw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1290" t="str">
        <f>_xlfn.LET(_xlpm.raw,_xlfn.XLOOKUP(A1290,'Pinlist(S3)'!$C$4:$C$1362,'Pinlist(S3)'!$E$4:$E$1362,""),_xlpm.cleanRaw,SUBSTITUTE(SUBSTITUTE(_xlpm.raw,"_PIN","."),"PIN","."),_xlpm.mainPart,MID(_xlpm.cleanRaw,2,FIND(".",_xlpm.cleanRaw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1290" t="str">
        <f>_xlfn.LET(_xlpm.raw,_xlfn.XLOOKUP(A1290,'Pinlist(S5)'!$C$4:$C$1362,'Pinlist(S5)'!$E$4:$E$1362,""),_xlpm.cleanRaw,SUBSTITUTE(SUBSTITUTE(_xlpm.raw,"_PIN","."),"PIN","."),_xlpm.mainPart,MID(_xlpm.cleanRaw,2,FIND(".",_xlpm.cleanRaw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1290" t="str">
        <f>""</f>
        <v/>
      </c>
      <c r="J1290" t="str">
        <f t="shared" si="20"/>
        <v>BA56;DDR0_CKE[0];KA101;31.916;21.978;508042;804001;703039;</v>
      </c>
    </row>
    <row r="1291" spans="1:10">
      <c r="A1291" t="s">
        <v>2095</v>
      </c>
      <c r="B1291" t="str">
        <f>_xlfn.XLOOKUP(A1291,'Pinlist(S1)'!$Q$4:$Q$1362,'Pinlist(S1)'!$R$4:$R$1362,"")</f>
        <v>VSS</v>
      </c>
      <c r="C1291" t="str" cm="1">
        <f t="array" ref="C1291">_xlfn.TEXTJOIN(",",TRUE,_xlfn.UNIQUE(TRANSPOSE(_xlfn.MAP(_xlfn.XLOOKUP(A1291,'Pinlist(S1)'!$C$4:$C$1362,'Pinlist(S1)'!$F$4:$K$1362,""),_xlfn.LAMBDA(_xlpm.x,IF(_xlpm.x&lt;&gt;"",TRIM(CLEAN(LEFT(_xlpm.x,FIND(".",_xlpm.x &amp; ".")-1))),""))))))</f>
        <v/>
      </c>
      <c r="D1291">
        <v>32.554000000000002</v>
      </c>
      <c r="E1291">
        <v>21.571999999999999</v>
      </c>
      <c r="F1291" t="str">
        <f>_xlfn.LET(_xlpm.raw,_xlfn.XLOOKUP(A1291,'Pinlist(S1)'!$C$4:$C$1362,'Pinlist(S1)'!$E$4:$E$1362,""),_xlpm.cleanRaw,SUBSTITUTE(SUBSTITUTE(_xlpm.raw,"_PIN","."),"PIN","."),_xlpm.mainPart,MID(_xlpm.cleanRaw,2,FIND(".",_xlpm.cleanRaw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1" t="str">
        <f>_xlfn.LET(_xlpm.raw,_xlfn.XLOOKUP(A1291,'Pinlist(S3)'!$C$4:$C$1362,'Pinlist(S3)'!$E$4:$E$1362,""),_xlpm.cleanRaw,SUBSTITUTE(SUBSTITUTE(_xlpm.raw,"_PIN","."),"PIN","."),_xlpm.mainPart,MID(_xlpm.cleanRaw,2,FIND(".",_xlpm.cleanRaw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1" t="str">
        <f>_xlfn.LET(_xlpm.raw,_xlfn.XLOOKUP(A1291,'Pinlist(S5)'!$C$4:$C$1362,'Pinlist(S5)'!$E$4:$E$1362,""),_xlpm.cleanRaw,SUBSTITUTE(SUBSTITUTE(_xlpm.raw,"_PIN","."),"PIN","."),_xlpm.mainPart,MID(_xlpm.cleanRaw,2,FIND(".",_xlpm.cleanRaw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1" t="str">
        <f>""</f>
        <v/>
      </c>
      <c r="J1291" t="str">
        <f t="shared" si="20"/>
        <v>BA57;VSS;;32.554;21.572;;;;</v>
      </c>
    </row>
    <row r="1292" spans="1:10">
      <c r="A1292" t="s">
        <v>448</v>
      </c>
      <c r="B1292" t="str">
        <f>_xlfn.XLOOKUP(A1292,'Pinlist(S1)'!$Q$4:$Q$1362,'Pinlist(S1)'!$R$4:$R$1362,"")</f>
        <v>DDRDQ_IL03_NIL05[6]</v>
      </c>
      <c r="C1292" t="str" cm="1">
        <f t="array" ref="C1292">_xlfn.TEXTJOIN(",",TRUE,_xlfn.UNIQUE(TRANSPOSE(_xlfn.MAP(_xlfn.XLOOKUP(A1292,'Pinlist(S1)'!$C$4:$C$1362,'Pinlist(S1)'!$F$4:$K$1362,""),_xlfn.LAMBDA(_xlpm.x,IF(_xlpm.x&lt;&gt;"",TRIM(CLEAN(LEFT(_xlpm.x,FIND(".",_xlpm.x &amp; ".")-1))),""))))))</f>
        <v/>
      </c>
      <c r="D1292">
        <v>33.191000000000003</v>
      </c>
      <c r="E1292">
        <v>21.978000000000002</v>
      </c>
      <c r="F1292" t="str">
        <f>_xlfn.LET(_xlpm.raw,_xlfn.XLOOKUP(A1292,'Pinlist(S1)'!$C$4:$C$1362,'Pinlist(S1)'!$E$4:$E$1362,""),_xlpm.cleanRaw,SUBSTITUTE(SUBSTITUTE(_xlpm.raw,"_PIN","."),"PIN","."),_xlpm.mainPart,MID(_xlpm.cleanRaw,2,FIND(".",_xlpm.cleanRaw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607004</v>
      </c>
      <c r="G1292" t="str">
        <f>_xlfn.LET(_xlpm.raw,_xlfn.XLOOKUP(A1292,'Pinlist(S3)'!$C$4:$C$1362,'Pinlist(S3)'!$E$4:$E$1362,""),_xlpm.cleanRaw,SUBSTITUTE(SUBSTITUTE(_xlpm.raw,"_PIN","."),"PIN","."),_xlpm.mainPart,MID(_xlpm.cleanRaw,2,FIND(".",_xlpm.cleanRaw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801002</v>
      </c>
      <c r="H1292" t="str">
        <f>_xlfn.LET(_xlpm.raw,_xlfn.XLOOKUP(A1292,'Pinlist(S5)'!$C$4:$C$1362,'Pinlist(S5)'!$E$4:$E$1362,""),_xlpm.cleanRaw,SUBSTITUTE(SUBSTITUTE(_xlpm.raw,"_PIN","."),"PIN","."),_xlpm.mainPart,MID(_xlpm.cleanRaw,2,FIND(".",_xlpm.cleanRaw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706002</v>
      </c>
      <c r="I1292" t="str">
        <f>""</f>
        <v/>
      </c>
      <c r="J1292" t="str">
        <f t="shared" si="20"/>
        <v>BA59;DDRDQ_IL03_NIL05[6];;33.191;21.978;607004;801002;706002;</v>
      </c>
    </row>
    <row r="1293" spans="1:10">
      <c r="A1293" t="s">
        <v>682</v>
      </c>
      <c r="B1293" t="str">
        <f>_xlfn.XLOOKUP(A1293,'Pinlist(S1)'!$Q$4:$Q$1362,'Pinlist(S1)'!$R$4:$R$1362,"")</f>
        <v>DDRDQSP_IL03_NIL05</v>
      </c>
      <c r="C1293" t="str" cm="1">
        <f t="array" ref="C1293">_xlfn.TEXTJOIN(",",TRUE,_xlfn.UNIQUE(TRANSPOSE(_xlfn.MAP(_xlfn.XLOOKUP(A1293,'Pinlist(S1)'!$C$4:$C$1362,'Pinlist(S1)'!$F$4:$K$1362,""),_xlfn.LAMBDA(_xlpm.x,IF(_xlpm.x&lt;&gt;"",TRIM(CLEAN(LEFT(_xlpm.x,FIND(".",_xlpm.x &amp; ".")-1))),""))))))</f>
        <v/>
      </c>
      <c r="D1293">
        <v>33.853999999999999</v>
      </c>
      <c r="E1293">
        <v>21.652999999999999</v>
      </c>
      <c r="F1293" t="str">
        <f>_xlfn.LET(_xlpm.raw,_xlfn.XLOOKUP(A1293,'Pinlist(S1)'!$C$4:$C$1362,'Pinlist(S1)'!$E$4:$E$1362,""),_xlpm.cleanRaw,SUBSTITUTE(SUBSTITUTE(_xlpm.raw,"_PIN","."),"PIN","."),_xlpm.mainPart,MID(_xlpm.cleanRaw,2,FIND(".",_xlpm.cleanRaw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607029</v>
      </c>
      <c r="G1293" t="str">
        <f>_xlfn.LET(_xlpm.raw,_xlfn.XLOOKUP(A1293,'Pinlist(S3)'!$C$4:$C$1362,'Pinlist(S3)'!$E$4:$E$1362,""),_xlpm.cleanRaw,SUBSTITUTE(SUBSTITUTE(_xlpm.raw,"_PIN","."),"PIN","."),_xlpm.mainPart,MID(_xlpm.cleanRaw,2,FIND(".",_xlpm.cleanRaw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801029</v>
      </c>
      <c r="H1293" t="str">
        <f>_xlfn.LET(_xlpm.raw,_xlfn.XLOOKUP(A1293,'Pinlist(S5)'!$C$4:$C$1362,'Pinlist(S5)'!$E$4:$E$1362,""),_xlpm.cleanRaw,SUBSTITUTE(SUBSTITUTE(_xlpm.raw,"_PIN","."),"PIN","."),_xlpm.mainPart,MID(_xlpm.cleanRaw,2,FIND(".",_xlpm.cleanRaw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706029</v>
      </c>
      <c r="I1293" t="str">
        <f>""</f>
        <v/>
      </c>
      <c r="J1293" t="str">
        <f t="shared" si="20"/>
        <v>BA60;DDRDQSP_IL03_NIL05;;33.854;21.653;607029;801029;706029;</v>
      </c>
    </row>
    <row r="1294" spans="1:10">
      <c r="A1294" t="s">
        <v>436</v>
      </c>
      <c r="B1294" t="str">
        <f>_xlfn.XLOOKUP(A1294,'Pinlist(S1)'!$Q$4:$Q$1362,'Pinlist(S1)'!$R$4:$R$1362,"")</f>
        <v>DDRDQ_IL03_NIL05[0]</v>
      </c>
      <c r="C1294" t="str" cm="1">
        <f t="array" ref="C1294">_xlfn.TEXTJOIN(",",TRUE,_xlfn.UNIQUE(TRANSPOSE(_xlfn.MAP(_xlfn.XLOOKUP(A1294,'Pinlist(S1)'!$C$4:$C$1362,'Pinlist(S1)'!$F$4:$K$1362,""),_xlfn.LAMBDA(_xlpm.x,IF(_xlpm.x&lt;&gt;"",TRIM(CLEAN(LEFT(_xlpm.x,FIND(".",_xlpm.x &amp; ".")-1))),""))))))</f>
        <v/>
      </c>
      <c r="D1294">
        <v>34.516999999999904</v>
      </c>
      <c r="E1294">
        <v>21.978000000000002</v>
      </c>
      <c r="F1294" t="str">
        <f>_xlfn.LET(_xlpm.raw,_xlfn.XLOOKUP(A1294,'Pinlist(S1)'!$C$4:$C$1362,'Pinlist(S1)'!$E$4:$E$1362,""),_xlpm.cleanRaw,SUBSTITUTE(SUBSTITUTE(_xlpm.raw,"_PIN","."),"PIN","."),_xlpm.mainPart,MID(_xlpm.cleanRaw,2,FIND(".",_xlpm.cleanRaw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607003</v>
      </c>
      <c r="G1294" t="str">
        <f>_xlfn.LET(_xlpm.raw,_xlfn.XLOOKUP(A1294,'Pinlist(S3)'!$C$4:$C$1362,'Pinlist(S3)'!$E$4:$E$1362,""),_xlpm.cleanRaw,SUBSTITUTE(SUBSTITUTE(_xlpm.raw,"_PIN","."),"PIN","."),_xlpm.mainPart,MID(_xlpm.cleanRaw,2,FIND(".",_xlpm.cleanRaw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801003</v>
      </c>
      <c r="H1294" t="str">
        <f>_xlfn.LET(_xlpm.raw,_xlfn.XLOOKUP(A1294,'Pinlist(S5)'!$C$4:$C$1362,'Pinlist(S5)'!$E$4:$E$1362,""),_xlpm.cleanRaw,SUBSTITUTE(SUBSTITUTE(_xlpm.raw,"_PIN","."),"PIN","."),_xlpm.mainPart,MID(_xlpm.cleanRaw,2,FIND(".",_xlpm.cleanRaw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706011</v>
      </c>
      <c r="I1294" t="str">
        <f>""</f>
        <v/>
      </c>
      <c r="J1294" t="str">
        <f t="shared" si="20"/>
        <v>BA61;DDRDQ_IL03_NIL05[0];;34.5169999999999;21.978;607003;801003;706011;</v>
      </c>
    </row>
    <row r="1295" spans="1:10">
      <c r="A1295" t="s">
        <v>2097</v>
      </c>
      <c r="B1295" t="str">
        <f>_xlfn.XLOOKUP(A1295,'Pinlist(S1)'!$Q$4:$Q$1362,'Pinlist(S1)'!$R$4:$R$1362,"")</f>
        <v>VSS</v>
      </c>
      <c r="C1295" t="str" cm="1">
        <f t="array" ref="C1295">_xlfn.TEXTJOIN(",",TRUE,_xlfn.UNIQUE(TRANSPOSE(_xlfn.MAP(_xlfn.XLOOKUP(A1295,'Pinlist(S1)'!$C$4:$C$1362,'Pinlist(S1)'!$F$4:$K$1362,""),_xlfn.LAMBDA(_xlpm.x,IF(_xlpm.x&lt;&gt;"",TRIM(CLEAN(LEFT(_xlpm.x,FIND(".",_xlpm.x &amp; ".")-1))),""))))))</f>
        <v/>
      </c>
      <c r="D1295">
        <v>35.031999999999996</v>
      </c>
      <c r="E1295">
        <v>21.571999999999999</v>
      </c>
      <c r="F1295" t="str">
        <f>_xlfn.LET(_xlpm.raw,_xlfn.XLOOKUP(A1295,'Pinlist(S1)'!$C$4:$C$1362,'Pinlist(S1)'!$E$4:$E$1362,""),_xlpm.cleanRaw,SUBSTITUTE(SUBSTITUTE(_xlpm.raw,"_PIN","."),"PIN","."),_xlpm.mainPart,MID(_xlpm.cleanRaw,2,FIND(".",_xlpm.cleanRaw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5" t="str">
        <f>_xlfn.LET(_xlpm.raw,_xlfn.XLOOKUP(A1295,'Pinlist(S3)'!$C$4:$C$1362,'Pinlist(S3)'!$E$4:$E$1362,""),_xlpm.cleanRaw,SUBSTITUTE(SUBSTITUTE(_xlpm.raw,"_PIN","."),"PIN","."),_xlpm.mainPart,MID(_xlpm.cleanRaw,2,FIND(".",_xlpm.cleanRaw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5" t="str">
        <f>_xlfn.LET(_xlpm.raw,_xlfn.XLOOKUP(A1295,'Pinlist(S5)'!$C$4:$C$1362,'Pinlist(S5)'!$E$4:$E$1362,""),_xlpm.cleanRaw,SUBSTITUTE(SUBSTITUTE(_xlpm.raw,"_PIN","."),"PIN","."),_xlpm.mainPart,MID(_xlpm.cleanRaw,2,FIND(".",_xlpm.cleanRaw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5" t="str">
        <f>""</f>
        <v/>
      </c>
      <c r="J1295" t="str">
        <f t="shared" si="20"/>
        <v>BA62;VSS;;35.032;21.572;;;;</v>
      </c>
    </row>
    <row r="1296" spans="1:10">
      <c r="A1296" t="s">
        <v>432</v>
      </c>
      <c r="B1296" t="str">
        <f>_xlfn.XLOOKUP(A1296,'Pinlist(S1)'!$Q$4:$Q$1362,'Pinlist(S1)'!$R$4:$R$1362,"")</f>
        <v>DDRDQ_IL02_NIL04[6]</v>
      </c>
      <c r="C1296" t="str" cm="1">
        <f t="array" ref="C1296">_xlfn.TEXTJOIN(",",TRUE,_xlfn.UNIQUE(TRANSPOSE(_xlfn.MAP(_xlfn.XLOOKUP(A1296,'Pinlist(S1)'!$C$4:$C$1362,'Pinlist(S1)'!$F$4:$K$1362,""),_xlfn.LAMBDA(_xlpm.x,IF(_xlpm.x&lt;&gt;"",TRIM(CLEAN(LEFT(_xlpm.x,FIND(".",_xlpm.x &amp; ".")-1))),""))))))</f>
        <v/>
      </c>
      <c r="D1296">
        <v>35.545999999999999</v>
      </c>
      <c r="E1296">
        <v>21.978000000000002</v>
      </c>
      <c r="F1296" t="str">
        <f>_xlfn.LET(_xlpm.raw,_xlfn.XLOOKUP(A1296,'Pinlist(S1)'!$C$4:$C$1362,'Pinlist(S1)'!$E$4:$E$1362,""),_xlpm.cleanRaw,SUBSTITUTE(SUBSTITUTE(_xlpm.raw,"_PIN","."),"PIN","."),_xlpm.mainPart,MID(_xlpm.cleanRaw,2,FIND(".",_xlpm.cleanRaw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607024</v>
      </c>
      <c r="G1296" t="str">
        <f>_xlfn.LET(_xlpm.raw,_xlfn.XLOOKUP(A1296,'Pinlist(S3)'!$C$4:$C$1362,'Pinlist(S3)'!$E$4:$E$1362,""),_xlpm.cleanRaw,SUBSTITUTE(SUBSTITUTE(_xlpm.raw,"_PIN","."),"PIN","."),_xlpm.mainPart,MID(_xlpm.cleanRaw,2,FIND(".",_xlpm.cleanRaw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501109</v>
      </c>
      <c r="H1296" t="str">
        <f>_xlfn.LET(_xlpm.raw,_xlfn.XLOOKUP(A1296,'Pinlist(S5)'!$C$4:$C$1362,'Pinlist(S5)'!$E$4:$E$1362,""),_xlpm.cleanRaw,SUBSTITUTE(SUBSTITUTE(_xlpm.raw,"_PIN","."),"PIN","."),_xlpm.mainPart,MID(_xlpm.cleanRaw,2,FIND(".",_xlpm.cleanRaw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706024</v>
      </c>
      <c r="I1296" t="str">
        <f>""</f>
        <v/>
      </c>
      <c r="J1296" t="str">
        <f t="shared" si="20"/>
        <v>BA63;DDRDQ_IL02_NIL04[6];;35.546;21.978;607024;501109;706024;</v>
      </c>
    </row>
    <row r="1297" spans="1:10">
      <c r="A1297" t="s">
        <v>648</v>
      </c>
      <c r="B1297" t="str">
        <f>_xlfn.XLOOKUP(A1297,'Pinlist(S1)'!$Q$4:$Q$1362,'Pinlist(S1)'!$R$4:$R$1362,"")</f>
        <v>DDRDQSN_IL02_NIL04</v>
      </c>
      <c r="C1297" t="str" cm="1">
        <f t="array" ref="C1297">_xlfn.TEXTJOIN(",",TRUE,_xlfn.UNIQUE(TRANSPOSE(_xlfn.MAP(_xlfn.XLOOKUP(A1297,'Pinlist(S1)'!$C$4:$C$1362,'Pinlist(S1)'!$F$4:$K$1362,""),_xlfn.LAMBDA(_xlpm.x,IF(_xlpm.x&lt;&gt;"",TRIM(CLEAN(LEFT(_xlpm.x,FIND(".",_xlpm.x &amp; ".")-1))),""))))))</f>
        <v/>
      </c>
      <c r="D1297">
        <v>36.209000000000003</v>
      </c>
      <c r="E1297">
        <v>21.652999999999999</v>
      </c>
      <c r="F1297" t="str">
        <f>_xlfn.LET(_xlpm.raw,_xlfn.XLOOKUP(A1297,'Pinlist(S1)'!$C$4:$C$1362,'Pinlist(S1)'!$E$4:$E$1362,""),_xlpm.cleanRaw,SUBSTITUTE(SUBSTITUTE(_xlpm.raw,"_PIN","."),"PIN","."),_xlpm.mainPart,MID(_xlpm.cleanRaw,2,FIND(".",_xlpm.cleanRaw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607031</v>
      </c>
      <c r="G1297" t="str">
        <f>_xlfn.LET(_xlpm.raw,_xlfn.XLOOKUP(A1297,'Pinlist(S3)'!$C$4:$C$1362,'Pinlist(S3)'!$E$4:$E$1362,""),_xlpm.cleanRaw,SUBSTITUTE(SUBSTITUTE(_xlpm.raw,"_PIN","."),"PIN","."),_xlpm.mainPart,MID(_xlpm.cleanRaw,2,FIND(".",_xlpm.cleanRaw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801031</v>
      </c>
      <c r="H1297" t="str">
        <f>_xlfn.LET(_xlpm.raw,_xlfn.XLOOKUP(A1297,'Pinlist(S5)'!$C$4:$C$1362,'Pinlist(S5)'!$E$4:$E$1362,""),_xlpm.cleanRaw,SUBSTITUTE(SUBSTITUTE(_xlpm.raw,"_PIN","."),"PIN","."),_xlpm.mainPart,MID(_xlpm.cleanRaw,2,FIND(".",_xlpm.cleanRaw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706031</v>
      </c>
      <c r="I1297" t="str">
        <f>""</f>
        <v/>
      </c>
      <c r="J1297" t="str">
        <f t="shared" si="20"/>
        <v>BA64;DDRDQSN_IL02_NIL04;;36.209;21.653;607031;801031;706031;</v>
      </c>
    </row>
    <row r="1298" spans="1:10">
      <c r="A1298" t="s">
        <v>428</v>
      </c>
      <c r="B1298" t="str">
        <f>_xlfn.XLOOKUP(A1298,'Pinlist(S1)'!$Q$4:$Q$1362,'Pinlist(S1)'!$R$4:$R$1362,"")</f>
        <v>DDRDQ_IL02_NIL04[4]</v>
      </c>
      <c r="C1298" t="str" cm="1">
        <f t="array" ref="C1298">_xlfn.TEXTJOIN(",",TRUE,_xlfn.UNIQUE(TRANSPOSE(_xlfn.MAP(_xlfn.XLOOKUP(A1298,'Pinlist(S1)'!$C$4:$C$1362,'Pinlist(S1)'!$F$4:$K$1362,""),_xlfn.LAMBDA(_xlpm.x,IF(_xlpm.x&lt;&gt;"",TRIM(CLEAN(LEFT(_xlpm.x,FIND(".",_xlpm.x &amp; ".")-1))),""))))))</f>
        <v/>
      </c>
      <c r="D1298">
        <v>36.872</v>
      </c>
      <c r="E1298">
        <v>21.978000000000002</v>
      </c>
      <c r="F1298" t="str">
        <f>_xlfn.LET(_xlpm.raw,_xlfn.XLOOKUP(A1298,'Pinlist(S1)'!$C$4:$C$1362,'Pinlist(S1)'!$E$4:$E$1362,""),_xlpm.cleanRaw,SUBSTITUTE(SUBSTITUTE(_xlpm.raw,"_PIN","."),"PIN","."),_xlpm.mainPart,MID(_xlpm.cleanRaw,2,FIND(".",_xlpm.cleanRaw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606110</v>
      </c>
      <c r="G1298" t="str">
        <f>_xlfn.LET(_xlpm.raw,_xlfn.XLOOKUP(A1298,'Pinlist(S3)'!$C$4:$C$1362,'Pinlist(S3)'!$E$4:$E$1362,""),_xlpm.cleanRaw,SUBSTITUTE(SUBSTITUTE(_xlpm.raw,"_PIN","."),"PIN","."),_xlpm.mainPart,MID(_xlpm.cleanRaw,2,FIND(".",_xlpm.cleanRaw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502072</v>
      </c>
      <c r="H1298" t="str">
        <f>_xlfn.LET(_xlpm.raw,_xlfn.XLOOKUP(A1298,'Pinlist(S5)'!$C$4:$C$1362,'Pinlist(S5)'!$E$4:$E$1362,""),_xlpm.cleanRaw,SUBSTITUTE(SUBSTITUTE(_xlpm.raw,"_PIN","."),"PIN","."),_xlpm.mainPart,MID(_xlpm.cleanRaw,2,FIND(".",_xlpm.cleanRaw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707110</v>
      </c>
      <c r="I1298" t="str">
        <f>""</f>
        <v/>
      </c>
      <c r="J1298" t="str">
        <f t="shared" si="20"/>
        <v>BA65;DDRDQ_IL02_NIL04[4];;36.872;21.978;606110;502072;707110;</v>
      </c>
    </row>
    <row r="1299" spans="1:10">
      <c r="A1299" t="s">
        <v>2098</v>
      </c>
      <c r="B1299" t="str">
        <f>_xlfn.XLOOKUP(A1299,'Pinlist(S1)'!$Q$4:$Q$1362,'Pinlist(S1)'!$R$4:$R$1362,"")</f>
        <v>VSS</v>
      </c>
      <c r="C1299" t="str" cm="1">
        <f t="array" ref="C1299">_xlfn.TEXTJOIN(",",TRUE,_xlfn.UNIQUE(TRANSPOSE(_xlfn.MAP(_xlfn.XLOOKUP(A1299,'Pinlist(S1)'!$C$4:$C$1362,'Pinlist(S1)'!$F$4:$K$1362,""),_xlfn.LAMBDA(_xlpm.x,IF(_xlpm.x&lt;&gt;"",TRIM(CLEAN(LEFT(_xlpm.x,FIND(".",_xlpm.x &amp; ".")-1))),""))))))</f>
        <v/>
      </c>
      <c r="D1299">
        <v>37.534999999999997</v>
      </c>
      <c r="E1299">
        <v>21.652999999999999</v>
      </c>
      <c r="F1299" t="str">
        <f>_xlfn.LET(_xlpm.raw,_xlfn.XLOOKUP(A1299,'Pinlist(S1)'!$C$4:$C$1362,'Pinlist(S1)'!$E$4:$E$1362,""),_xlpm.cleanRaw,SUBSTITUTE(SUBSTITUTE(_xlpm.raw,"_PIN","."),"PIN","."),_xlpm.mainPart,MID(_xlpm.cleanRaw,2,FIND(".",_xlpm.cleanRaw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9" t="str">
        <f>_xlfn.LET(_xlpm.raw,_xlfn.XLOOKUP(A1299,'Pinlist(S3)'!$C$4:$C$1362,'Pinlist(S3)'!$E$4:$E$1362,""),_xlpm.cleanRaw,SUBSTITUTE(SUBSTITUTE(_xlpm.raw,"_PIN","."),"PIN","."),_xlpm.mainPart,MID(_xlpm.cleanRaw,2,FIND(".",_xlpm.cleanRaw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9" t="str">
        <f>_xlfn.LET(_xlpm.raw,_xlfn.XLOOKUP(A1299,'Pinlist(S5)'!$C$4:$C$1362,'Pinlist(S5)'!$E$4:$E$1362,""),_xlpm.cleanRaw,SUBSTITUTE(SUBSTITUTE(_xlpm.raw,"_PIN","."),"PIN","."),_xlpm.mainPart,MID(_xlpm.cleanRaw,2,FIND(".",_xlpm.cleanRaw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9" t="str">
        <f>""</f>
        <v/>
      </c>
      <c r="J1299" t="str">
        <f t="shared" si="20"/>
        <v>BA66;VSS;;37.535;21.653;;;;</v>
      </c>
    </row>
    <row r="1300" spans="1:10">
      <c r="A1300" t="s">
        <v>238</v>
      </c>
      <c r="B1300" t="str">
        <f>_xlfn.XLOOKUP(A1300,'Pinlist(S1)'!$Q$4:$Q$1362,'Pinlist(S1)'!$R$4:$R$1362,"")</f>
        <v>DDR_VREF_DQ[1]</v>
      </c>
      <c r="C1300" t="str" cm="1">
        <f t="array" ref="C1300">_xlfn.TEXTJOIN(",",TRUE,_xlfn.UNIQUE(TRANSPOSE(_xlfn.MAP(_xlfn.XLOOKUP(A1300,'Pinlist(S1)'!$C$4:$C$1362,'Pinlist(S1)'!$F$4:$K$1362,""),_xlfn.LAMBDA(_xlpm.x,IF(_xlpm.x&lt;&gt;"",TRIM(CLEAN(LEFT(_xlpm.x,FIND(".",_xlpm.x &amp; ".")-1))),""))))))</f>
        <v>KA122</v>
      </c>
      <c r="D1300">
        <v>38.215000000000003</v>
      </c>
      <c r="E1300">
        <v>21.978000000000002</v>
      </c>
      <c r="F1300" t="str">
        <f>_xlfn.LET(_xlpm.raw,_xlfn.XLOOKUP(A1300,'Pinlist(S1)'!$C$4:$C$1362,'Pinlist(S1)'!$E$4:$E$1362,""),_xlpm.cleanRaw,SUBSTITUTE(SUBSTITUTE(_xlpm.raw,"_PIN","."),"PIN","."),_xlpm.mainPart,MID(_xlpm.cleanRaw,2,FIND(".",_xlpm.cleanRaw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300" t="str">
        <f>_xlfn.LET(_xlpm.raw,_xlfn.XLOOKUP(A1300,'Pinlist(S3)'!$C$4:$C$1362,'Pinlist(S3)'!$E$4:$E$1362,""),_xlpm.cleanRaw,SUBSTITUTE(SUBSTITUTE(_xlpm.raw,"_PIN","."),"PIN","."),_xlpm.mainPart,MID(_xlpm.cleanRaw,2,FIND(".",_xlpm.cleanRaw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502064</v>
      </c>
      <c r="H1300" t="str">
        <f>_xlfn.LET(_xlpm.raw,_xlfn.XLOOKUP(A1300,'Pinlist(S5)'!$C$4:$C$1362,'Pinlist(S5)'!$E$4:$E$1362,""),_xlpm.cleanRaw,SUBSTITUTE(SUBSTITUTE(_xlpm.raw,"_PIN","."),"PIN","."),_xlpm.mainPart,MID(_xlpm.cleanRaw,2,FIND(".",_xlpm.cleanRaw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708061</v>
      </c>
      <c r="I1300" t="str">
        <f>""</f>
        <v/>
      </c>
      <c r="J1300" t="str">
        <f t="shared" si="20"/>
        <v>BA67;DDR_VREF_DQ[1];KA122;38.215;21.978;604038;502064;708061;</v>
      </c>
    </row>
    <row r="1301" spans="1:10">
      <c r="A1301" t="s">
        <v>71</v>
      </c>
      <c r="B1301" t="str">
        <f>_xlfn.XLOOKUP(A1301,'Pinlist(S1)'!$Q$4:$Q$1362,'Pinlist(S1)'!$R$4:$R$1362,"")</f>
        <v>CPU_EOPIO_VIEW[1]</v>
      </c>
      <c r="C1301" t="str" cm="1">
        <f t="array" ref="C1301">_xlfn.TEXTJOIN(",",TRUE,_xlfn.UNIQUE(TRANSPOSE(_xlfn.MAP(_xlfn.XLOOKUP(A1301,'Pinlist(S1)'!$C$4:$C$1362,'Pinlist(S1)'!$F$4:$K$1362,""),_xlfn.LAMBDA(_xlpm.x,IF(_xlpm.x&lt;&gt;"",TRIM(CLEAN(LEFT(_xlpm.x,FIND(".",_xlpm.x &amp; ".")-1))),""))))))</f>
        <v/>
      </c>
      <c r="D1301">
        <v>39.348999999999997</v>
      </c>
      <c r="E1301">
        <v>21.998999999999999</v>
      </c>
      <c r="F1301" t="str">
        <f>_xlfn.LET(_xlpm.raw,_xlfn.XLOOKUP(A1301,'Pinlist(S1)'!$C$4:$C$1362,'Pinlist(S1)'!$E$4:$E$1362,""),_xlpm.cleanRaw,SUBSTITUTE(SUBSTITUTE(_xlpm.raw,"_PIN","."),"PIN","."),_xlpm.mainPart,MID(_xlpm.cleanRaw,2,FIND(".",_xlpm.cleanRaw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1" t="str">
        <f>_xlfn.LET(_xlpm.raw,_xlfn.XLOOKUP(A1301,'Pinlist(S3)'!$C$4:$C$1362,'Pinlist(S3)'!$E$4:$E$1362,""),_xlpm.cleanRaw,SUBSTITUTE(SUBSTITUTE(_xlpm.raw,"_PIN","."),"PIN","."),_xlpm.mainPart,MID(_xlpm.cleanRaw,2,FIND(".",_xlpm.cleanRaw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1" t="str">
        <f>_xlfn.LET(_xlpm.raw,_xlfn.XLOOKUP(A1301,'Pinlist(S5)'!$C$4:$C$1362,'Pinlist(S5)'!$E$4:$E$1362,""),_xlpm.cleanRaw,SUBSTITUTE(SUBSTITUTE(_xlpm.raw,"_PIN","."),"PIN","."),_xlpm.mainPart,MID(_xlpm.cleanRaw,2,FIND(".",_xlpm.cleanRaw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1" t="str">
        <f>""</f>
        <v/>
      </c>
      <c r="J1301" t="str">
        <f t="shared" si="20"/>
        <v>BA68;CPU_EOPIO_VIEW[1];;39.349;21.999;;;;</v>
      </c>
    </row>
    <row r="1302" spans="1:10">
      <c r="A1302" t="s">
        <v>69</v>
      </c>
      <c r="B1302" t="str">
        <f>_xlfn.XLOOKUP(A1302,'Pinlist(S1)'!$Q$4:$Q$1362,'Pinlist(S1)'!$R$4:$R$1362,"")</f>
        <v>CPU_EOPIO_VIEW[0]</v>
      </c>
      <c r="C1302" t="str" cm="1">
        <f t="array" ref="C1302">_xlfn.TEXTJOIN(",",TRUE,_xlfn.UNIQUE(TRANSPOSE(_xlfn.MAP(_xlfn.XLOOKUP(A1302,'Pinlist(S1)'!$C$4:$C$1362,'Pinlist(S1)'!$F$4:$K$1362,""),_xlfn.LAMBDA(_xlpm.x,IF(_xlpm.x&lt;&gt;"",TRIM(CLEAN(LEFT(_xlpm.x,FIND(".",_xlpm.x &amp; ".")-1))),""))))))</f>
        <v/>
      </c>
      <c r="D1302">
        <v>39.998999999999903</v>
      </c>
      <c r="E1302">
        <v>21.998999999999999</v>
      </c>
      <c r="F1302" t="str">
        <f>_xlfn.LET(_xlpm.raw,_xlfn.XLOOKUP(A1302,'Pinlist(S1)'!$C$4:$C$1362,'Pinlist(S1)'!$E$4:$E$1362,""),_xlpm.cleanRaw,SUBSTITUTE(SUBSTITUTE(_xlpm.raw,"_PIN","."),"PIN","."),_xlpm.mainPart,MID(_xlpm.cleanRaw,2,FIND(".",_xlpm.cleanRaw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2" t="str">
        <f>_xlfn.LET(_xlpm.raw,_xlfn.XLOOKUP(A1302,'Pinlist(S3)'!$C$4:$C$1362,'Pinlist(S3)'!$E$4:$E$1362,""),_xlpm.cleanRaw,SUBSTITUTE(SUBSTITUTE(_xlpm.raw,"_PIN","."),"PIN","."),_xlpm.mainPart,MID(_xlpm.cleanRaw,2,FIND(".",_xlpm.cleanRaw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2" t="str">
        <f>_xlfn.LET(_xlpm.raw,_xlfn.XLOOKUP(A1302,'Pinlist(S5)'!$C$4:$C$1362,'Pinlist(S5)'!$E$4:$E$1362,""),_xlpm.cleanRaw,SUBSTITUTE(SUBSTITUTE(_xlpm.raw,"_PIN","."),"PIN","."),_xlpm.mainPart,MID(_xlpm.cleanRaw,2,FIND(".",_xlpm.cleanRaw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2" t="str">
        <f>""</f>
        <v/>
      </c>
      <c r="J1302" t="str">
        <f t="shared" si="20"/>
        <v>BA70;CPU_EOPIO_VIEW[0];;39.9989999999999;21.999;;;;</v>
      </c>
    </row>
    <row r="1303" spans="1:10">
      <c r="A1303" t="s">
        <v>2099</v>
      </c>
      <c r="B1303" t="str">
        <f>_xlfn.XLOOKUP(A1303,'Pinlist(S1)'!$Q$4:$Q$1362,'Pinlist(S1)'!$R$4:$R$1362,"")</f>
        <v>VSS</v>
      </c>
      <c r="C1303" t="str" cm="1">
        <f t="array" ref="C1303">_xlfn.TEXTJOIN(",",TRUE,_xlfn.UNIQUE(TRANSPOSE(_xlfn.MAP(_xlfn.XLOOKUP(A1303,'Pinlist(S1)'!$C$4:$C$1362,'Pinlist(S1)'!$F$4:$K$1362,""),_xlfn.LAMBDA(_xlpm.x,IF(_xlpm.x&lt;&gt;"",TRIM(CLEAN(LEFT(_xlpm.x,FIND(".",_xlpm.x &amp; ".")-1))),""))))))</f>
        <v/>
      </c>
      <c r="D1303">
        <v>40.628</v>
      </c>
      <c r="E1303">
        <v>22.166</v>
      </c>
      <c r="F1303" t="str">
        <f>_xlfn.LET(_xlpm.raw,_xlfn.XLOOKUP(A1303,'Pinlist(S1)'!$C$4:$C$1362,'Pinlist(S1)'!$E$4:$E$1362,""),_xlpm.cleanRaw,SUBSTITUTE(SUBSTITUTE(_xlpm.raw,"_PIN","."),"PIN","."),_xlpm.mainPart,MID(_xlpm.cleanRaw,2,FIND(".",_xlpm.cleanRaw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3" t="str">
        <f>_xlfn.LET(_xlpm.raw,_xlfn.XLOOKUP(A1303,'Pinlist(S3)'!$C$4:$C$1362,'Pinlist(S3)'!$E$4:$E$1362,""),_xlpm.cleanRaw,SUBSTITUTE(SUBSTITUTE(_xlpm.raw,"_PIN","."),"PIN","."),_xlpm.mainPart,MID(_xlpm.cleanRaw,2,FIND(".",_xlpm.cleanRaw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3" t="str">
        <f>_xlfn.LET(_xlpm.raw,_xlfn.XLOOKUP(A1303,'Pinlist(S5)'!$C$4:$C$1362,'Pinlist(S5)'!$E$4:$E$1362,""),_xlpm.cleanRaw,SUBSTITUTE(SUBSTITUTE(_xlpm.raw,"_PIN","."),"PIN","."),_xlpm.mainPart,MID(_xlpm.cleanRaw,2,FIND(".",_xlpm.cleanRaw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3" t="str">
        <f>""</f>
        <v/>
      </c>
      <c r="J1303" t="str">
        <f t="shared" si="20"/>
        <v>BA71;VSS;;40.628;22.166;;;;</v>
      </c>
    </row>
    <row r="1304" spans="1:10">
      <c r="A1304" t="s">
        <v>82</v>
      </c>
      <c r="B1304" t="str">
        <f>_xlfn.XLOOKUP(A1304,'Pinlist(S1)'!$Q$4:$Q$1362,'Pinlist(S1)'!$R$4:$R$1362,"")</f>
        <v>CPU_POPIO_VIEW[0]</v>
      </c>
      <c r="C1304" t="str" cm="1">
        <f t="array" ref="C1304">_xlfn.TEXTJOIN(",",TRUE,_xlfn.UNIQUE(TRANSPOSE(_xlfn.MAP(_xlfn.XLOOKUP(A1304,'Pinlist(S1)'!$C$4:$C$1362,'Pinlist(S1)'!$F$4:$K$1362,""),_xlfn.LAMBDA(_xlpm.x,IF(_xlpm.x&lt;&gt;"",TRIM(CLEAN(LEFT(_xlpm.x,FIND(".",_xlpm.x &amp; ".")-1))),""))))))</f>
        <v/>
      </c>
      <c r="D1304">
        <v>0.46200000000000302</v>
      </c>
      <c r="E1304">
        <v>22.628</v>
      </c>
      <c r="F1304" t="str">
        <f>_xlfn.LET(_xlpm.raw,_xlfn.XLOOKUP(A1304,'Pinlist(S1)'!$C$4:$C$1362,'Pinlist(S1)'!$E$4:$E$1362,""),_xlpm.cleanRaw,SUBSTITUTE(SUBSTITUTE(_xlpm.raw,"_PIN","."),"PIN","."),_xlpm.mainPart,MID(_xlpm.cleanRaw,2,FIND(".",_xlpm.cleanRaw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605060</v>
      </c>
      <c r="G1304" t="str">
        <f>_xlfn.LET(_xlpm.raw,_xlfn.XLOOKUP(A1304,'Pinlist(S3)'!$C$4:$C$1362,'Pinlist(S3)'!$E$4:$E$1362,""),_xlpm.cleanRaw,SUBSTITUTE(SUBSTITUTE(_xlpm.raw,"_PIN","."),"PIN","."),_xlpm.mainPart,MID(_xlpm.cleanRaw,2,FIND(".",_xlpm.cleanRaw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502062</v>
      </c>
      <c r="H1304" t="str">
        <f>_xlfn.LET(_xlpm.raw,_xlfn.XLOOKUP(A1304,'Pinlist(S5)'!$C$4:$C$1362,'Pinlist(S5)'!$E$4:$E$1362,""),_xlpm.cleanRaw,SUBSTITUTE(SUBSTITUTE(_xlpm.raw,"_PIN","."),"PIN","."),_xlpm.mainPart,MID(_xlpm.cleanRaw,2,FIND(".",_xlpm.cleanRaw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708041</v>
      </c>
      <c r="I1304" t="str">
        <f>""</f>
        <v/>
      </c>
      <c r="J1304" t="str">
        <f t="shared" si="20"/>
        <v>BB2;CPU_POPIO_VIEW[0];;0.462000000000003;22.628;605060;502062;708041;</v>
      </c>
    </row>
    <row r="1305" spans="1:10">
      <c r="A1305" t="s">
        <v>769</v>
      </c>
      <c r="B1305" t="str">
        <f>_xlfn.XLOOKUP(A1305,'Pinlist(S1)'!$Q$4:$Q$1362,'Pinlist(S1)'!$R$4:$R$1362,"")</f>
        <v>FPF_VREF</v>
      </c>
      <c r="C1305" t="str" cm="1">
        <f t="array" ref="C1305">_xlfn.TEXTJOIN(",",TRUE,_xlfn.UNIQUE(TRANSPOSE(_xlfn.MAP(_xlfn.XLOOKUP(A1305,'Pinlist(S1)'!$C$4:$C$1362,'Pinlist(S1)'!$F$4:$K$1362,""),_xlfn.LAMBDA(_xlpm.x,IF(_xlpm.x&lt;&gt;"",TRIM(CLEAN(LEFT(_xlpm.x,FIND(".",_xlpm.x &amp; ".")-1))),""))))))</f>
        <v/>
      </c>
      <c r="D1305">
        <v>1.1119999999999901</v>
      </c>
      <c r="E1305">
        <v>22.628</v>
      </c>
      <c r="F1305" t="str">
        <f>_xlfn.LET(_xlpm.raw,_xlfn.XLOOKUP(A1305,'Pinlist(S1)'!$C$4:$C$1362,'Pinlist(S1)'!$E$4:$E$1362,""),_xlpm.cleanRaw,SUBSTITUTE(SUBSTITUTE(_xlpm.raw,"_PIN","."),"PIN","."),_xlpm.mainPart,MID(_xlpm.cleanRaw,2,FIND(".",_xlpm.cleanRaw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507102</v>
      </c>
      <c r="G1305" t="str">
        <f>_xlfn.LET(_xlpm.raw,_xlfn.XLOOKUP(A1305,'Pinlist(S3)'!$C$4:$C$1362,'Pinlist(S3)'!$E$4:$E$1362,""),_xlpm.cleanRaw,SUBSTITUTE(SUBSTITUTE(_xlpm.raw,"_PIN","."),"PIN","."),_xlpm.mainPart,MID(_xlpm.cleanRaw,2,FIND(".",_xlpm.cleanRaw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807012</v>
      </c>
      <c r="H1305" t="str">
        <f>_xlfn.LET(_xlpm.raw,_xlfn.XLOOKUP(A1305,'Pinlist(S5)'!$C$4:$C$1362,'Pinlist(S5)'!$E$4:$E$1362,""),_xlpm.cleanRaw,SUBSTITUTE(SUBSTITUTE(_xlpm.raw,"_PIN","."),"PIN","."),_xlpm.mainPart,MID(_xlpm.cleanRaw,2,FIND(".",_xlpm.cleanRaw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701116</v>
      </c>
      <c r="I1305" t="str">
        <f>""</f>
        <v/>
      </c>
      <c r="J1305" t="str">
        <f t="shared" si="20"/>
        <v>BB3;FPF_VREF;;1.11199999999999;22.628;507102;807012;701116;</v>
      </c>
    </row>
    <row r="1306" spans="1:10">
      <c r="A1306" t="s">
        <v>13</v>
      </c>
      <c r="B1306" t="str">
        <f>_xlfn.XLOOKUP(A1306,'Pinlist(S1)'!$Q$4:$Q$1362,'Pinlist(S1)'!$R$4:$R$1362,"")</f>
        <v>AZA_PLLMON_P</v>
      </c>
      <c r="C1306" t="str" cm="1">
        <f t="array" ref="C1306">_xlfn.TEXTJOIN(",",TRUE,_xlfn.UNIQUE(TRANSPOSE(_xlfn.MAP(_xlfn.XLOOKUP(A1306,'Pinlist(S1)'!$C$4:$C$1362,'Pinlist(S1)'!$F$4:$K$1362,""),_xlfn.LAMBDA(_xlpm.x,IF(_xlpm.x&lt;&gt;"",TRIM(CLEAN(LEFT(_xlpm.x,FIND(".",_xlpm.x &amp; ".")-1))),""))))))</f>
        <v/>
      </c>
      <c r="D1306">
        <v>1.7629999999999999</v>
      </c>
      <c r="E1306">
        <v>22.628</v>
      </c>
      <c r="F1306" t="str">
        <f>_xlfn.LET(_xlpm.raw,_xlfn.XLOOKUP(A1306,'Pinlist(S1)'!$C$4:$C$1362,'Pinlist(S1)'!$E$4:$E$1362,""),_xlpm.cleanRaw,SUBSTITUTE(SUBSTITUTE(_xlpm.raw,"_PIN","."),"PIN","."),_xlpm.mainPart,MID(_xlpm.cleanRaw,2,FIND(".",_xlpm.cleanRaw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6" t="str">
        <f>_xlfn.LET(_xlpm.raw,_xlfn.XLOOKUP(A1306,'Pinlist(S3)'!$C$4:$C$1362,'Pinlist(S3)'!$E$4:$E$1362,""),_xlpm.cleanRaw,SUBSTITUTE(SUBSTITUTE(_xlpm.raw,"_PIN","."),"PIN","."),_xlpm.mainPart,MID(_xlpm.cleanRaw,2,FIND(".",_xlpm.cleanRaw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6" t="str">
        <f>_xlfn.LET(_xlpm.raw,_xlfn.XLOOKUP(A1306,'Pinlist(S5)'!$C$4:$C$1362,'Pinlist(S5)'!$E$4:$E$1362,""),_xlpm.cleanRaw,SUBSTITUTE(SUBSTITUTE(_xlpm.raw,"_PIN","."),"PIN","."),_xlpm.mainPart,MID(_xlpm.cleanRaw,2,FIND(".",_xlpm.cleanRaw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6" t="str">
        <f>""</f>
        <v/>
      </c>
      <c r="J1306" t="str">
        <f t="shared" si="20"/>
        <v>BB4;AZA_PLLMON_P;;1.763;22.628;;;;</v>
      </c>
    </row>
    <row r="1307" spans="1:10">
      <c r="A1307" t="s">
        <v>1336</v>
      </c>
      <c r="B1307" t="str">
        <f>_xlfn.XLOOKUP(A1307,'Pinlist(S1)'!$Q$4:$Q$1362,'Pinlist(S1)'!$R$4:$R$1362,"")</f>
        <v>PGDMON</v>
      </c>
      <c r="C1307" t="str" cm="1">
        <f t="array" ref="C1307">_xlfn.TEXTJOIN(",",TRUE,_xlfn.UNIQUE(TRANSPOSE(_xlfn.MAP(_xlfn.XLOOKUP(A1307,'Pinlist(S1)'!$C$4:$C$1362,'Pinlist(S1)'!$F$4:$K$1362,""),_xlfn.LAMBDA(_xlpm.x,IF(_xlpm.x&lt;&gt;"",TRIM(CLEAN(LEFT(_xlpm.x,FIND(".",_xlpm.x &amp; ".")-1))),""))))))</f>
        <v/>
      </c>
      <c r="D1307">
        <v>2.5279999999999898</v>
      </c>
      <c r="E1307">
        <v>22.628</v>
      </c>
      <c r="F1307" t="str">
        <f>_xlfn.LET(_xlpm.raw,_xlfn.XLOOKUP(A1307,'Pinlist(S1)'!$C$4:$C$1362,'Pinlist(S1)'!$E$4:$E$1362,""),_xlpm.cleanRaw,SUBSTITUTE(SUBSTITUTE(_xlpm.raw,"_PIN","."),"PIN","."),_xlpm.mainPart,MID(_xlpm.cleanRaw,2,FIND(".",_xlpm.cleanRaw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507104</v>
      </c>
      <c r="G1307" t="str">
        <f>_xlfn.LET(_xlpm.raw,_xlfn.XLOOKUP(A1307,'Pinlist(S3)'!$C$4:$C$1362,'Pinlist(S3)'!$E$4:$E$1362,""),_xlpm.cleanRaw,SUBSTITUTE(SUBSTITUTE(_xlpm.raw,"_PIN","."),"PIN","."),_xlpm.mainPart,MID(_xlpm.cleanRaw,2,FIND(".",_xlpm.cleanRaw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807011</v>
      </c>
      <c r="H1307" t="str">
        <f>_xlfn.LET(_xlpm.raw,_xlfn.XLOOKUP(A1307,'Pinlist(S5)'!$C$4:$C$1362,'Pinlist(S5)'!$E$4:$E$1362,""),_xlpm.cleanRaw,SUBSTITUTE(SUBSTITUTE(_xlpm.raw,"_PIN","."),"PIN","."),_xlpm.mainPart,MID(_xlpm.cleanRaw,2,FIND(".",_xlpm.cleanRaw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701118</v>
      </c>
      <c r="I1307" t="str">
        <f>""</f>
        <v/>
      </c>
      <c r="J1307" t="str">
        <f t="shared" si="20"/>
        <v>BB5;PGDMON;;2.52799999999999;22.628;507104;807011;701118;</v>
      </c>
    </row>
    <row r="1308" spans="1:10">
      <c r="A1308" t="s">
        <v>2107</v>
      </c>
      <c r="B1308" t="str">
        <f>_xlfn.XLOOKUP(A1308,'Pinlist(S1)'!$Q$4:$Q$1362,'Pinlist(S1)'!$R$4:$R$1362,"")</f>
        <v>VSS</v>
      </c>
      <c r="C1308" t="str" cm="1">
        <f t="array" ref="C1308">_xlfn.TEXTJOIN(",",TRUE,_xlfn.UNIQUE(TRANSPOSE(_xlfn.MAP(_xlfn.XLOOKUP(A1308,'Pinlist(S1)'!$C$4:$C$1362,'Pinlist(S1)'!$F$4:$K$1362,""),_xlfn.LAMBDA(_xlpm.x,IF(_xlpm.x&lt;&gt;"",TRIM(CLEAN(LEFT(_xlpm.x,FIND(".",_xlpm.x &amp; ".")-1))),""))))))</f>
        <v/>
      </c>
      <c r="D1308">
        <v>3.141</v>
      </c>
      <c r="E1308">
        <v>22.303000000000001</v>
      </c>
      <c r="F1308" t="str">
        <f>_xlfn.LET(_xlpm.raw,_xlfn.XLOOKUP(A1308,'Pinlist(S1)'!$C$4:$C$1362,'Pinlist(S1)'!$E$4:$E$1362,""),_xlpm.cleanRaw,SUBSTITUTE(SUBSTITUTE(_xlpm.raw,"_PIN","."),"PIN","."),_xlpm.mainPart,MID(_xlpm.cleanRaw,2,FIND(".",_xlpm.cleanRaw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8" t="str">
        <f>_xlfn.LET(_xlpm.raw,_xlfn.XLOOKUP(A1308,'Pinlist(S3)'!$C$4:$C$1362,'Pinlist(S3)'!$E$4:$E$1362,""),_xlpm.cleanRaw,SUBSTITUTE(SUBSTITUTE(_xlpm.raw,"_PIN","."),"PIN","."),_xlpm.mainPart,MID(_xlpm.cleanRaw,2,FIND(".",_xlpm.cleanRaw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8" t="str">
        <f>_xlfn.LET(_xlpm.raw,_xlfn.XLOOKUP(A1308,'Pinlist(S5)'!$C$4:$C$1362,'Pinlist(S5)'!$E$4:$E$1362,""),_xlpm.cleanRaw,SUBSTITUTE(SUBSTITUTE(_xlpm.raw,"_PIN","."),"PIN","."),_xlpm.mainPart,MID(_xlpm.cleanRaw,2,FIND(".",_xlpm.cleanRaw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8" t="str">
        <f>""</f>
        <v/>
      </c>
      <c r="J1308" t="str">
        <f t="shared" si="20"/>
        <v>BB6;VSS;;3.141;22.303;;;;</v>
      </c>
    </row>
    <row r="1309" spans="1:10">
      <c r="A1309" t="s">
        <v>821</v>
      </c>
      <c r="B1309" t="str">
        <f>_xlfn.XLOOKUP(A1309,'Pinlist(S1)'!$Q$4:$Q$1362,'Pinlist(S1)'!$R$4:$R$1362,"")</f>
        <v>GPP_A_20_ISH_GP_2</v>
      </c>
      <c r="C1309" t="str" cm="1">
        <f t="array" ref="C1309">_xlfn.TEXTJOIN(",",TRUE,_xlfn.UNIQUE(TRANSPOSE(_xlfn.MAP(_xlfn.XLOOKUP(A1309,'Pinlist(S1)'!$C$4:$C$1362,'Pinlist(S1)'!$F$4:$K$1362,""),_xlfn.LAMBDA(_xlpm.x,IF(_xlpm.x&lt;&gt;"",TRIM(CLEAN(LEFT(_xlpm.x,FIND(".",_xlpm.x &amp; ".")-1))),""))))))</f>
        <v/>
      </c>
      <c r="D1309">
        <v>3.7040000000000002</v>
      </c>
      <c r="E1309">
        <v>22.628</v>
      </c>
      <c r="F1309" t="str">
        <f>_xlfn.LET(_xlpm.raw,_xlfn.XLOOKUP(A1309,'Pinlist(S1)'!$C$4:$C$1362,'Pinlist(S1)'!$E$4:$E$1362,""),_xlpm.cleanRaw,SUBSTITUTE(SUBSTITUTE(_xlpm.raw,"_PIN","."),"PIN","."),_xlpm.mainPart,MID(_xlpm.cleanRaw,2,FIND(".",_xlpm.cleanRaw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508082</v>
      </c>
      <c r="G1309" t="str">
        <f>_xlfn.LET(_xlpm.raw,_xlfn.XLOOKUP(A1309,'Pinlist(S3)'!$C$4:$C$1362,'Pinlist(S3)'!$E$4:$E$1362,""),_xlpm.cleanRaw,SUBSTITUTE(SUBSTITUTE(_xlpm.raw,"_PIN","."),"PIN","."),_xlpm.mainPart,MID(_xlpm.cleanRaw,2,FIND(".",_xlpm.cleanRaw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806116</v>
      </c>
      <c r="H1309" t="str">
        <f>_xlfn.LET(_xlpm.raw,_xlfn.XLOOKUP(A1309,'Pinlist(S5)'!$C$4:$C$1362,'Pinlist(S5)'!$E$4:$E$1362,""),_xlpm.cleanRaw,SUBSTITUTE(SUBSTITUTE(_xlpm.raw,"_PIN","."),"PIN","."),_xlpm.mainPart,MID(_xlpm.cleanRaw,2,FIND(".",_xlpm.cleanRaw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701125</v>
      </c>
      <c r="I1309" t="str">
        <f>""</f>
        <v/>
      </c>
      <c r="J1309" t="str">
        <f t="shared" si="20"/>
        <v>BB7;GPP_A_20_ISH_GP_2;;3.704;22.628;508082;806116;701125;</v>
      </c>
    </row>
    <row r="1310" spans="1:10">
      <c r="A1310" t="s">
        <v>811</v>
      </c>
      <c r="B1310" t="str">
        <f>_xlfn.XLOOKUP(A1310,'Pinlist(S1)'!$Q$4:$Q$1362,'Pinlist(S1)'!$R$4:$R$1362,"")</f>
        <v>GPP_A_16_SD_1P8_SEL</v>
      </c>
      <c r="C1310" t="str" cm="1">
        <f t="array" ref="C1310">_xlfn.TEXTJOIN(",",TRUE,_xlfn.UNIQUE(TRANSPOSE(_xlfn.MAP(_xlfn.XLOOKUP(A1310,'Pinlist(S1)'!$C$4:$C$1362,'Pinlist(S1)'!$F$4:$K$1362,""),_xlfn.LAMBDA(_xlpm.x,IF(_xlpm.x&lt;&gt;"",TRIM(CLEAN(LEFT(_xlpm.x,FIND(".",_xlpm.x &amp; ".")-1))),""))))))</f>
        <v/>
      </c>
      <c r="D1310">
        <v>4.8979999999999899</v>
      </c>
      <c r="E1310">
        <v>22.628</v>
      </c>
      <c r="F1310" t="str">
        <f>_xlfn.LET(_xlpm.raw,_xlfn.XLOOKUP(A1310,'Pinlist(S1)'!$C$4:$C$1362,'Pinlist(S1)'!$E$4:$E$1362,""),_xlpm.cleanRaw,SUBSTITUTE(SUBSTITUTE(_xlpm.raw,"_PIN","."),"PIN","."),_xlpm.mainPart,MID(_xlpm.cleanRaw,2,FIND(".",_xlpm.cleanRaw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507095</v>
      </c>
      <c r="G1310" t="str">
        <f>_xlfn.LET(_xlpm.raw,_xlfn.XLOOKUP(A1310,'Pinlist(S3)'!$C$4:$C$1362,'Pinlist(S3)'!$E$4:$E$1362,""),_xlpm.cleanRaw,SUBSTITUTE(SUBSTITUTE(_xlpm.raw,"_PIN","."),"PIN","."),_xlpm.mainPart,MID(_xlpm.cleanRaw,2,FIND(".",_xlpm.cleanRaw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806089</v>
      </c>
      <c r="H1310" t="str">
        <f>_xlfn.LET(_xlpm.raw,_xlfn.XLOOKUP(A1310,'Pinlist(S5)'!$C$4:$C$1362,'Pinlist(S5)'!$E$4:$E$1362,""),_xlpm.cleanRaw,SUBSTITUTE(SUBSTITUTE(_xlpm.raw,"_PIN","."),"PIN","."),_xlpm.mainPart,MID(_xlpm.cleanRaw,2,FIND(".",_xlpm.cleanRaw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701087</v>
      </c>
      <c r="I1310" t="str">
        <f>""</f>
        <v/>
      </c>
      <c r="J1310" t="str">
        <f t="shared" si="20"/>
        <v>BB9;GPP_A_16_SD_1P8_SEL;;4.89799999999999;22.628;507095;806089;701087;</v>
      </c>
    </row>
    <row r="1311" spans="1:10">
      <c r="A1311" t="s">
        <v>1833</v>
      </c>
      <c r="B1311" t="str">
        <f>_xlfn.XLOOKUP(A1311,'Pinlist(S1)'!$Q$4:$Q$1362,'Pinlist(S1)'!$R$4:$R$1362,"")</f>
        <v>VCCRTCEXT</v>
      </c>
      <c r="C1311" t="str" cm="1">
        <f t="array" ref="C1311">_xlfn.TEXTJOIN(",",TRUE,_xlfn.UNIQUE(TRANSPOSE(_xlfn.MAP(_xlfn.XLOOKUP(A1311,'Pinlist(S1)'!$C$4:$C$1362,'Pinlist(S1)'!$F$4:$K$1362,""),_xlfn.LAMBDA(_xlpm.x,IF(_xlpm.x&lt;&gt;"",TRIM(CLEAN(LEFT(_xlpm.x,FIND(".",_xlpm.x &amp; ".")-1))),""))))))</f>
        <v>CA392</v>
      </c>
      <c r="D1311">
        <v>5.5609999999999999</v>
      </c>
      <c r="E1311">
        <v>22.303000000000001</v>
      </c>
      <c r="F1311" t="str">
        <f>_xlfn.LET(_xlpm.raw,_xlfn.XLOOKUP(A1311,'Pinlist(S1)'!$C$4:$C$1362,'Pinlist(S1)'!$E$4:$E$1362,""),_xlpm.cleanRaw,SUBSTITUTE(SUBSTITUTE(_xlpm.raw,"_PIN","."),"PIN","."),_xlpm.mainPart,MID(_xlpm.cleanRaw,2,FIND(".",_xlpm.cleanRaw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509001</v>
      </c>
      <c r="G1311" t="str">
        <f>_xlfn.LET(_xlpm.raw,_xlfn.XLOOKUP(A1311,'Pinlist(S3)'!$C$4:$C$1362,'Pinlist(S3)'!$E$4:$E$1362,""),_xlpm.cleanRaw,SUBSTITUTE(SUBSTITUTE(_xlpm.raw,"_PIN","."),"PIN","."),_xlpm.mainPart,MID(_xlpm.cleanRaw,2,FIND(".",_xlpm.cleanRaw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804023</v>
      </c>
      <c r="H1311" t="str">
        <f>_xlfn.LET(_xlpm.raw,_xlfn.XLOOKUP(A1311,'Pinlist(S5)'!$C$4:$C$1362,'Pinlist(S5)'!$E$4:$E$1362,""),_xlpm.cleanRaw,SUBSTITUTE(SUBSTITUTE(_xlpm.raw,"_PIN","."),"PIN","."),_xlpm.mainPart,MID(_xlpm.cleanRaw,2,FIND(".",_xlpm.cleanRaw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703021</v>
      </c>
      <c r="I1311" t="str">
        <f>""</f>
        <v/>
      </c>
      <c r="J1311" t="str">
        <f t="shared" si="20"/>
        <v>BB10;VCCRTCEXT;CA392;5.561;22.303;509001;804023;703021;</v>
      </c>
    </row>
    <row r="1312" spans="1:10">
      <c r="A1312" t="s">
        <v>837</v>
      </c>
      <c r="B1312" t="str">
        <f>_xlfn.XLOOKUP(A1312,'Pinlist(S1)'!$Q$4:$Q$1362,'Pinlist(S1)'!$R$4:$R$1362,"")</f>
        <v>GPP_A_7_PIRQAB</v>
      </c>
      <c r="C1312" t="str" cm="1">
        <f t="array" ref="C1312">_xlfn.TEXTJOIN(",",TRUE,_xlfn.UNIQUE(TRANSPOSE(_xlfn.MAP(_xlfn.XLOOKUP(A1312,'Pinlist(S1)'!$C$4:$C$1362,'Pinlist(S1)'!$F$4:$K$1362,""),_xlfn.LAMBDA(_xlpm.x,IF(_xlpm.x&lt;&gt;"",TRIM(CLEAN(LEFT(_xlpm.x,FIND(".",_xlpm.x &amp; ".")-1))),""))))))</f>
        <v/>
      </c>
      <c r="D1312">
        <v>6.125</v>
      </c>
      <c r="E1312">
        <v>22.628</v>
      </c>
      <c r="F1312" t="str">
        <f>_xlfn.LET(_xlpm.raw,_xlfn.XLOOKUP(A1312,'Pinlist(S1)'!$C$4:$C$1362,'Pinlist(S1)'!$E$4:$E$1362,""),_xlpm.cleanRaw,SUBSTITUTE(SUBSTITUTE(_xlpm.raw,"_PIN","."),"PIN","."),_xlpm.mainPart,MID(_xlpm.cleanRaw,2,FIND(".",_xlpm.cleanRaw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507126</v>
      </c>
      <c r="G1312" t="str">
        <f>_xlfn.LET(_xlpm.raw,_xlfn.XLOOKUP(A1312,'Pinlist(S3)'!$C$4:$C$1362,'Pinlist(S3)'!$E$4:$E$1362,""),_xlpm.cleanRaw,SUBSTITUTE(SUBSTITUTE(_xlpm.raw,"_PIN","."),"PIN","."),_xlpm.mainPart,MID(_xlpm.cleanRaw,2,FIND(".",_xlpm.cleanRaw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806094</v>
      </c>
      <c r="H1312" t="str">
        <f>_xlfn.LET(_xlpm.raw,_xlfn.XLOOKUP(A1312,'Pinlist(S5)'!$C$4:$C$1362,'Pinlist(S5)'!$E$4:$E$1362,""),_xlpm.cleanRaw,SUBSTITUTE(SUBSTITUTE(_xlpm.raw,"_PIN","."),"PIN","."),_xlpm.mainPart,MID(_xlpm.cleanRaw,2,FIND(".",_xlpm.cleanRaw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702066</v>
      </c>
      <c r="I1312" t="str">
        <f>""</f>
        <v/>
      </c>
      <c r="J1312" t="str">
        <f t="shared" si="20"/>
        <v>BB11;GPP_A_7_PIRQAB;;6.125;22.628;507126;806094;702066;</v>
      </c>
    </row>
    <row r="1313" spans="1:10">
      <c r="A1313" t="s">
        <v>829</v>
      </c>
      <c r="B1313" t="str">
        <f>_xlfn.XLOOKUP(A1313,'Pinlist(S1)'!$Q$4:$Q$1362,'Pinlist(S1)'!$R$4:$R$1362,"")</f>
        <v>GPP_A_3_LAD_2_ESPI_IO_2</v>
      </c>
      <c r="C1313" t="str" cm="1">
        <f t="array" ref="C1313">_xlfn.TEXTJOIN(",",TRUE,_xlfn.UNIQUE(TRANSPOSE(_xlfn.MAP(_xlfn.XLOOKUP(A1313,'Pinlist(S1)'!$C$4:$C$1362,'Pinlist(S1)'!$F$4:$K$1362,""),_xlfn.LAMBDA(_xlpm.x,IF(_xlpm.x&lt;&gt;"",TRIM(CLEAN(LEFT(_xlpm.x,FIND(".",_xlpm.x &amp; ".")-1))),""))))))</f>
        <v/>
      </c>
      <c r="D1313">
        <v>7.319</v>
      </c>
      <c r="E1313">
        <v>22.628</v>
      </c>
      <c r="F1313" t="str">
        <f>_xlfn.LET(_xlpm.raw,_xlfn.XLOOKUP(A1313,'Pinlist(S1)'!$C$4:$C$1362,'Pinlist(S1)'!$E$4:$E$1362,""),_xlpm.cleanRaw,SUBSTITUTE(SUBSTITUTE(_xlpm.raw,"_PIN","."),"PIN","."),_xlpm.mainPart,MID(_xlpm.cleanRaw,2,FIND(".",_xlpm.cleanRaw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505050</v>
      </c>
      <c r="G1313" t="str">
        <f>_xlfn.LET(_xlpm.raw,_xlfn.XLOOKUP(A1313,'Pinlist(S3)'!$C$4:$C$1362,'Pinlist(S3)'!$E$4:$E$1362,""),_xlpm.cleanRaw,SUBSTITUTE(SUBSTITUTE(_xlpm.raw,"_PIN","."),"PIN","."),_xlpm.mainPart,MID(_xlpm.cleanRaw,2,FIND(".",_xlpm.cleanRaw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806119</v>
      </c>
      <c r="H1313" t="str">
        <f>_xlfn.LET(_xlpm.raw,_xlfn.XLOOKUP(A1313,'Pinlist(S5)'!$C$4:$C$1362,'Pinlist(S5)'!$E$4:$E$1362,""),_xlpm.cleanRaw,SUBSTITUTE(SUBSTITUTE(_xlpm.raw,"_PIN","."),"PIN","."),_xlpm.mainPart,MID(_xlpm.cleanRaw,2,FIND(".",_xlpm.cleanRaw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702065</v>
      </c>
      <c r="I1313" t="str">
        <f>""</f>
        <v/>
      </c>
      <c r="J1313" t="str">
        <f t="shared" si="20"/>
        <v>BB13;GPP_A_3_LAD_2_ESPI_IO_2;;7.319;22.628;505050;806119;702065;</v>
      </c>
    </row>
    <row r="1314" spans="1:10">
      <c r="A1314" t="s">
        <v>1827</v>
      </c>
      <c r="B1314" t="str">
        <f>_xlfn.XLOOKUP(A1314,'Pinlist(S1)'!$Q$4:$Q$1362,'Pinlist(S1)'!$R$4:$R$1362,"")</f>
        <v>VCCPRTC_3P3</v>
      </c>
      <c r="C1314" t="str" cm="1">
        <f t="array" ref="C1314">_xlfn.TEXTJOIN(",",TRUE,_xlfn.UNIQUE(TRANSPOSE(_xlfn.MAP(_xlfn.XLOOKUP(A1314,'Pinlist(S1)'!$C$4:$C$1362,'Pinlist(S1)'!$F$4:$K$1362,""),_xlfn.LAMBDA(_xlpm.x,IF(_xlpm.x&lt;&gt;"",TRIM(CLEAN(LEFT(_xlpm.x,FIND(".",_xlpm.x &amp; ".")-1))),""))))))</f>
        <v/>
      </c>
      <c r="D1314">
        <v>7.9819999999999904</v>
      </c>
      <c r="E1314">
        <v>22.303000000000001</v>
      </c>
      <c r="F1314" t="str">
        <f>_xlfn.LET(_xlpm.raw,_xlfn.XLOOKUP(A1314,'Pinlist(S1)'!$C$4:$C$1362,'Pinlist(S1)'!$E$4:$E$1362,""),_xlpm.cleanRaw,SUBSTITUTE(SUBSTITUTE(_xlpm.raw,"_PIN","."),"PIN","."),_xlpm.mainPart,MID(_xlpm.cleanRaw,2,FIND(".",_xlpm.cleanRaw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4" t="str">
        <f>_xlfn.LET(_xlpm.raw,_xlfn.XLOOKUP(A1314,'Pinlist(S3)'!$C$4:$C$1362,'Pinlist(S3)'!$E$4:$E$1362,""),_xlpm.cleanRaw,SUBSTITUTE(SUBSTITUTE(_xlpm.raw,"_PIN","."),"PIN","."),_xlpm.mainPart,MID(_xlpm.cleanRaw,2,FIND(".",_xlpm.cleanRaw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4" t="str">
        <f>_xlfn.LET(_xlpm.raw,_xlfn.XLOOKUP(A1314,'Pinlist(S5)'!$C$4:$C$1362,'Pinlist(S5)'!$E$4:$E$1362,""),_xlpm.cleanRaw,SUBSTITUTE(SUBSTITUTE(_xlpm.raw,"_PIN","."),"PIN","."),_xlpm.mainPart,MID(_xlpm.cleanRaw,2,FIND(".",_xlpm.cleanRaw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14" t="str">
        <f>""</f>
        <v/>
      </c>
      <c r="J1314" t="str">
        <f t="shared" si="20"/>
        <v>BB14;VCCPRTC_3P3;;7.98199999999999;22.303;;;;</v>
      </c>
    </row>
    <row r="1315" spans="1:10">
      <c r="A1315" t="s">
        <v>2259</v>
      </c>
      <c r="B1315" t="str">
        <f>_xlfn.XLOOKUP(A1315,'Pinlist(S1)'!$Q$4:$Q$1362,'Pinlist(S1)'!$R$4:$R$1362,"")</f>
        <v>WAKEB</v>
      </c>
      <c r="C1315" t="str" cm="1">
        <f t="array" ref="C1315">_xlfn.TEXTJOIN(",",TRUE,_xlfn.UNIQUE(TRANSPOSE(_xlfn.MAP(_xlfn.XLOOKUP(A1315,'Pinlist(S1)'!$C$4:$C$1362,'Pinlist(S1)'!$F$4:$K$1362,""),_xlfn.LAMBDA(_xlpm.x,IF(_xlpm.x&lt;&gt;"",TRIM(CLEAN(LEFT(_xlpm.x,FIND(".",_xlpm.x &amp; ".")-1))),""))))))</f>
        <v/>
      </c>
      <c r="D1315">
        <v>8.5459999999999994</v>
      </c>
      <c r="E1315">
        <v>22.628</v>
      </c>
      <c r="F1315" t="str">
        <f>_xlfn.LET(_xlpm.raw,_xlfn.XLOOKUP(A1315,'Pinlist(S1)'!$C$4:$C$1362,'Pinlist(S1)'!$E$4:$E$1362,""),_xlpm.cleanRaw,SUBSTITUTE(SUBSTITUTE(_xlpm.raw,"_PIN","."),"PIN","."),_xlpm.mainPart,MID(_xlpm.cleanRaw,2,FIND(".",_xlpm.cleanRaw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504085</v>
      </c>
      <c r="G1315" t="str">
        <f>_xlfn.LET(_xlpm.raw,_xlfn.XLOOKUP(A1315,'Pinlist(S3)'!$C$4:$C$1362,'Pinlist(S3)'!$E$4:$E$1362,""),_xlpm.cleanRaw,SUBSTITUTE(SUBSTITUTE(_xlpm.raw,"_PIN","."),"PIN","."),_xlpm.mainPart,MID(_xlpm.cleanRaw,2,FIND(".",_xlpm.cleanRaw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809085</v>
      </c>
      <c r="H1315" t="str">
        <f>_xlfn.LET(_xlpm.raw,_xlfn.XLOOKUP(A1315,'Pinlist(S5)'!$C$4:$C$1362,'Pinlist(S5)'!$E$4:$E$1362,""),_xlpm.cleanRaw,SUBSTITUTE(SUBSTITUTE(_xlpm.raw,"_PIN","."),"PIN","."),_xlpm.mainPart,MID(_xlpm.cleanRaw,2,FIND(".",_xlpm.cleanRaw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601023</v>
      </c>
      <c r="I1315" t="str">
        <f>""</f>
        <v/>
      </c>
      <c r="J1315" t="str">
        <f t="shared" si="20"/>
        <v>BB15;WAKEB;;8.546;22.628;504085;809085;601023;</v>
      </c>
    </row>
    <row r="1316" spans="1:10">
      <c r="A1316" t="s">
        <v>793</v>
      </c>
      <c r="B1316" t="str">
        <f>_xlfn.XLOOKUP(A1316,'Pinlist(S1)'!$Q$4:$Q$1362,'Pinlist(S1)'!$R$4:$R$1362,"")</f>
        <v>GPD_9_SLP_WLANB</v>
      </c>
      <c r="C1316" t="str" cm="1">
        <f t="array" ref="C1316">_xlfn.TEXTJOIN(",",TRUE,_xlfn.UNIQUE(TRANSPOSE(_xlfn.MAP(_xlfn.XLOOKUP(A1316,'Pinlist(S1)'!$C$4:$C$1362,'Pinlist(S1)'!$F$4:$K$1362,""),_xlfn.LAMBDA(_xlpm.x,IF(_xlpm.x&lt;&gt;"",TRIM(CLEAN(LEFT(_xlpm.x,FIND(".",_xlpm.x &amp; ".")-1))),""))))))</f>
        <v/>
      </c>
      <c r="D1316">
        <v>9.7390000000000008</v>
      </c>
      <c r="E1316">
        <v>22.628</v>
      </c>
      <c r="F1316" t="str">
        <f>_xlfn.LET(_xlpm.raw,_xlfn.XLOOKUP(A1316,'Pinlist(S1)'!$C$4:$C$1362,'Pinlist(S1)'!$E$4:$E$1362,""),_xlpm.cleanRaw,SUBSTITUTE(SUBSTITUTE(_xlpm.raw,"_PIN","."),"PIN","."),_xlpm.mainPart,MID(_xlpm.cleanRaw,2,FIND(".",_xlpm.cleanRaw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509009</v>
      </c>
      <c r="G1316" t="str">
        <f>_xlfn.LET(_xlpm.raw,_xlfn.XLOOKUP(A1316,'Pinlist(S3)'!$C$4:$C$1362,'Pinlist(S3)'!$E$4:$E$1362,""),_xlpm.cleanRaw,SUBSTITUTE(SUBSTITUTE(_xlpm.raw,"_PIN","."),"PIN","."),_xlpm.mainPart,MID(_xlpm.cleanRaw,2,FIND(".",_xlpm.cleanRaw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16" t="str">
        <f>_xlfn.LET(_xlpm.raw,_xlfn.XLOOKUP(A1316,'Pinlist(S5)'!$C$4:$C$1362,'Pinlist(S5)'!$E$4:$E$1362,""),_xlpm.cleanRaw,SUBSTITUTE(SUBSTITUTE(_xlpm.raw,"_PIN","."),"PIN","."),_xlpm.mainPart,MID(_xlpm.cleanRaw,2,FIND(".",_xlpm.cleanRaw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703024</v>
      </c>
      <c r="I1316" t="str">
        <f>""</f>
        <v/>
      </c>
      <c r="J1316" t="str">
        <f t="shared" si="20"/>
        <v>BB17;GPD_9_SLP_WLANB;;9.739;22.628;509009;804031;703024;</v>
      </c>
    </row>
    <row r="1317" spans="1:10">
      <c r="A1317" t="s">
        <v>2100</v>
      </c>
      <c r="B1317" t="str">
        <f>_xlfn.XLOOKUP(A1317,'Pinlist(S1)'!$Q$4:$Q$1362,'Pinlist(S1)'!$R$4:$R$1362,"")</f>
        <v>VSS</v>
      </c>
      <c r="C1317" t="str" cm="1">
        <f t="array" ref="C1317">_xlfn.TEXTJOIN(",",TRUE,_xlfn.UNIQUE(TRANSPOSE(_xlfn.MAP(_xlfn.XLOOKUP(A1317,'Pinlist(S1)'!$C$4:$C$1362,'Pinlist(S1)'!$F$4:$K$1362,""),_xlfn.LAMBDA(_xlpm.x,IF(_xlpm.x&lt;&gt;"",TRIM(CLEAN(LEFT(_xlpm.x,FIND(".",_xlpm.x &amp; ".")-1))),""))))))</f>
        <v/>
      </c>
      <c r="D1317">
        <v>10.401999999999999</v>
      </c>
      <c r="E1317">
        <v>22.303000000000001</v>
      </c>
      <c r="F1317" t="str">
        <f>_xlfn.LET(_xlpm.raw,_xlfn.XLOOKUP(A1317,'Pinlist(S1)'!$C$4:$C$1362,'Pinlist(S1)'!$E$4:$E$1362,""),_xlpm.cleanRaw,SUBSTITUTE(SUBSTITUTE(_xlpm.raw,"_PIN","."),"PIN","."),_xlpm.mainPart,MID(_xlpm.cleanRaw,2,FIND(".",_xlpm.cleanRaw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7" t="str">
        <f>_xlfn.LET(_xlpm.raw,_xlfn.XLOOKUP(A1317,'Pinlist(S3)'!$C$4:$C$1362,'Pinlist(S3)'!$E$4:$E$1362,""),_xlpm.cleanRaw,SUBSTITUTE(SUBSTITUTE(_xlpm.raw,"_PIN","."),"PIN","."),_xlpm.mainPart,MID(_xlpm.cleanRaw,2,FIND(".",_xlpm.cleanRaw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7" t="str">
        <f>_xlfn.LET(_xlpm.raw,_xlfn.XLOOKUP(A1317,'Pinlist(S5)'!$C$4:$C$1362,'Pinlist(S5)'!$E$4:$E$1362,""),_xlpm.cleanRaw,SUBSTITUTE(SUBSTITUTE(_xlpm.raw,"_PIN","."),"PIN","."),_xlpm.mainPart,MID(_xlpm.cleanRaw,2,FIND(".",_xlpm.cleanRaw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17" t="str">
        <f>""</f>
        <v/>
      </c>
      <c r="J1317" t="str">
        <f t="shared" si="20"/>
        <v>BB18;VSS;;10.402;22.303;;;;</v>
      </c>
    </row>
    <row r="1318" spans="1:10">
      <c r="A1318" t="s">
        <v>712</v>
      </c>
      <c r="B1318" t="str">
        <f>_xlfn.XLOOKUP(A1318,'Pinlist(S1)'!$Q$4:$Q$1362,'Pinlist(S1)'!$R$4:$R$1362,"")</f>
        <v>DSW_PWROK</v>
      </c>
      <c r="C1318" t="str" cm="1">
        <f t="array" ref="C1318">_xlfn.TEXTJOIN(",",TRUE,_xlfn.UNIQUE(TRANSPOSE(_xlfn.MAP(_xlfn.XLOOKUP(A1318,'Pinlist(S1)'!$C$4:$C$1362,'Pinlist(S1)'!$F$4:$K$1362,""),_xlfn.LAMBDA(_xlpm.x,IF(_xlpm.x&lt;&gt;"",TRIM(CLEAN(LEFT(_xlpm.x,FIND(".",_xlpm.x &amp; ".")-1))),""))))))</f>
        <v/>
      </c>
      <c r="D1318">
        <v>10.965999999999999</v>
      </c>
      <c r="E1318">
        <v>22.628</v>
      </c>
      <c r="F1318" t="str">
        <f>_xlfn.LET(_xlpm.raw,_xlfn.XLOOKUP(A1318,'Pinlist(S1)'!$C$4:$C$1362,'Pinlist(S1)'!$E$4:$E$1362,""),_xlpm.cleanRaw,SUBSTITUTE(SUBSTITUTE(_xlpm.raw,"_PIN","."),"PIN","."),_xlpm.mainPart,MID(_xlpm.cleanRaw,2,FIND(".",_xlpm.cleanRaw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504087</v>
      </c>
      <c r="G1318" t="str">
        <f>_xlfn.LET(_xlpm.raw,_xlfn.XLOOKUP(A1318,'Pinlist(S3)'!$C$4:$C$1362,'Pinlist(S3)'!$E$4:$E$1362,""),_xlpm.cleanRaw,SUBSTITUTE(SUBSTITUTE(_xlpm.raw,"_PIN","."),"PIN","."),_xlpm.mainPart,MID(_xlpm.cleanRaw,2,FIND(".",_xlpm.cleanRaw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808042</v>
      </c>
      <c r="H1318" t="str">
        <f>_xlfn.LET(_xlpm.raw,_xlfn.XLOOKUP(A1318,'Pinlist(S5)'!$C$4:$C$1362,'Pinlist(S5)'!$E$4:$E$1362,""),_xlpm.cleanRaw,SUBSTITUTE(SUBSTITUTE(_xlpm.raw,"_PIN","."),"PIN","."),_xlpm.mainPart,MID(_xlpm.cleanRaw,2,FIND(".",_xlpm.cleanRaw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601022</v>
      </c>
      <c r="I1318" t="str">
        <f>""</f>
        <v/>
      </c>
      <c r="J1318" t="str">
        <f t="shared" si="20"/>
        <v>BB20;DSW_PWROK;;10.966;22.628;504087;808042;601022;</v>
      </c>
    </row>
    <row r="1319" spans="1:10">
      <c r="A1319" t="s">
        <v>24</v>
      </c>
      <c r="B1319" t="str">
        <f>_xlfn.XLOOKUP(A1319,'Pinlist(S1)'!$Q$4:$Q$1362,'Pinlist(S1)'!$R$4:$R$1362,"")</f>
        <v>AZA_SDO_SSP0_TXD</v>
      </c>
      <c r="C1319" t="str" cm="1">
        <f t="array" ref="C1319">_xlfn.TEXTJOIN(",",TRUE,_xlfn.UNIQUE(TRANSPOSE(_xlfn.MAP(_xlfn.XLOOKUP(A1319,'Pinlist(S1)'!$C$4:$C$1362,'Pinlist(S1)'!$F$4:$K$1362,""),_xlfn.LAMBDA(_xlpm.x,IF(_xlpm.x&lt;&gt;"",TRIM(CLEAN(LEFT(_xlpm.x,FIND(".",_xlpm.x &amp; ".")-1))),""))))))</f>
        <v>KA141</v>
      </c>
      <c r="D1319">
        <v>12.16</v>
      </c>
      <c r="E1319">
        <v>22.628</v>
      </c>
      <c r="F1319" t="str">
        <f>_xlfn.LET(_xlpm.raw,_xlfn.XLOOKUP(A1319,'Pinlist(S1)'!$C$4:$C$1362,'Pinlist(S1)'!$E$4:$E$1362,""),_xlpm.cleanRaw,SUBSTITUTE(SUBSTITUTE(_xlpm.raw,"_PIN","."),"PIN","."),_xlpm.mainPart,MID(_xlpm.cleanRaw,2,FIND(".",_xlpm.cleanRaw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G1319" t="str">
        <f>_xlfn.LET(_xlpm.raw,_xlfn.XLOOKUP(A1319,'Pinlist(S3)'!$C$4:$C$1362,'Pinlist(S3)'!$E$4:$E$1362,""),_xlpm.cleanRaw,SUBSTITUTE(SUBSTITUTE(_xlpm.raw,"_PIN","."),"PIN","."),_xlpm.mainPart,MID(_xlpm.cleanRaw,2,FIND(".",_xlpm.cleanRaw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1319" t="str">
        <f>_xlfn.LET(_xlpm.raw,_xlfn.XLOOKUP(A1319,'Pinlist(S5)'!$C$4:$C$1362,'Pinlist(S5)'!$E$4:$E$1362,""),_xlpm.cleanRaw,SUBSTITUTE(SUBSTITUTE(_xlpm.raw,"_PIN","."),"PIN","."),_xlpm.mainPart,MID(_xlpm.cleanRaw,2,FIND(".",_xlpm.cleanRaw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702064</v>
      </c>
      <c r="I1319" t="str">
        <f>""</f>
        <v/>
      </c>
      <c r="J1319" t="str">
        <f t="shared" si="20"/>
        <v>BB22;AZA_SDO_SSP0_TXD;KA141;12.16;22.628;509035;805042;702064;</v>
      </c>
    </row>
    <row r="1320" spans="1:10">
      <c r="A1320" t="s">
        <v>1607</v>
      </c>
      <c r="B1320" t="str">
        <f>_xlfn.XLOOKUP(A1320,'Pinlist(S1)'!$Q$4:$Q$1362,'Pinlist(S1)'!$R$4:$R$1362,"")</f>
        <v>VCCDU</v>
      </c>
      <c r="C1320" t="str" cm="1">
        <f t="array" ref="C1320">_xlfn.TEXTJOIN(",",TRUE,_xlfn.UNIQUE(TRANSPOSE(_xlfn.MAP(_xlfn.XLOOKUP(A1320,'Pinlist(S1)'!$C$4:$C$1362,'Pinlist(S1)'!$F$4:$K$1362,""),_xlfn.LAMBDA(_xlpm.x,IF(_xlpm.x&lt;&gt;"",TRIM(CLEAN(LEFT(_xlpm.x,FIND(".",_xlpm.x &amp; ".")-1))),""))))))</f>
        <v/>
      </c>
      <c r="D1320">
        <v>12.8479999999999</v>
      </c>
      <c r="E1320">
        <v>22.222000000000001</v>
      </c>
      <c r="F1320" t="str">
        <f>_xlfn.LET(_xlpm.raw,_xlfn.XLOOKUP(A1320,'Pinlist(S1)'!$C$4:$C$1362,'Pinlist(S1)'!$E$4:$E$1362,""),_xlpm.cleanRaw,SUBSTITUTE(SUBSTITUTE(_xlpm.raw,"_PIN","."),"PIN","."),_xlpm.mainPart,MID(_xlpm.cleanRaw,2,FIND(".",_xlpm.cleanRaw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0" t="str">
        <f>_xlfn.LET(_xlpm.raw,_xlfn.XLOOKUP(A1320,'Pinlist(S3)'!$C$4:$C$1362,'Pinlist(S3)'!$E$4:$E$1362,""),_xlpm.cleanRaw,SUBSTITUTE(SUBSTITUTE(_xlpm.raw,"_PIN","."),"PIN","."),_xlpm.mainPart,MID(_xlpm.cleanRaw,2,FIND(".",_xlpm.cleanRaw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0" t="str">
        <f>_xlfn.LET(_xlpm.raw,_xlfn.XLOOKUP(A1320,'Pinlist(S5)'!$C$4:$C$1362,'Pinlist(S5)'!$E$4:$E$1362,""),_xlpm.cleanRaw,SUBSTITUTE(SUBSTITUTE(_xlpm.raw,"_PIN","."),"PIN","."),_xlpm.mainPart,MID(_xlpm.cleanRaw,2,FIND(".",_xlpm.cleanRaw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0" t="str">
        <f>""</f>
        <v/>
      </c>
      <c r="J1320" t="str">
        <f t="shared" si="20"/>
        <v>BB23;VCCDU;;12.8479999999999;22.222;;;;</v>
      </c>
    </row>
    <row r="1321" spans="1:10">
      <c r="A1321" t="s">
        <v>514</v>
      </c>
      <c r="B1321" t="str">
        <f>_xlfn.XLOOKUP(A1321,'Pinlist(S1)'!$Q$4:$Q$1362,'Pinlist(S1)'!$R$4:$R$1362,"")</f>
        <v>DDRDQ_IL07_NIL15[7]</v>
      </c>
      <c r="C1321" t="str" cm="1">
        <f t="array" ref="C1321">_xlfn.TEXTJOIN(",",TRUE,_xlfn.UNIQUE(TRANSPOSE(_xlfn.MAP(_xlfn.XLOOKUP(A1321,'Pinlist(S1)'!$C$4:$C$1362,'Pinlist(S1)'!$F$4:$K$1362,""),_xlfn.LAMBDA(_xlpm.x,IF(_xlpm.x&lt;&gt;"",TRIM(CLEAN(LEFT(_xlpm.x,FIND(".",_xlpm.x &amp; ".")-1))),""))))))</f>
        <v/>
      </c>
      <c r="D1321">
        <v>13.486000000000001</v>
      </c>
      <c r="E1321">
        <v>22.628</v>
      </c>
      <c r="F1321" t="str">
        <f>_xlfn.LET(_xlpm.raw,_xlfn.XLOOKUP(A1321,'Pinlist(S1)'!$C$4:$C$1362,'Pinlist(S1)'!$E$4:$E$1362,""),_xlpm.cleanRaw,SUBSTITUTE(SUBSTITUTE(_xlpm.raw,"_PIN","."),"PIN","."),_xlpm.mainPart,MID(_xlpm.cleanRaw,2,FIND(".",_xlpm.cleanRaw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609098</v>
      </c>
      <c r="G1321" t="str">
        <f>_xlfn.LET(_xlpm.raw,_xlfn.XLOOKUP(A1321,'Pinlist(S3)'!$C$4:$C$1362,'Pinlist(S3)'!$E$4:$E$1362,""),_xlpm.cleanRaw,SUBSTITUTE(SUBSTITUTE(_xlpm.raw,"_PIN","."),"PIN","."),_xlpm.mainPart,MID(_xlpm.cleanRaw,2,FIND(".",_xlpm.cleanRaw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803113</v>
      </c>
      <c r="H1321" t="str">
        <f>_xlfn.LET(_xlpm.raw,_xlfn.XLOOKUP(A1321,'Pinlist(S5)'!$C$4:$C$1362,'Pinlist(S5)'!$E$4:$E$1362,""),_xlpm.cleanRaw,SUBSTITUTE(SUBSTITUTE(_xlpm.raw,"_PIN","."),"PIN","."),_xlpm.mainPart,MID(_xlpm.cleanRaw,2,FIND(".",_xlpm.cleanRaw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704113</v>
      </c>
      <c r="I1321" t="str">
        <f>""</f>
        <v/>
      </c>
      <c r="J1321" t="str">
        <f t="shared" si="20"/>
        <v>BB25;DDRDQ_IL07_NIL15[7];;13.486;22.628;609098;803113;704113;</v>
      </c>
    </row>
    <row r="1322" spans="1:10">
      <c r="A1322" t="s">
        <v>2101</v>
      </c>
      <c r="B1322" t="str">
        <f>_xlfn.XLOOKUP(A1322,'Pinlist(S1)'!$Q$4:$Q$1362,'Pinlist(S1)'!$R$4:$R$1362,"")</f>
        <v>VSS</v>
      </c>
      <c r="C1322" t="str" cm="1">
        <f t="array" ref="C1322">_xlfn.TEXTJOIN(",",TRUE,_xlfn.UNIQUE(TRANSPOSE(_xlfn.MAP(_xlfn.XLOOKUP(A1322,'Pinlist(S1)'!$C$4:$C$1362,'Pinlist(S1)'!$F$4:$K$1362,""),_xlfn.LAMBDA(_xlpm.x,IF(_xlpm.x&lt;&gt;"",TRIM(CLEAN(LEFT(_xlpm.x,FIND(".",_xlpm.x &amp; ".")-1))),""))))))</f>
        <v/>
      </c>
      <c r="D1322">
        <v>14.148999999999999</v>
      </c>
      <c r="E1322">
        <v>22.303000000000001</v>
      </c>
      <c r="F1322" t="str">
        <f>_xlfn.LET(_xlpm.raw,_xlfn.XLOOKUP(A1322,'Pinlist(S1)'!$C$4:$C$1362,'Pinlist(S1)'!$E$4:$E$1362,""),_xlpm.cleanRaw,SUBSTITUTE(SUBSTITUTE(_xlpm.raw,"_PIN","."),"PIN","."),_xlpm.mainPart,MID(_xlpm.cleanRaw,2,FIND(".",_xlpm.cleanRaw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2" t="str">
        <f>_xlfn.LET(_xlpm.raw,_xlfn.XLOOKUP(A1322,'Pinlist(S3)'!$C$4:$C$1362,'Pinlist(S3)'!$E$4:$E$1362,""),_xlpm.cleanRaw,SUBSTITUTE(SUBSTITUTE(_xlpm.raw,"_PIN","."),"PIN","."),_xlpm.mainPart,MID(_xlpm.cleanRaw,2,FIND(".",_xlpm.cleanRaw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2" t="str">
        <f>_xlfn.LET(_xlpm.raw,_xlfn.XLOOKUP(A1322,'Pinlist(S5)'!$C$4:$C$1362,'Pinlist(S5)'!$E$4:$E$1362,""),_xlpm.cleanRaw,SUBSTITUTE(SUBSTITUTE(_xlpm.raw,"_PIN","."),"PIN","."),_xlpm.mainPart,MID(_xlpm.cleanRaw,2,FIND(".",_xlpm.cleanRaw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2" t="str">
        <f>""</f>
        <v/>
      </c>
      <c r="J1322" t="str">
        <f t="shared" si="20"/>
        <v>BB26;VSS;;14.149;22.303;;;;</v>
      </c>
    </row>
    <row r="1323" spans="1:10">
      <c r="A1323" t="s">
        <v>508</v>
      </c>
      <c r="B1323" t="str">
        <f>_xlfn.XLOOKUP(A1323,'Pinlist(S1)'!$Q$4:$Q$1362,'Pinlist(S1)'!$R$4:$R$1362,"")</f>
        <v>DDRDQ_IL07_NIL15[4]</v>
      </c>
      <c r="C1323" t="str" cm="1">
        <f t="array" ref="C1323">_xlfn.TEXTJOIN(",",TRUE,_xlfn.UNIQUE(TRANSPOSE(_xlfn.MAP(_xlfn.XLOOKUP(A1323,'Pinlist(S1)'!$C$4:$C$1362,'Pinlist(S1)'!$F$4:$K$1362,""),_xlfn.LAMBDA(_xlpm.x,IF(_xlpm.x&lt;&gt;"",TRIM(CLEAN(LEFT(_xlpm.x,FIND(".",_xlpm.x &amp; ".")-1))),""))))))</f>
        <v/>
      </c>
      <c r="D1323">
        <v>14.811999999999999</v>
      </c>
      <c r="E1323">
        <v>22.628</v>
      </c>
      <c r="F1323" t="str">
        <f>_xlfn.LET(_xlpm.raw,_xlfn.XLOOKUP(A1323,'Pinlist(S1)'!$C$4:$C$1362,'Pinlist(S1)'!$E$4:$E$1362,""),_xlpm.cleanRaw,SUBSTITUTE(SUBSTITUTE(_xlpm.raw,"_PIN","."),"PIN","."),_xlpm.mainPart,MID(_xlpm.cleanRaw,2,FIND(".",_xlpm.cleanRaw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609097</v>
      </c>
      <c r="G1323" t="str">
        <f>_xlfn.LET(_xlpm.raw,_xlfn.XLOOKUP(A1323,'Pinlist(S3)'!$C$4:$C$1362,'Pinlist(S3)'!$E$4:$E$1362,""),_xlpm.cleanRaw,SUBSTITUTE(SUBSTITUTE(_xlpm.raw,"_PIN","."),"PIN","."),_xlpm.mainPart,MID(_xlpm.cleanRaw,2,FIND(".",_xlpm.cleanRaw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803111</v>
      </c>
      <c r="H1323" t="str">
        <f>_xlfn.LET(_xlpm.raw,_xlfn.XLOOKUP(A1323,'Pinlist(S5)'!$C$4:$C$1362,'Pinlist(S5)'!$E$4:$E$1362,""),_xlpm.cleanRaw,SUBSTITUTE(SUBSTITUTE(_xlpm.raw,"_PIN","."),"PIN","."),_xlpm.mainPart,MID(_xlpm.cleanRaw,2,FIND(".",_xlpm.cleanRaw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704111</v>
      </c>
      <c r="I1323" t="str">
        <f>""</f>
        <v/>
      </c>
      <c r="J1323" t="str">
        <f t="shared" si="20"/>
        <v>BB27;DDRDQ_IL07_NIL15[4];;14.812;22.628;609097;803111;704111;</v>
      </c>
    </row>
    <row r="1324" spans="1:10">
      <c r="A1324" t="s">
        <v>498</v>
      </c>
      <c r="B1324" t="str">
        <f>_xlfn.XLOOKUP(A1324,'Pinlist(S1)'!$Q$4:$Q$1362,'Pinlist(S1)'!$R$4:$R$1362,"")</f>
        <v>DDRDQ_IL06_NIL14[7]</v>
      </c>
      <c r="C1324" t="str" cm="1">
        <f t="array" ref="C1324">_xlfn.TEXTJOIN(",",TRUE,_xlfn.UNIQUE(TRANSPOSE(_xlfn.MAP(_xlfn.XLOOKUP(A1324,'Pinlist(S1)'!$C$4:$C$1362,'Pinlist(S1)'!$F$4:$K$1362,""),_xlfn.LAMBDA(_xlpm.x,IF(_xlpm.x&lt;&gt;"",TRIM(CLEAN(LEFT(_xlpm.x,FIND(".",_xlpm.x &amp; ".")-1))),""))))))</f>
        <v/>
      </c>
      <c r="D1324">
        <v>15.840999999999999</v>
      </c>
      <c r="E1324">
        <v>22.628</v>
      </c>
      <c r="F1324" t="str">
        <f>_xlfn.LET(_xlpm.raw,_xlfn.XLOOKUP(A1324,'Pinlist(S1)'!$C$4:$C$1362,'Pinlist(S1)'!$E$4:$E$1362,""),_xlpm.cleanRaw,SUBSTITUTE(SUBSTITUTE(_xlpm.raw,"_PIN","."),"PIN","."),_xlpm.mainPart,MID(_xlpm.cleanRaw,2,FIND(".",_xlpm.cleanRaw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608064</v>
      </c>
      <c r="G1324" t="str">
        <f>_xlfn.LET(_xlpm.raw,_xlfn.XLOOKUP(A1324,'Pinlist(S3)'!$C$4:$C$1362,'Pinlist(S3)'!$E$4:$E$1362,""),_xlpm.cleanRaw,SUBSTITUTE(SUBSTITUTE(_xlpm.raw,"_PIN","."),"PIN","."),_xlpm.mainPart,MID(_xlpm.cleanRaw,2,FIND(".",_xlpm.cleanRaw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802064</v>
      </c>
      <c r="H1324" t="str">
        <f>_xlfn.LET(_xlpm.raw,_xlfn.XLOOKUP(A1324,'Pinlist(S5)'!$C$4:$C$1362,'Pinlist(S5)'!$E$4:$E$1362,""),_xlpm.cleanRaw,SUBSTITUTE(SUBSTITUTE(_xlpm.raw,"_PIN","."),"PIN","."),_xlpm.mainPart,MID(_xlpm.cleanRaw,2,FIND(".",_xlpm.cleanRaw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705064</v>
      </c>
      <c r="I1324" t="str">
        <f>""</f>
        <v/>
      </c>
      <c r="J1324" t="str">
        <f t="shared" si="20"/>
        <v>BB29;DDRDQ_IL06_NIL14[7];;15.841;22.628;608064;802064;705064;</v>
      </c>
    </row>
    <row r="1325" spans="1:10">
      <c r="A1325" t="s">
        <v>2102</v>
      </c>
      <c r="B1325" t="str">
        <f>_xlfn.XLOOKUP(A1325,'Pinlist(S1)'!$Q$4:$Q$1362,'Pinlist(S1)'!$R$4:$R$1362,"")</f>
        <v>VSS</v>
      </c>
      <c r="C1325" t="str" cm="1">
        <f t="array" ref="C1325">_xlfn.TEXTJOIN(",",TRUE,_xlfn.UNIQUE(TRANSPOSE(_xlfn.MAP(_xlfn.XLOOKUP(A1325,'Pinlist(S1)'!$C$4:$C$1362,'Pinlist(S1)'!$F$4:$K$1362,""),_xlfn.LAMBDA(_xlpm.x,IF(_xlpm.x&lt;&gt;"",TRIM(CLEAN(LEFT(_xlpm.x,FIND(".",_xlpm.x &amp; ".")-1))),""))))))</f>
        <v/>
      </c>
      <c r="D1325">
        <v>16.503</v>
      </c>
      <c r="E1325">
        <v>22.303000000000001</v>
      </c>
      <c r="F1325" t="str">
        <f>_xlfn.LET(_xlpm.raw,_xlfn.XLOOKUP(A1325,'Pinlist(S1)'!$C$4:$C$1362,'Pinlist(S1)'!$E$4:$E$1362,""),_xlpm.cleanRaw,SUBSTITUTE(SUBSTITUTE(_xlpm.raw,"_PIN","."),"PIN","."),_xlpm.mainPart,MID(_xlpm.cleanRaw,2,FIND(".",_xlpm.cleanRaw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5" t="str">
        <f>_xlfn.LET(_xlpm.raw,_xlfn.XLOOKUP(A1325,'Pinlist(S3)'!$C$4:$C$1362,'Pinlist(S3)'!$E$4:$E$1362,""),_xlpm.cleanRaw,SUBSTITUTE(SUBSTITUTE(_xlpm.raw,"_PIN","."),"PIN","."),_xlpm.mainPart,MID(_xlpm.cleanRaw,2,FIND(".",_xlpm.cleanRaw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5" t="str">
        <f>_xlfn.LET(_xlpm.raw,_xlfn.XLOOKUP(A1325,'Pinlist(S5)'!$C$4:$C$1362,'Pinlist(S5)'!$E$4:$E$1362,""),_xlpm.cleanRaw,SUBSTITUTE(SUBSTITUTE(_xlpm.raw,"_PIN","."),"PIN","."),_xlpm.mainPart,MID(_xlpm.cleanRaw,2,FIND(".",_xlpm.cleanRaw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5" t="str">
        <f>""</f>
        <v/>
      </c>
      <c r="J1325" t="str">
        <f t="shared" si="20"/>
        <v>BB30;VSS;;16.503;22.303;;;;</v>
      </c>
    </row>
    <row r="1326" spans="1:10">
      <c r="A1326" t="s">
        <v>492</v>
      </c>
      <c r="B1326" t="str">
        <f>_xlfn.XLOOKUP(A1326,'Pinlist(S1)'!$Q$4:$Q$1362,'Pinlist(S1)'!$R$4:$R$1362,"")</f>
        <v>DDRDQ_IL06_NIL14[4]</v>
      </c>
      <c r="C1326" t="str" cm="1">
        <f t="array" ref="C1326">_xlfn.TEXTJOIN(",",TRUE,_xlfn.UNIQUE(TRANSPOSE(_xlfn.MAP(_xlfn.XLOOKUP(A1326,'Pinlist(S1)'!$C$4:$C$1362,'Pinlist(S1)'!$F$4:$K$1362,""),_xlfn.LAMBDA(_xlpm.x,IF(_xlpm.x&lt;&gt;"",TRIM(CLEAN(LEFT(_xlpm.x,FIND(".",_xlpm.x &amp; ".")-1))),""))))))</f>
        <v/>
      </c>
      <c r="D1326">
        <v>17.166</v>
      </c>
      <c r="E1326">
        <v>22.628</v>
      </c>
      <c r="F1326" t="str">
        <f>_xlfn.LET(_xlpm.raw,_xlfn.XLOOKUP(A1326,'Pinlist(S1)'!$C$4:$C$1362,'Pinlist(S1)'!$E$4:$E$1362,""),_xlpm.cleanRaw,SUBSTITUTE(SUBSTITUTE(_xlpm.raw,"_PIN","."),"PIN","."),_xlpm.mainPart,MID(_xlpm.cleanRaw,2,FIND(".",_xlpm.cleanRaw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608062</v>
      </c>
      <c r="G1326" t="str">
        <f>_xlfn.LET(_xlpm.raw,_xlfn.XLOOKUP(A1326,'Pinlist(S3)'!$C$4:$C$1362,'Pinlist(S3)'!$E$4:$E$1362,""),_xlpm.cleanRaw,SUBSTITUTE(SUBSTITUTE(_xlpm.raw,"_PIN","."),"PIN","."),_xlpm.mainPart,MID(_xlpm.cleanRaw,2,FIND(".",_xlpm.cleanRaw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802062</v>
      </c>
      <c r="H1326" t="str">
        <f>_xlfn.LET(_xlpm.raw,_xlfn.XLOOKUP(A1326,'Pinlist(S5)'!$C$4:$C$1362,'Pinlist(S5)'!$E$4:$E$1362,""),_xlpm.cleanRaw,SUBSTITUTE(SUBSTITUTE(_xlpm.raw,"_PIN","."),"PIN","."),_xlpm.mainPart,MID(_xlpm.cleanRaw,2,FIND(".",_xlpm.cleanRaw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705062</v>
      </c>
      <c r="I1326" t="str">
        <f>""</f>
        <v/>
      </c>
      <c r="J1326" t="str">
        <f t="shared" si="20"/>
        <v>BB31;DDRDQ_IL06_NIL14[4];;17.166;22.628;608062;802062;705062;</v>
      </c>
    </row>
    <row r="1327" spans="1:10">
      <c r="A1327" t="s">
        <v>1608</v>
      </c>
      <c r="B1327" t="str">
        <f>_xlfn.XLOOKUP(A1327,'Pinlist(S1)'!$Q$4:$Q$1362,'Pinlist(S1)'!$R$4:$R$1362,"")</f>
        <v>VCCDU</v>
      </c>
      <c r="C1327" t="str" cm="1">
        <f t="array" ref="C1327">_xlfn.TEXTJOIN(",",TRUE,_xlfn.UNIQUE(TRANSPOSE(_xlfn.MAP(_xlfn.XLOOKUP(A1327,'Pinlist(S1)'!$C$4:$C$1362,'Pinlist(S1)'!$F$4:$K$1362,""),_xlfn.LAMBDA(_xlpm.x,IF(_xlpm.x&lt;&gt;"",TRIM(CLEAN(LEFT(_xlpm.x,FIND(".",_xlpm.x &amp; ".")-1))),""))))))</f>
        <v/>
      </c>
      <c r="D1327">
        <v>17.829000000000001</v>
      </c>
      <c r="E1327">
        <v>22.222000000000001</v>
      </c>
      <c r="F1327" t="str">
        <f>_xlfn.LET(_xlpm.raw,_xlfn.XLOOKUP(A1327,'Pinlist(S1)'!$C$4:$C$1362,'Pinlist(S1)'!$E$4:$E$1362,""),_xlpm.cleanRaw,SUBSTITUTE(SUBSTITUTE(_xlpm.raw,"_PIN","."),"PIN","."),_xlpm.mainPart,MID(_xlpm.cleanRaw,2,FIND(".",_xlpm.cleanRaw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7" t="str">
        <f>_xlfn.LET(_xlpm.raw,_xlfn.XLOOKUP(A1327,'Pinlist(S3)'!$C$4:$C$1362,'Pinlist(S3)'!$E$4:$E$1362,""),_xlpm.cleanRaw,SUBSTITUTE(SUBSTITUTE(_xlpm.raw,"_PIN","."),"PIN","."),_xlpm.mainPart,MID(_xlpm.cleanRaw,2,FIND(".",_xlpm.cleanRaw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7" t="str">
        <f>_xlfn.LET(_xlpm.raw,_xlfn.XLOOKUP(A1327,'Pinlist(S5)'!$C$4:$C$1362,'Pinlist(S5)'!$E$4:$E$1362,""),_xlpm.cleanRaw,SUBSTITUTE(SUBSTITUTE(_xlpm.raw,"_PIN","."),"PIN","."),_xlpm.mainPart,MID(_xlpm.cleanRaw,2,FIND(".",_xlpm.cleanRaw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7" t="str">
        <f>""</f>
        <v/>
      </c>
      <c r="J1327" t="str">
        <f t="shared" si="20"/>
        <v>BB32;VCCDU;;17.829;22.222;;;;</v>
      </c>
    </row>
    <row r="1328" spans="1:10">
      <c r="A1328" t="s">
        <v>482</v>
      </c>
      <c r="B1328" t="str">
        <f>_xlfn.XLOOKUP(A1328,'Pinlist(S1)'!$Q$4:$Q$1362,'Pinlist(S1)'!$R$4:$R$1362,"")</f>
        <v>DDRDQ_IL05_NIL11[7]</v>
      </c>
      <c r="C1328" t="str" cm="1">
        <f t="array" ref="C1328">_xlfn.TEXTJOIN(",",TRUE,_xlfn.UNIQUE(TRANSPOSE(_xlfn.MAP(_xlfn.XLOOKUP(A1328,'Pinlist(S1)'!$C$4:$C$1362,'Pinlist(S1)'!$F$4:$K$1362,""),_xlfn.LAMBDA(_xlpm.x,IF(_xlpm.x&lt;&gt;"",TRIM(CLEAN(LEFT(_xlpm.x,FIND(".",_xlpm.x &amp; ".")-1))),""))))))</f>
        <v/>
      </c>
      <c r="D1328">
        <v>18.466999999999999</v>
      </c>
      <c r="E1328">
        <v>22.628</v>
      </c>
      <c r="F1328" t="str">
        <f>_xlfn.LET(_xlpm.raw,_xlfn.XLOOKUP(A1328,'Pinlist(S1)'!$C$4:$C$1362,'Pinlist(S1)'!$E$4:$E$1362,""),_xlpm.cleanRaw,SUBSTITUTE(SUBSTITUTE(_xlpm.raw,"_PIN","."),"PIN","."),_xlpm.mainPart,MID(_xlpm.cleanRaw,2,FIND(".",_xlpm.cleanRaw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608046</v>
      </c>
      <c r="G1328" t="str">
        <f>_xlfn.LET(_xlpm.raw,_xlfn.XLOOKUP(A1328,'Pinlist(S3)'!$C$4:$C$1362,'Pinlist(S3)'!$E$4:$E$1362,""),_xlpm.cleanRaw,SUBSTITUTE(SUBSTITUTE(_xlpm.raw,"_PIN","."),"PIN","."),_xlpm.mainPart,MID(_xlpm.cleanRaw,2,FIND(".",_xlpm.cleanRaw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803126</v>
      </c>
      <c r="H1328" t="str">
        <f>_xlfn.LET(_xlpm.raw,_xlfn.XLOOKUP(A1328,'Pinlist(S5)'!$C$4:$C$1362,'Pinlist(S5)'!$E$4:$E$1362,""),_xlpm.cleanRaw,SUBSTITUTE(SUBSTITUTE(_xlpm.raw,"_PIN","."),"PIN","."),_xlpm.mainPart,MID(_xlpm.cleanRaw,2,FIND(".",_xlpm.cleanRaw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704126</v>
      </c>
      <c r="I1328" t="str">
        <f>""</f>
        <v/>
      </c>
      <c r="J1328" t="str">
        <f t="shared" si="20"/>
        <v>BB33;DDRDQ_IL05_NIL11[7];;18.467;22.628;608046;803126;704126;</v>
      </c>
    </row>
    <row r="1329" spans="1:10">
      <c r="A1329" t="s">
        <v>2103</v>
      </c>
      <c r="B1329" t="str">
        <f>_xlfn.XLOOKUP(A1329,'Pinlist(S1)'!$Q$4:$Q$1362,'Pinlist(S1)'!$R$4:$R$1362,"")</f>
        <v>VSS</v>
      </c>
      <c r="C1329" t="str" cm="1">
        <f t="array" ref="C1329">_xlfn.TEXTJOIN(",",TRUE,_xlfn.UNIQUE(TRANSPOSE(_xlfn.MAP(_xlfn.XLOOKUP(A1329,'Pinlist(S1)'!$C$4:$C$1362,'Pinlist(S1)'!$F$4:$K$1362,""),_xlfn.LAMBDA(_xlpm.x,IF(_xlpm.x&lt;&gt;"",TRIM(CLEAN(LEFT(_xlpm.x,FIND(".",_xlpm.x &amp; ".")-1))),""))))))</f>
        <v/>
      </c>
      <c r="D1329">
        <v>19.13</v>
      </c>
      <c r="E1329">
        <v>22.303000000000001</v>
      </c>
      <c r="F1329" t="str">
        <f>_xlfn.LET(_xlpm.raw,_xlfn.XLOOKUP(A1329,'Pinlist(S1)'!$C$4:$C$1362,'Pinlist(S1)'!$E$4:$E$1362,""),_xlpm.cleanRaw,SUBSTITUTE(SUBSTITUTE(_xlpm.raw,"_PIN","."),"PIN","."),_xlpm.mainPart,MID(_xlpm.cleanRaw,2,FIND(".",_xlpm.cleanRaw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9" t="str">
        <f>_xlfn.LET(_xlpm.raw,_xlfn.XLOOKUP(A1329,'Pinlist(S3)'!$C$4:$C$1362,'Pinlist(S3)'!$E$4:$E$1362,""),_xlpm.cleanRaw,SUBSTITUTE(SUBSTITUTE(_xlpm.raw,"_PIN","."),"PIN","."),_xlpm.mainPart,MID(_xlpm.cleanRaw,2,FIND(".",_xlpm.cleanRaw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9" t="str">
        <f>_xlfn.LET(_xlpm.raw,_xlfn.XLOOKUP(A1329,'Pinlist(S5)'!$C$4:$C$1362,'Pinlist(S5)'!$E$4:$E$1362,""),_xlpm.cleanRaw,SUBSTITUTE(SUBSTITUTE(_xlpm.raw,"_PIN","."),"PIN","."),_xlpm.mainPart,MID(_xlpm.cleanRaw,2,FIND(".",_xlpm.cleanRaw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9" t="str">
        <f>""</f>
        <v/>
      </c>
      <c r="J1329" t="str">
        <f t="shared" si="20"/>
        <v>BB34;VSS;;19.13;22.303;;;;</v>
      </c>
    </row>
    <row r="1330" spans="1:10">
      <c r="A1330" t="s">
        <v>476</v>
      </c>
      <c r="B1330" t="str">
        <f>_xlfn.XLOOKUP(A1330,'Pinlist(S1)'!$Q$4:$Q$1362,'Pinlist(S1)'!$R$4:$R$1362,"")</f>
        <v>DDRDQ_IL05_NIL11[4]</v>
      </c>
      <c r="C1330" t="str" cm="1">
        <f t="array" ref="C1330">_xlfn.TEXTJOIN(",",TRUE,_xlfn.UNIQUE(TRANSPOSE(_xlfn.MAP(_xlfn.XLOOKUP(A1330,'Pinlist(S1)'!$C$4:$C$1362,'Pinlist(S1)'!$F$4:$K$1362,""),_xlfn.LAMBDA(_xlpm.x,IF(_xlpm.x&lt;&gt;"",TRIM(CLEAN(LEFT(_xlpm.x,FIND(".",_xlpm.x &amp; ".")-1))),""))))))</f>
        <v/>
      </c>
      <c r="D1330">
        <v>19.792999999999999</v>
      </c>
      <c r="E1330">
        <v>22.628</v>
      </c>
      <c r="F1330" t="str">
        <f>_xlfn.LET(_xlpm.raw,_xlfn.XLOOKUP(A1330,'Pinlist(S1)'!$C$4:$C$1362,'Pinlist(S1)'!$E$4:$E$1362,""),_xlpm.cleanRaw,SUBSTITUTE(SUBSTITUTE(_xlpm.raw,"_PIN","."),"PIN","."),_xlpm.mainPart,MID(_xlpm.cleanRaw,2,FIND(".",_xlpm.cleanRaw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608048</v>
      </c>
      <c r="G1330" t="str">
        <f>_xlfn.LET(_xlpm.raw,_xlfn.XLOOKUP(A1330,'Pinlist(S3)'!$C$4:$C$1362,'Pinlist(S3)'!$E$4:$E$1362,""),_xlpm.cleanRaw,SUBSTITUTE(SUBSTITUTE(_xlpm.raw,"_PIN","."),"PIN","."),_xlpm.mainPart,MID(_xlpm.cleanRaw,2,FIND(".",_xlpm.cleanRaw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802046</v>
      </c>
      <c r="H1330" t="str">
        <f>_xlfn.LET(_xlpm.raw,_xlfn.XLOOKUP(A1330,'Pinlist(S5)'!$C$4:$C$1362,'Pinlist(S5)'!$E$4:$E$1362,""),_xlpm.cleanRaw,SUBSTITUTE(SUBSTITUTE(_xlpm.raw,"_PIN","."),"PIN","."),_xlpm.mainPart,MID(_xlpm.cleanRaw,2,FIND(".",_xlpm.cleanRaw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705046</v>
      </c>
      <c r="I1330" t="str">
        <f>""</f>
        <v/>
      </c>
      <c r="J1330" t="str">
        <f t="shared" si="20"/>
        <v>BB35;DDRDQ_IL05_NIL11[4];;19.793;22.628;608048;802046;705046;</v>
      </c>
    </row>
    <row r="1331" spans="1:10">
      <c r="A1331" t="s">
        <v>466</v>
      </c>
      <c r="B1331" t="str">
        <f>_xlfn.XLOOKUP(A1331,'Pinlist(S1)'!$Q$4:$Q$1362,'Pinlist(S1)'!$R$4:$R$1362,"")</f>
        <v>DDRDQ_IL04_NIL10[7]</v>
      </c>
      <c r="C1331" t="str" cm="1">
        <f t="array" ref="C1331">_xlfn.TEXTJOIN(",",TRUE,_xlfn.UNIQUE(TRANSPOSE(_xlfn.MAP(_xlfn.XLOOKUP(A1331,'Pinlist(S1)'!$C$4:$C$1362,'Pinlist(S1)'!$F$4:$K$1362,""),_xlfn.LAMBDA(_xlpm.x,IF(_xlpm.x&lt;&gt;"",TRIM(CLEAN(LEFT(_xlpm.x,FIND(".",_xlpm.x &amp; ".")-1))),""))))))</f>
        <v/>
      </c>
      <c r="D1331">
        <v>20.821000000000002</v>
      </c>
      <c r="E1331">
        <v>22.628</v>
      </c>
      <c r="F1331" t="str">
        <f>_xlfn.LET(_xlpm.raw,_xlfn.XLOOKUP(A1331,'Pinlist(S1)'!$C$4:$C$1362,'Pinlist(S1)'!$E$4:$E$1362,""),_xlpm.cleanRaw,SUBSTITUTE(SUBSTITUTE(_xlpm.raw,"_PIN","."),"PIN","."),_xlpm.mainPart,MID(_xlpm.cleanRaw,2,FIND(".",_xlpm.cleanRaw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609112</v>
      </c>
      <c r="G1331" t="str">
        <f>_xlfn.LET(_xlpm.raw,_xlfn.XLOOKUP(A1331,'Pinlist(S3)'!$C$4:$C$1362,'Pinlist(S3)'!$E$4:$E$1362,""),_xlpm.cleanRaw,SUBSTITUTE(SUBSTITUTE(_xlpm.raw,"_PIN","."),"PIN","."),_xlpm.mainPart,MID(_xlpm.cleanRaw,2,FIND(".",_xlpm.cleanRaw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802069</v>
      </c>
      <c r="H1331" t="str">
        <f>_xlfn.LET(_xlpm.raw,_xlfn.XLOOKUP(A1331,'Pinlist(S5)'!$C$4:$C$1362,'Pinlist(S5)'!$E$4:$E$1362,""),_xlpm.cleanRaw,SUBSTITUTE(SUBSTITUTE(_xlpm.raw,"_PIN","."),"PIN","."),_xlpm.mainPart,MID(_xlpm.cleanRaw,2,FIND(".",_xlpm.cleanRaw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705069</v>
      </c>
      <c r="I1331" t="str">
        <f>""</f>
        <v/>
      </c>
      <c r="J1331" t="str">
        <f t="shared" si="20"/>
        <v>BB37;DDRDQ_IL04_NIL10[7];;20.821;22.628;609112;802069;705069;</v>
      </c>
    </row>
    <row r="1332" spans="1:10">
      <c r="A1332" t="s">
        <v>2104</v>
      </c>
      <c r="B1332" t="str">
        <f>_xlfn.XLOOKUP(A1332,'Pinlist(S1)'!$Q$4:$Q$1362,'Pinlist(S1)'!$R$4:$R$1362,"")</f>
        <v>VSS</v>
      </c>
      <c r="C1332" t="str" cm="1">
        <f t="array" ref="C1332">_xlfn.TEXTJOIN(",",TRUE,_xlfn.UNIQUE(TRANSPOSE(_xlfn.MAP(_xlfn.XLOOKUP(A1332,'Pinlist(S1)'!$C$4:$C$1362,'Pinlist(S1)'!$F$4:$K$1362,""),_xlfn.LAMBDA(_xlpm.x,IF(_xlpm.x&lt;&gt;"",TRIM(CLEAN(LEFT(_xlpm.x,FIND(".",_xlpm.x &amp; ".")-1))),""))))))</f>
        <v/>
      </c>
      <c r="D1332">
        <v>21.484000000000002</v>
      </c>
      <c r="E1332">
        <v>22.303000000000001</v>
      </c>
      <c r="F1332" t="str">
        <f>_xlfn.LET(_xlpm.raw,_xlfn.XLOOKUP(A1332,'Pinlist(S1)'!$C$4:$C$1362,'Pinlist(S1)'!$E$4:$E$1362,""),_xlpm.cleanRaw,SUBSTITUTE(SUBSTITUTE(_xlpm.raw,"_PIN","."),"PIN","."),_xlpm.mainPart,MID(_xlpm.cleanRaw,2,FIND(".",_xlpm.cleanRaw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2" t="str">
        <f>_xlfn.LET(_xlpm.raw,_xlfn.XLOOKUP(A1332,'Pinlist(S3)'!$C$4:$C$1362,'Pinlist(S3)'!$E$4:$E$1362,""),_xlpm.cleanRaw,SUBSTITUTE(SUBSTITUTE(_xlpm.raw,"_PIN","."),"PIN","."),_xlpm.mainPart,MID(_xlpm.cleanRaw,2,FIND(".",_xlpm.cleanRaw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2" t="str">
        <f>_xlfn.LET(_xlpm.raw,_xlfn.XLOOKUP(A1332,'Pinlist(S5)'!$C$4:$C$1362,'Pinlist(S5)'!$E$4:$E$1362,""),_xlpm.cleanRaw,SUBSTITUTE(SUBSTITUTE(_xlpm.raw,"_PIN","."),"PIN","."),_xlpm.mainPart,MID(_xlpm.cleanRaw,2,FIND(".",_xlpm.cleanRaw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2" t="str">
        <f>""</f>
        <v/>
      </c>
      <c r="J1332" t="str">
        <f t="shared" si="20"/>
        <v>BB38;VSS;;21.484;22.303;;;;</v>
      </c>
    </row>
    <row r="1333" spans="1:10">
      <c r="A1333" t="s">
        <v>460</v>
      </c>
      <c r="B1333" t="str">
        <f>_xlfn.XLOOKUP(A1333,'Pinlist(S1)'!$Q$4:$Q$1362,'Pinlist(S1)'!$R$4:$R$1362,"")</f>
        <v>DDRDQ_IL04_NIL10[4]</v>
      </c>
      <c r="C1333" t="str" cm="1">
        <f t="array" ref="C1333">_xlfn.TEXTJOIN(",",TRUE,_xlfn.UNIQUE(TRANSPOSE(_xlfn.MAP(_xlfn.XLOOKUP(A1333,'Pinlist(S1)'!$C$4:$C$1362,'Pinlist(S1)'!$F$4:$K$1362,""),_xlfn.LAMBDA(_xlpm.x,IF(_xlpm.x&lt;&gt;"",TRIM(CLEAN(LEFT(_xlpm.x,FIND(".",_xlpm.x &amp; ".")-1))),""))))))</f>
        <v/>
      </c>
      <c r="D1333">
        <v>22.146999999999998</v>
      </c>
      <c r="E1333">
        <v>22.628</v>
      </c>
      <c r="F1333" t="str">
        <f>_xlfn.LET(_xlpm.raw,_xlfn.XLOOKUP(A1333,'Pinlist(S1)'!$C$4:$C$1362,'Pinlist(S1)'!$E$4:$E$1362,""),_xlpm.cleanRaw,SUBSTITUTE(SUBSTITUTE(_xlpm.raw,"_PIN","."),"PIN","."),_xlpm.mainPart,MID(_xlpm.cleanRaw,2,FIND(".",_xlpm.cleanRaw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609114</v>
      </c>
      <c r="G1333" t="str">
        <f>_xlfn.LET(_xlpm.raw,_xlfn.XLOOKUP(A1333,'Pinlist(S3)'!$C$4:$C$1362,'Pinlist(S3)'!$E$4:$E$1362,""),_xlpm.cleanRaw,SUBSTITUTE(SUBSTITUTE(_xlpm.raw,"_PIN","."),"PIN","."),_xlpm.mainPart,MID(_xlpm.cleanRaw,2,FIND(".",_xlpm.cleanRaw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802067</v>
      </c>
      <c r="H1333" t="str">
        <f>_xlfn.LET(_xlpm.raw,_xlfn.XLOOKUP(A1333,'Pinlist(S5)'!$C$4:$C$1362,'Pinlist(S5)'!$E$4:$E$1362,""),_xlpm.cleanRaw,SUBSTITUTE(SUBSTITUTE(_xlpm.raw,"_PIN","."),"PIN","."),_xlpm.mainPart,MID(_xlpm.cleanRaw,2,FIND(".",_xlpm.cleanRaw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705067</v>
      </c>
      <c r="I1333" t="str">
        <f>""</f>
        <v/>
      </c>
      <c r="J1333" t="str">
        <f t="shared" si="20"/>
        <v>BB39;DDRDQ_IL04_NIL10[4];;22.147;22.628;609114;802067;705067;</v>
      </c>
    </row>
    <row r="1334" spans="1:10">
      <c r="A1334" t="s">
        <v>1609</v>
      </c>
      <c r="B1334" t="str">
        <f>_xlfn.XLOOKUP(A1334,'Pinlist(S1)'!$Q$4:$Q$1362,'Pinlist(S1)'!$R$4:$R$1362,"")</f>
        <v>VCCDU</v>
      </c>
      <c r="C1334" t="str" cm="1">
        <f t="array" ref="C1334">_xlfn.TEXTJOIN(",",TRUE,_xlfn.UNIQUE(TRANSPOSE(_xlfn.MAP(_xlfn.XLOOKUP(A1334,'Pinlist(S1)'!$C$4:$C$1362,'Pinlist(S1)'!$F$4:$K$1362,""),_xlfn.LAMBDA(_xlpm.x,IF(_xlpm.x&lt;&gt;"",TRIM(CLEAN(LEFT(_xlpm.x,FIND(".",_xlpm.x &amp; ".")-1))),""))))))</f>
        <v/>
      </c>
      <c r="D1334">
        <v>22.785</v>
      </c>
      <c r="E1334">
        <v>22.222000000000001</v>
      </c>
      <c r="F1334" t="str">
        <f>_xlfn.LET(_xlpm.raw,_xlfn.XLOOKUP(A1334,'Pinlist(S1)'!$C$4:$C$1362,'Pinlist(S1)'!$E$4:$E$1362,""),_xlpm.cleanRaw,SUBSTITUTE(SUBSTITUTE(_xlpm.raw,"_PIN","."),"PIN","."),_xlpm.mainPart,MID(_xlpm.cleanRaw,2,FIND(".",_xlpm.cleanRaw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4" t="str">
        <f>_xlfn.LET(_xlpm.raw,_xlfn.XLOOKUP(A1334,'Pinlist(S3)'!$C$4:$C$1362,'Pinlist(S3)'!$E$4:$E$1362,""),_xlpm.cleanRaw,SUBSTITUTE(SUBSTITUTE(_xlpm.raw,"_PIN","."),"PIN","."),_xlpm.mainPart,MID(_xlpm.cleanRaw,2,FIND(".",_xlpm.cleanRaw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4" t="str">
        <f>_xlfn.LET(_xlpm.raw,_xlfn.XLOOKUP(A1334,'Pinlist(S5)'!$C$4:$C$1362,'Pinlist(S5)'!$E$4:$E$1362,""),_xlpm.cleanRaw,SUBSTITUTE(SUBSTITUTE(_xlpm.raw,"_PIN","."),"PIN","."),_xlpm.mainPart,MID(_xlpm.cleanRaw,2,FIND(".",_xlpm.cleanRaw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4" t="str">
        <f>""</f>
        <v/>
      </c>
      <c r="J1334" t="str">
        <f t="shared" si="20"/>
        <v>BB41;VCCDU;;22.785;22.222;;;;</v>
      </c>
    </row>
    <row r="1335" spans="1:10">
      <c r="A1335" t="s">
        <v>342</v>
      </c>
      <c r="B1335" t="str">
        <f>_xlfn.XLOOKUP(A1335,'Pinlist(S1)'!$Q$4:$Q$1362,'Pinlist(S1)'!$R$4:$R$1362,"")</f>
        <v>DDR1_CS_N[0]</v>
      </c>
      <c r="C1335" t="str" cm="1">
        <f t="array" ref="C1335">_xlfn.TEXTJOIN(",",TRUE,_xlfn.UNIQUE(TRANSPOSE(_xlfn.MAP(_xlfn.XLOOKUP(A1335,'Pinlist(S1)'!$C$4:$C$1362,'Pinlist(S1)'!$F$4:$K$1362,""),_xlfn.LAMBDA(_xlpm.x,IF(_xlpm.x&lt;&gt;"",TRIM(CLEAN(LEFT(_xlpm.x,FIND(".",_xlpm.x &amp; ".")-1))),""))))))</f>
        <v/>
      </c>
      <c r="D1335">
        <v>23.422000000000001</v>
      </c>
      <c r="E1335">
        <v>22.628</v>
      </c>
      <c r="F1335" t="str">
        <f>_xlfn.LET(_xlpm.raw,_xlfn.XLOOKUP(A1335,'Pinlist(S1)'!$C$4:$C$1362,'Pinlist(S1)'!$E$4:$E$1362,""),_xlpm.cleanRaw,SUBSTITUTE(SUBSTITUTE(_xlpm.raw,"_PIN","."),"PIN","."),_xlpm.mainPart,MID(_xlpm.cleanRaw,2,FIND(".",_xlpm.cleanRaw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608073</v>
      </c>
      <c r="G1335" t="str">
        <f>_xlfn.LET(_xlpm.raw,_xlfn.XLOOKUP(A1335,'Pinlist(S3)'!$C$4:$C$1362,'Pinlist(S3)'!$E$4:$E$1362,""),_xlpm.cleanRaw,SUBSTITUTE(SUBSTITUTE(_xlpm.raw,"_PIN","."),"PIN","."),_xlpm.mainPart,MID(_xlpm.cleanRaw,2,FIND(".",_xlpm.cleanRaw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802073</v>
      </c>
      <c r="H1335" t="str">
        <f>_xlfn.LET(_xlpm.raw,_xlfn.XLOOKUP(A1335,'Pinlist(S5)'!$C$4:$C$1362,'Pinlist(S5)'!$E$4:$E$1362,""),_xlpm.cleanRaw,SUBSTITUTE(SUBSTITUTE(_xlpm.raw,"_PIN","."),"PIN","."),_xlpm.mainPart,MID(_xlpm.cleanRaw,2,FIND(".",_xlpm.cleanRaw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705073</v>
      </c>
      <c r="I1335" t="str">
        <f>""</f>
        <v/>
      </c>
      <c r="J1335" t="str">
        <f t="shared" si="20"/>
        <v>BB42;DDR1_CS_N[0];;23.422;22.628;608073;802073;705073;</v>
      </c>
    </row>
    <row r="1336" spans="1:10">
      <c r="A1336" t="s">
        <v>2105</v>
      </c>
      <c r="B1336" t="str">
        <f>_xlfn.XLOOKUP(A1336,'Pinlist(S1)'!$Q$4:$Q$1362,'Pinlist(S1)'!$R$4:$R$1362,"")</f>
        <v>VSS</v>
      </c>
      <c r="C1336" t="str" cm="1">
        <f t="array" ref="C1336">_xlfn.TEXTJOIN(",",TRUE,_xlfn.UNIQUE(TRANSPOSE(_xlfn.MAP(_xlfn.XLOOKUP(A1336,'Pinlist(S1)'!$C$4:$C$1362,'Pinlist(S1)'!$F$4:$K$1362,""),_xlfn.LAMBDA(_xlpm.x,IF(_xlpm.x&lt;&gt;"",TRIM(CLEAN(LEFT(_xlpm.x,FIND(".",_xlpm.x &amp; ".")-1))),""))))))</f>
        <v/>
      </c>
      <c r="D1336">
        <v>24.085000000000001</v>
      </c>
      <c r="E1336">
        <v>22.303000000000001</v>
      </c>
      <c r="F1336" t="str">
        <f>_xlfn.LET(_xlpm.raw,_xlfn.XLOOKUP(A1336,'Pinlist(S1)'!$C$4:$C$1362,'Pinlist(S1)'!$E$4:$E$1362,""),_xlpm.cleanRaw,SUBSTITUTE(SUBSTITUTE(_xlpm.raw,"_PIN","."),"PIN","."),_xlpm.mainPart,MID(_xlpm.cleanRaw,2,FIND(".",_xlpm.cleanRaw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6" t="str">
        <f>_xlfn.LET(_xlpm.raw,_xlfn.XLOOKUP(A1336,'Pinlist(S3)'!$C$4:$C$1362,'Pinlist(S3)'!$E$4:$E$1362,""),_xlpm.cleanRaw,SUBSTITUTE(SUBSTITUTE(_xlpm.raw,"_PIN","."),"PIN","."),_xlpm.mainPart,MID(_xlpm.cleanRaw,2,FIND(".",_xlpm.cleanRaw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6" t="str">
        <f>_xlfn.LET(_xlpm.raw,_xlfn.XLOOKUP(A1336,'Pinlist(S5)'!$C$4:$C$1362,'Pinlist(S5)'!$E$4:$E$1362,""),_xlpm.cleanRaw,SUBSTITUTE(SUBSTITUTE(_xlpm.raw,"_PIN","."),"PIN","."),_xlpm.mainPart,MID(_xlpm.cleanRaw,2,FIND(".",_xlpm.cleanRaw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6" t="str">
        <f>""</f>
        <v/>
      </c>
      <c r="J1336" t="str">
        <f t="shared" si="20"/>
        <v>BB43;VSS;;24.085;22.303;;;;</v>
      </c>
    </row>
    <row r="1337" spans="1:10">
      <c r="A1337" t="s">
        <v>318</v>
      </c>
      <c r="B1337" t="str">
        <f>_xlfn.XLOOKUP(A1337,'Pinlist(S1)'!$Q$4:$Q$1362,'Pinlist(S1)'!$R$4:$R$1362,"")</f>
        <v>DDR1_BA[0]_CAB4</v>
      </c>
      <c r="C1337" t="str" cm="1">
        <f t="array" ref="C1337">_xlfn.TEXTJOIN(",",TRUE,_xlfn.UNIQUE(TRANSPOSE(_xlfn.MAP(_xlfn.XLOOKUP(A1337,'Pinlist(S1)'!$C$4:$C$1362,'Pinlist(S1)'!$F$4:$K$1362,""),_xlfn.LAMBDA(_xlpm.x,IF(_xlpm.x&lt;&gt;"",TRIM(CLEAN(LEFT(_xlpm.x,FIND(".",_xlpm.x &amp; ".")-1))),""))))))</f>
        <v>KA105</v>
      </c>
      <c r="D1337">
        <v>24.748000000000001</v>
      </c>
      <c r="E1337">
        <v>22.628</v>
      </c>
      <c r="F1337" t="str">
        <f>_xlfn.LET(_xlpm.raw,_xlfn.XLOOKUP(A1337,'Pinlist(S1)'!$C$4:$C$1362,'Pinlist(S1)'!$E$4:$E$1362,""),_xlpm.cleanRaw,SUBSTITUTE(SUBSTITUTE(_xlpm.raw,"_PIN","."),"PIN","."),_xlpm.mainPart,MID(_xlpm.cleanRaw,2,FIND(".",_xlpm.cleanRaw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337" t="str">
        <f>_xlfn.LET(_xlpm.raw,_xlfn.XLOOKUP(A1337,'Pinlist(S3)'!$C$4:$C$1362,'Pinlist(S3)'!$E$4:$E$1362,""),_xlpm.cleanRaw,SUBSTITUTE(SUBSTITUTE(_xlpm.raw,"_PIN","."),"PIN","."),_xlpm.mainPart,MID(_xlpm.cleanRaw,2,FIND(".",_xlpm.cleanRaw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337" t="str">
        <f>_xlfn.LET(_xlpm.raw,_xlfn.XLOOKUP(A1337,'Pinlist(S5)'!$C$4:$C$1362,'Pinlist(S5)'!$E$4:$E$1362,""),_xlpm.cleanRaw,SUBSTITUTE(SUBSTITUTE(_xlpm.raw,"_PIN","."),"PIN","."),_xlpm.mainPart,MID(_xlpm.cleanRaw,2,FIND(".",_xlpm.cleanRaw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337" t="str">
        <f>""</f>
        <v/>
      </c>
      <c r="J1337" t="str">
        <f t="shared" si="20"/>
        <v>BB44;DDR1_BA[0]_CAB4;KA105;24.748;22.628;507111;806086;701086;</v>
      </c>
    </row>
    <row r="1338" spans="1:10">
      <c r="A1338" t="s">
        <v>364</v>
      </c>
      <c r="B1338" t="str">
        <f>_xlfn.XLOOKUP(A1338,'Pinlist(S1)'!$Q$4:$Q$1362,'Pinlist(S1)'!$R$4:$R$1362,"")</f>
        <v>DDR1_MA[3]</v>
      </c>
      <c r="C1338" t="str" cm="1">
        <f t="array" ref="C1338">_xlfn.TEXTJOIN(",",TRUE,_xlfn.UNIQUE(TRANSPOSE(_xlfn.MAP(_xlfn.XLOOKUP(A1338,'Pinlist(S1)'!$C$4:$C$1362,'Pinlist(S1)'!$F$4:$K$1362,""),_xlfn.LAMBDA(_xlpm.x,IF(_xlpm.x&lt;&gt;"",TRIM(CLEAN(LEFT(_xlpm.x,FIND(".",_xlpm.x &amp; ".")-1))),""))))))</f>
        <v>KA111</v>
      </c>
      <c r="D1338">
        <v>25.777000000000001</v>
      </c>
      <c r="E1338">
        <v>22.628</v>
      </c>
      <c r="F1338" t="str">
        <f>_xlfn.LET(_xlpm.raw,_xlfn.XLOOKUP(A1338,'Pinlist(S1)'!$C$4:$C$1362,'Pinlist(S1)'!$E$4:$E$1362,""),_xlpm.cleanRaw,SUBSTITUTE(SUBSTITUTE(_xlpm.raw,"_PIN","."),"PIN","."),_xlpm.mainPart,MID(_xlpm.cleanRaw,2,FIND(".",_xlpm.cleanRaw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1338" t="str">
        <f>_xlfn.LET(_xlpm.raw,_xlfn.XLOOKUP(A1338,'Pinlist(S3)'!$C$4:$C$1362,'Pinlist(S3)'!$E$4:$E$1362,""),_xlpm.cleanRaw,SUBSTITUTE(SUBSTITUTE(_xlpm.raw,"_PIN","."),"PIN","."),_xlpm.mainPart,MID(_xlpm.cleanRaw,2,FIND(".",_xlpm.cleanRaw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1338" t="str">
        <f>_xlfn.LET(_xlpm.raw,_xlfn.XLOOKUP(A1338,'Pinlist(S5)'!$C$4:$C$1362,'Pinlist(S5)'!$E$4:$E$1362,""),_xlpm.cleanRaw,SUBSTITUTE(SUBSTITUTE(_xlpm.raw,"_PIN","."),"PIN","."),_xlpm.mainPart,MID(_xlpm.cleanRaw,2,FIND(".",_xlpm.cleanRaw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1338" t="str">
        <f>""</f>
        <v/>
      </c>
      <c r="J1338" t="str">
        <f t="shared" si="20"/>
        <v>BB46;DDR1_MA[3];KA111;25.777;22.628;507127;805079;603120;</v>
      </c>
    </row>
    <row r="1339" spans="1:10">
      <c r="A1339" t="s">
        <v>1610</v>
      </c>
      <c r="B1339" t="str">
        <f>_xlfn.XLOOKUP(A1339,'Pinlist(S1)'!$Q$4:$Q$1362,'Pinlist(S1)'!$R$4:$R$1362,"")</f>
        <v>VCCDU</v>
      </c>
      <c r="C1339" t="str" cm="1">
        <f t="array" ref="C1339">_xlfn.TEXTJOIN(",",TRUE,_xlfn.UNIQUE(TRANSPOSE(_xlfn.MAP(_xlfn.XLOOKUP(A1339,'Pinlist(S1)'!$C$4:$C$1362,'Pinlist(S1)'!$F$4:$K$1362,""),_xlfn.LAMBDA(_xlpm.x,IF(_xlpm.x&lt;&gt;"",TRIM(CLEAN(LEFT(_xlpm.x,FIND(".",_xlpm.x &amp; ".")-1))),""))))))</f>
        <v/>
      </c>
      <c r="D1339">
        <v>26.44</v>
      </c>
      <c r="E1339">
        <v>22.303000000000001</v>
      </c>
      <c r="F1339" t="str">
        <f>_xlfn.LET(_xlpm.raw,_xlfn.XLOOKUP(A1339,'Pinlist(S1)'!$C$4:$C$1362,'Pinlist(S1)'!$E$4:$E$1362,""),_xlpm.cleanRaw,SUBSTITUTE(SUBSTITUTE(_xlpm.raw,"_PIN","."),"PIN","."),_xlpm.mainPart,MID(_xlpm.cleanRaw,2,FIND(".",_xlpm.cleanRaw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9" t="str">
        <f>_xlfn.LET(_xlpm.raw,_xlfn.XLOOKUP(A1339,'Pinlist(S3)'!$C$4:$C$1362,'Pinlist(S3)'!$E$4:$E$1362,""),_xlpm.cleanRaw,SUBSTITUTE(SUBSTITUTE(_xlpm.raw,"_PIN","."),"PIN","."),_xlpm.mainPart,MID(_xlpm.cleanRaw,2,FIND(".",_xlpm.cleanRaw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9" t="str">
        <f>_xlfn.LET(_xlpm.raw,_xlfn.XLOOKUP(A1339,'Pinlist(S5)'!$C$4:$C$1362,'Pinlist(S5)'!$E$4:$E$1362,""),_xlpm.cleanRaw,SUBSTITUTE(SUBSTITUTE(_xlpm.raw,"_PIN","."),"PIN","."),_xlpm.mainPart,MID(_xlpm.cleanRaw,2,FIND(".",_xlpm.cleanRaw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9" t="str">
        <f>""</f>
        <v/>
      </c>
      <c r="J1339" t="str">
        <f t="shared" si="20"/>
        <v>BB47;VCCDU;;26.44;22.303;;;;</v>
      </c>
    </row>
    <row r="1340" spans="1:10">
      <c r="A1340" t="s">
        <v>374</v>
      </c>
      <c r="B1340" t="str">
        <f>_xlfn.XLOOKUP(A1340,'Pinlist(S1)'!$Q$4:$Q$1362,'Pinlist(S1)'!$R$4:$R$1362,"")</f>
        <v>DDR1_MA[8]_CAA3</v>
      </c>
      <c r="C1340" t="str" cm="1">
        <f t="array" ref="C1340">_xlfn.TEXTJOIN(",",TRUE,_xlfn.UNIQUE(TRANSPOSE(_xlfn.MAP(_xlfn.XLOOKUP(A1340,'Pinlist(S1)'!$C$4:$C$1362,'Pinlist(S1)'!$F$4:$K$1362,""),_xlfn.LAMBDA(_xlpm.x,IF(_xlpm.x&lt;&gt;"",TRIM(CLEAN(LEFT(_xlpm.x,FIND(".",_xlpm.x &amp; ".")-1))),""))))))</f>
        <v>KA119</v>
      </c>
      <c r="D1340">
        <v>27.103000000000002</v>
      </c>
      <c r="E1340">
        <v>22.628</v>
      </c>
      <c r="F1340" t="str">
        <f>_xlfn.LET(_xlpm.raw,_xlfn.XLOOKUP(A1340,'Pinlist(S1)'!$C$4:$C$1362,'Pinlist(S1)'!$E$4:$E$1362,""),_xlpm.cleanRaw,SUBSTITUTE(SUBSTITUTE(_xlpm.raw,"_PIN","."),"PIN","."),_xlpm.mainPart,MID(_xlpm.cleanRaw,2,FIND(".",_xlpm.cleanRaw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1340" t="str">
        <f>_xlfn.LET(_xlpm.raw,_xlfn.XLOOKUP(A1340,'Pinlist(S3)'!$C$4:$C$1362,'Pinlist(S3)'!$E$4:$E$1362,""),_xlpm.cleanRaw,SUBSTITUTE(SUBSTITUTE(_xlpm.raw,"_PIN","."),"PIN","."),_xlpm.mainPart,MID(_xlpm.cleanRaw,2,FIND(".",_xlpm.cleanRaw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1340" t="str">
        <f>_xlfn.LET(_xlpm.raw,_xlfn.XLOOKUP(A1340,'Pinlist(S5)'!$C$4:$C$1362,'Pinlist(S5)'!$E$4:$E$1362,""),_xlpm.cleanRaw,SUBSTITUTE(SUBSTITUTE(_xlpm.raw,"_PIN","."),"PIN","."),_xlpm.mainPart,MID(_xlpm.cleanRaw,2,FIND(".",_xlpm.cleanRaw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1340" t="str">
        <f>""</f>
        <v/>
      </c>
      <c r="J1340" t="str">
        <f t="shared" si="20"/>
        <v>BB48;DDR1_MA[8]_CAA3;KA119;27.103;22.628;507124;809121;603110;</v>
      </c>
    </row>
    <row r="1341" spans="1:10">
      <c r="A1341" t="s">
        <v>276</v>
      </c>
      <c r="B1341" t="str">
        <f>_xlfn.XLOOKUP(A1341,'Pinlist(S1)'!$Q$4:$Q$1362,'Pinlist(S1)'!$R$4:$R$1362,"")</f>
        <v>DDR0_MA[1]_CAB8</v>
      </c>
      <c r="C1341" t="str" cm="1">
        <f t="array" ref="C1341">_xlfn.TEXTJOIN(",",TRUE,_xlfn.UNIQUE(TRANSPOSE(_xlfn.MAP(_xlfn.XLOOKUP(A1341,'Pinlist(S1)'!$C$4:$C$1362,'Pinlist(S1)'!$F$4:$K$1362,""),_xlfn.LAMBDA(_xlpm.x,IF(_xlpm.x&lt;&gt;"",TRIM(CLEAN(LEFT(_xlpm.x,FIND(".",_xlpm.x &amp; ".")-1))),""))))))</f>
        <v>KA107</v>
      </c>
      <c r="D1341">
        <v>28.236000000000001</v>
      </c>
      <c r="E1341">
        <v>22.628</v>
      </c>
      <c r="F1341" t="str">
        <f>_xlfn.LET(_xlpm.raw,_xlfn.XLOOKUP(A1341,'Pinlist(S1)'!$C$4:$C$1362,'Pinlist(S1)'!$E$4:$E$1362,""),_xlpm.cleanRaw,SUBSTITUTE(SUBSTITUTE(_xlpm.raw,"_PIN","."),"PIN","."),_xlpm.mainPart,MID(_xlpm.cleanRaw,2,FIND(".",_xlpm.cleanRaw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341" t="str">
        <f>_xlfn.LET(_xlpm.raw,_xlfn.XLOOKUP(A1341,'Pinlist(S3)'!$C$4:$C$1362,'Pinlist(S3)'!$E$4:$E$1362,""),_xlpm.cleanRaw,SUBSTITUTE(SUBSTITUTE(_xlpm.raw,"_PIN","."),"PIN","."),_xlpm.mainPart,MID(_xlpm.cleanRaw,2,FIND(".",_xlpm.cleanRaw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341" t="str">
        <f>_xlfn.LET(_xlpm.raw,_xlfn.XLOOKUP(A1341,'Pinlist(S5)'!$C$4:$C$1362,'Pinlist(S5)'!$E$4:$E$1362,""),_xlpm.cleanRaw,SUBSTITUTE(SUBSTITUTE(_xlpm.raw,"_PIN","."),"PIN","."),_xlpm.mainPart,MID(_xlpm.cleanRaw,2,FIND(".",_xlpm.cleanRaw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341" t="str">
        <f>""</f>
        <v/>
      </c>
      <c r="J1341" t="str">
        <f t="shared" si="20"/>
        <v>BB50;DDR0_MA[1]_CAB8;KA107;28.236;22.628;506021;807025;603107;</v>
      </c>
    </row>
    <row r="1342" spans="1:10">
      <c r="A1342" t="s">
        <v>1611</v>
      </c>
      <c r="B1342" t="str">
        <f>_xlfn.XLOOKUP(A1342,'Pinlist(S1)'!$Q$4:$Q$1362,'Pinlist(S1)'!$R$4:$R$1362,"")</f>
        <v>VCCDU</v>
      </c>
      <c r="C1342" t="str" cm="1">
        <f t="array" ref="C1342">_xlfn.TEXTJOIN(",",TRUE,_xlfn.UNIQUE(TRANSPOSE(_xlfn.MAP(_xlfn.XLOOKUP(A1342,'Pinlist(S1)'!$C$4:$C$1362,'Pinlist(S1)'!$F$4:$K$1362,""),_xlfn.LAMBDA(_xlpm.x,IF(_xlpm.x&lt;&gt;"",TRIM(CLEAN(LEFT(_xlpm.x,FIND(".",_xlpm.x &amp; ".")-1))),""))))))</f>
        <v/>
      </c>
      <c r="D1342">
        <v>28.899000000000001</v>
      </c>
      <c r="E1342">
        <v>22.303000000000001</v>
      </c>
      <c r="F1342" t="str">
        <f>_xlfn.LET(_xlpm.raw,_xlfn.XLOOKUP(A1342,'Pinlist(S1)'!$C$4:$C$1362,'Pinlist(S1)'!$E$4:$E$1362,""),_xlpm.cleanRaw,SUBSTITUTE(SUBSTITUTE(_xlpm.raw,"_PIN","."),"PIN","."),_xlpm.mainPart,MID(_xlpm.cleanRaw,2,FIND(".",_xlpm.cleanRaw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2" t="str">
        <f>_xlfn.LET(_xlpm.raw,_xlfn.XLOOKUP(A1342,'Pinlist(S3)'!$C$4:$C$1362,'Pinlist(S3)'!$E$4:$E$1362,""),_xlpm.cleanRaw,SUBSTITUTE(SUBSTITUTE(_xlpm.raw,"_PIN","."),"PIN","."),_xlpm.mainPart,MID(_xlpm.cleanRaw,2,FIND(".",_xlpm.cleanRaw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2" t="str">
        <f>_xlfn.LET(_xlpm.raw,_xlfn.XLOOKUP(A1342,'Pinlist(S5)'!$C$4:$C$1362,'Pinlist(S5)'!$E$4:$E$1362,""),_xlpm.cleanRaw,SUBSTITUTE(SUBSTITUTE(_xlpm.raw,"_PIN","."),"PIN","."),_xlpm.mainPart,MID(_xlpm.cleanRaw,2,FIND(".",_xlpm.cleanRaw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2" t="str">
        <f>""</f>
        <v/>
      </c>
      <c r="J1342" t="str">
        <f t="shared" si="20"/>
        <v>BB51;VCCDU;;28.899;22.303;;;;</v>
      </c>
    </row>
    <row r="1343" spans="1:10">
      <c r="A1343" t="s">
        <v>294</v>
      </c>
      <c r="B1343" t="str">
        <f>_xlfn.XLOOKUP(A1343,'Pinlist(S1)'!$Q$4:$Q$1362,'Pinlist(S1)'!$R$4:$R$1362,"")</f>
        <v>DDR0_MA[4]</v>
      </c>
      <c r="C1343" t="str" cm="1">
        <f t="array" ref="C1343">_xlfn.TEXTJOIN(",",TRUE,_xlfn.UNIQUE(TRANSPOSE(_xlfn.MAP(_xlfn.XLOOKUP(A1343,'Pinlist(S1)'!$C$4:$C$1362,'Pinlist(S1)'!$F$4:$K$1362,""),_xlfn.LAMBDA(_xlpm.x,IF(_xlpm.x&lt;&gt;"",TRIM(CLEAN(LEFT(_xlpm.x,FIND(".",_xlpm.x &amp; ".")-1))),""))))))</f>
        <v>KA117</v>
      </c>
      <c r="D1343">
        <v>29.561999999999902</v>
      </c>
      <c r="E1343">
        <v>22.628</v>
      </c>
      <c r="F1343" t="str">
        <f>_xlfn.LET(_xlpm.raw,_xlfn.XLOOKUP(A1343,'Pinlist(S1)'!$C$4:$C$1362,'Pinlist(S1)'!$E$4:$E$1362,""),_xlpm.cleanRaw,SUBSTITUTE(SUBSTITUTE(_xlpm.raw,"_PIN","."),"PIN","."),_xlpm.mainPart,MID(_xlpm.cleanRaw,2,FIND(".",_xlpm.cleanRaw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1343" t="str">
        <f>_xlfn.LET(_xlpm.raw,_xlfn.XLOOKUP(A1343,'Pinlist(S3)'!$C$4:$C$1362,'Pinlist(S3)'!$E$4:$E$1362,""),_xlpm.cleanRaw,SUBSTITUTE(SUBSTITUTE(_xlpm.raw,"_PIN","."),"PIN","."),_xlpm.mainPart,MID(_xlpm.cleanRaw,2,FIND(".",_xlpm.cleanRaw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1343" t="str">
        <f>_xlfn.LET(_xlpm.raw,_xlfn.XLOOKUP(A1343,'Pinlist(S5)'!$C$4:$C$1362,'Pinlist(S5)'!$E$4:$E$1362,""),_xlpm.cleanRaw,SUBSTITUTE(SUBSTITUTE(_xlpm.raw,"_PIN","."),"PIN","."),_xlpm.mainPart,MID(_xlpm.cleanRaw,2,FIND(".",_xlpm.cleanRaw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1343" t="str">
        <f>""</f>
        <v/>
      </c>
      <c r="J1343" t="str">
        <f t="shared" si="20"/>
        <v>BB52;DDR0_MA[4];KA117;29.5619999999999;22.628;507105;809120;603118;</v>
      </c>
    </row>
    <row r="1344" spans="1:10">
      <c r="A1344" t="s">
        <v>304</v>
      </c>
      <c r="B1344" t="str">
        <f>_xlfn.XLOOKUP(A1344,'Pinlist(S1)'!$Q$4:$Q$1362,'Pinlist(S1)'!$R$4:$R$1362,"")</f>
        <v>DDR0_MA[9]_CAA1</v>
      </c>
      <c r="C1344" t="str" cm="1">
        <f t="array" ref="C1344">_xlfn.TEXTJOIN(",",TRUE,_xlfn.UNIQUE(TRANSPOSE(_xlfn.MAP(_xlfn.XLOOKUP(A1344,'Pinlist(S1)'!$C$4:$C$1362,'Pinlist(S1)'!$F$4:$K$1362,""),_xlfn.LAMBDA(_xlpm.x,IF(_xlpm.x&lt;&gt;"",TRIM(CLEAN(LEFT(_xlpm.x,FIND(".",_xlpm.x &amp; ".")-1))),""))))))</f>
        <v>KA119</v>
      </c>
      <c r="D1344">
        <v>30.59</v>
      </c>
      <c r="E1344">
        <v>22.628</v>
      </c>
      <c r="F1344" t="str">
        <f>_xlfn.LET(_xlpm.raw,_xlfn.XLOOKUP(A1344,'Pinlist(S1)'!$C$4:$C$1362,'Pinlist(S1)'!$E$4:$E$1362,""),_xlpm.cleanRaw,SUBSTITUTE(SUBSTITUTE(_xlpm.raw,"_PIN","."),"PIN","."),_xlpm.mainPart,MID(_xlpm.cleanRaw,2,FIND(".",_xlpm.cleanRaw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1344" t="str">
        <f>_xlfn.LET(_xlpm.raw,_xlfn.XLOOKUP(A1344,'Pinlist(S3)'!$C$4:$C$1362,'Pinlist(S3)'!$E$4:$E$1362,""),_xlpm.cleanRaw,SUBSTITUTE(SUBSTITUTE(_xlpm.raw,"_PIN","."),"PIN","."),_xlpm.mainPart,MID(_xlpm.cleanRaw,2,FIND(".",_xlpm.cleanRaw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1344" t="str">
        <f>_xlfn.LET(_xlpm.raw,_xlfn.XLOOKUP(A1344,'Pinlist(S5)'!$C$4:$C$1362,'Pinlist(S5)'!$E$4:$E$1362,""),_xlpm.cleanRaw,SUBSTITUTE(SUBSTITUTE(_xlpm.raw,"_PIN","."),"PIN","."),_xlpm.mainPart,MID(_xlpm.cleanRaw,2,FIND(".",_xlpm.cleanRaw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1344" t="str">
        <f>""</f>
        <v/>
      </c>
      <c r="J1344" t="str">
        <f t="shared" si="20"/>
        <v>BB54;DDR0_MA[9]_CAA1;KA119;30.59;22.628;506002;809126;602079;</v>
      </c>
    </row>
    <row r="1345" spans="1:10">
      <c r="A1345" t="s">
        <v>2106</v>
      </c>
      <c r="B1345" t="str">
        <f>_xlfn.XLOOKUP(A1345,'Pinlist(S1)'!$Q$4:$Q$1362,'Pinlist(S1)'!$R$4:$R$1362,"")</f>
        <v>VSS</v>
      </c>
      <c r="C1345" t="str" cm="1">
        <f t="array" ref="C1345">_xlfn.TEXTJOIN(",",TRUE,_xlfn.UNIQUE(TRANSPOSE(_xlfn.MAP(_xlfn.XLOOKUP(A1345,'Pinlist(S1)'!$C$4:$C$1362,'Pinlist(S1)'!$F$4:$K$1362,""),_xlfn.LAMBDA(_xlpm.x,IF(_xlpm.x&lt;&gt;"",TRIM(CLEAN(LEFT(_xlpm.x,FIND(".",_xlpm.x &amp; ".")-1))),""))))))</f>
        <v/>
      </c>
      <c r="D1345">
        <v>31.253</v>
      </c>
      <c r="E1345">
        <v>22.303000000000001</v>
      </c>
      <c r="F1345" t="str">
        <f>_xlfn.LET(_xlpm.raw,_xlfn.XLOOKUP(A1345,'Pinlist(S1)'!$C$4:$C$1362,'Pinlist(S1)'!$E$4:$E$1362,""),_xlpm.cleanRaw,SUBSTITUTE(SUBSTITUTE(_xlpm.raw,"_PIN","."),"PIN","."),_xlpm.mainPart,MID(_xlpm.cleanRaw,2,FIND(".",_xlpm.cleanRaw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5" t="str">
        <f>_xlfn.LET(_xlpm.raw,_xlfn.XLOOKUP(A1345,'Pinlist(S3)'!$C$4:$C$1362,'Pinlist(S3)'!$E$4:$E$1362,""),_xlpm.cleanRaw,SUBSTITUTE(SUBSTITUTE(_xlpm.raw,"_PIN","."),"PIN","."),_xlpm.mainPart,MID(_xlpm.cleanRaw,2,FIND(".",_xlpm.cleanRaw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5" t="str">
        <f>_xlfn.LET(_xlpm.raw,_xlfn.XLOOKUP(A1345,'Pinlist(S5)'!$C$4:$C$1362,'Pinlist(S5)'!$E$4:$E$1362,""),_xlpm.cleanRaw,SUBSTITUTE(SUBSTITUTE(_xlpm.raw,"_PIN","."),"PIN","."),_xlpm.mainPart,MID(_xlpm.cleanRaw,2,FIND(".",_xlpm.cleanRaw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5" t="str">
        <f>""</f>
        <v/>
      </c>
      <c r="J1345" t="str">
        <f t="shared" si="20"/>
        <v>BB55;VSS;;31.253;22.303;;;;</v>
      </c>
    </row>
    <row r="1346" spans="1:10">
      <c r="A1346" t="s">
        <v>255</v>
      </c>
      <c r="B1346" t="str">
        <f>_xlfn.XLOOKUP(A1346,'Pinlist(S1)'!$Q$4:$Q$1362,'Pinlist(S1)'!$R$4:$R$1362,"")</f>
        <v>DDR0_CKE[1]</v>
      </c>
      <c r="C1346" t="str" cm="1">
        <f t="array" ref="C1346">_xlfn.TEXTJOIN(",",TRUE,_xlfn.UNIQUE(TRANSPOSE(_xlfn.MAP(_xlfn.XLOOKUP(A1346,'Pinlist(S1)'!$C$4:$C$1362,'Pinlist(S1)'!$F$4:$K$1362,""),_xlfn.LAMBDA(_xlpm.x,IF(_xlpm.x&lt;&gt;"",TRIM(CLEAN(LEFT(_xlpm.x,FIND(".",_xlpm.x &amp; ".")-1))),""))))))</f>
        <v>KA101</v>
      </c>
      <c r="D1346">
        <v>31.916</v>
      </c>
      <c r="E1346">
        <v>22.628</v>
      </c>
      <c r="F1346" t="str">
        <f>_xlfn.LET(_xlpm.raw,_xlfn.XLOOKUP(A1346,'Pinlist(S1)'!$C$4:$C$1362,'Pinlist(S1)'!$E$4:$E$1362,""),_xlpm.cleanRaw,SUBSTITUTE(SUBSTITUTE(_xlpm.raw,"_PIN","."),"PIN","."),_xlpm.mainPart,MID(_xlpm.cleanRaw,2,FIND(".",_xlpm.cleanRaw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1346" t="str">
        <f>_xlfn.LET(_xlpm.raw,_xlfn.XLOOKUP(A1346,'Pinlist(S3)'!$C$4:$C$1362,'Pinlist(S3)'!$E$4:$E$1362,""),_xlpm.cleanRaw,SUBSTITUTE(SUBSTITUTE(_xlpm.raw,"_PIN","."),"PIN","."),_xlpm.mainPart,MID(_xlpm.cleanRaw,2,FIND(".",_xlpm.cleanRaw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1346" t="str">
        <f>_xlfn.LET(_xlpm.raw,_xlfn.XLOOKUP(A1346,'Pinlist(S5)'!$C$4:$C$1362,'Pinlist(S5)'!$E$4:$E$1362,""),_xlpm.cleanRaw,SUBSTITUTE(SUBSTITUTE(_xlpm.raw,"_PIN","."),"PIN","."),_xlpm.mainPart,MID(_xlpm.cleanRaw,2,FIND(".",_xlpm.cleanRaw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1346" t="str">
        <f>""</f>
        <v/>
      </c>
      <c r="J1346" t="str">
        <f t="shared" ref="J1346:J1358" si="21">A1346&amp;";"&amp;B1346&amp;";"&amp;C1346&amp;";"&amp;D1346&amp;";"&amp;E1346&amp;";"&amp;F1346&amp;";"&amp;G1346&amp;";"&amp;H1346&amp;";"&amp;I1346</f>
        <v>BB56;DDR0_CKE[1];KA101;31.916;22.628;508041;804003;703040;</v>
      </c>
    </row>
    <row r="1347" spans="1:10">
      <c r="A1347" t="s">
        <v>1759</v>
      </c>
      <c r="B1347" t="str">
        <f>_xlfn.XLOOKUP(A1347,'Pinlist(S1)'!$Q$4:$Q$1362,'Pinlist(S1)'!$R$4:$R$1362,"")</f>
        <v>VCCGTU</v>
      </c>
      <c r="C1347" t="str" cm="1">
        <f t="array" ref="C1347">_xlfn.TEXTJOIN(",",TRUE,_xlfn.UNIQUE(TRANSPOSE(_xlfn.MAP(_xlfn.XLOOKUP(A1347,'Pinlist(S1)'!$C$4:$C$1362,'Pinlist(S1)'!$F$4:$K$1362,""),_xlfn.LAMBDA(_xlpm.x,IF(_xlpm.x&lt;&gt;"",TRIM(CLEAN(LEFT(_xlpm.x,FIND(".",_xlpm.x &amp; ".")-1))),""))))))</f>
        <v/>
      </c>
      <c r="D1347">
        <v>32.554000000000002</v>
      </c>
      <c r="E1347">
        <v>22.222000000000001</v>
      </c>
      <c r="F1347" t="str">
        <f>_xlfn.LET(_xlpm.raw,_xlfn.XLOOKUP(A1347,'Pinlist(S1)'!$C$4:$C$1362,'Pinlist(S1)'!$E$4:$E$1362,""),_xlpm.cleanRaw,SUBSTITUTE(SUBSTITUTE(_xlpm.raw,"_PIN","."),"PIN","."),_xlpm.mainPart,MID(_xlpm.cleanRaw,2,FIND(".",_xlpm.cleanRaw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7" t="str">
        <f>_xlfn.LET(_xlpm.raw,_xlfn.XLOOKUP(A1347,'Pinlist(S3)'!$C$4:$C$1362,'Pinlist(S3)'!$E$4:$E$1362,""),_xlpm.cleanRaw,SUBSTITUTE(SUBSTITUTE(_xlpm.raw,"_PIN","."),"PIN","."),_xlpm.mainPart,MID(_xlpm.cleanRaw,2,FIND(".",_xlpm.cleanRaw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7" t="str">
        <f>_xlfn.LET(_xlpm.raw,_xlfn.XLOOKUP(A1347,'Pinlist(S5)'!$C$4:$C$1362,'Pinlist(S5)'!$E$4:$E$1362,""),_xlpm.cleanRaw,SUBSTITUTE(SUBSTITUTE(_xlpm.raw,"_PIN","."),"PIN","."),_xlpm.mainPart,MID(_xlpm.cleanRaw,2,FIND(".",_xlpm.cleanRaw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7" t="str">
        <f>""</f>
        <v/>
      </c>
      <c r="J1347" t="str">
        <f t="shared" si="21"/>
        <v>BB57;VCCGTU;;32.554;22.222;;;;</v>
      </c>
    </row>
    <row r="1348" spans="1:10">
      <c r="A1348" t="s">
        <v>440</v>
      </c>
      <c r="B1348" t="str">
        <f>_xlfn.XLOOKUP(A1348,'Pinlist(S1)'!$Q$4:$Q$1362,'Pinlist(S1)'!$R$4:$R$1362,"")</f>
        <v>DDRDQ_IL03_NIL05[2]</v>
      </c>
      <c r="C1348" t="str" cm="1">
        <f t="array" ref="C1348">_xlfn.TEXTJOIN(",",TRUE,_xlfn.UNIQUE(TRANSPOSE(_xlfn.MAP(_xlfn.XLOOKUP(A1348,'Pinlist(S1)'!$C$4:$C$1362,'Pinlist(S1)'!$F$4:$K$1362,""),_xlfn.LAMBDA(_xlpm.x,IF(_xlpm.x&lt;&gt;"",TRIM(CLEAN(LEFT(_xlpm.x,FIND(".",_xlpm.x &amp; ".")-1))),""))))))</f>
        <v/>
      </c>
      <c r="D1348">
        <v>33.191000000000003</v>
      </c>
      <c r="E1348">
        <v>22.628</v>
      </c>
      <c r="F1348" t="str">
        <f>_xlfn.LET(_xlpm.raw,_xlfn.XLOOKUP(A1348,'Pinlist(S1)'!$C$4:$C$1362,'Pinlist(S1)'!$E$4:$E$1362,""),_xlpm.cleanRaw,SUBSTITUTE(SUBSTITUTE(_xlpm.raw,"_PIN","."),"PIN","."),_xlpm.mainPart,MID(_xlpm.cleanRaw,2,FIND(".",_xlpm.cleanRaw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607006</v>
      </c>
      <c r="G1348" t="str">
        <f>_xlfn.LET(_xlpm.raw,_xlfn.XLOOKUP(A1348,'Pinlist(S3)'!$C$4:$C$1362,'Pinlist(S3)'!$E$4:$E$1362,""),_xlpm.cleanRaw,SUBSTITUTE(SUBSTITUTE(_xlpm.raw,"_PIN","."),"PIN","."),_xlpm.mainPart,MID(_xlpm.cleanRaw,2,FIND(".",_xlpm.cleanRaw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801004</v>
      </c>
      <c r="H1348" t="str">
        <f>_xlfn.LET(_xlpm.raw,_xlfn.XLOOKUP(A1348,'Pinlist(S5)'!$C$4:$C$1362,'Pinlist(S5)'!$E$4:$E$1362,""),_xlpm.cleanRaw,SUBSTITUTE(SUBSTITUTE(_xlpm.raw,"_PIN","."),"PIN","."),_xlpm.mainPart,MID(_xlpm.cleanRaw,2,FIND(".",_xlpm.cleanRaw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706004</v>
      </c>
      <c r="I1348" t="str">
        <f>""</f>
        <v/>
      </c>
      <c r="J1348" t="str">
        <f t="shared" si="21"/>
        <v>BB59;DDRDQ_IL03_NIL05[2];;33.191;22.628;607006;801004;706004;</v>
      </c>
    </row>
    <row r="1349" spans="1:10">
      <c r="A1349" t="s">
        <v>2108</v>
      </c>
      <c r="B1349" t="str">
        <f>_xlfn.XLOOKUP(A1349,'Pinlist(S1)'!$Q$4:$Q$1362,'Pinlist(S1)'!$R$4:$R$1362,"")</f>
        <v>VSS</v>
      </c>
      <c r="C1349" t="str" cm="1">
        <f t="array" ref="C1349">_xlfn.TEXTJOIN(",",TRUE,_xlfn.UNIQUE(TRANSPOSE(_xlfn.MAP(_xlfn.XLOOKUP(A1349,'Pinlist(S1)'!$C$4:$C$1362,'Pinlist(S1)'!$F$4:$K$1362,""),_xlfn.LAMBDA(_xlpm.x,IF(_xlpm.x&lt;&gt;"",TRIM(CLEAN(LEFT(_xlpm.x,FIND(".",_xlpm.x &amp; ".")-1))),""))))))</f>
        <v/>
      </c>
      <c r="D1349">
        <v>33.853999999999999</v>
      </c>
      <c r="E1349">
        <v>22.303000000000001</v>
      </c>
      <c r="F1349" t="str">
        <f>_xlfn.LET(_xlpm.raw,_xlfn.XLOOKUP(A1349,'Pinlist(S1)'!$C$4:$C$1362,'Pinlist(S1)'!$E$4:$E$1362,""),_xlpm.cleanRaw,SUBSTITUTE(SUBSTITUTE(_xlpm.raw,"_PIN","."),"PIN","."),_xlpm.mainPart,MID(_xlpm.cleanRaw,2,FIND(".",_xlpm.cleanRaw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9" t="str">
        <f>_xlfn.LET(_xlpm.raw,_xlfn.XLOOKUP(A1349,'Pinlist(S3)'!$C$4:$C$1362,'Pinlist(S3)'!$E$4:$E$1362,""),_xlpm.cleanRaw,SUBSTITUTE(SUBSTITUTE(_xlpm.raw,"_PIN","."),"PIN","."),_xlpm.mainPart,MID(_xlpm.cleanRaw,2,FIND(".",_xlpm.cleanRaw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9" t="str">
        <f>_xlfn.LET(_xlpm.raw,_xlfn.XLOOKUP(A1349,'Pinlist(S5)'!$C$4:$C$1362,'Pinlist(S5)'!$E$4:$E$1362,""),_xlpm.cleanRaw,SUBSTITUTE(SUBSTITUTE(_xlpm.raw,"_PIN","."),"PIN","."),_xlpm.mainPart,MID(_xlpm.cleanRaw,2,FIND(".",_xlpm.cleanRaw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9" t="str">
        <f>""</f>
        <v/>
      </c>
      <c r="J1349" t="str">
        <f t="shared" si="21"/>
        <v>BB60;VSS;;33.854;22.303;;;;</v>
      </c>
    </row>
    <row r="1350" spans="1:10">
      <c r="A1350" t="s">
        <v>444</v>
      </c>
      <c r="B1350" t="str">
        <f>_xlfn.XLOOKUP(A1350,'Pinlist(S1)'!$Q$4:$Q$1362,'Pinlist(S1)'!$R$4:$R$1362,"")</f>
        <v>DDRDQ_IL03_NIL05[4]</v>
      </c>
      <c r="C1350" t="str" cm="1">
        <f t="array" ref="C1350">_xlfn.TEXTJOIN(",",TRUE,_xlfn.UNIQUE(TRANSPOSE(_xlfn.MAP(_xlfn.XLOOKUP(A1350,'Pinlist(S1)'!$C$4:$C$1362,'Pinlist(S1)'!$F$4:$K$1362,""),_xlfn.LAMBDA(_xlpm.x,IF(_xlpm.x&lt;&gt;"",TRIM(CLEAN(LEFT(_xlpm.x,FIND(".",_xlpm.x &amp; ".")-1))),""))))))</f>
        <v/>
      </c>
      <c r="D1350">
        <v>34.516999999999904</v>
      </c>
      <c r="E1350">
        <v>22.628</v>
      </c>
      <c r="F1350" t="str">
        <f>_xlfn.LET(_xlpm.raw,_xlfn.XLOOKUP(A1350,'Pinlist(S1)'!$C$4:$C$1362,'Pinlist(S1)'!$E$4:$E$1362,""),_xlpm.cleanRaw,SUBSTITUTE(SUBSTITUTE(_xlpm.raw,"_PIN","."),"PIN","."),_xlpm.mainPart,MID(_xlpm.cleanRaw,2,FIND(".",_xlpm.cleanRaw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607011</v>
      </c>
      <c r="G1350" t="str">
        <f>_xlfn.LET(_xlpm.raw,_xlfn.XLOOKUP(A1350,'Pinlist(S3)'!$C$4:$C$1362,'Pinlist(S3)'!$E$4:$E$1362,""),_xlpm.cleanRaw,SUBSTITUTE(SUBSTITUTE(_xlpm.raw,"_PIN","."),"PIN","."),_xlpm.mainPart,MID(_xlpm.cleanRaw,2,FIND(".",_xlpm.cleanRaw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801011</v>
      </c>
      <c r="H1350" t="str">
        <f>_xlfn.LET(_xlpm.raw,_xlfn.XLOOKUP(A1350,'Pinlist(S5)'!$C$4:$C$1362,'Pinlist(S5)'!$E$4:$E$1362,""),_xlpm.cleanRaw,SUBSTITUTE(SUBSTITUTE(_xlpm.raw,"_PIN","."),"PIN","."),_xlpm.mainPart,MID(_xlpm.cleanRaw,2,FIND(".",_xlpm.cleanRaw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706006</v>
      </c>
      <c r="I1350" t="str">
        <f>""</f>
        <v/>
      </c>
      <c r="J1350" t="str">
        <f t="shared" si="21"/>
        <v>BB61;DDRDQ_IL03_NIL05[4];;34.5169999999999;22.628;607011;801011;706006;</v>
      </c>
    </row>
    <row r="1351" spans="1:10">
      <c r="A1351" t="s">
        <v>434</v>
      </c>
      <c r="B1351" t="str">
        <f>_xlfn.XLOOKUP(A1351,'Pinlist(S1)'!$Q$4:$Q$1362,'Pinlist(S1)'!$R$4:$R$1362,"")</f>
        <v>DDRDQ_IL02_NIL04[7]</v>
      </c>
      <c r="C1351" t="str" cm="1">
        <f t="array" ref="C1351">_xlfn.TEXTJOIN(",",TRUE,_xlfn.UNIQUE(TRANSPOSE(_xlfn.MAP(_xlfn.XLOOKUP(A1351,'Pinlist(S1)'!$C$4:$C$1362,'Pinlist(S1)'!$F$4:$K$1362,""),_xlfn.LAMBDA(_xlpm.x,IF(_xlpm.x&lt;&gt;"",TRIM(CLEAN(LEFT(_xlpm.x,FIND(".",_xlpm.x &amp; ".")-1))),""))))))</f>
        <v/>
      </c>
      <c r="D1351">
        <v>35.545999999999999</v>
      </c>
      <c r="E1351">
        <v>22.628</v>
      </c>
      <c r="F1351" t="str">
        <f>_xlfn.LET(_xlpm.raw,_xlfn.XLOOKUP(A1351,'Pinlist(S1)'!$C$4:$C$1362,'Pinlist(S1)'!$E$4:$E$1362,""),_xlpm.cleanRaw,SUBSTITUTE(SUBSTITUTE(_xlpm.raw,"_PIN","."),"PIN","."),_xlpm.mainPart,MID(_xlpm.cleanRaw,2,FIND(".",_xlpm.cleanRaw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607026</v>
      </c>
      <c r="G1351" t="str">
        <f>_xlfn.LET(_xlpm.raw,_xlfn.XLOOKUP(A1351,'Pinlist(S3)'!$C$4:$C$1362,'Pinlist(S3)'!$E$4:$E$1362,""),_xlpm.cleanRaw,SUBSTITUTE(SUBSTITUTE(_xlpm.raw,"_PIN","."),"PIN","."),_xlpm.mainPart,MID(_xlpm.cleanRaw,2,FIND(".",_xlpm.cleanRaw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501111</v>
      </c>
      <c r="H1351" t="str">
        <f>_xlfn.LET(_xlpm.raw,_xlfn.XLOOKUP(A1351,'Pinlist(S5)'!$C$4:$C$1362,'Pinlist(S5)'!$E$4:$E$1362,""),_xlpm.cleanRaw,SUBSTITUTE(SUBSTITUTE(_xlpm.raw,"_PIN","."),"PIN","."),_xlpm.mainPart,MID(_xlpm.cleanRaw,2,FIND(".",_xlpm.cleanRaw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706026</v>
      </c>
      <c r="I1351" t="str">
        <f>""</f>
        <v/>
      </c>
      <c r="J1351" t="str">
        <f t="shared" si="21"/>
        <v>BB63;DDRDQ_IL02_NIL04[7];;35.546;22.628;607026;501111;706026;</v>
      </c>
    </row>
    <row r="1352" spans="1:10">
      <c r="A1352" t="s">
        <v>2109</v>
      </c>
      <c r="B1352" t="str">
        <f>_xlfn.XLOOKUP(A1352,'Pinlist(S1)'!$Q$4:$Q$1362,'Pinlist(S1)'!$R$4:$R$1362,"")</f>
        <v>VSS</v>
      </c>
      <c r="C1352" t="str" cm="1">
        <f t="array" ref="C1352">_xlfn.TEXTJOIN(",",TRUE,_xlfn.UNIQUE(TRANSPOSE(_xlfn.MAP(_xlfn.XLOOKUP(A1352,'Pinlist(S1)'!$C$4:$C$1362,'Pinlist(S1)'!$F$4:$K$1362,""),_xlfn.LAMBDA(_xlpm.x,IF(_xlpm.x&lt;&gt;"",TRIM(CLEAN(LEFT(_xlpm.x,FIND(".",_xlpm.x &amp; ".")-1))),""))))))</f>
        <v/>
      </c>
      <c r="D1352">
        <v>36.209000000000003</v>
      </c>
      <c r="E1352">
        <v>22.303000000000001</v>
      </c>
      <c r="F1352" t="str">
        <f>_xlfn.LET(_xlpm.raw,_xlfn.XLOOKUP(A1352,'Pinlist(S1)'!$C$4:$C$1362,'Pinlist(S1)'!$E$4:$E$1362,""),_xlpm.cleanRaw,SUBSTITUTE(SUBSTITUTE(_xlpm.raw,"_PIN","."),"PIN","."),_xlpm.mainPart,MID(_xlpm.cleanRaw,2,FIND(".",_xlpm.cleanRaw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2" t="str">
        <f>_xlfn.LET(_xlpm.raw,_xlfn.XLOOKUP(A1352,'Pinlist(S3)'!$C$4:$C$1362,'Pinlist(S3)'!$E$4:$E$1362,""),_xlpm.cleanRaw,SUBSTITUTE(SUBSTITUTE(_xlpm.raw,"_PIN","."),"PIN","."),_xlpm.mainPart,MID(_xlpm.cleanRaw,2,FIND(".",_xlpm.cleanRaw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2" t="str">
        <f>_xlfn.LET(_xlpm.raw,_xlfn.XLOOKUP(A1352,'Pinlist(S5)'!$C$4:$C$1362,'Pinlist(S5)'!$E$4:$E$1362,""),_xlpm.cleanRaw,SUBSTITUTE(SUBSTITUTE(_xlpm.raw,"_PIN","."),"PIN","."),_xlpm.mainPart,MID(_xlpm.cleanRaw,2,FIND(".",_xlpm.cleanRaw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2" t="str">
        <f>""</f>
        <v/>
      </c>
      <c r="J1352" t="str">
        <f t="shared" si="21"/>
        <v>BB64;VSS;;36.209;22.303;;;;</v>
      </c>
    </row>
    <row r="1353" spans="1:10">
      <c r="A1353" t="s">
        <v>420</v>
      </c>
      <c r="B1353" t="str">
        <f>_xlfn.XLOOKUP(A1353,'Pinlist(S1)'!$Q$4:$Q$1362,'Pinlist(S1)'!$R$4:$R$1362,"")</f>
        <v>DDRDQ_IL02_NIL04[0]</v>
      </c>
      <c r="C1353" t="str" cm="1">
        <f t="array" ref="C1353">_xlfn.TEXTJOIN(",",TRUE,_xlfn.UNIQUE(TRANSPOSE(_xlfn.MAP(_xlfn.XLOOKUP(A1353,'Pinlist(S1)'!$C$4:$C$1362,'Pinlist(S1)'!$F$4:$K$1362,""),_xlfn.LAMBDA(_xlpm.x,IF(_xlpm.x&lt;&gt;"",TRIM(CLEAN(LEFT(_xlpm.x,FIND(".",_xlpm.x &amp; ".")-1))),""))))))</f>
        <v/>
      </c>
      <c r="D1353">
        <v>36.872</v>
      </c>
      <c r="E1353">
        <v>22.628</v>
      </c>
      <c r="F1353" t="str">
        <f>_xlfn.LET(_xlpm.raw,_xlfn.XLOOKUP(A1353,'Pinlist(S1)'!$C$4:$C$1362,'Pinlist(S1)'!$E$4:$E$1362,""),_xlpm.cleanRaw,SUBSTITUTE(SUBSTITUTE(_xlpm.raw,"_PIN","."),"PIN","."),_xlpm.mainPart,MID(_xlpm.cleanRaw,2,FIND(".",_xlpm.cleanRaw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607028</v>
      </c>
      <c r="G1353" t="str">
        <f>_xlfn.LET(_xlpm.raw,_xlfn.XLOOKUP(A1353,'Pinlist(S3)'!$C$4:$C$1362,'Pinlist(S3)'!$E$4:$E$1362,""),_xlpm.cleanRaw,SUBSTITUTE(SUBSTITUTE(_xlpm.raw,"_PIN","."),"PIN","."),_xlpm.mainPart,MID(_xlpm.cleanRaw,2,FIND(".",_xlpm.cleanRaw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501112</v>
      </c>
      <c r="H1353" t="str">
        <f>_xlfn.LET(_xlpm.raw,_xlfn.XLOOKUP(A1353,'Pinlist(S5)'!$C$4:$C$1362,'Pinlist(S5)'!$E$4:$E$1362,""),_xlpm.cleanRaw,SUBSTITUTE(SUBSTITUTE(_xlpm.raw,"_PIN","."),"PIN","."),_xlpm.mainPart,MID(_xlpm.cleanRaw,2,FIND(".",_xlpm.cleanRaw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706028</v>
      </c>
      <c r="I1353" t="str">
        <f>""</f>
        <v/>
      </c>
      <c r="J1353" t="str">
        <f t="shared" si="21"/>
        <v>BB65;DDRDQ_IL02_NIL04[0];;36.872;22.628;607028;501112;706028;</v>
      </c>
    </row>
    <row r="1354" spans="1:10">
      <c r="A1354" t="s">
        <v>1760</v>
      </c>
      <c r="B1354" t="str">
        <f>_xlfn.XLOOKUP(A1354,'Pinlist(S1)'!$Q$4:$Q$1362,'Pinlist(S1)'!$R$4:$R$1362,"")</f>
        <v>VCCGTU</v>
      </c>
      <c r="C1354" t="str" cm="1">
        <f t="array" ref="C1354">_xlfn.TEXTJOIN(",",TRUE,_xlfn.UNIQUE(TRANSPOSE(_xlfn.MAP(_xlfn.XLOOKUP(A1354,'Pinlist(S1)'!$C$4:$C$1362,'Pinlist(S1)'!$F$4:$K$1362,""),_xlfn.LAMBDA(_xlpm.x,IF(_xlpm.x&lt;&gt;"",TRIM(CLEAN(LEFT(_xlpm.x,FIND(".",_xlpm.x &amp; ".")-1))),""))))))</f>
        <v/>
      </c>
      <c r="D1354">
        <v>37.534999999999997</v>
      </c>
      <c r="E1354">
        <v>22.303000000000001</v>
      </c>
      <c r="F1354" t="str">
        <f>_xlfn.LET(_xlpm.raw,_xlfn.XLOOKUP(A1354,'Pinlist(S1)'!$C$4:$C$1362,'Pinlist(S1)'!$E$4:$E$1362,""),_xlpm.cleanRaw,SUBSTITUTE(SUBSTITUTE(_xlpm.raw,"_PIN","."),"PIN","."),_xlpm.mainPart,MID(_xlpm.cleanRaw,2,FIND(".",_xlpm.cleanRaw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4" t="str">
        <f>_xlfn.LET(_xlpm.raw,_xlfn.XLOOKUP(A1354,'Pinlist(S3)'!$C$4:$C$1362,'Pinlist(S3)'!$E$4:$E$1362,""),_xlpm.cleanRaw,SUBSTITUTE(SUBSTITUTE(_xlpm.raw,"_PIN","."),"PIN","."),_xlpm.mainPart,MID(_xlpm.cleanRaw,2,FIND(".",_xlpm.cleanRaw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4" t="str">
        <f>_xlfn.LET(_xlpm.raw,_xlfn.XLOOKUP(A1354,'Pinlist(S5)'!$C$4:$C$1362,'Pinlist(S5)'!$E$4:$E$1362,""),_xlpm.cleanRaw,SUBSTITUTE(SUBSTITUTE(_xlpm.raw,"_PIN","."),"PIN","."),_xlpm.mainPart,MID(_xlpm.cleanRaw,2,FIND(".",_xlpm.cleanRaw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4" t="str">
        <f>""</f>
        <v/>
      </c>
      <c r="J1354" t="str">
        <f t="shared" si="21"/>
        <v>BB66;VCCGTU;;37.535;22.303;;;;</v>
      </c>
    </row>
    <row r="1355" spans="1:10">
      <c r="A1355" t="s">
        <v>2110</v>
      </c>
      <c r="B1355" t="str">
        <f>_xlfn.XLOOKUP(A1355,'Pinlist(S1)'!$Q$4:$Q$1362,'Pinlist(S1)'!$R$4:$R$1362,"")</f>
        <v>VSS</v>
      </c>
      <c r="C1355" t="str" cm="1">
        <f t="array" ref="C1355">_xlfn.TEXTJOIN(",",TRUE,_xlfn.UNIQUE(TRANSPOSE(_xlfn.MAP(_xlfn.XLOOKUP(A1355,'Pinlist(S1)'!$C$4:$C$1362,'Pinlist(S1)'!$F$4:$K$1362,""),_xlfn.LAMBDA(_xlpm.x,IF(_xlpm.x&lt;&gt;"",TRIM(CLEAN(LEFT(_xlpm.x,FIND(".",_xlpm.x &amp; ".")-1))),""))))))</f>
        <v/>
      </c>
      <c r="D1355">
        <v>38.215000000000003</v>
      </c>
      <c r="E1355">
        <v>22.628</v>
      </c>
      <c r="F1355" t="str">
        <f>_xlfn.LET(_xlpm.raw,_xlfn.XLOOKUP(A1355,'Pinlist(S1)'!$C$4:$C$1362,'Pinlist(S1)'!$E$4:$E$1362,""),_xlpm.cleanRaw,SUBSTITUTE(SUBSTITUTE(_xlpm.raw,"_PIN","."),"PIN","."),_xlpm.mainPart,MID(_xlpm.cleanRaw,2,FIND(".",_xlpm.cleanRaw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5" t="str">
        <f>_xlfn.LET(_xlpm.raw,_xlfn.XLOOKUP(A1355,'Pinlist(S3)'!$C$4:$C$1362,'Pinlist(S3)'!$E$4:$E$1362,""),_xlpm.cleanRaw,SUBSTITUTE(SUBSTITUTE(_xlpm.raw,"_PIN","."),"PIN","."),_xlpm.mainPart,MID(_xlpm.cleanRaw,2,FIND(".",_xlpm.cleanRaw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5" t="str">
        <f>_xlfn.LET(_xlpm.raw,_xlfn.XLOOKUP(A1355,'Pinlist(S5)'!$C$4:$C$1362,'Pinlist(S5)'!$E$4:$E$1362,""),_xlpm.cleanRaw,SUBSTITUTE(SUBSTITUTE(_xlpm.raw,"_PIN","."),"PIN","."),_xlpm.mainPart,MID(_xlpm.cleanRaw,2,FIND(".",_xlpm.cleanRaw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5" t="str">
        <f>""</f>
        <v/>
      </c>
      <c r="J1355" t="str">
        <f t="shared" si="21"/>
        <v>BB67;VSS;;38.215;22.628;;;;</v>
      </c>
    </row>
    <row r="1356" spans="1:10">
      <c r="A1356" t="s">
        <v>230</v>
      </c>
      <c r="B1356" t="str">
        <f>_xlfn.XLOOKUP(A1356,'Pinlist(S1)'!$Q$4:$Q$1362,'Pinlist(S1)'!$R$4:$R$1362,"")</f>
        <v>DDR_VIEW[0]</v>
      </c>
      <c r="C1356" t="str" cm="1">
        <f t="array" ref="C1356">_xlfn.TEXTJOIN(",",TRUE,_xlfn.UNIQUE(TRANSPOSE(_xlfn.MAP(_xlfn.XLOOKUP(A1356,'Pinlist(S1)'!$C$4:$C$1362,'Pinlist(S1)'!$F$4:$K$1362,""),_xlfn.LAMBDA(_xlpm.x,IF(_xlpm.x&lt;&gt;"",TRIM(CLEAN(LEFT(_xlpm.x,FIND(".",_xlpm.x &amp; ".")-1))),""))))))</f>
        <v/>
      </c>
      <c r="D1356">
        <v>38.866</v>
      </c>
      <c r="E1356">
        <v>22.628</v>
      </c>
      <c r="F1356" t="str">
        <f>_xlfn.LET(_xlpm.raw,_xlfn.XLOOKUP(A1356,'Pinlist(S1)'!$C$4:$C$1362,'Pinlist(S1)'!$E$4:$E$1362,""),_xlpm.cleanRaw,SUBSTITUTE(SUBSTITUTE(_xlpm.raw,"_PIN","."),"PIN","."),_xlpm.mainPart,MID(_xlpm.cleanRaw,2,FIND(".",_xlpm.cleanRaw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605041</v>
      </c>
      <c r="G1356" t="str">
        <f>_xlfn.LET(_xlpm.raw,_xlfn.XLOOKUP(A1356,'Pinlist(S3)'!$C$4:$C$1362,'Pinlist(S3)'!$E$4:$E$1362,""),_xlpm.cleanRaw,SUBSTITUTE(SUBSTITUTE(_xlpm.raw,"_PIN","."),"PIN","."),_xlpm.mainPart,MID(_xlpm.cleanRaw,2,FIND(".",_xlpm.cleanRaw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502045</v>
      </c>
      <c r="H1356" t="str">
        <f>_xlfn.LET(_xlpm.raw,_xlfn.XLOOKUP(A1356,'Pinlist(S5)'!$C$4:$C$1362,'Pinlist(S5)'!$E$4:$E$1362,""),_xlpm.cleanRaw,SUBSTITUTE(SUBSTITUTE(_xlpm.raw,"_PIN","."),"PIN","."),_xlpm.mainPart,MID(_xlpm.cleanRaw,2,FIND(".",_xlpm.cleanRaw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708049</v>
      </c>
      <c r="I1356" t="str">
        <f>""</f>
        <v/>
      </c>
      <c r="J1356" t="str">
        <f t="shared" si="21"/>
        <v>BB68;DDR_VIEW[0];;38.866;22.628;605041;502045;708049;</v>
      </c>
    </row>
    <row r="1357" spans="1:10">
      <c r="A1357" t="s">
        <v>232</v>
      </c>
      <c r="B1357" t="str">
        <f>_xlfn.XLOOKUP(A1357,'Pinlist(S1)'!$Q$4:$Q$1362,'Pinlist(S1)'!$R$4:$R$1362,"")</f>
        <v>DDR_VIEW[1]</v>
      </c>
      <c r="C1357" t="str" cm="1">
        <f t="array" ref="C1357">_xlfn.TEXTJOIN(",",TRUE,_xlfn.UNIQUE(TRANSPOSE(_xlfn.MAP(_xlfn.XLOOKUP(A1357,'Pinlist(S1)'!$C$4:$C$1362,'Pinlist(S1)'!$F$4:$K$1362,""),_xlfn.LAMBDA(_xlpm.x,IF(_xlpm.x&lt;&gt;"",TRIM(CLEAN(LEFT(_xlpm.x,FIND(".",_xlpm.x &amp; ".")-1))),""))))))</f>
        <v/>
      </c>
      <c r="D1357">
        <v>39.515999999999998</v>
      </c>
      <c r="E1357">
        <v>22.628</v>
      </c>
      <c r="F1357" t="str">
        <f>_xlfn.LET(_xlpm.raw,_xlfn.XLOOKUP(A1357,'Pinlist(S1)'!$C$4:$C$1362,'Pinlist(S1)'!$E$4:$E$1362,""),_xlpm.cleanRaw,SUBSTITUTE(SUBSTITUTE(_xlpm.raw,"_PIN","."),"PIN","."),_xlpm.mainPart,MID(_xlpm.cleanRaw,2,FIND(".",_xlpm.cleanRaw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605043</v>
      </c>
      <c r="G1357" t="str">
        <f>_xlfn.LET(_xlpm.raw,_xlfn.XLOOKUP(A1357,'Pinlist(S3)'!$C$4:$C$1362,'Pinlist(S3)'!$E$4:$E$1362,""),_xlpm.cleanRaw,SUBSTITUTE(SUBSTITUTE(_xlpm.raw,"_PIN","."),"PIN","."),_xlpm.mainPart,MID(_xlpm.cleanRaw,2,FIND(".",_xlpm.cleanRaw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502048</v>
      </c>
      <c r="H1357" t="str">
        <f>_xlfn.LET(_xlpm.raw,_xlfn.XLOOKUP(A1357,'Pinlist(S5)'!$C$4:$C$1362,'Pinlist(S5)'!$E$4:$E$1362,""),_xlpm.cleanRaw,SUBSTITUTE(SUBSTITUTE(_xlpm.raw,"_PIN","."),"PIN","."),_xlpm.mainPart,MID(_xlpm.cleanRaw,2,FIND(".",_xlpm.cleanRaw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708047</v>
      </c>
      <c r="I1357" t="str">
        <f>""</f>
        <v/>
      </c>
      <c r="J1357" t="str">
        <f t="shared" si="21"/>
        <v>BB69;DDR_VIEW[1];;39.516;22.628;605043;502048;708047;</v>
      </c>
    </row>
    <row r="1358" spans="1:10">
      <c r="A1358" t="s">
        <v>2111</v>
      </c>
      <c r="B1358" t="str">
        <f>_xlfn.XLOOKUP(A1358,'Pinlist(S1)'!$Q$4:$Q$1362,'Pinlist(S1)'!$R$4:$R$1362,"")</f>
        <v>VSS</v>
      </c>
      <c r="C1358" t="str" cm="1">
        <f t="array" ref="C1358">_xlfn.TEXTJOIN(",",TRUE,_xlfn.UNIQUE(TRANSPOSE(_xlfn.MAP(_xlfn.XLOOKUP(A1358,'Pinlist(S1)'!$C$4:$C$1362,'Pinlist(S1)'!$F$4:$K$1362,""),_xlfn.LAMBDA(_xlpm.x,IF(_xlpm.x&lt;&gt;"",TRIM(CLEAN(LEFT(_xlpm.x,FIND(".",_xlpm.x &amp; ".")-1))),""))))))</f>
        <v/>
      </c>
      <c r="D1358">
        <v>40.165999999999997</v>
      </c>
      <c r="E1358">
        <v>22.628</v>
      </c>
      <c r="F1358" t="str">
        <f>_xlfn.LET(_xlpm.raw,_xlfn.XLOOKUP(A1358,'Pinlist(S1)'!$C$4:$C$1362,'Pinlist(S1)'!$E$4:$E$1362,""),_xlpm.cleanRaw,SUBSTITUTE(SUBSTITUTE(_xlpm.raw,"_PIN","."),"PIN","."),_xlpm.mainPart,MID(_xlpm.cleanRaw,2,FIND(".",_xlpm.cleanRaw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8" t="str">
        <f>_xlfn.LET(_xlpm.raw,_xlfn.XLOOKUP(A1358,'Pinlist(S3)'!$C$4:$C$1362,'Pinlist(S3)'!$E$4:$E$1362,""),_xlpm.cleanRaw,SUBSTITUTE(SUBSTITUTE(_xlpm.raw,"_PIN","."),"PIN","."),_xlpm.mainPart,MID(_xlpm.cleanRaw,2,FIND(".",_xlpm.cleanRaw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8" t="str">
        <f>_xlfn.LET(_xlpm.raw,_xlfn.XLOOKUP(A1358,'Pinlist(S5)'!$C$4:$C$1362,'Pinlist(S5)'!$E$4:$E$1362,""),_xlpm.cleanRaw,SUBSTITUTE(SUBSTITUTE(_xlpm.raw,"_PIN","."),"PIN","."),_xlpm.mainPart,MID(_xlpm.cleanRaw,2,FIND(".",_xlpm.cleanRaw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8" t="str">
        <f>""</f>
        <v/>
      </c>
      <c r="J1358" t="str">
        <f t="shared" si="21"/>
        <v>BB70;VSS;;40.166;22.628;;;;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7FB1-1B20-4BAA-8AE0-74AA4640C35E}">
  <sheetPr codeName="Sheet1"/>
  <dimension ref="A1:Z2282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4" sqref="E4"/>
    </sheetView>
  </sheetViews>
  <sheetFormatPr defaultColWidth="9" defaultRowHeight="14.25"/>
  <cols>
    <col min="1" max="1" width="5.42578125" style="206" bestFit="1" customWidth="1"/>
    <col min="2" max="2" width="30.5703125" style="206" customWidth="1"/>
    <col min="3" max="3" width="7.42578125" style="206" bestFit="1" customWidth="1"/>
    <col min="4" max="4" width="11.7109375" style="206" bestFit="1" customWidth="1"/>
    <col min="5" max="5" width="14" style="206" bestFit="1" customWidth="1"/>
    <col min="6" max="6" width="9.5703125" style="206" bestFit="1" customWidth="1"/>
    <col min="7" max="9" width="8.7109375" style="206" bestFit="1" customWidth="1"/>
    <col min="10" max="10" width="8.7109375" style="206" customWidth="1"/>
    <col min="11" max="11" width="9" style="206" customWidth="1"/>
    <col min="12" max="12" width="13.140625" style="403" bestFit="1" customWidth="1"/>
    <col min="13" max="13" width="13.140625" style="404" bestFit="1" customWidth="1"/>
    <col min="14" max="14" width="12.85546875" style="404" bestFit="1" customWidth="1"/>
    <col min="15" max="15" width="24.42578125" style="405" bestFit="1" customWidth="1"/>
    <col min="16" max="16" width="5.42578125" style="206" bestFit="1" customWidth="1"/>
    <col min="17" max="17" width="6.42578125" style="270" customWidth="1"/>
    <col min="18" max="18" width="38.7109375" style="270" bestFit="1" customWidth="1"/>
    <col min="19" max="19" width="17.5703125" style="270" customWidth="1"/>
    <col min="20" max="20" width="31.42578125" style="270" hidden="1" customWidth="1"/>
    <col min="21" max="21" width="13.5703125" style="270" customWidth="1"/>
    <col min="22" max="22" width="18.42578125" style="270" customWidth="1"/>
    <col min="23" max="23" width="29.140625" style="270" hidden="1" customWidth="1"/>
    <col min="24" max="24" width="10.42578125" style="270" customWidth="1"/>
    <col min="25" max="25" width="18.42578125" style="270" customWidth="1"/>
    <col min="26" max="26" width="43.42578125" style="270" bestFit="1" customWidth="1"/>
    <col min="27" max="16384" width="9" style="206"/>
  </cols>
  <sheetData>
    <row r="1" spans="1:26">
      <c r="B1" s="611" t="s">
        <v>7496</v>
      </c>
      <c r="C1" s="459"/>
      <c r="D1" s="459"/>
      <c r="E1" s="459"/>
      <c r="F1" s="459"/>
      <c r="G1" s="33"/>
      <c r="K1" s="403"/>
      <c r="N1" s="405"/>
      <c r="O1" s="33">
        <v>41787</v>
      </c>
      <c r="R1" s="472" t="s">
        <v>4882</v>
      </c>
      <c r="S1" s="464" t="s">
        <v>0</v>
      </c>
      <c r="T1" s="464"/>
      <c r="U1" s="464">
        <v>192</v>
      </c>
      <c r="V1" s="464">
        <v>64</v>
      </c>
      <c r="W1" s="461" t="s">
        <v>7510</v>
      </c>
      <c r="X1" s="525">
        <v>256</v>
      </c>
      <c r="Y1" s="465"/>
      <c r="Z1" s="465"/>
    </row>
    <row r="2" spans="1:26">
      <c r="K2" s="403"/>
      <c r="N2" s="405"/>
      <c r="O2" s="34"/>
      <c r="S2" s="466" t="s">
        <v>1</v>
      </c>
      <c r="T2" s="466"/>
      <c r="U2" s="466">
        <v>191</v>
      </c>
      <c r="V2" s="466">
        <v>64</v>
      </c>
      <c r="W2" s="461"/>
      <c r="X2" s="466">
        <v>256</v>
      </c>
      <c r="Y2" s="467"/>
      <c r="Z2" s="467">
        <v>0</v>
      </c>
    </row>
    <row r="3" spans="1:26" ht="15">
      <c r="A3" s="526" t="s">
        <v>7501</v>
      </c>
      <c r="B3" s="612" t="s">
        <v>7502</v>
      </c>
      <c r="C3" s="527" t="s">
        <v>7503</v>
      </c>
      <c r="D3" s="613" t="s">
        <v>7504</v>
      </c>
      <c r="E3" s="752"/>
      <c r="F3" s="754" t="s">
        <v>7505</v>
      </c>
      <c r="G3" s="755"/>
      <c r="H3" s="755"/>
      <c r="I3" s="755"/>
      <c r="J3" s="755"/>
      <c r="K3" s="756"/>
      <c r="L3" s="528" t="s">
        <v>7506</v>
      </c>
      <c r="M3" s="529" t="s">
        <v>7507</v>
      </c>
      <c r="N3" s="529" t="s">
        <v>7508</v>
      </c>
      <c r="O3" s="527" t="s">
        <v>7509</v>
      </c>
      <c r="P3" s="526" t="s">
        <v>7501</v>
      </c>
      <c r="Q3" s="468" t="s">
        <v>2</v>
      </c>
      <c r="R3" s="468" t="s">
        <v>4883</v>
      </c>
      <c r="S3" s="468" t="s">
        <v>3</v>
      </c>
      <c r="T3" s="468" t="s">
        <v>4</v>
      </c>
      <c r="U3" s="469" t="s">
        <v>5</v>
      </c>
      <c r="V3" s="469" t="s">
        <v>6</v>
      </c>
      <c r="W3" s="530" t="s">
        <v>7511</v>
      </c>
      <c r="X3" s="531" t="s">
        <v>7</v>
      </c>
      <c r="Y3" s="468"/>
      <c r="Z3" s="468" t="s">
        <v>8</v>
      </c>
    </row>
    <row r="4" spans="1:26">
      <c r="A4" s="406">
        <v>1</v>
      </c>
      <c r="B4" s="613" t="s">
        <v>2734</v>
      </c>
      <c r="C4" s="288" t="s">
        <v>9</v>
      </c>
      <c r="D4" s="414" t="s">
        <v>3701</v>
      </c>
      <c r="E4" s="407" t="s">
        <v>7989</v>
      </c>
      <c r="F4" s="288" t="s">
        <v>2733</v>
      </c>
      <c r="G4" s="609" t="s">
        <v>2735</v>
      </c>
      <c r="H4" s="483"/>
      <c r="I4" s="483"/>
      <c r="J4" s="483"/>
      <c r="K4" s="483"/>
      <c r="L4" s="608">
        <v>6664.2637795275596</v>
      </c>
      <c r="M4" s="409">
        <v>12255.830708661417</v>
      </c>
      <c r="N4" s="409">
        <v>18920.094488188974</v>
      </c>
      <c r="O4" s="410" t="s">
        <v>7748</v>
      </c>
      <c r="P4" s="406">
        <v>1</v>
      </c>
      <c r="Q4" s="470" t="s">
        <v>9</v>
      </c>
      <c r="R4" s="460" t="s">
        <v>10</v>
      </c>
      <c r="S4" s="270" t="s">
        <v>7</v>
      </c>
      <c r="U4" s="471"/>
      <c r="V4" s="471"/>
      <c r="W4" s="471" t="s">
        <v>10</v>
      </c>
      <c r="X4" s="471">
        <v>1</v>
      </c>
      <c r="Z4" s="270" t="s">
        <v>11</v>
      </c>
    </row>
    <row r="5" spans="1:26">
      <c r="A5" s="406">
        <v>2</v>
      </c>
      <c r="B5" s="613" t="s">
        <v>7020</v>
      </c>
      <c r="C5" s="288" t="s">
        <v>12</v>
      </c>
      <c r="D5" s="414" t="s">
        <v>4884</v>
      </c>
      <c r="E5" s="407"/>
      <c r="F5" s="483"/>
      <c r="G5" s="411"/>
      <c r="H5" s="411"/>
      <c r="I5" s="411"/>
      <c r="J5" s="411"/>
      <c r="K5" s="411"/>
      <c r="L5" s="608" t="s">
        <v>4884</v>
      </c>
      <c r="M5" s="409" t="s">
        <v>4884</v>
      </c>
      <c r="N5" s="409" t="s">
        <v>4884</v>
      </c>
      <c r="O5" s="410" t="s">
        <v>4884</v>
      </c>
      <c r="P5" s="406">
        <v>2</v>
      </c>
      <c r="Q5" s="470" t="s">
        <v>12</v>
      </c>
      <c r="R5" s="460" t="s">
        <v>4885</v>
      </c>
      <c r="S5" s="270" t="s">
        <v>7</v>
      </c>
      <c r="U5" s="471"/>
      <c r="V5" s="471"/>
      <c r="W5" s="471" t="s">
        <v>4885</v>
      </c>
      <c r="X5" s="471">
        <v>0</v>
      </c>
    </row>
    <row r="6" spans="1:26">
      <c r="A6" s="406">
        <v>3</v>
      </c>
      <c r="B6" s="613" t="s">
        <v>7020</v>
      </c>
      <c r="C6" s="288" t="s">
        <v>13</v>
      </c>
      <c r="D6" s="414" t="s">
        <v>4884</v>
      </c>
      <c r="E6" s="407"/>
      <c r="F6" s="483"/>
      <c r="G6" s="411"/>
      <c r="H6" s="411"/>
      <c r="I6" s="411"/>
      <c r="J6" s="411"/>
      <c r="K6" s="411"/>
      <c r="L6" s="608" t="s">
        <v>4884</v>
      </c>
      <c r="M6" s="409" t="s">
        <v>4884</v>
      </c>
      <c r="N6" s="409" t="s">
        <v>4884</v>
      </c>
      <c r="O6" s="410" t="s">
        <v>4884</v>
      </c>
      <c r="P6" s="406">
        <v>3</v>
      </c>
      <c r="Q6" s="470" t="s">
        <v>13</v>
      </c>
      <c r="R6" s="460" t="s">
        <v>14</v>
      </c>
      <c r="S6" s="270" t="s">
        <v>7</v>
      </c>
      <c r="U6" s="471"/>
      <c r="V6" s="471"/>
      <c r="W6" s="471" t="s">
        <v>14</v>
      </c>
      <c r="X6" s="471">
        <v>0</v>
      </c>
    </row>
    <row r="7" spans="1:26">
      <c r="A7" s="406">
        <v>4</v>
      </c>
      <c r="B7" s="613" t="s">
        <v>2748</v>
      </c>
      <c r="C7" s="288" t="s">
        <v>15</v>
      </c>
      <c r="D7" s="414" t="s">
        <v>3705</v>
      </c>
      <c r="E7" s="407" t="s">
        <v>7990</v>
      </c>
      <c r="F7" s="483" t="s">
        <v>2747</v>
      </c>
      <c r="G7" s="411" t="s">
        <v>2749</v>
      </c>
      <c r="H7" s="411"/>
      <c r="I7" s="411"/>
      <c r="J7" s="411"/>
      <c r="K7" s="411"/>
      <c r="L7" s="608">
        <v>7406.2322834645674</v>
      </c>
      <c r="M7" s="409">
        <v>9841.1850393700788</v>
      </c>
      <c r="N7" s="409">
        <v>17247.417322834648</v>
      </c>
      <c r="O7" s="410" t="s">
        <v>7752</v>
      </c>
      <c r="P7" s="406">
        <v>4</v>
      </c>
      <c r="Q7" s="470" t="s">
        <v>15</v>
      </c>
      <c r="R7" s="460" t="s">
        <v>16</v>
      </c>
      <c r="S7" s="270" t="s">
        <v>7</v>
      </c>
      <c r="U7" s="471"/>
      <c r="V7" s="471"/>
      <c r="W7" s="471" t="s">
        <v>16</v>
      </c>
      <c r="X7" s="471">
        <v>1</v>
      </c>
      <c r="Z7" s="270" t="s">
        <v>17</v>
      </c>
    </row>
    <row r="8" spans="1:26">
      <c r="A8" s="406">
        <v>5</v>
      </c>
      <c r="B8" s="613" t="s">
        <v>2718</v>
      </c>
      <c r="C8" s="288" t="s">
        <v>18</v>
      </c>
      <c r="D8" s="414" t="s">
        <v>3728</v>
      </c>
      <c r="E8" s="407" t="s">
        <v>7991</v>
      </c>
      <c r="F8" s="483" t="s">
        <v>2717</v>
      </c>
      <c r="G8" s="411" t="s">
        <v>2719</v>
      </c>
      <c r="H8" s="411"/>
      <c r="I8" s="411"/>
      <c r="J8" s="411"/>
      <c r="K8" s="411"/>
      <c r="L8" s="608">
        <v>6046.9409448818897</v>
      </c>
      <c r="M8" s="409">
        <v>13203.129921259844</v>
      </c>
      <c r="N8" s="409">
        <v>19250.070866141734</v>
      </c>
      <c r="O8" s="410" t="s">
        <v>7750</v>
      </c>
      <c r="P8" s="406">
        <v>5</v>
      </c>
      <c r="Q8" s="470" t="s">
        <v>18</v>
      </c>
      <c r="R8" s="460" t="s">
        <v>19</v>
      </c>
      <c r="S8" s="270" t="s">
        <v>7</v>
      </c>
      <c r="U8" s="471"/>
      <c r="V8" s="471"/>
      <c r="W8" s="471" t="s">
        <v>19</v>
      </c>
      <c r="X8" s="471">
        <v>1</v>
      </c>
      <c r="Z8" s="270" t="s">
        <v>20</v>
      </c>
    </row>
    <row r="9" spans="1:26">
      <c r="A9" s="406">
        <v>6</v>
      </c>
      <c r="B9" s="613" t="s">
        <v>2756</v>
      </c>
      <c r="C9" s="288" t="s">
        <v>21</v>
      </c>
      <c r="D9" s="414" t="s">
        <v>3656</v>
      </c>
      <c r="E9" s="407" t="s">
        <v>7992</v>
      </c>
      <c r="F9" s="483" t="s">
        <v>2755</v>
      </c>
      <c r="G9" s="411" t="s">
        <v>2757</v>
      </c>
      <c r="H9" s="411"/>
      <c r="I9" s="411"/>
      <c r="J9" s="411"/>
      <c r="K9" s="411"/>
      <c r="L9" s="608">
        <v>4256.0078740157478</v>
      </c>
      <c r="M9" s="409">
        <v>10361.984251968503</v>
      </c>
      <c r="N9" s="409">
        <v>14617.992125984252</v>
      </c>
      <c r="O9" s="410" t="s">
        <v>7748</v>
      </c>
      <c r="P9" s="406">
        <v>6</v>
      </c>
      <c r="Q9" s="470" t="s">
        <v>21</v>
      </c>
      <c r="R9" s="460" t="s">
        <v>22</v>
      </c>
      <c r="S9" s="270" t="s">
        <v>7</v>
      </c>
      <c r="U9" s="471"/>
      <c r="V9" s="471"/>
      <c r="W9" s="471" t="s">
        <v>22</v>
      </c>
      <c r="X9" s="471">
        <v>1</v>
      </c>
      <c r="Z9" s="270" t="s">
        <v>23</v>
      </c>
    </row>
    <row r="10" spans="1:26">
      <c r="A10" s="406">
        <v>7</v>
      </c>
      <c r="B10" s="613" t="s">
        <v>2726</v>
      </c>
      <c r="C10" s="288" t="s">
        <v>24</v>
      </c>
      <c r="D10" s="414" t="s">
        <v>3726</v>
      </c>
      <c r="E10" s="407" t="s">
        <v>7993</v>
      </c>
      <c r="F10" s="483" t="s">
        <v>2725</v>
      </c>
      <c r="G10" s="411" t="s">
        <v>2727</v>
      </c>
      <c r="H10" s="411"/>
      <c r="I10" s="411"/>
      <c r="J10" s="411"/>
      <c r="K10" s="411"/>
      <c r="L10" s="608">
        <v>3244.5787401574803</v>
      </c>
      <c r="M10" s="409">
        <v>15883.736220472443</v>
      </c>
      <c r="N10" s="409">
        <v>19128.314960629923</v>
      </c>
      <c r="O10" s="410" t="s">
        <v>7825</v>
      </c>
      <c r="P10" s="406">
        <v>7</v>
      </c>
      <c r="Q10" s="470" t="s">
        <v>24</v>
      </c>
      <c r="R10" s="460" t="s">
        <v>25</v>
      </c>
      <c r="S10" s="270" t="s">
        <v>7</v>
      </c>
      <c r="U10" s="471"/>
      <c r="V10" s="471"/>
      <c r="W10" s="471" t="s">
        <v>25</v>
      </c>
      <c r="X10" s="471">
        <v>1</v>
      </c>
      <c r="Z10" s="270" t="s">
        <v>26</v>
      </c>
    </row>
    <row r="11" spans="1:26">
      <c r="A11" s="406">
        <v>8</v>
      </c>
      <c r="B11" s="613" t="s">
        <v>2742</v>
      </c>
      <c r="C11" s="288" t="s">
        <v>27</v>
      </c>
      <c r="D11" s="414" t="s">
        <v>3706</v>
      </c>
      <c r="E11" s="407" t="s">
        <v>7994</v>
      </c>
      <c r="F11" s="483" t="s">
        <v>2741</v>
      </c>
      <c r="G11" s="411" t="s">
        <v>2743</v>
      </c>
      <c r="H11" s="411"/>
      <c r="I11" s="411"/>
      <c r="J11" s="411"/>
      <c r="K11" s="411"/>
      <c r="L11" s="608">
        <v>6683.2913385826769</v>
      </c>
      <c r="M11" s="409">
        <v>9135.5669291338581</v>
      </c>
      <c r="N11" s="409">
        <v>15818.858267716536</v>
      </c>
      <c r="O11" s="410" t="s">
        <v>7773</v>
      </c>
      <c r="P11" s="406">
        <v>8</v>
      </c>
      <c r="Q11" s="470" t="s">
        <v>27</v>
      </c>
      <c r="R11" s="460" t="s">
        <v>28</v>
      </c>
      <c r="S11" s="270" t="s">
        <v>7</v>
      </c>
      <c r="U11" s="471"/>
      <c r="V11" s="471"/>
      <c r="W11" s="471" t="s">
        <v>28</v>
      </c>
      <c r="X11" s="471">
        <v>1</v>
      </c>
      <c r="Z11" s="270" t="s">
        <v>29</v>
      </c>
    </row>
    <row r="12" spans="1:26">
      <c r="A12" s="406">
        <v>9</v>
      </c>
      <c r="B12" s="613" t="s">
        <v>3112</v>
      </c>
      <c r="C12" s="288" t="s">
        <v>30</v>
      </c>
      <c r="D12" s="414" t="s">
        <v>3906</v>
      </c>
      <c r="E12" s="407" t="s">
        <v>7995</v>
      </c>
      <c r="F12" s="483"/>
      <c r="G12" s="411"/>
      <c r="H12" s="411"/>
      <c r="I12" s="411"/>
      <c r="J12" s="411"/>
      <c r="K12" s="411"/>
      <c r="L12" s="608" t="s">
        <v>4884</v>
      </c>
      <c r="M12" s="409">
        <v>6077.3858267716541</v>
      </c>
      <c r="N12" s="409">
        <v>6077.3858267716541</v>
      </c>
      <c r="O12" s="410" t="s">
        <v>7574</v>
      </c>
      <c r="P12" s="406">
        <v>9</v>
      </c>
      <c r="Q12" s="470" t="s">
        <v>30</v>
      </c>
      <c r="R12" s="270" t="s">
        <v>31</v>
      </c>
      <c r="S12" s="270" t="s">
        <v>32</v>
      </c>
      <c r="U12" s="471"/>
      <c r="V12" s="471">
        <v>1</v>
      </c>
      <c r="W12" s="471" t="s">
        <v>31</v>
      </c>
      <c r="X12" s="471">
        <v>0</v>
      </c>
    </row>
    <row r="13" spans="1:26">
      <c r="A13" s="406">
        <v>10</v>
      </c>
      <c r="B13" s="613" t="s">
        <v>6641</v>
      </c>
      <c r="C13" s="288" t="s">
        <v>33</v>
      </c>
      <c r="D13" s="414" t="s">
        <v>3649</v>
      </c>
      <c r="E13" s="407" t="s">
        <v>7996</v>
      </c>
      <c r="F13" s="483" t="s">
        <v>2652</v>
      </c>
      <c r="G13" s="483" t="s">
        <v>2651</v>
      </c>
      <c r="H13" s="411" t="s">
        <v>2653</v>
      </c>
      <c r="I13" s="411"/>
      <c r="J13" s="411"/>
      <c r="K13" s="411"/>
      <c r="L13" s="608">
        <v>4605.1496062992128</v>
      </c>
      <c r="M13" s="409">
        <v>9920.0629921259861</v>
      </c>
      <c r="N13" s="409">
        <v>14525.212598425198</v>
      </c>
      <c r="O13" s="410" t="s">
        <v>7750</v>
      </c>
      <c r="P13" s="406">
        <v>10</v>
      </c>
      <c r="Q13" s="470" t="s">
        <v>33</v>
      </c>
      <c r="R13" s="270" t="s">
        <v>34</v>
      </c>
      <c r="S13" s="270" t="s">
        <v>7</v>
      </c>
      <c r="U13" s="471"/>
      <c r="V13" s="471"/>
      <c r="W13" s="471" t="s">
        <v>34</v>
      </c>
      <c r="X13" s="471">
        <v>1</v>
      </c>
    </row>
    <row r="14" spans="1:26">
      <c r="A14" s="406">
        <v>11</v>
      </c>
      <c r="B14" s="613" t="s">
        <v>6642</v>
      </c>
      <c r="C14" s="288" t="s">
        <v>35</v>
      </c>
      <c r="D14" s="414" t="s">
        <v>3648</v>
      </c>
      <c r="E14" s="407" t="s">
        <v>7997</v>
      </c>
      <c r="F14" s="483" t="s">
        <v>2656</v>
      </c>
      <c r="G14" s="483" t="s">
        <v>2655</v>
      </c>
      <c r="H14" s="411" t="s">
        <v>2657</v>
      </c>
      <c r="I14" s="411"/>
      <c r="J14" s="411"/>
      <c r="K14" s="411"/>
      <c r="L14" s="608">
        <v>4605.1338582677163</v>
      </c>
      <c r="M14" s="409">
        <v>9920.0905511811034</v>
      </c>
      <c r="N14" s="409">
        <v>14525.22440944882</v>
      </c>
      <c r="O14" s="410" t="s">
        <v>7750</v>
      </c>
      <c r="P14" s="406">
        <v>11</v>
      </c>
      <c r="Q14" s="470" t="s">
        <v>35</v>
      </c>
      <c r="R14" s="270" t="s">
        <v>36</v>
      </c>
      <c r="S14" s="270" t="s">
        <v>7</v>
      </c>
      <c r="U14" s="471"/>
      <c r="V14" s="471"/>
      <c r="W14" s="471" t="s">
        <v>36</v>
      </c>
      <c r="X14" s="471">
        <v>1</v>
      </c>
    </row>
    <row r="15" spans="1:26">
      <c r="A15" s="406">
        <v>12</v>
      </c>
      <c r="B15" s="613" t="s">
        <v>5841</v>
      </c>
      <c r="C15" s="288" t="s">
        <v>37</v>
      </c>
      <c r="D15" s="414" t="s">
        <v>3554</v>
      </c>
      <c r="E15" s="407" t="s">
        <v>7998</v>
      </c>
      <c r="F15" s="483" t="s">
        <v>2660</v>
      </c>
      <c r="G15" s="483" t="s">
        <v>2659</v>
      </c>
      <c r="H15" s="411" t="s">
        <v>2661</v>
      </c>
      <c r="I15" s="411"/>
      <c r="J15" s="411"/>
      <c r="K15" s="411"/>
      <c r="L15" s="608">
        <v>6494.9251968503941</v>
      </c>
      <c r="M15" s="409">
        <v>13778.933070866142</v>
      </c>
      <c r="N15" s="409">
        <v>20273.858267716536</v>
      </c>
      <c r="O15" s="410" t="s">
        <v>7803</v>
      </c>
      <c r="P15" s="406">
        <v>12</v>
      </c>
      <c r="Q15" s="470" t="s">
        <v>37</v>
      </c>
      <c r="R15" s="472" t="s">
        <v>38</v>
      </c>
      <c r="S15" s="270" t="s">
        <v>7</v>
      </c>
      <c r="U15" s="471"/>
      <c r="V15" s="471"/>
      <c r="W15" s="471"/>
      <c r="X15" s="471">
        <v>1</v>
      </c>
      <c r="Z15" s="270" t="s">
        <v>39</v>
      </c>
    </row>
    <row r="16" spans="1:26">
      <c r="A16" s="406">
        <v>13</v>
      </c>
      <c r="B16" s="613" t="s">
        <v>5841</v>
      </c>
      <c r="C16" s="288" t="s">
        <v>40</v>
      </c>
      <c r="D16" s="414" t="s">
        <v>3554</v>
      </c>
      <c r="E16" s="407" t="s">
        <v>7998</v>
      </c>
      <c r="F16" s="483" t="s">
        <v>2660</v>
      </c>
      <c r="G16" s="483" t="s">
        <v>2659</v>
      </c>
      <c r="H16" s="411" t="s">
        <v>2661</v>
      </c>
      <c r="I16" s="411"/>
      <c r="J16" s="411"/>
      <c r="K16" s="411"/>
      <c r="L16" s="608">
        <v>6494.9251968503941</v>
      </c>
      <c r="M16" s="409">
        <v>13778.933070866142</v>
      </c>
      <c r="N16" s="409">
        <v>20273.858267716536</v>
      </c>
      <c r="O16" s="410" t="s">
        <v>7803</v>
      </c>
      <c r="P16" s="406">
        <v>13</v>
      </c>
      <c r="Q16" s="470" t="s">
        <v>40</v>
      </c>
      <c r="R16" s="270" t="s">
        <v>41</v>
      </c>
      <c r="S16" s="270" t="s">
        <v>7</v>
      </c>
      <c r="U16" s="471"/>
      <c r="V16" s="471"/>
      <c r="W16" s="471" t="s">
        <v>41</v>
      </c>
      <c r="X16" s="471">
        <v>0</v>
      </c>
      <c r="Z16" s="270" t="s">
        <v>39</v>
      </c>
    </row>
    <row r="17" spans="1:26">
      <c r="A17" s="406">
        <v>14</v>
      </c>
      <c r="B17" s="613" t="s">
        <v>5841</v>
      </c>
      <c r="C17" s="288" t="s">
        <v>42</v>
      </c>
      <c r="D17" s="414" t="s">
        <v>3554</v>
      </c>
      <c r="E17" s="407" t="s">
        <v>7998</v>
      </c>
      <c r="F17" s="483" t="s">
        <v>2660</v>
      </c>
      <c r="G17" s="483" t="s">
        <v>2659</v>
      </c>
      <c r="H17" s="411" t="s">
        <v>2661</v>
      </c>
      <c r="I17" s="411"/>
      <c r="J17" s="411"/>
      <c r="K17" s="411"/>
      <c r="L17" s="608">
        <v>6494.9251968503941</v>
      </c>
      <c r="M17" s="409">
        <v>13778.933070866142</v>
      </c>
      <c r="N17" s="409">
        <v>20273.858267716536</v>
      </c>
      <c r="O17" s="410" t="s">
        <v>7803</v>
      </c>
      <c r="P17" s="406">
        <v>14</v>
      </c>
      <c r="Q17" s="470" t="s">
        <v>42</v>
      </c>
      <c r="R17" s="270" t="s">
        <v>43</v>
      </c>
      <c r="S17" s="270" t="s">
        <v>7</v>
      </c>
      <c r="U17" s="471"/>
      <c r="V17" s="471"/>
      <c r="W17" s="471" t="s">
        <v>43</v>
      </c>
      <c r="X17" s="473">
        <v>0</v>
      </c>
      <c r="Z17" s="270" t="s">
        <v>39</v>
      </c>
    </row>
    <row r="18" spans="1:26">
      <c r="A18" s="406">
        <v>15</v>
      </c>
      <c r="B18" s="613" t="s">
        <v>5841</v>
      </c>
      <c r="C18" s="288" t="s">
        <v>44</v>
      </c>
      <c r="D18" s="414" t="s">
        <v>3554</v>
      </c>
      <c r="E18" s="407" t="s">
        <v>7998</v>
      </c>
      <c r="F18" s="483" t="s">
        <v>2660</v>
      </c>
      <c r="G18" s="483" t="s">
        <v>2659</v>
      </c>
      <c r="H18" s="411" t="s">
        <v>2661</v>
      </c>
      <c r="I18" s="411"/>
      <c r="J18" s="411"/>
      <c r="K18" s="411"/>
      <c r="L18" s="608">
        <v>6494.9251968503941</v>
      </c>
      <c r="M18" s="409">
        <v>13778.933070866142</v>
      </c>
      <c r="N18" s="409">
        <v>20273.858267716536</v>
      </c>
      <c r="O18" s="410" t="s">
        <v>7803</v>
      </c>
      <c r="P18" s="406">
        <v>15</v>
      </c>
      <c r="Q18" s="470" t="s">
        <v>44</v>
      </c>
      <c r="R18" s="270" t="s">
        <v>45</v>
      </c>
      <c r="S18" s="270" t="s">
        <v>7</v>
      </c>
      <c r="U18" s="471"/>
      <c r="V18" s="471"/>
      <c r="W18" s="471" t="s">
        <v>45</v>
      </c>
      <c r="X18" s="473">
        <v>0</v>
      </c>
      <c r="Z18" s="270" t="s">
        <v>39</v>
      </c>
    </row>
    <row r="19" spans="1:26">
      <c r="A19" s="406">
        <v>16</v>
      </c>
      <c r="B19" s="613" t="s">
        <v>5841</v>
      </c>
      <c r="C19" s="288" t="s">
        <v>46</v>
      </c>
      <c r="D19" s="414" t="s">
        <v>3554</v>
      </c>
      <c r="E19" s="407" t="s">
        <v>7998</v>
      </c>
      <c r="F19" s="483" t="s">
        <v>2660</v>
      </c>
      <c r="G19" s="483" t="s">
        <v>2659</v>
      </c>
      <c r="H19" s="411" t="s">
        <v>2661</v>
      </c>
      <c r="I19" s="411"/>
      <c r="J19" s="411"/>
      <c r="K19" s="411"/>
      <c r="L19" s="608">
        <v>6494.9251968503941</v>
      </c>
      <c r="M19" s="409">
        <v>13778.933070866142</v>
      </c>
      <c r="N19" s="409">
        <v>20273.858267716536</v>
      </c>
      <c r="O19" s="410" t="s">
        <v>7803</v>
      </c>
      <c r="P19" s="406">
        <v>16</v>
      </c>
      <c r="Q19" s="470" t="s">
        <v>46</v>
      </c>
      <c r="R19" s="270" t="s">
        <v>47</v>
      </c>
      <c r="S19" s="270" t="s">
        <v>7</v>
      </c>
      <c r="U19" s="471"/>
      <c r="V19" s="471"/>
      <c r="W19" s="471" t="s">
        <v>47</v>
      </c>
      <c r="X19" s="473">
        <v>0</v>
      </c>
      <c r="Z19" s="270" t="s">
        <v>39</v>
      </c>
    </row>
    <row r="20" spans="1:26">
      <c r="A20" s="406">
        <v>17</v>
      </c>
      <c r="B20" s="613" t="s">
        <v>5841</v>
      </c>
      <c r="C20" s="288" t="s">
        <v>48</v>
      </c>
      <c r="D20" s="414" t="s">
        <v>3554</v>
      </c>
      <c r="E20" s="407" t="s">
        <v>7998</v>
      </c>
      <c r="F20" s="483" t="s">
        <v>2660</v>
      </c>
      <c r="G20" s="483" t="s">
        <v>2659</v>
      </c>
      <c r="H20" s="411" t="s">
        <v>2661</v>
      </c>
      <c r="I20" s="411"/>
      <c r="J20" s="411"/>
      <c r="K20" s="411"/>
      <c r="L20" s="608">
        <v>6494.9251968503941</v>
      </c>
      <c r="M20" s="409">
        <v>13778.933070866142</v>
      </c>
      <c r="N20" s="409">
        <v>20273.858267716536</v>
      </c>
      <c r="O20" s="410" t="s">
        <v>7803</v>
      </c>
      <c r="P20" s="406">
        <v>17</v>
      </c>
      <c r="Q20" s="470" t="s">
        <v>48</v>
      </c>
      <c r="R20" s="270" t="s">
        <v>49</v>
      </c>
      <c r="S20" s="270" t="s">
        <v>7</v>
      </c>
      <c r="U20" s="471"/>
      <c r="V20" s="471"/>
      <c r="W20" s="471" t="s">
        <v>49</v>
      </c>
      <c r="X20" s="473">
        <v>0</v>
      </c>
      <c r="Z20" s="270" t="s">
        <v>39</v>
      </c>
    </row>
    <row r="21" spans="1:26">
      <c r="A21" s="406">
        <v>18</v>
      </c>
      <c r="B21" s="613" t="s">
        <v>5840</v>
      </c>
      <c r="C21" s="288" t="s">
        <v>50</v>
      </c>
      <c r="D21" s="414" t="s">
        <v>3538</v>
      </c>
      <c r="E21" s="407" t="s">
        <v>7999</v>
      </c>
      <c r="F21" s="483" t="s">
        <v>2664</v>
      </c>
      <c r="G21" s="483" t="s">
        <v>2663</v>
      </c>
      <c r="H21" s="411" t="s">
        <v>2665</v>
      </c>
      <c r="I21" s="411"/>
      <c r="J21" s="411"/>
      <c r="K21" s="411"/>
      <c r="L21" s="608">
        <v>6494.9606299212601</v>
      </c>
      <c r="M21" s="409">
        <v>13778.500000000002</v>
      </c>
      <c r="N21" s="409">
        <v>20273.460629921261</v>
      </c>
      <c r="O21" s="410" t="s">
        <v>7814</v>
      </c>
      <c r="P21" s="406">
        <v>18</v>
      </c>
      <c r="Q21" s="470" t="s">
        <v>50</v>
      </c>
      <c r="R21" s="472" t="s">
        <v>51</v>
      </c>
      <c r="S21" s="270" t="s">
        <v>7</v>
      </c>
      <c r="U21" s="471"/>
      <c r="V21" s="471"/>
      <c r="W21" s="471" t="s">
        <v>52</v>
      </c>
      <c r="X21" s="471">
        <v>1</v>
      </c>
      <c r="Z21" s="270" t="s">
        <v>53</v>
      </c>
    </row>
    <row r="22" spans="1:26">
      <c r="A22" s="406">
        <v>19</v>
      </c>
      <c r="B22" s="613" t="s">
        <v>5840</v>
      </c>
      <c r="C22" s="288" t="s">
        <v>54</v>
      </c>
      <c r="D22" s="414" t="s">
        <v>3538</v>
      </c>
      <c r="E22" s="407" t="s">
        <v>7999</v>
      </c>
      <c r="F22" s="483" t="s">
        <v>2664</v>
      </c>
      <c r="G22" s="483" t="s">
        <v>2663</v>
      </c>
      <c r="H22" s="411" t="s">
        <v>2665</v>
      </c>
      <c r="I22" s="411"/>
      <c r="J22" s="411"/>
      <c r="K22" s="411"/>
      <c r="L22" s="608">
        <v>6494.9606299212601</v>
      </c>
      <c r="M22" s="409">
        <v>13778.500000000002</v>
      </c>
      <c r="N22" s="409">
        <v>20273.460629921261</v>
      </c>
      <c r="O22" s="410" t="s">
        <v>7814</v>
      </c>
      <c r="P22" s="406">
        <v>19</v>
      </c>
      <c r="Q22" s="470" t="s">
        <v>54</v>
      </c>
      <c r="R22" s="270" t="s">
        <v>52</v>
      </c>
      <c r="S22" s="270" t="s">
        <v>7</v>
      </c>
      <c r="U22" s="471"/>
      <c r="V22" s="471"/>
      <c r="W22" s="471" t="s">
        <v>7512</v>
      </c>
      <c r="X22" s="473">
        <v>0</v>
      </c>
      <c r="Z22" s="270" t="s">
        <v>53</v>
      </c>
    </row>
    <row r="23" spans="1:26">
      <c r="A23" s="406">
        <v>20</v>
      </c>
      <c r="B23" s="613" t="s">
        <v>5840</v>
      </c>
      <c r="C23" s="288" t="s">
        <v>55</v>
      </c>
      <c r="D23" s="414" t="s">
        <v>3538</v>
      </c>
      <c r="E23" s="407" t="s">
        <v>7999</v>
      </c>
      <c r="F23" s="483" t="s">
        <v>2664</v>
      </c>
      <c r="G23" s="483" t="s">
        <v>2663</v>
      </c>
      <c r="H23" s="411" t="s">
        <v>2665</v>
      </c>
      <c r="I23" s="411"/>
      <c r="J23" s="411"/>
      <c r="K23" s="411"/>
      <c r="L23" s="608">
        <v>6494.9606299212601</v>
      </c>
      <c r="M23" s="409">
        <v>13778.500000000002</v>
      </c>
      <c r="N23" s="409">
        <v>20273.460629921261</v>
      </c>
      <c r="O23" s="410" t="s">
        <v>7814</v>
      </c>
      <c r="P23" s="406">
        <v>20</v>
      </c>
      <c r="Q23" s="470" t="s">
        <v>55</v>
      </c>
      <c r="R23" s="270" t="s">
        <v>56</v>
      </c>
      <c r="S23" s="270" t="s">
        <v>7</v>
      </c>
      <c r="U23" s="471"/>
      <c r="V23" s="471"/>
      <c r="W23" s="471" t="s">
        <v>57</v>
      </c>
      <c r="X23" s="473">
        <v>0</v>
      </c>
      <c r="Z23" s="270" t="s">
        <v>53</v>
      </c>
    </row>
    <row r="24" spans="1:26">
      <c r="A24" s="406">
        <v>21</v>
      </c>
      <c r="B24" s="613" t="s">
        <v>5840</v>
      </c>
      <c r="C24" s="288" t="s">
        <v>58</v>
      </c>
      <c r="D24" s="414" t="s">
        <v>3538</v>
      </c>
      <c r="E24" s="407" t="s">
        <v>7999</v>
      </c>
      <c r="F24" s="483" t="s">
        <v>2664</v>
      </c>
      <c r="G24" s="483" t="s">
        <v>2663</v>
      </c>
      <c r="H24" s="411" t="s">
        <v>2665</v>
      </c>
      <c r="I24" s="411"/>
      <c r="J24" s="411"/>
      <c r="K24" s="411"/>
      <c r="L24" s="608">
        <v>6494.9606299212601</v>
      </c>
      <c r="M24" s="409">
        <v>13778.500000000002</v>
      </c>
      <c r="N24" s="409">
        <v>20273.460629921261</v>
      </c>
      <c r="O24" s="410" t="s">
        <v>7814</v>
      </c>
      <c r="P24" s="406">
        <v>21</v>
      </c>
      <c r="Q24" s="470" t="s">
        <v>58</v>
      </c>
      <c r="R24" s="270" t="s">
        <v>57</v>
      </c>
      <c r="S24" s="270" t="s">
        <v>7</v>
      </c>
      <c r="U24" s="471"/>
      <c r="V24" s="471"/>
      <c r="W24" s="471" t="s">
        <v>59</v>
      </c>
      <c r="X24" s="473">
        <v>0</v>
      </c>
      <c r="Z24" s="270" t="s">
        <v>53</v>
      </c>
    </row>
    <row r="25" spans="1:26">
      <c r="A25" s="406">
        <v>22</v>
      </c>
      <c r="B25" s="613" t="s">
        <v>5840</v>
      </c>
      <c r="C25" s="288" t="s">
        <v>60</v>
      </c>
      <c r="D25" s="414" t="s">
        <v>3538</v>
      </c>
      <c r="E25" s="407" t="s">
        <v>7999</v>
      </c>
      <c r="F25" s="483" t="s">
        <v>2664</v>
      </c>
      <c r="G25" s="483" t="s">
        <v>2663</v>
      </c>
      <c r="H25" s="411" t="s">
        <v>2665</v>
      </c>
      <c r="I25" s="411"/>
      <c r="J25" s="411"/>
      <c r="K25" s="411"/>
      <c r="L25" s="608">
        <v>6494.9606299212601</v>
      </c>
      <c r="M25" s="409">
        <v>13778.500000000002</v>
      </c>
      <c r="N25" s="409">
        <v>20273.460629921261</v>
      </c>
      <c r="O25" s="410" t="s">
        <v>7814</v>
      </c>
      <c r="P25" s="406">
        <v>22</v>
      </c>
      <c r="Q25" s="470" t="s">
        <v>60</v>
      </c>
      <c r="R25" s="270" t="s">
        <v>59</v>
      </c>
      <c r="S25" s="270" t="s">
        <v>7</v>
      </c>
      <c r="U25" s="471"/>
      <c r="V25" s="471"/>
      <c r="W25" s="471" t="s">
        <v>61</v>
      </c>
      <c r="X25" s="473">
        <v>0</v>
      </c>
      <c r="Z25" s="270" t="s">
        <v>53</v>
      </c>
    </row>
    <row r="26" spans="1:26">
      <c r="A26" s="406">
        <v>23</v>
      </c>
      <c r="B26" s="613" t="s">
        <v>5840</v>
      </c>
      <c r="C26" s="288" t="s">
        <v>62</v>
      </c>
      <c r="D26" s="414" t="s">
        <v>3538</v>
      </c>
      <c r="E26" s="407" t="s">
        <v>7999</v>
      </c>
      <c r="F26" s="483" t="s">
        <v>2664</v>
      </c>
      <c r="G26" s="483" t="s">
        <v>2663</v>
      </c>
      <c r="H26" s="411" t="s">
        <v>2665</v>
      </c>
      <c r="I26" s="411"/>
      <c r="J26" s="411"/>
      <c r="K26" s="411"/>
      <c r="L26" s="608">
        <v>6494.9606299212601</v>
      </c>
      <c r="M26" s="409">
        <v>13778.500000000002</v>
      </c>
      <c r="N26" s="409">
        <v>20273.460629921261</v>
      </c>
      <c r="O26" s="410" t="s">
        <v>7814</v>
      </c>
      <c r="P26" s="406">
        <v>23</v>
      </c>
      <c r="Q26" s="470" t="s">
        <v>62</v>
      </c>
      <c r="R26" s="270" t="s">
        <v>61</v>
      </c>
      <c r="S26" s="270" t="s">
        <v>7</v>
      </c>
      <c r="U26" s="471"/>
      <c r="V26" s="471"/>
      <c r="W26" s="471" t="s">
        <v>63</v>
      </c>
      <c r="X26" s="471">
        <v>0</v>
      </c>
      <c r="Z26" s="270" t="s">
        <v>53</v>
      </c>
    </row>
    <row r="27" spans="1:26">
      <c r="A27" s="406">
        <v>24</v>
      </c>
      <c r="B27" s="613" t="s">
        <v>3113</v>
      </c>
      <c r="C27" s="288" t="s">
        <v>64</v>
      </c>
      <c r="D27" s="414" t="s">
        <v>3887</v>
      </c>
      <c r="E27" s="407" t="s">
        <v>8000</v>
      </c>
      <c r="F27" s="483"/>
      <c r="G27" s="483"/>
      <c r="H27" s="411"/>
      <c r="I27" s="411"/>
      <c r="J27" s="411"/>
      <c r="K27" s="411"/>
      <c r="L27" s="608" t="s">
        <v>4884</v>
      </c>
      <c r="M27" s="409">
        <v>5658.4566929133853</v>
      </c>
      <c r="N27" s="409">
        <v>5658.4566929133853</v>
      </c>
      <c r="O27" s="410" t="s">
        <v>7569</v>
      </c>
      <c r="P27" s="406">
        <v>24</v>
      </c>
      <c r="Q27" s="470" t="s">
        <v>64</v>
      </c>
      <c r="R27" s="270" t="s">
        <v>63</v>
      </c>
      <c r="S27" s="270" t="s">
        <v>32</v>
      </c>
      <c r="U27" s="471"/>
      <c r="V27" s="471">
        <v>1</v>
      </c>
      <c r="W27" s="471" t="s">
        <v>65</v>
      </c>
      <c r="X27" s="471">
        <v>0</v>
      </c>
    </row>
    <row r="28" spans="1:26">
      <c r="A28" s="406">
        <v>25</v>
      </c>
      <c r="B28" s="613" t="s">
        <v>3114</v>
      </c>
      <c r="C28" s="288" t="s">
        <v>66</v>
      </c>
      <c r="D28" s="414" t="s">
        <v>3862</v>
      </c>
      <c r="E28" s="407" t="s">
        <v>8001</v>
      </c>
      <c r="F28" s="483"/>
      <c r="G28" s="483"/>
      <c r="H28" s="411"/>
      <c r="I28" s="411"/>
      <c r="J28" s="411"/>
      <c r="K28" s="411"/>
      <c r="L28" s="608" t="s">
        <v>4884</v>
      </c>
      <c r="M28" s="409">
        <v>6900.8267716535438</v>
      </c>
      <c r="N28" s="409">
        <v>6900.8267716535438</v>
      </c>
      <c r="O28" s="410" t="s">
        <v>7574</v>
      </c>
      <c r="P28" s="406">
        <v>25</v>
      </c>
      <c r="Q28" s="470" t="s">
        <v>66</v>
      </c>
      <c r="R28" s="270" t="s">
        <v>65</v>
      </c>
      <c r="S28" s="270" t="s">
        <v>32</v>
      </c>
      <c r="U28" s="471"/>
      <c r="V28" s="471">
        <v>1</v>
      </c>
      <c r="W28" s="471"/>
      <c r="X28" s="471"/>
    </row>
    <row r="29" spans="1:26">
      <c r="A29" s="406">
        <v>26</v>
      </c>
      <c r="B29" s="613" t="s">
        <v>7020</v>
      </c>
      <c r="C29" s="288" t="s">
        <v>67</v>
      </c>
      <c r="D29" s="414" t="s">
        <v>4884</v>
      </c>
      <c r="E29" s="407"/>
      <c r="F29" s="483"/>
      <c r="G29" s="483"/>
      <c r="H29" s="411"/>
      <c r="I29" s="411"/>
      <c r="J29" s="411"/>
      <c r="K29" s="411"/>
      <c r="L29" s="608" t="s">
        <v>4884</v>
      </c>
      <c r="M29" s="409" t="s">
        <v>4884</v>
      </c>
      <c r="N29" s="409" t="s">
        <v>4884</v>
      </c>
      <c r="O29" s="410" t="s">
        <v>4884</v>
      </c>
      <c r="P29" s="406">
        <v>26</v>
      </c>
      <c r="Q29" s="470" t="s">
        <v>67</v>
      </c>
      <c r="R29" s="474" t="s">
        <v>68</v>
      </c>
      <c r="S29" s="270" t="s">
        <v>716</v>
      </c>
      <c r="U29" s="466">
        <v>0</v>
      </c>
      <c r="V29" s="471">
        <v>0</v>
      </c>
      <c r="W29" s="471"/>
      <c r="X29" s="471"/>
      <c r="Z29" s="270" t="s">
        <v>4886</v>
      </c>
    </row>
    <row r="30" spans="1:26">
      <c r="A30" s="406">
        <v>27</v>
      </c>
      <c r="B30" s="613" t="s">
        <v>7020</v>
      </c>
      <c r="C30" s="288" t="s">
        <v>69</v>
      </c>
      <c r="D30" s="414" t="s">
        <v>4884</v>
      </c>
      <c r="E30" s="407"/>
      <c r="F30" s="483"/>
      <c r="G30" s="483"/>
      <c r="H30" s="411"/>
      <c r="I30" s="411"/>
      <c r="J30" s="411"/>
      <c r="K30" s="411"/>
      <c r="L30" s="608" t="s">
        <v>4884</v>
      </c>
      <c r="M30" s="409" t="s">
        <v>4884</v>
      </c>
      <c r="N30" s="409" t="s">
        <v>4884</v>
      </c>
      <c r="O30" s="410" t="s">
        <v>4884</v>
      </c>
      <c r="P30" s="406">
        <v>27</v>
      </c>
      <c r="Q30" s="470" t="s">
        <v>69</v>
      </c>
      <c r="R30" s="475" t="s">
        <v>70</v>
      </c>
      <c r="S30" s="270" t="s">
        <v>716</v>
      </c>
      <c r="U30" s="471"/>
      <c r="V30" s="471">
        <v>0</v>
      </c>
      <c r="W30" s="471"/>
      <c r="X30" s="471"/>
      <c r="Z30" s="270" t="s">
        <v>4886</v>
      </c>
    </row>
    <row r="31" spans="1:26">
      <c r="A31" s="406">
        <v>28</v>
      </c>
      <c r="B31" s="613" t="s">
        <v>7020</v>
      </c>
      <c r="C31" s="288" t="s">
        <v>71</v>
      </c>
      <c r="D31" s="414" t="s">
        <v>4884</v>
      </c>
      <c r="E31" s="407"/>
      <c r="F31" s="483"/>
      <c r="G31" s="483"/>
      <c r="H31" s="411"/>
      <c r="I31" s="411"/>
      <c r="J31" s="411"/>
      <c r="K31" s="411"/>
      <c r="L31" s="608" t="s">
        <v>4884</v>
      </c>
      <c r="M31" s="409" t="s">
        <v>4884</v>
      </c>
      <c r="N31" s="409" t="s">
        <v>4884</v>
      </c>
      <c r="O31" s="410" t="s">
        <v>4884</v>
      </c>
      <c r="P31" s="406">
        <v>28</v>
      </c>
      <c r="Q31" s="470" t="s">
        <v>71</v>
      </c>
      <c r="R31" s="475" t="s">
        <v>72</v>
      </c>
      <c r="S31" s="270" t="s">
        <v>716</v>
      </c>
      <c r="U31" s="471"/>
      <c r="V31" s="471">
        <v>0</v>
      </c>
      <c r="W31" s="471"/>
      <c r="X31" s="471"/>
      <c r="Z31" s="270" t="s">
        <v>4886</v>
      </c>
    </row>
    <row r="32" spans="1:26">
      <c r="A32" s="406">
        <v>29</v>
      </c>
      <c r="B32" s="613" t="s">
        <v>6618</v>
      </c>
      <c r="C32" s="288" t="s">
        <v>73</v>
      </c>
      <c r="D32" s="414" t="s">
        <v>3915</v>
      </c>
      <c r="E32" s="407" t="s">
        <v>8002</v>
      </c>
      <c r="F32" s="483" t="s">
        <v>6654</v>
      </c>
      <c r="G32" s="483" t="s">
        <v>6653</v>
      </c>
      <c r="H32" s="411" t="s">
        <v>6655</v>
      </c>
      <c r="I32" s="411"/>
      <c r="J32" s="411"/>
      <c r="K32" s="411"/>
      <c r="L32" s="608">
        <v>9019.3700787401576</v>
      </c>
      <c r="M32" s="409">
        <v>12176.960629921261</v>
      </c>
      <c r="N32" s="409">
        <v>21196.330708661419</v>
      </c>
      <c r="O32" s="410" t="s">
        <v>7750</v>
      </c>
      <c r="P32" s="406">
        <v>29</v>
      </c>
      <c r="Q32" s="470" t="s">
        <v>73</v>
      </c>
      <c r="R32" s="460" t="s">
        <v>74</v>
      </c>
      <c r="S32" s="270" t="s">
        <v>32</v>
      </c>
      <c r="U32" s="471"/>
      <c r="V32" s="471">
        <v>1</v>
      </c>
      <c r="W32" s="471" t="s">
        <v>74</v>
      </c>
      <c r="X32" s="471">
        <v>0</v>
      </c>
    </row>
    <row r="33" spans="1:26">
      <c r="A33" s="406">
        <v>30</v>
      </c>
      <c r="B33" s="613" t="s">
        <v>6619</v>
      </c>
      <c r="C33" s="288" t="s">
        <v>75</v>
      </c>
      <c r="D33" s="414" t="s">
        <v>3908</v>
      </c>
      <c r="E33" s="407" t="s">
        <v>8003</v>
      </c>
      <c r="F33" s="483" t="s">
        <v>6657</v>
      </c>
      <c r="G33" s="483" t="s">
        <v>6656</v>
      </c>
      <c r="H33" s="411" t="s">
        <v>6658</v>
      </c>
      <c r="I33" s="411"/>
      <c r="J33" s="411"/>
      <c r="K33" s="411"/>
      <c r="L33" s="608">
        <v>9038.9448818897636</v>
      </c>
      <c r="M33" s="409">
        <v>12175.169291338583</v>
      </c>
      <c r="N33" s="409">
        <v>21214.11417322835</v>
      </c>
      <c r="O33" s="410" t="s">
        <v>7751</v>
      </c>
      <c r="P33" s="406">
        <v>30</v>
      </c>
      <c r="Q33" s="470" t="s">
        <v>75</v>
      </c>
      <c r="R33" s="460" t="s">
        <v>76</v>
      </c>
      <c r="S33" s="270" t="s">
        <v>32</v>
      </c>
      <c r="U33" s="471"/>
      <c r="V33" s="471">
        <v>1</v>
      </c>
      <c r="W33" s="471" t="s">
        <v>76</v>
      </c>
      <c r="X33" s="471">
        <v>0</v>
      </c>
    </row>
    <row r="34" spans="1:26">
      <c r="A34" s="406">
        <v>31</v>
      </c>
      <c r="B34" s="613" t="s">
        <v>6620</v>
      </c>
      <c r="C34" s="288" t="s">
        <v>77</v>
      </c>
      <c r="D34" s="414" t="s">
        <v>3901</v>
      </c>
      <c r="E34" s="407" t="s">
        <v>8004</v>
      </c>
      <c r="F34" s="483" t="s">
        <v>6639</v>
      </c>
      <c r="G34" s="483" t="s">
        <v>6647</v>
      </c>
      <c r="H34" s="411" t="s">
        <v>6645</v>
      </c>
      <c r="I34" s="411"/>
      <c r="J34" s="411"/>
      <c r="K34" s="411"/>
      <c r="L34" s="608">
        <v>9034.7283464566935</v>
      </c>
      <c r="M34" s="409">
        <v>12181.917322834646</v>
      </c>
      <c r="N34" s="409">
        <v>21216.645669291342</v>
      </c>
      <c r="O34" s="410" t="s">
        <v>7751</v>
      </c>
      <c r="P34" s="406">
        <v>31</v>
      </c>
      <c r="Q34" s="470" t="s">
        <v>77</v>
      </c>
      <c r="R34" s="460" t="s">
        <v>78</v>
      </c>
      <c r="S34" s="270" t="s">
        <v>32</v>
      </c>
      <c r="U34" s="471"/>
      <c r="V34" s="471">
        <v>1</v>
      </c>
      <c r="W34" s="471" t="s">
        <v>78</v>
      </c>
      <c r="X34" s="471">
        <v>0</v>
      </c>
    </row>
    <row r="35" spans="1:26">
      <c r="A35" s="406">
        <v>32</v>
      </c>
      <c r="B35" s="613" t="s">
        <v>6621</v>
      </c>
      <c r="C35" s="288" t="s">
        <v>79</v>
      </c>
      <c r="D35" s="414" t="s">
        <v>3910</v>
      </c>
      <c r="E35" s="407" t="s">
        <v>8005</v>
      </c>
      <c r="F35" s="483" t="s">
        <v>6660</v>
      </c>
      <c r="G35" s="483" t="s">
        <v>6659</v>
      </c>
      <c r="H35" s="411" t="s">
        <v>6662</v>
      </c>
      <c r="I35" s="411"/>
      <c r="J35" s="411"/>
      <c r="K35" s="411"/>
      <c r="L35" s="608">
        <v>9036</v>
      </c>
      <c r="M35" s="409">
        <v>12186.822834645669</v>
      </c>
      <c r="N35" s="409">
        <v>21222.822834645671</v>
      </c>
      <c r="O35" s="410" t="s">
        <v>7751</v>
      </c>
      <c r="P35" s="406">
        <v>32</v>
      </c>
      <c r="Q35" s="470" t="s">
        <v>79</v>
      </c>
      <c r="R35" s="460" t="s">
        <v>80</v>
      </c>
      <c r="S35" s="270" t="s">
        <v>32</v>
      </c>
      <c r="U35" s="471"/>
      <c r="V35" s="471">
        <v>1</v>
      </c>
      <c r="W35" s="471" t="s">
        <v>80</v>
      </c>
      <c r="X35" s="471">
        <v>0</v>
      </c>
    </row>
    <row r="36" spans="1:26">
      <c r="A36" s="406">
        <v>33</v>
      </c>
      <c r="B36" s="613" t="s">
        <v>6661</v>
      </c>
      <c r="C36" s="288" t="s">
        <v>81</v>
      </c>
      <c r="D36" s="414" t="s">
        <v>3903</v>
      </c>
      <c r="E36" s="407" t="s">
        <v>8006</v>
      </c>
      <c r="F36" s="483" t="s">
        <v>6768</v>
      </c>
      <c r="G36" s="483" t="s">
        <v>6674</v>
      </c>
      <c r="H36" s="411" t="s">
        <v>6638</v>
      </c>
      <c r="I36" s="411"/>
      <c r="J36" s="411"/>
      <c r="K36" s="411"/>
      <c r="L36" s="608">
        <v>9037.960629921261</v>
      </c>
      <c r="M36" s="409">
        <v>12192.822834645669</v>
      </c>
      <c r="N36" s="409">
        <v>21230.783464566928</v>
      </c>
      <c r="O36" s="410" t="s">
        <v>7751</v>
      </c>
      <c r="P36" s="406">
        <v>33</v>
      </c>
      <c r="Q36" s="470" t="s">
        <v>81</v>
      </c>
      <c r="R36" s="460" t="s">
        <v>4887</v>
      </c>
      <c r="S36" s="270" t="s">
        <v>32</v>
      </c>
      <c r="U36" s="471"/>
      <c r="V36" s="471">
        <v>1</v>
      </c>
      <c r="W36" s="471" t="s">
        <v>4887</v>
      </c>
      <c r="X36" s="471">
        <v>0</v>
      </c>
    </row>
    <row r="37" spans="1:26">
      <c r="A37" s="406">
        <v>34</v>
      </c>
      <c r="B37" s="613" t="s">
        <v>3115</v>
      </c>
      <c r="C37" s="288" t="s">
        <v>82</v>
      </c>
      <c r="D37" s="414" t="s">
        <v>3919</v>
      </c>
      <c r="E37" s="407" t="s">
        <v>8007</v>
      </c>
      <c r="F37" s="483"/>
      <c r="G37" s="483"/>
      <c r="H37" s="411"/>
      <c r="I37" s="411"/>
      <c r="J37" s="411"/>
      <c r="K37" s="411"/>
      <c r="L37" s="608" t="s">
        <v>4884</v>
      </c>
      <c r="M37" s="409">
        <v>4153.5866141732286</v>
      </c>
      <c r="N37" s="409">
        <v>4153.5866141732286</v>
      </c>
      <c r="O37" s="410" t="s">
        <v>7567</v>
      </c>
      <c r="P37" s="406">
        <v>34</v>
      </c>
      <c r="Q37" s="470" t="s">
        <v>82</v>
      </c>
      <c r="R37" s="460" t="s">
        <v>83</v>
      </c>
      <c r="S37" s="270" t="s">
        <v>32</v>
      </c>
      <c r="U37" s="471"/>
      <c r="V37" s="471">
        <v>1</v>
      </c>
      <c r="W37" s="471" t="s">
        <v>83</v>
      </c>
      <c r="X37" s="471">
        <v>0</v>
      </c>
    </row>
    <row r="38" spans="1:26">
      <c r="A38" s="406">
        <v>35</v>
      </c>
      <c r="B38" s="613" t="s">
        <v>3116</v>
      </c>
      <c r="C38" s="288" t="s">
        <v>84</v>
      </c>
      <c r="D38" s="414" t="s">
        <v>3922</v>
      </c>
      <c r="E38" s="407" t="s">
        <v>8008</v>
      </c>
      <c r="F38" s="483"/>
      <c r="G38" s="483"/>
      <c r="H38" s="411"/>
      <c r="I38" s="411"/>
      <c r="J38" s="411"/>
      <c r="K38" s="411"/>
      <c r="L38" s="608" t="s">
        <v>4884</v>
      </c>
      <c r="M38" s="409">
        <v>4012.9881889763783</v>
      </c>
      <c r="N38" s="409">
        <v>4012.9881889763783</v>
      </c>
      <c r="O38" s="410" t="s">
        <v>7567</v>
      </c>
      <c r="P38" s="406">
        <v>35</v>
      </c>
      <c r="Q38" s="470" t="s">
        <v>84</v>
      </c>
      <c r="R38" s="460" t="s">
        <v>85</v>
      </c>
      <c r="S38" s="270" t="s">
        <v>32</v>
      </c>
      <c r="U38" s="471"/>
      <c r="V38" s="471">
        <v>1</v>
      </c>
      <c r="W38" s="471" t="s">
        <v>85</v>
      </c>
      <c r="X38" s="471">
        <v>0</v>
      </c>
    </row>
    <row r="39" spans="1:26">
      <c r="A39" s="406">
        <v>36</v>
      </c>
      <c r="B39" s="613" t="s">
        <v>2960</v>
      </c>
      <c r="C39" s="288" t="s">
        <v>86</v>
      </c>
      <c r="D39" s="414" t="s">
        <v>3943</v>
      </c>
      <c r="E39" s="407" t="s">
        <v>8009</v>
      </c>
      <c r="F39" s="483" t="s">
        <v>2959</v>
      </c>
      <c r="G39" s="483" t="s">
        <v>2958</v>
      </c>
      <c r="H39" s="411" t="s">
        <v>2961</v>
      </c>
      <c r="I39" s="411"/>
      <c r="J39" s="411"/>
      <c r="K39" s="411"/>
      <c r="L39" s="608">
        <v>3991.964566929134</v>
      </c>
      <c r="M39" s="409">
        <v>1224.6496062992128</v>
      </c>
      <c r="N39" s="409">
        <v>5216.6141732283468</v>
      </c>
      <c r="O39" s="410" t="s">
        <v>7838</v>
      </c>
      <c r="P39" s="406">
        <v>36</v>
      </c>
      <c r="Q39" s="470" t="s">
        <v>86</v>
      </c>
      <c r="R39" s="476" t="s">
        <v>87</v>
      </c>
      <c r="S39" s="270" t="s">
        <v>32</v>
      </c>
      <c r="U39" s="466">
        <v>1</v>
      </c>
      <c r="V39" s="471"/>
      <c r="W39" s="471" t="s">
        <v>87</v>
      </c>
      <c r="X39" s="471">
        <v>0</v>
      </c>
    </row>
    <row r="40" spans="1:26">
      <c r="A40" s="406">
        <v>37</v>
      </c>
      <c r="B40" s="613" t="s">
        <v>2759</v>
      </c>
      <c r="C40" s="288" t="s">
        <v>88</v>
      </c>
      <c r="D40" s="414" t="s">
        <v>3659</v>
      </c>
      <c r="E40" s="407" t="s">
        <v>8010</v>
      </c>
      <c r="F40" s="483"/>
      <c r="G40" s="411"/>
      <c r="H40" s="411"/>
      <c r="I40" s="411"/>
      <c r="J40" s="411"/>
      <c r="K40" s="411"/>
      <c r="L40" s="608" t="s">
        <v>4884</v>
      </c>
      <c r="M40" s="409">
        <v>10379.251968503937</v>
      </c>
      <c r="N40" s="409">
        <v>10379.251968503937</v>
      </c>
      <c r="O40" s="410" t="s">
        <v>7572</v>
      </c>
      <c r="P40" s="406">
        <v>37</v>
      </c>
      <c r="Q40" s="470" t="s">
        <v>88</v>
      </c>
      <c r="R40" s="460" t="s">
        <v>89</v>
      </c>
      <c r="S40" s="270" t="s">
        <v>7</v>
      </c>
      <c r="U40" s="471"/>
      <c r="V40" s="471"/>
      <c r="W40" s="471" t="s">
        <v>89</v>
      </c>
      <c r="X40" s="471">
        <v>1</v>
      </c>
    </row>
    <row r="41" spans="1:26">
      <c r="A41" s="406">
        <v>38</v>
      </c>
      <c r="B41" s="613" t="s">
        <v>2668</v>
      </c>
      <c r="C41" s="288" t="s">
        <v>90</v>
      </c>
      <c r="D41" s="414" t="s">
        <v>3513</v>
      </c>
      <c r="E41" s="407" t="s">
        <v>8011</v>
      </c>
      <c r="F41" s="483" t="s">
        <v>2667</v>
      </c>
      <c r="G41" s="411" t="s">
        <v>2669</v>
      </c>
      <c r="H41" s="411"/>
      <c r="I41" s="411"/>
      <c r="J41" s="411"/>
      <c r="K41" s="411"/>
      <c r="L41" s="608">
        <v>5943.0511811023625</v>
      </c>
      <c r="M41" s="409">
        <v>13581.236220472441</v>
      </c>
      <c r="N41" s="409">
        <v>19524.287401574802</v>
      </c>
      <c r="O41" s="410" t="s">
        <v>7759</v>
      </c>
      <c r="P41" s="406">
        <v>38</v>
      </c>
      <c r="Q41" s="470" t="s">
        <v>90</v>
      </c>
      <c r="R41" s="460" t="s">
        <v>91</v>
      </c>
      <c r="S41" s="270" t="s">
        <v>7</v>
      </c>
      <c r="U41" s="471"/>
      <c r="V41" s="471"/>
      <c r="W41" s="471" t="s">
        <v>91</v>
      </c>
      <c r="X41" s="471">
        <v>1</v>
      </c>
      <c r="Z41" s="270" t="s">
        <v>92</v>
      </c>
    </row>
    <row r="42" spans="1:26">
      <c r="A42" s="406">
        <v>39</v>
      </c>
      <c r="B42" s="613" t="s">
        <v>2668</v>
      </c>
      <c r="C42" s="288" t="s">
        <v>93</v>
      </c>
      <c r="D42" s="414" t="s">
        <v>3513</v>
      </c>
      <c r="E42" s="407" t="s">
        <v>8011</v>
      </c>
      <c r="F42" s="483" t="s">
        <v>2667</v>
      </c>
      <c r="G42" s="411" t="s">
        <v>2669</v>
      </c>
      <c r="H42" s="411"/>
      <c r="I42" s="411"/>
      <c r="J42" s="411"/>
      <c r="K42" s="411"/>
      <c r="L42" s="608">
        <v>5943.0511811023625</v>
      </c>
      <c r="M42" s="409">
        <v>13581.236220472441</v>
      </c>
      <c r="N42" s="409">
        <v>19524.287401574802</v>
      </c>
      <c r="O42" s="410" t="s">
        <v>7759</v>
      </c>
      <c r="P42" s="406">
        <v>39</v>
      </c>
      <c r="Q42" s="470" t="s">
        <v>93</v>
      </c>
      <c r="R42" s="460" t="s">
        <v>94</v>
      </c>
      <c r="S42" s="270" t="s">
        <v>7</v>
      </c>
      <c r="U42" s="471"/>
      <c r="V42" s="471"/>
      <c r="W42" s="471" t="s">
        <v>94</v>
      </c>
      <c r="X42" s="473">
        <v>0</v>
      </c>
      <c r="Z42" s="270" t="s">
        <v>92</v>
      </c>
    </row>
    <row r="43" spans="1:26">
      <c r="A43" s="406">
        <v>40</v>
      </c>
      <c r="B43" s="613" t="s">
        <v>2668</v>
      </c>
      <c r="C43" s="288" t="s">
        <v>95</v>
      </c>
      <c r="D43" s="414" t="s">
        <v>3513</v>
      </c>
      <c r="E43" s="407" t="s">
        <v>8011</v>
      </c>
      <c r="F43" s="483" t="s">
        <v>2667</v>
      </c>
      <c r="G43" s="411" t="s">
        <v>2669</v>
      </c>
      <c r="H43" s="411"/>
      <c r="I43" s="411"/>
      <c r="J43" s="411"/>
      <c r="K43" s="411"/>
      <c r="L43" s="608">
        <v>5943.0511811023625</v>
      </c>
      <c r="M43" s="409">
        <v>13581.236220472441</v>
      </c>
      <c r="N43" s="409">
        <v>19524.287401574802</v>
      </c>
      <c r="O43" s="410" t="s">
        <v>7759</v>
      </c>
      <c r="P43" s="406">
        <v>40</v>
      </c>
      <c r="Q43" s="470" t="s">
        <v>95</v>
      </c>
      <c r="R43" s="460" t="s">
        <v>96</v>
      </c>
      <c r="S43" s="270" t="s">
        <v>7</v>
      </c>
      <c r="U43" s="471"/>
      <c r="V43" s="471"/>
      <c r="W43" s="471" t="s">
        <v>96</v>
      </c>
      <c r="X43" s="473">
        <v>0</v>
      </c>
      <c r="Z43" s="270" t="s">
        <v>92</v>
      </c>
    </row>
    <row r="44" spans="1:26">
      <c r="A44" s="406">
        <v>41</v>
      </c>
      <c r="B44" s="613" t="s">
        <v>2668</v>
      </c>
      <c r="C44" s="288" t="s">
        <v>97</v>
      </c>
      <c r="D44" s="414" t="s">
        <v>3513</v>
      </c>
      <c r="E44" s="407" t="s">
        <v>8011</v>
      </c>
      <c r="F44" s="483" t="s">
        <v>2667</v>
      </c>
      <c r="G44" s="411" t="s">
        <v>2669</v>
      </c>
      <c r="H44" s="411"/>
      <c r="I44" s="411"/>
      <c r="J44" s="411"/>
      <c r="K44" s="411"/>
      <c r="L44" s="608">
        <v>5943.0511811023625</v>
      </c>
      <c r="M44" s="409">
        <v>13581.236220472441</v>
      </c>
      <c r="N44" s="409">
        <v>19524.287401574802</v>
      </c>
      <c r="O44" s="410" t="s">
        <v>7759</v>
      </c>
      <c r="P44" s="406">
        <v>41</v>
      </c>
      <c r="Q44" s="470" t="s">
        <v>97</v>
      </c>
      <c r="R44" s="460" t="s">
        <v>98</v>
      </c>
      <c r="S44" s="270" t="s">
        <v>7</v>
      </c>
      <c r="U44" s="471"/>
      <c r="V44" s="471"/>
      <c r="W44" s="471" t="s">
        <v>98</v>
      </c>
      <c r="X44" s="473">
        <v>0</v>
      </c>
      <c r="Z44" s="270" t="s">
        <v>92</v>
      </c>
    </row>
    <row r="45" spans="1:26">
      <c r="A45" s="406">
        <v>42</v>
      </c>
      <c r="B45" s="613" t="s">
        <v>2672</v>
      </c>
      <c r="C45" s="288" t="s">
        <v>99</v>
      </c>
      <c r="D45" s="414" t="s">
        <v>3539</v>
      </c>
      <c r="E45" s="407" t="s">
        <v>8012</v>
      </c>
      <c r="F45" s="483" t="s">
        <v>2671</v>
      </c>
      <c r="G45" s="411" t="s">
        <v>2673</v>
      </c>
      <c r="H45" s="411"/>
      <c r="I45" s="411"/>
      <c r="J45" s="411"/>
      <c r="K45" s="411"/>
      <c r="L45" s="608">
        <v>5943.3976377952758</v>
      </c>
      <c r="M45" s="409">
        <v>13582.22440944882</v>
      </c>
      <c r="N45" s="409">
        <v>19525.622047244095</v>
      </c>
      <c r="O45" s="410" t="s">
        <v>7819</v>
      </c>
      <c r="P45" s="406">
        <v>42</v>
      </c>
      <c r="Q45" s="470" t="s">
        <v>99</v>
      </c>
      <c r="R45" s="460" t="s">
        <v>100</v>
      </c>
      <c r="S45" s="270" t="s">
        <v>7</v>
      </c>
      <c r="U45" s="471"/>
      <c r="V45" s="471"/>
      <c r="W45" s="471" t="s">
        <v>100</v>
      </c>
      <c r="X45" s="471">
        <v>1</v>
      </c>
      <c r="Z45" s="270" t="s">
        <v>101</v>
      </c>
    </row>
    <row r="46" spans="1:26">
      <c r="A46" s="406">
        <v>43</v>
      </c>
      <c r="B46" s="613" t="s">
        <v>2672</v>
      </c>
      <c r="C46" s="288" t="s">
        <v>102</v>
      </c>
      <c r="D46" s="414" t="s">
        <v>3539</v>
      </c>
      <c r="E46" s="407" t="s">
        <v>8012</v>
      </c>
      <c r="F46" s="483" t="s">
        <v>2671</v>
      </c>
      <c r="G46" s="411" t="s">
        <v>2673</v>
      </c>
      <c r="H46" s="411"/>
      <c r="I46" s="411"/>
      <c r="J46" s="411"/>
      <c r="K46" s="411"/>
      <c r="L46" s="608">
        <v>5943.3976377952758</v>
      </c>
      <c r="M46" s="409">
        <v>13582.22440944882</v>
      </c>
      <c r="N46" s="409">
        <v>19525.622047244095</v>
      </c>
      <c r="O46" s="410" t="s">
        <v>7819</v>
      </c>
      <c r="P46" s="406">
        <v>43</v>
      </c>
      <c r="Q46" s="470" t="s">
        <v>102</v>
      </c>
      <c r="R46" s="460" t="s">
        <v>103</v>
      </c>
      <c r="S46" s="270" t="s">
        <v>7</v>
      </c>
      <c r="U46" s="471"/>
      <c r="V46" s="471"/>
      <c r="W46" s="471" t="s">
        <v>103</v>
      </c>
      <c r="X46" s="473">
        <v>0</v>
      </c>
      <c r="Z46" s="270" t="s">
        <v>101</v>
      </c>
    </row>
    <row r="47" spans="1:26">
      <c r="A47" s="406">
        <v>44</v>
      </c>
      <c r="B47" s="613" t="s">
        <v>2672</v>
      </c>
      <c r="C47" s="288" t="s">
        <v>104</v>
      </c>
      <c r="D47" s="414" t="s">
        <v>3539</v>
      </c>
      <c r="E47" s="407" t="s">
        <v>8012</v>
      </c>
      <c r="F47" s="483" t="s">
        <v>2671</v>
      </c>
      <c r="G47" s="411" t="s">
        <v>2673</v>
      </c>
      <c r="H47" s="411"/>
      <c r="I47" s="411"/>
      <c r="J47" s="411"/>
      <c r="K47" s="411"/>
      <c r="L47" s="608">
        <v>5943.3976377952758</v>
      </c>
      <c r="M47" s="409">
        <v>13582.22440944882</v>
      </c>
      <c r="N47" s="409">
        <v>19525.622047244095</v>
      </c>
      <c r="O47" s="410" t="s">
        <v>7819</v>
      </c>
      <c r="P47" s="406">
        <v>44</v>
      </c>
      <c r="Q47" s="470" t="s">
        <v>104</v>
      </c>
      <c r="R47" s="460" t="s">
        <v>105</v>
      </c>
      <c r="S47" s="270" t="s">
        <v>7</v>
      </c>
      <c r="U47" s="471"/>
      <c r="V47" s="471"/>
      <c r="W47" s="471" t="s">
        <v>105</v>
      </c>
      <c r="X47" s="473">
        <v>0</v>
      </c>
      <c r="Z47" s="270" t="s">
        <v>101</v>
      </c>
    </row>
    <row r="48" spans="1:26">
      <c r="A48" s="406">
        <v>45</v>
      </c>
      <c r="B48" s="613" t="s">
        <v>2672</v>
      </c>
      <c r="C48" s="288" t="s">
        <v>106</v>
      </c>
      <c r="D48" s="414" t="s">
        <v>3539</v>
      </c>
      <c r="E48" s="407" t="s">
        <v>8012</v>
      </c>
      <c r="F48" s="483" t="s">
        <v>2671</v>
      </c>
      <c r="G48" s="411" t="s">
        <v>2673</v>
      </c>
      <c r="H48" s="411"/>
      <c r="I48" s="411"/>
      <c r="J48" s="411"/>
      <c r="K48" s="411"/>
      <c r="L48" s="608">
        <v>5943.3976377952758</v>
      </c>
      <c r="M48" s="409">
        <v>13582.22440944882</v>
      </c>
      <c r="N48" s="409">
        <v>19525.622047244095</v>
      </c>
      <c r="O48" s="410" t="s">
        <v>7819</v>
      </c>
      <c r="P48" s="406">
        <v>45</v>
      </c>
      <c r="Q48" s="470" t="s">
        <v>106</v>
      </c>
      <c r="R48" s="460" t="s">
        <v>107</v>
      </c>
      <c r="S48" s="270" t="s">
        <v>7</v>
      </c>
      <c r="U48" s="471"/>
      <c r="V48" s="471"/>
      <c r="W48" s="471" t="s">
        <v>107</v>
      </c>
      <c r="X48" s="473">
        <v>0</v>
      </c>
      <c r="Z48" s="270" t="s">
        <v>101</v>
      </c>
    </row>
    <row r="49" spans="1:26">
      <c r="A49" s="406">
        <v>46</v>
      </c>
      <c r="B49" s="613" t="s">
        <v>7020</v>
      </c>
      <c r="C49" s="288" t="s">
        <v>108</v>
      </c>
      <c r="D49" s="414" t="s">
        <v>4884</v>
      </c>
      <c r="E49" s="407"/>
      <c r="F49" s="483" t="s">
        <v>3159</v>
      </c>
      <c r="G49" s="411"/>
      <c r="H49" s="411"/>
      <c r="I49" s="411"/>
      <c r="J49" s="411"/>
      <c r="K49" s="411"/>
      <c r="L49" s="608" t="s">
        <v>4884</v>
      </c>
      <c r="M49" s="409" t="s">
        <v>4884</v>
      </c>
      <c r="N49" s="409" t="s">
        <v>4884</v>
      </c>
      <c r="O49" s="410" t="s">
        <v>4884</v>
      </c>
      <c r="P49" s="406">
        <v>46</v>
      </c>
      <c r="Q49" s="470" t="s">
        <v>108</v>
      </c>
      <c r="R49" s="460" t="s">
        <v>109</v>
      </c>
      <c r="S49" s="270" t="s">
        <v>7</v>
      </c>
      <c r="U49" s="471"/>
      <c r="V49" s="471"/>
      <c r="W49" s="471" t="s">
        <v>109</v>
      </c>
      <c r="X49" s="471">
        <v>0</v>
      </c>
    </row>
    <row r="50" spans="1:26">
      <c r="A50" s="406">
        <v>47</v>
      </c>
      <c r="B50" s="613" t="s">
        <v>2676</v>
      </c>
      <c r="C50" s="288" t="s">
        <v>110</v>
      </c>
      <c r="D50" s="414" t="s">
        <v>3585</v>
      </c>
      <c r="E50" s="407" t="s">
        <v>8013</v>
      </c>
      <c r="F50" s="483" t="s">
        <v>2675</v>
      </c>
      <c r="G50" s="411" t="s">
        <v>2677</v>
      </c>
      <c r="H50" s="411"/>
      <c r="I50" s="411"/>
      <c r="J50" s="411"/>
      <c r="K50" s="411"/>
      <c r="L50" s="608">
        <v>7873.854330708662</v>
      </c>
      <c r="M50" s="409">
        <v>13109.248031496063</v>
      </c>
      <c r="N50" s="409">
        <v>20983.102362204729</v>
      </c>
      <c r="O50" s="410" t="s">
        <v>7820</v>
      </c>
      <c r="P50" s="406">
        <v>47</v>
      </c>
      <c r="Q50" s="470" t="s">
        <v>110</v>
      </c>
      <c r="R50" s="460" t="s">
        <v>111</v>
      </c>
      <c r="S50" s="270" t="s">
        <v>7</v>
      </c>
      <c r="U50" s="471"/>
      <c r="V50" s="471"/>
      <c r="W50" s="471" t="s">
        <v>111</v>
      </c>
      <c r="X50" s="471">
        <v>1</v>
      </c>
      <c r="Z50" s="270" t="s">
        <v>112</v>
      </c>
    </row>
    <row r="51" spans="1:26">
      <c r="A51" s="406">
        <v>48</v>
      </c>
      <c r="B51" s="613" t="s">
        <v>2680</v>
      </c>
      <c r="C51" s="288" t="s">
        <v>113</v>
      </c>
      <c r="D51" s="414" t="s">
        <v>3588</v>
      </c>
      <c r="E51" s="407" t="s">
        <v>8014</v>
      </c>
      <c r="F51" s="483" t="s">
        <v>2679</v>
      </c>
      <c r="G51" s="411" t="s">
        <v>2681</v>
      </c>
      <c r="H51" s="411"/>
      <c r="I51" s="411"/>
      <c r="J51" s="411"/>
      <c r="K51" s="411"/>
      <c r="L51" s="608">
        <v>7439.8385826771655</v>
      </c>
      <c r="M51" s="409">
        <v>13109.169291338583</v>
      </c>
      <c r="N51" s="409">
        <v>20549.007874015748</v>
      </c>
      <c r="O51" s="410" t="s">
        <v>7820</v>
      </c>
      <c r="P51" s="406">
        <v>48</v>
      </c>
      <c r="Q51" s="470" t="s">
        <v>113</v>
      </c>
      <c r="R51" s="460" t="s">
        <v>114</v>
      </c>
      <c r="S51" s="270" t="s">
        <v>7</v>
      </c>
      <c r="U51" s="471"/>
      <c r="V51" s="471"/>
      <c r="W51" s="471" t="s">
        <v>114</v>
      </c>
      <c r="X51" s="471">
        <v>1</v>
      </c>
      <c r="Z51" s="270" t="s">
        <v>115</v>
      </c>
    </row>
    <row r="52" spans="1:26">
      <c r="A52" s="406">
        <v>49</v>
      </c>
      <c r="B52" s="613" t="s">
        <v>2684</v>
      </c>
      <c r="C52" s="288" t="s">
        <v>116</v>
      </c>
      <c r="D52" s="414" t="s">
        <v>3644</v>
      </c>
      <c r="E52" s="407" t="s">
        <v>8015</v>
      </c>
      <c r="F52" s="483" t="s">
        <v>2683</v>
      </c>
      <c r="G52" s="411" t="s">
        <v>2685</v>
      </c>
      <c r="H52" s="411"/>
      <c r="I52" s="411"/>
      <c r="J52" s="411"/>
      <c r="K52" s="411"/>
      <c r="L52" s="608">
        <v>5669.1338582677172</v>
      </c>
      <c r="M52" s="409">
        <v>13109.98031496063</v>
      </c>
      <c r="N52" s="409">
        <v>18779.114173228347</v>
      </c>
      <c r="O52" s="410" t="s">
        <v>7817</v>
      </c>
      <c r="P52" s="406">
        <v>49</v>
      </c>
      <c r="Q52" s="470" t="s">
        <v>116</v>
      </c>
      <c r="R52" s="460" t="s">
        <v>117</v>
      </c>
      <c r="S52" s="270" t="s">
        <v>7</v>
      </c>
      <c r="U52" s="471"/>
      <c r="V52" s="471"/>
      <c r="W52" s="471" t="s">
        <v>117</v>
      </c>
      <c r="X52" s="471">
        <v>1</v>
      </c>
      <c r="Z52" s="270" t="s">
        <v>118</v>
      </c>
    </row>
    <row r="53" spans="1:26">
      <c r="A53" s="406">
        <v>50</v>
      </c>
      <c r="B53" s="613" t="s">
        <v>2688</v>
      </c>
      <c r="C53" s="288" t="s">
        <v>119</v>
      </c>
      <c r="D53" s="414" t="s">
        <v>3630</v>
      </c>
      <c r="E53" s="407" t="s">
        <v>8016</v>
      </c>
      <c r="F53" s="483" t="s">
        <v>2687</v>
      </c>
      <c r="G53" s="411" t="s">
        <v>2689</v>
      </c>
      <c r="H53" s="411"/>
      <c r="I53" s="411"/>
      <c r="J53" s="411"/>
      <c r="K53" s="411"/>
      <c r="L53" s="608">
        <v>4920.6181102362207</v>
      </c>
      <c r="M53" s="409">
        <v>13108.759842519685</v>
      </c>
      <c r="N53" s="409">
        <v>18029.377952755905</v>
      </c>
      <c r="O53" s="410" t="s">
        <v>7816</v>
      </c>
      <c r="P53" s="406">
        <v>50</v>
      </c>
      <c r="Q53" s="470" t="s">
        <v>119</v>
      </c>
      <c r="R53" s="460" t="s">
        <v>120</v>
      </c>
      <c r="S53" s="270" t="s">
        <v>7</v>
      </c>
      <c r="U53" s="471"/>
      <c r="V53" s="471"/>
      <c r="W53" s="471" t="s">
        <v>120</v>
      </c>
      <c r="X53" s="471">
        <v>1</v>
      </c>
      <c r="Z53" s="270" t="s">
        <v>121</v>
      </c>
    </row>
    <row r="54" spans="1:26">
      <c r="A54" s="406">
        <v>51</v>
      </c>
      <c r="B54" s="613" t="s">
        <v>2684</v>
      </c>
      <c r="C54" s="288" t="s">
        <v>122</v>
      </c>
      <c r="D54" s="414" t="s">
        <v>3644</v>
      </c>
      <c r="E54" s="407" t="s">
        <v>8015</v>
      </c>
      <c r="F54" s="483" t="s">
        <v>2683</v>
      </c>
      <c r="G54" s="411" t="s">
        <v>2685</v>
      </c>
      <c r="H54" s="411"/>
      <c r="I54" s="411"/>
      <c r="J54" s="411"/>
      <c r="K54" s="411"/>
      <c r="L54" s="608">
        <v>5669.1338582677172</v>
      </c>
      <c r="M54" s="409">
        <v>13109.98031496063</v>
      </c>
      <c r="N54" s="409">
        <v>18779.114173228347</v>
      </c>
      <c r="O54" s="410" t="s">
        <v>7817</v>
      </c>
      <c r="P54" s="406">
        <v>51</v>
      </c>
      <c r="Q54" s="470" t="s">
        <v>122</v>
      </c>
      <c r="R54" s="460" t="s">
        <v>123</v>
      </c>
      <c r="S54" s="270" t="s">
        <v>7</v>
      </c>
      <c r="U54" s="471"/>
      <c r="V54" s="471"/>
      <c r="W54" s="471" t="s">
        <v>123</v>
      </c>
      <c r="X54" s="471">
        <v>0</v>
      </c>
      <c r="Z54" s="270" t="s">
        <v>118</v>
      </c>
    </row>
    <row r="55" spans="1:26">
      <c r="A55" s="406">
        <v>52</v>
      </c>
      <c r="B55" s="613" t="s">
        <v>2688</v>
      </c>
      <c r="C55" s="288" t="s">
        <v>124</v>
      </c>
      <c r="D55" s="414" t="s">
        <v>3630</v>
      </c>
      <c r="E55" s="407" t="s">
        <v>8016</v>
      </c>
      <c r="F55" s="483" t="s">
        <v>2687</v>
      </c>
      <c r="G55" s="411" t="s">
        <v>2689</v>
      </c>
      <c r="H55" s="411"/>
      <c r="I55" s="411"/>
      <c r="J55" s="411"/>
      <c r="K55" s="411"/>
      <c r="L55" s="608">
        <v>4920.6181102362207</v>
      </c>
      <c r="M55" s="409">
        <v>13108.759842519685</v>
      </c>
      <c r="N55" s="409">
        <v>18029.377952755905</v>
      </c>
      <c r="O55" s="410" t="s">
        <v>7816</v>
      </c>
      <c r="P55" s="406">
        <v>52</v>
      </c>
      <c r="Q55" s="470" t="s">
        <v>124</v>
      </c>
      <c r="R55" s="460" t="s">
        <v>125</v>
      </c>
      <c r="S55" s="270" t="s">
        <v>7</v>
      </c>
      <c r="U55" s="471"/>
      <c r="V55" s="471"/>
      <c r="W55" s="471" t="s">
        <v>125</v>
      </c>
      <c r="X55" s="471">
        <v>0</v>
      </c>
      <c r="Z55" s="270" t="s">
        <v>121</v>
      </c>
    </row>
    <row r="56" spans="1:26">
      <c r="A56" s="406">
        <v>53</v>
      </c>
      <c r="B56" s="613" t="s">
        <v>2676</v>
      </c>
      <c r="C56" s="288" t="s">
        <v>126</v>
      </c>
      <c r="D56" s="414" t="s">
        <v>3585</v>
      </c>
      <c r="E56" s="407" t="s">
        <v>8013</v>
      </c>
      <c r="F56" s="483" t="s">
        <v>2675</v>
      </c>
      <c r="G56" s="411" t="s">
        <v>2677</v>
      </c>
      <c r="H56" s="411"/>
      <c r="I56" s="411"/>
      <c r="J56" s="411"/>
      <c r="K56" s="411"/>
      <c r="L56" s="608">
        <v>7873.854330708662</v>
      </c>
      <c r="M56" s="409">
        <v>13109.248031496063</v>
      </c>
      <c r="N56" s="409">
        <v>20983.102362204729</v>
      </c>
      <c r="O56" s="410" t="s">
        <v>7820</v>
      </c>
      <c r="P56" s="406">
        <v>53</v>
      </c>
      <c r="Q56" s="470" t="s">
        <v>126</v>
      </c>
      <c r="R56" s="460" t="s">
        <v>127</v>
      </c>
      <c r="S56" s="270" t="s">
        <v>7</v>
      </c>
      <c r="U56" s="471"/>
      <c r="V56" s="471"/>
      <c r="W56" s="471" t="s">
        <v>127</v>
      </c>
      <c r="X56" s="471">
        <v>0</v>
      </c>
      <c r="Z56" s="270" t="s">
        <v>112</v>
      </c>
    </row>
    <row r="57" spans="1:26">
      <c r="A57" s="406">
        <v>54</v>
      </c>
      <c r="B57" s="613" t="s">
        <v>2680</v>
      </c>
      <c r="C57" s="288" t="s">
        <v>128</v>
      </c>
      <c r="D57" s="414" t="s">
        <v>3588</v>
      </c>
      <c r="E57" s="407" t="s">
        <v>8014</v>
      </c>
      <c r="F57" s="483" t="s">
        <v>2679</v>
      </c>
      <c r="G57" s="411" t="s">
        <v>2681</v>
      </c>
      <c r="H57" s="411"/>
      <c r="I57" s="411"/>
      <c r="J57" s="411"/>
      <c r="K57" s="411"/>
      <c r="L57" s="608">
        <v>7439.8385826771655</v>
      </c>
      <c r="M57" s="409">
        <v>13109.169291338583</v>
      </c>
      <c r="N57" s="409">
        <v>20549.007874015748</v>
      </c>
      <c r="O57" s="410" t="s">
        <v>7820</v>
      </c>
      <c r="P57" s="406">
        <v>54</v>
      </c>
      <c r="Q57" s="470" t="s">
        <v>128</v>
      </c>
      <c r="R57" s="460" t="s">
        <v>129</v>
      </c>
      <c r="S57" s="270" t="s">
        <v>7</v>
      </c>
      <c r="U57" s="471"/>
      <c r="V57" s="471"/>
      <c r="W57" s="471" t="s">
        <v>129</v>
      </c>
      <c r="X57" s="471">
        <v>0</v>
      </c>
      <c r="Z57" s="270" t="s">
        <v>115</v>
      </c>
    </row>
    <row r="58" spans="1:26">
      <c r="A58" s="406">
        <v>55</v>
      </c>
      <c r="B58" s="613" t="s">
        <v>2684</v>
      </c>
      <c r="C58" s="288" t="s">
        <v>130</v>
      </c>
      <c r="D58" s="414" t="s">
        <v>3644</v>
      </c>
      <c r="E58" s="407" t="s">
        <v>8015</v>
      </c>
      <c r="F58" s="483" t="s">
        <v>2683</v>
      </c>
      <c r="G58" s="411" t="s">
        <v>2685</v>
      </c>
      <c r="H58" s="411"/>
      <c r="I58" s="411"/>
      <c r="J58" s="411"/>
      <c r="K58" s="411"/>
      <c r="L58" s="608">
        <v>5669.1338582677172</v>
      </c>
      <c r="M58" s="409">
        <v>13109.98031496063</v>
      </c>
      <c r="N58" s="409">
        <v>18779.114173228347</v>
      </c>
      <c r="O58" s="410" t="s">
        <v>7817</v>
      </c>
      <c r="P58" s="406">
        <v>55</v>
      </c>
      <c r="Q58" s="470" t="s">
        <v>130</v>
      </c>
      <c r="R58" s="460" t="s">
        <v>131</v>
      </c>
      <c r="S58" s="270" t="s">
        <v>7</v>
      </c>
      <c r="U58" s="471"/>
      <c r="V58" s="471"/>
      <c r="W58" s="471" t="s">
        <v>131</v>
      </c>
      <c r="X58" s="471">
        <v>0</v>
      </c>
      <c r="Z58" s="270" t="s">
        <v>118</v>
      </c>
    </row>
    <row r="59" spans="1:26">
      <c r="A59" s="406">
        <v>56</v>
      </c>
      <c r="B59" s="613" t="s">
        <v>2688</v>
      </c>
      <c r="C59" s="288" t="s">
        <v>132</v>
      </c>
      <c r="D59" s="414" t="s">
        <v>3630</v>
      </c>
      <c r="E59" s="407" t="s">
        <v>8016</v>
      </c>
      <c r="F59" s="483" t="s">
        <v>2687</v>
      </c>
      <c r="G59" s="411" t="s">
        <v>2689</v>
      </c>
      <c r="H59" s="411"/>
      <c r="I59" s="411"/>
      <c r="J59" s="411"/>
      <c r="K59" s="411"/>
      <c r="L59" s="608">
        <v>4920.6181102362207</v>
      </c>
      <c r="M59" s="409">
        <v>13108.759842519685</v>
      </c>
      <c r="N59" s="409">
        <v>18029.377952755905</v>
      </c>
      <c r="O59" s="410" t="s">
        <v>7816</v>
      </c>
      <c r="P59" s="406">
        <v>56</v>
      </c>
      <c r="Q59" s="470" t="s">
        <v>132</v>
      </c>
      <c r="R59" s="460" t="s">
        <v>133</v>
      </c>
      <c r="S59" s="270" t="s">
        <v>7</v>
      </c>
      <c r="U59" s="471"/>
      <c r="V59" s="471"/>
      <c r="W59" s="471" t="s">
        <v>133</v>
      </c>
      <c r="X59" s="471">
        <v>0</v>
      </c>
      <c r="Z59" s="270" t="s">
        <v>121</v>
      </c>
    </row>
    <row r="60" spans="1:26">
      <c r="A60" s="406">
        <v>57</v>
      </c>
      <c r="B60" s="613" t="s">
        <v>2676</v>
      </c>
      <c r="C60" s="288" t="s">
        <v>134</v>
      </c>
      <c r="D60" s="414" t="s">
        <v>3585</v>
      </c>
      <c r="E60" s="407" t="s">
        <v>8013</v>
      </c>
      <c r="F60" s="483" t="s">
        <v>2675</v>
      </c>
      <c r="G60" s="411" t="s">
        <v>2677</v>
      </c>
      <c r="H60" s="411"/>
      <c r="I60" s="411"/>
      <c r="J60" s="411"/>
      <c r="K60" s="411"/>
      <c r="L60" s="608">
        <v>7873.854330708662</v>
      </c>
      <c r="M60" s="409">
        <v>13109.248031496063</v>
      </c>
      <c r="N60" s="409">
        <v>20983.102362204729</v>
      </c>
      <c r="O60" s="410" t="s">
        <v>7820</v>
      </c>
      <c r="P60" s="406">
        <v>57</v>
      </c>
      <c r="Q60" s="470" t="s">
        <v>134</v>
      </c>
      <c r="R60" s="460" t="s">
        <v>135</v>
      </c>
      <c r="S60" s="270" t="s">
        <v>7</v>
      </c>
      <c r="U60" s="471"/>
      <c r="V60" s="471"/>
      <c r="W60" s="471" t="s">
        <v>135</v>
      </c>
      <c r="X60" s="471">
        <v>0</v>
      </c>
      <c r="Z60" s="270" t="s">
        <v>112</v>
      </c>
    </row>
    <row r="61" spans="1:26">
      <c r="A61" s="406">
        <v>58</v>
      </c>
      <c r="B61" s="613" t="s">
        <v>2680</v>
      </c>
      <c r="C61" s="288" t="s">
        <v>136</v>
      </c>
      <c r="D61" s="414" t="s">
        <v>3588</v>
      </c>
      <c r="E61" s="407" t="s">
        <v>8014</v>
      </c>
      <c r="F61" s="483" t="s">
        <v>2679</v>
      </c>
      <c r="G61" s="411" t="s">
        <v>2681</v>
      </c>
      <c r="H61" s="411"/>
      <c r="I61" s="411"/>
      <c r="J61" s="411"/>
      <c r="K61" s="411"/>
      <c r="L61" s="608">
        <v>7439.8385826771655</v>
      </c>
      <c r="M61" s="409">
        <v>13109.169291338583</v>
      </c>
      <c r="N61" s="409">
        <v>20549.007874015748</v>
      </c>
      <c r="O61" s="410" t="s">
        <v>7820</v>
      </c>
      <c r="P61" s="406">
        <v>58</v>
      </c>
      <c r="Q61" s="470" t="s">
        <v>136</v>
      </c>
      <c r="R61" s="460" t="s">
        <v>137</v>
      </c>
      <c r="S61" s="270" t="s">
        <v>7</v>
      </c>
      <c r="U61" s="471"/>
      <c r="V61" s="471"/>
      <c r="W61" s="471" t="s">
        <v>137</v>
      </c>
      <c r="X61" s="471">
        <v>0</v>
      </c>
      <c r="Z61" s="270" t="s">
        <v>115</v>
      </c>
    </row>
    <row r="62" spans="1:26">
      <c r="A62" s="406">
        <v>59</v>
      </c>
      <c r="B62" s="613" t="s">
        <v>2704</v>
      </c>
      <c r="C62" s="288" t="s">
        <v>138</v>
      </c>
      <c r="D62" s="414" t="s">
        <v>3584</v>
      </c>
      <c r="E62" s="407" t="s">
        <v>8017</v>
      </c>
      <c r="F62" s="483" t="s">
        <v>2703</v>
      </c>
      <c r="G62" s="411" t="s">
        <v>2705</v>
      </c>
      <c r="H62" s="411"/>
      <c r="I62" s="411"/>
      <c r="J62" s="411"/>
      <c r="K62" s="411"/>
      <c r="L62" s="608">
        <v>7873.1377952755911</v>
      </c>
      <c r="M62" s="409">
        <v>13108.417322834646</v>
      </c>
      <c r="N62" s="409">
        <v>20981.555118110238</v>
      </c>
      <c r="O62" s="410" t="s">
        <v>7751</v>
      </c>
      <c r="P62" s="406">
        <v>59</v>
      </c>
      <c r="Q62" s="470" t="s">
        <v>138</v>
      </c>
      <c r="R62" s="460" t="s">
        <v>139</v>
      </c>
      <c r="S62" s="270" t="s">
        <v>7</v>
      </c>
      <c r="U62" s="471"/>
      <c r="V62" s="471"/>
      <c r="W62" s="471" t="s">
        <v>139</v>
      </c>
      <c r="X62" s="471">
        <v>1</v>
      </c>
      <c r="Z62" s="270" t="s">
        <v>112</v>
      </c>
    </row>
    <row r="63" spans="1:26">
      <c r="A63" s="406">
        <v>60</v>
      </c>
      <c r="B63" s="613" t="s">
        <v>2692</v>
      </c>
      <c r="C63" s="288" t="s">
        <v>140</v>
      </c>
      <c r="D63" s="414" t="s">
        <v>3497</v>
      </c>
      <c r="E63" s="407" t="s">
        <v>8018</v>
      </c>
      <c r="F63" s="483" t="s">
        <v>2691</v>
      </c>
      <c r="G63" s="411" t="s">
        <v>2693</v>
      </c>
      <c r="H63" s="411"/>
      <c r="I63" s="411"/>
      <c r="J63" s="411"/>
      <c r="K63" s="411"/>
      <c r="L63" s="608">
        <v>7439.9251968503941</v>
      </c>
      <c r="M63" s="409">
        <v>13109.169291338583</v>
      </c>
      <c r="N63" s="409">
        <v>20549.094488188977</v>
      </c>
      <c r="O63" s="410" t="s">
        <v>7805</v>
      </c>
      <c r="P63" s="406">
        <v>60</v>
      </c>
      <c r="Q63" s="470" t="s">
        <v>140</v>
      </c>
      <c r="R63" s="460" t="s">
        <v>141</v>
      </c>
      <c r="S63" s="270" t="s">
        <v>7</v>
      </c>
      <c r="U63" s="471"/>
      <c r="V63" s="471"/>
      <c r="W63" s="471" t="s">
        <v>141</v>
      </c>
      <c r="X63" s="471">
        <v>1</v>
      </c>
      <c r="Z63" s="270" t="s">
        <v>115</v>
      </c>
    </row>
    <row r="64" spans="1:26">
      <c r="A64" s="406">
        <v>61</v>
      </c>
      <c r="B64" s="613" t="s">
        <v>2696</v>
      </c>
      <c r="C64" s="288" t="s">
        <v>142</v>
      </c>
      <c r="D64" s="414" t="s">
        <v>3552</v>
      </c>
      <c r="E64" s="407" t="s">
        <v>8019</v>
      </c>
      <c r="F64" s="483" t="s">
        <v>2695</v>
      </c>
      <c r="G64" s="411" t="s">
        <v>2697</v>
      </c>
      <c r="H64" s="411"/>
      <c r="I64" s="411"/>
      <c r="J64" s="411"/>
      <c r="K64" s="411"/>
      <c r="L64" s="608">
        <v>5667.8622047244089</v>
      </c>
      <c r="M64" s="409">
        <v>13109.259842519685</v>
      </c>
      <c r="N64" s="409">
        <v>18777.122047244095</v>
      </c>
      <c r="O64" s="410" t="s">
        <v>7784</v>
      </c>
      <c r="P64" s="406">
        <v>61</v>
      </c>
      <c r="Q64" s="470" t="s">
        <v>142</v>
      </c>
      <c r="R64" s="460" t="s">
        <v>143</v>
      </c>
      <c r="S64" s="270" t="s">
        <v>7</v>
      </c>
      <c r="U64" s="471"/>
      <c r="V64" s="471"/>
      <c r="W64" s="471" t="s">
        <v>143</v>
      </c>
      <c r="X64" s="471">
        <v>1</v>
      </c>
      <c r="Z64" s="270" t="s">
        <v>118</v>
      </c>
    </row>
    <row r="65" spans="1:26">
      <c r="A65" s="406">
        <v>62</v>
      </c>
      <c r="B65" s="613" t="s">
        <v>2700</v>
      </c>
      <c r="C65" s="288" t="s">
        <v>144</v>
      </c>
      <c r="D65" s="414" t="s">
        <v>3609</v>
      </c>
      <c r="E65" s="407" t="s">
        <v>8020</v>
      </c>
      <c r="F65" s="483" t="s">
        <v>2699</v>
      </c>
      <c r="G65" s="411" t="s">
        <v>2701</v>
      </c>
      <c r="H65" s="411"/>
      <c r="I65" s="411"/>
      <c r="J65" s="411"/>
      <c r="K65" s="411"/>
      <c r="L65" s="608">
        <v>4920.8267716535438</v>
      </c>
      <c r="M65" s="409">
        <v>13109.582677165356</v>
      </c>
      <c r="N65" s="409">
        <v>18030.409448818897</v>
      </c>
      <c r="O65" s="410" t="s">
        <v>7751</v>
      </c>
      <c r="P65" s="406">
        <v>62</v>
      </c>
      <c r="Q65" s="470" t="s">
        <v>144</v>
      </c>
      <c r="R65" s="460" t="s">
        <v>145</v>
      </c>
      <c r="S65" s="270" t="s">
        <v>7</v>
      </c>
      <c r="U65" s="471"/>
      <c r="V65" s="471"/>
      <c r="W65" s="471" t="s">
        <v>145</v>
      </c>
      <c r="X65" s="471">
        <v>1</v>
      </c>
      <c r="Z65" s="270" t="s">
        <v>121</v>
      </c>
    </row>
    <row r="66" spans="1:26">
      <c r="A66" s="406">
        <v>63</v>
      </c>
      <c r="B66" s="613" t="s">
        <v>2696</v>
      </c>
      <c r="C66" s="288" t="s">
        <v>146</v>
      </c>
      <c r="D66" s="414" t="s">
        <v>3552</v>
      </c>
      <c r="E66" s="407" t="s">
        <v>8019</v>
      </c>
      <c r="F66" s="483" t="s">
        <v>2695</v>
      </c>
      <c r="G66" s="411" t="s">
        <v>2697</v>
      </c>
      <c r="H66" s="411"/>
      <c r="I66" s="411"/>
      <c r="J66" s="411"/>
      <c r="K66" s="411"/>
      <c r="L66" s="608">
        <v>5667.8622047244089</v>
      </c>
      <c r="M66" s="409">
        <v>13109.259842519685</v>
      </c>
      <c r="N66" s="409">
        <v>18777.122047244095</v>
      </c>
      <c r="O66" s="410" t="s">
        <v>7784</v>
      </c>
      <c r="P66" s="406">
        <v>63</v>
      </c>
      <c r="Q66" s="470" t="s">
        <v>146</v>
      </c>
      <c r="R66" s="460" t="s">
        <v>147</v>
      </c>
      <c r="S66" s="270" t="s">
        <v>7</v>
      </c>
      <c r="U66" s="471"/>
      <c r="V66" s="471"/>
      <c r="W66" s="471" t="s">
        <v>147</v>
      </c>
      <c r="X66" s="471">
        <v>0</v>
      </c>
      <c r="Z66" s="270" t="s">
        <v>118</v>
      </c>
    </row>
    <row r="67" spans="1:26">
      <c r="A67" s="406">
        <v>64</v>
      </c>
      <c r="B67" s="613" t="s">
        <v>2700</v>
      </c>
      <c r="C67" s="288" t="s">
        <v>148</v>
      </c>
      <c r="D67" s="414" t="s">
        <v>3609</v>
      </c>
      <c r="E67" s="407" t="s">
        <v>8020</v>
      </c>
      <c r="F67" s="483" t="s">
        <v>2699</v>
      </c>
      <c r="G67" s="411" t="s">
        <v>2701</v>
      </c>
      <c r="H67" s="411"/>
      <c r="I67" s="411"/>
      <c r="J67" s="411"/>
      <c r="K67" s="411"/>
      <c r="L67" s="608">
        <v>4920.8267716535438</v>
      </c>
      <c r="M67" s="409">
        <v>13109.582677165356</v>
      </c>
      <c r="N67" s="409">
        <v>18030.409448818897</v>
      </c>
      <c r="O67" s="410" t="s">
        <v>7751</v>
      </c>
      <c r="P67" s="406">
        <v>64</v>
      </c>
      <c r="Q67" s="470" t="s">
        <v>148</v>
      </c>
      <c r="R67" s="460" t="s">
        <v>149</v>
      </c>
      <c r="S67" s="270" t="s">
        <v>7</v>
      </c>
      <c r="U67" s="471"/>
      <c r="V67" s="471"/>
      <c r="W67" s="471" t="s">
        <v>149</v>
      </c>
      <c r="X67" s="471">
        <v>0</v>
      </c>
      <c r="Z67" s="270" t="s">
        <v>121</v>
      </c>
    </row>
    <row r="68" spans="1:26">
      <c r="A68" s="406">
        <v>65</v>
      </c>
      <c r="B68" s="613" t="s">
        <v>2704</v>
      </c>
      <c r="C68" s="288" t="s">
        <v>150</v>
      </c>
      <c r="D68" s="414" t="s">
        <v>3584</v>
      </c>
      <c r="E68" s="407" t="s">
        <v>8017</v>
      </c>
      <c r="F68" s="483" t="s">
        <v>2703</v>
      </c>
      <c r="G68" s="411" t="s">
        <v>2705</v>
      </c>
      <c r="H68" s="411"/>
      <c r="I68" s="411"/>
      <c r="J68" s="411"/>
      <c r="K68" s="411"/>
      <c r="L68" s="608">
        <v>7873.1377952755911</v>
      </c>
      <c r="M68" s="409">
        <v>13108.417322834646</v>
      </c>
      <c r="N68" s="409">
        <v>20981.555118110238</v>
      </c>
      <c r="O68" s="410" t="s">
        <v>7751</v>
      </c>
      <c r="P68" s="406">
        <v>65</v>
      </c>
      <c r="Q68" s="470" t="s">
        <v>150</v>
      </c>
      <c r="R68" s="460" t="s">
        <v>151</v>
      </c>
      <c r="S68" s="270" t="s">
        <v>7</v>
      </c>
      <c r="U68" s="471"/>
      <c r="V68" s="471"/>
      <c r="W68" s="471" t="s">
        <v>151</v>
      </c>
      <c r="X68" s="471">
        <v>0</v>
      </c>
      <c r="Z68" s="270" t="s">
        <v>112</v>
      </c>
    </row>
    <row r="69" spans="1:26">
      <c r="A69" s="406">
        <v>66</v>
      </c>
      <c r="B69" s="613" t="s">
        <v>2692</v>
      </c>
      <c r="C69" s="288" t="s">
        <v>152</v>
      </c>
      <c r="D69" s="414" t="s">
        <v>3497</v>
      </c>
      <c r="E69" s="407" t="s">
        <v>8018</v>
      </c>
      <c r="F69" s="483" t="s">
        <v>2691</v>
      </c>
      <c r="G69" s="411" t="s">
        <v>2693</v>
      </c>
      <c r="H69" s="411"/>
      <c r="I69" s="411"/>
      <c r="J69" s="411"/>
      <c r="K69" s="411"/>
      <c r="L69" s="608">
        <v>7439.9251968503941</v>
      </c>
      <c r="M69" s="409">
        <v>13109.169291338583</v>
      </c>
      <c r="N69" s="409">
        <v>20549.094488188977</v>
      </c>
      <c r="O69" s="410" t="s">
        <v>7805</v>
      </c>
      <c r="P69" s="406">
        <v>66</v>
      </c>
      <c r="Q69" s="470" t="s">
        <v>152</v>
      </c>
      <c r="R69" s="460" t="s">
        <v>153</v>
      </c>
      <c r="S69" s="270" t="s">
        <v>7</v>
      </c>
      <c r="U69" s="471"/>
      <c r="V69" s="471"/>
      <c r="W69" s="471" t="s">
        <v>153</v>
      </c>
      <c r="X69" s="471">
        <v>0</v>
      </c>
      <c r="Z69" s="270" t="s">
        <v>115</v>
      </c>
    </row>
    <row r="70" spans="1:26">
      <c r="A70" s="406">
        <v>67</v>
      </c>
      <c r="B70" s="613" t="s">
        <v>2696</v>
      </c>
      <c r="C70" s="288" t="s">
        <v>154</v>
      </c>
      <c r="D70" s="414" t="s">
        <v>3552</v>
      </c>
      <c r="E70" s="407" t="s">
        <v>8019</v>
      </c>
      <c r="F70" s="483" t="s">
        <v>2695</v>
      </c>
      <c r="G70" s="411" t="s">
        <v>2697</v>
      </c>
      <c r="H70" s="411"/>
      <c r="I70" s="411"/>
      <c r="J70" s="411"/>
      <c r="K70" s="411"/>
      <c r="L70" s="608">
        <v>5667.8622047244089</v>
      </c>
      <c r="M70" s="409">
        <v>13109.259842519685</v>
      </c>
      <c r="N70" s="409">
        <v>18777.122047244095</v>
      </c>
      <c r="O70" s="410" t="s">
        <v>7784</v>
      </c>
      <c r="P70" s="406">
        <v>67</v>
      </c>
      <c r="Q70" s="470" t="s">
        <v>154</v>
      </c>
      <c r="R70" s="460" t="s">
        <v>155</v>
      </c>
      <c r="S70" s="270" t="s">
        <v>7</v>
      </c>
      <c r="U70" s="471"/>
      <c r="V70" s="471"/>
      <c r="W70" s="471" t="s">
        <v>155</v>
      </c>
      <c r="X70" s="471">
        <v>0</v>
      </c>
      <c r="Z70" s="270" t="s">
        <v>118</v>
      </c>
    </row>
    <row r="71" spans="1:26">
      <c r="A71" s="406">
        <v>68</v>
      </c>
      <c r="B71" s="613" t="s">
        <v>2700</v>
      </c>
      <c r="C71" s="288" t="s">
        <v>156</v>
      </c>
      <c r="D71" s="414" t="s">
        <v>3609</v>
      </c>
      <c r="E71" s="407" t="s">
        <v>8020</v>
      </c>
      <c r="F71" s="483" t="s">
        <v>2699</v>
      </c>
      <c r="G71" s="411" t="s">
        <v>2701</v>
      </c>
      <c r="H71" s="411"/>
      <c r="I71" s="411"/>
      <c r="J71" s="411"/>
      <c r="K71" s="411"/>
      <c r="L71" s="608">
        <v>4920.8267716535438</v>
      </c>
      <c r="M71" s="409">
        <v>13109.582677165356</v>
      </c>
      <c r="N71" s="409">
        <v>18030.409448818897</v>
      </c>
      <c r="O71" s="410" t="s">
        <v>7751</v>
      </c>
      <c r="P71" s="406">
        <v>68</v>
      </c>
      <c r="Q71" s="470" t="s">
        <v>156</v>
      </c>
      <c r="R71" s="460" t="s">
        <v>157</v>
      </c>
      <c r="S71" s="270" t="s">
        <v>7</v>
      </c>
      <c r="U71" s="471"/>
      <c r="V71" s="471"/>
      <c r="W71" s="471" t="s">
        <v>157</v>
      </c>
      <c r="X71" s="471">
        <v>0</v>
      </c>
      <c r="Z71" s="270" t="s">
        <v>121</v>
      </c>
    </row>
    <row r="72" spans="1:26">
      <c r="A72" s="406">
        <v>69</v>
      </c>
      <c r="B72" s="613" t="s">
        <v>2704</v>
      </c>
      <c r="C72" s="288" t="s">
        <v>158</v>
      </c>
      <c r="D72" s="414" t="s">
        <v>3584</v>
      </c>
      <c r="E72" s="407" t="s">
        <v>8017</v>
      </c>
      <c r="F72" s="483" t="s">
        <v>2703</v>
      </c>
      <c r="G72" s="411" t="s">
        <v>2705</v>
      </c>
      <c r="H72" s="411"/>
      <c r="I72" s="411"/>
      <c r="J72" s="411"/>
      <c r="K72" s="411"/>
      <c r="L72" s="608">
        <v>7873.1377952755911</v>
      </c>
      <c r="M72" s="409">
        <v>13108.417322834646</v>
      </c>
      <c r="N72" s="409">
        <v>20981.555118110238</v>
      </c>
      <c r="O72" s="410" t="s">
        <v>7751</v>
      </c>
      <c r="P72" s="406">
        <v>69</v>
      </c>
      <c r="Q72" s="470" t="s">
        <v>158</v>
      </c>
      <c r="R72" s="460" t="s">
        <v>159</v>
      </c>
      <c r="S72" s="270" t="s">
        <v>7</v>
      </c>
      <c r="U72" s="471"/>
      <c r="V72" s="471"/>
      <c r="W72" s="471" t="s">
        <v>159</v>
      </c>
      <c r="X72" s="471">
        <v>0</v>
      </c>
      <c r="Z72" s="270" t="s">
        <v>112</v>
      </c>
    </row>
    <row r="73" spans="1:26">
      <c r="A73" s="406">
        <v>70</v>
      </c>
      <c r="B73" s="613" t="s">
        <v>2692</v>
      </c>
      <c r="C73" s="288" t="s">
        <v>160</v>
      </c>
      <c r="D73" s="414" t="s">
        <v>3497</v>
      </c>
      <c r="E73" s="407" t="s">
        <v>8018</v>
      </c>
      <c r="F73" s="483" t="s">
        <v>2691</v>
      </c>
      <c r="G73" s="411" t="s">
        <v>2693</v>
      </c>
      <c r="H73" s="411"/>
      <c r="I73" s="411"/>
      <c r="J73" s="411"/>
      <c r="K73" s="411"/>
      <c r="L73" s="608">
        <v>7439.9251968503941</v>
      </c>
      <c r="M73" s="409">
        <v>13109.169291338583</v>
      </c>
      <c r="N73" s="409">
        <v>20549.094488188977</v>
      </c>
      <c r="O73" s="410" t="s">
        <v>7805</v>
      </c>
      <c r="P73" s="406">
        <v>70</v>
      </c>
      <c r="Q73" s="470" t="s">
        <v>160</v>
      </c>
      <c r="R73" s="460" t="s">
        <v>161</v>
      </c>
      <c r="S73" s="270" t="s">
        <v>7</v>
      </c>
      <c r="U73" s="471"/>
      <c r="V73" s="471"/>
      <c r="W73" s="471" t="s">
        <v>161</v>
      </c>
      <c r="X73" s="471">
        <v>0</v>
      </c>
      <c r="Z73" s="270" t="s">
        <v>115</v>
      </c>
    </row>
    <row r="74" spans="1:26">
      <c r="A74" s="406">
        <v>71</v>
      </c>
      <c r="B74" s="613" t="s">
        <v>2512</v>
      </c>
      <c r="C74" s="288" t="s">
        <v>162</v>
      </c>
      <c r="D74" s="414" t="s">
        <v>3923</v>
      </c>
      <c r="E74" s="407" t="s">
        <v>8021</v>
      </c>
      <c r="F74" s="483"/>
      <c r="G74" s="483"/>
      <c r="H74" s="411"/>
      <c r="I74" s="411"/>
      <c r="J74" s="411"/>
      <c r="K74" s="411"/>
      <c r="L74" s="608" t="s">
        <v>4884</v>
      </c>
      <c r="M74" s="409">
        <v>19999.082677165356</v>
      </c>
      <c r="N74" s="409">
        <v>19999.082677165356</v>
      </c>
      <c r="O74" s="410" t="s">
        <v>7569</v>
      </c>
      <c r="P74" s="406">
        <v>71</v>
      </c>
      <c r="Q74" s="470" t="s">
        <v>162</v>
      </c>
      <c r="R74" s="460" t="s">
        <v>163</v>
      </c>
      <c r="S74" s="270" t="s">
        <v>32</v>
      </c>
      <c r="U74" s="471"/>
      <c r="V74" s="471">
        <v>1</v>
      </c>
      <c r="W74" s="471" t="s">
        <v>163</v>
      </c>
      <c r="X74" s="471">
        <v>0</v>
      </c>
    </row>
    <row r="75" spans="1:26">
      <c r="A75" s="406">
        <v>72</v>
      </c>
      <c r="B75" s="613" t="s">
        <v>2513</v>
      </c>
      <c r="C75" s="288" t="s">
        <v>164</v>
      </c>
      <c r="D75" s="414" t="s">
        <v>3921</v>
      </c>
      <c r="E75" s="407" t="s">
        <v>8022</v>
      </c>
      <c r="F75" s="483"/>
      <c r="G75" s="411"/>
      <c r="H75" s="411"/>
      <c r="I75" s="411"/>
      <c r="J75" s="411"/>
      <c r="K75" s="411"/>
      <c r="L75" s="608" t="s">
        <v>4884</v>
      </c>
      <c r="M75" s="409">
        <v>19998.992125984252</v>
      </c>
      <c r="N75" s="409">
        <v>19998.992125984252</v>
      </c>
      <c r="O75" s="410" t="s">
        <v>7569</v>
      </c>
      <c r="P75" s="406">
        <v>72</v>
      </c>
      <c r="Q75" s="470" t="s">
        <v>164</v>
      </c>
      <c r="R75" s="460" t="s">
        <v>165</v>
      </c>
      <c r="S75" s="270" t="s">
        <v>32</v>
      </c>
      <c r="U75" s="471"/>
      <c r="V75" s="471">
        <v>1</v>
      </c>
      <c r="W75" s="471" t="s">
        <v>165</v>
      </c>
      <c r="X75" s="471">
        <v>0</v>
      </c>
    </row>
    <row r="76" spans="1:26">
      <c r="A76" s="406">
        <v>73</v>
      </c>
      <c r="B76" s="613" t="s">
        <v>2532</v>
      </c>
      <c r="C76" s="288" t="s">
        <v>166</v>
      </c>
      <c r="D76" s="414" t="s">
        <v>3875</v>
      </c>
      <c r="E76" s="407" t="s">
        <v>8023</v>
      </c>
      <c r="F76" s="483" t="s">
        <v>2531</v>
      </c>
      <c r="G76" s="411" t="s">
        <v>2533</v>
      </c>
      <c r="H76" s="411"/>
      <c r="I76" s="411"/>
      <c r="J76" s="411"/>
      <c r="K76" s="411"/>
      <c r="L76" s="608">
        <v>12952.200787401576</v>
      </c>
      <c r="M76" s="409">
        <v>7046.5039370078739</v>
      </c>
      <c r="N76" s="409">
        <v>19998.70472440945</v>
      </c>
      <c r="O76" s="410" t="s">
        <v>7768</v>
      </c>
      <c r="P76" s="406">
        <v>73</v>
      </c>
      <c r="Q76" s="470" t="s">
        <v>166</v>
      </c>
      <c r="R76" s="460" t="s">
        <v>167</v>
      </c>
      <c r="S76" s="270" t="s">
        <v>32</v>
      </c>
      <c r="U76" s="471"/>
      <c r="V76" s="471">
        <v>1</v>
      </c>
      <c r="W76" s="471" t="s">
        <v>167</v>
      </c>
      <c r="X76" s="471">
        <v>0</v>
      </c>
      <c r="Z76" s="460" t="s">
        <v>2274</v>
      </c>
    </row>
    <row r="77" spans="1:26">
      <c r="A77" s="406">
        <v>74</v>
      </c>
      <c r="B77" s="613" t="s">
        <v>2538</v>
      </c>
      <c r="C77" s="288" t="s">
        <v>168</v>
      </c>
      <c r="D77" s="414" t="s">
        <v>3885</v>
      </c>
      <c r="E77" s="407" t="s">
        <v>8024</v>
      </c>
      <c r="F77" s="483" t="s">
        <v>2537</v>
      </c>
      <c r="G77" s="411" t="s">
        <v>2539</v>
      </c>
      <c r="H77" s="411"/>
      <c r="I77" s="411"/>
      <c r="J77" s="411"/>
      <c r="K77" s="411"/>
      <c r="L77" s="608">
        <v>11219.964566929135</v>
      </c>
      <c r="M77" s="409">
        <v>8778.7874015748039</v>
      </c>
      <c r="N77" s="409">
        <v>19998.751968503937</v>
      </c>
      <c r="O77" s="410" t="s">
        <v>7754</v>
      </c>
      <c r="P77" s="406">
        <v>74</v>
      </c>
      <c r="Q77" s="470" t="s">
        <v>168</v>
      </c>
      <c r="R77" s="460" t="s">
        <v>169</v>
      </c>
      <c r="S77" s="270" t="s">
        <v>32</v>
      </c>
      <c r="U77" s="471"/>
      <c r="V77" s="471">
        <v>1</v>
      </c>
      <c r="W77" s="471" t="s">
        <v>169</v>
      </c>
      <c r="X77" s="471">
        <v>0</v>
      </c>
      <c r="Z77" s="460" t="s">
        <v>170</v>
      </c>
    </row>
    <row r="78" spans="1:26">
      <c r="A78" s="406">
        <v>75</v>
      </c>
      <c r="B78" s="613" t="s">
        <v>2544</v>
      </c>
      <c r="C78" s="288" t="s">
        <v>171</v>
      </c>
      <c r="D78" s="414" t="s">
        <v>3912</v>
      </c>
      <c r="E78" s="407" t="s">
        <v>8025</v>
      </c>
      <c r="F78" s="483" t="s">
        <v>2543</v>
      </c>
      <c r="G78" s="411" t="s">
        <v>2545</v>
      </c>
      <c r="H78" s="411"/>
      <c r="I78" s="411"/>
      <c r="J78" s="411"/>
      <c r="K78" s="411"/>
      <c r="L78" s="608">
        <v>11337.917322834644</v>
      </c>
      <c r="M78" s="409">
        <v>8659.5826771653537</v>
      </c>
      <c r="N78" s="409">
        <v>19997.5</v>
      </c>
      <c r="O78" s="410" t="s">
        <v>7770</v>
      </c>
      <c r="P78" s="406">
        <v>75</v>
      </c>
      <c r="Q78" s="470" t="s">
        <v>171</v>
      </c>
      <c r="R78" s="460" t="s">
        <v>172</v>
      </c>
      <c r="S78" s="270" t="s">
        <v>32</v>
      </c>
      <c r="U78" s="471"/>
      <c r="V78" s="471">
        <v>1</v>
      </c>
      <c r="W78" s="471" t="s">
        <v>172</v>
      </c>
      <c r="X78" s="471">
        <v>0</v>
      </c>
      <c r="Z78" s="460" t="s">
        <v>173</v>
      </c>
    </row>
    <row r="79" spans="1:26">
      <c r="A79" s="406">
        <v>76</v>
      </c>
      <c r="B79" s="613" t="s">
        <v>2550</v>
      </c>
      <c r="C79" s="288" t="s">
        <v>174</v>
      </c>
      <c r="D79" s="414" t="s">
        <v>3878</v>
      </c>
      <c r="E79" s="407" t="s">
        <v>8026</v>
      </c>
      <c r="F79" s="483" t="s">
        <v>2549</v>
      </c>
      <c r="G79" s="411" t="s">
        <v>2551</v>
      </c>
      <c r="H79" s="411"/>
      <c r="I79" s="411"/>
      <c r="J79" s="411"/>
      <c r="K79" s="411"/>
      <c r="L79" s="608">
        <v>11219.28346456693</v>
      </c>
      <c r="M79" s="409">
        <v>8778.0157480314974</v>
      </c>
      <c r="N79" s="409">
        <v>19997.299212598427</v>
      </c>
      <c r="O79" s="410" t="s">
        <v>7778</v>
      </c>
      <c r="P79" s="406">
        <v>76</v>
      </c>
      <c r="Q79" s="470" t="s">
        <v>174</v>
      </c>
      <c r="R79" s="460" t="s">
        <v>175</v>
      </c>
      <c r="S79" s="270" t="s">
        <v>32</v>
      </c>
      <c r="U79" s="471"/>
      <c r="V79" s="471">
        <v>1</v>
      </c>
      <c r="W79" s="471" t="s">
        <v>175</v>
      </c>
      <c r="X79" s="471">
        <v>0</v>
      </c>
      <c r="Z79" s="460" t="s">
        <v>176</v>
      </c>
    </row>
    <row r="80" spans="1:26">
      <c r="A80" s="406">
        <v>77</v>
      </c>
      <c r="B80" s="613" t="s">
        <v>2529</v>
      </c>
      <c r="C80" s="288" t="s">
        <v>177</v>
      </c>
      <c r="D80" s="414" t="s">
        <v>3877</v>
      </c>
      <c r="E80" s="407" t="s">
        <v>8027</v>
      </c>
      <c r="F80" s="483" t="s">
        <v>2528</v>
      </c>
      <c r="G80" s="411" t="s">
        <v>2530</v>
      </c>
      <c r="H80" s="411"/>
      <c r="I80" s="411"/>
      <c r="J80" s="411"/>
      <c r="K80" s="411"/>
      <c r="L80" s="608">
        <v>12952.259842519685</v>
      </c>
      <c r="M80" s="409">
        <v>7045.9685039370088</v>
      </c>
      <c r="N80" s="409">
        <v>19998.228346456694</v>
      </c>
      <c r="O80" s="410" t="s">
        <v>7768</v>
      </c>
      <c r="P80" s="406">
        <v>77</v>
      </c>
      <c r="Q80" s="470" t="s">
        <v>177</v>
      </c>
      <c r="R80" s="460" t="s">
        <v>178</v>
      </c>
      <c r="S80" s="270" t="s">
        <v>32</v>
      </c>
      <c r="U80" s="471"/>
      <c r="V80" s="471">
        <v>1</v>
      </c>
      <c r="W80" s="471" t="s">
        <v>178</v>
      </c>
      <c r="X80" s="471">
        <v>0</v>
      </c>
      <c r="Z80" s="460" t="s">
        <v>179</v>
      </c>
    </row>
    <row r="81" spans="1:26">
      <c r="A81" s="406">
        <v>78</v>
      </c>
      <c r="B81" s="613" t="s">
        <v>2535</v>
      </c>
      <c r="C81" s="288" t="s">
        <v>180</v>
      </c>
      <c r="D81" s="414" t="s">
        <v>3883</v>
      </c>
      <c r="E81" s="407" t="s">
        <v>8028</v>
      </c>
      <c r="F81" s="483" t="s">
        <v>2534</v>
      </c>
      <c r="G81" s="411" t="s">
        <v>2536</v>
      </c>
      <c r="H81" s="411"/>
      <c r="I81" s="411"/>
      <c r="J81" s="411"/>
      <c r="K81" s="411"/>
      <c r="L81" s="608">
        <v>11218.956692913387</v>
      </c>
      <c r="M81" s="409">
        <v>8778.4566929133871</v>
      </c>
      <c r="N81" s="409">
        <v>19997.413385826774</v>
      </c>
      <c r="O81" s="410" t="s">
        <v>7754</v>
      </c>
      <c r="P81" s="406">
        <v>78</v>
      </c>
      <c r="Q81" s="470" t="s">
        <v>180</v>
      </c>
      <c r="R81" s="460" t="s">
        <v>181</v>
      </c>
      <c r="S81" s="270" t="s">
        <v>32</v>
      </c>
      <c r="U81" s="471"/>
      <c r="V81" s="471">
        <v>1</v>
      </c>
      <c r="W81" s="471" t="s">
        <v>181</v>
      </c>
      <c r="X81" s="471">
        <v>0</v>
      </c>
      <c r="Z81" s="460" t="s">
        <v>182</v>
      </c>
    </row>
    <row r="82" spans="1:26">
      <c r="A82" s="406">
        <v>79</v>
      </c>
      <c r="B82" s="613" t="s">
        <v>2541</v>
      </c>
      <c r="C82" s="288" t="s">
        <v>183</v>
      </c>
      <c r="D82" s="414" t="s">
        <v>3914</v>
      </c>
      <c r="E82" s="407" t="s">
        <v>8029</v>
      </c>
      <c r="F82" s="483" t="s">
        <v>2540</v>
      </c>
      <c r="G82" s="411" t="s">
        <v>2542</v>
      </c>
      <c r="H82" s="411"/>
      <c r="I82" s="411"/>
      <c r="J82" s="411"/>
      <c r="K82" s="411"/>
      <c r="L82" s="608">
        <v>11337.720472440944</v>
      </c>
      <c r="M82" s="409">
        <v>8659.9251968503941</v>
      </c>
      <c r="N82" s="409">
        <v>19997.645669291338</v>
      </c>
      <c r="O82" s="410" t="s">
        <v>7770</v>
      </c>
      <c r="P82" s="406">
        <v>79</v>
      </c>
      <c r="Q82" s="470" t="s">
        <v>183</v>
      </c>
      <c r="R82" s="460" t="s">
        <v>184</v>
      </c>
      <c r="S82" s="270" t="s">
        <v>32</v>
      </c>
      <c r="U82" s="471"/>
      <c r="V82" s="471">
        <v>1</v>
      </c>
      <c r="W82" s="471" t="s">
        <v>184</v>
      </c>
      <c r="X82" s="471">
        <v>0</v>
      </c>
      <c r="Z82" s="460" t="s">
        <v>185</v>
      </c>
    </row>
    <row r="83" spans="1:26">
      <c r="A83" s="406">
        <v>80</v>
      </c>
      <c r="B83" s="613" t="s">
        <v>2547</v>
      </c>
      <c r="C83" s="288" t="s">
        <v>186</v>
      </c>
      <c r="D83" s="414" t="s">
        <v>3880</v>
      </c>
      <c r="E83" s="407" t="s">
        <v>8030</v>
      </c>
      <c r="F83" s="483" t="s">
        <v>2546</v>
      </c>
      <c r="G83" s="411" t="s">
        <v>2548</v>
      </c>
      <c r="H83" s="411"/>
      <c r="I83" s="411"/>
      <c r="J83" s="411"/>
      <c r="K83" s="411"/>
      <c r="L83" s="608">
        <v>11219.901574803151</v>
      </c>
      <c r="M83" s="409">
        <v>8779.3464566929142</v>
      </c>
      <c r="N83" s="409">
        <v>19999.248031496063</v>
      </c>
      <c r="O83" s="410" t="s">
        <v>7778</v>
      </c>
      <c r="P83" s="406">
        <v>80</v>
      </c>
      <c r="Q83" s="470" t="s">
        <v>186</v>
      </c>
      <c r="R83" s="460" t="s">
        <v>187</v>
      </c>
      <c r="S83" s="270" t="s">
        <v>32</v>
      </c>
      <c r="U83" s="471"/>
      <c r="V83" s="471">
        <v>1</v>
      </c>
      <c r="W83" s="471" t="s">
        <v>187</v>
      </c>
      <c r="X83" s="471">
        <v>0</v>
      </c>
      <c r="Z83" s="460" t="s">
        <v>188</v>
      </c>
    </row>
    <row r="84" spans="1:26">
      <c r="A84" s="406">
        <v>81</v>
      </c>
      <c r="B84" s="613" t="s">
        <v>5800</v>
      </c>
      <c r="C84" s="288" t="s">
        <v>189</v>
      </c>
      <c r="D84" s="414" t="s">
        <v>3874</v>
      </c>
      <c r="E84" s="407" t="s">
        <v>8031</v>
      </c>
      <c r="F84" s="483" t="s">
        <v>2362</v>
      </c>
      <c r="G84" s="411" t="s">
        <v>2366</v>
      </c>
      <c r="H84" s="411"/>
      <c r="I84" s="411"/>
      <c r="J84" s="411"/>
      <c r="K84" s="411"/>
      <c r="L84" s="608">
        <v>9841.7204724409457</v>
      </c>
      <c r="M84" s="409">
        <v>10156.429133858268</v>
      </c>
      <c r="N84" s="409">
        <v>19998.149606299212</v>
      </c>
      <c r="O84" s="410" t="s">
        <v>7810</v>
      </c>
      <c r="P84" s="406">
        <v>81</v>
      </c>
      <c r="Q84" s="470" t="s">
        <v>189</v>
      </c>
      <c r="R84" s="460" t="s">
        <v>190</v>
      </c>
      <c r="S84" s="270" t="s">
        <v>32</v>
      </c>
      <c r="U84" s="471"/>
      <c r="V84" s="471">
        <v>1</v>
      </c>
      <c r="W84" s="471" t="s">
        <v>190</v>
      </c>
      <c r="X84" s="471">
        <v>0</v>
      </c>
      <c r="Z84" s="270" t="s">
        <v>191</v>
      </c>
    </row>
    <row r="85" spans="1:26">
      <c r="A85" s="406">
        <v>82</v>
      </c>
      <c r="B85" s="613" t="s">
        <v>5799</v>
      </c>
      <c r="C85" s="288" t="s">
        <v>192</v>
      </c>
      <c r="D85" s="414" t="s">
        <v>3876</v>
      </c>
      <c r="E85" s="407" t="s">
        <v>8032</v>
      </c>
      <c r="F85" s="483" t="s">
        <v>2363</v>
      </c>
      <c r="G85" s="411" t="s">
        <v>2367</v>
      </c>
      <c r="H85" s="411"/>
      <c r="I85" s="411"/>
      <c r="J85" s="411"/>
      <c r="K85" s="411"/>
      <c r="L85" s="608">
        <v>9841.9566929133871</v>
      </c>
      <c r="M85" s="409">
        <v>10156.460629921261</v>
      </c>
      <c r="N85" s="409">
        <v>19998.417322834648</v>
      </c>
      <c r="O85" s="410" t="s">
        <v>7810</v>
      </c>
      <c r="P85" s="406">
        <v>82</v>
      </c>
      <c r="Q85" s="470" t="s">
        <v>192</v>
      </c>
      <c r="R85" s="460" t="s">
        <v>193</v>
      </c>
      <c r="S85" s="270" t="s">
        <v>32</v>
      </c>
      <c r="U85" s="471"/>
      <c r="V85" s="471">
        <v>1</v>
      </c>
      <c r="W85" s="471" t="s">
        <v>193</v>
      </c>
      <c r="X85" s="471">
        <v>0</v>
      </c>
      <c r="Z85" s="270" t="s">
        <v>194</v>
      </c>
    </row>
    <row r="86" spans="1:26">
      <c r="A86" s="406">
        <v>83</v>
      </c>
      <c r="B86" s="613" t="s">
        <v>2556</v>
      </c>
      <c r="C86" s="288" t="s">
        <v>195</v>
      </c>
      <c r="D86" s="414" t="s">
        <v>3867</v>
      </c>
      <c r="E86" s="407" t="s">
        <v>8033</v>
      </c>
      <c r="F86" s="483" t="s">
        <v>2555</v>
      </c>
      <c r="G86" s="411" t="s">
        <v>2557</v>
      </c>
      <c r="H86" s="411"/>
      <c r="I86" s="411"/>
      <c r="J86" s="411"/>
      <c r="K86" s="411"/>
      <c r="L86" s="608">
        <v>12951.562992125984</v>
      </c>
      <c r="M86" s="409">
        <v>7046.2755905511813</v>
      </c>
      <c r="N86" s="409">
        <v>19997.838582677166</v>
      </c>
      <c r="O86" s="410" t="s">
        <v>7827</v>
      </c>
      <c r="P86" s="406">
        <v>83</v>
      </c>
      <c r="Q86" s="470" t="s">
        <v>195</v>
      </c>
      <c r="R86" s="460" t="s">
        <v>196</v>
      </c>
      <c r="S86" s="270" t="s">
        <v>32</v>
      </c>
      <c r="U86" s="471"/>
      <c r="V86" s="471">
        <v>1</v>
      </c>
      <c r="W86" s="471" t="s">
        <v>196</v>
      </c>
      <c r="X86" s="471">
        <v>0</v>
      </c>
      <c r="Z86" s="460" t="s">
        <v>197</v>
      </c>
    </row>
    <row r="87" spans="1:26">
      <c r="A87" s="406">
        <v>84</v>
      </c>
      <c r="B87" s="613" t="s">
        <v>2562</v>
      </c>
      <c r="C87" s="288" t="s">
        <v>198</v>
      </c>
      <c r="D87" s="414" t="s">
        <v>3882</v>
      </c>
      <c r="E87" s="407" t="s">
        <v>8034</v>
      </c>
      <c r="F87" s="483" t="s">
        <v>2561</v>
      </c>
      <c r="G87" s="411" t="s">
        <v>2563</v>
      </c>
      <c r="H87" s="411"/>
      <c r="I87" s="411"/>
      <c r="J87" s="411"/>
      <c r="K87" s="411"/>
      <c r="L87" s="608">
        <v>12954.767716535434</v>
      </c>
      <c r="M87" s="409">
        <v>7046.893700787401</v>
      </c>
      <c r="N87" s="409">
        <v>20001.661417322834</v>
      </c>
      <c r="O87" s="410" t="s">
        <v>7839</v>
      </c>
      <c r="P87" s="406">
        <v>84</v>
      </c>
      <c r="Q87" s="470" t="s">
        <v>198</v>
      </c>
      <c r="R87" s="460" t="s">
        <v>199</v>
      </c>
      <c r="S87" s="270" t="s">
        <v>32</v>
      </c>
      <c r="U87" s="471"/>
      <c r="V87" s="471">
        <v>1</v>
      </c>
      <c r="W87" s="471" t="s">
        <v>199</v>
      </c>
      <c r="X87" s="471">
        <v>0</v>
      </c>
      <c r="Z87" s="460" t="s">
        <v>200</v>
      </c>
    </row>
    <row r="88" spans="1:26">
      <c r="A88" s="406">
        <v>85</v>
      </c>
      <c r="B88" s="613" t="s">
        <v>2568</v>
      </c>
      <c r="C88" s="288" t="s">
        <v>201</v>
      </c>
      <c r="D88" s="414" t="s">
        <v>3872</v>
      </c>
      <c r="E88" s="407" t="s">
        <v>8035</v>
      </c>
      <c r="F88" s="483" t="s">
        <v>2567</v>
      </c>
      <c r="G88" s="411" t="s">
        <v>2569</v>
      </c>
      <c r="H88" s="411"/>
      <c r="I88" s="411"/>
      <c r="J88" s="411"/>
      <c r="K88" s="411"/>
      <c r="L88" s="608">
        <v>13345.811023622049</v>
      </c>
      <c r="M88" s="409">
        <v>6652.2755905511822</v>
      </c>
      <c r="N88" s="409">
        <v>19998.086614173229</v>
      </c>
      <c r="O88" s="410" t="s">
        <v>7769</v>
      </c>
      <c r="P88" s="406">
        <v>85</v>
      </c>
      <c r="Q88" s="470" t="s">
        <v>201</v>
      </c>
      <c r="R88" s="460" t="s">
        <v>202</v>
      </c>
      <c r="S88" s="270" t="s">
        <v>32</v>
      </c>
      <c r="U88" s="471"/>
      <c r="V88" s="471">
        <v>1</v>
      </c>
      <c r="W88" s="471" t="s">
        <v>202</v>
      </c>
      <c r="X88" s="471">
        <v>0</v>
      </c>
      <c r="Z88" s="460" t="s">
        <v>203</v>
      </c>
    </row>
    <row r="89" spans="1:26">
      <c r="A89" s="406">
        <v>86</v>
      </c>
      <c r="B89" s="613" t="s">
        <v>2574</v>
      </c>
      <c r="C89" s="288" t="s">
        <v>204</v>
      </c>
      <c r="D89" s="414" t="s">
        <v>3879</v>
      </c>
      <c r="E89" s="407" t="s">
        <v>8036</v>
      </c>
      <c r="F89" s="483" t="s">
        <v>2573</v>
      </c>
      <c r="G89" s="411" t="s">
        <v>2575</v>
      </c>
      <c r="H89" s="411"/>
      <c r="I89" s="411"/>
      <c r="J89" s="411"/>
      <c r="K89" s="411"/>
      <c r="L89" s="608">
        <v>13345.484251968504</v>
      </c>
      <c r="M89" s="409">
        <v>6652.5590551181103</v>
      </c>
      <c r="N89" s="409">
        <v>19998.043307086613</v>
      </c>
      <c r="O89" s="410" t="s">
        <v>7786</v>
      </c>
      <c r="P89" s="406">
        <v>86</v>
      </c>
      <c r="Q89" s="470" t="s">
        <v>204</v>
      </c>
      <c r="R89" s="460" t="s">
        <v>205</v>
      </c>
      <c r="S89" s="270" t="s">
        <v>32</v>
      </c>
      <c r="U89" s="471"/>
      <c r="V89" s="471">
        <v>1</v>
      </c>
      <c r="W89" s="471" t="s">
        <v>205</v>
      </c>
      <c r="X89" s="471">
        <v>0</v>
      </c>
      <c r="Z89" s="460" t="s">
        <v>206</v>
      </c>
    </row>
    <row r="90" spans="1:26">
      <c r="A90" s="406">
        <v>87</v>
      </c>
      <c r="B90" s="613" t="s">
        <v>2553</v>
      </c>
      <c r="C90" s="288" t="s">
        <v>207</v>
      </c>
      <c r="D90" s="414" t="s">
        <v>3865</v>
      </c>
      <c r="E90" s="407" t="s">
        <v>8037</v>
      </c>
      <c r="F90" s="483" t="s">
        <v>2552</v>
      </c>
      <c r="G90" s="411" t="s">
        <v>2554</v>
      </c>
      <c r="H90" s="411"/>
      <c r="I90" s="411"/>
      <c r="J90" s="411"/>
      <c r="K90" s="411"/>
      <c r="L90" s="608">
        <v>12952.716535433072</v>
      </c>
      <c r="M90" s="409">
        <v>7046.4133858267724</v>
      </c>
      <c r="N90" s="409">
        <v>19999.129921259846</v>
      </c>
      <c r="O90" s="410" t="s">
        <v>7827</v>
      </c>
      <c r="P90" s="406">
        <v>87</v>
      </c>
      <c r="Q90" s="470" t="s">
        <v>207</v>
      </c>
      <c r="R90" s="460" t="s">
        <v>208</v>
      </c>
      <c r="S90" s="270" t="s">
        <v>32</v>
      </c>
      <c r="U90" s="471"/>
      <c r="V90" s="471">
        <v>1</v>
      </c>
      <c r="W90" s="471" t="s">
        <v>208</v>
      </c>
      <c r="X90" s="471">
        <v>0</v>
      </c>
      <c r="Z90" s="460" t="s">
        <v>209</v>
      </c>
    </row>
    <row r="91" spans="1:26">
      <c r="A91" s="406">
        <v>88</v>
      </c>
      <c r="B91" s="613" t="s">
        <v>2559</v>
      </c>
      <c r="C91" s="288" t="s">
        <v>210</v>
      </c>
      <c r="D91" s="414" t="s">
        <v>3884</v>
      </c>
      <c r="E91" s="407" t="s">
        <v>8038</v>
      </c>
      <c r="F91" s="483" t="s">
        <v>2558</v>
      </c>
      <c r="G91" s="411" t="s">
        <v>2560</v>
      </c>
      <c r="H91" s="411"/>
      <c r="I91" s="411"/>
      <c r="J91" s="411"/>
      <c r="K91" s="411"/>
      <c r="L91" s="608">
        <v>12951.992125984252</v>
      </c>
      <c r="M91" s="409">
        <v>7046.4330708661419</v>
      </c>
      <c r="N91" s="409">
        <v>19998.425196850392</v>
      </c>
      <c r="O91" s="410" t="s">
        <v>7839</v>
      </c>
      <c r="P91" s="406">
        <v>88</v>
      </c>
      <c r="Q91" s="470" t="s">
        <v>210</v>
      </c>
      <c r="R91" s="460" t="s">
        <v>211</v>
      </c>
      <c r="S91" s="270" t="s">
        <v>32</v>
      </c>
      <c r="U91" s="471"/>
      <c r="V91" s="471">
        <v>1</v>
      </c>
      <c r="W91" s="471" t="s">
        <v>211</v>
      </c>
      <c r="X91" s="471">
        <v>0</v>
      </c>
      <c r="Z91" s="460" t="s">
        <v>212</v>
      </c>
    </row>
    <row r="92" spans="1:26">
      <c r="A92" s="406">
        <v>89</v>
      </c>
      <c r="B92" s="613" t="s">
        <v>2565</v>
      </c>
      <c r="C92" s="288" t="s">
        <v>213</v>
      </c>
      <c r="D92" s="414" t="s">
        <v>3870</v>
      </c>
      <c r="E92" s="407" t="s">
        <v>8039</v>
      </c>
      <c r="F92" s="483" t="s">
        <v>2564</v>
      </c>
      <c r="G92" s="411" t="s">
        <v>2566</v>
      </c>
      <c r="H92" s="411"/>
      <c r="I92" s="411"/>
      <c r="J92" s="411"/>
      <c r="K92" s="411"/>
      <c r="L92" s="608">
        <v>13345.153543307088</v>
      </c>
      <c r="M92" s="409">
        <v>6653.4803149606305</v>
      </c>
      <c r="N92" s="409">
        <v>19998.633858267716</v>
      </c>
      <c r="O92" s="410" t="s">
        <v>7769</v>
      </c>
      <c r="P92" s="406">
        <v>89</v>
      </c>
      <c r="Q92" s="470" t="s">
        <v>213</v>
      </c>
      <c r="R92" s="460" t="s">
        <v>214</v>
      </c>
      <c r="S92" s="270" t="s">
        <v>32</v>
      </c>
      <c r="U92" s="471"/>
      <c r="V92" s="471">
        <v>1</v>
      </c>
      <c r="W92" s="471" t="s">
        <v>214</v>
      </c>
      <c r="X92" s="471">
        <v>0</v>
      </c>
      <c r="Z92" s="460" t="s">
        <v>4888</v>
      </c>
    </row>
    <row r="93" spans="1:26">
      <c r="A93" s="406">
        <v>90</v>
      </c>
      <c r="B93" s="613" t="s">
        <v>2571</v>
      </c>
      <c r="C93" s="288" t="s">
        <v>215</v>
      </c>
      <c r="D93" s="414" t="s">
        <v>3881</v>
      </c>
      <c r="E93" s="407" t="s">
        <v>8040</v>
      </c>
      <c r="F93" s="483" t="s">
        <v>2570</v>
      </c>
      <c r="G93" s="411" t="s">
        <v>2572</v>
      </c>
      <c r="H93" s="411"/>
      <c r="I93" s="411"/>
      <c r="J93" s="411"/>
      <c r="K93" s="411"/>
      <c r="L93" s="608">
        <v>13346.299212598426</v>
      </c>
      <c r="M93" s="409">
        <v>6652.2913385826769</v>
      </c>
      <c r="N93" s="409">
        <v>19998.590551181103</v>
      </c>
      <c r="O93" s="410" t="s">
        <v>7786</v>
      </c>
      <c r="P93" s="406">
        <v>90</v>
      </c>
      <c r="Q93" s="470" t="s">
        <v>215</v>
      </c>
      <c r="R93" s="460" t="s">
        <v>216</v>
      </c>
      <c r="S93" s="270" t="s">
        <v>32</v>
      </c>
      <c r="U93" s="471"/>
      <c r="V93" s="471">
        <v>1</v>
      </c>
      <c r="W93" s="471" t="s">
        <v>216</v>
      </c>
      <c r="X93" s="471">
        <v>0</v>
      </c>
      <c r="Z93" s="460" t="s">
        <v>217</v>
      </c>
    </row>
    <row r="94" spans="1:26">
      <c r="A94" s="406">
        <v>91</v>
      </c>
      <c r="B94" s="613" t="s">
        <v>5800</v>
      </c>
      <c r="C94" s="288" t="s">
        <v>218</v>
      </c>
      <c r="D94" s="414" t="s">
        <v>3874</v>
      </c>
      <c r="E94" s="407" t="s">
        <v>8031</v>
      </c>
      <c r="F94" s="483" t="s">
        <v>2364</v>
      </c>
      <c r="G94" s="411" t="s">
        <v>2366</v>
      </c>
      <c r="H94" s="411"/>
      <c r="I94" s="411"/>
      <c r="J94" s="411"/>
      <c r="K94" s="411"/>
      <c r="L94" s="608">
        <v>9841.7204724409457</v>
      </c>
      <c r="M94" s="409">
        <v>10155.964566929135</v>
      </c>
      <c r="N94" s="409">
        <v>19997.685039370077</v>
      </c>
      <c r="O94" s="410" t="s">
        <v>7797</v>
      </c>
      <c r="P94" s="406">
        <v>91</v>
      </c>
      <c r="Q94" s="470" t="s">
        <v>218</v>
      </c>
      <c r="R94" s="475" t="s">
        <v>219</v>
      </c>
      <c r="S94" s="270" t="s">
        <v>32</v>
      </c>
      <c r="U94" s="471"/>
      <c r="V94" s="471">
        <v>0</v>
      </c>
      <c r="W94" s="471"/>
      <c r="X94" s="471"/>
      <c r="Z94" s="270" t="s">
        <v>220</v>
      </c>
    </row>
    <row r="95" spans="1:26">
      <c r="A95" s="406">
        <v>92</v>
      </c>
      <c r="B95" s="613" t="s">
        <v>5799</v>
      </c>
      <c r="C95" s="288" t="s">
        <v>221</v>
      </c>
      <c r="D95" s="414" t="s">
        <v>3876</v>
      </c>
      <c r="E95" s="407" t="s">
        <v>8032</v>
      </c>
      <c r="F95" s="483" t="s">
        <v>2365</v>
      </c>
      <c r="G95" s="411" t="s">
        <v>2367</v>
      </c>
      <c r="H95" s="411"/>
      <c r="I95" s="411"/>
      <c r="J95" s="411"/>
      <c r="K95" s="411"/>
      <c r="L95" s="608">
        <v>9841.9566929133871</v>
      </c>
      <c r="M95" s="409">
        <v>10155.996062992128</v>
      </c>
      <c r="N95" s="409">
        <v>19997.952755905513</v>
      </c>
      <c r="O95" s="410" t="s">
        <v>7797</v>
      </c>
      <c r="P95" s="406">
        <v>92</v>
      </c>
      <c r="Q95" s="470" t="s">
        <v>221</v>
      </c>
      <c r="R95" s="475" t="s">
        <v>222</v>
      </c>
      <c r="S95" s="270" t="s">
        <v>32</v>
      </c>
      <c r="U95" s="471"/>
      <c r="V95" s="471">
        <v>0</v>
      </c>
      <c r="W95" s="471"/>
      <c r="X95" s="471"/>
      <c r="Z95" s="270" t="s">
        <v>223</v>
      </c>
    </row>
    <row r="96" spans="1:26">
      <c r="A96" s="406">
        <v>93</v>
      </c>
      <c r="B96" s="613" t="s">
        <v>3123</v>
      </c>
      <c r="C96" s="288" t="s">
        <v>224</v>
      </c>
      <c r="D96" s="414" t="s">
        <v>3894</v>
      </c>
      <c r="E96" s="407" t="s">
        <v>8041</v>
      </c>
      <c r="F96" s="483" t="s">
        <v>3118</v>
      </c>
      <c r="G96" s="483" t="s">
        <v>3117</v>
      </c>
      <c r="H96" s="411" t="s">
        <v>3124</v>
      </c>
      <c r="I96" s="411"/>
      <c r="J96" s="411"/>
      <c r="K96" s="411"/>
      <c r="L96" s="608">
        <v>7368.8779527559054</v>
      </c>
      <c r="M96" s="409">
        <v>1682.1023622047244</v>
      </c>
      <c r="N96" s="409">
        <v>9050.9803149606305</v>
      </c>
      <c r="O96" s="410" t="s">
        <v>7750</v>
      </c>
      <c r="P96" s="406">
        <v>93</v>
      </c>
      <c r="Q96" s="470" t="s">
        <v>224</v>
      </c>
      <c r="R96" s="460" t="s">
        <v>225</v>
      </c>
      <c r="S96" s="270" t="s">
        <v>32</v>
      </c>
      <c r="U96" s="471"/>
      <c r="V96" s="471">
        <v>1</v>
      </c>
      <c r="W96" s="471" t="s">
        <v>225</v>
      </c>
      <c r="X96" s="471">
        <v>0</v>
      </c>
    </row>
    <row r="97" spans="1:26">
      <c r="A97" s="406">
        <v>94</v>
      </c>
      <c r="B97" s="613" t="s">
        <v>3125</v>
      </c>
      <c r="C97" s="288" t="s">
        <v>226</v>
      </c>
      <c r="D97" s="414" t="s">
        <v>3866</v>
      </c>
      <c r="E97" s="407" t="s">
        <v>8042</v>
      </c>
      <c r="F97" s="483" t="s">
        <v>3120</v>
      </c>
      <c r="G97" s="483" t="s">
        <v>3119</v>
      </c>
      <c r="H97" s="411" t="s">
        <v>3126</v>
      </c>
      <c r="I97" s="411"/>
      <c r="J97" s="411"/>
      <c r="K97" s="411"/>
      <c r="L97" s="608">
        <v>7992.6023622047251</v>
      </c>
      <c r="M97" s="409">
        <v>1056.1771653543308</v>
      </c>
      <c r="N97" s="409">
        <v>9048.7795275590561</v>
      </c>
      <c r="O97" s="410" t="s">
        <v>7750</v>
      </c>
      <c r="P97" s="406">
        <v>94</v>
      </c>
      <c r="Q97" s="470" t="s">
        <v>226</v>
      </c>
      <c r="R97" s="460" t="s">
        <v>227</v>
      </c>
      <c r="S97" s="270" t="s">
        <v>32</v>
      </c>
      <c r="U97" s="471"/>
      <c r="V97" s="471">
        <v>1</v>
      </c>
      <c r="W97" s="471" t="s">
        <v>227</v>
      </c>
      <c r="X97" s="471">
        <v>0</v>
      </c>
    </row>
    <row r="98" spans="1:26">
      <c r="A98" s="406">
        <v>95</v>
      </c>
      <c r="B98" s="613" t="s">
        <v>3127</v>
      </c>
      <c r="C98" s="288" t="s">
        <v>228</v>
      </c>
      <c r="D98" s="414" t="s">
        <v>3895</v>
      </c>
      <c r="E98" s="407" t="s">
        <v>8043</v>
      </c>
      <c r="F98" s="483" t="s">
        <v>3122</v>
      </c>
      <c r="G98" s="483" t="s">
        <v>3121</v>
      </c>
      <c r="H98" s="411" t="s">
        <v>3128</v>
      </c>
      <c r="I98" s="411"/>
      <c r="J98" s="411"/>
      <c r="K98" s="411"/>
      <c r="L98" s="608">
        <v>8051.2362204724404</v>
      </c>
      <c r="M98" s="409">
        <v>1012.2952755905512</v>
      </c>
      <c r="N98" s="409">
        <v>9063.5314960629912</v>
      </c>
      <c r="O98" s="410" t="s">
        <v>7805</v>
      </c>
      <c r="P98" s="406">
        <v>95</v>
      </c>
      <c r="Q98" s="470" t="s">
        <v>228</v>
      </c>
      <c r="R98" s="460" t="s">
        <v>229</v>
      </c>
      <c r="S98" s="270" t="s">
        <v>32</v>
      </c>
      <c r="U98" s="471"/>
      <c r="V98" s="471">
        <v>1</v>
      </c>
      <c r="W98" s="471" t="s">
        <v>229</v>
      </c>
      <c r="X98" s="471">
        <v>0</v>
      </c>
    </row>
    <row r="99" spans="1:26">
      <c r="A99" s="406">
        <v>96</v>
      </c>
      <c r="B99" s="613" t="s">
        <v>3129</v>
      </c>
      <c r="C99" s="288" t="s">
        <v>230</v>
      </c>
      <c r="D99" s="414" t="s">
        <v>3900</v>
      </c>
      <c r="E99" s="407" t="s">
        <v>8044</v>
      </c>
      <c r="F99" s="483"/>
      <c r="G99" s="411"/>
      <c r="H99" s="411"/>
      <c r="I99" s="411"/>
      <c r="J99" s="411"/>
      <c r="K99" s="411"/>
      <c r="L99" s="608" t="s">
        <v>4884</v>
      </c>
      <c r="M99" s="409">
        <v>13024.125984251968</v>
      </c>
      <c r="N99" s="409">
        <v>13024.125984251968</v>
      </c>
      <c r="O99" s="410" t="s">
        <v>7570</v>
      </c>
      <c r="P99" s="406">
        <v>96</v>
      </c>
      <c r="Q99" s="470" t="s">
        <v>230</v>
      </c>
      <c r="R99" s="460" t="s">
        <v>231</v>
      </c>
      <c r="S99" s="270" t="s">
        <v>32</v>
      </c>
      <c r="U99" s="471"/>
      <c r="V99" s="471">
        <v>1</v>
      </c>
      <c r="W99" s="471" t="s">
        <v>231</v>
      </c>
      <c r="X99" s="471">
        <v>0</v>
      </c>
    </row>
    <row r="100" spans="1:26">
      <c r="A100" s="406">
        <v>97</v>
      </c>
      <c r="B100" s="613" t="s">
        <v>3130</v>
      </c>
      <c r="C100" s="288" t="s">
        <v>232</v>
      </c>
      <c r="D100" s="414" t="s">
        <v>3902</v>
      </c>
      <c r="E100" s="407" t="s">
        <v>8045</v>
      </c>
      <c r="F100" s="483"/>
      <c r="G100" s="411"/>
      <c r="H100" s="411"/>
      <c r="I100" s="411"/>
      <c r="J100" s="411"/>
      <c r="K100" s="411"/>
      <c r="L100" s="608" t="s">
        <v>4884</v>
      </c>
      <c r="M100" s="409">
        <v>12905.377952755907</v>
      </c>
      <c r="N100" s="409">
        <v>12905.377952755907</v>
      </c>
      <c r="O100" s="410" t="s">
        <v>7570</v>
      </c>
      <c r="P100" s="406">
        <v>97</v>
      </c>
      <c r="Q100" s="470" t="s">
        <v>232</v>
      </c>
      <c r="R100" s="460" t="s">
        <v>233</v>
      </c>
      <c r="S100" s="270" t="s">
        <v>32</v>
      </c>
      <c r="U100" s="471"/>
      <c r="V100" s="471">
        <v>1</v>
      </c>
      <c r="W100" s="471" t="s">
        <v>233</v>
      </c>
      <c r="X100" s="471">
        <v>0</v>
      </c>
    </row>
    <row r="101" spans="1:26">
      <c r="A101" s="406">
        <v>98</v>
      </c>
      <c r="B101" s="613" t="s">
        <v>3132</v>
      </c>
      <c r="C101" s="288" t="s">
        <v>234</v>
      </c>
      <c r="D101" s="414" t="s">
        <v>3863</v>
      </c>
      <c r="E101" s="407" t="s">
        <v>8046</v>
      </c>
      <c r="F101" s="483" t="s">
        <v>3131</v>
      </c>
      <c r="G101" s="411" t="s">
        <v>3133</v>
      </c>
      <c r="H101" s="411"/>
      <c r="I101" s="411"/>
      <c r="J101" s="411"/>
      <c r="K101" s="411"/>
      <c r="L101" s="608">
        <v>4244.389763779528</v>
      </c>
      <c r="M101" s="409">
        <v>1631.9133858267717</v>
      </c>
      <c r="N101" s="409">
        <v>5876.3031496063004</v>
      </c>
      <c r="O101" s="410" t="s">
        <v>7775</v>
      </c>
      <c r="P101" s="406">
        <v>98</v>
      </c>
      <c r="Q101" s="470" t="s">
        <v>234</v>
      </c>
      <c r="R101" s="460" t="s">
        <v>235</v>
      </c>
      <c r="S101" s="270" t="s">
        <v>32</v>
      </c>
      <c r="U101" s="471"/>
      <c r="V101" s="471">
        <v>1</v>
      </c>
      <c r="W101" s="471" t="s">
        <v>235</v>
      </c>
      <c r="X101" s="471">
        <v>0</v>
      </c>
    </row>
    <row r="102" spans="1:26">
      <c r="A102" s="406">
        <v>99</v>
      </c>
      <c r="B102" s="613" t="s">
        <v>3136</v>
      </c>
      <c r="C102" s="288" t="s">
        <v>236</v>
      </c>
      <c r="D102" s="414" t="s">
        <v>3896</v>
      </c>
      <c r="E102" s="407" t="s">
        <v>8047</v>
      </c>
      <c r="F102" s="483" t="s">
        <v>3134</v>
      </c>
      <c r="G102" s="411" t="s">
        <v>3137</v>
      </c>
      <c r="H102" s="411"/>
      <c r="I102" s="411"/>
      <c r="J102" s="411"/>
      <c r="K102" s="411"/>
      <c r="L102" s="608">
        <v>3440.8503937007872</v>
      </c>
      <c r="M102" s="409">
        <v>1888.1023622047244</v>
      </c>
      <c r="N102" s="409">
        <v>5328.9527559055123</v>
      </c>
      <c r="O102" s="410" t="s">
        <v>7775</v>
      </c>
      <c r="P102" s="406">
        <v>99</v>
      </c>
      <c r="Q102" s="470" t="s">
        <v>236</v>
      </c>
      <c r="R102" s="460" t="s">
        <v>237</v>
      </c>
      <c r="S102" s="270" t="s">
        <v>32</v>
      </c>
      <c r="U102" s="471"/>
      <c r="V102" s="471">
        <v>1</v>
      </c>
      <c r="W102" s="471" t="s">
        <v>237</v>
      </c>
      <c r="X102" s="471">
        <v>0</v>
      </c>
    </row>
    <row r="103" spans="1:26">
      <c r="A103" s="406">
        <v>100</v>
      </c>
      <c r="B103" s="613" t="s">
        <v>3138</v>
      </c>
      <c r="C103" s="288" t="s">
        <v>238</v>
      </c>
      <c r="D103" s="414" t="s">
        <v>3897</v>
      </c>
      <c r="E103" s="407" t="s">
        <v>8048</v>
      </c>
      <c r="F103" s="483" t="s">
        <v>3135</v>
      </c>
      <c r="G103" s="411" t="s">
        <v>3139</v>
      </c>
      <c r="H103" s="411"/>
      <c r="I103" s="411"/>
      <c r="J103" s="411"/>
      <c r="K103" s="411"/>
      <c r="L103" s="608">
        <v>2932.1496062992128</v>
      </c>
      <c r="M103" s="409">
        <v>2217.8740157480315</v>
      </c>
      <c r="N103" s="409">
        <v>5150.0236220472452</v>
      </c>
      <c r="O103" s="410" t="s">
        <v>7775</v>
      </c>
      <c r="P103" s="406">
        <v>100</v>
      </c>
      <c r="Q103" s="470" t="s">
        <v>238</v>
      </c>
      <c r="R103" s="460" t="s">
        <v>239</v>
      </c>
      <c r="S103" s="270" t="s">
        <v>32</v>
      </c>
      <c r="U103" s="471"/>
      <c r="V103" s="471">
        <v>1</v>
      </c>
      <c r="W103" s="471" t="s">
        <v>239</v>
      </c>
      <c r="X103" s="471">
        <v>0</v>
      </c>
    </row>
    <row r="104" spans="1:26">
      <c r="A104" s="406">
        <v>101</v>
      </c>
      <c r="B104" s="613" t="s">
        <v>3104</v>
      </c>
      <c r="C104" s="288" t="s">
        <v>240</v>
      </c>
      <c r="D104" s="414" t="s">
        <v>3967</v>
      </c>
      <c r="E104" s="407" t="s">
        <v>8049</v>
      </c>
      <c r="F104" s="483"/>
      <c r="G104" s="411"/>
      <c r="H104" s="411"/>
      <c r="I104" s="411"/>
      <c r="J104" s="411"/>
      <c r="K104" s="411"/>
      <c r="L104" s="608" t="s">
        <v>4884</v>
      </c>
      <c r="M104" s="409">
        <v>5026.3700787401576</v>
      </c>
      <c r="N104" s="409">
        <v>5026.3700787401576</v>
      </c>
      <c r="O104" s="410" t="s">
        <v>7576</v>
      </c>
      <c r="P104" s="406">
        <v>101</v>
      </c>
      <c r="Q104" s="470" t="s">
        <v>240</v>
      </c>
      <c r="R104" s="460" t="s">
        <v>241</v>
      </c>
      <c r="S104" s="270" t="s">
        <v>32</v>
      </c>
      <c r="U104" s="471">
        <v>1</v>
      </c>
      <c r="V104" s="471"/>
      <c r="W104" s="471" t="s">
        <v>241</v>
      </c>
      <c r="X104" s="471">
        <v>0</v>
      </c>
    </row>
    <row r="105" spans="1:26">
      <c r="A105" s="406">
        <v>102</v>
      </c>
      <c r="B105" s="613" t="s">
        <v>2962</v>
      </c>
      <c r="C105" s="288" t="s">
        <v>242</v>
      </c>
      <c r="D105" s="414" t="s">
        <v>4016</v>
      </c>
      <c r="E105" s="407" t="s">
        <v>8050</v>
      </c>
      <c r="F105" s="483"/>
      <c r="G105" s="411"/>
      <c r="H105" s="411"/>
      <c r="I105" s="411"/>
      <c r="J105" s="411"/>
      <c r="K105" s="411"/>
      <c r="L105" s="608" t="s">
        <v>4884</v>
      </c>
      <c r="M105" s="409">
        <v>5085.7283464566935</v>
      </c>
      <c r="N105" s="409">
        <v>5085.7283464566935</v>
      </c>
      <c r="O105" s="410" t="s">
        <v>7576</v>
      </c>
      <c r="P105" s="406">
        <v>102</v>
      </c>
      <c r="Q105" s="470" t="s">
        <v>242</v>
      </c>
      <c r="R105" s="460" t="s">
        <v>243</v>
      </c>
      <c r="S105" s="270" t="s">
        <v>32</v>
      </c>
      <c r="U105" s="471">
        <v>1</v>
      </c>
      <c r="V105" s="471"/>
      <c r="W105" s="471" t="s">
        <v>243</v>
      </c>
      <c r="X105" s="471">
        <v>0</v>
      </c>
    </row>
    <row r="106" spans="1:26">
      <c r="A106" s="406">
        <v>103</v>
      </c>
      <c r="B106" s="613" t="s">
        <v>2688</v>
      </c>
      <c r="C106" s="288" t="s">
        <v>244</v>
      </c>
      <c r="D106" s="414" t="s">
        <v>3630</v>
      </c>
      <c r="E106" s="407" t="s">
        <v>8016</v>
      </c>
      <c r="F106" s="483" t="s">
        <v>2690</v>
      </c>
      <c r="G106" s="411" t="s">
        <v>2689</v>
      </c>
      <c r="H106" s="411"/>
      <c r="I106" s="411"/>
      <c r="J106" s="411"/>
      <c r="K106" s="411"/>
      <c r="L106" s="608">
        <v>4920.6181102362207</v>
      </c>
      <c r="M106" s="409">
        <v>13025.377952755907</v>
      </c>
      <c r="N106" s="409">
        <v>17945.996062992126</v>
      </c>
      <c r="O106" s="410" t="s">
        <v>7817</v>
      </c>
      <c r="P106" s="406">
        <v>103</v>
      </c>
      <c r="Q106" s="470" t="s">
        <v>244</v>
      </c>
      <c r="R106" s="460" t="s">
        <v>245</v>
      </c>
      <c r="S106" s="270" t="s">
        <v>32</v>
      </c>
      <c r="U106" s="471">
        <v>0</v>
      </c>
      <c r="V106" s="471"/>
      <c r="W106" s="471" t="s">
        <v>245</v>
      </c>
      <c r="X106" s="471">
        <v>0</v>
      </c>
      <c r="Z106" s="270" t="s">
        <v>246</v>
      </c>
    </row>
    <row r="107" spans="1:26">
      <c r="A107" s="406">
        <v>104</v>
      </c>
      <c r="B107" s="613" t="s">
        <v>2692</v>
      </c>
      <c r="C107" s="288" t="s">
        <v>247</v>
      </c>
      <c r="D107" s="414" t="s">
        <v>3497</v>
      </c>
      <c r="E107" s="407" t="s">
        <v>8018</v>
      </c>
      <c r="F107" s="483" t="s">
        <v>2694</v>
      </c>
      <c r="G107" s="411" t="s">
        <v>2693</v>
      </c>
      <c r="H107" s="411"/>
      <c r="I107" s="411"/>
      <c r="J107" s="411"/>
      <c r="K107" s="411"/>
      <c r="L107" s="608">
        <v>7439.9251968503941</v>
      </c>
      <c r="M107" s="409">
        <v>12575.212598425196</v>
      </c>
      <c r="N107" s="409">
        <v>20015.13779527559</v>
      </c>
      <c r="O107" s="410" t="s">
        <v>7750</v>
      </c>
      <c r="P107" s="406">
        <v>104</v>
      </c>
      <c r="Q107" s="470" t="s">
        <v>247</v>
      </c>
      <c r="R107" s="460" t="s">
        <v>248</v>
      </c>
      <c r="S107" s="270" t="s">
        <v>32</v>
      </c>
      <c r="U107" s="471">
        <v>0</v>
      </c>
      <c r="V107" s="471"/>
      <c r="W107" s="471" t="s">
        <v>248</v>
      </c>
      <c r="X107" s="471">
        <v>0</v>
      </c>
      <c r="Z107" s="270" t="s">
        <v>246</v>
      </c>
    </row>
    <row r="108" spans="1:26">
      <c r="A108" s="406">
        <v>105</v>
      </c>
      <c r="B108" s="613" t="s">
        <v>2696</v>
      </c>
      <c r="C108" s="288" t="s">
        <v>249</v>
      </c>
      <c r="D108" s="414" t="s">
        <v>3552</v>
      </c>
      <c r="E108" s="407" t="s">
        <v>8019</v>
      </c>
      <c r="F108" s="483" t="s">
        <v>2698</v>
      </c>
      <c r="G108" s="411" t="s">
        <v>2697</v>
      </c>
      <c r="H108" s="411"/>
      <c r="I108" s="411"/>
      <c r="J108" s="411"/>
      <c r="K108" s="411"/>
      <c r="L108" s="608">
        <v>5667.8622047244089</v>
      </c>
      <c r="M108" s="409">
        <v>12930.480314960629</v>
      </c>
      <c r="N108" s="409">
        <v>18598.342519685037</v>
      </c>
      <c r="O108" s="410" t="s">
        <v>7805</v>
      </c>
      <c r="P108" s="406">
        <v>105</v>
      </c>
      <c r="Q108" s="470" t="s">
        <v>249</v>
      </c>
      <c r="R108" s="460" t="s">
        <v>250</v>
      </c>
      <c r="S108" s="270" t="s">
        <v>32</v>
      </c>
      <c r="U108" s="471">
        <v>0</v>
      </c>
      <c r="V108" s="471"/>
      <c r="W108" s="471" t="s">
        <v>250</v>
      </c>
      <c r="X108" s="471">
        <v>0</v>
      </c>
      <c r="Z108" s="270" t="s">
        <v>246</v>
      </c>
    </row>
    <row r="109" spans="1:26">
      <c r="A109" s="406">
        <v>106</v>
      </c>
      <c r="B109" s="613" t="s">
        <v>2963</v>
      </c>
      <c r="C109" s="288" t="s">
        <v>251</v>
      </c>
      <c r="D109" s="414" t="s">
        <v>3955</v>
      </c>
      <c r="E109" s="407" t="s">
        <v>8051</v>
      </c>
      <c r="F109" s="483"/>
      <c r="G109" s="411"/>
      <c r="H109" s="411"/>
      <c r="I109" s="411"/>
      <c r="J109" s="411"/>
      <c r="K109" s="411"/>
      <c r="L109" s="608" t="s">
        <v>4884</v>
      </c>
      <c r="M109" s="409">
        <v>4963.7401574803152</v>
      </c>
      <c r="N109" s="409">
        <v>4963.7401574803152</v>
      </c>
      <c r="O109" s="410" t="s">
        <v>7573</v>
      </c>
      <c r="P109" s="406">
        <v>106</v>
      </c>
      <c r="Q109" s="470" t="s">
        <v>251</v>
      </c>
      <c r="R109" s="460" t="s">
        <v>252</v>
      </c>
      <c r="S109" s="270" t="s">
        <v>32</v>
      </c>
      <c r="U109" s="471">
        <v>1</v>
      </c>
      <c r="V109" s="471"/>
      <c r="W109" s="471" t="s">
        <v>252</v>
      </c>
      <c r="X109" s="471">
        <v>0</v>
      </c>
    </row>
    <row r="110" spans="1:26">
      <c r="A110" s="406">
        <v>107</v>
      </c>
      <c r="B110" s="613" t="s">
        <v>6641</v>
      </c>
      <c r="C110" s="288" t="s">
        <v>253</v>
      </c>
      <c r="D110" s="414" t="s">
        <v>3649</v>
      </c>
      <c r="E110" s="407" t="s">
        <v>7996</v>
      </c>
      <c r="F110" s="483" t="s">
        <v>2654</v>
      </c>
      <c r="G110" s="411" t="s">
        <v>2653</v>
      </c>
      <c r="H110" s="411"/>
      <c r="I110" s="411"/>
      <c r="J110" s="411"/>
      <c r="K110" s="411"/>
      <c r="L110" s="608">
        <v>4605.1496062992128</v>
      </c>
      <c r="M110" s="409">
        <v>9908.3818897637793</v>
      </c>
      <c r="N110" s="409">
        <v>14513.531496062991</v>
      </c>
      <c r="O110" s="410" t="s">
        <v>7805</v>
      </c>
      <c r="P110" s="406">
        <v>107</v>
      </c>
      <c r="Q110" s="470" t="s">
        <v>253</v>
      </c>
      <c r="R110" s="460" t="s">
        <v>254</v>
      </c>
      <c r="S110" s="270" t="s">
        <v>32</v>
      </c>
      <c r="U110" s="471">
        <v>0</v>
      </c>
      <c r="V110" s="471"/>
      <c r="W110" s="471" t="s">
        <v>254</v>
      </c>
      <c r="X110" s="471">
        <v>0</v>
      </c>
      <c r="Z110" s="270" t="s">
        <v>246</v>
      </c>
    </row>
    <row r="111" spans="1:26">
      <c r="A111" s="406">
        <v>108</v>
      </c>
      <c r="B111" s="613" t="s">
        <v>6642</v>
      </c>
      <c r="C111" s="288" t="s">
        <v>255</v>
      </c>
      <c r="D111" s="414" t="s">
        <v>3648</v>
      </c>
      <c r="E111" s="407" t="s">
        <v>7997</v>
      </c>
      <c r="F111" s="483" t="s">
        <v>2658</v>
      </c>
      <c r="G111" s="411" t="s">
        <v>2657</v>
      </c>
      <c r="H111" s="411"/>
      <c r="I111" s="411"/>
      <c r="J111" s="411"/>
      <c r="K111" s="411"/>
      <c r="L111" s="608">
        <v>4605.1338582677163</v>
      </c>
      <c r="M111" s="409">
        <v>9867.677165354331</v>
      </c>
      <c r="N111" s="409">
        <v>14472.811023622047</v>
      </c>
      <c r="O111" s="410" t="s">
        <v>7822</v>
      </c>
      <c r="P111" s="406">
        <v>108</v>
      </c>
      <c r="Q111" s="470" t="s">
        <v>255</v>
      </c>
      <c r="R111" s="460" t="s">
        <v>256</v>
      </c>
      <c r="S111" s="270" t="s">
        <v>32</v>
      </c>
      <c r="U111" s="471">
        <v>0</v>
      </c>
      <c r="V111" s="471"/>
      <c r="W111" s="471" t="s">
        <v>256</v>
      </c>
      <c r="X111" s="471">
        <v>0</v>
      </c>
      <c r="Z111" s="270" t="s">
        <v>246</v>
      </c>
    </row>
    <row r="112" spans="1:26">
      <c r="A112" s="406">
        <v>109</v>
      </c>
      <c r="B112" s="613" t="s">
        <v>5841</v>
      </c>
      <c r="C112" s="288" t="s">
        <v>257</v>
      </c>
      <c r="D112" s="414" t="s">
        <v>3554</v>
      </c>
      <c r="E112" s="407" t="s">
        <v>7998</v>
      </c>
      <c r="F112" s="483" t="s">
        <v>2662</v>
      </c>
      <c r="G112" s="411" t="s">
        <v>2661</v>
      </c>
      <c r="H112" s="411"/>
      <c r="I112" s="411"/>
      <c r="J112" s="411"/>
      <c r="K112" s="411"/>
      <c r="L112" s="608">
        <v>6494.9251968503941</v>
      </c>
      <c r="M112" s="409">
        <v>13704.326771653545</v>
      </c>
      <c r="N112" s="409">
        <v>20199.251968503941</v>
      </c>
      <c r="O112" s="410" t="s">
        <v>7818</v>
      </c>
      <c r="P112" s="406">
        <v>109</v>
      </c>
      <c r="Q112" s="470" t="s">
        <v>257</v>
      </c>
      <c r="R112" s="460" t="s">
        <v>258</v>
      </c>
      <c r="S112" s="270" t="s">
        <v>32</v>
      </c>
      <c r="U112" s="471">
        <v>0</v>
      </c>
      <c r="V112" s="471"/>
      <c r="W112" s="471" t="s">
        <v>258</v>
      </c>
      <c r="X112" s="471">
        <v>0</v>
      </c>
      <c r="Z112" s="270" t="s">
        <v>246</v>
      </c>
    </row>
    <row r="113" spans="1:26">
      <c r="A113" s="406">
        <v>110</v>
      </c>
      <c r="B113" s="613" t="s">
        <v>5840</v>
      </c>
      <c r="C113" s="288" t="s">
        <v>259</v>
      </c>
      <c r="D113" s="414" t="s">
        <v>3538</v>
      </c>
      <c r="E113" s="407" t="s">
        <v>7999</v>
      </c>
      <c r="F113" s="483" t="s">
        <v>2666</v>
      </c>
      <c r="G113" s="411" t="s">
        <v>2665</v>
      </c>
      <c r="H113" s="411"/>
      <c r="I113" s="411"/>
      <c r="J113" s="411"/>
      <c r="K113" s="411"/>
      <c r="L113" s="608">
        <v>6494.9606299212601</v>
      </c>
      <c r="M113" s="409">
        <v>13381.728346456694</v>
      </c>
      <c r="N113" s="409">
        <v>19876.688976377951</v>
      </c>
      <c r="O113" s="410" t="s">
        <v>7803</v>
      </c>
      <c r="P113" s="406">
        <v>110</v>
      </c>
      <c r="Q113" s="470" t="s">
        <v>259</v>
      </c>
      <c r="R113" s="460" t="s">
        <v>260</v>
      </c>
      <c r="S113" s="270" t="s">
        <v>32</v>
      </c>
      <c r="U113" s="471">
        <v>0</v>
      </c>
      <c r="V113" s="471"/>
      <c r="W113" s="471" t="s">
        <v>260</v>
      </c>
      <c r="X113" s="471">
        <v>0</v>
      </c>
      <c r="Z113" s="270" t="s">
        <v>246</v>
      </c>
    </row>
    <row r="114" spans="1:26">
      <c r="A114" s="406">
        <v>111</v>
      </c>
      <c r="B114" s="613" t="s">
        <v>2668</v>
      </c>
      <c r="C114" s="288" t="s">
        <v>261</v>
      </c>
      <c r="D114" s="414" t="s">
        <v>3513</v>
      </c>
      <c r="E114" s="407" t="s">
        <v>8011</v>
      </c>
      <c r="F114" s="483" t="s">
        <v>2670</v>
      </c>
      <c r="G114" s="411" t="s">
        <v>2669</v>
      </c>
      <c r="H114" s="411"/>
      <c r="I114" s="411"/>
      <c r="J114" s="411"/>
      <c r="K114" s="411"/>
      <c r="L114" s="608">
        <v>5943.0511811023625</v>
      </c>
      <c r="M114" s="409">
        <v>13548.507874015748</v>
      </c>
      <c r="N114" s="409">
        <v>19491.559055118112</v>
      </c>
      <c r="O114" s="410" t="s">
        <v>7803</v>
      </c>
      <c r="P114" s="406">
        <v>111</v>
      </c>
      <c r="Q114" s="470" t="s">
        <v>261</v>
      </c>
      <c r="R114" s="460" t="s">
        <v>262</v>
      </c>
      <c r="S114" s="270" t="s">
        <v>32</v>
      </c>
      <c r="U114" s="471">
        <v>0</v>
      </c>
      <c r="V114" s="471"/>
      <c r="W114" s="471" t="s">
        <v>262</v>
      </c>
      <c r="X114" s="471">
        <v>0</v>
      </c>
      <c r="Z114" s="270" t="s">
        <v>246</v>
      </c>
    </row>
    <row r="115" spans="1:26">
      <c r="A115" s="406">
        <v>112</v>
      </c>
      <c r="B115" s="613" t="s">
        <v>2672</v>
      </c>
      <c r="C115" s="288" t="s">
        <v>263</v>
      </c>
      <c r="D115" s="414" t="s">
        <v>3539</v>
      </c>
      <c r="E115" s="407" t="s">
        <v>8012</v>
      </c>
      <c r="F115" s="483" t="s">
        <v>2674</v>
      </c>
      <c r="G115" s="411" t="s">
        <v>2673</v>
      </c>
      <c r="H115" s="411"/>
      <c r="I115" s="411"/>
      <c r="J115" s="411"/>
      <c r="K115" s="411"/>
      <c r="L115" s="608">
        <v>5943.3976377952758</v>
      </c>
      <c r="M115" s="409">
        <v>13502.125984251968</v>
      </c>
      <c r="N115" s="409">
        <v>19445.523622047243</v>
      </c>
      <c r="O115" s="410" t="s">
        <v>7757</v>
      </c>
      <c r="P115" s="406">
        <v>112</v>
      </c>
      <c r="Q115" s="470" t="s">
        <v>263</v>
      </c>
      <c r="R115" s="460" t="s">
        <v>264</v>
      </c>
      <c r="S115" s="270" t="s">
        <v>32</v>
      </c>
      <c r="U115" s="471">
        <v>0</v>
      </c>
      <c r="V115" s="471"/>
      <c r="W115" s="471" t="s">
        <v>264</v>
      </c>
      <c r="X115" s="471">
        <v>0</v>
      </c>
      <c r="Z115" s="270" t="s">
        <v>246</v>
      </c>
    </row>
    <row r="116" spans="1:26">
      <c r="A116" s="406">
        <v>113</v>
      </c>
      <c r="B116" s="613" t="s">
        <v>2676</v>
      </c>
      <c r="C116" s="288" t="s">
        <v>265</v>
      </c>
      <c r="D116" s="414" t="s">
        <v>3585</v>
      </c>
      <c r="E116" s="407" t="s">
        <v>8013</v>
      </c>
      <c r="F116" s="483" t="s">
        <v>2678</v>
      </c>
      <c r="G116" s="411" t="s">
        <v>2677</v>
      </c>
      <c r="H116" s="411"/>
      <c r="I116" s="411"/>
      <c r="J116" s="411"/>
      <c r="K116" s="411"/>
      <c r="L116" s="608">
        <v>7873.854330708662</v>
      </c>
      <c r="M116" s="409">
        <v>12454.870078740158</v>
      </c>
      <c r="N116" s="409">
        <v>20328.72440944882</v>
      </c>
      <c r="O116" s="410" t="s">
        <v>7817</v>
      </c>
      <c r="P116" s="406">
        <v>113</v>
      </c>
      <c r="Q116" s="470" t="s">
        <v>265</v>
      </c>
      <c r="R116" s="460" t="s">
        <v>266</v>
      </c>
      <c r="S116" s="270" t="s">
        <v>32</v>
      </c>
      <c r="U116" s="471">
        <v>0</v>
      </c>
      <c r="V116" s="471"/>
      <c r="W116" s="471" t="s">
        <v>266</v>
      </c>
      <c r="X116" s="471">
        <v>0</v>
      </c>
      <c r="Z116" s="270" t="s">
        <v>246</v>
      </c>
    </row>
    <row r="117" spans="1:26">
      <c r="A117" s="406">
        <v>114</v>
      </c>
      <c r="B117" s="613" t="s">
        <v>2680</v>
      </c>
      <c r="C117" s="288" t="s">
        <v>267</v>
      </c>
      <c r="D117" s="414" t="s">
        <v>3588</v>
      </c>
      <c r="E117" s="407" t="s">
        <v>8014</v>
      </c>
      <c r="F117" s="483" t="s">
        <v>2682</v>
      </c>
      <c r="G117" s="411" t="s">
        <v>2681</v>
      </c>
      <c r="H117" s="411"/>
      <c r="I117" s="411"/>
      <c r="J117" s="411"/>
      <c r="K117" s="411"/>
      <c r="L117" s="608">
        <v>7439.8385826771655</v>
      </c>
      <c r="M117" s="409">
        <v>12535.748031496065</v>
      </c>
      <c r="N117" s="409">
        <v>19975.586614173229</v>
      </c>
      <c r="O117" s="410" t="s">
        <v>7817</v>
      </c>
      <c r="P117" s="406">
        <v>114</v>
      </c>
      <c r="Q117" s="470" t="s">
        <v>267</v>
      </c>
      <c r="R117" s="460" t="s">
        <v>268</v>
      </c>
      <c r="S117" s="270" t="s">
        <v>32</v>
      </c>
      <c r="U117" s="471">
        <v>0</v>
      </c>
      <c r="V117" s="471"/>
      <c r="W117" s="471" t="s">
        <v>268</v>
      </c>
      <c r="X117" s="471">
        <v>0</v>
      </c>
      <c r="Z117" s="270" t="s">
        <v>246</v>
      </c>
    </row>
    <row r="118" spans="1:26">
      <c r="A118" s="406">
        <v>115</v>
      </c>
      <c r="B118" s="613" t="s">
        <v>2964</v>
      </c>
      <c r="C118" s="288" t="s">
        <v>269</v>
      </c>
      <c r="D118" s="414" t="s">
        <v>3999</v>
      </c>
      <c r="E118" s="407" t="s">
        <v>8052</v>
      </c>
      <c r="F118" s="483"/>
      <c r="G118" s="411"/>
      <c r="H118" s="411"/>
      <c r="I118" s="411"/>
      <c r="J118" s="411"/>
      <c r="K118" s="411"/>
      <c r="L118" s="608" t="s">
        <v>4884</v>
      </c>
      <c r="M118" s="409">
        <v>4561.3818897637793</v>
      </c>
      <c r="N118" s="409">
        <v>4561.3818897637793</v>
      </c>
      <c r="O118" s="410" t="s">
        <v>7572</v>
      </c>
      <c r="P118" s="406">
        <v>115</v>
      </c>
      <c r="Q118" s="470" t="s">
        <v>269</v>
      </c>
      <c r="R118" s="460" t="s">
        <v>270</v>
      </c>
      <c r="S118" s="270" t="s">
        <v>32</v>
      </c>
      <c r="U118" s="471">
        <v>1</v>
      </c>
      <c r="V118" s="471"/>
      <c r="W118" s="471" t="s">
        <v>270</v>
      </c>
      <c r="X118" s="471">
        <v>0</v>
      </c>
      <c r="Z118" s="270" t="s">
        <v>271</v>
      </c>
    </row>
    <row r="119" spans="1:26">
      <c r="A119" s="406">
        <v>116</v>
      </c>
      <c r="B119" s="613" t="s">
        <v>2965</v>
      </c>
      <c r="C119" s="288" t="s">
        <v>272</v>
      </c>
      <c r="D119" s="414" t="s">
        <v>4002</v>
      </c>
      <c r="E119" s="407" t="s">
        <v>8053</v>
      </c>
      <c r="F119" s="483"/>
      <c r="G119" s="411"/>
      <c r="H119" s="411"/>
      <c r="I119" s="411"/>
      <c r="J119" s="411"/>
      <c r="K119" s="411"/>
      <c r="L119" s="608" t="s">
        <v>4884</v>
      </c>
      <c r="M119" s="409">
        <v>4337.9370078740158</v>
      </c>
      <c r="N119" s="409">
        <v>4337.9370078740158</v>
      </c>
      <c r="O119" s="410" t="s">
        <v>7572</v>
      </c>
      <c r="P119" s="406">
        <v>116</v>
      </c>
      <c r="Q119" s="470" t="s">
        <v>272</v>
      </c>
      <c r="R119" s="460" t="s">
        <v>273</v>
      </c>
      <c r="S119" s="270" t="s">
        <v>32</v>
      </c>
      <c r="U119" s="471">
        <v>1</v>
      </c>
      <c r="V119" s="471"/>
      <c r="W119" s="471" t="s">
        <v>273</v>
      </c>
      <c r="X119" s="471">
        <v>0</v>
      </c>
      <c r="Z119" s="270" t="s">
        <v>271</v>
      </c>
    </row>
    <row r="120" spans="1:26">
      <c r="A120" s="406">
        <v>117</v>
      </c>
      <c r="B120" s="613" t="s">
        <v>2700</v>
      </c>
      <c r="C120" s="288" t="s">
        <v>274</v>
      </c>
      <c r="D120" s="414" t="s">
        <v>3609</v>
      </c>
      <c r="E120" s="407" t="s">
        <v>8020</v>
      </c>
      <c r="F120" s="483" t="s">
        <v>2702</v>
      </c>
      <c r="G120" s="411" t="s">
        <v>2701</v>
      </c>
      <c r="H120" s="411"/>
      <c r="I120" s="411"/>
      <c r="J120" s="411"/>
      <c r="K120" s="411"/>
      <c r="L120" s="608">
        <v>4920.8267716535438</v>
      </c>
      <c r="M120" s="409">
        <v>12331.244094488189</v>
      </c>
      <c r="N120" s="409">
        <v>17252.07086614173</v>
      </c>
      <c r="O120" s="410" t="s">
        <v>7794</v>
      </c>
      <c r="P120" s="406">
        <v>117</v>
      </c>
      <c r="Q120" s="470" t="s">
        <v>274</v>
      </c>
      <c r="R120" s="460" t="s">
        <v>275</v>
      </c>
      <c r="S120" s="270" t="s">
        <v>32</v>
      </c>
      <c r="U120" s="471">
        <v>0</v>
      </c>
      <c r="V120" s="471"/>
      <c r="W120" s="471" t="s">
        <v>275</v>
      </c>
      <c r="X120" s="471">
        <v>0</v>
      </c>
      <c r="Z120" s="270" t="s">
        <v>246</v>
      </c>
    </row>
    <row r="121" spans="1:26">
      <c r="A121" s="406">
        <v>118</v>
      </c>
      <c r="B121" s="613" t="s">
        <v>2704</v>
      </c>
      <c r="C121" s="288" t="s">
        <v>276</v>
      </c>
      <c r="D121" s="414" t="s">
        <v>3584</v>
      </c>
      <c r="E121" s="407" t="s">
        <v>8017</v>
      </c>
      <c r="F121" s="483" t="s">
        <v>2706</v>
      </c>
      <c r="G121" s="411" t="s">
        <v>2705</v>
      </c>
      <c r="H121" s="411"/>
      <c r="I121" s="411"/>
      <c r="J121" s="411"/>
      <c r="K121" s="411"/>
      <c r="L121" s="608">
        <v>7873.1377952755911</v>
      </c>
      <c r="M121" s="409">
        <v>12490.562992125984</v>
      </c>
      <c r="N121" s="409">
        <v>20363.700787401573</v>
      </c>
      <c r="O121" s="410" t="s">
        <v>7775</v>
      </c>
      <c r="P121" s="406">
        <v>118</v>
      </c>
      <c r="Q121" s="470" t="s">
        <v>276</v>
      </c>
      <c r="R121" s="460" t="s">
        <v>277</v>
      </c>
      <c r="S121" s="270" t="s">
        <v>32</v>
      </c>
      <c r="U121" s="471">
        <v>0</v>
      </c>
      <c r="V121" s="471"/>
      <c r="W121" s="471" t="s">
        <v>277</v>
      </c>
      <c r="X121" s="471">
        <v>0</v>
      </c>
      <c r="Z121" s="270" t="s">
        <v>246</v>
      </c>
    </row>
    <row r="122" spans="1:26">
      <c r="A122" s="406">
        <v>119</v>
      </c>
      <c r="B122" s="613" t="s">
        <v>2709</v>
      </c>
      <c r="C122" s="288" t="s">
        <v>278</v>
      </c>
      <c r="D122" s="414" t="s">
        <v>3647</v>
      </c>
      <c r="E122" s="407" t="s">
        <v>8054</v>
      </c>
      <c r="F122" s="483" t="s">
        <v>2707</v>
      </c>
      <c r="G122" s="411" t="s">
        <v>2710</v>
      </c>
      <c r="H122" s="411"/>
      <c r="I122" s="411"/>
      <c r="J122" s="411"/>
      <c r="K122" s="411"/>
      <c r="L122" s="608">
        <v>4830.9133858267724</v>
      </c>
      <c r="M122" s="409">
        <v>13437.468503937007</v>
      </c>
      <c r="N122" s="409">
        <v>18268.381889763779</v>
      </c>
      <c r="O122" s="410" t="s">
        <v>7815</v>
      </c>
      <c r="P122" s="406">
        <v>119</v>
      </c>
      <c r="Q122" s="470" t="s">
        <v>278</v>
      </c>
      <c r="R122" s="460" t="s">
        <v>279</v>
      </c>
      <c r="S122" s="270" t="s">
        <v>32</v>
      </c>
      <c r="U122" s="471">
        <v>0</v>
      </c>
      <c r="V122" s="471"/>
      <c r="W122" s="471" t="s">
        <v>279</v>
      </c>
      <c r="X122" s="471">
        <v>0</v>
      </c>
      <c r="Z122" s="270" t="s">
        <v>246</v>
      </c>
    </row>
    <row r="123" spans="1:26">
      <c r="A123" s="406">
        <v>120</v>
      </c>
      <c r="B123" s="613" t="s">
        <v>6643</v>
      </c>
      <c r="C123" s="288" t="s">
        <v>280</v>
      </c>
      <c r="D123" s="414" t="s">
        <v>3660</v>
      </c>
      <c r="E123" s="407" t="s">
        <v>8055</v>
      </c>
      <c r="F123" s="483" t="s">
        <v>2711</v>
      </c>
      <c r="G123" s="411" t="s">
        <v>2712</v>
      </c>
      <c r="H123" s="411"/>
      <c r="I123" s="411"/>
      <c r="J123" s="411"/>
      <c r="K123" s="411"/>
      <c r="L123" s="608">
        <v>3344.1062992125985</v>
      </c>
      <c r="M123" s="409">
        <v>13462.059055118112</v>
      </c>
      <c r="N123" s="409">
        <v>16806.165354330707</v>
      </c>
      <c r="O123" s="410" t="s">
        <v>7781</v>
      </c>
      <c r="P123" s="406">
        <v>120</v>
      </c>
      <c r="Q123" s="470" t="s">
        <v>280</v>
      </c>
      <c r="R123" s="460" t="s">
        <v>281</v>
      </c>
      <c r="S123" s="270" t="s">
        <v>32</v>
      </c>
      <c r="U123" s="471">
        <v>0</v>
      </c>
      <c r="V123" s="471"/>
      <c r="W123" s="471" t="s">
        <v>281</v>
      </c>
      <c r="X123" s="477">
        <v>1</v>
      </c>
      <c r="Z123" s="270" t="s">
        <v>246</v>
      </c>
    </row>
    <row r="124" spans="1:26">
      <c r="A124" s="406">
        <v>121</v>
      </c>
      <c r="B124" s="613" t="s">
        <v>2623</v>
      </c>
      <c r="C124" s="288" t="s">
        <v>282</v>
      </c>
      <c r="D124" s="414" t="s">
        <v>3616</v>
      </c>
      <c r="E124" s="407" t="s">
        <v>8056</v>
      </c>
      <c r="F124" s="483" t="s">
        <v>2621</v>
      </c>
      <c r="G124" s="411" t="s">
        <v>2624</v>
      </c>
      <c r="H124" s="411"/>
      <c r="I124" s="411"/>
      <c r="J124" s="411"/>
      <c r="K124" s="411"/>
      <c r="L124" s="608">
        <v>4290.1968503937014</v>
      </c>
      <c r="M124" s="409">
        <v>10345.34251968504</v>
      </c>
      <c r="N124" s="409">
        <v>14635.539370078741</v>
      </c>
      <c r="O124" s="410" t="s">
        <v>7760</v>
      </c>
      <c r="P124" s="406">
        <v>121</v>
      </c>
      <c r="Q124" s="470" t="s">
        <v>282</v>
      </c>
      <c r="R124" s="460" t="s">
        <v>283</v>
      </c>
      <c r="S124" s="270" t="s">
        <v>32</v>
      </c>
      <c r="U124" s="471">
        <v>0</v>
      </c>
      <c r="V124" s="471"/>
      <c r="W124" s="471" t="s">
        <v>283</v>
      </c>
      <c r="X124" s="471">
        <v>0</v>
      </c>
      <c r="Z124" s="270" t="s">
        <v>246</v>
      </c>
    </row>
    <row r="125" spans="1:26">
      <c r="A125" s="406">
        <v>122</v>
      </c>
      <c r="B125" s="613" t="s">
        <v>2627</v>
      </c>
      <c r="C125" s="288" t="s">
        <v>284</v>
      </c>
      <c r="D125" s="414" t="s">
        <v>3622</v>
      </c>
      <c r="E125" s="407" t="s">
        <v>8057</v>
      </c>
      <c r="F125" s="483" t="s">
        <v>2625</v>
      </c>
      <c r="G125" s="411" t="s">
        <v>2628</v>
      </c>
      <c r="H125" s="411"/>
      <c r="I125" s="411"/>
      <c r="J125" s="411"/>
      <c r="K125" s="411"/>
      <c r="L125" s="608">
        <v>3858.2401574803152</v>
      </c>
      <c r="M125" s="409">
        <v>9765.1259842519685</v>
      </c>
      <c r="N125" s="409">
        <v>13623.366141732284</v>
      </c>
      <c r="O125" s="410" t="s">
        <v>7760</v>
      </c>
      <c r="P125" s="406">
        <v>122</v>
      </c>
      <c r="Q125" s="470" t="s">
        <v>284</v>
      </c>
      <c r="R125" s="460" t="s">
        <v>285</v>
      </c>
      <c r="S125" s="270" t="s">
        <v>32</v>
      </c>
      <c r="U125" s="471">
        <v>0</v>
      </c>
      <c r="V125" s="471"/>
      <c r="W125" s="471" t="s">
        <v>285</v>
      </c>
      <c r="X125" s="471">
        <v>0</v>
      </c>
      <c r="Z125" s="270" t="s">
        <v>246</v>
      </c>
    </row>
    <row r="126" spans="1:26">
      <c r="A126" s="406">
        <v>123</v>
      </c>
      <c r="B126" s="613" t="s">
        <v>2631</v>
      </c>
      <c r="C126" s="288" t="s">
        <v>286</v>
      </c>
      <c r="D126" s="414" t="s">
        <v>3725</v>
      </c>
      <c r="E126" s="407" t="s">
        <v>8058</v>
      </c>
      <c r="F126" s="483" t="s">
        <v>2629</v>
      </c>
      <c r="G126" s="411" t="s">
        <v>2632</v>
      </c>
      <c r="H126" s="411"/>
      <c r="I126" s="411"/>
      <c r="J126" s="411"/>
      <c r="K126" s="411"/>
      <c r="L126" s="608">
        <v>3639.1023622047246</v>
      </c>
      <c r="M126" s="409">
        <v>9050.893700787401</v>
      </c>
      <c r="N126" s="409">
        <v>12689.996062992126</v>
      </c>
      <c r="O126" s="410" t="s">
        <v>7771</v>
      </c>
      <c r="P126" s="406">
        <v>123</v>
      </c>
      <c r="Q126" s="470" t="s">
        <v>286</v>
      </c>
      <c r="R126" s="460" t="s">
        <v>287</v>
      </c>
      <c r="S126" s="270" t="s">
        <v>32</v>
      </c>
      <c r="U126" s="471">
        <v>0</v>
      </c>
      <c r="V126" s="471"/>
      <c r="W126" s="471" t="s">
        <v>287</v>
      </c>
      <c r="X126" s="471">
        <v>0</v>
      </c>
      <c r="Z126" s="270" t="s">
        <v>246</v>
      </c>
    </row>
    <row r="127" spans="1:26">
      <c r="A127" s="406">
        <v>124</v>
      </c>
      <c r="B127" s="613" t="s">
        <v>2635</v>
      </c>
      <c r="C127" s="288" t="s">
        <v>288</v>
      </c>
      <c r="D127" s="414" t="s">
        <v>3722</v>
      </c>
      <c r="E127" s="407" t="s">
        <v>8059</v>
      </c>
      <c r="F127" s="483" t="s">
        <v>2633</v>
      </c>
      <c r="G127" s="411" t="s">
        <v>2636</v>
      </c>
      <c r="H127" s="411"/>
      <c r="I127" s="411"/>
      <c r="J127" s="411"/>
      <c r="K127" s="411"/>
      <c r="L127" s="608">
        <v>3655.5314960629921</v>
      </c>
      <c r="M127" s="409">
        <v>8963.6181102362207</v>
      </c>
      <c r="N127" s="409">
        <v>12619.149606299214</v>
      </c>
      <c r="O127" s="410" t="s">
        <v>7771</v>
      </c>
      <c r="P127" s="406">
        <v>124</v>
      </c>
      <c r="Q127" s="470" t="s">
        <v>288</v>
      </c>
      <c r="R127" s="460" t="s">
        <v>289</v>
      </c>
      <c r="S127" s="270" t="s">
        <v>32</v>
      </c>
      <c r="U127" s="471">
        <v>0</v>
      </c>
      <c r="V127" s="471"/>
      <c r="W127" s="471" t="s">
        <v>289</v>
      </c>
      <c r="X127" s="471">
        <v>0</v>
      </c>
      <c r="Z127" s="270" t="s">
        <v>246</v>
      </c>
    </row>
    <row r="128" spans="1:26">
      <c r="A128" s="406">
        <v>125</v>
      </c>
      <c r="B128" s="613" t="s">
        <v>2639</v>
      </c>
      <c r="C128" s="288" t="s">
        <v>290</v>
      </c>
      <c r="D128" s="414" t="s">
        <v>3704</v>
      </c>
      <c r="E128" s="407" t="s">
        <v>8060</v>
      </c>
      <c r="F128" s="483" t="s">
        <v>2637</v>
      </c>
      <c r="G128" s="411" t="s">
        <v>2640</v>
      </c>
      <c r="H128" s="411"/>
      <c r="I128" s="411"/>
      <c r="J128" s="411"/>
      <c r="K128" s="411"/>
      <c r="L128" s="608">
        <v>4125.8818897637793</v>
      </c>
      <c r="M128" s="409">
        <v>8431.7677165354326</v>
      </c>
      <c r="N128" s="409">
        <v>12557.649606299212</v>
      </c>
      <c r="O128" s="410" t="s">
        <v>7771</v>
      </c>
      <c r="P128" s="406">
        <v>125</v>
      </c>
      <c r="Q128" s="470" t="s">
        <v>290</v>
      </c>
      <c r="R128" s="460" t="s">
        <v>291</v>
      </c>
      <c r="S128" s="270" t="s">
        <v>32</v>
      </c>
      <c r="U128" s="471">
        <v>0</v>
      </c>
      <c r="V128" s="471"/>
      <c r="W128" s="471" t="s">
        <v>291</v>
      </c>
      <c r="X128" s="471">
        <v>0</v>
      </c>
      <c r="Z128" s="270" t="s">
        <v>246</v>
      </c>
    </row>
    <row r="129" spans="1:26">
      <c r="A129" s="406">
        <v>126</v>
      </c>
      <c r="B129" s="613" t="s">
        <v>2643</v>
      </c>
      <c r="C129" s="288" t="s">
        <v>292</v>
      </c>
      <c r="D129" s="414" t="s">
        <v>3646</v>
      </c>
      <c r="E129" s="407" t="s">
        <v>8061</v>
      </c>
      <c r="F129" s="483" t="s">
        <v>2641</v>
      </c>
      <c r="G129" s="411" t="s">
        <v>2644</v>
      </c>
      <c r="H129" s="411"/>
      <c r="I129" s="411"/>
      <c r="J129" s="411"/>
      <c r="K129" s="411"/>
      <c r="L129" s="608">
        <v>5933.5866141732286</v>
      </c>
      <c r="M129" s="409">
        <v>8765.8976377952749</v>
      </c>
      <c r="N129" s="409">
        <v>14699.484251968504</v>
      </c>
      <c r="O129" s="410" t="s">
        <v>7815</v>
      </c>
      <c r="P129" s="406">
        <v>126</v>
      </c>
      <c r="Q129" s="470" t="s">
        <v>292</v>
      </c>
      <c r="R129" s="460" t="s">
        <v>293</v>
      </c>
      <c r="S129" s="270" t="s">
        <v>32</v>
      </c>
      <c r="U129" s="471">
        <v>0</v>
      </c>
      <c r="V129" s="471"/>
      <c r="W129" s="471" t="s">
        <v>293</v>
      </c>
      <c r="X129" s="471">
        <v>0</v>
      </c>
      <c r="Z129" s="270" t="s">
        <v>246</v>
      </c>
    </row>
    <row r="130" spans="1:26">
      <c r="A130" s="406">
        <v>127</v>
      </c>
      <c r="B130" s="613" t="s">
        <v>2516</v>
      </c>
      <c r="C130" s="288" t="s">
        <v>294</v>
      </c>
      <c r="D130" s="414" t="s">
        <v>3624</v>
      </c>
      <c r="E130" s="407" t="s">
        <v>8062</v>
      </c>
      <c r="F130" s="483" t="s">
        <v>2645</v>
      </c>
      <c r="G130" s="411" t="s">
        <v>2517</v>
      </c>
      <c r="H130" s="411"/>
      <c r="I130" s="411"/>
      <c r="J130" s="411"/>
      <c r="K130" s="411"/>
      <c r="L130" s="608">
        <v>14360.397637795277</v>
      </c>
      <c r="M130" s="409">
        <v>6880.9409448818906</v>
      </c>
      <c r="N130" s="409">
        <v>21241.338582677166</v>
      </c>
      <c r="O130" s="410" t="s">
        <v>7803</v>
      </c>
      <c r="P130" s="406">
        <v>127</v>
      </c>
      <c r="Q130" s="470" t="s">
        <v>294</v>
      </c>
      <c r="R130" s="460" t="s">
        <v>295</v>
      </c>
      <c r="S130" s="270" t="s">
        <v>32</v>
      </c>
      <c r="U130" s="471">
        <v>0</v>
      </c>
      <c r="V130" s="471"/>
      <c r="W130" s="471" t="s">
        <v>295</v>
      </c>
      <c r="X130" s="471">
        <v>0</v>
      </c>
      <c r="Z130" s="270" t="s">
        <v>246</v>
      </c>
    </row>
    <row r="131" spans="1:26">
      <c r="A131" s="406">
        <v>128</v>
      </c>
      <c r="B131" s="613" t="s">
        <v>2520</v>
      </c>
      <c r="C131" s="288" t="s">
        <v>296</v>
      </c>
      <c r="D131" s="414" t="s">
        <v>3641</v>
      </c>
      <c r="E131" s="407" t="s">
        <v>8063</v>
      </c>
      <c r="F131" s="483" t="s">
        <v>2646</v>
      </c>
      <c r="G131" s="411" t="s">
        <v>2521</v>
      </c>
      <c r="H131" s="411"/>
      <c r="I131" s="411"/>
      <c r="J131" s="411"/>
      <c r="K131" s="411"/>
      <c r="L131" s="608">
        <v>14365.330708661417</v>
      </c>
      <c r="M131" s="409">
        <v>7564.3661417322837</v>
      </c>
      <c r="N131" s="409">
        <v>21929.696850393699</v>
      </c>
      <c r="O131" s="410" t="s">
        <v>7803</v>
      </c>
      <c r="P131" s="406">
        <v>128</v>
      </c>
      <c r="Q131" s="470" t="s">
        <v>296</v>
      </c>
      <c r="R131" s="460" t="s">
        <v>297</v>
      </c>
      <c r="S131" s="270" t="s">
        <v>32</v>
      </c>
      <c r="U131" s="471">
        <v>0</v>
      </c>
      <c r="V131" s="471"/>
      <c r="W131" s="471" t="s">
        <v>297</v>
      </c>
      <c r="X131" s="471">
        <v>0</v>
      </c>
      <c r="Z131" s="270" t="s">
        <v>246</v>
      </c>
    </row>
    <row r="132" spans="1:26">
      <c r="A132" s="406">
        <v>129</v>
      </c>
      <c r="B132" s="613" t="s">
        <v>2524</v>
      </c>
      <c r="C132" s="288" t="s">
        <v>298</v>
      </c>
      <c r="D132" s="414" t="s">
        <v>3564</v>
      </c>
      <c r="E132" s="407" t="s">
        <v>8064</v>
      </c>
      <c r="F132" s="483" t="s">
        <v>2647</v>
      </c>
      <c r="G132" s="411" t="s">
        <v>2525</v>
      </c>
      <c r="H132" s="411"/>
      <c r="I132" s="411"/>
      <c r="J132" s="411"/>
      <c r="K132" s="411"/>
      <c r="L132" s="608">
        <v>14368.000000000002</v>
      </c>
      <c r="M132" s="409">
        <v>6567.4251968503941</v>
      </c>
      <c r="N132" s="409">
        <v>20935.425196850396</v>
      </c>
      <c r="O132" s="410" t="s">
        <v>7810</v>
      </c>
      <c r="P132" s="406">
        <v>129</v>
      </c>
      <c r="Q132" s="470" t="s">
        <v>298</v>
      </c>
      <c r="R132" s="460" t="s">
        <v>299</v>
      </c>
      <c r="S132" s="270" t="s">
        <v>32</v>
      </c>
      <c r="U132" s="471">
        <v>0</v>
      </c>
      <c r="V132" s="471"/>
      <c r="W132" s="471" t="s">
        <v>299</v>
      </c>
      <c r="X132" s="471">
        <v>0</v>
      </c>
      <c r="Z132" s="270" t="s">
        <v>246</v>
      </c>
    </row>
    <row r="133" spans="1:26">
      <c r="A133" s="406">
        <v>130</v>
      </c>
      <c r="B133" s="613" t="s">
        <v>2518</v>
      </c>
      <c r="C133" s="288" t="s">
        <v>300</v>
      </c>
      <c r="D133" s="414" t="s">
        <v>3625</v>
      </c>
      <c r="E133" s="407" t="s">
        <v>8065</v>
      </c>
      <c r="F133" s="483" t="s">
        <v>2648</v>
      </c>
      <c r="G133" s="411" t="s">
        <v>2519</v>
      </c>
      <c r="H133" s="411"/>
      <c r="I133" s="411"/>
      <c r="J133" s="411"/>
      <c r="K133" s="411"/>
      <c r="L133" s="608">
        <v>14358.720472440946</v>
      </c>
      <c r="M133" s="409">
        <v>6202.0787401574808</v>
      </c>
      <c r="N133" s="409">
        <v>20560.799212598427</v>
      </c>
      <c r="O133" s="410" t="s">
        <v>7758</v>
      </c>
      <c r="P133" s="406">
        <v>130</v>
      </c>
      <c r="Q133" s="470" t="s">
        <v>300</v>
      </c>
      <c r="R133" s="460" t="s">
        <v>301</v>
      </c>
      <c r="S133" s="270" t="s">
        <v>32</v>
      </c>
      <c r="U133" s="471">
        <v>0</v>
      </c>
      <c r="V133" s="471"/>
      <c r="W133" s="471" t="s">
        <v>301</v>
      </c>
      <c r="X133" s="471">
        <v>0</v>
      </c>
      <c r="Z133" s="270" t="s">
        <v>246</v>
      </c>
    </row>
    <row r="134" spans="1:26">
      <c r="A134" s="406">
        <v>131</v>
      </c>
      <c r="B134" s="613" t="s">
        <v>2522</v>
      </c>
      <c r="C134" s="288" t="s">
        <v>302</v>
      </c>
      <c r="D134" s="414" t="s">
        <v>3643</v>
      </c>
      <c r="E134" s="407" t="s">
        <v>8066</v>
      </c>
      <c r="F134" s="483" t="s">
        <v>2649</v>
      </c>
      <c r="G134" s="411" t="s">
        <v>2523</v>
      </c>
      <c r="H134" s="411"/>
      <c r="I134" s="411"/>
      <c r="J134" s="411"/>
      <c r="K134" s="411"/>
      <c r="L134" s="608">
        <v>14365.090551181102</v>
      </c>
      <c r="M134" s="409">
        <v>5478.0393700787408</v>
      </c>
      <c r="N134" s="409">
        <v>19843.129921259842</v>
      </c>
      <c r="O134" s="410" t="s">
        <v>7758</v>
      </c>
      <c r="P134" s="406">
        <v>131</v>
      </c>
      <c r="Q134" s="470" t="s">
        <v>302</v>
      </c>
      <c r="R134" s="460" t="s">
        <v>303</v>
      </c>
      <c r="S134" s="270" t="s">
        <v>32</v>
      </c>
      <c r="U134" s="471">
        <v>0</v>
      </c>
      <c r="V134" s="471"/>
      <c r="W134" s="471" t="s">
        <v>303</v>
      </c>
      <c r="X134" s="471">
        <v>0</v>
      </c>
      <c r="Z134" s="270" t="s">
        <v>246</v>
      </c>
    </row>
    <row r="135" spans="1:26">
      <c r="A135" s="406">
        <v>132</v>
      </c>
      <c r="B135" s="613" t="s">
        <v>2526</v>
      </c>
      <c r="C135" s="288" t="s">
        <v>304</v>
      </c>
      <c r="D135" s="414" t="s">
        <v>3565</v>
      </c>
      <c r="E135" s="407" t="s">
        <v>8067</v>
      </c>
      <c r="F135" s="483" t="s">
        <v>2650</v>
      </c>
      <c r="G135" s="411" t="s">
        <v>2527</v>
      </c>
      <c r="H135" s="411"/>
      <c r="I135" s="411"/>
      <c r="J135" s="411"/>
      <c r="K135" s="411"/>
      <c r="L135" s="608">
        <v>14362.232283464567</v>
      </c>
      <c r="M135" s="409">
        <v>5842.5511811023625</v>
      </c>
      <c r="N135" s="409">
        <v>20204.783464566932</v>
      </c>
      <c r="O135" s="410" t="s">
        <v>7840</v>
      </c>
      <c r="P135" s="406">
        <v>132</v>
      </c>
      <c r="Q135" s="470" t="s">
        <v>304</v>
      </c>
      <c r="R135" s="460" t="s">
        <v>305</v>
      </c>
      <c r="S135" s="270" t="s">
        <v>32</v>
      </c>
      <c r="U135" s="471">
        <v>0</v>
      </c>
      <c r="V135" s="471"/>
      <c r="W135" s="471" t="s">
        <v>305</v>
      </c>
      <c r="X135" s="471">
        <v>0</v>
      </c>
      <c r="Z135" s="270" t="s">
        <v>246</v>
      </c>
    </row>
    <row r="136" spans="1:26">
      <c r="A136" s="406">
        <v>133</v>
      </c>
      <c r="B136" s="613" t="s">
        <v>2684</v>
      </c>
      <c r="C136" s="288" t="s">
        <v>306</v>
      </c>
      <c r="D136" s="414" t="s">
        <v>3644</v>
      </c>
      <c r="E136" s="407" t="s">
        <v>8015</v>
      </c>
      <c r="F136" s="483" t="s">
        <v>2686</v>
      </c>
      <c r="G136" s="411" t="s">
        <v>2685</v>
      </c>
      <c r="H136" s="411"/>
      <c r="I136" s="411"/>
      <c r="J136" s="411"/>
      <c r="K136" s="411"/>
      <c r="L136" s="608">
        <v>5669.1338582677172</v>
      </c>
      <c r="M136" s="409">
        <v>13083.909448818898</v>
      </c>
      <c r="N136" s="409">
        <v>18753.043307086617</v>
      </c>
      <c r="O136" s="410" t="s">
        <v>7825</v>
      </c>
      <c r="P136" s="406">
        <v>133</v>
      </c>
      <c r="Q136" s="470" t="s">
        <v>306</v>
      </c>
      <c r="R136" s="460" t="s">
        <v>307</v>
      </c>
      <c r="S136" s="270" t="s">
        <v>32</v>
      </c>
      <c r="U136" s="471">
        <v>0</v>
      </c>
      <c r="V136" s="471"/>
      <c r="W136" s="478" t="s">
        <v>307</v>
      </c>
      <c r="X136" s="471">
        <v>0</v>
      </c>
      <c r="Z136" s="270" t="s">
        <v>4889</v>
      </c>
    </row>
    <row r="137" spans="1:26">
      <c r="A137" s="406">
        <v>134</v>
      </c>
      <c r="B137" s="613" t="s">
        <v>6644</v>
      </c>
      <c r="C137" s="288" t="s">
        <v>308</v>
      </c>
      <c r="D137" s="414" t="s">
        <v>3686</v>
      </c>
      <c r="E137" s="407" t="s">
        <v>8068</v>
      </c>
      <c r="F137" s="483"/>
      <c r="G137" s="411"/>
      <c r="H137" s="411"/>
      <c r="I137" s="411"/>
      <c r="J137" s="411"/>
      <c r="K137" s="411"/>
      <c r="L137" s="608" t="s">
        <v>4884</v>
      </c>
      <c r="M137" s="409">
        <v>18491.326771653545</v>
      </c>
      <c r="N137" s="409">
        <v>18491.326771653545</v>
      </c>
      <c r="O137" s="410" t="s">
        <v>7571</v>
      </c>
      <c r="P137" s="406">
        <v>134</v>
      </c>
      <c r="Q137" s="470" t="s">
        <v>308</v>
      </c>
      <c r="R137" s="475" t="s">
        <v>309</v>
      </c>
      <c r="S137" s="270" t="s">
        <v>32</v>
      </c>
      <c r="U137" s="471">
        <v>0</v>
      </c>
      <c r="V137" s="471"/>
      <c r="W137" s="471"/>
      <c r="X137" s="477">
        <v>1</v>
      </c>
      <c r="Z137" s="270" t="s">
        <v>7513</v>
      </c>
    </row>
    <row r="138" spans="1:26">
      <c r="A138" s="406">
        <v>135</v>
      </c>
      <c r="B138" s="613" t="s">
        <v>2966</v>
      </c>
      <c r="C138" s="288" t="s">
        <v>310</v>
      </c>
      <c r="D138" s="414" t="s">
        <v>3959</v>
      </c>
      <c r="E138" s="407" t="s">
        <v>8069</v>
      </c>
      <c r="F138" s="483"/>
      <c r="G138" s="411"/>
      <c r="H138" s="411"/>
      <c r="I138" s="411"/>
      <c r="J138" s="411"/>
      <c r="K138" s="411"/>
      <c r="L138" s="608" t="s">
        <v>4884</v>
      </c>
      <c r="M138" s="409">
        <v>4701.8031496062995</v>
      </c>
      <c r="N138" s="409">
        <v>4701.8031496062995</v>
      </c>
      <c r="O138" s="410" t="s">
        <v>7573</v>
      </c>
      <c r="P138" s="406">
        <v>135</v>
      </c>
      <c r="Q138" s="470" t="s">
        <v>310</v>
      </c>
      <c r="R138" s="460" t="s">
        <v>311</v>
      </c>
      <c r="S138" s="270" t="s">
        <v>32</v>
      </c>
      <c r="U138" s="471">
        <v>1</v>
      </c>
      <c r="V138" s="471"/>
      <c r="W138" s="471" t="s">
        <v>311</v>
      </c>
      <c r="X138" s="471">
        <v>0</v>
      </c>
    </row>
    <row r="139" spans="1:26">
      <c r="A139" s="406">
        <v>136</v>
      </c>
      <c r="B139" s="613" t="s">
        <v>2967</v>
      </c>
      <c r="C139" s="288" t="s">
        <v>312</v>
      </c>
      <c r="D139" s="414" t="s">
        <v>3957</v>
      </c>
      <c r="E139" s="407" t="s">
        <v>8070</v>
      </c>
      <c r="F139" s="483"/>
      <c r="G139" s="411"/>
      <c r="H139" s="411"/>
      <c r="I139" s="411"/>
      <c r="J139" s="411"/>
      <c r="K139" s="411"/>
      <c r="L139" s="608" t="s">
        <v>4884</v>
      </c>
      <c r="M139" s="409">
        <v>4816.1299212598424</v>
      </c>
      <c r="N139" s="409">
        <v>4816.1299212598424</v>
      </c>
      <c r="O139" s="410" t="s">
        <v>7573</v>
      </c>
      <c r="P139" s="406">
        <v>136</v>
      </c>
      <c r="Q139" s="470" t="s">
        <v>312</v>
      </c>
      <c r="R139" s="460" t="s">
        <v>313</v>
      </c>
      <c r="S139" s="270" t="s">
        <v>32</v>
      </c>
      <c r="U139" s="471">
        <v>1</v>
      </c>
      <c r="V139" s="471"/>
      <c r="W139" s="471" t="s">
        <v>313</v>
      </c>
      <c r="X139" s="471">
        <v>0</v>
      </c>
    </row>
    <row r="140" spans="1:26">
      <c r="A140" s="406">
        <v>137</v>
      </c>
      <c r="B140" s="613" t="s">
        <v>2968</v>
      </c>
      <c r="C140" s="288" t="s">
        <v>314</v>
      </c>
      <c r="D140" s="414" t="s">
        <v>4051</v>
      </c>
      <c r="E140" s="407" t="s">
        <v>8071</v>
      </c>
      <c r="F140" s="483"/>
      <c r="G140" s="411"/>
      <c r="H140" s="411"/>
      <c r="I140" s="411"/>
      <c r="J140" s="411"/>
      <c r="K140" s="411"/>
      <c r="L140" s="608" t="s">
        <v>4884</v>
      </c>
      <c r="M140" s="409">
        <v>4470.5511811023625</v>
      </c>
      <c r="N140" s="409">
        <v>4470.5511811023625</v>
      </c>
      <c r="O140" s="410" t="s">
        <v>7569</v>
      </c>
      <c r="P140" s="406">
        <v>137</v>
      </c>
      <c r="Q140" s="470" t="s">
        <v>314</v>
      </c>
      <c r="R140" s="460" t="s">
        <v>315</v>
      </c>
      <c r="S140" s="270" t="s">
        <v>32</v>
      </c>
      <c r="U140" s="471">
        <v>1</v>
      </c>
      <c r="V140" s="471"/>
      <c r="W140" s="471" t="s">
        <v>315</v>
      </c>
      <c r="X140" s="471">
        <v>0</v>
      </c>
    </row>
    <row r="141" spans="1:26">
      <c r="A141" s="406">
        <v>138</v>
      </c>
      <c r="B141" s="613" t="s">
        <v>2969</v>
      </c>
      <c r="C141" s="288" t="s">
        <v>316</v>
      </c>
      <c r="D141" s="414" t="s">
        <v>4023</v>
      </c>
      <c r="E141" s="407" t="s">
        <v>8072</v>
      </c>
      <c r="F141" s="483"/>
      <c r="G141" s="411"/>
      <c r="H141" s="411"/>
      <c r="I141" s="411"/>
      <c r="J141" s="411"/>
      <c r="K141" s="411"/>
      <c r="L141" s="608" t="s">
        <v>4884</v>
      </c>
      <c r="M141" s="409">
        <v>5174.3464566929142</v>
      </c>
      <c r="N141" s="409">
        <v>5174.3464566929142</v>
      </c>
      <c r="O141" s="410" t="s">
        <v>7573</v>
      </c>
      <c r="P141" s="406">
        <v>138</v>
      </c>
      <c r="Q141" s="470" t="s">
        <v>316</v>
      </c>
      <c r="R141" s="460" t="s">
        <v>317</v>
      </c>
      <c r="S141" s="270" t="s">
        <v>32</v>
      </c>
      <c r="U141" s="471">
        <v>1</v>
      </c>
      <c r="V141" s="471"/>
      <c r="W141" s="471" t="s">
        <v>317</v>
      </c>
      <c r="X141" s="471">
        <v>0</v>
      </c>
    </row>
    <row r="142" spans="1:26">
      <c r="A142" s="406">
        <v>139</v>
      </c>
      <c r="B142" s="613" t="s">
        <v>2688</v>
      </c>
      <c r="C142" s="288" t="s">
        <v>318</v>
      </c>
      <c r="D142" s="414" t="s">
        <v>3630</v>
      </c>
      <c r="E142" s="407" t="s">
        <v>8016</v>
      </c>
      <c r="F142" s="483" t="s">
        <v>2690</v>
      </c>
      <c r="G142" s="411" t="s">
        <v>2689</v>
      </c>
      <c r="H142" s="411"/>
      <c r="I142" s="411"/>
      <c r="J142" s="411"/>
      <c r="K142" s="411"/>
      <c r="L142" s="608">
        <v>4920.6181102362207</v>
      </c>
      <c r="M142" s="409">
        <v>13025.377952755907</v>
      </c>
      <c r="N142" s="409">
        <v>17945.996062992126</v>
      </c>
      <c r="O142" s="410" t="s">
        <v>7817</v>
      </c>
      <c r="P142" s="406">
        <v>139</v>
      </c>
      <c r="Q142" s="470" t="s">
        <v>318</v>
      </c>
      <c r="R142" s="460" t="s">
        <v>319</v>
      </c>
      <c r="S142" s="270" t="s">
        <v>32</v>
      </c>
      <c r="U142" s="471">
        <v>0</v>
      </c>
      <c r="V142" s="471"/>
      <c r="W142" s="471" t="s">
        <v>319</v>
      </c>
      <c r="X142" s="471">
        <v>0</v>
      </c>
      <c r="Z142" s="270" t="s">
        <v>246</v>
      </c>
    </row>
    <row r="143" spans="1:26">
      <c r="A143" s="406">
        <v>140</v>
      </c>
      <c r="B143" s="613" t="s">
        <v>2692</v>
      </c>
      <c r="C143" s="288" t="s">
        <v>320</v>
      </c>
      <c r="D143" s="414" t="s">
        <v>3497</v>
      </c>
      <c r="E143" s="407" t="s">
        <v>8018</v>
      </c>
      <c r="F143" s="483" t="s">
        <v>2694</v>
      </c>
      <c r="G143" s="411" t="s">
        <v>2693</v>
      </c>
      <c r="H143" s="411"/>
      <c r="I143" s="411"/>
      <c r="J143" s="411"/>
      <c r="K143" s="411"/>
      <c r="L143" s="608">
        <v>7439.9251968503941</v>
      </c>
      <c r="M143" s="409">
        <v>12575.212598425196</v>
      </c>
      <c r="N143" s="409">
        <v>20015.13779527559</v>
      </c>
      <c r="O143" s="410" t="s">
        <v>7750</v>
      </c>
      <c r="P143" s="406">
        <v>140</v>
      </c>
      <c r="Q143" s="470" t="s">
        <v>320</v>
      </c>
      <c r="R143" s="460" t="s">
        <v>321</v>
      </c>
      <c r="S143" s="270" t="s">
        <v>32</v>
      </c>
      <c r="U143" s="471">
        <v>0</v>
      </c>
      <c r="V143" s="471"/>
      <c r="W143" s="471" t="s">
        <v>321</v>
      </c>
      <c r="X143" s="471">
        <v>0</v>
      </c>
      <c r="Z143" s="270" t="s">
        <v>246</v>
      </c>
    </row>
    <row r="144" spans="1:26">
      <c r="A144" s="406">
        <v>141</v>
      </c>
      <c r="B144" s="613" t="s">
        <v>2696</v>
      </c>
      <c r="C144" s="288" t="s">
        <v>322</v>
      </c>
      <c r="D144" s="414" t="s">
        <v>3552</v>
      </c>
      <c r="E144" s="407" t="s">
        <v>8019</v>
      </c>
      <c r="F144" s="483" t="s">
        <v>2698</v>
      </c>
      <c r="G144" s="411" t="s">
        <v>2697</v>
      </c>
      <c r="H144" s="411"/>
      <c r="I144" s="411"/>
      <c r="J144" s="411"/>
      <c r="K144" s="411"/>
      <c r="L144" s="608">
        <v>5667.8622047244089</v>
      </c>
      <c r="M144" s="409">
        <v>12930.480314960629</v>
      </c>
      <c r="N144" s="409">
        <v>18598.342519685037</v>
      </c>
      <c r="O144" s="410" t="s">
        <v>7805</v>
      </c>
      <c r="P144" s="406">
        <v>141</v>
      </c>
      <c r="Q144" s="470" t="s">
        <v>322</v>
      </c>
      <c r="R144" s="460" t="s">
        <v>323</v>
      </c>
      <c r="S144" s="270" t="s">
        <v>32</v>
      </c>
      <c r="U144" s="471">
        <v>0</v>
      </c>
      <c r="V144" s="471"/>
      <c r="W144" s="471" t="s">
        <v>323</v>
      </c>
      <c r="X144" s="471">
        <v>0</v>
      </c>
      <c r="Z144" s="270" t="s">
        <v>246</v>
      </c>
    </row>
    <row r="145" spans="1:26">
      <c r="A145" s="406">
        <v>142</v>
      </c>
      <c r="B145" s="613" t="s">
        <v>2970</v>
      </c>
      <c r="C145" s="288" t="s">
        <v>324</v>
      </c>
      <c r="D145" s="414" t="s">
        <v>4065</v>
      </c>
      <c r="E145" s="407" t="s">
        <v>8073</v>
      </c>
      <c r="F145" s="483"/>
      <c r="G145" s="411"/>
      <c r="H145" s="411"/>
      <c r="I145" s="411"/>
      <c r="J145" s="411"/>
      <c r="K145" s="411"/>
      <c r="L145" s="608" t="s">
        <v>4884</v>
      </c>
      <c r="M145" s="409">
        <v>5305.7992125984256</v>
      </c>
      <c r="N145" s="409">
        <v>5305.7992125984256</v>
      </c>
      <c r="O145" s="410" t="s">
        <v>7574</v>
      </c>
      <c r="P145" s="406">
        <v>142</v>
      </c>
      <c r="Q145" s="470" t="s">
        <v>324</v>
      </c>
      <c r="R145" s="460" t="s">
        <v>325</v>
      </c>
      <c r="S145" s="270" t="s">
        <v>32</v>
      </c>
      <c r="U145" s="471">
        <v>1</v>
      </c>
      <c r="V145" s="471"/>
      <c r="W145" s="471" t="s">
        <v>325</v>
      </c>
      <c r="X145" s="471">
        <v>0</v>
      </c>
    </row>
    <row r="146" spans="1:26">
      <c r="A146" s="406">
        <v>143</v>
      </c>
      <c r="B146" s="613" t="s">
        <v>6641</v>
      </c>
      <c r="C146" s="288" t="s">
        <v>326</v>
      </c>
      <c r="D146" s="414" t="s">
        <v>3649</v>
      </c>
      <c r="E146" s="407" t="s">
        <v>7996</v>
      </c>
      <c r="F146" s="483" t="s">
        <v>2654</v>
      </c>
      <c r="G146" s="411" t="s">
        <v>2653</v>
      </c>
      <c r="H146" s="411"/>
      <c r="I146" s="411"/>
      <c r="J146" s="411"/>
      <c r="K146" s="411"/>
      <c r="L146" s="608">
        <v>4605.1496062992128</v>
      </c>
      <c r="M146" s="409">
        <v>9908.3818897637793</v>
      </c>
      <c r="N146" s="409">
        <v>14513.531496062991</v>
      </c>
      <c r="O146" s="410" t="s">
        <v>7805</v>
      </c>
      <c r="P146" s="406">
        <v>143</v>
      </c>
      <c r="Q146" s="470" t="s">
        <v>326</v>
      </c>
      <c r="R146" s="460" t="s">
        <v>327</v>
      </c>
      <c r="S146" s="270" t="s">
        <v>32</v>
      </c>
      <c r="U146" s="471">
        <v>0</v>
      </c>
      <c r="V146" s="471"/>
      <c r="W146" s="471" t="s">
        <v>327</v>
      </c>
      <c r="X146" s="471">
        <v>0</v>
      </c>
      <c r="Z146" s="270" t="s">
        <v>246</v>
      </c>
    </row>
    <row r="147" spans="1:26">
      <c r="A147" s="406">
        <v>144</v>
      </c>
      <c r="B147" s="613" t="s">
        <v>6642</v>
      </c>
      <c r="C147" s="288" t="s">
        <v>328</v>
      </c>
      <c r="D147" s="414" t="s">
        <v>3648</v>
      </c>
      <c r="E147" s="407" t="s">
        <v>7997</v>
      </c>
      <c r="F147" s="483" t="s">
        <v>2658</v>
      </c>
      <c r="G147" s="411" t="s">
        <v>2657</v>
      </c>
      <c r="H147" s="411"/>
      <c r="I147" s="411"/>
      <c r="J147" s="411"/>
      <c r="K147" s="411"/>
      <c r="L147" s="608">
        <v>4605.1338582677163</v>
      </c>
      <c r="M147" s="409">
        <v>9867.677165354331</v>
      </c>
      <c r="N147" s="409">
        <v>14472.811023622047</v>
      </c>
      <c r="O147" s="410" t="s">
        <v>7822</v>
      </c>
      <c r="P147" s="406">
        <v>144</v>
      </c>
      <c r="Q147" s="470" t="s">
        <v>328</v>
      </c>
      <c r="R147" s="460" t="s">
        <v>329</v>
      </c>
      <c r="S147" s="270" t="s">
        <v>32</v>
      </c>
      <c r="U147" s="471">
        <v>0</v>
      </c>
      <c r="V147" s="471"/>
      <c r="W147" s="471" t="s">
        <v>329</v>
      </c>
      <c r="X147" s="471">
        <v>0</v>
      </c>
      <c r="Z147" s="270" t="s">
        <v>246</v>
      </c>
    </row>
    <row r="148" spans="1:26">
      <c r="A148" s="406">
        <v>145</v>
      </c>
      <c r="B148" s="613" t="s">
        <v>5841</v>
      </c>
      <c r="C148" s="288" t="s">
        <v>330</v>
      </c>
      <c r="D148" s="414" t="s">
        <v>3554</v>
      </c>
      <c r="E148" s="407" t="s">
        <v>7998</v>
      </c>
      <c r="F148" s="483" t="s">
        <v>2662</v>
      </c>
      <c r="G148" s="411" t="s">
        <v>2661</v>
      </c>
      <c r="H148" s="411"/>
      <c r="I148" s="411"/>
      <c r="J148" s="411"/>
      <c r="K148" s="411"/>
      <c r="L148" s="608">
        <v>6494.9251968503941</v>
      </c>
      <c r="M148" s="409">
        <v>13704.326771653545</v>
      </c>
      <c r="N148" s="409">
        <v>20199.251968503941</v>
      </c>
      <c r="O148" s="410" t="s">
        <v>7818</v>
      </c>
      <c r="P148" s="406">
        <v>145</v>
      </c>
      <c r="Q148" s="470" t="s">
        <v>330</v>
      </c>
      <c r="R148" s="460" t="s">
        <v>331</v>
      </c>
      <c r="S148" s="270" t="s">
        <v>32</v>
      </c>
      <c r="U148" s="471">
        <v>0</v>
      </c>
      <c r="V148" s="471"/>
      <c r="W148" s="471" t="s">
        <v>331</v>
      </c>
      <c r="X148" s="471">
        <v>0</v>
      </c>
      <c r="Z148" s="270" t="s">
        <v>246</v>
      </c>
    </row>
    <row r="149" spans="1:26">
      <c r="A149" s="406">
        <v>146</v>
      </c>
      <c r="B149" s="613" t="s">
        <v>5840</v>
      </c>
      <c r="C149" s="288" t="s">
        <v>332</v>
      </c>
      <c r="D149" s="414" t="s">
        <v>3538</v>
      </c>
      <c r="E149" s="407" t="s">
        <v>7999</v>
      </c>
      <c r="F149" s="483" t="s">
        <v>2666</v>
      </c>
      <c r="G149" s="411" t="s">
        <v>2665</v>
      </c>
      <c r="H149" s="411"/>
      <c r="I149" s="411"/>
      <c r="J149" s="411"/>
      <c r="K149" s="411"/>
      <c r="L149" s="608">
        <v>6494.9606299212601</v>
      </c>
      <c r="M149" s="409">
        <v>13381.728346456694</v>
      </c>
      <c r="N149" s="409">
        <v>19876.688976377951</v>
      </c>
      <c r="O149" s="410" t="s">
        <v>7803</v>
      </c>
      <c r="P149" s="406">
        <v>146</v>
      </c>
      <c r="Q149" s="470" t="s">
        <v>332</v>
      </c>
      <c r="R149" s="460" t="s">
        <v>333</v>
      </c>
      <c r="S149" s="270" t="s">
        <v>32</v>
      </c>
      <c r="U149" s="471">
        <v>0</v>
      </c>
      <c r="V149" s="471"/>
      <c r="W149" s="471" t="s">
        <v>333</v>
      </c>
      <c r="X149" s="471">
        <v>0</v>
      </c>
      <c r="Z149" s="270" t="s">
        <v>246</v>
      </c>
    </row>
    <row r="150" spans="1:26">
      <c r="A150" s="406">
        <v>147</v>
      </c>
      <c r="B150" s="613" t="s">
        <v>2668</v>
      </c>
      <c r="C150" s="288" t="s">
        <v>334</v>
      </c>
      <c r="D150" s="414" t="s">
        <v>3513</v>
      </c>
      <c r="E150" s="407" t="s">
        <v>8011</v>
      </c>
      <c r="F150" s="483" t="s">
        <v>2670</v>
      </c>
      <c r="G150" s="411" t="s">
        <v>2669</v>
      </c>
      <c r="H150" s="411"/>
      <c r="I150" s="411"/>
      <c r="J150" s="411"/>
      <c r="K150" s="411"/>
      <c r="L150" s="608">
        <v>5943.0511811023625</v>
      </c>
      <c r="M150" s="409">
        <v>13548.507874015748</v>
      </c>
      <c r="N150" s="409">
        <v>19491.559055118112</v>
      </c>
      <c r="O150" s="410" t="s">
        <v>7803</v>
      </c>
      <c r="P150" s="406">
        <v>147</v>
      </c>
      <c r="Q150" s="470" t="s">
        <v>334</v>
      </c>
      <c r="R150" s="460" t="s">
        <v>335</v>
      </c>
      <c r="S150" s="270" t="s">
        <v>32</v>
      </c>
      <c r="U150" s="471">
        <v>0</v>
      </c>
      <c r="V150" s="471"/>
      <c r="W150" s="471" t="s">
        <v>335</v>
      </c>
      <c r="X150" s="471">
        <v>0</v>
      </c>
      <c r="Z150" s="270" t="s">
        <v>246</v>
      </c>
    </row>
    <row r="151" spans="1:26">
      <c r="A151" s="406">
        <v>148</v>
      </c>
      <c r="B151" s="613" t="s">
        <v>2672</v>
      </c>
      <c r="C151" s="288" t="s">
        <v>336</v>
      </c>
      <c r="D151" s="414" t="s">
        <v>3539</v>
      </c>
      <c r="E151" s="407" t="s">
        <v>8012</v>
      </c>
      <c r="F151" s="483" t="s">
        <v>2674</v>
      </c>
      <c r="G151" s="411" t="s">
        <v>2673</v>
      </c>
      <c r="H151" s="411"/>
      <c r="I151" s="411"/>
      <c r="J151" s="411"/>
      <c r="K151" s="411"/>
      <c r="L151" s="608">
        <v>5943.3976377952758</v>
      </c>
      <c r="M151" s="409">
        <v>13502.125984251968</v>
      </c>
      <c r="N151" s="409">
        <v>19445.523622047243</v>
      </c>
      <c r="O151" s="410" t="s">
        <v>7757</v>
      </c>
      <c r="P151" s="406">
        <v>148</v>
      </c>
      <c r="Q151" s="470" t="s">
        <v>336</v>
      </c>
      <c r="R151" s="460" t="s">
        <v>337</v>
      </c>
      <c r="S151" s="270" t="s">
        <v>32</v>
      </c>
      <c r="U151" s="471">
        <v>0</v>
      </c>
      <c r="V151" s="471"/>
      <c r="W151" s="471" t="s">
        <v>337</v>
      </c>
      <c r="X151" s="471">
        <v>0</v>
      </c>
      <c r="Z151" s="270" t="s">
        <v>246</v>
      </c>
    </row>
    <row r="152" spans="1:26">
      <c r="A152" s="406">
        <v>149</v>
      </c>
      <c r="B152" s="613" t="s">
        <v>2676</v>
      </c>
      <c r="C152" s="288" t="s">
        <v>338</v>
      </c>
      <c r="D152" s="414" t="s">
        <v>3585</v>
      </c>
      <c r="E152" s="407" t="s">
        <v>8013</v>
      </c>
      <c r="F152" s="483" t="s">
        <v>2678</v>
      </c>
      <c r="G152" s="411" t="s">
        <v>2677</v>
      </c>
      <c r="H152" s="411"/>
      <c r="I152" s="411"/>
      <c r="J152" s="411"/>
      <c r="K152" s="411"/>
      <c r="L152" s="608">
        <v>7873.854330708662</v>
      </c>
      <c r="M152" s="409">
        <v>12454.870078740158</v>
      </c>
      <c r="N152" s="409">
        <v>20328.72440944882</v>
      </c>
      <c r="O152" s="410" t="s">
        <v>7817</v>
      </c>
      <c r="P152" s="406">
        <v>149</v>
      </c>
      <c r="Q152" s="470" t="s">
        <v>338</v>
      </c>
      <c r="R152" s="460" t="s">
        <v>339</v>
      </c>
      <c r="S152" s="270" t="s">
        <v>32</v>
      </c>
      <c r="U152" s="471">
        <v>0</v>
      </c>
      <c r="V152" s="471"/>
      <c r="W152" s="471" t="s">
        <v>339</v>
      </c>
      <c r="X152" s="471">
        <v>0</v>
      </c>
      <c r="Z152" s="270" t="s">
        <v>246</v>
      </c>
    </row>
    <row r="153" spans="1:26">
      <c r="A153" s="406">
        <v>150</v>
      </c>
      <c r="B153" s="613" t="s">
        <v>2680</v>
      </c>
      <c r="C153" s="288" t="s">
        <v>340</v>
      </c>
      <c r="D153" s="414" t="s">
        <v>3588</v>
      </c>
      <c r="E153" s="407" t="s">
        <v>8014</v>
      </c>
      <c r="F153" s="483" t="s">
        <v>2682</v>
      </c>
      <c r="G153" s="411" t="s">
        <v>2681</v>
      </c>
      <c r="H153" s="411"/>
      <c r="I153" s="411"/>
      <c r="J153" s="411"/>
      <c r="K153" s="411"/>
      <c r="L153" s="608">
        <v>7439.8385826771655</v>
      </c>
      <c r="M153" s="409">
        <v>12535.748031496065</v>
      </c>
      <c r="N153" s="409">
        <v>19975.586614173229</v>
      </c>
      <c r="O153" s="410" t="s">
        <v>7817</v>
      </c>
      <c r="P153" s="406">
        <v>150</v>
      </c>
      <c r="Q153" s="470" t="s">
        <v>340</v>
      </c>
      <c r="R153" s="460" t="s">
        <v>341</v>
      </c>
      <c r="S153" s="270" t="s">
        <v>32</v>
      </c>
      <c r="U153" s="471">
        <v>0</v>
      </c>
      <c r="V153" s="471"/>
      <c r="W153" s="471" t="s">
        <v>341</v>
      </c>
      <c r="X153" s="471">
        <v>0</v>
      </c>
      <c r="Z153" s="270" t="s">
        <v>246</v>
      </c>
    </row>
    <row r="154" spans="1:26">
      <c r="A154" s="406">
        <v>151</v>
      </c>
      <c r="B154" s="613" t="s">
        <v>2971</v>
      </c>
      <c r="C154" s="288" t="s">
        <v>342</v>
      </c>
      <c r="D154" s="414" t="s">
        <v>4059</v>
      </c>
      <c r="E154" s="407" t="s">
        <v>8074</v>
      </c>
      <c r="F154" s="483"/>
      <c r="G154" s="411"/>
      <c r="H154" s="411"/>
      <c r="I154" s="411"/>
      <c r="J154" s="411"/>
      <c r="K154" s="411"/>
      <c r="L154" s="608" t="s">
        <v>4884</v>
      </c>
      <c r="M154" s="409">
        <v>4825.2047244094492</v>
      </c>
      <c r="N154" s="409">
        <v>4825.2047244094492</v>
      </c>
      <c r="O154" s="410" t="s">
        <v>7574</v>
      </c>
      <c r="P154" s="406">
        <v>151</v>
      </c>
      <c r="Q154" s="470" t="s">
        <v>342</v>
      </c>
      <c r="R154" s="460" t="s">
        <v>343</v>
      </c>
      <c r="S154" s="270" t="s">
        <v>32</v>
      </c>
      <c r="U154" s="471">
        <v>1</v>
      </c>
      <c r="V154" s="471"/>
      <c r="W154" s="471" t="s">
        <v>343</v>
      </c>
      <c r="X154" s="471">
        <v>0</v>
      </c>
    </row>
    <row r="155" spans="1:26">
      <c r="A155" s="406">
        <v>152</v>
      </c>
      <c r="B155" s="613" t="s">
        <v>2972</v>
      </c>
      <c r="C155" s="288" t="s">
        <v>344</v>
      </c>
      <c r="D155" s="414" t="s">
        <v>4003</v>
      </c>
      <c r="E155" s="407" t="s">
        <v>8075</v>
      </c>
      <c r="F155" s="483"/>
      <c r="G155" s="411"/>
      <c r="H155" s="411"/>
      <c r="I155" s="411"/>
      <c r="J155" s="411"/>
      <c r="K155" s="411"/>
      <c r="L155" s="608" t="s">
        <v>4884</v>
      </c>
      <c r="M155" s="409">
        <v>4746.8346456692916</v>
      </c>
      <c r="N155" s="409">
        <v>4746.8346456692916</v>
      </c>
      <c r="O155" s="410" t="s">
        <v>7576</v>
      </c>
      <c r="P155" s="406">
        <v>152</v>
      </c>
      <c r="Q155" s="470" t="s">
        <v>344</v>
      </c>
      <c r="R155" s="460" t="s">
        <v>345</v>
      </c>
      <c r="S155" s="270" t="s">
        <v>32</v>
      </c>
      <c r="U155" s="471">
        <v>1</v>
      </c>
      <c r="V155" s="471"/>
      <c r="W155" s="471" t="s">
        <v>345</v>
      </c>
      <c r="X155" s="471">
        <v>0</v>
      </c>
    </row>
    <row r="156" spans="1:26">
      <c r="A156" s="406">
        <v>153</v>
      </c>
      <c r="B156" s="613" t="s">
        <v>2700</v>
      </c>
      <c r="C156" s="288" t="s">
        <v>346</v>
      </c>
      <c r="D156" s="414" t="s">
        <v>3609</v>
      </c>
      <c r="E156" s="407" t="s">
        <v>8020</v>
      </c>
      <c r="F156" s="483" t="s">
        <v>2702</v>
      </c>
      <c r="G156" s="411" t="s">
        <v>2701</v>
      </c>
      <c r="H156" s="411"/>
      <c r="I156" s="411"/>
      <c r="J156" s="411"/>
      <c r="K156" s="411"/>
      <c r="L156" s="608">
        <v>4920.8267716535438</v>
      </c>
      <c r="M156" s="409">
        <v>12331.244094488189</v>
      </c>
      <c r="N156" s="409">
        <v>17252.07086614173</v>
      </c>
      <c r="O156" s="410" t="s">
        <v>7794</v>
      </c>
      <c r="P156" s="406">
        <v>153</v>
      </c>
      <c r="Q156" s="470" t="s">
        <v>346</v>
      </c>
      <c r="R156" s="460" t="s">
        <v>347</v>
      </c>
      <c r="S156" s="270" t="s">
        <v>32</v>
      </c>
      <c r="U156" s="471">
        <v>0</v>
      </c>
      <c r="V156" s="471"/>
      <c r="W156" s="471" t="s">
        <v>347</v>
      </c>
      <c r="X156" s="471">
        <v>0</v>
      </c>
      <c r="Z156" s="270" t="s">
        <v>246</v>
      </c>
    </row>
    <row r="157" spans="1:26">
      <c r="A157" s="406">
        <v>154</v>
      </c>
      <c r="B157" s="613" t="s">
        <v>2704</v>
      </c>
      <c r="C157" s="288" t="s">
        <v>348</v>
      </c>
      <c r="D157" s="414" t="s">
        <v>3584</v>
      </c>
      <c r="E157" s="407" t="s">
        <v>8017</v>
      </c>
      <c r="F157" s="483" t="s">
        <v>2706</v>
      </c>
      <c r="G157" s="411" t="s">
        <v>2705</v>
      </c>
      <c r="H157" s="411"/>
      <c r="I157" s="411"/>
      <c r="J157" s="411"/>
      <c r="K157" s="411"/>
      <c r="L157" s="608">
        <v>7873.1377952755911</v>
      </c>
      <c r="M157" s="409">
        <v>12490.562992125984</v>
      </c>
      <c r="N157" s="409">
        <v>20363.700787401573</v>
      </c>
      <c r="O157" s="410" t="s">
        <v>7775</v>
      </c>
      <c r="P157" s="406">
        <v>154</v>
      </c>
      <c r="Q157" s="470" t="s">
        <v>348</v>
      </c>
      <c r="R157" s="460" t="s">
        <v>349</v>
      </c>
      <c r="S157" s="270" t="s">
        <v>32</v>
      </c>
      <c r="U157" s="471">
        <v>0</v>
      </c>
      <c r="V157" s="471"/>
      <c r="W157" s="471" t="s">
        <v>349</v>
      </c>
      <c r="X157" s="471">
        <v>0</v>
      </c>
      <c r="Z157" s="270" t="s">
        <v>246</v>
      </c>
    </row>
    <row r="158" spans="1:26">
      <c r="A158" s="406">
        <v>155</v>
      </c>
      <c r="B158" s="613" t="s">
        <v>2709</v>
      </c>
      <c r="C158" s="288" t="s">
        <v>350</v>
      </c>
      <c r="D158" s="414" t="s">
        <v>3647</v>
      </c>
      <c r="E158" s="407" t="s">
        <v>8054</v>
      </c>
      <c r="F158" s="483" t="s">
        <v>2707</v>
      </c>
      <c r="G158" s="411" t="s">
        <v>2710</v>
      </c>
      <c r="H158" s="411"/>
      <c r="I158" s="411"/>
      <c r="J158" s="411"/>
      <c r="K158" s="411"/>
      <c r="L158" s="608">
        <v>4830.9133858267724</v>
      </c>
      <c r="M158" s="409">
        <v>13437.468503937007</v>
      </c>
      <c r="N158" s="409">
        <v>18268.381889763779</v>
      </c>
      <c r="O158" s="410" t="s">
        <v>7815</v>
      </c>
      <c r="P158" s="406">
        <v>155</v>
      </c>
      <c r="Q158" s="470" t="s">
        <v>350</v>
      </c>
      <c r="R158" s="460" t="s">
        <v>351</v>
      </c>
      <c r="S158" s="270" t="s">
        <v>32</v>
      </c>
      <c r="U158" s="471">
        <v>0</v>
      </c>
      <c r="V158" s="471"/>
      <c r="W158" s="471" t="s">
        <v>351</v>
      </c>
      <c r="X158" s="471">
        <v>0</v>
      </c>
      <c r="Z158" s="270" t="s">
        <v>246</v>
      </c>
    </row>
    <row r="159" spans="1:26">
      <c r="A159" s="406">
        <v>156</v>
      </c>
      <c r="B159" s="613" t="s">
        <v>6643</v>
      </c>
      <c r="C159" s="288" t="s">
        <v>352</v>
      </c>
      <c r="D159" s="414" t="s">
        <v>3660</v>
      </c>
      <c r="E159" s="407" t="s">
        <v>8055</v>
      </c>
      <c r="F159" s="483" t="s">
        <v>2711</v>
      </c>
      <c r="G159" s="411" t="s">
        <v>2712</v>
      </c>
      <c r="H159" s="411"/>
      <c r="I159" s="411"/>
      <c r="J159" s="411"/>
      <c r="K159" s="411"/>
      <c r="L159" s="608">
        <v>3344.1062992125985</v>
      </c>
      <c r="M159" s="409">
        <v>13462.059055118112</v>
      </c>
      <c r="N159" s="409">
        <v>16806.165354330707</v>
      </c>
      <c r="O159" s="410" t="s">
        <v>7781</v>
      </c>
      <c r="P159" s="406">
        <v>156</v>
      </c>
      <c r="Q159" s="470" t="s">
        <v>352</v>
      </c>
      <c r="R159" s="460" t="s">
        <v>353</v>
      </c>
      <c r="S159" s="270" t="s">
        <v>32</v>
      </c>
      <c r="U159" s="471">
        <v>0</v>
      </c>
      <c r="V159" s="471"/>
      <c r="W159" s="471" t="s">
        <v>353</v>
      </c>
      <c r="X159" s="471">
        <v>0</v>
      </c>
      <c r="Z159" s="270" t="s">
        <v>246</v>
      </c>
    </row>
    <row r="160" spans="1:26">
      <c r="A160" s="406">
        <v>157</v>
      </c>
      <c r="B160" s="613" t="s">
        <v>2623</v>
      </c>
      <c r="C160" s="288" t="s">
        <v>354</v>
      </c>
      <c r="D160" s="414" t="s">
        <v>3616</v>
      </c>
      <c r="E160" s="407" t="s">
        <v>8056</v>
      </c>
      <c r="F160" s="483" t="s">
        <v>2621</v>
      </c>
      <c r="G160" s="411" t="s">
        <v>2624</v>
      </c>
      <c r="H160" s="411"/>
      <c r="I160" s="411"/>
      <c r="J160" s="411"/>
      <c r="K160" s="411"/>
      <c r="L160" s="608">
        <v>4290.1968503937014</v>
      </c>
      <c r="M160" s="409">
        <v>10345.34251968504</v>
      </c>
      <c r="N160" s="409">
        <v>14635.539370078741</v>
      </c>
      <c r="O160" s="410" t="s">
        <v>7760</v>
      </c>
      <c r="P160" s="406">
        <v>157</v>
      </c>
      <c r="Q160" s="470" t="s">
        <v>354</v>
      </c>
      <c r="R160" s="460" t="s">
        <v>355</v>
      </c>
      <c r="S160" s="270" t="s">
        <v>32</v>
      </c>
      <c r="U160" s="471">
        <v>0</v>
      </c>
      <c r="V160" s="471"/>
      <c r="W160" s="471" t="s">
        <v>355</v>
      </c>
      <c r="X160" s="471">
        <v>0</v>
      </c>
      <c r="Z160" s="270" t="s">
        <v>246</v>
      </c>
    </row>
    <row r="161" spans="1:26">
      <c r="A161" s="406">
        <v>158</v>
      </c>
      <c r="B161" s="613" t="s">
        <v>2627</v>
      </c>
      <c r="C161" s="288" t="s">
        <v>356</v>
      </c>
      <c r="D161" s="414" t="s">
        <v>3622</v>
      </c>
      <c r="E161" s="407" t="s">
        <v>8057</v>
      </c>
      <c r="F161" s="483" t="s">
        <v>2625</v>
      </c>
      <c r="G161" s="411" t="s">
        <v>2628</v>
      </c>
      <c r="H161" s="411"/>
      <c r="I161" s="411"/>
      <c r="J161" s="411"/>
      <c r="K161" s="411"/>
      <c r="L161" s="608">
        <v>3858.2401574803152</v>
      </c>
      <c r="M161" s="409">
        <v>9765.1259842519685</v>
      </c>
      <c r="N161" s="409">
        <v>13623.366141732284</v>
      </c>
      <c r="O161" s="410" t="s">
        <v>7760</v>
      </c>
      <c r="P161" s="406">
        <v>158</v>
      </c>
      <c r="Q161" s="470" t="s">
        <v>356</v>
      </c>
      <c r="R161" s="460" t="s">
        <v>357</v>
      </c>
      <c r="S161" s="270" t="s">
        <v>32</v>
      </c>
      <c r="U161" s="471">
        <v>0</v>
      </c>
      <c r="V161" s="471"/>
      <c r="W161" s="471" t="s">
        <v>357</v>
      </c>
      <c r="X161" s="471">
        <v>0</v>
      </c>
      <c r="Z161" s="270" t="s">
        <v>246</v>
      </c>
    </row>
    <row r="162" spans="1:26">
      <c r="A162" s="406">
        <v>159</v>
      </c>
      <c r="B162" s="613" t="s">
        <v>2631</v>
      </c>
      <c r="C162" s="288" t="s">
        <v>358</v>
      </c>
      <c r="D162" s="414" t="s">
        <v>3725</v>
      </c>
      <c r="E162" s="407" t="s">
        <v>8058</v>
      </c>
      <c r="F162" s="483" t="s">
        <v>2629</v>
      </c>
      <c r="G162" s="411" t="s">
        <v>2632</v>
      </c>
      <c r="H162" s="411"/>
      <c r="I162" s="411"/>
      <c r="J162" s="411"/>
      <c r="K162" s="411"/>
      <c r="L162" s="608">
        <v>3639.1023622047246</v>
      </c>
      <c r="M162" s="409">
        <v>9050.893700787401</v>
      </c>
      <c r="N162" s="409">
        <v>12689.996062992126</v>
      </c>
      <c r="O162" s="410" t="s">
        <v>7771</v>
      </c>
      <c r="P162" s="406">
        <v>159</v>
      </c>
      <c r="Q162" s="470" t="s">
        <v>358</v>
      </c>
      <c r="R162" s="460" t="s">
        <v>359</v>
      </c>
      <c r="S162" s="270" t="s">
        <v>32</v>
      </c>
      <c r="U162" s="471">
        <v>0</v>
      </c>
      <c r="V162" s="471"/>
      <c r="W162" s="471" t="s">
        <v>359</v>
      </c>
      <c r="X162" s="471">
        <v>0</v>
      </c>
      <c r="Z162" s="270" t="s">
        <v>246</v>
      </c>
    </row>
    <row r="163" spans="1:26">
      <c r="A163" s="406">
        <v>160</v>
      </c>
      <c r="B163" s="613" t="s">
        <v>2635</v>
      </c>
      <c r="C163" s="288" t="s">
        <v>360</v>
      </c>
      <c r="D163" s="414" t="s">
        <v>3722</v>
      </c>
      <c r="E163" s="407" t="s">
        <v>8059</v>
      </c>
      <c r="F163" s="483" t="s">
        <v>2633</v>
      </c>
      <c r="G163" s="411" t="s">
        <v>2636</v>
      </c>
      <c r="H163" s="411"/>
      <c r="I163" s="411"/>
      <c r="J163" s="411"/>
      <c r="K163" s="411"/>
      <c r="L163" s="608">
        <v>3655.5314960629921</v>
      </c>
      <c r="M163" s="409">
        <v>8963.6181102362207</v>
      </c>
      <c r="N163" s="409">
        <v>12619.149606299214</v>
      </c>
      <c r="O163" s="410" t="s">
        <v>7771</v>
      </c>
      <c r="P163" s="406">
        <v>160</v>
      </c>
      <c r="Q163" s="470" t="s">
        <v>360</v>
      </c>
      <c r="R163" s="460" t="s">
        <v>361</v>
      </c>
      <c r="S163" s="270" t="s">
        <v>32</v>
      </c>
      <c r="U163" s="471">
        <v>0</v>
      </c>
      <c r="V163" s="471"/>
      <c r="W163" s="471" t="s">
        <v>361</v>
      </c>
      <c r="X163" s="471">
        <v>0</v>
      </c>
      <c r="Z163" s="270" t="s">
        <v>246</v>
      </c>
    </row>
    <row r="164" spans="1:26">
      <c r="A164" s="406">
        <v>161</v>
      </c>
      <c r="B164" s="613" t="s">
        <v>2639</v>
      </c>
      <c r="C164" s="288" t="s">
        <v>362</v>
      </c>
      <c r="D164" s="414" t="s">
        <v>3704</v>
      </c>
      <c r="E164" s="407" t="s">
        <v>8060</v>
      </c>
      <c r="F164" s="483" t="s">
        <v>2637</v>
      </c>
      <c r="G164" s="411" t="s">
        <v>2640</v>
      </c>
      <c r="H164" s="411"/>
      <c r="I164" s="411"/>
      <c r="J164" s="411"/>
      <c r="K164" s="411"/>
      <c r="L164" s="608">
        <v>4125.8818897637793</v>
      </c>
      <c r="M164" s="409">
        <v>8431.7677165354326</v>
      </c>
      <c r="N164" s="409">
        <v>12557.649606299212</v>
      </c>
      <c r="O164" s="410" t="s">
        <v>7771</v>
      </c>
      <c r="P164" s="406">
        <v>161</v>
      </c>
      <c r="Q164" s="470" t="s">
        <v>362</v>
      </c>
      <c r="R164" s="460" t="s">
        <v>363</v>
      </c>
      <c r="S164" s="270" t="s">
        <v>32</v>
      </c>
      <c r="U164" s="471">
        <v>0</v>
      </c>
      <c r="V164" s="471"/>
      <c r="W164" s="471" t="s">
        <v>363</v>
      </c>
      <c r="X164" s="471">
        <v>0</v>
      </c>
      <c r="Z164" s="270" t="s">
        <v>246</v>
      </c>
    </row>
    <row r="165" spans="1:26">
      <c r="A165" s="406">
        <v>162</v>
      </c>
      <c r="B165" s="613" t="s">
        <v>2643</v>
      </c>
      <c r="C165" s="288" t="s">
        <v>364</v>
      </c>
      <c r="D165" s="414" t="s">
        <v>3646</v>
      </c>
      <c r="E165" s="407" t="s">
        <v>8061</v>
      </c>
      <c r="F165" s="483" t="s">
        <v>2641</v>
      </c>
      <c r="G165" s="411" t="s">
        <v>2644</v>
      </c>
      <c r="H165" s="411"/>
      <c r="I165" s="411"/>
      <c r="J165" s="411"/>
      <c r="K165" s="411"/>
      <c r="L165" s="608">
        <v>5933.5866141732286</v>
      </c>
      <c r="M165" s="409">
        <v>8765.8976377952749</v>
      </c>
      <c r="N165" s="409">
        <v>14699.484251968504</v>
      </c>
      <c r="O165" s="410" t="s">
        <v>7815</v>
      </c>
      <c r="P165" s="406">
        <v>162</v>
      </c>
      <c r="Q165" s="470" t="s">
        <v>364</v>
      </c>
      <c r="R165" s="460" t="s">
        <v>365</v>
      </c>
      <c r="S165" s="270" t="s">
        <v>32</v>
      </c>
      <c r="U165" s="471">
        <v>0</v>
      </c>
      <c r="V165" s="471"/>
      <c r="W165" s="471" t="s">
        <v>365</v>
      </c>
      <c r="X165" s="471">
        <v>0</v>
      </c>
      <c r="Z165" s="270" t="s">
        <v>246</v>
      </c>
    </row>
    <row r="166" spans="1:26">
      <c r="A166" s="406">
        <v>163</v>
      </c>
      <c r="B166" s="613" t="s">
        <v>2516</v>
      </c>
      <c r="C166" s="288" t="s">
        <v>366</v>
      </c>
      <c r="D166" s="414" t="s">
        <v>3624</v>
      </c>
      <c r="E166" s="407" t="s">
        <v>8062</v>
      </c>
      <c r="F166" s="483" t="s">
        <v>2645</v>
      </c>
      <c r="G166" s="411" t="s">
        <v>2517</v>
      </c>
      <c r="H166" s="411"/>
      <c r="I166" s="411"/>
      <c r="J166" s="411"/>
      <c r="K166" s="411"/>
      <c r="L166" s="608">
        <v>14360.397637795277</v>
      </c>
      <c r="M166" s="409">
        <v>6880.9409448818906</v>
      </c>
      <c r="N166" s="409">
        <v>21241.338582677166</v>
      </c>
      <c r="O166" s="410" t="s">
        <v>7803</v>
      </c>
      <c r="P166" s="406">
        <v>163</v>
      </c>
      <c r="Q166" s="470" t="s">
        <v>366</v>
      </c>
      <c r="R166" s="460" t="s">
        <v>367</v>
      </c>
      <c r="S166" s="270" t="s">
        <v>32</v>
      </c>
      <c r="U166" s="471">
        <v>0</v>
      </c>
      <c r="V166" s="471"/>
      <c r="W166" s="471" t="s">
        <v>367</v>
      </c>
      <c r="X166" s="471">
        <v>0</v>
      </c>
      <c r="Z166" s="270" t="s">
        <v>246</v>
      </c>
    </row>
    <row r="167" spans="1:26">
      <c r="A167" s="406">
        <v>164</v>
      </c>
      <c r="B167" s="613" t="s">
        <v>2520</v>
      </c>
      <c r="C167" s="288" t="s">
        <v>368</v>
      </c>
      <c r="D167" s="414" t="s">
        <v>3641</v>
      </c>
      <c r="E167" s="407" t="s">
        <v>8063</v>
      </c>
      <c r="F167" s="483" t="s">
        <v>2646</v>
      </c>
      <c r="G167" s="411" t="s">
        <v>2521</v>
      </c>
      <c r="H167" s="411"/>
      <c r="I167" s="411"/>
      <c r="J167" s="411"/>
      <c r="K167" s="411"/>
      <c r="L167" s="608">
        <v>14365.330708661417</v>
      </c>
      <c r="M167" s="409">
        <v>7564.3661417322837</v>
      </c>
      <c r="N167" s="409">
        <v>21929.696850393699</v>
      </c>
      <c r="O167" s="410" t="s">
        <v>7803</v>
      </c>
      <c r="P167" s="406">
        <v>164</v>
      </c>
      <c r="Q167" s="470" t="s">
        <v>368</v>
      </c>
      <c r="R167" s="460" t="s">
        <v>369</v>
      </c>
      <c r="S167" s="270" t="s">
        <v>32</v>
      </c>
      <c r="U167" s="471">
        <v>0</v>
      </c>
      <c r="V167" s="471"/>
      <c r="W167" s="471" t="s">
        <v>369</v>
      </c>
      <c r="X167" s="471">
        <v>0</v>
      </c>
      <c r="Z167" s="270" t="s">
        <v>246</v>
      </c>
    </row>
    <row r="168" spans="1:26">
      <c r="A168" s="406">
        <v>165</v>
      </c>
      <c r="B168" s="613" t="s">
        <v>2524</v>
      </c>
      <c r="C168" s="288" t="s">
        <v>370</v>
      </c>
      <c r="D168" s="414" t="s">
        <v>3564</v>
      </c>
      <c r="E168" s="407" t="s">
        <v>8064</v>
      </c>
      <c r="F168" s="483" t="s">
        <v>2647</v>
      </c>
      <c r="G168" s="411" t="s">
        <v>2525</v>
      </c>
      <c r="H168" s="411"/>
      <c r="I168" s="411"/>
      <c r="J168" s="411"/>
      <c r="K168" s="411"/>
      <c r="L168" s="608">
        <v>14368.000000000002</v>
      </c>
      <c r="M168" s="409">
        <v>6567.4251968503941</v>
      </c>
      <c r="N168" s="409">
        <v>20935.425196850396</v>
      </c>
      <c r="O168" s="410" t="s">
        <v>7810</v>
      </c>
      <c r="P168" s="406">
        <v>165</v>
      </c>
      <c r="Q168" s="470" t="s">
        <v>370</v>
      </c>
      <c r="R168" s="460" t="s">
        <v>371</v>
      </c>
      <c r="S168" s="270" t="s">
        <v>32</v>
      </c>
      <c r="U168" s="471">
        <v>0</v>
      </c>
      <c r="V168" s="471"/>
      <c r="W168" s="471" t="s">
        <v>371</v>
      </c>
      <c r="X168" s="471">
        <v>0</v>
      </c>
      <c r="Z168" s="270" t="s">
        <v>246</v>
      </c>
    </row>
    <row r="169" spans="1:26">
      <c r="A169" s="406">
        <v>166</v>
      </c>
      <c r="B169" s="613" t="s">
        <v>2518</v>
      </c>
      <c r="C169" s="288" t="s">
        <v>372</v>
      </c>
      <c r="D169" s="414" t="s">
        <v>3625</v>
      </c>
      <c r="E169" s="407" t="s">
        <v>8065</v>
      </c>
      <c r="F169" s="483" t="s">
        <v>2648</v>
      </c>
      <c r="G169" s="411" t="s">
        <v>2519</v>
      </c>
      <c r="H169" s="411"/>
      <c r="I169" s="411"/>
      <c r="J169" s="411"/>
      <c r="K169" s="411"/>
      <c r="L169" s="608">
        <v>14358.720472440946</v>
      </c>
      <c r="M169" s="409">
        <v>6202.0787401574808</v>
      </c>
      <c r="N169" s="409">
        <v>20560.799212598427</v>
      </c>
      <c r="O169" s="410" t="s">
        <v>7758</v>
      </c>
      <c r="P169" s="406">
        <v>166</v>
      </c>
      <c r="Q169" s="470" t="s">
        <v>372</v>
      </c>
      <c r="R169" s="460" t="s">
        <v>373</v>
      </c>
      <c r="S169" s="270" t="s">
        <v>32</v>
      </c>
      <c r="U169" s="471">
        <v>0</v>
      </c>
      <c r="V169" s="471"/>
      <c r="W169" s="471" t="s">
        <v>373</v>
      </c>
      <c r="X169" s="471">
        <v>0</v>
      </c>
      <c r="Z169" s="270" t="s">
        <v>246</v>
      </c>
    </row>
    <row r="170" spans="1:26">
      <c r="A170" s="406">
        <v>167</v>
      </c>
      <c r="B170" s="613" t="s">
        <v>2522</v>
      </c>
      <c r="C170" s="288" t="s">
        <v>374</v>
      </c>
      <c r="D170" s="414" t="s">
        <v>3643</v>
      </c>
      <c r="E170" s="407" t="s">
        <v>8066</v>
      </c>
      <c r="F170" s="483" t="s">
        <v>2649</v>
      </c>
      <c r="G170" s="411" t="s">
        <v>2523</v>
      </c>
      <c r="H170" s="411"/>
      <c r="I170" s="411"/>
      <c r="J170" s="411"/>
      <c r="K170" s="411"/>
      <c r="L170" s="608">
        <v>14365.090551181102</v>
      </c>
      <c r="M170" s="409">
        <v>5478.0393700787408</v>
      </c>
      <c r="N170" s="409">
        <v>19843.129921259842</v>
      </c>
      <c r="O170" s="410" t="s">
        <v>7758</v>
      </c>
      <c r="P170" s="406">
        <v>167</v>
      </c>
      <c r="Q170" s="470" t="s">
        <v>374</v>
      </c>
      <c r="R170" s="460" t="s">
        <v>375</v>
      </c>
      <c r="S170" s="270" t="s">
        <v>32</v>
      </c>
      <c r="U170" s="471">
        <v>0</v>
      </c>
      <c r="V170" s="471"/>
      <c r="W170" s="471" t="s">
        <v>375</v>
      </c>
      <c r="X170" s="471">
        <v>0</v>
      </c>
      <c r="Z170" s="270" t="s">
        <v>246</v>
      </c>
    </row>
    <row r="171" spans="1:26">
      <c r="A171" s="406">
        <v>168</v>
      </c>
      <c r="B171" s="613" t="s">
        <v>2526</v>
      </c>
      <c r="C171" s="288" t="s">
        <v>376</v>
      </c>
      <c r="D171" s="414" t="s">
        <v>3565</v>
      </c>
      <c r="E171" s="407" t="s">
        <v>8067</v>
      </c>
      <c r="F171" s="483" t="s">
        <v>2650</v>
      </c>
      <c r="G171" s="411" t="s">
        <v>2527</v>
      </c>
      <c r="H171" s="411"/>
      <c r="I171" s="411"/>
      <c r="J171" s="411"/>
      <c r="K171" s="411"/>
      <c r="L171" s="608">
        <v>14362.232283464567</v>
      </c>
      <c r="M171" s="409">
        <v>5842.5511811023625</v>
      </c>
      <c r="N171" s="409">
        <v>20204.783464566932</v>
      </c>
      <c r="O171" s="410" t="s">
        <v>7840</v>
      </c>
      <c r="P171" s="406">
        <v>168</v>
      </c>
      <c r="Q171" s="470" t="s">
        <v>376</v>
      </c>
      <c r="R171" s="460" t="s">
        <v>377</v>
      </c>
      <c r="S171" s="270" t="s">
        <v>32</v>
      </c>
      <c r="U171" s="471">
        <v>0</v>
      </c>
      <c r="V171" s="471"/>
      <c r="W171" s="471" t="s">
        <v>377</v>
      </c>
      <c r="X171" s="471">
        <v>0</v>
      </c>
      <c r="Z171" s="270" t="s">
        <v>246</v>
      </c>
    </row>
    <row r="172" spans="1:26">
      <c r="A172" s="406">
        <v>169</v>
      </c>
      <c r="B172" s="613" t="s">
        <v>2684</v>
      </c>
      <c r="C172" s="288" t="s">
        <v>378</v>
      </c>
      <c r="D172" s="414" t="s">
        <v>3644</v>
      </c>
      <c r="E172" s="407" t="s">
        <v>8015</v>
      </c>
      <c r="F172" s="483" t="s">
        <v>2686</v>
      </c>
      <c r="G172" s="411" t="s">
        <v>2685</v>
      </c>
      <c r="H172" s="411"/>
      <c r="I172" s="411"/>
      <c r="J172" s="411"/>
      <c r="K172" s="411"/>
      <c r="L172" s="608">
        <v>5669.1338582677172</v>
      </c>
      <c r="M172" s="409">
        <v>13083.909448818898</v>
      </c>
      <c r="N172" s="409">
        <v>18753.043307086617</v>
      </c>
      <c r="O172" s="410" t="s">
        <v>7825</v>
      </c>
      <c r="P172" s="406">
        <v>169</v>
      </c>
      <c r="Q172" s="470" t="s">
        <v>378</v>
      </c>
      <c r="R172" s="460" t="s">
        <v>379</v>
      </c>
      <c r="S172" s="270" t="s">
        <v>32</v>
      </c>
      <c r="U172" s="471">
        <v>0</v>
      </c>
      <c r="V172" s="471"/>
      <c r="W172" s="478" t="s">
        <v>379</v>
      </c>
      <c r="X172" s="471">
        <v>0</v>
      </c>
      <c r="Z172" s="270" t="s">
        <v>246</v>
      </c>
    </row>
    <row r="173" spans="1:26">
      <c r="A173" s="406">
        <v>170</v>
      </c>
      <c r="B173" s="613" t="s">
        <v>6644</v>
      </c>
      <c r="C173" s="288" t="s">
        <v>380</v>
      </c>
      <c r="D173" s="414" t="s">
        <v>3686</v>
      </c>
      <c r="E173" s="407" t="s">
        <v>8068</v>
      </c>
      <c r="F173" s="483"/>
      <c r="G173" s="411"/>
      <c r="H173" s="411"/>
      <c r="I173" s="411"/>
      <c r="J173" s="411"/>
      <c r="K173" s="411"/>
      <c r="L173" s="608" t="s">
        <v>4884</v>
      </c>
      <c r="M173" s="409">
        <v>18491.326771653545</v>
      </c>
      <c r="N173" s="409">
        <v>18491.326771653545</v>
      </c>
      <c r="O173" s="410" t="s">
        <v>7571</v>
      </c>
      <c r="P173" s="406">
        <v>170</v>
      </c>
      <c r="Q173" s="470" t="s">
        <v>380</v>
      </c>
      <c r="R173" s="475" t="s">
        <v>381</v>
      </c>
      <c r="S173" s="270" t="s">
        <v>32</v>
      </c>
      <c r="U173" s="477">
        <v>0</v>
      </c>
      <c r="V173" s="471"/>
      <c r="W173" s="471"/>
      <c r="X173" s="471"/>
      <c r="Z173" s="270" t="s">
        <v>7514</v>
      </c>
    </row>
    <row r="174" spans="1:26">
      <c r="A174" s="406">
        <v>171</v>
      </c>
      <c r="B174" s="613" t="s">
        <v>2973</v>
      </c>
      <c r="C174" s="288" t="s">
        <v>382</v>
      </c>
      <c r="D174" s="414" t="s">
        <v>4000</v>
      </c>
      <c r="E174" s="407" t="s">
        <v>8076</v>
      </c>
      <c r="F174" s="483"/>
      <c r="G174" s="411"/>
      <c r="H174" s="411"/>
      <c r="I174" s="411"/>
      <c r="J174" s="411"/>
      <c r="K174" s="411"/>
      <c r="L174" s="608" t="s">
        <v>4884</v>
      </c>
      <c r="M174" s="409">
        <v>4648.9409448818897</v>
      </c>
      <c r="N174" s="409">
        <v>4648.9409448818897</v>
      </c>
      <c r="O174" s="410" t="s">
        <v>7572</v>
      </c>
      <c r="P174" s="406">
        <v>171</v>
      </c>
      <c r="Q174" s="470" t="s">
        <v>382</v>
      </c>
      <c r="R174" s="460" t="s">
        <v>383</v>
      </c>
      <c r="S174" s="270" t="s">
        <v>32</v>
      </c>
      <c r="U174" s="471">
        <v>1</v>
      </c>
      <c r="V174" s="471"/>
      <c r="W174" s="471" t="s">
        <v>383</v>
      </c>
      <c r="X174" s="471">
        <v>0</v>
      </c>
    </row>
    <row r="175" spans="1:26">
      <c r="A175" s="406">
        <v>172</v>
      </c>
      <c r="B175" s="613" t="s">
        <v>2974</v>
      </c>
      <c r="C175" s="288" t="s">
        <v>384</v>
      </c>
      <c r="D175" s="414" t="s">
        <v>4031</v>
      </c>
      <c r="E175" s="407" t="s">
        <v>8077</v>
      </c>
      <c r="F175" s="483"/>
      <c r="G175" s="411"/>
      <c r="H175" s="411"/>
      <c r="I175" s="411"/>
      <c r="J175" s="411"/>
      <c r="K175" s="411"/>
      <c r="L175" s="608" t="s">
        <v>4884</v>
      </c>
      <c r="M175" s="409">
        <v>5284.2047244094483</v>
      </c>
      <c r="N175" s="409">
        <v>5284.2047244094483</v>
      </c>
      <c r="O175" s="410" t="s">
        <v>7575</v>
      </c>
      <c r="P175" s="406">
        <v>172</v>
      </c>
      <c r="Q175" s="470" t="s">
        <v>384</v>
      </c>
      <c r="R175" s="460" t="s">
        <v>385</v>
      </c>
      <c r="S175" s="270" t="s">
        <v>32</v>
      </c>
      <c r="U175" s="471">
        <v>1</v>
      </c>
      <c r="V175" s="471"/>
      <c r="W175" s="471" t="s">
        <v>385</v>
      </c>
      <c r="X175" s="471">
        <v>0</v>
      </c>
    </row>
    <row r="176" spans="1:26">
      <c r="A176" s="406">
        <v>173</v>
      </c>
      <c r="B176" s="613" t="s">
        <v>2975</v>
      </c>
      <c r="C176" s="288" t="s">
        <v>386</v>
      </c>
      <c r="D176" s="414" t="s">
        <v>4001</v>
      </c>
      <c r="E176" s="407" t="s">
        <v>8078</v>
      </c>
      <c r="F176" s="483"/>
      <c r="G176" s="411"/>
      <c r="H176" s="411"/>
      <c r="I176" s="411"/>
      <c r="J176" s="411"/>
      <c r="K176" s="411"/>
      <c r="L176" s="608" t="s">
        <v>4884</v>
      </c>
      <c r="M176" s="409">
        <v>4868.8031496062995</v>
      </c>
      <c r="N176" s="409">
        <v>4868.8031496062995</v>
      </c>
      <c r="O176" s="410" t="s">
        <v>7576</v>
      </c>
      <c r="P176" s="406">
        <v>173</v>
      </c>
      <c r="Q176" s="470" t="s">
        <v>386</v>
      </c>
      <c r="R176" s="460" t="s">
        <v>387</v>
      </c>
      <c r="S176" s="270" t="s">
        <v>32</v>
      </c>
      <c r="U176" s="471">
        <v>1</v>
      </c>
      <c r="V176" s="471"/>
      <c r="W176" s="471" t="s">
        <v>387</v>
      </c>
      <c r="X176" s="471">
        <v>0</v>
      </c>
      <c r="Y176" s="206"/>
      <c r="Z176" s="206"/>
    </row>
    <row r="177" spans="1:26">
      <c r="A177" s="406">
        <v>174</v>
      </c>
      <c r="B177" s="613" t="s">
        <v>2976</v>
      </c>
      <c r="C177" s="288" t="s">
        <v>388</v>
      </c>
      <c r="D177" s="414" t="s">
        <v>3948</v>
      </c>
      <c r="E177" s="407" t="s">
        <v>8079</v>
      </c>
      <c r="F177" s="483"/>
      <c r="G177" s="411"/>
      <c r="H177" s="411"/>
      <c r="I177" s="411"/>
      <c r="J177" s="411"/>
      <c r="K177" s="411"/>
      <c r="L177" s="608" t="s">
        <v>4884</v>
      </c>
      <c r="M177" s="409">
        <v>6412.3937007874019</v>
      </c>
      <c r="N177" s="409">
        <v>6412.3937007874019</v>
      </c>
      <c r="O177" s="410" t="s">
        <v>7575</v>
      </c>
      <c r="P177" s="406">
        <v>174</v>
      </c>
      <c r="Q177" s="470" t="s">
        <v>388</v>
      </c>
      <c r="R177" s="460" t="s">
        <v>389</v>
      </c>
      <c r="S177" s="270" t="s">
        <v>32</v>
      </c>
      <c r="U177" s="471">
        <v>1</v>
      </c>
      <c r="V177" s="471"/>
      <c r="W177" s="471" t="s">
        <v>389</v>
      </c>
      <c r="X177" s="471">
        <v>0</v>
      </c>
      <c r="Y177" s="206"/>
      <c r="Z177" s="206"/>
    </row>
    <row r="178" spans="1:26">
      <c r="A178" s="406">
        <v>175</v>
      </c>
      <c r="B178" s="613" t="s">
        <v>2977</v>
      </c>
      <c r="C178" s="288" t="s">
        <v>390</v>
      </c>
      <c r="D178" s="414" t="s">
        <v>3979</v>
      </c>
      <c r="E178" s="407" t="s">
        <v>8080</v>
      </c>
      <c r="F178" s="483"/>
      <c r="G178" s="411"/>
      <c r="H178" s="411"/>
      <c r="I178" s="411"/>
      <c r="J178" s="411"/>
      <c r="K178" s="411"/>
      <c r="L178" s="608" t="s">
        <v>4884</v>
      </c>
      <c r="M178" s="409">
        <v>6422.7047244094483</v>
      </c>
      <c r="N178" s="409">
        <v>6422.7047244094483</v>
      </c>
      <c r="O178" s="410" t="s">
        <v>7575</v>
      </c>
      <c r="P178" s="406">
        <v>175</v>
      </c>
      <c r="Q178" s="470" t="s">
        <v>390</v>
      </c>
      <c r="R178" s="460" t="s">
        <v>391</v>
      </c>
      <c r="S178" s="270" t="s">
        <v>32</v>
      </c>
      <c r="U178" s="471">
        <v>1</v>
      </c>
      <c r="V178" s="471"/>
      <c r="W178" s="471" t="s">
        <v>391</v>
      </c>
      <c r="X178" s="471">
        <v>0</v>
      </c>
      <c r="Y178" s="206"/>
      <c r="Z178" s="206"/>
    </row>
    <row r="179" spans="1:26">
      <c r="A179" s="406">
        <v>176</v>
      </c>
      <c r="B179" s="613" t="s">
        <v>2978</v>
      </c>
      <c r="C179" s="288" t="s">
        <v>392</v>
      </c>
      <c r="D179" s="414" t="s">
        <v>4024</v>
      </c>
      <c r="E179" s="407" t="s">
        <v>8081</v>
      </c>
      <c r="F179" s="483"/>
      <c r="G179" s="411"/>
      <c r="H179" s="411"/>
      <c r="I179" s="411"/>
      <c r="J179" s="411"/>
      <c r="K179" s="411"/>
      <c r="L179" s="608" t="s">
        <v>4884</v>
      </c>
      <c r="M179" s="409">
        <v>6411.6023622047251</v>
      </c>
      <c r="N179" s="409">
        <v>6411.6023622047251</v>
      </c>
      <c r="O179" s="410" t="s">
        <v>7575</v>
      </c>
      <c r="P179" s="406">
        <v>176</v>
      </c>
      <c r="Q179" s="470" t="s">
        <v>392</v>
      </c>
      <c r="R179" s="460" t="s">
        <v>393</v>
      </c>
      <c r="S179" s="270" t="s">
        <v>32</v>
      </c>
      <c r="U179" s="471">
        <v>1</v>
      </c>
      <c r="V179" s="471"/>
      <c r="W179" s="471" t="s">
        <v>393</v>
      </c>
      <c r="X179" s="471">
        <v>0</v>
      </c>
      <c r="Y179" s="206"/>
      <c r="Z179" s="206"/>
    </row>
    <row r="180" spans="1:26">
      <c r="A180" s="406">
        <v>177</v>
      </c>
      <c r="B180" s="613" t="s">
        <v>2979</v>
      </c>
      <c r="C180" s="288" t="s">
        <v>394</v>
      </c>
      <c r="D180" s="414" t="s">
        <v>3949</v>
      </c>
      <c r="E180" s="407" t="s">
        <v>8082</v>
      </c>
      <c r="F180" s="483"/>
      <c r="G180" s="411"/>
      <c r="H180" s="411"/>
      <c r="I180" s="411"/>
      <c r="J180" s="411"/>
      <c r="K180" s="411"/>
      <c r="L180" s="608" t="s">
        <v>4884</v>
      </c>
      <c r="M180" s="409">
        <v>6418.0196850393704</v>
      </c>
      <c r="N180" s="409">
        <v>6418.0196850393704</v>
      </c>
      <c r="O180" s="410" t="s">
        <v>7575</v>
      </c>
      <c r="P180" s="406">
        <v>177</v>
      </c>
      <c r="Q180" s="470" t="s">
        <v>394</v>
      </c>
      <c r="R180" s="460" t="s">
        <v>395</v>
      </c>
      <c r="S180" s="270" t="s">
        <v>32</v>
      </c>
      <c r="U180" s="471">
        <v>1</v>
      </c>
      <c r="V180" s="471"/>
      <c r="W180" s="471" t="s">
        <v>395</v>
      </c>
      <c r="X180" s="471">
        <v>0</v>
      </c>
      <c r="Y180" s="206"/>
      <c r="Z180" s="206"/>
    </row>
    <row r="181" spans="1:26">
      <c r="A181" s="406">
        <v>178</v>
      </c>
      <c r="B181" s="613" t="s">
        <v>2980</v>
      </c>
      <c r="C181" s="288" t="s">
        <v>396</v>
      </c>
      <c r="D181" s="414" t="s">
        <v>3950</v>
      </c>
      <c r="E181" s="407" t="s">
        <v>8083</v>
      </c>
      <c r="F181" s="483"/>
      <c r="G181" s="411"/>
      <c r="H181" s="411"/>
      <c r="I181" s="411"/>
      <c r="J181" s="411"/>
      <c r="K181" s="411"/>
      <c r="L181" s="608" t="s">
        <v>4884</v>
      </c>
      <c r="M181" s="409">
        <v>6411.0157480314965</v>
      </c>
      <c r="N181" s="409">
        <v>6411.0157480314965</v>
      </c>
      <c r="O181" s="410" t="s">
        <v>7575</v>
      </c>
      <c r="P181" s="406">
        <v>178</v>
      </c>
      <c r="Q181" s="470" t="s">
        <v>396</v>
      </c>
      <c r="R181" s="460" t="s">
        <v>397</v>
      </c>
      <c r="S181" s="270" t="s">
        <v>32</v>
      </c>
      <c r="U181" s="471">
        <v>1</v>
      </c>
      <c r="V181" s="471"/>
      <c r="W181" s="471" t="s">
        <v>397</v>
      </c>
      <c r="X181" s="471">
        <v>0</v>
      </c>
      <c r="Y181" s="206"/>
      <c r="Z181" s="206"/>
    </row>
    <row r="182" spans="1:26">
      <c r="A182" s="406">
        <v>179</v>
      </c>
      <c r="B182" s="613" t="s">
        <v>2981</v>
      </c>
      <c r="C182" s="288" t="s">
        <v>398</v>
      </c>
      <c r="D182" s="414" t="s">
        <v>3986</v>
      </c>
      <c r="E182" s="407" t="s">
        <v>8084</v>
      </c>
      <c r="F182" s="483"/>
      <c r="G182" s="411"/>
      <c r="H182" s="411"/>
      <c r="I182" s="411"/>
      <c r="J182" s="411"/>
      <c r="K182" s="411"/>
      <c r="L182" s="608" t="s">
        <v>4884</v>
      </c>
      <c r="M182" s="409">
        <v>6411.7834645669291</v>
      </c>
      <c r="N182" s="409">
        <v>6411.7834645669291</v>
      </c>
      <c r="O182" s="410" t="s">
        <v>7575</v>
      </c>
      <c r="P182" s="406">
        <v>179</v>
      </c>
      <c r="Q182" s="470" t="s">
        <v>398</v>
      </c>
      <c r="R182" s="460" t="s">
        <v>399</v>
      </c>
      <c r="S182" s="270" t="s">
        <v>32</v>
      </c>
      <c r="U182" s="471">
        <v>1</v>
      </c>
      <c r="V182" s="471"/>
      <c r="W182" s="471" t="s">
        <v>399</v>
      </c>
      <c r="X182" s="471">
        <v>0</v>
      </c>
      <c r="Y182" s="206"/>
      <c r="Z182" s="206"/>
    </row>
    <row r="183" spans="1:26">
      <c r="A183" s="406">
        <v>180</v>
      </c>
      <c r="B183" s="613" t="s">
        <v>2982</v>
      </c>
      <c r="C183" s="288" t="s">
        <v>400</v>
      </c>
      <c r="D183" s="414" t="s">
        <v>3951</v>
      </c>
      <c r="E183" s="407" t="s">
        <v>8085</v>
      </c>
      <c r="F183" s="483"/>
      <c r="G183" s="411"/>
      <c r="H183" s="411"/>
      <c r="I183" s="411"/>
      <c r="J183" s="411"/>
      <c r="K183" s="411"/>
      <c r="L183" s="608" t="s">
        <v>4884</v>
      </c>
      <c r="M183" s="409">
        <v>6414.464566929134</v>
      </c>
      <c r="N183" s="409">
        <v>6414.464566929134</v>
      </c>
      <c r="O183" s="410" t="s">
        <v>7575</v>
      </c>
      <c r="P183" s="406">
        <v>180</v>
      </c>
      <c r="Q183" s="470" t="s">
        <v>400</v>
      </c>
      <c r="R183" s="460" t="s">
        <v>401</v>
      </c>
      <c r="S183" s="270" t="s">
        <v>32</v>
      </c>
      <c r="U183" s="471">
        <v>1</v>
      </c>
      <c r="V183" s="471"/>
      <c r="W183" s="471" t="s">
        <v>401</v>
      </c>
      <c r="X183" s="471">
        <v>0</v>
      </c>
      <c r="Y183" s="206"/>
      <c r="Z183" s="206"/>
    </row>
    <row r="184" spans="1:26">
      <c r="A184" s="406">
        <v>181</v>
      </c>
      <c r="B184" s="613" t="s">
        <v>2983</v>
      </c>
      <c r="C184" s="288" t="s">
        <v>402</v>
      </c>
      <c r="D184" s="414" t="s">
        <v>3953</v>
      </c>
      <c r="E184" s="407" t="s">
        <v>8086</v>
      </c>
      <c r="F184" s="483"/>
      <c r="G184" s="411"/>
      <c r="H184" s="411"/>
      <c r="I184" s="411"/>
      <c r="J184" s="411"/>
      <c r="K184" s="411"/>
      <c r="L184" s="608" t="s">
        <v>4884</v>
      </c>
      <c r="M184" s="409">
        <v>6416.3346456692916</v>
      </c>
      <c r="N184" s="409">
        <v>6416.3346456692916</v>
      </c>
      <c r="O184" s="410" t="s">
        <v>7575</v>
      </c>
      <c r="P184" s="406">
        <v>181</v>
      </c>
      <c r="Q184" s="470" t="s">
        <v>402</v>
      </c>
      <c r="R184" s="460" t="s">
        <v>403</v>
      </c>
      <c r="S184" s="270" t="s">
        <v>32</v>
      </c>
      <c r="U184" s="471">
        <v>1</v>
      </c>
      <c r="V184" s="471"/>
      <c r="W184" s="471" t="s">
        <v>403</v>
      </c>
      <c r="X184" s="471">
        <v>0</v>
      </c>
      <c r="Y184" s="206"/>
      <c r="Z184" s="206"/>
    </row>
    <row r="185" spans="1:26">
      <c r="A185" s="406">
        <v>182</v>
      </c>
      <c r="B185" s="613" t="s">
        <v>2984</v>
      </c>
      <c r="C185" s="288" t="s">
        <v>404</v>
      </c>
      <c r="D185" s="414" t="s">
        <v>3933</v>
      </c>
      <c r="E185" s="407" t="s">
        <v>8087</v>
      </c>
      <c r="F185" s="483"/>
      <c r="G185" s="411"/>
      <c r="H185" s="411"/>
      <c r="I185" s="411"/>
      <c r="J185" s="411"/>
      <c r="K185" s="411"/>
      <c r="L185" s="608" t="s">
        <v>4884</v>
      </c>
      <c r="M185" s="409">
        <v>4966.748031496063</v>
      </c>
      <c r="N185" s="409">
        <v>4966.748031496063</v>
      </c>
      <c r="O185" s="410" t="s">
        <v>7576</v>
      </c>
      <c r="P185" s="406">
        <v>182</v>
      </c>
      <c r="Q185" s="470" t="s">
        <v>404</v>
      </c>
      <c r="R185" s="460" t="s">
        <v>405</v>
      </c>
      <c r="S185" s="270" t="s">
        <v>32</v>
      </c>
      <c r="U185" s="471">
        <v>1</v>
      </c>
      <c r="V185" s="471"/>
      <c r="W185" s="471" t="s">
        <v>405</v>
      </c>
      <c r="X185" s="471">
        <v>0</v>
      </c>
      <c r="Y185" s="206"/>
      <c r="Z185" s="206"/>
    </row>
    <row r="186" spans="1:26">
      <c r="A186" s="406">
        <v>183</v>
      </c>
      <c r="B186" s="613" t="s">
        <v>2985</v>
      </c>
      <c r="C186" s="288" t="s">
        <v>406</v>
      </c>
      <c r="D186" s="414" t="s">
        <v>3931</v>
      </c>
      <c r="E186" s="407" t="s">
        <v>8088</v>
      </c>
      <c r="F186" s="483"/>
      <c r="G186" s="411"/>
      <c r="H186" s="411"/>
      <c r="I186" s="411"/>
      <c r="J186" s="411"/>
      <c r="K186" s="411"/>
      <c r="L186" s="608" t="s">
        <v>4884</v>
      </c>
      <c r="M186" s="409">
        <v>4965.4409448818906</v>
      </c>
      <c r="N186" s="409">
        <v>4965.4409448818906</v>
      </c>
      <c r="O186" s="410" t="s">
        <v>7576</v>
      </c>
      <c r="P186" s="406">
        <v>183</v>
      </c>
      <c r="Q186" s="470" t="s">
        <v>406</v>
      </c>
      <c r="R186" s="460" t="s">
        <v>407</v>
      </c>
      <c r="S186" s="270" t="s">
        <v>32</v>
      </c>
      <c r="U186" s="471">
        <v>1</v>
      </c>
      <c r="V186" s="471"/>
      <c r="W186" s="471" t="s">
        <v>407</v>
      </c>
      <c r="X186" s="471">
        <v>0</v>
      </c>
      <c r="Y186" s="206"/>
      <c r="Z186" s="206"/>
    </row>
    <row r="187" spans="1:26">
      <c r="A187" s="406">
        <v>184</v>
      </c>
      <c r="B187" s="613" t="s">
        <v>2986</v>
      </c>
      <c r="C187" s="288" t="s">
        <v>408</v>
      </c>
      <c r="D187" s="414" t="s">
        <v>3974</v>
      </c>
      <c r="E187" s="407" t="s">
        <v>8089</v>
      </c>
      <c r="F187" s="483"/>
      <c r="G187" s="411"/>
      <c r="H187" s="411"/>
      <c r="I187" s="411"/>
      <c r="J187" s="411"/>
      <c r="K187" s="411"/>
      <c r="L187" s="608" t="s">
        <v>4884</v>
      </c>
      <c r="M187" s="409">
        <v>4960.4448818897636</v>
      </c>
      <c r="N187" s="409">
        <v>4960.4448818897636</v>
      </c>
      <c r="O187" s="410" t="s">
        <v>7576</v>
      </c>
      <c r="P187" s="406">
        <v>184</v>
      </c>
      <c r="Q187" s="470" t="s">
        <v>408</v>
      </c>
      <c r="R187" s="460" t="s">
        <v>409</v>
      </c>
      <c r="S187" s="270" t="s">
        <v>32</v>
      </c>
      <c r="U187" s="471">
        <v>1</v>
      </c>
      <c r="V187" s="471"/>
      <c r="W187" s="471" t="s">
        <v>409</v>
      </c>
      <c r="X187" s="471">
        <v>0</v>
      </c>
      <c r="Y187" s="206"/>
      <c r="Z187" s="206"/>
    </row>
    <row r="188" spans="1:26">
      <c r="A188" s="406">
        <v>185</v>
      </c>
      <c r="B188" s="613" t="s">
        <v>2987</v>
      </c>
      <c r="C188" s="288" t="s">
        <v>410</v>
      </c>
      <c r="D188" s="414" t="s">
        <v>3965</v>
      </c>
      <c r="E188" s="407" t="s">
        <v>8090</v>
      </c>
      <c r="F188" s="483"/>
      <c r="G188" s="411"/>
      <c r="H188" s="411"/>
      <c r="I188" s="411"/>
      <c r="J188" s="411"/>
      <c r="K188" s="411"/>
      <c r="L188" s="608" t="s">
        <v>4884</v>
      </c>
      <c r="M188" s="409">
        <v>4966.4094488188975</v>
      </c>
      <c r="N188" s="409">
        <v>4966.4094488188975</v>
      </c>
      <c r="O188" s="410" t="s">
        <v>7576</v>
      </c>
      <c r="P188" s="406">
        <v>185</v>
      </c>
      <c r="Q188" s="470" t="s">
        <v>410</v>
      </c>
      <c r="R188" s="460" t="s">
        <v>411</v>
      </c>
      <c r="S188" s="270" t="s">
        <v>32</v>
      </c>
      <c r="U188" s="471">
        <v>1</v>
      </c>
      <c r="V188" s="471"/>
      <c r="W188" s="471" t="s">
        <v>411</v>
      </c>
      <c r="X188" s="471">
        <v>0</v>
      </c>
      <c r="Y188" s="206"/>
      <c r="Z188" s="206"/>
    </row>
    <row r="189" spans="1:26">
      <c r="A189" s="406">
        <v>186</v>
      </c>
      <c r="B189" s="613" t="s">
        <v>2988</v>
      </c>
      <c r="C189" s="288" t="s">
        <v>412</v>
      </c>
      <c r="D189" s="414" t="s">
        <v>3977</v>
      </c>
      <c r="E189" s="407" t="s">
        <v>8091</v>
      </c>
      <c r="F189" s="483"/>
      <c r="G189" s="411"/>
      <c r="H189" s="411"/>
      <c r="I189" s="411"/>
      <c r="J189" s="411"/>
      <c r="K189" s="411"/>
      <c r="L189" s="608" t="s">
        <v>4884</v>
      </c>
      <c r="M189" s="409">
        <v>4965.8267716535438</v>
      </c>
      <c r="N189" s="409">
        <v>4965.8267716535438</v>
      </c>
      <c r="O189" s="410" t="s">
        <v>7576</v>
      </c>
      <c r="P189" s="406">
        <v>186</v>
      </c>
      <c r="Q189" s="470" t="s">
        <v>412</v>
      </c>
      <c r="R189" s="460" t="s">
        <v>413</v>
      </c>
      <c r="S189" s="270" t="s">
        <v>32</v>
      </c>
      <c r="U189" s="471">
        <v>1</v>
      </c>
      <c r="V189" s="471"/>
      <c r="W189" s="471" t="s">
        <v>413</v>
      </c>
      <c r="X189" s="471">
        <v>0</v>
      </c>
      <c r="Y189" s="206"/>
      <c r="Z189" s="206"/>
    </row>
    <row r="190" spans="1:26">
      <c r="A190" s="406">
        <v>187</v>
      </c>
      <c r="B190" s="613" t="s">
        <v>2989</v>
      </c>
      <c r="C190" s="288" t="s">
        <v>414</v>
      </c>
      <c r="D190" s="414" t="s">
        <v>3930</v>
      </c>
      <c r="E190" s="407" t="s">
        <v>8092</v>
      </c>
      <c r="F190" s="483"/>
      <c r="G190" s="411"/>
      <c r="H190" s="411"/>
      <c r="I190" s="411"/>
      <c r="J190" s="411"/>
      <c r="K190" s="411"/>
      <c r="L190" s="608" t="s">
        <v>4884</v>
      </c>
      <c r="M190" s="409">
        <v>4953.7716535433074</v>
      </c>
      <c r="N190" s="409">
        <v>4953.7716535433074</v>
      </c>
      <c r="O190" s="410" t="s">
        <v>7576</v>
      </c>
      <c r="P190" s="406">
        <v>187</v>
      </c>
      <c r="Q190" s="470" t="s">
        <v>414</v>
      </c>
      <c r="R190" s="460" t="s">
        <v>415</v>
      </c>
      <c r="S190" s="270" t="s">
        <v>32</v>
      </c>
      <c r="U190" s="471">
        <v>1</v>
      </c>
      <c r="V190" s="471"/>
      <c r="W190" s="471" t="s">
        <v>415</v>
      </c>
      <c r="X190" s="471">
        <v>0</v>
      </c>
      <c r="Y190" s="206"/>
      <c r="Z190" s="206"/>
    </row>
    <row r="191" spans="1:26">
      <c r="A191" s="406">
        <v>188</v>
      </c>
      <c r="B191" s="613" t="s">
        <v>2990</v>
      </c>
      <c r="C191" s="288" t="s">
        <v>416</v>
      </c>
      <c r="D191" s="414" t="s">
        <v>3962</v>
      </c>
      <c r="E191" s="407" t="s">
        <v>8093</v>
      </c>
      <c r="F191" s="483"/>
      <c r="G191" s="411"/>
      <c r="H191" s="411"/>
      <c r="I191" s="411"/>
      <c r="J191" s="411"/>
      <c r="K191" s="411"/>
      <c r="L191" s="608" t="s">
        <v>4884</v>
      </c>
      <c r="M191" s="409">
        <v>4964.5433070866147</v>
      </c>
      <c r="N191" s="409">
        <v>4964.5433070866147</v>
      </c>
      <c r="O191" s="410" t="s">
        <v>7576</v>
      </c>
      <c r="P191" s="406">
        <v>188</v>
      </c>
      <c r="Q191" s="470" t="s">
        <v>416</v>
      </c>
      <c r="R191" s="460" t="s">
        <v>417</v>
      </c>
      <c r="S191" s="270" t="s">
        <v>32</v>
      </c>
      <c r="U191" s="471">
        <v>1</v>
      </c>
      <c r="V191" s="471"/>
      <c r="W191" s="471" t="s">
        <v>417</v>
      </c>
      <c r="X191" s="471">
        <v>0</v>
      </c>
      <c r="Y191" s="206"/>
      <c r="Z191" s="206"/>
    </row>
    <row r="192" spans="1:26">
      <c r="A192" s="406">
        <v>189</v>
      </c>
      <c r="B192" s="613" t="s">
        <v>2991</v>
      </c>
      <c r="C192" s="288" t="s">
        <v>418</v>
      </c>
      <c r="D192" s="414" t="s">
        <v>3964</v>
      </c>
      <c r="E192" s="407" t="s">
        <v>8094</v>
      </c>
      <c r="F192" s="483"/>
      <c r="G192" s="411"/>
      <c r="H192" s="411"/>
      <c r="I192" s="411"/>
      <c r="J192" s="411"/>
      <c r="K192" s="411"/>
      <c r="L192" s="608" t="s">
        <v>4884</v>
      </c>
      <c r="M192" s="409">
        <v>4959.3700787401576</v>
      </c>
      <c r="N192" s="409">
        <v>4959.3700787401576</v>
      </c>
      <c r="O192" s="410" t="s">
        <v>7576</v>
      </c>
      <c r="P192" s="406">
        <v>189</v>
      </c>
      <c r="Q192" s="470" t="s">
        <v>418</v>
      </c>
      <c r="R192" s="460" t="s">
        <v>419</v>
      </c>
      <c r="S192" s="270" t="s">
        <v>32</v>
      </c>
      <c r="U192" s="471">
        <v>1</v>
      </c>
      <c r="V192" s="471"/>
      <c r="W192" s="471" t="s">
        <v>419</v>
      </c>
      <c r="X192" s="471">
        <v>0</v>
      </c>
      <c r="Y192" s="206"/>
      <c r="Z192" s="206"/>
    </row>
    <row r="193" spans="1:26">
      <c r="A193" s="406">
        <v>190</v>
      </c>
      <c r="B193" s="613" t="s">
        <v>2992</v>
      </c>
      <c r="C193" s="288" t="s">
        <v>420</v>
      </c>
      <c r="D193" s="414" t="s">
        <v>4014</v>
      </c>
      <c r="E193" s="407" t="s">
        <v>8095</v>
      </c>
      <c r="F193" s="483"/>
      <c r="G193" s="411"/>
      <c r="H193" s="411"/>
      <c r="I193" s="411"/>
      <c r="J193" s="411"/>
      <c r="K193" s="411"/>
      <c r="L193" s="608" t="s">
        <v>4884</v>
      </c>
      <c r="M193" s="409">
        <v>5083.6535433070867</v>
      </c>
      <c r="N193" s="409">
        <v>5083.6535433070867</v>
      </c>
      <c r="O193" s="410" t="s">
        <v>7569</v>
      </c>
      <c r="P193" s="406">
        <v>190</v>
      </c>
      <c r="Q193" s="470" t="s">
        <v>420</v>
      </c>
      <c r="R193" s="460" t="s">
        <v>421</v>
      </c>
      <c r="S193" s="270" t="s">
        <v>32</v>
      </c>
      <c r="U193" s="471">
        <v>1</v>
      </c>
      <c r="V193" s="471"/>
      <c r="W193" s="471" t="s">
        <v>421</v>
      </c>
      <c r="X193" s="471">
        <v>0</v>
      </c>
      <c r="Y193" s="206"/>
      <c r="Z193" s="206"/>
    </row>
    <row r="194" spans="1:26">
      <c r="A194" s="406">
        <v>191</v>
      </c>
      <c r="B194" s="613" t="s">
        <v>2993</v>
      </c>
      <c r="C194" s="288" t="s">
        <v>422</v>
      </c>
      <c r="D194" s="414" t="s">
        <v>3968</v>
      </c>
      <c r="E194" s="407" t="s">
        <v>8096</v>
      </c>
      <c r="F194" s="483"/>
      <c r="G194" s="411"/>
      <c r="H194" s="411"/>
      <c r="I194" s="411"/>
      <c r="J194" s="411"/>
      <c r="K194" s="411"/>
      <c r="L194" s="608" t="s">
        <v>4884</v>
      </c>
      <c r="M194" s="409">
        <v>5075.251968503937</v>
      </c>
      <c r="N194" s="409">
        <v>5075.251968503937</v>
      </c>
      <c r="O194" s="410" t="s">
        <v>7569</v>
      </c>
      <c r="P194" s="406">
        <v>191</v>
      </c>
      <c r="Q194" s="470" t="s">
        <v>422</v>
      </c>
      <c r="R194" s="460" t="s">
        <v>423</v>
      </c>
      <c r="S194" s="270" t="s">
        <v>32</v>
      </c>
      <c r="U194" s="471">
        <v>1</v>
      </c>
      <c r="V194" s="471"/>
      <c r="W194" s="471" t="s">
        <v>423</v>
      </c>
      <c r="X194" s="471">
        <v>0</v>
      </c>
      <c r="Y194" s="206"/>
      <c r="Z194" s="206"/>
    </row>
    <row r="195" spans="1:26">
      <c r="A195" s="406">
        <v>192</v>
      </c>
      <c r="B195" s="613" t="s">
        <v>2994</v>
      </c>
      <c r="C195" s="288" t="s">
        <v>424</v>
      </c>
      <c r="D195" s="414" t="s">
        <v>4011</v>
      </c>
      <c r="E195" s="407" t="s">
        <v>8097</v>
      </c>
      <c r="F195" s="483"/>
      <c r="G195" s="411"/>
      <c r="H195" s="411"/>
      <c r="I195" s="411"/>
      <c r="J195" s="411"/>
      <c r="K195" s="411"/>
      <c r="L195" s="608" t="s">
        <v>4884</v>
      </c>
      <c r="M195" s="409">
        <v>5072.6653543307084</v>
      </c>
      <c r="N195" s="409">
        <v>5072.6653543307084</v>
      </c>
      <c r="O195" s="410" t="s">
        <v>7569</v>
      </c>
      <c r="P195" s="406">
        <v>192</v>
      </c>
      <c r="Q195" s="470" t="s">
        <v>424</v>
      </c>
      <c r="R195" s="460" t="s">
        <v>425</v>
      </c>
      <c r="S195" s="270" t="s">
        <v>32</v>
      </c>
      <c r="U195" s="471">
        <v>1</v>
      </c>
      <c r="V195" s="471"/>
      <c r="W195" s="471" t="s">
        <v>425</v>
      </c>
      <c r="X195" s="471">
        <v>0</v>
      </c>
      <c r="Y195" s="206"/>
      <c r="Z195" s="206"/>
    </row>
    <row r="196" spans="1:26">
      <c r="A196" s="406">
        <v>193</v>
      </c>
      <c r="B196" s="613" t="s">
        <v>2995</v>
      </c>
      <c r="C196" s="288" t="s">
        <v>426</v>
      </c>
      <c r="D196" s="414" t="s">
        <v>4009</v>
      </c>
      <c r="E196" s="407" t="s">
        <v>8098</v>
      </c>
      <c r="F196" s="483"/>
      <c r="G196" s="411"/>
      <c r="H196" s="411"/>
      <c r="I196" s="411"/>
      <c r="J196" s="411"/>
      <c r="K196" s="411"/>
      <c r="L196" s="608" t="s">
        <v>4884</v>
      </c>
      <c r="M196" s="409">
        <v>5079.6259842519694</v>
      </c>
      <c r="N196" s="409">
        <v>5079.6259842519694</v>
      </c>
      <c r="O196" s="410" t="s">
        <v>7569</v>
      </c>
      <c r="P196" s="406">
        <v>193</v>
      </c>
      <c r="Q196" s="470" t="s">
        <v>426</v>
      </c>
      <c r="R196" s="460" t="s">
        <v>427</v>
      </c>
      <c r="S196" s="270" t="s">
        <v>32</v>
      </c>
      <c r="U196" s="471">
        <v>1</v>
      </c>
      <c r="V196" s="471"/>
      <c r="W196" s="471" t="s">
        <v>427</v>
      </c>
      <c r="X196" s="471">
        <v>0</v>
      </c>
      <c r="Y196" s="206"/>
      <c r="Z196" s="206"/>
    </row>
    <row r="197" spans="1:26">
      <c r="A197" s="406">
        <v>194</v>
      </c>
      <c r="B197" s="613" t="s">
        <v>2996</v>
      </c>
      <c r="C197" s="288" t="s">
        <v>428</v>
      </c>
      <c r="D197" s="414" t="s">
        <v>3969</v>
      </c>
      <c r="E197" s="407" t="s">
        <v>8099</v>
      </c>
      <c r="F197" s="483"/>
      <c r="G197" s="411"/>
      <c r="H197" s="411"/>
      <c r="I197" s="411"/>
      <c r="J197" s="411"/>
      <c r="K197" s="411"/>
      <c r="L197" s="608" t="s">
        <v>4884</v>
      </c>
      <c r="M197" s="409">
        <v>5080.4881889763783</v>
      </c>
      <c r="N197" s="409">
        <v>5080.4881889763783</v>
      </c>
      <c r="O197" s="410" t="s">
        <v>7569</v>
      </c>
      <c r="P197" s="406">
        <v>194</v>
      </c>
      <c r="Q197" s="470" t="s">
        <v>428</v>
      </c>
      <c r="R197" s="460" t="s">
        <v>429</v>
      </c>
      <c r="S197" s="270" t="s">
        <v>32</v>
      </c>
      <c r="U197" s="471">
        <v>1</v>
      </c>
      <c r="V197" s="471"/>
      <c r="W197" s="471" t="s">
        <v>429</v>
      </c>
      <c r="X197" s="471">
        <v>0</v>
      </c>
      <c r="Y197" s="206"/>
      <c r="Z197" s="206"/>
    </row>
    <row r="198" spans="1:26">
      <c r="A198" s="406">
        <v>195</v>
      </c>
      <c r="B198" s="613" t="s">
        <v>2997</v>
      </c>
      <c r="C198" s="288" t="s">
        <v>430</v>
      </c>
      <c r="D198" s="414" t="s">
        <v>3966</v>
      </c>
      <c r="E198" s="407" t="s">
        <v>8100</v>
      </c>
      <c r="F198" s="483"/>
      <c r="G198" s="411"/>
      <c r="H198" s="411"/>
      <c r="I198" s="411"/>
      <c r="J198" s="411"/>
      <c r="K198" s="411"/>
      <c r="L198" s="608" t="s">
        <v>4884</v>
      </c>
      <c r="M198" s="409">
        <v>5082.8503937007872</v>
      </c>
      <c r="N198" s="409">
        <v>5082.8503937007872</v>
      </c>
      <c r="O198" s="410" t="s">
        <v>7569</v>
      </c>
      <c r="P198" s="406">
        <v>195</v>
      </c>
      <c r="Q198" s="470" t="s">
        <v>430</v>
      </c>
      <c r="R198" s="460" t="s">
        <v>431</v>
      </c>
      <c r="S198" s="270" t="s">
        <v>32</v>
      </c>
      <c r="U198" s="471">
        <v>1</v>
      </c>
      <c r="V198" s="471"/>
      <c r="W198" s="471" t="s">
        <v>431</v>
      </c>
      <c r="X198" s="471">
        <v>0</v>
      </c>
      <c r="Y198" s="206"/>
      <c r="Z198" s="206"/>
    </row>
    <row r="199" spans="1:26">
      <c r="A199" s="406">
        <v>196</v>
      </c>
      <c r="B199" s="613" t="s">
        <v>2998</v>
      </c>
      <c r="C199" s="288" t="s">
        <v>432</v>
      </c>
      <c r="D199" s="414" t="s">
        <v>4010</v>
      </c>
      <c r="E199" s="407" t="s">
        <v>8101</v>
      </c>
      <c r="F199" s="483"/>
      <c r="G199" s="411"/>
      <c r="H199" s="411"/>
      <c r="I199" s="411"/>
      <c r="J199" s="411"/>
      <c r="K199" s="411"/>
      <c r="L199" s="608" t="s">
        <v>4884</v>
      </c>
      <c r="M199" s="409">
        <v>5083.8937007874019</v>
      </c>
      <c r="N199" s="409">
        <v>5083.8937007874019</v>
      </c>
      <c r="O199" s="410" t="s">
        <v>7569</v>
      </c>
      <c r="P199" s="406">
        <v>196</v>
      </c>
      <c r="Q199" s="470" t="s">
        <v>432</v>
      </c>
      <c r="R199" s="460" t="s">
        <v>433</v>
      </c>
      <c r="S199" s="270" t="s">
        <v>32</v>
      </c>
      <c r="U199" s="471">
        <v>1</v>
      </c>
      <c r="V199" s="471"/>
      <c r="W199" s="471" t="s">
        <v>433</v>
      </c>
      <c r="X199" s="471">
        <v>0</v>
      </c>
      <c r="Y199" s="206"/>
      <c r="Z199" s="206"/>
    </row>
    <row r="200" spans="1:26">
      <c r="A200" s="406">
        <v>197</v>
      </c>
      <c r="B200" s="613" t="s">
        <v>2999</v>
      </c>
      <c r="C200" s="288" t="s">
        <v>434</v>
      </c>
      <c r="D200" s="414" t="s">
        <v>4012</v>
      </c>
      <c r="E200" s="407" t="s">
        <v>8102</v>
      </c>
      <c r="F200" s="483"/>
      <c r="G200" s="411"/>
      <c r="H200" s="411"/>
      <c r="I200" s="411"/>
      <c r="J200" s="411"/>
      <c r="K200" s="411"/>
      <c r="L200" s="608" t="s">
        <v>4884</v>
      </c>
      <c r="M200" s="409">
        <v>5080.1850393700788</v>
      </c>
      <c r="N200" s="409">
        <v>5080.1850393700788</v>
      </c>
      <c r="O200" s="410" t="s">
        <v>7569</v>
      </c>
      <c r="P200" s="406">
        <v>197</v>
      </c>
      <c r="Q200" s="470" t="s">
        <v>434</v>
      </c>
      <c r="R200" s="460" t="s">
        <v>435</v>
      </c>
      <c r="S200" s="270" t="s">
        <v>32</v>
      </c>
      <c r="U200" s="471">
        <v>1</v>
      </c>
      <c r="V200" s="471"/>
      <c r="W200" s="471" t="s">
        <v>435</v>
      </c>
      <c r="X200" s="471">
        <v>0</v>
      </c>
      <c r="Y200" s="206"/>
      <c r="Z200" s="206"/>
    </row>
    <row r="201" spans="1:26">
      <c r="A201" s="406">
        <v>198</v>
      </c>
      <c r="B201" s="613" t="s">
        <v>3000</v>
      </c>
      <c r="C201" s="288" t="s">
        <v>436</v>
      </c>
      <c r="D201" s="414" t="s">
        <v>3989</v>
      </c>
      <c r="E201" s="407" t="s">
        <v>8103</v>
      </c>
      <c r="F201" s="483"/>
      <c r="G201" s="483"/>
      <c r="H201" s="483"/>
      <c r="I201" s="483"/>
      <c r="J201" s="483"/>
      <c r="K201" s="483"/>
      <c r="L201" s="608" t="s">
        <v>4884</v>
      </c>
      <c r="M201" s="409">
        <v>5597.5433070866147</v>
      </c>
      <c r="N201" s="409">
        <v>5597.5433070866147</v>
      </c>
      <c r="O201" s="410" t="s">
        <v>7575</v>
      </c>
      <c r="P201" s="406">
        <v>198</v>
      </c>
      <c r="Q201" s="470" t="s">
        <v>436</v>
      </c>
      <c r="R201" s="460" t="s">
        <v>437</v>
      </c>
      <c r="S201" s="270" t="s">
        <v>32</v>
      </c>
      <c r="U201" s="471">
        <v>1</v>
      </c>
      <c r="V201" s="471"/>
      <c r="W201" s="471" t="s">
        <v>437</v>
      </c>
      <c r="X201" s="471">
        <v>0</v>
      </c>
      <c r="Y201" s="206"/>
      <c r="Z201" s="206"/>
    </row>
    <row r="202" spans="1:26">
      <c r="A202" s="406">
        <v>199</v>
      </c>
      <c r="B202" s="613" t="s">
        <v>3001</v>
      </c>
      <c r="C202" s="288" t="s">
        <v>438</v>
      </c>
      <c r="D202" s="414" t="s">
        <v>3947</v>
      </c>
      <c r="E202" s="407" t="s">
        <v>8104</v>
      </c>
      <c r="F202" s="483"/>
      <c r="G202" s="483"/>
      <c r="H202" s="483"/>
      <c r="I202" s="483"/>
      <c r="J202" s="483"/>
      <c r="K202" s="483"/>
      <c r="L202" s="608" t="s">
        <v>4884</v>
      </c>
      <c r="M202" s="409">
        <v>5584.3937007874019</v>
      </c>
      <c r="N202" s="409">
        <v>5584.3937007874019</v>
      </c>
      <c r="O202" s="410" t="s">
        <v>7575</v>
      </c>
      <c r="P202" s="406">
        <v>199</v>
      </c>
      <c r="Q202" s="470" t="s">
        <v>438</v>
      </c>
      <c r="R202" s="460" t="s">
        <v>439</v>
      </c>
      <c r="S202" s="270" t="s">
        <v>32</v>
      </c>
      <c r="U202" s="471">
        <v>1</v>
      </c>
      <c r="V202" s="471"/>
      <c r="W202" s="471" t="s">
        <v>439</v>
      </c>
      <c r="X202" s="471">
        <v>0</v>
      </c>
      <c r="Y202" s="206"/>
      <c r="Z202" s="206"/>
    </row>
    <row r="203" spans="1:26">
      <c r="A203" s="406">
        <v>200</v>
      </c>
      <c r="B203" s="613" t="s">
        <v>3002</v>
      </c>
      <c r="C203" s="288" t="s">
        <v>440</v>
      </c>
      <c r="D203" s="414" t="s">
        <v>3992</v>
      </c>
      <c r="E203" s="407" t="s">
        <v>8105</v>
      </c>
      <c r="F203" s="483"/>
      <c r="G203" s="483"/>
      <c r="H203" s="483"/>
      <c r="I203" s="483"/>
      <c r="J203" s="483"/>
      <c r="K203" s="483"/>
      <c r="L203" s="608" t="s">
        <v>4884</v>
      </c>
      <c r="M203" s="409">
        <v>5585.5748031496069</v>
      </c>
      <c r="N203" s="409">
        <v>5585.5748031496069</v>
      </c>
      <c r="O203" s="410" t="s">
        <v>7575</v>
      </c>
      <c r="P203" s="406">
        <v>200</v>
      </c>
      <c r="Q203" s="470" t="s">
        <v>440</v>
      </c>
      <c r="R203" s="460" t="s">
        <v>441</v>
      </c>
      <c r="S203" s="270" t="s">
        <v>32</v>
      </c>
      <c r="U203" s="471">
        <v>1</v>
      </c>
      <c r="V203" s="471"/>
      <c r="W203" s="471" t="s">
        <v>441</v>
      </c>
      <c r="X203" s="471">
        <v>0</v>
      </c>
      <c r="Y203" s="206"/>
      <c r="Z203" s="206"/>
    </row>
    <row r="204" spans="1:26">
      <c r="A204" s="406">
        <v>201</v>
      </c>
      <c r="B204" s="613" t="s">
        <v>3003</v>
      </c>
      <c r="C204" s="288" t="s">
        <v>442</v>
      </c>
      <c r="D204" s="414" t="s">
        <v>4068</v>
      </c>
      <c r="E204" s="407" t="s">
        <v>8106</v>
      </c>
      <c r="F204" s="483"/>
      <c r="G204" s="483"/>
      <c r="H204" s="483"/>
      <c r="I204" s="483"/>
      <c r="J204" s="483"/>
      <c r="K204" s="483"/>
      <c r="L204" s="608" t="s">
        <v>4884</v>
      </c>
      <c r="M204" s="409">
        <v>5588.1968503937014</v>
      </c>
      <c r="N204" s="409">
        <v>5588.1968503937014</v>
      </c>
      <c r="O204" s="410" t="s">
        <v>7575</v>
      </c>
      <c r="P204" s="406">
        <v>201</v>
      </c>
      <c r="Q204" s="470" t="s">
        <v>442</v>
      </c>
      <c r="R204" s="460" t="s">
        <v>443</v>
      </c>
      <c r="S204" s="270" t="s">
        <v>32</v>
      </c>
      <c r="U204" s="471">
        <v>1</v>
      </c>
      <c r="V204" s="471"/>
      <c r="W204" s="471" t="s">
        <v>443</v>
      </c>
      <c r="X204" s="471">
        <v>0</v>
      </c>
      <c r="Y204" s="206"/>
      <c r="Z204" s="206"/>
    </row>
    <row r="205" spans="1:26">
      <c r="A205" s="406">
        <v>202</v>
      </c>
      <c r="B205" s="613" t="s">
        <v>3004</v>
      </c>
      <c r="C205" s="288" t="s">
        <v>444</v>
      </c>
      <c r="D205" s="414" t="s">
        <v>3997</v>
      </c>
      <c r="E205" s="407" t="s">
        <v>8107</v>
      </c>
      <c r="F205" s="483"/>
      <c r="G205" s="483"/>
      <c r="H205" s="483"/>
      <c r="I205" s="483"/>
      <c r="J205" s="483"/>
      <c r="K205" s="483"/>
      <c r="L205" s="608" t="s">
        <v>4884</v>
      </c>
      <c r="M205" s="409">
        <v>5583.9685039370079</v>
      </c>
      <c r="N205" s="409">
        <v>5583.9685039370079</v>
      </c>
      <c r="O205" s="410" t="s">
        <v>7575</v>
      </c>
      <c r="P205" s="406">
        <v>202</v>
      </c>
      <c r="Q205" s="470" t="s">
        <v>444</v>
      </c>
      <c r="R205" s="460" t="s">
        <v>445</v>
      </c>
      <c r="S205" s="270" t="s">
        <v>32</v>
      </c>
      <c r="U205" s="471">
        <v>1</v>
      </c>
      <c r="V205" s="471"/>
      <c r="W205" s="471" t="s">
        <v>445</v>
      </c>
      <c r="X205" s="471">
        <v>0</v>
      </c>
      <c r="Y205" s="206"/>
      <c r="Z205" s="206"/>
    </row>
    <row r="206" spans="1:26">
      <c r="A206" s="406">
        <v>203</v>
      </c>
      <c r="B206" s="613" t="s">
        <v>3005</v>
      </c>
      <c r="C206" s="288" t="s">
        <v>446</v>
      </c>
      <c r="D206" s="414" t="s">
        <v>3945</v>
      </c>
      <c r="E206" s="407" t="s">
        <v>8108</v>
      </c>
      <c r="F206" s="483"/>
      <c r="G206" s="483"/>
      <c r="H206" s="483"/>
      <c r="I206" s="483"/>
      <c r="J206" s="483"/>
      <c r="K206" s="483"/>
      <c r="L206" s="608" t="s">
        <v>4884</v>
      </c>
      <c r="M206" s="409">
        <v>5594.9724409448827</v>
      </c>
      <c r="N206" s="409">
        <v>5594.9724409448827</v>
      </c>
      <c r="O206" s="410" t="s">
        <v>7575</v>
      </c>
      <c r="P206" s="406">
        <v>203</v>
      </c>
      <c r="Q206" s="470" t="s">
        <v>446</v>
      </c>
      <c r="R206" s="460" t="s">
        <v>447</v>
      </c>
      <c r="S206" s="270" t="s">
        <v>32</v>
      </c>
      <c r="U206" s="471">
        <v>1</v>
      </c>
      <c r="V206" s="471"/>
      <c r="W206" s="471" t="s">
        <v>447</v>
      </c>
      <c r="X206" s="471">
        <v>0</v>
      </c>
      <c r="Y206" s="206"/>
      <c r="Z206" s="206"/>
    </row>
    <row r="207" spans="1:26">
      <c r="A207" s="406">
        <v>204</v>
      </c>
      <c r="B207" s="613" t="s">
        <v>3006</v>
      </c>
      <c r="C207" s="288" t="s">
        <v>448</v>
      </c>
      <c r="D207" s="414" t="s">
        <v>3990</v>
      </c>
      <c r="E207" s="407" t="s">
        <v>8109</v>
      </c>
      <c r="F207" s="483"/>
      <c r="G207" s="483"/>
      <c r="H207" s="483"/>
      <c r="I207" s="483"/>
      <c r="J207" s="483"/>
      <c r="K207" s="483"/>
      <c r="L207" s="608" t="s">
        <v>4884</v>
      </c>
      <c r="M207" s="409">
        <v>5597.6259842519685</v>
      </c>
      <c r="N207" s="409">
        <v>5597.6259842519685</v>
      </c>
      <c r="O207" s="410" t="s">
        <v>7575</v>
      </c>
      <c r="P207" s="406">
        <v>204</v>
      </c>
      <c r="Q207" s="470" t="s">
        <v>448</v>
      </c>
      <c r="R207" s="460" t="s">
        <v>449</v>
      </c>
      <c r="S207" s="270" t="s">
        <v>32</v>
      </c>
      <c r="U207" s="471">
        <v>1</v>
      </c>
      <c r="V207" s="471"/>
      <c r="W207" s="471" t="s">
        <v>449</v>
      </c>
      <c r="X207" s="471">
        <v>0</v>
      </c>
      <c r="Y207" s="206"/>
      <c r="Z207" s="206"/>
    </row>
    <row r="208" spans="1:26">
      <c r="A208" s="406">
        <v>205</v>
      </c>
      <c r="B208" s="613" t="s">
        <v>3007</v>
      </c>
      <c r="C208" s="288" t="s">
        <v>450</v>
      </c>
      <c r="D208" s="414" t="s">
        <v>4054</v>
      </c>
      <c r="E208" s="407" t="s">
        <v>8110</v>
      </c>
      <c r="F208" s="483"/>
      <c r="G208" s="483"/>
      <c r="H208" s="483"/>
      <c r="I208" s="483"/>
      <c r="J208" s="483"/>
      <c r="K208" s="483"/>
      <c r="L208" s="608" t="s">
        <v>4884</v>
      </c>
      <c r="M208" s="409">
        <v>5590.4094488188975</v>
      </c>
      <c r="N208" s="409">
        <v>5590.4094488188975</v>
      </c>
      <c r="O208" s="410" t="s">
        <v>7575</v>
      </c>
      <c r="P208" s="406">
        <v>205</v>
      </c>
      <c r="Q208" s="470" t="s">
        <v>450</v>
      </c>
      <c r="R208" s="460" t="s">
        <v>451</v>
      </c>
      <c r="S208" s="270" t="s">
        <v>32</v>
      </c>
      <c r="U208" s="471">
        <v>1</v>
      </c>
      <c r="V208" s="471"/>
      <c r="W208" s="471" t="s">
        <v>451</v>
      </c>
      <c r="X208" s="471">
        <v>0</v>
      </c>
      <c r="Y208" s="206"/>
      <c r="Z208" s="206"/>
    </row>
    <row r="209" spans="1:26">
      <c r="A209" s="406">
        <v>206</v>
      </c>
      <c r="B209" s="613" t="s">
        <v>3008</v>
      </c>
      <c r="C209" s="288" t="s">
        <v>452</v>
      </c>
      <c r="D209" s="414" t="s">
        <v>4052</v>
      </c>
      <c r="E209" s="407" t="s">
        <v>8111</v>
      </c>
      <c r="F209" s="483"/>
      <c r="G209" s="483"/>
      <c r="H209" s="483"/>
      <c r="I209" s="483"/>
      <c r="J209" s="483"/>
      <c r="K209" s="483"/>
      <c r="L209" s="608" t="s">
        <v>4884</v>
      </c>
      <c r="M209" s="409">
        <v>4682.0196850393704</v>
      </c>
      <c r="N209" s="409">
        <v>4682.0196850393704</v>
      </c>
      <c r="O209" s="410" t="s">
        <v>7569</v>
      </c>
      <c r="P209" s="406">
        <v>206</v>
      </c>
      <c r="Q209" s="470" t="s">
        <v>452</v>
      </c>
      <c r="R209" s="460" t="s">
        <v>453</v>
      </c>
      <c r="S209" s="270" t="s">
        <v>32</v>
      </c>
      <c r="U209" s="471">
        <v>1</v>
      </c>
      <c r="V209" s="471"/>
      <c r="W209" s="471" t="s">
        <v>453</v>
      </c>
      <c r="X209" s="471">
        <v>0</v>
      </c>
      <c r="Y209" s="206"/>
      <c r="Z209" s="206"/>
    </row>
    <row r="210" spans="1:26">
      <c r="A210" s="406">
        <v>207</v>
      </c>
      <c r="B210" s="613" t="s">
        <v>3009</v>
      </c>
      <c r="C210" s="288" t="s">
        <v>454</v>
      </c>
      <c r="D210" s="414" t="s">
        <v>4049</v>
      </c>
      <c r="E210" s="407" t="s">
        <v>8112</v>
      </c>
      <c r="F210" s="483"/>
      <c r="G210" s="483"/>
      <c r="H210" s="483"/>
      <c r="I210" s="483"/>
      <c r="J210" s="483"/>
      <c r="K210" s="483"/>
      <c r="L210" s="608" t="s">
        <v>4884</v>
      </c>
      <c r="M210" s="409">
        <v>4686.6535433070867</v>
      </c>
      <c r="N210" s="409">
        <v>4686.6535433070867</v>
      </c>
      <c r="O210" s="410" t="s">
        <v>7569</v>
      </c>
      <c r="P210" s="406">
        <v>207</v>
      </c>
      <c r="Q210" s="470" t="s">
        <v>454</v>
      </c>
      <c r="R210" s="460" t="s">
        <v>455</v>
      </c>
      <c r="S210" s="270" t="s">
        <v>32</v>
      </c>
      <c r="U210" s="471">
        <v>1</v>
      </c>
      <c r="V210" s="471"/>
      <c r="W210" s="471" t="s">
        <v>455</v>
      </c>
      <c r="X210" s="471">
        <v>0</v>
      </c>
      <c r="Y210" s="206"/>
      <c r="Z210" s="206"/>
    </row>
    <row r="211" spans="1:26">
      <c r="A211" s="406">
        <v>208</v>
      </c>
      <c r="B211" s="613" t="s">
        <v>3010</v>
      </c>
      <c r="C211" s="288" t="s">
        <v>456</v>
      </c>
      <c r="D211" s="414" t="s">
        <v>4099</v>
      </c>
      <c r="E211" s="407" t="s">
        <v>8113</v>
      </c>
      <c r="F211" s="483"/>
      <c r="G211" s="483"/>
      <c r="H211" s="483"/>
      <c r="I211" s="483"/>
      <c r="J211" s="483"/>
      <c r="K211" s="483"/>
      <c r="L211" s="608" t="s">
        <v>4884</v>
      </c>
      <c r="M211" s="409">
        <v>4685.0551181102364</v>
      </c>
      <c r="N211" s="409">
        <v>4685.0551181102364</v>
      </c>
      <c r="O211" s="410" t="s">
        <v>7569</v>
      </c>
      <c r="P211" s="406">
        <v>208</v>
      </c>
      <c r="Q211" s="470" t="s">
        <v>456</v>
      </c>
      <c r="R211" s="460" t="s">
        <v>457</v>
      </c>
      <c r="S211" s="270" t="s">
        <v>32</v>
      </c>
      <c r="U211" s="471">
        <v>1</v>
      </c>
      <c r="V211" s="471"/>
      <c r="W211" s="471" t="s">
        <v>457</v>
      </c>
      <c r="X211" s="471">
        <v>0</v>
      </c>
      <c r="Y211" s="206"/>
      <c r="Z211" s="206"/>
    </row>
    <row r="212" spans="1:26">
      <c r="A212" s="406">
        <v>209</v>
      </c>
      <c r="B212" s="613" t="s">
        <v>3011</v>
      </c>
      <c r="C212" s="288" t="s">
        <v>458</v>
      </c>
      <c r="D212" s="414" t="s">
        <v>4095</v>
      </c>
      <c r="E212" s="407" t="s">
        <v>8114</v>
      </c>
      <c r="F212" s="483"/>
      <c r="G212" s="483"/>
      <c r="H212" s="483"/>
      <c r="I212" s="483"/>
      <c r="J212" s="483"/>
      <c r="K212" s="483"/>
      <c r="L212" s="608" t="s">
        <v>4884</v>
      </c>
      <c r="M212" s="409">
        <v>4689.4488188976375</v>
      </c>
      <c r="N212" s="409">
        <v>4689.4488188976375</v>
      </c>
      <c r="O212" s="410" t="s">
        <v>7569</v>
      </c>
      <c r="P212" s="406">
        <v>209</v>
      </c>
      <c r="Q212" s="470" t="s">
        <v>458</v>
      </c>
      <c r="R212" s="460" t="s">
        <v>459</v>
      </c>
      <c r="S212" s="270" t="s">
        <v>32</v>
      </c>
      <c r="U212" s="471">
        <v>1</v>
      </c>
      <c r="V212" s="471"/>
      <c r="W212" s="471" t="s">
        <v>459</v>
      </c>
      <c r="X212" s="471">
        <v>0</v>
      </c>
      <c r="Y212" s="206"/>
      <c r="Z212" s="206"/>
    </row>
    <row r="213" spans="1:26">
      <c r="A213" s="406">
        <v>210</v>
      </c>
      <c r="B213" s="613" t="s">
        <v>3012</v>
      </c>
      <c r="C213" s="288" t="s">
        <v>460</v>
      </c>
      <c r="D213" s="414" t="s">
        <v>4100</v>
      </c>
      <c r="E213" s="407" t="s">
        <v>8115</v>
      </c>
      <c r="F213" s="483"/>
      <c r="G213" s="483"/>
      <c r="H213" s="411"/>
      <c r="I213" s="411"/>
      <c r="J213" s="411"/>
      <c r="K213" s="411"/>
      <c r="L213" s="608" t="s">
        <v>4884</v>
      </c>
      <c r="M213" s="409">
        <v>4680.3149606299212</v>
      </c>
      <c r="N213" s="409">
        <v>4680.3149606299212</v>
      </c>
      <c r="O213" s="410" t="s">
        <v>7569</v>
      </c>
      <c r="P213" s="406">
        <v>210</v>
      </c>
      <c r="Q213" s="470" t="s">
        <v>460</v>
      </c>
      <c r="R213" s="460" t="s">
        <v>461</v>
      </c>
      <c r="S213" s="270" t="s">
        <v>32</v>
      </c>
      <c r="U213" s="471">
        <v>1</v>
      </c>
      <c r="V213" s="471"/>
      <c r="W213" s="471" t="s">
        <v>461</v>
      </c>
      <c r="X213" s="471">
        <v>0</v>
      </c>
      <c r="Y213" s="206"/>
      <c r="Z213" s="206"/>
    </row>
    <row r="214" spans="1:26">
      <c r="A214" s="406">
        <v>211</v>
      </c>
      <c r="B214" s="613" t="s">
        <v>3013</v>
      </c>
      <c r="C214" s="288" t="s">
        <v>462</v>
      </c>
      <c r="D214" s="414" t="s">
        <v>4102</v>
      </c>
      <c r="E214" s="407" t="s">
        <v>8116</v>
      </c>
      <c r="F214" s="483"/>
      <c r="G214" s="411"/>
      <c r="H214" s="411"/>
      <c r="I214" s="411"/>
      <c r="J214" s="411"/>
      <c r="K214" s="411"/>
      <c r="L214" s="608" t="s">
        <v>4884</v>
      </c>
      <c r="M214" s="409">
        <v>4682.8385826771655</v>
      </c>
      <c r="N214" s="409">
        <v>4682.8385826771655</v>
      </c>
      <c r="O214" s="410" t="s">
        <v>7569</v>
      </c>
      <c r="P214" s="406">
        <v>211</v>
      </c>
      <c r="Q214" s="470" t="s">
        <v>462</v>
      </c>
      <c r="R214" s="460" t="s">
        <v>463</v>
      </c>
      <c r="S214" s="270" t="s">
        <v>32</v>
      </c>
      <c r="U214" s="471">
        <v>1</v>
      </c>
      <c r="V214" s="471"/>
      <c r="W214" s="471" t="s">
        <v>463</v>
      </c>
      <c r="X214" s="471">
        <v>0</v>
      </c>
      <c r="Y214" s="206"/>
      <c r="Z214" s="206"/>
    </row>
    <row r="215" spans="1:26">
      <c r="A215" s="406">
        <v>212</v>
      </c>
      <c r="B215" s="613" t="s">
        <v>3014</v>
      </c>
      <c r="C215" s="288" t="s">
        <v>464</v>
      </c>
      <c r="D215" s="414" t="s">
        <v>4097</v>
      </c>
      <c r="E215" s="407" t="s">
        <v>8117</v>
      </c>
      <c r="F215" s="483"/>
      <c r="G215" s="411"/>
      <c r="H215" s="411"/>
      <c r="I215" s="483"/>
      <c r="J215" s="411"/>
      <c r="K215" s="411"/>
      <c r="L215" s="608" t="s">
        <v>4884</v>
      </c>
      <c r="M215" s="409">
        <v>4688.1732283464571</v>
      </c>
      <c r="N215" s="409">
        <v>4688.1732283464571</v>
      </c>
      <c r="O215" s="410" t="s">
        <v>7569</v>
      </c>
      <c r="P215" s="406">
        <v>212</v>
      </c>
      <c r="Q215" s="470" t="s">
        <v>464</v>
      </c>
      <c r="R215" s="460" t="s">
        <v>465</v>
      </c>
      <c r="S215" s="270" t="s">
        <v>32</v>
      </c>
      <c r="U215" s="471">
        <v>1</v>
      </c>
      <c r="V215" s="471"/>
      <c r="W215" s="471" t="s">
        <v>465</v>
      </c>
      <c r="X215" s="471">
        <v>0</v>
      </c>
      <c r="Y215" s="206"/>
      <c r="Z215" s="206"/>
    </row>
    <row r="216" spans="1:26">
      <c r="A216" s="406">
        <v>213</v>
      </c>
      <c r="B216" s="613" t="s">
        <v>3015</v>
      </c>
      <c r="C216" s="288" t="s">
        <v>466</v>
      </c>
      <c r="D216" s="414" t="s">
        <v>4098</v>
      </c>
      <c r="E216" s="407" t="s">
        <v>8118</v>
      </c>
      <c r="F216" s="483"/>
      <c r="G216" s="411"/>
      <c r="H216" s="411"/>
      <c r="I216" s="483"/>
      <c r="J216" s="411"/>
      <c r="K216" s="411"/>
      <c r="L216" s="608" t="s">
        <v>4884</v>
      </c>
      <c r="M216" s="409">
        <v>4682.3031496062995</v>
      </c>
      <c r="N216" s="409">
        <v>4682.3031496062995</v>
      </c>
      <c r="O216" s="410" t="s">
        <v>7569</v>
      </c>
      <c r="P216" s="406">
        <v>213</v>
      </c>
      <c r="Q216" s="470" t="s">
        <v>466</v>
      </c>
      <c r="R216" s="460" t="s">
        <v>467</v>
      </c>
      <c r="S216" s="270" t="s">
        <v>32</v>
      </c>
      <c r="U216" s="471">
        <v>1</v>
      </c>
      <c r="V216" s="471"/>
      <c r="W216" s="471" t="s">
        <v>467</v>
      </c>
      <c r="X216" s="471">
        <v>0</v>
      </c>
      <c r="Y216" s="206"/>
      <c r="Z216" s="206"/>
    </row>
    <row r="217" spans="1:26">
      <c r="A217" s="406">
        <v>214</v>
      </c>
      <c r="B217" s="613" t="s">
        <v>3016</v>
      </c>
      <c r="C217" s="288" t="s">
        <v>468</v>
      </c>
      <c r="D217" s="414" t="s">
        <v>4035</v>
      </c>
      <c r="E217" s="407" t="s">
        <v>8119</v>
      </c>
      <c r="F217" s="483"/>
      <c r="G217" s="483"/>
      <c r="H217" s="411"/>
      <c r="I217" s="411"/>
      <c r="J217" s="411"/>
      <c r="K217" s="411"/>
      <c r="L217" s="608" t="s">
        <v>4884</v>
      </c>
      <c r="M217" s="409">
        <v>6059.6889763779527</v>
      </c>
      <c r="N217" s="409">
        <v>6059.6889763779527</v>
      </c>
      <c r="O217" s="410" t="s">
        <v>7575</v>
      </c>
      <c r="P217" s="406">
        <v>214</v>
      </c>
      <c r="Q217" s="470" t="s">
        <v>468</v>
      </c>
      <c r="R217" s="460" t="s">
        <v>469</v>
      </c>
      <c r="S217" s="270" t="s">
        <v>32</v>
      </c>
      <c r="U217" s="471">
        <v>1</v>
      </c>
      <c r="V217" s="471"/>
      <c r="W217" s="471" t="s">
        <v>469</v>
      </c>
      <c r="X217" s="471">
        <v>0</v>
      </c>
      <c r="Y217" s="206"/>
      <c r="Z217" s="206"/>
    </row>
    <row r="218" spans="1:26">
      <c r="A218" s="406">
        <v>215</v>
      </c>
      <c r="B218" s="613" t="s">
        <v>3017</v>
      </c>
      <c r="C218" s="288" t="s">
        <v>470</v>
      </c>
      <c r="D218" s="414" t="s">
        <v>4033</v>
      </c>
      <c r="E218" s="407" t="s">
        <v>8120</v>
      </c>
      <c r="F218" s="483"/>
      <c r="G218" s="483"/>
      <c r="H218" s="411"/>
      <c r="I218" s="411"/>
      <c r="J218" s="411"/>
      <c r="K218" s="411"/>
      <c r="L218" s="608" t="s">
        <v>4884</v>
      </c>
      <c r="M218" s="409">
        <v>6061.1102362204729</v>
      </c>
      <c r="N218" s="409">
        <v>6061.1102362204729</v>
      </c>
      <c r="O218" s="410" t="s">
        <v>7575</v>
      </c>
      <c r="P218" s="406">
        <v>215</v>
      </c>
      <c r="Q218" s="470" t="s">
        <v>470</v>
      </c>
      <c r="R218" s="460" t="s">
        <v>471</v>
      </c>
      <c r="S218" s="270" t="s">
        <v>32</v>
      </c>
      <c r="U218" s="471">
        <v>1</v>
      </c>
      <c r="V218" s="471"/>
      <c r="W218" s="471" t="s">
        <v>471</v>
      </c>
      <c r="X218" s="471">
        <v>0</v>
      </c>
      <c r="Y218" s="206"/>
      <c r="Z218" s="206"/>
    </row>
    <row r="219" spans="1:26">
      <c r="A219" s="406">
        <v>216</v>
      </c>
      <c r="B219" s="613" t="s">
        <v>3018</v>
      </c>
      <c r="C219" s="288" t="s">
        <v>472</v>
      </c>
      <c r="D219" s="414" t="s">
        <v>4114</v>
      </c>
      <c r="E219" s="407" t="s">
        <v>8121</v>
      </c>
      <c r="F219" s="483"/>
      <c r="G219" s="483"/>
      <c r="H219" s="411"/>
      <c r="I219" s="411"/>
      <c r="J219" s="411"/>
      <c r="K219" s="411"/>
      <c r="L219" s="608" t="s">
        <v>4884</v>
      </c>
      <c r="M219" s="409">
        <v>6070.0826771653547</v>
      </c>
      <c r="N219" s="409">
        <v>6070.0826771653547</v>
      </c>
      <c r="O219" s="410" t="s">
        <v>7575</v>
      </c>
      <c r="P219" s="406">
        <v>216</v>
      </c>
      <c r="Q219" s="470" t="s">
        <v>472</v>
      </c>
      <c r="R219" s="460" t="s">
        <v>473</v>
      </c>
      <c r="S219" s="270" t="s">
        <v>32</v>
      </c>
      <c r="U219" s="471">
        <v>1</v>
      </c>
      <c r="V219" s="471"/>
      <c r="W219" s="471" t="s">
        <v>473</v>
      </c>
      <c r="X219" s="471">
        <v>0</v>
      </c>
      <c r="Y219" s="206"/>
      <c r="Z219" s="206"/>
    </row>
    <row r="220" spans="1:26">
      <c r="A220" s="406">
        <v>217</v>
      </c>
      <c r="B220" s="613" t="s">
        <v>3019</v>
      </c>
      <c r="C220" s="288" t="s">
        <v>474</v>
      </c>
      <c r="D220" s="414" t="s">
        <v>4109</v>
      </c>
      <c r="E220" s="407" t="s">
        <v>8122</v>
      </c>
      <c r="F220" s="483"/>
      <c r="G220" s="483"/>
      <c r="H220" s="411"/>
      <c r="I220" s="411"/>
      <c r="J220" s="411"/>
      <c r="K220" s="411"/>
      <c r="L220" s="608" t="s">
        <v>4884</v>
      </c>
      <c r="M220" s="409">
        <v>6064.9803149606305</v>
      </c>
      <c r="N220" s="409">
        <v>6064.9803149606305</v>
      </c>
      <c r="O220" s="410" t="s">
        <v>7575</v>
      </c>
      <c r="P220" s="406">
        <v>217</v>
      </c>
      <c r="Q220" s="470" t="s">
        <v>474</v>
      </c>
      <c r="R220" s="460" t="s">
        <v>475</v>
      </c>
      <c r="S220" s="270" t="s">
        <v>32</v>
      </c>
      <c r="U220" s="471">
        <v>1</v>
      </c>
      <c r="V220" s="471"/>
      <c r="W220" s="471" t="s">
        <v>475</v>
      </c>
      <c r="X220" s="471">
        <v>0</v>
      </c>
      <c r="Y220" s="206"/>
      <c r="Z220" s="206"/>
    </row>
    <row r="221" spans="1:26">
      <c r="A221" s="406">
        <v>218</v>
      </c>
      <c r="B221" s="613" t="s">
        <v>3020</v>
      </c>
      <c r="C221" s="288" t="s">
        <v>476</v>
      </c>
      <c r="D221" s="414" t="s">
        <v>4034</v>
      </c>
      <c r="E221" s="407" t="s">
        <v>8123</v>
      </c>
      <c r="F221" s="483"/>
      <c r="G221" s="483"/>
      <c r="H221" s="411"/>
      <c r="I221" s="411"/>
      <c r="J221" s="411"/>
      <c r="K221" s="411"/>
      <c r="L221" s="608" t="s">
        <v>4884</v>
      </c>
      <c r="M221" s="409">
        <v>6064.28346456693</v>
      </c>
      <c r="N221" s="409">
        <v>6064.28346456693</v>
      </c>
      <c r="O221" s="410" t="s">
        <v>7575</v>
      </c>
      <c r="P221" s="406">
        <v>218</v>
      </c>
      <c r="Q221" s="470" t="s">
        <v>476</v>
      </c>
      <c r="R221" s="460" t="s">
        <v>477</v>
      </c>
      <c r="S221" s="270" t="s">
        <v>32</v>
      </c>
      <c r="U221" s="471">
        <v>1</v>
      </c>
      <c r="V221" s="471"/>
      <c r="W221" s="471" t="s">
        <v>477</v>
      </c>
      <c r="X221" s="471">
        <v>0</v>
      </c>
      <c r="Y221" s="206"/>
      <c r="Z221" s="206"/>
    </row>
    <row r="222" spans="1:26">
      <c r="A222" s="406">
        <v>219</v>
      </c>
      <c r="B222" s="613" t="s">
        <v>3021</v>
      </c>
      <c r="C222" s="288" t="s">
        <v>478</v>
      </c>
      <c r="D222" s="414" t="s">
        <v>4036</v>
      </c>
      <c r="E222" s="407" t="s">
        <v>8124</v>
      </c>
      <c r="F222" s="483"/>
      <c r="G222" s="483"/>
      <c r="H222" s="411"/>
      <c r="I222" s="411"/>
      <c r="J222" s="411"/>
      <c r="K222" s="411"/>
      <c r="L222" s="608" t="s">
        <v>4884</v>
      </c>
      <c r="M222" s="409">
        <v>6064.9724409448818</v>
      </c>
      <c r="N222" s="409">
        <v>6064.9724409448818</v>
      </c>
      <c r="O222" s="410" t="s">
        <v>7575</v>
      </c>
      <c r="P222" s="406">
        <v>219</v>
      </c>
      <c r="Q222" s="470" t="s">
        <v>478</v>
      </c>
      <c r="R222" s="460" t="s">
        <v>479</v>
      </c>
      <c r="S222" s="270" t="s">
        <v>32</v>
      </c>
      <c r="U222" s="471">
        <v>1</v>
      </c>
      <c r="V222" s="471"/>
      <c r="W222" s="471" t="s">
        <v>479</v>
      </c>
      <c r="X222" s="471">
        <v>0</v>
      </c>
      <c r="Y222" s="206"/>
      <c r="Z222" s="206"/>
    </row>
    <row r="223" spans="1:26">
      <c r="A223" s="406">
        <v>220</v>
      </c>
      <c r="B223" s="613" t="s">
        <v>3022</v>
      </c>
      <c r="C223" s="288" t="s">
        <v>480</v>
      </c>
      <c r="D223" s="414" t="s">
        <v>4112</v>
      </c>
      <c r="E223" s="407" t="s">
        <v>8125</v>
      </c>
      <c r="F223" s="483"/>
      <c r="G223" s="483"/>
      <c r="H223" s="411"/>
      <c r="I223" s="411"/>
      <c r="J223" s="411"/>
      <c r="K223" s="411"/>
      <c r="L223" s="608" t="s">
        <v>4884</v>
      </c>
      <c r="M223" s="409">
        <v>6058.0944881889764</v>
      </c>
      <c r="N223" s="409">
        <v>6058.0944881889764</v>
      </c>
      <c r="O223" s="410" t="s">
        <v>7575</v>
      </c>
      <c r="P223" s="406">
        <v>220</v>
      </c>
      <c r="Q223" s="470" t="s">
        <v>480</v>
      </c>
      <c r="R223" s="460" t="s">
        <v>481</v>
      </c>
      <c r="S223" s="270" t="s">
        <v>32</v>
      </c>
      <c r="U223" s="471">
        <v>1</v>
      </c>
      <c r="V223" s="471"/>
      <c r="W223" s="471" t="s">
        <v>481</v>
      </c>
      <c r="X223" s="471">
        <v>0</v>
      </c>
      <c r="Y223" s="206"/>
      <c r="Z223" s="206"/>
    </row>
    <row r="224" spans="1:26">
      <c r="A224" s="406">
        <v>221</v>
      </c>
      <c r="B224" s="613" t="s">
        <v>3023</v>
      </c>
      <c r="C224" s="288" t="s">
        <v>482</v>
      </c>
      <c r="D224" s="414" t="s">
        <v>4032</v>
      </c>
      <c r="E224" s="407" t="s">
        <v>8126</v>
      </c>
      <c r="F224" s="483"/>
      <c r="G224" s="483"/>
      <c r="H224" s="411"/>
      <c r="I224" s="411"/>
      <c r="J224" s="411"/>
      <c r="K224" s="411"/>
      <c r="L224" s="608" t="s">
        <v>4884</v>
      </c>
      <c r="M224" s="409">
        <v>6059.7283464566935</v>
      </c>
      <c r="N224" s="409">
        <v>6059.7283464566935</v>
      </c>
      <c r="O224" s="410" t="s">
        <v>7575</v>
      </c>
      <c r="P224" s="406">
        <v>221</v>
      </c>
      <c r="Q224" s="470" t="s">
        <v>482</v>
      </c>
      <c r="R224" s="460" t="s">
        <v>483</v>
      </c>
      <c r="S224" s="270" t="s">
        <v>32</v>
      </c>
      <c r="U224" s="471">
        <v>1</v>
      </c>
      <c r="V224" s="471"/>
      <c r="W224" s="471" t="s">
        <v>483</v>
      </c>
      <c r="X224" s="471">
        <v>0</v>
      </c>
      <c r="Y224" s="206"/>
      <c r="Z224" s="206"/>
    </row>
    <row r="225" spans="1:26">
      <c r="A225" s="406">
        <v>222</v>
      </c>
      <c r="B225" s="613" t="s">
        <v>3024</v>
      </c>
      <c r="C225" s="288" t="s">
        <v>484</v>
      </c>
      <c r="D225" s="414" t="s">
        <v>4045</v>
      </c>
      <c r="E225" s="407" t="s">
        <v>8127</v>
      </c>
      <c r="F225" s="483"/>
      <c r="G225" s="483"/>
      <c r="H225" s="411"/>
      <c r="I225" s="411"/>
      <c r="J225" s="411"/>
      <c r="K225" s="411"/>
      <c r="L225" s="608" t="s">
        <v>4884</v>
      </c>
      <c r="M225" s="409">
        <v>5204.5157480314965</v>
      </c>
      <c r="N225" s="409">
        <v>5204.5157480314965</v>
      </c>
      <c r="O225" s="410" t="s">
        <v>7576</v>
      </c>
      <c r="P225" s="406">
        <v>222</v>
      </c>
      <c r="Q225" s="470" t="s">
        <v>484</v>
      </c>
      <c r="R225" s="460" t="s">
        <v>485</v>
      </c>
      <c r="S225" s="270" t="s">
        <v>32</v>
      </c>
      <c r="U225" s="471">
        <v>1</v>
      </c>
      <c r="V225" s="471"/>
      <c r="W225" s="471" t="s">
        <v>485</v>
      </c>
      <c r="X225" s="471">
        <v>0</v>
      </c>
      <c r="Y225" s="206"/>
      <c r="Z225" s="206"/>
    </row>
    <row r="226" spans="1:26">
      <c r="A226" s="406">
        <v>223</v>
      </c>
      <c r="B226" s="613" t="s">
        <v>3025</v>
      </c>
      <c r="C226" s="288" t="s">
        <v>486</v>
      </c>
      <c r="D226" s="414" t="s">
        <v>4057</v>
      </c>
      <c r="E226" s="407" t="s">
        <v>8128</v>
      </c>
      <c r="F226" s="483"/>
      <c r="G226" s="483"/>
      <c r="H226" s="411"/>
      <c r="I226" s="411"/>
      <c r="J226" s="411"/>
      <c r="K226" s="411"/>
      <c r="L226" s="608" t="s">
        <v>4884</v>
      </c>
      <c r="M226" s="409">
        <v>5201.9055118110236</v>
      </c>
      <c r="N226" s="409">
        <v>5201.9055118110236</v>
      </c>
      <c r="O226" s="410" t="s">
        <v>7576</v>
      </c>
      <c r="P226" s="406">
        <v>223</v>
      </c>
      <c r="Q226" s="470" t="s">
        <v>486</v>
      </c>
      <c r="R226" s="460" t="s">
        <v>487</v>
      </c>
      <c r="S226" s="270" t="s">
        <v>32</v>
      </c>
      <c r="U226" s="471">
        <v>1</v>
      </c>
      <c r="V226" s="471"/>
      <c r="W226" s="471" t="s">
        <v>487</v>
      </c>
      <c r="X226" s="471">
        <v>0</v>
      </c>
      <c r="Y226" s="206"/>
      <c r="Z226" s="206"/>
    </row>
    <row r="227" spans="1:26">
      <c r="A227" s="406">
        <v>224</v>
      </c>
      <c r="B227" s="613" t="s">
        <v>3026</v>
      </c>
      <c r="C227" s="288" t="s">
        <v>488</v>
      </c>
      <c r="D227" s="414" t="s">
        <v>4106</v>
      </c>
      <c r="E227" s="407" t="s">
        <v>8129</v>
      </c>
      <c r="F227" s="483"/>
      <c r="G227" s="483"/>
      <c r="H227" s="411"/>
      <c r="I227" s="411"/>
      <c r="J227" s="411"/>
      <c r="K227" s="411"/>
      <c r="L227" s="608" t="s">
        <v>4884</v>
      </c>
      <c r="M227" s="409">
        <v>5203.0472440944886</v>
      </c>
      <c r="N227" s="409">
        <v>5203.0472440944886</v>
      </c>
      <c r="O227" s="410" t="s">
        <v>7576</v>
      </c>
      <c r="P227" s="406">
        <v>224</v>
      </c>
      <c r="Q227" s="470" t="s">
        <v>488</v>
      </c>
      <c r="R227" s="460" t="s">
        <v>489</v>
      </c>
      <c r="S227" s="270" t="s">
        <v>32</v>
      </c>
      <c r="U227" s="471">
        <v>1</v>
      </c>
      <c r="V227" s="471"/>
      <c r="W227" s="471" t="s">
        <v>489</v>
      </c>
      <c r="X227" s="471">
        <v>0</v>
      </c>
      <c r="Y227" s="206"/>
      <c r="Z227" s="206"/>
    </row>
    <row r="228" spans="1:26">
      <c r="A228" s="406">
        <v>225</v>
      </c>
      <c r="B228" s="613" t="s">
        <v>3027</v>
      </c>
      <c r="C228" s="288" t="s">
        <v>490</v>
      </c>
      <c r="D228" s="414" t="s">
        <v>4104</v>
      </c>
      <c r="E228" s="407" t="s">
        <v>8130</v>
      </c>
      <c r="F228" s="483"/>
      <c r="G228" s="483"/>
      <c r="H228" s="411"/>
      <c r="I228" s="411"/>
      <c r="J228" s="411"/>
      <c r="K228" s="411"/>
      <c r="L228" s="608" t="s">
        <v>4884</v>
      </c>
      <c r="M228" s="409">
        <v>5200.2165354330709</v>
      </c>
      <c r="N228" s="409">
        <v>5200.2165354330709</v>
      </c>
      <c r="O228" s="410" t="s">
        <v>7576</v>
      </c>
      <c r="P228" s="406">
        <v>225</v>
      </c>
      <c r="Q228" s="470" t="s">
        <v>490</v>
      </c>
      <c r="R228" s="460" t="s">
        <v>491</v>
      </c>
      <c r="S228" s="270" t="s">
        <v>32</v>
      </c>
      <c r="U228" s="471">
        <v>1</v>
      </c>
      <c r="V228" s="471"/>
      <c r="W228" s="471" t="s">
        <v>491</v>
      </c>
      <c r="X228" s="471">
        <v>0</v>
      </c>
      <c r="Y228" s="206"/>
      <c r="Z228" s="206"/>
    </row>
    <row r="229" spans="1:26">
      <c r="A229" s="406">
        <v>226</v>
      </c>
      <c r="B229" s="613" t="s">
        <v>3028</v>
      </c>
      <c r="C229" s="288" t="s">
        <v>492</v>
      </c>
      <c r="D229" s="414" t="s">
        <v>4048</v>
      </c>
      <c r="E229" s="407" t="s">
        <v>8131</v>
      </c>
      <c r="F229" s="483"/>
      <c r="G229" s="483"/>
      <c r="H229" s="411"/>
      <c r="I229" s="411"/>
      <c r="J229" s="411"/>
      <c r="K229" s="411"/>
      <c r="L229" s="608" t="s">
        <v>4884</v>
      </c>
      <c r="M229" s="409">
        <v>5197.566929133859</v>
      </c>
      <c r="N229" s="409">
        <v>5197.566929133859</v>
      </c>
      <c r="O229" s="410" t="s">
        <v>7576</v>
      </c>
      <c r="P229" s="406">
        <v>226</v>
      </c>
      <c r="Q229" s="470" t="s">
        <v>492</v>
      </c>
      <c r="R229" s="460" t="s">
        <v>493</v>
      </c>
      <c r="S229" s="270" t="s">
        <v>32</v>
      </c>
      <c r="U229" s="471">
        <v>1</v>
      </c>
      <c r="V229" s="471"/>
      <c r="W229" s="471" t="s">
        <v>493</v>
      </c>
      <c r="X229" s="471">
        <v>0</v>
      </c>
      <c r="Y229" s="206"/>
      <c r="Z229" s="206"/>
    </row>
    <row r="230" spans="1:26">
      <c r="A230" s="406">
        <v>227</v>
      </c>
      <c r="B230" s="613" t="s">
        <v>3029</v>
      </c>
      <c r="C230" s="288" t="s">
        <v>494</v>
      </c>
      <c r="D230" s="414" t="s">
        <v>4047</v>
      </c>
      <c r="E230" s="407" t="s">
        <v>8132</v>
      </c>
      <c r="F230" s="483"/>
      <c r="G230" s="483"/>
      <c r="H230" s="411"/>
      <c r="I230" s="411"/>
      <c r="J230" s="411"/>
      <c r="K230" s="411"/>
      <c r="L230" s="608" t="s">
        <v>4884</v>
      </c>
      <c r="M230" s="409">
        <v>5193.6299212598433</v>
      </c>
      <c r="N230" s="409">
        <v>5193.6299212598433</v>
      </c>
      <c r="O230" s="410" t="s">
        <v>7576</v>
      </c>
      <c r="P230" s="406">
        <v>227</v>
      </c>
      <c r="Q230" s="470" t="s">
        <v>494</v>
      </c>
      <c r="R230" s="460" t="s">
        <v>495</v>
      </c>
      <c r="S230" s="270" t="s">
        <v>32</v>
      </c>
      <c r="U230" s="471">
        <v>1</v>
      </c>
      <c r="V230" s="471"/>
      <c r="W230" s="471" t="s">
        <v>495</v>
      </c>
      <c r="X230" s="471">
        <v>0</v>
      </c>
      <c r="Y230" s="206"/>
      <c r="Z230" s="206"/>
    </row>
    <row r="231" spans="1:26">
      <c r="A231" s="406">
        <v>228</v>
      </c>
      <c r="B231" s="613" t="s">
        <v>3030</v>
      </c>
      <c r="C231" s="288" t="s">
        <v>496</v>
      </c>
      <c r="D231" s="414" t="s">
        <v>4108</v>
      </c>
      <c r="E231" s="407" t="s">
        <v>8133</v>
      </c>
      <c r="F231" s="483"/>
      <c r="G231" s="483"/>
      <c r="H231" s="411"/>
      <c r="I231" s="411"/>
      <c r="J231" s="411"/>
      <c r="K231" s="411"/>
      <c r="L231" s="608" t="s">
        <v>4884</v>
      </c>
      <c r="M231" s="409">
        <v>5199.3661417322837</v>
      </c>
      <c r="N231" s="409">
        <v>5199.3661417322837</v>
      </c>
      <c r="O231" s="410" t="s">
        <v>7576</v>
      </c>
      <c r="P231" s="406">
        <v>228</v>
      </c>
      <c r="Q231" s="470" t="s">
        <v>496</v>
      </c>
      <c r="R231" s="460" t="s">
        <v>497</v>
      </c>
      <c r="S231" s="270" t="s">
        <v>32</v>
      </c>
      <c r="U231" s="471">
        <v>1</v>
      </c>
      <c r="V231" s="471"/>
      <c r="W231" s="471" t="s">
        <v>497</v>
      </c>
      <c r="X231" s="471">
        <v>0</v>
      </c>
      <c r="Y231" s="206"/>
      <c r="Z231" s="206"/>
    </row>
    <row r="232" spans="1:26">
      <c r="A232" s="406">
        <v>229</v>
      </c>
      <c r="B232" s="613" t="s">
        <v>3031</v>
      </c>
      <c r="C232" s="288" t="s">
        <v>498</v>
      </c>
      <c r="D232" s="414" t="s">
        <v>4050</v>
      </c>
      <c r="E232" s="407" t="s">
        <v>8134</v>
      </c>
      <c r="F232" s="483"/>
      <c r="G232" s="483"/>
      <c r="H232" s="411"/>
      <c r="I232" s="411"/>
      <c r="J232" s="411"/>
      <c r="K232" s="411"/>
      <c r="L232" s="608" t="s">
        <v>4884</v>
      </c>
      <c r="M232" s="409">
        <v>5195.177165354331</v>
      </c>
      <c r="N232" s="409">
        <v>5195.177165354331</v>
      </c>
      <c r="O232" s="410" t="s">
        <v>7576</v>
      </c>
      <c r="P232" s="406">
        <v>229</v>
      </c>
      <c r="Q232" s="470" t="s">
        <v>498</v>
      </c>
      <c r="R232" s="460" t="s">
        <v>499</v>
      </c>
      <c r="S232" s="270" t="s">
        <v>32</v>
      </c>
      <c r="U232" s="471">
        <v>1</v>
      </c>
      <c r="V232" s="471"/>
      <c r="W232" s="471" t="s">
        <v>499</v>
      </c>
      <c r="X232" s="471">
        <v>0</v>
      </c>
      <c r="Y232" s="206"/>
      <c r="Z232" s="206"/>
    </row>
    <row r="233" spans="1:26">
      <c r="A233" s="406">
        <v>230</v>
      </c>
      <c r="B233" s="613" t="s">
        <v>3032</v>
      </c>
      <c r="C233" s="288" t="s">
        <v>500</v>
      </c>
      <c r="D233" s="414" t="s">
        <v>4096</v>
      </c>
      <c r="E233" s="407" t="s">
        <v>8135</v>
      </c>
      <c r="F233" s="483"/>
      <c r="G233" s="483"/>
      <c r="H233" s="411"/>
      <c r="I233" s="411"/>
      <c r="J233" s="411"/>
      <c r="K233" s="411"/>
      <c r="L233" s="608" t="s">
        <v>4884</v>
      </c>
      <c r="M233" s="409">
        <v>6185.610236220472</v>
      </c>
      <c r="N233" s="409">
        <v>6185.610236220472</v>
      </c>
      <c r="O233" s="410" t="s">
        <v>7569</v>
      </c>
      <c r="P233" s="406">
        <v>230</v>
      </c>
      <c r="Q233" s="470" t="s">
        <v>500</v>
      </c>
      <c r="R233" s="460" t="s">
        <v>501</v>
      </c>
      <c r="S233" s="270" t="s">
        <v>32</v>
      </c>
      <c r="U233" s="471">
        <v>1</v>
      </c>
      <c r="V233" s="471"/>
      <c r="W233" s="471" t="s">
        <v>501</v>
      </c>
      <c r="X233" s="471">
        <v>0</v>
      </c>
      <c r="Y233" s="206"/>
      <c r="Z233" s="206"/>
    </row>
    <row r="234" spans="1:26">
      <c r="A234" s="406">
        <v>231</v>
      </c>
      <c r="B234" s="613" t="s">
        <v>3033</v>
      </c>
      <c r="C234" s="288" t="s">
        <v>502</v>
      </c>
      <c r="D234" s="414" t="s">
        <v>4093</v>
      </c>
      <c r="E234" s="407" t="s">
        <v>8136</v>
      </c>
      <c r="F234" s="483"/>
      <c r="G234" s="483"/>
      <c r="H234" s="411"/>
      <c r="I234" s="411"/>
      <c r="J234" s="411"/>
      <c r="K234" s="411"/>
      <c r="L234" s="608" t="s">
        <v>4884</v>
      </c>
      <c r="M234" s="409">
        <v>6183.8700787401576</v>
      </c>
      <c r="N234" s="409">
        <v>6183.8700787401576</v>
      </c>
      <c r="O234" s="410" t="s">
        <v>7569</v>
      </c>
      <c r="P234" s="406">
        <v>231</v>
      </c>
      <c r="Q234" s="470" t="s">
        <v>502</v>
      </c>
      <c r="R234" s="460" t="s">
        <v>503</v>
      </c>
      <c r="S234" s="270" t="s">
        <v>32</v>
      </c>
      <c r="U234" s="471">
        <v>1</v>
      </c>
      <c r="V234" s="471"/>
      <c r="W234" s="471" t="s">
        <v>503</v>
      </c>
      <c r="X234" s="471">
        <v>0</v>
      </c>
      <c r="Y234" s="206"/>
      <c r="Z234" s="206"/>
    </row>
    <row r="235" spans="1:26">
      <c r="A235" s="406">
        <v>232</v>
      </c>
      <c r="B235" s="613" t="s">
        <v>3034</v>
      </c>
      <c r="C235" s="288" t="s">
        <v>504</v>
      </c>
      <c r="D235" s="414" t="s">
        <v>4082</v>
      </c>
      <c r="E235" s="407" t="s">
        <v>8137</v>
      </c>
      <c r="F235" s="483"/>
      <c r="G235" s="483"/>
      <c r="H235" s="411"/>
      <c r="I235" s="411"/>
      <c r="J235" s="411"/>
      <c r="K235" s="411"/>
      <c r="L235" s="608" t="s">
        <v>4884</v>
      </c>
      <c r="M235" s="409">
        <v>6176.0236220472443</v>
      </c>
      <c r="N235" s="409">
        <v>6176.0236220472443</v>
      </c>
      <c r="O235" s="410" t="s">
        <v>7569</v>
      </c>
      <c r="P235" s="406">
        <v>232</v>
      </c>
      <c r="Q235" s="470" t="s">
        <v>504</v>
      </c>
      <c r="R235" s="460" t="s">
        <v>505</v>
      </c>
      <c r="S235" s="270" t="s">
        <v>32</v>
      </c>
      <c r="U235" s="471">
        <v>1</v>
      </c>
      <c r="V235" s="471"/>
      <c r="W235" s="471" t="s">
        <v>505</v>
      </c>
      <c r="X235" s="471">
        <v>0</v>
      </c>
      <c r="Y235" s="206"/>
      <c r="Z235" s="206"/>
    </row>
    <row r="236" spans="1:26">
      <c r="A236" s="406">
        <v>233</v>
      </c>
      <c r="B236" s="613" t="s">
        <v>3035</v>
      </c>
      <c r="C236" s="288" t="s">
        <v>506</v>
      </c>
      <c r="D236" s="414" t="s">
        <v>4079</v>
      </c>
      <c r="E236" s="407" t="s">
        <v>8138</v>
      </c>
      <c r="F236" s="483"/>
      <c r="G236" s="483"/>
      <c r="H236" s="411"/>
      <c r="I236" s="411"/>
      <c r="J236" s="411"/>
      <c r="K236" s="411"/>
      <c r="L236" s="608" t="s">
        <v>4884</v>
      </c>
      <c r="M236" s="409">
        <v>6181.8031496062995</v>
      </c>
      <c r="N236" s="409">
        <v>6181.8031496062995</v>
      </c>
      <c r="O236" s="410" t="s">
        <v>7569</v>
      </c>
      <c r="P236" s="406">
        <v>233</v>
      </c>
      <c r="Q236" s="470" t="s">
        <v>506</v>
      </c>
      <c r="R236" s="460" t="s">
        <v>507</v>
      </c>
      <c r="S236" s="270" t="s">
        <v>32</v>
      </c>
      <c r="U236" s="471">
        <v>1</v>
      </c>
      <c r="V236" s="471"/>
      <c r="W236" s="471" t="s">
        <v>507</v>
      </c>
      <c r="X236" s="471">
        <v>0</v>
      </c>
      <c r="Y236" s="206"/>
      <c r="Z236" s="206"/>
    </row>
    <row r="237" spans="1:26">
      <c r="A237" s="406">
        <v>234</v>
      </c>
      <c r="B237" s="613" t="s">
        <v>3036</v>
      </c>
      <c r="C237" s="288" t="s">
        <v>508</v>
      </c>
      <c r="D237" s="414" t="s">
        <v>4083</v>
      </c>
      <c r="E237" s="407" t="s">
        <v>8139</v>
      </c>
      <c r="F237" s="483"/>
      <c r="G237" s="483"/>
      <c r="H237" s="411"/>
      <c r="I237" s="411"/>
      <c r="J237" s="411"/>
      <c r="K237" s="411"/>
      <c r="L237" s="608" t="s">
        <v>4884</v>
      </c>
      <c r="M237" s="409">
        <v>6184.8307086614168</v>
      </c>
      <c r="N237" s="409">
        <v>6184.8307086614168</v>
      </c>
      <c r="O237" s="410" t="s">
        <v>7569</v>
      </c>
      <c r="P237" s="406">
        <v>234</v>
      </c>
      <c r="Q237" s="470" t="s">
        <v>508</v>
      </c>
      <c r="R237" s="460" t="s">
        <v>509</v>
      </c>
      <c r="S237" s="270" t="s">
        <v>32</v>
      </c>
      <c r="U237" s="471">
        <v>1</v>
      </c>
      <c r="V237" s="471"/>
      <c r="W237" s="471" t="s">
        <v>509</v>
      </c>
      <c r="X237" s="471">
        <v>0</v>
      </c>
      <c r="Y237" s="206"/>
      <c r="Z237" s="206"/>
    </row>
    <row r="238" spans="1:26">
      <c r="A238" s="406">
        <v>235</v>
      </c>
      <c r="B238" s="613" t="s">
        <v>3037</v>
      </c>
      <c r="C238" s="288" t="s">
        <v>510</v>
      </c>
      <c r="D238" s="414" t="s">
        <v>4086</v>
      </c>
      <c r="E238" s="407" t="s">
        <v>8140</v>
      </c>
      <c r="F238" s="483"/>
      <c r="G238" s="483"/>
      <c r="H238" s="411"/>
      <c r="I238" s="411"/>
      <c r="J238" s="411"/>
      <c r="K238" s="411"/>
      <c r="L238" s="608" t="s">
        <v>4884</v>
      </c>
      <c r="M238" s="409">
        <v>6179.3937007874019</v>
      </c>
      <c r="N238" s="409">
        <v>6179.3937007874019</v>
      </c>
      <c r="O238" s="410" t="s">
        <v>7569</v>
      </c>
      <c r="P238" s="406">
        <v>235</v>
      </c>
      <c r="Q238" s="470" t="s">
        <v>510</v>
      </c>
      <c r="R238" s="460" t="s">
        <v>511</v>
      </c>
      <c r="S238" s="270" t="s">
        <v>32</v>
      </c>
      <c r="U238" s="471">
        <v>1</v>
      </c>
      <c r="V238" s="471"/>
      <c r="W238" s="471" t="s">
        <v>511</v>
      </c>
      <c r="X238" s="471">
        <v>0</v>
      </c>
      <c r="Y238" s="206"/>
      <c r="Z238" s="206"/>
    </row>
    <row r="239" spans="1:26">
      <c r="A239" s="406">
        <v>236</v>
      </c>
      <c r="B239" s="613" t="s">
        <v>3038</v>
      </c>
      <c r="C239" s="288" t="s">
        <v>512</v>
      </c>
      <c r="D239" s="414" t="s">
        <v>4081</v>
      </c>
      <c r="E239" s="407" t="s">
        <v>8141</v>
      </c>
      <c r="F239" s="483"/>
      <c r="G239" s="483"/>
      <c r="H239" s="411"/>
      <c r="I239" s="411"/>
      <c r="J239" s="411"/>
      <c r="K239" s="411"/>
      <c r="L239" s="608" t="s">
        <v>4884</v>
      </c>
      <c r="M239" s="409">
        <v>6184.4488188976384</v>
      </c>
      <c r="N239" s="409">
        <v>6184.4488188976384</v>
      </c>
      <c r="O239" s="410" t="s">
        <v>7569</v>
      </c>
      <c r="P239" s="406">
        <v>236</v>
      </c>
      <c r="Q239" s="470" t="s">
        <v>512</v>
      </c>
      <c r="R239" s="460" t="s">
        <v>513</v>
      </c>
      <c r="S239" s="270" t="s">
        <v>32</v>
      </c>
      <c r="U239" s="471">
        <v>1</v>
      </c>
      <c r="V239" s="471"/>
      <c r="W239" s="471" t="s">
        <v>513</v>
      </c>
      <c r="X239" s="471">
        <v>0</v>
      </c>
      <c r="Y239" s="206"/>
      <c r="Z239" s="206"/>
    </row>
    <row r="240" spans="1:26">
      <c r="A240" s="406">
        <v>237</v>
      </c>
      <c r="B240" s="613" t="s">
        <v>3039</v>
      </c>
      <c r="C240" s="288" t="s">
        <v>514</v>
      </c>
      <c r="D240" s="414" t="s">
        <v>4084</v>
      </c>
      <c r="E240" s="407" t="s">
        <v>8142</v>
      </c>
      <c r="F240" s="483"/>
      <c r="G240" s="483"/>
      <c r="H240" s="411"/>
      <c r="I240" s="411"/>
      <c r="J240" s="411"/>
      <c r="K240" s="411"/>
      <c r="L240" s="608" t="s">
        <v>4884</v>
      </c>
      <c r="M240" s="409">
        <v>6178.6338582677163</v>
      </c>
      <c r="N240" s="409">
        <v>6178.6338582677163</v>
      </c>
      <c r="O240" s="410" t="s">
        <v>7569</v>
      </c>
      <c r="P240" s="406">
        <v>237</v>
      </c>
      <c r="Q240" s="470" t="s">
        <v>514</v>
      </c>
      <c r="R240" s="460" t="s">
        <v>515</v>
      </c>
      <c r="S240" s="270" t="s">
        <v>32</v>
      </c>
      <c r="U240" s="471">
        <v>1</v>
      </c>
      <c r="V240" s="471"/>
      <c r="W240" s="471" t="s">
        <v>515</v>
      </c>
      <c r="X240" s="471">
        <v>0</v>
      </c>
      <c r="Y240" s="206"/>
      <c r="Z240" s="206"/>
    </row>
    <row r="241" spans="1:26">
      <c r="A241" s="406">
        <v>238</v>
      </c>
      <c r="B241" s="613" t="s">
        <v>3040</v>
      </c>
      <c r="C241" s="288" t="s">
        <v>516</v>
      </c>
      <c r="D241" s="414" t="s">
        <v>3936</v>
      </c>
      <c r="E241" s="407" t="s">
        <v>8143</v>
      </c>
      <c r="F241" s="483"/>
      <c r="G241" s="483"/>
      <c r="H241" s="411"/>
      <c r="I241" s="411"/>
      <c r="J241" s="411"/>
      <c r="K241" s="411"/>
      <c r="L241" s="608" t="s">
        <v>4884</v>
      </c>
      <c r="M241" s="409">
        <v>7159.5393700787408</v>
      </c>
      <c r="N241" s="409">
        <v>7159.5393700787408</v>
      </c>
      <c r="O241" s="410" t="s">
        <v>7572</v>
      </c>
      <c r="P241" s="406">
        <v>238</v>
      </c>
      <c r="Q241" s="470" t="s">
        <v>516</v>
      </c>
      <c r="R241" s="460" t="s">
        <v>517</v>
      </c>
      <c r="S241" s="270" t="s">
        <v>32</v>
      </c>
      <c r="U241" s="471">
        <v>1</v>
      </c>
      <c r="V241" s="471"/>
      <c r="W241" s="471" t="s">
        <v>517</v>
      </c>
      <c r="X241" s="471">
        <v>0</v>
      </c>
      <c r="Y241" s="206"/>
      <c r="Z241" s="206"/>
    </row>
    <row r="242" spans="1:26">
      <c r="A242" s="406">
        <v>239</v>
      </c>
      <c r="B242" s="613" t="s">
        <v>3041</v>
      </c>
      <c r="C242" s="288" t="s">
        <v>518</v>
      </c>
      <c r="D242" s="414" t="s">
        <v>3941</v>
      </c>
      <c r="E242" s="407" t="s">
        <v>8144</v>
      </c>
      <c r="F242" s="483"/>
      <c r="G242" s="483"/>
      <c r="H242" s="411"/>
      <c r="I242" s="411"/>
      <c r="J242" s="411"/>
      <c r="K242" s="411"/>
      <c r="L242" s="608" t="s">
        <v>4884</v>
      </c>
      <c r="M242" s="409">
        <v>7168.066929133859</v>
      </c>
      <c r="N242" s="409">
        <v>7168.066929133859</v>
      </c>
      <c r="O242" s="410" t="s">
        <v>7572</v>
      </c>
      <c r="P242" s="406">
        <v>239</v>
      </c>
      <c r="Q242" s="470" t="s">
        <v>518</v>
      </c>
      <c r="R242" s="460" t="s">
        <v>519</v>
      </c>
      <c r="S242" s="270" t="s">
        <v>32</v>
      </c>
      <c r="U242" s="471">
        <v>1</v>
      </c>
      <c r="V242" s="471"/>
      <c r="W242" s="471" t="s">
        <v>519</v>
      </c>
      <c r="X242" s="471">
        <v>0</v>
      </c>
      <c r="Y242" s="206"/>
      <c r="Z242" s="206"/>
    </row>
    <row r="243" spans="1:26">
      <c r="A243" s="406">
        <v>240</v>
      </c>
      <c r="B243" s="613" t="s">
        <v>3042</v>
      </c>
      <c r="C243" s="288" t="s">
        <v>520</v>
      </c>
      <c r="D243" s="414" t="s">
        <v>3978</v>
      </c>
      <c r="E243" s="407" t="s">
        <v>8145</v>
      </c>
      <c r="F243" s="483"/>
      <c r="G243" s="483"/>
      <c r="H243" s="411"/>
      <c r="I243" s="411"/>
      <c r="J243" s="411"/>
      <c r="K243" s="411"/>
      <c r="L243" s="608" t="s">
        <v>4884</v>
      </c>
      <c r="M243" s="409">
        <v>7167.818897637796</v>
      </c>
      <c r="N243" s="409">
        <v>7167.818897637796</v>
      </c>
      <c r="O243" s="410" t="s">
        <v>7572</v>
      </c>
      <c r="P243" s="406">
        <v>240</v>
      </c>
      <c r="Q243" s="470" t="s">
        <v>520</v>
      </c>
      <c r="R243" s="460" t="s">
        <v>521</v>
      </c>
      <c r="S243" s="270" t="s">
        <v>32</v>
      </c>
      <c r="U243" s="471">
        <v>1</v>
      </c>
      <c r="V243" s="471"/>
      <c r="W243" s="471" t="s">
        <v>521</v>
      </c>
      <c r="X243" s="471">
        <v>0</v>
      </c>
      <c r="Y243" s="206"/>
      <c r="Z243" s="206"/>
    </row>
    <row r="244" spans="1:26">
      <c r="A244" s="406">
        <v>241</v>
      </c>
      <c r="B244" s="613" t="s">
        <v>3043</v>
      </c>
      <c r="C244" s="288" t="s">
        <v>522</v>
      </c>
      <c r="D244" s="414" t="s">
        <v>3976</v>
      </c>
      <c r="E244" s="407" t="s">
        <v>8146</v>
      </c>
      <c r="F244" s="483"/>
      <c r="G244" s="483"/>
      <c r="H244" s="411"/>
      <c r="I244" s="411"/>
      <c r="J244" s="411"/>
      <c r="K244" s="411"/>
      <c r="L244" s="608" t="s">
        <v>4884</v>
      </c>
      <c r="M244" s="409">
        <v>7167.3818897637802</v>
      </c>
      <c r="N244" s="409">
        <v>7167.3818897637802</v>
      </c>
      <c r="O244" s="410" t="s">
        <v>7572</v>
      </c>
      <c r="P244" s="406">
        <v>241</v>
      </c>
      <c r="Q244" s="470" t="s">
        <v>522</v>
      </c>
      <c r="R244" s="460" t="s">
        <v>523</v>
      </c>
      <c r="S244" s="270" t="s">
        <v>32</v>
      </c>
      <c r="U244" s="471">
        <v>1</v>
      </c>
      <c r="V244" s="471"/>
      <c r="W244" s="471" t="s">
        <v>523</v>
      </c>
      <c r="X244" s="471">
        <v>0</v>
      </c>
      <c r="Y244" s="206"/>
      <c r="Z244" s="206"/>
    </row>
    <row r="245" spans="1:26">
      <c r="A245" s="406">
        <v>242</v>
      </c>
      <c r="B245" s="613" t="s">
        <v>3044</v>
      </c>
      <c r="C245" s="288" t="s">
        <v>524</v>
      </c>
      <c r="D245" s="414" t="s">
        <v>3934</v>
      </c>
      <c r="E245" s="407" t="s">
        <v>8147</v>
      </c>
      <c r="F245" s="483"/>
      <c r="G245" s="483"/>
      <c r="H245" s="411"/>
      <c r="I245" s="411"/>
      <c r="J245" s="411"/>
      <c r="K245" s="411"/>
      <c r="L245" s="608" t="s">
        <v>4884</v>
      </c>
      <c r="M245" s="409">
        <v>7166.2401574803152</v>
      </c>
      <c r="N245" s="409">
        <v>7166.2401574803152</v>
      </c>
      <c r="O245" s="410" t="s">
        <v>7572</v>
      </c>
      <c r="P245" s="406">
        <v>242</v>
      </c>
      <c r="Q245" s="470" t="s">
        <v>524</v>
      </c>
      <c r="R245" s="460" t="s">
        <v>525</v>
      </c>
      <c r="S245" s="270" t="s">
        <v>32</v>
      </c>
      <c r="U245" s="471">
        <v>1</v>
      </c>
      <c r="V245" s="471"/>
      <c r="W245" s="471" t="s">
        <v>525</v>
      </c>
      <c r="X245" s="471">
        <v>0</v>
      </c>
      <c r="Y245" s="206"/>
      <c r="Z245" s="206"/>
    </row>
    <row r="246" spans="1:26">
      <c r="A246" s="406">
        <v>243</v>
      </c>
      <c r="B246" s="613" t="s">
        <v>3045</v>
      </c>
      <c r="C246" s="288" t="s">
        <v>526</v>
      </c>
      <c r="D246" s="414" t="s">
        <v>3932</v>
      </c>
      <c r="E246" s="407" t="s">
        <v>8148</v>
      </c>
      <c r="F246" s="483"/>
      <c r="G246" s="483"/>
      <c r="H246" s="411"/>
      <c r="I246" s="411"/>
      <c r="J246" s="411"/>
      <c r="K246" s="411"/>
      <c r="L246" s="608" t="s">
        <v>4884</v>
      </c>
      <c r="M246" s="409">
        <v>7166.3937007874019</v>
      </c>
      <c r="N246" s="409">
        <v>7166.3937007874019</v>
      </c>
      <c r="O246" s="410" t="s">
        <v>7572</v>
      </c>
      <c r="P246" s="406">
        <v>243</v>
      </c>
      <c r="Q246" s="470" t="s">
        <v>526</v>
      </c>
      <c r="R246" s="460" t="s">
        <v>527</v>
      </c>
      <c r="S246" s="270" t="s">
        <v>32</v>
      </c>
      <c r="U246" s="471">
        <v>1</v>
      </c>
      <c r="V246" s="471"/>
      <c r="W246" s="471" t="s">
        <v>527</v>
      </c>
      <c r="X246" s="471">
        <v>0</v>
      </c>
      <c r="Y246" s="206"/>
      <c r="Z246" s="206"/>
    </row>
    <row r="247" spans="1:26">
      <c r="A247" s="406">
        <v>244</v>
      </c>
      <c r="B247" s="613" t="s">
        <v>3046</v>
      </c>
      <c r="C247" s="288" t="s">
        <v>528</v>
      </c>
      <c r="D247" s="414" t="s">
        <v>3940</v>
      </c>
      <c r="E247" s="407" t="s">
        <v>8149</v>
      </c>
      <c r="F247" s="483"/>
      <c r="G247" s="483"/>
      <c r="H247" s="411"/>
      <c r="I247" s="411"/>
      <c r="J247" s="411"/>
      <c r="K247" s="411"/>
      <c r="L247" s="608" t="s">
        <v>4884</v>
      </c>
      <c r="M247" s="409">
        <v>7170.3661417322837</v>
      </c>
      <c r="N247" s="409">
        <v>7170.3661417322837</v>
      </c>
      <c r="O247" s="410" t="s">
        <v>7572</v>
      </c>
      <c r="P247" s="406">
        <v>244</v>
      </c>
      <c r="Q247" s="470" t="s">
        <v>528</v>
      </c>
      <c r="R247" s="460" t="s">
        <v>529</v>
      </c>
      <c r="S247" s="270" t="s">
        <v>32</v>
      </c>
      <c r="U247" s="471">
        <v>1</v>
      </c>
      <c r="V247" s="471"/>
      <c r="W247" s="471" t="s">
        <v>529</v>
      </c>
      <c r="X247" s="471">
        <v>0</v>
      </c>
      <c r="Y247" s="206"/>
      <c r="Z247" s="206"/>
    </row>
    <row r="248" spans="1:26">
      <c r="A248" s="406">
        <v>245</v>
      </c>
      <c r="B248" s="613" t="s">
        <v>3047</v>
      </c>
      <c r="C248" s="288" t="s">
        <v>530</v>
      </c>
      <c r="D248" s="414" t="s">
        <v>3980</v>
      </c>
      <c r="E248" s="407" t="s">
        <v>8150</v>
      </c>
      <c r="F248" s="483"/>
      <c r="G248" s="483"/>
      <c r="H248" s="411"/>
      <c r="I248" s="411"/>
      <c r="J248" s="411"/>
      <c r="K248" s="411"/>
      <c r="L248" s="608" t="s">
        <v>4884</v>
      </c>
      <c r="M248" s="409">
        <v>7159.1220472440946</v>
      </c>
      <c r="N248" s="409">
        <v>7159.1220472440946</v>
      </c>
      <c r="O248" s="410" t="s">
        <v>7572</v>
      </c>
      <c r="P248" s="406">
        <v>245</v>
      </c>
      <c r="Q248" s="470" t="s">
        <v>530</v>
      </c>
      <c r="R248" s="460" t="s">
        <v>531</v>
      </c>
      <c r="S248" s="270" t="s">
        <v>32</v>
      </c>
      <c r="U248" s="471">
        <v>1</v>
      </c>
      <c r="V248" s="471"/>
      <c r="W248" s="471" t="s">
        <v>531</v>
      </c>
      <c r="X248" s="471">
        <v>0</v>
      </c>
      <c r="Y248" s="206"/>
      <c r="Z248" s="206"/>
    </row>
    <row r="249" spans="1:26">
      <c r="A249" s="406">
        <v>246</v>
      </c>
      <c r="B249" s="613" t="s">
        <v>3048</v>
      </c>
      <c r="C249" s="288" t="s">
        <v>532</v>
      </c>
      <c r="D249" s="414" t="s">
        <v>3927</v>
      </c>
      <c r="E249" s="407" t="s">
        <v>8151</v>
      </c>
      <c r="F249" s="483"/>
      <c r="G249" s="411"/>
      <c r="H249" s="411"/>
      <c r="I249" s="411"/>
      <c r="J249" s="411"/>
      <c r="K249" s="411"/>
      <c r="L249" s="608" t="s">
        <v>4884</v>
      </c>
      <c r="M249" s="409">
        <v>6732.9881889763783</v>
      </c>
      <c r="N249" s="409">
        <v>6732.9881889763783</v>
      </c>
      <c r="O249" s="410" t="s">
        <v>7573</v>
      </c>
      <c r="P249" s="406">
        <v>246</v>
      </c>
      <c r="Q249" s="470" t="s">
        <v>532</v>
      </c>
      <c r="R249" s="460" t="s">
        <v>533</v>
      </c>
      <c r="S249" s="270" t="s">
        <v>32</v>
      </c>
      <c r="U249" s="471">
        <v>1</v>
      </c>
      <c r="V249" s="471"/>
      <c r="W249" s="471" t="s">
        <v>533</v>
      </c>
      <c r="X249" s="471">
        <v>0</v>
      </c>
      <c r="Y249" s="206"/>
      <c r="Z249" s="206"/>
    </row>
    <row r="250" spans="1:26">
      <c r="A250" s="406">
        <v>247</v>
      </c>
      <c r="B250" s="613" t="s">
        <v>3049</v>
      </c>
      <c r="C250" s="288" t="s">
        <v>534</v>
      </c>
      <c r="D250" s="414" t="s">
        <v>3928</v>
      </c>
      <c r="E250" s="407" t="s">
        <v>8152</v>
      </c>
      <c r="F250" s="483"/>
      <c r="G250" s="411"/>
      <c r="H250" s="411"/>
      <c r="I250" s="411"/>
      <c r="J250" s="411"/>
      <c r="K250" s="411"/>
      <c r="L250" s="608" t="s">
        <v>4884</v>
      </c>
      <c r="M250" s="409">
        <v>6734.8228346456699</v>
      </c>
      <c r="N250" s="409">
        <v>6734.8228346456699</v>
      </c>
      <c r="O250" s="410" t="s">
        <v>7573</v>
      </c>
      <c r="P250" s="406">
        <v>247</v>
      </c>
      <c r="Q250" s="470" t="s">
        <v>534</v>
      </c>
      <c r="R250" s="460" t="s">
        <v>535</v>
      </c>
      <c r="S250" s="270" t="s">
        <v>32</v>
      </c>
      <c r="U250" s="471">
        <v>1</v>
      </c>
      <c r="V250" s="471"/>
      <c r="W250" s="471" t="s">
        <v>535</v>
      </c>
      <c r="X250" s="471">
        <v>0</v>
      </c>
      <c r="Y250" s="206"/>
      <c r="Z250" s="206"/>
    </row>
    <row r="251" spans="1:26">
      <c r="A251" s="406">
        <v>248</v>
      </c>
      <c r="B251" s="613" t="s">
        <v>3050</v>
      </c>
      <c r="C251" s="288" t="s">
        <v>536</v>
      </c>
      <c r="D251" s="414" t="s">
        <v>3942</v>
      </c>
      <c r="E251" s="407" t="s">
        <v>8153</v>
      </c>
      <c r="F251" s="483"/>
      <c r="G251" s="411"/>
      <c r="H251" s="411"/>
      <c r="I251" s="411"/>
      <c r="J251" s="411"/>
      <c r="K251" s="411"/>
      <c r="L251" s="608" t="s">
        <v>4884</v>
      </c>
      <c r="M251" s="409">
        <v>6731.0826771653547</v>
      </c>
      <c r="N251" s="409">
        <v>6731.0826771653547</v>
      </c>
      <c r="O251" s="410" t="s">
        <v>7573</v>
      </c>
      <c r="P251" s="406">
        <v>248</v>
      </c>
      <c r="Q251" s="470" t="s">
        <v>536</v>
      </c>
      <c r="R251" s="460" t="s">
        <v>537</v>
      </c>
      <c r="S251" s="270" t="s">
        <v>32</v>
      </c>
      <c r="U251" s="471">
        <v>1</v>
      </c>
      <c r="V251" s="471"/>
      <c r="W251" s="471" t="s">
        <v>537</v>
      </c>
      <c r="X251" s="471">
        <v>0</v>
      </c>
      <c r="Y251" s="206"/>
      <c r="Z251" s="206"/>
    </row>
    <row r="252" spans="1:26">
      <c r="A252" s="406">
        <v>249</v>
      </c>
      <c r="B252" s="613" t="s">
        <v>3051</v>
      </c>
      <c r="C252" s="288" t="s">
        <v>538</v>
      </c>
      <c r="D252" s="414" t="s">
        <v>3925</v>
      </c>
      <c r="E252" s="407" t="s">
        <v>8154</v>
      </c>
      <c r="F252" s="483"/>
      <c r="G252" s="411"/>
      <c r="H252" s="411"/>
      <c r="I252" s="411"/>
      <c r="J252" s="411"/>
      <c r="K252" s="411"/>
      <c r="L252" s="608" t="s">
        <v>4884</v>
      </c>
      <c r="M252" s="409">
        <v>6734.6614173228345</v>
      </c>
      <c r="N252" s="409">
        <v>6734.6614173228345</v>
      </c>
      <c r="O252" s="410" t="s">
        <v>7573</v>
      </c>
      <c r="P252" s="406">
        <v>249</v>
      </c>
      <c r="Q252" s="470" t="s">
        <v>538</v>
      </c>
      <c r="R252" s="460" t="s">
        <v>539</v>
      </c>
      <c r="S252" s="270" t="s">
        <v>32</v>
      </c>
      <c r="U252" s="471">
        <v>1</v>
      </c>
      <c r="V252" s="471"/>
      <c r="W252" s="471" t="s">
        <v>539</v>
      </c>
      <c r="X252" s="471">
        <v>0</v>
      </c>
      <c r="Y252" s="206"/>
      <c r="Z252" s="206"/>
    </row>
    <row r="253" spans="1:26">
      <c r="A253" s="406">
        <v>250</v>
      </c>
      <c r="B253" s="613" t="s">
        <v>3052</v>
      </c>
      <c r="C253" s="288" t="s">
        <v>540</v>
      </c>
      <c r="D253" s="414" t="s">
        <v>3926</v>
      </c>
      <c r="E253" s="407" t="s">
        <v>8155</v>
      </c>
      <c r="F253" s="483"/>
      <c r="G253" s="411"/>
      <c r="H253" s="411"/>
      <c r="I253" s="411"/>
      <c r="J253" s="411"/>
      <c r="K253" s="411"/>
      <c r="L253" s="608" t="s">
        <v>4884</v>
      </c>
      <c r="M253" s="409">
        <v>6733.1889763779527</v>
      </c>
      <c r="N253" s="409">
        <v>6733.1889763779527</v>
      </c>
      <c r="O253" s="410" t="s">
        <v>7573</v>
      </c>
      <c r="P253" s="406">
        <v>250</v>
      </c>
      <c r="Q253" s="470" t="s">
        <v>540</v>
      </c>
      <c r="R253" s="460" t="s">
        <v>541</v>
      </c>
      <c r="S253" s="270" t="s">
        <v>32</v>
      </c>
      <c r="U253" s="471">
        <v>1</v>
      </c>
      <c r="V253" s="471"/>
      <c r="W253" s="471" t="s">
        <v>541</v>
      </c>
      <c r="X253" s="471">
        <v>0</v>
      </c>
      <c r="Y253" s="206"/>
      <c r="Z253" s="206"/>
    </row>
    <row r="254" spans="1:26">
      <c r="A254" s="406">
        <v>251</v>
      </c>
      <c r="B254" s="613" t="s">
        <v>3053</v>
      </c>
      <c r="C254" s="288" t="s">
        <v>542</v>
      </c>
      <c r="D254" s="414" t="s">
        <v>3929</v>
      </c>
      <c r="E254" s="407" t="s">
        <v>8156</v>
      </c>
      <c r="F254" s="483"/>
      <c r="G254" s="411"/>
      <c r="H254" s="411"/>
      <c r="I254" s="411"/>
      <c r="J254" s="411"/>
      <c r="K254" s="411"/>
      <c r="L254" s="608" t="s">
        <v>4884</v>
      </c>
      <c r="M254" s="409">
        <v>6728.1141732283468</v>
      </c>
      <c r="N254" s="409">
        <v>6728.1141732283468</v>
      </c>
      <c r="O254" s="410" t="s">
        <v>7573</v>
      </c>
      <c r="P254" s="406">
        <v>251</v>
      </c>
      <c r="Q254" s="470" t="s">
        <v>542</v>
      </c>
      <c r="R254" s="460" t="s">
        <v>543</v>
      </c>
      <c r="S254" s="270" t="s">
        <v>32</v>
      </c>
      <c r="U254" s="471">
        <v>1</v>
      </c>
      <c r="V254" s="471"/>
      <c r="W254" s="471" t="s">
        <v>543</v>
      </c>
      <c r="X254" s="471">
        <v>0</v>
      </c>
      <c r="Y254" s="206"/>
      <c r="Z254" s="206"/>
    </row>
    <row r="255" spans="1:26">
      <c r="A255" s="406">
        <v>252</v>
      </c>
      <c r="B255" s="613" t="s">
        <v>3054</v>
      </c>
      <c r="C255" s="288" t="s">
        <v>544</v>
      </c>
      <c r="D255" s="414" t="s">
        <v>3924</v>
      </c>
      <c r="E255" s="407" t="s">
        <v>8157</v>
      </c>
      <c r="F255" s="483"/>
      <c r="G255" s="411"/>
      <c r="H255" s="411"/>
      <c r="I255" s="411"/>
      <c r="J255" s="411"/>
      <c r="K255" s="411"/>
      <c r="L255" s="608" t="s">
        <v>4884</v>
      </c>
      <c r="M255" s="409">
        <v>6738.4842519685044</v>
      </c>
      <c r="N255" s="409">
        <v>6738.4842519685044</v>
      </c>
      <c r="O255" s="410" t="s">
        <v>7573</v>
      </c>
      <c r="P255" s="406">
        <v>252</v>
      </c>
      <c r="Q255" s="470" t="s">
        <v>544</v>
      </c>
      <c r="R255" s="460" t="s">
        <v>545</v>
      </c>
      <c r="S255" s="270" t="s">
        <v>32</v>
      </c>
      <c r="U255" s="471">
        <v>1</v>
      </c>
      <c r="V255" s="471"/>
      <c r="W255" s="471" t="s">
        <v>545</v>
      </c>
      <c r="X255" s="471">
        <v>0</v>
      </c>
      <c r="Y255" s="206"/>
      <c r="Z255" s="206"/>
    </row>
    <row r="256" spans="1:26">
      <c r="A256" s="406">
        <v>253</v>
      </c>
      <c r="B256" s="613" t="s">
        <v>3055</v>
      </c>
      <c r="C256" s="288" t="s">
        <v>546</v>
      </c>
      <c r="D256" s="414" t="s">
        <v>3987</v>
      </c>
      <c r="E256" s="407" t="s">
        <v>8158</v>
      </c>
      <c r="F256" s="483"/>
      <c r="G256" s="411"/>
      <c r="H256" s="411"/>
      <c r="I256" s="411"/>
      <c r="J256" s="411"/>
      <c r="K256" s="411"/>
      <c r="L256" s="608" t="s">
        <v>4884</v>
      </c>
      <c r="M256" s="409">
        <v>6734.0433070866147</v>
      </c>
      <c r="N256" s="409">
        <v>6734.0433070866147</v>
      </c>
      <c r="O256" s="410" t="s">
        <v>7573</v>
      </c>
      <c r="P256" s="406">
        <v>253</v>
      </c>
      <c r="Q256" s="470" t="s">
        <v>546</v>
      </c>
      <c r="R256" s="460" t="s">
        <v>547</v>
      </c>
      <c r="S256" s="270" t="s">
        <v>32</v>
      </c>
      <c r="U256" s="471">
        <v>1</v>
      </c>
      <c r="V256" s="471"/>
      <c r="W256" s="471" t="s">
        <v>547</v>
      </c>
      <c r="X256" s="471">
        <v>0</v>
      </c>
      <c r="Y256" s="206"/>
      <c r="Z256" s="206"/>
    </row>
    <row r="257" spans="1:26">
      <c r="A257" s="406">
        <v>254</v>
      </c>
      <c r="B257" s="613" t="s">
        <v>3056</v>
      </c>
      <c r="C257" s="288" t="s">
        <v>548</v>
      </c>
      <c r="D257" s="414" t="s">
        <v>3961</v>
      </c>
      <c r="E257" s="407" t="s">
        <v>8159</v>
      </c>
      <c r="F257" s="483"/>
      <c r="G257" s="411"/>
      <c r="H257" s="411"/>
      <c r="I257" s="411"/>
      <c r="J257" s="411"/>
      <c r="K257" s="411"/>
      <c r="L257" s="608" t="s">
        <v>4884</v>
      </c>
      <c r="M257" s="409">
        <v>5592.5118110236226</v>
      </c>
      <c r="N257" s="409">
        <v>5592.5118110236226</v>
      </c>
      <c r="O257" s="410" t="s">
        <v>7574</v>
      </c>
      <c r="P257" s="406">
        <v>254</v>
      </c>
      <c r="Q257" s="470" t="s">
        <v>548</v>
      </c>
      <c r="R257" s="460" t="s">
        <v>549</v>
      </c>
      <c r="S257" s="270" t="s">
        <v>32</v>
      </c>
      <c r="U257" s="471">
        <v>1</v>
      </c>
      <c r="V257" s="471"/>
      <c r="W257" s="471" t="s">
        <v>549</v>
      </c>
      <c r="X257" s="471">
        <v>0</v>
      </c>
      <c r="Y257" s="206"/>
      <c r="Z257" s="206"/>
    </row>
    <row r="258" spans="1:26">
      <c r="A258" s="406">
        <v>255</v>
      </c>
      <c r="B258" s="613" t="s">
        <v>3057</v>
      </c>
      <c r="C258" s="288" t="s">
        <v>550</v>
      </c>
      <c r="D258" s="414" t="s">
        <v>3963</v>
      </c>
      <c r="E258" s="407" t="s">
        <v>8160</v>
      </c>
      <c r="F258" s="483"/>
      <c r="G258" s="411"/>
      <c r="H258" s="411"/>
      <c r="I258" s="411"/>
      <c r="J258" s="411"/>
      <c r="K258" s="411"/>
      <c r="L258" s="608" t="s">
        <v>4884</v>
      </c>
      <c r="M258" s="409">
        <v>5592.8346456692916</v>
      </c>
      <c r="N258" s="409">
        <v>5592.8346456692916</v>
      </c>
      <c r="O258" s="410" t="s">
        <v>7574</v>
      </c>
      <c r="P258" s="406">
        <v>255</v>
      </c>
      <c r="Q258" s="470" t="s">
        <v>550</v>
      </c>
      <c r="R258" s="460" t="s">
        <v>551</v>
      </c>
      <c r="S258" s="270" t="s">
        <v>32</v>
      </c>
      <c r="U258" s="471">
        <v>1</v>
      </c>
      <c r="V258" s="471"/>
      <c r="W258" s="471" t="s">
        <v>551</v>
      </c>
      <c r="X258" s="471">
        <v>0</v>
      </c>
      <c r="Y258" s="206"/>
      <c r="Z258" s="206"/>
    </row>
    <row r="259" spans="1:26">
      <c r="A259" s="406">
        <v>256</v>
      </c>
      <c r="B259" s="613" t="s">
        <v>3058</v>
      </c>
      <c r="C259" s="288" t="s">
        <v>552</v>
      </c>
      <c r="D259" s="414" t="s">
        <v>4025</v>
      </c>
      <c r="E259" s="407" t="s">
        <v>8161</v>
      </c>
      <c r="F259" s="483"/>
      <c r="G259" s="411"/>
      <c r="H259" s="411"/>
      <c r="I259" s="411"/>
      <c r="J259" s="411"/>
      <c r="K259" s="411"/>
      <c r="L259" s="608" t="s">
        <v>4884</v>
      </c>
      <c r="M259" s="409">
        <v>5590.9212598425202</v>
      </c>
      <c r="N259" s="409">
        <v>5590.9212598425202</v>
      </c>
      <c r="O259" s="410" t="s">
        <v>7574</v>
      </c>
      <c r="P259" s="406">
        <v>256</v>
      </c>
      <c r="Q259" s="470" t="s">
        <v>552</v>
      </c>
      <c r="R259" s="460" t="s">
        <v>553</v>
      </c>
      <c r="S259" s="270" t="s">
        <v>32</v>
      </c>
      <c r="U259" s="471">
        <v>1</v>
      </c>
      <c r="V259" s="471"/>
      <c r="W259" s="471" t="s">
        <v>553</v>
      </c>
      <c r="X259" s="471">
        <v>0</v>
      </c>
      <c r="Y259" s="206"/>
      <c r="Z259" s="206"/>
    </row>
    <row r="260" spans="1:26">
      <c r="A260" s="406">
        <v>257</v>
      </c>
      <c r="B260" s="613" t="s">
        <v>3059</v>
      </c>
      <c r="C260" s="288" t="s">
        <v>554</v>
      </c>
      <c r="D260" s="414" t="s">
        <v>4070</v>
      </c>
      <c r="E260" s="407" t="s">
        <v>8162</v>
      </c>
      <c r="F260" s="483"/>
      <c r="G260" s="411"/>
      <c r="H260" s="411"/>
      <c r="I260" s="411"/>
      <c r="J260" s="411"/>
      <c r="K260" s="411"/>
      <c r="L260" s="608" t="s">
        <v>4884</v>
      </c>
      <c r="M260" s="409">
        <v>5590.7244094488196</v>
      </c>
      <c r="N260" s="409">
        <v>5590.7244094488196</v>
      </c>
      <c r="O260" s="410" t="s">
        <v>7574</v>
      </c>
      <c r="P260" s="406">
        <v>257</v>
      </c>
      <c r="Q260" s="470" t="s">
        <v>554</v>
      </c>
      <c r="R260" s="460" t="s">
        <v>555</v>
      </c>
      <c r="S260" s="270" t="s">
        <v>32</v>
      </c>
      <c r="U260" s="471">
        <v>1</v>
      </c>
      <c r="V260" s="471"/>
      <c r="W260" s="471" t="s">
        <v>555</v>
      </c>
      <c r="X260" s="471">
        <v>0</v>
      </c>
      <c r="Y260" s="206"/>
      <c r="Z260" s="206"/>
    </row>
    <row r="261" spans="1:26">
      <c r="A261" s="406">
        <v>258</v>
      </c>
      <c r="B261" s="613" t="s">
        <v>3060</v>
      </c>
      <c r="C261" s="288" t="s">
        <v>556</v>
      </c>
      <c r="D261" s="414" t="s">
        <v>3944</v>
      </c>
      <c r="E261" s="407" t="s">
        <v>8163</v>
      </c>
      <c r="F261" s="483"/>
      <c r="G261" s="411"/>
      <c r="H261" s="411"/>
      <c r="I261" s="411"/>
      <c r="J261" s="411"/>
      <c r="K261" s="411"/>
      <c r="L261" s="608" t="s">
        <v>4884</v>
      </c>
      <c r="M261" s="409">
        <v>5591.8031496062995</v>
      </c>
      <c r="N261" s="409">
        <v>5591.8031496062995</v>
      </c>
      <c r="O261" s="410" t="s">
        <v>7574</v>
      </c>
      <c r="P261" s="406">
        <v>258</v>
      </c>
      <c r="Q261" s="470" t="s">
        <v>556</v>
      </c>
      <c r="R261" s="460" t="s">
        <v>557</v>
      </c>
      <c r="S261" s="270" t="s">
        <v>32</v>
      </c>
      <c r="U261" s="471">
        <v>1</v>
      </c>
      <c r="V261" s="471"/>
      <c r="W261" s="471" t="s">
        <v>557</v>
      </c>
      <c r="X261" s="471">
        <v>0</v>
      </c>
      <c r="Y261" s="206"/>
      <c r="Z261" s="206"/>
    </row>
    <row r="262" spans="1:26">
      <c r="A262" s="406">
        <v>259</v>
      </c>
      <c r="B262" s="613" t="s">
        <v>3061</v>
      </c>
      <c r="C262" s="288" t="s">
        <v>558</v>
      </c>
      <c r="D262" s="414" t="s">
        <v>3946</v>
      </c>
      <c r="E262" s="407" t="s">
        <v>8164</v>
      </c>
      <c r="F262" s="483"/>
      <c r="G262" s="411"/>
      <c r="H262" s="411"/>
      <c r="I262" s="411"/>
      <c r="J262" s="411"/>
      <c r="K262" s="411"/>
      <c r="L262" s="608" t="s">
        <v>4884</v>
      </c>
      <c r="M262" s="409">
        <v>5589.3897637795271</v>
      </c>
      <c r="N262" s="409">
        <v>5589.3897637795271</v>
      </c>
      <c r="O262" s="410" t="s">
        <v>7574</v>
      </c>
      <c r="P262" s="406">
        <v>259</v>
      </c>
      <c r="Q262" s="470" t="s">
        <v>558</v>
      </c>
      <c r="R262" s="460" t="s">
        <v>559</v>
      </c>
      <c r="S262" s="270" t="s">
        <v>32</v>
      </c>
      <c r="U262" s="471">
        <v>1</v>
      </c>
      <c r="V262" s="471"/>
      <c r="W262" s="471" t="s">
        <v>559</v>
      </c>
      <c r="X262" s="471">
        <v>0</v>
      </c>
      <c r="Y262" s="206"/>
      <c r="Z262" s="206"/>
    </row>
    <row r="263" spans="1:26">
      <c r="A263" s="406">
        <v>260</v>
      </c>
      <c r="B263" s="613" t="s">
        <v>3062</v>
      </c>
      <c r="C263" s="288" t="s">
        <v>560</v>
      </c>
      <c r="D263" s="414" t="s">
        <v>4026</v>
      </c>
      <c r="E263" s="407" t="s">
        <v>8165</v>
      </c>
      <c r="F263" s="483"/>
      <c r="G263" s="411"/>
      <c r="H263" s="411"/>
      <c r="I263" s="411"/>
      <c r="J263" s="411"/>
      <c r="K263" s="411"/>
      <c r="L263" s="608" t="s">
        <v>4884</v>
      </c>
      <c r="M263" s="409">
        <v>5593.2165354330709</v>
      </c>
      <c r="N263" s="409">
        <v>5593.2165354330709</v>
      </c>
      <c r="O263" s="410" t="s">
        <v>7574</v>
      </c>
      <c r="P263" s="406">
        <v>260</v>
      </c>
      <c r="Q263" s="470" t="s">
        <v>560</v>
      </c>
      <c r="R263" s="460" t="s">
        <v>561</v>
      </c>
      <c r="S263" s="270" t="s">
        <v>32</v>
      </c>
      <c r="U263" s="471">
        <v>1</v>
      </c>
      <c r="V263" s="471"/>
      <c r="W263" s="471" t="s">
        <v>561</v>
      </c>
      <c r="X263" s="471">
        <v>0</v>
      </c>
      <c r="Y263" s="206"/>
      <c r="Z263" s="206"/>
    </row>
    <row r="264" spans="1:26">
      <c r="A264" s="406">
        <v>261</v>
      </c>
      <c r="B264" s="613" t="s">
        <v>3063</v>
      </c>
      <c r="C264" s="288" t="s">
        <v>562</v>
      </c>
      <c r="D264" s="414" t="s">
        <v>4022</v>
      </c>
      <c r="E264" s="407" t="s">
        <v>8166</v>
      </c>
      <c r="F264" s="483"/>
      <c r="G264" s="411"/>
      <c r="H264" s="411"/>
      <c r="I264" s="411"/>
      <c r="J264" s="411"/>
      <c r="K264" s="411"/>
      <c r="L264" s="608" t="s">
        <v>4884</v>
      </c>
      <c r="M264" s="409">
        <v>5589.7440944881891</v>
      </c>
      <c r="N264" s="409">
        <v>5589.7440944881891</v>
      </c>
      <c r="O264" s="410" t="s">
        <v>7574</v>
      </c>
      <c r="P264" s="406">
        <v>261</v>
      </c>
      <c r="Q264" s="470" t="s">
        <v>562</v>
      </c>
      <c r="R264" s="460" t="s">
        <v>563</v>
      </c>
      <c r="S264" s="270" t="s">
        <v>32</v>
      </c>
      <c r="U264" s="471">
        <v>1</v>
      </c>
      <c r="V264" s="471"/>
      <c r="W264" s="471" t="s">
        <v>563</v>
      </c>
      <c r="X264" s="471">
        <v>0</v>
      </c>
      <c r="Y264" s="206"/>
      <c r="Z264" s="206"/>
    </row>
    <row r="265" spans="1:26">
      <c r="A265" s="406">
        <v>262</v>
      </c>
      <c r="B265" s="613" t="s">
        <v>3064</v>
      </c>
      <c r="C265" s="288" t="s">
        <v>564</v>
      </c>
      <c r="D265" s="414" t="s">
        <v>3975</v>
      </c>
      <c r="E265" s="407" t="s">
        <v>8167</v>
      </c>
      <c r="F265" s="483"/>
      <c r="G265" s="411"/>
      <c r="H265" s="411"/>
      <c r="I265" s="411"/>
      <c r="J265" s="411"/>
      <c r="K265" s="411"/>
      <c r="L265" s="608" t="s">
        <v>4884</v>
      </c>
      <c r="M265" s="409">
        <v>5553.8346456692916</v>
      </c>
      <c r="N265" s="409">
        <v>5553.8346456692916</v>
      </c>
      <c r="O265" s="410" t="s">
        <v>7573</v>
      </c>
      <c r="P265" s="406">
        <v>262</v>
      </c>
      <c r="Q265" s="470" t="s">
        <v>564</v>
      </c>
      <c r="R265" s="460" t="s">
        <v>565</v>
      </c>
      <c r="S265" s="270" t="s">
        <v>32</v>
      </c>
      <c r="U265" s="471">
        <v>1</v>
      </c>
      <c r="V265" s="471"/>
      <c r="W265" s="471" t="s">
        <v>565</v>
      </c>
      <c r="X265" s="471">
        <v>0</v>
      </c>
      <c r="Y265" s="206"/>
      <c r="Z265" s="206"/>
    </row>
    <row r="266" spans="1:26">
      <c r="A266" s="406">
        <v>263</v>
      </c>
      <c r="B266" s="613" t="s">
        <v>3065</v>
      </c>
      <c r="C266" s="288" t="s">
        <v>566</v>
      </c>
      <c r="D266" s="414" t="s">
        <v>3984</v>
      </c>
      <c r="E266" s="407" t="s">
        <v>8168</v>
      </c>
      <c r="F266" s="483"/>
      <c r="G266" s="411"/>
      <c r="H266" s="411"/>
      <c r="I266" s="411"/>
      <c r="J266" s="411"/>
      <c r="K266" s="411"/>
      <c r="L266" s="608" t="s">
        <v>4884</v>
      </c>
      <c r="M266" s="409">
        <v>5555.7204724409448</v>
      </c>
      <c r="N266" s="409">
        <v>5555.7204724409448</v>
      </c>
      <c r="O266" s="410" t="s">
        <v>7573</v>
      </c>
      <c r="P266" s="406">
        <v>263</v>
      </c>
      <c r="Q266" s="470" t="s">
        <v>566</v>
      </c>
      <c r="R266" s="460" t="s">
        <v>567</v>
      </c>
      <c r="S266" s="270" t="s">
        <v>32</v>
      </c>
      <c r="U266" s="471">
        <v>1</v>
      </c>
      <c r="V266" s="471"/>
      <c r="W266" s="471" t="s">
        <v>567</v>
      </c>
      <c r="X266" s="471">
        <v>0</v>
      </c>
      <c r="Y266" s="206"/>
      <c r="Z266" s="206"/>
    </row>
    <row r="267" spans="1:26">
      <c r="A267" s="406">
        <v>264</v>
      </c>
      <c r="B267" s="613" t="s">
        <v>3066</v>
      </c>
      <c r="C267" s="288" t="s">
        <v>568</v>
      </c>
      <c r="D267" s="414" t="s">
        <v>3956</v>
      </c>
      <c r="E267" s="407" t="s">
        <v>8169</v>
      </c>
      <c r="F267" s="483"/>
      <c r="G267" s="411"/>
      <c r="H267" s="411"/>
      <c r="I267" s="411"/>
      <c r="J267" s="411"/>
      <c r="K267" s="411"/>
      <c r="L267" s="608" t="s">
        <v>4884</v>
      </c>
      <c r="M267" s="409">
        <v>5549.7755905511813</v>
      </c>
      <c r="N267" s="409">
        <v>5549.7755905511813</v>
      </c>
      <c r="O267" s="410" t="s">
        <v>7573</v>
      </c>
      <c r="P267" s="406">
        <v>264</v>
      </c>
      <c r="Q267" s="470" t="s">
        <v>568</v>
      </c>
      <c r="R267" s="460" t="s">
        <v>569</v>
      </c>
      <c r="S267" s="270" t="s">
        <v>32</v>
      </c>
      <c r="U267" s="471">
        <v>1</v>
      </c>
      <c r="V267" s="471"/>
      <c r="W267" s="471" t="s">
        <v>569</v>
      </c>
      <c r="X267" s="471">
        <v>0</v>
      </c>
      <c r="Y267" s="206"/>
      <c r="Z267" s="206"/>
    </row>
    <row r="268" spans="1:26">
      <c r="A268" s="406">
        <v>265</v>
      </c>
      <c r="B268" s="613" t="s">
        <v>3067</v>
      </c>
      <c r="C268" s="288" t="s">
        <v>570</v>
      </c>
      <c r="D268" s="414" t="s">
        <v>3952</v>
      </c>
      <c r="E268" s="407" t="s">
        <v>8170</v>
      </c>
      <c r="F268" s="483"/>
      <c r="G268" s="411"/>
      <c r="H268" s="411"/>
      <c r="I268" s="411"/>
      <c r="J268" s="411"/>
      <c r="K268" s="411"/>
      <c r="L268" s="608" t="s">
        <v>4884</v>
      </c>
      <c r="M268" s="409">
        <v>5552.2362204724413</v>
      </c>
      <c r="N268" s="409">
        <v>5552.2362204724413</v>
      </c>
      <c r="O268" s="410" t="s">
        <v>7573</v>
      </c>
      <c r="P268" s="406">
        <v>265</v>
      </c>
      <c r="Q268" s="470" t="s">
        <v>570</v>
      </c>
      <c r="R268" s="460" t="s">
        <v>571</v>
      </c>
      <c r="S268" s="270" t="s">
        <v>32</v>
      </c>
      <c r="U268" s="471">
        <v>1</v>
      </c>
      <c r="V268" s="471"/>
      <c r="W268" s="471" t="s">
        <v>571</v>
      </c>
      <c r="X268" s="471">
        <v>0</v>
      </c>
      <c r="Y268" s="206"/>
      <c r="Z268" s="206"/>
    </row>
    <row r="269" spans="1:26">
      <c r="A269" s="406">
        <v>266</v>
      </c>
      <c r="B269" s="613" t="s">
        <v>3068</v>
      </c>
      <c r="C269" s="288" t="s">
        <v>572</v>
      </c>
      <c r="D269" s="414" t="s">
        <v>3985</v>
      </c>
      <c r="E269" s="407" t="s">
        <v>8171</v>
      </c>
      <c r="F269" s="483"/>
      <c r="G269" s="411"/>
      <c r="H269" s="411"/>
      <c r="I269" s="411"/>
      <c r="J269" s="411"/>
      <c r="K269" s="411"/>
      <c r="L269" s="608" t="s">
        <v>4884</v>
      </c>
      <c r="M269" s="409">
        <v>5551.5826771653547</v>
      </c>
      <c r="N269" s="409">
        <v>5551.5826771653547</v>
      </c>
      <c r="O269" s="410" t="s">
        <v>7573</v>
      </c>
      <c r="P269" s="406">
        <v>266</v>
      </c>
      <c r="Q269" s="470" t="s">
        <v>572</v>
      </c>
      <c r="R269" s="460" t="s">
        <v>573</v>
      </c>
      <c r="S269" s="270" t="s">
        <v>32</v>
      </c>
      <c r="U269" s="471">
        <v>1</v>
      </c>
      <c r="V269" s="471"/>
      <c r="W269" s="471" t="s">
        <v>573</v>
      </c>
      <c r="X269" s="471">
        <v>0</v>
      </c>
      <c r="Y269" s="206"/>
      <c r="Z269" s="206"/>
    </row>
    <row r="270" spans="1:26">
      <c r="A270" s="406">
        <v>267</v>
      </c>
      <c r="B270" s="613" t="s">
        <v>3069</v>
      </c>
      <c r="C270" s="288" t="s">
        <v>574</v>
      </c>
      <c r="D270" s="414" t="s">
        <v>3983</v>
      </c>
      <c r="E270" s="407" t="s">
        <v>8172</v>
      </c>
      <c r="F270" s="483"/>
      <c r="G270" s="411"/>
      <c r="H270" s="411"/>
      <c r="I270" s="411"/>
      <c r="J270" s="411"/>
      <c r="K270" s="411"/>
      <c r="L270" s="608" t="s">
        <v>4884</v>
      </c>
      <c r="M270" s="409">
        <v>5552.7362204724413</v>
      </c>
      <c r="N270" s="409">
        <v>5552.7362204724413</v>
      </c>
      <c r="O270" s="410" t="s">
        <v>7573</v>
      </c>
      <c r="P270" s="406">
        <v>267</v>
      </c>
      <c r="Q270" s="470" t="s">
        <v>574</v>
      </c>
      <c r="R270" s="460" t="s">
        <v>575</v>
      </c>
      <c r="S270" s="270" t="s">
        <v>32</v>
      </c>
      <c r="U270" s="471">
        <v>1</v>
      </c>
      <c r="V270" s="471"/>
      <c r="W270" s="471" t="s">
        <v>575</v>
      </c>
      <c r="X270" s="471">
        <v>0</v>
      </c>
      <c r="Y270" s="206"/>
      <c r="Z270" s="206"/>
    </row>
    <row r="271" spans="1:26">
      <c r="A271" s="406">
        <v>268</v>
      </c>
      <c r="B271" s="613" t="s">
        <v>3070</v>
      </c>
      <c r="C271" s="288" t="s">
        <v>576</v>
      </c>
      <c r="D271" s="414" t="s">
        <v>3954</v>
      </c>
      <c r="E271" s="407" t="s">
        <v>8173</v>
      </c>
      <c r="F271" s="483"/>
      <c r="G271" s="411"/>
      <c r="H271" s="411"/>
      <c r="I271" s="411"/>
      <c r="J271" s="411"/>
      <c r="K271" s="411"/>
      <c r="L271" s="608" t="s">
        <v>4884</v>
      </c>
      <c r="M271" s="409">
        <v>5549.3070866141743</v>
      </c>
      <c r="N271" s="409">
        <v>5549.3070866141743</v>
      </c>
      <c r="O271" s="410" t="s">
        <v>7573</v>
      </c>
      <c r="P271" s="406">
        <v>268</v>
      </c>
      <c r="Q271" s="470" t="s">
        <v>576</v>
      </c>
      <c r="R271" s="460" t="s">
        <v>577</v>
      </c>
      <c r="S271" s="270" t="s">
        <v>32</v>
      </c>
      <c r="U271" s="471">
        <v>1</v>
      </c>
      <c r="V271" s="471"/>
      <c r="W271" s="471" t="s">
        <v>577</v>
      </c>
      <c r="X271" s="471">
        <v>0</v>
      </c>
      <c r="Y271" s="206"/>
      <c r="Z271" s="206"/>
    </row>
    <row r="272" spans="1:26">
      <c r="A272" s="406">
        <v>269</v>
      </c>
      <c r="B272" s="613" t="s">
        <v>3071</v>
      </c>
      <c r="C272" s="288" t="s">
        <v>578</v>
      </c>
      <c r="D272" s="414" t="s">
        <v>3982</v>
      </c>
      <c r="E272" s="407" t="s">
        <v>8174</v>
      </c>
      <c r="F272" s="483"/>
      <c r="G272" s="411"/>
      <c r="H272" s="411"/>
      <c r="I272" s="411"/>
      <c r="J272" s="411"/>
      <c r="K272" s="411"/>
      <c r="L272" s="608" t="s">
        <v>4884</v>
      </c>
      <c r="M272" s="409">
        <v>5552.1574803149606</v>
      </c>
      <c r="N272" s="409">
        <v>5552.1574803149606</v>
      </c>
      <c r="O272" s="410" t="s">
        <v>7573</v>
      </c>
      <c r="P272" s="406">
        <v>269</v>
      </c>
      <c r="Q272" s="470" t="s">
        <v>578</v>
      </c>
      <c r="R272" s="460" t="s">
        <v>579</v>
      </c>
      <c r="S272" s="270" t="s">
        <v>32</v>
      </c>
      <c r="U272" s="471">
        <v>1</v>
      </c>
      <c r="V272" s="471"/>
      <c r="W272" s="471" t="s">
        <v>579</v>
      </c>
      <c r="X272" s="471">
        <v>0</v>
      </c>
      <c r="Y272" s="206"/>
      <c r="Z272" s="206"/>
    </row>
    <row r="273" spans="1:26">
      <c r="A273" s="406">
        <v>270</v>
      </c>
      <c r="B273" s="613" t="s">
        <v>3072</v>
      </c>
      <c r="C273" s="288" t="s">
        <v>580</v>
      </c>
      <c r="D273" s="414" t="s">
        <v>3991</v>
      </c>
      <c r="E273" s="407" t="s">
        <v>8175</v>
      </c>
      <c r="F273" s="483"/>
      <c r="G273" s="411"/>
      <c r="H273" s="411"/>
      <c r="I273" s="411"/>
      <c r="J273" s="411"/>
      <c r="K273" s="411"/>
      <c r="L273" s="608" t="s">
        <v>4884</v>
      </c>
      <c r="M273" s="409">
        <v>5318.6732283464571</v>
      </c>
      <c r="N273" s="409">
        <v>5318.6732283464571</v>
      </c>
      <c r="O273" s="410" t="s">
        <v>7573</v>
      </c>
      <c r="P273" s="406">
        <v>270</v>
      </c>
      <c r="Q273" s="470" t="s">
        <v>580</v>
      </c>
      <c r="R273" s="460" t="s">
        <v>581</v>
      </c>
      <c r="S273" s="270" t="s">
        <v>32</v>
      </c>
      <c r="U273" s="471">
        <v>1</v>
      </c>
      <c r="V273" s="471"/>
      <c r="W273" s="471" t="s">
        <v>581</v>
      </c>
      <c r="X273" s="471">
        <v>0</v>
      </c>
      <c r="Y273" s="206"/>
      <c r="Z273" s="206"/>
    </row>
    <row r="274" spans="1:26">
      <c r="A274" s="406">
        <v>271</v>
      </c>
      <c r="B274" s="613" t="s">
        <v>3073</v>
      </c>
      <c r="C274" s="288" t="s">
        <v>582</v>
      </c>
      <c r="D274" s="414" t="s">
        <v>3995</v>
      </c>
      <c r="E274" s="407" t="s">
        <v>8176</v>
      </c>
      <c r="F274" s="483"/>
      <c r="G274" s="411"/>
      <c r="H274" s="411"/>
      <c r="I274" s="411"/>
      <c r="J274" s="411"/>
      <c r="K274" s="411"/>
      <c r="L274" s="608" t="s">
        <v>4884</v>
      </c>
      <c r="M274" s="409">
        <v>5316.1614173228345</v>
      </c>
      <c r="N274" s="409">
        <v>5316.1614173228345</v>
      </c>
      <c r="O274" s="410" t="s">
        <v>7573</v>
      </c>
      <c r="P274" s="406">
        <v>271</v>
      </c>
      <c r="Q274" s="470" t="s">
        <v>582</v>
      </c>
      <c r="R274" s="460" t="s">
        <v>583</v>
      </c>
      <c r="S274" s="270" t="s">
        <v>32</v>
      </c>
      <c r="U274" s="471">
        <v>1</v>
      </c>
      <c r="V274" s="471"/>
      <c r="W274" s="471" t="s">
        <v>583</v>
      </c>
      <c r="X274" s="471">
        <v>0</v>
      </c>
      <c r="Y274" s="206"/>
      <c r="Z274" s="206"/>
    </row>
    <row r="275" spans="1:26">
      <c r="A275" s="406">
        <v>272</v>
      </c>
      <c r="B275" s="613" t="s">
        <v>3074</v>
      </c>
      <c r="C275" s="288" t="s">
        <v>584</v>
      </c>
      <c r="D275" s="414" t="s">
        <v>4067</v>
      </c>
      <c r="E275" s="407" t="s">
        <v>8177</v>
      </c>
      <c r="F275" s="483"/>
      <c r="G275" s="411"/>
      <c r="H275" s="411"/>
      <c r="I275" s="411"/>
      <c r="J275" s="411"/>
      <c r="K275" s="411"/>
      <c r="L275" s="608" t="s">
        <v>4884</v>
      </c>
      <c r="M275" s="409">
        <v>5314.0826771653547</v>
      </c>
      <c r="N275" s="409">
        <v>5314.0826771653547</v>
      </c>
      <c r="O275" s="410" t="s">
        <v>7573</v>
      </c>
      <c r="P275" s="406">
        <v>272</v>
      </c>
      <c r="Q275" s="470" t="s">
        <v>584</v>
      </c>
      <c r="R275" s="460" t="s">
        <v>585</v>
      </c>
      <c r="S275" s="270" t="s">
        <v>32</v>
      </c>
      <c r="U275" s="471">
        <v>1</v>
      </c>
      <c r="V275" s="471"/>
      <c r="W275" s="471" t="s">
        <v>585</v>
      </c>
      <c r="X275" s="471">
        <v>0</v>
      </c>
      <c r="Y275" s="206"/>
      <c r="Z275" s="206"/>
    </row>
    <row r="276" spans="1:26">
      <c r="A276" s="406">
        <v>273</v>
      </c>
      <c r="B276" s="613" t="s">
        <v>3075</v>
      </c>
      <c r="C276" s="288" t="s">
        <v>586</v>
      </c>
      <c r="D276" s="414" t="s">
        <v>3994</v>
      </c>
      <c r="E276" s="407" t="s">
        <v>8178</v>
      </c>
      <c r="F276" s="483"/>
      <c r="G276" s="411"/>
      <c r="H276" s="411"/>
      <c r="I276" s="411"/>
      <c r="J276" s="411"/>
      <c r="K276" s="411"/>
      <c r="L276" s="608" t="s">
        <v>4884</v>
      </c>
      <c r="M276" s="409">
        <v>5312.8897637795271</v>
      </c>
      <c r="N276" s="409">
        <v>5312.8897637795271</v>
      </c>
      <c r="O276" s="410" t="s">
        <v>7573</v>
      </c>
      <c r="P276" s="406">
        <v>273</v>
      </c>
      <c r="Q276" s="470" t="s">
        <v>586</v>
      </c>
      <c r="R276" s="460" t="s">
        <v>587</v>
      </c>
      <c r="S276" s="270" t="s">
        <v>32</v>
      </c>
      <c r="U276" s="471">
        <v>1</v>
      </c>
      <c r="V276" s="471"/>
      <c r="W276" s="471" t="s">
        <v>587</v>
      </c>
      <c r="X276" s="471">
        <v>0</v>
      </c>
      <c r="Y276" s="206"/>
      <c r="Z276" s="206"/>
    </row>
    <row r="277" spans="1:26">
      <c r="A277" s="406">
        <v>274</v>
      </c>
      <c r="B277" s="613" t="s">
        <v>3076</v>
      </c>
      <c r="C277" s="288" t="s">
        <v>588</v>
      </c>
      <c r="D277" s="414" t="s">
        <v>3993</v>
      </c>
      <c r="E277" s="407" t="s">
        <v>8179</v>
      </c>
      <c r="F277" s="483"/>
      <c r="G277" s="411"/>
      <c r="H277" s="411"/>
      <c r="I277" s="411"/>
      <c r="J277" s="411"/>
      <c r="K277" s="411"/>
      <c r="L277" s="608" t="s">
        <v>4884</v>
      </c>
      <c r="M277" s="409">
        <v>5317.751968503937</v>
      </c>
      <c r="N277" s="409">
        <v>5317.751968503937</v>
      </c>
      <c r="O277" s="410" t="s">
        <v>7573</v>
      </c>
      <c r="P277" s="406">
        <v>274</v>
      </c>
      <c r="Q277" s="470" t="s">
        <v>588</v>
      </c>
      <c r="R277" s="460" t="s">
        <v>589</v>
      </c>
      <c r="S277" s="270" t="s">
        <v>32</v>
      </c>
      <c r="U277" s="471">
        <v>1</v>
      </c>
      <c r="V277" s="471"/>
      <c r="W277" s="471" t="s">
        <v>589</v>
      </c>
      <c r="X277" s="471">
        <v>0</v>
      </c>
      <c r="Y277" s="206"/>
      <c r="Z277" s="206"/>
    </row>
    <row r="278" spans="1:26">
      <c r="A278" s="406">
        <v>275</v>
      </c>
      <c r="B278" s="613" t="s">
        <v>3077</v>
      </c>
      <c r="C278" s="288" t="s">
        <v>590</v>
      </c>
      <c r="D278" s="414" t="s">
        <v>4021</v>
      </c>
      <c r="E278" s="407" t="s">
        <v>8180</v>
      </c>
      <c r="F278" s="483"/>
      <c r="G278" s="411"/>
      <c r="H278" s="411"/>
      <c r="I278" s="411"/>
      <c r="J278" s="411"/>
      <c r="K278" s="411"/>
      <c r="L278" s="608" t="s">
        <v>4884</v>
      </c>
      <c r="M278" s="409">
        <v>5315.3858267716532</v>
      </c>
      <c r="N278" s="409">
        <v>5315.3858267716532</v>
      </c>
      <c r="O278" s="410" t="s">
        <v>7573</v>
      </c>
      <c r="P278" s="406">
        <v>275</v>
      </c>
      <c r="Q278" s="470" t="s">
        <v>590</v>
      </c>
      <c r="R278" s="460" t="s">
        <v>591</v>
      </c>
      <c r="S278" s="270" t="s">
        <v>32</v>
      </c>
      <c r="U278" s="471">
        <v>1</v>
      </c>
      <c r="V278" s="471"/>
      <c r="W278" s="471" t="s">
        <v>591</v>
      </c>
      <c r="X278" s="471">
        <v>0</v>
      </c>
      <c r="Y278" s="206"/>
      <c r="Z278" s="206"/>
    </row>
    <row r="279" spans="1:26">
      <c r="A279" s="406">
        <v>276</v>
      </c>
      <c r="B279" s="613" t="s">
        <v>3078</v>
      </c>
      <c r="C279" s="288" t="s">
        <v>592</v>
      </c>
      <c r="D279" s="414" t="s">
        <v>4039</v>
      </c>
      <c r="E279" s="407" t="s">
        <v>8181</v>
      </c>
      <c r="F279" s="483"/>
      <c r="G279" s="411"/>
      <c r="H279" s="411"/>
      <c r="I279" s="411"/>
      <c r="J279" s="411"/>
      <c r="K279" s="411"/>
      <c r="L279" s="608" t="s">
        <v>4884</v>
      </c>
      <c r="M279" s="409">
        <v>5311.5748031496059</v>
      </c>
      <c r="N279" s="409">
        <v>5311.5748031496059</v>
      </c>
      <c r="O279" s="410" t="s">
        <v>7573</v>
      </c>
      <c r="P279" s="406">
        <v>276</v>
      </c>
      <c r="Q279" s="470" t="s">
        <v>592</v>
      </c>
      <c r="R279" s="460" t="s">
        <v>593</v>
      </c>
      <c r="S279" s="270" t="s">
        <v>32</v>
      </c>
      <c r="U279" s="471">
        <v>1</v>
      </c>
      <c r="V279" s="471"/>
      <c r="W279" s="471" t="s">
        <v>593</v>
      </c>
      <c r="X279" s="471">
        <v>0</v>
      </c>
      <c r="Y279" s="206"/>
      <c r="Z279" s="206"/>
    </row>
    <row r="280" spans="1:26">
      <c r="A280" s="406">
        <v>277</v>
      </c>
      <c r="B280" s="613" t="s">
        <v>3079</v>
      </c>
      <c r="C280" s="288" t="s">
        <v>594</v>
      </c>
      <c r="D280" s="414" t="s">
        <v>4037</v>
      </c>
      <c r="E280" s="407" t="s">
        <v>8182</v>
      </c>
      <c r="F280" s="483"/>
      <c r="G280" s="411"/>
      <c r="H280" s="411"/>
      <c r="I280" s="411"/>
      <c r="J280" s="411"/>
      <c r="K280" s="411"/>
      <c r="L280" s="608" t="s">
        <v>4884</v>
      </c>
      <c r="M280" s="409">
        <v>5317.2047244094483</v>
      </c>
      <c r="N280" s="409">
        <v>5317.2047244094483</v>
      </c>
      <c r="O280" s="410" t="s">
        <v>7573</v>
      </c>
      <c r="P280" s="406">
        <v>277</v>
      </c>
      <c r="Q280" s="470" t="s">
        <v>594</v>
      </c>
      <c r="R280" s="460" t="s">
        <v>595</v>
      </c>
      <c r="S280" s="270" t="s">
        <v>32</v>
      </c>
      <c r="U280" s="471">
        <v>1</v>
      </c>
      <c r="V280" s="471"/>
      <c r="W280" s="471" t="s">
        <v>595</v>
      </c>
      <c r="X280" s="471">
        <v>0</v>
      </c>
      <c r="Y280" s="206"/>
      <c r="Z280" s="206"/>
    </row>
    <row r="281" spans="1:26">
      <c r="A281" s="406">
        <v>278</v>
      </c>
      <c r="B281" s="613" t="s">
        <v>3080</v>
      </c>
      <c r="C281" s="288" t="s">
        <v>596</v>
      </c>
      <c r="D281" s="414" t="s">
        <v>4027</v>
      </c>
      <c r="E281" s="407" t="s">
        <v>8183</v>
      </c>
      <c r="F281" s="483"/>
      <c r="G281" s="411"/>
      <c r="H281" s="411"/>
      <c r="I281" s="411"/>
      <c r="J281" s="411"/>
      <c r="K281" s="411"/>
      <c r="L281" s="608" t="s">
        <v>4884</v>
      </c>
      <c r="M281" s="409">
        <v>6377.0118110236226</v>
      </c>
      <c r="N281" s="409">
        <v>6377.0118110236226</v>
      </c>
      <c r="O281" s="410" t="s">
        <v>7574</v>
      </c>
      <c r="P281" s="406">
        <v>278</v>
      </c>
      <c r="Q281" s="470" t="s">
        <v>596</v>
      </c>
      <c r="R281" s="460" t="s">
        <v>597</v>
      </c>
      <c r="S281" s="270" t="s">
        <v>32</v>
      </c>
      <c r="U281" s="471">
        <v>1</v>
      </c>
      <c r="V281" s="471"/>
      <c r="W281" s="471" t="s">
        <v>597</v>
      </c>
      <c r="X281" s="471">
        <v>0</v>
      </c>
      <c r="Y281" s="206"/>
      <c r="Z281" s="206"/>
    </row>
    <row r="282" spans="1:26">
      <c r="A282" s="406">
        <v>279</v>
      </c>
      <c r="B282" s="613" t="s">
        <v>3081</v>
      </c>
      <c r="C282" s="288" t="s">
        <v>598</v>
      </c>
      <c r="D282" s="414" t="s">
        <v>4044</v>
      </c>
      <c r="E282" s="407" t="s">
        <v>8184</v>
      </c>
      <c r="F282" s="483"/>
      <c r="G282" s="411"/>
      <c r="H282" s="411"/>
      <c r="I282" s="411"/>
      <c r="J282" s="411"/>
      <c r="K282" s="411"/>
      <c r="L282" s="608" t="s">
        <v>4884</v>
      </c>
      <c r="M282" s="409">
        <v>6380.3661417322837</v>
      </c>
      <c r="N282" s="409">
        <v>6380.3661417322837</v>
      </c>
      <c r="O282" s="410" t="s">
        <v>7574</v>
      </c>
      <c r="P282" s="406">
        <v>279</v>
      </c>
      <c r="Q282" s="470" t="s">
        <v>598</v>
      </c>
      <c r="R282" s="460" t="s">
        <v>599</v>
      </c>
      <c r="S282" s="270" t="s">
        <v>32</v>
      </c>
      <c r="U282" s="471">
        <v>1</v>
      </c>
      <c r="V282" s="471"/>
      <c r="W282" s="471" t="s">
        <v>599</v>
      </c>
      <c r="X282" s="471">
        <v>0</v>
      </c>
      <c r="Y282" s="206"/>
      <c r="Z282" s="206"/>
    </row>
    <row r="283" spans="1:26">
      <c r="A283" s="406">
        <v>280</v>
      </c>
      <c r="B283" s="613" t="s">
        <v>3082</v>
      </c>
      <c r="C283" s="288" t="s">
        <v>600</v>
      </c>
      <c r="D283" s="414" t="s">
        <v>4110</v>
      </c>
      <c r="E283" s="407" t="s">
        <v>8185</v>
      </c>
      <c r="F283" s="483"/>
      <c r="G283" s="411"/>
      <c r="H283" s="411"/>
      <c r="I283" s="411"/>
      <c r="J283" s="411"/>
      <c r="K283" s="411"/>
      <c r="L283" s="608" t="s">
        <v>4884</v>
      </c>
      <c r="M283" s="409">
        <v>6379.177165354331</v>
      </c>
      <c r="N283" s="409">
        <v>6379.177165354331</v>
      </c>
      <c r="O283" s="410" t="s">
        <v>7574</v>
      </c>
      <c r="P283" s="406">
        <v>280</v>
      </c>
      <c r="Q283" s="470" t="s">
        <v>600</v>
      </c>
      <c r="R283" s="460" t="s">
        <v>601</v>
      </c>
      <c r="S283" s="270" t="s">
        <v>32</v>
      </c>
      <c r="U283" s="471">
        <v>1</v>
      </c>
      <c r="V283" s="471"/>
      <c r="W283" s="471" t="s">
        <v>601</v>
      </c>
      <c r="X283" s="471">
        <v>0</v>
      </c>
      <c r="Y283" s="206"/>
      <c r="Z283" s="206"/>
    </row>
    <row r="284" spans="1:26">
      <c r="A284" s="406">
        <v>281</v>
      </c>
      <c r="B284" s="613" t="s">
        <v>3083</v>
      </c>
      <c r="C284" s="288" t="s">
        <v>602</v>
      </c>
      <c r="D284" s="414" t="s">
        <v>4101</v>
      </c>
      <c r="E284" s="407" t="s">
        <v>8186</v>
      </c>
      <c r="F284" s="483"/>
      <c r="G284" s="411"/>
      <c r="H284" s="411"/>
      <c r="I284" s="411"/>
      <c r="J284" s="411"/>
      <c r="K284" s="411"/>
      <c r="L284" s="608" t="s">
        <v>4884</v>
      </c>
      <c r="M284" s="409">
        <v>6377.1574803149615</v>
      </c>
      <c r="N284" s="409">
        <v>6377.1574803149615</v>
      </c>
      <c r="O284" s="410" t="s">
        <v>7574</v>
      </c>
      <c r="P284" s="406">
        <v>281</v>
      </c>
      <c r="Q284" s="470" t="s">
        <v>602</v>
      </c>
      <c r="R284" s="460" t="s">
        <v>603</v>
      </c>
      <c r="S284" s="270" t="s">
        <v>32</v>
      </c>
      <c r="U284" s="471">
        <v>1</v>
      </c>
      <c r="V284" s="471"/>
      <c r="W284" s="471" t="s">
        <v>603</v>
      </c>
      <c r="X284" s="471">
        <v>0</v>
      </c>
      <c r="Y284" s="206"/>
      <c r="Z284" s="206"/>
    </row>
    <row r="285" spans="1:26">
      <c r="A285" s="406">
        <v>282</v>
      </c>
      <c r="B285" s="613" t="s">
        <v>3084</v>
      </c>
      <c r="C285" s="288" t="s">
        <v>604</v>
      </c>
      <c r="D285" s="414" t="s">
        <v>4029</v>
      </c>
      <c r="E285" s="407" t="s">
        <v>8187</v>
      </c>
      <c r="F285" s="483"/>
      <c r="G285" s="411"/>
      <c r="H285" s="411"/>
      <c r="I285" s="411"/>
      <c r="J285" s="411"/>
      <c r="K285" s="411"/>
      <c r="L285" s="608" t="s">
        <v>4884</v>
      </c>
      <c r="M285" s="409">
        <v>6377.7007874015744</v>
      </c>
      <c r="N285" s="409">
        <v>6377.7007874015744</v>
      </c>
      <c r="O285" s="410" t="s">
        <v>7574</v>
      </c>
      <c r="P285" s="406">
        <v>282</v>
      </c>
      <c r="Q285" s="470" t="s">
        <v>604</v>
      </c>
      <c r="R285" s="460" t="s">
        <v>605</v>
      </c>
      <c r="S285" s="270" t="s">
        <v>32</v>
      </c>
      <c r="U285" s="471">
        <v>1</v>
      </c>
      <c r="V285" s="471"/>
      <c r="W285" s="471" t="s">
        <v>605</v>
      </c>
      <c r="X285" s="471">
        <v>0</v>
      </c>
      <c r="Y285" s="206"/>
      <c r="Z285" s="206"/>
    </row>
    <row r="286" spans="1:26">
      <c r="A286" s="406">
        <v>283</v>
      </c>
      <c r="B286" s="613" t="s">
        <v>3085</v>
      </c>
      <c r="C286" s="288" t="s">
        <v>606</v>
      </c>
      <c r="D286" s="414" t="s">
        <v>4069</v>
      </c>
      <c r="E286" s="407" t="s">
        <v>8188</v>
      </c>
      <c r="F286" s="483"/>
      <c r="G286" s="411"/>
      <c r="H286" s="411"/>
      <c r="I286" s="411"/>
      <c r="J286" s="411"/>
      <c r="K286" s="411"/>
      <c r="L286" s="608" t="s">
        <v>4884</v>
      </c>
      <c r="M286" s="409">
        <v>6378.9055118110246</v>
      </c>
      <c r="N286" s="409">
        <v>6378.9055118110246</v>
      </c>
      <c r="O286" s="410" t="s">
        <v>7574</v>
      </c>
      <c r="P286" s="406">
        <v>283</v>
      </c>
      <c r="Q286" s="470" t="s">
        <v>606</v>
      </c>
      <c r="R286" s="460" t="s">
        <v>607</v>
      </c>
      <c r="S286" s="270" t="s">
        <v>32</v>
      </c>
      <c r="U286" s="471">
        <v>1</v>
      </c>
      <c r="V286" s="471"/>
      <c r="W286" s="471" t="s">
        <v>607</v>
      </c>
      <c r="X286" s="471">
        <v>0</v>
      </c>
      <c r="Y286" s="206"/>
      <c r="Z286" s="206"/>
    </row>
    <row r="287" spans="1:26">
      <c r="A287" s="406">
        <v>284</v>
      </c>
      <c r="B287" s="613" t="s">
        <v>3086</v>
      </c>
      <c r="C287" s="288" t="s">
        <v>608</v>
      </c>
      <c r="D287" s="414" t="s">
        <v>4071</v>
      </c>
      <c r="E287" s="407" t="s">
        <v>8189</v>
      </c>
      <c r="F287" s="483"/>
      <c r="G287" s="411"/>
      <c r="H287" s="411"/>
      <c r="I287" s="411"/>
      <c r="J287" s="411"/>
      <c r="K287" s="411"/>
      <c r="L287" s="608" t="s">
        <v>4884</v>
      </c>
      <c r="M287" s="409">
        <v>6378.0078740157478</v>
      </c>
      <c r="N287" s="409">
        <v>6378.0078740157478</v>
      </c>
      <c r="O287" s="410" t="s">
        <v>7574</v>
      </c>
      <c r="P287" s="406">
        <v>284</v>
      </c>
      <c r="Q287" s="470" t="s">
        <v>608</v>
      </c>
      <c r="R287" s="460" t="s">
        <v>609</v>
      </c>
      <c r="S287" s="270" t="s">
        <v>32</v>
      </c>
      <c r="U287" s="471">
        <v>1</v>
      </c>
      <c r="V287" s="471"/>
      <c r="W287" s="471" t="s">
        <v>609</v>
      </c>
      <c r="X287" s="471">
        <v>0</v>
      </c>
      <c r="Y287" s="206"/>
      <c r="Z287" s="206"/>
    </row>
    <row r="288" spans="1:26">
      <c r="A288" s="406">
        <v>285</v>
      </c>
      <c r="B288" s="613" t="s">
        <v>3087</v>
      </c>
      <c r="C288" s="288" t="s">
        <v>610</v>
      </c>
      <c r="D288" s="414" t="s">
        <v>4113</v>
      </c>
      <c r="E288" s="407" t="s">
        <v>8190</v>
      </c>
      <c r="F288" s="483"/>
      <c r="G288" s="483"/>
      <c r="H288" s="411"/>
      <c r="I288" s="411"/>
      <c r="J288" s="411"/>
      <c r="K288" s="411"/>
      <c r="L288" s="608" t="s">
        <v>4884</v>
      </c>
      <c r="M288" s="409">
        <v>6378.8031496062995</v>
      </c>
      <c r="N288" s="409">
        <v>6378.8031496062995</v>
      </c>
      <c r="O288" s="410" t="s">
        <v>7574</v>
      </c>
      <c r="P288" s="406">
        <v>285</v>
      </c>
      <c r="Q288" s="470" t="s">
        <v>610</v>
      </c>
      <c r="R288" s="460" t="s">
        <v>611</v>
      </c>
      <c r="S288" s="270" t="s">
        <v>32</v>
      </c>
      <c r="U288" s="471">
        <v>1</v>
      </c>
      <c r="V288" s="471"/>
      <c r="W288" s="471" t="s">
        <v>611</v>
      </c>
      <c r="X288" s="471">
        <v>0</v>
      </c>
      <c r="Y288" s="206"/>
      <c r="Z288" s="206"/>
    </row>
    <row r="289" spans="1:26">
      <c r="A289" s="406">
        <v>286</v>
      </c>
      <c r="B289" s="613" t="s">
        <v>3088</v>
      </c>
      <c r="C289" s="288" t="s">
        <v>612</v>
      </c>
      <c r="D289" s="414" t="s">
        <v>4105</v>
      </c>
      <c r="E289" s="407" t="s">
        <v>8191</v>
      </c>
      <c r="F289" s="483"/>
      <c r="G289" s="483"/>
      <c r="H289" s="483"/>
      <c r="I289" s="483"/>
      <c r="J289" s="483"/>
      <c r="K289" s="483"/>
      <c r="L289" s="608" t="s">
        <v>4884</v>
      </c>
      <c r="M289" s="409">
        <v>5195.3937007874019</v>
      </c>
      <c r="N289" s="409">
        <v>5195.3937007874019</v>
      </c>
      <c r="O289" s="410" t="s">
        <v>7572</v>
      </c>
      <c r="P289" s="406">
        <v>286</v>
      </c>
      <c r="Q289" s="470" t="s">
        <v>612</v>
      </c>
      <c r="R289" s="460" t="s">
        <v>613</v>
      </c>
      <c r="S289" s="270" t="s">
        <v>32</v>
      </c>
      <c r="U289" s="471">
        <v>1</v>
      </c>
      <c r="V289" s="471"/>
      <c r="W289" s="471" t="s">
        <v>613</v>
      </c>
      <c r="X289" s="471">
        <v>0</v>
      </c>
      <c r="Y289" s="206"/>
      <c r="Z289" s="206"/>
    </row>
    <row r="290" spans="1:26">
      <c r="A290" s="406">
        <v>287</v>
      </c>
      <c r="B290" s="613" t="s">
        <v>3089</v>
      </c>
      <c r="C290" s="288" t="s">
        <v>614</v>
      </c>
      <c r="D290" s="414" t="s">
        <v>4103</v>
      </c>
      <c r="E290" s="407" t="s">
        <v>8192</v>
      </c>
      <c r="F290" s="483"/>
      <c r="G290" s="483"/>
      <c r="H290" s="483"/>
      <c r="I290" s="483"/>
      <c r="J290" s="483"/>
      <c r="K290" s="483"/>
      <c r="L290" s="608" t="s">
        <v>4884</v>
      </c>
      <c r="M290" s="409">
        <v>5201.106299212599</v>
      </c>
      <c r="N290" s="409">
        <v>5201.106299212599</v>
      </c>
      <c r="O290" s="410" t="s">
        <v>7572</v>
      </c>
      <c r="P290" s="406">
        <v>287</v>
      </c>
      <c r="Q290" s="470" t="s">
        <v>614</v>
      </c>
      <c r="R290" s="460" t="s">
        <v>615</v>
      </c>
      <c r="S290" s="270" t="s">
        <v>32</v>
      </c>
      <c r="U290" s="471">
        <v>1</v>
      </c>
      <c r="V290" s="471"/>
      <c r="W290" s="471" t="s">
        <v>615</v>
      </c>
      <c r="X290" s="471">
        <v>0</v>
      </c>
      <c r="Y290" s="206"/>
      <c r="Z290" s="206"/>
    </row>
    <row r="291" spans="1:26">
      <c r="A291" s="406">
        <v>288</v>
      </c>
      <c r="B291" s="613" t="s">
        <v>3090</v>
      </c>
      <c r="C291" s="288" t="s">
        <v>616</v>
      </c>
      <c r="D291" s="414" t="s">
        <v>4087</v>
      </c>
      <c r="E291" s="407" t="s">
        <v>8193</v>
      </c>
      <c r="F291" s="483"/>
      <c r="G291" s="483"/>
      <c r="H291" s="411"/>
      <c r="I291" s="411"/>
      <c r="J291" s="411"/>
      <c r="K291" s="411"/>
      <c r="L291" s="608" t="s">
        <v>4884</v>
      </c>
      <c r="M291" s="409">
        <v>5192.1732283464571</v>
      </c>
      <c r="N291" s="409">
        <v>5192.1732283464571</v>
      </c>
      <c r="O291" s="410" t="s">
        <v>7572</v>
      </c>
      <c r="P291" s="406">
        <v>288</v>
      </c>
      <c r="Q291" s="470" t="s">
        <v>616</v>
      </c>
      <c r="R291" s="460" t="s">
        <v>617</v>
      </c>
      <c r="S291" s="270" t="s">
        <v>32</v>
      </c>
      <c r="U291" s="471">
        <v>1</v>
      </c>
      <c r="V291" s="471"/>
      <c r="W291" s="471" t="s">
        <v>617</v>
      </c>
      <c r="X291" s="471">
        <v>0</v>
      </c>
      <c r="Y291" s="206"/>
      <c r="Z291" s="206"/>
    </row>
    <row r="292" spans="1:26">
      <c r="A292" s="406">
        <v>289</v>
      </c>
      <c r="B292" s="613" t="s">
        <v>3091</v>
      </c>
      <c r="C292" s="288" t="s">
        <v>618</v>
      </c>
      <c r="D292" s="414" t="s">
        <v>4085</v>
      </c>
      <c r="E292" s="407" t="s">
        <v>8194</v>
      </c>
      <c r="F292" s="483"/>
      <c r="G292" s="483"/>
      <c r="H292" s="411"/>
      <c r="I292" s="411"/>
      <c r="J292" s="411"/>
      <c r="K292" s="411"/>
      <c r="L292" s="608" t="s">
        <v>4884</v>
      </c>
      <c r="M292" s="409">
        <v>5199.5</v>
      </c>
      <c r="N292" s="409">
        <v>5199.5</v>
      </c>
      <c r="O292" s="410" t="s">
        <v>7572</v>
      </c>
      <c r="P292" s="406">
        <v>289</v>
      </c>
      <c r="Q292" s="470" t="s">
        <v>618</v>
      </c>
      <c r="R292" s="460" t="s">
        <v>619</v>
      </c>
      <c r="S292" s="270" t="s">
        <v>32</v>
      </c>
      <c r="U292" s="471">
        <v>1</v>
      </c>
      <c r="V292" s="471"/>
      <c r="W292" s="471" t="s">
        <v>619</v>
      </c>
      <c r="X292" s="471">
        <v>0</v>
      </c>
      <c r="Y292" s="206"/>
      <c r="Z292" s="206"/>
    </row>
    <row r="293" spans="1:26">
      <c r="A293" s="406">
        <v>290</v>
      </c>
      <c r="B293" s="613" t="s">
        <v>3092</v>
      </c>
      <c r="C293" s="288" t="s">
        <v>620</v>
      </c>
      <c r="D293" s="414" t="s">
        <v>4107</v>
      </c>
      <c r="E293" s="407" t="s">
        <v>8195</v>
      </c>
      <c r="F293" s="483"/>
      <c r="G293" s="483"/>
      <c r="H293" s="411"/>
      <c r="I293" s="411"/>
      <c r="J293" s="411"/>
      <c r="K293" s="411"/>
      <c r="L293" s="608" t="s">
        <v>4884</v>
      </c>
      <c r="M293" s="409">
        <v>5189.6811023622049</v>
      </c>
      <c r="N293" s="409">
        <v>5189.6811023622049</v>
      </c>
      <c r="O293" s="410" t="s">
        <v>7572</v>
      </c>
      <c r="P293" s="406">
        <v>290</v>
      </c>
      <c r="Q293" s="470" t="s">
        <v>620</v>
      </c>
      <c r="R293" s="460" t="s">
        <v>621</v>
      </c>
      <c r="S293" s="270" t="s">
        <v>32</v>
      </c>
      <c r="U293" s="471">
        <v>1</v>
      </c>
      <c r="V293" s="471"/>
      <c r="W293" s="471" t="s">
        <v>621</v>
      </c>
      <c r="X293" s="471">
        <v>0</v>
      </c>
      <c r="Y293" s="206"/>
      <c r="Z293" s="206"/>
    </row>
    <row r="294" spans="1:26">
      <c r="A294" s="406">
        <v>291</v>
      </c>
      <c r="B294" s="613" t="s">
        <v>3093</v>
      </c>
      <c r="C294" s="288" t="s">
        <v>622</v>
      </c>
      <c r="D294" s="414" t="s">
        <v>4046</v>
      </c>
      <c r="E294" s="407" t="s">
        <v>8196</v>
      </c>
      <c r="F294" s="483"/>
      <c r="G294" s="483"/>
      <c r="H294" s="483"/>
      <c r="I294" s="483"/>
      <c r="J294" s="483"/>
      <c r="K294" s="483"/>
      <c r="L294" s="608" t="s">
        <v>4884</v>
      </c>
      <c r="M294" s="409">
        <v>5189.1299212598424</v>
      </c>
      <c r="N294" s="409">
        <v>5189.1299212598424</v>
      </c>
      <c r="O294" s="410" t="s">
        <v>7572</v>
      </c>
      <c r="P294" s="406">
        <v>291</v>
      </c>
      <c r="Q294" s="470" t="s">
        <v>622</v>
      </c>
      <c r="R294" s="460" t="s">
        <v>623</v>
      </c>
      <c r="S294" s="270" t="s">
        <v>32</v>
      </c>
      <c r="U294" s="471">
        <v>1</v>
      </c>
      <c r="V294" s="471"/>
      <c r="W294" s="471" t="s">
        <v>623</v>
      </c>
      <c r="X294" s="471">
        <v>0</v>
      </c>
      <c r="Y294" s="206"/>
      <c r="Z294" s="206"/>
    </row>
    <row r="295" spans="1:26">
      <c r="A295" s="406">
        <v>292</v>
      </c>
      <c r="B295" s="613" t="s">
        <v>3094</v>
      </c>
      <c r="C295" s="288" t="s">
        <v>624</v>
      </c>
      <c r="D295" s="414" t="s">
        <v>4088</v>
      </c>
      <c r="E295" s="407" t="s">
        <v>8197</v>
      </c>
      <c r="F295" s="483"/>
      <c r="G295" s="483"/>
      <c r="H295" s="483"/>
      <c r="I295" s="483"/>
      <c r="J295" s="483"/>
      <c r="K295" s="483"/>
      <c r="L295" s="608" t="s">
        <v>4884</v>
      </c>
      <c r="M295" s="409">
        <v>5204.2755905511813</v>
      </c>
      <c r="N295" s="409">
        <v>5204.2755905511813</v>
      </c>
      <c r="O295" s="410" t="s">
        <v>7572</v>
      </c>
      <c r="P295" s="406">
        <v>292</v>
      </c>
      <c r="Q295" s="470" t="s">
        <v>624</v>
      </c>
      <c r="R295" s="460" t="s">
        <v>625</v>
      </c>
      <c r="S295" s="270" t="s">
        <v>32</v>
      </c>
      <c r="U295" s="471">
        <v>1</v>
      </c>
      <c r="V295" s="471"/>
      <c r="W295" s="471" t="s">
        <v>625</v>
      </c>
      <c r="X295" s="471">
        <v>0</v>
      </c>
      <c r="Y295" s="206"/>
      <c r="Z295" s="206"/>
    </row>
    <row r="296" spans="1:26">
      <c r="A296" s="406">
        <v>293</v>
      </c>
      <c r="B296" s="613" t="s">
        <v>3095</v>
      </c>
      <c r="C296" s="288" t="s">
        <v>626</v>
      </c>
      <c r="D296" s="414" t="s">
        <v>4090</v>
      </c>
      <c r="E296" s="407" t="s">
        <v>8198</v>
      </c>
      <c r="F296" s="483"/>
      <c r="G296" s="483"/>
      <c r="H296" s="483"/>
      <c r="I296" s="483"/>
      <c r="J296" s="483"/>
      <c r="K296" s="483"/>
      <c r="L296" s="608" t="s">
        <v>4884</v>
      </c>
      <c r="M296" s="409">
        <v>5190.5590551181112</v>
      </c>
      <c r="N296" s="409">
        <v>5190.5590551181112</v>
      </c>
      <c r="O296" s="410" t="s">
        <v>7572</v>
      </c>
      <c r="P296" s="406">
        <v>293</v>
      </c>
      <c r="Q296" s="470" t="s">
        <v>626</v>
      </c>
      <c r="R296" s="460" t="s">
        <v>627</v>
      </c>
      <c r="S296" s="270" t="s">
        <v>32</v>
      </c>
      <c r="U296" s="471">
        <v>1</v>
      </c>
      <c r="V296" s="471"/>
      <c r="W296" s="471" t="s">
        <v>627</v>
      </c>
      <c r="X296" s="471">
        <v>0</v>
      </c>
      <c r="Y296" s="206"/>
      <c r="Z296" s="206"/>
    </row>
    <row r="297" spans="1:26">
      <c r="A297" s="406">
        <v>294</v>
      </c>
      <c r="B297" s="613" t="s">
        <v>3096</v>
      </c>
      <c r="C297" s="288" t="s">
        <v>628</v>
      </c>
      <c r="D297" s="414" t="s">
        <v>4077</v>
      </c>
      <c r="E297" s="407" t="s">
        <v>8199</v>
      </c>
      <c r="F297" s="483"/>
      <c r="G297" s="483"/>
      <c r="H297" s="411"/>
      <c r="I297" s="411"/>
      <c r="J297" s="411"/>
      <c r="K297" s="411"/>
      <c r="L297" s="608" t="s">
        <v>4884</v>
      </c>
      <c r="M297" s="409">
        <v>6305.6929133858275</v>
      </c>
      <c r="N297" s="409">
        <v>6305.6929133858275</v>
      </c>
      <c r="O297" s="410" t="s">
        <v>7573</v>
      </c>
      <c r="P297" s="406">
        <v>294</v>
      </c>
      <c r="Q297" s="470" t="s">
        <v>628</v>
      </c>
      <c r="R297" s="460" t="s">
        <v>629</v>
      </c>
      <c r="S297" s="270" t="s">
        <v>32</v>
      </c>
      <c r="U297" s="471">
        <v>1</v>
      </c>
      <c r="V297" s="471"/>
      <c r="W297" s="471" t="s">
        <v>629</v>
      </c>
      <c r="X297" s="471">
        <v>0</v>
      </c>
      <c r="Y297" s="206"/>
      <c r="Z297" s="206"/>
    </row>
    <row r="298" spans="1:26">
      <c r="A298" s="406">
        <v>295</v>
      </c>
      <c r="B298" s="613" t="s">
        <v>3097</v>
      </c>
      <c r="C298" s="288" t="s">
        <v>630</v>
      </c>
      <c r="D298" s="414" t="s">
        <v>4080</v>
      </c>
      <c r="E298" s="407" t="s">
        <v>8200</v>
      </c>
      <c r="F298" s="483"/>
      <c r="G298" s="483"/>
      <c r="H298" s="483"/>
      <c r="I298" s="483"/>
      <c r="J298" s="483"/>
      <c r="K298" s="483"/>
      <c r="L298" s="608" t="s">
        <v>4884</v>
      </c>
      <c r="M298" s="409">
        <v>6300.7992125984256</v>
      </c>
      <c r="N298" s="409">
        <v>6300.7992125984256</v>
      </c>
      <c r="O298" s="410" t="s">
        <v>7573</v>
      </c>
      <c r="P298" s="406">
        <v>295</v>
      </c>
      <c r="Q298" s="470" t="s">
        <v>630</v>
      </c>
      <c r="R298" s="460" t="s">
        <v>631</v>
      </c>
      <c r="S298" s="270" t="s">
        <v>32</v>
      </c>
      <c r="U298" s="471">
        <v>1</v>
      </c>
      <c r="V298" s="471"/>
      <c r="W298" s="471" t="s">
        <v>631</v>
      </c>
      <c r="X298" s="471">
        <v>0</v>
      </c>
      <c r="Y298" s="206"/>
      <c r="Z298" s="206"/>
    </row>
    <row r="299" spans="1:26">
      <c r="A299" s="406">
        <v>296</v>
      </c>
      <c r="B299" s="613" t="s">
        <v>3098</v>
      </c>
      <c r="C299" s="288" t="s">
        <v>632</v>
      </c>
      <c r="D299" s="414" t="s">
        <v>4078</v>
      </c>
      <c r="E299" s="407" t="s">
        <v>8201</v>
      </c>
      <c r="F299" s="483"/>
      <c r="G299" s="483"/>
      <c r="H299" s="483"/>
      <c r="I299" s="483"/>
      <c r="J299" s="483"/>
      <c r="K299" s="483"/>
      <c r="L299" s="608" t="s">
        <v>4884</v>
      </c>
      <c r="M299" s="409">
        <v>6299.8858267716541</v>
      </c>
      <c r="N299" s="409">
        <v>6299.8858267716541</v>
      </c>
      <c r="O299" s="410" t="s">
        <v>7573</v>
      </c>
      <c r="P299" s="406">
        <v>296</v>
      </c>
      <c r="Q299" s="470" t="s">
        <v>632</v>
      </c>
      <c r="R299" s="460" t="s">
        <v>633</v>
      </c>
      <c r="S299" s="270" t="s">
        <v>32</v>
      </c>
      <c r="U299" s="471">
        <v>1</v>
      </c>
      <c r="V299" s="471"/>
      <c r="W299" s="471" t="s">
        <v>633</v>
      </c>
      <c r="X299" s="471">
        <v>0</v>
      </c>
      <c r="Y299" s="206"/>
      <c r="Z299" s="206"/>
    </row>
    <row r="300" spans="1:26">
      <c r="A300" s="406">
        <v>297</v>
      </c>
      <c r="B300" s="613" t="s">
        <v>3099</v>
      </c>
      <c r="C300" s="288" t="s">
        <v>634</v>
      </c>
      <c r="D300" s="414" t="s">
        <v>4075</v>
      </c>
      <c r="E300" s="407" t="s">
        <v>8202</v>
      </c>
      <c r="F300" s="483"/>
      <c r="G300" s="483"/>
      <c r="H300" s="483"/>
      <c r="I300" s="483"/>
      <c r="J300" s="483"/>
      <c r="K300" s="483"/>
      <c r="L300" s="608" t="s">
        <v>4884</v>
      </c>
      <c r="M300" s="409">
        <v>6297.6929133858266</v>
      </c>
      <c r="N300" s="409">
        <v>6297.6929133858266</v>
      </c>
      <c r="O300" s="410" t="s">
        <v>7573</v>
      </c>
      <c r="P300" s="406">
        <v>297</v>
      </c>
      <c r="Q300" s="470" t="s">
        <v>634</v>
      </c>
      <c r="R300" s="460" t="s">
        <v>635</v>
      </c>
      <c r="S300" s="270" t="s">
        <v>32</v>
      </c>
      <c r="U300" s="471">
        <v>1</v>
      </c>
      <c r="V300" s="471"/>
      <c r="W300" s="471" t="s">
        <v>635</v>
      </c>
      <c r="X300" s="471">
        <v>0</v>
      </c>
      <c r="Y300" s="206"/>
      <c r="Z300" s="206"/>
    </row>
    <row r="301" spans="1:26">
      <c r="A301" s="406">
        <v>298</v>
      </c>
      <c r="B301" s="613" t="s">
        <v>3100</v>
      </c>
      <c r="C301" s="288" t="s">
        <v>636</v>
      </c>
      <c r="D301" s="414" t="s">
        <v>4038</v>
      </c>
      <c r="E301" s="407" t="s">
        <v>8203</v>
      </c>
      <c r="F301" s="483"/>
      <c r="G301" s="483"/>
      <c r="H301" s="483"/>
      <c r="I301" s="483"/>
      <c r="J301" s="483"/>
      <c r="K301" s="483"/>
      <c r="L301" s="608" t="s">
        <v>4884</v>
      </c>
      <c r="M301" s="409">
        <v>6302.8346456692925</v>
      </c>
      <c r="N301" s="409">
        <v>6302.8346456692925</v>
      </c>
      <c r="O301" s="410" t="s">
        <v>7573</v>
      </c>
      <c r="P301" s="406">
        <v>298</v>
      </c>
      <c r="Q301" s="470" t="s">
        <v>636</v>
      </c>
      <c r="R301" s="460" t="s">
        <v>637</v>
      </c>
      <c r="S301" s="270" t="s">
        <v>32</v>
      </c>
      <c r="U301" s="471">
        <v>1</v>
      </c>
      <c r="V301" s="471"/>
      <c r="W301" s="471" t="s">
        <v>637</v>
      </c>
      <c r="X301" s="471">
        <v>0</v>
      </c>
      <c r="Y301" s="206"/>
      <c r="Z301" s="206"/>
    </row>
    <row r="302" spans="1:26">
      <c r="A302" s="406">
        <v>299</v>
      </c>
      <c r="B302" s="613" t="s">
        <v>3101</v>
      </c>
      <c r="C302" s="288" t="s">
        <v>638</v>
      </c>
      <c r="D302" s="414" t="s">
        <v>4111</v>
      </c>
      <c r="E302" s="407" t="s">
        <v>8204</v>
      </c>
      <c r="F302" s="483"/>
      <c r="G302" s="483"/>
      <c r="H302" s="483"/>
      <c r="I302" s="483"/>
      <c r="J302" s="483"/>
      <c r="K302" s="483"/>
      <c r="L302" s="608" t="s">
        <v>4884</v>
      </c>
      <c r="M302" s="409">
        <v>6299.2716535433074</v>
      </c>
      <c r="N302" s="409">
        <v>6299.2716535433074</v>
      </c>
      <c r="O302" s="410" t="s">
        <v>7573</v>
      </c>
      <c r="P302" s="406">
        <v>299</v>
      </c>
      <c r="Q302" s="470" t="s">
        <v>638</v>
      </c>
      <c r="R302" s="460" t="s">
        <v>639</v>
      </c>
      <c r="S302" s="270" t="s">
        <v>32</v>
      </c>
      <c r="U302" s="471">
        <v>1</v>
      </c>
      <c r="V302" s="471"/>
      <c r="W302" s="471" t="s">
        <v>639</v>
      </c>
      <c r="X302" s="471">
        <v>0</v>
      </c>
      <c r="Y302" s="206"/>
      <c r="Z302" s="206"/>
    </row>
    <row r="303" spans="1:26">
      <c r="A303" s="406">
        <v>300</v>
      </c>
      <c r="B303" s="613" t="s">
        <v>3102</v>
      </c>
      <c r="C303" s="288" t="s">
        <v>640</v>
      </c>
      <c r="D303" s="414" t="s">
        <v>4076</v>
      </c>
      <c r="E303" s="407" t="s">
        <v>8205</v>
      </c>
      <c r="F303" s="483"/>
      <c r="G303" s="411"/>
      <c r="H303" s="411"/>
      <c r="I303" s="411"/>
      <c r="J303" s="411"/>
      <c r="K303" s="411"/>
      <c r="L303" s="608" t="s">
        <v>4884</v>
      </c>
      <c r="M303" s="409">
        <v>6303.0905511811025</v>
      </c>
      <c r="N303" s="409">
        <v>6303.0905511811025</v>
      </c>
      <c r="O303" s="410" t="s">
        <v>7573</v>
      </c>
      <c r="P303" s="406">
        <v>300</v>
      </c>
      <c r="Q303" s="470" t="s">
        <v>640</v>
      </c>
      <c r="R303" s="460" t="s">
        <v>641</v>
      </c>
      <c r="S303" s="270" t="s">
        <v>32</v>
      </c>
      <c r="U303" s="471">
        <v>1</v>
      </c>
      <c r="V303" s="471"/>
      <c r="W303" s="471" t="s">
        <v>641</v>
      </c>
      <c r="X303" s="471">
        <v>0</v>
      </c>
      <c r="Y303" s="206"/>
      <c r="Z303" s="206"/>
    </row>
    <row r="304" spans="1:26">
      <c r="A304" s="406">
        <v>301</v>
      </c>
      <c r="B304" s="613" t="s">
        <v>3103</v>
      </c>
      <c r="C304" s="288" t="s">
        <v>642</v>
      </c>
      <c r="D304" s="414" t="s">
        <v>4073</v>
      </c>
      <c r="E304" s="407" t="s">
        <v>8206</v>
      </c>
      <c r="F304" s="483"/>
      <c r="G304" s="483"/>
      <c r="H304" s="483"/>
      <c r="I304" s="483"/>
      <c r="J304" s="483"/>
      <c r="K304" s="483"/>
      <c r="L304" s="608" t="s">
        <v>4884</v>
      </c>
      <c r="M304" s="409">
        <v>6301.5748031496069</v>
      </c>
      <c r="N304" s="409">
        <v>6301.5748031496069</v>
      </c>
      <c r="O304" s="410" t="s">
        <v>7573</v>
      </c>
      <c r="P304" s="406">
        <v>301</v>
      </c>
      <c r="Q304" s="470" t="s">
        <v>642</v>
      </c>
      <c r="R304" s="460" t="s">
        <v>643</v>
      </c>
      <c r="S304" s="270" t="s">
        <v>32</v>
      </c>
      <c r="U304" s="471">
        <v>1</v>
      </c>
      <c r="V304" s="471"/>
      <c r="W304" s="471" t="s">
        <v>643</v>
      </c>
      <c r="X304" s="471">
        <v>0</v>
      </c>
      <c r="Y304" s="206"/>
      <c r="Z304" s="206"/>
    </row>
    <row r="305" spans="1:26">
      <c r="A305" s="406">
        <v>302</v>
      </c>
      <c r="B305" s="613" t="s">
        <v>2588</v>
      </c>
      <c r="C305" s="288" t="s">
        <v>644</v>
      </c>
      <c r="D305" s="414" t="s">
        <v>3971</v>
      </c>
      <c r="E305" s="407" t="s">
        <v>8207</v>
      </c>
      <c r="F305" s="483"/>
      <c r="G305" s="483"/>
      <c r="H305" s="411"/>
      <c r="I305" s="411"/>
      <c r="J305" s="411"/>
      <c r="K305" s="411"/>
      <c r="L305" s="608" t="s">
        <v>4884</v>
      </c>
      <c r="M305" s="409">
        <v>6417.429133858268</v>
      </c>
      <c r="N305" s="409">
        <v>6417.429133858268</v>
      </c>
      <c r="O305" s="410" t="s">
        <v>7569</v>
      </c>
      <c r="P305" s="406">
        <v>302</v>
      </c>
      <c r="Q305" s="470" t="s">
        <v>644</v>
      </c>
      <c r="R305" s="460" t="s">
        <v>645</v>
      </c>
      <c r="S305" s="270" t="s">
        <v>32</v>
      </c>
      <c r="U305" s="471">
        <v>1</v>
      </c>
      <c r="V305" s="471"/>
      <c r="W305" s="471" t="s">
        <v>645</v>
      </c>
      <c r="X305" s="471">
        <v>0</v>
      </c>
      <c r="Y305" s="206"/>
      <c r="Z305" s="206"/>
    </row>
    <row r="306" spans="1:26">
      <c r="A306" s="406">
        <v>303</v>
      </c>
      <c r="B306" s="613" t="s">
        <v>2590</v>
      </c>
      <c r="C306" s="288" t="s">
        <v>646</v>
      </c>
      <c r="D306" s="414" t="s">
        <v>3972</v>
      </c>
      <c r="E306" s="407" t="s">
        <v>8208</v>
      </c>
      <c r="F306" s="483"/>
      <c r="G306" s="483"/>
      <c r="H306" s="483"/>
      <c r="I306" s="483"/>
      <c r="J306" s="483"/>
      <c r="K306" s="483"/>
      <c r="L306" s="608" t="s">
        <v>4884</v>
      </c>
      <c r="M306" s="409">
        <v>4961.2795275590552</v>
      </c>
      <c r="N306" s="409">
        <v>4961.2795275590552</v>
      </c>
      <c r="O306" s="410" t="s">
        <v>7569</v>
      </c>
      <c r="P306" s="406">
        <v>303</v>
      </c>
      <c r="Q306" s="470" t="s">
        <v>646</v>
      </c>
      <c r="R306" s="460" t="s">
        <v>647</v>
      </c>
      <c r="S306" s="270" t="s">
        <v>32</v>
      </c>
      <c r="U306" s="471">
        <v>1</v>
      </c>
      <c r="V306" s="471"/>
      <c r="W306" s="471" t="s">
        <v>647</v>
      </c>
      <c r="X306" s="471">
        <v>0</v>
      </c>
      <c r="Y306" s="206"/>
      <c r="Z306" s="206"/>
    </row>
    <row r="307" spans="1:26">
      <c r="A307" s="406">
        <v>304</v>
      </c>
      <c r="B307" s="613" t="s">
        <v>2596</v>
      </c>
      <c r="C307" s="288" t="s">
        <v>648</v>
      </c>
      <c r="D307" s="414" t="s">
        <v>4017</v>
      </c>
      <c r="E307" s="407" t="s">
        <v>8209</v>
      </c>
      <c r="F307" s="483"/>
      <c r="G307" s="483"/>
      <c r="H307" s="411"/>
      <c r="I307" s="411"/>
      <c r="J307" s="411"/>
      <c r="K307" s="411"/>
      <c r="L307" s="608" t="s">
        <v>4884</v>
      </c>
      <c r="M307" s="409">
        <v>5079.4881889763783</v>
      </c>
      <c r="N307" s="409">
        <v>5079.4881889763783</v>
      </c>
      <c r="O307" s="410" t="s">
        <v>7572</v>
      </c>
      <c r="P307" s="406">
        <v>304</v>
      </c>
      <c r="Q307" s="470" t="s">
        <v>648</v>
      </c>
      <c r="R307" s="460" t="s">
        <v>649</v>
      </c>
      <c r="S307" s="270" t="s">
        <v>32</v>
      </c>
      <c r="U307" s="471">
        <v>1</v>
      </c>
      <c r="V307" s="471"/>
      <c r="W307" s="471" t="s">
        <v>649</v>
      </c>
      <c r="X307" s="471">
        <v>0</v>
      </c>
      <c r="Y307" s="206"/>
      <c r="Z307" s="206"/>
    </row>
    <row r="308" spans="1:26">
      <c r="A308" s="406">
        <v>305</v>
      </c>
      <c r="B308" s="613" t="s">
        <v>2598</v>
      </c>
      <c r="C308" s="288" t="s">
        <v>650</v>
      </c>
      <c r="D308" s="414" t="s">
        <v>4013</v>
      </c>
      <c r="E308" s="407" t="s">
        <v>8210</v>
      </c>
      <c r="F308" s="483"/>
      <c r="G308" s="483"/>
      <c r="H308" s="483"/>
      <c r="I308" s="483"/>
      <c r="J308" s="483"/>
      <c r="K308" s="483"/>
      <c r="L308" s="608" t="s">
        <v>4884</v>
      </c>
      <c r="M308" s="409">
        <v>5594.110236220472</v>
      </c>
      <c r="N308" s="409">
        <v>5594.110236220472</v>
      </c>
      <c r="O308" s="410" t="s">
        <v>7572</v>
      </c>
      <c r="P308" s="406">
        <v>305</v>
      </c>
      <c r="Q308" s="470" t="s">
        <v>650</v>
      </c>
      <c r="R308" s="460" t="s">
        <v>651</v>
      </c>
      <c r="S308" s="270" t="s">
        <v>32</v>
      </c>
      <c r="U308" s="471">
        <v>1</v>
      </c>
      <c r="V308" s="471"/>
      <c r="W308" s="471" t="s">
        <v>651</v>
      </c>
      <c r="X308" s="471">
        <v>0</v>
      </c>
      <c r="Y308" s="206"/>
      <c r="Z308" s="206"/>
    </row>
    <row r="309" spans="1:26">
      <c r="A309" s="406">
        <v>306</v>
      </c>
      <c r="B309" s="613" t="s">
        <v>2604</v>
      </c>
      <c r="C309" s="288" t="s">
        <v>652</v>
      </c>
      <c r="D309" s="414" t="s">
        <v>4061</v>
      </c>
      <c r="E309" s="407" t="s">
        <v>8211</v>
      </c>
      <c r="F309" s="483"/>
      <c r="G309" s="483"/>
      <c r="H309" s="483"/>
      <c r="I309" s="483"/>
      <c r="J309" s="483"/>
      <c r="K309" s="483"/>
      <c r="L309" s="608" t="s">
        <v>4884</v>
      </c>
      <c r="M309" s="409">
        <v>4685.2007874015744</v>
      </c>
      <c r="N309" s="409">
        <v>4685.2007874015744</v>
      </c>
      <c r="O309" s="410" t="s">
        <v>7572</v>
      </c>
      <c r="P309" s="406">
        <v>306</v>
      </c>
      <c r="Q309" s="470" t="s">
        <v>652</v>
      </c>
      <c r="R309" s="460" t="s">
        <v>653</v>
      </c>
      <c r="S309" s="270" t="s">
        <v>32</v>
      </c>
      <c r="U309" s="471">
        <v>1</v>
      </c>
      <c r="V309" s="471"/>
      <c r="W309" s="471" t="s">
        <v>653</v>
      </c>
      <c r="X309" s="471">
        <v>0</v>
      </c>
      <c r="Y309" s="206"/>
      <c r="Z309" s="206"/>
    </row>
    <row r="310" spans="1:26">
      <c r="A310" s="406">
        <v>307</v>
      </c>
      <c r="B310" s="613" t="s">
        <v>2327</v>
      </c>
      <c r="C310" s="288" t="s">
        <v>654</v>
      </c>
      <c r="D310" s="414" t="s">
        <v>4041</v>
      </c>
      <c r="E310" s="407" t="s">
        <v>8212</v>
      </c>
      <c r="F310" s="483"/>
      <c r="G310" s="483"/>
      <c r="H310" s="411"/>
      <c r="I310" s="411"/>
      <c r="J310" s="411"/>
      <c r="K310" s="411"/>
      <c r="L310" s="608" t="s">
        <v>4884</v>
      </c>
      <c r="M310" s="409">
        <v>6066.0236220472443</v>
      </c>
      <c r="N310" s="409">
        <v>6066.0236220472443</v>
      </c>
      <c r="O310" s="410" t="s">
        <v>7572</v>
      </c>
      <c r="P310" s="406">
        <v>307</v>
      </c>
      <c r="Q310" s="470" t="s">
        <v>654</v>
      </c>
      <c r="R310" s="460" t="s">
        <v>655</v>
      </c>
      <c r="S310" s="270" t="s">
        <v>32</v>
      </c>
      <c r="U310" s="471">
        <v>1</v>
      </c>
      <c r="V310" s="471"/>
      <c r="W310" s="471" t="s">
        <v>655</v>
      </c>
      <c r="X310" s="471">
        <v>0</v>
      </c>
      <c r="Y310" s="206"/>
      <c r="Z310" s="206"/>
    </row>
    <row r="311" spans="1:26">
      <c r="A311" s="406">
        <v>308</v>
      </c>
      <c r="B311" s="613" t="s">
        <v>2333</v>
      </c>
      <c r="C311" s="288" t="s">
        <v>656</v>
      </c>
      <c r="D311" s="414" t="s">
        <v>4040</v>
      </c>
      <c r="E311" s="407" t="s">
        <v>8213</v>
      </c>
      <c r="F311" s="483"/>
      <c r="G311" s="483"/>
      <c r="H311" s="483"/>
      <c r="I311" s="483"/>
      <c r="J311" s="483"/>
      <c r="K311" s="483"/>
      <c r="L311" s="608" t="s">
        <v>4884</v>
      </c>
      <c r="M311" s="409">
        <v>5197.6141732283459</v>
      </c>
      <c r="N311" s="409">
        <v>5197.6141732283459</v>
      </c>
      <c r="O311" s="410" t="s">
        <v>7573</v>
      </c>
      <c r="P311" s="406">
        <v>308</v>
      </c>
      <c r="Q311" s="470" t="s">
        <v>656</v>
      </c>
      <c r="R311" s="460" t="s">
        <v>657</v>
      </c>
      <c r="S311" s="270" t="s">
        <v>32</v>
      </c>
      <c r="U311" s="471">
        <v>1</v>
      </c>
      <c r="V311" s="471"/>
      <c r="W311" s="471" t="s">
        <v>657</v>
      </c>
      <c r="X311" s="471">
        <v>0</v>
      </c>
      <c r="Y311" s="206"/>
      <c r="Z311" s="206"/>
    </row>
    <row r="312" spans="1:26">
      <c r="A312" s="406">
        <v>309</v>
      </c>
      <c r="B312" s="613" t="s">
        <v>2335</v>
      </c>
      <c r="C312" s="288" t="s">
        <v>658</v>
      </c>
      <c r="D312" s="414" t="s">
        <v>4074</v>
      </c>
      <c r="E312" s="407" t="s">
        <v>8214</v>
      </c>
      <c r="F312" s="483"/>
      <c r="G312" s="483"/>
      <c r="H312" s="411"/>
      <c r="I312" s="411"/>
      <c r="J312" s="411"/>
      <c r="K312" s="411"/>
      <c r="L312" s="608" t="s">
        <v>4884</v>
      </c>
      <c r="M312" s="409">
        <v>6182.889763779528</v>
      </c>
      <c r="N312" s="409">
        <v>6182.889763779528</v>
      </c>
      <c r="O312" s="410" t="s">
        <v>7575</v>
      </c>
      <c r="P312" s="406">
        <v>309</v>
      </c>
      <c r="Q312" s="470" t="s">
        <v>658</v>
      </c>
      <c r="R312" s="460" t="s">
        <v>659</v>
      </c>
      <c r="S312" s="270" t="s">
        <v>32</v>
      </c>
      <c r="U312" s="471">
        <v>1</v>
      </c>
      <c r="V312" s="471"/>
      <c r="W312" s="471" t="s">
        <v>659</v>
      </c>
      <c r="X312" s="471">
        <v>0</v>
      </c>
      <c r="Y312" s="206"/>
      <c r="Z312" s="206"/>
    </row>
    <row r="313" spans="1:26">
      <c r="A313" s="406">
        <v>310</v>
      </c>
      <c r="B313" s="613" t="s">
        <v>2592</v>
      </c>
      <c r="C313" s="288" t="s">
        <v>660</v>
      </c>
      <c r="D313" s="414" t="s">
        <v>3939</v>
      </c>
      <c r="E313" s="407" t="s">
        <v>8215</v>
      </c>
      <c r="F313" s="483"/>
      <c r="G313" s="483"/>
      <c r="H313" s="483"/>
      <c r="I313" s="483"/>
      <c r="J313" s="483"/>
      <c r="K313" s="483"/>
      <c r="L313" s="608" t="s">
        <v>4884</v>
      </c>
      <c r="M313" s="409">
        <v>7166.4960629921261</v>
      </c>
      <c r="N313" s="409">
        <v>7166.4960629921261</v>
      </c>
      <c r="O313" s="410" t="s">
        <v>7572</v>
      </c>
      <c r="P313" s="406">
        <v>310</v>
      </c>
      <c r="Q313" s="470" t="s">
        <v>660</v>
      </c>
      <c r="R313" s="460" t="s">
        <v>661</v>
      </c>
      <c r="S313" s="270" t="s">
        <v>32</v>
      </c>
      <c r="U313" s="471">
        <v>1</v>
      </c>
      <c r="V313" s="471"/>
      <c r="W313" s="471" t="s">
        <v>661</v>
      </c>
      <c r="X313" s="471">
        <v>0</v>
      </c>
      <c r="Y313" s="206"/>
      <c r="Z313" s="206"/>
    </row>
    <row r="314" spans="1:26">
      <c r="A314" s="406">
        <v>311</v>
      </c>
      <c r="B314" s="613" t="s">
        <v>2594</v>
      </c>
      <c r="C314" s="288" t="s">
        <v>662</v>
      </c>
      <c r="D314" s="414" t="s">
        <v>3937</v>
      </c>
      <c r="E314" s="407" t="s">
        <v>8216</v>
      </c>
      <c r="F314" s="483"/>
      <c r="G314" s="411"/>
      <c r="H314" s="411"/>
      <c r="I314" s="411"/>
      <c r="J314" s="411"/>
      <c r="K314" s="411"/>
      <c r="L314" s="608" t="s">
        <v>4884</v>
      </c>
      <c r="M314" s="409">
        <v>6735.8779527559054</v>
      </c>
      <c r="N314" s="409">
        <v>6735.8779527559054</v>
      </c>
      <c r="O314" s="410" t="s">
        <v>7576</v>
      </c>
      <c r="P314" s="406">
        <v>311</v>
      </c>
      <c r="Q314" s="470" t="s">
        <v>662</v>
      </c>
      <c r="R314" s="460" t="s">
        <v>663</v>
      </c>
      <c r="S314" s="270" t="s">
        <v>32</v>
      </c>
      <c r="U314" s="471">
        <v>1</v>
      </c>
      <c r="V314" s="471"/>
      <c r="W314" s="471" t="s">
        <v>663</v>
      </c>
      <c r="X314" s="471">
        <v>0</v>
      </c>
      <c r="Y314" s="206"/>
      <c r="Z314" s="206"/>
    </row>
    <row r="315" spans="1:26">
      <c r="A315" s="406">
        <v>312</v>
      </c>
      <c r="B315" s="613" t="s">
        <v>2600</v>
      </c>
      <c r="C315" s="288" t="s">
        <v>664</v>
      </c>
      <c r="D315" s="414" t="s">
        <v>3958</v>
      </c>
      <c r="E315" s="407" t="s">
        <v>8217</v>
      </c>
      <c r="F315" s="483"/>
      <c r="G315" s="411"/>
      <c r="H315" s="411"/>
      <c r="I315" s="411"/>
      <c r="J315" s="411"/>
      <c r="K315" s="411"/>
      <c r="L315" s="608" t="s">
        <v>4884</v>
      </c>
      <c r="M315" s="409">
        <v>5588.8149606299221</v>
      </c>
      <c r="N315" s="409">
        <v>5588.8149606299221</v>
      </c>
      <c r="O315" s="410" t="s">
        <v>7572</v>
      </c>
      <c r="P315" s="406">
        <v>312</v>
      </c>
      <c r="Q315" s="470" t="s">
        <v>664</v>
      </c>
      <c r="R315" s="460" t="s">
        <v>665</v>
      </c>
      <c r="S315" s="270" t="s">
        <v>32</v>
      </c>
      <c r="U315" s="471">
        <v>1</v>
      </c>
      <c r="V315" s="471"/>
      <c r="W315" s="471" t="s">
        <v>665</v>
      </c>
      <c r="X315" s="471">
        <v>0</v>
      </c>
      <c r="Y315" s="206"/>
      <c r="Z315" s="206"/>
    </row>
    <row r="316" spans="1:26">
      <c r="A316" s="406">
        <v>313</v>
      </c>
      <c r="B316" s="613" t="s">
        <v>2602</v>
      </c>
      <c r="C316" s="288" t="s">
        <v>666</v>
      </c>
      <c r="D316" s="414" t="s">
        <v>4020</v>
      </c>
      <c r="E316" s="407" t="s">
        <v>8218</v>
      </c>
      <c r="F316" s="483"/>
      <c r="G316" s="411"/>
      <c r="H316" s="411"/>
      <c r="I316" s="411"/>
      <c r="J316" s="411"/>
      <c r="K316" s="411"/>
      <c r="L316" s="608" t="s">
        <v>4884</v>
      </c>
      <c r="M316" s="409">
        <v>5555.0590551181103</v>
      </c>
      <c r="N316" s="409">
        <v>5555.0590551181103</v>
      </c>
      <c r="O316" s="410" t="s">
        <v>7576</v>
      </c>
      <c r="P316" s="406">
        <v>313</v>
      </c>
      <c r="Q316" s="470" t="s">
        <v>666</v>
      </c>
      <c r="R316" s="460" t="s">
        <v>667</v>
      </c>
      <c r="S316" s="270" t="s">
        <v>32</v>
      </c>
      <c r="U316" s="471">
        <v>1</v>
      </c>
      <c r="V316" s="471"/>
      <c r="W316" s="471" t="s">
        <v>667</v>
      </c>
      <c r="X316" s="471">
        <v>0</v>
      </c>
      <c r="Y316" s="206"/>
      <c r="Z316" s="206"/>
    </row>
    <row r="317" spans="1:26">
      <c r="A317" s="406">
        <v>314</v>
      </c>
      <c r="B317" s="613" t="s">
        <v>2329</v>
      </c>
      <c r="C317" s="288" t="s">
        <v>668</v>
      </c>
      <c r="D317" s="414" t="s">
        <v>3996</v>
      </c>
      <c r="E317" s="407" t="s">
        <v>8219</v>
      </c>
      <c r="F317" s="483"/>
      <c r="G317" s="411"/>
      <c r="H317" s="411"/>
      <c r="I317" s="411"/>
      <c r="J317" s="411"/>
      <c r="K317" s="411"/>
      <c r="L317" s="608" t="s">
        <v>4884</v>
      </c>
      <c r="M317" s="409">
        <v>5316.9212598425202</v>
      </c>
      <c r="N317" s="409">
        <v>5316.9212598425202</v>
      </c>
      <c r="O317" s="410" t="s">
        <v>7573</v>
      </c>
      <c r="P317" s="406">
        <v>314</v>
      </c>
      <c r="Q317" s="470" t="s">
        <v>668</v>
      </c>
      <c r="R317" s="460" t="s">
        <v>669</v>
      </c>
      <c r="S317" s="270" t="s">
        <v>32</v>
      </c>
      <c r="U317" s="471">
        <v>1</v>
      </c>
      <c r="V317" s="471"/>
      <c r="W317" s="471" t="s">
        <v>669</v>
      </c>
      <c r="X317" s="471">
        <v>0</v>
      </c>
      <c r="Y317" s="206"/>
      <c r="Z317" s="206"/>
    </row>
    <row r="318" spans="1:26">
      <c r="A318" s="406">
        <v>315</v>
      </c>
      <c r="B318" s="613" t="s">
        <v>2331</v>
      </c>
      <c r="C318" s="288" t="s">
        <v>670</v>
      </c>
      <c r="D318" s="414" t="s">
        <v>4028</v>
      </c>
      <c r="E318" s="407" t="s">
        <v>8220</v>
      </c>
      <c r="F318" s="483"/>
      <c r="G318" s="411"/>
      <c r="H318" s="411"/>
      <c r="I318" s="411"/>
      <c r="J318" s="411"/>
      <c r="K318" s="411"/>
      <c r="L318" s="608" t="s">
        <v>4884</v>
      </c>
      <c r="M318" s="409">
        <v>6379.3188976377951</v>
      </c>
      <c r="N318" s="409">
        <v>6379.3188976377951</v>
      </c>
      <c r="O318" s="410" t="s">
        <v>7574</v>
      </c>
      <c r="P318" s="406">
        <v>315</v>
      </c>
      <c r="Q318" s="470" t="s">
        <v>670</v>
      </c>
      <c r="R318" s="460" t="s">
        <v>671</v>
      </c>
      <c r="S318" s="270" t="s">
        <v>32</v>
      </c>
      <c r="U318" s="471">
        <v>1</v>
      </c>
      <c r="V318" s="471"/>
      <c r="W318" s="471" t="s">
        <v>671</v>
      </c>
      <c r="X318" s="471">
        <v>0</v>
      </c>
      <c r="Y318" s="206"/>
      <c r="Z318" s="206"/>
    </row>
    <row r="319" spans="1:26">
      <c r="A319" s="406">
        <v>316</v>
      </c>
      <c r="B319" s="613" t="s">
        <v>2337</v>
      </c>
      <c r="C319" s="288" t="s">
        <v>672</v>
      </c>
      <c r="D319" s="414" t="s">
        <v>4091</v>
      </c>
      <c r="E319" s="407" t="s">
        <v>8221</v>
      </c>
      <c r="F319" s="483"/>
      <c r="G319" s="483"/>
      <c r="H319" s="483"/>
      <c r="I319" s="483"/>
      <c r="J319" s="483"/>
      <c r="K319" s="483"/>
      <c r="L319" s="608" t="s">
        <v>4884</v>
      </c>
      <c r="M319" s="409">
        <v>5197.3622047244098</v>
      </c>
      <c r="N319" s="409">
        <v>5197.3622047244098</v>
      </c>
      <c r="O319" s="410" t="s">
        <v>7576</v>
      </c>
      <c r="P319" s="406">
        <v>316</v>
      </c>
      <c r="Q319" s="470" t="s">
        <v>672</v>
      </c>
      <c r="R319" s="460" t="s">
        <v>673</v>
      </c>
      <c r="S319" s="270" t="s">
        <v>32</v>
      </c>
      <c r="U319" s="471">
        <v>1</v>
      </c>
      <c r="V319" s="471"/>
      <c r="W319" s="471" t="s">
        <v>673</v>
      </c>
      <c r="X319" s="471">
        <v>0</v>
      </c>
      <c r="Y319" s="206"/>
      <c r="Z319" s="206"/>
    </row>
    <row r="320" spans="1:26">
      <c r="A320" s="406">
        <v>317</v>
      </c>
      <c r="B320" s="613" t="s">
        <v>2339</v>
      </c>
      <c r="C320" s="288" t="s">
        <v>674</v>
      </c>
      <c r="D320" s="414" t="s">
        <v>4092</v>
      </c>
      <c r="E320" s="407" t="s">
        <v>8222</v>
      </c>
      <c r="F320" s="483"/>
      <c r="G320" s="483"/>
      <c r="H320" s="483"/>
      <c r="I320" s="483"/>
      <c r="J320" s="483"/>
      <c r="K320" s="483"/>
      <c r="L320" s="608" t="s">
        <v>4884</v>
      </c>
      <c r="M320" s="409">
        <v>6302.3110236220473</v>
      </c>
      <c r="N320" s="409">
        <v>6302.3110236220473</v>
      </c>
      <c r="O320" s="410" t="s">
        <v>7576</v>
      </c>
      <c r="P320" s="406">
        <v>317</v>
      </c>
      <c r="Q320" s="470" t="s">
        <v>674</v>
      </c>
      <c r="R320" s="460" t="s">
        <v>675</v>
      </c>
      <c r="S320" s="270" t="s">
        <v>32</v>
      </c>
      <c r="U320" s="471">
        <v>1</v>
      </c>
      <c r="V320" s="471"/>
      <c r="W320" s="471" t="s">
        <v>675</v>
      </c>
      <c r="X320" s="471">
        <v>0</v>
      </c>
      <c r="Y320" s="206"/>
      <c r="Z320" s="206"/>
    </row>
    <row r="321" spans="1:26">
      <c r="A321" s="406">
        <v>318</v>
      </c>
      <c r="B321" s="613" t="s">
        <v>2589</v>
      </c>
      <c r="C321" s="288" t="s">
        <v>676</v>
      </c>
      <c r="D321" s="414" t="s">
        <v>3973</v>
      </c>
      <c r="E321" s="407" t="s">
        <v>8223</v>
      </c>
      <c r="F321" s="483"/>
      <c r="G321" s="483"/>
      <c r="H321" s="483"/>
      <c r="I321" s="483"/>
      <c r="J321" s="483"/>
      <c r="K321" s="483"/>
      <c r="L321" s="608" t="s">
        <v>4884</v>
      </c>
      <c r="M321" s="409">
        <v>6418.1259842519685</v>
      </c>
      <c r="N321" s="409">
        <v>6418.1259842519685</v>
      </c>
      <c r="O321" s="410" t="s">
        <v>7569</v>
      </c>
      <c r="P321" s="406">
        <v>318</v>
      </c>
      <c r="Q321" s="470" t="s">
        <v>676</v>
      </c>
      <c r="R321" s="460" t="s">
        <v>677</v>
      </c>
      <c r="S321" s="270" t="s">
        <v>32</v>
      </c>
      <c r="U321" s="471">
        <v>1</v>
      </c>
      <c r="V321" s="471"/>
      <c r="W321" s="471" t="s">
        <v>677</v>
      </c>
      <c r="X321" s="471">
        <v>0</v>
      </c>
      <c r="Y321" s="206"/>
      <c r="Z321" s="206"/>
    </row>
    <row r="322" spans="1:26">
      <c r="A322" s="406">
        <v>319</v>
      </c>
      <c r="B322" s="613" t="s">
        <v>2591</v>
      </c>
      <c r="C322" s="288" t="s">
        <v>678</v>
      </c>
      <c r="D322" s="414" t="s">
        <v>3970</v>
      </c>
      <c r="E322" s="407" t="s">
        <v>8224</v>
      </c>
      <c r="F322" s="483"/>
      <c r="G322" s="483"/>
      <c r="H322" s="411"/>
      <c r="I322" s="411"/>
      <c r="J322" s="411"/>
      <c r="K322" s="411"/>
      <c r="L322" s="608" t="s">
        <v>4884</v>
      </c>
      <c r="M322" s="409">
        <v>4961.5669291338581</v>
      </c>
      <c r="N322" s="409">
        <v>4961.5669291338581</v>
      </c>
      <c r="O322" s="410" t="s">
        <v>7569</v>
      </c>
      <c r="P322" s="406">
        <v>319</v>
      </c>
      <c r="Q322" s="470" t="s">
        <v>678</v>
      </c>
      <c r="R322" s="460" t="s">
        <v>679</v>
      </c>
      <c r="S322" s="270" t="s">
        <v>32</v>
      </c>
      <c r="U322" s="471">
        <v>1</v>
      </c>
      <c r="V322" s="471"/>
      <c r="W322" s="471" t="s">
        <v>679</v>
      </c>
      <c r="X322" s="471">
        <v>0</v>
      </c>
      <c r="Y322" s="206"/>
      <c r="Z322" s="206"/>
    </row>
    <row r="323" spans="1:26">
      <c r="A323" s="406">
        <v>320</v>
      </c>
      <c r="B323" s="613" t="s">
        <v>2597</v>
      </c>
      <c r="C323" s="288" t="s">
        <v>680</v>
      </c>
      <c r="D323" s="414" t="s">
        <v>4019</v>
      </c>
      <c r="E323" s="407" t="s">
        <v>8225</v>
      </c>
      <c r="F323" s="483"/>
      <c r="G323" s="483"/>
      <c r="H323" s="411"/>
      <c r="I323" s="411"/>
      <c r="J323" s="411"/>
      <c r="K323" s="411"/>
      <c r="L323" s="608" t="s">
        <v>4884</v>
      </c>
      <c r="M323" s="409">
        <v>5080.1417322834641</v>
      </c>
      <c r="N323" s="409">
        <v>5080.1417322834641</v>
      </c>
      <c r="O323" s="410" t="s">
        <v>7572</v>
      </c>
      <c r="P323" s="406">
        <v>320</v>
      </c>
      <c r="Q323" s="470" t="s">
        <v>680</v>
      </c>
      <c r="R323" s="460" t="s">
        <v>681</v>
      </c>
      <c r="S323" s="270" t="s">
        <v>32</v>
      </c>
      <c r="U323" s="471">
        <v>1</v>
      </c>
      <c r="V323" s="471"/>
      <c r="W323" s="471" t="s">
        <v>681</v>
      </c>
      <c r="X323" s="471">
        <v>0</v>
      </c>
      <c r="Y323" s="206"/>
      <c r="Z323" s="206"/>
    </row>
    <row r="324" spans="1:26">
      <c r="A324" s="406">
        <v>321</v>
      </c>
      <c r="B324" s="613" t="s">
        <v>2599</v>
      </c>
      <c r="C324" s="288" t="s">
        <v>682</v>
      </c>
      <c r="D324" s="414" t="s">
        <v>4015</v>
      </c>
      <c r="E324" s="407" t="s">
        <v>8226</v>
      </c>
      <c r="F324" s="483"/>
      <c r="G324" s="483"/>
      <c r="H324" s="411"/>
      <c r="I324" s="411"/>
      <c r="J324" s="411"/>
      <c r="K324" s="411"/>
      <c r="L324" s="608" t="s">
        <v>4884</v>
      </c>
      <c r="M324" s="409">
        <v>5590.8228346456699</v>
      </c>
      <c r="N324" s="409">
        <v>5590.8228346456699</v>
      </c>
      <c r="O324" s="410" t="s">
        <v>7572</v>
      </c>
      <c r="P324" s="406">
        <v>321</v>
      </c>
      <c r="Q324" s="470" t="s">
        <v>682</v>
      </c>
      <c r="R324" s="460" t="s">
        <v>683</v>
      </c>
      <c r="S324" s="270" t="s">
        <v>32</v>
      </c>
      <c r="U324" s="471">
        <v>1</v>
      </c>
      <c r="V324" s="471"/>
      <c r="W324" s="471" t="s">
        <v>683</v>
      </c>
      <c r="X324" s="471">
        <v>0</v>
      </c>
      <c r="Y324" s="206"/>
      <c r="Z324" s="206"/>
    </row>
    <row r="325" spans="1:26">
      <c r="A325" s="406">
        <v>322</v>
      </c>
      <c r="B325" s="613" t="s">
        <v>2605</v>
      </c>
      <c r="C325" s="288" t="s">
        <v>684</v>
      </c>
      <c r="D325" s="414" t="s">
        <v>4063</v>
      </c>
      <c r="E325" s="407" t="s">
        <v>8227</v>
      </c>
      <c r="F325" s="483"/>
      <c r="G325" s="483"/>
      <c r="H325" s="411"/>
      <c r="I325" s="411"/>
      <c r="J325" s="411"/>
      <c r="K325" s="411"/>
      <c r="L325" s="608" t="s">
        <v>4884</v>
      </c>
      <c r="M325" s="409">
        <v>4685.748031496063</v>
      </c>
      <c r="N325" s="409">
        <v>4685.748031496063</v>
      </c>
      <c r="O325" s="410" t="s">
        <v>7572</v>
      </c>
      <c r="P325" s="406">
        <v>322</v>
      </c>
      <c r="Q325" s="470" t="s">
        <v>684</v>
      </c>
      <c r="R325" s="460" t="s">
        <v>685</v>
      </c>
      <c r="S325" s="270" t="s">
        <v>32</v>
      </c>
      <c r="U325" s="471">
        <v>1</v>
      </c>
      <c r="V325" s="471"/>
      <c r="W325" s="471" t="s">
        <v>685</v>
      </c>
      <c r="X325" s="471">
        <v>0</v>
      </c>
      <c r="Y325" s="206"/>
      <c r="Z325" s="206"/>
    </row>
    <row r="326" spans="1:26">
      <c r="A326" s="406">
        <v>323</v>
      </c>
      <c r="B326" s="613" t="s">
        <v>2328</v>
      </c>
      <c r="C326" s="288" t="s">
        <v>686</v>
      </c>
      <c r="D326" s="414" t="s">
        <v>4043</v>
      </c>
      <c r="E326" s="407" t="s">
        <v>8228</v>
      </c>
      <c r="F326" s="483"/>
      <c r="G326" s="483"/>
      <c r="H326" s="483"/>
      <c r="I326" s="483"/>
      <c r="J326" s="483"/>
      <c r="K326" s="483"/>
      <c r="L326" s="608" t="s">
        <v>4884</v>
      </c>
      <c r="M326" s="409">
        <v>6062.4212598425202</v>
      </c>
      <c r="N326" s="409">
        <v>6062.4212598425202</v>
      </c>
      <c r="O326" s="410" t="s">
        <v>7572</v>
      </c>
      <c r="P326" s="406">
        <v>323</v>
      </c>
      <c r="Q326" s="470" t="s">
        <v>686</v>
      </c>
      <c r="R326" s="460" t="s">
        <v>687</v>
      </c>
      <c r="S326" s="270" t="s">
        <v>32</v>
      </c>
      <c r="U326" s="471">
        <v>1</v>
      </c>
      <c r="V326" s="471"/>
      <c r="W326" s="471" t="s">
        <v>687</v>
      </c>
      <c r="X326" s="471">
        <v>0</v>
      </c>
      <c r="Y326" s="206"/>
      <c r="Z326" s="206"/>
    </row>
    <row r="327" spans="1:26">
      <c r="A327" s="406">
        <v>324</v>
      </c>
      <c r="B327" s="613" t="s">
        <v>2334</v>
      </c>
      <c r="C327" s="288" t="s">
        <v>688</v>
      </c>
      <c r="D327" s="414" t="s">
        <v>4042</v>
      </c>
      <c r="E327" s="407" t="s">
        <v>8229</v>
      </c>
      <c r="F327" s="483"/>
      <c r="G327" s="483"/>
      <c r="H327" s="483"/>
      <c r="I327" s="483"/>
      <c r="J327" s="483"/>
      <c r="K327" s="483"/>
      <c r="L327" s="608" t="s">
        <v>4884</v>
      </c>
      <c r="M327" s="409">
        <v>5199.4330708661419</v>
      </c>
      <c r="N327" s="409">
        <v>5199.4330708661419</v>
      </c>
      <c r="O327" s="410" t="s">
        <v>7573</v>
      </c>
      <c r="P327" s="406">
        <v>324</v>
      </c>
      <c r="Q327" s="470" t="s">
        <v>688</v>
      </c>
      <c r="R327" s="460" t="s">
        <v>689</v>
      </c>
      <c r="S327" s="270" t="s">
        <v>32</v>
      </c>
      <c r="U327" s="471">
        <v>1</v>
      </c>
      <c r="V327" s="471"/>
      <c r="W327" s="471" t="s">
        <v>689</v>
      </c>
      <c r="X327" s="471">
        <v>0</v>
      </c>
      <c r="Y327" s="206"/>
      <c r="Z327" s="206"/>
    </row>
    <row r="328" spans="1:26">
      <c r="A328" s="406">
        <v>325</v>
      </c>
      <c r="B328" s="613" t="s">
        <v>2336</v>
      </c>
      <c r="C328" s="288" t="s">
        <v>690</v>
      </c>
      <c r="D328" s="414" t="s">
        <v>4072</v>
      </c>
      <c r="E328" s="407" t="s">
        <v>8230</v>
      </c>
      <c r="F328" s="483"/>
      <c r="G328" s="483"/>
      <c r="H328" s="483"/>
      <c r="I328" s="483"/>
      <c r="J328" s="483"/>
      <c r="K328" s="483"/>
      <c r="L328" s="608" t="s">
        <v>4884</v>
      </c>
      <c r="M328" s="409">
        <v>6182.7795275590552</v>
      </c>
      <c r="N328" s="409">
        <v>6182.7795275590552</v>
      </c>
      <c r="O328" s="410" t="s">
        <v>7575</v>
      </c>
      <c r="P328" s="406">
        <v>325</v>
      </c>
      <c r="Q328" s="470" t="s">
        <v>690</v>
      </c>
      <c r="R328" s="460" t="s">
        <v>691</v>
      </c>
      <c r="S328" s="270" t="s">
        <v>32</v>
      </c>
      <c r="U328" s="471">
        <v>1</v>
      </c>
      <c r="V328" s="471"/>
      <c r="W328" s="471" t="s">
        <v>691</v>
      </c>
      <c r="X328" s="471">
        <v>0</v>
      </c>
      <c r="Y328" s="206"/>
      <c r="Z328" s="206"/>
    </row>
    <row r="329" spans="1:26">
      <c r="A329" s="406">
        <v>326</v>
      </c>
      <c r="B329" s="613" t="s">
        <v>2593</v>
      </c>
      <c r="C329" s="288" t="s">
        <v>692</v>
      </c>
      <c r="D329" s="414" t="s">
        <v>3938</v>
      </c>
      <c r="E329" s="407" t="s">
        <v>8231</v>
      </c>
      <c r="F329" s="483"/>
      <c r="G329" s="483"/>
      <c r="H329" s="483"/>
      <c r="I329" s="483"/>
      <c r="J329" s="483"/>
      <c r="K329" s="483"/>
      <c r="L329" s="608" t="s">
        <v>4884</v>
      </c>
      <c r="M329" s="409">
        <v>7164.9370078740158</v>
      </c>
      <c r="N329" s="409">
        <v>7164.9370078740158</v>
      </c>
      <c r="O329" s="410" t="s">
        <v>7572</v>
      </c>
      <c r="P329" s="406">
        <v>326</v>
      </c>
      <c r="Q329" s="470" t="s">
        <v>692</v>
      </c>
      <c r="R329" s="460" t="s">
        <v>693</v>
      </c>
      <c r="S329" s="270" t="s">
        <v>32</v>
      </c>
      <c r="U329" s="471">
        <v>1</v>
      </c>
      <c r="V329" s="471"/>
      <c r="W329" s="471" t="s">
        <v>693</v>
      </c>
      <c r="X329" s="471">
        <v>0</v>
      </c>
      <c r="Y329" s="206"/>
      <c r="Z329" s="206"/>
    </row>
    <row r="330" spans="1:26">
      <c r="A330" s="406">
        <v>327</v>
      </c>
      <c r="B330" s="613" t="s">
        <v>2595</v>
      </c>
      <c r="C330" s="288" t="s">
        <v>694</v>
      </c>
      <c r="D330" s="414" t="s">
        <v>3935</v>
      </c>
      <c r="E330" s="407" t="s">
        <v>8232</v>
      </c>
      <c r="F330" s="483"/>
      <c r="G330" s="483"/>
      <c r="H330" s="483"/>
      <c r="I330" s="483"/>
      <c r="J330" s="483"/>
      <c r="K330" s="483"/>
      <c r="L330" s="608" t="s">
        <v>4884</v>
      </c>
      <c r="M330" s="409">
        <v>6733.6456692913389</v>
      </c>
      <c r="N330" s="409">
        <v>6733.6456692913389</v>
      </c>
      <c r="O330" s="410" t="s">
        <v>7576</v>
      </c>
      <c r="P330" s="406">
        <v>327</v>
      </c>
      <c r="Q330" s="470" t="s">
        <v>694</v>
      </c>
      <c r="R330" s="460" t="s">
        <v>695</v>
      </c>
      <c r="S330" s="270" t="s">
        <v>32</v>
      </c>
      <c r="U330" s="471">
        <v>1</v>
      </c>
      <c r="V330" s="471"/>
      <c r="W330" s="471" t="s">
        <v>695</v>
      </c>
      <c r="X330" s="471">
        <v>0</v>
      </c>
      <c r="Y330" s="206"/>
      <c r="Z330" s="206"/>
    </row>
    <row r="331" spans="1:26">
      <c r="A331" s="406">
        <v>328</v>
      </c>
      <c r="B331" s="613" t="s">
        <v>2601</v>
      </c>
      <c r="C331" s="288" t="s">
        <v>696</v>
      </c>
      <c r="D331" s="414" t="s">
        <v>3960</v>
      </c>
      <c r="E331" s="407" t="s">
        <v>8233</v>
      </c>
      <c r="F331" s="483"/>
      <c r="G331" s="483"/>
      <c r="H331" s="483"/>
      <c r="I331" s="483"/>
      <c r="J331" s="483"/>
      <c r="K331" s="483"/>
      <c r="L331" s="608" t="s">
        <v>4884</v>
      </c>
      <c r="M331" s="409">
        <v>5591.4566929133862</v>
      </c>
      <c r="N331" s="409">
        <v>5591.4566929133862</v>
      </c>
      <c r="O331" s="410" t="s">
        <v>7572</v>
      </c>
      <c r="P331" s="406">
        <v>328</v>
      </c>
      <c r="Q331" s="470" t="s">
        <v>696</v>
      </c>
      <c r="R331" s="460" t="s">
        <v>697</v>
      </c>
      <c r="S331" s="270" t="s">
        <v>32</v>
      </c>
      <c r="U331" s="471">
        <v>1</v>
      </c>
      <c r="V331" s="471"/>
      <c r="W331" s="471" t="s">
        <v>697</v>
      </c>
      <c r="X331" s="471">
        <v>0</v>
      </c>
      <c r="Y331" s="206"/>
      <c r="Z331" s="206"/>
    </row>
    <row r="332" spans="1:26">
      <c r="A332" s="406">
        <v>329</v>
      </c>
      <c r="B332" s="613" t="s">
        <v>2603</v>
      </c>
      <c r="C332" s="288" t="s">
        <v>698</v>
      </c>
      <c r="D332" s="414" t="s">
        <v>4018</v>
      </c>
      <c r="E332" s="407" t="s">
        <v>8234</v>
      </c>
      <c r="F332" s="483"/>
      <c r="G332" s="483"/>
      <c r="H332" s="483"/>
      <c r="I332" s="483"/>
      <c r="J332" s="483"/>
      <c r="K332" s="483"/>
      <c r="L332" s="608" t="s">
        <v>4884</v>
      </c>
      <c r="M332" s="409">
        <v>5554.5944881889773</v>
      </c>
      <c r="N332" s="409">
        <v>5554.5944881889773</v>
      </c>
      <c r="O332" s="410" t="s">
        <v>7576</v>
      </c>
      <c r="P332" s="406">
        <v>329</v>
      </c>
      <c r="Q332" s="470" t="s">
        <v>698</v>
      </c>
      <c r="R332" s="460" t="s">
        <v>699</v>
      </c>
      <c r="S332" s="270" t="s">
        <v>32</v>
      </c>
      <c r="U332" s="471">
        <v>1</v>
      </c>
      <c r="V332" s="471"/>
      <c r="W332" s="471" t="s">
        <v>699</v>
      </c>
      <c r="X332" s="471">
        <v>0</v>
      </c>
      <c r="Y332" s="206"/>
      <c r="Z332" s="206"/>
    </row>
    <row r="333" spans="1:26">
      <c r="A333" s="406">
        <v>330</v>
      </c>
      <c r="B333" s="613" t="s">
        <v>2330</v>
      </c>
      <c r="C333" s="288" t="s">
        <v>700</v>
      </c>
      <c r="D333" s="414" t="s">
        <v>3998</v>
      </c>
      <c r="E333" s="407" t="s">
        <v>8235</v>
      </c>
      <c r="F333" s="483"/>
      <c r="G333" s="483"/>
      <c r="H333" s="483"/>
      <c r="I333" s="483"/>
      <c r="J333" s="483"/>
      <c r="K333" s="483"/>
      <c r="L333" s="608" t="s">
        <v>4884</v>
      </c>
      <c r="M333" s="409">
        <v>5316.106299212599</v>
      </c>
      <c r="N333" s="409">
        <v>5316.106299212599</v>
      </c>
      <c r="O333" s="410" t="s">
        <v>7573</v>
      </c>
      <c r="P333" s="406">
        <v>330</v>
      </c>
      <c r="Q333" s="470" t="s">
        <v>700</v>
      </c>
      <c r="R333" s="460" t="s">
        <v>701</v>
      </c>
      <c r="S333" s="270" t="s">
        <v>32</v>
      </c>
      <c r="U333" s="471">
        <v>1</v>
      </c>
      <c r="V333" s="471"/>
      <c r="W333" s="471" t="s">
        <v>701</v>
      </c>
      <c r="X333" s="471">
        <v>0</v>
      </c>
      <c r="Y333" s="206"/>
      <c r="Z333" s="206"/>
    </row>
    <row r="334" spans="1:26">
      <c r="A334" s="406">
        <v>331</v>
      </c>
      <c r="B334" s="613" t="s">
        <v>2332</v>
      </c>
      <c r="C334" s="288" t="s">
        <v>702</v>
      </c>
      <c r="D334" s="414" t="s">
        <v>4030</v>
      </c>
      <c r="E334" s="407" t="s">
        <v>8236</v>
      </c>
      <c r="F334" s="483"/>
      <c r="G334" s="483"/>
      <c r="H334" s="483"/>
      <c r="I334" s="483"/>
      <c r="J334" s="483"/>
      <c r="K334" s="483"/>
      <c r="L334" s="608" t="s">
        <v>4884</v>
      </c>
      <c r="M334" s="409">
        <v>6379.4763779527566</v>
      </c>
      <c r="N334" s="409">
        <v>6379.4763779527566</v>
      </c>
      <c r="O334" s="410" t="s">
        <v>7574</v>
      </c>
      <c r="P334" s="406">
        <v>331</v>
      </c>
      <c r="Q334" s="470" t="s">
        <v>702</v>
      </c>
      <c r="R334" s="460" t="s">
        <v>703</v>
      </c>
      <c r="S334" s="270" t="s">
        <v>32</v>
      </c>
      <c r="U334" s="471">
        <v>1</v>
      </c>
      <c r="V334" s="471"/>
      <c r="W334" s="471" t="s">
        <v>703</v>
      </c>
      <c r="X334" s="471">
        <v>0</v>
      </c>
      <c r="Y334" s="206"/>
      <c r="Z334" s="206"/>
    </row>
    <row r="335" spans="1:26">
      <c r="A335" s="406">
        <v>332</v>
      </c>
      <c r="B335" s="613" t="s">
        <v>2338</v>
      </c>
      <c r="C335" s="288" t="s">
        <v>704</v>
      </c>
      <c r="D335" s="414" t="s">
        <v>4089</v>
      </c>
      <c r="E335" s="407" t="s">
        <v>8237</v>
      </c>
      <c r="F335" s="483"/>
      <c r="G335" s="483"/>
      <c r="H335" s="483"/>
      <c r="I335" s="483"/>
      <c r="J335" s="483"/>
      <c r="K335" s="483"/>
      <c r="L335" s="608" t="s">
        <v>4884</v>
      </c>
      <c r="M335" s="409">
        <v>5197.8700787401576</v>
      </c>
      <c r="N335" s="409">
        <v>5197.8700787401576</v>
      </c>
      <c r="O335" s="410" t="s">
        <v>7576</v>
      </c>
      <c r="P335" s="406">
        <v>332</v>
      </c>
      <c r="Q335" s="470" t="s">
        <v>704</v>
      </c>
      <c r="R335" s="460" t="s">
        <v>705</v>
      </c>
      <c r="S335" s="270" t="s">
        <v>32</v>
      </c>
      <c r="U335" s="471">
        <v>1</v>
      </c>
      <c r="V335" s="471"/>
      <c r="W335" s="471" t="s">
        <v>705</v>
      </c>
      <c r="X335" s="471">
        <v>0</v>
      </c>
      <c r="Y335" s="206"/>
      <c r="Z335" s="206"/>
    </row>
    <row r="336" spans="1:26">
      <c r="A336" s="406">
        <v>333</v>
      </c>
      <c r="B336" s="613" t="s">
        <v>2340</v>
      </c>
      <c r="C336" s="288" t="s">
        <v>706</v>
      </c>
      <c r="D336" s="414" t="s">
        <v>4094</v>
      </c>
      <c r="E336" s="407" t="s">
        <v>8238</v>
      </c>
      <c r="F336" s="483"/>
      <c r="G336" s="483"/>
      <c r="H336" s="483"/>
      <c r="I336" s="483"/>
      <c r="J336" s="483"/>
      <c r="K336" s="483"/>
      <c r="L336" s="608" t="s">
        <v>4884</v>
      </c>
      <c r="M336" s="409">
        <v>6302.2519685039379</v>
      </c>
      <c r="N336" s="409">
        <v>6302.2519685039379</v>
      </c>
      <c r="O336" s="410" t="s">
        <v>7576</v>
      </c>
      <c r="P336" s="406">
        <v>333</v>
      </c>
      <c r="Q336" s="470" t="s">
        <v>706</v>
      </c>
      <c r="R336" s="460" t="s">
        <v>707</v>
      </c>
      <c r="S336" s="270" t="s">
        <v>32</v>
      </c>
      <c r="U336" s="471">
        <v>1</v>
      </c>
      <c r="V336" s="471"/>
      <c r="W336" s="471" t="s">
        <v>707</v>
      </c>
      <c r="X336" s="471">
        <v>0</v>
      </c>
    </row>
    <row r="337" spans="1:26">
      <c r="A337" s="406">
        <v>334</v>
      </c>
      <c r="B337" s="613" t="s">
        <v>3107</v>
      </c>
      <c r="C337" s="288" t="s">
        <v>708</v>
      </c>
      <c r="D337" s="414" t="s">
        <v>3981</v>
      </c>
      <c r="E337" s="407" t="s">
        <v>8239</v>
      </c>
      <c r="F337" s="483" t="s">
        <v>3106</v>
      </c>
      <c r="G337" s="483" t="s">
        <v>3105</v>
      </c>
      <c r="H337" s="411" t="s">
        <v>3108</v>
      </c>
      <c r="I337" s="411"/>
      <c r="J337" s="411"/>
      <c r="K337" s="411"/>
      <c r="L337" s="608">
        <v>6522.4133858267714</v>
      </c>
      <c r="M337" s="409">
        <v>460.1692913385827</v>
      </c>
      <c r="N337" s="409">
        <v>6982.5826771653547</v>
      </c>
      <c r="O337" s="410" t="s">
        <v>7770</v>
      </c>
      <c r="P337" s="406">
        <v>334</v>
      </c>
      <c r="Q337" s="470" t="s">
        <v>708</v>
      </c>
      <c r="R337" s="460" t="s">
        <v>709</v>
      </c>
      <c r="S337" s="270" t="s">
        <v>32</v>
      </c>
      <c r="U337" s="466">
        <v>1</v>
      </c>
      <c r="V337" s="471"/>
      <c r="W337" s="471" t="s">
        <v>709</v>
      </c>
      <c r="X337" s="471">
        <v>0</v>
      </c>
    </row>
    <row r="338" spans="1:26">
      <c r="A338" s="406">
        <v>335</v>
      </c>
      <c r="B338" s="613" t="s">
        <v>2760</v>
      </c>
      <c r="C338" s="288" t="s">
        <v>710</v>
      </c>
      <c r="D338" s="414" t="s">
        <v>3522</v>
      </c>
      <c r="E338" s="407" t="s">
        <v>8240</v>
      </c>
      <c r="F338" s="483"/>
      <c r="G338" s="483"/>
      <c r="H338" s="483"/>
      <c r="I338" s="483"/>
      <c r="J338" s="483"/>
      <c r="K338" s="483"/>
      <c r="L338" s="608" t="s">
        <v>4884</v>
      </c>
      <c r="M338" s="409">
        <v>17637.70472440945</v>
      </c>
      <c r="N338" s="409">
        <v>17637.70472440945</v>
      </c>
      <c r="O338" s="410" t="s">
        <v>7573</v>
      </c>
      <c r="P338" s="406">
        <v>335</v>
      </c>
      <c r="Q338" s="470" t="s">
        <v>710</v>
      </c>
      <c r="R338" s="460" t="s">
        <v>711</v>
      </c>
      <c r="S338" s="270" t="s">
        <v>7</v>
      </c>
      <c r="U338" s="471">
        <v>0</v>
      </c>
      <c r="V338" s="471">
        <v>0</v>
      </c>
      <c r="W338" s="479" t="s">
        <v>711</v>
      </c>
      <c r="X338" s="471">
        <v>1</v>
      </c>
    </row>
    <row r="339" spans="1:26">
      <c r="A339" s="406">
        <v>336</v>
      </c>
      <c r="B339" s="613" t="s">
        <v>2761</v>
      </c>
      <c r="C339" s="288" t="s">
        <v>712</v>
      </c>
      <c r="D339" s="414" t="s">
        <v>3478</v>
      </c>
      <c r="E339" s="407" t="s">
        <v>8241</v>
      </c>
      <c r="F339" s="483"/>
      <c r="G339" s="483"/>
      <c r="H339" s="483"/>
      <c r="I339" s="483"/>
      <c r="J339" s="483"/>
      <c r="K339" s="483"/>
      <c r="L339" s="608" t="s">
        <v>4884</v>
      </c>
      <c r="M339" s="409">
        <v>18273.287401574806</v>
      </c>
      <c r="N339" s="409">
        <v>18273.287401574806</v>
      </c>
      <c r="O339" s="410" t="s">
        <v>7575</v>
      </c>
      <c r="P339" s="406">
        <v>336</v>
      </c>
      <c r="Q339" s="470" t="s">
        <v>712</v>
      </c>
      <c r="R339" s="460" t="s">
        <v>713</v>
      </c>
      <c r="S339" s="270" t="s">
        <v>7</v>
      </c>
      <c r="U339" s="471"/>
      <c r="V339" s="471"/>
      <c r="W339" s="471" t="s">
        <v>713</v>
      </c>
      <c r="X339" s="471">
        <v>1</v>
      </c>
    </row>
    <row r="340" spans="1:26">
      <c r="A340" s="406">
        <v>337</v>
      </c>
      <c r="B340" s="613" t="s">
        <v>7020</v>
      </c>
      <c r="C340" s="288" t="s">
        <v>714</v>
      </c>
      <c r="D340" s="414" t="s">
        <v>4884</v>
      </c>
      <c r="E340" s="407"/>
      <c r="F340" s="483"/>
      <c r="G340" s="483"/>
      <c r="H340" s="483"/>
      <c r="I340" s="483"/>
      <c r="J340" s="483"/>
      <c r="K340" s="483"/>
      <c r="L340" s="608" t="s">
        <v>4884</v>
      </c>
      <c r="M340" s="409" t="s">
        <v>4884</v>
      </c>
      <c r="N340" s="409" t="s">
        <v>4884</v>
      </c>
      <c r="O340" s="410" t="s">
        <v>4884</v>
      </c>
      <c r="P340" s="406">
        <v>337</v>
      </c>
      <c r="Q340" s="470" t="s">
        <v>714</v>
      </c>
      <c r="R340" s="475" t="s">
        <v>715</v>
      </c>
      <c r="S340" s="270" t="s">
        <v>716</v>
      </c>
      <c r="U340" s="471"/>
      <c r="V340" s="471">
        <v>0</v>
      </c>
      <c r="W340" s="471"/>
      <c r="X340" s="471"/>
      <c r="Z340" s="270" t="s">
        <v>717</v>
      </c>
    </row>
    <row r="341" spans="1:26">
      <c r="A341" s="406">
        <v>338</v>
      </c>
      <c r="B341" s="613" t="s">
        <v>7020</v>
      </c>
      <c r="C341" s="288" t="s">
        <v>718</v>
      </c>
      <c r="D341" s="414" t="s">
        <v>4884</v>
      </c>
      <c r="E341" s="407"/>
      <c r="F341" s="483"/>
      <c r="G341" s="483"/>
      <c r="H341" s="483"/>
      <c r="I341" s="483"/>
      <c r="J341" s="483"/>
      <c r="K341" s="483"/>
      <c r="L341" s="608" t="s">
        <v>4884</v>
      </c>
      <c r="M341" s="409" t="s">
        <v>4884</v>
      </c>
      <c r="N341" s="409" t="s">
        <v>4884</v>
      </c>
      <c r="O341" s="410" t="s">
        <v>4884</v>
      </c>
      <c r="P341" s="406">
        <v>338</v>
      </c>
      <c r="Q341" s="470" t="s">
        <v>718</v>
      </c>
      <c r="R341" s="475" t="s">
        <v>719</v>
      </c>
      <c r="S341" s="270" t="s">
        <v>716</v>
      </c>
      <c r="U341" s="471"/>
      <c r="V341" s="471">
        <v>0</v>
      </c>
      <c r="W341" s="471"/>
      <c r="X341" s="471"/>
      <c r="Z341" s="270" t="s">
        <v>717</v>
      </c>
    </row>
    <row r="342" spans="1:26">
      <c r="A342" s="406">
        <v>339</v>
      </c>
      <c r="B342" s="613" t="s">
        <v>2510</v>
      </c>
      <c r="C342" s="288" t="s">
        <v>720</v>
      </c>
      <c r="D342" s="414" t="s">
        <v>4056</v>
      </c>
      <c r="E342" s="407" t="s">
        <v>8242</v>
      </c>
      <c r="F342" s="483"/>
      <c r="G342" s="483"/>
      <c r="H342" s="483"/>
      <c r="I342" s="483"/>
      <c r="J342" s="483"/>
      <c r="K342" s="483"/>
      <c r="L342" s="608" t="s">
        <v>4884</v>
      </c>
      <c r="M342" s="409">
        <v>5983.5118110236226</v>
      </c>
      <c r="N342" s="409">
        <v>5983.5118110236226</v>
      </c>
      <c r="O342" s="410" t="s">
        <v>7569</v>
      </c>
      <c r="P342" s="406">
        <v>339</v>
      </c>
      <c r="Q342" s="470" t="s">
        <v>720</v>
      </c>
      <c r="R342" s="460" t="s">
        <v>721</v>
      </c>
      <c r="S342" s="270" t="s">
        <v>32</v>
      </c>
      <c r="U342" s="471">
        <v>1</v>
      </c>
      <c r="V342" s="471"/>
      <c r="W342" s="471" t="s">
        <v>721</v>
      </c>
      <c r="X342" s="471">
        <v>0</v>
      </c>
    </row>
    <row r="343" spans="1:26">
      <c r="A343" s="406">
        <v>340</v>
      </c>
      <c r="B343" s="613" t="s">
        <v>2511</v>
      </c>
      <c r="C343" s="288" t="s">
        <v>722</v>
      </c>
      <c r="D343" s="414" t="s">
        <v>4058</v>
      </c>
      <c r="E343" s="407" t="s">
        <v>8243</v>
      </c>
      <c r="F343" s="483"/>
      <c r="G343" s="483"/>
      <c r="H343" s="483"/>
      <c r="I343" s="483"/>
      <c r="J343" s="483"/>
      <c r="K343" s="483"/>
      <c r="L343" s="608" t="s">
        <v>4884</v>
      </c>
      <c r="M343" s="409">
        <v>5983.6299212598424</v>
      </c>
      <c r="N343" s="409">
        <v>5983.6299212598424</v>
      </c>
      <c r="O343" s="410" t="s">
        <v>7569</v>
      </c>
      <c r="P343" s="406">
        <v>340</v>
      </c>
      <c r="Q343" s="470" t="s">
        <v>722</v>
      </c>
      <c r="R343" s="460" t="s">
        <v>723</v>
      </c>
      <c r="S343" s="270" t="s">
        <v>32</v>
      </c>
      <c r="U343" s="471">
        <v>1</v>
      </c>
      <c r="V343" s="471"/>
      <c r="W343" s="471" t="s">
        <v>723</v>
      </c>
      <c r="X343" s="471">
        <v>0</v>
      </c>
    </row>
    <row r="344" spans="1:26">
      <c r="A344" s="406">
        <v>341</v>
      </c>
      <c r="B344" s="613" t="s">
        <v>3109</v>
      </c>
      <c r="C344" s="288" t="s">
        <v>724</v>
      </c>
      <c r="D344" s="414" t="s">
        <v>4064</v>
      </c>
      <c r="E344" s="407" t="s">
        <v>8244</v>
      </c>
      <c r="F344" s="483"/>
      <c r="G344" s="483"/>
      <c r="H344" s="483"/>
      <c r="I344" s="483"/>
      <c r="J344" s="483"/>
      <c r="K344" s="483"/>
      <c r="L344" s="608" t="s">
        <v>4884</v>
      </c>
      <c r="M344" s="409">
        <v>5982.4566929133862</v>
      </c>
      <c r="N344" s="409">
        <v>5982.4566929133862</v>
      </c>
      <c r="O344" s="410" t="s">
        <v>7574</v>
      </c>
      <c r="P344" s="406">
        <v>341</v>
      </c>
      <c r="Q344" s="470" t="s">
        <v>724</v>
      </c>
      <c r="R344" s="460" t="s">
        <v>725</v>
      </c>
      <c r="S344" s="270" t="s">
        <v>32</v>
      </c>
      <c r="U344" s="471">
        <v>1</v>
      </c>
      <c r="V344" s="471"/>
      <c r="W344" s="471" t="s">
        <v>725</v>
      </c>
      <c r="X344" s="471">
        <v>0</v>
      </c>
    </row>
    <row r="345" spans="1:26">
      <c r="A345" s="406">
        <v>342</v>
      </c>
      <c r="B345" s="613" t="s">
        <v>2502</v>
      </c>
      <c r="C345" s="288" t="s">
        <v>726</v>
      </c>
      <c r="D345" s="414" t="s">
        <v>4007</v>
      </c>
      <c r="E345" s="407" t="s">
        <v>8245</v>
      </c>
      <c r="F345" s="483"/>
      <c r="G345" s="483"/>
      <c r="H345" s="483"/>
      <c r="I345" s="483"/>
      <c r="J345" s="483"/>
      <c r="K345" s="483"/>
      <c r="L345" s="608" t="s">
        <v>4884</v>
      </c>
      <c r="M345" s="409">
        <v>5983.2204724409457</v>
      </c>
      <c r="N345" s="409">
        <v>5983.2204724409457</v>
      </c>
      <c r="O345" s="410" t="s">
        <v>7569</v>
      </c>
      <c r="P345" s="406">
        <v>342</v>
      </c>
      <c r="Q345" s="470" t="s">
        <v>726</v>
      </c>
      <c r="R345" s="460" t="s">
        <v>727</v>
      </c>
      <c r="S345" s="270" t="s">
        <v>32</v>
      </c>
      <c r="U345" s="471">
        <v>1</v>
      </c>
      <c r="V345" s="471"/>
      <c r="W345" s="471" t="s">
        <v>727</v>
      </c>
      <c r="X345" s="471">
        <v>0</v>
      </c>
    </row>
    <row r="346" spans="1:26">
      <c r="A346" s="406">
        <v>343</v>
      </c>
      <c r="B346" s="613" t="s">
        <v>2504</v>
      </c>
      <c r="C346" s="288" t="s">
        <v>728</v>
      </c>
      <c r="D346" s="414" t="s">
        <v>4062</v>
      </c>
      <c r="E346" s="407" t="s">
        <v>8246</v>
      </c>
      <c r="F346" s="483"/>
      <c r="G346" s="483"/>
      <c r="H346" s="483"/>
      <c r="I346" s="483"/>
      <c r="J346" s="483"/>
      <c r="K346" s="483"/>
      <c r="L346" s="608" t="s">
        <v>4884</v>
      </c>
      <c r="M346" s="409">
        <v>5983.9842519685044</v>
      </c>
      <c r="N346" s="409">
        <v>5983.9842519685044</v>
      </c>
      <c r="O346" s="410" t="s">
        <v>7576</v>
      </c>
      <c r="P346" s="406">
        <v>343</v>
      </c>
      <c r="Q346" s="470" t="s">
        <v>728</v>
      </c>
      <c r="R346" s="460" t="s">
        <v>729</v>
      </c>
      <c r="S346" s="270" t="s">
        <v>32</v>
      </c>
      <c r="U346" s="471">
        <v>1</v>
      </c>
      <c r="V346" s="471"/>
      <c r="W346" s="471" t="s">
        <v>729</v>
      </c>
      <c r="X346" s="471">
        <v>0</v>
      </c>
    </row>
    <row r="347" spans="1:26">
      <c r="A347" s="406">
        <v>344</v>
      </c>
      <c r="B347" s="613" t="s">
        <v>2506</v>
      </c>
      <c r="C347" s="288" t="s">
        <v>730</v>
      </c>
      <c r="D347" s="414" t="s">
        <v>4055</v>
      </c>
      <c r="E347" s="407" t="s">
        <v>8247</v>
      </c>
      <c r="F347" s="483"/>
      <c r="G347" s="483"/>
      <c r="H347" s="483"/>
      <c r="I347" s="483"/>
      <c r="J347" s="483"/>
      <c r="K347" s="483"/>
      <c r="L347" s="608" t="s">
        <v>4884</v>
      </c>
      <c r="M347" s="409">
        <v>5983.4055118110236</v>
      </c>
      <c r="N347" s="409">
        <v>5983.4055118110236</v>
      </c>
      <c r="O347" s="410" t="s">
        <v>7569</v>
      </c>
      <c r="P347" s="406">
        <v>344</v>
      </c>
      <c r="Q347" s="470" t="s">
        <v>730</v>
      </c>
      <c r="R347" s="460" t="s">
        <v>731</v>
      </c>
      <c r="S347" s="270" t="s">
        <v>32</v>
      </c>
      <c r="U347" s="471">
        <v>1</v>
      </c>
      <c r="V347" s="471"/>
      <c r="W347" s="471" t="s">
        <v>731</v>
      </c>
      <c r="X347" s="471">
        <v>0</v>
      </c>
    </row>
    <row r="348" spans="1:26">
      <c r="A348" s="406">
        <v>345</v>
      </c>
      <c r="B348" s="613" t="s">
        <v>2508</v>
      </c>
      <c r="C348" s="288" t="s">
        <v>732</v>
      </c>
      <c r="D348" s="414" t="s">
        <v>4004</v>
      </c>
      <c r="E348" s="407" t="s">
        <v>8248</v>
      </c>
      <c r="F348" s="483"/>
      <c r="G348" s="483"/>
      <c r="H348" s="483"/>
      <c r="I348" s="483"/>
      <c r="J348" s="483"/>
      <c r="K348" s="483"/>
      <c r="L348" s="608" t="s">
        <v>4884</v>
      </c>
      <c r="M348" s="409">
        <v>5984.1889763779527</v>
      </c>
      <c r="N348" s="409">
        <v>5984.1889763779527</v>
      </c>
      <c r="O348" s="410" t="s">
        <v>7576</v>
      </c>
      <c r="P348" s="406">
        <v>345</v>
      </c>
      <c r="Q348" s="470" t="s">
        <v>732</v>
      </c>
      <c r="R348" s="460" t="s">
        <v>733</v>
      </c>
      <c r="S348" s="270" t="s">
        <v>32</v>
      </c>
      <c r="U348" s="471">
        <v>1</v>
      </c>
      <c r="V348" s="471"/>
      <c r="W348" s="471" t="s">
        <v>733</v>
      </c>
      <c r="X348" s="471">
        <v>0</v>
      </c>
    </row>
    <row r="349" spans="1:26">
      <c r="A349" s="406">
        <v>346</v>
      </c>
      <c r="B349" s="613" t="s">
        <v>2503</v>
      </c>
      <c r="C349" s="288" t="s">
        <v>734</v>
      </c>
      <c r="D349" s="414" t="s">
        <v>4008</v>
      </c>
      <c r="E349" s="407" t="s">
        <v>8249</v>
      </c>
      <c r="F349" s="483"/>
      <c r="G349" s="483"/>
      <c r="H349" s="483"/>
      <c r="I349" s="483"/>
      <c r="J349" s="483"/>
      <c r="K349" s="483"/>
      <c r="L349" s="608" t="s">
        <v>4884</v>
      </c>
      <c r="M349" s="409">
        <v>5983.712598425197</v>
      </c>
      <c r="N349" s="409">
        <v>5983.712598425197</v>
      </c>
      <c r="O349" s="410" t="s">
        <v>7569</v>
      </c>
      <c r="P349" s="406">
        <v>346</v>
      </c>
      <c r="Q349" s="470" t="s">
        <v>734</v>
      </c>
      <c r="R349" s="460" t="s">
        <v>735</v>
      </c>
      <c r="S349" s="270" t="s">
        <v>32</v>
      </c>
      <c r="U349" s="471">
        <v>1</v>
      </c>
      <c r="V349" s="471"/>
      <c r="W349" s="471" t="s">
        <v>735</v>
      </c>
      <c r="X349" s="471">
        <v>0</v>
      </c>
    </row>
    <row r="350" spans="1:26">
      <c r="A350" s="406">
        <v>347</v>
      </c>
      <c r="B350" s="613" t="s">
        <v>2505</v>
      </c>
      <c r="C350" s="288" t="s">
        <v>736</v>
      </c>
      <c r="D350" s="414" t="s">
        <v>4060</v>
      </c>
      <c r="E350" s="407" t="s">
        <v>8250</v>
      </c>
      <c r="F350" s="483"/>
      <c r="G350" s="483"/>
      <c r="H350" s="483"/>
      <c r="I350" s="483"/>
      <c r="J350" s="483"/>
      <c r="K350" s="483"/>
      <c r="L350" s="608" t="s">
        <v>4884</v>
      </c>
      <c r="M350" s="409">
        <v>5982.9803149606305</v>
      </c>
      <c r="N350" s="409">
        <v>5982.9803149606305</v>
      </c>
      <c r="O350" s="410" t="s">
        <v>7576</v>
      </c>
      <c r="P350" s="406">
        <v>347</v>
      </c>
      <c r="Q350" s="470" t="s">
        <v>736</v>
      </c>
      <c r="R350" s="460" t="s">
        <v>737</v>
      </c>
      <c r="S350" s="270" t="s">
        <v>32</v>
      </c>
      <c r="U350" s="471">
        <v>1</v>
      </c>
      <c r="V350" s="471"/>
      <c r="W350" s="471" t="s">
        <v>737</v>
      </c>
      <c r="X350" s="471">
        <v>0</v>
      </c>
    </row>
    <row r="351" spans="1:26">
      <c r="A351" s="406">
        <v>348</v>
      </c>
      <c r="B351" s="613" t="s">
        <v>2507</v>
      </c>
      <c r="C351" s="288" t="s">
        <v>738</v>
      </c>
      <c r="D351" s="414" t="s">
        <v>4053</v>
      </c>
      <c r="E351" s="407" t="s">
        <v>8251</v>
      </c>
      <c r="F351" s="483"/>
      <c r="G351" s="483"/>
      <c r="H351" s="483"/>
      <c r="I351" s="483"/>
      <c r="J351" s="483"/>
      <c r="K351" s="483"/>
      <c r="L351" s="608" t="s">
        <v>4884</v>
      </c>
      <c r="M351" s="409">
        <v>5983.3070866141734</v>
      </c>
      <c r="N351" s="409">
        <v>5983.3070866141734</v>
      </c>
      <c r="O351" s="410" t="s">
        <v>7569</v>
      </c>
      <c r="P351" s="406">
        <v>348</v>
      </c>
      <c r="Q351" s="470" t="s">
        <v>738</v>
      </c>
      <c r="R351" s="460" t="s">
        <v>739</v>
      </c>
      <c r="S351" s="270" t="s">
        <v>32</v>
      </c>
      <c r="U351" s="471">
        <v>1</v>
      </c>
      <c r="V351" s="471"/>
      <c r="W351" s="471" t="s">
        <v>739</v>
      </c>
      <c r="X351" s="471">
        <v>0</v>
      </c>
    </row>
    <row r="352" spans="1:26">
      <c r="A352" s="406">
        <v>349</v>
      </c>
      <c r="B352" s="613" t="s">
        <v>2509</v>
      </c>
      <c r="C352" s="288" t="s">
        <v>740</v>
      </c>
      <c r="D352" s="414" t="s">
        <v>4006</v>
      </c>
      <c r="E352" s="407" t="s">
        <v>8252</v>
      </c>
      <c r="F352" s="483"/>
      <c r="G352" s="483"/>
      <c r="H352" s="483"/>
      <c r="I352" s="483"/>
      <c r="J352" s="483"/>
      <c r="K352" s="483"/>
      <c r="L352" s="608" t="s">
        <v>4884</v>
      </c>
      <c r="M352" s="409">
        <v>5983.6181102362207</v>
      </c>
      <c r="N352" s="409">
        <v>5983.6181102362207</v>
      </c>
      <c r="O352" s="410" t="s">
        <v>7576</v>
      </c>
      <c r="P352" s="406">
        <v>349</v>
      </c>
      <c r="Q352" s="470" t="s">
        <v>740</v>
      </c>
      <c r="R352" s="460" t="s">
        <v>741</v>
      </c>
      <c r="S352" s="270" t="s">
        <v>32</v>
      </c>
      <c r="U352" s="471">
        <v>1</v>
      </c>
      <c r="V352" s="471"/>
      <c r="W352" s="471" t="s">
        <v>741</v>
      </c>
      <c r="X352" s="471">
        <v>0</v>
      </c>
    </row>
    <row r="353" spans="1:26">
      <c r="A353" s="406">
        <v>350</v>
      </c>
      <c r="B353" s="613" t="s">
        <v>7020</v>
      </c>
      <c r="C353" s="288" t="s">
        <v>742</v>
      </c>
      <c r="D353" s="414" t="s">
        <v>4884</v>
      </c>
      <c r="E353" s="407"/>
      <c r="F353" s="483"/>
      <c r="G353" s="483"/>
      <c r="H353" s="483"/>
      <c r="I353" s="483"/>
      <c r="J353" s="483"/>
      <c r="K353" s="483"/>
      <c r="L353" s="608" t="s">
        <v>4884</v>
      </c>
      <c r="M353" s="409" t="s">
        <v>4884</v>
      </c>
      <c r="N353" s="409" t="s">
        <v>4884</v>
      </c>
      <c r="O353" s="410" t="s">
        <v>4884</v>
      </c>
      <c r="P353" s="406">
        <v>350</v>
      </c>
      <c r="Q353" s="470" t="s">
        <v>742</v>
      </c>
      <c r="R353" s="475" t="s">
        <v>743</v>
      </c>
      <c r="S353" s="270" t="s">
        <v>716</v>
      </c>
      <c r="U353" s="471"/>
      <c r="V353" s="471">
        <v>0</v>
      </c>
      <c r="W353" s="471"/>
      <c r="X353" s="471"/>
      <c r="Z353" s="270" t="s">
        <v>717</v>
      </c>
    </row>
    <row r="354" spans="1:26">
      <c r="A354" s="406">
        <v>351</v>
      </c>
      <c r="B354" s="613" t="s">
        <v>7020</v>
      </c>
      <c r="C354" s="288" t="s">
        <v>744</v>
      </c>
      <c r="D354" s="414" t="s">
        <v>4884</v>
      </c>
      <c r="E354" s="407"/>
      <c r="F354" s="483"/>
      <c r="G354" s="483"/>
      <c r="H354" s="483"/>
      <c r="I354" s="483"/>
      <c r="J354" s="483"/>
      <c r="K354" s="483"/>
      <c r="L354" s="608" t="s">
        <v>4884</v>
      </c>
      <c r="M354" s="409" t="s">
        <v>4884</v>
      </c>
      <c r="N354" s="409" t="s">
        <v>4884</v>
      </c>
      <c r="O354" s="410" t="s">
        <v>4884</v>
      </c>
      <c r="P354" s="406">
        <v>351</v>
      </c>
      <c r="Q354" s="470" t="s">
        <v>744</v>
      </c>
      <c r="R354" s="475" t="s">
        <v>745</v>
      </c>
      <c r="S354" s="270" t="s">
        <v>716</v>
      </c>
      <c r="U354" s="471"/>
      <c r="V354" s="471">
        <v>0</v>
      </c>
      <c r="W354" s="471"/>
      <c r="X354" s="471"/>
      <c r="Z354" s="270" t="s">
        <v>717</v>
      </c>
    </row>
    <row r="355" spans="1:26">
      <c r="A355" s="406">
        <v>352</v>
      </c>
      <c r="B355" s="613" t="s">
        <v>7020</v>
      </c>
      <c r="C355" s="288" t="s">
        <v>746</v>
      </c>
      <c r="D355" s="414" t="s">
        <v>4884</v>
      </c>
      <c r="E355" s="407"/>
      <c r="F355" s="483"/>
      <c r="G355" s="483"/>
      <c r="H355" s="483"/>
      <c r="I355" s="483"/>
      <c r="J355" s="483"/>
      <c r="K355" s="483"/>
      <c r="L355" s="608" t="s">
        <v>4884</v>
      </c>
      <c r="M355" s="409" t="s">
        <v>4884</v>
      </c>
      <c r="N355" s="409" t="s">
        <v>4884</v>
      </c>
      <c r="O355" s="410" t="s">
        <v>4884</v>
      </c>
      <c r="P355" s="406">
        <v>352</v>
      </c>
      <c r="Q355" s="470" t="s">
        <v>746</v>
      </c>
      <c r="R355" s="475" t="s">
        <v>747</v>
      </c>
      <c r="S355" s="270" t="s">
        <v>716</v>
      </c>
      <c r="U355" s="471">
        <v>0</v>
      </c>
      <c r="V355" s="471">
        <v>0</v>
      </c>
      <c r="W355" s="471"/>
      <c r="X355" s="471"/>
      <c r="Z355" s="270" t="s">
        <v>717</v>
      </c>
    </row>
    <row r="356" spans="1:26">
      <c r="A356" s="406">
        <v>353</v>
      </c>
      <c r="B356" s="613" t="s">
        <v>7020</v>
      </c>
      <c r="C356" s="288" t="s">
        <v>749</v>
      </c>
      <c r="D356" s="414" t="s">
        <v>4884</v>
      </c>
      <c r="E356" s="407"/>
      <c r="F356" s="483"/>
      <c r="G356" s="483"/>
      <c r="H356" s="483"/>
      <c r="I356" s="483"/>
      <c r="J356" s="483"/>
      <c r="K356" s="483"/>
      <c r="L356" s="608" t="s">
        <v>4884</v>
      </c>
      <c r="M356" s="409" t="s">
        <v>4884</v>
      </c>
      <c r="N356" s="409" t="s">
        <v>4884</v>
      </c>
      <c r="O356" s="410" t="s">
        <v>4884</v>
      </c>
      <c r="P356" s="406">
        <v>353</v>
      </c>
      <c r="Q356" s="470" t="s">
        <v>749</v>
      </c>
      <c r="R356" s="475" t="s">
        <v>750</v>
      </c>
      <c r="S356" s="270" t="s">
        <v>716</v>
      </c>
      <c r="U356" s="471">
        <v>0</v>
      </c>
      <c r="V356" s="471">
        <v>0</v>
      </c>
      <c r="W356" s="471"/>
      <c r="X356" s="471"/>
      <c r="Z356" s="270" t="s">
        <v>717</v>
      </c>
    </row>
    <row r="357" spans="1:26">
      <c r="A357" s="406">
        <v>354</v>
      </c>
      <c r="B357" s="613" t="s">
        <v>7020</v>
      </c>
      <c r="C357" s="288" t="s">
        <v>751</v>
      </c>
      <c r="D357" s="414" t="s">
        <v>4884</v>
      </c>
      <c r="E357" s="407"/>
      <c r="F357" s="483"/>
      <c r="G357" s="483"/>
      <c r="H357" s="483"/>
      <c r="I357" s="483"/>
      <c r="J357" s="483"/>
      <c r="K357" s="483"/>
      <c r="L357" s="608" t="s">
        <v>4884</v>
      </c>
      <c r="M357" s="409" t="s">
        <v>4884</v>
      </c>
      <c r="N357" s="409" t="s">
        <v>4884</v>
      </c>
      <c r="O357" s="410" t="s">
        <v>4884</v>
      </c>
      <c r="P357" s="406">
        <v>354</v>
      </c>
      <c r="Q357" s="470" t="s">
        <v>751</v>
      </c>
      <c r="R357" s="475" t="s">
        <v>752</v>
      </c>
      <c r="S357" s="270" t="s">
        <v>716</v>
      </c>
      <c r="U357" s="471"/>
      <c r="V357" s="471">
        <v>0</v>
      </c>
      <c r="W357" s="471"/>
      <c r="X357" s="471"/>
      <c r="Z357" s="270" t="s">
        <v>717</v>
      </c>
    </row>
    <row r="358" spans="1:26">
      <c r="A358" s="406">
        <v>355</v>
      </c>
      <c r="B358" s="613" t="s">
        <v>7020</v>
      </c>
      <c r="C358" s="288" t="s">
        <v>753</v>
      </c>
      <c r="D358" s="414" t="s">
        <v>4884</v>
      </c>
      <c r="E358" s="407"/>
      <c r="F358" s="483"/>
      <c r="G358" s="483"/>
      <c r="H358" s="483"/>
      <c r="I358" s="483"/>
      <c r="J358" s="483"/>
      <c r="K358" s="483"/>
      <c r="L358" s="608" t="s">
        <v>4884</v>
      </c>
      <c r="M358" s="409" t="s">
        <v>4884</v>
      </c>
      <c r="N358" s="409" t="s">
        <v>4884</v>
      </c>
      <c r="O358" s="410" t="s">
        <v>4884</v>
      </c>
      <c r="P358" s="406">
        <v>355</v>
      </c>
      <c r="Q358" s="470" t="s">
        <v>753</v>
      </c>
      <c r="R358" s="475" t="s">
        <v>754</v>
      </c>
      <c r="S358" s="270" t="s">
        <v>716</v>
      </c>
      <c r="U358" s="471"/>
      <c r="V358" s="471">
        <v>0</v>
      </c>
      <c r="W358" s="471"/>
      <c r="X358" s="471"/>
      <c r="Z358" s="270" t="s">
        <v>717</v>
      </c>
    </row>
    <row r="359" spans="1:26">
      <c r="A359" s="406">
        <v>356</v>
      </c>
      <c r="B359" s="613" t="s">
        <v>7020</v>
      </c>
      <c r="C359" s="288" t="s">
        <v>755</v>
      </c>
      <c r="D359" s="414" t="s">
        <v>4884</v>
      </c>
      <c r="E359" s="407"/>
      <c r="F359" s="483" t="s">
        <v>3160</v>
      </c>
      <c r="G359" s="411"/>
      <c r="H359" s="411"/>
      <c r="I359" s="411"/>
      <c r="J359" s="411"/>
      <c r="K359" s="411"/>
      <c r="L359" s="608" t="s">
        <v>4884</v>
      </c>
      <c r="M359" s="409" t="s">
        <v>4884</v>
      </c>
      <c r="N359" s="409" t="s">
        <v>4884</v>
      </c>
      <c r="O359" s="410" t="s">
        <v>4884</v>
      </c>
      <c r="P359" s="406">
        <v>356</v>
      </c>
      <c r="Q359" s="470" t="s">
        <v>755</v>
      </c>
      <c r="R359" s="460" t="s">
        <v>756</v>
      </c>
      <c r="S359" s="270" t="s">
        <v>7</v>
      </c>
      <c r="U359" s="471"/>
      <c r="V359" s="471"/>
      <c r="W359" s="471" t="s">
        <v>756</v>
      </c>
      <c r="X359" s="471">
        <v>0</v>
      </c>
      <c r="Z359" s="270" t="s">
        <v>717</v>
      </c>
    </row>
    <row r="360" spans="1:26">
      <c r="A360" s="406">
        <v>357</v>
      </c>
      <c r="B360" s="613" t="s">
        <v>3140</v>
      </c>
      <c r="C360" s="288" t="s">
        <v>757</v>
      </c>
      <c r="D360" s="414" t="s">
        <v>3916</v>
      </c>
      <c r="E360" s="407" t="s">
        <v>8253</v>
      </c>
      <c r="F360" s="483"/>
      <c r="G360" s="483"/>
      <c r="H360" s="483"/>
      <c r="I360" s="483"/>
      <c r="J360" s="483"/>
      <c r="K360" s="483"/>
      <c r="L360" s="608" t="s">
        <v>4884</v>
      </c>
      <c r="M360" s="409">
        <v>6150.4724409448827</v>
      </c>
      <c r="N360" s="409">
        <v>6150.4724409448827</v>
      </c>
      <c r="O360" s="410" t="s">
        <v>7569</v>
      </c>
      <c r="P360" s="406">
        <v>357</v>
      </c>
      <c r="Q360" s="470" t="s">
        <v>757</v>
      </c>
      <c r="R360" s="460" t="s">
        <v>758</v>
      </c>
      <c r="S360" s="270" t="s">
        <v>32</v>
      </c>
      <c r="U360" s="471"/>
      <c r="V360" s="471">
        <v>1</v>
      </c>
      <c r="W360" s="471" t="s">
        <v>758</v>
      </c>
      <c r="X360" s="471">
        <v>0</v>
      </c>
    </row>
    <row r="361" spans="1:26">
      <c r="A361" s="406">
        <v>358</v>
      </c>
      <c r="B361" s="613" t="s">
        <v>5797</v>
      </c>
      <c r="C361" s="288" t="s">
        <v>759</v>
      </c>
      <c r="D361" s="414" t="s">
        <v>3891</v>
      </c>
      <c r="E361" s="407" t="s">
        <v>8254</v>
      </c>
      <c r="F361" s="483" t="s">
        <v>5795</v>
      </c>
      <c r="G361" s="411" t="s">
        <v>5798</v>
      </c>
      <c r="H361" s="411"/>
      <c r="I361" s="411"/>
      <c r="J361" s="411"/>
      <c r="K361" s="411"/>
      <c r="L361" s="608">
        <v>6665.4724409448818</v>
      </c>
      <c r="M361" s="409">
        <v>1418.9094488188978</v>
      </c>
      <c r="N361" s="409">
        <v>8084.3818897637802</v>
      </c>
      <c r="O361" s="410" t="s">
        <v>7826</v>
      </c>
      <c r="P361" s="406">
        <v>358</v>
      </c>
      <c r="Q361" s="470" t="s">
        <v>759</v>
      </c>
      <c r="R361" s="270" t="s">
        <v>760</v>
      </c>
      <c r="S361" s="270" t="s">
        <v>32</v>
      </c>
      <c r="U361" s="471"/>
      <c r="V361" s="471">
        <v>1</v>
      </c>
      <c r="W361" s="471" t="s">
        <v>760</v>
      </c>
      <c r="X361" s="471">
        <v>0</v>
      </c>
    </row>
    <row r="362" spans="1:26">
      <c r="A362" s="406">
        <v>359</v>
      </c>
      <c r="B362" s="613" t="s">
        <v>5797</v>
      </c>
      <c r="C362" s="288" t="s">
        <v>761</v>
      </c>
      <c r="D362" s="414" t="s">
        <v>3891</v>
      </c>
      <c r="E362" s="407" t="s">
        <v>8254</v>
      </c>
      <c r="F362" s="483" t="s">
        <v>5796</v>
      </c>
      <c r="G362" s="411" t="s">
        <v>5798</v>
      </c>
      <c r="H362" s="411"/>
      <c r="I362" s="411"/>
      <c r="J362" s="411"/>
      <c r="K362" s="411"/>
      <c r="L362" s="608">
        <v>6665.4724409448818</v>
      </c>
      <c r="M362" s="409">
        <v>1426.6771653543308</v>
      </c>
      <c r="N362" s="409">
        <v>8092.1496062992119</v>
      </c>
      <c r="O362" s="410" t="s">
        <v>7826</v>
      </c>
      <c r="P362" s="406">
        <v>359</v>
      </c>
      <c r="Q362" s="470" t="s">
        <v>761</v>
      </c>
      <c r="R362" s="270" t="s">
        <v>762</v>
      </c>
      <c r="S362" s="270" t="s">
        <v>32</v>
      </c>
      <c r="U362" s="471"/>
      <c r="V362" s="471">
        <v>0</v>
      </c>
      <c r="W362" s="471" t="s">
        <v>762</v>
      </c>
      <c r="X362" s="471">
        <v>0</v>
      </c>
    </row>
    <row r="363" spans="1:26">
      <c r="A363" s="406">
        <v>360</v>
      </c>
      <c r="B363" s="613" t="s">
        <v>3110</v>
      </c>
      <c r="C363" s="288" t="s">
        <v>763</v>
      </c>
      <c r="D363" s="414" t="s">
        <v>4066</v>
      </c>
      <c r="E363" s="407" t="s">
        <v>8255</v>
      </c>
      <c r="F363" s="483"/>
      <c r="G363" s="483"/>
      <c r="H363" s="483"/>
      <c r="I363" s="483"/>
      <c r="J363" s="483"/>
      <c r="K363" s="483"/>
      <c r="L363" s="608" t="s">
        <v>4884</v>
      </c>
      <c r="M363" s="409">
        <v>6118.6102362204729</v>
      </c>
      <c r="N363" s="409">
        <v>6118.6102362204729</v>
      </c>
      <c r="O363" s="410" t="s">
        <v>7574</v>
      </c>
      <c r="P363" s="406">
        <v>360</v>
      </c>
      <c r="Q363" s="470" t="s">
        <v>763</v>
      </c>
      <c r="R363" s="460" t="s">
        <v>764</v>
      </c>
      <c r="S363" s="270" t="s">
        <v>32</v>
      </c>
      <c r="U363" s="471">
        <v>1</v>
      </c>
      <c r="V363" s="471"/>
      <c r="W363" s="471" t="s">
        <v>764</v>
      </c>
      <c r="X363" s="471">
        <v>0</v>
      </c>
    </row>
    <row r="364" spans="1:26">
      <c r="A364" s="406">
        <v>361</v>
      </c>
      <c r="B364" s="613" t="s">
        <v>3111</v>
      </c>
      <c r="C364" s="288" t="s">
        <v>765</v>
      </c>
      <c r="D364" s="414" t="s">
        <v>4005</v>
      </c>
      <c r="E364" s="407" t="s">
        <v>8256</v>
      </c>
      <c r="F364" s="483"/>
      <c r="G364" s="483"/>
      <c r="H364" s="483"/>
      <c r="I364" s="483"/>
      <c r="J364" s="483"/>
      <c r="K364" s="483"/>
      <c r="L364" s="608" t="s">
        <v>4884</v>
      </c>
      <c r="M364" s="409">
        <v>5430.6850393700788</v>
      </c>
      <c r="N364" s="409">
        <v>5430.6850393700788</v>
      </c>
      <c r="O364" s="410" t="s">
        <v>7569</v>
      </c>
      <c r="P364" s="406">
        <v>361</v>
      </c>
      <c r="Q364" s="470" t="s">
        <v>765</v>
      </c>
      <c r="R364" s="460" t="s">
        <v>766</v>
      </c>
      <c r="S364" s="270" t="s">
        <v>32</v>
      </c>
      <c r="U364" s="471">
        <v>1</v>
      </c>
      <c r="V364" s="471"/>
      <c r="W364" s="471" t="s">
        <v>766</v>
      </c>
      <c r="X364" s="471">
        <v>0</v>
      </c>
    </row>
    <row r="365" spans="1:26">
      <c r="A365" s="406">
        <v>362</v>
      </c>
      <c r="B365" s="613" t="s">
        <v>2762</v>
      </c>
      <c r="C365" s="288" t="s">
        <v>767</v>
      </c>
      <c r="D365" s="414" t="s">
        <v>3684</v>
      </c>
      <c r="E365" s="407" t="s">
        <v>8257</v>
      </c>
      <c r="F365" s="483"/>
      <c r="G365" s="483"/>
      <c r="H365" s="483"/>
      <c r="I365" s="483"/>
      <c r="J365" s="483"/>
      <c r="K365" s="483"/>
      <c r="L365" s="608" t="s">
        <v>4884</v>
      </c>
      <c r="M365" s="409">
        <v>13386.834645669293</v>
      </c>
      <c r="N365" s="409">
        <v>13386.834645669293</v>
      </c>
      <c r="O365" s="410" t="s">
        <v>7574</v>
      </c>
      <c r="P365" s="406">
        <v>362</v>
      </c>
      <c r="Q365" s="470" t="s">
        <v>767</v>
      </c>
      <c r="R365" s="460" t="s">
        <v>768</v>
      </c>
      <c r="S365" s="270" t="s">
        <v>7</v>
      </c>
      <c r="U365" s="471"/>
      <c r="V365" s="471"/>
      <c r="W365" s="471" t="s">
        <v>768</v>
      </c>
      <c r="X365" s="471">
        <v>1</v>
      </c>
    </row>
    <row r="366" spans="1:26">
      <c r="A366" s="406">
        <v>363</v>
      </c>
      <c r="B366" s="613" t="s">
        <v>2763</v>
      </c>
      <c r="C366" s="288" t="s">
        <v>769</v>
      </c>
      <c r="D366" s="414" t="s">
        <v>3621</v>
      </c>
      <c r="E366" s="407" t="s">
        <v>8258</v>
      </c>
      <c r="F366" s="483"/>
      <c r="G366" s="483"/>
      <c r="H366" s="483"/>
      <c r="I366" s="483"/>
      <c r="J366" s="483"/>
      <c r="K366" s="483"/>
      <c r="L366" s="608" t="s">
        <v>4884</v>
      </c>
      <c r="M366" s="409">
        <v>12604.811023622047</v>
      </c>
      <c r="N366" s="409">
        <v>12604.811023622047</v>
      </c>
      <c r="O366" s="410" t="s">
        <v>7575</v>
      </c>
      <c r="P366" s="406">
        <v>363</v>
      </c>
      <c r="Q366" s="470" t="s">
        <v>769</v>
      </c>
      <c r="R366" s="460" t="s">
        <v>770</v>
      </c>
      <c r="S366" s="270" t="s">
        <v>7</v>
      </c>
      <c r="U366" s="471"/>
      <c r="V366" s="471"/>
      <c r="W366" s="478" t="s">
        <v>770</v>
      </c>
      <c r="X366" s="471">
        <v>1</v>
      </c>
    </row>
    <row r="367" spans="1:26">
      <c r="A367" s="406">
        <v>364</v>
      </c>
      <c r="B367" s="613" t="s">
        <v>2764</v>
      </c>
      <c r="C367" s="288" t="s">
        <v>771</v>
      </c>
      <c r="D367" s="414" t="s">
        <v>3691</v>
      </c>
      <c r="E367" s="407" t="s">
        <v>8259</v>
      </c>
      <c r="F367" s="483"/>
      <c r="G367" s="483"/>
      <c r="H367" s="483"/>
      <c r="I367" s="483"/>
      <c r="J367" s="483"/>
      <c r="K367" s="483"/>
      <c r="L367" s="608" t="s">
        <v>4884</v>
      </c>
      <c r="M367" s="409">
        <v>13599.696850393701</v>
      </c>
      <c r="N367" s="409">
        <v>13599.696850393701</v>
      </c>
      <c r="O367" s="410" t="s">
        <v>7569</v>
      </c>
      <c r="P367" s="406">
        <v>364</v>
      </c>
      <c r="Q367" s="470" t="s">
        <v>771</v>
      </c>
      <c r="R367" s="460" t="s">
        <v>772</v>
      </c>
      <c r="S367" s="270" t="s">
        <v>7</v>
      </c>
      <c r="U367" s="471"/>
      <c r="V367" s="471"/>
      <c r="W367" s="471" t="s">
        <v>772</v>
      </c>
      <c r="X367" s="471">
        <v>1</v>
      </c>
    </row>
    <row r="368" spans="1:26">
      <c r="A368" s="406">
        <v>365</v>
      </c>
      <c r="B368" s="613" t="s">
        <v>2767</v>
      </c>
      <c r="C368" s="288" t="s">
        <v>773</v>
      </c>
      <c r="D368" s="414" t="s">
        <v>3517</v>
      </c>
      <c r="E368" s="407" t="s">
        <v>8260</v>
      </c>
      <c r="F368" s="483"/>
      <c r="G368" s="483"/>
      <c r="H368" s="483"/>
      <c r="I368" s="483"/>
      <c r="J368" s="483"/>
      <c r="K368" s="483"/>
      <c r="L368" s="608" t="s">
        <v>4884</v>
      </c>
      <c r="M368" s="409">
        <v>18343.570866141734</v>
      </c>
      <c r="N368" s="409">
        <v>18343.570866141734</v>
      </c>
      <c r="O368" s="410" t="s">
        <v>7575</v>
      </c>
      <c r="P368" s="406">
        <v>365</v>
      </c>
      <c r="Q368" s="470" t="s">
        <v>773</v>
      </c>
      <c r="R368" s="460" t="s">
        <v>774</v>
      </c>
      <c r="S368" s="270" t="s">
        <v>7</v>
      </c>
      <c r="U368" s="471"/>
      <c r="V368" s="471"/>
      <c r="W368" s="471" t="s">
        <v>774</v>
      </c>
      <c r="X368" s="471">
        <v>1</v>
      </c>
      <c r="Y368" s="206"/>
      <c r="Z368" s="206"/>
    </row>
    <row r="369" spans="1:26">
      <c r="A369" s="406">
        <v>366</v>
      </c>
      <c r="B369" s="613" t="s">
        <v>2765</v>
      </c>
      <c r="C369" s="288" t="s">
        <v>775</v>
      </c>
      <c r="D369" s="414" t="s">
        <v>3693</v>
      </c>
      <c r="E369" s="407" t="s">
        <v>8261</v>
      </c>
      <c r="F369" s="483"/>
      <c r="G369" s="483"/>
      <c r="H369" s="483"/>
      <c r="I369" s="483"/>
      <c r="J369" s="483"/>
      <c r="K369" s="483"/>
      <c r="L369" s="608" t="s">
        <v>4884</v>
      </c>
      <c r="M369" s="409">
        <v>17124.767716535436</v>
      </c>
      <c r="N369" s="409">
        <v>17124.767716535436</v>
      </c>
      <c r="O369" s="410" t="s">
        <v>7576</v>
      </c>
      <c r="P369" s="406">
        <v>366</v>
      </c>
      <c r="Q369" s="470" t="s">
        <v>775</v>
      </c>
      <c r="R369" s="460" t="s">
        <v>776</v>
      </c>
      <c r="S369" s="270" t="s">
        <v>7</v>
      </c>
      <c r="U369" s="471"/>
      <c r="V369" s="471"/>
      <c r="W369" s="471" t="s">
        <v>776</v>
      </c>
      <c r="X369" s="471">
        <v>1</v>
      </c>
      <c r="Y369" s="206"/>
      <c r="Z369" s="206"/>
    </row>
    <row r="370" spans="1:26">
      <c r="A370" s="406">
        <v>367</v>
      </c>
      <c r="B370" s="613" t="s">
        <v>2766</v>
      </c>
      <c r="C370" s="288" t="s">
        <v>777</v>
      </c>
      <c r="D370" s="414" t="s">
        <v>3729</v>
      </c>
      <c r="E370" s="407" t="s">
        <v>8262</v>
      </c>
      <c r="F370" s="483"/>
      <c r="G370" s="483"/>
      <c r="H370" s="483"/>
      <c r="I370" s="483"/>
      <c r="J370" s="483"/>
      <c r="K370" s="483"/>
      <c r="L370" s="608" t="s">
        <v>4884</v>
      </c>
      <c r="M370" s="409">
        <v>14037.110236220473</v>
      </c>
      <c r="N370" s="409">
        <v>14037.110236220473</v>
      </c>
      <c r="O370" s="410" t="s">
        <v>7572</v>
      </c>
      <c r="P370" s="406">
        <v>367</v>
      </c>
      <c r="Q370" s="470" t="s">
        <v>777</v>
      </c>
      <c r="R370" s="460" t="s">
        <v>778</v>
      </c>
      <c r="S370" s="270" t="s">
        <v>7</v>
      </c>
      <c r="U370" s="471"/>
      <c r="V370" s="471"/>
      <c r="W370" s="471" t="s">
        <v>778</v>
      </c>
      <c r="X370" s="471">
        <v>1</v>
      </c>
      <c r="Y370" s="206"/>
      <c r="Z370" s="206"/>
    </row>
    <row r="371" spans="1:26">
      <c r="A371" s="406">
        <v>368</v>
      </c>
      <c r="B371" s="613" t="s">
        <v>2768</v>
      </c>
      <c r="C371" s="288" t="s">
        <v>779</v>
      </c>
      <c r="D371" s="414" t="s">
        <v>3548</v>
      </c>
      <c r="E371" s="407" t="s">
        <v>8263</v>
      </c>
      <c r="F371" s="483"/>
      <c r="G371" s="483"/>
      <c r="H371" s="483"/>
      <c r="I371" s="483"/>
      <c r="J371" s="483"/>
      <c r="K371" s="483"/>
      <c r="L371" s="608" t="s">
        <v>4884</v>
      </c>
      <c r="M371" s="409">
        <v>11648.440944881891</v>
      </c>
      <c r="N371" s="409">
        <v>11648.440944881891</v>
      </c>
      <c r="O371" s="410" t="s">
        <v>7575</v>
      </c>
      <c r="P371" s="406">
        <v>368</v>
      </c>
      <c r="Q371" s="470" t="s">
        <v>779</v>
      </c>
      <c r="R371" s="460" t="s">
        <v>780</v>
      </c>
      <c r="S371" s="270" t="s">
        <v>7</v>
      </c>
      <c r="U371" s="471"/>
      <c r="V371" s="471"/>
      <c r="W371" s="471" t="s">
        <v>780</v>
      </c>
      <c r="X371" s="471">
        <v>1</v>
      </c>
      <c r="Y371" s="206"/>
      <c r="Z371" s="206"/>
    </row>
    <row r="372" spans="1:26">
      <c r="A372" s="406">
        <v>369</v>
      </c>
      <c r="B372" s="613" t="s">
        <v>6646</v>
      </c>
      <c r="C372" s="288" t="s">
        <v>781</v>
      </c>
      <c r="D372" s="414" t="s">
        <v>3569</v>
      </c>
      <c r="E372" s="407" t="s">
        <v>8264</v>
      </c>
      <c r="F372" s="483" t="s">
        <v>6671</v>
      </c>
      <c r="G372" s="483" t="s">
        <v>6670</v>
      </c>
      <c r="H372" s="411" t="s">
        <v>6673</v>
      </c>
      <c r="I372" s="411"/>
      <c r="J372" s="411"/>
      <c r="K372" s="411"/>
      <c r="L372" s="608">
        <v>20025.952755905513</v>
      </c>
      <c r="M372" s="409">
        <v>1624.6062992125985</v>
      </c>
      <c r="N372" s="409">
        <v>21650.559055118112</v>
      </c>
      <c r="O372" s="410" t="s">
        <v>7752</v>
      </c>
      <c r="P372" s="406">
        <v>369</v>
      </c>
      <c r="Q372" s="470" t="s">
        <v>781</v>
      </c>
      <c r="R372" s="460" t="s">
        <v>782</v>
      </c>
      <c r="S372" s="270" t="s">
        <v>7</v>
      </c>
      <c r="U372" s="471"/>
      <c r="V372" s="471"/>
      <c r="W372" s="471" t="s">
        <v>782</v>
      </c>
      <c r="X372" s="471">
        <v>1</v>
      </c>
      <c r="Y372" s="206"/>
      <c r="Z372" s="206"/>
    </row>
    <row r="373" spans="1:26">
      <c r="A373" s="406">
        <v>370</v>
      </c>
      <c r="B373" s="613" t="s">
        <v>2769</v>
      </c>
      <c r="C373" s="288" t="s">
        <v>783</v>
      </c>
      <c r="D373" s="414" t="s">
        <v>3723</v>
      </c>
      <c r="E373" s="407" t="s">
        <v>8265</v>
      </c>
      <c r="F373" s="483"/>
      <c r="G373" s="483"/>
      <c r="H373" s="483"/>
      <c r="I373" s="483"/>
      <c r="J373" s="483"/>
      <c r="K373" s="483"/>
      <c r="L373" s="608" t="s">
        <v>4884</v>
      </c>
      <c r="M373" s="409">
        <v>12953.208661417324</v>
      </c>
      <c r="N373" s="409">
        <v>12953.208661417324</v>
      </c>
      <c r="O373" s="410" t="s">
        <v>7572</v>
      </c>
      <c r="P373" s="406">
        <v>370</v>
      </c>
      <c r="Q373" s="470" t="s">
        <v>783</v>
      </c>
      <c r="R373" s="460" t="s">
        <v>784</v>
      </c>
      <c r="S373" s="270" t="s">
        <v>7</v>
      </c>
      <c r="U373" s="471"/>
      <c r="V373" s="471"/>
      <c r="W373" s="471" t="s">
        <v>784</v>
      </c>
      <c r="X373" s="471">
        <v>1</v>
      </c>
      <c r="Y373" s="206"/>
      <c r="Z373" s="206"/>
    </row>
    <row r="374" spans="1:26">
      <c r="A374" s="406">
        <v>371</v>
      </c>
      <c r="B374" s="613" t="s">
        <v>2770</v>
      </c>
      <c r="C374" s="288" t="s">
        <v>785</v>
      </c>
      <c r="D374" s="414" t="s">
        <v>3727</v>
      </c>
      <c r="E374" s="407" t="s">
        <v>8266</v>
      </c>
      <c r="F374" s="483"/>
      <c r="G374" s="483"/>
      <c r="H374" s="483"/>
      <c r="I374" s="483"/>
      <c r="J374" s="483"/>
      <c r="K374" s="483"/>
      <c r="L374" s="608" t="s">
        <v>4884</v>
      </c>
      <c r="M374" s="409">
        <v>13375.858267716536</v>
      </c>
      <c r="N374" s="409">
        <v>13375.858267716536</v>
      </c>
      <c r="O374" s="410" t="s">
        <v>7572</v>
      </c>
      <c r="P374" s="406">
        <v>371</v>
      </c>
      <c r="Q374" s="470" t="s">
        <v>785</v>
      </c>
      <c r="R374" s="460" t="s">
        <v>786</v>
      </c>
      <c r="S374" s="270" t="s">
        <v>7</v>
      </c>
      <c r="U374" s="471"/>
      <c r="V374" s="471"/>
      <c r="W374" s="471" t="s">
        <v>786</v>
      </c>
      <c r="X374" s="471">
        <v>1</v>
      </c>
      <c r="Y374" s="206"/>
      <c r="Z374" s="206"/>
    </row>
    <row r="375" spans="1:26">
      <c r="A375" s="406">
        <v>372</v>
      </c>
      <c r="B375" s="613" t="s">
        <v>2771</v>
      </c>
      <c r="C375" s="288" t="s">
        <v>787</v>
      </c>
      <c r="D375" s="414" t="s">
        <v>3694</v>
      </c>
      <c r="E375" s="407" t="s">
        <v>8267</v>
      </c>
      <c r="F375" s="483"/>
      <c r="G375" s="483"/>
      <c r="H375" s="483"/>
      <c r="I375" s="483"/>
      <c r="J375" s="483"/>
      <c r="K375" s="483"/>
      <c r="L375" s="608" t="s">
        <v>4884</v>
      </c>
      <c r="M375" s="409">
        <v>14210.082677165356</v>
      </c>
      <c r="N375" s="409">
        <v>14210.082677165356</v>
      </c>
      <c r="O375" s="410" t="s">
        <v>7576</v>
      </c>
      <c r="P375" s="406">
        <v>372</v>
      </c>
      <c r="Q375" s="470" t="s">
        <v>787</v>
      </c>
      <c r="R375" s="460" t="s">
        <v>788</v>
      </c>
      <c r="S375" s="270" t="s">
        <v>7</v>
      </c>
      <c r="U375" s="471"/>
      <c r="V375" s="471"/>
      <c r="W375" s="471" t="s">
        <v>788</v>
      </c>
      <c r="X375" s="471">
        <v>1</v>
      </c>
      <c r="Y375" s="206"/>
      <c r="Z375" s="206"/>
    </row>
    <row r="376" spans="1:26">
      <c r="A376" s="406">
        <v>373</v>
      </c>
      <c r="B376" s="613" t="s">
        <v>2772</v>
      </c>
      <c r="C376" s="288" t="s">
        <v>789</v>
      </c>
      <c r="D376" s="414" t="s">
        <v>3724</v>
      </c>
      <c r="E376" s="407" t="s">
        <v>8268</v>
      </c>
      <c r="F376" s="483"/>
      <c r="G376" s="483"/>
      <c r="H376" s="483"/>
      <c r="I376" s="483"/>
      <c r="J376" s="483"/>
      <c r="K376" s="483"/>
      <c r="L376" s="608" t="s">
        <v>4884</v>
      </c>
      <c r="M376" s="409">
        <v>13210.200787401576</v>
      </c>
      <c r="N376" s="409">
        <v>13210.200787401576</v>
      </c>
      <c r="O376" s="410" t="s">
        <v>7576</v>
      </c>
      <c r="P376" s="406">
        <v>373</v>
      </c>
      <c r="Q376" s="470" t="s">
        <v>789</v>
      </c>
      <c r="R376" s="460" t="s">
        <v>790</v>
      </c>
      <c r="S376" s="270" t="s">
        <v>7</v>
      </c>
      <c r="U376" s="471"/>
      <c r="V376" s="471"/>
      <c r="W376" s="471" t="s">
        <v>790</v>
      </c>
      <c r="X376" s="471">
        <v>1</v>
      </c>
      <c r="Y376" s="206"/>
      <c r="Z376" s="206"/>
    </row>
    <row r="377" spans="1:26">
      <c r="A377" s="406">
        <v>374</v>
      </c>
      <c r="B377" s="613" t="s">
        <v>2773</v>
      </c>
      <c r="C377" s="288" t="s">
        <v>791</v>
      </c>
      <c r="D377" s="414" t="s">
        <v>3695</v>
      </c>
      <c r="E377" s="407" t="s">
        <v>8269</v>
      </c>
      <c r="F377" s="483"/>
      <c r="G377" s="483"/>
      <c r="H377" s="483"/>
      <c r="I377" s="483"/>
      <c r="J377" s="483"/>
      <c r="K377" s="483"/>
      <c r="L377" s="608" t="s">
        <v>4884</v>
      </c>
      <c r="M377" s="409">
        <v>14316.881889763779</v>
      </c>
      <c r="N377" s="409">
        <v>14316.881889763779</v>
      </c>
      <c r="O377" s="410" t="s">
        <v>7576</v>
      </c>
      <c r="P377" s="406">
        <v>374</v>
      </c>
      <c r="Q377" s="470" t="s">
        <v>791</v>
      </c>
      <c r="R377" s="460" t="s">
        <v>792</v>
      </c>
      <c r="S377" s="270" t="s">
        <v>7</v>
      </c>
      <c r="U377" s="471"/>
      <c r="V377" s="471"/>
      <c r="W377" s="471" t="s">
        <v>792</v>
      </c>
      <c r="X377" s="471">
        <v>1</v>
      </c>
      <c r="Y377" s="206"/>
      <c r="Z377" s="206"/>
    </row>
    <row r="378" spans="1:26">
      <c r="A378" s="406">
        <v>375</v>
      </c>
      <c r="B378" s="613" t="s">
        <v>2774</v>
      </c>
      <c r="C378" s="288" t="s">
        <v>793</v>
      </c>
      <c r="D378" s="414" t="s">
        <v>3700</v>
      </c>
      <c r="E378" s="407" t="s">
        <v>8270</v>
      </c>
      <c r="F378" s="483"/>
      <c r="G378" s="483"/>
      <c r="H378" s="483"/>
      <c r="I378" s="483"/>
      <c r="J378" s="483"/>
      <c r="K378" s="483"/>
      <c r="L378" s="608" t="s">
        <v>4884</v>
      </c>
      <c r="M378" s="409">
        <v>13857.36220472441</v>
      </c>
      <c r="N378" s="409">
        <v>13857.36220472441</v>
      </c>
      <c r="O378" s="410" t="s">
        <v>7572</v>
      </c>
      <c r="P378" s="406">
        <v>375</v>
      </c>
      <c r="Q378" s="470" t="s">
        <v>793</v>
      </c>
      <c r="R378" s="460" t="s">
        <v>794</v>
      </c>
      <c r="S378" s="270" t="s">
        <v>7</v>
      </c>
      <c r="U378" s="471"/>
      <c r="V378" s="471"/>
      <c r="W378" s="471" t="s">
        <v>794</v>
      </c>
      <c r="X378" s="471">
        <v>1</v>
      </c>
      <c r="Y378" s="206"/>
      <c r="Z378" s="206"/>
    </row>
    <row r="379" spans="1:26">
      <c r="A379" s="406">
        <v>376</v>
      </c>
      <c r="B379" s="613" t="s">
        <v>2775</v>
      </c>
      <c r="C379" s="288" t="s">
        <v>795</v>
      </c>
      <c r="D379" s="414" t="s">
        <v>3530</v>
      </c>
      <c r="E379" s="407" t="s">
        <v>8271</v>
      </c>
      <c r="F379" s="483"/>
      <c r="G379" s="483"/>
      <c r="H379" s="483"/>
      <c r="I379" s="483"/>
      <c r="J379" s="483"/>
      <c r="K379" s="483"/>
      <c r="L379" s="608" t="s">
        <v>4884</v>
      </c>
      <c r="M379" s="409">
        <v>18096.433070866144</v>
      </c>
      <c r="N379" s="409">
        <v>18096.433070866144</v>
      </c>
      <c r="O379" s="410" t="s">
        <v>7575</v>
      </c>
      <c r="P379" s="406">
        <v>376</v>
      </c>
      <c r="Q379" s="470" t="s">
        <v>795</v>
      </c>
      <c r="R379" s="460" t="s">
        <v>796</v>
      </c>
      <c r="S379" s="270" t="s">
        <v>7</v>
      </c>
      <c r="U379" s="471"/>
      <c r="V379" s="471"/>
      <c r="W379" s="471" t="s">
        <v>796</v>
      </c>
      <c r="X379" s="471">
        <v>1</v>
      </c>
      <c r="Y379" s="206"/>
      <c r="Z379" s="206"/>
    </row>
    <row r="380" spans="1:26">
      <c r="A380" s="406">
        <v>377</v>
      </c>
      <c r="B380" s="613" t="s">
        <v>2787</v>
      </c>
      <c r="C380" s="288" t="s">
        <v>797</v>
      </c>
      <c r="D380" s="414" t="s">
        <v>3605</v>
      </c>
      <c r="E380" s="407" t="s">
        <v>8272</v>
      </c>
      <c r="F380" s="483"/>
      <c r="G380" s="483"/>
      <c r="H380" s="483"/>
      <c r="I380" s="483"/>
      <c r="J380" s="483"/>
      <c r="K380" s="483"/>
      <c r="L380" s="608" t="s">
        <v>4884</v>
      </c>
      <c r="M380" s="409">
        <v>15764.248031496063</v>
      </c>
      <c r="N380" s="409">
        <v>15764.248031496063</v>
      </c>
      <c r="O380" s="410" t="s">
        <v>7569</v>
      </c>
      <c r="P380" s="406">
        <v>377</v>
      </c>
      <c r="Q380" s="470" t="s">
        <v>797</v>
      </c>
      <c r="R380" s="460" t="s">
        <v>798</v>
      </c>
      <c r="S380" s="270" t="s">
        <v>7</v>
      </c>
      <c r="U380" s="471"/>
      <c r="V380" s="471"/>
      <c r="W380" s="471" t="s">
        <v>798</v>
      </c>
      <c r="X380" s="471">
        <v>1</v>
      </c>
      <c r="Y380" s="206"/>
      <c r="Z380" s="206"/>
    </row>
    <row r="381" spans="1:26">
      <c r="A381" s="406">
        <v>378</v>
      </c>
      <c r="B381" s="613" t="s">
        <v>2776</v>
      </c>
      <c r="C381" s="288" t="s">
        <v>799</v>
      </c>
      <c r="D381" s="414" t="s">
        <v>3558</v>
      </c>
      <c r="E381" s="407" t="s">
        <v>8273</v>
      </c>
      <c r="F381" s="483" t="s">
        <v>2777</v>
      </c>
      <c r="G381" s="411"/>
      <c r="H381" s="411"/>
      <c r="I381" s="411"/>
      <c r="J381" s="411"/>
      <c r="K381" s="411"/>
      <c r="L381" s="608"/>
      <c r="M381" s="409">
        <v>19261.279527559054</v>
      </c>
      <c r="N381" s="409">
        <v>19261.279527559054</v>
      </c>
      <c r="O381" s="410" t="s">
        <v>7570</v>
      </c>
      <c r="P381" s="406">
        <v>378</v>
      </c>
      <c r="Q381" s="470" t="s">
        <v>799</v>
      </c>
      <c r="R381" s="460" t="s">
        <v>800</v>
      </c>
      <c r="S381" s="270" t="s">
        <v>7</v>
      </c>
      <c r="U381" s="471"/>
      <c r="V381" s="471"/>
      <c r="W381" s="471" t="s">
        <v>800</v>
      </c>
      <c r="X381" s="471">
        <v>1</v>
      </c>
      <c r="Y381" s="206"/>
      <c r="Z381" s="206"/>
    </row>
    <row r="382" spans="1:26">
      <c r="A382" s="406">
        <v>379</v>
      </c>
      <c r="B382" s="613" t="s">
        <v>2778</v>
      </c>
      <c r="C382" s="288" t="s">
        <v>801</v>
      </c>
      <c r="D382" s="414" t="s">
        <v>3675</v>
      </c>
      <c r="E382" s="407" t="s">
        <v>8274</v>
      </c>
      <c r="F382" s="483"/>
      <c r="G382" s="483"/>
      <c r="H382" s="483"/>
      <c r="I382" s="483"/>
      <c r="J382" s="483"/>
      <c r="K382" s="483"/>
      <c r="L382" s="608" t="s">
        <v>4884</v>
      </c>
      <c r="M382" s="409">
        <v>11055.122047244095</v>
      </c>
      <c r="N382" s="409">
        <v>11055.122047244095</v>
      </c>
      <c r="O382" s="410" t="s">
        <v>7569</v>
      </c>
      <c r="P382" s="406">
        <v>379</v>
      </c>
      <c r="Q382" s="470" t="s">
        <v>801</v>
      </c>
      <c r="R382" s="460" t="s">
        <v>802</v>
      </c>
      <c r="S382" s="270" t="s">
        <v>7</v>
      </c>
      <c r="U382" s="471"/>
      <c r="V382" s="471"/>
      <c r="W382" s="471" t="s">
        <v>802</v>
      </c>
      <c r="X382" s="471">
        <v>1</v>
      </c>
      <c r="Y382" s="206"/>
      <c r="Z382" s="206"/>
    </row>
    <row r="383" spans="1:26">
      <c r="A383" s="406">
        <v>380</v>
      </c>
      <c r="B383" s="613" t="s">
        <v>2779</v>
      </c>
      <c r="C383" s="288" t="s">
        <v>803</v>
      </c>
      <c r="D383" s="414" t="s">
        <v>3574</v>
      </c>
      <c r="E383" s="407" t="s">
        <v>8275</v>
      </c>
      <c r="F383" s="483"/>
      <c r="G383" s="483"/>
      <c r="H383" s="483"/>
      <c r="I383" s="483"/>
      <c r="J383" s="483"/>
      <c r="K383" s="483"/>
      <c r="L383" s="608" t="s">
        <v>4884</v>
      </c>
      <c r="M383" s="409">
        <v>12859.681102362205</v>
      </c>
      <c r="N383" s="409">
        <v>12859.681102362205</v>
      </c>
      <c r="O383" s="410" t="s">
        <v>7573</v>
      </c>
      <c r="P383" s="406">
        <v>380</v>
      </c>
      <c r="Q383" s="470" t="s">
        <v>803</v>
      </c>
      <c r="R383" s="460" t="s">
        <v>804</v>
      </c>
      <c r="S383" s="270" t="s">
        <v>7</v>
      </c>
      <c r="U383" s="471"/>
      <c r="V383" s="471"/>
      <c r="W383" s="471" t="s">
        <v>804</v>
      </c>
      <c r="X383" s="471">
        <v>1</v>
      </c>
      <c r="Y383" s="206"/>
      <c r="Z383" s="206"/>
    </row>
    <row r="384" spans="1:26">
      <c r="A384" s="406">
        <v>381</v>
      </c>
      <c r="B384" s="613" t="s">
        <v>2780</v>
      </c>
      <c r="C384" s="288" t="s">
        <v>805</v>
      </c>
      <c r="D384" s="414" t="s">
        <v>3553</v>
      </c>
      <c r="E384" s="407" t="s">
        <v>8276</v>
      </c>
      <c r="F384" s="483"/>
      <c r="G384" s="483"/>
      <c r="H384" s="483"/>
      <c r="I384" s="483"/>
      <c r="J384" s="483"/>
      <c r="K384" s="483"/>
      <c r="L384" s="608" t="s">
        <v>4884</v>
      </c>
      <c r="M384" s="409">
        <v>11846.625984251968</v>
      </c>
      <c r="N384" s="409">
        <v>11846.625984251968</v>
      </c>
      <c r="O384" s="410" t="s">
        <v>7575</v>
      </c>
      <c r="P384" s="406">
        <v>381</v>
      </c>
      <c r="Q384" s="470" t="s">
        <v>805</v>
      </c>
      <c r="R384" s="460" t="s">
        <v>806</v>
      </c>
      <c r="S384" s="270" t="s">
        <v>7</v>
      </c>
      <c r="U384" s="471"/>
      <c r="V384" s="471"/>
      <c r="W384" s="471" t="s">
        <v>806</v>
      </c>
      <c r="X384" s="471">
        <v>1</v>
      </c>
      <c r="Y384" s="206"/>
      <c r="Z384" s="206"/>
    </row>
    <row r="385" spans="1:26">
      <c r="A385" s="406">
        <v>382</v>
      </c>
      <c r="B385" s="613" t="s">
        <v>2781</v>
      </c>
      <c r="C385" s="288" t="s">
        <v>807</v>
      </c>
      <c r="D385" s="414" t="s">
        <v>3604</v>
      </c>
      <c r="E385" s="407" t="s">
        <v>8277</v>
      </c>
      <c r="F385" s="483"/>
      <c r="G385" s="483"/>
      <c r="H385" s="483"/>
      <c r="I385" s="483"/>
      <c r="J385" s="483"/>
      <c r="K385" s="483"/>
      <c r="L385" s="608" t="s">
        <v>4884</v>
      </c>
      <c r="M385" s="409">
        <v>15010.314960629921</v>
      </c>
      <c r="N385" s="409">
        <v>15010.314960629921</v>
      </c>
      <c r="O385" s="410" t="s">
        <v>7569</v>
      </c>
      <c r="P385" s="406">
        <v>382</v>
      </c>
      <c r="Q385" s="470" t="s">
        <v>807</v>
      </c>
      <c r="R385" s="460" t="s">
        <v>808</v>
      </c>
      <c r="S385" s="270" t="s">
        <v>7</v>
      </c>
      <c r="U385" s="471"/>
      <c r="V385" s="471"/>
      <c r="W385" s="471" t="s">
        <v>808</v>
      </c>
      <c r="X385" s="471">
        <v>1</v>
      </c>
      <c r="Y385" s="206"/>
      <c r="Z385" s="206"/>
    </row>
    <row r="386" spans="1:26">
      <c r="A386" s="406">
        <v>383</v>
      </c>
      <c r="B386" s="613" t="s">
        <v>2782</v>
      </c>
      <c r="C386" s="288" t="s">
        <v>809</v>
      </c>
      <c r="D386" s="414" t="s">
        <v>3634</v>
      </c>
      <c r="E386" s="407" t="s">
        <v>8278</v>
      </c>
      <c r="F386" s="483"/>
      <c r="G386" s="483"/>
      <c r="H386" s="483"/>
      <c r="I386" s="483"/>
      <c r="J386" s="483"/>
      <c r="K386" s="483"/>
      <c r="L386" s="608" t="s">
        <v>4884</v>
      </c>
      <c r="M386" s="409">
        <v>10611.456692913387</v>
      </c>
      <c r="N386" s="409">
        <v>10611.456692913387</v>
      </c>
      <c r="O386" s="410" t="s">
        <v>7569</v>
      </c>
      <c r="P386" s="406">
        <v>383</v>
      </c>
      <c r="Q386" s="470" t="s">
        <v>809</v>
      </c>
      <c r="R386" s="460" t="s">
        <v>810</v>
      </c>
      <c r="S386" s="270" t="s">
        <v>7</v>
      </c>
      <c r="U386" s="471"/>
      <c r="V386" s="471"/>
      <c r="W386" s="471" t="s">
        <v>810</v>
      </c>
      <c r="X386" s="471">
        <v>1</v>
      </c>
      <c r="Y386" s="206"/>
      <c r="Z386" s="206"/>
    </row>
    <row r="387" spans="1:26">
      <c r="A387" s="406">
        <v>384</v>
      </c>
      <c r="B387" s="613" t="s">
        <v>2783</v>
      </c>
      <c r="C387" s="288" t="s">
        <v>811</v>
      </c>
      <c r="D387" s="414" t="s">
        <v>3614</v>
      </c>
      <c r="E387" s="407" t="s">
        <v>8279</v>
      </c>
      <c r="F387" s="483"/>
      <c r="G387" s="483"/>
      <c r="H387" s="483"/>
      <c r="I387" s="483"/>
      <c r="J387" s="483"/>
      <c r="K387" s="483"/>
      <c r="L387" s="608" t="s">
        <v>4884</v>
      </c>
      <c r="M387" s="409">
        <v>13435.153543307088</v>
      </c>
      <c r="N387" s="409">
        <v>13435.153543307088</v>
      </c>
      <c r="O387" s="410" t="s">
        <v>7575</v>
      </c>
      <c r="P387" s="406">
        <v>384</v>
      </c>
      <c r="Q387" s="470" t="s">
        <v>811</v>
      </c>
      <c r="R387" s="460" t="s">
        <v>812</v>
      </c>
      <c r="S387" s="270" t="s">
        <v>7</v>
      </c>
      <c r="U387" s="471"/>
      <c r="V387" s="471"/>
      <c r="W387" s="471" t="s">
        <v>812</v>
      </c>
      <c r="X387" s="471">
        <v>1</v>
      </c>
      <c r="Y387" s="206"/>
      <c r="Z387" s="206"/>
    </row>
    <row r="388" spans="1:26">
      <c r="A388" s="406">
        <v>385</v>
      </c>
      <c r="B388" s="613" t="s">
        <v>2784</v>
      </c>
      <c r="C388" s="288" t="s">
        <v>813</v>
      </c>
      <c r="D388" s="414" t="s">
        <v>3637</v>
      </c>
      <c r="E388" s="407" t="s">
        <v>8280</v>
      </c>
      <c r="F388" s="483"/>
      <c r="G388" s="483"/>
      <c r="H388" s="483"/>
      <c r="I388" s="483"/>
      <c r="J388" s="483"/>
      <c r="K388" s="483"/>
      <c r="L388" s="608" t="s">
        <v>4884</v>
      </c>
      <c r="M388" s="409">
        <v>12880.125984251968</v>
      </c>
      <c r="N388" s="409">
        <v>12880.125984251968</v>
      </c>
      <c r="O388" s="410" t="s">
        <v>7573</v>
      </c>
      <c r="P388" s="406">
        <v>385</v>
      </c>
      <c r="Q388" s="470" t="s">
        <v>813</v>
      </c>
      <c r="R388" s="460" t="s">
        <v>814</v>
      </c>
      <c r="S388" s="270" t="s">
        <v>7</v>
      </c>
      <c r="U388" s="471"/>
      <c r="V388" s="471"/>
      <c r="W388" s="471" t="s">
        <v>814</v>
      </c>
      <c r="X388" s="471">
        <v>1</v>
      </c>
      <c r="Y388" s="206"/>
      <c r="Z388" s="206"/>
    </row>
    <row r="389" spans="1:26">
      <c r="A389" s="406">
        <v>386</v>
      </c>
      <c r="B389" s="613" t="s">
        <v>2785</v>
      </c>
      <c r="C389" s="288" t="s">
        <v>815</v>
      </c>
      <c r="D389" s="414" t="s">
        <v>3620</v>
      </c>
      <c r="E389" s="407" t="s">
        <v>8281</v>
      </c>
      <c r="F389" s="483"/>
      <c r="G389" s="483"/>
      <c r="H389" s="483"/>
      <c r="I389" s="483"/>
      <c r="J389" s="483"/>
      <c r="K389" s="483"/>
      <c r="L389" s="608" t="s">
        <v>4884</v>
      </c>
      <c r="M389" s="409">
        <v>12623.42125984252</v>
      </c>
      <c r="N389" s="409">
        <v>12623.42125984252</v>
      </c>
      <c r="O389" s="410" t="s">
        <v>7573</v>
      </c>
      <c r="P389" s="406">
        <v>386</v>
      </c>
      <c r="Q389" s="470" t="s">
        <v>815</v>
      </c>
      <c r="R389" s="460" t="s">
        <v>816</v>
      </c>
      <c r="S389" s="270" t="s">
        <v>7</v>
      </c>
      <c r="U389" s="471"/>
      <c r="V389" s="471"/>
      <c r="W389" s="471" t="s">
        <v>816</v>
      </c>
      <c r="X389" s="471">
        <v>1</v>
      </c>
      <c r="Y389" s="206"/>
      <c r="Z389" s="206"/>
    </row>
    <row r="390" spans="1:26">
      <c r="A390" s="406">
        <v>387</v>
      </c>
      <c r="B390" s="613" t="s">
        <v>2786</v>
      </c>
      <c r="C390" s="288" t="s">
        <v>817</v>
      </c>
      <c r="D390" s="414" t="s">
        <v>3688</v>
      </c>
      <c r="E390" s="407" t="s">
        <v>8282</v>
      </c>
      <c r="F390" s="483"/>
      <c r="G390" s="483"/>
      <c r="H390" s="483"/>
      <c r="I390" s="483"/>
      <c r="J390" s="483"/>
      <c r="K390" s="483"/>
      <c r="L390" s="608" t="s">
        <v>4884</v>
      </c>
      <c r="M390" s="409">
        <v>12533.122047244095</v>
      </c>
      <c r="N390" s="409">
        <v>12533.122047244095</v>
      </c>
      <c r="O390" s="410" t="s">
        <v>7569</v>
      </c>
      <c r="P390" s="406">
        <v>387</v>
      </c>
      <c r="Q390" s="470" t="s">
        <v>817</v>
      </c>
      <c r="R390" s="460" t="s">
        <v>818</v>
      </c>
      <c r="S390" s="270" t="s">
        <v>7</v>
      </c>
      <c r="U390" s="471"/>
      <c r="V390" s="471"/>
      <c r="W390" s="471" t="s">
        <v>818</v>
      </c>
      <c r="X390" s="471">
        <v>1</v>
      </c>
      <c r="Y390" s="206"/>
      <c r="Z390" s="206"/>
    </row>
    <row r="391" spans="1:26">
      <c r="A391" s="406">
        <v>388</v>
      </c>
      <c r="B391" s="613" t="s">
        <v>2792</v>
      </c>
      <c r="C391" s="288" t="s">
        <v>819</v>
      </c>
      <c r="D391" s="414" t="s">
        <v>3690</v>
      </c>
      <c r="E391" s="407" t="s">
        <v>8283</v>
      </c>
      <c r="F391" s="483"/>
      <c r="G391" s="483"/>
      <c r="H391" s="483"/>
      <c r="I391" s="483"/>
      <c r="J391" s="483"/>
      <c r="K391" s="483"/>
      <c r="L391" s="608" t="s">
        <v>4884</v>
      </c>
      <c r="M391" s="409">
        <v>14194.444881889765</v>
      </c>
      <c r="N391" s="409">
        <v>14194.444881889765</v>
      </c>
      <c r="O391" s="410" t="s">
        <v>7573</v>
      </c>
      <c r="P391" s="406">
        <v>388</v>
      </c>
      <c r="Q391" s="470" t="s">
        <v>819</v>
      </c>
      <c r="R391" s="460" t="s">
        <v>820</v>
      </c>
      <c r="S391" s="270" t="s">
        <v>7</v>
      </c>
      <c r="U391" s="471"/>
      <c r="V391" s="471"/>
      <c r="W391" s="471" t="s">
        <v>820</v>
      </c>
      <c r="X391" s="471">
        <v>1</v>
      </c>
      <c r="Y391" s="206"/>
      <c r="Z391" s="206"/>
    </row>
    <row r="392" spans="1:26">
      <c r="A392" s="406">
        <v>389</v>
      </c>
      <c r="B392" s="613" t="s">
        <v>2788</v>
      </c>
      <c r="C392" s="288" t="s">
        <v>821</v>
      </c>
      <c r="D392" s="414" t="s">
        <v>3689</v>
      </c>
      <c r="E392" s="407" t="s">
        <v>8284</v>
      </c>
      <c r="F392" s="483"/>
      <c r="G392" s="483"/>
      <c r="H392" s="483"/>
      <c r="I392" s="483"/>
      <c r="J392" s="483"/>
      <c r="K392" s="483"/>
      <c r="L392" s="608" t="s">
        <v>4884</v>
      </c>
      <c r="M392" s="409">
        <v>12011.633858267718</v>
      </c>
      <c r="N392" s="409">
        <v>12011.633858267718</v>
      </c>
      <c r="O392" s="410" t="s">
        <v>7569</v>
      </c>
      <c r="P392" s="406">
        <v>389</v>
      </c>
      <c r="Q392" s="470" t="s">
        <v>821</v>
      </c>
      <c r="R392" s="460" t="s">
        <v>822</v>
      </c>
      <c r="S392" s="270" t="s">
        <v>7</v>
      </c>
      <c r="U392" s="471"/>
      <c r="V392" s="471"/>
      <c r="W392" s="471" t="s">
        <v>822</v>
      </c>
      <c r="X392" s="471">
        <v>1</v>
      </c>
      <c r="Y392" s="206"/>
      <c r="Z392" s="206"/>
    </row>
    <row r="393" spans="1:26">
      <c r="A393" s="406">
        <v>390</v>
      </c>
      <c r="B393" s="613" t="s">
        <v>2789</v>
      </c>
      <c r="C393" s="288" t="s">
        <v>823</v>
      </c>
      <c r="D393" s="414" t="s">
        <v>3636</v>
      </c>
      <c r="E393" s="407" t="s">
        <v>8285</v>
      </c>
      <c r="F393" s="483"/>
      <c r="G393" s="483"/>
      <c r="H393" s="483"/>
      <c r="I393" s="483"/>
      <c r="J393" s="483"/>
      <c r="K393" s="483"/>
      <c r="L393" s="608" t="s">
        <v>4884</v>
      </c>
      <c r="M393" s="409">
        <v>12667.870078740158</v>
      </c>
      <c r="N393" s="409">
        <v>12667.870078740158</v>
      </c>
      <c r="O393" s="410" t="s">
        <v>7573</v>
      </c>
      <c r="P393" s="406">
        <v>390</v>
      </c>
      <c r="Q393" s="470" t="s">
        <v>823</v>
      </c>
      <c r="R393" s="460" t="s">
        <v>824</v>
      </c>
      <c r="S393" s="270" t="s">
        <v>7</v>
      </c>
      <c r="U393" s="471"/>
      <c r="V393" s="471"/>
      <c r="W393" s="471" t="s">
        <v>824</v>
      </c>
      <c r="X393" s="471">
        <v>1</v>
      </c>
      <c r="Y393" s="206"/>
      <c r="Z393" s="206"/>
    </row>
    <row r="394" spans="1:26">
      <c r="A394" s="406">
        <v>391</v>
      </c>
      <c r="B394" s="613" t="s">
        <v>2790</v>
      </c>
      <c r="C394" s="288" t="s">
        <v>825</v>
      </c>
      <c r="D394" s="414" t="s">
        <v>3677</v>
      </c>
      <c r="E394" s="407" t="s">
        <v>8286</v>
      </c>
      <c r="F394" s="483"/>
      <c r="G394" s="483"/>
      <c r="H394" s="483"/>
      <c r="I394" s="483"/>
      <c r="J394" s="483"/>
      <c r="K394" s="483"/>
      <c r="L394" s="608" t="s">
        <v>4884</v>
      </c>
      <c r="M394" s="409">
        <v>11239.417322834646</v>
      </c>
      <c r="N394" s="409">
        <v>11239.417322834646</v>
      </c>
      <c r="O394" s="410" t="s">
        <v>7569</v>
      </c>
      <c r="P394" s="406">
        <v>391</v>
      </c>
      <c r="Q394" s="470" t="s">
        <v>825</v>
      </c>
      <c r="R394" s="460" t="s">
        <v>826</v>
      </c>
      <c r="S394" s="270" t="s">
        <v>7</v>
      </c>
      <c r="U394" s="471"/>
      <c r="V394" s="471"/>
      <c r="W394" s="471" t="s">
        <v>826</v>
      </c>
      <c r="X394" s="471">
        <v>1</v>
      </c>
      <c r="Y394" s="206"/>
      <c r="Z394" s="206"/>
    </row>
    <row r="395" spans="1:26">
      <c r="A395" s="406">
        <v>392</v>
      </c>
      <c r="B395" s="613" t="s">
        <v>2791</v>
      </c>
      <c r="C395" s="288" t="s">
        <v>827</v>
      </c>
      <c r="D395" s="414" t="s">
        <v>3615</v>
      </c>
      <c r="E395" s="407" t="s">
        <v>8287</v>
      </c>
      <c r="F395" s="483"/>
      <c r="G395" s="483"/>
      <c r="H395" s="483"/>
      <c r="I395" s="483"/>
      <c r="J395" s="483"/>
      <c r="K395" s="483"/>
      <c r="L395" s="608" t="s">
        <v>4884</v>
      </c>
      <c r="M395" s="409">
        <v>13244.775590551182</v>
      </c>
      <c r="N395" s="409">
        <v>13244.775590551182</v>
      </c>
      <c r="O395" s="410" t="s">
        <v>7575</v>
      </c>
      <c r="P395" s="406">
        <v>392</v>
      </c>
      <c r="Q395" s="470" t="s">
        <v>827</v>
      </c>
      <c r="R395" s="460" t="s">
        <v>828</v>
      </c>
      <c r="S395" s="270" t="s">
        <v>7</v>
      </c>
      <c r="U395" s="471"/>
      <c r="V395" s="471"/>
      <c r="W395" s="471" t="s">
        <v>828</v>
      </c>
      <c r="X395" s="471">
        <v>1</v>
      </c>
      <c r="Y395" s="206"/>
      <c r="Z395" s="206"/>
    </row>
    <row r="396" spans="1:26">
      <c r="A396" s="406">
        <v>393</v>
      </c>
      <c r="B396" s="613" t="s">
        <v>2793</v>
      </c>
      <c r="C396" s="288" t="s">
        <v>829</v>
      </c>
      <c r="D396" s="414" t="s">
        <v>3529</v>
      </c>
      <c r="E396" s="407" t="s">
        <v>8288</v>
      </c>
      <c r="F396" s="483"/>
      <c r="G396" s="483"/>
      <c r="H396" s="483"/>
      <c r="I396" s="483"/>
      <c r="J396" s="483"/>
      <c r="K396" s="483"/>
      <c r="L396" s="608" t="s">
        <v>4884</v>
      </c>
      <c r="M396" s="409">
        <v>17322.007874015748</v>
      </c>
      <c r="N396" s="409">
        <v>17322.007874015748</v>
      </c>
      <c r="O396" s="410" t="s">
        <v>7575</v>
      </c>
      <c r="P396" s="406">
        <v>393</v>
      </c>
      <c r="Q396" s="470" t="s">
        <v>829</v>
      </c>
      <c r="R396" s="460" t="s">
        <v>830</v>
      </c>
      <c r="S396" s="270" t="s">
        <v>7</v>
      </c>
      <c r="U396" s="471"/>
      <c r="V396" s="471"/>
      <c r="W396" s="471" t="s">
        <v>830</v>
      </c>
      <c r="X396" s="471">
        <v>1</v>
      </c>
      <c r="Y396" s="206"/>
      <c r="Z396" s="206"/>
    </row>
    <row r="397" spans="1:26">
      <c r="A397" s="406">
        <v>394</v>
      </c>
      <c r="B397" s="613" t="s">
        <v>2794</v>
      </c>
      <c r="C397" s="288" t="s">
        <v>831</v>
      </c>
      <c r="D397" s="414" t="s">
        <v>3639</v>
      </c>
      <c r="E397" s="407" t="s">
        <v>8289</v>
      </c>
      <c r="F397" s="483"/>
      <c r="G397" s="483"/>
      <c r="H397" s="483"/>
      <c r="I397" s="483"/>
      <c r="J397" s="483"/>
      <c r="K397" s="483"/>
      <c r="L397" s="608" t="s">
        <v>4884</v>
      </c>
      <c r="M397" s="409">
        <v>13192.917322834646</v>
      </c>
      <c r="N397" s="409">
        <v>13192.917322834646</v>
      </c>
      <c r="O397" s="410" t="s">
        <v>7573</v>
      </c>
      <c r="P397" s="406">
        <v>394</v>
      </c>
      <c r="Q397" s="470" t="s">
        <v>831</v>
      </c>
      <c r="R397" s="460" t="s">
        <v>832</v>
      </c>
      <c r="S397" s="270" t="s">
        <v>7</v>
      </c>
      <c r="U397" s="471"/>
      <c r="V397" s="471"/>
      <c r="W397" s="471" t="s">
        <v>832</v>
      </c>
      <c r="X397" s="471">
        <v>1</v>
      </c>
      <c r="Y397" s="206"/>
      <c r="Z397" s="206"/>
    </row>
    <row r="398" spans="1:26">
      <c r="A398" s="406">
        <v>395</v>
      </c>
      <c r="B398" s="613" t="s">
        <v>2795</v>
      </c>
      <c r="C398" s="288" t="s">
        <v>833</v>
      </c>
      <c r="D398" s="414" t="s">
        <v>3606</v>
      </c>
      <c r="E398" s="407" t="s">
        <v>8290</v>
      </c>
      <c r="F398" s="483"/>
      <c r="G398" s="483"/>
      <c r="H398" s="483"/>
      <c r="I398" s="483"/>
      <c r="J398" s="483"/>
      <c r="K398" s="483"/>
      <c r="L398" s="608" t="s">
        <v>4884</v>
      </c>
      <c r="M398" s="409">
        <v>15479.972440944883</v>
      </c>
      <c r="N398" s="409">
        <v>15479.972440944883</v>
      </c>
      <c r="O398" s="410" t="s">
        <v>7569</v>
      </c>
      <c r="P398" s="406">
        <v>395</v>
      </c>
      <c r="Q398" s="470" t="s">
        <v>833</v>
      </c>
      <c r="R398" s="460" t="s">
        <v>834</v>
      </c>
      <c r="S398" s="270" t="s">
        <v>7</v>
      </c>
      <c r="U398" s="471"/>
      <c r="V398" s="471"/>
      <c r="W398" s="471" t="s">
        <v>834</v>
      </c>
      <c r="X398" s="471">
        <v>1</v>
      </c>
      <c r="Y398" s="206"/>
      <c r="Z398" s="206"/>
    </row>
    <row r="399" spans="1:26">
      <c r="A399" s="406">
        <v>396</v>
      </c>
      <c r="B399" s="613" t="s">
        <v>2796</v>
      </c>
      <c r="C399" s="288" t="s">
        <v>835</v>
      </c>
      <c r="D399" s="414" t="s">
        <v>3563</v>
      </c>
      <c r="E399" s="407" t="s">
        <v>8291</v>
      </c>
      <c r="F399" s="483"/>
      <c r="G399" s="483"/>
      <c r="H399" s="483"/>
      <c r="I399" s="483"/>
      <c r="J399" s="483"/>
      <c r="K399" s="483"/>
      <c r="L399" s="608" t="s">
        <v>4884</v>
      </c>
      <c r="M399" s="409">
        <v>16140.263779527559</v>
      </c>
      <c r="N399" s="409">
        <v>16140.263779527559</v>
      </c>
      <c r="O399" s="410" t="s">
        <v>7574</v>
      </c>
      <c r="P399" s="406">
        <v>396</v>
      </c>
      <c r="Q399" s="470" t="s">
        <v>835</v>
      </c>
      <c r="R399" s="460" t="s">
        <v>836</v>
      </c>
      <c r="S399" s="270" t="s">
        <v>7</v>
      </c>
      <c r="U399" s="471"/>
      <c r="V399" s="471"/>
      <c r="W399" s="471" t="s">
        <v>836</v>
      </c>
      <c r="X399" s="471">
        <v>1</v>
      </c>
      <c r="Y399" s="206"/>
      <c r="Z399" s="206"/>
    </row>
    <row r="400" spans="1:26">
      <c r="A400" s="406">
        <v>397</v>
      </c>
      <c r="B400" s="613" t="s">
        <v>2797</v>
      </c>
      <c r="C400" s="288" t="s">
        <v>837</v>
      </c>
      <c r="D400" s="414" t="s">
        <v>3645</v>
      </c>
      <c r="E400" s="407" t="s">
        <v>8292</v>
      </c>
      <c r="F400" s="483"/>
      <c r="G400" s="483"/>
      <c r="H400" s="483"/>
      <c r="I400" s="483"/>
      <c r="J400" s="483"/>
      <c r="K400" s="483"/>
      <c r="L400" s="608" t="s">
        <v>4884</v>
      </c>
      <c r="M400" s="409">
        <v>13507.610236220473</v>
      </c>
      <c r="N400" s="409">
        <v>13507.610236220473</v>
      </c>
      <c r="O400" s="410" t="s">
        <v>7575</v>
      </c>
      <c r="P400" s="406">
        <v>397</v>
      </c>
      <c r="Q400" s="470" t="s">
        <v>837</v>
      </c>
      <c r="R400" s="460" t="s">
        <v>838</v>
      </c>
      <c r="S400" s="270" t="s">
        <v>7</v>
      </c>
      <c r="U400" s="471"/>
      <c r="V400" s="471"/>
      <c r="W400" s="471" t="s">
        <v>838</v>
      </c>
      <c r="X400" s="471">
        <v>1</v>
      </c>
      <c r="Y400" s="206"/>
      <c r="Z400" s="206"/>
    </row>
    <row r="401" spans="1:26">
      <c r="A401" s="406">
        <v>398</v>
      </c>
      <c r="B401" s="613" t="s">
        <v>2798</v>
      </c>
      <c r="C401" s="288" t="s">
        <v>839</v>
      </c>
      <c r="D401" s="414" t="s">
        <v>3528</v>
      </c>
      <c r="E401" s="407" t="s">
        <v>8293</v>
      </c>
      <c r="F401" s="483"/>
      <c r="G401" s="483"/>
      <c r="H401" s="483"/>
      <c r="I401" s="483"/>
      <c r="J401" s="483"/>
      <c r="K401" s="483"/>
      <c r="L401" s="608" t="s">
        <v>4884</v>
      </c>
      <c r="M401" s="409">
        <v>16969.059055118109</v>
      </c>
      <c r="N401" s="409">
        <v>16969.059055118109</v>
      </c>
      <c r="O401" s="410" t="s">
        <v>7575</v>
      </c>
      <c r="P401" s="406">
        <v>398</v>
      </c>
      <c r="Q401" s="470" t="s">
        <v>839</v>
      </c>
      <c r="R401" s="460" t="s">
        <v>840</v>
      </c>
      <c r="S401" s="270" t="s">
        <v>7</v>
      </c>
      <c r="U401" s="471"/>
      <c r="V401" s="471"/>
      <c r="W401" s="471" t="s">
        <v>840</v>
      </c>
      <c r="X401" s="471">
        <v>1</v>
      </c>
      <c r="Y401" s="206"/>
      <c r="Z401" s="206"/>
    </row>
    <row r="402" spans="1:26">
      <c r="A402" s="406">
        <v>399</v>
      </c>
      <c r="B402" s="613" t="s">
        <v>2799</v>
      </c>
      <c r="C402" s="288" t="s">
        <v>841</v>
      </c>
      <c r="D402" s="414" t="s">
        <v>3559</v>
      </c>
      <c r="E402" s="407" t="s">
        <v>8294</v>
      </c>
      <c r="F402" s="483" t="s">
        <v>2800</v>
      </c>
      <c r="G402" s="411"/>
      <c r="H402" s="411"/>
      <c r="I402" s="411"/>
      <c r="J402" s="411"/>
      <c r="K402" s="411"/>
      <c r="L402" s="608"/>
      <c r="M402" s="409">
        <v>18682.366141732284</v>
      </c>
      <c r="N402" s="409">
        <v>18682.366141732284</v>
      </c>
      <c r="O402" s="410" t="s">
        <v>7570</v>
      </c>
      <c r="P402" s="406">
        <v>399</v>
      </c>
      <c r="Q402" s="470" t="s">
        <v>841</v>
      </c>
      <c r="R402" s="460" t="s">
        <v>842</v>
      </c>
      <c r="S402" s="270" t="s">
        <v>7</v>
      </c>
      <c r="U402" s="471"/>
      <c r="V402" s="471"/>
      <c r="W402" s="471" t="s">
        <v>842</v>
      </c>
      <c r="X402" s="471">
        <v>1</v>
      </c>
      <c r="Y402" s="206"/>
      <c r="Z402" s="206"/>
    </row>
    <row r="403" spans="1:26">
      <c r="A403" s="406">
        <v>400</v>
      </c>
      <c r="B403" s="613" t="s">
        <v>2801</v>
      </c>
      <c r="C403" s="288" t="s">
        <v>843</v>
      </c>
      <c r="D403" s="414" t="s">
        <v>3721</v>
      </c>
      <c r="E403" s="407" t="s">
        <v>8295</v>
      </c>
      <c r="F403" s="483"/>
      <c r="G403" s="483"/>
      <c r="H403" s="483"/>
      <c r="I403" s="483"/>
      <c r="J403" s="483"/>
      <c r="K403" s="483"/>
      <c r="L403" s="608" t="s">
        <v>4884</v>
      </c>
      <c r="M403" s="409">
        <v>12269.34251968504</v>
      </c>
      <c r="N403" s="409">
        <v>12269.34251968504</v>
      </c>
      <c r="O403" s="410" t="s">
        <v>7572</v>
      </c>
      <c r="P403" s="406">
        <v>400</v>
      </c>
      <c r="Q403" s="470" t="s">
        <v>843</v>
      </c>
      <c r="R403" s="460" t="s">
        <v>844</v>
      </c>
      <c r="S403" s="270" t="s">
        <v>7</v>
      </c>
      <c r="U403" s="471"/>
      <c r="V403" s="471"/>
      <c r="W403" s="471" t="s">
        <v>844</v>
      </c>
      <c r="X403" s="471">
        <v>1</v>
      </c>
      <c r="Y403" s="206"/>
      <c r="Z403" s="206"/>
    </row>
    <row r="404" spans="1:26">
      <c r="A404" s="406">
        <v>401</v>
      </c>
      <c r="B404" s="613" t="s">
        <v>2811</v>
      </c>
      <c r="C404" s="288" t="s">
        <v>845</v>
      </c>
      <c r="D404" s="414" t="s">
        <v>3720</v>
      </c>
      <c r="E404" s="407" t="s">
        <v>8296</v>
      </c>
      <c r="F404" s="483"/>
      <c r="G404" s="483"/>
      <c r="H404" s="483"/>
      <c r="I404" s="483"/>
      <c r="J404" s="483"/>
      <c r="K404" s="483"/>
      <c r="L404" s="608" t="s">
        <v>4884</v>
      </c>
      <c r="M404" s="409">
        <v>12640.488188976378</v>
      </c>
      <c r="N404" s="409">
        <v>12640.488188976378</v>
      </c>
      <c r="O404" s="410" t="s">
        <v>7572</v>
      </c>
      <c r="P404" s="406">
        <v>401</v>
      </c>
      <c r="Q404" s="470" t="s">
        <v>845</v>
      </c>
      <c r="R404" s="460" t="s">
        <v>846</v>
      </c>
      <c r="S404" s="270" t="s">
        <v>7</v>
      </c>
      <c r="U404" s="471"/>
      <c r="V404" s="471"/>
      <c r="W404" s="471" t="s">
        <v>846</v>
      </c>
      <c r="X404" s="471">
        <v>1</v>
      </c>
      <c r="Y404" s="206"/>
      <c r="Z404" s="206"/>
    </row>
    <row r="405" spans="1:26">
      <c r="A405" s="406">
        <v>402</v>
      </c>
      <c r="B405" s="613" t="s">
        <v>2802</v>
      </c>
      <c r="C405" s="288" t="s">
        <v>847</v>
      </c>
      <c r="D405" s="414" t="s">
        <v>3642</v>
      </c>
      <c r="E405" s="407" t="s">
        <v>8297</v>
      </c>
      <c r="F405" s="483"/>
      <c r="G405" s="483"/>
      <c r="H405" s="483"/>
      <c r="I405" s="483"/>
      <c r="J405" s="483"/>
      <c r="K405" s="483"/>
      <c r="L405" s="608" t="s">
        <v>4884</v>
      </c>
      <c r="M405" s="409">
        <v>11878.685039370079</v>
      </c>
      <c r="N405" s="409">
        <v>11878.685039370079</v>
      </c>
      <c r="O405" s="410" t="s">
        <v>7569</v>
      </c>
      <c r="P405" s="406">
        <v>402</v>
      </c>
      <c r="Q405" s="470" t="s">
        <v>847</v>
      </c>
      <c r="R405" s="460" t="s">
        <v>848</v>
      </c>
      <c r="S405" s="270" t="s">
        <v>7</v>
      </c>
      <c r="U405" s="471"/>
      <c r="V405" s="471"/>
      <c r="W405" s="471" t="s">
        <v>848</v>
      </c>
      <c r="X405" s="471">
        <v>1</v>
      </c>
      <c r="Y405" s="206"/>
      <c r="Z405" s="206"/>
    </row>
    <row r="406" spans="1:26">
      <c r="A406" s="406">
        <v>403</v>
      </c>
      <c r="B406" s="613" t="s">
        <v>2803</v>
      </c>
      <c r="C406" s="288" t="s">
        <v>849</v>
      </c>
      <c r="D406" s="414" t="s">
        <v>3631</v>
      </c>
      <c r="E406" s="407" t="s">
        <v>8298</v>
      </c>
      <c r="F406" s="483"/>
      <c r="G406" s="483"/>
      <c r="H406" s="483"/>
      <c r="I406" s="483"/>
      <c r="J406" s="483"/>
      <c r="K406" s="483"/>
      <c r="L406" s="608" t="s">
        <v>4884</v>
      </c>
      <c r="M406" s="409">
        <v>12622.834645669293</v>
      </c>
      <c r="N406" s="409">
        <v>12622.834645669293</v>
      </c>
      <c r="O406" s="410" t="s">
        <v>7574</v>
      </c>
      <c r="P406" s="406">
        <v>403</v>
      </c>
      <c r="Q406" s="470" t="s">
        <v>849</v>
      </c>
      <c r="R406" s="460" t="s">
        <v>850</v>
      </c>
      <c r="S406" s="270" t="s">
        <v>7</v>
      </c>
      <c r="U406" s="471"/>
      <c r="V406" s="471"/>
      <c r="W406" s="471" t="s">
        <v>850</v>
      </c>
      <c r="X406" s="471">
        <v>1</v>
      </c>
      <c r="Y406" s="206"/>
      <c r="Z406" s="206"/>
    </row>
    <row r="407" spans="1:26">
      <c r="A407" s="406">
        <v>404</v>
      </c>
      <c r="B407" s="613" t="s">
        <v>2804</v>
      </c>
      <c r="C407" s="288" t="s">
        <v>851</v>
      </c>
      <c r="D407" s="414" t="s">
        <v>3572</v>
      </c>
      <c r="E407" s="407" t="s">
        <v>8299</v>
      </c>
      <c r="F407" s="483"/>
      <c r="G407" s="483"/>
      <c r="H407" s="483"/>
      <c r="I407" s="483"/>
      <c r="J407" s="483"/>
      <c r="K407" s="483"/>
      <c r="L407" s="608" t="s">
        <v>4884</v>
      </c>
      <c r="M407" s="409">
        <v>13048.555118110236</v>
      </c>
      <c r="N407" s="409">
        <v>13048.555118110236</v>
      </c>
      <c r="O407" s="410" t="s">
        <v>7573</v>
      </c>
      <c r="P407" s="406">
        <v>404</v>
      </c>
      <c r="Q407" s="470" t="s">
        <v>851</v>
      </c>
      <c r="R407" s="460" t="s">
        <v>852</v>
      </c>
      <c r="S407" s="270" t="s">
        <v>7</v>
      </c>
      <c r="U407" s="471"/>
      <c r="V407" s="471"/>
      <c r="W407" s="471" t="s">
        <v>852</v>
      </c>
      <c r="X407" s="471">
        <v>1</v>
      </c>
      <c r="Y407" s="206"/>
      <c r="Z407" s="206"/>
    </row>
    <row r="408" spans="1:26">
      <c r="A408" s="406">
        <v>405</v>
      </c>
      <c r="B408" s="613" t="s">
        <v>6649</v>
      </c>
      <c r="C408" s="288" t="s">
        <v>853</v>
      </c>
      <c r="D408" s="414" t="s">
        <v>3730</v>
      </c>
      <c r="E408" s="407" t="s">
        <v>8300</v>
      </c>
      <c r="F408" s="483" t="s">
        <v>6637</v>
      </c>
      <c r="G408" s="483" t="s">
        <v>6648</v>
      </c>
      <c r="H408" s="411" t="s">
        <v>6675</v>
      </c>
      <c r="I408" s="411"/>
      <c r="J408" s="411"/>
      <c r="K408" s="411"/>
      <c r="L408" s="608">
        <v>16170.870078740158</v>
      </c>
      <c r="M408" s="409">
        <v>2037.0708661417323</v>
      </c>
      <c r="N408" s="409">
        <v>18207.940944881891</v>
      </c>
      <c r="O408" s="410" t="s">
        <v>7750</v>
      </c>
      <c r="P408" s="406">
        <v>405</v>
      </c>
      <c r="Q408" s="470" t="s">
        <v>853</v>
      </c>
      <c r="R408" s="460" t="s">
        <v>854</v>
      </c>
      <c r="S408" s="270" t="s">
        <v>7</v>
      </c>
      <c r="U408" s="471"/>
      <c r="V408" s="471"/>
      <c r="W408" s="471" t="s">
        <v>854</v>
      </c>
      <c r="X408" s="471">
        <v>1</v>
      </c>
      <c r="Y408" s="206"/>
      <c r="Z408" s="206"/>
    </row>
    <row r="409" spans="1:26">
      <c r="A409" s="406">
        <v>406</v>
      </c>
      <c r="B409" s="613" t="s">
        <v>2805</v>
      </c>
      <c r="C409" s="288" t="s">
        <v>855</v>
      </c>
      <c r="D409" s="414" t="s">
        <v>3619</v>
      </c>
      <c r="E409" s="407" t="s">
        <v>8301</v>
      </c>
      <c r="F409" s="483"/>
      <c r="G409" s="483"/>
      <c r="H409" s="483"/>
      <c r="I409" s="483"/>
      <c r="J409" s="483"/>
      <c r="K409" s="483"/>
      <c r="L409" s="608" t="s">
        <v>4884</v>
      </c>
      <c r="M409" s="409">
        <v>12754.346456692914</v>
      </c>
      <c r="N409" s="409">
        <v>12754.346456692914</v>
      </c>
      <c r="O409" s="410" t="s">
        <v>7573</v>
      </c>
      <c r="P409" s="406">
        <v>406</v>
      </c>
      <c r="Q409" s="470" t="s">
        <v>855</v>
      </c>
      <c r="R409" s="460" t="s">
        <v>856</v>
      </c>
      <c r="S409" s="270" t="s">
        <v>7</v>
      </c>
      <c r="U409" s="471"/>
      <c r="V409" s="471"/>
      <c r="W409" s="471" t="s">
        <v>856</v>
      </c>
      <c r="X409" s="471">
        <v>1</v>
      </c>
      <c r="Y409" s="206"/>
      <c r="Z409" s="206"/>
    </row>
    <row r="410" spans="1:26">
      <c r="A410" s="406">
        <v>407</v>
      </c>
      <c r="B410" s="613" t="s">
        <v>2806</v>
      </c>
      <c r="C410" s="288" t="s">
        <v>857</v>
      </c>
      <c r="D410" s="414" t="s">
        <v>3718</v>
      </c>
      <c r="E410" s="407" t="s">
        <v>8302</v>
      </c>
      <c r="F410" s="483"/>
      <c r="G410" s="483"/>
      <c r="H410" s="483"/>
      <c r="I410" s="483"/>
      <c r="J410" s="483"/>
      <c r="K410" s="483"/>
      <c r="L410" s="608" t="s">
        <v>4884</v>
      </c>
      <c r="M410" s="409">
        <v>12119.669291338583</v>
      </c>
      <c r="N410" s="409">
        <v>12119.669291338583</v>
      </c>
      <c r="O410" s="410" t="s">
        <v>7572</v>
      </c>
      <c r="P410" s="406">
        <v>407</v>
      </c>
      <c r="Q410" s="470" t="s">
        <v>857</v>
      </c>
      <c r="R410" s="460" t="s">
        <v>858</v>
      </c>
      <c r="S410" s="270" t="s">
        <v>7</v>
      </c>
      <c r="U410" s="471"/>
      <c r="V410" s="471"/>
      <c r="W410" s="471" t="s">
        <v>858</v>
      </c>
      <c r="X410" s="471">
        <v>1</v>
      </c>
      <c r="Y410" s="206"/>
      <c r="Z410" s="206"/>
    </row>
    <row r="411" spans="1:26">
      <c r="A411" s="406">
        <v>408</v>
      </c>
      <c r="B411" s="613" t="s">
        <v>2807</v>
      </c>
      <c r="C411" s="288" t="s">
        <v>859</v>
      </c>
      <c r="D411" s="414" t="s">
        <v>3670</v>
      </c>
      <c r="E411" s="407" t="s">
        <v>8303</v>
      </c>
      <c r="F411" s="483"/>
      <c r="G411" s="483"/>
      <c r="H411" s="483"/>
      <c r="I411" s="483"/>
      <c r="J411" s="483"/>
      <c r="K411" s="483"/>
      <c r="L411" s="608" t="s">
        <v>4884</v>
      </c>
      <c r="M411" s="409">
        <v>11542.011811023624</v>
      </c>
      <c r="N411" s="409">
        <v>11542.011811023624</v>
      </c>
      <c r="O411" s="410" t="s">
        <v>7576</v>
      </c>
      <c r="P411" s="406">
        <v>408</v>
      </c>
      <c r="Q411" s="470" t="s">
        <v>859</v>
      </c>
      <c r="R411" s="460" t="s">
        <v>860</v>
      </c>
      <c r="S411" s="270" t="s">
        <v>7</v>
      </c>
      <c r="U411" s="471"/>
      <c r="V411" s="471"/>
      <c r="W411" s="471" t="s">
        <v>860</v>
      </c>
      <c r="X411" s="471">
        <v>1</v>
      </c>
      <c r="Y411" s="206"/>
      <c r="Z411" s="206"/>
    </row>
    <row r="412" spans="1:26">
      <c r="A412" s="406">
        <v>409</v>
      </c>
      <c r="B412" s="613" t="s">
        <v>2808</v>
      </c>
      <c r="C412" s="288" t="s">
        <v>861</v>
      </c>
      <c r="D412" s="414" t="s">
        <v>3618</v>
      </c>
      <c r="E412" s="407" t="s">
        <v>8304</v>
      </c>
      <c r="F412" s="483"/>
      <c r="G412" s="483"/>
      <c r="H412" s="483"/>
      <c r="I412" s="483"/>
      <c r="J412" s="483"/>
      <c r="K412" s="483"/>
      <c r="L412" s="608" t="s">
        <v>4884</v>
      </c>
      <c r="M412" s="409">
        <v>11024.980314960629</v>
      </c>
      <c r="N412" s="409">
        <v>11024.980314960629</v>
      </c>
      <c r="O412" s="410" t="s">
        <v>7569</v>
      </c>
      <c r="P412" s="406">
        <v>409</v>
      </c>
      <c r="Q412" s="470" t="s">
        <v>861</v>
      </c>
      <c r="R412" s="460" t="s">
        <v>862</v>
      </c>
      <c r="S412" s="270" t="s">
        <v>7</v>
      </c>
      <c r="U412" s="471"/>
      <c r="V412" s="471"/>
      <c r="W412" s="471" t="s">
        <v>862</v>
      </c>
      <c r="X412" s="471">
        <v>1</v>
      </c>
      <c r="Y412" s="206"/>
      <c r="Z412" s="206"/>
    </row>
    <row r="413" spans="1:26">
      <c r="A413" s="406">
        <v>410</v>
      </c>
      <c r="B413" s="613" t="s">
        <v>2809</v>
      </c>
      <c r="C413" s="288" t="s">
        <v>863</v>
      </c>
      <c r="D413" s="414" t="s">
        <v>3714</v>
      </c>
      <c r="E413" s="407" t="s">
        <v>8305</v>
      </c>
      <c r="F413" s="483"/>
      <c r="G413" s="483"/>
      <c r="H413" s="483"/>
      <c r="I413" s="483"/>
      <c r="J413" s="483"/>
      <c r="K413" s="483"/>
      <c r="L413" s="608" t="s">
        <v>4884</v>
      </c>
      <c r="M413" s="409">
        <v>11614.165354330709</v>
      </c>
      <c r="N413" s="409">
        <v>11614.165354330709</v>
      </c>
      <c r="O413" s="410" t="s">
        <v>7572</v>
      </c>
      <c r="P413" s="406">
        <v>410</v>
      </c>
      <c r="Q413" s="470" t="s">
        <v>863</v>
      </c>
      <c r="R413" s="460" t="s">
        <v>864</v>
      </c>
      <c r="S413" s="270" t="s">
        <v>7</v>
      </c>
      <c r="U413" s="471"/>
      <c r="V413" s="471"/>
      <c r="W413" s="471" t="s">
        <v>864</v>
      </c>
      <c r="X413" s="471">
        <v>1</v>
      </c>
      <c r="Y413" s="206"/>
      <c r="Z413" s="206"/>
    </row>
    <row r="414" spans="1:26">
      <c r="A414" s="406">
        <v>411</v>
      </c>
      <c r="B414" s="613" t="s">
        <v>2810</v>
      </c>
      <c r="C414" s="288" t="s">
        <v>865</v>
      </c>
      <c r="D414" s="414" t="s">
        <v>3708</v>
      </c>
      <c r="E414" s="407" t="s">
        <v>8306</v>
      </c>
      <c r="F414" s="483"/>
      <c r="G414" s="483"/>
      <c r="H414" s="483"/>
      <c r="I414" s="483"/>
      <c r="J414" s="483"/>
      <c r="K414" s="483"/>
      <c r="L414" s="608" t="s">
        <v>4884</v>
      </c>
      <c r="M414" s="409">
        <v>11165.937007874016</v>
      </c>
      <c r="N414" s="409">
        <v>11165.937007874016</v>
      </c>
      <c r="O414" s="410" t="s">
        <v>7572</v>
      </c>
      <c r="P414" s="406">
        <v>411</v>
      </c>
      <c r="Q414" s="470" t="s">
        <v>865</v>
      </c>
      <c r="R414" s="460" t="s">
        <v>866</v>
      </c>
      <c r="S414" s="270" t="s">
        <v>7</v>
      </c>
      <c r="U414" s="471"/>
      <c r="V414" s="471"/>
      <c r="W414" s="471" t="s">
        <v>866</v>
      </c>
      <c r="X414" s="471">
        <v>1</v>
      </c>
      <c r="Y414" s="206"/>
      <c r="Z414" s="206"/>
    </row>
    <row r="415" spans="1:26">
      <c r="A415" s="406">
        <v>412</v>
      </c>
      <c r="B415" s="613" t="s">
        <v>2709</v>
      </c>
      <c r="C415" s="288" t="s">
        <v>867</v>
      </c>
      <c r="D415" s="414" t="s">
        <v>3647</v>
      </c>
      <c r="E415" s="407" t="s">
        <v>8054</v>
      </c>
      <c r="F415" s="483" t="s">
        <v>2708</v>
      </c>
      <c r="G415" s="411" t="s">
        <v>2710</v>
      </c>
      <c r="H415" s="411"/>
      <c r="I415" s="411"/>
      <c r="J415" s="411"/>
      <c r="K415" s="411"/>
      <c r="L415" s="608">
        <v>4830.9133858267724</v>
      </c>
      <c r="M415" s="409">
        <v>13597.181102362205</v>
      </c>
      <c r="N415" s="409">
        <v>18428.094488188977</v>
      </c>
      <c r="O415" s="410" t="s">
        <v>7787</v>
      </c>
      <c r="P415" s="406">
        <v>412</v>
      </c>
      <c r="Q415" s="470" t="s">
        <v>867</v>
      </c>
      <c r="R415" s="460" t="s">
        <v>868</v>
      </c>
      <c r="S415" s="270" t="s">
        <v>7</v>
      </c>
      <c r="U415" s="471"/>
      <c r="V415" s="471"/>
      <c r="W415" s="471" t="s">
        <v>868</v>
      </c>
      <c r="X415" s="471">
        <v>1</v>
      </c>
      <c r="Y415" s="206"/>
      <c r="Z415" s="206"/>
    </row>
    <row r="416" spans="1:26">
      <c r="A416" s="406">
        <v>413</v>
      </c>
      <c r="B416" s="613" t="s">
        <v>2812</v>
      </c>
      <c r="C416" s="288" t="s">
        <v>869</v>
      </c>
      <c r="D416" s="414" t="s">
        <v>3715</v>
      </c>
      <c r="E416" s="407" t="s">
        <v>8307</v>
      </c>
      <c r="F416" s="483"/>
      <c r="G416" s="483"/>
      <c r="H416" s="483"/>
      <c r="I416" s="483"/>
      <c r="J416" s="483"/>
      <c r="K416" s="483"/>
      <c r="L416" s="608" t="s">
        <v>4884</v>
      </c>
      <c r="M416" s="409">
        <v>11170.744094488189</v>
      </c>
      <c r="N416" s="409">
        <v>11170.744094488189</v>
      </c>
      <c r="O416" s="410" t="s">
        <v>7572</v>
      </c>
      <c r="P416" s="406">
        <v>413</v>
      </c>
      <c r="Q416" s="470" t="s">
        <v>869</v>
      </c>
      <c r="R416" s="460" t="s">
        <v>870</v>
      </c>
      <c r="S416" s="270" t="s">
        <v>7</v>
      </c>
      <c r="U416" s="471"/>
      <c r="V416" s="471"/>
      <c r="W416" s="471" t="s">
        <v>870</v>
      </c>
      <c r="X416" s="471">
        <v>1</v>
      </c>
      <c r="Y416" s="206"/>
      <c r="Z416" s="206"/>
    </row>
    <row r="417" spans="1:26">
      <c r="A417" s="406">
        <v>414</v>
      </c>
      <c r="B417" s="613" t="s">
        <v>2813</v>
      </c>
      <c r="C417" s="288" t="s">
        <v>871</v>
      </c>
      <c r="D417" s="414" t="s">
        <v>3555</v>
      </c>
      <c r="E417" s="407" t="s">
        <v>8308</v>
      </c>
      <c r="F417" s="483"/>
      <c r="G417" s="483"/>
      <c r="H417" s="483"/>
      <c r="I417" s="483"/>
      <c r="J417" s="483"/>
      <c r="K417" s="483"/>
      <c r="L417" s="608" t="s">
        <v>4884</v>
      </c>
      <c r="M417" s="409">
        <v>11937.614173228347</v>
      </c>
      <c r="N417" s="409">
        <v>11937.614173228347</v>
      </c>
      <c r="O417" s="410" t="s">
        <v>7575</v>
      </c>
      <c r="P417" s="406">
        <v>414</v>
      </c>
      <c r="Q417" s="470" t="s">
        <v>871</v>
      </c>
      <c r="R417" s="460" t="s">
        <v>872</v>
      </c>
      <c r="S417" s="270" t="s">
        <v>7</v>
      </c>
      <c r="U417" s="471"/>
      <c r="V417" s="471"/>
      <c r="W417" s="471" t="s">
        <v>872</v>
      </c>
      <c r="X417" s="471">
        <v>1</v>
      </c>
      <c r="Y417" s="206"/>
      <c r="Z417" s="206"/>
    </row>
    <row r="418" spans="1:26">
      <c r="A418" s="406">
        <v>415</v>
      </c>
      <c r="B418" s="613" t="s">
        <v>2814</v>
      </c>
      <c r="C418" s="288" t="s">
        <v>873</v>
      </c>
      <c r="D418" s="414" t="s">
        <v>3657</v>
      </c>
      <c r="E418" s="407" t="s">
        <v>8309</v>
      </c>
      <c r="F418" s="483"/>
      <c r="G418" s="483"/>
      <c r="H418" s="483"/>
      <c r="I418" s="483"/>
      <c r="J418" s="483"/>
      <c r="K418" s="483"/>
      <c r="L418" s="608" t="s">
        <v>4884</v>
      </c>
      <c r="M418" s="409">
        <v>12041.153543307088</v>
      </c>
      <c r="N418" s="409">
        <v>12041.153543307088</v>
      </c>
      <c r="O418" s="410" t="s">
        <v>7576</v>
      </c>
      <c r="P418" s="406">
        <v>415</v>
      </c>
      <c r="Q418" s="470" t="s">
        <v>873</v>
      </c>
      <c r="R418" s="460" t="s">
        <v>874</v>
      </c>
      <c r="S418" s="270" t="s">
        <v>7</v>
      </c>
      <c r="U418" s="471"/>
      <c r="V418" s="471"/>
      <c r="W418" s="471" t="s">
        <v>874</v>
      </c>
      <c r="X418" s="471">
        <v>1</v>
      </c>
      <c r="Y418" s="206"/>
      <c r="Z418" s="206"/>
    </row>
    <row r="419" spans="1:26">
      <c r="A419" s="406">
        <v>416</v>
      </c>
      <c r="B419" s="613" t="s">
        <v>2815</v>
      </c>
      <c r="C419" s="288" t="s">
        <v>875</v>
      </c>
      <c r="D419" s="414" t="s">
        <v>3611</v>
      </c>
      <c r="E419" s="407" t="s">
        <v>8310</v>
      </c>
      <c r="F419" s="483"/>
      <c r="G419" s="483"/>
      <c r="H419" s="483"/>
      <c r="I419" s="483"/>
      <c r="J419" s="483"/>
      <c r="K419" s="483"/>
      <c r="L419" s="608" t="s">
        <v>4884</v>
      </c>
      <c r="M419" s="409">
        <v>13494.968503937009</v>
      </c>
      <c r="N419" s="409">
        <v>13494.968503937009</v>
      </c>
      <c r="O419" s="410" t="s">
        <v>7574</v>
      </c>
      <c r="P419" s="406">
        <v>416</v>
      </c>
      <c r="Q419" s="470" t="s">
        <v>875</v>
      </c>
      <c r="R419" s="460" t="s">
        <v>876</v>
      </c>
      <c r="S419" s="270" t="s">
        <v>7</v>
      </c>
      <c r="U419" s="471"/>
      <c r="V419" s="471"/>
      <c r="W419" s="471" t="s">
        <v>876</v>
      </c>
      <c r="X419" s="471">
        <v>1</v>
      </c>
      <c r="Y419" s="206"/>
      <c r="Z419" s="206"/>
    </row>
    <row r="420" spans="1:26">
      <c r="A420" s="406">
        <v>417</v>
      </c>
      <c r="B420" s="613" t="s">
        <v>2816</v>
      </c>
      <c r="C420" s="288" t="s">
        <v>877</v>
      </c>
      <c r="D420" s="414" t="s">
        <v>3568</v>
      </c>
      <c r="E420" s="407" t="s">
        <v>8311</v>
      </c>
      <c r="F420" s="483"/>
      <c r="G420" s="483"/>
      <c r="H420" s="483"/>
      <c r="I420" s="483"/>
      <c r="J420" s="483"/>
      <c r="K420" s="483"/>
      <c r="L420" s="608" t="s">
        <v>4884</v>
      </c>
      <c r="M420" s="409">
        <v>13099.015748031496</v>
      </c>
      <c r="N420" s="409">
        <v>13099.015748031496</v>
      </c>
      <c r="O420" s="410" t="s">
        <v>7575</v>
      </c>
      <c r="P420" s="406">
        <v>417</v>
      </c>
      <c r="Q420" s="470" t="s">
        <v>877</v>
      </c>
      <c r="R420" s="460" t="s">
        <v>878</v>
      </c>
      <c r="S420" s="270" t="s">
        <v>7</v>
      </c>
      <c r="U420" s="471"/>
      <c r="V420" s="471"/>
      <c r="W420" s="471" t="s">
        <v>878</v>
      </c>
      <c r="X420" s="471">
        <v>1</v>
      </c>
      <c r="Y420" s="206"/>
      <c r="Z420" s="206"/>
    </row>
    <row r="421" spans="1:26">
      <c r="A421" s="406">
        <v>418</v>
      </c>
      <c r="B421" s="613" t="s">
        <v>2817</v>
      </c>
      <c r="C421" s="288" t="s">
        <v>879</v>
      </c>
      <c r="D421" s="414" t="s">
        <v>3570</v>
      </c>
      <c r="E421" s="407" t="s">
        <v>8312</v>
      </c>
      <c r="F421" s="483"/>
      <c r="G421" s="483"/>
      <c r="H421" s="483"/>
      <c r="I421" s="483"/>
      <c r="J421" s="483"/>
      <c r="K421" s="483"/>
      <c r="L421" s="608" t="s">
        <v>4884</v>
      </c>
      <c r="M421" s="409">
        <v>12982.472440944883</v>
      </c>
      <c r="N421" s="409">
        <v>12982.472440944883</v>
      </c>
      <c r="O421" s="410" t="s">
        <v>7575</v>
      </c>
      <c r="P421" s="406">
        <v>418</v>
      </c>
      <c r="Q421" s="470" t="s">
        <v>879</v>
      </c>
      <c r="R421" s="460" t="s">
        <v>880</v>
      </c>
      <c r="S421" s="270" t="s">
        <v>7</v>
      </c>
      <c r="U421" s="471"/>
      <c r="V421" s="471"/>
      <c r="W421" s="471" t="s">
        <v>880</v>
      </c>
      <c r="X421" s="471">
        <v>1</v>
      </c>
      <c r="Y421" s="206"/>
      <c r="Z421" s="206"/>
    </row>
    <row r="422" spans="1:26">
      <c r="A422" s="406">
        <v>419</v>
      </c>
      <c r="B422" s="613" t="s">
        <v>2818</v>
      </c>
      <c r="C422" s="288" t="s">
        <v>881</v>
      </c>
      <c r="D422" s="414" t="s">
        <v>3652</v>
      </c>
      <c r="E422" s="407" t="s">
        <v>8313</v>
      </c>
      <c r="F422" s="483"/>
      <c r="G422" s="483"/>
      <c r="H422" s="483"/>
      <c r="I422" s="483"/>
      <c r="J422" s="483"/>
      <c r="K422" s="483"/>
      <c r="L422" s="608" t="s">
        <v>4884</v>
      </c>
      <c r="M422" s="409">
        <v>13631.405511811025</v>
      </c>
      <c r="N422" s="409">
        <v>13631.405511811025</v>
      </c>
      <c r="O422" s="410" t="s">
        <v>7576</v>
      </c>
      <c r="P422" s="406">
        <v>419</v>
      </c>
      <c r="Q422" s="470" t="s">
        <v>881</v>
      </c>
      <c r="R422" s="460" t="s">
        <v>882</v>
      </c>
      <c r="S422" s="270" t="s">
        <v>7</v>
      </c>
      <c r="U422" s="471"/>
      <c r="V422" s="471"/>
      <c r="W422" s="471" t="s">
        <v>882</v>
      </c>
      <c r="X422" s="471">
        <v>1</v>
      </c>
      <c r="Y422" s="206"/>
      <c r="Z422" s="206"/>
    </row>
    <row r="423" spans="1:26">
      <c r="A423" s="406">
        <v>420</v>
      </c>
      <c r="B423" s="613" t="s">
        <v>2819</v>
      </c>
      <c r="C423" s="288" t="s">
        <v>883</v>
      </c>
      <c r="D423" s="414" t="s">
        <v>3666</v>
      </c>
      <c r="E423" s="407" t="s">
        <v>8314</v>
      </c>
      <c r="F423" s="483"/>
      <c r="G423" s="483"/>
      <c r="H423" s="483"/>
      <c r="I423" s="483"/>
      <c r="J423" s="483"/>
      <c r="K423" s="483"/>
      <c r="L423" s="608" t="s">
        <v>4884</v>
      </c>
      <c r="M423" s="409">
        <v>12162.50787401575</v>
      </c>
      <c r="N423" s="409">
        <v>12162.50787401575</v>
      </c>
      <c r="O423" s="410" t="s">
        <v>7576</v>
      </c>
      <c r="P423" s="406">
        <v>420</v>
      </c>
      <c r="Q423" s="470" t="s">
        <v>883</v>
      </c>
      <c r="R423" s="460" t="s">
        <v>884</v>
      </c>
      <c r="S423" s="270" t="s">
        <v>7</v>
      </c>
      <c r="U423" s="471"/>
      <c r="V423" s="471"/>
      <c r="W423" s="471" t="s">
        <v>884</v>
      </c>
      <c r="X423" s="471">
        <v>1</v>
      </c>
      <c r="Y423" s="206"/>
      <c r="Z423" s="206"/>
    </row>
    <row r="424" spans="1:26">
      <c r="A424" s="406">
        <v>421</v>
      </c>
      <c r="B424" s="613" t="s">
        <v>2820</v>
      </c>
      <c r="C424" s="288" t="s">
        <v>885</v>
      </c>
      <c r="D424" s="414" t="s">
        <v>3573</v>
      </c>
      <c r="E424" s="407" t="s">
        <v>8315</v>
      </c>
      <c r="F424" s="483"/>
      <c r="G424" s="483"/>
      <c r="H424" s="483"/>
      <c r="I424" s="483"/>
      <c r="J424" s="483"/>
      <c r="K424" s="483"/>
      <c r="L424" s="608" t="s">
        <v>4884</v>
      </c>
      <c r="M424" s="409">
        <v>13245.141732283466</v>
      </c>
      <c r="N424" s="409">
        <v>13245.141732283466</v>
      </c>
      <c r="O424" s="410" t="s">
        <v>7573</v>
      </c>
      <c r="P424" s="406">
        <v>421</v>
      </c>
      <c r="Q424" s="470" t="s">
        <v>885</v>
      </c>
      <c r="R424" s="460" t="s">
        <v>886</v>
      </c>
      <c r="S424" s="270" t="s">
        <v>7</v>
      </c>
      <c r="U424" s="471"/>
      <c r="V424" s="471"/>
      <c r="W424" s="471" t="s">
        <v>886</v>
      </c>
      <c r="X424" s="471">
        <v>1</v>
      </c>
      <c r="Y424" s="206"/>
      <c r="Z424" s="206"/>
    </row>
    <row r="425" spans="1:26">
      <c r="A425" s="406">
        <v>422</v>
      </c>
      <c r="B425" s="613" t="s">
        <v>2821</v>
      </c>
      <c r="C425" s="288" t="s">
        <v>887</v>
      </c>
      <c r="D425" s="414" t="s">
        <v>3674</v>
      </c>
      <c r="E425" s="407" t="s">
        <v>8316</v>
      </c>
      <c r="F425" s="483"/>
      <c r="G425" s="483"/>
      <c r="H425" s="483"/>
      <c r="I425" s="483"/>
      <c r="J425" s="483"/>
      <c r="K425" s="483"/>
      <c r="L425" s="608" t="s">
        <v>4884</v>
      </c>
      <c r="M425" s="409">
        <v>10866.688976377953</v>
      </c>
      <c r="N425" s="409">
        <v>10866.688976377953</v>
      </c>
      <c r="O425" s="410" t="s">
        <v>7569</v>
      </c>
      <c r="P425" s="406">
        <v>422</v>
      </c>
      <c r="Q425" s="470" t="s">
        <v>887</v>
      </c>
      <c r="R425" s="460" t="s">
        <v>888</v>
      </c>
      <c r="S425" s="270" t="s">
        <v>7</v>
      </c>
      <c r="U425" s="471"/>
      <c r="V425" s="471"/>
      <c r="W425" s="471" t="s">
        <v>888</v>
      </c>
      <c r="X425" s="471">
        <v>1</v>
      </c>
      <c r="Y425" s="206"/>
      <c r="Z425" s="206"/>
    </row>
    <row r="426" spans="1:26">
      <c r="A426" s="406">
        <v>423</v>
      </c>
      <c r="B426" s="613" t="s">
        <v>2822</v>
      </c>
      <c r="C426" s="288" t="s">
        <v>889</v>
      </c>
      <c r="D426" s="414" t="s">
        <v>3557</v>
      </c>
      <c r="E426" s="407" t="s">
        <v>8317</v>
      </c>
      <c r="F426" s="483"/>
      <c r="G426" s="483"/>
      <c r="H426" s="483"/>
      <c r="I426" s="483"/>
      <c r="J426" s="483"/>
      <c r="K426" s="483"/>
      <c r="L426" s="608" t="s">
        <v>4884</v>
      </c>
      <c r="M426" s="409">
        <v>12368.854330708662</v>
      </c>
      <c r="N426" s="409">
        <v>12368.854330708662</v>
      </c>
      <c r="O426" s="410" t="s">
        <v>7575</v>
      </c>
      <c r="P426" s="406">
        <v>423</v>
      </c>
      <c r="Q426" s="470" t="s">
        <v>889</v>
      </c>
      <c r="R426" s="460" t="s">
        <v>890</v>
      </c>
      <c r="S426" s="270" t="s">
        <v>7</v>
      </c>
      <c r="U426" s="471"/>
      <c r="V426" s="471"/>
      <c r="W426" s="471" t="s">
        <v>890</v>
      </c>
      <c r="X426" s="471">
        <v>1</v>
      </c>
      <c r="Y426" s="206"/>
      <c r="Z426" s="206"/>
    </row>
    <row r="427" spans="1:26">
      <c r="A427" s="406">
        <v>424</v>
      </c>
      <c r="B427" s="613" t="s">
        <v>2823</v>
      </c>
      <c r="C427" s="288" t="s">
        <v>891</v>
      </c>
      <c r="D427" s="414" t="s">
        <v>3534</v>
      </c>
      <c r="E427" s="407" t="s">
        <v>8318</v>
      </c>
      <c r="F427" s="483"/>
      <c r="G427" s="483"/>
      <c r="H427" s="483"/>
      <c r="I427" s="483"/>
      <c r="J427" s="483"/>
      <c r="K427" s="483"/>
      <c r="L427" s="608" t="s">
        <v>4884</v>
      </c>
      <c r="M427" s="409">
        <v>12499</v>
      </c>
      <c r="N427" s="409">
        <v>12499</v>
      </c>
      <c r="O427" s="410" t="s">
        <v>7574</v>
      </c>
      <c r="P427" s="406">
        <v>424</v>
      </c>
      <c r="Q427" s="470" t="s">
        <v>891</v>
      </c>
      <c r="R427" s="460" t="s">
        <v>892</v>
      </c>
      <c r="S427" s="270" t="s">
        <v>7</v>
      </c>
      <c r="U427" s="471"/>
      <c r="V427" s="471"/>
      <c r="W427" s="471" t="s">
        <v>892</v>
      </c>
      <c r="X427" s="471">
        <v>1</v>
      </c>
      <c r="Y427" s="206"/>
      <c r="Z427" s="206"/>
    </row>
    <row r="428" spans="1:26">
      <c r="A428" s="406">
        <v>425</v>
      </c>
      <c r="B428" s="613" t="s">
        <v>2834</v>
      </c>
      <c r="C428" s="288" t="s">
        <v>893</v>
      </c>
      <c r="D428" s="414" t="s">
        <v>3581</v>
      </c>
      <c r="E428" s="407" t="s">
        <v>8319</v>
      </c>
      <c r="F428" s="483"/>
      <c r="G428" s="483"/>
      <c r="H428" s="483"/>
      <c r="I428" s="483"/>
      <c r="J428" s="483"/>
      <c r="K428" s="483"/>
      <c r="L428" s="608" t="s">
        <v>4884</v>
      </c>
      <c r="M428" s="409">
        <v>8976.751968503937</v>
      </c>
      <c r="N428" s="409">
        <v>8976.751968503937</v>
      </c>
      <c r="O428" s="410" t="s">
        <v>7569</v>
      </c>
      <c r="P428" s="406">
        <v>425</v>
      </c>
      <c r="Q428" s="470" t="s">
        <v>893</v>
      </c>
      <c r="R428" s="460" t="s">
        <v>894</v>
      </c>
      <c r="S428" s="270" t="s">
        <v>7</v>
      </c>
      <c r="U428" s="471"/>
      <c r="V428" s="471"/>
      <c r="W428" s="471" t="s">
        <v>894</v>
      </c>
      <c r="X428" s="471">
        <v>1</v>
      </c>
      <c r="Y428" s="206"/>
      <c r="Z428" s="206"/>
    </row>
    <row r="429" spans="1:26">
      <c r="A429" s="406">
        <v>426</v>
      </c>
      <c r="B429" s="613" t="s">
        <v>2824</v>
      </c>
      <c r="C429" s="288" t="s">
        <v>895</v>
      </c>
      <c r="D429" s="414" t="s">
        <v>3681</v>
      </c>
      <c r="E429" s="407" t="s">
        <v>8320</v>
      </c>
      <c r="F429" s="483"/>
      <c r="G429" s="483"/>
      <c r="H429" s="483"/>
      <c r="I429" s="483"/>
      <c r="J429" s="483"/>
      <c r="K429" s="483"/>
      <c r="L429" s="608" t="s">
        <v>4884</v>
      </c>
      <c r="M429" s="409">
        <v>10689.519685039371</v>
      </c>
      <c r="N429" s="409">
        <v>10689.519685039371</v>
      </c>
      <c r="O429" s="410" t="s">
        <v>7572</v>
      </c>
      <c r="P429" s="406">
        <v>426</v>
      </c>
      <c r="Q429" s="470" t="s">
        <v>895</v>
      </c>
      <c r="R429" s="460" t="s">
        <v>896</v>
      </c>
      <c r="S429" s="270" t="s">
        <v>7</v>
      </c>
      <c r="U429" s="471"/>
      <c r="V429" s="471"/>
      <c r="W429" s="471" t="s">
        <v>896</v>
      </c>
      <c r="X429" s="471">
        <v>1</v>
      </c>
      <c r="Y429" s="206"/>
      <c r="Z429" s="206"/>
    </row>
    <row r="430" spans="1:26">
      <c r="A430" s="406">
        <v>427</v>
      </c>
      <c r="B430" s="613" t="s">
        <v>2825</v>
      </c>
      <c r="C430" s="288" t="s">
        <v>897</v>
      </c>
      <c r="D430" s="414" t="s">
        <v>3580</v>
      </c>
      <c r="E430" s="407" t="s">
        <v>8321</v>
      </c>
      <c r="F430" s="483"/>
      <c r="G430" s="483"/>
      <c r="H430" s="483"/>
      <c r="I430" s="483"/>
      <c r="J430" s="483"/>
      <c r="K430" s="483"/>
      <c r="L430" s="608" t="s">
        <v>4884</v>
      </c>
      <c r="M430" s="409">
        <v>11840.708661417324</v>
      </c>
      <c r="N430" s="409">
        <v>11840.708661417324</v>
      </c>
      <c r="O430" s="410" t="s">
        <v>7573</v>
      </c>
      <c r="P430" s="406">
        <v>427</v>
      </c>
      <c r="Q430" s="470" t="s">
        <v>897</v>
      </c>
      <c r="R430" s="460" t="s">
        <v>898</v>
      </c>
      <c r="S430" s="270" t="s">
        <v>7</v>
      </c>
      <c r="U430" s="471"/>
      <c r="V430" s="471"/>
      <c r="W430" s="471" t="s">
        <v>898</v>
      </c>
      <c r="X430" s="471">
        <v>1</v>
      </c>
      <c r="Y430" s="206"/>
      <c r="Z430" s="206"/>
    </row>
    <row r="431" spans="1:26">
      <c r="A431" s="406">
        <v>428</v>
      </c>
      <c r="B431" s="613" t="s">
        <v>2826</v>
      </c>
      <c r="C431" s="288" t="s">
        <v>899</v>
      </c>
      <c r="D431" s="414" t="s">
        <v>3511</v>
      </c>
      <c r="E431" s="407" t="s">
        <v>8322</v>
      </c>
      <c r="F431" s="483"/>
      <c r="G431" s="483"/>
      <c r="H431" s="483"/>
      <c r="I431" s="483"/>
      <c r="J431" s="483"/>
      <c r="K431" s="483"/>
      <c r="L431" s="608" t="s">
        <v>4884</v>
      </c>
      <c r="M431" s="409">
        <v>11390.909448818897</v>
      </c>
      <c r="N431" s="409">
        <v>11390.909448818897</v>
      </c>
      <c r="O431" s="410" t="s">
        <v>7575</v>
      </c>
      <c r="P431" s="406">
        <v>428</v>
      </c>
      <c r="Q431" s="470" t="s">
        <v>899</v>
      </c>
      <c r="R431" s="460" t="s">
        <v>900</v>
      </c>
      <c r="S431" s="270" t="s">
        <v>7</v>
      </c>
      <c r="U431" s="471"/>
      <c r="V431" s="471"/>
      <c r="W431" s="471" t="s">
        <v>900</v>
      </c>
      <c r="X431" s="471">
        <v>1</v>
      </c>
      <c r="Y431" s="206"/>
      <c r="Z431" s="206"/>
    </row>
    <row r="432" spans="1:26">
      <c r="A432" s="406">
        <v>429</v>
      </c>
      <c r="B432" s="613" t="s">
        <v>2827</v>
      </c>
      <c r="C432" s="288" t="s">
        <v>901</v>
      </c>
      <c r="D432" s="414" t="s">
        <v>3632</v>
      </c>
      <c r="E432" s="407" t="s">
        <v>8323</v>
      </c>
      <c r="F432" s="483"/>
      <c r="G432" s="483"/>
      <c r="H432" s="483"/>
      <c r="I432" s="483"/>
      <c r="J432" s="483"/>
      <c r="K432" s="483"/>
      <c r="L432" s="608" t="s">
        <v>4884</v>
      </c>
      <c r="M432" s="409">
        <v>9708.6220472440946</v>
      </c>
      <c r="N432" s="409">
        <v>9708.6220472440946</v>
      </c>
      <c r="O432" s="410" t="s">
        <v>7569</v>
      </c>
      <c r="P432" s="406">
        <v>429</v>
      </c>
      <c r="Q432" s="470" t="s">
        <v>901</v>
      </c>
      <c r="R432" s="460" t="s">
        <v>902</v>
      </c>
      <c r="S432" s="270" t="s">
        <v>7</v>
      </c>
      <c r="U432" s="471"/>
      <c r="V432" s="471"/>
      <c r="W432" s="471" t="s">
        <v>902</v>
      </c>
      <c r="X432" s="471">
        <v>1</v>
      </c>
      <c r="Y432" s="206"/>
      <c r="Z432" s="206"/>
    </row>
    <row r="433" spans="1:26">
      <c r="A433" s="406">
        <v>430</v>
      </c>
      <c r="B433" s="613" t="s">
        <v>2828</v>
      </c>
      <c r="C433" s="288" t="s">
        <v>903</v>
      </c>
      <c r="D433" s="414" t="s">
        <v>3571</v>
      </c>
      <c r="E433" s="407" t="s">
        <v>8324</v>
      </c>
      <c r="F433" s="483"/>
      <c r="G433" s="483"/>
      <c r="H433" s="483"/>
      <c r="I433" s="483"/>
      <c r="J433" s="483"/>
      <c r="K433" s="483"/>
      <c r="L433" s="608" t="s">
        <v>4884</v>
      </c>
      <c r="M433" s="409">
        <v>12058.535433070867</v>
      </c>
      <c r="N433" s="409">
        <v>12058.535433070867</v>
      </c>
      <c r="O433" s="410" t="s">
        <v>7576</v>
      </c>
      <c r="P433" s="406">
        <v>430</v>
      </c>
      <c r="Q433" s="470" t="s">
        <v>903</v>
      </c>
      <c r="R433" s="460" t="s">
        <v>904</v>
      </c>
      <c r="S433" s="270" t="s">
        <v>7</v>
      </c>
      <c r="U433" s="471"/>
      <c r="V433" s="471"/>
      <c r="W433" s="471" t="s">
        <v>904</v>
      </c>
      <c r="X433" s="471">
        <v>1</v>
      </c>
      <c r="Y433" s="206"/>
      <c r="Z433" s="206"/>
    </row>
    <row r="434" spans="1:26">
      <c r="A434" s="406">
        <v>431</v>
      </c>
      <c r="B434" s="613" t="s">
        <v>2829</v>
      </c>
      <c r="C434" s="288" t="s">
        <v>905</v>
      </c>
      <c r="D434" s="414" t="s">
        <v>3617</v>
      </c>
      <c r="E434" s="407" t="s">
        <v>8325</v>
      </c>
      <c r="F434" s="483"/>
      <c r="G434" s="483"/>
      <c r="H434" s="483"/>
      <c r="I434" s="483"/>
      <c r="J434" s="483"/>
      <c r="K434" s="483"/>
      <c r="L434" s="608" t="s">
        <v>4884</v>
      </c>
      <c r="M434" s="409">
        <v>13046.850393700788</v>
      </c>
      <c r="N434" s="409">
        <v>13046.850393700788</v>
      </c>
      <c r="O434" s="410" t="s">
        <v>7574</v>
      </c>
      <c r="P434" s="406">
        <v>431</v>
      </c>
      <c r="Q434" s="470" t="s">
        <v>905</v>
      </c>
      <c r="R434" s="460" t="s">
        <v>906</v>
      </c>
      <c r="S434" s="270" t="s">
        <v>7</v>
      </c>
      <c r="U434" s="471"/>
      <c r="V434" s="471"/>
      <c r="W434" s="471" t="s">
        <v>906</v>
      </c>
      <c r="X434" s="471">
        <v>1</v>
      </c>
      <c r="Y434" s="206"/>
      <c r="Z434" s="206"/>
    </row>
    <row r="435" spans="1:26">
      <c r="A435" s="406">
        <v>432</v>
      </c>
      <c r="B435" s="613" t="s">
        <v>2830</v>
      </c>
      <c r="C435" s="288" t="s">
        <v>907</v>
      </c>
      <c r="D435" s="414" t="s">
        <v>3575</v>
      </c>
      <c r="E435" s="407" t="s">
        <v>8326</v>
      </c>
      <c r="F435" s="483"/>
      <c r="G435" s="483"/>
      <c r="H435" s="483"/>
      <c r="I435" s="483"/>
      <c r="J435" s="483"/>
      <c r="K435" s="483"/>
      <c r="L435" s="608" t="s">
        <v>4884</v>
      </c>
      <c r="M435" s="409">
        <v>12519.866141732284</v>
      </c>
      <c r="N435" s="409">
        <v>12519.866141732284</v>
      </c>
      <c r="O435" s="410" t="s">
        <v>7574</v>
      </c>
      <c r="P435" s="406">
        <v>432</v>
      </c>
      <c r="Q435" s="470" t="s">
        <v>907</v>
      </c>
      <c r="R435" s="460" t="s">
        <v>908</v>
      </c>
      <c r="S435" s="270" t="s">
        <v>7</v>
      </c>
      <c r="U435" s="471"/>
      <c r="V435" s="471"/>
      <c r="W435" s="471" t="s">
        <v>908</v>
      </c>
      <c r="X435" s="471">
        <v>1</v>
      </c>
      <c r="Y435" s="206"/>
      <c r="Z435" s="206"/>
    </row>
    <row r="436" spans="1:26">
      <c r="A436" s="406">
        <v>433</v>
      </c>
      <c r="B436" s="613" t="s">
        <v>2831</v>
      </c>
      <c r="C436" s="288" t="s">
        <v>909</v>
      </c>
      <c r="D436" s="414" t="s">
        <v>3547</v>
      </c>
      <c r="E436" s="407" t="s">
        <v>8327</v>
      </c>
      <c r="F436" s="483"/>
      <c r="G436" s="483"/>
      <c r="H436" s="483"/>
      <c r="I436" s="483"/>
      <c r="J436" s="483"/>
      <c r="K436" s="483"/>
      <c r="L436" s="608" t="s">
        <v>4884</v>
      </c>
      <c r="M436" s="409">
        <v>11256.822834645669</v>
      </c>
      <c r="N436" s="409">
        <v>11256.822834645669</v>
      </c>
      <c r="O436" s="410" t="s">
        <v>7573</v>
      </c>
      <c r="P436" s="406">
        <v>433</v>
      </c>
      <c r="Q436" s="470" t="s">
        <v>909</v>
      </c>
      <c r="R436" s="460" t="s">
        <v>910</v>
      </c>
      <c r="S436" s="270" t="s">
        <v>7</v>
      </c>
      <c r="U436" s="471"/>
      <c r="V436" s="471"/>
      <c r="W436" s="471" t="s">
        <v>910</v>
      </c>
      <c r="X436" s="471">
        <v>1</v>
      </c>
      <c r="Y436" s="206"/>
      <c r="Z436" s="206"/>
    </row>
    <row r="437" spans="1:26">
      <c r="A437" s="406">
        <v>434</v>
      </c>
      <c r="B437" s="613" t="s">
        <v>2832</v>
      </c>
      <c r="C437" s="288" t="s">
        <v>911</v>
      </c>
      <c r="D437" s="414" t="s">
        <v>3549</v>
      </c>
      <c r="E437" s="407" t="s">
        <v>8328</v>
      </c>
      <c r="F437" s="483"/>
      <c r="G437" s="483"/>
      <c r="H437" s="483"/>
      <c r="I437" s="483"/>
      <c r="J437" s="483"/>
      <c r="K437" s="483"/>
      <c r="L437" s="608" t="s">
        <v>4884</v>
      </c>
      <c r="M437" s="409">
        <v>11602.822834645671</v>
      </c>
      <c r="N437" s="409">
        <v>11602.822834645671</v>
      </c>
      <c r="O437" s="410" t="s">
        <v>7573</v>
      </c>
      <c r="P437" s="406">
        <v>434</v>
      </c>
      <c r="Q437" s="470" t="s">
        <v>911</v>
      </c>
      <c r="R437" s="460" t="s">
        <v>912</v>
      </c>
      <c r="S437" s="270" t="s">
        <v>7</v>
      </c>
      <c r="U437" s="471"/>
      <c r="V437" s="471"/>
      <c r="W437" s="471" t="s">
        <v>912</v>
      </c>
      <c r="X437" s="471">
        <v>1</v>
      </c>
      <c r="Y437" s="206"/>
      <c r="Z437" s="206"/>
    </row>
    <row r="438" spans="1:26">
      <c r="A438" s="406">
        <v>435</v>
      </c>
      <c r="B438" s="613" t="s">
        <v>2833</v>
      </c>
      <c r="C438" s="288" t="s">
        <v>913</v>
      </c>
      <c r="D438" s="414" t="s">
        <v>3577</v>
      </c>
      <c r="E438" s="407" t="s">
        <v>8329</v>
      </c>
      <c r="F438" s="483"/>
      <c r="G438" s="483"/>
      <c r="H438" s="483"/>
      <c r="I438" s="483"/>
      <c r="J438" s="483"/>
      <c r="K438" s="483"/>
      <c r="L438" s="608" t="s">
        <v>4884</v>
      </c>
      <c r="M438" s="409">
        <v>12512.413385826771</v>
      </c>
      <c r="N438" s="409">
        <v>12512.413385826771</v>
      </c>
      <c r="O438" s="410" t="s">
        <v>7574</v>
      </c>
      <c r="P438" s="406">
        <v>435</v>
      </c>
      <c r="Q438" s="470" t="s">
        <v>913</v>
      </c>
      <c r="R438" s="460" t="s">
        <v>914</v>
      </c>
      <c r="S438" s="270" t="s">
        <v>7</v>
      </c>
      <c r="U438" s="471"/>
      <c r="V438" s="471"/>
      <c r="W438" s="471" t="s">
        <v>914</v>
      </c>
      <c r="X438" s="471">
        <v>1</v>
      </c>
      <c r="Y438" s="206"/>
      <c r="Z438" s="206"/>
    </row>
    <row r="439" spans="1:26">
      <c r="A439" s="406">
        <v>436</v>
      </c>
      <c r="B439" s="613" t="s">
        <v>2839</v>
      </c>
      <c r="C439" s="288" t="s">
        <v>915</v>
      </c>
      <c r="D439" s="414" t="s">
        <v>3635</v>
      </c>
      <c r="E439" s="407" t="s">
        <v>8330</v>
      </c>
      <c r="F439" s="483"/>
      <c r="G439" s="483"/>
      <c r="H439" s="483"/>
      <c r="I439" s="483"/>
      <c r="J439" s="483"/>
      <c r="K439" s="483"/>
      <c r="L439" s="608" t="s">
        <v>4884</v>
      </c>
      <c r="M439" s="409">
        <v>10390.503937007874</v>
      </c>
      <c r="N439" s="409">
        <v>10390.503937007874</v>
      </c>
      <c r="O439" s="410" t="s">
        <v>7569</v>
      </c>
      <c r="P439" s="406">
        <v>436</v>
      </c>
      <c r="Q439" s="470" t="s">
        <v>915</v>
      </c>
      <c r="R439" s="460" t="s">
        <v>916</v>
      </c>
      <c r="S439" s="270" t="s">
        <v>7</v>
      </c>
      <c r="U439" s="471"/>
      <c r="V439" s="471"/>
      <c r="W439" s="471" t="s">
        <v>916</v>
      </c>
      <c r="X439" s="471">
        <v>1</v>
      </c>
      <c r="Y439" s="206"/>
      <c r="Z439" s="206"/>
    </row>
    <row r="440" spans="1:26">
      <c r="A440" s="406">
        <v>437</v>
      </c>
      <c r="B440" s="613" t="s">
        <v>2835</v>
      </c>
      <c r="C440" s="288" t="s">
        <v>917</v>
      </c>
      <c r="D440" s="414" t="s">
        <v>3562</v>
      </c>
      <c r="E440" s="407" t="s">
        <v>8331</v>
      </c>
      <c r="F440" s="483"/>
      <c r="G440" s="483"/>
      <c r="H440" s="483"/>
      <c r="I440" s="483"/>
      <c r="J440" s="483"/>
      <c r="K440" s="483"/>
      <c r="L440" s="608" t="s">
        <v>4884</v>
      </c>
      <c r="M440" s="409">
        <v>12490.562992125984</v>
      </c>
      <c r="N440" s="409">
        <v>12490.562992125984</v>
      </c>
      <c r="O440" s="410" t="s">
        <v>7576</v>
      </c>
      <c r="P440" s="406">
        <v>437</v>
      </c>
      <c r="Q440" s="470" t="s">
        <v>917</v>
      </c>
      <c r="R440" s="460" t="s">
        <v>918</v>
      </c>
      <c r="S440" s="270" t="s">
        <v>7</v>
      </c>
      <c r="U440" s="471"/>
      <c r="V440" s="471"/>
      <c r="W440" s="471" t="s">
        <v>918</v>
      </c>
      <c r="X440" s="471">
        <v>1</v>
      </c>
      <c r="Y440" s="206"/>
      <c r="Z440" s="206"/>
    </row>
    <row r="441" spans="1:26">
      <c r="A441" s="406">
        <v>438</v>
      </c>
      <c r="B441" s="613" t="s">
        <v>2836</v>
      </c>
      <c r="C441" s="288" t="s">
        <v>919</v>
      </c>
      <c r="D441" s="414" t="s">
        <v>3541</v>
      </c>
      <c r="E441" s="407" t="s">
        <v>8332</v>
      </c>
      <c r="F441" s="483"/>
      <c r="G441" s="483"/>
      <c r="H441" s="483"/>
      <c r="I441" s="483"/>
      <c r="J441" s="483"/>
      <c r="K441" s="483"/>
      <c r="L441" s="608" t="s">
        <v>4884</v>
      </c>
      <c r="M441" s="409">
        <v>11259.523622047243</v>
      </c>
      <c r="N441" s="409">
        <v>11259.523622047243</v>
      </c>
      <c r="O441" s="410" t="s">
        <v>7575</v>
      </c>
      <c r="P441" s="406">
        <v>438</v>
      </c>
      <c r="Q441" s="470" t="s">
        <v>919</v>
      </c>
      <c r="R441" s="460" t="s">
        <v>920</v>
      </c>
      <c r="S441" s="270" t="s">
        <v>7</v>
      </c>
      <c r="U441" s="471"/>
      <c r="V441" s="471"/>
      <c r="W441" s="471" t="s">
        <v>920</v>
      </c>
      <c r="X441" s="471">
        <v>1</v>
      </c>
      <c r="Y441" s="206"/>
      <c r="Z441" s="206"/>
    </row>
    <row r="442" spans="1:26">
      <c r="A442" s="406">
        <v>439</v>
      </c>
      <c r="B442" s="613" t="s">
        <v>2837</v>
      </c>
      <c r="C442" s="288" t="s">
        <v>921</v>
      </c>
      <c r="D442" s="414" t="s">
        <v>3713</v>
      </c>
      <c r="E442" s="407" t="s">
        <v>8333</v>
      </c>
      <c r="F442" s="483"/>
      <c r="G442" s="483"/>
      <c r="H442" s="483"/>
      <c r="I442" s="483"/>
      <c r="J442" s="483"/>
      <c r="K442" s="483"/>
      <c r="L442" s="608" t="s">
        <v>4884</v>
      </c>
      <c r="M442" s="409">
        <v>10284.677165354331</v>
      </c>
      <c r="N442" s="409">
        <v>10284.677165354331</v>
      </c>
      <c r="O442" s="410" t="s">
        <v>7572</v>
      </c>
      <c r="P442" s="406">
        <v>439</v>
      </c>
      <c r="Q442" s="470" t="s">
        <v>921</v>
      </c>
      <c r="R442" s="460" t="s">
        <v>922</v>
      </c>
      <c r="S442" s="270" t="s">
        <v>7</v>
      </c>
      <c r="U442" s="471"/>
      <c r="V442" s="471"/>
      <c r="W442" s="471" t="s">
        <v>922</v>
      </c>
      <c r="X442" s="471">
        <v>1</v>
      </c>
      <c r="Y442" s="206"/>
      <c r="Z442" s="206"/>
    </row>
    <row r="443" spans="1:26">
      <c r="A443" s="406">
        <v>440</v>
      </c>
      <c r="B443" s="613" t="s">
        <v>2838</v>
      </c>
      <c r="C443" s="288" t="s">
        <v>923</v>
      </c>
      <c r="D443" s="414" t="s">
        <v>3633</v>
      </c>
      <c r="E443" s="407" t="s">
        <v>8334</v>
      </c>
      <c r="F443" s="483"/>
      <c r="G443" s="483"/>
      <c r="H443" s="483"/>
      <c r="I443" s="483"/>
      <c r="J443" s="483"/>
      <c r="K443" s="483"/>
      <c r="L443" s="608" t="s">
        <v>4884</v>
      </c>
      <c r="M443" s="409">
        <v>9855.5669291338581</v>
      </c>
      <c r="N443" s="409">
        <v>9855.5669291338581</v>
      </c>
      <c r="O443" s="410" t="s">
        <v>7569</v>
      </c>
      <c r="P443" s="406">
        <v>440</v>
      </c>
      <c r="Q443" s="470" t="s">
        <v>923</v>
      </c>
      <c r="R443" s="460" t="s">
        <v>924</v>
      </c>
      <c r="S443" s="270" t="s">
        <v>7</v>
      </c>
      <c r="U443" s="471"/>
      <c r="V443" s="471"/>
      <c r="W443" s="471" t="s">
        <v>924</v>
      </c>
      <c r="X443" s="471">
        <v>1</v>
      </c>
      <c r="Y443" s="206"/>
      <c r="Z443" s="206"/>
    </row>
    <row r="444" spans="1:26">
      <c r="A444" s="406">
        <v>441</v>
      </c>
      <c r="B444" s="613" t="s">
        <v>2840</v>
      </c>
      <c r="C444" s="288" t="s">
        <v>925</v>
      </c>
      <c r="D444" s="414" t="s">
        <v>3524</v>
      </c>
      <c r="E444" s="407" t="s">
        <v>8335</v>
      </c>
      <c r="F444" s="483"/>
      <c r="G444" s="483"/>
      <c r="H444" s="483"/>
      <c r="I444" s="483"/>
      <c r="J444" s="483"/>
      <c r="K444" s="483"/>
      <c r="L444" s="608" t="s">
        <v>4884</v>
      </c>
      <c r="M444" s="409">
        <v>12479.444881889764</v>
      </c>
      <c r="N444" s="409">
        <v>12479.444881889764</v>
      </c>
      <c r="O444" s="410" t="s">
        <v>7573</v>
      </c>
      <c r="P444" s="406">
        <v>441</v>
      </c>
      <c r="Q444" s="470" t="s">
        <v>925</v>
      </c>
      <c r="R444" s="460" t="s">
        <v>926</v>
      </c>
      <c r="S444" s="270" t="s">
        <v>7</v>
      </c>
      <c r="U444" s="471"/>
      <c r="V444" s="471"/>
      <c r="W444" s="471" t="s">
        <v>926</v>
      </c>
      <c r="X444" s="471">
        <v>1</v>
      </c>
      <c r="Y444" s="206"/>
      <c r="Z444" s="206"/>
    </row>
    <row r="445" spans="1:26">
      <c r="A445" s="406">
        <v>442</v>
      </c>
      <c r="B445" s="613" t="s">
        <v>2841</v>
      </c>
      <c r="C445" s="288" t="s">
        <v>927</v>
      </c>
      <c r="D445" s="414" t="s">
        <v>3679</v>
      </c>
      <c r="E445" s="407" t="s">
        <v>8336</v>
      </c>
      <c r="F445" s="483"/>
      <c r="G445" s="483"/>
      <c r="H445" s="483"/>
      <c r="I445" s="483"/>
      <c r="J445" s="483"/>
      <c r="K445" s="483"/>
      <c r="L445" s="608" t="s">
        <v>4884</v>
      </c>
      <c r="M445" s="409">
        <v>10477</v>
      </c>
      <c r="N445" s="409">
        <v>10477</v>
      </c>
      <c r="O445" s="410" t="s">
        <v>7572</v>
      </c>
      <c r="P445" s="406">
        <v>442</v>
      </c>
      <c r="Q445" s="470" t="s">
        <v>927</v>
      </c>
      <c r="R445" s="460" t="s">
        <v>928</v>
      </c>
      <c r="S445" s="270" t="s">
        <v>7</v>
      </c>
      <c r="U445" s="471"/>
      <c r="V445" s="471"/>
      <c r="W445" s="471" t="s">
        <v>928</v>
      </c>
      <c r="X445" s="471">
        <v>1</v>
      </c>
      <c r="Y445" s="206"/>
      <c r="Z445" s="206"/>
    </row>
    <row r="446" spans="1:26">
      <c r="A446" s="406">
        <v>443</v>
      </c>
      <c r="B446" s="613" t="s">
        <v>2842</v>
      </c>
      <c r="C446" s="288" t="s">
        <v>929</v>
      </c>
      <c r="D446" s="414" t="s">
        <v>3561</v>
      </c>
      <c r="E446" s="407" t="s">
        <v>8337</v>
      </c>
      <c r="F446" s="483"/>
      <c r="G446" s="483"/>
      <c r="H446" s="483"/>
      <c r="I446" s="483"/>
      <c r="J446" s="483"/>
      <c r="K446" s="483"/>
      <c r="L446" s="608" t="s">
        <v>4884</v>
      </c>
      <c r="M446" s="409">
        <v>11649.677165354331</v>
      </c>
      <c r="N446" s="409">
        <v>11649.677165354331</v>
      </c>
      <c r="O446" s="410" t="s">
        <v>7576</v>
      </c>
      <c r="P446" s="406">
        <v>443</v>
      </c>
      <c r="Q446" s="470" t="s">
        <v>929</v>
      </c>
      <c r="R446" s="460" t="s">
        <v>930</v>
      </c>
      <c r="S446" s="270" t="s">
        <v>7</v>
      </c>
      <c r="U446" s="471"/>
      <c r="V446" s="471"/>
      <c r="W446" s="471" t="s">
        <v>930</v>
      </c>
      <c r="X446" s="471">
        <v>1</v>
      </c>
      <c r="Y446" s="206"/>
      <c r="Z446" s="206"/>
    </row>
    <row r="447" spans="1:26">
      <c r="A447" s="406">
        <v>444</v>
      </c>
      <c r="B447" s="613" t="s">
        <v>2843</v>
      </c>
      <c r="C447" s="288" t="s">
        <v>931</v>
      </c>
      <c r="D447" s="414" t="s">
        <v>3560</v>
      </c>
      <c r="E447" s="407" t="s">
        <v>8338</v>
      </c>
      <c r="F447" s="483"/>
      <c r="G447" s="483"/>
      <c r="H447" s="483"/>
      <c r="I447" s="483"/>
      <c r="J447" s="483"/>
      <c r="K447" s="483"/>
      <c r="L447" s="608" t="s">
        <v>4884</v>
      </c>
      <c r="M447" s="409">
        <v>11969.555118110236</v>
      </c>
      <c r="N447" s="409">
        <v>11969.555118110236</v>
      </c>
      <c r="O447" s="410" t="s">
        <v>7576</v>
      </c>
      <c r="P447" s="406">
        <v>444</v>
      </c>
      <c r="Q447" s="470" t="s">
        <v>931</v>
      </c>
      <c r="R447" s="460" t="s">
        <v>932</v>
      </c>
      <c r="S447" s="270" t="s">
        <v>7</v>
      </c>
      <c r="U447" s="471"/>
      <c r="V447" s="471"/>
      <c r="W447" s="471" t="s">
        <v>932</v>
      </c>
      <c r="X447" s="471">
        <v>1</v>
      </c>
      <c r="Y447" s="206"/>
      <c r="Z447" s="206"/>
    </row>
    <row r="448" spans="1:26">
      <c r="A448" s="406">
        <v>445</v>
      </c>
      <c r="B448" s="613" t="s">
        <v>2844</v>
      </c>
      <c r="C448" s="288" t="s">
        <v>933</v>
      </c>
      <c r="D448" s="414" t="s">
        <v>3582</v>
      </c>
      <c r="E448" s="407" t="s">
        <v>8339</v>
      </c>
      <c r="F448" s="483"/>
      <c r="G448" s="483"/>
      <c r="H448" s="483"/>
      <c r="I448" s="483"/>
      <c r="J448" s="483"/>
      <c r="K448" s="483"/>
      <c r="L448" s="608" t="s">
        <v>4884</v>
      </c>
      <c r="M448" s="409">
        <v>8811.0354330708669</v>
      </c>
      <c r="N448" s="409">
        <v>8811.0354330708669</v>
      </c>
      <c r="O448" s="410" t="s">
        <v>7569</v>
      </c>
      <c r="P448" s="406">
        <v>445</v>
      </c>
      <c r="Q448" s="470" t="s">
        <v>933</v>
      </c>
      <c r="R448" s="460" t="s">
        <v>934</v>
      </c>
      <c r="S448" s="270" t="s">
        <v>7</v>
      </c>
      <c r="U448" s="471"/>
      <c r="V448" s="471"/>
      <c r="W448" s="471" t="s">
        <v>934</v>
      </c>
      <c r="X448" s="471">
        <v>1</v>
      </c>
      <c r="Y448" s="206"/>
      <c r="Z448" s="206"/>
    </row>
    <row r="449" spans="1:26">
      <c r="A449" s="406">
        <v>446</v>
      </c>
      <c r="B449" s="613" t="s">
        <v>2845</v>
      </c>
      <c r="C449" s="288" t="s">
        <v>935</v>
      </c>
      <c r="D449" s="414" t="s">
        <v>3628</v>
      </c>
      <c r="E449" s="407" t="s">
        <v>8340</v>
      </c>
      <c r="F449" s="483"/>
      <c r="G449" s="483"/>
      <c r="H449" s="483"/>
      <c r="I449" s="483"/>
      <c r="J449" s="483"/>
      <c r="K449" s="483"/>
      <c r="L449" s="608" t="s">
        <v>4884</v>
      </c>
      <c r="M449" s="409">
        <v>9340.1732283464571</v>
      </c>
      <c r="N449" s="409">
        <v>9340.1732283464571</v>
      </c>
      <c r="O449" s="410" t="s">
        <v>7569</v>
      </c>
      <c r="P449" s="406">
        <v>446</v>
      </c>
      <c r="Q449" s="470" t="s">
        <v>935</v>
      </c>
      <c r="R449" s="460" t="s">
        <v>936</v>
      </c>
      <c r="S449" s="270" t="s">
        <v>7</v>
      </c>
      <c r="U449" s="471"/>
      <c r="V449" s="471"/>
      <c r="W449" s="471" t="s">
        <v>936</v>
      </c>
      <c r="X449" s="471">
        <v>1</v>
      </c>
      <c r="Y449" s="206"/>
      <c r="Z449" s="206"/>
    </row>
    <row r="450" spans="1:26">
      <c r="A450" s="406">
        <v>447</v>
      </c>
      <c r="B450" s="613" t="s">
        <v>2846</v>
      </c>
      <c r="C450" s="288" t="s">
        <v>937</v>
      </c>
      <c r="D450" s="414" t="s">
        <v>3507</v>
      </c>
      <c r="E450" s="407" t="s">
        <v>8341</v>
      </c>
      <c r="F450" s="483"/>
      <c r="G450" s="483"/>
      <c r="H450" s="483"/>
      <c r="I450" s="483"/>
      <c r="J450" s="483"/>
      <c r="K450" s="483"/>
      <c r="L450" s="608" t="s">
        <v>4884</v>
      </c>
      <c r="M450" s="409">
        <v>11103.889763779527</v>
      </c>
      <c r="N450" s="409">
        <v>11103.889763779527</v>
      </c>
      <c r="O450" s="410" t="s">
        <v>7575</v>
      </c>
      <c r="P450" s="406">
        <v>447</v>
      </c>
      <c r="Q450" s="470" t="s">
        <v>937</v>
      </c>
      <c r="R450" s="460" t="s">
        <v>938</v>
      </c>
      <c r="S450" s="270" t="s">
        <v>7</v>
      </c>
      <c r="U450" s="471"/>
      <c r="V450" s="471"/>
      <c r="W450" s="471" t="s">
        <v>938</v>
      </c>
      <c r="X450" s="471">
        <v>1</v>
      </c>
      <c r="Y450" s="206"/>
      <c r="Z450" s="206"/>
    </row>
    <row r="451" spans="1:26">
      <c r="A451" s="406">
        <v>448</v>
      </c>
      <c r="B451" s="613" t="s">
        <v>2847</v>
      </c>
      <c r="C451" s="288" t="s">
        <v>939</v>
      </c>
      <c r="D451" s="414" t="s">
        <v>3671</v>
      </c>
      <c r="E451" s="407" t="s">
        <v>8342</v>
      </c>
      <c r="F451" s="483"/>
      <c r="G451" s="483"/>
      <c r="H451" s="483"/>
      <c r="I451" s="483"/>
      <c r="J451" s="483"/>
      <c r="K451" s="483"/>
      <c r="L451" s="608" t="s">
        <v>4884</v>
      </c>
      <c r="M451" s="409">
        <v>10265.799212598426</v>
      </c>
      <c r="N451" s="409">
        <v>10265.799212598426</v>
      </c>
      <c r="O451" s="410" t="s">
        <v>7572</v>
      </c>
      <c r="P451" s="406">
        <v>448</v>
      </c>
      <c r="Q451" s="470" t="s">
        <v>939</v>
      </c>
      <c r="R451" s="460" t="s">
        <v>940</v>
      </c>
      <c r="S451" s="270" t="s">
        <v>7</v>
      </c>
      <c r="U451" s="471"/>
      <c r="V451" s="471"/>
      <c r="W451" s="471" t="s">
        <v>940</v>
      </c>
      <c r="X451" s="471">
        <v>1</v>
      </c>
      <c r="Y451" s="206"/>
      <c r="Z451" s="206"/>
    </row>
    <row r="452" spans="1:26">
      <c r="A452" s="406">
        <v>449</v>
      </c>
      <c r="B452" s="613" t="s">
        <v>2858</v>
      </c>
      <c r="C452" s="288" t="s">
        <v>941</v>
      </c>
      <c r="D452" s="414" t="s">
        <v>3651</v>
      </c>
      <c r="E452" s="407" t="s">
        <v>8343</v>
      </c>
      <c r="F452" s="483"/>
      <c r="G452" s="483"/>
      <c r="H452" s="483"/>
      <c r="I452" s="483"/>
      <c r="J452" s="483"/>
      <c r="K452" s="483"/>
      <c r="L452" s="608" t="s">
        <v>4884</v>
      </c>
      <c r="M452" s="409">
        <v>12892.07874015748</v>
      </c>
      <c r="N452" s="409">
        <v>12892.07874015748</v>
      </c>
      <c r="O452" s="410" t="s">
        <v>7576</v>
      </c>
      <c r="P452" s="406">
        <v>449</v>
      </c>
      <c r="Q452" s="470" t="s">
        <v>941</v>
      </c>
      <c r="R452" s="460" t="s">
        <v>942</v>
      </c>
      <c r="S452" s="270" t="s">
        <v>7</v>
      </c>
      <c r="U452" s="471"/>
      <c r="V452" s="471"/>
      <c r="W452" s="471" t="s">
        <v>942</v>
      </c>
      <c r="X452" s="471">
        <v>1</v>
      </c>
      <c r="Y452" s="206"/>
      <c r="Z452" s="206"/>
    </row>
    <row r="453" spans="1:26">
      <c r="A453" s="406">
        <v>450</v>
      </c>
      <c r="B453" s="613" t="s">
        <v>2848</v>
      </c>
      <c r="C453" s="288" t="s">
        <v>943</v>
      </c>
      <c r="D453" s="414" t="s">
        <v>3672</v>
      </c>
      <c r="E453" s="407" t="s">
        <v>8344</v>
      </c>
      <c r="F453" s="483"/>
      <c r="G453" s="483"/>
      <c r="H453" s="483"/>
      <c r="I453" s="483"/>
      <c r="J453" s="483"/>
      <c r="K453" s="483"/>
      <c r="L453" s="608" t="s">
        <v>4884</v>
      </c>
      <c r="M453" s="409">
        <v>10266.27559055118</v>
      </c>
      <c r="N453" s="409">
        <v>10266.27559055118</v>
      </c>
      <c r="O453" s="410" t="s">
        <v>7572</v>
      </c>
      <c r="P453" s="406">
        <v>450</v>
      </c>
      <c r="Q453" s="470" t="s">
        <v>943</v>
      </c>
      <c r="R453" s="460" t="s">
        <v>944</v>
      </c>
      <c r="S453" s="270" t="s">
        <v>7</v>
      </c>
      <c r="U453" s="471"/>
      <c r="V453" s="471"/>
      <c r="W453" s="471" t="s">
        <v>944</v>
      </c>
      <c r="X453" s="471">
        <v>1</v>
      </c>
      <c r="Y453" s="206"/>
      <c r="Z453" s="206"/>
    </row>
    <row r="454" spans="1:26">
      <c r="A454" s="406">
        <v>451</v>
      </c>
      <c r="B454" s="613" t="s">
        <v>2849</v>
      </c>
      <c r="C454" s="288" t="s">
        <v>945</v>
      </c>
      <c r="D454" s="414" t="s">
        <v>3526</v>
      </c>
      <c r="E454" s="407" t="s">
        <v>8345</v>
      </c>
      <c r="F454" s="483"/>
      <c r="G454" s="483"/>
      <c r="H454" s="483"/>
      <c r="I454" s="483"/>
      <c r="J454" s="483"/>
      <c r="K454" s="483"/>
      <c r="L454" s="608" t="s">
        <v>4884</v>
      </c>
      <c r="M454" s="409">
        <v>12278.669291338583</v>
      </c>
      <c r="N454" s="409">
        <v>12278.669291338583</v>
      </c>
      <c r="O454" s="410" t="s">
        <v>7573</v>
      </c>
      <c r="P454" s="406">
        <v>451</v>
      </c>
      <c r="Q454" s="470" t="s">
        <v>945</v>
      </c>
      <c r="R454" s="460" t="s">
        <v>946</v>
      </c>
      <c r="S454" s="270" t="s">
        <v>7</v>
      </c>
      <c r="U454" s="471"/>
      <c r="V454" s="471"/>
      <c r="W454" s="471" t="s">
        <v>946</v>
      </c>
      <c r="X454" s="471">
        <v>1</v>
      </c>
      <c r="Y454" s="206"/>
      <c r="Z454" s="206"/>
    </row>
    <row r="455" spans="1:26">
      <c r="A455" s="406">
        <v>452</v>
      </c>
      <c r="B455" s="613" t="s">
        <v>2850</v>
      </c>
      <c r="C455" s="288" t="s">
        <v>947</v>
      </c>
      <c r="D455" s="414" t="s">
        <v>3673</v>
      </c>
      <c r="E455" s="407" t="s">
        <v>8346</v>
      </c>
      <c r="F455" s="483"/>
      <c r="G455" s="483"/>
      <c r="H455" s="483"/>
      <c r="I455" s="483"/>
      <c r="J455" s="483"/>
      <c r="K455" s="483"/>
      <c r="L455" s="608" t="s">
        <v>4884</v>
      </c>
      <c r="M455" s="409">
        <v>10147.448818897639</v>
      </c>
      <c r="N455" s="409">
        <v>10147.448818897639</v>
      </c>
      <c r="O455" s="410" t="s">
        <v>7572</v>
      </c>
      <c r="P455" s="406">
        <v>452</v>
      </c>
      <c r="Q455" s="470" t="s">
        <v>947</v>
      </c>
      <c r="R455" s="460" t="s">
        <v>948</v>
      </c>
      <c r="S455" s="270" t="s">
        <v>7</v>
      </c>
      <c r="U455" s="471"/>
      <c r="V455" s="471"/>
      <c r="W455" s="471" t="s">
        <v>948</v>
      </c>
      <c r="X455" s="471">
        <v>1</v>
      </c>
      <c r="Y455" s="206"/>
      <c r="Z455" s="206"/>
    </row>
    <row r="456" spans="1:26">
      <c r="A456" s="406">
        <v>453</v>
      </c>
      <c r="B456" s="613" t="s">
        <v>2851</v>
      </c>
      <c r="C456" s="288" t="s">
        <v>949</v>
      </c>
      <c r="D456" s="414" t="s">
        <v>3629</v>
      </c>
      <c r="E456" s="407" t="s">
        <v>8347</v>
      </c>
      <c r="F456" s="483"/>
      <c r="G456" s="483"/>
      <c r="H456" s="483"/>
      <c r="I456" s="483"/>
      <c r="J456" s="483"/>
      <c r="K456" s="483"/>
      <c r="L456" s="608" t="s">
        <v>4884</v>
      </c>
      <c r="M456" s="409">
        <v>9242.9370078740158</v>
      </c>
      <c r="N456" s="409">
        <v>9242.9370078740158</v>
      </c>
      <c r="O456" s="410" t="s">
        <v>7569</v>
      </c>
      <c r="P456" s="406">
        <v>453</v>
      </c>
      <c r="Q456" s="470" t="s">
        <v>949</v>
      </c>
      <c r="R456" s="460" t="s">
        <v>950</v>
      </c>
      <c r="S456" s="270" t="s">
        <v>7</v>
      </c>
      <c r="U456" s="471"/>
      <c r="V456" s="471"/>
      <c r="W456" s="471" t="s">
        <v>950</v>
      </c>
      <c r="X456" s="471">
        <v>1</v>
      </c>
      <c r="Y456" s="206"/>
      <c r="Z456" s="206"/>
    </row>
    <row r="457" spans="1:26">
      <c r="A457" s="406">
        <v>454</v>
      </c>
      <c r="B457" s="613" t="s">
        <v>2852</v>
      </c>
      <c r="C457" s="288" t="s">
        <v>951</v>
      </c>
      <c r="D457" s="414" t="s">
        <v>3503</v>
      </c>
      <c r="E457" s="407" t="s">
        <v>8348</v>
      </c>
      <c r="F457" s="483"/>
      <c r="G457" s="483"/>
      <c r="H457" s="483"/>
      <c r="I457" s="483"/>
      <c r="J457" s="483"/>
      <c r="K457" s="483"/>
      <c r="L457" s="608" t="s">
        <v>4884</v>
      </c>
      <c r="M457" s="409">
        <v>10884.476377952757</v>
      </c>
      <c r="N457" s="409">
        <v>10884.476377952757</v>
      </c>
      <c r="O457" s="410" t="s">
        <v>7575</v>
      </c>
      <c r="P457" s="406">
        <v>454</v>
      </c>
      <c r="Q457" s="470" t="s">
        <v>951</v>
      </c>
      <c r="R457" s="460" t="s">
        <v>952</v>
      </c>
      <c r="S457" s="270" t="s">
        <v>7</v>
      </c>
      <c r="U457" s="471"/>
      <c r="V457" s="471"/>
      <c r="W457" s="471" t="s">
        <v>952</v>
      </c>
      <c r="X457" s="471">
        <v>1</v>
      </c>
      <c r="Y457" s="206"/>
      <c r="Z457" s="206"/>
    </row>
    <row r="458" spans="1:26">
      <c r="A458" s="406">
        <v>455</v>
      </c>
      <c r="B458" s="613" t="s">
        <v>2853</v>
      </c>
      <c r="C458" s="288" t="s">
        <v>953</v>
      </c>
      <c r="D458" s="414" t="s">
        <v>3556</v>
      </c>
      <c r="E458" s="407" t="s">
        <v>8349</v>
      </c>
      <c r="F458" s="483"/>
      <c r="G458" s="483"/>
      <c r="H458" s="483"/>
      <c r="I458" s="483"/>
      <c r="J458" s="483"/>
      <c r="K458" s="483"/>
      <c r="L458" s="608" t="s">
        <v>4884</v>
      </c>
      <c r="M458" s="409">
        <v>11546.527559055117</v>
      </c>
      <c r="N458" s="409">
        <v>11546.527559055117</v>
      </c>
      <c r="O458" s="410" t="s">
        <v>7576</v>
      </c>
      <c r="P458" s="406">
        <v>455</v>
      </c>
      <c r="Q458" s="470" t="s">
        <v>953</v>
      </c>
      <c r="R458" s="460" t="s">
        <v>954</v>
      </c>
      <c r="S458" s="270" t="s">
        <v>7</v>
      </c>
      <c r="U458" s="471"/>
      <c r="V458" s="471"/>
      <c r="W458" s="471" t="s">
        <v>954</v>
      </c>
      <c r="X458" s="471">
        <v>1</v>
      </c>
      <c r="Y458" s="206"/>
      <c r="Z458" s="206"/>
    </row>
    <row r="459" spans="1:26">
      <c r="A459" s="406">
        <v>456</v>
      </c>
      <c r="B459" s="613" t="s">
        <v>2854</v>
      </c>
      <c r="C459" s="288" t="s">
        <v>955</v>
      </c>
      <c r="D459" s="414" t="s">
        <v>3678</v>
      </c>
      <c r="E459" s="407" t="s">
        <v>8350</v>
      </c>
      <c r="F459" s="483"/>
      <c r="G459" s="483"/>
      <c r="H459" s="483"/>
      <c r="I459" s="483"/>
      <c r="J459" s="483"/>
      <c r="K459" s="483"/>
      <c r="L459" s="608" t="s">
        <v>4884</v>
      </c>
      <c r="M459" s="409">
        <v>10655.409448818898</v>
      </c>
      <c r="N459" s="409">
        <v>10655.409448818898</v>
      </c>
      <c r="O459" s="410" t="s">
        <v>7572</v>
      </c>
      <c r="P459" s="406">
        <v>456</v>
      </c>
      <c r="Q459" s="470" t="s">
        <v>955</v>
      </c>
      <c r="R459" s="460" t="s">
        <v>956</v>
      </c>
      <c r="S459" s="270" t="s">
        <v>7</v>
      </c>
      <c r="U459" s="471"/>
      <c r="V459" s="471"/>
      <c r="W459" s="471" t="s">
        <v>956</v>
      </c>
      <c r="X459" s="471">
        <v>1</v>
      </c>
      <c r="Y459" s="206"/>
      <c r="Z459" s="206"/>
    </row>
    <row r="460" spans="1:26">
      <c r="A460" s="406">
        <v>457</v>
      </c>
      <c r="B460" s="613" t="s">
        <v>2855</v>
      </c>
      <c r="C460" s="288" t="s">
        <v>957</v>
      </c>
      <c r="D460" s="414" t="s">
        <v>3662</v>
      </c>
      <c r="E460" s="407" t="s">
        <v>8351</v>
      </c>
      <c r="F460" s="483"/>
      <c r="G460" s="483"/>
      <c r="H460" s="483"/>
      <c r="I460" s="483"/>
      <c r="J460" s="483"/>
      <c r="K460" s="483"/>
      <c r="L460" s="608" t="s">
        <v>4884</v>
      </c>
      <c r="M460" s="409">
        <v>10672.834645669291</v>
      </c>
      <c r="N460" s="409">
        <v>10672.834645669291</v>
      </c>
      <c r="O460" s="410" t="s">
        <v>7572</v>
      </c>
      <c r="P460" s="406">
        <v>457</v>
      </c>
      <c r="Q460" s="470" t="s">
        <v>957</v>
      </c>
      <c r="R460" s="460" t="s">
        <v>958</v>
      </c>
      <c r="S460" s="270" t="s">
        <v>7</v>
      </c>
      <c r="U460" s="471"/>
      <c r="V460" s="471"/>
      <c r="W460" s="471" t="s">
        <v>958</v>
      </c>
      <c r="X460" s="471">
        <v>1</v>
      </c>
      <c r="Y460" s="206"/>
      <c r="Z460" s="206"/>
    </row>
    <row r="461" spans="1:26">
      <c r="A461" s="406">
        <v>458</v>
      </c>
      <c r="B461" s="613" t="s">
        <v>2856</v>
      </c>
      <c r="C461" s="288" t="s">
        <v>959</v>
      </c>
      <c r="D461" s="414" t="s">
        <v>3653</v>
      </c>
      <c r="E461" s="407" t="s">
        <v>8352</v>
      </c>
      <c r="F461" s="483"/>
      <c r="G461" s="483"/>
      <c r="H461" s="483"/>
      <c r="I461" s="483"/>
      <c r="J461" s="483"/>
      <c r="K461" s="483"/>
      <c r="L461" s="608" t="s">
        <v>4884</v>
      </c>
      <c r="M461" s="409">
        <v>12707.633858267718</v>
      </c>
      <c r="N461" s="409">
        <v>12707.633858267718</v>
      </c>
      <c r="O461" s="410" t="s">
        <v>7576</v>
      </c>
      <c r="P461" s="406">
        <v>458</v>
      </c>
      <c r="Q461" s="470" t="s">
        <v>959</v>
      </c>
      <c r="R461" s="460" t="s">
        <v>960</v>
      </c>
      <c r="S461" s="270" t="s">
        <v>7</v>
      </c>
      <c r="U461" s="471"/>
      <c r="V461" s="471"/>
      <c r="W461" s="471" t="s">
        <v>960</v>
      </c>
      <c r="X461" s="471">
        <v>1</v>
      </c>
      <c r="Y461" s="206"/>
      <c r="Z461" s="206"/>
    </row>
    <row r="462" spans="1:26">
      <c r="A462" s="406">
        <v>459</v>
      </c>
      <c r="B462" s="613" t="s">
        <v>2857</v>
      </c>
      <c r="C462" s="288" t="s">
        <v>961</v>
      </c>
      <c r="D462" s="414" t="s">
        <v>3527</v>
      </c>
      <c r="E462" s="407" t="s">
        <v>8353</v>
      </c>
      <c r="F462" s="483"/>
      <c r="G462" s="483"/>
      <c r="H462" s="483"/>
      <c r="I462" s="483"/>
      <c r="J462" s="483"/>
      <c r="K462" s="483"/>
      <c r="L462" s="608" t="s">
        <v>4884</v>
      </c>
      <c r="M462" s="409">
        <v>9449.2440944881891</v>
      </c>
      <c r="N462" s="409">
        <v>9449.2440944881891</v>
      </c>
      <c r="O462" s="410" t="s">
        <v>7569</v>
      </c>
      <c r="P462" s="406">
        <v>459</v>
      </c>
      <c r="Q462" s="470" t="s">
        <v>961</v>
      </c>
      <c r="R462" s="460" t="s">
        <v>962</v>
      </c>
      <c r="S462" s="270" t="s">
        <v>7</v>
      </c>
      <c r="U462" s="471"/>
      <c r="V462" s="471"/>
      <c r="W462" s="471" t="s">
        <v>962</v>
      </c>
      <c r="X462" s="471">
        <v>1</v>
      </c>
      <c r="Y462" s="206"/>
      <c r="Z462" s="206"/>
    </row>
    <row r="463" spans="1:26">
      <c r="A463" s="406">
        <v>460</v>
      </c>
      <c r="B463" s="613" t="s">
        <v>2863</v>
      </c>
      <c r="C463" s="288" t="s">
        <v>963</v>
      </c>
      <c r="D463" s="414" t="s">
        <v>3669</v>
      </c>
      <c r="E463" s="407" t="s">
        <v>8354</v>
      </c>
      <c r="F463" s="483"/>
      <c r="G463" s="483"/>
      <c r="H463" s="483"/>
      <c r="I463" s="483"/>
      <c r="J463" s="483"/>
      <c r="K463" s="483"/>
      <c r="L463" s="608" t="s">
        <v>4884</v>
      </c>
      <c r="M463" s="409">
        <v>10394.838582677166</v>
      </c>
      <c r="N463" s="409">
        <v>10394.838582677166</v>
      </c>
      <c r="O463" s="410" t="s">
        <v>7572</v>
      </c>
      <c r="P463" s="406">
        <v>460</v>
      </c>
      <c r="Q463" s="470" t="s">
        <v>963</v>
      </c>
      <c r="R463" s="460" t="s">
        <v>964</v>
      </c>
      <c r="S463" s="270" t="s">
        <v>7</v>
      </c>
      <c r="U463" s="471"/>
      <c r="V463" s="471"/>
      <c r="W463" s="471" t="s">
        <v>964</v>
      </c>
      <c r="X463" s="471">
        <v>1</v>
      </c>
      <c r="Y463" s="206"/>
      <c r="Z463" s="206"/>
    </row>
    <row r="464" spans="1:26">
      <c r="A464" s="406">
        <v>461</v>
      </c>
      <c r="B464" s="613" t="s">
        <v>2859</v>
      </c>
      <c r="C464" s="288" t="s">
        <v>965</v>
      </c>
      <c r="D464" s="414" t="s">
        <v>3510</v>
      </c>
      <c r="E464" s="407" t="s">
        <v>8355</v>
      </c>
      <c r="F464" s="483"/>
      <c r="G464" s="483"/>
      <c r="H464" s="483"/>
      <c r="I464" s="483"/>
      <c r="J464" s="483"/>
      <c r="K464" s="483"/>
      <c r="L464" s="608" t="s">
        <v>4884</v>
      </c>
      <c r="M464" s="409">
        <v>11669.177165354333</v>
      </c>
      <c r="N464" s="409">
        <v>11669.177165354333</v>
      </c>
      <c r="O464" s="410" t="s">
        <v>7574</v>
      </c>
      <c r="P464" s="406">
        <v>461</v>
      </c>
      <c r="Q464" s="470" t="s">
        <v>965</v>
      </c>
      <c r="R464" s="460" t="s">
        <v>966</v>
      </c>
      <c r="S464" s="270" t="s">
        <v>7</v>
      </c>
      <c r="U464" s="471"/>
      <c r="V464" s="471"/>
      <c r="W464" s="471" t="s">
        <v>966</v>
      </c>
      <c r="X464" s="471">
        <v>1</v>
      </c>
      <c r="Y464" s="206"/>
      <c r="Z464" s="206"/>
    </row>
    <row r="465" spans="1:26">
      <c r="A465" s="406">
        <v>462</v>
      </c>
      <c r="B465" s="613" t="s">
        <v>2860</v>
      </c>
      <c r="C465" s="288" t="s">
        <v>967</v>
      </c>
      <c r="D465" s="414" t="s">
        <v>3627</v>
      </c>
      <c r="E465" s="407" t="s">
        <v>8356</v>
      </c>
      <c r="F465" s="483"/>
      <c r="G465" s="483"/>
      <c r="H465" s="483"/>
      <c r="I465" s="483"/>
      <c r="J465" s="483"/>
      <c r="K465" s="483"/>
      <c r="L465" s="608" t="s">
        <v>4884</v>
      </c>
      <c r="M465" s="409">
        <v>9409.2322834645674</v>
      </c>
      <c r="N465" s="409">
        <v>9409.2322834645674</v>
      </c>
      <c r="O465" s="410" t="s">
        <v>7569</v>
      </c>
      <c r="P465" s="406">
        <v>462</v>
      </c>
      <c r="Q465" s="470" t="s">
        <v>967</v>
      </c>
      <c r="R465" s="460" t="s">
        <v>968</v>
      </c>
      <c r="S465" s="270" t="s">
        <v>7</v>
      </c>
      <c r="U465" s="471"/>
      <c r="V465" s="471"/>
      <c r="W465" s="471" t="s">
        <v>968</v>
      </c>
      <c r="X465" s="471">
        <v>1</v>
      </c>
      <c r="Y465" s="206"/>
      <c r="Z465" s="206"/>
    </row>
    <row r="466" spans="1:26">
      <c r="A466" s="406">
        <v>463</v>
      </c>
      <c r="B466" s="613" t="s">
        <v>2861</v>
      </c>
      <c r="C466" s="288" t="s">
        <v>969</v>
      </c>
      <c r="D466" s="414" t="s">
        <v>3505</v>
      </c>
      <c r="E466" s="407" t="s">
        <v>8357</v>
      </c>
      <c r="F466" s="483"/>
      <c r="G466" s="483"/>
      <c r="H466" s="483"/>
      <c r="I466" s="483"/>
      <c r="J466" s="483"/>
      <c r="K466" s="483"/>
      <c r="L466" s="608" t="s">
        <v>4884</v>
      </c>
      <c r="M466" s="409">
        <v>10912.334645669291</v>
      </c>
      <c r="N466" s="409">
        <v>10912.334645669291</v>
      </c>
      <c r="O466" s="410" t="s">
        <v>7575</v>
      </c>
      <c r="P466" s="406">
        <v>463</v>
      </c>
      <c r="Q466" s="470" t="s">
        <v>969</v>
      </c>
      <c r="R466" s="460" t="s">
        <v>970</v>
      </c>
      <c r="S466" s="270" t="s">
        <v>7</v>
      </c>
      <c r="U466" s="471"/>
      <c r="V466" s="471"/>
      <c r="W466" s="471" t="s">
        <v>970</v>
      </c>
      <c r="X466" s="471">
        <v>1</v>
      </c>
      <c r="Y466" s="206"/>
      <c r="Z466" s="206"/>
    </row>
    <row r="467" spans="1:26">
      <c r="A467" s="406">
        <v>464</v>
      </c>
      <c r="B467" s="613" t="s">
        <v>2862</v>
      </c>
      <c r="C467" s="288" t="s">
        <v>971</v>
      </c>
      <c r="D467" s="414" t="s">
        <v>3664</v>
      </c>
      <c r="E467" s="407" t="s">
        <v>8358</v>
      </c>
      <c r="F467" s="483"/>
      <c r="G467" s="483"/>
      <c r="H467" s="483"/>
      <c r="I467" s="483"/>
      <c r="J467" s="483"/>
      <c r="K467" s="483"/>
      <c r="L467" s="608" t="s">
        <v>4884</v>
      </c>
      <c r="M467" s="409">
        <v>10778.535433070867</v>
      </c>
      <c r="N467" s="409">
        <v>10778.535433070867</v>
      </c>
      <c r="O467" s="410" t="s">
        <v>7572</v>
      </c>
      <c r="P467" s="406">
        <v>464</v>
      </c>
      <c r="Q467" s="470" t="s">
        <v>971</v>
      </c>
      <c r="R467" s="460" t="s">
        <v>972</v>
      </c>
      <c r="S467" s="270" t="s">
        <v>7</v>
      </c>
      <c r="U467" s="471"/>
      <c r="V467" s="471"/>
      <c r="W467" s="471" t="s">
        <v>972</v>
      </c>
      <c r="X467" s="471">
        <v>1</v>
      </c>
      <c r="Y467" s="206"/>
      <c r="Z467" s="206"/>
    </row>
    <row r="468" spans="1:26">
      <c r="A468" s="406">
        <v>465</v>
      </c>
      <c r="B468" s="613" t="s">
        <v>2864</v>
      </c>
      <c r="C468" s="288" t="s">
        <v>973</v>
      </c>
      <c r="D468" s="414" t="s">
        <v>3667</v>
      </c>
      <c r="E468" s="407" t="s">
        <v>8359</v>
      </c>
      <c r="F468" s="483"/>
      <c r="G468" s="483"/>
      <c r="H468" s="483"/>
      <c r="I468" s="483"/>
      <c r="J468" s="483"/>
      <c r="K468" s="483"/>
      <c r="L468" s="608" t="s">
        <v>4884</v>
      </c>
      <c r="M468" s="409">
        <v>10446.385826771653</v>
      </c>
      <c r="N468" s="409">
        <v>10446.385826771653</v>
      </c>
      <c r="O468" s="410" t="s">
        <v>7572</v>
      </c>
      <c r="P468" s="406">
        <v>465</v>
      </c>
      <c r="Q468" s="470" t="s">
        <v>973</v>
      </c>
      <c r="R468" s="460" t="s">
        <v>974</v>
      </c>
      <c r="S468" s="270" t="s">
        <v>7</v>
      </c>
      <c r="U468" s="471"/>
      <c r="V468" s="471"/>
      <c r="W468" s="471" t="s">
        <v>974</v>
      </c>
      <c r="X468" s="471">
        <v>1</v>
      </c>
      <c r="Y468" s="206"/>
      <c r="Z468" s="206"/>
    </row>
    <row r="469" spans="1:26">
      <c r="A469" s="406">
        <v>466</v>
      </c>
      <c r="B469" s="613" t="s">
        <v>2865</v>
      </c>
      <c r="C469" s="288" t="s">
        <v>975</v>
      </c>
      <c r="D469" s="414" t="s">
        <v>3663</v>
      </c>
      <c r="E469" s="407" t="s">
        <v>8360</v>
      </c>
      <c r="F469" s="483"/>
      <c r="G469" s="483"/>
      <c r="H469" s="483"/>
      <c r="I469" s="483"/>
      <c r="J469" s="483"/>
      <c r="K469" s="483"/>
      <c r="L469" s="608" t="s">
        <v>4884</v>
      </c>
      <c r="M469" s="409">
        <v>10654.779527559054</v>
      </c>
      <c r="N469" s="409">
        <v>10654.779527559054</v>
      </c>
      <c r="O469" s="410" t="s">
        <v>7572</v>
      </c>
      <c r="P469" s="406">
        <v>466</v>
      </c>
      <c r="Q469" s="470" t="s">
        <v>975</v>
      </c>
      <c r="R469" s="460" t="s">
        <v>976</v>
      </c>
      <c r="S469" s="270" t="s">
        <v>7</v>
      </c>
      <c r="U469" s="471"/>
      <c r="V469" s="471"/>
      <c r="W469" s="471" t="s">
        <v>976</v>
      </c>
      <c r="X469" s="471">
        <v>1</v>
      </c>
      <c r="Y469" s="206"/>
      <c r="Z469" s="206"/>
    </row>
    <row r="470" spans="1:26">
      <c r="A470" s="406">
        <v>467</v>
      </c>
      <c r="B470" s="613" t="s">
        <v>2866</v>
      </c>
      <c r="C470" s="288" t="s">
        <v>977</v>
      </c>
      <c r="D470" s="414" t="s">
        <v>3525</v>
      </c>
      <c r="E470" s="407" t="s">
        <v>8361</v>
      </c>
      <c r="F470" s="483"/>
      <c r="G470" s="483"/>
      <c r="H470" s="483"/>
      <c r="I470" s="483"/>
      <c r="J470" s="483"/>
      <c r="K470" s="483"/>
      <c r="L470" s="608" t="s">
        <v>4884</v>
      </c>
      <c r="M470" s="409">
        <v>12512.740157480315</v>
      </c>
      <c r="N470" s="409">
        <v>12512.740157480315</v>
      </c>
      <c r="O470" s="410" t="s">
        <v>7574</v>
      </c>
      <c r="P470" s="406">
        <v>467</v>
      </c>
      <c r="Q470" s="470" t="s">
        <v>977</v>
      </c>
      <c r="R470" s="460" t="s">
        <v>978</v>
      </c>
      <c r="S470" s="270" t="s">
        <v>7</v>
      </c>
      <c r="U470" s="471"/>
      <c r="V470" s="471"/>
      <c r="W470" s="471" t="s">
        <v>978</v>
      </c>
      <c r="X470" s="471">
        <v>1</v>
      </c>
      <c r="Y470" s="206"/>
      <c r="Z470" s="206"/>
    </row>
    <row r="471" spans="1:26">
      <c r="A471" s="406">
        <v>468</v>
      </c>
      <c r="B471" s="613" t="s">
        <v>2867</v>
      </c>
      <c r="C471" s="288" t="s">
        <v>979</v>
      </c>
      <c r="D471" s="414" t="s">
        <v>3536</v>
      </c>
      <c r="E471" s="407" t="s">
        <v>8362</v>
      </c>
      <c r="F471" s="483"/>
      <c r="G471" s="483"/>
      <c r="H471" s="483"/>
      <c r="I471" s="483"/>
      <c r="J471" s="483"/>
      <c r="K471" s="483"/>
      <c r="L471" s="608" t="s">
        <v>4884</v>
      </c>
      <c r="M471" s="409">
        <v>12112.736220472441</v>
      </c>
      <c r="N471" s="409">
        <v>12112.736220472441</v>
      </c>
      <c r="O471" s="410" t="s">
        <v>7574</v>
      </c>
      <c r="P471" s="406">
        <v>468</v>
      </c>
      <c r="Q471" s="470" t="s">
        <v>979</v>
      </c>
      <c r="R471" s="460" t="s">
        <v>980</v>
      </c>
      <c r="S471" s="270" t="s">
        <v>7</v>
      </c>
      <c r="U471" s="471"/>
      <c r="V471" s="471"/>
      <c r="W471" s="471" t="s">
        <v>980</v>
      </c>
      <c r="X471" s="471">
        <v>1</v>
      </c>
      <c r="Y471" s="206"/>
      <c r="Z471" s="206"/>
    </row>
    <row r="472" spans="1:26">
      <c r="A472" s="406">
        <v>469</v>
      </c>
      <c r="B472" s="613" t="s">
        <v>2868</v>
      </c>
      <c r="C472" s="288" t="s">
        <v>981</v>
      </c>
      <c r="D472" s="414" t="s">
        <v>3502</v>
      </c>
      <c r="E472" s="407" t="s">
        <v>8363</v>
      </c>
      <c r="F472" s="483"/>
      <c r="G472" s="483"/>
      <c r="H472" s="483"/>
      <c r="I472" s="483"/>
      <c r="J472" s="483"/>
      <c r="K472" s="483"/>
      <c r="L472" s="608" t="s">
        <v>4884</v>
      </c>
      <c r="M472" s="409">
        <v>10815.708661417322</v>
      </c>
      <c r="N472" s="409">
        <v>10815.708661417322</v>
      </c>
      <c r="O472" s="410" t="s">
        <v>7575</v>
      </c>
      <c r="P472" s="406">
        <v>469</v>
      </c>
      <c r="Q472" s="470" t="s">
        <v>981</v>
      </c>
      <c r="R472" s="460" t="s">
        <v>982</v>
      </c>
      <c r="S472" s="270" t="s">
        <v>7</v>
      </c>
      <c r="U472" s="471"/>
      <c r="V472" s="471"/>
      <c r="W472" s="471" t="s">
        <v>982</v>
      </c>
      <c r="X472" s="471">
        <v>1</v>
      </c>
      <c r="Y472" s="206"/>
      <c r="Z472" s="206"/>
    </row>
    <row r="473" spans="1:26">
      <c r="A473" s="406">
        <v>470</v>
      </c>
      <c r="B473" s="613" t="s">
        <v>2869</v>
      </c>
      <c r="C473" s="288" t="s">
        <v>983</v>
      </c>
      <c r="D473" s="414" t="s">
        <v>3583</v>
      </c>
      <c r="E473" s="407" t="s">
        <v>8364</v>
      </c>
      <c r="F473" s="483"/>
      <c r="G473" s="483"/>
      <c r="H473" s="483"/>
      <c r="I473" s="483"/>
      <c r="J473" s="483"/>
      <c r="K473" s="483"/>
      <c r="L473" s="608" t="s">
        <v>4884</v>
      </c>
      <c r="M473" s="409">
        <v>8664.5511811023625</v>
      </c>
      <c r="N473" s="409">
        <v>8664.5511811023625</v>
      </c>
      <c r="O473" s="410" t="s">
        <v>7569</v>
      </c>
      <c r="P473" s="406">
        <v>470</v>
      </c>
      <c r="Q473" s="470" t="s">
        <v>983</v>
      </c>
      <c r="R473" s="460" t="s">
        <v>984</v>
      </c>
      <c r="S473" s="270" t="s">
        <v>7</v>
      </c>
      <c r="U473" s="471"/>
      <c r="V473" s="471"/>
      <c r="W473" s="471" t="s">
        <v>984</v>
      </c>
      <c r="X473" s="471">
        <v>1</v>
      </c>
      <c r="Y473" s="206"/>
      <c r="Z473" s="206"/>
    </row>
    <row r="474" spans="1:26">
      <c r="A474" s="406">
        <v>471</v>
      </c>
      <c r="B474" s="613" t="s">
        <v>2870</v>
      </c>
      <c r="C474" s="288" t="s">
        <v>985</v>
      </c>
      <c r="D474" s="414" t="s">
        <v>3532</v>
      </c>
      <c r="E474" s="407" t="s">
        <v>8365</v>
      </c>
      <c r="F474" s="483"/>
      <c r="G474" s="483"/>
      <c r="H474" s="483"/>
      <c r="I474" s="483"/>
      <c r="J474" s="483"/>
      <c r="K474" s="483"/>
      <c r="L474" s="608" t="s">
        <v>4884</v>
      </c>
      <c r="M474" s="409">
        <v>11436.460629921261</v>
      </c>
      <c r="N474" s="409">
        <v>11436.460629921261</v>
      </c>
      <c r="O474" s="410" t="s">
        <v>7576</v>
      </c>
      <c r="P474" s="406">
        <v>471</v>
      </c>
      <c r="Q474" s="470" t="s">
        <v>985</v>
      </c>
      <c r="R474" s="460" t="s">
        <v>986</v>
      </c>
      <c r="S474" s="270" t="s">
        <v>7</v>
      </c>
      <c r="U474" s="471"/>
      <c r="V474" s="471"/>
      <c r="W474" s="471" t="s">
        <v>986</v>
      </c>
      <c r="X474" s="471">
        <v>1</v>
      </c>
      <c r="Y474" s="206"/>
      <c r="Z474" s="206"/>
    </row>
    <row r="475" spans="1:26">
      <c r="A475" s="406">
        <v>472</v>
      </c>
      <c r="B475" s="613" t="s">
        <v>2871</v>
      </c>
      <c r="C475" s="288" t="s">
        <v>987</v>
      </c>
      <c r="D475" s="414" t="s">
        <v>3550</v>
      </c>
      <c r="E475" s="407" t="s">
        <v>8366</v>
      </c>
      <c r="F475" s="483"/>
      <c r="G475" s="483"/>
      <c r="H475" s="483"/>
      <c r="I475" s="483"/>
      <c r="J475" s="483"/>
      <c r="K475" s="483"/>
      <c r="L475" s="608" t="s">
        <v>4884</v>
      </c>
      <c r="M475" s="409">
        <v>8588.6574803149615</v>
      </c>
      <c r="N475" s="409">
        <v>8588.6574803149615</v>
      </c>
      <c r="O475" s="410" t="s">
        <v>7569</v>
      </c>
      <c r="P475" s="406">
        <v>472</v>
      </c>
      <c r="Q475" s="470" t="s">
        <v>987</v>
      </c>
      <c r="R475" s="460" t="s">
        <v>988</v>
      </c>
      <c r="S475" s="270" t="s">
        <v>7</v>
      </c>
      <c r="U475" s="471"/>
      <c r="V475" s="471"/>
      <c r="W475" s="471" t="s">
        <v>988</v>
      </c>
      <c r="X475" s="471">
        <v>1</v>
      </c>
      <c r="Y475" s="206"/>
      <c r="Z475" s="206"/>
    </row>
    <row r="476" spans="1:26">
      <c r="A476" s="406">
        <v>473</v>
      </c>
      <c r="B476" s="613" t="s">
        <v>2877</v>
      </c>
      <c r="C476" s="288" t="s">
        <v>989</v>
      </c>
      <c r="D476" s="414" t="s">
        <v>3531</v>
      </c>
      <c r="E476" s="407" t="s">
        <v>8367</v>
      </c>
      <c r="F476" s="483"/>
      <c r="G476" s="483"/>
      <c r="H476" s="483"/>
      <c r="I476" s="483"/>
      <c r="J476" s="483"/>
      <c r="K476" s="483"/>
      <c r="L476" s="608" t="s">
        <v>4884</v>
      </c>
      <c r="M476" s="409">
        <v>11634.188976377953</v>
      </c>
      <c r="N476" s="409">
        <v>11634.188976377953</v>
      </c>
      <c r="O476" s="410" t="s">
        <v>7576</v>
      </c>
      <c r="P476" s="406">
        <v>473</v>
      </c>
      <c r="Q476" s="470" t="s">
        <v>989</v>
      </c>
      <c r="R476" s="460" t="s">
        <v>990</v>
      </c>
      <c r="S476" s="270" t="s">
        <v>7</v>
      </c>
      <c r="U476" s="471"/>
      <c r="V476" s="471"/>
      <c r="W476" s="471" t="s">
        <v>990</v>
      </c>
      <c r="X476" s="471">
        <v>1</v>
      </c>
      <c r="Y476" s="206"/>
      <c r="Z476" s="206"/>
    </row>
    <row r="477" spans="1:26">
      <c r="A477" s="406">
        <v>474</v>
      </c>
      <c r="B477" s="613" t="s">
        <v>2872</v>
      </c>
      <c r="C477" s="288" t="s">
        <v>991</v>
      </c>
      <c r="D477" s="414" t="s">
        <v>3543</v>
      </c>
      <c r="E477" s="407" t="s">
        <v>8368</v>
      </c>
      <c r="F477" s="483"/>
      <c r="G477" s="483"/>
      <c r="H477" s="483"/>
      <c r="I477" s="483"/>
      <c r="J477" s="483"/>
      <c r="K477" s="483"/>
      <c r="L477" s="608" t="s">
        <v>4884</v>
      </c>
      <c r="M477" s="409">
        <v>8246.6692913385832</v>
      </c>
      <c r="N477" s="409">
        <v>8246.6692913385832</v>
      </c>
      <c r="O477" s="410" t="s">
        <v>7569</v>
      </c>
      <c r="P477" s="406">
        <v>474</v>
      </c>
      <c r="Q477" s="470" t="s">
        <v>991</v>
      </c>
      <c r="R477" s="460" t="s">
        <v>992</v>
      </c>
      <c r="S477" s="270" t="s">
        <v>7</v>
      </c>
      <c r="U477" s="471"/>
      <c r="V477" s="471"/>
      <c r="W477" s="471" t="s">
        <v>992</v>
      </c>
      <c r="X477" s="471">
        <v>1</v>
      </c>
      <c r="Y477" s="206"/>
      <c r="Z477" s="206"/>
    </row>
    <row r="478" spans="1:26">
      <c r="A478" s="406">
        <v>475</v>
      </c>
      <c r="B478" s="613" t="s">
        <v>2873</v>
      </c>
      <c r="C478" s="288" t="s">
        <v>993</v>
      </c>
      <c r="D478" s="414" t="s">
        <v>3545</v>
      </c>
      <c r="E478" s="407" t="s">
        <v>8369</v>
      </c>
      <c r="F478" s="483"/>
      <c r="G478" s="483"/>
      <c r="H478" s="483"/>
      <c r="I478" s="483"/>
      <c r="J478" s="483"/>
      <c r="K478" s="483"/>
      <c r="L478" s="608" t="s">
        <v>4884</v>
      </c>
      <c r="M478" s="409">
        <v>11393.736220472441</v>
      </c>
      <c r="N478" s="409">
        <v>11393.736220472441</v>
      </c>
      <c r="O478" s="410" t="s">
        <v>7573</v>
      </c>
      <c r="P478" s="406">
        <v>475</v>
      </c>
      <c r="Q478" s="470" t="s">
        <v>993</v>
      </c>
      <c r="R478" s="460" t="s">
        <v>994</v>
      </c>
      <c r="S478" s="270" t="s">
        <v>7</v>
      </c>
      <c r="U478" s="471"/>
      <c r="V478" s="471"/>
      <c r="W478" s="471" t="s">
        <v>994</v>
      </c>
      <c r="X478" s="471">
        <v>1</v>
      </c>
      <c r="Y478" s="206"/>
      <c r="Z478" s="206"/>
    </row>
    <row r="479" spans="1:26">
      <c r="A479" s="406">
        <v>476</v>
      </c>
      <c r="B479" s="613" t="s">
        <v>2874</v>
      </c>
      <c r="C479" s="288" t="s">
        <v>995</v>
      </c>
      <c r="D479" s="414" t="s">
        <v>3508</v>
      </c>
      <c r="E479" s="407" t="s">
        <v>8370</v>
      </c>
      <c r="F479" s="483"/>
      <c r="G479" s="483"/>
      <c r="H479" s="483"/>
      <c r="I479" s="483"/>
      <c r="J479" s="483"/>
      <c r="K479" s="483"/>
      <c r="L479" s="608" t="s">
        <v>4884</v>
      </c>
      <c r="M479" s="409">
        <v>11885.78346456693</v>
      </c>
      <c r="N479" s="409">
        <v>11885.78346456693</v>
      </c>
      <c r="O479" s="410" t="s">
        <v>7573</v>
      </c>
      <c r="P479" s="406">
        <v>476</v>
      </c>
      <c r="Q479" s="470" t="s">
        <v>995</v>
      </c>
      <c r="R479" s="460" t="s">
        <v>996</v>
      </c>
      <c r="S479" s="270" t="s">
        <v>7</v>
      </c>
      <c r="U479" s="471"/>
      <c r="V479" s="471"/>
      <c r="W479" s="471" t="s">
        <v>996</v>
      </c>
      <c r="X479" s="471">
        <v>1</v>
      </c>
      <c r="Y479" s="206"/>
      <c r="Z479" s="206"/>
    </row>
    <row r="480" spans="1:26">
      <c r="A480" s="406">
        <v>477</v>
      </c>
      <c r="B480" s="613" t="s">
        <v>2875</v>
      </c>
      <c r="C480" s="288" t="s">
        <v>997</v>
      </c>
      <c r="D480" s="414" t="s">
        <v>3544</v>
      </c>
      <c r="E480" s="407" t="s">
        <v>8371</v>
      </c>
      <c r="F480" s="483"/>
      <c r="G480" s="483"/>
      <c r="H480" s="483"/>
      <c r="I480" s="483"/>
      <c r="J480" s="483"/>
      <c r="K480" s="483"/>
      <c r="L480" s="608" t="s">
        <v>4884</v>
      </c>
      <c r="M480" s="409">
        <v>12410.598425196851</v>
      </c>
      <c r="N480" s="409">
        <v>12410.598425196851</v>
      </c>
      <c r="O480" s="410" t="s">
        <v>7573</v>
      </c>
      <c r="P480" s="406">
        <v>477</v>
      </c>
      <c r="Q480" s="470" t="s">
        <v>997</v>
      </c>
      <c r="R480" s="460" t="s">
        <v>998</v>
      </c>
      <c r="S480" s="270" t="s">
        <v>7</v>
      </c>
      <c r="U480" s="471"/>
      <c r="V480" s="471"/>
      <c r="W480" s="471" t="s">
        <v>998</v>
      </c>
      <c r="X480" s="471">
        <v>1</v>
      </c>
      <c r="Z480" s="270" t="s">
        <v>999</v>
      </c>
    </row>
    <row r="481" spans="1:26">
      <c r="A481" s="406">
        <v>478</v>
      </c>
      <c r="B481" s="613" t="s">
        <v>2875</v>
      </c>
      <c r="C481" s="288" t="s">
        <v>1000</v>
      </c>
      <c r="D481" s="414" t="s">
        <v>3544</v>
      </c>
      <c r="E481" s="407" t="s">
        <v>8371</v>
      </c>
      <c r="F481" s="483"/>
      <c r="G481" s="483"/>
      <c r="H481" s="483"/>
      <c r="I481" s="483"/>
      <c r="J481" s="483"/>
      <c r="K481" s="483"/>
      <c r="L481" s="608" t="s">
        <v>4884</v>
      </c>
      <c r="M481" s="409">
        <v>12410.598425196851</v>
      </c>
      <c r="N481" s="409">
        <v>12410.598425196851</v>
      </c>
      <c r="O481" s="410" t="s">
        <v>7573</v>
      </c>
      <c r="P481" s="406">
        <v>478</v>
      </c>
      <c r="Q481" s="470" t="s">
        <v>1000</v>
      </c>
      <c r="R481" s="460" t="s">
        <v>1001</v>
      </c>
      <c r="S481" s="270" t="s">
        <v>7</v>
      </c>
      <c r="U481" s="471"/>
      <c r="V481" s="471"/>
      <c r="W481" s="471" t="s">
        <v>1001</v>
      </c>
      <c r="X481" s="473">
        <v>0</v>
      </c>
      <c r="Z481" s="270" t="s">
        <v>999</v>
      </c>
    </row>
    <row r="482" spans="1:26">
      <c r="A482" s="406">
        <v>479</v>
      </c>
      <c r="B482" s="613" t="s">
        <v>2875</v>
      </c>
      <c r="C482" s="288" t="s">
        <v>1002</v>
      </c>
      <c r="D482" s="414" t="s">
        <v>3544</v>
      </c>
      <c r="E482" s="407" t="s">
        <v>8371</v>
      </c>
      <c r="F482" s="483"/>
      <c r="G482" s="483"/>
      <c r="H482" s="483"/>
      <c r="I482" s="483"/>
      <c r="J482" s="483"/>
      <c r="K482" s="483"/>
      <c r="L482" s="608" t="s">
        <v>4884</v>
      </c>
      <c r="M482" s="409">
        <v>12410.598425196851</v>
      </c>
      <c r="N482" s="409">
        <v>12410.598425196851</v>
      </c>
      <c r="O482" s="410" t="s">
        <v>7573</v>
      </c>
      <c r="P482" s="406">
        <v>479</v>
      </c>
      <c r="Q482" s="470" t="s">
        <v>1002</v>
      </c>
      <c r="R482" s="460" t="s">
        <v>1003</v>
      </c>
      <c r="S482" s="270" t="s">
        <v>7</v>
      </c>
      <c r="U482" s="471"/>
      <c r="V482" s="471"/>
      <c r="W482" s="471" t="s">
        <v>1003</v>
      </c>
      <c r="X482" s="473">
        <v>0</v>
      </c>
      <c r="Z482" s="270" t="s">
        <v>999</v>
      </c>
    </row>
    <row r="483" spans="1:26">
      <c r="A483" s="406">
        <v>480</v>
      </c>
      <c r="B483" s="613" t="s">
        <v>2875</v>
      </c>
      <c r="C483" s="288" t="s">
        <v>1004</v>
      </c>
      <c r="D483" s="414" t="s">
        <v>3544</v>
      </c>
      <c r="E483" s="407" t="s">
        <v>8371</v>
      </c>
      <c r="F483" s="483"/>
      <c r="G483" s="483"/>
      <c r="H483" s="483"/>
      <c r="I483" s="483"/>
      <c r="J483" s="483"/>
      <c r="K483" s="483"/>
      <c r="L483" s="608" t="s">
        <v>4884</v>
      </c>
      <c r="M483" s="409">
        <v>12410.598425196851</v>
      </c>
      <c r="N483" s="409">
        <v>12410.598425196851</v>
      </c>
      <c r="O483" s="410" t="s">
        <v>7573</v>
      </c>
      <c r="P483" s="406">
        <v>480</v>
      </c>
      <c r="Q483" s="470" t="s">
        <v>1004</v>
      </c>
      <c r="R483" s="460" t="s">
        <v>1005</v>
      </c>
      <c r="S483" s="270" t="s">
        <v>7</v>
      </c>
      <c r="U483" s="471"/>
      <c r="V483" s="471"/>
      <c r="W483" s="471" t="s">
        <v>1005</v>
      </c>
      <c r="X483" s="473">
        <v>0</v>
      </c>
      <c r="Z483" s="270" t="s">
        <v>999</v>
      </c>
    </row>
    <row r="484" spans="1:26">
      <c r="A484" s="406">
        <v>481</v>
      </c>
      <c r="B484" s="613" t="s">
        <v>2876</v>
      </c>
      <c r="C484" s="288" t="s">
        <v>1006</v>
      </c>
      <c r="D484" s="414" t="s">
        <v>3542</v>
      </c>
      <c r="E484" s="407" t="s">
        <v>8372</v>
      </c>
      <c r="F484" s="483"/>
      <c r="G484" s="483"/>
      <c r="H484" s="483"/>
      <c r="I484" s="483"/>
      <c r="J484" s="483"/>
      <c r="K484" s="483"/>
      <c r="L484" s="608" t="s">
        <v>4884</v>
      </c>
      <c r="M484" s="409">
        <v>8525.3267716535429</v>
      </c>
      <c r="N484" s="409">
        <v>8525.3267716535429</v>
      </c>
      <c r="O484" s="410" t="s">
        <v>7569</v>
      </c>
      <c r="P484" s="406">
        <v>481</v>
      </c>
      <c r="Q484" s="470" t="s">
        <v>1006</v>
      </c>
      <c r="R484" s="460" t="s">
        <v>1007</v>
      </c>
      <c r="S484" s="270" t="s">
        <v>7</v>
      </c>
      <c r="U484" s="471"/>
      <c r="V484" s="471"/>
      <c r="W484" s="471" t="s">
        <v>1007</v>
      </c>
      <c r="X484" s="471">
        <v>1</v>
      </c>
    </row>
    <row r="485" spans="1:26">
      <c r="A485" s="406">
        <v>482</v>
      </c>
      <c r="B485" s="613" t="s">
        <v>2623</v>
      </c>
      <c r="C485" s="288" t="s">
        <v>1008</v>
      </c>
      <c r="D485" s="414" t="s">
        <v>3616</v>
      </c>
      <c r="E485" s="407" t="s">
        <v>8056</v>
      </c>
      <c r="F485" s="483" t="s">
        <v>2622</v>
      </c>
      <c r="G485" s="411" t="s">
        <v>2624</v>
      </c>
      <c r="H485" s="411"/>
      <c r="I485" s="411"/>
      <c r="J485" s="411"/>
      <c r="K485" s="411"/>
      <c r="L485" s="608">
        <v>4290.1968503937014</v>
      </c>
      <c r="M485" s="409">
        <v>10353.267716535434</v>
      </c>
      <c r="N485" s="409">
        <v>14643.464566929135</v>
      </c>
      <c r="O485" s="410" t="s">
        <v>7817</v>
      </c>
      <c r="P485" s="406">
        <v>482</v>
      </c>
      <c r="Q485" s="470" t="s">
        <v>1008</v>
      </c>
      <c r="R485" s="460" t="s">
        <v>1009</v>
      </c>
      <c r="S485" s="270" t="s">
        <v>7</v>
      </c>
      <c r="U485" s="471"/>
      <c r="V485" s="471"/>
      <c r="W485" s="471" t="s">
        <v>1009</v>
      </c>
      <c r="X485" s="471">
        <v>1</v>
      </c>
      <c r="Z485" s="270" t="s">
        <v>1010</v>
      </c>
    </row>
    <row r="486" spans="1:26">
      <c r="A486" s="406">
        <v>483</v>
      </c>
      <c r="B486" s="613" t="s">
        <v>2627</v>
      </c>
      <c r="C486" s="288" t="s">
        <v>1011</v>
      </c>
      <c r="D486" s="414" t="s">
        <v>3622</v>
      </c>
      <c r="E486" s="407" t="s">
        <v>8057</v>
      </c>
      <c r="F486" s="483" t="s">
        <v>2626</v>
      </c>
      <c r="G486" s="411" t="s">
        <v>2628</v>
      </c>
      <c r="H486" s="411"/>
      <c r="I486" s="411"/>
      <c r="J486" s="411"/>
      <c r="K486" s="411"/>
      <c r="L486" s="608">
        <v>3858.2401574803152</v>
      </c>
      <c r="M486" s="409">
        <v>10348.192913385828</v>
      </c>
      <c r="N486" s="409">
        <v>14206.433070866144</v>
      </c>
      <c r="O486" s="410" t="s">
        <v>7760</v>
      </c>
      <c r="P486" s="406">
        <v>483</v>
      </c>
      <c r="Q486" s="470" t="s">
        <v>1011</v>
      </c>
      <c r="R486" s="460" t="s">
        <v>1012</v>
      </c>
      <c r="S486" s="270" t="s">
        <v>7</v>
      </c>
      <c r="U486" s="471"/>
      <c r="V486" s="471"/>
      <c r="W486" s="471" t="s">
        <v>1012</v>
      </c>
      <c r="X486" s="471">
        <v>1</v>
      </c>
      <c r="Z486" s="270" t="s">
        <v>1013</v>
      </c>
    </row>
    <row r="487" spans="1:26">
      <c r="A487" s="406">
        <v>484</v>
      </c>
      <c r="B487" s="613" t="s">
        <v>2878</v>
      </c>
      <c r="C487" s="288" t="s">
        <v>1014</v>
      </c>
      <c r="D487" s="414" t="s">
        <v>3512</v>
      </c>
      <c r="E487" s="407" t="s">
        <v>8373</v>
      </c>
      <c r="F487" s="483"/>
      <c r="G487" s="483"/>
      <c r="H487" s="483"/>
      <c r="I487" s="483"/>
      <c r="J487" s="483"/>
      <c r="K487" s="483"/>
      <c r="L487" s="608" t="s">
        <v>4884</v>
      </c>
      <c r="M487" s="409">
        <v>11824.287401574804</v>
      </c>
      <c r="N487" s="409">
        <v>11824.287401574804</v>
      </c>
      <c r="O487" s="410" t="s">
        <v>7574</v>
      </c>
      <c r="P487" s="406">
        <v>484</v>
      </c>
      <c r="Q487" s="470" t="s">
        <v>1014</v>
      </c>
      <c r="R487" s="460" t="s">
        <v>1015</v>
      </c>
      <c r="S487" s="270" t="s">
        <v>7</v>
      </c>
      <c r="U487" s="471"/>
      <c r="V487" s="471"/>
      <c r="W487" s="471" t="s">
        <v>1015</v>
      </c>
      <c r="X487" s="471">
        <v>1</v>
      </c>
    </row>
    <row r="488" spans="1:26">
      <c r="A488" s="406">
        <v>485</v>
      </c>
      <c r="B488" s="613" t="s">
        <v>2623</v>
      </c>
      <c r="C488" s="288" t="s">
        <v>1016</v>
      </c>
      <c r="D488" s="414" t="s">
        <v>3616</v>
      </c>
      <c r="E488" s="407" t="s">
        <v>8056</v>
      </c>
      <c r="F488" s="483" t="s">
        <v>2622</v>
      </c>
      <c r="G488" s="411" t="s">
        <v>2624</v>
      </c>
      <c r="H488" s="411"/>
      <c r="I488" s="411"/>
      <c r="J488" s="411"/>
      <c r="K488" s="411"/>
      <c r="L488" s="608">
        <v>4290.1968503937014</v>
      </c>
      <c r="M488" s="409">
        <v>10353.267716535434</v>
      </c>
      <c r="N488" s="409">
        <v>14643.464566929135</v>
      </c>
      <c r="O488" s="410" t="s">
        <v>7817</v>
      </c>
      <c r="P488" s="406">
        <v>485</v>
      </c>
      <c r="Q488" s="470" t="s">
        <v>1016</v>
      </c>
      <c r="R488" s="460" t="s">
        <v>1017</v>
      </c>
      <c r="S488" s="270" t="s">
        <v>7</v>
      </c>
      <c r="U488" s="471"/>
      <c r="V488" s="471"/>
      <c r="W488" s="471" t="s">
        <v>1017</v>
      </c>
      <c r="X488" s="471">
        <v>0</v>
      </c>
      <c r="Z488" s="270" t="s">
        <v>1010</v>
      </c>
    </row>
    <row r="489" spans="1:26">
      <c r="A489" s="406">
        <v>486</v>
      </c>
      <c r="B489" s="613" t="s">
        <v>2627</v>
      </c>
      <c r="C489" s="288" t="s">
        <v>1018</v>
      </c>
      <c r="D489" s="414" t="s">
        <v>3622</v>
      </c>
      <c r="E489" s="407" t="s">
        <v>8057</v>
      </c>
      <c r="F489" s="483" t="s">
        <v>2626</v>
      </c>
      <c r="G489" s="411" t="s">
        <v>2628</v>
      </c>
      <c r="H489" s="411"/>
      <c r="I489" s="411"/>
      <c r="J489" s="411"/>
      <c r="K489" s="411"/>
      <c r="L489" s="608">
        <v>3858.2401574803152</v>
      </c>
      <c r="M489" s="409">
        <v>10348.192913385828</v>
      </c>
      <c r="N489" s="409">
        <v>14206.433070866144</v>
      </c>
      <c r="O489" s="410" t="s">
        <v>7760</v>
      </c>
      <c r="P489" s="406">
        <v>486</v>
      </c>
      <c r="Q489" s="470" t="s">
        <v>1018</v>
      </c>
      <c r="R489" s="460" t="s">
        <v>1019</v>
      </c>
      <c r="S489" s="270" t="s">
        <v>7</v>
      </c>
      <c r="U489" s="471"/>
      <c r="V489" s="471"/>
      <c r="W489" s="471" t="s">
        <v>1019</v>
      </c>
      <c r="X489" s="471">
        <v>0</v>
      </c>
      <c r="Z489" s="270" t="s">
        <v>1013</v>
      </c>
    </row>
    <row r="490" spans="1:26">
      <c r="A490" s="406">
        <v>487</v>
      </c>
      <c r="B490" s="613" t="s">
        <v>2623</v>
      </c>
      <c r="C490" s="288" t="s">
        <v>1020</v>
      </c>
      <c r="D490" s="414" t="s">
        <v>3616</v>
      </c>
      <c r="E490" s="407" t="s">
        <v>8056</v>
      </c>
      <c r="F490" s="483" t="s">
        <v>2622</v>
      </c>
      <c r="G490" s="411" t="s">
        <v>2624</v>
      </c>
      <c r="H490" s="411"/>
      <c r="I490" s="411"/>
      <c r="J490" s="411"/>
      <c r="K490" s="411"/>
      <c r="L490" s="608">
        <v>4290.1968503937014</v>
      </c>
      <c r="M490" s="409">
        <v>10353.267716535434</v>
      </c>
      <c r="N490" s="409">
        <v>14643.464566929135</v>
      </c>
      <c r="O490" s="410" t="s">
        <v>7817</v>
      </c>
      <c r="P490" s="406">
        <v>487</v>
      </c>
      <c r="Q490" s="470" t="s">
        <v>1020</v>
      </c>
      <c r="R490" s="460" t="s">
        <v>1021</v>
      </c>
      <c r="S490" s="270" t="s">
        <v>7</v>
      </c>
      <c r="U490" s="471"/>
      <c r="V490" s="471"/>
      <c r="W490" s="471" t="s">
        <v>1021</v>
      </c>
      <c r="X490" s="471">
        <v>0</v>
      </c>
      <c r="Z490" s="270" t="s">
        <v>1010</v>
      </c>
    </row>
    <row r="491" spans="1:26">
      <c r="A491" s="406">
        <v>488</v>
      </c>
      <c r="B491" s="613" t="s">
        <v>2627</v>
      </c>
      <c r="C491" s="288" t="s">
        <v>1022</v>
      </c>
      <c r="D491" s="414" t="s">
        <v>3622</v>
      </c>
      <c r="E491" s="407" t="s">
        <v>8057</v>
      </c>
      <c r="F491" s="483" t="s">
        <v>2626</v>
      </c>
      <c r="G491" s="411" t="s">
        <v>2628</v>
      </c>
      <c r="H491" s="411"/>
      <c r="I491" s="411"/>
      <c r="J491" s="411"/>
      <c r="K491" s="411"/>
      <c r="L491" s="608">
        <v>3858.2401574803152</v>
      </c>
      <c r="M491" s="409">
        <v>10348.192913385828</v>
      </c>
      <c r="N491" s="409">
        <v>14206.433070866144</v>
      </c>
      <c r="O491" s="410" t="s">
        <v>7760</v>
      </c>
      <c r="P491" s="406">
        <v>488</v>
      </c>
      <c r="Q491" s="470" t="s">
        <v>1022</v>
      </c>
      <c r="R491" s="460" t="s">
        <v>1023</v>
      </c>
      <c r="S491" s="270" t="s">
        <v>7</v>
      </c>
      <c r="U491" s="471"/>
      <c r="V491" s="471"/>
      <c r="W491" s="471" t="s">
        <v>1023</v>
      </c>
      <c r="X491" s="471">
        <v>0</v>
      </c>
      <c r="Z491" s="270" t="s">
        <v>1013</v>
      </c>
    </row>
    <row r="492" spans="1:26">
      <c r="A492" s="406">
        <v>489</v>
      </c>
      <c r="B492" s="613" t="s">
        <v>2879</v>
      </c>
      <c r="C492" s="288" t="s">
        <v>1024</v>
      </c>
      <c r="D492" s="414" t="s">
        <v>3514</v>
      </c>
      <c r="E492" s="407" t="s">
        <v>8374</v>
      </c>
      <c r="F492" s="483"/>
      <c r="G492" s="483"/>
      <c r="H492" s="483"/>
      <c r="I492" s="483"/>
      <c r="J492" s="483"/>
      <c r="K492" s="483"/>
      <c r="L492" s="608" t="s">
        <v>4884</v>
      </c>
      <c r="M492" s="409">
        <v>11371.984251968506</v>
      </c>
      <c r="N492" s="409">
        <v>11371.984251968506</v>
      </c>
      <c r="O492" s="410" t="s">
        <v>7576</v>
      </c>
      <c r="P492" s="406">
        <v>489</v>
      </c>
      <c r="Q492" s="470" t="s">
        <v>1024</v>
      </c>
      <c r="R492" s="460" t="s">
        <v>1025</v>
      </c>
      <c r="S492" s="270" t="s">
        <v>7</v>
      </c>
      <c r="U492" s="471"/>
      <c r="V492" s="471"/>
      <c r="W492" s="471" t="s">
        <v>1025</v>
      </c>
      <c r="X492" s="471">
        <v>1</v>
      </c>
    </row>
    <row r="493" spans="1:26">
      <c r="A493" s="406">
        <v>490</v>
      </c>
      <c r="B493" s="613" t="s">
        <v>2880</v>
      </c>
      <c r="C493" s="288" t="s">
        <v>1026</v>
      </c>
      <c r="D493" s="414" t="s">
        <v>3546</v>
      </c>
      <c r="E493" s="407" t="s">
        <v>8375</v>
      </c>
      <c r="F493" s="483"/>
      <c r="G493" s="483"/>
      <c r="H493" s="483"/>
      <c r="I493" s="483"/>
      <c r="J493" s="483"/>
      <c r="K493" s="483"/>
      <c r="L493" s="608" t="s">
        <v>4884</v>
      </c>
      <c r="M493" s="409">
        <v>8385.3700787401576</v>
      </c>
      <c r="N493" s="409">
        <v>8385.3700787401576</v>
      </c>
      <c r="O493" s="410" t="s">
        <v>7569</v>
      </c>
      <c r="P493" s="406">
        <v>490</v>
      </c>
      <c r="Q493" s="470" t="s">
        <v>1026</v>
      </c>
      <c r="R493" s="460" t="s">
        <v>1027</v>
      </c>
      <c r="S493" s="270" t="s">
        <v>7</v>
      </c>
      <c r="U493" s="471"/>
      <c r="V493" s="471"/>
      <c r="W493" s="471" t="s">
        <v>1027</v>
      </c>
      <c r="X493" s="471">
        <v>1</v>
      </c>
    </row>
    <row r="494" spans="1:26">
      <c r="A494" s="406">
        <v>491</v>
      </c>
      <c r="B494" s="613" t="s">
        <v>2881</v>
      </c>
      <c r="C494" s="288" t="s">
        <v>1028</v>
      </c>
      <c r="D494" s="414" t="s">
        <v>3500</v>
      </c>
      <c r="E494" s="407" t="s">
        <v>8376</v>
      </c>
      <c r="F494" s="483"/>
      <c r="G494" s="483"/>
      <c r="H494" s="483"/>
      <c r="I494" s="483"/>
      <c r="J494" s="483"/>
      <c r="K494" s="483"/>
      <c r="L494" s="608" t="s">
        <v>4884</v>
      </c>
      <c r="M494" s="409">
        <v>10540.787401574804</v>
      </c>
      <c r="N494" s="409">
        <v>10540.787401574804</v>
      </c>
      <c r="O494" s="410" t="s">
        <v>7575</v>
      </c>
      <c r="P494" s="406">
        <v>491</v>
      </c>
      <c r="Q494" s="470" t="s">
        <v>1028</v>
      </c>
      <c r="R494" s="460" t="s">
        <v>1029</v>
      </c>
      <c r="S494" s="270" t="s">
        <v>7</v>
      </c>
      <c r="U494" s="471"/>
      <c r="V494" s="471"/>
      <c r="W494" s="471" t="s">
        <v>1029</v>
      </c>
      <c r="X494" s="471">
        <v>1</v>
      </c>
    </row>
    <row r="495" spans="1:26">
      <c r="A495" s="406">
        <v>492</v>
      </c>
      <c r="B495" s="613" t="s">
        <v>2882</v>
      </c>
      <c r="C495" s="288" t="s">
        <v>1030</v>
      </c>
      <c r="D495" s="414" t="s">
        <v>3533</v>
      </c>
      <c r="E495" s="407" t="s">
        <v>8377</v>
      </c>
      <c r="F495" s="483"/>
      <c r="G495" s="483"/>
      <c r="H495" s="483"/>
      <c r="I495" s="483"/>
      <c r="J495" s="483"/>
      <c r="K495" s="483"/>
      <c r="L495" s="608" t="s">
        <v>4884</v>
      </c>
      <c r="M495" s="409">
        <v>12047.366141732286</v>
      </c>
      <c r="N495" s="409">
        <v>12047.366141732286</v>
      </c>
      <c r="O495" s="410" t="s">
        <v>7574</v>
      </c>
      <c r="P495" s="406">
        <v>492</v>
      </c>
      <c r="Q495" s="470" t="s">
        <v>1030</v>
      </c>
      <c r="R495" s="460" t="s">
        <v>1031</v>
      </c>
      <c r="S495" s="270" t="s">
        <v>7</v>
      </c>
      <c r="U495" s="471"/>
      <c r="V495" s="471"/>
      <c r="W495" s="471" t="s">
        <v>1031</v>
      </c>
      <c r="X495" s="471">
        <v>1</v>
      </c>
    </row>
    <row r="496" spans="1:26">
      <c r="A496" s="406">
        <v>493</v>
      </c>
      <c r="B496" s="613" t="s">
        <v>2883</v>
      </c>
      <c r="C496" s="288" t="s">
        <v>1032</v>
      </c>
      <c r="D496" s="414" t="s">
        <v>3509</v>
      </c>
      <c r="E496" s="407" t="s">
        <v>8378</v>
      </c>
      <c r="F496" s="483"/>
      <c r="G496" s="483"/>
      <c r="H496" s="483"/>
      <c r="I496" s="483"/>
      <c r="J496" s="483"/>
      <c r="K496" s="483"/>
      <c r="L496" s="608" t="s">
        <v>4884</v>
      </c>
      <c r="M496" s="409">
        <v>11802.874015748032</v>
      </c>
      <c r="N496" s="409">
        <v>11802.874015748032</v>
      </c>
      <c r="O496" s="410" t="s">
        <v>7573</v>
      </c>
      <c r="P496" s="406">
        <v>493</v>
      </c>
      <c r="Q496" s="470" t="s">
        <v>1032</v>
      </c>
      <c r="R496" s="460" t="s">
        <v>1033</v>
      </c>
      <c r="S496" s="270" t="s">
        <v>7</v>
      </c>
      <c r="U496" s="471"/>
      <c r="V496" s="471"/>
      <c r="W496" s="471" t="s">
        <v>1033</v>
      </c>
      <c r="X496" s="471">
        <v>1</v>
      </c>
    </row>
    <row r="497" spans="1:26">
      <c r="A497" s="406">
        <v>494</v>
      </c>
      <c r="B497" s="613" t="s">
        <v>2884</v>
      </c>
      <c r="C497" s="288" t="s">
        <v>1034</v>
      </c>
      <c r="D497" s="414" t="s">
        <v>3515</v>
      </c>
      <c r="E497" s="407" t="s">
        <v>8379</v>
      </c>
      <c r="F497" s="483"/>
      <c r="G497" s="483"/>
      <c r="H497" s="483"/>
      <c r="I497" s="483"/>
      <c r="J497" s="483"/>
      <c r="K497" s="483"/>
      <c r="L497" s="608" t="s">
        <v>4884</v>
      </c>
      <c r="M497" s="409">
        <v>11831.023622047243</v>
      </c>
      <c r="N497" s="409">
        <v>11831.023622047243</v>
      </c>
      <c r="O497" s="410" t="s">
        <v>7574</v>
      </c>
      <c r="P497" s="406">
        <v>494</v>
      </c>
      <c r="Q497" s="470" t="s">
        <v>1034</v>
      </c>
      <c r="R497" s="460" t="s">
        <v>1035</v>
      </c>
      <c r="S497" s="270" t="s">
        <v>7</v>
      </c>
      <c r="U497" s="471"/>
      <c r="V497" s="471"/>
      <c r="W497" s="471" t="s">
        <v>1035</v>
      </c>
      <c r="X497" s="471">
        <v>1</v>
      </c>
    </row>
    <row r="498" spans="1:26">
      <c r="A498" s="406">
        <v>495</v>
      </c>
      <c r="B498" s="613" t="s">
        <v>2885</v>
      </c>
      <c r="C498" s="288" t="s">
        <v>1036</v>
      </c>
      <c r="D498" s="414" t="s">
        <v>3516</v>
      </c>
      <c r="E498" s="407" t="s">
        <v>8380</v>
      </c>
      <c r="F498" s="483"/>
      <c r="G498" s="483"/>
      <c r="H498" s="483"/>
      <c r="I498" s="483"/>
      <c r="J498" s="483"/>
      <c r="K498" s="483"/>
      <c r="L498" s="608" t="s">
        <v>4884</v>
      </c>
      <c r="M498" s="409">
        <v>11457.688976377955</v>
      </c>
      <c r="N498" s="409">
        <v>11457.688976377955</v>
      </c>
      <c r="O498" s="410" t="s">
        <v>7576</v>
      </c>
      <c r="P498" s="406">
        <v>495</v>
      </c>
      <c r="Q498" s="470" t="s">
        <v>1036</v>
      </c>
      <c r="R498" s="460" t="s">
        <v>1037</v>
      </c>
      <c r="S498" s="270" t="s">
        <v>7</v>
      </c>
      <c r="U498" s="471"/>
      <c r="V498" s="471"/>
      <c r="W498" s="471" t="s">
        <v>1037</v>
      </c>
      <c r="X498" s="471">
        <v>1</v>
      </c>
    </row>
    <row r="499" spans="1:26">
      <c r="A499" s="406">
        <v>496</v>
      </c>
      <c r="B499" s="613" t="s">
        <v>2886</v>
      </c>
      <c r="C499" s="288" t="s">
        <v>1038</v>
      </c>
      <c r="D499" s="414" t="s">
        <v>3712</v>
      </c>
      <c r="E499" s="407" t="s">
        <v>8381</v>
      </c>
      <c r="F499" s="483"/>
      <c r="G499" s="483"/>
      <c r="H499" s="483"/>
      <c r="I499" s="483"/>
      <c r="J499" s="483"/>
      <c r="K499" s="483"/>
      <c r="L499" s="608" t="s">
        <v>4884</v>
      </c>
      <c r="M499" s="409">
        <v>10721.606299212599</v>
      </c>
      <c r="N499" s="409">
        <v>10721.606299212599</v>
      </c>
      <c r="O499" s="410" t="s">
        <v>7572</v>
      </c>
      <c r="P499" s="406">
        <v>496</v>
      </c>
      <c r="Q499" s="470" t="s">
        <v>1038</v>
      </c>
      <c r="R499" s="460" t="s">
        <v>1039</v>
      </c>
      <c r="S499" s="270" t="s">
        <v>7</v>
      </c>
      <c r="U499" s="471"/>
      <c r="V499" s="471"/>
      <c r="W499" s="471" t="s">
        <v>1039</v>
      </c>
      <c r="X499" s="471">
        <v>1</v>
      </c>
    </row>
    <row r="500" spans="1:26">
      <c r="A500" s="406">
        <v>497</v>
      </c>
      <c r="B500" s="613" t="s">
        <v>2887</v>
      </c>
      <c r="C500" s="288" t="s">
        <v>1040</v>
      </c>
      <c r="D500" s="414" t="s">
        <v>3576</v>
      </c>
      <c r="E500" s="407" t="s">
        <v>8382</v>
      </c>
      <c r="F500" s="483"/>
      <c r="G500" s="483"/>
      <c r="H500" s="483"/>
      <c r="I500" s="483"/>
      <c r="J500" s="483"/>
      <c r="K500" s="483"/>
      <c r="L500" s="608" t="s">
        <v>4884</v>
      </c>
      <c r="M500" s="409">
        <v>12318.614173228349</v>
      </c>
      <c r="N500" s="409">
        <v>12318.614173228349</v>
      </c>
      <c r="O500" s="410" t="s">
        <v>7573</v>
      </c>
      <c r="P500" s="406">
        <v>497</v>
      </c>
      <c r="Q500" s="470" t="s">
        <v>1040</v>
      </c>
      <c r="R500" s="460" t="s">
        <v>1041</v>
      </c>
      <c r="S500" s="270" t="s">
        <v>7</v>
      </c>
      <c r="U500" s="471"/>
      <c r="V500" s="471"/>
      <c r="W500" s="471" t="s">
        <v>1041</v>
      </c>
      <c r="X500" s="471">
        <v>1</v>
      </c>
    </row>
    <row r="501" spans="1:26">
      <c r="A501" s="406">
        <v>498</v>
      </c>
      <c r="B501" s="613" t="s">
        <v>5842</v>
      </c>
      <c r="C501" s="288" t="s">
        <v>1042</v>
      </c>
      <c r="D501" s="414" t="s">
        <v>3578</v>
      </c>
      <c r="E501" s="407" t="s">
        <v>8383</v>
      </c>
      <c r="F501" s="483"/>
      <c r="G501" s="483"/>
      <c r="H501" s="483"/>
      <c r="I501" s="483"/>
      <c r="J501" s="483"/>
      <c r="K501" s="483"/>
      <c r="L501" s="608" t="s">
        <v>4884</v>
      </c>
      <c r="M501" s="409">
        <v>13297.307086614173</v>
      </c>
      <c r="N501" s="409">
        <v>13297.307086614173</v>
      </c>
      <c r="O501" s="410" t="s">
        <v>7573</v>
      </c>
      <c r="P501" s="406">
        <v>498</v>
      </c>
      <c r="Q501" s="470" t="s">
        <v>1042</v>
      </c>
      <c r="R501" s="460" t="s">
        <v>1043</v>
      </c>
      <c r="S501" s="270" t="s">
        <v>7</v>
      </c>
      <c r="U501" s="471"/>
      <c r="V501" s="471"/>
      <c r="W501" s="471" t="s">
        <v>1043</v>
      </c>
      <c r="X501" s="471">
        <v>1</v>
      </c>
      <c r="Z501" s="270" t="s">
        <v>1044</v>
      </c>
    </row>
    <row r="502" spans="1:26">
      <c r="A502" s="406">
        <v>499</v>
      </c>
      <c r="B502" s="613" t="s">
        <v>5843</v>
      </c>
      <c r="C502" s="288" t="s">
        <v>1045</v>
      </c>
      <c r="D502" s="414" t="s">
        <v>3612</v>
      </c>
      <c r="E502" s="407" t="s">
        <v>8384</v>
      </c>
      <c r="F502" s="483"/>
      <c r="G502" s="483"/>
      <c r="H502" s="483"/>
      <c r="I502" s="483"/>
      <c r="J502" s="483"/>
      <c r="K502" s="483"/>
      <c r="L502" s="608" t="s">
        <v>4884</v>
      </c>
      <c r="M502" s="409">
        <v>14625.944881889765</v>
      </c>
      <c r="N502" s="409">
        <v>14625.944881889765</v>
      </c>
      <c r="O502" s="410" t="s">
        <v>7574</v>
      </c>
      <c r="P502" s="406">
        <v>499</v>
      </c>
      <c r="Q502" s="470" t="s">
        <v>1045</v>
      </c>
      <c r="R502" s="460" t="s">
        <v>1046</v>
      </c>
      <c r="S502" s="270" t="s">
        <v>7</v>
      </c>
      <c r="U502" s="471"/>
      <c r="V502" s="471"/>
      <c r="W502" s="471" t="s">
        <v>1046</v>
      </c>
      <c r="X502" s="471">
        <v>1</v>
      </c>
      <c r="Z502" s="270" t="s">
        <v>1047</v>
      </c>
    </row>
    <row r="503" spans="1:26">
      <c r="A503" s="406">
        <v>500</v>
      </c>
      <c r="B503" s="613" t="s">
        <v>2718</v>
      </c>
      <c r="C503" s="288" t="s">
        <v>1048</v>
      </c>
      <c r="D503" s="414" t="s">
        <v>3728</v>
      </c>
      <c r="E503" s="407" t="s">
        <v>7991</v>
      </c>
      <c r="F503" s="483" t="s">
        <v>2720</v>
      </c>
      <c r="G503" s="411" t="s">
        <v>2719</v>
      </c>
      <c r="H503" s="411"/>
      <c r="I503" s="411"/>
      <c r="J503" s="411"/>
      <c r="K503" s="411"/>
      <c r="L503" s="608">
        <v>6046.9409448818897</v>
      </c>
      <c r="M503" s="409">
        <v>12677.401574803149</v>
      </c>
      <c r="N503" s="409">
        <v>18724.34251968504</v>
      </c>
      <c r="O503" s="410" t="s">
        <v>7841</v>
      </c>
      <c r="P503" s="406">
        <v>500</v>
      </c>
      <c r="Q503" s="470" t="s">
        <v>1048</v>
      </c>
      <c r="R503" s="460" t="s">
        <v>1049</v>
      </c>
      <c r="S503" s="270" t="s">
        <v>7</v>
      </c>
      <c r="U503" s="471"/>
      <c r="V503" s="471"/>
      <c r="W503" s="471" t="s">
        <v>1049</v>
      </c>
      <c r="X503" s="471">
        <v>0</v>
      </c>
      <c r="Z503" s="270" t="s">
        <v>1050</v>
      </c>
    </row>
    <row r="504" spans="1:26">
      <c r="A504" s="406">
        <v>501</v>
      </c>
      <c r="B504" s="613" t="s">
        <v>2726</v>
      </c>
      <c r="C504" s="288" t="s">
        <v>1051</v>
      </c>
      <c r="D504" s="414" t="s">
        <v>3726</v>
      </c>
      <c r="E504" s="407" t="s">
        <v>7993</v>
      </c>
      <c r="F504" s="483" t="s">
        <v>2728</v>
      </c>
      <c r="G504" s="411" t="s">
        <v>2727</v>
      </c>
      <c r="H504" s="411"/>
      <c r="I504" s="411"/>
      <c r="J504" s="411"/>
      <c r="K504" s="411"/>
      <c r="L504" s="608">
        <v>3244.5787401574803</v>
      </c>
      <c r="M504" s="409">
        <v>15597.692913385827</v>
      </c>
      <c r="N504" s="409">
        <v>18842.27165354331</v>
      </c>
      <c r="O504" s="410" t="s">
        <v>7771</v>
      </c>
      <c r="P504" s="406">
        <v>501</v>
      </c>
      <c r="Q504" s="470" t="s">
        <v>1051</v>
      </c>
      <c r="R504" s="460" t="s">
        <v>1052</v>
      </c>
      <c r="S504" s="270" t="s">
        <v>7</v>
      </c>
      <c r="U504" s="471"/>
      <c r="V504" s="471"/>
      <c r="W504" s="471" t="s">
        <v>1052</v>
      </c>
      <c r="X504" s="471">
        <v>0</v>
      </c>
      <c r="Z504" s="270" t="s">
        <v>1053</v>
      </c>
    </row>
    <row r="505" spans="1:26">
      <c r="A505" s="406">
        <v>502</v>
      </c>
      <c r="B505" s="613" t="s">
        <v>2734</v>
      </c>
      <c r="C505" s="288" t="s">
        <v>1054</v>
      </c>
      <c r="D505" s="414" t="s">
        <v>3701</v>
      </c>
      <c r="E505" s="407" t="s">
        <v>7989</v>
      </c>
      <c r="F505" s="483" t="s">
        <v>2736</v>
      </c>
      <c r="G505" s="411" t="s">
        <v>2735</v>
      </c>
      <c r="H505" s="411"/>
      <c r="I505" s="411"/>
      <c r="J505" s="411"/>
      <c r="K505" s="411"/>
      <c r="L505" s="608">
        <v>6664.2637795275596</v>
      </c>
      <c r="M505" s="409">
        <v>11708.307086614175</v>
      </c>
      <c r="N505" s="409">
        <v>18372.570866141734</v>
      </c>
      <c r="O505" s="410" t="s">
        <v>7750</v>
      </c>
      <c r="P505" s="406">
        <v>502</v>
      </c>
      <c r="Q505" s="470" t="s">
        <v>1054</v>
      </c>
      <c r="R505" s="460" t="s">
        <v>1055</v>
      </c>
      <c r="S505" s="270" t="s">
        <v>7</v>
      </c>
      <c r="U505" s="471"/>
      <c r="V505" s="471"/>
      <c r="W505" s="471" t="s">
        <v>1055</v>
      </c>
      <c r="X505" s="471">
        <v>0</v>
      </c>
      <c r="Z505" s="270" t="s">
        <v>1056</v>
      </c>
    </row>
    <row r="506" spans="1:26">
      <c r="A506" s="406">
        <v>503</v>
      </c>
      <c r="B506" s="613" t="s">
        <v>2742</v>
      </c>
      <c r="C506" s="288" t="s">
        <v>1057</v>
      </c>
      <c r="D506" s="414" t="s">
        <v>3706</v>
      </c>
      <c r="E506" s="407" t="s">
        <v>7994</v>
      </c>
      <c r="F506" s="483" t="s">
        <v>2744</v>
      </c>
      <c r="G506" s="411" t="s">
        <v>2743</v>
      </c>
      <c r="H506" s="411"/>
      <c r="I506" s="411"/>
      <c r="J506" s="411"/>
      <c r="K506" s="411"/>
      <c r="L506" s="608">
        <v>6683.2913385826769</v>
      </c>
      <c r="M506" s="409">
        <v>9819.6141732283468</v>
      </c>
      <c r="N506" s="409">
        <v>16502.905511811026</v>
      </c>
      <c r="O506" s="410" t="s">
        <v>7825</v>
      </c>
      <c r="P506" s="406">
        <v>503</v>
      </c>
      <c r="Q506" s="470" t="s">
        <v>1057</v>
      </c>
      <c r="R506" s="460" t="s">
        <v>1058</v>
      </c>
      <c r="S506" s="270" t="s">
        <v>7</v>
      </c>
      <c r="U506" s="471"/>
      <c r="V506" s="471"/>
      <c r="W506" s="471" t="s">
        <v>1058</v>
      </c>
      <c r="X506" s="471">
        <v>0</v>
      </c>
      <c r="Z506" s="270" t="s">
        <v>1059</v>
      </c>
    </row>
    <row r="507" spans="1:26">
      <c r="A507" s="406">
        <v>504</v>
      </c>
      <c r="B507" s="613" t="s">
        <v>2748</v>
      </c>
      <c r="C507" s="288" t="s">
        <v>1060</v>
      </c>
      <c r="D507" s="414" t="s">
        <v>3705</v>
      </c>
      <c r="E507" s="407" t="s">
        <v>7990</v>
      </c>
      <c r="F507" s="483" t="s">
        <v>2750</v>
      </c>
      <c r="G507" s="411" t="s">
        <v>2749</v>
      </c>
      <c r="H507" s="411"/>
      <c r="I507" s="411"/>
      <c r="J507" s="411"/>
      <c r="K507" s="411"/>
      <c r="L507" s="608">
        <v>7406.2322834645674</v>
      </c>
      <c r="M507" s="409">
        <v>10579.972440944881</v>
      </c>
      <c r="N507" s="409">
        <v>17986.20472440945</v>
      </c>
      <c r="O507" s="410" t="s">
        <v>7748</v>
      </c>
      <c r="P507" s="406">
        <v>504</v>
      </c>
      <c r="Q507" s="470" t="s">
        <v>1060</v>
      </c>
      <c r="R507" s="460" t="s">
        <v>1061</v>
      </c>
      <c r="S507" s="270" t="s">
        <v>7</v>
      </c>
      <c r="U507" s="471"/>
      <c r="V507" s="471"/>
      <c r="W507" s="471" t="s">
        <v>1061</v>
      </c>
      <c r="X507" s="471">
        <v>0</v>
      </c>
      <c r="Z507" s="270" t="s">
        <v>1059</v>
      </c>
    </row>
    <row r="508" spans="1:26">
      <c r="A508" s="406">
        <v>505</v>
      </c>
      <c r="B508" s="613" t="s">
        <v>2715</v>
      </c>
      <c r="C508" s="288" t="s">
        <v>1062</v>
      </c>
      <c r="D508" s="414" t="s">
        <v>3703</v>
      </c>
      <c r="E508" s="407" t="s">
        <v>8385</v>
      </c>
      <c r="F508" s="483" t="s">
        <v>2713</v>
      </c>
      <c r="G508" s="411" t="s">
        <v>2716</v>
      </c>
      <c r="H508" s="411"/>
      <c r="I508" s="411"/>
      <c r="J508" s="411"/>
      <c r="K508" s="411"/>
      <c r="L508" s="608">
        <v>7412.3818897637793</v>
      </c>
      <c r="M508" s="409">
        <v>12670.555118110238</v>
      </c>
      <c r="N508" s="409">
        <v>20082.937007874018</v>
      </c>
      <c r="O508" s="410" t="s">
        <v>7841</v>
      </c>
      <c r="P508" s="406">
        <v>505</v>
      </c>
      <c r="Q508" s="470" t="s">
        <v>1062</v>
      </c>
      <c r="R508" s="460" t="s">
        <v>1063</v>
      </c>
      <c r="S508" s="270" t="s">
        <v>7</v>
      </c>
      <c r="U508" s="471"/>
      <c r="V508" s="471"/>
      <c r="W508" s="471" t="s">
        <v>1063</v>
      </c>
      <c r="X508" s="471">
        <v>0</v>
      </c>
      <c r="Z508" s="270" t="s">
        <v>1064</v>
      </c>
    </row>
    <row r="509" spans="1:26">
      <c r="A509" s="406">
        <v>506</v>
      </c>
      <c r="B509" s="613" t="s">
        <v>2723</v>
      </c>
      <c r="C509" s="288" t="s">
        <v>1065</v>
      </c>
      <c r="D509" s="414" t="s">
        <v>3707</v>
      </c>
      <c r="E509" s="407" t="s">
        <v>8386</v>
      </c>
      <c r="F509" s="483" t="s">
        <v>2721</v>
      </c>
      <c r="G509" s="411" t="s">
        <v>2724</v>
      </c>
      <c r="H509" s="411"/>
      <c r="I509" s="411"/>
      <c r="J509" s="411"/>
      <c r="K509" s="411"/>
      <c r="L509" s="608">
        <v>3029.5905511811025</v>
      </c>
      <c r="M509" s="409">
        <v>15415.523622047245</v>
      </c>
      <c r="N509" s="409">
        <v>18445.114173228347</v>
      </c>
      <c r="O509" s="410" t="s">
        <v>7750</v>
      </c>
      <c r="P509" s="406">
        <v>506</v>
      </c>
      <c r="Q509" s="470" t="s">
        <v>1065</v>
      </c>
      <c r="R509" s="460" t="s">
        <v>1066</v>
      </c>
      <c r="S509" s="270" t="s">
        <v>7</v>
      </c>
      <c r="U509" s="471"/>
      <c r="V509" s="471"/>
      <c r="W509" s="471" t="s">
        <v>1066</v>
      </c>
      <c r="X509" s="471">
        <v>0</v>
      </c>
      <c r="Z509" s="270" t="s">
        <v>1067</v>
      </c>
    </row>
    <row r="510" spans="1:26">
      <c r="A510" s="406">
        <v>507</v>
      </c>
      <c r="B510" s="613" t="s">
        <v>2731</v>
      </c>
      <c r="C510" s="288" t="s">
        <v>1068</v>
      </c>
      <c r="D510" s="414" t="s">
        <v>3698</v>
      </c>
      <c r="E510" s="407" t="s">
        <v>8387</v>
      </c>
      <c r="F510" s="483" t="s">
        <v>2729</v>
      </c>
      <c r="G510" s="411" t="s">
        <v>2732</v>
      </c>
      <c r="H510" s="411"/>
      <c r="I510" s="411"/>
      <c r="J510" s="411"/>
      <c r="K510" s="411"/>
      <c r="L510" s="608">
        <v>6311.2244094488196</v>
      </c>
      <c r="M510" s="409">
        <v>11812.803149606301</v>
      </c>
      <c r="N510" s="409">
        <v>18124.027559055121</v>
      </c>
      <c r="O510" s="410" t="s">
        <v>7750</v>
      </c>
      <c r="P510" s="406">
        <v>507</v>
      </c>
      <c r="Q510" s="470" t="s">
        <v>1068</v>
      </c>
      <c r="R510" s="460" t="s">
        <v>1069</v>
      </c>
      <c r="S510" s="270" t="s">
        <v>7</v>
      </c>
      <c r="U510" s="471"/>
      <c r="V510" s="471"/>
      <c r="W510" s="471" t="s">
        <v>1069</v>
      </c>
      <c r="X510" s="471">
        <v>0</v>
      </c>
      <c r="Z510" s="270" t="s">
        <v>1070</v>
      </c>
    </row>
    <row r="511" spans="1:26">
      <c r="A511" s="406">
        <v>508</v>
      </c>
      <c r="B511" s="613" t="s">
        <v>2890</v>
      </c>
      <c r="C511" s="288" t="s">
        <v>1071</v>
      </c>
      <c r="D511" s="414" t="s">
        <v>3654</v>
      </c>
      <c r="E511" s="407" t="s">
        <v>8388</v>
      </c>
      <c r="F511" s="483"/>
      <c r="G511" s="483"/>
      <c r="H511" s="483"/>
      <c r="I511" s="483"/>
      <c r="J511" s="483"/>
      <c r="K511" s="483"/>
      <c r="L511" s="608" t="s">
        <v>4884</v>
      </c>
      <c r="M511" s="409">
        <v>13281.01968503937</v>
      </c>
      <c r="N511" s="409">
        <v>13281.01968503937</v>
      </c>
      <c r="O511" s="410" t="s">
        <v>7576</v>
      </c>
      <c r="P511" s="406">
        <v>508</v>
      </c>
      <c r="Q511" s="470" t="s">
        <v>1071</v>
      </c>
      <c r="R511" s="460" t="s">
        <v>1072</v>
      </c>
      <c r="S511" s="270" t="s">
        <v>7</v>
      </c>
      <c r="U511" s="471"/>
      <c r="V511" s="471"/>
      <c r="W511" s="471" t="s">
        <v>1072</v>
      </c>
      <c r="X511" s="471">
        <v>1</v>
      </c>
    </row>
    <row r="512" spans="1:26">
      <c r="A512" s="406">
        <v>509</v>
      </c>
      <c r="B512" s="613" t="s">
        <v>2739</v>
      </c>
      <c r="C512" s="288" t="s">
        <v>1073</v>
      </c>
      <c r="D512" s="414" t="s">
        <v>3709</v>
      </c>
      <c r="E512" s="407" t="s">
        <v>8389</v>
      </c>
      <c r="F512" s="483" t="s">
        <v>2737</v>
      </c>
      <c r="G512" s="411" t="s">
        <v>2740</v>
      </c>
      <c r="H512" s="411"/>
      <c r="I512" s="411"/>
      <c r="J512" s="411"/>
      <c r="K512" s="411"/>
      <c r="L512" s="608">
        <v>7190.6299212598424</v>
      </c>
      <c r="M512" s="409">
        <v>9221.5</v>
      </c>
      <c r="N512" s="409">
        <v>16412.129921259846</v>
      </c>
      <c r="O512" s="410" t="s">
        <v>7771</v>
      </c>
      <c r="P512" s="406">
        <v>509</v>
      </c>
      <c r="Q512" s="470" t="s">
        <v>1073</v>
      </c>
      <c r="R512" s="460" t="s">
        <v>1074</v>
      </c>
      <c r="S512" s="270" t="s">
        <v>7</v>
      </c>
      <c r="U512" s="471"/>
      <c r="V512" s="471"/>
      <c r="W512" s="471" t="s">
        <v>1074</v>
      </c>
      <c r="X512" s="471">
        <v>0</v>
      </c>
      <c r="Z512" s="270" t="s">
        <v>1075</v>
      </c>
    </row>
    <row r="513" spans="1:26">
      <c r="A513" s="406">
        <v>510</v>
      </c>
      <c r="B513" s="613" t="s">
        <v>2888</v>
      </c>
      <c r="C513" s="288" t="s">
        <v>1076</v>
      </c>
      <c r="D513" s="414" t="s">
        <v>3683</v>
      </c>
      <c r="E513" s="407" t="s">
        <v>8390</v>
      </c>
      <c r="F513" s="483"/>
      <c r="G513" s="483"/>
      <c r="H513" s="483"/>
      <c r="I513" s="483"/>
      <c r="J513" s="483"/>
      <c r="K513" s="483"/>
      <c r="L513" s="608" t="s">
        <v>4884</v>
      </c>
      <c r="M513" s="409">
        <v>17366.976377952757</v>
      </c>
      <c r="N513" s="409">
        <v>17366.976377952757</v>
      </c>
      <c r="O513" s="410" t="s">
        <v>7567</v>
      </c>
      <c r="P513" s="406">
        <v>510</v>
      </c>
      <c r="Q513" s="470" t="s">
        <v>1076</v>
      </c>
      <c r="R513" s="460" t="s">
        <v>1077</v>
      </c>
      <c r="S513" s="270" t="s">
        <v>7</v>
      </c>
      <c r="U513" s="471"/>
      <c r="V513" s="471"/>
      <c r="W513" s="471" t="s">
        <v>1077</v>
      </c>
      <c r="X513" s="471">
        <v>1</v>
      </c>
    </row>
    <row r="514" spans="1:26">
      <c r="A514" s="406">
        <v>511</v>
      </c>
      <c r="B514" s="613" t="s">
        <v>2889</v>
      </c>
      <c r="C514" s="288" t="s">
        <v>1078</v>
      </c>
      <c r="D514" s="414" t="s">
        <v>3655</v>
      </c>
      <c r="E514" s="407" t="s">
        <v>8391</v>
      </c>
      <c r="F514" s="483"/>
      <c r="G514" s="483"/>
      <c r="H514" s="483"/>
      <c r="I514" s="483"/>
      <c r="J514" s="483"/>
      <c r="K514" s="483"/>
      <c r="L514" s="608" t="s">
        <v>4884</v>
      </c>
      <c r="M514" s="409">
        <v>11931.377952755907</v>
      </c>
      <c r="N514" s="409">
        <v>11931.377952755907</v>
      </c>
      <c r="O514" s="410" t="s">
        <v>7576</v>
      </c>
      <c r="P514" s="406">
        <v>511</v>
      </c>
      <c r="Q514" s="470" t="s">
        <v>1078</v>
      </c>
      <c r="R514" s="460" t="s">
        <v>1079</v>
      </c>
      <c r="S514" s="270" t="s">
        <v>7</v>
      </c>
      <c r="U514" s="471"/>
      <c r="V514" s="471"/>
      <c r="W514" s="471" t="s">
        <v>1079</v>
      </c>
      <c r="X514" s="471">
        <v>1</v>
      </c>
    </row>
    <row r="515" spans="1:26">
      <c r="A515" s="406">
        <v>512</v>
      </c>
      <c r="B515" s="613" t="s">
        <v>6643</v>
      </c>
      <c r="C515" s="288" t="s">
        <v>1080</v>
      </c>
      <c r="D515" s="414" t="s">
        <v>3660</v>
      </c>
      <c r="E515" s="407" t="s">
        <v>8055</v>
      </c>
      <c r="F515" s="483" t="s">
        <v>2745</v>
      </c>
      <c r="G515" s="411" t="s">
        <v>2712</v>
      </c>
      <c r="H515" s="411"/>
      <c r="I515" s="411"/>
      <c r="J515" s="411"/>
      <c r="K515" s="411"/>
      <c r="L515" s="608">
        <v>3550.4606299212601</v>
      </c>
      <c r="M515" s="409">
        <v>9928.4803149606305</v>
      </c>
      <c r="N515" s="409">
        <v>16823.047244094487</v>
      </c>
      <c r="O515" s="410" t="s">
        <v>7788</v>
      </c>
      <c r="P515" s="406">
        <v>512</v>
      </c>
      <c r="Q515" s="470" t="s">
        <v>1080</v>
      </c>
      <c r="R515" s="460" t="s">
        <v>1081</v>
      </c>
      <c r="S515" s="270" t="s">
        <v>7</v>
      </c>
      <c r="U515" s="471"/>
      <c r="V515" s="471"/>
      <c r="W515" s="471" t="s">
        <v>1081</v>
      </c>
      <c r="X515" s="471">
        <v>0</v>
      </c>
      <c r="Z515" s="270" t="s">
        <v>1082</v>
      </c>
    </row>
    <row r="516" spans="1:26">
      <c r="A516" s="406">
        <v>513</v>
      </c>
      <c r="B516" s="613" t="s">
        <v>2891</v>
      </c>
      <c r="C516" s="288" t="s">
        <v>1083</v>
      </c>
      <c r="D516" s="414" t="s">
        <v>3540</v>
      </c>
      <c r="E516" s="407" t="s">
        <v>8392</v>
      </c>
      <c r="F516" s="483"/>
      <c r="G516" s="483"/>
      <c r="H516" s="483"/>
      <c r="I516" s="483"/>
      <c r="J516" s="483"/>
      <c r="K516" s="483"/>
      <c r="L516" s="608" t="s">
        <v>4884</v>
      </c>
      <c r="M516" s="409">
        <v>11444.389763779527</v>
      </c>
      <c r="N516" s="409">
        <v>11444.389763779527</v>
      </c>
      <c r="O516" s="410" t="s">
        <v>7575</v>
      </c>
      <c r="P516" s="406">
        <v>513</v>
      </c>
      <c r="Q516" s="470" t="s">
        <v>1083</v>
      </c>
      <c r="R516" s="460" t="s">
        <v>1084</v>
      </c>
      <c r="S516" s="270" t="s">
        <v>7</v>
      </c>
      <c r="U516" s="471"/>
      <c r="V516" s="471"/>
      <c r="W516" s="471" t="s">
        <v>1084</v>
      </c>
      <c r="X516" s="471">
        <v>1</v>
      </c>
    </row>
    <row r="517" spans="1:26">
      <c r="A517" s="406">
        <v>514</v>
      </c>
      <c r="B517" s="613" t="s">
        <v>5842</v>
      </c>
      <c r="C517" s="288" t="s">
        <v>1085</v>
      </c>
      <c r="D517" s="414" t="s">
        <v>3578</v>
      </c>
      <c r="E517" s="407" t="s">
        <v>8383</v>
      </c>
      <c r="F517" s="483"/>
      <c r="G517" s="483"/>
      <c r="H517" s="483"/>
      <c r="I517" s="483"/>
      <c r="J517" s="483"/>
      <c r="K517" s="483"/>
      <c r="L517" s="608" t="s">
        <v>4884</v>
      </c>
      <c r="M517" s="409">
        <v>13297.307086614173</v>
      </c>
      <c r="N517" s="409">
        <v>13297.307086614173</v>
      </c>
      <c r="O517" s="410" t="s">
        <v>7573</v>
      </c>
      <c r="P517" s="406">
        <v>514</v>
      </c>
      <c r="Q517" s="470" t="s">
        <v>1085</v>
      </c>
      <c r="R517" s="460" t="s">
        <v>1086</v>
      </c>
      <c r="S517" s="270" t="s">
        <v>7</v>
      </c>
      <c r="U517" s="471"/>
      <c r="V517" s="471"/>
      <c r="W517" s="471" t="s">
        <v>1086</v>
      </c>
      <c r="X517" s="471">
        <v>0</v>
      </c>
      <c r="Z517" s="270" t="s">
        <v>1044</v>
      </c>
    </row>
    <row r="518" spans="1:26">
      <c r="A518" s="406">
        <v>515</v>
      </c>
      <c r="B518" s="613" t="s">
        <v>5843</v>
      </c>
      <c r="C518" s="288" t="s">
        <v>1087</v>
      </c>
      <c r="D518" s="414" t="s">
        <v>3612</v>
      </c>
      <c r="E518" s="407" t="s">
        <v>8384</v>
      </c>
      <c r="F518" s="483"/>
      <c r="G518" s="483"/>
      <c r="H518" s="483"/>
      <c r="I518" s="483"/>
      <c r="J518" s="483"/>
      <c r="K518" s="483"/>
      <c r="L518" s="608" t="s">
        <v>4884</v>
      </c>
      <c r="M518" s="409">
        <v>14625.944881889765</v>
      </c>
      <c r="N518" s="409">
        <v>14625.944881889765</v>
      </c>
      <c r="O518" s="410" t="s">
        <v>7574</v>
      </c>
      <c r="P518" s="406">
        <v>515</v>
      </c>
      <c r="Q518" s="470" t="s">
        <v>1087</v>
      </c>
      <c r="R518" s="460" t="s">
        <v>1088</v>
      </c>
      <c r="S518" s="270" t="s">
        <v>7</v>
      </c>
      <c r="U518" s="471"/>
      <c r="V518" s="471"/>
      <c r="W518" s="471" t="s">
        <v>1088</v>
      </c>
      <c r="X518" s="471">
        <v>0</v>
      </c>
      <c r="Z518" s="270" t="s">
        <v>1047</v>
      </c>
    </row>
    <row r="519" spans="1:26">
      <c r="A519" s="406">
        <v>516</v>
      </c>
      <c r="B519" s="613" t="s">
        <v>5842</v>
      </c>
      <c r="C519" s="288" t="s">
        <v>1089</v>
      </c>
      <c r="D519" s="414" t="s">
        <v>3578</v>
      </c>
      <c r="E519" s="407" t="s">
        <v>8383</v>
      </c>
      <c r="F519" s="483"/>
      <c r="G519" s="483"/>
      <c r="H519" s="483"/>
      <c r="I519" s="483"/>
      <c r="J519" s="483"/>
      <c r="K519" s="483"/>
      <c r="L519" s="608" t="s">
        <v>4884</v>
      </c>
      <c r="M519" s="409">
        <v>13297.307086614173</v>
      </c>
      <c r="N519" s="409">
        <v>13297.307086614173</v>
      </c>
      <c r="O519" s="410" t="s">
        <v>7573</v>
      </c>
      <c r="P519" s="406">
        <v>516</v>
      </c>
      <c r="Q519" s="470" t="s">
        <v>1089</v>
      </c>
      <c r="R519" s="460" t="s">
        <v>1090</v>
      </c>
      <c r="S519" s="270" t="s">
        <v>7</v>
      </c>
      <c r="U519" s="471"/>
      <c r="V519" s="471"/>
      <c r="W519" s="471" t="s">
        <v>1090</v>
      </c>
      <c r="X519" s="471">
        <v>0</v>
      </c>
      <c r="Z519" s="270" t="s">
        <v>1044</v>
      </c>
    </row>
    <row r="520" spans="1:26">
      <c r="A520" s="406">
        <v>517</v>
      </c>
      <c r="B520" s="613" t="s">
        <v>5843</v>
      </c>
      <c r="C520" s="288" t="s">
        <v>1091</v>
      </c>
      <c r="D520" s="414" t="s">
        <v>3612</v>
      </c>
      <c r="E520" s="407" t="s">
        <v>8384</v>
      </c>
      <c r="F520" s="483"/>
      <c r="G520" s="483"/>
      <c r="H520" s="483"/>
      <c r="I520" s="483"/>
      <c r="J520" s="483"/>
      <c r="K520" s="483"/>
      <c r="L520" s="608" t="s">
        <v>4884</v>
      </c>
      <c r="M520" s="409">
        <v>14625.944881889765</v>
      </c>
      <c r="N520" s="409">
        <v>14625.944881889765</v>
      </c>
      <c r="O520" s="410" t="s">
        <v>7574</v>
      </c>
      <c r="P520" s="406">
        <v>517</v>
      </c>
      <c r="Q520" s="470" t="s">
        <v>1091</v>
      </c>
      <c r="R520" s="460" t="s">
        <v>1092</v>
      </c>
      <c r="S520" s="270" t="s">
        <v>7</v>
      </c>
      <c r="U520" s="471"/>
      <c r="V520" s="471"/>
      <c r="W520" s="471" t="s">
        <v>1092</v>
      </c>
      <c r="X520" s="471">
        <v>0</v>
      </c>
      <c r="Z520" s="270" t="s">
        <v>1047</v>
      </c>
    </row>
    <row r="521" spans="1:26">
      <c r="A521" s="406">
        <v>518</v>
      </c>
      <c r="B521" s="613" t="s">
        <v>5842</v>
      </c>
      <c r="C521" s="288" t="s">
        <v>1093</v>
      </c>
      <c r="D521" s="414" t="s">
        <v>3578</v>
      </c>
      <c r="E521" s="407" t="s">
        <v>8383</v>
      </c>
      <c r="F521" s="483"/>
      <c r="G521" s="483"/>
      <c r="H521" s="483"/>
      <c r="I521" s="483"/>
      <c r="J521" s="483"/>
      <c r="K521" s="483"/>
      <c r="L521" s="608" t="s">
        <v>4884</v>
      </c>
      <c r="M521" s="409">
        <v>13297.307086614173</v>
      </c>
      <c r="N521" s="409">
        <v>13297.307086614173</v>
      </c>
      <c r="O521" s="410" t="s">
        <v>7573</v>
      </c>
      <c r="P521" s="406">
        <v>518</v>
      </c>
      <c r="Q521" s="470" t="s">
        <v>1093</v>
      </c>
      <c r="R521" s="460" t="s">
        <v>1094</v>
      </c>
      <c r="S521" s="270" t="s">
        <v>7</v>
      </c>
      <c r="U521" s="471"/>
      <c r="V521" s="471"/>
      <c r="W521" s="471" t="s">
        <v>1094</v>
      </c>
      <c r="X521" s="471">
        <v>0</v>
      </c>
      <c r="Z521" s="270" t="s">
        <v>1044</v>
      </c>
    </row>
    <row r="522" spans="1:26">
      <c r="A522" s="406">
        <v>519</v>
      </c>
      <c r="B522" s="613" t="s">
        <v>5843</v>
      </c>
      <c r="C522" s="288" t="s">
        <v>1095</v>
      </c>
      <c r="D522" s="414" t="s">
        <v>3612</v>
      </c>
      <c r="E522" s="407" t="s">
        <v>8384</v>
      </c>
      <c r="F522" s="483"/>
      <c r="G522" s="483"/>
      <c r="H522" s="483"/>
      <c r="I522" s="483"/>
      <c r="J522" s="483"/>
      <c r="K522" s="483"/>
      <c r="L522" s="608" t="s">
        <v>4884</v>
      </c>
      <c r="M522" s="409">
        <v>14625.944881889765</v>
      </c>
      <c r="N522" s="409">
        <v>14625.944881889765</v>
      </c>
      <c r="O522" s="410" t="s">
        <v>7574</v>
      </c>
      <c r="P522" s="406">
        <v>519</v>
      </c>
      <c r="Q522" s="470" t="s">
        <v>1095</v>
      </c>
      <c r="R522" s="460" t="s">
        <v>1096</v>
      </c>
      <c r="S522" s="270" t="s">
        <v>7</v>
      </c>
      <c r="U522" s="471"/>
      <c r="V522" s="471"/>
      <c r="W522" s="471" t="s">
        <v>1096</v>
      </c>
      <c r="X522" s="471">
        <v>0</v>
      </c>
      <c r="Z522" s="270" t="s">
        <v>1047</v>
      </c>
    </row>
    <row r="523" spans="1:26">
      <c r="A523" s="406">
        <v>520</v>
      </c>
      <c r="B523" s="613" t="s">
        <v>2892</v>
      </c>
      <c r="C523" s="288" t="s">
        <v>1097</v>
      </c>
      <c r="D523" s="414" t="s">
        <v>3613</v>
      </c>
      <c r="E523" s="407" t="s">
        <v>8393</v>
      </c>
      <c r="F523" s="483"/>
      <c r="G523" s="483"/>
      <c r="H523" s="483"/>
      <c r="I523" s="483"/>
      <c r="J523" s="483"/>
      <c r="K523" s="483"/>
      <c r="L523" s="608" t="s">
        <v>4884</v>
      </c>
      <c r="M523" s="409">
        <v>13283.677165354331</v>
      </c>
      <c r="N523" s="409">
        <v>13283.677165354331</v>
      </c>
      <c r="O523" s="410" t="s">
        <v>7574</v>
      </c>
      <c r="P523" s="406">
        <v>520</v>
      </c>
      <c r="Q523" s="470" t="s">
        <v>1097</v>
      </c>
      <c r="R523" s="460" t="s">
        <v>1098</v>
      </c>
      <c r="S523" s="270" t="s">
        <v>7</v>
      </c>
      <c r="U523" s="471"/>
      <c r="V523" s="471"/>
      <c r="W523" s="471" t="s">
        <v>1098</v>
      </c>
      <c r="X523" s="471">
        <v>1</v>
      </c>
    </row>
    <row r="524" spans="1:26">
      <c r="A524" s="406">
        <v>521</v>
      </c>
      <c r="B524" s="613" t="s">
        <v>2752</v>
      </c>
      <c r="C524" s="288" t="s">
        <v>1099</v>
      </c>
      <c r="D524" s="414" t="s">
        <v>3658</v>
      </c>
      <c r="E524" s="407" t="s">
        <v>8394</v>
      </c>
      <c r="F524" s="483" t="s">
        <v>2751</v>
      </c>
      <c r="G524" s="411" t="s">
        <v>2753</v>
      </c>
      <c r="H524" s="411"/>
      <c r="I524" s="411"/>
      <c r="J524" s="411"/>
      <c r="K524" s="411"/>
      <c r="L524" s="608">
        <v>4181.1417322834641</v>
      </c>
      <c r="M524" s="409">
        <v>10092.307086614173</v>
      </c>
      <c r="N524" s="409">
        <v>14273.448818897639</v>
      </c>
      <c r="O524" s="410" t="s">
        <v>7772</v>
      </c>
      <c r="P524" s="406">
        <v>521</v>
      </c>
      <c r="Q524" s="470" t="s">
        <v>1099</v>
      </c>
      <c r="R524" s="460" t="s">
        <v>1100</v>
      </c>
      <c r="S524" s="270" t="s">
        <v>7</v>
      </c>
      <c r="U524" s="471"/>
      <c r="V524" s="471"/>
      <c r="W524" s="471" t="s">
        <v>1100</v>
      </c>
      <c r="X524" s="471">
        <v>1</v>
      </c>
      <c r="Z524" s="270" t="s">
        <v>1101</v>
      </c>
    </row>
    <row r="525" spans="1:26">
      <c r="A525" s="406">
        <v>522</v>
      </c>
      <c r="B525" s="613" t="s">
        <v>2756</v>
      </c>
      <c r="C525" s="288" t="s">
        <v>1102</v>
      </c>
      <c r="D525" s="414" t="s">
        <v>3656</v>
      </c>
      <c r="E525" s="407" t="s">
        <v>7992</v>
      </c>
      <c r="F525" s="483" t="s">
        <v>2758</v>
      </c>
      <c r="G525" s="411" t="s">
        <v>2757</v>
      </c>
      <c r="H525" s="411"/>
      <c r="I525" s="411"/>
      <c r="J525" s="411"/>
      <c r="K525" s="411"/>
      <c r="L525" s="608">
        <v>4256.0078740157478</v>
      </c>
      <c r="M525" s="409">
        <v>9778.6574803149615</v>
      </c>
      <c r="N525" s="409">
        <v>14034.665354330709</v>
      </c>
      <c r="O525" s="410" t="s">
        <v>7781</v>
      </c>
      <c r="P525" s="406">
        <v>522</v>
      </c>
      <c r="Q525" s="470" t="s">
        <v>1102</v>
      </c>
      <c r="R525" s="460" t="s">
        <v>1103</v>
      </c>
      <c r="S525" s="270" t="s">
        <v>7</v>
      </c>
      <c r="U525" s="471"/>
      <c r="V525" s="471"/>
      <c r="W525" s="471" t="s">
        <v>1103</v>
      </c>
      <c r="X525" s="471">
        <v>0</v>
      </c>
      <c r="Z525" s="270" t="s">
        <v>1104</v>
      </c>
    </row>
    <row r="526" spans="1:26">
      <c r="A526" s="406">
        <v>523</v>
      </c>
      <c r="B526" s="613" t="s">
        <v>2893</v>
      </c>
      <c r="C526" s="288" t="s">
        <v>1105</v>
      </c>
      <c r="D526" s="414" t="s">
        <v>3710</v>
      </c>
      <c r="E526" s="407" t="s">
        <v>8395</v>
      </c>
      <c r="F526" s="483"/>
      <c r="G526" s="483"/>
      <c r="H526" s="483"/>
      <c r="I526" s="483"/>
      <c r="J526" s="483"/>
      <c r="K526" s="483"/>
      <c r="L526" s="608" t="s">
        <v>4884</v>
      </c>
      <c r="M526" s="409">
        <v>10994.767716535434</v>
      </c>
      <c r="N526" s="409">
        <v>10994.767716535434</v>
      </c>
      <c r="O526" s="410" t="s">
        <v>7572</v>
      </c>
      <c r="P526" s="406">
        <v>523</v>
      </c>
      <c r="Q526" s="470" t="s">
        <v>1105</v>
      </c>
      <c r="R526" s="460" t="s">
        <v>1106</v>
      </c>
      <c r="S526" s="270" t="s">
        <v>7</v>
      </c>
      <c r="U526" s="471"/>
      <c r="V526" s="471"/>
      <c r="W526" s="471" t="s">
        <v>1106</v>
      </c>
      <c r="X526" s="471">
        <v>1</v>
      </c>
    </row>
    <row r="527" spans="1:26">
      <c r="A527" s="406">
        <v>524</v>
      </c>
      <c r="B527" s="613" t="s">
        <v>2894</v>
      </c>
      <c r="C527" s="288" t="s">
        <v>1107</v>
      </c>
      <c r="D527" s="414" t="s">
        <v>3579</v>
      </c>
      <c r="E527" s="407" t="s">
        <v>8396</v>
      </c>
      <c r="F527" s="483"/>
      <c r="G527" s="483"/>
      <c r="H527" s="483"/>
      <c r="I527" s="483"/>
      <c r="J527" s="483"/>
      <c r="K527" s="483"/>
      <c r="L527" s="608" t="s">
        <v>4884</v>
      </c>
      <c r="M527" s="409">
        <v>12613.476377952757</v>
      </c>
      <c r="N527" s="409">
        <v>12613.476377952757</v>
      </c>
      <c r="O527" s="410" t="s">
        <v>7574</v>
      </c>
      <c r="P527" s="406">
        <v>524</v>
      </c>
      <c r="Q527" s="470" t="s">
        <v>1107</v>
      </c>
      <c r="R527" s="460" t="s">
        <v>1108</v>
      </c>
      <c r="S527" s="270" t="s">
        <v>7</v>
      </c>
      <c r="U527" s="471"/>
      <c r="V527" s="471"/>
      <c r="W527" s="471" t="s">
        <v>1108</v>
      </c>
      <c r="X527" s="471">
        <v>1</v>
      </c>
    </row>
    <row r="528" spans="1:26">
      <c r="A528" s="406">
        <v>525</v>
      </c>
      <c r="B528" s="613" t="s">
        <v>2895</v>
      </c>
      <c r="C528" s="288" t="s">
        <v>1109</v>
      </c>
      <c r="D528" s="414" t="s">
        <v>3551</v>
      </c>
      <c r="E528" s="407" t="s">
        <v>8397</v>
      </c>
      <c r="F528" s="483"/>
      <c r="G528" s="483"/>
      <c r="H528" s="483"/>
      <c r="I528" s="483"/>
      <c r="J528" s="483"/>
      <c r="K528" s="483"/>
      <c r="L528" s="608" t="s">
        <v>4884</v>
      </c>
      <c r="M528" s="409">
        <v>11950.523622047243</v>
      </c>
      <c r="N528" s="409">
        <v>11950.523622047243</v>
      </c>
      <c r="O528" s="410" t="s">
        <v>7573</v>
      </c>
      <c r="P528" s="406">
        <v>525</v>
      </c>
      <c r="Q528" s="470" t="s">
        <v>1109</v>
      </c>
      <c r="R528" s="460" t="s">
        <v>1110</v>
      </c>
      <c r="S528" s="270" t="s">
        <v>7</v>
      </c>
      <c r="U528" s="471"/>
      <c r="V528" s="471"/>
      <c r="W528" s="471" t="s">
        <v>1110</v>
      </c>
      <c r="X528" s="471">
        <v>1</v>
      </c>
    </row>
    <row r="529" spans="1:26">
      <c r="A529" s="406">
        <v>526</v>
      </c>
      <c r="B529" s="613" t="s">
        <v>2896</v>
      </c>
      <c r="C529" s="288" t="s">
        <v>1111</v>
      </c>
      <c r="D529" s="414" t="s">
        <v>3711</v>
      </c>
      <c r="E529" s="407" t="s">
        <v>8398</v>
      </c>
      <c r="F529" s="483"/>
      <c r="G529" s="483"/>
      <c r="H529" s="483"/>
      <c r="I529" s="483"/>
      <c r="J529" s="483"/>
      <c r="K529" s="483"/>
      <c r="L529" s="608" t="s">
        <v>4884</v>
      </c>
      <c r="M529" s="409">
        <v>10784.263779527559</v>
      </c>
      <c r="N529" s="409">
        <v>10784.263779527559</v>
      </c>
      <c r="O529" s="410" t="s">
        <v>7572</v>
      </c>
      <c r="P529" s="406">
        <v>526</v>
      </c>
      <c r="Q529" s="470" t="s">
        <v>1111</v>
      </c>
      <c r="R529" s="460" t="s">
        <v>1112</v>
      </c>
      <c r="S529" s="270" t="s">
        <v>7</v>
      </c>
      <c r="U529" s="471"/>
      <c r="V529" s="471"/>
      <c r="W529" s="471" t="s">
        <v>1112</v>
      </c>
      <c r="X529" s="471">
        <v>1</v>
      </c>
    </row>
    <row r="530" spans="1:26">
      <c r="A530" s="406">
        <v>527</v>
      </c>
      <c r="B530" s="613" t="s">
        <v>2897</v>
      </c>
      <c r="C530" s="288" t="s">
        <v>1113</v>
      </c>
      <c r="D530" s="414" t="s">
        <v>3626</v>
      </c>
      <c r="E530" s="407" t="s">
        <v>8399</v>
      </c>
      <c r="F530" s="483"/>
      <c r="G530" s="483"/>
      <c r="H530" s="483"/>
      <c r="I530" s="483"/>
      <c r="J530" s="483"/>
      <c r="K530" s="483"/>
      <c r="L530" s="608" t="s">
        <v>4884</v>
      </c>
      <c r="M530" s="409">
        <v>9509.4251968503941</v>
      </c>
      <c r="N530" s="409">
        <v>9509.4251968503941</v>
      </c>
      <c r="O530" s="410" t="s">
        <v>7569</v>
      </c>
      <c r="P530" s="406">
        <v>527</v>
      </c>
      <c r="Q530" s="470" t="s">
        <v>1113</v>
      </c>
      <c r="R530" s="460" t="s">
        <v>1114</v>
      </c>
      <c r="S530" s="270" t="s">
        <v>7</v>
      </c>
      <c r="U530" s="471"/>
      <c r="V530" s="471"/>
      <c r="W530" s="471" t="s">
        <v>1114</v>
      </c>
      <c r="X530" s="471">
        <v>1</v>
      </c>
    </row>
    <row r="531" spans="1:26">
      <c r="A531" s="406">
        <v>528</v>
      </c>
      <c r="B531" s="613" t="s">
        <v>2500</v>
      </c>
      <c r="C531" s="288" t="s">
        <v>1115</v>
      </c>
      <c r="D531" s="414" t="s">
        <v>3888</v>
      </c>
      <c r="E531" s="407" t="s">
        <v>8400</v>
      </c>
      <c r="F531" s="483"/>
      <c r="G531" s="483"/>
      <c r="H531" s="411"/>
      <c r="I531" s="411"/>
      <c r="J531" s="411"/>
      <c r="K531" s="411"/>
      <c r="L531" s="608" t="s">
        <v>4884</v>
      </c>
      <c r="M531" s="409">
        <v>5707.9173228346463</v>
      </c>
      <c r="N531" s="409">
        <v>5707.9173228346463</v>
      </c>
      <c r="O531" s="410" t="s">
        <v>7569</v>
      </c>
      <c r="P531" s="406">
        <v>528</v>
      </c>
      <c r="Q531" s="470" t="s">
        <v>1115</v>
      </c>
      <c r="R531" s="460" t="s">
        <v>1116</v>
      </c>
      <c r="S531" s="270" t="s">
        <v>32</v>
      </c>
      <c r="U531" s="471"/>
      <c r="V531" s="471">
        <v>1</v>
      </c>
      <c r="W531" s="471" t="s">
        <v>1116</v>
      </c>
      <c r="X531" s="471">
        <v>0</v>
      </c>
    </row>
    <row r="532" spans="1:26">
      <c r="A532" s="406">
        <v>529</v>
      </c>
      <c r="B532" s="613" t="s">
        <v>2501</v>
      </c>
      <c r="C532" s="288" t="s">
        <v>1117</v>
      </c>
      <c r="D532" s="414" t="s">
        <v>3886</v>
      </c>
      <c r="E532" s="407" t="s">
        <v>8401</v>
      </c>
      <c r="F532" s="483"/>
      <c r="G532" s="483"/>
      <c r="H532" s="483"/>
      <c r="I532" s="483"/>
      <c r="J532" s="483"/>
      <c r="K532" s="483"/>
      <c r="L532" s="608" t="s">
        <v>4884</v>
      </c>
      <c r="M532" s="409">
        <v>5707.7913385826778</v>
      </c>
      <c r="N532" s="409">
        <v>5707.7913385826778</v>
      </c>
      <c r="O532" s="410" t="s">
        <v>7569</v>
      </c>
      <c r="P532" s="406">
        <v>529</v>
      </c>
      <c r="Q532" s="470" t="s">
        <v>1117</v>
      </c>
      <c r="R532" s="460" t="s">
        <v>1118</v>
      </c>
      <c r="S532" s="270" t="s">
        <v>32</v>
      </c>
      <c r="U532" s="471"/>
      <c r="V532" s="471">
        <v>1</v>
      </c>
      <c r="W532" s="471" t="s">
        <v>1118</v>
      </c>
      <c r="X532" s="471">
        <v>0</v>
      </c>
    </row>
    <row r="533" spans="1:26">
      <c r="A533" s="406">
        <v>530</v>
      </c>
      <c r="B533" s="613" t="s">
        <v>2752</v>
      </c>
      <c r="C533" s="288" t="s">
        <v>1119</v>
      </c>
      <c r="D533" s="414" t="s">
        <v>3658</v>
      </c>
      <c r="E533" s="407" t="s">
        <v>8394</v>
      </c>
      <c r="F533" s="483" t="s">
        <v>2754</v>
      </c>
      <c r="G533" s="411" t="s">
        <v>2753</v>
      </c>
      <c r="H533" s="411"/>
      <c r="I533" s="411"/>
      <c r="J533" s="411"/>
      <c r="K533" s="411"/>
      <c r="L533" s="608">
        <v>4181.1417322834641</v>
      </c>
      <c r="M533" s="409">
        <v>9742.854330708662</v>
      </c>
      <c r="N533" s="409">
        <v>13923.996062992126</v>
      </c>
      <c r="O533" s="410" t="s">
        <v>7781</v>
      </c>
      <c r="P533" s="406">
        <v>530</v>
      </c>
      <c r="Q533" s="470" t="s">
        <v>1119</v>
      </c>
      <c r="R533" s="460" t="s">
        <v>1120</v>
      </c>
      <c r="S533" s="270" t="s">
        <v>7</v>
      </c>
      <c r="U533" s="471"/>
      <c r="V533" s="471"/>
      <c r="W533" s="471" t="s">
        <v>1120</v>
      </c>
      <c r="X533" s="471">
        <v>0</v>
      </c>
      <c r="Z533" s="270" t="s">
        <v>1121</v>
      </c>
    </row>
    <row r="534" spans="1:26">
      <c r="A534" s="406">
        <v>531</v>
      </c>
      <c r="B534" s="613" t="s">
        <v>2898</v>
      </c>
      <c r="C534" s="288" t="s">
        <v>1122</v>
      </c>
      <c r="D534" s="414" t="s">
        <v>3665</v>
      </c>
      <c r="E534" s="407" t="s">
        <v>8402</v>
      </c>
      <c r="F534" s="483"/>
      <c r="G534" s="483"/>
      <c r="H534" s="483"/>
      <c r="I534" s="483"/>
      <c r="J534" s="483"/>
      <c r="K534" s="483"/>
      <c r="L534" s="608" t="s">
        <v>4884</v>
      </c>
      <c r="M534" s="409">
        <v>10652.027559055119</v>
      </c>
      <c r="N534" s="409">
        <v>10652.027559055119</v>
      </c>
      <c r="O534" s="410" t="s">
        <v>7572</v>
      </c>
      <c r="P534" s="406">
        <v>531</v>
      </c>
      <c r="Q534" s="470" t="s">
        <v>1122</v>
      </c>
      <c r="R534" s="460" t="s">
        <v>1123</v>
      </c>
      <c r="S534" s="270" t="s">
        <v>7</v>
      </c>
      <c r="U534" s="471"/>
      <c r="V534" s="471"/>
      <c r="W534" s="471" t="s">
        <v>1123</v>
      </c>
      <c r="X534" s="471">
        <v>1</v>
      </c>
    </row>
    <row r="535" spans="1:26">
      <c r="A535" s="406">
        <v>532</v>
      </c>
      <c r="B535" s="613" t="s">
        <v>2899</v>
      </c>
      <c r="C535" s="288" t="s">
        <v>1124</v>
      </c>
      <c r="D535" s="414" t="s">
        <v>3506</v>
      </c>
      <c r="E535" s="407" t="s">
        <v>8403</v>
      </c>
      <c r="F535" s="483"/>
      <c r="G535" s="483"/>
      <c r="H535" s="483"/>
      <c r="I535" s="483"/>
      <c r="J535" s="483"/>
      <c r="K535" s="483"/>
      <c r="L535" s="608" t="s">
        <v>4884</v>
      </c>
      <c r="M535" s="409">
        <v>9298.8385826771646</v>
      </c>
      <c r="N535" s="409">
        <v>9298.8385826771646</v>
      </c>
      <c r="O535" s="410" t="s">
        <v>7569</v>
      </c>
      <c r="P535" s="406">
        <v>532</v>
      </c>
      <c r="Q535" s="470" t="s">
        <v>1124</v>
      </c>
      <c r="R535" s="460" t="s">
        <v>1125</v>
      </c>
      <c r="S535" s="270" t="s">
        <v>7</v>
      </c>
      <c r="U535" s="471"/>
      <c r="V535" s="471"/>
      <c r="W535" s="471" t="s">
        <v>1125</v>
      </c>
      <c r="X535" s="471">
        <v>1</v>
      </c>
    </row>
    <row r="536" spans="1:26">
      <c r="A536" s="406">
        <v>533</v>
      </c>
      <c r="B536" s="613" t="s">
        <v>2631</v>
      </c>
      <c r="C536" s="288" t="s">
        <v>1126</v>
      </c>
      <c r="D536" s="414" t="s">
        <v>3725</v>
      </c>
      <c r="E536" s="407" t="s">
        <v>8058</v>
      </c>
      <c r="F536" s="483" t="s">
        <v>2630</v>
      </c>
      <c r="G536" s="411" t="s">
        <v>2632</v>
      </c>
      <c r="H536" s="411"/>
      <c r="I536" s="411"/>
      <c r="J536" s="411"/>
      <c r="K536" s="411"/>
      <c r="L536" s="608">
        <v>3639.1023622047246</v>
      </c>
      <c r="M536" s="409">
        <v>8311.7913385826778</v>
      </c>
      <c r="N536" s="409">
        <v>11950.893700787401</v>
      </c>
      <c r="O536" s="410" t="s">
        <v>7817</v>
      </c>
      <c r="P536" s="406">
        <v>533</v>
      </c>
      <c r="Q536" s="470" t="s">
        <v>1126</v>
      </c>
      <c r="R536" s="460" t="s">
        <v>1127</v>
      </c>
      <c r="S536" s="270" t="s">
        <v>7</v>
      </c>
      <c r="U536" s="471"/>
      <c r="V536" s="471"/>
      <c r="W536" s="471" t="s">
        <v>1127</v>
      </c>
      <c r="X536" s="471">
        <v>1</v>
      </c>
    </row>
    <row r="537" spans="1:26">
      <c r="A537" s="406">
        <v>534</v>
      </c>
      <c r="B537" s="613" t="s">
        <v>2635</v>
      </c>
      <c r="C537" s="288" t="s">
        <v>1128</v>
      </c>
      <c r="D537" s="414" t="s">
        <v>3722</v>
      </c>
      <c r="E537" s="407" t="s">
        <v>8059</v>
      </c>
      <c r="F537" s="483" t="s">
        <v>2634</v>
      </c>
      <c r="G537" s="411" t="s">
        <v>2636</v>
      </c>
      <c r="H537" s="411"/>
      <c r="I537" s="411"/>
      <c r="J537" s="411"/>
      <c r="K537" s="411"/>
      <c r="L537" s="608">
        <v>3655.5314960629921</v>
      </c>
      <c r="M537" s="409">
        <v>8445.4724409448809</v>
      </c>
      <c r="N537" s="409">
        <v>12101.003937007874</v>
      </c>
      <c r="O537" s="410" t="s">
        <v>7816</v>
      </c>
      <c r="P537" s="406">
        <v>534</v>
      </c>
      <c r="Q537" s="470" t="s">
        <v>1128</v>
      </c>
      <c r="R537" s="460" t="s">
        <v>1129</v>
      </c>
      <c r="S537" s="270" t="s">
        <v>7</v>
      </c>
      <c r="U537" s="471"/>
      <c r="V537" s="471"/>
      <c r="W537" s="471" t="s">
        <v>1129</v>
      </c>
      <c r="X537" s="471">
        <v>1</v>
      </c>
    </row>
    <row r="538" spans="1:26">
      <c r="A538" s="406">
        <v>535</v>
      </c>
      <c r="B538" s="613" t="s">
        <v>2639</v>
      </c>
      <c r="C538" s="288" t="s">
        <v>1130</v>
      </c>
      <c r="D538" s="414" t="s">
        <v>3704</v>
      </c>
      <c r="E538" s="407" t="s">
        <v>8060</v>
      </c>
      <c r="F538" s="483" t="s">
        <v>2638</v>
      </c>
      <c r="G538" s="411" t="s">
        <v>2640</v>
      </c>
      <c r="H538" s="411"/>
      <c r="I538" s="411"/>
      <c r="J538" s="411"/>
      <c r="K538" s="411"/>
      <c r="L538" s="608">
        <v>4125.8818897637793</v>
      </c>
      <c r="M538" s="409">
        <v>8017.5118110236226</v>
      </c>
      <c r="N538" s="409">
        <v>12143.393700787403</v>
      </c>
      <c r="O538" s="410" t="s">
        <v>7816</v>
      </c>
      <c r="P538" s="406">
        <v>535</v>
      </c>
      <c r="Q538" s="470" t="s">
        <v>1130</v>
      </c>
      <c r="R538" s="460" t="s">
        <v>1131</v>
      </c>
      <c r="S538" s="270" t="s">
        <v>7</v>
      </c>
      <c r="U538" s="471"/>
      <c r="V538" s="471"/>
      <c r="W538" s="471" t="s">
        <v>1131</v>
      </c>
      <c r="X538" s="471">
        <v>1</v>
      </c>
    </row>
    <row r="539" spans="1:26">
      <c r="A539" s="406">
        <v>536</v>
      </c>
      <c r="B539" s="613" t="s">
        <v>3141</v>
      </c>
      <c r="C539" s="288" t="s">
        <v>1132</v>
      </c>
      <c r="D539" s="414" t="s">
        <v>3920</v>
      </c>
      <c r="E539" s="407" t="s">
        <v>8404</v>
      </c>
      <c r="F539" s="483"/>
      <c r="G539" s="483"/>
      <c r="H539" s="483"/>
      <c r="I539" s="483"/>
      <c r="J539" s="483"/>
      <c r="K539" s="483"/>
      <c r="L539" s="608" t="s">
        <v>4884</v>
      </c>
      <c r="M539" s="409">
        <v>4995.7047244094492</v>
      </c>
      <c r="N539" s="409">
        <v>4995.7047244094492</v>
      </c>
      <c r="O539" s="410" t="s">
        <v>7574</v>
      </c>
      <c r="P539" s="406">
        <v>536</v>
      </c>
      <c r="Q539" s="470" t="s">
        <v>1132</v>
      </c>
      <c r="R539" s="460" t="s">
        <v>1133</v>
      </c>
      <c r="S539" s="270" t="s">
        <v>32</v>
      </c>
      <c r="U539" s="471"/>
      <c r="V539" s="471">
        <v>1</v>
      </c>
      <c r="W539" s="471" t="s">
        <v>1133</v>
      </c>
      <c r="X539" s="471">
        <v>0</v>
      </c>
    </row>
    <row r="540" spans="1:26">
      <c r="A540" s="406">
        <v>537</v>
      </c>
      <c r="B540" s="613" t="s">
        <v>3142</v>
      </c>
      <c r="C540" s="288" t="s">
        <v>1134</v>
      </c>
      <c r="D540" s="414" t="s">
        <v>3918</v>
      </c>
      <c r="E540" s="407" t="s">
        <v>8405</v>
      </c>
      <c r="F540" s="483"/>
      <c r="G540" s="483"/>
      <c r="H540" s="483"/>
      <c r="I540" s="483"/>
      <c r="J540" s="483"/>
      <c r="K540" s="483"/>
      <c r="L540" s="608" t="s">
        <v>4884</v>
      </c>
      <c r="M540" s="409">
        <v>5039.0236220472443</v>
      </c>
      <c r="N540" s="409">
        <v>5039.0236220472443</v>
      </c>
      <c r="O540" s="410" t="s">
        <v>7574</v>
      </c>
      <c r="P540" s="406">
        <v>537</v>
      </c>
      <c r="Q540" s="470" t="s">
        <v>1134</v>
      </c>
      <c r="R540" s="475" t="s">
        <v>1135</v>
      </c>
      <c r="S540" s="270" t="s">
        <v>32</v>
      </c>
      <c r="U540" s="471"/>
      <c r="V540" s="477">
        <v>1</v>
      </c>
      <c r="W540" s="471"/>
      <c r="X540" s="471"/>
      <c r="Z540" s="270" t="s">
        <v>1136</v>
      </c>
    </row>
    <row r="541" spans="1:26">
      <c r="A541" s="406">
        <v>538</v>
      </c>
      <c r="B541" s="613" t="s">
        <v>5029</v>
      </c>
      <c r="C541" s="288" t="s">
        <v>1137</v>
      </c>
      <c r="D541" s="414" t="s">
        <v>3898</v>
      </c>
      <c r="E541" s="407" t="s">
        <v>8406</v>
      </c>
      <c r="F541" s="483" t="s">
        <v>5031</v>
      </c>
      <c r="G541" s="411" t="s">
        <v>5030</v>
      </c>
      <c r="H541" s="411" t="s">
        <v>5032</v>
      </c>
      <c r="I541" s="411"/>
      <c r="J541" s="411"/>
      <c r="K541" s="411"/>
      <c r="L541" s="608">
        <v>8137.8818897637802</v>
      </c>
      <c r="M541" s="409">
        <v>1038.0511811023621</v>
      </c>
      <c r="N541" s="409">
        <v>9175.9330708661419</v>
      </c>
      <c r="O541" s="410" t="s">
        <v>7776</v>
      </c>
      <c r="P541" s="406">
        <v>538</v>
      </c>
      <c r="Q541" s="470" t="s">
        <v>1137</v>
      </c>
      <c r="R541" s="475" t="s">
        <v>1138</v>
      </c>
      <c r="S541" s="270" t="s">
        <v>32</v>
      </c>
      <c r="U541" s="471"/>
      <c r="V541" s="477">
        <v>1</v>
      </c>
      <c r="W541" s="471"/>
      <c r="X541" s="471"/>
      <c r="Z541" s="270" t="s">
        <v>1136</v>
      </c>
    </row>
    <row r="542" spans="1:26">
      <c r="A542" s="406">
        <v>539</v>
      </c>
      <c r="B542" s="613" t="s">
        <v>3143</v>
      </c>
      <c r="C542" s="288" t="s">
        <v>1139</v>
      </c>
      <c r="D542" s="414" t="s">
        <v>3893</v>
      </c>
      <c r="E542" s="407" t="s">
        <v>8407</v>
      </c>
      <c r="F542" s="483"/>
      <c r="G542" s="483"/>
      <c r="H542" s="483"/>
      <c r="I542" s="483"/>
      <c r="J542" s="483"/>
      <c r="K542" s="483"/>
      <c r="L542" s="608" t="s">
        <v>4884</v>
      </c>
      <c r="M542" s="409">
        <v>11040.539370078741</v>
      </c>
      <c r="N542" s="409">
        <v>11040.539370078741</v>
      </c>
      <c r="O542" s="410" t="s">
        <v>7568</v>
      </c>
      <c r="P542" s="406">
        <v>539</v>
      </c>
      <c r="Q542" s="470" t="s">
        <v>1139</v>
      </c>
      <c r="R542" s="460" t="s">
        <v>1140</v>
      </c>
      <c r="S542" s="270" t="s">
        <v>32</v>
      </c>
      <c r="U542" s="471"/>
      <c r="V542" s="471">
        <v>1</v>
      </c>
      <c r="W542" s="471" t="s">
        <v>1140</v>
      </c>
      <c r="X542" s="471">
        <v>0</v>
      </c>
    </row>
    <row r="543" spans="1:26">
      <c r="A543" s="406">
        <v>540</v>
      </c>
      <c r="B543" s="613" t="s">
        <v>3144</v>
      </c>
      <c r="C543" s="288" t="s">
        <v>1141</v>
      </c>
      <c r="D543" s="414" t="s">
        <v>3905</v>
      </c>
      <c r="E543" s="407" t="s">
        <v>8408</v>
      </c>
      <c r="F543" s="483"/>
      <c r="G543" s="483"/>
      <c r="H543" s="483"/>
      <c r="I543" s="483"/>
      <c r="J543" s="483"/>
      <c r="K543" s="483"/>
      <c r="L543" s="608" t="s">
        <v>4884</v>
      </c>
      <c r="M543" s="409">
        <v>10999.933070866142</v>
      </c>
      <c r="N543" s="409">
        <v>10999.933070866142</v>
      </c>
      <c r="O543" s="410" t="s">
        <v>7574</v>
      </c>
      <c r="P543" s="406">
        <v>540</v>
      </c>
      <c r="Q543" s="470" t="s">
        <v>1141</v>
      </c>
      <c r="R543" s="460" t="s">
        <v>1142</v>
      </c>
      <c r="S543" s="270" t="s">
        <v>32</v>
      </c>
      <c r="U543" s="471"/>
      <c r="V543" s="471">
        <v>1</v>
      </c>
      <c r="W543" s="471" t="s">
        <v>1142</v>
      </c>
      <c r="X543" s="471">
        <v>0</v>
      </c>
    </row>
    <row r="544" spans="1:26">
      <c r="A544" s="406">
        <v>541</v>
      </c>
      <c r="B544" s="613" t="s">
        <v>3145</v>
      </c>
      <c r="C544" s="288" t="s">
        <v>1143</v>
      </c>
      <c r="D544" s="414" t="s">
        <v>3907</v>
      </c>
      <c r="E544" s="407" t="s">
        <v>8409</v>
      </c>
      <c r="F544" s="483"/>
      <c r="G544" s="483"/>
      <c r="H544" s="483"/>
      <c r="I544" s="483"/>
      <c r="J544" s="483"/>
      <c r="K544" s="483"/>
      <c r="L544" s="608" t="s">
        <v>4884</v>
      </c>
      <c r="M544" s="409">
        <v>11018.751968503939</v>
      </c>
      <c r="N544" s="409">
        <v>11018.751968503939</v>
      </c>
      <c r="O544" s="410" t="s">
        <v>7574</v>
      </c>
      <c r="P544" s="406">
        <v>541</v>
      </c>
      <c r="Q544" s="470" t="s">
        <v>1143</v>
      </c>
      <c r="R544" s="460" t="s">
        <v>1144</v>
      </c>
      <c r="S544" s="270" t="s">
        <v>32</v>
      </c>
      <c r="U544" s="471"/>
      <c r="V544" s="471">
        <v>1</v>
      </c>
      <c r="W544" s="471" t="s">
        <v>1144</v>
      </c>
      <c r="X544" s="471">
        <v>0</v>
      </c>
    </row>
    <row r="545" spans="1:26">
      <c r="A545" s="406">
        <v>542</v>
      </c>
      <c r="B545" s="613" t="s">
        <v>3146</v>
      </c>
      <c r="C545" s="288" t="s">
        <v>1145</v>
      </c>
      <c r="D545" s="414" t="s">
        <v>3868</v>
      </c>
      <c r="E545" s="407" t="s">
        <v>8410</v>
      </c>
      <c r="F545" s="483"/>
      <c r="G545" s="483"/>
      <c r="H545" s="483"/>
      <c r="I545" s="483"/>
      <c r="J545" s="483"/>
      <c r="K545" s="483"/>
      <c r="L545" s="608" t="s">
        <v>4884</v>
      </c>
      <c r="M545" s="409">
        <v>11041.122047244095</v>
      </c>
      <c r="N545" s="409">
        <v>11041.122047244095</v>
      </c>
      <c r="O545" s="410" t="s">
        <v>7568</v>
      </c>
      <c r="P545" s="406">
        <v>542</v>
      </c>
      <c r="Q545" s="470" t="s">
        <v>1145</v>
      </c>
      <c r="R545" s="460" t="s">
        <v>1146</v>
      </c>
      <c r="S545" s="270" t="s">
        <v>32</v>
      </c>
      <c r="U545" s="471"/>
      <c r="V545" s="471">
        <v>1</v>
      </c>
      <c r="W545" s="471" t="s">
        <v>1146</v>
      </c>
      <c r="X545" s="471">
        <v>0</v>
      </c>
    </row>
    <row r="546" spans="1:26">
      <c r="A546" s="406">
        <v>543</v>
      </c>
      <c r="B546" s="613" t="s">
        <v>7020</v>
      </c>
      <c r="C546" s="288" t="s">
        <v>1147</v>
      </c>
      <c r="D546" s="414" t="s">
        <v>4884</v>
      </c>
      <c r="E546" s="407"/>
      <c r="F546" s="483"/>
      <c r="G546" s="483"/>
      <c r="H546" s="483"/>
      <c r="I546" s="483"/>
      <c r="J546" s="483"/>
      <c r="K546" s="483"/>
      <c r="L546" s="608" t="s">
        <v>4884</v>
      </c>
      <c r="M546" s="409" t="s">
        <v>4884</v>
      </c>
      <c r="N546" s="409" t="s">
        <v>4884</v>
      </c>
      <c r="O546" s="410" t="s">
        <v>4884</v>
      </c>
      <c r="P546" s="406">
        <v>543</v>
      </c>
      <c r="Q546" s="470" t="s">
        <v>1147</v>
      </c>
      <c r="R546" s="460" t="s">
        <v>1148</v>
      </c>
      <c r="S546" s="270" t="s">
        <v>7</v>
      </c>
      <c r="U546" s="471"/>
      <c r="V546" s="471"/>
      <c r="W546" s="471" t="s">
        <v>1148</v>
      </c>
      <c r="X546" s="471">
        <v>0</v>
      </c>
    </row>
    <row r="547" spans="1:26">
      <c r="A547" s="406">
        <v>544</v>
      </c>
      <c r="B547" s="613" t="s">
        <v>7020</v>
      </c>
      <c r="C547" s="288" t="s">
        <v>1149</v>
      </c>
      <c r="D547" s="414" t="s">
        <v>4884</v>
      </c>
      <c r="E547" s="407"/>
      <c r="F547" s="483"/>
      <c r="G547" s="483"/>
      <c r="H547" s="483"/>
      <c r="I547" s="483"/>
      <c r="J547" s="483"/>
      <c r="K547" s="483"/>
      <c r="L547" s="608" t="s">
        <v>4884</v>
      </c>
      <c r="M547" s="409" t="s">
        <v>4884</v>
      </c>
      <c r="N547" s="409" t="s">
        <v>4884</v>
      </c>
      <c r="O547" s="410" t="s">
        <v>4884</v>
      </c>
      <c r="P547" s="406">
        <v>544</v>
      </c>
      <c r="Q547" s="470" t="s">
        <v>1149</v>
      </c>
      <c r="R547" s="460" t="s">
        <v>1150</v>
      </c>
      <c r="S547" s="270" t="s">
        <v>7</v>
      </c>
      <c r="U547" s="471"/>
      <c r="V547" s="471"/>
      <c r="W547" s="471" t="s">
        <v>1150</v>
      </c>
      <c r="X547" s="471">
        <v>0</v>
      </c>
    </row>
    <row r="548" spans="1:26">
      <c r="A548" s="406">
        <v>545</v>
      </c>
      <c r="B548" s="613" t="s">
        <v>2739</v>
      </c>
      <c r="C548" s="288" t="s">
        <v>1151</v>
      </c>
      <c r="D548" s="414" t="s">
        <v>3709</v>
      </c>
      <c r="E548" s="407" t="s">
        <v>8389</v>
      </c>
      <c r="F548" s="483" t="s">
        <v>2738</v>
      </c>
      <c r="G548" s="411" t="s">
        <v>2740</v>
      </c>
      <c r="H548" s="411"/>
      <c r="I548" s="411"/>
      <c r="J548" s="411"/>
      <c r="K548" s="411"/>
      <c r="L548" s="608">
        <v>7190.6299212598424</v>
      </c>
      <c r="M548" s="409">
        <v>9148.1220472440946</v>
      </c>
      <c r="N548" s="409">
        <v>16338.751968503937</v>
      </c>
      <c r="O548" s="410" t="s">
        <v>7773</v>
      </c>
      <c r="P548" s="406">
        <v>545</v>
      </c>
      <c r="Q548" s="470" t="s">
        <v>1151</v>
      </c>
      <c r="R548" s="460" t="s">
        <v>1152</v>
      </c>
      <c r="S548" s="270" t="s">
        <v>7</v>
      </c>
      <c r="U548" s="471"/>
      <c r="V548" s="471"/>
      <c r="W548" s="471" t="s">
        <v>1152</v>
      </c>
      <c r="X548" s="471">
        <v>1</v>
      </c>
      <c r="Z548" s="270" t="s">
        <v>1153</v>
      </c>
    </row>
    <row r="549" spans="1:26">
      <c r="A549" s="406">
        <v>546</v>
      </c>
      <c r="B549" s="613" t="s">
        <v>2731</v>
      </c>
      <c r="C549" s="288" t="s">
        <v>1154</v>
      </c>
      <c r="D549" s="414" t="s">
        <v>3698</v>
      </c>
      <c r="E549" s="407" t="s">
        <v>8387</v>
      </c>
      <c r="F549" s="483" t="s">
        <v>2730</v>
      </c>
      <c r="G549" s="411" t="s">
        <v>2732</v>
      </c>
      <c r="H549" s="411"/>
      <c r="I549" s="411"/>
      <c r="J549" s="411"/>
      <c r="K549" s="411"/>
      <c r="L549" s="608">
        <v>6311.2244094488196</v>
      </c>
      <c r="M549" s="409">
        <v>11498.118110236222</v>
      </c>
      <c r="N549" s="409">
        <v>17809.34251968504</v>
      </c>
      <c r="O549" s="410" t="s">
        <v>7791</v>
      </c>
      <c r="P549" s="406">
        <v>546</v>
      </c>
      <c r="Q549" s="470" t="s">
        <v>1154</v>
      </c>
      <c r="R549" s="460" t="s">
        <v>1155</v>
      </c>
      <c r="S549" s="270" t="s">
        <v>7</v>
      </c>
      <c r="U549" s="471"/>
      <c r="V549" s="471"/>
      <c r="W549" s="471" t="s">
        <v>1155</v>
      </c>
      <c r="X549" s="471">
        <v>1</v>
      </c>
      <c r="Z549" s="270" t="s">
        <v>1156</v>
      </c>
    </row>
    <row r="550" spans="1:26">
      <c r="A550" s="406">
        <v>547</v>
      </c>
      <c r="B550" s="613" t="s">
        <v>6643</v>
      </c>
      <c r="C550" s="288" t="s">
        <v>1157</v>
      </c>
      <c r="D550" s="414" t="s">
        <v>3660</v>
      </c>
      <c r="E550" s="407" t="s">
        <v>8055</v>
      </c>
      <c r="F550" s="483" t="s">
        <v>2746</v>
      </c>
      <c r="G550" s="411" t="s">
        <v>2712</v>
      </c>
      <c r="H550" s="411"/>
      <c r="I550" s="411"/>
      <c r="J550" s="411"/>
      <c r="K550" s="411"/>
      <c r="L550" s="608">
        <v>3550.4606299212601</v>
      </c>
      <c r="M550" s="409">
        <v>9815.3149606299212</v>
      </c>
      <c r="N550" s="409">
        <v>16709.881889763779</v>
      </c>
      <c r="O550" s="410" t="s">
        <v>7842</v>
      </c>
      <c r="P550" s="406">
        <v>547</v>
      </c>
      <c r="Q550" s="470" t="s">
        <v>1157</v>
      </c>
      <c r="R550" s="460" t="s">
        <v>1158</v>
      </c>
      <c r="S550" s="270" t="s">
        <v>7</v>
      </c>
      <c r="U550" s="471"/>
      <c r="V550" s="471"/>
      <c r="W550" s="471" t="s">
        <v>1158</v>
      </c>
      <c r="X550" s="471">
        <v>1</v>
      </c>
      <c r="Z550" s="270" t="s">
        <v>1159</v>
      </c>
    </row>
    <row r="551" spans="1:26">
      <c r="A551" s="406">
        <v>548</v>
      </c>
      <c r="B551" s="613" t="s">
        <v>7020</v>
      </c>
      <c r="C551" s="288" t="s">
        <v>1160</v>
      </c>
      <c r="D551" s="414" t="s">
        <v>4884</v>
      </c>
      <c r="E551" s="407"/>
      <c r="F551" s="483"/>
      <c r="G551" s="483"/>
      <c r="H551" s="483"/>
      <c r="I551" s="483"/>
      <c r="J551" s="483"/>
      <c r="K551" s="483"/>
      <c r="L551" s="608" t="s">
        <v>4884</v>
      </c>
      <c r="M551" s="409" t="s">
        <v>4884</v>
      </c>
      <c r="N551" s="409" t="s">
        <v>4884</v>
      </c>
      <c r="O551" s="410" t="s">
        <v>4884</v>
      </c>
      <c r="P551" s="406">
        <v>548</v>
      </c>
      <c r="Q551" s="480" t="s">
        <v>1160</v>
      </c>
      <c r="R551" s="481" t="s">
        <v>1161</v>
      </c>
      <c r="S551" s="465" t="s">
        <v>32</v>
      </c>
      <c r="T551" s="482"/>
      <c r="U551" s="464"/>
      <c r="V551" s="464">
        <v>0</v>
      </c>
      <c r="W551" s="478"/>
      <c r="X551" s="464"/>
      <c r="Y551" s="465"/>
      <c r="Z551" s="465"/>
    </row>
    <row r="552" spans="1:26">
      <c r="A552" s="406">
        <v>549</v>
      </c>
      <c r="B552" s="613" t="s">
        <v>3147</v>
      </c>
      <c r="C552" s="288" t="s">
        <v>1162</v>
      </c>
      <c r="D552" s="414" t="s">
        <v>3861</v>
      </c>
      <c r="E552" s="407" t="s">
        <v>8411</v>
      </c>
      <c r="F552" s="483"/>
      <c r="G552" s="483"/>
      <c r="H552" s="483"/>
      <c r="I552" s="483"/>
      <c r="J552" s="483"/>
      <c r="K552" s="483"/>
      <c r="L552" s="608" t="s">
        <v>4884</v>
      </c>
      <c r="M552" s="409">
        <v>20825.77165354331</v>
      </c>
      <c r="N552" s="409">
        <v>20825.77165354331</v>
      </c>
      <c r="O552" s="410" t="s">
        <v>7574</v>
      </c>
      <c r="P552" s="406">
        <v>549</v>
      </c>
      <c r="Q552" s="470" t="s">
        <v>1162</v>
      </c>
      <c r="R552" s="460" t="s">
        <v>1163</v>
      </c>
      <c r="S552" s="270" t="s">
        <v>32</v>
      </c>
      <c r="U552" s="471"/>
      <c r="V552" s="471">
        <v>1</v>
      </c>
      <c r="W552" s="471" t="s">
        <v>1163</v>
      </c>
      <c r="X552" s="471">
        <v>0</v>
      </c>
    </row>
    <row r="553" spans="1:26">
      <c r="A553" s="406">
        <v>550</v>
      </c>
      <c r="B553" s="613" t="s">
        <v>3148</v>
      </c>
      <c r="C553" s="288" t="s">
        <v>1164</v>
      </c>
      <c r="D553" s="414" t="s">
        <v>3864</v>
      </c>
      <c r="E553" s="407" t="s">
        <v>8412</v>
      </c>
      <c r="F553" s="483"/>
      <c r="G553" s="483"/>
      <c r="H553" s="483"/>
      <c r="I553" s="483"/>
      <c r="J553" s="483"/>
      <c r="K553" s="483"/>
      <c r="L553" s="608" t="s">
        <v>4884</v>
      </c>
      <c r="M553" s="409">
        <v>20825.700787401576</v>
      </c>
      <c r="N553" s="409">
        <v>20825.700787401576</v>
      </c>
      <c r="O553" s="410" t="s">
        <v>7574</v>
      </c>
      <c r="P553" s="406">
        <v>550</v>
      </c>
      <c r="Q553" s="470" t="s">
        <v>1164</v>
      </c>
      <c r="R553" s="460" t="s">
        <v>1165</v>
      </c>
      <c r="S553" s="270" t="s">
        <v>32</v>
      </c>
      <c r="U553" s="471"/>
      <c r="V553" s="471">
        <v>1</v>
      </c>
      <c r="W553" s="471" t="s">
        <v>1165</v>
      </c>
      <c r="X553" s="471">
        <v>0</v>
      </c>
    </row>
    <row r="554" spans="1:26">
      <c r="A554" s="406">
        <v>551</v>
      </c>
      <c r="B554" s="613" t="s">
        <v>2556</v>
      </c>
      <c r="C554" s="288" t="s">
        <v>1166</v>
      </c>
      <c r="D554" s="414" t="s">
        <v>3867</v>
      </c>
      <c r="E554" s="407" t="s">
        <v>8033</v>
      </c>
      <c r="F554" s="483" t="s">
        <v>2614</v>
      </c>
      <c r="G554" s="411" t="s">
        <v>2557</v>
      </c>
      <c r="H554" s="411"/>
      <c r="I554" s="411"/>
      <c r="J554" s="411"/>
      <c r="K554" s="411"/>
      <c r="L554" s="608">
        <v>12951.562992125984</v>
      </c>
      <c r="M554" s="409">
        <v>7872.0590551181103</v>
      </c>
      <c r="N554" s="409">
        <v>20823.622047244095</v>
      </c>
      <c r="O554" s="410" t="s">
        <v>7823</v>
      </c>
      <c r="P554" s="406">
        <v>551</v>
      </c>
      <c r="Q554" s="470" t="s">
        <v>1166</v>
      </c>
      <c r="R554" s="460" t="s">
        <v>1167</v>
      </c>
      <c r="S554" s="270" t="s">
        <v>32</v>
      </c>
      <c r="U554" s="471"/>
      <c r="V554" s="471">
        <v>0</v>
      </c>
      <c r="W554" s="471" t="s">
        <v>1167</v>
      </c>
      <c r="X554" s="471">
        <v>0</v>
      </c>
    </row>
    <row r="555" spans="1:26">
      <c r="A555" s="406">
        <v>552</v>
      </c>
      <c r="B555" s="613" t="s">
        <v>2562</v>
      </c>
      <c r="C555" s="288" t="s">
        <v>1168</v>
      </c>
      <c r="D555" s="414" t="s">
        <v>3882</v>
      </c>
      <c r="E555" s="407" t="s">
        <v>8034</v>
      </c>
      <c r="F555" s="483" t="s">
        <v>2616</v>
      </c>
      <c r="G555" s="411" t="s">
        <v>2563</v>
      </c>
      <c r="H555" s="411"/>
      <c r="I555" s="411"/>
      <c r="J555" s="411"/>
      <c r="K555" s="411"/>
      <c r="L555" s="608">
        <v>12954.767716535434</v>
      </c>
      <c r="M555" s="409">
        <v>7872.7362204724413</v>
      </c>
      <c r="N555" s="409">
        <v>20827.503937007874</v>
      </c>
      <c r="O555" s="410" t="s">
        <v>7811</v>
      </c>
      <c r="P555" s="406">
        <v>552</v>
      </c>
      <c r="Q555" s="470" t="s">
        <v>1168</v>
      </c>
      <c r="R555" s="460" t="s">
        <v>1169</v>
      </c>
      <c r="S555" s="270" t="s">
        <v>32</v>
      </c>
      <c r="U555" s="471"/>
      <c r="V555" s="471">
        <v>0</v>
      </c>
      <c r="W555" s="471" t="s">
        <v>1169</v>
      </c>
      <c r="X555" s="471">
        <v>0</v>
      </c>
    </row>
    <row r="556" spans="1:26">
      <c r="A556" s="406">
        <v>553</v>
      </c>
      <c r="B556" s="613" t="s">
        <v>2568</v>
      </c>
      <c r="C556" s="288" t="s">
        <v>1170</v>
      </c>
      <c r="D556" s="414" t="s">
        <v>3872</v>
      </c>
      <c r="E556" s="407" t="s">
        <v>8035</v>
      </c>
      <c r="F556" s="483" t="s">
        <v>2618</v>
      </c>
      <c r="G556" s="411" t="s">
        <v>2569</v>
      </c>
      <c r="H556" s="411"/>
      <c r="I556" s="411"/>
      <c r="J556" s="411"/>
      <c r="K556" s="411"/>
      <c r="L556" s="608">
        <v>13345.811023622049</v>
      </c>
      <c r="M556" s="409">
        <v>7479.0905511811025</v>
      </c>
      <c r="N556" s="409">
        <v>20824.901574803149</v>
      </c>
      <c r="O556" s="410" t="s">
        <v>7768</v>
      </c>
      <c r="P556" s="406">
        <v>553</v>
      </c>
      <c r="Q556" s="470" t="s">
        <v>1170</v>
      </c>
      <c r="R556" s="460" t="s">
        <v>1171</v>
      </c>
      <c r="S556" s="270" t="s">
        <v>32</v>
      </c>
      <c r="U556" s="471"/>
      <c r="V556" s="471">
        <v>0</v>
      </c>
      <c r="W556" s="471" t="s">
        <v>1171</v>
      </c>
      <c r="X556" s="471">
        <v>0</v>
      </c>
    </row>
    <row r="557" spans="1:26">
      <c r="A557" s="406">
        <v>554</v>
      </c>
      <c r="B557" s="613" t="s">
        <v>2574</v>
      </c>
      <c r="C557" s="288" t="s">
        <v>1172</v>
      </c>
      <c r="D557" s="414" t="s">
        <v>3879</v>
      </c>
      <c r="E557" s="407" t="s">
        <v>8036</v>
      </c>
      <c r="F557" s="483" t="s">
        <v>2620</v>
      </c>
      <c r="G557" s="411" t="s">
        <v>2575</v>
      </c>
      <c r="H557" s="411"/>
      <c r="I557" s="411"/>
      <c r="J557" s="411"/>
      <c r="K557" s="411"/>
      <c r="L557" s="608">
        <v>13345.484251968504</v>
      </c>
      <c r="M557" s="409">
        <v>7479.0866141732286</v>
      </c>
      <c r="N557" s="409">
        <v>20824.57086614173</v>
      </c>
      <c r="O557" s="410" t="s">
        <v>7778</v>
      </c>
      <c r="P557" s="406">
        <v>554</v>
      </c>
      <c r="Q557" s="470" t="s">
        <v>1172</v>
      </c>
      <c r="R557" s="460" t="s">
        <v>1173</v>
      </c>
      <c r="S557" s="270" t="s">
        <v>32</v>
      </c>
      <c r="U557" s="471"/>
      <c r="V557" s="471">
        <v>0</v>
      </c>
      <c r="W557" s="471" t="s">
        <v>1173</v>
      </c>
      <c r="X557" s="471">
        <v>0</v>
      </c>
    </row>
    <row r="558" spans="1:26">
      <c r="A558" s="406">
        <v>555</v>
      </c>
      <c r="B558" s="613" t="s">
        <v>2553</v>
      </c>
      <c r="C558" s="288" t="s">
        <v>1174</v>
      </c>
      <c r="D558" s="414" t="s">
        <v>3865</v>
      </c>
      <c r="E558" s="407" t="s">
        <v>8037</v>
      </c>
      <c r="F558" s="483" t="s">
        <v>2613</v>
      </c>
      <c r="G558" s="411" t="s">
        <v>2554</v>
      </c>
      <c r="H558" s="411"/>
      <c r="I558" s="411"/>
      <c r="J558" s="411"/>
      <c r="K558" s="411"/>
      <c r="L558" s="608">
        <v>12952.716535433072</v>
      </c>
      <c r="M558" s="409">
        <v>7873.818897637796</v>
      </c>
      <c r="N558" s="409">
        <v>20826.535433070869</v>
      </c>
      <c r="O558" s="410" t="s">
        <v>7823</v>
      </c>
      <c r="P558" s="406">
        <v>555</v>
      </c>
      <c r="Q558" s="470" t="s">
        <v>1174</v>
      </c>
      <c r="R558" s="460" t="s">
        <v>1175</v>
      </c>
      <c r="S558" s="270" t="s">
        <v>32</v>
      </c>
      <c r="U558" s="471"/>
      <c r="V558" s="471">
        <v>0</v>
      </c>
      <c r="W558" s="471" t="s">
        <v>1175</v>
      </c>
      <c r="X558" s="471">
        <v>0</v>
      </c>
    </row>
    <row r="559" spans="1:26">
      <c r="A559" s="406">
        <v>556</v>
      </c>
      <c r="B559" s="613" t="s">
        <v>2559</v>
      </c>
      <c r="C559" s="288" t="s">
        <v>1176</v>
      </c>
      <c r="D559" s="414" t="s">
        <v>3884</v>
      </c>
      <c r="E559" s="407" t="s">
        <v>8038</v>
      </c>
      <c r="F559" s="483" t="s">
        <v>2615</v>
      </c>
      <c r="G559" s="411" t="s">
        <v>2560</v>
      </c>
      <c r="H559" s="411"/>
      <c r="I559" s="411"/>
      <c r="J559" s="411"/>
      <c r="K559" s="411"/>
      <c r="L559" s="608">
        <v>12951.992125984252</v>
      </c>
      <c r="M559" s="409">
        <v>7873.2007874015753</v>
      </c>
      <c r="N559" s="409">
        <v>20825.192913385825</v>
      </c>
      <c r="O559" s="410" t="s">
        <v>7811</v>
      </c>
      <c r="P559" s="406">
        <v>556</v>
      </c>
      <c r="Q559" s="470" t="s">
        <v>1176</v>
      </c>
      <c r="R559" s="460" t="s">
        <v>1177</v>
      </c>
      <c r="S559" s="270" t="s">
        <v>32</v>
      </c>
      <c r="U559" s="471"/>
      <c r="V559" s="471">
        <v>0</v>
      </c>
      <c r="W559" s="471" t="s">
        <v>1177</v>
      </c>
      <c r="X559" s="471">
        <v>0</v>
      </c>
    </row>
    <row r="560" spans="1:26">
      <c r="A560" s="406">
        <v>557</v>
      </c>
      <c r="B560" s="613" t="s">
        <v>2532</v>
      </c>
      <c r="C560" s="288" t="s">
        <v>1178</v>
      </c>
      <c r="D560" s="414" t="s">
        <v>3875</v>
      </c>
      <c r="E560" s="407" t="s">
        <v>8023</v>
      </c>
      <c r="F560" s="483" t="s">
        <v>2607</v>
      </c>
      <c r="G560" s="411" t="s">
        <v>2533</v>
      </c>
      <c r="H560" s="411"/>
      <c r="I560" s="411"/>
      <c r="J560" s="411"/>
      <c r="K560" s="411"/>
      <c r="L560" s="608">
        <v>12952.200787401576</v>
      </c>
      <c r="M560" s="409">
        <v>7872.8897637795271</v>
      </c>
      <c r="N560" s="409">
        <v>20825.090551181103</v>
      </c>
      <c r="O560" s="410" t="s">
        <v>7769</v>
      </c>
      <c r="P560" s="406">
        <v>557</v>
      </c>
      <c r="Q560" s="470" t="s">
        <v>1178</v>
      </c>
      <c r="R560" s="460" t="s">
        <v>1179</v>
      </c>
      <c r="S560" s="270" t="s">
        <v>32</v>
      </c>
      <c r="U560" s="471"/>
      <c r="V560" s="471">
        <v>0</v>
      </c>
      <c r="W560" s="471" t="s">
        <v>1179</v>
      </c>
      <c r="X560" s="471">
        <v>0</v>
      </c>
    </row>
    <row r="561" spans="1:26">
      <c r="A561" s="406">
        <v>558</v>
      </c>
      <c r="B561" s="613" t="s">
        <v>2538</v>
      </c>
      <c r="C561" s="288" t="s">
        <v>1180</v>
      </c>
      <c r="D561" s="414" t="s">
        <v>3885</v>
      </c>
      <c r="E561" s="407" t="s">
        <v>8024</v>
      </c>
      <c r="F561" s="483" t="s">
        <v>6636</v>
      </c>
      <c r="G561" s="483" t="s">
        <v>6640</v>
      </c>
      <c r="H561" s="411" t="s">
        <v>2539</v>
      </c>
      <c r="I561" s="411"/>
      <c r="J561" s="411"/>
      <c r="K561" s="411"/>
      <c r="L561" s="608">
        <v>8423.4488188976375</v>
      </c>
      <c r="M561" s="409">
        <v>1180.0433070866143</v>
      </c>
      <c r="N561" s="409">
        <v>20823.456692913387</v>
      </c>
      <c r="O561" s="410" t="s">
        <v>7843</v>
      </c>
      <c r="P561" s="406">
        <v>558</v>
      </c>
      <c r="Q561" s="470" t="s">
        <v>1180</v>
      </c>
      <c r="R561" s="460" t="s">
        <v>1181</v>
      </c>
      <c r="S561" s="270" t="s">
        <v>32</v>
      </c>
      <c r="U561" s="471"/>
      <c r="V561" s="471">
        <v>0</v>
      </c>
      <c r="W561" s="471" t="s">
        <v>1181</v>
      </c>
      <c r="X561" s="471">
        <v>0</v>
      </c>
    </row>
    <row r="562" spans="1:26">
      <c r="A562" s="406">
        <v>559</v>
      </c>
      <c r="B562" s="613" t="s">
        <v>2544</v>
      </c>
      <c r="C562" s="288" t="s">
        <v>1182</v>
      </c>
      <c r="D562" s="414" t="s">
        <v>3912</v>
      </c>
      <c r="E562" s="407" t="s">
        <v>8025</v>
      </c>
      <c r="F562" s="483" t="s">
        <v>2610</v>
      </c>
      <c r="G562" s="411" t="s">
        <v>2545</v>
      </c>
      <c r="H562" s="411"/>
      <c r="I562" s="411"/>
      <c r="J562" s="411"/>
      <c r="K562" s="411"/>
      <c r="L562" s="608">
        <v>11337.917322834644</v>
      </c>
      <c r="M562" s="409">
        <v>9487.2007874015744</v>
      </c>
      <c r="N562" s="409">
        <v>20825.118110236221</v>
      </c>
      <c r="O562" s="410" t="s">
        <v>7768</v>
      </c>
      <c r="P562" s="406">
        <v>559</v>
      </c>
      <c r="Q562" s="470" t="s">
        <v>1182</v>
      </c>
      <c r="R562" s="460" t="s">
        <v>1183</v>
      </c>
      <c r="S562" s="270" t="s">
        <v>32</v>
      </c>
      <c r="U562" s="471"/>
      <c r="V562" s="471">
        <v>0</v>
      </c>
      <c r="W562" s="471" t="s">
        <v>1183</v>
      </c>
      <c r="X562" s="471">
        <v>0</v>
      </c>
    </row>
    <row r="563" spans="1:26">
      <c r="A563" s="406">
        <v>560</v>
      </c>
      <c r="B563" s="613" t="s">
        <v>2550</v>
      </c>
      <c r="C563" s="288" t="s">
        <v>1184</v>
      </c>
      <c r="D563" s="414" t="s">
        <v>3878</v>
      </c>
      <c r="E563" s="407" t="s">
        <v>8026</v>
      </c>
      <c r="F563" s="483" t="s">
        <v>2612</v>
      </c>
      <c r="G563" s="411" t="s">
        <v>2551</v>
      </c>
      <c r="H563" s="411"/>
      <c r="I563" s="411"/>
      <c r="J563" s="411"/>
      <c r="K563" s="411"/>
      <c r="L563" s="608">
        <v>11219.28346456693</v>
      </c>
      <c r="M563" s="409">
        <v>9605.7322834645674</v>
      </c>
      <c r="N563" s="409">
        <v>20825.015748031499</v>
      </c>
      <c r="O563" s="410" t="s">
        <v>7786</v>
      </c>
      <c r="P563" s="406">
        <v>560</v>
      </c>
      <c r="Q563" s="470" t="s">
        <v>1184</v>
      </c>
      <c r="R563" s="460" t="s">
        <v>1185</v>
      </c>
      <c r="S563" s="270" t="s">
        <v>32</v>
      </c>
      <c r="U563" s="471"/>
      <c r="V563" s="471">
        <v>0</v>
      </c>
      <c r="W563" s="471" t="s">
        <v>1185</v>
      </c>
      <c r="X563" s="471">
        <v>0</v>
      </c>
    </row>
    <row r="564" spans="1:26">
      <c r="A564" s="406">
        <v>561</v>
      </c>
      <c r="B564" s="613" t="s">
        <v>2529</v>
      </c>
      <c r="C564" s="288" t="s">
        <v>1186</v>
      </c>
      <c r="D564" s="414" t="s">
        <v>3877</v>
      </c>
      <c r="E564" s="407" t="s">
        <v>8027</v>
      </c>
      <c r="F564" s="483" t="s">
        <v>2606</v>
      </c>
      <c r="G564" s="411" t="s">
        <v>2530</v>
      </c>
      <c r="H564" s="411"/>
      <c r="I564" s="411"/>
      <c r="J564" s="411"/>
      <c r="K564" s="411"/>
      <c r="L564" s="608">
        <v>12952.259842519685</v>
      </c>
      <c r="M564" s="409">
        <v>7873.177165354331</v>
      </c>
      <c r="N564" s="409">
        <v>20825.437007874018</v>
      </c>
      <c r="O564" s="410" t="s">
        <v>7769</v>
      </c>
      <c r="P564" s="406">
        <v>561</v>
      </c>
      <c r="Q564" s="470" t="s">
        <v>1186</v>
      </c>
      <c r="R564" s="460" t="s">
        <v>1187</v>
      </c>
      <c r="S564" s="270" t="s">
        <v>32</v>
      </c>
      <c r="U564" s="471"/>
      <c r="V564" s="471">
        <v>0</v>
      </c>
      <c r="W564" s="471" t="s">
        <v>1187</v>
      </c>
      <c r="X564" s="471">
        <v>0</v>
      </c>
    </row>
    <row r="565" spans="1:26">
      <c r="A565" s="406">
        <v>562</v>
      </c>
      <c r="B565" s="613" t="s">
        <v>2535</v>
      </c>
      <c r="C565" s="288" t="s">
        <v>1188</v>
      </c>
      <c r="D565" s="414" t="s">
        <v>3883</v>
      </c>
      <c r="E565" s="407" t="s">
        <v>8028</v>
      </c>
      <c r="F565" s="483" t="s">
        <v>2608</v>
      </c>
      <c r="G565" s="411" t="s">
        <v>2536</v>
      </c>
      <c r="H565" s="411"/>
      <c r="I565" s="411"/>
      <c r="J565" s="411"/>
      <c r="K565" s="411"/>
      <c r="L565" s="608">
        <v>11218.956692913387</v>
      </c>
      <c r="M565" s="409">
        <v>9605.4448818897636</v>
      </c>
      <c r="N565" s="409">
        <v>20824.401574803149</v>
      </c>
      <c r="O565" s="410" t="s">
        <v>7761</v>
      </c>
      <c r="P565" s="406">
        <v>562</v>
      </c>
      <c r="Q565" s="470" t="s">
        <v>1188</v>
      </c>
      <c r="R565" s="460" t="s">
        <v>1189</v>
      </c>
      <c r="S565" s="270" t="s">
        <v>32</v>
      </c>
      <c r="U565" s="471"/>
      <c r="V565" s="471">
        <v>0</v>
      </c>
      <c r="W565" s="471" t="s">
        <v>1189</v>
      </c>
      <c r="X565" s="471">
        <v>0</v>
      </c>
    </row>
    <row r="566" spans="1:26">
      <c r="A566" s="406">
        <v>563</v>
      </c>
      <c r="B566" s="613" t="s">
        <v>2541</v>
      </c>
      <c r="C566" s="288" t="s">
        <v>1190</v>
      </c>
      <c r="D566" s="414" t="s">
        <v>3914</v>
      </c>
      <c r="E566" s="407" t="s">
        <v>8029</v>
      </c>
      <c r="F566" s="483" t="s">
        <v>2609</v>
      </c>
      <c r="G566" s="411" t="s">
        <v>2542</v>
      </c>
      <c r="H566" s="411"/>
      <c r="I566" s="411"/>
      <c r="J566" s="411"/>
      <c r="K566" s="411"/>
      <c r="L566" s="608">
        <v>11337.720472440944</v>
      </c>
      <c r="M566" s="409">
        <v>9487.6692913385832</v>
      </c>
      <c r="N566" s="409">
        <v>20825.389763779527</v>
      </c>
      <c r="O566" s="410" t="s">
        <v>7768</v>
      </c>
      <c r="P566" s="406">
        <v>563</v>
      </c>
      <c r="Q566" s="470" t="s">
        <v>1190</v>
      </c>
      <c r="R566" s="460" t="s">
        <v>1191</v>
      </c>
      <c r="S566" s="270" t="s">
        <v>32</v>
      </c>
      <c r="U566" s="471"/>
      <c r="V566" s="471">
        <v>0</v>
      </c>
      <c r="W566" s="471" t="s">
        <v>1191</v>
      </c>
      <c r="X566" s="471">
        <v>0</v>
      </c>
    </row>
    <row r="567" spans="1:26">
      <c r="A567" s="406">
        <v>564</v>
      </c>
      <c r="B567" s="613" t="s">
        <v>2547</v>
      </c>
      <c r="C567" s="288" t="s">
        <v>1192</v>
      </c>
      <c r="D567" s="414" t="s">
        <v>3880</v>
      </c>
      <c r="E567" s="407" t="s">
        <v>8030</v>
      </c>
      <c r="F567" s="483" t="s">
        <v>2611</v>
      </c>
      <c r="G567" s="411" t="s">
        <v>2548</v>
      </c>
      <c r="H567" s="411"/>
      <c r="I567" s="411"/>
      <c r="J567" s="411"/>
      <c r="K567" s="411"/>
      <c r="L567" s="608">
        <v>11219.901574803151</v>
      </c>
      <c r="M567" s="409">
        <v>9605.2874015748039</v>
      </c>
      <c r="N567" s="409">
        <v>20825.188976377951</v>
      </c>
      <c r="O567" s="410" t="s">
        <v>7786</v>
      </c>
      <c r="P567" s="406">
        <v>564</v>
      </c>
      <c r="Q567" s="470" t="s">
        <v>1192</v>
      </c>
      <c r="R567" s="460" t="s">
        <v>1193</v>
      </c>
      <c r="S567" s="270" t="s">
        <v>32</v>
      </c>
      <c r="U567" s="471"/>
      <c r="V567" s="471">
        <v>0</v>
      </c>
      <c r="W567" s="471" t="s">
        <v>1193</v>
      </c>
      <c r="X567" s="471">
        <v>0</v>
      </c>
    </row>
    <row r="568" spans="1:26">
      <c r="A568" s="406">
        <v>565</v>
      </c>
      <c r="B568" s="613" t="s">
        <v>7020</v>
      </c>
      <c r="C568" s="288" t="s">
        <v>1194</v>
      </c>
      <c r="D568" s="414" t="s">
        <v>4884</v>
      </c>
      <c r="E568" s="407"/>
      <c r="F568" s="483" t="s">
        <v>7531</v>
      </c>
      <c r="G568" s="483" t="s">
        <v>3161</v>
      </c>
      <c r="H568" s="411"/>
      <c r="I568" s="411"/>
      <c r="J568" s="411"/>
      <c r="K568" s="411"/>
      <c r="L568" s="608" t="s">
        <v>4884</v>
      </c>
      <c r="M568" s="409" t="s">
        <v>4884</v>
      </c>
      <c r="N568" s="409" t="s">
        <v>4884</v>
      </c>
      <c r="O568" s="410" t="s">
        <v>4884</v>
      </c>
      <c r="P568" s="406">
        <v>565</v>
      </c>
      <c r="Q568" s="470" t="s">
        <v>1194</v>
      </c>
      <c r="R568" s="460" t="s">
        <v>1195</v>
      </c>
      <c r="S568" s="270" t="s">
        <v>32</v>
      </c>
      <c r="U568" s="471">
        <v>0</v>
      </c>
      <c r="V568" s="471"/>
      <c r="W568" s="471" t="s">
        <v>1195</v>
      </c>
      <c r="X568" s="471">
        <v>0</v>
      </c>
    </row>
    <row r="569" spans="1:26">
      <c r="A569" s="406">
        <v>566</v>
      </c>
      <c r="B569" s="613" t="s">
        <v>2514</v>
      </c>
      <c r="C569" s="288" t="s">
        <v>1196</v>
      </c>
      <c r="D569" s="414" t="s">
        <v>3871</v>
      </c>
      <c r="E569" s="407" t="s">
        <v>8413</v>
      </c>
      <c r="F569" s="483"/>
      <c r="G569" s="483"/>
      <c r="H569" s="483"/>
      <c r="I569" s="483"/>
      <c r="J569" s="483"/>
      <c r="K569" s="483"/>
      <c r="L569" s="608" t="s">
        <v>4884</v>
      </c>
      <c r="M569" s="409">
        <v>20825.850393700788</v>
      </c>
      <c r="N569" s="409">
        <v>20825.850393700788</v>
      </c>
      <c r="O569" s="410" t="s">
        <v>7569</v>
      </c>
      <c r="P569" s="406">
        <v>566</v>
      </c>
      <c r="Q569" s="470" t="s">
        <v>1196</v>
      </c>
      <c r="R569" s="460" t="s">
        <v>1197</v>
      </c>
      <c r="S569" s="270" t="s">
        <v>32</v>
      </c>
      <c r="U569" s="471"/>
      <c r="V569" s="471">
        <v>1</v>
      </c>
      <c r="W569" s="471" t="s">
        <v>1197</v>
      </c>
      <c r="X569" s="471">
        <v>0</v>
      </c>
    </row>
    <row r="570" spans="1:26">
      <c r="A570" s="406">
        <v>567</v>
      </c>
      <c r="B570" s="613" t="s">
        <v>2565</v>
      </c>
      <c r="C570" s="288" t="s">
        <v>1198</v>
      </c>
      <c r="D570" s="414" t="s">
        <v>3870</v>
      </c>
      <c r="E570" s="407" t="s">
        <v>8039</v>
      </c>
      <c r="F570" s="483" t="s">
        <v>2617</v>
      </c>
      <c r="G570" s="411" t="s">
        <v>2566</v>
      </c>
      <c r="H570" s="411"/>
      <c r="I570" s="411"/>
      <c r="J570" s="411"/>
      <c r="K570" s="411"/>
      <c r="L570" s="608">
        <v>13345.153543307088</v>
      </c>
      <c r="M570" s="409">
        <v>7479.9251968503941</v>
      </c>
      <c r="N570" s="409">
        <v>20825.078740157482</v>
      </c>
      <c r="O570" s="410" t="s">
        <v>7768</v>
      </c>
      <c r="P570" s="406">
        <v>567</v>
      </c>
      <c r="Q570" s="470" t="s">
        <v>1198</v>
      </c>
      <c r="R570" s="460" t="s">
        <v>1199</v>
      </c>
      <c r="S570" s="270" t="s">
        <v>32</v>
      </c>
      <c r="U570" s="471"/>
      <c r="V570" s="466">
        <v>0</v>
      </c>
      <c r="W570" s="471" t="s">
        <v>1199</v>
      </c>
      <c r="X570" s="471">
        <v>0</v>
      </c>
      <c r="Z570" s="270" t="s">
        <v>1200</v>
      </c>
    </row>
    <row r="571" spans="1:26">
      <c r="A571" s="406">
        <v>568</v>
      </c>
      <c r="B571" s="613" t="s">
        <v>2515</v>
      </c>
      <c r="C571" s="288" t="s">
        <v>1201</v>
      </c>
      <c r="D571" s="414" t="s">
        <v>3869</v>
      </c>
      <c r="E571" s="407" t="s">
        <v>8414</v>
      </c>
      <c r="F571" s="483"/>
      <c r="G571" s="483"/>
      <c r="H571" s="483"/>
      <c r="I571" s="483"/>
      <c r="J571" s="483"/>
      <c r="K571" s="483"/>
      <c r="L571" s="608" t="s">
        <v>4884</v>
      </c>
      <c r="M571" s="409">
        <v>20825.988188976378</v>
      </c>
      <c r="N571" s="409">
        <v>20825.988188976378</v>
      </c>
      <c r="O571" s="410" t="s">
        <v>7569</v>
      </c>
      <c r="P571" s="406">
        <v>568</v>
      </c>
      <c r="Q571" s="470" t="s">
        <v>1201</v>
      </c>
      <c r="R571" s="460" t="s">
        <v>1202</v>
      </c>
      <c r="S571" s="270" t="s">
        <v>32</v>
      </c>
      <c r="U571" s="471"/>
      <c r="V571" s="464">
        <v>1</v>
      </c>
      <c r="W571" s="471" t="s">
        <v>1202</v>
      </c>
      <c r="X571" s="471">
        <v>0</v>
      </c>
    </row>
    <row r="572" spans="1:26">
      <c r="A572" s="406">
        <v>569</v>
      </c>
      <c r="B572" s="613" t="s">
        <v>2571</v>
      </c>
      <c r="C572" s="288" t="s">
        <v>1203</v>
      </c>
      <c r="D572" s="414" t="s">
        <v>3881</v>
      </c>
      <c r="E572" s="407" t="s">
        <v>8040</v>
      </c>
      <c r="F572" s="483" t="s">
        <v>2619</v>
      </c>
      <c r="G572" s="411" t="s">
        <v>2572</v>
      </c>
      <c r="H572" s="411"/>
      <c r="I572" s="411"/>
      <c r="J572" s="411"/>
      <c r="K572" s="411"/>
      <c r="L572" s="608">
        <v>13346.299212598426</v>
      </c>
      <c r="M572" s="409">
        <v>7478.8188976377951</v>
      </c>
      <c r="N572" s="409">
        <v>20825.118110236221</v>
      </c>
      <c r="O572" s="410" t="s">
        <v>7778</v>
      </c>
      <c r="P572" s="406">
        <v>569</v>
      </c>
      <c r="Q572" s="470" t="s">
        <v>1203</v>
      </c>
      <c r="R572" s="460" t="s">
        <v>1204</v>
      </c>
      <c r="S572" s="270" t="s">
        <v>32</v>
      </c>
      <c r="U572" s="471"/>
      <c r="V572" s="466">
        <v>0</v>
      </c>
      <c r="W572" s="471" t="s">
        <v>1204</v>
      </c>
      <c r="X572" s="471">
        <v>0</v>
      </c>
      <c r="Z572" s="270" t="s">
        <v>1205</v>
      </c>
    </row>
    <row r="573" spans="1:26">
      <c r="A573" s="406">
        <v>570</v>
      </c>
      <c r="B573" s="613" t="s">
        <v>2900</v>
      </c>
      <c r="C573" s="288" t="s">
        <v>1206</v>
      </c>
      <c r="D573" s="414" t="s">
        <v>3607</v>
      </c>
      <c r="E573" s="407" t="s">
        <v>8415</v>
      </c>
      <c r="F573" s="483"/>
      <c r="G573" s="483"/>
      <c r="H573" s="483"/>
      <c r="I573" s="483"/>
      <c r="J573" s="483"/>
      <c r="K573" s="483"/>
      <c r="L573" s="608" t="s">
        <v>4884</v>
      </c>
      <c r="M573" s="409">
        <v>20612.04724409449</v>
      </c>
      <c r="N573" s="409">
        <v>20612.04724409449</v>
      </c>
      <c r="O573" s="410" t="s">
        <v>7567</v>
      </c>
      <c r="P573" s="406">
        <v>570</v>
      </c>
      <c r="Q573" s="470" t="s">
        <v>1206</v>
      </c>
      <c r="R573" s="270" t="s">
        <v>1207</v>
      </c>
      <c r="S573" s="270" t="s">
        <v>7</v>
      </c>
      <c r="U573" s="471"/>
      <c r="V573" s="471"/>
      <c r="W573" s="471" t="s">
        <v>1207</v>
      </c>
      <c r="X573" s="471">
        <v>1</v>
      </c>
    </row>
    <row r="574" spans="1:26">
      <c r="A574" s="406">
        <v>571</v>
      </c>
      <c r="B574" s="613" t="s">
        <v>2901</v>
      </c>
      <c r="C574" s="288" t="s">
        <v>1208</v>
      </c>
      <c r="D574" s="414" t="s">
        <v>3501</v>
      </c>
      <c r="E574" s="407" t="s">
        <v>8416</v>
      </c>
      <c r="F574" s="483"/>
      <c r="G574" s="483"/>
      <c r="H574" s="483"/>
      <c r="I574" s="483"/>
      <c r="J574" s="483"/>
      <c r="K574" s="483"/>
      <c r="L574" s="608" t="s">
        <v>4884</v>
      </c>
      <c r="M574" s="409">
        <v>10970.992125984252</v>
      </c>
      <c r="N574" s="409">
        <v>10970.992125984252</v>
      </c>
      <c r="O574" s="410" t="s">
        <v>7576</v>
      </c>
      <c r="P574" s="406">
        <v>571</v>
      </c>
      <c r="Q574" s="470" t="s">
        <v>1208</v>
      </c>
      <c r="R574" s="270" t="s">
        <v>1209</v>
      </c>
      <c r="S574" s="270" t="s">
        <v>7</v>
      </c>
      <c r="U574" s="471"/>
      <c r="V574" s="471"/>
      <c r="W574" s="471" t="s">
        <v>1209</v>
      </c>
      <c r="X574" s="471">
        <v>1</v>
      </c>
    </row>
    <row r="575" spans="1:26">
      <c r="A575" s="406">
        <v>572</v>
      </c>
      <c r="B575" s="613" t="s">
        <v>2902</v>
      </c>
      <c r="C575" s="288" t="s">
        <v>1210</v>
      </c>
      <c r="D575" s="414" t="s">
        <v>3504</v>
      </c>
      <c r="E575" s="407" t="s">
        <v>8417</v>
      </c>
      <c r="F575" s="483"/>
      <c r="G575" s="483"/>
      <c r="H575" s="483"/>
      <c r="I575" s="483"/>
      <c r="J575" s="483"/>
      <c r="K575" s="483"/>
      <c r="L575" s="608" t="s">
        <v>4884</v>
      </c>
      <c r="M575" s="409">
        <v>9230.0393700787408</v>
      </c>
      <c r="N575" s="409">
        <v>9230.0393700787408</v>
      </c>
      <c r="O575" s="410" t="s">
        <v>7569</v>
      </c>
      <c r="P575" s="406">
        <v>572</v>
      </c>
      <c r="Q575" s="470" t="s">
        <v>1210</v>
      </c>
      <c r="R575" s="460" t="s">
        <v>1211</v>
      </c>
      <c r="S575" s="270" t="s">
        <v>7</v>
      </c>
      <c r="U575" s="471"/>
      <c r="V575" s="471"/>
      <c r="W575" s="471" t="s">
        <v>1211</v>
      </c>
      <c r="X575" s="471">
        <v>1</v>
      </c>
    </row>
    <row r="576" spans="1:26">
      <c r="A576" s="406">
        <v>573</v>
      </c>
      <c r="B576" s="613" t="s">
        <v>2903</v>
      </c>
      <c r="C576" s="288" t="s">
        <v>1212</v>
      </c>
      <c r="D576" s="414" t="s">
        <v>3535</v>
      </c>
      <c r="E576" s="407" t="s">
        <v>8418</v>
      </c>
      <c r="F576" s="483"/>
      <c r="G576" s="483"/>
      <c r="H576" s="483"/>
      <c r="I576" s="483"/>
      <c r="J576" s="483"/>
      <c r="K576" s="483"/>
      <c r="L576" s="608" t="s">
        <v>4884</v>
      </c>
      <c r="M576" s="409">
        <v>9796.9763779527566</v>
      </c>
      <c r="N576" s="409">
        <v>9796.9763779527566</v>
      </c>
      <c r="O576" s="410" t="s">
        <v>7569</v>
      </c>
      <c r="P576" s="406">
        <v>573</v>
      </c>
      <c r="Q576" s="470" t="s">
        <v>1212</v>
      </c>
      <c r="R576" s="460" t="s">
        <v>1213</v>
      </c>
      <c r="S576" s="270" t="s">
        <v>7</v>
      </c>
      <c r="U576" s="471"/>
      <c r="V576" s="471"/>
      <c r="W576" s="471" t="s">
        <v>1213</v>
      </c>
      <c r="X576" s="471">
        <v>1</v>
      </c>
      <c r="Y576" s="206"/>
      <c r="Z576" s="206"/>
    </row>
    <row r="577" spans="1:26">
      <c r="A577" s="406">
        <v>574</v>
      </c>
      <c r="B577" s="613" t="s">
        <v>2904</v>
      </c>
      <c r="C577" s="288" t="s">
        <v>1214</v>
      </c>
      <c r="D577" s="414" t="s">
        <v>3537</v>
      </c>
      <c r="E577" s="407" t="s">
        <v>8419</v>
      </c>
      <c r="F577" s="483"/>
      <c r="G577" s="483"/>
      <c r="H577" s="483"/>
      <c r="I577" s="483"/>
      <c r="J577" s="483"/>
      <c r="K577" s="483"/>
      <c r="L577" s="608" t="s">
        <v>4884</v>
      </c>
      <c r="M577" s="409">
        <v>9527.0551181102364</v>
      </c>
      <c r="N577" s="409">
        <v>9527.0551181102364</v>
      </c>
      <c r="O577" s="410" t="s">
        <v>7569</v>
      </c>
      <c r="P577" s="406">
        <v>574</v>
      </c>
      <c r="Q577" s="470" t="s">
        <v>1214</v>
      </c>
      <c r="R577" s="460" t="s">
        <v>1215</v>
      </c>
      <c r="S577" s="270" t="s">
        <v>7</v>
      </c>
      <c r="U577" s="471"/>
      <c r="V577" s="471"/>
      <c r="W577" s="471" t="s">
        <v>1215</v>
      </c>
      <c r="X577" s="471">
        <v>1</v>
      </c>
      <c r="Y577" s="206"/>
      <c r="Z577" s="206"/>
    </row>
    <row r="578" spans="1:26">
      <c r="A578" s="406">
        <v>575</v>
      </c>
      <c r="B578" s="613" t="s">
        <v>7020</v>
      </c>
      <c r="C578" s="288" t="s">
        <v>1216</v>
      </c>
      <c r="D578" s="414" t="s">
        <v>4884</v>
      </c>
      <c r="E578" s="407"/>
      <c r="F578" s="483" t="s">
        <v>3162</v>
      </c>
      <c r="G578" s="411"/>
      <c r="H578" s="411"/>
      <c r="I578" s="411"/>
      <c r="J578" s="411"/>
      <c r="K578" s="411"/>
      <c r="L578" s="608" t="s">
        <v>4884</v>
      </c>
      <c r="M578" s="409" t="s">
        <v>4884</v>
      </c>
      <c r="N578" s="409" t="s">
        <v>4884</v>
      </c>
      <c r="O578" s="410" t="s">
        <v>4884</v>
      </c>
      <c r="P578" s="406">
        <v>575</v>
      </c>
      <c r="Q578" s="470" t="s">
        <v>1216</v>
      </c>
      <c r="R578" s="474" t="s">
        <v>1217</v>
      </c>
      <c r="S578" s="270" t="s">
        <v>7</v>
      </c>
      <c r="U578" s="471"/>
      <c r="V578" s="471"/>
      <c r="W578" s="471" t="s">
        <v>1217</v>
      </c>
      <c r="X578" s="471">
        <v>0</v>
      </c>
      <c r="Y578" s="206"/>
      <c r="Z578" s="206"/>
    </row>
    <row r="579" spans="1:26">
      <c r="A579" s="406">
        <v>576</v>
      </c>
      <c r="B579" s="613" t="s">
        <v>2905</v>
      </c>
      <c r="C579" s="288" t="s">
        <v>1218</v>
      </c>
      <c r="D579" s="414" t="s">
        <v>3496</v>
      </c>
      <c r="E579" s="407" t="s">
        <v>8420</v>
      </c>
      <c r="F579" s="483"/>
      <c r="G579" s="483"/>
      <c r="H579" s="483"/>
      <c r="I579" s="483"/>
      <c r="J579" s="483"/>
      <c r="K579" s="483"/>
      <c r="L579" s="608" t="s">
        <v>4884</v>
      </c>
      <c r="M579" s="409">
        <v>19685.019685039373</v>
      </c>
      <c r="N579" s="409">
        <v>19685.019685039373</v>
      </c>
      <c r="O579" s="410" t="s">
        <v>7575</v>
      </c>
      <c r="P579" s="406">
        <v>576</v>
      </c>
      <c r="Q579" s="470" t="s">
        <v>1218</v>
      </c>
      <c r="R579" s="460" t="s">
        <v>1219</v>
      </c>
      <c r="S579" s="270" t="s">
        <v>7</v>
      </c>
      <c r="U579" s="471"/>
      <c r="V579" s="471"/>
      <c r="W579" s="471" t="s">
        <v>1219</v>
      </c>
      <c r="X579" s="471">
        <v>1</v>
      </c>
      <c r="Y579" s="206"/>
      <c r="Z579" s="206"/>
    </row>
    <row r="580" spans="1:26">
      <c r="A580" s="406">
        <v>577</v>
      </c>
      <c r="B580" s="613" t="s">
        <v>2906</v>
      </c>
      <c r="C580" s="288" t="s">
        <v>1220</v>
      </c>
      <c r="D580" s="414" t="s">
        <v>3661</v>
      </c>
      <c r="E580" s="407" t="s">
        <v>8421</v>
      </c>
      <c r="F580" s="483"/>
      <c r="G580" s="483"/>
      <c r="H580" s="483"/>
      <c r="I580" s="483"/>
      <c r="J580" s="483"/>
      <c r="K580" s="483"/>
      <c r="L580" s="608" t="s">
        <v>4884</v>
      </c>
      <c r="M580" s="409">
        <v>10090.003937007874</v>
      </c>
      <c r="N580" s="409">
        <v>10090.003937007874</v>
      </c>
      <c r="O580" s="410" t="s">
        <v>7572</v>
      </c>
      <c r="P580" s="406">
        <v>577</v>
      </c>
      <c r="Q580" s="470" t="s">
        <v>1220</v>
      </c>
      <c r="R580" s="460" t="s">
        <v>1221</v>
      </c>
      <c r="S580" s="270" t="s">
        <v>7</v>
      </c>
      <c r="U580" s="471"/>
      <c r="V580" s="471"/>
      <c r="W580" s="471" t="s">
        <v>1221</v>
      </c>
      <c r="X580" s="471">
        <v>1</v>
      </c>
      <c r="Y580" s="206"/>
      <c r="Z580" s="206"/>
    </row>
    <row r="581" spans="1:26">
      <c r="A581" s="406">
        <v>578</v>
      </c>
      <c r="B581" s="613" t="s">
        <v>2280</v>
      </c>
      <c r="C581" s="288" t="s">
        <v>1222</v>
      </c>
      <c r="D581" s="414" t="s">
        <v>3601</v>
      </c>
      <c r="E581" s="407" t="s">
        <v>8422</v>
      </c>
      <c r="F581" s="483" t="s">
        <v>2279</v>
      </c>
      <c r="G581" s="411" t="s">
        <v>2282</v>
      </c>
      <c r="H581" s="411" t="s">
        <v>2281</v>
      </c>
      <c r="I581" s="411"/>
      <c r="J581" s="411"/>
      <c r="K581" s="411"/>
      <c r="L581" s="608">
        <v>7558.751968503937</v>
      </c>
      <c r="M581" s="409">
        <v>4644.177165354331</v>
      </c>
      <c r="N581" s="409">
        <v>12202.92913385827</v>
      </c>
      <c r="O581" s="410" t="s">
        <v>7765</v>
      </c>
      <c r="P581" s="406">
        <v>578</v>
      </c>
      <c r="Q581" s="470" t="s">
        <v>1222</v>
      </c>
      <c r="R581" s="460" t="s">
        <v>1223</v>
      </c>
      <c r="S581" s="270" t="s">
        <v>7</v>
      </c>
      <c r="U581" s="471"/>
      <c r="V581" s="471"/>
      <c r="W581" s="471" t="s">
        <v>1223</v>
      </c>
      <c r="X581" s="471">
        <v>0</v>
      </c>
      <c r="Y581" s="206"/>
      <c r="Z581" s="206"/>
    </row>
    <row r="582" spans="1:26">
      <c r="A582" s="406">
        <v>579</v>
      </c>
      <c r="B582" s="613" t="s">
        <v>2284</v>
      </c>
      <c r="C582" s="288" t="s">
        <v>1224</v>
      </c>
      <c r="D582" s="414" t="s">
        <v>3599</v>
      </c>
      <c r="E582" s="407" t="s">
        <v>8423</v>
      </c>
      <c r="F582" s="483" t="s">
        <v>2283</v>
      </c>
      <c r="G582" s="411" t="s">
        <v>2286</v>
      </c>
      <c r="H582" s="411" t="s">
        <v>2285</v>
      </c>
      <c r="I582" s="411"/>
      <c r="J582" s="411"/>
      <c r="K582" s="411"/>
      <c r="L582" s="608">
        <v>7557.8307086614177</v>
      </c>
      <c r="M582" s="409">
        <v>4645.212598425197</v>
      </c>
      <c r="N582" s="409">
        <v>12203.043307086613</v>
      </c>
      <c r="O582" s="410" t="s">
        <v>7765</v>
      </c>
      <c r="P582" s="406">
        <v>579</v>
      </c>
      <c r="Q582" s="470" t="s">
        <v>1224</v>
      </c>
      <c r="R582" s="460" t="s">
        <v>1225</v>
      </c>
      <c r="S582" s="270" t="s">
        <v>7</v>
      </c>
      <c r="U582" s="471"/>
      <c r="V582" s="471"/>
      <c r="W582" s="471" t="s">
        <v>1225</v>
      </c>
      <c r="X582" s="471">
        <v>0</v>
      </c>
      <c r="Y582" s="206"/>
      <c r="Z582" s="206"/>
    </row>
    <row r="583" spans="1:26">
      <c r="A583" s="406">
        <v>580</v>
      </c>
      <c r="B583" s="613" t="s">
        <v>2280</v>
      </c>
      <c r="C583" s="288" t="s">
        <v>1226</v>
      </c>
      <c r="D583" s="414" t="s">
        <v>3601</v>
      </c>
      <c r="E583" s="407" t="s">
        <v>8422</v>
      </c>
      <c r="F583" s="483" t="s">
        <v>2276</v>
      </c>
      <c r="G583" s="483" t="s">
        <v>2275</v>
      </c>
      <c r="H583" s="411" t="s">
        <v>2282</v>
      </c>
      <c r="I583" s="411" t="s">
        <v>2281</v>
      </c>
      <c r="J583" s="411"/>
      <c r="K583" s="411"/>
      <c r="L583" s="608">
        <v>7558.751968503937</v>
      </c>
      <c r="M583" s="409">
        <v>4644.6811023622049</v>
      </c>
      <c r="N583" s="409">
        <v>12203.433070866142</v>
      </c>
      <c r="O583" s="410" t="s">
        <v>7764</v>
      </c>
      <c r="P583" s="406">
        <v>580</v>
      </c>
      <c r="Q583" s="470" t="s">
        <v>1226</v>
      </c>
      <c r="R583" s="460" t="s">
        <v>1227</v>
      </c>
      <c r="S583" s="270" t="s">
        <v>7</v>
      </c>
      <c r="U583" s="471"/>
      <c r="V583" s="471"/>
      <c r="W583" s="471" t="s">
        <v>1227</v>
      </c>
      <c r="X583" s="471">
        <v>1</v>
      </c>
      <c r="Y583" s="206"/>
      <c r="Z583" s="206"/>
    </row>
    <row r="584" spans="1:26">
      <c r="A584" s="406">
        <v>581</v>
      </c>
      <c r="B584" s="613" t="s">
        <v>2284</v>
      </c>
      <c r="C584" s="288" t="s">
        <v>1228</v>
      </c>
      <c r="D584" s="414" t="s">
        <v>3599</v>
      </c>
      <c r="E584" s="407" t="s">
        <v>8423</v>
      </c>
      <c r="F584" s="483" t="s">
        <v>2278</v>
      </c>
      <c r="G584" s="483" t="s">
        <v>2277</v>
      </c>
      <c r="H584" s="411" t="s">
        <v>2286</v>
      </c>
      <c r="I584" s="411" t="s">
        <v>2285</v>
      </c>
      <c r="J584" s="411"/>
      <c r="K584" s="411"/>
      <c r="L584" s="608">
        <v>7557.8307086614177</v>
      </c>
      <c r="M584" s="409">
        <v>4644.1850393700788</v>
      </c>
      <c r="N584" s="409">
        <v>12202.015748031496</v>
      </c>
      <c r="O584" s="410" t="s">
        <v>7764</v>
      </c>
      <c r="P584" s="406">
        <v>581</v>
      </c>
      <c r="Q584" s="470" t="s">
        <v>1228</v>
      </c>
      <c r="R584" s="460" t="s">
        <v>1229</v>
      </c>
      <c r="S584" s="270" t="s">
        <v>7</v>
      </c>
      <c r="U584" s="471"/>
      <c r="V584" s="471"/>
      <c r="W584" s="471" t="s">
        <v>1229</v>
      </c>
      <c r="X584" s="471">
        <v>1</v>
      </c>
      <c r="Y584" s="206"/>
      <c r="Z584" s="206"/>
    </row>
    <row r="585" spans="1:26">
      <c r="A585" s="406">
        <v>582</v>
      </c>
      <c r="B585" s="613" t="s">
        <v>2421</v>
      </c>
      <c r="C585" s="288" t="s">
        <v>1230</v>
      </c>
      <c r="D585" s="414" t="s">
        <v>3487</v>
      </c>
      <c r="E585" s="407" t="s">
        <v>8424</v>
      </c>
      <c r="F585" s="483" t="s">
        <v>2420</v>
      </c>
      <c r="G585" s="411" t="s">
        <v>2423</v>
      </c>
      <c r="H585" s="411" t="s">
        <v>2422</v>
      </c>
      <c r="I585" s="411"/>
      <c r="J585" s="411"/>
      <c r="K585" s="411"/>
      <c r="L585" s="608">
        <v>7322.251968503937</v>
      </c>
      <c r="M585" s="409">
        <v>4644.7086614173231</v>
      </c>
      <c r="N585" s="409">
        <v>11966.960629921261</v>
      </c>
      <c r="O585" s="410" t="s">
        <v>7832</v>
      </c>
      <c r="P585" s="406">
        <v>582</v>
      </c>
      <c r="Q585" s="470" t="s">
        <v>1230</v>
      </c>
      <c r="R585" s="460" t="s">
        <v>1231</v>
      </c>
      <c r="S585" s="270" t="s">
        <v>7</v>
      </c>
      <c r="U585" s="471"/>
      <c r="V585" s="471"/>
      <c r="W585" s="471" t="s">
        <v>1231</v>
      </c>
      <c r="X585" s="471">
        <v>0</v>
      </c>
      <c r="Y585" s="206"/>
      <c r="Z585" s="206"/>
    </row>
    <row r="586" spans="1:26">
      <c r="A586" s="406">
        <v>583</v>
      </c>
      <c r="B586" s="613" t="s">
        <v>2425</v>
      </c>
      <c r="C586" s="288" t="s">
        <v>1232</v>
      </c>
      <c r="D586" s="414" t="s">
        <v>3489</v>
      </c>
      <c r="E586" s="407" t="s">
        <v>8425</v>
      </c>
      <c r="F586" s="483" t="s">
        <v>2424</v>
      </c>
      <c r="G586" s="411" t="s">
        <v>2427</v>
      </c>
      <c r="H586" s="411" t="s">
        <v>2426</v>
      </c>
      <c r="I586" s="411"/>
      <c r="J586" s="411"/>
      <c r="K586" s="411"/>
      <c r="L586" s="608">
        <v>7322.4763779527566</v>
      </c>
      <c r="M586" s="409">
        <v>4644.3858267716532</v>
      </c>
      <c r="N586" s="409">
        <v>11966.86220472441</v>
      </c>
      <c r="O586" s="410" t="s">
        <v>7832</v>
      </c>
      <c r="P586" s="406">
        <v>583</v>
      </c>
      <c r="Q586" s="470" t="s">
        <v>1232</v>
      </c>
      <c r="R586" s="460" t="s">
        <v>1233</v>
      </c>
      <c r="S586" s="270" t="s">
        <v>7</v>
      </c>
      <c r="U586" s="471"/>
      <c r="V586" s="471"/>
      <c r="W586" s="471" t="s">
        <v>1233</v>
      </c>
      <c r="X586" s="471">
        <v>0</v>
      </c>
      <c r="Y586" s="206"/>
      <c r="Z586" s="206"/>
    </row>
    <row r="587" spans="1:26">
      <c r="A587" s="406">
        <v>584</v>
      </c>
      <c r="B587" s="613" t="s">
        <v>2421</v>
      </c>
      <c r="C587" s="288" t="s">
        <v>1234</v>
      </c>
      <c r="D587" s="414" t="s">
        <v>3487</v>
      </c>
      <c r="E587" s="407" t="s">
        <v>8424</v>
      </c>
      <c r="F587" s="483" t="s">
        <v>2417</v>
      </c>
      <c r="G587" s="483" t="s">
        <v>2416</v>
      </c>
      <c r="H587" s="411" t="s">
        <v>2423</v>
      </c>
      <c r="I587" s="411" t="s">
        <v>2422</v>
      </c>
      <c r="J587" s="411"/>
      <c r="K587" s="411"/>
      <c r="L587" s="608">
        <v>7322.251968503937</v>
      </c>
      <c r="M587" s="409">
        <v>4645.1220472440946</v>
      </c>
      <c r="N587" s="409">
        <v>11967.374015748032</v>
      </c>
      <c r="O587" s="410" t="s">
        <v>7832</v>
      </c>
      <c r="P587" s="406">
        <v>584</v>
      </c>
      <c r="Q587" s="470" t="s">
        <v>1234</v>
      </c>
      <c r="R587" s="460" t="s">
        <v>1235</v>
      </c>
      <c r="S587" s="270" t="s">
        <v>7</v>
      </c>
      <c r="U587" s="471"/>
      <c r="V587" s="471"/>
      <c r="W587" s="471" t="s">
        <v>1235</v>
      </c>
      <c r="X587" s="471">
        <v>1</v>
      </c>
      <c r="Y587" s="206"/>
      <c r="Z587" s="206"/>
    </row>
    <row r="588" spans="1:26">
      <c r="A588" s="406">
        <v>585</v>
      </c>
      <c r="B588" s="613" t="s">
        <v>2425</v>
      </c>
      <c r="C588" s="288" t="s">
        <v>1236</v>
      </c>
      <c r="D588" s="414" t="s">
        <v>3489</v>
      </c>
      <c r="E588" s="407" t="s">
        <v>8425</v>
      </c>
      <c r="F588" s="483" t="s">
        <v>2419</v>
      </c>
      <c r="G588" s="483" t="s">
        <v>2418</v>
      </c>
      <c r="H588" s="411" t="s">
        <v>2427</v>
      </c>
      <c r="I588" s="411" t="s">
        <v>2426</v>
      </c>
      <c r="J588" s="411"/>
      <c r="K588" s="411"/>
      <c r="L588" s="608">
        <v>7322.4763779527566</v>
      </c>
      <c r="M588" s="409">
        <v>4644.3425196850394</v>
      </c>
      <c r="N588" s="409">
        <v>11966.818897637795</v>
      </c>
      <c r="O588" s="410" t="s">
        <v>7832</v>
      </c>
      <c r="P588" s="406">
        <v>585</v>
      </c>
      <c r="Q588" s="470" t="s">
        <v>1236</v>
      </c>
      <c r="R588" s="460" t="s">
        <v>1237</v>
      </c>
      <c r="S588" s="270" t="s">
        <v>7</v>
      </c>
      <c r="U588" s="471"/>
      <c r="V588" s="471"/>
      <c r="W588" s="471" t="s">
        <v>1237</v>
      </c>
      <c r="X588" s="471">
        <v>1</v>
      </c>
      <c r="Y588" s="206"/>
      <c r="Z588" s="206"/>
    </row>
    <row r="589" spans="1:26">
      <c r="A589" s="406">
        <v>586</v>
      </c>
      <c r="B589" s="613" t="s">
        <v>2433</v>
      </c>
      <c r="C589" s="288" t="s">
        <v>1238</v>
      </c>
      <c r="D589" s="414" t="s">
        <v>3495</v>
      </c>
      <c r="E589" s="407" t="s">
        <v>8426</v>
      </c>
      <c r="F589" s="483" t="s">
        <v>2432</v>
      </c>
      <c r="G589" s="411" t="s">
        <v>2435</v>
      </c>
      <c r="H589" s="411" t="s">
        <v>2434</v>
      </c>
      <c r="I589" s="411"/>
      <c r="J589" s="411"/>
      <c r="K589" s="411"/>
      <c r="L589" s="608">
        <v>5983.1102362204729</v>
      </c>
      <c r="M589" s="409">
        <v>4644.6338582677163</v>
      </c>
      <c r="N589" s="409">
        <v>10627.744094488189</v>
      </c>
      <c r="O589" s="410" t="s">
        <v>7833</v>
      </c>
      <c r="P589" s="406">
        <v>586</v>
      </c>
      <c r="Q589" s="470" t="s">
        <v>1238</v>
      </c>
      <c r="R589" s="475" t="s">
        <v>1239</v>
      </c>
      <c r="S589" s="270" t="s">
        <v>7</v>
      </c>
      <c r="U589" s="471"/>
      <c r="V589" s="471"/>
      <c r="W589" s="471"/>
      <c r="X589" s="471">
        <v>0</v>
      </c>
      <c r="Y589" s="206"/>
      <c r="Z589" s="206"/>
    </row>
    <row r="590" spans="1:26">
      <c r="A590" s="406">
        <v>587</v>
      </c>
      <c r="B590" s="613" t="s">
        <v>2437</v>
      </c>
      <c r="C590" s="288" t="s">
        <v>1240</v>
      </c>
      <c r="D590" s="414" t="s">
        <v>3494</v>
      </c>
      <c r="E590" s="407" t="s">
        <v>8427</v>
      </c>
      <c r="F590" s="483" t="s">
        <v>2436</v>
      </c>
      <c r="G590" s="411" t="s">
        <v>2439</v>
      </c>
      <c r="H590" s="411" t="s">
        <v>2438</v>
      </c>
      <c r="I590" s="411"/>
      <c r="J590" s="411"/>
      <c r="K590" s="411"/>
      <c r="L590" s="608">
        <v>5983.4881889763783</v>
      </c>
      <c r="M590" s="409">
        <v>4644.6653543307093</v>
      </c>
      <c r="N590" s="409">
        <v>10628.153543307088</v>
      </c>
      <c r="O590" s="410" t="s">
        <v>7833</v>
      </c>
      <c r="P590" s="406">
        <v>587</v>
      </c>
      <c r="Q590" s="470" t="s">
        <v>1240</v>
      </c>
      <c r="R590" s="475" t="s">
        <v>1241</v>
      </c>
      <c r="S590" s="270" t="s">
        <v>7</v>
      </c>
      <c r="U590" s="471"/>
      <c r="V590" s="471"/>
      <c r="W590" s="471"/>
      <c r="X590" s="471">
        <v>0</v>
      </c>
      <c r="Y590" s="206"/>
      <c r="Z590" s="206"/>
    </row>
    <row r="591" spans="1:26">
      <c r="A591" s="406">
        <v>588</v>
      </c>
      <c r="B591" s="613" t="s">
        <v>2433</v>
      </c>
      <c r="C591" s="288" t="s">
        <v>1242</v>
      </c>
      <c r="D591" s="414" t="s">
        <v>3495</v>
      </c>
      <c r="E591" s="407" t="s">
        <v>8426</v>
      </c>
      <c r="F591" s="483" t="s">
        <v>2429</v>
      </c>
      <c r="G591" s="483" t="s">
        <v>2428</v>
      </c>
      <c r="H591" s="411" t="s">
        <v>2435</v>
      </c>
      <c r="I591" s="411" t="s">
        <v>2434</v>
      </c>
      <c r="J591" s="411"/>
      <c r="K591" s="411"/>
      <c r="L591" s="608">
        <v>5983.1102362204729</v>
      </c>
      <c r="M591" s="409">
        <v>4644.7755905511813</v>
      </c>
      <c r="N591" s="409">
        <v>10627.885826771655</v>
      </c>
      <c r="O591" s="410" t="s">
        <v>7833</v>
      </c>
      <c r="P591" s="406">
        <v>588</v>
      </c>
      <c r="Q591" s="470" t="s">
        <v>1242</v>
      </c>
      <c r="R591" s="475" t="s">
        <v>1243</v>
      </c>
      <c r="S591" s="270" t="s">
        <v>7</v>
      </c>
      <c r="U591" s="471"/>
      <c r="V591" s="471"/>
      <c r="W591" s="471"/>
      <c r="X591" s="471">
        <v>1</v>
      </c>
      <c r="Y591" s="206"/>
      <c r="Z591" s="206"/>
    </row>
    <row r="592" spans="1:26">
      <c r="A592" s="406">
        <v>589</v>
      </c>
      <c r="B592" s="613" t="s">
        <v>2437</v>
      </c>
      <c r="C592" s="288" t="s">
        <v>1244</v>
      </c>
      <c r="D592" s="414" t="s">
        <v>3494</v>
      </c>
      <c r="E592" s="407" t="s">
        <v>8427</v>
      </c>
      <c r="F592" s="483" t="s">
        <v>2431</v>
      </c>
      <c r="G592" s="483" t="s">
        <v>2430</v>
      </c>
      <c r="H592" s="411" t="s">
        <v>2439</v>
      </c>
      <c r="I592" s="411" t="s">
        <v>2438</v>
      </c>
      <c r="J592" s="411"/>
      <c r="K592" s="411"/>
      <c r="L592" s="608">
        <v>5983.4881889763783</v>
      </c>
      <c r="M592" s="409">
        <v>4644.6299212598433</v>
      </c>
      <c r="N592" s="409">
        <v>10628.118110236221</v>
      </c>
      <c r="O592" s="410" t="s">
        <v>7833</v>
      </c>
      <c r="P592" s="406">
        <v>589</v>
      </c>
      <c r="Q592" s="470" t="s">
        <v>1244</v>
      </c>
      <c r="R592" s="475" t="s">
        <v>1245</v>
      </c>
      <c r="S592" s="270" t="s">
        <v>7</v>
      </c>
      <c r="U592" s="471"/>
      <c r="V592" s="471"/>
      <c r="W592" s="471"/>
      <c r="X592" s="471">
        <v>1</v>
      </c>
      <c r="Y592" s="206"/>
      <c r="Z592" s="206"/>
    </row>
    <row r="593" spans="1:26">
      <c r="A593" s="406">
        <v>590</v>
      </c>
      <c r="B593" s="613" t="s">
        <v>2445</v>
      </c>
      <c r="C593" s="288" t="s">
        <v>1246</v>
      </c>
      <c r="D593" s="414" t="s">
        <v>3491</v>
      </c>
      <c r="E593" s="407" t="s">
        <v>8428</v>
      </c>
      <c r="F593" s="483" t="s">
        <v>2444</v>
      </c>
      <c r="G593" s="411" t="s">
        <v>2447</v>
      </c>
      <c r="H593" s="411" t="s">
        <v>2446</v>
      </c>
      <c r="I593" s="411"/>
      <c r="J593" s="411"/>
      <c r="K593" s="411"/>
      <c r="L593" s="608">
        <v>7951.7755905511813</v>
      </c>
      <c r="M593" s="409">
        <v>4644.429133858268</v>
      </c>
      <c r="N593" s="409">
        <v>12596.20472440945</v>
      </c>
      <c r="O593" s="410" t="s">
        <v>7799</v>
      </c>
      <c r="P593" s="406">
        <v>590</v>
      </c>
      <c r="Q593" s="470" t="s">
        <v>1246</v>
      </c>
      <c r="R593" s="475" t="s">
        <v>1247</v>
      </c>
      <c r="S593" s="270" t="s">
        <v>7</v>
      </c>
      <c r="U593" s="471"/>
      <c r="V593" s="471"/>
      <c r="W593" s="471"/>
      <c r="X593" s="471">
        <v>0</v>
      </c>
      <c r="Y593" s="206"/>
      <c r="Z593" s="206"/>
    </row>
    <row r="594" spans="1:26">
      <c r="A594" s="406">
        <v>591</v>
      </c>
      <c r="B594" s="613" t="s">
        <v>2449</v>
      </c>
      <c r="C594" s="288" t="s">
        <v>1248</v>
      </c>
      <c r="D594" s="414" t="s">
        <v>3493</v>
      </c>
      <c r="E594" s="407" t="s">
        <v>8429</v>
      </c>
      <c r="F594" s="483" t="s">
        <v>2448</v>
      </c>
      <c r="G594" s="411" t="s">
        <v>2451</v>
      </c>
      <c r="H594" s="411" t="s">
        <v>2450</v>
      </c>
      <c r="I594" s="411"/>
      <c r="J594" s="411"/>
      <c r="K594" s="411"/>
      <c r="L594" s="608">
        <v>7951.7204724409457</v>
      </c>
      <c r="M594" s="409">
        <v>4644.6023622047242</v>
      </c>
      <c r="N594" s="409">
        <v>12596.322834645669</v>
      </c>
      <c r="O594" s="410" t="s">
        <v>7799</v>
      </c>
      <c r="P594" s="406">
        <v>591</v>
      </c>
      <c r="Q594" s="470" t="s">
        <v>1248</v>
      </c>
      <c r="R594" s="475" t="s">
        <v>1249</v>
      </c>
      <c r="S594" s="270" t="s">
        <v>7</v>
      </c>
      <c r="U594" s="471"/>
      <c r="V594" s="471"/>
      <c r="W594" s="471"/>
      <c r="X594" s="471">
        <v>0</v>
      </c>
      <c r="Y594" s="206"/>
      <c r="Z594" s="206"/>
    </row>
    <row r="595" spans="1:26">
      <c r="A595" s="406">
        <v>592</v>
      </c>
      <c r="B595" s="613" t="s">
        <v>2445</v>
      </c>
      <c r="C595" s="288" t="s">
        <v>1250</v>
      </c>
      <c r="D595" s="414" t="s">
        <v>3491</v>
      </c>
      <c r="E595" s="407" t="s">
        <v>8428</v>
      </c>
      <c r="F595" s="483" t="s">
        <v>2441</v>
      </c>
      <c r="G595" s="483" t="s">
        <v>2440</v>
      </c>
      <c r="H595" s="411" t="s">
        <v>2447</v>
      </c>
      <c r="I595" s="411" t="s">
        <v>2446</v>
      </c>
      <c r="J595" s="411"/>
      <c r="K595" s="411"/>
      <c r="L595" s="608">
        <v>7951.7755905511813</v>
      </c>
      <c r="M595" s="409">
        <v>4644.3582677165359</v>
      </c>
      <c r="N595" s="409">
        <v>12596.133858267716</v>
      </c>
      <c r="O595" s="410" t="s">
        <v>7800</v>
      </c>
      <c r="P595" s="406">
        <v>592</v>
      </c>
      <c r="Q595" s="470" t="s">
        <v>1250</v>
      </c>
      <c r="R595" s="475" t="s">
        <v>1251</v>
      </c>
      <c r="S595" s="270" t="s">
        <v>7</v>
      </c>
      <c r="U595" s="471"/>
      <c r="V595" s="471"/>
      <c r="W595" s="471"/>
      <c r="X595" s="471">
        <v>1</v>
      </c>
      <c r="Y595" s="206"/>
      <c r="Z595" s="206"/>
    </row>
    <row r="596" spans="1:26">
      <c r="A596" s="406">
        <v>593</v>
      </c>
      <c r="B596" s="613" t="s">
        <v>2449</v>
      </c>
      <c r="C596" s="288" t="s">
        <v>1252</v>
      </c>
      <c r="D596" s="414" t="s">
        <v>3493</v>
      </c>
      <c r="E596" s="407" t="s">
        <v>8429</v>
      </c>
      <c r="F596" s="483" t="s">
        <v>2443</v>
      </c>
      <c r="G596" s="483" t="s">
        <v>2442</v>
      </c>
      <c r="H596" s="411" t="s">
        <v>2451</v>
      </c>
      <c r="I596" s="411" t="s">
        <v>2450</v>
      </c>
      <c r="J596" s="411"/>
      <c r="K596" s="411"/>
      <c r="L596" s="608">
        <v>7951.7204724409457</v>
      </c>
      <c r="M596" s="409">
        <v>4644.6338582677163</v>
      </c>
      <c r="N596" s="409">
        <v>12596.354330708662</v>
      </c>
      <c r="O596" s="410" t="s">
        <v>7800</v>
      </c>
      <c r="P596" s="406">
        <v>593</v>
      </c>
      <c r="Q596" s="470" t="s">
        <v>1252</v>
      </c>
      <c r="R596" s="475" t="s">
        <v>1253</v>
      </c>
      <c r="S596" s="270" t="s">
        <v>7</v>
      </c>
      <c r="U596" s="471"/>
      <c r="V596" s="471"/>
      <c r="W596" s="471"/>
      <c r="X596" s="471">
        <v>1</v>
      </c>
      <c r="Y596" s="206"/>
      <c r="Z596" s="206"/>
    </row>
    <row r="597" spans="1:26">
      <c r="A597" s="406">
        <v>594</v>
      </c>
      <c r="B597" s="613" t="s">
        <v>2292</v>
      </c>
      <c r="C597" s="288" t="s">
        <v>1254</v>
      </c>
      <c r="D597" s="414" t="s">
        <v>3488</v>
      </c>
      <c r="E597" s="407" t="s">
        <v>8430</v>
      </c>
      <c r="F597" s="483" t="s">
        <v>2291</v>
      </c>
      <c r="G597" s="411" t="s">
        <v>2294</v>
      </c>
      <c r="H597" s="411" t="s">
        <v>2293</v>
      </c>
      <c r="I597" s="411"/>
      <c r="J597" s="411"/>
      <c r="K597" s="411"/>
      <c r="L597" s="608">
        <v>10353.511811023622</v>
      </c>
      <c r="M597" s="409">
        <v>4644.7244094488187</v>
      </c>
      <c r="N597" s="409">
        <v>14998.236220472441</v>
      </c>
      <c r="O597" s="410" t="s">
        <v>7756</v>
      </c>
      <c r="P597" s="406">
        <v>594</v>
      </c>
      <c r="Q597" s="470" t="s">
        <v>1254</v>
      </c>
      <c r="R597" s="460" t="s">
        <v>1255</v>
      </c>
      <c r="S597" s="270" t="s">
        <v>7</v>
      </c>
      <c r="U597" s="471"/>
      <c r="V597" s="471"/>
      <c r="W597" s="471" t="s">
        <v>1255</v>
      </c>
      <c r="X597" s="471">
        <v>0</v>
      </c>
      <c r="Y597" s="206"/>
      <c r="Z597" s="206"/>
    </row>
    <row r="598" spans="1:26">
      <c r="A598" s="406">
        <v>595</v>
      </c>
      <c r="B598" s="613" t="s">
        <v>2296</v>
      </c>
      <c r="C598" s="288" t="s">
        <v>1256</v>
      </c>
      <c r="D598" s="414" t="s">
        <v>3486</v>
      </c>
      <c r="E598" s="407" t="s">
        <v>8431</v>
      </c>
      <c r="F598" s="483" t="s">
        <v>2295</v>
      </c>
      <c r="G598" s="411" t="s">
        <v>2298</v>
      </c>
      <c r="H598" s="411" t="s">
        <v>2297</v>
      </c>
      <c r="I598" s="411"/>
      <c r="J598" s="411"/>
      <c r="K598" s="411"/>
      <c r="L598" s="608">
        <v>10353.527559055119</v>
      </c>
      <c r="M598" s="409">
        <v>4644.7401574803152</v>
      </c>
      <c r="N598" s="409">
        <v>14998.267716535434</v>
      </c>
      <c r="O598" s="410" t="s">
        <v>7756</v>
      </c>
      <c r="P598" s="406">
        <v>595</v>
      </c>
      <c r="Q598" s="470" t="s">
        <v>1256</v>
      </c>
      <c r="R598" s="460" t="s">
        <v>1257</v>
      </c>
      <c r="S598" s="270" t="s">
        <v>7</v>
      </c>
      <c r="U598" s="471"/>
      <c r="V598" s="471"/>
      <c r="W598" s="471" t="s">
        <v>1257</v>
      </c>
      <c r="X598" s="471">
        <v>0</v>
      </c>
      <c r="Y598" s="206"/>
      <c r="Z598" s="206"/>
    </row>
    <row r="599" spans="1:26">
      <c r="A599" s="406">
        <v>596</v>
      </c>
      <c r="B599" s="613" t="s">
        <v>2292</v>
      </c>
      <c r="C599" s="288" t="s">
        <v>1258</v>
      </c>
      <c r="D599" s="414" t="s">
        <v>3488</v>
      </c>
      <c r="E599" s="407" t="s">
        <v>8430</v>
      </c>
      <c r="F599" s="483" t="s">
        <v>2288</v>
      </c>
      <c r="G599" s="483" t="s">
        <v>2287</v>
      </c>
      <c r="H599" s="411" t="s">
        <v>2294</v>
      </c>
      <c r="I599" s="411" t="s">
        <v>2293</v>
      </c>
      <c r="J599" s="411"/>
      <c r="K599" s="411"/>
      <c r="L599" s="608">
        <v>10353.511811023622</v>
      </c>
      <c r="M599" s="409">
        <v>4644.8070866141734</v>
      </c>
      <c r="N599" s="409">
        <v>14998.318897637795</v>
      </c>
      <c r="O599" s="410" t="s">
        <v>7803</v>
      </c>
      <c r="P599" s="406">
        <v>596</v>
      </c>
      <c r="Q599" s="470" t="s">
        <v>1258</v>
      </c>
      <c r="R599" s="460" t="s">
        <v>1259</v>
      </c>
      <c r="S599" s="270" t="s">
        <v>7</v>
      </c>
      <c r="U599" s="471"/>
      <c r="V599" s="471"/>
      <c r="W599" s="471" t="s">
        <v>1259</v>
      </c>
      <c r="X599" s="471">
        <v>1</v>
      </c>
      <c r="Y599" s="206"/>
      <c r="Z599" s="206"/>
    </row>
    <row r="600" spans="1:26">
      <c r="A600" s="406">
        <v>597</v>
      </c>
      <c r="B600" s="613" t="s">
        <v>2296</v>
      </c>
      <c r="C600" s="288" t="s">
        <v>1260</v>
      </c>
      <c r="D600" s="414" t="s">
        <v>3486</v>
      </c>
      <c r="E600" s="407" t="s">
        <v>8431</v>
      </c>
      <c r="F600" s="483" t="s">
        <v>2290</v>
      </c>
      <c r="G600" s="483" t="s">
        <v>2289</v>
      </c>
      <c r="H600" s="411" t="s">
        <v>2298</v>
      </c>
      <c r="I600" s="411" t="s">
        <v>2297</v>
      </c>
      <c r="J600" s="411"/>
      <c r="K600" s="411"/>
      <c r="L600" s="608">
        <v>10353.527559055119</v>
      </c>
      <c r="M600" s="409">
        <v>4644.8464566929133</v>
      </c>
      <c r="N600" s="409">
        <v>14998.374015748033</v>
      </c>
      <c r="O600" s="410" t="s">
        <v>7803</v>
      </c>
      <c r="P600" s="406">
        <v>597</v>
      </c>
      <c r="Q600" s="470" t="s">
        <v>1260</v>
      </c>
      <c r="R600" s="460" t="s">
        <v>1261</v>
      </c>
      <c r="S600" s="270" t="s">
        <v>7</v>
      </c>
      <c r="U600" s="471"/>
      <c r="V600" s="471"/>
      <c r="W600" s="471" t="s">
        <v>1261</v>
      </c>
      <c r="X600" s="471">
        <v>1</v>
      </c>
      <c r="Y600" s="206"/>
      <c r="Z600" s="206"/>
    </row>
    <row r="601" spans="1:26">
      <c r="A601" s="406">
        <v>598</v>
      </c>
      <c r="B601" s="613" t="s">
        <v>2304</v>
      </c>
      <c r="C601" s="288" t="s">
        <v>1262</v>
      </c>
      <c r="D601" s="414" t="s">
        <v>3600</v>
      </c>
      <c r="E601" s="407" t="s">
        <v>8432</v>
      </c>
      <c r="F601" s="483" t="s">
        <v>2303</v>
      </c>
      <c r="G601" s="411" t="s">
        <v>2306</v>
      </c>
      <c r="H601" s="411" t="s">
        <v>2305</v>
      </c>
      <c r="I601" s="411"/>
      <c r="J601" s="411"/>
      <c r="K601" s="411"/>
      <c r="L601" s="608">
        <v>7321.5511811023625</v>
      </c>
      <c r="M601" s="409">
        <v>4644.6692913385823</v>
      </c>
      <c r="N601" s="409">
        <v>11966.220472440946</v>
      </c>
      <c r="O601" s="410" t="s">
        <v>7760</v>
      </c>
      <c r="P601" s="406">
        <v>598</v>
      </c>
      <c r="Q601" s="470" t="s">
        <v>1262</v>
      </c>
      <c r="R601" s="460" t="s">
        <v>1263</v>
      </c>
      <c r="S601" s="270" t="s">
        <v>7</v>
      </c>
      <c r="U601" s="471"/>
      <c r="V601" s="471"/>
      <c r="W601" s="471" t="s">
        <v>1263</v>
      </c>
      <c r="X601" s="471">
        <v>0</v>
      </c>
      <c r="Y601" s="206"/>
      <c r="Z601" s="206"/>
    </row>
    <row r="602" spans="1:26">
      <c r="A602" s="406">
        <v>599</v>
      </c>
      <c r="B602" s="613" t="s">
        <v>2308</v>
      </c>
      <c r="C602" s="288" t="s">
        <v>1264</v>
      </c>
      <c r="D602" s="414" t="s">
        <v>3598</v>
      </c>
      <c r="E602" s="407" t="s">
        <v>8433</v>
      </c>
      <c r="F602" s="483" t="s">
        <v>2307</v>
      </c>
      <c r="G602" s="411" t="s">
        <v>2310</v>
      </c>
      <c r="H602" s="411" t="s">
        <v>2309</v>
      </c>
      <c r="I602" s="411"/>
      <c r="J602" s="411"/>
      <c r="K602" s="411"/>
      <c r="L602" s="608">
        <v>7321.5551181102364</v>
      </c>
      <c r="M602" s="409">
        <v>4644.8700787401576</v>
      </c>
      <c r="N602" s="409">
        <v>11966.425196850394</v>
      </c>
      <c r="O602" s="410" t="s">
        <v>7760</v>
      </c>
      <c r="P602" s="406">
        <v>599</v>
      </c>
      <c r="Q602" s="470" t="s">
        <v>1264</v>
      </c>
      <c r="R602" s="460" t="s">
        <v>1265</v>
      </c>
      <c r="S602" s="270" t="s">
        <v>7</v>
      </c>
      <c r="U602" s="471"/>
      <c r="V602" s="471"/>
      <c r="W602" s="471" t="s">
        <v>1265</v>
      </c>
      <c r="X602" s="471">
        <v>0</v>
      </c>
      <c r="Y602" s="206"/>
      <c r="Z602" s="206"/>
    </row>
    <row r="603" spans="1:26">
      <c r="A603" s="406">
        <v>600</v>
      </c>
      <c r="B603" s="613" t="s">
        <v>2304</v>
      </c>
      <c r="C603" s="288" t="s">
        <v>1266</v>
      </c>
      <c r="D603" s="414" t="s">
        <v>3600</v>
      </c>
      <c r="E603" s="407" t="s">
        <v>8432</v>
      </c>
      <c r="F603" s="483" t="s">
        <v>2300</v>
      </c>
      <c r="G603" s="483" t="s">
        <v>2299</v>
      </c>
      <c r="H603" s="411" t="s">
        <v>2306</v>
      </c>
      <c r="I603" s="411" t="s">
        <v>2305</v>
      </c>
      <c r="J603" s="411"/>
      <c r="K603" s="411"/>
      <c r="L603" s="608">
        <v>7321.5511811023625</v>
      </c>
      <c r="M603" s="409">
        <v>4645.5708661417329</v>
      </c>
      <c r="N603" s="409">
        <v>11967.122047244095</v>
      </c>
      <c r="O603" s="410" t="s">
        <v>7773</v>
      </c>
      <c r="P603" s="406">
        <v>600</v>
      </c>
      <c r="Q603" s="470" t="s">
        <v>1266</v>
      </c>
      <c r="R603" s="460" t="s">
        <v>1267</v>
      </c>
      <c r="S603" s="270" t="s">
        <v>7</v>
      </c>
      <c r="U603" s="471"/>
      <c r="V603" s="471"/>
      <c r="W603" s="471" t="s">
        <v>1267</v>
      </c>
      <c r="X603" s="471">
        <v>1</v>
      </c>
      <c r="Y603" s="206"/>
      <c r="Z603" s="206"/>
    </row>
    <row r="604" spans="1:26">
      <c r="A604" s="406">
        <v>601</v>
      </c>
      <c r="B604" s="613" t="s">
        <v>2308</v>
      </c>
      <c r="C604" s="288" t="s">
        <v>1268</v>
      </c>
      <c r="D604" s="414" t="s">
        <v>3598</v>
      </c>
      <c r="E604" s="407" t="s">
        <v>8433</v>
      </c>
      <c r="F604" s="483" t="s">
        <v>2302</v>
      </c>
      <c r="G604" s="483" t="s">
        <v>2301</v>
      </c>
      <c r="H604" s="411" t="s">
        <v>2310</v>
      </c>
      <c r="I604" s="411" t="s">
        <v>2309</v>
      </c>
      <c r="J604" s="411"/>
      <c r="K604" s="411"/>
      <c r="L604" s="608">
        <v>7321.5551181102364</v>
      </c>
      <c r="M604" s="409">
        <v>4644.4409448818897</v>
      </c>
      <c r="N604" s="409">
        <v>11965.996062992128</v>
      </c>
      <c r="O604" s="410" t="s">
        <v>7773</v>
      </c>
      <c r="P604" s="406">
        <v>601</v>
      </c>
      <c r="Q604" s="470" t="s">
        <v>1268</v>
      </c>
      <c r="R604" s="460" t="s">
        <v>1269</v>
      </c>
      <c r="S604" s="270" t="s">
        <v>7</v>
      </c>
      <c r="U604" s="471"/>
      <c r="V604" s="471"/>
      <c r="W604" s="471" t="s">
        <v>1269</v>
      </c>
      <c r="X604" s="471">
        <v>1</v>
      </c>
      <c r="Y604" s="206"/>
      <c r="Z604" s="206"/>
    </row>
    <row r="605" spans="1:26">
      <c r="A605" s="406">
        <v>602</v>
      </c>
      <c r="B605" s="613" t="s">
        <v>2316</v>
      </c>
      <c r="C605" s="288" t="s">
        <v>1270</v>
      </c>
      <c r="D605" s="414" t="s">
        <v>3595</v>
      </c>
      <c r="E605" s="407" t="s">
        <v>8434</v>
      </c>
      <c r="F605" s="483" t="s">
        <v>2315</v>
      </c>
      <c r="G605" s="411" t="s">
        <v>2318</v>
      </c>
      <c r="H605" s="411" t="s">
        <v>2317</v>
      </c>
      <c r="I605" s="411"/>
      <c r="J605" s="411"/>
      <c r="K605" s="411"/>
      <c r="L605" s="608">
        <v>6416.2047244094492</v>
      </c>
      <c r="M605" s="409">
        <v>4645.3818897637793</v>
      </c>
      <c r="N605" s="409">
        <v>11061.586614173228</v>
      </c>
      <c r="O605" s="410" t="s">
        <v>7832</v>
      </c>
      <c r="P605" s="406">
        <v>602</v>
      </c>
      <c r="Q605" s="470" t="s">
        <v>1270</v>
      </c>
      <c r="R605" s="460" t="s">
        <v>1271</v>
      </c>
      <c r="S605" s="270" t="s">
        <v>7</v>
      </c>
      <c r="U605" s="471"/>
      <c r="V605" s="471"/>
      <c r="W605" s="471" t="s">
        <v>1271</v>
      </c>
      <c r="X605" s="471">
        <v>0</v>
      </c>
      <c r="Y605" s="206"/>
      <c r="Z605" s="206"/>
    </row>
    <row r="606" spans="1:26">
      <c r="A606" s="406">
        <v>603</v>
      </c>
      <c r="B606" s="613" t="s">
        <v>2320</v>
      </c>
      <c r="C606" s="288" t="s">
        <v>1272</v>
      </c>
      <c r="D606" s="414" t="s">
        <v>3597</v>
      </c>
      <c r="E606" s="407" t="s">
        <v>8435</v>
      </c>
      <c r="F606" s="483" t="s">
        <v>2319</v>
      </c>
      <c r="G606" s="411" t="s">
        <v>2322</v>
      </c>
      <c r="H606" s="411" t="s">
        <v>2321</v>
      </c>
      <c r="I606" s="411"/>
      <c r="J606" s="411"/>
      <c r="K606" s="411"/>
      <c r="L606" s="608">
        <v>6416.3937007874019</v>
      </c>
      <c r="M606" s="409">
        <v>4644.3070866141734</v>
      </c>
      <c r="N606" s="409">
        <v>11060.700787401574</v>
      </c>
      <c r="O606" s="410" t="s">
        <v>7832</v>
      </c>
      <c r="P606" s="406">
        <v>603</v>
      </c>
      <c r="Q606" s="470" t="s">
        <v>1272</v>
      </c>
      <c r="R606" s="460" t="s">
        <v>1273</v>
      </c>
      <c r="S606" s="270" t="s">
        <v>7</v>
      </c>
      <c r="U606" s="471"/>
      <c r="V606" s="471"/>
      <c r="W606" s="471" t="s">
        <v>1273</v>
      </c>
      <c r="X606" s="471">
        <v>0</v>
      </c>
      <c r="Y606" s="206"/>
      <c r="Z606" s="206"/>
    </row>
    <row r="607" spans="1:26">
      <c r="A607" s="406">
        <v>604</v>
      </c>
      <c r="B607" s="613" t="s">
        <v>2316</v>
      </c>
      <c r="C607" s="288" t="s">
        <v>1274</v>
      </c>
      <c r="D607" s="414" t="s">
        <v>3595</v>
      </c>
      <c r="E607" s="407" t="s">
        <v>8434</v>
      </c>
      <c r="F607" s="483" t="s">
        <v>2312</v>
      </c>
      <c r="G607" s="483" t="s">
        <v>2311</v>
      </c>
      <c r="H607" s="411" t="s">
        <v>2318</v>
      </c>
      <c r="I607" s="411" t="s">
        <v>2317</v>
      </c>
      <c r="J607" s="411"/>
      <c r="K607" s="411"/>
      <c r="L607" s="608">
        <v>6416.2047244094492</v>
      </c>
      <c r="M607" s="409">
        <v>4645.1692913385832</v>
      </c>
      <c r="N607" s="409">
        <v>11061.374015748032</v>
      </c>
      <c r="O607" s="410" t="s">
        <v>7764</v>
      </c>
      <c r="P607" s="406">
        <v>604</v>
      </c>
      <c r="Q607" s="470" t="s">
        <v>1274</v>
      </c>
      <c r="R607" s="460" t="s">
        <v>1275</v>
      </c>
      <c r="S607" s="270" t="s">
        <v>7</v>
      </c>
      <c r="U607" s="471"/>
      <c r="V607" s="471"/>
      <c r="W607" s="471" t="s">
        <v>1275</v>
      </c>
      <c r="X607" s="471">
        <v>1</v>
      </c>
      <c r="Y607" s="206"/>
      <c r="Z607" s="206"/>
    </row>
    <row r="608" spans="1:26">
      <c r="A608" s="406">
        <v>605</v>
      </c>
      <c r="B608" s="613" t="s">
        <v>2320</v>
      </c>
      <c r="C608" s="288" t="s">
        <v>1276</v>
      </c>
      <c r="D608" s="414" t="s">
        <v>3597</v>
      </c>
      <c r="E608" s="407" t="s">
        <v>8435</v>
      </c>
      <c r="F608" s="483" t="s">
        <v>2314</v>
      </c>
      <c r="G608" s="483" t="s">
        <v>2313</v>
      </c>
      <c r="H608" s="411" t="s">
        <v>2322</v>
      </c>
      <c r="I608" s="411" t="s">
        <v>2321</v>
      </c>
      <c r="J608" s="411"/>
      <c r="K608" s="411"/>
      <c r="L608" s="608">
        <v>6416.3937007874019</v>
      </c>
      <c r="M608" s="409">
        <v>4644.6850393700788</v>
      </c>
      <c r="N608" s="409">
        <v>11061.078740157482</v>
      </c>
      <c r="O608" s="410" t="s">
        <v>7764</v>
      </c>
      <c r="P608" s="406">
        <v>605</v>
      </c>
      <c r="Q608" s="470" t="s">
        <v>1276</v>
      </c>
      <c r="R608" s="460" t="s">
        <v>1277</v>
      </c>
      <c r="S608" s="270" t="s">
        <v>7</v>
      </c>
      <c r="U608" s="471"/>
      <c r="V608" s="471"/>
      <c r="W608" s="471" t="s">
        <v>1277</v>
      </c>
      <c r="X608" s="471">
        <v>1</v>
      </c>
      <c r="Y608" s="206"/>
      <c r="Z608" s="206"/>
    </row>
    <row r="609" spans="1:26">
      <c r="A609" s="406">
        <v>606</v>
      </c>
      <c r="B609" s="613" t="s">
        <v>2342</v>
      </c>
      <c r="C609" s="288" t="s">
        <v>1278</v>
      </c>
      <c r="D609" s="414" t="s">
        <v>3603</v>
      </c>
      <c r="E609" s="407" t="s">
        <v>8436</v>
      </c>
      <c r="F609" s="483" t="s">
        <v>2341</v>
      </c>
      <c r="G609" s="411" t="s">
        <v>2344</v>
      </c>
      <c r="H609" s="411" t="s">
        <v>2343</v>
      </c>
      <c r="I609" s="411"/>
      <c r="J609" s="411"/>
      <c r="K609" s="411"/>
      <c r="L609" s="608">
        <v>9408.3740157480315</v>
      </c>
      <c r="M609" s="409">
        <v>4644.7007874015744</v>
      </c>
      <c r="N609" s="409">
        <v>14053.074803149608</v>
      </c>
      <c r="O609" s="410" t="s">
        <v>7787</v>
      </c>
      <c r="P609" s="406">
        <v>606</v>
      </c>
      <c r="Q609" s="470" t="s">
        <v>1278</v>
      </c>
      <c r="R609" s="460" t="s">
        <v>1279</v>
      </c>
      <c r="S609" s="270" t="s">
        <v>7</v>
      </c>
      <c r="U609" s="471"/>
      <c r="V609" s="471"/>
      <c r="W609" s="471" t="s">
        <v>1279</v>
      </c>
      <c r="X609" s="471">
        <v>0</v>
      </c>
      <c r="Y609" s="206"/>
      <c r="Z609" s="206"/>
    </row>
    <row r="610" spans="1:26">
      <c r="A610" s="406">
        <v>607</v>
      </c>
      <c r="B610" s="613" t="s">
        <v>2346</v>
      </c>
      <c r="C610" s="288" t="s">
        <v>1280</v>
      </c>
      <c r="D610" s="414" t="s">
        <v>3602</v>
      </c>
      <c r="E610" s="407" t="s">
        <v>8437</v>
      </c>
      <c r="F610" s="483" t="s">
        <v>2345</v>
      </c>
      <c r="G610" s="411" t="s">
        <v>2348</v>
      </c>
      <c r="H610" s="411" t="s">
        <v>2347</v>
      </c>
      <c r="I610" s="411"/>
      <c r="J610" s="411"/>
      <c r="K610" s="411"/>
      <c r="L610" s="608">
        <v>9408.3897637795271</v>
      </c>
      <c r="M610" s="409">
        <v>4644.5984251968512</v>
      </c>
      <c r="N610" s="409">
        <v>14052.988188976378</v>
      </c>
      <c r="O610" s="410" t="s">
        <v>7787</v>
      </c>
      <c r="P610" s="406">
        <v>607</v>
      </c>
      <c r="Q610" s="470" t="s">
        <v>1280</v>
      </c>
      <c r="R610" s="460" t="s">
        <v>1281</v>
      </c>
      <c r="S610" s="270" t="s">
        <v>7</v>
      </c>
      <c r="U610" s="471"/>
      <c r="V610" s="471"/>
      <c r="W610" s="471" t="s">
        <v>1281</v>
      </c>
      <c r="X610" s="471">
        <v>0</v>
      </c>
      <c r="Y610" s="206"/>
      <c r="Z610" s="206"/>
    </row>
    <row r="611" spans="1:26">
      <c r="A611" s="406">
        <v>608</v>
      </c>
      <c r="B611" s="613" t="s">
        <v>2342</v>
      </c>
      <c r="C611" s="288" t="s">
        <v>1282</v>
      </c>
      <c r="D611" s="414" t="s">
        <v>3603</v>
      </c>
      <c r="E611" s="407" t="s">
        <v>8436</v>
      </c>
      <c r="F611" s="483" t="s">
        <v>2324</v>
      </c>
      <c r="G611" s="483" t="s">
        <v>2323</v>
      </c>
      <c r="H611" s="411" t="s">
        <v>2344</v>
      </c>
      <c r="I611" s="411" t="s">
        <v>2343</v>
      </c>
      <c r="J611" s="411"/>
      <c r="K611" s="411"/>
      <c r="L611" s="608">
        <v>9408.3740157480315</v>
      </c>
      <c r="M611" s="409">
        <v>4644.964566929134</v>
      </c>
      <c r="N611" s="409">
        <v>14053.338582677165</v>
      </c>
      <c r="O611" s="410" t="s">
        <v>7775</v>
      </c>
      <c r="P611" s="406">
        <v>608</v>
      </c>
      <c r="Q611" s="470" t="s">
        <v>1282</v>
      </c>
      <c r="R611" s="460" t="s">
        <v>1283</v>
      </c>
      <c r="S611" s="270" t="s">
        <v>7</v>
      </c>
      <c r="U611" s="471"/>
      <c r="V611" s="471"/>
      <c r="W611" s="471" t="s">
        <v>1283</v>
      </c>
      <c r="X611" s="471">
        <v>1</v>
      </c>
      <c r="Y611" s="206"/>
      <c r="Z611" s="206"/>
    </row>
    <row r="612" spans="1:26">
      <c r="A612" s="406">
        <v>609</v>
      </c>
      <c r="B612" s="613" t="s">
        <v>2346</v>
      </c>
      <c r="C612" s="288" t="s">
        <v>1284</v>
      </c>
      <c r="D612" s="414" t="s">
        <v>3602</v>
      </c>
      <c r="E612" s="407" t="s">
        <v>8437</v>
      </c>
      <c r="F612" s="483" t="s">
        <v>2326</v>
      </c>
      <c r="G612" s="483" t="s">
        <v>2325</v>
      </c>
      <c r="H612" s="411" t="s">
        <v>2348</v>
      </c>
      <c r="I612" s="411" t="s">
        <v>2347</v>
      </c>
      <c r="J612" s="411"/>
      <c r="K612" s="411"/>
      <c r="L612" s="608">
        <v>9408.3897637795271</v>
      </c>
      <c r="M612" s="409">
        <v>4645.1062992125981</v>
      </c>
      <c r="N612" s="409">
        <v>14053.496062992126</v>
      </c>
      <c r="O612" s="410" t="s">
        <v>7775</v>
      </c>
      <c r="P612" s="406">
        <v>609</v>
      </c>
      <c r="Q612" s="470" t="s">
        <v>1284</v>
      </c>
      <c r="R612" s="460" t="s">
        <v>1285</v>
      </c>
      <c r="S612" s="270" t="s">
        <v>7</v>
      </c>
      <c r="U612" s="471"/>
      <c r="V612" s="471"/>
      <c r="W612" s="471" t="s">
        <v>1285</v>
      </c>
      <c r="X612" s="471">
        <v>1</v>
      </c>
      <c r="Y612" s="206"/>
      <c r="Z612" s="206"/>
    </row>
    <row r="613" spans="1:26">
      <c r="A613" s="406">
        <v>610</v>
      </c>
      <c r="B613" s="613" t="s">
        <v>2373</v>
      </c>
      <c r="C613" s="288" t="s">
        <v>1286</v>
      </c>
      <c r="D613" s="414" t="s">
        <v>3587</v>
      </c>
      <c r="E613" s="407" t="s">
        <v>8438</v>
      </c>
      <c r="F613" s="483" t="s">
        <v>2372</v>
      </c>
      <c r="G613" s="411" t="s">
        <v>2375</v>
      </c>
      <c r="H613" s="411" t="s">
        <v>2374</v>
      </c>
      <c r="I613" s="411"/>
      <c r="J613" s="411"/>
      <c r="K613" s="411"/>
      <c r="L613" s="608">
        <v>5038.9015748031497</v>
      </c>
      <c r="M613" s="409">
        <v>4644.5275590551182</v>
      </c>
      <c r="N613" s="409">
        <v>9683.429133858268</v>
      </c>
      <c r="O613" s="410" t="s">
        <v>7760</v>
      </c>
      <c r="P613" s="406">
        <v>610</v>
      </c>
      <c r="Q613" s="470" t="s">
        <v>1286</v>
      </c>
      <c r="R613" s="460" t="s">
        <v>1287</v>
      </c>
      <c r="S613" s="270" t="s">
        <v>7</v>
      </c>
      <c r="U613" s="471"/>
      <c r="V613" s="471"/>
      <c r="W613" s="471" t="s">
        <v>1287</v>
      </c>
      <c r="X613" s="471">
        <v>0</v>
      </c>
      <c r="Y613" s="206"/>
      <c r="Z613" s="206"/>
    </row>
    <row r="614" spans="1:26">
      <c r="A614" s="406">
        <v>611</v>
      </c>
      <c r="B614" s="613" t="s">
        <v>2377</v>
      </c>
      <c r="C614" s="288" t="s">
        <v>1288</v>
      </c>
      <c r="D614" s="414" t="s">
        <v>3589</v>
      </c>
      <c r="E614" s="407" t="s">
        <v>8439</v>
      </c>
      <c r="F614" s="483" t="s">
        <v>2376</v>
      </c>
      <c r="G614" s="411" t="s">
        <v>2379</v>
      </c>
      <c r="H614" s="411" t="s">
        <v>2378</v>
      </c>
      <c r="I614" s="411"/>
      <c r="J614" s="411"/>
      <c r="K614" s="411"/>
      <c r="L614" s="608">
        <v>5039.3307086614177</v>
      </c>
      <c r="M614" s="409">
        <v>4644.8858267716532</v>
      </c>
      <c r="N614" s="409">
        <v>9684.21653543307</v>
      </c>
      <c r="O614" s="410" t="s">
        <v>7760</v>
      </c>
      <c r="P614" s="406">
        <v>611</v>
      </c>
      <c r="Q614" s="470" t="s">
        <v>1288</v>
      </c>
      <c r="R614" s="460" t="s">
        <v>1289</v>
      </c>
      <c r="S614" s="270" t="s">
        <v>7</v>
      </c>
      <c r="U614" s="471"/>
      <c r="V614" s="471"/>
      <c r="W614" s="471" t="s">
        <v>1289</v>
      </c>
      <c r="X614" s="471">
        <v>0</v>
      </c>
      <c r="Y614" s="206"/>
      <c r="Z614" s="206"/>
    </row>
    <row r="615" spans="1:26">
      <c r="A615" s="406">
        <v>612</v>
      </c>
      <c r="B615" s="613" t="s">
        <v>2373</v>
      </c>
      <c r="C615" s="288" t="s">
        <v>1290</v>
      </c>
      <c r="D615" s="414" t="s">
        <v>3587</v>
      </c>
      <c r="E615" s="407" t="s">
        <v>8438</v>
      </c>
      <c r="F615" s="483" t="s">
        <v>2369</v>
      </c>
      <c r="G615" s="483" t="s">
        <v>2368</v>
      </c>
      <c r="H615" s="411" t="s">
        <v>2375</v>
      </c>
      <c r="I615" s="411" t="s">
        <v>2374</v>
      </c>
      <c r="J615" s="411"/>
      <c r="K615" s="411"/>
      <c r="L615" s="608">
        <v>5038.9015748031497</v>
      </c>
      <c r="M615" s="409">
        <v>4644.5748031496069</v>
      </c>
      <c r="N615" s="409">
        <v>9683.4763779527566</v>
      </c>
      <c r="O615" s="410" t="s">
        <v>7773</v>
      </c>
      <c r="P615" s="406">
        <v>612</v>
      </c>
      <c r="Q615" s="470" t="s">
        <v>1290</v>
      </c>
      <c r="R615" s="460" t="s">
        <v>1291</v>
      </c>
      <c r="S615" s="270" t="s">
        <v>7</v>
      </c>
      <c r="U615" s="471"/>
      <c r="V615" s="471"/>
      <c r="W615" s="471" t="s">
        <v>1291</v>
      </c>
      <c r="X615" s="471">
        <v>1</v>
      </c>
      <c r="Y615" s="206"/>
      <c r="Z615" s="206"/>
    </row>
    <row r="616" spans="1:26">
      <c r="A616" s="406">
        <v>613</v>
      </c>
      <c r="B616" s="613" t="s">
        <v>2377</v>
      </c>
      <c r="C616" s="288" t="s">
        <v>1292</v>
      </c>
      <c r="D616" s="414" t="s">
        <v>3589</v>
      </c>
      <c r="E616" s="407" t="s">
        <v>8439</v>
      </c>
      <c r="F616" s="483" t="s">
        <v>2371</v>
      </c>
      <c r="G616" s="483" t="s">
        <v>2370</v>
      </c>
      <c r="H616" s="411" t="s">
        <v>2379</v>
      </c>
      <c r="I616" s="411" t="s">
        <v>2378</v>
      </c>
      <c r="J616" s="411"/>
      <c r="K616" s="411"/>
      <c r="L616" s="608">
        <v>5039.3307086614177</v>
      </c>
      <c r="M616" s="409">
        <v>4644.5944881889764</v>
      </c>
      <c r="N616" s="409">
        <v>9683.9251968503941</v>
      </c>
      <c r="O616" s="410" t="s">
        <v>7773</v>
      </c>
      <c r="P616" s="406">
        <v>613</v>
      </c>
      <c r="Q616" s="470" t="s">
        <v>1292</v>
      </c>
      <c r="R616" s="460" t="s">
        <v>1293</v>
      </c>
      <c r="S616" s="270" t="s">
        <v>7</v>
      </c>
      <c r="U616" s="471"/>
      <c r="V616" s="471"/>
      <c r="W616" s="471" t="s">
        <v>1293</v>
      </c>
      <c r="X616" s="471">
        <v>1</v>
      </c>
      <c r="Y616" s="206"/>
      <c r="Z616" s="206"/>
    </row>
    <row r="617" spans="1:26">
      <c r="A617" s="406">
        <v>614</v>
      </c>
      <c r="B617" s="613" t="s">
        <v>2385</v>
      </c>
      <c r="C617" s="288" t="s">
        <v>1294</v>
      </c>
      <c r="D617" s="414" t="s">
        <v>3484</v>
      </c>
      <c r="E617" s="407" t="s">
        <v>8440</v>
      </c>
      <c r="F617" s="483" t="s">
        <v>2384</v>
      </c>
      <c r="G617" s="411" t="s">
        <v>2387</v>
      </c>
      <c r="H617" s="411" t="s">
        <v>2386</v>
      </c>
      <c r="I617" s="411"/>
      <c r="J617" s="411"/>
      <c r="K617" s="411"/>
      <c r="L617" s="608">
        <v>8070.0236220472443</v>
      </c>
      <c r="M617" s="409">
        <v>4644.8149606299212</v>
      </c>
      <c r="N617" s="409">
        <v>12714.838582677166</v>
      </c>
      <c r="O617" s="410" t="s">
        <v>7782</v>
      </c>
      <c r="P617" s="406">
        <v>614</v>
      </c>
      <c r="Q617" s="470" t="s">
        <v>1294</v>
      </c>
      <c r="R617" s="460" t="s">
        <v>1295</v>
      </c>
      <c r="S617" s="270" t="s">
        <v>7</v>
      </c>
      <c r="U617" s="471"/>
      <c r="V617" s="471"/>
      <c r="W617" s="471" t="s">
        <v>1295</v>
      </c>
      <c r="X617" s="471">
        <v>0</v>
      </c>
      <c r="Y617" s="206"/>
      <c r="Z617" s="206"/>
    </row>
    <row r="618" spans="1:26">
      <c r="A618" s="406">
        <v>615</v>
      </c>
      <c r="B618" s="613" t="s">
        <v>2389</v>
      </c>
      <c r="C618" s="288" t="s">
        <v>1296</v>
      </c>
      <c r="D618" s="414" t="s">
        <v>3482</v>
      </c>
      <c r="E618" s="407" t="s">
        <v>8441</v>
      </c>
      <c r="F618" s="483" t="s">
        <v>2388</v>
      </c>
      <c r="G618" s="411" t="s">
        <v>2391</v>
      </c>
      <c r="H618" s="411" t="s">
        <v>2390</v>
      </c>
      <c r="I618" s="411"/>
      <c r="J618" s="411"/>
      <c r="K618" s="411"/>
      <c r="L618" s="608">
        <v>8069.5196850393704</v>
      </c>
      <c r="M618" s="409">
        <v>4644.748031496063</v>
      </c>
      <c r="N618" s="409">
        <v>12714.267716535434</v>
      </c>
      <c r="O618" s="410" t="s">
        <v>7782</v>
      </c>
      <c r="P618" s="406">
        <v>615</v>
      </c>
      <c r="Q618" s="470" t="s">
        <v>1296</v>
      </c>
      <c r="R618" s="460" t="s">
        <v>1297</v>
      </c>
      <c r="S618" s="270" t="s">
        <v>7</v>
      </c>
      <c r="U618" s="471"/>
      <c r="V618" s="471"/>
      <c r="W618" s="471" t="s">
        <v>1297</v>
      </c>
      <c r="X618" s="471">
        <v>0</v>
      </c>
      <c r="Y618" s="206"/>
      <c r="Z618" s="206"/>
    </row>
    <row r="619" spans="1:26">
      <c r="A619" s="406">
        <v>616</v>
      </c>
      <c r="B619" s="613" t="s">
        <v>2385</v>
      </c>
      <c r="C619" s="288" t="s">
        <v>1298</v>
      </c>
      <c r="D619" s="414" t="s">
        <v>3484</v>
      </c>
      <c r="E619" s="407" t="s">
        <v>8440</v>
      </c>
      <c r="F619" s="483" t="s">
        <v>2381</v>
      </c>
      <c r="G619" s="483" t="s">
        <v>2380</v>
      </c>
      <c r="H619" s="411" t="s">
        <v>2387</v>
      </c>
      <c r="I619" s="411" t="s">
        <v>2386</v>
      </c>
      <c r="J619" s="411"/>
      <c r="K619" s="411"/>
      <c r="L619" s="608">
        <v>8070.0236220472443</v>
      </c>
      <c r="M619" s="409">
        <v>4644.5196850393704</v>
      </c>
      <c r="N619" s="409">
        <v>12714.543307086613</v>
      </c>
      <c r="O619" s="410" t="s">
        <v>7753</v>
      </c>
      <c r="P619" s="406">
        <v>616</v>
      </c>
      <c r="Q619" s="470" t="s">
        <v>1298</v>
      </c>
      <c r="R619" s="460" t="s">
        <v>1299</v>
      </c>
      <c r="S619" s="270" t="s">
        <v>7</v>
      </c>
      <c r="U619" s="471"/>
      <c r="V619" s="471"/>
      <c r="W619" s="471" t="s">
        <v>1299</v>
      </c>
      <c r="X619" s="471">
        <v>1</v>
      </c>
      <c r="Y619" s="206"/>
      <c r="Z619" s="206"/>
    </row>
    <row r="620" spans="1:26">
      <c r="A620" s="406">
        <v>617</v>
      </c>
      <c r="B620" s="613" t="s">
        <v>2389</v>
      </c>
      <c r="C620" s="288" t="s">
        <v>1300</v>
      </c>
      <c r="D620" s="414" t="s">
        <v>3482</v>
      </c>
      <c r="E620" s="407" t="s">
        <v>8441</v>
      </c>
      <c r="F620" s="483" t="s">
        <v>2383</v>
      </c>
      <c r="G620" s="483" t="s">
        <v>2382</v>
      </c>
      <c r="H620" s="411" t="s">
        <v>2391</v>
      </c>
      <c r="I620" s="411" t="s">
        <v>2390</v>
      </c>
      <c r="J620" s="411"/>
      <c r="K620" s="411"/>
      <c r="L620" s="608">
        <v>8069.5196850393704</v>
      </c>
      <c r="M620" s="409">
        <v>4644.4803149606305</v>
      </c>
      <c r="N620" s="409">
        <v>12714.000000000002</v>
      </c>
      <c r="O620" s="410" t="s">
        <v>7753</v>
      </c>
      <c r="P620" s="406">
        <v>617</v>
      </c>
      <c r="Q620" s="470" t="s">
        <v>1300</v>
      </c>
      <c r="R620" s="460" t="s">
        <v>1301</v>
      </c>
      <c r="S620" s="270" t="s">
        <v>7</v>
      </c>
      <c r="U620" s="471"/>
      <c r="V620" s="471"/>
      <c r="W620" s="471" t="s">
        <v>1301</v>
      </c>
      <c r="X620" s="471">
        <v>1</v>
      </c>
      <c r="Y620" s="206"/>
      <c r="Z620" s="206"/>
    </row>
    <row r="621" spans="1:26">
      <c r="A621" s="406">
        <v>618</v>
      </c>
      <c r="B621" s="613" t="s">
        <v>2397</v>
      </c>
      <c r="C621" s="288" t="s">
        <v>1302</v>
      </c>
      <c r="D621" s="414" t="s">
        <v>3479</v>
      </c>
      <c r="E621" s="407" t="s">
        <v>8442</v>
      </c>
      <c r="F621" s="483" t="s">
        <v>2396</v>
      </c>
      <c r="G621" s="411" t="s">
        <v>2399</v>
      </c>
      <c r="H621" s="411" t="s">
        <v>2398</v>
      </c>
      <c r="I621" s="411"/>
      <c r="J621" s="411"/>
      <c r="K621" s="411"/>
      <c r="L621" s="608">
        <v>7400.6377952755911</v>
      </c>
      <c r="M621" s="409">
        <v>4644.4842519685044</v>
      </c>
      <c r="N621" s="409">
        <v>12045.122047244095</v>
      </c>
      <c r="O621" s="410" t="s">
        <v>7776</v>
      </c>
      <c r="P621" s="406">
        <v>618</v>
      </c>
      <c r="Q621" s="470" t="s">
        <v>1302</v>
      </c>
      <c r="R621" s="460" t="s">
        <v>1303</v>
      </c>
      <c r="S621" s="270" t="s">
        <v>7</v>
      </c>
      <c r="U621" s="471"/>
      <c r="V621" s="471"/>
      <c r="W621" s="471" t="s">
        <v>1303</v>
      </c>
      <c r="X621" s="471">
        <v>0</v>
      </c>
      <c r="Y621" s="206"/>
      <c r="Z621" s="206"/>
    </row>
    <row r="622" spans="1:26">
      <c r="A622" s="406">
        <v>619</v>
      </c>
      <c r="B622" s="613" t="s">
        <v>2401</v>
      </c>
      <c r="C622" s="288" t="s">
        <v>1304</v>
      </c>
      <c r="D622" s="414" t="s">
        <v>3481</v>
      </c>
      <c r="E622" s="407" t="s">
        <v>8443</v>
      </c>
      <c r="F622" s="483" t="s">
        <v>2400</v>
      </c>
      <c r="G622" s="411" t="s">
        <v>2403</v>
      </c>
      <c r="H622" s="411" t="s">
        <v>2402</v>
      </c>
      <c r="I622" s="411"/>
      <c r="J622" s="411"/>
      <c r="K622" s="411"/>
      <c r="L622" s="608">
        <v>7400.5905511811025</v>
      </c>
      <c r="M622" s="409">
        <v>4644.4685039370079</v>
      </c>
      <c r="N622" s="409">
        <v>12045.05905511811</v>
      </c>
      <c r="O622" s="410" t="s">
        <v>7776</v>
      </c>
      <c r="P622" s="406">
        <v>619</v>
      </c>
      <c r="Q622" s="470" t="s">
        <v>1304</v>
      </c>
      <c r="R622" s="460" t="s">
        <v>1305</v>
      </c>
      <c r="S622" s="270" t="s">
        <v>7</v>
      </c>
      <c r="U622" s="471"/>
      <c r="V622" s="471"/>
      <c r="W622" s="471" t="s">
        <v>1305</v>
      </c>
      <c r="X622" s="471">
        <v>0</v>
      </c>
      <c r="Y622" s="206"/>
      <c r="Z622" s="206"/>
    </row>
    <row r="623" spans="1:26">
      <c r="A623" s="406">
        <v>620</v>
      </c>
      <c r="B623" s="613" t="s">
        <v>2397</v>
      </c>
      <c r="C623" s="288" t="s">
        <v>1306</v>
      </c>
      <c r="D623" s="414" t="s">
        <v>3479</v>
      </c>
      <c r="E623" s="407" t="s">
        <v>8442</v>
      </c>
      <c r="F623" s="483" t="s">
        <v>2393</v>
      </c>
      <c r="G623" s="483" t="s">
        <v>2392</v>
      </c>
      <c r="H623" s="411" t="s">
        <v>2399</v>
      </c>
      <c r="I623" s="411" t="s">
        <v>2398</v>
      </c>
      <c r="J623" s="411"/>
      <c r="K623" s="411"/>
      <c r="L623" s="608">
        <v>7400.6377952755911</v>
      </c>
      <c r="M623" s="409">
        <v>4645.1653543307093</v>
      </c>
      <c r="N623" s="409">
        <v>12045.803149606299</v>
      </c>
      <c r="O623" s="410" t="s">
        <v>7782</v>
      </c>
      <c r="P623" s="406">
        <v>620</v>
      </c>
      <c r="Q623" s="470" t="s">
        <v>1306</v>
      </c>
      <c r="R623" s="460" t="s">
        <v>1307</v>
      </c>
      <c r="S623" s="270" t="s">
        <v>7</v>
      </c>
      <c r="U623" s="471"/>
      <c r="V623" s="471"/>
      <c r="W623" s="471" t="s">
        <v>1307</v>
      </c>
      <c r="X623" s="471">
        <v>1</v>
      </c>
      <c r="Y623" s="206"/>
      <c r="Z623" s="206"/>
    </row>
    <row r="624" spans="1:26">
      <c r="A624" s="406">
        <v>621</v>
      </c>
      <c r="B624" s="613" t="s">
        <v>2401</v>
      </c>
      <c r="C624" s="288" t="s">
        <v>1308</v>
      </c>
      <c r="D624" s="414" t="s">
        <v>3481</v>
      </c>
      <c r="E624" s="407" t="s">
        <v>8443</v>
      </c>
      <c r="F624" s="483" t="s">
        <v>2395</v>
      </c>
      <c r="G624" s="483" t="s">
        <v>2394</v>
      </c>
      <c r="H624" s="411" t="s">
        <v>2403</v>
      </c>
      <c r="I624" s="411" t="s">
        <v>2402</v>
      </c>
      <c r="J624" s="411"/>
      <c r="K624" s="411"/>
      <c r="L624" s="608">
        <v>7400.5905511811025</v>
      </c>
      <c r="M624" s="409">
        <v>4644.6535433070867</v>
      </c>
      <c r="N624" s="409">
        <v>12045.244094488191</v>
      </c>
      <c r="O624" s="410" t="s">
        <v>7782</v>
      </c>
      <c r="P624" s="406">
        <v>621</v>
      </c>
      <c r="Q624" s="470" t="s">
        <v>1308</v>
      </c>
      <c r="R624" s="460" t="s">
        <v>1309</v>
      </c>
      <c r="S624" s="270" t="s">
        <v>7</v>
      </c>
      <c r="U624" s="471"/>
      <c r="V624" s="471"/>
      <c r="W624" s="471" t="s">
        <v>1309</v>
      </c>
      <c r="X624" s="471">
        <v>1</v>
      </c>
      <c r="Y624" s="206"/>
      <c r="Z624" s="206"/>
    </row>
    <row r="625" spans="1:26">
      <c r="A625" s="406">
        <v>622</v>
      </c>
      <c r="B625" s="613" t="s">
        <v>2409</v>
      </c>
      <c r="C625" s="288" t="s">
        <v>1310</v>
      </c>
      <c r="D625" s="414" t="s">
        <v>3492</v>
      </c>
      <c r="E625" s="407" t="s">
        <v>8444</v>
      </c>
      <c r="F625" s="483" t="s">
        <v>2408</v>
      </c>
      <c r="G625" s="411" t="s">
        <v>2411</v>
      </c>
      <c r="H625" s="411" t="s">
        <v>2410</v>
      </c>
      <c r="I625" s="411"/>
      <c r="J625" s="411"/>
      <c r="K625" s="411"/>
      <c r="L625" s="608">
        <v>7558.3346456692916</v>
      </c>
      <c r="M625" s="409">
        <v>4644.8385826771655</v>
      </c>
      <c r="N625" s="409">
        <v>12203.173228346457</v>
      </c>
      <c r="O625" s="410" t="s">
        <v>7826</v>
      </c>
      <c r="P625" s="406">
        <v>622</v>
      </c>
      <c r="Q625" s="470" t="s">
        <v>1310</v>
      </c>
      <c r="R625" s="460" t="s">
        <v>1311</v>
      </c>
      <c r="S625" s="270" t="s">
        <v>7</v>
      </c>
      <c r="U625" s="471"/>
      <c r="V625" s="471"/>
      <c r="W625" s="471" t="s">
        <v>1311</v>
      </c>
      <c r="X625" s="471">
        <v>0</v>
      </c>
      <c r="Y625" s="206"/>
      <c r="Z625" s="206"/>
    </row>
    <row r="626" spans="1:26">
      <c r="A626" s="406">
        <v>623</v>
      </c>
      <c r="B626" s="613" t="s">
        <v>2413</v>
      </c>
      <c r="C626" s="288" t="s">
        <v>1312</v>
      </c>
      <c r="D626" s="414" t="s">
        <v>3490</v>
      </c>
      <c r="E626" s="407" t="s">
        <v>8445</v>
      </c>
      <c r="F626" s="483" t="s">
        <v>2412</v>
      </c>
      <c r="G626" s="411" t="s">
        <v>2415</v>
      </c>
      <c r="H626" s="411" t="s">
        <v>2414</v>
      </c>
      <c r="I626" s="411"/>
      <c r="J626" s="411"/>
      <c r="K626" s="411"/>
      <c r="L626" s="608">
        <v>7558.0748031496069</v>
      </c>
      <c r="M626" s="409">
        <v>4644.7322834645674</v>
      </c>
      <c r="N626" s="409">
        <v>12202.807086614173</v>
      </c>
      <c r="O626" s="410" t="s">
        <v>7826</v>
      </c>
      <c r="P626" s="406">
        <v>623</v>
      </c>
      <c r="Q626" s="470" t="s">
        <v>1312</v>
      </c>
      <c r="R626" s="460" t="s">
        <v>1313</v>
      </c>
      <c r="S626" s="270" t="s">
        <v>7</v>
      </c>
      <c r="U626" s="471"/>
      <c r="V626" s="471"/>
      <c r="W626" s="471" t="s">
        <v>1313</v>
      </c>
      <c r="X626" s="471">
        <v>0</v>
      </c>
      <c r="Y626" s="206"/>
      <c r="Z626" s="206"/>
    </row>
    <row r="627" spans="1:26">
      <c r="A627" s="406">
        <v>624</v>
      </c>
      <c r="B627" s="613" t="s">
        <v>2409</v>
      </c>
      <c r="C627" s="288" t="s">
        <v>1314</v>
      </c>
      <c r="D627" s="414" t="s">
        <v>3492</v>
      </c>
      <c r="E627" s="407" t="s">
        <v>8444</v>
      </c>
      <c r="F627" s="483" t="s">
        <v>2405</v>
      </c>
      <c r="G627" s="483" t="s">
        <v>2404</v>
      </c>
      <c r="H627" s="411" t="s">
        <v>2411</v>
      </c>
      <c r="I627" s="411" t="s">
        <v>2410</v>
      </c>
      <c r="J627" s="411"/>
      <c r="K627" s="411"/>
      <c r="L627" s="608">
        <v>7558.3346456692916</v>
      </c>
      <c r="M627" s="409">
        <v>4645.2362204724413</v>
      </c>
      <c r="N627" s="409">
        <v>12203.570866141732</v>
      </c>
      <c r="O627" s="410" t="s">
        <v>7800</v>
      </c>
      <c r="P627" s="406">
        <v>624</v>
      </c>
      <c r="Q627" s="470" t="s">
        <v>1314</v>
      </c>
      <c r="R627" s="460" t="s">
        <v>1315</v>
      </c>
      <c r="S627" s="270" t="s">
        <v>7</v>
      </c>
      <c r="U627" s="471"/>
      <c r="V627" s="471"/>
      <c r="W627" s="471" t="s">
        <v>1315</v>
      </c>
      <c r="X627" s="471">
        <v>1</v>
      </c>
      <c r="Y627" s="206"/>
      <c r="Z627" s="206"/>
    </row>
    <row r="628" spans="1:26">
      <c r="A628" s="406">
        <v>625</v>
      </c>
      <c r="B628" s="613" t="s">
        <v>2413</v>
      </c>
      <c r="C628" s="288" t="s">
        <v>1316</v>
      </c>
      <c r="D628" s="414" t="s">
        <v>3490</v>
      </c>
      <c r="E628" s="407" t="s">
        <v>8445</v>
      </c>
      <c r="F628" s="483" t="s">
        <v>2407</v>
      </c>
      <c r="G628" s="483" t="s">
        <v>2406</v>
      </c>
      <c r="H628" s="411" t="s">
        <v>2415</v>
      </c>
      <c r="I628" s="411" t="s">
        <v>2414</v>
      </c>
      <c r="J628" s="411"/>
      <c r="K628" s="411"/>
      <c r="L628" s="608">
        <v>7558.0748031496069</v>
      </c>
      <c r="M628" s="409">
        <v>4644.6141732283468</v>
      </c>
      <c r="N628" s="409">
        <v>12202.688976377955</v>
      </c>
      <c r="O628" s="410" t="s">
        <v>7800</v>
      </c>
      <c r="P628" s="406">
        <v>625</v>
      </c>
      <c r="Q628" s="470" t="s">
        <v>1316</v>
      </c>
      <c r="R628" s="460" t="s">
        <v>1317</v>
      </c>
      <c r="S628" s="270" t="s">
        <v>7</v>
      </c>
      <c r="U628" s="471"/>
      <c r="V628" s="471"/>
      <c r="W628" s="471" t="s">
        <v>1317</v>
      </c>
      <c r="X628" s="471">
        <v>1</v>
      </c>
      <c r="Y628" s="206"/>
      <c r="Z628" s="206"/>
    </row>
    <row r="629" spans="1:26">
      <c r="A629" s="406">
        <v>626</v>
      </c>
      <c r="B629" s="613" t="s">
        <v>7020</v>
      </c>
      <c r="C629" s="288" t="s">
        <v>1318</v>
      </c>
      <c r="D629" s="414" t="s">
        <v>4884</v>
      </c>
      <c r="E629" s="407"/>
      <c r="F629" s="483" t="s">
        <v>3163</v>
      </c>
      <c r="G629" s="411"/>
      <c r="H629" s="411"/>
      <c r="I629" s="411"/>
      <c r="J629" s="411"/>
      <c r="K629" s="411"/>
      <c r="L629" s="608" t="s">
        <v>4884</v>
      </c>
      <c r="M629" s="409" t="s">
        <v>4884</v>
      </c>
      <c r="N629" s="409" t="s">
        <v>4884</v>
      </c>
      <c r="O629" s="410" t="s">
        <v>4884</v>
      </c>
      <c r="P629" s="406">
        <v>626</v>
      </c>
      <c r="Q629" s="470" t="s">
        <v>1318</v>
      </c>
      <c r="R629" s="460" t="s">
        <v>1319</v>
      </c>
      <c r="S629" s="270" t="s">
        <v>7</v>
      </c>
      <c r="U629" s="471"/>
      <c r="V629" s="471"/>
      <c r="W629" s="471" t="s">
        <v>1319</v>
      </c>
      <c r="X629" s="471">
        <v>0</v>
      </c>
      <c r="Y629" s="206"/>
      <c r="Z629" s="206"/>
    </row>
    <row r="630" spans="1:26">
      <c r="A630" s="406">
        <v>627</v>
      </c>
      <c r="B630" s="613" t="s">
        <v>7020</v>
      </c>
      <c r="C630" s="288" t="s">
        <v>1320</v>
      </c>
      <c r="D630" s="414" t="s">
        <v>4884</v>
      </c>
      <c r="E630" s="407"/>
      <c r="F630" s="483" t="s">
        <v>3164</v>
      </c>
      <c r="G630" s="411"/>
      <c r="H630" s="411"/>
      <c r="I630" s="411"/>
      <c r="J630" s="411"/>
      <c r="K630" s="411"/>
      <c r="L630" s="608" t="s">
        <v>4884</v>
      </c>
      <c r="M630" s="409" t="s">
        <v>4884</v>
      </c>
      <c r="N630" s="409" t="s">
        <v>4884</v>
      </c>
      <c r="O630" s="410" t="s">
        <v>4884</v>
      </c>
      <c r="P630" s="406">
        <v>627</v>
      </c>
      <c r="Q630" s="470" t="s">
        <v>1320</v>
      </c>
      <c r="R630" s="460" t="s">
        <v>1321</v>
      </c>
      <c r="S630" s="270" t="s">
        <v>7</v>
      </c>
      <c r="U630" s="471"/>
      <c r="V630" s="471"/>
      <c r="W630" s="471" t="s">
        <v>1321</v>
      </c>
      <c r="X630" s="471">
        <v>0</v>
      </c>
      <c r="Y630" s="206"/>
      <c r="Z630" s="206"/>
    </row>
    <row r="631" spans="1:26">
      <c r="A631" s="406">
        <v>628</v>
      </c>
      <c r="B631" s="613" t="s">
        <v>7020</v>
      </c>
      <c r="C631" s="288" t="s">
        <v>1322</v>
      </c>
      <c r="D631" s="414" t="s">
        <v>4884</v>
      </c>
      <c r="E631" s="407"/>
      <c r="F631" s="483"/>
      <c r="G631" s="483"/>
      <c r="H631" s="483"/>
      <c r="I631" s="483"/>
      <c r="J631" s="483"/>
      <c r="K631" s="483"/>
      <c r="L631" s="608" t="s">
        <v>4884</v>
      </c>
      <c r="M631" s="409" t="s">
        <v>4884</v>
      </c>
      <c r="N631" s="409" t="s">
        <v>4884</v>
      </c>
      <c r="O631" s="410" t="s">
        <v>4884</v>
      </c>
      <c r="P631" s="406">
        <v>628</v>
      </c>
      <c r="Q631" s="470" t="s">
        <v>1322</v>
      </c>
      <c r="R631" s="460" t="s">
        <v>1323</v>
      </c>
      <c r="S631" s="270" t="s">
        <v>7</v>
      </c>
      <c r="U631" s="471"/>
      <c r="V631" s="471"/>
      <c r="W631" s="471" t="s">
        <v>1323</v>
      </c>
      <c r="X631" s="471">
        <v>0</v>
      </c>
      <c r="Y631" s="206"/>
      <c r="Z631" s="206"/>
    </row>
    <row r="632" spans="1:26">
      <c r="A632" s="406">
        <v>629</v>
      </c>
      <c r="B632" s="613" t="s">
        <v>7020</v>
      </c>
      <c r="C632" s="288" t="s">
        <v>1324</v>
      </c>
      <c r="D632" s="414" t="s">
        <v>4884</v>
      </c>
      <c r="E632" s="407"/>
      <c r="F632" s="483"/>
      <c r="G632" s="483"/>
      <c r="H632" s="483"/>
      <c r="I632" s="483"/>
      <c r="J632" s="483"/>
      <c r="K632" s="483"/>
      <c r="L632" s="608" t="s">
        <v>4884</v>
      </c>
      <c r="M632" s="409" t="s">
        <v>4884</v>
      </c>
      <c r="N632" s="409" t="s">
        <v>4884</v>
      </c>
      <c r="O632" s="410" t="s">
        <v>4884</v>
      </c>
      <c r="P632" s="406">
        <v>629</v>
      </c>
      <c r="Q632" s="470" t="s">
        <v>1324</v>
      </c>
      <c r="R632" s="460" t="s">
        <v>1325</v>
      </c>
      <c r="S632" s="270" t="s">
        <v>7</v>
      </c>
      <c r="U632" s="471"/>
      <c r="V632" s="471"/>
      <c r="W632" s="471" t="s">
        <v>1325</v>
      </c>
      <c r="X632" s="471">
        <v>0</v>
      </c>
      <c r="Y632" s="206"/>
      <c r="Z632" s="206"/>
    </row>
    <row r="633" spans="1:26">
      <c r="A633" s="406">
        <v>630</v>
      </c>
      <c r="B633" s="613" t="s">
        <v>7020</v>
      </c>
      <c r="C633" s="288" t="s">
        <v>1326</v>
      </c>
      <c r="D633" s="414" t="s">
        <v>4884</v>
      </c>
      <c r="E633" s="407"/>
      <c r="F633" s="483"/>
      <c r="G633" s="483"/>
      <c r="H633" s="483"/>
      <c r="I633" s="483"/>
      <c r="J633" s="483"/>
      <c r="K633" s="483"/>
      <c r="L633" s="608" t="s">
        <v>4884</v>
      </c>
      <c r="M633" s="409" t="s">
        <v>4884</v>
      </c>
      <c r="N633" s="409" t="s">
        <v>4884</v>
      </c>
      <c r="O633" s="410" t="s">
        <v>4884</v>
      </c>
      <c r="P633" s="406">
        <v>630</v>
      </c>
      <c r="Q633" s="470" t="s">
        <v>1326</v>
      </c>
      <c r="R633" s="460" t="s">
        <v>1327</v>
      </c>
      <c r="S633" s="270" t="s">
        <v>7</v>
      </c>
      <c r="U633" s="471"/>
      <c r="V633" s="471"/>
      <c r="W633" s="471" t="s">
        <v>1327</v>
      </c>
      <c r="X633" s="471">
        <v>0</v>
      </c>
      <c r="Y633" s="206"/>
      <c r="Z633" s="206"/>
    </row>
    <row r="634" spans="1:26">
      <c r="A634" s="406">
        <v>631</v>
      </c>
      <c r="B634" s="613" t="s">
        <v>7020</v>
      </c>
      <c r="C634" s="288" t="s">
        <v>1328</v>
      </c>
      <c r="D634" s="414" t="s">
        <v>4884</v>
      </c>
      <c r="E634" s="407"/>
      <c r="F634" s="483"/>
      <c r="G634" s="483"/>
      <c r="H634" s="483"/>
      <c r="I634" s="483"/>
      <c r="J634" s="483"/>
      <c r="K634" s="483"/>
      <c r="L634" s="608" t="s">
        <v>4884</v>
      </c>
      <c r="M634" s="409" t="s">
        <v>4884</v>
      </c>
      <c r="N634" s="409" t="s">
        <v>4884</v>
      </c>
      <c r="O634" s="410" t="s">
        <v>4884</v>
      </c>
      <c r="P634" s="406">
        <v>631</v>
      </c>
      <c r="Q634" s="470" t="s">
        <v>1328</v>
      </c>
      <c r="R634" s="460" t="s">
        <v>1329</v>
      </c>
      <c r="S634" s="270" t="s">
        <v>7</v>
      </c>
      <c r="U634" s="471"/>
      <c r="V634" s="471"/>
      <c r="W634" s="471" t="s">
        <v>1329</v>
      </c>
      <c r="X634" s="471">
        <v>0</v>
      </c>
      <c r="Y634" s="206"/>
      <c r="Z634" s="206"/>
    </row>
    <row r="635" spans="1:26">
      <c r="A635" s="406">
        <v>632</v>
      </c>
      <c r="B635" s="613" t="s">
        <v>2909</v>
      </c>
      <c r="C635" s="288" t="s">
        <v>1330</v>
      </c>
      <c r="D635" s="414" t="s">
        <v>3499</v>
      </c>
      <c r="E635" s="407" t="s">
        <v>8446</v>
      </c>
      <c r="F635" s="483" t="s">
        <v>2908</v>
      </c>
      <c r="G635" s="483" t="s">
        <v>2907</v>
      </c>
      <c r="H635" s="411" t="s">
        <v>2910</v>
      </c>
      <c r="I635" s="411"/>
      <c r="J635" s="411"/>
      <c r="K635" s="411"/>
      <c r="L635" s="608">
        <v>9472.468503937007</v>
      </c>
      <c r="M635" s="409">
        <v>679.38976377952758</v>
      </c>
      <c r="N635" s="409">
        <v>10151.858267716534</v>
      </c>
      <c r="O635" s="410" t="s">
        <v>7770</v>
      </c>
      <c r="P635" s="406">
        <v>632</v>
      </c>
      <c r="Q635" s="470" t="s">
        <v>1330</v>
      </c>
      <c r="R635" s="460" t="s">
        <v>1331</v>
      </c>
      <c r="S635" s="270" t="s">
        <v>7</v>
      </c>
      <c r="U635" s="471"/>
      <c r="V635" s="471"/>
      <c r="W635" s="471" t="s">
        <v>1331</v>
      </c>
      <c r="X635" s="471">
        <v>1</v>
      </c>
      <c r="Y635" s="206"/>
      <c r="Z635" s="206"/>
    </row>
    <row r="636" spans="1:26">
      <c r="A636" s="406">
        <v>633</v>
      </c>
      <c r="B636" s="613" t="s">
        <v>3149</v>
      </c>
      <c r="C636" s="288" t="s">
        <v>1332</v>
      </c>
      <c r="D636" s="414" t="s">
        <v>3892</v>
      </c>
      <c r="E636" s="407" t="s">
        <v>8447</v>
      </c>
      <c r="F636" s="483"/>
      <c r="G636" s="483"/>
      <c r="H636" s="483"/>
      <c r="I636" s="483"/>
      <c r="J636" s="483"/>
      <c r="K636" s="483"/>
      <c r="L636" s="608" t="s">
        <v>4884</v>
      </c>
      <c r="M636" s="409">
        <v>4383.4566929133862</v>
      </c>
      <c r="N636" s="409">
        <v>4383.4566929133862</v>
      </c>
      <c r="O636" s="410" t="s">
        <v>7567</v>
      </c>
      <c r="P636" s="406">
        <v>633</v>
      </c>
      <c r="Q636" s="470" t="s">
        <v>1332</v>
      </c>
      <c r="R636" s="270" t="s">
        <v>1333</v>
      </c>
      <c r="S636" s="270" t="s">
        <v>32</v>
      </c>
      <c r="U636" s="471"/>
      <c r="V636" s="471">
        <v>1</v>
      </c>
      <c r="W636" s="471" t="s">
        <v>1333</v>
      </c>
      <c r="X636" s="471">
        <v>0</v>
      </c>
      <c r="Y636" s="206"/>
      <c r="Z636" s="206"/>
    </row>
    <row r="637" spans="1:26">
      <c r="A637" s="406">
        <v>634</v>
      </c>
      <c r="B637" s="613" t="s">
        <v>3150</v>
      </c>
      <c r="C637" s="288" t="s">
        <v>1334</v>
      </c>
      <c r="D637" s="414" t="s">
        <v>3890</v>
      </c>
      <c r="E637" s="407" t="s">
        <v>8448</v>
      </c>
      <c r="F637" s="483"/>
      <c r="G637" s="483"/>
      <c r="H637" s="483"/>
      <c r="I637" s="483"/>
      <c r="J637" s="483"/>
      <c r="K637" s="483"/>
      <c r="L637" s="608" t="s">
        <v>4884</v>
      </c>
      <c r="M637" s="409">
        <v>6753.5787401574808</v>
      </c>
      <c r="N637" s="409">
        <v>6753.5787401574808</v>
      </c>
      <c r="O637" s="410" t="s">
        <v>7573</v>
      </c>
      <c r="P637" s="406">
        <v>634</v>
      </c>
      <c r="Q637" s="470" t="s">
        <v>1334</v>
      </c>
      <c r="R637" s="270" t="s">
        <v>1335</v>
      </c>
      <c r="S637" s="270" t="s">
        <v>32</v>
      </c>
      <c r="U637" s="471"/>
      <c r="V637" s="471">
        <v>1</v>
      </c>
      <c r="W637" s="471" t="s">
        <v>1335</v>
      </c>
      <c r="X637" s="471">
        <v>0</v>
      </c>
      <c r="Y637" s="206"/>
      <c r="Z637" s="206"/>
    </row>
    <row r="638" spans="1:26">
      <c r="A638" s="406">
        <v>635</v>
      </c>
      <c r="B638" s="613" t="s">
        <v>2911</v>
      </c>
      <c r="C638" s="288" t="s">
        <v>1336</v>
      </c>
      <c r="D638" s="414" t="s">
        <v>3623</v>
      </c>
      <c r="E638" s="407" t="s">
        <v>8449</v>
      </c>
      <c r="F638" s="483"/>
      <c r="G638" s="483"/>
      <c r="H638" s="483"/>
      <c r="I638" s="483"/>
      <c r="J638" s="483"/>
      <c r="K638" s="483"/>
      <c r="L638" s="608" t="s">
        <v>4884</v>
      </c>
      <c r="M638" s="409">
        <v>12542.562992125984</v>
      </c>
      <c r="N638" s="409">
        <v>12542.562992125984</v>
      </c>
      <c r="O638" s="410" t="s">
        <v>7575</v>
      </c>
      <c r="P638" s="406">
        <v>635</v>
      </c>
      <c r="Q638" s="470" t="s">
        <v>1336</v>
      </c>
      <c r="R638" s="460" t="s">
        <v>1337</v>
      </c>
      <c r="S638" s="270" t="s">
        <v>7</v>
      </c>
      <c r="U638" s="471"/>
      <c r="V638" s="471"/>
      <c r="W638" s="471" t="s">
        <v>1337</v>
      </c>
      <c r="X638" s="471">
        <v>1</v>
      </c>
      <c r="Y638" s="206"/>
      <c r="Z638" s="206"/>
    </row>
    <row r="639" spans="1:26">
      <c r="A639" s="406">
        <v>636</v>
      </c>
      <c r="B639" s="613" t="s">
        <v>2914</v>
      </c>
      <c r="C639" s="288" t="s">
        <v>1338</v>
      </c>
      <c r="D639" s="414" t="s">
        <v>3608</v>
      </c>
      <c r="E639" s="407" t="s">
        <v>8450</v>
      </c>
      <c r="F639" s="483" t="s">
        <v>2913</v>
      </c>
      <c r="G639" s="411" t="s">
        <v>2915</v>
      </c>
      <c r="H639" s="411"/>
      <c r="I639" s="411"/>
      <c r="J639" s="411"/>
      <c r="K639" s="411"/>
      <c r="L639" s="608">
        <v>19836.354330708662</v>
      </c>
      <c r="M639" s="409">
        <v>850.18503937007881</v>
      </c>
      <c r="N639" s="409">
        <v>20686.539370078739</v>
      </c>
      <c r="O639" s="410" t="s">
        <v>7814</v>
      </c>
      <c r="P639" s="406">
        <v>636</v>
      </c>
      <c r="Q639" s="470" t="s">
        <v>1338</v>
      </c>
      <c r="R639" s="460" t="s">
        <v>4890</v>
      </c>
      <c r="S639" s="270" t="s">
        <v>7</v>
      </c>
      <c r="U639" s="471"/>
      <c r="V639" s="471"/>
      <c r="W639" s="471" t="s">
        <v>4890</v>
      </c>
      <c r="X639" s="477">
        <v>2</v>
      </c>
      <c r="Y639" s="206"/>
      <c r="Z639" s="206"/>
    </row>
    <row r="640" spans="1:26">
      <c r="A640" s="406">
        <v>637</v>
      </c>
      <c r="B640" s="613" t="s">
        <v>2912</v>
      </c>
      <c r="C640" s="538" t="s">
        <v>7530</v>
      </c>
      <c r="D640" s="414" t="s">
        <v>3610</v>
      </c>
      <c r="E640" s="407" t="s">
        <v>8451</v>
      </c>
      <c r="F640" s="483" t="s">
        <v>2913</v>
      </c>
      <c r="G640" s="483"/>
      <c r="H640" s="483"/>
      <c r="I640" s="483"/>
      <c r="J640" s="483"/>
      <c r="K640" s="483"/>
      <c r="L640" s="608"/>
      <c r="M640" s="409">
        <v>20539.433070866144</v>
      </c>
      <c r="N640" s="409">
        <v>20539.433070866144</v>
      </c>
      <c r="O640" s="410" t="s">
        <v>7814</v>
      </c>
      <c r="P640" s="406">
        <v>637</v>
      </c>
      <c r="Q640" s="470" t="s">
        <v>7530</v>
      </c>
      <c r="R640" s="460"/>
      <c r="U640" s="471"/>
      <c r="V640" s="471"/>
      <c r="W640" s="471"/>
      <c r="X640" s="477"/>
      <c r="Y640" s="206"/>
      <c r="Z640" s="206"/>
    </row>
    <row r="641" spans="1:26">
      <c r="A641" s="406">
        <v>638</v>
      </c>
      <c r="B641" s="613" t="s">
        <v>7020</v>
      </c>
      <c r="C641" s="288" t="s">
        <v>1339</v>
      </c>
      <c r="D641" s="414" t="s">
        <v>4884</v>
      </c>
      <c r="E641" s="407"/>
      <c r="F641" s="483"/>
      <c r="G641" s="483"/>
      <c r="H641" s="483"/>
      <c r="I641" s="483"/>
      <c r="J641" s="483"/>
      <c r="K641" s="483"/>
      <c r="L641" s="608" t="s">
        <v>4884</v>
      </c>
      <c r="M641" s="409" t="s">
        <v>4884</v>
      </c>
      <c r="N641" s="409" t="s">
        <v>4884</v>
      </c>
      <c r="O641" s="410" t="s">
        <v>4884</v>
      </c>
      <c r="P641" s="406">
        <v>638</v>
      </c>
      <c r="Q641" s="470" t="s">
        <v>1339</v>
      </c>
      <c r="R641" s="460" t="s">
        <v>1340</v>
      </c>
      <c r="S641" s="270" t="s">
        <v>7</v>
      </c>
      <c r="U641" s="471"/>
      <c r="V641" s="471"/>
      <c r="W641" s="471" t="s">
        <v>1340</v>
      </c>
      <c r="X641" s="471">
        <v>0</v>
      </c>
    </row>
    <row r="642" spans="1:26">
      <c r="A642" s="406">
        <v>639</v>
      </c>
      <c r="B642" s="613" t="s">
        <v>6622</v>
      </c>
      <c r="C642" s="288" t="s">
        <v>1341</v>
      </c>
      <c r="D642" s="414" t="s">
        <v>3913</v>
      </c>
      <c r="E642" s="407" t="s">
        <v>8452</v>
      </c>
      <c r="F642" s="483" t="s">
        <v>6668</v>
      </c>
      <c r="G642" s="483" t="s">
        <v>6666</v>
      </c>
      <c r="H642" s="411" t="s">
        <v>6676</v>
      </c>
      <c r="I642" s="411"/>
      <c r="J642" s="411"/>
      <c r="K642" s="411"/>
      <c r="L642" s="608">
        <v>5223.9055118110236</v>
      </c>
      <c r="M642" s="409">
        <v>8760.8661417322837</v>
      </c>
      <c r="N642" s="409">
        <v>13984.771653543308</v>
      </c>
      <c r="O642" s="410" t="s">
        <v>7750</v>
      </c>
      <c r="P642" s="406">
        <v>639</v>
      </c>
      <c r="Q642" s="470" t="s">
        <v>1341</v>
      </c>
      <c r="R642" s="460" t="s">
        <v>1342</v>
      </c>
      <c r="S642" s="270" t="s">
        <v>32</v>
      </c>
      <c r="U642" s="471"/>
      <c r="V642" s="471">
        <v>1</v>
      </c>
      <c r="W642" s="471" t="s">
        <v>1342</v>
      </c>
      <c r="X642" s="471">
        <v>0</v>
      </c>
    </row>
    <row r="643" spans="1:26">
      <c r="A643" s="406">
        <v>640</v>
      </c>
      <c r="B643" s="613" t="s">
        <v>6623</v>
      </c>
      <c r="C643" s="288" t="s">
        <v>1343</v>
      </c>
      <c r="D643" s="414" t="s">
        <v>3911</v>
      </c>
      <c r="E643" s="407" t="s">
        <v>8453</v>
      </c>
      <c r="F643" s="483" t="s">
        <v>6665</v>
      </c>
      <c r="G643" s="483" t="s">
        <v>6664</v>
      </c>
      <c r="H643" s="411" t="s">
        <v>6679</v>
      </c>
      <c r="I643" s="411"/>
      <c r="J643" s="411"/>
      <c r="K643" s="411"/>
      <c r="L643" s="608">
        <v>5300.5511811023616</v>
      </c>
      <c r="M643" s="409">
        <v>9648.7559055118109</v>
      </c>
      <c r="N643" s="409">
        <v>14949.307086614173</v>
      </c>
      <c r="O643" s="410" t="s">
        <v>7750</v>
      </c>
      <c r="P643" s="406">
        <v>640</v>
      </c>
      <c r="Q643" s="470" t="s">
        <v>1343</v>
      </c>
      <c r="R643" s="460" t="s">
        <v>1344</v>
      </c>
      <c r="S643" s="270" t="s">
        <v>32</v>
      </c>
      <c r="U643" s="471"/>
      <c r="V643" s="471">
        <v>1</v>
      </c>
      <c r="W643" s="471" t="s">
        <v>1344</v>
      </c>
      <c r="X643" s="471">
        <v>0</v>
      </c>
    </row>
    <row r="644" spans="1:26">
      <c r="A644" s="406">
        <v>641</v>
      </c>
      <c r="B644" s="613" t="s">
        <v>3151</v>
      </c>
      <c r="C644" s="288" t="s">
        <v>1345</v>
      </c>
      <c r="D644" s="414" t="s">
        <v>3904</v>
      </c>
      <c r="E644" s="407" t="s">
        <v>8454</v>
      </c>
      <c r="F644" s="483"/>
      <c r="G644" s="483"/>
      <c r="H644" s="483"/>
      <c r="I644" s="483"/>
      <c r="J644" s="483"/>
      <c r="K644" s="483"/>
      <c r="L644" s="608" t="s">
        <v>4884</v>
      </c>
      <c r="M644" s="409">
        <v>6201.0866141732286</v>
      </c>
      <c r="N644" s="409">
        <v>6201.0866141732286</v>
      </c>
      <c r="O644" s="410" t="s">
        <v>7574</v>
      </c>
      <c r="P644" s="406">
        <v>641</v>
      </c>
      <c r="Q644" s="470" t="s">
        <v>1345</v>
      </c>
      <c r="R644" s="460" t="s">
        <v>1346</v>
      </c>
      <c r="S644" s="270" t="s">
        <v>32</v>
      </c>
      <c r="U644" s="471"/>
      <c r="V644" s="471">
        <v>1</v>
      </c>
      <c r="W644" s="471" t="s">
        <v>1346</v>
      </c>
      <c r="X644" s="471">
        <v>0</v>
      </c>
    </row>
    <row r="645" spans="1:26">
      <c r="A645" s="406">
        <v>642</v>
      </c>
      <c r="B645" s="613" t="s">
        <v>2916</v>
      </c>
      <c r="C645" s="288" t="s">
        <v>1347</v>
      </c>
      <c r="D645" s="414" t="s">
        <v>3477</v>
      </c>
      <c r="E645" s="407" t="s">
        <v>8455</v>
      </c>
      <c r="F645" s="483"/>
      <c r="G645" s="483"/>
      <c r="H645" s="483"/>
      <c r="I645" s="483"/>
      <c r="J645" s="483"/>
      <c r="K645" s="483"/>
      <c r="L645" s="608" t="s">
        <v>4884</v>
      </c>
      <c r="M645" s="409">
        <v>18080.291338582676</v>
      </c>
      <c r="N645" s="409">
        <v>18080.291338582676</v>
      </c>
      <c r="O645" s="410" t="s">
        <v>7569</v>
      </c>
      <c r="P645" s="406">
        <v>642</v>
      </c>
      <c r="Q645" s="470" t="s">
        <v>1347</v>
      </c>
      <c r="R645" s="460" t="s">
        <v>1348</v>
      </c>
      <c r="S645" s="270" t="s">
        <v>7</v>
      </c>
      <c r="U645" s="471"/>
      <c r="V645" s="471"/>
      <c r="W645" s="471" t="s">
        <v>1348</v>
      </c>
      <c r="X645" s="471">
        <v>1</v>
      </c>
    </row>
    <row r="646" spans="1:26">
      <c r="A646" s="406">
        <v>643</v>
      </c>
      <c r="B646" s="613" t="s">
        <v>2919</v>
      </c>
      <c r="C646" s="288" t="s">
        <v>1349</v>
      </c>
      <c r="D646" s="414" t="s">
        <v>3696</v>
      </c>
      <c r="E646" s="407" t="s">
        <v>8456</v>
      </c>
      <c r="F646" s="483" t="s">
        <v>2917</v>
      </c>
      <c r="G646" s="411" t="s">
        <v>2921</v>
      </c>
      <c r="H646" s="411" t="s">
        <v>2920</v>
      </c>
      <c r="I646" s="411"/>
      <c r="J646" s="411"/>
      <c r="K646" s="411"/>
      <c r="L646" s="608">
        <v>17442.271653543306</v>
      </c>
      <c r="M646" s="409">
        <v>1561</v>
      </c>
      <c r="N646" s="409">
        <v>19003.27165354331</v>
      </c>
      <c r="O646" s="410" t="s">
        <v>7752</v>
      </c>
      <c r="P646" s="406">
        <v>643</v>
      </c>
      <c r="Q646" s="470" t="s">
        <v>1349</v>
      </c>
      <c r="R646" s="460" t="s">
        <v>1350</v>
      </c>
      <c r="S646" s="270" t="s">
        <v>7</v>
      </c>
      <c r="U646" s="471"/>
      <c r="V646" s="471"/>
      <c r="W646" s="471" t="s">
        <v>1350</v>
      </c>
      <c r="X646" s="471">
        <v>1</v>
      </c>
    </row>
    <row r="647" spans="1:26">
      <c r="A647" s="406">
        <v>644</v>
      </c>
      <c r="B647" s="613" t="s">
        <v>2922</v>
      </c>
      <c r="C647" s="288" t="s">
        <v>1351</v>
      </c>
      <c r="D647" s="414" t="s">
        <v>3731</v>
      </c>
      <c r="E647" s="407" t="s">
        <v>8457</v>
      </c>
      <c r="F647" s="483" t="s">
        <v>2918</v>
      </c>
      <c r="G647" s="411" t="s">
        <v>2924</v>
      </c>
      <c r="H647" s="411" t="s">
        <v>2923</v>
      </c>
      <c r="I647" s="411"/>
      <c r="J647" s="411"/>
      <c r="K647" s="411"/>
      <c r="L647" s="608">
        <v>17442.826771653545</v>
      </c>
      <c r="M647" s="409">
        <v>1564.6692913385828</v>
      </c>
      <c r="N647" s="409">
        <v>19007.496062992126</v>
      </c>
      <c r="O647" s="410" t="s">
        <v>7752</v>
      </c>
      <c r="P647" s="406">
        <v>644</v>
      </c>
      <c r="Q647" s="470" t="s">
        <v>1351</v>
      </c>
      <c r="R647" s="460" t="s">
        <v>1352</v>
      </c>
      <c r="S647" s="270" t="s">
        <v>7</v>
      </c>
      <c r="U647" s="471"/>
      <c r="V647" s="471"/>
      <c r="W647" s="471" t="s">
        <v>1352</v>
      </c>
      <c r="X647" s="471">
        <v>1</v>
      </c>
    </row>
    <row r="648" spans="1:26">
      <c r="A648" s="406">
        <v>645</v>
      </c>
      <c r="B648" s="613" t="s">
        <v>2925</v>
      </c>
      <c r="C648" s="288" t="s">
        <v>1353</v>
      </c>
      <c r="D648" s="414" t="s">
        <v>3520</v>
      </c>
      <c r="E648" s="407" t="s">
        <v>8458</v>
      </c>
      <c r="F648" s="483"/>
      <c r="G648" s="483"/>
      <c r="H648" s="483"/>
      <c r="I648" s="483"/>
      <c r="J648" s="483"/>
      <c r="K648" s="483"/>
      <c r="L648" s="608" t="s">
        <v>4884</v>
      </c>
      <c r="M648" s="409">
        <v>16941.271653543306</v>
      </c>
      <c r="N648" s="409">
        <v>16941.271653543306</v>
      </c>
      <c r="O648" s="410" t="s">
        <v>7574</v>
      </c>
      <c r="P648" s="406">
        <v>645</v>
      </c>
      <c r="Q648" s="470" t="s">
        <v>1353</v>
      </c>
      <c r="R648" s="460" t="s">
        <v>1354</v>
      </c>
      <c r="S648" s="270" t="s">
        <v>7</v>
      </c>
      <c r="U648" s="471"/>
      <c r="V648" s="471"/>
      <c r="W648" s="471" t="s">
        <v>1354</v>
      </c>
      <c r="X648" s="471">
        <v>1</v>
      </c>
    </row>
    <row r="649" spans="1:26">
      <c r="A649" s="406">
        <v>646</v>
      </c>
      <c r="B649" s="613" t="s">
        <v>7020</v>
      </c>
      <c r="C649" s="288" t="s">
        <v>1355</v>
      </c>
      <c r="D649" s="414" t="s">
        <v>4884</v>
      </c>
      <c r="E649" s="407"/>
      <c r="F649" s="483"/>
      <c r="G649" s="483"/>
      <c r="H649" s="483"/>
      <c r="I649" s="483"/>
      <c r="J649" s="483"/>
      <c r="K649" s="483"/>
      <c r="L649" s="608" t="s">
        <v>4884</v>
      </c>
      <c r="M649" s="409" t="s">
        <v>4884</v>
      </c>
      <c r="N649" s="409" t="s">
        <v>4884</v>
      </c>
      <c r="O649" s="410" t="s">
        <v>4884</v>
      </c>
      <c r="P649" s="406">
        <v>646</v>
      </c>
      <c r="Q649" s="470" t="s">
        <v>1355</v>
      </c>
      <c r="R649" s="460" t="s">
        <v>1356</v>
      </c>
      <c r="S649" s="270" t="s">
        <v>7</v>
      </c>
      <c r="U649" s="471"/>
      <c r="V649" s="471"/>
      <c r="W649" s="471" t="s">
        <v>1356</v>
      </c>
      <c r="X649" s="471">
        <v>0</v>
      </c>
    </row>
    <row r="650" spans="1:26">
      <c r="A650" s="406">
        <v>647</v>
      </c>
      <c r="B650" s="613" t="s">
        <v>7020</v>
      </c>
      <c r="C650" s="288" t="s">
        <v>1357</v>
      </c>
      <c r="D650" s="414" t="s">
        <v>4884</v>
      </c>
      <c r="E650" s="407"/>
      <c r="F650" s="483"/>
      <c r="G650" s="483"/>
      <c r="H650" s="483"/>
      <c r="I650" s="483"/>
      <c r="J650" s="483"/>
      <c r="K650" s="483"/>
      <c r="L650" s="608" t="s">
        <v>4884</v>
      </c>
      <c r="M650" s="409" t="s">
        <v>4884</v>
      </c>
      <c r="N650" s="409" t="s">
        <v>4884</v>
      </c>
      <c r="O650" s="410" t="s">
        <v>4884</v>
      </c>
      <c r="P650" s="406">
        <v>647</v>
      </c>
      <c r="Q650" s="470" t="s">
        <v>1357</v>
      </c>
      <c r="R650" s="460" t="s">
        <v>1358</v>
      </c>
      <c r="S650" s="270" t="s">
        <v>7</v>
      </c>
      <c r="U650" s="471"/>
      <c r="V650" s="471"/>
      <c r="W650" s="471" t="s">
        <v>1358</v>
      </c>
      <c r="X650" s="471">
        <v>0</v>
      </c>
    </row>
    <row r="651" spans="1:26">
      <c r="A651" s="406">
        <v>648</v>
      </c>
      <c r="B651" s="613" t="s">
        <v>7020</v>
      </c>
      <c r="C651" s="288" t="s">
        <v>1359</v>
      </c>
      <c r="D651" s="414" t="s">
        <v>4884</v>
      </c>
      <c r="E651" s="407"/>
      <c r="F651" s="483" t="s">
        <v>3165</v>
      </c>
      <c r="G651" s="411"/>
      <c r="H651" s="411"/>
      <c r="I651" s="411"/>
      <c r="J651" s="411"/>
      <c r="K651" s="411"/>
      <c r="L651" s="608" t="s">
        <v>4884</v>
      </c>
      <c r="M651" s="409" t="s">
        <v>4884</v>
      </c>
      <c r="N651" s="409" t="s">
        <v>4884</v>
      </c>
      <c r="O651" s="410" t="s">
        <v>4884</v>
      </c>
      <c r="P651" s="406">
        <v>648</v>
      </c>
      <c r="Q651" s="470" t="s">
        <v>1359</v>
      </c>
      <c r="R651" s="460" t="s">
        <v>1360</v>
      </c>
      <c r="S651" s="270" t="s">
        <v>7</v>
      </c>
      <c r="U651" s="471"/>
      <c r="V651" s="471"/>
      <c r="W651" s="471" t="s">
        <v>1360</v>
      </c>
      <c r="X651" s="471">
        <v>0</v>
      </c>
    </row>
    <row r="652" spans="1:26">
      <c r="A652" s="406">
        <v>649</v>
      </c>
      <c r="B652" s="613" t="s">
        <v>5034</v>
      </c>
      <c r="C652" s="288" t="s">
        <v>1361</v>
      </c>
      <c r="D652" s="414" t="s">
        <v>3899</v>
      </c>
      <c r="E652" s="407" t="s">
        <v>8459</v>
      </c>
      <c r="F652" s="483" t="s">
        <v>5033</v>
      </c>
      <c r="G652" s="483" t="s">
        <v>3157</v>
      </c>
      <c r="H652" s="411" t="s">
        <v>3153</v>
      </c>
      <c r="I652" s="411" t="s">
        <v>3152</v>
      </c>
      <c r="J652" s="411"/>
      <c r="K652" s="411"/>
      <c r="L652" s="608">
        <v>7916.3740157480315</v>
      </c>
      <c r="M652" s="409">
        <v>966.4212598425197</v>
      </c>
      <c r="N652" s="409">
        <v>8882.7952755905517</v>
      </c>
      <c r="O652" s="410" t="s">
        <v>7776</v>
      </c>
      <c r="P652" s="406">
        <v>649</v>
      </c>
      <c r="Q652" s="470" t="s">
        <v>1361</v>
      </c>
      <c r="R652" s="475" t="s">
        <v>1362</v>
      </c>
      <c r="S652" s="270" t="s">
        <v>32</v>
      </c>
      <c r="U652" s="471"/>
      <c r="V652" s="464">
        <v>0</v>
      </c>
      <c r="W652" s="471"/>
      <c r="X652" s="471"/>
      <c r="Z652" s="270" t="s">
        <v>1363</v>
      </c>
    </row>
    <row r="653" spans="1:26">
      <c r="A653" s="406">
        <v>650</v>
      </c>
      <c r="B653" s="613" t="s">
        <v>5034</v>
      </c>
      <c r="C653" s="288" t="s">
        <v>1364</v>
      </c>
      <c r="D653" s="414" t="s">
        <v>3899</v>
      </c>
      <c r="E653" s="407" t="s">
        <v>8459</v>
      </c>
      <c r="F653" s="483" t="s">
        <v>3158</v>
      </c>
      <c r="G653" s="411" t="s">
        <v>3153</v>
      </c>
      <c r="H653" s="411" t="s">
        <v>3152</v>
      </c>
      <c r="I653" s="411"/>
      <c r="J653" s="411"/>
      <c r="K653" s="411"/>
      <c r="L653" s="608">
        <v>7916.3740157480315</v>
      </c>
      <c r="M653" s="409">
        <v>791.1811023622048</v>
      </c>
      <c r="N653" s="409">
        <v>8707.5551181102364</v>
      </c>
      <c r="O653" s="410" t="s">
        <v>7776</v>
      </c>
      <c r="P653" s="406">
        <v>650</v>
      </c>
      <c r="Q653" s="470" t="s">
        <v>1364</v>
      </c>
      <c r="R653" s="460" t="s">
        <v>1365</v>
      </c>
      <c r="S653" s="270" t="s">
        <v>32</v>
      </c>
      <c r="U653" s="471"/>
      <c r="V653" s="471">
        <v>1</v>
      </c>
      <c r="W653" s="471" t="s">
        <v>1365</v>
      </c>
      <c r="X653" s="471">
        <v>0</v>
      </c>
      <c r="Z653" s="270" t="s">
        <v>4891</v>
      </c>
    </row>
    <row r="654" spans="1:26">
      <c r="A654" s="406">
        <v>651</v>
      </c>
      <c r="B654" s="613" t="s">
        <v>2926</v>
      </c>
      <c r="C654" s="288" t="s">
        <v>1366</v>
      </c>
      <c r="D654" s="414" t="s">
        <v>3702</v>
      </c>
      <c r="E654" s="407" t="s">
        <v>8460</v>
      </c>
      <c r="F654" s="483"/>
      <c r="G654" s="483"/>
      <c r="H654" s="483"/>
      <c r="I654" s="483"/>
      <c r="J654" s="483"/>
      <c r="K654" s="483"/>
      <c r="L654" s="608" t="s">
        <v>4884</v>
      </c>
      <c r="M654" s="409">
        <v>13382.795275590552</v>
      </c>
      <c r="N654" s="409">
        <v>13382.795275590552</v>
      </c>
      <c r="O654" s="410" t="s">
        <v>7572</v>
      </c>
      <c r="P654" s="406">
        <v>651</v>
      </c>
      <c r="Q654" s="470" t="s">
        <v>1366</v>
      </c>
      <c r="R654" s="460" t="s">
        <v>1367</v>
      </c>
      <c r="S654" s="270" t="s">
        <v>7</v>
      </c>
      <c r="U654" s="471"/>
      <c r="V654" s="471"/>
      <c r="W654" s="471" t="s">
        <v>1367</v>
      </c>
      <c r="X654" s="471">
        <v>1</v>
      </c>
    </row>
    <row r="655" spans="1:26">
      <c r="A655" s="406">
        <v>652</v>
      </c>
      <c r="B655" s="613" t="s">
        <v>2927</v>
      </c>
      <c r="C655" s="288" t="s">
        <v>1368</v>
      </c>
      <c r="D655" s="414" t="s">
        <v>3650</v>
      </c>
      <c r="E655" s="407" t="s">
        <v>8461</v>
      </c>
      <c r="F655" s="483"/>
      <c r="G655" s="483"/>
      <c r="H655" s="483"/>
      <c r="I655" s="483"/>
      <c r="J655" s="483"/>
      <c r="K655" s="483"/>
      <c r="L655" s="608" t="s">
        <v>4884</v>
      </c>
      <c r="M655" s="409">
        <v>14072.484251968504</v>
      </c>
      <c r="N655" s="409">
        <v>14072.484251968504</v>
      </c>
      <c r="O655" s="410" t="s">
        <v>7576</v>
      </c>
      <c r="P655" s="406">
        <v>652</v>
      </c>
      <c r="Q655" s="470" t="s">
        <v>1368</v>
      </c>
      <c r="R655" s="460" t="s">
        <v>1369</v>
      </c>
      <c r="S655" s="270" t="s">
        <v>7</v>
      </c>
      <c r="U655" s="471"/>
      <c r="V655" s="471"/>
      <c r="W655" s="471" t="s">
        <v>1369</v>
      </c>
      <c r="X655" s="471">
        <v>1</v>
      </c>
    </row>
    <row r="656" spans="1:26">
      <c r="A656" s="406">
        <v>653</v>
      </c>
      <c r="B656" s="613" t="s">
        <v>7020</v>
      </c>
      <c r="C656" s="288" t="s">
        <v>1370</v>
      </c>
      <c r="D656" s="414" t="s">
        <v>4884</v>
      </c>
      <c r="E656" s="407"/>
      <c r="F656" s="483"/>
      <c r="G656" s="483"/>
      <c r="H656" s="483"/>
      <c r="I656" s="483"/>
      <c r="J656" s="483"/>
      <c r="K656" s="483"/>
      <c r="L656" s="608" t="s">
        <v>4884</v>
      </c>
      <c r="M656" s="409" t="s">
        <v>4884</v>
      </c>
      <c r="N656" s="409" t="s">
        <v>4884</v>
      </c>
      <c r="O656" s="410" t="s">
        <v>4884</v>
      </c>
      <c r="P656" s="406">
        <v>653</v>
      </c>
      <c r="Q656" s="470" t="s">
        <v>1370</v>
      </c>
      <c r="R656" s="460" t="s">
        <v>1371</v>
      </c>
      <c r="S656" s="270" t="s">
        <v>7</v>
      </c>
      <c r="U656" s="471"/>
      <c r="V656" s="471"/>
      <c r="W656" s="478" t="s">
        <v>7515</v>
      </c>
      <c r="X656" s="471">
        <v>0</v>
      </c>
    </row>
    <row r="657" spans="1:26">
      <c r="A657" s="406">
        <v>654</v>
      </c>
      <c r="B657" s="613" t="s">
        <v>7020</v>
      </c>
      <c r="C657" s="288" t="s">
        <v>1372</v>
      </c>
      <c r="D657" s="414" t="s">
        <v>4884</v>
      </c>
      <c r="E657" s="407"/>
      <c r="F657" s="483"/>
      <c r="G657" s="483"/>
      <c r="H657" s="483"/>
      <c r="I657" s="483"/>
      <c r="J657" s="483"/>
      <c r="K657" s="483"/>
      <c r="L657" s="608" t="s">
        <v>4884</v>
      </c>
      <c r="M657" s="409" t="s">
        <v>4884</v>
      </c>
      <c r="N657" s="409" t="s">
        <v>4884</v>
      </c>
      <c r="O657" s="410" t="s">
        <v>4884</v>
      </c>
      <c r="P657" s="406">
        <v>654</v>
      </c>
      <c r="Q657" s="470" t="s">
        <v>1372</v>
      </c>
      <c r="R657" s="475" t="s">
        <v>1373</v>
      </c>
      <c r="S657" s="270" t="s">
        <v>7</v>
      </c>
      <c r="U657" s="471"/>
      <c r="V657" s="471"/>
      <c r="W657" s="478" t="s">
        <v>7516</v>
      </c>
      <c r="X657" s="471">
        <v>0</v>
      </c>
      <c r="Y657" s="206"/>
      <c r="Z657" s="206"/>
    </row>
    <row r="658" spans="1:26">
      <c r="A658" s="406">
        <v>655</v>
      </c>
      <c r="B658" s="613" t="s">
        <v>7020</v>
      </c>
      <c r="C658" s="288" t="s">
        <v>1374</v>
      </c>
      <c r="D658" s="414" t="s">
        <v>4884</v>
      </c>
      <c r="E658" s="407"/>
      <c r="F658" s="483"/>
      <c r="G658" s="483"/>
      <c r="H658" s="483"/>
      <c r="I658" s="483"/>
      <c r="J658" s="483"/>
      <c r="K658" s="483"/>
      <c r="L658" s="608" t="s">
        <v>4884</v>
      </c>
      <c r="M658" s="409" t="s">
        <v>4884</v>
      </c>
      <c r="N658" s="409" t="s">
        <v>4884</v>
      </c>
      <c r="O658" s="410" t="s">
        <v>4884</v>
      </c>
      <c r="P658" s="406">
        <v>655</v>
      </c>
      <c r="Q658" s="470" t="s">
        <v>1374</v>
      </c>
      <c r="R658" s="475" t="s">
        <v>1375</v>
      </c>
      <c r="S658" s="270" t="s">
        <v>7</v>
      </c>
      <c r="U658" s="471"/>
      <c r="V658" s="471"/>
      <c r="W658" s="478" t="s">
        <v>7517</v>
      </c>
      <c r="X658" s="471">
        <v>0</v>
      </c>
      <c r="Y658" s="206"/>
      <c r="Z658" s="206"/>
    </row>
    <row r="659" spans="1:26">
      <c r="A659" s="406">
        <v>656</v>
      </c>
      <c r="B659" s="613" t="s">
        <v>7020</v>
      </c>
      <c r="C659" s="288" t="s">
        <v>1376</v>
      </c>
      <c r="D659" s="414" t="s">
        <v>4884</v>
      </c>
      <c r="E659" s="407"/>
      <c r="F659" s="483"/>
      <c r="G659" s="483"/>
      <c r="H659" s="483"/>
      <c r="I659" s="483"/>
      <c r="J659" s="483"/>
      <c r="K659" s="483"/>
      <c r="L659" s="608" t="s">
        <v>4884</v>
      </c>
      <c r="M659" s="409" t="s">
        <v>4884</v>
      </c>
      <c r="N659" s="409" t="s">
        <v>4884</v>
      </c>
      <c r="O659" s="410" t="s">
        <v>4884</v>
      </c>
      <c r="P659" s="406">
        <v>656</v>
      </c>
      <c r="Q659" s="470" t="s">
        <v>1376</v>
      </c>
      <c r="R659" s="475" t="s">
        <v>1377</v>
      </c>
      <c r="S659" s="270" t="s">
        <v>7</v>
      </c>
      <c r="U659" s="471"/>
      <c r="V659" s="471"/>
      <c r="W659" s="478"/>
      <c r="X659" s="471">
        <v>0</v>
      </c>
      <c r="Y659" s="206"/>
      <c r="Z659" s="206"/>
    </row>
    <row r="660" spans="1:26">
      <c r="A660" s="406">
        <v>657</v>
      </c>
      <c r="B660" s="613" t="s">
        <v>7020</v>
      </c>
      <c r="C660" s="288" t="s">
        <v>1378</v>
      </c>
      <c r="D660" s="414" t="s">
        <v>4884</v>
      </c>
      <c r="E660" s="407"/>
      <c r="F660" s="483"/>
      <c r="G660" s="483"/>
      <c r="H660" s="483"/>
      <c r="I660" s="483"/>
      <c r="J660" s="483"/>
      <c r="K660" s="483"/>
      <c r="L660" s="608" t="s">
        <v>4884</v>
      </c>
      <c r="M660" s="409" t="s">
        <v>4884</v>
      </c>
      <c r="N660" s="409" t="s">
        <v>4884</v>
      </c>
      <c r="O660" s="410" t="s">
        <v>4884</v>
      </c>
      <c r="P660" s="406">
        <v>657</v>
      </c>
      <c r="Q660" s="470" t="s">
        <v>1378</v>
      </c>
      <c r="R660" s="475" t="s">
        <v>1379</v>
      </c>
      <c r="S660" s="270" t="s">
        <v>7</v>
      </c>
      <c r="U660" s="471"/>
      <c r="V660" s="471"/>
      <c r="W660" s="478"/>
      <c r="X660" s="471">
        <v>0</v>
      </c>
      <c r="Y660" s="206"/>
      <c r="Z660" s="206"/>
    </row>
    <row r="661" spans="1:26">
      <c r="A661" s="406">
        <v>658</v>
      </c>
      <c r="B661" s="613" t="s">
        <v>7020</v>
      </c>
      <c r="C661" s="288" t="s">
        <v>1380</v>
      </c>
      <c r="D661" s="414" t="s">
        <v>4884</v>
      </c>
      <c r="E661" s="407"/>
      <c r="F661" s="483"/>
      <c r="G661" s="483"/>
      <c r="H661" s="483"/>
      <c r="I661" s="483"/>
      <c r="J661" s="483"/>
      <c r="K661" s="483"/>
      <c r="L661" s="608" t="s">
        <v>4884</v>
      </c>
      <c r="M661" s="409" t="s">
        <v>4884</v>
      </c>
      <c r="N661" s="409" t="s">
        <v>4884</v>
      </c>
      <c r="O661" s="410" t="s">
        <v>4884</v>
      </c>
      <c r="P661" s="406">
        <v>658</v>
      </c>
      <c r="Q661" s="470" t="s">
        <v>1380</v>
      </c>
      <c r="R661" s="475" t="s">
        <v>1381</v>
      </c>
      <c r="S661" s="270" t="s">
        <v>7</v>
      </c>
      <c r="U661" s="471"/>
      <c r="V661" s="471"/>
      <c r="W661" s="478"/>
      <c r="X661" s="471">
        <v>0</v>
      </c>
      <c r="Y661" s="206"/>
      <c r="Z661" s="206"/>
    </row>
    <row r="662" spans="1:26">
      <c r="A662" s="406">
        <v>659</v>
      </c>
      <c r="B662" s="613" t="s">
        <v>7020</v>
      </c>
      <c r="C662" s="288" t="s">
        <v>1382</v>
      </c>
      <c r="D662" s="414" t="s">
        <v>4884</v>
      </c>
      <c r="E662" s="407"/>
      <c r="F662" s="483"/>
      <c r="G662" s="483"/>
      <c r="H662" s="483"/>
      <c r="I662" s="483"/>
      <c r="J662" s="483"/>
      <c r="K662" s="483"/>
      <c r="L662" s="608" t="s">
        <v>4884</v>
      </c>
      <c r="M662" s="409" t="s">
        <v>4884</v>
      </c>
      <c r="N662" s="409" t="s">
        <v>4884</v>
      </c>
      <c r="O662" s="410" t="s">
        <v>4884</v>
      </c>
      <c r="P662" s="406">
        <v>659</v>
      </c>
      <c r="Q662" s="470" t="s">
        <v>1382</v>
      </c>
      <c r="R662" s="475" t="s">
        <v>1383</v>
      </c>
      <c r="S662" s="270" t="s">
        <v>7</v>
      </c>
      <c r="U662" s="471"/>
      <c r="V662" s="471"/>
      <c r="W662" s="478"/>
      <c r="X662" s="471">
        <v>0</v>
      </c>
      <c r="Y662" s="206"/>
      <c r="Z662" s="206"/>
    </row>
    <row r="663" spans="1:26">
      <c r="A663" s="406">
        <v>660</v>
      </c>
      <c r="B663" s="613" t="s">
        <v>7020</v>
      </c>
      <c r="C663" s="288" t="s">
        <v>1384</v>
      </c>
      <c r="D663" s="414" t="s">
        <v>4884</v>
      </c>
      <c r="E663" s="407"/>
      <c r="F663" s="483"/>
      <c r="G663" s="483"/>
      <c r="H663" s="483"/>
      <c r="I663" s="483"/>
      <c r="J663" s="483"/>
      <c r="K663" s="483"/>
      <c r="L663" s="608" t="s">
        <v>4884</v>
      </c>
      <c r="M663" s="409" t="s">
        <v>4884</v>
      </c>
      <c r="N663" s="409" t="s">
        <v>4884</v>
      </c>
      <c r="O663" s="410" t="s">
        <v>4884</v>
      </c>
      <c r="P663" s="406">
        <v>660</v>
      </c>
      <c r="Q663" s="470" t="s">
        <v>1384</v>
      </c>
      <c r="R663" s="475" t="s">
        <v>1385</v>
      </c>
      <c r="S663" s="270" t="s">
        <v>7</v>
      </c>
      <c r="U663" s="471"/>
      <c r="V663" s="471"/>
      <c r="W663" s="478"/>
      <c r="X663" s="471">
        <v>0</v>
      </c>
      <c r="Y663" s="206"/>
      <c r="Z663" s="206"/>
    </row>
    <row r="664" spans="1:26">
      <c r="A664" s="406">
        <v>661</v>
      </c>
      <c r="B664" s="613" t="s">
        <v>7020</v>
      </c>
      <c r="C664" s="288" t="s">
        <v>1386</v>
      </c>
      <c r="D664" s="414" t="s">
        <v>4884</v>
      </c>
      <c r="E664" s="407"/>
      <c r="F664" s="483"/>
      <c r="G664" s="483"/>
      <c r="H664" s="483"/>
      <c r="I664" s="483"/>
      <c r="J664" s="483"/>
      <c r="K664" s="483"/>
      <c r="L664" s="608" t="s">
        <v>4884</v>
      </c>
      <c r="M664" s="409" t="s">
        <v>4884</v>
      </c>
      <c r="N664" s="409" t="s">
        <v>4884</v>
      </c>
      <c r="O664" s="410" t="s">
        <v>4884</v>
      </c>
      <c r="P664" s="406">
        <v>661</v>
      </c>
      <c r="Q664" s="470" t="s">
        <v>1386</v>
      </c>
      <c r="R664" s="460" t="s">
        <v>1387</v>
      </c>
      <c r="S664" s="270" t="s">
        <v>7</v>
      </c>
      <c r="U664" s="471"/>
      <c r="V664" s="471"/>
      <c r="W664" s="478"/>
      <c r="X664" s="471">
        <v>0</v>
      </c>
      <c r="Y664" s="206"/>
      <c r="Z664" s="206"/>
    </row>
    <row r="665" spans="1:26">
      <c r="A665" s="406">
        <v>662</v>
      </c>
      <c r="B665" s="613" t="s">
        <v>7020</v>
      </c>
      <c r="C665" s="288" t="s">
        <v>1388</v>
      </c>
      <c r="D665" s="414" t="s">
        <v>4884</v>
      </c>
      <c r="E665" s="407"/>
      <c r="F665" s="483"/>
      <c r="G665" s="483"/>
      <c r="H665" s="483"/>
      <c r="I665" s="483"/>
      <c r="J665" s="483"/>
      <c r="K665" s="483"/>
      <c r="L665" s="608" t="s">
        <v>4884</v>
      </c>
      <c r="M665" s="409" t="s">
        <v>4884</v>
      </c>
      <c r="N665" s="409" t="s">
        <v>4884</v>
      </c>
      <c r="O665" s="410" t="s">
        <v>4884</v>
      </c>
      <c r="P665" s="406">
        <v>662</v>
      </c>
      <c r="Q665" s="470" t="s">
        <v>1388</v>
      </c>
      <c r="R665" s="460" t="s">
        <v>1389</v>
      </c>
      <c r="S665" s="270" t="s">
        <v>7</v>
      </c>
      <c r="U665" s="471"/>
      <c r="V665" s="471"/>
      <c r="W665" s="478"/>
      <c r="X665" s="471">
        <v>0</v>
      </c>
      <c r="Y665" s="206"/>
      <c r="Z665" s="206"/>
    </row>
    <row r="666" spans="1:26">
      <c r="A666" s="406">
        <v>663</v>
      </c>
      <c r="B666" s="613" t="s">
        <v>7020</v>
      </c>
      <c r="C666" s="288" t="s">
        <v>1390</v>
      </c>
      <c r="D666" s="414" t="s">
        <v>4884</v>
      </c>
      <c r="E666" s="407"/>
      <c r="F666" s="483"/>
      <c r="G666" s="483"/>
      <c r="H666" s="483"/>
      <c r="I666" s="483"/>
      <c r="J666" s="483"/>
      <c r="K666" s="483"/>
      <c r="L666" s="608" t="s">
        <v>4884</v>
      </c>
      <c r="M666" s="409" t="s">
        <v>4884</v>
      </c>
      <c r="N666" s="409" t="s">
        <v>4884</v>
      </c>
      <c r="O666" s="410" t="s">
        <v>4884</v>
      </c>
      <c r="P666" s="406">
        <v>663</v>
      </c>
      <c r="Q666" s="470" t="s">
        <v>1390</v>
      </c>
      <c r="R666" s="475" t="s">
        <v>1391</v>
      </c>
      <c r="S666" s="270" t="s">
        <v>7</v>
      </c>
      <c r="U666" s="471"/>
      <c r="V666" s="471"/>
      <c r="W666" s="478"/>
      <c r="X666" s="471">
        <v>0</v>
      </c>
      <c r="Y666" s="206"/>
      <c r="Z666" s="206"/>
    </row>
    <row r="667" spans="1:26">
      <c r="A667" s="406">
        <v>664</v>
      </c>
      <c r="B667" s="613" t="s">
        <v>7020</v>
      </c>
      <c r="C667" s="288" t="s">
        <v>1392</v>
      </c>
      <c r="D667" s="414" t="s">
        <v>4884</v>
      </c>
      <c r="E667" s="407"/>
      <c r="F667" s="483"/>
      <c r="G667" s="483"/>
      <c r="H667" s="483"/>
      <c r="I667" s="483"/>
      <c r="J667" s="483"/>
      <c r="K667" s="483"/>
      <c r="L667" s="608" t="s">
        <v>4884</v>
      </c>
      <c r="M667" s="409" t="s">
        <v>4884</v>
      </c>
      <c r="N667" s="409" t="s">
        <v>4884</v>
      </c>
      <c r="O667" s="410" t="s">
        <v>4884</v>
      </c>
      <c r="P667" s="406">
        <v>664</v>
      </c>
      <c r="Q667" s="470" t="s">
        <v>1392</v>
      </c>
      <c r="R667" s="475" t="s">
        <v>1393</v>
      </c>
      <c r="S667" s="270" t="s">
        <v>7</v>
      </c>
      <c r="U667" s="471"/>
      <c r="V667" s="471"/>
      <c r="W667" s="478"/>
      <c r="X667" s="471">
        <v>0</v>
      </c>
      <c r="Y667" s="206"/>
      <c r="Z667" s="206"/>
    </row>
    <row r="668" spans="1:26">
      <c r="A668" s="406">
        <v>665</v>
      </c>
      <c r="B668" s="613" t="s">
        <v>7020</v>
      </c>
      <c r="C668" s="288" t="s">
        <v>1394</v>
      </c>
      <c r="D668" s="414" t="s">
        <v>4884</v>
      </c>
      <c r="E668" s="407"/>
      <c r="F668" s="483"/>
      <c r="G668" s="483"/>
      <c r="H668" s="483"/>
      <c r="I668" s="483"/>
      <c r="J668" s="483"/>
      <c r="K668" s="483"/>
      <c r="L668" s="608" t="s">
        <v>4884</v>
      </c>
      <c r="M668" s="409" t="s">
        <v>4884</v>
      </c>
      <c r="N668" s="409" t="s">
        <v>4884</v>
      </c>
      <c r="O668" s="410" t="s">
        <v>4884</v>
      </c>
      <c r="P668" s="406">
        <v>665</v>
      </c>
      <c r="Q668" s="470" t="s">
        <v>1394</v>
      </c>
      <c r="R668" s="475" t="s">
        <v>7985</v>
      </c>
      <c r="S668" s="270" t="s">
        <v>7986</v>
      </c>
      <c r="U668" s="471"/>
      <c r="V668" s="471"/>
      <c r="W668" s="478"/>
      <c r="X668" s="471">
        <v>0</v>
      </c>
      <c r="Y668" s="206"/>
      <c r="Z668" s="753" t="s">
        <v>7987</v>
      </c>
    </row>
    <row r="669" spans="1:26">
      <c r="A669" s="406">
        <v>666</v>
      </c>
      <c r="B669" s="613" t="s">
        <v>7020</v>
      </c>
      <c r="C669" s="288" t="s">
        <v>1395</v>
      </c>
      <c r="D669" s="414" t="s">
        <v>4884</v>
      </c>
      <c r="E669" s="407"/>
      <c r="F669" s="483"/>
      <c r="G669" s="483"/>
      <c r="H669" s="483"/>
      <c r="I669" s="483"/>
      <c r="J669" s="483"/>
      <c r="K669" s="483"/>
      <c r="L669" s="608" t="s">
        <v>4884</v>
      </c>
      <c r="M669" s="409" t="s">
        <v>4884</v>
      </c>
      <c r="N669" s="409" t="s">
        <v>4884</v>
      </c>
      <c r="O669" s="410" t="s">
        <v>4884</v>
      </c>
      <c r="P669" s="406">
        <v>666</v>
      </c>
      <c r="Q669" s="470" t="s">
        <v>1395</v>
      </c>
      <c r="R669" s="475" t="s">
        <v>7985</v>
      </c>
      <c r="S669" s="270" t="s">
        <v>7986</v>
      </c>
      <c r="U669" s="471"/>
      <c r="V669" s="471"/>
      <c r="W669" s="478"/>
      <c r="X669" s="471">
        <v>0</v>
      </c>
      <c r="Y669" s="206"/>
      <c r="Z669" s="753" t="s">
        <v>7988</v>
      </c>
    </row>
    <row r="670" spans="1:26">
      <c r="A670" s="406">
        <v>667</v>
      </c>
      <c r="B670" s="613" t="s">
        <v>7020</v>
      </c>
      <c r="C670" s="288" t="s">
        <v>1396</v>
      </c>
      <c r="D670" s="414" t="s">
        <v>4884</v>
      </c>
      <c r="E670" s="407"/>
      <c r="F670" s="483"/>
      <c r="G670" s="483"/>
      <c r="H670" s="483"/>
      <c r="I670" s="483"/>
      <c r="J670" s="483"/>
      <c r="K670" s="483"/>
      <c r="L670" s="608" t="s">
        <v>4884</v>
      </c>
      <c r="M670" s="409" t="s">
        <v>4884</v>
      </c>
      <c r="N670" s="409" t="s">
        <v>4884</v>
      </c>
      <c r="O670" s="410" t="s">
        <v>4884</v>
      </c>
      <c r="P670" s="406">
        <v>667</v>
      </c>
      <c r="Q670" s="470" t="s">
        <v>1396</v>
      </c>
      <c r="R670" s="475" t="s">
        <v>1397</v>
      </c>
      <c r="S670" s="270" t="s">
        <v>7</v>
      </c>
      <c r="U670" s="471"/>
      <c r="V670" s="471"/>
      <c r="W670" s="478"/>
      <c r="X670" s="471">
        <v>0</v>
      </c>
      <c r="Y670" s="206"/>
      <c r="Z670" s="206"/>
    </row>
    <row r="671" spans="1:26">
      <c r="A671" s="406">
        <v>668</v>
      </c>
      <c r="B671" s="613" t="s">
        <v>7020</v>
      </c>
      <c r="C671" s="288" t="s">
        <v>1398</v>
      </c>
      <c r="D671" s="414" t="s">
        <v>4884</v>
      </c>
      <c r="E671" s="407"/>
      <c r="F671" s="483"/>
      <c r="G671" s="483"/>
      <c r="H671" s="483"/>
      <c r="I671" s="483"/>
      <c r="J671" s="483"/>
      <c r="K671" s="483"/>
      <c r="L671" s="608" t="s">
        <v>4884</v>
      </c>
      <c r="M671" s="409" t="s">
        <v>4884</v>
      </c>
      <c r="N671" s="409" t="s">
        <v>4884</v>
      </c>
      <c r="O671" s="410" t="s">
        <v>4884</v>
      </c>
      <c r="P671" s="406">
        <v>668</v>
      </c>
      <c r="Q671" s="470" t="s">
        <v>1398</v>
      </c>
      <c r="R671" s="475" t="s">
        <v>1399</v>
      </c>
      <c r="S671" s="270" t="s">
        <v>7</v>
      </c>
      <c r="U671" s="471"/>
      <c r="V671" s="471"/>
      <c r="W671" s="478"/>
      <c r="X671" s="471">
        <v>0</v>
      </c>
      <c r="Y671" s="206"/>
      <c r="Z671" s="206"/>
    </row>
    <row r="672" spans="1:26">
      <c r="A672" s="406">
        <v>669</v>
      </c>
      <c r="B672" s="613" t="s">
        <v>2928</v>
      </c>
      <c r="C672" s="288" t="s">
        <v>1400</v>
      </c>
      <c r="D672" s="414" t="s">
        <v>3719</v>
      </c>
      <c r="E672" s="407" t="s">
        <v>8462</v>
      </c>
      <c r="F672" s="483"/>
      <c r="G672" s="483"/>
      <c r="H672" s="483"/>
      <c r="I672" s="483"/>
      <c r="J672" s="483"/>
      <c r="K672" s="483"/>
      <c r="L672" s="608" t="s">
        <v>4884</v>
      </c>
      <c r="M672" s="409">
        <v>11525.129921259842</v>
      </c>
      <c r="N672" s="409">
        <v>11525.129921259842</v>
      </c>
      <c r="O672" s="410" t="s">
        <v>7572</v>
      </c>
      <c r="P672" s="406">
        <v>669</v>
      </c>
      <c r="Q672" s="470" t="s">
        <v>1400</v>
      </c>
      <c r="R672" s="460" t="s">
        <v>1401</v>
      </c>
      <c r="S672" s="270" t="s">
        <v>7</v>
      </c>
      <c r="U672" s="471"/>
      <c r="V672" s="471"/>
      <c r="W672" s="471" t="s">
        <v>1401</v>
      </c>
      <c r="X672" s="471">
        <v>1</v>
      </c>
      <c r="Y672" s="206"/>
      <c r="Z672" s="206"/>
    </row>
    <row r="673" spans="1:26">
      <c r="A673" s="406">
        <v>670</v>
      </c>
      <c r="B673" s="613" t="s">
        <v>2929</v>
      </c>
      <c r="C673" s="288" t="s">
        <v>1402</v>
      </c>
      <c r="D673" s="414" t="s">
        <v>3717</v>
      </c>
      <c r="E673" s="407" t="s">
        <v>8463</v>
      </c>
      <c r="F673" s="483"/>
      <c r="G673" s="483"/>
      <c r="H673" s="483"/>
      <c r="I673" s="483"/>
      <c r="J673" s="483"/>
      <c r="K673" s="483"/>
      <c r="L673" s="608" t="s">
        <v>4884</v>
      </c>
      <c r="M673" s="409">
        <v>11489.858267716536</v>
      </c>
      <c r="N673" s="409">
        <v>11489.858267716536</v>
      </c>
      <c r="O673" s="410" t="s">
        <v>7572</v>
      </c>
      <c r="P673" s="406">
        <v>670</v>
      </c>
      <c r="Q673" s="470" t="s">
        <v>1402</v>
      </c>
      <c r="R673" s="270" t="s">
        <v>1403</v>
      </c>
      <c r="S673" s="270" t="s">
        <v>7</v>
      </c>
      <c r="U673" s="471"/>
      <c r="V673" s="471"/>
      <c r="W673" s="471" t="s">
        <v>1403</v>
      </c>
      <c r="X673" s="471">
        <v>1</v>
      </c>
    </row>
    <row r="674" spans="1:26">
      <c r="A674" s="406">
        <v>671</v>
      </c>
      <c r="B674" s="613" t="s">
        <v>2930</v>
      </c>
      <c r="C674" s="288" t="s">
        <v>1404</v>
      </c>
      <c r="D674" s="414" t="s">
        <v>3668</v>
      </c>
      <c r="E674" s="407" t="s">
        <v>8464</v>
      </c>
      <c r="F674" s="483"/>
      <c r="G674" s="483"/>
      <c r="H674" s="483"/>
      <c r="I674" s="483"/>
      <c r="J674" s="483"/>
      <c r="K674" s="483"/>
      <c r="L674" s="608" t="s">
        <v>4884</v>
      </c>
      <c r="M674" s="409">
        <v>11709.92913385827</v>
      </c>
      <c r="N674" s="409">
        <v>11709.92913385827</v>
      </c>
      <c r="O674" s="410" t="s">
        <v>7576</v>
      </c>
      <c r="P674" s="406">
        <v>671</v>
      </c>
      <c r="Q674" s="470" t="s">
        <v>1404</v>
      </c>
      <c r="R674" s="270" t="s">
        <v>1405</v>
      </c>
      <c r="S674" s="270" t="s">
        <v>7</v>
      </c>
      <c r="U674" s="471"/>
      <c r="V674" s="471"/>
      <c r="W674" s="471" t="s">
        <v>1405</v>
      </c>
      <c r="X674" s="471">
        <v>1</v>
      </c>
    </row>
    <row r="675" spans="1:26">
      <c r="A675" s="406">
        <v>672</v>
      </c>
      <c r="B675" s="613" t="s">
        <v>2931</v>
      </c>
      <c r="C675" s="288" t="s">
        <v>1406</v>
      </c>
      <c r="D675" s="414" t="s">
        <v>3687</v>
      </c>
      <c r="E675" s="407" t="s">
        <v>8465</v>
      </c>
      <c r="F675" s="483"/>
      <c r="G675" s="483"/>
      <c r="H675" s="483"/>
      <c r="I675" s="483"/>
      <c r="J675" s="483"/>
      <c r="K675" s="483"/>
      <c r="L675" s="608" t="s">
        <v>4884</v>
      </c>
      <c r="M675" s="409">
        <v>17941.814960629923</v>
      </c>
      <c r="N675" s="409">
        <v>17941.814960629923</v>
      </c>
      <c r="O675" s="410" t="s">
        <v>7567</v>
      </c>
      <c r="P675" s="406">
        <v>672</v>
      </c>
      <c r="Q675" s="470" t="s">
        <v>1406</v>
      </c>
      <c r="R675" s="270" t="s">
        <v>1407</v>
      </c>
      <c r="S675" s="270" t="s">
        <v>7</v>
      </c>
      <c r="U675" s="471"/>
      <c r="V675" s="471"/>
      <c r="W675" s="471" t="s">
        <v>1407</v>
      </c>
      <c r="X675" s="471">
        <v>1</v>
      </c>
    </row>
    <row r="676" spans="1:26">
      <c r="A676" s="406">
        <v>673</v>
      </c>
      <c r="B676" s="613" t="s">
        <v>2932</v>
      </c>
      <c r="C676" s="288" t="s">
        <v>1408</v>
      </c>
      <c r="D676" s="414" t="s">
        <v>3638</v>
      </c>
      <c r="E676" s="407" t="s">
        <v>8466</v>
      </c>
      <c r="F676" s="483"/>
      <c r="G676" s="483"/>
      <c r="H676" s="483"/>
      <c r="I676" s="483"/>
      <c r="J676" s="483"/>
      <c r="K676" s="483"/>
      <c r="L676" s="608" t="s">
        <v>4884</v>
      </c>
      <c r="M676" s="409">
        <v>12961.448818897637</v>
      </c>
      <c r="N676" s="409">
        <v>12961.448818897637</v>
      </c>
      <c r="O676" s="410" t="s">
        <v>7574</v>
      </c>
      <c r="P676" s="406">
        <v>673</v>
      </c>
      <c r="Q676" s="470" t="s">
        <v>1408</v>
      </c>
      <c r="R676" s="270" t="s">
        <v>1409</v>
      </c>
      <c r="S676" s="270" t="s">
        <v>7</v>
      </c>
      <c r="U676" s="471"/>
      <c r="V676" s="471"/>
      <c r="W676" s="471" t="s">
        <v>1409</v>
      </c>
      <c r="X676" s="471">
        <v>1</v>
      </c>
    </row>
    <row r="677" spans="1:26">
      <c r="A677" s="406">
        <v>674</v>
      </c>
      <c r="B677" s="613" t="s">
        <v>2933</v>
      </c>
      <c r="C677" s="288" t="s">
        <v>1410</v>
      </c>
      <c r="D677" s="414" t="s">
        <v>3640</v>
      </c>
      <c r="E677" s="407" t="s">
        <v>8467</v>
      </c>
      <c r="F677" s="483"/>
      <c r="G677" s="483"/>
      <c r="H677" s="411"/>
      <c r="I677" s="411"/>
      <c r="J677" s="411"/>
      <c r="K677" s="411"/>
      <c r="L677" s="608" t="s">
        <v>4884</v>
      </c>
      <c r="M677" s="409">
        <v>13157.519685039371</v>
      </c>
      <c r="N677" s="409">
        <v>13157.519685039371</v>
      </c>
      <c r="O677" s="410" t="s">
        <v>7574</v>
      </c>
      <c r="P677" s="406">
        <v>674</v>
      </c>
      <c r="Q677" s="470" t="s">
        <v>1410</v>
      </c>
      <c r="R677" s="270" t="s">
        <v>1411</v>
      </c>
      <c r="S677" s="270" t="s">
        <v>7</v>
      </c>
      <c r="U677" s="471"/>
      <c r="V677" s="471"/>
      <c r="W677" s="471" t="s">
        <v>1411</v>
      </c>
      <c r="X677" s="471">
        <v>1</v>
      </c>
    </row>
    <row r="678" spans="1:26">
      <c r="A678" s="406">
        <v>675</v>
      </c>
      <c r="B678" s="613" t="s">
        <v>2934</v>
      </c>
      <c r="C678" s="288" t="s">
        <v>1412</v>
      </c>
      <c r="D678" s="414" t="s">
        <v>3685</v>
      </c>
      <c r="E678" s="407" t="s">
        <v>8468</v>
      </c>
      <c r="F678" s="483"/>
      <c r="G678" s="483"/>
      <c r="H678" s="411"/>
      <c r="I678" s="411"/>
      <c r="J678" s="411"/>
      <c r="K678" s="411"/>
      <c r="L678" s="608" t="s">
        <v>4884</v>
      </c>
      <c r="M678" s="409">
        <v>17529.232283464567</v>
      </c>
      <c r="N678" s="409">
        <v>17529.232283464567</v>
      </c>
      <c r="O678" s="410" t="s">
        <v>7567</v>
      </c>
      <c r="P678" s="406">
        <v>675</v>
      </c>
      <c r="Q678" s="470" t="s">
        <v>1412</v>
      </c>
      <c r="R678" s="460" t="s">
        <v>1413</v>
      </c>
      <c r="S678" s="270" t="s">
        <v>7</v>
      </c>
      <c r="U678" s="471"/>
      <c r="V678" s="471"/>
      <c r="W678" s="471" t="s">
        <v>1413</v>
      </c>
      <c r="X678" s="471">
        <v>1</v>
      </c>
    </row>
    <row r="679" spans="1:26">
      <c r="A679" s="406">
        <v>676</v>
      </c>
      <c r="B679" s="613" t="s">
        <v>2935</v>
      </c>
      <c r="C679" s="288" t="s">
        <v>1414</v>
      </c>
      <c r="D679" s="414" t="s">
        <v>3716</v>
      </c>
      <c r="E679" s="407" t="s">
        <v>8469</v>
      </c>
      <c r="F679" s="483"/>
      <c r="G679" s="483"/>
      <c r="H679" s="483"/>
      <c r="I679" s="483"/>
      <c r="J679" s="483"/>
      <c r="K679" s="483"/>
      <c r="L679" s="608" t="s">
        <v>4884</v>
      </c>
      <c r="M679" s="409">
        <v>11580.188976377953</v>
      </c>
      <c r="N679" s="409">
        <v>11580.188976377953</v>
      </c>
      <c r="O679" s="410" t="s">
        <v>7572</v>
      </c>
      <c r="P679" s="406">
        <v>676</v>
      </c>
      <c r="Q679" s="470" t="s">
        <v>1414</v>
      </c>
      <c r="R679" s="460" t="s">
        <v>1415</v>
      </c>
      <c r="S679" s="270" t="s">
        <v>7</v>
      </c>
      <c r="U679" s="471"/>
      <c r="V679" s="471"/>
      <c r="W679" s="471" t="s">
        <v>1415</v>
      </c>
      <c r="X679" s="471">
        <v>1</v>
      </c>
    </row>
    <row r="680" spans="1:26">
      <c r="A680" s="406">
        <v>677</v>
      </c>
      <c r="B680" s="613" t="s">
        <v>2936</v>
      </c>
      <c r="C680" s="288" t="s">
        <v>1416</v>
      </c>
      <c r="D680" s="414" t="s">
        <v>3521</v>
      </c>
      <c r="E680" s="407" t="s">
        <v>8470</v>
      </c>
      <c r="F680" s="483"/>
      <c r="G680" s="483"/>
      <c r="H680" s="483"/>
      <c r="I680" s="483"/>
      <c r="J680" s="483"/>
      <c r="K680" s="483"/>
      <c r="L680" s="608" t="s">
        <v>4884</v>
      </c>
      <c r="M680" s="409">
        <v>17606.303149606301</v>
      </c>
      <c r="N680" s="409">
        <v>17606.303149606301</v>
      </c>
      <c r="O680" s="410" t="s">
        <v>7574</v>
      </c>
      <c r="P680" s="406">
        <v>677</v>
      </c>
      <c r="Q680" s="470" t="s">
        <v>1416</v>
      </c>
      <c r="R680" s="460" t="s">
        <v>1417</v>
      </c>
      <c r="S680" s="270" t="s">
        <v>7</v>
      </c>
      <c r="U680" s="471"/>
      <c r="V680" s="471"/>
      <c r="W680" s="471" t="s">
        <v>1417</v>
      </c>
      <c r="X680" s="471">
        <v>1</v>
      </c>
    </row>
    <row r="681" spans="1:26">
      <c r="A681" s="406">
        <v>678</v>
      </c>
      <c r="B681" s="613" t="s">
        <v>2715</v>
      </c>
      <c r="C681" s="288" t="s">
        <v>1418</v>
      </c>
      <c r="D681" s="414" t="s">
        <v>3703</v>
      </c>
      <c r="E681" s="407" t="s">
        <v>8385</v>
      </c>
      <c r="F681" s="483" t="s">
        <v>2714</v>
      </c>
      <c r="G681" s="411" t="s">
        <v>2716</v>
      </c>
      <c r="H681" s="411"/>
      <c r="I681" s="411"/>
      <c r="J681" s="411"/>
      <c r="K681" s="411"/>
      <c r="L681" s="608">
        <v>7412.3818897637793</v>
      </c>
      <c r="M681" s="409">
        <v>12526.708661417324</v>
      </c>
      <c r="N681" s="409">
        <v>19939.090551181103</v>
      </c>
      <c r="O681" s="410" t="s">
        <v>7748</v>
      </c>
      <c r="P681" s="406">
        <v>678</v>
      </c>
      <c r="Q681" s="470" t="s">
        <v>1418</v>
      </c>
      <c r="R681" s="460" t="s">
        <v>1419</v>
      </c>
      <c r="S681" s="270" t="s">
        <v>7</v>
      </c>
      <c r="U681" s="471"/>
      <c r="V681" s="471"/>
      <c r="W681" s="471" t="s">
        <v>1419</v>
      </c>
      <c r="X681" s="471">
        <v>1</v>
      </c>
      <c r="Z681" s="270" t="s">
        <v>1420</v>
      </c>
    </row>
    <row r="682" spans="1:26">
      <c r="A682" s="406">
        <v>679</v>
      </c>
      <c r="B682" s="613" t="s">
        <v>2723</v>
      </c>
      <c r="C682" s="288" t="s">
        <v>1421</v>
      </c>
      <c r="D682" s="414" t="s">
        <v>3707</v>
      </c>
      <c r="E682" s="407" t="s">
        <v>8386</v>
      </c>
      <c r="F682" s="483" t="s">
        <v>2722</v>
      </c>
      <c r="G682" s="411" t="s">
        <v>2724</v>
      </c>
      <c r="H682" s="411"/>
      <c r="I682" s="411"/>
      <c r="J682" s="411"/>
      <c r="K682" s="411"/>
      <c r="L682" s="608">
        <v>3029.5905511811025</v>
      </c>
      <c r="M682" s="409">
        <v>15254.964566929133</v>
      </c>
      <c r="N682" s="409">
        <v>18284.555118110235</v>
      </c>
      <c r="O682" s="410" t="s">
        <v>7750</v>
      </c>
      <c r="P682" s="406">
        <v>679</v>
      </c>
      <c r="Q682" s="470" t="s">
        <v>1421</v>
      </c>
      <c r="R682" s="460" t="s">
        <v>1422</v>
      </c>
      <c r="S682" s="270" t="s">
        <v>7</v>
      </c>
      <c r="U682" s="471"/>
      <c r="V682" s="471"/>
      <c r="W682" s="471" t="s">
        <v>1422</v>
      </c>
      <c r="X682" s="471">
        <v>1</v>
      </c>
      <c r="Z682" s="270" t="s">
        <v>1423</v>
      </c>
    </row>
    <row r="683" spans="1:26">
      <c r="A683" s="406">
        <v>680</v>
      </c>
      <c r="B683" s="613" t="s">
        <v>2937</v>
      </c>
      <c r="C683" s="288" t="s">
        <v>1424</v>
      </c>
      <c r="D683" s="414" t="s">
        <v>3480</v>
      </c>
      <c r="E683" s="407" t="s">
        <v>8471</v>
      </c>
      <c r="F683" s="483"/>
      <c r="G683" s="483"/>
      <c r="H683" s="483"/>
      <c r="I683" s="483"/>
      <c r="J683" s="483"/>
      <c r="K683" s="483"/>
      <c r="L683" s="608" t="s">
        <v>4884</v>
      </c>
      <c r="M683" s="409">
        <v>12550.228346456694</v>
      </c>
      <c r="N683" s="409">
        <v>12550.228346456694</v>
      </c>
      <c r="O683" s="410" t="s">
        <v>7573</v>
      </c>
      <c r="P683" s="406">
        <v>680</v>
      </c>
      <c r="Q683" s="470" t="s">
        <v>1424</v>
      </c>
      <c r="R683" s="460" t="s">
        <v>1425</v>
      </c>
      <c r="S683" s="270" t="s">
        <v>7</v>
      </c>
      <c r="U683" s="471"/>
      <c r="V683" s="471"/>
      <c r="W683" s="471" t="s">
        <v>1425</v>
      </c>
      <c r="X683" s="471">
        <v>1</v>
      </c>
    </row>
    <row r="684" spans="1:26">
      <c r="A684" s="406">
        <v>681</v>
      </c>
      <c r="B684" s="613" t="s">
        <v>6651</v>
      </c>
      <c r="C684" s="288" t="s">
        <v>1426</v>
      </c>
      <c r="D684" s="414" t="s">
        <v>3523</v>
      </c>
      <c r="E684" s="407" t="s">
        <v>8472</v>
      </c>
      <c r="F684" s="483" t="s">
        <v>6678</v>
      </c>
      <c r="G684" s="483" t="s">
        <v>6650</v>
      </c>
      <c r="H684" s="411" t="s">
        <v>6663</v>
      </c>
      <c r="I684" s="411"/>
      <c r="J684" s="411"/>
      <c r="K684" s="411"/>
      <c r="L684" s="608">
        <v>14400.094488188977</v>
      </c>
      <c r="M684" s="409">
        <v>1435.0984251968505</v>
      </c>
      <c r="N684" s="409">
        <v>15835.192913385828</v>
      </c>
      <c r="O684" s="410" t="s">
        <v>7844</v>
      </c>
      <c r="P684" s="406">
        <v>681</v>
      </c>
      <c r="Q684" s="470" t="s">
        <v>1426</v>
      </c>
      <c r="R684" s="460" t="s">
        <v>1427</v>
      </c>
      <c r="S684" s="270" t="s">
        <v>7</v>
      </c>
      <c r="U684" s="471"/>
      <c r="V684" s="471"/>
      <c r="W684" s="471" t="s">
        <v>1427</v>
      </c>
      <c r="X684" s="471">
        <v>1</v>
      </c>
    </row>
    <row r="685" spans="1:26">
      <c r="A685" s="406">
        <v>682</v>
      </c>
      <c r="B685" s="613" t="s">
        <v>7020</v>
      </c>
      <c r="C685" s="288" t="s">
        <v>1428</v>
      </c>
      <c r="D685" s="414" t="s">
        <v>4884</v>
      </c>
      <c r="E685" s="407"/>
      <c r="F685" s="483" t="s">
        <v>3166</v>
      </c>
      <c r="G685" s="411"/>
      <c r="H685" s="411"/>
      <c r="I685" s="411"/>
      <c r="J685" s="411"/>
      <c r="K685" s="411"/>
      <c r="L685" s="608" t="s">
        <v>4884</v>
      </c>
      <c r="M685" s="409" t="s">
        <v>4884</v>
      </c>
      <c r="N685" s="409" t="s">
        <v>4884</v>
      </c>
      <c r="O685" s="410" t="s">
        <v>4884</v>
      </c>
      <c r="P685" s="406">
        <v>682</v>
      </c>
      <c r="Q685" s="470" t="s">
        <v>1428</v>
      </c>
      <c r="R685" s="460" t="s">
        <v>1429</v>
      </c>
      <c r="S685" s="270" t="s">
        <v>748</v>
      </c>
      <c r="U685" s="471">
        <v>0</v>
      </c>
      <c r="V685" s="471">
        <v>0</v>
      </c>
      <c r="W685" s="471" t="s">
        <v>1429</v>
      </c>
      <c r="X685" s="471">
        <v>0</v>
      </c>
    </row>
    <row r="686" spans="1:26">
      <c r="A686" s="406">
        <v>683</v>
      </c>
      <c r="B686" s="613" t="s">
        <v>7020</v>
      </c>
      <c r="C686" s="288" t="s">
        <v>1430</v>
      </c>
      <c r="D686" s="414" t="s">
        <v>4884</v>
      </c>
      <c r="E686" s="407"/>
      <c r="F686" s="483" t="s">
        <v>3167</v>
      </c>
      <c r="G686" s="411"/>
      <c r="H686" s="411"/>
      <c r="I686" s="411"/>
      <c r="J686" s="411"/>
      <c r="K686" s="411"/>
      <c r="L686" s="608" t="s">
        <v>4884</v>
      </c>
      <c r="M686" s="409" t="s">
        <v>4884</v>
      </c>
      <c r="N686" s="409" t="s">
        <v>4884</v>
      </c>
      <c r="O686" s="410" t="s">
        <v>4884</v>
      </c>
      <c r="P686" s="406">
        <v>683</v>
      </c>
      <c r="Q686" s="470" t="s">
        <v>1430</v>
      </c>
      <c r="R686" s="460" t="s">
        <v>1431</v>
      </c>
      <c r="S686" s="270" t="s">
        <v>748</v>
      </c>
      <c r="U686" s="471">
        <v>0</v>
      </c>
      <c r="V686" s="471">
        <v>0</v>
      </c>
      <c r="W686" s="471" t="s">
        <v>1431</v>
      </c>
      <c r="X686" s="471">
        <v>0</v>
      </c>
    </row>
    <row r="687" spans="1:26">
      <c r="A687" s="406">
        <v>684</v>
      </c>
      <c r="B687" s="613" t="s">
        <v>2942</v>
      </c>
      <c r="C687" s="288" t="s">
        <v>1432</v>
      </c>
      <c r="D687" s="414" t="s">
        <v>3680</v>
      </c>
      <c r="E687" s="407" t="s">
        <v>8473</v>
      </c>
      <c r="F687" s="483" t="s">
        <v>2939</v>
      </c>
      <c r="G687" s="483" t="s">
        <v>2938</v>
      </c>
      <c r="H687" s="411" t="s">
        <v>2943</v>
      </c>
      <c r="I687" s="411"/>
      <c r="J687" s="411"/>
      <c r="K687" s="411"/>
      <c r="L687" s="608">
        <v>14368.188976377953</v>
      </c>
      <c r="M687" s="409">
        <v>3588.5590551181103</v>
      </c>
      <c r="N687" s="409">
        <v>17956.748031496063</v>
      </c>
      <c r="O687" s="410" t="s">
        <v>7818</v>
      </c>
      <c r="P687" s="406">
        <v>684</v>
      </c>
      <c r="Q687" s="470" t="s">
        <v>1432</v>
      </c>
      <c r="R687" s="460" t="s">
        <v>1433</v>
      </c>
      <c r="S687" s="270" t="s">
        <v>7</v>
      </c>
      <c r="U687" s="471"/>
      <c r="V687" s="471"/>
      <c r="W687" s="471" t="s">
        <v>1433</v>
      </c>
      <c r="X687" s="471">
        <v>1</v>
      </c>
    </row>
    <row r="688" spans="1:26">
      <c r="A688" s="406">
        <v>685</v>
      </c>
      <c r="B688" s="613" t="s">
        <v>2944</v>
      </c>
      <c r="C688" s="288" t="s">
        <v>1434</v>
      </c>
      <c r="D688" s="414" t="s">
        <v>3682</v>
      </c>
      <c r="E688" s="407" t="s">
        <v>8474</v>
      </c>
      <c r="F688" s="483" t="s">
        <v>2941</v>
      </c>
      <c r="G688" s="483" t="s">
        <v>2940</v>
      </c>
      <c r="H688" s="411" t="s">
        <v>2945</v>
      </c>
      <c r="I688" s="411"/>
      <c r="J688" s="411"/>
      <c r="K688" s="411"/>
      <c r="L688" s="608">
        <v>14557.543307086615</v>
      </c>
      <c r="M688" s="409">
        <v>3288.7716535433074</v>
      </c>
      <c r="N688" s="409">
        <v>17846.314960629923</v>
      </c>
      <c r="O688" s="410" t="s">
        <v>7818</v>
      </c>
      <c r="P688" s="406">
        <v>685</v>
      </c>
      <c r="Q688" s="470" t="s">
        <v>1434</v>
      </c>
      <c r="R688" s="460" t="s">
        <v>1435</v>
      </c>
      <c r="S688" s="270" t="s">
        <v>7</v>
      </c>
      <c r="U688" s="471"/>
      <c r="V688" s="471"/>
      <c r="W688" s="471" t="s">
        <v>1435</v>
      </c>
      <c r="X688" s="471">
        <v>1</v>
      </c>
    </row>
    <row r="689" spans="1:26">
      <c r="A689" s="406">
        <v>686</v>
      </c>
      <c r="B689" s="613" t="s">
        <v>7020</v>
      </c>
      <c r="C689" s="288" t="s">
        <v>1436</v>
      </c>
      <c r="D689" s="414" t="s">
        <v>4884</v>
      </c>
      <c r="E689" s="407"/>
      <c r="F689" s="483" t="s">
        <v>3169</v>
      </c>
      <c r="G689" s="483" t="s">
        <v>3168</v>
      </c>
      <c r="H689" s="411"/>
      <c r="I689" s="411"/>
      <c r="J689" s="411"/>
      <c r="K689" s="411"/>
      <c r="L689" s="608" t="s">
        <v>4884</v>
      </c>
      <c r="M689" s="409" t="s">
        <v>4884</v>
      </c>
      <c r="N689" s="409" t="s">
        <v>4884</v>
      </c>
      <c r="O689" s="410" t="s">
        <v>4884</v>
      </c>
      <c r="P689" s="406">
        <v>686</v>
      </c>
      <c r="Q689" s="470" t="s">
        <v>1436</v>
      </c>
      <c r="R689" s="460" t="s">
        <v>1437</v>
      </c>
      <c r="S689" s="270" t="s">
        <v>748</v>
      </c>
      <c r="U689" s="471">
        <v>0</v>
      </c>
      <c r="V689" s="471">
        <v>0</v>
      </c>
      <c r="W689" s="471" t="s">
        <v>1437</v>
      </c>
      <c r="X689" s="471">
        <v>0</v>
      </c>
    </row>
    <row r="690" spans="1:26">
      <c r="A690" s="406">
        <v>687</v>
      </c>
      <c r="B690" s="613" t="s">
        <v>7020</v>
      </c>
      <c r="C690" s="288" t="s">
        <v>1438</v>
      </c>
      <c r="D690" s="414" t="s">
        <v>4884</v>
      </c>
      <c r="E690" s="407"/>
      <c r="F690" s="483"/>
      <c r="G690" s="483"/>
      <c r="H690" s="483"/>
      <c r="I690" s="483"/>
      <c r="J690" s="483"/>
      <c r="K690" s="483"/>
      <c r="L690" s="608" t="s">
        <v>4884</v>
      </c>
      <c r="M690" s="409" t="s">
        <v>4884</v>
      </c>
      <c r="N690" s="409" t="s">
        <v>4884</v>
      </c>
      <c r="O690" s="410" t="s">
        <v>4884</v>
      </c>
      <c r="P690" s="406">
        <v>687</v>
      </c>
      <c r="Q690" s="470" t="s">
        <v>1438</v>
      </c>
      <c r="R690" s="460" t="s">
        <v>1439</v>
      </c>
      <c r="S690" s="270" t="s">
        <v>748</v>
      </c>
      <c r="U690" s="471">
        <v>0</v>
      </c>
      <c r="V690" s="471">
        <v>0</v>
      </c>
      <c r="W690" s="471" t="s">
        <v>1439</v>
      </c>
      <c r="X690" s="471">
        <v>0</v>
      </c>
    </row>
    <row r="691" spans="1:26">
      <c r="A691" s="406">
        <v>688</v>
      </c>
      <c r="B691" s="613" t="s">
        <v>7020</v>
      </c>
      <c r="C691" s="288" t="s">
        <v>1440</v>
      </c>
      <c r="D691" s="414" t="s">
        <v>4884</v>
      </c>
      <c r="E691" s="407"/>
      <c r="F691" s="483" t="s">
        <v>3171</v>
      </c>
      <c r="G691" s="483" t="s">
        <v>3170</v>
      </c>
      <c r="H691" s="411"/>
      <c r="I691" s="411"/>
      <c r="J691" s="411"/>
      <c r="K691" s="411"/>
      <c r="L691" s="608" t="s">
        <v>4884</v>
      </c>
      <c r="M691" s="409" t="s">
        <v>4884</v>
      </c>
      <c r="N691" s="409" t="s">
        <v>4884</v>
      </c>
      <c r="O691" s="410" t="s">
        <v>4884</v>
      </c>
      <c r="P691" s="406">
        <v>688</v>
      </c>
      <c r="Q691" s="470" t="s">
        <v>1440</v>
      </c>
      <c r="R691" s="460" t="s">
        <v>1441</v>
      </c>
      <c r="S691" s="270" t="s">
        <v>748</v>
      </c>
      <c r="U691" s="471">
        <v>0</v>
      </c>
      <c r="V691" s="471">
        <v>0</v>
      </c>
      <c r="W691" s="471" t="s">
        <v>1441</v>
      </c>
      <c r="X691" s="471">
        <v>0</v>
      </c>
    </row>
    <row r="692" spans="1:26">
      <c r="A692" s="406">
        <v>689</v>
      </c>
      <c r="B692" s="613" t="s">
        <v>7020</v>
      </c>
      <c r="C692" s="288" t="s">
        <v>1442</v>
      </c>
      <c r="D692" s="414" t="s">
        <v>4884</v>
      </c>
      <c r="E692" s="407"/>
      <c r="F692" s="483"/>
      <c r="G692" s="483"/>
      <c r="H692" s="483"/>
      <c r="I692" s="483"/>
      <c r="J692" s="483"/>
      <c r="K692" s="483"/>
      <c r="L692" s="608" t="s">
        <v>4884</v>
      </c>
      <c r="M692" s="409" t="s">
        <v>4884</v>
      </c>
      <c r="N692" s="409" t="s">
        <v>4884</v>
      </c>
      <c r="O692" s="410" t="s">
        <v>4884</v>
      </c>
      <c r="P692" s="406">
        <v>689</v>
      </c>
      <c r="Q692" s="470" t="s">
        <v>1442</v>
      </c>
      <c r="R692" s="460" t="s">
        <v>1443</v>
      </c>
      <c r="S692" s="270" t="s">
        <v>748</v>
      </c>
      <c r="U692" s="471">
        <v>0</v>
      </c>
      <c r="V692" s="471">
        <v>0</v>
      </c>
      <c r="W692" s="471" t="s">
        <v>1443</v>
      </c>
      <c r="X692" s="471">
        <v>0</v>
      </c>
    </row>
    <row r="693" spans="1:26">
      <c r="A693" s="406">
        <v>690</v>
      </c>
      <c r="B693" s="613" t="s">
        <v>2946</v>
      </c>
      <c r="C693" s="288" t="s">
        <v>1444</v>
      </c>
      <c r="D693" s="414" t="s">
        <v>3498</v>
      </c>
      <c r="E693" s="407" t="s">
        <v>8475</v>
      </c>
      <c r="F693" s="483"/>
      <c r="G693" s="483"/>
      <c r="H693" s="483"/>
      <c r="I693" s="483"/>
      <c r="J693" s="483"/>
      <c r="K693" s="483"/>
      <c r="L693" s="608" t="s">
        <v>4884</v>
      </c>
      <c r="M693" s="409">
        <v>9108.0905511811015</v>
      </c>
      <c r="N693" s="409">
        <v>9108.0905511811015</v>
      </c>
      <c r="O693" s="410" t="s">
        <v>7569</v>
      </c>
      <c r="P693" s="406">
        <v>690</v>
      </c>
      <c r="Q693" s="470" t="s">
        <v>1444</v>
      </c>
      <c r="R693" s="460" t="s">
        <v>1445</v>
      </c>
      <c r="S693" s="270" t="s">
        <v>32</v>
      </c>
      <c r="U693" s="471"/>
      <c r="V693" s="471">
        <v>0</v>
      </c>
      <c r="W693" s="471" t="s">
        <v>1445</v>
      </c>
      <c r="X693" s="464">
        <v>1</v>
      </c>
    </row>
    <row r="694" spans="1:26">
      <c r="A694" s="406">
        <v>691</v>
      </c>
      <c r="B694" s="613" t="s">
        <v>7020</v>
      </c>
      <c r="C694" s="288" t="s">
        <v>1446</v>
      </c>
      <c r="D694" s="414" t="s">
        <v>4884</v>
      </c>
      <c r="E694" s="407"/>
      <c r="F694" s="483" t="s">
        <v>3172</v>
      </c>
      <c r="G694" s="411"/>
      <c r="H694" s="411"/>
      <c r="I694" s="411"/>
      <c r="J694" s="411"/>
      <c r="K694" s="411"/>
      <c r="L694" s="608" t="s">
        <v>4884</v>
      </c>
      <c r="M694" s="409" t="s">
        <v>4884</v>
      </c>
      <c r="N694" s="409" t="s">
        <v>4884</v>
      </c>
      <c r="O694" s="410" t="s">
        <v>4884</v>
      </c>
      <c r="P694" s="406">
        <v>691</v>
      </c>
      <c r="Q694" s="470" t="s">
        <v>1446</v>
      </c>
      <c r="R694" s="460" t="s">
        <v>1447</v>
      </c>
      <c r="S694" s="270" t="s">
        <v>7</v>
      </c>
      <c r="U694" s="471"/>
      <c r="V694" s="471"/>
      <c r="W694" s="471" t="s">
        <v>1447</v>
      </c>
      <c r="X694" s="471">
        <v>0</v>
      </c>
    </row>
    <row r="695" spans="1:26">
      <c r="A695" s="406">
        <v>692</v>
      </c>
      <c r="B695" s="613" t="s">
        <v>2643</v>
      </c>
      <c r="C695" s="288" t="s">
        <v>1448</v>
      </c>
      <c r="D695" s="414" t="s">
        <v>3646</v>
      </c>
      <c r="E695" s="407" t="s">
        <v>8061</v>
      </c>
      <c r="F695" s="483" t="s">
        <v>2642</v>
      </c>
      <c r="G695" s="411" t="s">
        <v>2644</v>
      </c>
      <c r="H695" s="411"/>
      <c r="I695" s="411"/>
      <c r="J695" s="411"/>
      <c r="K695" s="411"/>
      <c r="L695" s="608">
        <v>5933.5866141732286</v>
      </c>
      <c r="M695" s="409">
        <v>8001.7716535433074</v>
      </c>
      <c r="N695" s="409">
        <v>13935.358267716536</v>
      </c>
      <c r="O695" s="410" t="s">
        <v>7821</v>
      </c>
      <c r="P695" s="406">
        <v>692</v>
      </c>
      <c r="Q695" s="470" t="s">
        <v>1448</v>
      </c>
      <c r="R695" s="460" t="s">
        <v>1449</v>
      </c>
      <c r="S695" s="270" t="s">
        <v>7</v>
      </c>
      <c r="U695" s="471"/>
      <c r="V695" s="471"/>
      <c r="W695" s="471" t="s">
        <v>1449</v>
      </c>
      <c r="X695" s="471">
        <v>1</v>
      </c>
      <c r="Z695" s="270" t="s">
        <v>4892</v>
      </c>
    </row>
    <row r="696" spans="1:26">
      <c r="A696" s="406">
        <v>693</v>
      </c>
      <c r="B696" s="613" t="s">
        <v>7020</v>
      </c>
      <c r="C696" s="288" t="s">
        <v>1450</v>
      </c>
      <c r="D696" s="414" t="s">
        <v>4884</v>
      </c>
      <c r="E696" s="407"/>
      <c r="F696" s="483"/>
      <c r="G696" s="483"/>
      <c r="H696" s="411"/>
      <c r="I696" s="411"/>
      <c r="J696" s="411"/>
      <c r="K696" s="411"/>
      <c r="L696" s="608" t="s">
        <v>4884</v>
      </c>
      <c r="M696" s="409" t="s">
        <v>4884</v>
      </c>
      <c r="N696" s="409" t="s">
        <v>4884</v>
      </c>
      <c r="O696" s="410" t="s">
        <v>4884</v>
      </c>
      <c r="P696" s="406">
        <v>693</v>
      </c>
      <c r="Q696" s="470" t="s">
        <v>1450</v>
      </c>
      <c r="R696" s="460" t="s">
        <v>1451</v>
      </c>
      <c r="S696" s="270" t="s">
        <v>7</v>
      </c>
      <c r="U696" s="471"/>
      <c r="V696" s="471"/>
      <c r="W696" s="471" t="s">
        <v>1451</v>
      </c>
      <c r="X696" s="471">
        <v>0</v>
      </c>
    </row>
    <row r="697" spans="1:26">
      <c r="A697" s="406">
        <v>694</v>
      </c>
      <c r="B697" s="613" t="s">
        <v>6652</v>
      </c>
      <c r="C697" s="288" t="s">
        <v>1452</v>
      </c>
      <c r="D697" s="414" t="s">
        <v>3586</v>
      </c>
      <c r="E697" s="407" t="s">
        <v>8476</v>
      </c>
      <c r="F697" s="483"/>
      <c r="G697" s="483"/>
      <c r="H697" s="483"/>
      <c r="I697" s="483"/>
      <c r="J697" s="483"/>
      <c r="K697" s="483"/>
      <c r="L697" s="608" t="s">
        <v>4884</v>
      </c>
      <c r="M697" s="409">
        <v>11380.751968503937</v>
      </c>
      <c r="N697" s="409">
        <v>11380.751968503937</v>
      </c>
      <c r="O697" s="410" t="s">
        <v>7576</v>
      </c>
      <c r="P697" s="406">
        <v>694</v>
      </c>
      <c r="Q697" s="470" t="s">
        <v>1452</v>
      </c>
      <c r="R697" s="460" t="s">
        <v>1453</v>
      </c>
      <c r="S697" s="270" t="s">
        <v>7</v>
      </c>
      <c r="U697" s="471"/>
      <c r="V697" s="471"/>
      <c r="W697" s="471" t="s">
        <v>1453</v>
      </c>
      <c r="X697" s="471">
        <v>0</v>
      </c>
      <c r="Z697" s="270" t="s">
        <v>4893</v>
      </c>
    </row>
    <row r="698" spans="1:26">
      <c r="A698" s="406">
        <v>695</v>
      </c>
      <c r="B698" s="613" t="s">
        <v>2516</v>
      </c>
      <c r="C698" s="288" t="s">
        <v>1454</v>
      </c>
      <c r="D698" s="414" t="s">
        <v>3624</v>
      </c>
      <c r="E698" s="407" t="s">
        <v>8062</v>
      </c>
      <c r="F698" s="483" t="s">
        <v>2576</v>
      </c>
      <c r="G698" s="411" t="s">
        <v>2517</v>
      </c>
      <c r="H698" s="411"/>
      <c r="I698" s="411"/>
      <c r="J698" s="411"/>
      <c r="K698" s="411"/>
      <c r="L698" s="608">
        <v>1768.240157480315</v>
      </c>
      <c r="M698" s="409">
        <v>5106.2362204724404</v>
      </c>
      <c r="N698" s="409">
        <v>21234.874015748035</v>
      </c>
      <c r="O698" s="410" t="s">
        <v>7845</v>
      </c>
      <c r="P698" s="406">
        <v>695</v>
      </c>
      <c r="Q698" s="470" t="s">
        <v>1454</v>
      </c>
      <c r="R698" s="460" t="s">
        <v>1455</v>
      </c>
      <c r="S698" s="270" t="s">
        <v>7</v>
      </c>
      <c r="U698" s="471"/>
      <c r="V698" s="471"/>
      <c r="W698" s="471" t="s">
        <v>1455</v>
      </c>
      <c r="X698" s="478">
        <v>1</v>
      </c>
      <c r="Z698" s="270" t="s">
        <v>4894</v>
      </c>
    </row>
    <row r="699" spans="1:26">
      <c r="A699" s="406">
        <v>696</v>
      </c>
      <c r="B699" s="613" t="s">
        <v>2355</v>
      </c>
      <c r="C699" s="288" t="s">
        <v>1456</v>
      </c>
      <c r="D699" s="414" t="s">
        <v>3518</v>
      </c>
      <c r="E699" s="407" t="s">
        <v>8477</v>
      </c>
      <c r="F699" s="483" t="s">
        <v>2360</v>
      </c>
      <c r="G699" s="411" t="s">
        <v>2356</v>
      </c>
      <c r="H699" s="411"/>
      <c r="I699" s="411"/>
      <c r="J699" s="411"/>
      <c r="K699" s="411"/>
      <c r="L699" s="608">
        <v>16133.964566929135</v>
      </c>
      <c r="M699" s="409">
        <v>5108.8307086614168</v>
      </c>
      <c r="N699" s="409">
        <v>21242.795275590554</v>
      </c>
      <c r="O699" s="410" t="s">
        <v>7775</v>
      </c>
      <c r="P699" s="406">
        <v>696</v>
      </c>
      <c r="Q699" s="470" t="s">
        <v>1456</v>
      </c>
      <c r="R699" s="475" t="s">
        <v>1457</v>
      </c>
      <c r="S699" s="270" t="s">
        <v>7</v>
      </c>
      <c r="U699" s="471"/>
      <c r="V699" s="471"/>
      <c r="W699" s="471"/>
      <c r="X699" s="471">
        <v>0</v>
      </c>
      <c r="Z699" s="270" t="s">
        <v>4894</v>
      </c>
    </row>
    <row r="700" spans="1:26">
      <c r="A700" s="406">
        <v>697</v>
      </c>
      <c r="B700" s="613" t="s">
        <v>2516</v>
      </c>
      <c r="C700" s="288" t="s">
        <v>1458</v>
      </c>
      <c r="D700" s="414" t="s">
        <v>3624</v>
      </c>
      <c r="E700" s="407" t="s">
        <v>8062</v>
      </c>
      <c r="F700" s="483" t="s">
        <v>2578</v>
      </c>
      <c r="G700" s="411" t="s">
        <v>2517</v>
      </c>
      <c r="H700" s="411"/>
      <c r="I700" s="411"/>
      <c r="J700" s="411"/>
      <c r="K700" s="411"/>
      <c r="L700" s="608">
        <v>1768.240157480315</v>
      </c>
      <c r="M700" s="409">
        <v>5114.0905511811025</v>
      </c>
      <c r="N700" s="409">
        <v>21242.728346456694</v>
      </c>
      <c r="O700" s="410" t="s">
        <v>7846</v>
      </c>
      <c r="P700" s="406">
        <v>697</v>
      </c>
      <c r="Q700" s="470" t="s">
        <v>1458</v>
      </c>
      <c r="R700" s="460" t="s">
        <v>1459</v>
      </c>
      <c r="S700" s="270" t="s">
        <v>7</v>
      </c>
      <c r="U700" s="471"/>
      <c r="V700" s="471"/>
      <c r="W700" s="471" t="s">
        <v>1459</v>
      </c>
      <c r="X700" s="471">
        <v>0</v>
      </c>
      <c r="Z700" s="270" t="s">
        <v>4894</v>
      </c>
    </row>
    <row r="701" spans="1:26">
      <c r="A701" s="406">
        <v>698</v>
      </c>
      <c r="B701" s="613" t="s">
        <v>2520</v>
      </c>
      <c r="C701" s="288" t="s">
        <v>1460</v>
      </c>
      <c r="D701" s="414" t="s">
        <v>3641</v>
      </c>
      <c r="E701" s="407" t="s">
        <v>8063</v>
      </c>
      <c r="F701" s="483" t="s">
        <v>2580</v>
      </c>
      <c r="G701" s="411" t="s">
        <v>2521</v>
      </c>
      <c r="H701" s="411"/>
      <c r="I701" s="411"/>
      <c r="J701" s="411"/>
      <c r="K701" s="411"/>
      <c r="L701" s="608">
        <v>1766.8228346456692</v>
      </c>
      <c r="M701" s="409">
        <v>5114.4330708661419</v>
      </c>
      <c r="N701" s="409">
        <v>21246.586614173226</v>
      </c>
      <c r="O701" s="410" t="s">
        <v>7847</v>
      </c>
      <c r="P701" s="406">
        <v>698</v>
      </c>
      <c r="Q701" s="470" t="s">
        <v>1460</v>
      </c>
      <c r="R701" s="460" t="s">
        <v>1461</v>
      </c>
      <c r="S701" s="270" t="s">
        <v>7</v>
      </c>
      <c r="U701" s="471"/>
      <c r="V701" s="471"/>
      <c r="W701" s="471" t="s">
        <v>1461</v>
      </c>
      <c r="X701" s="471">
        <v>1</v>
      </c>
      <c r="Z701" s="270" t="s">
        <v>4894</v>
      </c>
    </row>
    <row r="702" spans="1:26">
      <c r="A702" s="406">
        <v>699</v>
      </c>
      <c r="B702" s="613" t="s">
        <v>2520</v>
      </c>
      <c r="C702" s="288" t="s">
        <v>1462</v>
      </c>
      <c r="D702" s="414" t="s">
        <v>3641</v>
      </c>
      <c r="E702" s="407" t="s">
        <v>8063</v>
      </c>
      <c r="F702" s="483" t="s">
        <v>2582</v>
      </c>
      <c r="G702" s="411" t="s">
        <v>2521</v>
      </c>
      <c r="H702" s="411"/>
      <c r="I702" s="411"/>
      <c r="J702" s="411"/>
      <c r="K702" s="411"/>
      <c r="L702" s="608">
        <v>1766.8228346456692</v>
      </c>
      <c r="M702" s="409">
        <v>5114.8307086614168</v>
      </c>
      <c r="N702" s="409">
        <v>21246.984251968501</v>
      </c>
      <c r="O702" s="410" t="s">
        <v>7848</v>
      </c>
      <c r="P702" s="406">
        <v>699</v>
      </c>
      <c r="Q702" s="470" t="s">
        <v>1462</v>
      </c>
      <c r="R702" s="460" t="s">
        <v>1463</v>
      </c>
      <c r="S702" s="270" t="s">
        <v>7</v>
      </c>
      <c r="U702" s="471"/>
      <c r="V702" s="471"/>
      <c r="W702" s="471" t="s">
        <v>1463</v>
      </c>
      <c r="X702" s="471">
        <v>0</v>
      </c>
      <c r="Z702" s="270" t="s">
        <v>4894</v>
      </c>
    </row>
    <row r="703" spans="1:26">
      <c r="A703" s="406">
        <v>700</v>
      </c>
      <c r="B703" s="613" t="s">
        <v>2524</v>
      </c>
      <c r="C703" s="288" t="s">
        <v>1464</v>
      </c>
      <c r="D703" s="414" t="s">
        <v>3564</v>
      </c>
      <c r="E703" s="407" t="s">
        <v>8064</v>
      </c>
      <c r="F703" s="483" t="s">
        <v>2584</v>
      </c>
      <c r="G703" s="411" t="s">
        <v>2525</v>
      </c>
      <c r="H703" s="411"/>
      <c r="I703" s="411"/>
      <c r="J703" s="411"/>
      <c r="K703" s="411"/>
      <c r="L703" s="608">
        <v>1767.2874015748032</v>
      </c>
      <c r="M703" s="409">
        <v>5111.251968503937</v>
      </c>
      <c r="N703" s="409">
        <v>21246.539370078743</v>
      </c>
      <c r="O703" s="410" t="s">
        <v>7849</v>
      </c>
      <c r="P703" s="406">
        <v>700</v>
      </c>
      <c r="Q703" s="470" t="s">
        <v>1464</v>
      </c>
      <c r="R703" s="460" t="s">
        <v>1465</v>
      </c>
      <c r="S703" s="270" t="s">
        <v>7</v>
      </c>
      <c r="U703" s="471"/>
      <c r="V703" s="471"/>
      <c r="W703" s="471" t="s">
        <v>1465</v>
      </c>
      <c r="X703" s="471">
        <v>1</v>
      </c>
      <c r="Z703" s="270" t="s">
        <v>4894</v>
      </c>
    </row>
    <row r="704" spans="1:26">
      <c r="A704" s="406">
        <v>701</v>
      </c>
      <c r="B704" s="613" t="s">
        <v>2524</v>
      </c>
      <c r="C704" s="288" t="s">
        <v>1466</v>
      </c>
      <c r="D704" s="414" t="s">
        <v>3564</v>
      </c>
      <c r="E704" s="407" t="s">
        <v>8064</v>
      </c>
      <c r="F704" s="483" t="s">
        <v>2586</v>
      </c>
      <c r="G704" s="411" t="s">
        <v>2525</v>
      </c>
      <c r="H704" s="411"/>
      <c r="I704" s="411"/>
      <c r="J704" s="411"/>
      <c r="K704" s="411"/>
      <c r="L704" s="608">
        <v>1767.2874015748032</v>
      </c>
      <c r="M704" s="409">
        <v>5111.7165354330718</v>
      </c>
      <c r="N704" s="409">
        <v>21247.003937007874</v>
      </c>
      <c r="O704" s="410" t="s">
        <v>7849</v>
      </c>
      <c r="P704" s="406">
        <v>701</v>
      </c>
      <c r="Q704" s="470" t="s">
        <v>1466</v>
      </c>
      <c r="R704" s="460" t="s">
        <v>1467</v>
      </c>
      <c r="S704" s="270" t="s">
        <v>7</v>
      </c>
      <c r="U704" s="471"/>
      <c r="V704" s="471"/>
      <c r="W704" s="471" t="s">
        <v>1467</v>
      </c>
      <c r="X704" s="471">
        <v>0</v>
      </c>
      <c r="Z704" s="270" t="s">
        <v>4894</v>
      </c>
    </row>
    <row r="705" spans="1:26">
      <c r="A705" s="406">
        <v>702</v>
      </c>
      <c r="B705" s="613" t="s">
        <v>5839</v>
      </c>
      <c r="C705" s="288" t="s">
        <v>1468</v>
      </c>
      <c r="D705" s="414" t="s">
        <v>3567</v>
      </c>
      <c r="E705" s="407" t="s">
        <v>8478</v>
      </c>
      <c r="F705" s="483" t="s">
        <v>2351</v>
      </c>
      <c r="G705" s="411" t="s">
        <v>2349</v>
      </c>
      <c r="H705" s="411"/>
      <c r="I705" s="411"/>
      <c r="J705" s="411"/>
      <c r="K705" s="411"/>
      <c r="L705" s="608">
        <v>16141.48031496063</v>
      </c>
      <c r="M705" s="409">
        <v>5117.1259842519685</v>
      </c>
      <c r="N705" s="409">
        <v>21258.606299212599</v>
      </c>
      <c r="O705" s="410" t="s">
        <v>7778</v>
      </c>
      <c r="P705" s="406">
        <v>702</v>
      </c>
      <c r="Q705" s="470" t="s">
        <v>1468</v>
      </c>
      <c r="R705" s="475" t="s">
        <v>1469</v>
      </c>
      <c r="S705" s="270" t="s">
        <v>7</v>
      </c>
      <c r="U705" s="471"/>
      <c r="V705" s="471"/>
      <c r="W705" s="471"/>
      <c r="X705" s="471">
        <v>1</v>
      </c>
      <c r="Z705" s="270" t="s">
        <v>4894</v>
      </c>
    </row>
    <row r="706" spans="1:26">
      <c r="A706" s="406">
        <v>703</v>
      </c>
      <c r="B706" s="613" t="s">
        <v>5839</v>
      </c>
      <c r="C706" s="288" t="s">
        <v>1470</v>
      </c>
      <c r="D706" s="414" t="s">
        <v>3567</v>
      </c>
      <c r="E706" s="407" t="s">
        <v>8478</v>
      </c>
      <c r="F706" s="483" t="s">
        <v>2353</v>
      </c>
      <c r="G706" s="411" t="s">
        <v>2349</v>
      </c>
      <c r="H706" s="411"/>
      <c r="I706" s="411"/>
      <c r="J706" s="411"/>
      <c r="K706" s="411"/>
      <c r="L706" s="608">
        <v>16141.48031496063</v>
      </c>
      <c r="M706" s="409">
        <v>5109.9881889763783</v>
      </c>
      <c r="N706" s="409">
        <v>21251.468503937009</v>
      </c>
      <c r="O706" s="410" t="s">
        <v>7786</v>
      </c>
      <c r="P706" s="406">
        <v>703</v>
      </c>
      <c r="Q706" s="470" t="s">
        <v>1470</v>
      </c>
      <c r="R706" s="475" t="s">
        <v>1471</v>
      </c>
      <c r="S706" s="270" t="s">
        <v>7</v>
      </c>
      <c r="U706" s="471"/>
      <c r="V706" s="471"/>
      <c r="W706" s="471"/>
      <c r="X706" s="471">
        <v>0</v>
      </c>
      <c r="Z706" s="270" t="s">
        <v>4894</v>
      </c>
    </row>
    <row r="707" spans="1:26">
      <c r="A707" s="406">
        <v>704</v>
      </c>
      <c r="B707" s="613" t="s">
        <v>2355</v>
      </c>
      <c r="C707" s="288" t="s">
        <v>1472</v>
      </c>
      <c r="D707" s="414" t="s">
        <v>3518</v>
      </c>
      <c r="E707" s="407" t="s">
        <v>8477</v>
      </c>
      <c r="F707" s="483" t="s">
        <v>2358</v>
      </c>
      <c r="G707" s="411" t="s">
        <v>2356</v>
      </c>
      <c r="H707" s="411"/>
      <c r="I707" s="411"/>
      <c r="J707" s="411"/>
      <c r="K707" s="411"/>
      <c r="L707" s="608">
        <v>16133.964566929135</v>
      </c>
      <c r="M707" s="409">
        <v>5109.9448818897636</v>
      </c>
      <c r="N707" s="409">
        <v>21243.909448818897</v>
      </c>
      <c r="O707" s="410" t="s">
        <v>7787</v>
      </c>
      <c r="P707" s="406">
        <v>704</v>
      </c>
      <c r="Q707" s="470" t="s">
        <v>1472</v>
      </c>
      <c r="R707" s="475" t="s">
        <v>1473</v>
      </c>
      <c r="S707" s="270" t="s">
        <v>7</v>
      </c>
      <c r="U707" s="471"/>
      <c r="V707" s="471"/>
      <c r="W707" s="471"/>
      <c r="X707" s="471">
        <v>1</v>
      </c>
      <c r="Z707" s="270" t="s">
        <v>4894</v>
      </c>
    </row>
    <row r="708" spans="1:26">
      <c r="A708" s="406">
        <v>705</v>
      </c>
      <c r="B708" s="613" t="s">
        <v>2518</v>
      </c>
      <c r="C708" s="288" t="s">
        <v>1474</v>
      </c>
      <c r="D708" s="414" t="s">
        <v>3625</v>
      </c>
      <c r="E708" s="407" t="s">
        <v>8065</v>
      </c>
      <c r="F708" s="483" t="s">
        <v>2577</v>
      </c>
      <c r="G708" s="411" t="s">
        <v>2519</v>
      </c>
      <c r="H708" s="411"/>
      <c r="I708" s="411"/>
      <c r="J708" s="411"/>
      <c r="K708" s="411"/>
      <c r="L708" s="608">
        <v>1765.2519685039372</v>
      </c>
      <c r="M708" s="409">
        <v>5107.1771653543301</v>
      </c>
      <c r="N708" s="409">
        <v>21231.149606299216</v>
      </c>
      <c r="O708" s="410" t="s">
        <v>7845</v>
      </c>
      <c r="P708" s="406">
        <v>705</v>
      </c>
      <c r="Q708" s="470" t="s">
        <v>1474</v>
      </c>
      <c r="R708" s="460" t="s">
        <v>1475</v>
      </c>
      <c r="S708" s="270" t="s">
        <v>7</v>
      </c>
      <c r="U708" s="471"/>
      <c r="V708" s="471"/>
      <c r="W708" s="471" t="s">
        <v>1475</v>
      </c>
      <c r="X708" s="471">
        <v>1</v>
      </c>
      <c r="Z708" s="270" t="s">
        <v>4894</v>
      </c>
    </row>
    <row r="709" spans="1:26">
      <c r="A709" s="406">
        <v>706</v>
      </c>
      <c r="B709" s="613" t="s">
        <v>5837</v>
      </c>
      <c r="C709" s="288" t="s">
        <v>1476</v>
      </c>
      <c r="D709" s="414" t="s">
        <v>3519</v>
      </c>
      <c r="E709" s="407" t="s">
        <v>8479</v>
      </c>
      <c r="F709" s="483" t="s">
        <v>2361</v>
      </c>
      <c r="G709" s="411" t="s">
        <v>2357</v>
      </c>
      <c r="H709" s="411"/>
      <c r="I709" s="411"/>
      <c r="J709" s="411"/>
      <c r="K709" s="411"/>
      <c r="L709" s="608">
        <v>16135.070866141734</v>
      </c>
      <c r="M709" s="409">
        <v>5104.8700787401576</v>
      </c>
      <c r="N709" s="409">
        <v>21239.940944881891</v>
      </c>
      <c r="O709" s="410" t="s">
        <v>7775</v>
      </c>
      <c r="P709" s="406">
        <v>706</v>
      </c>
      <c r="Q709" s="470" t="s">
        <v>1476</v>
      </c>
      <c r="R709" s="475" t="s">
        <v>1477</v>
      </c>
      <c r="S709" s="270" t="s">
        <v>7</v>
      </c>
      <c r="U709" s="471"/>
      <c r="V709" s="471"/>
      <c r="W709" s="471"/>
      <c r="X709" s="471">
        <v>0</v>
      </c>
      <c r="Z709" s="270" t="s">
        <v>4894</v>
      </c>
    </row>
    <row r="710" spans="1:26">
      <c r="A710" s="406">
        <v>707</v>
      </c>
      <c r="B710" s="613" t="s">
        <v>2518</v>
      </c>
      <c r="C710" s="288" t="s">
        <v>1478</v>
      </c>
      <c r="D710" s="414" t="s">
        <v>3625</v>
      </c>
      <c r="E710" s="407" t="s">
        <v>8065</v>
      </c>
      <c r="F710" s="483" t="s">
        <v>2579</v>
      </c>
      <c r="G710" s="411" t="s">
        <v>2519</v>
      </c>
      <c r="H710" s="411"/>
      <c r="I710" s="411"/>
      <c r="J710" s="411"/>
      <c r="K710" s="411"/>
      <c r="L710" s="608">
        <v>1765.2519685039372</v>
      </c>
      <c r="M710" s="409">
        <v>5104.0039370078739</v>
      </c>
      <c r="N710" s="409">
        <v>21227.976377952757</v>
      </c>
      <c r="O710" s="410" t="s">
        <v>7846</v>
      </c>
      <c r="P710" s="406">
        <v>707</v>
      </c>
      <c r="Q710" s="470" t="s">
        <v>1478</v>
      </c>
      <c r="R710" s="460" t="s">
        <v>1479</v>
      </c>
      <c r="S710" s="270" t="s">
        <v>7</v>
      </c>
      <c r="U710" s="471"/>
      <c r="V710" s="471"/>
      <c r="W710" s="471" t="s">
        <v>1479</v>
      </c>
      <c r="X710" s="471">
        <v>0</v>
      </c>
      <c r="Z710" s="270" t="s">
        <v>4894</v>
      </c>
    </row>
    <row r="711" spans="1:26">
      <c r="A711" s="406">
        <v>708</v>
      </c>
      <c r="B711" s="613" t="s">
        <v>2522</v>
      </c>
      <c r="C711" s="288" t="s">
        <v>1480</v>
      </c>
      <c r="D711" s="414" t="s">
        <v>3643</v>
      </c>
      <c r="E711" s="407" t="s">
        <v>8066</v>
      </c>
      <c r="F711" s="483" t="s">
        <v>2581</v>
      </c>
      <c r="G711" s="411" t="s">
        <v>2523</v>
      </c>
      <c r="H711" s="411"/>
      <c r="I711" s="411"/>
      <c r="J711" s="411"/>
      <c r="K711" s="411"/>
      <c r="L711" s="608">
        <v>1768.8503937007877</v>
      </c>
      <c r="M711" s="409">
        <v>5106.3700787401576</v>
      </c>
      <c r="N711" s="409">
        <v>21240.311023622045</v>
      </c>
      <c r="O711" s="410" t="s">
        <v>7847</v>
      </c>
      <c r="P711" s="406">
        <v>708</v>
      </c>
      <c r="Q711" s="470" t="s">
        <v>1480</v>
      </c>
      <c r="R711" s="460" t="s">
        <v>1481</v>
      </c>
      <c r="S711" s="270" t="s">
        <v>7</v>
      </c>
      <c r="U711" s="471"/>
      <c r="V711" s="471"/>
      <c r="W711" s="471" t="s">
        <v>1481</v>
      </c>
      <c r="X711" s="471">
        <v>1</v>
      </c>
      <c r="Z711" s="270" t="s">
        <v>4894</v>
      </c>
    </row>
    <row r="712" spans="1:26">
      <c r="A712" s="406">
        <v>709</v>
      </c>
      <c r="B712" s="613" t="s">
        <v>2522</v>
      </c>
      <c r="C712" s="288" t="s">
        <v>1482</v>
      </c>
      <c r="D712" s="414" t="s">
        <v>3643</v>
      </c>
      <c r="E712" s="407" t="s">
        <v>8066</v>
      </c>
      <c r="F712" s="483" t="s">
        <v>2583</v>
      </c>
      <c r="G712" s="411" t="s">
        <v>2523</v>
      </c>
      <c r="H712" s="411"/>
      <c r="I712" s="411"/>
      <c r="J712" s="411"/>
      <c r="K712" s="411"/>
      <c r="L712" s="608">
        <v>1768.8503937007877</v>
      </c>
      <c r="M712" s="409">
        <v>5112.7007874015744</v>
      </c>
      <c r="N712" s="409">
        <v>21246.641732283464</v>
      </c>
      <c r="O712" s="410" t="s">
        <v>7848</v>
      </c>
      <c r="P712" s="406">
        <v>709</v>
      </c>
      <c r="Q712" s="470" t="s">
        <v>1482</v>
      </c>
      <c r="R712" s="460" t="s">
        <v>1483</v>
      </c>
      <c r="S712" s="270" t="s">
        <v>7</v>
      </c>
      <c r="U712" s="471"/>
      <c r="V712" s="471"/>
      <c r="W712" s="471" t="s">
        <v>1483</v>
      </c>
      <c r="X712" s="471">
        <v>0</v>
      </c>
      <c r="Z712" s="270" t="s">
        <v>4894</v>
      </c>
    </row>
    <row r="713" spans="1:26">
      <c r="A713" s="406">
        <v>710</v>
      </c>
      <c r="B713" s="613" t="s">
        <v>2526</v>
      </c>
      <c r="C713" s="288" t="s">
        <v>1484</v>
      </c>
      <c r="D713" s="414" t="s">
        <v>3565</v>
      </c>
      <c r="E713" s="407" t="s">
        <v>8067</v>
      </c>
      <c r="F713" s="483" t="s">
        <v>2585</v>
      </c>
      <c r="G713" s="411" t="s">
        <v>2527</v>
      </c>
      <c r="H713" s="411"/>
      <c r="I713" s="411"/>
      <c r="J713" s="411"/>
      <c r="K713" s="411"/>
      <c r="L713" s="608">
        <v>1770.1929133858268</v>
      </c>
      <c r="M713" s="409">
        <v>5111.4724409448818</v>
      </c>
      <c r="N713" s="409">
        <v>21243.897637795279</v>
      </c>
      <c r="O713" s="410" t="s">
        <v>7849</v>
      </c>
      <c r="P713" s="406">
        <v>710</v>
      </c>
      <c r="Q713" s="470" t="s">
        <v>1484</v>
      </c>
      <c r="R713" s="460" t="s">
        <v>1485</v>
      </c>
      <c r="S713" s="270" t="s">
        <v>7</v>
      </c>
      <c r="U713" s="471"/>
      <c r="V713" s="471"/>
      <c r="W713" s="471" t="s">
        <v>1485</v>
      </c>
      <c r="X713" s="471">
        <v>1</v>
      </c>
      <c r="Z713" s="270" t="s">
        <v>4894</v>
      </c>
    </row>
    <row r="714" spans="1:26">
      <c r="A714" s="406">
        <v>711</v>
      </c>
      <c r="B714" s="613" t="s">
        <v>2526</v>
      </c>
      <c r="C714" s="288" t="s">
        <v>1486</v>
      </c>
      <c r="D714" s="414" t="s">
        <v>3565</v>
      </c>
      <c r="E714" s="407" t="s">
        <v>8067</v>
      </c>
      <c r="F714" s="483" t="s">
        <v>2587</v>
      </c>
      <c r="G714" s="411" t="s">
        <v>2527</v>
      </c>
      <c r="H714" s="411"/>
      <c r="I714" s="411"/>
      <c r="J714" s="411"/>
      <c r="K714" s="411"/>
      <c r="L714" s="608">
        <v>1770.1929133858268</v>
      </c>
      <c r="M714" s="409">
        <v>5118.0748031496069</v>
      </c>
      <c r="N714" s="409">
        <v>21250.5</v>
      </c>
      <c r="O714" s="410" t="s">
        <v>7849</v>
      </c>
      <c r="P714" s="406">
        <v>711</v>
      </c>
      <c r="Q714" s="470" t="s">
        <v>1486</v>
      </c>
      <c r="R714" s="460" t="s">
        <v>1487</v>
      </c>
      <c r="S714" s="270" t="s">
        <v>7</v>
      </c>
      <c r="U714" s="471"/>
      <c r="V714" s="471"/>
      <c r="W714" s="471" t="s">
        <v>1487</v>
      </c>
      <c r="X714" s="471">
        <v>0</v>
      </c>
      <c r="Z714" s="270" t="s">
        <v>4894</v>
      </c>
    </row>
    <row r="715" spans="1:26">
      <c r="A715" s="406">
        <v>712</v>
      </c>
      <c r="B715" s="613" t="s">
        <v>5838</v>
      </c>
      <c r="C715" s="288" t="s">
        <v>1488</v>
      </c>
      <c r="D715" s="414" t="s">
        <v>3566</v>
      </c>
      <c r="E715" s="407" t="s">
        <v>8480</v>
      </c>
      <c r="F715" s="483" t="s">
        <v>2352</v>
      </c>
      <c r="G715" s="411" t="s">
        <v>2350</v>
      </c>
      <c r="H715" s="411"/>
      <c r="I715" s="411"/>
      <c r="J715" s="411"/>
      <c r="K715" s="411"/>
      <c r="L715" s="608">
        <v>16128.000000000002</v>
      </c>
      <c r="M715" s="409">
        <v>5116.3464566929133</v>
      </c>
      <c r="N715" s="409">
        <v>21244.346456692914</v>
      </c>
      <c r="O715" s="410" t="s">
        <v>7778</v>
      </c>
      <c r="P715" s="406">
        <v>712</v>
      </c>
      <c r="Q715" s="470" t="s">
        <v>1488</v>
      </c>
      <c r="R715" s="475" t="s">
        <v>1489</v>
      </c>
      <c r="S715" s="270" t="s">
        <v>7</v>
      </c>
      <c r="U715" s="471"/>
      <c r="V715" s="471"/>
      <c r="W715" s="471"/>
      <c r="X715" s="471">
        <v>1</v>
      </c>
      <c r="Z715" s="270" t="s">
        <v>4894</v>
      </c>
    </row>
    <row r="716" spans="1:26">
      <c r="A716" s="406">
        <v>713</v>
      </c>
      <c r="B716" s="613" t="s">
        <v>5838</v>
      </c>
      <c r="C716" s="288" t="s">
        <v>1490</v>
      </c>
      <c r="D716" s="414" t="s">
        <v>3566</v>
      </c>
      <c r="E716" s="407" t="s">
        <v>8480</v>
      </c>
      <c r="F716" s="483" t="s">
        <v>2354</v>
      </c>
      <c r="G716" s="411" t="s">
        <v>2350</v>
      </c>
      <c r="H716" s="411"/>
      <c r="I716" s="411"/>
      <c r="J716" s="411"/>
      <c r="K716" s="411"/>
      <c r="L716" s="608">
        <v>16128.000000000002</v>
      </c>
      <c r="M716" s="409">
        <v>5113.0866141732286</v>
      </c>
      <c r="N716" s="409">
        <v>21241.086614173229</v>
      </c>
      <c r="O716" s="410" t="s">
        <v>7786</v>
      </c>
      <c r="P716" s="406">
        <v>713</v>
      </c>
      <c r="Q716" s="470" t="s">
        <v>1490</v>
      </c>
      <c r="R716" s="475" t="s">
        <v>1491</v>
      </c>
      <c r="S716" s="270" t="s">
        <v>7</v>
      </c>
      <c r="U716" s="471"/>
      <c r="V716" s="471"/>
      <c r="W716" s="471"/>
      <c r="X716" s="471">
        <v>0</v>
      </c>
      <c r="Z716" s="270" t="s">
        <v>4894</v>
      </c>
    </row>
    <row r="717" spans="1:26">
      <c r="A717" s="406">
        <v>714</v>
      </c>
      <c r="B717" s="613" t="s">
        <v>5837</v>
      </c>
      <c r="C717" s="288" t="s">
        <v>1492</v>
      </c>
      <c r="D717" s="414" t="s">
        <v>3519</v>
      </c>
      <c r="E717" s="407" t="s">
        <v>8479</v>
      </c>
      <c r="F717" s="483" t="s">
        <v>2359</v>
      </c>
      <c r="G717" s="411" t="s">
        <v>2357</v>
      </c>
      <c r="H717" s="411"/>
      <c r="I717" s="411"/>
      <c r="J717" s="411"/>
      <c r="K717" s="411"/>
      <c r="L717" s="608">
        <v>16135.070866141734</v>
      </c>
      <c r="M717" s="409">
        <v>5111.4685039370079</v>
      </c>
      <c r="N717" s="409">
        <v>21246.539370078743</v>
      </c>
      <c r="O717" s="410" t="s">
        <v>7787</v>
      </c>
      <c r="P717" s="406">
        <v>714</v>
      </c>
      <c r="Q717" s="470" t="s">
        <v>1492</v>
      </c>
      <c r="R717" s="475" t="s">
        <v>1493</v>
      </c>
      <c r="S717" s="270" t="s">
        <v>7</v>
      </c>
      <c r="U717" s="471"/>
      <c r="V717" s="471"/>
      <c r="W717" s="471"/>
      <c r="X717" s="471">
        <v>1</v>
      </c>
      <c r="Z717" s="270" t="s">
        <v>4894</v>
      </c>
    </row>
    <row r="718" spans="1:26">
      <c r="A718" s="406">
        <v>715</v>
      </c>
      <c r="B718" s="613" t="s">
        <v>2457</v>
      </c>
      <c r="C718" s="288" t="s">
        <v>1494</v>
      </c>
      <c r="D718" s="414" t="s">
        <v>3592</v>
      </c>
      <c r="E718" s="407" t="s">
        <v>8481</v>
      </c>
      <c r="F718" s="483" t="s">
        <v>2456</v>
      </c>
      <c r="G718" s="411" t="s">
        <v>2459</v>
      </c>
      <c r="H718" s="411" t="s">
        <v>2458</v>
      </c>
      <c r="I718" s="411"/>
      <c r="J718" s="411"/>
      <c r="K718" s="411"/>
      <c r="L718" s="608">
        <v>11180.05905511811</v>
      </c>
      <c r="M718" s="409">
        <v>4644.7440944881891</v>
      </c>
      <c r="N718" s="409">
        <v>15824.803149606299</v>
      </c>
      <c r="O718" s="410" t="s">
        <v>7756</v>
      </c>
      <c r="P718" s="406">
        <v>715</v>
      </c>
      <c r="Q718" s="470" t="s">
        <v>1494</v>
      </c>
      <c r="R718" s="460" t="s">
        <v>1495</v>
      </c>
      <c r="S718" s="270" t="s">
        <v>7</v>
      </c>
      <c r="U718" s="471"/>
      <c r="V718" s="471"/>
      <c r="W718" s="471" t="s">
        <v>1495</v>
      </c>
      <c r="X718" s="471">
        <v>0</v>
      </c>
    </row>
    <row r="719" spans="1:26">
      <c r="A719" s="406">
        <v>716</v>
      </c>
      <c r="B719" s="613" t="s">
        <v>2461</v>
      </c>
      <c r="C719" s="288" t="s">
        <v>1496</v>
      </c>
      <c r="D719" s="414" t="s">
        <v>3590</v>
      </c>
      <c r="E719" s="407" t="s">
        <v>8482</v>
      </c>
      <c r="F719" s="483" t="s">
        <v>2460</v>
      </c>
      <c r="G719" s="411" t="s">
        <v>2463</v>
      </c>
      <c r="H719" s="411" t="s">
        <v>2462</v>
      </c>
      <c r="I719" s="411"/>
      <c r="J719" s="411"/>
      <c r="K719" s="411"/>
      <c r="L719" s="608">
        <v>11180.303149606299</v>
      </c>
      <c r="M719" s="409">
        <v>4644.6850393700788</v>
      </c>
      <c r="N719" s="409">
        <v>15824.988188976378</v>
      </c>
      <c r="O719" s="410" t="s">
        <v>7756</v>
      </c>
      <c r="P719" s="406">
        <v>716</v>
      </c>
      <c r="Q719" s="470" t="s">
        <v>1496</v>
      </c>
      <c r="R719" s="460" t="s">
        <v>1497</v>
      </c>
      <c r="S719" s="270" t="s">
        <v>7</v>
      </c>
      <c r="U719" s="471"/>
      <c r="V719" s="471"/>
      <c r="W719" s="471" t="s">
        <v>1497</v>
      </c>
      <c r="X719" s="471">
        <v>0</v>
      </c>
    </row>
    <row r="720" spans="1:26">
      <c r="A720" s="406">
        <v>717</v>
      </c>
      <c r="B720" s="613" t="s">
        <v>2457</v>
      </c>
      <c r="C720" s="288" t="s">
        <v>1498</v>
      </c>
      <c r="D720" s="414" t="s">
        <v>3592</v>
      </c>
      <c r="E720" s="407" t="s">
        <v>8481</v>
      </c>
      <c r="F720" s="483" t="s">
        <v>2453</v>
      </c>
      <c r="G720" s="483" t="s">
        <v>2452</v>
      </c>
      <c r="H720" s="411" t="s">
        <v>2459</v>
      </c>
      <c r="I720" s="411" t="s">
        <v>2458</v>
      </c>
      <c r="J720" s="411"/>
      <c r="K720" s="411"/>
      <c r="L720" s="608">
        <v>11180.05905511811</v>
      </c>
      <c r="M720" s="409">
        <v>4644.7244094488187</v>
      </c>
      <c r="N720" s="409">
        <v>15824.78346456693</v>
      </c>
      <c r="O720" s="410" t="s">
        <v>7803</v>
      </c>
      <c r="P720" s="406">
        <v>717</v>
      </c>
      <c r="Q720" s="470" t="s">
        <v>1498</v>
      </c>
      <c r="R720" s="460" t="s">
        <v>1499</v>
      </c>
      <c r="S720" s="270" t="s">
        <v>7</v>
      </c>
      <c r="U720" s="471"/>
      <c r="V720" s="471"/>
      <c r="W720" s="471" t="s">
        <v>1499</v>
      </c>
      <c r="X720" s="471">
        <v>1</v>
      </c>
    </row>
    <row r="721" spans="1:26">
      <c r="A721" s="406">
        <v>718</v>
      </c>
      <c r="B721" s="613" t="s">
        <v>2461</v>
      </c>
      <c r="C721" s="288" t="s">
        <v>1500</v>
      </c>
      <c r="D721" s="414" t="s">
        <v>3590</v>
      </c>
      <c r="E721" s="407" t="s">
        <v>8482</v>
      </c>
      <c r="F721" s="483" t="s">
        <v>2455</v>
      </c>
      <c r="G721" s="483" t="s">
        <v>2454</v>
      </c>
      <c r="H721" s="411" t="s">
        <v>2463</v>
      </c>
      <c r="I721" s="411" t="s">
        <v>2462</v>
      </c>
      <c r="J721" s="411"/>
      <c r="K721" s="411"/>
      <c r="L721" s="608">
        <v>11180.303149606299</v>
      </c>
      <c r="M721" s="409">
        <v>4644.8937007874019</v>
      </c>
      <c r="N721" s="409">
        <v>15825.196850393701</v>
      </c>
      <c r="O721" s="410" t="s">
        <v>7803</v>
      </c>
      <c r="P721" s="406">
        <v>718</v>
      </c>
      <c r="Q721" s="470" t="s">
        <v>1500</v>
      </c>
      <c r="R721" s="460" t="s">
        <v>1501</v>
      </c>
      <c r="S721" s="270" t="s">
        <v>7</v>
      </c>
      <c r="U721" s="471"/>
      <c r="V721" s="471"/>
      <c r="W721" s="471" t="s">
        <v>1501</v>
      </c>
      <c r="X721" s="471">
        <v>1</v>
      </c>
      <c r="Y721" s="206"/>
      <c r="Z721" s="206"/>
    </row>
    <row r="722" spans="1:26">
      <c r="A722" s="406">
        <v>719</v>
      </c>
      <c r="B722" s="613" t="s">
        <v>2469</v>
      </c>
      <c r="C722" s="288" t="s">
        <v>1502</v>
      </c>
      <c r="D722" s="414" t="s">
        <v>3596</v>
      </c>
      <c r="E722" s="407" t="s">
        <v>8483</v>
      </c>
      <c r="F722" s="483" t="s">
        <v>2468</v>
      </c>
      <c r="G722" s="411" t="s">
        <v>2471</v>
      </c>
      <c r="H722" s="411" t="s">
        <v>2470</v>
      </c>
      <c r="I722" s="411"/>
      <c r="J722" s="411"/>
      <c r="K722" s="411"/>
      <c r="L722" s="608">
        <v>10589.496062992128</v>
      </c>
      <c r="M722" s="409">
        <v>4644.3346456692916</v>
      </c>
      <c r="N722" s="409">
        <v>15233.830708661419</v>
      </c>
      <c r="O722" s="410" t="s">
        <v>7803</v>
      </c>
      <c r="P722" s="406">
        <v>719</v>
      </c>
      <c r="Q722" s="470" t="s">
        <v>1502</v>
      </c>
      <c r="R722" s="460" t="s">
        <v>1503</v>
      </c>
      <c r="S722" s="270" t="s">
        <v>7</v>
      </c>
      <c r="U722" s="471"/>
      <c r="V722" s="471"/>
      <c r="W722" s="471" t="s">
        <v>1503</v>
      </c>
      <c r="X722" s="471">
        <v>0</v>
      </c>
      <c r="Y722" s="206"/>
      <c r="Z722" s="206"/>
    </row>
    <row r="723" spans="1:26">
      <c r="A723" s="406">
        <v>720</v>
      </c>
      <c r="B723" s="613" t="s">
        <v>2473</v>
      </c>
      <c r="C723" s="288" t="s">
        <v>1504</v>
      </c>
      <c r="D723" s="414" t="s">
        <v>3594</v>
      </c>
      <c r="E723" s="407" t="s">
        <v>8484</v>
      </c>
      <c r="F723" s="483" t="s">
        <v>2472</v>
      </c>
      <c r="G723" s="411" t="s">
        <v>2475</v>
      </c>
      <c r="H723" s="411" t="s">
        <v>2474</v>
      </c>
      <c r="I723" s="411"/>
      <c r="J723" s="411"/>
      <c r="K723" s="411"/>
      <c r="L723" s="608">
        <v>10589.535433070867</v>
      </c>
      <c r="M723" s="409">
        <v>4644.8425196850394</v>
      </c>
      <c r="N723" s="409">
        <v>15234.377952755905</v>
      </c>
      <c r="O723" s="410" t="s">
        <v>7803</v>
      </c>
      <c r="P723" s="406">
        <v>720</v>
      </c>
      <c r="Q723" s="470" t="s">
        <v>1504</v>
      </c>
      <c r="R723" s="460" t="s">
        <v>1505</v>
      </c>
      <c r="S723" s="270" t="s">
        <v>7</v>
      </c>
      <c r="U723" s="471"/>
      <c r="V723" s="471"/>
      <c r="W723" s="471" t="s">
        <v>1505</v>
      </c>
      <c r="X723" s="471">
        <v>0</v>
      </c>
      <c r="Y723" s="206"/>
      <c r="Z723" s="206"/>
    </row>
    <row r="724" spans="1:26">
      <c r="A724" s="406">
        <v>721</v>
      </c>
      <c r="B724" s="613" t="s">
        <v>2469</v>
      </c>
      <c r="C724" s="288" t="s">
        <v>1506</v>
      </c>
      <c r="D724" s="414" t="s">
        <v>3596</v>
      </c>
      <c r="E724" s="407" t="s">
        <v>8483</v>
      </c>
      <c r="F724" s="483" t="s">
        <v>2465</v>
      </c>
      <c r="G724" s="483" t="s">
        <v>2464</v>
      </c>
      <c r="H724" s="411" t="s">
        <v>2471</v>
      </c>
      <c r="I724" s="411" t="s">
        <v>2470</v>
      </c>
      <c r="J724" s="411"/>
      <c r="K724" s="411"/>
      <c r="L724" s="608">
        <v>10589.496062992128</v>
      </c>
      <c r="M724" s="409">
        <v>4644.6377952755902</v>
      </c>
      <c r="N724" s="409">
        <v>15234.133858267718</v>
      </c>
      <c r="O724" s="410" t="s">
        <v>7818</v>
      </c>
      <c r="P724" s="406">
        <v>721</v>
      </c>
      <c r="Q724" s="470" t="s">
        <v>1506</v>
      </c>
      <c r="R724" s="460" t="s">
        <v>1507</v>
      </c>
      <c r="S724" s="270" t="s">
        <v>7</v>
      </c>
      <c r="U724" s="471"/>
      <c r="V724" s="471"/>
      <c r="W724" s="471" t="s">
        <v>1507</v>
      </c>
      <c r="X724" s="471">
        <v>1</v>
      </c>
      <c r="Y724" s="206"/>
      <c r="Z724" s="206"/>
    </row>
    <row r="725" spans="1:26">
      <c r="A725" s="406">
        <v>722</v>
      </c>
      <c r="B725" s="613" t="s">
        <v>2473</v>
      </c>
      <c r="C725" s="288" t="s">
        <v>1508</v>
      </c>
      <c r="D725" s="414" t="s">
        <v>3594</v>
      </c>
      <c r="E725" s="407" t="s">
        <v>8484</v>
      </c>
      <c r="F725" s="483" t="s">
        <v>2467</v>
      </c>
      <c r="G725" s="483" t="s">
        <v>2466</v>
      </c>
      <c r="H725" s="411" t="s">
        <v>2475</v>
      </c>
      <c r="I725" s="411" t="s">
        <v>2474</v>
      </c>
      <c r="J725" s="411"/>
      <c r="K725" s="411"/>
      <c r="L725" s="608">
        <v>10589.535433070867</v>
      </c>
      <c r="M725" s="409">
        <v>4645.5748031496069</v>
      </c>
      <c r="N725" s="409">
        <v>15235.110236220475</v>
      </c>
      <c r="O725" s="410" t="s">
        <v>7818</v>
      </c>
      <c r="P725" s="406">
        <v>722</v>
      </c>
      <c r="Q725" s="470" t="s">
        <v>1508</v>
      </c>
      <c r="R725" s="460" t="s">
        <v>1509</v>
      </c>
      <c r="S725" s="270" t="s">
        <v>7</v>
      </c>
      <c r="U725" s="471"/>
      <c r="V725" s="471"/>
      <c r="W725" s="471" t="s">
        <v>1509</v>
      </c>
      <c r="X725" s="471">
        <v>1</v>
      </c>
      <c r="Y725" s="206"/>
      <c r="Z725" s="206"/>
    </row>
    <row r="726" spans="1:26">
      <c r="A726" s="406">
        <v>723</v>
      </c>
      <c r="B726" s="613" t="s">
        <v>2481</v>
      </c>
      <c r="C726" s="288" t="s">
        <v>1510</v>
      </c>
      <c r="D726" s="414" t="s">
        <v>3485</v>
      </c>
      <c r="E726" s="407" t="s">
        <v>8485</v>
      </c>
      <c r="F726" s="483" t="s">
        <v>2480</v>
      </c>
      <c r="G726" s="411" t="s">
        <v>2483</v>
      </c>
      <c r="H726" s="411" t="s">
        <v>2482</v>
      </c>
      <c r="I726" s="411"/>
      <c r="J726" s="411"/>
      <c r="K726" s="411"/>
      <c r="L726" s="608">
        <v>9999.0708661417339</v>
      </c>
      <c r="M726" s="409">
        <v>4644.8503937007881</v>
      </c>
      <c r="N726" s="409">
        <v>14643.92125984252</v>
      </c>
      <c r="O726" s="410" t="s">
        <v>7838</v>
      </c>
      <c r="P726" s="406">
        <v>723</v>
      </c>
      <c r="Q726" s="470" t="s">
        <v>1510</v>
      </c>
      <c r="R726" s="460" t="s">
        <v>1511</v>
      </c>
      <c r="S726" s="270" t="s">
        <v>7</v>
      </c>
      <c r="U726" s="471"/>
      <c r="V726" s="471"/>
      <c r="W726" s="471" t="s">
        <v>1511</v>
      </c>
      <c r="X726" s="471">
        <v>0</v>
      </c>
      <c r="Y726" s="206"/>
      <c r="Z726" s="206"/>
    </row>
    <row r="727" spans="1:26">
      <c r="A727" s="406">
        <v>724</v>
      </c>
      <c r="B727" s="613" t="s">
        <v>2485</v>
      </c>
      <c r="C727" s="288" t="s">
        <v>1512</v>
      </c>
      <c r="D727" s="414" t="s">
        <v>3483</v>
      </c>
      <c r="E727" s="407" t="s">
        <v>8486</v>
      </c>
      <c r="F727" s="483" t="s">
        <v>2484</v>
      </c>
      <c r="G727" s="411" t="s">
        <v>2487</v>
      </c>
      <c r="H727" s="411" t="s">
        <v>2486</v>
      </c>
      <c r="I727" s="411"/>
      <c r="J727" s="411"/>
      <c r="K727" s="411"/>
      <c r="L727" s="608">
        <v>9999.0039370078757</v>
      </c>
      <c r="M727" s="409">
        <v>4644.964566929134</v>
      </c>
      <c r="N727" s="409">
        <v>14643.968503937011</v>
      </c>
      <c r="O727" s="410" t="s">
        <v>7838</v>
      </c>
      <c r="P727" s="406">
        <v>724</v>
      </c>
      <c r="Q727" s="470" t="s">
        <v>1512</v>
      </c>
      <c r="R727" s="460" t="s">
        <v>1513</v>
      </c>
      <c r="S727" s="270" t="s">
        <v>7</v>
      </c>
      <c r="U727" s="471"/>
      <c r="V727" s="471"/>
      <c r="W727" s="471" t="s">
        <v>1513</v>
      </c>
      <c r="X727" s="471">
        <v>0</v>
      </c>
      <c r="Y727" s="206"/>
      <c r="Z727" s="206"/>
    </row>
    <row r="728" spans="1:26">
      <c r="A728" s="406">
        <v>725</v>
      </c>
      <c r="B728" s="613" t="s">
        <v>2481</v>
      </c>
      <c r="C728" s="288" t="s">
        <v>1514</v>
      </c>
      <c r="D728" s="414" t="s">
        <v>3485</v>
      </c>
      <c r="E728" s="407" t="s">
        <v>8485</v>
      </c>
      <c r="F728" s="483" t="s">
        <v>2477</v>
      </c>
      <c r="G728" s="483" t="s">
        <v>2476</v>
      </c>
      <c r="H728" s="411" t="s">
        <v>2483</v>
      </c>
      <c r="I728" s="411" t="s">
        <v>2482</v>
      </c>
      <c r="J728" s="411"/>
      <c r="K728" s="411"/>
      <c r="L728" s="608">
        <v>9999.0708661417339</v>
      </c>
      <c r="M728" s="409">
        <v>4645.4094488188975</v>
      </c>
      <c r="N728" s="409">
        <v>14644.48031496063</v>
      </c>
      <c r="O728" s="410" t="s">
        <v>7818</v>
      </c>
      <c r="P728" s="406">
        <v>725</v>
      </c>
      <c r="Q728" s="470" t="s">
        <v>1514</v>
      </c>
      <c r="R728" s="460" t="s">
        <v>1515</v>
      </c>
      <c r="S728" s="270" t="s">
        <v>7</v>
      </c>
      <c r="U728" s="471"/>
      <c r="V728" s="471"/>
      <c r="W728" s="471" t="s">
        <v>1515</v>
      </c>
      <c r="X728" s="471">
        <v>1</v>
      </c>
      <c r="Y728" s="206"/>
      <c r="Z728" s="206"/>
    </row>
    <row r="729" spans="1:26">
      <c r="A729" s="406">
        <v>726</v>
      </c>
      <c r="B729" s="613" t="s">
        <v>2485</v>
      </c>
      <c r="C729" s="288" t="s">
        <v>1516</v>
      </c>
      <c r="D729" s="414" t="s">
        <v>3483</v>
      </c>
      <c r="E729" s="407" t="s">
        <v>8486</v>
      </c>
      <c r="F729" s="483" t="s">
        <v>2479</v>
      </c>
      <c r="G729" s="483" t="s">
        <v>2478</v>
      </c>
      <c r="H729" s="411" t="s">
        <v>2487</v>
      </c>
      <c r="I729" s="411" t="s">
        <v>2486</v>
      </c>
      <c r="J729" s="411"/>
      <c r="K729" s="411"/>
      <c r="L729" s="608">
        <v>9999.0039370078757</v>
      </c>
      <c r="M729" s="409">
        <v>4644.8346456692916</v>
      </c>
      <c r="N729" s="409">
        <v>14643.838582677166</v>
      </c>
      <c r="O729" s="410" t="s">
        <v>7818</v>
      </c>
      <c r="P729" s="406">
        <v>726</v>
      </c>
      <c r="Q729" s="470" t="s">
        <v>1516</v>
      </c>
      <c r="R729" s="460" t="s">
        <v>1517</v>
      </c>
      <c r="S729" s="270" t="s">
        <v>7</v>
      </c>
      <c r="U729" s="471"/>
      <c r="V729" s="471"/>
      <c r="W729" s="471" t="s">
        <v>1517</v>
      </c>
      <c r="X729" s="471">
        <v>1</v>
      </c>
      <c r="Y729" s="206"/>
      <c r="Z729" s="206"/>
    </row>
    <row r="730" spans="1:26">
      <c r="A730" s="406">
        <v>727</v>
      </c>
      <c r="B730" s="613" t="s">
        <v>2493</v>
      </c>
      <c r="C730" s="288" t="s">
        <v>1518</v>
      </c>
      <c r="D730" s="414" t="s">
        <v>3591</v>
      </c>
      <c r="E730" s="407" t="s">
        <v>8487</v>
      </c>
      <c r="F730" s="483" t="s">
        <v>2492</v>
      </c>
      <c r="G730" s="411" t="s">
        <v>2495</v>
      </c>
      <c r="H730" s="411" t="s">
        <v>2494</v>
      </c>
      <c r="I730" s="411"/>
      <c r="J730" s="411"/>
      <c r="K730" s="411"/>
      <c r="L730" s="608">
        <v>14290.614173228347</v>
      </c>
      <c r="M730" s="409">
        <v>4645.0984251968503</v>
      </c>
      <c r="N730" s="409">
        <v>18935.712598425198</v>
      </c>
      <c r="O730" s="410" t="s">
        <v>7803</v>
      </c>
      <c r="P730" s="406">
        <v>727</v>
      </c>
      <c r="Q730" s="470" t="s">
        <v>1518</v>
      </c>
      <c r="R730" s="460" t="s">
        <v>1519</v>
      </c>
      <c r="S730" s="270" t="s">
        <v>7</v>
      </c>
      <c r="U730" s="471"/>
      <c r="V730" s="471"/>
      <c r="W730" s="471" t="s">
        <v>1519</v>
      </c>
      <c r="X730" s="471">
        <v>0</v>
      </c>
      <c r="Y730" s="206"/>
      <c r="Z730" s="206"/>
    </row>
    <row r="731" spans="1:26">
      <c r="A731" s="406">
        <v>728</v>
      </c>
      <c r="B731" s="613" t="s">
        <v>2497</v>
      </c>
      <c r="C731" s="288" t="s">
        <v>1520</v>
      </c>
      <c r="D731" s="414" t="s">
        <v>3593</v>
      </c>
      <c r="E731" s="407" t="s">
        <v>8488</v>
      </c>
      <c r="F731" s="483" t="s">
        <v>2496</v>
      </c>
      <c r="G731" s="411" t="s">
        <v>2499</v>
      </c>
      <c r="H731" s="411" t="s">
        <v>2498</v>
      </c>
      <c r="I731" s="411"/>
      <c r="J731" s="411"/>
      <c r="K731" s="411"/>
      <c r="L731" s="608">
        <v>14290.732283464567</v>
      </c>
      <c r="M731" s="409">
        <v>4644.6220472440946</v>
      </c>
      <c r="N731" s="409">
        <v>18935.354330708662</v>
      </c>
      <c r="O731" s="410" t="s">
        <v>7803</v>
      </c>
      <c r="P731" s="406">
        <v>728</v>
      </c>
      <c r="Q731" s="470" t="s">
        <v>1520</v>
      </c>
      <c r="R731" s="460" t="s">
        <v>1521</v>
      </c>
      <c r="S731" s="270" t="s">
        <v>7</v>
      </c>
      <c r="U731" s="471"/>
      <c r="V731" s="471"/>
      <c r="W731" s="471" t="s">
        <v>1521</v>
      </c>
      <c r="X731" s="471">
        <v>0</v>
      </c>
      <c r="Y731" s="206"/>
      <c r="Z731" s="206"/>
    </row>
    <row r="732" spans="1:26">
      <c r="A732" s="406">
        <v>729</v>
      </c>
      <c r="B732" s="613" t="s">
        <v>2493</v>
      </c>
      <c r="C732" s="288" t="s">
        <v>1522</v>
      </c>
      <c r="D732" s="414" t="s">
        <v>3591</v>
      </c>
      <c r="E732" s="407" t="s">
        <v>8487</v>
      </c>
      <c r="F732" s="483" t="s">
        <v>2489</v>
      </c>
      <c r="G732" s="483" t="s">
        <v>2488</v>
      </c>
      <c r="H732" s="411" t="s">
        <v>2495</v>
      </c>
      <c r="I732" s="411" t="s">
        <v>2494</v>
      </c>
      <c r="J732" s="411"/>
      <c r="K732" s="411"/>
      <c r="L732" s="608">
        <v>14290.614173228347</v>
      </c>
      <c r="M732" s="409">
        <v>4645.2204724409448</v>
      </c>
      <c r="N732" s="409">
        <v>18935.834645669293</v>
      </c>
      <c r="O732" s="410" t="s">
        <v>7818</v>
      </c>
      <c r="P732" s="406">
        <v>729</v>
      </c>
      <c r="Q732" s="470" t="s">
        <v>1522</v>
      </c>
      <c r="R732" s="460" t="s">
        <v>1523</v>
      </c>
      <c r="S732" s="270" t="s">
        <v>7</v>
      </c>
      <c r="U732" s="471"/>
      <c r="V732" s="471"/>
      <c r="W732" s="471" t="s">
        <v>1523</v>
      </c>
      <c r="X732" s="471">
        <v>1</v>
      </c>
      <c r="Y732" s="206"/>
      <c r="Z732" s="206"/>
    </row>
    <row r="733" spans="1:26">
      <c r="A733" s="406">
        <v>730</v>
      </c>
      <c r="B733" s="613" t="s">
        <v>2497</v>
      </c>
      <c r="C733" s="288" t="s">
        <v>1524</v>
      </c>
      <c r="D733" s="414" t="s">
        <v>3593</v>
      </c>
      <c r="E733" s="407" t="s">
        <v>8488</v>
      </c>
      <c r="F733" s="483" t="s">
        <v>2491</v>
      </c>
      <c r="G733" s="483" t="s">
        <v>2490</v>
      </c>
      <c r="H733" s="411" t="s">
        <v>2499</v>
      </c>
      <c r="I733" s="411" t="s">
        <v>2498</v>
      </c>
      <c r="J733" s="411"/>
      <c r="K733" s="411"/>
      <c r="L733" s="608">
        <v>14290.732283464567</v>
      </c>
      <c r="M733" s="409">
        <v>4644.3858267716532</v>
      </c>
      <c r="N733" s="409">
        <v>18935.118110236221</v>
      </c>
      <c r="O733" s="410" t="s">
        <v>7818</v>
      </c>
      <c r="P733" s="406">
        <v>730</v>
      </c>
      <c r="Q733" s="470" t="s">
        <v>1524</v>
      </c>
      <c r="R733" s="460" t="s">
        <v>1525</v>
      </c>
      <c r="S733" s="270" t="s">
        <v>7</v>
      </c>
      <c r="U733" s="471"/>
      <c r="V733" s="471"/>
      <c r="W733" s="471" t="s">
        <v>1525</v>
      </c>
      <c r="X733" s="471">
        <v>1</v>
      </c>
      <c r="Y733" s="206"/>
      <c r="Z733" s="206"/>
    </row>
    <row r="734" spans="1:26" ht="15" thickBot="1">
      <c r="A734" s="406">
        <v>731</v>
      </c>
      <c r="B734" s="613" t="s">
        <v>7020</v>
      </c>
      <c r="C734" s="483" t="s">
        <v>1526</v>
      </c>
      <c r="D734" s="414" t="s">
        <v>4884</v>
      </c>
      <c r="E734" s="407" t="s">
        <v>4884</v>
      </c>
      <c r="F734" s="483"/>
      <c r="G734" s="483"/>
      <c r="H734" s="483"/>
      <c r="I734" s="483"/>
      <c r="J734" s="483"/>
      <c r="K734" s="483"/>
      <c r="L734" s="608" t="s">
        <v>4884</v>
      </c>
      <c r="M734" s="409" t="s">
        <v>4884</v>
      </c>
      <c r="N734" s="409" t="s">
        <v>4884</v>
      </c>
      <c r="O734" s="410" t="s">
        <v>4884</v>
      </c>
      <c r="P734" s="406">
        <v>731</v>
      </c>
      <c r="Q734" s="532" t="s">
        <v>1526</v>
      </c>
      <c r="R734" s="532" t="s">
        <v>1527</v>
      </c>
      <c r="S734" s="532" t="s">
        <v>1528</v>
      </c>
      <c r="T734" s="533" t="s">
        <v>1529</v>
      </c>
      <c r="U734" s="471"/>
      <c r="V734" s="471"/>
      <c r="W734" s="479"/>
      <c r="X734" s="471"/>
      <c r="Y734" s="206"/>
      <c r="Z734" s="206"/>
    </row>
    <row r="735" spans="1:26">
      <c r="A735" s="406">
        <v>732</v>
      </c>
      <c r="B735" s="613" t="s">
        <v>7020</v>
      </c>
      <c r="C735" s="483" t="s">
        <v>1530</v>
      </c>
      <c r="D735" s="414" t="s">
        <v>4884</v>
      </c>
      <c r="E735" s="407" t="s">
        <v>4884</v>
      </c>
      <c r="F735" s="483"/>
      <c r="G735" s="483"/>
      <c r="H735" s="483"/>
      <c r="I735" s="483"/>
      <c r="J735" s="483"/>
      <c r="K735" s="483"/>
      <c r="L735" s="608" t="s">
        <v>4884</v>
      </c>
      <c r="M735" s="409" t="s">
        <v>4884</v>
      </c>
      <c r="N735" s="409" t="s">
        <v>4884</v>
      </c>
      <c r="O735" s="410" t="s">
        <v>4884</v>
      </c>
      <c r="P735" s="406">
        <v>732</v>
      </c>
      <c r="Q735" s="460" t="s">
        <v>1530</v>
      </c>
      <c r="R735" s="460" t="s">
        <v>1531</v>
      </c>
      <c r="S735" s="460" t="s">
        <v>1528</v>
      </c>
      <c r="T735" s="534" t="s">
        <v>1532</v>
      </c>
      <c r="U735" s="471"/>
      <c r="V735" s="471"/>
      <c r="W735" s="479"/>
      <c r="X735" s="471"/>
      <c r="Y735" s="206"/>
      <c r="Z735" s="206"/>
    </row>
    <row r="736" spans="1:26">
      <c r="A736" s="406">
        <v>733</v>
      </c>
      <c r="B736" s="613" t="s">
        <v>7020</v>
      </c>
      <c r="C736" s="483" t="s">
        <v>1533</v>
      </c>
      <c r="D736" s="414" t="s">
        <v>4884</v>
      </c>
      <c r="E736" s="407" t="s">
        <v>4884</v>
      </c>
      <c r="F736" s="483"/>
      <c r="G736" s="483"/>
      <c r="H736" s="483"/>
      <c r="I736" s="483"/>
      <c r="J736" s="483"/>
      <c r="K736" s="483"/>
      <c r="L736" s="608" t="s">
        <v>4884</v>
      </c>
      <c r="M736" s="409" t="s">
        <v>4884</v>
      </c>
      <c r="N736" s="409" t="s">
        <v>4884</v>
      </c>
      <c r="O736" s="410" t="s">
        <v>4884</v>
      </c>
      <c r="P736" s="406">
        <v>733</v>
      </c>
      <c r="Q736" s="460" t="s">
        <v>1533</v>
      </c>
      <c r="R736" s="460" t="s">
        <v>1534</v>
      </c>
      <c r="S736" s="460" t="s">
        <v>1528</v>
      </c>
      <c r="T736" s="484" t="s">
        <v>1535</v>
      </c>
      <c r="U736" s="471"/>
      <c r="V736" s="471"/>
      <c r="W736" s="479"/>
      <c r="X736" s="471"/>
      <c r="Y736" s="206"/>
      <c r="Z736" s="206"/>
    </row>
    <row r="737" spans="1:26">
      <c r="A737" s="406">
        <v>734</v>
      </c>
      <c r="B737" s="613" t="s">
        <v>7020</v>
      </c>
      <c r="C737" s="483" t="s">
        <v>1536</v>
      </c>
      <c r="D737" s="414" t="s">
        <v>4884</v>
      </c>
      <c r="E737" s="407" t="s">
        <v>4884</v>
      </c>
      <c r="F737" s="483"/>
      <c r="G737" s="483"/>
      <c r="H737" s="483"/>
      <c r="I737" s="483"/>
      <c r="J737" s="483"/>
      <c r="K737" s="483"/>
      <c r="L737" s="608" t="s">
        <v>4884</v>
      </c>
      <c r="M737" s="409" t="s">
        <v>4884</v>
      </c>
      <c r="N737" s="409" t="s">
        <v>4884</v>
      </c>
      <c r="O737" s="410" t="s">
        <v>4884</v>
      </c>
      <c r="P737" s="406">
        <v>734</v>
      </c>
      <c r="Q737" s="460" t="s">
        <v>1536</v>
      </c>
      <c r="R737" s="460" t="s">
        <v>1537</v>
      </c>
      <c r="S737" s="460" t="s">
        <v>1528</v>
      </c>
      <c r="T737" s="484" t="s">
        <v>1535</v>
      </c>
      <c r="U737" s="471"/>
      <c r="V737" s="471"/>
      <c r="W737" s="479"/>
      <c r="X737" s="471"/>
      <c r="Y737" s="206"/>
      <c r="Z737" s="206"/>
    </row>
    <row r="738" spans="1:26">
      <c r="A738" s="406">
        <v>735</v>
      </c>
      <c r="B738" s="613" t="s">
        <v>7020</v>
      </c>
      <c r="C738" s="483" t="s">
        <v>1538</v>
      </c>
      <c r="D738" s="414" t="s">
        <v>4884</v>
      </c>
      <c r="E738" s="407" t="s">
        <v>4884</v>
      </c>
      <c r="F738" s="483"/>
      <c r="G738" s="483"/>
      <c r="H738" s="483"/>
      <c r="I738" s="483"/>
      <c r="J738" s="483"/>
      <c r="K738" s="483"/>
      <c r="L738" s="608" t="s">
        <v>4884</v>
      </c>
      <c r="M738" s="409" t="s">
        <v>4884</v>
      </c>
      <c r="N738" s="409" t="s">
        <v>4884</v>
      </c>
      <c r="O738" s="410" t="s">
        <v>4884</v>
      </c>
      <c r="P738" s="406">
        <v>735</v>
      </c>
      <c r="Q738" s="460" t="s">
        <v>1538</v>
      </c>
      <c r="R738" s="460" t="s">
        <v>1539</v>
      </c>
      <c r="S738" s="460" t="s">
        <v>1528</v>
      </c>
      <c r="T738" s="485" t="s">
        <v>1540</v>
      </c>
      <c r="U738" s="471"/>
      <c r="V738" s="471"/>
      <c r="W738" s="479"/>
      <c r="X738" s="471"/>
      <c r="Y738" s="206"/>
      <c r="Z738" s="206"/>
    </row>
    <row r="739" spans="1:26">
      <c r="A739" s="406">
        <v>736</v>
      </c>
      <c r="B739" s="613" t="s">
        <v>7020</v>
      </c>
      <c r="C739" s="483" t="s">
        <v>1541</v>
      </c>
      <c r="D739" s="414" t="s">
        <v>4884</v>
      </c>
      <c r="E739" s="407" t="s">
        <v>4884</v>
      </c>
      <c r="F739" s="483"/>
      <c r="G739" s="483"/>
      <c r="H739" s="483"/>
      <c r="I739" s="483"/>
      <c r="J739" s="483"/>
      <c r="K739" s="483"/>
      <c r="L739" s="608" t="s">
        <v>4884</v>
      </c>
      <c r="M739" s="409" t="s">
        <v>4884</v>
      </c>
      <c r="N739" s="409" t="s">
        <v>4884</v>
      </c>
      <c r="O739" s="410" t="s">
        <v>4884</v>
      </c>
      <c r="P739" s="406">
        <v>736</v>
      </c>
      <c r="Q739" s="460" t="s">
        <v>1541</v>
      </c>
      <c r="R739" s="460" t="s">
        <v>1539</v>
      </c>
      <c r="S739" s="460" t="s">
        <v>1528</v>
      </c>
      <c r="T739" s="485" t="s">
        <v>1540</v>
      </c>
      <c r="U739" s="471"/>
      <c r="V739" s="471"/>
      <c r="W739" s="479"/>
      <c r="X739" s="471"/>
      <c r="Y739" s="206"/>
      <c r="Z739" s="206"/>
    </row>
    <row r="740" spans="1:26">
      <c r="A740" s="406">
        <v>737</v>
      </c>
      <c r="B740" s="613" t="s">
        <v>7020</v>
      </c>
      <c r="C740" s="483" t="s">
        <v>1542</v>
      </c>
      <c r="D740" s="414" t="s">
        <v>4884</v>
      </c>
      <c r="E740" s="407" t="s">
        <v>4884</v>
      </c>
      <c r="F740" s="483"/>
      <c r="G740" s="483"/>
      <c r="H740" s="483"/>
      <c r="I740" s="483"/>
      <c r="J740" s="483"/>
      <c r="K740" s="483"/>
      <c r="L740" s="608" t="s">
        <v>4884</v>
      </c>
      <c r="M740" s="409" t="s">
        <v>4884</v>
      </c>
      <c r="N740" s="409" t="s">
        <v>4884</v>
      </c>
      <c r="O740" s="410" t="s">
        <v>4884</v>
      </c>
      <c r="P740" s="406">
        <v>737</v>
      </c>
      <c r="Q740" s="460" t="s">
        <v>1542</v>
      </c>
      <c r="R740" s="460" t="s">
        <v>1543</v>
      </c>
      <c r="S740" s="460" t="s">
        <v>1528</v>
      </c>
      <c r="T740" s="484" t="s">
        <v>1535</v>
      </c>
      <c r="U740" s="471"/>
      <c r="V740" s="471"/>
      <c r="W740" s="479"/>
      <c r="X740" s="471"/>
      <c r="Y740" s="206"/>
      <c r="Z740" s="206"/>
    </row>
    <row r="741" spans="1:26">
      <c r="A741" s="406">
        <v>738</v>
      </c>
      <c r="B741" s="613" t="s">
        <v>7020</v>
      </c>
      <c r="C741" s="483" t="s">
        <v>1544</v>
      </c>
      <c r="D741" s="414" t="s">
        <v>4884</v>
      </c>
      <c r="E741" s="407" t="s">
        <v>4884</v>
      </c>
      <c r="F741" s="483"/>
      <c r="G741" s="483"/>
      <c r="H741" s="483"/>
      <c r="I741" s="483"/>
      <c r="J741" s="483"/>
      <c r="K741" s="483"/>
      <c r="L741" s="608" t="s">
        <v>4884</v>
      </c>
      <c r="M741" s="409" t="s">
        <v>4884</v>
      </c>
      <c r="N741" s="409" t="s">
        <v>4884</v>
      </c>
      <c r="O741" s="410" t="s">
        <v>4884</v>
      </c>
      <c r="P741" s="406">
        <v>738</v>
      </c>
      <c r="Q741" s="460" t="s">
        <v>1544</v>
      </c>
      <c r="R741" s="460" t="s">
        <v>1545</v>
      </c>
      <c r="S741" s="460" t="s">
        <v>1528</v>
      </c>
      <c r="T741" s="484" t="s">
        <v>1535</v>
      </c>
      <c r="U741" s="471"/>
      <c r="V741" s="471"/>
      <c r="W741" s="479"/>
      <c r="X741" s="471"/>
      <c r="Y741" s="206"/>
      <c r="Z741" s="206"/>
    </row>
    <row r="742" spans="1:26">
      <c r="A742" s="406">
        <v>739</v>
      </c>
      <c r="B742" s="613" t="s">
        <v>7020</v>
      </c>
      <c r="C742" s="483" t="s">
        <v>1546</v>
      </c>
      <c r="D742" s="414" t="s">
        <v>4884</v>
      </c>
      <c r="E742" s="407" t="s">
        <v>4884</v>
      </c>
      <c r="F742" s="483"/>
      <c r="G742" s="483"/>
      <c r="H742" s="483"/>
      <c r="I742" s="483"/>
      <c r="J742" s="483"/>
      <c r="K742" s="483"/>
      <c r="L742" s="608" t="s">
        <v>4884</v>
      </c>
      <c r="M742" s="409" t="s">
        <v>4884</v>
      </c>
      <c r="N742" s="409" t="s">
        <v>4884</v>
      </c>
      <c r="O742" s="410" t="s">
        <v>4884</v>
      </c>
      <c r="P742" s="406">
        <v>739</v>
      </c>
      <c r="Q742" s="460" t="s">
        <v>1546</v>
      </c>
      <c r="R742" s="460" t="s">
        <v>1547</v>
      </c>
      <c r="S742" s="460" t="s">
        <v>1528</v>
      </c>
      <c r="T742" s="486" t="s">
        <v>1548</v>
      </c>
      <c r="U742" s="471"/>
      <c r="V742" s="471"/>
      <c r="W742" s="471"/>
      <c r="X742" s="471"/>
      <c r="Y742" s="206"/>
      <c r="Z742" s="206"/>
    </row>
    <row r="743" spans="1:26">
      <c r="A743" s="406">
        <v>740</v>
      </c>
      <c r="B743" s="613" t="s">
        <v>7020</v>
      </c>
      <c r="C743" s="483" t="s">
        <v>1549</v>
      </c>
      <c r="D743" s="414" t="s">
        <v>4884</v>
      </c>
      <c r="E743" s="407" t="s">
        <v>4884</v>
      </c>
      <c r="F743" s="483"/>
      <c r="G743" s="483"/>
      <c r="H743" s="483"/>
      <c r="I743" s="483"/>
      <c r="J743" s="483"/>
      <c r="K743" s="483"/>
      <c r="L743" s="608" t="s">
        <v>4884</v>
      </c>
      <c r="M743" s="409" t="s">
        <v>4884</v>
      </c>
      <c r="N743" s="409" t="s">
        <v>4884</v>
      </c>
      <c r="O743" s="410" t="s">
        <v>4884</v>
      </c>
      <c r="P743" s="406">
        <v>740</v>
      </c>
      <c r="Q743" s="460" t="s">
        <v>1549</v>
      </c>
      <c r="R743" s="460" t="s">
        <v>1550</v>
      </c>
      <c r="S743" s="460" t="s">
        <v>1528</v>
      </c>
      <c r="T743" s="487" t="s">
        <v>1551</v>
      </c>
      <c r="U743" s="471"/>
      <c r="V743" s="471"/>
      <c r="W743" s="471"/>
      <c r="X743" s="471"/>
      <c r="Y743" s="206"/>
      <c r="Z743" s="206"/>
    </row>
    <row r="744" spans="1:26">
      <c r="A744" s="406">
        <v>741</v>
      </c>
      <c r="B744" s="613" t="s">
        <v>7020</v>
      </c>
      <c r="C744" s="483" t="s">
        <v>1552</v>
      </c>
      <c r="D744" s="414" t="s">
        <v>4884</v>
      </c>
      <c r="E744" s="407" t="s">
        <v>4884</v>
      </c>
      <c r="F744" s="483"/>
      <c r="G744" s="483"/>
      <c r="H744" s="483"/>
      <c r="I744" s="483"/>
      <c r="J744" s="483"/>
      <c r="K744" s="483"/>
      <c r="L744" s="608" t="s">
        <v>4884</v>
      </c>
      <c r="M744" s="409" t="s">
        <v>4884</v>
      </c>
      <c r="N744" s="409" t="s">
        <v>4884</v>
      </c>
      <c r="O744" s="410" t="s">
        <v>4884</v>
      </c>
      <c r="P744" s="406">
        <v>741</v>
      </c>
      <c r="Q744" s="460" t="s">
        <v>1552</v>
      </c>
      <c r="R744" s="460" t="s">
        <v>1550</v>
      </c>
      <c r="S744" s="460" t="s">
        <v>1528</v>
      </c>
      <c r="T744" s="487" t="s">
        <v>1551</v>
      </c>
      <c r="U744" s="471"/>
      <c r="V744" s="471"/>
      <c r="W744" s="488"/>
      <c r="X744" s="471"/>
      <c r="Y744" s="206"/>
      <c r="Z744" s="206"/>
    </row>
    <row r="745" spans="1:26">
      <c r="A745" s="406">
        <v>742</v>
      </c>
      <c r="B745" s="613" t="s">
        <v>7020</v>
      </c>
      <c r="C745" s="483" t="s">
        <v>1553</v>
      </c>
      <c r="D745" s="414" t="s">
        <v>4884</v>
      </c>
      <c r="E745" s="407" t="s">
        <v>4884</v>
      </c>
      <c r="F745" s="483"/>
      <c r="G745" s="483"/>
      <c r="H745" s="483"/>
      <c r="I745" s="483"/>
      <c r="J745" s="483"/>
      <c r="K745" s="483"/>
      <c r="L745" s="608" t="s">
        <v>4884</v>
      </c>
      <c r="M745" s="409" t="s">
        <v>4884</v>
      </c>
      <c r="N745" s="409" t="s">
        <v>4884</v>
      </c>
      <c r="O745" s="410" t="s">
        <v>4884</v>
      </c>
      <c r="P745" s="406">
        <v>742</v>
      </c>
      <c r="Q745" s="460" t="s">
        <v>1553</v>
      </c>
      <c r="R745" s="460" t="s">
        <v>1550</v>
      </c>
      <c r="S745" s="460" t="s">
        <v>1528</v>
      </c>
      <c r="T745" s="487" t="s">
        <v>1551</v>
      </c>
      <c r="U745" s="471"/>
      <c r="V745" s="471"/>
      <c r="W745" s="488"/>
      <c r="X745" s="471"/>
      <c r="Y745" s="206"/>
      <c r="Z745" s="206"/>
    </row>
    <row r="746" spans="1:26">
      <c r="A746" s="406">
        <v>743</v>
      </c>
      <c r="B746" s="613" t="s">
        <v>7020</v>
      </c>
      <c r="C746" s="483" t="s">
        <v>1554</v>
      </c>
      <c r="D746" s="414" t="s">
        <v>4884</v>
      </c>
      <c r="E746" s="407" t="s">
        <v>4884</v>
      </c>
      <c r="F746" s="483"/>
      <c r="G746" s="483"/>
      <c r="H746" s="483"/>
      <c r="I746" s="483"/>
      <c r="J746" s="483"/>
      <c r="K746" s="483"/>
      <c r="L746" s="608" t="s">
        <v>4884</v>
      </c>
      <c r="M746" s="409" t="s">
        <v>4884</v>
      </c>
      <c r="N746" s="409" t="s">
        <v>4884</v>
      </c>
      <c r="O746" s="410" t="s">
        <v>4884</v>
      </c>
      <c r="P746" s="406">
        <v>743</v>
      </c>
      <c r="Q746" s="460" t="s">
        <v>1554</v>
      </c>
      <c r="R746" s="460" t="s">
        <v>1550</v>
      </c>
      <c r="S746" s="460" t="s">
        <v>1528</v>
      </c>
      <c r="T746" s="487" t="s">
        <v>1551</v>
      </c>
      <c r="U746" s="471"/>
      <c r="V746" s="471"/>
      <c r="W746" s="489"/>
      <c r="X746" s="471"/>
      <c r="Y746" s="206"/>
      <c r="Z746" s="206"/>
    </row>
    <row r="747" spans="1:26">
      <c r="A747" s="406">
        <v>744</v>
      </c>
      <c r="B747" s="613" t="s">
        <v>7020</v>
      </c>
      <c r="C747" s="483" t="s">
        <v>1555</v>
      </c>
      <c r="D747" s="414" t="s">
        <v>4884</v>
      </c>
      <c r="E747" s="407" t="s">
        <v>4884</v>
      </c>
      <c r="F747" s="483"/>
      <c r="G747" s="483"/>
      <c r="H747" s="483"/>
      <c r="I747" s="483"/>
      <c r="J747" s="483"/>
      <c r="K747" s="483"/>
      <c r="L747" s="608" t="s">
        <v>4884</v>
      </c>
      <c r="M747" s="409" t="s">
        <v>4884</v>
      </c>
      <c r="N747" s="409" t="s">
        <v>4884</v>
      </c>
      <c r="O747" s="410" t="s">
        <v>4884</v>
      </c>
      <c r="P747" s="406">
        <v>744</v>
      </c>
      <c r="Q747" s="460" t="s">
        <v>1555</v>
      </c>
      <c r="R747" s="460" t="s">
        <v>1550</v>
      </c>
      <c r="S747" s="460" t="s">
        <v>1528</v>
      </c>
      <c r="T747" s="487" t="s">
        <v>1551</v>
      </c>
      <c r="U747" s="471"/>
      <c r="V747" s="471"/>
      <c r="W747" s="489"/>
      <c r="X747" s="471"/>
      <c r="Y747" s="206"/>
      <c r="Z747" s="206"/>
    </row>
    <row r="748" spans="1:26">
      <c r="A748" s="406">
        <v>745</v>
      </c>
      <c r="B748" s="613" t="s">
        <v>7020</v>
      </c>
      <c r="C748" s="483" t="s">
        <v>1556</v>
      </c>
      <c r="D748" s="414" t="s">
        <v>4884</v>
      </c>
      <c r="E748" s="407" t="s">
        <v>4884</v>
      </c>
      <c r="F748" s="483"/>
      <c r="G748" s="483"/>
      <c r="H748" s="483"/>
      <c r="I748" s="483"/>
      <c r="J748" s="483"/>
      <c r="K748" s="483"/>
      <c r="L748" s="608" t="s">
        <v>4884</v>
      </c>
      <c r="M748" s="409" t="s">
        <v>4884</v>
      </c>
      <c r="N748" s="409" t="s">
        <v>4884</v>
      </c>
      <c r="O748" s="410" t="s">
        <v>4884</v>
      </c>
      <c r="P748" s="406">
        <v>745</v>
      </c>
      <c r="Q748" s="460" t="s">
        <v>1556</v>
      </c>
      <c r="R748" s="460" t="s">
        <v>1550</v>
      </c>
      <c r="S748" s="460" t="s">
        <v>1528</v>
      </c>
      <c r="T748" s="487" t="s">
        <v>1551</v>
      </c>
      <c r="U748" s="471"/>
      <c r="V748" s="471"/>
      <c r="W748" s="489"/>
      <c r="X748" s="471"/>
      <c r="Y748" s="206"/>
      <c r="Z748" s="206"/>
    </row>
    <row r="749" spans="1:26">
      <c r="A749" s="406">
        <v>746</v>
      </c>
      <c r="B749" s="613" t="s">
        <v>7020</v>
      </c>
      <c r="C749" s="483" t="s">
        <v>1557</v>
      </c>
      <c r="D749" s="414" t="s">
        <v>4884</v>
      </c>
      <c r="E749" s="407" t="s">
        <v>4884</v>
      </c>
      <c r="F749" s="483"/>
      <c r="G749" s="483"/>
      <c r="H749" s="483"/>
      <c r="I749" s="483"/>
      <c r="J749" s="483"/>
      <c r="K749" s="483"/>
      <c r="L749" s="608" t="s">
        <v>4884</v>
      </c>
      <c r="M749" s="409" t="s">
        <v>4884</v>
      </c>
      <c r="N749" s="409" t="s">
        <v>4884</v>
      </c>
      <c r="O749" s="410" t="s">
        <v>4884</v>
      </c>
      <c r="P749" s="406">
        <v>746</v>
      </c>
      <c r="Q749" s="460" t="s">
        <v>1557</v>
      </c>
      <c r="R749" s="460" t="s">
        <v>1550</v>
      </c>
      <c r="S749" s="460" t="s">
        <v>1528</v>
      </c>
      <c r="T749" s="487" t="s">
        <v>1551</v>
      </c>
      <c r="U749" s="471"/>
      <c r="V749" s="471"/>
      <c r="W749" s="489"/>
      <c r="X749" s="471"/>
      <c r="Y749" s="206"/>
      <c r="Z749" s="206"/>
    </row>
    <row r="750" spans="1:26">
      <c r="A750" s="406">
        <v>747</v>
      </c>
      <c r="B750" s="613" t="s">
        <v>7020</v>
      </c>
      <c r="C750" s="483" t="s">
        <v>1558</v>
      </c>
      <c r="D750" s="414" t="s">
        <v>4884</v>
      </c>
      <c r="E750" s="407" t="s">
        <v>4884</v>
      </c>
      <c r="F750" s="483"/>
      <c r="G750" s="483"/>
      <c r="H750" s="483"/>
      <c r="I750" s="483"/>
      <c r="J750" s="483"/>
      <c r="K750" s="483"/>
      <c r="L750" s="608" t="s">
        <v>4884</v>
      </c>
      <c r="M750" s="409" t="s">
        <v>4884</v>
      </c>
      <c r="N750" s="409" t="s">
        <v>4884</v>
      </c>
      <c r="O750" s="410" t="s">
        <v>4884</v>
      </c>
      <c r="P750" s="406">
        <v>747</v>
      </c>
      <c r="Q750" s="460" t="s">
        <v>1558</v>
      </c>
      <c r="R750" s="460" t="s">
        <v>1550</v>
      </c>
      <c r="S750" s="460" t="s">
        <v>1528</v>
      </c>
      <c r="T750" s="487" t="s">
        <v>1551</v>
      </c>
      <c r="U750" s="471"/>
      <c r="V750" s="471"/>
      <c r="W750" s="489"/>
      <c r="X750" s="471"/>
      <c r="Y750" s="206"/>
      <c r="Z750" s="206"/>
    </row>
    <row r="751" spans="1:26">
      <c r="A751" s="406">
        <v>748</v>
      </c>
      <c r="B751" s="613" t="s">
        <v>7020</v>
      </c>
      <c r="C751" s="483" t="s">
        <v>1559</v>
      </c>
      <c r="D751" s="414" t="s">
        <v>4884</v>
      </c>
      <c r="E751" s="407" t="s">
        <v>4884</v>
      </c>
      <c r="F751" s="483"/>
      <c r="G751" s="483"/>
      <c r="H751" s="483"/>
      <c r="I751" s="483"/>
      <c r="J751" s="483"/>
      <c r="K751" s="483"/>
      <c r="L751" s="608" t="s">
        <v>4884</v>
      </c>
      <c r="M751" s="409" t="s">
        <v>4884</v>
      </c>
      <c r="N751" s="409" t="s">
        <v>4884</v>
      </c>
      <c r="O751" s="410" t="s">
        <v>4884</v>
      </c>
      <c r="P751" s="406">
        <v>748</v>
      </c>
      <c r="Q751" s="460" t="s">
        <v>1559</v>
      </c>
      <c r="R751" s="460" t="s">
        <v>1550</v>
      </c>
      <c r="S751" s="460" t="s">
        <v>1528</v>
      </c>
      <c r="T751" s="487" t="s">
        <v>1551</v>
      </c>
      <c r="U751" s="471"/>
      <c r="V751" s="471"/>
      <c r="W751" s="489"/>
      <c r="X751" s="471"/>
      <c r="Y751" s="206"/>
      <c r="Z751" s="206"/>
    </row>
    <row r="752" spans="1:26">
      <c r="A752" s="406">
        <v>749</v>
      </c>
      <c r="B752" s="613" t="s">
        <v>7020</v>
      </c>
      <c r="C752" s="483" t="s">
        <v>1560</v>
      </c>
      <c r="D752" s="414" t="s">
        <v>4884</v>
      </c>
      <c r="E752" s="407" t="s">
        <v>4884</v>
      </c>
      <c r="F752" s="483"/>
      <c r="G752" s="483"/>
      <c r="H752" s="483"/>
      <c r="I752" s="483"/>
      <c r="J752" s="483"/>
      <c r="K752" s="483"/>
      <c r="L752" s="608" t="s">
        <v>4884</v>
      </c>
      <c r="M752" s="409" t="s">
        <v>4884</v>
      </c>
      <c r="N752" s="409" t="s">
        <v>4884</v>
      </c>
      <c r="O752" s="410" t="s">
        <v>4884</v>
      </c>
      <c r="P752" s="406">
        <v>749</v>
      </c>
      <c r="Q752" s="460" t="s">
        <v>1560</v>
      </c>
      <c r="R752" s="460" t="s">
        <v>1550</v>
      </c>
      <c r="S752" s="460" t="s">
        <v>1528</v>
      </c>
      <c r="T752" s="487" t="s">
        <v>1551</v>
      </c>
      <c r="U752" s="471"/>
      <c r="V752" s="471"/>
      <c r="W752" s="489"/>
      <c r="X752" s="471"/>
      <c r="Y752" s="206"/>
      <c r="Z752" s="206"/>
    </row>
    <row r="753" spans="1:26">
      <c r="A753" s="406">
        <v>750</v>
      </c>
      <c r="B753" s="613" t="s">
        <v>7020</v>
      </c>
      <c r="C753" s="483" t="s">
        <v>1561</v>
      </c>
      <c r="D753" s="414" t="s">
        <v>4884</v>
      </c>
      <c r="E753" s="407" t="s">
        <v>4884</v>
      </c>
      <c r="F753" s="483"/>
      <c r="G753" s="483"/>
      <c r="H753" s="483"/>
      <c r="I753" s="483"/>
      <c r="J753" s="483"/>
      <c r="K753" s="483"/>
      <c r="L753" s="608" t="s">
        <v>4884</v>
      </c>
      <c r="M753" s="409" t="s">
        <v>4884</v>
      </c>
      <c r="N753" s="409" t="s">
        <v>4884</v>
      </c>
      <c r="O753" s="410" t="s">
        <v>4884</v>
      </c>
      <c r="P753" s="406">
        <v>750</v>
      </c>
      <c r="Q753" s="460" t="s">
        <v>1561</v>
      </c>
      <c r="R753" s="460" t="s">
        <v>1550</v>
      </c>
      <c r="S753" s="460" t="s">
        <v>1528</v>
      </c>
      <c r="T753" s="487" t="s">
        <v>1551</v>
      </c>
      <c r="U753" s="471"/>
      <c r="V753" s="471"/>
      <c r="W753" s="489"/>
      <c r="X753" s="471"/>
      <c r="Y753" s="206"/>
      <c r="Z753" s="206"/>
    </row>
    <row r="754" spans="1:26">
      <c r="A754" s="406">
        <v>751</v>
      </c>
      <c r="B754" s="613" t="s">
        <v>7020</v>
      </c>
      <c r="C754" s="483" t="s">
        <v>1562</v>
      </c>
      <c r="D754" s="414" t="s">
        <v>4884</v>
      </c>
      <c r="E754" s="407" t="s">
        <v>4884</v>
      </c>
      <c r="F754" s="483"/>
      <c r="G754" s="483"/>
      <c r="H754" s="483"/>
      <c r="I754" s="483"/>
      <c r="J754" s="483"/>
      <c r="K754" s="483"/>
      <c r="L754" s="608" t="s">
        <v>4884</v>
      </c>
      <c r="M754" s="409" t="s">
        <v>4884</v>
      </c>
      <c r="N754" s="409" t="s">
        <v>4884</v>
      </c>
      <c r="O754" s="410" t="s">
        <v>4884</v>
      </c>
      <c r="P754" s="406">
        <v>751</v>
      </c>
      <c r="Q754" s="460" t="s">
        <v>1562</v>
      </c>
      <c r="R754" s="460" t="s">
        <v>1550</v>
      </c>
      <c r="S754" s="460" t="s">
        <v>1528</v>
      </c>
      <c r="T754" s="487" t="s">
        <v>1551</v>
      </c>
      <c r="U754" s="471"/>
      <c r="V754" s="471"/>
      <c r="W754" s="489"/>
      <c r="X754" s="471"/>
      <c r="Y754" s="206"/>
      <c r="Z754" s="206"/>
    </row>
    <row r="755" spans="1:26">
      <c r="A755" s="406">
        <v>752</v>
      </c>
      <c r="B755" s="613" t="s">
        <v>7020</v>
      </c>
      <c r="C755" s="483" t="s">
        <v>1563</v>
      </c>
      <c r="D755" s="414" t="s">
        <v>4884</v>
      </c>
      <c r="E755" s="407" t="s">
        <v>4884</v>
      </c>
      <c r="F755" s="483"/>
      <c r="G755" s="483"/>
      <c r="H755" s="483"/>
      <c r="I755" s="483"/>
      <c r="J755" s="483"/>
      <c r="K755" s="483"/>
      <c r="L755" s="608" t="s">
        <v>4884</v>
      </c>
      <c r="M755" s="409" t="s">
        <v>4884</v>
      </c>
      <c r="N755" s="409" t="s">
        <v>4884</v>
      </c>
      <c r="O755" s="410" t="s">
        <v>4884</v>
      </c>
      <c r="P755" s="406">
        <v>752</v>
      </c>
      <c r="Q755" s="460" t="s">
        <v>1563</v>
      </c>
      <c r="R755" s="460" t="s">
        <v>1550</v>
      </c>
      <c r="S755" s="460" t="s">
        <v>1528</v>
      </c>
      <c r="T755" s="487" t="s">
        <v>1551</v>
      </c>
      <c r="U755" s="471"/>
      <c r="V755" s="471"/>
      <c r="W755" s="489"/>
      <c r="X755" s="471"/>
      <c r="Y755" s="206"/>
      <c r="Z755" s="206"/>
    </row>
    <row r="756" spans="1:26">
      <c r="A756" s="406">
        <v>753</v>
      </c>
      <c r="B756" s="613" t="s">
        <v>7020</v>
      </c>
      <c r="C756" s="483" t="s">
        <v>1564</v>
      </c>
      <c r="D756" s="414" t="s">
        <v>4884</v>
      </c>
      <c r="E756" s="407" t="s">
        <v>4884</v>
      </c>
      <c r="F756" s="483"/>
      <c r="G756" s="483"/>
      <c r="H756" s="483"/>
      <c r="I756" s="483"/>
      <c r="J756" s="483"/>
      <c r="K756" s="483"/>
      <c r="L756" s="608" t="s">
        <v>4884</v>
      </c>
      <c r="M756" s="409" t="s">
        <v>4884</v>
      </c>
      <c r="N756" s="409" t="s">
        <v>4884</v>
      </c>
      <c r="O756" s="410" t="s">
        <v>4884</v>
      </c>
      <c r="P756" s="406">
        <v>753</v>
      </c>
      <c r="Q756" s="460" t="s">
        <v>1564</v>
      </c>
      <c r="R756" s="460" t="s">
        <v>1550</v>
      </c>
      <c r="S756" s="460" t="s">
        <v>1528</v>
      </c>
      <c r="T756" s="487" t="s">
        <v>1551</v>
      </c>
      <c r="U756" s="471"/>
      <c r="V756" s="471"/>
      <c r="W756" s="489"/>
      <c r="X756" s="471"/>
      <c r="Y756" s="206"/>
      <c r="Z756" s="206"/>
    </row>
    <row r="757" spans="1:26">
      <c r="A757" s="406">
        <v>754</v>
      </c>
      <c r="B757" s="613" t="s">
        <v>7020</v>
      </c>
      <c r="C757" s="483" t="s">
        <v>1565</v>
      </c>
      <c r="D757" s="414" t="s">
        <v>4884</v>
      </c>
      <c r="E757" s="407" t="s">
        <v>4884</v>
      </c>
      <c r="F757" s="483"/>
      <c r="G757" s="483"/>
      <c r="H757" s="483"/>
      <c r="I757" s="483"/>
      <c r="J757" s="483"/>
      <c r="K757" s="483"/>
      <c r="L757" s="608" t="s">
        <v>4884</v>
      </c>
      <c r="M757" s="409" t="s">
        <v>4884</v>
      </c>
      <c r="N757" s="409" t="s">
        <v>4884</v>
      </c>
      <c r="O757" s="410" t="s">
        <v>4884</v>
      </c>
      <c r="P757" s="406">
        <v>754</v>
      </c>
      <c r="Q757" s="460" t="s">
        <v>1565</v>
      </c>
      <c r="R757" s="460" t="s">
        <v>1550</v>
      </c>
      <c r="S757" s="460" t="s">
        <v>1528</v>
      </c>
      <c r="T757" s="487" t="s">
        <v>1551</v>
      </c>
      <c r="U757" s="471"/>
      <c r="V757" s="471"/>
      <c r="W757" s="489"/>
      <c r="X757" s="471"/>
      <c r="Y757" s="206"/>
      <c r="Z757" s="206"/>
    </row>
    <row r="758" spans="1:26">
      <c r="A758" s="406">
        <v>755</v>
      </c>
      <c r="B758" s="613" t="s">
        <v>7020</v>
      </c>
      <c r="C758" s="483" t="s">
        <v>1566</v>
      </c>
      <c r="D758" s="414" t="s">
        <v>4884</v>
      </c>
      <c r="E758" s="407" t="s">
        <v>4884</v>
      </c>
      <c r="F758" s="483"/>
      <c r="G758" s="483"/>
      <c r="H758" s="483"/>
      <c r="I758" s="483"/>
      <c r="J758" s="483"/>
      <c r="K758" s="483"/>
      <c r="L758" s="608" t="s">
        <v>4884</v>
      </c>
      <c r="M758" s="409" t="s">
        <v>4884</v>
      </c>
      <c r="N758" s="409" t="s">
        <v>4884</v>
      </c>
      <c r="O758" s="410" t="s">
        <v>4884</v>
      </c>
      <c r="P758" s="406">
        <v>755</v>
      </c>
      <c r="Q758" s="460" t="s">
        <v>1566</v>
      </c>
      <c r="R758" s="460" t="s">
        <v>1550</v>
      </c>
      <c r="S758" s="460" t="s">
        <v>1528</v>
      </c>
      <c r="T758" s="487" t="s">
        <v>1551</v>
      </c>
      <c r="U758" s="471"/>
      <c r="V758" s="471"/>
      <c r="W758" s="489"/>
      <c r="X758" s="471"/>
      <c r="Y758" s="206"/>
      <c r="Z758" s="206"/>
    </row>
    <row r="759" spans="1:26">
      <c r="A759" s="406">
        <v>756</v>
      </c>
      <c r="B759" s="613" t="s">
        <v>7020</v>
      </c>
      <c r="C759" s="483" t="s">
        <v>1567</v>
      </c>
      <c r="D759" s="414" t="s">
        <v>4884</v>
      </c>
      <c r="E759" s="407" t="s">
        <v>4884</v>
      </c>
      <c r="F759" s="483"/>
      <c r="G759" s="483"/>
      <c r="H759" s="483"/>
      <c r="I759" s="483"/>
      <c r="J759" s="483"/>
      <c r="K759" s="483"/>
      <c r="L759" s="608" t="s">
        <v>4884</v>
      </c>
      <c r="M759" s="409" t="s">
        <v>4884</v>
      </c>
      <c r="N759" s="409" t="s">
        <v>4884</v>
      </c>
      <c r="O759" s="410" t="s">
        <v>4884</v>
      </c>
      <c r="P759" s="406">
        <v>756</v>
      </c>
      <c r="Q759" s="460" t="s">
        <v>1567</v>
      </c>
      <c r="R759" s="460" t="s">
        <v>1550</v>
      </c>
      <c r="S759" s="460" t="s">
        <v>1528</v>
      </c>
      <c r="T759" s="487" t="s">
        <v>1551</v>
      </c>
      <c r="U759" s="471"/>
      <c r="V759" s="471"/>
      <c r="W759" s="489"/>
      <c r="X759" s="471"/>
      <c r="Y759" s="206"/>
      <c r="Z759" s="206"/>
    </row>
    <row r="760" spans="1:26">
      <c r="A760" s="406">
        <v>757</v>
      </c>
      <c r="B760" s="613" t="s">
        <v>7020</v>
      </c>
      <c r="C760" s="483" t="s">
        <v>1568</v>
      </c>
      <c r="D760" s="414" t="s">
        <v>4884</v>
      </c>
      <c r="E760" s="407" t="s">
        <v>4884</v>
      </c>
      <c r="F760" s="483"/>
      <c r="G760" s="483"/>
      <c r="H760" s="483"/>
      <c r="I760" s="483"/>
      <c r="J760" s="483"/>
      <c r="K760" s="483"/>
      <c r="L760" s="608" t="s">
        <v>4884</v>
      </c>
      <c r="M760" s="409" t="s">
        <v>4884</v>
      </c>
      <c r="N760" s="409" t="s">
        <v>4884</v>
      </c>
      <c r="O760" s="410" t="s">
        <v>4884</v>
      </c>
      <c r="P760" s="406">
        <v>757</v>
      </c>
      <c r="Q760" s="460" t="s">
        <v>1568</v>
      </c>
      <c r="R760" s="460" t="s">
        <v>1550</v>
      </c>
      <c r="S760" s="460" t="s">
        <v>1528</v>
      </c>
      <c r="T760" s="487" t="s">
        <v>1551</v>
      </c>
      <c r="U760" s="471"/>
      <c r="V760" s="471"/>
      <c r="W760" s="489"/>
      <c r="X760" s="471"/>
      <c r="Y760" s="206"/>
      <c r="Z760" s="206"/>
    </row>
    <row r="761" spans="1:26">
      <c r="A761" s="406">
        <v>758</v>
      </c>
      <c r="B761" s="613" t="s">
        <v>7020</v>
      </c>
      <c r="C761" s="483" t="s">
        <v>1569</v>
      </c>
      <c r="D761" s="414" t="s">
        <v>4884</v>
      </c>
      <c r="E761" s="407" t="s">
        <v>4884</v>
      </c>
      <c r="F761" s="483"/>
      <c r="G761" s="483"/>
      <c r="H761" s="483"/>
      <c r="I761" s="483"/>
      <c r="J761" s="483"/>
      <c r="K761" s="483"/>
      <c r="L761" s="608" t="s">
        <v>4884</v>
      </c>
      <c r="M761" s="409" t="s">
        <v>4884</v>
      </c>
      <c r="N761" s="409" t="s">
        <v>4884</v>
      </c>
      <c r="O761" s="410" t="s">
        <v>4884</v>
      </c>
      <c r="P761" s="406">
        <v>758</v>
      </c>
      <c r="Q761" s="460" t="s">
        <v>1569</v>
      </c>
      <c r="R761" s="460" t="s">
        <v>1550</v>
      </c>
      <c r="S761" s="460" t="s">
        <v>1528</v>
      </c>
      <c r="T761" s="487" t="s">
        <v>1551</v>
      </c>
      <c r="U761" s="471"/>
      <c r="V761" s="471"/>
      <c r="W761" s="489"/>
      <c r="X761" s="471"/>
      <c r="Y761" s="206"/>
      <c r="Z761" s="206"/>
    </row>
    <row r="762" spans="1:26">
      <c r="A762" s="406">
        <v>759</v>
      </c>
      <c r="B762" s="613" t="s">
        <v>7020</v>
      </c>
      <c r="C762" s="483" t="s">
        <v>1570</v>
      </c>
      <c r="D762" s="414" t="s">
        <v>4884</v>
      </c>
      <c r="E762" s="407" t="s">
        <v>4884</v>
      </c>
      <c r="F762" s="483"/>
      <c r="G762" s="483"/>
      <c r="H762" s="483"/>
      <c r="I762" s="483"/>
      <c r="J762" s="483"/>
      <c r="K762" s="483"/>
      <c r="L762" s="608" t="s">
        <v>4884</v>
      </c>
      <c r="M762" s="409" t="s">
        <v>4884</v>
      </c>
      <c r="N762" s="409" t="s">
        <v>4884</v>
      </c>
      <c r="O762" s="410" t="s">
        <v>4884</v>
      </c>
      <c r="P762" s="406">
        <v>759</v>
      </c>
      <c r="Q762" s="460" t="s">
        <v>1570</v>
      </c>
      <c r="R762" s="460" t="s">
        <v>1550</v>
      </c>
      <c r="S762" s="460" t="s">
        <v>1528</v>
      </c>
      <c r="T762" s="487" t="s">
        <v>1551</v>
      </c>
      <c r="U762" s="471"/>
      <c r="V762" s="471"/>
      <c r="W762" s="489"/>
      <c r="X762" s="471"/>
      <c r="Y762" s="206"/>
      <c r="Z762" s="206"/>
    </row>
    <row r="763" spans="1:26">
      <c r="A763" s="406">
        <v>760</v>
      </c>
      <c r="B763" s="613" t="s">
        <v>7020</v>
      </c>
      <c r="C763" s="483" t="s">
        <v>1571</v>
      </c>
      <c r="D763" s="414" t="s">
        <v>4884</v>
      </c>
      <c r="E763" s="407" t="s">
        <v>4884</v>
      </c>
      <c r="F763" s="483"/>
      <c r="G763" s="483"/>
      <c r="H763" s="483"/>
      <c r="I763" s="483"/>
      <c r="J763" s="483"/>
      <c r="K763" s="483"/>
      <c r="L763" s="608" t="s">
        <v>4884</v>
      </c>
      <c r="M763" s="409" t="s">
        <v>4884</v>
      </c>
      <c r="N763" s="409" t="s">
        <v>4884</v>
      </c>
      <c r="O763" s="410" t="s">
        <v>4884</v>
      </c>
      <c r="P763" s="406">
        <v>760</v>
      </c>
      <c r="Q763" s="460" t="s">
        <v>1571</v>
      </c>
      <c r="R763" s="460" t="s">
        <v>1550</v>
      </c>
      <c r="S763" s="460" t="s">
        <v>1528</v>
      </c>
      <c r="T763" s="487" t="s">
        <v>1551</v>
      </c>
      <c r="U763" s="471"/>
      <c r="V763" s="471"/>
      <c r="W763" s="489"/>
      <c r="X763" s="471"/>
      <c r="Y763" s="206"/>
      <c r="Z763" s="206"/>
    </row>
    <row r="764" spans="1:26">
      <c r="A764" s="406">
        <v>761</v>
      </c>
      <c r="B764" s="613" t="s">
        <v>7020</v>
      </c>
      <c r="C764" s="483" t="s">
        <v>1572</v>
      </c>
      <c r="D764" s="414" t="s">
        <v>4884</v>
      </c>
      <c r="E764" s="407" t="s">
        <v>4884</v>
      </c>
      <c r="F764" s="483"/>
      <c r="G764" s="483"/>
      <c r="H764" s="483"/>
      <c r="I764" s="483"/>
      <c r="J764" s="483"/>
      <c r="K764" s="483"/>
      <c r="L764" s="608" t="s">
        <v>4884</v>
      </c>
      <c r="M764" s="409" t="s">
        <v>4884</v>
      </c>
      <c r="N764" s="409" t="s">
        <v>4884</v>
      </c>
      <c r="O764" s="410" t="s">
        <v>4884</v>
      </c>
      <c r="P764" s="406">
        <v>761</v>
      </c>
      <c r="Q764" s="460" t="s">
        <v>1572</v>
      </c>
      <c r="R764" s="460" t="s">
        <v>1550</v>
      </c>
      <c r="S764" s="460" t="s">
        <v>1528</v>
      </c>
      <c r="T764" s="487" t="s">
        <v>1551</v>
      </c>
      <c r="U764" s="471"/>
      <c r="V764" s="471"/>
      <c r="W764" s="489"/>
      <c r="X764" s="471"/>
      <c r="Y764" s="206"/>
      <c r="Z764" s="206"/>
    </row>
    <row r="765" spans="1:26">
      <c r="A765" s="406">
        <v>762</v>
      </c>
      <c r="B765" s="613" t="s">
        <v>7020</v>
      </c>
      <c r="C765" s="483" t="s">
        <v>1573</v>
      </c>
      <c r="D765" s="414" t="s">
        <v>4884</v>
      </c>
      <c r="E765" s="407" t="s">
        <v>4884</v>
      </c>
      <c r="F765" s="483"/>
      <c r="G765" s="483"/>
      <c r="H765" s="483"/>
      <c r="I765" s="483"/>
      <c r="J765" s="483"/>
      <c r="K765" s="483"/>
      <c r="L765" s="608" t="s">
        <v>4884</v>
      </c>
      <c r="M765" s="409" t="s">
        <v>4884</v>
      </c>
      <c r="N765" s="409" t="s">
        <v>4884</v>
      </c>
      <c r="O765" s="410" t="s">
        <v>4884</v>
      </c>
      <c r="P765" s="406">
        <v>762</v>
      </c>
      <c r="Q765" s="460" t="s">
        <v>1573</v>
      </c>
      <c r="R765" s="460" t="s">
        <v>1550</v>
      </c>
      <c r="S765" s="460" t="s">
        <v>1528</v>
      </c>
      <c r="T765" s="487" t="s">
        <v>1551</v>
      </c>
      <c r="U765" s="471"/>
      <c r="V765" s="471"/>
      <c r="W765" s="489"/>
      <c r="X765" s="471"/>
      <c r="Y765" s="206"/>
      <c r="Z765" s="206"/>
    </row>
    <row r="766" spans="1:26">
      <c r="A766" s="406">
        <v>763</v>
      </c>
      <c r="B766" s="613" t="s">
        <v>7020</v>
      </c>
      <c r="C766" s="483" t="s">
        <v>1574</v>
      </c>
      <c r="D766" s="414" t="s">
        <v>4884</v>
      </c>
      <c r="E766" s="407" t="s">
        <v>4884</v>
      </c>
      <c r="F766" s="483"/>
      <c r="G766" s="483"/>
      <c r="H766" s="483"/>
      <c r="I766" s="483"/>
      <c r="J766" s="483"/>
      <c r="K766" s="483"/>
      <c r="L766" s="608" t="s">
        <v>4884</v>
      </c>
      <c r="M766" s="409" t="s">
        <v>4884</v>
      </c>
      <c r="N766" s="409" t="s">
        <v>4884</v>
      </c>
      <c r="O766" s="410" t="s">
        <v>4884</v>
      </c>
      <c r="P766" s="406">
        <v>763</v>
      </c>
      <c r="Q766" s="460" t="s">
        <v>1574</v>
      </c>
      <c r="R766" s="460" t="s">
        <v>1550</v>
      </c>
      <c r="S766" s="460" t="s">
        <v>1528</v>
      </c>
      <c r="T766" s="487" t="s">
        <v>1551</v>
      </c>
      <c r="U766" s="471"/>
      <c r="V766" s="471"/>
      <c r="W766" s="489"/>
      <c r="X766" s="471"/>
      <c r="Y766" s="206"/>
      <c r="Z766" s="206"/>
    </row>
    <row r="767" spans="1:26">
      <c r="A767" s="406">
        <v>764</v>
      </c>
      <c r="B767" s="613" t="s">
        <v>7020</v>
      </c>
      <c r="C767" s="483" t="s">
        <v>1575</v>
      </c>
      <c r="D767" s="414" t="s">
        <v>4884</v>
      </c>
      <c r="E767" s="407" t="s">
        <v>4884</v>
      </c>
      <c r="F767" s="483"/>
      <c r="G767" s="483"/>
      <c r="H767" s="483"/>
      <c r="I767" s="483"/>
      <c r="J767" s="483"/>
      <c r="K767" s="483"/>
      <c r="L767" s="608" t="s">
        <v>4884</v>
      </c>
      <c r="M767" s="409" t="s">
        <v>4884</v>
      </c>
      <c r="N767" s="409" t="s">
        <v>4884</v>
      </c>
      <c r="O767" s="410" t="s">
        <v>4884</v>
      </c>
      <c r="P767" s="406">
        <v>764</v>
      </c>
      <c r="Q767" s="460" t="s">
        <v>1575</v>
      </c>
      <c r="R767" s="460" t="s">
        <v>1550</v>
      </c>
      <c r="S767" s="460" t="s">
        <v>1528</v>
      </c>
      <c r="T767" s="487" t="s">
        <v>1551</v>
      </c>
      <c r="U767" s="471"/>
      <c r="V767" s="471"/>
      <c r="W767" s="489"/>
      <c r="X767" s="471"/>
      <c r="Y767" s="206"/>
      <c r="Z767" s="206"/>
    </row>
    <row r="768" spans="1:26">
      <c r="A768" s="406">
        <v>765</v>
      </c>
      <c r="B768" s="613" t="s">
        <v>7020</v>
      </c>
      <c r="C768" s="483" t="s">
        <v>1576</v>
      </c>
      <c r="D768" s="414" t="s">
        <v>4884</v>
      </c>
      <c r="E768" s="407" t="s">
        <v>4884</v>
      </c>
      <c r="F768" s="483"/>
      <c r="G768" s="483"/>
      <c r="H768" s="483"/>
      <c r="I768" s="483"/>
      <c r="J768" s="483"/>
      <c r="K768" s="483"/>
      <c r="L768" s="608" t="s">
        <v>4884</v>
      </c>
      <c r="M768" s="409" t="s">
        <v>4884</v>
      </c>
      <c r="N768" s="409" t="s">
        <v>4884</v>
      </c>
      <c r="O768" s="410" t="s">
        <v>4884</v>
      </c>
      <c r="P768" s="406">
        <v>765</v>
      </c>
      <c r="Q768" s="460" t="s">
        <v>1576</v>
      </c>
      <c r="R768" s="460" t="s">
        <v>1550</v>
      </c>
      <c r="S768" s="460" t="s">
        <v>1528</v>
      </c>
      <c r="T768" s="487" t="s">
        <v>1551</v>
      </c>
      <c r="U768" s="471"/>
      <c r="V768" s="471"/>
      <c r="W768" s="489"/>
      <c r="X768" s="471"/>
      <c r="Y768" s="206"/>
      <c r="Z768" s="206"/>
    </row>
    <row r="769" spans="1:26">
      <c r="A769" s="406">
        <v>766</v>
      </c>
      <c r="B769" s="613" t="s">
        <v>7020</v>
      </c>
      <c r="C769" s="483" t="s">
        <v>1577</v>
      </c>
      <c r="D769" s="414" t="s">
        <v>4884</v>
      </c>
      <c r="E769" s="407" t="s">
        <v>4884</v>
      </c>
      <c r="F769" s="483"/>
      <c r="G769" s="483"/>
      <c r="H769" s="483"/>
      <c r="I769" s="483"/>
      <c r="J769" s="483"/>
      <c r="K769" s="483"/>
      <c r="L769" s="608" t="s">
        <v>4884</v>
      </c>
      <c r="M769" s="409" t="s">
        <v>4884</v>
      </c>
      <c r="N769" s="409" t="s">
        <v>4884</v>
      </c>
      <c r="O769" s="410" t="s">
        <v>4884</v>
      </c>
      <c r="P769" s="406">
        <v>766</v>
      </c>
      <c r="Q769" s="460" t="s">
        <v>1577</v>
      </c>
      <c r="R769" s="460" t="s">
        <v>1550</v>
      </c>
      <c r="S769" s="460" t="s">
        <v>1528</v>
      </c>
      <c r="T769" s="487" t="s">
        <v>1551</v>
      </c>
      <c r="U769" s="471"/>
      <c r="V769" s="471"/>
      <c r="W769" s="489"/>
      <c r="X769" s="471"/>
      <c r="Y769" s="206"/>
      <c r="Z769" s="206"/>
    </row>
    <row r="770" spans="1:26">
      <c r="A770" s="406">
        <v>767</v>
      </c>
      <c r="B770" s="613" t="s">
        <v>7020</v>
      </c>
      <c r="C770" s="483" t="s">
        <v>1578</v>
      </c>
      <c r="D770" s="414" t="s">
        <v>4884</v>
      </c>
      <c r="E770" s="407" t="s">
        <v>4884</v>
      </c>
      <c r="F770" s="483"/>
      <c r="G770" s="483"/>
      <c r="H770" s="483"/>
      <c r="I770" s="483"/>
      <c r="J770" s="483"/>
      <c r="K770" s="483"/>
      <c r="L770" s="608" t="s">
        <v>4884</v>
      </c>
      <c r="M770" s="409" t="s">
        <v>4884</v>
      </c>
      <c r="N770" s="409" t="s">
        <v>4884</v>
      </c>
      <c r="O770" s="410" t="s">
        <v>4884</v>
      </c>
      <c r="P770" s="406">
        <v>767</v>
      </c>
      <c r="Q770" s="460" t="s">
        <v>1578</v>
      </c>
      <c r="R770" s="460" t="s">
        <v>1550</v>
      </c>
      <c r="S770" s="460" t="s">
        <v>1528</v>
      </c>
      <c r="T770" s="487" t="s">
        <v>1551</v>
      </c>
      <c r="U770" s="471"/>
      <c r="V770" s="471"/>
      <c r="W770" s="489"/>
      <c r="X770" s="471"/>
      <c r="Y770" s="206"/>
      <c r="Z770" s="206"/>
    </row>
    <row r="771" spans="1:26">
      <c r="A771" s="406">
        <v>768</v>
      </c>
      <c r="B771" s="613" t="s">
        <v>7020</v>
      </c>
      <c r="C771" s="483" t="s">
        <v>1579</v>
      </c>
      <c r="D771" s="414" t="s">
        <v>4884</v>
      </c>
      <c r="E771" s="407" t="s">
        <v>4884</v>
      </c>
      <c r="F771" s="483"/>
      <c r="G771" s="483"/>
      <c r="H771" s="483"/>
      <c r="I771" s="483"/>
      <c r="J771" s="483"/>
      <c r="K771" s="483"/>
      <c r="L771" s="608" t="s">
        <v>4884</v>
      </c>
      <c r="M771" s="409" t="s">
        <v>4884</v>
      </c>
      <c r="N771" s="409" t="s">
        <v>4884</v>
      </c>
      <c r="O771" s="410" t="s">
        <v>4884</v>
      </c>
      <c r="P771" s="406">
        <v>768</v>
      </c>
      <c r="Q771" s="460" t="s">
        <v>1579</v>
      </c>
      <c r="R771" s="460" t="s">
        <v>1550</v>
      </c>
      <c r="S771" s="460" t="s">
        <v>1528</v>
      </c>
      <c r="T771" s="487" t="s">
        <v>1551</v>
      </c>
      <c r="U771" s="471"/>
      <c r="V771" s="471"/>
      <c r="W771" s="489"/>
      <c r="X771" s="471"/>
      <c r="Y771" s="206"/>
      <c r="Z771" s="206"/>
    </row>
    <row r="772" spans="1:26">
      <c r="A772" s="406">
        <v>769</v>
      </c>
      <c r="B772" s="613" t="s">
        <v>7020</v>
      </c>
      <c r="C772" s="483" t="s">
        <v>1580</v>
      </c>
      <c r="D772" s="414" t="s">
        <v>4884</v>
      </c>
      <c r="E772" s="407" t="s">
        <v>4884</v>
      </c>
      <c r="F772" s="483"/>
      <c r="G772" s="483"/>
      <c r="H772" s="483"/>
      <c r="I772" s="483"/>
      <c r="J772" s="483"/>
      <c r="K772" s="483"/>
      <c r="L772" s="608" t="s">
        <v>4884</v>
      </c>
      <c r="M772" s="409" t="s">
        <v>4884</v>
      </c>
      <c r="N772" s="409" t="s">
        <v>4884</v>
      </c>
      <c r="O772" s="410" t="s">
        <v>4884</v>
      </c>
      <c r="P772" s="406">
        <v>769</v>
      </c>
      <c r="Q772" s="460" t="s">
        <v>1580</v>
      </c>
      <c r="R772" s="460" t="s">
        <v>1550</v>
      </c>
      <c r="S772" s="460" t="s">
        <v>1528</v>
      </c>
      <c r="T772" s="487" t="s">
        <v>1551</v>
      </c>
      <c r="U772" s="471"/>
      <c r="V772" s="471"/>
      <c r="W772" s="489"/>
      <c r="X772" s="471"/>
      <c r="Y772" s="206"/>
      <c r="Z772" s="206"/>
    </row>
    <row r="773" spans="1:26">
      <c r="A773" s="406">
        <v>770</v>
      </c>
      <c r="B773" s="613" t="s">
        <v>7020</v>
      </c>
      <c r="C773" s="483" t="s">
        <v>1581</v>
      </c>
      <c r="D773" s="414" t="s">
        <v>4884</v>
      </c>
      <c r="E773" s="407" t="s">
        <v>4884</v>
      </c>
      <c r="F773" s="483"/>
      <c r="G773" s="483"/>
      <c r="H773" s="483"/>
      <c r="I773" s="483"/>
      <c r="J773" s="483"/>
      <c r="K773" s="483"/>
      <c r="L773" s="608" t="s">
        <v>4884</v>
      </c>
      <c r="M773" s="409" t="s">
        <v>4884</v>
      </c>
      <c r="N773" s="409" t="s">
        <v>4884</v>
      </c>
      <c r="O773" s="410" t="s">
        <v>4884</v>
      </c>
      <c r="P773" s="406">
        <v>770</v>
      </c>
      <c r="Q773" s="460" t="s">
        <v>1581</v>
      </c>
      <c r="R773" s="460" t="s">
        <v>1550</v>
      </c>
      <c r="S773" s="460" t="s">
        <v>1528</v>
      </c>
      <c r="T773" s="487" t="s">
        <v>1551</v>
      </c>
      <c r="U773" s="471"/>
      <c r="V773" s="471"/>
      <c r="W773" s="489"/>
      <c r="X773" s="471"/>
      <c r="Y773" s="206"/>
      <c r="Z773" s="206"/>
    </row>
    <row r="774" spans="1:26">
      <c r="A774" s="406">
        <v>771</v>
      </c>
      <c r="B774" s="613" t="s">
        <v>7020</v>
      </c>
      <c r="C774" s="483" t="s">
        <v>1582</v>
      </c>
      <c r="D774" s="414" t="s">
        <v>4884</v>
      </c>
      <c r="E774" s="407" t="s">
        <v>4884</v>
      </c>
      <c r="F774" s="483"/>
      <c r="G774" s="483"/>
      <c r="H774" s="483"/>
      <c r="I774" s="483"/>
      <c r="J774" s="483"/>
      <c r="K774" s="483"/>
      <c r="L774" s="608" t="s">
        <v>4884</v>
      </c>
      <c r="M774" s="409" t="s">
        <v>4884</v>
      </c>
      <c r="N774" s="409" t="s">
        <v>4884</v>
      </c>
      <c r="O774" s="410" t="s">
        <v>4884</v>
      </c>
      <c r="P774" s="406">
        <v>771</v>
      </c>
      <c r="Q774" s="460" t="s">
        <v>1582</v>
      </c>
      <c r="R774" s="460" t="s">
        <v>1550</v>
      </c>
      <c r="S774" s="460" t="s">
        <v>1528</v>
      </c>
      <c r="T774" s="487" t="s">
        <v>1551</v>
      </c>
      <c r="U774" s="471"/>
      <c r="V774" s="471"/>
      <c r="W774" s="489"/>
      <c r="X774" s="471"/>
      <c r="Y774" s="206"/>
      <c r="Z774" s="206"/>
    </row>
    <row r="775" spans="1:26">
      <c r="A775" s="406">
        <v>772</v>
      </c>
      <c r="B775" s="613" t="s">
        <v>7020</v>
      </c>
      <c r="C775" s="483" t="s">
        <v>1583</v>
      </c>
      <c r="D775" s="414" t="s">
        <v>4884</v>
      </c>
      <c r="E775" s="407" t="s">
        <v>4884</v>
      </c>
      <c r="F775" s="483"/>
      <c r="G775" s="483"/>
      <c r="H775" s="483"/>
      <c r="I775" s="483"/>
      <c r="J775" s="483"/>
      <c r="K775" s="483"/>
      <c r="L775" s="608" t="s">
        <v>4884</v>
      </c>
      <c r="M775" s="409" t="s">
        <v>4884</v>
      </c>
      <c r="N775" s="409" t="s">
        <v>4884</v>
      </c>
      <c r="O775" s="410" t="s">
        <v>4884</v>
      </c>
      <c r="P775" s="406">
        <v>772</v>
      </c>
      <c r="Q775" s="460" t="s">
        <v>1583</v>
      </c>
      <c r="R775" s="460" t="s">
        <v>1550</v>
      </c>
      <c r="S775" s="460" t="s">
        <v>1528</v>
      </c>
      <c r="T775" s="487" t="s">
        <v>1551</v>
      </c>
      <c r="U775" s="471"/>
      <c r="V775" s="471"/>
      <c r="W775" s="489"/>
      <c r="X775" s="471"/>
      <c r="Y775" s="206"/>
      <c r="Z775" s="206"/>
    </row>
    <row r="776" spans="1:26">
      <c r="A776" s="406">
        <v>773</v>
      </c>
      <c r="B776" s="613" t="s">
        <v>7020</v>
      </c>
      <c r="C776" s="483" t="s">
        <v>1584</v>
      </c>
      <c r="D776" s="414" t="s">
        <v>4884</v>
      </c>
      <c r="E776" s="407" t="s">
        <v>4884</v>
      </c>
      <c r="F776" s="483"/>
      <c r="G776" s="483"/>
      <c r="H776" s="483"/>
      <c r="I776" s="483"/>
      <c r="J776" s="483"/>
      <c r="K776" s="483"/>
      <c r="L776" s="608" t="s">
        <v>4884</v>
      </c>
      <c r="M776" s="409" t="s">
        <v>4884</v>
      </c>
      <c r="N776" s="409" t="s">
        <v>4884</v>
      </c>
      <c r="O776" s="410" t="s">
        <v>4884</v>
      </c>
      <c r="P776" s="406">
        <v>773</v>
      </c>
      <c r="Q776" s="460" t="s">
        <v>1584</v>
      </c>
      <c r="R776" s="460" t="s">
        <v>1550</v>
      </c>
      <c r="S776" s="460" t="s">
        <v>1528</v>
      </c>
      <c r="T776" s="487" t="s">
        <v>1551</v>
      </c>
      <c r="U776" s="471"/>
      <c r="V776" s="471"/>
      <c r="W776" s="489"/>
      <c r="X776" s="471"/>
      <c r="Y776" s="206"/>
      <c r="Z776" s="206"/>
    </row>
    <row r="777" spans="1:26">
      <c r="A777" s="406">
        <v>774</v>
      </c>
      <c r="B777" s="613" t="s">
        <v>7020</v>
      </c>
      <c r="C777" s="483" t="s">
        <v>1585</v>
      </c>
      <c r="D777" s="414" t="s">
        <v>4884</v>
      </c>
      <c r="E777" s="407" t="s">
        <v>4884</v>
      </c>
      <c r="F777" s="483"/>
      <c r="G777" s="483"/>
      <c r="H777" s="483"/>
      <c r="I777" s="483"/>
      <c r="J777" s="483"/>
      <c r="K777" s="483"/>
      <c r="L777" s="608" t="s">
        <v>4884</v>
      </c>
      <c r="M777" s="409" t="s">
        <v>4884</v>
      </c>
      <c r="N777" s="409" t="s">
        <v>4884</v>
      </c>
      <c r="O777" s="410" t="s">
        <v>4884</v>
      </c>
      <c r="P777" s="406">
        <v>774</v>
      </c>
      <c r="Q777" s="460" t="s">
        <v>1585</v>
      </c>
      <c r="R777" s="460" t="s">
        <v>1550</v>
      </c>
      <c r="S777" s="460" t="s">
        <v>1528</v>
      </c>
      <c r="T777" s="487" t="s">
        <v>1551</v>
      </c>
      <c r="U777" s="471"/>
      <c r="V777" s="471"/>
      <c r="W777" s="489"/>
      <c r="X777" s="471"/>
      <c r="Y777" s="206"/>
      <c r="Z777" s="206"/>
    </row>
    <row r="778" spans="1:26">
      <c r="A778" s="406">
        <v>775</v>
      </c>
      <c r="B778" s="613" t="s">
        <v>7020</v>
      </c>
      <c r="C778" s="483" t="s">
        <v>1586</v>
      </c>
      <c r="D778" s="414" t="s">
        <v>4884</v>
      </c>
      <c r="E778" s="407" t="s">
        <v>4884</v>
      </c>
      <c r="F778" s="483"/>
      <c r="G778" s="483"/>
      <c r="H778" s="483"/>
      <c r="I778" s="483"/>
      <c r="J778" s="483"/>
      <c r="K778" s="483"/>
      <c r="L778" s="608" t="s">
        <v>4884</v>
      </c>
      <c r="M778" s="409" t="s">
        <v>4884</v>
      </c>
      <c r="N778" s="409" t="s">
        <v>4884</v>
      </c>
      <c r="O778" s="410" t="s">
        <v>4884</v>
      </c>
      <c r="P778" s="406">
        <v>775</v>
      </c>
      <c r="Q778" s="460" t="s">
        <v>1586</v>
      </c>
      <c r="R778" s="460" t="s">
        <v>1550</v>
      </c>
      <c r="S778" s="460" t="s">
        <v>1528</v>
      </c>
      <c r="T778" s="487" t="s">
        <v>1551</v>
      </c>
      <c r="U778" s="471"/>
      <c r="V778" s="471"/>
      <c r="W778" s="489"/>
      <c r="X778" s="471"/>
      <c r="Y778" s="206"/>
      <c r="Z778" s="206"/>
    </row>
    <row r="779" spans="1:26">
      <c r="A779" s="406">
        <v>776</v>
      </c>
      <c r="B779" s="613" t="s">
        <v>7020</v>
      </c>
      <c r="C779" s="483" t="s">
        <v>1587</v>
      </c>
      <c r="D779" s="414" t="s">
        <v>4884</v>
      </c>
      <c r="E779" s="407" t="s">
        <v>4884</v>
      </c>
      <c r="F779" s="483"/>
      <c r="G779" s="483"/>
      <c r="H779" s="483"/>
      <c r="I779" s="483"/>
      <c r="J779" s="483"/>
      <c r="K779" s="483"/>
      <c r="L779" s="608" t="s">
        <v>4884</v>
      </c>
      <c r="M779" s="409" t="s">
        <v>4884</v>
      </c>
      <c r="N779" s="409" t="s">
        <v>4884</v>
      </c>
      <c r="O779" s="410" t="s">
        <v>4884</v>
      </c>
      <c r="P779" s="406">
        <v>776</v>
      </c>
      <c r="Q779" s="460" t="s">
        <v>1587</v>
      </c>
      <c r="R779" s="460" t="s">
        <v>1588</v>
      </c>
      <c r="S779" s="460" t="s">
        <v>1528</v>
      </c>
      <c r="T779" s="487" t="s">
        <v>1551</v>
      </c>
      <c r="U779" s="471"/>
      <c r="V779" s="471"/>
      <c r="W779" s="489"/>
      <c r="X779" s="471"/>
      <c r="Y779" s="206"/>
      <c r="Z779" s="206"/>
    </row>
    <row r="780" spans="1:26">
      <c r="A780" s="406">
        <v>777</v>
      </c>
      <c r="B780" s="613" t="s">
        <v>7020</v>
      </c>
      <c r="C780" s="483" t="s">
        <v>1589</v>
      </c>
      <c r="D780" s="414" t="s">
        <v>4884</v>
      </c>
      <c r="E780" s="407" t="s">
        <v>4884</v>
      </c>
      <c r="F780" s="483"/>
      <c r="G780" s="483"/>
      <c r="H780" s="483"/>
      <c r="I780" s="483"/>
      <c r="J780" s="483"/>
      <c r="K780" s="483"/>
      <c r="L780" s="608" t="s">
        <v>4884</v>
      </c>
      <c r="M780" s="409" t="s">
        <v>4884</v>
      </c>
      <c r="N780" s="409" t="s">
        <v>4884</v>
      </c>
      <c r="O780" s="410" t="s">
        <v>4884</v>
      </c>
      <c r="P780" s="406">
        <v>777</v>
      </c>
      <c r="Q780" s="460" t="s">
        <v>1589</v>
      </c>
      <c r="R780" s="460" t="s">
        <v>1590</v>
      </c>
      <c r="S780" s="460" t="s">
        <v>1528</v>
      </c>
      <c r="T780" s="475" t="s">
        <v>1591</v>
      </c>
      <c r="U780" s="471"/>
      <c r="V780" s="471"/>
      <c r="W780" s="489"/>
      <c r="X780" s="471"/>
      <c r="Y780" s="206"/>
      <c r="Z780" s="206"/>
    </row>
    <row r="781" spans="1:26">
      <c r="A781" s="406">
        <v>778</v>
      </c>
      <c r="B781" s="613" t="s">
        <v>7020</v>
      </c>
      <c r="C781" s="483" t="s">
        <v>1592</v>
      </c>
      <c r="D781" s="414" t="s">
        <v>4884</v>
      </c>
      <c r="E781" s="407" t="s">
        <v>4884</v>
      </c>
      <c r="F781" s="483"/>
      <c r="G781" s="483"/>
      <c r="H781" s="483"/>
      <c r="I781" s="483"/>
      <c r="J781" s="483"/>
      <c r="K781" s="483"/>
      <c r="L781" s="608" t="s">
        <v>4884</v>
      </c>
      <c r="M781" s="409" t="s">
        <v>4884</v>
      </c>
      <c r="N781" s="409" t="s">
        <v>4884</v>
      </c>
      <c r="O781" s="410" t="s">
        <v>4884</v>
      </c>
      <c r="P781" s="406">
        <v>778</v>
      </c>
      <c r="Q781" s="460" t="s">
        <v>1592</v>
      </c>
      <c r="R781" s="460" t="s">
        <v>1593</v>
      </c>
      <c r="S781" s="460" t="s">
        <v>1528</v>
      </c>
      <c r="T781" s="475" t="s">
        <v>1594</v>
      </c>
      <c r="U781" s="471"/>
      <c r="V781" s="471"/>
      <c r="W781" s="489"/>
      <c r="X781" s="471"/>
      <c r="Y781" s="206"/>
      <c r="Z781" s="206"/>
    </row>
    <row r="782" spans="1:26">
      <c r="A782" s="406">
        <v>779</v>
      </c>
      <c r="B782" s="613" t="s">
        <v>7020</v>
      </c>
      <c r="C782" s="483" t="s">
        <v>1595</v>
      </c>
      <c r="D782" s="414" t="s">
        <v>4884</v>
      </c>
      <c r="E782" s="407" t="s">
        <v>4884</v>
      </c>
      <c r="F782" s="483"/>
      <c r="G782" s="483"/>
      <c r="H782" s="483"/>
      <c r="I782" s="483"/>
      <c r="J782" s="483"/>
      <c r="K782" s="483"/>
      <c r="L782" s="608" t="s">
        <v>4884</v>
      </c>
      <c r="M782" s="409" t="s">
        <v>4884</v>
      </c>
      <c r="N782" s="409" t="s">
        <v>4884</v>
      </c>
      <c r="O782" s="410" t="s">
        <v>4884</v>
      </c>
      <c r="P782" s="406">
        <v>779</v>
      </c>
      <c r="Q782" s="460" t="s">
        <v>1595</v>
      </c>
      <c r="R782" s="460" t="s">
        <v>1596</v>
      </c>
      <c r="S782" s="460" t="s">
        <v>1528</v>
      </c>
      <c r="T782" s="490" t="s">
        <v>1597</v>
      </c>
      <c r="U782" s="471"/>
      <c r="V782" s="471"/>
      <c r="W782" s="489"/>
      <c r="X782" s="471"/>
      <c r="Y782" s="206"/>
      <c r="Z782" s="206"/>
    </row>
    <row r="783" spans="1:26">
      <c r="A783" s="406">
        <v>780</v>
      </c>
      <c r="B783" s="613" t="s">
        <v>2947</v>
      </c>
      <c r="C783" s="483" t="s">
        <v>1598</v>
      </c>
      <c r="D783" s="414" t="s">
        <v>3676</v>
      </c>
      <c r="E783" s="407" t="s">
        <v>8489</v>
      </c>
      <c r="F783" s="483" t="s">
        <v>2948</v>
      </c>
      <c r="G783" s="411"/>
      <c r="H783" s="411"/>
      <c r="J783" s="411"/>
      <c r="K783" s="411"/>
      <c r="L783" s="608"/>
      <c r="M783" s="409">
        <v>16510.086614173229</v>
      </c>
      <c r="N783" s="409">
        <v>16510.086614173229</v>
      </c>
      <c r="O783" s="410" t="s">
        <v>7567</v>
      </c>
      <c r="P783" s="406">
        <v>780</v>
      </c>
      <c r="Q783" s="460" t="s">
        <v>1598</v>
      </c>
      <c r="R783" s="460" t="s">
        <v>4895</v>
      </c>
      <c r="S783" s="460" t="s">
        <v>1528</v>
      </c>
      <c r="T783" s="482"/>
      <c r="U783" s="471"/>
      <c r="V783" s="471"/>
      <c r="W783" s="489"/>
      <c r="X783" s="471">
        <v>1</v>
      </c>
      <c r="Y783" s="206"/>
      <c r="Z783" s="206"/>
    </row>
    <row r="784" spans="1:26">
      <c r="A784" s="406">
        <v>781</v>
      </c>
      <c r="B784" s="613" t="s">
        <v>7020</v>
      </c>
      <c r="C784" s="483" t="s">
        <v>1599</v>
      </c>
      <c r="D784" s="414" t="s">
        <v>4884</v>
      </c>
      <c r="E784" s="407" t="s">
        <v>4884</v>
      </c>
      <c r="F784" s="483"/>
      <c r="G784" s="483"/>
      <c r="H784" s="483"/>
      <c r="I784" s="483"/>
      <c r="J784" s="483"/>
      <c r="K784" s="483"/>
      <c r="L784" s="608" t="s">
        <v>4884</v>
      </c>
      <c r="M784" s="409" t="s">
        <v>4884</v>
      </c>
      <c r="N784" s="409" t="s">
        <v>4884</v>
      </c>
      <c r="O784" s="410" t="s">
        <v>4884</v>
      </c>
      <c r="P784" s="406">
        <v>781</v>
      </c>
      <c r="Q784" s="460" t="s">
        <v>1599</v>
      </c>
      <c r="R784" s="460" t="s">
        <v>1600</v>
      </c>
      <c r="S784" s="460" t="s">
        <v>1528</v>
      </c>
      <c r="T784" s="484" t="s">
        <v>1535</v>
      </c>
      <c r="U784" s="471"/>
      <c r="V784" s="471"/>
      <c r="W784" s="489"/>
      <c r="X784" s="471"/>
      <c r="Y784" s="206"/>
      <c r="Z784" s="206"/>
    </row>
    <row r="785" spans="1:26">
      <c r="A785" s="406">
        <v>782</v>
      </c>
      <c r="B785" s="613" t="s">
        <v>7020</v>
      </c>
      <c r="C785" s="483" t="s">
        <v>1601</v>
      </c>
      <c r="D785" s="414" t="s">
        <v>4884</v>
      </c>
      <c r="E785" s="407" t="s">
        <v>4884</v>
      </c>
      <c r="F785" s="483"/>
      <c r="G785" s="483"/>
      <c r="H785" s="483"/>
      <c r="I785" s="483"/>
      <c r="J785" s="483"/>
      <c r="K785" s="483"/>
      <c r="L785" s="608" t="s">
        <v>4884</v>
      </c>
      <c r="M785" s="409" t="s">
        <v>4884</v>
      </c>
      <c r="N785" s="409" t="s">
        <v>4884</v>
      </c>
      <c r="O785" s="410" t="s">
        <v>4884</v>
      </c>
      <c r="P785" s="406">
        <v>782</v>
      </c>
      <c r="Q785" s="460" t="s">
        <v>1601</v>
      </c>
      <c r="R785" s="460" t="s">
        <v>1602</v>
      </c>
      <c r="S785" s="460" t="s">
        <v>1528</v>
      </c>
      <c r="T785" s="491" t="s">
        <v>1603</v>
      </c>
      <c r="U785" s="471"/>
      <c r="V785" s="471"/>
      <c r="W785" s="489"/>
      <c r="X785" s="471"/>
      <c r="Y785" s="206"/>
      <c r="Z785" s="206"/>
    </row>
    <row r="786" spans="1:26">
      <c r="A786" s="406">
        <v>783</v>
      </c>
      <c r="B786" s="613" t="s">
        <v>7020</v>
      </c>
      <c r="C786" s="483" t="s">
        <v>1604</v>
      </c>
      <c r="D786" s="414" t="s">
        <v>4884</v>
      </c>
      <c r="E786" s="407" t="s">
        <v>4884</v>
      </c>
      <c r="F786" s="483"/>
      <c r="G786" s="483"/>
      <c r="H786" s="483"/>
      <c r="I786" s="483"/>
      <c r="J786" s="483"/>
      <c r="K786" s="483"/>
      <c r="L786" s="608" t="s">
        <v>4884</v>
      </c>
      <c r="M786" s="409" t="s">
        <v>4884</v>
      </c>
      <c r="N786" s="409" t="s">
        <v>4884</v>
      </c>
      <c r="O786" s="410" t="s">
        <v>4884</v>
      </c>
      <c r="P786" s="406">
        <v>783</v>
      </c>
      <c r="Q786" s="460" t="s">
        <v>1604</v>
      </c>
      <c r="R786" s="460" t="s">
        <v>1602</v>
      </c>
      <c r="S786" s="460" t="s">
        <v>1528</v>
      </c>
      <c r="T786" s="491" t="s">
        <v>1603</v>
      </c>
      <c r="U786" s="471"/>
      <c r="V786" s="471"/>
      <c r="W786" s="489"/>
      <c r="X786" s="471"/>
      <c r="Y786" s="206"/>
      <c r="Z786" s="206"/>
    </row>
    <row r="787" spans="1:26">
      <c r="A787" s="406">
        <v>784</v>
      </c>
      <c r="B787" s="613" t="s">
        <v>7020</v>
      </c>
      <c r="C787" s="483" t="s">
        <v>1605</v>
      </c>
      <c r="D787" s="414" t="s">
        <v>4884</v>
      </c>
      <c r="E787" s="407" t="s">
        <v>4884</v>
      </c>
      <c r="F787" s="483"/>
      <c r="G787" s="483"/>
      <c r="H787" s="483"/>
      <c r="I787" s="483"/>
      <c r="J787" s="483"/>
      <c r="K787" s="483"/>
      <c r="L787" s="608" t="s">
        <v>4884</v>
      </c>
      <c r="M787" s="409" t="s">
        <v>4884</v>
      </c>
      <c r="N787" s="409" t="s">
        <v>4884</v>
      </c>
      <c r="O787" s="410" t="s">
        <v>4884</v>
      </c>
      <c r="P787" s="406">
        <v>784</v>
      </c>
      <c r="Q787" s="460" t="s">
        <v>1605</v>
      </c>
      <c r="R787" s="460" t="s">
        <v>1602</v>
      </c>
      <c r="S787" s="460" t="s">
        <v>1528</v>
      </c>
      <c r="T787" s="491" t="s">
        <v>1603</v>
      </c>
      <c r="U787" s="471"/>
      <c r="V787" s="471"/>
      <c r="W787" s="489"/>
      <c r="X787" s="471"/>
      <c r="Y787" s="206"/>
      <c r="Z787" s="206"/>
    </row>
    <row r="788" spans="1:26">
      <c r="A788" s="406">
        <v>785</v>
      </c>
      <c r="B788" s="613" t="s">
        <v>7020</v>
      </c>
      <c r="C788" s="483" t="s">
        <v>1606</v>
      </c>
      <c r="D788" s="414" t="s">
        <v>4884</v>
      </c>
      <c r="E788" s="407" t="s">
        <v>4884</v>
      </c>
      <c r="F788" s="483"/>
      <c r="G788" s="483"/>
      <c r="H788" s="483"/>
      <c r="I788" s="483"/>
      <c r="J788" s="483"/>
      <c r="K788" s="483"/>
      <c r="L788" s="608" t="s">
        <v>4884</v>
      </c>
      <c r="M788" s="409" t="s">
        <v>4884</v>
      </c>
      <c r="N788" s="409" t="s">
        <v>4884</v>
      </c>
      <c r="O788" s="410" t="s">
        <v>4884</v>
      </c>
      <c r="P788" s="406">
        <v>785</v>
      </c>
      <c r="Q788" s="460" t="s">
        <v>1606</v>
      </c>
      <c r="R788" s="460" t="s">
        <v>1602</v>
      </c>
      <c r="S788" s="460" t="s">
        <v>1528</v>
      </c>
      <c r="T788" s="491" t="s">
        <v>1603</v>
      </c>
      <c r="U788" s="471"/>
      <c r="V788" s="471"/>
      <c r="W788" s="489"/>
      <c r="X788" s="471"/>
      <c r="Y788" s="206"/>
      <c r="Z788" s="206"/>
    </row>
    <row r="789" spans="1:26">
      <c r="A789" s="406">
        <v>786</v>
      </c>
      <c r="B789" s="613" t="s">
        <v>7020</v>
      </c>
      <c r="C789" s="483" t="s">
        <v>1607</v>
      </c>
      <c r="D789" s="414" t="s">
        <v>4884</v>
      </c>
      <c r="E789" s="407" t="s">
        <v>4884</v>
      </c>
      <c r="F789" s="483"/>
      <c r="G789" s="483"/>
      <c r="H789" s="483"/>
      <c r="I789" s="483"/>
      <c r="J789" s="483"/>
      <c r="K789" s="483"/>
      <c r="L789" s="608" t="s">
        <v>4884</v>
      </c>
      <c r="M789" s="409" t="s">
        <v>4884</v>
      </c>
      <c r="N789" s="409" t="s">
        <v>4884</v>
      </c>
      <c r="O789" s="410" t="s">
        <v>4884</v>
      </c>
      <c r="P789" s="406">
        <v>786</v>
      </c>
      <c r="Q789" s="460" t="s">
        <v>1607</v>
      </c>
      <c r="R789" s="460" t="s">
        <v>1602</v>
      </c>
      <c r="S789" s="460" t="s">
        <v>1528</v>
      </c>
      <c r="T789" s="491" t="s">
        <v>1603</v>
      </c>
      <c r="U789" s="471"/>
      <c r="V789" s="471"/>
      <c r="W789" s="489"/>
      <c r="X789" s="471"/>
      <c r="Y789" s="206"/>
      <c r="Z789" s="206"/>
    </row>
    <row r="790" spans="1:26">
      <c r="A790" s="406">
        <v>787</v>
      </c>
      <c r="B790" s="613" t="s">
        <v>7020</v>
      </c>
      <c r="C790" s="483" t="s">
        <v>1608</v>
      </c>
      <c r="D790" s="414" t="s">
        <v>4884</v>
      </c>
      <c r="E790" s="407" t="s">
        <v>4884</v>
      </c>
      <c r="F790" s="483"/>
      <c r="G790" s="483"/>
      <c r="H790" s="483"/>
      <c r="I790" s="483"/>
      <c r="J790" s="483"/>
      <c r="K790" s="483"/>
      <c r="L790" s="608" t="s">
        <v>4884</v>
      </c>
      <c r="M790" s="409" t="s">
        <v>4884</v>
      </c>
      <c r="N790" s="409" t="s">
        <v>4884</v>
      </c>
      <c r="O790" s="410" t="s">
        <v>4884</v>
      </c>
      <c r="P790" s="406">
        <v>787</v>
      </c>
      <c r="Q790" s="460" t="s">
        <v>1608</v>
      </c>
      <c r="R790" s="460" t="s">
        <v>1602</v>
      </c>
      <c r="S790" s="460" t="s">
        <v>1528</v>
      </c>
      <c r="T790" s="491" t="s">
        <v>1603</v>
      </c>
      <c r="U790" s="471"/>
      <c r="V790" s="471"/>
      <c r="W790" s="489"/>
      <c r="X790" s="471"/>
      <c r="Y790" s="206"/>
      <c r="Z790" s="206"/>
    </row>
    <row r="791" spans="1:26">
      <c r="A791" s="406">
        <v>788</v>
      </c>
      <c r="B791" s="613" t="s">
        <v>7020</v>
      </c>
      <c r="C791" s="483" t="s">
        <v>1609</v>
      </c>
      <c r="D791" s="414" t="s">
        <v>4884</v>
      </c>
      <c r="E791" s="407" t="s">
        <v>4884</v>
      </c>
      <c r="F791" s="483"/>
      <c r="G791" s="483"/>
      <c r="H791" s="483"/>
      <c r="I791" s="483"/>
      <c r="J791" s="483"/>
      <c r="K791" s="483"/>
      <c r="L791" s="608" t="s">
        <v>4884</v>
      </c>
      <c r="M791" s="409" t="s">
        <v>4884</v>
      </c>
      <c r="N791" s="409" t="s">
        <v>4884</v>
      </c>
      <c r="O791" s="410" t="s">
        <v>4884</v>
      </c>
      <c r="P791" s="406">
        <v>788</v>
      </c>
      <c r="Q791" s="460" t="s">
        <v>1609</v>
      </c>
      <c r="R791" s="460" t="s">
        <v>1602</v>
      </c>
      <c r="S791" s="460" t="s">
        <v>1528</v>
      </c>
      <c r="T791" s="491" t="s">
        <v>1603</v>
      </c>
      <c r="U791" s="471"/>
      <c r="V791" s="471"/>
      <c r="W791" s="489"/>
      <c r="X791" s="471"/>
      <c r="Y791" s="206"/>
      <c r="Z791" s="206"/>
    </row>
    <row r="792" spans="1:26">
      <c r="A792" s="406">
        <v>789</v>
      </c>
      <c r="B792" s="613" t="s">
        <v>7020</v>
      </c>
      <c r="C792" s="483" t="s">
        <v>1610</v>
      </c>
      <c r="D792" s="414" t="s">
        <v>4884</v>
      </c>
      <c r="E792" s="407" t="s">
        <v>4884</v>
      </c>
      <c r="F792" s="483"/>
      <c r="G792" s="483"/>
      <c r="H792" s="483"/>
      <c r="I792" s="483"/>
      <c r="J792" s="483"/>
      <c r="K792" s="483"/>
      <c r="L792" s="608" t="s">
        <v>4884</v>
      </c>
      <c r="M792" s="409" t="s">
        <v>4884</v>
      </c>
      <c r="N792" s="409" t="s">
        <v>4884</v>
      </c>
      <c r="O792" s="410" t="s">
        <v>4884</v>
      </c>
      <c r="P792" s="406">
        <v>789</v>
      </c>
      <c r="Q792" s="460" t="s">
        <v>1610</v>
      </c>
      <c r="R792" s="460" t="s">
        <v>1602</v>
      </c>
      <c r="S792" s="460" t="s">
        <v>1528</v>
      </c>
      <c r="T792" s="491" t="s">
        <v>1603</v>
      </c>
      <c r="U792" s="471"/>
      <c r="V792" s="471"/>
      <c r="W792" s="489"/>
      <c r="X792" s="471"/>
      <c r="Y792" s="206"/>
      <c r="Z792" s="206"/>
    </row>
    <row r="793" spans="1:26">
      <c r="A793" s="406">
        <v>790</v>
      </c>
      <c r="B793" s="613" t="s">
        <v>7020</v>
      </c>
      <c r="C793" s="483" t="s">
        <v>1611</v>
      </c>
      <c r="D793" s="414" t="s">
        <v>4884</v>
      </c>
      <c r="E793" s="407" t="s">
        <v>4884</v>
      </c>
      <c r="F793" s="483"/>
      <c r="G793" s="483"/>
      <c r="H793" s="483"/>
      <c r="I793" s="483"/>
      <c r="J793" s="483"/>
      <c r="K793" s="483"/>
      <c r="L793" s="608" t="s">
        <v>4884</v>
      </c>
      <c r="M793" s="409" t="s">
        <v>4884</v>
      </c>
      <c r="N793" s="409" t="s">
        <v>4884</v>
      </c>
      <c r="O793" s="410" t="s">
        <v>4884</v>
      </c>
      <c r="P793" s="406">
        <v>790</v>
      </c>
      <c r="Q793" s="460" t="s">
        <v>1611</v>
      </c>
      <c r="R793" s="460" t="s">
        <v>1602</v>
      </c>
      <c r="S793" s="460" t="s">
        <v>1528</v>
      </c>
      <c r="T793" s="491" t="s">
        <v>1603</v>
      </c>
      <c r="U793" s="471"/>
      <c r="V793" s="471"/>
      <c r="W793" s="489"/>
      <c r="X793" s="471"/>
      <c r="Y793" s="206"/>
      <c r="Z793" s="206"/>
    </row>
    <row r="794" spans="1:26">
      <c r="A794" s="406">
        <v>791</v>
      </c>
      <c r="B794" s="613" t="s">
        <v>7020</v>
      </c>
      <c r="C794" s="483" t="s">
        <v>1612</v>
      </c>
      <c r="D794" s="414" t="s">
        <v>4884</v>
      </c>
      <c r="E794" s="407" t="s">
        <v>4884</v>
      </c>
      <c r="F794" s="483"/>
      <c r="G794" s="483"/>
      <c r="H794" s="483"/>
      <c r="I794" s="483"/>
      <c r="J794" s="483"/>
      <c r="K794" s="483"/>
      <c r="L794" s="608" t="s">
        <v>4884</v>
      </c>
      <c r="M794" s="409" t="s">
        <v>4884</v>
      </c>
      <c r="N794" s="409" t="s">
        <v>4884</v>
      </c>
      <c r="O794" s="410" t="s">
        <v>4884</v>
      </c>
      <c r="P794" s="406">
        <v>791</v>
      </c>
      <c r="Q794" s="460" t="s">
        <v>1612</v>
      </c>
      <c r="R794" s="460" t="s">
        <v>1613</v>
      </c>
      <c r="S794" s="460" t="s">
        <v>1528</v>
      </c>
      <c r="T794" s="484" t="s">
        <v>1535</v>
      </c>
      <c r="U794" s="471"/>
      <c r="V794" s="471"/>
      <c r="W794" s="489"/>
      <c r="X794" s="471"/>
      <c r="Y794" s="206"/>
      <c r="Z794" s="206"/>
    </row>
    <row r="795" spans="1:26">
      <c r="A795" s="406">
        <v>792</v>
      </c>
      <c r="B795" s="613" t="s">
        <v>7020</v>
      </c>
      <c r="C795" s="483" t="s">
        <v>1614</v>
      </c>
      <c r="D795" s="414" t="s">
        <v>4884</v>
      </c>
      <c r="E795" s="407" t="s">
        <v>4884</v>
      </c>
      <c r="F795" s="483"/>
      <c r="G795" s="483"/>
      <c r="H795" s="483"/>
      <c r="I795" s="483"/>
      <c r="J795" s="483"/>
      <c r="K795" s="483"/>
      <c r="L795" s="608" t="s">
        <v>4884</v>
      </c>
      <c r="M795" s="409" t="s">
        <v>4884</v>
      </c>
      <c r="N795" s="409" t="s">
        <v>4884</v>
      </c>
      <c r="O795" s="410" t="s">
        <v>4884</v>
      </c>
      <c r="P795" s="406">
        <v>792</v>
      </c>
      <c r="Q795" s="460" t="s">
        <v>1614</v>
      </c>
      <c r="R795" s="460" t="s">
        <v>1613</v>
      </c>
      <c r="S795" s="460" t="s">
        <v>1528</v>
      </c>
      <c r="T795" s="484" t="s">
        <v>1535</v>
      </c>
      <c r="U795" s="471"/>
      <c r="V795" s="471"/>
      <c r="W795" s="489"/>
      <c r="X795" s="471"/>
      <c r="Y795" s="206"/>
      <c r="Z795" s="206"/>
    </row>
    <row r="796" spans="1:26">
      <c r="A796" s="406">
        <v>793</v>
      </c>
      <c r="B796" s="613" t="s">
        <v>7020</v>
      </c>
      <c r="C796" s="483" t="s">
        <v>1615</v>
      </c>
      <c r="D796" s="414" t="s">
        <v>4884</v>
      </c>
      <c r="E796" s="407" t="s">
        <v>4884</v>
      </c>
      <c r="F796" s="483"/>
      <c r="G796" s="483"/>
      <c r="H796" s="483"/>
      <c r="I796" s="483"/>
      <c r="J796" s="483"/>
      <c r="K796" s="483"/>
      <c r="L796" s="608" t="s">
        <v>4884</v>
      </c>
      <c r="M796" s="409" t="s">
        <v>4884</v>
      </c>
      <c r="N796" s="409" t="s">
        <v>4884</v>
      </c>
      <c r="O796" s="410" t="s">
        <v>4884</v>
      </c>
      <c r="P796" s="406">
        <v>793</v>
      </c>
      <c r="Q796" s="460" t="s">
        <v>1615</v>
      </c>
      <c r="R796" s="460" t="s">
        <v>1616</v>
      </c>
      <c r="S796" s="460" t="s">
        <v>1528</v>
      </c>
      <c r="T796" s="492" t="s">
        <v>1617</v>
      </c>
      <c r="U796" s="471"/>
      <c r="V796" s="471"/>
      <c r="W796" s="489"/>
      <c r="X796" s="471"/>
      <c r="Y796" s="206"/>
      <c r="Z796" s="206"/>
    </row>
    <row r="797" spans="1:26">
      <c r="A797" s="406">
        <v>794</v>
      </c>
      <c r="B797" s="613" t="s">
        <v>7020</v>
      </c>
      <c r="C797" s="483" t="s">
        <v>1618</v>
      </c>
      <c r="D797" s="414" t="s">
        <v>4884</v>
      </c>
      <c r="E797" s="407" t="s">
        <v>4884</v>
      </c>
      <c r="F797" s="483"/>
      <c r="G797" s="483"/>
      <c r="H797" s="483"/>
      <c r="I797" s="483"/>
      <c r="J797" s="483"/>
      <c r="K797" s="483"/>
      <c r="L797" s="608" t="s">
        <v>4884</v>
      </c>
      <c r="M797" s="409" t="s">
        <v>4884</v>
      </c>
      <c r="N797" s="409" t="s">
        <v>4884</v>
      </c>
      <c r="O797" s="410" t="s">
        <v>4884</v>
      </c>
      <c r="P797" s="406">
        <v>794</v>
      </c>
      <c r="Q797" s="460" t="s">
        <v>1618</v>
      </c>
      <c r="R797" s="460" t="s">
        <v>1616</v>
      </c>
      <c r="S797" s="460" t="s">
        <v>1528</v>
      </c>
      <c r="T797" s="492" t="s">
        <v>1617</v>
      </c>
      <c r="U797" s="471"/>
      <c r="V797" s="471"/>
      <c r="W797" s="489"/>
      <c r="X797" s="471"/>
      <c r="Y797" s="206"/>
      <c r="Z797" s="206"/>
    </row>
    <row r="798" spans="1:26">
      <c r="A798" s="406">
        <v>795</v>
      </c>
      <c r="B798" s="613" t="s">
        <v>7020</v>
      </c>
      <c r="C798" s="483" t="s">
        <v>1619</v>
      </c>
      <c r="D798" s="414" t="s">
        <v>4884</v>
      </c>
      <c r="E798" s="407" t="s">
        <v>4884</v>
      </c>
      <c r="F798" s="483"/>
      <c r="G798" s="483"/>
      <c r="H798" s="483"/>
      <c r="I798" s="483"/>
      <c r="J798" s="483"/>
      <c r="K798" s="483"/>
      <c r="L798" s="608" t="s">
        <v>4884</v>
      </c>
      <c r="M798" s="409" t="s">
        <v>4884</v>
      </c>
      <c r="N798" s="409" t="s">
        <v>4884</v>
      </c>
      <c r="O798" s="410" t="s">
        <v>4884</v>
      </c>
      <c r="P798" s="406">
        <v>795</v>
      </c>
      <c r="Q798" s="460" t="s">
        <v>1619</v>
      </c>
      <c r="R798" s="460" t="s">
        <v>1616</v>
      </c>
      <c r="S798" s="460" t="s">
        <v>1528</v>
      </c>
      <c r="T798" s="492" t="s">
        <v>1617</v>
      </c>
      <c r="U798" s="471"/>
      <c r="V798" s="471"/>
      <c r="W798" s="489"/>
      <c r="X798" s="471"/>
      <c r="Y798" s="206"/>
      <c r="Z798" s="206"/>
    </row>
    <row r="799" spans="1:26">
      <c r="A799" s="406">
        <v>796</v>
      </c>
      <c r="B799" s="613" t="s">
        <v>7020</v>
      </c>
      <c r="C799" s="483" t="s">
        <v>1620</v>
      </c>
      <c r="D799" s="414" t="s">
        <v>4884</v>
      </c>
      <c r="E799" s="407" t="s">
        <v>4884</v>
      </c>
      <c r="F799" s="483"/>
      <c r="G799" s="483"/>
      <c r="H799" s="483"/>
      <c r="I799" s="483"/>
      <c r="J799" s="483"/>
      <c r="K799" s="483"/>
      <c r="L799" s="608" t="s">
        <v>4884</v>
      </c>
      <c r="M799" s="409" t="s">
        <v>4884</v>
      </c>
      <c r="N799" s="409" t="s">
        <v>4884</v>
      </c>
      <c r="O799" s="410" t="s">
        <v>4884</v>
      </c>
      <c r="P799" s="406">
        <v>796</v>
      </c>
      <c r="Q799" s="460" t="s">
        <v>1620</v>
      </c>
      <c r="R799" s="460" t="s">
        <v>1621</v>
      </c>
      <c r="S799" s="460" t="s">
        <v>1528</v>
      </c>
      <c r="T799" s="492" t="s">
        <v>1622</v>
      </c>
      <c r="U799" s="471"/>
      <c r="V799" s="471"/>
      <c r="W799" s="489"/>
      <c r="X799" s="471"/>
      <c r="Y799" s="206"/>
      <c r="Z799" s="206"/>
    </row>
    <row r="800" spans="1:26">
      <c r="A800" s="406">
        <v>797</v>
      </c>
      <c r="B800" s="613" t="s">
        <v>7020</v>
      </c>
      <c r="C800" s="483" t="s">
        <v>1623</v>
      </c>
      <c r="D800" s="414" t="s">
        <v>4884</v>
      </c>
      <c r="E800" s="407" t="s">
        <v>4884</v>
      </c>
      <c r="F800" s="483"/>
      <c r="G800" s="483"/>
      <c r="H800" s="483"/>
      <c r="I800" s="483"/>
      <c r="J800" s="483"/>
      <c r="K800" s="483"/>
      <c r="L800" s="608" t="s">
        <v>4884</v>
      </c>
      <c r="M800" s="409" t="s">
        <v>4884</v>
      </c>
      <c r="N800" s="409" t="s">
        <v>4884</v>
      </c>
      <c r="O800" s="410" t="s">
        <v>4884</v>
      </c>
      <c r="P800" s="406">
        <v>797</v>
      </c>
      <c r="Q800" s="460" t="s">
        <v>1623</v>
      </c>
      <c r="R800" s="460" t="s">
        <v>1624</v>
      </c>
      <c r="S800" s="460" t="s">
        <v>1528</v>
      </c>
      <c r="T800" s="493" t="s">
        <v>1625</v>
      </c>
      <c r="U800" s="471"/>
      <c r="V800" s="471"/>
      <c r="W800" s="489"/>
      <c r="X800" s="471"/>
      <c r="Y800" s="206"/>
      <c r="Z800" s="206"/>
    </row>
    <row r="801" spans="1:26">
      <c r="A801" s="406">
        <v>798</v>
      </c>
      <c r="B801" s="613" t="s">
        <v>7020</v>
      </c>
      <c r="C801" s="483" t="s">
        <v>1626</v>
      </c>
      <c r="D801" s="414" t="s">
        <v>4884</v>
      </c>
      <c r="E801" s="407" t="s">
        <v>4884</v>
      </c>
      <c r="F801" s="483"/>
      <c r="G801" s="483"/>
      <c r="H801" s="483"/>
      <c r="I801" s="483"/>
      <c r="J801" s="483"/>
      <c r="K801" s="483"/>
      <c r="L801" s="608" t="s">
        <v>4884</v>
      </c>
      <c r="M801" s="409" t="s">
        <v>4884</v>
      </c>
      <c r="N801" s="409" t="s">
        <v>4884</v>
      </c>
      <c r="O801" s="410" t="s">
        <v>4884</v>
      </c>
      <c r="P801" s="406">
        <v>798</v>
      </c>
      <c r="Q801" s="460" t="s">
        <v>1626</v>
      </c>
      <c r="R801" s="460" t="s">
        <v>1624</v>
      </c>
      <c r="S801" s="460" t="s">
        <v>1528</v>
      </c>
      <c r="T801" s="493" t="s">
        <v>1625</v>
      </c>
      <c r="U801" s="471"/>
      <c r="V801" s="471"/>
      <c r="W801" s="489"/>
      <c r="X801" s="471"/>
      <c r="Y801" s="206"/>
      <c r="Z801" s="206"/>
    </row>
    <row r="802" spans="1:26">
      <c r="A802" s="406">
        <v>799</v>
      </c>
      <c r="B802" s="613" t="s">
        <v>7020</v>
      </c>
      <c r="C802" s="483" t="s">
        <v>1627</v>
      </c>
      <c r="D802" s="414" t="s">
        <v>4884</v>
      </c>
      <c r="E802" s="407" t="s">
        <v>4884</v>
      </c>
      <c r="F802" s="483"/>
      <c r="G802" s="483"/>
      <c r="H802" s="483"/>
      <c r="I802" s="483"/>
      <c r="J802" s="483"/>
      <c r="K802" s="483"/>
      <c r="L802" s="608" t="s">
        <v>4884</v>
      </c>
      <c r="M802" s="409" t="s">
        <v>4884</v>
      </c>
      <c r="N802" s="409" t="s">
        <v>4884</v>
      </c>
      <c r="O802" s="410" t="s">
        <v>4884</v>
      </c>
      <c r="P802" s="406">
        <v>799</v>
      </c>
      <c r="Q802" s="460" t="s">
        <v>1627</v>
      </c>
      <c r="R802" s="460" t="s">
        <v>1628</v>
      </c>
      <c r="S802" s="460" t="s">
        <v>1528</v>
      </c>
      <c r="T802" s="493" t="s">
        <v>1629</v>
      </c>
      <c r="U802" s="471"/>
      <c r="V802" s="471"/>
      <c r="W802" s="489"/>
      <c r="X802" s="471"/>
      <c r="Y802" s="206"/>
      <c r="Z802" s="206"/>
    </row>
    <row r="803" spans="1:26">
      <c r="A803" s="406">
        <v>800</v>
      </c>
      <c r="B803" s="613" t="s">
        <v>7020</v>
      </c>
      <c r="C803" s="483" t="s">
        <v>1630</v>
      </c>
      <c r="D803" s="414" t="s">
        <v>4884</v>
      </c>
      <c r="E803" s="407" t="s">
        <v>4884</v>
      </c>
      <c r="F803" s="483"/>
      <c r="G803" s="483"/>
      <c r="H803" s="483"/>
      <c r="I803" s="483"/>
      <c r="J803" s="483"/>
      <c r="K803" s="483"/>
      <c r="L803" s="608" t="s">
        <v>4884</v>
      </c>
      <c r="M803" s="409" t="s">
        <v>4884</v>
      </c>
      <c r="N803" s="409" t="s">
        <v>4884</v>
      </c>
      <c r="O803" s="410" t="s">
        <v>4884</v>
      </c>
      <c r="P803" s="406">
        <v>800</v>
      </c>
      <c r="Q803" s="460" t="s">
        <v>1630</v>
      </c>
      <c r="R803" s="460" t="s">
        <v>1631</v>
      </c>
      <c r="S803" s="460" t="s">
        <v>1528</v>
      </c>
      <c r="T803" s="484" t="s">
        <v>1535</v>
      </c>
      <c r="U803" s="471"/>
      <c r="V803" s="471"/>
      <c r="W803" s="489"/>
      <c r="X803" s="471"/>
      <c r="Y803" s="206"/>
      <c r="Z803" s="206"/>
    </row>
    <row r="804" spans="1:26">
      <c r="A804" s="406">
        <v>801</v>
      </c>
      <c r="B804" s="613" t="s">
        <v>7020</v>
      </c>
      <c r="C804" s="483" t="s">
        <v>1632</v>
      </c>
      <c r="D804" s="414" t="s">
        <v>4884</v>
      </c>
      <c r="E804" s="407" t="s">
        <v>4884</v>
      </c>
      <c r="F804" s="483"/>
      <c r="G804" s="483"/>
      <c r="H804" s="483"/>
      <c r="I804" s="483"/>
      <c r="J804" s="483"/>
      <c r="K804" s="483"/>
      <c r="L804" s="608" t="s">
        <v>4884</v>
      </c>
      <c r="M804" s="409" t="s">
        <v>4884</v>
      </c>
      <c r="N804" s="409" t="s">
        <v>4884</v>
      </c>
      <c r="O804" s="410" t="s">
        <v>4884</v>
      </c>
      <c r="P804" s="406">
        <v>801</v>
      </c>
      <c r="Q804" s="460" t="s">
        <v>1632</v>
      </c>
      <c r="R804" s="460" t="s">
        <v>1633</v>
      </c>
      <c r="S804" s="460" t="s">
        <v>1528</v>
      </c>
      <c r="T804" s="484" t="s">
        <v>1535</v>
      </c>
      <c r="U804" s="471"/>
      <c r="V804" s="471"/>
      <c r="W804" s="489"/>
      <c r="X804" s="471"/>
      <c r="Y804" s="206"/>
      <c r="Z804" s="206"/>
    </row>
    <row r="805" spans="1:26">
      <c r="A805" s="406">
        <v>802</v>
      </c>
      <c r="B805" s="613" t="s">
        <v>7020</v>
      </c>
      <c r="C805" s="483" t="s">
        <v>1634</v>
      </c>
      <c r="D805" s="414" t="s">
        <v>4884</v>
      </c>
      <c r="E805" s="407" t="s">
        <v>4884</v>
      </c>
      <c r="F805" s="483"/>
      <c r="G805" s="483"/>
      <c r="H805" s="483"/>
      <c r="I805" s="483"/>
      <c r="J805" s="483"/>
      <c r="K805" s="483"/>
      <c r="L805" s="608" t="s">
        <v>4884</v>
      </c>
      <c r="M805" s="409" t="s">
        <v>4884</v>
      </c>
      <c r="N805" s="409" t="s">
        <v>4884</v>
      </c>
      <c r="O805" s="410" t="s">
        <v>4884</v>
      </c>
      <c r="P805" s="406">
        <v>802</v>
      </c>
      <c r="Q805" s="460" t="s">
        <v>1634</v>
      </c>
      <c r="R805" s="460" t="s">
        <v>1635</v>
      </c>
      <c r="S805" s="460" t="s">
        <v>1528</v>
      </c>
      <c r="T805" s="484" t="s">
        <v>1535</v>
      </c>
      <c r="U805" s="471"/>
      <c r="V805" s="471"/>
      <c r="W805" s="489"/>
      <c r="X805" s="471"/>
      <c r="Y805" s="206"/>
      <c r="Z805" s="206"/>
    </row>
    <row r="806" spans="1:26" ht="15" thickBot="1">
      <c r="A806" s="406">
        <v>803</v>
      </c>
      <c r="B806" s="613" t="s">
        <v>7020</v>
      </c>
      <c r="C806" s="483" t="s">
        <v>1636</v>
      </c>
      <c r="D806" s="414" t="s">
        <v>4884</v>
      </c>
      <c r="E806" s="407" t="s">
        <v>4884</v>
      </c>
      <c r="F806" s="483"/>
      <c r="G806" s="483"/>
      <c r="H806" s="483"/>
      <c r="I806" s="483"/>
      <c r="J806" s="483"/>
      <c r="K806" s="483"/>
      <c r="L806" s="608" t="s">
        <v>4884</v>
      </c>
      <c r="M806" s="409" t="s">
        <v>4884</v>
      </c>
      <c r="N806" s="409" t="s">
        <v>4884</v>
      </c>
      <c r="O806" s="410" t="s">
        <v>4884</v>
      </c>
      <c r="P806" s="406">
        <v>803</v>
      </c>
      <c r="Q806" s="460" t="s">
        <v>1636</v>
      </c>
      <c r="R806" s="460" t="s">
        <v>1637</v>
      </c>
      <c r="S806" s="460" t="s">
        <v>1528</v>
      </c>
      <c r="T806" s="484" t="s">
        <v>1535</v>
      </c>
      <c r="U806" s="471"/>
      <c r="V806" s="471"/>
      <c r="W806" s="489"/>
      <c r="X806" s="471"/>
      <c r="Y806" s="206"/>
      <c r="Z806" s="206"/>
    </row>
    <row r="807" spans="1:26" ht="15" thickBot="1">
      <c r="A807" s="406">
        <v>804</v>
      </c>
      <c r="B807" s="613" t="s">
        <v>7020</v>
      </c>
      <c r="C807" s="483" t="s">
        <v>1638</v>
      </c>
      <c r="D807" s="414" t="s">
        <v>4884</v>
      </c>
      <c r="E807" s="407" t="s">
        <v>4884</v>
      </c>
      <c r="F807" s="483"/>
      <c r="G807" s="483"/>
      <c r="H807" s="483"/>
      <c r="I807" s="483"/>
      <c r="J807" s="483"/>
      <c r="K807" s="483"/>
      <c r="L807" s="608" t="s">
        <v>4884</v>
      </c>
      <c r="M807" s="409" t="s">
        <v>4884</v>
      </c>
      <c r="N807" s="409" t="s">
        <v>4884</v>
      </c>
      <c r="O807" s="410" t="s">
        <v>4884</v>
      </c>
      <c r="P807" s="406">
        <v>804</v>
      </c>
      <c r="Q807" s="535" t="s">
        <v>1638</v>
      </c>
      <c r="R807" s="535" t="s">
        <v>1639</v>
      </c>
      <c r="S807" s="535" t="s">
        <v>1528</v>
      </c>
      <c r="T807" s="536" t="s">
        <v>1640</v>
      </c>
      <c r="U807" s="471"/>
      <c r="V807" s="471"/>
      <c r="W807" s="489"/>
      <c r="X807" s="471"/>
      <c r="Y807" s="206"/>
      <c r="Z807" s="206"/>
    </row>
    <row r="808" spans="1:26">
      <c r="A808" s="406">
        <v>805</v>
      </c>
      <c r="B808" s="613" t="s">
        <v>7020</v>
      </c>
      <c r="C808" s="483" t="s">
        <v>1641</v>
      </c>
      <c r="D808" s="414" t="s">
        <v>4884</v>
      </c>
      <c r="E808" s="407" t="s">
        <v>4884</v>
      </c>
      <c r="F808" s="483"/>
      <c r="G808" s="483"/>
      <c r="H808" s="483"/>
      <c r="I808" s="483"/>
      <c r="J808" s="483"/>
      <c r="K808" s="483"/>
      <c r="L808" s="608" t="s">
        <v>4884</v>
      </c>
      <c r="M808" s="409" t="s">
        <v>4884</v>
      </c>
      <c r="N808" s="409" t="s">
        <v>4884</v>
      </c>
      <c r="O808" s="410" t="s">
        <v>4884</v>
      </c>
      <c r="P808" s="406">
        <v>805</v>
      </c>
      <c r="Q808" s="460" t="s">
        <v>1641</v>
      </c>
      <c r="R808" s="460" t="s">
        <v>1642</v>
      </c>
      <c r="S808" s="460" t="s">
        <v>1528</v>
      </c>
      <c r="T808" s="494" t="s">
        <v>1643</v>
      </c>
      <c r="U808" s="471"/>
      <c r="V808" s="471"/>
      <c r="W808" s="489"/>
      <c r="X808" s="471"/>
      <c r="Y808" s="206"/>
      <c r="Z808" s="206"/>
    </row>
    <row r="809" spans="1:26">
      <c r="A809" s="406">
        <v>806</v>
      </c>
      <c r="B809" s="613" t="s">
        <v>7020</v>
      </c>
      <c r="C809" s="483" t="s">
        <v>1644</v>
      </c>
      <c r="D809" s="414" t="s">
        <v>4884</v>
      </c>
      <c r="E809" s="407" t="s">
        <v>4884</v>
      </c>
      <c r="F809" s="483"/>
      <c r="G809" s="483"/>
      <c r="H809" s="483"/>
      <c r="I809" s="483"/>
      <c r="J809" s="483"/>
      <c r="K809" s="483"/>
      <c r="L809" s="608" t="s">
        <v>4884</v>
      </c>
      <c r="M809" s="409" t="s">
        <v>4884</v>
      </c>
      <c r="N809" s="409" t="s">
        <v>4884</v>
      </c>
      <c r="O809" s="410" t="s">
        <v>4884</v>
      </c>
      <c r="P809" s="406">
        <v>806</v>
      </c>
      <c r="Q809" s="460" t="s">
        <v>1644</v>
      </c>
      <c r="R809" s="460" t="s">
        <v>1645</v>
      </c>
      <c r="S809" s="460" t="s">
        <v>1528</v>
      </c>
      <c r="T809" s="495" t="s">
        <v>1646</v>
      </c>
      <c r="U809" s="471"/>
      <c r="V809" s="471"/>
      <c r="W809" s="489"/>
      <c r="X809" s="471"/>
      <c r="Y809" s="206"/>
      <c r="Z809" s="206"/>
    </row>
    <row r="810" spans="1:26">
      <c r="A810" s="406">
        <v>807</v>
      </c>
      <c r="B810" s="613" t="s">
        <v>7020</v>
      </c>
      <c r="C810" s="483" t="s">
        <v>1647</v>
      </c>
      <c r="D810" s="414" t="s">
        <v>4884</v>
      </c>
      <c r="E810" s="407" t="s">
        <v>4884</v>
      </c>
      <c r="F810" s="483"/>
      <c r="G810" s="483"/>
      <c r="H810" s="483"/>
      <c r="I810" s="483"/>
      <c r="J810" s="483"/>
      <c r="K810" s="483"/>
      <c r="L810" s="608" t="s">
        <v>4884</v>
      </c>
      <c r="M810" s="409" t="s">
        <v>4884</v>
      </c>
      <c r="N810" s="409" t="s">
        <v>4884</v>
      </c>
      <c r="O810" s="410" t="s">
        <v>4884</v>
      </c>
      <c r="P810" s="406">
        <v>807</v>
      </c>
      <c r="Q810" s="460" t="s">
        <v>1647</v>
      </c>
      <c r="R810" s="460" t="s">
        <v>1645</v>
      </c>
      <c r="S810" s="460" t="s">
        <v>1528</v>
      </c>
      <c r="T810" s="495" t="s">
        <v>1646</v>
      </c>
      <c r="U810" s="471"/>
      <c r="V810" s="471"/>
      <c r="W810" s="489"/>
      <c r="X810" s="471"/>
      <c r="Y810" s="206"/>
      <c r="Z810" s="206"/>
    </row>
    <row r="811" spans="1:26">
      <c r="A811" s="406">
        <v>808</v>
      </c>
      <c r="B811" s="613" t="s">
        <v>7020</v>
      </c>
      <c r="C811" s="483" t="s">
        <v>1648</v>
      </c>
      <c r="D811" s="414" t="s">
        <v>4884</v>
      </c>
      <c r="E811" s="407" t="s">
        <v>4884</v>
      </c>
      <c r="F811" s="483"/>
      <c r="G811" s="483"/>
      <c r="H811" s="483"/>
      <c r="I811" s="483"/>
      <c r="J811" s="483"/>
      <c r="K811" s="483"/>
      <c r="L811" s="608" t="s">
        <v>4884</v>
      </c>
      <c r="M811" s="409" t="s">
        <v>4884</v>
      </c>
      <c r="N811" s="409" t="s">
        <v>4884</v>
      </c>
      <c r="O811" s="410" t="s">
        <v>4884</v>
      </c>
      <c r="P811" s="406">
        <v>808</v>
      </c>
      <c r="Q811" s="460" t="s">
        <v>1648</v>
      </c>
      <c r="R811" s="460" t="s">
        <v>1645</v>
      </c>
      <c r="S811" s="460" t="s">
        <v>1528</v>
      </c>
      <c r="T811" s="495" t="s">
        <v>1646</v>
      </c>
      <c r="U811" s="471"/>
      <c r="V811" s="471"/>
      <c r="W811" s="489"/>
      <c r="X811" s="471"/>
      <c r="Y811" s="206"/>
      <c r="Z811" s="206"/>
    </row>
    <row r="812" spans="1:26">
      <c r="A812" s="406">
        <v>809</v>
      </c>
      <c r="B812" s="613" t="s">
        <v>7020</v>
      </c>
      <c r="C812" s="483" t="s">
        <v>1649</v>
      </c>
      <c r="D812" s="414" t="s">
        <v>4884</v>
      </c>
      <c r="E812" s="407" t="s">
        <v>4884</v>
      </c>
      <c r="F812" s="483"/>
      <c r="G812" s="483"/>
      <c r="H812" s="483"/>
      <c r="I812" s="483"/>
      <c r="J812" s="483"/>
      <c r="K812" s="483"/>
      <c r="L812" s="608" t="s">
        <v>4884</v>
      </c>
      <c r="M812" s="409" t="s">
        <v>4884</v>
      </c>
      <c r="N812" s="409" t="s">
        <v>4884</v>
      </c>
      <c r="O812" s="410" t="s">
        <v>4884</v>
      </c>
      <c r="P812" s="406">
        <v>809</v>
      </c>
      <c r="Q812" s="460" t="s">
        <v>1649</v>
      </c>
      <c r="R812" s="460" t="s">
        <v>1645</v>
      </c>
      <c r="S812" s="460" t="s">
        <v>1528</v>
      </c>
      <c r="T812" s="495" t="s">
        <v>1646</v>
      </c>
      <c r="U812" s="471"/>
      <c r="V812" s="471"/>
      <c r="W812" s="489"/>
      <c r="X812" s="471"/>
      <c r="Y812" s="206"/>
      <c r="Z812" s="206"/>
    </row>
    <row r="813" spans="1:26">
      <c r="A813" s="406">
        <v>810</v>
      </c>
      <c r="B813" s="613" t="s">
        <v>7020</v>
      </c>
      <c r="C813" s="483" t="s">
        <v>1650</v>
      </c>
      <c r="D813" s="414" t="s">
        <v>4884</v>
      </c>
      <c r="E813" s="407" t="s">
        <v>4884</v>
      </c>
      <c r="F813" s="483"/>
      <c r="G813" s="483"/>
      <c r="H813" s="483"/>
      <c r="I813" s="483"/>
      <c r="J813" s="483"/>
      <c r="K813" s="483"/>
      <c r="L813" s="608" t="s">
        <v>4884</v>
      </c>
      <c r="M813" s="409" t="s">
        <v>4884</v>
      </c>
      <c r="N813" s="409" t="s">
        <v>4884</v>
      </c>
      <c r="O813" s="410" t="s">
        <v>4884</v>
      </c>
      <c r="P813" s="406">
        <v>810</v>
      </c>
      <c r="Q813" s="460" t="s">
        <v>1650</v>
      </c>
      <c r="R813" s="460" t="s">
        <v>1645</v>
      </c>
      <c r="S813" s="460" t="s">
        <v>1528</v>
      </c>
      <c r="T813" s="495" t="s">
        <v>1646</v>
      </c>
      <c r="U813" s="471"/>
      <c r="V813" s="471"/>
      <c r="W813" s="489"/>
      <c r="X813" s="471"/>
      <c r="Y813" s="206"/>
      <c r="Z813" s="206"/>
    </row>
    <row r="814" spans="1:26">
      <c r="A814" s="406">
        <v>811</v>
      </c>
      <c r="B814" s="613" t="s">
        <v>7020</v>
      </c>
      <c r="C814" s="483" t="s">
        <v>1651</v>
      </c>
      <c r="D814" s="414" t="s">
        <v>4884</v>
      </c>
      <c r="E814" s="407" t="s">
        <v>4884</v>
      </c>
      <c r="F814" s="483"/>
      <c r="G814" s="483"/>
      <c r="H814" s="483"/>
      <c r="I814" s="483"/>
      <c r="J814" s="483"/>
      <c r="K814" s="483"/>
      <c r="L814" s="608" t="s">
        <v>4884</v>
      </c>
      <c r="M814" s="409" t="s">
        <v>4884</v>
      </c>
      <c r="N814" s="409" t="s">
        <v>4884</v>
      </c>
      <c r="O814" s="410" t="s">
        <v>4884</v>
      </c>
      <c r="P814" s="406">
        <v>811</v>
      </c>
      <c r="Q814" s="460" t="s">
        <v>1651</v>
      </c>
      <c r="R814" s="460" t="s">
        <v>1645</v>
      </c>
      <c r="S814" s="460" t="s">
        <v>1528</v>
      </c>
      <c r="T814" s="495" t="s">
        <v>1646</v>
      </c>
      <c r="U814" s="471"/>
      <c r="V814" s="471"/>
      <c r="W814" s="489"/>
      <c r="X814" s="471"/>
      <c r="Y814" s="206"/>
      <c r="Z814" s="206"/>
    </row>
    <row r="815" spans="1:26">
      <c r="A815" s="406">
        <v>812</v>
      </c>
      <c r="B815" s="613" t="s">
        <v>7020</v>
      </c>
      <c r="C815" s="483" t="s">
        <v>1652</v>
      </c>
      <c r="D815" s="414" t="s">
        <v>4884</v>
      </c>
      <c r="E815" s="407" t="s">
        <v>4884</v>
      </c>
      <c r="F815" s="483"/>
      <c r="G815" s="483"/>
      <c r="H815" s="483"/>
      <c r="I815" s="483"/>
      <c r="J815" s="483"/>
      <c r="K815" s="483"/>
      <c r="L815" s="608" t="s">
        <v>4884</v>
      </c>
      <c r="M815" s="409" t="s">
        <v>4884</v>
      </c>
      <c r="N815" s="409" t="s">
        <v>4884</v>
      </c>
      <c r="O815" s="410" t="s">
        <v>4884</v>
      </c>
      <c r="P815" s="406">
        <v>812</v>
      </c>
      <c r="Q815" s="460" t="s">
        <v>1652</v>
      </c>
      <c r="R815" s="460" t="s">
        <v>1645</v>
      </c>
      <c r="S815" s="460" t="s">
        <v>1528</v>
      </c>
      <c r="T815" s="495" t="s">
        <v>1646</v>
      </c>
      <c r="U815" s="471"/>
      <c r="V815" s="471"/>
      <c r="W815" s="489"/>
      <c r="X815" s="471"/>
      <c r="Y815" s="206"/>
      <c r="Z815" s="206"/>
    </row>
    <row r="816" spans="1:26">
      <c r="A816" s="406">
        <v>813</v>
      </c>
      <c r="B816" s="613" t="s">
        <v>7020</v>
      </c>
      <c r="C816" s="483" t="s">
        <v>1653</v>
      </c>
      <c r="D816" s="414" t="s">
        <v>4884</v>
      </c>
      <c r="E816" s="407" t="s">
        <v>4884</v>
      </c>
      <c r="F816" s="483"/>
      <c r="G816" s="483"/>
      <c r="H816" s="483"/>
      <c r="I816" s="483"/>
      <c r="J816" s="483"/>
      <c r="K816" s="483"/>
      <c r="L816" s="608" t="s">
        <v>4884</v>
      </c>
      <c r="M816" s="409" t="s">
        <v>4884</v>
      </c>
      <c r="N816" s="409" t="s">
        <v>4884</v>
      </c>
      <c r="O816" s="410" t="s">
        <v>4884</v>
      </c>
      <c r="P816" s="406">
        <v>813</v>
      </c>
      <c r="Q816" s="460" t="s">
        <v>1653</v>
      </c>
      <c r="R816" s="460" t="s">
        <v>1645</v>
      </c>
      <c r="S816" s="460" t="s">
        <v>1528</v>
      </c>
      <c r="T816" s="495" t="s">
        <v>1646</v>
      </c>
      <c r="U816" s="471"/>
      <c r="V816" s="471"/>
      <c r="W816" s="489"/>
      <c r="X816" s="471"/>
      <c r="Y816" s="206"/>
      <c r="Z816" s="206"/>
    </row>
    <row r="817" spans="1:26">
      <c r="A817" s="406">
        <v>814</v>
      </c>
      <c r="B817" s="613" t="s">
        <v>7020</v>
      </c>
      <c r="C817" s="483" t="s">
        <v>1654</v>
      </c>
      <c r="D817" s="414" t="s">
        <v>4884</v>
      </c>
      <c r="E817" s="407" t="s">
        <v>4884</v>
      </c>
      <c r="F817" s="483"/>
      <c r="G817" s="483"/>
      <c r="H817" s="483"/>
      <c r="I817" s="483"/>
      <c r="J817" s="483"/>
      <c r="K817" s="483"/>
      <c r="L817" s="608" t="s">
        <v>4884</v>
      </c>
      <c r="M817" s="409" t="s">
        <v>4884</v>
      </c>
      <c r="N817" s="409" t="s">
        <v>4884</v>
      </c>
      <c r="O817" s="410" t="s">
        <v>4884</v>
      </c>
      <c r="P817" s="406">
        <v>814</v>
      </c>
      <c r="Q817" s="460" t="s">
        <v>1654</v>
      </c>
      <c r="R817" s="460" t="s">
        <v>1645</v>
      </c>
      <c r="S817" s="460" t="s">
        <v>1528</v>
      </c>
      <c r="T817" s="495" t="s">
        <v>1646</v>
      </c>
      <c r="U817" s="471"/>
      <c r="V817" s="471"/>
      <c r="W817" s="489"/>
      <c r="X817" s="471"/>
      <c r="Y817" s="206"/>
      <c r="Z817" s="206"/>
    </row>
    <row r="818" spans="1:26">
      <c r="A818" s="406">
        <v>815</v>
      </c>
      <c r="B818" s="613" t="s">
        <v>7020</v>
      </c>
      <c r="C818" s="483" t="s">
        <v>1655</v>
      </c>
      <c r="D818" s="414" t="s">
        <v>4884</v>
      </c>
      <c r="E818" s="407" t="s">
        <v>4884</v>
      </c>
      <c r="F818" s="483"/>
      <c r="G818" s="483"/>
      <c r="H818" s="483"/>
      <c r="I818" s="483"/>
      <c r="J818" s="483"/>
      <c r="K818" s="483"/>
      <c r="L818" s="608" t="s">
        <v>4884</v>
      </c>
      <c r="M818" s="409" t="s">
        <v>4884</v>
      </c>
      <c r="N818" s="409" t="s">
        <v>4884</v>
      </c>
      <c r="O818" s="410" t="s">
        <v>4884</v>
      </c>
      <c r="P818" s="406">
        <v>815</v>
      </c>
      <c r="Q818" s="460" t="s">
        <v>1655</v>
      </c>
      <c r="R818" s="460" t="s">
        <v>1645</v>
      </c>
      <c r="S818" s="460" t="s">
        <v>1528</v>
      </c>
      <c r="T818" s="495" t="s">
        <v>1646</v>
      </c>
      <c r="U818" s="471"/>
      <c r="V818" s="471"/>
      <c r="W818" s="489"/>
      <c r="X818" s="471"/>
      <c r="Y818" s="206"/>
      <c r="Z818" s="206"/>
    </row>
    <row r="819" spans="1:26">
      <c r="A819" s="406">
        <v>816</v>
      </c>
      <c r="B819" s="613" t="s">
        <v>7020</v>
      </c>
      <c r="C819" s="483" t="s">
        <v>1656</v>
      </c>
      <c r="D819" s="414" t="s">
        <v>4884</v>
      </c>
      <c r="E819" s="407" t="s">
        <v>4884</v>
      </c>
      <c r="F819" s="483"/>
      <c r="G819" s="483"/>
      <c r="H819" s="483"/>
      <c r="I819" s="483"/>
      <c r="J819" s="483"/>
      <c r="K819" s="483"/>
      <c r="L819" s="608" t="s">
        <v>4884</v>
      </c>
      <c r="M819" s="409" t="s">
        <v>4884</v>
      </c>
      <c r="N819" s="409" t="s">
        <v>4884</v>
      </c>
      <c r="O819" s="410" t="s">
        <v>4884</v>
      </c>
      <c r="P819" s="406">
        <v>816</v>
      </c>
      <c r="Q819" s="460" t="s">
        <v>1656</v>
      </c>
      <c r="R819" s="460" t="s">
        <v>1645</v>
      </c>
      <c r="S819" s="460" t="s">
        <v>1528</v>
      </c>
      <c r="T819" s="495" t="s">
        <v>1646</v>
      </c>
      <c r="U819" s="471"/>
      <c r="V819" s="471"/>
      <c r="W819" s="489"/>
      <c r="X819" s="471"/>
      <c r="Y819" s="206"/>
      <c r="Z819" s="206"/>
    </row>
    <row r="820" spans="1:26">
      <c r="A820" s="406">
        <v>817</v>
      </c>
      <c r="B820" s="613" t="s">
        <v>7020</v>
      </c>
      <c r="C820" s="483" t="s">
        <v>1657</v>
      </c>
      <c r="D820" s="414" t="s">
        <v>4884</v>
      </c>
      <c r="E820" s="407" t="s">
        <v>4884</v>
      </c>
      <c r="F820" s="483"/>
      <c r="G820" s="483"/>
      <c r="H820" s="483"/>
      <c r="I820" s="483"/>
      <c r="J820" s="483"/>
      <c r="K820" s="483"/>
      <c r="L820" s="608" t="s">
        <v>4884</v>
      </c>
      <c r="M820" s="409" t="s">
        <v>4884</v>
      </c>
      <c r="N820" s="409" t="s">
        <v>4884</v>
      </c>
      <c r="O820" s="410" t="s">
        <v>4884</v>
      </c>
      <c r="P820" s="406">
        <v>817</v>
      </c>
      <c r="Q820" s="460" t="s">
        <v>1657</v>
      </c>
      <c r="R820" s="460" t="s">
        <v>1645</v>
      </c>
      <c r="S820" s="460" t="s">
        <v>1528</v>
      </c>
      <c r="T820" s="495" t="s">
        <v>1646</v>
      </c>
      <c r="U820" s="471"/>
      <c r="V820" s="471"/>
      <c r="W820" s="489"/>
      <c r="X820" s="471"/>
      <c r="Y820" s="206"/>
      <c r="Z820" s="206"/>
    </row>
    <row r="821" spans="1:26">
      <c r="A821" s="406">
        <v>818</v>
      </c>
      <c r="B821" s="613" t="s">
        <v>7020</v>
      </c>
      <c r="C821" s="483" t="s">
        <v>1658</v>
      </c>
      <c r="D821" s="414" t="s">
        <v>4884</v>
      </c>
      <c r="E821" s="407" t="s">
        <v>4884</v>
      </c>
      <c r="F821" s="483"/>
      <c r="G821" s="483"/>
      <c r="H821" s="483"/>
      <c r="I821" s="483"/>
      <c r="J821" s="483"/>
      <c r="K821" s="483"/>
      <c r="L821" s="608" t="s">
        <v>4884</v>
      </c>
      <c r="M821" s="409" t="s">
        <v>4884</v>
      </c>
      <c r="N821" s="409" t="s">
        <v>4884</v>
      </c>
      <c r="O821" s="410" t="s">
        <v>4884</v>
      </c>
      <c r="P821" s="406">
        <v>818</v>
      </c>
      <c r="Q821" s="460" t="s">
        <v>1658</v>
      </c>
      <c r="R821" s="460" t="s">
        <v>1645</v>
      </c>
      <c r="S821" s="460" t="s">
        <v>1528</v>
      </c>
      <c r="T821" s="495" t="s">
        <v>1646</v>
      </c>
      <c r="U821" s="471"/>
      <c r="V821" s="471"/>
      <c r="W821" s="489"/>
      <c r="X821" s="471"/>
      <c r="Y821" s="206"/>
      <c r="Z821" s="206"/>
    </row>
    <row r="822" spans="1:26">
      <c r="A822" s="406">
        <v>819</v>
      </c>
      <c r="B822" s="613" t="s">
        <v>7020</v>
      </c>
      <c r="C822" s="483" t="s">
        <v>1659</v>
      </c>
      <c r="D822" s="414" t="s">
        <v>4884</v>
      </c>
      <c r="E822" s="407" t="s">
        <v>4884</v>
      </c>
      <c r="F822" s="483"/>
      <c r="G822" s="483"/>
      <c r="H822" s="483"/>
      <c r="I822" s="483"/>
      <c r="J822" s="483"/>
      <c r="K822" s="483"/>
      <c r="L822" s="608" t="s">
        <v>4884</v>
      </c>
      <c r="M822" s="409" t="s">
        <v>4884</v>
      </c>
      <c r="N822" s="409" t="s">
        <v>4884</v>
      </c>
      <c r="O822" s="410" t="s">
        <v>4884</v>
      </c>
      <c r="P822" s="406">
        <v>819</v>
      </c>
      <c r="Q822" s="460" t="s">
        <v>1659</v>
      </c>
      <c r="R822" s="460" t="s">
        <v>1645</v>
      </c>
      <c r="S822" s="460" t="s">
        <v>1528</v>
      </c>
      <c r="T822" s="495" t="s">
        <v>1646</v>
      </c>
      <c r="U822" s="471"/>
      <c r="V822" s="471"/>
      <c r="W822" s="489"/>
      <c r="X822" s="471"/>
      <c r="Y822" s="206"/>
      <c r="Z822" s="206"/>
    </row>
    <row r="823" spans="1:26">
      <c r="A823" s="406">
        <v>820</v>
      </c>
      <c r="B823" s="613" t="s">
        <v>7020</v>
      </c>
      <c r="C823" s="483" t="s">
        <v>1660</v>
      </c>
      <c r="D823" s="414" t="s">
        <v>4884</v>
      </c>
      <c r="E823" s="407" t="s">
        <v>4884</v>
      </c>
      <c r="F823" s="483"/>
      <c r="G823" s="483"/>
      <c r="H823" s="483"/>
      <c r="I823" s="483"/>
      <c r="J823" s="483"/>
      <c r="K823" s="483"/>
      <c r="L823" s="608" t="s">
        <v>4884</v>
      </c>
      <c r="M823" s="409" t="s">
        <v>4884</v>
      </c>
      <c r="N823" s="409" t="s">
        <v>4884</v>
      </c>
      <c r="O823" s="410" t="s">
        <v>4884</v>
      </c>
      <c r="P823" s="406">
        <v>820</v>
      </c>
      <c r="Q823" s="460" t="s">
        <v>1660</v>
      </c>
      <c r="R823" s="460" t="s">
        <v>1645</v>
      </c>
      <c r="S823" s="460" t="s">
        <v>1528</v>
      </c>
      <c r="T823" s="495" t="s">
        <v>1646</v>
      </c>
      <c r="U823" s="471"/>
      <c r="V823" s="471"/>
      <c r="W823" s="489"/>
      <c r="X823" s="471"/>
      <c r="Y823" s="206"/>
      <c r="Z823" s="206"/>
    </row>
    <row r="824" spans="1:26">
      <c r="A824" s="406">
        <v>821</v>
      </c>
      <c r="B824" s="613" t="s">
        <v>7020</v>
      </c>
      <c r="C824" s="483" t="s">
        <v>1661</v>
      </c>
      <c r="D824" s="414" t="s">
        <v>4884</v>
      </c>
      <c r="E824" s="407" t="s">
        <v>4884</v>
      </c>
      <c r="F824" s="483"/>
      <c r="G824" s="483"/>
      <c r="H824" s="483"/>
      <c r="I824" s="483"/>
      <c r="J824" s="483"/>
      <c r="K824" s="483"/>
      <c r="L824" s="608" t="s">
        <v>4884</v>
      </c>
      <c r="M824" s="409" t="s">
        <v>4884</v>
      </c>
      <c r="N824" s="409" t="s">
        <v>4884</v>
      </c>
      <c r="O824" s="410" t="s">
        <v>4884</v>
      </c>
      <c r="P824" s="406">
        <v>821</v>
      </c>
      <c r="Q824" s="460" t="s">
        <v>1661</v>
      </c>
      <c r="R824" s="460" t="s">
        <v>1645</v>
      </c>
      <c r="S824" s="460" t="s">
        <v>1528</v>
      </c>
      <c r="T824" s="495" t="s">
        <v>1646</v>
      </c>
      <c r="U824" s="471"/>
      <c r="V824" s="471"/>
      <c r="W824" s="489"/>
      <c r="X824" s="471"/>
      <c r="Y824" s="206"/>
      <c r="Z824" s="206"/>
    </row>
    <row r="825" spans="1:26">
      <c r="A825" s="406">
        <v>822</v>
      </c>
      <c r="B825" s="613" t="s">
        <v>7020</v>
      </c>
      <c r="C825" s="483" t="s">
        <v>1662</v>
      </c>
      <c r="D825" s="414" t="s">
        <v>4884</v>
      </c>
      <c r="E825" s="407" t="s">
        <v>4884</v>
      </c>
      <c r="F825" s="483"/>
      <c r="G825" s="483"/>
      <c r="H825" s="483"/>
      <c r="I825" s="483"/>
      <c r="J825" s="483"/>
      <c r="K825" s="483"/>
      <c r="L825" s="608" t="s">
        <v>4884</v>
      </c>
      <c r="M825" s="409" t="s">
        <v>4884</v>
      </c>
      <c r="N825" s="409" t="s">
        <v>4884</v>
      </c>
      <c r="O825" s="410" t="s">
        <v>4884</v>
      </c>
      <c r="P825" s="406">
        <v>822</v>
      </c>
      <c r="Q825" s="460" t="s">
        <v>1662</v>
      </c>
      <c r="R825" s="460" t="s">
        <v>1645</v>
      </c>
      <c r="S825" s="460" t="s">
        <v>1528</v>
      </c>
      <c r="T825" s="495" t="s">
        <v>1646</v>
      </c>
      <c r="U825" s="471"/>
      <c r="V825" s="471"/>
      <c r="W825" s="489"/>
      <c r="X825" s="471"/>
      <c r="Y825" s="206"/>
      <c r="Z825" s="206"/>
    </row>
    <row r="826" spans="1:26">
      <c r="A826" s="406">
        <v>823</v>
      </c>
      <c r="B826" s="613" t="s">
        <v>7020</v>
      </c>
      <c r="C826" s="483" t="s">
        <v>1663</v>
      </c>
      <c r="D826" s="414" t="s">
        <v>4884</v>
      </c>
      <c r="E826" s="407" t="s">
        <v>4884</v>
      </c>
      <c r="F826" s="483"/>
      <c r="G826" s="483"/>
      <c r="H826" s="483"/>
      <c r="I826" s="483"/>
      <c r="J826" s="483"/>
      <c r="K826" s="483"/>
      <c r="L826" s="608" t="s">
        <v>4884</v>
      </c>
      <c r="M826" s="409" t="s">
        <v>4884</v>
      </c>
      <c r="N826" s="409" t="s">
        <v>4884</v>
      </c>
      <c r="O826" s="410" t="s">
        <v>4884</v>
      </c>
      <c r="P826" s="406">
        <v>823</v>
      </c>
      <c r="Q826" s="460" t="s">
        <v>1663</v>
      </c>
      <c r="R826" s="460" t="s">
        <v>1645</v>
      </c>
      <c r="S826" s="460" t="s">
        <v>1528</v>
      </c>
      <c r="T826" s="495" t="s">
        <v>1646</v>
      </c>
      <c r="U826" s="471"/>
      <c r="V826" s="471"/>
      <c r="W826" s="489"/>
      <c r="X826" s="471"/>
      <c r="Y826" s="206"/>
      <c r="Z826" s="206"/>
    </row>
    <row r="827" spans="1:26">
      <c r="A827" s="406">
        <v>824</v>
      </c>
      <c r="B827" s="613" t="s">
        <v>7020</v>
      </c>
      <c r="C827" s="483" t="s">
        <v>1664</v>
      </c>
      <c r="D827" s="414" t="s">
        <v>4884</v>
      </c>
      <c r="E827" s="407" t="s">
        <v>4884</v>
      </c>
      <c r="F827" s="483"/>
      <c r="G827" s="483"/>
      <c r="H827" s="483"/>
      <c r="I827" s="483"/>
      <c r="J827" s="483"/>
      <c r="K827" s="483"/>
      <c r="L827" s="608" t="s">
        <v>4884</v>
      </c>
      <c r="M827" s="409" t="s">
        <v>4884</v>
      </c>
      <c r="N827" s="409" t="s">
        <v>4884</v>
      </c>
      <c r="O827" s="410" t="s">
        <v>4884</v>
      </c>
      <c r="P827" s="406">
        <v>824</v>
      </c>
      <c r="Q827" s="460" t="s">
        <v>1664</v>
      </c>
      <c r="R827" s="460" t="s">
        <v>1645</v>
      </c>
      <c r="S827" s="460" t="s">
        <v>1528</v>
      </c>
      <c r="T827" s="495" t="s">
        <v>1646</v>
      </c>
      <c r="U827" s="471"/>
      <c r="V827" s="471"/>
      <c r="W827" s="489"/>
      <c r="X827" s="471"/>
      <c r="Y827" s="206"/>
      <c r="Z827" s="206"/>
    </row>
    <row r="828" spans="1:26">
      <c r="A828" s="406">
        <v>825</v>
      </c>
      <c r="B828" s="613" t="s">
        <v>7020</v>
      </c>
      <c r="C828" s="483" t="s">
        <v>1665</v>
      </c>
      <c r="D828" s="414" t="s">
        <v>4884</v>
      </c>
      <c r="E828" s="407" t="s">
        <v>4884</v>
      </c>
      <c r="F828" s="483"/>
      <c r="G828" s="483"/>
      <c r="H828" s="483"/>
      <c r="I828" s="483"/>
      <c r="J828" s="483"/>
      <c r="K828" s="483"/>
      <c r="L828" s="608" t="s">
        <v>4884</v>
      </c>
      <c r="M828" s="409" t="s">
        <v>4884</v>
      </c>
      <c r="N828" s="409" t="s">
        <v>4884</v>
      </c>
      <c r="O828" s="410" t="s">
        <v>4884</v>
      </c>
      <c r="P828" s="406">
        <v>825</v>
      </c>
      <c r="Q828" s="460" t="s">
        <v>1665</v>
      </c>
      <c r="R828" s="460" t="s">
        <v>1645</v>
      </c>
      <c r="S828" s="460" t="s">
        <v>1528</v>
      </c>
      <c r="T828" s="495" t="s">
        <v>1646</v>
      </c>
      <c r="U828" s="471"/>
      <c r="V828" s="471"/>
      <c r="W828" s="489"/>
      <c r="X828" s="471"/>
      <c r="Y828" s="206"/>
      <c r="Z828" s="206"/>
    </row>
    <row r="829" spans="1:26">
      <c r="A829" s="406">
        <v>826</v>
      </c>
      <c r="B829" s="613" t="s">
        <v>7020</v>
      </c>
      <c r="C829" s="483" t="s">
        <v>1666</v>
      </c>
      <c r="D829" s="414" t="s">
        <v>4884</v>
      </c>
      <c r="E829" s="407" t="s">
        <v>4884</v>
      </c>
      <c r="F829" s="483"/>
      <c r="G829" s="483"/>
      <c r="H829" s="483"/>
      <c r="I829" s="483"/>
      <c r="J829" s="483"/>
      <c r="K829" s="483"/>
      <c r="L829" s="608" t="s">
        <v>4884</v>
      </c>
      <c r="M829" s="409" t="s">
        <v>4884</v>
      </c>
      <c r="N829" s="409" t="s">
        <v>4884</v>
      </c>
      <c r="O829" s="410" t="s">
        <v>4884</v>
      </c>
      <c r="P829" s="406">
        <v>826</v>
      </c>
      <c r="Q829" s="460" t="s">
        <v>1666</v>
      </c>
      <c r="R829" s="460" t="s">
        <v>1645</v>
      </c>
      <c r="S829" s="460" t="s">
        <v>1528</v>
      </c>
      <c r="T829" s="495" t="s">
        <v>1646</v>
      </c>
      <c r="U829" s="471"/>
      <c r="V829" s="471"/>
      <c r="W829" s="489"/>
      <c r="X829" s="471"/>
      <c r="Y829" s="206"/>
      <c r="Z829" s="206"/>
    </row>
    <row r="830" spans="1:26">
      <c r="A830" s="406">
        <v>827</v>
      </c>
      <c r="B830" s="613" t="s">
        <v>7020</v>
      </c>
      <c r="C830" s="483" t="s">
        <v>1667</v>
      </c>
      <c r="D830" s="414" t="s">
        <v>4884</v>
      </c>
      <c r="E830" s="407" t="s">
        <v>4884</v>
      </c>
      <c r="F830" s="483"/>
      <c r="G830" s="483"/>
      <c r="H830" s="483"/>
      <c r="I830" s="483"/>
      <c r="J830" s="483"/>
      <c r="K830" s="483"/>
      <c r="L830" s="608" t="s">
        <v>4884</v>
      </c>
      <c r="M830" s="409" t="s">
        <v>4884</v>
      </c>
      <c r="N830" s="409" t="s">
        <v>4884</v>
      </c>
      <c r="O830" s="410" t="s">
        <v>4884</v>
      </c>
      <c r="P830" s="406">
        <v>827</v>
      </c>
      <c r="Q830" s="460" t="s">
        <v>1667</v>
      </c>
      <c r="R830" s="460" t="s">
        <v>1645</v>
      </c>
      <c r="S830" s="460" t="s">
        <v>1528</v>
      </c>
      <c r="T830" s="495" t="s">
        <v>1646</v>
      </c>
      <c r="U830" s="471"/>
      <c r="V830" s="471"/>
      <c r="W830" s="489"/>
      <c r="X830" s="471"/>
      <c r="Y830" s="206"/>
      <c r="Z830" s="206"/>
    </row>
    <row r="831" spans="1:26">
      <c r="A831" s="406">
        <v>828</v>
      </c>
      <c r="B831" s="613" t="s">
        <v>7020</v>
      </c>
      <c r="C831" s="483" t="s">
        <v>1668</v>
      </c>
      <c r="D831" s="414" t="s">
        <v>4884</v>
      </c>
      <c r="E831" s="407" t="s">
        <v>4884</v>
      </c>
      <c r="F831" s="483"/>
      <c r="G831" s="483"/>
      <c r="H831" s="483"/>
      <c r="I831" s="483"/>
      <c r="J831" s="483"/>
      <c r="K831" s="483"/>
      <c r="L831" s="608" t="s">
        <v>4884</v>
      </c>
      <c r="M831" s="409" t="s">
        <v>4884</v>
      </c>
      <c r="N831" s="409" t="s">
        <v>4884</v>
      </c>
      <c r="O831" s="410" t="s">
        <v>4884</v>
      </c>
      <c r="P831" s="406">
        <v>828</v>
      </c>
      <c r="Q831" s="460" t="s">
        <v>1668</v>
      </c>
      <c r="R831" s="460" t="s">
        <v>1645</v>
      </c>
      <c r="S831" s="460" t="s">
        <v>1528</v>
      </c>
      <c r="T831" s="495" t="s">
        <v>1646</v>
      </c>
      <c r="U831" s="471"/>
      <c r="V831" s="471"/>
      <c r="W831" s="489"/>
      <c r="X831" s="471"/>
      <c r="Y831" s="206"/>
      <c r="Z831" s="206"/>
    </row>
    <row r="832" spans="1:26">
      <c r="A832" s="406">
        <v>829</v>
      </c>
      <c r="B832" s="613" t="s">
        <v>7020</v>
      </c>
      <c r="C832" s="483" t="s">
        <v>1669</v>
      </c>
      <c r="D832" s="414" t="s">
        <v>4884</v>
      </c>
      <c r="E832" s="407" t="s">
        <v>4884</v>
      </c>
      <c r="F832" s="483"/>
      <c r="G832" s="483"/>
      <c r="H832" s="483"/>
      <c r="I832" s="483"/>
      <c r="J832" s="483"/>
      <c r="K832" s="483"/>
      <c r="L832" s="608" t="s">
        <v>4884</v>
      </c>
      <c r="M832" s="409" t="s">
        <v>4884</v>
      </c>
      <c r="N832" s="409" t="s">
        <v>4884</v>
      </c>
      <c r="O832" s="410" t="s">
        <v>4884</v>
      </c>
      <c r="P832" s="406">
        <v>829</v>
      </c>
      <c r="Q832" s="460" t="s">
        <v>1669</v>
      </c>
      <c r="R832" s="460" t="s">
        <v>1645</v>
      </c>
      <c r="S832" s="460" t="s">
        <v>1528</v>
      </c>
      <c r="T832" s="495" t="s">
        <v>1646</v>
      </c>
      <c r="U832" s="471"/>
      <c r="V832" s="471"/>
      <c r="W832" s="489"/>
      <c r="X832" s="471"/>
      <c r="Y832" s="206"/>
      <c r="Z832" s="206"/>
    </row>
    <row r="833" spans="1:26">
      <c r="A833" s="406">
        <v>830</v>
      </c>
      <c r="B833" s="613" t="s">
        <v>7020</v>
      </c>
      <c r="C833" s="483" t="s">
        <v>1670</v>
      </c>
      <c r="D833" s="414" t="s">
        <v>4884</v>
      </c>
      <c r="E833" s="407" t="s">
        <v>4884</v>
      </c>
      <c r="F833" s="483"/>
      <c r="G833" s="483"/>
      <c r="H833" s="483"/>
      <c r="I833" s="483"/>
      <c r="J833" s="483"/>
      <c r="K833" s="483"/>
      <c r="L833" s="608" t="s">
        <v>4884</v>
      </c>
      <c r="M833" s="409" t="s">
        <v>4884</v>
      </c>
      <c r="N833" s="409" t="s">
        <v>4884</v>
      </c>
      <c r="O833" s="410" t="s">
        <v>4884</v>
      </c>
      <c r="P833" s="406">
        <v>830</v>
      </c>
      <c r="Q833" s="460" t="s">
        <v>1670</v>
      </c>
      <c r="R833" s="460" t="s">
        <v>1645</v>
      </c>
      <c r="S833" s="460" t="s">
        <v>1528</v>
      </c>
      <c r="T833" s="495" t="s">
        <v>1646</v>
      </c>
      <c r="U833" s="471"/>
      <c r="V833" s="471"/>
      <c r="W833" s="489"/>
      <c r="X833" s="471"/>
      <c r="Y833" s="206"/>
      <c r="Z833" s="206"/>
    </row>
    <row r="834" spans="1:26">
      <c r="A834" s="406">
        <v>831</v>
      </c>
      <c r="B834" s="613" t="s">
        <v>7020</v>
      </c>
      <c r="C834" s="483" t="s">
        <v>1671</v>
      </c>
      <c r="D834" s="414" t="s">
        <v>4884</v>
      </c>
      <c r="E834" s="407" t="s">
        <v>4884</v>
      </c>
      <c r="F834" s="483"/>
      <c r="G834" s="483"/>
      <c r="H834" s="483"/>
      <c r="I834" s="483"/>
      <c r="J834" s="483"/>
      <c r="K834" s="483"/>
      <c r="L834" s="608" t="s">
        <v>4884</v>
      </c>
      <c r="M834" s="409" t="s">
        <v>4884</v>
      </c>
      <c r="N834" s="409" t="s">
        <v>4884</v>
      </c>
      <c r="O834" s="410" t="s">
        <v>4884</v>
      </c>
      <c r="P834" s="406">
        <v>831</v>
      </c>
      <c r="Q834" s="460" t="s">
        <v>1671</v>
      </c>
      <c r="R834" s="460" t="s">
        <v>1645</v>
      </c>
      <c r="S834" s="460" t="s">
        <v>1528</v>
      </c>
      <c r="T834" s="495" t="s">
        <v>1646</v>
      </c>
      <c r="U834" s="471"/>
      <c r="V834" s="471"/>
      <c r="W834" s="489"/>
      <c r="X834" s="471"/>
      <c r="Y834" s="206"/>
      <c r="Z834" s="206"/>
    </row>
    <row r="835" spans="1:26">
      <c r="A835" s="406">
        <v>832</v>
      </c>
      <c r="B835" s="613" t="s">
        <v>7020</v>
      </c>
      <c r="C835" s="483" t="s">
        <v>1672</v>
      </c>
      <c r="D835" s="414" t="s">
        <v>4884</v>
      </c>
      <c r="E835" s="407" t="s">
        <v>4884</v>
      </c>
      <c r="F835" s="483"/>
      <c r="G835" s="483"/>
      <c r="H835" s="483"/>
      <c r="I835" s="483"/>
      <c r="J835" s="483"/>
      <c r="K835" s="483"/>
      <c r="L835" s="608" t="s">
        <v>4884</v>
      </c>
      <c r="M835" s="409" t="s">
        <v>4884</v>
      </c>
      <c r="N835" s="409" t="s">
        <v>4884</v>
      </c>
      <c r="O835" s="410" t="s">
        <v>4884</v>
      </c>
      <c r="P835" s="406">
        <v>832</v>
      </c>
      <c r="Q835" s="460" t="s">
        <v>1672</v>
      </c>
      <c r="R835" s="460" t="s">
        <v>1645</v>
      </c>
      <c r="S835" s="460" t="s">
        <v>1528</v>
      </c>
      <c r="T835" s="495" t="s">
        <v>1646</v>
      </c>
      <c r="U835" s="471"/>
      <c r="V835" s="471"/>
      <c r="W835" s="489"/>
      <c r="X835" s="471"/>
      <c r="Y835" s="206"/>
      <c r="Z835" s="206"/>
    </row>
    <row r="836" spans="1:26">
      <c r="A836" s="406">
        <v>833</v>
      </c>
      <c r="B836" s="613" t="s">
        <v>7020</v>
      </c>
      <c r="C836" s="483" t="s">
        <v>1673</v>
      </c>
      <c r="D836" s="414" t="s">
        <v>4884</v>
      </c>
      <c r="E836" s="407" t="s">
        <v>4884</v>
      </c>
      <c r="F836" s="483"/>
      <c r="G836" s="483"/>
      <c r="H836" s="483"/>
      <c r="I836" s="483"/>
      <c r="J836" s="483"/>
      <c r="K836" s="483"/>
      <c r="L836" s="608" t="s">
        <v>4884</v>
      </c>
      <c r="M836" s="409" t="s">
        <v>4884</v>
      </c>
      <c r="N836" s="409" t="s">
        <v>4884</v>
      </c>
      <c r="O836" s="410" t="s">
        <v>4884</v>
      </c>
      <c r="P836" s="406">
        <v>833</v>
      </c>
      <c r="Q836" s="460" t="s">
        <v>1673</v>
      </c>
      <c r="R836" s="460" t="s">
        <v>1645</v>
      </c>
      <c r="S836" s="460" t="s">
        <v>1528</v>
      </c>
      <c r="T836" s="495" t="s">
        <v>1646</v>
      </c>
      <c r="U836" s="471"/>
      <c r="V836" s="471"/>
      <c r="W836" s="471"/>
      <c r="X836" s="471"/>
      <c r="Y836" s="206"/>
      <c r="Z836" s="206"/>
    </row>
    <row r="837" spans="1:26">
      <c r="A837" s="406">
        <v>834</v>
      </c>
      <c r="B837" s="613" t="s">
        <v>7020</v>
      </c>
      <c r="C837" s="483" t="s">
        <v>1674</v>
      </c>
      <c r="D837" s="414" t="s">
        <v>4884</v>
      </c>
      <c r="E837" s="407" t="s">
        <v>4884</v>
      </c>
      <c r="F837" s="483"/>
      <c r="G837" s="483"/>
      <c r="H837" s="483"/>
      <c r="I837" s="483"/>
      <c r="J837" s="483"/>
      <c r="K837" s="483"/>
      <c r="L837" s="608" t="s">
        <v>4884</v>
      </c>
      <c r="M837" s="409" t="s">
        <v>4884</v>
      </c>
      <c r="N837" s="409" t="s">
        <v>4884</v>
      </c>
      <c r="O837" s="410" t="s">
        <v>4884</v>
      </c>
      <c r="P837" s="406">
        <v>834</v>
      </c>
      <c r="Q837" s="460" t="s">
        <v>1674</v>
      </c>
      <c r="R837" s="460" t="s">
        <v>1645</v>
      </c>
      <c r="S837" s="460" t="s">
        <v>1528</v>
      </c>
      <c r="T837" s="495" t="s">
        <v>1646</v>
      </c>
      <c r="U837" s="471"/>
      <c r="V837" s="471"/>
      <c r="W837" s="496"/>
      <c r="X837" s="471"/>
      <c r="Y837" s="206"/>
      <c r="Z837" s="206"/>
    </row>
    <row r="838" spans="1:26">
      <c r="A838" s="406">
        <v>835</v>
      </c>
      <c r="B838" s="613" t="s">
        <v>7020</v>
      </c>
      <c r="C838" s="483" t="s">
        <v>1675</v>
      </c>
      <c r="D838" s="414" t="s">
        <v>4884</v>
      </c>
      <c r="E838" s="407" t="s">
        <v>4884</v>
      </c>
      <c r="F838" s="483"/>
      <c r="G838" s="483"/>
      <c r="H838" s="483"/>
      <c r="I838" s="483"/>
      <c r="J838" s="483"/>
      <c r="K838" s="483"/>
      <c r="L838" s="608" t="s">
        <v>4884</v>
      </c>
      <c r="M838" s="409" t="s">
        <v>4884</v>
      </c>
      <c r="N838" s="409" t="s">
        <v>4884</v>
      </c>
      <c r="O838" s="410" t="s">
        <v>4884</v>
      </c>
      <c r="P838" s="406">
        <v>835</v>
      </c>
      <c r="Q838" s="460" t="s">
        <v>1675</v>
      </c>
      <c r="R838" s="460" t="s">
        <v>1645</v>
      </c>
      <c r="S838" s="460" t="s">
        <v>1528</v>
      </c>
      <c r="T838" s="495" t="s">
        <v>1646</v>
      </c>
      <c r="U838" s="471"/>
      <c r="V838" s="471"/>
      <c r="W838" s="496"/>
      <c r="X838" s="471"/>
      <c r="Y838" s="206"/>
      <c r="Z838" s="206"/>
    </row>
    <row r="839" spans="1:26">
      <c r="A839" s="406">
        <v>836</v>
      </c>
      <c r="B839" s="613" t="s">
        <v>7020</v>
      </c>
      <c r="C839" s="483" t="s">
        <v>1676</v>
      </c>
      <c r="D839" s="414" t="s">
        <v>4884</v>
      </c>
      <c r="E839" s="407" t="s">
        <v>4884</v>
      </c>
      <c r="F839" s="483"/>
      <c r="G839" s="483"/>
      <c r="H839" s="483"/>
      <c r="I839" s="483"/>
      <c r="J839" s="483"/>
      <c r="K839" s="483"/>
      <c r="L839" s="608" t="s">
        <v>4884</v>
      </c>
      <c r="M839" s="409" t="s">
        <v>4884</v>
      </c>
      <c r="N839" s="409" t="s">
        <v>4884</v>
      </c>
      <c r="O839" s="410" t="s">
        <v>4884</v>
      </c>
      <c r="P839" s="406">
        <v>836</v>
      </c>
      <c r="Q839" s="460" t="s">
        <v>1676</v>
      </c>
      <c r="R839" s="460" t="s">
        <v>1645</v>
      </c>
      <c r="S839" s="460" t="s">
        <v>1528</v>
      </c>
      <c r="T839" s="495" t="s">
        <v>1646</v>
      </c>
      <c r="U839" s="471"/>
      <c r="V839" s="471"/>
      <c r="W839" s="496"/>
      <c r="X839" s="471"/>
      <c r="Y839" s="206"/>
      <c r="Z839" s="206"/>
    </row>
    <row r="840" spans="1:26">
      <c r="A840" s="406">
        <v>837</v>
      </c>
      <c r="B840" s="613" t="s">
        <v>7020</v>
      </c>
      <c r="C840" s="483" t="s">
        <v>1677</v>
      </c>
      <c r="D840" s="414" t="s">
        <v>4884</v>
      </c>
      <c r="E840" s="407" t="s">
        <v>4884</v>
      </c>
      <c r="F840" s="483"/>
      <c r="G840" s="483"/>
      <c r="H840" s="483"/>
      <c r="I840" s="483"/>
      <c r="J840" s="483"/>
      <c r="K840" s="483"/>
      <c r="L840" s="608" t="s">
        <v>4884</v>
      </c>
      <c r="M840" s="409" t="s">
        <v>4884</v>
      </c>
      <c r="N840" s="409" t="s">
        <v>4884</v>
      </c>
      <c r="O840" s="410" t="s">
        <v>4884</v>
      </c>
      <c r="P840" s="406">
        <v>837</v>
      </c>
      <c r="Q840" s="460" t="s">
        <v>1677</v>
      </c>
      <c r="R840" s="460" t="s">
        <v>1645</v>
      </c>
      <c r="S840" s="460" t="s">
        <v>1528</v>
      </c>
      <c r="T840" s="495" t="s">
        <v>1646</v>
      </c>
      <c r="U840" s="471"/>
      <c r="V840" s="471"/>
      <c r="W840" s="496"/>
      <c r="X840" s="471"/>
      <c r="Y840" s="206"/>
      <c r="Z840" s="206"/>
    </row>
    <row r="841" spans="1:26">
      <c r="A841" s="406">
        <v>838</v>
      </c>
      <c r="B841" s="613" t="s">
        <v>7020</v>
      </c>
      <c r="C841" s="483" t="s">
        <v>1678</v>
      </c>
      <c r="D841" s="414" t="s">
        <v>4884</v>
      </c>
      <c r="E841" s="407" t="s">
        <v>4884</v>
      </c>
      <c r="F841" s="483"/>
      <c r="G841" s="483"/>
      <c r="H841" s="483"/>
      <c r="I841" s="483"/>
      <c r="J841" s="483"/>
      <c r="K841" s="483"/>
      <c r="L841" s="608" t="s">
        <v>4884</v>
      </c>
      <c r="M841" s="409" t="s">
        <v>4884</v>
      </c>
      <c r="N841" s="409" t="s">
        <v>4884</v>
      </c>
      <c r="O841" s="410" t="s">
        <v>4884</v>
      </c>
      <c r="P841" s="406">
        <v>838</v>
      </c>
      <c r="Q841" s="460" t="s">
        <v>1678</v>
      </c>
      <c r="R841" s="460" t="s">
        <v>1645</v>
      </c>
      <c r="S841" s="460" t="s">
        <v>1528</v>
      </c>
      <c r="T841" s="495" t="s">
        <v>1646</v>
      </c>
      <c r="U841" s="471"/>
      <c r="V841" s="471"/>
      <c r="W841" s="496"/>
      <c r="X841" s="471"/>
      <c r="Y841" s="206"/>
      <c r="Z841" s="206"/>
    </row>
    <row r="842" spans="1:26">
      <c r="A842" s="406">
        <v>839</v>
      </c>
      <c r="B842" s="613" t="s">
        <v>7020</v>
      </c>
      <c r="C842" s="483" t="s">
        <v>1679</v>
      </c>
      <c r="D842" s="414" t="s">
        <v>4884</v>
      </c>
      <c r="E842" s="407" t="s">
        <v>4884</v>
      </c>
      <c r="F842" s="483"/>
      <c r="G842" s="483"/>
      <c r="H842" s="483"/>
      <c r="I842" s="483"/>
      <c r="J842" s="483"/>
      <c r="K842" s="483"/>
      <c r="L842" s="608" t="s">
        <v>4884</v>
      </c>
      <c r="M842" s="409" t="s">
        <v>4884</v>
      </c>
      <c r="N842" s="409" t="s">
        <v>4884</v>
      </c>
      <c r="O842" s="410" t="s">
        <v>4884</v>
      </c>
      <c r="P842" s="406">
        <v>839</v>
      </c>
      <c r="Q842" s="460" t="s">
        <v>1679</v>
      </c>
      <c r="R842" s="460" t="s">
        <v>1645</v>
      </c>
      <c r="S842" s="460" t="s">
        <v>1528</v>
      </c>
      <c r="T842" s="495" t="s">
        <v>1646</v>
      </c>
      <c r="U842" s="471"/>
      <c r="V842" s="471"/>
      <c r="W842" s="496"/>
      <c r="X842" s="471"/>
      <c r="Y842" s="206"/>
      <c r="Z842" s="206"/>
    </row>
    <row r="843" spans="1:26">
      <c r="A843" s="406">
        <v>840</v>
      </c>
      <c r="B843" s="613" t="s">
        <v>7020</v>
      </c>
      <c r="C843" s="483" t="s">
        <v>1680</v>
      </c>
      <c r="D843" s="414" t="s">
        <v>4884</v>
      </c>
      <c r="E843" s="407" t="s">
        <v>4884</v>
      </c>
      <c r="F843" s="483"/>
      <c r="G843" s="483"/>
      <c r="H843" s="483"/>
      <c r="I843" s="483"/>
      <c r="J843" s="483"/>
      <c r="K843" s="483"/>
      <c r="L843" s="608" t="s">
        <v>4884</v>
      </c>
      <c r="M843" s="409" t="s">
        <v>4884</v>
      </c>
      <c r="N843" s="409" t="s">
        <v>4884</v>
      </c>
      <c r="O843" s="410" t="s">
        <v>4884</v>
      </c>
      <c r="P843" s="406">
        <v>840</v>
      </c>
      <c r="Q843" s="460" t="s">
        <v>1680</v>
      </c>
      <c r="R843" s="460" t="s">
        <v>1645</v>
      </c>
      <c r="S843" s="460" t="s">
        <v>1528</v>
      </c>
      <c r="T843" s="495" t="s">
        <v>1646</v>
      </c>
      <c r="U843" s="471"/>
      <c r="V843" s="471"/>
      <c r="W843" s="496"/>
      <c r="X843" s="471"/>
      <c r="Y843" s="206"/>
      <c r="Z843" s="206"/>
    </row>
    <row r="844" spans="1:26">
      <c r="A844" s="406">
        <v>841</v>
      </c>
      <c r="B844" s="613" t="s">
        <v>7020</v>
      </c>
      <c r="C844" s="483" t="s">
        <v>1681</v>
      </c>
      <c r="D844" s="414" t="s">
        <v>4884</v>
      </c>
      <c r="E844" s="407" t="s">
        <v>4884</v>
      </c>
      <c r="F844" s="483"/>
      <c r="G844" s="483"/>
      <c r="H844" s="483"/>
      <c r="I844" s="483"/>
      <c r="J844" s="483"/>
      <c r="K844" s="483"/>
      <c r="L844" s="608" t="s">
        <v>4884</v>
      </c>
      <c r="M844" s="409" t="s">
        <v>4884</v>
      </c>
      <c r="N844" s="409" t="s">
        <v>4884</v>
      </c>
      <c r="O844" s="410" t="s">
        <v>4884</v>
      </c>
      <c r="P844" s="406">
        <v>841</v>
      </c>
      <c r="Q844" s="460" t="s">
        <v>1681</v>
      </c>
      <c r="R844" s="460" t="s">
        <v>1645</v>
      </c>
      <c r="S844" s="460" t="s">
        <v>1528</v>
      </c>
      <c r="T844" s="495" t="s">
        <v>1646</v>
      </c>
      <c r="U844" s="471"/>
      <c r="V844" s="471"/>
      <c r="W844" s="496"/>
      <c r="X844" s="471"/>
      <c r="Y844" s="206"/>
      <c r="Z844" s="206"/>
    </row>
    <row r="845" spans="1:26">
      <c r="A845" s="406">
        <v>842</v>
      </c>
      <c r="B845" s="613" t="s">
        <v>7020</v>
      </c>
      <c r="C845" s="483" t="s">
        <v>1682</v>
      </c>
      <c r="D845" s="414" t="s">
        <v>4884</v>
      </c>
      <c r="E845" s="407" t="s">
        <v>4884</v>
      </c>
      <c r="F845" s="483"/>
      <c r="G845" s="483"/>
      <c r="H845" s="483"/>
      <c r="I845" s="483"/>
      <c r="J845" s="483"/>
      <c r="K845" s="483"/>
      <c r="L845" s="608" t="s">
        <v>4884</v>
      </c>
      <c r="M845" s="409" t="s">
        <v>4884</v>
      </c>
      <c r="N845" s="409" t="s">
        <v>4884</v>
      </c>
      <c r="O845" s="410" t="s">
        <v>4884</v>
      </c>
      <c r="P845" s="406">
        <v>842</v>
      </c>
      <c r="Q845" s="460" t="s">
        <v>1682</v>
      </c>
      <c r="R845" s="460" t="s">
        <v>1645</v>
      </c>
      <c r="S845" s="460" t="s">
        <v>1528</v>
      </c>
      <c r="T845" s="495" t="s">
        <v>1646</v>
      </c>
      <c r="U845" s="471"/>
      <c r="V845" s="471"/>
      <c r="W845" s="496"/>
      <c r="X845" s="471"/>
      <c r="Y845" s="206"/>
      <c r="Z845" s="206"/>
    </row>
    <row r="846" spans="1:26">
      <c r="A846" s="406">
        <v>843</v>
      </c>
      <c r="B846" s="613" t="s">
        <v>7020</v>
      </c>
      <c r="C846" s="483" t="s">
        <v>1683</v>
      </c>
      <c r="D846" s="414" t="s">
        <v>4884</v>
      </c>
      <c r="E846" s="407" t="s">
        <v>4884</v>
      </c>
      <c r="F846" s="483"/>
      <c r="G846" s="483"/>
      <c r="H846" s="483"/>
      <c r="I846" s="483"/>
      <c r="J846" s="483"/>
      <c r="K846" s="483"/>
      <c r="L846" s="608" t="s">
        <v>4884</v>
      </c>
      <c r="M846" s="409" t="s">
        <v>4884</v>
      </c>
      <c r="N846" s="409" t="s">
        <v>4884</v>
      </c>
      <c r="O846" s="410" t="s">
        <v>4884</v>
      </c>
      <c r="P846" s="406">
        <v>843</v>
      </c>
      <c r="Q846" s="460" t="s">
        <v>1683</v>
      </c>
      <c r="R846" s="460" t="s">
        <v>1645</v>
      </c>
      <c r="S846" s="460" t="s">
        <v>1528</v>
      </c>
      <c r="T846" s="495" t="s">
        <v>1646</v>
      </c>
      <c r="U846" s="471"/>
      <c r="V846" s="471"/>
      <c r="W846" s="496"/>
      <c r="X846" s="471"/>
      <c r="Y846" s="206"/>
      <c r="Z846" s="206"/>
    </row>
    <row r="847" spans="1:26">
      <c r="A847" s="406">
        <v>844</v>
      </c>
      <c r="B847" s="613" t="s">
        <v>7020</v>
      </c>
      <c r="C847" s="483" t="s">
        <v>1684</v>
      </c>
      <c r="D847" s="414" t="s">
        <v>4884</v>
      </c>
      <c r="E847" s="407" t="s">
        <v>4884</v>
      </c>
      <c r="F847" s="483"/>
      <c r="G847" s="483"/>
      <c r="H847" s="483"/>
      <c r="I847" s="483"/>
      <c r="J847" s="483"/>
      <c r="K847" s="483"/>
      <c r="L847" s="608" t="s">
        <v>4884</v>
      </c>
      <c r="M847" s="409" t="s">
        <v>4884</v>
      </c>
      <c r="N847" s="409" t="s">
        <v>4884</v>
      </c>
      <c r="O847" s="410" t="s">
        <v>4884</v>
      </c>
      <c r="P847" s="406">
        <v>844</v>
      </c>
      <c r="Q847" s="460" t="s">
        <v>1684</v>
      </c>
      <c r="R847" s="460" t="s">
        <v>1645</v>
      </c>
      <c r="S847" s="460" t="s">
        <v>1528</v>
      </c>
      <c r="T847" s="495" t="s">
        <v>1646</v>
      </c>
      <c r="U847" s="471"/>
      <c r="V847" s="471"/>
      <c r="W847" s="496"/>
      <c r="X847" s="471"/>
      <c r="Y847" s="206"/>
      <c r="Z847" s="206"/>
    </row>
    <row r="848" spans="1:26">
      <c r="A848" s="406">
        <v>845</v>
      </c>
      <c r="B848" s="613" t="s">
        <v>7020</v>
      </c>
      <c r="C848" s="483" t="s">
        <v>1685</v>
      </c>
      <c r="D848" s="414" t="s">
        <v>4884</v>
      </c>
      <c r="E848" s="407" t="s">
        <v>4884</v>
      </c>
      <c r="F848" s="483"/>
      <c r="G848" s="483"/>
      <c r="H848" s="483"/>
      <c r="I848" s="483"/>
      <c r="J848" s="483"/>
      <c r="K848" s="483"/>
      <c r="L848" s="608" t="s">
        <v>4884</v>
      </c>
      <c r="M848" s="409" t="s">
        <v>4884</v>
      </c>
      <c r="N848" s="409" t="s">
        <v>4884</v>
      </c>
      <c r="O848" s="410" t="s">
        <v>4884</v>
      </c>
      <c r="P848" s="406">
        <v>845</v>
      </c>
      <c r="Q848" s="460" t="s">
        <v>1685</v>
      </c>
      <c r="R848" s="460" t="s">
        <v>1645</v>
      </c>
      <c r="S848" s="460" t="s">
        <v>1528</v>
      </c>
      <c r="T848" s="495" t="s">
        <v>1646</v>
      </c>
      <c r="U848" s="471"/>
      <c r="V848" s="471"/>
      <c r="W848" s="496"/>
      <c r="X848" s="471"/>
      <c r="Y848" s="206"/>
      <c r="Z848" s="206"/>
    </row>
    <row r="849" spans="1:26">
      <c r="A849" s="406">
        <v>846</v>
      </c>
      <c r="B849" s="613" t="s">
        <v>7020</v>
      </c>
      <c r="C849" s="483" t="s">
        <v>1686</v>
      </c>
      <c r="D849" s="414" t="s">
        <v>4884</v>
      </c>
      <c r="E849" s="407" t="s">
        <v>4884</v>
      </c>
      <c r="F849" s="483"/>
      <c r="G849" s="483"/>
      <c r="H849" s="483"/>
      <c r="I849" s="483"/>
      <c r="J849" s="483"/>
      <c r="K849" s="483"/>
      <c r="L849" s="608" t="s">
        <v>4884</v>
      </c>
      <c r="M849" s="409" t="s">
        <v>4884</v>
      </c>
      <c r="N849" s="409" t="s">
        <v>4884</v>
      </c>
      <c r="O849" s="410" t="s">
        <v>4884</v>
      </c>
      <c r="P849" s="406">
        <v>846</v>
      </c>
      <c r="Q849" s="460" t="s">
        <v>1686</v>
      </c>
      <c r="R849" s="460" t="s">
        <v>1645</v>
      </c>
      <c r="S849" s="460" t="s">
        <v>1528</v>
      </c>
      <c r="T849" s="495" t="s">
        <v>1646</v>
      </c>
      <c r="U849" s="471"/>
      <c r="V849" s="471"/>
      <c r="W849" s="497"/>
      <c r="X849" s="471"/>
      <c r="Y849" s="206"/>
      <c r="Z849" s="206"/>
    </row>
    <row r="850" spans="1:26">
      <c r="A850" s="406">
        <v>847</v>
      </c>
      <c r="B850" s="613" t="s">
        <v>7020</v>
      </c>
      <c r="C850" s="483" t="s">
        <v>1687</v>
      </c>
      <c r="D850" s="414" t="s">
        <v>4884</v>
      </c>
      <c r="E850" s="407" t="s">
        <v>4884</v>
      </c>
      <c r="F850" s="483"/>
      <c r="G850" s="483"/>
      <c r="H850" s="483"/>
      <c r="I850" s="483"/>
      <c r="J850" s="483"/>
      <c r="K850" s="483"/>
      <c r="L850" s="608" t="s">
        <v>4884</v>
      </c>
      <c r="M850" s="409" t="s">
        <v>4884</v>
      </c>
      <c r="N850" s="409" t="s">
        <v>4884</v>
      </c>
      <c r="O850" s="410" t="s">
        <v>4884</v>
      </c>
      <c r="P850" s="406">
        <v>847</v>
      </c>
      <c r="Q850" s="460" t="s">
        <v>1687</v>
      </c>
      <c r="R850" s="460" t="s">
        <v>1645</v>
      </c>
      <c r="S850" s="460" t="s">
        <v>1528</v>
      </c>
      <c r="T850" s="495" t="s">
        <v>1646</v>
      </c>
      <c r="U850" s="471"/>
      <c r="V850" s="471"/>
      <c r="W850" s="497"/>
      <c r="X850" s="471"/>
      <c r="Y850" s="206"/>
      <c r="Z850" s="206"/>
    </row>
    <row r="851" spans="1:26">
      <c r="A851" s="406">
        <v>848</v>
      </c>
      <c r="B851" s="613" t="s">
        <v>7020</v>
      </c>
      <c r="C851" s="483" t="s">
        <v>1688</v>
      </c>
      <c r="D851" s="414" t="s">
        <v>4884</v>
      </c>
      <c r="E851" s="407" t="s">
        <v>4884</v>
      </c>
      <c r="F851" s="483"/>
      <c r="G851" s="483"/>
      <c r="H851" s="483"/>
      <c r="I851" s="483"/>
      <c r="J851" s="483"/>
      <c r="K851" s="483"/>
      <c r="L851" s="608" t="s">
        <v>4884</v>
      </c>
      <c r="M851" s="409" t="s">
        <v>4884</v>
      </c>
      <c r="N851" s="409" t="s">
        <v>4884</v>
      </c>
      <c r="O851" s="410" t="s">
        <v>4884</v>
      </c>
      <c r="P851" s="406">
        <v>848</v>
      </c>
      <c r="Q851" s="460" t="s">
        <v>1688</v>
      </c>
      <c r="R851" s="460" t="s">
        <v>1645</v>
      </c>
      <c r="S851" s="460" t="s">
        <v>1528</v>
      </c>
      <c r="T851" s="495" t="s">
        <v>1646</v>
      </c>
      <c r="U851" s="471"/>
      <c r="V851" s="471"/>
      <c r="W851" s="497"/>
      <c r="X851" s="471"/>
      <c r="Y851" s="206"/>
      <c r="Z851" s="206"/>
    </row>
    <row r="852" spans="1:26">
      <c r="A852" s="406">
        <v>849</v>
      </c>
      <c r="B852" s="613" t="s">
        <v>7020</v>
      </c>
      <c r="C852" s="483" t="s">
        <v>1689</v>
      </c>
      <c r="D852" s="414" t="s">
        <v>4884</v>
      </c>
      <c r="E852" s="407" t="s">
        <v>4884</v>
      </c>
      <c r="F852" s="483"/>
      <c r="G852" s="483"/>
      <c r="H852" s="483"/>
      <c r="I852" s="483"/>
      <c r="J852" s="483"/>
      <c r="K852" s="483"/>
      <c r="L852" s="608" t="s">
        <v>4884</v>
      </c>
      <c r="M852" s="409" t="s">
        <v>4884</v>
      </c>
      <c r="N852" s="409" t="s">
        <v>4884</v>
      </c>
      <c r="O852" s="410" t="s">
        <v>4884</v>
      </c>
      <c r="P852" s="406">
        <v>849</v>
      </c>
      <c r="Q852" s="460" t="s">
        <v>1689</v>
      </c>
      <c r="R852" s="460" t="s">
        <v>1645</v>
      </c>
      <c r="S852" s="460" t="s">
        <v>1528</v>
      </c>
      <c r="T852" s="495" t="s">
        <v>1646</v>
      </c>
      <c r="U852" s="471"/>
      <c r="V852" s="471"/>
      <c r="W852" s="497"/>
      <c r="X852" s="471"/>
      <c r="Y852" s="206"/>
      <c r="Z852" s="206"/>
    </row>
    <row r="853" spans="1:26">
      <c r="A853" s="406">
        <v>850</v>
      </c>
      <c r="B853" s="613" t="s">
        <v>7020</v>
      </c>
      <c r="C853" s="483" t="s">
        <v>1690</v>
      </c>
      <c r="D853" s="414" t="s">
        <v>4884</v>
      </c>
      <c r="E853" s="407" t="s">
        <v>4884</v>
      </c>
      <c r="F853" s="483"/>
      <c r="G853" s="483"/>
      <c r="H853" s="483"/>
      <c r="I853" s="483"/>
      <c r="J853" s="483"/>
      <c r="K853" s="483"/>
      <c r="L853" s="608" t="s">
        <v>4884</v>
      </c>
      <c r="M853" s="409" t="s">
        <v>4884</v>
      </c>
      <c r="N853" s="409" t="s">
        <v>4884</v>
      </c>
      <c r="O853" s="410" t="s">
        <v>4884</v>
      </c>
      <c r="P853" s="406">
        <v>850</v>
      </c>
      <c r="Q853" s="460" t="s">
        <v>1690</v>
      </c>
      <c r="R853" s="460" t="s">
        <v>1645</v>
      </c>
      <c r="S853" s="460" t="s">
        <v>1528</v>
      </c>
      <c r="T853" s="495" t="s">
        <v>1646</v>
      </c>
      <c r="U853" s="471"/>
      <c r="V853" s="471"/>
      <c r="W853" s="497"/>
      <c r="X853" s="471"/>
      <c r="Y853" s="206"/>
      <c r="Z853" s="206"/>
    </row>
    <row r="854" spans="1:26">
      <c r="A854" s="406">
        <v>851</v>
      </c>
      <c r="B854" s="613" t="s">
        <v>7020</v>
      </c>
      <c r="C854" s="483" t="s">
        <v>1691</v>
      </c>
      <c r="D854" s="414" t="s">
        <v>4884</v>
      </c>
      <c r="E854" s="407" t="s">
        <v>4884</v>
      </c>
      <c r="F854" s="483"/>
      <c r="G854" s="483"/>
      <c r="H854" s="483"/>
      <c r="I854" s="483"/>
      <c r="J854" s="483"/>
      <c r="K854" s="483"/>
      <c r="L854" s="608" t="s">
        <v>4884</v>
      </c>
      <c r="M854" s="409" t="s">
        <v>4884</v>
      </c>
      <c r="N854" s="409" t="s">
        <v>4884</v>
      </c>
      <c r="O854" s="410" t="s">
        <v>4884</v>
      </c>
      <c r="P854" s="406">
        <v>851</v>
      </c>
      <c r="Q854" s="460" t="s">
        <v>1691</v>
      </c>
      <c r="R854" s="460" t="s">
        <v>1645</v>
      </c>
      <c r="S854" s="460" t="s">
        <v>1528</v>
      </c>
      <c r="T854" s="495" t="s">
        <v>1646</v>
      </c>
      <c r="U854" s="471"/>
      <c r="V854" s="471"/>
      <c r="W854" s="497"/>
      <c r="X854" s="471"/>
      <c r="Y854" s="206"/>
      <c r="Z854" s="206"/>
    </row>
    <row r="855" spans="1:26">
      <c r="A855" s="406">
        <v>852</v>
      </c>
      <c r="B855" s="613" t="s">
        <v>7020</v>
      </c>
      <c r="C855" s="483" t="s">
        <v>1692</v>
      </c>
      <c r="D855" s="414" t="s">
        <v>4884</v>
      </c>
      <c r="E855" s="407" t="s">
        <v>4884</v>
      </c>
      <c r="F855" s="483"/>
      <c r="G855" s="483"/>
      <c r="H855" s="483"/>
      <c r="I855" s="483"/>
      <c r="J855" s="483"/>
      <c r="K855" s="483"/>
      <c r="L855" s="608" t="s">
        <v>4884</v>
      </c>
      <c r="M855" s="409" t="s">
        <v>4884</v>
      </c>
      <c r="N855" s="409" t="s">
        <v>4884</v>
      </c>
      <c r="O855" s="410" t="s">
        <v>4884</v>
      </c>
      <c r="P855" s="406">
        <v>852</v>
      </c>
      <c r="Q855" s="460" t="s">
        <v>1692</v>
      </c>
      <c r="R855" s="460" t="s">
        <v>1645</v>
      </c>
      <c r="S855" s="460" t="s">
        <v>1528</v>
      </c>
      <c r="T855" s="495" t="s">
        <v>1646</v>
      </c>
      <c r="U855" s="471"/>
      <c r="V855" s="471"/>
      <c r="W855" s="497"/>
      <c r="X855" s="471"/>
      <c r="Y855" s="206"/>
      <c r="Z855" s="206"/>
    </row>
    <row r="856" spans="1:26">
      <c r="A856" s="406">
        <v>853</v>
      </c>
      <c r="B856" s="613" t="s">
        <v>7020</v>
      </c>
      <c r="C856" s="483" t="s">
        <v>1693</v>
      </c>
      <c r="D856" s="414" t="s">
        <v>4884</v>
      </c>
      <c r="E856" s="407" t="s">
        <v>4884</v>
      </c>
      <c r="F856" s="483"/>
      <c r="G856" s="483"/>
      <c r="H856" s="483"/>
      <c r="I856" s="483"/>
      <c r="J856" s="483"/>
      <c r="K856" s="483"/>
      <c r="L856" s="608" t="s">
        <v>4884</v>
      </c>
      <c r="M856" s="409" t="s">
        <v>4884</v>
      </c>
      <c r="N856" s="409" t="s">
        <v>4884</v>
      </c>
      <c r="O856" s="410" t="s">
        <v>4884</v>
      </c>
      <c r="P856" s="406">
        <v>853</v>
      </c>
      <c r="Q856" s="460" t="s">
        <v>1693</v>
      </c>
      <c r="R856" s="460" t="s">
        <v>1645</v>
      </c>
      <c r="S856" s="460" t="s">
        <v>1528</v>
      </c>
      <c r="T856" s="495" t="s">
        <v>1646</v>
      </c>
      <c r="U856" s="471"/>
      <c r="V856" s="471"/>
      <c r="W856" s="497"/>
      <c r="X856" s="471"/>
      <c r="Y856" s="206"/>
      <c r="Z856" s="206"/>
    </row>
    <row r="857" spans="1:26">
      <c r="A857" s="406">
        <v>854</v>
      </c>
      <c r="B857" s="613" t="s">
        <v>7020</v>
      </c>
      <c r="C857" s="483" t="s">
        <v>1694</v>
      </c>
      <c r="D857" s="414" t="s">
        <v>4884</v>
      </c>
      <c r="E857" s="407" t="s">
        <v>4884</v>
      </c>
      <c r="F857" s="483"/>
      <c r="G857" s="483"/>
      <c r="H857" s="483"/>
      <c r="I857" s="483"/>
      <c r="J857" s="483"/>
      <c r="K857" s="483"/>
      <c r="L857" s="608" t="s">
        <v>4884</v>
      </c>
      <c r="M857" s="409" t="s">
        <v>4884</v>
      </c>
      <c r="N857" s="409" t="s">
        <v>4884</v>
      </c>
      <c r="O857" s="410" t="s">
        <v>4884</v>
      </c>
      <c r="P857" s="406">
        <v>854</v>
      </c>
      <c r="Q857" s="460" t="s">
        <v>1694</v>
      </c>
      <c r="R857" s="460" t="s">
        <v>1645</v>
      </c>
      <c r="S857" s="460" t="s">
        <v>1528</v>
      </c>
      <c r="T857" s="495" t="s">
        <v>1646</v>
      </c>
      <c r="U857" s="471"/>
      <c r="V857" s="471"/>
      <c r="W857" s="497"/>
      <c r="X857" s="471"/>
      <c r="Y857" s="206"/>
      <c r="Z857" s="206"/>
    </row>
    <row r="858" spans="1:26">
      <c r="A858" s="406">
        <v>855</v>
      </c>
      <c r="B858" s="613" t="s">
        <v>7020</v>
      </c>
      <c r="C858" s="483" t="s">
        <v>1695</v>
      </c>
      <c r="D858" s="414" t="s">
        <v>4884</v>
      </c>
      <c r="E858" s="407" t="s">
        <v>4884</v>
      </c>
      <c r="F858" s="483"/>
      <c r="G858" s="483"/>
      <c r="H858" s="483"/>
      <c r="I858" s="483"/>
      <c r="J858" s="483"/>
      <c r="K858" s="483"/>
      <c r="L858" s="608" t="s">
        <v>4884</v>
      </c>
      <c r="M858" s="409" t="s">
        <v>4884</v>
      </c>
      <c r="N858" s="409" t="s">
        <v>4884</v>
      </c>
      <c r="O858" s="410" t="s">
        <v>4884</v>
      </c>
      <c r="P858" s="406">
        <v>855</v>
      </c>
      <c r="Q858" s="460" t="s">
        <v>1695</v>
      </c>
      <c r="R858" s="460" t="s">
        <v>1645</v>
      </c>
      <c r="S858" s="460" t="s">
        <v>1528</v>
      </c>
      <c r="T858" s="495" t="s">
        <v>1646</v>
      </c>
      <c r="U858" s="471"/>
      <c r="V858" s="471"/>
      <c r="W858" s="497"/>
      <c r="X858" s="471"/>
      <c r="Y858" s="206"/>
      <c r="Z858" s="206"/>
    </row>
    <row r="859" spans="1:26">
      <c r="A859" s="406">
        <v>856</v>
      </c>
      <c r="B859" s="613" t="s">
        <v>7020</v>
      </c>
      <c r="C859" s="483" t="s">
        <v>1696</v>
      </c>
      <c r="D859" s="414" t="s">
        <v>4884</v>
      </c>
      <c r="E859" s="407" t="s">
        <v>4884</v>
      </c>
      <c r="F859" s="483"/>
      <c r="G859" s="483"/>
      <c r="H859" s="483"/>
      <c r="I859" s="483"/>
      <c r="J859" s="483"/>
      <c r="K859" s="483"/>
      <c r="L859" s="608" t="s">
        <v>4884</v>
      </c>
      <c r="M859" s="409" t="s">
        <v>4884</v>
      </c>
      <c r="N859" s="409" t="s">
        <v>4884</v>
      </c>
      <c r="O859" s="410" t="s">
        <v>4884</v>
      </c>
      <c r="P859" s="406">
        <v>856</v>
      </c>
      <c r="Q859" s="460" t="s">
        <v>1696</v>
      </c>
      <c r="R859" s="460" t="s">
        <v>1645</v>
      </c>
      <c r="S859" s="460" t="s">
        <v>1528</v>
      </c>
      <c r="T859" s="495" t="s">
        <v>1646</v>
      </c>
      <c r="U859" s="471"/>
      <c r="V859" s="471"/>
      <c r="W859" s="497"/>
      <c r="X859" s="471"/>
      <c r="Y859" s="206"/>
      <c r="Z859" s="206"/>
    </row>
    <row r="860" spans="1:26">
      <c r="A860" s="406">
        <v>857</v>
      </c>
      <c r="B860" s="613" t="s">
        <v>7020</v>
      </c>
      <c r="C860" s="483" t="s">
        <v>1697</v>
      </c>
      <c r="D860" s="414" t="s">
        <v>4884</v>
      </c>
      <c r="E860" s="407" t="s">
        <v>4884</v>
      </c>
      <c r="F860" s="483"/>
      <c r="G860" s="483"/>
      <c r="H860" s="483"/>
      <c r="I860" s="483"/>
      <c r="J860" s="483"/>
      <c r="K860" s="483"/>
      <c r="L860" s="608" t="s">
        <v>4884</v>
      </c>
      <c r="M860" s="409" t="s">
        <v>4884</v>
      </c>
      <c r="N860" s="409" t="s">
        <v>4884</v>
      </c>
      <c r="O860" s="410" t="s">
        <v>4884</v>
      </c>
      <c r="P860" s="406">
        <v>857</v>
      </c>
      <c r="Q860" s="460" t="s">
        <v>1697</v>
      </c>
      <c r="R860" s="460" t="s">
        <v>1645</v>
      </c>
      <c r="S860" s="460" t="s">
        <v>1528</v>
      </c>
      <c r="T860" s="495" t="s">
        <v>1646</v>
      </c>
      <c r="U860" s="471"/>
      <c r="V860" s="471"/>
      <c r="W860" s="497"/>
      <c r="X860" s="471"/>
      <c r="Y860" s="206"/>
      <c r="Z860" s="206"/>
    </row>
    <row r="861" spans="1:26">
      <c r="A861" s="406">
        <v>858</v>
      </c>
      <c r="B861" s="613" t="s">
        <v>7020</v>
      </c>
      <c r="C861" s="483" t="s">
        <v>1698</v>
      </c>
      <c r="D861" s="414" t="s">
        <v>4884</v>
      </c>
      <c r="E861" s="407" t="s">
        <v>4884</v>
      </c>
      <c r="F861" s="483"/>
      <c r="G861" s="483"/>
      <c r="H861" s="483"/>
      <c r="I861" s="483"/>
      <c r="J861" s="483"/>
      <c r="K861" s="483"/>
      <c r="L861" s="608" t="s">
        <v>4884</v>
      </c>
      <c r="M861" s="409" t="s">
        <v>4884</v>
      </c>
      <c r="N861" s="409" t="s">
        <v>4884</v>
      </c>
      <c r="O861" s="410" t="s">
        <v>4884</v>
      </c>
      <c r="P861" s="406">
        <v>858</v>
      </c>
      <c r="Q861" s="460" t="s">
        <v>1698</v>
      </c>
      <c r="R861" s="460" t="s">
        <v>1645</v>
      </c>
      <c r="S861" s="460" t="s">
        <v>1528</v>
      </c>
      <c r="T861" s="495" t="s">
        <v>1646</v>
      </c>
      <c r="U861" s="471"/>
      <c r="V861" s="471"/>
      <c r="W861" s="498"/>
      <c r="X861" s="471"/>
      <c r="Y861" s="206"/>
      <c r="Z861" s="206"/>
    </row>
    <row r="862" spans="1:26">
      <c r="A862" s="406">
        <v>859</v>
      </c>
      <c r="B862" s="613" t="s">
        <v>7020</v>
      </c>
      <c r="C862" s="483" t="s">
        <v>1699</v>
      </c>
      <c r="D862" s="414" t="s">
        <v>4884</v>
      </c>
      <c r="E862" s="407" t="s">
        <v>4884</v>
      </c>
      <c r="F862" s="483"/>
      <c r="G862" s="483"/>
      <c r="H862" s="483"/>
      <c r="I862" s="483"/>
      <c r="J862" s="483"/>
      <c r="K862" s="483"/>
      <c r="L862" s="608" t="s">
        <v>4884</v>
      </c>
      <c r="M862" s="409" t="s">
        <v>4884</v>
      </c>
      <c r="N862" s="409" t="s">
        <v>4884</v>
      </c>
      <c r="O862" s="410" t="s">
        <v>4884</v>
      </c>
      <c r="P862" s="406">
        <v>859</v>
      </c>
      <c r="Q862" s="460" t="s">
        <v>1699</v>
      </c>
      <c r="R862" s="460" t="s">
        <v>1645</v>
      </c>
      <c r="S862" s="460" t="s">
        <v>1528</v>
      </c>
      <c r="T862" s="495" t="s">
        <v>1646</v>
      </c>
      <c r="U862" s="471"/>
      <c r="V862" s="471"/>
      <c r="W862" s="499" t="s">
        <v>4895</v>
      </c>
      <c r="X862" s="500"/>
      <c r="Y862" s="206"/>
      <c r="Z862" s="206"/>
    </row>
    <row r="863" spans="1:26">
      <c r="A863" s="406">
        <v>860</v>
      </c>
      <c r="B863" s="613" t="s">
        <v>7020</v>
      </c>
      <c r="C863" s="483" t="s">
        <v>1700</v>
      </c>
      <c r="D863" s="414" t="s">
        <v>4884</v>
      </c>
      <c r="E863" s="407" t="s">
        <v>4884</v>
      </c>
      <c r="F863" s="483"/>
      <c r="G863" s="483"/>
      <c r="H863" s="483"/>
      <c r="I863" s="483"/>
      <c r="J863" s="483"/>
      <c r="K863" s="483"/>
      <c r="L863" s="608" t="s">
        <v>4884</v>
      </c>
      <c r="M863" s="409" t="s">
        <v>4884</v>
      </c>
      <c r="N863" s="409" t="s">
        <v>4884</v>
      </c>
      <c r="O863" s="410" t="s">
        <v>4884</v>
      </c>
      <c r="P863" s="406">
        <v>860</v>
      </c>
      <c r="Q863" s="460" t="s">
        <v>1700</v>
      </c>
      <c r="R863" s="460" t="s">
        <v>1645</v>
      </c>
      <c r="S863" s="460" t="s">
        <v>1528</v>
      </c>
      <c r="T863" s="495" t="s">
        <v>1646</v>
      </c>
      <c r="U863" s="471"/>
      <c r="V863" s="471"/>
      <c r="W863" s="499" t="s">
        <v>4895</v>
      </c>
      <c r="X863" s="501"/>
      <c r="Y863" s="206"/>
      <c r="Z863" s="206"/>
    </row>
    <row r="864" spans="1:26">
      <c r="A864" s="406">
        <v>861</v>
      </c>
      <c r="B864" s="613" t="s">
        <v>7020</v>
      </c>
      <c r="C864" s="483" t="s">
        <v>1701</v>
      </c>
      <c r="D864" s="414" t="s">
        <v>4884</v>
      </c>
      <c r="E864" s="407" t="s">
        <v>4884</v>
      </c>
      <c r="F864" s="483"/>
      <c r="G864" s="483"/>
      <c r="H864" s="483"/>
      <c r="I864" s="483"/>
      <c r="J864" s="483"/>
      <c r="K864" s="483"/>
      <c r="L864" s="608" t="s">
        <v>4884</v>
      </c>
      <c r="M864" s="409" t="s">
        <v>4884</v>
      </c>
      <c r="N864" s="409" t="s">
        <v>4884</v>
      </c>
      <c r="O864" s="410" t="s">
        <v>4884</v>
      </c>
      <c r="P864" s="406">
        <v>861</v>
      </c>
      <c r="Q864" s="460" t="s">
        <v>1701</v>
      </c>
      <c r="R864" s="460" t="s">
        <v>1645</v>
      </c>
      <c r="S864" s="460" t="s">
        <v>1528</v>
      </c>
      <c r="T864" s="495" t="s">
        <v>1646</v>
      </c>
      <c r="U864" s="471"/>
      <c r="V864" s="471"/>
      <c r="W864" s="502"/>
      <c r="X864" s="471"/>
      <c r="Y864" s="206"/>
      <c r="Z864" s="206"/>
    </row>
    <row r="865" spans="1:26">
      <c r="A865" s="406">
        <v>862</v>
      </c>
      <c r="B865" s="613" t="s">
        <v>7020</v>
      </c>
      <c r="C865" s="483" t="s">
        <v>1702</v>
      </c>
      <c r="D865" s="414" t="s">
        <v>4884</v>
      </c>
      <c r="E865" s="407" t="s">
        <v>4884</v>
      </c>
      <c r="F865" s="483"/>
      <c r="G865" s="483"/>
      <c r="H865" s="483"/>
      <c r="I865" s="483"/>
      <c r="J865" s="483"/>
      <c r="K865" s="483"/>
      <c r="L865" s="608" t="s">
        <v>4884</v>
      </c>
      <c r="M865" s="409" t="s">
        <v>4884</v>
      </c>
      <c r="N865" s="409" t="s">
        <v>4884</v>
      </c>
      <c r="O865" s="410" t="s">
        <v>4884</v>
      </c>
      <c r="P865" s="406">
        <v>862</v>
      </c>
      <c r="Q865" s="460" t="s">
        <v>1702</v>
      </c>
      <c r="R865" s="460" t="s">
        <v>1645</v>
      </c>
      <c r="S865" s="460" t="s">
        <v>1528</v>
      </c>
      <c r="T865" s="495" t="s">
        <v>1646</v>
      </c>
      <c r="U865" s="471"/>
      <c r="V865" s="471"/>
      <c r="W865" s="502"/>
      <c r="X865" s="471"/>
      <c r="Y865" s="206"/>
      <c r="Z865" s="206"/>
    </row>
    <row r="866" spans="1:26">
      <c r="A866" s="406">
        <v>863</v>
      </c>
      <c r="B866" s="613" t="s">
        <v>7020</v>
      </c>
      <c r="C866" s="483" t="s">
        <v>1703</v>
      </c>
      <c r="D866" s="414" t="s">
        <v>4884</v>
      </c>
      <c r="E866" s="407" t="s">
        <v>4884</v>
      </c>
      <c r="F866" s="483"/>
      <c r="G866" s="483"/>
      <c r="H866" s="483"/>
      <c r="I866" s="483"/>
      <c r="J866" s="483"/>
      <c r="K866" s="483"/>
      <c r="L866" s="608" t="s">
        <v>4884</v>
      </c>
      <c r="M866" s="409" t="s">
        <v>4884</v>
      </c>
      <c r="N866" s="409" t="s">
        <v>4884</v>
      </c>
      <c r="O866" s="410" t="s">
        <v>4884</v>
      </c>
      <c r="P866" s="406">
        <v>863</v>
      </c>
      <c r="Q866" s="460" t="s">
        <v>1703</v>
      </c>
      <c r="R866" s="460" t="s">
        <v>1645</v>
      </c>
      <c r="S866" s="460" t="s">
        <v>1528</v>
      </c>
      <c r="T866" s="495" t="s">
        <v>1646</v>
      </c>
      <c r="U866" s="471"/>
      <c r="V866" s="471"/>
      <c r="W866" s="503"/>
      <c r="X866" s="471"/>
      <c r="Y866" s="206"/>
      <c r="Z866" s="206"/>
    </row>
    <row r="867" spans="1:26">
      <c r="A867" s="406">
        <v>864</v>
      </c>
      <c r="B867" s="613" t="s">
        <v>7020</v>
      </c>
      <c r="C867" s="483" t="s">
        <v>1704</v>
      </c>
      <c r="D867" s="414" t="s">
        <v>4884</v>
      </c>
      <c r="E867" s="407" t="s">
        <v>4884</v>
      </c>
      <c r="F867" s="483"/>
      <c r="G867" s="483"/>
      <c r="H867" s="483"/>
      <c r="I867" s="483"/>
      <c r="J867" s="483"/>
      <c r="K867" s="483"/>
      <c r="L867" s="608" t="s">
        <v>4884</v>
      </c>
      <c r="M867" s="409" t="s">
        <v>4884</v>
      </c>
      <c r="N867" s="409" t="s">
        <v>4884</v>
      </c>
      <c r="O867" s="410" t="s">
        <v>4884</v>
      </c>
      <c r="P867" s="406">
        <v>864</v>
      </c>
      <c r="Q867" s="460" t="s">
        <v>1704</v>
      </c>
      <c r="R867" s="460" t="s">
        <v>1645</v>
      </c>
      <c r="S867" s="460" t="s">
        <v>1528</v>
      </c>
      <c r="T867" s="495" t="s">
        <v>1646</v>
      </c>
      <c r="U867" s="471"/>
      <c r="V867" s="471"/>
      <c r="W867" s="503"/>
      <c r="X867" s="471"/>
      <c r="Y867" s="206"/>
      <c r="Z867" s="206"/>
    </row>
    <row r="868" spans="1:26">
      <c r="A868" s="406">
        <v>865</v>
      </c>
      <c r="B868" s="613" t="s">
        <v>7020</v>
      </c>
      <c r="C868" s="483" t="s">
        <v>1705</v>
      </c>
      <c r="D868" s="414" t="s">
        <v>4884</v>
      </c>
      <c r="E868" s="407" t="s">
        <v>4884</v>
      </c>
      <c r="F868" s="483"/>
      <c r="G868" s="483"/>
      <c r="H868" s="483"/>
      <c r="I868" s="483"/>
      <c r="J868" s="483"/>
      <c r="K868" s="483"/>
      <c r="L868" s="608" t="s">
        <v>4884</v>
      </c>
      <c r="M868" s="409" t="s">
        <v>4884</v>
      </c>
      <c r="N868" s="409" t="s">
        <v>4884</v>
      </c>
      <c r="O868" s="410" t="s">
        <v>4884</v>
      </c>
      <c r="P868" s="406">
        <v>865</v>
      </c>
      <c r="Q868" s="460" t="s">
        <v>1705</v>
      </c>
      <c r="R868" s="460" t="s">
        <v>1645</v>
      </c>
      <c r="S868" s="460" t="s">
        <v>1528</v>
      </c>
      <c r="T868" s="495" t="s">
        <v>1646</v>
      </c>
      <c r="U868" s="471"/>
      <c r="V868" s="471"/>
      <c r="W868" s="503"/>
      <c r="X868" s="471"/>
      <c r="Y868" s="206"/>
      <c r="Z868" s="206"/>
    </row>
    <row r="869" spans="1:26">
      <c r="A869" s="406">
        <v>866</v>
      </c>
      <c r="B869" s="613" t="s">
        <v>7020</v>
      </c>
      <c r="C869" s="483" t="s">
        <v>1706</v>
      </c>
      <c r="D869" s="414" t="s">
        <v>4884</v>
      </c>
      <c r="E869" s="407" t="s">
        <v>4884</v>
      </c>
      <c r="F869" s="483"/>
      <c r="G869" s="483"/>
      <c r="H869" s="483"/>
      <c r="I869" s="483"/>
      <c r="J869" s="483"/>
      <c r="K869" s="483"/>
      <c r="L869" s="608" t="s">
        <v>4884</v>
      </c>
      <c r="M869" s="409" t="s">
        <v>4884</v>
      </c>
      <c r="N869" s="409" t="s">
        <v>4884</v>
      </c>
      <c r="O869" s="410" t="s">
        <v>4884</v>
      </c>
      <c r="P869" s="406">
        <v>866</v>
      </c>
      <c r="Q869" s="460" t="s">
        <v>1706</v>
      </c>
      <c r="R869" s="460" t="s">
        <v>1645</v>
      </c>
      <c r="S869" s="460" t="s">
        <v>1528</v>
      </c>
      <c r="T869" s="495" t="s">
        <v>1646</v>
      </c>
      <c r="U869" s="471"/>
      <c r="V869" s="471"/>
      <c r="W869" s="503"/>
      <c r="X869" s="471"/>
      <c r="Y869" s="206"/>
      <c r="Z869" s="206"/>
    </row>
    <row r="870" spans="1:26">
      <c r="A870" s="406">
        <v>867</v>
      </c>
      <c r="B870" s="613" t="s">
        <v>7020</v>
      </c>
      <c r="C870" s="483" t="s">
        <v>1707</v>
      </c>
      <c r="D870" s="414" t="s">
        <v>4884</v>
      </c>
      <c r="E870" s="407" t="s">
        <v>4884</v>
      </c>
      <c r="F870" s="483"/>
      <c r="G870" s="483"/>
      <c r="H870" s="483"/>
      <c r="I870" s="483"/>
      <c r="J870" s="483"/>
      <c r="K870" s="483"/>
      <c r="L870" s="608" t="s">
        <v>4884</v>
      </c>
      <c r="M870" s="409" t="s">
        <v>4884</v>
      </c>
      <c r="N870" s="409" t="s">
        <v>4884</v>
      </c>
      <c r="O870" s="410" t="s">
        <v>4884</v>
      </c>
      <c r="P870" s="406">
        <v>867</v>
      </c>
      <c r="Q870" s="460" t="s">
        <v>1707</v>
      </c>
      <c r="R870" s="460" t="s">
        <v>1645</v>
      </c>
      <c r="S870" s="460" t="s">
        <v>1528</v>
      </c>
      <c r="T870" s="495" t="s">
        <v>1646</v>
      </c>
      <c r="U870" s="471"/>
      <c r="V870" s="471"/>
      <c r="W870" s="503"/>
      <c r="X870" s="471"/>
      <c r="Y870" s="206"/>
      <c r="Z870" s="206"/>
    </row>
    <row r="871" spans="1:26">
      <c r="A871" s="406">
        <v>868</v>
      </c>
      <c r="B871" s="613" t="s">
        <v>7020</v>
      </c>
      <c r="C871" s="483" t="s">
        <v>1708</v>
      </c>
      <c r="D871" s="414" t="s">
        <v>4884</v>
      </c>
      <c r="E871" s="407" t="s">
        <v>4884</v>
      </c>
      <c r="F871" s="483"/>
      <c r="G871" s="483"/>
      <c r="H871" s="483"/>
      <c r="I871" s="483"/>
      <c r="J871" s="483"/>
      <c r="K871" s="483"/>
      <c r="L871" s="608" t="s">
        <v>4884</v>
      </c>
      <c r="M871" s="409" t="s">
        <v>4884</v>
      </c>
      <c r="N871" s="409" t="s">
        <v>4884</v>
      </c>
      <c r="O871" s="410" t="s">
        <v>4884</v>
      </c>
      <c r="P871" s="406">
        <v>868</v>
      </c>
      <c r="Q871" s="460" t="s">
        <v>1708</v>
      </c>
      <c r="R871" s="460" t="s">
        <v>1645</v>
      </c>
      <c r="S871" s="460" t="s">
        <v>1528</v>
      </c>
      <c r="T871" s="495" t="s">
        <v>1646</v>
      </c>
      <c r="U871" s="471"/>
      <c r="V871" s="471"/>
      <c r="W871" s="503"/>
      <c r="X871" s="471"/>
      <c r="Y871" s="206"/>
      <c r="Z871" s="206"/>
    </row>
    <row r="872" spans="1:26">
      <c r="A872" s="406">
        <v>869</v>
      </c>
      <c r="B872" s="613" t="s">
        <v>7020</v>
      </c>
      <c r="C872" s="483" t="s">
        <v>1709</v>
      </c>
      <c r="D872" s="414" t="s">
        <v>4884</v>
      </c>
      <c r="E872" s="407" t="s">
        <v>4884</v>
      </c>
      <c r="F872" s="483"/>
      <c r="G872" s="483"/>
      <c r="H872" s="483"/>
      <c r="I872" s="483"/>
      <c r="J872" s="483"/>
      <c r="K872" s="483"/>
      <c r="L872" s="608" t="s">
        <v>4884</v>
      </c>
      <c r="M872" s="409" t="s">
        <v>4884</v>
      </c>
      <c r="N872" s="409" t="s">
        <v>4884</v>
      </c>
      <c r="O872" s="410" t="s">
        <v>4884</v>
      </c>
      <c r="P872" s="406">
        <v>869</v>
      </c>
      <c r="Q872" s="460" t="s">
        <v>1709</v>
      </c>
      <c r="R872" s="460" t="s">
        <v>1645</v>
      </c>
      <c r="S872" s="460" t="s">
        <v>1528</v>
      </c>
      <c r="T872" s="495" t="s">
        <v>1646</v>
      </c>
      <c r="U872" s="471"/>
      <c r="V872" s="471"/>
      <c r="W872" s="503"/>
      <c r="X872" s="471"/>
      <c r="Y872" s="206"/>
      <c r="Z872" s="206"/>
    </row>
    <row r="873" spans="1:26">
      <c r="A873" s="406">
        <v>870</v>
      </c>
      <c r="B873" s="613" t="s">
        <v>7020</v>
      </c>
      <c r="C873" s="483" t="s">
        <v>1710</v>
      </c>
      <c r="D873" s="414" t="s">
        <v>4884</v>
      </c>
      <c r="E873" s="407" t="s">
        <v>4884</v>
      </c>
      <c r="F873" s="483"/>
      <c r="G873" s="483"/>
      <c r="H873" s="483"/>
      <c r="I873" s="483"/>
      <c r="J873" s="483"/>
      <c r="K873" s="483"/>
      <c r="L873" s="608" t="s">
        <v>4884</v>
      </c>
      <c r="M873" s="409" t="s">
        <v>4884</v>
      </c>
      <c r="N873" s="409" t="s">
        <v>4884</v>
      </c>
      <c r="O873" s="410" t="s">
        <v>4884</v>
      </c>
      <c r="P873" s="406">
        <v>870</v>
      </c>
      <c r="Q873" s="460" t="s">
        <v>1710</v>
      </c>
      <c r="R873" s="460" t="s">
        <v>1645</v>
      </c>
      <c r="S873" s="460" t="s">
        <v>1528</v>
      </c>
      <c r="T873" s="495" t="s">
        <v>1646</v>
      </c>
      <c r="U873" s="471"/>
      <c r="V873" s="471"/>
      <c r="W873" s="503"/>
      <c r="X873" s="471"/>
      <c r="Y873" s="206"/>
      <c r="Z873" s="206"/>
    </row>
    <row r="874" spans="1:26">
      <c r="A874" s="406">
        <v>871</v>
      </c>
      <c r="B874" s="613" t="s">
        <v>7020</v>
      </c>
      <c r="C874" s="483" t="s">
        <v>1711</v>
      </c>
      <c r="D874" s="414" t="s">
        <v>4884</v>
      </c>
      <c r="E874" s="407" t="s">
        <v>4884</v>
      </c>
      <c r="F874" s="483"/>
      <c r="G874" s="483"/>
      <c r="H874" s="483"/>
      <c r="I874" s="483"/>
      <c r="J874" s="483"/>
      <c r="K874" s="483"/>
      <c r="L874" s="608" t="s">
        <v>4884</v>
      </c>
      <c r="M874" s="409" t="s">
        <v>4884</v>
      </c>
      <c r="N874" s="409" t="s">
        <v>4884</v>
      </c>
      <c r="O874" s="410" t="s">
        <v>4884</v>
      </c>
      <c r="P874" s="406">
        <v>871</v>
      </c>
      <c r="Q874" s="460" t="s">
        <v>1711</v>
      </c>
      <c r="R874" s="460" t="s">
        <v>1645</v>
      </c>
      <c r="S874" s="460" t="s">
        <v>1528</v>
      </c>
      <c r="T874" s="495" t="s">
        <v>1646</v>
      </c>
      <c r="U874" s="471"/>
      <c r="V874" s="471"/>
      <c r="W874" s="503"/>
      <c r="X874" s="471"/>
      <c r="Y874" s="206"/>
      <c r="Z874" s="206"/>
    </row>
    <row r="875" spans="1:26">
      <c r="A875" s="406">
        <v>872</v>
      </c>
      <c r="B875" s="613" t="s">
        <v>7020</v>
      </c>
      <c r="C875" s="483" t="s">
        <v>1712</v>
      </c>
      <c r="D875" s="414" t="s">
        <v>4884</v>
      </c>
      <c r="E875" s="407" t="s">
        <v>4884</v>
      </c>
      <c r="F875" s="483"/>
      <c r="G875" s="483"/>
      <c r="H875" s="483"/>
      <c r="I875" s="483"/>
      <c r="J875" s="483"/>
      <c r="K875" s="483"/>
      <c r="L875" s="608" t="s">
        <v>4884</v>
      </c>
      <c r="M875" s="409" t="s">
        <v>4884</v>
      </c>
      <c r="N875" s="409" t="s">
        <v>4884</v>
      </c>
      <c r="O875" s="410" t="s">
        <v>4884</v>
      </c>
      <c r="P875" s="406">
        <v>872</v>
      </c>
      <c r="Q875" s="460" t="s">
        <v>1712</v>
      </c>
      <c r="R875" s="460" t="s">
        <v>1645</v>
      </c>
      <c r="S875" s="460" t="s">
        <v>1528</v>
      </c>
      <c r="T875" s="495" t="s">
        <v>1646</v>
      </c>
      <c r="U875" s="471"/>
      <c r="V875" s="471"/>
      <c r="W875" s="503"/>
      <c r="X875" s="471"/>
      <c r="Y875" s="206"/>
      <c r="Z875" s="206"/>
    </row>
    <row r="876" spans="1:26">
      <c r="A876" s="406">
        <v>873</v>
      </c>
      <c r="B876" s="613" t="s">
        <v>7020</v>
      </c>
      <c r="C876" s="483" t="s">
        <v>1713</v>
      </c>
      <c r="D876" s="414" t="s">
        <v>4884</v>
      </c>
      <c r="E876" s="407" t="s">
        <v>4884</v>
      </c>
      <c r="F876" s="483"/>
      <c r="G876" s="483"/>
      <c r="H876" s="483"/>
      <c r="I876" s="483"/>
      <c r="J876" s="483"/>
      <c r="K876" s="483"/>
      <c r="L876" s="608" t="s">
        <v>4884</v>
      </c>
      <c r="M876" s="409" t="s">
        <v>4884</v>
      </c>
      <c r="N876" s="409" t="s">
        <v>4884</v>
      </c>
      <c r="O876" s="410" t="s">
        <v>4884</v>
      </c>
      <c r="P876" s="406">
        <v>873</v>
      </c>
      <c r="Q876" s="460" t="s">
        <v>1713</v>
      </c>
      <c r="R876" s="460" t="s">
        <v>1645</v>
      </c>
      <c r="S876" s="460" t="s">
        <v>1528</v>
      </c>
      <c r="T876" s="495" t="s">
        <v>1646</v>
      </c>
      <c r="U876" s="471"/>
      <c r="V876" s="471"/>
      <c r="W876" s="503"/>
      <c r="X876" s="471"/>
      <c r="Y876" s="206"/>
      <c r="Z876" s="206"/>
    </row>
    <row r="877" spans="1:26">
      <c r="A877" s="406">
        <v>874</v>
      </c>
      <c r="B877" s="613" t="s">
        <v>7020</v>
      </c>
      <c r="C877" s="483" t="s">
        <v>1714</v>
      </c>
      <c r="D877" s="414" t="s">
        <v>4884</v>
      </c>
      <c r="E877" s="407" t="s">
        <v>4884</v>
      </c>
      <c r="F877" s="483"/>
      <c r="G877" s="483"/>
      <c r="H877" s="483"/>
      <c r="I877" s="483"/>
      <c r="J877" s="483"/>
      <c r="K877" s="483"/>
      <c r="L877" s="608" t="s">
        <v>4884</v>
      </c>
      <c r="M877" s="409" t="s">
        <v>4884</v>
      </c>
      <c r="N877" s="409" t="s">
        <v>4884</v>
      </c>
      <c r="O877" s="410" t="s">
        <v>4884</v>
      </c>
      <c r="P877" s="406">
        <v>874</v>
      </c>
      <c r="Q877" s="460" t="s">
        <v>1714</v>
      </c>
      <c r="R877" s="460" t="s">
        <v>1645</v>
      </c>
      <c r="S877" s="460" t="s">
        <v>1528</v>
      </c>
      <c r="T877" s="495" t="s">
        <v>1646</v>
      </c>
      <c r="U877" s="471"/>
      <c r="V877" s="471"/>
      <c r="W877" s="503"/>
      <c r="X877" s="471"/>
      <c r="Y877" s="206"/>
      <c r="Z877" s="206"/>
    </row>
    <row r="878" spans="1:26">
      <c r="A878" s="406">
        <v>875</v>
      </c>
      <c r="B878" s="613" t="s">
        <v>7020</v>
      </c>
      <c r="C878" s="483" t="s">
        <v>1715</v>
      </c>
      <c r="D878" s="414" t="s">
        <v>4884</v>
      </c>
      <c r="E878" s="407" t="s">
        <v>4884</v>
      </c>
      <c r="F878" s="483"/>
      <c r="G878" s="483"/>
      <c r="H878" s="483"/>
      <c r="I878" s="483"/>
      <c r="J878" s="483"/>
      <c r="K878" s="483"/>
      <c r="L878" s="608" t="s">
        <v>4884</v>
      </c>
      <c r="M878" s="409" t="s">
        <v>4884</v>
      </c>
      <c r="N878" s="409" t="s">
        <v>4884</v>
      </c>
      <c r="O878" s="410" t="s">
        <v>4884</v>
      </c>
      <c r="P878" s="406">
        <v>875</v>
      </c>
      <c r="Q878" s="460" t="s">
        <v>1715</v>
      </c>
      <c r="R878" s="460" t="s">
        <v>1645</v>
      </c>
      <c r="S878" s="460" t="s">
        <v>1528</v>
      </c>
      <c r="T878" s="495" t="s">
        <v>1646</v>
      </c>
      <c r="U878" s="471"/>
      <c r="V878" s="471"/>
      <c r="W878" s="503"/>
      <c r="X878" s="471"/>
      <c r="Y878" s="206"/>
      <c r="Z878" s="206"/>
    </row>
    <row r="879" spans="1:26">
      <c r="A879" s="406">
        <v>876</v>
      </c>
      <c r="B879" s="613" t="s">
        <v>7020</v>
      </c>
      <c r="C879" s="483" t="s">
        <v>1716</v>
      </c>
      <c r="D879" s="414" t="s">
        <v>4884</v>
      </c>
      <c r="E879" s="407" t="s">
        <v>4884</v>
      </c>
      <c r="F879" s="483"/>
      <c r="G879" s="483"/>
      <c r="H879" s="483"/>
      <c r="I879" s="483"/>
      <c r="J879" s="483"/>
      <c r="K879" s="483"/>
      <c r="L879" s="608" t="s">
        <v>4884</v>
      </c>
      <c r="M879" s="409" t="s">
        <v>4884</v>
      </c>
      <c r="N879" s="409" t="s">
        <v>4884</v>
      </c>
      <c r="O879" s="410" t="s">
        <v>4884</v>
      </c>
      <c r="P879" s="406">
        <v>876</v>
      </c>
      <c r="Q879" s="460" t="s">
        <v>1716</v>
      </c>
      <c r="R879" s="460" t="s">
        <v>1645</v>
      </c>
      <c r="S879" s="460" t="s">
        <v>1528</v>
      </c>
      <c r="T879" s="495" t="s">
        <v>1646</v>
      </c>
      <c r="U879" s="471"/>
      <c r="V879" s="471"/>
      <c r="W879" s="503"/>
      <c r="X879" s="471"/>
      <c r="Y879" s="206"/>
      <c r="Z879" s="206"/>
    </row>
    <row r="880" spans="1:26">
      <c r="A880" s="406">
        <v>877</v>
      </c>
      <c r="B880" s="613" t="s">
        <v>7020</v>
      </c>
      <c r="C880" s="483" t="s">
        <v>1717</v>
      </c>
      <c r="D880" s="414" t="s">
        <v>4884</v>
      </c>
      <c r="E880" s="407" t="s">
        <v>4884</v>
      </c>
      <c r="F880" s="483"/>
      <c r="G880" s="483"/>
      <c r="H880" s="483"/>
      <c r="I880" s="483"/>
      <c r="J880" s="483"/>
      <c r="K880" s="483"/>
      <c r="L880" s="608" t="s">
        <v>4884</v>
      </c>
      <c r="M880" s="409" t="s">
        <v>4884</v>
      </c>
      <c r="N880" s="409" t="s">
        <v>4884</v>
      </c>
      <c r="O880" s="410" t="s">
        <v>4884</v>
      </c>
      <c r="P880" s="406">
        <v>877</v>
      </c>
      <c r="Q880" s="460" t="s">
        <v>1717</v>
      </c>
      <c r="R880" s="460" t="s">
        <v>1645</v>
      </c>
      <c r="S880" s="460" t="s">
        <v>1528</v>
      </c>
      <c r="T880" s="495" t="s">
        <v>1646</v>
      </c>
      <c r="U880" s="471"/>
      <c r="V880" s="471"/>
      <c r="W880" s="503"/>
      <c r="X880" s="471"/>
      <c r="Y880" s="206"/>
      <c r="Z880" s="206"/>
    </row>
    <row r="881" spans="1:26">
      <c r="A881" s="406">
        <v>878</v>
      </c>
      <c r="B881" s="613" t="s">
        <v>7020</v>
      </c>
      <c r="C881" s="483" t="s">
        <v>1718</v>
      </c>
      <c r="D881" s="414" t="s">
        <v>4884</v>
      </c>
      <c r="E881" s="407" t="s">
        <v>4884</v>
      </c>
      <c r="F881" s="483"/>
      <c r="G881" s="483"/>
      <c r="H881" s="483"/>
      <c r="I881" s="483"/>
      <c r="J881" s="483"/>
      <c r="K881" s="483"/>
      <c r="L881" s="608" t="s">
        <v>4884</v>
      </c>
      <c r="M881" s="409" t="s">
        <v>4884</v>
      </c>
      <c r="N881" s="409" t="s">
        <v>4884</v>
      </c>
      <c r="O881" s="410" t="s">
        <v>4884</v>
      </c>
      <c r="P881" s="406">
        <v>878</v>
      </c>
      <c r="Q881" s="460" t="s">
        <v>1718</v>
      </c>
      <c r="R881" s="460" t="s">
        <v>1645</v>
      </c>
      <c r="S881" s="460" t="s">
        <v>1528</v>
      </c>
      <c r="T881" s="495" t="s">
        <v>1646</v>
      </c>
      <c r="U881" s="471"/>
      <c r="V881" s="471"/>
      <c r="W881" s="503"/>
      <c r="X881" s="471"/>
      <c r="Y881" s="206"/>
      <c r="Z881" s="206"/>
    </row>
    <row r="882" spans="1:26">
      <c r="A882" s="406">
        <v>879</v>
      </c>
      <c r="B882" s="613" t="s">
        <v>7020</v>
      </c>
      <c r="C882" s="483" t="s">
        <v>1719</v>
      </c>
      <c r="D882" s="414" t="s">
        <v>4884</v>
      </c>
      <c r="E882" s="407" t="s">
        <v>4884</v>
      </c>
      <c r="F882" s="483"/>
      <c r="G882" s="483"/>
      <c r="H882" s="483"/>
      <c r="I882" s="483"/>
      <c r="J882" s="483"/>
      <c r="K882" s="483"/>
      <c r="L882" s="608" t="s">
        <v>4884</v>
      </c>
      <c r="M882" s="409" t="s">
        <v>4884</v>
      </c>
      <c r="N882" s="409" t="s">
        <v>4884</v>
      </c>
      <c r="O882" s="410" t="s">
        <v>4884</v>
      </c>
      <c r="P882" s="406">
        <v>879</v>
      </c>
      <c r="Q882" s="460" t="s">
        <v>1719</v>
      </c>
      <c r="R882" s="460" t="s">
        <v>1645</v>
      </c>
      <c r="S882" s="460" t="s">
        <v>1528</v>
      </c>
      <c r="T882" s="495" t="s">
        <v>1646</v>
      </c>
      <c r="U882" s="471"/>
      <c r="V882" s="471"/>
      <c r="W882" s="503"/>
      <c r="X882" s="471"/>
      <c r="Y882" s="206"/>
      <c r="Z882" s="206"/>
    </row>
    <row r="883" spans="1:26">
      <c r="A883" s="406">
        <v>880</v>
      </c>
      <c r="B883" s="613" t="s">
        <v>7020</v>
      </c>
      <c r="C883" s="483" t="s">
        <v>1720</v>
      </c>
      <c r="D883" s="414" t="s">
        <v>4884</v>
      </c>
      <c r="E883" s="407" t="s">
        <v>4884</v>
      </c>
      <c r="F883" s="483"/>
      <c r="G883" s="483"/>
      <c r="H883" s="483"/>
      <c r="I883" s="483"/>
      <c r="J883" s="483"/>
      <c r="K883" s="483"/>
      <c r="L883" s="608" t="s">
        <v>4884</v>
      </c>
      <c r="M883" s="409" t="s">
        <v>4884</v>
      </c>
      <c r="N883" s="409" t="s">
        <v>4884</v>
      </c>
      <c r="O883" s="410" t="s">
        <v>4884</v>
      </c>
      <c r="P883" s="406">
        <v>880</v>
      </c>
      <c r="Q883" s="460" t="s">
        <v>1720</v>
      </c>
      <c r="R883" s="460" t="s">
        <v>1645</v>
      </c>
      <c r="S883" s="460" t="s">
        <v>1528</v>
      </c>
      <c r="T883" s="495" t="s">
        <v>1646</v>
      </c>
      <c r="U883" s="471"/>
      <c r="V883" s="471"/>
      <c r="W883" s="503"/>
      <c r="X883" s="471"/>
      <c r="Y883" s="206"/>
      <c r="Z883" s="206"/>
    </row>
    <row r="884" spans="1:26">
      <c r="A884" s="406">
        <v>881</v>
      </c>
      <c r="B884" s="613" t="s">
        <v>7020</v>
      </c>
      <c r="C884" s="483" t="s">
        <v>1721</v>
      </c>
      <c r="D884" s="414" t="s">
        <v>4884</v>
      </c>
      <c r="E884" s="407" t="s">
        <v>4884</v>
      </c>
      <c r="F884" s="483"/>
      <c r="G884" s="483"/>
      <c r="H884" s="483"/>
      <c r="I884" s="483"/>
      <c r="J884" s="483"/>
      <c r="K884" s="483"/>
      <c r="L884" s="608" t="s">
        <v>4884</v>
      </c>
      <c r="M884" s="409" t="s">
        <v>4884</v>
      </c>
      <c r="N884" s="409" t="s">
        <v>4884</v>
      </c>
      <c r="O884" s="410" t="s">
        <v>4884</v>
      </c>
      <c r="P884" s="406">
        <v>881</v>
      </c>
      <c r="Q884" s="460" t="s">
        <v>1721</v>
      </c>
      <c r="R884" s="460" t="s">
        <v>1645</v>
      </c>
      <c r="S884" s="460" t="s">
        <v>1528</v>
      </c>
      <c r="T884" s="495" t="s">
        <v>1646</v>
      </c>
      <c r="U884" s="471"/>
      <c r="V884" s="471"/>
      <c r="W884" s="503"/>
      <c r="X884" s="471"/>
      <c r="Y884" s="206"/>
      <c r="Z884" s="206"/>
    </row>
    <row r="885" spans="1:26">
      <c r="A885" s="406">
        <v>882</v>
      </c>
      <c r="B885" s="613" t="s">
        <v>7020</v>
      </c>
      <c r="C885" s="483" t="s">
        <v>1722</v>
      </c>
      <c r="D885" s="414" t="s">
        <v>4884</v>
      </c>
      <c r="E885" s="407" t="s">
        <v>4884</v>
      </c>
      <c r="F885" s="483"/>
      <c r="G885" s="483"/>
      <c r="H885" s="483"/>
      <c r="I885" s="483"/>
      <c r="J885" s="483"/>
      <c r="K885" s="483"/>
      <c r="L885" s="608" t="s">
        <v>4884</v>
      </c>
      <c r="M885" s="409" t="s">
        <v>4884</v>
      </c>
      <c r="N885" s="409" t="s">
        <v>4884</v>
      </c>
      <c r="O885" s="410" t="s">
        <v>4884</v>
      </c>
      <c r="P885" s="406">
        <v>882</v>
      </c>
      <c r="Q885" s="460" t="s">
        <v>1722</v>
      </c>
      <c r="R885" s="460" t="s">
        <v>1645</v>
      </c>
      <c r="S885" s="460" t="s">
        <v>1528</v>
      </c>
      <c r="T885" s="495" t="s">
        <v>1646</v>
      </c>
      <c r="U885" s="471"/>
      <c r="V885" s="471"/>
      <c r="W885" s="503"/>
      <c r="X885" s="471"/>
      <c r="Y885" s="206"/>
      <c r="Z885" s="206"/>
    </row>
    <row r="886" spans="1:26">
      <c r="A886" s="406">
        <v>883</v>
      </c>
      <c r="B886" s="613" t="s">
        <v>7020</v>
      </c>
      <c r="C886" s="483" t="s">
        <v>1723</v>
      </c>
      <c r="D886" s="414" t="s">
        <v>4884</v>
      </c>
      <c r="E886" s="407" t="s">
        <v>4884</v>
      </c>
      <c r="F886" s="483"/>
      <c r="G886" s="483"/>
      <c r="H886" s="483"/>
      <c r="I886" s="483"/>
      <c r="J886" s="483"/>
      <c r="K886" s="483"/>
      <c r="L886" s="608" t="s">
        <v>4884</v>
      </c>
      <c r="M886" s="409" t="s">
        <v>4884</v>
      </c>
      <c r="N886" s="409" t="s">
        <v>4884</v>
      </c>
      <c r="O886" s="410" t="s">
        <v>4884</v>
      </c>
      <c r="P886" s="406">
        <v>883</v>
      </c>
      <c r="Q886" s="460" t="s">
        <v>1723</v>
      </c>
      <c r="R886" s="460" t="s">
        <v>1645</v>
      </c>
      <c r="S886" s="460" t="s">
        <v>1528</v>
      </c>
      <c r="T886" s="495" t="s">
        <v>1646</v>
      </c>
      <c r="U886" s="471"/>
      <c r="V886" s="471"/>
      <c r="W886" s="503"/>
      <c r="X886" s="471"/>
      <c r="Y886" s="206"/>
      <c r="Z886" s="206"/>
    </row>
    <row r="887" spans="1:26">
      <c r="A887" s="406">
        <v>884</v>
      </c>
      <c r="B887" s="613" t="s">
        <v>7020</v>
      </c>
      <c r="C887" s="483" t="s">
        <v>1724</v>
      </c>
      <c r="D887" s="414" t="s">
        <v>4884</v>
      </c>
      <c r="E887" s="407" t="s">
        <v>4884</v>
      </c>
      <c r="F887" s="483"/>
      <c r="G887" s="483"/>
      <c r="H887" s="483"/>
      <c r="I887" s="483"/>
      <c r="J887" s="483"/>
      <c r="K887" s="483"/>
      <c r="L887" s="608" t="s">
        <v>4884</v>
      </c>
      <c r="M887" s="409" t="s">
        <v>4884</v>
      </c>
      <c r="N887" s="409" t="s">
        <v>4884</v>
      </c>
      <c r="O887" s="410" t="s">
        <v>4884</v>
      </c>
      <c r="P887" s="406">
        <v>884</v>
      </c>
      <c r="Q887" s="460" t="s">
        <v>1724</v>
      </c>
      <c r="R887" s="460" t="s">
        <v>1645</v>
      </c>
      <c r="S887" s="460" t="s">
        <v>1528</v>
      </c>
      <c r="T887" s="495" t="s">
        <v>1646</v>
      </c>
      <c r="U887" s="471"/>
      <c r="V887" s="471"/>
      <c r="W887" s="503"/>
      <c r="X887" s="471"/>
      <c r="Y887" s="206"/>
      <c r="Z887" s="206"/>
    </row>
    <row r="888" spans="1:26">
      <c r="A888" s="406">
        <v>885</v>
      </c>
      <c r="B888" s="613" t="s">
        <v>7020</v>
      </c>
      <c r="C888" s="483" t="s">
        <v>1725</v>
      </c>
      <c r="D888" s="414" t="s">
        <v>4884</v>
      </c>
      <c r="E888" s="407" t="s">
        <v>4884</v>
      </c>
      <c r="F888" s="483"/>
      <c r="G888" s="483"/>
      <c r="H888" s="483"/>
      <c r="I888" s="483"/>
      <c r="J888" s="483"/>
      <c r="K888" s="483"/>
      <c r="L888" s="608" t="s">
        <v>4884</v>
      </c>
      <c r="M888" s="409" t="s">
        <v>4884</v>
      </c>
      <c r="N888" s="409" t="s">
        <v>4884</v>
      </c>
      <c r="O888" s="410" t="s">
        <v>4884</v>
      </c>
      <c r="P888" s="406">
        <v>885</v>
      </c>
      <c r="Q888" s="460" t="s">
        <v>1725</v>
      </c>
      <c r="R888" s="460" t="s">
        <v>1645</v>
      </c>
      <c r="S888" s="460" t="s">
        <v>1528</v>
      </c>
      <c r="T888" s="495" t="s">
        <v>1646</v>
      </c>
      <c r="U888" s="471"/>
      <c r="V888" s="471"/>
      <c r="W888" s="503"/>
      <c r="X888" s="471"/>
      <c r="Y888" s="206"/>
      <c r="Z888" s="206"/>
    </row>
    <row r="889" spans="1:26">
      <c r="A889" s="406">
        <v>886</v>
      </c>
      <c r="B889" s="613" t="s">
        <v>7020</v>
      </c>
      <c r="C889" s="483" t="s">
        <v>1726</v>
      </c>
      <c r="D889" s="414" t="s">
        <v>4884</v>
      </c>
      <c r="E889" s="407" t="s">
        <v>4884</v>
      </c>
      <c r="F889" s="483"/>
      <c r="G889" s="483"/>
      <c r="H889" s="483"/>
      <c r="I889" s="483"/>
      <c r="J889" s="483"/>
      <c r="K889" s="483"/>
      <c r="L889" s="608" t="s">
        <v>4884</v>
      </c>
      <c r="M889" s="409" t="s">
        <v>4884</v>
      </c>
      <c r="N889" s="409" t="s">
        <v>4884</v>
      </c>
      <c r="O889" s="410" t="s">
        <v>4884</v>
      </c>
      <c r="P889" s="406">
        <v>886</v>
      </c>
      <c r="Q889" s="460" t="s">
        <v>1726</v>
      </c>
      <c r="R889" s="460" t="s">
        <v>1727</v>
      </c>
      <c r="S889" s="460" t="s">
        <v>1528</v>
      </c>
      <c r="T889" s="495" t="s">
        <v>1728</v>
      </c>
      <c r="U889" s="471"/>
      <c r="V889" s="471"/>
      <c r="W889" s="503"/>
      <c r="X889" s="471"/>
      <c r="Y889" s="206"/>
      <c r="Z889" s="206"/>
    </row>
    <row r="890" spans="1:26">
      <c r="A890" s="406">
        <v>887</v>
      </c>
      <c r="B890" s="613" t="s">
        <v>7020</v>
      </c>
      <c r="C890" s="483" t="s">
        <v>1729</v>
      </c>
      <c r="D890" s="414" t="s">
        <v>4884</v>
      </c>
      <c r="E890" s="407" t="s">
        <v>4884</v>
      </c>
      <c r="F890" s="483"/>
      <c r="G890" s="483"/>
      <c r="H890" s="483"/>
      <c r="I890" s="483"/>
      <c r="J890" s="483"/>
      <c r="K890" s="483"/>
      <c r="L890" s="608" t="s">
        <v>4884</v>
      </c>
      <c r="M890" s="409" t="s">
        <v>4884</v>
      </c>
      <c r="N890" s="409" t="s">
        <v>4884</v>
      </c>
      <c r="O890" s="410" t="s">
        <v>4884</v>
      </c>
      <c r="P890" s="406">
        <v>887</v>
      </c>
      <c r="Q890" s="460" t="s">
        <v>1729</v>
      </c>
      <c r="R890" s="460" t="s">
        <v>1730</v>
      </c>
      <c r="S890" s="460" t="s">
        <v>1528</v>
      </c>
      <c r="T890" s="504" t="s">
        <v>1731</v>
      </c>
      <c r="U890" s="471"/>
      <c r="V890" s="471"/>
      <c r="W890" s="503"/>
      <c r="X890" s="471"/>
      <c r="Y890" s="206"/>
      <c r="Z890" s="206"/>
    </row>
    <row r="891" spans="1:26">
      <c r="A891" s="406">
        <v>888</v>
      </c>
      <c r="B891" s="613" t="s">
        <v>7020</v>
      </c>
      <c r="C891" s="483" t="s">
        <v>1732</v>
      </c>
      <c r="D891" s="414" t="s">
        <v>4884</v>
      </c>
      <c r="E891" s="407" t="s">
        <v>4884</v>
      </c>
      <c r="F891" s="483"/>
      <c r="G891" s="483"/>
      <c r="H891" s="483"/>
      <c r="I891" s="483"/>
      <c r="J891" s="483"/>
      <c r="K891" s="483"/>
      <c r="L891" s="608" t="s">
        <v>4884</v>
      </c>
      <c r="M891" s="409" t="s">
        <v>4884</v>
      </c>
      <c r="N891" s="409" t="s">
        <v>4884</v>
      </c>
      <c r="O891" s="410" t="s">
        <v>4884</v>
      </c>
      <c r="P891" s="406">
        <v>888</v>
      </c>
      <c r="Q891" s="460" t="s">
        <v>1732</v>
      </c>
      <c r="R891" s="460" t="s">
        <v>1730</v>
      </c>
      <c r="S891" s="460" t="s">
        <v>1528</v>
      </c>
      <c r="T891" s="504" t="s">
        <v>1731</v>
      </c>
      <c r="U891" s="471"/>
      <c r="V891" s="471"/>
      <c r="W891" s="503"/>
      <c r="X891" s="471"/>
      <c r="Y891" s="206"/>
      <c r="Z891" s="206"/>
    </row>
    <row r="892" spans="1:26">
      <c r="A892" s="406">
        <v>889</v>
      </c>
      <c r="B892" s="613" t="s">
        <v>7020</v>
      </c>
      <c r="C892" s="483" t="s">
        <v>1733</v>
      </c>
      <c r="D892" s="414" t="s">
        <v>4884</v>
      </c>
      <c r="E892" s="407" t="s">
        <v>4884</v>
      </c>
      <c r="F892" s="483"/>
      <c r="G892" s="483"/>
      <c r="H892" s="483"/>
      <c r="I892" s="483"/>
      <c r="J892" s="483"/>
      <c r="K892" s="483"/>
      <c r="L892" s="608" t="s">
        <v>4884</v>
      </c>
      <c r="M892" s="409" t="s">
        <v>4884</v>
      </c>
      <c r="N892" s="409" t="s">
        <v>4884</v>
      </c>
      <c r="O892" s="410" t="s">
        <v>4884</v>
      </c>
      <c r="P892" s="406">
        <v>889</v>
      </c>
      <c r="Q892" s="460" t="s">
        <v>1733</v>
      </c>
      <c r="R892" s="460" t="s">
        <v>1730</v>
      </c>
      <c r="S892" s="460" t="s">
        <v>1528</v>
      </c>
      <c r="T892" s="504" t="s">
        <v>1731</v>
      </c>
      <c r="U892" s="471"/>
      <c r="V892" s="471"/>
      <c r="W892" s="503"/>
      <c r="X892" s="471"/>
      <c r="Y892" s="206"/>
      <c r="Z892" s="206"/>
    </row>
    <row r="893" spans="1:26">
      <c r="A893" s="406">
        <v>890</v>
      </c>
      <c r="B893" s="613" t="s">
        <v>7020</v>
      </c>
      <c r="C893" s="483" t="s">
        <v>1734</v>
      </c>
      <c r="D893" s="414" t="s">
        <v>4884</v>
      </c>
      <c r="E893" s="407" t="s">
        <v>4884</v>
      </c>
      <c r="F893" s="483"/>
      <c r="G893" s="483"/>
      <c r="H893" s="483"/>
      <c r="I893" s="483"/>
      <c r="J893" s="483"/>
      <c r="K893" s="483"/>
      <c r="L893" s="608" t="s">
        <v>4884</v>
      </c>
      <c r="M893" s="409" t="s">
        <v>4884</v>
      </c>
      <c r="N893" s="409" t="s">
        <v>4884</v>
      </c>
      <c r="O893" s="410" t="s">
        <v>4884</v>
      </c>
      <c r="P893" s="406">
        <v>890</v>
      </c>
      <c r="Q893" s="460" t="s">
        <v>1734</v>
      </c>
      <c r="R893" s="460" t="s">
        <v>1730</v>
      </c>
      <c r="S893" s="460" t="s">
        <v>1528</v>
      </c>
      <c r="T893" s="504" t="s">
        <v>1731</v>
      </c>
      <c r="U893" s="471"/>
      <c r="V893" s="471"/>
      <c r="W893" s="503"/>
      <c r="X893" s="471"/>
      <c r="Y893" s="206"/>
      <c r="Z893" s="206"/>
    </row>
    <row r="894" spans="1:26">
      <c r="A894" s="406">
        <v>891</v>
      </c>
      <c r="B894" s="613" t="s">
        <v>7020</v>
      </c>
      <c r="C894" s="483" t="s">
        <v>1735</v>
      </c>
      <c r="D894" s="414" t="s">
        <v>4884</v>
      </c>
      <c r="E894" s="407" t="s">
        <v>4884</v>
      </c>
      <c r="F894" s="483"/>
      <c r="G894" s="483"/>
      <c r="H894" s="483"/>
      <c r="I894" s="483"/>
      <c r="J894" s="483"/>
      <c r="K894" s="483"/>
      <c r="L894" s="608" t="s">
        <v>4884</v>
      </c>
      <c r="M894" s="409" t="s">
        <v>4884</v>
      </c>
      <c r="N894" s="409" t="s">
        <v>4884</v>
      </c>
      <c r="O894" s="410" t="s">
        <v>4884</v>
      </c>
      <c r="P894" s="406">
        <v>891</v>
      </c>
      <c r="Q894" s="460" t="s">
        <v>1735</v>
      </c>
      <c r="R894" s="460" t="s">
        <v>1730</v>
      </c>
      <c r="S894" s="460" t="s">
        <v>1528</v>
      </c>
      <c r="T894" s="504" t="s">
        <v>1731</v>
      </c>
      <c r="U894" s="471"/>
      <c r="V894" s="471"/>
      <c r="W894" s="503"/>
      <c r="X894" s="471"/>
      <c r="Y894" s="206"/>
      <c r="Z894" s="206"/>
    </row>
    <row r="895" spans="1:26">
      <c r="A895" s="406">
        <v>892</v>
      </c>
      <c r="B895" s="613" t="s">
        <v>7020</v>
      </c>
      <c r="C895" s="483" t="s">
        <v>1736</v>
      </c>
      <c r="D895" s="414" t="s">
        <v>4884</v>
      </c>
      <c r="E895" s="407" t="s">
        <v>4884</v>
      </c>
      <c r="F895" s="483"/>
      <c r="G895" s="483"/>
      <c r="H895" s="483"/>
      <c r="I895" s="483"/>
      <c r="J895" s="483"/>
      <c r="K895" s="483"/>
      <c r="L895" s="608" t="s">
        <v>4884</v>
      </c>
      <c r="M895" s="409" t="s">
        <v>4884</v>
      </c>
      <c r="N895" s="409" t="s">
        <v>4884</v>
      </c>
      <c r="O895" s="410" t="s">
        <v>4884</v>
      </c>
      <c r="P895" s="406">
        <v>892</v>
      </c>
      <c r="Q895" s="460" t="s">
        <v>1736</v>
      </c>
      <c r="R895" s="460" t="s">
        <v>1730</v>
      </c>
      <c r="S895" s="460" t="s">
        <v>1528</v>
      </c>
      <c r="T895" s="504" t="s">
        <v>1731</v>
      </c>
      <c r="U895" s="471"/>
      <c r="V895" s="471"/>
      <c r="W895" s="502"/>
      <c r="X895" s="471"/>
      <c r="Y895" s="206"/>
      <c r="Z895" s="206"/>
    </row>
    <row r="896" spans="1:26">
      <c r="A896" s="406">
        <v>893</v>
      </c>
      <c r="B896" s="613" t="s">
        <v>7020</v>
      </c>
      <c r="C896" s="483" t="s">
        <v>1737</v>
      </c>
      <c r="D896" s="414" t="s">
        <v>4884</v>
      </c>
      <c r="E896" s="407" t="s">
        <v>4884</v>
      </c>
      <c r="F896" s="483"/>
      <c r="G896" s="483"/>
      <c r="H896" s="483"/>
      <c r="I896" s="483"/>
      <c r="J896" s="483"/>
      <c r="K896" s="483"/>
      <c r="L896" s="608" t="s">
        <v>4884</v>
      </c>
      <c r="M896" s="409" t="s">
        <v>4884</v>
      </c>
      <c r="N896" s="409" t="s">
        <v>4884</v>
      </c>
      <c r="O896" s="410" t="s">
        <v>4884</v>
      </c>
      <c r="P896" s="406">
        <v>893</v>
      </c>
      <c r="Q896" s="460" t="s">
        <v>1737</v>
      </c>
      <c r="R896" s="460" t="s">
        <v>1730</v>
      </c>
      <c r="S896" s="460" t="s">
        <v>1528</v>
      </c>
      <c r="T896" s="504" t="s">
        <v>1731</v>
      </c>
      <c r="U896" s="471"/>
      <c r="V896" s="471"/>
      <c r="W896" s="502"/>
      <c r="X896" s="471"/>
      <c r="Y896" s="206"/>
      <c r="Z896" s="206"/>
    </row>
    <row r="897" spans="1:26">
      <c r="A897" s="406">
        <v>894</v>
      </c>
      <c r="B897" s="613" t="s">
        <v>7020</v>
      </c>
      <c r="C897" s="483" t="s">
        <v>1738</v>
      </c>
      <c r="D897" s="414" t="s">
        <v>4884</v>
      </c>
      <c r="E897" s="407" t="s">
        <v>4884</v>
      </c>
      <c r="F897" s="483"/>
      <c r="G897" s="483"/>
      <c r="H897" s="483"/>
      <c r="I897" s="483"/>
      <c r="J897" s="483"/>
      <c r="K897" s="483"/>
      <c r="L897" s="608" t="s">
        <v>4884</v>
      </c>
      <c r="M897" s="409" t="s">
        <v>4884</v>
      </c>
      <c r="N897" s="409" t="s">
        <v>4884</v>
      </c>
      <c r="O897" s="410" t="s">
        <v>4884</v>
      </c>
      <c r="P897" s="406">
        <v>894</v>
      </c>
      <c r="Q897" s="460" t="s">
        <v>1738</v>
      </c>
      <c r="R897" s="460" t="s">
        <v>1730</v>
      </c>
      <c r="S897" s="460" t="s">
        <v>1528</v>
      </c>
      <c r="T897" s="504" t="s">
        <v>1731</v>
      </c>
      <c r="U897" s="471"/>
      <c r="V897" s="471"/>
      <c r="W897" s="502"/>
      <c r="X897" s="471"/>
      <c r="Y897" s="206"/>
      <c r="Z897" s="206"/>
    </row>
    <row r="898" spans="1:26">
      <c r="A898" s="406">
        <v>895</v>
      </c>
      <c r="B898" s="613" t="s">
        <v>7020</v>
      </c>
      <c r="C898" s="483" t="s">
        <v>1739</v>
      </c>
      <c r="D898" s="414" t="s">
        <v>4884</v>
      </c>
      <c r="E898" s="407" t="s">
        <v>4884</v>
      </c>
      <c r="F898" s="483"/>
      <c r="G898" s="483"/>
      <c r="H898" s="483"/>
      <c r="I898" s="483"/>
      <c r="J898" s="483"/>
      <c r="K898" s="483"/>
      <c r="L898" s="608" t="s">
        <v>4884</v>
      </c>
      <c r="M898" s="409" t="s">
        <v>4884</v>
      </c>
      <c r="N898" s="409" t="s">
        <v>4884</v>
      </c>
      <c r="O898" s="410" t="s">
        <v>4884</v>
      </c>
      <c r="P898" s="406">
        <v>895</v>
      </c>
      <c r="Q898" s="460" t="s">
        <v>1739</v>
      </c>
      <c r="R898" s="460" t="s">
        <v>1730</v>
      </c>
      <c r="S898" s="460" t="s">
        <v>1528</v>
      </c>
      <c r="T898" s="504" t="s">
        <v>1731</v>
      </c>
      <c r="U898" s="471"/>
      <c r="V898" s="471"/>
      <c r="W898" s="502"/>
      <c r="X898" s="471"/>
      <c r="Y898" s="206"/>
      <c r="Z898" s="206"/>
    </row>
    <row r="899" spans="1:26">
      <c r="A899" s="406">
        <v>896</v>
      </c>
      <c r="B899" s="613" t="s">
        <v>7020</v>
      </c>
      <c r="C899" s="483" t="s">
        <v>1740</v>
      </c>
      <c r="D899" s="414" t="s">
        <v>4884</v>
      </c>
      <c r="E899" s="407" t="s">
        <v>4884</v>
      </c>
      <c r="F899" s="483"/>
      <c r="G899" s="483"/>
      <c r="H899" s="483"/>
      <c r="I899" s="483"/>
      <c r="J899" s="483"/>
      <c r="K899" s="483"/>
      <c r="L899" s="608" t="s">
        <v>4884</v>
      </c>
      <c r="M899" s="409" t="s">
        <v>4884</v>
      </c>
      <c r="N899" s="409" t="s">
        <v>4884</v>
      </c>
      <c r="O899" s="410" t="s">
        <v>4884</v>
      </c>
      <c r="P899" s="406">
        <v>896</v>
      </c>
      <c r="Q899" s="460" t="s">
        <v>1740</v>
      </c>
      <c r="R899" s="460" t="s">
        <v>1730</v>
      </c>
      <c r="S899" s="460" t="s">
        <v>1528</v>
      </c>
      <c r="T899" s="504" t="s">
        <v>1731</v>
      </c>
      <c r="U899" s="471"/>
      <c r="V899" s="471"/>
      <c r="W899" s="502"/>
      <c r="X899" s="471"/>
      <c r="Y899" s="206"/>
      <c r="Z899" s="206"/>
    </row>
    <row r="900" spans="1:26">
      <c r="A900" s="406">
        <v>897</v>
      </c>
      <c r="B900" s="613" t="s">
        <v>7020</v>
      </c>
      <c r="C900" s="483" t="s">
        <v>1741</v>
      </c>
      <c r="D900" s="414" t="s">
        <v>4884</v>
      </c>
      <c r="E900" s="407" t="s">
        <v>4884</v>
      </c>
      <c r="F900" s="483"/>
      <c r="G900" s="483"/>
      <c r="H900" s="483"/>
      <c r="I900" s="483"/>
      <c r="J900" s="483"/>
      <c r="K900" s="483"/>
      <c r="L900" s="608" t="s">
        <v>4884</v>
      </c>
      <c r="M900" s="409" t="s">
        <v>4884</v>
      </c>
      <c r="N900" s="409" t="s">
        <v>4884</v>
      </c>
      <c r="O900" s="410" t="s">
        <v>4884</v>
      </c>
      <c r="P900" s="406">
        <v>897</v>
      </c>
      <c r="Q900" s="460" t="s">
        <v>1741</v>
      </c>
      <c r="R900" s="460" t="s">
        <v>1730</v>
      </c>
      <c r="S900" s="460" t="s">
        <v>1528</v>
      </c>
      <c r="T900" s="504" t="s">
        <v>1731</v>
      </c>
      <c r="U900" s="471"/>
      <c r="V900" s="471"/>
      <c r="W900" s="502"/>
      <c r="X900" s="471"/>
      <c r="Y900" s="206"/>
      <c r="Z900" s="206"/>
    </row>
    <row r="901" spans="1:26">
      <c r="A901" s="406">
        <v>898</v>
      </c>
      <c r="B901" s="613" t="s">
        <v>7020</v>
      </c>
      <c r="C901" s="483" t="s">
        <v>1742</v>
      </c>
      <c r="D901" s="414" t="s">
        <v>4884</v>
      </c>
      <c r="E901" s="407" t="s">
        <v>4884</v>
      </c>
      <c r="F901" s="483"/>
      <c r="G901" s="483"/>
      <c r="H901" s="483"/>
      <c r="I901" s="483"/>
      <c r="J901" s="483"/>
      <c r="K901" s="483"/>
      <c r="L901" s="608" t="s">
        <v>4884</v>
      </c>
      <c r="M901" s="409" t="s">
        <v>4884</v>
      </c>
      <c r="N901" s="409" t="s">
        <v>4884</v>
      </c>
      <c r="O901" s="410" t="s">
        <v>4884</v>
      </c>
      <c r="P901" s="406">
        <v>898</v>
      </c>
      <c r="Q901" s="460" t="s">
        <v>1742</v>
      </c>
      <c r="R901" s="460" t="s">
        <v>1730</v>
      </c>
      <c r="S901" s="460" t="s">
        <v>1528</v>
      </c>
      <c r="T901" s="504" t="s">
        <v>1731</v>
      </c>
      <c r="U901" s="471"/>
      <c r="V901" s="471"/>
      <c r="W901" s="502"/>
      <c r="X901" s="471"/>
      <c r="Y901" s="206"/>
      <c r="Z901" s="206"/>
    </row>
    <row r="902" spans="1:26">
      <c r="A902" s="406">
        <v>899</v>
      </c>
      <c r="B902" s="613" t="s">
        <v>7020</v>
      </c>
      <c r="C902" s="483" t="s">
        <v>1743</v>
      </c>
      <c r="D902" s="414" t="s">
        <v>4884</v>
      </c>
      <c r="E902" s="407" t="s">
        <v>4884</v>
      </c>
      <c r="F902" s="483"/>
      <c r="G902" s="483"/>
      <c r="H902" s="483"/>
      <c r="I902" s="483"/>
      <c r="J902" s="483"/>
      <c r="K902" s="483"/>
      <c r="L902" s="608" t="s">
        <v>4884</v>
      </c>
      <c r="M902" s="409" t="s">
        <v>4884</v>
      </c>
      <c r="N902" s="409" t="s">
        <v>4884</v>
      </c>
      <c r="O902" s="410" t="s">
        <v>4884</v>
      </c>
      <c r="P902" s="406">
        <v>899</v>
      </c>
      <c r="Q902" s="460" t="s">
        <v>1743</v>
      </c>
      <c r="R902" s="460" t="s">
        <v>1730</v>
      </c>
      <c r="S902" s="460" t="s">
        <v>1528</v>
      </c>
      <c r="T902" s="504" t="s">
        <v>1731</v>
      </c>
      <c r="U902" s="471"/>
      <c r="V902" s="471"/>
      <c r="W902" s="502"/>
      <c r="X902" s="471"/>
      <c r="Y902" s="206"/>
      <c r="Z902" s="206"/>
    </row>
    <row r="903" spans="1:26">
      <c r="A903" s="406">
        <v>900</v>
      </c>
      <c r="B903" s="613" t="s">
        <v>7020</v>
      </c>
      <c r="C903" s="483" t="s">
        <v>1744</v>
      </c>
      <c r="D903" s="414" t="s">
        <v>4884</v>
      </c>
      <c r="E903" s="407" t="s">
        <v>4884</v>
      </c>
      <c r="F903" s="483"/>
      <c r="G903" s="483"/>
      <c r="H903" s="483"/>
      <c r="I903" s="483"/>
      <c r="J903" s="483"/>
      <c r="K903" s="483"/>
      <c r="L903" s="608" t="s">
        <v>4884</v>
      </c>
      <c r="M903" s="409" t="s">
        <v>4884</v>
      </c>
      <c r="N903" s="409" t="s">
        <v>4884</v>
      </c>
      <c r="O903" s="410" t="s">
        <v>4884</v>
      </c>
      <c r="P903" s="406">
        <v>900</v>
      </c>
      <c r="Q903" s="460" t="s">
        <v>1744</v>
      </c>
      <c r="R903" s="460" t="s">
        <v>1730</v>
      </c>
      <c r="S903" s="460" t="s">
        <v>1528</v>
      </c>
      <c r="T903" s="504" t="s">
        <v>1731</v>
      </c>
      <c r="U903" s="471"/>
      <c r="V903" s="471"/>
      <c r="W903" s="502"/>
      <c r="X903" s="471"/>
      <c r="Y903" s="206"/>
      <c r="Z903" s="206"/>
    </row>
    <row r="904" spans="1:26">
      <c r="A904" s="406">
        <v>901</v>
      </c>
      <c r="B904" s="613" t="s">
        <v>7020</v>
      </c>
      <c r="C904" s="483" t="s">
        <v>1745</v>
      </c>
      <c r="D904" s="414" t="s">
        <v>4884</v>
      </c>
      <c r="E904" s="407" t="s">
        <v>4884</v>
      </c>
      <c r="F904" s="483"/>
      <c r="G904" s="483"/>
      <c r="H904" s="483"/>
      <c r="I904" s="483"/>
      <c r="J904" s="483"/>
      <c r="K904" s="483"/>
      <c r="L904" s="608" t="s">
        <v>4884</v>
      </c>
      <c r="M904" s="409" t="s">
        <v>4884</v>
      </c>
      <c r="N904" s="409" t="s">
        <v>4884</v>
      </c>
      <c r="O904" s="410" t="s">
        <v>4884</v>
      </c>
      <c r="P904" s="406">
        <v>901</v>
      </c>
      <c r="Q904" s="460" t="s">
        <v>1745</v>
      </c>
      <c r="R904" s="460" t="s">
        <v>1730</v>
      </c>
      <c r="S904" s="460" t="s">
        <v>1528</v>
      </c>
      <c r="T904" s="504" t="s">
        <v>1731</v>
      </c>
      <c r="U904" s="471"/>
      <c r="V904" s="471"/>
      <c r="W904" s="502"/>
      <c r="X904" s="471"/>
      <c r="Y904" s="206"/>
      <c r="Z904" s="206"/>
    </row>
    <row r="905" spans="1:26">
      <c r="A905" s="406">
        <v>902</v>
      </c>
      <c r="B905" s="613" t="s">
        <v>7020</v>
      </c>
      <c r="C905" s="483" t="s">
        <v>1746</v>
      </c>
      <c r="D905" s="414" t="s">
        <v>4884</v>
      </c>
      <c r="E905" s="407" t="s">
        <v>4884</v>
      </c>
      <c r="F905" s="483"/>
      <c r="G905" s="483"/>
      <c r="H905" s="483"/>
      <c r="I905" s="483"/>
      <c r="J905" s="483"/>
      <c r="K905" s="483"/>
      <c r="L905" s="608" t="s">
        <v>4884</v>
      </c>
      <c r="M905" s="409" t="s">
        <v>4884</v>
      </c>
      <c r="N905" s="409" t="s">
        <v>4884</v>
      </c>
      <c r="O905" s="410" t="s">
        <v>4884</v>
      </c>
      <c r="P905" s="406">
        <v>902</v>
      </c>
      <c r="Q905" s="460" t="s">
        <v>1746</v>
      </c>
      <c r="R905" s="460" t="s">
        <v>1730</v>
      </c>
      <c r="S905" s="460" t="s">
        <v>1528</v>
      </c>
      <c r="T905" s="504" t="s">
        <v>1731</v>
      </c>
      <c r="U905" s="471"/>
      <c r="V905" s="471"/>
      <c r="W905" s="505"/>
      <c r="X905" s="471"/>
      <c r="Y905" s="206"/>
      <c r="Z905" s="206"/>
    </row>
    <row r="906" spans="1:26">
      <c r="A906" s="406">
        <v>903</v>
      </c>
      <c r="B906" s="613" t="s">
        <v>7020</v>
      </c>
      <c r="C906" s="483" t="s">
        <v>1747</v>
      </c>
      <c r="D906" s="414" t="s">
        <v>4884</v>
      </c>
      <c r="E906" s="407" t="s">
        <v>4884</v>
      </c>
      <c r="F906" s="483"/>
      <c r="G906" s="483"/>
      <c r="H906" s="483"/>
      <c r="I906" s="483"/>
      <c r="J906" s="483"/>
      <c r="K906" s="483"/>
      <c r="L906" s="608" t="s">
        <v>4884</v>
      </c>
      <c r="M906" s="409" t="s">
        <v>4884</v>
      </c>
      <c r="N906" s="409" t="s">
        <v>4884</v>
      </c>
      <c r="O906" s="410" t="s">
        <v>4884</v>
      </c>
      <c r="P906" s="406">
        <v>903</v>
      </c>
      <c r="Q906" s="460" t="s">
        <v>1747</v>
      </c>
      <c r="R906" s="460" t="s">
        <v>1730</v>
      </c>
      <c r="S906" s="460" t="s">
        <v>1528</v>
      </c>
      <c r="T906" s="504" t="s">
        <v>1731</v>
      </c>
      <c r="U906" s="471"/>
      <c r="V906" s="471"/>
      <c r="W906" s="505"/>
      <c r="X906" s="471"/>
      <c r="Y906" s="206"/>
      <c r="Z906" s="206"/>
    </row>
    <row r="907" spans="1:26">
      <c r="A907" s="406">
        <v>904</v>
      </c>
      <c r="B907" s="613" t="s">
        <v>7020</v>
      </c>
      <c r="C907" s="483" t="s">
        <v>1748</v>
      </c>
      <c r="D907" s="414" t="s">
        <v>4884</v>
      </c>
      <c r="E907" s="407" t="s">
        <v>4884</v>
      </c>
      <c r="F907" s="483"/>
      <c r="G907" s="483"/>
      <c r="H907" s="483"/>
      <c r="I907" s="483"/>
      <c r="J907" s="483"/>
      <c r="K907" s="483"/>
      <c r="L907" s="608" t="s">
        <v>4884</v>
      </c>
      <c r="M907" s="409" t="s">
        <v>4884</v>
      </c>
      <c r="N907" s="409" t="s">
        <v>4884</v>
      </c>
      <c r="O907" s="410" t="s">
        <v>4884</v>
      </c>
      <c r="P907" s="406">
        <v>904</v>
      </c>
      <c r="Q907" s="460" t="s">
        <v>1748</v>
      </c>
      <c r="R907" s="460" t="s">
        <v>1730</v>
      </c>
      <c r="S907" s="460" t="s">
        <v>1528</v>
      </c>
      <c r="T907" s="504" t="s">
        <v>1731</v>
      </c>
      <c r="U907" s="471"/>
      <c r="V907" s="471"/>
      <c r="W907" s="506"/>
      <c r="X907" s="471"/>
      <c r="Y907" s="206"/>
      <c r="Z907" s="206"/>
    </row>
    <row r="908" spans="1:26">
      <c r="A908" s="406">
        <v>905</v>
      </c>
      <c r="B908" s="613" t="s">
        <v>7020</v>
      </c>
      <c r="C908" s="483" t="s">
        <v>1749</v>
      </c>
      <c r="D908" s="414" t="s">
        <v>4884</v>
      </c>
      <c r="E908" s="407" t="s">
        <v>4884</v>
      </c>
      <c r="F908" s="483"/>
      <c r="G908" s="483"/>
      <c r="H908" s="483"/>
      <c r="I908" s="483"/>
      <c r="J908" s="483"/>
      <c r="K908" s="483"/>
      <c r="L908" s="608" t="s">
        <v>4884</v>
      </c>
      <c r="M908" s="409" t="s">
        <v>4884</v>
      </c>
      <c r="N908" s="409" t="s">
        <v>4884</v>
      </c>
      <c r="O908" s="410" t="s">
        <v>4884</v>
      </c>
      <c r="P908" s="406">
        <v>905</v>
      </c>
      <c r="Q908" s="460" t="s">
        <v>1749</v>
      </c>
      <c r="R908" s="460" t="s">
        <v>1730</v>
      </c>
      <c r="S908" s="460" t="s">
        <v>1528</v>
      </c>
      <c r="T908" s="504" t="s">
        <v>1731</v>
      </c>
      <c r="U908" s="471"/>
      <c r="V908" s="471"/>
      <c r="W908" s="506"/>
      <c r="X908" s="471"/>
      <c r="Y908" s="206"/>
      <c r="Z908" s="206"/>
    </row>
    <row r="909" spans="1:26">
      <c r="A909" s="406">
        <v>906</v>
      </c>
      <c r="B909" s="613" t="s">
        <v>7020</v>
      </c>
      <c r="C909" s="483" t="s">
        <v>1750</v>
      </c>
      <c r="D909" s="414" t="s">
        <v>4884</v>
      </c>
      <c r="E909" s="407" t="s">
        <v>4884</v>
      </c>
      <c r="F909" s="483"/>
      <c r="G909" s="483"/>
      <c r="H909" s="483"/>
      <c r="I909" s="483"/>
      <c r="J909" s="483"/>
      <c r="K909" s="483"/>
      <c r="L909" s="608" t="s">
        <v>4884</v>
      </c>
      <c r="M909" s="409" t="s">
        <v>4884</v>
      </c>
      <c r="N909" s="409" t="s">
        <v>4884</v>
      </c>
      <c r="O909" s="410" t="s">
        <v>4884</v>
      </c>
      <c r="P909" s="406">
        <v>906</v>
      </c>
      <c r="Q909" s="460" t="s">
        <v>1750</v>
      </c>
      <c r="R909" s="460" t="s">
        <v>1730</v>
      </c>
      <c r="S909" s="460" t="s">
        <v>1528</v>
      </c>
      <c r="T909" s="504" t="s">
        <v>1731</v>
      </c>
      <c r="U909" s="471"/>
      <c r="V909" s="471"/>
      <c r="W909" s="488"/>
      <c r="X909" s="471"/>
      <c r="Y909" s="206"/>
      <c r="Z909" s="206"/>
    </row>
    <row r="910" spans="1:26">
      <c r="A910" s="406">
        <v>907</v>
      </c>
      <c r="B910" s="613" t="s">
        <v>7020</v>
      </c>
      <c r="C910" s="483" t="s">
        <v>1751</v>
      </c>
      <c r="D910" s="414" t="s">
        <v>4884</v>
      </c>
      <c r="E910" s="407" t="s">
        <v>4884</v>
      </c>
      <c r="F910" s="483"/>
      <c r="G910" s="483"/>
      <c r="H910" s="483"/>
      <c r="I910" s="483"/>
      <c r="J910" s="483"/>
      <c r="K910" s="483"/>
      <c r="L910" s="608" t="s">
        <v>4884</v>
      </c>
      <c r="M910" s="409" t="s">
        <v>4884</v>
      </c>
      <c r="N910" s="409" t="s">
        <v>4884</v>
      </c>
      <c r="O910" s="410" t="s">
        <v>4884</v>
      </c>
      <c r="P910" s="406">
        <v>907</v>
      </c>
      <c r="Q910" s="460" t="s">
        <v>1751</v>
      </c>
      <c r="R910" s="460" t="s">
        <v>1730</v>
      </c>
      <c r="S910" s="460" t="s">
        <v>1528</v>
      </c>
      <c r="T910" s="504" t="s">
        <v>1731</v>
      </c>
      <c r="U910" s="471"/>
      <c r="V910" s="471"/>
      <c r="W910" s="488"/>
      <c r="X910" s="471"/>
      <c r="Y910" s="206"/>
      <c r="Z910" s="206"/>
    </row>
    <row r="911" spans="1:26">
      <c r="A911" s="406">
        <v>908</v>
      </c>
      <c r="B911" s="613" t="s">
        <v>7020</v>
      </c>
      <c r="C911" s="483" t="s">
        <v>1752</v>
      </c>
      <c r="D911" s="414" t="s">
        <v>4884</v>
      </c>
      <c r="E911" s="407" t="s">
        <v>4884</v>
      </c>
      <c r="F911" s="483"/>
      <c r="G911" s="483"/>
      <c r="H911" s="483"/>
      <c r="I911" s="483"/>
      <c r="J911" s="483"/>
      <c r="K911" s="483"/>
      <c r="L911" s="608" t="s">
        <v>4884</v>
      </c>
      <c r="M911" s="409" t="s">
        <v>4884</v>
      </c>
      <c r="N911" s="409" t="s">
        <v>4884</v>
      </c>
      <c r="O911" s="410" t="s">
        <v>4884</v>
      </c>
      <c r="P911" s="406">
        <v>908</v>
      </c>
      <c r="Q911" s="460" t="s">
        <v>1752</v>
      </c>
      <c r="R911" s="460" t="s">
        <v>1730</v>
      </c>
      <c r="S911" s="460" t="s">
        <v>1528</v>
      </c>
      <c r="T911" s="504" t="s">
        <v>1731</v>
      </c>
      <c r="U911" s="471"/>
      <c r="V911" s="471"/>
      <c r="W911" s="488"/>
      <c r="X911" s="471"/>
      <c r="Y911" s="206"/>
      <c r="Z911" s="206"/>
    </row>
    <row r="912" spans="1:26">
      <c r="A912" s="406">
        <v>909</v>
      </c>
      <c r="B912" s="613" t="s">
        <v>7020</v>
      </c>
      <c r="C912" s="483" t="s">
        <v>1753</v>
      </c>
      <c r="D912" s="414" t="s">
        <v>4884</v>
      </c>
      <c r="E912" s="407" t="s">
        <v>4884</v>
      </c>
      <c r="F912" s="483"/>
      <c r="G912" s="483"/>
      <c r="H912" s="483"/>
      <c r="I912" s="483"/>
      <c r="J912" s="483"/>
      <c r="K912" s="483"/>
      <c r="L912" s="608" t="s">
        <v>4884</v>
      </c>
      <c r="M912" s="409" t="s">
        <v>4884</v>
      </c>
      <c r="N912" s="409" t="s">
        <v>4884</v>
      </c>
      <c r="O912" s="410" t="s">
        <v>4884</v>
      </c>
      <c r="P912" s="406">
        <v>909</v>
      </c>
      <c r="Q912" s="460" t="s">
        <v>1753</v>
      </c>
      <c r="R912" s="460" t="s">
        <v>1730</v>
      </c>
      <c r="S912" s="460" t="s">
        <v>1528</v>
      </c>
      <c r="T912" s="504" t="s">
        <v>1731</v>
      </c>
      <c r="U912" s="471"/>
      <c r="V912" s="471"/>
      <c r="W912" s="488"/>
      <c r="X912" s="471"/>
      <c r="Y912" s="206"/>
      <c r="Z912" s="206"/>
    </row>
    <row r="913" spans="1:26">
      <c r="A913" s="406">
        <v>910</v>
      </c>
      <c r="B913" s="613" t="s">
        <v>7020</v>
      </c>
      <c r="C913" s="483" t="s">
        <v>1754</v>
      </c>
      <c r="D913" s="414" t="s">
        <v>4884</v>
      </c>
      <c r="E913" s="407" t="s">
        <v>4884</v>
      </c>
      <c r="F913" s="483"/>
      <c r="G913" s="483"/>
      <c r="H913" s="483"/>
      <c r="I913" s="483"/>
      <c r="J913" s="483"/>
      <c r="K913" s="483"/>
      <c r="L913" s="608" t="s">
        <v>4884</v>
      </c>
      <c r="M913" s="409" t="s">
        <v>4884</v>
      </c>
      <c r="N913" s="409" t="s">
        <v>4884</v>
      </c>
      <c r="O913" s="410" t="s">
        <v>4884</v>
      </c>
      <c r="P913" s="406">
        <v>910</v>
      </c>
      <c r="Q913" s="460" t="s">
        <v>1754</v>
      </c>
      <c r="R913" s="460" t="s">
        <v>1730</v>
      </c>
      <c r="S913" s="460" t="s">
        <v>1528</v>
      </c>
      <c r="T913" s="504" t="s">
        <v>1731</v>
      </c>
      <c r="U913" s="471"/>
      <c r="V913" s="471"/>
      <c r="W913" s="488"/>
      <c r="X913" s="471"/>
      <c r="Y913" s="206"/>
      <c r="Z913" s="206"/>
    </row>
    <row r="914" spans="1:26">
      <c r="A914" s="406">
        <v>911</v>
      </c>
      <c r="B914" s="613" t="s">
        <v>7020</v>
      </c>
      <c r="C914" s="483" t="s">
        <v>1755</v>
      </c>
      <c r="D914" s="414" t="s">
        <v>4884</v>
      </c>
      <c r="E914" s="407" t="s">
        <v>4884</v>
      </c>
      <c r="F914" s="483"/>
      <c r="G914" s="483"/>
      <c r="H914" s="483"/>
      <c r="I914" s="483"/>
      <c r="J914" s="483"/>
      <c r="K914" s="483"/>
      <c r="L914" s="608" t="s">
        <v>4884</v>
      </c>
      <c r="M914" s="409" t="s">
        <v>4884</v>
      </c>
      <c r="N914" s="409" t="s">
        <v>4884</v>
      </c>
      <c r="O914" s="410" t="s">
        <v>4884</v>
      </c>
      <c r="P914" s="406">
        <v>911</v>
      </c>
      <c r="Q914" s="460" t="s">
        <v>1755</v>
      </c>
      <c r="R914" s="460" t="s">
        <v>1730</v>
      </c>
      <c r="S914" s="460" t="s">
        <v>1528</v>
      </c>
      <c r="T914" s="504" t="s">
        <v>1731</v>
      </c>
      <c r="U914" s="471"/>
      <c r="V914" s="471"/>
      <c r="W914" s="488"/>
      <c r="X914" s="471"/>
      <c r="Y914" s="206"/>
      <c r="Z914" s="206"/>
    </row>
    <row r="915" spans="1:26">
      <c r="A915" s="406">
        <v>912</v>
      </c>
      <c r="B915" s="613" t="s">
        <v>7020</v>
      </c>
      <c r="C915" s="483" t="s">
        <v>1756</v>
      </c>
      <c r="D915" s="414" t="s">
        <v>4884</v>
      </c>
      <c r="E915" s="407" t="s">
        <v>4884</v>
      </c>
      <c r="F915" s="483"/>
      <c r="G915" s="483"/>
      <c r="H915" s="483"/>
      <c r="I915" s="483"/>
      <c r="J915" s="483"/>
      <c r="K915" s="483"/>
      <c r="L915" s="608" t="s">
        <v>4884</v>
      </c>
      <c r="M915" s="409" t="s">
        <v>4884</v>
      </c>
      <c r="N915" s="409" t="s">
        <v>4884</v>
      </c>
      <c r="O915" s="410" t="s">
        <v>4884</v>
      </c>
      <c r="P915" s="406">
        <v>912</v>
      </c>
      <c r="Q915" s="460" t="s">
        <v>1756</v>
      </c>
      <c r="R915" s="460" t="s">
        <v>1730</v>
      </c>
      <c r="S915" s="460" t="s">
        <v>1528</v>
      </c>
      <c r="T915" s="504" t="s">
        <v>1731</v>
      </c>
      <c r="U915" s="471"/>
      <c r="V915" s="471"/>
      <c r="W915" s="488"/>
      <c r="X915" s="471"/>
      <c r="Y915" s="206"/>
      <c r="Z915" s="206"/>
    </row>
    <row r="916" spans="1:26">
      <c r="A916" s="406">
        <v>913</v>
      </c>
      <c r="B916" s="613" t="s">
        <v>7020</v>
      </c>
      <c r="C916" s="483" t="s">
        <v>1757</v>
      </c>
      <c r="D916" s="414" t="s">
        <v>4884</v>
      </c>
      <c r="E916" s="407" t="s">
        <v>4884</v>
      </c>
      <c r="F916" s="483"/>
      <c r="G916" s="483"/>
      <c r="H916" s="483"/>
      <c r="I916" s="483"/>
      <c r="J916" s="483"/>
      <c r="K916" s="483"/>
      <c r="L916" s="608" t="s">
        <v>4884</v>
      </c>
      <c r="M916" s="409" t="s">
        <v>4884</v>
      </c>
      <c r="N916" s="409" t="s">
        <v>4884</v>
      </c>
      <c r="O916" s="410" t="s">
        <v>4884</v>
      </c>
      <c r="P916" s="406">
        <v>913</v>
      </c>
      <c r="Q916" s="460" t="s">
        <v>1757</v>
      </c>
      <c r="R916" s="460" t="s">
        <v>1730</v>
      </c>
      <c r="S916" s="460" t="s">
        <v>1528</v>
      </c>
      <c r="T916" s="504" t="s">
        <v>1731</v>
      </c>
      <c r="U916" s="471"/>
      <c r="V916" s="471"/>
      <c r="W916" s="488"/>
      <c r="X916" s="471"/>
      <c r="Y916" s="206"/>
      <c r="Z916" s="206"/>
    </row>
    <row r="917" spans="1:26">
      <c r="A917" s="406">
        <v>914</v>
      </c>
      <c r="B917" s="613" t="s">
        <v>7020</v>
      </c>
      <c r="C917" s="483" t="s">
        <v>1758</v>
      </c>
      <c r="D917" s="414" t="s">
        <v>4884</v>
      </c>
      <c r="E917" s="407" t="s">
        <v>4884</v>
      </c>
      <c r="F917" s="483"/>
      <c r="G917" s="483"/>
      <c r="H917" s="483"/>
      <c r="I917" s="483"/>
      <c r="J917" s="483"/>
      <c r="K917" s="483"/>
      <c r="L917" s="608" t="s">
        <v>4884</v>
      </c>
      <c r="M917" s="409" t="s">
        <v>4884</v>
      </c>
      <c r="N917" s="409" t="s">
        <v>4884</v>
      </c>
      <c r="O917" s="410" t="s">
        <v>4884</v>
      </c>
      <c r="P917" s="406">
        <v>914</v>
      </c>
      <c r="Q917" s="460" t="s">
        <v>1758</v>
      </c>
      <c r="R917" s="460" t="s">
        <v>1730</v>
      </c>
      <c r="S917" s="460" t="s">
        <v>1528</v>
      </c>
      <c r="T917" s="504" t="s">
        <v>1731</v>
      </c>
      <c r="U917" s="471"/>
      <c r="V917" s="471"/>
      <c r="W917" s="488"/>
      <c r="X917" s="471"/>
      <c r="Y917" s="206"/>
      <c r="Z917" s="206"/>
    </row>
    <row r="918" spans="1:26">
      <c r="A918" s="406">
        <v>915</v>
      </c>
      <c r="B918" s="613" t="s">
        <v>7020</v>
      </c>
      <c r="C918" s="483" t="s">
        <v>1759</v>
      </c>
      <c r="D918" s="414" t="s">
        <v>4884</v>
      </c>
      <c r="E918" s="407" t="s">
        <v>4884</v>
      </c>
      <c r="F918" s="483"/>
      <c r="G918" s="483"/>
      <c r="H918" s="483"/>
      <c r="I918" s="483"/>
      <c r="J918" s="483"/>
      <c r="K918" s="483"/>
      <c r="L918" s="608" t="s">
        <v>4884</v>
      </c>
      <c r="M918" s="409" t="s">
        <v>4884</v>
      </c>
      <c r="N918" s="409" t="s">
        <v>4884</v>
      </c>
      <c r="O918" s="410" t="s">
        <v>4884</v>
      </c>
      <c r="P918" s="406">
        <v>915</v>
      </c>
      <c r="Q918" s="460" t="s">
        <v>1759</v>
      </c>
      <c r="R918" s="460" t="s">
        <v>1730</v>
      </c>
      <c r="S918" s="460" t="s">
        <v>1528</v>
      </c>
      <c r="T918" s="504" t="s">
        <v>1731</v>
      </c>
      <c r="U918" s="471"/>
      <c r="V918" s="471"/>
      <c r="W918" s="488"/>
      <c r="X918" s="471"/>
      <c r="Y918" s="206"/>
      <c r="Z918" s="206"/>
    </row>
    <row r="919" spans="1:26">
      <c r="A919" s="406">
        <v>916</v>
      </c>
      <c r="B919" s="613" t="s">
        <v>7020</v>
      </c>
      <c r="C919" s="483" t="s">
        <v>1760</v>
      </c>
      <c r="D919" s="414" t="s">
        <v>4884</v>
      </c>
      <c r="E919" s="407" t="s">
        <v>4884</v>
      </c>
      <c r="F919" s="483"/>
      <c r="G919" s="483"/>
      <c r="H919" s="483"/>
      <c r="I919" s="483"/>
      <c r="J919" s="483"/>
      <c r="K919" s="483"/>
      <c r="L919" s="608" t="s">
        <v>4884</v>
      </c>
      <c r="M919" s="409" t="s">
        <v>4884</v>
      </c>
      <c r="N919" s="409" t="s">
        <v>4884</v>
      </c>
      <c r="O919" s="410" t="s">
        <v>4884</v>
      </c>
      <c r="P919" s="406">
        <v>916</v>
      </c>
      <c r="Q919" s="460" t="s">
        <v>1760</v>
      </c>
      <c r="R919" s="460" t="s">
        <v>1730</v>
      </c>
      <c r="S919" s="460" t="s">
        <v>1528</v>
      </c>
      <c r="T919" s="504" t="s">
        <v>1731</v>
      </c>
      <c r="U919" s="471"/>
      <c r="V919" s="471"/>
      <c r="W919" s="488"/>
      <c r="X919" s="471"/>
      <c r="Y919" s="206"/>
      <c r="Z919" s="206"/>
    </row>
    <row r="920" spans="1:26">
      <c r="A920" s="406">
        <v>917</v>
      </c>
      <c r="B920" s="613" t="s">
        <v>7020</v>
      </c>
      <c r="C920" s="483" t="s">
        <v>1761</v>
      </c>
      <c r="D920" s="414" t="s">
        <v>4884</v>
      </c>
      <c r="E920" s="407" t="s">
        <v>4884</v>
      </c>
      <c r="F920" s="483"/>
      <c r="G920" s="483"/>
      <c r="H920" s="483"/>
      <c r="I920" s="483"/>
      <c r="J920" s="483"/>
      <c r="K920" s="483"/>
      <c r="L920" s="608" t="s">
        <v>4884</v>
      </c>
      <c r="M920" s="409" t="s">
        <v>4884</v>
      </c>
      <c r="N920" s="409" t="s">
        <v>4884</v>
      </c>
      <c r="O920" s="410" t="s">
        <v>4884</v>
      </c>
      <c r="P920" s="406">
        <v>917</v>
      </c>
      <c r="Q920" s="460" t="s">
        <v>1761</v>
      </c>
      <c r="R920" s="460" t="s">
        <v>1762</v>
      </c>
      <c r="S920" s="460" t="s">
        <v>1528</v>
      </c>
      <c r="T920" s="504" t="s">
        <v>1763</v>
      </c>
      <c r="U920" s="471"/>
      <c r="V920" s="471"/>
      <c r="W920" s="488"/>
      <c r="X920" s="471"/>
      <c r="Y920" s="206"/>
      <c r="Z920" s="206"/>
    </row>
    <row r="921" spans="1:26">
      <c r="A921" s="406">
        <v>918</v>
      </c>
      <c r="B921" s="613" t="s">
        <v>7020</v>
      </c>
      <c r="C921" s="483" t="s">
        <v>1764</v>
      </c>
      <c r="D921" s="414" t="s">
        <v>4884</v>
      </c>
      <c r="E921" s="407" t="s">
        <v>4884</v>
      </c>
      <c r="F921" s="483"/>
      <c r="G921" s="483"/>
      <c r="H921" s="483"/>
      <c r="I921" s="483"/>
      <c r="J921" s="483"/>
      <c r="K921" s="483"/>
      <c r="L921" s="608" t="s">
        <v>4884</v>
      </c>
      <c r="M921" s="409" t="s">
        <v>4884</v>
      </c>
      <c r="N921" s="409" t="s">
        <v>4884</v>
      </c>
      <c r="O921" s="410" t="s">
        <v>4884</v>
      </c>
      <c r="P921" s="406">
        <v>918</v>
      </c>
      <c r="Q921" s="460" t="s">
        <v>1764</v>
      </c>
      <c r="R921" s="460" t="s">
        <v>1765</v>
      </c>
      <c r="S921" s="460" t="s">
        <v>1528</v>
      </c>
      <c r="T921" s="493" t="s">
        <v>1766</v>
      </c>
      <c r="U921" s="471"/>
      <c r="V921" s="471"/>
      <c r="W921" s="488"/>
      <c r="X921" s="471"/>
      <c r="Y921" s="206"/>
      <c r="Z921" s="206"/>
    </row>
    <row r="922" spans="1:26">
      <c r="A922" s="406">
        <v>919</v>
      </c>
      <c r="B922" s="613" t="s">
        <v>7020</v>
      </c>
      <c r="C922" s="483" t="s">
        <v>1767</v>
      </c>
      <c r="D922" s="414" t="s">
        <v>4884</v>
      </c>
      <c r="E922" s="407" t="s">
        <v>4884</v>
      </c>
      <c r="F922" s="483"/>
      <c r="G922" s="483"/>
      <c r="H922" s="483"/>
      <c r="I922" s="483"/>
      <c r="J922" s="483"/>
      <c r="K922" s="483"/>
      <c r="L922" s="608" t="s">
        <v>4884</v>
      </c>
      <c r="M922" s="409" t="s">
        <v>4884</v>
      </c>
      <c r="N922" s="409" t="s">
        <v>4884</v>
      </c>
      <c r="O922" s="410" t="s">
        <v>4884</v>
      </c>
      <c r="P922" s="406">
        <v>919</v>
      </c>
      <c r="Q922" s="460" t="s">
        <v>1767</v>
      </c>
      <c r="R922" s="460" t="s">
        <v>1765</v>
      </c>
      <c r="S922" s="460" t="s">
        <v>1528</v>
      </c>
      <c r="T922" s="493" t="s">
        <v>1766</v>
      </c>
      <c r="U922" s="471"/>
      <c r="V922" s="471"/>
      <c r="W922" s="488"/>
      <c r="X922" s="471"/>
      <c r="Y922" s="206"/>
      <c r="Z922" s="206"/>
    </row>
    <row r="923" spans="1:26">
      <c r="A923" s="406">
        <v>920</v>
      </c>
      <c r="B923" s="613" t="s">
        <v>7020</v>
      </c>
      <c r="C923" s="483" t="s">
        <v>1768</v>
      </c>
      <c r="D923" s="414" t="s">
        <v>4884</v>
      </c>
      <c r="E923" s="407" t="s">
        <v>4884</v>
      </c>
      <c r="F923" s="483"/>
      <c r="G923" s="483"/>
      <c r="H923" s="483"/>
      <c r="I923" s="483"/>
      <c r="J923" s="483"/>
      <c r="K923" s="483"/>
      <c r="L923" s="608" t="s">
        <v>4884</v>
      </c>
      <c r="M923" s="409" t="s">
        <v>4884</v>
      </c>
      <c r="N923" s="409" t="s">
        <v>4884</v>
      </c>
      <c r="O923" s="410" t="s">
        <v>4884</v>
      </c>
      <c r="P923" s="406">
        <v>920</v>
      </c>
      <c r="Q923" s="460" t="s">
        <v>1768</v>
      </c>
      <c r="R923" s="460" t="s">
        <v>1765</v>
      </c>
      <c r="S923" s="460" t="s">
        <v>1528</v>
      </c>
      <c r="T923" s="493" t="s">
        <v>1766</v>
      </c>
      <c r="U923" s="471"/>
      <c r="V923" s="471"/>
      <c r="W923" s="488"/>
      <c r="X923" s="471"/>
      <c r="Y923" s="206"/>
      <c r="Z923" s="206"/>
    </row>
    <row r="924" spans="1:26">
      <c r="A924" s="406">
        <v>921</v>
      </c>
      <c r="B924" s="613" t="s">
        <v>7020</v>
      </c>
      <c r="C924" s="483" t="s">
        <v>1769</v>
      </c>
      <c r="D924" s="414" t="s">
        <v>4884</v>
      </c>
      <c r="E924" s="407" t="s">
        <v>4884</v>
      </c>
      <c r="F924" s="483"/>
      <c r="G924" s="483"/>
      <c r="H924" s="483"/>
      <c r="I924" s="483"/>
      <c r="J924" s="483"/>
      <c r="K924" s="483"/>
      <c r="L924" s="608" t="s">
        <v>4884</v>
      </c>
      <c r="M924" s="409" t="s">
        <v>4884</v>
      </c>
      <c r="N924" s="409" t="s">
        <v>4884</v>
      </c>
      <c r="O924" s="410" t="s">
        <v>4884</v>
      </c>
      <c r="P924" s="406">
        <v>921</v>
      </c>
      <c r="Q924" s="460" t="s">
        <v>1769</v>
      </c>
      <c r="R924" s="460" t="s">
        <v>1765</v>
      </c>
      <c r="S924" s="460" t="s">
        <v>1528</v>
      </c>
      <c r="T924" s="493" t="s">
        <v>1766</v>
      </c>
      <c r="U924" s="471"/>
      <c r="V924" s="471"/>
      <c r="W924" s="488"/>
      <c r="X924" s="471"/>
      <c r="Y924" s="206"/>
      <c r="Z924" s="206"/>
    </row>
    <row r="925" spans="1:26">
      <c r="A925" s="406">
        <v>922</v>
      </c>
      <c r="B925" s="613" t="s">
        <v>7020</v>
      </c>
      <c r="C925" s="483" t="s">
        <v>1770</v>
      </c>
      <c r="D925" s="414" t="s">
        <v>4884</v>
      </c>
      <c r="E925" s="407" t="s">
        <v>4884</v>
      </c>
      <c r="F925" s="483"/>
      <c r="G925" s="483"/>
      <c r="H925" s="483"/>
      <c r="I925" s="483"/>
      <c r="J925" s="483"/>
      <c r="K925" s="483"/>
      <c r="L925" s="608" t="s">
        <v>4884</v>
      </c>
      <c r="M925" s="409" t="s">
        <v>4884</v>
      </c>
      <c r="N925" s="409" t="s">
        <v>4884</v>
      </c>
      <c r="O925" s="410" t="s">
        <v>4884</v>
      </c>
      <c r="P925" s="406">
        <v>922</v>
      </c>
      <c r="Q925" s="460" t="s">
        <v>1770</v>
      </c>
      <c r="R925" s="460" t="s">
        <v>1765</v>
      </c>
      <c r="S925" s="460" t="s">
        <v>1528</v>
      </c>
      <c r="T925" s="493" t="s">
        <v>1766</v>
      </c>
      <c r="U925" s="471"/>
      <c r="V925" s="471"/>
      <c r="W925" s="488"/>
      <c r="X925" s="471"/>
      <c r="Y925" s="206"/>
      <c r="Z925" s="206"/>
    </row>
    <row r="926" spans="1:26">
      <c r="A926" s="406">
        <v>923</v>
      </c>
      <c r="B926" s="613" t="s">
        <v>7020</v>
      </c>
      <c r="C926" s="483" t="s">
        <v>1771</v>
      </c>
      <c r="D926" s="414" t="s">
        <v>4884</v>
      </c>
      <c r="E926" s="407" t="s">
        <v>4884</v>
      </c>
      <c r="F926" s="483"/>
      <c r="G926" s="483"/>
      <c r="H926" s="483"/>
      <c r="I926" s="483"/>
      <c r="J926" s="483"/>
      <c r="K926" s="483"/>
      <c r="L926" s="608" t="s">
        <v>4884</v>
      </c>
      <c r="M926" s="409" t="s">
        <v>4884</v>
      </c>
      <c r="N926" s="409" t="s">
        <v>4884</v>
      </c>
      <c r="O926" s="410" t="s">
        <v>4884</v>
      </c>
      <c r="P926" s="406">
        <v>923</v>
      </c>
      <c r="Q926" s="460" t="s">
        <v>1771</v>
      </c>
      <c r="R926" s="460" t="s">
        <v>1765</v>
      </c>
      <c r="S926" s="460" t="s">
        <v>1528</v>
      </c>
      <c r="T926" s="493" t="s">
        <v>1766</v>
      </c>
      <c r="U926" s="471"/>
      <c r="V926" s="471"/>
      <c r="W926" s="488"/>
      <c r="X926" s="471"/>
      <c r="Y926" s="206"/>
      <c r="Z926" s="206"/>
    </row>
    <row r="927" spans="1:26">
      <c r="A927" s="406">
        <v>924</v>
      </c>
      <c r="B927" s="613" t="s">
        <v>7020</v>
      </c>
      <c r="C927" s="483" t="s">
        <v>1772</v>
      </c>
      <c r="D927" s="414" t="s">
        <v>4884</v>
      </c>
      <c r="E927" s="407" t="s">
        <v>4884</v>
      </c>
      <c r="F927" s="483"/>
      <c r="G927" s="483"/>
      <c r="H927" s="483"/>
      <c r="I927" s="483"/>
      <c r="J927" s="483"/>
      <c r="K927" s="483"/>
      <c r="L927" s="608" t="s">
        <v>4884</v>
      </c>
      <c r="M927" s="409" t="s">
        <v>4884</v>
      </c>
      <c r="N927" s="409" t="s">
        <v>4884</v>
      </c>
      <c r="O927" s="410" t="s">
        <v>4884</v>
      </c>
      <c r="P927" s="406">
        <v>924</v>
      </c>
      <c r="Q927" s="460" t="s">
        <v>1772</v>
      </c>
      <c r="R927" s="460" t="s">
        <v>1765</v>
      </c>
      <c r="S927" s="460" t="s">
        <v>1528</v>
      </c>
      <c r="T927" s="493" t="s">
        <v>1766</v>
      </c>
      <c r="U927" s="471"/>
      <c r="V927" s="471"/>
      <c r="W927" s="488"/>
      <c r="X927" s="471"/>
      <c r="Y927" s="206"/>
      <c r="Z927" s="206"/>
    </row>
    <row r="928" spans="1:26">
      <c r="A928" s="406">
        <v>925</v>
      </c>
      <c r="B928" s="613" t="s">
        <v>7020</v>
      </c>
      <c r="C928" s="483" t="s">
        <v>1773</v>
      </c>
      <c r="D928" s="414" t="s">
        <v>4884</v>
      </c>
      <c r="E928" s="407" t="s">
        <v>4884</v>
      </c>
      <c r="F928" s="483"/>
      <c r="G928" s="483"/>
      <c r="H928" s="483"/>
      <c r="I928" s="483"/>
      <c r="J928" s="483"/>
      <c r="K928" s="483"/>
      <c r="L928" s="608" t="s">
        <v>4884</v>
      </c>
      <c r="M928" s="409" t="s">
        <v>4884</v>
      </c>
      <c r="N928" s="409" t="s">
        <v>4884</v>
      </c>
      <c r="O928" s="410" t="s">
        <v>4884</v>
      </c>
      <c r="P928" s="406">
        <v>925</v>
      </c>
      <c r="Q928" s="460" t="s">
        <v>1773</v>
      </c>
      <c r="R928" s="460" t="s">
        <v>1774</v>
      </c>
      <c r="S928" s="460" t="s">
        <v>1528</v>
      </c>
      <c r="T928" s="493" t="s">
        <v>1775</v>
      </c>
      <c r="U928" s="471"/>
      <c r="V928" s="471"/>
      <c r="W928" s="488"/>
      <c r="X928" s="471"/>
      <c r="Y928" s="206"/>
      <c r="Z928" s="206"/>
    </row>
    <row r="929" spans="1:26">
      <c r="A929" s="406">
        <v>926</v>
      </c>
      <c r="B929" s="613" t="s">
        <v>7020</v>
      </c>
      <c r="C929" s="483" t="s">
        <v>1776</v>
      </c>
      <c r="D929" s="414" t="s">
        <v>4884</v>
      </c>
      <c r="E929" s="407" t="s">
        <v>4884</v>
      </c>
      <c r="F929" s="483"/>
      <c r="G929" s="483"/>
      <c r="H929" s="483"/>
      <c r="I929" s="483"/>
      <c r="J929" s="483"/>
      <c r="K929" s="483"/>
      <c r="L929" s="608" t="s">
        <v>4884</v>
      </c>
      <c r="M929" s="409" t="s">
        <v>4884</v>
      </c>
      <c r="N929" s="409" t="s">
        <v>4884</v>
      </c>
      <c r="O929" s="410" t="s">
        <v>4884</v>
      </c>
      <c r="P929" s="406">
        <v>926</v>
      </c>
      <c r="Q929" s="460" t="s">
        <v>1776</v>
      </c>
      <c r="R929" s="460" t="s">
        <v>1777</v>
      </c>
      <c r="S929" s="460" t="s">
        <v>1528</v>
      </c>
      <c r="T929" s="484" t="s">
        <v>1535</v>
      </c>
      <c r="U929" s="471"/>
      <c r="V929" s="471"/>
      <c r="W929" s="488"/>
      <c r="X929" s="471"/>
      <c r="Y929" s="206"/>
      <c r="Z929" s="206"/>
    </row>
    <row r="930" spans="1:26">
      <c r="A930" s="406">
        <v>927</v>
      </c>
      <c r="B930" s="613" t="s">
        <v>7020</v>
      </c>
      <c r="C930" s="483" t="s">
        <v>1778</v>
      </c>
      <c r="D930" s="414" t="s">
        <v>4884</v>
      </c>
      <c r="E930" s="407" t="s">
        <v>4884</v>
      </c>
      <c r="F930" s="483"/>
      <c r="G930" s="483"/>
      <c r="H930" s="483"/>
      <c r="I930" s="483"/>
      <c r="J930" s="483"/>
      <c r="K930" s="483"/>
      <c r="L930" s="608" t="s">
        <v>4884</v>
      </c>
      <c r="M930" s="409" t="s">
        <v>4884</v>
      </c>
      <c r="N930" s="409" t="s">
        <v>4884</v>
      </c>
      <c r="O930" s="410" t="s">
        <v>4884</v>
      </c>
      <c r="P930" s="406">
        <v>927</v>
      </c>
      <c r="Q930" s="460" t="s">
        <v>1778</v>
      </c>
      <c r="R930" s="460" t="s">
        <v>1777</v>
      </c>
      <c r="S930" s="460" t="s">
        <v>1528</v>
      </c>
      <c r="T930" s="484" t="s">
        <v>1535</v>
      </c>
      <c r="U930" s="471"/>
      <c r="V930" s="471"/>
      <c r="W930" s="488"/>
      <c r="X930" s="471"/>
      <c r="Y930" s="206"/>
      <c r="Z930" s="206"/>
    </row>
    <row r="931" spans="1:26">
      <c r="A931" s="406">
        <v>928</v>
      </c>
      <c r="B931" s="613" t="s">
        <v>7020</v>
      </c>
      <c r="C931" s="483" t="s">
        <v>1779</v>
      </c>
      <c r="D931" s="414" t="s">
        <v>4884</v>
      </c>
      <c r="E931" s="407" t="s">
        <v>4884</v>
      </c>
      <c r="F931" s="483"/>
      <c r="G931" s="483"/>
      <c r="H931" s="483"/>
      <c r="I931" s="483"/>
      <c r="J931" s="483"/>
      <c r="K931" s="483"/>
      <c r="L931" s="608" t="s">
        <v>4884</v>
      </c>
      <c r="M931" s="409" t="s">
        <v>4884</v>
      </c>
      <c r="N931" s="409" t="s">
        <v>4884</v>
      </c>
      <c r="O931" s="410" t="s">
        <v>4884</v>
      </c>
      <c r="P931" s="406">
        <v>928</v>
      </c>
      <c r="Q931" s="460" t="s">
        <v>1779</v>
      </c>
      <c r="R931" s="460" t="s">
        <v>1780</v>
      </c>
      <c r="S931" s="460" t="s">
        <v>1528</v>
      </c>
      <c r="T931" s="484" t="s">
        <v>1535</v>
      </c>
      <c r="U931" s="471"/>
      <c r="V931" s="471"/>
      <c r="W931" s="488"/>
      <c r="X931" s="471"/>
      <c r="Y931" s="206"/>
      <c r="Z931" s="206"/>
    </row>
    <row r="932" spans="1:26">
      <c r="A932" s="406">
        <v>929</v>
      </c>
      <c r="B932" s="613" t="s">
        <v>7020</v>
      </c>
      <c r="C932" s="483" t="s">
        <v>1781</v>
      </c>
      <c r="D932" s="414" t="s">
        <v>4884</v>
      </c>
      <c r="E932" s="407" t="s">
        <v>4884</v>
      </c>
      <c r="F932" s="483"/>
      <c r="G932" s="483"/>
      <c r="H932" s="483"/>
      <c r="I932" s="483"/>
      <c r="J932" s="483"/>
      <c r="K932" s="483"/>
      <c r="L932" s="608" t="s">
        <v>4884</v>
      </c>
      <c r="M932" s="409" t="s">
        <v>4884</v>
      </c>
      <c r="N932" s="409" t="s">
        <v>4884</v>
      </c>
      <c r="O932" s="410" t="s">
        <v>4884</v>
      </c>
      <c r="P932" s="406">
        <v>929</v>
      </c>
      <c r="Q932" s="460" t="s">
        <v>1781</v>
      </c>
      <c r="R932" s="460" t="s">
        <v>1780</v>
      </c>
      <c r="S932" s="460" t="s">
        <v>1528</v>
      </c>
      <c r="T932" s="484" t="s">
        <v>1535</v>
      </c>
      <c r="U932" s="471"/>
      <c r="V932" s="471"/>
      <c r="W932" s="488"/>
      <c r="X932" s="471"/>
      <c r="Y932" s="206"/>
      <c r="Z932" s="206"/>
    </row>
    <row r="933" spans="1:26">
      <c r="A933" s="406">
        <v>930</v>
      </c>
      <c r="B933" s="613" t="s">
        <v>7020</v>
      </c>
      <c r="C933" s="483" t="s">
        <v>1782</v>
      </c>
      <c r="D933" s="414" t="s">
        <v>4884</v>
      </c>
      <c r="E933" s="407" t="s">
        <v>4884</v>
      </c>
      <c r="F933" s="483"/>
      <c r="G933" s="483"/>
      <c r="H933" s="483"/>
      <c r="I933" s="483"/>
      <c r="J933" s="483"/>
      <c r="K933" s="483"/>
      <c r="L933" s="608" t="s">
        <v>4884</v>
      </c>
      <c r="M933" s="409" t="s">
        <v>4884</v>
      </c>
      <c r="N933" s="409" t="s">
        <v>4884</v>
      </c>
      <c r="O933" s="410" t="s">
        <v>4884</v>
      </c>
      <c r="P933" s="406">
        <v>930</v>
      </c>
      <c r="Q933" s="460" t="s">
        <v>1782</v>
      </c>
      <c r="R933" s="460" t="s">
        <v>1780</v>
      </c>
      <c r="S933" s="460" t="s">
        <v>1528</v>
      </c>
      <c r="T933" s="484" t="s">
        <v>1535</v>
      </c>
      <c r="U933" s="471"/>
      <c r="V933" s="471"/>
      <c r="W933" s="488"/>
      <c r="X933" s="471"/>
      <c r="Y933" s="206"/>
      <c r="Z933" s="206"/>
    </row>
    <row r="934" spans="1:26">
      <c r="A934" s="406">
        <v>931</v>
      </c>
      <c r="B934" s="613" t="s">
        <v>7020</v>
      </c>
      <c r="C934" s="483" t="s">
        <v>1783</v>
      </c>
      <c r="D934" s="414" t="s">
        <v>4884</v>
      </c>
      <c r="E934" s="407" t="s">
        <v>4884</v>
      </c>
      <c r="F934" s="483"/>
      <c r="G934" s="483"/>
      <c r="H934" s="483"/>
      <c r="I934" s="483"/>
      <c r="J934" s="483"/>
      <c r="K934" s="483"/>
      <c r="L934" s="608" t="s">
        <v>4884</v>
      </c>
      <c r="M934" s="409" t="s">
        <v>4884</v>
      </c>
      <c r="N934" s="409" t="s">
        <v>4884</v>
      </c>
      <c r="O934" s="410" t="s">
        <v>4884</v>
      </c>
      <c r="P934" s="406">
        <v>931</v>
      </c>
      <c r="Q934" s="460" t="s">
        <v>1783</v>
      </c>
      <c r="R934" s="460" t="s">
        <v>1780</v>
      </c>
      <c r="S934" s="460" t="s">
        <v>1528</v>
      </c>
      <c r="T934" s="484" t="s">
        <v>1535</v>
      </c>
      <c r="U934" s="471"/>
      <c r="V934" s="471"/>
      <c r="W934" s="488"/>
      <c r="X934" s="471"/>
      <c r="Y934" s="206"/>
      <c r="Z934" s="206"/>
    </row>
    <row r="935" spans="1:26">
      <c r="A935" s="406">
        <v>932</v>
      </c>
      <c r="B935" s="613" t="s">
        <v>7020</v>
      </c>
      <c r="C935" s="483" t="s">
        <v>1784</v>
      </c>
      <c r="D935" s="414" t="s">
        <v>4884</v>
      </c>
      <c r="E935" s="407" t="s">
        <v>4884</v>
      </c>
      <c r="F935" s="483"/>
      <c r="G935" s="483"/>
      <c r="H935" s="483"/>
      <c r="I935" s="483"/>
      <c r="J935" s="483"/>
      <c r="K935" s="483"/>
      <c r="L935" s="608" t="s">
        <v>4884</v>
      </c>
      <c r="M935" s="409" t="s">
        <v>4884</v>
      </c>
      <c r="N935" s="409" t="s">
        <v>4884</v>
      </c>
      <c r="O935" s="410" t="s">
        <v>4884</v>
      </c>
      <c r="P935" s="406">
        <v>932</v>
      </c>
      <c r="Q935" s="460" t="s">
        <v>1784</v>
      </c>
      <c r="R935" s="460" t="s">
        <v>1780</v>
      </c>
      <c r="S935" s="460" t="s">
        <v>1528</v>
      </c>
      <c r="T935" s="484" t="s">
        <v>1535</v>
      </c>
      <c r="U935" s="471"/>
      <c r="V935" s="471"/>
      <c r="W935" s="488"/>
      <c r="X935" s="471"/>
      <c r="Y935" s="206"/>
      <c r="Z935" s="206"/>
    </row>
    <row r="936" spans="1:26">
      <c r="A936" s="406">
        <v>933</v>
      </c>
      <c r="B936" s="613" t="s">
        <v>7020</v>
      </c>
      <c r="C936" s="483" t="s">
        <v>1785</v>
      </c>
      <c r="D936" s="414" t="s">
        <v>4884</v>
      </c>
      <c r="E936" s="407" t="s">
        <v>4884</v>
      </c>
      <c r="F936" s="483"/>
      <c r="G936" s="483"/>
      <c r="H936" s="483"/>
      <c r="I936" s="483"/>
      <c r="J936" s="483"/>
      <c r="K936" s="483"/>
      <c r="L936" s="608" t="s">
        <v>4884</v>
      </c>
      <c r="M936" s="409" t="s">
        <v>4884</v>
      </c>
      <c r="N936" s="409" t="s">
        <v>4884</v>
      </c>
      <c r="O936" s="410" t="s">
        <v>4884</v>
      </c>
      <c r="P936" s="406">
        <v>933</v>
      </c>
      <c r="Q936" s="460" t="s">
        <v>1785</v>
      </c>
      <c r="R936" s="460" t="s">
        <v>1786</v>
      </c>
      <c r="S936" s="460" t="s">
        <v>1528</v>
      </c>
      <c r="T936" s="507" t="s">
        <v>1787</v>
      </c>
      <c r="U936" s="471"/>
      <c r="V936" s="471"/>
      <c r="W936" s="488"/>
      <c r="X936" s="471"/>
      <c r="Y936" s="206"/>
      <c r="Z936" s="206"/>
    </row>
    <row r="937" spans="1:26">
      <c r="A937" s="406">
        <v>934</v>
      </c>
      <c r="B937" s="613" t="s">
        <v>7020</v>
      </c>
      <c r="C937" s="483" t="s">
        <v>1788</v>
      </c>
      <c r="D937" s="414" t="s">
        <v>4884</v>
      </c>
      <c r="E937" s="407" t="s">
        <v>4884</v>
      </c>
      <c r="F937" s="483"/>
      <c r="G937" s="483"/>
      <c r="H937" s="483"/>
      <c r="I937" s="483"/>
      <c r="J937" s="483"/>
      <c r="K937" s="483"/>
      <c r="L937" s="608" t="s">
        <v>4884</v>
      </c>
      <c r="M937" s="409" t="s">
        <v>4884</v>
      </c>
      <c r="N937" s="409" t="s">
        <v>4884</v>
      </c>
      <c r="O937" s="410" t="s">
        <v>4884</v>
      </c>
      <c r="P937" s="406">
        <v>934</v>
      </c>
      <c r="Q937" s="460" t="s">
        <v>1788</v>
      </c>
      <c r="R937" s="460" t="s">
        <v>1789</v>
      </c>
      <c r="S937" s="460" t="s">
        <v>1528</v>
      </c>
      <c r="T937" s="508" t="s">
        <v>1790</v>
      </c>
      <c r="U937" s="471"/>
      <c r="V937" s="471"/>
      <c r="W937" s="488"/>
      <c r="X937" s="471"/>
      <c r="Y937" s="206"/>
      <c r="Z937" s="206"/>
    </row>
    <row r="938" spans="1:26">
      <c r="A938" s="406">
        <v>935</v>
      </c>
      <c r="B938" s="613" t="s">
        <v>7020</v>
      </c>
      <c r="C938" s="483" t="s">
        <v>1791</v>
      </c>
      <c r="D938" s="414" t="s">
        <v>4884</v>
      </c>
      <c r="E938" s="407" t="s">
        <v>4884</v>
      </c>
      <c r="F938" s="483"/>
      <c r="G938" s="483"/>
      <c r="H938" s="483"/>
      <c r="I938" s="483"/>
      <c r="J938" s="483"/>
      <c r="K938" s="483"/>
      <c r="L938" s="608" t="s">
        <v>4884</v>
      </c>
      <c r="M938" s="409" t="s">
        <v>4884</v>
      </c>
      <c r="N938" s="409" t="s">
        <v>4884</v>
      </c>
      <c r="O938" s="410" t="s">
        <v>4884</v>
      </c>
      <c r="P938" s="406">
        <v>935</v>
      </c>
      <c r="Q938" s="460" t="s">
        <v>1791</v>
      </c>
      <c r="R938" s="460" t="s">
        <v>1789</v>
      </c>
      <c r="S938" s="460" t="s">
        <v>1528</v>
      </c>
      <c r="T938" s="508" t="s">
        <v>1790</v>
      </c>
      <c r="U938" s="471"/>
      <c r="V938" s="471"/>
      <c r="W938" s="488"/>
      <c r="X938" s="471"/>
      <c r="Y938" s="206"/>
      <c r="Z938" s="206"/>
    </row>
    <row r="939" spans="1:26">
      <c r="A939" s="406">
        <v>936</v>
      </c>
      <c r="B939" s="613" t="s">
        <v>7020</v>
      </c>
      <c r="C939" s="483" t="s">
        <v>1792</v>
      </c>
      <c r="D939" s="414" t="s">
        <v>4884</v>
      </c>
      <c r="E939" s="407" t="s">
        <v>4884</v>
      </c>
      <c r="F939" s="483"/>
      <c r="G939" s="483"/>
      <c r="H939" s="483"/>
      <c r="I939" s="483"/>
      <c r="J939" s="483"/>
      <c r="K939" s="483"/>
      <c r="L939" s="608" t="s">
        <v>4884</v>
      </c>
      <c r="M939" s="409" t="s">
        <v>4884</v>
      </c>
      <c r="N939" s="409" t="s">
        <v>4884</v>
      </c>
      <c r="O939" s="410" t="s">
        <v>4884</v>
      </c>
      <c r="P939" s="406">
        <v>936</v>
      </c>
      <c r="Q939" s="460" t="s">
        <v>1792</v>
      </c>
      <c r="R939" s="460" t="s">
        <v>1789</v>
      </c>
      <c r="S939" s="460" t="s">
        <v>1528</v>
      </c>
      <c r="T939" s="508" t="s">
        <v>1790</v>
      </c>
      <c r="U939" s="471"/>
      <c r="V939" s="471"/>
      <c r="W939" s="488"/>
      <c r="X939" s="471"/>
      <c r="Y939" s="206"/>
      <c r="Z939" s="206"/>
    </row>
    <row r="940" spans="1:26">
      <c r="A940" s="406">
        <v>937</v>
      </c>
      <c r="B940" s="613" t="s">
        <v>7020</v>
      </c>
      <c r="C940" s="483" t="s">
        <v>1793</v>
      </c>
      <c r="D940" s="414" t="s">
        <v>4884</v>
      </c>
      <c r="E940" s="407" t="s">
        <v>4884</v>
      </c>
      <c r="F940" s="483"/>
      <c r="G940" s="483"/>
      <c r="H940" s="483"/>
      <c r="I940" s="483"/>
      <c r="J940" s="483"/>
      <c r="K940" s="483"/>
      <c r="L940" s="608" t="s">
        <v>4884</v>
      </c>
      <c r="M940" s="409" t="s">
        <v>4884</v>
      </c>
      <c r="N940" s="409" t="s">
        <v>4884</v>
      </c>
      <c r="O940" s="410" t="s">
        <v>4884</v>
      </c>
      <c r="P940" s="406">
        <v>937</v>
      </c>
      <c r="Q940" s="460" t="s">
        <v>1793</v>
      </c>
      <c r="R940" s="460" t="s">
        <v>1794</v>
      </c>
      <c r="S940" s="460" t="s">
        <v>1528</v>
      </c>
      <c r="T940" s="486" t="s">
        <v>1795</v>
      </c>
      <c r="U940" s="471"/>
      <c r="V940" s="471"/>
      <c r="W940" s="488"/>
      <c r="X940" s="471"/>
      <c r="Y940" s="206"/>
      <c r="Z940" s="206"/>
    </row>
    <row r="941" spans="1:26">
      <c r="A941" s="406">
        <v>938</v>
      </c>
      <c r="B941" s="613" t="s">
        <v>7020</v>
      </c>
      <c r="C941" s="483" t="s">
        <v>1796</v>
      </c>
      <c r="D941" s="414" t="s">
        <v>4884</v>
      </c>
      <c r="E941" s="407" t="s">
        <v>4884</v>
      </c>
      <c r="F941" s="483"/>
      <c r="G941" s="483"/>
      <c r="H941" s="483"/>
      <c r="I941" s="483"/>
      <c r="J941" s="483"/>
      <c r="K941" s="483"/>
      <c r="L941" s="608" t="s">
        <v>4884</v>
      </c>
      <c r="M941" s="409" t="s">
        <v>4884</v>
      </c>
      <c r="N941" s="409" t="s">
        <v>4884</v>
      </c>
      <c r="O941" s="410" t="s">
        <v>4884</v>
      </c>
      <c r="P941" s="406">
        <v>938</v>
      </c>
      <c r="Q941" s="460" t="s">
        <v>1796</v>
      </c>
      <c r="R941" s="460" t="s">
        <v>1797</v>
      </c>
      <c r="S941" s="460" t="s">
        <v>1528</v>
      </c>
      <c r="T941" s="509" t="s">
        <v>1798</v>
      </c>
      <c r="U941" s="471"/>
      <c r="V941" s="471"/>
      <c r="W941" s="488"/>
      <c r="X941" s="471"/>
      <c r="Y941" s="206"/>
      <c r="Z941" s="206"/>
    </row>
    <row r="942" spans="1:26">
      <c r="A942" s="406">
        <v>939</v>
      </c>
      <c r="B942" s="613" t="s">
        <v>7020</v>
      </c>
      <c r="C942" s="483" t="s">
        <v>1799</v>
      </c>
      <c r="D942" s="414" t="s">
        <v>4884</v>
      </c>
      <c r="E942" s="407" t="s">
        <v>4884</v>
      </c>
      <c r="F942" s="483"/>
      <c r="G942" s="483"/>
      <c r="H942" s="483"/>
      <c r="I942" s="483"/>
      <c r="J942" s="483"/>
      <c r="K942" s="483"/>
      <c r="L942" s="608" t="s">
        <v>4884</v>
      </c>
      <c r="M942" s="409" t="s">
        <v>4884</v>
      </c>
      <c r="N942" s="409" t="s">
        <v>4884</v>
      </c>
      <c r="O942" s="410" t="s">
        <v>4884</v>
      </c>
      <c r="P942" s="406">
        <v>939</v>
      </c>
      <c r="Q942" s="460" t="s">
        <v>1799</v>
      </c>
      <c r="R942" s="460" t="s">
        <v>1800</v>
      </c>
      <c r="S942" s="460" t="s">
        <v>1528</v>
      </c>
      <c r="T942" s="509" t="s">
        <v>1798</v>
      </c>
      <c r="U942" s="471"/>
      <c r="V942" s="471"/>
      <c r="W942" s="488"/>
      <c r="X942" s="471"/>
      <c r="Y942" s="206"/>
      <c r="Z942" s="206"/>
    </row>
    <row r="943" spans="1:26">
      <c r="A943" s="406">
        <v>940</v>
      </c>
      <c r="B943" s="613" t="s">
        <v>7020</v>
      </c>
      <c r="C943" s="483" t="s">
        <v>1801</v>
      </c>
      <c r="D943" s="414" t="s">
        <v>4884</v>
      </c>
      <c r="E943" s="407" t="s">
        <v>4884</v>
      </c>
      <c r="F943" s="483"/>
      <c r="G943" s="483"/>
      <c r="H943" s="483"/>
      <c r="I943" s="483"/>
      <c r="J943" s="483"/>
      <c r="K943" s="483"/>
      <c r="L943" s="608" t="s">
        <v>4884</v>
      </c>
      <c r="M943" s="409" t="s">
        <v>4884</v>
      </c>
      <c r="N943" s="409" t="s">
        <v>4884</v>
      </c>
      <c r="O943" s="410" t="s">
        <v>4884</v>
      </c>
      <c r="P943" s="406">
        <v>940</v>
      </c>
      <c r="Q943" s="460" t="s">
        <v>1801</v>
      </c>
      <c r="R943" s="460" t="s">
        <v>1802</v>
      </c>
      <c r="S943" s="460" t="s">
        <v>1528</v>
      </c>
      <c r="T943" s="509" t="s">
        <v>1798</v>
      </c>
      <c r="U943" s="471"/>
      <c r="V943" s="471"/>
      <c r="W943" s="488"/>
      <c r="X943" s="471"/>
      <c r="Y943" s="206"/>
      <c r="Z943" s="206"/>
    </row>
    <row r="944" spans="1:26">
      <c r="A944" s="406">
        <v>941</v>
      </c>
      <c r="B944" s="613" t="s">
        <v>7020</v>
      </c>
      <c r="C944" s="483" t="s">
        <v>1803</v>
      </c>
      <c r="D944" s="414" t="s">
        <v>4884</v>
      </c>
      <c r="E944" s="407" t="s">
        <v>4884</v>
      </c>
      <c r="F944" s="483"/>
      <c r="G944" s="483"/>
      <c r="H944" s="483"/>
      <c r="I944" s="483"/>
      <c r="J944" s="483"/>
      <c r="K944" s="483"/>
      <c r="L944" s="608" t="s">
        <v>4884</v>
      </c>
      <c r="M944" s="409" t="s">
        <v>4884</v>
      </c>
      <c r="N944" s="409" t="s">
        <v>4884</v>
      </c>
      <c r="O944" s="410" t="s">
        <v>4884</v>
      </c>
      <c r="P944" s="406">
        <v>941</v>
      </c>
      <c r="Q944" s="460" t="s">
        <v>1803</v>
      </c>
      <c r="R944" s="460" t="s">
        <v>1804</v>
      </c>
      <c r="S944" s="460" t="s">
        <v>1528</v>
      </c>
      <c r="T944" s="509" t="s">
        <v>1798</v>
      </c>
      <c r="U944" s="471"/>
      <c r="V944" s="471"/>
      <c r="W944" s="488"/>
      <c r="X944" s="471"/>
      <c r="Y944" s="206"/>
      <c r="Z944" s="206"/>
    </row>
    <row r="945" spans="1:26" ht="15" thickBot="1">
      <c r="A945" s="406">
        <v>942</v>
      </c>
      <c r="B945" s="613" t="s">
        <v>7020</v>
      </c>
      <c r="C945" s="483" t="s">
        <v>1805</v>
      </c>
      <c r="D945" s="414" t="s">
        <v>4884</v>
      </c>
      <c r="E945" s="407" t="s">
        <v>4884</v>
      </c>
      <c r="F945" s="483"/>
      <c r="G945" s="483"/>
      <c r="H945" s="483"/>
      <c r="I945" s="483"/>
      <c r="J945" s="483"/>
      <c r="K945" s="483"/>
      <c r="L945" s="608" t="s">
        <v>4884</v>
      </c>
      <c r="M945" s="409" t="s">
        <v>4884</v>
      </c>
      <c r="N945" s="409" t="s">
        <v>4884</v>
      </c>
      <c r="O945" s="410" t="s">
        <v>4884</v>
      </c>
      <c r="P945" s="406">
        <v>942</v>
      </c>
      <c r="Q945" s="460" t="s">
        <v>1805</v>
      </c>
      <c r="R945" s="460" t="s">
        <v>1806</v>
      </c>
      <c r="S945" s="460" t="s">
        <v>1528</v>
      </c>
      <c r="T945" s="509" t="s">
        <v>1798</v>
      </c>
      <c r="U945" s="471"/>
      <c r="V945" s="471"/>
      <c r="W945" s="488"/>
      <c r="X945" s="471"/>
      <c r="Y945" s="206"/>
      <c r="Z945" s="206"/>
    </row>
    <row r="946" spans="1:26" ht="15" thickBot="1">
      <c r="A946" s="406">
        <v>943</v>
      </c>
      <c r="B946" s="613" t="s">
        <v>7020</v>
      </c>
      <c r="C946" s="483" t="s">
        <v>1807</v>
      </c>
      <c r="D946" s="414" t="s">
        <v>4884</v>
      </c>
      <c r="E946" s="407" t="s">
        <v>4884</v>
      </c>
      <c r="F946" s="483"/>
      <c r="G946" s="483"/>
      <c r="H946" s="483"/>
      <c r="I946" s="483"/>
      <c r="J946" s="483"/>
      <c r="K946" s="483"/>
      <c r="L946" s="608" t="s">
        <v>4884</v>
      </c>
      <c r="M946" s="409" t="s">
        <v>4884</v>
      </c>
      <c r="N946" s="409" t="s">
        <v>4884</v>
      </c>
      <c r="O946" s="410" t="s">
        <v>4884</v>
      </c>
      <c r="P946" s="406">
        <v>943</v>
      </c>
      <c r="Q946" s="535" t="s">
        <v>1807</v>
      </c>
      <c r="R946" s="535" t="s">
        <v>1808</v>
      </c>
      <c r="S946" s="535" t="s">
        <v>1528</v>
      </c>
      <c r="T946" s="537" t="s">
        <v>1809</v>
      </c>
      <c r="U946" s="471"/>
      <c r="V946" s="471"/>
      <c r="W946" s="488"/>
      <c r="X946" s="471"/>
      <c r="Y946" s="206"/>
      <c r="Z946" s="206"/>
    </row>
    <row r="947" spans="1:26">
      <c r="A947" s="406">
        <v>944</v>
      </c>
      <c r="B947" s="613" t="s">
        <v>7020</v>
      </c>
      <c r="C947" s="483" t="s">
        <v>1810</v>
      </c>
      <c r="D947" s="414" t="s">
        <v>4884</v>
      </c>
      <c r="E947" s="407" t="s">
        <v>4884</v>
      </c>
      <c r="F947" s="483"/>
      <c r="G947" s="483"/>
      <c r="H947" s="483"/>
      <c r="I947" s="483"/>
      <c r="J947" s="483"/>
      <c r="K947" s="483"/>
      <c r="L947" s="608" t="s">
        <v>4884</v>
      </c>
      <c r="M947" s="409" t="s">
        <v>4884</v>
      </c>
      <c r="N947" s="409" t="s">
        <v>4884</v>
      </c>
      <c r="O947" s="410" t="s">
        <v>4884</v>
      </c>
      <c r="P947" s="406">
        <v>944</v>
      </c>
      <c r="Q947" s="460" t="s">
        <v>1810</v>
      </c>
      <c r="R947" s="460" t="s">
        <v>1811</v>
      </c>
      <c r="S947" s="460" t="s">
        <v>1528</v>
      </c>
      <c r="T947" s="509" t="s">
        <v>1798</v>
      </c>
      <c r="U947" s="471"/>
      <c r="V947" s="471"/>
      <c r="W947" s="488"/>
      <c r="X947" s="471"/>
      <c r="Y947" s="206"/>
      <c r="Z947" s="206"/>
    </row>
    <row r="948" spans="1:26">
      <c r="A948" s="406">
        <v>945</v>
      </c>
      <c r="B948" s="613" t="s">
        <v>7020</v>
      </c>
      <c r="C948" s="483" t="s">
        <v>1812</v>
      </c>
      <c r="D948" s="414" t="s">
        <v>4884</v>
      </c>
      <c r="E948" s="407" t="s">
        <v>4884</v>
      </c>
      <c r="F948" s="483"/>
      <c r="G948" s="483"/>
      <c r="H948" s="483"/>
      <c r="I948" s="483"/>
      <c r="J948" s="483"/>
      <c r="K948" s="483"/>
      <c r="L948" s="608" t="s">
        <v>4884</v>
      </c>
      <c r="M948" s="409" t="s">
        <v>4884</v>
      </c>
      <c r="N948" s="409" t="s">
        <v>4884</v>
      </c>
      <c r="O948" s="410" t="s">
        <v>4884</v>
      </c>
      <c r="P948" s="406">
        <v>945</v>
      </c>
      <c r="Q948" s="460" t="s">
        <v>1812</v>
      </c>
      <c r="R948" s="460" t="s">
        <v>1813</v>
      </c>
      <c r="S948" s="460" t="s">
        <v>1528</v>
      </c>
      <c r="T948" s="486" t="s">
        <v>1795</v>
      </c>
      <c r="U948" s="471"/>
      <c r="V948" s="471"/>
      <c r="W948" s="488"/>
      <c r="X948" s="471"/>
      <c r="Y948" s="206"/>
      <c r="Z948" s="206"/>
    </row>
    <row r="949" spans="1:26">
      <c r="A949" s="406">
        <v>946</v>
      </c>
      <c r="B949" s="613" t="s">
        <v>7020</v>
      </c>
      <c r="C949" s="483" t="s">
        <v>1814</v>
      </c>
      <c r="D949" s="414" t="s">
        <v>4884</v>
      </c>
      <c r="E949" s="407" t="s">
        <v>4884</v>
      </c>
      <c r="F949" s="483"/>
      <c r="G949" s="483"/>
      <c r="H949" s="483"/>
      <c r="I949" s="483"/>
      <c r="J949" s="483"/>
      <c r="K949" s="483"/>
      <c r="L949" s="608" t="s">
        <v>4884</v>
      </c>
      <c r="M949" s="409" t="s">
        <v>4884</v>
      </c>
      <c r="N949" s="409" t="s">
        <v>4884</v>
      </c>
      <c r="O949" s="410" t="s">
        <v>4884</v>
      </c>
      <c r="P949" s="406">
        <v>946</v>
      </c>
      <c r="Q949" s="460" t="s">
        <v>1814</v>
      </c>
      <c r="R949" s="460" t="s">
        <v>1815</v>
      </c>
      <c r="S949" s="460" t="s">
        <v>1528</v>
      </c>
      <c r="T949" s="484" t="s">
        <v>1535</v>
      </c>
      <c r="U949" s="471"/>
      <c r="V949" s="471"/>
      <c r="W949" s="488"/>
      <c r="X949" s="471"/>
      <c r="Y949" s="206"/>
      <c r="Z949" s="206"/>
    </row>
    <row r="950" spans="1:26">
      <c r="A950" s="406">
        <v>947</v>
      </c>
      <c r="B950" s="613" t="s">
        <v>7020</v>
      </c>
      <c r="C950" s="483" t="s">
        <v>1816</v>
      </c>
      <c r="D950" s="414" t="s">
        <v>4884</v>
      </c>
      <c r="E950" s="407" t="s">
        <v>4884</v>
      </c>
      <c r="F950" s="483"/>
      <c r="G950" s="483"/>
      <c r="H950" s="483"/>
      <c r="I950" s="483"/>
      <c r="J950" s="483"/>
      <c r="K950" s="483"/>
      <c r="L950" s="608" t="s">
        <v>4884</v>
      </c>
      <c r="M950" s="409" t="s">
        <v>4884</v>
      </c>
      <c r="N950" s="409" t="s">
        <v>4884</v>
      </c>
      <c r="O950" s="410" t="s">
        <v>4884</v>
      </c>
      <c r="P950" s="406">
        <v>947</v>
      </c>
      <c r="Q950" s="460" t="s">
        <v>1816</v>
      </c>
      <c r="R950" s="460" t="s">
        <v>1815</v>
      </c>
      <c r="S950" s="460" t="s">
        <v>1528</v>
      </c>
      <c r="T950" s="484" t="s">
        <v>1535</v>
      </c>
      <c r="U950" s="471"/>
      <c r="V950" s="471"/>
      <c r="W950" s="488"/>
      <c r="X950" s="471"/>
      <c r="Y950" s="206"/>
      <c r="Z950" s="206"/>
    </row>
    <row r="951" spans="1:26">
      <c r="A951" s="406">
        <v>948</v>
      </c>
      <c r="B951" s="613" t="s">
        <v>7020</v>
      </c>
      <c r="C951" s="483" t="s">
        <v>1817</v>
      </c>
      <c r="D951" s="414" t="s">
        <v>4884</v>
      </c>
      <c r="E951" s="407" t="s">
        <v>4884</v>
      </c>
      <c r="F951" s="483"/>
      <c r="G951" s="483"/>
      <c r="H951" s="483"/>
      <c r="I951" s="483"/>
      <c r="J951" s="483"/>
      <c r="K951" s="483"/>
      <c r="L951" s="608" t="s">
        <v>4884</v>
      </c>
      <c r="M951" s="409" t="s">
        <v>4884</v>
      </c>
      <c r="N951" s="409" t="s">
        <v>4884</v>
      </c>
      <c r="O951" s="410" t="s">
        <v>4884</v>
      </c>
      <c r="P951" s="406">
        <v>948</v>
      </c>
      <c r="Q951" s="460" t="s">
        <v>1817</v>
      </c>
      <c r="R951" s="460" t="s">
        <v>1815</v>
      </c>
      <c r="S951" s="460" t="s">
        <v>1528</v>
      </c>
      <c r="T951" s="484" t="s">
        <v>1535</v>
      </c>
      <c r="U951" s="471"/>
      <c r="V951" s="471"/>
      <c r="W951" s="488"/>
      <c r="X951" s="471"/>
      <c r="Y951" s="206"/>
      <c r="Z951" s="206"/>
    </row>
    <row r="952" spans="1:26">
      <c r="A952" s="406">
        <v>949</v>
      </c>
      <c r="B952" s="613" t="s">
        <v>7020</v>
      </c>
      <c r="C952" s="483" t="s">
        <v>1818</v>
      </c>
      <c r="D952" s="414" t="s">
        <v>4884</v>
      </c>
      <c r="E952" s="407" t="s">
        <v>4884</v>
      </c>
      <c r="F952" s="483"/>
      <c r="G952" s="483"/>
      <c r="H952" s="483"/>
      <c r="I952" s="483"/>
      <c r="J952" s="483"/>
      <c r="K952" s="483"/>
      <c r="L952" s="608" t="s">
        <v>4884</v>
      </c>
      <c r="M952" s="409" t="s">
        <v>4884</v>
      </c>
      <c r="N952" s="409" t="s">
        <v>4884</v>
      </c>
      <c r="O952" s="410" t="s">
        <v>4884</v>
      </c>
      <c r="P952" s="406">
        <v>949</v>
      </c>
      <c r="Q952" s="460" t="s">
        <v>1818</v>
      </c>
      <c r="R952" s="460" t="s">
        <v>1819</v>
      </c>
      <c r="S952" s="460" t="s">
        <v>1528</v>
      </c>
      <c r="T952" s="510" t="s">
        <v>1820</v>
      </c>
      <c r="U952" s="471"/>
      <c r="V952" s="471"/>
      <c r="W952" s="488"/>
      <c r="X952" s="471"/>
      <c r="Y952" s="206"/>
      <c r="Z952" s="206"/>
    </row>
    <row r="953" spans="1:26">
      <c r="A953" s="406">
        <v>950</v>
      </c>
      <c r="B953" s="613" t="s">
        <v>7020</v>
      </c>
      <c r="C953" s="483" t="s">
        <v>1821</v>
      </c>
      <c r="D953" s="414" t="s">
        <v>4884</v>
      </c>
      <c r="E953" s="407" t="s">
        <v>4884</v>
      </c>
      <c r="F953" s="483"/>
      <c r="G953" s="483"/>
      <c r="H953" s="483"/>
      <c r="I953" s="483"/>
      <c r="J953" s="483"/>
      <c r="K953" s="483"/>
      <c r="L953" s="608" t="s">
        <v>4884</v>
      </c>
      <c r="M953" s="409" t="s">
        <v>4884</v>
      </c>
      <c r="N953" s="409" t="s">
        <v>4884</v>
      </c>
      <c r="O953" s="410" t="s">
        <v>4884</v>
      </c>
      <c r="P953" s="406">
        <v>950</v>
      </c>
      <c r="Q953" s="460" t="s">
        <v>1821</v>
      </c>
      <c r="R953" s="460" t="s">
        <v>1819</v>
      </c>
      <c r="S953" s="460" t="s">
        <v>1528</v>
      </c>
      <c r="T953" s="510" t="s">
        <v>1820</v>
      </c>
      <c r="U953" s="471"/>
      <c r="V953" s="471"/>
      <c r="W953" s="488"/>
      <c r="X953" s="471"/>
      <c r="Y953" s="206"/>
      <c r="Z953" s="206"/>
    </row>
    <row r="954" spans="1:26">
      <c r="A954" s="406">
        <v>951</v>
      </c>
      <c r="B954" s="613" t="s">
        <v>7020</v>
      </c>
      <c r="C954" s="483" t="s">
        <v>1822</v>
      </c>
      <c r="D954" s="414" t="s">
        <v>4884</v>
      </c>
      <c r="E954" s="407" t="s">
        <v>4884</v>
      </c>
      <c r="F954" s="483"/>
      <c r="G954" s="483"/>
      <c r="H954" s="483"/>
      <c r="I954" s="483"/>
      <c r="J954" s="483"/>
      <c r="K954" s="483"/>
      <c r="L954" s="608" t="s">
        <v>4884</v>
      </c>
      <c r="M954" s="409" t="s">
        <v>4884</v>
      </c>
      <c r="N954" s="409" t="s">
        <v>4884</v>
      </c>
      <c r="O954" s="410" t="s">
        <v>4884</v>
      </c>
      <c r="P954" s="406">
        <v>951</v>
      </c>
      <c r="Q954" s="460" t="s">
        <v>1822</v>
      </c>
      <c r="R954" s="460" t="s">
        <v>1819</v>
      </c>
      <c r="S954" s="460" t="s">
        <v>1528</v>
      </c>
      <c r="T954" s="510" t="s">
        <v>1820</v>
      </c>
      <c r="U954" s="471"/>
      <c r="V954" s="471"/>
      <c r="W954" s="488"/>
      <c r="X954" s="471"/>
      <c r="Y954" s="206"/>
      <c r="Z954" s="206"/>
    </row>
    <row r="955" spans="1:26">
      <c r="A955" s="406">
        <v>952</v>
      </c>
      <c r="B955" s="613" t="s">
        <v>7020</v>
      </c>
      <c r="C955" s="483" t="s">
        <v>1823</v>
      </c>
      <c r="D955" s="414" t="s">
        <v>4884</v>
      </c>
      <c r="E955" s="407" t="s">
        <v>4884</v>
      </c>
      <c r="F955" s="483"/>
      <c r="G955" s="483"/>
      <c r="H955" s="483"/>
      <c r="I955" s="483"/>
      <c r="J955" s="483"/>
      <c r="K955" s="483"/>
      <c r="L955" s="608" t="s">
        <v>4884</v>
      </c>
      <c r="M955" s="409" t="s">
        <v>4884</v>
      </c>
      <c r="N955" s="409" t="s">
        <v>4884</v>
      </c>
      <c r="O955" s="410" t="s">
        <v>4884</v>
      </c>
      <c r="P955" s="406">
        <v>952</v>
      </c>
      <c r="Q955" s="460" t="s">
        <v>1823</v>
      </c>
      <c r="R955" s="460" t="s">
        <v>1819</v>
      </c>
      <c r="S955" s="460" t="s">
        <v>1528</v>
      </c>
      <c r="T955" s="510" t="s">
        <v>1820</v>
      </c>
      <c r="U955" s="471"/>
      <c r="V955" s="471"/>
      <c r="W955" s="488"/>
      <c r="X955" s="471"/>
      <c r="Y955" s="206"/>
      <c r="Z955" s="206"/>
    </row>
    <row r="956" spans="1:26">
      <c r="A956" s="406">
        <v>953</v>
      </c>
      <c r="B956" s="613" t="s">
        <v>7020</v>
      </c>
      <c r="C956" s="483" t="s">
        <v>1824</v>
      </c>
      <c r="D956" s="414" t="s">
        <v>4884</v>
      </c>
      <c r="E956" s="407" t="s">
        <v>4884</v>
      </c>
      <c r="F956" s="483"/>
      <c r="G956" s="483"/>
      <c r="H956" s="483"/>
      <c r="I956" s="483"/>
      <c r="J956" s="483"/>
      <c r="K956" s="483"/>
      <c r="L956" s="608" t="s">
        <v>4884</v>
      </c>
      <c r="M956" s="409" t="s">
        <v>4884</v>
      </c>
      <c r="N956" s="409" t="s">
        <v>4884</v>
      </c>
      <c r="O956" s="410" t="s">
        <v>4884</v>
      </c>
      <c r="P956" s="406">
        <v>953</v>
      </c>
      <c r="Q956" s="460" t="s">
        <v>1824</v>
      </c>
      <c r="R956" s="460" t="s">
        <v>1825</v>
      </c>
      <c r="S956" s="460" t="s">
        <v>1528</v>
      </c>
      <c r="T956" s="511" t="s">
        <v>1826</v>
      </c>
      <c r="U956" s="471"/>
      <c r="V956" s="471"/>
      <c r="W956" s="488"/>
      <c r="X956" s="471"/>
      <c r="Y956" s="206"/>
      <c r="Z956" s="206"/>
    </row>
    <row r="957" spans="1:26">
      <c r="A957" s="406">
        <v>954</v>
      </c>
      <c r="B957" s="613" t="s">
        <v>7020</v>
      </c>
      <c r="C957" s="483" t="s">
        <v>1827</v>
      </c>
      <c r="D957" s="414" t="s">
        <v>4884</v>
      </c>
      <c r="E957" s="407" t="s">
        <v>4884</v>
      </c>
      <c r="F957" s="483"/>
      <c r="G957" s="483"/>
      <c r="H957" s="483"/>
      <c r="I957" s="483"/>
      <c r="J957" s="483"/>
      <c r="K957" s="483"/>
      <c r="L957" s="608" t="s">
        <v>4884</v>
      </c>
      <c r="M957" s="409" t="s">
        <v>4884</v>
      </c>
      <c r="N957" s="409" t="s">
        <v>4884</v>
      </c>
      <c r="O957" s="410" t="s">
        <v>4884</v>
      </c>
      <c r="P957" s="406">
        <v>954</v>
      </c>
      <c r="Q957" s="460" t="s">
        <v>1827</v>
      </c>
      <c r="R957" s="460" t="s">
        <v>1825</v>
      </c>
      <c r="S957" s="460" t="s">
        <v>1528</v>
      </c>
      <c r="T957" s="511" t="s">
        <v>1826</v>
      </c>
      <c r="U957" s="471"/>
      <c r="V957" s="471"/>
      <c r="W957" s="488"/>
      <c r="X957" s="471"/>
      <c r="Y957" s="206"/>
      <c r="Z957" s="206"/>
    </row>
    <row r="958" spans="1:26" ht="15" thickBot="1">
      <c r="A958" s="406">
        <v>955</v>
      </c>
      <c r="B958" s="613" t="s">
        <v>7020</v>
      </c>
      <c r="C958" s="483" t="s">
        <v>1828</v>
      </c>
      <c r="D958" s="414" t="s">
        <v>4884</v>
      </c>
      <c r="E958" s="407" t="s">
        <v>4884</v>
      </c>
      <c r="F958" s="483"/>
      <c r="G958" s="483"/>
      <c r="H958" s="483"/>
      <c r="I958" s="483"/>
      <c r="J958" s="483"/>
      <c r="K958" s="483"/>
      <c r="L958" s="608" t="s">
        <v>4884</v>
      </c>
      <c r="M958" s="409" t="s">
        <v>4884</v>
      </c>
      <c r="N958" s="409" t="s">
        <v>4884</v>
      </c>
      <c r="O958" s="410" t="s">
        <v>4884</v>
      </c>
      <c r="P958" s="406">
        <v>955</v>
      </c>
      <c r="Q958" s="460" t="s">
        <v>1828</v>
      </c>
      <c r="R958" s="460" t="s">
        <v>1829</v>
      </c>
      <c r="S958" s="460" t="s">
        <v>1528</v>
      </c>
      <c r="T958" s="486" t="s">
        <v>1795</v>
      </c>
      <c r="U958" s="471"/>
      <c r="V958" s="471"/>
      <c r="W958" s="488"/>
      <c r="X958" s="471"/>
      <c r="Y958" s="206"/>
      <c r="Z958" s="206"/>
    </row>
    <row r="959" spans="1:26" ht="15" thickBot="1">
      <c r="A959" s="406">
        <v>956</v>
      </c>
      <c r="B959" s="613" t="s">
        <v>7020</v>
      </c>
      <c r="C959" s="483" t="s">
        <v>1830</v>
      </c>
      <c r="D959" s="414" t="s">
        <v>4884</v>
      </c>
      <c r="E959" s="407" t="s">
        <v>4884</v>
      </c>
      <c r="F959" s="483"/>
      <c r="G959" s="483"/>
      <c r="H959" s="483"/>
      <c r="I959" s="483"/>
      <c r="J959" s="483"/>
      <c r="K959" s="483"/>
      <c r="L959" s="608" t="s">
        <v>4884</v>
      </c>
      <c r="M959" s="409" t="s">
        <v>4884</v>
      </c>
      <c r="N959" s="409" t="s">
        <v>4884</v>
      </c>
      <c r="O959" s="410" t="s">
        <v>4884</v>
      </c>
      <c r="P959" s="406">
        <v>956</v>
      </c>
      <c r="Q959" s="535" t="s">
        <v>1830</v>
      </c>
      <c r="R959" s="535" t="s">
        <v>1831</v>
      </c>
      <c r="S959" s="535" t="s">
        <v>1528</v>
      </c>
      <c r="T959" s="536" t="s">
        <v>1832</v>
      </c>
      <c r="U959" s="471"/>
      <c r="V959" s="471"/>
      <c r="W959" s="488"/>
      <c r="X959" s="471"/>
      <c r="Y959" s="206"/>
      <c r="Z959" s="206"/>
    </row>
    <row r="960" spans="1:26">
      <c r="A960" s="406">
        <v>957</v>
      </c>
      <c r="B960" s="613" t="s">
        <v>2949</v>
      </c>
      <c r="C960" s="483" t="s">
        <v>1833</v>
      </c>
      <c r="D960" s="414" t="s">
        <v>3692</v>
      </c>
      <c r="E960" s="407" t="s">
        <v>8490</v>
      </c>
      <c r="F960" s="483" t="s">
        <v>2950</v>
      </c>
      <c r="H960" s="411"/>
      <c r="I960" s="411"/>
      <c r="J960" s="411"/>
      <c r="K960" s="411"/>
      <c r="L960" s="608"/>
      <c r="M960" s="409">
        <v>15177.917322834646</v>
      </c>
      <c r="N960" s="409">
        <v>15177.917322834646</v>
      </c>
      <c r="O960" s="410" t="s">
        <v>7570</v>
      </c>
      <c r="P960" s="406">
        <v>957</v>
      </c>
      <c r="Q960" s="460" t="s">
        <v>1833</v>
      </c>
      <c r="R960" s="460" t="s">
        <v>1834</v>
      </c>
      <c r="S960" s="460" t="s">
        <v>1528</v>
      </c>
      <c r="T960" s="482" t="s">
        <v>1835</v>
      </c>
      <c r="U960" s="471"/>
      <c r="V960" s="471"/>
      <c r="W960" s="488"/>
      <c r="X960" s="471">
        <v>1</v>
      </c>
      <c r="Y960" s="206"/>
      <c r="Z960" s="206"/>
    </row>
    <row r="961" spans="1:26">
      <c r="A961" s="406">
        <v>958</v>
      </c>
      <c r="B961" s="613" t="s">
        <v>7020</v>
      </c>
      <c r="C961" s="483" t="s">
        <v>1836</v>
      </c>
      <c r="D961" s="414" t="s">
        <v>4884</v>
      </c>
      <c r="E961" s="407" t="s">
        <v>4884</v>
      </c>
      <c r="F961" s="483"/>
      <c r="G961" s="483"/>
      <c r="H961" s="483"/>
      <c r="I961" s="483"/>
      <c r="J961" s="483"/>
      <c r="K961" s="483"/>
      <c r="L961" s="608" t="s">
        <v>4884</v>
      </c>
      <c r="M961" s="409" t="s">
        <v>4884</v>
      </c>
      <c r="N961" s="409" t="s">
        <v>4884</v>
      </c>
      <c r="O961" s="410" t="s">
        <v>4884</v>
      </c>
      <c r="P961" s="406">
        <v>958</v>
      </c>
      <c r="Q961" s="460" t="s">
        <v>1836</v>
      </c>
      <c r="R961" s="460" t="s">
        <v>1837</v>
      </c>
      <c r="S961" s="460" t="s">
        <v>1528</v>
      </c>
      <c r="T961" s="481" t="s">
        <v>1838</v>
      </c>
      <c r="U961" s="471"/>
      <c r="V961" s="471"/>
      <c r="W961" s="488"/>
      <c r="X961" s="471"/>
      <c r="Y961" s="206"/>
      <c r="Z961" s="206"/>
    </row>
    <row r="962" spans="1:26">
      <c r="A962" s="406">
        <v>959</v>
      </c>
      <c r="B962" s="613" t="s">
        <v>7020</v>
      </c>
      <c r="C962" s="483" t="s">
        <v>1839</v>
      </c>
      <c r="D962" s="414" t="s">
        <v>4884</v>
      </c>
      <c r="E962" s="407" t="s">
        <v>4884</v>
      </c>
      <c r="F962" s="483"/>
      <c r="G962" s="483"/>
      <c r="H962" s="483"/>
      <c r="I962" s="483"/>
      <c r="J962" s="483"/>
      <c r="K962" s="483"/>
      <c r="L962" s="608" t="s">
        <v>4884</v>
      </c>
      <c r="M962" s="409" t="s">
        <v>4884</v>
      </c>
      <c r="N962" s="409" t="s">
        <v>4884</v>
      </c>
      <c r="O962" s="410" t="s">
        <v>4884</v>
      </c>
      <c r="P962" s="406">
        <v>959</v>
      </c>
      <c r="Q962" s="460" t="s">
        <v>1839</v>
      </c>
      <c r="R962" s="460" t="s">
        <v>1837</v>
      </c>
      <c r="S962" s="460" t="s">
        <v>1528</v>
      </c>
      <c r="T962" s="481" t="s">
        <v>1838</v>
      </c>
      <c r="U962" s="471"/>
      <c r="V962" s="471"/>
      <c r="W962" s="488"/>
      <c r="X962" s="471"/>
      <c r="Y962" s="206"/>
      <c r="Z962" s="206"/>
    </row>
    <row r="963" spans="1:26">
      <c r="A963" s="406">
        <v>960</v>
      </c>
      <c r="B963" s="613" t="s">
        <v>7020</v>
      </c>
      <c r="C963" s="483" t="s">
        <v>1840</v>
      </c>
      <c r="D963" s="414" t="s">
        <v>4884</v>
      </c>
      <c r="E963" s="407" t="s">
        <v>4884</v>
      </c>
      <c r="F963" s="483"/>
      <c r="G963" s="483"/>
      <c r="H963" s="483"/>
      <c r="I963" s="483"/>
      <c r="J963" s="483"/>
      <c r="K963" s="483"/>
      <c r="L963" s="608" t="s">
        <v>4884</v>
      </c>
      <c r="M963" s="409" t="s">
        <v>4884</v>
      </c>
      <c r="N963" s="409" t="s">
        <v>4884</v>
      </c>
      <c r="O963" s="410" t="s">
        <v>4884</v>
      </c>
      <c r="P963" s="406">
        <v>960</v>
      </c>
      <c r="Q963" s="460" t="s">
        <v>1840</v>
      </c>
      <c r="R963" s="460" t="s">
        <v>1837</v>
      </c>
      <c r="S963" s="460" t="s">
        <v>1528</v>
      </c>
      <c r="T963" s="481" t="s">
        <v>1838</v>
      </c>
      <c r="U963" s="471"/>
      <c r="V963" s="471"/>
      <c r="W963" s="488"/>
      <c r="X963" s="471"/>
      <c r="Y963" s="206"/>
      <c r="Z963" s="206"/>
    </row>
    <row r="964" spans="1:26">
      <c r="A964" s="406">
        <v>961</v>
      </c>
      <c r="B964" s="613" t="s">
        <v>7020</v>
      </c>
      <c r="C964" s="483" t="s">
        <v>1841</v>
      </c>
      <c r="D964" s="414" t="s">
        <v>4884</v>
      </c>
      <c r="E964" s="407" t="s">
        <v>4884</v>
      </c>
      <c r="F964" s="483"/>
      <c r="G964" s="483"/>
      <c r="H964" s="483"/>
      <c r="I964" s="483"/>
      <c r="J964" s="483"/>
      <c r="K964" s="483"/>
      <c r="L964" s="608" t="s">
        <v>4884</v>
      </c>
      <c r="M964" s="409" t="s">
        <v>4884</v>
      </c>
      <c r="N964" s="409" t="s">
        <v>4884</v>
      </c>
      <c r="O964" s="410" t="s">
        <v>4884</v>
      </c>
      <c r="P964" s="406">
        <v>961</v>
      </c>
      <c r="Q964" s="460" t="s">
        <v>1841</v>
      </c>
      <c r="R964" s="460" t="s">
        <v>1837</v>
      </c>
      <c r="S964" s="460" t="s">
        <v>1528</v>
      </c>
      <c r="T964" s="481" t="s">
        <v>1838</v>
      </c>
      <c r="U964" s="471"/>
      <c r="V964" s="471"/>
      <c r="W964" s="488"/>
      <c r="X964" s="471"/>
      <c r="Y964" s="206"/>
      <c r="Z964" s="206"/>
    </row>
    <row r="965" spans="1:26">
      <c r="A965" s="406">
        <v>962</v>
      </c>
      <c r="B965" s="613" t="s">
        <v>7020</v>
      </c>
      <c r="C965" s="483" t="s">
        <v>1842</v>
      </c>
      <c r="D965" s="414" t="s">
        <v>4884</v>
      </c>
      <c r="E965" s="407" t="s">
        <v>4884</v>
      </c>
      <c r="F965" s="483"/>
      <c r="G965" s="483"/>
      <c r="H965" s="483"/>
      <c r="I965" s="483"/>
      <c r="J965" s="483"/>
      <c r="K965" s="483"/>
      <c r="L965" s="608" t="s">
        <v>4884</v>
      </c>
      <c r="M965" s="409" t="s">
        <v>4884</v>
      </c>
      <c r="N965" s="409" t="s">
        <v>4884</v>
      </c>
      <c r="O965" s="410" t="s">
        <v>4884</v>
      </c>
      <c r="P965" s="406">
        <v>962</v>
      </c>
      <c r="Q965" s="460" t="s">
        <v>1842</v>
      </c>
      <c r="R965" s="460" t="s">
        <v>1837</v>
      </c>
      <c r="S965" s="460" t="s">
        <v>1528</v>
      </c>
      <c r="T965" s="481" t="s">
        <v>1838</v>
      </c>
      <c r="U965" s="471"/>
      <c r="V965" s="471"/>
      <c r="W965" s="488"/>
      <c r="X965" s="471"/>
      <c r="Y965" s="206"/>
      <c r="Z965" s="206"/>
    </row>
    <row r="966" spans="1:26">
      <c r="A966" s="406">
        <v>963</v>
      </c>
      <c r="B966" s="613" t="s">
        <v>7020</v>
      </c>
      <c r="C966" s="483" t="s">
        <v>1843</v>
      </c>
      <c r="D966" s="414" t="s">
        <v>4884</v>
      </c>
      <c r="E966" s="407" t="s">
        <v>4884</v>
      </c>
      <c r="F966" s="483"/>
      <c r="G966" s="483"/>
      <c r="H966" s="483"/>
      <c r="I966" s="483"/>
      <c r="J966" s="483"/>
      <c r="K966" s="483"/>
      <c r="L966" s="608" t="s">
        <v>4884</v>
      </c>
      <c r="M966" s="409" t="s">
        <v>4884</v>
      </c>
      <c r="N966" s="409" t="s">
        <v>4884</v>
      </c>
      <c r="O966" s="410" t="s">
        <v>4884</v>
      </c>
      <c r="P966" s="406">
        <v>963</v>
      </c>
      <c r="Q966" s="460" t="s">
        <v>1843</v>
      </c>
      <c r="R966" s="460" t="s">
        <v>1837</v>
      </c>
      <c r="S966" s="460" t="s">
        <v>1528</v>
      </c>
      <c r="T966" s="481" t="s">
        <v>1838</v>
      </c>
      <c r="U966" s="471"/>
      <c r="V966" s="471"/>
      <c r="W966" s="488"/>
      <c r="X966" s="471"/>
      <c r="Y966" s="206"/>
      <c r="Z966" s="206"/>
    </row>
    <row r="967" spans="1:26">
      <c r="A967" s="406">
        <v>964</v>
      </c>
      <c r="B967" s="613" t="s">
        <v>7020</v>
      </c>
      <c r="C967" s="483" t="s">
        <v>1844</v>
      </c>
      <c r="D967" s="414" t="s">
        <v>4884</v>
      </c>
      <c r="E967" s="407" t="s">
        <v>4884</v>
      </c>
      <c r="F967" s="483"/>
      <c r="G967" s="483"/>
      <c r="H967" s="483"/>
      <c r="I967" s="483"/>
      <c r="J967" s="483"/>
      <c r="K967" s="483"/>
      <c r="L967" s="608" t="s">
        <v>4884</v>
      </c>
      <c r="M967" s="409" t="s">
        <v>4884</v>
      </c>
      <c r="N967" s="409" t="s">
        <v>4884</v>
      </c>
      <c r="O967" s="410" t="s">
        <v>4884</v>
      </c>
      <c r="P967" s="406">
        <v>964</v>
      </c>
      <c r="Q967" s="460" t="s">
        <v>1844</v>
      </c>
      <c r="R967" s="460" t="s">
        <v>1837</v>
      </c>
      <c r="S967" s="460" t="s">
        <v>1528</v>
      </c>
      <c r="T967" s="481" t="s">
        <v>1838</v>
      </c>
      <c r="U967" s="471"/>
      <c r="V967" s="471"/>
      <c r="W967" s="488"/>
      <c r="X967" s="471"/>
      <c r="Y967" s="206"/>
      <c r="Z967" s="206"/>
    </row>
    <row r="968" spans="1:26">
      <c r="A968" s="406">
        <v>965</v>
      </c>
      <c r="B968" s="613" t="s">
        <v>7020</v>
      </c>
      <c r="C968" s="483" t="s">
        <v>1845</v>
      </c>
      <c r="D968" s="414" t="s">
        <v>4884</v>
      </c>
      <c r="E968" s="407" t="s">
        <v>4884</v>
      </c>
      <c r="F968" s="483"/>
      <c r="G968" s="483"/>
      <c r="H968" s="483"/>
      <c r="I968" s="483"/>
      <c r="J968" s="483"/>
      <c r="K968" s="483"/>
      <c r="L968" s="608" t="s">
        <v>4884</v>
      </c>
      <c r="M968" s="409" t="s">
        <v>4884</v>
      </c>
      <c r="N968" s="409" t="s">
        <v>4884</v>
      </c>
      <c r="O968" s="410" t="s">
        <v>4884</v>
      </c>
      <c r="P968" s="406">
        <v>965</v>
      </c>
      <c r="Q968" s="460" t="s">
        <v>1845</v>
      </c>
      <c r="R968" s="460" t="s">
        <v>1837</v>
      </c>
      <c r="S968" s="460" t="s">
        <v>1528</v>
      </c>
      <c r="T968" s="481" t="s">
        <v>1838</v>
      </c>
      <c r="U968" s="471"/>
      <c r="V968" s="471"/>
      <c r="W968" s="488"/>
      <c r="X968" s="471"/>
      <c r="Y968" s="206"/>
      <c r="Z968" s="206"/>
    </row>
    <row r="969" spans="1:26">
      <c r="A969" s="406">
        <v>966</v>
      </c>
      <c r="B969" s="613" t="s">
        <v>7020</v>
      </c>
      <c r="C969" s="483" t="s">
        <v>1846</v>
      </c>
      <c r="D969" s="414" t="s">
        <v>4884</v>
      </c>
      <c r="E969" s="407" t="s">
        <v>4884</v>
      </c>
      <c r="F969" s="483"/>
      <c r="G969" s="483"/>
      <c r="H969" s="483"/>
      <c r="I969" s="483"/>
      <c r="J969" s="483"/>
      <c r="K969" s="483"/>
      <c r="L969" s="608" t="s">
        <v>4884</v>
      </c>
      <c r="M969" s="409" t="s">
        <v>4884</v>
      </c>
      <c r="N969" s="409" t="s">
        <v>4884</v>
      </c>
      <c r="O969" s="410" t="s">
        <v>4884</v>
      </c>
      <c r="P969" s="406">
        <v>966</v>
      </c>
      <c r="Q969" s="460" t="s">
        <v>1846</v>
      </c>
      <c r="R969" s="460" t="s">
        <v>1837</v>
      </c>
      <c r="S969" s="460" t="s">
        <v>1528</v>
      </c>
      <c r="T969" s="481" t="s">
        <v>1838</v>
      </c>
      <c r="U969" s="471"/>
      <c r="V969" s="471"/>
      <c r="W969" s="488"/>
      <c r="X969" s="471"/>
      <c r="Y969" s="206"/>
      <c r="Z969" s="206"/>
    </row>
    <row r="970" spans="1:26">
      <c r="A970" s="406">
        <v>967</v>
      </c>
      <c r="B970" s="613" t="s">
        <v>7020</v>
      </c>
      <c r="C970" s="483" t="s">
        <v>1847</v>
      </c>
      <c r="D970" s="414" t="s">
        <v>4884</v>
      </c>
      <c r="E970" s="407" t="s">
        <v>4884</v>
      </c>
      <c r="F970" s="483"/>
      <c r="G970" s="483"/>
      <c r="H970" s="483"/>
      <c r="I970" s="483"/>
      <c r="J970" s="483"/>
      <c r="K970" s="483"/>
      <c r="L970" s="608" t="s">
        <v>4884</v>
      </c>
      <c r="M970" s="409" t="s">
        <v>4884</v>
      </c>
      <c r="N970" s="409" t="s">
        <v>4884</v>
      </c>
      <c r="O970" s="410" t="s">
        <v>4884</v>
      </c>
      <c r="P970" s="406">
        <v>967</v>
      </c>
      <c r="Q970" s="460" t="s">
        <v>1847</v>
      </c>
      <c r="R970" s="460" t="s">
        <v>1837</v>
      </c>
      <c r="S970" s="460" t="s">
        <v>1528</v>
      </c>
      <c r="T970" s="481" t="s">
        <v>1838</v>
      </c>
      <c r="U970" s="471"/>
      <c r="V970" s="471"/>
      <c r="W970" s="488"/>
      <c r="X970" s="471"/>
      <c r="Y970" s="206"/>
      <c r="Z970" s="206"/>
    </row>
    <row r="971" spans="1:26">
      <c r="A971" s="406">
        <v>968</v>
      </c>
      <c r="B971" s="613" t="s">
        <v>7020</v>
      </c>
      <c r="C971" s="483" t="s">
        <v>1848</v>
      </c>
      <c r="D971" s="414" t="s">
        <v>4884</v>
      </c>
      <c r="E971" s="407" t="s">
        <v>4884</v>
      </c>
      <c r="F971" s="483"/>
      <c r="G971" s="483"/>
      <c r="H971" s="483"/>
      <c r="I971" s="483"/>
      <c r="J971" s="483"/>
      <c r="K971" s="483"/>
      <c r="L971" s="608" t="s">
        <v>4884</v>
      </c>
      <c r="M971" s="409" t="s">
        <v>4884</v>
      </c>
      <c r="N971" s="409" t="s">
        <v>4884</v>
      </c>
      <c r="O971" s="410" t="s">
        <v>4884</v>
      </c>
      <c r="P971" s="406">
        <v>968</v>
      </c>
      <c r="Q971" s="460" t="s">
        <v>1848</v>
      </c>
      <c r="R971" s="460" t="s">
        <v>1837</v>
      </c>
      <c r="S971" s="460" t="s">
        <v>1528</v>
      </c>
      <c r="T971" s="481" t="s">
        <v>1838</v>
      </c>
      <c r="U971" s="471"/>
      <c r="V971" s="471"/>
      <c r="W971" s="488"/>
      <c r="X971" s="471"/>
      <c r="Y971" s="206"/>
      <c r="Z971" s="206"/>
    </row>
    <row r="972" spans="1:26">
      <c r="A972" s="406">
        <v>969</v>
      </c>
      <c r="B972" s="613" t="s">
        <v>7020</v>
      </c>
      <c r="C972" s="483" t="s">
        <v>1849</v>
      </c>
      <c r="D972" s="414" t="s">
        <v>4884</v>
      </c>
      <c r="E972" s="407" t="s">
        <v>4884</v>
      </c>
      <c r="F972" s="483"/>
      <c r="G972" s="483"/>
      <c r="H972" s="483"/>
      <c r="I972" s="483"/>
      <c r="J972" s="483"/>
      <c r="K972" s="483"/>
      <c r="L972" s="608" t="s">
        <v>4884</v>
      </c>
      <c r="M972" s="409" t="s">
        <v>4884</v>
      </c>
      <c r="N972" s="409" t="s">
        <v>4884</v>
      </c>
      <c r="O972" s="410" t="s">
        <v>4884</v>
      </c>
      <c r="P972" s="406">
        <v>969</v>
      </c>
      <c r="Q972" s="460" t="s">
        <v>1849</v>
      </c>
      <c r="R972" s="460" t="s">
        <v>1837</v>
      </c>
      <c r="S972" s="460" t="s">
        <v>1528</v>
      </c>
      <c r="T972" s="481" t="s">
        <v>1838</v>
      </c>
      <c r="U972" s="471"/>
      <c r="V972" s="471"/>
      <c r="W972" s="488"/>
      <c r="X972" s="471"/>
      <c r="Y972" s="206"/>
      <c r="Z972" s="206"/>
    </row>
    <row r="973" spans="1:26">
      <c r="A973" s="406">
        <v>970</v>
      </c>
      <c r="B973" s="613" t="s">
        <v>7020</v>
      </c>
      <c r="C973" s="483" t="s">
        <v>1850</v>
      </c>
      <c r="D973" s="414" t="s">
        <v>4884</v>
      </c>
      <c r="E973" s="407" t="s">
        <v>4884</v>
      </c>
      <c r="F973" s="483"/>
      <c r="G973" s="483"/>
      <c r="H973" s="483"/>
      <c r="I973" s="483"/>
      <c r="J973" s="483"/>
      <c r="K973" s="483"/>
      <c r="L973" s="608" t="s">
        <v>4884</v>
      </c>
      <c r="M973" s="409" t="s">
        <v>4884</v>
      </c>
      <c r="N973" s="409" t="s">
        <v>4884</v>
      </c>
      <c r="O973" s="410" t="s">
        <v>4884</v>
      </c>
      <c r="P973" s="406">
        <v>970</v>
      </c>
      <c r="Q973" s="460" t="s">
        <v>1850</v>
      </c>
      <c r="R973" s="460" t="s">
        <v>1837</v>
      </c>
      <c r="S973" s="460" t="s">
        <v>1528</v>
      </c>
      <c r="T973" s="481" t="s">
        <v>1838</v>
      </c>
      <c r="U973" s="471"/>
      <c r="V973" s="471"/>
      <c r="W973" s="488"/>
      <c r="X973" s="471"/>
      <c r="Y973" s="206"/>
      <c r="Z973" s="206"/>
    </row>
    <row r="974" spans="1:26">
      <c r="A974" s="406">
        <v>971</v>
      </c>
      <c r="B974" s="613" t="s">
        <v>7020</v>
      </c>
      <c r="C974" s="483" t="s">
        <v>1851</v>
      </c>
      <c r="D974" s="414" t="s">
        <v>4884</v>
      </c>
      <c r="E974" s="407" t="s">
        <v>4884</v>
      </c>
      <c r="F974" s="483"/>
      <c r="G974" s="483"/>
      <c r="H974" s="483"/>
      <c r="I974" s="483"/>
      <c r="J974" s="483"/>
      <c r="K974" s="483"/>
      <c r="L974" s="608" t="s">
        <v>4884</v>
      </c>
      <c r="M974" s="409" t="s">
        <v>4884</v>
      </c>
      <c r="N974" s="409" t="s">
        <v>4884</v>
      </c>
      <c r="O974" s="410" t="s">
        <v>4884</v>
      </c>
      <c r="P974" s="406">
        <v>971</v>
      </c>
      <c r="Q974" s="460" t="s">
        <v>1851</v>
      </c>
      <c r="R974" s="460" t="s">
        <v>1837</v>
      </c>
      <c r="S974" s="460" t="s">
        <v>1528</v>
      </c>
      <c r="T974" s="481" t="s">
        <v>1838</v>
      </c>
      <c r="U974" s="471"/>
      <c r="V974" s="471"/>
      <c r="W974" s="488"/>
      <c r="X974" s="471"/>
      <c r="Y974" s="206"/>
      <c r="Z974" s="206"/>
    </row>
    <row r="975" spans="1:26">
      <c r="A975" s="406">
        <v>972</v>
      </c>
      <c r="B975" s="613" t="s">
        <v>7020</v>
      </c>
      <c r="C975" s="483" t="s">
        <v>1852</v>
      </c>
      <c r="D975" s="414" t="s">
        <v>4884</v>
      </c>
      <c r="E975" s="407" t="s">
        <v>4884</v>
      </c>
      <c r="F975" s="483"/>
      <c r="G975" s="483"/>
      <c r="H975" s="483"/>
      <c r="I975" s="483"/>
      <c r="J975" s="483"/>
      <c r="K975" s="483"/>
      <c r="L975" s="608" t="s">
        <v>4884</v>
      </c>
      <c r="M975" s="409" t="s">
        <v>4884</v>
      </c>
      <c r="N975" s="409" t="s">
        <v>4884</v>
      </c>
      <c r="O975" s="410" t="s">
        <v>4884</v>
      </c>
      <c r="P975" s="406">
        <v>972</v>
      </c>
      <c r="Q975" s="460" t="s">
        <v>1852</v>
      </c>
      <c r="R975" s="460" t="s">
        <v>1853</v>
      </c>
      <c r="S975" s="460" t="s">
        <v>1528</v>
      </c>
      <c r="T975" s="481" t="s">
        <v>1854</v>
      </c>
      <c r="U975" s="471"/>
      <c r="V975" s="471"/>
      <c r="W975" s="488"/>
      <c r="X975" s="471"/>
      <c r="Y975" s="206"/>
      <c r="Z975" s="206"/>
    </row>
    <row r="976" spans="1:26">
      <c r="A976" s="406">
        <v>973</v>
      </c>
      <c r="B976" s="613" t="s">
        <v>7020</v>
      </c>
      <c r="C976" s="483" t="s">
        <v>1855</v>
      </c>
      <c r="D976" s="414" t="s">
        <v>4884</v>
      </c>
      <c r="E976" s="407" t="s">
        <v>4884</v>
      </c>
      <c r="F976" s="483"/>
      <c r="G976" s="483"/>
      <c r="H976" s="483"/>
      <c r="I976" s="483"/>
      <c r="J976" s="483"/>
      <c r="K976" s="483"/>
      <c r="L976" s="608" t="s">
        <v>4884</v>
      </c>
      <c r="M976" s="409" t="s">
        <v>4884</v>
      </c>
      <c r="N976" s="409" t="s">
        <v>4884</v>
      </c>
      <c r="O976" s="410" t="s">
        <v>4884</v>
      </c>
      <c r="P976" s="406">
        <v>973</v>
      </c>
      <c r="Q976" s="460" t="s">
        <v>1855</v>
      </c>
      <c r="R976" s="460" t="s">
        <v>1856</v>
      </c>
      <c r="S976" s="460" t="s">
        <v>1528</v>
      </c>
      <c r="T976" s="512" t="s">
        <v>1857</v>
      </c>
      <c r="U976" s="471"/>
      <c r="V976" s="471"/>
      <c r="W976" s="488"/>
      <c r="X976" s="471"/>
      <c r="Y976" s="206"/>
      <c r="Z976" s="206"/>
    </row>
    <row r="977" spans="1:26">
      <c r="A977" s="406">
        <v>974</v>
      </c>
      <c r="B977" s="613" t="s">
        <v>7020</v>
      </c>
      <c r="C977" s="483" t="s">
        <v>1858</v>
      </c>
      <c r="D977" s="414" t="s">
        <v>4884</v>
      </c>
      <c r="E977" s="407" t="s">
        <v>4884</v>
      </c>
      <c r="F977" s="483"/>
      <c r="G977" s="483"/>
      <c r="H977" s="483"/>
      <c r="I977" s="483"/>
      <c r="J977" s="483"/>
      <c r="K977" s="483"/>
      <c r="L977" s="608" t="s">
        <v>4884</v>
      </c>
      <c r="M977" s="409" t="s">
        <v>4884</v>
      </c>
      <c r="N977" s="409" t="s">
        <v>4884</v>
      </c>
      <c r="O977" s="410" t="s">
        <v>4884</v>
      </c>
      <c r="P977" s="406">
        <v>974</v>
      </c>
      <c r="Q977" s="460" t="s">
        <v>1858</v>
      </c>
      <c r="R977" s="460" t="s">
        <v>1856</v>
      </c>
      <c r="S977" s="460" t="s">
        <v>1528</v>
      </c>
      <c r="T977" s="512" t="s">
        <v>1857</v>
      </c>
      <c r="U977" s="471"/>
      <c r="V977" s="471"/>
      <c r="W977" s="488"/>
      <c r="X977" s="471"/>
      <c r="Y977" s="206"/>
      <c r="Z977" s="206"/>
    </row>
    <row r="978" spans="1:26">
      <c r="A978" s="406">
        <v>975</v>
      </c>
      <c r="B978" s="613" t="s">
        <v>7020</v>
      </c>
      <c r="C978" s="483" t="s">
        <v>1859</v>
      </c>
      <c r="D978" s="414" t="s">
        <v>4884</v>
      </c>
      <c r="E978" s="407" t="s">
        <v>4884</v>
      </c>
      <c r="F978" s="483"/>
      <c r="G978" s="483"/>
      <c r="H978" s="483"/>
      <c r="I978" s="483"/>
      <c r="J978" s="483"/>
      <c r="K978" s="483"/>
      <c r="L978" s="608" t="s">
        <v>4884</v>
      </c>
      <c r="M978" s="409" t="s">
        <v>4884</v>
      </c>
      <c r="N978" s="409" t="s">
        <v>4884</v>
      </c>
      <c r="O978" s="410" t="s">
        <v>4884</v>
      </c>
      <c r="P978" s="406">
        <v>975</v>
      </c>
      <c r="Q978" s="460" t="s">
        <v>1859</v>
      </c>
      <c r="R978" s="460" t="s">
        <v>1860</v>
      </c>
      <c r="S978" s="460" t="s">
        <v>1528</v>
      </c>
      <c r="T978" s="513" t="s">
        <v>1861</v>
      </c>
      <c r="U978" s="471"/>
      <c r="V978" s="471"/>
      <c r="W978" s="488"/>
      <c r="X978" s="471"/>
      <c r="Y978" s="206"/>
      <c r="Z978" s="206"/>
    </row>
    <row r="979" spans="1:26">
      <c r="A979" s="406">
        <v>976</v>
      </c>
      <c r="B979" s="613" t="s">
        <v>7020</v>
      </c>
      <c r="C979" s="483" t="s">
        <v>1862</v>
      </c>
      <c r="D979" s="414" t="s">
        <v>4884</v>
      </c>
      <c r="E979" s="407" t="s">
        <v>4884</v>
      </c>
      <c r="F979" s="483"/>
      <c r="G979" s="483"/>
      <c r="H979" s="483"/>
      <c r="I979" s="483"/>
      <c r="J979" s="483"/>
      <c r="K979" s="483"/>
      <c r="L979" s="608" t="s">
        <v>4884</v>
      </c>
      <c r="M979" s="409" t="s">
        <v>4884</v>
      </c>
      <c r="N979" s="409" t="s">
        <v>4884</v>
      </c>
      <c r="O979" s="410" t="s">
        <v>4884</v>
      </c>
      <c r="P979" s="406">
        <v>976</v>
      </c>
      <c r="Q979" s="460" t="s">
        <v>1862</v>
      </c>
      <c r="R979" s="460" t="s">
        <v>1863</v>
      </c>
      <c r="S979" s="460" t="s">
        <v>1528</v>
      </c>
      <c r="T979" s="514" t="s">
        <v>1864</v>
      </c>
      <c r="U979" s="471"/>
      <c r="V979" s="471"/>
      <c r="W979" s="488"/>
      <c r="X979" s="471"/>
      <c r="Y979" s="206"/>
      <c r="Z979" s="206"/>
    </row>
    <row r="980" spans="1:26">
      <c r="A980" s="406">
        <v>977</v>
      </c>
      <c r="B980" s="613" t="s">
        <v>7020</v>
      </c>
      <c r="C980" s="483" t="s">
        <v>1865</v>
      </c>
      <c r="D980" s="414" t="s">
        <v>4884</v>
      </c>
      <c r="E980" s="407" t="s">
        <v>4884</v>
      </c>
      <c r="F980" s="483"/>
      <c r="G980" s="483"/>
      <c r="H980" s="483"/>
      <c r="I980" s="483"/>
      <c r="J980" s="483"/>
      <c r="K980" s="483"/>
      <c r="L980" s="608" t="s">
        <v>4884</v>
      </c>
      <c r="M980" s="409" t="s">
        <v>4884</v>
      </c>
      <c r="N980" s="409" t="s">
        <v>4884</v>
      </c>
      <c r="O980" s="410" t="s">
        <v>4884</v>
      </c>
      <c r="P980" s="406">
        <v>977</v>
      </c>
      <c r="Q980" s="460" t="s">
        <v>1865</v>
      </c>
      <c r="R980" s="460" t="s">
        <v>1863</v>
      </c>
      <c r="S980" s="460" t="s">
        <v>1528</v>
      </c>
      <c r="T980" s="514" t="s">
        <v>1864</v>
      </c>
      <c r="U980" s="471"/>
      <c r="V980" s="471"/>
      <c r="W980" s="488"/>
      <c r="X980" s="471"/>
      <c r="Y980" s="206"/>
      <c r="Z980" s="206"/>
    </row>
    <row r="981" spans="1:26">
      <c r="A981" s="406">
        <v>978</v>
      </c>
      <c r="B981" s="613" t="s">
        <v>7020</v>
      </c>
      <c r="C981" s="483" t="s">
        <v>1866</v>
      </c>
      <c r="D981" s="414" t="s">
        <v>4884</v>
      </c>
      <c r="E981" s="407" t="s">
        <v>4884</v>
      </c>
      <c r="F981" s="483"/>
      <c r="G981" s="483"/>
      <c r="H981" s="483"/>
      <c r="I981" s="483"/>
      <c r="J981" s="483"/>
      <c r="K981" s="483"/>
      <c r="L981" s="608" t="s">
        <v>4884</v>
      </c>
      <c r="M981" s="409" t="s">
        <v>4884</v>
      </c>
      <c r="N981" s="409" t="s">
        <v>4884</v>
      </c>
      <c r="O981" s="410" t="s">
        <v>4884</v>
      </c>
      <c r="P981" s="406">
        <v>978</v>
      </c>
      <c r="Q981" s="460" t="s">
        <v>1866</v>
      </c>
      <c r="R981" s="460" t="s">
        <v>1863</v>
      </c>
      <c r="S981" s="460" t="s">
        <v>1528</v>
      </c>
      <c r="T981" s="514" t="s">
        <v>1864</v>
      </c>
      <c r="U981" s="471"/>
      <c r="V981" s="471"/>
      <c r="W981" s="488"/>
      <c r="X981" s="471"/>
      <c r="Y981" s="206"/>
      <c r="Z981" s="206"/>
    </row>
    <row r="982" spans="1:26">
      <c r="A982" s="406">
        <v>979</v>
      </c>
      <c r="B982" s="613" t="s">
        <v>7020</v>
      </c>
      <c r="C982" s="483" t="s">
        <v>1867</v>
      </c>
      <c r="D982" s="414" t="s">
        <v>4884</v>
      </c>
      <c r="E982" s="407" t="s">
        <v>4884</v>
      </c>
      <c r="F982" s="483"/>
      <c r="G982" s="483"/>
      <c r="H982" s="483"/>
      <c r="I982" s="483"/>
      <c r="J982" s="483"/>
      <c r="K982" s="483"/>
      <c r="L982" s="608" t="s">
        <v>4884</v>
      </c>
      <c r="M982" s="409" t="s">
        <v>4884</v>
      </c>
      <c r="N982" s="409" t="s">
        <v>4884</v>
      </c>
      <c r="O982" s="410" t="s">
        <v>4884</v>
      </c>
      <c r="P982" s="406">
        <v>979</v>
      </c>
      <c r="Q982" s="460" t="s">
        <v>1867</v>
      </c>
      <c r="R982" s="460" t="s">
        <v>1863</v>
      </c>
      <c r="S982" s="460" t="s">
        <v>1528</v>
      </c>
      <c r="T982" s="514" t="s">
        <v>1864</v>
      </c>
      <c r="U982" s="471"/>
      <c r="V982" s="471"/>
      <c r="W982" s="488"/>
      <c r="X982" s="471"/>
      <c r="Y982" s="206"/>
      <c r="Z982" s="206"/>
    </row>
    <row r="983" spans="1:26">
      <c r="A983" s="406">
        <v>980</v>
      </c>
      <c r="B983" s="613" t="s">
        <v>7020</v>
      </c>
      <c r="C983" s="483" t="s">
        <v>1868</v>
      </c>
      <c r="D983" s="414" t="s">
        <v>4884</v>
      </c>
      <c r="E983" s="407" t="s">
        <v>4884</v>
      </c>
      <c r="F983" s="483"/>
      <c r="G983" s="483"/>
      <c r="H983" s="483"/>
      <c r="I983" s="483"/>
      <c r="J983" s="483"/>
      <c r="K983" s="483"/>
      <c r="L983" s="608" t="s">
        <v>4884</v>
      </c>
      <c r="M983" s="409" t="s">
        <v>4884</v>
      </c>
      <c r="N983" s="409" t="s">
        <v>4884</v>
      </c>
      <c r="O983" s="410" t="s">
        <v>4884</v>
      </c>
      <c r="P983" s="406">
        <v>980</v>
      </c>
      <c r="Q983" s="460" t="s">
        <v>1868</v>
      </c>
      <c r="R983" s="460" t="s">
        <v>1869</v>
      </c>
      <c r="S983" s="460" t="s">
        <v>1528</v>
      </c>
      <c r="T983" s="467" t="s">
        <v>1870</v>
      </c>
      <c r="U983" s="471"/>
      <c r="V983" s="471"/>
      <c r="W983" s="488"/>
      <c r="X983" s="471"/>
      <c r="Y983" s="206"/>
      <c r="Z983" s="206"/>
    </row>
    <row r="984" spans="1:26">
      <c r="A984" s="406">
        <v>981</v>
      </c>
      <c r="B984" s="613" t="s">
        <v>6672</v>
      </c>
      <c r="C984" s="483" t="s">
        <v>1871</v>
      </c>
      <c r="D984" s="414" t="s">
        <v>3917</v>
      </c>
      <c r="E984" s="407" t="s">
        <v>8491</v>
      </c>
      <c r="F984" s="483" t="s">
        <v>6667</v>
      </c>
      <c r="G984" s="483" t="s">
        <v>6669</v>
      </c>
      <c r="H984" s="411" t="s">
        <v>6677</v>
      </c>
      <c r="I984" s="411"/>
      <c r="J984" s="411"/>
      <c r="K984" s="411"/>
      <c r="L984" s="608">
        <v>5201.4803149606305</v>
      </c>
      <c r="M984" s="409">
        <v>7082.9055118110236</v>
      </c>
      <c r="N984" s="409">
        <v>12284.385826771655</v>
      </c>
      <c r="O984" s="410" t="s">
        <v>7752</v>
      </c>
      <c r="P984" s="406">
        <v>981</v>
      </c>
      <c r="Q984" s="460" t="s">
        <v>1871</v>
      </c>
      <c r="R984" s="460" t="s">
        <v>1872</v>
      </c>
      <c r="S984" s="460" t="s">
        <v>32</v>
      </c>
      <c r="U984" s="471"/>
      <c r="V984" s="471">
        <v>1</v>
      </c>
      <c r="W984" s="488"/>
      <c r="X984" s="471"/>
      <c r="Y984" s="206"/>
      <c r="Z984" s="206"/>
    </row>
    <row r="985" spans="1:26">
      <c r="A985" s="406">
        <v>982</v>
      </c>
      <c r="B985" s="613" t="s">
        <v>7020</v>
      </c>
      <c r="C985" s="483" t="s">
        <v>1873</v>
      </c>
      <c r="D985" s="414" t="s">
        <v>4884</v>
      </c>
      <c r="E985" s="407" t="s">
        <v>4884</v>
      </c>
      <c r="F985" s="483"/>
      <c r="G985" s="483"/>
      <c r="H985" s="483"/>
      <c r="I985" s="483"/>
      <c r="J985" s="483"/>
      <c r="K985" s="483"/>
      <c r="L985" s="608" t="s">
        <v>4884</v>
      </c>
      <c r="M985" s="409" t="s">
        <v>4884</v>
      </c>
      <c r="N985" s="409" t="s">
        <v>4884</v>
      </c>
      <c r="O985" s="410" t="s">
        <v>4884</v>
      </c>
      <c r="P985" s="406">
        <v>982</v>
      </c>
      <c r="Q985" s="460" t="s">
        <v>1873</v>
      </c>
      <c r="R985" s="460" t="s">
        <v>1874</v>
      </c>
      <c r="S985" s="460" t="s">
        <v>1528</v>
      </c>
      <c r="T985" s="515" t="s">
        <v>1875</v>
      </c>
      <c r="U985" s="471"/>
      <c r="V985" s="471"/>
      <c r="W985" s="488"/>
      <c r="X985" s="471"/>
      <c r="Y985" s="206"/>
      <c r="Z985" s="206"/>
    </row>
    <row r="986" spans="1:26">
      <c r="A986" s="406">
        <v>983</v>
      </c>
      <c r="B986" s="613" t="s">
        <v>3154</v>
      </c>
      <c r="C986" s="483" t="s">
        <v>1876</v>
      </c>
      <c r="D986" s="414" t="s">
        <v>3909</v>
      </c>
      <c r="E986" s="407" t="s">
        <v>8492</v>
      </c>
      <c r="F986" s="483"/>
      <c r="G986" s="483"/>
      <c r="H986" s="483"/>
      <c r="I986" s="483"/>
      <c r="J986" s="483"/>
      <c r="K986" s="483"/>
      <c r="L986" s="608" t="s">
        <v>4884</v>
      </c>
      <c r="M986" s="409">
        <v>5892.3031496062995</v>
      </c>
      <c r="N986" s="409">
        <v>5892.3031496062995</v>
      </c>
      <c r="O986" s="410" t="s">
        <v>7574</v>
      </c>
      <c r="P986" s="406">
        <v>983</v>
      </c>
      <c r="Q986" s="262" t="s">
        <v>1876</v>
      </c>
      <c r="R986" s="460" t="s">
        <v>1877</v>
      </c>
      <c r="S986" s="460" t="s">
        <v>32</v>
      </c>
      <c r="U986" s="471"/>
      <c r="V986" s="471">
        <v>1</v>
      </c>
      <c r="W986" s="488"/>
      <c r="X986" s="471"/>
      <c r="Y986" s="206"/>
      <c r="Z986" s="206"/>
    </row>
    <row r="987" spans="1:26">
      <c r="A987" s="406">
        <v>984</v>
      </c>
      <c r="B987" s="613" t="s">
        <v>3155</v>
      </c>
      <c r="C987" s="483" t="s">
        <v>1878</v>
      </c>
      <c r="D987" s="414" t="s">
        <v>3889</v>
      </c>
      <c r="E987" s="407" t="s">
        <v>8493</v>
      </c>
      <c r="F987" s="483"/>
      <c r="G987" s="483"/>
      <c r="H987" s="483"/>
      <c r="I987" s="483"/>
      <c r="J987" s="483"/>
      <c r="K987" s="483"/>
      <c r="L987" s="608" t="s">
        <v>4884</v>
      </c>
      <c r="M987" s="409">
        <v>5849.2244094488196</v>
      </c>
      <c r="N987" s="409">
        <v>5849.2244094488196</v>
      </c>
      <c r="O987" s="410" t="s">
        <v>7569</v>
      </c>
      <c r="P987" s="406">
        <v>984</v>
      </c>
      <c r="Q987" s="262" t="s">
        <v>1878</v>
      </c>
      <c r="R987" s="460" t="s">
        <v>1879</v>
      </c>
      <c r="S987" s="460" t="s">
        <v>32</v>
      </c>
      <c r="U987" s="471"/>
      <c r="V987" s="471">
        <v>1</v>
      </c>
      <c r="W987" s="488"/>
      <c r="X987" s="471"/>
      <c r="Y987" s="206"/>
      <c r="Z987" s="206"/>
    </row>
    <row r="988" spans="1:26">
      <c r="A988" s="406">
        <v>985</v>
      </c>
      <c r="B988" s="613" t="s">
        <v>3156</v>
      </c>
      <c r="C988" s="483" t="s">
        <v>1880</v>
      </c>
      <c r="D988" s="414" t="s">
        <v>3873</v>
      </c>
      <c r="E988" s="407" t="s">
        <v>8494</v>
      </c>
      <c r="F988" s="483"/>
      <c r="G988" s="483"/>
      <c r="H988" s="483"/>
      <c r="I988" s="483"/>
      <c r="J988" s="483"/>
      <c r="K988" s="483"/>
      <c r="L988" s="608" t="s">
        <v>4884</v>
      </c>
      <c r="M988" s="409">
        <v>5943.78346456693</v>
      </c>
      <c r="N988" s="409">
        <v>5943.78346456693</v>
      </c>
      <c r="O988" s="410" t="s">
        <v>7569</v>
      </c>
      <c r="P988" s="406">
        <v>985</v>
      </c>
      <c r="Q988" s="262" t="s">
        <v>1880</v>
      </c>
      <c r="R988" s="460" t="s">
        <v>1881</v>
      </c>
      <c r="S988" s="460" t="s">
        <v>32</v>
      </c>
      <c r="U988" s="471"/>
      <c r="V988" s="471">
        <v>1</v>
      </c>
      <c r="W988" s="488"/>
      <c r="X988" s="471"/>
      <c r="Y988" s="206"/>
      <c r="Z988" s="206"/>
    </row>
    <row r="989" spans="1:26">
      <c r="A989" s="406">
        <v>986</v>
      </c>
      <c r="B989" s="613" t="s">
        <v>7020</v>
      </c>
      <c r="C989" s="483" t="s">
        <v>1882</v>
      </c>
      <c r="D989" s="414" t="s">
        <v>4884</v>
      </c>
      <c r="E989" s="407" t="s">
        <v>4884</v>
      </c>
      <c r="F989" s="483"/>
      <c r="G989" s="483"/>
      <c r="H989" s="483"/>
      <c r="I989" s="483"/>
      <c r="J989" s="483"/>
      <c r="K989" s="483"/>
      <c r="L989" s="608" t="s">
        <v>4884</v>
      </c>
      <c r="M989" s="409" t="s">
        <v>4884</v>
      </c>
      <c r="N989" s="409" t="s">
        <v>4884</v>
      </c>
      <c r="O989" s="410" t="s">
        <v>4884</v>
      </c>
      <c r="P989" s="406">
        <v>986</v>
      </c>
      <c r="Q989" s="460" t="s">
        <v>1882</v>
      </c>
      <c r="R989" s="460" t="s">
        <v>1883</v>
      </c>
      <c r="S989" s="460" t="s">
        <v>1884</v>
      </c>
      <c r="U989" s="471"/>
      <c r="V989" s="471"/>
      <c r="W989" s="488"/>
      <c r="X989" s="471"/>
      <c r="Y989" s="206"/>
      <c r="Z989" s="206"/>
    </row>
    <row r="990" spans="1:26">
      <c r="A990" s="406">
        <v>987</v>
      </c>
      <c r="B990" s="613" t="s">
        <v>7020</v>
      </c>
      <c r="C990" s="483" t="s">
        <v>1885</v>
      </c>
      <c r="D990" s="414" t="s">
        <v>4884</v>
      </c>
      <c r="E990" s="407" t="s">
        <v>4884</v>
      </c>
      <c r="F990" s="483"/>
      <c r="G990" s="483"/>
      <c r="H990" s="483"/>
      <c r="I990" s="483"/>
      <c r="J990" s="483"/>
      <c r="K990" s="483"/>
      <c r="L990" s="608" t="s">
        <v>4884</v>
      </c>
      <c r="M990" s="409" t="s">
        <v>4884</v>
      </c>
      <c r="N990" s="409" t="s">
        <v>4884</v>
      </c>
      <c r="O990" s="410" t="s">
        <v>4884</v>
      </c>
      <c r="P990" s="406">
        <v>987</v>
      </c>
      <c r="Q990" s="460" t="s">
        <v>1885</v>
      </c>
      <c r="R990" s="460" t="s">
        <v>1883</v>
      </c>
      <c r="S990" s="460" t="s">
        <v>1884</v>
      </c>
      <c r="U990" s="471"/>
      <c r="V990" s="471"/>
      <c r="W990" s="488"/>
      <c r="X990" s="471"/>
      <c r="Y990" s="206"/>
      <c r="Z990" s="206"/>
    </row>
    <row r="991" spans="1:26">
      <c r="A991" s="406">
        <v>988</v>
      </c>
      <c r="B991" s="613" t="s">
        <v>7020</v>
      </c>
      <c r="C991" s="483" t="s">
        <v>1886</v>
      </c>
      <c r="D991" s="414" t="s">
        <v>4884</v>
      </c>
      <c r="E991" s="407" t="s">
        <v>4884</v>
      </c>
      <c r="F991" s="483"/>
      <c r="G991" s="483"/>
      <c r="H991" s="483"/>
      <c r="I991" s="483"/>
      <c r="J991" s="483"/>
      <c r="K991" s="483"/>
      <c r="L991" s="608" t="s">
        <v>4884</v>
      </c>
      <c r="M991" s="409" t="s">
        <v>4884</v>
      </c>
      <c r="N991" s="409" t="s">
        <v>4884</v>
      </c>
      <c r="O991" s="410" t="s">
        <v>4884</v>
      </c>
      <c r="P991" s="406">
        <v>988</v>
      </c>
      <c r="Q991" s="460" t="s">
        <v>1886</v>
      </c>
      <c r="R991" s="460" t="s">
        <v>1883</v>
      </c>
      <c r="S991" s="460" t="s">
        <v>1884</v>
      </c>
      <c r="U991" s="471"/>
      <c r="V991" s="471"/>
      <c r="W991" s="488"/>
      <c r="X991" s="471"/>
      <c r="Y991" s="206"/>
      <c r="Z991" s="206"/>
    </row>
    <row r="992" spans="1:26">
      <c r="A992" s="406">
        <v>989</v>
      </c>
      <c r="B992" s="613" t="s">
        <v>7020</v>
      </c>
      <c r="C992" s="483" t="s">
        <v>1887</v>
      </c>
      <c r="D992" s="414" t="s">
        <v>4884</v>
      </c>
      <c r="E992" s="407" t="s">
        <v>4884</v>
      </c>
      <c r="F992" s="483"/>
      <c r="G992" s="483"/>
      <c r="H992" s="483"/>
      <c r="I992" s="483"/>
      <c r="J992" s="483"/>
      <c r="K992" s="483"/>
      <c r="L992" s="608" t="s">
        <v>4884</v>
      </c>
      <c r="M992" s="409" t="s">
        <v>4884</v>
      </c>
      <c r="N992" s="409" t="s">
        <v>4884</v>
      </c>
      <c r="O992" s="410" t="s">
        <v>4884</v>
      </c>
      <c r="P992" s="406">
        <v>989</v>
      </c>
      <c r="Q992" s="460" t="s">
        <v>1887</v>
      </c>
      <c r="R992" s="460" t="s">
        <v>1883</v>
      </c>
      <c r="S992" s="460" t="s">
        <v>1884</v>
      </c>
      <c r="U992" s="471"/>
      <c r="V992" s="471"/>
      <c r="W992" s="488"/>
      <c r="X992" s="471"/>
      <c r="Y992" s="206"/>
      <c r="Z992" s="206"/>
    </row>
    <row r="993" spans="1:26">
      <c r="A993" s="406">
        <v>990</v>
      </c>
      <c r="B993" s="613" t="s">
        <v>7020</v>
      </c>
      <c r="C993" s="483" t="s">
        <v>1888</v>
      </c>
      <c r="D993" s="414" t="s">
        <v>4884</v>
      </c>
      <c r="E993" s="407" t="s">
        <v>4884</v>
      </c>
      <c r="F993" s="483"/>
      <c r="G993" s="483"/>
      <c r="H993" s="483"/>
      <c r="I993" s="483"/>
      <c r="J993" s="483"/>
      <c r="K993" s="483"/>
      <c r="L993" s="608" t="s">
        <v>4884</v>
      </c>
      <c r="M993" s="409" t="s">
        <v>4884</v>
      </c>
      <c r="N993" s="409" t="s">
        <v>4884</v>
      </c>
      <c r="O993" s="410" t="s">
        <v>4884</v>
      </c>
      <c r="P993" s="406">
        <v>990</v>
      </c>
      <c r="Q993" s="460" t="s">
        <v>1888</v>
      </c>
      <c r="R993" s="460" t="s">
        <v>1883</v>
      </c>
      <c r="S993" s="460" t="s">
        <v>1884</v>
      </c>
      <c r="U993" s="471"/>
      <c r="V993" s="471"/>
      <c r="W993" s="488"/>
      <c r="X993" s="471"/>
      <c r="Y993" s="206"/>
      <c r="Z993" s="206"/>
    </row>
    <row r="994" spans="1:26">
      <c r="A994" s="406">
        <v>991</v>
      </c>
      <c r="B994" s="613" t="s">
        <v>7020</v>
      </c>
      <c r="C994" s="483" t="s">
        <v>1889</v>
      </c>
      <c r="D994" s="414" t="s">
        <v>4884</v>
      </c>
      <c r="E994" s="407" t="s">
        <v>4884</v>
      </c>
      <c r="F994" s="483"/>
      <c r="G994" s="483"/>
      <c r="H994" s="483"/>
      <c r="I994" s="483"/>
      <c r="J994" s="483"/>
      <c r="K994" s="483"/>
      <c r="L994" s="608" t="s">
        <v>4884</v>
      </c>
      <c r="M994" s="409" t="s">
        <v>4884</v>
      </c>
      <c r="N994" s="409" t="s">
        <v>4884</v>
      </c>
      <c r="O994" s="410" t="s">
        <v>4884</v>
      </c>
      <c r="P994" s="406">
        <v>991</v>
      </c>
      <c r="Q994" s="460" t="s">
        <v>1889</v>
      </c>
      <c r="R994" s="460" t="s">
        <v>1883</v>
      </c>
      <c r="S994" s="460" t="s">
        <v>1884</v>
      </c>
      <c r="U994" s="471"/>
      <c r="V994" s="471"/>
      <c r="W994" s="488"/>
      <c r="X994" s="471"/>
      <c r="Y994" s="206"/>
      <c r="Z994" s="206"/>
    </row>
    <row r="995" spans="1:26">
      <c r="A995" s="406">
        <v>992</v>
      </c>
      <c r="B995" s="613" t="s">
        <v>7020</v>
      </c>
      <c r="C995" s="483" t="s">
        <v>1890</v>
      </c>
      <c r="D995" s="414" t="s">
        <v>4884</v>
      </c>
      <c r="E995" s="407" t="s">
        <v>4884</v>
      </c>
      <c r="F995" s="483"/>
      <c r="G995" s="483"/>
      <c r="H995" s="483"/>
      <c r="I995" s="483"/>
      <c r="J995" s="483"/>
      <c r="K995" s="483"/>
      <c r="L995" s="608" t="s">
        <v>4884</v>
      </c>
      <c r="M995" s="409" t="s">
        <v>4884</v>
      </c>
      <c r="N995" s="409" t="s">
        <v>4884</v>
      </c>
      <c r="O995" s="410" t="s">
        <v>4884</v>
      </c>
      <c r="P995" s="406">
        <v>992</v>
      </c>
      <c r="Q995" s="460" t="s">
        <v>1890</v>
      </c>
      <c r="R995" s="460" t="s">
        <v>1883</v>
      </c>
      <c r="S995" s="460" t="s">
        <v>1884</v>
      </c>
      <c r="U995" s="471"/>
      <c r="V995" s="471"/>
      <c r="W995" s="488"/>
      <c r="X995" s="471"/>
      <c r="Y995" s="206"/>
      <c r="Z995" s="206"/>
    </row>
    <row r="996" spans="1:26">
      <c r="A996" s="406">
        <v>993</v>
      </c>
      <c r="B996" s="613" t="s">
        <v>7020</v>
      </c>
      <c r="C996" s="483" t="s">
        <v>1891</v>
      </c>
      <c r="D996" s="414" t="s">
        <v>4884</v>
      </c>
      <c r="E996" s="407" t="s">
        <v>4884</v>
      </c>
      <c r="F996" s="483"/>
      <c r="G996" s="483"/>
      <c r="H996" s="483"/>
      <c r="I996" s="483"/>
      <c r="J996" s="483"/>
      <c r="K996" s="483"/>
      <c r="L996" s="608" t="s">
        <v>4884</v>
      </c>
      <c r="M996" s="409" t="s">
        <v>4884</v>
      </c>
      <c r="N996" s="409" t="s">
        <v>4884</v>
      </c>
      <c r="O996" s="410" t="s">
        <v>4884</v>
      </c>
      <c r="P996" s="406">
        <v>993</v>
      </c>
      <c r="Q996" s="460" t="s">
        <v>1891</v>
      </c>
      <c r="R996" s="460" t="s">
        <v>1883</v>
      </c>
      <c r="S996" s="460" t="s">
        <v>1884</v>
      </c>
      <c r="U996" s="471"/>
      <c r="V996" s="471"/>
      <c r="W996" s="488"/>
      <c r="X996" s="471"/>
      <c r="Y996" s="206"/>
      <c r="Z996" s="206"/>
    </row>
    <row r="997" spans="1:26">
      <c r="A997" s="406">
        <v>994</v>
      </c>
      <c r="B997" s="613" t="s">
        <v>7020</v>
      </c>
      <c r="C997" s="483" t="s">
        <v>1892</v>
      </c>
      <c r="D997" s="414" t="s">
        <v>4884</v>
      </c>
      <c r="E997" s="407" t="s">
        <v>4884</v>
      </c>
      <c r="F997" s="483"/>
      <c r="G997" s="483"/>
      <c r="H997" s="483"/>
      <c r="I997" s="483"/>
      <c r="J997" s="483"/>
      <c r="K997" s="483"/>
      <c r="L997" s="608" t="s">
        <v>4884</v>
      </c>
      <c r="M997" s="409" t="s">
        <v>4884</v>
      </c>
      <c r="N997" s="409" t="s">
        <v>4884</v>
      </c>
      <c r="O997" s="410" t="s">
        <v>4884</v>
      </c>
      <c r="P997" s="406">
        <v>994</v>
      </c>
      <c r="Q997" s="460" t="s">
        <v>1892</v>
      </c>
      <c r="R997" s="460" t="s">
        <v>1883</v>
      </c>
      <c r="S997" s="460" t="s">
        <v>1884</v>
      </c>
      <c r="U997" s="471"/>
      <c r="V997" s="471"/>
      <c r="W997" s="488"/>
      <c r="X997" s="471"/>
      <c r="Y997" s="206"/>
      <c r="Z997" s="206"/>
    </row>
    <row r="998" spans="1:26">
      <c r="A998" s="406">
        <v>995</v>
      </c>
      <c r="B998" s="613" t="s">
        <v>7020</v>
      </c>
      <c r="C998" s="483" t="s">
        <v>1893</v>
      </c>
      <c r="D998" s="414" t="s">
        <v>4884</v>
      </c>
      <c r="E998" s="407" t="s">
        <v>4884</v>
      </c>
      <c r="F998" s="483"/>
      <c r="G998" s="483"/>
      <c r="H998" s="483"/>
      <c r="I998" s="483"/>
      <c r="J998" s="483"/>
      <c r="K998" s="483"/>
      <c r="L998" s="608" t="s">
        <v>4884</v>
      </c>
      <c r="M998" s="409" t="s">
        <v>4884</v>
      </c>
      <c r="N998" s="409" t="s">
        <v>4884</v>
      </c>
      <c r="O998" s="410" t="s">
        <v>4884</v>
      </c>
      <c r="P998" s="406">
        <v>995</v>
      </c>
      <c r="Q998" s="460" t="s">
        <v>1893</v>
      </c>
      <c r="R998" s="460" t="s">
        <v>1883</v>
      </c>
      <c r="S998" s="460" t="s">
        <v>1884</v>
      </c>
      <c r="U998" s="471"/>
      <c r="V998" s="471"/>
      <c r="W998" s="488"/>
      <c r="X998" s="471"/>
      <c r="Y998" s="206"/>
      <c r="Z998" s="206"/>
    </row>
    <row r="999" spans="1:26">
      <c r="A999" s="406">
        <v>996</v>
      </c>
      <c r="B999" s="613" t="s">
        <v>7020</v>
      </c>
      <c r="C999" s="483" t="s">
        <v>1894</v>
      </c>
      <c r="D999" s="414" t="s">
        <v>4884</v>
      </c>
      <c r="E999" s="407" t="s">
        <v>4884</v>
      </c>
      <c r="F999" s="483"/>
      <c r="G999" s="483"/>
      <c r="H999" s="483"/>
      <c r="I999" s="483"/>
      <c r="J999" s="483"/>
      <c r="K999" s="483"/>
      <c r="L999" s="608" t="s">
        <v>4884</v>
      </c>
      <c r="M999" s="409" t="s">
        <v>4884</v>
      </c>
      <c r="N999" s="409" t="s">
        <v>4884</v>
      </c>
      <c r="O999" s="410" t="s">
        <v>4884</v>
      </c>
      <c r="P999" s="406">
        <v>996</v>
      </c>
      <c r="Q999" s="460" t="s">
        <v>1894</v>
      </c>
      <c r="R999" s="460" t="s">
        <v>1883</v>
      </c>
      <c r="S999" s="460" t="s">
        <v>1884</v>
      </c>
      <c r="U999" s="471"/>
      <c r="V999" s="471"/>
      <c r="W999" s="488"/>
      <c r="X999" s="471"/>
      <c r="Y999" s="206"/>
      <c r="Z999" s="206"/>
    </row>
    <row r="1000" spans="1:26">
      <c r="A1000" s="406">
        <v>997</v>
      </c>
      <c r="B1000" s="613" t="s">
        <v>7020</v>
      </c>
      <c r="C1000" s="483" t="s">
        <v>1895</v>
      </c>
      <c r="D1000" s="414" t="s">
        <v>4884</v>
      </c>
      <c r="E1000" s="407" t="s">
        <v>4884</v>
      </c>
      <c r="F1000" s="483"/>
      <c r="G1000" s="483"/>
      <c r="H1000" s="483"/>
      <c r="I1000" s="483"/>
      <c r="J1000" s="483"/>
      <c r="K1000" s="483"/>
      <c r="L1000" s="608" t="s">
        <v>4884</v>
      </c>
      <c r="M1000" s="409" t="s">
        <v>4884</v>
      </c>
      <c r="N1000" s="409" t="s">
        <v>4884</v>
      </c>
      <c r="O1000" s="410" t="s">
        <v>4884</v>
      </c>
      <c r="P1000" s="406">
        <v>997</v>
      </c>
      <c r="Q1000" s="460" t="s">
        <v>1895</v>
      </c>
      <c r="R1000" s="460" t="s">
        <v>1883</v>
      </c>
      <c r="S1000" s="460" t="s">
        <v>1884</v>
      </c>
      <c r="U1000" s="471"/>
      <c r="V1000" s="471"/>
      <c r="W1000" s="488"/>
      <c r="X1000" s="471"/>
      <c r="Y1000" s="206"/>
      <c r="Z1000" s="206"/>
    </row>
    <row r="1001" spans="1:26">
      <c r="A1001" s="406">
        <v>998</v>
      </c>
      <c r="B1001" s="613" t="s">
        <v>7020</v>
      </c>
      <c r="C1001" s="483" t="s">
        <v>1896</v>
      </c>
      <c r="D1001" s="414" t="s">
        <v>4884</v>
      </c>
      <c r="E1001" s="407" t="s">
        <v>4884</v>
      </c>
      <c r="F1001" s="483"/>
      <c r="G1001" s="483"/>
      <c r="H1001" s="483"/>
      <c r="I1001" s="483"/>
      <c r="J1001" s="483"/>
      <c r="K1001" s="483"/>
      <c r="L1001" s="608" t="s">
        <v>4884</v>
      </c>
      <c r="M1001" s="409" t="s">
        <v>4884</v>
      </c>
      <c r="N1001" s="409" t="s">
        <v>4884</v>
      </c>
      <c r="O1001" s="410" t="s">
        <v>4884</v>
      </c>
      <c r="P1001" s="406">
        <v>998</v>
      </c>
      <c r="Q1001" s="460" t="s">
        <v>1896</v>
      </c>
      <c r="R1001" s="460" t="s">
        <v>1883</v>
      </c>
      <c r="S1001" s="460" t="s">
        <v>1884</v>
      </c>
      <c r="U1001" s="471"/>
      <c r="V1001" s="471"/>
      <c r="W1001" s="488"/>
      <c r="X1001" s="471"/>
      <c r="Y1001" s="206"/>
      <c r="Z1001" s="206"/>
    </row>
    <row r="1002" spans="1:26">
      <c r="A1002" s="406">
        <v>999</v>
      </c>
      <c r="B1002" s="613" t="s">
        <v>7020</v>
      </c>
      <c r="C1002" s="483" t="s">
        <v>1897</v>
      </c>
      <c r="D1002" s="414" t="s">
        <v>4884</v>
      </c>
      <c r="E1002" s="407" t="s">
        <v>4884</v>
      </c>
      <c r="F1002" s="483"/>
      <c r="G1002" s="483"/>
      <c r="H1002" s="483"/>
      <c r="I1002" s="483"/>
      <c r="J1002" s="483"/>
      <c r="K1002" s="483"/>
      <c r="L1002" s="608" t="s">
        <v>4884</v>
      </c>
      <c r="M1002" s="409" t="s">
        <v>4884</v>
      </c>
      <c r="N1002" s="409" t="s">
        <v>4884</v>
      </c>
      <c r="O1002" s="410" t="s">
        <v>4884</v>
      </c>
      <c r="P1002" s="406">
        <v>999</v>
      </c>
      <c r="Q1002" s="460" t="s">
        <v>1897</v>
      </c>
      <c r="R1002" s="460" t="s">
        <v>1883</v>
      </c>
      <c r="S1002" s="460" t="s">
        <v>1884</v>
      </c>
      <c r="U1002" s="471"/>
      <c r="V1002" s="471"/>
      <c r="W1002" s="488"/>
      <c r="X1002" s="471"/>
      <c r="Y1002" s="206"/>
      <c r="Z1002" s="206"/>
    </row>
    <row r="1003" spans="1:26">
      <c r="A1003" s="406">
        <v>1000</v>
      </c>
      <c r="B1003" s="613" t="s">
        <v>7020</v>
      </c>
      <c r="C1003" s="483" t="s">
        <v>1898</v>
      </c>
      <c r="D1003" s="414" t="s">
        <v>4884</v>
      </c>
      <c r="E1003" s="407" t="s">
        <v>4884</v>
      </c>
      <c r="F1003" s="483"/>
      <c r="G1003" s="483"/>
      <c r="H1003" s="483"/>
      <c r="I1003" s="483"/>
      <c r="J1003" s="483"/>
      <c r="K1003" s="483"/>
      <c r="L1003" s="608" t="s">
        <v>4884</v>
      </c>
      <c r="M1003" s="409" t="s">
        <v>4884</v>
      </c>
      <c r="N1003" s="409" t="s">
        <v>4884</v>
      </c>
      <c r="O1003" s="410" t="s">
        <v>4884</v>
      </c>
      <c r="P1003" s="406">
        <v>1000</v>
      </c>
      <c r="Q1003" s="460" t="s">
        <v>1898</v>
      </c>
      <c r="R1003" s="460" t="s">
        <v>1883</v>
      </c>
      <c r="S1003" s="460" t="s">
        <v>1884</v>
      </c>
      <c r="U1003" s="471"/>
      <c r="V1003" s="471"/>
      <c r="W1003" s="488"/>
      <c r="X1003" s="471"/>
      <c r="Y1003" s="206"/>
      <c r="Z1003" s="206"/>
    </row>
    <row r="1004" spans="1:26">
      <c r="A1004" s="406">
        <v>1001</v>
      </c>
      <c r="B1004" s="613" t="s">
        <v>7020</v>
      </c>
      <c r="C1004" s="483" t="s">
        <v>1899</v>
      </c>
      <c r="D1004" s="414" t="s">
        <v>4884</v>
      </c>
      <c r="E1004" s="407" t="s">
        <v>4884</v>
      </c>
      <c r="F1004" s="483"/>
      <c r="G1004" s="483"/>
      <c r="H1004" s="483"/>
      <c r="I1004" s="483"/>
      <c r="J1004" s="483"/>
      <c r="K1004" s="483"/>
      <c r="L1004" s="608" t="s">
        <v>4884</v>
      </c>
      <c r="M1004" s="409" t="s">
        <v>4884</v>
      </c>
      <c r="N1004" s="409" t="s">
        <v>4884</v>
      </c>
      <c r="O1004" s="410" t="s">
        <v>4884</v>
      </c>
      <c r="P1004" s="406">
        <v>1001</v>
      </c>
      <c r="Q1004" s="460" t="s">
        <v>1899</v>
      </c>
      <c r="R1004" s="460" t="s">
        <v>1883</v>
      </c>
      <c r="S1004" s="460" t="s">
        <v>1884</v>
      </c>
      <c r="U1004" s="471"/>
      <c r="V1004" s="471"/>
      <c r="W1004" s="488"/>
      <c r="X1004" s="471"/>
      <c r="Y1004" s="206"/>
      <c r="Z1004" s="206"/>
    </row>
    <row r="1005" spans="1:26">
      <c r="A1005" s="406">
        <v>1002</v>
      </c>
      <c r="B1005" s="613" t="s">
        <v>7020</v>
      </c>
      <c r="C1005" s="483" t="s">
        <v>1900</v>
      </c>
      <c r="D1005" s="414" t="s">
        <v>4884</v>
      </c>
      <c r="E1005" s="407" t="s">
        <v>4884</v>
      </c>
      <c r="F1005" s="483"/>
      <c r="G1005" s="483"/>
      <c r="H1005" s="483"/>
      <c r="I1005" s="483"/>
      <c r="J1005" s="483"/>
      <c r="K1005" s="483"/>
      <c r="L1005" s="608" t="s">
        <v>4884</v>
      </c>
      <c r="M1005" s="409" t="s">
        <v>4884</v>
      </c>
      <c r="N1005" s="409" t="s">
        <v>4884</v>
      </c>
      <c r="O1005" s="410" t="s">
        <v>4884</v>
      </c>
      <c r="P1005" s="406">
        <v>1002</v>
      </c>
      <c r="Q1005" s="460" t="s">
        <v>1900</v>
      </c>
      <c r="R1005" s="460" t="s">
        <v>1883</v>
      </c>
      <c r="S1005" s="460" t="s">
        <v>1884</v>
      </c>
      <c r="U1005" s="471"/>
      <c r="V1005" s="471"/>
      <c r="W1005" s="488"/>
      <c r="X1005" s="471"/>
      <c r="Y1005" s="206"/>
      <c r="Z1005" s="206"/>
    </row>
    <row r="1006" spans="1:26">
      <c r="A1006" s="406">
        <v>1003</v>
      </c>
      <c r="B1006" s="613" t="s">
        <v>7020</v>
      </c>
      <c r="C1006" s="483" t="s">
        <v>1901</v>
      </c>
      <c r="D1006" s="414" t="s">
        <v>4884</v>
      </c>
      <c r="E1006" s="407" t="s">
        <v>4884</v>
      </c>
      <c r="F1006" s="483"/>
      <c r="G1006" s="483"/>
      <c r="H1006" s="483"/>
      <c r="I1006" s="483"/>
      <c r="J1006" s="483"/>
      <c r="K1006" s="483"/>
      <c r="L1006" s="608" t="s">
        <v>4884</v>
      </c>
      <c r="M1006" s="409" t="s">
        <v>4884</v>
      </c>
      <c r="N1006" s="409" t="s">
        <v>4884</v>
      </c>
      <c r="O1006" s="410" t="s">
        <v>4884</v>
      </c>
      <c r="P1006" s="406">
        <v>1003</v>
      </c>
      <c r="Q1006" s="460" t="s">
        <v>1901</v>
      </c>
      <c r="R1006" s="460" t="s">
        <v>1883</v>
      </c>
      <c r="S1006" s="460" t="s">
        <v>1884</v>
      </c>
      <c r="U1006" s="471"/>
      <c r="V1006" s="471"/>
      <c r="W1006" s="488"/>
      <c r="X1006" s="471"/>
      <c r="Y1006" s="206"/>
      <c r="Z1006" s="206"/>
    </row>
    <row r="1007" spans="1:26">
      <c r="A1007" s="406">
        <v>1004</v>
      </c>
      <c r="B1007" s="613" t="s">
        <v>7020</v>
      </c>
      <c r="C1007" s="483" t="s">
        <v>1902</v>
      </c>
      <c r="D1007" s="414" t="s">
        <v>4884</v>
      </c>
      <c r="E1007" s="407" t="s">
        <v>4884</v>
      </c>
      <c r="F1007" s="483"/>
      <c r="G1007" s="483"/>
      <c r="H1007" s="483"/>
      <c r="I1007" s="483"/>
      <c r="J1007" s="483"/>
      <c r="K1007" s="483"/>
      <c r="L1007" s="608" t="s">
        <v>4884</v>
      </c>
      <c r="M1007" s="409" t="s">
        <v>4884</v>
      </c>
      <c r="N1007" s="409" t="s">
        <v>4884</v>
      </c>
      <c r="O1007" s="410" t="s">
        <v>4884</v>
      </c>
      <c r="P1007" s="406">
        <v>1004</v>
      </c>
      <c r="Q1007" s="460" t="s">
        <v>1902</v>
      </c>
      <c r="R1007" s="460" t="s">
        <v>1883</v>
      </c>
      <c r="S1007" s="460" t="s">
        <v>1884</v>
      </c>
      <c r="U1007" s="471"/>
      <c r="V1007" s="471"/>
      <c r="W1007" s="488"/>
      <c r="X1007" s="471"/>
      <c r="Y1007" s="206"/>
      <c r="Z1007" s="206"/>
    </row>
    <row r="1008" spans="1:26">
      <c r="A1008" s="406">
        <v>1005</v>
      </c>
      <c r="B1008" s="613" t="s">
        <v>7020</v>
      </c>
      <c r="C1008" s="483" t="s">
        <v>1903</v>
      </c>
      <c r="D1008" s="414" t="s">
        <v>4884</v>
      </c>
      <c r="E1008" s="407" t="s">
        <v>4884</v>
      </c>
      <c r="F1008" s="483"/>
      <c r="G1008" s="483"/>
      <c r="H1008" s="483"/>
      <c r="I1008" s="483"/>
      <c r="J1008" s="483"/>
      <c r="K1008" s="483"/>
      <c r="L1008" s="608" t="s">
        <v>4884</v>
      </c>
      <c r="M1008" s="409" t="s">
        <v>4884</v>
      </c>
      <c r="N1008" s="409" t="s">
        <v>4884</v>
      </c>
      <c r="O1008" s="410" t="s">
        <v>4884</v>
      </c>
      <c r="P1008" s="406">
        <v>1005</v>
      </c>
      <c r="Q1008" s="460" t="s">
        <v>1903</v>
      </c>
      <c r="R1008" s="460" t="s">
        <v>1883</v>
      </c>
      <c r="S1008" s="460" t="s">
        <v>1884</v>
      </c>
      <c r="U1008" s="471"/>
      <c r="V1008" s="471"/>
      <c r="W1008" s="488"/>
      <c r="X1008" s="471"/>
      <c r="Y1008" s="206"/>
      <c r="Z1008" s="206"/>
    </row>
    <row r="1009" spans="1:26">
      <c r="A1009" s="406">
        <v>1006</v>
      </c>
      <c r="B1009" s="613" t="s">
        <v>7020</v>
      </c>
      <c r="C1009" s="483" t="s">
        <v>1904</v>
      </c>
      <c r="D1009" s="414" t="s">
        <v>4884</v>
      </c>
      <c r="E1009" s="407" t="s">
        <v>4884</v>
      </c>
      <c r="F1009" s="483"/>
      <c r="G1009" s="483"/>
      <c r="H1009" s="483"/>
      <c r="I1009" s="483"/>
      <c r="J1009" s="483"/>
      <c r="K1009" s="483"/>
      <c r="L1009" s="608" t="s">
        <v>4884</v>
      </c>
      <c r="M1009" s="409" t="s">
        <v>4884</v>
      </c>
      <c r="N1009" s="409" t="s">
        <v>4884</v>
      </c>
      <c r="O1009" s="410" t="s">
        <v>4884</v>
      </c>
      <c r="P1009" s="406">
        <v>1006</v>
      </c>
      <c r="Q1009" s="460" t="s">
        <v>1904</v>
      </c>
      <c r="R1009" s="460" t="s">
        <v>1883</v>
      </c>
      <c r="S1009" s="460" t="s">
        <v>1884</v>
      </c>
      <c r="U1009" s="471"/>
      <c r="V1009" s="471"/>
      <c r="W1009" s="488"/>
      <c r="X1009" s="471"/>
      <c r="Y1009" s="206"/>
      <c r="Z1009" s="206"/>
    </row>
    <row r="1010" spans="1:26">
      <c r="A1010" s="406">
        <v>1007</v>
      </c>
      <c r="B1010" s="613" t="s">
        <v>7020</v>
      </c>
      <c r="C1010" s="483" t="s">
        <v>1905</v>
      </c>
      <c r="D1010" s="414" t="s">
        <v>4884</v>
      </c>
      <c r="E1010" s="407" t="s">
        <v>4884</v>
      </c>
      <c r="F1010" s="483"/>
      <c r="G1010" s="483"/>
      <c r="H1010" s="483"/>
      <c r="I1010" s="483"/>
      <c r="J1010" s="483"/>
      <c r="K1010" s="483"/>
      <c r="L1010" s="608" t="s">
        <v>4884</v>
      </c>
      <c r="M1010" s="409" t="s">
        <v>4884</v>
      </c>
      <c r="N1010" s="409" t="s">
        <v>4884</v>
      </c>
      <c r="O1010" s="410" t="s">
        <v>4884</v>
      </c>
      <c r="P1010" s="406">
        <v>1007</v>
      </c>
      <c r="Q1010" s="460" t="s">
        <v>1905</v>
      </c>
      <c r="R1010" s="460" t="s">
        <v>1883</v>
      </c>
      <c r="S1010" s="460" t="s">
        <v>1884</v>
      </c>
      <c r="U1010" s="471"/>
      <c r="V1010" s="471"/>
      <c r="W1010" s="488"/>
      <c r="X1010" s="471"/>
      <c r="Y1010" s="206"/>
      <c r="Z1010" s="206"/>
    </row>
    <row r="1011" spans="1:26">
      <c r="A1011" s="406">
        <v>1008</v>
      </c>
      <c r="B1011" s="613" t="s">
        <v>7020</v>
      </c>
      <c r="C1011" s="483" t="s">
        <v>1906</v>
      </c>
      <c r="D1011" s="414" t="s">
        <v>4884</v>
      </c>
      <c r="E1011" s="407" t="s">
        <v>4884</v>
      </c>
      <c r="F1011" s="483"/>
      <c r="G1011" s="483"/>
      <c r="H1011" s="483"/>
      <c r="I1011" s="483"/>
      <c r="J1011" s="483"/>
      <c r="K1011" s="483"/>
      <c r="L1011" s="608" t="s">
        <v>4884</v>
      </c>
      <c r="M1011" s="409" t="s">
        <v>4884</v>
      </c>
      <c r="N1011" s="409" t="s">
        <v>4884</v>
      </c>
      <c r="O1011" s="410" t="s">
        <v>4884</v>
      </c>
      <c r="P1011" s="406">
        <v>1008</v>
      </c>
      <c r="Q1011" s="460" t="s">
        <v>1906</v>
      </c>
      <c r="R1011" s="460" t="s">
        <v>1883</v>
      </c>
      <c r="S1011" s="460" t="s">
        <v>1884</v>
      </c>
      <c r="U1011" s="471"/>
      <c r="V1011" s="471"/>
      <c r="W1011" s="488"/>
      <c r="X1011" s="471"/>
      <c r="Y1011" s="206"/>
      <c r="Z1011" s="206"/>
    </row>
    <row r="1012" spans="1:26">
      <c r="A1012" s="406">
        <v>1009</v>
      </c>
      <c r="B1012" s="613" t="s">
        <v>7020</v>
      </c>
      <c r="C1012" s="483" t="s">
        <v>1907</v>
      </c>
      <c r="D1012" s="414" t="s">
        <v>4884</v>
      </c>
      <c r="E1012" s="407" t="s">
        <v>4884</v>
      </c>
      <c r="F1012" s="483"/>
      <c r="G1012" s="483"/>
      <c r="H1012" s="483"/>
      <c r="I1012" s="483"/>
      <c r="J1012" s="483"/>
      <c r="K1012" s="483"/>
      <c r="L1012" s="608" t="s">
        <v>4884</v>
      </c>
      <c r="M1012" s="409" t="s">
        <v>4884</v>
      </c>
      <c r="N1012" s="409" t="s">
        <v>4884</v>
      </c>
      <c r="O1012" s="410" t="s">
        <v>4884</v>
      </c>
      <c r="P1012" s="406">
        <v>1009</v>
      </c>
      <c r="Q1012" s="460" t="s">
        <v>1907</v>
      </c>
      <c r="R1012" s="460" t="s">
        <v>1883</v>
      </c>
      <c r="S1012" s="460" t="s">
        <v>1884</v>
      </c>
      <c r="U1012" s="471"/>
      <c r="V1012" s="471"/>
      <c r="W1012" s="488"/>
      <c r="X1012" s="471"/>
      <c r="Y1012" s="206"/>
      <c r="Z1012" s="206"/>
    </row>
    <row r="1013" spans="1:26">
      <c r="A1013" s="406">
        <v>1010</v>
      </c>
      <c r="B1013" s="613" t="s">
        <v>7020</v>
      </c>
      <c r="C1013" s="483" t="s">
        <v>1908</v>
      </c>
      <c r="D1013" s="414" t="s">
        <v>4884</v>
      </c>
      <c r="E1013" s="407" t="s">
        <v>4884</v>
      </c>
      <c r="F1013" s="483"/>
      <c r="G1013" s="483"/>
      <c r="H1013" s="483"/>
      <c r="I1013" s="483"/>
      <c r="J1013" s="483"/>
      <c r="K1013" s="483"/>
      <c r="L1013" s="608" t="s">
        <v>4884</v>
      </c>
      <c r="M1013" s="409" t="s">
        <v>4884</v>
      </c>
      <c r="N1013" s="409" t="s">
        <v>4884</v>
      </c>
      <c r="O1013" s="410" t="s">
        <v>4884</v>
      </c>
      <c r="P1013" s="406">
        <v>1010</v>
      </c>
      <c r="Q1013" s="460" t="s">
        <v>1908</v>
      </c>
      <c r="R1013" s="460" t="s">
        <v>1883</v>
      </c>
      <c r="S1013" s="460" t="s">
        <v>1884</v>
      </c>
      <c r="U1013" s="471"/>
      <c r="V1013" s="471"/>
      <c r="W1013" s="488"/>
      <c r="X1013" s="471"/>
      <c r="Y1013" s="206"/>
      <c r="Z1013" s="206"/>
    </row>
    <row r="1014" spans="1:26">
      <c r="A1014" s="406">
        <v>1011</v>
      </c>
      <c r="B1014" s="613" t="s">
        <v>7020</v>
      </c>
      <c r="C1014" s="483" t="s">
        <v>1909</v>
      </c>
      <c r="D1014" s="414" t="s">
        <v>4884</v>
      </c>
      <c r="E1014" s="407" t="s">
        <v>4884</v>
      </c>
      <c r="F1014" s="483"/>
      <c r="G1014" s="483"/>
      <c r="H1014" s="483"/>
      <c r="I1014" s="483"/>
      <c r="J1014" s="483"/>
      <c r="K1014" s="483"/>
      <c r="L1014" s="608" t="s">
        <v>4884</v>
      </c>
      <c r="M1014" s="409" t="s">
        <v>4884</v>
      </c>
      <c r="N1014" s="409" t="s">
        <v>4884</v>
      </c>
      <c r="O1014" s="410" t="s">
        <v>4884</v>
      </c>
      <c r="P1014" s="406">
        <v>1011</v>
      </c>
      <c r="Q1014" s="460" t="s">
        <v>1909</v>
      </c>
      <c r="R1014" s="460" t="s">
        <v>1883</v>
      </c>
      <c r="S1014" s="460" t="s">
        <v>1884</v>
      </c>
      <c r="U1014" s="471"/>
      <c r="V1014" s="471"/>
      <c r="W1014" s="488"/>
      <c r="X1014" s="471"/>
      <c r="Y1014" s="206"/>
      <c r="Z1014" s="206"/>
    </row>
    <row r="1015" spans="1:26">
      <c r="A1015" s="406">
        <v>1012</v>
      </c>
      <c r="B1015" s="613" t="s">
        <v>7020</v>
      </c>
      <c r="C1015" s="483" t="s">
        <v>1910</v>
      </c>
      <c r="D1015" s="414" t="s">
        <v>4884</v>
      </c>
      <c r="E1015" s="407" t="s">
        <v>4884</v>
      </c>
      <c r="F1015" s="483"/>
      <c r="G1015" s="483"/>
      <c r="H1015" s="483"/>
      <c r="I1015" s="483"/>
      <c r="J1015" s="483"/>
      <c r="K1015" s="483"/>
      <c r="L1015" s="608" t="s">
        <v>4884</v>
      </c>
      <c r="M1015" s="409" t="s">
        <v>4884</v>
      </c>
      <c r="N1015" s="409" t="s">
        <v>4884</v>
      </c>
      <c r="O1015" s="410" t="s">
        <v>4884</v>
      </c>
      <c r="P1015" s="406">
        <v>1012</v>
      </c>
      <c r="Q1015" s="460" t="s">
        <v>1910</v>
      </c>
      <c r="R1015" s="460" t="s">
        <v>1883</v>
      </c>
      <c r="S1015" s="460" t="s">
        <v>1884</v>
      </c>
      <c r="U1015" s="471"/>
      <c r="V1015" s="471"/>
      <c r="W1015" s="488"/>
      <c r="X1015" s="471"/>
      <c r="Y1015" s="206"/>
      <c r="Z1015" s="206"/>
    </row>
    <row r="1016" spans="1:26">
      <c r="A1016" s="406">
        <v>1013</v>
      </c>
      <c r="B1016" s="613" t="s">
        <v>7020</v>
      </c>
      <c r="C1016" s="483" t="s">
        <v>1911</v>
      </c>
      <c r="D1016" s="414" t="s">
        <v>4884</v>
      </c>
      <c r="E1016" s="407" t="s">
        <v>4884</v>
      </c>
      <c r="F1016" s="483"/>
      <c r="G1016" s="483"/>
      <c r="H1016" s="483"/>
      <c r="I1016" s="483"/>
      <c r="J1016" s="483"/>
      <c r="K1016" s="483"/>
      <c r="L1016" s="608" t="s">
        <v>4884</v>
      </c>
      <c r="M1016" s="409" t="s">
        <v>4884</v>
      </c>
      <c r="N1016" s="409" t="s">
        <v>4884</v>
      </c>
      <c r="O1016" s="410" t="s">
        <v>4884</v>
      </c>
      <c r="P1016" s="406">
        <v>1013</v>
      </c>
      <c r="Q1016" s="460" t="s">
        <v>1911</v>
      </c>
      <c r="R1016" s="460" t="s">
        <v>1883</v>
      </c>
      <c r="S1016" s="460" t="s">
        <v>1884</v>
      </c>
      <c r="U1016" s="471"/>
      <c r="V1016" s="471"/>
      <c r="W1016" s="471"/>
      <c r="X1016" s="471"/>
      <c r="Y1016" s="206"/>
      <c r="Z1016" s="206"/>
    </row>
    <row r="1017" spans="1:26">
      <c r="A1017" s="406">
        <v>1014</v>
      </c>
      <c r="B1017" s="613" t="s">
        <v>7020</v>
      </c>
      <c r="C1017" s="483" t="s">
        <v>1912</v>
      </c>
      <c r="D1017" s="414" t="s">
        <v>4884</v>
      </c>
      <c r="E1017" s="407" t="s">
        <v>4884</v>
      </c>
      <c r="F1017" s="483"/>
      <c r="G1017" s="483"/>
      <c r="H1017" s="483"/>
      <c r="I1017" s="483"/>
      <c r="J1017" s="483"/>
      <c r="K1017" s="483"/>
      <c r="L1017" s="608" t="s">
        <v>4884</v>
      </c>
      <c r="M1017" s="409" t="s">
        <v>4884</v>
      </c>
      <c r="N1017" s="409" t="s">
        <v>4884</v>
      </c>
      <c r="O1017" s="410" t="s">
        <v>4884</v>
      </c>
      <c r="P1017" s="406">
        <v>1014</v>
      </c>
      <c r="Q1017" s="460" t="s">
        <v>1912</v>
      </c>
      <c r="R1017" s="460" t="s">
        <v>1883</v>
      </c>
      <c r="S1017" s="460" t="s">
        <v>1884</v>
      </c>
      <c r="U1017" s="471"/>
      <c r="V1017" s="471"/>
      <c r="W1017" s="516"/>
      <c r="X1017" s="471"/>
      <c r="Y1017" s="206"/>
      <c r="Z1017" s="206"/>
    </row>
    <row r="1018" spans="1:26">
      <c r="A1018" s="406">
        <v>1015</v>
      </c>
      <c r="B1018" s="613" t="s">
        <v>7020</v>
      </c>
      <c r="C1018" s="288" t="s">
        <v>1913</v>
      </c>
      <c r="D1018" s="414" t="s">
        <v>4884</v>
      </c>
      <c r="E1018" s="407" t="s">
        <v>4884</v>
      </c>
      <c r="F1018" s="483"/>
      <c r="G1018" s="483"/>
      <c r="H1018" s="483"/>
      <c r="I1018" s="483"/>
      <c r="J1018" s="483"/>
      <c r="K1018" s="483"/>
      <c r="L1018" s="608" t="s">
        <v>4884</v>
      </c>
      <c r="M1018" s="409" t="s">
        <v>4884</v>
      </c>
      <c r="N1018" s="409" t="s">
        <v>4884</v>
      </c>
      <c r="O1018" s="410" t="s">
        <v>4884</v>
      </c>
      <c r="P1018" s="406">
        <v>1015</v>
      </c>
      <c r="Q1018" s="270" t="s">
        <v>1913</v>
      </c>
      <c r="R1018" s="460" t="s">
        <v>1883</v>
      </c>
      <c r="S1018" s="270" t="s">
        <v>1884</v>
      </c>
      <c r="U1018" s="471"/>
      <c r="V1018" s="471"/>
      <c r="W1018" s="516"/>
      <c r="X1018" s="471"/>
      <c r="Y1018" s="206"/>
      <c r="Z1018" s="206"/>
    </row>
    <row r="1019" spans="1:26">
      <c r="A1019" s="406">
        <v>1016</v>
      </c>
      <c r="B1019" s="613" t="s">
        <v>7020</v>
      </c>
      <c r="C1019" s="288" t="s">
        <v>1914</v>
      </c>
      <c r="D1019" s="414" t="s">
        <v>4884</v>
      </c>
      <c r="E1019" s="407" t="s">
        <v>4884</v>
      </c>
      <c r="F1019" s="483"/>
      <c r="G1019" s="483"/>
      <c r="H1019" s="483"/>
      <c r="I1019" s="483"/>
      <c r="J1019" s="483"/>
      <c r="K1019" s="483"/>
      <c r="L1019" s="608" t="s">
        <v>4884</v>
      </c>
      <c r="M1019" s="409" t="s">
        <v>4884</v>
      </c>
      <c r="N1019" s="409" t="s">
        <v>4884</v>
      </c>
      <c r="O1019" s="410" t="s">
        <v>4884</v>
      </c>
      <c r="P1019" s="406">
        <v>1016</v>
      </c>
      <c r="Q1019" s="270" t="s">
        <v>1914</v>
      </c>
      <c r="R1019" s="460" t="s">
        <v>1883</v>
      </c>
      <c r="S1019" s="270" t="s">
        <v>1884</v>
      </c>
      <c r="U1019" s="471"/>
      <c r="V1019" s="471"/>
      <c r="W1019" s="516"/>
      <c r="X1019" s="471"/>
      <c r="Y1019" s="206"/>
      <c r="Z1019" s="206"/>
    </row>
    <row r="1020" spans="1:26">
      <c r="A1020" s="406">
        <v>1017</v>
      </c>
      <c r="B1020" s="613" t="s">
        <v>7020</v>
      </c>
      <c r="C1020" s="288" t="s">
        <v>1915</v>
      </c>
      <c r="D1020" s="414" t="s">
        <v>4884</v>
      </c>
      <c r="E1020" s="407" t="s">
        <v>4884</v>
      </c>
      <c r="F1020" s="483"/>
      <c r="G1020" s="483"/>
      <c r="H1020" s="483"/>
      <c r="I1020" s="483"/>
      <c r="J1020" s="483"/>
      <c r="K1020" s="483"/>
      <c r="L1020" s="608" t="s">
        <v>4884</v>
      </c>
      <c r="M1020" s="409" t="s">
        <v>4884</v>
      </c>
      <c r="N1020" s="409" t="s">
        <v>4884</v>
      </c>
      <c r="O1020" s="410" t="s">
        <v>4884</v>
      </c>
      <c r="P1020" s="406">
        <v>1017</v>
      </c>
      <c r="Q1020" s="270" t="s">
        <v>1915</v>
      </c>
      <c r="R1020" s="460" t="s">
        <v>1883</v>
      </c>
      <c r="S1020" s="270" t="s">
        <v>1884</v>
      </c>
      <c r="U1020" s="471"/>
      <c r="V1020" s="471"/>
      <c r="W1020" s="516"/>
      <c r="X1020" s="471"/>
      <c r="Y1020" s="206"/>
      <c r="Z1020" s="206"/>
    </row>
    <row r="1021" spans="1:26">
      <c r="A1021" s="406">
        <v>1018</v>
      </c>
      <c r="B1021" s="613" t="s">
        <v>7020</v>
      </c>
      <c r="C1021" s="288" t="s">
        <v>1916</v>
      </c>
      <c r="D1021" s="414" t="s">
        <v>4884</v>
      </c>
      <c r="E1021" s="407" t="s">
        <v>4884</v>
      </c>
      <c r="F1021" s="483"/>
      <c r="G1021" s="483"/>
      <c r="H1021" s="483"/>
      <c r="I1021" s="483"/>
      <c r="J1021" s="483"/>
      <c r="K1021" s="483"/>
      <c r="L1021" s="608" t="s">
        <v>4884</v>
      </c>
      <c r="M1021" s="409" t="s">
        <v>4884</v>
      </c>
      <c r="N1021" s="409" t="s">
        <v>4884</v>
      </c>
      <c r="O1021" s="410" t="s">
        <v>4884</v>
      </c>
      <c r="P1021" s="406">
        <v>1018</v>
      </c>
      <c r="Q1021" s="270" t="s">
        <v>1916</v>
      </c>
      <c r="R1021" s="460" t="s">
        <v>1883</v>
      </c>
      <c r="S1021" s="270" t="s">
        <v>1884</v>
      </c>
      <c r="U1021" s="471"/>
      <c r="V1021" s="471"/>
      <c r="W1021" s="516"/>
      <c r="X1021" s="471"/>
      <c r="Y1021" s="206"/>
      <c r="Z1021" s="206"/>
    </row>
    <row r="1022" spans="1:26">
      <c r="A1022" s="406">
        <v>1019</v>
      </c>
      <c r="B1022" s="613" t="s">
        <v>7020</v>
      </c>
      <c r="C1022" s="288" t="s">
        <v>1917</v>
      </c>
      <c r="D1022" s="414" t="s">
        <v>4884</v>
      </c>
      <c r="E1022" s="407" t="s">
        <v>4884</v>
      </c>
      <c r="F1022" s="483"/>
      <c r="G1022" s="483"/>
      <c r="H1022" s="483"/>
      <c r="I1022" s="483"/>
      <c r="J1022" s="483"/>
      <c r="K1022" s="483"/>
      <c r="L1022" s="608" t="s">
        <v>4884</v>
      </c>
      <c r="M1022" s="409" t="s">
        <v>4884</v>
      </c>
      <c r="N1022" s="409" t="s">
        <v>4884</v>
      </c>
      <c r="O1022" s="410" t="s">
        <v>4884</v>
      </c>
      <c r="P1022" s="406">
        <v>1019</v>
      </c>
      <c r="Q1022" s="270" t="s">
        <v>1917</v>
      </c>
      <c r="R1022" s="460" t="s">
        <v>1883</v>
      </c>
      <c r="S1022" s="270" t="s">
        <v>1884</v>
      </c>
      <c r="U1022" s="471"/>
      <c r="V1022" s="471"/>
      <c r="W1022" s="516"/>
      <c r="X1022" s="471"/>
      <c r="Y1022" s="206"/>
      <c r="Z1022" s="206"/>
    </row>
    <row r="1023" spans="1:26">
      <c r="A1023" s="406">
        <v>1020</v>
      </c>
      <c r="B1023" s="613" t="s">
        <v>7020</v>
      </c>
      <c r="C1023" s="288" t="s">
        <v>1918</v>
      </c>
      <c r="D1023" s="414" t="s">
        <v>4884</v>
      </c>
      <c r="E1023" s="407" t="s">
        <v>4884</v>
      </c>
      <c r="F1023" s="483"/>
      <c r="G1023" s="483"/>
      <c r="H1023" s="483"/>
      <c r="I1023" s="483"/>
      <c r="J1023" s="483"/>
      <c r="K1023" s="483"/>
      <c r="L1023" s="608" t="s">
        <v>4884</v>
      </c>
      <c r="M1023" s="409" t="s">
        <v>4884</v>
      </c>
      <c r="N1023" s="409" t="s">
        <v>4884</v>
      </c>
      <c r="O1023" s="410" t="s">
        <v>4884</v>
      </c>
      <c r="P1023" s="406">
        <v>1020</v>
      </c>
      <c r="Q1023" s="270" t="s">
        <v>1918</v>
      </c>
      <c r="R1023" s="460" t="s">
        <v>1883</v>
      </c>
      <c r="S1023" s="270" t="s">
        <v>1884</v>
      </c>
      <c r="U1023" s="471"/>
      <c r="V1023" s="471"/>
      <c r="W1023" s="516"/>
      <c r="X1023" s="471"/>
      <c r="Y1023" s="206"/>
      <c r="Z1023" s="206"/>
    </row>
    <row r="1024" spans="1:26">
      <c r="A1024" s="406">
        <v>1021</v>
      </c>
      <c r="B1024" s="613" t="s">
        <v>7020</v>
      </c>
      <c r="C1024" s="288" t="s">
        <v>1919</v>
      </c>
      <c r="D1024" s="414" t="s">
        <v>4884</v>
      </c>
      <c r="E1024" s="407" t="s">
        <v>4884</v>
      </c>
      <c r="F1024" s="483"/>
      <c r="G1024" s="483"/>
      <c r="H1024" s="483"/>
      <c r="I1024" s="483"/>
      <c r="J1024" s="483"/>
      <c r="K1024" s="483"/>
      <c r="L1024" s="608" t="s">
        <v>4884</v>
      </c>
      <c r="M1024" s="409" t="s">
        <v>4884</v>
      </c>
      <c r="N1024" s="409" t="s">
        <v>4884</v>
      </c>
      <c r="O1024" s="410" t="s">
        <v>4884</v>
      </c>
      <c r="P1024" s="406">
        <v>1021</v>
      </c>
      <c r="Q1024" s="270" t="s">
        <v>1919</v>
      </c>
      <c r="R1024" s="460" t="s">
        <v>1883</v>
      </c>
      <c r="S1024" s="270" t="s">
        <v>1884</v>
      </c>
      <c r="U1024" s="471"/>
      <c r="V1024" s="471"/>
      <c r="W1024" s="516"/>
      <c r="X1024" s="471"/>
      <c r="Y1024" s="206"/>
      <c r="Z1024" s="206"/>
    </row>
    <row r="1025" spans="1:26">
      <c r="A1025" s="406">
        <v>1022</v>
      </c>
      <c r="B1025" s="613" t="s">
        <v>7020</v>
      </c>
      <c r="C1025" s="288" t="s">
        <v>1920</v>
      </c>
      <c r="D1025" s="414" t="s">
        <v>4884</v>
      </c>
      <c r="E1025" s="407" t="s">
        <v>4884</v>
      </c>
      <c r="F1025" s="483"/>
      <c r="G1025" s="483"/>
      <c r="H1025" s="483"/>
      <c r="I1025" s="483"/>
      <c r="J1025" s="483"/>
      <c r="K1025" s="483"/>
      <c r="L1025" s="608" t="s">
        <v>4884</v>
      </c>
      <c r="M1025" s="409" t="s">
        <v>4884</v>
      </c>
      <c r="N1025" s="409" t="s">
        <v>4884</v>
      </c>
      <c r="O1025" s="410" t="s">
        <v>4884</v>
      </c>
      <c r="P1025" s="406">
        <v>1022</v>
      </c>
      <c r="Q1025" s="270" t="s">
        <v>1920</v>
      </c>
      <c r="R1025" s="460" t="s">
        <v>1883</v>
      </c>
      <c r="S1025" s="270" t="s">
        <v>1884</v>
      </c>
      <c r="U1025" s="471"/>
      <c r="V1025" s="471"/>
      <c r="W1025" s="516"/>
      <c r="X1025" s="471"/>
      <c r="Y1025" s="206"/>
      <c r="Z1025" s="206"/>
    </row>
    <row r="1026" spans="1:26">
      <c r="A1026" s="406">
        <v>1023</v>
      </c>
      <c r="B1026" s="613" t="s">
        <v>7020</v>
      </c>
      <c r="C1026" s="288" t="s">
        <v>1921</v>
      </c>
      <c r="D1026" s="414" t="s">
        <v>4884</v>
      </c>
      <c r="E1026" s="407" t="s">
        <v>4884</v>
      </c>
      <c r="F1026" s="483"/>
      <c r="G1026" s="483"/>
      <c r="H1026" s="483"/>
      <c r="I1026" s="483"/>
      <c r="J1026" s="483"/>
      <c r="K1026" s="483"/>
      <c r="L1026" s="608" t="s">
        <v>4884</v>
      </c>
      <c r="M1026" s="409" t="s">
        <v>4884</v>
      </c>
      <c r="N1026" s="409" t="s">
        <v>4884</v>
      </c>
      <c r="O1026" s="410" t="s">
        <v>4884</v>
      </c>
      <c r="P1026" s="406">
        <v>1023</v>
      </c>
      <c r="Q1026" s="270" t="s">
        <v>1921</v>
      </c>
      <c r="R1026" s="460" t="s">
        <v>1883</v>
      </c>
      <c r="S1026" s="270" t="s">
        <v>1884</v>
      </c>
      <c r="U1026" s="471"/>
      <c r="V1026" s="471"/>
      <c r="W1026" s="516"/>
      <c r="X1026" s="471"/>
      <c r="Y1026" s="206"/>
      <c r="Z1026" s="206"/>
    </row>
    <row r="1027" spans="1:26">
      <c r="A1027" s="406">
        <v>1024</v>
      </c>
      <c r="B1027" s="613" t="s">
        <v>7020</v>
      </c>
      <c r="C1027" s="288" t="s">
        <v>1922</v>
      </c>
      <c r="D1027" s="414" t="s">
        <v>4884</v>
      </c>
      <c r="E1027" s="407" t="s">
        <v>4884</v>
      </c>
      <c r="F1027" s="483"/>
      <c r="G1027" s="483"/>
      <c r="H1027" s="483"/>
      <c r="I1027" s="483"/>
      <c r="J1027" s="483"/>
      <c r="K1027" s="483"/>
      <c r="L1027" s="608" t="s">
        <v>4884</v>
      </c>
      <c r="M1027" s="409" t="s">
        <v>4884</v>
      </c>
      <c r="N1027" s="409" t="s">
        <v>4884</v>
      </c>
      <c r="O1027" s="410" t="s">
        <v>4884</v>
      </c>
      <c r="P1027" s="406">
        <v>1024</v>
      </c>
      <c r="Q1027" s="270" t="s">
        <v>1922</v>
      </c>
      <c r="R1027" s="460" t="s">
        <v>1883</v>
      </c>
      <c r="S1027" s="270" t="s">
        <v>1884</v>
      </c>
      <c r="U1027" s="471"/>
      <c r="V1027" s="471"/>
      <c r="W1027" s="516"/>
      <c r="X1027" s="471"/>
      <c r="Y1027" s="206"/>
      <c r="Z1027" s="206"/>
    </row>
    <row r="1028" spans="1:26">
      <c r="A1028" s="406">
        <v>1025</v>
      </c>
      <c r="B1028" s="613" t="s">
        <v>7020</v>
      </c>
      <c r="C1028" s="288" t="s">
        <v>1923</v>
      </c>
      <c r="D1028" s="414" t="s">
        <v>4884</v>
      </c>
      <c r="E1028" s="407" t="s">
        <v>4884</v>
      </c>
      <c r="F1028" s="483"/>
      <c r="G1028" s="483"/>
      <c r="H1028" s="483"/>
      <c r="I1028" s="483"/>
      <c r="J1028" s="483"/>
      <c r="K1028" s="483"/>
      <c r="L1028" s="608" t="s">
        <v>4884</v>
      </c>
      <c r="M1028" s="409" t="s">
        <v>4884</v>
      </c>
      <c r="N1028" s="409" t="s">
        <v>4884</v>
      </c>
      <c r="O1028" s="410" t="s">
        <v>4884</v>
      </c>
      <c r="P1028" s="406">
        <v>1025</v>
      </c>
      <c r="Q1028" s="270" t="s">
        <v>1923</v>
      </c>
      <c r="R1028" s="460" t="s">
        <v>1883</v>
      </c>
      <c r="S1028" s="270" t="s">
        <v>1884</v>
      </c>
      <c r="U1028" s="471"/>
      <c r="V1028" s="471"/>
      <c r="W1028" s="516"/>
      <c r="X1028" s="471"/>
      <c r="Y1028" s="206"/>
      <c r="Z1028" s="206"/>
    </row>
    <row r="1029" spans="1:26">
      <c r="A1029" s="406">
        <v>1026</v>
      </c>
      <c r="B1029" s="613" t="s">
        <v>7020</v>
      </c>
      <c r="C1029" s="288" t="s">
        <v>1924</v>
      </c>
      <c r="D1029" s="414" t="s">
        <v>4884</v>
      </c>
      <c r="E1029" s="407" t="s">
        <v>4884</v>
      </c>
      <c r="F1029" s="483"/>
      <c r="G1029" s="483"/>
      <c r="H1029" s="483"/>
      <c r="I1029" s="483"/>
      <c r="J1029" s="483"/>
      <c r="K1029" s="483"/>
      <c r="L1029" s="608" t="s">
        <v>4884</v>
      </c>
      <c r="M1029" s="409" t="s">
        <v>4884</v>
      </c>
      <c r="N1029" s="409" t="s">
        <v>4884</v>
      </c>
      <c r="O1029" s="410" t="s">
        <v>4884</v>
      </c>
      <c r="P1029" s="406">
        <v>1026</v>
      </c>
      <c r="Q1029" s="270" t="s">
        <v>1924</v>
      </c>
      <c r="R1029" s="460" t="s">
        <v>1883</v>
      </c>
      <c r="S1029" s="270" t="s">
        <v>1884</v>
      </c>
      <c r="U1029" s="471"/>
      <c r="V1029" s="471"/>
      <c r="W1029" s="516"/>
      <c r="X1029" s="471"/>
      <c r="Y1029" s="206"/>
      <c r="Z1029" s="206"/>
    </row>
    <row r="1030" spans="1:26">
      <c r="A1030" s="406">
        <v>1027</v>
      </c>
      <c r="B1030" s="613" t="s">
        <v>7020</v>
      </c>
      <c r="C1030" s="288" t="s">
        <v>1925</v>
      </c>
      <c r="D1030" s="414" t="s">
        <v>4884</v>
      </c>
      <c r="E1030" s="407" t="s">
        <v>4884</v>
      </c>
      <c r="F1030" s="483"/>
      <c r="G1030" s="483"/>
      <c r="H1030" s="483"/>
      <c r="I1030" s="483"/>
      <c r="J1030" s="483"/>
      <c r="K1030" s="483"/>
      <c r="L1030" s="608" t="s">
        <v>4884</v>
      </c>
      <c r="M1030" s="409" t="s">
        <v>4884</v>
      </c>
      <c r="N1030" s="409" t="s">
        <v>4884</v>
      </c>
      <c r="O1030" s="410" t="s">
        <v>4884</v>
      </c>
      <c r="P1030" s="406">
        <v>1027</v>
      </c>
      <c r="Q1030" s="270" t="s">
        <v>1925</v>
      </c>
      <c r="R1030" s="460" t="s">
        <v>1883</v>
      </c>
      <c r="S1030" s="270" t="s">
        <v>1884</v>
      </c>
      <c r="U1030" s="471"/>
      <c r="V1030" s="471"/>
      <c r="W1030" s="516"/>
      <c r="X1030" s="471"/>
      <c r="Y1030" s="206"/>
      <c r="Z1030" s="206"/>
    </row>
    <row r="1031" spans="1:26">
      <c r="A1031" s="406">
        <v>1028</v>
      </c>
      <c r="B1031" s="613" t="s">
        <v>7020</v>
      </c>
      <c r="C1031" s="288" t="s">
        <v>1926</v>
      </c>
      <c r="D1031" s="414" t="s">
        <v>4884</v>
      </c>
      <c r="E1031" s="407" t="s">
        <v>4884</v>
      </c>
      <c r="F1031" s="483"/>
      <c r="G1031" s="483"/>
      <c r="H1031" s="483"/>
      <c r="I1031" s="483"/>
      <c r="J1031" s="483"/>
      <c r="K1031" s="483"/>
      <c r="L1031" s="608" t="s">
        <v>4884</v>
      </c>
      <c r="M1031" s="409" t="s">
        <v>4884</v>
      </c>
      <c r="N1031" s="409" t="s">
        <v>4884</v>
      </c>
      <c r="O1031" s="410" t="s">
        <v>4884</v>
      </c>
      <c r="P1031" s="406">
        <v>1028</v>
      </c>
      <c r="Q1031" s="270" t="s">
        <v>1926</v>
      </c>
      <c r="R1031" s="460" t="s">
        <v>1883</v>
      </c>
      <c r="S1031" s="270" t="s">
        <v>1884</v>
      </c>
      <c r="U1031" s="471"/>
      <c r="V1031" s="471"/>
      <c r="W1031" s="516"/>
      <c r="X1031" s="471"/>
      <c r="Y1031" s="206"/>
      <c r="Z1031" s="206"/>
    </row>
    <row r="1032" spans="1:26">
      <c r="A1032" s="406">
        <v>1029</v>
      </c>
      <c r="B1032" s="613" t="s">
        <v>7020</v>
      </c>
      <c r="C1032" s="288" t="s">
        <v>1927</v>
      </c>
      <c r="D1032" s="414" t="s">
        <v>4884</v>
      </c>
      <c r="E1032" s="407" t="s">
        <v>4884</v>
      </c>
      <c r="F1032" s="483"/>
      <c r="G1032" s="483"/>
      <c r="H1032" s="483"/>
      <c r="I1032" s="483"/>
      <c r="J1032" s="483"/>
      <c r="K1032" s="483"/>
      <c r="L1032" s="608" t="s">
        <v>4884</v>
      </c>
      <c r="M1032" s="409" t="s">
        <v>4884</v>
      </c>
      <c r="N1032" s="409" t="s">
        <v>4884</v>
      </c>
      <c r="O1032" s="410" t="s">
        <v>4884</v>
      </c>
      <c r="P1032" s="406">
        <v>1029</v>
      </c>
      <c r="Q1032" s="270" t="s">
        <v>1927</v>
      </c>
      <c r="R1032" s="460" t="s">
        <v>1883</v>
      </c>
      <c r="S1032" s="270" t="s">
        <v>1884</v>
      </c>
      <c r="U1032" s="471"/>
      <c r="V1032" s="471"/>
      <c r="W1032" s="516"/>
      <c r="X1032" s="471"/>
      <c r="Y1032" s="206"/>
      <c r="Z1032" s="206"/>
    </row>
    <row r="1033" spans="1:26">
      <c r="A1033" s="406">
        <v>1030</v>
      </c>
      <c r="B1033" s="613" t="s">
        <v>7020</v>
      </c>
      <c r="C1033" s="288" t="s">
        <v>1928</v>
      </c>
      <c r="D1033" s="414" t="s">
        <v>4884</v>
      </c>
      <c r="E1033" s="407" t="s">
        <v>4884</v>
      </c>
      <c r="F1033" s="483"/>
      <c r="G1033" s="483"/>
      <c r="H1033" s="483"/>
      <c r="I1033" s="483"/>
      <c r="J1033" s="483"/>
      <c r="K1033" s="483"/>
      <c r="L1033" s="608" t="s">
        <v>4884</v>
      </c>
      <c r="M1033" s="409" t="s">
        <v>4884</v>
      </c>
      <c r="N1033" s="409" t="s">
        <v>4884</v>
      </c>
      <c r="O1033" s="410" t="s">
        <v>4884</v>
      </c>
      <c r="P1033" s="406">
        <v>1030</v>
      </c>
      <c r="Q1033" s="270" t="s">
        <v>1928</v>
      </c>
      <c r="R1033" s="460" t="s">
        <v>1883</v>
      </c>
      <c r="S1033" s="270" t="s">
        <v>1884</v>
      </c>
      <c r="U1033" s="471"/>
      <c r="V1033" s="471"/>
      <c r="W1033" s="516"/>
      <c r="X1033" s="471"/>
      <c r="Y1033" s="206"/>
      <c r="Z1033" s="206"/>
    </row>
    <row r="1034" spans="1:26">
      <c r="A1034" s="406">
        <v>1031</v>
      </c>
      <c r="B1034" s="613" t="s">
        <v>7020</v>
      </c>
      <c r="C1034" s="288" t="s">
        <v>1929</v>
      </c>
      <c r="D1034" s="414" t="s">
        <v>4884</v>
      </c>
      <c r="E1034" s="407" t="s">
        <v>4884</v>
      </c>
      <c r="F1034" s="483"/>
      <c r="G1034" s="483"/>
      <c r="H1034" s="483"/>
      <c r="I1034" s="483"/>
      <c r="J1034" s="483"/>
      <c r="K1034" s="483"/>
      <c r="L1034" s="608" t="s">
        <v>4884</v>
      </c>
      <c r="M1034" s="409" t="s">
        <v>4884</v>
      </c>
      <c r="N1034" s="409" t="s">
        <v>4884</v>
      </c>
      <c r="O1034" s="410" t="s">
        <v>4884</v>
      </c>
      <c r="P1034" s="406">
        <v>1031</v>
      </c>
      <c r="Q1034" s="270" t="s">
        <v>1929</v>
      </c>
      <c r="R1034" s="460" t="s">
        <v>1883</v>
      </c>
      <c r="S1034" s="270" t="s">
        <v>1884</v>
      </c>
      <c r="U1034" s="471"/>
      <c r="V1034" s="471"/>
      <c r="W1034" s="516"/>
      <c r="X1034" s="471"/>
      <c r="Y1034" s="206"/>
      <c r="Z1034" s="206"/>
    </row>
    <row r="1035" spans="1:26">
      <c r="A1035" s="406">
        <v>1032</v>
      </c>
      <c r="B1035" s="613" t="s">
        <v>7020</v>
      </c>
      <c r="C1035" s="288" t="s">
        <v>1930</v>
      </c>
      <c r="D1035" s="414" t="s">
        <v>4884</v>
      </c>
      <c r="E1035" s="407" t="s">
        <v>4884</v>
      </c>
      <c r="F1035" s="483"/>
      <c r="G1035" s="483"/>
      <c r="H1035" s="483"/>
      <c r="I1035" s="483"/>
      <c r="J1035" s="483"/>
      <c r="K1035" s="483"/>
      <c r="L1035" s="608" t="s">
        <v>4884</v>
      </c>
      <c r="M1035" s="409" t="s">
        <v>4884</v>
      </c>
      <c r="N1035" s="409" t="s">
        <v>4884</v>
      </c>
      <c r="O1035" s="410" t="s">
        <v>4884</v>
      </c>
      <c r="P1035" s="406">
        <v>1032</v>
      </c>
      <c r="Q1035" s="270" t="s">
        <v>1930</v>
      </c>
      <c r="R1035" s="460" t="s">
        <v>1883</v>
      </c>
      <c r="S1035" s="270" t="s">
        <v>1884</v>
      </c>
      <c r="U1035" s="471"/>
      <c r="V1035" s="471"/>
      <c r="W1035" s="516"/>
      <c r="X1035" s="471"/>
      <c r="Y1035" s="206"/>
      <c r="Z1035" s="206"/>
    </row>
    <row r="1036" spans="1:26">
      <c r="A1036" s="406">
        <v>1033</v>
      </c>
      <c r="B1036" s="613" t="s">
        <v>7020</v>
      </c>
      <c r="C1036" s="288" t="s">
        <v>1931</v>
      </c>
      <c r="D1036" s="414" t="s">
        <v>4884</v>
      </c>
      <c r="E1036" s="407" t="s">
        <v>4884</v>
      </c>
      <c r="F1036" s="483"/>
      <c r="G1036" s="483"/>
      <c r="H1036" s="483"/>
      <c r="I1036" s="483"/>
      <c r="J1036" s="483"/>
      <c r="K1036" s="483"/>
      <c r="L1036" s="608" t="s">
        <v>4884</v>
      </c>
      <c r="M1036" s="409" t="s">
        <v>4884</v>
      </c>
      <c r="N1036" s="409" t="s">
        <v>4884</v>
      </c>
      <c r="O1036" s="410" t="s">
        <v>4884</v>
      </c>
      <c r="P1036" s="406">
        <v>1033</v>
      </c>
      <c r="Q1036" s="270" t="s">
        <v>1931</v>
      </c>
      <c r="R1036" s="460" t="s">
        <v>1883</v>
      </c>
      <c r="S1036" s="270" t="s">
        <v>1884</v>
      </c>
      <c r="U1036" s="471"/>
      <c r="V1036" s="471"/>
      <c r="W1036" s="516"/>
      <c r="X1036" s="471"/>
      <c r="Y1036" s="206"/>
      <c r="Z1036" s="206"/>
    </row>
    <row r="1037" spans="1:26">
      <c r="A1037" s="406">
        <v>1034</v>
      </c>
      <c r="B1037" s="613" t="s">
        <v>7020</v>
      </c>
      <c r="C1037" s="288" t="s">
        <v>1932</v>
      </c>
      <c r="D1037" s="414" t="s">
        <v>4884</v>
      </c>
      <c r="E1037" s="407" t="s">
        <v>4884</v>
      </c>
      <c r="F1037" s="483"/>
      <c r="G1037" s="483"/>
      <c r="H1037" s="483"/>
      <c r="I1037" s="483"/>
      <c r="J1037" s="483"/>
      <c r="K1037" s="483"/>
      <c r="L1037" s="608" t="s">
        <v>4884</v>
      </c>
      <c r="M1037" s="409" t="s">
        <v>4884</v>
      </c>
      <c r="N1037" s="409" t="s">
        <v>4884</v>
      </c>
      <c r="O1037" s="410" t="s">
        <v>4884</v>
      </c>
      <c r="P1037" s="406">
        <v>1034</v>
      </c>
      <c r="Q1037" s="270" t="s">
        <v>1932</v>
      </c>
      <c r="R1037" s="460" t="s">
        <v>1883</v>
      </c>
      <c r="S1037" s="270" t="s">
        <v>1884</v>
      </c>
      <c r="U1037" s="471"/>
      <c r="V1037" s="471"/>
      <c r="W1037" s="516"/>
      <c r="X1037" s="471"/>
      <c r="Y1037" s="206"/>
      <c r="Z1037" s="206"/>
    </row>
    <row r="1038" spans="1:26">
      <c r="A1038" s="406">
        <v>1035</v>
      </c>
      <c r="B1038" s="613" t="s">
        <v>7020</v>
      </c>
      <c r="C1038" s="288" t="s">
        <v>1933</v>
      </c>
      <c r="D1038" s="414" t="s">
        <v>4884</v>
      </c>
      <c r="E1038" s="407" t="s">
        <v>4884</v>
      </c>
      <c r="F1038" s="483"/>
      <c r="G1038" s="483"/>
      <c r="H1038" s="483"/>
      <c r="I1038" s="483"/>
      <c r="J1038" s="483"/>
      <c r="K1038" s="483"/>
      <c r="L1038" s="608" t="s">
        <v>4884</v>
      </c>
      <c r="M1038" s="409" t="s">
        <v>4884</v>
      </c>
      <c r="N1038" s="409" t="s">
        <v>4884</v>
      </c>
      <c r="O1038" s="410" t="s">
        <v>4884</v>
      </c>
      <c r="P1038" s="406">
        <v>1035</v>
      </c>
      <c r="Q1038" s="270" t="s">
        <v>1933</v>
      </c>
      <c r="R1038" s="460" t="s">
        <v>1883</v>
      </c>
      <c r="S1038" s="270" t="s">
        <v>1884</v>
      </c>
      <c r="U1038" s="471"/>
      <c r="V1038" s="471"/>
      <c r="W1038" s="516"/>
      <c r="X1038" s="471"/>
      <c r="Y1038" s="206"/>
      <c r="Z1038" s="206"/>
    </row>
    <row r="1039" spans="1:26">
      <c r="A1039" s="406">
        <v>1036</v>
      </c>
      <c r="B1039" s="613" t="s">
        <v>7020</v>
      </c>
      <c r="C1039" s="288" t="s">
        <v>1934</v>
      </c>
      <c r="D1039" s="414" t="s">
        <v>4884</v>
      </c>
      <c r="E1039" s="407" t="s">
        <v>4884</v>
      </c>
      <c r="F1039" s="483"/>
      <c r="G1039" s="483"/>
      <c r="H1039" s="483"/>
      <c r="I1039" s="483"/>
      <c r="J1039" s="483"/>
      <c r="K1039" s="483"/>
      <c r="L1039" s="608" t="s">
        <v>4884</v>
      </c>
      <c r="M1039" s="409" t="s">
        <v>4884</v>
      </c>
      <c r="N1039" s="409" t="s">
        <v>4884</v>
      </c>
      <c r="O1039" s="410" t="s">
        <v>4884</v>
      </c>
      <c r="P1039" s="406">
        <v>1036</v>
      </c>
      <c r="Q1039" s="270" t="s">
        <v>1934</v>
      </c>
      <c r="R1039" s="460" t="s">
        <v>1883</v>
      </c>
      <c r="S1039" s="270" t="s">
        <v>1884</v>
      </c>
      <c r="U1039" s="471"/>
      <c r="V1039" s="471"/>
      <c r="W1039" s="516"/>
      <c r="X1039" s="471"/>
      <c r="Y1039" s="206"/>
      <c r="Z1039" s="206"/>
    </row>
    <row r="1040" spans="1:26">
      <c r="A1040" s="406">
        <v>1037</v>
      </c>
      <c r="B1040" s="613" t="s">
        <v>7020</v>
      </c>
      <c r="C1040" s="288" t="s">
        <v>1935</v>
      </c>
      <c r="D1040" s="414" t="s">
        <v>4884</v>
      </c>
      <c r="E1040" s="407" t="s">
        <v>4884</v>
      </c>
      <c r="F1040" s="483"/>
      <c r="G1040" s="483"/>
      <c r="H1040" s="483"/>
      <c r="I1040" s="483"/>
      <c r="J1040" s="483"/>
      <c r="K1040" s="483"/>
      <c r="L1040" s="608" t="s">
        <v>4884</v>
      </c>
      <c r="M1040" s="409" t="s">
        <v>4884</v>
      </c>
      <c r="N1040" s="409" t="s">
        <v>4884</v>
      </c>
      <c r="O1040" s="410" t="s">
        <v>4884</v>
      </c>
      <c r="P1040" s="406">
        <v>1037</v>
      </c>
      <c r="Q1040" s="270" t="s">
        <v>1935</v>
      </c>
      <c r="R1040" s="460" t="s">
        <v>1883</v>
      </c>
      <c r="S1040" s="270" t="s">
        <v>1884</v>
      </c>
      <c r="U1040" s="471"/>
      <c r="V1040" s="471"/>
      <c r="W1040" s="516"/>
      <c r="X1040" s="471"/>
      <c r="Y1040" s="206"/>
      <c r="Z1040" s="206"/>
    </row>
    <row r="1041" spans="1:26">
      <c r="A1041" s="406">
        <v>1038</v>
      </c>
      <c r="B1041" s="613" t="s">
        <v>7020</v>
      </c>
      <c r="C1041" s="288" t="s">
        <v>1936</v>
      </c>
      <c r="D1041" s="414" t="s">
        <v>4884</v>
      </c>
      <c r="E1041" s="407" t="s">
        <v>4884</v>
      </c>
      <c r="F1041" s="483"/>
      <c r="G1041" s="483"/>
      <c r="H1041" s="483"/>
      <c r="I1041" s="483"/>
      <c r="J1041" s="483"/>
      <c r="K1041" s="483"/>
      <c r="L1041" s="608" t="s">
        <v>4884</v>
      </c>
      <c r="M1041" s="409" t="s">
        <v>4884</v>
      </c>
      <c r="N1041" s="409" t="s">
        <v>4884</v>
      </c>
      <c r="O1041" s="410" t="s">
        <v>4884</v>
      </c>
      <c r="P1041" s="406">
        <v>1038</v>
      </c>
      <c r="Q1041" s="270" t="s">
        <v>1936</v>
      </c>
      <c r="R1041" s="460" t="s">
        <v>1883</v>
      </c>
      <c r="S1041" s="270" t="s">
        <v>1884</v>
      </c>
      <c r="U1041" s="471"/>
      <c r="V1041" s="471"/>
      <c r="W1041" s="516"/>
      <c r="X1041" s="471"/>
      <c r="Y1041" s="206"/>
      <c r="Z1041" s="206"/>
    </row>
    <row r="1042" spans="1:26">
      <c r="A1042" s="406">
        <v>1039</v>
      </c>
      <c r="B1042" s="613" t="s">
        <v>7020</v>
      </c>
      <c r="C1042" s="288" t="s">
        <v>1937</v>
      </c>
      <c r="D1042" s="414" t="s">
        <v>4884</v>
      </c>
      <c r="E1042" s="407" t="s">
        <v>4884</v>
      </c>
      <c r="F1042" s="483"/>
      <c r="G1042" s="483"/>
      <c r="H1042" s="483"/>
      <c r="I1042" s="483"/>
      <c r="J1042" s="483"/>
      <c r="K1042" s="483"/>
      <c r="L1042" s="608" t="s">
        <v>4884</v>
      </c>
      <c r="M1042" s="409" t="s">
        <v>4884</v>
      </c>
      <c r="N1042" s="409" t="s">
        <v>4884</v>
      </c>
      <c r="O1042" s="410" t="s">
        <v>4884</v>
      </c>
      <c r="P1042" s="406">
        <v>1039</v>
      </c>
      <c r="Q1042" s="270" t="s">
        <v>1937</v>
      </c>
      <c r="R1042" s="460" t="s">
        <v>1883</v>
      </c>
      <c r="S1042" s="270" t="s">
        <v>1884</v>
      </c>
      <c r="U1042" s="471"/>
      <c r="V1042" s="471"/>
      <c r="W1042" s="516"/>
      <c r="X1042" s="471"/>
      <c r="Y1042" s="206"/>
      <c r="Z1042" s="206"/>
    </row>
    <row r="1043" spans="1:26">
      <c r="A1043" s="406">
        <v>1040</v>
      </c>
      <c r="B1043" s="613" t="s">
        <v>7020</v>
      </c>
      <c r="C1043" s="288" t="s">
        <v>1938</v>
      </c>
      <c r="D1043" s="414" t="s">
        <v>4884</v>
      </c>
      <c r="E1043" s="407" t="s">
        <v>4884</v>
      </c>
      <c r="F1043" s="483"/>
      <c r="G1043" s="483"/>
      <c r="H1043" s="483"/>
      <c r="I1043" s="483"/>
      <c r="J1043" s="483"/>
      <c r="K1043" s="483"/>
      <c r="L1043" s="608" t="s">
        <v>4884</v>
      </c>
      <c r="M1043" s="409" t="s">
        <v>4884</v>
      </c>
      <c r="N1043" s="409" t="s">
        <v>4884</v>
      </c>
      <c r="O1043" s="410" t="s">
        <v>4884</v>
      </c>
      <c r="P1043" s="406">
        <v>1040</v>
      </c>
      <c r="Q1043" s="270" t="s">
        <v>1938</v>
      </c>
      <c r="R1043" s="460" t="s">
        <v>1883</v>
      </c>
      <c r="S1043" s="270" t="s">
        <v>1884</v>
      </c>
      <c r="U1043" s="471"/>
      <c r="V1043" s="471"/>
      <c r="W1043" s="516"/>
      <c r="X1043" s="471"/>
      <c r="Y1043" s="206"/>
      <c r="Z1043" s="206"/>
    </row>
    <row r="1044" spans="1:26">
      <c r="A1044" s="406">
        <v>1041</v>
      </c>
      <c r="B1044" s="613" t="s">
        <v>7020</v>
      </c>
      <c r="C1044" s="288" t="s">
        <v>1939</v>
      </c>
      <c r="D1044" s="414" t="s">
        <v>4884</v>
      </c>
      <c r="E1044" s="407" t="s">
        <v>4884</v>
      </c>
      <c r="F1044" s="483"/>
      <c r="G1044" s="483"/>
      <c r="H1044" s="483"/>
      <c r="I1044" s="483"/>
      <c r="J1044" s="483"/>
      <c r="K1044" s="483"/>
      <c r="L1044" s="608" t="s">
        <v>4884</v>
      </c>
      <c r="M1044" s="409" t="s">
        <v>4884</v>
      </c>
      <c r="N1044" s="409" t="s">
        <v>4884</v>
      </c>
      <c r="O1044" s="410" t="s">
        <v>4884</v>
      </c>
      <c r="P1044" s="406">
        <v>1041</v>
      </c>
      <c r="Q1044" s="270" t="s">
        <v>1939</v>
      </c>
      <c r="R1044" s="460" t="s">
        <v>1883</v>
      </c>
      <c r="S1044" s="270" t="s">
        <v>1884</v>
      </c>
      <c r="U1044" s="471"/>
      <c r="V1044" s="471"/>
      <c r="W1044" s="516"/>
      <c r="X1044" s="471"/>
      <c r="Y1044" s="206"/>
      <c r="Z1044" s="206"/>
    </row>
    <row r="1045" spans="1:26">
      <c r="A1045" s="406">
        <v>1042</v>
      </c>
      <c r="B1045" s="613" t="s">
        <v>7020</v>
      </c>
      <c r="C1045" s="288" t="s">
        <v>1940</v>
      </c>
      <c r="D1045" s="414" t="s">
        <v>4884</v>
      </c>
      <c r="E1045" s="407" t="s">
        <v>4884</v>
      </c>
      <c r="F1045" s="483"/>
      <c r="G1045" s="483"/>
      <c r="H1045" s="483"/>
      <c r="I1045" s="483"/>
      <c r="J1045" s="483"/>
      <c r="K1045" s="483"/>
      <c r="L1045" s="608" t="s">
        <v>4884</v>
      </c>
      <c r="M1045" s="409" t="s">
        <v>4884</v>
      </c>
      <c r="N1045" s="409" t="s">
        <v>4884</v>
      </c>
      <c r="O1045" s="410" t="s">
        <v>4884</v>
      </c>
      <c r="P1045" s="406">
        <v>1042</v>
      </c>
      <c r="Q1045" s="270" t="s">
        <v>1940</v>
      </c>
      <c r="R1045" s="460" t="s">
        <v>1883</v>
      </c>
      <c r="S1045" s="270" t="s">
        <v>1884</v>
      </c>
      <c r="U1045" s="471"/>
      <c r="V1045" s="471"/>
      <c r="W1045" s="516"/>
      <c r="X1045" s="471"/>
      <c r="Y1045" s="206"/>
      <c r="Z1045" s="206"/>
    </row>
    <row r="1046" spans="1:26">
      <c r="A1046" s="406">
        <v>1043</v>
      </c>
      <c r="B1046" s="613" t="s">
        <v>7020</v>
      </c>
      <c r="C1046" s="288" t="s">
        <v>1941</v>
      </c>
      <c r="D1046" s="414" t="s">
        <v>4884</v>
      </c>
      <c r="E1046" s="407" t="s">
        <v>4884</v>
      </c>
      <c r="F1046" s="483"/>
      <c r="G1046" s="483"/>
      <c r="H1046" s="483"/>
      <c r="I1046" s="483"/>
      <c r="J1046" s="483"/>
      <c r="K1046" s="483"/>
      <c r="L1046" s="608" t="s">
        <v>4884</v>
      </c>
      <c r="M1046" s="409" t="s">
        <v>4884</v>
      </c>
      <c r="N1046" s="409" t="s">
        <v>4884</v>
      </c>
      <c r="O1046" s="410" t="s">
        <v>4884</v>
      </c>
      <c r="P1046" s="406">
        <v>1043</v>
      </c>
      <c r="Q1046" s="270" t="s">
        <v>1941</v>
      </c>
      <c r="R1046" s="460" t="s">
        <v>1883</v>
      </c>
      <c r="S1046" s="270" t="s">
        <v>1884</v>
      </c>
      <c r="U1046" s="471"/>
      <c r="V1046" s="471"/>
      <c r="W1046" s="516"/>
      <c r="X1046" s="471"/>
      <c r="Y1046" s="206"/>
      <c r="Z1046" s="206"/>
    </row>
    <row r="1047" spans="1:26">
      <c r="A1047" s="406">
        <v>1044</v>
      </c>
      <c r="B1047" s="613" t="s">
        <v>7020</v>
      </c>
      <c r="C1047" s="288" t="s">
        <v>1942</v>
      </c>
      <c r="D1047" s="414" t="s">
        <v>4884</v>
      </c>
      <c r="E1047" s="407" t="s">
        <v>4884</v>
      </c>
      <c r="F1047" s="483"/>
      <c r="G1047" s="483"/>
      <c r="H1047" s="483"/>
      <c r="I1047" s="483"/>
      <c r="J1047" s="483"/>
      <c r="K1047" s="483"/>
      <c r="L1047" s="608" t="s">
        <v>4884</v>
      </c>
      <c r="M1047" s="409" t="s">
        <v>4884</v>
      </c>
      <c r="N1047" s="409" t="s">
        <v>4884</v>
      </c>
      <c r="O1047" s="410" t="s">
        <v>4884</v>
      </c>
      <c r="P1047" s="406">
        <v>1044</v>
      </c>
      <c r="Q1047" s="270" t="s">
        <v>1942</v>
      </c>
      <c r="R1047" s="460" t="s">
        <v>1883</v>
      </c>
      <c r="S1047" s="270" t="s">
        <v>1884</v>
      </c>
      <c r="U1047" s="471"/>
      <c r="V1047" s="471"/>
      <c r="W1047" s="516"/>
      <c r="X1047" s="471"/>
      <c r="Y1047" s="206"/>
      <c r="Z1047" s="206"/>
    </row>
    <row r="1048" spans="1:26">
      <c r="A1048" s="406">
        <v>1045</v>
      </c>
      <c r="B1048" s="613" t="s">
        <v>7020</v>
      </c>
      <c r="C1048" s="288" t="s">
        <v>1943</v>
      </c>
      <c r="D1048" s="414" t="s">
        <v>4884</v>
      </c>
      <c r="E1048" s="407" t="s">
        <v>4884</v>
      </c>
      <c r="F1048" s="483"/>
      <c r="G1048" s="483"/>
      <c r="H1048" s="483"/>
      <c r="I1048" s="483"/>
      <c r="J1048" s="483"/>
      <c r="K1048" s="483"/>
      <c r="L1048" s="608" t="s">
        <v>4884</v>
      </c>
      <c r="M1048" s="409" t="s">
        <v>4884</v>
      </c>
      <c r="N1048" s="409" t="s">
        <v>4884</v>
      </c>
      <c r="O1048" s="410" t="s">
        <v>4884</v>
      </c>
      <c r="P1048" s="406">
        <v>1045</v>
      </c>
      <c r="Q1048" s="270" t="s">
        <v>1943</v>
      </c>
      <c r="R1048" s="460" t="s">
        <v>1883</v>
      </c>
      <c r="S1048" s="270" t="s">
        <v>1884</v>
      </c>
      <c r="U1048" s="471"/>
      <c r="V1048" s="471"/>
      <c r="W1048" s="516"/>
      <c r="X1048" s="471"/>
      <c r="Y1048" s="206"/>
      <c r="Z1048" s="206"/>
    </row>
    <row r="1049" spans="1:26">
      <c r="A1049" s="406">
        <v>1046</v>
      </c>
      <c r="B1049" s="613" t="s">
        <v>7020</v>
      </c>
      <c r="C1049" s="288" t="s">
        <v>1944</v>
      </c>
      <c r="D1049" s="414" t="s">
        <v>4884</v>
      </c>
      <c r="E1049" s="407" t="s">
        <v>4884</v>
      </c>
      <c r="F1049" s="483"/>
      <c r="G1049" s="483"/>
      <c r="H1049" s="483"/>
      <c r="I1049" s="483"/>
      <c r="J1049" s="483"/>
      <c r="K1049" s="483"/>
      <c r="L1049" s="608" t="s">
        <v>4884</v>
      </c>
      <c r="M1049" s="409" t="s">
        <v>4884</v>
      </c>
      <c r="N1049" s="409" t="s">
        <v>4884</v>
      </c>
      <c r="O1049" s="410" t="s">
        <v>4884</v>
      </c>
      <c r="P1049" s="406">
        <v>1046</v>
      </c>
      <c r="Q1049" s="270" t="s">
        <v>1944</v>
      </c>
      <c r="R1049" s="460" t="s">
        <v>1883</v>
      </c>
      <c r="S1049" s="270" t="s">
        <v>1884</v>
      </c>
      <c r="U1049" s="471"/>
      <c r="V1049" s="471"/>
      <c r="W1049" s="516"/>
      <c r="X1049" s="471"/>
      <c r="Y1049" s="206"/>
      <c r="Z1049" s="206"/>
    </row>
    <row r="1050" spans="1:26">
      <c r="A1050" s="406">
        <v>1047</v>
      </c>
      <c r="B1050" s="613" t="s">
        <v>7020</v>
      </c>
      <c r="C1050" s="288" t="s">
        <v>1945</v>
      </c>
      <c r="D1050" s="414" t="s">
        <v>4884</v>
      </c>
      <c r="E1050" s="407" t="s">
        <v>4884</v>
      </c>
      <c r="F1050" s="483"/>
      <c r="G1050" s="483"/>
      <c r="H1050" s="483"/>
      <c r="I1050" s="483"/>
      <c r="J1050" s="483"/>
      <c r="K1050" s="483"/>
      <c r="L1050" s="608" t="s">
        <v>4884</v>
      </c>
      <c r="M1050" s="409" t="s">
        <v>4884</v>
      </c>
      <c r="N1050" s="409" t="s">
        <v>4884</v>
      </c>
      <c r="O1050" s="410" t="s">
        <v>4884</v>
      </c>
      <c r="P1050" s="406">
        <v>1047</v>
      </c>
      <c r="Q1050" s="270" t="s">
        <v>1945</v>
      </c>
      <c r="R1050" s="460" t="s">
        <v>1883</v>
      </c>
      <c r="S1050" s="270" t="s">
        <v>1884</v>
      </c>
      <c r="U1050" s="471"/>
      <c r="V1050" s="471"/>
      <c r="W1050" s="516"/>
      <c r="X1050" s="471"/>
      <c r="Y1050" s="206"/>
      <c r="Z1050" s="206"/>
    </row>
    <row r="1051" spans="1:26">
      <c r="A1051" s="406">
        <v>1048</v>
      </c>
      <c r="B1051" s="613" t="s">
        <v>7020</v>
      </c>
      <c r="C1051" s="288" t="s">
        <v>1946</v>
      </c>
      <c r="D1051" s="414" t="s">
        <v>4884</v>
      </c>
      <c r="E1051" s="407" t="s">
        <v>4884</v>
      </c>
      <c r="F1051" s="483"/>
      <c r="G1051" s="483"/>
      <c r="H1051" s="483"/>
      <c r="I1051" s="483"/>
      <c r="J1051" s="483"/>
      <c r="K1051" s="483"/>
      <c r="L1051" s="608" t="s">
        <v>4884</v>
      </c>
      <c r="M1051" s="409" t="s">
        <v>4884</v>
      </c>
      <c r="N1051" s="409" t="s">
        <v>4884</v>
      </c>
      <c r="O1051" s="410" t="s">
        <v>4884</v>
      </c>
      <c r="P1051" s="406">
        <v>1048</v>
      </c>
      <c r="Q1051" s="270" t="s">
        <v>1946</v>
      </c>
      <c r="R1051" s="460" t="s">
        <v>1883</v>
      </c>
      <c r="S1051" s="270" t="s">
        <v>1884</v>
      </c>
      <c r="U1051" s="471"/>
      <c r="V1051" s="471"/>
      <c r="W1051" s="516"/>
      <c r="X1051" s="471"/>
      <c r="Y1051" s="206"/>
      <c r="Z1051" s="206"/>
    </row>
    <row r="1052" spans="1:26">
      <c r="A1052" s="406">
        <v>1049</v>
      </c>
      <c r="B1052" s="613" t="s">
        <v>7020</v>
      </c>
      <c r="C1052" s="288" t="s">
        <v>1947</v>
      </c>
      <c r="D1052" s="414" t="s">
        <v>4884</v>
      </c>
      <c r="E1052" s="407" t="s">
        <v>4884</v>
      </c>
      <c r="F1052" s="483"/>
      <c r="G1052" s="483"/>
      <c r="H1052" s="483"/>
      <c r="I1052" s="483"/>
      <c r="J1052" s="483"/>
      <c r="K1052" s="483"/>
      <c r="L1052" s="608" t="s">
        <v>4884</v>
      </c>
      <c r="M1052" s="409" t="s">
        <v>4884</v>
      </c>
      <c r="N1052" s="409" t="s">
        <v>4884</v>
      </c>
      <c r="O1052" s="410" t="s">
        <v>4884</v>
      </c>
      <c r="P1052" s="406">
        <v>1049</v>
      </c>
      <c r="Q1052" s="270" t="s">
        <v>1947</v>
      </c>
      <c r="R1052" s="460" t="s">
        <v>1883</v>
      </c>
      <c r="S1052" s="270" t="s">
        <v>1884</v>
      </c>
      <c r="U1052" s="471"/>
      <c r="V1052" s="471"/>
      <c r="W1052" s="516"/>
      <c r="X1052" s="471"/>
      <c r="Y1052" s="206"/>
      <c r="Z1052" s="206"/>
    </row>
    <row r="1053" spans="1:26">
      <c r="A1053" s="406">
        <v>1050</v>
      </c>
      <c r="B1053" s="613" t="s">
        <v>7020</v>
      </c>
      <c r="C1053" s="288" t="s">
        <v>1948</v>
      </c>
      <c r="D1053" s="414" t="s">
        <v>4884</v>
      </c>
      <c r="E1053" s="407" t="s">
        <v>4884</v>
      </c>
      <c r="F1053" s="483"/>
      <c r="G1053" s="483"/>
      <c r="H1053" s="483"/>
      <c r="I1053" s="483"/>
      <c r="J1053" s="483"/>
      <c r="K1053" s="483"/>
      <c r="L1053" s="608" t="s">
        <v>4884</v>
      </c>
      <c r="M1053" s="409" t="s">
        <v>4884</v>
      </c>
      <c r="N1053" s="409" t="s">
        <v>4884</v>
      </c>
      <c r="O1053" s="410" t="s">
        <v>4884</v>
      </c>
      <c r="P1053" s="406">
        <v>1050</v>
      </c>
      <c r="Q1053" s="270" t="s">
        <v>1948</v>
      </c>
      <c r="R1053" s="460" t="s">
        <v>1883</v>
      </c>
      <c r="S1053" s="270" t="s">
        <v>1884</v>
      </c>
      <c r="U1053" s="471"/>
      <c r="V1053" s="471"/>
      <c r="W1053" s="516"/>
      <c r="X1053" s="471"/>
      <c r="Y1053" s="206"/>
      <c r="Z1053" s="206"/>
    </row>
    <row r="1054" spans="1:26">
      <c r="A1054" s="406">
        <v>1051</v>
      </c>
      <c r="B1054" s="613" t="s">
        <v>7020</v>
      </c>
      <c r="C1054" s="288" t="s">
        <v>1949</v>
      </c>
      <c r="D1054" s="414" t="s">
        <v>4884</v>
      </c>
      <c r="E1054" s="407" t="s">
        <v>4884</v>
      </c>
      <c r="F1054" s="483"/>
      <c r="G1054" s="483"/>
      <c r="H1054" s="483"/>
      <c r="I1054" s="483"/>
      <c r="J1054" s="483"/>
      <c r="K1054" s="483"/>
      <c r="L1054" s="608" t="s">
        <v>4884</v>
      </c>
      <c r="M1054" s="409" t="s">
        <v>4884</v>
      </c>
      <c r="N1054" s="409" t="s">
        <v>4884</v>
      </c>
      <c r="O1054" s="410" t="s">
        <v>4884</v>
      </c>
      <c r="P1054" s="406">
        <v>1051</v>
      </c>
      <c r="Q1054" s="270" t="s">
        <v>1949</v>
      </c>
      <c r="R1054" s="460" t="s">
        <v>1883</v>
      </c>
      <c r="S1054" s="270" t="s">
        <v>1884</v>
      </c>
      <c r="U1054" s="471"/>
      <c r="V1054" s="471"/>
      <c r="W1054" s="516"/>
      <c r="X1054" s="471"/>
      <c r="Y1054" s="206"/>
      <c r="Z1054" s="206"/>
    </row>
    <row r="1055" spans="1:26">
      <c r="A1055" s="406">
        <v>1052</v>
      </c>
      <c r="B1055" s="613" t="s">
        <v>7020</v>
      </c>
      <c r="C1055" s="288" t="s">
        <v>1950</v>
      </c>
      <c r="D1055" s="414" t="s">
        <v>4884</v>
      </c>
      <c r="E1055" s="407" t="s">
        <v>4884</v>
      </c>
      <c r="F1055" s="483"/>
      <c r="G1055" s="483"/>
      <c r="H1055" s="483"/>
      <c r="I1055" s="483"/>
      <c r="J1055" s="483"/>
      <c r="K1055" s="483"/>
      <c r="L1055" s="608" t="s">
        <v>4884</v>
      </c>
      <c r="M1055" s="409" t="s">
        <v>4884</v>
      </c>
      <c r="N1055" s="409" t="s">
        <v>4884</v>
      </c>
      <c r="O1055" s="410" t="s">
        <v>4884</v>
      </c>
      <c r="P1055" s="406">
        <v>1052</v>
      </c>
      <c r="Q1055" s="270" t="s">
        <v>1950</v>
      </c>
      <c r="R1055" s="460" t="s">
        <v>1883</v>
      </c>
      <c r="S1055" s="270" t="s">
        <v>1884</v>
      </c>
      <c r="U1055" s="471"/>
      <c r="V1055" s="471"/>
      <c r="W1055" s="516"/>
      <c r="X1055" s="471"/>
      <c r="Y1055" s="206"/>
      <c r="Z1055" s="206"/>
    </row>
    <row r="1056" spans="1:26">
      <c r="A1056" s="406">
        <v>1053</v>
      </c>
      <c r="B1056" s="613" t="s">
        <v>7020</v>
      </c>
      <c r="C1056" s="288" t="s">
        <v>1951</v>
      </c>
      <c r="D1056" s="414" t="s">
        <v>4884</v>
      </c>
      <c r="E1056" s="407" t="s">
        <v>4884</v>
      </c>
      <c r="F1056" s="483"/>
      <c r="G1056" s="483"/>
      <c r="H1056" s="483"/>
      <c r="I1056" s="483"/>
      <c r="J1056" s="483"/>
      <c r="K1056" s="483"/>
      <c r="L1056" s="608" t="s">
        <v>4884</v>
      </c>
      <c r="M1056" s="409" t="s">
        <v>4884</v>
      </c>
      <c r="N1056" s="409" t="s">
        <v>4884</v>
      </c>
      <c r="O1056" s="410" t="s">
        <v>4884</v>
      </c>
      <c r="P1056" s="406">
        <v>1053</v>
      </c>
      <c r="Q1056" s="270" t="s">
        <v>1951</v>
      </c>
      <c r="R1056" s="460" t="s">
        <v>1883</v>
      </c>
      <c r="S1056" s="270" t="s">
        <v>1884</v>
      </c>
      <c r="U1056" s="471"/>
      <c r="V1056" s="471"/>
      <c r="W1056" s="471"/>
      <c r="X1056" s="471"/>
      <c r="Y1056" s="206"/>
      <c r="Z1056" s="206"/>
    </row>
    <row r="1057" spans="1:26">
      <c r="A1057" s="406">
        <v>1054</v>
      </c>
      <c r="B1057" s="613" t="s">
        <v>7020</v>
      </c>
      <c r="C1057" s="288" t="s">
        <v>1952</v>
      </c>
      <c r="D1057" s="414" t="s">
        <v>4884</v>
      </c>
      <c r="E1057" s="407" t="s">
        <v>4884</v>
      </c>
      <c r="F1057" s="483"/>
      <c r="G1057" s="483"/>
      <c r="H1057" s="483"/>
      <c r="I1057" s="483"/>
      <c r="J1057" s="483"/>
      <c r="K1057" s="483"/>
      <c r="L1057" s="608" t="s">
        <v>4884</v>
      </c>
      <c r="M1057" s="409" t="s">
        <v>4884</v>
      </c>
      <c r="N1057" s="409" t="s">
        <v>4884</v>
      </c>
      <c r="O1057" s="410" t="s">
        <v>4884</v>
      </c>
      <c r="P1057" s="406">
        <v>1054</v>
      </c>
      <c r="Q1057" s="270" t="s">
        <v>1952</v>
      </c>
      <c r="R1057" s="460" t="s">
        <v>1883</v>
      </c>
      <c r="S1057" s="270" t="s">
        <v>1884</v>
      </c>
      <c r="U1057" s="471"/>
      <c r="V1057" s="471"/>
      <c r="W1057" s="502"/>
      <c r="X1057" s="471"/>
      <c r="Y1057" s="206"/>
      <c r="Z1057" s="206"/>
    </row>
    <row r="1058" spans="1:26">
      <c r="A1058" s="406">
        <v>1055</v>
      </c>
      <c r="B1058" s="613" t="s">
        <v>7020</v>
      </c>
      <c r="C1058" s="288" t="s">
        <v>1953</v>
      </c>
      <c r="D1058" s="414" t="s">
        <v>4884</v>
      </c>
      <c r="E1058" s="407" t="s">
        <v>4884</v>
      </c>
      <c r="F1058" s="483"/>
      <c r="G1058" s="483"/>
      <c r="H1058" s="483"/>
      <c r="I1058" s="483"/>
      <c r="J1058" s="483"/>
      <c r="K1058" s="483"/>
      <c r="L1058" s="608" t="s">
        <v>4884</v>
      </c>
      <c r="M1058" s="409" t="s">
        <v>4884</v>
      </c>
      <c r="N1058" s="409" t="s">
        <v>4884</v>
      </c>
      <c r="O1058" s="410" t="s">
        <v>4884</v>
      </c>
      <c r="P1058" s="406">
        <v>1055</v>
      </c>
      <c r="Q1058" s="270" t="s">
        <v>1953</v>
      </c>
      <c r="R1058" s="460" t="s">
        <v>1883</v>
      </c>
      <c r="S1058" s="270" t="s">
        <v>1884</v>
      </c>
      <c r="U1058" s="471"/>
      <c r="V1058" s="471"/>
      <c r="W1058" s="502"/>
      <c r="X1058" s="471"/>
      <c r="Y1058" s="206"/>
      <c r="Z1058" s="206"/>
    </row>
    <row r="1059" spans="1:26">
      <c r="A1059" s="406">
        <v>1056</v>
      </c>
      <c r="B1059" s="613" t="s">
        <v>7020</v>
      </c>
      <c r="C1059" s="288" t="s">
        <v>1954</v>
      </c>
      <c r="D1059" s="414" t="s">
        <v>4884</v>
      </c>
      <c r="E1059" s="407" t="s">
        <v>4884</v>
      </c>
      <c r="F1059" s="483"/>
      <c r="G1059" s="483"/>
      <c r="H1059" s="483"/>
      <c r="I1059" s="483"/>
      <c r="J1059" s="483"/>
      <c r="K1059" s="483"/>
      <c r="L1059" s="608" t="s">
        <v>4884</v>
      </c>
      <c r="M1059" s="409" t="s">
        <v>4884</v>
      </c>
      <c r="N1059" s="409" t="s">
        <v>4884</v>
      </c>
      <c r="O1059" s="410" t="s">
        <v>4884</v>
      </c>
      <c r="P1059" s="406">
        <v>1056</v>
      </c>
      <c r="Q1059" s="270" t="s">
        <v>1954</v>
      </c>
      <c r="R1059" s="460" t="s">
        <v>1883</v>
      </c>
      <c r="S1059" s="270" t="s">
        <v>1884</v>
      </c>
      <c r="U1059" s="471"/>
      <c r="V1059" s="471"/>
      <c r="W1059" s="502"/>
      <c r="X1059" s="471"/>
      <c r="Y1059" s="206"/>
      <c r="Z1059" s="206"/>
    </row>
    <row r="1060" spans="1:26">
      <c r="A1060" s="406">
        <v>1057</v>
      </c>
      <c r="B1060" s="613" t="s">
        <v>7020</v>
      </c>
      <c r="C1060" s="288" t="s">
        <v>1955</v>
      </c>
      <c r="D1060" s="414" t="s">
        <v>4884</v>
      </c>
      <c r="E1060" s="407" t="s">
        <v>4884</v>
      </c>
      <c r="F1060" s="483"/>
      <c r="G1060" s="483"/>
      <c r="H1060" s="483"/>
      <c r="I1060" s="483"/>
      <c r="J1060" s="483"/>
      <c r="K1060" s="483"/>
      <c r="L1060" s="608" t="s">
        <v>4884</v>
      </c>
      <c r="M1060" s="409" t="s">
        <v>4884</v>
      </c>
      <c r="N1060" s="409" t="s">
        <v>4884</v>
      </c>
      <c r="O1060" s="410" t="s">
        <v>4884</v>
      </c>
      <c r="P1060" s="406">
        <v>1057</v>
      </c>
      <c r="Q1060" s="270" t="s">
        <v>1955</v>
      </c>
      <c r="R1060" s="460" t="s">
        <v>1883</v>
      </c>
      <c r="S1060" s="270" t="s">
        <v>1884</v>
      </c>
      <c r="U1060" s="471"/>
      <c r="V1060" s="471"/>
      <c r="W1060" s="502"/>
      <c r="X1060" s="471"/>
      <c r="Y1060" s="206"/>
      <c r="Z1060" s="206"/>
    </row>
    <row r="1061" spans="1:26">
      <c r="A1061" s="406">
        <v>1058</v>
      </c>
      <c r="B1061" s="613" t="s">
        <v>7020</v>
      </c>
      <c r="C1061" s="288" t="s">
        <v>1956</v>
      </c>
      <c r="D1061" s="414" t="s">
        <v>4884</v>
      </c>
      <c r="E1061" s="407" t="s">
        <v>4884</v>
      </c>
      <c r="F1061" s="483"/>
      <c r="G1061" s="483"/>
      <c r="H1061" s="483"/>
      <c r="I1061" s="483"/>
      <c r="J1061" s="483"/>
      <c r="K1061" s="483"/>
      <c r="L1061" s="608" t="s">
        <v>4884</v>
      </c>
      <c r="M1061" s="409" t="s">
        <v>4884</v>
      </c>
      <c r="N1061" s="409" t="s">
        <v>4884</v>
      </c>
      <c r="O1061" s="410" t="s">
        <v>4884</v>
      </c>
      <c r="P1061" s="406">
        <v>1058</v>
      </c>
      <c r="Q1061" s="270" t="s">
        <v>1956</v>
      </c>
      <c r="R1061" s="460" t="s">
        <v>1883</v>
      </c>
      <c r="S1061" s="270" t="s">
        <v>1884</v>
      </c>
      <c r="U1061" s="471"/>
      <c r="V1061" s="471"/>
      <c r="W1061" s="502"/>
      <c r="X1061" s="471"/>
      <c r="Y1061" s="206"/>
      <c r="Z1061" s="206"/>
    </row>
    <row r="1062" spans="1:26">
      <c r="A1062" s="406">
        <v>1059</v>
      </c>
      <c r="B1062" s="613" t="s">
        <v>7020</v>
      </c>
      <c r="C1062" s="288" t="s">
        <v>1957</v>
      </c>
      <c r="D1062" s="414" t="s">
        <v>4884</v>
      </c>
      <c r="E1062" s="407" t="s">
        <v>4884</v>
      </c>
      <c r="F1062" s="483"/>
      <c r="G1062" s="483"/>
      <c r="H1062" s="483"/>
      <c r="I1062" s="483"/>
      <c r="J1062" s="483"/>
      <c r="K1062" s="483"/>
      <c r="L1062" s="608" t="s">
        <v>4884</v>
      </c>
      <c r="M1062" s="409" t="s">
        <v>4884</v>
      </c>
      <c r="N1062" s="409" t="s">
        <v>4884</v>
      </c>
      <c r="O1062" s="410" t="s">
        <v>4884</v>
      </c>
      <c r="P1062" s="406">
        <v>1059</v>
      </c>
      <c r="Q1062" s="270" t="s">
        <v>1957</v>
      </c>
      <c r="R1062" s="460" t="s">
        <v>1883</v>
      </c>
      <c r="S1062" s="270" t="s">
        <v>1884</v>
      </c>
      <c r="U1062" s="471"/>
      <c r="V1062" s="471"/>
      <c r="W1062" s="502"/>
      <c r="X1062" s="471"/>
      <c r="Y1062" s="206"/>
      <c r="Z1062" s="206"/>
    </row>
    <row r="1063" spans="1:26">
      <c r="A1063" s="406">
        <v>1060</v>
      </c>
      <c r="B1063" s="613" t="s">
        <v>7020</v>
      </c>
      <c r="C1063" s="288" t="s">
        <v>1958</v>
      </c>
      <c r="D1063" s="414" t="s">
        <v>4884</v>
      </c>
      <c r="E1063" s="407" t="s">
        <v>4884</v>
      </c>
      <c r="F1063" s="483"/>
      <c r="G1063" s="483"/>
      <c r="H1063" s="483"/>
      <c r="I1063" s="483"/>
      <c r="J1063" s="483"/>
      <c r="K1063" s="483"/>
      <c r="L1063" s="608" t="s">
        <v>4884</v>
      </c>
      <c r="M1063" s="409" t="s">
        <v>4884</v>
      </c>
      <c r="N1063" s="409" t="s">
        <v>4884</v>
      </c>
      <c r="O1063" s="410" t="s">
        <v>4884</v>
      </c>
      <c r="P1063" s="406">
        <v>1060</v>
      </c>
      <c r="Q1063" s="270" t="s">
        <v>1958</v>
      </c>
      <c r="R1063" s="460" t="s">
        <v>1883</v>
      </c>
      <c r="S1063" s="270" t="s">
        <v>1884</v>
      </c>
      <c r="U1063" s="471"/>
      <c r="V1063" s="471"/>
      <c r="W1063" s="517"/>
      <c r="X1063" s="471"/>
      <c r="Y1063" s="206"/>
      <c r="Z1063" s="206"/>
    </row>
    <row r="1064" spans="1:26">
      <c r="A1064" s="406">
        <v>1061</v>
      </c>
      <c r="B1064" s="613" t="s">
        <v>7020</v>
      </c>
      <c r="C1064" s="288" t="s">
        <v>1959</v>
      </c>
      <c r="D1064" s="414" t="s">
        <v>4884</v>
      </c>
      <c r="E1064" s="407" t="s">
        <v>4884</v>
      </c>
      <c r="F1064" s="483"/>
      <c r="G1064" s="483"/>
      <c r="H1064" s="483"/>
      <c r="I1064" s="483"/>
      <c r="J1064" s="483"/>
      <c r="K1064" s="483"/>
      <c r="L1064" s="608" t="s">
        <v>4884</v>
      </c>
      <c r="M1064" s="409" t="s">
        <v>4884</v>
      </c>
      <c r="N1064" s="409" t="s">
        <v>4884</v>
      </c>
      <c r="O1064" s="410" t="s">
        <v>4884</v>
      </c>
      <c r="P1064" s="406">
        <v>1061</v>
      </c>
      <c r="Q1064" s="270" t="s">
        <v>1959</v>
      </c>
      <c r="R1064" s="460" t="s">
        <v>1883</v>
      </c>
      <c r="S1064" s="270" t="s">
        <v>1884</v>
      </c>
      <c r="U1064" s="471"/>
      <c r="V1064" s="471"/>
      <c r="W1064" s="517"/>
      <c r="X1064" s="471"/>
      <c r="Y1064" s="206"/>
      <c r="Z1064" s="206"/>
    </row>
    <row r="1065" spans="1:26">
      <c r="A1065" s="406">
        <v>1062</v>
      </c>
      <c r="B1065" s="613" t="s">
        <v>7020</v>
      </c>
      <c r="C1065" s="288" t="s">
        <v>1960</v>
      </c>
      <c r="D1065" s="414" t="s">
        <v>4884</v>
      </c>
      <c r="E1065" s="407" t="s">
        <v>4884</v>
      </c>
      <c r="F1065" s="483"/>
      <c r="G1065" s="483"/>
      <c r="H1065" s="483"/>
      <c r="I1065" s="483"/>
      <c r="J1065" s="483"/>
      <c r="K1065" s="483"/>
      <c r="L1065" s="608" t="s">
        <v>4884</v>
      </c>
      <c r="M1065" s="409" t="s">
        <v>4884</v>
      </c>
      <c r="N1065" s="409" t="s">
        <v>4884</v>
      </c>
      <c r="O1065" s="410" t="s">
        <v>4884</v>
      </c>
      <c r="P1065" s="406">
        <v>1062</v>
      </c>
      <c r="Q1065" s="270" t="s">
        <v>1960</v>
      </c>
      <c r="R1065" s="460" t="s">
        <v>1883</v>
      </c>
      <c r="S1065" s="270" t="s">
        <v>1884</v>
      </c>
      <c r="U1065" s="471"/>
      <c r="V1065" s="471"/>
      <c r="W1065" s="518"/>
      <c r="X1065" s="471"/>
      <c r="Y1065" s="206"/>
      <c r="Z1065" s="206"/>
    </row>
    <row r="1066" spans="1:26">
      <c r="A1066" s="406">
        <v>1063</v>
      </c>
      <c r="B1066" s="613" t="s">
        <v>7020</v>
      </c>
      <c r="C1066" s="288" t="s">
        <v>1961</v>
      </c>
      <c r="D1066" s="414" t="s">
        <v>4884</v>
      </c>
      <c r="E1066" s="407" t="s">
        <v>4884</v>
      </c>
      <c r="F1066" s="483"/>
      <c r="G1066" s="483"/>
      <c r="H1066" s="483"/>
      <c r="I1066" s="483"/>
      <c r="J1066" s="483"/>
      <c r="K1066" s="483"/>
      <c r="L1066" s="608" t="s">
        <v>4884</v>
      </c>
      <c r="M1066" s="409" t="s">
        <v>4884</v>
      </c>
      <c r="N1066" s="409" t="s">
        <v>4884</v>
      </c>
      <c r="O1066" s="410" t="s">
        <v>4884</v>
      </c>
      <c r="P1066" s="406">
        <v>1063</v>
      </c>
      <c r="Q1066" s="270" t="s">
        <v>1961</v>
      </c>
      <c r="R1066" s="460" t="s">
        <v>1883</v>
      </c>
      <c r="S1066" s="270" t="s">
        <v>1884</v>
      </c>
      <c r="U1066" s="471"/>
      <c r="V1066" s="471"/>
      <c r="W1066" s="518"/>
      <c r="X1066" s="471"/>
      <c r="Y1066" s="206"/>
      <c r="Z1066" s="206"/>
    </row>
    <row r="1067" spans="1:26">
      <c r="A1067" s="406">
        <v>1064</v>
      </c>
      <c r="B1067" s="613" t="s">
        <v>7020</v>
      </c>
      <c r="C1067" s="288" t="s">
        <v>1962</v>
      </c>
      <c r="D1067" s="414" t="s">
        <v>4884</v>
      </c>
      <c r="E1067" s="407" t="s">
        <v>4884</v>
      </c>
      <c r="F1067" s="483"/>
      <c r="G1067" s="483"/>
      <c r="H1067" s="483"/>
      <c r="I1067" s="483"/>
      <c r="J1067" s="483"/>
      <c r="K1067" s="483"/>
      <c r="L1067" s="608" t="s">
        <v>4884</v>
      </c>
      <c r="M1067" s="409" t="s">
        <v>4884</v>
      </c>
      <c r="N1067" s="409" t="s">
        <v>4884</v>
      </c>
      <c r="O1067" s="410" t="s">
        <v>4884</v>
      </c>
      <c r="P1067" s="406">
        <v>1064</v>
      </c>
      <c r="Q1067" s="270" t="s">
        <v>1962</v>
      </c>
      <c r="R1067" s="460" t="s">
        <v>1883</v>
      </c>
      <c r="S1067" s="270" t="s">
        <v>1884</v>
      </c>
      <c r="U1067" s="471"/>
      <c r="V1067" s="471"/>
      <c r="W1067" s="519"/>
      <c r="X1067" s="471"/>
      <c r="Y1067" s="206"/>
      <c r="Z1067" s="206"/>
    </row>
    <row r="1068" spans="1:26">
      <c r="A1068" s="406">
        <v>1065</v>
      </c>
      <c r="B1068" s="613" t="s">
        <v>7020</v>
      </c>
      <c r="C1068" s="288" t="s">
        <v>1963</v>
      </c>
      <c r="D1068" s="414" t="s">
        <v>4884</v>
      </c>
      <c r="E1068" s="407" t="s">
        <v>4884</v>
      </c>
      <c r="F1068" s="483"/>
      <c r="G1068" s="483"/>
      <c r="H1068" s="483"/>
      <c r="I1068" s="483"/>
      <c r="J1068" s="483"/>
      <c r="K1068" s="483"/>
      <c r="L1068" s="608" t="s">
        <v>4884</v>
      </c>
      <c r="M1068" s="409" t="s">
        <v>4884</v>
      </c>
      <c r="N1068" s="409" t="s">
        <v>4884</v>
      </c>
      <c r="O1068" s="410" t="s">
        <v>4884</v>
      </c>
      <c r="P1068" s="406">
        <v>1065</v>
      </c>
      <c r="Q1068" s="270" t="s">
        <v>1963</v>
      </c>
      <c r="R1068" s="460" t="s">
        <v>1883</v>
      </c>
      <c r="S1068" s="270" t="s">
        <v>1884</v>
      </c>
      <c r="U1068" s="471"/>
      <c r="V1068" s="471"/>
      <c r="W1068" s="519"/>
      <c r="X1068" s="471"/>
      <c r="Y1068" s="206"/>
      <c r="Z1068" s="206"/>
    </row>
    <row r="1069" spans="1:26">
      <c r="A1069" s="406">
        <v>1066</v>
      </c>
      <c r="B1069" s="613" t="s">
        <v>7020</v>
      </c>
      <c r="C1069" s="288" t="s">
        <v>1964</v>
      </c>
      <c r="D1069" s="414" t="s">
        <v>4884</v>
      </c>
      <c r="E1069" s="407" t="s">
        <v>4884</v>
      </c>
      <c r="F1069" s="483"/>
      <c r="G1069" s="483"/>
      <c r="H1069" s="483"/>
      <c r="I1069" s="483"/>
      <c r="J1069" s="483"/>
      <c r="K1069" s="483"/>
      <c r="L1069" s="608" t="s">
        <v>4884</v>
      </c>
      <c r="M1069" s="409" t="s">
        <v>4884</v>
      </c>
      <c r="N1069" s="409" t="s">
        <v>4884</v>
      </c>
      <c r="O1069" s="410" t="s">
        <v>4884</v>
      </c>
      <c r="P1069" s="406">
        <v>1066</v>
      </c>
      <c r="Q1069" s="270" t="s">
        <v>1964</v>
      </c>
      <c r="R1069" s="460" t="s">
        <v>1883</v>
      </c>
      <c r="S1069" s="270" t="s">
        <v>1884</v>
      </c>
      <c r="U1069" s="471"/>
      <c r="V1069" s="471"/>
      <c r="W1069" s="499"/>
      <c r="X1069" s="471"/>
      <c r="Y1069" s="206"/>
      <c r="Z1069" s="206"/>
    </row>
    <row r="1070" spans="1:26">
      <c r="A1070" s="406">
        <v>1067</v>
      </c>
      <c r="B1070" s="613" t="s">
        <v>7020</v>
      </c>
      <c r="C1070" s="288" t="s">
        <v>1965</v>
      </c>
      <c r="D1070" s="414" t="s">
        <v>4884</v>
      </c>
      <c r="E1070" s="407" t="s">
        <v>4884</v>
      </c>
      <c r="F1070" s="483"/>
      <c r="G1070" s="483"/>
      <c r="H1070" s="483"/>
      <c r="I1070" s="483"/>
      <c r="J1070" s="483"/>
      <c r="K1070" s="483"/>
      <c r="L1070" s="608" t="s">
        <v>4884</v>
      </c>
      <c r="M1070" s="409" t="s">
        <v>4884</v>
      </c>
      <c r="N1070" s="409" t="s">
        <v>4884</v>
      </c>
      <c r="O1070" s="410" t="s">
        <v>4884</v>
      </c>
      <c r="P1070" s="406">
        <v>1067</v>
      </c>
      <c r="Q1070" s="270" t="s">
        <v>1965</v>
      </c>
      <c r="R1070" s="460" t="s">
        <v>1883</v>
      </c>
      <c r="S1070" s="270" t="s">
        <v>1884</v>
      </c>
      <c r="U1070" s="471"/>
      <c r="V1070" s="471"/>
      <c r="W1070" s="499"/>
      <c r="X1070" s="471"/>
      <c r="Y1070" s="206"/>
      <c r="Z1070" s="206"/>
    </row>
    <row r="1071" spans="1:26">
      <c r="A1071" s="406">
        <v>1068</v>
      </c>
      <c r="B1071" s="613" t="s">
        <v>7020</v>
      </c>
      <c r="C1071" s="288" t="s">
        <v>1966</v>
      </c>
      <c r="D1071" s="414" t="s">
        <v>4884</v>
      </c>
      <c r="E1071" s="407" t="s">
        <v>4884</v>
      </c>
      <c r="F1071" s="483"/>
      <c r="G1071" s="483"/>
      <c r="H1071" s="483"/>
      <c r="I1071" s="483"/>
      <c r="J1071" s="483"/>
      <c r="K1071" s="483"/>
      <c r="L1071" s="608" t="s">
        <v>4884</v>
      </c>
      <c r="M1071" s="409" t="s">
        <v>4884</v>
      </c>
      <c r="N1071" s="409" t="s">
        <v>4884</v>
      </c>
      <c r="O1071" s="410" t="s">
        <v>4884</v>
      </c>
      <c r="P1071" s="406">
        <v>1068</v>
      </c>
      <c r="Q1071" s="270" t="s">
        <v>1966</v>
      </c>
      <c r="R1071" s="460" t="s">
        <v>1883</v>
      </c>
      <c r="S1071" s="270" t="s">
        <v>1884</v>
      </c>
      <c r="U1071" s="471"/>
      <c r="V1071" s="471"/>
      <c r="W1071" s="499"/>
      <c r="X1071" s="471"/>
      <c r="Y1071" s="206"/>
      <c r="Z1071" s="206"/>
    </row>
    <row r="1072" spans="1:26">
      <c r="A1072" s="406">
        <v>1069</v>
      </c>
      <c r="B1072" s="613" t="s">
        <v>7020</v>
      </c>
      <c r="C1072" s="288" t="s">
        <v>1967</v>
      </c>
      <c r="D1072" s="414" t="s">
        <v>4884</v>
      </c>
      <c r="E1072" s="407" t="s">
        <v>4884</v>
      </c>
      <c r="F1072" s="483"/>
      <c r="G1072" s="483"/>
      <c r="H1072" s="483"/>
      <c r="I1072" s="483"/>
      <c r="J1072" s="483"/>
      <c r="K1072" s="483"/>
      <c r="L1072" s="608" t="s">
        <v>4884</v>
      </c>
      <c r="M1072" s="409" t="s">
        <v>4884</v>
      </c>
      <c r="N1072" s="409" t="s">
        <v>4884</v>
      </c>
      <c r="O1072" s="410" t="s">
        <v>4884</v>
      </c>
      <c r="P1072" s="406">
        <v>1069</v>
      </c>
      <c r="Q1072" s="270" t="s">
        <v>1967</v>
      </c>
      <c r="R1072" s="460" t="s">
        <v>1883</v>
      </c>
      <c r="S1072" s="270" t="s">
        <v>1884</v>
      </c>
      <c r="U1072" s="471"/>
      <c r="V1072" s="471"/>
      <c r="W1072" s="499"/>
      <c r="X1072" s="471"/>
      <c r="Y1072" s="206"/>
      <c r="Z1072" s="206"/>
    </row>
    <row r="1073" spans="1:26">
      <c r="A1073" s="406">
        <v>1070</v>
      </c>
      <c r="B1073" s="613" t="s">
        <v>7020</v>
      </c>
      <c r="C1073" s="288" t="s">
        <v>1968</v>
      </c>
      <c r="D1073" s="414" t="s">
        <v>4884</v>
      </c>
      <c r="E1073" s="407" t="s">
        <v>4884</v>
      </c>
      <c r="F1073" s="483"/>
      <c r="G1073" s="483"/>
      <c r="H1073" s="483"/>
      <c r="I1073" s="483"/>
      <c r="J1073" s="483"/>
      <c r="K1073" s="483"/>
      <c r="L1073" s="608" t="s">
        <v>4884</v>
      </c>
      <c r="M1073" s="409" t="s">
        <v>4884</v>
      </c>
      <c r="N1073" s="409" t="s">
        <v>4884</v>
      </c>
      <c r="O1073" s="410" t="s">
        <v>4884</v>
      </c>
      <c r="P1073" s="406">
        <v>1070</v>
      </c>
      <c r="Q1073" s="270" t="s">
        <v>1968</v>
      </c>
      <c r="R1073" s="460" t="s">
        <v>1883</v>
      </c>
      <c r="S1073" s="270" t="s">
        <v>1884</v>
      </c>
      <c r="U1073" s="471"/>
      <c r="V1073" s="471"/>
      <c r="W1073" s="499"/>
      <c r="X1073" s="471"/>
      <c r="Y1073" s="206"/>
      <c r="Z1073" s="206"/>
    </row>
    <row r="1074" spans="1:26">
      <c r="A1074" s="406">
        <v>1071</v>
      </c>
      <c r="B1074" s="613" t="s">
        <v>7020</v>
      </c>
      <c r="C1074" s="288" t="s">
        <v>1969</v>
      </c>
      <c r="D1074" s="414" t="s">
        <v>4884</v>
      </c>
      <c r="E1074" s="407" t="s">
        <v>4884</v>
      </c>
      <c r="F1074" s="483"/>
      <c r="G1074" s="483"/>
      <c r="H1074" s="483"/>
      <c r="I1074" s="483"/>
      <c r="J1074" s="483"/>
      <c r="K1074" s="483"/>
      <c r="L1074" s="608" t="s">
        <v>4884</v>
      </c>
      <c r="M1074" s="409" t="s">
        <v>4884</v>
      </c>
      <c r="N1074" s="409" t="s">
        <v>4884</v>
      </c>
      <c r="O1074" s="410" t="s">
        <v>4884</v>
      </c>
      <c r="P1074" s="406">
        <v>1071</v>
      </c>
      <c r="Q1074" s="270" t="s">
        <v>1969</v>
      </c>
      <c r="R1074" s="460" t="s">
        <v>1883</v>
      </c>
      <c r="S1074" s="270" t="s">
        <v>1884</v>
      </c>
      <c r="U1074" s="471"/>
      <c r="V1074" s="471"/>
      <c r="W1074" s="499"/>
      <c r="X1074" s="471"/>
      <c r="Y1074" s="206"/>
      <c r="Z1074" s="206"/>
    </row>
    <row r="1075" spans="1:26">
      <c r="A1075" s="406">
        <v>1072</v>
      </c>
      <c r="B1075" s="613" t="s">
        <v>7020</v>
      </c>
      <c r="C1075" s="288" t="s">
        <v>1970</v>
      </c>
      <c r="D1075" s="414" t="s">
        <v>4884</v>
      </c>
      <c r="E1075" s="407" t="s">
        <v>4884</v>
      </c>
      <c r="F1075" s="483"/>
      <c r="G1075" s="483"/>
      <c r="H1075" s="483"/>
      <c r="I1075" s="483"/>
      <c r="J1075" s="483"/>
      <c r="K1075" s="483"/>
      <c r="L1075" s="608" t="s">
        <v>4884</v>
      </c>
      <c r="M1075" s="409" t="s">
        <v>4884</v>
      </c>
      <c r="N1075" s="409" t="s">
        <v>4884</v>
      </c>
      <c r="O1075" s="410" t="s">
        <v>4884</v>
      </c>
      <c r="P1075" s="406">
        <v>1072</v>
      </c>
      <c r="Q1075" s="270" t="s">
        <v>1970</v>
      </c>
      <c r="R1075" s="460" t="s">
        <v>1883</v>
      </c>
      <c r="S1075" s="270" t="s">
        <v>1884</v>
      </c>
      <c r="U1075" s="471"/>
      <c r="V1075" s="471"/>
      <c r="W1075" s="499"/>
      <c r="X1075" s="471"/>
      <c r="Y1075" s="206"/>
      <c r="Z1075" s="206"/>
    </row>
    <row r="1076" spans="1:26">
      <c r="A1076" s="406">
        <v>1073</v>
      </c>
      <c r="B1076" s="613" t="s">
        <v>7020</v>
      </c>
      <c r="C1076" s="288" t="s">
        <v>1971</v>
      </c>
      <c r="D1076" s="414" t="s">
        <v>4884</v>
      </c>
      <c r="E1076" s="407" t="s">
        <v>4884</v>
      </c>
      <c r="F1076" s="483"/>
      <c r="G1076" s="483"/>
      <c r="H1076" s="483"/>
      <c r="I1076" s="483"/>
      <c r="J1076" s="483"/>
      <c r="K1076" s="483"/>
      <c r="L1076" s="608" t="s">
        <v>4884</v>
      </c>
      <c r="M1076" s="409" t="s">
        <v>4884</v>
      </c>
      <c r="N1076" s="409" t="s">
        <v>4884</v>
      </c>
      <c r="O1076" s="410" t="s">
        <v>4884</v>
      </c>
      <c r="P1076" s="406">
        <v>1073</v>
      </c>
      <c r="Q1076" s="270" t="s">
        <v>1971</v>
      </c>
      <c r="R1076" s="460" t="s">
        <v>1883</v>
      </c>
      <c r="S1076" s="270" t="s">
        <v>1884</v>
      </c>
      <c r="U1076" s="471"/>
      <c r="V1076" s="471"/>
      <c r="W1076" s="499"/>
      <c r="X1076" s="471"/>
      <c r="Y1076" s="206"/>
      <c r="Z1076" s="206"/>
    </row>
    <row r="1077" spans="1:26">
      <c r="A1077" s="406">
        <v>1074</v>
      </c>
      <c r="B1077" s="613" t="s">
        <v>7020</v>
      </c>
      <c r="C1077" s="288" t="s">
        <v>1972</v>
      </c>
      <c r="D1077" s="414" t="s">
        <v>4884</v>
      </c>
      <c r="E1077" s="407" t="s">
        <v>4884</v>
      </c>
      <c r="F1077" s="483"/>
      <c r="G1077" s="483"/>
      <c r="H1077" s="483"/>
      <c r="I1077" s="483"/>
      <c r="J1077" s="483"/>
      <c r="K1077" s="483"/>
      <c r="L1077" s="608" t="s">
        <v>4884</v>
      </c>
      <c r="M1077" s="409" t="s">
        <v>4884</v>
      </c>
      <c r="N1077" s="409" t="s">
        <v>4884</v>
      </c>
      <c r="O1077" s="410" t="s">
        <v>4884</v>
      </c>
      <c r="P1077" s="406">
        <v>1074</v>
      </c>
      <c r="Q1077" s="270" t="s">
        <v>1972</v>
      </c>
      <c r="R1077" s="460" t="s">
        <v>1883</v>
      </c>
      <c r="S1077" s="270" t="s">
        <v>1884</v>
      </c>
      <c r="U1077" s="471"/>
      <c r="V1077" s="471"/>
      <c r="W1077" s="499"/>
      <c r="X1077" s="471"/>
      <c r="Y1077" s="206"/>
      <c r="Z1077" s="206"/>
    </row>
    <row r="1078" spans="1:26">
      <c r="A1078" s="406">
        <v>1075</v>
      </c>
      <c r="B1078" s="613" t="s">
        <v>7020</v>
      </c>
      <c r="C1078" s="288" t="s">
        <v>1973</v>
      </c>
      <c r="D1078" s="414" t="s">
        <v>4884</v>
      </c>
      <c r="E1078" s="407" t="s">
        <v>4884</v>
      </c>
      <c r="F1078" s="483"/>
      <c r="G1078" s="483"/>
      <c r="H1078" s="483"/>
      <c r="I1078" s="483"/>
      <c r="J1078" s="483"/>
      <c r="K1078" s="483"/>
      <c r="L1078" s="608" t="s">
        <v>4884</v>
      </c>
      <c r="M1078" s="409" t="s">
        <v>4884</v>
      </c>
      <c r="N1078" s="409" t="s">
        <v>4884</v>
      </c>
      <c r="O1078" s="410" t="s">
        <v>4884</v>
      </c>
      <c r="P1078" s="406">
        <v>1075</v>
      </c>
      <c r="Q1078" s="270" t="s">
        <v>1973</v>
      </c>
      <c r="R1078" s="460" t="s">
        <v>1883</v>
      </c>
      <c r="S1078" s="270" t="s">
        <v>1884</v>
      </c>
      <c r="U1078" s="471"/>
      <c r="V1078" s="471"/>
      <c r="W1078" s="499"/>
      <c r="X1078" s="471"/>
      <c r="Y1078" s="206"/>
      <c r="Z1078" s="206"/>
    </row>
    <row r="1079" spans="1:26">
      <c r="A1079" s="406">
        <v>1076</v>
      </c>
      <c r="B1079" s="613" t="s">
        <v>7020</v>
      </c>
      <c r="C1079" s="288" t="s">
        <v>1974</v>
      </c>
      <c r="D1079" s="414" t="s">
        <v>4884</v>
      </c>
      <c r="E1079" s="407" t="s">
        <v>4884</v>
      </c>
      <c r="F1079" s="483"/>
      <c r="G1079" s="483"/>
      <c r="H1079" s="483"/>
      <c r="I1079" s="483"/>
      <c r="J1079" s="483"/>
      <c r="K1079" s="483"/>
      <c r="L1079" s="608" t="s">
        <v>4884</v>
      </c>
      <c r="M1079" s="409" t="s">
        <v>4884</v>
      </c>
      <c r="N1079" s="409" t="s">
        <v>4884</v>
      </c>
      <c r="O1079" s="410" t="s">
        <v>4884</v>
      </c>
      <c r="P1079" s="406">
        <v>1076</v>
      </c>
      <c r="Q1079" s="270" t="s">
        <v>1974</v>
      </c>
      <c r="R1079" s="460" t="s">
        <v>1883</v>
      </c>
      <c r="S1079" s="270" t="s">
        <v>1884</v>
      </c>
      <c r="U1079" s="471"/>
      <c r="V1079" s="471"/>
      <c r="W1079" s="520"/>
      <c r="X1079" s="471"/>
      <c r="Y1079" s="206"/>
      <c r="Z1079" s="206"/>
    </row>
    <row r="1080" spans="1:26">
      <c r="A1080" s="406">
        <v>1077</v>
      </c>
      <c r="B1080" s="613" t="s">
        <v>7020</v>
      </c>
      <c r="C1080" s="288" t="s">
        <v>1975</v>
      </c>
      <c r="D1080" s="414" t="s">
        <v>4884</v>
      </c>
      <c r="E1080" s="407" t="s">
        <v>4884</v>
      </c>
      <c r="F1080" s="483"/>
      <c r="G1080" s="483"/>
      <c r="H1080" s="483"/>
      <c r="I1080" s="483"/>
      <c r="J1080" s="483"/>
      <c r="K1080" s="483"/>
      <c r="L1080" s="608" t="s">
        <v>4884</v>
      </c>
      <c r="M1080" s="409" t="s">
        <v>4884</v>
      </c>
      <c r="N1080" s="409" t="s">
        <v>4884</v>
      </c>
      <c r="O1080" s="410" t="s">
        <v>4884</v>
      </c>
      <c r="P1080" s="406">
        <v>1077</v>
      </c>
      <c r="Q1080" s="270" t="s">
        <v>1975</v>
      </c>
      <c r="R1080" s="460" t="s">
        <v>1883</v>
      </c>
      <c r="S1080" s="270" t="s">
        <v>1884</v>
      </c>
      <c r="U1080" s="471"/>
      <c r="V1080" s="471"/>
      <c r="W1080" s="520"/>
      <c r="X1080" s="471"/>
      <c r="Y1080" s="206"/>
      <c r="Z1080" s="206"/>
    </row>
    <row r="1081" spans="1:26">
      <c r="A1081" s="406">
        <v>1078</v>
      </c>
      <c r="B1081" s="613" t="s">
        <v>7020</v>
      </c>
      <c r="C1081" s="288" t="s">
        <v>1976</v>
      </c>
      <c r="D1081" s="414" t="s">
        <v>4884</v>
      </c>
      <c r="E1081" s="407" t="s">
        <v>4884</v>
      </c>
      <c r="F1081" s="483"/>
      <c r="G1081" s="483"/>
      <c r="H1081" s="483"/>
      <c r="I1081" s="483"/>
      <c r="J1081" s="483"/>
      <c r="K1081" s="483"/>
      <c r="L1081" s="608" t="s">
        <v>4884</v>
      </c>
      <c r="M1081" s="409" t="s">
        <v>4884</v>
      </c>
      <c r="N1081" s="409" t="s">
        <v>4884</v>
      </c>
      <c r="O1081" s="410" t="s">
        <v>4884</v>
      </c>
      <c r="P1081" s="406">
        <v>1078</v>
      </c>
      <c r="Q1081" s="270" t="s">
        <v>1976</v>
      </c>
      <c r="R1081" s="460" t="s">
        <v>1883</v>
      </c>
      <c r="S1081" s="270" t="s">
        <v>1884</v>
      </c>
      <c r="U1081" s="471"/>
      <c r="V1081" s="471"/>
      <c r="W1081" s="499"/>
      <c r="X1081" s="471"/>
      <c r="Y1081" s="206"/>
      <c r="Z1081" s="206"/>
    </row>
    <row r="1082" spans="1:26">
      <c r="A1082" s="406">
        <v>1079</v>
      </c>
      <c r="B1082" s="613" t="s">
        <v>7020</v>
      </c>
      <c r="C1082" s="288" t="s">
        <v>1977</v>
      </c>
      <c r="D1082" s="414" t="s">
        <v>4884</v>
      </c>
      <c r="E1082" s="407" t="s">
        <v>4884</v>
      </c>
      <c r="F1082" s="483"/>
      <c r="G1082" s="483"/>
      <c r="H1082" s="483"/>
      <c r="I1082" s="483"/>
      <c r="J1082" s="483"/>
      <c r="K1082" s="483"/>
      <c r="L1082" s="608" t="s">
        <v>4884</v>
      </c>
      <c r="M1082" s="409" t="s">
        <v>4884</v>
      </c>
      <c r="N1082" s="409" t="s">
        <v>4884</v>
      </c>
      <c r="O1082" s="410" t="s">
        <v>4884</v>
      </c>
      <c r="P1082" s="406">
        <v>1079</v>
      </c>
      <c r="Q1082" s="270" t="s">
        <v>1977</v>
      </c>
      <c r="R1082" s="460" t="s">
        <v>1883</v>
      </c>
      <c r="S1082" s="270" t="s">
        <v>1884</v>
      </c>
      <c r="U1082" s="471"/>
      <c r="V1082" s="471"/>
      <c r="W1082" s="499"/>
      <c r="X1082" s="471"/>
      <c r="Y1082" s="206"/>
      <c r="Z1082" s="206"/>
    </row>
    <row r="1083" spans="1:26">
      <c r="A1083" s="406">
        <v>1080</v>
      </c>
      <c r="B1083" s="613" t="s">
        <v>7020</v>
      </c>
      <c r="C1083" s="288" t="s">
        <v>1978</v>
      </c>
      <c r="D1083" s="414" t="s">
        <v>4884</v>
      </c>
      <c r="E1083" s="407" t="s">
        <v>4884</v>
      </c>
      <c r="F1083" s="483"/>
      <c r="G1083" s="483"/>
      <c r="H1083" s="483"/>
      <c r="I1083" s="483"/>
      <c r="J1083" s="483"/>
      <c r="K1083" s="483"/>
      <c r="L1083" s="608" t="s">
        <v>4884</v>
      </c>
      <c r="M1083" s="409" t="s">
        <v>4884</v>
      </c>
      <c r="N1083" s="409" t="s">
        <v>4884</v>
      </c>
      <c r="O1083" s="410" t="s">
        <v>4884</v>
      </c>
      <c r="P1083" s="406">
        <v>1080</v>
      </c>
      <c r="Q1083" s="270" t="s">
        <v>1978</v>
      </c>
      <c r="R1083" s="460" t="s">
        <v>1883</v>
      </c>
      <c r="S1083" s="270" t="s">
        <v>1884</v>
      </c>
      <c r="U1083" s="471"/>
      <c r="V1083" s="471"/>
      <c r="W1083" s="519"/>
      <c r="X1083" s="471"/>
      <c r="Y1083" s="206"/>
      <c r="Z1083" s="206"/>
    </row>
    <row r="1084" spans="1:26">
      <c r="A1084" s="406">
        <v>1081</v>
      </c>
      <c r="B1084" s="613" t="s">
        <v>7020</v>
      </c>
      <c r="C1084" s="288" t="s">
        <v>1979</v>
      </c>
      <c r="D1084" s="414" t="s">
        <v>4884</v>
      </c>
      <c r="E1084" s="407" t="s">
        <v>4884</v>
      </c>
      <c r="F1084" s="483"/>
      <c r="G1084" s="483"/>
      <c r="H1084" s="483"/>
      <c r="I1084" s="483"/>
      <c r="J1084" s="483"/>
      <c r="K1084" s="483"/>
      <c r="L1084" s="608" t="s">
        <v>4884</v>
      </c>
      <c r="M1084" s="409" t="s">
        <v>4884</v>
      </c>
      <c r="N1084" s="409" t="s">
        <v>4884</v>
      </c>
      <c r="O1084" s="410" t="s">
        <v>4884</v>
      </c>
      <c r="P1084" s="406">
        <v>1081</v>
      </c>
      <c r="Q1084" s="270" t="s">
        <v>1979</v>
      </c>
      <c r="R1084" s="460" t="s">
        <v>1883</v>
      </c>
      <c r="S1084" s="270" t="s">
        <v>1884</v>
      </c>
      <c r="U1084" s="471"/>
      <c r="V1084" s="471"/>
      <c r="W1084" s="519"/>
      <c r="X1084" s="471"/>
      <c r="Y1084" s="206"/>
      <c r="Z1084" s="206"/>
    </row>
    <row r="1085" spans="1:26">
      <c r="A1085" s="406">
        <v>1082</v>
      </c>
      <c r="B1085" s="613" t="s">
        <v>7020</v>
      </c>
      <c r="C1085" s="288" t="s">
        <v>1980</v>
      </c>
      <c r="D1085" s="414" t="s">
        <v>4884</v>
      </c>
      <c r="E1085" s="407" t="s">
        <v>4884</v>
      </c>
      <c r="F1085" s="483"/>
      <c r="G1085" s="483"/>
      <c r="H1085" s="483"/>
      <c r="I1085" s="483"/>
      <c r="J1085" s="483"/>
      <c r="K1085" s="483"/>
      <c r="L1085" s="608" t="s">
        <v>4884</v>
      </c>
      <c r="M1085" s="409" t="s">
        <v>4884</v>
      </c>
      <c r="N1085" s="409" t="s">
        <v>4884</v>
      </c>
      <c r="O1085" s="410" t="s">
        <v>4884</v>
      </c>
      <c r="P1085" s="406">
        <v>1082</v>
      </c>
      <c r="Q1085" s="270" t="s">
        <v>1980</v>
      </c>
      <c r="R1085" s="460" t="s">
        <v>1883</v>
      </c>
      <c r="S1085" s="270" t="s">
        <v>1884</v>
      </c>
      <c r="U1085" s="471"/>
      <c r="V1085" s="471"/>
      <c r="W1085" s="502"/>
      <c r="X1085" s="471"/>
      <c r="Y1085" s="206"/>
      <c r="Z1085" s="206"/>
    </row>
    <row r="1086" spans="1:26">
      <c r="A1086" s="406">
        <v>1083</v>
      </c>
      <c r="B1086" s="613" t="s">
        <v>7020</v>
      </c>
      <c r="C1086" s="288" t="s">
        <v>1981</v>
      </c>
      <c r="D1086" s="414" t="s">
        <v>4884</v>
      </c>
      <c r="E1086" s="407" t="s">
        <v>4884</v>
      </c>
      <c r="F1086" s="483"/>
      <c r="G1086" s="483"/>
      <c r="H1086" s="483"/>
      <c r="I1086" s="483"/>
      <c r="J1086" s="483"/>
      <c r="K1086" s="483"/>
      <c r="L1086" s="608" t="s">
        <v>4884</v>
      </c>
      <c r="M1086" s="409" t="s">
        <v>4884</v>
      </c>
      <c r="N1086" s="409" t="s">
        <v>4884</v>
      </c>
      <c r="O1086" s="410" t="s">
        <v>4884</v>
      </c>
      <c r="P1086" s="406">
        <v>1083</v>
      </c>
      <c r="Q1086" s="270" t="s">
        <v>1981</v>
      </c>
      <c r="R1086" s="460" t="s">
        <v>1883</v>
      </c>
      <c r="S1086" s="270" t="s">
        <v>1884</v>
      </c>
      <c r="U1086" s="471"/>
      <c r="V1086" s="471"/>
      <c r="W1086" s="502"/>
      <c r="X1086" s="471"/>
      <c r="Y1086" s="206"/>
      <c r="Z1086" s="206"/>
    </row>
    <row r="1087" spans="1:26">
      <c r="A1087" s="406">
        <v>1084</v>
      </c>
      <c r="B1087" s="613" t="s">
        <v>7020</v>
      </c>
      <c r="C1087" s="288" t="s">
        <v>1982</v>
      </c>
      <c r="D1087" s="414" t="s">
        <v>4884</v>
      </c>
      <c r="E1087" s="407" t="s">
        <v>4884</v>
      </c>
      <c r="F1087" s="483"/>
      <c r="G1087" s="483"/>
      <c r="H1087" s="483"/>
      <c r="I1087" s="483"/>
      <c r="J1087" s="483"/>
      <c r="K1087" s="483"/>
      <c r="L1087" s="608" t="s">
        <v>4884</v>
      </c>
      <c r="M1087" s="409" t="s">
        <v>4884</v>
      </c>
      <c r="N1087" s="409" t="s">
        <v>4884</v>
      </c>
      <c r="O1087" s="410" t="s">
        <v>4884</v>
      </c>
      <c r="P1087" s="406">
        <v>1084</v>
      </c>
      <c r="Q1087" s="270" t="s">
        <v>1982</v>
      </c>
      <c r="R1087" s="460" t="s">
        <v>1883</v>
      </c>
      <c r="S1087" s="270" t="s">
        <v>1884</v>
      </c>
      <c r="U1087" s="471"/>
      <c r="V1087" s="471"/>
      <c r="W1087" s="502"/>
      <c r="X1087" s="471"/>
      <c r="Y1087" s="206"/>
      <c r="Z1087" s="206"/>
    </row>
    <row r="1088" spans="1:26">
      <c r="A1088" s="406">
        <v>1085</v>
      </c>
      <c r="B1088" s="613" t="s">
        <v>7020</v>
      </c>
      <c r="C1088" s="288" t="s">
        <v>1983</v>
      </c>
      <c r="D1088" s="414" t="s">
        <v>4884</v>
      </c>
      <c r="E1088" s="407" t="s">
        <v>4884</v>
      </c>
      <c r="F1088" s="483"/>
      <c r="G1088" s="483"/>
      <c r="H1088" s="483"/>
      <c r="I1088" s="483"/>
      <c r="J1088" s="483"/>
      <c r="K1088" s="483"/>
      <c r="L1088" s="608" t="s">
        <v>4884</v>
      </c>
      <c r="M1088" s="409" t="s">
        <v>4884</v>
      </c>
      <c r="N1088" s="409" t="s">
        <v>4884</v>
      </c>
      <c r="O1088" s="410" t="s">
        <v>4884</v>
      </c>
      <c r="P1088" s="406">
        <v>1085</v>
      </c>
      <c r="Q1088" s="270" t="s">
        <v>1983</v>
      </c>
      <c r="R1088" s="460" t="s">
        <v>1883</v>
      </c>
      <c r="S1088" s="270" t="s">
        <v>1884</v>
      </c>
      <c r="U1088" s="471"/>
      <c r="V1088" s="471"/>
      <c r="W1088" s="502"/>
      <c r="X1088" s="471"/>
      <c r="Y1088" s="206"/>
      <c r="Z1088" s="206"/>
    </row>
    <row r="1089" spans="1:26">
      <c r="A1089" s="406">
        <v>1086</v>
      </c>
      <c r="B1089" s="613" t="s">
        <v>7020</v>
      </c>
      <c r="C1089" s="288" t="s">
        <v>1984</v>
      </c>
      <c r="D1089" s="414" t="s">
        <v>4884</v>
      </c>
      <c r="E1089" s="407" t="s">
        <v>4884</v>
      </c>
      <c r="F1089" s="483"/>
      <c r="G1089" s="483"/>
      <c r="H1089" s="483"/>
      <c r="I1089" s="483"/>
      <c r="J1089" s="483"/>
      <c r="K1089" s="483"/>
      <c r="L1089" s="608" t="s">
        <v>4884</v>
      </c>
      <c r="M1089" s="409" t="s">
        <v>4884</v>
      </c>
      <c r="N1089" s="409" t="s">
        <v>4884</v>
      </c>
      <c r="O1089" s="410" t="s">
        <v>4884</v>
      </c>
      <c r="P1089" s="406">
        <v>1086</v>
      </c>
      <c r="Q1089" s="270" t="s">
        <v>1984</v>
      </c>
      <c r="R1089" s="460" t="s">
        <v>1883</v>
      </c>
      <c r="S1089" s="270" t="s">
        <v>1884</v>
      </c>
      <c r="U1089" s="471"/>
      <c r="V1089" s="471"/>
      <c r="W1089" s="466"/>
      <c r="X1089" s="471"/>
      <c r="Y1089" s="206"/>
      <c r="Z1089" s="206"/>
    </row>
    <row r="1090" spans="1:26">
      <c r="A1090" s="406">
        <v>1087</v>
      </c>
      <c r="B1090" s="613" t="s">
        <v>7020</v>
      </c>
      <c r="C1090" s="288" t="s">
        <v>1985</v>
      </c>
      <c r="D1090" s="414" t="s">
        <v>4884</v>
      </c>
      <c r="E1090" s="407" t="s">
        <v>4884</v>
      </c>
      <c r="F1090" s="483"/>
      <c r="G1090" s="483"/>
      <c r="H1090" s="483"/>
      <c r="I1090" s="483"/>
      <c r="J1090" s="483"/>
      <c r="K1090" s="483"/>
      <c r="L1090" s="608" t="s">
        <v>4884</v>
      </c>
      <c r="M1090" s="409" t="s">
        <v>4884</v>
      </c>
      <c r="N1090" s="409" t="s">
        <v>4884</v>
      </c>
      <c r="O1090" s="410" t="s">
        <v>4884</v>
      </c>
      <c r="P1090" s="406">
        <v>1087</v>
      </c>
      <c r="Q1090" s="270" t="s">
        <v>1985</v>
      </c>
      <c r="R1090" s="460" t="s">
        <v>1883</v>
      </c>
      <c r="S1090" s="270" t="s">
        <v>1884</v>
      </c>
      <c r="U1090" s="471"/>
      <c r="V1090" s="471"/>
      <c r="W1090" s="466"/>
      <c r="X1090" s="471"/>
      <c r="Y1090" s="206"/>
      <c r="Z1090" s="206"/>
    </row>
    <row r="1091" spans="1:26">
      <c r="A1091" s="406">
        <v>1088</v>
      </c>
      <c r="B1091" s="613" t="s">
        <v>7020</v>
      </c>
      <c r="C1091" s="288" t="s">
        <v>1986</v>
      </c>
      <c r="D1091" s="414" t="s">
        <v>4884</v>
      </c>
      <c r="E1091" s="407" t="s">
        <v>4884</v>
      </c>
      <c r="F1091" s="483"/>
      <c r="G1091" s="483"/>
      <c r="H1091" s="483"/>
      <c r="I1091" s="483"/>
      <c r="J1091" s="483"/>
      <c r="K1091" s="483"/>
      <c r="L1091" s="608" t="s">
        <v>4884</v>
      </c>
      <c r="M1091" s="409" t="s">
        <v>4884</v>
      </c>
      <c r="N1091" s="409" t="s">
        <v>4884</v>
      </c>
      <c r="O1091" s="410" t="s">
        <v>4884</v>
      </c>
      <c r="P1091" s="406">
        <v>1088</v>
      </c>
      <c r="Q1091" s="270" t="s">
        <v>1986</v>
      </c>
      <c r="R1091" s="460" t="s">
        <v>1883</v>
      </c>
      <c r="S1091" s="270" t="s">
        <v>1884</v>
      </c>
      <c r="U1091" s="471"/>
      <c r="V1091" s="471"/>
      <c r="W1091" s="466"/>
      <c r="X1091" s="471"/>
      <c r="Y1091" s="206"/>
      <c r="Z1091" s="206"/>
    </row>
    <row r="1092" spans="1:26">
      <c r="A1092" s="406">
        <v>1089</v>
      </c>
      <c r="B1092" s="613" t="s">
        <v>7020</v>
      </c>
      <c r="C1092" s="288" t="s">
        <v>1987</v>
      </c>
      <c r="D1092" s="414" t="s">
        <v>4884</v>
      </c>
      <c r="E1092" s="407" t="s">
        <v>4884</v>
      </c>
      <c r="F1092" s="483"/>
      <c r="G1092" s="483"/>
      <c r="H1092" s="483"/>
      <c r="I1092" s="483"/>
      <c r="J1092" s="483"/>
      <c r="K1092" s="483"/>
      <c r="L1092" s="608" t="s">
        <v>4884</v>
      </c>
      <c r="M1092" s="409" t="s">
        <v>4884</v>
      </c>
      <c r="N1092" s="409" t="s">
        <v>4884</v>
      </c>
      <c r="O1092" s="410" t="s">
        <v>4884</v>
      </c>
      <c r="P1092" s="406">
        <v>1089</v>
      </c>
      <c r="Q1092" s="270" t="s">
        <v>1987</v>
      </c>
      <c r="R1092" s="460" t="s">
        <v>1883</v>
      </c>
      <c r="S1092" s="270" t="s">
        <v>1884</v>
      </c>
      <c r="U1092" s="471"/>
      <c r="V1092" s="471"/>
      <c r="W1092" s="466"/>
      <c r="X1092" s="471"/>
      <c r="Y1092" s="206"/>
      <c r="Z1092" s="206"/>
    </row>
    <row r="1093" spans="1:26">
      <c r="A1093" s="406">
        <v>1090</v>
      </c>
      <c r="B1093" s="613" t="s">
        <v>7020</v>
      </c>
      <c r="C1093" s="288" t="s">
        <v>1988</v>
      </c>
      <c r="D1093" s="414" t="s">
        <v>4884</v>
      </c>
      <c r="E1093" s="407" t="s">
        <v>4884</v>
      </c>
      <c r="F1093" s="483"/>
      <c r="G1093" s="483"/>
      <c r="H1093" s="483"/>
      <c r="I1093" s="483"/>
      <c r="J1093" s="483"/>
      <c r="K1093" s="483"/>
      <c r="L1093" s="608" t="s">
        <v>4884</v>
      </c>
      <c r="M1093" s="409" t="s">
        <v>4884</v>
      </c>
      <c r="N1093" s="409" t="s">
        <v>4884</v>
      </c>
      <c r="O1093" s="410" t="s">
        <v>4884</v>
      </c>
      <c r="P1093" s="406">
        <v>1090</v>
      </c>
      <c r="Q1093" s="270" t="s">
        <v>1988</v>
      </c>
      <c r="R1093" s="460" t="s">
        <v>1883</v>
      </c>
      <c r="S1093" s="270" t="s">
        <v>1884</v>
      </c>
      <c r="U1093" s="471"/>
      <c r="V1093" s="471"/>
      <c r="W1093" s="466"/>
      <c r="X1093" s="471"/>
      <c r="Y1093" s="206"/>
      <c r="Z1093" s="206"/>
    </row>
    <row r="1094" spans="1:26">
      <c r="A1094" s="406">
        <v>1091</v>
      </c>
      <c r="B1094" s="613" t="s">
        <v>7020</v>
      </c>
      <c r="C1094" s="288" t="s">
        <v>1989</v>
      </c>
      <c r="D1094" s="414" t="s">
        <v>4884</v>
      </c>
      <c r="E1094" s="407" t="s">
        <v>4884</v>
      </c>
      <c r="F1094" s="483"/>
      <c r="G1094" s="483"/>
      <c r="H1094" s="483"/>
      <c r="I1094" s="483"/>
      <c r="J1094" s="483"/>
      <c r="K1094" s="483"/>
      <c r="L1094" s="608" t="s">
        <v>4884</v>
      </c>
      <c r="M1094" s="409" t="s">
        <v>4884</v>
      </c>
      <c r="N1094" s="409" t="s">
        <v>4884</v>
      </c>
      <c r="O1094" s="410" t="s">
        <v>4884</v>
      </c>
      <c r="P1094" s="406">
        <v>1091</v>
      </c>
      <c r="Q1094" s="270" t="s">
        <v>1989</v>
      </c>
      <c r="R1094" s="460" t="s">
        <v>1883</v>
      </c>
      <c r="S1094" s="270" t="s">
        <v>1884</v>
      </c>
      <c r="U1094" s="471"/>
      <c r="V1094" s="471"/>
      <c r="W1094" s="466"/>
      <c r="X1094" s="471"/>
      <c r="Y1094" s="206"/>
      <c r="Z1094" s="206"/>
    </row>
    <row r="1095" spans="1:26">
      <c r="A1095" s="406">
        <v>1092</v>
      </c>
      <c r="B1095" s="613" t="s">
        <v>7020</v>
      </c>
      <c r="C1095" s="288" t="s">
        <v>1990</v>
      </c>
      <c r="D1095" s="414" t="s">
        <v>4884</v>
      </c>
      <c r="E1095" s="407" t="s">
        <v>4884</v>
      </c>
      <c r="F1095" s="483"/>
      <c r="G1095" s="483"/>
      <c r="H1095" s="483"/>
      <c r="I1095" s="483"/>
      <c r="J1095" s="483"/>
      <c r="K1095" s="483"/>
      <c r="L1095" s="608" t="s">
        <v>4884</v>
      </c>
      <c r="M1095" s="409" t="s">
        <v>4884</v>
      </c>
      <c r="N1095" s="409" t="s">
        <v>4884</v>
      </c>
      <c r="O1095" s="410" t="s">
        <v>4884</v>
      </c>
      <c r="P1095" s="406">
        <v>1092</v>
      </c>
      <c r="Q1095" s="270" t="s">
        <v>1990</v>
      </c>
      <c r="R1095" s="460" t="s">
        <v>1883</v>
      </c>
      <c r="S1095" s="270" t="s">
        <v>1884</v>
      </c>
      <c r="U1095" s="471"/>
      <c r="V1095" s="471"/>
      <c r="W1095" s="496"/>
      <c r="X1095" s="471"/>
      <c r="Y1095" s="206"/>
      <c r="Z1095" s="206"/>
    </row>
    <row r="1096" spans="1:26">
      <c r="A1096" s="406">
        <v>1093</v>
      </c>
      <c r="B1096" s="613" t="s">
        <v>7020</v>
      </c>
      <c r="C1096" s="288" t="s">
        <v>1991</v>
      </c>
      <c r="D1096" s="414" t="s">
        <v>4884</v>
      </c>
      <c r="E1096" s="407" t="s">
        <v>4884</v>
      </c>
      <c r="F1096" s="483"/>
      <c r="G1096" s="483"/>
      <c r="H1096" s="483"/>
      <c r="I1096" s="483"/>
      <c r="J1096" s="483"/>
      <c r="K1096" s="483"/>
      <c r="L1096" s="608" t="s">
        <v>4884</v>
      </c>
      <c r="M1096" s="409" t="s">
        <v>4884</v>
      </c>
      <c r="N1096" s="409" t="s">
        <v>4884</v>
      </c>
      <c r="O1096" s="410" t="s">
        <v>4884</v>
      </c>
      <c r="P1096" s="406">
        <v>1093</v>
      </c>
      <c r="Q1096" s="270" t="s">
        <v>1991</v>
      </c>
      <c r="R1096" s="460" t="s">
        <v>1883</v>
      </c>
      <c r="S1096" s="270" t="s">
        <v>1884</v>
      </c>
      <c r="U1096" s="471"/>
      <c r="V1096" s="471"/>
      <c r="W1096" s="496"/>
      <c r="X1096" s="471"/>
      <c r="Y1096" s="206"/>
      <c r="Z1096" s="206"/>
    </row>
    <row r="1097" spans="1:26">
      <c r="A1097" s="406">
        <v>1094</v>
      </c>
      <c r="B1097" s="613" t="s">
        <v>7020</v>
      </c>
      <c r="C1097" s="288" t="s">
        <v>1992</v>
      </c>
      <c r="D1097" s="414" t="s">
        <v>4884</v>
      </c>
      <c r="E1097" s="407" t="s">
        <v>4884</v>
      </c>
      <c r="F1097" s="483"/>
      <c r="G1097" s="483"/>
      <c r="H1097" s="483"/>
      <c r="I1097" s="483"/>
      <c r="J1097" s="483"/>
      <c r="K1097" s="483"/>
      <c r="L1097" s="608" t="s">
        <v>4884</v>
      </c>
      <c r="M1097" s="409" t="s">
        <v>4884</v>
      </c>
      <c r="N1097" s="409" t="s">
        <v>4884</v>
      </c>
      <c r="O1097" s="410" t="s">
        <v>4884</v>
      </c>
      <c r="P1097" s="406">
        <v>1094</v>
      </c>
      <c r="Q1097" s="270" t="s">
        <v>1992</v>
      </c>
      <c r="R1097" s="460" t="s">
        <v>1883</v>
      </c>
      <c r="S1097" s="270" t="s">
        <v>1884</v>
      </c>
      <c r="U1097" s="471"/>
      <c r="V1097" s="471"/>
      <c r="W1097" s="519"/>
      <c r="X1097" s="471"/>
      <c r="Y1097" s="206"/>
      <c r="Z1097" s="206"/>
    </row>
    <row r="1098" spans="1:26">
      <c r="A1098" s="406">
        <v>1095</v>
      </c>
      <c r="B1098" s="613" t="s">
        <v>7020</v>
      </c>
      <c r="C1098" s="288" t="s">
        <v>1993</v>
      </c>
      <c r="D1098" s="414" t="s">
        <v>4884</v>
      </c>
      <c r="E1098" s="407" t="s">
        <v>4884</v>
      </c>
      <c r="F1098" s="483"/>
      <c r="G1098" s="483"/>
      <c r="H1098" s="483"/>
      <c r="I1098" s="483"/>
      <c r="J1098" s="483"/>
      <c r="K1098" s="483"/>
      <c r="L1098" s="608" t="s">
        <v>4884</v>
      </c>
      <c r="M1098" s="409" t="s">
        <v>4884</v>
      </c>
      <c r="N1098" s="409" t="s">
        <v>4884</v>
      </c>
      <c r="O1098" s="410" t="s">
        <v>4884</v>
      </c>
      <c r="P1098" s="406">
        <v>1095</v>
      </c>
      <c r="Q1098" s="270" t="s">
        <v>1993</v>
      </c>
      <c r="R1098" s="460" t="s">
        <v>1883</v>
      </c>
      <c r="S1098" s="270" t="s">
        <v>1884</v>
      </c>
      <c r="U1098" s="471"/>
      <c r="V1098" s="471"/>
      <c r="W1098" s="519"/>
      <c r="X1098" s="471"/>
      <c r="Y1098" s="206"/>
      <c r="Z1098" s="206"/>
    </row>
    <row r="1099" spans="1:26">
      <c r="A1099" s="406">
        <v>1096</v>
      </c>
      <c r="B1099" s="613" t="s">
        <v>7020</v>
      </c>
      <c r="C1099" s="288" t="s">
        <v>1994</v>
      </c>
      <c r="D1099" s="414" t="s">
        <v>4884</v>
      </c>
      <c r="E1099" s="407" t="s">
        <v>4884</v>
      </c>
      <c r="F1099" s="483"/>
      <c r="G1099" s="483"/>
      <c r="H1099" s="483"/>
      <c r="I1099" s="483"/>
      <c r="J1099" s="483"/>
      <c r="K1099" s="483"/>
      <c r="L1099" s="608" t="s">
        <v>4884</v>
      </c>
      <c r="M1099" s="409" t="s">
        <v>4884</v>
      </c>
      <c r="N1099" s="409" t="s">
        <v>4884</v>
      </c>
      <c r="O1099" s="410" t="s">
        <v>4884</v>
      </c>
      <c r="P1099" s="406">
        <v>1096</v>
      </c>
      <c r="Q1099" s="270" t="s">
        <v>1994</v>
      </c>
      <c r="R1099" s="460" t="s">
        <v>1883</v>
      </c>
      <c r="S1099" s="270" t="s">
        <v>1884</v>
      </c>
      <c r="U1099" s="471"/>
      <c r="V1099" s="471"/>
      <c r="W1099" s="521"/>
      <c r="X1099" s="471"/>
      <c r="Y1099" s="206"/>
      <c r="Z1099" s="206"/>
    </row>
    <row r="1100" spans="1:26">
      <c r="A1100" s="406">
        <v>1097</v>
      </c>
      <c r="B1100" s="613" t="s">
        <v>7020</v>
      </c>
      <c r="C1100" s="288" t="s">
        <v>1995</v>
      </c>
      <c r="D1100" s="414" t="s">
        <v>4884</v>
      </c>
      <c r="E1100" s="407" t="s">
        <v>4884</v>
      </c>
      <c r="F1100" s="483"/>
      <c r="G1100" s="483"/>
      <c r="H1100" s="483"/>
      <c r="I1100" s="483"/>
      <c r="J1100" s="483"/>
      <c r="K1100" s="483"/>
      <c r="L1100" s="608" t="s">
        <v>4884</v>
      </c>
      <c r="M1100" s="409" t="s">
        <v>4884</v>
      </c>
      <c r="N1100" s="409" t="s">
        <v>4884</v>
      </c>
      <c r="O1100" s="410" t="s">
        <v>4884</v>
      </c>
      <c r="P1100" s="406">
        <v>1097</v>
      </c>
      <c r="Q1100" s="270" t="s">
        <v>1995</v>
      </c>
      <c r="R1100" s="460" t="s">
        <v>1883</v>
      </c>
      <c r="S1100" s="270" t="s">
        <v>1884</v>
      </c>
      <c r="U1100" s="471"/>
      <c r="V1100" s="471"/>
      <c r="W1100" s="521"/>
      <c r="X1100" s="471"/>
      <c r="Y1100" s="206"/>
      <c r="Z1100" s="206"/>
    </row>
    <row r="1101" spans="1:26">
      <c r="A1101" s="406">
        <v>1098</v>
      </c>
      <c r="B1101" s="613" t="s">
        <v>7020</v>
      </c>
      <c r="C1101" s="288" t="s">
        <v>1996</v>
      </c>
      <c r="D1101" s="414" t="s">
        <v>4884</v>
      </c>
      <c r="E1101" s="407" t="s">
        <v>4884</v>
      </c>
      <c r="F1101" s="483"/>
      <c r="G1101" s="483"/>
      <c r="H1101" s="483"/>
      <c r="I1101" s="483"/>
      <c r="J1101" s="483"/>
      <c r="K1101" s="483"/>
      <c r="L1101" s="608" t="s">
        <v>4884</v>
      </c>
      <c r="M1101" s="409" t="s">
        <v>4884</v>
      </c>
      <c r="N1101" s="409" t="s">
        <v>4884</v>
      </c>
      <c r="O1101" s="410" t="s">
        <v>4884</v>
      </c>
      <c r="P1101" s="406">
        <v>1098</v>
      </c>
      <c r="Q1101" s="270" t="s">
        <v>1996</v>
      </c>
      <c r="R1101" s="460" t="s">
        <v>1883</v>
      </c>
      <c r="S1101" s="270" t="s">
        <v>1884</v>
      </c>
      <c r="U1101" s="471"/>
      <c r="V1101" s="471"/>
      <c r="W1101" s="471" t="s">
        <v>1834</v>
      </c>
      <c r="X1101" s="471"/>
      <c r="Y1101" s="206"/>
      <c r="Z1101" s="206"/>
    </row>
    <row r="1102" spans="1:26">
      <c r="A1102" s="406">
        <v>1099</v>
      </c>
      <c r="B1102" s="613" t="s">
        <v>7020</v>
      </c>
      <c r="C1102" s="288" t="s">
        <v>1997</v>
      </c>
      <c r="D1102" s="414" t="s">
        <v>4884</v>
      </c>
      <c r="E1102" s="407" t="s">
        <v>4884</v>
      </c>
      <c r="F1102" s="483"/>
      <c r="G1102" s="483"/>
      <c r="H1102" s="483"/>
      <c r="I1102" s="483"/>
      <c r="J1102" s="483"/>
      <c r="K1102" s="483"/>
      <c r="L1102" s="608" t="s">
        <v>4884</v>
      </c>
      <c r="M1102" s="409" t="s">
        <v>4884</v>
      </c>
      <c r="N1102" s="409" t="s">
        <v>4884</v>
      </c>
      <c r="O1102" s="410" t="s">
        <v>4884</v>
      </c>
      <c r="P1102" s="406">
        <v>1099</v>
      </c>
      <c r="Q1102" s="270" t="s">
        <v>1997</v>
      </c>
      <c r="R1102" s="460" t="s">
        <v>1883</v>
      </c>
      <c r="S1102" s="270" t="s">
        <v>1884</v>
      </c>
      <c r="U1102" s="471"/>
      <c r="V1102" s="471"/>
      <c r="W1102" s="471" t="s">
        <v>1834</v>
      </c>
      <c r="X1102" s="471"/>
      <c r="Y1102" s="206"/>
      <c r="Z1102" s="206"/>
    </row>
    <row r="1103" spans="1:26">
      <c r="A1103" s="406">
        <v>1100</v>
      </c>
      <c r="B1103" s="613" t="s">
        <v>7020</v>
      </c>
      <c r="C1103" s="288" t="s">
        <v>1998</v>
      </c>
      <c r="D1103" s="414" t="s">
        <v>4884</v>
      </c>
      <c r="E1103" s="407" t="s">
        <v>4884</v>
      </c>
      <c r="F1103" s="483"/>
      <c r="G1103" s="483"/>
      <c r="H1103" s="483"/>
      <c r="I1103" s="483"/>
      <c r="J1103" s="483"/>
      <c r="K1103" s="483"/>
      <c r="L1103" s="608" t="s">
        <v>4884</v>
      </c>
      <c r="M1103" s="409" t="s">
        <v>4884</v>
      </c>
      <c r="N1103" s="409" t="s">
        <v>4884</v>
      </c>
      <c r="O1103" s="410" t="s">
        <v>4884</v>
      </c>
      <c r="P1103" s="406">
        <v>1100</v>
      </c>
      <c r="Q1103" s="270" t="s">
        <v>1998</v>
      </c>
      <c r="R1103" s="460" t="s">
        <v>1883</v>
      </c>
      <c r="S1103" s="270" t="s">
        <v>1884</v>
      </c>
      <c r="U1103" s="471"/>
      <c r="V1103" s="471"/>
      <c r="W1103" s="477"/>
      <c r="X1103" s="471"/>
      <c r="Y1103" s="206"/>
      <c r="Z1103" s="206"/>
    </row>
    <row r="1104" spans="1:26">
      <c r="A1104" s="406">
        <v>1101</v>
      </c>
      <c r="B1104" s="613" t="s">
        <v>7020</v>
      </c>
      <c r="C1104" s="288" t="s">
        <v>1999</v>
      </c>
      <c r="D1104" s="414" t="s">
        <v>4884</v>
      </c>
      <c r="E1104" s="407" t="s">
        <v>4884</v>
      </c>
      <c r="F1104" s="483"/>
      <c r="G1104" s="483"/>
      <c r="H1104" s="483"/>
      <c r="I1104" s="483"/>
      <c r="J1104" s="483"/>
      <c r="K1104" s="483"/>
      <c r="L1104" s="608" t="s">
        <v>4884</v>
      </c>
      <c r="M1104" s="409" t="s">
        <v>4884</v>
      </c>
      <c r="N1104" s="409" t="s">
        <v>4884</v>
      </c>
      <c r="O1104" s="410" t="s">
        <v>4884</v>
      </c>
      <c r="P1104" s="406">
        <v>1101</v>
      </c>
      <c r="Q1104" s="270" t="s">
        <v>1999</v>
      </c>
      <c r="R1104" s="460" t="s">
        <v>1883</v>
      </c>
      <c r="S1104" s="270" t="s">
        <v>1884</v>
      </c>
      <c r="U1104" s="471"/>
      <c r="V1104" s="471"/>
      <c r="W1104" s="477"/>
      <c r="X1104" s="471"/>
      <c r="Y1104" s="206"/>
      <c r="Z1104" s="206"/>
    </row>
    <row r="1105" spans="1:26">
      <c r="A1105" s="406">
        <v>1102</v>
      </c>
      <c r="B1105" s="613" t="s">
        <v>7020</v>
      </c>
      <c r="C1105" s="288" t="s">
        <v>2000</v>
      </c>
      <c r="D1105" s="414" t="s">
        <v>4884</v>
      </c>
      <c r="E1105" s="407" t="s">
        <v>4884</v>
      </c>
      <c r="F1105" s="483"/>
      <c r="G1105" s="483"/>
      <c r="H1105" s="483"/>
      <c r="I1105" s="483"/>
      <c r="J1105" s="483"/>
      <c r="K1105" s="483"/>
      <c r="L1105" s="608" t="s">
        <v>4884</v>
      </c>
      <c r="M1105" s="409" t="s">
        <v>4884</v>
      </c>
      <c r="N1105" s="409" t="s">
        <v>4884</v>
      </c>
      <c r="O1105" s="410" t="s">
        <v>4884</v>
      </c>
      <c r="P1105" s="406">
        <v>1102</v>
      </c>
      <c r="Q1105" s="270" t="s">
        <v>2000</v>
      </c>
      <c r="R1105" s="460" t="s">
        <v>1883</v>
      </c>
      <c r="S1105" s="270" t="s">
        <v>1884</v>
      </c>
      <c r="U1105" s="471"/>
      <c r="V1105" s="471"/>
      <c r="W1105" s="477"/>
      <c r="X1105" s="471"/>
      <c r="Y1105" s="206"/>
      <c r="Z1105" s="206"/>
    </row>
    <row r="1106" spans="1:26">
      <c r="A1106" s="406">
        <v>1103</v>
      </c>
      <c r="B1106" s="613" t="s">
        <v>7020</v>
      </c>
      <c r="C1106" s="288" t="s">
        <v>2001</v>
      </c>
      <c r="D1106" s="414" t="s">
        <v>4884</v>
      </c>
      <c r="E1106" s="407" t="s">
        <v>4884</v>
      </c>
      <c r="F1106" s="483"/>
      <c r="G1106" s="483"/>
      <c r="H1106" s="483"/>
      <c r="I1106" s="483"/>
      <c r="J1106" s="483"/>
      <c r="K1106" s="483"/>
      <c r="L1106" s="608" t="s">
        <v>4884</v>
      </c>
      <c r="M1106" s="409" t="s">
        <v>4884</v>
      </c>
      <c r="N1106" s="409" t="s">
        <v>4884</v>
      </c>
      <c r="O1106" s="410" t="s">
        <v>4884</v>
      </c>
      <c r="P1106" s="406">
        <v>1103</v>
      </c>
      <c r="Q1106" s="270" t="s">
        <v>2001</v>
      </c>
      <c r="R1106" s="460" t="s">
        <v>1883</v>
      </c>
      <c r="S1106" s="270" t="s">
        <v>1884</v>
      </c>
      <c r="U1106" s="471"/>
      <c r="V1106" s="471"/>
      <c r="W1106" s="477"/>
      <c r="X1106" s="471"/>
      <c r="Y1106" s="206"/>
      <c r="Z1106" s="206"/>
    </row>
    <row r="1107" spans="1:26">
      <c r="A1107" s="406">
        <v>1104</v>
      </c>
      <c r="B1107" s="613" t="s">
        <v>7020</v>
      </c>
      <c r="C1107" s="288" t="s">
        <v>2002</v>
      </c>
      <c r="D1107" s="414" t="s">
        <v>4884</v>
      </c>
      <c r="E1107" s="407" t="s">
        <v>4884</v>
      </c>
      <c r="F1107" s="483"/>
      <c r="G1107" s="483"/>
      <c r="H1107" s="483"/>
      <c r="I1107" s="483"/>
      <c r="J1107" s="483"/>
      <c r="K1107" s="483"/>
      <c r="L1107" s="608" t="s">
        <v>4884</v>
      </c>
      <c r="M1107" s="409" t="s">
        <v>4884</v>
      </c>
      <c r="N1107" s="409" t="s">
        <v>4884</v>
      </c>
      <c r="O1107" s="410" t="s">
        <v>4884</v>
      </c>
      <c r="P1107" s="406">
        <v>1104</v>
      </c>
      <c r="Q1107" s="270" t="s">
        <v>2002</v>
      </c>
      <c r="R1107" s="460" t="s">
        <v>1883</v>
      </c>
      <c r="S1107" s="270" t="s">
        <v>1884</v>
      </c>
      <c r="U1107" s="471"/>
      <c r="V1107" s="471"/>
      <c r="W1107" s="477"/>
      <c r="X1107" s="471"/>
      <c r="Y1107" s="206"/>
      <c r="Z1107" s="206"/>
    </row>
    <row r="1108" spans="1:26">
      <c r="A1108" s="406">
        <v>1105</v>
      </c>
      <c r="B1108" s="613" t="s">
        <v>7020</v>
      </c>
      <c r="C1108" s="288" t="s">
        <v>2003</v>
      </c>
      <c r="D1108" s="414" t="s">
        <v>4884</v>
      </c>
      <c r="E1108" s="407" t="s">
        <v>4884</v>
      </c>
      <c r="F1108" s="483"/>
      <c r="G1108" s="483"/>
      <c r="H1108" s="483"/>
      <c r="I1108" s="483"/>
      <c r="J1108" s="483"/>
      <c r="K1108" s="483"/>
      <c r="L1108" s="608" t="s">
        <v>4884</v>
      </c>
      <c r="M1108" s="409" t="s">
        <v>4884</v>
      </c>
      <c r="N1108" s="409" t="s">
        <v>4884</v>
      </c>
      <c r="O1108" s="410" t="s">
        <v>4884</v>
      </c>
      <c r="P1108" s="406">
        <v>1105</v>
      </c>
      <c r="Q1108" s="270" t="s">
        <v>2003</v>
      </c>
      <c r="R1108" s="460" t="s">
        <v>1883</v>
      </c>
      <c r="S1108" s="270" t="s">
        <v>1884</v>
      </c>
      <c r="U1108" s="471"/>
      <c r="V1108" s="471"/>
      <c r="W1108" s="477"/>
      <c r="X1108" s="471"/>
      <c r="Y1108" s="206"/>
      <c r="Z1108" s="206"/>
    </row>
    <row r="1109" spans="1:26">
      <c r="A1109" s="406">
        <v>1106</v>
      </c>
      <c r="B1109" s="613" t="s">
        <v>7020</v>
      </c>
      <c r="C1109" s="288" t="s">
        <v>2004</v>
      </c>
      <c r="D1109" s="414" t="s">
        <v>4884</v>
      </c>
      <c r="E1109" s="407" t="s">
        <v>4884</v>
      </c>
      <c r="F1109" s="483"/>
      <c r="G1109" s="483"/>
      <c r="H1109" s="483"/>
      <c r="I1109" s="483"/>
      <c r="J1109" s="483"/>
      <c r="K1109" s="483"/>
      <c r="L1109" s="608" t="s">
        <v>4884</v>
      </c>
      <c r="M1109" s="409" t="s">
        <v>4884</v>
      </c>
      <c r="N1109" s="409" t="s">
        <v>4884</v>
      </c>
      <c r="O1109" s="410" t="s">
        <v>4884</v>
      </c>
      <c r="P1109" s="406">
        <v>1106</v>
      </c>
      <c r="Q1109" s="270" t="s">
        <v>2004</v>
      </c>
      <c r="R1109" s="460" t="s">
        <v>1883</v>
      </c>
      <c r="S1109" s="270" t="s">
        <v>1884</v>
      </c>
      <c r="U1109" s="471"/>
      <c r="V1109" s="471"/>
      <c r="W1109" s="477"/>
      <c r="X1109" s="471"/>
      <c r="Y1109" s="206"/>
      <c r="Z1109" s="206"/>
    </row>
    <row r="1110" spans="1:26">
      <c r="A1110" s="406">
        <v>1107</v>
      </c>
      <c r="B1110" s="613" t="s">
        <v>7020</v>
      </c>
      <c r="C1110" s="288" t="s">
        <v>2005</v>
      </c>
      <c r="D1110" s="414" t="s">
        <v>4884</v>
      </c>
      <c r="E1110" s="407" t="s">
        <v>4884</v>
      </c>
      <c r="F1110" s="483"/>
      <c r="G1110" s="483"/>
      <c r="H1110" s="483"/>
      <c r="I1110" s="483"/>
      <c r="J1110" s="483"/>
      <c r="K1110" s="483"/>
      <c r="L1110" s="608" t="s">
        <v>4884</v>
      </c>
      <c r="M1110" s="409" t="s">
        <v>4884</v>
      </c>
      <c r="N1110" s="409" t="s">
        <v>4884</v>
      </c>
      <c r="O1110" s="410" t="s">
        <v>4884</v>
      </c>
      <c r="P1110" s="406">
        <v>1107</v>
      </c>
      <c r="Q1110" s="270" t="s">
        <v>2005</v>
      </c>
      <c r="R1110" s="460" t="s">
        <v>1883</v>
      </c>
      <c r="S1110" s="270" t="s">
        <v>1884</v>
      </c>
      <c r="U1110" s="471"/>
      <c r="V1110" s="471"/>
      <c r="W1110" s="477"/>
      <c r="X1110" s="471"/>
      <c r="Y1110" s="206"/>
      <c r="Z1110" s="206"/>
    </row>
    <row r="1111" spans="1:26">
      <c r="A1111" s="406">
        <v>1108</v>
      </c>
      <c r="B1111" s="613" t="s">
        <v>7020</v>
      </c>
      <c r="C1111" s="288" t="s">
        <v>2006</v>
      </c>
      <c r="D1111" s="414" t="s">
        <v>4884</v>
      </c>
      <c r="E1111" s="407" t="s">
        <v>4884</v>
      </c>
      <c r="F1111" s="483"/>
      <c r="G1111" s="483"/>
      <c r="H1111" s="483"/>
      <c r="I1111" s="483"/>
      <c r="J1111" s="483"/>
      <c r="K1111" s="483"/>
      <c r="L1111" s="608" t="s">
        <v>4884</v>
      </c>
      <c r="M1111" s="409" t="s">
        <v>4884</v>
      </c>
      <c r="N1111" s="409" t="s">
        <v>4884</v>
      </c>
      <c r="O1111" s="410" t="s">
        <v>4884</v>
      </c>
      <c r="P1111" s="406">
        <v>1108</v>
      </c>
      <c r="Q1111" s="270" t="s">
        <v>2006</v>
      </c>
      <c r="R1111" s="460" t="s">
        <v>1883</v>
      </c>
      <c r="S1111" s="270" t="s">
        <v>1884</v>
      </c>
      <c r="U1111" s="471"/>
      <c r="V1111" s="471"/>
      <c r="W1111" s="477"/>
      <c r="X1111" s="471"/>
      <c r="Y1111" s="206"/>
      <c r="Z1111" s="206"/>
    </row>
    <row r="1112" spans="1:26">
      <c r="A1112" s="406">
        <v>1109</v>
      </c>
      <c r="B1112" s="613" t="s">
        <v>7020</v>
      </c>
      <c r="C1112" s="288" t="s">
        <v>2007</v>
      </c>
      <c r="D1112" s="414" t="s">
        <v>4884</v>
      </c>
      <c r="E1112" s="407" t="s">
        <v>4884</v>
      </c>
      <c r="F1112" s="483"/>
      <c r="G1112" s="483"/>
      <c r="H1112" s="483"/>
      <c r="I1112" s="483"/>
      <c r="J1112" s="483"/>
      <c r="K1112" s="483"/>
      <c r="L1112" s="608" t="s">
        <v>4884</v>
      </c>
      <c r="M1112" s="409" t="s">
        <v>4884</v>
      </c>
      <c r="N1112" s="409" t="s">
        <v>4884</v>
      </c>
      <c r="O1112" s="410" t="s">
        <v>4884</v>
      </c>
      <c r="P1112" s="406">
        <v>1109</v>
      </c>
      <c r="Q1112" s="270" t="s">
        <v>2007</v>
      </c>
      <c r="R1112" s="460" t="s">
        <v>1883</v>
      </c>
      <c r="S1112" s="270" t="s">
        <v>1884</v>
      </c>
      <c r="U1112" s="471"/>
      <c r="V1112" s="471"/>
      <c r="W1112" s="477"/>
      <c r="X1112" s="471"/>
      <c r="Y1112" s="206"/>
      <c r="Z1112" s="206"/>
    </row>
    <row r="1113" spans="1:26">
      <c r="A1113" s="406">
        <v>1110</v>
      </c>
      <c r="B1113" s="613" t="s">
        <v>7020</v>
      </c>
      <c r="C1113" s="288" t="s">
        <v>2008</v>
      </c>
      <c r="D1113" s="414" t="s">
        <v>4884</v>
      </c>
      <c r="E1113" s="407" t="s">
        <v>4884</v>
      </c>
      <c r="F1113" s="483"/>
      <c r="G1113" s="483"/>
      <c r="H1113" s="483"/>
      <c r="I1113" s="483"/>
      <c r="J1113" s="483"/>
      <c r="K1113" s="483"/>
      <c r="L1113" s="608" t="s">
        <v>4884</v>
      </c>
      <c r="M1113" s="409" t="s">
        <v>4884</v>
      </c>
      <c r="N1113" s="409" t="s">
        <v>4884</v>
      </c>
      <c r="O1113" s="410" t="s">
        <v>4884</v>
      </c>
      <c r="P1113" s="406">
        <v>1110</v>
      </c>
      <c r="Q1113" s="270" t="s">
        <v>2008</v>
      </c>
      <c r="R1113" s="460" t="s">
        <v>1883</v>
      </c>
      <c r="S1113" s="270" t="s">
        <v>1884</v>
      </c>
      <c r="U1113" s="471"/>
      <c r="V1113" s="471"/>
      <c r="W1113" s="477"/>
      <c r="X1113" s="471"/>
      <c r="Y1113" s="206"/>
      <c r="Z1113" s="206"/>
    </row>
    <row r="1114" spans="1:26">
      <c r="A1114" s="406">
        <v>1111</v>
      </c>
      <c r="B1114" s="613" t="s">
        <v>7020</v>
      </c>
      <c r="C1114" s="288" t="s">
        <v>2009</v>
      </c>
      <c r="D1114" s="414" t="s">
        <v>4884</v>
      </c>
      <c r="E1114" s="407" t="s">
        <v>4884</v>
      </c>
      <c r="F1114" s="483"/>
      <c r="G1114" s="483"/>
      <c r="H1114" s="483"/>
      <c r="I1114" s="483"/>
      <c r="J1114" s="483"/>
      <c r="K1114" s="483"/>
      <c r="L1114" s="608" t="s">
        <v>4884</v>
      </c>
      <c r="M1114" s="409" t="s">
        <v>4884</v>
      </c>
      <c r="N1114" s="409" t="s">
        <v>4884</v>
      </c>
      <c r="O1114" s="410" t="s">
        <v>4884</v>
      </c>
      <c r="P1114" s="406">
        <v>1111</v>
      </c>
      <c r="Q1114" s="270" t="s">
        <v>2009</v>
      </c>
      <c r="R1114" s="460" t="s">
        <v>1883</v>
      </c>
      <c r="S1114" s="270" t="s">
        <v>1884</v>
      </c>
      <c r="U1114" s="471"/>
      <c r="V1114" s="471"/>
      <c r="W1114" s="477"/>
      <c r="X1114" s="471"/>
      <c r="Y1114" s="206"/>
      <c r="Z1114" s="206"/>
    </row>
    <row r="1115" spans="1:26">
      <c r="A1115" s="406">
        <v>1112</v>
      </c>
      <c r="B1115" s="613" t="s">
        <v>7020</v>
      </c>
      <c r="C1115" s="288" t="s">
        <v>2010</v>
      </c>
      <c r="D1115" s="414" t="s">
        <v>4884</v>
      </c>
      <c r="E1115" s="407" t="s">
        <v>4884</v>
      </c>
      <c r="F1115" s="483"/>
      <c r="G1115" s="483"/>
      <c r="H1115" s="483"/>
      <c r="I1115" s="483"/>
      <c r="J1115" s="483"/>
      <c r="K1115" s="483"/>
      <c r="L1115" s="608" t="s">
        <v>4884</v>
      </c>
      <c r="M1115" s="409" t="s">
        <v>4884</v>
      </c>
      <c r="N1115" s="409" t="s">
        <v>4884</v>
      </c>
      <c r="O1115" s="410" t="s">
        <v>4884</v>
      </c>
      <c r="P1115" s="406">
        <v>1112</v>
      </c>
      <c r="Q1115" s="270" t="s">
        <v>2010</v>
      </c>
      <c r="R1115" s="460" t="s">
        <v>1883</v>
      </c>
      <c r="S1115" s="270" t="s">
        <v>1884</v>
      </c>
      <c r="U1115" s="471"/>
      <c r="V1115" s="471"/>
      <c r="W1115" s="477"/>
      <c r="X1115" s="471"/>
      <c r="Y1115" s="206"/>
      <c r="Z1115" s="206"/>
    </row>
    <row r="1116" spans="1:26">
      <c r="A1116" s="406">
        <v>1113</v>
      </c>
      <c r="B1116" s="613" t="s">
        <v>7020</v>
      </c>
      <c r="C1116" s="288" t="s">
        <v>2011</v>
      </c>
      <c r="D1116" s="414" t="s">
        <v>4884</v>
      </c>
      <c r="E1116" s="407" t="s">
        <v>4884</v>
      </c>
      <c r="F1116" s="483"/>
      <c r="G1116" s="483"/>
      <c r="H1116" s="483"/>
      <c r="I1116" s="483"/>
      <c r="J1116" s="483"/>
      <c r="K1116" s="483"/>
      <c r="L1116" s="608" t="s">
        <v>4884</v>
      </c>
      <c r="M1116" s="409" t="s">
        <v>4884</v>
      </c>
      <c r="N1116" s="409" t="s">
        <v>4884</v>
      </c>
      <c r="O1116" s="410" t="s">
        <v>4884</v>
      </c>
      <c r="P1116" s="406">
        <v>1113</v>
      </c>
      <c r="Q1116" s="270" t="s">
        <v>2011</v>
      </c>
      <c r="R1116" s="460" t="s">
        <v>1883</v>
      </c>
      <c r="S1116" s="270" t="s">
        <v>1884</v>
      </c>
      <c r="U1116" s="471"/>
      <c r="V1116" s="471"/>
      <c r="W1116" s="477"/>
      <c r="X1116" s="471"/>
      <c r="Y1116" s="206"/>
      <c r="Z1116" s="206"/>
    </row>
    <row r="1117" spans="1:26">
      <c r="A1117" s="406">
        <v>1114</v>
      </c>
      <c r="B1117" s="613" t="s">
        <v>7020</v>
      </c>
      <c r="C1117" s="288" t="s">
        <v>2012</v>
      </c>
      <c r="D1117" s="414" t="s">
        <v>4884</v>
      </c>
      <c r="E1117" s="407" t="s">
        <v>4884</v>
      </c>
      <c r="F1117" s="483"/>
      <c r="G1117" s="483"/>
      <c r="H1117" s="483"/>
      <c r="I1117" s="483"/>
      <c r="J1117" s="483"/>
      <c r="K1117" s="483"/>
      <c r="L1117" s="608" t="s">
        <v>4884</v>
      </c>
      <c r="M1117" s="409" t="s">
        <v>4884</v>
      </c>
      <c r="N1117" s="409" t="s">
        <v>4884</v>
      </c>
      <c r="O1117" s="410" t="s">
        <v>4884</v>
      </c>
      <c r="P1117" s="406">
        <v>1114</v>
      </c>
      <c r="Q1117" s="270" t="s">
        <v>2012</v>
      </c>
      <c r="R1117" s="460" t="s">
        <v>1883</v>
      </c>
      <c r="S1117" s="270" t="s">
        <v>1884</v>
      </c>
      <c r="U1117" s="471"/>
      <c r="V1117" s="471"/>
      <c r="W1117" s="477"/>
      <c r="X1117" s="471"/>
      <c r="Y1117" s="206"/>
      <c r="Z1117" s="206"/>
    </row>
    <row r="1118" spans="1:26">
      <c r="A1118" s="406">
        <v>1115</v>
      </c>
      <c r="B1118" s="613" t="s">
        <v>7020</v>
      </c>
      <c r="C1118" s="288" t="s">
        <v>2013</v>
      </c>
      <c r="D1118" s="414" t="s">
        <v>4884</v>
      </c>
      <c r="E1118" s="407" t="s">
        <v>4884</v>
      </c>
      <c r="F1118" s="483"/>
      <c r="G1118" s="483"/>
      <c r="H1118" s="483"/>
      <c r="I1118" s="483"/>
      <c r="J1118" s="483"/>
      <c r="K1118" s="483"/>
      <c r="L1118" s="608" t="s">
        <v>4884</v>
      </c>
      <c r="M1118" s="409" t="s">
        <v>4884</v>
      </c>
      <c r="N1118" s="409" t="s">
        <v>4884</v>
      </c>
      <c r="O1118" s="410" t="s">
        <v>4884</v>
      </c>
      <c r="P1118" s="406">
        <v>1115</v>
      </c>
      <c r="Q1118" s="270" t="s">
        <v>2013</v>
      </c>
      <c r="R1118" s="460" t="s">
        <v>1883</v>
      </c>
      <c r="S1118" s="270" t="s">
        <v>1884</v>
      </c>
      <c r="U1118" s="471"/>
      <c r="V1118" s="471"/>
      <c r="W1118" s="477"/>
      <c r="X1118" s="471"/>
      <c r="Y1118" s="206"/>
      <c r="Z1118" s="206"/>
    </row>
    <row r="1119" spans="1:26">
      <c r="A1119" s="406">
        <v>1116</v>
      </c>
      <c r="B1119" s="613" t="s">
        <v>7020</v>
      </c>
      <c r="C1119" s="288" t="s">
        <v>2014</v>
      </c>
      <c r="D1119" s="414" t="s">
        <v>4884</v>
      </c>
      <c r="E1119" s="407" t="s">
        <v>4884</v>
      </c>
      <c r="F1119" s="483"/>
      <c r="G1119" s="483"/>
      <c r="H1119" s="483"/>
      <c r="I1119" s="483"/>
      <c r="J1119" s="483"/>
      <c r="K1119" s="483"/>
      <c r="L1119" s="608" t="s">
        <v>4884</v>
      </c>
      <c r="M1119" s="409" t="s">
        <v>4884</v>
      </c>
      <c r="N1119" s="409" t="s">
        <v>4884</v>
      </c>
      <c r="O1119" s="410" t="s">
        <v>4884</v>
      </c>
      <c r="P1119" s="406">
        <v>1116</v>
      </c>
      <c r="Q1119" s="270" t="s">
        <v>2014</v>
      </c>
      <c r="R1119" s="460" t="s">
        <v>1883</v>
      </c>
      <c r="S1119" s="270" t="s">
        <v>1884</v>
      </c>
      <c r="U1119" s="471"/>
      <c r="V1119" s="471"/>
      <c r="W1119" s="477"/>
      <c r="X1119" s="471"/>
      <c r="Y1119" s="206"/>
      <c r="Z1119" s="206"/>
    </row>
    <row r="1120" spans="1:26">
      <c r="A1120" s="406">
        <v>1117</v>
      </c>
      <c r="B1120" s="613" t="s">
        <v>7020</v>
      </c>
      <c r="C1120" s="288" t="s">
        <v>2015</v>
      </c>
      <c r="D1120" s="414" t="s">
        <v>4884</v>
      </c>
      <c r="E1120" s="407" t="s">
        <v>4884</v>
      </c>
      <c r="F1120" s="483"/>
      <c r="G1120" s="483"/>
      <c r="H1120" s="483"/>
      <c r="I1120" s="483"/>
      <c r="J1120" s="483"/>
      <c r="K1120" s="483"/>
      <c r="L1120" s="608" t="s">
        <v>4884</v>
      </c>
      <c r="M1120" s="409" t="s">
        <v>4884</v>
      </c>
      <c r="N1120" s="409" t="s">
        <v>4884</v>
      </c>
      <c r="O1120" s="410" t="s">
        <v>4884</v>
      </c>
      <c r="P1120" s="406">
        <v>1117</v>
      </c>
      <c r="Q1120" s="270" t="s">
        <v>2015</v>
      </c>
      <c r="R1120" s="460" t="s">
        <v>1883</v>
      </c>
      <c r="S1120" s="270" t="s">
        <v>1884</v>
      </c>
      <c r="U1120" s="471"/>
      <c r="V1120" s="471"/>
      <c r="W1120" s="477"/>
      <c r="X1120" s="471"/>
      <c r="Y1120" s="206"/>
      <c r="Z1120" s="206"/>
    </row>
    <row r="1121" spans="1:26">
      <c r="A1121" s="406">
        <v>1118</v>
      </c>
      <c r="B1121" s="613" t="s">
        <v>7020</v>
      </c>
      <c r="C1121" s="288" t="s">
        <v>2016</v>
      </c>
      <c r="D1121" s="414" t="s">
        <v>4884</v>
      </c>
      <c r="E1121" s="407" t="s">
        <v>4884</v>
      </c>
      <c r="F1121" s="483"/>
      <c r="G1121" s="483"/>
      <c r="H1121" s="483"/>
      <c r="I1121" s="483"/>
      <c r="J1121" s="483"/>
      <c r="K1121" s="483"/>
      <c r="L1121" s="608" t="s">
        <v>4884</v>
      </c>
      <c r="M1121" s="409" t="s">
        <v>4884</v>
      </c>
      <c r="N1121" s="409" t="s">
        <v>4884</v>
      </c>
      <c r="O1121" s="410" t="s">
        <v>4884</v>
      </c>
      <c r="P1121" s="406">
        <v>1118</v>
      </c>
      <c r="Q1121" s="270" t="s">
        <v>2016</v>
      </c>
      <c r="R1121" s="460" t="s">
        <v>1883</v>
      </c>
      <c r="S1121" s="270" t="s">
        <v>1884</v>
      </c>
      <c r="U1121" s="471"/>
      <c r="V1121" s="471"/>
      <c r="W1121" s="477"/>
      <c r="X1121" s="471"/>
      <c r="Y1121" s="206"/>
      <c r="Z1121" s="206"/>
    </row>
    <row r="1122" spans="1:26">
      <c r="A1122" s="406">
        <v>1119</v>
      </c>
      <c r="B1122" s="613" t="s">
        <v>7020</v>
      </c>
      <c r="C1122" s="288" t="s">
        <v>2017</v>
      </c>
      <c r="D1122" s="414" t="s">
        <v>4884</v>
      </c>
      <c r="E1122" s="407" t="s">
        <v>4884</v>
      </c>
      <c r="F1122" s="483"/>
      <c r="G1122" s="483"/>
      <c r="H1122" s="483"/>
      <c r="I1122" s="483"/>
      <c r="J1122" s="483"/>
      <c r="K1122" s="483"/>
      <c r="L1122" s="608" t="s">
        <v>4884</v>
      </c>
      <c r="M1122" s="409" t="s">
        <v>4884</v>
      </c>
      <c r="N1122" s="409" t="s">
        <v>4884</v>
      </c>
      <c r="O1122" s="410" t="s">
        <v>4884</v>
      </c>
      <c r="P1122" s="406">
        <v>1119</v>
      </c>
      <c r="Q1122" s="270" t="s">
        <v>2017</v>
      </c>
      <c r="R1122" s="460" t="s">
        <v>1883</v>
      </c>
      <c r="S1122" s="270" t="s">
        <v>1884</v>
      </c>
      <c r="U1122" s="471"/>
      <c r="V1122" s="471"/>
      <c r="W1122" s="477"/>
      <c r="X1122" s="471"/>
      <c r="Y1122" s="206"/>
      <c r="Z1122" s="206"/>
    </row>
    <row r="1123" spans="1:26">
      <c r="A1123" s="406">
        <v>1120</v>
      </c>
      <c r="B1123" s="613" t="s">
        <v>7020</v>
      </c>
      <c r="C1123" s="288" t="s">
        <v>2018</v>
      </c>
      <c r="D1123" s="414" t="s">
        <v>4884</v>
      </c>
      <c r="E1123" s="407" t="s">
        <v>4884</v>
      </c>
      <c r="F1123" s="483"/>
      <c r="G1123" s="483"/>
      <c r="H1123" s="483"/>
      <c r="I1123" s="483"/>
      <c r="J1123" s="483"/>
      <c r="K1123" s="483"/>
      <c r="L1123" s="608" t="s">
        <v>4884</v>
      </c>
      <c r="M1123" s="409" t="s">
        <v>4884</v>
      </c>
      <c r="N1123" s="409" t="s">
        <v>4884</v>
      </c>
      <c r="O1123" s="410" t="s">
        <v>4884</v>
      </c>
      <c r="P1123" s="406">
        <v>1120</v>
      </c>
      <c r="Q1123" s="270" t="s">
        <v>2018</v>
      </c>
      <c r="R1123" s="460" t="s">
        <v>1883</v>
      </c>
      <c r="S1123" s="270" t="s">
        <v>1884</v>
      </c>
      <c r="U1123" s="471"/>
      <c r="V1123" s="471"/>
      <c r="W1123" s="477"/>
      <c r="X1123" s="471"/>
      <c r="Y1123" s="206"/>
      <c r="Z1123" s="206"/>
    </row>
    <row r="1124" spans="1:26">
      <c r="A1124" s="406">
        <v>1121</v>
      </c>
      <c r="B1124" s="613" t="s">
        <v>7020</v>
      </c>
      <c r="C1124" s="288" t="s">
        <v>2019</v>
      </c>
      <c r="D1124" s="414" t="s">
        <v>4884</v>
      </c>
      <c r="E1124" s="407" t="s">
        <v>4884</v>
      </c>
      <c r="F1124" s="483"/>
      <c r="G1124" s="483"/>
      <c r="H1124" s="483"/>
      <c r="I1124" s="483"/>
      <c r="J1124" s="483"/>
      <c r="K1124" s="483"/>
      <c r="L1124" s="608" t="s">
        <v>4884</v>
      </c>
      <c r="M1124" s="409" t="s">
        <v>4884</v>
      </c>
      <c r="N1124" s="409" t="s">
        <v>4884</v>
      </c>
      <c r="O1124" s="410" t="s">
        <v>4884</v>
      </c>
      <c r="P1124" s="406">
        <v>1121</v>
      </c>
      <c r="Q1124" s="270" t="s">
        <v>2019</v>
      </c>
      <c r="R1124" s="460" t="s">
        <v>1883</v>
      </c>
      <c r="S1124" s="270" t="s">
        <v>1884</v>
      </c>
      <c r="U1124" s="471"/>
      <c r="V1124" s="471"/>
      <c r="W1124" s="477"/>
      <c r="X1124" s="471"/>
      <c r="Y1124" s="206"/>
      <c r="Z1124" s="206"/>
    </row>
    <row r="1125" spans="1:26">
      <c r="A1125" s="406">
        <v>1122</v>
      </c>
      <c r="B1125" s="613" t="s">
        <v>7020</v>
      </c>
      <c r="C1125" s="288" t="s">
        <v>2020</v>
      </c>
      <c r="D1125" s="414" t="s">
        <v>4884</v>
      </c>
      <c r="E1125" s="407" t="s">
        <v>4884</v>
      </c>
      <c r="F1125" s="483"/>
      <c r="G1125" s="483"/>
      <c r="H1125" s="483"/>
      <c r="I1125" s="483"/>
      <c r="J1125" s="483"/>
      <c r="K1125" s="483"/>
      <c r="L1125" s="608" t="s">
        <v>4884</v>
      </c>
      <c r="M1125" s="409" t="s">
        <v>4884</v>
      </c>
      <c r="N1125" s="409" t="s">
        <v>4884</v>
      </c>
      <c r="O1125" s="410" t="s">
        <v>4884</v>
      </c>
      <c r="P1125" s="406">
        <v>1122</v>
      </c>
      <c r="Q1125" s="270" t="s">
        <v>2020</v>
      </c>
      <c r="R1125" s="460" t="s">
        <v>1883</v>
      </c>
      <c r="S1125" s="270" t="s">
        <v>1884</v>
      </c>
      <c r="U1125" s="471"/>
      <c r="V1125" s="471"/>
      <c r="W1125" s="478"/>
      <c r="X1125" s="471"/>
      <c r="Y1125" s="206"/>
      <c r="Z1125" s="206"/>
    </row>
    <row r="1126" spans="1:26">
      <c r="A1126" s="406">
        <v>1123</v>
      </c>
      <c r="B1126" s="613" t="s">
        <v>7020</v>
      </c>
      <c r="C1126" s="288" t="s">
        <v>2021</v>
      </c>
      <c r="D1126" s="414" t="s">
        <v>4884</v>
      </c>
      <c r="E1126" s="407" t="s">
        <v>4884</v>
      </c>
      <c r="F1126" s="483"/>
      <c r="G1126" s="483"/>
      <c r="H1126" s="483"/>
      <c r="I1126" s="483"/>
      <c r="J1126" s="483"/>
      <c r="K1126" s="483"/>
      <c r="L1126" s="608" t="s">
        <v>4884</v>
      </c>
      <c r="M1126" s="409" t="s">
        <v>4884</v>
      </c>
      <c r="N1126" s="409" t="s">
        <v>4884</v>
      </c>
      <c r="O1126" s="410" t="s">
        <v>4884</v>
      </c>
      <c r="P1126" s="406">
        <v>1123</v>
      </c>
      <c r="Q1126" s="270" t="s">
        <v>2021</v>
      </c>
      <c r="R1126" s="460" t="s">
        <v>1883</v>
      </c>
      <c r="S1126" s="270" t="s">
        <v>1884</v>
      </c>
      <c r="U1126" s="471"/>
      <c r="V1126" s="471"/>
      <c r="W1126" s="478"/>
      <c r="X1126" s="471"/>
      <c r="Y1126" s="206"/>
      <c r="Z1126" s="206"/>
    </row>
    <row r="1127" spans="1:26">
      <c r="A1127" s="406">
        <v>1124</v>
      </c>
      <c r="B1127" s="613" t="s">
        <v>7020</v>
      </c>
      <c r="C1127" s="288" t="s">
        <v>2022</v>
      </c>
      <c r="D1127" s="414" t="s">
        <v>4884</v>
      </c>
      <c r="E1127" s="407" t="s">
        <v>4884</v>
      </c>
      <c r="F1127" s="483"/>
      <c r="G1127" s="483"/>
      <c r="H1127" s="483"/>
      <c r="I1127" s="483"/>
      <c r="J1127" s="483"/>
      <c r="K1127" s="483"/>
      <c r="L1127" s="608" t="s">
        <v>4884</v>
      </c>
      <c r="M1127" s="409" t="s">
        <v>4884</v>
      </c>
      <c r="N1127" s="409" t="s">
        <v>4884</v>
      </c>
      <c r="O1127" s="410" t="s">
        <v>4884</v>
      </c>
      <c r="P1127" s="406">
        <v>1124</v>
      </c>
      <c r="Q1127" s="270" t="s">
        <v>2022</v>
      </c>
      <c r="R1127" s="460" t="s">
        <v>1883</v>
      </c>
      <c r="S1127" s="270" t="s">
        <v>1884</v>
      </c>
      <c r="U1127" s="471"/>
      <c r="V1127" s="471"/>
      <c r="W1127" s="471"/>
      <c r="X1127" s="471"/>
      <c r="Y1127" s="206"/>
      <c r="Z1127" s="206"/>
    </row>
    <row r="1128" spans="1:26">
      <c r="A1128" s="406">
        <v>1125</v>
      </c>
      <c r="B1128" s="613" t="s">
        <v>7020</v>
      </c>
      <c r="C1128" s="288" t="s">
        <v>2023</v>
      </c>
      <c r="D1128" s="414" t="s">
        <v>4884</v>
      </c>
      <c r="E1128" s="407" t="s">
        <v>4884</v>
      </c>
      <c r="F1128" s="483"/>
      <c r="G1128" s="483"/>
      <c r="H1128" s="483"/>
      <c r="I1128" s="483"/>
      <c r="J1128" s="483"/>
      <c r="K1128" s="483"/>
      <c r="L1128" s="608" t="s">
        <v>4884</v>
      </c>
      <c r="M1128" s="409" t="s">
        <v>4884</v>
      </c>
      <c r="N1128" s="409" t="s">
        <v>4884</v>
      </c>
      <c r="O1128" s="410" t="s">
        <v>4884</v>
      </c>
      <c r="P1128" s="406">
        <v>1125</v>
      </c>
      <c r="Q1128" s="270" t="s">
        <v>2023</v>
      </c>
      <c r="R1128" s="460" t="s">
        <v>1883</v>
      </c>
      <c r="S1128" s="270" t="s">
        <v>1884</v>
      </c>
      <c r="U1128" s="471"/>
      <c r="V1128" s="471"/>
      <c r="W1128" s="522"/>
      <c r="X1128" s="471"/>
      <c r="Y1128" s="206"/>
      <c r="Z1128" s="206"/>
    </row>
    <row r="1129" spans="1:26">
      <c r="A1129" s="406">
        <v>1126</v>
      </c>
      <c r="B1129" s="613" t="s">
        <v>7020</v>
      </c>
      <c r="C1129" s="288" t="s">
        <v>2024</v>
      </c>
      <c r="D1129" s="414" t="s">
        <v>4884</v>
      </c>
      <c r="E1129" s="407" t="s">
        <v>4884</v>
      </c>
      <c r="F1129" s="483"/>
      <c r="G1129" s="483"/>
      <c r="H1129" s="483"/>
      <c r="I1129" s="483"/>
      <c r="J1129" s="483"/>
      <c r="K1129" s="483"/>
      <c r="L1129" s="608" t="s">
        <v>4884</v>
      </c>
      <c r="M1129" s="409" t="s">
        <v>4884</v>
      </c>
      <c r="N1129" s="409" t="s">
        <v>4884</v>
      </c>
      <c r="O1129" s="410" t="s">
        <v>4884</v>
      </c>
      <c r="P1129" s="406">
        <v>1126</v>
      </c>
      <c r="Q1129" s="270" t="s">
        <v>2024</v>
      </c>
      <c r="R1129" s="460" t="s">
        <v>1883</v>
      </c>
      <c r="S1129" s="270" t="s">
        <v>1884</v>
      </c>
      <c r="U1129" s="471"/>
      <c r="V1129" s="471"/>
      <c r="W1129" s="522"/>
      <c r="X1129" s="471"/>
      <c r="Y1129" s="206"/>
      <c r="Z1129" s="206"/>
    </row>
    <row r="1130" spans="1:26">
      <c r="A1130" s="406">
        <v>1127</v>
      </c>
      <c r="B1130" s="613" t="s">
        <v>7020</v>
      </c>
      <c r="C1130" s="288" t="s">
        <v>2025</v>
      </c>
      <c r="D1130" s="414" t="s">
        <v>4884</v>
      </c>
      <c r="E1130" s="407" t="s">
        <v>4884</v>
      </c>
      <c r="F1130" s="483"/>
      <c r="G1130" s="483"/>
      <c r="H1130" s="483"/>
      <c r="I1130" s="483"/>
      <c r="J1130" s="483"/>
      <c r="K1130" s="483"/>
      <c r="L1130" s="608" t="s">
        <v>4884</v>
      </c>
      <c r="M1130" s="409" t="s">
        <v>4884</v>
      </c>
      <c r="N1130" s="409" t="s">
        <v>4884</v>
      </c>
      <c r="O1130" s="410" t="s">
        <v>4884</v>
      </c>
      <c r="P1130" s="406">
        <v>1127</v>
      </c>
      <c r="Q1130" s="270" t="s">
        <v>2025</v>
      </c>
      <c r="R1130" s="460" t="s">
        <v>1883</v>
      </c>
      <c r="S1130" s="270" t="s">
        <v>1884</v>
      </c>
      <c r="U1130" s="471"/>
      <c r="V1130" s="471"/>
      <c r="W1130" s="469"/>
      <c r="X1130" s="471"/>
      <c r="Y1130" s="206"/>
      <c r="Z1130" s="206"/>
    </row>
    <row r="1131" spans="1:26">
      <c r="A1131" s="406">
        <v>1128</v>
      </c>
      <c r="B1131" s="613" t="s">
        <v>7020</v>
      </c>
      <c r="C1131" s="288" t="s">
        <v>2026</v>
      </c>
      <c r="D1131" s="414" t="s">
        <v>4884</v>
      </c>
      <c r="E1131" s="407" t="s">
        <v>4884</v>
      </c>
      <c r="F1131" s="483"/>
      <c r="G1131" s="483"/>
      <c r="H1131" s="483"/>
      <c r="I1131" s="483"/>
      <c r="J1131" s="483"/>
      <c r="K1131" s="483"/>
      <c r="L1131" s="608" t="s">
        <v>4884</v>
      </c>
      <c r="M1131" s="409" t="s">
        <v>4884</v>
      </c>
      <c r="N1131" s="409" t="s">
        <v>4884</v>
      </c>
      <c r="O1131" s="410" t="s">
        <v>4884</v>
      </c>
      <c r="P1131" s="406">
        <v>1128</v>
      </c>
      <c r="Q1131" s="270" t="s">
        <v>2026</v>
      </c>
      <c r="R1131" s="460" t="s">
        <v>1883</v>
      </c>
      <c r="S1131" s="270" t="s">
        <v>1884</v>
      </c>
      <c r="U1131" s="471"/>
      <c r="V1131" s="471"/>
      <c r="W1131" s="469"/>
      <c r="X1131" s="471"/>
      <c r="Y1131" s="206"/>
      <c r="Z1131" s="206"/>
    </row>
    <row r="1132" spans="1:26">
      <c r="A1132" s="406">
        <v>1129</v>
      </c>
      <c r="B1132" s="613" t="s">
        <v>7020</v>
      </c>
      <c r="C1132" s="288" t="s">
        <v>2027</v>
      </c>
      <c r="D1132" s="414" t="s">
        <v>4884</v>
      </c>
      <c r="E1132" s="407" t="s">
        <v>4884</v>
      </c>
      <c r="F1132" s="483"/>
      <c r="G1132" s="483"/>
      <c r="H1132" s="483"/>
      <c r="I1132" s="483"/>
      <c r="J1132" s="483"/>
      <c r="K1132" s="483"/>
      <c r="L1132" s="608" t="s">
        <v>4884</v>
      </c>
      <c r="M1132" s="409" t="s">
        <v>4884</v>
      </c>
      <c r="N1132" s="409" t="s">
        <v>4884</v>
      </c>
      <c r="O1132" s="410" t="s">
        <v>4884</v>
      </c>
      <c r="P1132" s="406">
        <v>1129</v>
      </c>
      <c r="Q1132" s="270" t="s">
        <v>2027</v>
      </c>
      <c r="R1132" s="460" t="s">
        <v>1883</v>
      </c>
      <c r="S1132" s="270" t="s">
        <v>1884</v>
      </c>
      <c r="U1132" s="471"/>
      <c r="V1132" s="471"/>
      <c r="W1132" s="479"/>
      <c r="X1132" s="471"/>
      <c r="Y1132" s="206"/>
      <c r="Z1132" s="206"/>
    </row>
    <row r="1133" spans="1:26">
      <c r="A1133" s="406">
        <v>1130</v>
      </c>
      <c r="B1133" s="613" t="s">
        <v>7020</v>
      </c>
      <c r="C1133" s="288" t="s">
        <v>2028</v>
      </c>
      <c r="D1133" s="414" t="s">
        <v>4884</v>
      </c>
      <c r="E1133" s="407" t="s">
        <v>4884</v>
      </c>
      <c r="F1133" s="483"/>
      <c r="G1133" s="483"/>
      <c r="H1133" s="483"/>
      <c r="I1133" s="483"/>
      <c r="J1133" s="483"/>
      <c r="K1133" s="483"/>
      <c r="L1133" s="608" t="s">
        <v>4884</v>
      </c>
      <c r="M1133" s="409" t="s">
        <v>4884</v>
      </c>
      <c r="N1133" s="409" t="s">
        <v>4884</v>
      </c>
      <c r="O1133" s="410" t="s">
        <v>4884</v>
      </c>
      <c r="P1133" s="406">
        <v>1130</v>
      </c>
      <c r="Q1133" s="270" t="s">
        <v>2028</v>
      </c>
      <c r="R1133" s="460" t="s">
        <v>1883</v>
      </c>
      <c r="S1133" s="270" t="s">
        <v>1884</v>
      </c>
      <c r="U1133" s="471"/>
      <c r="V1133" s="471"/>
      <c r="W1133" s="479"/>
      <c r="X1133" s="471"/>
      <c r="Y1133" s="206"/>
      <c r="Z1133" s="206"/>
    </row>
    <row r="1134" spans="1:26">
      <c r="A1134" s="406">
        <v>1131</v>
      </c>
      <c r="B1134" s="613" t="s">
        <v>7020</v>
      </c>
      <c r="C1134" s="288" t="s">
        <v>2029</v>
      </c>
      <c r="D1134" s="414" t="s">
        <v>4884</v>
      </c>
      <c r="E1134" s="407" t="s">
        <v>4884</v>
      </c>
      <c r="F1134" s="483"/>
      <c r="G1134" s="483"/>
      <c r="H1134" s="483"/>
      <c r="I1134" s="483"/>
      <c r="J1134" s="483"/>
      <c r="K1134" s="483"/>
      <c r="L1134" s="608" t="s">
        <v>4884</v>
      </c>
      <c r="M1134" s="409" t="s">
        <v>4884</v>
      </c>
      <c r="N1134" s="409" t="s">
        <v>4884</v>
      </c>
      <c r="O1134" s="410" t="s">
        <v>4884</v>
      </c>
      <c r="P1134" s="406">
        <v>1131</v>
      </c>
      <c r="Q1134" s="270" t="s">
        <v>2029</v>
      </c>
      <c r="R1134" s="460" t="s">
        <v>1883</v>
      </c>
      <c r="S1134" s="270" t="s">
        <v>1884</v>
      </c>
      <c r="U1134" s="471"/>
      <c r="V1134" s="471"/>
      <c r="W1134" s="479"/>
      <c r="X1134" s="471"/>
      <c r="Y1134" s="206"/>
      <c r="Z1134" s="206"/>
    </row>
    <row r="1135" spans="1:26">
      <c r="A1135" s="406">
        <v>1132</v>
      </c>
      <c r="B1135" s="613" t="s">
        <v>7020</v>
      </c>
      <c r="C1135" s="288" t="s">
        <v>2030</v>
      </c>
      <c r="D1135" s="414" t="s">
        <v>4884</v>
      </c>
      <c r="E1135" s="407" t="s">
        <v>4884</v>
      </c>
      <c r="F1135" s="483"/>
      <c r="G1135" s="483"/>
      <c r="H1135" s="483"/>
      <c r="I1135" s="483"/>
      <c r="J1135" s="483"/>
      <c r="K1135" s="483"/>
      <c r="L1135" s="608" t="s">
        <v>4884</v>
      </c>
      <c r="M1135" s="409" t="s">
        <v>4884</v>
      </c>
      <c r="N1135" s="409" t="s">
        <v>4884</v>
      </c>
      <c r="O1135" s="410" t="s">
        <v>4884</v>
      </c>
      <c r="P1135" s="406">
        <v>1132</v>
      </c>
      <c r="Q1135" s="270" t="s">
        <v>2030</v>
      </c>
      <c r="R1135" s="460" t="s">
        <v>1883</v>
      </c>
      <c r="S1135" s="270" t="s">
        <v>1884</v>
      </c>
      <c r="U1135" s="471"/>
      <c r="V1135" s="471"/>
      <c r="W1135" s="479"/>
      <c r="X1135" s="471"/>
      <c r="Y1135" s="206"/>
      <c r="Z1135" s="206"/>
    </row>
    <row r="1136" spans="1:26">
      <c r="A1136" s="406">
        <v>1133</v>
      </c>
      <c r="B1136" s="613" t="s">
        <v>7020</v>
      </c>
      <c r="C1136" s="288" t="s">
        <v>2031</v>
      </c>
      <c r="D1136" s="414" t="s">
        <v>4884</v>
      </c>
      <c r="E1136" s="407" t="s">
        <v>4884</v>
      </c>
      <c r="F1136" s="483"/>
      <c r="G1136" s="483"/>
      <c r="H1136" s="483"/>
      <c r="I1136" s="483"/>
      <c r="J1136" s="483"/>
      <c r="K1136" s="483"/>
      <c r="L1136" s="608" t="s">
        <v>4884</v>
      </c>
      <c r="M1136" s="409" t="s">
        <v>4884</v>
      </c>
      <c r="N1136" s="409" t="s">
        <v>4884</v>
      </c>
      <c r="O1136" s="410" t="s">
        <v>4884</v>
      </c>
      <c r="P1136" s="406">
        <v>1133</v>
      </c>
      <c r="Q1136" s="270" t="s">
        <v>2031</v>
      </c>
      <c r="R1136" s="460" t="s">
        <v>1883</v>
      </c>
      <c r="S1136" s="270" t="s">
        <v>1884</v>
      </c>
      <c r="U1136" s="471"/>
      <c r="V1136" s="471"/>
      <c r="W1136" s="479"/>
      <c r="X1136" s="471"/>
      <c r="Y1136" s="206"/>
      <c r="Z1136" s="206"/>
    </row>
    <row r="1137" spans="1:26">
      <c r="A1137" s="406">
        <v>1134</v>
      </c>
      <c r="B1137" s="613" t="s">
        <v>7020</v>
      </c>
      <c r="C1137" s="288" t="s">
        <v>2032</v>
      </c>
      <c r="D1137" s="414" t="s">
        <v>4884</v>
      </c>
      <c r="E1137" s="407" t="s">
        <v>4884</v>
      </c>
      <c r="F1137" s="483"/>
      <c r="G1137" s="483"/>
      <c r="H1137" s="483"/>
      <c r="I1137" s="483"/>
      <c r="J1137" s="483"/>
      <c r="K1137" s="483"/>
      <c r="L1137" s="608" t="s">
        <v>4884</v>
      </c>
      <c r="M1137" s="409" t="s">
        <v>4884</v>
      </c>
      <c r="N1137" s="409" t="s">
        <v>4884</v>
      </c>
      <c r="O1137" s="410" t="s">
        <v>4884</v>
      </c>
      <c r="P1137" s="406">
        <v>1134</v>
      </c>
      <c r="Q1137" s="270" t="s">
        <v>2032</v>
      </c>
      <c r="R1137" s="460" t="s">
        <v>1883</v>
      </c>
      <c r="S1137" s="270" t="s">
        <v>1884</v>
      </c>
      <c r="U1137" s="471"/>
      <c r="V1137" s="471"/>
      <c r="W1137" s="479"/>
      <c r="X1137" s="471"/>
      <c r="Y1137" s="206"/>
      <c r="Z1137" s="206"/>
    </row>
    <row r="1138" spans="1:26">
      <c r="A1138" s="406">
        <v>1135</v>
      </c>
      <c r="B1138" s="613" t="s">
        <v>7020</v>
      </c>
      <c r="C1138" s="288" t="s">
        <v>2033</v>
      </c>
      <c r="D1138" s="414" t="s">
        <v>4884</v>
      </c>
      <c r="E1138" s="407" t="s">
        <v>4884</v>
      </c>
      <c r="F1138" s="483"/>
      <c r="G1138" s="483"/>
      <c r="H1138" s="483"/>
      <c r="I1138" s="483"/>
      <c r="J1138" s="483"/>
      <c r="K1138" s="483"/>
      <c r="L1138" s="608" t="s">
        <v>4884</v>
      </c>
      <c r="M1138" s="409" t="s">
        <v>4884</v>
      </c>
      <c r="N1138" s="409" t="s">
        <v>4884</v>
      </c>
      <c r="O1138" s="410" t="s">
        <v>4884</v>
      </c>
      <c r="P1138" s="406">
        <v>1135</v>
      </c>
      <c r="Q1138" s="270" t="s">
        <v>2033</v>
      </c>
      <c r="R1138" s="460" t="s">
        <v>1883</v>
      </c>
      <c r="S1138" s="270" t="s">
        <v>1884</v>
      </c>
      <c r="U1138" s="471"/>
      <c r="V1138" s="471"/>
      <c r="W1138" s="518"/>
      <c r="X1138" s="471"/>
      <c r="Y1138" s="206"/>
      <c r="Z1138" s="206"/>
    </row>
    <row r="1139" spans="1:26">
      <c r="A1139" s="406">
        <v>1136</v>
      </c>
      <c r="B1139" s="613" t="s">
        <v>7020</v>
      </c>
      <c r="C1139" s="288" t="s">
        <v>2034</v>
      </c>
      <c r="D1139" s="414" t="s">
        <v>4884</v>
      </c>
      <c r="E1139" s="407" t="s">
        <v>4884</v>
      </c>
      <c r="F1139" s="483"/>
      <c r="G1139" s="483"/>
      <c r="H1139" s="483"/>
      <c r="I1139" s="483"/>
      <c r="J1139" s="483"/>
      <c r="K1139" s="483"/>
      <c r="L1139" s="608" t="s">
        <v>4884</v>
      </c>
      <c r="M1139" s="409" t="s">
        <v>4884</v>
      </c>
      <c r="N1139" s="409" t="s">
        <v>4884</v>
      </c>
      <c r="O1139" s="410" t="s">
        <v>4884</v>
      </c>
      <c r="P1139" s="406">
        <v>1136</v>
      </c>
      <c r="Q1139" s="270" t="s">
        <v>2034</v>
      </c>
      <c r="R1139" s="460" t="s">
        <v>1883</v>
      </c>
      <c r="S1139" s="270" t="s">
        <v>1884</v>
      </c>
      <c r="U1139" s="471"/>
      <c r="V1139" s="471"/>
      <c r="W1139" s="518"/>
      <c r="X1139" s="471"/>
      <c r="Y1139" s="206"/>
      <c r="Z1139" s="206"/>
    </row>
    <row r="1140" spans="1:26">
      <c r="A1140" s="406">
        <v>1137</v>
      </c>
      <c r="B1140" s="613" t="s">
        <v>7020</v>
      </c>
      <c r="C1140" s="288" t="s">
        <v>2035</v>
      </c>
      <c r="D1140" s="414" t="s">
        <v>4884</v>
      </c>
      <c r="E1140" s="407" t="s">
        <v>4884</v>
      </c>
      <c r="F1140" s="483"/>
      <c r="G1140" s="483"/>
      <c r="H1140" s="483"/>
      <c r="I1140" s="483"/>
      <c r="J1140" s="483"/>
      <c r="K1140" s="483"/>
      <c r="L1140" s="608" t="s">
        <v>4884</v>
      </c>
      <c r="M1140" s="409" t="s">
        <v>4884</v>
      </c>
      <c r="N1140" s="409" t="s">
        <v>4884</v>
      </c>
      <c r="O1140" s="410" t="s">
        <v>4884</v>
      </c>
      <c r="P1140" s="406">
        <v>1137</v>
      </c>
      <c r="Q1140" s="270" t="s">
        <v>2035</v>
      </c>
      <c r="R1140" s="460" t="s">
        <v>1883</v>
      </c>
      <c r="S1140" s="270" t="s">
        <v>1884</v>
      </c>
      <c r="U1140" s="471"/>
      <c r="V1140" s="471"/>
      <c r="W1140" s="471"/>
      <c r="X1140" s="471"/>
      <c r="Y1140" s="206"/>
      <c r="Z1140" s="206"/>
    </row>
    <row r="1141" spans="1:26">
      <c r="A1141" s="406">
        <v>1138</v>
      </c>
      <c r="B1141" s="613" t="s">
        <v>7020</v>
      </c>
      <c r="C1141" s="288" t="s">
        <v>2036</v>
      </c>
      <c r="D1141" s="414" t="s">
        <v>4884</v>
      </c>
      <c r="E1141" s="407" t="s">
        <v>4884</v>
      </c>
      <c r="F1141" s="483"/>
      <c r="G1141" s="483"/>
      <c r="H1141" s="483"/>
      <c r="I1141" s="483"/>
      <c r="J1141" s="483"/>
      <c r="K1141" s="483"/>
      <c r="L1141" s="608" t="s">
        <v>4884</v>
      </c>
      <c r="M1141" s="409" t="s">
        <v>4884</v>
      </c>
      <c r="N1141" s="409" t="s">
        <v>4884</v>
      </c>
      <c r="O1141" s="410" t="s">
        <v>4884</v>
      </c>
      <c r="P1141" s="406">
        <v>1138</v>
      </c>
      <c r="Q1141" s="270" t="s">
        <v>2036</v>
      </c>
      <c r="R1141" s="460" t="s">
        <v>1883</v>
      </c>
      <c r="S1141" s="270" t="s">
        <v>1884</v>
      </c>
      <c r="U1141" s="471"/>
      <c r="V1141" s="471"/>
      <c r="W1141" s="477"/>
      <c r="X1141" s="471"/>
      <c r="Y1141" s="206"/>
      <c r="Z1141" s="206"/>
    </row>
    <row r="1142" spans="1:26">
      <c r="A1142" s="406">
        <v>1139</v>
      </c>
      <c r="B1142" s="613" t="s">
        <v>7020</v>
      </c>
      <c r="C1142" s="288" t="s">
        <v>2037</v>
      </c>
      <c r="D1142" s="414" t="s">
        <v>4884</v>
      </c>
      <c r="E1142" s="407" t="s">
        <v>4884</v>
      </c>
      <c r="F1142" s="483"/>
      <c r="G1142" s="483"/>
      <c r="H1142" s="483"/>
      <c r="I1142" s="483"/>
      <c r="J1142" s="483"/>
      <c r="K1142" s="483"/>
      <c r="L1142" s="608" t="s">
        <v>4884</v>
      </c>
      <c r="M1142" s="409" t="s">
        <v>4884</v>
      </c>
      <c r="N1142" s="409" t="s">
        <v>4884</v>
      </c>
      <c r="O1142" s="410" t="s">
        <v>4884</v>
      </c>
      <c r="P1142" s="406">
        <v>1139</v>
      </c>
      <c r="Q1142" s="270" t="s">
        <v>2037</v>
      </c>
      <c r="R1142" s="460" t="s">
        <v>1883</v>
      </c>
      <c r="S1142" s="270" t="s">
        <v>1884</v>
      </c>
      <c r="U1142" s="471"/>
      <c r="V1142" s="471"/>
      <c r="W1142" s="477"/>
      <c r="X1142" s="471"/>
      <c r="Y1142" s="206"/>
      <c r="Z1142" s="206"/>
    </row>
    <row r="1143" spans="1:26">
      <c r="A1143" s="406">
        <v>1140</v>
      </c>
      <c r="B1143" s="613" t="s">
        <v>7020</v>
      </c>
      <c r="C1143" s="288" t="s">
        <v>2038</v>
      </c>
      <c r="D1143" s="414" t="s">
        <v>4884</v>
      </c>
      <c r="E1143" s="407" t="s">
        <v>4884</v>
      </c>
      <c r="F1143" s="483"/>
      <c r="G1143" s="483"/>
      <c r="H1143" s="483"/>
      <c r="I1143" s="483"/>
      <c r="J1143" s="483"/>
      <c r="K1143" s="483"/>
      <c r="L1143" s="608" t="s">
        <v>4884</v>
      </c>
      <c r="M1143" s="409" t="s">
        <v>4884</v>
      </c>
      <c r="N1143" s="409" t="s">
        <v>4884</v>
      </c>
      <c r="O1143" s="410" t="s">
        <v>4884</v>
      </c>
      <c r="P1143" s="406">
        <v>1140</v>
      </c>
      <c r="Q1143" s="270" t="s">
        <v>2038</v>
      </c>
      <c r="R1143" s="460" t="s">
        <v>1883</v>
      </c>
      <c r="S1143" s="270" t="s">
        <v>1884</v>
      </c>
      <c r="U1143" s="471"/>
      <c r="V1143" s="471"/>
      <c r="W1143" s="471"/>
      <c r="X1143" s="471"/>
      <c r="Y1143" s="206"/>
      <c r="Z1143" s="206"/>
    </row>
    <row r="1144" spans="1:26">
      <c r="A1144" s="406">
        <v>1141</v>
      </c>
      <c r="B1144" s="613" t="s">
        <v>7020</v>
      </c>
      <c r="C1144" s="288" t="s">
        <v>2039</v>
      </c>
      <c r="D1144" s="414" t="s">
        <v>4884</v>
      </c>
      <c r="E1144" s="407" t="s">
        <v>4884</v>
      </c>
      <c r="F1144" s="483"/>
      <c r="G1144" s="483"/>
      <c r="H1144" s="483"/>
      <c r="I1144" s="483"/>
      <c r="J1144" s="483"/>
      <c r="K1144" s="483"/>
      <c r="L1144" s="608" t="s">
        <v>4884</v>
      </c>
      <c r="M1144" s="409" t="s">
        <v>4884</v>
      </c>
      <c r="N1144" s="409" t="s">
        <v>4884</v>
      </c>
      <c r="O1144" s="410" t="s">
        <v>4884</v>
      </c>
      <c r="P1144" s="406">
        <v>1141</v>
      </c>
      <c r="Q1144" s="270" t="s">
        <v>2039</v>
      </c>
      <c r="R1144" s="460" t="s">
        <v>1883</v>
      </c>
      <c r="S1144" s="270" t="s">
        <v>1884</v>
      </c>
      <c r="U1144" s="471"/>
      <c r="V1144" s="471"/>
      <c r="W1144" s="471"/>
      <c r="X1144" s="471"/>
      <c r="Y1144" s="206"/>
      <c r="Z1144" s="206"/>
    </row>
    <row r="1145" spans="1:26">
      <c r="A1145" s="406">
        <v>1142</v>
      </c>
      <c r="B1145" s="613" t="s">
        <v>7020</v>
      </c>
      <c r="C1145" s="288" t="s">
        <v>2040</v>
      </c>
      <c r="D1145" s="414" t="s">
        <v>4884</v>
      </c>
      <c r="E1145" s="407" t="s">
        <v>4884</v>
      </c>
      <c r="F1145" s="483"/>
      <c r="G1145" s="483"/>
      <c r="H1145" s="483"/>
      <c r="I1145" s="483"/>
      <c r="J1145" s="483"/>
      <c r="K1145" s="483"/>
      <c r="L1145" s="608" t="s">
        <v>4884</v>
      </c>
      <c r="M1145" s="409" t="s">
        <v>4884</v>
      </c>
      <c r="N1145" s="409" t="s">
        <v>4884</v>
      </c>
      <c r="O1145" s="410" t="s">
        <v>4884</v>
      </c>
      <c r="P1145" s="406">
        <v>1142</v>
      </c>
      <c r="Q1145" s="270" t="s">
        <v>2040</v>
      </c>
      <c r="R1145" s="460" t="s">
        <v>1883</v>
      </c>
      <c r="S1145" s="270" t="s">
        <v>1884</v>
      </c>
      <c r="U1145" s="471"/>
      <c r="V1145" s="471"/>
      <c r="W1145" s="471"/>
      <c r="X1145" s="471"/>
      <c r="Y1145" s="206"/>
      <c r="Z1145" s="206"/>
    </row>
    <row r="1146" spans="1:26">
      <c r="A1146" s="406">
        <v>1143</v>
      </c>
      <c r="B1146" s="613" t="s">
        <v>7020</v>
      </c>
      <c r="C1146" s="288" t="s">
        <v>2041</v>
      </c>
      <c r="D1146" s="414" t="s">
        <v>4884</v>
      </c>
      <c r="E1146" s="407" t="s">
        <v>4884</v>
      </c>
      <c r="F1146" s="483"/>
      <c r="G1146" s="483"/>
      <c r="H1146" s="483"/>
      <c r="I1146" s="483"/>
      <c r="J1146" s="483"/>
      <c r="K1146" s="483"/>
      <c r="L1146" s="608" t="s">
        <v>4884</v>
      </c>
      <c r="M1146" s="409" t="s">
        <v>4884</v>
      </c>
      <c r="N1146" s="409" t="s">
        <v>4884</v>
      </c>
      <c r="O1146" s="410" t="s">
        <v>4884</v>
      </c>
      <c r="P1146" s="406">
        <v>1143</v>
      </c>
      <c r="Q1146" s="270" t="s">
        <v>2041</v>
      </c>
      <c r="R1146" s="460" t="s">
        <v>1883</v>
      </c>
      <c r="S1146" s="270" t="s">
        <v>1884</v>
      </c>
      <c r="U1146" s="471"/>
      <c r="V1146" s="471"/>
      <c r="W1146" s="471"/>
      <c r="X1146" s="471"/>
      <c r="Y1146" s="206"/>
      <c r="Z1146" s="206"/>
    </row>
    <row r="1147" spans="1:26">
      <c r="A1147" s="406">
        <v>1144</v>
      </c>
      <c r="B1147" s="613" t="s">
        <v>7020</v>
      </c>
      <c r="C1147" s="288" t="s">
        <v>2042</v>
      </c>
      <c r="D1147" s="414" t="s">
        <v>4884</v>
      </c>
      <c r="E1147" s="407" t="s">
        <v>4884</v>
      </c>
      <c r="F1147" s="483"/>
      <c r="G1147" s="483"/>
      <c r="H1147" s="483"/>
      <c r="I1147" s="483"/>
      <c r="J1147" s="483"/>
      <c r="K1147" s="483"/>
      <c r="L1147" s="608" t="s">
        <v>4884</v>
      </c>
      <c r="M1147" s="409" t="s">
        <v>4884</v>
      </c>
      <c r="N1147" s="409" t="s">
        <v>4884</v>
      </c>
      <c r="O1147" s="410" t="s">
        <v>4884</v>
      </c>
      <c r="P1147" s="406">
        <v>1144</v>
      </c>
      <c r="Q1147" s="270" t="s">
        <v>2042</v>
      </c>
      <c r="R1147" s="460" t="s">
        <v>1883</v>
      </c>
      <c r="S1147" s="270" t="s">
        <v>1884</v>
      </c>
      <c r="U1147" s="471"/>
      <c r="V1147" s="471"/>
      <c r="W1147" s="471"/>
      <c r="X1147" s="471"/>
      <c r="Y1147" s="206"/>
      <c r="Z1147" s="206"/>
    </row>
    <row r="1148" spans="1:26">
      <c r="A1148" s="406">
        <v>1145</v>
      </c>
      <c r="B1148" s="613" t="s">
        <v>7020</v>
      </c>
      <c r="C1148" s="288" t="s">
        <v>2043</v>
      </c>
      <c r="D1148" s="414" t="s">
        <v>4884</v>
      </c>
      <c r="E1148" s="407" t="s">
        <v>4884</v>
      </c>
      <c r="F1148" s="483"/>
      <c r="G1148" s="483"/>
      <c r="H1148" s="483"/>
      <c r="I1148" s="483"/>
      <c r="J1148" s="483"/>
      <c r="K1148" s="483"/>
      <c r="L1148" s="608" t="s">
        <v>4884</v>
      </c>
      <c r="M1148" s="409" t="s">
        <v>4884</v>
      </c>
      <c r="N1148" s="409" t="s">
        <v>4884</v>
      </c>
      <c r="O1148" s="410" t="s">
        <v>4884</v>
      </c>
      <c r="P1148" s="406">
        <v>1145</v>
      </c>
      <c r="Q1148" s="270" t="s">
        <v>2043</v>
      </c>
      <c r="R1148" s="523" t="s">
        <v>1883</v>
      </c>
      <c r="S1148" s="270" t="s">
        <v>1884</v>
      </c>
      <c r="U1148" s="471"/>
      <c r="V1148" s="471"/>
      <c r="W1148" s="471"/>
      <c r="X1148" s="471"/>
      <c r="Y1148" s="206"/>
      <c r="Z1148" s="206"/>
    </row>
    <row r="1149" spans="1:26">
      <c r="A1149" s="406">
        <v>1146</v>
      </c>
      <c r="B1149" s="613" t="s">
        <v>7020</v>
      </c>
      <c r="C1149" s="288" t="s">
        <v>2044</v>
      </c>
      <c r="D1149" s="414" t="s">
        <v>4884</v>
      </c>
      <c r="E1149" s="407" t="s">
        <v>4884</v>
      </c>
      <c r="F1149" s="483"/>
      <c r="G1149" s="483"/>
      <c r="H1149" s="483"/>
      <c r="I1149" s="483"/>
      <c r="J1149" s="483"/>
      <c r="K1149" s="483"/>
      <c r="L1149" s="608" t="s">
        <v>4884</v>
      </c>
      <c r="M1149" s="409" t="s">
        <v>4884</v>
      </c>
      <c r="N1149" s="409" t="s">
        <v>4884</v>
      </c>
      <c r="O1149" s="410" t="s">
        <v>4884</v>
      </c>
      <c r="P1149" s="406">
        <v>1146</v>
      </c>
      <c r="Q1149" s="270" t="s">
        <v>2044</v>
      </c>
      <c r="R1149" s="523" t="s">
        <v>1883</v>
      </c>
      <c r="S1149" s="270" t="s">
        <v>1884</v>
      </c>
      <c r="U1149" s="471"/>
      <c r="V1149" s="471"/>
      <c r="W1149" s="471"/>
      <c r="X1149" s="471"/>
      <c r="Y1149" s="206"/>
      <c r="Z1149" s="206"/>
    </row>
    <row r="1150" spans="1:26">
      <c r="A1150" s="406">
        <v>1147</v>
      </c>
      <c r="B1150" s="613" t="s">
        <v>7020</v>
      </c>
      <c r="C1150" s="288" t="s">
        <v>2045</v>
      </c>
      <c r="D1150" s="414" t="s">
        <v>4884</v>
      </c>
      <c r="E1150" s="407" t="s">
        <v>4884</v>
      </c>
      <c r="F1150" s="483"/>
      <c r="G1150" s="483"/>
      <c r="H1150" s="483"/>
      <c r="I1150" s="483"/>
      <c r="J1150" s="483"/>
      <c r="K1150" s="483"/>
      <c r="L1150" s="608" t="s">
        <v>4884</v>
      </c>
      <c r="M1150" s="409" t="s">
        <v>4884</v>
      </c>
      <c r="N1150" s="409" t="s">
        <v>4884</v>
      </c>
      <c r="O1150" s="410" t="s">
        <v>4884</v>
      </c>
      <c r="P1150" s="406">
        <v>1147</v>
      </c>
      <c r="Q1150" s="270" t="s">
        <v>2045</v>
      </c>
      <c r="R1150" s="523" t="s">
        <v>1883</v>
      </c>
      <c r="S1150" s="270" t="s">
        <v>1884</v>
      </c>
      <c r="U1150" s="471"/>
      <c r="V1150" s="471"/>
      <c r="W1150" s="471"/>
      <c r="X1150" s="471"/>
      <c r="Y1150" s="206"/>
      <c r="Z1150" s="206"/>
    </row>
    <row r="1151" spans="1:26">
      <c r="A1151" s="406">
        <v>1148</v>
      </c>
      <c r="B1151" s="613" t="s">
        <v>7020</v>
      </c>
      <c r="C1151" s="288" t="s">
        <v>2046</v>
      </c>
      <c r="D1151" s="414" t="s">
        <v>4884</v>
      </c>
      <c r="E1151" s="407" t="s">
        <v>4884</v>
      </c>
      <c r="F1151" s="483"/>
      <c r="G1151" s="483"/>
      <c r="H1151" s="483"/>
      <c r="I1151" s="483"/>
      <c r="J1151" s="483"/>
      <c r="K1151" s="483"/>
      <c r="L1151" s="608" t="s">
        <v>4884</v>
      </c>
      <c r="M1151" s="409" t="s">
        <v>4884</v>
      </c>
      <c r="N1151" s="409" t="s">
        <v>4884</v>
      </c>
      <c r="O1151" s="410" t="s">
        <v>4884</v>
      </c>
      <c r="P1151" s="406">
        <v>1148</v>
      </c>
      <c r="Q1151" s="270" t="s">
        <v>2046</v>
      </c>
      <c r="R1151" s="523" t="s">
        <v>1883</v>
      </c>
      <c r="S1151" s="270" t="s">
        <v>1884</v>
      </c>
      <c r="U1151" s="471"/>
      <c r="V1151" s="471"/>
      <c r="W1151" s="471"/>
      <c r="X1151" s="471"/>
      <c r="Y1151" s="206"/>
      <c r="Z1151" s="206"/>
    </row>
    <row r="1152" spans="1:26">
      <c r="A1152" s="406">
        <v>1149</v>
      </c>
      <c r="B1152" s="613" t="s">
        <v>7020</v>
      </c>
      <c r="C1152" s="288" t="s">
        <v>2047</v>
      </c>
      <c r="D1152" s="414" t="s">
        <v>4884</v>
      </c>
      <c r="E1152" s="407" t="s">
        <v>4884</v>
      </c>
      <c r="F1152" s="483"/>
      <c r="G1152" s="483"/>
      <c r="H1152" s="483"/>
      <c r="I1152" s="483"/>
      <c r="J1152" s="483"/>
      <c r="K1152" s="483"/>
      <c r="L1152" s="608" t="s">
        <v>4884</v>
      </c>
      <c r="M1152" s="409" t="s">
        <v>4884</v>
      </c>
      <c r="N1152" s="409" t="s">
        <v>4884</v>
      </c>
      <c r="O1152" s="410" t="s">
        <v>4884</v>
      </c>
      <c r="P1152" s="406">
        <v>1149</v>
      </c>
      <c r="Q1152" s="270" t="s">
        <v>2047</v>
      </c>
      <c r="R1152" s="523" t="s">
        <v>1883</v>
      </c>
      <c r="S1152" s="270" t="s">
        <v>1884</v>
      </c>
      <c r="U1152" s="471"/>
      <c r="V1152" s="471"/>
      <c r="W1152" s="471"/>
      <c r="X1152" s="471"/>
      <c r="Y1152" s="206"/>
      <c r="Z1152" s="206"/>
    </row>
    <row r="1153" spans="1:26">
      <c r="A1153" s="406">
        <v>1150</v>
      </c>
      <c r="B1153" s="613" t="s">
        <v>7020</v>
      </c>
      <c r="C1153" s="288" t="s">
        <v>2048</v>
      </c>
      <c r="D1153" s="414" t="s">
        <v>4884</v>
      </c>
      <c r="E1153" s="407" t="s">
        <v>4884</v>
      </c>
      <c r="F1153" s="483"/>
      <c r="G1153" s="483"/>
      <c r="H1153" s="483"/>
      <c r="I1153" s="483"/>
      <c r="J1153" s="483"/>
      <c r="K1153" s="483"/>
      <c r="L1153" s="608" t="s">
        <v>4884</v>
      </c>
      <c r="M1153" s="409" t="s">
        <v>4884</v>
      </c>
      <c r="N1153" s="409" t="s">
        <v>4884</v>
      </c>
      <c r="O1153" s="410" t="s">
        <v>4884</v>
      </c>
      <c r="P1153" s="406">
        <v>1150</v>
      </c>
      <c r="Q1153" s="270" t="s">
        <v>2048</v>
      </c>
      <c r="R1153" s="523" t="s">
        <v>1883</v>
      </c>
      <c r="S1153" s="270" t="s">
        <v>1884</v>
      </c>
      <c r="U1153" s="471"/>
      <c r="V1153" s="471"/>
      <c r="W1153" s="471"/>
      <c r="X1153" s="471"/>
      <c r="Y1153" s="206"/>
      <c r="Z1153" s="206"/>
    </row>
    <row r="1154" spans="1:26">
      <c r="A1154" s="406">
        <v>1151</v>
      </c>
      <c r="B1154" s="613" t="s">
        <v>7020</v>
      </c>
      <c r="C1154" s="288" t="s">
        <v>2049</v>
      </c>
      <c r="D1154" s="414" t="s">
        <v>4884</v>
      </c>
      <c r="E1154" s="407" t="s">
        <v>4884</v>
      </c>
      <c r="F1154" s="483"/>
      <c r="G1154" s="483"/>
      <c r="H1154" s="483"/>
      <c r="I1154" s="483"/>
      <c r="J1154" s="483"/>
      <c r="K1154" s="483"/>
      <c r="L1154" s="608" t="s">
        <v>4884</v>
      </c>
      <c r="M1154" s="409" t="s">
        <v>4884</v>
      </c>
      <c r="N1154" s="409" t="s">
        <v>4884</v>
      </c>
      <c r="O1154" s="410" t="s">
        <v>4884</v>
      </c>
      <c r="P1154" s="406">
        <v>1151</v>
      </c>
      <c r="Q1154" s="270" t="s">
        <v>2049</v>
      </c>
      <c r="R1154" s="523" t="s">
        <v>1883</v>
      </c>
      <c r="S1154" s="270" t="s">
        <v>1884</v>
      </c>
      <c r="U1154" s="471"/>
      <c r="V1154" s="471"/>
      <c r="W1154" s="471"/>
      <c r="X1154" s="471"/>
      <c r="Y1154" s="206"/>
      <c r="Z1154" s="206"/>
    </row>
    <row r="1155" spans="1:26">
      <c r="A1155" s="406">
        <v>1152</v>
      </c>
      <c r="B1155" s="613" t="s">
        <v>7020</v>
      </c>
      <c r="C1155" s="288" t="s">
        <v>2050</v>
      </c>
      <c r="D1155" s="414" t="s">
        <v>4884</v>
      </c>
      <c r="E1155" s="407" t="s">
        <v>4884</v>
      </c>
      <c r="F1155" s="483"/>
      <c r="G1155" s="483"/>
      <c r="H1155" s="483"/>
      <c r="I1155" s="483"/>
      <c r="J1155" s="483"/>
      <c r="K1155" s="483"/>
      <c r="L1155" s="608" t="s">
        <v>4884</v>
      </c>
      <c r="M1155" s="409" t="s">
        <v>4884</v>
      </c>
      <c r="N1155" s="409" t="s">
        <v>4884</v>
      </c>
      <c r="O1155" s="410" t="s">
        <v>4884</v>
      </c>
      <c r="P1155" s="406">
        <v>1152</v>
      </c>
      <c r="Q1155" s="270" t="s">
        <v>2050</v>
      </c>
      <c r="R1155" s="523" t="s">
        <v>1883</v>
      </c>
      <c r="S1155" s="270" t="s">
        <v>1884</v>
      </c>
      <c r="U1155" s="471"/>
      <c r="V1155" s="471"/>
      <c r="W1155" s="471"/>
      <c r="X1155" s="471"/>
      <c r="Y1155" s="206"/>
      <c r="Z1155" s="206"/>
    </row>
    <row r="1156" spans="1:26">
      <c r="A1156" s="406">
        <v>1153</v>
      </c>
      <c r="B1156" s="613" t="s">
        <v>7020</v>
      </c>
      <c r="C1156" s="288" t="s">
        <v>2051</v>
      </c>
      <c r="D1156" s="414" t="s">
        <v>4884</v>
      </c>
      <c r="E1156" s="407" t="s">
        <v>4884</v>
      </c>
      <c r="F1156" s="483"/>
      <c r="G1156" s="483"/>
      <c r="H1156" s="483"/>
      <c r="I1156" s="483"/>
      <c r="J1156" s="483"/>
      <c r="K1156" s="483"/>
      <c r="L1156" s="608" t="s">
        <v>4884</v>
      </c>
      <c r="M1156" s="409" t="s">
        <v>4884</v>
      </c>
      <c r="N1156" s="409" t="s">
        <v>4884</v>
      </c>
      <c r="O1156" s="410" t="s">
        <v>4884</v>
      </c>
      <c r="P1156" s="406">
        <v>1153</v>
      </c>
      <c r="Q1156" s="270" t="s">
        <v>2051</v>
      </c>
      <c r="R1156" s="523" t="s">
        <v>1883</v>
      </c>
      <c r="S1156" s="270" t="s">
        <v>1884</v>
      </c>
      <c r="U1156" s="471"/>
      <c r="V1156" s="471"/>
      <c r="W1156" s="471"/>
      <c r="X1156" s="471"/>
      <c r="Y1156" s="206"/>
      <c r="Z1156" s="206"/>
    </row>
    <row r="1157" spans="1:26">
      <c r="A1157" s="406">
        <v>1154</v>
      </c>
      <c r="B1157" s="613" t="s">
        <v>7020</v>
      </c>
      <c r="C1157" s="288" t="s">
        <v>2052</v>
      </c>
      <c r="D1157" s="414" t="s">
        <v>4884</v>
      </c>
      <c r="E1157" s="407" t="s">
        <v>4884</v>
      </c>
      <c r="F1157" s="483"/>
      <c r="G1157" s="483"/>
      <c r="H1157" s="483"/>
      <c r="I1157" s="483"/>
      <c r="J1157" s="483"/>
      <c r="K1157" s="483"/>
      <c r="L1157" s="608" t="s">
        <v>4884</v>
      </c>
      <c r="M1157" s="409" t="s">
        <v>4884</v>
      </c>
      <c r="N1157" s="409" t="s">
        <v>4884</v>
      </c>
      <c r="O1157" s="410" t="s">
        <v>4884</v>
      </c>
      <c r="P1157" s="406">
        <v>1154</v>
      </c>
      <c r="Q1157" s="270" t="s">
        <v>2052</v>
      </c>
      <c r="R1157" s="523" t="s">
        <v>1883</v>
      </c>
      <c r="S1157" s="270" t="s">
        <v>1884</v>
      </c>
      <c r="U1157" s="471"/>
      <c r="V1157" s="471"/>
      <c r="W1157" s="471"/>
      <c r="X1157" s="471"/>
      <c r="Y1157" s="206"/>
      <c r="Z1157" s="206"/>
    </row>
    <row r="1158" spans="1:26">
      <c r="A1158" s="406">
        <v>1155</v>
      </c>
      <c r="B1158" s="613" t="s">
        <v>7020</v>
      </c>
      <c r="C1158" s="288" t="s">
        <v>2053</v>
      </c>
      <c r="D1158" s="414" t="s">
        <v>4884</v>
      </c>
      <c r="E1158" s="407" t="s">
        <v>4884</v>
      </c>
      <c r="F1158" s="483"/>
      <c r="G1158" s="483"/>
      <c r="H1158" s="483"/>
      <c r="I1158" s="483"/>
      <c r="J1158" s="483"/>
      <c r="K1158" s="483"/>
      <c r="L1158" s="608" t="s">
        <v>4884</v>
      </c>
      <c r="M1158" s="409" t="s">
        <v>4884</v>
      </c>
      <c r="N1158" s="409" t="s">
        <v>4884</v>
      </c>
      <c r="O1158" s="410" t="s">
        <v>4884</v>
      </c>
      <c r="P1158" s="406">
        <v>1155</v>
      </c>
      <c r="Q1158" s="270" t="s">
        <v>2053</v>
      </c>
      <c r="R1158" s="523" t="s">
        <v>1883</v>
      </c>
      <c r="S1158" s="270" t="s">
        <v>1884</v>
      </c>
      <c r="U1158" s="471"/>
      <c r="V1158" s="471"/>
      <c r="W1158" s="471"/>
      <c r="X1158" s="471"/>
      <c r="Y1158" s="206"/>
      <c r="Z1158" s="206"/>
    </row>
    <row r="1159" spans="1:26">
      <c r="A1159" s="406">
        <v>1156</v>
      </c>
      <c r="B1159" s="613" t="s">
        <v>7020</v>
      </c>
      <c r="C1159" s="288" t="s">
        <v>2054</v>
      </c>
      <c r="D1159" s="414" t="s">
        <v>4884</v>
      </c>
      <c r="E1159" s="407" t="s">
        <v>4884</v>
      </c>
      <c r="F1159" s="483"/>
      <c r="G1159" s="483"/>
      <c r="H1159" s="483"/>
      <c r="I1159" s="483"/>
      <c r="J1159" s="483"/>
      <c r="K1159" s="483"/>
      <c r="L1159" s="608" t="s">
        <v>4884</v>
      </c>
      <c r="M1159" s="409" t="s">
        <v>4884</v>
      </c>
      <c r="N1159" s="409" t="s">
        <v>4884</v>
      </c>
      <c r="O1159" s="410" t="s">
        <v>4884</v>
      </c>
      <c r="P1159" s="406">
        <v>1156</v>
      </c>
      <c r="Q1159" s="270" t="s">
        <v>2054</v>
      </c>
      <c r="R1159" s="523" t="s">
        <v>1883</v>
      </c>
      <c r="S1159" s="270" t="s">
        <v>1884</v>
      </c>
      <c r="U1159" s="471"/>
      <c r="V1159" s="471"/>
      <c r="W1159" s="471"/>
      <c r="X1159" s="471"/>
      <c r="Y1159" s="206"/>
      <c r="Z1159" s="206"/>
    </row>
    <row r="1160" spans="1:26">
      <c r="A1160" s="406">
        <v>1157</v>
      </c>
      <c r="B1160" s="613" t="s">
        <v>7020</v>
      </c>
      <c r="C1160" s="288" t="s">
        <v>2055</v>
      </c>
      <c r="D1160" s="414" t="s">
        <v>4884</v>
      </c>
      <c r="E1160" s="407" t="s">
        <v>4884</v>
      </c>
      <c r="F1160" s="483"/>
      <c r="G1160" s="483"/>
      <c r="H1160" s="483"/>
      <c r="I1160" s="483"/>
      <c r="J1160" s="483"/>
      <c r="K1160" s="483"/>
      <c r="L1160" s="608" t="s">
        <v>4884</v>
      </c>
      <c r="M1160" s="409" t="s">
        <v>4884</v>
      </c>
      <c r="N1160" s="409" t="s">
        <v>4884</v>
      </c>
      <c r="O1160" s="410" t="s">
        <v>4884</v>
      </c>
      <c r="P1160" s="406">
        <v>1157</v>
      </c>
      <c r="Q1160" s="270" t="s">
        <v>2055</v>
      </c>
      <c r="R1160" s="523" t="s">
        <v>1883</v>
      </c>
      <c r="S1160" s="270" t="s">
        <v>1884</v>
      </c>
      <c r="U1160" s="471"/>
      <c r="V1160" s="471"/>
      <c r="W1160" s="471"/>
      <c r="X1160" s="471"/>
      <c r="Y1160" s="206"/>
      <c r="Z1160" s="206"/>
    </row>
    <row r="1161" spans="1:26">
      <c r="A1161" s="406">
        <v>1158</v>
      </c>
      <c r="B1161" s="613" t="s">
        <v>7020</v>
      </c>
      <c r="C1161" s="288" t="s">
        <v>2056</v>
      </c>
      <c r="D1161" s="414" t="s">
        <v>4884</v>
      </c>
      <c r="E1161" s="407" t="s">
        <v>4884</v>
      </c>
      <c r="F1161" s="483"/>
      <c r="G1161" s="483"/>
      <c r="H1161" s="483"/>
      <c r="I1161" s="483"/>
      <c r="J1161" s="483"/>
      <c r="K1161" s="483"/>
      <c r="L1161" s="608" t="s">
        <v>4884</v>
      </c>
      <c r="M1161" s="409" t="s">
        <v>4884</v>
      </c>
      <c r="N1161" s="409" t="s">
        <v>4884</v>
      </c>
      <c r="O1161" s="410" t="s">
        <v>4884</v>
      </c>
      <c r="P1161" s="406">
        <v>1158</v>
      </c>
      <c r="Q1161" s="270" t="s">
        <v>2056</v>
      </c>
      <c r="R1161" s="523" t="s">
        <v>1883</v>
      </c>
      <c r="S1161" s="270" t="s">
        <v>1884</v>
      </c>
      <c r="U1161" s="471"/>
      <c r="V1161" s="471"/>
      <c r="W1161" s="471"/>
      <c r="X1161" s="471"/>
      <c r="Y1161" s="206"/>
      <c r="Z1161" s="206"/>
    </row>
    <row r="1162" spans="1:26">
      <c r="A1162" s="406">
        <v>1159</v>
      </c>
      <c r="B1162" s="613" t="s">
        <v>7020</v>
      </c>
      <c r="C1162" s="288" t="s">
        <v>2057</v>
      </c>
      <c r="D1162" s="414" t="s">
        <v>4884</v>
      </c>
      <c r="E1162" s="407" t="s">
        <v>4884</v>
      </c>
      <c r="F1162" s="483"/>
      <c r="G1162" s="483"/>
      <c r="H1162" s="483"/>
      <c r="I1162" s="483"/>
      <c r="J1162" s="483"/>
      <c r="K1162" s="483"/>
      <c r="L1162" s="608" t="s">
        <v>4884</v>
      </c>
      <c r="M1162" s="409" t="s">
        <v>4884</v>
      </c>
      <c r="N1162" s="409" t="s">
        <v>4884</v>
      </c>
      <c r="O1162" s="410" t="s">
        <v>4884</v>
      </c>
      <c r="P1162" s="406">
        <v>1159</v>
      </c>
      <c r="Q1162" s="270" t="s">
        <v>2057</v>
      </c>
      <c r="R1162" s="523" t="s">
        <v>1883</v>
      </c>
      <c r="S1162" s="270" t="s">
        <v>1884</v>
      </c>
      <c r="U1162" s="471"/>
      <c r="V1162" s="471"/>
      <c r="W1162" s="471"/>
      <c r="X1162" s="471"/>
      <c r="Y1162" s="206"/>
      <c r="Z1162" s="206"/>
    </row>
    <row r="1163" spans="1:26">
      <c r="A1163" s="406">
        <v>1160</v>
      </c>
      <c r="B1163" s="613" t="s">
        <v>7020</v>
      </c>
      <c r="C1163" s="288" t="s">
        <v>2058</v>
      </c>
      <c r="D1163" s="414" t="s">
        <v>4884</v>
      </c>
      <c r="E1163" s="407" t="s">
        <v>4884</v>
      </c>
      <c r="F1163" s="483"/>
      <c r="G1163" s="483"/>
      <c r="H1163" s="483"/>
      <c r="I1163" s="483"/>
      <c r="J1163" s="483"/>
      <c r="K1163" s="483"/>
      <c r="L1163" s="608" t="s">
        <v>4884</v>
      </c>
      <c r="M1163" s="409" t="s">
        <v>4884</v>
      </c>
      <c r="N1163" s="409" t="s">
        <v>4884</v>
      </c>
      <c r="O1163" s="410" t="s">
        <v>4884</v>
      </c>
      <c r="P1163" s="406">
        <v>1160</v>
      </c>
      <c r="Q1163" s="270" t="s">
        <v>2058</v>
      </c>
      <c r="R1163" s="523" t="s">
        <v>1883</v>
      </c>
      <c r="S1163" s="270" t="s">
        <v>1884</v>
      </c>
      <c r="U1163" s="471"/>
      <c r="V1163" s="471"/>
      <c r="W1163" s="471"/>
      <c r="X1163" s="471"/>
      <c r="Y1163" s="206"/>
      <c r="Z1163" s="206"/>
    </row>
    <row r="1164" spans="1:26">
      <c r="A1164" s="406">
        <v>1161</v>
      </c>
      <c r="B1164" s="613" t="s">
        <v>7020</v>
      </c>
      <c r="C1164" s="288" t="s">
        <v>2059</v>
      </c>
      <c r="D1164" s="414" t="s">
        <v>4884</v>
      </c>
      <c r="E1164" s="407" t="s">
        <v>4884</v>
      </c>
      <c r="F1164" s="483"/>
      <c r="G1164" s="483"/>
      <c r="H1164" s="483"/>
      <c r="I1164" s="483"/>
      <c r="J1164" s="483"/>
      <c r="K1164" s="483"/>
      <c r="L1164" s="608" t="s">
        <v>4884</v>
      </c>
      <c r="M1164" s="409" t="s">
        <v>4884</v>
      </c>
      <c r="N1164" s="409" t="s">
        <v>4884</v>
      </c>
      <c r="O1164" s="410" t="s">
        <v>4884</v>
      </c>
      <c r="P1164" s="406">
        <v>1161</v>
      </c>
      <c r="Q1164" s="270" t="s">
        <v>2059</v>
      </c>
      <c r="R1164" s="523" t="s">
        <v>1883</v>
      </c>
      <c r="S1164" s="270" t="s">
        <v>1884</v>
      </c>
      <c r="U1164" s="471"/>
      <c r="V1164" s="471"/>
      <c r="W1164" s="471"/>
      <c r="X1164" s="471"/>
      <c r="Y1164" s="206"/>
      <c r="Z1164" s="206"/>
    </row>
    <row r="1165" spans="1:26">
      <c r="A1165" s="406">
        <v>1162</v>
      </c>
      <c r="B1165" s="613" t="s">
        <v>7020</v>
      </c>
      <c r="C1165" s="288" t="s">
        <v>2060</v>
      </c>
      <c r="D1165" s="414" t="s">
        <v>4884</v>
      </c>
      <c r="E1165" s="407" t="s">
        <v>4884</v>
      </c>
      <c r="F1165" s="483"/>
      <c r="G1165" s="483"/>
      <c r="H1165" s="483"/>
      <c r="I1165" s="483"/>
      <c r="J1165" s="483"/>
      <c r="K1165" s="483"/>
      <c r="L1165" s="608" t="s">
        <v>4884</v>
      </c>
      <c r="M1165" s="409" t="s">
        <v>4884</v>
      </c>
      <c r="N1165" s="409" t="s">
        <v>4884</v>
      </c>
      <c r="O1165" s="410" t="s">
        <v>4884</v>
      </c>
      <c r="P1165" s="406">
        <v>1162</v>
      </c>
      <c r="Q1165" s="270" t="s">
        <v>2060</v>
      </c>
      <c r="R1165" s="523" t="s">
        <v>1883</v>
      </c>
      <c r="S1165" s="270" t="s">
        <v>1884</v>
      </c>
      <c r="U1165" s="471"/>
      <c r="V1165" s="471"/>
      <c r="W1165" s="471"/>
      <c r="X1165" s="471"/>
      <c r="Y1165" s="206"/>
      <c r="Z1165" s="206"/>
    </row>
    <row r="1166" spans="1:26">
      <c r="A1166" s="406">
        <v>1163</v>
      </c>
      <c r="B1166" s="613" t="s">
        <v>7020</v>
      </c>
      <c r="C1166" s="288" t="s">
        <v>2061</v>
      </c>
      <c r="D1166" s="414" t="s">
        <v>4884</v>
      </c>
      <c r="E1166" s="407" t="s">
        <v>4884</v>
      </c>
      <c r="F1166" s="483"/>
      <c r="G1166" s="483"/>
      <c r="H1166" s="483"/>
      <c r="I1166" s="483"/>
      <c r="J1166" s="483"/>
      <c r="K1166" s="483"/>
      <c r="L1166" s="608" t="s">
        <v>4884</v>
      </c>
      <c r="M1166" s="409" t="s">
        <v>4884</v>
      </c>
      <c r="N1166" s="409" t="s">
        <v>4884</v>
      </c>
      <c r="O1166" s="410" t="s">
        <v>4884</v>
      </c>
      <c r="P1166" s="406">
        <v>1163</v>
      </c>
      <c r="Q1166" s="270" t="s">
        <v>2061</v>
      </c>
      <c r="R1166" s="523" t="s">
        <v>1883</v>
      </c>
      <c r="S1166" s="270" t="s">
        <v>1884</v>
      </c>
      <c r="U1166" s="471"/>
      <c r="V1166" s="471"/>
      <c r="W1166" s="471"/>
      <c r="X1166" s="471"/>
      <c r="Y1166" s="206"/>
      <c r="Z1166" s="206"/>
    </row>
    <row r="1167" spans="1:26">
      <c r="A1167" s="406">
        <v>1164</v>
      </c>
      <c r="B1167" s="613" t="s">
        <v>7020</v>
      </c>
      <c r="C1167" s="288" t="s">
        <v>2062</v>
      </c>
      <c r="D1167" s="414" t="s">
        <v>4884</v>
      </c>
      <c r="E1167" s="407" t="s">
        <v>4884</v>
      </c>
      <c r="F1167" s="483"/>
      <c r="G1167" s="483"/>
      <c r="H1167" s="483"/>
      <c r="I1167" s="483"/>
      <c r="J1167" s="483"/>
      <c r="K1167" s="483"/>
      <c r="L1167" s="608" t="s">
        <v>4884</v>
      </c>
      <c r="M1167" s="409" t="s">
        <v>4884</v>
      </c>
      <c r="N1167" s="409" t="s">
        <v>4884</v>
      </c>
      <c r="O1167" s="410" t="s">
        <v>4884</v>
      </c>
      <c r="P1167" s="406">
        <v>1164</v>
      </c>
      <c r="Q1167" s="270" t="s">
        <v>2062</v>
      </c>
      <c r="R1167" s="523" t="s">
        <v>1883</v>
      </c>
      <c r="S1167" s="270" t="s">
        <v>1884</v>
      </c>
      <c r="U1167" s="471"/>
      <c r="V1167" s="471"/>
      <c r="W1167" s="471"/>
      <c r="X1167" s="471"/>
      <c r="Y1167" s="206"/>
      <c r="Z1167" s="206"/>
    </row>
    <row r="1168" spans="1:26">
      <c r="A1168" s="406">
        <v>1165</v>
      </c>
      <c r="B1168" s="613" t="s">
        <v>7020</v>
      </c>
      <c r="C1168" s="288" t="s">
        <v>2063</v>
      </c>
      <c r="D1168" s="414" t="s">
        <v>4884</v>
      </c>
      <c r="E1168" s="407" t="s">
        <v>4884</v>
      </c>
      <c r="F1168" s="483"/>
      <c r="G1168" s="483"/>
      <c r="H1168" s="483"/>
      <c r="I1168" s="483"/>
      <c r="J1168" s="483"/>
      <c r="K1168" s="483"/>
      <c r="L1168" s="608" t="s">
        <v>4884</v>
      </c>
      <c r="M1168" s="409" t="s">
        <v>4884</v>
      </c>
      <c r="N1168" s="409" t="s">
        <v>4884</v>
      </c>
      <c r="O1168" s="410" t="s">
        <v>4884</v>
      </c>
      <c r="P1168" s="406">
        <v>1165</v>
      </c>
      <c r="Q1168" s="270" t="s">
        <v>2063</v>
      </c>
      <c r="R1168" s="523" t="s">
        <v>1883</v>
      </c>
      <c r="S1168" s="270" t="s">
        <v>1884</v>
      </c>
      <c r="U1168" s="471"/>
      <c r="V1168" s="471"/>
      <c r="W1168" s="471"/>
      <c r="X1168" s="471"/>
      <c r="Y1168" s="206"/>
      <c r="Z1168" s="206"/>
    </row>
    <row r="1169" spans="1:26">
      <c r="A1169" s="406">
        <v>1166</v>
      </c>
      <c r="B1169" s="613" t="s">
        <v>7020</v>
      </c>
      <c r="C1169" s="288" t="s">
        <v>2064</v>
      </c>
      <c r="D1169" s="414" t="s">
        <v>4884</v>
      </c>
      <c r="E1169" s="407" t="s">
        <v>4884</v>
      </c>
      <c r="F1169" s="483"/>
      <c r="G1169" s="483"/>
      <c r="H1169" s="483"/>
      <c r="I1169" s="483"/>
      <c r="J1169" s="483"/>
      <c r="K1169" s="483"/>
      <c r="L1169" s="608" t="s">
        <v>4884</v>
      </c>
      <c r="M1169" s="409" t="s">
        <v>4884</v>
      </c>
      <c r="N1169" s="409" t="s">
        <v>4884</v>
      </c>
      <c r="O1169" s="410" t="s">
        <v>4884</v>
      </c>
      <c r="P1169" s="406">
        <v>1166</v>
      </c>
      <c r="Q1169" s="270" t="s">
        <v>2064</v>
      </c>
      <c r="R1169" s="523" t="s">
        <v>1883</v>
      </c>
      <c r="S1169" s="270" t="s">
        <v>1884</v>
      </c>
      <c r="U1169" s="471"/>
      <c r="V1169" s="471"/>
      <c r="W1169" s="471"/>
      <c r="X1169" s="471"/>
      <c r="Y1169" s="206"/>
      <c r="Z1169" s="206"/>
    </row>
    <row r="1170" spans="1:26">
      <c r="A1170" s="406">
        <v>1167</v>
      </c>
      <c r="B1170" s="613" t="s">
        <v>7020</v>
      </c>
      <c r="C1170" s="288" t="s">
        <v>2065</v>
      </c>
      <c r="D1170" s="414" t="s">
        <v>4884</v>
      </c>
      <c r="E1170" s="407" t="s">
        <v>4884</v>
      </c>
      <c r="F1170" s="483"/>
      <c r="G1170" s="483"/>
      <c r="H1170" s="483"/>
      <c r="I1170" s="483"/>
      <c r="J1170" s="483"/>
      <c r="K1170" s="483"/>
      <c r="L1170" s="608" t="s">
        <v>4884</v>
      </c>
      <c r="M1170" s="409" t="s">
        <v>4884</v>
      </c>
      <c r="N1170" s="409" t="s">
        <v>4884</v>
      </c>
      <c r="O1170" s="410" t="s">
        <v>4884</v>
      </c>
      <c r="P1170" s="406">
        <v>1167</v>
      </c>
      <c r="Q1170" s="270" t="s">
        <v>2065</v>
      </c>
      <c r="R1170" s="523" t="s">
        <v>1883</v>
      </c>
      <c r="S1170" s="270" t="s">
        <v>1884</v>
      </c>
      <c r="U1170" s="471"/>
      <c r="V1170" s="471"/>
      <c r="W1170" s="471"/>
      <c r="X1170" s="471"/>
      <c r="Y1170" s="206"/>
      <c r="Z1170" s="206"/>
    </row>
    <row r="1171" spans="1:26">
      <c r="A1171" s="406">
        <v>1168</v>
      </c>
      <c r="B1171" s="613" t="s">
        <v>7020</v>
      </c>
      <c r="C1171" s="288" t="s">
        <v>2066</v>
      </c>
      <c r="D1171" s="414" t="s">
        <v>4884</v>
      </c>
      <c r="E1171" s="407" t="s">
        <v>4884</v>
      </c>
      <c r="F1171" s="483"/>
      <c r="G1171" s="483"/>
      <c r="H1171" s="483"/>
      <c r="I1171" s="483"/>
      <c r="J1171" s="483"/>
      <c r="K1171" s="483"/>
      <c r="L1171" s="608" t="s">
        <v>4884</v>
      </c>
      <c r="M1171" s="409" t="s">
        <v>4884</v>
      </c>
      <c r="N1171" s="409" t="s">
        <v>4884</v>
      </c>
      <c r="O1171" s="410" t="s">
        <v>4884</v>
      </c>
      <c r="P1171" s="406">
        <v>1168</v>
      </c>
      <c r="Q1171" s="270" t="s">
        <v>2066</v>
      </c>
      <c r="R1171" s="523" t="s">
        <v>1883</v>
      </c>
      <c r="S1171" s="270" t="s">
        <v>1884</v>
      </c>
      <c r="U1171" s="471"/>
      <c r="V1171" s="471"/>
      <c r="W1171" s="471"/>
      <c r="X1171" s="471"/>
      <c r="Y1171" s="206"/>
      <c r="Z1171" s="206"/>
    </row>
    <row r="1172" spans="1:26">
      <c r="A1172" s="406">
        <v>1169</v>
      </c>
      <c r="B1172" s="613" t="s">
        <v>7020</v>
      </c>
      <c r="C1172" s="288" t="s">
        <v>2067</v>
      </c>
      <c r="D1172" s="414" t="s">
        <v>4884</v>
      </c>
      <c r="E1172" s="407" t="s">
        <v>4884</v>
      </c>
      <c r="F1172" s="483"/>
      <c r="G1172" s="483"/>
      <c r="H1172" s="483"/>
      <c r="I1172" s="483"/>
      <c r="J1172" s="483"/>
      <c r="K1172" s="483"/>
      <c r="L1172" s="608" t="s">
        <v>4884</v>
      </c>
      <c r="M1172" s="409" t="s">
        <v>4884</v>
      </c>
      <c r="N1172" s="409" t="s">
        <v>4884</v>
      </c>
      <c r="O1172" s="410" t="s">
        <v>4884</v>
      </c>
      <c r="P1172" s="406">
        <v>1169</v>
      </c>
      <c r="Q1172" s="270" t="s">
        <v>2067</v>
      </c>
      <c r="R1172" s="523" t="s">
        <v>1883</v>
      </c>
      <c r="S1172" s="270" t="s">
        <v>1884</v>
      </c>
      <c r="U1172" s="471"/>
      <c r="V1172" s="471"/>
      <c r="W1172" s="471"/>
      <c r="X1172" s="471"/>
      <c r="Y1172" s="206"/>
      <c r="Z1172" s="206"/>
    </row>
    <row r="1173" spans="1:26">
      <c r="A1173" s="406">
        <v>1170</v>
      </c>
      <c r="B1173" s="613" t="s">
        <v>7020</v>
      </c>
      <c r="C1173" s="288" t="s">
        <v>2068</v>
      </c>
      <c r="D1173" s="414" t="s">
        <v>4884</v>
      </c>
      <c r="E1173" s="407" t="s">
        <v>4884</v>
      </c>
      <c r="F1173" s="483"/>
      <c r="G1173" s="483"/>
      <c r="H1173" s="483"/>
      <c r="I1173" s="483"/>
      <c r="J1173" s="483"/>
      <c r="K1173" s="483"/>
      <c r="L1173" s="608" t="s">
        <v>4884</v>
      </c>
      <c r="M1173" s="409" t="s">
        <v>4884</v>
      </c>
      <c r="N1173" s="409" t="s">
        <v>4884</v>
      </c>
      <c r="O1173" s="410" t="s">
        <v>4884</v>
      </c>
      <c r="P1173" s="406">
        <v>1170</v>
      </c>
      <c r="Q1173" s="270" t="s">
        <v>2068</v>
      </c>
      <c r="R1173" s="523" t="s">
        <v>1883</v>
      </c>
      <c r="S1173" s="270" t="s">
        <v>1884</v>
      </c>
      <c r="U1173" s="471"/>
      <c r="V1173" s="471"/>
      <c r="W1173" s="471"/>
      <c r="X1173" s="471"/>
      <c r="Y1173" s="206"/>
      <c r="Z1173" s="206"/>
    </row>
    <row r="1174" spans="1:26">
      <c r="A1174" s="406">
        <v>1171</v>
      </c>
      <c r="B1174" s="613" t="s">
        <v>7020</v>
      </c>
      <c r="C1174" s="288" t="s">
        <v>2069</v>
      </c>
      <c r="D1174" s="414" t="s">
        <v>4884</v>
      </c>
      <c r="E1174" s="407" t="s">
        <v>4884</v>
      </c>
      <c r="F1174" s="483"/>
      <c r="G1174" s="483"/>
      <c r="H1174" s="483"/>
      <c r="I1174" s="483"/>
      <c r="J1174" s="483"/>
      <c r="K1174" s="483"/>
      <c r="L1174" s="608" t="s">
        <v>4884</v>
      </c>
      <c r="M1174" s="409" t="s">
        <v>4884</v>
      </c>
      <c r="N1174" s="409" t="s">
        <v>4884</v>
      </c>
      <c r="O1174" s="410" t="s">
        <v>4884</v>
      </c>
      <c r="P1174" s="406">
        <v>1171</v>
      </c>
      <c r="Q1174" s="270" t="s">
        <v>2069</v>
      </c>
      <c r="R1174" s="523" t="s">
        <v>1883</v>
      </c>
      <c r="S1174" s="270" t="s">
        <v>1884</v>
      </c>
      <c r="U1174" s="471"/>
      <c r="V1174" s="471"/>
      <c r="W1174" s="471"/>
      <c r="X1174" s="471"/>
      <c r="Y1174" s="206"/>
      <c r="Z1174" s="206"/>
    </row>
    <row r="1175" spans="1:26">
      <c r="A1175" s="406">
        <v>1172</v>
      </c>
      <c r="B1175" s="613" t="s">
        <v>7020</v>
      </c>
      <c r="C1175" s="288" t="s">
        <v>2070</v>
      </c>
      <c r="D1175" s="414" t="s">
        <v>4884</v>
      </c>
      <c r="E1175" s="407" t="s">
        <v>4884</v>
      </c>
      <c r="F1175" s="483"/>
      <c r="G1175" s="483"/>
      <c r="H1175" s="483"/>
      <c r="I1175" s="483"/>
      <c r="J1175" s="483"/>
      <c r="K1175" s="483"/>
      <c r="L1175" s="608" t="s">
        <v>4884</v>
      </c>
      <c r="M1175" s="409" t="s">
        <v>4884</v>
      </c>
      <c r="N1175" s="409" t="s">
        <v>4884</v>
      </c>
      <c r="O1175" s="410" t="s">
        <v>4884</v>
      </c>
      <c r="P1175" s="406">
        <v>1172</v>
      </c>
      <c r="Q1175" s="270" t="s">
        <v>2070</v>
      </c>
      <c r="R1175" s="523" t="s">
        <v>1883</v>
      </c>
      <c r="S1175" s="270" t="s">
        <v>1884</v>
      </c>
      <c r="U1175" s="471"/>
      <c r="V1175" s="471"/>
      <c r="W1175" s="471"/>
      <c r="X1175" s="471"/>
      <c r="Y1175" s="206"/>
      <c r="Z1175" s="206"/>
    </row>
    <row r="1176" spans="1:26">
      <c r="A1176" s="406">
        <v>1173</v>
      </c>
      <c r="B1176" s="613" t="s">
        <v>7020</v>
      </c>
      <c r="C1176" s="288" t="s">
        <v>2071</v>
      </c>
      <c r="D1176" s="414" t="s">
        <v>4884</v>
      </c>
      <c r="E1176" s="407" t="s">
        <v>4884</v>
      </c>
      <c r="F1176" s="483"/>
      <c r="G1176" s="483"/>
      <c r="H1176" s="483"/>
      <c r="I1176" s="483"/>
      <c r="J1176" s="483"/>
      <c r="K1176" s="483"/>
      <c r="L1176" s="608" t="s">
        <v>4884</v>
      </c>
      <c r="M1176" s="409" t="s">
        <v>4884</v>
      </c>
      <c r="N1176" s="409" t="s">
        <v>4884</v>
      </c>
      <c r="O1176" s="410" t="s">
        <v>4884</v>
      </c>
      <c r="P1176" s="406">
        <v>1173</v>
      </c>
      <c r="Q1176" s="270" t="s">
        <v>2071</v>
      </c>
      <c r="R1176" s="523" t="s">
        <v>1883</v>
      </c>
      <c r="S1176" s="270" t="s">
        <v>1884</v>
      </c>
      <c r="U1176" s="471"/>
      <c r="V1176" s="471"/>
      <c r="W1176" s="471"/>
      <c r="X1176" s="471"/>
      <c r="Y1176" s="206"/>
      <c r="Z1176" s="206"/>
    </row>
    <row r="1177" spans="1:26">
      <c r="A1177" s="406">
        <v>1174</v>
      </c>
      <c r="B1177" s="613" t="s">
        <v>7020</v>
      </c>
      <c r="C1177" s="288" t="s">
        <v>2072</v>
      </c>
      <c r="D1177" s="414" t="s">
        <v>4884</v>
      </c>
      <c r="E1177" s="407" t="s">
        <v>4884</v>
      </c>
      <c r="F1177" s="483"/>
      <c r="G1177" s="483"/>
      <c r="H1177" s="483"/>
      <c r="I1177" s="483"/>
      <c r="J1177" s="483"/>
      <c r="K1177" s="483"/>
      <c r="L1177" s="608" t="s">
        <v>4884</v>
      </c>
      <c r="M1177" s="409" t="s">
        <v>4884</v>
      </c>
      <c r="N1177" s="409" t="s">
        <v>4884</v>
      </c>
      <c r="O1177" s="410" t="s">
        <v>4884</v>
      </c>
      <c r="P1177" s="406">
        <v>1174</v>
      </c>
      <c r="Q1177" s="270" t="s">
        <v>2072</v>
      </c>
      <c r="R1177" s="523" t="s">
        <v>1883</v>
      </c>
      <c r="S1177" s="270" t="s">
        <v>1884</v>
      </c>
      <c r="U1177" s="471"/>
      <c r="V1177" s="471"/>
      <c r="W1177" s="471"/>
      <c r="X1177" s="471"/>
      <c r="Y1177" s="206"/>
      <c r="Z1177" s="206"/>
    </row>
    <row r="1178" spans="1:26">
      <c r="A1178" s="406">
        <v>1175</v>
      </c>
      <c r="B1178" s="613" t="s">
        <v>7020</v>
      </c>
      <c r="C1178" s="288" t="s">
        <v>2073</v>
      </c>
      <c r="D1178" s="414" t="s">
        <v>4884</v>
      </c>
      <c r="E1178" s="407" t="s">
        <v>4884</v>
      </c>
      <c r="F1178" s="483"/>
      <c r="G1178" s="483"/>
      <c r="H1178" s="483"/>
      <c r="I1178" s="483"/>
      <c r="J1178" s="483"/>
      <c r="K1178" s="483"/>
      <c r="L1178" s="608" t="s">
        <v>4884</v>
      </c>
      <c r="M1178" s="409" t="s">
        <v>4884</v>
      </c>
      <c r="N1178" s="409" t="s">
        <v>4884</v>
      </c>
      <c r="O1178" s="410" t="s">
        <v>4884</v>
      </c>
      <c r="P1178" s="406">
        <v>1175</v>
      </c>
      <c r="Q1178" s="270" t="s">
        <v>2073</v>
      </c>
      <c r="R1178" s="523" t="s">
        <v>1883</v>
      </c>
      <c r="S1178" s="270" t="s">
        <v>1884</v>
      </c>
      <c r="U1178" s="471"/>
      <c r="V1178" s="471"/>
      <c r="W1178" s="471"/>
      <c r="X1178" s="471"/>
      <c r="Y1178" s="206"/>
      <c r="Z1178" s="206"/>
    </row>
    <row r="1179" spans="1:26">
      <c r="A1179" s="406">
        <v>1176</v>
      </c>
      <c r="B1179" s="613" t="s">
        <v>7020</v>
      </c>
      <c r="C1179" s="288" t="s">
        <v>2074</v>
      </c>
      <c r="D1179" s="414" t="s">
        <v>4884</v>
      </c>
      <c r="E1179" s="407" t="s">
        <v>4884</v>
      </c>
      <c r="F1179" s="483"/>
      <c r="G1179" s="483"/>
      <c r="H1179" s="483"/>
      <c r="I1179" s="483"/>
      <c r="J1179" s="483"/>
      <c r="K1179" s="483"/>
      <c r="L1179" s="608" t="s">
        <v>4884</v>
      </c>
      <c r="M1179" s="409" t="s">
        <v>4884</v>
      </c>
      <c r="N1179" s="409" t="s">
        <v>4884</v>
      </c>
      <c r="O1179" s="410" t="s">
        <v>4884</v>
      </c>
      <c r="P1179" s="406">
        <v>1176</v>
      </c>
      <c r="Q1179" s="270" t="s">
        <v>2074</v>
      </c>
      <c r="R1179" s="523" t="s">
        <v>1883</v>
      </c>
      <c r="S1179" s="270" t="s">
        <v>1884</v>
      </c>
      <c r="U1179" s="471"/>
      <c r="V1179" s="471"/>
      <c r="W1179" s="471"/>
      <c r="X1179" s="471"/>
      <c r="Y1179" s="206"/>
      <c r="Z1179" s="206"/>
    </row>
    <row r="1180" spans="1:26">
      <c r="A1180" s="406">
        <v>1177</v>
      </c>
      <c r="B1180" s="613" t="s">
        <v>7020</v>
      </c>
      <c r="C1180" s="288" t="s">
        <v>2075</v>
      </c>
      <c r="D1180" s="414" t="s">
        <v>4884</v>
      </c>
      <c r="E1180" s="407" t="s">
        <v>4884</v>
      </c>
      <c r="F1180" s="483"/>
      <c r="G1180" s="483"/>
      <c r="H1180" s="483"/>
      <c r="I1180" s="483"/>
      <c r="J1180" s="483"/>
      <c r="K1180" s="483"/>
      <c r="L1180" s="608" t="s">
        <v>4884</v>
      </c>
      <c r="M1180" s="409" t="s">
        <v>4884</v>
      </c>
      <c r="N1180" s="409" t="s">
        <v>4884</v>
      </c>
      <c r="O1180" s="410" t="s">
        <v>4884</v>
      </c>
      <c r="P1180" s="406">
        <v>1177</v>
      </c>
      <c r="Q1180" s="270" t="s">
        <v>2075</v>
      </c>
      <c r="R1180" s="523" t="s">
        <v>1883</v>
      </c>
      <c r="S1180" s="270" t="s">
        <v>1884</v>
      </c>
      <c r="U1180" s="471"/>
      <c r="V1180" s="471"/>
      <c r="W1180" s="471"/>
      <c r="X1180" s="471"/>
      <c r="Y1180" s="206"/>
      <c r="Z1180" s="206"/>
    </row>
    <row r="1181" spans="1:26">
      <c r="A1181" s="406">
        <v>1178</v>
      </c>
      <c r="B1181" s="613" t="s">
        <v>7020</v>
      </c>
      <c r="C1181" s="288" t="s">
        <v>2076</v>
      </c>
      <c r="D1181" s="414" t="s">
        <v>4884</v>
      </c>
      <c r="E1181" s="407" t="s">
        <v>4884</v>
      </c>
      <c r="F1181" s="483"/>
      <c r="G1181" s="483"/>
      <c r="H1181" s="483"/>
      <c r="I1181" s="483"/>
      <c r="J1181" s="483"/>
      <c r="K1181" s="483"/>
      <c r="L1181" s="608" t="s">
        <v>4884</v>
      </c>
      <c r="M1181" s="409" t="s">
        <v>4884</v>
      </c>
      <c r="N1181" s="409" t="s">
        <v>4884</v>
      </c>
      <c r="O1181" s="410" t="s">
        <v>4884</v>
      </c>
      <c r="P1181" s="406">
        <v>1178</v>
      </c>
      <c r="Q1181" s="270" t="s">
        <v>2076</v>
      </c>
      <c r="R1181" s="523" t="s">
        <v>1883</v>
      </c>
      <c r="S1181" s="270" t="s">
        <v>1884</v>
      </c>
      <c r="U1181" s="471"/>
      <c r="V1181" s="471"/>
      <c r="W1181" s="471"/>
      <c r="X1181" s="471"/>
      <c r="Y1181" s="206"/>
      <c r="Z1181" s="206"/>
    </row>
    <row r="1182" spans="1:26">
      <c r="A1182" s="406">
        <v>1179</v>
      </c>
      <c r="B1182" s="613" t="s">
        <v>7020</v>
      </c>
      <c r="C1182" s="288" t="s">
        <v>2077</v>
      </c>
      <c r="D1182" s="414" t="s">
        <v>4884</v>
      </c>
      <c r="E1182" s="407" t="s">
        <v>4884</v>
      </c>
      <c r="F1182" s="483"/>
      <c r="G1182" s="483"/>
      <c r="H1182" s="483"/>
      <c r="I1182" s="483"/>
      <c r="J1182" s="483"/>
      <c r="K1182" s="483"/>
      <c r="L1182" s="608" t="s">
        <v>4884</v>
      </c>
      <c r="M1182" s="409" t="s">
        <v>4884</v>
      </c>
      <c r="N1182" s="409" t="s">
        <v>4884</v>
      </c>
      <c r="O1182" s="410" t="s">
        <v>4884</v>
      </c>
      <c r="P1182" s="406">
        <v>1179</v>
      </c>
      <c r="Q1182" s="270" t="s">
        <v>2077</v>
      </c>
      <c r="R1182" s="523" t="s">
        <v>1883</v>
      </c>
      <c r="S1182" s="270" t="s">
        <v>1884</v>
      </c>
      <c r="U1182" s="471"/>
      <c r="V1182" s="471"/>
      <c r="W1182" s="471"/>
      <c r="X1182" s="471"/>
      <c r="Y1182" s="206"/>
      <c r="Z1182" s="206"/>
    </row>
    <row r="1183" spans="1:26">
      <c r="A1183" s="406">
        <v>1180</v>
      </c>
      <c r="B1183" s="613" t="s">
        <v>7020</v>
      </c>
      <c r="C1183" s="288" t="s">
        <v>2078</v>
      </c>
      <c r="D1183" s="414" t="s">
        <v>4884</v>
      </c>
      <c r="E1183" s="407" t="s">
        <v>4884</v>
      </c>
      <c r="F1183" s="483"/>
      <c r="G1183" s="483"/>
      <c r="H1183" s="483"/>
      <c r="I1183" s="483"/>
      <c r="J1183" s="483"/>
      <c r="K1183" s="483"/>
      <c r="L1183" s="608" t="s">
        <v>4884</v>
      </c>
      <c r="M1183" s="409" t="s">
        <v>4884</v>
      </c>
      <c r="N1183" s="409" t="s">
        <v>4884</v>
      </c>
      <c r="O1183" s="410" t="s">
        <v>4884</v>
      </c>
      <c r="P1183" s="406">
        <v>1180</v>
      </c>
      <c r="Q1183" s="270" t="s">
        <v>2078</v>
      </c>
      <c r="R1183" s="523" t="s">
        <v>1883</v>
      </c>
      <c r="S1183" s="270" t="s">
        <v>1884</v>
      </c>
      <c r="U1183" s="471"/>
      <c r="V1183" s="471"/>
      <c r="W1183" s="471"/>
      <c r="X1183" s="471"/>
      <c r="Y1183" s="206"/>
      <c r="Z1183" s="206"/>
    </row>
    <row r="1184" spans="1:26">
      <c r="A1184" s="406">
        <v>1181</v>
      </c>
      <c r="B1184" s="613" t="s">
        <v>7020</v>
      </c>
      <c r="C1184" s="288" t="s">
        <v>2079</v>
      </c>
      <c r="D1184" s="414" t="s">
        <v>4884</v>
      </c>
      <c r="E1184" s="407" t="s">
        <v>4884</v>
      </c>
      <c r="F1184" s="483"/>
      <c r="G1184" s="483"/>
      <c r="H1184" s="483"/>
      <c r="I1184" s="483"/>
      <c r="J1184" s="483"/>
      <c r="K1184" s="483"/>
      <c r="L1184" s="608" t="s">
        <v>4884</v>
      </c>
      <c r="M1184" s="409" t="s">
        <v>4884</v>
      </c>
      <c r="N1184" s="409" t="s">
        <v>4884</v>
      </c>
      <c r="O1184" s="410" t="s">
        <v>4884</v>
      </c>
      <c r="P1184" s="406">
        <v>1181</v>
      </c>
      <c r="Q1184" s="270" t="s">
        <v>2079</v>
      </c>
      <c r="R1184" s="523" t="s">
        <v>1883</v>
      </c>
      <c r="S1184" s="270" t="s">
        <v>1884</v>
      </c>
      <c r="U1184" s="471"/>
      <c r="V1184" s="471"/>
      <c r="W1184" s="471"/>
      <c r="X1184" s="471"/>
      <c r="Y1184" s="206"/>
      <c r="Z1184" s="206"/>
    </row>
    <row r="1185" spans="1:26">
      <c r="A1185" s="406">
        <v>1182</v>
      </c>
      <c r="B1185" s="613" t="s">
        <v>7020</v>
      </c>
      <c r="C1185" s="288" t="s">
        <v>2080</v>
      </c>
      <c r="D1185" s="414" t="s">
        <v>4884</v>
      </c>
      <c r="E1185" s="407" t="s">
        <v>4884</v>
      </c>
      <c r="F1185" s="483"/>
      <c r="G1185" s="483"/>
      <c r="H1185" s="483"/>
      <c r="I1185" s="483"/>
      <c r="J1185" s="483"/>
      <c r="K1185" s="483"/>
      <c r="L1185" s="608" t="s">
        <v>4884</v>
      </c>
      <c r="M1185" s="409" t="s">
        <v>4884</v>
      </c>
      <c r="N1185" s="409" t="s">
        <v>4884</v>
      </c>
      <c r="O1185" s="410" t="s">
        <v>4884</v>
      </c>
      <c r="P1185" s="406">
        <v>1182</v>
      </c>
      <c r="Q1185" s="270" t="s">
        <v>2080</v>
      </c>
      <c r="R1185" s="523" t="s">
        <v>1883</v>
      </c>
      <c r="S1185" s="270" t="s">
        <v>1884</v>
      </c>
      <c r="U1185" s="471"/>
      <c r="V1185" s="471"/>
      <c r="W1185" s="471"/>
      <c r="X1185" s="471"/>
      <c r="Y1185" s="206"/>
      <c r="Z1185" s="206"/>
    </row>
    <row r="1186" spans="1:26">
      <c r="A1186" s="406">
        <v>1183</v>
      </c>
      <c r="B1186" s="613" t="s">
        <v>7020</v>
      </c>
      <c r="C1186" s="288" t="s">
        <v>2081</v>
      </c>
      <c r="D1186" s="414" t="s">
        <v>4884</v>
      </c>
      <c r="E1186" s="407" t="s">
        <v>4884</v>
      </c>
      <c r="F1186" s="483"/>
      <c r="G1186" s="483"/>
      <c r="H1186" s="483"/>
      <c r="I1186" s="483"/>
      <c r="J1186" s="483"/>
      <c r="K1186" s="483"/>
      <c r="L1186" s="608" t="s">
        <v>4884</v>
      </c>
      <c r="M1186" s="409" t="s">
        <v>4884</v>
      </c>
      <c r="N1186" s="409" t="s">
        <v>4884</v>
      </c>
      <c r="O1186" s="410" t="s">
        <v>4884</v>
      </c>
      <c r="P1186" s="406">
        <v>1183</v>
      </c>
      <c r="Q1186" s="270" t="s">
        <v>2081</v>
      </c>
      <c r="R1186" s="523" t="s">
        <v>1883</v>
      </c>
      <c r="S1186" s="270" t="s">
        <v>1884</v>
      </c>
      <c r="U1186" s="471"/>
      <c r="V1186" s="471"/>
      <c r="W1186" s="471"/>
      <c r="X1186" s="471"/>
      <c r="Y1186" s="206"/>
      <c r="Z1186" s="206"/>
    </row>
    <row r="1187" spans="1:26">
      <c r="A1187" s="406">
        <v>1184</v>
      </c>
      <c r="B1187" s="613" t="s">
        <v>7020</v>
      </c>
      <c r="C1187" s="288" t="s">
        <v>2082</v>
      </c>
      <c r="D1187" s="414" t="s">
        <v>4884</v>
      </c>
      <c r="E1187" s="407" t="s">
        <v>4884</v>
      </c>
      <c r="F1187" s="483"/>
      <c r="G1187" s="483"/>
      <c r="H1187" s="483"/>
      <c r="I1187" s="483"/>
      <c r="J1187" s="483"/>
      <c r="K1187" s="483"/>
      <c r="L1187" s="608" t="s">
        <v>4884</v>
      </c>
      <c r="M1187" s="409" t="s">
        <v>4884</v>
      </c>
      <c r="N1187" s="409" t="s">
        <v>4884</v>
      </c>
      <c r="O1187" s="410" t="s">
        <v>4884</v>
      </c>
      <c r="P1187" s="406">
        <v>1184</v>
      </c>
      <c r="Q1187" s="270" t="s">
        <v>2082</v>
      </c>
      <c r="R1187" s="523" t="s">
        <v>1883</v>
      </c>
      <c r="S1187" s="270" t="s">
        <v>1884</v>
      </c>
      <c r="U1187" s="471"/>
      <c r="V1187" s="471"/>
      <c r="W1187" s="471"/>
      <c r="X1187" s="471"/>
      <c r="Y1187" s="206"/>
      <c r="Z1187" s="206"/>
    </row>
    <row r="1188" spans="1:26">
      <c r="A1188" s="406">
        <v>1185</v>
      </c>
      <c r="B1188" s="613" t="s">
        <v>7020</v>
      </c>
      <c r="C1188" s="288" t="s">
        <v>2083</v>
      </c>
      <c r="D1188" s="414" t="s">
        <v>4884</v>
      </c>
      <c r="E1188" s="407" t="s">
        <v>4884</v>
      </c>
      <c r="F1188" s="483"/>
      <c r="G1188" s="483"/>
      <c r="H1188" s="483"/>
      <c r="I1188" s="483"/>
      <c r="J1188" s="483"/>
      <c r="K1188" s="483"/>
      <c r="L1188" s="608" t="s">
        <v>4884</v>
      </c>
      <c r="M1188" s="409" t="s">
        <v>4884</v>
      </c>
      <c r="N1188" s="409" t="s">
        <v>4884</v>
      </c>
      <c r="O1188" s="410" t="s">
        <v>4884</v>
      </c>
      <c r="P1188" s="406">
        <v>1185</v>
      </c>
      <c r="Q1188" s="270" t="s">
        <v>2083</v>
      </c>
      <c r="R1188" s="523" t="s">
        <v>1883</v>
      </c>
      <c r="S1188" s="270" t="s">
        <v>1884</v>
      </c>
      <c r="U1188" s="471"/>
      <c r="V1188" s="471"/>
      <c r="W1188" s="471"/>
      <c r="X1188" s="471"/>
      <c r="Y1188" s="206"/>
      <c r="Z1188" s="206"/>
    </row>
    <row r="1189" spans="1:26">
      <c r="A1189" s="406">
        <v>1186</v>
      </c>
      <c r="B1189" s="613" t="s">
        <v>7020</v>
      </c>
      <c r="C1189" s="288" t="s">
        <v>2084</v>
      </c>
      <c r="D1189" s="414" t="s">
        <v>4884</v>
      </c>
      <c r="E1189" s="407" t="s">
        <v>4884</v>
      </c>
      <c r="F1189" s="483"/>
      <c r="G1189" s="483"/>
      <c r="H1189" s="483"/>
      <c r="I1189" s="483"/>
      <c r="J1189" s="483"/>
      <c r="K1189" s="483"/>
      <c r="L1189" s="608" t="s">
        <v>4884</v>
      </c>
      <c r="M1189" s="409" t="s">
        <v>4884</v>
      </c>
      <c r="N1189" s="409" t="s">
        <v>4884</v>
      </c>
      <c r="O1189" s="410" t="s">
        <v>4884</v>
      </c>
      <c r="P1189" s="406">
        <v>1186</v>
      </c>
      <c r="Q1189" s="270" t="s">
        <v>2084</v>
      </c>
      <c r="R1189" s="523" t="s">
        <v>1883</v>
      </c>
      <c r="S1189" s="270" t="s">
        <v>1884</v>
      </c>
      <c r="U1189" s="471"/>
      <c r="V1189" s="471"/>
      <c r="W1189" s="471"/>
      <c r="X1189" s="471"/>
      <c r="Y1189" s="206"/>
      <c r="Z1189" s="206"/>
    </row>
    <row r="1190" spans="1:26">
      <c r="A1190" s="406">
        <v>1187</v>
      </c>
      <c r="B1190" s="613" t="s">
        <v>7020</v>
      </c>
      <c r="C1190" s="288" t="s">
        <v>2085</v>
      </c>
      <c r="D1190" s="414" t="s">
        <v>4884</v>
      </c>
      <c r="E1190" s="407" t="s">
        <v>4884</v>
      </c>
      <c r="F1190" s="483"/>
      <c r="G1190" s="483"/>
      <c r="H1190" s="483"/>
      <c r="I1190" s="483"/>
      <c r="J1190" s="483"/>
      <c r="K1190" s="483"/>
      <c r="L1190" s="608" t="s">
        <v>4884</v>
      </c>
      <c r="M1190" s="409" t="s">
        <v>4884</v>
      </c>
      <c r="N1190" s="409" t="s">
        <v>4884</v>
      </c>
      <c r="O1190" s="410" t="s">
        <v>4884</v>
      </c>
      <c r="P1190" s="406">
        <v>1187</v>
      </c>
      <c r="Q1190" s="270" t="s">
        <v>2085</v>
      </c>
      <c r="R1190" s="523" t="s">
        <v>1883</v>
      </c>
      <c r="S1190" s="270" t="s">
        <v>1884</v>
      </c>
      <c r="U1190" s="471"/>
      <c r="V1190" s="471"/>
      <c r="W1190" s="471"/>
      <c r="X1190" s="471"/>
      <c r="Y1190" s="206"/>
      <c r="Z1190" s="206"/>
    </row>
    <row r="1191" spans="1:26">
      <c r="A1191" s="406">
        <v>1188</v>
      </c>
      <c r="B1191" s="613" t="s">
        <v>7020</v>
      </c>
      <c r="C1191" s="288" t="s">
        <v>2086</v>
      </c>
      <c r="D1191" s="414" t="s">
        <v>4884</v>
      </c>
      <c r="E1191" s="407" t="s">
        <v>4884</v>
      </c>
      <c r="F1191" s="483"/>
      <c r="G1191" s="483"/>
      <c r="H1191" s="483"/>
      <c r="I1191" s="483"/>
      <c r="J1191" s="483"/>
      <c r="K1191" s="483"/>
      <c r="L1191" s="608" t="s">
        <v>4884</v>
      </c>
      <c r="M1191" s="409" t="s">
        <v>4884</v>
      </c>
      <c r="N1191" s="409" t="s">
        <v>4884</v>
      </c>
      <c r="O1191" s="410" t="s">
        <v>4884</v>
      </c>
      <c r="P1191" s="406">
        <v>1188</v>
      </c>
      <c r="Q1191" s="270" t="s">
        <v>2086</v>
      </c>
      <c r="R1191" s="523" t="s">
        <v>1883</v>
      </c>
      <c r="S1191" s="270" t="s">
        <v>1884</v>
      </c>
      <c r="U1191" s="471"/>
      <c r="V1191" s="471"/>
      <c r="W1191" s="471"/>
      <c r="X1191" s="471"/>
      <c r="Y1191" s="206"/>
      <c r="Z1191" s="206"/>
    </row>
    <row r="1192" spans="1:26">
      <c r="A1192" s="406">
        <v>1189</v>
      </c>
      <c r="B1192" s="613" t="s">
        <v>7020</v>
      </c>
      <c r="C1192" s="288" t="s">
        <v>2087</v>
      </c>
      <c r="D1192" s="414" t="s">
        <v>4884</v>
      </c>
      <c r="E1192" s="407" t="s">
        <v>4884</v>
      </c>
      <c r="F1192" s="483"/>
      <c r="G1192" s="483"/>
      <c r="H1192" s="483"/>
      <c r="I1192" s="483"/>
      <c r="J1192" s="483"/>
      <c r="K1192" s="483"/>
      <c r="L1192" s="608" t="s">
        <v>4884</v>
      </c>
      <c r="M1192" s="409" t="s">
        <v>4884</v>
      </c>
      <c r="N1192" s="409" t="s">
        <v>4884</v>
      </c>
      <c r="O1192" s="410" t="s">
        <v>4884</v>
      </c>
      <c r="P1192" s="406">
        <v>1189</v>
      </c>
      <c r="Q1192" s="270" t="s">
        <v>2087</v>
      </c>
      <c r="R1192" s="523" t="s">
        <v>1883</v>
      </c>
      <c r="S1192" s="270" t="s">
        <v>1884</v>
      </c>
      <c r="U1192" s="471"/>
      <c r="V1192" s="471"/>
      <c r="W1192" s="471"/>
      <c r="X1192" s="471"/>
      <c r="Y1192" s="206"/>
      <c r="Z1192" s="206"/>
    </row>
    <row r="1193" spans="1:26">
      <c r="A1193" s="406">
        <v>1190</v>
      </c>
      <c r="B1193" s="613" t="s">
        <v>7020</v>
      </c>
      <c r="C1193" s="288" t="s">
        <v>2088</v>
      </c>
      <c r="D1193" s="414" t="s">
        <v>4884</v>
      </c>
      <c r="E1193" s="407" t="s">
        <v>4884</v>
      </c>
      <c r="F1193" s="483"/>
      <c r="G1193" s="483"/>
      <c r="H1193" s="483"/>
      <c r="I1193" s="483"/>
      <c r="J1193" s="483"/>
      <c r="K1193" s="483"/>
      <c r="L1193" s="608" t="s">
        <v>4884</v>
      </c>
      <c r="M1193" s="409" t="s">
        <v>4884</v>
      </c>
      <c r="N1193" s="409" t="s">
        <v>4884</v>
      </c>
      <c r="O1193" s="410" t="s">
        <v>4884</v>
      </c>
      <c r="P1193" s="406">
        <v>1190</v>
      </c>
      <c r="Q1193" s="270" t="s">
        <v>2088</v>
      </c>
      <c r="R1193" s="523" t="s">
        <v>1883</v>
      </c>
      <c r="S1193" s="270" t="s">
        <v>1884</v>
      </c>
      <c r="U1193" s="471"/>
      <c r="V1193" s="471"/>
      <c r="W1193" s="471"/>
      <c r="X1193" s="471"/>
      <c r="Y1193" s="206"/>
      <c r="Z1193" s="206"/>
    </row>
    <row r="1194" spans="1:26">
      <c r="A1194" s="406">
        <v>1191</v>
      </c>
      <c r="B1194" s="613" t="s">
        <v>7020</v>
      </c>
      <c r="C1194" s="288" t="s">
        <v>2089</v>
      </c>
      <c r="D1194" s="414" t="s">
        <v>4884</v>
      </c>
      <c r="E1194" s="407" t="s">
        <v>4884</v>
      </c>
      <c r="F1194" s="483"/>
      <c r="G1194" s="483"/>
      <c r="H1194" s="483"/>
      <c r="I1194" s="483"/>
      <c r="J1194" s="483"/>
      <c r="K1194" s="483"/>
      <c r="L1194" s="608" t="s">
        <v>4884</v>
      </c>
      <c r="M1194" s="409" t="s">
        <v>4884</v>
      </c>
      <c r="N1194" s="409" t="s">
        <v>4884</v>
      </c>
      <c r="O1194" s="410" t="s">
        <v>4884</v>
      </c>
      <c r="P1194" s="406">
        <v>1191</v>
      </c>
      <c r="Q1194" s="270" t="s">
        <v>2089</v>
      </c>
      <c r="R1194" s="523" t="s">
        <v>1883</v>
      </c>
      <c r="S1194" s="270" t="s">
        <v>1884</v>
      </c>
      <c r="U1194" s="471"/>
      <c r="V1194" s="471"/>
      <c r="W1194" s="471"/>
      <c r="X1194" s="471"/>
      <c r="Y1194" s="206"/>
      <c r="Z1194" s="206"/>
    </row>
    <row r="1195" spans="1:26">
      <c r="A1195" s="406">
        <v>1192</v>
      </c>
      <c r="B1195" s="613" t="s">
        <v>7020</v>
      </c>
      <c r="C1195" s="288" t="s">
        <v>2090</v>
      </c>
      <c r="D1195" s="414" t="s">
        <v>4884</v>
      </c>
      <c r="E1195" s="407" t="s">
        <v>4884</v>
      </c>
      <c r="F1195" s="483"/>
      <c r="G1195" s="483"/>
      <c r="H1195" s="483"/>
      <c r="I1195" s="483"/>
      <c r="J1195" s="483"/>
      <c r="K1195" s="483"/>
      <c r="L1195" s="608" t="s">
        <v>4884</v>
      </c>
      <c r="M1195" s="409" t="s">
        <v>4884</v>
      </c>
      <c r="N1195" s="409" t="s">
        <v>4884</v>
      </c>
      <c r="O1195" s="410" t="s">
        <v>4884</v>
      </c>
      <c r="P1195" s="406">
        <v>1192</v>
      </c>
      <c r="Q1195" s="270" t="s">
        <v>2090</v>
      </c>
      <c r="R1195" s="523" t="s">
        <v>1883</v>
      </c>
      <c r="S1195" s="270" t="s">
        <v>1884</v>
      </c>
      <c r="U1195" s="471"/>
      <c r="V1195" s="471"/>
      <c r="W1195" s="471"/>
      <c r="X1195" s="471"/>
      <c r="Y1195" s="206"/>
      <c r="Z1195" s="206"/>
    </row>
    <row r="1196" spans="1:26">
      <c r="A1196" s="406">
        <v>1193</v>
      </c>
      <c r="B1196" s="613" t="s">
        <v>7020</v>
      </c>
      <c r="C1196" s="288" t="s">
        <v>2091</v>
      </c>
      <c r="D1196" s="414" t="s">
        <v>4884</v>
      </c>
      <c r="E1196" s="407" t="s">
        <v>4884</v>
      </c>
      <c r="F1196" s="483"/>
      <c r="G1196" s="483"/>
      <c r="H1196" s="483"/>
      <c r="I1196" s="483"/>
      <c r="J1196" s="483"/>
      <c r="K1196" s="483"/>
      <c r="L1196" s="608" t="s">
        <v>4884</v>
      </c>
      <c r="M1196" s="409" t="s">
        <v>4884</v>
      </c>
      <c r="N1196" s="409" t="s">
        <v>4884</v>
      </c>
      <c r="O1196" s="410" t="s">
        <v>4884</v>
      </c>
      <c r="P1196" s="406">
        <v>1193</v>
      </c>
      <c r="Q1196" s="270" t="s">
        <v>2091</v>
      </c>
      <c r="R1196" s="523" t="s">
        <v>1883</v>
      </c>
      <c r="S1196" s="270" t="s">
        <v>1884</v>
      </c>
      <c r="U1196" s="471"/>
      <c r="V1196" s="471"/>
      <c r="W1196" s="471"/>
      <c r="X1196" s="471"/>
      <c r="Y1196" s="206"/>
      <c r="Z1196" s="206"/>
    </row>
    <row r="1197" spans="1:26">
      <c r="A1197" s="406">
        <v>1194</v>
      </c>
      <c r="B1197" s="613" t="s">
        <v>7020</v>
      </c>
      <c r="C1197" s="288" t="s">
        <v>2092</v>
      </c>
      <c r="D1197" s="414" t="s">
        <v>4884</v>
      </c>
      <c r="E1197" s="407" t="s">
        <v>4884</v>
      </c>
      <c r="F1197" s="483"/>
      <c r="G1197" s="483"/>
      <c r="H1197" s="483"/>
      <c r="I1197" s="483"/>
      <c r="J1197" s="483"/>
      <c r="K1197" s="483"/>
      <c r="L1197" s="608" t="s">
        <v>4884</v>
      </c>
      <c r="M1197" s="409" t="s">
        <v>4884</v>
      </c>
      <c r="N1197" s="409" t="s">
        <v>4884</v>
      </c>
      <c r="O1197" s="410" t="s">
        <v>4884</v>
      </c>
      <c r="P1197" s="406">
        <v>1194</v>
      </c>
      <c r="Q1197" s="270" t="s">
        <v>2092</v>
      </c>
      <c r="R1197" s="523" t="s">
        <v>1883</v>
      </c>
      <c r="S1197" s="270" t="s">
        <v>1884</v>
      </c>
      <c r="U1197" s="471"/>
      <c r="V1197" s="471"/>
      <c r="W1197" s="471"/>
      <c r="X1197" s="471"/>
      <c r="Y1197" s="206"/>
      <c r="Z1197" s="206"/>
    </row>
    <row r="1198" spans="1:26">
      <c r="A1198" s="406">
        <v>1195</v>
      </c>
      <c r="B1198" s="613" t="s">
        <v>7020</v>
      </c>
      <c r="C1198" s="288" t="s">
        <v>2093</v>
      </c>
      <c r="D1198" s="414" t="s">
        <v>4884</v>
      </c>
      <c r="E1198" s="407" t="s">
        <v>4884</v>
      </c>
      <c r="F1198" s="483"/>
      <c r="G1198" s="483"/>
      <c r="H1198" s="483"/>
      <c r="I1198" s="483"/>
      <c r="J1198" s="483"/>
      <c r="K1198" s="483"/>
      <c r="L1198" s="608" t="s">
        <v>4884</v>
      </c>
      <c r="M1198" s="409" t="s">
        <v>4884</v>
      </c>
      <c r="N1198" s="409" t="s">
        <v>4884</v>
      </c>
      <c r="O1198" s="410" t="s">
        <v>4884</v>
      </c>
      <c r="P1198" s="406">
        <v>1195</v>
      </c>
      <c r="Q1198" s="270" t="s">
        <v>2093</v>
      </c>
      <c r="R1198" s="523" t="s">
        <v>1883</v>
      </c>
      <c r="S1198" s="270" t="s">
        <v>1884</v>
      </c>
      <c r="U1198" s="471"/>
      <c r="V1198" s="471"/>
      <c r="W1198" s="471"/>
      <c r="X1198" s="471"/>
      <c r="Y1198" s="206"/>
      <c r="Z1198" s="206"/>
    </row>
    <row r="1199" spans="1:26">
      <c r="A1199" s="406">
        <v>1196</v>
      </c>
      <c r="B1199" s="613" t="s">
        <v>7020</v>
      </c>
      <c r="C1199" s="288" t="s">
        <v>2094</v>
      </c>
      <c r="D1199" s="414" t="s">
        <v>4884</v>
      </c>
      <c r="E1199" s="407" t="s">
        <v>4884</v>
      </c>
      <c r="F1199" s="483"/>
      <c r="G1199" s="483"/>
      <c r="H1199" s="483"/>
      <c r="I1199" s="483"/>
      <c r="J1199" s="483"/>
      <c r="K1199" s="483"/>
      <c r="L1199" s="608" t="s">
        <v>4884</v>
      </c>
      <c r="M1199" s="409" t="s">
        <v>4884</v>
      </c>
      <c r="N1199" s="409" t="s">
        <v>4884</v>
      </c>
      <c r="O1199" s="410" t="s">
        <v>4884</v>
      </c>
      <c r="P1199" s="406">
        <v>1196</v>
      </c>
      <c r="Q1199" s="270" t="s">
        <v>2094</v>
      </c>
      <c r="R1199" s="523" t="s">
        <v>1883</v>
      </c>
      <c r="S1199" s="270" t="s">
        <v>1884</v>
      </c>
      <c r="U1199" s="471"/>
      <c r="V1199" s="471"/>
      <c r="W1199" s="471"/>
      <c r="X1199" s="471"/>
      <c r="Y1199" s="206"/>
      <c r="Z1199" s="206"/>
    </row>
    <row r="1200" spans="1:26">
      <c r="A1200" s="406">
        <v>1197</v>
      </c>
      <c r="B1200" s="613" t="s">
        <v>7020</v>
      </c>
      <c r="C1200" s="288" t="s">
        <v>2095</v>
      </c>
      <c r="D1200" s="414" t="s">
        <v>4884</v>
      </c>
      <c r="E1200" s="407" t="s">
        <v>4884</v>
      </c>
      <c r="F1200" s="483"/>
      <c r="G1200" s="483"/>
      <c r="H1200" s="483"/>
      <c r="I1200" s="483"/>
      <c r="J1200" s="483"/>
      <c r="K1200" s="483"/>
      <c r="L1200" s="608" t="s">
        <v>4884</v>
      </c>
      <c r="M1200" s="409" t="s">
        <v>4884</v>
      </c>
      <c r="N1200" s="409" t="s">
        <v>4884</v>
      </c>
      <c r="O1200" s="410" t="s">
        <v>4884</v>
      </c>
      <c r="P1200" s="406">
        <v>1197</v>
      </c>
      <c r="Q1200" s="270" t="s">
        <v>2095</v>
      </c>
      <c r="R1200" s="523" t="s">
        <v>1883</v>
      </c>
      <c r="S1200" s="270" t="s">
        <v>1884</v>
      </c>
      <c r="U1200" s="471"/>
      <c r="V1200" s="471"/>
      <c r="W1200" s="471"/>
      <c r="X1200" s="471"/>
      <c r="Y1200" s="206"/>
      <c r="Z1200" s="206"/>
    </row>
    <row r="1201" spans="1:26">
      <c r="A1201" s="406">
        <v>1198</v>
      </c>
      <c r="B1201" s="613" t="s">
        <v>7020</v>
      </c>
      <c r="C1201" s="288" t="s">
        <v>2096</v>
      </c>
      <c r="D1201" s="414" t="s">
        <v>4884</v>
      </c>
      <c r="E1201" s="407" t="s">
        <v>4884</v>
      </c>
      <c r="F1201" s="483"/>
      <c r="G1201" s="483"/>
      <c r="H1201" s="483"/>
      <c r="I1201" s="483"/>
      <c r="J1201" s="483"/>
      <c r="K1201" s="483"/>
      <c r="L1201" s="608" t="s">
        <v>4884</v>
      </c>
      <c r="M1201" s="409" t="s">
        <v>4884</v>
      </c>
      <c r="N1201" s="409" t="s">
        <v>4884</v>
      </c>
      <c r="O1201" s="410" t="s">
        <v>4884</v>
      </c>
      <c r="P1201" s="406">
        <v>1198</v>
      </c>
      <c r="Q1201" s="270" t="s">
        <v>2096</v>
      </c>
      <c r="R1201" s="523" t="s">
        <v>1883</v>
      </c>
      <c r="S1201" s="270" t="s">
        <v>1884</v>
      </c>
      <c r="U1201" s="471"/>
      <c r="V1201" s="471"/>
      <c r="W1201" s="471"/>
      <c r="X1201" s="471"/>
      <c r="Y1201" s="206"/>
      <c r="Z1201" s="206"/>
    </row>
    <row r="1202" spans="1:26">
      <c r="A1202" s="406">
        <v>1199</v>
      </c>
      <c r="B1202" s="613" t="s">
        <v>7020</v>
      </c>
      <c r="C1202" s="288" t="s">
        <v>2097</v>
      </c>
      <c r="D1202" s="414" t="s">
        <v>4884</v>
      </c>
      <c r="E1202" s="407" t="s">
        <v>4884</v>
      </c>
      <c r="F1202" s="483"/>
      <c r="G1202" s="483"/>
      <c r="H1202" s="483"/>
      <c r="I1202" s="483"/>
      <c r="J1202" s="483"/>
      <c r="K1202" s="483"/>
      <c r="L1202" s="608" t="s">
        <v>4884</v>
      </c>
      <c r="M1202" s="409" t="s">
        <v>4884</v>
      </c>
      <c r="N1202" s="409" t="s">
        <v>4884</v>
      </c>
      <c r="O1202" s="410" t="s">
        <v>4884</v>
      </c>
      <c r="P1202" s="406">
        <v>1199</v>
      </c>
      <c r="Q1202" s="270" t="s">
        <v>2097</v>
      </c>
      <c r="R1202" s="523" t="s">
        <v>1883</v>
      </c>
      <c r="S1202" s="270" t="s">
        <v>1884</v>
      </c>
      <c r="U1202" s="471"/>
      <c r="V1202" s="471"/>
      <c r="W1202" s="471"/>
      <c r="X1202" s="471"/>
      <c r="Y1202" s="206"/>
      <c r="Z1202" s="206"/>
    </row>
    <row r="1203" spans="1:26">
      <c r="A1203" s="406">
        <v>1200</v>
      </c>
      <c r="B1203" s="613" t="s">
        <v>7020</v>
      </c>
      <c r="C1203" s="288" t="s">
        <v>2098</v>
      </c>
      <c r="D1203" s="414" t="s">
        <v>4884</v>
      </c>
      <c r="E1203" s="407" t="s">
        <v>4884</v>
      </c>
      <c r="F1203" s="483"/>
      <c r="G1203" s="483"/>
      <c r="H1203" s="483"/>
      <c r="I1203" s="483"/>
      <c r="J1203" s="483"/>
      <c r="K1203" s="483"/>
      <c r="L1203" s="608" t="s">
        <v>4884</v>
      </c>
      <c r="M1203" s="409" t="s">
        <v>4884</v>
      </c>
      <c r="N1203" s="409" t="s">
        <v>4884</v>
      </c>
      <c r="O1203" s="410" t="s">
        <v>4884</v>
      </c>
      <c r="P1203" s="406">
        <v>1200</v>
      </c>
      <c r="Q1203" s="270" t="s">
        <v>2098</v>
      </c>
      <c r="R1203" s="523" t="s">
        <v>1883</v>
      </c>
      <c r="S1203" s="270" t="s">
        <v>1884</v>
      </c>
      <c r="U1203" s="471"/>
      <c r="V1203" s="471"/>
      <c r="W1203" s="471"/>
      <c r="X1203" s="471"/>
      <c r="Y1203" s="206"/>
      <c r="Z1203" s="206"/>
    </row>
    <row r="1204" spans="1:26">
      <c r="A1204" s="406">
        <v>1201</v>
      </c>
      <c r="B1204" s="613" t="s">
        <v>7020</v>
      </c>
      <c r="C1204" s="288" t="s">
        <v>2099</v>
      </c>
      <c r="D1204" s="414" t="s">
        <v>4884</v>
      </c>
      <c r="E1204" s="407" t="s">
        <v>4884</v>
      </c>
      <c r="F1204" s="483"/>
      <c r="G1204" s="483"/>
      <c r="H1204" s="483"/>
      <c r="I1204" s="483"/>
      <c r="J1204" s="483"/>
      <c r="K1204" s="483"/>
      <c r="L1204" s="608" t="s">
        <v>4884</v>
      </c>
      <c r="M1204" s="409" t="s">
        <v>4884</v>
      </c>
      <c r="N1204" s="409" t="s">
        <v>4884</v>
      </c>
      <c r="O1204" s="410" t="s">
        <v>4884</v>
      </c>
      <c r="P1204" s="406">
        <v>1201</v>
      </c>
      <c r="Q1204" s="270" t="s">
        <v>2099</v>
      </c>
      <c r="R1204" s="523" t="s">
        <v>1883</v>
      </c>
      <c r="S1204" s="270" t="s">
        <v>1884</v>
      </c>
      <c r="U1204" s="471"/>
      <c r="V1204" s="471"/>
      <c r="W1204" s="471"/>
      <c r="X1204" s="471"/>
      <c r="Y1204" s="206"/>
      <c r="Z1204" s="206"/>
    </row>
    <row r="1205" spans="1:26">
      <c r="A1205" s="406">
        <v>1202</v>
      </c>
      <c r="B1205" s="613" t="s">
        <v>7020</v>
      </c>
      <c r="C1205" s="288" t="s">
        <v>2100</v>
      </c>
      <c r="D1205" s="414" t="s">
        <v>4884</v>
      </c>
      <c r="E1205" s="407" t="s">
        <v>4884</v>
      </c>
      <c r="F1205" s="483"/>
      <c r="G1205" s="483"/>
      <c r="H1205" s="483"/>
      <c r="I1205" s="483"/>
      <c r="J1205" s="483"/>
      <c r="K1205" s="483"/>
      <c r="L1205" s="608" t="s">
        <v>4884</v>
      </c>
      <c r="M1205" s="409" t="s">
        <v>4884</v>
      </c>
      <c r="N1205" s="409" t="s">
        <v>4884</v>
      </c>
      <c r="O1205" s="410" t="s">
        <v>4884</v>
      </c>
      <c r="P1205" s="406">
        <v>1202</v>
      </c>
      <c r="Q1205" s="270" t="s">
        <v>2100</v>
      </c>
      <c r="R1205" s="523" t="s">
        <v>1883</v>
      </c>
      <c r="S1205" s="270" t="s">
        <v>1884</v>
      </c>
      <c r="U1205" s="471"/>
      <c r="V1205" s="471"/>
      <c r="W1205" s="471"/>
      <c r="X1205" s="471"/>
      <c r="Y1205" s="206"/>
      <c r="Z1205" s="206"/>
    </row>
    <row r="1206" spans="1:26">
      <c r="A1206" s="406">
        <v>1203</v>
      </c>
      <c r="B1206" s="613" t="s">
        <v>7020</v>
      </c>
      <c r="C1206" s="288" t="s">
        <v>2101</v>
      </c>
      <c r="D1206" s="414" t="s">
        <v>4884</v>
      </c>
      <c r="E1206" s="407" t="s">
        <v>4884</v>
      </c>
      <c r="F1206" s="483"/>
      <c r="G1206" s="483"/>
      <c r="H1206" s="483"/>
      <c r="I1206" s="483"/>
      <c r="J1206" s="483"/>
      <c r="K1206" s="483"/>
      <c r="L1206" s="608" t="s">
        <v>4884</v>
      </c>
      <c r="M1206" s="409" t="s">
        <v>4884</v>
      </c>
      <c r="N1206" s="409" t="s">
        <v>4884</v>
      </c>
      <c r="O1206" s="410" t="s">
        <v>4884</v>
      </c>
      <c r="P1206" s="406">
        <v>1203</v>
      </c>
      <c r="Q1206" s="270" t="s">
        <v>2101</v>
      </c>
      <c r="R1206" s="523" t="s">
        <v>1883</v>
      </c>
      <c r="S1206" s="270" t="s">
        <v>1884</v>
      </c>
      <c r="U1206" s="471"/>
      <c r="V1206" s="471"/>
      <c r="W1206" s="471"/>
      <c r="X1206" s="471"/>
      <c r="Y1206" s="206"/>
      <c r="Z1206" s="206"/>
    </row>
    <row r="1207" spans="1:26">
      <c r="A1207" s="406">
        <v>1204</v>
      </c>
      <c r="B1207" s="613" t="s">
        <v>7020</v>
      </c>
      <c r="C1207" s="288" t="s">
        <v>2102</v>
      </c>
      <c r="D1207" s="414" t="s">
        <v>4884</v>
      </c>
      <c r="E1207" s="407" t="s">
        <v>4884</v>
      </c>
      <c r="F1207" s="483"/>
      <c r="G1207" s="483"/>
      <c r="H1207" s="483"/>
      <c r="I1207" s="483"/>
      <c r="J1207" s="483"/>
      <c r="K1207" s="483"/>
      <c r="L1207" s="608" t="s">
        <v>4884</v>
      </c>
      <c r="M1207" s="409" t="s">
        <v>4884</v>
      </c>
      <c r="N1207" s="409" t="s">
        <v>4884</v>
      </c>
      <c r="O1207" s="410" t="s">
        <v>4884</v>
      </c>
      <c r="P1207" s="406">
        <v>1204</v>
      </c>
      <c r="Q1207" s="270" t="s">
        <v>2102</v>
      </c>
      <c r="R1207" s="523" t="s">
        <v>1883</v>
      </c>
      <c r="S1207" s="270" t="s">
        <v>1884</v>
      </c>
      <c r="U1207" s="471"/>
      <c r="V1207" s="471"/>
      <c r="W1207" s="471"/>
      <c r="X1207" s="471"/>
      <c r="Y1207" s="206"/>
      <c r="Z1207" s="206"/>
    </row>
    <row r="1208" spans="1:26">
      <c r="A1208" s="406">
        <v>1205</v>
      </c>
      <c r="B1208" s="613" t="s">
        <v>7020</v>
      </c>
      <c r="C1208" s="288" t="s">
        <v>2103</v>
      </c>
      <c r="D1208" s="414" t="s">
        <v>4884</v>
      </c>
      <c r="E1208" s="407" t="s">
        <v>4884</v>
      </c>
      <c r="F1208" s="483"/>
      <c r="G1208" s="483"/>
      <c r="H1208" s="483"/>
      <c r="I1208" s="483"/>
      <c r="J1208" s="483"/>
      <c r="K1208" s="483"/>
      <c r="L1208" s="608" t="s">
        <v>4884</v>
      </c>
      <c r="M1208" s="409" t="s">
        <v>4884</v>
      </c>
      <c r="N1208" s="409" t="s">
        <v>4884</v>
      </c>
      <c r="O1208" s="410" t="s">
        <v>4884</v>
      </c>
      <c r="P1208" s="406">
        <v>1205</v>
      </c>
      <c r="Q1208" s="270" t="s">
        <v>2103</v>
      </c>
      <c r="R1208" s="523" t="s">
        <v>1883</v>
      </c>
      <c r="S1208" s="270" t="s">
        <v>1884</v>
      </c>
      <c r="U1208" s="471"/>
      <c r="V1208" s="471"/>
      <c r="W1208" s="471"/>
      <c r="X1208" s="471"/>
      <c r="Y1208" s="206"/>
      <c r="Z1208" s="206"/>
    </row>
    <row r="1209" spans="1:26">
      <c r="A1209" s="406">
        <v>1206</v>
      </c>
      <c r="B1209" s="613" t="s">
        <v>7020</v>
      </c>
      <c r="C1209" s="288" t="s">
        <v>2104</v>
      </c>
      <c r="D1209" s="414" t="s">
        <v>4884</v>
      </c>
      <c r="E1209" s="407" t="s">
        <v>4884</v>
      </c>
      <c r="F1209" s="483"/>
      <c r="G1209" s="483"/>
      <c r="H1209" s="483"/>
      <c r="I1209" s="483"/>
      <c r="J1209" s="483"/>
      <c r="K1209" s="483"/>
      <c r="L1209" s="608" t="s">
        <v>4884</v>
      </c>
      <c r="M1209" s="409" t="s">
        <v>4884</v>
      </c>
      <c r="N1209" s="409" t="s">
        <v>4884</v>
      </c>
      <c r="O1209" s="410" t="s">
        <v>4884</v>
      </c>
      <c r="P1209" s="406">
        <v>1206</v>
      </c>
      <c r="Q1209" s="270" t="s">
        <v>2104</v>
      </c>
      <c r="R1209" s="523" t="s">
        <v>1883</v>
      </c>
      <c r="S1209" s="270" t="s">
        <v>1884</v>
      </c>
      <c r="U1209" s="471"/>
      <c r="V1209" s="471"/>
      <c r="W1209" s="471"/>
      <c r="X1209" s="471"/>
      <c r="Y1209" s="206"/>
      <c r="Z1209" s="206"/>
    </row>
    <row r="1210" spans="1:26">
      <c r="A1210" s="406">
        <v>1207</v>
      </c>
      <c r="B1210" s="613" t="s">
        <v>7020</v>
      </c>
      <c r="C1210" s="288" t="s">
        <v>2105</v>
      </c>
      <c r="D1210" s="414" t="s">
        <v>4884</v>
      </c>
      <c r="E1210" s="407" t="s">
        <v>4884</v>
      </c>
      <c r="F1210" s="483"/>
      <c r="G1210" s="483"/>
      <c r="H1210" s="483"/>
      <c r="I1210" s="483"/>
      <c r="J1210" s="483"/>
      <c r="K1210" s="483"/>
      <c r="L1210" s="608" t="s">
        <v>4884</v>
      </c>
      <c r="M1210" s="409" t="s">
        <v>4884</v>
      </c>
      <c r="N1210" s="409" t="s">
        <v>4884</v>
      </c>
      <c r="O1210" s="410" t="s">
        <v>4884</v>
      </c>
      <c r="P1210" s="406">
        <v>1207</v>
      </c>
      <c r="Q1210" s="270" t="s">
        <v>2105</v>
      </c>
      <c r="R1210" s="523" t="s">
        <v>1883</v>
      </c>
      <c r="S1210" s="270" t="s">
        <v>1884</v>
      </c>
      <c r="U1210" s="471"/>
      <c r="V1210" s="471"/>
      <c r="W1210" s="471"/>
      <c r="X1210" s="471"/>
      <c r="Y1210" s="206"/>
      <c r="Z1210" s="206"/>
    </row>
    <row r="1211" spans="1:26">
      <c r="A1211" s="406">
        <v>1208</v>
      </c>
      <c r="B1211" s="613" t="s">
        <v>7020</v>
      </c>
      <c r="C1211" s="288" t="s">
        <v>2106</v>
      </c>
      <c r="D1211" s="414" t="s">
        <v>4884</v>
      </c>
      <c r="E1211" s="407" t="s">
        <v>4884</v>
      </c>
      <c r="F1211" s="483"/>
      <c r="G1211" s="483"/>
      <c r="H1211" s="483"/>
      <c r="I1211" s="483"/>
      <c r="J1211" s="483"/>
      <c r="K1211" s="483"/>
      <c r="L1211" s="608" t="s">
        <v>4884</v>
      </c>
      <c r="M1211" s="409" t="s">
        <v>4884</v>
      </c>
      <c r="N1211" s="409" t="s">
        <v>4884</v>
      </c>
      <c r="O1211" s="410" t="s">
        <v>4884</v>
      </c>
      <c r="P1211" s="406">
        <v>1208</v>
      </c>
      <c r="Q1211" s="270" t="s">
        <v>2106</v>
      </c>
      <c r="R1211" s="523" t="s">
        <v>1883</v>
      </c>
      <c r="S1211" s="270" t="s">
        <v>1884</v>
      </c>
      <c r="U1211" s="471"/>
      <c r="V1211" s="471"/>
      <c r="W1211" s="471"/>
      <c r="X1211" s="471"/>
      <c r="Y1211" s="206"/>
      <c r="Z1211" s="206"/>
    </row>
    <row r="1212" spans="1:26">
      <c r="A1212" s="406">
        <v>1209</v>
      </c>
      <c r="B1212" s="613" t="s">
        <v>7020</v>
      </c>
      <c r="C1212" s="288" t="s">
        <v>2107</v>
      </c>
      <c r="D1212" s="414" t="s">
        <v>4884</v>
      </c>
      <c r="E1212" s="407" t="s">
        <v>4884</v>
      </c>
      <c r="F1212" s="483"/>
      <c r="G1212" s="483"/>
      <c r="H1212" s="483"/>
      <c r="I1212" s="483"/>
      <c r="J1212" s="483"/>
      <c r="K1212" s="483"/>
      <c r="L1212" s="608" t="s">
        <v>4884</v>
      </c>
      <c r="M1212" s="409" t="s">
        <v>4884</v>
      </c>
      <c r="N1212" s="409" t="s">
        <v>4884</v>
      </c>
      <c r="O1212" s="410" t="s">
        <v>4884</v>
      </c>
      <c r="P1212" s="406">
        <v>1209</v>
      </c>
      <c r="Q1212" s="270" t="s">
        <v>2107</v>
      </c>
      <c r="R1212" s="523" t="s">
        <v>1883</v>
      </c>
      <c r="S1212" s="270" t="s">
        <v>1884</v>
      </c>
      <c r="U1212" s="471"/>
      <c r="V1212" s="471"/>
      <c r="W1212" s="471"/>
      <c r="X1212" s="471"/>
      <c r="Y1212" s="206"/>
      <c r="Z1212" s="206"/>
    </row>
    <row r="1213" spans="1:26">
      <c r="A1213" s="406">
        <v>1210</v>
      </c>
      <c r="B1213" s="613" t="s">
        <v>7020</v>
      </c>
      <c r="C1213" s="288" t="s">
        <v>2108</v>
      </c>
      <c r="D1213" s="414" t="s">
        <v>4884</v>
      </c>
      <c r="E1213" s="407" t="s">
        <v>4884</v>
      </c>
      <c r="F1213" s="483"/>
      <c r="G1213" s="483"/>
      <c r="H1213" s="483"/>
      <c r="I1213" s="483"/>
      <c r="J1213" s="483"/>
      <c r="K1213" s="483"/>
      <c r="L1213" s="608" t="s">
        <v>4884</v>
      </c>
      <c r="M1213" s="409" t="s">
        <v>4884</v>
      </c>
      <c r="N1213" s="409" t="s">
        <v>4884</v>
      </c>
      <c r="O1213" s="410" t="s">
        <v>4884</v>
      </c>
      <c r="P1213" s="406">
        <v>1210</v>
      </c>
      <c r="Q1213" s="270" t="s">
        <v>2108</v>
      </c>
      <c r="R1213" s="523" t="s">
        <v>1883</v>
      </c>
      <c r="S1213" s="270" t="s">
        <v>1884</v>
      </c>
      <c r="U1213" s="471"/>
      <c r="V1213" s="471"/>
      <c r="W1213" s="471"/>
      <c r="X1213" s="471"/>
      <c r="Y1213" s="206"/>
      <c r="Z1213" s="206"/>
    </row>
    <row r="1214" spans="1:26">
      <c r="A1214" s="406">
        <v>1211</v>
      </c>
      <c r="B1214" s="613" t="s">
        <v>7020</v>
      </c>
      <c r="C1214" s="288" t="s">
        <v>2109</v>
      </c>
      <c r="D1214" s="414" t="s">
        <v>4884</v>
      </c>
      <c r="E1214" s="407" t="s">
        <v>4884</v>
      </c>
      <c r="F1214" s="483"/>
      <c r="G1214" s="483"/>
      <c r="H1214" s="483"/>
      <c r="I1214" s="483"/>
      <c r="J1214" s="483"/>
      <c r="K1214" s="483"/>
      <c r="L1214" s="608" t="s">
        <v>4884</v>
      </c>
      <c r="M1214" s="409" t="s">
        <v>4884</v>
      </c>
      <c r="N1214" s="409" t="s">
        <v>4884</v>
      </c>
      <c r="O1214" s="410" t="s">
        <v>4884</v>
      </c>
      <c r="P1214" s="406">
        <v>1211</v>
      </c>
      <c r="Q1214" s="270" t="s">
        <v>2109</v>
      </c>
      <c r="R1214" s="523" t="s">
        <v>1883</v>
      </c>
      <c r="S1214" s="270" t="s">
        <v>1884</v>
      </c>
      <c r="U1214" s="471"/>
      <c r="V1214" s="471"/>
      <c r="W1214" s="471"/>
      <c r="X1214" s="471"/>
      <c r="Y1214" s="206"/>
      <c r="Z1214" s="206"/>
    </row>
    <row r="1215" spans="1:26">
      <c r="A1215" s="406">
        <v>1212</v>
      </c>
      <c r="B1215" s="613" t="s">
        <v>7020</v>
      </c>
      <c r="C1215" s="288" t="s">
        <v>2110</v>
      </c>
      <c r="D1215" s="414" t="s">
        <v>4884</v>
      </c>
      <c r="E1215" s="407" t="s">
        <v>4884</v>
      </c>
      <c r="F1215" s="483"/>
      <c r="G1215" s="483"/>
      <c r="H1215" s="483"/>
      <c r="I1215" s="483"/>
      <c r="J1215" s="483"/>
      <c r="K1215" s="483"/>
      <c r="L1215" s="608" t="s">
        <v>4884</v>
      </c>
      <c r="M1215" s="409" t="s">
        <v>4884</v>
      </c>
      <c r="N1215" s="409" t="s">
        <v>4884</v>
      </c>
      <c r="O1215" s="410" t="s">
        <v>4884</v>
      </c>
      <c r="P1215" s="406">
        <v>1212</v>
      </c>
      <c r="Q1215" s="270" t="s">
        <v>2110</v>
      </c>
      <c r="R1215" s="523" t="s">
        <v>1883</v>
      </c>
      <c r="S1215" s="270" t="s">
        <v>1884</v>
      </c>
      <c r="U1215" s="471"/>
      <c r="V1215" s="471"/>
      <c r="W1215" s="471"/>
      <c r="X1215" s="471"/>
      <c r="Y1215" s="206"/>
      <c r="Z1215" s="206"/>
    </row>
    <row r="1216" spans="1:26">
      <c r="A1216" s="406">
        <v>1213</v>
      </c>
      <c r="B1216" s="613" t="s">
        <v>7020</v>
      </c>
      <c r="C1216" s="288" t="s">
        <v>2111</v>
      </c>
      <c r="D1216" s="414" t="s">
        <v>4884</v>
      </c>
      <c r="E1216" s="407" t="s">
        <v>4884</v>
      </c>
      <c r="F1216" s="483"/>
      <c r="G1216" s="483"/>
      <c r="H1216" s="483"/>
      <c r="I1216" s="483"/>
      <c r="J1216" s="483"/>
      <c r="K1216" s="483"/>
      <c r="L1216" s="608" t="s">
        <v>4884</v>
      </c>
      <c r="M1216" s="409" t="s">
        <v>4884</v>
      </c>
      <c r="N1216" s="409" t="s">
        <v>4884</v>
      </c>
      <c r="O1216" s="410" t="s">
        <v>4884</v>
      </c>
      <c r="P1216" s="406">
        <v>1213</v>
      </c>
      <c r="Q1216" s="270" t="s">
        <v>2111</v>
      </c>
      <c r="R1216" s="523" t="s">
        <v>1883</v>
      </c>
      <c r="S1216" s="270" t="s">
        <v>1884</v>
      </c>
      <c r="U1216" s="471"/>
      <c r="V1216" s="471"/>
      <c r="W1216" s="471"/>
      <c r="X1216" s="471"/>
      <c r="Y1216" s="206"/>
      <c r="Z1216" s="206"/>
    </row>
    <row r="1217" spans="1:26">
      <c r="A1217" s="406">
        <v>1214</v>
      </c>
      <c r="B1217" s="613" t="s">
        <v>7020</v>
      </c>
      <c r="C1217" s="288" t="s">
        <v>2112</v>
      </c>
      <c r="D1217" s="414" t="s">
        <v>4884</v>
      </c>
      <c r="E1217" s="407" t="s">
        <v>4884</v>
      </c>
      <c r="F1217" s="483"/>
      <c r="G1217" s="483"/>
      <c r="H1217" s="483"/>
      <c r="I1217" s="483"/>
      <c r="J1217" s="483"/>
      <c r="K1217" s="483"/>
      <c r="L1217" s="608" t="s">
        <v>4884</v>
      </c>
      <c r="M1217" s="409" t="s">
        <v>4884</v>
      </c>
      <c r="N1217" s="409" t="s">
        <v>4884</v>
      </c>
      <c r="O1217" s="410" t="s">
        <v>4884</v>
      </c>
      <c r="P1217" s="406">
        <v>1214</v>
      </c>
      <c r="Q1217" s="270" t="s">
        <v>2112</v>
      </c>
      <c r="R1217" s="523" t="s">
        <v>1883</v>
      </c>
      <c r="S1217" s="270" t="s">
        <v>1884</v>
      </c>
      <c r="U1217" s="471"/>
      <c r="V1217" s="471"/>
      <c r="W1217" s="471"/>
      <c r="X1217" s="471"/>
      <c r="Y1217" s="206"/>
      <c r="Z1217" s="206"/>
    </row>
    <row r="1218" spans="1:26">
      <c r="A1218" s="406">
        <v>1215</v>
      </c>
      <c r="B1218" s="613" t="s">
        <v>7020</v>
      </c>
      <c r="C1218" s="288" t="s">
        <v>2113</v>
      </c>
      <c r="D1218" s="414" t="s">
        <v>4884</v>
      </c>
      <c r="E1218" s="407" t="s">
        <v>4884</v>
      </c>
      <c r="F1218" s="483"/>
      <c r="G1218" s="483"/>
      <c r="H1218" s="483"/>
      <c r="I1218" s="483"/>
      <c r="J1218" s="483"/>
      <c r="K1218" s="483"/>
      <c r="L1218" s="608" t="s">
        <v>4884</v>
      </c>
      <c r="M1218" s="409" t="s">
        <v>4884</v>
      </c>
      <c r="N1218" s="409" t="s">
        <v>4884</v>
      </c>
      <c r="O1218" s="410" t="s">
        <v>4884</v>
      </c>
      <c r="P1218" s="406">
        <v>1215</v>
      </c>
      <c r="Q1218" s="270" t="s">
        <v>2113</v>
      </c>
      <c r="R1218" s="523" t="s">
        <v>1883</v>
      </c>
      <c r="S1218" s="270" t="s">
        <v>1884</v>
      </c>
      <c r="U1218" s="471"/>
      <c r="V1218" s="471"/>
      <c r="W1218" s="471"/>
      <c r="X1218" s="471"/>
      <c r="Y1218" s="206"/>
      <c r="Z1218" s="206"/>
    </row>
    <row r="1219" spans="1:26">
      <c r="A1219" s="406">
        <v>1216</v>
      </c>
      <c r="B1219" s="613" t="s">
        <v>7020</v>
      </c>
      <c r="C1219" s="288" t="s">
        <v>2114</v>
      </c>
      <c r="D1219" s="414" t="s">
        <v>4884</v>
      </c>
      <c r="E1219" s="407" t="s">
        <v>4884</v>
      </c>
      <c r="F1219" s="483"/>
      <c r="G1219" s="483"/>
      <c r="H1219" s="483"/>
      <c r="I1219" s="483"/>
      <c r="J1219" s="483"/>
      <c r="K1219" s="483"/>
      <c r="L1219" s="608" t="s">
        <v>4884</v>
      </c>
      <c r="M1219" s="409" t="s">
        <v>4884</v>
      </c>
      <c r="N1219" s="409" t="s">
        <v>4884</v>
      </c>
      <c r="O1219" s="410" t="s">
        <v>4884</v>
      </c>
      <c r="P1219" s="406">
        <v>1216</v>
      </c>
      <c r="Q1219" s="270" t="s">
        <v>2114</v>
      </c>
      <c r="R1219" s="523" t="s">
        <v>1883</v>
      </c>
      <c r="S1219" s="270" t="s">
        <v>1884</v>
      </c>
      <c r="U1219" s="471"/>
      <c r="V1219" s="471"/>
      <c r="W1219" s="471"/>
      <c r="X1219" s="471"/>
      <c r="Y1219" s="206"/>
      <c r="Z1219" s="206"/>
    </row>
    <row r="1220" spans="1:26">
      <c r="A1220" s="406">
        <v>1217</v>
      </c>
      <c r="B1220" s="613" t="s">
        <v>7020</v>
      </c>
      <c r="C1220" s="288" t="s">
        <v>2115</v>
      </c>
      <c r="D1220" s="414" t="s">
        <v>4884</v>
      </c>
      <c r="E1220" s="407" t="s">
        <v>4884</v>
      </c>
      <c r="F1220" s="483"/>
      <c r="G1220" s="483"/>
      <c r="H1220" s="483"/>
      <c r="I1220" s="483"/>
      <c r="J1220" s="483"/>
      <c r="K1220" s="483"/>
      <c r="L1220" s="608" t="s">
        <v>4884</v>
      </c>
      <c r="M1220" s="409" t="s">
        <v>4884</v>
      </c>
      <c r="N1220" s="409" t="s">
        <v>4884</v>
      </c>
      <c r="O1220" s="410" t="s">
        <v>4884</v>
      </c>
      <c r="P1220" s="406">
        <v>1217</v>
      </c>
      <c r="Q1220" s="270" t="s">
        <v>2115</v>
      </c>
      <c r="R1220" s="523" t="s">
        <v>1883</v>
      </c>
      <c r="S1220" s="270" t="s">
        <v>1884</v>
      </c>
      <c r="U1220" s="471"/>
      <c r="V1220" s="471"/>
      <c r="W1220" s="471"/>
      <c r="X1220" s="471"/>
      <c r="Y1220" s="206"/>
      <c r="Z1220" s="206"/>
    </row>
    <row r="1221" spans="1:26">
      <c r="A1221" s="406">
        <v>1218</v>
      </c>
      <c r="B1221" s="613" t="s">
        <v>7020</v>
      </c>
      <c r="C1221" s="288" t="s">
        <v>2116</v>
      </c>
      <c r="D1221" s="414" t="s">
        <v>4884</v>
      </c>
      <c r="E1221" s="407" t="s">
        <v>4884</v>
      </c>
      <c r="F1221" s="483"/>
      <c r="G1221" s="483"/>
      <c r="H1221" s="483"/>
      <c r="I1221" s="483"/>
      <c r="J1221" s="483"/>
      <c r="K1221" s="483"/>
      <c r="L1221" s="608" t="s">
        <v>4884</v>
      </c>
      <c r="M1221" s="409" t="s">
        <v>4884</v>
      </c>
      <c r="N1221" s="409" t="s">
        <v>4884</v>
      </c>
      <c r="O1221" s="410" t="s">
        <v>4884</v>
      </c>
      <c r="P1221" s="406">
        <v>1218</v>
      </c>
      <c r="Q1221" s="270" t="s">
        <v>2116</v>
      </c>
      <c r="R1221" s="523" t="s">
        <v>1883</v>
      </c>
      <c r="S1221" s="270" t="s">
        <v>1884</v>
      </c>
      <c r="U1221" s="471"/>
      <c r="V1221" s="471"/>
      <c r="W1221" s="471"/>
      <c r="X1221" s="471"/>
      <c r="Y1221" s="206"/>
      <c r="Z1221" s="206"/>
    </row>
    <row r="1222" spans="1:26">
      <c r="A1222" s="406">
        <v>1219</v>
      </c>
      <c r="B1222" s="613" t="s">
        <v>7020</v>
      </c>
      <c r="C1222" s="288" t="s">
        <v>2117</v>
      </c>
      <c r="D1222" s="414" t="s">
        <v>4884</v>
      </c>
      <c r="E1222" s="407" t="s">
        <v>4884</v>
      </c>
      <c r="F1222" s="483"/>
      <c r="G1222" s="483"/>
      <c r="H1222" s="483"/>
      <c r="I1222" s="483"/>
      <c r="J1222" s="483"/>
      <c r="K1222" s="483"/>
      <c r="L1222" s="608" t="s">
        <v>4884</v>
      </c>
      <c r="M1222" s="409" t="s">
        <v>4884</v>
      </c>
      <c r="N1222" s="409" t="s">
        <v>4884</v>
      </c>
      <c r="O1222" s="410" t="s">
        <v>4884</v>
      </c>
      <c r="P1222" s="406">
        <v>1219</v>
      </c>
      <c r="Q1222" s="270" t="s">
        <v>2117</v>
      </c>
      <c r="R1222" s="523" t="s">
        <v>1883</v>
      </c>
      <c r="S1222" s="270" t="s">
        <v>1884</v>
      </c>
      <c r="U1222" s="471"/>
      <c r="V1222" s="471"/>
      <c r="W1222" s="471"/>
      <c r="X1222" s="471"/>
      <c r="Y1222" s="206"/>
      <c r="Z1222" s="206"/>
    </row>
    <row r="1223" spans="1:26">
      <c r="A1223" s="406">
        <v>1220</v>
      </c>
      <c r="B1223" s="613" t="s">
        <v>7020</v>
      </c>
      <c r="C1223" s="288" t="s">
        <v>2118</v>
      </c>
      <c r="D1223" s="414" t="s">
        <v>4884</v>
      </c>
      <c r="E1223" s="407" t="s">
        <v>4884</v>
      </c>
      <c r="F1223" s="483"/>
      <c r="G1223" s="483"/>
      <c r="H1223" s="483"/>
      <c r="I1223" s="483"/>
      <c r="J1223" s="483"/>
      <c r="K1223" s="483"/>
      <c r="L1223" s="608" t="s">
        <v>4884</v>
      </c>
      <c r="M1223" s="409" t="s">
        <v>4884</v>
      </c>
      <c r="N1223" s="409" t="s">
        <v>4884</v>
      </c>
      <c r="O1223" s="410" t="s">
        <v>4884</v>
      </c>
      <c r="P1223" s="406">
        <v>1220</v>
      </c>
      <c r="Q1223" s="270" t="s">
        <v>2118</v>
      </c>
      <c r="R1223" s="523" t="s">
        <v>1883</v>
      </c>
      <c r="S1223" s="270" t="s">
        <v>1884</v>
      </c>
      <c r="U1223" s="471"/>
      <c r="V1223" s="471"/>
      <c r="W1223" s="471"/>
      <c r="X1223" s="471"/>
      <c r="Y1223" s="206"/>
      <c r="Z1223" s="206"/>
    </row>
    <row r="1224" spans="1:26">
      <c r="A1224" s="406">
        <v>1221</v>
      </c>
      <c r="B1224" s="613" t="s">
        <v>7020</v>
      </c>
      <c r="C1224" s="288" t="s">
        <v>2119</v>
      </c>
      <c r="D1224" s="414" t="s">
        <v>4884</v>
      </c>
      <c r="E1224" s="407" t="s">
        <v>4884</v>
      </c>
      <c r="F1224" s="483"/>
      <c r="G1224" s="483"/>
      <c r="H1224" s="483"/>
      <c r="I1224" s="483"/>
      <c r="J1224" s="483"/>
      <c r="K1224" s="483"/>
      <c r="L1224" s="608" t="s">
        <v>4884</v>
      </c>
      <c r="M1224" s="409" t="s">
        <v>4884</v>
      </c>
      <c r="N1224" s="409" t="s">
        <v>4884</v>
      </c>
      <c r="O1224" s="410" t="s">
        <v>4884</v>
      </c>
      <c r="P1224" s="406">
        <v>1221</v>
      </c>
      <c r="Q1224" s="270" t="s">
        <v>2119</v>
      </c>
      <c r="R1224" s="523" t="s">
        <v>1883</v>
      </c>
      <c r="S1224" s="270" t="s">
        <v>1884</v>
      </c>
      <c r="U1224" s="471"/>
      <c r="V1224" s="471"/>
      <c r="W1224" s="471"/>
      <c r="X1224" s="471"/>
      <c r="Y1224" s="206"/>
      <c r="Z1224" s="206"/>
    </row>
    <row r="1225" spans="1:26">
      <c r="A1225" s="406">
        <v>1222</v>
      </c>
      <c r="B1225" s="613" t="s">
        <v>7020</v>
      </c>
      <c r="C1225" s="288" t="s">
        <v>2120</v>
      </c>
      <c r="D1225" s="414" t="s">
        <v>4884</v>
      </c>
      <c r="E1225" s="407" t="s">
        <v>4884</v>
      </c>
      <c r="F1225" s="483"/>
      <c r="G1225" s="483"/>
      <c r="H1225" s="483"/>
      <c r="I1225" s="483"/>
      <c r="J1225" s="483"/>
      <c r="K1225" s="483"/>
      <c r="L1225" s="608" t="s">
        <v>4884</v>
      </c>
      <c r="M1225" s="409" t="s">
        <v>4884</v>
      </c>
      <c r="N1225" s="409" t="s">
        <v>4884</v>
      </c>
      <c r="O1225" s="410" t="s">
        <v>4884</v>
      </c>
      <c r="P1225" s="406">
        <v>1222</v>
      </c>
      <c r="Q1225" s="270" t="s">
        <v>2120</v>
      </c>
      <c r="R1225" s="523" t="s">
        <v>1883</v>
      </c>
      <c r="S1225" s="270" t="s">
        <v>1884</v>
      </c>
      <c r="U1225" s="471"/>
      <c r="V1225" s="471"/>
      <c r="W1225" s="471"/>
      <c r="X1225" s="471"/>
      <c r="Y1225" s="206"/>
      <c r="Z1225" s="206"/>
    </row>
    <row r="1226" spans="1:26">
      <c r="A1226" s="406">
        <v>1223</v>
      </c>
      <c r="B1226" s="613" t="s">
        <v>7020</v>
      </c>
      <c r="C1226" s="288" t="s">
        <v>2121</v>
      </c>
      <c r="D1226" s="414" t="s">
        <v>4884</v>
      </c>
      <c r="E1226" s="407" t="s">
        <v>4884</v>
      </c>
      <c r="F1226" s="483"/>
      <c r="G1226" s="483"/>
      <c r="H1226" s="483"/>
      <c r="I1226" s="483"/>
      <c r="J1226" s="483"/>
      <c r="K1226" s="483"/>
      <c r="L1226" s="608" t="s">
        <v>4884</v>
      </c>
      <c r="M1226" s="409" t="s">
        <v>4884</v>
      </c>
      <c r="N1226" s="409" t="s">
        <v>4884</v>
      </c>
      <c r="O1226" s="410" t="s">
        <v>4884</v>
      </c>
      <c r="P1226" s="406">
        <v>1223</v>
      </c>
      <c r="Q1226" s="270" t="s">
        <v>2121</v>
      </c>
      <c r="R1226" s="523" t="s">
        <v>1883</v>
      </c>
      <c r="S1226" s="270" t="s">
        <v>1884</v>
      </c>
      <c r="U1226" s="471"/>
      <c r="V1226" s="471"/>
      <c r="W1226" s="471"/>
      <c r="X1226" s="471"/>
      <c r="Y1226" s="206"/>
      <c r="Z1226" s="206"/>
    </row>
    <row r="1227" spans="1:26">
      <c r="A1227" s="406">
        <v>1224</v>
      </c>
      <c r="B1227" s="613" t="s">
        <v>7020</v>
      </c>
      <c r="C1227" s="288" t="s">
        <v>2122</v>
      </c>
      <c r="D1227" s="414" t="s">
        <v>4884</v>
      </c>
      <c r="E1227" s="407" t="s">
        <v>4884</v>
      </c>
      <c r="F1227" s="483"/>
      <c r="G1227" s="483"/>
      <c r="H1227" s="483"/>
      <c r="I1227" s="483"/>
      <c r="J1227" s="483"/>
      <c r="K1227" s="483"/>
      <c r="L1227" s="608" t="s">
        <v>4884</v>
      </c>
      <c r="M1227" s="409" t="s">
        <v>4884</v>
      </c>
      <c r="N1227" s="409" t="s">
        <v>4884</v>
      </c>
      <c r="O1227" s="410" t="s">
        <v>4884</v>
      </c>
      <c r="P1227" s="406">
        <v>1224</v>
      </c>
      <c r="Q1227" s="270" t="s">
        <v>2122</v>
      </c>
      <c r="R1227" s="523" t="s">
        <v>1883</v>
      </c>
      <c r="S1227" s="270" t="s">
        <v>1884</v>
      </c>
      <c r="U1227" s="471"/>
      <c r="V1227" s="471"/>
      <c r="W1227" s="471"/>
      <c r="X1227" s="471"/>
      <c r="Y1227" s="206"/>
      <c r="Z1227" s="206"/>
    </row>
    <row r="1228" spans="1:26">
      <c r="A1228" s="406">
        <v>1225</v>
      </c>
      <c r="B1228" s="613" t="s">
        <v>7020</v>
      </c>
      <c r="C1228" s="288" t="s">
        <v>2123</v>
      </c>
      <c r="D1228" s="414" t="s">
        <v>4884</v>
      </c>
      <c r="E1228" s="407" t="s">
        <v>4884</v>
      </c>
      <c r="F1228" s="483"/>
      <c r="G1228" s="483"/>
      <c r="H1228" s="483"/>
      <c r="I1228" s="483"/>
      <c r="J1228" s="483"/>
      <c r="K1228" s="483"/>
      <c r="L1228" s="608" t="s">
        <v>4884</v>
      </c>
      <c r="M1228" s="409" t="s">
        <v>4884</v>
      </c>
      <c r="N1228" s="409" t="s">
        <v>4884</v>
      </c>
      <c r="O1228" s="410" t="s">
        <v>4884</v>
      </c>
      <c r="P1228" s="406">
        <v>1225</v>
      </c>
      <c r="Q1228" s="270" t="s">
        <v>2123</v>
      </c>
      <c r="R1228" s="523" t="s">
        <v>1883</v>
      </c>
      <c r="S1228" s="270" t="s">
        <v>1884</v>
      </c>
      <c r="U1228" s="471"/>
      <c r="V1228" s="471"/>
      <c r="W1228" s="471"/>
      <c r="X1228" s="471"/>
      <c r="Y1228" s="206"/>
      <c r="Z1228" s="206"/>
    </row>
    <row r="1229" spans="1:26">
      <c r="A1229" s="406">
        <v>1226</v>
      </c>
      <c r="B1229" s="613" t="s">
        <v>7020</v>
      </c>
      <c r="C1229" s="288" t="s">
        <v>2124</v>
      </c>
      <c r="D1229" s="414" t="s">
        <v>4884</v>
      </c>
      <c r="E1229" s="407" t="s">
        <v>4884</v>
      </c>
      <c r="F1229" s="483"/>
      <c r="G1229" s="483"/>
      <c r="H1229" s="483"/>
      <c r="I1229" s="483"/>
      <c r="J1229" s="483"/>
      <c r="K1229" s="483"/>
      <c r="L1229" s="608" t="s">
        <v>4884</v>
      </c>
      <c r="M1229" s="409" t="s">
        <v>4884</v>
      </c>
      <c r="N1229" s="409" t="s">
        <v>4884</v>
      </c>
      <c r="O1229" s="410" t="s">
        <v>4884</v>
      </c>
      <c r="P1229" s="406">
        <v>1226</v>
      </c>
      <c r="Q1229" s="270" t="s">
        <v>2124</v>
      </c>
      <c r="R1229" s="523" t="s">
        <v>1883</v>
      </c>
      <c r="S1229" s="270" t="s">
        <v>1884</v>
      </c>
      <c r="U1229" s="471"/>
      <c r="V1229" s="471"/>
      <c r="W1229" s="471"/>
      <c r="X1229" s="471"/>
      <c r="Y1229" s="206"/>
      <c r="Z1229" s="206"/>
    </row>
    <row r="1230" spans="1:26">
      <c r="A1230" s="406">
        <v>1227</v>
      </c>
      <c r="B1230" s="613" t="s">
        <v>7020</v>
      </c>
      <c r="C1230" s="288" t="s">
        <v>2125</v>
      </c>
      <c r="D1230" s="414" t="s">
        <v>4884</v>
      </c>
      <c r="E1230" s="407" t="s">
        <v>4884</v>
      </c>
      <c r="F1230" s="483"/>
      <c r="G1230" s="483"/>
      <c r="H1230" s="483"/>
      <c r="I1230" s="483"/>
      <c r="J1230" s="483"/>
      <c r="K1230" s="483"/>
      <c r="L1230" s="608" t="s">
        <v>4884</v>
      </c>
      <c r="M1230" s="409" t="s">
        <v>4884</v>
      </c>
      <c r="N1230" s="409" t="s">
        <v>4884</v>
      </c>
      <c r="O1230" s="410" t="s">
        <v>4884</v>
      </c>
      <c r="P1230" s="406">
        <v>1227</v>
      </c>
      <c r="Q1230" s="270" t="s">
        <v>2125</v>
      </c>
      <c r="R1230" s="523" t="s">
        <v>1883</v>
      </c>
      <c r="S1230" s="270" t="s">
        <v>1884</v>
      </c>
      <c r="U1230" s="471"/>
      <c r="V1230" s="471"/>
      <c r="W1230" s="471"/>
      <c r="X1230" s="471"/>
      <c r="Y1230" s="206"/>
      <c r="Z1230" s="206"/>
    </row>
    <row r="1231" spans="1:26">
      <c r="A1231" s="406">
        <v>1228</v>
      </c>
      <c r="B1231" s="613" t="s">
        <v>7020</v>
      </c>
      <c r="C1231" s="288" t="s">
        <v>2126</v>
      </c>
      <c r="D1231" s="414" t="s">
        <v>4884</v>
      </c>
      <c r="E1231" s="407" t="s">
        <v>4884</v>
      </c>
      <c r="F1231" s="483"/>
      <c r="G1231" s="483"/>
      <c r="H1231" s="483"/>
      <c r="I1231" s="483"/>
      <c r="J1231" s="483"/>
      <c r="K1231" s="483"/>
      <c r="L1231" s="608" t="s">
        <v>4884</v>
      </c>
      <c r="M1231" s="409" t="s">
        <v>4884</v>
      </c>
      <c r="N1231" s="409" t="s">
        <v>4884</v>
      </c>
      <c r="O1231" s="410" t="s">
        <v>4884</v>
      </c>
      <c r="P1231" s="406">
        <v>1228</v>
      </c>
      <c r="Q1231" s="270" t="s">
        <v>2126</v>
      </c>
      <c r="R1231" s="523" t="s">
        <v>1883</v>
      </c>
      <c r="S1231" s="270" t="s">
        <v>1884</v>
      </c>
      <c r="U1231" s="471"/>
      <c r="V1231" s="471"/>
      <c r="W1231" s="471"/>
      <c r="X1231" s="471"/>
      <c r="Y1231" s="206"/>
      <c r="Z1231" s="206"/>
    </row>
    <row r="1232" spans="1:26">
      <c r="A1232" s="406">
        <v>1229</v>
      </c>
      <c r="B1232" s="613" t="s">
        <v>7020</v>
      </c>
      <c r="C1232" s="288" t="s">
        <v>2127</v>
      </c>
      <c r="D1232" s="414" t="s">
        <v>4884</v>
      </c>
      <c r="E1232" s="407" t="s">
        <v>4884</v>
      </c>
      <c r="F1232" s="483"/>
      <c r="G1232" s="483"/>
      <c r="H1232" s="483"/>
      <c r="I1232" s="483"/>
      <c r="J1232" s="483"/>
      <c r="K1232" s="483"/>
      <c r="L1232" s="608" t="s">
        <v>4884</v>
      </c>
      <c r="M1232" s="409" t="s">
        <v>4884</v>
      </c>
      <c r="N1232" s="409" t="s">
        <v>4884</v>
      </c>
      <c r="O1232" s="410" t="s">
        <v>4884</v>
      </c>
      <c r="P1232" s="406">
        <v>1229</v>
      </c>
      <c r="Q1232" s="270" t="s">
        <v>2127</v>
      </c>
      <c r="R1232" s="523" t="s">
        <v>1883</v>
      </c>
      <c r="S1232" s="270" t="s">
        <v>1884</v>
      </c>
      <c r="U1232" s="471"/>
      <c r="V1232" s="471"/>
      <c r="W1232" s="471"/>
      <c r="X1232" s="471"/>
      <c r="Y1232" s="206"/>
      <c r="Z1232" s="206"/>
    </row>
    <row r="1233" spans="1:26">
      <c r="A1233" s="406">
        <v>1230</v>
      </c>
      <c r="B1233" s="613" t="s">
        <v>7020</v>
      </c>
      <c r="C1233" s="288" t="s">
        <v>2128</v>
      </c>
      <c r="D1233" s="414" t="s">
        <v>4884</v>
      </c>
      <c r="E1233" s="407" t="s">
        <v>4884</v>
      </c>
      <c r="F1233" s="483"/>
      <c r="G1233" s="483"/>
      <c r="H1233" s="483"/>
      <c r="I1233" s="483"/>
      <c r="J1233" s="483"/>
      <c r="K1233" s="483"/>
      <c r="L1233" s="608" t="s">
        <v>4884</v>
      </c>
      <c r="M1233" s="409" t="s">
        <v>4884</v>
      </c>
      <c r="N1233" s="409" t="s">
        <v>4884</v>
      </c>
      <c r="O1233" s="410" t="s">
        <v>4884</v>
      </c>
      <c r="P1233" s="406">
        <v>1230</v>
      </c>
      <c r="Q1233" s="270" t="s">
        <v>2128</v>
      </c>
      <c r="R1233" s="523" t="s">
        <v>1883</v>
      </c>
      <c r="S1233" s="270" t="s">
        <v>1884</v>
      </c>
      <c r="U1233" s="471"/>
      <c r="V1233" s="471"/>
      <c r="W1233" s="471"/>
      <c r="X1233" s="471"/>
      <c r="Y1233" s="206"/>
      <c r="Z1233" s="206"/>
    </row>
    <row r="1234" spans="1:26">
      <c r="A1234" s="406">
        <v>1231</v>
      </c>
      <c r="B1234" s="613" t="s">
        <v>7020</v>
      </c>
      <c r="C1234" s="288" t="s">
        <v>2129</v>
      </c>
      <c r="D1234" s="414" t="s">
        <v>4884</v>
      </c>
      <c r="E1234" s="407" t="s">
        <v>4884</v>
      </c>
      <c r="F1234" s="483"/>
      <c r="G1234" s="483"/>
      <c r="H1234" s="483"/>
      <c r="I1234" s="483"/>
      <c r="J1234" s="483"/>
      <c r="K1234" s="483"/>
      <c r="L1234" s="608" t="s">
        <v>4884</v>
      </c>
      <c r="M1234" s="409" t="s">
        <v>4884</v>
      </c>
      <c r="N1234" s="409" t="s">
        <v>4884</v>
      </c>
      <c r="O1234" s="410" t="s">
        <v>4884</v>
      </c>
      <c r="P1234" s="406">
        <v>1231</v>
      </c>
      <c r="Q1234" s="270" t="s">
        <v>2129</v>
      </c>
      <c r="R1234" s="523" t="s">
        <v>1883</v>
      </c>
      <c r="S1234" s="270" t="s">
        <v>1884</v>
      </c>
      <c r="U1234" s="471"/>
      <c r="V1234" s="471"/>
      <c r="W1234" s="471"/>
      <c r="X1234" s="471"/>
      <c r="Y1234" s="206"/>
      <c r="Z1234" s="206"/>
    </row>
    <row r="1235" spans="1:26">
      <c r="A1235" s="406">
        <v>1232</v>
      </c>
      <c r="B1235" s="613" t="s">
        <v>7020</v>
      </c>
      <c r="C1235" s="288" t="s">
        <v>2130</v>
      </c>
      <c r="D1235" s="414" t="s">
        <v>4884</v>
      </c>
      <c r="E1235" s="407" t="s">
        <v>4884</v>
      </c>
      <c r="F1235" s="483"/>
      <c r="G1235" s="483"/>
      <c r="H1235" s="483"/>
      <c r="I1235" s="483"/>
      <c r="J1235" s="483"/>
      <c r="K1235" s="483"/>
      <c r="L1235" s="608" t="s">
        <v>4884</v>
      </c>
      <c r="M1235" s="409" t="s">
        <v>4884</v>
      </c>
      <c r="N1235" s="409" t="s">
        <v>4884</v>
      </c>
      <c r="O1235" s="410" t="s">
        <v>4884</v>
      </c>
      <c r="P1235" s="406">
        <v>1232</v>
      </c>
      <c r="Q1235" s="270" t="s">
        <v>2130</v>
      </c>
      <c r="R1235" s="523" t="s">
        <v>1883</v>
      </c>
      <c r="S1235" s="270" t="s">
        <v>1884</v>
      </c>
      <c r="U1235" s="471"/>
      <c r="V1235" s="471"/>
      <c r="W1235" s="471"/>
      <c r="X1235" s="471"/>
      <c r="Y1235" s="206"/>
      <c r="Z1235" s="206"/>
    </row>
    <row r="1236" spans="1:26">
      <c r="A1236" s="406">
        <v>1233</v>
      </c>
      <c r="B1236" s="613" t="s">
        <v>7020</v>
      </c>
      <c r="C1236" s="288" t="s">
        <v>2131</v>
      </c>
      <c r="D1236" s="414" t="s">
        <v>4884</v>
      </c>
      <c r="E1236" s="407" t="s">
        <v>4884</v>
      </c>
      <c r="F1236" s="483"/>
      <c r="G1236" s="483"/>
      <c r="H1236" s="483"/>
      <c r="I1236" s="483"/>
      <c r="J1236" s="483"/>
      <c r="K1236" s="483"/>
      <c r="L1236" s="608" t="s">
        <v>4884</v>
      </c>
      <c r="M1236" s="409" t="s">
        <v>4884</v>
      </c>
      <c r="N1236" s="409" t="s">
        <v>4884</v>
      </c>
      <c r="O1236" s="410" t="s">
        <v>4884</v>
      </c>
      <c r="P1236" s="406">
        <v>1233</v>
      </c>
      <c r="Q1236" s="270" t="s">
        <v>2131</v>
      </c>
      <c r="R1236" s="523" t="s">
        <v>1883</v>
      </c>
      <c r="S1236" s="270" t="s">
        <v>1884</v>
      </c>
      <c r="U1236" s="471"/>
      <c r="V1236" s="471"/>
      <c r="W1236" s="471"/>
      <c r="X1236" s="471"/>
      <c r="Y1236" s="206"/>
      <c r="Z1236" s="206"/>
    </row>
    <row r="1237" spans="1:26">
      <c r="A1237" s="406">
        <v>1234</v>
      </c>
      <c r="B1237" s="613" t="s">
        <v>7020</v>
      </c>
      <c r="C1237" s="288" t="s">
        <v>2132</v>
      </c>
      <c r="D1237" s="414" t="s">
        <v>4884</v>
      </c>
      <c r="E1237" s="407" t="s">
        <v>4884</v>
      </c>
      <c r="F1237" s="483"/>
      <c r="G1237" s="483"/>
      <c r="H1237" s="483"/>
      <c r="I1237" s="483"/>
      <c r="J1237" s="483"/>
      <c r="K1237" s="483"/>
      <c r="L1237" s="608" t="s">
        <v>4884</v>
      </c>
      <c r="M1237" s="409" t="s">
        <v>4884</v>
      </c>
      <c r="N1237" s="409" t="s">
        <v>4884</v>
      </c>
      <c r="O1237" s="410" t="s">
        <v>4884</v>
      </c>
      <c r="P1237" s="406">
        <v>1234</v>
      </c>
      <c r="Q1237" s="270" t="s">
        <v>2132</v>
      </c>
      <c r="R1237" s="523" t="s">
        <v>1883</v>
      </c>
      <c r="S1237" s="270" t="s">
        <v>1884</v>
      </c>
      <c r="U1237" s="471"/>
      <c r="V1237" s="471"/>
      <c r="W1237" s="471"/>
      <c r="X1237" s="471"/>
      <c r="Y1237" s="206"/>
      <c r="Z1237" s="206"/>
    </row>
    <row r="1238" spans="1:26">
      <c r="A1238" s="406">
        <v>1235</v>
      </c>
      <c r="B1238" s="613" t="s">
        <v>7020</v>
      </c>
      <c r="C1238" s="288" t="s">
        <v>2133</v>
      </c>
      <c r="D1238" s="414" t="s">
        <v>4884</v>
      </c>
      <c r="E1238" s="407" t="s">
        <v>4884</v>
      </c>
      <c r="F1238" s="483"/>
      <c r="G1238" s="483"/>
      <c r="H1238" s="483"/>
      <c r="I1238" s="483"/>
      <c r="J1238" s="483"/>
      <c r="K1238" s="483"/>
      <c r="L1238" s="608" t="s">
        <v>4884</v>
      </c>
      <c r="M1238" s="409" t="s">
        <v>4884</v>
      </c>
      <c r="N1238" s="409" t="s">
        <v>4884</v>
      </c>
      <c r="O1238" s="410" t="s">
        <v>4884</v>
      </c>
      <c r="P1238" s="406">
        <v>1235</v>
      </c>
      <c r="Q1238" s="270" t="s">
        <v>2133</v>
      </c>
      <c r="R1238" s="523" t="s">
        <v>1883</v>
      </c>
      <c r="S1238" s="270" t="s">
        <v>1884</v>
      </c>
      <c r="U1238" s="471"/>
      <c r="V1238" s="471"/>
      <c r="W1238" s="471"/>
      <c r="X1238" s="471"/>
      <c r="Y1238" s="206"/>
      <c r="Z1238" s="206"/>
    </row>
    <row r="1239" spans="1:26">
      <c r="A1239" s="406">
        <v>1236</v>
      </c>
      <c r="B1239" s="613" t="s">
        <v>7020</v>
      </c>
      <c r="C1239" s="288" t="s">
        <v>2134</v>
      </c>
      <c r="D1239" s="414" t="s">
        <v>4884</v>
      </c>
      <c r="E1239" s="407" t="s">
        <v>4884</v>
      </c>
      <c r="F1239" s="483"/>
      <c r="G1239" s="483"/>
      <c r="H1239" s="483"/>
      <c r="I1239" s="483"/>
      <c r="J1239" s="483"/>
      <c r="K1239" s="483"/>
      <c r="L1239" s="608" t="s">
        <v>4884</v>
      </c>
      <c r="M1239" s="409" t="s">
        <v>4884</v>
      </c>
      <c r="N1239" s="409" t="s">
        <v>4884</v>
      </c>
      <c r="O1239" s="410" t="s">
        <v>4884</v>
      </c>
      <c r="P1239" s="406">
        <v>1236</v>
      </c>
      <c r="Q1239" s="270" t="s">
        <v>2134</v>
      </c>
      <c r="R1239" s="523" t="s">
        <v>1883</v>
      </c>
      <c r="S1239" s="270" t="s">
        <v>1884</v>
      </c>
      <c r="U1239" s="471"/>
      <c r="V1239" s="471"/>
      <c r="W1239" s="471"/>
      <c r="X1239" s="471"/>
      <c r="Y1239" s="206"/>
      <c r="Z1239" s="206"/>
    </row>
    <row r="1240" spans="1:26">
      <c r="A1240" s="406">
        <v>1237</v>
      </c>
      <c r="B1240" s="613" t="s">
        <v>7020</v>
      </c>
      <c r="C1240" s="288" t="s">
        <v>2135</v>
      </c>
      <c r="D1240" s="414" t="s">
        <v>4884</v>
      </c>
      <c r="E1240" s="407" t="s">
        <v>4884</v>
      </c>
      <c r="F1240" s="483"/>
      <c r="G1240" s="483"/>
      <c r="H1240" s="483"/>
      <c r="I1240" s="483"/>
      <c r="J1240" s="483"/>
      <c r="K1240" s="483"/>
      <c r="L1240" s="608" t="s">
        <v>4884</v>
      </c>
      <c r="M1240" s="409" t="s">
        <v>4884</v>
      </c>
      <c r="N1240" s="409" t="s">
        <v>4884</v>
      </c>
      <c r="O1240" s="410" t="s">
        <v>4884</v>
      </c>
      <c r="P1240" s="406">
        <v>1237</v>
      </c>
      <c r="Q1240" s="270" t="s">
        <v>2135</v>
      </c>
      <c r="R1240" s="523" t="s">
        <v>1883</v>
      </c>
      <c r="S1240" s="270" t="s">
        <v>1884</v>
      </c>
      <c r="U1240" s="471"/>
      <c r="V1240" s="471"/>
      <c r="W1240" s="471"/>
      <c r="X1240" s="471"/>
      <c r="Y1240" s="206"/>
      <c r="Z1240" s="206"/>
    </row>
    <row r="1241" spans="1:26">
      <c r="A1241" s="406">
        <v>1238</v>
      </c>
      <c r="B1241" s="613" t="s">
        <v>7020</v>
      </c>
      <c r="C1241" s="288" t="s">
        <v>2136</v>
      </c>
      <c r="D1241" s="414" t="s">
        <v>4884</v>
      </c>
      <c r="E1241" s="407" t="s">
        <v>4884</v>
      </c>
      <c r="F1241" s="483"/>
      <c r="G1241" s="483"/>
      <c r="H1241" s="483"/>
      <c r="I1241" s="483"/>
      <c r="J1241" s="483"/>
      <c r="K1241" s="483"/>
      <c r="L1241" s="608" t="s">
        <v>4884</v>
      </c>
      <c r="M1241" s="409" t="s">
        <v>4884</v>
      </c>
      <c r="N1241" s="409" t="s">
        <v>4884</v>
      </c>
      <c r="O1241" s="410" t="s">
        <v>4884</v>
      </c>
      <c r="P1241" s="406">
        <v>1238</v>
      </c>
      <c r="Q1241" s="270" t="s">
        <v>2136</v>
      </c>
      <c r="R1241" s="523" t="s">
        <v>1883</v>
      </c>
      <c r="S1241" s="270" t="s">
        <v>1884</v>
      </c>
      <c r="U1241" s="471"/>
      <c r="V1241" s="471"/>
      <c r="W1241" s="471"/>
      <c r="X1241" s="471"/>
      <c r="Y1241" s="206"/>
      <c r="Z1241" s="206"/>
    </row>
    <row r="1242" spans="1:26">
      <c r="A1242" s="406">
        <v>1239</v>
      </c>
      <c r="B1242" s="613" t="s">
        <v>7020</v>
      </c>
      <c r="C1242" s="288" t="s">
        <v>2137</v>
      </c>
      <c r="D1242" s="414" t="s">
        <v>4884</v>
      </c>
      <c r="E1242" s="407" t="s">
        <v>4884</v>
      </c>
      <c r="F1242" s="483"/>
      <c r="G1242" s="483"/>
      <c r="H1242" s="483"/>
      <c r="I1242" s="483"/>
      <c r="J1242" s="483"/>
      <c r="K1242" s="483"/>
      <c r="L1242" s="608" t="s">
        <v>4884</v>
      </c>
      <c r="M1242" s="409" t="s">
        <v>4884</v>
      </c>
      <c r="N1242" s="409" t="s">
        <v>4884</v>
      </c>
      <c r="O1242" s="410" t="s">
        <v>4884</v>
      </c>
      <c r="P1242" s="406">
        <v>1239</v>
      </c>
      <c r="Q1242" s="270" t="s">
        <v>2137</v>
      </c>
      <c r="R1242" s="523" t="s">
        <v>1883</v>
      </c>
      <c r="S1242" s="270" t="s">
        <v>1884</v>
      </c>
      <c r="U1242" s="471"/>
      <c r="V1242" s="471"/>
      <c r="W1242" s="471"/>
      <c r="X1242" s="471"/>
      <c r="Y1242" s="206"/>
      <c r="Z1242" s="206"/>
    </row>
    <row r="1243" spans="1:26">
      <c r="A1243" s="406">
        <v>1240</v>
      </c>
      <c r="B1243" s="613" t="s">
        <v>7020</v>
      </c>
      <c r="C1243" s="288" t="s">
        <v>2138</v>
      </c>
      <c r="D1243" s="414" t="s">
        <v>4884</v>
      </c>
      <c r="E1243" s="407" t="s">
        <v>4884</v>
      </c>
      <c r="F1243" s="483"/>
      <c r="G1243" s="483"/>
      <c r="H1243" s="483"/>
      <c r="I1243" s="483"/>
      <c r="J1243" s="483"/>
      <c r="K1243" s="483"/>
      <c r="L1243" s="608" t="s">
        <v>4884</v>
      </c>
      <c r="M1243" s="409" t="s">
        <v>4884</v>
      </c>
      <c r="N1243" s="409" t="s">
        <v>4884</v>
      </c>
      <c r="O1243" s="410" t="s">
        <v>4884</v>
      </c>
      <c r="P1243" s="406">
        <v>1240</v>
      </c>
      <c r="Q1243" s="270" t="s">
        <v>2138</v>
      </c>
      <c r="R1243" s="523" t="s">
        <v>1883</v>
      </c>
      <c r="S1243" s="270" t="s">
        <v>1884</v>
      </c>
      <c r="U1243" s="471"/>
      <c r="V1243" s="471"/>
      <c r="W1243" s="471"/>
      <c r="X1243" s="471"/>
      <c r="Y1243" s="206"/>
      <c r="Z1243" s="206"/>
    </row>
    <row r="1244" spans="1:26">
      <c r="A1244" s="406">
        <v>1241</v>
      </c>
      <c r="B1244" s="613" t="s">
        <v>7020</v>
      </c>
      <c r="C1244" s="288" t="s">
        <v>2139</v>
      </c>
      <c r="D1244" s="414" t="s">
        <v>4884</v>
      </c>
      <c r="E1244" s="407" t="s">
        <v>4884</v>
      </c>
      <c r="F1244" s="483"/>
      <c r="G1244" s="483"/>
      <c r="H1244" s="483"/>
      <c r="I1244" s="483"/>
      <c r="J1244" s="483"/>
      <c r="K1244" s="483"/>
      <c r="L1244" s="608" t="s">
        <v>4884</v>
      </c>
      <c r="M1244" s="409" t="s">
        <v>4884</v>
      </c>
      <c r="N1244" s="409" t="s">
        <v>4884</v>
      </c>
      <c r="O1244" s="410" t="s">
        <v>4884</v>
      </c>
      <c r="P1244" s="406">
        <v>1241</v>
      </c>
      <c r="Q1244" s="270" t="s">
        <v>2139</v>
      </c>
      <c r="R1244" s="523" t="s">
        <v>1883</v>
      </c>
      <c r="S1244" s="270" t="s">
        <v>1884</v>
      </c>
      <c r="U1244" s="471"/>
      <c r="V1244" s="471"/>
      <c r="W1244" s="471"/>
      <c r="X1244" s="471"/>
      <c r="Y1244" s="206"/>
      <c r="Z1244" s="206"/>
    </row>
    <row r="1245" spans="1:26">
      <c r="A1245" s="406">
        <v>1242</v>
      </c>
      <c r="B1245" s="613" t="s">
        <v>7020</v>
      </c>
      <c r="C1245" s="288" t="s">
        <v>2140</v>
      </c>
      <c r="D1245" s="414" t="s">
        <v>4884</v>
      </c>
      <c r="E1245" s="407" t="s">
        <v>4884</v>
      </c>
      <c r="F1245" s="483"/>
      <c r="G1245" s="483"/>
      <c r="H1245" s="483"/>
      <c r="I1245" s="483"/>
      <c r="J1245" s="483"/>
      <c r="K1245" s="483"/>
      <c r="L1245" s="608" t="s">
        <v>4884</v>
      </c>
      <c r="M1245" s="409" t="s">
        <v>4884</v>
      </c>
      <c r="N1245" s="409" t="s">
        <v>4884</v>
      </c>
      <c r="O1245" s="410" t="s">
        <v>4884</v>
      </c>
      <c r="P1245" s="406">
        <v>1242</v>
      </c>
      <c r="Q1245" s="270" t="s">
        <v>2140</v>
      </c>
      <c r="R1245" s="523" t="s">
        <v>1883</v>
      </c>
      <c r="S1245" s="270" t="s">
        <v>1884</v>
      </c>
      <c r="U1245" s="471"/>
      <c r="V1245" s="471"/>
      <c r="W1245" s="471"/>
      <c r="X1245" s="471"/>
      <c r="Y1245" s="206"/>
      <c r="Z1245" s="206"/>
    </row>
    <row r="1246" spans="1:26">
      <c r="A1246" s="406">
        <v>1243</v>
      </c>
      <c r="B1246" s="613" t="s">
        <v>7020</v>
      </c>
      <c r="C1246" s="288" t="s">
        <v>2141</v>
      </c>
      <c r="D1246" s="414" t="s">
        <v>4884</v>
      </c>
      <c r="E1246" s="407" t="s">
        <v>4884</v>
      </c>
      <c r="F1246" s="483"/>
      <c r="G1246" s="483"/>
      <c r="H1246" s="483"/>
      <c r="I1246" s="483"/>
      <c r="J1246" s="483"/>
      <c r="K1246" s="483"/>
      <c r="L1246" s="608" t="s">
        <v>4884</v>
      </c>
      <c r="M1246" s="409" t="s">
        <v>4884</v>
      </c>
      <c r="N1246" s="409" t="s">
        <v>4884</v>
      </c>
      <c r="O1246" s="410" t="s">
        <v>4884</v>
      </c>
      <c r="P1246" s="406">
        <v>1243</v>
      </c>
      <c r="Q1246" s="270" t="s">
        <v>2141</v>
      </c>
      <c r="R1246" s="523" t="s">
        <v>1883</v>
      </c>
      <c r="S1246" s="270" t="s">
        <v>1884</v>
      </c>
      <c r="U1246" s="471"/>
      <c r="V1246" s="471"/>
      <c r="W1246" s="471"/>
      <c r="X1246" s="471"/>
      <c r="Y1246" s="206"/>
      <c r="Z1246" s="206"/>
    </row>
    <row r="1247" spans="1:26">
      <c r="A1247" s="406">
        <v>1244</v>
      </c>
      <c r="B1247" s="613" t="s">
        <v>7020</v>
      </c>
      <c r="C1247" s="288" t="s">
        <v>2142</v>
      </c>
      <c r="D1247" s="414" t="s">
        <v>4884</v>
      </c>
      <c r="E1247" s="407" t="s">
        <v>4884</v>
      </c>
      <c r="F1247" s="483"/>
      <c r="G1247" s="483"/>
      <c r="H1247" s="483"/>
      <c r="I1247" s="483"/>
      <c r="J1247" s="483"/>
      <c r="K1247" s="483"/>
      <c r="L1247" s="608" t="s">
        <v>4884</v>
      </c>
      <c r="M1247" s="409" t="s">
        <v>4884</v>
      </c>
      <c r="N1247" s="409" t="s">
        <v>4884</v>
      </c>
      <c r="O1247" s="410" t="s">
        <v>4884</v>
      </c>
      <c r="P1247" s="406">
        <v>1244</v>
      </c>
      <c r="Q1247" s="270" t="s">
        <v>2142</v>
      </c>
      <c r="R1247" s="523" t="s">
        <v>1883</v>
      </c>
      <c r="S1247" s="270" t="s">
        <v>1884</v>
      </c>
      <c r="U1247" s="471"/>
      <c r="V1247" s="471"/>
      <c r="W1247" s="471"/>
      <c r="X1247" s="471"/>
      <c r="Y1247" s="206"/>
      <c r="Z1247" s="206"/>
    </row>
    <row r="1248" spans="1:26">
      <c r="A1248" s="406">
        <v>1245</v>
      </c>
      <c r="B1248" s="613" t="s">
        <v>7020</v>
      </c>
      <c r="C1248" s="288" t="s">
        <v>2143</v>
      </c>
      <c r="D1248" s="414" t="s">
        <v>4884</v>
      </c>
      <c r="E1248" s="407" t="s">
        <v>4884</v>
      </c>
      <c r="F1248" s="483"/>
      <c r="G1248" s="483"/>
      <c r="H1248" s="483"/>
      <c r="I1248" s="483"/>
      <c r="J1248" s="483"/>
      <c r="K1248" s="483"/>
      <c r="L1248" s="608" t="s">
        <v>4884</v>
      </c>
      <c r="M1248" s="409" t="s">
        <v>4884</v>
      </c>
      <c r="N1248" s="409" t="s">
        <v>4884</v>
      </c>
      <c r="O1248" s="410" t="s">
        <v>4884</v>
      </c>
      <c r="P1248" s="406">
        <v>1245</v>
      </c>
      <c r="Q1248" s="270" t="s">
        <v>2143</v>
      </c>
      <c r="R1248" s="523" t="s">
        <v>1883</v>
      </c>
      <c r="S1248" s="270" t="s">
        <v>1884</v>
      </c>
      <c r="U1248" s="471"/>
      <c r="V1248" s="471"/>
      <c r="W1248" s="471"/>
      <c r="X1248" s="471"/>
      <c r="Y1248" s="206"/>
      <c r="Z1248" s="206"/>
    </row>
    <row r="1249" spans="1:26">
      <c r="A1249" s="406">
        <v>1246</v>
      </c>
      <c r="B1249" s="613" t="s">
        <v>7020</v>
      </c>
      <c r="C1249" s="288" t="s">
        <v>2144</v>
      </c>
      <c r="D1249" s="414" t="s">
        <v>4884</v>
      </c>
      <c r="E1249" s="407" t="s">
        <v>4884</v>
      </c>
      <c r="F1249" s="483"/>
      <c r="G1249" s="483"/>
      <c r="H1249" s="483"/>
      <c r="I1249" s="483"/>
      <c r="J1249" s="483"/>
      <c r="K1249" s="483"/>
      <c r="L1249" s="608" t="s">
        <v>4884</v>
      </c>
      <c r="M1249" s="409" t="s">
        <v>4884</v>
      </c>
      <c r="N1249" s="409" t="s">
        <v>4884</v>
      </c>
      <c r="O1249" s="410" t="s">
        <v>4884</v>
      </c>
      <c r="P1249" s="406">
        <v>1246</v>
      </c>
      <c r="Q1249" s="270" t="s">
        <v>2144</v>
      </c>
      <c r="R1249" s="523" t="s">
        <v>1883</v>
      </c>
      <c r="S1249" s="270" t="s">
        <v>1884</v>
      </c>
      <c r="U1249" s="471"/>
      <c r="V1249" s="471"/>
      <c r="W1249" s="471"/>
      <c r="X1249" s="471"/>
      <c r="Y1249" s="206"/>
      <c r="Z1249" s="206"/>
    </row>
    <row r="1250" spans="1:26">
      <c r="A1250" s="406">
        <v>1247</v>
      </c>
      <c r="B1250" s="613" t="s">
        <v>7020</v>
      </c>
      <c r="C1250" s="288" t="s">
        <v>2145</v>
      </c>
      <c r="D1250" s="414" t="s">
        <v>4884</v>
      </c>
      <c r="E1250" s="407" t="s">
        <v>4884</v>
      </c>
      <c r="F1250" s="483"/>
      <c r="G1250" s="483"/>
      <c r="H1250" s="483"/>
      <c r="I1250" s="483"/>
      <c r="J1250" s="483"/>
      <c r="K1250" s="483"/>
      <c r="L1250" s="608" t="s">
        <v>4884</v>
      </c>
      <c r="M1250" s="409" t="s">
        <v>4884</v>
      </c>
      <c r="N1250" s="409" t="s">
        <v>4884</v>
      </c>
      <c r="O1250" s="410" t="s">
        <v>4884</v>
      </c>
      <c r="P1250" s="406">
        <v>1247</v>
      </c>
      <c r="Q1250" s="270" t="s">
        <v>2145</v>
      </c>
      <c r="R1250" s="523" t="s">
        <v>1883</v>
      </c>
      <c r="S1250" s="270" t="s">
        <v>1884</v>
      </c>
      <c r="U1250" s="471"/>
      <c r="V1250" s="471"/>
      <c r="W1250" s="471"/>
      <c r="X1250" s="471"/>
      <c r="Y1250" s="206"/>
      <c r="Z1250" s="206"/>
    </row>
    <row r="1251" spans="1:26">
      <c r="A1251" s="406">
        <v>1248</v>
      </c>
      <c r="B1251" s="613" t="s">
        <v>7020</v>
      </c>
      <c r="C1251" s="288" t="s">
        <v>2146</v>
      </c>
      <c r="D1251" s="414" t="s">
        <v>4884</v>
      </c>
      <c r="E1251" s="407" t="s">
        <v>4884</v>
      </c>
      <c r="F1251" s="483"/>
      <c r="G1251" s="483"/>
      <c r="H1251" s="483"/>
      <c r="I1251" s="483"/>
      <c r="J1251" s="483"/>
      <c r="K1251" s="483"/>
      <c r="L1251" s="608" t="s">
        <v>4884</v>
      </c>
      <c r="M1251" s="409" t="s">
        <v>4884</v>
      </c>
      <c r="N1251" s="409" t="s">
        <v>4884</v>
      </c>
      <c r="O1251" s="410" t="s">
        <v>4884</v>
      </c>
      <c r="P1251" s="406">
        <v>1248</v>
      </c>
      <c r="Q1251" s="270" t="s">
        <v>2146</v>
      </c>
      <c r="R1251" s="523" t="s">
        <v>1883</v>
      </c>
      <c r="S1251" s="270" t="s">
        <v>1884</v>
      </c>
      <c r="U1251" s="471"/>
      <c r="V1251" s="471"/>
      <c r="W1251" s="471"/>
      <c r="X1251" s="471"/>
      <c r="Y1251" s="206"/>
      <c r="Z1251" s="206"/>
    </row>
    <row r="1252" spans="1:26">
      <c r="A1252" s="406">
        <v>1249</v>
      </c>
      <c r="B1252" s="613" t="s">
        <v>7020</v>
      </c>
      <c r="C1252" s="288" t="s">
        <v>2147</v>
      </c>
      <c r="D1252" s="414" t="s">
        <v>4884</v>
      </c>
      <c r="E1252" s="407" t="s">
        <v>4884</v>
      </c>
      <c r="F1252" s="483"/>
      <c r="G1252" s="483"/>
      <c r="H1252" s="483"/>
      <c r="I1252" s="483"/>
      <c r="J1252" s="483"/>
      <c r="K1252" s="483"/>
      <c r="L1252" s="608" t="s">
        <v>4884</v>
      </c>
      <c r="M1252" s="409" t="s">
        <v>4884</v>
      </c>
      <c r="N1252" s="409" t="s">
        <v>4884</v>
      </c>
      <c r="O1252" s="410" t="s">
        <v>4884</v>
      </c>
      <c r="P1252" s="406">
        <v>1249</v>
      </c>
      <c r="Q1252" s="270" t="s">
        <v>2147</v>
      </c>
      <c r="R1252" s="523" t="s">
        <v>1883</v>
      </c>
      <c r="S1252" s="270" t="s">
        <v>1884</v>
      </c>
      <c r="U1252" s="471"/>
      <c r="V1252" s="471"/>
      <c r="W1252" s="471"/>
      <c r="X1252" s="471"/>
      <c r="Y1252" s="206"/>
      <c r="Z1252" s="206"/>
    </row>
    <row r="1253" spans="1:26">
      <c r="A1253" s="406">
        <v>1250</v>
      </c>
      <c r="B1253" s="613" t="s">
        <v>7020</v>
      </c>
      <c r="C1253" s="288" t="s">
        <v>2148</v>
      </c>
      <c r="D1253" s="414" t="s">
        <v>4884</v>
      </c>
      <c r="E1253" s="407" t="s">
        <v>4884</v>
      </c>
      <c r="F1253" s="483"/>
      <c r="G1253" s="483"/>
      <c r="H1253" s="483"/>
      <c r="I1253" s="483"/>
      <c r="J1253" s="483"/>
      <c r="K1253" s="483"/>
      <c r="L1253" s="608" t="s">
        <v>4884</v>
      </c>
      <c r="M1253" s="409" t="s">
        <v>4884</v>
      </c>
      <c r="N1253" s="409" t="s">
        <v>4884</v>
      </c>
      <c r="O1253" s="410" t="s">
        <v>4884</v>
      </c>
      <c r="P1253" s="406">
        <v>1250</v>
      </c>
      <c r="Q1253" s="270" t="s">
        <v>2148</v>
      </c>
      <c r="R1253" s="523" t="s">
        <v>1883</v>
      </c>
      <c r="S1253" s="270" t="s">
        <v>1884</v>
      </c>
      <c r="U1253" s="471"/>
      <c r="V1253" s="471"/>
      <c r="W1253" s="471"/>
      <c r="X1253" s="471"/>
      <c r="Y1253" s="206"/>
      <c r="Z1253" s="206"/>
    </row>
    <row r="1254" spans="1:26">
      <c r="A1254" s="406">
        <v>1251</v>
      </c>
      <c r="B1254" s="613" t="s">
        <v>7020</v>
      </c>
      <c r="C1254" s="288" t="s">
        <v>2149</v>
      </c>
      <c r="D1254" s="414" t="s">
        <v>4884</v>
      </c>
      <c r="E1254" s="407" t="s">
        <v>4884</v>
      </c>
      <c r="F1254" s="483"/>
      <c r="G1254" s="483"/>
      <c r="H1254" s="483"/>
      <c r="I1254" s="483"/>
      <c r="J1254" s="483"/>
      <c r="K1254" s="483"/>
      <c r="L1254" s="608" t="s">
        <v>4884</v>
      </c>
      <c r="M1254" s="409" t="s">
        <v>4884</v>
      </c>
      <c r="N1254" s="409" t="s">
        <v>4884</v>
      </c>
      <c r="O1254" s="410" t="s">
        <v>4884</v>
      </c>
      <c r="P1254" s="406">
        <v>1251</v>
      </c>
      <c r="Q1254" s="270" t="s">
        <v>2149</v>
      </c>
      <c r="R1254" s="523" t="s">
        <v>1883</v>
      </c>
      <c r="S1254" s="270" t="s">
        <v>1884</v>
      </c>
      <c r="U1254" s="471"/>
      <c r="V1254" s="471"/>
      <c r="W1254" s="471"/>
      <c r="X1254" s="471"/>
      <c r="Y1254" s="206"/>
      <c r="Z1254" s="206"/>
    </row>
    <row r="1255" spans="1:26">
      <c r="A1255" s="406">
        <v>1252</v>
      </c>
      <c r="B1255" s="613" t="s">
        <v>7020</v>
      </c>
      <c r="C1255" s="288" t="s">
        <v>2150</v>
      </c>
      <c r="D1255" s="414" t="s">
        <v>4884</v>
      </c>
      <c r="E1255" s="407" t="s">
        <v>4884</v>
      </c>
      <c r="F1255" s="483"/>
      <c r="G1255" s="483"/>
      <c r="H1255" s="483"/>
      <c r="I1255" s="483"/>
      <c r="J1255" s="483"/>
      <c r="K1255" s="483"/>
      <c r="L1255" s="608" t="s">
        <v>4884</v>
      </c>
      <c r="M1255" s="409" t="s">
        <v>4884</v>
      </c>
      <c r="N1255" s="409" t="s">
        <v>4884</v>
      </c>
      <c r="O1255" s="410" t="s">
        <v>4884</v>
      </c>
      <c r="P1255" s="406">
        <v>1252</v>
      </c>
      <c r="Q1255" s="270" t="s">
        <v>2150</v>
      </c>
      <c r="R1255" s="523" t="s">
        <v>1883</v>
      </c>
      <c r="S1255" s="270" t="s">
        <v>1884</v>
      </c>
      <c r="U1255" s="471"/>
      <c r="V1255" s="471"/>
      <c r="W1255" s="471"/>
      <c r="X1255" s="471"/>
      <c r="Y1255" s="206"/>
      <c r="Z1255" s="206"/>
    </row>
    <row r="1256" spans="1:26">
      <c r="A1256" s="406">
        <v>1253</v>
      </c>
      <c r="B1256" s="613" t="s">
        <v>7020</v>
      </c>
      <c r="C1256" s="288" t="s">
        <v>2151</v>
      </c>
      <c r="D1256" s="414" t="s">
        <v>4884</v>
      </c>
      <c r="E1256" s="407" t="s">
        <v>4884</v>
      </c>
      <c r="F1256" s="483"/>
      <c r="G1256" s="483"/>
      <c r="H1256" s="483"/>
      <c r="I1256" s="483"/>
      <c r="J1256" s="483"/>
      <c r="K1256" s="483"/>
      <c r="L1256" s="608" t="s">
        <v>4884</v>
      </c>
      <c r="M1256" s="409" t="s">
        <v>4884</v>
      </c>
      <c r="N1256" s="409" t="s">
        <v>4884</v>
      </c>
      <c r="O1256" s="410" t="s">
        <v>4884</v>
      </c>
      <c r="P1256" s="406">
        <v>1253</v>
      </c>
      <c r="Q1256" s="270" t="s">
        <v>2151</v>
      </c>
      <c r="R1256" s="523" t="s">
        <v>1883</v>
      </c>
      <c r="S1256" s="270" t="s">
        <v>1884</v>
      </c>
      <c r="U1256" s="471"/>
      <c r="V1256" s="471"/>
      <c r="W1256" s="471"/>
      <c r="X1256" s="471"/>
      <c r="Y1256" s="206"/>
      <c r="Z1256" s="206"/>
    </row>
    <row r="1257" spans="1:26">
      <c r="A1257" s="406">
        <v>1254</v>
      </c>
      <c r="B1257" s="613" t="s">
        <v>7020</v>
      </c>
      <c r="C1257" s="288" t="s">
        <v>2152</v>
      </c>
      <c r="D1257" s="414" t="s">
        <v>4884</v>
      </c>
      <c r="E1257" s="407" t="s">
        <v>4884</v>
      </c>
      <c r="F1257" s="483"/>
      <c r="G1257" s="483"/>
      <c r="H1257" s="483"/>
      <c r="I1257" s="483"/>
      <c r="J1257" s="483"/>
      <c r="K1257" s="483"/>
      <c r="L1257" s="608" t="s">
        <v>4884</v>
      </c>
      <c r="M1257" s="409" t="s">
        <v>4884</v>
      </c>
      <c r="N1257" s="409" t="s">
        <v>4884</v>
      </c>
      <c r="O1257" s="410" t="s">
        <v>4884</v>
      </c>
      <c r="P1257" s="406">
        <v>1254</v>
      </c>
      <c r="Q1257" s="270" t="s">
        <v>2152</v>
      </c>
      <c r="R1257" s="523" t="s">
        <v>1883</v>
      </c>
      <c r="S1257" s="270" t="s">
        <v>1884</v>
      </c>
      <c r="U1257" s="471"/>
      <c r="V1257" s="471"/>
      <c r="W1257" s="471"/>
      <c r="X1257" s="471"/>
      <c r="Y1257" s="206"/>
      <c r="Z1257" s="206"/>
    </row>
    <row r="1258" spans="1:26">
      <c r="A1258" s="406">
        <v>1255</v>
      </c>
      <c r="B1258" s="613" t="s">
        <v>7020</v>
      </c>
      <c r="C1258" s="288" t="s">
        <v>2153</v>
      </c>
      <c r="D1258" s="414" t="s">
        <v>4884</v>
      </c>
      <c r="E1258" s="407" t="s">
        <v>4884</v>
      </c>
      <c r="F1258" s="483"/>
      <c r="G1258" s="483"/>
      <c r="H1258" s="483"/>
      <c r="I1258" s="483"/>
      <c r="J1258" s="483"/>
      <c r="K1258" s="483"/>
      <c r="L1258" s="608" t="s">
        <v>4884</v>
      </c>
      <c r="M1258" s="409" t="s">
        <v>4884</v>
      </c>
      <c r="N1258" s="409" t="s">
        <v>4884</v>
      </c>
      <c r="O1258" s="410" t="s">
        <v>4884</v>
      </c>
      <c r="P1258" s="406">
        <v>1255</v>
      </c>
      <c r="Q1258" s="270" t="s">
        <v>2153</v>
      </c>
      <c r="R1258" s="523" t="s">
        <v>1883</v>
      </c>
      <c r="S1258" s="270" t="s">
        <v>1884</v>
      </c>
      <c r="U1258" s="471"/>
      <c r="V1258" s="471"/>
      <c r="W1258" s="471"/>
      <c r="X1258" s="471"/>
      <c r="Y1258" s="206"/>
      <c r="Z1258" s="206"/>
    </row>
    <row r="1259" spans="1:26">
      <c r="A1259" s="406">
        <v>1256</v>
      </c>
      <c r="B1259" s="613" t="s">
        <v>7020</v>
      </c>
      <c r="C1259" s="288" t="s">
        <v>2154</v>
      </c>
      <c r="D1259" s="414" t="s">
        <v>4884</v>
      </c>
      <c r="E1259" s="407" t="s">
        <v>4884</v>
      </c>
      <c r="F1259" s="483"/>
      <c r="G1259" s="483"/>
      <c r="H1259" s="483"/>
      <c r="I1259" s="483"/>
      <c r="J1259" s="483"/>
      <c r="K1259" s="483"/>
      <c r="L1259" s="608" t="s">
        <v>4884</v>
      </c>
      <c r="M1259" s="409" t="s">
        <v>4884</v>
      </c>
      <c r="N1259" s="409" t="s">
        <v>4884</v>
      </c>
      <c r="O1259" s="410" t="s">
        <v>4884</v>
      </c>
      <c r="P1259" s="406">
        <v>1256</v>
      </c>
      <c r="Q1259" s="270" t="s">
        <v>2154</v>
      </c>
      <c r="R1259" s="523" t="s">
        <v>1883</v>
      </c>
      <c r="S1259" s="270" t="s">
        <v>1884</v>
      </c>
      <c r="U1259" s="471"/>
      <c r="V1259" s="471"/>
      <c r="W1259" s="471"/>
      <c r="X1259" s="471"/>
      <c r="Y1259" s="206"/>
      <c r="Z1259" s="206"/>
    </row>
    <row r="1260" spans="1:26">
      <c r="A1260" s="406">
        <v>1257</v>
      </c>
      <c r="B1260" s="613" t="s">
        <v>7020</v>
      </c>
      <c r="C1260" s="288" t="s">
        <v>2155</v>
      </c>
      <c r="D1260" s="414" t="s">
        <v>4884</v>
      </c>
      <c r="E1260" s="407" t="s">
        <v>4884</v>
      </c>
      <c r="F1260" s="483"/>
      <c r="G1260" s="483"/>
      <c r="H1260" s="483"/>
      <c r="I1260" s="483"/>
      <c r="J1260" s="483"/>
      <c r="K1260" s="483"/>
      <c r="L1260" s="608" t="s">
        <v>4884</v>
      </c>
      <c r="M1260" s="409" t="s">
        <v>4884</v>
      </c>
      <c r="N1260" s="409" t="s">
        <v>4884</v>
      </c>
      <c r="O1260" s="410" t="s">
        <v>4884</v>
      </c>
      <c r="P1260" s="406">
        <v>1257</v>
      </c>
      <c r="Q1260" s="270" t="s">
        <v>2155</v>
      </c>
      <c r="R1260" s="523" t="s">
        <v>1883</v>
      </c>
      <c r="S1260" s="270" t="s">
        <v>1884</v>
      </c>
      <c r="U1260" s="471"/>
      <c r="V1260" s="471"/>
      <c r="W1260" s="471"/>
      <c r="X1260" s="471"/>
      <c r="Y1260" s="206"/>
      <c r="Z1260" s="206"/>
    </row>
    <row r="1261" spans="1:26">
      <c r="A1261" s="406">
        <v>1258</v>
      </c>
      <c r="B1261" s="613" t="s">
        <v>7020</v>
      </c>
      <c r="C1261" s="288" t="s">
        <v>2156</v>
      </c>
      <c r="D1261" s="414" t="s">
        <v>4884</v>
      </c>
      <c r="E1261" s="407" t="s">
        <v>4884</v>
      </c>
      <c r="F1261" s="483"/>
      <c r="G1261" s="483"/>
      <c r="H1261" s="483"/>
      <c r="I1261" s="483"/>
      <c r="J1261" s="483"/>
      <c r="K1261" s="483"/>
      <c r="L1261" s="608" t="s">
        <v>4884</v>
      </c>
      <c r="M1261" s="409" t="s">
        <v>4884</v>
      </c>
      <c r="N1261" s="409" t="s">
        <v>4884</v>
      </c>
      <c r="O1261" s="410" t="s">
        <v>4884</v>
      </c>
      <c r="P1261" s="406">
        <v>1258</v>
      </c>
      <c r="Q1261" s="270" t="s">
        <v>2156</v>
      </c>
      <c r="R1261" s="523" t="s">
        <v>1883</v>
      </c>
      <c r="S1261" s="270" t="s">
        <v>1884</v>
      </c>
      <c r="U1261" s="471"/>
      <c r="V1261" s="471"/>
      <c r="W1261" s="471"/>
      <c r="X1261" s="471"/>
      <c r="Y1261" s="206"/>
      <c r="Z1261" s="206"/>
    </row>
    <row r="1262" spans="1:26">
      <c r="A1262" s="406">
        <v>1259</v>
      </c>
      <c r="B1262" s="613" t="s">
        <v>7020</v>
      </c>
      <c r="C1262" s="288" t="s">
        <v>2157</v>
      </c>
      <c r="D1262" s="414" t="s">
        <v>4884</v>
      </c>
      <c r="E1262" s="407" t="s">
        <v>4884</v>
      </c>
      <c r="F1262" s="483"/>
      <c r="G1262" s="483"/>
      <c r="H1262" s="483"/>
      <c r="I1262" s="483"/>
      <c r="J1262" s="483"/>
      <c r="K1262" s="483"/>
      <c r="L1262" s="608" t="s">
        <v>4884</v>
      </c>
      <c r="M1262" s="409" t="s">
        <v>4884</v>
      </c>
      <c r="N1262" s="409" t="s">
        <v>4884</v>
      </c>
      <c r="O1262" s="410" t="s">
        <v>4884</v>
      </c>
      <c r="P1262" s="406">
        <v>1259</v>
      </c>
      <c r="Q1262" s="270" t="s">
        <v>2157</v>
      </c>
      <c r="R1262" s="523" t="s">
        <v>1883</v>
      </c>
      <c r="S1262" s="270" t="s">
        <v>1884</v>
      </c>
      <c r="U1262" s="471"/>
      <c r="V1262" s="471"/>
      <c r="W1262" s="471"/>
      <c r="X1262" s="471"/>
      <c r="Y1262" s="206"/>
      <c r="Z1262" s="206"/>
    </row>
    <row r="1263" spans="1:26">
      <c r="A1263" s="406">
        <v>1260</v>
      </c>
      <c r="B1263" s="613" t="s">
        <v>7020</v>
      </c>
      <c r="C1263" s="288" t="s">
        <v>2158</v>
      </c>
      <c r="D1263" s="414" t="s">
        <v>4884</v>
      </c>
      <c r="E1263" s="407" t="s">
        <v>4884</v>
      </c>
      <c r="F1263" s="483"/>
      <c r="G1263" s="483"/>
      <c r="H1263" s="483"/>
      <c r="I1263" s="483"/>
      <c r="J1263" s="483"/>
      <c r="K1263" s="483"/>
      <c r="L1263" s="608" t="s">
        <v>4884</v>
      </c>
      <c r="M1263" s="409" t="s">
        <v>4884</v>
      </c>
      <c r="N1263" s="409" t="s">
        <v>4884</v>
      </c>
      <c r="O1263" s="410" t="s">
        <v>4884</v>
      </c>
      <c r="P1263" s="406">
        <v>1260</v>
      </c>
      <c r="Q1263" s="270" t="s">
        <v>2158</v>
      </c>
      <c r="R1263" s="523" t="s">
        <v>1883</v>
      </c>
      <c r="S1263" s="270" t="s">
        <v>1884</v>
      </c>
      <c r="U1263" s="471"/>
      <c r="V1263" s="471"/>
      <c r="W1263" s="471"/>
      <c r="X1263" s="471"/>
      <c r="Y1263" s="206"/>
      <c r="Z1263" s="206"/>
    </row>
    <row r="1264" spans="1:26">
      <c r="A1264" s="406">
        <v>1261</v>
      </c>
      <c r="B1264" s="613" t="s">
        <v>7020</v>
      </c>
      <c r="C1264" s="288" t="s">
        <v>2159</v>
      </c>
      <c r="D1264" s="414" t="s">
        <v>4884</v>
      </c>
      <c r="E1264" s="407" t="s">
        <v>4884</v>
      </c>
      <c r="F1264" s="483"/>
      <c r="G1264" s="483"/>
      <c r="H1264" s="483"/>
      <c r="I1264" s="483"/>
      <c r="J1264" s="483"/>
      <c r="K1264" s="483"/>
      <c r="L1264" s="608" t="s">
        <v>4884</v>
      </c>
      <c r="M1264" s="409" t="s">
        <v>4884</v>
      </c>
      <c r="N1264" s="409" t="s">
        <v>4884</v>
      </c>
      <c r="O1264" s="410" t="s">
        <v>4884</v>
      </c>
      <c r="P1264" s="406">
        <v>1261</v>
      </c>
      <c r="Q1264" s="270" t="s">
        <v>2159</v>
      </c>
      <c r="R1264" s="523" t="s">
        <v>1883</v>
      </c>
      <c r="S1264" s="270" t="s">
        <v>1884</v>
      </c>
      <c r="U1264" s="471"/>
      <c r="V1264" s="471"/>
      <c r="W1264" s="471"/>
      <c r="X1264" s="471"/>
      <c r="Y1264" s="206"/>
      <c r="Z1264" s="206"/>
    </row>
    <row r="1265" spans="1:26">
      <c r="A1265" s="406">
        <v>1262</v>
      </c>
      <c r="B1265" s="613" t="s">
        <v>7020</v>
      </c>
      <c r="C1265" s="288" t="s">
        <v>2160</v>
      </c>
      <c r="D1265" s="414" t="s">
        <v>4884</v>
      </c>
      <c r="E1265" s="407" t="s">
        <v>4884</v>
      </c>
      <c r="F1265" s="483"/>
      <c r="G1265" s="483"/>
      <c r="H1265" s="483"/>
      <c r="I1265" s="483"/>
      <c r="J1265" s="483"/>
      <c r="K1265" s="483"/>
      <c r="L1265" s="608" t="s">
        <v>4884</v>
      </c>
      <c r="M1265" s="409" t="s">
        <v>4884</v>
      </c>
      <c r="N1265" s="409" t="s">
        <v>4884</v>
      </c>
      <c r="O1265" s="410" t="s">
        <v>4884</v>
      </c>
      <c r="P1265" s="406">
        <v>1262</v>
      </c>
      <c r="Q1265" s="270" t="s">
        <v>2160</v>
      </c>
      <c r="R1265" s="523" t="s">
        <v>1883</v>
      </c>
      <c r="S1265" s="270" t="s">
        <v>1884</v>
      </c>
      <c r="U1265" s="471"/>
      <c r="V1265" s="471"/>
      <c r="W1265" s="471"/>
      <c r="X1265" s="471"/>
      <c r="Y1265" s="206"/>
      <c r="Z1265" s="206"/>
    </row>
    <row r="1266" spans="1:26">
      <c r="A1266" s="406">
        <v>1263</v>
      </c>
      <c r="B1266" s="613" t="s">
        <v>7020</v>
      </c>
      <c r="C1266" s="288" t="s">
        <v>2161</v>
      </c>
      <c r="D1266" s="414" t="s">
        <v>4884</v>
      </c>
      <c r="E1266" s="407" t="s">
        <v>4884</v>
      </c>
      <c r="F1266" s="483"/>
      <c r="G1266" s="483"/>
      <c r="H1266" s="483"/>
      <c r="I1266" s="483"/>
      <c r="J1266" s="483"/>
      <c r="K1266" s="483"/>
      <c r="L1266" s="608" t="s">
        <v>4884</v>
      </c>
      <c r="M1266" s="409" t="s">
        <v>4884</v>
      </c>
      <c r="N1266" s="409" t="s">
        <v>4884</v>
      </c>
      <c r="O1266" s="410" t="s">
        <v>4884</v>
      </c>
      <c r="P1266" s="406">
        <v>1263</v>
      </c>
      <c r="Q1266" s="270" t="s">
        <v>2161</v>
      </c>
      <c r="R1266" s="523" t="s">
        <v>1883</v>
      </c>
      <c r="S1266" s="270" t="s">
        <v>1884</v>
      </c>
      <c r="U1266" s="471"/>
      <c r="V1266" s="471"/>
      <c r="W1266" s="471"/>
      <c r="X1266" s="471"/>
      <c r="Y1266" s="206"/>
      <c r="Z1266" s="206"/>
    </row>
    <row r="1267" spans="1:26">
      <c r="A1267" s="406">
        <v>1264</v>
      </c>
      <c r="B1267" s="613" t="s">
        <v>7020</v>
      </c>
      <c r="C1267" s="288" t="s">
        <v>2162</v>
      </c>
      <c r="D1267" s="414" t="s">
        <v>4884</v>
      </c>
      <c r="E1267" s="407" t="s">
        <v>4884</v>
      </c>
      <c r="F1267" s="483"/>
      <c r="G1267" s="483"/>
      <c r="H1267" s="483"/>
      <c r="I1267" s="483"/>
      <c r="J1267" s="483"/>
      <c r="K1267" s="483"/>
      <c r="L1267" s="608" t="s">
        <v>4884</v>
      </c>
      <c r="M1267" s="409" t="s">
        <v>4884</v>
      </c>
      <c r="N1267" s="409" t="s">
        <v>4884</v>
      </c>
      <c r="O1267" s="410" t="s">
        <v>4884</v>
      </c>
      <c r="P1267" s="406">
        <v>1264</v>
      </c>
      <c r="Q1267" s="270" t="s">
        <v>2162</v>
      </c>
      <c r="R1267" s="523" t="s">
        <v>1883</v>
      </c>
      <c r="S1267" s="270" t="s">
        <v>1884</v>
      </c>
      <c r="U1267" s="471"/>
      <c r="V1267" s="471"/>
      <c r="W1267" s="471"/>
      <c r="X1267" s="471"/>
      <c r="Y1267" s="206"/>
      <c r="Z1267" s="206"/>
    </row>
    <row r="1268" spans="1:26">
      <c r="A1268" s="406">
        <v>1265</v>
      </c>
      <c r="B1268" s="613" t="s">
        <v>7020</v>
      </c>
      <c r="C1268" s="288" t="s">
        <v>2163</v>
      </c>
      <c r="D1268" s="414" t="s">
        <v>4884</v>
      </c>
      <c r="E1268" s="407" t="s">
        <v>4884</v>
      </c>
      <c r="F1268" s="483"/>
      <c r="G1268" s="483"/>
      <c r="H1268" s="483"/>
      <c r="I1268" s="483"/>
      <c r="J1268" s="483"/>
      <c r="K1268" s="483"/>
      <c r="L1268" s="608" t="s">
        <v>4884</v>
      </c>
      <c r="M1268" s="409" t="s">
        <v>4884</v>
      </c>
      <c r="N1268" s="409" t="s">
        <v>4884</v>
      </c>
      <c r="O1268" s="410" t="s">
        <v>4884</v>
      </c>
      <c r="P1268" s="406">
        <v>1265</v>
      </c>
      <c r="Q1268" s="270" t="s">
        <v>2163</v>
      </c>
      <c r="R1268" s="523" t="s">
        <v>1883</v>
      </c>
      <c r="S1268" s="270" t="s">
        <v>1884</v>
      </c>
      <c r="U1268" s="471"/>
      <c r="V1268" s="471"/>
      <c r="W1268" s="471"/>
      <c r="X1268" s="471"/>
      <c r="Y1268" s="206"/>
      <c r="Z1268" s="206"/>
    </row>
    <row r="1269" spans="1:26">
      <c r="A1269" s="406">
        <v>1266</v>
      </c>
      <c r="B1269" s="613" t="s">
        <v>7020</v>
      </c>
      <c r="C1269" s="288" t="s">
        <v>2164</v>
      </c>
      <c r="D1269" s="414" t="s">
        <v>4884</v>
      </c>
      <c r="E1269" s="407" t="s">
        <v>4884</v>
      </c>
      <c r="F1269" s="483"/>
      <c r="G1269" s="483"/>
      <c r="H1269" s="483"/>
      <c r="I1269" s="483"/>
      <c r="J1269" s="483"/>
      <c r="K1269" s="483"/>
      <c r="L1269" s="608" t="s">
        <v>4884</v>
      </c>
      <c r="M1269" s="409" t="s">
        <v>4884</v>
      </c>
      <c r="N1269" s="409" t="s">
        <v>4884</v>
      </c>
      <c r="O1269" s="410" t="s">
        <v>4884</v>
      </c>
      <c r="P1269" s="406">
        <v>1266</v>
      </c>
      <c r="Q1269" s="270" t="s">
        <v>2164</v>
      </c>
      <c r="R1269" s="523" t="s">
        <v>1883</v>
      </c>
      <c r="S1269" s="270" t="s">
        <v>1884</v>
      </c>
      <c r="U1269" s="471"/>
      <c r="V1269" s="471"/>
      <c r="W1269" s="471"/>
      <c r="X1269" s="471"/>
      <c r="Y1269" s="206"/>
      <c r="Z1269" s="206"/>
    </row>
    <row r="1270" spans="1:26">
      <c r="A1270" s="406">
        <v>1267</v>
      </c>
      <c r="B1270" s="613" t="s">
        <v>7020</v>
      </c>
      <c r="C1270" s="288" t="s">
        <v>2165</v>
      </c>
      <c r="D1270" s="414" t="s">
        <v>4884</v>
      </c>
      <c r="E1270" s="407" t="s">
        <v>4884</v>
      </c>
      <c r="F1270" s="483"/>
      <c r="G1270" s="483"/>
      <c r="H1270" s="483"/>
      <c r="I1270" s="483"/>
      <c r="J1270" s="483"/>
      <c r="K1270" s="483"/>
      <c r="L1270" s="608" t="s">
        <v>4884</v>
      </c>
      <c r="M1270" s="409" t="s">
        <v>4884</v>
      </c>
      <c r="N1270" s="409" t="s">
        <v>4884</v>
      </c>
      <c r="O1270" s="410" t="s">
        <v>4884</v>
      </c>
      <c r="P1270" s="406">
        <v>1267</v>
      </c>
      <c r="Q1270" s="270" t="s">
        <v>2165</v>
      </c>
      <c r="R1270" s="523" t="s">
        <v>1883</v>
      </c>
      <c r="S1270" s="270" t="s">
        <v>1884</v>
      </c>
      <c r="U1270" s="471"/>
      <c r="V1270" s="471"/>
      <c r="W1270" s="471"/>
      <c r="X1270" s="471"/>
      <c r="Y1270" s="206"/>
      <c r="Z1270" s="206"/>
    </row>
    <row r="1271" spans="1:26">
      <c r="A1271" s="406">
        <v>1268</v>
      </c>
      <c r="B1271" s="613" t="s">
        <v>7020</v>
      </c>
      <c r="C1271" s="288" t="s">
        <v>2166</v>
      </c>
      <c r="D1271" s="414" t="s">
        <v>4884</v>
      </c>
      <c r="E1271" s="407" t="s">
        <v>4884</v>
      </c>
      <c r="F1271" s="483"/>
      <c r="G1271" s="483"/>
      <c r="H1271" s="483"/>
      <c r="I1271" s="483"/>
      <c r="J1271" s="483"/>
      <c r="K1271" s="483"/>
      <c r="L1271" s="608" t="s">
        <v>4884</v>
      </c>
      <c r="M1271" s="409" t="s">
        <v>4884</v>
      </c>
      <c r="N1271" s="409" t="s">
        <v>4884</v>
      </c>
      <c r="O1271" s="410" t="s">
        <v>4884</v>
      </c>
      <c r="P1271" s="406">
        <v>1268</v>
      </c>
      <c r="Q1271" s="270" t="s">
        <v>2166</v>
      </c>
      <c r="R1271" s="523" t="s">
        <v>1883</v>
      </c>
      <c r="S1271" s="270" t="s">
        <v>1884</v>
      </c>
      <c r="U1271" s="471"/>
      <c r="V1271" s="471"/>
      <c r="W1271" s="471"/>
      <c r="X1271" s="471"/>
      <c r="Y1271" s="206"/>
      <c r="Z1271" s="206"/>
    </row>
    <row r="1272" spans="1:26">
      <c r="A1272" s="406">
        <v>1269</v>
      </c>
      <c r="B1272" s="613" t="s">
        <v>7020</v>
      </c>
      <c r="C1272" s="288" t="s">
        <v>2167</v>
      </c>
      <c r="D1272" s="414" t="s">
        <v>4884</v>
      </c>
      <c r="E1272" s="407" t="s">
        <v>4884</v>
      </c>
      <c r="F1272" s="483"/>
      <c r="G1272" s="483"/>
      <c r="H1272" s="483"/>
      <c r="I1272" s="483"/>
      <c r="J1272" s="483"/>
      <c r="K1272" s="483"/>
      <c r="L1272" s="608" t="s">
        <v>4884</v>
      </c>
      <c r="M1272" s="409" t="s">
        <v>4884</v>
      </c>
      <c r="N1272" s="409" t="s">
        <v>4884</v>
      </c>
      <c r="O1272" s="410" t="s">
        <v>4884</v>
      </c>
      <c r="P1272" s="406">
        <v>1269</v>
      </c>
      <c r="Q1272" s="270" t="s">
        <v>2167</v>
      </c>
      <c r="R1272" s="523" t="s">
        <v>1883</v>
      </c>
      <c r="S1272" s="270" t="s">
        <v>1884</v>
      </c>
      <c r="U1272" s="471"/>
      <c r="V1272" s="471"/>
      <c r="W1272" s="471"/>
      <c r="X1272" s="471"/>
      <c r="Y1272" s="206"/>
      <c r="Z1272" s="206"/>
    </row>
    <row r="1273" spans="1:26">
      <c r="A1273" s="406">
        <v>1270</v>
      </c>
      <c r="B1273" s="613" t="s">
        <v>7020</v>
      </c>
      <c r="C1273" s="288" t="s">
        <v>2168</v>
      </c>
      <c r="D1273" s="414" t="s">
        <v>4884</v>
      </c>
      <c r="E1273" s="407" t="s">
        <v>4884</v>
      </c>
      <c r="F1273" s="483"/>
      <c r="G1273" s="483"/>
      <c r="H1273" s="483"/>
      <c r="I1273" s="483"/>
      <c r="J1273" s="483"/>
      <c r="K1273" s="483"/>
      <c r="L1273" s="608" t="s">
        <v>4884</v>
      </c>
      <c r="M1273" s="409" t="s">
        <v>4884</v>
      </c>
      <c r="N1273" s="409" t="s">
        <v>4884</v>
      </c>
      <c r="O1273" s="410" t="s">
        <v>4884</v>
      </c>
      <c r="P1273" s="406">
        <v>1270</v>
      </c>
      <c r="Q1273" s="270" t="s">
        <v>2168</v>
      </c>
      <c r="R1273" s="523" t="s">
        <v>1883</v>
      </c>
      <c r="S1273" s="270" t="s">
        <v>1884</v>
      </c>
      <c r="U1273" s="471"/>
      <c r="V1273" s="471"/>
      <c r="W1273" s="471"/>
      <c r="X1273" s="471"/>
      <c r="Y1273" s="206"/>
      <c r="Z1273" s="206"/>
    </row>
    <row r="1274" spans="1:26">
      <c r="A1274" s="406">
        <v>1271</v>
      </c>
      <c r="B1274" s="613" t="s">
        <v>7020</v>
      </c>
      <c r="C1274" s="288" t="s">
        <v>2169</v>
      </c>
      <c r="D1274" s="414" t="s">
        <v>4884</v>
      </c>
      <c r="E1274" s="407" t="s">
        <v>4884</v>
      </c>
      <c r="F1274" s="483"/>
      <c r="G1274" s="483"/>
      <c r="H1274" s="483"/>
      <c r="I1274" s="483"/>
      <c r="J1274" s="483"/>
      <c r="K1274" s="483"/>
      <c r="L1274" s="608" t="s">
        <v>4884</v>
      </c>
      <c r="M1274" s="409" t="s">
        <v>4884</v>
      </c>
      <c r="N1274" s="409" t="s">
        <v>4884</v>
      </c>
      <c r="O1274" s="410" t="s">
        <v>4884</v>
      </c>
      <c r="P1274" s="406">
        <v>1271</v>
      </c>
      <c r="Q1274" s="270" t="s">
        <v>2169</v>
      </c>
      <c r="R1274" s="523" t="s">
        <v>1883</v>
      </c>
      <c r="S1274" s="270" t="s">
        <v>1884</v>
      </c>
      <c r="U1274" s="471"/>
      <c r="V1274" s="471"/>
      <c r="W1274" s="471"/>
      <c r="X1274" s="471"/>
      <c r="Y1274" s="206"/>
      <c r="Z1274" s="206"/>
    </row>
    <row r="1275" spans="1:26">
      <c r="A1275" s="406">
        <v>1272</v>
      </c>
      <c r="B1275" s="613" t="s">
        <v>7020</v>
      </c>
      <c r="C1275" s="288" t="s">
        <v>2170</v>
      </c>
      <c r="D1275" s="414" t="s">
        <v>4884</v>
      </c>
      <c r="E1275" s="407" t="s">
        <v>4884</v>
      </c>
      <c r="F1275" s="483"/>
      <c r="G1275" s="483"/>
      <c r="H1275" s="483"/>
      <c r="I1275" s="483"/>
      <c r="J1275" s="483"/>
      <c r="K1275" s="483"/>
      <c r="L1275" s="608" t="s">
        <v>4884</v>
      </c>
      <c r="M1275" s="409" t="s">
        <v>4884</v>
      </c>
      <c r="N1275" s="409" t="s">
        <v>4884</v>
      </c>
      <c r="O1275" s="410" t="s">
        <v>4884</v>
      </c>
      <c r="P1275" s="406">
        <v>1272</v>
      </c>
      <c r="Q1275" s="270" t="s">
        <v>2170</v>
      </c>
      <c r="R1275" s="523" t="s">
        <v>1883</v>
      </c>
      <c r="S1275" s="270" t="s">
        <v>1884</v>
      </c>
      <c r="U1275" s="471"/>
      <c r="V1275" s="471"/>
      <c r="W1275" s="471"/>
      <c r="X1275" s="471"/>
      <c r="Y1275" s="206"/>
      <c r="Z1275" s="206"/>
    </row>
    <row r="1276" spans="1:26">
      <c r="A1276" s="406">
        <v>1273</v>
      </c>
      <c r="B1276" s="613" t="s">
        <v>7020</v>
      </c>
      <c r="C1276" s="288" t="s">
        <v>2171</v>
      </c>
      <c r="D1276" s="414" t="s">
        <v>4884</v>
      </c>
      <c r="E1276" s="407" t="s">
        <v>4884</v>
      </c>
      <c r="F1276" s="483"/>
      <c r="G1276" s="483"/>
      <c r="H1276" s="483"/>
      <c r="I1276" s="483"/>
      <c r="J1276" s="483"/>
      <c r="K1276" s="483"/>
      <c r="L1276" s="608" t="s">
        <v>4884</v>
      </c>
      <c r="M1276" s="409" t="s">
        <v>4884</v>
      </c>
      <c r="N1276" s="409" t="s">
        <v>4884</v>
      </c>
      <c r="O1276" s="410" t="s">
        <v>4884</v>
      </c>
      <c r="P1276" s="406">
        <v>1273</v>
      </c>
      <c r="Q1276" s="270" t="s">
        <v>2171</v>
      </c>
      <c r="R1276" s="523" t="s">
        <v>1883</v>
      </c>
      <c r="S1276" s="270" t="s">
        <v>1884</v>
      </c>
      <c r="U1276" s="471"/>
      <c r="V1276" s="471"/>
      <c r="W1276" s="471"/>
      <c r="X1276" s="471"/>
      <c r="Y1276" s="206"/>
      <c r="Z1276" s="206"/>
    </row>
    <row r="1277" spans="1:26">
      <c r="A1277" s="406">
        <v>1274</v>
      </c>
      <c r="B1277" s="613" t="s">
        <v>7020</v>
      </c>
      <c r="C1277" s="288" t="s">
        <v>2172</v>
      </c>
      <c r="D1277" s="414" t="s">
        <v>4884</v>
      </c>
      <c r="E1277" s="407" t="s">
        <v>4884</v>
      </c>
      <c r="F1277" s="483"/>
      <c r="G1277" s="483"/>
      <c r="H1277" s="483"/>
      <c r="I1277" s="483"/>
      <c r="J1277" s="483"/>
      <c r="K1277" s="483"/>
      <c r="L1277" s="608" t="s">
        <v>4884</v>
      </c>
      <c r="M1277" s="409" t="s">
        <v>4884</v>
      </c>
      <c r="N1277" s="409" t="s">
        <v>4884</v>
      </c>
      <c r="O1277" s="410" t="s">
        <v>4884</v>
      </c>
      <c r="P1277" s="406">
        <v>1274</v>
      </c>
      <c r="Q1277" s="270" t="s">
        <v>2172</v>
      </c>
      <c r="R1277" s="523" t="s">
        <v>1883</v>
      </c>
      <c r="S1277" s="270" t="s">
        <v>1884</v>
      </c>
      <c r="U1277" s="471"/>
      <c r="V1277" s="471"/>
      <c r="W1277" s="471"/>
      <c r="X1277" s="471"/>
      <c r="Y1277" s="206"/>
      <c r="Z1277" s="206"/>
    </row>
    <row r="1278" spans="1:26">
      <c r="A1278" s="406">
        <v>1275</v>
      </c>
      <c r="B1278" s="613" t="s">
        <v>7020</v>
      </c>
      <c r="C1278" s="288" t="s">
        <v>2173</v>
      </c>
      <c r="D1278" s="414" t="s">
        <v>4884</v>
      </c>
      <c r="E1278" s="407" t="s">
        <v>4884</v>
      </c>
      <c r="F1278" s="483"/>
      <c r="G1278" s="483"/>
      <c r="H1278" s="483"/>
      <c r="I1278" s="483"/>
      <c r="J1278" s="483"/>
      <c r="K1278" s="483"/>
      <c r="L1278" s="608" t="s">
        <v>4884</v>
      </c>
      <c r="M1278" s="409" t="s">
        <v>4884</v>
      </c>
      <c r="N1278" s="409" t="s">
        <v>4884</v>
      </c>
      <c r="O1278" s="410" t="s">
        <v>4884</v>
      </c>
      <c r="P1278" s="406">
        <v>1275</v>
      </c>
      <c r="Q1278" s="270" t="s">
        <v>2173</v>
      </c>
      <c r="R1278" s="523" t="s">
        <v>1883</v>
      </c>
      <c r="S1278" s="270" t="s">
        <v>1884</v>
      </c>
      <c r="U1278" s="471"/>
      <c r="V1278" s="471"/>
      <c r="W1278" s="471"/>
      <c r="X1278" s="471"/>
      <c r="Y1278" s="206"/>
      <c r="Z1278" s="206"/>
    </row>
    <row r="1279" spans="1:26">
      <c r="A1279" s="406">
        <v>1276</v>
      </c>
      <c r="B1279" s="613" t="s">
        <v>7020</v>
      </c>
      <c r="C1279" s="288" t="s">
        <v>2174</v>
      </c>
      <c r="D1279" s="414" t="s">
        <v>4884</v>
      </c>
      <c r="E1279" s="407" t="s">
        <v>4884</v>
      </c>
      <c r="F1279" s="483"/>
      <c r="G1279" s="483"/>
      <c r="H1279" s="483"/>
      <c r="I1279" s="483"/>
      <c r="J1279" s="483"/>
      <c r="K1279" s="483"/>
      <c r="L1279" s="608" t="s">
        <v>4884</v>
      </c>
      <c r="M1279" s="409" t="s">
        <v>4884</v>
      </c>
      <c r="N1279" s="409" t="s">
        <v>4884</v>
      </c>
      <c r="O1279" s="410" t="s">
        <v>4884</v>
      </c>
      <c r="P1279" s="406">
        <v>1276</v>
      </c>
      <c r="Q1279" s="270" t="s">
        <v>2174</v>
      </c>
      <c r="R1279" s="523" t="s">
        <v>1883</v>
      </c>
      <c r="S1279" s="270" t="s">
        <v>1884</v>
      </c>
      <c r="U1279" s="471"/>
      <c r="V1279" s="471"/>
      <c r="W1279" s="471"/>
      <c r="X1279" s="471"/>
      <c r="Y1279" s="206"/>
      <c r="Z1279" s="206"/>
    </row>
    <row r="1280" spans="1:26">
      <c r="A1280" s="406">
        <v>1277</v>
      </c>
      <c r="B1280" s="613" t="s">
        <v>7020</v>
      </c>
      <c r="C1280" s="288" t="s">
        <v>2175</v>
      </c>
      <c r="D1280" s="414" t="s">
        <v>4884</v>
      </c>
      <c r="E1280" s="407" t="s">
        <v>4884</v>
      </c>
      <c r="F1280" s="483"/>
      <c r="G1280" s="483"/>
      <c r="H1280" s="483"/>
      <c r="I1280" s="483"/>
      <c r="J1280" s="483"/>
      <c r="K1280" s="483"/>
      <c r="L1280" s="608" t="s">
        <v>4884</v>
      </c>
      <c r="M1280" s="409" t="s">
        <v>4884</v>
      </c>
      <c r="N1280" s="409" t="s">
        <v>4884</v>
      </c>
      <c r="O1280" s="410" t="s">
        <v>4884</v>
      </c>
      <c r="P1280" s="406">
        <v>1277</v>
      </c>
      <c r="Q1280" s="270" t="s">
        <v>2175</v>
      </c>
      <c r="R1280" s="523" t="s">
        <v>1883</v>
      </c>
      <c r="S1280" s="270" t="s">
        <v>1884</v>
      </c>
      <c r="U1280" s="471"/>
      <c r="V1280" s="471"/>
      <c r="W1280" s="471"/>
      <c r="X1280" s="471"/>
      <c r="Y1280" s="206"/>
      <c r="Z1280" s="206"/>
    </row>
    <row r="1281" spans="1:26">
      <c r="A1281" s="406">
        <v>1278</v>
      </c>
      <c r="B1281" s="613" t="s">
        <v>7020</v>
      </c>
      <c r="C1281" s="288" t="s">
        <v>2176</v>
      </c>
      <c r="D1281" s="414" t="s">
        <v>4884</v>
      </c>
      <c r="E1281" s="407" t="s">
        <v>4884</v>
      </c>
      <c r="F1281" s="483"/>
      <c r="G1281" s="483"/>
      <c r="H1281" s="483"/>
      <c r="I1281" s="483"/>
      <c r="J1281" s="483"/>
      <c r="K1281" s="483"/>
      <c r="L1281" s="608" t="s">
        <v>4884</v>
      </c>
      <c r="M1281" s="409" t="s">
        <v>4884</v>
      </c>
      <c r="N1281" s="409" t="s">
        <v>4884</v>
      </c>
      <c r="O1281" s="410" t="s">
        <v>4884</v>
      </c>
      <c r="P1281" s="406">
        <v>1278</v>
      </c>
      <c r="Q1281" s="270" t="s">
        <v>2176</v>
      </c>
      <c r="R1281" s="523" t="s">
        <v>1883</v>
      </c>
      <c r="S1281" s="270" t="s">
        <v>1884</v>
      </c>
      <c r="U1281" s="471"/>
      <c r="V1281" s="471"/>
      <c r="W1281" s="471"/>
      <c r="X1281" s="471"/>
      <c r="Y1281" s="206"/>
      <c r="Z1281" s="206"/>
    </row>
    <row r="1282" spans="1:26">
      <c r="A1282" s="406">
        <v>1279</v>
      </c>
      <c r="B1282" s="613" t="s">
        <v>7020</v>
      </c>
      <c r="C1282" s="288" t="s">
        <v>2177</v>
      </c>
      <c r="D1282" s="414" t="s">
        <v>4884</v>
      </c>
      <c r="E1282" s="407" t="s">
        <v>4884</v>
      </c>
      <c r="F1282" s="483"/>
      <c r="G1282" s="483"/>
      <c r="H1282" s="483"/>
      <c r="I1282" s="483"/>
      <c r="J1282" s="483"/>
      <c r="K1282" s="483"/>
      <c r="L1282" s="608" t="s">
        <v>4884</v>
      </c>
      <c r="M1282" s="409" t="s">
        <v>4884</v>
      </c>
      <c r="N1282" s="409" t="s">
        <v>4884</v>
      </c>
      <c r="O1282" s="410" t="s">
        <v>4884</v>
      </c>
      <c r="P1282" s="406">
        <v>1279</v>
      </c>
      <c r="Q1282" s="270" t="s">
        <v>2177</v>
      </c>
      <c r="R1282" s="523" t="s">
        <v>1883</v>
      </c>
      <c r="S1282" s="270" t="s">
        <v>1884</v>
      </c>
      <c r="U1282" s="471"/>
      <c r="V1282" s="471"/>
      <c r="W1282" s="471"/>
      <c r="X1282" s="471"/>
      <c r="Y1282" s="206"/>
      <c r="Z1282" s="206"/>
    </row>
    <row r="1283" spans="1:26">
      <c r="A1283" s="406">
        <v>1280</v>
      </c>
      <c r="B1283" s="613" t="s">
        <v>7020</v>
      </c>
      <c r="C1283" s="288" t="s">
        <v>2178</v>
      </c>
      <c r="D1283" s="414" t="s">
        <v>4884</v>
      </c>
      <c r="E1283" s="407" t="s">
        <v>4884</v>
      </c>
      <c r="F1283" s="483"/>
      <c r="G1283" s="483"/>
      <c r="H1283" s="483"/>
      <c r="I1283" s="483"/>
      <c r="J1283" s="483"/>
      <c r="K1283" s="483"/>
      <c r="L1283" s="608" t="s">
        <v>4884</v>
      </c>
      <c r="M1283" s="409" t="s">
        <v>4884</v>
      </c>
      <c r="N1283" s="409" t="s">
        <v>4884</v>
      </c>
      <c r="O1283" s="410" t="s">
        <v>4884</v>
      </c>
      <c r="P1283" s="406">
        <v>1280</v>
      </c>
      <c r="Q1283" s="270" t="s">
        <v>2178</v>
      </c>
      <c r="R1283" s="523" t="s">
        <v>1883</v>
      </c>
      <c r="S1283" s="270" t="s">
        <v>1884</v>
      </c>
      <c r="U1283" s="471"/>
      <c r="V1283" s="471"/>
      <c r="W1283" s="471"/>
      <c r="X1283" s="471"/>
      <c r="Y1283" s="206"/>
      <c r="Z1283" s="206"/>
    </row>
    <row r="1284" spans="1:26">
      <c r="A1284" s="406">
        <v>1281</v>
      </c>
      <c r="B1284" s="613" t="s">
        <v>7020</v>
      </c>
      <c r="C1284" s="288" t="s">
        <v>2179</v>
      </c>
      <c r="D1284" s="414" t="s">
        <v>4884</v>
      </c>
      <c r="E1284" s="407" t="s">
        <v>4884</v>
      </c>
      <c r="F1284" s="483"/>
      <c r="G1284" s="483"/>
      <c r="H1284" s="483"/>
      <c r="I1284" s="483"/>
      <c r="J1284" s="483"/>
      <c r="K1284" s="483"/>
      <c r="L1284" s="608" t="s">
        <v>4884</v>
      </c>
      <c r="M1284" s="409" t="s">
        <v>4884</v>
      </c>
      <c r="N1284" s="409" t="s">
        <v>4884</v>
      </c>
      <c r="O1284" s="410" t="s">
        <v>4884</v>
      </c>
      <c r="P1284" s="406">
        <v>1281</v>
      </c>
      <c r="Q1284" s="270" t="s">
        <v>2179</v>
      </c>
      <c r="R1284" s="523" t="s">
        <v>1883</v>
      </c>
      <c r="S1284" s="270" t="s">
        <v>1884</v>
      </c>
      <c r="U1284" s="471"/>
      <c r="V1284" s="471"/>
      <c r="W1284" s="471"/>
      <c r="X1284" s="471"/>
      <c r="Y1284" s="206"/>
      <c r="Z1284" s="206"/>
    </row>
    <row r="1285" spans="1:26">
      <c r="A1285" s="406">
        <v>1282</v>
      </c>
      <c r="B1285" s="613" t="s">
        <v>7020</v>
      </c>
      <c r="C1285" s="288" t="s">
        <v>2180</v>
      </c>
      <c r="D1285" s="414" t="s">
        <v>4884</v>
      </c>
      <c r="E1285" s="407" t="s">
        <v>4884</v>
      </c>
      <c r="F1285" s="483"/>
      <c r="G1285" s="483"/>
      <c r="H1285" s="483"/>
      <c r="I1285" s="483"/>
      <c r="J1285" s="483"/>
      <c r="K1285" s="483"/>
      <c r="L1285" s="608" t="s">
        <v>4884</v>
      </c>
      <c r="M1285" s="409" t="s">
        <v>4884</v>
      </c>
      <c r="N1285" s="409" t="s">
        <v>4884</v>
      </c>
      <c r="O1285" s="410" t="s">
        <v>4884</v>
      </c>
      <c r="P1285" s="406">
        <v>1282</v>
      </c>
      <c r="Q1285" s="270" t="s">
        <v>2180</v>
      </c>
      <c r="R1285" s="523" t="s">
        <v>1883</v>
      </c>
      <c r="S1285" s="270" t="s">
        <v>1884</v>
      </c>
      <c r="U1285" s="471"/>
      <c r="V1285" s="471"/>
      <c r="W1285" s="471"/>
      <c r="X1285" s="471"/>
      <c r="Y1285" s="206"/>
      <c r="Z1285" s="206"/>
    </row>
    <row r="1286" spans="1:26">
      <c r="A1286" s="406">
        <v>1283</v>
      </c>
      <c r="B1286" s="613" t="s">
        <v>7020</v>
      </c>
      <c r="C1286" s="288" t="s">
        <v>2181</v>
      </c>
      <c r="D1286" s="414" t="s">
        <v>4884</v>
      </c>
      <c r="E1286" s="407" t="s">
        <v>4884</v>
      </c>
      <c r="F1286" s="483"/>
      <c r="G1286" s="483"/>
      <c r="H1286" s="483"/>
      <c r="I1286" s="483"/>
      <c r="J1286" s="483"/>
      <c r="K1286" s="483"/>
      <c r="L1286" s="608" t="s">
        <v>4884</v>
      </c>
      <c r="M1286" s="409" t="s">
        <v>4884</v>
      </c>
      <c r="N1286" s="409" t="s">
        <v>4884</v>
      </c>
      <c r="O1286" s="410" t="s">
        <v>4884</v>
      </c>
      <c r="P1286" s="406">
        <v>1283</v>
      </c>
      <c r="Q1286" s="270" t="s">
        <v>2181</v>
      </c>
      <c r="R1286" s="523" t="s">
        <v>1883</v>
      </c>
      <c r="S1286" s="270" t="s">
        <v>1884</v>
      </c>
      <c r="U1286" s="471"/>
      <c r="V1286" s="471"/>
      <c r="W1286" s="471"/>
      <c r="X1286" s="471"/>
      <c r="Y1286" s="206"/>
      <c r="Z1286" s="206"/>
    </row>
    <row r="1287" spans="1:26">
      <c r="A1287" s="406">
        <v>1284</v>
      </c>
      <c r="B1287" s="613" t="s">
        <v>7020</v>
      </c>
      <c r="C1287" s="288" t="s">
        <v>2182</v>
      </c>
      <c r="D1287" s="414" t="s">
        <v>4884</v>
      </c>
      <c r="E1287" s="407" t="s">
        <v>4884</v>
      </c>
      <c r="F1287" s="483"/>
      <c r="G1287" s="483"/>
      <c r="H1287" s="483"/>
      <c r="I1287" s="483"/>
      <c r="J1287" s="483"/>
      <c r="K1287" s="483"/>
      <c r="L1287" s="608" t="s">
        <v>4884</v>
      </c>
      <c r="M1287" s="409" t="s">
        <v>4884</v>
      </c>
      <c r="N1287" s="409" t="s">
        <v>4884</v>
      </c>
      <c r="O1287" s="410" t="s">
        <v>4884</v>
      </c>
      <c r="P1287" s="406">
        <v>1284</v>
      </c>
      <c r="Q1287" s="270" t="s">
        <v>2182</v>
      </c>
      <c r="R1287" s="523" t="s">
        <v>1883</v>
      </c>
      <c r="S1287" s="270" t="s">
        <v>1884</v>
      </c>
      <c r="U1287" s="471"/>
      <c r="V1287" s="471"/>
      <c r="W1287" s="471"/>
      <c r="X1287" s="471"/>
      <c r="Y1287" s="206"/>
      <c r="Z1287" s="206"/>
    </row>
    <row r="1288" spans="1:26">
      <c r="A1288" s="406">
        <v>1285</v>
      </c>
      <c r="B1288" s="613" t="s">
        <v>7020</v>
      </c>
      <c r="C1288" s="288" t="s">
        <v>2183</v>
      </c>
      <c r="D1288" s="414" t="s">
        <v>4884</v>
      </c>
      <c r="E1288" s="407" t="s">
        <v>4884</v>
      </c>
      <c r="F1288" s="483"/>
      <c r="G1288" s="483"/>
      <c r="H1288" s="483"/>
      <c r="I1288" s="483"/>
      <c r="J1288" s="483"/>
      <c r="K1288" s="483"/>
      <c r="L1288" s="608" t="s">
        <v>4884</v>
      </c>
      <c r="M1288" s="409" t="s">
        <v>4884</v>
      </c>
      <c r="N1288" s="409" t="s">
        <v>4884</v>
      </c>
      <c r="O1288" s="410" t="s">
        <v>4884</v>
      </c>
      <c r="P1288" s="406">
        <v>1285</v>
      </c>
      <c r="Q1288" s="270" t="s">
        <v>2183</v>
      </c>
      <c r="R1288" s="523" t="s">
        <v>1883</v>
      </c>
      <c r="S1288" s="270" t="s">
        <v>1884</v>
      </c>
      <c r="U1288" s="471"/>
      <c r="V1288" s="471"/>
      <c r="W1288" s="471"/>
      <c r="X1288" s="471"/>
      <c r="Y1288" s="206"/>
      <c r="Z1288" s="206"/>
    </row>
    <row r="1289" spans="1:26">
      <c r="A1289" s="406">
        <v>1286</v>
      </c>
      <c r="B1289" s="613" t="s">
        <v>7020</v>
      </c>
      <c r="C1289" s="288" t="s">
        <v>2184</v>
      </c>
      <c r="D1289" s="414" t="s">
        <v>4884</v>
      </c>
      <c r="E1289" s="407" t="s">
        <v>4884</v>
      </c>
      <c r="F1289" s="483"/>
      <c r="G1289" s="483"/>
      <c r="H1289" s="483"/>
      <c r="I1289" s="483"/>
      <c r="J1289" s="483"/>
      <c r="K1289" s="483"/>
      <c r="L1289" s="608" t="s">
        <v>4884</v>
      </c>
      <c r="M1289" s="409" t="s">
        <v>4884</v>
      </c>
      <c r="N1289" s="409" t="s">
        <v>4884</v>
      </c>
      <c r="O1289" s="410" t="s">
        <v>4884</v>
      </c>
      <c r="P1289" s="406">
        <v>1286</v>
      </c>
      <c r="Q1289" s="270" t="s">
        <v>2184</v>
      </c>
      <c r="R1289" s="523" t="s">
        <v>1883</v>
      </c>
      <c r="S1289" s="270" t="s">
        <v>1884</v>
      </c>
      <c r="U1289" s="471"/>
      <c r="V1289" s="471"/>
      <c r="W1289" s="471"/>
      <c r="X1289" s="471"/>
      <c r="Y1289" s="206"/>
      <c r="Z1289" s="206"/>
    </row>
    <row r="1290" spans="1:26">
      <c r="A1290" s="406">
        <v>1287</v>
      </c>
      <c r="B1290" s="613" t="s">
        <v>7020</v>
      </c>
      <c r="C1290" s="288" t="s">
        <v>2185</v>
      </c>
      <c r="D1290" s="414" t="s">
        <v>4884</v>
      </c>
      <c r="E1290" s="407" t="s">
        <v>4884</v>
      </c>
      <c r="F1290" s="483"/>
      <c r="G1290" s="483"/>
      <c r="H1290" s="483"/>
      <c r="I1290" s="483"/>
      <c r="J1290" s="483"/>
      <c r="K1290" s="483"/>
      <c r="L1290" s="608" t="s">
        <v>4884</v>
      </c>
      <c r="M1290" s="409" t="s">
        <v>4884</v>
      </c>
      <c r="N1290" s="409" t="s">
        <v>4884</v>
      </c>
      <c r="O1290" s="410" t="s">
        <v>4884</v>
      </c>
      <c r="P1290" s="406">
        <v>1287</v>
      </c>
      <c r="Q1290" s="270" t="s">
        <v>2185</v>
      </c>
      <c r="R1290" s="523" t="s">
        <v>1883</v>
      </c>
      <c r="S1290" s="270" t="s">
        <v>1884</v>
      </c>
      <c r="U1290" s="471"/>
      <c r="V1290" s="471"/>
      <c r="W1290" s="471"/>
      <c r="X1290" s="471"/>
      <c r="Y1290" s="206"/>
      <c r="Z1290" s="206"/>
    </row>
    <row r="1291" spans="1:26">
      <c r="A1291" s="406">
        <v>1288</v>
      </c>
      <c r="B1291" s="613" t="s">
        <v>7020</v>
      </c>
      <c r="C1291" s="288" t="s">
        <v>2186</v>
      </c>
      <c r="D1291" s="414" t="s">
        <v>4884</v>
      </c>
      <c r="E1291" s="407" t="s">
        <v>4884</v>
      </c>
      <c r="F1291" s="483"/>
      <c r="G1291" s="483"/>
      <c r="H1291" s="483"/>
      <c r="I1291" s="483"/>
      <c r="J1291" s="483"/>
      <c r="K1291" s="483"/>
      <c r="L1291" s="608" t="s">
        <v>4884</v>
      </c>
      <c r="M1291" s="409" t="s">
        <v>4884</v>
      </c>
      <c r="N1291" s="409" t="s">
        <v>4884</v>
      </c>
      <c r="O1291" s="410" t="s">
        <v>4884</v>
      </c>
      <c r="P1291" s="406">
        <v>1288</v>
      </c>
      <c r="Q1291" s="270" t="s">
        <v>2186</v>
      </c>
      <c r="R1291" s="523" t="s">
        <v>1883</v>
      </c>
      <c r="S1291" s="270" t="s">
        <v>1884</v>
      </c>
      <c r="U1291" s="471"/>
      <c r="V1291" s="471"/>
      <c r="W1291" s="471"/>
      <c r="X1291" s="471"/>
      <c r="Y1291" s="206"/>
      <c r="Z1291" s="206"/>
    </row>
    <row r="1292" spans="1:26">
      <c r="A1292" s="406">
        <v>1289</v>
      </c>
      <c r="B1292" s="613" t="s">
        <v>7020</v>
      </c>
      <c r="C1292" s="288" t="s">
        <v>2187</v>
      </c>
      <c r="D1292" s="414" t="s">
        <v>4884</v>
      </c>
      <c r="E1292" s="407" t="s">
        <v>4884</v>
      </c>
      <c r="F1292" s="483"/>
      <c r="G1292" s="483"/>
      <c r="H1292" s="483"/>
      <c r="I1292" s="483"/>
      <c r="J1292" s="483"/>
      <c r="K1292" s="483"/>
      <c r="L1292" s="608" t="s">
        <v>4884</v>
      </c>
      <c r="M1292" s="409" t="s">
        <v>4884</v>
      </c>
      <c r="N1292" s="409" t="s">
        <v>4884</v>
      </c>
      <c r="O1292" s="410" t="s">
        <v>4884</v>
      </c>
      <c r="P1292" s="406">
        <v>1289</v>
      </c>
      <c r="Q1292" s="270" t="s">
        <v>2187</v>
      </c>
      <c r="R1292" s="523" t="s">
        <v>1883</v>
      </c>
      <c r="S1292" s="270" t="s">
        <v>1884</v>
      </c>
      <c r="U1292" s="471"/>
      <c r="V1292" s="471"/>
      <c r="W1292" s="471"/>
      <c r="X1292" s="471"/>
      <c r="Y1292" s="206"/>
      <c r="Z1292" s="206"/>
    </row>
    <row r="1293" spans="1:26">
      <c r="A1293" s="406">
        <v>1290</v>
      </c>
      <c r="B1293" s="613" t="s">
        <v>7020</v>
      </c>
      <c r="C1293" s="288" t="s">
        <v>2188</v>
      </c>
      <c r="D1293" s="414" t="s">
        <v>4884</v>
      </c>
      <c r="E1293" s="407" t="s">
        <v>4884</v>
      </c>
      <c r="F1293" s="483"/>
      <c r="G1293" s="483"/>
      <c r="H1293" s="483"/>
      <c r="I1293" s="483"/>
      <c r="J1293" s="483"/>
      <c r="K1293" s="483"/>
      <c r="L1293" s="608" t="s">
        <v>4884</v>
      </c>
      <c r="M1293" s="409" t="s">
        <v>4884</v>
      </c>
      <c r="N1293" s="409" t="s">
        <v>4884</v>
      </c>
      <c r="O1293" s="410" t="s">
        <v>4884</v>
      </c>
      <c r="P1293" s="406">
        <v>1290</v>
      </c>
      <c r="Q1293" s="270" t="s">
        <v>2188</v>
      </c>
      <c r="R1293" s="523" t="s">
        <v>1883</v>
      </c>
      <c r="S1293" s="270" t="s">
        <v>1884</v>
      </c>
      <c r="U1293" s="471"/>
      <c r="V1293" s="471"/>
      <c r="W1293" s="471"/>
      <c r="X1293" s="471"/>
      <c r="Y1293" s="206"/>
      <c r="Z1293" s="206"/>
    </row>
    <row r="1294" spans="1:26">
      <c r="A1294" s="406">
        <v>1291</v>
      </c>
      <c r="B1294" s="613" t="s">
        <v>7020</v>
      </c>
      <c r="C1294" s="288" t="s">
        <v>2189</v>
      </c>
      <c r="D1294" s="414" t="s">
        <v>4884</v>
      </c>
      <c r="E1294" s="407" t="s">
        <v>4884</v>
      </c>
      <c r="F1294" s="483"/>
      <c r="G1294" s="483"/>
      <c r="H1294" s="483"/>
      <c r="I1294" s="483"/>
      <c r="J1294" s="483"/>
      <c r="K1294" s="483"/>
      <c r="L1294" s="608" t="s">
        <v>4884</v>
      </c>
      <c r="M1294" s="409" t="s">
        <v>4884</v>
      </c>
      <c r="N1294" s="409" t="s">
        <v>4884</v>
      </c>
      <c r="O1294" s="410" t="s">
        <v>4884</v>
      </c>
      <c r="P1294" s="406">
        <v>1291</v>
      </c>
      <c r="Q1294" s="270" t="s">
        <v>2189</v>
      </c>
      <c r="R1294" s="523" t="s">
        <v>1883</v>
      </c>
      <c r="S1294" s="270" t="s">
        <v>1884</v>
      </c>
      <c r="U1294" s="471"/>
      <c r="V1294" s="471"/>
      <c r="W1294" s="471"/>
      <c r="X1294" s="471"/>
      <c r="Y1294" s="206"/>
      <c r="Z1294" s="206"/>
    </row>
    <row r="1295" spans="1:26">
      <c r="A1295" s="406">
        <v>1292</v>
      </c>
      <c r="B1295" s="613" t="s">
        <v>7020</v>
      </c>
      <c r="C1295" s="288" t="s">
        <v>2190</v>
      </c>
      <c r="D1295" s="414" t="s">
        <v>4884</v>
      </c>
      <c r="E1295" s="407" t="s">
        <v>4884</v>
      </c>
      <c r="F1295" s="483"/>
      <c r="G1295" s="483"/>
      <c r="H1295" s="483"/>
      <c r="I1295" s="483"/>
      <c r="J1295" s="483"/>
      <c r="K1295" s="483"/>
      <c r="L1295" s="608" t="s">
        <v>4884</v>
      </c>
      <c r="M1295" s="409" t="s">
        <v>4884</v>
      </c>
      <c r="N1295" s="409" t="s">
        <v>4884</v>
      </c>
      <c r="O1295" s="410" t="s">
        <v>4884</v>
      </c>
      <c r="P1295" s="406">
        <v>1292</v>
      </c>
      <c r="Q1295" s="270" t="s">
        <v>2190</v>
      </c>
      <c r="R1295" s="523" t="s">
        <v>1883</v>
      </c>
      <c r="S1295" s="270" t="s">
        <v>1884</v>
      </c>
      <c r="U1295" s="471"/>
      <c r="V1295" s="471"/>
      <c r="W1295" s="471"/>
      <c r="X1295" s="471"/>
      <c r="Y1295" s="206"/>
      <c r="Z1295" s="206"/>
    </row>
    <row r="1296" spans="1:26">
      <c r="A1296" s="406">
        <v>1293</v>
      </c>
      <c r="B1296" s="613" t="s">
        <v>7020</v>
      </c>
      <c r="C1296" s="288" t="s">
        <v>2191</v>
      </c>
      <c r="D1296" s="414" t="s">
        <v>4884</v>
      </c>
      <c r="E1296" s="407" t="s">
        <v>4884</v>
      </c>
      <c r="F1296" s="483"/>
      <c r="G1296" s="483"/>
      <c r="H1296" s="483"/>
      <c r="I1296" s="483"/>
      <c r="J1296" s="483"/>
      <c r="K1296" s="483"/>
      <c r="L1296" s="608" t="s">
        <v>4884</v>
      </c>
      <c r="M1296" s="409" t="s">
        <v>4884</v>
      </c>
      <c r="N1296" s="409" t="s">
        <v>4884</v>
      </c>
      <c r="O1296" s="410" t="s">
        <v>4884</v>
      </c>
      <c r="P1296" s="406">
        <v>1293</v>
      </c>
      <c r="Q1296" s="270" t="s">
        <v>2191</v>
      </c>
      <c r="R1296" s="523" t="s">
        <v>1883</v>
      </c>
      <c r="S1296" s="270" t="s">
        <v>1884</v>
      </c>
      <c r="U1296" s="471"/>
      <c r="V1296" s="471"/>
      <c r="W1296" s="471"/>
      <c r="X1296" s="471"/>
      <c r="Y1296" s="206"/>
      <c r="Z1296" s="206"/>
    </row>
    <row r="1297" spans="1:26">
      <c r="A1297" s="406">
        <v>1294</v>
      </c>
      <c r="B1297" s="613" t="s">
        <v>7020</v>
      </c>
      <c r="C1297" s="288" t="s">
        <v>2192</v>
      </c>
      <c r="D1297" s="414" t="s">
        <v>4884</v>
      </c>
      <c r="E1297" s="407" t="s">
        <v>4884</v>
      </c>
      <c r="F1297" s="483"/>
      <c r="G1297" s="483"/>
      <c r="H1297" s="483"/>
      <c r="I1297" s="483"/>
      <c r="J1297" s="483"/>
      <c r="K1297" s="483"/>
      <c r="L1297" s="608" t="s">
        <v>4884</v>
      </c>
      <c r="M1297" s="409" t="s">
        <v>4884</v>
      </c>
      <c r="N1297" s="409" t="s">
        <v>4884</v>
      </c>
      <c r="O1297" s="410" t="s">
        <v>4884</v>
      </c>
      <c r="P1297" s="406">
        <v>1294</v>
      </c>
      <c r="Q1297" s="270" t="s">
        <v>2192</v>
      </c>
      <c r="R1297" s="523" t="s">
        <v>1883</v>
      </c>
      <c r="S1297" s="270" t="s">
        <v>1884</v>
      </c>
      <c r="U1297" s="471"/>
      <c r="V1297" s="471"/>
      <c r="W1297" s="471"/>
      <c r="X1297" s="471"/>
      <c r="Y1297" s="206"/>
      <c r="Z1297" s="206"/>
    </row>
    <row r="1298" spans="1:26">
      <c r="A1298" s="406">
        <v>1295</v>
      </c>
      <c r="B1298" s="613" t="s">
        <v>7020</v>
      </c>
      <c r="C1298" s="288" t="s">
        <v>2193</v>
      </c>
      <c r="D1298" s="414" t="s">
        <v>4884</v>
      </c>
      <c r="E1298" s="407" t="s">
        <v>4884</v>
      </c>
      <c r="F1298" s="483"/>
      <c r="G1298" s="483"/>
      <c r="H1298" s="483"/>
      <c r="I1298" s="483"/>
      <c r="J1298" s="483"/>
      <c r="K1298" s="483"/>
      <c r="L1298" s="608" t="s">
        <v>4884</v>
      </c>
      <c r="M1298" s="409" t="s">
        <v>4884</v>
      </c>
      <c r="N1298" s="409" t="s">
        <v>4884</v>
      </c>
      <c r="O1298" s="410" t="s">
        <v>4884</v>
      </c>
      <c r="P1298" s="406">
        <v>1295</v>
      </c>
      <c r="Q1298" s="270" t="s">
        <v>2193</v>
      </c>
      <c r="R1298" s="523" t="s">
        <v>1883</v>
      </c>
      <c r="S1298" s="270" t="s">
        <v>1884</v>
      </c>
      <c r="U1298" s="471"/>
      <c r="V1298" s="471"/>
      <c r="W1298" s="471"/>
      <c r="X1298" s="471"/>
      <c r="Y1298" s="206"/>
      <c r="Z1298" s="206"/>
    </row>
    <row r="1299" spans="1:26">
      <c r="A1299" s="406">
        <v>1296</v>
      </c>
      <c r="B1299" s="613" t="s">
        <v>7020</v>
      </c>
      <c r="C1299" s="288" t="s">
        <v>2194</v>
      </c>
      <c r="D1299" s="414" t="s">
        <v>4884</v>
      </c>
      <c r="E1299" s="407" t="s">
        <v>4884</v>
      </c>
      <c r="F1299" s="483"/>
      <c r="G1299" s="483"/>
      <c r="H1299" s="483"/>
      <c r="I1299" s="483"/>
      <c r="J1299" s="483"/>
      <c r="K1299" s="483"/>
      <c r="L1299" s="608" t="s">
        <v>4884</v>
      </c>
      <c r="M1299" s="409" t="s">
        <v>4884</v>
      </c>
      <c r="N1299" s="409" t="s">
        <v>4884</v>
      </c>
      <c r="O1299" s="410" t="s">
        <v>4884</v>
      </c>
      <c r="P1299" s="406">
        <v>1296</v>
      </c>
      <c r="Q1299" s="270" t="s">
        <v>2194</v>
      </c>
      <c r="R1299" s="523" t="s">
        <v>1883</v>
      </c>
      <c r="S1299" s="270" t="s">
        <v>1884</v>
      </c>
      <c r="U1299" s="471"/>
      <c r="V1299" s="471"/>
      <c r="W1299" s="471"/>
      <c r="X1299" s="471"/>
      <c r="Y1299" s="206"/>
      <c r="Z1299" s="206"/>
    </row>
    <row r="1300" spans="1:26">
      <c r="A1300" s="406">
        <v>1297</v>
      </c>
      <c r="B1300" s="613" t="s">
        <v>7020</v>
      </c>
      <c r="C1300" s="288" t="s">
        <v>2195</v>
      </c>
      <c r="D1300" s="414" t="s">
        <v>4884</v>
      </c>
      <c r="E1300" s="407" t="s">
        <v>4884</v>
      </c>
      <c r="F1300" s="483"/>
      <c r="G1300" s="483"/>
      <c r="H1300" s="483"/>
      <c r="I1300" s="483"/>
      <c r="J1300" s="483"/>
      <c r="K1300" s="483"/>
      <c r="L1300" s="608" t="s">
        <v>4884</v>
      </c>
      <c r="M1300" s="409" t="s">
        <v>4884</v>
      </c>
      <c r="N1300" s="409" t="s">
        <v>4884</v>
      </c>
      <c r="O1300" s="410" t="s">
        <v>4884</v>
      </c>
      <c r="P1300" s="406">
        <v>1297</v>
      </c>
      <c r="Q1300" s="270" t="s">
        <v>2195</v>
      </c>
      <c r="R1300" s="523" t="s">
        <v>1883</v>
      </c>
      <c r="S1300" s="270" t="s">
        <v>1884</v>
      </c>
      <c r="U1300" s="471"/>
      <c r="V1300" s="471"/>
      <c r="W1300" s="471"/>
      <c r="X1300" s="471"/>
      <c r="Y1300" s="206"/>
      <c r="Z1300" s="206"/>
    </row>
    <row r="1301" spans="1:26">
      <c r="A1301" s="406">
        <v>1298</v>
      </c>
      <c r="B1301" s="613" t="s">
        <v>7020</v>
      </c>
      <c r="C1301" s="288" t="s">
        <v>2196</v>
      </c>
      <c r="D1301" s="414" t="s">
        <v>4884</v>
      </c>
      <c r="E1301" s="407" t="s">
        <v>4884</v>
      </c>
      <c r="F1301" s="483"/>
      <c r="G1301" s="483"/>
      <c r="H1301" s="483"/>
      <c r="I1301" s="483"/>
      <c r="J1301" s="483"/>
      <c r="K1301" s="483"/>
      <c r="L1301" s="608" t="s">
        <v>4884</v>
      </c>
      <c r="M1301" s="409" t="s">
        <v>4884</v>
      </c>
      <c r="N1301" s="409" t="s">
        <v>4884</v>
      </c>
      <c r="O1301" s="410" t="s">
        <v>4884</v>
      </c>
      <c r="P1301" s="406">
        <v>1298</v>
      </c>
      <c r="Q1301" s="270" t="s">
        <v>2196</v>
      </c>
      <c r="R1301" s="523" t="s">
        <v>1883</v>
      </c>
      <c r="S1301" s="270" t="s">
        <v>1884</v>
      </c>
      <c r="U1301" s="471"/>
      <c r="V1301" s="471"/>
      <c r="W1301" s="471"/>
      <c r="X1301" s="471"/>
      <c r="Y1301" s="206"/>
      <c r="Z1301" s="206"/>
    </row>
    <row r="1302" spans="1:26">
      <c r="A1302" s="406">
        <v>1299</v>
      </c>
      <c r="B1302" s="613" t="s">
        <v>7020</v>
      </c>
      <c r="C1302" s="288" t="s">
        <v>2197</v>
      </c>
      <c r="D1302" s="414" t="s">
        <v>4884</v>
      </c>
      <c r="E1302" s="407" t="s">
        <v>4884</v>
      </c>
      <c r="F1302" s="483"/>
      <c r="G1302" s="483"/>
      <c r="H1302" s="483"/>
      <c r="I1302" s="483"/>
      <c r="J1302" s="483"/>
      <c r="K1302" s="483"/>
      <c r="L1302" s="608" t="s">
        <v>4884</v>
      </c>
      <c r="M1302" s="409" t="s">
        <v>4884</v>
      </c>
      <c r="N1302" s="409" t="s">
        <v>4884</v>
      </c>
      <c r="O1302" s="410" t="s">
        <v>4884</v>
      </c>
      <c r="P1302" s="406">
        <v>1299</v>
      </c>
      <c r="Q1302" s="270" t="s">
        <v>2197</v>
      </c>
      <c r="R1302" s="523" t="s">
        <v>1883</v>
      </c>
      <c r="S1302" s="270" t="s">
        <v>1884</v>
      </c>
      <c r="U1302" s="471"/>
      <c r="V1302" s="471"/>
      <c r="W1302" s="471"/>
      <c r="X1302" s="471"/>
      <c r="Y1302" s="206"/>
      <c r="Z1302" s="206"/>
    </row>
    <row r="1303" spans="1:26">
      <c r="A1303" s="406">
        <v>1300</v>
      </c>
      <c r="B1303" s="613" t="s">
        <v>7020</v>
      </c>
      <c r="C1303" s="288" t="s">
        <v>2198</v>
      </c>
      <c r="D1303" s="414" t="s">
        <v>4884</v>
      </c>
      <c r="E1303" s="407" t="s">
        <v>4884</v>
      </c>
      <c r="F1303" s="483"/>
      <c r="G1303" s="483"/>
      <c r="H1303" s="483"/>
      <c r="I1303" s="483"/>
      <c r="J1303" s="483"/>
      <c r="K1303" s="483"/>
      <c r="L1303" s="608" t="s">
        <v>4884</v>
      </c>
      <c r="M1303" s="409" t="s">
        <v>4884</v>
      </c>
      <c r="N1303" s="409" t="s">
        <v>4884</v>
      </c>
      <c r="O1303" s="410" t="s">
        <v>4884</v>
      </c>
      <c r="P1303" s="406">
        <v>1300</v>
      </c>
      <c r="Q1303" s="270" t="s">
        <v>2198</v>
      </c>
      <c r="R1303" s="523" t="s">
        <v>1883</v>
      </c>
      <c r="S1303" s="270" t="s">
        <v>1884</v>
      </c>
      <c r="U1303" s="471"/>
      <c r="V1303" s="471"/>
      <c r="W1303" s="471"/>
      <c r="X1303" s="471"/>
      <c r="Y1303" s="206"/>
      <c r="Z1303" s="206"/>
    </row>
    <row r="1304" spans="1:26">
      <c r="A1304" s="406">
        <v>1301</v>
      </c>
      <c r="B1304" s="613" t="s">
        <v>7020</v>
      </c>
      <c r="C1304" s="288" t="s">
        <v>2199</v>
      </c>
      <c r="D1304" s="414" t="s">
        <v>4884</v>
      </c>
      <c r="E1304" s="407" t="s">
        <v>4884</v>
      </c>
      <c r="F1304" s="483"/>
      <c r="G1304" s="483"/>
      <c r="H1304" s="483"/>
      <c r="I1304" s="483"/>
      <c r="J1304" s="483"/>
      <c r="K1304" s="483"/>
      <c r="L1304" s="608" t="s">
        <v>4884</v>
      </c>
      <c r="M1304" s="409" t="s">
        <v>4884</v>
      </c>
      <c r="N1304" s="409" t="s">
        <v>4884</v>
      </c>
      <c r="O1304" s="410" t="s">
        <v>4884</v>
      </c>
      <c r="P1304" s="406">
        <v>1301</v>
      </c>
      <c r="Q1304" s="270" t="s">
        <v>2199</v>
      </c>
      <c r="R1304" s="523" t="s">
        <v>1883</v>
      </c>
      <c r="S1304" s="270" t="s">
        <v>1884</v>
      </c>
      <c r="U1304" s="471"/>
      <c r="V1304" s="471"/>
      <c r="W1304" s="471"/>
      <c r="X1304" s="471"/>
      <c r="Y1304" s="206"/>
      <c r="Z1304" s="206"/>
    </row>
    <row r="1305" spans="1:26">
      <c r="A1305" s="406">
        <v>1302</v>
      </c>
      <c r="B1305" s="613" t="s">
        <v>7020</v>
      </c>
      <c r="C1305" s="288" t="s">
        <v>2200</v>
      </c>
      <c r="D1305" s="414" t="s">
        <v>4884</v>
      </c>
      <c r="E1305" s="407" t="s">
        <v>4884</v>
      </c>
      <c r="F1305" s="483"/>
      <c r="G1305" s="483"/>
      <c r="H1305" s="483"/>
      <c r="I1305" s="483"/>
      <c r="J1305" s="483"/>
      <c r="K1305" s="483"/>
      <c r="L1305" s="608" t="s">
        <v>4884</v>
      </c>
      <c r="M1305" s="409" t="s">
        <v>4884</v>
      </c>
      <c r="N1305" s="409" t="s">
        <v>4884</v>
      </c>
      <c r="O1305" s="410" t="s">
        <v>4884</v>
      </c>
      <c r="P1305" s="406">
        <v>1302</v>
      </c>
      <c r="Q1305" s="270" t="s">
        <v>2200</v>
      </c>
      <c r="R1305" s="523" t="s">
        <v>1883</v>
      </c>
      <c r="S1305" s="270" t="s">
        <v>1884</v>
      </c>
      <c r="U1305" s="471"/>
      <c r="V1305" s="471"/>
      <c r="W1305" s="471"/>
      <c r="X1305" s="471"/>
      <c r="Y1305" s="206"/>
      <c r="Z1305" s="206"/>
    </row>
    <row r="1306" spans="1:26">
      <c r="A1306" s="406">
        <v>1303</v>
      </c>
      <c r="B1306" s="613" t="s">
        <v>7020</v>
      </c>
      <c r="C1306" s="288" t="s">
        <v>2201</v>
      </c>
      <c r="D1306" s="414" t="s">
        <v>4884</v>
      </c>
      <c r="E1306" s="407" t="s">
        <v>4884</v>
      </c>
      <c r="F1306" s="483"/>
      <c r="G1306" s="483"/>
      <c r="H1306" s="483"/>
      <c r="I1306" s="483"/>
      <c r="J1306" s="483"/>
      <c r="K1306" s="483"/>
      <c r="L1306" s="608" t="s">
        <v>4884</v>
      </c>
      <c r="M1306" s="409" t="s">
        <v>4884</v>
      </c>
      <c r="N1306" s="409" t="s">
        <v>4884</v>
      </c>
      <c r="O1306" s="410" t="s">
        <v>4884</v>
      </c>
      <c r="P1306" s="406">
        <v>1303</v>
      </c>
      <c r="Q1306" s="270" t="s">
        <v>2201</v>
      </c>
      <c r="R1306" s="523" t="s">
        <v>1883</v>
      </c>
      <c r="S1306" s="270" t="s">
        <v>1884</v>
      </c>
      <c r="U1306" s="471"/>
      <c r="V1306" s="471"/>
      <c r="W1306" s="471"/>
      <c r="X1306" s="471"/>
      <c r="Y1306" s="206"/>
      <c r="Z1306" s="206"/>
    </row>
    <row r="1307" spans="1:26">
      <c r="A1307" s="406">
        <v>1304</v>
      </c>
      <c r="B1307" s="613" t="s">
        <v>7020</v>
      </c>
      <c r="C1307" s="288" t="s">
        <v>2202</v>
      </c>
      <c r="D1307" s="414" t="s">
        <v>4884</v>
      </c>
      <c r="E1307" s="407" t="s">
        <v>4884</v>
      </c>
      <c r="F1307" s="483"/>
      <c r="G1307" s="483"/>
      <c r="H1307" s="483"/>
      <c r="I1307" s="483"/>
      <c r="J1307" s="483"/>
      <c r="K1307" s="483"/>
      <c r="L1307" s="608" t="s">
        <v>4884</v>
      </c>
      <c r="M1307" s="409" t="s">
        <v>4884</v>
      </c>
      <c r="N1307" s="409" t="s">
        <v>4884</v>
      </c>
      <c r="O1307" s="410" t="s">
        <v>4884</v>
      </c>
      <c r="P1307" s="406">
        <v>1304</v>
      </c>
      <c r="Q1307" s="270" t="s">
        <v>2202</v>
      </c>
      <c r="R1307" s="523" t="s">
        <v>1883</v>
      </c>
      <c r="S1307" s="270" t="s">
        <v>1884</v>
      </c>
      <c r="U1307" s="471"/>
      <c r="V1307" s="471"/>
      <c r="W1307" s="471"/>
      <c r="X1307" s="471"/>
      <c r="Y1307" s="206"/>
      <c r="Z1307" s="206"/>
    </row>
    <row r="1308" spans="1:26">
      <c r="A1308" s="406">
        <v>1305</v>
      </c>
      <c r="B1308" s="613" t="s">
        <v>7020</v>
      </c>
      <c r="C1308" s="288" t="s">
        <v>2203</v>
      </c>
      <c r="D1308" s="414" t="s">
        <v>4884</v>
      </c>
      <c r="E1308" s="407" t="s">
        <v>4884</v>
      </c>
      <c r="F1308" s="483"/>
      <c r="G1308" s="483"/>
      <c r="H1308" s="483"/>
      <c r="I1308" s="483"/>
      <c r="J1308" s="483"/>
      <c r="K1308" s="483"/>
      <c r="L1308" s="608" t="s">
        <v>4884</v>
      </c>
      <c r="M1308" s="409" t="s">
        <v>4884</v>
      </c>
      <c r="N1308" s="409" t="s">
        <v>4884</v>
      </c>
      <c r="O1308" s="410" t="s">
        <v>4884</v>
      </c>
      <c r="P1308" s="406">
        <v>1305</v>
      </c>
      <c r="Q1308" s="270" t="s">
        <v>2203</v>
      </c>
      <c r="R1308" s="523" t="s">
        <v>1883</v>
      </c>
      <c r="S1308" s="270" t="s">
        <v>1884</v>
      </c>
      <c r="U1308" s="471"/>
      <c r="V1308" s="471"/>
      <c r="W1308" s="471"/>
      <c r="X1308" s="471"/>
      <c r="Y1308" s="206"/>
      <c r="Z1308" s="206"/>
    </row>
    <row r="1309" spans="1:26">
      <c r="A1309" s="406">
        <v>1306</v>
      </c>
      <c r="B1309" s="613" t="s">
        <v>7020</v>
      </c>
      <c r="C1309" s="288" t="s">
        <v>2204</v>
      </c>
      <c r="D1309" s="414" t="s">
        <v>4884</v>
      </c>
      <c r="E1309" s="407" t="s">
        <v>4884</v>
      </c>
      <c r="F1309" s="483"/>
      <c r="G1309" s="483"/>
      <c r="H1309" s="483"/>
      <c r="I1309" s="483"/>
      <c r="J1309" s="483"/>
      <c r="K1309" s="483"/>
      <c r="L1309" s="608" t="s">
        <v>4884</v>
      </c>
      <c r="M1309" s="409" t="s">
        <v>4884</v>
      </c>
      <c r="N1309" s="409" t="s">
        <v>4884</v>
      </c>
      <c r="O1309" s="410" t="s">
        <v>4884</v>
      </c>
      <c r="P1309" s="406">
        <v>1306</v>
      </c>
      <c r="Q1309" s="270" t="s">
        <v>2204</v>
      </c>
      <c r="R1309" s="523" t="s">
        <v>1883</v>
      </c>
      <c r="S1309" s="270" t="s">
        <v>1884</v>
      </c>
      <c r="U1309" s="471"/>
      <c r="V1309" s="471"/>
      <c r="W1309" s="471"/>
      <c r="X1309" s="471"/>
      <c r="Y1309" s="206"/>
      <c r="Z1309" s="206"/>
    </row>
    <row r="1310" spans="1:26">
      <c r="A1310" s="406">
        <v>1307</v>
      </c>
      <c r="B1310" s="613" t="s">
        <v>7020</v>
      </c>
      <c r="C1310" s="288" t="s">
        <v>2205</v>
      </c>
      <c r="D1310" s="414" t="s">
        <v>4884</v>
      </c>
      <c r="E1310" s="407" t="s">
        <v>4884</v>
      </c>
      <c r="F1310" s="483"/>
      <c r="G1310" s="483"/>
      <c r="H1310" s="483"/>
      <c r="I1310" s="483"/>
      <c r="J1310" s="483"/>
      <c r="K1310" s="483"/>
      <c r="L1310" s="608" t="s">
        <v>4884</v>
      </c>
      <c r="M1310" s="409" t="s">
        <v>4884</v>
      </c>
      <c r="N1310" s="409" t="s">
        <v>4884</v>
      </c>
      <c r="O1310" s="410" t="s">
        <v>4884</v>
      </c>
      <c r="P1310" s="406">
        <v>1307</v>
      </c>
      <c r="Q1310" s="270" t="s">
        <v>2205</v>
      </c>
      <c r="R1310" s="523" t="s">
        <v>1883</v>
      </c>
      <c r="S1310" s="270" t="s">
        <v>1884</v>
      </c>
      <c r="U1310" s="471"/>
      <c r="V1310" s="471"/>
      <c r="W1310" s="471"/>
      <c r="X1310" s="471"/>
      <c r="Y1310" s="206"/>
      <c r="Z1310" s="206"/>
    </row>
    <row r="1311" spans="1:26">
      <c r="A1311" s="406">
        <v>1308</v>
      </c>
      <c r="B1311" s="613" t="s">
        <v>7020</v>
      </c>
      <c r="C1311" s="288" t="s">
        <v>2206</v>
      </c>
      <c r="D1311" s="414" t="s">
        <v>4884</v>
      </c>
      <c r="E1311" s="407" t="s">
        <v>4884</v>
      </c>
      <c r="F1311" s="483"/>
      <c r="G1311" s="483"/>
      <c r="H1311" s="483"/>
      <c r="I1311" s="483"/>
      <c r="J1311" s="483"/>
      <c r="K1311" s="483"/>
      <c r="L1311" s="608" t="s">
        <v>4884</v>
      </c>
      <c r="M1311" s="409" t="s">
        <v>4884</v>
      </c>
      <c r="N1311" s="409" t="s">
        <v>4884</v>
      </c>
      <c r="O1311" s="410" t="s">
        <v>4884</v>
      </c>
      <c r="P1311" s="406">
        <v>1308</v>
      </c>
      <c r="Q1311" s="270" t="s">
        <v>2206</v>
      </c>
      <c r="R1311" s="523" t="s">
        <v>1883</v>
      </c>
      <c r="S1311" s="270" t="s">
        <v>1884</v>
      </c>
      <c r="U1311" s="471"/>
      <c r="V1311" s="471"/>
      <c r="W1311" s="471"/>
      <c r="X1311" s="471"/>
      <c r="Y1311" s="206"/>
      <c r="Z1311" s="206"/>
    </row>
    <row r="1312" spans="1:26">
      <c r="A1312" s="406">
        <v>1309</v>
      </c>
      <c r="B1312" s="613" t="s">
        <v>7020</v>
      </c>
      <c r="C1312" s="288" t="s">
        <v>2207</v>
      </c>
      <c r="D1312" s="414" t="s">
        <v>4884</v>
      </c>
      <c r="E1312" s="407" t="s">
        <v>4884</v>
      </c>
      <c r="F1312" s="483"/>
      <c r="G1312" s="483"/>
      <c r="H1312" s="483"/>
      <c r="I1312" s="483"/>
      <c r="J1312" s="483"/>
      <c r="K1312" s="483"/>
      <c r="L1312" s="608" t="s">
        <v>4884</v>
      </c>
      <c r="M1312" s="409" t="s">
        <v>4884</v>
      </c>
      <c r="N1312" s="409" t="s">
        <v>4884</v>
      </c>
      <c r="O1312" s="410" t="s">
        <v>4884</v>
      </c>
      <c r="P1312" s="406">
        <v>1309</v>
      </c>
      <c r="Q1312" s="270" t="s">
        <v>2207</v>
      </c>
      <c r="R1312" s="523" t="s">
        <v>1883</v>
      </c>
      <c r="S1312" s="270" t="s">
        <v>1884</v>
      </c>
      <c r="U1312" s="471"/>
      <c r="V1312" s="471"/>
      <c r="W1312" s="471"/>
      <c r="X1312" s="471"/>
      <c r="Y1312" s="206"/>
      <c r="Z1312" s="206"/>
    </row>
    <row r="1313" spans="1:26">
      <c r="A1313" s="406">
        <v>1310</v>
      </c>
      <c r="B1313" s="613" t="s">
        <v>7020</v>
      </c>
      <c r="C1313" s="288" t="s">
        <v>2208</v>
      </c>
      <c r="D1313" s="414" t="s">
        <v>4884</v>
      </c>
      <c r="E1313" s="407" t="s">
        <v>4884</v>
      </c>
      <c r="F1313" s="483"/>
      <c r="G1313" s="483"/>
      <c r="H1313" s="483"/>
      <c r="I1313" s="483"/>
      <c r="J1313" s="483"/>
      <c r="K1313" s="483"/>
      <c r="L1313" s="608" t="s">
        <v>4884</v>
      </c>
      <c r="M1313" s="409" t="s">
        <v>4884</v>
      </c>
      <c r="N1313" s="409" t="s">
        <v>4884</v>
      </c>
      <c r="O1313" s="410" t="s">
        <v>4884</v>
      </c>
      <c r="P1313" s="406">
        <v>1310</v>
      </c>
      <c r="Q1313" s="270" t="s">
        <v>2208</v>
      </c>
      <c r="R1313" s="523" t="s">
        <v>1883</v>
      </c>
      <c r="S1313" s="270" t="s">
        <v>1884</v>
      </c>
      <c r="U1313" s="471"/>
      <c r="V1313" s="471"/>
      <c r="W1313" s="471"/>
      <c r="X1313" s="471"/>
      <c r="Y1313" s="206"/>
      <c r="Z1313" s="206"/>
    </row>
    <row r="1314" spans="1:26">
      <c r="A1314" s="406">
        <v>1311</v>
      </c>
      <c r="B1314" s="613" t="s">
        <v>7020</v>
      </c>
      <c r="C1314" s="288" t="s">
        <v>2209</v>
      </c>
      <c r="D1314" s="414" t="s">
        <v>4884</v>
      </c>
      <c r="E1314" s="407" t="s">
        <v>4884</v>
      </c>
      <c r="F1314" s="483"/>
      <c r="G1314" s="483"/>
      <c r="H1314" s="483"/>
      <c r="I1314" s="483"/>
      <c r="J1314" s="483"/>
      <c r="K1314" s="483"/>
      <c r="L1314" s="608" t="s">
        <v>4884</v>
      </c>
      <c r="M1314" s="409" t="s">
        <v>4884</v>
      </c>
      <c r="N1314" s="409" t="s">
        <v>4884</v>
      </c>
      <c r="O1314" s="410" t="s">
        <v>4884</v>
      </c>
      <c r="P1314" s="406">
        <v>1311</v>
      </c>
      <c r="Q1314" s="270" t="s">
        <v>2209</v>
      </c>
      <c r="R1314" s="523" t="s">
        <v>1883</v>
      </c>
      <c r="S1314" s="270" t="s">
        <v>1884</v>
      </c>
      <c r="U1314" s="471"/>
      <c r="V1314" s="471"/>
      <c r="W1314" s="471"/>
      <c r="X1314" s="471"/>
      <c r="Y1314" s="206"/>
      <c r="Z1314" s="206"/>
    </row>
    <row r="1315" spans="1:26">
      <c r="A1315" s="406">
        <v>1312</v>
      </c>
      <c r="B1315" s="613" t="s">
        <v>7020</v>
      </c>
      <c r="C1315" s="288" t="s">
        <v>2210</v>
      </c>
      <c r="D1315" s="414" t="s">
        <v>4884</v>
      </c>
      <c r="E1315" s="407" t="s">
        <v>4884</v>
      </c>
      <c r="F1315" s="483"/>
      <c r="G1315" s="483"/>
      <c r="H1315" s="483"/>
      <c r="I1315" s="483"/>
      <c r="J1315" s="483"/>
      <c r="K1315" s="483"/>
      <c r="L1315" s="608" t="s">
        <v>4884</v>
      </c>
      <c r="M1315" s="409" t="s">
        <v>4884</v>
      </c>
      <c r="N1315" s="409" t="s">
        <v>4884</v>
      </c>
      <c r="O1315" s="410" t="s">
        <v>4884</v>
      </c>
      <c r="P1315" s="406">
        <v>1312</v>
      </c>
      <c r="Q1315" s="270" t="s">
        <v>2210</v>
      </c>
      <c r="R1315" s="523" t="s">
        <v>1883</v>
      </c>
      <c r="S1315" s="270" t="s">
        <v>1884</v>
      </c>
      <c r="U1315" s="471"/>
      <c r="V1315" s="471"/>
      <c r="W1315" s="471"/>
      <c r="X1315" s="471"/>
      <c r="Y1315" s="206"/>
      <c r="Z1315" s="206"/>
    </row>
    <row r="1316" spans="1:26">
      <c r="A1316" s="406">
        <v>1313</v>
      </c>
      <c r="B1316" s="613" t="s">
        <v>7020</v>
      </c>
      <c r="C1316" s="288" t="s">
        <v>2211</v>
      </c>
      <c r="D1316" s="414" t="s">
        <v>4884</v>
      </c>
      <c r="E1316" s="407" t="s">
        <v>4884</v>
      </c>
      <c r="F1316" s="483"/>
      <c r="G1316" s="483"/>
      <c r="H1316" s="483"/>
      <c r="I1316" s="483"/>
      <c r="J1316" s="483"/>
      <c r="K1316" s="483"/>
      <c r="L1316" s="608" t="s">
        <v>4884</v>
      </c>
      <c r="M1316" s="409" t="s">
        <v>4884</v>
      </c>
      <c r="N1316" s="409" t="s">
        <v>4884</v>
      </c>
      <c r="O1316" s="410" t="s">
        <v>4884</v>
      </c>
      <c r="P1316" s="406">
        <v>1313</v>
      </c>
      <c r="Q1316" s="270" t="s">
        <v>2211</v>
      </c>
      <c r="R1316" s="523" t="s">
        <v>1883</v>
      </c>
      <c r="S1316" s="270" t="s">
        <v>1884</v>
      </c>
      <c r="U1316" s="471"/>
      <c r="V1316" s="471"/>
      <c r="W1316" s="471"/>
      <c r="X1316" s="471"/>
      <c r="Y1316" s="206"/>
      <c r="Z1316" s="206"/>
    </row>
    <row r="1317" spans="1:26">
      <c r="A1317" s="406">
        <v>1314</v>
      </c>
      <c r="B1317" s="613" t="s">
        <v>7020</v>
      </c>
      <c r="C1317" s="288" t="s">
        <v>2212</v>
      </c>
      <c r="D1317" s="414" t="s">
        <v>4884</v>
      </c>
      <c r="E1317" s="407" t="s">
        <v>4884</v>
      </c>
      <c r="F1317" s="483"/>
      <c r="G1317" s="483"/>
      <c r="H1317" s="483"/>
      <c r="I1317" s="483"/>
      <c r="J1317" s="483"/>
      <c r="K1317" s="483"/>
      <c r="L1317" s="608" t="s">
        <v>4884</v>
      </c>
      <c r="M1317" s="409" t="s">
        <v>4884</v>
      </c>
      <c r="N1317" s="409" t="s">
        <v>4884</v>
      </c>
      <c r="O1317" s="410" t="s">
        <v>4884</v>
      </c>
      <c r="P1317" s="406">
        <v>1314</v>
      </c>
      <c r="Q1317" s="270" t="s">
        <v>2212</v>
      </c>
      <c r="R1317" s="523" t="s">
        <v>1883</v>
      </c>
      <c r="S1317" s="270" t="s">
        <v>1884</v>
      </c>
      <c r="U1317" s="471"/>
      <c r="V1317" s="471"/>
      <c r="W1317" s="471"/>
      <c r="X1317" s="471"/>
      <c r="Y1317" s="206"/>
      <c r="Z1317" s="206"/>
    </row>
    <row r="1318" spans="1:26">
      <c r="A1318" s="406">
        <v>1315</v>
      </c>
      <c r="B1318" s="613" t="s">
        <v>7020</v>
      </c>
      <c r="C1318" s="288" t="s">
        <v>2213</v>
      </c>
      <c r="D1318" s="414" t="s">
        <v>4884</v>
      </c>
      <c r="E1318" s="407" t="s">
        <v>4884</v>
      </c>
      <c r="F1318" s="483"/>
      <c r="G1318" s="483"/>
      <c r="H1318" s="483"/>
      <c r="I1318" s="483"/>
      <c r="J1318" s="483"/>
      <c r="K1318" s="483"/>
      <c r="L1318" s="608" t="s">
        <v>4884</v>
      </c>
      <c r="M1318" s="409" t="s">
        <v>4884</v>
      </c>
      <c r="N1318" s="409" t="s">
        <v>4884</v>
      </c>
      <c r="O1318" s="410" t="s">
        <v>4884</v>
      </c>
      <c r="P1318" s="406">
        <v>1315</v>
      </c>
      <c r="Q1318" s="270" t="s">
        <v>2213</v>
      </c>
      <c r="R1318" s="523" t="s">
        <v>1883</v>
      </c>
      <c r="S1318" s="270" t="s">
        <v>1884</v>
      </c>
      <c r="U1318" s="471"/>
      <c r="V1318" s="471"/>
      <c r="W1318" s="471"/>
      <c r="X1318" s="471"/>
      <c r="Y1318" s="206"/>
      <c r="Z1318" s="206"/>
    </row>
    <row r="1319" spans="1:26">
      <c r="A1319" s="406">
        <v>1316</v>
      </c>
      <c r="B1319" s="613" t="s">
        <v>7020</v>
      </c>
      <c r="C1319" s="288" t="s">
        <v>2214</v>
      </c>
      <c r="D1319" s="414" t="s">
        <v>4884</v>
      </c>
      <c r="E1319" s="407" t="s">
        <v>4884</v>
      </c>
      <c r="F1319" s="483"/>
      <c r="G1319" s="483"/>
      <c r="H1319" s="483"/>
      <c r="I1319" s="483"/>
      <c r="J1319" s="483"/>
      <c r="K1319" s="483"/>
      <c r="L1319" s="608" t="s">
        <v>4884</v>
      </c>
      <c r="M1319" s="409" t="s">
        <v>4884</v>
      </c>
      <c r="N1319" s="409" t="s">
        <v>4884</v>
      </c>
      <c r="O1319" s="410" t="s">
        <v>4884</v>
      </c>
      <c r="P1319" s="406">
        <v>1316</v>
      </c>
      <c r="Q1319" s="270" t="s">
        <v>2214</v>
      </c>
      <c r="R1319" s="523" t="s">
        <v>1883</v>
      </c>
      <c r="S1319" s="270" t="s">
        <v>1884</v>
      </c>
      <c r="U1319" s="471"/>
      <c r="V1319" s="471"/>
      <c r="W1319" s="471"/>
      <c r="X1319" s="471"/>
      <c r="Y1319" s="206"/>
      <c r="Z1319" s="206"/>
    </row>
    <row r="1320" spans="1:26">
      <c r="A1320" s="406">
        <v>1317</v>
      </c>
      <c r="B1320" s="613" t="s">
        <v>7020</v>
      </c>
      <c r="C1320" s="288" t="s">
        <v>2215</v>
      </c>
      <c r="D1320" s="414" t="s">
        <v>4884</v>
      </c>
      <c r="E1320" s="407" t="s">
        <v>4884</v>
      </c>
      <c r="F1320" s="483"/>
      <c r="G1320" s="483"/>
      <c r="H1320" s="483"/>
      <c r="I1320" s="483"/>
      <c r="J1320" s="483"/>
      <c r="K1320" s="483"/>
      <c r="L1320" s="608" t="s">
        <v>4884</v>
      </c>
      <c r="M1320" s="409" t="s">
        <v>4884</v>
      </c>
      <c r="N1320" s="409" t="s">
        <v>4884</v>
      </c>
      <c r="O1320" s="410" t="s">
        <v>4884</v>
      </c>
      <c r="P1320" s="406">
        <v>1317</v>
      </c>
      <c r="Q1320" s="270" t="s">
        <v>2215</v>
      </c>
      <c r="R1320" s="523" t="s">
        <v>1883</v>
      </c>
      <c r="S1320" s="270" t="s">
        <v>1884</v>
      </c>
      <c r="U1320" s="471"/>
      <c r="V1320" s="471"/>
      <c r="W1320" s="471"/>
      <c r="X1320" s="471"/>
      <c r="Y1320" s="206"/>
      <c r="Z1320" s="206"/>
    </row>
    <row r="1321" spans="1:26">
      <c r="A1321" s="406">
        <v>1318</v>
      </c>
      <c r="B1321" s="613" t="s">
        <v>7020</v>
      </c>
      <c r="C1321" s="288" t="s">
        <v>2216</v>
      </c>
      <c r="D1321" s="414" t="s">
        <v>4884</v>
      </c>
      <c r="E1321" s="407" t="s">
        <v>4884</v>
      </c>
      <c r="F1321" s="483"/>
      <c r="G1321" s="483"/>
      <c r="H1321" s="483"/>
      <c r="I1321" s="483"/>
      <c r="J1321" s="483"/>
      <c r="K1321" s="483"/>
      <c r="L1321" s="608" t="s">
        <v>4884</v>
      </c>
      <c r="M1321" s="409" t="s">
        <v>4884</v>
      </c>
      <c r="N1321" s="409" t="s">
        <v>4884</v>
      </c>
      <c r="O1321" s="410" t="s">
        <v>4884</v>
      </c>
      <c r="P1321" s="406">
        <v>1318</v>
      </c>
      <c r="Q1321" s="270" t="s">
        <v>2216</v>
      </c>
      <c r="R1321" s="523" t="s">
        <v>1883</v>
      </c>
      <c r="S1321" s="270" t="s">
        <v>1884</v>
      </c>
      <c r="U1321" s="471"/>
      <c r="V1321" s="471"/>
      <c r="W1321" s="471"/>
      <c r="X1321" s="471"/>
      <c r="Y1321" s="206"/>
      <c r="Z1321" s="206"/>
    </row>
    <row r="1322" spans="1:26">
      <c r="A1322" s="406">
        <v>1319</v>
      </c>
      <c r="B1322" s="613" t="s">
        <v>7020</v>
      </c>
      <c r="C1322" s="288" t="s">
        <v>2217</v>
      </c>
      <c r="D1322" s="414" t="s">
        <v>4884</v>
      </c>
      <c r="E1322" s="407" t="s">
        <v>4884</v>
      </c>
      <c r="F1322" s="483"/>
      <c r="G1322" s="483"/>
      <c r="H1322" s="483"/>
      <c r="I1322" s="483"/>
      <c r="J1322" s="483"/>
      <c r="K1322" s="483"/>
      <c r="L1322" s="608" t="s">
        <v>4884</v>
      </c>
      <c r="M1322" s="409" t="s">
        <v>4884</v>
      </c>
      <c r="N1322" s="409" t="s">
        <v>4884</v>
      </c>
      <c r="O1322" s="410" t="s">
        <v>4884</v>
      </c>
      <c r="P1322" s="406">
        <v>1319</v>
      </c>
      <c r="Q1322" s="270" t="s">
        <v>2217</v>
      </c>
      <c r="R1322" s="523" t="s">
        <v>1883</v>
      </c>
      <c r="S1322" s="270" t="s">
        <v>1884</v>
      </c>
      <c r="U1322" s="471"/>
      <c r="V1322" s="471"/>
      <c r="W1322" s="471"/>
      <c r="X1322" s="471"/>
      <c r="Y1322" s="206"/>
      <c r="Z1322" s="206"/>
    </row>
    <row r="1323" spans="1:26">
      <c r="A1323" s="406">
        <v>1320</v>
      </c>
      <c r="B1323" s="613" t="s">
        <v>7020</v>
      </c>
      <c r="C1323" s="288" t="s">
        <v>2218</v>
      </c>
      <c r="D1323" s="414" t="s">
        <v>4884</v>
      </c>
      <c r="E1323" s="407" t="s">
        <v>4884</v>
      </c>
      <c r="F1323" s="483"/>
      <c r="G1323" s="483"/>
      <c r="H1323" s="483"/>
      <c r="I1323" s="483"/>
      <c r="J1323" s="483"/>
      <c r="K1323" s="483"/>
      <c r="L1323" s="608" t="s">
        <v>4884</v>
      </c>
      <c r="M1323" s="409" t="s">
        <v>4884</v>
      </c>
      <c r="N1323" s="409" t="s">
        <v>4884</v>
      </c>
      <c r="O1323" s="410" t="s">
        <v>4884</v>
      </c>
      <c r="P1323" s="406">
        <v>1320</v>
      </c>
      <c r="Q1323" s="270" t="s">
        <v>2218</v>
      </c>
      <c r="R1323" s="523" t="s">
        <v>1883</v>
      </c>
      <c r="S1323" s="270" t="s">
        <v>1884</v>
      </c>
      <c r="U1323" s="471"/>
      <c r="V1323" s="471"/>
      <c r="W1323" s="471"/>
      <c r="X1323" s="471"/>
      <c r="Y1323" s="206"/>
      <c r="Z1323" s="206"/>
    </row>
    <row r="1324" spans="1:26">
      <c r="A1324" s="406">
        <v>1321</v>
      </c>
      <c r="B1324" s="613" t="s">
        <v>7020</v>
      </c>
      <c r="C1324" s="288" t="s">
        <v>2219</v>
      </c>
      <c r="D1324" s="414" t="s">
        <v>4884</v>
      </c>
      <c r="E1324" s="407" t="s">
        <v>4884</v>
      </c>
      <c r="F1324" s="483"/>
      <c r="G1324" s="483"/>
      <c r="H1324" s="483"/>
      <c r="I1324" s="483"/>
      <c r="J1324" s="483"/>
      <c r="K1324" s="483"/>
      <c r="L1324" s="608" t="s">
        <v>4884</v>
      </c>
      <c r="M1324" s="409" t="s">
        <v>4884</v>
      </c>
      <c r="N1324" s="409" t="s">
        <v>4884</v>
      </c>
      <c r="O1324" s="410" t="s">
        <v>4884</v>
      </c>
      <c r="P1324" s="406">
        <v>1321</v>
      </c>
      <c r="Q1324" s="270" t="s">
        <v>2219</v>
      </c>
      <c r="R1324" s="523" t="s">
        <v>1883</v>
      </c>
      <c r="S1324" s="270" t="s">
        <v>1884</v>
      </c>
      <c r="U1324" s="471"/>
      <c r="V1324" s="471"/>
      <c r="W1324" s="471"/>
      <c r="X1324" s="471"/>
      <c r="Y1324" s="206"/>
      <c r="Z1324" s="206"/>
    </row>
    <row r="1325" spans="1:26">
      <c r="A1325" s="406">
        <v>1322</v>
      </c>
      <c r="B1325" s="613" t="s">
        <v>7020</v>
      </c>
      <c r="C1325" s="288" t="s">
        <v>2220</v>
      </c>
      <c r="D1325" s="414" t="s">
        <v>4884</v>
      </c>
      <c r="E1325" s="407" t="s">
        <v>4884</v>
      </c>
      <c r="F1325" s="483"/>
      <c r="G1325" s="483"/>
      <c r="H1325" s="483"/>
      <c r="I1325" s="483"/>
      <c r="J1325" s="483"/>
      <c r="K1325" s="483"/>
      <c r="L1325" s="608" t="s">
        <v>4884</v>
      </c>
      <c r="M1325" s="409" t="s">
        <v>4884</v>
      </c>
      <c r="N1325" s="409" t="s">
        <v>4884</v>
      </c>
      <c r="O1325" s="410" t="s">
        <v>4884</v>
      </c>
      <c r="P1325" s="406">
        <v>1322</v>
      </c>
      <c r="Q1325" s="270" t="s">
        <v>2220</v>
      </c>
      <c r="R1325" s="523" t="s">
        <v>1883</v>
      </c>
      <c r="S1325" s="270" t="s">
        <v>1884</v>
      </c>
      <c r="U1325" s="471"/>
      <c r="V1325" s="471"/>
      <c r="W1325" s="471"/>
      <c r="X1325" s="471"/>
      <c r="Y1325" s="206"/>
      <c r="Z1325" s="206"/>
    </row>
    <row r="1326" spans="1:26">
      <c r="A1326" s="406">
        <v>1323</v>
      </c>
      <c r="B1326" s="613" t="s">
        <v>7020</v>
      </c>
      <c r="C1326" s="288" t="s">
        <v>2221</v>
      </c>
      <c r="D1326" s="414" t="s">
        <v>4884</v>
      </c>
      <c r="E1326" s="407" t="s">
        <v>4884</v>
      </c>
      <c r="F1326" s="483"/>
      <c r="G1326" s="483"/>
      <c r="H1326" s="483"/>
      <c r="I1326" s="483"/>
      <c r="J1326" s="483"/>
      <c r="K1326" s="483"/>
      <c r="L1326" s="608" t="s">
        <v>4884</v>
      </c>
      <c r="M1326" s="409" t="s">
        <v>4884</v>
      </c>
      <c r="N1326" s="409" t="s">
        <v>4884</v>
      </c>
      <c r="O1326" s="410" t="s">
        <v>4884</v>
      </c>
      <c r="P1326" s="406">
        <v>1323</v>
      </c>
      <c r="Q1326" s="270" t="s">
        <v>2221</v>
      </c>
      <c r="R1326" s="523" t="s">
        <v>1883</v>
      </c>
      <c r="S1326" s="270" t="s">
        <v>1884</v>
      </c>
      <c r="U1326" s="471"/>
      <c r="V1326" s="471"/>
      <c r="W1326" s="471"/>
      <c r="X1326" s="471"/>
      <c r="Y1326" s="206"/>
      <c r="Z1326" s="206"/>
    </row>
    <row r="1327" spans="1:26">
      <c r="A1327" s="406">
        <v>1324</v>
      </c>
      <c r="B1327" s="613" t="s">
        <v>7020</v>
      </c>
      <c r="C1327" s="288" t="s">
        <v>2222</v>
      </c>
      <c r="D1327" s="414" t="s">
        <v>4884</v>
      </c>
      <c r="E1327" s="407" t="s">
        <v>4884</v>
      </c>
      <c r="F1327" s="483"/>
      <c r="G1327" s="483"/>
      <c r="H1327" s="483"/>
      <c r="I1327" s="483"/>
      <c r="J1327" s="483"/>
      <c r="K1327" s="483"/>
      <c r="L1327" s="608" t="s">
        <v>4884</v>
      </c>
      <c r="M1327" s="409" t="s">
        <v>4884</v>
      </c>
      <c r="N1327" s="409" t="s">
        <v>4884</v>
      </c>
      <c r="O1327" s="410" t="s">
        <v>4884</v>
      </c>
      <c r="P1327" s="406">
        <v>1324</v>
      </c>
      <c r="Q1327" s="270" t="s">
        <v>2222</v>
      </c>
      <c r="R1327" s="523" t="s">
        <v>1883</v>
      </c>
      <c r="S1327" s="270" t="s">
        <v>1884</v>
      </c>
      <c r="U1327" s="471"/>
      <c r="V1327" s="471"/>
      <c r="W1327" s="471"/>
      <c r="X1327" s="471"/>
      <c r="Y1327" s="206"/>
      <c r="Z1327" s="206"/>
    </row>
    <row r="1328" spans="1:26">
      <c r="A1328" s="406">
        <v>1325</v>
      </c>
      <c r="B1328" s="613" t="s">
        <v>7020</v>
      </c>
      <c r="C1328" s="288" t="s">
        <v>2223</v>
      </c>
      <c r="D1328" s="414" t="s">
        <v>4884</v>
      </c>
      <c r="E1328" s="407" t="s">
        <v>4884</v>
      </c>
      <c r="F1328" s="483"/>
      <c r="G1328" s="483"/>
      <c r="H1328" s="483"/>
      <c r="I1328" s="483"/>
      <c r="J1328" s="483"/>
      <c r="K1328" s="483"/>
      <c r="L1328" s="608" t="s">
        <v>4884</v>
      </c>
      <c r="M1328" s="409" t="s">
        <v>4884</v>
      </c>
      <c r="N1328" s="409" t="s">
        <v>4884</v>
      </c>
      <c r="O1328" s="410" t="s">
        <v>4884</v>
      </c>
      <c r="P1328" s="406">
        <v>1325</v>
      </c>
      <c r="Q1328" s="270" t="s">
        <v>2223</v>
      </c>
      <c r="R1328" s="523" t="s">
        <v>1883</v>
      </c>
      <c r="S1328" s="270" t="s">
        <v>1884</v>
      </c>
      <c r="U1328" s="471"/>
      <c r="V1328" s="471"/>
      <c r="W1328" s="471"/>
      <c r="X1328" s="471"/>
      <c r="Y1328" s="206"/>
      <c r="Z1328" s="206"/>
    </row>
    <row r="1329" spans="1:26">
      <c r="A1329" s="406">
        <v>1326</v>
      </c>
      <c r="B1329" s="613" t="s">
        <v>7020</v>
      </c>
      <c r="C1329" s="288" t="s">
        <v>2224</v>
      </c>
      <c r="D1329" s="414" t="s">
        <v>4884</v>
      </c>
      <c r="E1329" s="407" t="s">
        <v>4884</v>
      </c>
      <c r="F1329" s="483"/>
      <c r="G1329" s="483"/>
      <c r="H1329" s="483"/>
      <c r="I1329" s="483"/>
      <c r="J1329" s="483"/>
      <c r="K1329" s="483"/>
      <c r="L1329" s="608" t="s">
        <v>4884</v>
      </c>
      <c r="M1329" s="409" t="s">
        <v>4884</v>
      </c>
      <c r="N1329" s="409" t="s">
        <v>4884</v>
      </c>
      <c r="O1329" s="410" t="s">
        <v>4884</v>
      </c>
      <c r="P1329" s="406">
        <v>1326</v>
      </c>
      <c r="Q1329" s="270" t="s">
        <v>2224</v>
      </c>
      <c r="R1329" s="523" t="s">
        <v>1883</v>
      </c>
      <c r="S1329" s="270" t="s">
        <v>1884</v>
      </c>
      <c r="U1329" s="471"/>
      <c r="V1329" s="471"/>
      <c r="W1329" s="471"/>
      <c r="X1329" s="471"/>
      <c r="Y1329" s="206"/>
      <c r="Z1329" s="206"/>
    </row>
    <row r="1330" spans="1:26">
      <c r="A1330" s="406">
        <v>1327</v>
      </c>
      <c r="B1330" s="613" t="s">
        <v>7020</v>
      </c>
      <c r="C1330" s="288" t="s">
        <v>2225</v>
      </c>
      <c r="D1330" s="414" t="s">
        <v>4884</v>
      </c>
      <c r="E1330" s="407" t="s">
        <v>4884</v>
      </c>
      <c r="F1330" s="483"/>
      <c r="G1330" s="483"/>
      <c r="H1330" s="483"/>
      <c r="I1330" s="483"/>
      <c r="J1330" s="483"/>
      <c r="K1330" s="483"/>
      <c r="L1330" s="608" t="s">
        <v>4884</v>
      </c>
      <c r="M1330" s="409" t="s">
        <v>4884</v>
      </c>
      <c r="N1330" s="409" t="s">
        <v>4884</v>
      </c>
      <c r="O1330" s="410" t="s">
        <v>4884</v>
      </c>
      <c r="P1330" s="406">
        <v>1327</v>
      </c>
      <c r="Q1330" s="270" t="s">
        <v>2225</v>
      </c>
      <c r="R1330" s="523" t="s">
        <v>1883</v>
      </c>
      <c r="S1330" s="270" t="s">
        <v>1884</v>
      </c>
      <c r="U1330" s="471"/>
      <c r="V1330" s="471"/>
      <c r="W1330" s="471"/>
      <c r="X1330" s="471"/>
      <c r="Y1330" s="206"/>
      <c r="Z1330" s="206"/>
    </row>
    <row r="1331" spans="1:26">
      <c r="A1331" s="406">
        <v>1328</v>
      </c>
      <c r="B1331" s="613" t="s">
        <v>7020</v>
      </c>
      <c r="C1331" s="288" t="s">
        <v>2226</v>
      </c>
      <c r="D1331" s="414" t="s">
        <v>4884</v>
      </c>
      <c r="E1331" s="407" t="s">
        <v>4884</v>
      </c>
      <c r="F1331" s="483"/>
      <c r="G1331" s="483"/>
      <c r="H1331" s="483"/>
      <c r="I1331" s="483"/>
      <c r="J1331" s="483"/>
      <c r="K1331" s="483"/>
      <c r="L1331" s="608" t="s">
        <v>4884</v>
      </c>
      <c r="M1331" s="409" t="s">
        <v>4884</v>
      </c>
      <c r="N1331" s="409" t="s">
        <v>4884</v>
      </c>
      <c r="O1331" s="410" t="s">
        <v>4884</v>
      </c>
      <c r="P1331" s="406">
        <v>1328</v>
      </c>
      <c r="Q1331" s="270" t="s">
        <v>2226</v>
      </c>
      <c r="R1331" s="523" t="s">
        <v>1883</v>
      </c>
      <c r="S1331" s="270" t="s">
        <v>1884</v>
      </c>
      <c r="U1331" s="471"/>
      <c r="V1331" s="471"/>
      <c r="W1331" s="471"/>
      <c r="X1331" s="471"/>
      <c r="Y1331" s="206"/>
      <c r="Z1331" s="206"/>
    </row>
    <row r="1332" spans="1:26">
      <c r="A1332" s="406">
        <v>1329</v>
      </c>
      <c r="B1332" s="613" t="s">
        <v>7020</v>
      </c>
      <c r="C1332" s="288" t="s">
        <v>2227</v>
      </c>
      <c r="D1332" s="414" t="s">
        <v>4884</v>
      </c>
      <c r="E1332" s="407" t="s">
        <v>4884</v>
      </c>
      <c r="F1332" s="483"/>
      <c r="G1332" s="483"/>
      <c r="H1332" s="483"/>
      <c r="I1332" s="483"/>
      <c r="J1332" s="483"/>
      <c r="K1332" s="483"/>
      <c r="L1332" s="608" t="s">
        <v>4884</v>
      </c>
      <c r="M1332" s="409" t="s">
        <v>4884</v>
      </c>
      <c r="N1332" s="409" t="s">
        <v>4884</v>
      </c>
      <c r="O1332" s="410" t="s">
        <v>4884</v>
      </c>
      <c r="P1332" s="406">
        <v>1329</v>
      </c>
      <c r="Q1332" s="270" t="s">
        <v>2227</v>
      </c>
      <c r="R1332" s="523" t="s">
        <v>1883</v>
      </c>
      <c r="S1332" s="270" t="s">
        <v>1884</v>
      </c>
      <c r="U1332" s="471"/>
      <c r="V1332" s="471"/>
      <c r="W1332" s="471"/>
      <c r="X1332" s="471"/>
      <c r="Y1332" s="206"/>
      <c r="Z1332" s="206"/>
    </row>
    <row r="1333" spans="1:26">
      <c r="A1333" s="406">
        <v>1330</v>
      </c>
      <c r="B1333" s="613" t="s">
        <v>7020</v>
      </c>
      <c r="C1333" s="288" t="s">
        <v>2228</v>
      </c>
      <c r="D1333" s="414" t="s">
        <v>4884</v>
      </c>
      <c r="E1333" s="407" t="s">
        <v>4884</v>
      </c>
      <c r="F1333" s="483"/>
      <c r="G1333" s="483"/>
      <c r="H1333" s="483"/>
      <c r="I1333" s="483"/>
      <c r="J1333" s="483"/>
      <c r="K1333" s="483"/>
      <c r="L1333" s="608" t="s">
        <v>4884</v>
      </c>
      <c r="M1333" s="409" t="s">
        <v>4884</v>
      </c>
      <c r="N1333" s="409" t="s">
        <v>4884</v>
      </c>
      <c r="O1333" s="410" t="s">
        <v>4884</v>
      </c>
      <c r="P1333" s="406">
        <v>1330</v>
      </c>
      <c r="Q1333" s="270" t="s">
        <v>2228</v>
      </c>
      <c r="R1333" s="523" t="s">
        <v>1883</v>
      </c>
      <c r="S1333" s="270" t="s">
        <v>1884</v>
      </c>
      <c r="U1333" s="471"/>
      <c r="V1333" s="471"/>
      <c r="W1333" s="471"/>
      <c r="X1333" s="471"/>
      <c r="Y1333" s="206"/>
      <c r="Z1333" s="206"/>
    </row>
    <row r="1334" spans="1:26">
      <c r="A1334" s="406">
        <v>1331</v>
      </c>
      <c r="B1334" s="613" t="s">
        <v>7020</v>
      </c>
      <c r="C1334" s="288" t="s">
        <v>2229</v>
      </c>
      <c r="D1334" s="414" t="s">
        <v>4884</v>
      </c>
      <c r="E1334" s="407" t="s">
        <v>4884</v>
      </c>
      <c r="F1334" s="483"/>
      <c r="G1334" s="483"/>
      <c r="H1334" s="483"/>
      <c r="I1334" s="483"/>
      <c r="J1334" s="483"/>
      <c r="K1334" s="483"/>
      <c r="L1334" s="608" t="s">
        <v>4884</v>
      </c>
      <c r="M1334" s="409" t="s">
        <v>4884</v>
      </c>
      <c r="N1334" s="409" t="s">
        <v>4884</v>
      </c>
      <c r="O1334" s="410" t="s">
        <v>4884</v>
      </c>
      <c r="P1334" s="406">
        <v>1331</v>
      </c>
      <c r="Q1334" s="270" t="s">
        <v>2229</v>
      </c>
      <c r="R1334" s="523" t="s">
        <v>1883</v>
      </c>
      <c r="S1334" s="270" t="s">
        <v>1884</v>
      </c>
      <c r="U1334" s="471"/>
      <c r="V1334" s="471"/>
      <c r="W1334" s="471"/>
      <c r="X1334" s="471"/>
      <c r="Y1334" s="206"/>
      <c r="Z1334" s="206"/>
    </row>
    <row r="1335" spans="1:26">
      <c r="A1335" s="406">
        <v>1332</v>
      </c>
      <c r="B1335" s="613" t="s">
        <v>7020</v>
      </c>
      <c r="C1335" s="288" t="s">
        <v>2230</v>
      </c>
      <c r="D1335" s="414" t="s">
        <v>4884</v>
      </c>
      <c r="E1335" s="407" t="s">
        <v>4884</v>
      </c>
      <c r="F1335" s="483"/>
      <c r="G1335" s="483"/>
      <c r="H1335" s="483"/>
      <c r="I1335" s="483"/>
      <c r="J1335" s="483"/>
      <c r="K1335" s="483"/>
      <c r="L1335" s="608" t="s">
        <v>4884</v>
      </c>
      <c r="M1335" s="409" t="s">
        <v>4884</v>
      </c>
      <c r="N1335" s="409" t="s">
        <v>4884</v>
      </c>
      <c r="O1335" s="410" t="s">
        <v>4884</v>
      </c>
      <c r="P1335" s="406">
        <v>1332</v>
      </c>
      <c r="Q1335" s="270" t="s">
        <v>2230</v>
      </c>
      <c r="R1335" s="523" t="s">
        <v>1883</v>
      </c>
      <c r="S1335" s="270" t="s">
        <v>1884</v>
      </c>
      <c r="U1335" s="471"/>
      <c r="V1335" s="471"/>
      <c r="W1335" s="471"/>
      <c r="X1335" s="471"/>
      <c r="Y1335" s="206"/>
      <c r="Z1335" s="206"/>
    </row>
    <row r="1336" spans="1:26">
      <c r="A1336" s="406">
        <v>1333</v>
      </c>
      <c r="B1336" s="613" t="s">
        <v>7020</v>
      </c>
      <c r="C1336" s="288" t="s">
        <v>2231</v>
      </c>
      <c r="D1336" s="414" t="s">
        <v>4884</v>
      </c>
      <c r="E1336" s="407" t="s">
        <v>4884</v>
      </c>
      <c r="F1336" s="483"/>
      <c r="G1336" s="483"/>
      <c r="H1336" s="483"/>
      <c r="I1336" s="483"/>
      <c r="J1336" s="483"/>
      <c r="K1336" s="483"/>
      <c r="L1336" s="608" t="s">
        <v>4884</v>
      </c>
      <c r="M1336" s="409" t="s">
        <v>4884</v>
      </c>
      <c r="N1336" s="409" t="s">
        <v>4884</v>
      </c>
      <c r="O1336" s="410" t="s">
        <v>4884</v>
      </c>
      <c r="P1336" s="406">
        <v>1333</v>
      </c>
      <c r="Q1336" s="270" t="s">
        <v>2231</v>
      </c>
      <c r="R1336" s="523" t="s">
        <v>1883</v>
      </c>
      <c r="S1336" s="270" t="s">
        <v>1884</v>
      </c>
      <c r="U1336" s="471"/>
      <c r="V1336" s="471"/>
      <c r="W1336" s="471"/>
      <c r="X1336" s="471"/>
      <c r="Y1336" s="206"/>
      <c r="Z1336" s="206"/>
    </row>
    <row r="1337" spans="1:26">
      <c r="A1337" s="406">
        <v>1334</v>
      </c>
      <c r="B1337" s="613" t="s">
        <v>7020</v>
      </c>
      <c r="C1337" s="288" t="s">
        <v>2232</v>
      </c>
      <c r="D1337" s="414" t="s">
        <v>4884</v>
      </c>
      <c r="E1337" s="407" t="s">
        <v>4884</v>
      </c>
      <c r="F1337" s="483"/>
      <c r="G1337" s="483"/>
      <c r="H1337" s="483"/>
      <c r="I1337" s="483"/>
      <c r="J1337" s="483"/>
      <c r="K1337" s="483"/>
      <c r="L1337" s="608" t="s">
        <v>4884</v>
      </c>
      <c r="M1337" s="409" t="s">
        <v>4884</v>
      </c>
      <c r="N1337" s="409" t="s">
        <v>4884</v>
      </c>
      <c r="O1337" s="410" t="s">
        <v>4884</v>
      </c>
      <c r="P1337" s="406">
        <v>1334</v>
      </c>
      <c r="Q1337" s="270" t="s">
        <v>2232</v>
      </c>
      <c r="R1337" s="523" t="s">
        <v>1883</v>
      </c>
      <c r="S1337" s="270" t="s">
        <v>1884</v>
      </c>
      <c r="U1337" s="471"/>
      <c r="V1337" s="471"/>
      <c r="W1337" s="471"/>
      <c r="X1337" s="471"/>
      <c r="Y1337" s="206"/>
      <c r="Z1337" s="206"/>
    </row>
    <row r="1338" spans="1:26">
      <c r="A1338" s="406">
        <v>1335</v>
      </c>
      <c r="B1338" s="613" t="s">
        <v>7020</v>
      </c>
      <c r="C1338" s="288" t="s">
        <v>2233</v>
      </c>
      <c r="D1338" s="414" t="s">
        <v>4884</v>
      </c>
      <c r="E1338" s="407" t="s">
        <v>4884</v>
      </c>
      <c r="F1338" s="483"/>
      <c r="G1338" s="483"/>
      <c r="H1338" s="483"/>
      <c r="I1338" s="483"/>
      <c r="J1338" s="483"/>
      <c r="K1338" s="483"/>
      <c r="L1338" s="608" t="s">
        <v>4884</v>
      </c>
      <c r="M1338" s="409" t="s">
        <v>4884</v>
      </c>
      <c r="N1338" s="409" t="s">
        <v>4884</v>
      </c>
      <c r="O1338" s="410" t="s">
        <v>4884</v>
      </c>
      <c r="P1338" s="406">
        <v>1335</v>
      </c>
      <c r="Q1338" s="270" t="s">
        <v>2233</v>
      </c>
      <c r="R1338" s="523" t="s">
        <v>1883</v>
      </c>
      <c r="S1338" s="270" t="s">
        <v>1884</v>
      </c>
      <c r="U1338" s="471"/>
      <c r="V1338" s="471"/>
      <c r="W1338" s="471"/>
      <c r="X1338" s="471"/>
      <c r="Y1338" s="206"/>
      <c r="Z1338" s="206"/>
    </row>
    <row r="1339" spans="1:26">
      <c r="A1339" s="406">
        <v>1336</v>
      </c>
      <c r="B1339" s="613" t="s">
        <v>7020</v>
      </c>
      <c r="C1339" s="288" t="s">
        <v>2234</v>
      </c>
      <c r="D1339" s="414" t="s">
        <v>4884</v>
      </c>
      <c r="E1339" s="407" t="s">
        <v>4884</v>
      </c>
      <c r="F1339" s="483"/>
      <c r="G1339" s="483"/>
      <c r="H1339" s="483"/>
      <c r="I1339" s="483"/>
      <c r="J1339" s="483"/>
      <c r="K1339" s="483"/>
      <c r="L1339" s="608" t="s">
        <v>4884</v>
      </c>
      <c r="M1339" s="409" t="s">
        <v>4884</v>
      </c>
      <c r="N1339" s="409" t="s">
        <v>4884</v>
      </c>
      <c r="O1339" s="410" t="s">
        <v>4884</v>
      </c>
      <c r="P1339" s="406">
        <v>1336</v>
      </c>
      <c r="Q1339" s="270" t="s">
        <v>2234</v>
      </c>
      <c r="R1339" s="523" t="s">
        <v>1883</v>
      </c>
      <c r="S1339" s="270" t="s">
        <v>1884</v>
      </c>
      <c r="U1339" s="471"/>
      <c r="V1339" s="471"/>
      <c r="W1339" s="471"/>
      <c r="X1339" s="471"/>
      <c r="Y1339" s="206"/>
      <c r="Z1339" s="206"/>
    </row>
    <row r="1340" spans="1:26">
      <c r="A1340" s="406">
        <v>1337</v>
      </c>
      <c r="B1340" s="613" t="s">
        <v>7020</v>
      </c>
      <c r="C1340" s="288" t="s">
        <v>2235</v>
      </c>
      <c r="D1340" s="414" t="s">
        <v>4884</v>
      </c>
      <c r="E1340" s="407" t="s">
        <v>4884</v>
      </c>
      <c r="F1340" s="483"/>
      <c r="G1340" s="483"/>
      <c r="H1340" s="483"/>
      <c r="I1340" s="483"/>
      <c r="J1340" s="483"/>
      <c r="K1340" s="483"/>
      <c r="L1340" s="608" t="s">
        <v>4884</v>
      </c>
      <c r="M1340" s="409" t="s">
        <v>4884</v>
      </c>
      <c r="N1340" s="409" t="s">
        <v>4884</v>
      </c>
      <c r="O1340" s="410" t="s">
        <v>4884</v>
      </c>
      <c r="P1340" s="406">
        <v>1337</v>
      </c>
      <c r="Q1340" s="270" t="s">
        <v>2235</v>
      </c>
      <c r="R1340" s="523" t="s">
        <v>1883</v>
      </c>
      <c r="S1340" s="270" t="s">
        <v>1884</v>
      </c>
      <c r="U1340" s="471"/>
      <c r="V1340" s="471"/>
      <c r="W1340" s="471"/>
      <c r="X1340" s="471"/>
      <c r="Y1340" s="206"/>
      <c r="Z1340" s="206"/>
    </row>
    <row r="1341" spans="1:26">
      <c r="A1341" s="406">
        <v>1338</v>
      </c>
      <c r="B1341" s="613" t="s">
        <v>7020</v>
      </c>
      <c r="C1341" s="288" t="s">
        <v>2236</v>
      </c>
      <c r="D1341" s="414" t="s">
        <v>4884</v>
      </c>
      <c r="E1341" s="407" t="s">
        <v>4884</v>
      </c>
      <c r="F1341" s="483"/>
      <c r="G1341" s="483"/>
      <c r="H1341" s="483"/>
      <c r="I1341" s="483"/>
      <c r="J1341" s="483"/>
      <c r="K1341" s="483"/>
      <c r="L1341" s="608" t="s">
        <v>4884</v>
      </c>
      <c r="M1341" s="409" t="s">
        <v>4884</v>
      </c>
      <c r="N1341" s="409" t="s">
        <v>4884</v>
      </c>
      <c r="O1341" s="410" t="s">
        <v>4884</v>
      </c>
      <c r="P1341" s="406">
        <v>1338</v>
      </c>
      <c r="Q1341" s="270" t="s">
        <v>2236</v>
      </c>
      <c r="R1341" s="523" t="s">
        <v>1883</v>
      </c>
      <c r="S1341" s="270" t="s">
        <v>1884</v>
      </c>
      <c r="U1341" s="471"/>
      <c r="V1341" s="471"/>
      <c r="W1341" s="471"/>
      <c r="X1341" s="471"/>
      <c r="Y1341" s="206"/>
      <c r="Z1341" s="206"/>
    </row>
    <row r="1342" spans="1:26">
      <c r="A1342" s="406">
        <v>1339</v>
      </c>
      <c r="B1342" s="613" t="s">
        <v>7020</v>
      </c>
      <c r="C1342" s="288" t="s">
        <v>2237</v>
      </c>
      <c r="D1342" s="414" t="s">
        <v>4884</v>
      </c>
      <c r="E1342" s="407" t="s">
        <v>4884</v>
      </c>
      <c r="F1342" s="483"/>
      <c r="G1342" s="483"/>
      <c r="H1342" s="483"/>
      <c r="I1342" s="483"/>
      <c r="J1342" s="483"/>
      <c r="K1342" s="483"/>
      <c r="L1342" s="608" t="s">
        <v>4884</v>
      </c>
      <c r="M1342" s="409" t="s">
        <v>4884</v>
      </c>
      <c r="N1342" s="409" t="s">
        <v>4884</v>
      </c>
      <c r="O1342" s="410" t="s">
        <v>4884</v>
      </c>
      <c r="P1342" s="406">
        <v>1339</v>
      </c>
      <c r="Q1342" s="270" t="s">
        <v>2237</v>
      </c>
      <c r="R1342" s="523" t="s">
        <v>1883</v>
      </c>
      <c r="S1342" s="270" t="s">
        <v>1884</v>
      </c>
      <c r="U1342" s="471"/>
      <c r="V1342" s="471"/>
      <c r="W1342" s="471"/>
      <c r="X1342" s="471"/>
      <c r="Y1342" s="206"/>
      <c r="Z1342" s="206"/>
    </row>
    <row r="1343" spans="1:26">
      <c r="A1343" s="406">
        <v>1340</v>
      </c>
      <c r="B1343" s="613" t="s">
        <v>7020</v>
      </c>
      <c r="C1343" s="288" t="s">
        <v>2238</v>
      </c>
      <c r="D1343" s="414" t="s">
        <v>4884</v>
      </c>
      <c r="E1343" s="407" t="s">
        <v>4884</v>
      </c>
      <c r="F1343" s="483"/>
      <c r="G1343" s="483"/>
      <c r="H1343" s="483"/>
      <c r="I1343" s="483"/>
      <c r="J1343" s="483"/>
      <c r="K1343" s="483"/>
      <c r="L1343" s="608" t="s">
        <v>4884</v>
      </c>
      <c r="M1343" s="409" t="s">
        <v>4884</v>
      </c>
      <c r="N1343" s="409" t="s">
        <v>4884</v>
      </c>
      <c r="O1343" s="410" t="s">
        <v>4884</v>
      </c>
      <c r="P1343" s="406">
        <v>1340</v>
      </c>
      <c r="Q1343" s="270" t="s">
        <v>2238</v>
      </c>
      <c r="R1343" s="523" t="s">
        <v>1883</v>
      </c>
      <c r="S1343" s="270" t="s">
        <v>1884</v>
      </c>
      <c r="U1343" s="471"/>
      <c r="V1343" s="471"/>
      <c r="W1343" s="471"/>
      <c r="X1343" s="471"/>
      <c r="Y1343" s="206"/>
      <c r="Z1343" s="206"/>
    </row>
    <row r="1344" spans="1:26">
      <c r="A1344" s="406">
        <v>1341</v>
      </c>
      <c r="B1344" s="613" t="s">
        <v>7020</v>
      </c>
      <c r="C1344" s="288" t="s">
        <v>2239</v>
      </c>
      <c r="D1344" s="414" t="s">
        <v>4884</v>
      </c>
      <c r="E1344" s="407" t="s">
        <v>4884</v>
      </c>
      <c r="F1344" s="483"/>
      <c r="G1344" s="483"/>
      <c r="H1344" s="483"/>
      <c r="I1344" s="483"/>
      <c r="J1344" s="483"/>
      <c r="K1344" s="483"/>
      <c r="L1344" s="608" t="s">
        <v>4884</v>
      </c>
      <c r="M1344" s="409" t="s">
        <v>4884</v>
      </c>
      <c r="N1344" s="409" t="s">
        <v>4884</v>
      </c>
      <c r="O1344" s="410" t="s">
        <v>4884</v>
      </c>
      <c r="P1344" s="406">
        <v>1341</v>
      </c>
      <c r="Q1344" s="270" t="s">
        <v>2239</v>
      </c>
      <c r="R1344" s="523" t="s">
        <v>1883</v>
      </c>
      <c r="S1344" s="270" t="s">
        <v>1884</v>
      </c>
      <c r="U1344" s="471"/>
      <c r="V1344" s="471"/>
      <c r="W1344" s="471"/>
      <c r="X1344" s="471"/>
      <c r="Y1344" s="206"/>
      <c r="Z1344" s="206"/>
    </row>
    <row r="1345" spans="1:26">
      <c r="A1345" s="406">
        <v>1342</v>
      </c>
      <c r="B1345" s="613" t="s">
        <v>7020</v>
      </c>
      <c r="C1345" s="288" t="s">
        <v>2240</v>
      </c>
      <c r="D1345" s="414" t="s">
        <v>4884</v>
      </c>
      <c r="E1345" s="407" t="s">
        <v>4884</v>
      </c>
      <c r="F1345" s="483"/>
      <c r="G1345" s="483"/>
      <c r="H1345" s="483"/>
      <c r="I1345" s="483"/>
      <c r="J1345" s="483"/>
      <c r="K1345" s="483"/>
      <c r="L1345" s="608" t="s">
        <v>4884</v>
      </c>
      <c r="M1345" s="409" t="s">
        <v>4884</v>
      </c>
      <c r="N1345" s="409" t="s">
        <v>4884</v>
      </c>
      <c r="O1345" s="410" t="s">
        <v>4884</v>
      </c>
      <c r="P1345" s="406">
        <v>1342</v>
      </c>
      <c r="Q1345" s="270" t="s">
        <v>2240</v>
      </c>
      <c r="R1345" s="523" t="s">
        <v>1883</v>
      </c>
      <c r="S1345" s="270" t="s">
        <v>1884</v>
      </c>
      <c r="U1345" s="471"/>
      <c r="V1345" s="471"/>
      <c r="W1345" s="471"/>
      <c r="X1345" s="471"/>
      <c r="Y1345" s="206"/>
      <c r="Z1345" s="206"/>
    </row>
    <row r="1346" spans="1:26">
      <c r="A1346" s="406">
        <v>1343</v>
      </c>
      <c r="B1346" s="613" t="s">
        <v>7020</v>
      </c>
      <c r="C1346" s="483" t="s">
        <v>2241</v>
      </c>
      <c r="D1346" s="414" t="s">
        <v>4884</v>
      </c>
      <c r="E1346" s="407" t="s">
        <v>4884</v>
      </c>
      <c r="F1346" s="483"/>
      <c r="G1346" s="483"/>
      <c r="H1346" s="483"/>
      <c r="I1346" s="483"/>
      <c r="J1346" s="483"/>
      <c r="K1346" s="483"/>
      <c r="L1346" s="608" t="s">
        <v>4884</v>
      </c>
      <c r="M1346" s="409" t="s">
        <v>4884</v>
      </c>
      <c r="N1346" s="409" t="s">
        <v>4884</v>
      </c>
      <c r="O1346" s="410" t="s">
        <v>4884</v>
      </c>
      <c r="P1346" s="406">
        <v>1343</v>
      </c>
      <c r="Q1346" s="460" t="s">
        <v>2241</v>
      </c>
      <c r="R1346" s="460" t="s">
        <v>1883</v>
      </c>
      <c r="S1346" s="460" t="s">
        <v>1884</v>
      </c>
      <c r="U1346" s="471"/>
      <c r="V1346" s="471"/>
      <c r="W1346" s="471"/>
      <c r="X1346" s="471"/>
      <c r="Y1346" s="206"/>
      <c r="Z1346" s="206"/>
    </row>
    <row r="1347" spans="1:26">
      <c r="A1347" s="406">
        <v>1344</v>
      </c>
      <c r="B1347" s="613" t="s">
        <v>7020</v>
      </c>
      <c r="C1347" s="483" t="s">
        <v>2242</v>
      </c>
      <c r="D1347" s="414" t="s">
        <v>4884</v>
      </c>
      <c r="E1347" s="407" t="s">
        <v>4884</v>
      </c>
      <c r="F1347" s="483"/>
      <c r="G1347" s="483"/>
      <c r="H1347" s="483"/>
      <c r="I1347" s="483"/>
      <c r="J1347" s="483"/>
      <c r="K1347" s="483"/>
      <c r="L1347" s="608" t="s">
        <v>4884</v>
      </c>
      <c r="M1347" s="409" t="s">
        <v>4884</v>
      </c>
      <c r="N1347" s="409" t="s">
        <v>4884</v>
      </c>
      <c r="O1347" s="410" t="s">
        <v>4884</v>
      </c>
      <c r="P1347" s="406">
        <v>1344</v>
      </c>
      <c r="Q1347" s="460" t="s">
        <v>2242</v>
      </c>
      <c r="R1347" s="460" t="s">
        <v>1883</v>
      </c>
      <c r="S1347" s="460" t="s">
        <v>1884</v>
      </c>
      <c r="U1347" s="471"/>
      <c r="V1347" s="471"/>
      <c r="W1347" s="471"/>
      <c r="X1347" s="471"/>
      <c r="Y1347" s="206"/>
      <c r="Z1347" s="206"/>
    </row>
    <row r="1348" spans="1:26">
      <c r="A1348" s="406">
        <v>1345</v>
      </c>
      <c r="B1348" s="613" t="s">
        <v>7020</v>
      </c>
      <c r="C1348" s="483" t="s">
        <v>2243</v>
      </c>
      <c r="D1348" s="414" t="s">
        <v>4884</v>
      </c>
      <c r="E1348" s="407" t="s">
        <v>4884</v>
      </c>
      <c r="F1348" s="483"/>
      <c r="G1348" s="483"/>
      <c r="H1348" s="483"/>
      <c r="I1348" s="483"/>
      <c r="J1348" s="483"/>
      <c r="K1348" s="483"/>
      <c r="L1348" s="608" t="s">
        <v>4884</v>
      </c>
      <c r="M1348" s="409" t="s">
        <v>4884</v>
      </c>
      <c r="N1348" s="409" t="s">
        <v>4884</v>
      </c>
      <c r="O1348" s="410" t="s">
        <v>4884</v>
      </c>
      <c r="P1348" s="406">
        <v>1345</v>
      </c>
      <c r="Q1348" s="460" t="s">
        <v>2243</v>
      </c>
      <c r="R1348" s="460" t="s">
        <v>1883</v>
      </c>
      <c r="S1348" s="460" t="s">
        <v>1884</v>
      </c>
      <c r="U1348" s="471"/>
      <c r="V1348" s="471"/>
      <c r="W1348" s="471"/>
      <c r="X1348" s="471"/>
      <c r="Y1348" s="206"/>
      <c r="Z1348" s="206"/>
    </row>
    <row r="1349" spans="1:26">
      <c r="A1349" s="406">
        <v>1346</v>
      </c>
      <c r="B1349" s="613" t="s">
        <v>7020</v>
      </c>
      <c r="C1349" s="483" t="s">
        <v>2244</v>
      </c>
      <c r="D1349" s="414" t="s">
        <v>4884</v>
      </c>
      <c r="E1349" s="407" t="s">
        <v>4884</v>
      </c>
      <c r="F1349" s="483"/>
      <c r="G1349" s="483"/>
      <c r="H1349" s="483"/>
      <c r="I1349" s="483"/>
      <c r="J1349" s="483"/>
      <c r="K1349" s="483"/>
      <c r="L1349" s="608" t="s">
        <v>4884</v>
      </c>
      <c r="M1349" s="409" t="s">
        <v>4884</v>
      </c>
      <c r="N1349" s="409" t="s">
        <v>4884</v>
      </c>
      <c r="O1349" s="410" t="s">
        <v>4884</v>
      </c>
      <c r="P1349" s="406">
        <v>1346</v>
      </c>
      <c r="Q1349" s="460" t="s">
        <v>2244</v>
      </c>
      <c r="R1349" s="460" t="s">
        <v>2245</v>
      </c>
      <c r="S1349" s="460" t="s">
        <v>1528</v>
      </c>
      <c r="T1349" s="487" t="s">
        <v>2246</v>
      </c>
      <c r="U1349" s="471"/>
      <c r="V1349" s="471"/>
      <c r="W1349" s="471"/>
      <c r="X1349" s="471"/>
      <c r="Y1349" s="206"/>
      <c r="Z1349" s="206"/>
    </row>
    <row r="1350" spans="1:26">
      <c r="A1350" s="406">
        <v>1347</v>
      </c>
      <c r="B1350" s="613" t="s">
        <v>7020</v>
      </c>
      <c r="C1350" s="483" t="s">
        <v>2247</v>
      </c>
      <c r="D1350" s="414" t="s">
        <v>4884</v>
      </c>
      <c r="E1350" s="407" t="s">
        <v>4884</v>
      </c>
      <c r="F1350" s="483"/>
      <c r="G1350" s="483"/>
      <c r="H1350" s="483"/>
      <c r="I1350" s="483"/>
      <c r="J1350" s="483"/>
      <c r="K1350" s="483"/>
      <c r="L1350" s="608" t="s">
        <v>4884</v>
      </c>
      <c r="M1350" s="409" t="s">
        <v>4884</v>
      </c>
      <c r="N1350" s="409" t="s">
        <v>4884</v>
      </c>
      <c r="O1350" s="410" t="s">
        <v>4884</v>
      </c>
      <c r="P1350" s="406">
        <v>1347</v>
      </c>
      <c r="Q1350" s="460" t="s">
        <v>2247</v>
      </c>
      <c r="R1350" s="460" t="s">
        <v>2249</v>
      </c>
      <c r="S1350" s="460" t="s">
        <v>1528</v>
      </c>
      <c r="T1350" s="492" t="s">
        <v>1622</v>
      </c>
      <c r="U1350" s="471"/>
      <c r="V1350" s="471"/>
      <c r="W1350" s="471"/>
      <c r="X1350" s="471"/>
      <c r="Y1350" s="206"/>
      <c r="Z1350" s="206"/>
    </row>
    <row r="1351" spans="1:26">
      <c r="A1351" s="406">
        <v>1348</v>
      </c>
      <c r="B1351" s="613" t="s">
        <v>7020</v>
      </c>
      <c r="C1351" s="483" t="s">
        <v>2250</v>
      </c>
      <c r="D1351" s="414" t="s">
        <v>4884</v>
      </c>
      <c r="E1351" s="407" t="s">
        <v>4884</v>
      </c>
      <c r="F1351" s="483"/>
      <c r="G1351" s="483"/>
      <c r="H1351" s="483"/>
      <c r="I1351" s="483"/>
      <c r="J1351" s="483"/>
      <c r="K1351" s="483"/>
      <c r="L1351" s="608" t="s">
        <v>4884</v>
      </c>
      <c r="M1351" s="409" t="s">
        <v>4884</v>
      </c>
      <c r="N1351" s="409" t="s">
        <v>4884</v>
      </c>
      <c r="O1351" s="410" t="s">
        <v>4884</v>
      </c>
      <c r="P1351" s="406">
        <v>1348</v>
      </c>
      <c r="Q1351" s="460" t="s">
        <v>2250</v>
      </c>
      <c r="R1351" s="460" t="s">
        <v>2252</v>
      </c>
      <c r="S1351" s="460" t="s">
        <v>1528</v>
      </c>
      <c r="T1351" s="493" t="s">
        <v>1629</v>
      </c>
      <c r="U1351" s="471"/>
      <c r="V1351" s="471"/>
      <c r="W1351" s="471"/>
      <c r="X1351" s="471"/>
      <c r="Y1351" s="206"/>
      <c r="Z1351" s="206"/>
    </row>
    <row r="1352" spans="1:26">
      <c r="A1352" s="406">
        <v>1349</v>
      </c>
      <c r="B1352" s="613" t="s">
        <v>7020</v>
      </c>
      <c r="C1352" s="483" t="s">
        <v>2253</v>
      </c>
      <c r="D1352" s="414" t="s">
        <v>4884</v>
      </c>
      <c r="E1352" s="407" t="s">
        <v>4884</v>
      </c>
      <c r="F1352" s="483"/>
      <c r="G1352" s="483"/>
      <c r="H1352" s="483"/>
      <c r="I1352" s="483"/>
      <c r="J1352" s="483"/>
      <c r="K1352" s="483"/>
      <c r="L1352" s="608" t="s">
        <v>4884</v>
      </c>
      <c r="M1352" s="409" t="s">
        <v>4884</v>
      </c>
      <c r="N1352" s="409" t="s">
        <v>4884</v>
      </c>
      <c r="O1352" s="410" t="s">
        <v>4884</v>
      </c>
      <c r="P1352" s="406">
        <v>1349</v>
      </c>
      <c r="Q1352" s="460" t="s">
        <v>2253</v>
      </c>
      <c r="R1352" s="460" t="s">
        <v>2248</v>
      </c>
      <c r="S1352" s="460" t="s">
        <v>1528</v>
      </c>
      <c r="T1352" s="495" t="s">
        <v>1728</v>
      </c>
      <c r="U1352" s="471"/>
      <c r="V1352" s="471"/>
      <c r="W1352" s="471"/>
      <c r="X1352" s="471"/>
      <c r="Y1352" s="206"/>
      <c r="Z1352" s="206"/>
    </row>
    <row r="1353" spans="1:26">
      <c r="A1353" s="406">
        <v>1350</v>
      </c>
      <c r="B1353" s="613" t="s">
        <v>7020</v>
      </c>
      <c r="C1353" s="483" t="s">
        <v>2255</v>
      </c>
      <c r="D1353" s="414" t="s">
        <v>4884</v>
      </c>
      <c r="E1353" s="407" t="s">
        <v>4884</v>
      </c>
      <c r="F1353" s="483"/>
      <c r="G1353" s="483"/>
      <c r="H1353" s="483"/>
      <c r="I1353" s="483"/>
      <c r="J1353" s="483"/>
      <c r="K1353" s="483"/>
      <c r="L1353" s="608" t="s">
        <v>4884</v>
      </c>
      <c r="M1353" s="409" t="s">
        <v>4884</v>
      </c>
      <c r="N1353" s="409" t="s">
        <v>4884</v>
      </c>
      <c r="O1353" s="410" t="s">
        <v>4884</v>
      </c>
      <c r="P1353" s="406">
        <v>1350</v>
      </c>
      <c r="Q1353" s="460" t="s">
        <v>2255</v>
      </c>
      <c r="R1353" s="460" t="s">
        <v>2256</v>
      </c>
      <c r="S1353" s="460" t="s">
        <v>1528</v>
      </c>
      <c r="T1353" s="524" t="s">
        <v>1763</v>
      </c>
      <c r="U1353" s="471"/>
      <c r="V1353" s="471"/>
      <c r="W1353" s="471"/>
      <c r="X1353" s="471"/>
      <c r="Y1353" s="206"/>
      <c r="Z1353" s="206"/>
    </row>
    <row r="1354" spans="1:26">
      <c r="A1354" s="406">
        <v>1351</v>
      </c>
      <c r="B1354" s="613" t="s">
        <v>7020</v>
      </c>
      <c r="C1354" s="483" t="s">
        <v>2257</v>
      </c>
      <c r="D1354" s="414" t="s">
        <v>4884</v>
      </c>
      <c r="E1354" s="407" t="s">
        <v>4884</v>
      </c>
      <c r="F1354" s="483"/>
      <c r="G1354" s="483"/>
      <c r="H1354" s="483"/>
      <c r="I1354" s="483"/>
      <c r="J1354" s="483"/>
      <c r="K1354" s="483"/>
      <c r="L1354" s="608" t="s">
        <v>4884</v>
      </c>
      <c r="M1354" s="409" t="s">
        <v>4884</v>
      </c>
      <c r="N1354" s="409" t="s">
        <v>4884</v>
      </c>
      <c r="O1354" s="410" t="s">
        <v>4884</v>
      </c>
      <c r="P1354" s="406">
        <v>1351</v>
      </c>
      <c r="Q1354" s="460" t="s">
        <v>2257</v>
      </c>
      <c r="R1354" s="460" t="s">
        <v>2251</v>
      </c>
      <c r="S1354" s="460" t="s">
        <v>1528</v>
      </c>
      <c r="T1354" s="493" t="s">
        <v>1766</v>
      </c>
      <c r="U1354" s="471"/>
      <c r="V1354" s="471"/>
      <c r="W1354" s="471"/>
      <c r="X1354" s="471"/>
      <c r="Y1354" s="206"/>
      <c r="Z1354" s="206"/>
    </row>
    <row r="1355" spans="1:26">
      <c r="A1355" s="406">
        <v>1352</v>
      </c>
      <c r="B1355" s="613" t="s">
        <v>7020</v>
      </c>
      <c r="C1355" s="483" t="s">
        <v>2258</v>
      </c>
      <c r="D1355" s="414" t="s">
        <v>4884</v>
      </c>
      <c r="E1355" s="407" t="s">
        <v>4884</v>
      </c>
      <c r="F1355" s="483"/>
      <c r="G1355" s="483"/>
      <c r="H1355" s="483"/>
      <c r="I1355" s="483"/>
      <c r="J1355" s="483"/>
      <c r="K1355" s="483"/>
      <c r="L1355" s="608" t="s">
        <v>4884</v>
      </c>
      <c r="M1355" s="409" t="s">
        <v>4884</v>
      </c>
      <c r="N1355" s="409" t="s">
        <v>4884</v>
      </c>
      <c r="O1355" s="410" t="s">
        <v>4884</v>
      </c>
      <c r="P1355" s="406">
        <v>1352</v>
      </c>
      <c r="Q1355" s="460" t="s">
        <v>2258</v>
      </c>
      <c r="R1355" s="460" t="s">
        <v>2254</v>
      </c>
      <c r="S1355" s="460" t="s">
        <v>1528</v>
      </c>
      <c r="T1355" s="481" t="s">
        <v>1838</v>
      </c>
      <c r="U1355" s="471"/>
      <c r="V1355" s="471"/>
      <c r="W1355" s="471"/>
      <c r="X1355" s="471"/>
      <c r="Y1355" s="206"/>
      <c r="Z1355" s="206"/>
    </row>
    <row r="1356" spans="1:26">
      <c r="A1356" s="406">
        <v>1353</v>
      </c>
      <c r="B1356" s="613" t="s">
        <v>2951</v>
      </c>
      <c r="C1356" s="288" t="s">
        <v>2259</v>
      </c>
      <c r="D1356" s="414" t="s">
        <v>3476</v>
      </c>
      <c r="E1356" s="407" t="s">
        <v>8495</v>
      </c>
      <c r="F1356" s="483"/>
      <c r="G1356" s="483"/>
      <c r="H1356" s="483"/>
      <c r="I1356" s="483"/>
      <c r="J1356" s="483"/>
      <c r="K1356" s="483"/>
      <c r="L1356" s="608" t="s">
        <v>4884</v>
      </c>
      <c r="M1356" s="409">
        <v>17557.051181102361</v>
      </c>
      <c r="N1356" s="409">
        <v>17557.051181102361</v>
      </c>
      <c r="O1356" s="410" t="s">
        <v>7569</v>
      </c>
      <c r="P1356" s="406">
        <v>1353</v>
      </c>
      <c r="Q1356" s="470" t="s">
        <v>2259</v>
      </c>
      <c r="R1356" s="270" t="s">
        <v>2260</v>
      </c>
      <c r="S1356" s="270" t="s">
        <v>7</v>
      </c>
      <c r="U1356" s="471"/>
      <c r="V1356" s="471"/>
      <c r="W1356" s="471" t="s">
        <v>2260</v>
      </c>
      <c r="X1356" s="471">
        <v>1</v>
      </c>
      <c r="Y1356" s="206"/>
      <c r="Z1356" s="206"/>
    </row>
    <row r="1357" spans="1:26">
      <c r="A1357" s="406">
        <v>1354</v>
      </c>
      <c r="B1357" s="613" t="s">
        <v>7020</v>
      </c>
      <c r="C1357" s="288" t="s">
        <v>2261</v>
      </c>
      <c r="D1357" s="414" t="s">
        <v>4884</v>
      </c>
      <c r="E1357" s="407"/>
      <c r="F1357" s="483"/>
      <c r="G1357" s="483"/>
      <c r="H1357" s="483"/>
      <c r="I1357" s="483"/>
      <c r="J1357" s="483"/>
      <c r="K1357" s="483"/>
      <c r="L1357" s="608" t="s">
        <v>4884</v>
      </c>
      <c r="M1357" s="409" t="s">
        <v>4884</v>
      </c>
      <c r="N1357" s="409" t="s">
        <v>4884</v>
      </c>
      <c r="O1357" s="410" t="s">
        <v>4884</v>
      </c>
      <c r="P1357" s="406">
        <v>1354</v>
      </c>
      <c r="Q1357" s="470" t="s">
        <v>2261</v>
      </c>
      <c r="R1357" s="270" t="s">
        <v>2262</v>
      </c>
      <c r="S1357" s="270" t="s">
        <v>7</v>
      </c>
      <c r="U1357" s="471"/>
      <c r="V1357" s="471"/>
      <c r="W1357" s="471" t="s">
        <v>2262</v>
      </c>
      <c r="X1357" s="471">
        <v>0</v>
      </c>
      <c r="Y1357" s="206"/>
      <c r="Z1357" s="206"/>
    </row>
    <row r="1358" spans="1:26">
      <c r="A1358" s="406">
        <v>1355</v>
      </c>
      <c r="B1358" s="613" t="s">
        <v>7020</v>
      </c>
      <c r="C1358" s="288" t="s">
        <v>2263</v>
      </c>
      <c r="D1358" s="414" t="s">
        <v>4884</v>
      </c>
      <c r="E1358" s="407"/>
      <c r="F1358" s="483"/>
      <c r="G1358" s="483"/>
      <c r="H1358" s="483"/>
      <c r="I1358" s="483"/>
      <c r="J1358" s="483"/>
      <c r="K1358" s="483"/>
      <c r="L1358" s="608" t="s">
        <v>4884</v>
      </c>
      <c r="M1358" s="409" t="s">
        <v>4884</v>
      </c>
      <c r="N1358" s="409" t="s">
        <v>4884</v>
      </c>
      <c r="O1358" s="410" t="s">
        <v>4884</v>
      </c>
      <c r="P1358" s="406">
        <v>1355</v>
      </c>
      <c r="Q1358" s="470" t="s">
        <v>2263</v>
      </c>
      <c r="R1358" s="270" t="s">
        <v>2264</v>
      </c>
      <c r="S1358" s="270" t="s">
        <v>7</v>
      </c>
      <c r="U1358" s="471"/>
      <c r="V1358" s="471"/>
      <c r="W1358" s="471" t="s">
        <v>2264</v>
      </c>
      <c r="X1358" s="471">
        <v>0</v>
      </c>
      <c r="Y1358" s="206"/>
      <c r="Z1358" s="206"/>
    </row>
    <row r="1359" spans="1:26">
      <c r="A1359" s="406">
        <v>1356</v>
      </c>
      <c r="B1359" s="613" t="s">
        <v>7020</v>
      </c>
      <c r="C1359" s="288" t="s">
        <v>2265</v>
      </c>
      <c r="D1359" s="414" t="s">
        <v>4884</v>
      </c>
      <c r="E1359" s="407"/>
      <c r="F1359" s="483" t="s">
        <v>4881</v>
      </c>
      <c r="G1359" s="411"/>
      <c r="H1359" s="411"/>
      <c r="I1359" s="411"/>
      <c r="J1359" s="411"/>
      <c r="K1359" s="411"/>
      <c r="L1359" s="608" t="s">
        <v>4884</v>
      </c>
      <c r="M1359" s="409" t="s">
        <v>4884</v>
      </c>
      <c r="N1359" s="409" t="s">
        <v>4884</v>
      </c>
      <c r="O1359" s="410" t="s">
        <v>4884</v>
      </c>
      <c r="P1359" s="406">
        <v>1356</v>
      </c>
      <c r="Q1359" s="470" t="s">
        <v>2265</v>
      </c>
      <c r="R1359" s="270" t="s">
        <v>2266</v>
      </c>
      <c r="S1359" s="270" t="s">
        <v>7</v>
      </c>
      <c r="U1359" s="471"/>
      <c r="V1359" s="471"/>
      <c r="W1359" s="471" t="s">
        <v>2266</v>
      </c>
      <c r="X1359" s="471">
        <v>0</v>
      </c>
      <c r="Y1359" s="206"/>
      <c r="Z1359" s="206"/>
    </row>
    <row r="1360" spans="1:26">
      <c r="A1360" s="406">
        <v>1357</v>
      </c>
      <c r="B1360" s="613" t="s">
        <v>2953</v>
      </c>
      <c r="C1360" s="288" t="s">
        <v>2267</v>
      </c>
      <c r="D1360" s="414" t="s">
        <v>3697</v>
      </c>
      <c r="E1360" s="407" t="s">
        <v>8496</v>
      </c>
      <c r="F1360" s="483" t="s">
        <v>2952</v>
      </c>
      <c r="G1360" s="411" t="s">
        <v>2954</v>
      </c>
      <c r="H1360" s="411"/>
      <c r="I1360" s="411"/>
      <c r="J1360" s="411"/>
      <c r="K1360" s="411"/>
      <c r="L1360" s="608">
        <v>8586.0866141732295</v>
      </c>
      <c r="M1360" s="409">
        <v>1249.0157480314961</v>
      </c>
      <c r="N1360" s="409">
        <v>9835.1023622047251</v>
      </c>
      <c r="O1360" s="410" t="s">
        <v>7785</v>
      </c>
      <c r="P1360" s="406">
        <v>1357</v>
      </c>
      <c r="Q1360" s="470" t="s">
        <v>2267</v>
      </c>
      <c r="R1360" s="270" t="s">
        <v>2268</v>
      </c>
      <c r="S1360" s="270" t="s">
        <v>7</v>
      </c>
      <c r="U1360" s="471"/>
      <c r="V1360" s="471"/>
      <c r="W1360" s="471" t="s">
        <v>2268</v>
      </c>
      <c r="X1360" s="471">
        <v>1</v>
      </c>
      <c r="Y1360" s="206"/>
      <c r="Z1360" s="206"/>
    </row>
    <row r="1361" spans="1:26">
      <c r="A1361" s="406">
        <v>1358</v>
      </c>
      <c r="B1361" s="613" t="s">
        <v>2956</v>
      </c>
      <c r="C1361" s="288" t="s">
        <v>2269</v>
      </c>
      <c r="D1361" s="414" t="s">
        <v>3699</v>
      </c>
      <c r="E1361" s="407" t="s">
        <v>8497</v>
      </c>
      <c r="F1361" s="483" t="s">
        <v>2955</v>
      </c>
      <c r="G1361" s="411" t="s">
        <v>2957</v>
      </c>
      <c r="H1361" s="411"/>
      <c r="I1361" s="411"/>
      <c r="J1361" s="411"/>
      <c r="K1361" s="411"/>
      <c r="L1361" s="608">
        <v>8584.9330708661419</v>
      </c>
      <c r="M1361" s="409">
        <v>1247.6535433070867</v>
      </c>
      <c r="N1361" s="409">
        <v>9832.5866141732295</v>
      </c>
      <c r="O1361" s="410" t="s">
        <v>7785</v>
      </c>
      <c r="P1361" s="406">
        <v>1358</v>
      </c>
      <c r="Q1361" s="470" t="s">
        <v>2269</v>
      </c>
      <c r="R1361" s="270" t="s">
        <v>2270</v>
      </c>
      <c r="S1361" s="270" t="s">
        <v>7</v>
      </c>
      <c r="U1361" s="471"/>
      <c r="V1361" s="471"/>
      <c r="W1361" s="471" t="s">
        <v>2270</v>
      </c>
      <c r="X1361" s="471">
        <v>1</v>
      </c>
      <c r="Y1361" s="206"/>
      <c r="Z1361" s="206"/>
    </row>
    <row r="1362" spans="1:26">
      <c r="A1362" s="406">
        <v>1359</v>
      </c>
      <c r="B1362" s="288" t="s">
        <v>7020</v>
      </c>
      <c r="C1362" s="288" t="s">
        <v>2271</v>
      </c>
      <c r="D1362" s="407" t="s">
        <v>4884</v>
      </c>
      <c r="E1362" s="407" t="s">
        <v>4884</v>
      </c>
      <c r="F1362" s="483"/>
      <c r="G1362" s="483"/>
      <c r="H1362" s="483"/>
      <c r="I1362" s="483"/>
      <c r="J1362" s="483"/>
      <c r="K1362" s="483"/>
      <c r="L1362" s="408" t="s">
        <v>4884</v>
      </c>
      <c r="M1362" s="409" t="s">
        <v>4884</v>
      </c>
      <c r="N1362" s="409" t="s">
        <v>4884</v>
      </c>
      <c r="O1362" s="410" t="s">
        <v>4884</v>
      </c>
      <c r="P1362" s="406">
        <v>1359</v>
      </c>
      <c r="Q1362" s="470" t="s">
        <v>2271</v>
      </c>
      <c r="R1362" s="270" t="s">
        <v>2272</v>
      </c>
      <c r="S1362" s="270" t="s">
        <v>716</v>
      </c>
      <c r="U1362" s="471"/>
      <c r="V1362" s="471">
        <v>0</v>
      </c>
      <c r="W1362" s="471"/>
      <c r="X1362" s="471"/>
      <c r="Y1362" s="206"/>
      <c r="Z1362" s="206"/>
    </row>
    <row r="1363" spans="1:26">
      <c r="L1363" s="412"/>
      <c r="M1363" s="235"/>
      <c r="N1363" s="235"/>
      <c r="O1363" s="206"/>
      <c r="U1363" s="471"/>
      <c r="V1363" s="471"/>
      <c r="W1363" s="471"/>
      <c r="X1363" s="471"/>
      <c r="Y1363" s="206"/>
      <c r="Z1363" s="206"/>
    </row>
    <row r="1364" spans="1:26">
      <c r="B1364" s="613" t="s">
        <v>7357</v>
      </c>
      <c r="C1364" s="461" t="s">
        <v>2273</v>
      </c>
      <c r="D1364" s="414" t="s">
        <v>3988</v>
      </c>
      <c r="E1364" s="407" t="s">
        <v>8498</v>
      </c>
      <c r="F1364" s="288"/>
      <c r="G1364" s="288"/>
      <c r="H1364" s="288"/>
      <c r="I1364" s="288"/>
      <c r="J1364" s="288"/>
      <c r="K1364" s="288"/>
      <c r="L1364" s="610"/>
      <c r="M1364" s="269"/>
      <c r="N1364" s="269"/>
      <c r="O1364" s="288"/>
      <c r="Q1364" s="460" t="s">
        <v>2273</v>
      </c>
      <c r="R1364" s="460" t="s">
        <v>2273</v>
      </c>
      <c r="U1364" s="471">
        <v>1</v>
      </c>
      <c r="V1364" s="471"/>
      <c r="W1364" s="461" t="s">
        <v>2273</v>
      </c>
      <c r="X1364" s="471"/>
      <c r="Y1364" s="206"/>
      <c r="Z1364" s="206"/>
    </row>
    <row r="1365" spans="1:26">
      <c r="B1365" s="613" t="s">
        <v>7357</v>
      </c>
      <c r="C1365" s="461" t="s">
        <v>4896</v>
      </c>
      <c r="D1365" s="414" t="s">
        <v>3860</v>
      </c>
      <c r="E1365" s="407" t="s">
        <v>8499</v>
      </c>
      <c r="F1365" s="288"/>
      <c r="G1365" s="288"/>
      <c r="H1365" s="288"/>
      <c r="I1365" s="288"/>
      <c r="J1365" s="288"/>
      <c r="K1365" s="288"/>
      <c r="L1365" s="610"/>
      <c r="M1365" s="269"/>
      <c r="N1365" s="269"/>
      <c r="O1365" s="288"/>
      <c r="Q1365" s="460" t="s">
        <v>4896</v>
      </c>
      <c r="R1365" s="460" t="s">
        <v>4896</v>
      </c>
      <c r="U1365" s="471"/>
      <c r="V1365" s="471">
        <v>1</v>
      </c>
      <c r="W1365" s="461" t="s">
        <v>4896</v>
      </c>
      <c r="X1365" s="471"/>
      <c r="Y1365" s="206"/>
      <c r="Z1365" s="206"/>
    </row>
    <row r="1366" spans="1:26">
      <c r="L1366" s="412"/>
      <c r="M1366" s="235"/>
      <c r="N1366" s="235"/>
      <c r="O1366" s="206"/>
      <c r="U1366" s="471"/>
      <c r="V1366" s="471"/>
      <c r="W1366" s="462" t="s">
        <v>7518</v>
      </c>
      <c r="X1366" s="463"/>
      <c r="Y1366" s="206"/>
      <c r="Z1366" s="206"/>
    </row>
    <row r="1367" spans="1:26">
      <c r="L1367" s="412"/>
      <c r="M1367" s="235"/>
      <c r="N1367" s="235"/>
      <c r="O1367" s="206"/>
    </row>
    <row r="1368" spans="1:26">
      <c r="L1368" s="412"/>
      <c r="M1368" s="235"/>
      <c r="N1368" s="235"/>
      <c r="O1368" s="206"/>
    </row>
    <row r="1369" spans="1:26">
      <c r="L1369" s="412"/>
      <c r="M1369" s="235"/>
      <c r="N1369" s="235"/>
      <c r="O1369" s="206"/>
    </row>
    <row r="1370" spans="1:26">
      <c r="L1370" s="412"/>
      <c r="M1370" s="235"/>
      <c r="N1370" s="235"/>
      <c r="O1370" s="206"/>
    </row>
    <row r="1371" spans="1:26">
      <c r="L1371" s="412"/>
      <c r="M1371" s="235"/>
      <c r="N1371" s="235"/>
      <c r="O1371" s="206"/>
    </row>
    <row r="1372" spans="1:26">
      <c r="L1372" s="412"/>
      <c r="M1372" s="235"/>
      <c r="N1372" s="235"/>
      <c r="O1372" s="206"/>
    </row>
    <row r="1373" spans="1:26">
      <c r="L1373" s="412"/>
      <c r="M1373" s="235"/>
      <c r="N1373" s="235"/>
      <c r="O1373" s="206"/>
    </row>
    <row r="1374" spans="1:26">
      <c r="L1374" s="412"/>
      <c r="M1374" s="235"/>
      <c r="N1374" s="235"/>
      <c r="O1374" s="206"/>
    </row>
    <row r="1375" spans="1:26">
      <c r="L1375" s="412"/>
      <c r="M1375" s="235"/>
      <c r="N1375" s="235"/>
      <c r="O1375" s="206"/>
    </row>
    <row r="1376" spans="1:26">
      <c r="L1376" s="412"/>
      <c r="M1376" s="235"/>
      <c r="N1376" s="235"/>
      <c r="O1376" s="206"/>
    </row>
    <row r="1377" spans="12:15">
      <c r="L1377" s="412"/>
      <c r="M1377" s="235"/>
      <c r="N1377" s="235"/>
      <c r="O1377" s="206"/>
    </row>
    <row r="1378" spans="12:15">
      <c r="L1378" s="412"/>
      <c r="M1378" s="235"/>
      <c r="N1378" s="235"/>
      <c r="O1378" s="206"/>
    </row>
    <row r="1379" spans="12:15">
      <c r="L1379" s="412"/>
      <c r="M1379" s="235"/>
      <c r="N1379" s="235"/>
      <c r="O1379" s="206"/>
    </row>
    <row r="1380" spans="12:15">
      <c r="L1380" s="412"/>
      <c r="M1380" s="235"/>
      <c r="N1380" s="235"/>
      <c r="O1380" s="206"/>
    </row>
    <row r="1381" spans="12:15">
      <c r="L1381" s="412"/>
      <c r="M1381" s="235"/>
      <c r="N1381" s="235"/>
      <c r="O1381" s="206"/>
    </row>
    <row r="1382" spans="12:15">
      <c r="L1382" s="412"/>
      <c r="M1382" s="235"/>
      <c r="N1382" s="235"/>
      <c r="O1382" s="206"/>
    </row>
    <row r="1383" spans="12:15">
      <c r="L1383" s="412"/>
      <c r="M1383" s="235"/>
      <c r="N1383" s="235"/>
      <c r="O1383" s="206"/>
    </row>
    <row r="1384" spans="12:15">
      <c r="L1384" s="412"/>
      <c r="M1384" s="235"/>
      <c r="N1384" s="235"/>
      <c r="O1384" s="206"/>
    </row>
    <row r="1385" spans="12:15">
      <c r="L1385" s="412"/>
      <c r="M1385" s="235"/>
      <c r="N1385" s="235"/>
      <c r="O1385" s="206"/>
    </row>
    <row r="1386" spans="12:15">
      <c r="L1386" s="412"/>
      <c r="M1386" s="235"/>
      <c r="N1386" s="235"/>
      <c r="O1386" s="206"/>
    </row>
    <row r="1387" spans="12:15">
      <c r="L1387" s="412"/>
      <c r="M1387" s="235"/>
      <c r="N1387" s="235"/>
      <c r="O1387" s="206"/>
    </row>
    <row r="1388" spans="12:15">
      <c r="L1388" s="412"/>
      <c r="M1388" s="235"/>
      <c r="N1388" s="235"/>
      <c r="O1388" s="206"/>
    </row>
    <row r="1389" spans="12:15">
      <c r="L1389" s="412"/>
      <c r="M1389" s="235"/>
      <c r="N1389" s="235"/>
      <c r="O1389" s="206"/>
    </row>
    <row r="1390" spans="12:15">
      <c r="L1390" s="412"/>
      <c r="M1390" s="235"/>
      <c r="N1390" s="235"/>
      <c r="O1390" s="206"/>
    </row>
    <row r="1391" spans="12:15">
      <c r="L1391" s="412"/>
      <c r="M1391" s="235"/>
      <c r="N1391" s="235"/>
      <c r="O1391" s="206"/>
    </row>
    <row r="1392" spans="12:15">
      <c r="L1392" s="412"/>
      <c r="M1392" s="235"/>
      <c r="N1392" s="235"/>
      <c r="O1392" s="206"/>
    </row>
    <row r="1393" spans="12:15">
      <c r="L1393" s="412"/>
      <c r="M1393" s="235"/>
      <c r="N1393" s="235"/>
      <c r="O1393" s="206"/>
    </row>
    <row r="1394" spans="12:15">
      <c r="L1394" s="412"/>
      <c r="M1394" s="235"/>
      <c r="N1394" s="235"/>
      <c r="O1394" s="206"/>
    </row>
    <row r="1395" spans="12:15">
      <c r="L1395" s="412"/>
      <c r="M1395" s="235"/>
      <c r="N1395" s="235"/>
      <c r="O1395" s="206"/>
    </row>
    <row r="1396" spans="12:15">
      <c r="L1396" s="412"/>
      <c r="M1396" s="235"/>
      <c r="N1396" s="235"/>
      <c r="O1396" s="206"/>
    </row>
    <row r="1397" spans="12:15">
      <c r="L1397" s="412"/>
      <c r="M1397" s="235"/>
      <c r="N1397" s="235"/>
      <c r="O1397" s="206"/>
    </row>
    <row r="1398" spans="12:15">
      <c r="L1398" s="412"/>
      <c r="M1398" s="235"/>
      <c r="N1398" s="235"/>
      <c r="O1398" s="206"/>
    </row>
    <row r="1399" spans="12:15">
      <c r="L1399" s="412"/>
      <c r="M1399" s="235"/>
      <c r="N1399" s="235"/>
      <c r="O1399" s="206"/>
    </row>
    <row r="1400" spans="12:15">
      <c r="L1400" s="412"/>
      <c r="M1400" s="235"/>
      <c r="N1400" s="235"/>
      <c r="O1400" s="206"/>
    </row>
    <row r="1401" spans="12:15">
      <c r="L1401" s="412"/>
      <c r="M1401" s="235"/>
      <c r="N1401" s="235"/>
      <c r="O1401" s="206"/>
    </row>
    <row r="1402" spans="12:15">
      <c r="L1402" s="412"/>
      <c r="M1402" s="235"/>
      <c r="N1402" s="235"/>
      <c r="O1402" s="206"/>
    </row>
    <row r="1403" spans="12:15">
      <c r="L1403" s="412"/>
      <c r="M1403" s="235"/>
      <c r="N1403" s="235"/>
      <c r="O1403" s="206"/>
    </row>
    <row r="1404" spans="12:15">
      <c r="L1404" s="412"/>
      <c r="M1404" s="235"/>
      <c r="N1404" s="235"/>
      <c r="O1404" s="206"/>
    </row>
    <row r="1405" spans="12:15">
      <c r="L1405" s="412"/>
      <c r="M1405" s="235"/>
      <c r="N1405" s="235"/>
      <c r="O1405" s="206"/>
    </row>
    <row r="1406" spans="12:15">
      <c r="L1406" s="412"/>
      <c r="M1406" s="235"/>
      <c r="N1406" s="235"/>
      <c r="O1406" s="206"/>
    </row>
    <row r="1407" spans="12:15">
      <c r="L1407" s="412"/>
      <c r="M1407" s="235"/>
      <c r="N1407" s="235"/>
      <c r="O1407" s="206"/>
    </row>
    <row r="1408" spans="12:15">
      <c r="L1408" s="412"/>
      <c r="M1408" s="235"/>
      <c r="N1408" s="235"/>
      <c r="O1408" s="206"/>
    </row>
    <row r="1409" spans="12:15">
      <c r="L1409" s="412"/>
      <c r="M1409" s="235"/>
      <c r="N1409" s="235"/>
      <c r="O1409" s="206"/>
    </row>
    <row r="1410" spans="12:15">
      <c r="L1410" s="412"/>
      <c r="M1410" s="235"/>
      <c r="N1410" s="235"/>
      <c r="O1410" s="206"/>
    </row>
    <row r="1411" spans="12:15">
      <c r="L1411" s="412"/>
      <c r="M1411" s="235"/>
      <c r="N1411" s="235"/>
      <c r="O1411" s="206"/>
    </row>
    <row r="1412" spans="12:15">
      <c r="L1412" s="412"/>
      <c r="M1412" s="235"/>
      <c r="N1412" s="235"/>
      <c r="O1412" s="206"/>
    </row>
    <row r="1413" spans="12:15">
      <c r="L1413" s="412"/>
      <c r="M1413" s="235"/>
      <c r="N1413" s="235"/>
      <c r="O1413" s="206"/>
    </row>
    <row r="1414" spans="12:15">
      <c r="L1414" s="412"/>
      <c r="M1414" s="235"/>
      <c r="N1414" s="235"/>
      <c r="O1414" s="206"/>
    </row>
    <row r="1415" spans="12:15">
      <c r="L1415" s="412"/>
      <c r="M1415" s="235"/>
      <c r="N1415" s="235"/>
      <c r="O1415" s="206"/>
    </row>
    <row r="1416" spans="12:15">
      <c r="L1416" s="412"/>
      <c r="M1416" s="235"/>
      <c r="N1416" s="235"/>
      <c r="O1416" s="206"/>
    </row>
    <row r="1417" spans="12:15">
      <c r="L1417" s="412"/>
      <c r="M1417" s="235"/>
      <c r="N1417" s="235"/>
      <c r="O1417" s="206"/>
    </row>
    <row r="1418" spans="12:15">
      <c r="L1418" s="412"/>
      <c r="M1418" s="235"/>
      <c r="N1418" s="235"/>
      <c r="O1418" s="206"/>
    </row>
    <row r="1419" spans="12:15">
      <c r="L1419" s="412"/>
      <c r="M1419" s="235"/>
      <c r="N1419" s="235"/>
      <c r="O1419" s="206"/>
    </row>
    <row r="1420" spans="12:15">
      <c r="L1420" s="412"/>
      <c r="M1420" s="235"/>
      <c r="N1420" s="235"/>
      <c r="O1420" s="206"/>
    </row>
    <row r="1421" spans="12:15">
      <c r="L1421" s="412"/>
      <c r="M1421" s="235"/>
      <c r="N1421" s="235"/>
      <c r="O1421" s="206"/>
    </row>
    <row r="1422" spans="12:15">
      <c r="L1422" s="412"/>
      <c r="M1422" s="235"/>
      <c r="N1422" s="235"/>
      <c r="O1422" s="206"/>
    </row>
    <row r="1423" spans="12:15">
      <c r="L1423" s="412"/>
      <c r="M1423" s="235"/>
      <c r="N1423" s="235"/>
      <c r="O1423" s="206"/>
    </row>
    <row r="1424" spans="12:15">
      <c r="L1424" s="412"/>
      <c r="M1424" s="235"/>
      <c r="N1424" s="235"/>
      <c r="O1424" s="206"/>
    </row>
    <row r="1425" spans="12:15">
      <c r="L1425" s="412"/>
      <c r="M1425" s="235"/>
      <c r="N1425" s="235"/>
      <c r="O1425" s="206"/>
    </row>
    <row r="1426" spans="12:15">
      <c r="L1426" s="412"/>
      <c r="M1426" s="235"/>
      <c r="N1426" s="235"/>
      <c r="O1426" s="206"/>
    </row>
    <row r="1427" spans="12:15">
      <c r="L1427" s="412"/>
      <c r="M1427" s="235"/>
      <c r="N1427" s="235"/>
      <c r="O1427" s="206"/>
    </row>
    <row r="1428" spans="12:15">
      <c r="L1428" s="412"/>
      <c r="M1428" s="235"/>
      <c r="N1428" s="235"/>
      <c r="O1428" s="206"/>
    </row>
    <row r="1429" spans="12:15">
      <c r="L1429" s="412"/>
      <c r="M1429" s="235"/>
      <c r="N1429" s="235"/>
      <c r="O1429" s="206"/>
    </row>
    <row r="1430" spans="12:15">
      <c r="L1430" s="412"/>
      <c r="M1430" s="235"/>
      <c r="N1430" s="235"/>
      <c r="O1430" s="206"/>
    </row>
    <row r="1431" spans="12:15">
      <c r="L1431" s="412"/>
      <c r="M1431" s="235"/>
      <c r="N1431" s="235"/>
      <c r="O1431" s="206"/>
    </row>
    <row r="1432" spans="12:15">
      <c r="L1432" s="412"/>
      <c r="M1432" s="235"/>
      <c r="N1432" s="235"/>
      <c r="O1432" s="206"/>
    </row>
    <row r="1433" spans="12:15">
      <c r="L1433" s="412"/>
      <c r="M1433" s="235"/>
      <c r="N1433" s="235"/>
      <c r="O1433" s="206"/>
    </row>
    <row r="1434" spans="12:15">
      <c r="L1434" s="412"/>
      <c r="M1434" s="235"/>
      <c r="N1434" s="235"/>
      <c r="O1434" s="206"/>
    </row>
    <row r="1435" spans="12:15">
      <c r="L1435" s="412"/>
      <c r="M1435" s="235"/>
      <c r="N1435" s="235"/>
      <c r="O1435" s="206"/>
    </row>
    <row r="1436" spans="12:15">
      <c r="L1436" s="412"/>
      <c r="M1436" s="235"/>
      <c r="N1436" s="235"/>
      <c r="O1436" s="206"/>
    </row>
    <row r="1437" spans="12:15">
      <c r="L1437" s="412"/>
      <c r="M1437" s="235"/>
      <c r="N1437" s="235"/>
      <c r="O1437" s="206"/>
    </row>
    <row r="1438" spans="12:15">
      <c r="L1438" s="412"/>
      <c r="M1438" s="235"/>
      <c r="N1438" s="235"/>
      <c r="O1438" s="206"/>
    </row>
    <row r="1439" spans="12:15">
      <c r="L1439" s="412"/>
      <c r="M1439" s="235"/>
      <c r="N1439" s="235"/>
      <c r="O1439" s="206"/>
    </row>
    <row r="1440" spans="12:15">
      <c r="L1440" s="412"/>
      <c r="M1440" s="235"/>
      <c r="N1440" s="235"/>
      <c r="O1440" s="206"/>
    </row>
    <row r="1441" spans="12:15">
      <c r="L1441" s="412"/>
      <c r="M1441" s="235"/>
      <c r="N1441" s="235"/>
      <c r="O1441" s="206"/>
    </row>
    <row r="1442" spans="12:15">
      <c r="L1442" s="412"/>
      <c r="M1442" s="235"/>
      <c r="N1442" s="235"/>
      <c r="O1442" s="206"/>
    </row>
    <row r="1443" spans="12:15">
      <c r="L1443" s="412"/>
      <c r="M1443" s="235"/>
      <c r="N1443" s="235"/>
      <c r="O1443" s="206"/>
    </row>
    <row r="1444" spans="12:15">
      <c r="L1444" s="412"/>
      <c r="M1444" s="235"/>
      <c r="N1444" s="235"/>
      <c r="O1444" s="206"/>
    </row>
    <row r="1445" spans="12:15">
      <c r="L1445" s="412"/>
      <c r="M1445" s="235"/>
      <c r="N1445" s="235"/>
      <c r="O1445" s="206"/>
    </row>
    <row r="1446" spans="12:15">
      <c r="L1446" s="412"/>
      <c r="M1446" s="235"/>
      <c r="N1446" s="235"/>
      <c r="O1446" s="206"/>
    </row>
    <row r="1447" spans="12:15">
      <c r="L1447" s="412"/>
      <c r="M1447" s="235"/>
      <c r="N1447" s="235"/>
      <c r="O1447" s="206"/>
    </row>
    <row r="1448" spans="12:15">
      <c r="L1448" s="412"/>
      <c r="M1448" s="235"/>
      <c r="N1448" s="235"/>
      <c r="O1448" s="206"/>
    </row>
    <row r="1449" spans="12:15">
      <c r="L1449" s="412"/>
      <c r="M1449" s="235"/>
      <c r="N1449" s="235"/>
      <c r="O1449" s="206"/>
    </row>
    <row r="1450" spans="12:15">
      <c r="L1450" s="412"/>
      <c r="M1450" s="235"/>
      <c r="N1450" s="235"/>
      <c r="O1450" s="206"/>
    </row>
    <row r="1451" spans="12:15">
      <c r="L1451" s="412"/>
      <c r="M1451" s="235"/>
      <c r="N1451" s="235"/>
      <c r="O1451" s="206"/>
    </row>
    <row r="1452" spans="12:15">
      <c r="L1452" s="412"/>
      <c r="M1452" s="235"/>
      <c r="N1452" s="235"/>
      <c r="O1452" s="206"/>
    </row>
    <row r="1453" spans="12:15">
      <c r="L1453" s="412"/>
      <c r="M1453" s="235"/>
      <c r="N1453" s="235"/>
      <c r="O1453" s="206"/>
    </row>
    <row r="1454" spans="12:15">
      <c r="L1454" s="412"/>
      <c r="M1454" s="235"/>
      <c r="N1454" s="235"/>
      <c r="O1454" s="206"/>
    </row>
    <row r="1455" spans="12:15">
      <c r="L1455" s="412"/>
      <c r="M1455" s="235"/>
      <c r="N1455" s="235"/>
      <c r="O1455" s="206"/>
    </row>
    <row r="1456" spans="12:15">
      <c r="L1456" s="412"/>
      <c r="M1456" s="235"/>
      <c r="N1456" s="235"/>
      <c r="O1456" s="206"/>
    </row>
    <row r="1457" spans="12:15">
      <c r="L1457" s="412"/>
      <c r="M1457" s="235"/>
      <c r="N1457" s="235"/>
      <c r="O1457" s="206"/>
    </row>
    <row r="1458" spans="12:15">
      <c r="L1458" s="412"/>
      <c r="M1458" s="235"/>
      <c r="N1458" s="235"/>
      <c r="O1458" s="206"/>
    </row>
    <row r="1459" spans="12:15">
      <c r="L1459" s="412"/>
      <c r="M1459" s="235"/>
      <c r="N1459" s="235"/>
      <c r="O1459" s="206"/>
    </row>
    <row r="1460" spans="12:15">
      <c r="L1460" s="412"/>
      <c r="M1460" s="235"/>
      <c r="N1460" s="235"/>
      <c r="O1460" s="206"/>
    </row>
    <row r="1461" spans="12:15">
      <c r="L1461" s="412"/>
      <c r="M1461" s="235"/>
      <c r="N1461" s="235"/>
      <c r="O1461" s="206"/>
    </row>
    <row r="1462" spans="12:15">
      <c r="L1462" s="412"/>
      <c r="M1462" s="235"/>
      <c r="N1462" s="235"/>
      <c r="O1462" s="206"/>
    </row>
    <row r="1463" spans="12:15">
      <c r="L1463" s="412"/>
      <c r="M1463" s="235"/>
      <c r="N1463" s="235"/>
      <c r="O1463" s="206"/>
    </row>
    <row r="1464" spans="12:15">
      <c r="L1464" s="412"/>
      <c r="M1464" s="235"/>
      <c r="N1464" s="235"/>
      <c r="O1464" s="206"/>
    </row>
    <row r="1465" spans="12:15">
      <c r="L1465" s="412"/>
      <c r="M1465" s="235"/>
      <c r="N1465" s="235"/>
      <c r="O1465" s="206"/>
    </row>
    <row r="1466" spans="12:15">
      <c r="L1466" s="412"/>
      <c r="M1466" s="235"/>
      <c r="N1466" s="235"/>
      <c r="O1466" s="206"/>
    </row>
    <row r="1467" spans="12:15">
      <c r="L1467" s="412"/>
      <c r="M1467" s="235"/>
      <c r="N1467" s="235"/>
      <c r="O1467" s="206"/>
    </row>
    <row r="1468" spans="12:15">
      <c r="L1468" s="412"/>
      <c r="M1468" s="235"/>
      <c r="N1468" s="235"/>
      <c r="O1468" s="206"/>
    </row>
    <row r="1469" spans="12:15">
      <c r="L1469" s="412"/>
      <c r="M1469" s="235"/>
      <c r="N1469" s="235"/>
      <c r="O1469" s="206"/>
    </row>
    <row r="1470" spans="12:15">
      <c r="L1470" s="412"/>
      <c r="M1470" s="235"/>
      <c r="N1470" s="235"/>
      <c r="O1470" s="206"/>
    </row>
    <row r="1471" spans="12:15">
      <c r="L1471" s="412"/>
      <c r="M1471" s="235"/>
      <c r="N1471" s="235"/>
      <c r="O1471" s="206"/>
    </row>
    <row r="1472" spans="12:15">
      <c r="L1472" s="412"/>
      <c r="M1472" s="235"/>
      <c r="N1472" s="235"/>
      <c r="O1472" s="206"/>
    </row>
    <row r="1473" spans="12:15">
      <c r="L1473" s="412"/>
      <c r="M1473" s="235"/>
      <c r="N1473" s="235"/>
      <c r="O1473" s="206"/>
    </row>
    <row r="1474" spans="12:15">
      <c r="L1474" s="412"/>
      <c r="M1474" s="235"/>
      <c r="N1474" s="235"/>
      <c r="O1474" s="206"/>
    </row>
    <row r="1475" spans="12:15">
      <c r="L1475" s="412"/>
      <c r="M1475" s="235"/>
      <c r="N1475" s="235"/>
      <c r="O1475" s="206"/>
    </row>
    <row r="1476" spans="12:15">
      <c r="L1476" s="412"/>
      <c r="M1476" s="235"/>
      <c r="N1476" s="235"/>
      <c r="O1476" s="206"/>
    </row>
    <row r="1477" spans="12:15">
      <c r="L1477" s="412"/>
      <c r="M1477" s="235"/>
      <c r="N1477" s="235"/>
      <c r="O1477" s="206"/>
    </row>
    <row r="1478" spans="12:15">
      <c r="L1478" s="412"/>
      <c r="M1478" s="235"/>
      <c r="N1478" s="235"/>
      <c r="O1478" s="206"/>
    </row>
    <row r="1479" spans="12:15">
      <c r="L1479" s="412"/>
      <c r="M1479" s="235"/>
      <c r="N1479" s="235"/>
      <c r="O1479" s="206"/>
    </row>
    <row r="1480" spans="12:15">
      <c r="L1480" s="412"/>
      <c r="M1480" s="235"/>
      <c r="N1480" s="235"/>
      <c r="O1480" s="206"/>
    </row>
    <row r="1481" spans="12:15">
      <c r="L1481" s="412"/>
      <c r="M1481" s="235"/>
      <c r="N1481" s="235"/>
      <c r="O1481" s="206"/>
    </row>
    <row r="1482" spans="12:15">
      <c r="L1482" s="412"/>
      <c r="M1482" s="235"/>
      <c r="N1482" s="235"/>
      <c r="O1482" s="206"/>
    </row>
    <row r="1483" spans="12:15">
      <c r="L1483" s="412"/>
      <c r="M1483" s="235"/>
      <c r="N1483" s="235"/>
      <c r="O1483" s="206"/>
    </row>
    <row r="1484" spans="12:15">
      <c r="L1484" s="412"/>
      <c r="M1484" s="235"/>
      <c r="N1484" s="235"/>
      <c r="O1484" s="206"/>
    </row>
    <row r="1485" spans="12:15">
      <c r="L1485" s="412"/>
      <c r="M1485" s="235"/>
      <c r="N1485" s="235"/>
      <c r="O1485" s="206"/>
    </row>
    <row r="1486" spans="12:15">
      <c r="L1486" s="412"/>
      <c r="M1486" s="235"/>
      <c r="N1486" s="235"/>
      <c r="O1486" s="206"/>
    </row>
    <row r="1487" spans="12:15">
      <c r="L1487" s="412"/>
      <c r="M1487" s="235"/>
      <c r="N1487" s="235"/>
      <c r="O1487" s="206"/>
    </row>
    <row r="1488" spans="12:15">
      <c r="L1488" s="412"/>
      <c r="M1488" s="235"/>
      <c r="N1488" s="235"/>
      <c r="O1488" s="206"/>
    </row>
    <row r="1489" spans="12:15">
      <c r="L1489" s="412"/>
      <c r="M1489" s="235"/>
      <c r="N1489" s="235"/>
      <c r="O1489" s="206"/>
    </row>
    <row r="1490" spans="12:15">
      <c r="L1490" s="412"/>
      <c r="M1490" s="235"/>
      <c r="N1490" s="235"/>
      <c r="O1490" s="206"/>
    </row>
    <row r="1491" spans="12:15">
      <c r="L1491" s="412"/>
      <c r="M1491" s="235"/>
      <c r="N1491" s="235"/>
      <c r="O1491" s="206"/>
    </row>
    <row r="1492" spans="12:15">
      <c r="L1492" s="412"/>
      <c r="M1492" s="235"/>
      <c r="N1492" s="235"/>
      <c r="O1492" s="206"/>
    </row>
    <row r="1493" spans="12:15">
      <c r="L1493" s="412"/>
      <c r="M1493" s="235"/>
      <c r="N1493" s="235"/>
      <c r="O1493" s="206"/>
    </row>
    <row r="1494" spans="12:15">
      <c r="L1494" s="412"/>
      <c r="M1494" s="235"/>
      <c r="N1494" s="235"/>
      <c r="O1494" s="206"/>
    </row>
    <row r="1495" spans="12:15">
      <c r="L1495" s="412"/>
      <c r="M1495" s="235"/>
      <c r="N1495" s="235"/>
      <c r="O1495" s="206"/>
    </row>
    <row r="1496" spans="12:15">
      <c r="L1496" s="412"/>
      <c r="M1496" s="235"/>
      <c r="N1496" s="235"/>
      <c r="O1496" s="206"/>
    </row>
    <row r="1497" spans="12:15">
      <c r="L1497" s="412"/>
      <c r="M1497" s="235"/>
      <c r="N1497" s="235"/>
      <c r="O1497" s="206"/>
    </row>
    <row r="1498" spans="12:15">
      <c r="L1498" s="412"/>
      <c r="M1498" s="235"/>
      <c r="N1498" s="235"/>
      <c r="O1498" s="206"/>
    </row>
    <row r="1499" spans="12:15">
      <c r="L1499" s="412"/>
      <c r="M1499" s="235"/>
      <c r="N1499" s="235"/>
      <c r="O1499" s="206"/>
    </row>
    <row r="1500" spans="12:15">
      <c r="L1500" s="412"/>
      <c r="M1500" s="235"/>
      <c r="N1500" s="235"/>
      <c r="O1500" s="206"/>
    </row>
    <row r="1501" spans="12:15">
      <c r="L1501" s="412"/>
      <c r="M1501" s="235"/>
      <c r="N1501" s="235"/>
      <c r="O1501" s="206"/>
    </row>
    <row r="1502" spans="12:15">
      <c r="L1502" s="412"/>
      <c r="M1502" s="235"/>
      <c r="N1502" s="235"/>
      <c r="O1502" s="206"/>
    </row>
    <row r="1503" spans="12:15">
      <c r="L1503" s="412"/>
      <c r="M1503" s="235"/>
      <c r="N1503" s="235"/>
      <c r="O1503" s="206"/>
    </row>
    <row r="1504" spans="12:15">
      <c r="L1504" s="412"/>
      <c r="M1504" s="235"/>
      <c r="N1504" s="235"/>
      <c r="O1504" s="206"/>
    </row>
    <row r="1505" spans="12:15">
      <c r="L1505" s="412"/>
      <c r="M1505" s="235"/>
      <c r="N1505" s="235"/>
      <c r="O1505" s="206"/>
    </row>
    <row r="1506" spans="12:15">
      <c r="L1506" s="412"/>
      <c r="M1506" s="235"/>
      <c r="N1506" s="235"/>
      <c r="O1506" s="206"/>
    </row>
    <row r="1507" spans="12:15">
      <c r="L1507" s="412"/>
      <c r="M1507" s="235"/>
      <c r="N1507" s="235"/>
      <c r="O1507" s="206"/>
    </row>
    <row r="1508" spans="12:15">
      <c r="L1508" s="412"/>
      <c r="M1508" s="235"/>
      <c r="N1508" s="235"/>
      <c r="O1508" s="206"/>
    </row>
    <row r="1509" spans="12:15">
      <c r="L1509" s="412"/>
      <c r="M1509" s="235"/>
      <c r="N1509" s="235"/>
      <c r="O1509" s="206"/>
    </row>
    <row r="1510" spans="12:15">
      <c r="L1510" s="412"/>
      <c r="M1510" s="235"/>
      <c r="N1510" s="235"/>
      <c r="O1510" s="206"/>
    </row>
    <row r="1511" spans="12:15">
      <c r="L1511" s="412"/>
      <c r="M1511" s="235"/>
      <c r="N1511" s="235"/>
      <c r="O1511" s="206"/>
    </row>
    <row r="1512" spans="12:15">
      <c r="L1512" s="412"/>
      <c r="M1512" s="235"/>
      <c r="N1512" s="235"/>
      <c r="O1512" s="206"/>
    </row>
    <row r="1513" spans="12:15">
      <c r="L1513" s="412"/>
      <c r="M1513" s="235"/>
      <c r="N1513" s="235"/>
      <c r="O1513" s="206"/>
    </row>
    <row r="1514" spans="12:15">
      <c r="L1514" s="412"/>
      <c r="M1514" s="235"/>
      <c r="N1514" s="235"/>
      <c r="O1514" s="206"/>
    </row>
    <row r="1515" spans="12:15">
      <c r="L1515" s="412"/>
      <c r="M1515" s="235"/>
      <c r="N1515" s="235"/>
      <c r="O1515" s="206"/>
    </row>
    <row r="1516" spans="12:15">
      <c r="L1516" s="412"/>
      <c r="M1516" s="235"/>
      <c r="N1516" s="235"/>
      <c r="O1516" s="206"/>
    </row>
    <row r="1517" spans="12:15">
      <c r="L1517" s="412"/>
      <c r="M1517" s="235"/>
      <c r="N1517" s="235"/>
      <c r="O1517" s="206"/>
    </row>
    <row r="1518" spans="12:15">
      <c r="L1518" s="412"/>
      <c r="M1518" s="235"/>
      <c r="N1518" s="235"/>
      <c r="O1518" s="206"/>
    </row>
    <row r="1519" spans="12:15">
      <c r="L1519" s="412"/>
      <c r="M1519" s="235"/>
      <c r="N1519" s="235"/>
      <c r="O1519" s="206"/>
    </row>
    <row r="1520" spans="12:15">
      <c r="L1520" s="412"/>
      <c r="M1520" s="235"/>
      <c r="N1520" s="235"/>
      <c r="O1520" s="206"/>
    </row>
    <row r="1521" spans="12:15">
      <c r="L1521" s="412"/>
      <c r="M1521" s="235"/>
      <c r="N1521" s="235"/>
      <c r="O1521" s="206"/>
    </row>
    <row r="1522" spans="12:15">
      <c r="L1522" s="412"/>
      <c r="M1522" s="235"/>
      <c r="N1522" s="235"/>
      <c r="O1522" s="206"/>
    </row>
    <row r="1523" spans="12:15">
      <c r="L1523" s="412"/>
      <c r="M1523" s="235"/>
      <c r="N1523" s="235"/>
      <c r="O1523" s="206"/>
    </row>
    <row r="1524" spans="12:15">
      <c r="L1524" s="412"/>
      <c r="M1524" s="235"/>
      <c r="N1524" s="235"/>
      <c r="O1524" s="206"/>
    </row>
    <row r="1525" spans="12:15">
      <c r="L1525" s="412"/>
      <c r="M1525" s="235"/>
      <c r="N1525" s="235"/>
      <c r="O1525" s="206"/>
    </row>
    <row r="1526" spans="12:15">
      <c r="L1526" s="412"/>
      <c r="M1526" s="235"/>
      <c r="N1526" s="235"/>
      <c r="O1526" s="206"/>
    </row>
    <row r="1527" spans="12:15">
      <c r="L1527" s="412"/>
      <c r="M1527" s="235"/>
      <c r="N1527" s="235"/>
      <c r="O1527" s="206"/>
    </row>
    <row r="1528" spans="12:15">
      <c r="L1528" s="412"/>
      <c r="M1528" s="235"/>
      <c r="N1528" s="235"/>
      <c r="O1528" s="206"/>
    </row>
    <row r="1529" spans="12:15">
      <c r="L1529" s="412"/>
      <c r="M1529" s="235"/>
      <c r="N1529" s="235"/>
      <c r="O1529" s="206"/>
    </row>
    <row r="1530" spans="12:15">
      <c r="L1530" s="412"/>
      <c r="M1530" s="235"/>
      <c r="N1530" s="235"/>
      <c r="O1530" s="206"/>
    </row>
    <row r="1531" spans="12:15">
      <c r="L1531" s="412"/>
      <c r="M1531" s="235"/>
      <c r="N1531" s="235"/>
      <c r="O1531" s="206"/>
    </row>
    <row r="1532" spans="12:15">
      <c r="L1532" s="412"/>
      <c r="M1532" s="235"/>
      <c r="N1532" s="235"/>
      <c r="O1532" s="206"/>
    </row>
    <row r="1533" spans="12:15">
      <c r="L1533" s="412"/>
      <c r="M1533" s="235"/>
      <c r="N1533" s="235"/>
      <c r="O1533" s="206"/>
    </row>
    <row r="1534" spans="12:15">
      <c r="L1534" s="412"/>
      <c r="M1534" s="235"/>
      <c r="N1534" s="235"/>
      <c r="O1534" s="206"/>
    </row>
    <row r="1535" spans="12:15">
      <c r="L1535" s="412"/>
      <c r="M1535" s="235"/>
      <c r="N1535" s="235"/>
      <c r="O1535" s="206"/>
    </row>
    <row r="1536" spans="12:15">
      <c r="L1536" s="412"/>
      <c r="M1536" s="235"/>
      <c r="N1536" s="235"/>
      <c r="O1536" s="206"/>
    </row>
    <row r="1537" spans="12:15">
      <c r="L1537" s="412"/>
      <c r="M1537" s="235"/>
      <c r="N1537" s="235"/>
      <c r="O1537" s="206"/>
    </row>
    <row r="1538" spans="12:15">
      <c r="L1538" s="412"/>
      <c r="M1538" s="235"/>
      <c r="N1538" s="235"/>
      <c r="O1538" s="206"/>
    </row>
    <row r="1539" spans="12:15">
      <c r="L1539" s="412"/>
      <c r="M1539" s="235"/>
      <c r="N1539" s="235"/>
      <c r="O1539" s="206"/>
    </row>
    <row r="1540" spans="12:15">
      <c r="L1540" s="412"/>
      <c r="M1540" s="235"/>
      <c r="N1540" s="235"/>
      <c r="O1540" s="206"/>
    </row>
    <row r="1541" spans="12:15">
      <c r="L1541" s="412"/>
      <c r="M1541" s="235"/>
      <c r="N1541" s="235"/>
      <c r="O1541" s="206"/>
    </row>
    <row r="1542" spans="12:15">
      <c r="L1542" s="412"/>
      <c r="M1542" s="235"/>
      <c r="N1542" s="235"/>
      <c r="O1542" s="206"/>
    </row>
    <row r="1543" spans="12:15">
      <c r="L1543" s="412"/>
      <c r="M1543" s="235"/>
      <c r="N1543" s="235"/>
      <c r="O1543" s="206"/>
    </row>
    <row r="1544" spans="12:15">
      <c r="L1544" s="412"/>
      <c r="M1544" s="235"/>
      <c r="N1544" s="235"/>
      <c r="O1544" s="206"/>
    </row>
    <row r="1545" spans="12:15">
      <c r="L1545" s="412"/>
      <c r="M1545" s="235"/>
      <c r="N1545" s="235"/>
      <c r="O1545" s="206"/>
    </row>
    <row r="1546" spans="12:15">
      <c r="L1546" s="412"/>
      <c r="M1546" s="235"/>
      <c r="N1546" s="235"/>
      <c r="O1546" s="206"/>
    </row>
    <row r="1547" spans="12:15">
      <c r="L1547" s="412"/>
      <c r="M1547" s="235"/>
      <c r="N1547" s="235"/>
      <c r="O1547" s="206"/>
    </row>
    <row r="1548" spans="12:15">
      <c r="L1548" s="412"/>
      <c r="M1548" s="235"/>
      <c r="N1548" s="235"/>
      <c r="O1548" s="206"/>
    </row>
    <row r="1549" spans="12:15">
      <c r="L1549" s="412"/>
      <c r="M1549" s="235"/>
      <c r="N1549" s="235"/>
      <c r="O1549" s="206"/>
    </row>
    <row r="1550" spans="12:15">
      <c r="L1550" s="412"/>
      <c r="M1550" s="235"/>
      <c r="N1550" s="235"/>
      <c r="O1550" s="206"/>
    </row>
    <row r="1551" spans="12:15">
      <c r="L1551" s="412"/>
      <c r="M1551" s="235"/>
      <c r="N1551" s="235"/>
      <c r="O1551" s="206"/>
    </row>
    <row r="1552" spans="12:15">
      <c r="L1552" s="412"/>
      <c r="M1552" s="235"/>
      <c r="N1552" s="235"/>
      <c r="O1552" s="206"/>
    </row>
    <row r="1553" spans="12:15">
      <c r="L1553" s="412"/>
      <c r="M1553" s="235"/>
      <c r="N1553" s="235"/>
      <c r="O1553" s="206"/>
    </row>
    <row r="1554" spans="12:15">
      <c r="L1554" s="412"/>
      <c r="M1554" s="235"/>
      <c r="N1554" s="235"/>
      <c r="O1554" s="206"/>
    </row>
    <row r="1555" spans="12:15">
      <c r="L1555" s="412"/>
      <c r="M1555" s="235"/>
      <c r="N1555" s="235"/>
      <c r="O1555" s="206"/>
    </row>
    <row r="1556" spans="12:15">
      <c r="L1556" s="412"/>
      <c r="M1556" s="235"/>
      <c r="N1556" s="235"/>
      <c r="O1556" s="206"/>
    </row>
    <row r="1557" spans="12:15">
      <c r="L1557" s="412"/>
      <c r="M1557" s="235"/>
      <c r="N1557" s="235"/>
      <c r="O1557" s="206"/>
    </row>
    <row r="1558" spans="12:15">
      <c r="L1558" s="412"/>
      <c r="M1558" s="235"/>
      <c r="N1558" s="235"/>
      <c r="O1558" s="206"/>
    </row>
    <row r="1559" spans="12:15">
      <c r="L1559" s="412"/>
      <c r="M1559" s="235"/>
      <c r="N1559" s="235"/>
      <c r="O1559" s="206"/>
    </row>
    <row r="1560" spans="12:15">
      <c r="L1560" s="412"/>
      <c r="M1560" s="235"/>
      <c r="N1560" s="235"/>
      <c r="O1560" s="206"/>
    </row>
    <row r="1561" spans="12:15">
      <c r="L1561" s="412"/>
      <c r="M1561" s="235"/>
      <c r="N1561" s="235"/>
      <c r="O1561" s="206"/>
    </row>
    <row r="1562" spans="12:15">
      <c r="L1562" s="412"/>
      <c r="M1562" s="235"/>
      <c r="N1562" s="235"/>
      <c r="O1562" s="206"/>
    </row>
    <row r="1563" spans="12:15">
      <c r="L1563" s="412"/>
      <c r="M1563" s="235"/>
      <c r="N1563" s="235"/>
      <c r="O1563" s="206"/>
    </row>
    <row r="1564" spans="12:15">
      <c r="L1564" s="412"/>
      <c r="M1564" s="235"/>
      <c r="N1564" s="235"/>
      <c r="O1564" s="206"/>
    </row>
    <row r="1565" spans="12:15">
      <c r="L1565" s="412"/>
      <c r="M1565" s="235"/>
      <c r="N1565" s="235"/>
      <c r="O1565" s="206"/>
    </row>
    <row r="1566" spans="12:15">
      <c r="L1566" s="412"/>
      <c r="M1566" s="235"/>
      <c r="N1566" s="235"/>
      <c r="O1566" s="206"/>
    </row>
    <row r="1567" spans="12:15">
      <c r="L1567" s="412"/>
      <c r="M1567" s="235"/>
      <c r="N1567" s="235"/>
      <c r="O1567" s="206"/>
    </row>
    <row r="1568" spans="12:15">
      <c r="L1568" s="412"/>
      <c r="M1568" s="235"/>
      <c r="N1568" s="235"/>
      <c r="O1568" s="206"/>
    </row>
    <row r="1569" spans="12:15">
      <c r="L1569" s="412"/>
      <c r="M1569" s="235"/>
      <c r="N1569" s="235"/>
      <c r="O1569" s="206"/>
    </row>
    <row r="1570" spans="12:15">
      <c r="L1570" s="412"/>
      <c r="M1570" s="235"/>
      <c r="N1570" s="235"/>
      <c r="O1570" s="206"/>
    </row>
    <row r="1571" spans="12:15">
      <c r="L1571" s="412"/>
      <c r="M1571" s="235"/>
      <c r="N1571" s="235"/>
      <c r="O1571" s="206"/>
    </row>
    <row r="1572" spans="12:15">
      <c r="L1572" s="412"/>
      <c r="M1572" s="235"/>
      <c r="N1572" s="235"/>
      <c r="O1572" s="206"/>
    </row>
    <row r="1573" spans="12:15">
      <c r="L1573" s="412"/>
      <c r="M1573" s="235"/>
      <c r="N1573" s="235"/>
      <c r="O1573" s="206"/>
    </row>
    <row r="1574" spans="12:15">
      <c r="L1574" s="412"/>
      <c r="M1574" s="235"/>
      <c r="N1574" s="235"/>
      <c r="O1574" s="206"/>
    </row>
    <row r="1575" spans="12:15">
      <c r="L1575" s="412"/>
      <c r="M1575" s="235"/>
      <c r="N1575" s="235"/>
      <c r="O1575" s="206"/>
    </row>
    <row r="1576" spans="12:15">
      <c r="L1576" s="412"/>
      <c r="M1576" s="235"/>
      <c r="N1576" s="235"/>
      <c r="O1576" s="206"/>
    </row>
    <row r="1577" spans="12:15">
      <c r="L1577" s="412"/>
      <c r="M1577" s="235"/>
      <c r="N1577" s="235"/>
      <c r="O1577" s="206"/>
    </row>
    <row r="1578" spans="12:15">
      <c r="L1578" s="412"/>
      <c r="M1578" s="235"/>
      <c r="N1578" s="235"/>
      <c r="O1578" s="206"/>
    </row>
    <row r="1579" spans="12:15">
      <c r="L1579" s="412"/>
      <c r="M1579" s="235"/>
      <c r="N1579" s="235"/>
      <c r="O1579" s="206"/>
    </row>
    <row r="1580" spans="12:15">
      <c r="L1580" s="412"/>
      <c r="M1580" s="235"/>
      <c r="N1580" s="235"/>
      <c r="O1580" s="206"/>
    </row>
    <row r="1581" spans="12:15">
      <c r="L1581" s="412"/>
      <c r="M1581" s="235"/>
      <c r="N1581" s="235"/>
      <c r="O1581" s="206"/>
    </row>
    <row r="1582" spans="12:15">
      <c r="L1582" s="412"/>
      <c r="M1582" s="235"/>
      <c r="N1582" s="235"/>
      <c r="O1582" s="206"/>
    </row>
    <row r="1583" spans="12:15">
      <c r="L1583" s="412"/>
      <c r="M1583" s="235"/>
      <c r="N1583" s="235"/>
      <c r="O1583" s="206"/>
    </row>
    <row r="1584" spans="12:15">
      <c r="L1584" s="412"/>
      <c r="M1584" s="235"/>
      <c r="N1584" s="235"/>
      <c r="O1584" s="206"/>
    </row>
    <row r="1585" spans="12:15">
      <c r="L1585" s="412"/>
      <c r="M1585" s="235"/>
      <c r="N1585" s="235"/>
      <c r="O1585" s="206"/>
    </row>
    <row r="1586" spans="12:15">
      <c r="L1586" s="412"/>
      <c r="M1586" s="235"/>
      <c r="N1586" s="235"/>
      <c r="O1586" s="206"/>
    </row>
    <row r="1587" spans="12:15">
      <c r="L1587" s="412"/>
      <c r="M1587" s="235"/>
      <c r="N1587" s="235"/>
      <c r="O1587" s="206"/>
    </row>
    <row r="1588" spans="12:15">
      <c r="L1588" s="412"/>
      <c r="M1588" s="235"/>
      <c r="N1588" s="235"/>
      <c r="O1588" s="206"/>
    </row>
    <row r="1589" spans="12:15">
      <c r="L1589" s="412"/>
      <c r="M1589" s="235"/>
      <c r="N1589" s="235"/>
      <c r="O1589" s="206"/>
    </row>
    <row r="1590" spans="12:15">
      <c r="L1590" s="412"/>
      <c r="M1590" s="235"/>
      <c r="N1590" s="235"/>
      <c r="O1590" s="206"/>
    </row>
    <row r="1591" spans="12:15">
      <c r="L1591" s="412"/>
      <c r="M1591" s="235"/>
      <c r="N1591" s="235"/>
      <c r="O1591" s="206"/>
    </row>
    <row r="1592" spans="12:15">
      <c r="L1592" s="412"/>
      <c r="M1592" s="235"/>
      <c r="N1592" s="235"/>
      <c r="O1592" s="206"/>
    </row>
    <row r="1593" spans="12:15">
      <c r="L1593" s="412"/>
      <c r="M1593" s="235"/>
      <c r="N1593" s="235"/>
      <c r="O1593" s="206"/>
    </row>
    <row r="1594" spans="12:15">
      <c r="L1594" s="412"/>
      <c r="M1594" s="235"/>
      <c r="N1594" s="235"/>
      <c r="O1594" s="206"/>
    </row>
    <row r="1595" spans="12:15">
      <c r="L1595" s="412"/>
      <c r="M1595" s="235"/>
      <c r="N1595" s="235"/>
      <c r="O1595" s="206"/>
    </row>
    <row r="1596" spans="12:15">
      <c r="L1596" s="412"/>
      <c r="M1596" s="235"/>
      <c r="N1596" s="235"/>
      <c r="O1596" s="206"/>
    </row>
    <row r="1597" spans="12:15">
      <c r="L1597" s="412"/>
      <c r="M1597" s="235"/>
      <c r="N1597" s="235"/>
      <c r="O1597" s="206"/>
    </row>
    <row r="1598" spans="12:15">
      <c r="L1598" s="412"/>
      <c r="M1598" s="235"/>
      <c r="N1598" s="235"/>
      <c r="O1598" s="206"/>
    </row>
    <row r="1599" spans="12:15">
      <c r="L1599" s="412"/>
      <c r="M1599" s="235"/>
      <c r="N1599" s="235"/>
      <c r="O1599" s="206"/>
    </row>
    <row r="1600" spans="12:15">
      <c r="L1600" s="412"/>
      <c r="M1600" s="235"/>
      <c r="N1600" s="235"/>
      <c r="O1600" s="206"/>
    </row>
    <row r="1601" spans="12:15">
      <c r="L1601" s="412"/>
      <c r="M1601" s="235"/>
      <c r="N1601" s="235"/>
      <c r="O1601" s="206"/>
    </row>
    <row r="1602" spans="12:15">
      <c r="L1602" s="412"/>
      <c r="M1602" s="235"/>
      <c r="N1602" s="235"/>
      <c r="O1602" s="206"/>
    </row>
    <row r="1603" spans="12:15">
      <c r="L1603" s="412"/>
      <c r="M1603" s="235"/>
      <c r="N1603" s="235"/>
      <c r="O1603" s="206"/>
    </row>
    <row r="1604" spans="12:15">
      <c r="L1604" s="412"/>
      <c r="M1604" s="235"/>
      <c r="N1604" s="235"/>
      <c r="O1604" s="206"/>
    </row>
    <row r="1605" spans="12:15">
      <c r="L1605" s="412"/>
      <c r="M1605" s="235"/>
      <c r="N1605" s="235"/>
      <c r="O1605" s="206"/>
    </row>
    <row r="1606" spans="12:15">
      <c r="L1606" s="412"/>
      <c r="M1606" s="235"/>
      <c r="N1606" s="235"/>
      <c r="O1606" s="206"/>
    </row>
    <row r="1607" spans="12:15">
      <c r="L1607" s="412"/>
      <c r="M1607" s="235"/>
      <c r="N1607" s="235"/>
      <c r="O1607" s="206"/>
    </row>
    <row r="1608" spans="12:15">
      <c r="L1608" s="412"/>
      <c r="M1608" s="235"/>
      <c r="N1608" s="235"/>
      <c r="O1608" s="206"/>
    </row>
    <row r="1609" spans="12:15">
      <c r="L1609" s="412"/>
      <c r="M1609" s="235"/>
      <c r="N1609" s="235"/>
      <c r="O1609" s="206"/>
    </row>
    <row r="1610" spans="12:15">
      <c r="L1610" s="412"/>
      <c r="M1610" s="235"/>
      <c r="N1610" s="235"/>
      <c r="O1610" s="206"/>
    </row>
    <row r="1611" spans="12:15">
      <c r="L1611" s="412"/>
      <c r="M1611" s="235"/>
      <c r="N1611" s="235"/>
      <c r="O1611" s="206"/>
    </row>
    <row r="1612" spans="12:15">
      <c r="L1612" s="412"/>
      <c r="M1612" s="235"/>
      <c r="N1612" s="235"/>
      <c r="O1612" s="206"/>
    </row>
    <row r="1613" spans="12:15">
      <c r="L1613" s="412"/>
      <c r="M1613" s="235"/>
      <c r="N1613" s="235"/>
      <c r="O1613" s="206"/>
    </row>
    <row r="1614" spans="12:15">
      <c r="L1614" s="412"/>
      <c r="M1614" s="235"/>
      <c r="N1614" s="235"/>
      <c r="O1614" s="206"/>
    </row>
    <row r="1615" spans="12:15">
      <c r="L1615" s="412"/>
      <c r="M1615" s="235"/>
      <c r="N1615" s="235"/>
      <c r="O1615" s="206"/>
    </row>
    <row r="1616" spans="12:15">
      <c r="L1616" s="412"/>
      <c r="M1616" s="235"/>
      <c r="N1616" s="235"/>
      <c r="O1616" s="206"/>
    </row>
    <row r="1617" spans="12:15">
      <c r="L1617" s="412"/>
      <c r="M1617" s="235"/>
      <c r="N1617" s="235"/>
      <c r="O1617" s="206"/>
    </row>
    <row r="1618" spans="12:15">
      <c r="L1618" s="412"/>
      <c r="M1618" s="235"/>
      <c r="N1618" s="235"/>
      <c r="O1618" s="206"/>
    </row>
    <row r="1619" spans="12:15">
      <c r="L1619" s="412"/>
      <c r="M1619" s="235"/>
      <c r="N1619" s="235"/>
      <c r="O1619" s="206"/>
    </row>
    <row r="1620" spans="12:15">
      <c r="L1620" s="412"/>
      <c r="M1620" s="235"/>
      <c r="N1620" s="235"/>
      <c r="O1620" s="206"/>
    </row>
    <row r="1621" spans="12:15">
      <c r="L1621" s="412"/>
      <c r="M1621" s="235"/>
      <c r="N1621" s="235"/>
      <c r="O1621" s="206"/>
    </row>
    <row r="1622" spans="12:15">
      <c r="L1622" s="412"/>
      <c r="M1622" s="235"/>
      <c r="N1622" s="235"/>
      <c r="O1622" s="206"/>
    </row>
    <row r="1623" spans="12:15">
      <c r="L1623" s="412"/>
      <c r="M1623" s="235"/>
      <c r="N1623" s="235"/>
      <c r="O1623" s="206"/>
    </row>
    <row r="1624" spans="12:15">
      <c r="L1624" s="412"/>
      <c r="M1624" s="235"/>
      <c r="N1624" s="235"/>
      <c r="O1624" s="206"/>
    </row>
    <row r="1625" spans="12:15">
      <c r="L1625" s="412"/>
      <c r="M1625" s="235"/>
      <c r="N1625" s="235"/>
      <c r="O1625" s="206"/>
    </row>
    <row r="1626" spans="12:15">
      <c r="L1626" s="412"/>
      <c r="M1626" s="235"/>
      <c r="N1626" s="235"/>
      <c r="O1626" s="206"/>
    </row>
    <row r="1627" spans="12:15">
      <c r="L1627" s="412"/>
      <c r="M1627" s="235"/>
      <c r="N1627" s="235"/>
      <c r="O1627" s="206"/>
    </row>
    <row r="1628" spans="12:15">
      <c r="L1628" s="412"/>
      <c r="M1628" s="235"/>
      <c r="N1628" s="235"/>
      <c r="O1628" s="206"/>
    </row>
    <row r="1629" spans="12:15">
      <c r="L1629" s="412"/>
      <c r="M1629" s="235"/>
      <c r="N1629" s="235"/>
      <c r="O1629" s="206"/>
    </row>
    <row r="1630" spans="12:15">
      <c r="L1630" s="412"/>
      <c r="M1630" s="235"/>
      <c r="N1630" s="235"/>
      <c r="O1630" s="206"/>
    </row>
    <row r="1631" spans="12:15">
      <c r="L1631" s="412"/>
      <c r="M1631" s="235"/>
      <c r="N1631" s="235"/>
      <c r="O1631" s="206"/>
    </row>
    <row r="1632" spans="12:15">
      <c r="L1632" s="412"/>
      <c r="M1632" s="235"/>
      <c r="N1632" s="235"/>
      <c r="O1632" s="206"/>
    </row>
    <row r="1633" spans="12:15">
      <c r="L1633" s="412"/>
      <c r="M1633" s="235"/>
      <c r="N1633" s="235"/>
      <c r="O1633" s="206"/>
    </row>
    <row r="1634" spans="12:15">
      <c r="L1634" s="412"/>
      <c r="M1634" s="235"/>
      <c r="N1634" s="235"/>
      <c r="O1634" s="206"/>
    </row>
    <row r="1635" spans="12:15">
      <c r="L1635" s="412"/>
      <c r="M1635" s="235"/>
      <c r="N1635" s="235"/>
      <c r="O1635" s="206"/>
    </row>
    <row r="1636" spans="12:15">
      <c r="L1636" s="412"/>
      <c r="M1636" s="235"/>
      <c r="N1636" s="235"/>
      <c r="O1636" s="206"/>
    </row>
    <row r="1637" spans="12:15">
      <c r="L1637" s="412"/>
      <c r="M1637" s="235"/>
      <c r="N1637" s="235"/>
      <c r="O1637" s="206"/>
    </row>
    <row r="1638" spans="12:15">
      <c r="L1638" s="412"/>
      <c r="M1638" s="235"/>
      <c r="N1638" s="235"/>
      <c r="O1638" s="206"/>
    </row>
    <row r="1639" spans="12:15">
      <c r="L1639" s="412"/>
      <c r="M1639" s="235"/>
      <c r="N1639" s="235"/>
      <c r="O1639" s="206"/>
    </row>
    <row r="1640" spans="12:15">
      <c r="L1640" s="412"/>
      <c r="M1640" s="235"/>
      <c r="N1640" s="235"/>
      <c r="O1640" s="206"/>
    </row>
    <row r="1641" spans="12:15">
      <c r="L1641" s="412"/>
      <c r="M1641" s="235"/>
      <c r="N1641" s="235"/>
      <c r="O1641" s="206"/>
    </row>
    <row r="1642" spans="12:15">
      <c r="L1642" s="412"/>
      <c r="M1642" s="235"/>
      <c r="N1642" s="235"/>
      <c r="O1642" s="206"/>
    </row>
    <row r="1643" spans="12:15">
      <c r="L1643" s="412"/>
      <c r="M1643" s="235"/>
      <c r="N1643" s="235"/>
      <c r="O1643" s="206"/>
    </row>
    <row r="1644" spans="12:15">
      <c r="L1644" s="412"/>
      <c r="M1644" s="235"/>
      <c r="N1644" s="235"/>
      <c r="O1644" s="206"/>
    </row>
    <row r="1645" spans="12:15">
      <c r="L1645" s="412"/>
      <c r="M1645" s="235"/>
      <c r="N1645" s="235"/>
      <c r="O1645" s="206"/>
    </row>
    <row r="1646" spans="12:15">
      <c r="L1646" s="412"/>
      <c r="M1646" s="235"/>
      <c r="N1646" s="235"/>
      <c r="O1646" s="206"/>
    </row>
    <row r="1647" spans="12:15">
      <c r="L1647" s="412"/>
      <c r="M1647" s="235"/>
      <c r="N1647" s="235"/>
      <c r="O1647" s="206"/>
    </row>
    <row r="1648" spans="12:15">
      <c r="L1648" s="412"/>
      <c r="M1648" s="235"/>
      <c r="N1648" s="235"/>
      <c r="O1648" s="206"/>
    </row>
    <row r="1649" spans="12:15">
      <c r="L1649" s="412"/>
      <c r="M1649" s="235"/>
      <c r="N1649" s="235"/>
      <c r="O1649" s="206"/>
    </row>
    <row r="1650" spans="12:15">
      <c r="L1650" s="412"/>
      <c r="M1650" s="235"/>
      <c r="N1650" s="235"/>
      <c r="O1650" s="206"/>
    </row>
    <row r="1651" spans="12:15">
      <c r="L1651" s="412"/>
      <c r="M1651" s="235"/>
      <c r="N1651" s="235"/>
      <c r="O1651" s="206"/>
    </row>
    <row r="1652" spans="12:15">
      <c r="L1652" s="412"/>
      <c r="M1652" s="235"/>
      <c r="N1652" s="235"/>
      <c r="O1652" s="206"/>
    </row>
    <row r="1653" spans="12:15">
      <c r="L1653" s="412"/>
      <c r="M1653" s="235"/>
      <c r="N1653" s="235"/>
      <c r="O1653" s="206"/>
    </row>
    <row r="1654" spans="12:15">
      <c r="L1654" s="412"/>
      <c r="M1654" s="235"/>
      <c r="N1654" s="235"/>
      <c r="O1654" s="206"/>
    </row>
    <row r="1655" spans="12:15">
      <c r="L1655" s="412"/>
      <c r="M1655" s="235"/>
      <c r="N1655" s="235"/>
      <c r="O1655" s="206"/>
    </row>
    <row r="1656" spans="12:15">
      <c r="L1656" s="412"/>
      <c r="M1656" s="235"/>
      <c r="N1656" s="235"/>
      <c r="O1656" s="206"/>
    </row>
    <row r="1657" spans="12:15">
      <c r="L1657" s="412"/>
      <c r="M1657" s="235"/>
      <c r="N1657" s="235"/>
      <c r="O1657" s="206"/>
    </row>
    <row r="1658" spans="12:15">
      <c r="L1658" s="412"/>
      <c r="M1658" s="235"/>
      <c r="N1658" s="235"/>
      <c r="O1658" s="206"/>
    </row>
    <row r="1659" spans="12:15">
      <c r="L1659" s="412"/>
      <c r="M1659" s="235"/>
      <c r="N1659" s="235"/>
      <c r="O1659" s="206"/>
    </row>
    <row r="1660" spans="12:15">
      <c r="L1660" s="412"/>
      <c r="M1660" s="235"/>
      <c r="N1660" s="235"/>
      <c r="O1660" s="206"/>
    </row>
    <row r="1661" spans="12:15">
      <c r="L1661" s="412"/>
      <c r="M1661" s="235"/>
      <c r="N1661" s="235"/>
      <c r="O1661" s="206"/>
    </row>
    <row r="1662" spans="12:15">
      <c r="L1662" s="412"/>
      <c r="M1662" s="235"/>
      <c r="N1662" s="235"/>
      <c r="O1662" s="206"/>
    </row>
    <row r="1663" spans="12:15">
      <c r="L1663" s="412"/>
      <c r="M1663" s="235"/>
      <c r="N1663" s="235"/>
      <c r="O1663" s="206"/>
    </row>
    <row r="1664" spans="12:15">
      <c r="L1664" s="412"/>
      <c r="M1664" s="235"/>
      <c r="N1664" s="235"/>
      <c r="O1664" s="206"/>
    </row>
    <row r="1665" spans="12:15">
      <c r="L1665" s="412"/>
      <c r="M1665" s="235"/>
      <c r="N1665" s="235"/>
      <c r="O1665" s="206"/>
    </row>
    <row r="1666" spans="12:15">
      <c r="L1666" s="412"/>
      <c r="M1666" s="235"/>
      <c r="N1666" s="235"/>
      <c r="O1666" s="206"/>
    </row>
    <row r="1667" spans="12:15">
      <c r="L1667" s="412"/>
      <c r="M1667" s="235"/>
      <c r="N1667" s="235"/>
      <c r="O1667" s="206"/>
    </row>
    <row r="1668" spans="12:15">
      <c r="L1668" s="412"/>
      <c r="M1668" s="235"/>
      <c r="N1668" s="235"/>
      <c r="O1668" s="206"/>
    </row>
    <row r="1669" spans="12:15">
      <c r="L1669" s="412"/>
      <c r="M1669" s="235"/>
      <c r="N1669" s="235"/>
      <c r="O1669" s="206"/>
    </row>
    <row r="1670" spans="12:15">
      <c r="L1670" s="412"/>
      <c r="M1670" s="235"/>
      <c r="N1670" s="235"/>
      <c r="O1670" s="206"/>
    </row>
    <row r="1671" spans="12:15">
      <c r="L1671" s="412"/>
      <c r="M1671" s="235"/>
      <c r="N1671" s="235"/>
      <c r="O1671" s="206"/>
    </row>
    <row r="1672" spans="12:15">
      <c r="L1672" s="412"/>
      <c r="M1672" s="235"/>
      <c r="N1672" s="235"/>
      <c r="O1672" s="206"/>
    </row>
    <row r="1673" spans="12:15">
      <c r="L1673" s="412"/>
      <c r="M1673" s="235"/>
      <c r="N1673" s="235"/>
      <c r="O1673" s="206"/>
    </row>
    <row r="1674" spans="12:15">
      <c r="L1674" s="412"/>
      <c r="M1674" s="235"/>
      <c r="N1674" s="235"/>
      <c r="O1674" s="206"/>
    </row>
    <row r="1675" spans="12:15">
      <c r="L1675" s="412"/>
      <c r="M1675" s="235"/>
      <c r="N1675" s="235"/>
      <c r="O1675" s="206"/>
    </row>
    <row r="1676" spans="12:15">
      <c r="L1676" s="412"/>
      <c r="M1676" s="235"/>
      <c r="N1676" s="235"/>
      <c r="O1676" s="206"/>
    </row>
    <row r="1677" spans="12:15">
      <c r="L1677" s="412"/>
      <c r="M1677" s="235"/>
      <c r="N1677" s="235"/>
      <c r="O1677" s="206"/>
    </row>
    <row r="1678" spans="12:15">
      <c r="L1678" s="412"/>
      <c r="M1678" s="235"/>
      <c r="N1678" s="235"/>
      <c r="O1678" s="206"/>
    </row>
    <row r="1679" spans="12:15">
      <c r="L1679" s="412"/>
      <c r="M1679" s="235"/>
      <c r="N1679" s="235"/>
      <c r="O1679" s="206"/>
    </row>
    <row r="1680" spans="12:15">
      <c r="L1680" s="412"/>
      <c r="M1680" s="235"/>
      <c r="N1680" s="235"/>
      <c r="O1680" s="206"/>
    </row>
    <row r="1681" spans="12:15">
      <c r="L1681" s="412"/>
      <c r="M1681" s="235"/>
      <c r="N1681" s="235"/>
      <c r="O1681" s="206"/>
    </row>
    <row r="1682" spans="12:15">
      <c r="L1682" s="412"/>
      <c r="M1682" s="235"/>
      <c r="N1682" s="235"/>
      <c r="O1682" s="206"/>
    </row>
    <row r="1683" spans="12:15">
      <c r="L1683" s="412"/>
      <c r="M1683" s="235"/>
      <c r="N1683" s="235"/>
      <c r="O1683" s="206"/>
    </row>
    <row r="1684" spans="12:15">
      <c r="L1684" s="412"/>
      <c r="M1684" s="235"/>
      <c r="N1684" s="235"/>
      <c r="O1684" s="206"/>
    </row>
    <row r="1685" spans="12:15">
      <c r="L1685" s="412"/>
      <c r="M1685" s="235"/>
      <c r="N1685" s="235"/>
      <c r="O1685" s="206"/>
    </row>
    <row r="1686" spans="12:15">
      <c r="L1686" s="412"/>
      <c r="M1686" s="235"/>
      <c r="N1686" s="235"/>
      <c r="O1686" s="206"/>
    </row>
    <row r="1687" spans="12:15">
      <c r="L1687" s="412"/>
      <c r="M1687" s="235"/>
      <c r="N1687" s="235"/>
      <c r="O1687" s="206"/>
    </row>
    <row r="1688" spans="12:15">
      <c r="L1688" s="412"/>
      <c r="M1688" s="235"/>
      <c r="N1688" s="235"/>
      <c r="O1688" s="206"/>
    </row>
    <row r="1689" spans="12:15">
      <c r="L1689" s="412"/>
      <c r="M1689" s="235"/>
      <c r="N1689" s="235"/>
      <c r="O1689" s="206"/>
    </row>
    <row r="1690" spans="12:15">
      <c r="L1690" s="412"/>
      <c r="M1690" s="235"/>
      <c r="N1690" s="235"/>
      <c r="O1690" s="206"/>
    </row>
    <row r="1691" spans="12:15">
      <c r="L1691" s="412"/>
      <c r="M1691" s="235"/>
      <c r="N1691" s="235"/>
      <c r="O1691" s="206"/>
    </row>
    <row r="1692" spans="12:15">
      <c r="L1692" s="412"/>
      <c r="M1692" s="235"/>
      <c r="N1692" s="235"/>
      <c r="O1692" s="206"/>
    </row>
    <row r="1693" spans="12:15">
      <c r="L1693" s="412"/>
      <c r="M1693" s="235"/>
      <c r="N1693" s="235"/>
      <c r="O1693" s="206"/>
    </row>
    <row r="1694" spans="12:15">
      <c r="L1694" s="412"/>
      <c r="M1694" s="235"/>
      <c r="N1694" s="235"/>
      <c r="O1694" s="206"/>
    </row>
    <row r="1695" spans="12:15">
      <c r="L1695" s="412"/>
      <c r="M1695" s="235"/>
      <c r="N1695" s="235"/>
      <c r="O1695" s="206"/>
    </row>
    <row r="1696" spans="12:15">
      <c r="L1696" s="412"/>
      <c r="M1696" s="235"/>
      <c r="N1696" s="235"/>
      <c r="O1696" s="206"/>
    </row>
    <row r="1697" spans="12:15">
      <c r="L1697" s="412"/>
      <c r="M1697" s="235"/>
      <c r="N1697" s="235"/>
      <c r="O1697" s="206"/>
    </row>
    <row r="1698" spans="12:15">
      <c r="L1698" s="412"/>
      <c r="M1698" s="235"/>
      <c r="N1698" s="235"/>
      <c r="O1698" s="206"/>
    </row>
    <row r="1699" spans="12:15">
      <c r="L1699" s="412"/>
      <c r="M1699" s="235"/>
      <c r="N1699" s="235"/>
      <c r="O1699" s="206"/>
    </row>
    <row r="1700" spans="12:15">
      <c r="L1700" s="412"/>
      <c r="M1700" s="235"/>
      <c r="N1700" s="235"/>
      <c r="O1700" s="206"/>
    </row>
    <row r="1701" spans="12:15">
      <c r="L1701" s="412"/>
      <c r="M1701" s="235"/>
      <c r="N1701" s="235"/>
      <c r="O1701" s="206"/>
    </row>
    <row r="1702" spans="12:15">
      <c r="L1702" s="412"/>
      <c r="M1702" s="235"/>
      <c r="N1702" s="235"/>
      <c r="O1702" s="206"/>
    </row>
    <row r="1703" spans="12:15">
      <c r="L1703" s="412"/>
      <c r="M1703" s="235"/>
      <c r="N1703" s="235"/>
      <c r="O1703" s="206"/>
    </row>
    <row r="1704" spans="12:15">
      <c r="L1704" s="412"/>
      <c r="M1704" s="235"/>
      <c r="N1704" s="235"/>
      <c r="O1704" s="206"/>
    </row>
    <row r="1705" spans="12:15">
      <c r="L1705" s="412"/>
      <c r="M1705" s="235"/>
      <c r="N1705" s="235"/>
      <c r="O1705" s="206"/>
    </row>
    <row r="1706" spans="12:15">
      <c r="L1706" s="412"/>
      <c r="M1706" s="235"/>
      <c r="N1706" s="235"/>
      <c r="O1706" s="206"/>
    </row>
    <row r="1707" spans="12:15">
      <c r="L1707" s="412"/>
      <c r="M1707" s="235"/>
      <c r="N1707" s="235"/>
      <c r="O1707" s="206"/>
    </row>
    <row r="1708" spans="12:15">
      <c r="L1708" s="412"/>
      <c r="M1708" s="235"/>
      <c r="N1708" s="235"/>
      <c r="O1708" s="206"/>
    </row>
    <row r="1709" spans="12:15">
      <c r="L1709" s="412"/>
      <c r="M1709" s="235"/>
      <c r="N1709" s="235"/>
      <c r="O1709" s="206"/>
    </row>
    <row r="1710" spans="12:15">
      <c r="L1710" s="412"/>
      <c r="M1710" s="235"/>
      <c r="N1710" s="235"/>
      <c r="O1710" s="206"/>
    </row>
    <row r="1711" spans="12:15">
      <c r="L1711" s="412"/>
      <c r="M1711" s="235"/>
      <c r="N1711" s="235"/>
      <c r="O1711" s="206"/>
    </row>
    <row r="1712" spans="12:15">
      <c r="L1712" s="412"/>
      <c r="M1712" s="235"/>
      <c r="N1712" s="235"/>
      <c r="O1712" s="206"/>
    </row>
    <row r="1713" spans="12:15">
      <c r="L1713" s="412"/>
      <c r="M1713" s="235"/>
      <c r="N1713" s="235"/>
      <c r="O1713" s="206"/>
    </row>
    <row r="1714" spans="12:15">
      <c r="L1714" s="412"/>
      <c r="M1714" s="235"/>
      <c r="N1714" s="235"/>
      <c r="O1714" s="206"/>
    </row>
    <row r="1715" spans="12:15">
      <c r="L1715" s="412"/>
      <c r="M1715" s="235"/>
      <c r="N1715" s="235"/>
      <c r="O1715" s="206"/>
    </row>
    <row r="1716" spans="12:15">
      <c r="L1716" s="412"/>
      <c r="M1716" s="235"/>
      <c r="N1716" s="235"/>
      <c r="O1716" s="206"/>
    </row>
    <row r="1717" spans="12:15">
      <c r="L1717" s="412"/>
      <c r="M1717" s="235"/>
      <c r="N1717" s="235"/>
      <c r="O1717" s="206"/>
    </row>
    <row r="1718" spans="12:15">
      <c r="L1718" s="412"/>
      <c r="M1718" s="235"/>
      <c r="N1718" s="235"/>
      <c r="O1718" s="206"/>
    </row>
    <row r="1719" spans="12:15">
      <c r="L1719" s="412"/>
      <c r="M1719" s="235"/>
      <c r="N1719" s="235"/>
      <c r="O1719" s="206"/>
    </row>
    <row r="1720" spans="12:15">
      <c r="L1720" s="412"/>
      <c r="M1720" s="235"/>
      <c r="N1720" s="235"/>
      <c r="O1720" s="206"/>
    </row>
    <row r="1721" spans="12:15">
      <c r="L1721" s="412"/>
      <c r="M1721" s="235"/>
      <c r="N1721" s="235"/>
      <c r="O1721" s="206"/>
    </row>
    <row r="1722" spans="12:15">
      <c r="L1722" s="412"/>
      <c r="M1722" s="235"/>
      <c r="N1722" s="235"/>
      <c r="O1722" s="206"/>
    </row>
    <row r="1723" spans="12:15">
      <c r="L1723" s="412"/>
      <c r="M1723" s="235"/>
      <c r="N1723" s="235"/>
      <c r="O1723" s="206"/>
    </row>
    <row r="1724" spans="12:15">
      <c r="L1724" s="412"/>
      <c r="M1724" s="235"/>
      <c r="N1724" s="235"/>
      <c r="O1724" s="206"/>
    </row>
    <row r="1725" spans="12:15">
      <c r="L1725" s="412"/>
      <c r="M1725" s="235"/>
      <c r="N1725" s="235"/>
      <c r="O1725" s="206"/>
    </row>
    <row r="1726" spans="12:15">
      <c r="L1726" s="412"/>
      <c r="M1726" s="235"/>
      <c r="N1726" s="235"/>
      <c r="O1726" s="206"/>
    </row>
    <row r="1727" spans="12:15">
      <c r="L1727" s="412"/>
      <c r="M1727" s="235"/>
      <c r="N1727" s="235"/>
      <c r="O1727" s="206"/>
    </row>
    <row r="1728" spans="12:15">
      <c r="L1728" s="412"/>
      <c r="M1728" s="235"/>
      <c r="N1728" s="235"/>
      <c r="O1728" s="206"/>
    </row>
    <row r="1729" spans="12:15">
      <c r="L1729" s="412"/>
      <c r="M1729" s="235"/>
      <c r="N1729" s="235"/>
      <c r="O1729" s="206"/>
    </row>
    <row r="1730" spans="12:15">
      <c r="L1730" s="412"/>
      <c r="M1730" s="235"/>
      <c r="N1730" s="235"/>
      <c r="O1730" s="206"/>
    </row>
    <row r="1731" spans="12:15">
      <c r="L1731" s="412"/>
      <c r="M1731" s="235"/>
      <c r="N1731" s="235"/>
      <c r="O1731" s="206"/>
    </row>
    <row r="1732" spans="12:15">
      <c r="L1732" s="412"/>
      <c r="M1732" s="235"/>
      <c r="N1732" s="235"/>
      <c r="O1732" s="206"/>
    </row>
    <row r="1733" spans="12:15">
      <c r="L1733" s="412"/>
      <c r="M1733" s="235"/>
      <c r="N1733" s="235"/>
      <c r="O1733" s="206"/>
    </row>
    <row r="1734" spans="12:15">
      <c r="L1734" s="412"/>
      <c r="M1734" s="235"/>
      <c r="N1734" s="235"/>
      <c r="O1734" s="206"/>
    </row>
    <row r="1735" spans="12:15">
      <c r="L1735" s="412"/>
      <c r="M1735" s="235"/>
      <c r="N1735" s="235"/>
      <c r="O1735" s="206"/>
    </row>
    <row r="1736" spans="12:15">
      <c r="L1736" s="412"/>
      <c r="M1736" s="235"/>
      <c r="N1736" s="235"/>
      <c r="O1736" s="206"/>
    </row>
    <row r="1737" spans="12:15">
      <c r="L1737" s="412"/>
      <c r="M1737" s="235"/>
      <c r="N1737" s="235"/>
      <c r="O1737" s="206"/>
    </row>
    <row r="1738" spans="12:15">
      <c r="L1738" s="412"/>
      <c r="M1738" s="235"/>
      <c r="N1738" s="235"/>
      <c r="O1738" s="206"/>
    </row>
    <row r="1739" spans="12:15">
      <c r="L1739" s="412"/>
      <c r="M1739" s="235"/>
      <c r="N1739" s="235"/>
      <c r="O1739" s="206"/>
    </row>
    <row r="1740" spans="12:15">
      <c r="L1740" s="412"/>
      <c r="M1740" s="235"/>
      <c r="N1740" s="235"/>
      <c r="O1740" s="206"/>
    </row>
    <row r="1741" spans="12:15">
      <c r="L1741" s="412"/>
      <c r="M1741" s="235"/>
      <c r="N1741" s="235"/>
      <c r="O1741" s="206"/>
    </row>
    <row r="1742" spans="12:15">
      <c r="L1742" s="412"/>
      <c r="M1742" s="235"/>
      <c r="N1742" s="235"/>
      <c r="O1742" s="206"/>
    </row>
    <row r="1743" spans="12:15">
      <c r="L1743" s="412"/>
      <c r="M1743" s="235"/>
      <c r="N1743" s="235"/>
      <c r="O1743" s="206"/>
    </row>
    <row r="1744" spans="12:15">
      <c r="L1744" s="412"/>
      <c r="M1744" s="235"/>
      <c r="N1744" s="235"/>
      <c r="O1744" s="206"/>
    </row>
    <row r="1745" spans="12:15">
      <c r="L1745" s="412"/>
      <c r="M1745" s="235"/>
      <c r="N1745" s="235"/>
      <c r="O1745" s="206"/>
    </row>
    <row r="1746" spans="12:15">
      <c r="L1746" s="412"/>
      <c r="M1746" s="235"/>
      <c r="N1746" s="235"/>
      <c r="O1746" s="206"/>
    </row>
    <row r="1747" spans="12:15">
      <c r="L1747" s="412"/>
      <c r="M1747" s="235"/>
      <c r="N1747" s="235"/>
      <c r="O1747" s="206"/>
    </row>
    <row r="1748" spans="12:15">
      <c r="L1748" s="412"/>
      <c r="M1748" s="235"/>
      <c r="N1748" s="235"/>
      <c r="O1748" s="206"/>
    </row>
    <row r="1749" spans="12:15">
      <c r="L1749" s="412"/>
      <c r="M1749" s="235"/>
      <c r="N1749" s="235"/>
      <c r="O1749" s="206"/>
    </row>
    <row r="1750" spans="12:15">
      <c r="L1750" s="412"/>
      <c r="M1750" s="235"/>
      <c r="N1750" s="235"/>
      <c r="O1750" s="206"/>
    </row>
    <row r="1751" spans="12:15">
      <c r="L1751" s="412"/>
      <c r="M1751" s="235"/>
      <c r="N1751" s="235"/>
      <c r="O1751" s="206"/>
    </row>
    <row r="1752" spans="12:15">
      <c r="L1752" s="412"/>
      <c r="M1752" s="235"/>
      <c r="N1752" s="235"/>
      <c r="O1752" s="206"/>
    </row>
    <row r="1753" spans="12:15">
      <c r="L1753" s="412"/>
      <c r="M1753" s="235"/>
      <c r="N1753" s="235"/>
      <c r="O1753" s="206"/>
    </row>
    <row r="1754" spans="12:15">
      <c r="L1754" s="412"/>
      <c r="M1754" s="235"/>
      <c r="N1754" s="235"/>
      <c r="O1754" s="206"/>
    </row>
    <row r="1755" spans="12:15">
      <c r="L1755" s="412"/>
      <c r="M1755" s="235"/>
      <c r="N1755" s="235"/>
      <c r="O1755" s="206"/>
    </row>
    <row r="1756" spans="12:15">
      <c r="L1756" s="412"/>
      <c r="M1756" s="235"/>
      <c r="N1756" s="235"/>
      <c r="O1756" s="206"/>
    </row>
    <row r="1757" spans="12:15">
      <c r="L1757" s="412"/>
      <c r="M1757" s="235"/>
      <c r="N1757" s="235"/>
      <c r="O1757" s="206"/>
    </row>
    <row r="1758" spans="12:15">
      <c r="L1758" s="412"/>
      <c r="M1758" s="235"/>
      <c r="N1758" s="235"/>
      <c r="O1758" s="206"/>
    </row>
    <row r="1759" spans="12:15">
      <c r="L1759" s="412"/>
      <c r="M1759" s="235"/>
      <c r="N1759" s="235"/>
      <c r="O1759" s="206"/>
    </row>
    <row r="1760" spans="12:15">
      <c r="L1760" s="412"/>
      <c r="M1760" s="235"/>
      <c r="N1760" s="235"/>
      <c r="O1760" s="206"/>
    </row>
    <row r="1761" spans="12:15">
      <c r="L1761" s="412"/>
      <c r="M1761" s="235"/>
      <c r="N1761" s="235"/>
      <c r="O1761" s="206"/>
    </row>
    <row r="1762" spans="12:15">
      <c r="L1762" s="412"/>
      <c r="M1762" s="235"/>
      <c r="N1762" s="235"/>
      <c r="O1762" s="206"/>
    </row>
    <row r="1763" spans="12:15">
      <c r="L1763" s="412"/>
      <c r="M1763" s="235"/>
      <c r="N1763" s="235"/>
      <c r="O1763" s="206"/>
    </row>
    <row r="1764" spans="12:15">
      <c r="L1764" s="412"/>
      <c r="M1764" s="235"/>
      <c r="N1764" s="235"/>
      <c r="O1764" s="206"/>
    </row>
    <row r="1765" spans="12:15">
      <c r="L1765" s="412"/>
      <c r="M1765" s="235"/>
      <c r="N1765" s="235"/>
      <c r="O1765" s="206"/>
    </row>
    <row r="1766" spans="12:15">
      <c r="L1766" s="412"/>
      <c r="M1766" s="235"/>
      <c r="N1766" s="235"/>
      <c r="O1766" s="206"/>
    </row>
    <row r="1767" spans="12:15">
      <c r="L1767" s="412"/>
      <c r="M1767" s="235"/>
      <c r="N1767" s="235"/>
      <c r="O1767" s="206"/>
    </row>
    <row r="1768" spans="12:15">
      <c r="L1768" s="412"/>
      <c r="M1768" s="235"/>
      <c r="N1768" s="235"/>
      <c r="O1768" s="206"/>
    </row>
    <row r="1769" spans="12:15">
      <c r="L1769" s="412"/>
      <c r="M1769" s="235"/>
      <c r="N1769" s="235"/>
      <c r="O1769" s="206"/>
    </row>
    <row r="1770" spans="12:15">
      <c r="L1770" s="412"/>
      <c r="M1770" s="235"/>
      <c r="N1770" s="235"/>
      <c r="O1770" s="206"/>
    </row>
    <row r="1771" spans="12:15">
      <c r="L1771" s="412"/>
      <c r="M1771" s="235"/>
      <c r="N1771" s="235"/>
      <c r="O1771" s="206"/>
    </row>
    <row r="1772" spans="12:15">
      <c r="L1772" s="412"/>
      <c r="M1772" s="235"/>
      <c r="N1772" s="235"/>
      <c r="O1772" s="206"/>
    </row>
    <row r="1773" spans="12:15">
      <c r="L1773" s="412"/>
      <c r="M1773" s="235"/>
      <c r="N1773" s="235"/>
      <c r="O1773" s="206"/>
    </row>
    <row r="1774" spans="12:15">
      <c r="L1774" s="412"/>
      <c r="M1774" s="235"/>
      <c r="N1774" s="235"/>
      <c r="O1774" s="206"/>
    </row>
    <row r="1775" spans="12:15">
      <c r="L1775" s="412"/>
      <c r="M1775" s="235"/>
      <c r="N1775" s="235"/>
      <c r="O1775" s="206"/>
    </row>
    <row r="1776" spans="12:15">
      <c r="L1776" s="412"/>
      <c r="M1776" s="235"/>
      <c r="N1776" s="235"/>
      <c r="O1776" s="206"/>
    </row>
    <row r="1777" spans="12:15">
      <c r="L1777" s="412"/>
      <c r="M1777" s="235"/>
      <c r="N1777" s="235"/>
      <c r="O1777" s="206"/>
    </row>
    <row r="1778" spans="12:15">
      <c r="L1778" s="412"/>
      <c r="M1778" s="235"/>
      <c r="N1778" s="235"/>
      <c r="O1778" s="206"/>
    </row>
    <row r="1779" spans="12:15">
      <c r="L1779" s="412"/>
      <c r="M1779" s="235"/>
      <c r="N1779" s="235"/>
      <c r="O1779" s="206"/>
    </row>
    <row r="1780" spans="12:15">
      <c r="L1780" s="412"/>
      <c r="M1780" s="235"/>
      <c r="N1780" s="235"/>
      <c r="O1780" s="206"/>
    </row>
    <row r="1781" spans="12:15">
      <c r="L1781" s="412"/>
      <c r="M1781" s="235"/>
      <c r="N1781" s="235"/>
      <c r="O1781" s="206"/>
    </row>
    <row r="1782" spans="12:15">
      <c r="L1782" s="412"/>
      <c r="M1782" s="235"/>
      <c r="N1782" s="235"/>
      <c r="O1782" s="206"/>
    </row>
    <row r="1783" spans="12:15">
      <c r="L1783" s="412"/>
      <c r="M1783" s="235"/>
      <c r="N1783" s="235"/>
      <c r="O1783" s="206"/>
    </row>
    <row r="1784" spans="12:15">
      <c r="L1784" s="412"/>
      <c r="M1784" s="235"/>
      <c r="N1784" s="235"/>
      <c r="O1784" s="206"/>
    </row>
    <row r="1785" spans="12:15">
      <c r="L1785" s="412"/>
      <c r="M1785" s="235"/>
      <c r="N1785" s="235"/>
      <c r="O1785" s="206"/>
    </row>
    <row r="1786" spans="12:15">
      <c r="L1786" s="412"/>
      <c r="M1786" s="235"/>
      <c r="N1786" s="235"/>
      <c r="O1786" s="206"/>
    </row>
    <row r="1787" spans="12:15">
      <c r="L1787" s="412"/>
      <c r="M1787" s="235"/>
      <c r="N1787" s="235"/>
      <c r="O1787" s="206"/>
    </row>
    <row r="1788" spans="12:15">
      <c r="L1788" s="412"/>
      <c r="M1788" s="235"/>
      <c r="N1788" s="235"/>
      <c r="O1788" s="206"/>
    </row>
    <row r="1789" spans="12:15">
      <c r="L1789" s="412"/>
      <c r="M1789" s="235"/>
      <c r="N1789" s="235"/>
      <c r="O1789" s="206"/>
    </row>
    <row r="1790" spans="12:15">
      <c r="L1790" s="412"/>
      <c r="M1790" s="235"/>
      <c r="N1790" s="235"/>
      <c r="O1790" s="206"/>
    </row>
    <row r="1791" spans="12:15">
      <c r="L1791" s="412"/>
      <c r="M1791" s="235"/>
      <c r="N1791" s="235"/>
      <c r="O1791" s="206"/>
    </row>
    <row r="1792" spans="12:15">
      <c r="L1792" s="412"/>
      <c r="M1792" s="235"/>
      <c r="N1792" s="235"/>
      <c r="O1792" s="206"/>
    </row>
    <row r="1793" spans="12:15">
      <c r="L1793" s="412"/>
      <c r="M1793" s="235"/>
      <c r="N1793" s="235"/>
      <c r="O1793" s="206"/>
    </row>
    <row r="1794" spans="12:15">
      <c r="L1794" s="412"/>
      <c r="M1794" s="235"/>
      <c r="N1794" s="235"/>
      <c r="O1794" s="206"/>
    </row>
    <row r="1795" spans="12:15">
      <c r="L1795" s="412"/>
      <c r="M1795" s="235"/>
      <c r="N1795" s="235"/>
      <c r="O1795" s="206"/>
    </row>
    <row r="1796" spans="12:15">
      <c r="L1796" s="412"/>
      <c r="M1796" s="235"/>
      <c r="N1796" s="235"/>
      <c r="O1796" s="206"/>
    </row>
    <row r="1797" spans="12:15">
      <c r="L1797" s="412"/>
      <c r="M1797" s="235"/>
      <c r="N1797" s="235"/>
      <c r="O1797" s="206"/>
    </row>
    <row r="1798" spans="12:15">
      <c r="L1798" s="412"/>
      <c r="M1798" s="235"/>
      <c r="N1798" s="235"/>
      <c r="O1798" s="206"/>
    </row>
    <row r="1799" spans="12:15">
      <c r="L1799" s="412"/>
      <c r="M1799" s="235"/>
      <c r="N1799" s="235"/>
      <c r="O1799" s="206"/>
    </row>
    <row r="1800" spans="12:15">
      <c r="L1800" s="412"/>
      <c r="M1800" s="235"/>
      <c r="N1800" s="235"/>
      <c r="O1800" s="206"/>
    </row>
    <row r="1801" spans="12:15">
      <c r="L1801" s="412"/>
      <c r="M1801" s="235"/>
      <c r="N1801" s="235"/>
      <c r="O1801" s="206"/>
    </row>
    <row r="1802" spans="12:15">
      <c r="L1802" s="412"/>
      <c r="M1802" s="235"/>
      <c r="N1802" s="235"/>
      <c r="O1802" s="206"/>
    </row>
    <row r="1803" spans="12:15">
      <c r="L1803" s="412"/>
      <c r="M1803" s="235"/>
      <c r="N1803" s="235"/>
      <c r="O1803" s="206"/>
    </row>
    <row r="1804" spans="12:15">
      <c r="L1804" s="412"/>
      <c r="M1804" s="235"/>
      <c r="N1804" s="235"/>
      <c r="O1804" s="206"/>
    </row>
    <row r="1805" spans="12:15">
      <c r="L1805" s="412"/>
      <c r="M1805" s="235"/>
      <c r="N1805" s="235"/>
      <c r="O1805" s="206"/>
    </row>
    <row r="1806" spans="12:15">
      <c r="L1806" s="412"/>
      <c r="M1806" s="235"/>
      <c r="N1806" s="235"/>
      <c r="O1806" s="206"/>
    </row>
    <row r="1807" spans="12:15">
      <c r="L1807" s="412"/>
      <c r="M1807" s="235"/>
      <c r="N1807" s="235"/>
      <c r="O1807" s="206"/>
    </row>
    <row r="1808" spans="12:15">
      <c r="L1808" s="412"/>
      <c r="M1808" s="235"/>
      <c r="N1808" s="235"/>
      <c r="O1808" s="206"/>
    </row>
    <row r="1809" spans="12:15">
      <c r="L1809" s="412"/>
      <c r="M1809" s="235"/>
      <c r="N1809" s="235"/>
      <c r="O1809" s="206"/>
    </row>
    <row r="1810" spans="12:15">
      <c r="L1810" s="412"/>
      <c r="M1810" s="235"/>
      <c r="N1810" s="235"/>
      <c r="O1810" s="206"/>
    </row>
    <row r="1811" spans="12:15">
      <c r="L1811" s="412"/>
      <c r="M1811" s="235"/>
      <c r="N1811" s="235"/>
      <c r="O1811" s="206"/>
    </row>
    <row r="1812" spans="12:15">
      <c r="L1812" s="412"/>
      <c r="M1812" s="235"/>
      <c r="N1812" s="235"/>
      <c r="O1812" s="206"/>
    </row>
    <row r="1813" spans="12:15">
      <c r="L1813" s="412"/>
      <c r="M1813" s="235"/>
      <c r="N1813" s="235"/>
      <c r="O1813" s="206"/>
    </row>
    <row r="1814" spans="12:15">
      <c r="L1814" s="412"/>
      <c r="M1814" s="235"/>
      <c r="N1814" s="235"/>
      <c r="O1814" s="206"/>
    </row>
    <row r="1815" spans="12:15">
      <c r="L1815" s="412"/>
      <c r="M1815" s="235"/>
      <c r="N1815" s="235"/>
      <c r="O1815" s="206"/>
    </row>
    <row r="1816" spans="12:15">
      <c r="L1816" s="412"/>
      <c r="M1816" s="235"/>
      <c r="N1816" s="235"/>
      <c r="O1816" s="206"/>
    </row>
    <row r="1817" spans="12:15">
      <c r="L1817" s="412"/>
      <c r="M1817" s="235"/>
      <c r="N1817" s="235"/>
      <c r="O1817" s="206"/>
    </row>
    <row r="1818" spans="12:15">
      <c r="L1818" s="412"/>
      <c r="M1818" s="235"/>
      <c r="N1818" s="235"/>
      <c r="O1818" s="206"/>
    </row>
    <row r="1819" spans="12:15">
      <c r="L1819" s="412"/>
      <c r="M1819" s="235"/>
      <c r="N1819" s="235"/>
      <c r="O1819" s="206"/>
    </row>
    <row r="1820" spans="12:15">
      <c r="L1820" s="412"/>
      <c r="M1820" s="235"/>
      <c r="N1820" s="235"/>
      <c r="O1820" s="206"/>
    </row>
    <row r="1821" spans="12:15">
      <c r="L1821" s="412"/>
      <c r="M1821" s="235"/>
      <c r="N1821" s="235"/>
      <c r="O1821" s="206"/>
    </row>
    <row r="1822" spans="12:15">
      <c r="L1822" s="412"/>
      <c r="M1822" s="235"/>
      <c r="N1822" s="235"/>
      <c r="O1822" s="206"/>
    </row>
    <row r="1823" spans="12:15">
      <c r="L1823" s="412"/>
      <c r="M1823" s="235"/>
      <c r="N1823" s="235"/>
      <c r="O1823" s="206"/>
    </row>
    <row r="1824" spans="12:15">
      <c r="L1824" s="412"/>
      <c r="M1824" s="235"/>
      <c r="N1824" s="235"/>
      <c r="O1824" s="206"/>
    </row>
    <row r="1825" spans="12:15">
      <c r="L1825" s="412"/>
      <c r="M1825" s="235"/>
      <c r="N1825" s="235"/>
      <c r="O1825" s="206"/>
    </row>
    <row r="1826" spans="12:15">
      <c r="L1826" s="412"/>
      <c r="M1826" s="235"/>
      <c r="N1826" s="235"/>
      <c r="O1826" s="206"/>
    </row>
    <row r="1827" spans="12:15">
      <c r="L1827" s="412"/>
      <c r="M1827" s="235"/>
      <c r="N1827" s="235"/>
      <c r="O1827" s="206"/>
    </row>
    <row r="1828" spans="12:15">
      <c r="L1828" s="412"/>
      <c r="M1828" s="235"/>
      <c r="N1828" s="235"/>
      <c r="O1828" s="206"/>
    </row>
    <row r="1829" spans="12:15">
      <c r="L1829" s="412"/>
      <c r="M1829" s="235"/>
      <c r="N1829" s="235"/>
      <c r="O1829" s="206"/>
    </row>
    <row r="1830" spans="12:15">
      <c r="L1830" s="412"/>
      <c r="M1830" s="235"/>
      <c r="N1830" s="235"/>
      <c r="O1830" s="206"/>
    </row>
    <row r="1831" spans="12:15">
      <c r="L1831" s="412"/>
      <c r="M1831" s="235"/>
      <c r="N1831" s="235"/>
      <c r="O1831" s="206"/>
    </row>
    <row r="1832" spans="12:15">
      <c r="L1832" s="412"/>
      <c r="M1832" s="235"/>
      <c r="N1832" s="235"/>
      <c r="O1832" s="206"/>
    </row>
    <row r="1833" spans="12:15">
      <c r="L1833" s="412"/>
      <c r="M1833" s="235"/>
      <c r="N1833" s="235"/>
      <c r="O1833" s="206"/>
    </row>
    <row r="1834" spans="12:15">
      <c r="L1834" s="412"/>
      <c r="M1834" s="235"/>
      <c r="N1834" s="235"/>
      <c r="O1834" s="206"/>
    </row>
    <row r="1835" spans="12:15">
      <c r="L1835" s="412"/>
      <c r="M1835" s="235"/>
      <c r="N1835" s="235"/>
      <c r="O1835" s="206"/>
    </row>
    <row r="1836" spans="12:15">
      <c r="L1836" s="412"/>
      <c r="M1836" s="235"/>
      <c r="N1836" s="235"/>
      <c r="O1836" s="206"/>
    </row>
    <row r="1837" spans="12:15">
      <c r="L1837" s="412"/>
      <c r="M1837" s="235"/>
      <c r="N1837" s="235"/>
      <c r="O1837" s="206"/>
    </row>
    <row r="1838" spans="12:15">
      <c r="L1838" s="412"/>
      <c r="M1838" s="235"/>
      <c r="N1838" s="235"/>
      <c r="O1838" s="206"/>
    </row>
    <row r="1839" spans="12:15">
      <c r="L1839" s="412"/>
      <c r="M1839" s="235"/>
      <c r="N1839" s="235"/>
      <c r="O1839" s="206"/>
    </row>
    <row r="1840" spans="12:15">
      <c r="L1840" s="412"/>
      <c r="M1840" s="235"/>
      <c r="N1840" s="235"/>
      <c r="O1840" s="206"/>
    </row>
    <row r="1841" spans="12:15">
      <c r="L1841" s="412"/>
      <c r="M1841" s="235"/>
      <c r="N1841" s="235"/>
      <c r="O1841" s="206"/>
    </row>
    <row r="1842" spans="12:15">
      <c r="L1842" s="412"/>
      <c r="M1842" s="235"/>
      <c r="N1842" s="235"/>
      <c r="O1842" s="206"/>
    </row>
    <row r="1843" spans="12:15">
      <c r="L1843" s="412"/>
      <c r="M1843" s="235"/>
      <c r="N1843" s="235"/>
      <c r="O1843" s="206"/>
    </row>
    <row r="1844" spans="12:15">
      <c r="L1844" s="412"/>
      <c r="M1844" s="235"/>
      <c r="N1844" s="235"/>
      <c r="O1844" s="206"/>
    </row>
    <row r="1845" spans="12:15">
      <c r="L1845" s="412"/>
      <c r="M1845" s="235"/>
      <c r="N1845" s="235"/>
      <c r="O1845" s="206"/>
    </row>
    <row r="1846" spans="12:15">
      <c r="L1846" s="412"/>
      <c r="M1846" s="235"/>
      <c r="N1846" s="235"/>
      <c r="O1846" s="206"/>
    </row>
    <row r="1847" spans="12:15">
      <c r="L1847" s="412"/>
      <c r="M1847" s="235"/>
      <c r="N1847" s="235"/>
      <c r="O1847" s="206"/>
    </row>
    <row r="1848" spans="12:15">
      <c r="L1848" s="412"/>
      <c r="M1848" s="235"/>
      <c r="N1848" s="235"/>
      <c r="O1848" s="206"/>
    </row>
    <row r="1849" spans="12:15">
      <c r="L1849" s="412"/>
      <c r="M1849" s="235"/>
      <c r="N1849" s="235"/>
      <c r="O1849" s="206"/>
    </row>
    <row r="1850" spans="12:15">
      <c r="L1850" s="412"/>
      <c r="M1850" s="235"/>
      <c r="N1850" s="235"/>
      <c r="O1850" s="206"/>
    </row>
    <row r="1851" spans="12:15">
      <c r="L1851" s="412"/>
      <c r="M1851" s="235"/>
      <c r="N1851" s="235"/>
      <c r="O1851" s="206"/>
    </row>
    <row r="1852" spans="12:15">
      <c r="L1852" s="412"/>
      <c r="M1852" s="235"/>
      <c r="N1852" s="235"/>
      <c r="O1852" s="206"/>
    </row>
    <row r="1853" spans="12:15">
      <c r="L1853" s="412"/>
      <c r="M1853" s="235"/>
      <c r="N1853" s="235"/>
      <c r="O1853" s="206"/>
    </row>
    <row r="1854" spans="12:15">
      <c r="L1854" s="412"/>
      <c r="M1854" s="235"/>
      <c r="N1854" s="235"/>
      <c r="O1854" s="206"/>
    </row>
    <row r="1855" spans="12:15">
      <c r="L1855" s="412"/>
      <c r="M1855" s="235"/>
      <c r="N1855" s="235"/>
      <c r="O1855" s="206"/>
    </row>
    <row r="1856" spans="12:15">
      <c r="L1856" s="412"/>
      <c r="M1856" s="235"/>
      <c r="N1856" s="235"/>
      <c r="O1856" s="206"/>
    </row>
    <row r="1857" spans="12:15">
      <c r="L1857" s="412"/>
      <c r="M1857" s="235"/>
      <c r="N1857" s="235"/>
      <c r="O1857" s="206"/>
    </row>
    <row r="1858" spans="12:15">
      <c r="L1858" s="412"/>
      <c r="M1858" s="235"/>
      <c r="N1858" s="235"/>
      <c r="O1858" s="206"/>
    </row>
    <row r="1859" spans="12:15">
      <c r="L1859" s="412"/>
      <c r="M1859" s="235"/>
      <c r="N1859" s="235"/>
      <c r="O1859" s="206"/>
    </row>
    <row r="1860" spans="12:15">
      <c r="L1860" s="412"/>
      <c r="M1860" s="235"/>
      <c r="N1860" s="235"/>
      <c r="O1860" s="206"/>
    </row>
    <row r="1861" spans="12:15">
      <c r="L1861" s="412"/>
      <c r="M1861" s="235"/>
      <c r="N1861" s="235"/>
      <c r="O1861" s="206"/>
    </row>
    <row r="1862" spans="12:15">
      <c r="L1862" s="412"/>
      <c r="M1862" s="235"/>
      <c r="N1862" s="235"/>
      <c r="O1862" s="206"/>
    </row>
    <row r="1863" spans="12:15">
      <c r="L1863" s="412"/>
      <c r="M1863" s="235"/>
      <c r="N1863" s="235"/>
      <c r="O1863" s="206"/>
    </row>
    <row r="1864" spans="12:15">
      <c r="L1864" s="412"/>
      <c r="M1864" s="235"/>
      <c r="N1864" s="235"/>
      <c r="O1864" s="206"/>
    </row>
    <row r="1865" spans="12:15">
      <c r="L1865" s="412"/>
      <c r="M1865" s="235"/>
      <c r="N1865" s="235"/>
      <c r="O1865" s="206"/>
    </row>
    <row r="1866" spans="12:15">
      <c r="L1866" s="412"/>
      <c r="M1866" s="235"/>
      <c r="N1866" s="235"/>
      <c r="O1866" s="206"/>
    </row>
    <row r="1867" spans="12:15">
      <c r="L1867" s="412"/>
      <c r="M1867" s="235"/>
      <c r="N1867" s="235"/>
      <c r="O1867" s="206"/>
    </row>
    <row r="1868" spans="12:15">
      <c r="L1868" s="412"/>
      <c r="M1868" s="235"/>
      <c r="N1868" s="235"/>
      <c r="O1868" s="206"/>
    </row>
    <row r="1869" spans="12:15">
      <c r="L1869" s="412"/>
      <c r="M1869" s="235"/>
      <c r="N1869" s="235"/>
      <c r="O1869" s="206"/>
    </row>
    <row r="1870" spans="12:15">
      <c r="L1870" s="412"/>
      <c r="M1870" s="235"/>
      <c r="N1870" s="235"/>
      <c r="O1870" s="206"/>
    </row>
    <row r="1871" spans="12:15">
      <c r="L1871" s="412"/>
      <c r="M1871" s="235"/>
      <c r="N1871" s="235"/>
      <c r="O1871" s="206"/>
    </row>
    <row r="1872" spans="12:15">
      <c r="L1872" s="412"/>
      <c r="M1872" s="235"/>
      <c r="N1872" s="235"/>
      <c r="O1872" s="206"/>
    </row>
    <row r="1873" spans="12:15">
      <c r="L1873" s="412"/>
      <c r="M1873" s="235"/>
      <c r="N1873" s="235"/>
      <c r="O1873" s="206"/>
    </row>
    <row r="1874" spans="12:15">
      <c r="L1874" s="412"/>
      <c r="M1874" s="235"/>
      <c r="N1874" s="235"/>
      <c r="O1874" s="206"/>
    </row>
    <row r="1875" spans="12:15">
      <c r="L1875" s="412"/>
      <c r="M1875" s="235"/>
      <c r="N1875" s="235"/>
      <c r="O1875" s="206"/>
    </row>
    <row r="1876" spans="12:15">
      <c r="L1876" s="412"/>
      <c r="M1876" s="235"/>
      <c r="N1876" s="235"/>
      <c r="O1876" s="206"/>
    </row>
    <row r="1877" spans="12:15">
      <c r="L1877" s="412"/>
      <c r="M1877" s="235"/>
      <c r="N1877" s="235"/>
      <c r="O1877" s="206"/>
    </row>
    <row r="1878" spans="12:15">
      <c r="L1878" s="412"/>
      <c r="M1878" s="235"/>
      <c r="N1878" s="235"/>
      <c r="O1878" s="206"/>
    </row>
    <row r="1879" spans="12:15">
      <c r="L1879" s="412"/>
      <c r="M1879" s="235"/>
      <c r="N1879" s="235"/>
      <c r="O1879" s="206"/>
    </row>
    <row r="1880" spans="12:15">
      <c r="L1880" s="412"/>
      <c r="M1880" s="235"/>
      <c r="N1880" s="235"/>
      <c r="O1880" s="206"/>
    </row>
    <row r="1881" spans="12:15">
      <c r="L1881" s="412"/>
      <c r="M1881" s="235"/>
      <c r="N1881" s="235"/>
      <c r="O1881" s="206"/>
    </row>
    <row r="1882" spans="12:15">
      <c r="L1882" s="412"/>
      <c r="M1882" s="235"/>
      <c r="N1882" s="235"/>
      <c r="O1882" s="206"/>
    </row>
    <row r="1883" spans="12:15">
      <c r="L1883" s="412"/>
      <c r="M1883" s="235"/>
      <c r="N1883" s="235"/>
      <c r="O1883" s="206"/>
    </row>
    <row r="1884" spans="12:15">
      <c r="L1884" s="412"/>
      <c r="M1884" s="235"/>
      <c r="N1884" s="235"/>
      <c r="O1884" s="206"/>
    </row>
    <row r="1885" spans="12:15">
      <c r="L1885" s="412"/>
      <c r="M1885" s="235"/>
      <c r="N1885" s="235"/>
      <c r="O1885" s="206"/>
    </row>
    <row r="1886" spans="12:15">
      <c r="L1886" s="412"/>
      <c r="M1886" s="235"/>
      <c r="N1886" s="235"/>
      <c r="O1886" s="206"/>
    </row>
    <row r="1887" spans="12:15">
      <c r="L1887" s="412"/>
      <c r="M1887" s="235"/>
      <c r="N1887" s="235"/>
      <c r="O1887" s="206"/>
    </row>
    <row r="1888" spans="12:15">
      <c r="L1888" s="412"/>
      <c r="M1888" s="235"/>
      <c r="N1888" s="235"/>
      <c r="O1888" s="206"/>
    </row>
    <row r="1889" spans="12:15">
      <c r="L1889" s="412"/>
      <c r="M1889" s="235"/>
      <c r="N1889" s="235"/>
      <c r="O1889" s="206"/>
    </row>
    <row r="1890" spans="12:15">
      <c r="L1890" s="412"/>
      <c r="M1890" s="235"/>
      <c r="N1890" s="235"/>
      <c r="O1890" s="206"/>
    </row>
    <row r="1891" spans="12:15">
      <c r="L1891" s="412"/>
      <c r="M1891" s="235"/>
      <c r="N1891" s="235"/>
      <c r="O1891" s="206"/>
    </row>
    <row r="1892" spans="12:15">
      <c r="L1892" s="412"/>
      <c r="M1892" s="235"/>
      <c r="N1892" s="235"/>
      <c r="O1892" s="206"/>
    </row>
    <row r="1893" spans="12:15">
      <c r="L1893" s="412"/>
      <c r="M1893" s="235"/>
      <c r="N1893" s="235"/>
      <c r="O1893" s="206"/>
    </row>
    <row r="1894" spans="12:15">
      <c r="L1894" s="412"/>
      <c r="M1894" s="235"/>
      <c r="N1894" s="235"/>
      <c r="O1894" s="206"/>
    </row>
    <row r="1895" spans="12:15">
      <c r="L1895" s="412"/>
      <c r="M1895" s="235"/>
      <c r="N1895" s="235"/>
      <c r="O1895" s="206"/>
    </row>
    <row r="1896" spans="12:15">
      <c r="L1896" s="412"/>
      <c r="M1896" s="235"/>
      <c r="N1896" s="235"/>
      <c r="O1896" s="206"/>
    </row>
    <row r="1897" spans="12:15">
      <c r="L1897" s="412"/>
      <c r="M1897" s="235"/>
      <c r="N1897" s="235"/>
      <c r="O1897" s="206"/>
    </row>
    <row r="1898" spans="12:15">
      <c r="L1898" s="412"/>
      <c r="M1898" s="235"/>
      <c r="N1898" s="235"/>
      <c r="O1898" s="206"/>
    </row>
    <row r="1899" spans="12:15">
      <c r="L1899" s="412"/>
      <c r="M1899" s="235"/>
      <c r="N1899" s="235"/>
      <c r="O1899" s="206"/>
    </row>
    <row r="1900" spans="12:15">
      <c r="L1900" s="412"/>
      <c r="M1900" s="235"/>
      <c r="N1900" s="235"/>
      <c r="O1900" s="206"/>
    </row>
    <row r="1901" spans="12:15">
      <c r="L1901" s="412"/>
      <c r="M1901" s="235"/>
      <c r="N1901" s="235"/>
      <c r="O1901" s="206"/>
    </row>
    <row r="1902" spans="12:15">
      <c r="L1902" s="412"/>
      <c r="M1902" s="235"/>
      <c r="N1902" s="235"/>
      <c r="O1902" s="206"/>
    </row>
    <row r="1903" spans="12:15">
      <c r="L1903" s="412"/>
      <c r="M1903" s="235"/>
      <c r="N1903" s="235"/>
      <c r="O1903" s="206"/>
    </row>
    <row r="1904" spans="12:15">
      <c r="L1904" s="412"/>
      <c r="M1904" s="235"/>
      <c r="N1904" s="235"/>
      <c r="O1904" s="206"/>
    </row>
    <row r="1905" spans="12:15">
      <c r="L1905" s="412"/>
      <c r="M1905" s="235"/>
      <c r="N1905" s="235"/>
      <c r="O1905" s="206"/>
    </row>
    <row r="1906" spans="12:15">
      <c r="L1906" s="412"/>
      <c r="M1906" s="235"/>
      <c r="N1906" s="235"/>
      <c r="O1906" s="206"/>
    </row>
    <row r="1907" spans="12:15">
      <c r="L1907" s="412"/>
      <c r="M1907" s="235"/>
      <c r="N1907" s="235"/>
      <c r="O1907" s="206"/>
    </row>
    <row r="1908" spans="12:15">
      <c r="L1908" s="412"/>
      <c r="M1908" s="235"/>
      <c r="N1908" s="235"/>
      <c r="O1908" s="206"/>
    </row>
    <row r="1909" spans="12:15">
      <c r="L1909" s="412"/>
      <c r="M1909" s="235"/>
      <c r="N1909" s="235"/>
      <c r="O1909" s="206"/>
    </row>
    <row r="1910" spans="12:15">
      <c r="L1910" s="412"/>
      <c r="M1910" s="235"/>
      <c r="N1910" s="235"/>
      <c r="O1910" s="206"/>
    </row>
    <row r="1911" spans="12:15">
      <c r="L1911" s="412"/>
      <c r="M1911" s="235"/>
      <c r="N1911" s="235"/>
      <c r="O1911" s="206"/>
    </row>
    <row r="1912" spans="12:15">
      <c r="L1912" s="412"/>
      <c r="M1912" s="235"/>
      <c r="N1912" s="235"/>
      <c r="O1912" s="206"/>
    </row>
    <row r="1913" spans="12:15">
      <c r="L1913" s="412"/>
      <c r="M1913" s="235"/>
      <c r="N1913" s="235"/>
      <c r="O1913" s="206"/>
    </row>
    <row r="1914" spans="12:15">
      <c r="L1914" s="412"/>
      <c r="M1914" s="235"/>
      <c r="N1914" s="235"/>
      <c r="O1914" s="206"/>
    </row>
    <row r="1915" spans="12:15">
      <c r="L1915" s="412"/>
      <c r="M1915" s="235"/>
      <c r="N1915" s="235"/>
      <c r="O1915" s="206"/>
    </row>
    <row r="1916" spans="12:15">
      <c r="L1916" s="412"/>
      <c r="M1916" s="235"/>
      <c r="N1916" s="235"/>
      <c r="O1916" s="206"/>
    </row>
    <row r="1917" spans="12:15">
      <c r="L1917" s="412"/>
      <c r="M1917" s="235"/>
      <c r="N1917" s="235"/>
      <c r="O1917" s="206"/>
    </row>
    <row r="1918" spans="12:15">
      <c r="L1918" s="412"/>
      <c r="M1918" s="235"/>
      <c r="N1918" s="235"/>
      <c r="O1918" s="206"/>
    </row>
    <row r="1919" spans="12:15">
      <c r="L1919" s="412"/>
      <c r="M1919" s="235"/>
      <c r="N1919" s="235"/>
      <c r="O1919" s="206"/>
    </row>
    <row r="1920" spans="12:15">
      <c r="L1920" s="412"/>
      <c r="M1920" s="235"/>
      <c r="N1920" s="235"/>
      <c r="O1920" s="206"/>
    </row>
    <row r="1921" spans="12:15">
      <c r="L1921" s="412"/>
      <c r="M1921" s="235"/>
      <c r="N1921" s="235"/>
      <c r="O1921" s="206"/>
    </row>
    <row r="1922" spans="12:15">
      <c r="L1922" s="412"/>
      <c r="M1922" s="235"/>
      <c r="N1922" s="235"/>
      <c r="O1922" s="206"/>
    </row>
    <row r="1923" spans="12:15">
      <c r="L1923" s="412"/>
      <c r="M1923" s="235"/>
      <c r="N1923" s="235"/>
      <c r="O1923" s="206"/>
    </row>
    <row r="1924" spans="12:15">
      <c r="L1924" s="412"/>
      <c r="M1924" s="235"/>
      <c r="N1924" s="235"/>
      <c r="O1924" s="206"/>
    </row>
    <row r="1925" spans="12:15">
      <c r="L1925" s="412"/>
      <c r="M1925" s="235"/>
      <c r="N1925" s="235"/>
      <c r="O1925" s="206"/>
    </row>
    <row r="1926" spans="12:15">
      <c r="L1926" s="412"/>
      <c r="M1926" s="235"/>
      <c r="N1926" s="235"/>
      <c r="O1926" s="206"/>
    </row>
    <row r="1927" spans="12:15">
      <c r="L1927" s="412"/>
      <c r="M1927" s="235"/>
      <c r="N1927" s="235"/>
      <c r="O1927" s="206"/>
    </row>
    <row r="1928" spans="12:15">
      <c r="L1928" s="412"/>
      <c r="M1928" s="235"/>
      <c r="N1928" s="235"/>
      <c r="O1928" s="206"/>
    </row>
    <row r="1929" spans="12:15">
      <c r="L1929" s="412"/>
      <c r="M1929" s="235"/>
      <c r="N1929" s="235"/>
      <c r="O1929" s="206"/>
    </row>
    <row r="1930" spans="12:15">
      <c r="L1930" s="412"/>
      <c r="M1930" s="235"/>
      <c r="N1930" s="235"/>
      <c r="O1930" s="206"/>
    </row>
    <row r="1931" spans="12:15">
      <c r="L1931" s="412"/>
      <c r="M1931" s="235"/>
      <c r="N1931" s="235"/>
      <c r="O1931" s="206"/>
    </row>
    <row r="1932" spans="12:15">
      <c r="L1932" s="412"/>
      <c r="M1932" s="235"/>
      <c r="N1932" s="235"/>
      <c r="O1932" s="206"/>
    </row>
    <row r="1933" spans="12:15">
      <c r="L1933" s="412"/>
      <c r="M1933" s="235"/>
      <c r="N1933" s="235"/>
      <c r="O1933" s="206"/>
    </row>
    <row r="1934" spans="12:15">
      <c r="L1934" s="412"/>
      <c r="M1934" s="235"/>
      <c r="N1934" s="235"/>
      <c r="O1934" s="206"/>
    </row>
    <row r="1935" spans="12:15">
      <c r="L1935" s="412"/>
      <c r="M1935" s="235"/>
      <c r="N1935" s="235"/>
      <c r="O1935" s="206"/>
    </row>
    <row r="1936" spans="12:15">
      <c r="L1936" s="412"/>
      <c r="M1936" s="235"/>
      <c r="N1936" s="235"/>
      <c r="O1936" s="206"/>
    </row>
    <row r="1937" spans="12:15">
      <c r="L1937" s="412"/>
      <c r="M1937" s="235"/>
      <c r="N1937" s="235"/>
      <c r="O1937" s="206"/>
    </row>
    <row r="1938" spans="12:15">
      <c r="L1938" s="412"/>
      <c r="M1938" s="235"/>
      <c r="N1938" s="235"/>
      <c r="O1938" s="206"/>
    </row>
    <row r="1939" spans="12:15">
      <c r="L1939" s="412"/>
      <c r="M1939" s="235"/>
      <c r="N1939" s="235"/>
      <c r="O1939" s="206"/>
    </row>
    <row r="1940" spans="12:15">
      <c r="L1940" s="412"/>
      <c r="M1940" s="235"/>
      <c r="N1940" s="235"/>
      <c r="O1940" s="206"/>
    </row>
    <row r="1941" spans="12:15">
      <c r="L1941" s="412"/>
      <c r="M1941" s="235"/>
      <c r="N1941" s="235"/>
      <c r="O1941" s="206"/>
    </row>
    <row r="1942" spans="12:15">
      <c r="L1942" s="412"/>
      <c r="M1942" s="235"/>
      <c r="N1942" s="235"/>
      <c r="O1942" s="206"/>
    </row>
    <row r="1943" spans="12:15">
      <c r="L1943" s="412"/>
      <c r="M1943" s="235"/>
      <c r="N1943" s="235"/>
      <c r="O1943" s="206"/>
    </row>
    <row r="1944" spans="12:15">
      <c r="L1944" s="412"/>
      <c r="M1944" s="235"/>
      <c r="N1944" s="235"/>
      <c r="O1944" s="206"/>
    </row>
    <row r="1945" spans="12:15">
      <c r="L1945" s="412"/>
      <c r="M1945" s="235"/>
      <c r="N1945" s="235"/>
      <c r="O1945" s="206"/>
    </row>
    <row r="1946" spans="12:15">
      <c r="L1946" s="412"/>
      <c r="M1946" s="235"/>
      <c r="N1946" s="235"/>
      <c r="O1946" s="206"/>
    </row>
    <row r="1947" spans="12:15">
      <c r="L1947" s="412"/>
      <c r="M1947" s="235"/>
      <c r="N1947" s="235"/>
      <c r="O1947" s="206"/>
    </row>
    <row r="1948" spans="12:15">
      <c r="L1948" s="412"/>
      <c r="M1948" s="235"/>
      <c r="N1948" s="235"/>
      <c r="O1948" s="206"/>
    </row>
    <row r="1949" spans="12:15">
      <c r="L1949" s="412"/>
      <c r="M1949" s="235"/>
      <c r="N1949" s="235"/>
      <c r="O1949" s="206"/>
    </row>
    <row r="1950" spans="12:15">
      <c r="L1950" s="412"/>
      <c r="M1950" s="235"/>
      <c r="N1950" s="235"/>
      <c r="O1950" s="206"/>
    </row>
    <row r="1951" spans="12:15">
      <c r="L1951" s="412"/>
      <c r="M1951" s="235"/>
      <c r="N1951" s="235"/>
      <c r="O1951" s="206"/>
    </row>
    <row r="1952" spans="12:15">
      <c r="L1952" s="412"/>
      <c r="M1952" s="235"/>
      <c r="N1952" s="235"/>
      <c r="O1952" s="206"/>
    </row>
    <row r="1953" spans="12:15">
      <c r="L1953" s="412"/>
      <c r="M1953" s="235"/>
      <c r="N1953" s="235"/>
      <c r="O1953" s="206"/>
    </row>
    <row r="1954" spans="12:15">
      <c r="L1954" s="412"/>
      <c r="M1954" s="235"/>
      <c r="N1954" s="235"/>
      <c r="O1954" s="206"/>
    </row>
    <row r="1955" spans="12:15">
      <c r="L1955" s="412"/>
      <c r="M1955" s="235"/>
      <c r="N1955" s="235"/>
      <c r="O1955" s="206"/>
    </row>
    <row r="1956" spans="12:15">
      <c r="L1956" s="412"/>
      <c r="M1956" s="235"/>
      <c r="N1956" s="235"/>
      <c r="O1956" s="206"/>
    </row>
    <row r="1957" spans="12:15">
      <c r="L1957" s="412"/>
      <c r="M1957" s="235"/>
      <c r="N1957" s="235"/>
      <c r="O1957" s="206"/>
    </row>
    <row r="1958" spans="12:15">
      <c r="L1958" s="412"/>
      <c r="M1958" s="235"/>
      <c r="N1958" s="235"/>
      <c r="O1958" s="206"/>
    </row>
    <row r="1959" spans="12:15">
      <c r="L1959" s="412"/>
      <c r="M1959" s="235"/>
      <c r="N1959" s="235"/>
      <c r="O1959" s="206"/>
    </row>
    <row r="1960" spans="12:15">
      <c r="L1960" s="412"/>
      <c r="M1960" s="235"/>
      <c r="N1960" s="235"/>
      <c r="O1960" s="206"/>
    </row>
    <row r="1961" spans="12:15">
      <c r="L1961" s="412"/>
      <c r="M1961" s="235"/>
      <c r="N1961" s="235"/>
      <c r="O1961" s="206"/>
    </row>
    <row r="1962" spans="12:15">
      <c r="L1962" s="412"/>
      <c r="M1962" s="235"/>
      <c r="N1962" s="235"/>
      <c r="O1962" s="206"/>
    </row>
    <row r="1963" spans="12:15">
      <c r="L1963" s="412"/>
      <c r="M1963" s="235"/>
      <c r="N1963" s="235"/>
      <c r="O1963" s="206"/>
    </row>
    <row r="1964" spans="12:15">
      <c r="L1964" s="412"/>
      <c r="M1964" s="235"/>
      <c r="N1964" s="235"/>
      <c r="O1964" s="206"/>
    </row>
    <row r="1965" spans="12:15">
      <c r="L1965" s="412"/>
      <c r="M1965" s="235"/>
      <c r="N1965" s="235"/>
      <c r="O1965" s="206"/>
    </row>
    <row r="1966" spans="12:15">
      <c r="L1966" s="412"/>
      <c r="M1966" s="235"/>
      <c r="N1966" s="235"/>
      <c r="O1966" s="206"/>
    </row>
    <row r="1967" spans="12:15">
      <c r="L1967" s="412"/>
      <c r="M1967" s="235"/>
      <c r="N1967" s="235"/>
      <c r="O1967" s="206"/>
    </row>
    <row r="1968" spans="12:15">
      <c r="L1968" s="412"/>
      <c r="M1968" s="235"/>
      <c r="N1968" s="235"/>
      <c r="O1968" s="206"/>
    </row>
    <row r="1969" spans="12:15">
      <c r="L1969" s="412"/>
      <c r="M1969" s="235"/>
      <c r="N1969" s="235"/>
      <c r="O1969" s="206"/>
    </row>
    <row r="1970" spans="12:15">
      <c r="L1970" s="412"/>
      <c r="M1970" s="235"/>
      <c r="N1970" s="235"/>
      <c r="O1970" s="206"/>
    </row>
    <row r="1971" spans="12:15">
      <c r="L1971" s="412"/>
      <c r="M1971" s="235"/>
      <c r="N1971" s="235"/>
      <c r="O1971" s="206"/>
    </row>
    <row r="1972" spans="12:15">
      <c r="L1972" s="412"/>
      <c r="M1972" s="235"/>
      <c r="N1972" s="235"/>
      <c r="O1972" s="206"/>
    </row>
    <row r="1973" spans="12:15">
      <c r="L1973" s="412"/>
      <c r="M1973" s="235"/>
      <c r="N1973" s="235"/>
      <c r="O1973" s="206"/>
    </row>
    <row r="1974" spans="12:15">
      <c r="L1974" s="412"/>
      <c r="M1974" s="235"/>
      <c r="N1974" s="235"/>
      <c r="O1974" s="206"/>
    </row>
    <row r="1975" spans="12:15">
      <c r="L1975" s="412"/>
      <c r="M1975" s="235"/>
      <c r="N1975" s="235"/>
      <c r="O1975" s="206"/>
    </row>
    <row r="1976" spans="12:15">
      <c r="L1976" s="412"/>
      <c r="M1976" s="235"/>
      <c r="N1976" s="235"/>
      <c r="O1976" s="206"/>
    </row>
    <row r="1977" spans="12:15">
      <c r="L1977" s="412"/>
      <c r="M1977" s="235"/>
      <c r="N1977" s="235"/>
      <c r="O1977" s="206"/>
    </row>
    <row r="1978" spans="12:15">
      <c r="L1978" s="412"/>
      <c r="M1978" s="235"/>
      <c r="N1978" s="235"/>
      <c r="O1978" s="206"/>
    </row>
    <row r="1979" spans="12:15">
      <c r="L1979" s="412"/>
      <c r="M1979" s="235"/>
      <c r="N1979" s="235"/>
      <c r="O1979" s="206"/>
    </row>
    <row r="1980" spans="12:15">
      <c r="L1980" s="412"/>
      <c r="M1980" s="235"/>
      <c r="N1980" s="235"/>
      <c r="O1980" s="206"/>
    </row>
    <row r="1981" spans="12:15">
      <c r="L1981" s="412"/>
      <c r="M1981" s="235"/>
      <c r="N1981" s="235"/>
      <c r="O1981" s="206"/>
    </row>
    <row r="1982" spans="12:15">
      <c r="L1982" s="412"/>
      <c r="M1982" s="235"/>
      <c r="N1982" s="235"/>
      <c r="O1982" s="206"/>
    </row>
    <row r="1983" spans="12:15">
      <c r="L1983" s="412"/>
      <c r="M1983" s="235"/>
      <c r="N1983" s="235"/>
      <c r="O1983" s="206"/>
    </row>
    <row r="1984" spans="12:15">
      <c r="L1984" s="412"/>
      <c r="M1984" s="235"/>
      <c r="N1984" s="235"/>
      <c r="O1984" s="206"/>
    </row>
    <row r="1985" spans="12:15">
      <c r="L1985" s="412"/>
      <c r="M1985" s="235"/>
      <c r="N1985" s="235"/>
      <c r="O1985" s="206"/>
    </row>
    <row r="1986" spans="12:15">
      <c r="L1986" s="412"/>
      <c r="M1986" s="235"/>
      <c r="N1986" s="235"/>
      <c r="O1986" s="206"/>
    </row>
    <row r="1987" spans="12:15">
      <c r="L1987" s="412"/>
      <c r="M1987" s="235"/>
      <c r="N1987" s="235"/>
      <c r="O1987" s="206"/>
    </row>
    <row r="1988" spans="12:15">
      <c r="L1988" s="412"/>
      <c r="M1988" s="235"/>
      <c r="N1988" s="235"/>
      <c r="O1988" s="206"/>
    </row>
    <row r="1989" spans="12:15">
      <c r="L1989" s="412"/>
      <c r="M1989" s="235"/>
      <c r="N1989" s="235"/>
      <c r="O1989" s="206"/>
    </row>
    <row r="1990" spans="12:15">
      <c r="L1990" s="412"/>
      <c r="M1990" s="235"/>
      <c r="N1990" s="235"/>
      <c r="O1990" s="206"/>
    </row>
    <row r="1991" spans="12:15">
      <c r="L1991" s="412"/>
      <c r="M1991" s="235"/>
      <c r="N1991" s="235"/>
      <c r="O1991" s="206"/>
    </row>
    <row r="1992" spans="12:15">
      <c r="L1992" s="412"/>
      <c r="M1992" s="235"/>
      <c r="N1992" s="235"/>
      <c r="O1992" s="206"/>
    </row>
    <row r="1993" spans="12:15">
      <c r="L1993" s="412"/>
      <c r="M1993" s="235"/>
      <c r="N1993" s="235"/>
      <c r="O1993" s="206"/>
    </row>
    <row r="1994" spans="12:15">
      <c r="L1994" s="412"/>
      <c r="M1994" s="235"/>
      <c r="N1994" s="235"/>
      <c r="O1994" s="206"/>
    </row>
    <row r="1995" spans="12:15">
      <c r="L1995" s="412"/>
      <c r="M1995" s="235"/>
      <c r="N1995" s="235"/>
      <c r="O1995" s="206"/>
    </row>
    <row r="1996" spans="12:15">
      <c r="L1996" s="412"/>
      <c r="M1996" s="235"/>
      <c r="N1996" s="235"/>
      <c r="O1996" s="206"/>
    </row>
    <row r="1997" spans="12:15">
      <c r="L1997" s="412"/>
      <c r="M1997" s="235"/>
      <c r="N1997" s="235"/>
      <c r="O1997" s="206"/>
    </row>
    <row r="1998" spans="12:15">
      <c r="L1998" s="412"/>
      <c r="M1998" s="235"/>
      <c r="N1998" s="235"/>
      <c r="O1998" s="206"/>
    </row>
    <row r="1999" spans="12:15">
      <c r="L1999" s="412"/>
      <c r="M1999" s="235"/>
      <c r="N1999" s="235"/>
      <c r="O1999" s="206"/>
    </row>
    <row r="2000" spans="12:15">
      <c r="L2000" s="412"/>
      <c r="M2000" s="235"/>
      <c r="N2000" s="235"/>
      <c r="O2000" s="206"/>
    </row>
    <row r="2001" spans="12:15">
      <c r="L2001" s="412"/>
      <c r="M2001" s="235"/>
      <c r="N2001" s="235"/>
      <c r="O2001" s="206"/>
    </row>
    <row r="2002" spans="12:15">
      <c r="L2002" s="412"/>
      <c r="M2002" s="235"/>
      <c r="N2002" s="235"/>
      <c r="O2002" s="206"/>
    </row>
    <row r="2003" spans="12:15">
      <c r="L2003" s="412"/>
      <c r="M2003" s="235"/>
      <c r="N2003" s="235"/>
      <c r="O2003" s="206"/>
    </row>
    <row r="2004" spans="12:15">
      <c r="L2004" s="412"/>
      <c r="M2004" s="235"/>
      <c r="N2004" s="235"/>
      <c r="O2004" s="206"/>
    </row>
    <row r="2005" spans="12:15">
      <c r="L2005" s="412"/>
      <c r="M2005" s="235"/>
      <c r="N2005" s="235"/>
      <c r="O2005" s="206"/>
    </row>
    <row r="2006" spans="12:15">
      <c r="L2006" s="412"/>
      <c r="M2006" s="235"/>
      <c r="N2006" s="235"/>
      <c r="O2006" s="206"/>
    </row>
    <row r="2007" spans="12:15">
      <c r="L2007" s="412"/>
      <c r="M2007" s="235"/>
      <c r="N2007" s="235"/>
      <c r="O2007" s="206"/>
    </row>
    <row r="2008" spans="12:15">
      <c r="L2008" s="412"/>
      <c r="M2008" s="235"/>
      <c r="N2008" s="235"/>
      <c r="O2008" s="206"/>
    </row>
    <row r="2009" spans="12:15">
      <c r="L2009" s="412"/>
      <c r="M2009" s="235"/>
      <c r="N2009" s="235"/>
      <c r="O2009" s="206"/>
    </row>
    <row r="2010" spans="12:15">
      <c r="L2010" s="412"/>
      <c r="M2010" s="235"/>
      <c r="N2010" s="235"/>
      <c r="O2010" s="206"/>
    </row>
    <row r="2011" spans="12:15">
      <c r="L2011" s="412"/>
      <c r="M2011" s="235"/>
      <c r="N2011" s="235"/>
      <c r="O2011" s="206"/>
    </row>
    <row r="2012" spans="12:15">
      <c r="L2012" s="412"/>
      <c r="M2012" s="235"/>
      <c r="N2012" s="235"/>
      <c r="O2012" s="206"/>
    </row>
    <row r="2013" spans="12:15">
      <c r="L2013" s="412"/>
      <c r="M2013" s="235"/>
      <c r="N2013" s="235"/>
      <c r="O2013" s="206"/>
    </row>
    <row r="2014" spans="12:15">
      <c r="L2014" s="412"/>
      <c r="M2014" s="235"/>
      <c r="N2014" s="235"/>
      <c r="O2014" s="206"/>
    </row>
    <row r="2015" spans="12:15">
      <c r="L2015" s="412"/>
      <c r="M2015" s="235"/>
      <c r="N2015" s="235"/>
      <c r="O2015" s="206"/>
    </row>
    <row r="2016" spans="12:15">
      <c r="L2016" s="412"/>
      <c r="M2016" s="235"/>
      <c r="N2016" s="235"/>
      <c r="O2016" s="206"/>
    </row>
    <row r="2017" spans="12:15">
      <c r="L2017" s="412"/>
      <c r="M2017" s="235"/>
      <c r="N2017" s="235"/>
      <c r="O2017" s="206"/>
    </row>
    <row r="2018" spans="12:15">
      <c r="L2018" s="412"/>
      <c r="M2018" s="235"/>
      <c r="N2018" s="235"/>
      <c r="O2018" s="206"/>
    </row>
    <row r="2019" spans="12:15">
      <c r="L2019" s="412"/>
      <c r="M2019" s="235"/>
      <c r="N2019" s="235"/>
      <c r="O2019" s="206"/>
    </row>
    <row r="2020" spans="12:15">
      <c r="L2020" s="412"/>
      <c r="M2020" s="235"/>
      <c r="N2020" s="235"/>
      <c r="O2020" s="206"/>
    </row>
    <row r="2021" spans="12:15">
      <c r="L2021" s="412"/>
      <c r="M2021" s="235"/>
      <c r="N2021" s="235"/>
      <c r="O2021" s="206"/>
    </row>
    <row r="2022" spans="12:15">
      <c r="L2022" s="412"/>
      <c r="M2022" s="235"/>
      <c r="N2022" s="235"/>
      <c r="O2022" s="206"/>
    </row>
    <row r="2023" spans="12:15">
      <c r="L2023" s="412"/>
      <c r="M2023" s="235"/>
      <c r="N2023" s="235"/>
      <c r="O2023" s="206"/>
    </row>
    <row r="2024" spans="12:15">
      <c r="L2024" s="412"/>
      <c r="M2024" s="235"/>
      <c r="N2024" s="235"/>
      <c r="O2024" s="206"/>
    </row>
    <row r="2025" spans="12:15">
      <c r="L2025" s="412"/>
      <c r="M2025" s="235"/>
      <c r="N2025" s="235"/>
      <c r="O2025" s="206"/>
    </row>
    <row r="2026" spans="12:15">
      <c r="L2026" s="412"/>
      <c r="M2026" s="235"/>
      <c r="N2026" s="235"/>
      <c r="O2026" s="206"/>
    </row>
    <row r="2027" spans="12:15">
      <c r="L2027" s="412"/>
      <c r="M2027" s="235"/>
      <c r="N2027" s="235"/>
      <c r="O2027" s="206"/>
    </row>
    <row r="2028" spans="12:15">
      <c r="L2028" s="412"/>
      <c r="M2028" s="235"/>
      <c r="N2028" s="235"/>
      <c r="O2028" s="206"/>
    </row>
    <row r="2029" spans="12:15">
      <c r="L2029" s="412"/>
      <c r="M2029" s="235"/>
      <c r="N2029" s="235"/>
      <c r="O2029" s="206"/>
    </row>
    <row r="2030" spans="12:15">
      <c r="L2030" s="412"/>
      <c r="M2030" s="235"/>
      <c r="N2030" s="235"/>
      <c r="O2030" s="206"/>
    </row>
    <row r="2031" spans="12:15">
      <c r="L2031" s="412"/>
      <c r="M2031" s="235"/>
      <c r="N2031" s="235"/>
      <c r="O2031" s="206"/>
    </row>
    <row r="2032" spans="12:15">
      <c r="L2032" s="412"/>
      <c r="M2032" s="235"/>
      <c r="N2032" s="235"/>
      <c r="O2032" s="206"/>
    </row>
    <row r="2033" spans="12:15">
      <c r="L2033" s="412"/>
      <c r="M2033" s="235"/>
      <c r="N2033" s="235"/>
      <c r="O2033" s="206"/>
    </row>
    <row r="2034" spans="12:15">
      <c r="L2034" s="412"/>
      <c r="M2034" s="235"/>
      <c r="N2034" s="235"/>
      <c r="O2034" s="206"/>
    </row>
    <row r="2035" spans="12:15">
      <c r="L2035" s="412"/>
      <c r="M2035" s="235"/>
      <c r="N2035" s="235"/>
      <c r="O2035" s="206"/>
    </row>
    <row r="2036" spans="12:15">
      <c r="L2036" s="412"/>
      <c r="M2036" s="235"/>
      <c r="N2036" s="235"/>
      <c r="O2036" s="206"/>
    </row>
    <row r="2037" spans="12:15">
      <c r="L2037" s="412"/>
      <c r="M2037" s="235"/>
      <c r="N2037" s="235"/>
      <c r="O2037" s="206"/>
    </row>
    <row r="2038" spans="12:15">
      <c r="L2038" s="412"/>
      <c r="M2038" s="235"/>
      <c r="N2038" s="235"/>
      <c r="O2038" s="206"/>
    </row>
    <row r="2039" spans="12:15">
      <c r="L2039" s="412"/>
      <c r="M2039" s="235"/>
      <c r="N2039" s="235"/>
      <c r="O2039" s="206"/>
    </row>
    <row r="2040" spans="12:15">
      <c r="L2040" s="412"/>
      <c r="M2040" s="235"/>
      <c r="N2040" s="235"/>
      <c r="O2040" s="206"/>
    </row>
    <row r="2041" spans="12:15">
      <c r="L2041" s="412"/>
      <c r="M2041" s="235"/>
      <c r="N2041" s="235"/>
      <c r="O2041" s="206"/>
    </row>
    <row r="2042" spans="12:15">
      <c r="L2042" s="412"/>
      <c r="M2042" s="235"/>
      <c r="N2042" s="235"/>
      <c r="O2042" s="206"/>
    </row>
    <row r="2043" spans="12:15">
      <c r="L2043" s="412"/>
      <c r="M2043" s="235"/>
      <c r="N2043" s="235"/>
      <c r="O2043" s="206"/>
    </row>
    <row r="2044" spans="12:15">
      <c r="L2044" s="412"/>
      <c r="M2044" s="235"/>
      <c r="N2044" s="235"/>
      <c r="O2044" s="206"/>
    </row>
    <row r="2045" spans="12:15">
      <c r="L2045" s="412"/>
      <c r="M2045" s="235"/>
      <c r="N2045" s="235"/>
      <c r="O2045" s="206"/>
    </row>
    <row r="2046" spans="12:15">
      <c r="L2046" s="412"/>
      <c r="M2046" s="235"/>
      <c r="N2046" s="235"/>
      <c r="O2046" s="206"/>
    </row>
    <row r="2047" spans="12:15">
      <c r="L2047" s="412"/>
      <c r="M2047" s="235"/>
      <c r="N2047" s="235"/>
      <c r="O2047" s="206"/>
    </row>
    <row r="2048" spans="12:15">
      <c r="L2048" s="412"/>
      <c r="M2048" s="235"/>
      <c r="N2048" s="235"/>
      <c r="O2048" s="206"/>
    </row>
    <row r="2049" spans="12:15">
      <c r="L2049" s="412"/>
      <c r="M2049" s="235"/>
      <c r="N2049" s="235"/>
      <c r="O2049" s="206"/>
    </row>
    <row r="2050" spans="12:15">
      <c r="L2050" s="412"/>
      <c r="M2050" s="235"/>
      <c r="N2050" s="235"/>
      <c r="O2050" s="206"/>
    </row>
    <row r="2051" spans="12:15">
      <c r="L2051" s="412"/>
      <c r="M2051" s="235"/>
      <c r="N2051" s="235"/>
      <c r="O2051" s="206"/>
    </row>
    <row r="2052" spans="12:15">
      <c r="L2052" s="412"/>
      <c r="M2052" s="235"/>
      <c r="N2052" s="235"/>
      <c r="O2052" s="206"/>
    </row>
    <row r="2053" spans="12:15">
      <c r="L2053" s="412"/>
      <c r="M2053" s="235"/>
      <c r="N2053" s="235"/>
      <c r="O2053" s="206"/>
    </row>
    <row r="2054" spans="12:15">
      <c r="L2054" s="412"/>
      <c r="M2054" s="235"/>
      <c r="N2054" s="235"/>
      <c r="O2054" s="206"/>
    </row>
    <row r="2055" spans="12:15">
      <c r="L2055" s="412"/>
      <c r="M2055" s="235"/>
      <c r="N2055" s="235"/>
      <c r="O2055" s="206"/>
    </row>
    <row r="2056" spans="12:15">
      <c r="L2056" s="412"/>
      <c r="M2056" s="235"/>
      <c r="N2056" s="235"/>
      <c r="O2056" s="206"/>
    </row>
    <row r="2057" spans="12:15">
      <c r="L2057" s="412"/>
      <c r="M2057" s="235"/>
      <c r="N2057" s="235"/>
      <c r="O2057" s="206"/>
    </row>
    <row r="2058" spans="12:15">
      <c r="L2058" s="412"/>
      <c r="M2058" s="235"/>
      <c r="N2058" s="235"/>
      <c r="O2058" s="206"/>
    </row>
    <row r="2059" spans="12:15">
      <c r="L2059" s="412"/>
      <c r="M2059" s="235"/>
      <c r="N2059" s="235"/>
      <c r="O2059" s="206"/>
    </row>
    <row r="2060" spans="12:15">
      <c r="L2060" s="412"/>
      <c r="M2060" s="235"/>
      <c r="N2060" s="235"/>
      <c r="O2060" s="206"/>
    </row>
    <row r="2061" spans="12:15">
      <c r="L2061" s="412"/>
      <c r="M2061" s="235"/>
      <c r="N2061" s="235"/>
      <c r="O2061" s="206"/>
    </row>
    <row r="2062" spans="12:15">
      <c r="L2062" s="412"/>
      <c r="M2062" s="235"/>
      <c r="N2062" s="235"/>
      <c r="O2062" s="206"/>
    </row>
    <row r="2063" spans="12:15">
      <c r="L2063" s="412"/>
      <c r="M2063" s="235"/>
      <c r="N2063" s="235"/>
      <c r="O2063" s="206"/>
    </row>
    <row r="2064" spans="12:15">
      <c r="L2064" s="412"/>
      <c r="M2064" s="235"/>
      <c r="N2064" s="235"/>
      <c r="O2064" s="206"/>
    </row>
    <row r="2065" spans="12:15">
      <c r="L2065" s="412"/>
      <c r="M2065" s="235"/>
      <c r="N2065" s="235"/>
      <c r="O2065" s="206"/>
    </row>
    <row r="2066" spans="12:15">
      <c r="L2066" s="412"/>
      <c r="M2066" s="235"/>
      <c r="N2066" s="235"/>
      <c r="O2066" s="206"/>
    </row>
    <row r="2067" spans="12:15">
      <c r="L2067" s="412"/>
      <c r="M2067" s="235"/>
      <c r="N2067" s="235"/>
      <c r="O2067" s="206"/>
    </row>
    <row r="2068" spans="12:15">
      <c r="L2068" s="412"/>
      <c r="M2068" s="235"/>
      <c r="N2068" s="235"/>
      <c r="O2068" s="206"/>
    </row>
    <row r="2069" spans="12:15">
      <c r="L2069" s="412"/>
      <c r="M2069" s="235"/>
      <c r="N2069" s="235"/>
      <c r="O2069" s="206"/>
    </row>
    <row r="2070" spans="12:15">
      <c r="L2070" s="412"/>
      <c r="M2070" s="235"/>
      <c r="N2070" s="235"/>
      <c r="O2070" s="206"/>
    </row>
    <row r="2071" spans="12:15">
      <c r="L2071" s="412"/>
      <c r="M2071" s="235"/>
      <c r="N2071" s="235"/>
      <c r="O2071" s="206"/>
    </row>
    <row r="2072" spans="12:15">
      <c r="L2072" s="412"/>
      <c r="M2072" s="235"/>
      <c r="N2072" s="235"/>
      <c r="O2072" s="206"/>
    </row>
    <row r="2073" spans="12:15">
      <c r="L2073" s="412"/>
      <c r="M2073" s="235"/>
      <c r="N2073" s="235"/>
      <c r="O2073" s="206"/>
    </row>
    <row r="2074" spans="12:15">
      <c r="L2074" s="412"/>
      <c r="M2074" s="235"/>
      <c r="N2074" s="235"/>
      <c r="O2074" s="206"/>
    </row>
    <row r="2075" spans="12:15">
      <c r="L2075" s="412"/>
      <c r="M2075" s="235"/>
      <c r="N2075" s="235"/>
      <c r="O2075" s="206"/>
    </row>
    <row r="2076" spans="12:15">
      <c r="L2076" s="412"/>
      <c r="M2076" s="235"/>
      <c r="N2076" s="235"/>
      <c r="O2076" s="206"/>
    </row>
    <row r="2077" spans="12:15">
      <c r="L2077" s="412"/>
      <c r="M2077" s="235"/>
      <c r="N2077" s="235"/>
      <c r="O2077" s="206"/>
    </row>
    <row r="2078" spans="12:15">
      <c r="L2078" s="412"/>
      <c r="M2078" s="235"/>
      <c r="N2078" s="235"/>
      <c r="O2078" s="206"/>
    </row>
    <row r="2079" spans="12:15">
      <c r="L2079" s="412"/>
      <c r="M2079" s="235"/>
      <c r="N2079" s="235"/>
      <c r="O2079" s="206"/>
    </row>
    <row r="2080" spans="12:15">
      <c r="L2080" s="412"/>
      <c r="M2080" s="235"/>
      <c r="N2080" s="235"/>
      <c r="O2080" s="206"/>
    </row>
    <row r="2081" spans="12:15">
      <c r="L2081" s="412"/>
      <c r="M2081" s="235"/>
      <c r="N2081" s="235"/>
      <c r="O2081" s="206"/>
    </row>
    <row r="2082" spans="12:15">
      <c r="L2082" s="412"/>
      <c r="M2082" s="235"/>
      <c r="N2082" s="235"/>
      <c r="O2082" s="206"/>
    </row>
    <row r="2083" spans="12:15">
      <c r="L2083" s="412"/>
      <c r="M2083" s="235"/>
      <c r="N2083" s="235"/>
      <c r="O2083" s="206"/>
    </row>
    <row r="2084" spans="12:15">
      <c r="L2084" s="412"/>
      <c r="M2084" s="235"/>
      <c r="N2084" s="235"/>
      <c r="O2084" s="206"/>
    </row>
    <row r="2085" spans="12:15">
      <c r="L2085" s="412"/>
      <c r="M2085" s="235"/>
      <c r="N2085" s="235"/>
      <c r="O2085" s="206"/>
    </row>
    <row r="2086" spans="12:15">
      <c r="L2086" s="412"/>
      <c r="M2086" s="235"/>
      <c r="N2086" s="235"/>
      <c r="O2086" s="206"/>
    </row>
    <row r="2087" spans="12:15">
      <c r="L2087" s="412"/>
      <c r="M2087" s="235"/>
      <c r="N2087" s="235"/>
      <c r="O2087" s="206"/>
    </row>
    <row r="2088" spans="12:15">
      <c r="L2088" s="412"/>
      <c r="M2088" s="235"/>
      <c r="N2088" s="235"/>
      <c r="O2088" s="206"/>
    </row>
    <row r="2089" spans="12:15">
      <c r="L2089" s="412"/>
      <c r="M2089" s="235"/>
      <c r="N2089" s="235"/>
      <c r="O2089" s="206"/>
    </row>
    <row r="2090" spans="12:15">
      <c r="L2090" s="412"/>
      <c r="M2090" s="235"/>
      <c r="N2090" s="235"/>
      <c r="O2090" s="206"/>
    </row>
    <row r="2091" spans="12:15">
      <c r="L2091" s="412"/>
      <c r="M2091" s="235"/>
      <c r="N2091" s="235"/>
      <c r="O2091" s="206"/>
    </row>
    <row r="2092" spans="12:15">
      <c r="L2092" s="412"/>
      <c r="M2092" s="235"/>
      <c r="N2092" s="235"/>
      <c r="O2092" s="206"/>
    </row>
    <row r="2093" spans="12:15">
      <c r="L2093" s="412"/>
      <c r="M2093" s="235"/>
      <c r="N2093" s="235"/>
      <c r="O2093" s="206"/>
    </row>
    <row r="2094" spans="12:15">
      <c r="L2094" s="412"/>
      <c r="M2094" s="235"/>
      <c r="N2094" s="235"/>
      <c r="O2094" s="206"/>
    </row>
    <row r="2095" spans="12:15">
      <c r="L2095" s="412"/>
      <c r="M2095" s="235"/>
      <c r="N2095" s="235"/>
      <c r="O2095" s="206"/>
    </row>
    <row r="2096" spans="12:15">
      <c r="L2096" s="412"/>
      <c r="M2096" s="235"/>
      <c r="N2096" s="235"/>
      <c r="O2096" s="206"/>
    </row>
    <row r="2097" spans="12:15">
      <c r="L2097" s="412"/>
      <c r="M2097" s="235"/>
      <c r="N2097" s="235"/>
      <c r="O2097" s="206"/>
    </row>
    <row r="2098" spans="12:15">
      <c r="L2098" s="412"/>
      <c r="M2098" s="235"/>
      <c r="N2098" s="235"/>
      <c r="O2098" s="206"/>
    </row>
    <row r="2099" spans="12:15">
      <c r="L2099" s="412"/>
      <c r="M2099" s="235"/>
      <c r="N2099" s="235"/>
      <c r="O2099" s="206"/>
    </row>
    <row r="2100" spans="12:15">
      <c r="L2100" s="412"/>
      <c r="M2100" s="235"/>
      <c r="N2100" s="235"/>
      <c r="O2100" s="206"/>
    </row>
    <row r="2101" spans="12:15">
      <c r="L2101" s="412"/>
      <c r="M2101" s="235"/>
      <c r="N2101" s="235"/>
      <c r="O2101" s="206"/>
    </row>
    <row r="2102" spans="12:15">
      <c r="L2102" s="412"/>
      <c r="M2102" s="235"/>
      <c r="N2102" s="235"/>
      <c r="O2102" s="206"/>
    </row>
    <row r="2103" spans="12:15">
      <c r="L2103" s="412"/>
      <c r="M2103" s="235"/>
      <c r="N2103" s="235"/>
      <c r="O2103" s="206"/>
    </row>
    <row r="2104" spans="12:15">
      <c r="L2104" s="412"/>
      <c r="M2104" s="235"/>
      <c r="N2104" s="235"/>
      <c r="O2104" s="206"/>
    </row>
    <row r="2105" spans="12:15">
      <c r="L2105" s="412"/>
      <c r="M2105" s="235"/>
      <c r="N2105" s="235"/>
      <c r="O2105" s="206"/>
    </row>
    <row r="2106" spans="12:15">
      <c r="L2106" s="412"/>
      <c r="M2106" s="235"/>
      <c r="N2106" s="235"/>
      <c r="O2106" s="206"/>
    </row>
    <row r="2107" spans="12:15">
      <c r="L2107" s="412"/>
      <c r="M2107" s="235"/>
      <c r="N2107" s="235"/>
      <c r="O2107" s="206"/>
    </row>
    <row r="2108" spans="12:15">
      <c r="L2108" s="412"/>
      <c r="M2108" s="235"/>
      <c r="N2108" s="235"/>
      <c r="O2108" s="206"/>
    </row>
    <row r="2109" spans="12:15">
      <c r="L2109" s="412"/>
      <c r="M2109" s="235"/>
      <c r="N2109" s="235"/>
      <c r="O2109" s="206"/>
    </row>
    <row r="2110" spans="12:15">
      <c r="L2110" s="412"/>
      <c r="M2110" s="235"/>
      <c r="N2110" s="235"/>
      <c r="O2110" s="206"/>
    </row>
    <row r="2111" spans="12:15">
      <c r="L2111" s="412"/>
      <c r="M2111" s="235"/>
      <c r="N2111" s="235"/>
      <c r="O2111" s="206"/>
    </row>
    <row r="2112" spans="12:15">
      <c r="L2112" s="412"/>
      <c r="M2112" s="235"/>
      <c r="N2112" s="235"/>
      <c r="O2112" s="206"/>
    </row>
    <row r="2113" spans="12:15">
      <c r="L2113" s="412"/>
      <c r="M2113" s="235"/>
      <c r="N2113" s="235"/>
      <c r="O2113" s="206"/>
    </row>
    <row r="2114" spans="12:15">
      <c r="L2114" s="412"/>
      <c r="M2114" s="235"/>
      <c r="N2114" s="235"/>
      <c r="O2114" s="206"/>
    </row>
    <row r="2115" spans="12:15">
      <c r="L2115" s="412"/>
      <c r="M2115" s="235"/>
      <c r="N2115" s="235"/>
      <c r="O2115" s="206"/>
    </row>
    <row r="2116" spans="12:15">
      <c r="L2116" s="412"/>
      <c r="M2116" s="235"/>
      <c r="N2116" s="235"/>
      <c r="O2116" s="206"/>
    </row>
    <row r="2117" spans="12:15">
      <c r="L2117" s="412"/>
      <c r="M2117" s="235"/>
      <c r="N2117" s="235"/>
      <c r="O2117" s="206"/>
    </row>
    <row r="2118" spans="12:15">
      <c r="L2118" s="412"/>
      <c r="M2118" s="235"/>
      <c r="N2118" s="235"/>
      <c r="O2118" s="206"/>
    </row>
    <row r="2119" spans="12:15">
      <c r="L2119" s="412"/>
      <c r="M2119" s="235"/>
      <c r="N2119" s="235"/>
      <c r="O2119" s="206"/>
    </row>
    <row r="2120" spans="12:15">
      <c r="L2120" s="412"/>
      <c r="M2120" s="235"/>
      <c r="N2120" s="235"/>
      <c r="O2120" s="206"/>
    </row>
    <row r="2121" spans="12:15">
      <c r="L2121" s="412"/>
      <c r="M2121" s="235"/>
      <c r="N2121" s="235"/>
      <c r="O2121" s="206"/>
    </row>
    <row r="2122" spans="12:15">
      <c r="L2122" s="412"/>
      <c r="M2122" s="235"/>
      <c r="N2122" s="235"/>
      <c r="O2122" s="206"/>
    </row>
    <row r="2123" spans="12:15">
      <c r="L2123" s="412"/>
      <c r="M2123" s="235"/>
      <c r="N2123" s="235"/>
      <c r="O2123" s="206"/>
    </row>
    <row r="2124" spans="12:15">
      <c r="L2124" s="412"/>
      <c r="M2124" s="235"/>
      <c r="N2124" s="235"/>
      <c r="O2124" s="206"/>
    </row>
    <row r="2125" spans="12:15">
      <c r="L2125" s="412"/>
      <c r="M2125" s="235"/>
      <c r="N2125" s="235"/>
      <c r="O2125" s="206"/>
    </row>
    <row r="2126" spans="12:15">
      <c r="L2126" s="412"/>
      <c r="M2126" s="235"/>
      <c r="N2126" s="235"/>
      <c r="O2126" s="206"/>
    </row>
    <row r="2127" spans="12:15">
      <c r="L2127" s="412"/>
      <c r="M2127" s="235"/>
      <c r="N2127" s="235"/>
      <c r="O2127" s="206"/>
    </row>
    <row r="2128" spans="12:15">
      <c r="L2128" s="412"/>
      <c r="M2128" s="235"/>
      <c r="N2128" s="235"/>
      <c r="O2128" s="206"/>
    </row>
    <row r="2129" spans="12:15">
      <c r="L2129" s="412"/>
      <c r="M2129" s="235"/>
      <c r="N2129" s="235"/>
      <c r="O2129" s="206"/>
    </row>
    <row r="2130" spans="12:15">
      <c r="L2130" s="412"/>
      <c r="M2130" s="235"/>
      <c r="N2130" s="235"/>
      <c r="O2130" s="206"/>
    </row>
    <row r="2131" spans="12:15">
      <c r="L2131" s="412"/>
      <c r="M2131" s="235"/>
      <c r="N2131" s="235"/>
      <c r="O2131" s="206"/>
    </row>
    <row r="2132" spans="12:15">
      <c r="L2132" s="412"/>
      <c r="M2132" s="235"/>
      <c r="N2132" s="235"/>
      <c r="O2132" s="206"/>
    </row>
    <row r="2133" spans="12:15">
      <c r="L2133" s="412"/>
      <c r="M2133" s="235"/>
      <c r="N2133" s="235"/>
      <c r="O2133" s="206"/>
    </row>
    <row r="2134" spans="12:15">
      <c r="L2134" s="412"/>
      <c r="M2134" s="235"/>
      <c r="N2134" s="235"/>
      <c r="O2134" s="206"/>
    </row>
    <row r="2135" spans="12:15">
      <c r="L2135" s="412"/>
      <c r="M2135" s="235"/>
      <c r="N2135" s="235"/>
      <c r="O2135" s="206"/>
    </row>
    <row r="2136" spans="12:15">
      <c r="L2136" s="412"/>
      <c r="M2136" s="235"/>
      <c r="N2136" s="235"/>
      <c r="O2136" s="206"/>
    </row>
    <row r="2137" spans="12:15">
      <c r="L2137" s="412"/>
      <c r="M2137" s="235"/>
      <c r="N2137" s="235"/>
      <c r="O2137" s="206"/>
    </row>
    <row r="2138" spans="12:15">
      <c r="L2138" s="412"/>
      <c r="M2138" s="235"/>
      <c r="N2138" s="235"/>
      <c r="O2138" s="206"/>
    </row>
    <row r="2139" spans="12:15">
      <c r="L2139" s="412"/>
      <c r="M2139" s="235"/>
      <c r="N2139" s="235"/>
      <c r="O2139" s="206"/>
    </row>
    <row r="2140" spans="12:15">
      <c r="L2140" s="412"/>
      <c r="M2140" s="235"/>
      <c r="N2140" s="235"/>
      <c r="O2140" s="206"/>
    </row>
    <row r="2141" spans="12:15">
      <c r="L2141" s="412"/>
      <c r="M2141" s="235"/>
      <c r="N2141" s="235"/>
      <c r="O2141" s="206"/>
    </row>
    <row r="2142" spans="12:15">
      <c r="L2142" s="412"/>
      <c r="M2142" s="235"/>
      <c r="N2142" s="235"/>
      <c r="O2142" s="206"/>
    </row>
    <row r="2143" spans="12:15">
      <c r="L2143" s="412"/>
      <c r="M2143" s="235"/>
      <c r="N2143" s="235"/>
      <c r="O2143" s="206"/>
    </row>
    <row r="2144" spans="12:15">
      <c r="L2144" s="412"/>
      <c r="M2144" s="235"/>
      <c r="N2144" s="235"/>
      <c r="O2144" s="206"/>
    </row>
    <row r="2145" spans="12:15">
      <c r="L2145" s="412"/>
      <c r="M2145" s="235"/>
      <c r="N2145" s="235"/>
      <c r="O2145" s="206"/>
    </row>
    <row r="2146" spans="12:15">
      <c r="L2146" s="412"/>
      <c r="M2146" s="235"/>
      <c r="N2146" s="235"/>
      <c r="O2146" s="206"/>
    </row>
    <row r="2147" spans="12:15">
      <c r="L2147" s="412"/>
      <c r="M2147" s="235"/>
      <c r="N2147" s="235"/>
      <c r="O2147" s="206"/>
    </row>
    <row r="2148" spans="12:15">
      <c r="L2148" s="412"/>
      <c r="M2148" s="235"/>
      <c r="N2148" s="235"/>
      <c r="O2148" s="206"/>
    </row>
    <row r="2149" spans="12:15">
      <c r="L2149" s="412"/>
      <c r="M2149" s="235"/>
      <c r="N2149" s="235"/>
      <c r="O2149" s="206"/>
    </row>
    <row r="2150" spans="12:15">
      <c r="L2150" s="412"/>
      <c r="M2150" s="235"/>
      <c r="N2150" s="235"/>
      <c r="O2150" s="206"/>
    </row>
    <row r="2151" spans="12:15">
      <c r="L2151" s="412"/>
      <c r="M2151" s="235"/>
      <c r="N2151" s="235"/>
      <c r="O2151" s="206"/>
    </row>
    <row r="2152" spans="12:15">
      <c r="L2152" s="412"/>
      <c r="M2152" s="235"/>
      <c r="N2152" s="235"/>
      <c r="O2152" s="206"/>
    </row>
    <row r="2153" spans="12:15">
      <c r="L2153" s="412"/>
      <c r="M2153" s="235"/>
      <c r="N2153" s="235"/>
      <c r="O2153" s="206"/>
    </row>
    <row r="2154" spans="12:15">
      <c r="L2154" s="412"/>
      <c r="M2154" s="235"/>
      <c r="N2154" s="235"/>
      <c r="O2154" s="206"/>
    </row>
    <row r="2155" spans="12:15">
      <c r="L2155" s="412"/>
      <c r="M2155" s="235"/>
      <c r="N2155" s="235"/>
      <c r="O2155" s="206"/>
    </row>
    <row r="2156" spans="12:15">
      <c r="L2156" s="412"/>
      <c r="M2156" s="235"/>
      <c r="N2156" s="235"/>
      <c r="O2156" s="206"/>
    </row>
    <row r="2157" spans="12:15">
      <c r="L2157" s="412"/>
      <c r="M2157" s="235"/>
      <c r="N2157" s="235"/>
      <c r="O2157" s="206"/>
    </row>
    <row r="2158" spans="12:15">
      <c r="L2158" s="412"/>
      <c r="M2158" s="235"/>
      <c r="N2158" s="235"/>
      <c r="O2158" s="206"/>
    </row>
    <row r="2159" spans="12:15">
      <c r="L2159" s="412"/>
      <c r="M2159" s="235"/>
      <c r="N2159" s="235"/>
      <c r="O2159" s="206"/>
    </row>
    <row r="2160" spans="12:15">
      <c r="L2160" s="412"/>
      <c r="M2160" s="235"/>
      <c r="N2160" s="235"/>
      <c r="O2160" s="206"/>
    </row>
    <row r="2161" spans="12:15">
      <c r="L2161" s="412"/>
      <c r="M2161" s="235"/>
      <c r="N2161" s="235"/>
      <c r="O2161" s="206"/>
    </row>
    <row r="2162" spans="12:15">
      <c r="L2162" s="412"/>
      <c r="M2162" s="235"/>
      <c r="N2162" s="235"/>
      <c r="O2162" s="206"/>
    </row>
    <row r="2163" spans="12:15">
      <c r="L2163" s="412"/>
      <c r="M2163" s="235"/>
      <c r="N2163" s="235"/>
      <c r="O2163" s="206"/>
    </row>
    <row r="2164" spans="12:15">
      <c r="L2164" s="412"/>
      <c r="M2164" s="235"/>
      <c r="N2164" s="235"/>
      <c r="O2164" s="206"/>
    </row>
    <row r="2165" spans="12:15">
      <c r="L2165" s="412"/>
      <c r="M2165" s="235"/>
      <c r="N2165" s="235"/>
      <c r="O2165" s="206"/>
    </row>
    <row r="2166" spans="12:15">
      <c r="L2166" s="412"/>
      <c r="M2166" s="235"/>
      <c r="N2166" s="235"/>
      <c r="O2166" s="206"/>
    </row>
    <row r="2167" spans="12:15">
      <c r="L2167" s="412"/>
      <c r="M2167" s="235"/>
      <c r="N2167" s="235"/>
      <c r="O2167" s="206"/>
    </row>
    <row r="2168" spans="12:15">
      <c r="L2168" s="412"/>
      <c r="M2168" s="235"/>
      <c r="N2168" s="235"/>
      <c r="O2168" s="206"/>
    </row>
    <row r="2169" spans="12:15">
      <c r="L2169" s="412"/>
      <c r="M2169" s="235"/>
      <c r="N2169" s="235"/>
      <c r="O2169" s="206"/>
    </row>
    <row r="2170" spans="12:15">
      <c r="L2170" s="412"/>
      <c r="M2170" s="235"/>
      <c r="N2170" s="235"/>
      <c r="O2170" s="206"/>
    </row>
    <row r="2171" spans="12:15">
      <c r="L2171" s="412"/>
      <c r="M2171" s="235"/>
      <c r="N2171" s="235"/>
      <c r="O2171" s="206"/>
    </row>
    <row r="2172" spans="12:15">
      <c r="L2172" s="412"/>
      <c r="M2172" s="235"/>
      <c r="N2172" s="235"/>
      <c r="O2172" s="206"/>
    </row>
    <row r="2173" spans="12:15">
      <c r="L2173" s="412"/>
      <c r="M2173" s="235"/>
      <c r="N2173" s="235"/>
      <c r="O2173" s="206"/>
    </row>
    <row r="2174" spans="12:15">
      <c r="L2174" s="412"/>
      <c r="M2174" s="235"/>
      <c r="N2174" s="235"/>
      <c r="O2174" s="206"/>
    </row>
    <row r="2175" spans="12:15">
      <c r="L2175" s="412"/>
      <c r="M2175" s="235"/>
      <c r="N2175" s="235"/>
      <c r="O2175" s="206"/>
    </row>
    <row r="2176" spans="12:15">
      <c r="L2176" s="412"/>
      <c r="M2176" s="235"/>
      <c r="N2176" s="235"/>
      <c r="O2176" s="206"/>
    </row>
    <row r="2177" spans="12:15">
      <c r="L2177" s="412"/>
      <c r="M2177" s="235"/>
      <c r="N2177" s="235"/>
      <c r="O2177" s="206"/>
    </row>
    <row r="2178" spans="12:15">
      <c r="L2178" s="412"/>
      <c r="M2178" s="235"/>
      <c r="N2178" s="235"/>
      <c r="O2178" s="206"/>
    </row>
    <row r="2179" spans="12:15">
      <c r="L2179" s="412"/>
      <c r="M2179" s="235"/>
      <c r="N2179" s="235"/>
      <c r="O2179" s="206"/>
    </row>
    <row r="2180" spans="12:15">
      <c r="L2180" s="412"/>
      <c r="M2180" s="235"/>
      <c r="N2180" s="235"/>
      <c r="O2180" s="206"/>
    </row>
    <row r="2181" spans="12:15">
      <c r="L2181" s="412"/>
      <c r="M2181" s="235"/>
      <c r="N2181" s="235"/>
      <c r="O2181" s="206"/>
    </row>
    <row r="2182" spans="12:15">
      <c r="L2182" s="412"/>
      <c r="M2182" s="235"/>
      <c r="N2182" s="235"/>
      <c r="O2182" s="206"/>
    </row>
    <row r="2183" spans="12:15">
      <c r="L2183" s="412"/>
      <c r="M2183" s="235"/>
      <c r="N2183" s="235"/>
      <c r="O2183" s="206"/>
    </row>
    <row r="2184" spans="12:15">
      <c r="L2184" s="412"/>
      <c r="M2184" s="235"/>
      <c r="N2184" s="235"/>
      <c r="O2184" s="206"/>
    </row>
    <row r="2185" spans="12:15">
      <c r="L2185" s="412"/>
      <c r="M2185" s="235"/>
      <c r="N2185" s="235"/>
      <c r="O2185" s="206"/>
    </row>
    <row r="2186" spans="12:15">
      <c r="L2186" s="412"/>
      <c r="M2186" s="235"/>
      <c r="N2186" s="235"/>
      <c r="O2186" s="206"/>
    </row>
    <row r="2187" spans="12:15">
      <c r="L2187" s="412"/>
      <c r="M2187" s="235"/>
      <c r="N2187" s="235"/>
      <c r="O2187" s="206"/>
    </row>
    <row r="2188" spans="12:15">
      <c r="L2188" s="412"/>
      <c r="M2188" s="235"/>
      <c r="N2188" s="235"/>
      <c r="O2188" s="206"/>
    </row>
    <row r="2189" spans="12:15">
      <c r="L2189" s="412"/>
      <c r="M2189" s="235"/>
      <c r="N2189" s="235"/>
      <c r="O2189" s="206"/>
    </row>
    <row r="2190" spans="12:15">
      <c r="L2190" s="412"/>
      <c r="M2190" s="235"/>
      <c r="N2190" s="235"/>
      <c r="O2190" s="206"/>
    </row>
    <row r="2191" spans="12:15">
      <c r="L2191" s="412"/>
      <c r="M2191" s="235"/>
      <c r="N2191" s="235"/>
      <c r="O2191" s="206"/>
    </row>
    <row r="2192" spans="12:15">
      <c r="L2192" s="412"/>
      <c r="M2192" s="235"/>
      <c r="N2192" s="235"/>
      <c r="O2192" s="206"/>
    </row>
    <row r="2193" spans="12:15">
      <c r="L2193" s="412"/>
      <c r="M2193" s="235"/>
      <c r="N2193" s="235"/>
      <c r="O2193" s="206"/>
    </row>
    <row r="2194" spans="12:15">
      <c r="L2194" s="412"/>
      <c r="M2194" s="235"/>
      <c r="N2194" s="235"/>
      <c r="O2194" s="206"/>
    </row>
    <row r="2195" spans="12:15">
      <c r="L2195" s="412"/>
      <c r="M2195" s="235"/>
      <c r="N2195" s="235"/>
      <c r="O2195" s="206"/>
    </row>
    <row r="2196" spans="12:15">
      <c r="L2196" s="412"/>
      <c r="M2196" s="235"/>
      <c r="N2196" s="235"/>
      <c r="O2196" s="206"/>
    </row>
    <row r="2197" spans="12:15">
      <c r="L2197" s="412"/>
      <c r="M2197" s="235"/>
      <c r="N2197" s="235"/>
      <c r="O2197" s="206"/>
    </row>
    <row r="2198" spans="12:15">
      <c r="L2198" s="412"/>
      <c r="M2198" s="235"/>
      <c r="N2198" s="235"/>
      <c r="O2198" s="206"/>
    </row>
    <row r="2199" spans="12:15">
      <c r="L2199" s="412"/>
      <c r="M2199" s="235"/>
      <c r="N2199" s="235"/>
      <c r="O2199" s="206"/>
    </row>
    <row r="2200" spans="12:15">
      <c r="L2200" s="412"/>
      <c r="M2200" s="235"/>
      <c r="N2200" s="235"/>
      <c r="O2200" s="206"/>
    </row>
    <row r="2201" spans="12:15">
      <c r="L2201" s="412"/>
      <c r="M2201" s="235"/>
      <c r="N2201" s="235"/>
      <c r="O2201" s="206"/>
    </row>
    <row r="2202" spans="12:15">
      <c r="L2202" s="412"/>
      <c r="M2202" s="235"/>
      <c r="N2202" s="235"/>
      <c r="O2202" s="206"/>
    </row>
    <row r="2203" spans="12:15">
      <c r="L2203" s="412"/>
      <c r="M2203" s="235"/>
      <c r="N2203" s="235"/>
      <c r="O2203" s="206"/>
    </row>
    <row r="2204" spans="12:15">
      <c r="L2204" s="412"/>
      <c r="M2204" s="235"/>
      <c r="N2204" s="235"/>
      <c r="O2204" s="206"/>
    </row>
    <row r="2205" spans="12:15">
      <c r="L2205" s="412"/>
      <c r="M2205" s="235"/>
      <c r="N2205" s="235"/>
      <c r="O2205" s="206"/>
    </row>
    <row r="2206" spans="12:15">
      <c r="L2206" s="412"/>
      <c r="M2206" s="235"/>
      <c r="N2206" s="235"/>
      <c r="O2206" s="206"/>
    </row>
    <row r="2207" spans="12:15">
      <c r="L2207" s="412"/>
      <c r="M2207" s="235"/>
      <c r="N2207" s="235"/>
      <c r="O2207" s="206"/>
    </row>
    <row r="2208" spans="12:15">
      <c r="L2208" s="412"/>
      <c r="M2208" s="235"/>
      <c r="N2208" s="235"/>
      <c r="O2208" s="206"/>
    </row>
    <row r="2209" spans="4:15">
      <c r="L2209" s="412"/>
      <c r="M2209" s="235"/>
      <c r="N2209" s="235"/>
      <c r="O2209" s="206"/>
    </row>
    <row r="2210" spans="4:15">
      <c r="L2210" s="412"/>
      <c r="M2210" s="235"/>
      <c r="N2210" s="235"/>
      <c r="O2210" s="206"/>
    </row>
    <row r="2211" spans="4:15">
      <c r="L2211" s="412"/>
      <c r="M2211" s="235"/>
      <c r="N2211" s="235"/>
      <c r="O2211" s="206"/>
    </row>
    <row r="2212" spans="4:15">
      <c r="L2212" s="412"/>
      <c r="M2212" s="235"/>
      <c r="N2212" s="235"/>
      <c r="O2212" s="206"/>
    </row>
    <row r="2213" spans="4:15">
      <c r="L2213" s="412"/>
      <c r="M2213" s="235"/>
      <c r="N2213" s="235"/>
      <c r="O2213" s="206"/>
    </row>
    <row r="2214" spans="4:15">
      <c r="D2214" s="413"/>
      <c r="G2214" s="413"/>
      <c r="H2214" s="405"/>
      <c r="I2214" s="405"/>
      <c r="L2214" s="412"/>
      <c r="M2214" s="235"/>
      <c r="N2214" s="235"/>
      <c r="O2214" s="206"/>
    </row>
    <row r="2215" spans="4:15">
      <c r="D2215" s="413"/>
      <c r="G2215" s="413"/>
      <c r="H2215" s="405"/>
      <c r="I2215" s="405"/>
      <c r="L2215" s="412"/>
      <c r="M2215" s="235"/>
      <c r="N2215" s="235"/>
      <c r="O2215" s="206"/>
    </row>
    <row r="2216" spans="4:15">
      <c r="D2216" s="413"/>
      <c r="G2216" s="413"/>
      <c r="H2216" s="405"/>
      <c r="I2216" s="405"/>
      <c r="L2216" s="412"/>
      <c r="M2216" s="235"/>
      <c r="N2216" s="235"/>
      <c r="O2216" s="206"/>
    </row>
    <row r="2217" spans="4:15">
      <c r="D2217" s="413"/>
      <c r="G2217" s="413"/>
      <c r="H2217" s="405"/>
      <c r="I2217" s="405"/>
      <c r="L2217" s="412"/>
      <c r="M2217" s="235"/>
      <c r="N2217" s="235"/>
      <c r="O2217" s="206"/>
    </row>
    <row r="2218" spans="4:15">
      <c r="D2218" s="413"/>
      <c r="G2218" s="413"/>
      <c r="H2218" s="405"/>
      <c r="I2218" s="405"/>
      <c r="L2218" s="412"/>
      <c r="M2218" s="235"/>
      <c r="N2218" s="235"/>
      <c r="O2218" s="206"/>
    </row>
    <row r="2219" spans="4:15">
      <c r="D2219" s="413"/>
      <c r="G2219" s="413"/>
      <c r="H2219" s="405"/>
      <c r="I2219" s="405"/>
      <c r="L2219" s="412"/>
      <c r="M2219" s="235"/>
      <c r="N2219" s="235"/>
      <c r="O2219" s="206"/>
    </row>
    <row r="2220" spans="4:15">
      <c r="D2220" s="413"/>
      <c r="G2220" s="413"/>
      <c r="H2220" s="405"/>
      <c r="I2220" s="405"/>
      <c r="L2220" s="412"/>
      <c r="M2220" s="235"/>
      <c r="N2220" s="235"/>
      <c r="O2220" s="206"/>
    </row>
    <row r="2221" spans="4:15">
      <c r="D2221" s="413"/>
      <c r="G2221" s="413"/>
      <c r="H2221" s="405"/>
      <c r="I2221" s="405"/>
      <c r="L2221" s="412"/>
      <c r="M2221" s="235"/>
      <c r="N2221" s="235"/>
      <c r="O2221" s="206"/>
    </row>
    <row r="2222" spans="4:15">
      <c r="D2222" s="413"/>
      <c r="G2222" s="413"/>
      <c r="H2222" s="405"/>
      <c r="I2222" s="405"/>
      <c r="L2222" s="412"/>
      <c r="M2222" s="235"/>
      <c r="N2222" s="235"/>
      <c r="O2222" s="206"/>
    </row>
    <row r="2223" spans="4:15">
      <c r="D2223" s="413"/>
      <c r="G2223" s="413"/>
      <c r="H2223" s="405"/>
      <c r="I2223" s="405"/>
      <c r="L2223" s="412"/>
      <c r="M2223" s="235"/>
      <c r="N2223" s="235"/>
      <c r="O2223" s="206"/>
    </row>
    <row r="2224" spans="4:15">
      <c r="D2224" s="413"/>
      <c r="G2224" s="413"/>
      <c r="H2224" s="405"/>
      <c r="I2224" s="405"/>
      <c r="L2224" s="412"/>
      <c r="M2224" s="235"/>
      <c r="N2224" s="235"/>
      <c r="O2224" s="206"/>
    </row>
    <row r="2225" spans="4:15">
      <c r="D2225" s="413"/>
      <c r="G2225" s="413"/>
      <c r="H2225" s="405"/>
      <c r="I2225" s="405"/>
      <c r="L2225" s="412"/>
      <c r="M2225" s="235"/>
      <c r="N2225" s="235"/>
      <c r="O2225" s="206"/>
    </row>
    <row r="2226" spans="4:15">
      <c r="D2226" s="413"/>
      <c r="G2226" s="413"/>
      <c r="H2226" s="405"/>
      <c r="I2226" s="405"/>
      <c r="L2226" s="412"/>
      <c r="M2226" s="235"/>
      <c r="N2226" s="235"/>
      <c r="O2226" s="206"/>
    </row>
    <row r="2227" spans="4:15">
      <c r="D2227" s="413"/>
      <c r="G2227" s="413"/>
      <c r="H2227" s="405"/>
      <c r="I2227" s="405"/>
      <c r="L2227" s="412"/>
      <c r="M2227" s="235"/>
      <c r="N2227" s="235"/>
      <c r="O2227" s="206"/>
    </row>
    <row r="2228" spans="4:15">
      <c r="D2228" s="413"/>
      <c r="G2228" s="413"/>
      <c r="H2228" s="405"/>
      <c r="I2228" s="405"/>
      <c r="L2228" s="412"/>
      <c r="M2228" s="235"/>
      <c r="N2228" s="235"/>
      <c r="O2228" s="206"/>
    </row>
    <row r="2229" spans="4:15">
      <c r="D2229" s="413"/>
      <c r="G2229" s="413"/>
      <c r="H2229" s="405"/>
      <c r="I2229" s="405"/>
      <c r="L2229" s="412"/>
      <c r="M2229" s="235"/>
      <c r="N2229" s="235"/>
      <c r="O2229" s="206"/>
    </row>
    <row r="2230" spans="4:15">
      <c r="D2230" s="413"/>
      <c r="G2230" s="413"/>
      <c r="H2230" s="405"/>
      <c r="I2230" s="405"/>
      <c r="L2230" s="412"/>
      <c r="M2230" s="235"/>
      <c r="N2230" s="235"/>
      <c r="O2230" s="206"/>
    </row>
    <row r="2231" spans="4:15">
      <c r="D2231" s="413"/>
      <c r="G2231" s="413"/>
      <c r="H2231" s="405"/>
      <c r="I2231" s="405"/>
      <c r="L2231" s="412"/>
      <c r="M2231" s="235"/>
      <c r="N2231" s="235"/>
      <c r="O2231" s="206"/>
    </row>
    <row r="2232" spans="4:15">
      <c r="D2232" s="413"/>
      <c r="G2232" s="413"/>
      <c r="H2232" s="405"/>
      <c r="I2232" s="405"/>
      <c r="L2232" s="412"/>
      <c r="M2232" s="235"/>
      <c r="N2232" s="235"/>
      <c r="O2232" s="206"/>
    </row>
    <row r="2233" spans="4:15">
      <c r="D2233" s="413"/>
      <c r="G2233" s="413"/>
      <c r="H2233" s="405"/>
      <c r="I2233" s="405"/>
      <c r="L2233" s="412"/>
      <c r="M2233" s="235"/>
      <c r="N2233" s="235"/>
      <c r="O2233" s="206"/>
    </row>
    <row r="2234" spans="4:15">
      <c r="D2234" s="413"/>
      <c r="G2234" s="413"/>
      <c r="H2234" s="405"/>
      <c r="I2234" s="405"/>
      <c r="L2234" s="412"/>
      <c r="M2234" s="235"/>
      <c r="N2234" s="235"/>
      <c r="O2234" s="206"/>
    </row>
    <row r="2235" spans="4:15">
      <c r="D2235" s="413"/>
      <c r="G2235" s="413"/>
      <c r="H2235" s="405"/>
      <c r="I2235" s="405"/>
      <c r="L2235" s="412"/>
      <c r="M2235" s="235"/>
      <c r="N2235" s="235"/>
      <c r="O2235" s="206"/>
    </row>
    <row r="2236" spans="4:15">
      <c r="D2236" s="413"/>
      <c r="G2236" s="413"/>
      <c r="H2236" s="405"/>
      <c r="I2236" s="405"/>
      <c r="L2236" s="412"/>
      <c r="M2236" s="235"/>
      <c r="N2236" s="235"/>
      <c r="O2236" s="206"/>
    </row>
    <row r="2237" spans="4:15">
      <c r="D2237" s="413"/>
      <c r="G2237" s="413"/>
      <c r="H2237" s="405"/>
      <c r="I2237" s="405"/>
      <c r="L2237" s="412"/>
      <c r="M2237" s="235"/>
      <c r="N2237" s="235"/>
      <c r="O2237" s="206"/>
    </row>
    <row r="2238" spans="4:15">
      <c r="D2238" s="413"/>
      <c r="G2238" s="413"/>
      <c r="H2238" s="405"/>
      <c r="I2238" s="405"/>
      <c r="L2238" s="412"/>
      <c r="M2238" s="235"/>
      <c r="N2238" s="235"/>
      <c r="O2238" s="206"/>
    </row>
    <row r="2239" spans="4:15">
      <c r="D2239" s="413"/>
      <c r="G2239" s="413"/>
      <c r="H2239" s="405"/>
      <c r="I2239" s="405"/>
      <c r="L2239" s="412"/>
      <c r="M2239" s="235"/>
      <c r="N2239" s="235"/>
      <c r="O2239" s="206"/>
    </row>
    <row r="2240" spans="4:15">
      <c r="D2240" s="413"/>
      <c r="G2240" s="413"/>
      <c r="H2240" s="405"/>
      <c r="I2240" s="405"/>
      <c r="L2240" s="412"/>
      <c r="M2240" s="235"/>
      <c r="N2240" s="235"/>
      <c r="O2240" s="206"/>
    </row>
    <row r="2241" spans="4:15">
      <c r="D2241" s="413"/>
      <c r="G2241" s="413"/>
      <c r="H2241" s="405"/>
      <c r="I2241" s="405"/>
      <c r="L2241" s="412"/>
      <c r="M2241" s="235"/>
      <c r="N2241" s="235"/>
      <c r="O2241" s="206"/>
    </row>
    <row r="2242" spans="4:15">
      <c r="D2242" s="413"/>
      <c r="G2242" s="413"/>
      <c r="H2242" s="405"/>
      <c r="I2242" s="405"/>
      <c r="L2242" s="412"/>
      <c r="M2242" s="235"/>
      <c r="N2242" s="235"/>
      <c r="O2242" s="206"/>
    </row>
    <row r="2243" spans="4:15">
      <c r="D2243" s="413"/>
      <c r="G2243" s="413"/>
      <c r="H2243" s="405"/>
      <c r="I2243" s="405"/>
      <c r="L2243" s="412"/>
      <c r="M2243" s="235"/>
      <c r="N2243" s="235"/>
      <c r="O2243" s="206"/>
    </row>
    <row r="2244" spans="4:15">
      <c r="D2244" s="413"/>
      <c r="G2244" s="413"/>
      <c r="H2244" s="405"/>
      <c r="I2244" s="405"/>
      <c r="L2244" s="412"/>
      <c r="M2244" s="235"/>
      <c r="N2244" s="235"/>
      <c r="O2244" s="206"/>
    </row>
    <row r="2245" spans="4:15">
      <c r="D2245" s="413"/>
      <c r="G2245" s="413"/>
      <c r="H2245" s="405"/>
      <c r="I2245" s="405"/>
      <c r="L2245" s="412"/>
      <c r="M2245" s="235"/>
      <c r="N2245" s="235"/>
      <c r="O2245" s="206"/>
    </row>
    <row r="2246" spans="4:15">
      <c r="D2246" s="413"/>
      <c r="G2246" s="413"/>
      <c r="H2246" s="405"/>
      <c r="I2246" s="405"/>
      <c r="L2246" s="412"/>
      <c r="M2246" s="235"/>
      <c r="N2246" s="235"/>
      <c r="O2246" s="206"/>
    </row>
    <row r="2247" spans="4:15">
      <c r="D2247" s="413"/>
      <c r="G2247" s="413"/>
      <c r="H2247" s="405"/>
      <c r="I2247" s="405"/>
      <c r="L2247" s="412"/>
      <c r="M2247" s="235"/>
      <c r="N2247" s="235"/>
      <c r="O2247" s="206"/>
    </row>
    <row r="2248" spans="4:15">
      <c r="D2248" s="413"/>
      <c r="G2248" s="413"/>
      <c r="H2248" s="405"/>
      <c r="I2248" s="405"/>
      <c r="L2248" s="412"/>
      <c r="M2248" s="235"/>
      <c r="N2248" s="235"/>
      <c r="O2248" s="206"/>
    </row>
    <row r="2249" spans="4:15">
      <c r="D2249" s="413"/>
      <c r="G2249" s="413"/>
      <c r="H2249" s="405"/>
      <c r="I2249" s="405"/>
      <c r="L2249" s="412"/>
      <c r="M2249" s="235"/>
      <c r="N2249" s="235"/>
      <c r="O2249" s="206"/>
    </row>
    <row r="2250" spans="4:15">
      <c r="D2250" s="413"/>
      <c r="G2250" s="413"/>
      <c r="H2250" s="405"/>
      <c r="I2250" s="405"/>
      <c r="L2250" s="412"/>
      <c r="M2250" s="235"/>
      <c r="N2250" s="235"/>
      <c r="O2250" s="206"/>
    </row>
    <row r="2251" spans="4:15">
      <c r="D2251" s="413"/>
      <c r="G2251" s="413"/>
      <c r="H2251" s="405"/>
      <c r="I2251" s="405"/>
      <c r="L2251" s="412"/>
      <c r="M2251" s="235"/>
      <c r="N2251" s="235"/>
      <c r="O2251" s="206"/>
    </row>
    <row r="2252" spans="4:15">
      <c r="D2252" s="413"/>
      <c r="G2252" s="413"/>
      <c r="H2252" s="405"/>
      <c r="I2252" s="405"/>
      <c r="L2252" s="412"/>
      <c r="M2252" s="235"/>
      <c r="N2252" s="235"/>
      <c r="O2252" s="206"/>
    </row>
    <row r="2253" spans="4:15">
      <c r="D2253" s="413"/>
      <c r="G2253" s="413"/>
      <c r="H2253" s="405"/>
      <c r="I2253" s="405"/>
      <c r="L2253" s="412"/>
      <c r="M2253" s="235"/>
      <c r="N2253" s="235"/>
      <c r="O2253" s="206"/>
    </row>
    <row r="2254" spans="4:15">
      <c r="D2254" s="413"/>
      <c r="G2254" s="413"/>
      <c r="H2254" s="405"/>
      <c r="I2254" s="405"/>
      <c r="L2254" s="412"/>
      <c r="M2254" s="235"/>
      <c r="N2254" s="235"/>
      <c r="O2254" s="206"/>
    </row>
    <row r="2255" spans="4:15">
      <c r="D2255" s="413"/>
      <c r="G2255" s="413"/>
      <c r="H2255" s="405"/>
      <c r="I2255" s="405"/>
      <c r="L2255" s="412"/>
      <c r="M2255" s="235"/>
      <c r="N2255" s="235"/>
      <c r="O2255" s="206"/>
    </row>
    <row r="2256" spans="4:15">
      <c r="D2256" s="413"/>
      <c r="G2256" s="413"/>
      <c r="H2256" s="405"/>
      <c r="I2256" s="405"/>
      <c r="L2256" s="412"/>
      <c r="M2256" s="235"/>
      <c r="N2256" s="235"/>
      <c r="O2256" s="206"/>
    </row>
    <row r="2257" spans="4:15">
      <c r="D2257" s="413"/>
      <c r="G2257" s="413"/>
      <c r="H2257" s="405"/>
      <c r="I2257" s="405"/>
      <c r="L2257" s="412"/>
      <c r="M2257" s="235"/>
      <c r="N2257" s="235"/>
      <c r="O2257" s="206"/>
    </row>
    <row r="2258" spans="4:15">
      <c r="D2258" s="413"/>
      <c r="G2258" s="413"/>
      <c r="H2258" s="405"/>
      <c r="I2258" s="405"/>
      <c r="L2258" s="412"/>
      <c r="M2258" s="235"/>
      <c r="N2258" s="235"/>
      <c r="O2258" s="206"/>
    </row>
    <row r="2259" spans="4:15">
      <c r="D2259" s="413"/>
      <c r="G2259" s="413"/>
      <c r="H2259" s="405"/>
      <c r="I2259" s="405"/>
      <c r="L2259" s="412"/>
      <c r="M2259" s="235"/>
      <c r="N2259" s="235"/>
      <c r="O2259" s="206"/>
    </row>
    <row r="2260" spans="4:15">
      <c r="D2260" s="413"/>
      <c r="G2260" s="413"/>
      <c r="H2260" s="405"/>
      <c r="I2260" s="405"/>
      <c r="L2260" s="412"/>
      <c r="M2260" s="235"/>
      <c r="N2260" s="235"/>
      <c r="O2260" s="206"/>
    </row>
    <row r="2261" spans="4:15">
      <c r="D2261" s="413"/>
      <c r="G2261" s="413"/>
      <c r="H2261" s="405"/>
      <c r="I2261" s="405"/>
      <c r="L2261" s="412"/>
      <c r="M2261" s="235"/>
      <c r="N2261" s="235"/>
      <c r="O2261" s="206"/>
    </row>
    <row r="2262" spans="4:15">
      <c r="D2262" s="413"/>
      <c r="G2262" s="413"/>
      <c r="H2262" s="405"/>
      <c r="I2262" s="405"/>
      <c r="L2262" s="412"/>
      <c r="M2262" s="235"/>
      <c r="N2262" s="235"/>
      <c r="O2262" s="206"/>
    </row>
    <row r="2263" spans="4:15">
      <c r="D2263" s="413"/>
      <c r="G2263" s="413"/>
      <c r="H2263" s="405"/>
      <c r="I2263" s="405"/>
      <c r="L2263" s="412"/>
      <c r="M2263" s="235"/>
      <c r="N2263" s="235"/>
      <c r="O2263" s="206"/>
    </row>
    <row r="2264" spans="4:15">
      <c r="D2264" s="413"/>
      <c r="G2264" s="413"/>
      <c r="H2264" s="405"/>
      <c r="I2264" s="405"/>
      <c r="L2264" s="412"/>
      <c r="M2264" s="235"/>
      <c r="N2264" s="235"/>
      <c r="O2264" s="206"/>
    </row>
    <row r="2265" spans="4:15">
      <c r="D2265" s="413"/>
      <c r="G2265" s="413"/>
      <c r="H2265" s="405"/>
      <c r="I2265" s="405"/>
      <c r="L2265" s="412"/>
      <c r="M2265" s="235"/>
      <c r="N2265" s="235"/>
      <c r="O2265" s="206"/>
    </row>
    <row r="2266" spans="4:15">
      <c r="D2266" s="413"/>
      <c r="G2266" s="413"/>
      <c r="H2266" s="405"/>
      <c r="I2266" s="405"/>
      <c r="L2266" s="412"/>
      <c r="M2266" s="235"/>
      <c r="N2266" s="235"/>
      <c r="O2266" s="206"/>
    </row>
    <row r="2267" spans="4:15">
      <c r="D2267" s="413"/>
      <c r="G2267" s="413"/>
      <c r="H2267" s="405"/>
      <c r="I2267" s="405"/>
      <c r="L2267" s="412"/>
      <c r="M2267" s="235"/>
      <c r="N2267" s="235"/>
      <c r="O2267" s="206"/>
    </row>
    <row r="2268" spans="4:15">
      <c r="D2268" s="413"/>
      <c r="G2268" s="413"/>
      <c r="H2268" s="405"/>
      <c r="I2268" s="405"/>
      <c r="L2268" s="412"/>
      <c r="M2268" s="235"/>
      <c r="N2268" s="235"/>
      <c r="O2268" s="206"/>
    </row>
    <row r="2269" spans="4:15">
      <c r="D2269" s="413"/>
      <c r="G2269" s="413"/>
      <c r="H2269" s="405"/>
      <c r="I2269" s="405"/>
      <c r="L2269" s="412"/>
      <c r="M2269" s="235"/>
      <c r="N2269" s="235"/>
      <c r="O2269" s="206"/>
    </row>
    <row r="2270" spans="4:15">
      <c r="D2270" s="413"/>
      <c r="G2270" s="413"/>
      <c r="H2270" s="405"/>
      <c r="I2270" s="405"/>
      <c r="L2270" s="412"/>
      <c r="M2270" s="235"/>
      <c r="N2270" s="235"/>
      <c r="O2270" s="206"/>
    </row>
    <row r="2271" spans="4:15">
      <c r="D2271" s="413"/>
      <c r="G2271" s="413"/>
      <c r="H2271" s="405"/>
      <c r="I2271" s="405"/>
      <c r="L2271" s="412"/>
      <c r="M2271" s="235"/>
      <c r="N2271" s="235"/>
      <c r="O2271" s="206"/>
    </row>
    <row r="2272" spans="4:15">
      <c r="D2272" s="413"/>
      <c r="G2272" s="413"/>
      <c r="H2272" s="405"/>
      <c r="I2272" s="405"/>
      <c r="L2272" s="412"/>
      <c r="M2272" s="235"/>
      <c r="N2272" s="235"/>
      <c r="O2272" s="206"/>
    </row>
    <row r="2273" spans="4:15">
      <c r="D2273" s="413"/>
      <c r="G2273" s="413"/>
      <c r="H2273" s="405"/>
      <c r="I2273" s="405"/>
      <c r="L2273" s="412"/>
      <c r="M2273" s="235"/>
      <c r="N2273" s="235"/>
      <c r="O2273" s="206"/>
    </row>
    <row r="2274" spans="4:15">
      <c r="D2274" s="413"/>
      <c r="G2274" s="413"/>
      <c r="H2274" s="405"/>
      <c r="I2274" s="405"/>
      <c r="L2274" s="412"/>
      <c r="M2274" s="235"/>
      <c r="N2274" s="235"/>
      <c r="O2274" s="206"/>
    </row>
    <row r="2275" spans="4:15">
      <c r="D2275" s="413"/>
      <c r="G2275" s="413"/>
      <c r="H2275" s="405"/>
      <c r="I2275" s="405"/>
      <c r="L2275" s="412"/>
      <c r="M2275" s="235"/>
      <c r="N2275" s="235"/>
      <c r="O2275" s="206"/>
    </row>
    <row r="2276" spans="4:15">
      <c r="D2276" s="413"/>
      <c r="G2276" s="413"/>
      <c r="H2276" s="405"/>
      <c r="I2276" s="405"/>
      <c r="L2276" s="412"/>
      <c r="M2276" s="235"/>
      <c r="N2276" s="235"/>
      <c r="O2276" s="206"/>
    </row>
    <row r="2277" spans="4:15">
      <c r="D2277" s="413"/>
      <c r="G2277" s="413"/>
      <c r="H2277" s="405"/>
      <c r="I2277" s="405"/>
      <c r="L2277" s="412"/>
      <c r="M2277" s="235"/>
      <c r="N2277" s="235"/>
      <c r="O2277" s="206"/>
    </row>
    <row r="2278" spans="4:15">
      <c r="D2278" s="413"/>
      <c r="G2278" s="413"/>
      <c r="H2278" s="405"/>
      <c r="I2278" s="405"/>
      <c r="L2278" s="412"/>
      <c r="M2278" s="235"/>
      <c r="N2278" s="235"/>
      <c r="O2278" s="206"/>
    </row>
    <row r="2279" spans="4:15">
      <c r="D2279" s="413"/>
      <c r="G2279" s="413"/>
      <c r="H2279" s="405"/>
      <c r="I2279" s="405"/>
      <c r="L2279" s="412"/>
      <c r="M2279" s="235"/>
      <c r="N2279" s="235"/>
      <c r="O2279" s="206"/>
    </row>
    <row r="2280" spans="4:15">
      <c r="D2280" s="413"/>
      <c r="G2280" s="413"/>
      <c r="H2280" s="405"/>
      <c r="I2280" s="405"/>
      <c r="L2280" s="412"/>
      <c r="M2280" s="235"/>
      <c r="N2280" s="235"/>
      <c r="O2280" s="206"/>
    </row>
    <row r="2281" spans="4:15">
      <c r="D2281" s="413"/>
      <c r="G2281" s="413"/>
      <c r="H2281" s="405"/>
      <c r="I2281" s="405"/>
      <c r="L2281" s="412"/>
      <c r="M2281" s="235"/>
      <c r="N2281" s="235"/>
      <c r="O2281" s="206"/>
    </row>
    <row r="2282" spans="4:15">
      <c r="D2282" s="413"/>
      <c r="G2282" s="413"/>
      <c r="H2282" s="405"/>
      <c r="I2282" s="405"/>
      <c r="L2282" s="412"/>
      <c r="M2282" s="235"/>
      <c r="N2282" s="235"/>
      <c r="O2282" s="206"/>
    </row>
  </sheetData>
  <mergeCells count="1">
    <mergeCell ref="F3:K3"/>
  </mergeCells>
  <phoneticPr fontId="29"/>
  <pageMargins left="0.7" right="0.7" top="0.75" bottom="0.75" header="0.3" footer="0.3"/>
  <pageSetup paperSize="9" orientation="portrait" horizontalDpi="400" verticalDpi="4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7604-DB0B-4774-BE13-548D11E3D464}">
  <sheetPr codeName="Sheet30"/>
  <dimension ref="A1:Z2282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3" sqref="F3:K3"/>
    </sheetView>
  </sheetViews>
  <sheetFormatPr defaultColWidth="9" defaultRowHeight="14.25"/>
  <cols>
    <col min="1" max="1" width="5.42578125" style="206" bestFit="1" customWidth="1"/>
    <col min="2" max="2" width="30.5703125" style="206" customWidth="1"/>
    <col min="3" max="3" width="7.42578125" style="206" bestFit="1" customWidth="1"/>
    <col min="4" max="4" width="11.7109375" style="206" bestFit="1" customWidth="1"/>
    <col min="5" max="5" width="12.85546875" style="206" bestFit="1" customWidth="1"/>
    <col min="6" max="6" width="9.5703125" style="206" bestFit="1" customWidth="1"/>
    <col min="7" max="9" width="8.7109375" style="206" bestFit="1" customWidth="1"/>
    <col min="10" max="10" width="8.7109375" style="206" customWidth="1"/>
    <col min="11" max="11" width="9" style="206" customWidth="1"/>
    <col min="12" max="12" width="12.28515625" style="403" bestFit="1" customWidth="1"/>
    <col min="13" max="13" width="13.140625" style="404" bestFit="1" customWidth="1"/>
    <col min="14" max="14" width="12.85546875" style="404" bestFit="1" customWidth="1"/>
    <col min="15" max="15" width="24.42578125" style="405" bestFit="1" customWidth="1"/>
    <col min="16" max="16" width="5.42578125" style="206" bestFit="1" customWidth="1"/>
    <col min="17" max="17" width="6.42578125" style="270" customWidth="1"/>
    <col min="18" max="18" width="38.7109375" style="270" bestFit="1" customWidth="1"/>
    <col min="19" max="19" width="17.5703125" style="270" customWidth="1"/>
    <col min="20" max="20" width="31.42578125" style="270" hidden="1" customWidth="1"/>
    <col min="21" max="21" width="13.5703125" style="270" customWidth="1"/>
    <col min="22" max="22" width="18.42578125" style="270" customWidth="1"/>
    <col min="23" max="23" width="29.140625" style="270" hidden="1" customWidth="1"/>
    <col min="24" max="24" width="10.42578125" style="270" customWidth="1"/>
    <col min="25" max="25" width="18.42578125" style="270" customWidth="1"/>
    <col min="26" max="26" width="43.42578125" style="270" bestFit="1" customWidth="1"/>
    <col min="27" max="27" width="12.85546875" style="206" customWidth="1"/>
    <col min="28" max="16384" width="9" style="206"/>
  </cols>
  <sheetData>
    <row r="1" spans="1:26">
      <c r="B1" s="611" t="s">
        <v>7496</v>
      </c>
      <c r="C1" s="459"/>
      <c r="D1" s="459"/>
      <c r="E1" s="459"/>
      <c r="F1" s="459"/>
      <c r="G1" s="33"/>
      <c r="K1" s="403"/>
      <c r="N1" s="405"/>
      <c r="O1" s="33">
        <v>41787</v>
      </c>
      <c r="R1" s="472" t="s">
        <v>4882</v>
      </c>
      <c r="S1" s="464" t="s">
        <v>0</v>
      </c>
      <c r="T1" s="464"/>
      <c r="U1" s="464">
        <v>192</v>
      </c>
      <c r="V1" s="464">
        <v>64</v>
      </c>
      <c r="W1" s="461" t="s">
        <v>7510</v>
      </c>
      <c r="X1" s="525">
        <v>256</v>
      </c>
      <c r="Y1" s="465"/>
      <c r="Z1" s="465"/>
    </row>
    <row r="2" spans="1:26">
      <c r="K2" s="403"/>
      <c r="N2" s="405"/>
      <c r="O2" s="34"/>
      <c r="S2" s="466" t="s">
        <v>1</v>
      </c>
      <c r="T2" s="466"/>
      <c r="U2" s="466">
        <v>191</v>
      </c>
      <c r="V2" s="466">
        <v>64</v>
      </c>
      <c r="W2" s="461"/>
      <c r="X2" s="466">
        <v>256</v>
      </c>
      <c r="Y2" s="467"/>
      <c r="Z2" s="467">
        <v>0</v>
      </c>
    </row>
    <row r="3" spans="1:26" ht="15">
      <c r="A3" s="526" t="s">
        <v>7501</v>
      </c>
      <c r="B3" s="612" t="s">
        <v>7502</v>
      </c>
      <c r="C3" s="527" t="s">
        <v>7503</v>
      </c>
      <c r="D3" s="613" t="s">
        <v>7504</v>
      </c>
      <c r="E3" s="752"/>
      <c r="F3" s="754" t="s">
        <v>7505</v>
      </c>
      <c r="G3" s="755"/>
      <c r="H3" s="755"/>
      <c r="I3" s="755"/>
      <c r="J3" s="755"/>
      <c r="K3" s="756"/>
      <c r="L3" s="528" t="s">
        <v>7506</v>
      </c>
      <c r="M3" s="529" t="s">
        <v>7507</v>
      </c>
      <c r="N3" s="529" t="s">
        <v>7508</v>
      </c>
      <c r="O3" s="527" t="s">
        <v>7509</v>
      </c>
      <c r="P3" s="526" t="s">
        <v>7501</v>
      </c>
      <c r="Q3" s="468" t="s">
        <v>2</v>
      </c>
      <c r="R3" s="468" t="s">
        <v>4883</v>
      </c>
      <c r="S3" s="468" t="s">
        <v>3</v>
      </c>
      <c r="T3" s="468" t="s">
        <v>4</v>
      </c>
      <c r="U3" s="469" t="s">
        <v>5</v>
      </c>
      <c r="V3" s="469" t="s">
        <v>6</v>
      </c>
      <c r="W3" s="530" t="s">
        <v>7511</v>
      </c>
      <c r="X3" s="531" t="s">
        <v>7</v>
      </c>
      <c r="Y3" s="468"/>
      <c r="Z3" s="468" t="s">
        <v>8</v>
      </c>
    </row>
    <row r="4" spans="1:26">
      <c r="A4" s="406">
        <v>1</v>
      </c>
      <c r="B4" s="613" t="s">
        <v>5555</v>
      </c>
      <c r="C4" s="288" t="s">
        <v>9</v>
      </c>
      <c r="D4" s="414" t="s">
        <v>4667</v>
      </c>
      <c r="E4" s="407" t="s">
        <v>8500</v>
      </c>
      <c r="F4" s="288" t="s">
        <v>5558</v>
      </c>
      <c r="G4" s="609" t="s">
        <v>5556</v>
      </c>
      <c r="H4" s="483"/>
      <c r="I4" s="483"/>
      <c r="J4" s="483"/>
      <c r="K4" s="483"/>
      <c r="L4" s="608">
        <v>12187.944881889765</v>
      </c>
      <c r="M4" s="409">
        <v>8574.0314960629912</v>
      </c>
      <c r="N4" s="409">
        <v>20761.976377952757</v>
      </c>
      <c r="O4" s="410" t="s">
        <v>7801</v>
      </c>
      <c r="P4" s="406">
        <v>1</v>
      </c>
      <c r="Q4" s="470" t="s">
        <v>9</v>
      </c>
      <c r="R4" s="460" t="s">
        <v>10</v>
      </c>
      <c r="S4" s="270" t="s">
        <v>7</v>
      </c>
      <c r="U4" s="471"/>
      <c r="V4" s="471"/>
      <c r="W4" s="471" t="s">
        <v>10</v>
      </c>
      <c r="X4" s="471">
        <v>1</v>
      </c>
      <c r="Z4" s="270" t="s">
        <v>11</v>
      </c>
    </row>
    <row r="5" spans="1:26">
      <c r="A5" s="406">
        <v>2</v>
      </c>
      <c r="B5" s="613" t="s">
        <v>7020</v>
      </c>
      <c r="C5" s="288" t="s">
        <v>12</v>
      </c>
      <c r="D5" s="414" t="s">
        <v>4884</v>
      </c>
      <c r="E5" s="407"/>
      <c r="F5" s="483"/>
      <c r="G5" s="411"/>
      <c r="H5" s="411"/>
      <c r="I5" s="411"/>
      <c r="J5" s="411"/>
      <c r="K5" s="411"/>
      <c r="L5" s="608" t="s">
        <v>4884</v>
      </c>
      <c r="M5" s="409" t="s">
        <v>4884</v>
      </c>
      <c r="N5" s="409" t="s">
        <v>4884</v>
      </c>
      <c r="O5" s="410" t="s">
        <v>4884</v>
      </c>
      <c r="P5" s="406">
        <v>2</v>
      </c>
      <c r="Q5" s="470" t="s">
        <v>12</v>
      </c>
      <c r="R5" s="460" t="s">
        <v>4885</v>
      </c>
      <c r="S5" s="270" t="s">
        <v>7</v>
      </c>
      <c r="U5" s="471"/>
      <c r="V5" s="471"/>
      <c r="W5" s="471" t="s">
        <v>4885</v>
      </c>
      <c r="X5" s="471">
        <v>0</v>
      </c>
    </row>
    <row r="6" spans="1:26">
      <c r="A6" s="406">
        <v>3</v>
      </c>
      <c r="B6" s="613" t="s">
        <v>7020</v>
      </c>
      <c r="C6" s="288" t="s">
        <v>13</v>
      </c>
      <c r="D6" s="414" t="s">
        <v>4884</v>
      </c>
      <c r="E6" s="407"/>
      <c r="F6" s="483"/>
      <c r="G6" s="411"/>
      <c r="H6" s="411"/>
      <c r="I6" s="411"/>
      <c r="J6" s="411"/>
      <c r="K6" s="411"/>
      <c r="L6" s="608" t="s">
        <v>4884</v>
      </c>
      <c r="M6" s="409" t="s">
        <v>4884</v>
      </c>
      <c r="N6" s="409" t="s">
        <v>4884</v>
      </c>
      <c r="O6" s="410" t="s">
        <v>4884</v>
      </c>
      <c r="P6" s="406">
        <v>3</v>
      </c>
      <c r="Q6" s="470" t="s">
        <v>13</v>
      </c>
      <c r="R6" s="460" t="s">
        <v>14</v>
      </c>
      <c r="S6" s="270" t="s">
        <v>7</v>
      </c>
      <c r="U6" s="471"/>
      <c r="V6" s="471"/>
      <c r="W6" s="471" t="s">
        <v>14</v>
      </c>
      <c r="X6" s="471">
        <v>0</v>
      </c>
    </row>
    <row r="7" spans="1:26">
      <c r="A7" s="406">
        <v>4</v>
      </c>
      <c r="B7" s="613" t="s">
        <v>5541</v>
      </c>
      <c r="C7" s="288" t="s">
        <v>15</v>
      </c>
      <c r="D7" s="414" t="s">
        <v>4673</v>
      </c>
      <c r="E7" s="407" t="s">
        <v>8501</v>
      </c>
      <c r="F7" s="483" t="s">
        <v>5544</v>
      </c>
      <c r="G7" s="411" t="s">
        <v>5542</v>
      </c>
      <c r="H7" s="411"/>
      <c r="I7" s="411"/>
      <c r="J7" s="411"/>
      <c r="K7" s="411"/>
      <c r="L7" s="608">
        <v>9684.5157480314974</v>
      </c>
      <c r="M7" s="409">
        <v>6992.0196850393704</v>
      </c>
      <c r="N7" s="409">
        <v>16676.535433070869</v>
      </c>
      <c r="O7" s="410" t="s">
        <v>7796</v>
      </c>
      <c r="P7" s="406">
        <v>4</v>
      </c>
      <c r="Q7" s="470" t="s">
        <v>15</v>
      </c>
      <c r="R7" s="460" t="s">
        <v>16</v>
      </c>
      <c r="S7" s="270" t="s">
        <v>7</v>
      </c>
      <c r="U7" s="471"/>
      <c r="V7" s="471"/>
      <c r="W7" s="471" t="s">
        <v>16</v>
      </c>
      <c r="X7" s="471">
        <v>1</v>
      </c>
      <c r="Z7" s="270" t="s">
        <v>17</v>
      </c>
    </row>
    <row r="8" spans="1:26">
      <c r="A8" s="406">
        <v>5</v>
      </c>
      <c r="B8" s="613" t="s">
        <v>5571</v>
      </c>
      <c r="C8" s="288" t="s">
        <v>18</v>
      </c>
      <c r="D8" s="414" t="s">
        <v>4668</v>
      </c>
      <c r="E8" s="407" t="s">
        <v>8502</v>
      </c>
      <c r="F8" s="483" t="s">
        <v>5574</v>
      </c>
      <c r="G8" s="411" t="s">
        <v>5572</v>
      </c>
      <c r="H8" s="411"/>
      <c r="I8" s="411"/>
      <c r="J8" s="411"/>
      <c r="K8" s="411"/>
      <c r="L8" s="608">
        <v>11830.771653543308</v>
      </c>
      <c r="M8" s="409">
        <v>9658.3070866141734</v>
      </c>
      <c r="N8" s="409">
        <v>21489.078740157478</v>
      </c>
      <c r="O8" s="410" t="s">
        <v>7799</v>
      </c>
      <c r="P8" s="406">
        <v>5</v>
      </c>
      <c r="Q8" s="470" t="s">
        <v>18</v>
      </c>
      <c r="R8" s="460" t="s">
        <v>19</v>
      </c>
      <c r="S8" s="270" t="s">
        <v>7</v>
      </c>
      <c r="U8" s="471"/>
      <c r="V8" s="471"/>
      <c r="W8" s="471" t="s">
        <v>19</v>
      </c>
      <c r="X8" s="471">
        <v>1</v>
      </c>
      <c r="Z8" s="270" t="s">
        <v>20</v>
      </c>
    </row>
    <row r="9" spans="1:26">
      <c r="A9" s="406">
        <v>6</v>
      </c>
      <c r="B9" s="613" t="s">
        <v>5533</v>
      </c>
      <c r="C9" s="288" t="s">
        <v>21</v>
      </c>
      <c r="D9" s="414" t="s">
        <v>4672</v>
      </c>
      <c r="E9" s="407" t="s">
        <v>8503</v>
      </c>
      <c r="F9" s="483" t="s">
        <v>5536</v>
      </c>
      <c r="G9" s="411" t="s">
        <v>5534</v>
      </c>
      <c r="H9" s="411"/>
      <c r="I9" s="411"/>
      <c r="J9" s="411"/>
      <c r="K9" s="411"/>
      <c r="L9" s="608">
        <v>8488.9370078740158</v>
      </c>
      <c r="M9" s="409">
        <v>7482.177165354331</v>
      </c>
      <c r="N9" s="409">
        <v>15971.114173228347</v>
      </c>
      <c r="O9" s="410" t="s">
        <v>7796</v>
      </c>
      <c r="P9" s="406">
        <v>6</v>
      </c>
      <c r="Q9" s="470" t="s">
        <v>21</v>
      </c>
      <c r="R9" s="460" t="s">
        <v>22</v>
      </c>
      <c r="S9" s="270" t="s">
        <v>7</v>
      </c>
      <c r="U9" s="471"/>
      <c r="V9" s="471"/>
      <c r="W9" s="471" t="s">
        <v>22</v>
      </c>
      <c r="X9" s="471">
        <v>1</v>
      </c>
      <c r="Z9" s="270" t="s">
        <v>23</v>
      </c>
    </row>
    <row r="10" spans="1:26">
      <c r="A10" s="406">
        <v>7</v>
      </c>
      <c r="B10" s="613" t="s">
        <v>5563</v>
      </c>
      <c r="C10" s="288" t="s">
        <v>24</v>
      </c>
      <c r="D10" s="414" t="s">
        <v>4666</v>
      </c>
      <c r="E10" s="407" t="s">
        <v>8504</v>
      </c>
      <c r="F10" s="483" t="s">
        <v>5566</v>
      </c>
      <c r="G10" s="411" t="s">
        <v>5564</v>
      </c>
      <c r="H10" s="411"/>
      <c r="I10" s="411"/>
      <c r="J10" s="411"/>
      <c r="K10" s="411"/>
      <c r="L10" s="608">
        <v>11800.968503937009</v>
      </c>
      <c r="M10" s="409">
        <v>9507.3740157480315</v>
      </c>
      <c r="N10" s="409">
        <v>21308.34251968504</v>
      </c>
      <c r="O10" s="410" t="s">
        <v>7799</v>
      </c>
      <c r="P10" s="406">
        <v>7</v>
      </c>
      <c r="Q10" s="470" t="s">
        <v>24</v>
      </c>
      <c r="R10" s="460" t="s">
        <v>25</v>
      </c>
      <c r="S10" s="270" t="s">
        <v>7</v>
      </c>
      <c r="U10" s="471"/>
      <c r="V10" s="471"/>
      <c r="W10" s="471" t="s">
        <v>25</v>
      </c>
      <c r="X10" s="471">
        <v>1</v>
      </c>
      <c r="Z10" s="270" t="s">
        <v>26</v>
      </c>
    </row>
    <row r="11" spans="1:26">
      <c r="A11" s="406">
        <v>8</v>
      </c>
      <c r="B11" s="613" t="s">
        <v>5547</v>
      </c>
      <c r="C11" s="288" t="s">
        <v>27</v>
      </c>
      <c r="D11" s="414" t="s">
        <v>4631</v>
      </c>
      <c r="E11" s="407" t="s">
        <v>8505</v>
      </c>
      <c r="F11" s="483" t="s">
        <v>5550</v>
      </c>
      <c r="G11" s="411" t="s">
        <v>5548</v>
      </c>
      <c r="H11" s="411"/>
      <c r="I11" s="411"/>
      <c r="J11" s="411"/>
      <c r="K11" s="411"/>
      <c r="L11" s="608">
        <v>11151.826771653543</v>
      </c>
      <c r="M11" s="409">
        <v>7568.2047244094492</v>
      </c>
      <c r="N11" s="409">
        <v>18720.031496062991</v>
      </c>
      <c r="O11" s="410" t="s">
        <v>7796</v>
      </c>
      <c r="P11" s="406">
        <v>8</v>
      </c>
      <c r="Q11" s="470" t="s">
        <v>27</v>
      </c>
      <c r="R11" s="460" t="s">
        <v>28</v>
      </c>
      <c r="S11" s="270" t="s">
        <v>7</v>
      </c>
      <c r="U11" s="471"/>
      <c r="V11" s="471"/>
      <c r="W11" s="471" t="s">
        <v>28</v>
      </c>
      <c r="X11" s="471">
        <v>1</v>
      </c>
      <c r="Z11" s="270" t="s">
        <v>29</v>
      </c>
    </row>
    <row r="12" spans="1:26">
      <c r="A12" s="406">
        <v>9</v>
      </c>
      <c r="B12" s="613" t="s">
        <v>6178</v>
      </c>
      <c r="C12" s="288" t="s">
        <v>30</v>
      </c>
      <c r="D12" s="414" t="s">
        <v>3444</v>
      </c>
      <c r="E12" s="407" t="s">
        <v>8506</v>
      </c>
      <c r="F12" s="483"/>
      <c r="G12" s="411"/>
      <c r="H12" s="411"/>
      <c r="I12" s="411"/>
      <c r="J12" s="411"/>
      <c r="K12" s="411"/>
      <c r="L12" s="608" t="s">
        <v>4884</v>
      </c>
      <c r="M12" s="409">
        <v>7258.6181102362207</v>
      </c>
      <c r="N12" s="409">
        <v>7258.6181102362207</v>
      </c>
      <c r="O12" s="410" t="s">
        <v>7574</v>
      </c>
      <c r="P12" s="406">
        <v>9</v>
      </c>
      <c r="Q12" s="470" t="s">
        <v>30</v>
      </c>
      <c r="R12" s="270" t="s">
        <v>31</v>
      </c>
      <c r="S12" s="270" t="s">
        <v>32</v>
      </c>
      <c r="U12" s="471"/>
      <c r="V12" s="471">
        <v>1</v>
      </c>
      <c r="W12" s="471" t="s">
        <v>31</v>
      </c>
      <c r="X12" s="471">
        <v>0</v>
      </c>
    </row>
    <row r="13" spans="1:26">
      <c r="A13" s="406">
        <v>10</v>
      </c>
      <c r="B13" s="613" t="s">
        <v>6685</v>
      </c>
      <c r="C13" s="288" t="s">
        <v>33</v>
      </c>
      <c r="D13" s="414" t="s">
        <v>4625</v>
      </c>
      <c r="E13" s="407" t="s">
        <v>8507</v>
      </c>
      <c r="F13" s="483" t="s">
        <v>4912</v>
      </c>
      <c r="G13" s="483" t="s">
        <v>5792</v>
      </c>
      <c r="H13" s="411" t="s">
        <v>5794</v>
      </c>
      <c r="I13" s="411"/>
      <c r="J13" s="411"/>
      <c r="K13" s="411"/>
      <c r="L13" s="608">
        <v>7951.8070866141734</v>
      </c>
      <c r="M13" s="409">
        <v>6888.7440944881891</v>
      </c>
      <c r="N13" s="409">
        <v>14840.551181102363</v>
      </c>
      <c r="O13" s="410" t="s">
        <v>7766</v>
      </c>
      <c r="P13" s="406">
        <v>10</v>
      </c>
      <c r="Q13" s="470" t="s">
        <v>33</v>
      </c>
      <c r="R13" s="270" t="s">
        <v>34</v>
      </c>
      <c r="S13" s="270" t="s">
        <v>7</v>
      </c>
      <c r="U13" s="471"/>
      <c r="V13" s="471"/>
      <c r="W13" s="471" t="s">
        <v>34</v>
      </c>
      <c r="X13" s="471">
        <v>1</v>
      </c>
    </row>
    <row r="14" spans="1:26">
      <c r="A14" s="406">
        <v>11</v>
      </c>
      <c r="B14" s="613" t="s">
        <v>6686</v>
      </c>
      <c r="C14" s="288" t="s">
        <v>35</v>
      </c>
      <c r="D14" s="414" t="s">
        <v>4627</v>
      </c>
      <c r="E14" s="407" t="s">
        <v>8508</v>
      </c>
      <c r="F14" s="483" t="s">
        <v>4911</v>
      </c>
      <c r="G14" s="483" t="s">
        <v>5791</v>
      </c>
      <c r="H14" s="411" t="s">
        <v>5789</v>
      </c>
      <c r="I14" s="411"/>
      <c r="J14" s="411"/>
      <c r="K14" s="411"/>
      <c r="L14" s="608">
        <v>7951.6496062992128</v>
      </c>
      <c r="M14" s="409">
        <v>6888.6929133858275</v>
      </c>
      <c r="N14" s="409">
        <v>14840.34251968504</v>
      </c>
      <c r="O14" s="410" t="s">
        <v>7766</v>
      </c>
      <c r="P14" s="406">
        <v>11</v>
      </c>
      <c r="Q14" s="470" t="s">
        <v>35</v>
      </c>
      <c r="R14" s="270" t="s">
        <v>36</v>
      </c>
      <c r="S14" s="270" t="s">
        <v>7</v>
      </c>
      <c r="U14" s="471"/>
      <c r="V14" s="471"/>
      <c r="W14" s="471" t="s">
        <v>36</v>
      </c>
      <c r="X14" s="471">
        <v>1</v>
      </c>
    </row>
    <row r="15" spans="1:26">
      <c r="A15" s="406">
        <v>12</v>
      </c>
      <c r="B15" s="613" t="s">
        <v>5787</v>
      </c>
      <c r="C15" s="288" t="s">
        <v>37</v>
      </c>
      <c r="D15" s="414" t="s">
        <v>4701</v>
      </c>
      <c r="E15" s="407" t="s">
        <v>8509</v>
      </c>
      <c r="F15" s="483" t="s">
        <v>4910</v>
      </c>
      <c r="G15" s="483" t="s">
        <v>5785</v>
      </c>
      <c r="H15" s="411" t="s">
        <v>5788</v>
      </c>
      <c r="I15" s="411"/>
      <c r="J15" s="411"/>
      <c r="K15" s="411"/>
      <c r="L15" s="608">
        <v>8030.4448818897636</v>
      </c>
      <c r="M15" s="409">
        <v>7164.2677165354335</v>
      </c>
      <c r="N15" s="409">
        <v>15194.712598425196</v>
      </c>
      <c r="O15" s="410" t="s">
        <v>7803</v>
      </c>
      <c r="P15" s="406">
        <v>12</v>
      </c>
      <c r="Q15" s="470" t="s">
        <v>37</v>
      </c>
      <c r="R15" s="472" t="s">
        <v>38</v>
      </c>
      <c r="S15" s="270" t="s">
        <v>7</v>
      </c>
      <c r="U15" s="471"/>
      <c r="V15" s="471"/>
      <c r="W15" s="471"/>
      <c r="X15" s="471">
        <v>1</v>
      </c>
      <c r="Z15" s="270" t="s">
        <v>39</v>
      </c>
    </row>
    <row r="16" spans="1:26">
      <c r="A16" s="406">
        <v>13</v>
      </c>
      <c r="B16" s="613" t="s">
        <v>5787</v>
      </c>
      <c r="C16" s="288" t="s">
        <v>40</v>
      </c>
      <c r="D16" s="414" t="s">
        <v>4701</v>
      </c>
      <c r="E16" s="407" t="s">
        <v>8509</v>
      </c>
      <c r="F16" s="483" t="s">
        <v>4910</v>
      </c>
      <c r="G16" s="483" t="s">
        <v>5785</v>
      </c>
      <c r="H16" s="411" t="s">
        <v>5788</v>
      </c>
      <c r="I16" s="411"/>
      <c r="J16" s="411"/>
      <c r="K16" s="411"/>
      <c r="L16" s="608">
        <v>8030.4448818897636</v>
      </c>
      <c r="M16" s="409">
        <v>7164.2677165354335</v>
      </c>
      <c r="N16" s="409">
        <v>15194.712598425196</v>
      </c>
      <c r="O16" s="410" t="s">
        <v>7803</v>
      </c>
      <c r="P16" s="406">
        <v>13</v>
      </c>
      <c r="Q16" s="470" t="s">
        <v>40</v>
      </c>
      <c r="R16" s="270" t="s">
        <v>41</v>
      </c>
      <c r="S16" s="270" t="s">
        <v>7</v>
      </c>
      <c r="U16" s="471"/>
      <c r="V16" s="471"/>
      <c r="W16" s="471" t="s">
        <v>41</v>
      </c>
      <c r="X16" s="471">
        <v>0</v>
      </c>
      <c r="Z16" s="270" t="s">
        <v>39</v>
      </c>
    </row>
    <row r="17" spans="1:26">
      <c r="A17" s="406">
        <v>14</v>
      </c>
      <c r="B17" s="613" t="s">
        <v>5787</v>
      </c>
      <c r="C17" s="288" t="s">
        <v>42</v>
      </c>
      <c r="D17" s="414" t="s">
        <v>4701</v>
      </c>
      <c r="E17" s="407" t="s">
        <v>8509</v>
      </c>
      <c r="F17" s="483" t="s">
        <v>4910</v>
      </c>
      <c r="G17" s="483" t="s">
        <v>5785</v>
      </c>
      <c r="H17" s="411" t="s">
        <v>5788</v>
      </c>
      <c r="I17" s="411"/>
      <c r="J17" s="411"/>
      <c r="K17" s="411"/>
      <c r="L17" s="608">
        <v>8030.4448818897636</v>
      </c>
      <c r="M17" s="409">
        <v>7164.2677165354335</v>
      </c>
      <c r="N17" s="409">
        <v>15194.712598425196</v>
      </c>
      <c r="O17" s="410" t="s">
        <v>7803</v>
      </c>
      <c r="P17" s="406">
        <v>14</v>
      </c>
      <c r="Q17" s="470" t="s">
        <v>42</v>
      </c>
      <c r="R17" s="270" t="s">
        <v>43</v>
      </c>
      <c r="S17" s="270" t="s">
        <v>7</v>
      </c>
      <c r="U17" s="471"/>
      <c r="V17" s="471"/>
      <c r="W17" s="471" t="s">
        <v>43</v>
      </c>
      <c r="X17" s="473">
        <v>0</v>
      </c>
      <c r="Z17" s="270" t="s">
        <v>39</v>
      </c>
    </row>
    <row r="18" spans="1:26">
      <c r="A18" s="406">
        <v>15</v>
      </c>
      <c r="B18" s="613" t="s">
        <v>5787</v>
      </c>
      <c r="C18" s="288" t="s">
        <v>44</v>
      </c>
      <c r="D18" s="414" t="s">
        <v>4701</v>
      </c>
      <c r="E18" s="407" t="s">
        <v>8509</v>
      </c>
      <c r="F18" s="483" t="s">
        <v>4910</v>
      </c>
      <c r="G18" s="483" t="s">
        <v>5785</v>
      </c>
      <c r="H18" s="411" t="s">
        <v>5788</v>
      </c>
      <c r="I18" s="411"/>
      <c r="J18" s="411"/>
      <c r="K18" s="411"/>
      <c r="L18" s="608">
        <v>8030.4448818897636</v>
      </c>
      <c r="M18" s="409">
        <v>7164.2677165354335</v>
      </c>
      <c r="N18" s="409">
        <v>15194.712598425196</v>
      </c>
      <c r="O18" s="410" t="s">
        <v>7803</v>
      </c>
      <c r="P18" s="406">
        <v>15</v>
      </c>
      <c r="Q18" s="470" t="s">
        <v>44</v>
      </c>
      <c r="R18" s="270" t="s">
        <v>45</v>
      </c>
      <c r="S18" s="270" t="s">
        <v>7</v>
      </c>
      <c r="U18" s="471"/>
      <c r="V18" s="471"/>
      <c r="W18" s="471" t="s">
        <v>45</v>
      </c>
      <c r="X18" s="473">
        <v>0</v>
      </c>
      <c r="Z18" s="270" t="s">
        <v>39</v>
      </c>
    </row>
    <row r="19" spans="1:26">
      <c r="A19" s="406">
        <v>16</v>
      </c>
      <c r="B19" s="613" t="s">
        <v>5787</v>
      </c>
      <c r="C19" s="288" t="s">
        <v>46</v>
      </c>
      <c r="D19" s="414" t="s">
        <v>4701</v>
      </c>
      <c r="E19" s="407" t="s">
        <v>8509</v>
      </c>
      <c r="F19" s="483" t="s">
        <v>4910</v>
      </c>
      <c r="G19" s="483" t="s">
        <v>5785</v>
      </c>
      <c r="H19" s="411" t="s">
        <v>5788</v>
      </c>
      <c r="I19" s="411"/>
      <c r="J19" s="411"/>
      <c r="K19" s="411"/>
      <c r="L19" s="608">
        <v>8030.4448818897636</v>
      </c>
      <c r="M19" s="409">
        <v>7164.2677165354335</v>
      </c>
      <c r="N19" s="409">
        <v>15194.712598425196</v>
      </c>
      <c r="O19" s="410" t="s">
        <v>7803</v>
      </c>
      <c r="P19" s="406">
        <v>16</v>
      </c>
      <c r="Q19" s="470" t="s">
        <v>46</v>
      </c>
      <c r="R19" s="270" t="s">
        <v>47</v>
      </c>
      <c r="S19" s="270" t="s">
        <v>7</v>
      </c>
      <c r="U19" s="471"/>
      <c r="V19" s="471"/>
      <c r="W19" s="471" t="s">
        <v>47</v>
      </c>
      <c r="X19" s="473">
        <v>0</v>
      </c>
      <c r="Z19" s="270" t="s">
        <v>39</v>
      </c>
    </row>
    <row r="20" spans="1:26">
      <c r="A20" s="406">
        <v>17</v>
      </c>
      <c r="B20" s="613" t="s">
        <v>5787</v>
      </c>
      <c r="C20" s="288" t="s">
        <v>48</v>
      </c>
      <c r="D20" s="414" t="s">
        <v>4701</v>
      </c>
      <c r="E20" s="407" t="s">
        <v>8509</v>
      </c>
      <c r="F20" s="483" t="s">
        <v>4910</v>
      </c>
      <c r="G20" s="483" t="s">
        <v>5785</v>
      </c>
      <c r="H20" s="411" t="s">
        <v>5788</v>
      </c>
      <c r="I20" s="411"/>
      <c r="J20" s="411"/>
      <c r="K20" s="411"/>
      <c r="L20" s="608">
        <v>8030.4448818897636</v>
      </c>
      <c r="M20" s="409">
        <v>7164.2677165354335</v>
      </c>
      <c r="N20" s="409">
        <v>15194.712598425196</v>
      </c>
      <c r="O20" s="410" t="s">
        <v>7803</v>
      </c>
      <c r="P20" s="406">
        <v>17</v>
      </c>
      <c r="Q20" s="470" t="s">
        <v>48</v>
      </c>
      <c r="R20" s="270" t="s">
        <v>49</v>
      </c>
      <c r="S20" s="270" t="s">
        <v>7</v>
      </c>
      <c r="U20" s="471"/>
      <c r="V20" s="471"/>
      <c r="W20" s="471" t="s">
        <v>49</v>
      </c>
      <c r="X20" s="473">
        <v>0</v>
      </c>
      <c r="Z20" s="270" t="s">
        <v>39</v>
      </c>
    </row>
    <row r="21" spans="1:26">
      <c r="A21" s="406">
        <v>18</v>
      </c>
      <c r="B21" s="613" t="s">
        <v>5781</v>
      </c>
      <c r="C21" s="288" t="s">
        <v>50</v>
      </c>
      <c r="D21" s="414" t="s">
        <v>4705</v>
      </c>
      <c r="E21" s="407" t="s">
        <v>8510</v>
      </c>
      <c r="F21" s="483" t="s">
        <v>4909</v>
      </c>
      <c r="G21" s="483" t="s">
        <v>5784</v>
      </c>
      <c r="H21" s="411" t="s">
        <v>5782</v>
      </c>
      <c r="I21" s="411"/>
      <c r="J21" s="411"/>
      <c r="K21" s="411"/>
      <c r="L21" s="608">
        <v>8031.0078740157478</v>
      </c>
      <c r="M21" s="409">
        <v>7164.5748031496069</v>
      </c>
      <c r="N21" s="409">
        <v>15195.582677165356</v>
      </c>
      <c r="O21" s="410" t="s">
        <v>7814</v>
      </c>
      <c r="P21" s="406">
        <v>18</v>
      </c>
      <c r="Q21" s="470" t="s">
        <v>50</v>
      </c>
      <c r="R21" s="472" t="s">
        <v>51</v>
      </c>
      <c r="S21" s="270" t="s">
        <v>7</v>
      </c>
      <c r="U21" s="471"/>
      <c r="V21" s="471"/>
      <c r="W21" s="471" t="s">
        <v>52</v>
      </c>
      <c r="X21" s="471">
        <v>1</v>
      </c>
      <c r="Z21" s="270" t="s">
        <v>53</v>
      </c>
    </row>
    <row r="22" spans="1:26">
      <c r="A22" s="406">
        <v>19</v>
      </c>
      <c r="B22" s="613" t="s">
        <v>5781</v>
      </c>
      <c r="C22" s="288" t="s">
        <v>54</v>
      </c>
      <c r="D22" s="414" t="s">
        <v>4705</v>
      </c>
      <c r="E22" s="407" t="s">
        <v>8510</v>
      </c>
      <c r="F22" s="483" t="s">
        <v>4909</v>
      </c>
      <c r="G22" s="483" t="s">
        <v>5784</v>
      </c>
      <c r="H22" s="411" t="s">
        <v>5782</v>
      </c>
      <c r="I22" s="411"/>
      <c r="J22" s="411"/>
      <c r="K22" s="411"/>
      <c r="L22" s="608">
        <v>8031.0078740157478</v>
      </c>
      <c r="M22" s="409">
        <v>7164.5748031496069</v>
      </c>
      <c r="N22" s="409">
        <v>15195.582677165356</v>
      </c>
      <c r="O22" s="410" t="s">
        <v>7814</v>
      </c>
      <c r="P22" s="406">
        <v>19</v>
      </c>
      <c r="Q22" s="470" t="s">
        <v>54</v>
      </c>
      <c r="R22" s="270" t="s">
        <v>52</v>
      </c>
      <c r="S22" s="270" t="s">
        <v>7</v>
      </c>
      <c r="U22" s="471"/>
      <c r="V22" s="471"/>
      <c r="W22" s="471" t="s">
        <v>7512</v>
      </c>
      <c r="X22" s="473">
        <v>0</v>
      </c>
      <c r="Z22" s="270" t="s">
        <v>53</v>
      </c>
    </row>
    <row r="23" spans="1:26">
      <c r="A23" s="406">
        <v>20</v>
      </c>
      <c r="B23" s="613" t="s">
        <v>5781</v>
      </c>
      <c r="C23" s="288" t="s">
        <v>55</v>
      </c>
      <c r="D23" s="414" t="s">
        <v>4705</v>
      </c>
      <c r="E23" s="407" t="s">
        <v>8510</v>
      </c>
      <c r="F23" s="483" t="s">
        <v>4909</v>
      </c>
      <c r="G23" s="483" t="s">
        <v>5784</v>
      </c>
      <c r="H23" s="411" t="s">
        <v>5782</v>
      </c>
      <c r="I23" s="411"/>
      <c r="J23" s="411"/>
      <c r="K23" s="411"/>
      <c r="L23" s="608">
        <v>8031.0078740157478</v>
      </c>
      <c r="M23" s="409">
        <v>7164.5748031496069</v>
      </c>
      <c r="N23" s="409">
        <v>15195.582677165356</v>
      </c>
      <c r="O23" s="410" t="s">
        <v>7814</v>
      </c>
      <c r="P23" s="406">
        <v>20</v>
      </c>
      <c r="Q23" s="470" t="s">
        <v>55</v>
      </c>
      <c r="R23" s="270" t="s">
        <v>56</v>
      </c>
      <c r="S23" s="270" t="s">
        <v>7</v>
      </c>
      <c r="U23" s="471"/>
      <c r="V23" s="471"/>
      <c r="W23" s="471" t="s">
        <v>57</v>
      </c>
      <c r="X23" s="473">
        <v>0</v>
      </c>
      <c r="Z23" s="270" t="s">
        <v>53</v>
      </c>
    </row>
    <row r="24" spans="1:26">
      <c r="A24" s="406">
        <v>21</v>
      </c>
      <c r="B24" s="613" t="s">
        <v>5781</v>
      </c>
      <c r="C24" s="288" t="s">
        <v>58</v>
      </c>
      <c r="D24" s="414" t="s">
        <v>4705</v>
      </c>
      <c r="E24" s="407" t="s">
        <v>8510</v>
      </c>
      <c r="F24" s="483" t="s">
        <v>4909</v>
      </c>
      <c r="G24" s="483" t="s">
        <v>5784</v>
      </c>
      <c r="H24" s="411" t="s">
        <v>5782</v>
      </c>
      <c r="I24" s="411"/>
      <c r="J24" s="411"/>
      <c r="K24" s="411"/>
      <c r="L24" s="608">
        <v>8031.0078740157478</v>
      </c>
      <c r="M24" s="409">
        <v>7164.5748031496069</v>
      </c>
      <c r="N24" s="409">
        <v>15195.582677165356</v>
      </c>
      <c r="O24" s="410" t="s">
        <v>7814</v>
      </c>
      <c r="P24" s="406">
        <v>21</v>
      </c>
      <c r="Q24" s="470" t="s">
        <v>58</v>
      </c>
      <c r="R24" s="270" t="s">
        <v>57</v>
      </c>
      <c r="S24" s="270" t="s">
        <v>7</v>
      </c>
      <c r="U24" s="471"/>
      <c r="V24" s="471"/>
      <c r="W24" s="471" t="s">
        <v>59</v>
      </c>
      <c r="X24" s="473">
        <v>0</v>
      </c>
      <c r="Z24" s="270" t="s">
        <v>53</v>
      </c>
    </row>
    <row r="25" spans="1:26">
      <c r="A25" s="406">
        <v>22</v>
      </c>
      <c r="B25" s="613" t="s">
        <v>5781</v>
      </c>
      <c r="C25" s="288" t="s">
        <v>60</v>
      </c>
      <c r="D25" s="414" t="s">
        <v>4705</v>
      </c>
      <c r="E25" s="407" t="s">
        <v>8510</v>
      </c>
      <c r="F25" s="483" t="s">
        <v>4909</v>
      </c>
      <c r="G25" s="483" t="s">
        <v>5784</v>
      </c>
      <c r="H25" s="411" t="s">
        <v>5782</v>
      </c>
      <c r="I25" s="411"/>
      <c r="J25" s="411"/>
      <c r="K25" s="411"/>
      <c r="L25" s="608">
        <v>8031.0078740157478</v>
      </c>
      <c r="M25" s="409">
        <v>7164.5748031496069</v>
      </c>
      <c r="N25" s="409">
        <v>15195.582677165356</v>
      </c>
      <c r="O25" s="410" t="s">
        <v>7814</v>
      </c>
      <c r="P25" s="406">
        <v>22</v>
      </c>
      <c r="Q25" s="470" t="s">
        <v>60</v>
      </c>
      <c r="R25" s="270" t="s">
        <v>59</v>
      </c>
      <c r="S25" s="270" t="s">
        <v>7</v>
      </c>
      <c r="U25" s="471"/>
      <c r="V25" s="471"/>
      <c r="W25" s="471" t="s">
        <v>61</v>
      </c>
      <c r="X25" s="473">
        <v>0</v>
      </c>
      <c r="Z25" s="270" t="s">
        <v>53</v>
      </c>
    </row>
    <row r="26" spans="1:26">
      <c r="A26" s="406">
        <v>23</v>
      </c>
      <c r="B26" s="613" t="s">
        <v>5781</v>
      </c>
      <c r="C26" s="288" t="s">
        <v>62</v>
      </c>
      <c r="D26" s="414" t="s">
        <v>4705</v>
      </c>
      <c r="E26" s="407" t="s">
        <v>8510</v>
      </c>
      <c r="F26" s="483" t="s">
        <v>4909</v>
      </c>
      <c r="G26" s="483" t="s">
        <v>5784</v>
      </c>
      <c r="H26" s="411" t="s">
        <v>5782</v>
      </c>
      <c r="I26" s="411"/>
      <c r="J26" s="411"/>
      <c r="K26" s="411"/>
      <c r="L26" s="608">
        <v>8031.0078740157478</v>
      </c>
      <c r="M26" s="409">
        <v>7164.5748031496069</v>
      </c>
      <c r="N26" s="409">
        <v>15195.582677165356</v>
      </c>
      <c r="O26" s="410" t="s">
        <v>7814</v>
      </c>
      <c r="P26" s="406">
        <v>23</v>
      </c>
      <c r="Q26" s="470" t="s">
        <v>62</v>
      </c>
      <c r="R26" s="270" t="s">
        <v>61</v>
      </c>
      <c r="S26" s="270" t="s">
        <v>7</v>
      </c>
      <c r="U26" s="471"/>
      <c r="V26" s="471"/>
      <c r="W26" s="471" t="s">
        <v>63</v>
      </c>
      <c r="X26" s="471">
        <v>0</v>
      </c>
      <c r="Z26" s="270" t="s">
        <v>53</v>
      </c>
    </row>
    <row r="27" spans="1:26">
      <c r="A27" s="406">
        <v>24</v>
      </c>
      <c r="B27" s="613" t="s">
        <v>6179</v>
      </c>
      <c r="C27" s="288" t="s">
        <v>64</v>
      </c>
      <c r="D27" s="414" t="s">
        <v>3470</v>
      </c>
      <c r="E27" s="407" t="s">
        <v>8511</v>
      </c>
      <c r="F27" s="483"/>
      <c r="G27" s="483"/>
      <c r="H27" s="411"/>
      <c r="I27" s="411"/>
      <c r="J27" s="411"/>
      <c r="K27" s="411"/>
      <c r="L27" s="608" t="s">
        <v>4884</v>
      </c>
      <c r="M27" s="409">
        <v>9212.7755905511822</v>
      </c>
      <c r="N27" s="409">
        <v>9212.7755905511822</v>
      </c>
      <c r="O27" s="410" t="s">
        <v>7576</v>
      </c>
      <c r="P27" s="406">
        <v>24</v>
      </c>
      <c r="Q27" s="470" t="s">
        <v>64</v>
      </c>
      <c r="R27" s="270" t="s">
        <v>63</v>
      </c>
      <c r="S27" s="270" t="s">
        <v>32</v>
      </c>
      <c r="U27" s="471"/>
      <c r="V27" s="471">
        <v>1</v>
      </c>
      <c r="W27" s="471" t="s">
        <v>65</v>
      </c>
      <c r="X27" s="471">
        <v>0</v>
      </c>
    </row>
    <row r="28" spans="1:26">
      <c r="A28" s="406">
        <v>25</v>
      </c>
      <c r="B28" s="613" t="s">
        <v>6180</v>
      </c>
      <c r="C28" s="288" t="s">
        <v>66</v>
      </c>
      <c r="D28" s="414" t="s">
        <v>3473</v>
      </c>
      <c r="E28" s="407" t="s">
        <v>8512</v>
      </c>
      <c r="F28" s="483"/>
      <c r="G28" s="483"/>
      <c r="H28" s="411"/>
      <c r="I28" s="411"/>
      <c r="J28" s="411"/>
      <c r="K28" s="411"/>
      <c r="L28" s="608" t="s">
        <v>4884</v>
      </c>
      <c r="M28" s="409">
        <v>8925.7952755905517</v>
      </c>
      <c r="N28" s="409">
        <v>8925.7952755905517</v>
      </c>
      <c r="O28" s="410" t="s">
        <v>7574</v>
      </c>
      <c r="P28" s="406">
        <v>25</v>
      </c>
      <c r="Q28" s="470" t="s">
        <v>66</v>
      </c>
      <c r="R28" s="270" t="s">
        <v>65</v>
      </c>
      <c r="S28" s="270" t="s">
        <v>32</v>
      </c>
      <c r="U28" s="471"/>
      <c r="V28" s="471">
        <v>1</v>
      </c>
      <c r="W28" s="471"/>
      <c r="X28" s="471"/>
    </row>
    <row r="29" spans="1:26">
      <c r="A29" s="406">
        <v>26</v>
      </c>
      <c r="B29" s="613" t="s">
        <v>7020</v>
      </c>
      <c r="C29" s="288" t="s">
        <v>67</v>
      </c>
      <c r="D29" s="414" t="s">
        <v>4884</v>
      </c>
      <c r="E29" s="407"/>
      <c r="F29" s="483"/>
      <c r="G29" s="483"/>
      <c r="H29" s="411"/>
      <c r="I29" s="411"/>
      <c r="J29" s="411"/>
      <c r="K29" s="411"/>
      <c r="L29" s="608" t="s">
        <v>4884</v>
      </c>
      <c r="M29" s="409" t="s">
        <v>4884</v>
      </c>
      <c r="N29" s="409" t="s">
        <v>4884</v>
      </c>
      <c r="O29" s="410" t="s">
        <v>4884</v>
      </c>
      <c r="P29" s="406">
        <v>26</v>
      </c>
      <c r="Q29" s="470" t="s">
        <v>67</v>
      </c>
      <c r="R29" s="474" t="s">
        <v>68</v>
      </c>
      <c r="S29" s="270" t="s">
        <v>716</v>
      </c>
      <c r="U29" s="466">
        <v>0</v>
      </c>
      <c r="V29" s="471">
        <v>0</v>
      </c>
      <c r="W29" s="471"/>
      <c r="X29" s="471"/>
      <c r="Z29" s="270" t="s">
        <v>4886</v>
      </c>
    </row>
    <row r="30" spans="1:26">
      <c r="A30" s="406">
        <v>27</v>
      </c>
      <c r="B30" s="613" t="s">
        <v>7020</v>
      </c>
      <c r="C30" s="288" t="s">
        <v>69</v>
      </c>
      <c r="D30" s="414" t="s">
        <v>4884</v>
      </c>
      <c r="E30" s="407"/>
      <c r="F30" s="483"/>
      <c r="G30" s="483"/>
      <c r="H30" s="411"/>
      <c r="I30" s="411"/>
      <c r="J30" s="411"/>
      <c r="K30" s="411"/>
      <c r="L30" s="608" t="s">
        <v>4884</v>
      </c>
      <c r="M30" s="409" t="s">
        <v>4884</v>
      </c>
      <c r="N30" s="409" t="s">
        <v>4884</v>
      </c>
      <c r="O30" s="410" t="s">
        <v>4884</v>
      </c>
      <c r="P30" s="406">
        <v>27</v>
      </c>
      <c r="Q30" s="470" t="s">
        <v>69</v>
      </c>
      <c r="R30" s="475" t="s">
        <v>70</v>
      </c>
      <c r="S30" s="270" t="s">
        <v>716</v>
      </c>
      <c r="U30" s="471"/>
      <c r="V30" s="471">
        <v>0</v>
      </c>
      <c r="W30" s="471"/>
      <c r="X30" s="471"/>
      <c r="Z30" s="270" t="s">
        <v>4886</v>
      </c>
    </row>
    <row r="31" spans="1:26">
      <c r="A31" s="406">
        <v>28</v>
      </c>
      <c r="B31" s="613" t="s">
        <v>7020</v>
      </c>
      <c r="C31" s="288" t="s">
        <v>71</v>
      </c>
      <c r="D31" s="414" t="s">
        <v>4884</v>
      </c>
      <c r="E31" s="407"/>
      <c r="F31" s="483"/>
      <c r="G31" s="483"/>
      <c r="H31" s="411"/>
      <c r="I31" s="411"/>
      <c r="J31" s="411"/>
      <c r="K31" s="411"/>
      <c r="L31" s="608" t="s">
        <v>4884</v>
      </c>
      <c r="M31" s="409" t="s">
        <v>4884</v>
      </c>
      <c r="N31" s="409" t="s">
        <v>4884</v>
      </c>
      <c r="O31" s="410" t="s">
        <v>4884</v>
      </c>
      <c r="P31" s="406">
        <v>28</v>
      </c>
      <c r="Q31" s="470" t="s">
        <v>71</v>
      </c>
      <c r="R31" s="475" t="s">
        <v>72</v>
      </c>
      <c r="S31" s="270" t="s">
        <v>716</v>
      </c>
      <c r="U31" s="471"/>
      <c r="V31" s="471">
        <v>0</v>
      </c>
      <c r="W31" s="471"/>
      <c r="X31" s="471"/>
      <c r="Z31" s="270" t="s">
        <v>4886</v>
      </c>
    </row>
    <row r="32" spans="1:26">
      <c r="A32" s="406">
        <v>29</v>
      </c>
      <c r="B32" s="613" t="s">
        <v>6624</v>
      </c>
      <c r="C32" s="288" t="s">
        <v>73</v>
      </c>
      <c r="D32" s="414" t="s">
        <v>3437</v>
      </c>
      <c r="E32" s="407" t="s">
        <v>8513</v>
      </c>
      <c r="F32" s="483" t="s">
        <v>6698</v>
      </c>
      <c r="G32" s="483" t="s">
        <v>6697</v>
      </c>
      <c r="H32" s="411" t="s">
        <v>6699</v>
      </c>
      <c r="I32" s="411"/>
      <c r="J32" s="411"/>
      <c r="K32" s="411"/>
      <c r="L32" s="608">
        <v>9033.385826771655</v>
      </c>
      <c r="M32" s="409">
        <v>12200.429133858268</v>
      </c>
      <c r="N32" s="409">
        <v>21233.814960629919</v>
      </c>
      <c r="O32" s="410" t="s">
        <v>7570</v>
      </c>
      <c r="P32" s="406">
        <v>29</v>
      </c>
      <c r="Q32" s="470" t="s">
        <v>73</v>
      </c>
      <c r="R32" s="460" t="s">
        <v>74</v>
      </c>
      <c r="S32" s="270" t="s">
        <v>32</v>
      </c>
      <c r="U32" s="471"/>
      <c r="V32" s="471">
        <v>1</v>
      </c>
      <c r="W32" s="471" t="s">
        <v>74</v>
      </c>
      <c r="X32" s="471">
        <v>0</v>
      </c>
    </row>
    <row r="33" spans="1:26">
      <c r="A33" s="406">
        <v>30</v>
      </c>
      <c r="B33" s="613" t="s">
        <v>6625</v>
      </c>
      <c r="C33" s="288" t="s">
        <v>75</v>
      </c>
      <c r="D33" s="414" t="s">
        <v>3392</v>
      </c>
      <c r="E33" s="407" t="s">
        <v>8514</v>
      </c>
      <c r="F33" s="483" t="s">
        <v>6701</v>
      </c>
      <c r="G33" s="483" t="s">
        <v>6700</v>
      </c>
      <c r="H33" s="411" t="s">
        <v>6702</v>
      </c>
      <c r="I33" s="411"/>
      <c r="J33" s="411"/>
      <c r="K33" s="411"/>
      <c r="L33" s="608">
        <v>9051.9960629921261</v>
      </c>
      <c r="M33" s="409">
        <v>12179.92125984252</v>
      </c>
      <c r="N33" s="409">
        <v>21231.917322834648</v>
      </c>
      <c r="O33" s="410" t="s">
        <v>7815</v>
      </c>
      <c r="P33" s="406">
        <v>30</v>
      </c>
      <c r="Q33" s="470" t="s">
        <v>75</v>
      </c>
      <c r="R33" s="460" t="s">
        <v>76</v>
      </c>
      <c r="S33" s="270" t="s">
        <v>32</v>
      </c>
      <c r="U33" s="471"/>
      <c r="V33" s="471">
        <v>1</v>
      </c>
      <c r="W33" s="471" t="s">
        <v>76</v>
      </c>
      <c r="X33" s="471">
        <v>0</v>
      </c>
    </row>
    <row r="34" spans="1:26">
      <c r="A34" s="406">
        <v>31</v>
      </c>
      <c r="B34" s="613" t="s">
        <v>6626</v>
      </c>
      <c r="C34" s="288" t="s">
        <v>77</v>
      </c>
      <c r="D34" s="414" t="s">
        <v>3395</v>
      </c>
      <c r="E34" s="407" t="s">
        <v>8515</v>
      </c>
      <c r="F34" s="483" t="s">
        <v>6683</v>
      </c>
      <c r="G34" s="483" t="s">
        <v>6691</v>
      </c>
      <c r="H34" s="411" t="s">
        <v>6689</v>
      </c>
      <c r="I34" s="411"/>
      <c r="J34" s="411"/>
      <c r="K34" s="411"/>
      <c r="L34" s="608">
        <v>9030.7204724409457</v>
      </c>
      <c r="M34" s="409">
        <v>12182.728346456694</v>
      </c>
      <c r="N34" s="409">
        <v>21213.448818897639</v>
      </c>
      <c r="O34" s="410" t="s">
        <v>7570</v>
      </c>
      <c r="P34" s="406">
        <v>31</v>
      </c>
      <c r="Q34" s="470" t="s">
        <v>77</v>
      </c>
      <c r="R34" s="460" t="s">
        <v>78</v>
      </c>
      <c r="S34" s="270" t="s">
        <v>32</v>
      </c>
      <c r="U34" s="471"/>
      <c r="V34" s="471">
        <v>1</v>
      </c>
      <c r="W34" s="471" t="s">
        <v>78</v>
      </c>
      <c r="X34" s="471">
        <v>0</v>
      </c>
    </row>
    <row r="35" spans="1:26">
      <c r="A35" s="406">
        <v>32</v>
      </c>
      <c r="B35" s="613" t="s">
        <v>6627</v>
      </c>
      <c r="C35" s="288" t="s">
        <v>79</v>
      </c>
      <c r="D35" s="414" t="s">
        <v>3394</v>
      </c>
      <c r="E35" s="407" t="s">
        <v>8516</v>
      </c>
      <c r="F35" s="483" t="s">
        <v>6704</v>
      </c>
      <c r="G35" s="483" t="s">
        <v>6703</v>
      </c>
      <c r="H35" s="411" t="s">
        <v>6706</v>
      </c>
      <c r="I35" s="411"/>
      <c r="J35" s="411"/>
      <c r="K35" s="411"/>
      <c r="L35" s="608">
        <v>9033.6220472440946</v>
      </c>
      <c r="M35" s="409">
        <v>12183.515748031496</v>
      </c>
      <c r="N35" s="409">
        <v>21217.13779527559</v>
      </c>
      <c r="O35" s="410" t="s">
        <v>7751</v>
      </c>
      <c r="P35" s="406">
        <v>32</v>
      </c>
      <c r="Q35" s="470" t="s">
        <v>79</v>
      </c>
      <c r="R35" s="460" t="s">
        <v>80</v>
      </c>
      <c r="S35" s="270" t="s">
        <v>32</v>
      </c>
      <c r="U35" s="471"/>
      <c r="V35" s="471">
        <v>1</v>
      </c>
      <c r="W35" s="471" t="s">
        <v>80</v>
      </c>
      <c r="X35" s="471">
        <v>0</v>
      </c>
    </row>
    <row r="36" spans="1:26">
      <c r="A36" s="406">
        <v>33</v>
      </c>
      <c r="B36" s="613" t="s">
        <v>6705</v>
      </c>
      <c r="C36" s="288" t="s">
        <v>81</v>
      </c>
      <c r="D36" s="414" t="s">
        <v>3393</v>
      </c>
      <c r="E36" s="407" t="s">
        <v>8517</v>
      </c>
      <c r="F36" s="483" t="s">
        <v>6769</v>
      </c>
      <c r="G36" s="483" t="s">
        <v>6718</v>
      </c>
      <c r="H36" s="411" t="s">
        <v>6682</v>
      </c>
      <c r="I36" s="411"/>
      <c r="J36" s="411"/>
      <c r="K36" s="411"/>
      <c r="L36" s="608">
        <v>9031.8818897637793</v>
      </c>
      <c r="M36" s="409">
        <v>12197.200787401574</v>
      </c>
      <c r="N36" s="409">
        <v>21229.082677165356</v>
      </c>
      <c r="O36" s="410" t="s">
        <v>7815</v>
      </c>
      <c r="P36" s="406">
        <v>33</v>
      </c>
      <c r="Q36" s="470" t="s">
        <v>81</v>
      </c>
      <c r="R36" s="460" t="s">
        <v>4887</v>
      </c>
      <c r="S36" s="270" t="s">
        <v>32</v>
      </c>
      <c r="U36" s="471"/>
      <c r="V36" s="471">
        <v>1</v>
      </c>
      <c r="W36" s="471" t="s">
        <v>4887</v>
      </c>
      <c r="X36" s="471">
        <v>0</v>
      </c>
    </row>
    <row r="37" spans="1:26">
      <c r="A37" s="406">
        <v>34</v>
      </c>
      <c r="B37" s="613" t="s">
        <v>6181</v>
      </c>
      <c r="C37" s="288" t="s">
        <v>82</v>
      </c>
      <c r="D37" s="414" t="s">
        <v>3413</v>
      </c>
      <c r="E37" s="407" t="s">
        <v>8518</v>
      </c>
      <c r="F37" s="483"/>
      <c r="G37" s="483"/>
      <c r="H37" s="411"/>
      <c r="I37" s="411"/>
      <c r="J37" s="411"/>
      <c r="K37" s="411"/>
      <c r="L37" s="608" t="s">
        <v>4884</v>
      </c>
      <c r="M37" s="409">
        <v>6992.6141732283468</v>
      </c>
      <c r="N37" s="409">
        <v>6992.6141732283468</v>
      </c>
      <c r="O37" s="410" t="s">
        <v>7567</v>
      </c>
      <c r="P37" s="406">
        <v>34</v>
      </c>
      <c r="Q37" s="470" t="s">
        <v>82</v>
      </c>
      <c r="R37" s="460" t="s">
        <v>83</v>
      </c>
      <c r="S37" s="270" t="s">
        <v>32</v>
      </c>
      <c r="U37" s="471"/>
      <c r="V37" s="471">
        <v>1</v>
      </c>
      <c r="W37" s="471" t="s">
        <v>83</v>
      </c>
      <c r="X37" s="471">
        <v>0</v>
      </c>
    </row>
    <row r="38" spans="1:26">
      <c r="A38" s="406">
        <v>35</v>
      </c>
      <c r="B38" s="613" t="s">
        <v>6182</v>
      </c>
      <c r="C38" s="288" t="s">
        <v>84</v>
      </c>
      <c r="D38" s="414" t="s">
        <v>3411</v>
      </c>
      <c r="E38" s="407" t="s">
        <v>8519</v>
      </c>
      <c r="F38" s="483"/>
      <c r="G38" s="483"/>
      <c r="H38" s="411"/>
      <c r="I38" s="411"/>
      <c r="J38" s="411"/>
      <c r="K38" s="411"/>
      <c r="L38" s="608" t="s">
        <v>4884</v>
      </c>
      <c r="M38" s="409">
        <v>6933.6456692913389</v>
      </c>
      <c r="N38" s="409">
        <v>6933.6456692913389</v>
      </c>
      <c r="O38" s="410" t="s">
        <v>7567</v>
      </c>
      <c r="P38" s="406">
        <v>35</v>
      </c>
      <c r="Q38" s="470" t="s">
        <v>84</v>
      </c>
      <c r="R38" s="460" t="s">
        <v>85</v>
      </c>
      <c r="S38" s="270" t="s">
        <v>32</v>
      </c>
      <c r="U38" s="471"/>
      <c r="V38" s="471">
        <v>1</v>
      </c>
      <c r="W38" s="471" t="s">
        <v>85</v>
      </c>
      <c r="X38" s="471">
        <v>0</v>
      </c>
    </row>
    <row r="39" spans="1:26">
      <c r="A39" s="406">
        <v>36</v>
      </c>
      <c r="B39" s="613" t="s">
        <v>5006</v>
      </c>
      <c r="C39" s="288" t="s">
        <v>86</v>
      </c>
      <c r="D39" s="414" t="s">
        <v>4581</v>
      </c>
      <c r="E39" s="407" t="s">
        <v>8520</v>
      </c>
      <c r="F39" s="483" t="s">
        <v>5005</v>
      </c>
      <c r="G39" s="483" t="s">
        <v>5008</v>
      </c>
      <c r="H39" s="411" t="s">
        <v>5007</v>
      </c>
      <c r="I39" s="411"/>
      <c r="J39" s="411"/>
      <c r="K39" s="411"/>
      <c r="L39" s="608">
        <v>5198.1889763779527</v>
      </c>
      <c r="M39" s="409">
        <v>1182.9960629921261</v>
      </c>
      <c r="N39" s="409">
        <v>6381.1850393700788</v>
      </c>
      <c r="O39" s="410" t="s">
        <v>7776</v>
      </c>
      <c r="P39" s="406">
        <v>36</v>
      </c>
      <c r="Q39" s="470" t="s">
        <v>86</v>
      </c>
      <c r="R39" s="476" t="s">
        <v>87</v>
      </c>
      <c r="S39" s="270" t="s">
        <v>32</v>
      </c>
      <c r="U39" s="466">
        <v>1</v>
      </c>
      <c r="V39" s="471"/>
      <c r="W39" s="471" t="s">
        <v>87</v>
      </c>
      <c r="X39" s="471">
        <v>0</v>
      </c>
    </row>
    <row r="40" spans="1:26">
      <c r="A40" s="406">
        <v>37</v>
      </c>
      <c r="B40" s="613" t="s">
        <v>5880</v>
      </c>
      <c r="C40" s="288" t="s">
        <v>88</v>
      </c>
      <c r="D40" s="414" t="s">
        <v>4662</v>
      </c>
      <c r="E40" s="407" t="s">
        <v>8521</v>
      </c>
      <c r="F40" s="483"/>
      <c r="G40" s="411"/>
      <c r="H40" s="411"/>
      <c r="I40" s="411"/>
      <c r="J40" s="411"/>
      <c r="K40" s="411"/>
      <c r="L40" s="608" t="s">
        <v>4884</v>
      </c>
      <c r="M40" s="409">
        <v>6253.429133858268</v>
      </c>
      <c r="N40" s="409">
        <v>6253.429133858268</v>
      </c>
      <c r="O40" s="410" t="s">
        <v>7575</v>
      </c>
      <c r="P40" s="406">
        <v>37</v>
      </c>
      <c r="Q40" s="470" t="s">
        <v>88</v>
      </c>
      <c r="R40" s="460" t="s">
        <v>89</v>
      </c>
      <c r="S40" s="270" t="s">
        <v>7</v>
      </c>
      <c r="U40" s="471"/>
      <c r="V40" s="471"/>
      <c r="W40" s="471" t="s">
        <v>89</v>
      </c>
      <c r="X40" s="471">
        <v>1</v>
      </c>
    </row>
    <row r="41" spans="1:26">
      <c r="A41" s="406">
        <v>38</v>
      </c>
      <c r="B41" s="613" t="s">
        <v>5779</v>
      </c>
      <c r="C41" s="288" t="s">
        <v>90</v>
      </c>
      <c r="D41" s="414" t="s">
        <v>4707</v>
      </c>
      <c r="E41" s="407" t="s">
        <v>8522</v>
      </c>
      <c r="F41" s="483" t="s">
        <v>5777</v>
      </c>
      <c r="G41" s="411" t="s">
        <v>5780</v>
      </c>
      <c r="H41" s="411"/>
      <c r="I41" s="411"/>
      <c r="J41" s="411"/>
      <c r="K41" s="411"/>
      <c r="L41" s="608">
        <v>6298.6456692913389</v>
      </c>
      <c r="M41" s="409">
        <v>10746.688976377953</v>
      </c>
      <c r="N41" s="409">
        <v>17045.334645669293</v>
      </c>
      <c r="O41" s="410" t="s">
        <v>7793</v>
      </c>
      <c r="P41" s="406">
        <v>38</v>
      </c>
      <c r="Q41" s="470" t="s">
        <v>90</v>
      </c>
      <c r="R41" s="460" t="s">
        <v>91</v>
      </c>
      <c r="S41" s="270" t="s">
        <v>7</v>
      </c>
      <c r="U41" s="471"/>
      <c r="V41" s="471"/>
      <c r="W41" s="471" t="s">
        <v>91</v>
      </c>
      <c r="X41" s="471">
        <v>1</v>
      </c>
      <c r="Z41" s="270" t="s">
        <v>92</v>
      </c>
    </row>
    <row r="42" spans="1:26">
      <c r="A42" s="406">
        <v>39</v>
      </c>
      <c r="B42" s="613" t="s">
        <v>5779</v>
      </c>
      <c r="C42" s="288" t="s">
        <v>93</v>
      </c>
      <c r="D42" s="414" t="s">
        <v>4707</v>
      </c>
      <c r="E42" s="407" t="s">
        <v>8522</v>
      </c>
      <c r="F42" s="483" t="s">
        <v>5777</v>
      </c>
      <c r="G42" s="411" t="s">
        <v>5780</v>
      </c>
      <c r="H42" s="411"/>
      <c r="I42" s="411"/>
      <c r="J42" s="411"/>
      <c r="K42" s="411"/>
      <c r="L42" s="608">
        <v>6298.6456692913389</v>
      </c>
      <c r="M42" s="409">
        <v>10746.688976377953</v>
      </c>
      <c r="N42" s="409">
        <v>17045.334645669293</v>
      </c>
      <c r="O42" s="410" t="s">
        <v>7793</v>
      </c>
      <c r="P42" s="406">
        <v>39</v>
      </c>
      <c r="Q42" s="470" t="s">
        <v>93</v>
      </c>
      <c r="R42" s="460" t="s">
        <v>94</v>
      </c>
      <c r="S42" s="270" t="s">
        <v>7</v>
      </c>
      <c r="U42" s="471"/>
      <c r="V42" s="471"/>
      <c r="W42" s="471" t="s">
        <v>94</v>
      </c>
      <c r="X42" s="473">
        <v>0</v>
      </c>
      <c r="Z42" s="270" t="s">
        <v>92</v>
      </c>
    </row>
    <row r="43" spans="1:26">
      <c r="A43" s="406">
        <v>40</v>
      </c>
      <c r="B43" s="613" t="s">
        <v>5779</v>
      </c>
      <c r="C43" s="288" t="s">
        <v>95</v>
      </c>
      <c r="D43" s="414" t="s">
        <v>4707</v>
      </c>
      <c r="E43" s="407" t="s">
        <v>8522</v>
      </c>
      <c r="F43" s="483" t="s">
        <v>5777</v>
      </c>
      <c r="G43" s="411" t="s">
        <v>5780</v>
      </c>
      <c r="H43" s="411"/>
      <c r="I43" s="411"/>
      <c r="J43" s="411"/>
      <c r="K43" s="411"/>
      <c r="L43" s="608">
        <v>6298.6456692913389</v>
      </c>
      <c r="M43" s="409">
        <v>10746.688976377953</v>
      </c>
      <c r="N43" s="409">
        <v>17045.334645669293</v>
      </c>
      <c r="O43" s="410" t="s">
        <v>7793</v>
      </c>
      <c r="P43" s="406">
        <v>40</v>
      </c>
      <c r="Q43" s="470" t="s">
        <v>95</v>
      </c>
      <c r="R43" s="460" t="s">
        <v>96</v>
      </c>
      <c r="S43" s="270" t="s">
        <v>7</v>
      </c>
      <c r="U43" s="471"/>
      <c r="V43" s="471"/>
      <c r="W43" s="471" t="s">
        <v>96</v>
      </c>
      <c r="X43" s="473">
        <v>0</v>
      </c>
      <c r="Z43" s="270" t="s">
        <v>92</v>
      </c>
    </row>
    <row r="44" spans="1:26">
      <c r="A44" s="406">
        <v>41</v>
      </c>
      <c r="B44" s="613" t="s">
        <v>5779</v>
      </c>
      <c r="C44" s="288" t="s">
        <v>97</v>
      </c>
      <c r="D44" s="414" t="s">
        <v>4707</v>
      </c>
      <c r="E44" s="407" t="s">
        <v>8522</v>
      </c>
      <c r="F44" s="483" t="s">
        <v>5777</v>
      </c>
      <c r="G44" s="411" t="s">
        <v>5780</v>
      </c>
      <c r="H44" s="411"/>
      <c r="I44" s="411"/>
      <c r="J44" s="411"/>
      <c r="K44" s="411"/>
      <c r="L44" s="608">
        <v>6298.6456692913389</v>
      </c>
      <c r="M44" s="409">
        <v>10746.688976377953</v>
      </c>
      <c r="N44" s="409">
        <v>17045.334645669293</v>
      </c>
      <c r="O44" s="410" t="s">
        <v>7793</v>
      </c>
      <c r="P44" s="406">
        <v>41</v>
      </c>
      <c r="Q44" s="470" t="s">
        <v>97</v>
      </c>
      <c r="R44" s="460" t="s">
        <v>98</v>
      </c>
      <c r="S44" s="270" t="s">
        <v>7</v>
      </c>
      <c r="U44" s="471"/>
      <c r="V44" s="471"/>
      <c r="W44" s="471" t="s">
        <v>98</v>
      </c>
      <c r="X44" s="473">
        <v>0</v>
      </c>
      <c r="Z44" s="270" t="s">
        <v>92</v>
      </c>
    </row>
    <row r="45" spans="1:26">
      <c r="A45" s="406">
        <v>42</v>
      </c>
      <c r="B45" s="613" t="s">
        <v>5773</v>
      </c>
      <c r="C45" s="288" t="s">
        <v>99</v>
      </c>
      <c r="D45" s="414" t="s">
        <v>4752</v>
      </c>
      <c r="E45" s="407" t="s">
        <v>8523</v>
      </c>
      <c r="F45" s="483" t="s">
        <v>5776</v>
      </c>
      <c r="G45" s="411" t="s">
        <v>5774</v>
      </c>
      <c r="H45" s="411"/>
      <c r="I45" s="411"/>
      <c r="J45" s="411"/>
      <c r="K45" s="411"/>
      <c r="L45" s="608">
        <v>6297.7165354330709</v>
      </c>
      <c r="M45" s="409">
        <v>10746.696850393701</v>
      </c>
      <c r="N45" s="409">
        <v>17044.413385826771</v>
      </c>
      <c r="O45" s="410" t="s">
        <v>7816</v>
      </c>
      <c r="P45" s="406">
        <v>42</v>
      </c>
      <c r="Q45" s="470" t="s">
        <v>99</v>
      </c>
      <c r="R45" s="460" t="s">
        <v>100</v>
      </c>
      <c r="S45" s="270" t="s">
        <v>7</v>
      </c>
      <c r="U45" s="471"/>
      <c r="V45" s="471"/>
      <c r="W45" s="471" t="s">
        <v>100</v>
      </c>
      <c r="X45" s="471">
        <v>1</v>
      </c>
      <c r="Z45" s="270" t="s">
        <v>101</v>
      </c>
    </row>
    <row r="46" spans="1:26">
      <c r="A46" s="406">
        <v>43</v>
      </c>
      <c r="B46" s="613" t="s">
        <v>5773</v>
      </c>
      <c r="C46" s="288" t="s">
        <v>102</v>
      </c>
      <c r="D46" s="414" t="s">
        <v>4752</v>
      </c>
      <c r="E46" s="407" t="s">
        <v>8523</v>
      </c>
      <c r="F46" s="483" t="s">
        <v>5776</v>
      </c>
      <c r="G46" s="411" t="s">
        <v>5774</v>
      </c>
      <c r="H46" s="411"/>
      <c r="I46" s="411"/>
      <c r="J46" s="411"/>
      <c r="K46" s="411"/>
      <c r="L46" s="608">
        <v>6297.7165354330709</v>
      </c>
      <c r="M46" s="409">
        <v>10746.696850393701</v>
      </c>
      <c r="N46" s="409">
        <v>17044.413385826771</v>
      </c>
      <c r="O46" s="410" t="s">
        <v>7816</v>
      </c>
      <c r="P46" s="406">
        <v>43</v>
      </c>
      <c r="Q46" s="470" t="s">
        <v>102</v>
      </c>
      <c r="R46" s="460" t="s">
        <v>103</v>
      </c>
      <c r="S46" s="270" t="s">
        <v>7</v>
      </c>
      <c r="U46" s="471"/>
      <c r="V46" s="471"/>
      <c r="W46" s="471" t="s">
        <v>103</v>
      </c>
      <c r="X46" s="473">
        <v>0</v>
      </c>
      <c r="Z46" s="270" t="s">
        <v>101</v>
      </c>
    </row>
    <row r="47" spans="1:26">
      <c r="A47" s="406">
        <v>44</v>
      </c>
      <c r="B47" s="613" t="s">
        <v>5773</v>
      </c>
      <c r="C47" s="288" t="s">
        <v>104</v>
      </c>
      <c r="D47" s="414" t="s">
        <v>4752</v>
      </c>
      <c r="E47" s="407" t="s">
        <v>8523</v>
      </c>
      <c r="F47" s="483" t="s">
        <v>5776</v>
      </c>
      <c r="G47" s="411" t="s">
        <v>5774</v>
      </c>
      <c r="H47" s="411"/>
      <c r="I47" s="411"/>
      <c r="J47" s="411"/>
      <c r="K47" s="411"/>
      <c r="L47" s="608">
        <v>6297.7165354330709</v>
      </c>
      <c r="M47" s="409">
        <v>10746.696850393701</v>
      </c>
      <c r="N47" s="409">
        <v>17044.413385826771</v>
      </c>
      <c r="O47" s="410" t="s">
        <v>7816</v>
      </c>
      <c r="P47" s="406">
        <v>44</v>
      </c>
      <c r="Q47" s="470" t="s">
        <v>104</v>
      </c>
      <c r="R47" s="460" t="s">
        <v>105</v>
      </c>
      <c r="S47" s="270" t="s">
        <v>7</v>
      </c>
      <c r="U47" s="471"/>
      <c r="V47" s="471"/>
      <c r="W47" s="471" t="s">
        <v>105</v>
      </c>
      <c r="X47" s="473">
        <v>0</v>
      </c>
      <c r="Z47" s="270" t="s">
        <v>101</v>
      </c>
    </row>
    <row r="48" spans="1:26">
      <c r="A48" s="406">
        <v>45</v>
      </c>
      <c r="B48" s="613" t="s">
        <v>5773</v>
      </c>
      <c r="C48" s="288" t="s">
        <v>106</v>
      </c>
      <c r="D48" s="414" t="s">
        <v>4752</v>
      </c>
      <c r="E48" s="407" t="s">
        <v>8523</v>
      </c>
      <c r="F48" s="483" t="s">
        <v>5776</v>
      </c>
      <c r="G48" s="411" t="s">
        <v>5774</v>
      </c>
      <c r="H48" s="411"/>
      <c r="I48" s="411"/>
      <c r="J48" s="411"/>
      <c r="K48" s="411"/>
      <c r="L48" s="608">
        <v>6297.7165354330709</v>
      </c>
      <c r="M48" s="409">
        <v>10746.696850393701</v>
      </c>
      <c r="N48" s="409">
        <v>17044.413385826771</v>
      </c>
      <c r="O48" s="410" t="s">
        <v>7816</v>
      </c>
      <c r="P48" s="406">
        <v>45</v>
      </c>
      <c r="Q48" s="470" t="s">
        <v>106</v>
      </c>
      <c r="R48" s="460" t="s">
        <v>107</v>
      </c>
      <c r="S48" s="270" t="s">
        <v>7</v>
      </c>
      <c r="U48" s="471"/>
      <c r="V48" s="471"/>
      <c r="W48" s="471" t="s">
        <v>107</v>
      </c>
      <c r="X48" s="473">
        <v>0</v>
      </c>
      <c r="Z48" s="270" t="s">
        <v>101</v>
      </c>
    </row>
    <row r="49" spans="1:26">
      <c r="A49" s="406">
        <v>46</v>
      </c>
      <c r="B49" s="613" t="s">
        <v>7020</v>
      </c>
      <c r="C49" s="288" t="s">
        <v>108</v>
      </c>
      <c r="D49" s="414" t="s">
        <v>4884</v>
      </c>
      <c r="E49" s="407"/>
      <c r="F49" s="483" t="s">
        <v>5015</v>
      </c>
      <c r="G49" s="411"/>
      <c r="H49" s="411"/>
      <c r="I49" s="411"/>
      <c r="J49" s="411"/>
      <c r="K49" s="411"/>
      <c r="L49" s="608" t="s">
        <v>4884</v>
      </c>
      <c r="M49" s="409" t="s">
        <v>4884</v>
      </c>
      <c r="N49" s="409" t="s">
        <v>4884</v>
      </c>
      <c r="O49" s="410" t="s">
        <v>4884</v>
      </c>
      <c r="P49" s="406">
        <v>46</v>
      </c>
      <c r="Q49" s="470" t="s">
        <v>108</v>
      </c>
      <c r="R49" s="460" t="s">
        <v>109</v>
      </c>
      <c r="S49" s="270" t="s">
        <v>7</v>
      </c>
      <c r="U49" s="471"/>
      <c r="V49" s="471"/>
      <c r="W49" s="471" t="s">
        <v>109</v>
      </c>
      <c r="X49" s="471">
        <v>0</v>
      </c>
    </row>
    <row r="50" spans="1:26">
      <c r="A50" s="406">
        <v>47</v>
      </c>
      <c r="B50" s="613" t="s">
        <v>5771</v>
      </c>
      <c r="C50" s="288" t="s">
        <v>110</v>
      </c>
      <c r="D50" s="414" t="s">
        <v>4773</v>
      </c>
      <c r="E50" s="407" t="s">
        <v>8524</v>
      </c>
      <c r="F50" s="483" t="s">
        <v>5769</v>
      </c>
      <c r="G50" s="411" t="s">
        <v>5772</v>
      </c>
      <c r="H50" s="411"/>
      <c r="I50" s="411"/>
      <c r="J50" s="411"/>
      <c r="K50" s="411"/>
      <c r="L50" s="608">
        <v>6770.2637795275587</v>
      </c>
      <c r="M50" s="409">
        <v>9684.3385826771664</v>
      </c>
      <c r="N50" s="409">
        <v>16454.602362204725</v>
      </c>
      <c r="O50" s="410" t="s">
        <v>7815</v>
      </c>
      <c r="P50" s="406">
        <v>47</v>
      </c>
      <c r="Q50" s="470" t="s">
        <v>110</v>
      </c>
      <c r="R50" s="460" t="s">
        <v>111</v>
      </c>
      <c r="S50" s="270" t="s">
        <v>7</v>
      </c>
      <c r="U50" s="471"/>
      <c r="V50" s="471"/>
      <c r="W50" s="471" t="s">
        <v>111</v>
      </c>
      <c r="X50" s="471">
        <v>1</v>
      </c>
      <c r="Z50" s="270" t="s">
        <v>112</v>
      </c>
    </row>
    <row r="51" spans="1:26">
      <c r="A51" s="406">
        <v>48</v>
      </c>
      <c r="B51" s="613" t="s">
        <v>5765</v>
      </c>
      <c r="C51" s="288" t="s">
        <v>113</v>
      </c>
      <c r="D51" s="414" t="s">
        <v>4774</v>
      </c>
      <c r="E51" s="407" t="s">
        <v>8525</v>
      </c>
      <c r="F51" s="483" t="s">
        <v>5768</v>
      </c>
      <c r="G51" s="411" t="s">
        <v>5766</v>
      </c>
      <c r="H51" s="411"/>
      <c r="I51" s="411"/>
      <c r="J51" s="411"/>
      <c r="K51" s="411"/>
      <c r="L51" s="608">
        <v>5944.035433070866</v>
      </c>
      <c r="M51" s="409">
        <v>9683.9173228346463</v>
      </c>
      <c r="N51" s="409">
        <v>15627.952755905511</v>
      </c>
      <c r="O51" s="410" t="s">
        <v>7815</v>
      </c>
      <c r="P51" s="406">
        <v>48</v>
      </c>
      <c r="Q51" s="470" t="s">
        <v>113</v>
      </c>
      <c r="R51" s="460" t="s">
        <v>114</v>
      </c>
      <c r="S51" s="270" t="s">
        <v>7</v>
      </c>
      <c r="U51" s="471"/>
      <c r="V51" s="471"/>
      <c r="W51" s="471" t="s">
        <v>114</v>
      </c>
      <c r="X51" s="471">
        <v>1</v>
      </c>
      <c r="Z51" s="270" t="s">
        <v>115</v>
      </c>
    </row>
    <row r="52" spans="1:26">
      <c r="A52" s="406">
        <v>49</v>
      </c>
      <c r="B52" s="613" t="s">
        <v>5763</v>
      </c>
      <c r="C52" s="288" t="s">
        <v>116</v>
      </c>
      <c r="D52" s="414" t="s">
        <v>4751</v>
      </c>
      <c r="E52" s="407" t="s">
        <v>8526</v>
      </c>
      <c r="F52" s="483" t="s">
        <v>5761</v>
      </c>
      <c r="G52" s="411" t="s">
        <v>5764</v>
      </c>
      <c r="H52" s="411"/>
      <c r="I52" s="411"/>
      <c r="J52" s="411"/>
      <c r="K52" s="411"/>
      <c r="L52" s="608">
        <v>7007.0787401574808</v>
      </c>
      <c r="M52" s="409">
        <v>9684.6023622047251</v>
      </c>
      <c r="N52" s="409">
        <v>16691.681102362207</v>
      </c>
      <c r="O52" s="410" t="s">
        <v>7817</v>
      </c>
      <c r="P52" s="406">
        <v>49</v>
      </c>
      <c r="Q52" s="470" t="s">
        <v>116</v>
      </c>
      <c r="R52" s="460" t="s">
        <v>117</v>
      </c>
      <c r="S52" s="270" t="s">
        <v>7</v>
      </c>
      <c r="U52" s="471"/>
      <c r="V52" s="471"/>
      <c r="W52" s="471" t="s">
        <v>117</v>
      </c>
      <c r="X52" s="471">
        <v>1</v>
      </c>
      <c r="Z52" s="270" t="s">
        <v>118</v>
      </c>
    </row>
    <row r="53" spans="1:26">
      <c r="A53" s="406">
        <v>50</v>
      </c>
      <c r="B53" s="613" t="s">
        <v>5757</v>
      </c>
      <c r="C53" s="288" t="s">
        <v>119</v>
      </c>
      <c r="D53" s="414" t="s">
        <v>4710</v>
      </c>
      <c r="E53" s="407" t="s">
        <v>8527</v>
      </c>
      <c r="F53" s="483" t="s">
        <v>5760</v>
      </c>
      <c r="G53" s="411" t="s">
        <v>5758</v>
      </c>
      <c r="H53" s="411"/>
      <c r="I53" s="411"/>
      <c r="J53" s="411"/>
      <c r="K53" s="411"/>
      <c r="L53" s="608">
        <v>8936.2677165354344</v>
      </c>
      <c r="M53" s="409">
        <v>9684.2283464566935</v>
      </c>
      <c r="N53" s="409">
        <v>18620.496062992126</v>
      </c>
      <c r="O53" s="410" t="s">
        <v>7816</v>
      </c>
      <c r="P53" s="406">
        <v>50</v>
      </c>
      <c r="Q53" s="470" t="s">
        <v>119</v>
      </c>
      <c r="R53" s="460" t="s">
        <v>120</v>
      </c>
      <c r="S53" s="270" t="s">
        <v>7</v>
      </c>
      <c r="U53" s="471"/>
      <c r="V53" s="471"/>
      <c r="W53" s="471" t="s">
        <v>120</v>
      </c>
      <c r="X53" s="471">
        <v>1</v>
      </c>
      <c r="Z53" s="270" t="s">
        <v>121</v>
      </c>
    </row>
    <row r="54" spans="1:26">
      <c r="A54" s="406">
        <v>51</v>
      </c>
      <c r="B54" s="613" t="s">
        <v>5763</v>
      </c>
      <c r="C54" s="288" t="s">
        <v>122</v>
      </c>
      <c r="D54" s="414" t="s">
        <v>4751</v>
      </c>
      <c r="E54" s="407" t="s">
        <v>8526</v>
      </c>
      <c r="F54" s="483" t="s">
        <v>5761</v>
      </c>
      <c r="G54" s="411" t="s">
        <v>5764</v>
      </c>
      <c r="H54" s="411"/>
      <c r="I54" s="411"/>
      <c r="J54" s="411"/>
      <c r="K54" s="411"/>
      <c r="L54" s="608">
        <v>7007.0787401574808</v>
      </c>
      <c r="M54" s="409">
        <v>9684.6023622047251</v>
      </c>
      <c r="N54" s="409">
        <v>16691.681102362207</v>
      </c>
      <c r="O54" s="410" t="s">
        <v>7817</v>
      </c>
      <c r="P54" s="406">
        <v>51</v>
      </c>
      <c r="Q54" s="470" t="s">
        <v>122</v>
      </c>
      <c r="R54" s="460" t="s">
        <v>123</v>
      </c>
      <c r="S54" s="270" t="s">
        <v>7</v>
      </c>
      <c r="U54" s="471"/>
      <c r="V54" s="471"/>
      <c r="W54" s="471" t="s">
        <v>123</v>
      </c>
      <c r="X54" s="471">
        <v>0</v>
      </c>
      <c r="Z54" s="270" t="s">
        <v>118</v>
      </c>
    </row>
    <row r="55" spans="1:26">
      <c r="A55" s="406">
        <v>52</v>
      </c>
      <c r="B55" s="613" t="s">
        <v>5757</v>
      </c>
      <c r="C55" s="288" t="s">
        <v>124</v>
      </c>
      <c r="D55" s="414" t="s">
        <v>4710</v>
      </c>
      <c r="E55" s="407" t="s">
        <v>8527</v>
      </c>
      <c r="F55" s="483" t="s">
        <v>5760</v>
      </c>
      <c r="G55" s="411" t="s">
        <v>5758</v>
      </c>
      <c r="H55" s="411"/>
      <c r="I55" s="411"/>
      <c r="J55" s="411"/>
      <c r="K55" s="411"/>
      <c r="L55" s="608">
        <v>8936.2677165354344</v>
      </c>
      <c r="M55" s="409">
        <v>9684.2283464566935</v>
      </c>
      <c r="N55" s="409">
        <v>18620.496062992126</v>
      </c>
      <c r="O55" s="410" t="s">
        <v>7816</v>
      </c>
      <c r="P55" s="406">
        <v>52</v>
      </c>
      <c r="Q55" s="470" t="s">
        <v>124</v>
      </c>
      <c r="R55" s="460" t="s">
        <v>125</v>
      </c>
      <c r="S55" s="270" t="s">
        <v>7</v>
      </c>
      <c r="U55" s="471"/>
      <c r="V55" s="471"/>
      <c r="W55" s="471" t="s">
        <v>125</v>
      </c>
      <c r="X55" s="471">
        <v>0</v>
      </c>
      <c r="Z55" s="270" t="s">
        <v>121</v>
      </c>
    </row>
    <row r="56" spans="1:26">
      <c r="A56" s="406">
        <v>53</v>
      </c>
      <c r="B56" s="613" t="s">
        <v>5771</v>
      </c>
      <c r="C56" s="288" t="s">
        <v>126</v>
      </c>
      <c r="D56" s="414" t="s">
        <v>4773</v>
      </c>
      <c r="E56" s="407" t="s">
        <v>8524</v>
      </c>
      <c r="F56" s="483" t="s">
        <v>5769</v>
      </c>
      <c r="G56" s="411" t="s">
        <v>5772</v>
      </c>
      <c r="H56" s="411"/>
      <c r="I56" s="411"/>
      <c r="J56" s="411"/>
      <c r="K56" s="411"/>
      <c r="L56" s="608">
        <v>6770.2637795275587</v>
      </c>
      <c r="M56" s="409">
        <v>9684.3385826771664</v>
      </c>
      <c r="N56" s="409">
        <v>16454.602362204725</v>
      </c>
      <c r="O56" s="410" t="s">
        <v>7815</v>
      </c>
      <c r="P56" s="406">
        <v>53</v>
      </c>
      <c r="Q56" s="470" t="s">
        <v>126</v>
      </c>
      <c r="R56" s="460" t="s">
        <v>127</v>
      </c>
      <c r="S56" s="270" t="s">
        <v>7</v>
      </c>
      <c r="U56" s="471"/>
      <c r="V56" s="471"/>
      <c r="W56" s="471" t="s">
        <v>127</v>
      </c>
      <c r="X56" s="471">
        <v>0</v>
      </c>
      <c r="Z56" s="270" t="s">
        <v>112</v>
      </c>
    </row>
    <row r="57" spans="1:26">
      <c r="A57" s="406">
        <v>54</v>
      </c>
      <c r="B57" s="613" t="s">
        <v>5765</v>
      </c>
      <c r="C57" s="288" t="s">
        <v>128</v>
      </c>
      <c r="D57" s="414" t="s">
        <v>4774</v>
      </c>
      <c r="E57" s="407" t="s">
        <v>8525</v>
      </c>
      <c r="F57" s="483" t="s">
        <v>5768</v>
      </c>
      <c r="G57" s="411" t="s">
        <v>5766</v>
      </c>
      <c r="H57" s="411"/>
      <c r="I57" s="411"/>
      <c r="J57" s="411"/>
      <c r="K57" s="411"/>
      <c r="L57" s="608">
        <v>5944.035433070866</v>
      </c>
      <c r="M57" s="409">
        <v>9683.9173228346463</v>
      </c>
      <c r="N57" s="409">
        <v>15627.952755905511</v>
      </c>
      <c r="O57" s="410" t="s">
        <v>7815</v>
      </c>
      <c r="P57" s="406">
        <v>54</v>
      </c>
      <c r="Q57" s="470" t="s">
        <v>128</v>
      </c>
      <c r="R57" s="460" t="s">
        <v>129</v>
      </c>
      <c r="S57" s="270" t="s">
        <v>7</v>
      </c>
      <c r="U57" s="471"/>
      <c r="V57" s="471"/>
      <c r="W57" s="471" t="s">
        <v>129</v>
      </c>
      <c r="X57" s="471">
        <v>0</v>
      </c>
      <c r="Z57" s="270" t="s">
        <v>115</v>
      </c>
    </row>
    <row r="58" spans="1:26">
      <c r="A58" s="406">
        <v>55</v>
      </c>
      <c r="B58" s="613" t="s">
        <v>5763</v>
      </c>
      <c r="C58" s="288" t="s">
        <v>130</v>
      </c>
      <c r="D58" s="414" t="s">
        <v>4751</v>
      </c>
      <c r="E58" s="407" t="s">
        <v>8526</v>
      </c>
      <c r="F58" s="483" t="s">
        <v>5761</v>
      </c>
      <c r="G58" s="411" t="s">
        <v>5764</v>
      </c>
      <c r="H58" s="411"/>
      <c r="I58" s="411"/>
      <c r="J58" s="411"/>
      <c r="K58" s="411"/>
      <c r="L58" s="608">
        <v>7007.0787401574808</v>
      </c>
      <c r="M58" s="409">
        <v>9684.6023622047251</v>
      </c>
      <c r="N58" s="409">
        <v>16691.681102362207</v>
      </c>
      <c r="O58" s="410" t="s">
        <v>7817</v>
      </c>
      <c r="P58" s="406">
        <v>55</v>
      </c>
      <c r="Q58" s="470" t="s">
        <v>130</v>
      </c>
      <c r="R58" s="460" t="s">
        <v>131</v>
      </c>
      <c r="S58" s="270" t="s">
        <v>7</v>
      </c>
      <c r="U58" s="471"/>
      <c r="V58" s="471"/>
      <c r="W58" s="471" t="s">
        <v>131</v>
      </c>
      <c r="X58" s="471">
        <v>0</v>
      </c>
      <c r="Z58" s="270" t="s">
        <v>118</v>
      </c>
    </row>
    <row r="59" spans="1:26">
      <c r="A59" s="406">
        <v>56</v>
      </c>
      <c r="B59" s="613" t="s">
        <v>5757</v>
      </c>
      <c r="C59" s="288" t="s">
        <v>132</v>
      </c>
      <c r="D59" s="414" t="s">
        <v>4710</v>
      </c>
      <c r="E59" s="407" t="s">
        <v>8527</v>
      </c>
      <c r="F59" s="483" t="s">
        <v>5760</v>
      </c>
      <c r="G59" s="411" t="s">
        <v>5758</v>
      </c>
      <c r="H59" s="411"/>
      <c r="I59" s="411"/>
      <c r="J59" s="411"/>
      <c r="K59" s="411"/>
      <c r="L59" s="608">
        <v>8936.2677165354344</v>
      </c>
      <c r="M59" s="409">
        <v>9684.2283464566935</v>
      </c>
      <c r="N59" s="409">
        <v>18620.496062992126</v>
      </c>
      <c r="O59" s="410" t="s">
        <v>7816</v>
      </c>
      <c r="P59" s="406">
        <v>56</v>
      </c>
      <c r="Q59" s="470" t="s">
        <v>132</v>
      </c>
      <c r="R59" s="460" t="s">
        <v>133</v>
      </c>
      <c r="S59" s="270" t="s">
        <v>7</v>
      </c>
      <c r="U59" s="471"/>
      <c r="V59" s="471"/>
      <c r="W59" s="471" t="s">
        <v>133</v>
      </c>
      <c r="X59" s="471">
        <v>0</v>
      </c>
      <c r="Z59" s="270" t="s">
        <v>121</v>
      </c>
    </row>
    <row r="60" spans="1:26">
      <c r="A60" s="406">
        <v>57</v>
      </c>
      <c r="B60" s="613" t="s">
        <v>5771</v>
      </c>
      <c r="C60" s="288" t="s">
        <v>134</v>
      </c>
      <c r="D60" s="414" t="s">
        <v>4773</v>
      </c>
      <c r="E60" s="407" t="s">
        <v>8524</v>
      </c>
      <c r="F60" s="483" t="s">
        <v>5769</v>
      </c>
      <c r="G60" s="411" t="s">
        <v>5772</v>
      </c>
      <c r="H60" s="411"/>
      <c r="I60" s="411"/>
      <c r="J60" s="411"/>
      <c r="K60" s="411"/>
      <c r="L60" s="608">
        <v>6770.2637795275587</v>
      </c>
      <c r="M60" s="409">
        <v>9684.3385826771664</v>
      </c>
      <c r="N60" s="409">
        <v>16454.602362204725</v>
      </c>
      <c r="O60" s="410" t="s">
        <v>7815</v>
      </c>
      <c r="P60" s="406">
        <v>57</v>
      </c>
      <c r="Q60" s="470" t="s">
        <v>134</v>
      </c>
      <c r="R60" s="460" t="s">
        <v>135</v>
      </c>
      <c r="S60" s="270" t="s">
        <v>7</v>
      </c>
      <c r="U60" s="471"/>
      <c r="V60" s="471"/>
      <c r="W60" s="471" t="s">
        <v>135</v>
      </c>
      <c r="X60" s="471">
        <v>0</v>
      </c>
      <c r="Z60" s="270" t="s">
        <v>112</v>
      </c>
    </row>
    <row r="61" spans="1:26">
      <c r="A61" s="406">
        <v>58</v>
      </c>
      <c r="B61" s="613" t="s">
        <v>5765</v>
      </c>
      <c r="C61" s="288" t="s">
        <v>136</v>
      </c>
      <c r="D61" s="414" t="s">
        <v>4774</v>
      </c>
      <c r="E61" s="407" t="s">
        <v>8525</v>
      </c>
      <c r="F61" s="483" t="s">
        <v>5768</v>
      </c>
      <c r="G61" s="411" t="s">
        <v>5766</v>
      </c>
      <c r="H61" s="411"/>
      <c r="I61" s="411"/>
      <c r="J61" s="411"/>
      <c r="K61" s="411"/>
      <c r="L61" s="608">
        <v>5944.035433070866</v>
      </c>
      <c r="M61" s="409">
        <v>9683.9173228346463</v>
      </c>
      <c r="N61" s="409">
        <v>15627.952755905511</v>
      </c>
      <c r="O61" s="410" t="s">
        <v>7815</v>
      </c>
      <c r="P61" s="406">
        <v>58</v>
      </c>
      <c r="Q61" s="470" t="s">
        <v>136</v>
      </c>
      <c r="R61" s="460" t="s">
        <v>137</v>
      </c>
      <c r="S61" s="270" t="s">
        <v>7</v>
      </c>
      <c r="U61" s="471"/>
      <c r="V61" s="471"/>
      <c r="W61" s="471" t="s">
        <v>137</v>
      </c>
      <c r="X61" s="471">
        <v>0</v>
      </c>
      <c r="Z61" s="270" t="s">
        <v>115</v>
      </c>
    </row>
    <row r="62" spans="1:26">
      <c r="A62" s="406">
        <v>59</v>
      </c>
      <c r="B62" s="613" t="s">
        <v>5741</v>
      </c>
      <c r="C62" s="288" t="s">
        <v>138</v>
      </c>
      <c r="D62" s="414" t="s">
        <v>4777</v>
      </c>
      <c r="E62" s="407" t="s">
        <v>8528</v>
      </c>
      <c r="F62" s="483" t="s">
        <v>5744</v>
      </c>
      <c r="G62" s="411" t="s">
        <v>5742</v>
      </c>
      <c r="H62" s="411"/>
      <c r="I62" s="411"/>
      <c r="J62" s="411"/>
      <c r="K62" s="411"/>
      <c r="L62" s="608">
        <v>6770.2716535433074</v>
      </c>
      <c r="M62" s="409">
        <v>9683.748031496063</v>
      </c>
      <c r="N62" s="409">
        <v>16454.01968503937</v>
      </c>
      <c r="O62" s="410" t="s">
        <v>7751</v>
      </c>
      <c r="P62" s="406">
        <v>59</v>
      </c>
      <c r="Q62" s="470" t="s">
        <v>138</v>
      </c>
      <c r="R62" s="460" t="s">
        <v>139</v>
      </c>
      <c r="S62" s="270" t="s">
        <v>7</v>
      </c>
      <c r="U62" s="471"/>
      <c r="V62" s="471"/>
      <c r="W62" s="471" t="s">
        <v>139</v>
      </c>
      <c r="X62" s="471">
        <v>1</v>
      </c>
      <c r="Z62" s="270" t="s">
        <v>112</v>
      </c>
    </row>
    <row r="63" spans="1:26">
      <c r="A63" s="406">
        <v>60</v>
      </c>
      <c r="B63" s="613" t="s">
        <v>5755</v>
      </c>
      <c r="C63" s="288" t="s">
        <v>140</v>
      </c>
      <c r="D63" s="414" t="s">
        <v>4775</v>
      </c>
      <c r="E63" s="407" t="s">
        <v>8529</v>
      </c>
      <c r="F63" s="483" t="s">
        <v>5753</v>
      </c>
      <c r="G63" s="411" t="s">
        <v>5756</v>
      </c>
      <c r="H63" s="411"/>
      <c r="I63" s="411"/>
      <c r="J63" s="411"/>
      <c r="K63" s="411"/>
      <c r="L63" s="608">
        <v>5944.5866141732286</v>
      </c>
      <c r="M63" s="409">
        <v>9683.2874015748039</v>
      </c>
      <c r="N63" s="409">
        <v>15627.874015748032</v>
      </c>
      <c r="O63" s="410" t="s">
        <v>7775</v>
      </c>
      <c r="P63" s="406">
        <v>60</v>
      </c>
      <c r="Q63" s="470" t="s">
        <v>140</v>
      </c>
      <c r="R63" s="460" t="s">
        <v>141</v>
      </c>
      <c r="S63" s="270" t="s">
        <v>7</v>
      </c>
      <c r="U63" s="471"/>
      <c r="V63" s="471"/>
      <c r="W63" s="471" t="s">
        <v>141</v>
      </c>
      <c r="X63" s="471">
        <v>1</v>
      </c>
      <c r="Z63" s="270" t="s">
        <v>115</v>
      </c>
    </row>
    <row r="64" spans="1:26">
      <c r="A64" s="406">
        <v>61</v>
      </c>
      <c r="B64" s="613" t="s">
        <v>5749</v>
      </c>
      <c r="C64" s="288" t="s">
        <v>142</v>
      </c>
      <c r="D64" s="414" t="s">
        <v>4708</v>
      </c>
      <c r="E64" s="407" t="s">
        <v>8530</v>
      </c>
      <c r="F64" s="483" t="s">
        <v>5752</v>
      </c>
      <c r="G64" s="411" t="s">
        <v>5750</v>
      </c>
      <c r="H64" s="411"/>
      <c r="I64" s="411"/>
      <c r="J64" s="411"/>
      <c r="K64" s="411"/>
      <c r="L64" s="608">
        <v>7006.070866141732</v>
      </c>
      <c r="M64" s="409">
        <v>9683.8897637795271</v>
      </c>
      <c r="N64" s="409">
        <v>16689.960629921257</v>
      </c>
      <c r="O64" s="410" t="s">
        <v>7774</v>
      </c>
      <c r="P64" s="406">
        <v>61</v>
      </c>
      <c r="Q64" s="470" t="s">
        <v>142</v>
      </c>
      <c r="R64" s="460" t="s">
        <v>143</v>
      </c>
      <c r="S64" s="270" t="s">
        <v>7</v>
      </c>
      <c r="U64" s="471"/>
      <c r="V64" s="471"/>
      <c r="W64" s="471" t="s">
        <v>143</v>
      </c>
      <c r="X64" s="471">
        <v>1</v>
      </c>
      <c r="Z64" s="270" t="s">
        <v>118</v>
      </c>
    </row>
    <row r="65" spans="1:26">
      <c r="A65" s="406">
        <v>62</v>
      </c>
      <c r="B65" s="613" t="s">
        <v>5747</v>
      </c>
      <c r="C65" s="288" t="s">
        <v>144</v>
      </c>
      <c r="D65" s="414" t="s">
        <v>4749</v>
      </c>
      <c r="E65" s="407" t="s">
        <v>8531</v>
      </c>
      <c r="F65" s="483" t="s">
        <v>5745</v>
      </c>
      <c r="G65" s="411" t="s">
        <v>5748</v>
      </c>
      <c r="H65" s="411"/>
      <c r="I65" s="411"/>
      <c r="J65" s="411"/>
      <c r="K65" s="411"/>
      <c r="L65" s="608">
        <v>8935.8503937007881</v>
      </c>
      <c r="M65" s="409">
        <v>9683.9330708661419</v>
      </c>
      <c r="N65" s="409">
        <v>18619.783464566928</v>
      </c>
      <c r="O65" s="410" t="s">
        <v>7818</v>
      </c>
      <c r="P65" s="406">
        <v>62</v>
      </c>
      <c r="Q65" s="470" t="s">
        <v>144</v>
      </c>
      <c r="R65" s="460" t="s">
        <v>145</v>
      </c>
      <c r="S65" s="270" t="s">
        <v>7</v>
      </c>
      <c r="U65" s="471"/>
      <c r="V65" s="471"/>
      <c r="W65" s="471" t="s">
        <v>145</v>
      </c>
      <c r="X65" s="471">
        <v>1</v>
      </c>
      <c r="Z65" s="270" t="s">
        <v>121</v>
      </c>
    </row>
    <row r="66" spans="1:26">
      <c r="A66" s="406">
        <v>63</v>
      </c>
      <c r="B66" s="613" t="s">
        <v>5749</v>
      </c>
      <c r="C66" s="288" t="s">
        <v>146</v>
      </c>
      <c r="D66" s="414" t="s">
        <v>4708</v>
      </c>
      <c r="E66" s="407" t="s">
        <v>8530</v>
      </c>
      <c r="F66" s="483" t="s">
        <v>5752</v>
      </c>
      <c r="G66" s="411" t="s">
        <v>5750</v>
      </c>
      <c r="H66" s="411"/>
      <c r="I66" s="411"/>
      <c r="J66" s="411"/>
      <c r="K66" s="411"/>
      <c r="L66" s="608">
        <v>7006.070866141732</v>
      </c>
      <c r="M66" s="409">
        <v>9683.8897637795271</v>
      </c>
      <c r="N66" s="409">
        <v>16689.960629921257</v>
      </c>
      <c r="O66" s="410" t="s">
        <v>7774</v>
      </c>
      <c r="P66" s="406">
        <v>63</v>
      </c>
      <c r="Q66" s="470" t="s">
        <v>146</v>
      </c>
      <c r="R66" s="460" t="s">
        <v>147</v>
      </c>
      <c r="S66" s="270" t="s">
        <v>7</v>
      </c>
      <c r="U66" s="471"/>
      <c r="V66" s="471"/>
      <c r="W66" s="471" t="s">
        <v>147</v>
      </c>
      <c r="X66" s="471">
        <v>0</v>
      </c>
      <c r="Z66" s="270" t="s">
        <v>118</v>
      </c>
    </row>
    <row r="67" spans="1:26">
      <c r="A67" s="406">
        <v>64</v>
      </c>
      <c r="B67" s="613" t="s">
        <v>5747</v>
      </c>
      <c r="C67" s="288" t="s">
        <v>148</v>
      </c>
      <c r="D67" s="414" t="s">
        <v>4749</v>
      </c>
      <c r="E67" s="407" t="s">
        <v>8531</v>
      </c>
      <c r="F67" s="483" t="s">
        <v>5745</v>
      </c>
      <c r="G67" s="411" t="s">
        <v>5748</v>
      </c>
      <c r="H67" s="411"/>
      <c r="I67" s="411"/>
      <c r="J67" s="411"/>
      <c r="K67" s="411"/>
      <c r="L67" s="608">
        <v>8935.8503937007881</v>
      </c>
      <c r="M67" s="409">
        <v>9683.9330708661419</v>
      </c>
      <c r="N67" s="409">
        <v>18619.783464566928</v>
      </c>
      <c r="O67" s="410" t="s">
        <v>7818</v>
      </c>
      <c r="P67" s="406">
        <v>64</v>
      </c>
      <c r="Q67" s="470" t="s">
        <v>148</v>
      </c>
      <c r="R67" s="460" t="s">
        <v>149</v>
      </c>
      <c r="S67" s="270" t="s">
        <v>7</v>
      </c>
      <c r="U67" s="471"/>
      <c r="V67" s="471"/>
      <c r="W67" s="471" t="s">
        <v>149</v>
      </c>
      <c r="X67" s="471">
        <v>0</v>
      </c>
      <c r="Z67" s="270" t="s">
        <v>121</v>
      </c>
    </row>
    <row r="68" spans="1:26">
      <c r="A68" s="406">
        <v>65</v>
      </c>
      <c r="B68" s="613" t="s">
        <v>5741</v>
      </c>
      <c r="C68" s="288" t="s">
        <v>150</v>
      </c>
      <c r="D68" s="414" t="s">
        <v>4777</v>
      </c>
      <c r="E68" s="407" t="s">
        <v>8528</v>
      </c>
      <c r="F68" s="483" t="s">
        <v>5744</v>
      </c>
      <c r="G68" s="411" t="s">
        <v>5742</v>
      </c>
      <c r="H68" s="411"/>
      <c r="I68" s="411"/>
      <c r="J68" s="411"/>
      <c r="K68" s="411"/>
      <c r="L68" s="608">
        <v>6770.2716535433074</v>
      </c>
      <c r="M68" s="409">
        <v>9683.748031496063</v>
      </c>
      <c r="N68" s="409">
        <v>16454.01968503937</v>
      </c>
      <c r="O68" s="410" t="s">
        <v>7751</v>
      </c>
      <c r="P68" s="406">
        <v>65</v>
      </c>
      <c r="Q68" s="470" t="s">
        <v>150</v>
      </c>
      <c r="R68" s="460" t="s">
        <v>151</v>
      </c>
      <c r="S68" s="270" t="s">
        <v>7</v>
      </c>
      <c r="U68" s="471"/>
      <c r="V68" s="471"/>
      <c r="W68" s="471" t="s">
        <v>151</v>
      </c>
      <c r="X68" s="471">
        <v>0</v>
      </c>
      <c r="Z68" s="270" t="s">
        <v>112</v>
      </c>
    </row>
    <row r="69" spans="1:26">
      <c r="A69" s="406">
        <v>66</v>
      </c>
      <c r="B69" s="613" t="s">
        <v>5755</v>
      </c>
      <c r="C69" s="288" t="s">
        <v>152</v>
      </c>
      <c r="D69" s="414" t="s">
        <v>4775</v>
      </c>
      <c r="E69" s="407" t="s">
        <v>8529</v>
      </c>
      <c r="F69" s="483" t="s">
        <v>5753</v>
      </c>
      <c r="G69" s="411" t="s">
        <v>5756</v>
      </c>
      <c r="H69" s="411"/>
      <c r="I69" s="411"/>
      <c r="J69" s="411"/>
      <c r="K69" s="411"/>
      <c r="L69" s="608">
        <v>5944.5866141732286</v>
      </c>
      <c r="M69" s="409">
        <v>9683.2874015748039</v>
      </c>
      <c r="N69" s="409">
        <v>15627.874015748032</v>
      </c>
      <c r="O69" s="410" t="s">
        <v>7775</v>
      </c>
      <c r="P69" s="406">
        <v>66</v>
      </c>
      <c r="Q69" s="470" t="s">
        <v>152</v>
      </c>
      <c r="R69" s="460" t="s">
        <v>153</v>
      </c>
      <c r="S69" s="270" t="s">
        <v>7</v>
      </c>
      <c r="U69" s="471"/>
      <c r="V69" s="471"/>
      <c r="W69" s="471" t="s">
        <v>153</v>
      </c>
      <c r="X69" s="471">
        <v>0</v>
      </c>
      <c r="Z69" s="270" t="s">
        <v>115</v>
      </c>
    </row>
    <row r="70" spans="1:26">
      <c r="A70" s="406">
        <v>67</v>
      </c>
      <c r="B70" s="613" t="s">
        <v>5749</v>
      </c>
      <c r="C70" s="288" t="s">
        <v>154</v>
      </c>
      <c r="D70" s="414" t="s">
        <v>4708</v>
      </c>
      <c r="E70" s="407" t="s">
        <v>8530</v>
      </c>
      <c r="F70" s="483" t="s">
        <v>5752</v>
      </c>
      <c r="G70" s="411" t="s">
        <v>5750</v>
      </c>
      <c r="H70" s="411"/>
      <c r="I70" s="411"/>
      <c r="J70" s="411"/>
      <c r="K70" s="411"/>
      <c r="L70" s="608">
        <v>7006.070866141732</v>
      </c>
      <c r="M70" s="409">
        <v>9683.8897637795271</v>
      </c>
      <c r="N70" s="409">
        <v>16689.960629921257</v>
      </c>
      <c r="O70" s="410" t="s">
        <v>7774</v>
      </c>
      <c r="P70" s="406">
        <v>67</v>
      </c>
      <c r="Q70" s="470" t="s">
        <v>154</v>
      </c>
      <c r="R70" s="460" t="s">
        <v>155</v>
      </c>
      <c r="S70" s="270" t="s">
        <v>7</v>
      </c>
      <c r="U70" s="471"/>
      <c r="V70" s="471"/>
      <c r="W70" s="471" t="s">
        <v>155</v>
      </c>
      <c r="X70" s="471">
        <v>0</v>
      </c>
      <c r="Z70" s="270" t="s">
        <v>118</v>
      </c>
    </row>
    <row r="71" spans="1:26">
      <c r="A71" s="406">
        <v>68</v>
      </c>
      <c r="B71" s="613" t="s">
        <v>5747</v>
      </c>
      <c r="C71" s="288" t="s">
        <v>156</v>
      </c>
      <c r="D71" s="414" t="s">
        <v>4749</v>
      </c>
      <c r="E71" s="407" t="s">
        <v>8531</v>
      </c>
      <c r="F71" s="483" t="s">
        <v>5745</v>
      </c>
      <c r="G71" s="411" t="s">
        <v>5748</v>
      </c>
      <c r="H71" s="411"/>
      <c r="I71" s="411"/>
      <c r="J71" s="411"/>
      <c r="K71" s="411"/>
      <c r="L71" s="608">
        <v>8935.8503937007881</v>
      </c>
      <c r="M71" s="409">
        <v>9683.9330708661419</v>
      </c>
      <c r="N71" s="409">
        <v>18619.783464566928</v>
      </c>
      <c r="O71" s="410" t="s">
        <v>7818</v>
      </c>
      <c r="P71" s="406">
        <v>68</v>
      </c>
      <c r="Q71" s="470" t="s">
        <v>156</v>
      </c>
      <c r="R71" s="460" t="s">
        <v>157</v>
      </c>
      <c r="S71" s="270" t="s">
        <v>7</v>
      </c>
      <c r="U71" s="471"/>
      <c r="V71" s="471"/>
      <c r="W71" s="471" t="s">
        <v>157</v>
      </c>
      <c r="X71" s="471">
        <v>0</v>
      </c>
      <c r="Z71" s="270" t="s">
        <v>121</v>
      </c>
    </row>
    <row r="72" spans="1:26">
      <c r="A72" s="406">
        <v>69</v>
      </c>
      <c r="B72" s="613" t="s">
        <v>5741</v>
      </c>
      <c r="C72" s="288" t="s">
        <v>158</v>
      </c>
      <c r="D72" s="414" t="s">
        <v>4777</v>
      </c>
      <c r="E72" s="407" t="s">
        <v>8528</v>
      </c>
      <c r="F72" s="483" t="s">
        <v>5744</v>
      </c>
      <c r="G72" s="411" t="s">
        <v>5742</v>
      </c>
      <c r="H72" s="411"/>
      <c r="I72" s="411"/>
      <c r="J72" s="411"/>
      <c r="K72" s="411"/>
      <c r="L72" s="608">
        <v>6770.2716535433074</v>
      </c>
      <c r="M72" s="409">
        <v>9683.748031496063</v>
      </c>
      <c r="N72" s="409">
        <v>16454.01968503937</v>
      </c>
      <c r="O72" s="410" t="s">
        <v>7751</v>
      </c>
      <c r="P72" s="406">
        <v>69</v>
      </c>
      <c r="Q72" s="470" t="s">
        <v>158</v>
      </c>
      <c r="R72" s="460" t="s">
        <v>159</v>
      </c>
      <c r="S72" s="270" t="s">
        <v>7</v>
      </c>
      <c r="U72" s="471"/>
      <c r="V72" s="471"/>
      <c r="W72" s="471" t="s">
        <v>159</v>
      </c>
      <c r="X72" s="471">
        <v>0</v>
      </c>
      <c r="Z72" s="270" t="s">
        <v>112</v>
      </c>
    </row>
    <row r="73" spans="1:26">
      <c r="A73" s="406">
        <v>70</v>
      </c>
      <c r="B73" s="613" t="s">
        <v>5755</v>
      </c>
      <c r="C73" s="288" t="s">
        <v>160</v>
      </c>
      <c r="D73" s="414" t="s">
        <v>4775</v>
      </c>
      <c r="E73" s="407" t="s">
        <v>8529</v>
      </c>
      <c r="F73" s="483" t="s">
        <v>5753</v>
      </c>
      <c r="G73" s="411" t="s">
        <v>5756</v>
      </c>
      <c r="H73" s="411"/>
      <c r="I73" s="411"/>
      <c r="J73" s="411"/>
      <c r="K73" s="411"/>
      <c r="L73" s="608">
        <v>5944.5866141732286</v>
      </c>
      <c r="M73" s="409">
        <v>9683.2874015748039</v>
      </c>
      <c r="N73" s="409">
        <v>15627.874015748032</v>
      </c>
      <c r="O73" s="410" t="s">
        <v>7775</v>
      </c>
      <c r="P73" s="406">
        <v>70</v>
      </c>
      <c r="Q73" s="470" t="s">
        <v>160</v>
      </c>
      <c r="R73" s="460" t="s">
        <v>161</v>
      </c>
      <c r="S73" s="270" t="s">
        <v>7</v>
      </c>
      <c r="U73" s="471"/>
      <c r="V73" s="471"/>
      <c r="W73" s="471" t="s">
        <v>161</v>
      </c>
      <c r="X73" s="471">
        <v>0</v>
      </c>
      <c r="Z73" s="270" t="s">
        <v>115</v>
      </c>
    </row>
    <row r="74" spans="1:26">
      <c r="A74" s="406">
        <v>71</v>
      </c>
      <c r="B74" s="613" t="s">
        <v>3327</v>
      </c>
      <c r="C74" s="288" t="s">
        <v>162</v>
      </c>
      <c r="D74" s="414" t="s">
        <v>3400</v>
      </c>
      <c r="E74" s="407" t="s">
        <v>8532</v>
      </c>
      <c r="F74" s="483"/>
      <c r="G74" s="483"/>
      <c r="H74" s="411"/>
      <c r="I74" s="411"/>
      <c r="J74" s="411"/>
      <c r="K74" s="411"/>
      <c r="L74" s="608" t="s">
        <v>4884</v>
      </c>
      <c r="M74" s="409">
        <v>12124.543307086615</v>
      </c>
      <c r="N74" s="409">
        <v>12124.543307086615</v>
      </c>
      <c r="O74" s="410" t="s">
        <v>7569</v>
      </c>
      <c r="P74" s="406">
        <v>71</v>
      </c>
      <c r="Q74" s="470" t="s">
        <v>162</v>
      </c>
      <c r="R74" s="460" t="s">
        <v>163</v>
      </c>
      <c r="S74" s="270" t="s">
        <v>32</v>
      </c>
      <c r="U74" s="471"/>
      <c r="V74" s="471">
        <v>1</v>
      </c>
      <c r="W74" s="471" t="s">
        <v>163</v>
      </c>
      <c r="X74" s="471">
        <v>0</v>
      </c>
    </row>
    <row r="75" spans="1:26">
      <c r="A75" s="406">
        <v>72</v>
      </c>
      <c r="B75" s="613" t="s">
        <v>3328</v>
      </c>
      <c r="C75" s="288" t="s">
        <v>164</v>
      </c>
      <c r="D75" s="414" t="s">
        <v>3398</v>
      </c>
      <c r="E75" s="407" t="s">
        <v>8533</v>
      </c>
      <c r="F75" s="483"/>
      <c r="G75" s="411"/>
      <c r="H75" s="411"/>
      <c r="I75" s="411"/>
      <c r="J75" s="411"/>
      <c r="K75" s="411"/>
      <c r="L75" s="608" t="s">
        <v>4884</v>
      </c>
      <c r="M75" s="409">
        <v>12124.094488188977</v>
      </c>
      <c r="N75" s="409">
        <v>12124.094488188977</v>
      </c>
      <c r="O75" s="410" t="s">
        <v>7569</v>
      </c>
      <c r="P75" s="406">
        <v>72</v>
      </c>
      <c r="Q75" s="470" t="s">
        <v>164</v>
      </c>
      <c r="R75" s="460" t="s">
        <v>165</v>
      </c>
      <c r="S75" s="270" t="s">
        <v>32</v>
      </c>
      <c r="U75" s="471"/>
      <c r="V75" s="471">
        <v>1</v>
      </c>
      <c r="W75" s="471" t="s">
        <v>165</v>
      </c>
      <c r="X75" s="471">
        <v>0</v>
      </c>
    </row>
    <row r="76" spans="1:26">
      <c r="A76" s="406">
        <v>73</v>
      </c>
      <c r="B76" s="613" t="s">
        <v>5648</v>
      </c>
      <c r="C76" s="288" t="s">
        <v>166</v>
      </c>
      <c r="D76" s="414" t="s">
        <v>3450</v>
      </c>
      <c r="E76" s="407" t="s">
        <v>8534</v>
      </c>
      <c r="F76" s="483" t="s">
        <v>5650</v>
      </c>
      <c r="G76" s="411" t="s">
        <v>5649</v>
      </c>
      <c r="H76" s="411"/>
      <c r="I76" s="411"/>
      <c r="J76" s="411"/>
      <c r="K76" s="411"/>
      <c r="L76" s="608">
        <v>5628.6614173228345</v>
      </c>
      <c r="M76" s="409">
        <v>6494.5866141732286</v>
      </c>
      <c r="N76" s="409">
        <v>12123.248031496063</v>
      </c>
      <c r="O76" s="410" t="s">
        <v>7772</v>
      </c>
      <c r="P76" s="406">
        <v>73</v>
      </c>
      <c r="Q76" s="470" t="s">
        <v>166</v>
      </c>
      <c r="R76" s="460" t="s">
        <v>167</v>
      </c>
      <c r="S76" s="270" t="s">
        <v>32</v>
      </c>
      <c r="U76" s="471"/>
      <c r="V76" s="471">
        <v>1</v>
      </c>
      <c r="W76" s="471" t="s">
        <v>167</v>
      </c>
      <c r="X76" s="471">
        <v>0</v>
      </c>
      <c r="Z76" s="460" t="s">
        <v>2274</v>
      </c>
    </row>
    <row r="77" spans="1:26">
      <c r="A77" s="406">
        <v>74</v>
      </c>
      <c r="B77" s="613" t="s">
        <v>5641</v>
      </c>
      <c r="C77" s="288" t="s">
        <v>168</v>
      </c>
      <c r="D77" s="414" t="s">
        <v>3451</v>
      </c>
      <c r="E77" s="407" t="s">
        <v>8535</v>
      </c>
      <c r="F77" s="483" t="s">
        <v>5643</v>
      </c>
      <c r="G77" s="411" t="s">
        <v>5642</v>
      </c>
      <c r="H77" s="411"/>
      <c r="I77" s="411"/>
      <c r="J77" s="411"/>
      <c r="K77" s="411"/>
      <c r="L77" s="608">
        <v>5629.2204724409457</v>
      </c>
      <c r="M77" s="409">
        <v>6495.0078740157478</v>
      </c>
      <c r="N77" s="409">
        <v>12124.228346456694</v>
      </c>
      <c r="O77" s="410" t="s">
        <v>7752</v>
      </c>
      <c r="P77" s="406">
        <v>74</v>
      </c>
      <c r="Q77" s="470" t="s">
        <v>168</v>
      </c>
      <c r="R77" s="460" t="s">
        <v>169</v>
      </c>
      <c r="S77" s="270" t="s">
        <v>32</v>
      </c>
      <c r="U77" s="471"/>
      <c r="V77" s="471">
        <v>1</v>
      </c>
      <c r="W77" s="471" t="s">
        <v>169</v>
      </c>
      <c r="X77" s="471">
        <v>0</v>
      </c>
      <c r="Z77" s="460" t="s">
        <v>170</v>
      </c>
    </row>
    <row r="78" spans="1:26">
      <c r="A78" s="406">
        <v>75</v>
      </c>
      <c r="B78" s="613" t="s">
        <v>5633</v>
      </c>
      <c r="C78" s="288" t="s">
        <v>171</v>
      </c>
      <c r="D78" s="414" t="s">
        <v>3409</v>
      </c>
      <c r="E78" s="407" t="s">
        <v>8536</v>
      </c>
      <c r="F78" s="483" t="s">
        <v>5635</v>
      </c>
      <c r="G78" s="411" t="s">
        <v>5634</v>
      </c>
      <c r="H78" s="411"/>
      <c r="I78" s="411"/>
      <c r="J78" s="411"/>
      <c r="K78" s="411"/>
      <c r="L78" s="608">
        <v>5629.2007874015744</v>
      </c>
      <c r="M78" s="409">
        <v>6495.4606299212601</v>
      </c>
      <c r="N78" s="409">
        <v>12124.661417322835</v>
      </c>
      <c r="O78" s="410" t="s">
        <v>7775</v>
      </c>
      <c r="P78" s="406">
        <v>75</v>
      </c>
      <c r="Q78" s="470" t="s">
        <v>171</v>
      </c>
      <c r="R78" s="460" t="s">
        <v>172</v>
      </c>
      <c r="S78" s="270" t="s">
        <v>32</v>
      </c>
      <c r="U78" s="471"/>
      <c r="V78" s="471">
        <v>1</v>
      </c>
      <c r="W78" s="471" t="s">
        <v>172</v>
      </c>
      <c r="X78" s="471">
        <v>0</v>
      </c>
      <c r="Z78" s="460" t="s">
        <v>173</v>
      </c>
    </row>
    <row r="79" spans="1:26">
      <c r="A79" s="406">
        <v>76</v>
      </c>
      <c r="B79" s="613" t="s">
        <v>5625</v>
      </c>
      <c r="C79" s="288" t="s">
        <v>174</v>
      </c>
      <c r="D79" s="414" t="s">
        <v>3449</v>
      </c>
      <c r="E79" s="407" t="s">
        <v>8537</v>
      </c>
      <c r="F79" s="483" t="s">
        <v>5627</v>
      </c>
      <c r="G79" s="411" t="s">
        <v>5626</v>
      </c>
      <c r="H79" s="411"/>
      <c r="I79" s="411"/>
      <c r="J79" s="411"/>
      <c r="K79" s="411"/>
      <c r="L79" s="608">
        <v>5629.1299212598424</v>
      </c>
      <c r="M79" s="409">
        <v>6493.5826771653547</v>
      </c>
      <c r="N79" s="409">
        <v>12122.712598425198</v>
      </c>
      <c r="O79" s="410" t="s">
        <v>7775</v>
      </c>
      <c r="P79" s="406">
        <v>76</v>
      </c>
      <c r="Q79" s="470" t="s">
        <v>174</v>
      </c>
      <c r="R79" s="460" t="s">
        <v>175</v>
      </c>
      <c r="S79" s="270" t="s">
        <v>32</v>
      </c>
      <c r="U79" s="471"/>
      <c r="V79" s="471">
        <v>1</v>
      </c>
      <c r="W79" s="471" t="s">
        <v>175</v>
      </c>
      <c r="X79" s="471">
        <v>0</v>
      </c>
      <c r="Z79" s="460" t="s">
        <v>176</v>
      </c>
    </row>
    <row r="80" spans="1:26">
      <c r="A80" s="406">
        <v>77</v>
      </c>
      <c r="B80" s="613" t="s">
        <v>5654</v>
      </c>
      <c r="C80" s="288" t="s">
        <v>177</v>
      </c>
      <c r="D80" s="414" t="s">
        <v>3452</v>
      </c>
      <c r="E80" s="407" t="s">
        <v>8538</v>
      </c>
      <c r="F80" s="483" t="s">
        <v>5653</v>
      </c>
      <c r="G80" s="411" t="s">
        <v>5655</v>
      </c>
      <c r="H80" s="411"/>
      <c r="I80" s="411"/>
      <c r="J80" s="411"/>
      <c r="K80" s="411"/>
      <c r="L80" s="608">
        <v>5629.3070866141734</v>
      </c>
      <c r="M80" s="409">
        <v>6494.5590551181112</v>
      </c>
      <c r="N80" s="409">
        <v>12123.866141732284</v>
      </c>
      <c r="O80" s="410" t="s">
        <v>7772</v>
      </c>
      <c r="P80" s="406">
        <v>77</v>
      </c>
      <c r="Q80" s="470" t="s">
        <v>177</v>
      </c>
      <c r="R80" s="460" t="s">
        <v>178</v>
      </c>
      <c r="S80" s="270" t="s">
        <v>32</v>
      </c>
      <c r="U80" s="471"/>
      <c r="V80" s="471">
        <v>1</v>
      </c>
      <c r="W80" s="471" t="s">
        <v>178</v>
      </c>
      <c r="X80" s="471">
        <v>0</v>
      </c>
      <c r="Z80" s="460" t="s">
        <v>179</v>
      </c>
    </row>
    <row r="81" spans="1:26">
      <c r="A81" s="406">
        <v>78</v>
      </c>
      <c r="B81" s="613" t="s">
        <v>5646</v>
      </c>
      <c r="C81" s="288" t="s">
        <v>180</v>
      </c>
      <c r="D81" s="414" t="s">
        <v>3453</v>
      </c>
      <c r="E81" s="407" t="s">
        <v>8539</v>
      </c>
      <c r="F81" s="483" t="s">
        <v>5645</v>
      </c>
      <c r="G81" s="411" t="s">
        <v>5647</v>
      </c>
      <c r="H81" s="411"/>
      <c r="I81" s="411"/>
      <c r="J81" s="411"/>
      <c r="K81" s="411"/>
      <c r="L81" s="608">
        <v>5629.1850393700788</v>
      </c>
      <c r="M81" s="409">
        <v>6495.2755905511813</v>
      </c>
      <c r="N81" s="409">
        <v>12124.460629921261</v>
      </c>
      <c r="O81" s="410" t="s">
        <v>7752</v>
      </c>
      <c r="P81" s="406">
        <v>78</v>
      </c>
      <c r="Q81" s="470" t="s">
        <v>180</v>
      </c>
      <c r="R81" s="460" t="s">
        <v>181</v>
      </c>
      <c r="S81" s="270" t="s">
        <v>32</v>
      </c>
      <c r="U81" s="471"/>
      <c r="V81" s="471">
        <v>1</v>
      </c>
      <c r="W81" s="471" t="s">
        <v>181</v>
      </c>
      <c r="X81" s="471">
        <v>0</v>
      </c>
      <c r="Z81" s="460" t="s">
        <v>182</v>
      </c>
    </row>
    <row r="82" spans="1:26">
      <c r="A82" s="406">
        <v>79</v>
      </c>
      <c r="B82" s="613" t="s">
        <v>5639</v>
      </c>
      <c r="C82" s="288" t="s">
        <v>183</v>
      </c>
      <c r="D82" s="414" t="s">
        <v>3408</v>
      </c>
      <c r="E82" s="407" t="s">
        <v>8540</v>
      </c>
      <c r="F82" s="483" t="s">
        <v>5638</v>
      </c>
      <c r="G82" s="411" t="s">
        <v>5640</v>
      </c>
      <c r="H82" s="411"/>
      <c r="I82" s="411"/>
      <c r="J82" s="411"/>
      <c r="K82" s="411"/>
      <c r="L82" s="608">
        <v>5628.9330708661419</v>
      </c>
      <c r="M82" s="409">
        <v>6495.2598425196857</v>
      </c>
      <c r="N82" s="409">
        <v>12124.192913385827</v>
      </c>
      <c r="O82" s="410" t="s">
        <v>7775</v>
      </c>
      <c r="P82" s="406">
        <v>79</v>
      </c>
      <c r="Q82" s="470" t="s">
        <v>183</v>
      </c>
      <c r="R82" s="460" t="s">
        <v>184</v>
      </c>
      <c r="S82" s="270" t="s">
        <v>32</v>
      </c>
      <c r="U82" s="471"/>
      <c r="V82" s="471">
        <v>1</v>
      </c>
      <c r="W82" s="471" t="s">
        <v>184</v>
      </c>
      <c r="X82" s="471">
        <v>0</v>
      </c>
      <c r="Z82" s="460" t="s">
        <v>185</v>
      </c>
    </row>
    <row r="83" spans="1:26">
      <c r="A83" s="406">
        <v>80</v>
      </c>
      <c r="B83" s="613" t="s">
        <v>5631</v>
      </c>
      <c r="C83" s="288" t="s">
        <v>186</v>
      </c>
      <c r="D83" s="414" t="s">
        <v>3448</v>
      </c>
      <c r="E83" s="407" t="s">
        <v>8541</v>
      </c>
      <c r="F83" s="483" t="s">
        <v>5630</v>
      </c>
      <c r="G83" s="411" t="s">
        <v>5632</v>
      </c>
      <c r="H83" s="411"/>
      <c r="I83" s="411"/>
      <c r="J83" s="411"/>
      <c r="K83" s="411"/>
      <c r="L83" s="608">
        <v>5628.4488188976384</v>
      </c>
      <c r="M83" s="409">
        <v>6493.9370078740158</v>
      </c>
      <c r="N83" s="409">
        <v>12122.385826771653</v>
      </c>
      <c r="O83" s="410" t="s">
        <v>7775</v>
      </c>
      <c r="P83" s="406">
        <v>80</v>
      </c>
      <c r="Q83" s="470" t="s">
        <v>186</v>
      </c>
      <c r="R83" s="460" t="s">
        <v>187</v>
      </c>
      <c r="S83" s="270" t="s">
        <v>32</v>
      </c>
      <c r="U83" s="471"/>
      <c r="V83" s="471">
        <v>1</v>
      </c>
      <c r="W83" s="471" t="s">
        <v>187</v>
      </c>
      <c r="X83" s="471">
        <v>0</v>
      </c>
      <c r="Z83" s="460" t="s">
        <v>188</v>
      </c>
    </row>
    <row r="84" spans="1:26">
      <c r="A84" s="406">
        <v>81</v>
      </c>
      <c r="B84" s="613" t="s">
        <v>5531</v>
      </c>
      <c r="C84" s="288" t="s">
        <v>189</v>
      </c>
      <c r="D84" s="414" t="s">
        <v>3458</v>
      </c>
      <c r="E84" s="407" t="s">
        <v>8542</v>
      </c>
      <c r="F84" s="483" t="s">
        <v>5529</v>
      </c>
      <c r="G84" s="411" t="s">
        <v>5532</v>
      </c>
      <c r="H84" s="411"/>
      <c r="I84" s="411"/>
      <c r="J84" s="411"/>
      <c r="K84" s="411"/>
      <c r="L84" s="608">
        <v>5628.4527559055123</v>
      </c>
      <c r="M84" s="409">
        <v>6495.8385826771664</v>
      </c>
      <c r="N84" s="409">
        <v>12124.291338582678</v>
      </c>
      <c r="O84" s="410" t="s">
        <v>7819</v>
      </c>
      <c r="P84" s="406">
        <v>81</v>
      </c>
      <c r="Q84" s="470" t="s">
        <v>189</v>
      </c>
      <c r="R84" s="460" t="s">
        <v>190</v>
      </c>
      <c r="S84" s="270" t="s">
        <v>32</v>
      </c>
      <c r="U84" s="471"/>
      <c r="V84" s="471">
        <v>1</v>
      </c>
      <c r="W84" s="471" t="s">
        <v>190</v>
      </c>
      <c r="X84" s="471">
        <v>0</v>
      </c>
      <c r="Z84" s="270" t="s">
        <v>191</v>
      </c>
    </row>
    <row r="85" spans="1:26">
      <c r="A85" s="406">
        <v>82</v>
      </c>
      <c r="B85" s="613" t="s">
        <v>5525</v>
      </c>
      <c r="C85" s="288" t="s">
        <v>192</v>
      </c>
      <c r="D85" s="414" t="s">
        <v>3460</v>
      </c>
      <c r="E85" s="407" t="s">
        <v>8543</v>
      </c>
      <c r="F85" s="483" t="s">
        <v>5528</v>
      </c>
      <c r="G85" s="411" t="s">
        <v>5526</v>
      </c>
      <c r="H85" s="411"/>
      <c r="I85" s="411"/>
      <c r="J85" s="411"/>
      <c r="K85" s="411"/>
      <c r="L85" s="608">
        <v>5628.8110236220473</v>
      </c>
      <c r="M85" s="409">
        <v>6494.5905511811034</v>
      </c>
      <c r="N85" s="409">
        <v>12123.401574803149</v>
      </c>
      <c r="O85" s="410" t="s">
        <v>7819</v>
      </c>
      <c r="P85" s="406">
        <v>82</v>
      </c>
      <c r="Q85" s="470" t="s">
        <v>192</v>
      </c>
      <c r="R85" s="460" t="s">
        <v>193</v>
      </c>
      <c r="S85" s="270" t="s">
        <v>32</v>
      </c>
      <c r="U85" s="471"/>
      <c r="V85" s="471">
        <v>1</v>
      </c>
      <c r="W85" s="471" t="s">
        <v>193</v>
      </c>
      <c r="X85" s="471">
        <v>0</v>
      </c>
      <c r="Z85" s="270" t="s">
        <v>194</v>
      </c>
    </row>
    <row r="86" spans="1:26">
      <c r="A86" s="406">
        <v>83</v>
      </c>
      <c r="B86" s="613" t="s">
        <v>5617</v>
      </c>
      <c r="C86" s="288" t="s">
        <v>195</v>
      </c>
      <c r="D86" s="414" t="s">
        <v>3455</v>
      </c>
      <c r="E86" s="407" t="s">
        <v>8544</v>
      </c>
      <c r="F86" s="483" t="s">
        <v>5619</v>
      </c>
      <c r="G86" s="411" t="s">
        <v>5618</v>
      </c>
      <c r="H86" s="411"/>
      <c r="I86" s="411"/>
      <c r="J86" s="411"/>
      <c r="K86" s="411"/>
      <c r="L86" s="608">
        <v>5629.0905511811034</v>
      </c>
      <c r="M86" s="409">
        <v>6495.0511811023625</v>
      </c>
      <c r="N86" s="409">
        <v>12124.141732283466</v>
      </c>
      <c r="O86" s="410" t="s">
        <v>7758</v>
      </c>
      <c r="P86" s="406">
        <v>83</v>
      </c>
      <c r="Q86" s="470" t="s">
        <v>195</v>
      </c>
      <c r="R86" s="460" t="s">
        <v>196</v>
      </c>
      <c r="S86" s="270" t="s">
        <v>32</v>
      </c>
      <c r="U86" s="471"/>
      <c r="V86" s="471">
        <v>1</v>
      </c>
      <c r="W86" s="471" t="s">
        <v>196</v>
      </c>
      <c r="X86" s="471">
        <v>0</v>
      </c>
      <c r="Z86" s="460" t="s">
        <v>197</v>
      </c>
    </row>
    <row r="87" spans="1:26">
      <c r="A87" s="406">
        <v>84</v>
      </c>
      <c r="B87" s="613" t="s">
        <v>5609</v>
      </c>
      <c r="C87" s="288" t="s">
        <v>198</v>
      </c>
      <c r="D87" s="414" t="s">
        <v>3461</v>
      </c>
      <c r="E87" s="407" t="s">
        <v>8545</v>
      </c>
      <c r="F87" s="483" t="s">
        <v>5611</v>
      </c>
      <c r="G87" s="411" t="s">
        <v>5610</v>
      </c>
      <c r="H87" s="411"/>
      <c r="I87" s="411"/>
      <c r="J87" s="411"/>
      <c r="K87" s="411"/>
      <c r="L87" s="608">
        <v>5629.2401574803152</v>
      </c>
      <c r="M87" s="409">
        <v>6495.4685039370088</v>
      </c>
      <c r="N87" s="409">
        <v>12124.708661417324</v>
      </c>
      <c r="O87" s="410" t="s">
        <v>7759</v>
      </c>
      <c r="P87" s="406">
        <v>84</v>
      </c>
      <c r="Q87" s="470" t="s">
        <v>198</v>
      </c>
      <c r="R87" s="460" t="s">
        <v>199</v>
      </c>
      <c r="S87" s="270" t="s">
        <v>32</v>
      </c>
      <c r="U87" s="471"/>
      <c r="V87" s="471">
        <v>1</v>
      </c>
      <c r="W87" s="471" t="s">
        <v>199</v>
      </c>
      <c r="X87" s="471">
        <v>0</v>
      </c>
      <c r="Z87" s="460" t="s">
        <v>200</v>
      </c>
    </row>
    <row r="88" spans="1:26">
      <c r="A88" s="406">
        <v>85</v>
      </c>
      <c r="B88" s="613" t="s">
        <v>5601</v>
      </c>
      <c r="C88" s="288" t="s">
        <v>201</v>
      </c>
      <c r="D88" s="414" t="s">
        <v>3456</v>
      </c>
      <c r="E88" s="407" t="s">
        <v>8546</v>
      </c>
      <c r="F88" s="483" t="s">
        <v>5603</v>
      </c>
      <c r="G88" s="411" t="s">
        <v>5602</v>
      </c>
      <c r="H88" s="411"/>
      <c r="I88" s="411"/>
      <c r="J88" s="411"/>
      <c r="K88" s="411"/>
      <c r="L88" s="608">
        <v>5629.5433070866138</v>
      </c>
      <c r="M88" s="409">
        <v>6495.531496062993</v>
      </c>
      <c r="N88" s="409">
        <v>12125.074803149606</v>
      </c>
      <c r="O88" s="410" t="s">
        <v>7803</v>
      </c>
      <c r="P88" s="406">
        <v>85</v>
      </c>
      <c r="Q88" s="470" t="s">
        <v>201</v>
      </c>
      <c r="R88" s="460" t="s">
        <v>202</v>
      </c>
      <c r="S88" s="270" t="s">
        <v>32</v>
      </c>
      <c r="U88" s="471"/>
      <c r="V88" s="471">
        <v>1</v>
      </c>
      <c r="W88" s="471" t="s">
        <v>202</v>
      </c>
      <c r="X88" s="471">
        <v>0</v>
      </c>
      <c r="Z88" s="460" t="s">
        <v>203</v>
      </c>
    </row>
    <row r="89" spans="1:26">
      <c r="A89" s="406">
        <v>86</v>
      </c>
      <c r="B89" s="613" t="s">
        <v>5593</v>
      </c>
      <c r="C89" s="288" t="s">
        <v>204</v>
      </c>
      <c r="D89" s="414" t="s">
        <v>3466</v>
      </c>
      <c r="E89" s="407" t="s">
        <v>8547</v>
      </c>
      <c r="F89" s="483" t="s">
        <v>5595</v>
      </c>
      <c r="G89" s="411" t="s">
        <v>5594</v>
      </c>
      <c r="H89" s="411"/>
      <c r="I89" s="411"/>
      <c r="J89" s="411"/>
      <c r="K89" s="411"/>
      <c r="L89" s="608">
        <v>5628.6220472440955</v>
      </c>
      <c r="M89" s="409">
        <v>6494.889763779528</v>
      </c>
      <c r="N89" s="409">
        <v>12123.511811023624</v>
      </c>
      <c r="O89" s="410" t="s">
        <v>7794</v>
      </c>
      <c r="P89" s="406">
        <v>86</v>
      </c>
      <c r="Q89" s="470" t="s">
        <v>204</v>
      </c>
      <c r="R89" s="460" t="s">
        <v>205</v>
      </c>
      <c r="S89" s="270" t="s">
        <v>32</v>
      </c>
      <c r="U89" s="471"/>
      <c r="V89" s="471">
        <v>1</v>
      </c>
      <c r="W89" s="471" t="s">
        <v>205</v>
      </c>
      <c r="X89" s="471">
        <v>0</v>
      </c>
      <c r="Z89" s="460" t="s">
        <v>206</v>
      </c>
    </row>
    <row r="90" spans="1:26">
      <c r="A90" s="406">
        <v>87</v>
      </c>
      <c r="B90" s="613" t="s">
        <v>5623</v>
      </c>
      <c r="C90" s="288" t="s">
        <v>207</v>
      </c>
      <c r="D90" s="414" t="s">
        <v>3457</v>
      </c>
      <c r="E90" s="407" t="s">
        <v>8548</v>
      </c>
      <c r="F90" s="483" t="s">
        <v>5622</v>
      </c>
      <c r="G90" s="411" t="s">
        <v>5624</v>
      </c>
      <c r="H90" s="411"/>
      <c r="I90" s="411"/>
      <c r="J90" s="411"/>
      <c r="K90" s="411"/>
      <c r="L90" s="608">
        <v>5629.3779527559054</v>
      </c>
      <c r="M90" s="409">
        <v>6494.9606299212601</v>
      </c>
      <c r="N90" s="409">
        <v>12124.338582677166</v>
      </c>
      <c r="O90" s="410" t="s">
        <v>7758</v>
      </c>
      <c r="P90" s="406">
        <v>87</v>
      </c>
      <c r="Q90" s="470" t="s">
        <v>207</v>
      </c>
      <c r="R90" s="460" t="s">
        <v>208</v>
      </c>
      <c r="S90" s="270" t="s">
        <v>32</v>
      </c>
      <c r="U90" s="471"/>
      <c r="V90" s="471">
        <v>1</v>
      </c>
      <c r="W90" s="471" t="s">
        <v>208</v>
      </c>
      <c r="X90" s="471">
        <v>0</v>
      </c>
      <c r="Z90" s="460" t="s">
        <v>209</v>
      </c>
    </row>
    <row r="91" spans="1:26">
      <c r="A91" s="406">
        <v>88</v>
      </c>
      <c r="B91" s="613" t="s">
        <v>5615</v>
      </c>
      <c r="C91" s="288" t="s">
        <v>210</v>
      </c>
      <c r="D91" s="414" t="s">
        <v>3459</v>
      </c>
      <c r="E91" s="407" t="s">
        <v>8549</v>
      </c>
      <c r="F91" s="483" t="s">
        <v>5614</v>
      </c>
      <c r="G91" s="411" t="s">
        <v>5616</v>
      </c>
      <c r="H91" s="411"/>
      <c r="I91" s="411"/>
      <c r="J91" s="411"/>
      <c r="K91" s="411"/>
      <c r="L91" s="608">
        <v>5628.8700787401576</v>
      </c>
      <c r="M91" s="409">
        <v>6495.889763779528</v>
      </c>
      <c r="N91" s="409">
        <v>12124.759842519685</v>
      </c>
      <c r="O91" s="410" t="s">
        <v>7759</v>
      </c>
      <c r="P91" s="406">
        <v>88</v>
      </c>
      <c r="Q91" s="470" t="s">
        <v>210</v>
      </c>
      <c r="R91" s="460" t="s">
        <v>211</v>
      </c>
      <c r="S91" s="270" t="s">
        <v>32</v>
      </c>
      <c r="U91" s="471"/>
      <c r="V91" s="471">
        <v>1</v>
      </c>
      <c r="W91" s="471" t="s">
        <v>211</v>
      </c>
      <c r="X91" s="471">
        <v>0</v>
      </c>
      <c r="Z91" s="460" t="s">
        <v>212</v>
      </c>
    </row>
    <row r="92" spans="1:26">
      <c r="A92" s="406">
        <v>89</v>
      </c>
      <c r="B92" s="613" t="s">
        <v>5607</v>
      </c>
      <c r="C92" s="288" t="s">
        <v>213</v>
      </c>
      <c r="D92" s="414" t="s">
        <v>3454</v>
      </c>
      <c r="E92" s="407" t="s">
        <v>8550</v>
      </c>
      <c r="F92" s="483" t="s">
        <v>5606</v>
      </c>
      <c r="G92" s="411" t="s">
        <v>5608</v>
      </c>
      <c r="H92" s="411"/>
      <c r="I92" s="411"/>
      <c r="J92" s="411"/>
      <c r="K92" s="411"/>
      <c r="L92" s="608">
        <v>5629.4330708661419</v>
      </c>
      <c r="M92" s="409">
        <v>6494.641732283465</v>
      </c>
      <c r="N92" s="409">
        <v>12124.074803149608</v>
      </c>
      <c r="O92" s="410" t="s">
        <v>7803</v>
      </c>
      <c r="P92" s="406">
        <v>89</v>
      </c>
      <c r="Q92" s="470" t="s">
        <v>213</v>
      </c>
      <c r="R92" s="460" t="s">
        <v>214</v>
      </c>
      <c r="S92" s="270" t="s">
        <v>32</v>
      </c>
      <c r="U92" s="471"/>
      <c r="V92" s="471">
        <v>1</v>
      </c>
      <c r="W92" s="471" t="s">
        <v>214</v>
      </c>
      <c r="X92" s="471">
        <v>0</v>
      </c>
      <c r="Z92" s="460" t="s">
        <v>4888</v>
      </c>
    </row>
    <row r="93" spans="1:26">
      <c r="A93" s="406">
        <v>90</v>
      </c>
      <c r="B93" s="613" t="s">
        <v>5599</v>
      </c>
      <c r="C93" s="288" t="s">
        <v>215</v>
      </c>
      <c r="D93" s="414" t="s">
        <v>3464</v>
      </c>
      <c r="E93" s="407" t="s">
        <v>8551</v>
      </c>
      <c r="F93" s="483" t="s">
        <v>5598</v>
      </c>
      <c r="G93" s="411" t="s">
        <v>5600</v>
      </c>
      <c r="H93" s="411"/>
      <c r="I93" s="411"/>
      <c r="J93" s="411"/>
      <c r="K93" s="411"/>
      <c r="L93" s="608">
        <v>5629.1220472440955</v>
      </c>
      <c r="M93" s="409">
        <v>6495.4960629921261</v>
      </c>
      <c r="N93" s="409">
        <v>12124.618110236221</v>
      </c>
      <c r="O93" s="410" t="s">
        <v>7794</v>
      </c>
      <c r="P93" s="406">
        <v>90</v>
      </c>
      <c r="Q93" s="470" t="s">
        <v>215</v>
      </c>
      <c r="R93" s="460" t="s">
        <v>216</v>
      </c>
      <c r="S93" s="270" t="s">
        <v>32</v>
      </c>
      <c r="U93" s="471"/>
      <c r="V93" s="471">
        <v>1</v>
      </c>
      <c r="W93" s="471" t="s">
        <v>216</v>
      </c>
      <c r="X93" s="471">
        <v>0</v>
      </c>
      <c r="Z93" s="460" t="s">
        <v>217</v>
      </c>
    </row>
    <row r="94" spans="1:26">
      <c r="A94" s="406">
        <v>91</v>
      </c>
      <c r="B94" s="613" t="s">
        <v>5531</v>
      </c>
      <c r="C94" s="288" t="s">
        <v>218</v>
      </c>
      <c r="D94" s="414" t="s">
        <v>3458</v>
      </c>
      <c r="E94" s="407" t="s">
        <v>8542</v>
      </c>
      <c r="F94" s="483" t="s">
        <v>5530</v>
      </c>
      <c r="G94" s="411" t="s">
        <v>5532</v>
      </c>
      <c r="H94" s="411"/>
      <c r="I94" s="411"/>
      <c r="J94" s="411"/>
      <c r="K94" s="411"/>
      <c r="L94" s="608">
        <v>5628.4527559055123</v>
      </c>
      <c r="M94" s="409">
        <v>6495.5551181102364</v>
      </c>
      <c r="N94" s="409">
        <v>12124.007874015748</v>
      </c>
      <c r="O94" s="410" t="s">
        <v>7757</v>
      </c>
      <c r="P94" s="406">
        <v>91</v>
      </c>
      <c r="Q94" s="470" t="s">
        <v>218</v>
      </c>
      <c r="R94" s="475" t="s">
        <v>219</v>
      </c>
      <c r="S94" s="270" t="s">
        <v>32</v>
      </c>
      <c r="U94" s="471"/>
      <c r="V94" s="471">
        <v>0</v>
      </c>
      <c r="W94" s="471"/>
      <c r="X94" s="471"/>
      <c r="Z94" s="270" t="s">
        <v>220</v>
      </c>
    </row>
    <row r="95" spans="1:26">
      <c r="A95" s="406">
        <v>92</v>
      </c>
      <c r="B95" s="613" t="s">
        <v>5525</v>
      </c>
      <c r="C95" s="288" t="s">
        <v>221</v>
      </c>
      <c r="D95" s="414" t="s">
        <v>3460</v>
      </c>
      <c r="E95" s="407" t="s">
        <v>8543</v>
      </c>
      <c r="F95" s="483" t="s">
        <v>5527</v>
      </c>
      <c r="G95" s="411" t="s">
        <v>5526</v>
      </c>
      <c r="H95" s="411"/>
      <c r="I95" s="411"/>
      <c r="J95" s="411"/>
      <c r="K95" s="411"/>
      <c r="L95" s="608">
        <v>5628.8110236220473</v>
      </c>
      <c r="M95" s="409">
        <v>6494.5629921259851</v>
      </c>
      <c r="N95" s="409">
        <v>12123.374015748033</v>
      </c>
      <c r="O95" s="410" t="s">
        <v>7757</v>
      </c>
      <c r="P95" s="406">
        <v>92</v>
      </c>
      <c r="Q95" s="470" t="s">
        <v>221</v>
      </c>
      <c r="R95" s="475" t="s">
        <v>222</v>
      </c>
      <c r="S95" s="270" t="s">
        <v>32</v>
      </c>
      <c r="U95" s="471"/>
      <c r="V95" s="471">
        <v>0</v>
      </c>
      <c r="W95" s="471"/>
      <c r="X95" s="471"/>
      <c r="Z95" s="270" t="s">
        <v>223</v>
      </c>
    </row>
    <row r="96" spans="1:26">
      <c r="A96" s="406">
        <v>93</v>
      </c>
      <c r="B96" s="613" t="s">
        <v>5027</v>
      </c>
      <c r="C96" s="288" t="s">
        <v>224</v>
      </c>
      <c r="D96" s="414" t="s">
        <v>3397</v>
      </c>
      <c r="E96" s="407" t="s">
        <v>8552</v>
      </c>
      <c r="F96" s="483" t="s">
        <v>5025</v>
      </c>
      <c r="G96" s="483" t="s">
        <v>5026</v>
      </c>
      <c r="H96" s="411" t="s">
        <v>5028</v>
      </c>
      <c r="I96" s="411"/>
      <c r="J96" s="411"/>
      <c r="K96" s="411"/>
      <c r="L96" s="608">
        <v>8003.0629921259851</v>
      </c>
      <c r="M96" s="409">
        <v>1056.2716535433071</v>
      </c>
      <c r="N96" s="409">
        <v>9059.3346456692925</v>
      </c>
      <c r="O96" s="410" t="s">
        <v>7784</v>
      </c>
      <c r="P96" s="406">
        <v>93</v>
      </c>
      <c r="Q96" s="470" t="s">
        <v>224</v>
      </c>
      <c r="R96" s="460" t="s">
        <v>225</v>
      </c>
      <c r="S96" s="270" t="s">
        <v>32</v>
      </c>
      <c r="U96" s="471"/>
      <c r="V96" s="471">
        <v>1</v>
      </c>
      <c r="W96" s="471" t="s">
        <v>225</v>
      </c>
      <c r="X96" s="471">
        <v>0</v>
      </c>
    </row>
    <row r="97" spans="1:26">
      <c r="A97" s="406">
        <v>94</v>
      </c>
      <c r="B97" s="613" t="s">
        <v>5023</v>
      </c>
      <c r="C97" s="288" t="s">
        <v>226</v>
      </c>
      <c r="D97" s="414" t="s">
        <v>3439</v>
      </c>
      <c r="E97" s="407" t="s">
        <v>8553</v>
      </c>
      <c r="F97" s="483" t="s">
        <v>5021</v>
      </c>
      <c r="G97" s="483" t="s">
        <v>5022</v>
      </c>
      <c r="H97" s="411" t="s">
        <v>5024</v>
      </c>
      <c r="I97" s="411"/>
      <c r="J97" s="411"/>
      <c r="K97" s="411"/>
      <c r="L97" s="608">
        <v>8018.4094488188975</v>
      </c>
      <c r="M97" s="409">
        <v>1056.1771653543308</v>
      </c>
      <c r="N97" s="409">
        <v>9074.5866141732276</v>
      </c>
      <c r="O97" s="410" t="s">
        <v>7750</v>
      </c>
      <c r="P97" s="406">
        <v>94</v>
      </c>
      <c r="Q97" s="470" t="s">
        <v>226</v>
      </c>
      <c r="R97" s="460" t="s">
        <v>227</v>
      </c>
      <c r="S97" s="270" t="s">
        <v>32</v>
      </c>
      <c r="U97" s="471"/>
      <c r="V97" s="471">
        <v>1</v>
      </c>
      <c r="W97" s="471" t="s">
        <v>227</v>
      </c>
      <c r="X97" s="471">
        <v>0</v>
      </c>
    </row>
    <row r="98" spans="1:26">
      <c r="A98" s="406">
        <v>95</v>
      </c>
      <c r="B98" s="613" t="s">
        <v>5019</v>
      </c>
      <c r="C98" s="288" t="s">
        <v>228</v>
      </c>
      <c r="D98" s="414" t="s">
        <v>3438</v>
      </c>
      <c r="E98" s="407" t="s">
        <v>8554</v>
      </c>
      <c r="F98" s="483" t="s">
        <v>5017</v>
      </c>
      <c r="G98" s="483" t="s">
        <v>5018</v>
      </c>
      <c r="H98" s="411" t="s">
        <v>5020</v>
      </c>
      <c r="I98" s="411"/>
      <c r="J98" s="411"/>
      <c r="K98" s="411"/>
      <c r="L98" s="608">
        <v>8054.6220472440946</v>
      </c>
      <c r="M98" s="409">
        <v>1012.2952755905512</v>
      </c>
      <c r="N98" s="409">
        <v>9066.9173228346463</v>
      </c>
      <c r="O98" s="410" t="s">
        <v>7805</v>
      </c>
      <c r="P98" s="406">
        <v>95</v>
      </c>
      <c r="Q98" s="470" t="s">
        <v>228</v>
      </c>
      <c r="R98" s="460" t="s">
        <v>229</v>
      </c>
      <c r="S98" s="270" t="s">
        <v>32</v>
      </c>
      <c r="U98" s="471"/>
      <c r="V98" s="471">
        <v>1</v>
      </c>
      <c r="W98" s="471" t="s">
        <v>229</v>
      </c>
      <c r="X98" s="471">
        <v>0</v>
      </c>
    </row>
    <row r="99" spans="1:26">
      <c r="A99" s="406">
        <v>96</v>
      </c>
      <c r="B99" s="613" t="s">
        <v>6183</v>
      </c>
      <c r="C99" s="288" t="s">
        <v>230</v>
      </c>
      <c r="D99" s="414" t="s">
        <v>3396</v>
      </c>
      <c r="E99" s="407" t="s">
        <v>8555</v>
      </c>
      <c r="F99" s="483"/>
      <c r="G99" s="411"/>
      <c r="H99" s="411"/>
      <c r="I99" s="411"/>
      <c r="J99" s="411"/>
      <c r="K99" s="411"/>
      <c r="L99" s="608" t="s">
        <v>4884</v>
      </c>
      <c r="M99" s="409">
        <v>6293.9724409448818</v>
      </c>
      <c r="N99" s="409">
        <v>6293.9724409448818</v>
      </c>
      <c r="O99" s="410" t="s">
        <v>7572</v>
      </c>
      <c r="P99" s="406">
        <v>96</v>
      </c>
      <c r="Q99" s="470" t="s">
        <v>230</v>
      </c>
      <c r="R99" s="460" t="s">
        <v>231</v>
      </c>
      <c r="S99" s="270" t="s">
        <v>32</v>
      </c>
      <c r="U99" s="471"/>
      <c r="V99" s="471">
        <v>1</v>
      </c>
      <c r="W99" s="471" t="s">
        <v>231</v>
      </c>
      <c r="X99" s="471">
        <v>0</v>
      </c>
    </row>
    <row r="100" spans="1:26">
      <c r="A100" s="406">
        <v>97</v>
      </c>
      <c r="B100" s="613" t="s">
        <v>6184</v>
      </c>
      <c r="C100" s="288" t="s">
        <v>232</v>
      </c>
      <c r="D100" s="414" t="s">
        <v>3399</v>
      </c>
      <c r="E100" s="407" t="s">
        <v>8556</v>
      </c>
      <c r="F100" s="483"/>
      <c r="G100" s="411"/>
      <c r="H100" s="411"/>
      <c r="I100" s="411"/>
      <c r="J100" s="411"/>
      <c r="K100" s="411"/>
      <c r="L100" s="608" t="s">
        <v>4884</v>
      </c>
      <c r="M100" s="409">
        <v>6086.1102362204729</v>
      </c>
      <c r="N100" s="409">
        <v>6086.1102362204729</v>
      </c>
      <c r="O100" s="410" t="s">
        <v>7572</v>
      </c>
      <c r="P100" s="406">
        <v>97</v>
      </c>
      <c r="Q100" s="470" t="s">
        <v>232</v>
      </c>
      <c r="R100" s="460" t="s">
        <v>233</v>
      </c>
      <c r="S100" s="270" t="s">
        <v>32</v>
      </c>
      <c r="U100" s="471"/>
      <c r="V100" s="471">
        <v>1</v>
      </c>
      <c r="W100" s="471" t="s">
        <v>233</v>
      </c>
      <c r="X100" s="471">
        <v>0</v>
      </c>
    </row>
    <row r="101" spans="1:26">
      <c r="A101" s="406">
        <v>98</v>
      </c>
      <c r="B101" s="613" t="s">
        <v>5663</v>
      </c>
      <c r="C101" s="288" t="s">
        <v>234</v>
      </c>
      <c r="D101" s="414" t="s">
        <v>3412</v>
      </c>
      <c r="E101" s="407" t="s">
        <v>8557</v>
      </c>
      <c r="F101" s="483" t="s">
        <v>5662</v>
      </c>
      <c r="G101" s="411" t="s">
        <v>5664</v>
      </c>
      <c r="H101" s="411"/>
      <c r="I101" s="411"/>
      <c r="J101" s="411"/>
      <c r="K101" s="411"/>
      <c r="L101" s="608">
        <v>2844.7440944881891</v>
      </c>
      <c r="M101" s="409">
        <v>1581.9133858267717</v>
      </c>
      <c r="N101" s="409">
        <v>4426.6574803149606</v>
      </c>
      <c r="O101" s="410" t="s">
        <v>7805</v>
      </c>
      <c r="P101" s="406">
        <v>98</v>
      </c>
      <c r="Q101" s="470" t="s">
        <v>234</v>
      </c>
      <c r="R101" s="460" t="s">
        <v>235</v>
      </c>
      <c r="S101" s="270" t="s">
        <v>32</v>
      </c>
      <c r="U101" s="471"/>
      <c r="V101" s="471">
        <v>1</v>
      </c>
      <c r="W101" s="471" t="s">
        <v>235</v>
      </c>
      <c r="X101" s="471">
        <v>0</v>
      </c>
    </row>
    <row r="102" spans="1:26">
      <c r="A102" s="406">
        <v>99</v>
      </c>
      <c r="B102" s="613" t="s">
        <v>5660</v>
      </c>
      <c r="C102" s="288" t="s">
        <v>236</v>
      </c>
      <c r="D102" s="414" t="s">
        <v>3414</v>
      </c>
      <c r="E102" s="407" t="s">
        <v>8558</v>
      </c>
      <c r="F102" s="483" t="s">
        <v>5659</v>
      </c>
      <c r="G102" s="411" t="s">
        <v>5661</v>
      </c>
      <c r="H102" s="411"/>
      <c r="I102" s="411"/>
      <c r="J102" s="411"/>
      <c r="K102" s="411"/>
      <c r="L102" s="608">
        <v>2268.3346456692911</v>
      </c>
      <c r="M102" s="409">
        <v>1768.5905511811022</v>
      </c>
      <c r="N102" s="409">
        <v>4036.9251968503936</v>
      </c>
      <c r="O102" s="410" t="s">
        <v>7805</v>
      </c>
      <c r="P102" s="406">
        <v>99</v>
      </c>
      <c r="Q102" s="470" t="s">
        <v>236</v>
      </c>
      <c r="R102" s="460" t="s">
        <v>237</v>
      </c>
      <c r="S102" s="270" t="s">
        <v>32</v>
      </c>
      <c r="U102" s="471"/>
      <c r="V102" s="471">
        <v>1</v>
      </c>
      <c r="W102" s="471" t="s">
        <v>237</v>
      </c>
      <c r="X102" s="471">
        <v>0</v>
      </c>
    </row>
    <row r="103" spans="1:26">
      <c r="A103" s="406">
        <v>100</v>
      </c>
      <c r="B103" s="613" t="s">
        <v>5657</v>
      </c>
      <c r="C103" s="288" t="s">
        <v>238</v>
      </c>
      <c r="D103" s="414" t="s">
        <v>3415</v>
      </c>
      <c r="E103" s="407" t="s">
        <v>8559</v>
      </c>
      <c r="F103" s="483" t="s">
        <v>5656</v>
      </c>
      <c r="G103" s="411" t="s">
        <v>5658</v>
      </c>
      <c r="H103" s="411"/>
      <c r="I103" s="411"/>
      <c r="J103" s="411"/>
      <c r="K103" s="411"/>
      <c r="L103" s="608">
        <v>1889.972440944882</v>
      </c>
      <c r="M103" s="409">
        <v>2160.5511811023621</v>
      </c>
      <c r="N103" s="409">
        <v>4050.5236220472439</v>
      </c>
      <c r="O103" s="410" t="s">
        <v>7805</v>
      </c>
      <c r="P103" s="406">
        <v>100</v>
      </c>
      <c r="Q103" s="470" t="s">
        <v>238</v>
      </c>
      <c r="R103" s="460" t="s">
        <v>239</v>
      </c>
      <c r="S103" s="270" t="s">
        <v>32</v>
      </c>
      <c r="U103" s="471"/>
      <c r="V103" s="471">
        <v>1</v>
      </c>
      <c r="W103" s="471" t="s">
        <v>239</v>
      </c>
      <c r="X103" s="471">
        <v>0</v>
      </c>
    </row>
    <row r="104" spans="1:26">
      <c r="A104" s="406">
        <v>101</v>
      </c>
      <c r="B104" s="613" t="s">
        <v>6175</v>
      </c>
      <c r="C104" s="288" t="s">
        <v>240</v>
      </c>
      <c r="D104" s="414" t="s">
        <v>4511</v>
      </c>
      <c r="E104" s="407" t="s">
        <v>8560</v>
      </c>
      <c r="F104" s="483"/>
      <c r="G104" s="411"/>
      <c r="H104" s="411"/>
      <c r="I104" s="411"/>
      <c r="J104" s="411"/>
      <c r="K104" s="411"/>
      <c r="L104" s="608" t="s">
        <v>4884</v>
      </c>
      <c r="M104" s="409">
        <v>4849.7716535433074</v>
      </c>
      <c r="N104" s="409">
        <v>4849.7716535433074</v>
      </c>
      <c r="O104" s="410" t="s">
        <v>7576</v>
      </c>
      <c r="P104" s="406">
        <v>101</v>
      </c>
      <c r="Q104" s="470" t="s">
        <v>240</v>
      </c>
      <c r="R104" s="460" t="s">
        <v>241</v>
      </c>
      <c r="S104" s="270" t="s">
        <v>32</v>
      </c>
      <c r="U104" s="471">
        <v>1</v>
      </c>
      <c r="V104" s="471"/>
      <c r="W104" s="471" t="s">
        <v>241</v>
      </c>
      <c r="X104" s="471">
        <v>0</v>
      </c>
    </row>
    <row r="105" spans="1:26">
      <c r="A105" s="406">
        <v>102</v>
      </c>
      <c r="B105" s="613" t="s">
        <v>6033</v>
      </c>
      <c r="C105" s="288" t="s">
        <v>242</v>
      </c>
      <c r="D105" s="414" t="s">
        <v>4516</v>
      </c>
      <c r="E105" s="407" t="s">
        <v>8561</v>
      </c>
      <c r="F105" s="483"/>
      <c r="G105" s="411"/>
      <c r="H105" s="411"/>
      <c r="I105" s="411"/>
      <c r="J105" s="411"/>
      <c r="K105" s="411"/>
      <c r="L105" s="608" t="s">
        <v>4884</v>
      </c>
      <c r="M105" s="409">
        <v>4953.9448818897645</v>
      </c>
      <c r="N105" s="409">
        <v>4953.9448818897645</v>
      </c>
      <c r="O105" s="410" t="s">
        <v>7576</v>
      </c>
      <c r="P105" s="406">
        <v>102</v>
      </c>
      <c r="Q105" s="470" t="s">
        <v>242</v>
      </c>
      <c r="R105" s="460" t="s">
        <v>243</v>
      </c>
      <c r="S105" s="270" t="s">
        <v>32</v>
      </c>
      <c r="U105" s="471">
        <v>1</v>
      </c>
      <c r="V105" s="471"/>
      <c r="W105" s="471" t="s">
        <v>243</v>
      </c>
      <c r="X105" s="471">
        <v>0</v>
      </c>
    </row>
    <row r="106" spans="1:26">
      <c r="A106" s="406">
        <v>103</v>
      </c>
      <c r="B106" s="613" t="s">
        <v>5757</v>
      </c>
      <c r="C106" s="288" t="s">
        <v>244</v>
      </c>
      <c r="D106" s="414" t="s">
        <v>4710</v>
      </c>
      <c r="E106" s="407" t="s">
        <v>8527</v>
      </c>
      <c r="F106" s="483" t="s">
        <v>5759</v>
      </c>
      <c r="G106" s="411" t="s">
        <v>5758</v>
      </c>
      <c r="H106" s="411"/>
      <c r="I106" s="411"/>
      <c r="J106" s="411"/>
      <c r="K106" s="411"/>
      <c r="L106" s="608">
        <v>8936.2677165354344</v>
      </c>
      <c r="M106" s="409">
        <v>8960.2244094488196</v>
      </c>
      <c r="N106" s="409">
        <v>17896.492125984252</v>
      </c>
      <c r="O106" s="410" t="s">
        <v>7817</v>
      </c>
      <c r="P106" s="406">
        <v>103</v>
      </c>
      <c r="Q106" s="470" t="s">
        <v>244</v>
      </c>
      <c r="R106" s="460" t="s">
        <v>245</v>
      </c>
      <c r="S106" s="270" t="s">
        <v>32</v>
      </c>
      <c r="U106" s="471">
        <v>0</v>
      </c>
      <c r="V106" s="471"/>
      <c r="W106" s="471" t="s">
        <v>245</v>
      </c>
      <c r="X106" s="471">
        <v>0</v>
      </c>
      <c r="Z106" s="270" t="s">
        <v>246</v>
      </c>
    </row>
    <row r="107" spans="1:26">
      <c r="A107" s="406">
        <v>104</v>
      </c>
      <c r="B107" s="613" t="s">
        <v>5755</v>
      </c>
      <c r="C107" s="288" t="s">
        <v>247</v>
      </c>
      <c r="D107" s="414" t="s">
        <v>4775</v>
      </c>
      <c r="E107" s="407" t="s">
        <v>8529</v>
      </c>
      <c r="F107" s="483" t="s">
        <v>5754</v>
      </c>
      <c r="G107" s="411" t="s">
        <v>5756</v>
      </c>
      <c r="H107" s="411"/>
      <c r="I107" s="411"/>
      <c r="J107" s="411"/>
      <c r="K107" s="411"/>
      <c r="L107" s="608">
        <v>5944.5866141732286</v>
      </c>
      <c r="M107" s="409">
        <v>8976.3937007874028</v>
      </c>
      <c r="N107" s="409">
        <v>14920.98031496063</v>
      </c>
      <c r="O107" s="410" t="s">
        <v>7751</v>
      </c>
      <c r="P107" s="406">
        <v>104</v>
      </c>
      <c r="Q107" s="470" t="s">
        <v>247</v>
      </c>
      <c r="R107" s="460" t="s">
        <v>248</v>
      </c>
      <c r="S107" s="270" t="s">
        <v>32</v>
      </c>
      <c r="U107" s="471">
        <v>0</v>
      </c>
      <c r="V107" s="471"/>
      <c r="W107" s="471" t="s">
        <v>248</v>
      </c>
      <c r="X107" s="471">
        <v>0</v>
      </c>
      <c r="Z107" s="270" t="s">
        <v>246</v>
      </c>
    </row>
    <row r="108" spans="1:26">
      <c r="A108" s="406">
        <v>105</v>
      </c>
      <c r="B108" s="613" t="s">
        <v>5749</v>
      </c>
      <c r="C108" s="288" t="s">
        <v>249</v>
      </c>
      <c r="D108" s="414" t="s">
        <v>4708</v>
      </c>
      <c r="E108" s="407" t="s">
        <v>8530</v>
      </c>
      <c r="F108" s="483" t="s">
        <v>5751</v>
      </c>
      <c r="G108" s="411" t="s">
        <v>5750</v>
      </c>
      <c r="H108" s="411"/>
      <c r="I108" s="411"/>
      <c r="J108" s="411"/>
      <c r="K108" s="411"/>
      <c r="L108" s="608">
        <v>7006.070866141732</v>
      </c>
      <c r="M108" s="409">
        <v>8914.8661417322837</v>
      </c>
      <c r="N108" s="409">
        <v>15920.937007874016</v>
      </c>
      <c r="O108" s="410" t="s">
        <v>7760</v>
      </c>
      <c r="P108" s="406">
        <v>105</v>
      </c>
      <c r="Q108" s="470" t="s">
        <v>249</v>
      </c>
      <c r="R108" s="460" t="s">
        <v>250</v>
      </c>
      <c r="S108" s="270" t="s">
        <v>32</v>
      </c>
      <c r="U108" s="471">
        <v>0</v>
      </c>
      <c r="V108" s="471"/>
      <c r="W108" s="471" t="s">
        <v>250</v>
      </c>
      <c r="X108" s="471">
        <v>0</v>
      </c>
      <c r="Z108" s="270" t="s">
        <v>246</v>
      </c>
    </row>
    <row r="109" spans="1:26">
      <c r="A109" s="406">
        <v>106</v>
      </c>
      <c r="B109" s="613" t="s">
        <v>6034</v>
      </c>
      <c r="C109" s="288" t="s">
        <v>251</v>
      </c>
      <c r="D109" s="414" t="s">
        <v>4505</v>
      </c>
      <c r="E109" s="407" t="s">
        <v>8562</v>
      </c>
      <c r="F109" s="483"/>
      <c r="G109" s="411"/>
      <c r="H109" s="411"/>
      <c r="I109" s="411"/>
      <c r="J109" s="411"/>
      <c r="K109" s="411"/>
      <c r="L109" s="608" t="s">
        <v>4884</v>
      </c>
      <c r="M109" s="409">
        <v>4350.1732283464571</v>
      </c>
      <c r="N109" s="409">
        <v>4350.1732283464571</v>
      </c>
      <c r="O109" s="410" t="s">
        <v>7573</v>
      </c>
      <c r="P109" s="406">
        <v>106</v>
      </c>
      <c r="Q109" s="470" t="s">
        <v>251</v>
      </c>
      <c r="R109" s="460" t="s">
        <v>252</v>
      </c>
      <c r="S109" s="270" t="s">
        <v>32</v>
      </c>
      <c r="U109" s="471">
        <v>1</v>
      </c>
      <c r="V109" s="471"/>
      <c r="W109" s="471" t="s">
        <v>252</v>
      </c>
      <c r="X109" s="471">
        <v>0</v>
      </c>
    </row>
    <row r="110" spans="1:26">
      <c r="A110" s="406">
        <v>107</v>
      </c>
      <c r="B110" s="613" t="s">
        <v>6685</v>
      </c>
      <c r="C110" s="288" t="s">
        <v>253</v>
      </c>
      <c r="D110" s="414" t="s">
        <v>4625</v>
      </c>
      <c r="E110" s="407" t="s">
        <v>8507</v>
      </c>
      <c r="F110" s="483" t="s">
        <v>5793</v>
      </c>
      <c r="G110" s="411" t="s">
        <v>5794</v>
      </c>
      <c r="H110" s="411"/>
      <c r="I110" s="411"/>
      <c r="J110" s="411"/>
      <c r="K110" s="411"/>
      <c r="L110" s="608">
        <v>7951.8070866141734</v>
      </c>
      <c r="M110" s="409">
        <v>6470.3228346456699</v>
      </c>
      <c r="N110" s="409">
        <v>14422.129921259842</v>
      </c>
      <c r="O110" s="410" t="s">
        <v>7775</v>
      </c>
      <c r="P110" s="406">
        <v>107</v>
      </c>
      <c r="Q110" s="470" t="s">
        <v>253</v>
      </c>
      <c r="R110" s="460" t="s">
        <v>254</v>
      </c>
      <c r="S110" s="270" t="s">
        <v>32</v>
      </c>
      <c r="U110" s="471">
        <v>0</v>
      </c>
      <c r="V110" s="471"/>
      <c r="W110" s="471" t="s">
        <v>254</v>
      </c>
      <c r="X110" s="471">
        <v>0</v>
      </c>
      <c r="Z110" s="270" t="s">
        <v>246</v>
      </c>
    </row>
    <row r="111" spans="1:26">
      <c r="A111" s="406">
        <v>108</v>
      </c>
      <c r="B111" s="613" t="s">
        <v>6686</v>
      </c>
      <c r="C111" s="288" t="s">
        <v>255</v>
      </c>
      <c r="D111" s="414" t="s">
        <v>4627</v>
      </c>
      <c r="E111" s="407" t="s">
        <v>8508</v>
      </c>
      <c r="F111" s="483" t="s">
        <v>5790</v>
      </c>
      <c r="G111" s="411" t="s">
        <v>5789</v>
      </c>
      <c r="H111" s="411"/>
      <c r="I111" s="411"/>
      <c r="J111" s="411"/>
      <c r="K111" s="411"/>
      <c r="L111" s="608">
        <v>7951.6496062992128</v>
      </c>
      <c r="M111" s="409">
        <v>6682.6220472440946</v>
      </c>
      <c r="N111" s="409">
        <v>14634.271653543308</v>
      </c>
      <c r="O111" s="410" t="s">
        <v>7815</v>
      </c>
      <c r="P111" s="406">
        <v>108</v>
      </c>
      <c r="Q111" s="470" t="s">
        <v>255</v>
      </c>
      <c r="R111" s="460" t="s">
        <v>256</v>
      </c>
      <c r="S111" s="270" t="s">
        <v>32</v>
      </c>
      <c r="U111" s="471">
        <v>0</v>
      </c>
      <c r="V111" s="471"/>
      <c r="W111" s="471" t="s">
        <v>256</v>
      </c>
      <c r="X111" s="471">
        <v>0</v>
      </c>
      <c r="Z111" s="270" t="s">
        <v>246</v>
      </c>
    </row>
    <row r="112" spans="1:26">
      <c r="A112" s="406">
        <v>109</v>
      </c>
      <c r="B112" s="613" t="s">
        <v>5787</v>
      </c>
      <c r="C112" s="288" t="s">
        <v>257</v>
      </c>
      <c r="D112" s="414" t="s">
        <v>4701</v>
      </c>
      <c r="E112" s="407" t="s">
        <v>8509</v>
      </c>
      <c r="F112" s="483" t="s">
        <v>5786</v>
      </c>
      <c r="G112" s="411" t="s">
        <v>5788</v>
      </c>
      <c r="H112" s="411"/>
      <c r="I112" s="411"/>
      <c r="J112" s="411"/>
      <c r="K112" s="411"/>
      <c r="L112" s="608">
        <v>8030.4448818897636</v>
      </c>
      <c r="M112" s="409">
        <v>6630.0590551181112</v>
      </c>
      <c r="N112" s="409">
        <v>14660.503937007874</v>
      </c>
      <c r="O112" s="410" t="s">
        <v>7818</v>
      </c>
      <c r="P112" s="406">
        <v>109</v>
      </c>
      <c r="Q112" s="470" t="s">
        <v>257</v>
      </c>
      <c r="R112" s="460" t="s">
        <v>258</v>
      </c>
      <c r="S112" s="270" t="s">
        <v>32</v>
      </c>
      <c r="U112" s="471">
        <v>0</v>
      </c>
      <c r="V112" s="471"/>
      <c r="W112" s="471" t="s">
        <v>258</v>
      </c>
      <c r="X112" s="471">
        <v>0</v>
      </c>
      <c r="Z112" s="270" t="s">
        <v>246</v>
      </c>
    </row>
    <row r="113" spans="1:26">
      <c r="A113" s="406">
        <v>110</v>
      </c>
      <c r="B113" s="613" t="s">
        <v>5781</v>
      </c>
      <c r="C113" s="288" t="s">
        <v>259</v>
      </c>
      <c r="D113" s="414" t="s">
        <v>4705</v>
      </c>
      <c r="E113" s="407" t="s">
        <v>8510</v>
      </c>
      <c r="F113" s="483" t="s">
        <v>5783</v>
      </c>
      <c r="G113" s="411" t="s">
        <v>5782</v>
      </c>
      <c r="H113" s="411"/>
      <c r="I113" s="411"/>
      <c r="J113" s="411"/>
      <c r="K113" s="411"/>
      <c r="L113" s="608">
        <v>8031.0078740157478</v>
      </c>
      <c r="M113" s="409">
        <v>6740.8070866141734</v>
      </c>
      <c r="N113" s="409">
        <v>14771.814960629921</v>
      </c>
      <c r="O113" s="410" t="s">
        <v>7803</v>
      </c>
      <c r="P113" s="406">
        <v>110</v>
      </c>
      <c r="Q113" s="470" t="s">
        <v>259</v>
      </c>
      <c r="R113" s="460" t="s">
        <v>260</v>
      </c>
      <c r="S113" s="270" t="s">
        <v>32</v>
      </c>
      <c r="U113" s="471">
        <v>0</v>
      </c>
      <c r="V113" s="471"/>
      <c r="W113" s="471" t="s">
        <v>260</v>
      </c>
      <c r="X113" s="471">
        <v>0</v>
      </c>
      <c r="Z113" s="270" t="s">
        <v>246</v>
      </c>
    </row>
    <row r="114" spans="1:26">
      <c r="A114" s="406">
        <v>111</v>
      </c>
      <c r="B114" s="613" t="s">
        <v>5779</v>
      </c>
      <c r="C114" s="288" t="s">
        <v>261</v>
      </c>
      <c r="D114" s="414" t="s">
        <v>4707</v>
      </c>
      <c r="E114" s="407" t="s">
        <v>8522</v>
      </c>
      <c r="F114" s="483" t="s">
        <v>5778</v>
      </c>
      <c r="G114" s="411" t="s">
        <v>5780</v>
      </c>
      <c r="H114" s="411"/>
      <c r="I114" s="411"/>
      <c r="J114" s="411"/>
      <c r="K114" s="411"/>
      <c r="L114" s="608">
        <v>6298.6456692913389</v>
      </c>
      <c r="M114" s="409">
        <v>10010.661417322835</v>
      </c>
      <c r="N114" s="409">
        <v>16309.307086614173</v>
      </c>
      <c r="O114" s="410" t="s">
        <v>7773</v>
      </c>
      <c r="P114" s="406">
        <v>111</v>
      </c>
      <c r="Q114" s="470" t="s">
        <v>261</v>
      </c>
      <c r="R114" s="460" t="s">
        <v>262</v>
      </c>
      <c r="S114" s="270" t="s">
        <v>32</v>
      </c>
      <c r="U114" s="471">
        <v>0</v>
      </c>
      <c r="V114" s="471"/>
      <c r="W114" s="471" t="s">
        <v>262</v>
      </c>
      <c r="X114" s="471">
        <v>0</v>
      </c>
      <c r="Z114" s="270" t="s">
        <v>246</v>
      </c>
    </row>
    <row r="115" spans="1:26">
      <c r="A115" s="406">
        <v>112</v>
      </c>
      <c r="B115" s="613" t="s">
        <v>5773</v>
      </c>
      <c r="C115" s="288" t="s">
        <v>263</v>
      </c>
      <c r="D115" s="414" t="s">
        <v>4752</v>
      </c>
      <c r="E115" s="407" t="s">
        <v>8523</v>
      </c>
      <c r="F115" s="483" t="s">
        <v>5775</v>
      </c>
      <c r="G115" s="411" t="s">
        <v>5774</v>
      </c>
      <c r="H115" s="411"/>
      <c r="I115" s="411"/>
      <c r="J115" s="411"/>
      <c r="K115" s="411"/>
      <c r="L115" s="608">
        <v>6297.7165354330709</v>
      </c>
      <c r="M115" s="409">
        <v>10723.303149606299</v>
      </c>
      <c r="N115" s="409">
        <v>17021.01968503937</v>
      </c>
      <c r="O115" s="410" t="s">
        <v>7820</v>
      </c>
      <c r="P115" s="406">
        <v>112</v>
      </c>
      <c r="Q115" s="470" t="s">
        <v>263</v>
      </c>
      <c r="R115" s="460" t="s">
        <v>264</v>
      </c>
      <c r="S115" s="270" t="s">
        <v>32</v>
      </c>
      <c r="U115" s="471">
        <v>0</v>
      </c>
      <c r="V115" s="471"/>
      <c r="W115" s="471" t="s">
        <v>264</v>
      </c>
      <c r="X115" s="471">
        <v>0</v>
      </c>
      <c r="Z115" s="270" t="s">
        <v>246</v>
      </c>
    </row>
    <row r="116" spans="1:26">
      <c r="A116" s="406">
        <v>113</v>
      </c>
      <c r="B116" s="613" t="s">
        <v>5771</v>
      </c>
      <c r="C116" s="288" t="s">
        <v>265</v>
      </c>
      <c r="D116" s="414" t="s">
        <v>4773</v>
      </c>
      <c r="E116" s="407" t="s">
        <v>8524</v>
      </c>
      <c r="F116" s="483" t="s">
        <v>5770</v>
      </c>
      <c r="G116" s="411" t="s">
        <v>5772</v>
      </c>
      <c r="H116" s="411"/>
      <c r="I116" s="411"/>
      <c r="J116" s="411"/>
      <c r="K116" s="411"/>
      <c r="L116" s="608">
        <v>6770.2637795275587</v>
      </c>
      <c r="M116" s="409">
        <v>9118.7165354330718</v>
      </c>
      <c r="N116" s="409">
        <v>15888.98031496063</v>
      </c>
      <c r="O116" s="410" t="s">
        <v>7821</v>
      </c>
      <c r="P116" s="406">
        <v>113</v>
      </c>
      <c r="Q116" s="470" t="s">
        <v>265</v>
      </c>
      <c r="R116" s="460" t="s">
        <v>266</v>
      </c>
      <c r="S116" s="270" t="s">
        <v>32</v>
      </c>
      <c r="U116" s="471">
        <v>0</v>
      </c>
      <c r="V116" s="471"/>
      <c r="W116" s="471" t="s">
        <v>266</v>
      </c>
      <c r="X116" s="471">
        <v>0</v>
      </c>
      <c r="Z116" s="270" t="s">
        <v>246</v>
      </c>
    </row>
    <row r="117" spans="1:26">
      <c r="A117" s="406">
        <v>114</v>
      </c>
      <c r="B117" s="613" t="s">
        <v>5765</v>
      </c>
      <c r="C117" s="288" t="s">
        <v>267</v>
      </c>
      <c r="D117" s="414" t="s">
        <v>4774</v>
      </c>
      <c r="E117" s="407" t="s">
        <v>8525</v>
      </c>
      <c r="F117" s="483" t="s">
        <v>5767</v>
      </c>
      <c r="G117" s="411" t="s">
        <v>5766</v>
      </c>
      <c r="H117" s="411"/>
      <c r="I117" s="411"/>
      <c r="J117" s="411"/>
      <c r="K117" s="411"/>
      <c r="L117" s="608">
        <v>5944.035433070866</v>
      </c>
      <c r="M117" s="409">
        <v>9174.5236220472452</v>
      </c>
      <c r="N117" s="409">
        <v>15118.55905511811</v>
      </c>
      <c r="O117" s="410" t="s">
        <v>7821</v>
      </c>
      <c r="P117" s="406">
        <v>114</v>
      </c>
      <c r="Q117" s="470" t="s">
        <v>267</v>
      </c>
      <c r="R117" s="460" t="s">
        <v>268</v>
      </c>
      <c r="S117" s="270" t="s">
        <v>32</v>
      </c>
      <c r="U117" s="471">
        <v>0</v>
      </c>
      <c r="V117" s="471"/>
      <c r="W117" s="471" t="s">
        <v>268</v>
      </c>
      <c r="X117" s="471">
        <v>0</v>
      </c>
      <c r="Z117" s="270" t="s">
        <v>246</v>
      </c>
    </row>
    <row r="118" spans="1:26">
      <c r="A118" s="406">
        <v>115</v>
      </c>
      <c r="B118" s="613" t="s">
        <v>6035</v>
      </c>
      <c r="C118" s="288" t="s">
        <v>269</v>
      </c>
      <c r="D118" s="414" t="s">
        <v>4509</v>
      </c>
      <c r="E118" s="407" t="s">
        <v>8563</v>
      </c>
      <c r="F118" s="483"/>
      <c r="G118" s="411"/>
      <c r="H118" s="411"/>
      <c r="I118" s="411"/>
      <c r="J118" s="411"/>
      <c r="K118" s="411"/>
      <c r="L118" s="608" t="s">
        <v>4884</v>
      </c>
      <c r="M118" s="409">
        <v>4460.9685039370079</v>
      </c>
      <c r="N118" s="409">
        <v>4460.9685039370079</v>
      </c>
      <c r="O118" s="410" t="s">
        <v>7572</v>
      </c>
      <c r="P118" s="406">
        <v>115</v>
      </c>
      <c r="Q118" s="470" t="s">
        <v>269</v>
      </c>
      <c r="R118" s="460" t="s">
        <v>270</v>
      </c>
      <c r="S118" s="270" t="s">
        <v>32</v>
      </c>
      <c r="U118" s="471">
        <v>1</v>
      </c>
      <c r="V118" s="471"/>
      <c r="W118" s="471" t="s">
        <v>270</v>
      </c>
      <c r="X118" s="471">
        <v>0</v>
      </c>
      <c r="Z118" s="270" t="s">
        <v>271</v>
      </c>
    </row>
    <row r="119" spans="1:26">
      <c r="A119" s="406">
        <v>116</v>
      </c>
      <c r="B119" s="613" t="s">
        <v>6036</v>
      </c>
      <c r="C119" s="288" t="s">
        <v>272</v>
      </c>
      <c r="D119" s="414" t="s">
        <v>4512</v>
      </c>
      <c r="E119" s="407" t="s">
        <v>8564</v>
      </c>
      <c r="F119" s="483"/>
      <c r="G119" s="411"/>
      <c r="H119" s="411"/>
      <c r="I119" s="411"/>
      <c r="J119" s="411"/>
      <c r="K119" s="411"/>
      <c r="L119" s="608" t="s">
        <v>4884</v>
      </c>
      <c r="M119" s="409">
        <v>4245.6574803149606</v>
      </c>
      <c r="N119" s="409">
        <v>4245.6574803149606</v>
      </c>
      <c r="O119" s="410" t="s">
        <v>7572</v>
      </c>
      <c r="P119" s="406">
        <v>116</v>
      </c>
      <c r="Q119" s="470" t="s">
        <v>272</v>
      </c>
      <c r="R119" s="460" t="s">
        <v>273</v>
      </c>
      <c r="S119" s="270" t="s">
        <v>32</v>
      </c>
      <c r="U119" s="471">
        <v>1</v>
      </c>
      <c r="V119" s="471"/>
      <c r="W119" s="471" t="s">
        <v>273</v>
      </c>
      <c r="X119" s="471">
        <v>0</v>
      </c>
      <c r="Z119" s="270" t="s">
        <v>271</v>
      </c>
    </row>
    <row r="120" spans="1:26">
      <c r="A120" s="406">
        <v>117</v>
      </c>
      <c r="B120" s="613" t="s">
        <v>5747</v>
      </c>
      <c r="C120" s="288" t="s">
        <v>274</v>
      </c>
      <c r="D120" s="414" t="s">
        <v>4749</v>
      </c>
      <c r="E120" s="407" t="s">
        <v>8531</v>
      </c>
      <c r="F120" s="483" t="s">
        <v>5746</v>
      </c>
      <c r="G120" s="411" t="s">
        <v>5748</v>
      </c>
      <c r="H120" s="411"/>
      <c r="I120" s="411"/>
      <c r="J120" s="411"/>
      <c r="K120" s="411"/>
      <c r="L120" s="608">
        <v>8935.8503937007881</v>
      </c>
      <c r="M120" s="409">
        <v>9180.531496062993</v>
      </c>
      <c r="N120" s="409">
        <v>18116.381889763779</v>
      </c>
      <c r="O120" s="410" t="s">
        <v>7819</v>
      </c>
      <c r="P120" s="406">
        <v>117</v>
      </c>
      <c r="Q120" s="470" t="s">
        <v>274</v>
      </c>
      <c r="R120" s="460" t="s">
        <v>275</v>
      </c>
      <c r="S120" s="270" t="s">
        <v>32</v>
      </c>
      <c r="U120" s="471">
        <v>0</v>
      </c>
      <c r="V120" s="471"/>
      <c r="W120" s="471" t="s">
        <v>275</v>
      </c>
      <c r="X120" s="471">
        <v>0</v>
      </c>
      <c r="Z120" s="270" t="s">
        <v>246</v>
      </c>
    </row>
    <row r="121" spans="1:26">
      <c r="A121" s="406">
        <v>118</v>
      </c>
      <c r="B121" s="613" t="s">
        <v>5741</v>
      </c>
      <c r="C121" s="288" t="s">
        <v>276</v>
      </c>
      <c r="D121" s="414" t="s">
        <v>4777</v>
      </c>
      <c r="E121" s="407" t="s">
        <v>8528</v>
      </c>
      <c r="F121" s="483" t="s">
        <v>5743</v>
      </c>
      <c r="G121" s="411" t="s">
        <v>5742</v>
      </c>
      <c r="H121" s="411"/>
      <c r="I121" s="411"/>
      <c r="J121" s="411"/>
      <c r="K121" s="411"/>
      <c r="L121" s="608">
        <v>6770.2716535433074</v>
      </c>
      <c r="M121" s="409">
        <v>9088.6653543307093</v>
      </c>
      <c r="N121" s="409">
        <v>15858.937007874018</v>
      </c>
      <c r="O121" s="410" t="s">
        <v>7775</v>
      </c>
      <c r="P121" s="406">
        <v>118</v>
      </c>
      <c r="Q121" s="470" t="s">
        <v>276</v>
      </c>
      <c r="R121" s="460" t="s">
        <v>277</v>
      </c>
      <c r="S121" s="270" t="s">
        <v>32</v>
      </c>
      <c r="U121" s="471">
        <v>0</v>
      </c>
      <c r="V121" s="471"/>
      <c r="W121" s="471" t="s">
        <v>277</v>
      </c>
      <c r="X121" s="471">
        <v>0</v>
      </c>
      <c r="Z121" s="270" t="s">
        <v>246</v>
      </c>
    </row>
    <row r="122" spans="1:26">
      <c r="A122" s="406">
        <v>119</v>
      </c>
      <c r="B122" s="613" t="s">
        <v>5739</v>
      </c>
      <c r="C122" s="288" t="s">
        <v>278</v>
      </c>
      <c r="D122" s="414" t="s">
        <v>4722</v>
      </c>
      <c r="E122" s="407" t="s">
        <v>8565</v>
      </c>
      <c r="F122" s="483" t="s">
        <v>5738</v>
      </c>
      <c r="G122" s="411" t="s">
        <v>5740</v>
      </c>
      <c r="H122" s="411"/>
      <c r="I122" s="411"/>
      <c r="J122" s="411"/>
      <c r="K122" s="411"/>
      <c r="L122" s="608">
        <v>10365.633858267718</v>
      </c>
      <c r="M122" s="409">
        <v>7226.4212598425192</v>
      </c>
      <c r="N122" s="409">
        <v>17592.055118110238</v>
      </c>
      <c r="O122" s="410" t="s">
        <v>7822</v>
      </c>
      <c r="P122" s="406">
        <v>119</v>
      </c>
      <c r="Q122" s="470" t="s">
        <v>278</v>
      </c>
      <c r="R122" s="460" t="s">
        <v>279</v>
      </c>
      <c r="S122" s="270" t="s">
        <v>32</v>
      </c>
      <c r="U122" s="471">
        <v>0</v>
      </c>
      <c r="V122" s="471"/>
      <c r="W122" s="471" t="s">
        <v>279</v>
      </c>
      <c r="X122" s="471">
        <v>0</v>
      </c>
      <c r="Z122" s="270" t="s">
        <v>246</v>
      </c>
    </row>
    <row r="123" spans="1:26">
      <c r="A123" s="406">
        <v>120</v>
      </c>
      <c r="B123" s="613" t="s">
        <v>6687</v>
      </c>
      <c r="C123" s="288" t="s">
        <v>280</v>
      </c>
      <c r="D123" s="414" t="s">
        <v>4671</v>
      </c>
      <c r="E123" s="407" t="s">
        <v>8566</v>
      </c>
      <c r="F123" s="483" t="s">
        <v>5736</v>
      </c>
      <c r="G123" s="411" t="s">
        <v>5735</v>
      </c>
      <c r="H123" s="411"/>
      <c r="I123" s="411"/>
      <c r="J123" s="411"/>
      <c r="K123" s="411"/>
      <c r="L123" s="608">
        <v>9734.9133858267724</v>
      </c>
      <c r="M123" s="409">
        <v>7192.1417322834641</v>
      </c>
      <c r="N123" s="409">
        <v>16927.055118110235</v>
      </c>
      <c r="O123" s="410" t="s">
        <v>7823</v>
      </c>
      <c r="P123" s="406">
        <v>120</v>
      </c>
      <c r="Q123" s="470" t="s">
        <v>280</v>
      </c>
      <c r="R123" s="460" t="s">
        <v>281</v>
      </c>
      <c r="S123" s="270" t="s">
        <v>32</v>
      </c>
      <c r="U123" s="471">
        <v>0</v>
      </c>
      <c r="V123" s="471"/>
      <c r="W123" s="471" t="s">
        <v>281</v>
      </c>
      <c r="X123" s="477">
        <v>1</v>
      </c>
      <c r="Z123" s="270" t="s">
        <v>246</v>
      </c>
    </row>
    <row r="124" spans="1:26">
      <c r="A124" s="406">
        <v>121</v>
      </c>
      <c r="B124" s="613" t="s">
        <v>5733</v>
      </c>
      <c r="C124" s="288" t="s">
        <v>282</v>
      </c>
      <c r="D124" s="414" t="s">
        <v>4704</v>
      </c>
      <c r="E124" s="407" t="s">
        <v>8567</v>
      </c>
      <c r="F124" s="483" t="s">
        <v>5732</v>
      </c>
      <c r="G124" s="411" t="s">
        <v>5734</v>
      </c>
      <c r="H124" s="411"/>
      <c r="I124" s="411"/>
      <c r="J124" s="411"/>
      <c r="K124" s="411"/>
      <c r="L124" s="608">
        <v>9301.7952755905517</v>
      </c>
      <c r="M124" s="409">
        <v>5915.0748031496059</v>
      </c>
      <c r="N124" s="409">
        <v>15216.870078740159</v>
      </c>
      <c r="O124" s="410" t="s">
        <v>7778</v>
      </c>
      <c r="P124" s="406">
        <v>121</v>
      </c>
      <c r="Q124" s="470" t="s">
        <v>282</v>
      </c>
      <c r="R124" s="460" t="s">
        <v>283</v>
      </c>
      <c r="S124" s="270" t="s">
        <v>32</v>
      </c>
      <c r="U124" s="471">
        <v>0</v>
      </c>
      <c r="V124" s="471"/>
      <c r="W124" s="471" t="s">
        <v>283</v>
      </c>
      <c r="X124" s="471">
        <v>0</v>
      </c>
      <c r="Z124" s="270" t="s">
        <v>246</v>
      </c>
    </row>
    <row r="125" spans="1:26">
      <c r="A125" s="406">
        <v>122</v>
      </c>
      <c r="B125" s="613" t="s">
        <v>5727</v>
      </c>
      <c r="C125" s="288" t="s">
        <v>284</v>
      </c>
      <c r="D125" s="414" t="s">
        <v>4706</v>
      </c>
      <c r="E125" s="407" t="s">
        <v>8568</v>
      </c>
      <c r="F125" s="483" t="s">
        <v>5729</v>
      </c>
      <c r="G125" s="411" t="s">
        <v>5728</v>
      </c>
      <c r="H125" s="411"/>
      <c r="I125" s="411"/>
      <c r="J125" s="411"/>
      <c r="K125" s="411"/>
      <c r="L125" s="608">
        <v>9263.6653543307093</v>
      </c>
      <c r="M125" s="409">
        <v>6050.9015748031497</v>
      </c>
      <c r="N125" s="409">
        <v>15314.56692913386</v>
      </c>
      <c r="O125" s="410" t="s">
        <v>7778</v>
      </c>
      <c r="P125" s="406">
        <v>122</v>
      </c>
      <c r="Q125" s="470" t="s">
        <v>284</v>
      </c>
      <c r="R125" s="460" t="s">
        <v>285</v>
      </c>
      <c r="S125" s="270" t="s">
        <v>32</v>
      </c>
      <c r="U125" s="471">
        <v>0</v>
      </c>
      <c r="V125" s="471"/>
      <c r="W125" s="471" t="s">
        <v>285</v>
      </c>
      <c r="X125" s="471">
        <v>0</v>
      </c>
      <c r="Z125" s="270" t="s">
        <v>246</v>
      </c>
    </row>
    <row r="126" spans="1:26">
      <c r="A126" s="406">
        <v>123</v>
      </c>
      <c r="B126" s="613" t="s">
        <v>5725</v>
      </c>
      <c r="C126" s="288" t="s">
        <v>286</v>
      </c>
      <c r="D126" s="414" t="s">
        <v>4663</v>
      </c>
      <c r="E126" s="407" t="s">
        <v>8569</v>
      </c>
      <c r="F126" s="483" t="s">
        <v>5724</v>
      </c>
      <c r="G126" s="411" t="s">
        <v>5726</v>
      </c>
      <c r="H126" s="411"/>
      <c r="I126" s="411"/>
      <c r="J126" s="411"/>
      <c r="K126" s="411"/>
      <c r="L126" s="608">
        <v>6531.7913385826778</v>
      </c>
      <c r="M126" s="409">
        <v>6726.6850393700788</v>
      </c>
      <c r="N126" s="409">
        <v>13258.476377952757</v>
      </c>
      <c r="O126" s="410" t="s">
        <v>7787</v>
      </c>
      <c r="P126" s="406">
        <v>123</v>
      </c>
      <c r="Q126" s="470" t="s">
        <v>286</v>
      </c>
      <c r="R126" s="460" t="s">
        <v>287</v>
      </c>
      <c r="S126" s="270" t="s">
        <v>32</v>
      </c>
      <c r="U126" s="471">
        <v>0</v>
      </c>
      <c r="V126" s="471"/>
      <c r="W126" s="471" t="s">
        <v>287</v>
      </c>
      <c r="X126" s="471">
        <v>0</v>
      </c>
      <c r="Z126" s="270" t="s">
        <v>246</v>
      </c>
    </row>
    <row r="127" spans="1:26">
      <c r="A127" s="406">
        <v>124</v>
      </c>
      <c r="B127" s="613" t="s">
        <v>5719</v>
      </c>
      <c r="C127" s="288" t="s">
        <v>288</v>
      </c>
      <c r="D127" s="414" t="s">
        <v>4664</v>
      </c>
      <c r="E127" s="407" t="s">
        <v>8570</v>
      </c>
      <c r="F127" s="483" t="s">
        <v>5721</v>
      </c>
      <c r="G127" s="411" t="s">
        <v>5720</v>
      </c>
      <c r="H127" s="411"/>
      <c r="I127" s="411"/>
      <c r="J127" s="411"/>
      <c r="K127" s="411"/>
      <c r="L127" s="608">
        <v>6382.5590551181103</v>
      </c>
      <c r="M127" s="409">
        <v>6688.4685039370079</v>
      </c>
      <c r="N127" s="409">
        <v>13071.027559055119</v>
      </c>
      <c r="O127" s="410" t="s">
        <v>7787</v>
      </c>
      <c r="P127" s="406">
        <v>124</v>
      </c>
      <c r="Q127" s="470" t="s">
        <v>288</v>
      </c>
      <c r="R127" s="460" t="s">
        <v>289</v>
      </c>
      <c r="S127" s="270" t="s">
        <v>32</v>
      </c>
      <c r="U127" s="471">
        <v>0</v>
      </c>
      <c r="V127" s="471"/>
      <c r="W127" s="471" t="s">
        <v>289</v>
      </c>
      <c r="X127" s="471">
        <v>0</v>
      </c>
      <c r="Z127" s="270" t="s">
        <v>246</v>
      </c>
    </row>
    <row r="128" spans="1:26">
      <c r="A128" s="406">
        <v>125</v>
      </c>
      <c r="B128" s="613" t="s">
        <v>5717</v>
      </c>
      <c r="C128" s="288" t="s">
        <v>290</v>
      </c>
      <c r="D128" s="414" t="s">
        <v>4626</v>
      </c>
      <c r="E128" s="407" t="s">
        <v>8571</v>
      </c>
      <c r="F128" s="483" t="s">
        <v>5716</v>
      </c>
      <c r="G128" s="411" t="s">
        <v>5718</v>
      </c>
      <c r="H128" s="411"/>
      <c r="I128" s="411"/>
      <c r="J128" s="411"/>
      <c r="K128" s="411"/>
      <c r="L128" s="608">
        <v>7638.8661417322837</v>
      </c>
      <c r="M128" s="409">
        <v>6837.0866141732286</v>
      </c>
      <c r="N128" s="409">
        <v>14475.952755905513</v>
      </c>
      <c r="O128" s="410" t="s">
        <v>7787</v>
      </c>
      <c r="P128" s="406">
        <v>125</v>
      </c>
      <c r="Q128" s="470" t="s">
        <v>290</v>
      </c>
      <c r="R128" s="460" t="s">
        <v>291</v>
      </c>
      <c r="S128" s="270" t="s">
        <v>32</v>
      </c>
      <c r="U128" s="471">
        <v>0</v>
      </c>
      <c r="V128" s="471"/>
      <c r="W128" s="471" t="s">
        <v>291</v>
      </c>
      <c r="X128" s="471">
        <v>0</v>
      </c>
      <c r="Z128" s="270" t="s">
        <v>246</v>
      </c>
    </row>
    <row r="129" spans="1:26">
      <c r="A129" s="406">
        <v>126</v>
      </c>
      <c r="B129" s="613" t="s">
        <v>5711</v>
      </c>
      <c r="C129" s="288" t="s">
        <v>292</v>
      </c>
      <c r="D129" s="414" t="s">
        <v>4703</v>
      </c>
      <c r="E129" s="407" t="s">
        <v>8572</v>
      </c>
      <c r="F129" s="483" t="s">
        <v>5713</v>
      </c>
      <c r="G129" s="411" t="s">
        <v>5712</v>
      </c>
      <c r="H129" s="411"/>
      <c r="I129" s="411"/>
      <c r="J129" s="411"/>
      <c r="K129" s="411"/>
      <c r="L129" s="608">
        <v>9735.6929133858266</v>
      </c>
      <c r="M129" s="409">
        <v>7140.4015748031497</v>
      </c>
      <c r="N129" s="409">
        <v>16876.094488188974</v>
      </c>
      <c r="O129" s="410" t="s">
        <v>7767</v>
      </c>
      <c r="P129" s="406">
        <v>126</v>
      </c>
      <c r="Q129" s="470" t="s">
        <v>292</v>
      </c>
      <c r="R129" s="460" t="s">
        <v>293</v>
      </c>
      <c r="S129" s="270" t="s">
        <v>32</v>
      </c>
      <c r="U129" s="471">
        <v>0</v>
      </c>
      <c r="V129" s="471"/>
      <c r="W129" s="471" t="s">
        <v>293</v>
      </c>
      <c r="X129" s="471">
        <v>0</v>
      </c>
      <c r="Z129" s="270" t="s">
        <v>246</v>
      </c>
    </row>
    <row r="130" spans="1:26">
      <c r="A130" s="406">
        <v>127</v>
      </c>
      <c r="B130" s="613" t="s">
        <v>5681</v>
      </c>
      <c r="C130" s="288" t="s">
        <v>294</v>
      </c>
      <c r="D130" s="414" t="s">
        <v>4872</v>
      </c>
      <c r="E130" s="407" t="s">
        <v>8573</v>
      </c>
      <c r="F130" s="483" t="s">
        <v>5680</v>
      </c>
      <c r="G130" s="411" t="s">
        <v>5682</v>
      </c>
      <c r="H130" s="411"/>
      <c r="I130" s="411"/>
      <c r="J130" s="411"/>
      <c r="K130" s="411"/>
      <c r="L130" s="608">
        <v>13579.716535433072</v>
      </c>
      <c r="M130" s="409">
        <v>5027.3700787401576</v>
      </c>
      <c r="N130" s="409">
        <v>18607.086614173229</v>
      </c>
      <c r="O130" s="410" t="s">
        <v>7754</v>
      </c>
      <c r="P130" s="406">
        <v>127</v>
      </c>
      <c r="Q130" s="470" t="s">
        <v>294</v>
      </c>
      <c r="R130" s="460" t="s">
        <v>295</v>
      </c>
      <c r="S130" s="270" t="s">
        <v>32</v>
      </c>
      <c r="U130" s="471">
        <v>0</v>
      </c>
      <c r="V130" s="471"/>
      <c r="W130" s="471" t="s">
        <v>295</v>
      </c>
      <c r="X130" s="471">
        <v>0</v>
      </c>
      <c r="Z130" s="270" t="s">
        <v>246</v>
      </c>
    </row>
    <row r="131" spans="1:26">
      <c r="A131" s="406">
        <v>128</v>
      </c>
      <c r="B131" s="613" t="s">
        <v>5677</v>
      </c>
      <c r="C131" s="288" t="s">
        <v>296</v>
      </c>
      <c r="D131" s="414" t="s">
        <v>4871</v>
      </c>
      <c r="E131" s="407" t="s">
        <v>8574</v>
      </c>
      <c r="F131" s="483" t="s">
        <v>5679</v>
      </c>
      <c r="G131" s="411" t="s">
        <v>5678</v>
      </c>
      <c r="H131" s="411"/>
      <c r="I131" s="411"/>
      <c r="J131" s="411"/>
      <c r="K131" s="411"/>
      <c r="L131" s="608">
        <v>13578.251968503939</v>
      </c>
      <c r="M131" s="409">
        <v>5756.7007874015753</v>
      </c>
      <c r="N131" s="409">
        <v>19334.952755905513</v>
      </c>
      <c r="O131" s="410" t="s">
        <v>7754</v>
      </c>
      <c r="P131" s="406">
        <v>128</v>
      </c>
      <c r="Q131" s="470" t="s">
        <v>296</v>
      </c>
      <c r="R131" s="460" t="s">
        <v>297</v>
      </c>
      <c r="S131" s="270" t="s">
        <v>32</v>
      </c>
      <c r="U131" s="471">
        <v>0</v>
      </c>
      <c r="V131" s="471"/>
      <c r="W131" s="471" t="s">
        <v>297</v>
      </c>
      <c r="X131" s="471">
        <v>0</v>
      </c>
      <c r="Z131" s="270" t="s">
        <v>246</v>
      </c>
    </row>
    <row r="132" spans="1:26">
      <c r="A132" s="406">
        <v>129</v>
      </c>
      <c r="B132" s="613" t="s">
        <v>5675</v>
      </c>
      <c r="C132" s="288" t="s">
        <v>298</v>
      </c>
      <c r="D132" s="414" t="s">
        <v>4877</v>
      </c>
      <c r="E132" s="407" t="s">
        <v>8575</v>
      </c>
      <c r="F132" s="483" t="s">
        <v>5674</v>
      </c>
      <c r="G132" s="411" t="s">
        <v>5676</v>
      </c>
      <c r="H132" s="411"/>
      <c r="I132" s="411"/>
      <c r="J132" s="411"/>
      <c r="K132" s="411"/>
      <c r="L132" s="608">
        <v>13575.484251968504</v>
      </c>
      <c r="M132" s="409">
        <v>4493.2952755905517</v>
      </c>
      <c r="N132" s="409">
        <v>18068.779527559054</v>
      </c>
      <c r="O132" s="410" t="s">
        <v>7796</v>
      </c>
      <c r="P132" s="406">
        <v>129</v>
      </c>
      <c r="Q132" s="470" t="s">
        <v>298</v>
      </c>
      <c r="R132" s="460" t="s">
        <v>299</v>
      </c>
      <c r="S132" s="270" t="s">
        <v>32</v>
      </c>
      <c r="U132" s="471">
        <v>0</v>
      </c>
      <c r="V132" s="471"/>
      <c r="W132" s="471" t="s">
        <v>299</v>
      </c>
      <c r="X132" s="471">
        <v>0</v>
      </c>
      <c r="Z132" s="270" t="s">
        <v>246</v>
      </c>
    </row>
    <row r="133" spans="1:26">
      <c r="A133" s="406">
        <v>130</v>
      </c>
      <c r="B133" s="613" t="s">
        <v>5671</v>
      </c>
      <c r="C133" s="288" t="s">
        <v>300</v>
      </c>
      <c r="D133" s="414" t="s">
        <v>4874</v>
      </c>
      <c r="E133" s="407" t="s">
        <v>8576</v>
      </c>
      <c r="F133" s="483" t="s">
        <v>5673</v>
      </c>
      <c r="G133" s="411" t="s">
        <v>5672</v>
      </c>
      <c r="H133" s="411"/>
      <c r="I133" s="411"/>
      <c r="J133" s="411"/>
      <c r="K133" s="411"/>
      <c r="L133" s="608">
        <v>13569.039370078741</v>
      </c>
      <c r="M133" s="409">
        <v>6265.4566929133853</v>
      </c>
      <c r="N133" s="409">
        <v>19834.496062992126</v>
      </c>
      <c r="O133" s="410" t="s">
        <v>7783</v>
      </c>
      <c r="P133" s="406">
        <v>130</v>
      </c>
      <c r="Q133" s="470" t="s">
        <v>300</v>
      </c>
      <c r="R133" s="460" t="s">
        <v>301</v>
      </c>
      <c r="S133" s="270" t="s">
        <v>32</v>
      </c>
      <c r="U133" s="471">
        <v>0</v>
      </c>
      <c r="V133" s="471"/>
      <c r="W133" s="471" t="s">
        <v>301</v>
      </c>
      <c r="X133" s="471">
        <v>0</v>
      </c>
      <c r="Z133" s="270" t="s">
        <v>246</v>
      </c>
    </row>
    <row r="134" spans="1:26">
      <c r="A134" s="406">
        <v>131</v>
      </c>
      <c r="B134" s="613" t="s">
        <v>5669</v>
      </c>
      <c r="C134" s="288" t="s">
        <v>302</v>
      </c>
      <c r="D134" s="414" t="s">
        <v>4873</v>
      </c>
      <c r="E134" s="407" t="s">
        <v>8577</v>
      </c>
      <c r="F134" s="483" t="s">
        <v>5668</v>
      </c>
      <c r="G134" s="411" t="s">
        <v>5670</v>
      </c>
      <c r="H134" s="411"/>
      <c r="I134" s="411"/>
      <c r="J134" s="411"/>
      <c r="K134" s="411"/>
      <c r="L134" s="608">
        <v>13582.295275590552</v>
      </c>
      <c r="M134" s="409">
        <v>5785.4566929133862</v>
      </c>
      <c r="N134" s="409">
        <v>19367.751968503937</v>
      </c>
      <c r="O134" s="410" t="s">
        <v>7783</v>
      </c>
      <c r="P134" s="406">
        <v>131</v>
      </c>
      <c r="Q134" s="470" t="s">
        <v>302</v>
      </c>
      <c r="R134" s="460" t="s">
        <v>303</v>
      </c>
      <c r="S134" s="270" t="s">
        <v>32</v>
      </c>
      <c r="U134" s="471">
        <v>0</v>
      </c>
      <c r="V134" s="471"/>
      <c r="W134" s="471" t="s">
        <v>303</v>
      </c>
      <c r="X134" s="471">
        <v>0</v>
      </c>
      <c r="Z134" s="270" t="s">
        <v>246</v>
      </c>
    </row>
    <row r="135" spans="1:26">
      <c r="A135" s="406">
        <v>132</v>
      </c>
      <c r="B135" s="613" t="s">
        <v>5665</v>
      </c>
      <c r="C135" s="288" t="s">
        <v>304</v>
      </c>
      <c r="D135" s="414" t="s">
        <v>4878</v>
      </c>
      <c r="E135" s="407" t="s">
        <v>8578</v>
      </c>
      <c r="F135" s="483" t="s">
        <v>5667</v>
      </c>
      <c r="G135" s="411" t="s">
        <v>5666</v>
      </c>
      <c r="H135" s="411"/>
      <c r="I135" s="411"/>
      <c r="J135" s="411"/>
      <c r="K135" s="411"/>
      <c r="L135" s="608">
        <v>13573.755905511811</v>
      </c>
      <c r="M135" s="409">
        <v>6096.5748031496069</v>
      </c>
      <c r="N135" s="409">
        <v>19670.330708661419</v>
      </c>
      <c r="O135" s="410" t="s">
        <v>7824</v>
      </c>
      <c r="P135" s="406">
        <v>132</v>
      </c>
      <c r="Q135" s="470" t="s">
        <v>304</v>
      </c>
      <c r="R135" s="460" t="s">
        <v>305</v>
      </c>
      <c r="S135" s="270" t="s">
        <v>32</v>
      </c>
      <c r="U135" s="471">
        <v>0</v>
      </c>
      <c r="V135" s="471"/>
      <c r="W135" s="471" t="s">
        <v>305</v>
      </c>
      <c r="X135" s="471">
        <v>0</v>
      </c>
      <c r="Z135" s="270" t="s">
        <v>246</v>
      </c>
    </row>
    <row r="136" spans="1:26">
      <c r="A136" s="406">
        <v>133</v>
      </c>
      <c r="B136" s="613" t="s">
        <v>5763</v>
      </c>
      <c r="C136" s="288" t="s">
        <v>306</v>
      </c>
      <c r="D136" s="414" t="s">
        <v>4751</v>
      </c>
      <c r="E136" s="407" t="s">
        <v>8526</v>
      </c>
      <c r="F136" s="483" t="s">
        <v>5762</v>
      </c>
      <c r="G136" s="411" t="s">
        <v>5764</v>
      </c>
      <c r="H136" s="411"/>
      <c r="I136" s="411"/>
      <c r="J136" s="411"/>
      <c r="K136" s="411"/>
      <c r="L136" s="608">
        <v>7007.0787401574808</v>
      </c>
      <c r="M136" s="409">
        <v>8997.9370078740158</v>
      </c>
      <c r="N136" s="409">
        <v>16005.015748031497</v>
      </c>
      <c r="O136" s="410" t="s">
        <v>7825</v>
      </c>
      <c r="P136" s="406">
        <v>133</v>
      </c>
      <c r="Q136" s="470" t="s">
        <v>306</v>
      </c>
      <c r="R136" s="460" t="s">
        <v>307</v>
      </c>
      <c r="S136" s="270" t="s">
        <v>32</v>
      </c>
      <c r="U136" s="471">
        <v>0</v>
      </c>
      <c r="V136" s="471"/>
      <c r="W136" s="478" t="s">
        <v>307</v>
      </c>
      <c r="X136" s="471">
        <v>0</v>
      </c>
      <c r="Z136" s="270" t="s">
        <v>4889</v>
      </c>
    </row>
    <row r="137" spans="1:26">
      <c r="A137" s="406">
        <v>134</v>
      </c>
      <c r="B137" s="613" t="s">
        <v>6688</v>
      </c>
      <c r="C137" s="288" t="s">
        <v>308</v>
      </c>
      <c r="D137" s="414" t="s">
        <v>4721</v>
      </c>
      <c r="E137" s="407" t="s">
        <v>8579</v>
      </c>
      <c r="F137" s="483"/>
      <c r="G137" s="411"/>
      <c r="H137" s="411"/>
      <c r="I137" s="411"/>
      <c r="J137" s="411"/>
      <c r="K137" s="411"/>
      <c r="L137" s="608" t="s">
        <v>4884</v>
      </c>
      <c r="M137" s="409">
        <v>8996.8503937007881</v>
      </c>
      <c r="N137" s="409">
        <v>8996.8503937007881</v>
      </c>
      <c r="O137" s="410" t="s">
        <v>7571</v>
      </c>
      <c r="P137" s="406">
        <v>134</v>
      </c>
      <c r="Q137" s="470" t="s">
        <v>308</v>
      </c>
      <c r="R137" s="475" t="s">
        <v>309</v>
      </c>
      <c r="S137" s="270" t="s">
        <v>32</v>
      </c>
      <c r="U137" s="471">
        <v>0</v>
      </c>
      <c r="V137" s="471"/>
      <c r="W137" s="471"/>
      <c r="X137" s="477">
        <v>1</v>
      </c>
      <c r="Z137" s="270" t="s">
        <v>7513</v>
      </c>
    </row>
    <row r="138" spans="1:26">
      <c r="A138" s="406">
        <v>135</v>
      </c>
      <c r="B138" s="613" t="s">
        <v>6037</v>
      </c>
      <c r="C138" s="288" t="s">
        <v>310</v>
      </c>
      <c r="D138" s="414" t="s">
        <v>4531</v>
      </c>
      <c r="E138" s="407" t="s">
        <v>8580</v>
      </c>
      <c r="F138" s="483"/>
      <c r="G138" s="411"/>
      <c r="H138" s="411"/>
      <c r="I138" s="411"/>
      <c r="J138" s="411"/>
      <c r="K138" s="411"/>
      <c r="L138" s="608" t="s">
        <v>4884</v>
      </c>
      <c r="M138" s="409">
        <v>4521.1259842519685</v>
      </c>
      <c r="N138" s="409">
        <v>4521.1259842519685</v>
      </c>
      <c r="O138" s="410" t="s">
        <v>7573</v>
      </c>
      <c r="P138" s="406">
        <v>135</v>
      </c>
      <c r="Q138" s="470" t="s">
        <v>310</v>
      </c>
      <c r="R138" s="460" t="s">
        <v>311</v>
      </c>
      <c r="S138" s="270" t="s">
        <v>32</v>
      </c>
      <c r="U138" s="471">
        <v>1</v>
      </c>
      <c r="V138" s="471"/>
      <c r="W138" s="471" t="s">
        <v>311</v>
      </c>
      <c r="X138" s="471">
        <v>0</v>
      </c>
    </row>
    <row r="139" spans="1:26">
      <c r="A139" s="406">
        <v>136</v>
      </c>
      <c r="B139" s="613" t="s">
        <v>6038</v>
      </c>
      <c r="C139" s="288" t="s">
        <v>312</v>
      </c>
      <c r="D139" s="414" t="s">
        <v>4503</v>
      </c>
      <c r="E139" s="407" t="s">
        <v>8581</v>
      </c>
      <c r="F139" s="483"/>
      <c r="G139" s="411"/>
      <c r="H139" s="411"/>
      <c r="I139" s="411"/>
      <c r="J139" s="411"/>
      <c r="K139" s="411"/>
      <c r="L139" s="608" t="s">
        <v>4884</v>
      </c>
      <c r="M139" s="409">
        <v>4440.854330708662</v>
      </c>
      <c r="N139" s="409">
        <v>4440.854330708662</v>
      </c>
      <c r="O139" s="410" t="s">
        <v>7573</v>
      </c>
      <c r="P139" s="406">
        <v>136</v>
      </c>
      <c r="Q139" s="470" t="s">
        <v>312</v>
      </c>
      <c r="R139" s="460" t="s">
        <v>313</v>
      </c>
      <c r="S139" s="270" t="s">
        <v>32</v>
      </c>
      <c r="U139" s="471">
        <v>1</v>
      </c>
      <c r="V139" s="471"/>
      <c r="W139" s="471" t="s">
        <v>313</v>
      </c>
      <c r="X139" s="471">
        <v>0</v>
      </c>
    </row>
    <row r="140" spans="1:26">
      <c r="A140" s="406">
        <v>137</v>
      </c>
      <c r="B140" s="613" t="s">
        <v>6039</v>
      </c>
      <c r="C140" s="288" t="s">
        <v>314</v>
      </c>
      <c r="D140" s="414" t="s">
        <v>4518</v>
      </c>
      <c r="E140" s="407" t="s">
        <v>8582</v>
      </c>
      <c r="F140" s="483"/>
      <c r="G140" s="411"/>
      <c r="H140" s="411"/>
      <c r="I140" s="411"/>
      <c r="J140" s="411"/>
      <c r="K140" s="411"/>
      <c r="L140" s="608" t="s">
        <v>4884</v>
      </c>
      <c r="M140" s="409">
        <v>3743.2440944881891</v>
      </c>
      <c r="N140" s="409">
        <v>3743.2440944881891</v>
      </c>
      <c r="O140" s="410" t="s">
        <v>7569</v>
      </c>
      <c r="P140" s="406">
        <v>137</v>
      </c>
      <c r="Q140" s="470" t="s">
        <v>314</v>
      </c>
      <c r="R140" s="460" t="s">
        <v>315</v>
      </c>
      <c r="S140" s="270" t="s">
        <v>32</v>
      </c>
      <c r="U140" s="471">
        <v>1</v>
      </c>
      <c r="V140" s="471"/>
      <c r="W140" s="471" t="s">
        <v>315</v>
      </c>
      <c r="X140" s="471">
        <v>0</v>
      </c>
    </row>
    <row r="141" spans="1:26">
      <c r="A141" s="406">
        <v>138</v>
      </c>
      <c r="B141" s="613" t="s">
        <v>6040</v>
      </c>
      <c r="C141" s="288" t="s">
        <v>316</v>
      </c>
      <c r="D141" s="414" t="s">
        <v>4502</v>
      </c>
      <c r="E141" s="407" t="s">
        <v>8583</v>
      </c>
      <c r="F141" s="483"/>
      <c r="G141" s="411"/>
      <c r="H141" s="411"/>
      <c r="I141" s="411"/>
      <c r="J141" s="411"/>
      <c r="K141" s="411"/>
      <c r="L141" s="608" t="s">
        <v>4884</v>
      </c>
      <c r="M141" s="409">
        <v>4690.9881889763783</v>
      </c>
      <c r="N141" s="409">
        <v>4690.9881889763783</v>
      </c>
      <c r="O141" s="410" t="s">
        <v>7573</v>
      </c>
      <c r="P141" s="406">
        <v>138</v>
      </c>
      <c r="Q141" s="470" t="s">
        <v>316</v>
      </c>
      <c r="R141" s="460" t="s">
        <v>317</v>
      </c>
      <c r="S141" s="270" t="s">
        <v>32</v>
      </c>
      <c r="U141" s="471">
        <v>1</v>
      </c>
      <c r="V141" s="471"/>
      <c r="W141" s="471" t="s">
        <v>317</v>
      </c>
      <c r="X141" s="471">
        <v>0</v>
      </c>
    </row>
    <row r="142" spans="1:26">
      <c r="A142" s="406">
        <v>139</v>
      </c>
      <c r="B142" s="613" t="s">
        <v>5757</v>
      </c>
      <c r="C142" s="288" t="s">
        <v>318</v>
      </c>
      <c r="D142" s="414" t="s">
        <v>4710</v>
      </c>
      <c r="E142" s="407" t="s">
        <v>8527</v>
      </c>
      <c r="F142" s="483" t="s">
        <v>5759</v>
      </c>
      <c r="G142" s="411" t="s">
        <v>5758</v>
      </c>
      <c r="H142" s="411"/>
      <c r="I142" s="411"/>
      <c r="J142" s="411"/>
      <c r="K142" s="411"/>
      <c r="L142" s="608">
        <v>8936.2677165354344</v>
      </c>
      <c r="M142" s="409">
        <v>8960.2244094488196</v>
      </c>
      <c r="N142" s="409">
        <v>17896.492125984252</v>
      </c>
      <c r="O142" s="410" t="s">
        <v>7817</v>
      </c>
      <c r="P142" s="406">
        <v>139</v>
      </c>
      <c r="Q142" s="470" t="s">
        <v>318</v>
      </c>
      <c r="R142" s="460" t="s">
        <v>319</v>
      </c>
      <c r="S142" s="270" t="s">
        <v>32</v>
      </c>
      <c r="U142" s="471">
        <v>0</v>
      </c>
      <c r="V142" s="471"/>
      <c r="W142" s="471" t="s">
        <v>319</v>
      </c>
      <c r="X142" s="471">
        <v>0</v>
      </c>
      <c r="Z142" s="270" t="s">
        <v>246</v>
      </c>
    </row>
    <row r="143" spans="1:26">
      <c r="A143" s="406">
        <v>140</v>
      </c>
      <c r="B143" s="613" t="s">
        <v>5755</v>
      </c>
      <c r="C143" s="288" t="s">
        <v>320</v>
      </c>
      <c r="D143" s="414" t="s">
        <v>4775</v>
      </c>
      <c r="E143" s="407" t="s">
        <v>8529</v>
      </c>
      <c r="F143" s="483" t="s">
        <v>5754</v>
      </c>
      <c r="G143" s="411" t="s">
        <v>5756</v>
      </c>
      <c r="H143" s="411"/>
      <c r="I143" s="411"/>
      <c r="J143" s="411"/>
      <c r="K143" s="411"/>
      <c r="L143" s="608">
        <v>5944.5866141732286</v>
      </c>
      <c r="M143" s="409">
        <v>8976.3937007874028</v>
      </c>
      <c r="N143" s="409">
        <v>14920.98031496063</v>
      </c>
      <c r="O143" s="410" t="s">
        <v>7751</v>
      </c>
      <c r="P143" s="406">
        <v>140</v>
      </c>
      <c r="Q143" s="470" t="s">
        <v>320</v>
      </c>
      <c r="R143" s="460" t="s">
        <v>321</v>
      </c>
      <c r="S143" s="270" t="s">
        <v>32</v>
      </c>
      <c r="U143" s="471">
        <v>0</v>
      </c>
      <c r="V143" s="471"/>
      <c r="W143" s="471" t="s">
        <v>321</v>
      </c>
      <c r="X143" s="471">
        <v>0</v>
      </c>
      <c r="Z143" s="270" t="s">
        <v>246</v>
      </c>
    </row>
    <row r="144" spans="1:26">
      <c r="A144" s="406">
        <v>141</v>
      </c>
      <c r="B144" s="613" t="s">
        <v>5749</v>
      </c>
      <c r="C144" s="288" t="s">
        <v>322</v>
      </c>
      <c r="D144" s="414" t="s">
        <v>4708</v>
      </c>
      <c r="E144" s="407" t="s">
        <v>8530</v>
      </c>
      <c r="F144" s="483" t="s">
        <v>5751</v>
      </c>
      <c r="G144" s="411" t="s">
        <v>5750</v>
      </c>
      <c r="H144" s="411"/>
      <c r="I144" s="411"/>
      <c r="J144" s="411"/>
      <c r="K144" s="411"/>
      <c r="L144" s="608">
        <v>7006.070866141732</v>
      </c>
      <c r="M144" s="409">
        <v>8914.8661417322837</v>
      </c>
      <c r="N144" s="409">
        <v>15920.937007874016</v>
      </c>
      <c r="O144" s="410" t="s">
        <v>7760</v>
      </c>
      <c r="P144" s="406">
        <v>141</v>
      </c>
      <c r="Q144" s="470" t="s">
        <v>322</v>
      </c>
      <c r="R144" s="460" t="s">
        <v>323</v>
      </c>
      <c r="S144" s="270" t="s">
        <v>32</v>
      </c>
      <c r="U144" s="471">
        <v>0</v>
      </c>
      <c r="V144" s="471"/>
      <c r="W144" s="471" t="s">
        <v>323</v>
      </c>
      <c r="X144" s="471">
        <v>0</v>
      </c>
      <c r="Z144" s="270" t="s">
        <v>246</v>
      </c>
    </row>
    <row r="145" spans="1:26">
      <c r="A145" s="406">
        <v>142</v>
      </c>
      <c r="B145" s="613" t="s">
        <v>6041</v>
      </c>
      <c r="C145" s="288" t="s">
        <v>324</v>
      </c>
      <c r="D145" s="414" t="s">
        <v>4575</v>
      </c>
      <c r="E145" s="407" t="s">
        <v>8584</v>
      </c>
      <c r="F145" s="483"/>
      <c r="G145" s="411"/>
      <c r="H145" s="411"/>
      <c r="I145" s="411"/>
      <c r="J145" s="411"/>
      <c r="K145" s="411"/>
      <c r="L145" s="608" t="s">
        <v>4884</v>
      </c>
      <c r="M145" s="409">
        <v>4627.0393700787399</v>
      </c>
      <c r="N145" s="409">
        <v>4627.0393700787399</v>
      </c>
      <c r="O145" s="410" t="s">
        <v>7574</v>
      </c>
      <c r="P145" s="406">
        <v>142</v>
      </c>
      <c r="Q145" s="470" t="s">
        <v>324</v>
      </c>
      <c r="R145" s="460" t="s">
        <v>325</v>
      </c>
      <c r="S145" s="270" t="s">
        <v>32</v>
      </c>
      <c r="U145" s="471">
        <v>1</v>
      </c>
      <c r="V145" s="471"/>
      <c r="W145" s="471" t="s">
        <v>325</v>
      </c>
      <c r="X145" s="471">
        <v>0</v>
      </c>
    </row>
    <row r="146" spans="1:26">
      <c r="A146" s="406">
        <v>143</v>
      </c>
      <c r="B146" s="613" t="s">
        <v>6685</v>
      </c>
      <c r="C146" s="288" t="s">
        <v>326</v>
      </c>
      <c r="D146" s="414" t="s">
        <v>4625</v>
      </c>
      <c r="E146" s="407" t="s">
        <v>8507</v>
      </c>
      <c r="F146" s="483" t="s">
        <v>5793</v>
      </c>
      <c r="G146" s="411" t="s">
        <v>5794</v>
      </c>
      <c r="H146" s="411"/>
      <c r="I146" s="411"/>
      <c r="J146" s="411"/>
      <c r="K146" s="411"/>
      <c r="L146" s="608">
        <v>7951.8070866141734</v>
      </c>
      <c r="M146" s="409">
        <v>6470.3228346456699</v>
      </c>
      <c r="N146" s="409">
        <v>14422.129921259842</v>
      </c>
      <c r="O146" s="410" t="s">
        <v>7775</v>
      </c>
      <c r="P146" s="406">
        <v>143</v>
      </c>
      <c r="Q146" s="470" t="s">
        <v>326</v>
      </c>
      <c r="R146" s="460" t="s">
        <v>327</v>
      </c>
      <c r="S146" s="270" t="s">
        <v>32</v>
      </c>
      <c r="U146" s="471">
        <v>0</v>
      </c>
      <c r="V146" s="471"/>
      <c r="W146" s="471" t="s">
        <v>327</v>
      </c>
      <c r="X146" s="471">
        <v>0</v>
      </c>
      <c r="Z146" s="270" t="s">
        <v>246</v>
      </c>
    </row>
    <row r="147" spans="1:26">
      <c r="A147" s="406">
        <v>144</v>
      </c>
      <c r="B147" s="613" t="s">
        <v>6686</v>
      </c>
      <c r="C147" s="288" t="s">
        <v>328</v>
      </c>
      <c r="D147" s="414" t="s">
        <v>4627</v>
      </c>
      <c r="E147" s="407" t="s">
        <v>8508</v>
      </c>
      <c r="F147" s="483" t="s">
        <v>5790</v>
      </c>
      <c r="G147" s="411" t="s">
        <v>5789</v>
      </c>
      <c r="H147" s="411"/>
      <c r="I147" s="411"/>
      <c r="J147" s="411"/>
      <c r="K147" s="411"/>
      <c r="L147" s="608">
        <v>7951.6496062992128</v>
      </c>
      <c r="M147" s="409">
        <v>6682.6220472440946</v>
      </c>
      <c r="N147" s="409">
        <v>14634.271653543308</v>
      </c>
      <c r="O147" s="410" t="s">
        <v>7815</v>
      </c>
      <c r="P147" s="406">
        <v>144</v>
      </c>
      <c r="Q147" s="470" t="s">
        <v>328</v>
      </c>
      <c r="R147" s="460" t="s">
        <v>329</v>
      </c>
      <c r="S147" s="270" t="s">
        <v>32</v>
      </c>
      <c r="U147" s="471">
        <v>0</v>
      </c>
      <c r="V147" s="471"/>
      <c r="W147" s="471" t="s">
        <v>329</v>
      </c>
      <c r="X147" s="471">
        <v>0</v>
      </c>
      <c r="Z147" s="270" t="s">
        <v>246</v>
      </c>
    </row>
    <row r="148" spans="1:26">
      <c r="A148" s="406">
        <v>145</v>
      </c>
      <c r="B148" s="613" t="s">
        <v>5787</v>
      </c>
      <c r="C148" s="288" t="s">
        <v>330</v>
      </c>
      <c r="D148" s="414" t="s">
        <v>4701</v>
      </c>
      <c r="E148" s="407" t="s">
        <v>8509</v>
      </c>
      <c r="F148" s="483" t="s">
        <v>5786</v>
      </c>
      <c r="G148" s="411" t="s">
        <v>5788</v>
      </c>
      <c r="H148" s="411"/>
      <c r="I148" s="411"/>
      <c r="J148" s="411"/>
      <c r="K148" s="411"/>
      <c r="L148" s="608">
        <v>8030.4448818897636</v>
      </c>
      <c r="M148" s="409">
        <v>6630.0590551181112</v>
      </c>
      <c r="N148" s="409">
        <v>14660.503937007874</v>
      </c>
      <c r="O148" s="410" t="s">
        <v>7818</v>
      </c>
      <c r="P148" s="406">
        <v>145</v>
      </c>
      <c r="Q148" s="470" t="s">
        <v>330</v>
      </c>
      <c r="R148" s="460" t="s">
        <v>331</v>
      </c>
      <c r="S148" s="270" t="s">
        <v>32</v>
      </c>
      <c r="U148" s="471">
        <v>0</v>
      </c>
      <c r="V148" s="471"/>
      <c r="W148" s="471" t="s">
        <v>331</v>
      </c>
      <c r="X148" s="471">
        <v>0</v>
      </c>
      <c r="Z148" s="270" t="s">
        <v>246</v>
      </c>
    </row>
    <row r="149" spans="1:26">
      <c r="A149" s="406">
        <v>146</v>
      </c>
      <c r="B149" s="613" t="s">
        <v>5781</v>
      </c>
      <c r="C149" s="288" t="s">
        <v>332</v>
      </c>
      <c r="D149" s="414" t="s">
        <v>4705</v>
      </c>
      <c r="E149" s="407" t="s">
        <v>8510</v>
      </c>
      <c r="F149" s="483" t="s">
        <v>5783</v>
      </c>
      <c r="G149" s="411" t="s">
        <v>5782</v>
      </c>
      <c r="H149" s="411"/>
      <c r="I149" s="411"/>
      <c r="J149" s="411"/>
      <c r="K149" s="411"/>
      <c r="L149" s="608">
        <v>8031.0078740157478</v>
      </c>
      <c r="M149" s="409">
        <v>6740.8070866141734</v>
      </c>
      <c r="N149" s="409">
        <v>14771.814960629921</v>
      </c>
      <c r="O149" s="410" t="s">
        <v>7803</v>
      </c>
      <c r="P149" s="406">
        <v>146</v>
      </c>
      <c r="Q149" s="470" t="s">
        <v>332</v>
      </c>
      <c r="R149" s="460" t="s">
        <v>333</v>
      </c>
      <c r="S149" s="270" t="s">
        <v>32</v>
      </c>
      <c r="U149" s="471">
        <v>0</v>
      </c>
      <c r="V149" s="471"/>
      <c r="W149" s="471" t="s">
        <v>333</v>
      </c>
      <c r="X149" s="471">
        <v>0</v>
      </c>
      <c r="Z149" s="270" t="s">
        <v>246</v>
      </c>
    </row>
    <row r="150" spans="1:26">
      <c r="A150" s="406">
        <v>147</v>
      </c>
      <c r="B150" s="613" t="s">
        <v>5779</v>
      </c>
      <c r="C150" s="288" t="s">
        <v>334</v>
      </c>
      <c r="D150" s="414" t="s">
        <v>4707</v>
      </c>
      <c r="E150" s="407" t="s">
        <v>8522</v>
      </c>
      <c r="F150" s="483" t="s">
        <v>5778</v>
      </c>
      <c r="G150" s="411" t="s">
        <v>5780</v>
      </c>
      <c r="H150" s="411"/>
      <c r="I150" s="411"/>
      <c r="J150" s="411"/>
      <c r="K150" s="411"/>
      <c r="L150" s="608">
        <v>6298.6456692913389</v>
      </c>
      <c r="M150" s="409">
        <v>10010.661417322835</v>
      </c>
      <c r="N150" s="409">
        <v>16309.307086614173</v>
      </c>
      <c r="O150" s="410" t="s">
        <v>7773</v>
      </c>
      <c r="P150" s="406">
        <v>147</v>
      </c>
      <c r="Q150" s="470" t="s">
        <v>334</v>
      </c>
      <c r="R150" s="460" t="s">
        <v>335</v>
      </c>
      <c r="S150" s="270" t="s">
        <v>32</v>
      </c>
      <c r="U150" s="471">
        <v>0</v>
      </c>
      <c r="V150" s="471"/>
      <c r="W150" s="471" t="s">
        <v>335</v>
      </c>
      <c r="X150" s="471">
        <v>0</v>
      </c>
      <c r="Z150" s="270" t="s">
        <v>246</v>
      </c>
    </row>
    <row r="151" spans="1:26">
      <c r="A151" s="406">
        <v>148</v>
      </c>
      <c r="B151" s="613" t="s">
        <v>5773</v>
      </c>
      <c r="C151" s="288" t="s">
        <v>336</v>
      </c>
      <c r="D151" s="414" t="s">
        <v>4752</v>
      </c>
      <c r="E151" s="407" t="s">
        <v>8523</v>
      </c>
      <c r="F151" s="483" t="s">
        <v>5775</v>
      </c>
      <c r="G151" s="411" t="s">
        <v>5774</v>
      </c>
      <c r="H151" s="411"/>
      <c r="I151" s="411"/>
      <c r="J151" s="411"/>
      <c r="K151" s="411"/>
      <c r="L151" s="608">
        <v>6297.7165354330709</v>
      </c>
      <c r="M151" s="409">
        <v>10723.303149606299</v>
      </c>
      <c r="N151" s="409">
        <v>17021.01968503937</v>
      </c>
      <c r="O151" s="410" t="s">
        <v>7820</v>
      </c>
      <c r="P151" s="406">
        <v>148</v>
      </c>
      <c r="Q151" s="470" t="s">
        <v>336</v>
      </c>
      <c r="R151" s="460" t="s">
        <v>337</v>
      </c>
      <c r="S151" s="270" t="s">
        <v>32</v>
      </c>
      <c r="U151" s="471">
        <v>0</v>
      </c>
      <c r="V151" s="471"/>
      <c r="W151" s="471" t="s">
        <v>337</v>
      </c>
      <c r="X151" s="471">
        <v>0</v>
      </c>
      <c r="Z151" s="270" t="s">
        <v>246</v>
      </c>
    </row>
    <row r="152" spans="1:26">
      <c r="A152" s="406">
        <v>149</v>
      </c>
      <c r="B152" s="613" t="s">
        <v>5771</v>
      </c>
      <c r="C152" s="288" t="s">
        <v>338</v>
      </c>
      <c r="D152" s="414" t="s">
        <v>4773</v>
      </c>
      <c r="E152" s="407" t="s">
        <v>8524</v>
      </c>
      <c r="F152" s="483" t="s">
        <v>5770</v>
      </c>
      <c r="G152" s="411" t="s">
        <v>5772</v>
      </c>
      <c r="H152" s="411"/>
      <c r="I152" s="411"/>
      <c r="J152" s="411"/>
      <c r="K152" s="411"/>
      <c r="L152" s="608">
        <v>6770.2637795275587</v>
      </c>
      <c r="M152" s="409">
        <v>9118.7165354330718</v>
      </c>
      <c r="N152" s="409">
        <v>15888.98031496063</v>
      </c>
      <c r="O152" s="410" t="s">
        <v>7821</v>
      </c>
      <c r="P152" s="406">
        <v>149</v>
      </c>
      <c r="Q152" s="470" t="s">
        <v>338</v>
      </c>
      <c r="R152" s="460" t="s">
        <v>339</v>
      </c>
      <c r="S152" s="270" t="s">
        <v>32</v>
      </c>
      <c r="U152" s="471">
        <v>0</v>
      </c>
      <c r="V152" s="471"/>
      <c r="W152" s="471" t="s">
        <v>339</v>
      </c>
      <c r="X152" s="471">
        <v>0</v>
      </c>
      <c r="Z152" s="270" t="s">
        <v>246</v>
      </c>
    </row>
    <row r="153" spans="1:26">
      <c r="A153" s="406">
        <v>150</v>
      </c>
      <c r="B153" s="613" t="s">
        <v>5765</v>
      </c>
      <c r="C153" s="288" t="s">
        <v>340</v>
      </c>
      <c r="D153" s="414" t="s">
        <v>4774</v>
      </c>
      <c r="E153" s="407" t="s">
        <v>8525</v>
      </c>
      <c r="F153" s="483" t="s">
        <v>5767</v>
      </c>
      <c r="G153" s="411" t="s">
        <v>5766</v>
      </c>
      <c r="H153" s="411"/>
      <c r="I153" s="411"/>
      <c r="J153" s="411"/>
      <c r="K153" s="411"/>
      <c r="L153" s="608">
        <v>5944.035433070866</v>
      </c>
      <c r="M153" s="409">
        <v>9174.5236220472452</v>
      </c>
      <c r="N153" s="409">
        <v>15118.55905511811</v>
      </c>
      <c r="O153" s="410" t="s">
        <v>7821</v>
      </c>
      <c r="P153" s="406">
        <v>150</v>
      </c>
      <c r="Q153" s="470" t="s">
        <v>340</v>
      </c>
      <c r="R153" s="460" t="s">
        <v>341</v>
      </c>
      <c r="S153" s="270" t="s">
        <v>32</v>
      </c>
      <c r="U153" s="471">
        <v>0</v>
      </c>
      <c r="V153" s="471"/>
      <c r="W153" s="471" t="s">
        <v>341</v>
      </c>
      <c r="X153" s="471">
        <v>0</v>
      </c>
      <c r="Z153" s="270" t="s">
        <v>246</v>
      </c>
    </row>
    <row r="154" spans="1:26">
      <c r="A154" s="406">
        <v>151</v>
      </c>
      <c r="B154" s="613" t="s">
        <v>6042</v>
      </c>
      <c r="C154" s="288" t="s">
        <v>342</v>
      </c>
      <c r="D154" s="414" t="s">
        <v>4569</v>
      </c>
      <c r="E154" s="407" t="s">
        <v>8585</v>
      </c>
      <c r="F154" s="483"/>
      <c r="G154" s="411"/>
      <c r="H154" s="411"/>
      <c r="I154" s="411"/>
      <c r="J154" s="411"/>
      <c r="K154" s="411"/>
      <c r="L154" s="608" t="s">
        <v>4884</v>
      </c>
      <c r="M154" s="409">
        <v>4147.535433070866</v>
      </c>
      <c r="N154" s="409">
        <v>4147.535433070866</v>
      </c>
      <c r="O154" s="410" t="s">
        <v>7574</v>
      </c>
      <c r="P154" s="406">
        <v>151</v>
      </c>
      <c r="Q154" s="470" t="s">
        <v>342</v>
      </c>
      <c r="R154" s="460" t="s">
        <v>343</v>
      </c>
      <c r="S154" s="270" t="s">
        <v>32</v>
      </c>
      <c r="U154" s="471">
        <v>1</v>
      </c>
      <c r="V154" s="471"/>
      <c r="W154" s="471" t="s">
        <v>343</v>
      </c>
      <c r="X154" s="471">
        <v>0</v>
      </c>
    </row>
    <row r="155" spans="1:26">
      <c r="A155" s="406">
        <v>152</v>
      </c>
      <c r="B155" s="613" t="s">
        <v>6043</v>
      </c>
      <c r="C155" s="288" t="s">
        <v>344</v>
      </c>
      <c r="D155" s="414" t="s">
        <v>4570</v>
      </c>
      <c r="E155" s="407" t="s">
        <v>8586</v>
      </c>
      <c r="F155" s="483"/>
      <c r="G155" s="411"/>
      <c r="H155" s="411"/>
      <c r="I155" s="411"/>
      <c r="J155" s="411"/>
      <c r="K155" s="411"/>
      <c r="L155" s="608" t="s">
        <v>4884</v>
      </c>
      <c r="M155" s="409">
        <v>5002.5905511811025</v>
      </c>
      <c r="N155" s="409">
        <v>5002.5905511811025</v>
      </c>
      <c r="O155" s="410" t="s">
        <v>7576</v>
      </c>
      <c r="P155" s="406">
        <v>152</v>
      </c>
      <c r="Q155" s="470" t="s">
        <v>344</v>
      </c>
      <c r="R155" s="460" t="s">
        <v>345</v>
      </c>
      <c r="S155" s="270" t="s">
        <v>32</v>
      </c>
      <c r="U155" s="471">
        <v>1</v>
      </c>
      <c r="V155" s="471"/>
      <c r="W155" s="471" t="s">
        <v>345</v>
      </c>
      <c r="X155" s="471">
        <v>0</v>
      </c>
    </row>
    <row r="156" spans="1:26">
      <c r="A156" s="406">
        <v>153</v>
      </c>
      <c r="B156" s="613" t="s">
        <v>5747</v>
      </c>
      <c r="C156" s="288" t="s">
        <v>346</v>
      </c>
      <c r="D156" s="414" t="s">
        <v>4749</v>
      </c>
      <c r="E156" s="407" t="s">
        <v>8531</v>
      </c>
      <c r="F156" s="483" t="s">
        <v>5746</v>
      </c>
      <c r="G156" s="411" t="s">
        <v>5748</v>
      </c>
      <c r="H156" s="411"/>
      <c r="I156" s="411"/>
      <c r="J156" s="411"/>
      <c r="K156" s="411"/>
      <c r="L156" s="608">
        <v>8935.8503937007881</v>
      </c>
      <c r="M156" s="409">
        <v>9180.531496062993</v>
      </c>
      <c r="N156" s="409">
        <v>18116.381889763779</v>
      </c>
      <c r="O156" s="410" t="s">
        <v>7819</v>
      </c>
      <c r="P156" s="406">
        <v>153</v>
      </c>
      <c r="Q156" s="470" t="s">
        <v>346</v>
      </c>
      <c r="R156" s="460" t="s">
        <v>347</v>
      </c>
      <c r="S156" s="270" t="s">
        <v>32</v>
      </c>
      <c r="U156" s="471">
        <v>0</v>
      </c>
      <c r="V156" s="471"/>
      <c r="W156" s="471" t="s">
        <v>347</v>
      </c>
      <c r="X156" s="471">
        <v>0</v>
      </c>
      <c r="Z156" s="270" t="s">
        <v>246</v>
      </c>
    </row>
    <row r="157" spans="1:26">
      <c r="A157" s="406">
        <v>154</v>
      </c>
      <c r="B157" s="613" t="s">
        <v>5741</v>
      </c>
      <c r="C157" s="288" t="s">
        <v>348</v>
      </c>
      <c r="D157" s="414" t="s">
        <v>4777</v>
      </c>
      <c r="E157" s="407" t="s">
        <v>8528</v>
      </c>
      <c r="F157" s="483" t="s">
        <v>5743</v>
      </c>
      <c r="G157" s="411" t="s">
        <v>5742</v>
      </c>
      <c r="H157" s="411"/>
      <c r="I157" s="411"/>
      <c r="J157" s="411"/>
      <c r="K157" s="411"/>
      <c r="L157" s="608">
        <v>6770.2716535433074</v>
      </c>
      <c r="M157" s="409">
        <v>9088.6653543307093</v>
      </c>
      <c r="N157" s="409">
        <v>15858.937007874018</v>
      </c>
      <c r="O157" s="410" t="s">
        <v>7775</v>
      </c>
      <c r="P157" s="406">
        <v>154</v>
      </c>
      <c r="Q157" s="470" t="s">
        <v>348</v>
      </c>
      <c r="R157" s="460" t="s">
        <v>349</v>
      </c>
      <c r="S157" s="270" t="s">
        <v>32</v>
      </c>
      <c r="U157" s="471">
        <v>0</v>
      </c>
      <c r="V157" s="471"/>
      <c r="W157" s="471" t="s">
        <v>349</v>
      </c>
      <c r="X157" s="471">
        <v>0</v>
      </c>
      <c r="Z157" s="270" t="s">
        <v>246</v>
      </c>
    </row>
    <row r="158" spans="1:26">
      <c r="A158" s="406">
        <v>155</v>
      </c>
      <c r="B158" s="613" t="s">
        <v>5739</v>
      </c>
      <c r="C158" s="288" t="s">
        <v>350</v>
      </c>
      <c r="D158" s="414" t="s">
        <v>4722</v>
      </c>
      <c r="E158" s="407" t="s">
        <v>8565</v>
      </c>
      <c r="F158" s="483" t="s">
        <v>5738</v>
      </c>
      <c r="G158" s="411" t="s">
        <v>5740</v>
      </c>
      <c r="H158" s="411"/>
      <c r="I158" s="411"/>
      <c r="J158" s="411"/>
      <c r="K158" s="411"/>
      <c r="L158" s="608">
        <v>10365.633858267718</v>
      </c>
      <c r="M158" s="409">
        <v>7226.4212598425192</v>
      </c>
      <c r="N158" s="409">
        <v>17592.055118110238</v>
      </c>
      <c r="O158" s="410" t="s">
        <v>7822</v>
      </c>
      <c r="P158" s="406">
        <v>155</v>
      </c>
      <c r="Q158" s="470" t="s">
        <v>350</v>
      </c>
      <c r="R158" s="460" t="s">
        <v>351</v>
      </c>
      <c r="S158" s="270" t="s">
        <v>32</v>
      </c>
      <c r="U158" s="471">
        <v>0</v>
      </c>
      <c r="V158" s="471"/>
      <c r="W158" s="471" t="s">
        <v>351</v>
      </c>
      <c r="X158" s="471">
        <v>0</v>
      </c>
      <c r="Z158" s="270" t="s">
        <v>246</v>
      </c>
    </row>
    <row r="159" spans="1:26">
      <c r="A159" s="406">
        <v>156</v>
      </c>
      <c r="B159" s="613" t="s">
        <v>6687</v>
      </c>
      <c r="C159" s="288" t="s">
        <v>352</v>
      </c>
      <c r="D159" s="414" t="s">
        <v>4671</v>
      </c>
      <c r="E159" s="407" t="s">
        <v>8566</v>
      </c>
      <c r="F159" s="483" t="s">
        <v>5736</v>
      </c>
      <c r="G159" s="411" t="s">
        <v>5735</v>
      </c>
      <c r="H159" s="411"/>
      <c r="I159" s="411"/>
      <c r="J159" s="411"/>
      <c r="K159" s="411"/>
      <c r="L159" s="608">
        <v>9734.9133858267724</v>
      </c>
      <c r="M159" s="409">
        <v>7192.1417322834641</v>
      </c>
      <c r="N159" s="409">
        <v>16927.055118110235</v>
      </c>
      <c r="O159" s="410" t="s">
        <v>7823</v>
      </c>
      <c r="P159" s="406">
        <v>156</v>
      </c>
      <c r="Q159" s="470" t="s">
        <v>352</v>
      </c>
      <c r="R159" s="460" t="s">
        <v>353</v>
      </c>
      <c r="S159" s="270" t="s">
        <v>32</v>
      </c>
      <c r="U159" s="471">
        <v>0</v>
      </c>
      <c r="V159" s="471"/>
      <c r="W159" s="471" t="s">
        <v>353</v>
      </c>
      <c r="X159" s="471">
        <v>0</v>
      </c>
      <c r="Z159" s="270" t="s">
        <v>246</v>
      </c>
    </row>
    <row r="160" spans="1:26">
      <c r="A160" s="406">
        <v>157</v>
      </c>
      <c r="B160" s="613" t="s">
        <v>5733</v>
      </c>
      <c r="C160" s="288" t="s">
        <v>354</v>
      </c>
      <c r="D160" s="414" t="s">
        <v>4704</v>
      </c>
      <c r="E160" s="407" t="s">
        <v>8567</v>
      </c>
      <c r="F160" s="483" t="s">
        <v>5732</v>
      </c>
      <c r="G160" s="411" t="s">
        <v>5734</v>
      </c>
      <c r="H160" s="411"/>
      <c r="I160" s="411"/>
      <c r="J160" s="411"/>
      <c r="K160" s="411"/>
      <c r="L160" s="608">
        <v>9301.7952755905517</v>
      </c>
      <c r="M160" s="409">
        <v>5915.0748031496059</v>
      </c>
      <c r="N160" s="409">
        <v>15216.870078740159</v>
      </c>
      <c r="O160" s="410" t="s">
        <v>7778</v>
      </c>
      <c r="P160" s="406">
        <v>157</v>
      </c>
      <c r="Q160" s="470" t="s">
        <v>354</v>
      </c>
      <c r="R160" s="460" t="s">
        <v>355</v>
      </c>
      <c r="S160" s="270" t="s">
        <v>32</v>
      </c>
      <c r="U160" s="471">
        <v>0</v>
      </c>
      <c r="V160" s="471"/>
      <c r="W160" s="471" t="s">
        <v>355</v>
      </c>
      <c r="X160" s="471">
        <v>0</v>
      </c>
      <c r="Z160" s="270" t="s">
        <v>246</v>
      </c>
    </row>
    <row r="161" spans="1:26">
      <c r="A161" s="406">
        <v>158</v>
      </c>
      <c r="B161" s="613" t="s">
        <v>5727</v>
      </c>
      <c r="C161" s="288" t="s">
        <v>356</v>
      </c>
      <c r="D161" s="414" t="s">
        <v>4706</v>
      </c>
      <c r="E161" s="407" t="s">
        <v>8568</v>
      </c>
      <c r="F161" s="483" t="s">
        <v>5729</v>
      </c>
      <c r="G161" s="411" t="s">
        <v>5728</v>
      </c>
      <c r="H161" s="411"/>
      <c r="I161" s="411"/>
      <c r="J161" s="411"/>
      <c r="K161" s="411"/>
      <c r="L161" s="608">
        <v>9263.6653543307093</v>
      </c>
      <c r="M161" s="409">
        <v>6050.9015748031497</v>
      </c>
      <c r="N161" s="409">
        <v>15314.56692913386</v>
      </c>
      <c r="O161" s="410" t="s">
        <v>7778</v>
      </c>
      <c r="P161" s="406">
        <v>158</v>
      </c>
      <c r="Q161" s="470" t="s">
        <v>356</v>
      </c>
      <c r="R161" s="460" t="s">
        <v>357</v>
      </c>
      <c r="S161" s="270" t="s">
        <v>32</v>
      </c>
      <c r="U161" s="471">
        <v>0</v>
      </c>
      <c r="V161" s="471"/>
      <c r="W161" s="471" t="s">
        <v>357</v>
      </c>
      <c r="X161" s="471">
        <v>0</v>
      </c>
      <c r="Z161" s="270" t="s">
        <v>246</v>
      </c>
    </row>
    <row r="162" spans="1:26">
      <c r="A162" s="406">
        <v>159</v>
      </c>
      <c r="B162" s="613" t="s">
        <v>5725</v>
      </c>
      <c r="C162" s="288" t="s">
        <v>358</v>
      </c>
      <c r="D162" s="414" t="s">
        <v>4663</v>
      </c>
      <c r="E162" s="407" t="s">
        <v>8569</v>
      </c>
      <c r="F162" s="483" t="s">
        <v>5724</v>
      </c>
      <c r="G162" s="411" t="s">
        <v>5726</v>
      </c>
      <c r="H162" s="411"/>
      <c r="I162" s="411"/>
      <c r="J162" s="411"/>
      <c r="K162" s="411"/>
      <c r="L162" s="608">
        <v>6531.7913385826778</v>
      </c>
      <c r="M162" s="409">
        <v>6726.6850393700788</v>
      </c>
      <c r="N162" s="409">
        <v>13258.476377952757</v>
      </c>
      <c r="O162" s="410" t="s">
        <v>7787</v>
      </c>
      <c r="P162" s="406">
        <v>159</v>
      </c>
      <c r="Q162" s="470" t="s">
        <v>358</v>
      </c>
      <c r="R162" s="460" t="s">
        <v>359</v>
      </c>
      <c r="S162" s="270" t="s">
        <v>32</v>
      </c>
      <c r="U162" s="471">
        <v>0</v>
      </c>
      <c r="V162" s="471"/>
      <c r="W162" s="471" t="s">
        <v>359</v>
      </c>
      <c r="X162" s="471">
        <v>0</v>
      </c>
      <c r="Z162" s="270" t="s">
        <v>246</v>
      </c>
    </row>
    <row r="163" spans="1:26">
      <c r="A163" s="406">
        <v>160</v>
      </c>
      <c r="B163" s="613" t="s">
        <v>5719</v>
      </c>
      <c r="C163" s="288" t="s">
        <v>360</v>
      </c>
      <c r="D163" s="414" t="s">
        <v>4664</v>
      </c>
      <c r="E163" s="407" t="s">
        <v>8570</v>
      </c>
      <c r="F163" s="483" t="s">
        <v>5721</v>
      </c>
      <c r="G163" s="411" t="s">
        <v>5720</v>
      </c>
      <c r="H163" s="411"/>
      <c r="I163" s="411"/>
      <c r="J163" s="411"/>
      <c r="K163" s="411"/>
      <c r="L163" s="608">
        <v>6382.5590551181103</v>
      </c>
      <c r="M163" s="409">
        <v>6688.4685039370079</v>
      </c>
      <c r="N163" s="409">
        <v>13071.027559055119</v>
      </c>
      <c r="O163" s="410" t="s">
        <v>7787</v>
      </c>
      <c r="P163" s="406">
        <v>160</v>
      </c>
      <c r="Q163" s="470" t="s">
        <v>360</v>
      </c>
      <c r="R163" s="460" t="s">
        <v>361</v>
      </c>
      <c r="S163" s="270" t="s">
        <v>32</v>
      </c>
      <c r="U163" s="471">
        <v>0</v>
      </c>
      <c r="V163" s="471"/>
      <c r="W163" s="471" t="s">
        <v>361</v>
      </c>
      <c r="X163" s="471">
        <v>0</v>
      </c>
      <c r="Z163" s="270" t="s">
        <v>246</v>
      </c>
    </row>
    <row r="164" spans="1:26">
      <c r="A164" s="406">
        <v>161</v>
      </c>
      <c r="B164" s="613" t="s">
        <v>5717</v>
      </c>
      <c r="C164" s="288" t="s">
        <v>362</v>
      </c>
      <c r="D164" s="414" t="s">
        <v>4626</v>
      </c>
      <c r="E164" s="407" t="s">
        <v>8571</v>
      </c>
      <c r="F164" s="483" t="s">
        <v>5716</v>
      </c>
      <c r="G164" s="411" t="s">
        <v>5718</v>
      </c>
      <c r="H164" s="411"/>
      <c r="I164" s="411"/>
      <c r="J164" s="411"/>
      <c r="K164" s="411"/>
      <c r="L164" s="608">
        <v>7638.8661417322837</v>
      </c>
      <c r="M164" s="409">
        <v>6837.0866141732286</v>
      </c>
      <c r="N164" s="409">
        <v>14475.952755905513</v>
      </c>
      <c r="O164" s="410" t="s">
        <v>7787</v>
      </c>
      <c r="P164" s="406">
        <v>161</v>
      </c>
      <c r="Q164" s="470" t="s">
        <v>362</v>
      </c>
      <c r="R164" s="460" t="s">
        <v>363</v>
      </c>
      <c r="S164" s="270" t="s">
        <v>32</v>
      </c>
      <c r="U164" s="471">
        <v>0</v>
      </c>
      <c r="V164" s="471"/>
      <c r="W164" s="471" t="s">
        <v>363</v>
      </c>
      <c r="X164" s="471">
        <v>0</v>
      </c>
      <c r="Z164" s="270" t="s">
        <v>246</v>
      </c>
    </row>
    <row r="165" spans="1:26">
      <c r="A165" s="406">
        <v>162</v>
      </c>
      <c r="B165" s="613" t="s">
        <v>5711</v>
      </c>
      <c r="C165" s="288" t="s">
        <v>364</v>
      </c>
      <c r="D165" s="414" t="s">
        <v>4703</v>
      </c>
      <c r="E165" s="407" t="s">
        <v>8572</v>
      </c>
      <c r="F165" s="483" t="s">
        <v>5713</v>
      </c>
      <c r="G165" s="411" t="s">
        <v>5712</v>
      </c>
      <c r="H165" s="411"/>
      <c r="I165" s="411"/>
      <c r="J165" s="411"/>
      <c r="K165" s="411"/>
      <c r="L165" s="608">
        <v>9735.6929133858266</v>
      </c>
      <c r="M165" s="409">
        <v>7140.4015748031497</v>
      </c>
      <c r="N165" s="409">
        <v>16876.094488188974</v>
      </c>
      <c r="O165" s="410" t="s">
        <v>7767</v>
      </c>
      <c r="P165" s="406">
        <v>162</v>
      </c>
      <c r="Q165" s="470" t="s">
        <v>364</v>
      </c>
      <c r="R165" s="460" t="s">
        <v>365</v>
      </c>
      <c r="S165" s="270" t="s">
        <v>32</v>
      </c>
      <c r="U165" s="471">
        <v>0</v>
      </c>
      <c r="V165" s="471"/>
      <c r="W165" s="471" t="s">
        <v>365</v>
      </c>
      <c r="X165" s="471">
        <v>0</v>
      </c>
      <c r="Z165" s="270" t="s">
        <v>246</v>
      </c>
    </row>
    <row r="166" spans="1:26">
      <c r="A166" s="406">
        <v>163</v>
      </c>
      <c r="B166" s="613" t="s">
        <v>5681</v>
      </c>
      <c r="C166" s="288" t="s">
        <v>366</v>
      </c>
      <c r="D166" s="414" t="s">
        <v>4872</v>
      </c>
      <c r="E166" s="407" t="s">
        <v>8573</v>
      </c>
      <c r="F166" s="483" t="s">
        <v>5680</v>
      </c>
      <c r="G166" s="411" t="s">
        <v>5682</v>
      </c>
      <c r="H166" s="411"/>
      <c r="I166" s="411"/>
      <c r="J166" s="411"/>
      <c r="K166" s="411"/>
      <c r="L166" s="608">
        <v>13579.716535433072</v>
      </c>
      <c r="M166" s="409">
        <v>5027.3700787401576</v>
      </c>
      <c r="N166" s="409">
        <v>18607.086614173229</v>
      </c>
      <c r="O166" s="410" t="s">
        <v>7754</v>
      </c>
      <c r="P166" s="406">
        <v>163</v>
      </c>
      <c r="Q166" s="470" t="s">
        <v>366</v>
      </c>
      <c r="R166" s="460" t="s">
        <v>367</v>
      </c>
      <c r="S166" s="270" t="s">
        <v>32</v>
      </c>
      <c r="U166" s="471">
        <v>0</v>
      </c>
      <c r="V166" s="471"/>
      <c r="W166" s="471" t="s">
        <v>367</v>
      </c>
      <c r="X166" s="471">
        <v>0</v>
      </c>
      <c r="Z166" s="270" t="s">
        <v>246</v>
      </c>
    </row>
    <row r="167" spans="1:26">
      <c r="A167" s="406">
        <v>164</v>
      </c>
      <c r="B167" s="613" t="s">
        <v>5677</v>
      </c>
      <c r="C167" s="288" t="s">
        <v>368</v>
      </c>
      <c r="D167" s="414" t="s">
        <v>4871</v>
      </c>
      <c r="E167" s="407" t="s">
        <v>8574</v>
      </c>
      <c r="F167" s="483" t="s">
        <v>5679</v>
      </c>
      <c r="G167" s="411" t="s">
        <v>5678</v>
      </c>
      <c r="H167" s="411"/>
      <c r="I167" s="411"/>
      <c r="J167" s="411"/>
      <c r="K167" s="411"/>
      <c r="L167" s="608">
        <v>13578.251968503939</v>
      </c>
      <c r="M167" s="409">
        <v>5756.7007874015753</v>
      </c>
      <c r="N167" s="409">
        <v>19334.952755905513</v>
      </c>
      <c r="O167" s="410" t="s">
        <v>7754</v>
      </c>
      <c r="P167" s="406">
        <v>164</v>
      </c>
      <c r="Q167" s="470" t="s">
        <v>368</v>
      </c>
      <c r="R167" s="460" t="s">
        <v>369</v>
      </c>
      <c r="S167" s="270" t="s">
        <v>32</v>
      </c>
      <c r="U167" s="471">
        <v>0</v>
      </c>
      <c r="V167" s="471"/>
      <c r="W167" s="471" t="s">
        <v>369</v>
      </c>
      <c r="X167" s="471">
        <v>0</v>
      </c>
      <c r="Z167" s="270" t="s">
        <v>246</v>
      </c>
    </row>
    <row r="168" spans="1:26">
      <c r="A168" s="406">
        <v>165</v>
      </c>
      <c r="B168" s="613" t="s">
        <v>5675</v>
      </c>
      <c r="C168" s="288" t="s">
        <v>370</v>
      </c>
      <c r="D168" s="414" t="s">
        <v>4877</v>
      </c>
      <c r="E168" s="407" t="s">
        <v>8575</v>
      </c>
      <c r="F168" s="483" t="s">
        <v>5674</v>
      </c>
      <c r="G168" s="411" t="s">
        <v>5676</v>
      </c>
      <c r="H168" s="411"/>
      <c r="I168" s="411"/>
      <c r="J168" s="411"/>
      <c r="K168" s="411"/>
      <c r="L168" s="608">
        <v>13575.484251968504</v>
      </c>
      <c r="M168" s="409">
        <v>4493.2952755905517</v>
      </c>
      <c r="N168" s="409">
        <v>18068.779527559054</v>
      </c>
      <c r="O168" s="410" t="s">
        <v>7796</v>
      </c>
      <c r="P168" s="406">
        <v>165</v>
      </c>
      <c r="Q168" s="470" t="s">
        <v>370</v>
      </c>
      <c r="R168" s="460" t="s">
        <v>371</v>
      </c>
      <c r="S168" s="270" t="s">
        <v>32</v>
      </c>
      <c r="U168" s="471">
        <v>0</v>
      </c>
      <c r="V168" s="471"/>
      <c r="W168" s="471" t="s">
        <v>371</v>
      </c>
      <c r="X168" s="471">
        <v>0</v>
      </c>
      <c r="Z168" s="270" t="s">
        <v>246</v>
      </c>
    </row>
    <row r="169" spans="1:26">
      <c r="A169" s="406">
        <v>166</v>
      </c>
      <c r="B169" s="613" t="s">
        <v>5671</v>
      </c>
      <c r="C169" s="288" t="s">
        <v>372</v>
      </c>
      <c r="D169" s="414" t="s">
        <v>4874</v>
      </c>
      <c r="E169" s="407" t="s">
        <v>8576</v>
      </c>
      <c r="F169" s="483" t="s">
        <v>5673</v>
      </c>
      <c r="G169" s="411" t="s">
        <v>5672</v>
      </c>
      <c r="H169" s="411"/>
      <c r="I169" s="411"/>
      <c r="J169" s="411"/>
      <c r="K169" s="411"/>
      <c r="L169" s="608">
        <v>13569.039370078741</v>
      </c>
      <c r="M169" s="409">
        <v>6265.4566929133853</v>
      </c>
      <c r="N169" s="409">
        <v>19834.496062992126</v>
      </c>
      <c r="O169" s="410" t="s">
        <v>7783</v>
      </c>
      <c r="P169" s="406">
        <v>166</v>
      </c>
      <c r="Q169" s="470" t="s">
        <v>372</v>
      </c>
      <c r="R169" s="460" t="s">
        <v>373</v>
      </c>
      <c r="S169" s="270" t="s">
        <v>32</v>
      </c>
      <c r="U169" s="471">
        <v>0</v>
      </c>
      <c r="V169" s="471"/>
      <c r="W169" s="471" t="s">
        <v>373</v>
      </c>
      <c r="X169" s="471">
        <v>0</v>
      </c>
      <c r="Z169" s="270" t="s">
        <v>246</v>
      </c>
    </row>
    <row r="170" spans="1:26">
      <c r="A170" s="406">
        <v>167</v>
      </c>
      <c r="B170" s="613" t="s">
        <v>5669</v>
      </c>
      <c r="C170" s="288" t="s">
        <v>374</v>
      </c>
      <c r="D170" s="414" t="s">
        <v>4873</v>
      </c>
      <c r="E170" s="407" t="s">
        <v>8577</v>
      </c>
      <c r="F170" s="483" t="s">
        <v>5668</v>
      </c>
      <c r="G170" s="411" t="s">
        <v>5670</v>
      </c>
      <c r="H170" s="411"/>
      <c r="I170" s="411"/>
      <c r="J170" s="411"/>
      <c r="K170" s="411"/>
      <c r="L170" s="608">
        <v>13582.295275590552</v>
      </c>
      <c r="M170" s="409">
        <v>5785.4566929133862</v>
      </c>
      <c r="N170" s="409">
        <v>19367.751968503937</v>
      </c>
      <c r="O170" s="410" t="s">
        <v>7783</v>
      </c>
      <c r="P170" s="406">
        <v>167</v>
      </c>
      <c r="Q170" s="470" t="s">
        <v>374</v>
      </c>
      <c r="R170" s="460" t="s">
        <v>375</v>
      </c>
      <c r="S170" s="270" t="s">
        <v>32</v>
      </c>
      <c r="U170" s="471">
        <v>0</v>
      </c>
      <c r="V170" s="471"/>
      <c r="W170" s="471" t="s">
        <v>375</v>
      </c>
      <c r="X170" s="471">
        <v>0</v>
      </c>
      <c r="Z170" s="270" t="s">
        <v>246</v>
      </c>
    </row>
    <row r="171" spans="1:26">
      <c r="A171" s="406">
        <v>168</v>
      </c>
      <c r="B171" s="613" t="s">
        <v>5665</v>
      </c>
      <c r="C171" s="288" t="s">
        <v>376</v>
      </c>
      <c r="D171" s="414" t="s">
        <v>4878</v>
      </c>
      <c r="E171" s="407" t="s">
        <v>8578</v>
      </c>
      <c r="F171" s="483" t="s">
        <v>5667</v>
      </c>
      <c r="G171" s="411" t="s">
        <v>5666</v>
      </c>
      <c r="H171" s="411"/>
      <c r="I171" s="411"/>
      <c r="J171" s="411"/>
      <c r="K171" s="411"/>
      <c r="L171" s="608">
        <v>13573.755905511811</v>
      </c>
      <c r="M171" s="409">
        <v>6096.5748031496069</v>
      </c>
      <c r="N171" s="409">
        <v>19670.330708661419</v>
      </c>
      <c r="O171" s="410" t="s">
        <v>7824</v>
      </c>
      <c r="P171" s="406">
        <v>168</v>
      </c>
      <c r="Q171" s="470" t="s">
        <v>376</v>
      </c>
      <c r="R171" s="460" t="s">
        <v>377</v>
      </c>
      <c r="S171" s="270" t="s">
        <v>32</v>
      </c>
      <c r="U171" s="471">
        <v>0</v>
      </c>
      <c r="V171" s="471"/>
      <c r="W171" s="471" t="s">
        <v>377</v>
      </c>
      <c r="X171" s="471">
        <v>0</v>
      </c>
      <c r="Z171" s="270" t="s">
        <v>246</v>
      </c>
    </row>
    <row r="172" spans="1:26">
      <c r="A172" s="406">
        <v>169</v>
      </c>
      <c r="B172" s="613" t="s">
        <v>5763</v>
      </c>
      <c r="C172" s="288" t="s">
        <v>378</v>
      </c>
      <c r="D172" s="414" t="s">
        <v>4751</v>
      </c>
      <c r="E172" s="407" t="s">
        <v>8526</v>
      </c>
      <c r="F172" s="483" t="s">
        <v>5762</v>
      </c>
      <c r="G172" s="411" t="s">
        <v>5764</v>
      </c>
      <c r="H172" s="411"/>
      <c r="I172" s="411"/>
      <c r="J172" s="411"/>
      <c r="K172" s="411"/>
      <c r="L172" s="608">
        <v>7007.0787401574808</v>
      </c>
      <c r="M172" s="409">
        <v>8997.9370078740158</v>
      </c>
      <c r="N172" s="409">
        <v>16005.015748031497</v>
      </c>
      <c r="O172" s="410" t="s">
        <v>7825</v>
      </c>
      <c r="P172" s="406">
        <v>169</v>
      </c>
      <c r="Q172" s="470" t="s">
        <v>378</v>
      </c>
      <c r="R172" s="460" t="s">
        <v>379</v>
      </c>
      <c r="S172" s="270" t="s">
        <v>32</v>
      </c>
      <c r="U172" s="471">
        <v>0</v>
      </c>
      <c r="V172" s="471"/>
      <c r="W172" s="478" t="s">
        <v>379</v>
      </c>
      <c r="X172" s="471">
        <v>0</v>
      </c>
      <c r="Z172" s="270" t="s">
        <v>246</v>
      </c>
    </row>
    <row r="173" spans="1:26">
      <c r="A173" s="406">
        <v>170</v>
      </c>
      <c r="B173" s="613" t="s">
        <v>6688</v>
      </c>
      <c r="C173" s="288" t="s">
        <v>380</v>
      </c>
      <c r="D173" s="414" t="s">
        <v>4721</v>
      </c>
      <c r="E173" s="407" t="s">
        <v>8579</v>
      </c>
      <c r="F173" s="483"/>
      <c r="G173" s="411"/>
      <c r="H173" s="411"/>
      <c r="I173" s="411"/>
      <c r="J173" s="411"/>
      <c r="K173" s="411"/>
      <c r="L173" s="608" t="s">
        <v>4884</v>
      </c>
      <c r="M173" s="409">
        <v>8996.8503937007881</v>
      </c>
      <c r="N173" s="409">
        <v>8996.8503937007881</v>
      </c>
      <c r="O173" s="410" t="s">
        <v>7571</v>
      </c>
      <c r="P173" s="406">
        <v>170</v>
      </c>
      <c r="Q173" s="470" t="s">
        <v>380</v>
      </c>
      <c r="R173" s="475" t="s">
        <v>381</v>
      </c>
      <c r="S173" s="270" t="s">
        <v>32</v>
      </c>
      <c r="U173" s="477">
        <v>0</v>
      </c>
      <c r="V173" s="471"/>
      <c r="W173" s="471"/>
      <c r="X173" s="471"/>
      <c r="Z173" s="270" t="s">
        <v>7514</v>
      </c>
    </row>
    <row r="174" spans="1:26">
      <c r="A174" s="406">
        <v>171</v>
      </c>
      <c r="B174" s="613" t="s">
        <v>6044</v>
      </c>
      <c r="C174" s="288" t="s">
        <v>382</v>
      </c>
      <c r="D174" s="414" t="s">
        <v>4510</v>
      </c>
      <c r="E174" s="407" t="s">
        <v>8587</v>
      </c>
      <c r="F174" s="483"/>
      <c r="G174" s="411"/>
      <c r="H174" s="411"/>
      <c r="I174" s="411"/>
      <c r="J174" s="411"/>
      <c r="K174" s="411"/>
      <c r="L174" s="608" t="s">
        <v>4884</v>
      </c>
      <c r="M174" s="409">
        <v>4581.9055118110236</v>
      </c>
      <c r="N174" s="409">
        <v>4581.9055118110236</v>
      </c>
      <c r="O174" s="410" t="s">
        <v>7572</v>
      </c>
      <c r="P174" s="406">
        <v>171</v>
      </c>
      <c r="Q174" s="470" t="s">
        <v>382</v>
      </c>
      <c r="R174" s="460" t="s">
        <v>383</v>
      </c>
      <c r="S174" s="270" t="s">
        <v>32</v>
      </c>
      <c r="U174" s="471">
        <v>1</v>
      </c>
      <c r="V174" s="471"/>
      <c r="W174" s="471" t="s">
        <v>383</v>
      </c>
      <c r="X174" s="471">
        <v>0</v>
      </c>
    </row>
    <row r="175" spans="1:26">
      <c r="A175" s="406">
        <v>172</v>
      </c>
      <c r="B175" s="613" t="s">
        <v>6045</v>
      </c>
      <c r="C175" s="288" t="s">
        <v>384</v>
      </c>
      <c r="D175" s="414" t="s">
        <v>4543</v>
      </c>
      <c r="E175" s="407" t="s">
        <v>8588</v>
      </c>
      <c r="F175" s="483"/>
      <c r="G175" s="411"/>
      <c r="H175" s="411"/>
      <c r="I175" s="411"/>
      <c r="J175" s="411"/>
      <c r="K175" s="411"/>
      <c r="L175" s="608" t="s">
        <v>4884</v>
      </c>
      <c r="M175" s="409">
        <v>4718.9488188976384</v>
      </c>
      <c r="N175" s="409">
        <v>4718.9488188976384</v>
      </c>
      <c r="O175" s="410" t="s">
        <v>7575</v>
      </c>
      <c r="P175" s="406">
        <v>172</v>
      </c>
      <c r="Q175" s="470" t="s">
        <v>384</v>
      </c>
      <c r="R175" s="460" t="s">
        <v>385</v>
      </c>
      <c r="S175" s="270" t="s">
        <v>32</v>
      </c>
      <c r="U175" s="471">
        <v>1</v>
      </c>
      <c r="V175" s="471"/>
      <c r="W175" s="471" t="s">
        <v>385</v>
      </c>
      <c r="X175" s="471">
        <v>0</v>
      </c>
    </row>
    <row r="176" spans="1:26">
      <c r="A176" s="406">
        <v>173</v>
      </c>
      <c r="B176" s="613" t="s">
        <v>6046</v>
      </c>
      <c r="C176" s="288" t="s">
        <v>386</v>
      </c>
      <c r="D176" s="414" t="s">
        <v>4572</v>
      </c>
      <c r="E176" s="407" t="s">
        <v>8589</v>
      </c>
      <c r="F176" s="483"/>
      <c r="G176" s="411"/>
      <c r="H176" s="411"/>
      <c r="I176" s="411"/>
      <c r="J176" s="411"/>
      <c r="K176" s="411"/>
      <c r="L176" s="608" t="s">
        <v>4884</v>
      </c>
      <c r="M176" s="409">
        <v>5083.5433070866147</v>
      </c>
      <c r="N176" s="409">
        <v>5083.5433070866147</v>
      </c>
      <c r="O176" s="410" t="s">
        <v>7576</v>
      </c>
      <c r="P176" s="406">
        <v>173</v>
      </c>
      <c r="Q176" s="470" t="s">
        <v>386</v>
      </c>
      <c r="R176" s="460" t="s">
        <v>387</v>
      </c>
      <c r="S176" s="270" t="s">
        <v>32</v>
      </c>
      <c r="U176" s="471">
        <v>1</v>
      </c>
      <c r="V176" s="471"/>
      <c r="W176" s="471" t="s">
        <v>387</v>
      </c>
      <c r="X176" s="471">
        <v>0</v>
      </c>
      <c r="Y176" s="206"/>
      <c r="Z176" s="206"/>
    </row>
    <row r="177" spans="1:26">
      <c r="A177" s="406">
        <v>174</v>
      </c>
      <c r="B177" s="613" t="s">
        <v>6047</v>
      </c>
      <c r="C177" s="288" t="s">
        <v>388</v>
      </c>
      <c r="D177" s="414" t="s">
        <v>3357</v>
      </c>
      <c r="E177" s="407" t="s">
        <v>8590</v>
      </c>
      <c r="F177" s="483"/>
      <c r="G177" s="411"/>
      <c r="H177" s="411"/>
      <c r="I177" s="411"/>
      <c r="J177" s="411"/>
      <c r="K177" s="411"/>
      <c r="L177" s="608" t="s">
        <v>4884</v>
      </c>
      <c r="M177" s="409">
        <v>6415.4606299212601</v>
      </c>
      <c r="N177" s="409">
        <v>6415.4606299212601</v>
      </c>
      <c r="O177" s="410" t="s">
        <v>7575</v>
      </c>
      <c r="P177" s="406">
        <v>174</v>
      </c>
      <c r="Q177" s="470" t="s">
        <v>388</v>
      </c>
      <c r="R177" s="460" t="s">
        <v>389</v>
      </c>
      <c r="S177" s="270" t="s">
        <v>32</v>
      </c>
      <c r="U177" s="471">
        <v>1</v>
      </c>
      <c r="V177" s="471"/>
      <c r="W177" s="471" t="s">
        <v>389</v>
      </c>
      <c r="X177" s="471">
        <v>0</v>
      </c>
      <c r="Y177" s="206"/>
      <c r="Z177" s="206"/>
    </row>
    <row r="178" spans="1:26">
      <c r="A178" s="406">
        <v>175</v>
      </c>
      <c r="B178" s="613" t="s">
        <v>6048</v>
      </c>
      <c r="C178" s="288" t="s">
        <v>390</v>
      </c>
      <c r="D178" s="414" t="s">
        <v>3390</v>
      </c>
      <c r="E178" s="407" t="s">
        <v>8591</v>
      </c>
      <c r="F178" s="483"/>
      <c r="G178" s="411"/>
      <c r="H178" s="411"/>
      <c r="I178" s="411"/>
      <c r="J178" s="411"/>
      <c r="K178" s="411"/>
      <c r="L178" s="608" t="s">
        <v>4884</v>
      </c>
      <c r="M178" s="409">
        <v>6424.748031496064</v>
      </c>
      <c r="N178" s="409">
        <v>6424.748031496064</v>
      </c>
      <c r="O178" s="410" t="s">
        <v>7575</v>
      </c>
      <c r="P178" s="406">
        <v>175</v>
      </c>
      <c r="Q178" s="470" t="s">
        <v>390</v>
      </c>
      <c r="R178" s="460" t="s">
        <v>391</v>
      </c>
      <c r="S178" s="270" t="s">
        <v>32</v>
      </c>
      <c r="U178" s="471">
        <v>1</v>
      </c>
      <c r="V178" s="471"/>
      <c r="W178" s="471" t="s">
        <v>391</v>
      </c>
      <c r="X178" s="471">
        <v>0</v>
      </c>
      <c r="Y178" s="206"/>
      <c r="Z178" s="206"/>
    </row>
    <row r="179" spans="1:26">
      <c r="A179" s="406">
        <v>176</v>
      </c>
      <c r="B179" s="613" t="s">
        <v>6049</v>
      </c>
      <c r="C179" s="288" t="s">
        <v>392</v>
      </c>
      <c r="D179" s="414" t="s">
        <v>3349</v>
      </c>
      <c r="E179" s="407" t="s">
        <v>8592</v>
      </c>
      <c r="F179" s="483"/>
      <c r="G179" s="411"/>
      <c r="H179" s="411"/>
      <c r="I179" s="411"/>
      <c r="J179" s="411"/>
      <c r="K179" s="411"/>
      <c r="L179" s="608" t="s">
        <v>4884</v>
      </c>
      <c r="M179" s="409">
        <v>6424.3425196850403</v>
      </c>
      <c r="N179" s="409">
        <v>6424.3425196850403</v>
      </c>
      <c r="O179" s="410" t="s">
        <v>7575</v>
      </c>
      <c r="P179" s="406">
        <v>176</v>
      </c>
      <c r="Q179" s="470" t="s">
        <v>392</v>
      </c>
      <c r="R179" s="460" t="s">
        <v>393</v>
      </c>
      <c r="S179" s="270" t="s">
        <v>32</v>
      </c>
      <c r="U179" s="471">
        <v>1</v>
      </c>
      <c r="V179" s="471"/>
      <c r="W179" s="471" t="s">
        <v>393</v>
      </c>
      <c r="X179" s="471">
        <v>0</v>
      </c>
      <c r="Y179" s="206"/>
      <c r="Z179" s="206"/>
    </row>
    <row r="180" spans="1:26">
      <c r="A180" s="406">
        <v>177</v>
      </c>
      <c r="B180" s="613" t="s">
        <v>6050</v>
      </c>
      <c r="C180" s="288" t="s">
        <v>394</v>
      </c>
      <c r="D180" s="414" t="s">
        <v>3351</v>
      </c>
      <c r="E180" s="407" t="s">
        <v>8593</v>
      </c>
      <c r="F180" s="483"/>
      <c r="G180" s="411"/>
      <c r="H180" s="411"/>
      <c r="I180" s="411"/>
      <c r="J180" s="411"/>
      <c r="K180" s="411"/>
      <c r="L180" s="608" t="s">
        <v>4884</v>
      </c>
      <c r="M180" s="409">
        <v>6416.2637795275587</v>
      </c>
      <c r="N180" s="409">
        <v>6416.2637795275587</v>
      </c>
      <c r="O180" s="410" t="s">
        <v>7575</v>
      </c>
      <c r="P180" s="406">
        <v>177</v>
      </c>
      <c r="Q180" s="470" t="s">
        <v>394</v>
      </c>
      <c r="R180" s="460" t="s">
        <v>395</v>
      </c>
      <c r="S180" s="270" t="s">
        <v>32</v>
      </c>
      <c r="U180" s="471">
        <v>1</v>
      </c>
      <c r="V180" s="471"/>
      <c r="W180" s="471" t="s">
        <v>395</v>
      </c>
      <c r="X180" s="471">
        <v>0</v>
      </c>
      <c r="Y180" s="206"/>
      <c r="Z180" s="206"/>
    </row>
    <row r="181" spans="1:26">
      <c r="A181" s="406">
        <v>178</v>
      </c>
      <c r="B181" s="613" t="s">
        <v>6051</v>
      </c>
      <c r="C181" s="288" t="s">
        <v>396</v>
      </c>
      <c r="D181" s="414" t="s">
        <v>3354</v>
      </c>
      <c r="E181" s="407" t="s">
        <v>8594</v>
      </c>
      <c r="F181" s="483"/>
      <c r="G181" s="411"/>
      <c r="H181" s="411"/>
      <c r="I181" s="411"/>
      <c r="J181" s="411"/>
      <c r="K181" s="411"/>
      <c r="L181" s="608" t="s">
        <v>4884</v>
      </c>
      <c r="M181" s="409">
        <v>6412.4330708661419</v>
      </c>
      <c r="N181" s="409">
        <v>6412.4330708661419</v>
      </c>
      <c r="O181" s="410" t="s">
        <v>7575</v>
      </c>
      <c r="P181" s="406">
        <v>178</v>
      </c>
      <c r="Q181" s="470" t="s">
        <v>396</v>
      </c>
      <c r="R181" s="460" t="s">
        <v>397</v>
      </c>
      <c r="S181" s="270" t="s">
        <v>32</v>
      </c>
      <c r="U181" s="471">
        <v>1</v>
      </c>
      <c r="V181" s="471"/>
      <c r="W181" s="471" t="s">
        <v>397</v>
      </c>
      <c r="X181" s="471">
        <v>0</v>
      </c>
      <c r="Y181" s="206"/>
      <c r="Z181" s="206"/>
    </row>
    <row r="182" spans="1:26">
      <c r="A182" s="406">
        <v>179</v>
      </c>
      <c r="B182" s="613" t="s">
        <v>6052</v>
      </c>
      <c r="C182" s="288" t="s">
        <v>398</v>
      </c>
      <c r="D182" s="414" t="s">
        <v>3352</v>
      </c>
      <c r="E182" s="407" t="s">
        <v>8595</v>
      </c>
      <c r="F182" s="483"/>
      <c r="G182" s="411"/>
      <c r="H182" s="411"/>
      <c r="I182" s="411"/>
      <c r="J182" s="411"/>
      <c r="K182" s="411"/>
      <c r="L182" s="608" t="s">
        <v>4884</v>
      </c>
      <c r="M182" s="409">
        <v>6424.2047244094492</v>
      </c>
      <c r="N182" s="409">
        <v>6424.2047244094492</v>
      </c>
      <c r="O182" s="410" t="s">
        <v>7575</v>
      </c>
      <c r="P182" s="406">
        <v>179</v>
      </c>
      <c r="Q182" s="470" t="s">
        <v>398</v>
      </c>
      <c r="R182" s="460" t="s">
        <v>399</v>
      </c>
      <c r="S182" s="270" t="s">
        <v>32</v>
      </c>
      <c r="U182" s="471">
        <v>1</v>
      </c>
      <c r="V182" s="471"/>
      <c r="W182" s="471" t="s">
        <v>399</v>
      </c>
      <c r="X182" s="471">
        <v>0</v>
      </c>
      <c r="Y182" s="206"/>
      <c r="Z182" s="206"/>
    </row>
    <row r="183" spans="1:26">
      <c r="A183" s="406">
        <v>180</v>
      </c>
      <c r="B183" s="613" t="s">
        <v>6053</v>
      </c>
      <c r="C183" s="288" t="s">
        <v>400</v>
      </c>
      <c r="D183" s="414" t="s">
        <v>3353</v>
      </c>
      <c r="E183" s="407" t="s">
        <v>8596</v>
      </c>
      <c r="F183" s="483"/>
      <c r="G183" s="411"/>
      <c r="H183" s="411"/>
      <c r="I183" s="411"/>
      <c r="J183" s="411"/>
      <c r="K183" s="411"/>
      <c r="L183" s="608" t="s">
        <v>4884</v>
      </c>
      <c r="M183" s="409">
        <v>6424.3818897637802</v>
      </c>
      <c r="N183" s="409">
        <v>6424.3818897637802</v>
      </c>
      <c r="O183" s="410" t="s">
        <v>7575</v>
      </c>
      <c r="P183" s="406">
        <v>180</v>
      </c>
      <c r="Q183" s="470" t="s">
        <v>400</v>
      </c>
      <c r="R183" s="460" t="s">
        <v>401</v>
      </c>
      <c r="S183" s="270" t="s">
        <v>32</v>
      </c>
      <c r="U183" s="471">
        <v>1</v>
      </c>
      <c r="V183" s="471"/>
      <c r="W183" s="471" t="s">
        <v>401</v>
      </c>
      <c r="X183" s="471">
        <v>0</v>
      </c>
      <c r="Y183" s="206"/>
      <c r="Z183" s="206"/>
    </row>
    <row r="184" spans="1:26">
      <c r="A184" s="406">
        <v>181</v>
      </c>
      <c r="B184" s="613" t="s">
        <v>6054</v>
      </c>
      <c r="C184" s="288" t="s">
        <v>402</v>
      </c>
      <c r="D184" s="414" t="s">
        <v>3355</v>
      </c>
      <c r="E184" s="407" t="s">
        <v>8597</v>
      </c>
      <c r="F184" s="483"/>
      <c r="G184" s="411"/>
      <c r="H184" s="411"/>
      <c r="I184" s="411"/>
      <c r="J184" s="411"/>
      <c r="K184" s="411"/>
      <c r="L184" s="608" t="s">
        <v>4884</v>
      </c>
      <c r="M184" s="409">
        <v>6416.7401574803152</v>
      </c>
      <c r="N184" s="409">
        <v>6416.7401574803152</v>
      </c>
      <c r="O184" s="410" t="s">
        <v>7575</v>
      </c>
      <c r="P184" s="406">
        <v>181</v>
      </c>
      <c r="Q184" s="470" t="s">
        <v>402</v>
      </c>
      <c r="R184" s="460" t="s">
        <v>403</v>
      </c>
      <c r="S184" s="270" t="s">
        <v>32</v>
      </c>
      <c r="U184" s="471">
        <v>1</v>
      </c>
      <c r="V184" s="471"/>
      <c r="W184" s="471" t="s">
        <v>403</v>
      </c>
      <c r="X184" s="471">
        <v>0</v>
      </c>
      <c r="Y184" s="206"/>
      <c r="Z184" s="206"/>
    </row>
    <row r="185" spans="1:26">
      <c r="A185" s="406">
        <v>182</v>
      </c>
      <c r="B185" s="613" t="s">
        <v>6055</v>
      </c>
      <c r="C185" s="288" t="s">
        <v>404</v>
      </c>
      <c r="D185" s="414" t="s">
        <v>3368</v>
      </c>
      <c r="E185" s="407" t="s">
        <v>8598</v>
      </c>
      <c r="F185" s="483"/>
      <c r="G185" s="411"/>
      <c r="H185" s="411"/>
      <c r="I185" s="411"/>
      <c r="J185" s="411"/>
      <c r="K185" s="411"/>
      <c r="L185" s="608" t="s">
        <v>4884</v>
      </c>
      <c r="M185" s="409">
        <v>4957.6181102362207</v>
      </c>
      <c r="N185" s="409">
        <v>4957.6181102362207</v>
      </c>
      <c r="O185" s="410" t="s">
        <v>7576</v>
      </c>
      <c r="P185" s="406">
        <v>182</v>
      </c>
      <c r="Q185" s="470" t="s">
        <v>404</v>
      </c>
      <c r="R185" s="460" t="s">
        <v>405</v>
      </c>
      <c r="S185" s="270" t="s">
        <v>32</v>
      </c>
      <c r="U185" s="471">
        <v>1</v>
      </c>
      <c r="V185" s="471"/>
      <c r="W185" s="471" t="s">
        <v>405</v>
      </c>
      <c r="X185" s="471">
        <v>0</v>
      </c>
      <c r="Y185" s="206"/>
      <c r="Z185" s="206"/>
    </row>
    <row r="186" spans="1:26">
      <c r="A186" s="406">
        <v>183</v>
      </c>
      <c r="B186" s="613" t="s">
        <v>6056</v>
      </c>
      <c r="C186" s="288" t="s">
        <v>406</v>
      </c>
      <c r="D186" s="414" t="s">
        <v>3378</v>
      </c>
      <c r="E186" s="407" t="s">
        <v>8599</v>
      </c>
      <c r="F186" s="483"/>
      <c r="G186" s="411"/>
      <c r="H186" s="411"/>
      <c r="I186" s="411"/>
      <c r="J186" s="411"/>
      <c r="K186" s="411"/>
      <c r="L186" s="608" t="s">
        <v>4884</v>
      </c>
      <c r="M186" s="409">
        <v>4965.248031496063</v>
      </c>
      <c r="N186" s="409">
        <v>4965.248031496063</v>
      </c>
      <c r="O186" s="410" t="s">
        <v>7576</v>
      </c>
      <c r="P186" s="406">
        <v>183</v>
      </c>
      <c r="Q186" s="470" t="s">
        <v>406</v>
      </c>
      <c r="R186" s="460" t="s">
        <v>407</v>
      </c>
      <c r="S186" s="270" t="s">
        <v>32</v>
      </c>
      <c r="U186" s="471">
        <v>1</v>
      </c>
      <c r="V186" s="471"/>
      <c r="W186" s="471" t="s">
        <v>407</v>
      </c>
      <c r="X186" s="471">
        <v>0</v>
      </c>
      <c r="Y186" s="206"/>
      <c r="Z186" s="206"/>
    </row>
    <row r="187" spans="1:26">
      <c r="A187" s="406">
        <v>184</v>
      </c>
      <c r="B187" s="613" t="s">
        <v>6057</v>
      </c>
      <c r="C187" s="288" t="s">
        <v>408</v>
      </c>
      <c r="D187" s="414" t="s">
        <v>3371</v>
      </c>
      <c r="E187" s="407" t="s">
        <v>8600</v>
      </c>
      <c r="F187" s="483"/>
      <c r="G187" s="411"/>
      <c r="H187" s="411"/>
      <c r="I187" s="411"/>
      <c r="J187" s="411"/>
      <c r="K187" s="411"/>
      <c r="L187" s="608" t="s">
        <v>4884</v>
      </c>
      <c r="M187" s="409">
        <v>4963.0236220472443</v>
      </c>
      <c r="N187" s="409">
        <v>4963.0236220472443</v>
      </c>
      <c r="O187" s="410" t="s">
        <v>7576</v>
      </c>
      <c r="P187" s="406">
        <v>184</v>
      </c>
      <c r="Q187" s="470" t="s">
        <v>408</v>
      </c>
      <c r="R187" s="460" t="s">
        <v>409</v>
      </c>
      <c r="S187" s="270" t="s">
        <v>32</v>
      </c>
      <c r="U187" s="471">
        <v>1</v>
      </c>
      <c r="V187" s="471"/>
      <c r="W187" s="471" t="s">
        <v>409</v>
      </c>
      <c r="X187" s="471">
        <v>0</v>
      </c>
      <c r="Y187" s="206"/>
      <c r="Z187" s="206"/>
    </row>
    <row r="188" spans="1:26">
      <c r="A188" s="406">
        <v>185</v>
      </c>
      <c r="B188" s="613" t="s">
        <v>6058</v>
      </c>
      <c r="C188" s="288" t="s">
        <v>410</v>
      </c>
      <c r="D188" s="414" t="s">
        <v>4526</v>
      </c>
      <c r="E188" s="407" t="s">
        <v>8601</v>
      </c>
      <c r="F188" s="483"/>
      <c r="G188" s="411"/>
      <c r="H188" s="411"/>
      <c r="I188" s="411"/>
      <c r="J188" s="411"/>
      <c r="K188" s="411"/>
      <c r="L188" s="608" t="s">
        <v>4884</v>
      </c>
      <c r="M188" s="409">
        <v>4964.8937007874019</v>
      </c>
      <c r="N188" s="409">
        <v>4964.8937007874019</v>
      </c>
      <c r="O188" s="410" t="s">
        <v>7576</v>
      </c>
      <c r="P188" s="406">
        <v>185</v>
      </c>
      <c r="Q188" s="470" t="s">
        <v>410</v>
      </c>
      <c r="R188" s="460" t="s">
        <v>411</v>
      </c>
      <c r="S188" s="270" t="s">
        <v>32</v>
      </c>
      <c r="U188" s="471">
        <v>1</v>
      </c>
      <c r="V188" s="471"/>
      <c r="W188" s="471" t="s">
        <v>411</v>
      </c>
      <c r="X188" s="471">
        <v>0</v>
      </c>
      <c r="Y188" s="206"/>
      <c r="Z188" s="206"/>
    </row>
    <row r="189" spans="1:26">
      <c r="A189" s="406">
        <v>186</v>
      </c>
      <c r="B189" s="613" t="s">
        <v>6059</v>
      </c>
      <c r="C189" s="288" t="s">
        <v>412</v>
      </c>
      <c r="D189" s="414" t="s">
        <v>3369</v>
      </c>
      <c r="E189" s="407" t="s">
        <v>8602</v>
      </c>
      <c r="F189" s="483"/>
      <c r="G189" s="411"/>
      <c r="H189" s="411"/>
      <c r="I189" s="411"/>
      <c r="J189" s="411"/>
      <c r="K189" s="411"/>
      <c r="L189" s="608" t="s">
        <v>4884</v>
      </c>
      <c r="M189" s="409">
        <v>4960.5078740157478</v>
      </c>
      <c r="N189" s="409">
        <v>4960.5078740157478</v>
      </c>
      <c r="O189" s="410" t="s">
        <v>7576</v>
      </c>
      <c r="P189" s="406">
        <v>186</v>
      </c>
      <c r="Q189" s="470" t="s">
        <v>412</v>
      </c>
      <c r="R189" s="460" t="s">
        <v>413</v>
      </c>
      <c r="S189" s="270" t="s">
        <v>32</v>
      </c>
      <c r="U189" s="471">
        <v>1</v>
      </c>
      <c r="V189" s="471"/>
      <c r="W189" s="471" t="s">
        <v>413</v>
      </c>
      <c r="X189" s="471">
        <v>0</v>
      </c>
      <c r="Y189" s="206"/>
      <c r="Z189" s="206"/>
    </row>
    <row r="190" spans="1:26">
      <c r="A190" s="406">
        <v>187</v>
      </c>
      <c r="B190" s="613" t="s">
        <v>6060</v>
      </c>
      <c r="C190" s="288" t="s">
        <v>414</v>
      </c>
      <c r="D190" s="414" t="s">
        <v>3366</v>
      </c>
      <c r="E190" s="407" t="s">
        <v>8603</v>
      </c>
      <c r="F190" s="483"/>
      <c r="G190" s="411"/>
      <c r="H190" s="411"/>
      <c r="I190" s="411"/>
      <c r="J190" s="411"/>
      <c r="K190" s="411"/>
      <c r="L190" s="608" t="s">
        <v>4884</v>
      </c>
      <c r="M190" s="409">
        <v>4962.0314960629921</v>
      </c>
      <c r="N190" s="409">
        <v>4962.0314960629921</v>
      </c>
      <c r="O190" s="410" t="s">
        <v>7576</v>
      </c>
      <c r="P190" s="406">
        <v>187</v>
      </c>
      <c r="Q190" s="470" t="s">
        <v>414</v>
      </c>
      <c r="R190" s="460" t="s">
        <v>415</v>
      </c>
      <c r="S190" s="270" t="s">
        <v>32</v>
      </c>
      <c r="U190" s="471">
        <v>1</v>
      </c>
      <c r="V190" s="471"/>
      <c r="W190" s="471" t="s">
        <v>415</v>
      </c>
      <c r="X190" s="471">
        <v>0</v>
      </c>
      <c r="Y190" s="206"/>
      <c r="Z190" s="206"/>
    </row>
    <row r="191" spans="1:26">
      <c r="A191" s="406">
        <v>188</v>
      </c>
      <c r="B191" s="613" t="s">
        <v>6061</v>
      </c>
      <c r="C191" s="288" t="s">
        <v>416</v>
      </c>
      <c r="D191" s="414" t="s">
        <v>4530</v>
      </c>
      <c r="E191" s="407" t="s">
        <v>8604</v>
      </c>
      <c r="F191" s="483"/>
      <c r="G191" s="411"/>
      <c r="H191" s="411"/>
      <c r="I191" s="411"/>
      <c r="J191" s="411"/>
      <c r="K191" s="411"/>
      <c r="L191" s="608" t="s">
        <v>4884</v>
      </c>
      <c r="M191" s="409">
        <v>4956.066929133859</v>
      </c>
      <c r="N191" s="409">
        <v>4956.066929133859</v>
      </c>
      <c r="O191" s="410" t="s">
        <v>7576</v>
      </c>
      <c r="P191" s="406">
        <v>188</v>
      </c>
      <c r="Q191" s="470" t="s">
        <v>416</v>
      </c>
      <c r="R191" s="460" t="s">
        <v>417</v>
      </c>
      <c r="S191" s="270" t="s">
        <v>32</v>
      </c>
      <c r="U191" s="471">
        <v>1</v>
      </c>
      <c r="V191" s="471"/>
      <c r="W191" s="471" t="s">
        <v>417</v>
      </c>
      <c r="X191" s="471">
        <v>0</v>
      </c>
      <c r="Y191" s="206"/>
      <c r="Z191" s="206"/>
    </row>
    <row r="192" spans="1:26">
      <c r="A192" s="406">
        <v>189</v>
      </c>
      <c r="B192" s="613" t="s">
        <v>6062</v>
      </c>
      <c r="C192" s="288" t="s">
        <v>418</v>
      </c>
      <c r="D192" s="414" t="s">
        <v>4528</v>
      </c>
      <c r="E192" s="407" t="s">
        <v>8605</v>
      </c>
      <c r="F192" s="483"/>
      <c r="G192" s="411"/>
      <c r="H192" s="411"/>
      <c r="I192" s="411"/>
      <c r="J192" s="411"/>
      <c r="K192" s="411"/>
      <c r="L192" s="608" t="s">
        <v>4884</v>
      </c>
      <c r="M192" s="409">
        <v>4966.2913385826769</v>
      </c>
      <c r="N192" s="409">
        <v>4966.2913385826769</v>
      </c>
      <c r="O192" s="410" t="s">
        <v>7576</v>
      </c>
      <c r="P192" s="406">
        <v>189</v>
      </c>
      <c r="Q192" s="470" t="s">
        <v>418</v>
      </c>
      <c r="R192" s="460" t="s">
        <v>419</v>
      </c>
      <c r="S192" s="270" t="s">
        <v>32</v>
      </c>
      <c r="U192" s="471">
        <v>1</v>
      </c>
      <c r="V192" s="471"/>
      <c r="W192" s="471" t="s">
        <v>419</v>
      </c>
      <c r="X192" s="471">
        <v>0</v>
      </c>
      <c r="Y192" s="206"/>
      <c r="Z192" s="206"/>
    </row>
    <row r="193" spans="1:26">
      <c r="A193" s="406">
        <v>190</v>
      </c>
      <c r="B193" s="613" t="s">
        <v>6063</v>
      </c>
      <c r="C193" s="288" t="s">
        <v>420</v>
      </c>
      <c r="D193" s="414" t="s">
        <v>3375</v>
      </c>
      <c r="E193" s="407" t="s">
        <v>8606</v>
      </c>
      <c r="F193" s="483"/>
      <c r="G193" s="411"/>
      <c r="H193" s="411"/>
      <c r="I193" s="411"/>
      <c r="J193" s="411"/>
      <c r="K193" s="411"/>
      <c r="L193" s="608" t="s">
        <v>4884</v>
      </c>
      <c r="M193" s="409">
        <v>5076.4370078740158</v>
      </c>
      <c r="N193" s="409">
        <v>5076.4370078740158</v>
      </c>
      <c r="O193" s="410" t="s">
        <v>7569</v>
      </c>
      <c r="P193" s="406">
        <v>190</v>
      </c>
      <c r="Q193" s="470" t="s">
        <v>420</v>
      </c>
      <c r="R193" s="460" t="s">
        <v>421</v>
      </c>
      <c r="S193" s="270" t="s">
        <v>32</v>
      </c>
      <c r="U193" s="471">
        <v>1</v>
      </c>
      <c r="V193" s="471"/>
      <c r="W193" s="471" t="s">
        <v>421</v>
      </c>
      <c r="X193" s="471">
        <v>0</v>
      </c>
      <c r="Y193" s="206"/>
      <c r="Z193" s="206"/>
    </row>
    <row r="194" spans="1:26">
      <c r="A194" s="406">
        <v>191</v>
      </c>
      <c r="B194" s="613" t="s">
        <v>6064</v>
      </c>
      <c r="C194" s="288" t="s">
        <v>422</v>
      </c>
      <c r="D194" s="414" t="s">
        <v>3421</v>
      </c>
      <c r="E194" s="407" t="s">
        <v>8607</v>
      </c>
      <c r="F194" s="483"/>
      <c r="G194" s="411"/>
      <c r="H194" s="411"/>
      <c r="I194" s="411"/>
      <c r="J194" s="411"/>
      <c r="K194" s="411"/>
      <c r="L194" s="608" t="s">
        <v>4884</v>
      </c>
      <c r="M194" s="409">
        <v>5082.4330708661419</v>
      </c>
      <c r="N194" s="409">
        <v>5082.4330708661419</v>
      </c>
      <c r="O194" s="410" t="s">
        <v>7569</v>
      </c>
      <c r="P194" s="406">
        <v>191</v>
      </c>
      <c r="Q194" s="470" t="s">
        <v>422</v>
      </c>
      <c r="R194" s="460" t="s">
        <v>423</v>
      </c>
      <c r="S194" s="270" t="s">
        <v>32</v>
      </c>
      <c r="U194" s="471">
        <v>1</v>
      </c>
      <c r="V194" s="471"/>
      <c r="W194" s="471" t="s">
        <v>423</v>
      </c>
      <c r="X194" s="471">
        <v>0</v>
      </c>
      <c r="Y194" s="206"/>
      <c r="Z194" s="206"/>
    </row>
    <row r="195" spans="1:26">
      <c r="A195" s="406">
        <v>192</v>
      </c>
      <c r="B195" s="613" t="s">
        <v>6065</v>
      </c>
      <c r="C195" s="288" t="s">
        <v>424</v>
      </c>
      <c r="D195" s="414" t="s">
        <v>3376</v>
      </c>
      <c r="E195" s="407" t="s">
        <v>8608</v>
      </c>
      <c r="F195" s="483"/>
      <c r="G195" s="411"/>
      <c r="H195" s="411"/>
      <c r="I195" s="411"/>
      <c r="J195" s="411"/>
      <c r="K195" s="411"/>
      <c r="L195" s="608" t="s">
        <v>4884</v>
      </c>
      <c r="M195" s="409">
        <v>5084.9094488188975</v>
      </c>
      <c r="N195" s="409">
        <v>5084.9094488188975</v>
      </c>
      <c r="O195" s="410" t="s">
        <v>7569</v>
      </c>
      <c r="P195" s="406">
        <v>192</v>
      </c>
      <c r="Q195" s="470" t="s">
        <v>424</v>
      </c>
      <c r="R195" s="460" t="s">
        <v>425</v>
      </c>
      <c r="S195" s="270" t="s">
        <v>32</v>
      </c>
      <c r="U195" s="471">
        <v>1</v>
      </c>
      <c r="V195" s="471"/>
      <c r="W195" s="471" t="s">
        <v>425</v>
      </c>
      <c r="X195" s="471">
        <v>0</v>
      </c>
      <c r="Y195" s="206"/>
      <c r="Z195" s="206"/>
    </row>
    <row r="196" spans="1:26">
      <c r="A196" s="406">
        <v>193</v>
      </c>
      <c r="B196" s="613" t="s">
        <v>6066</v>
      </c>
      <c r="C196" s="288" t="s">
        <v>426</v>
      </c>
      <c r="D196" s="414" t="s">
        <v>3370</v>
      </c>
      <c r="E196" s="407" t="s">
        <v>8609</v>
      </c>
      <c r="F196" s="483"/>
      <c r="G196" s="411"/>
      <c r="H196" s="411"/>
      <c r="I196" s="411"/>
      <c r="J196" s="411"/>
      <c r="K196" s="411"/>
      <c r="L196" s="608" t="s">
        <v>4884</v>
      </c>
      <c r="M196" s="409">
        <v>5076.0511811023625</v>
      </c>
      <c r="N196" s="409">
        <v>5076.0511811023625</v>
      </c>
      <c r="O196" s="410" t="s">
        <v>7569</v>
      </c>
      <c r="P196" s="406">
        <v>193</v>
      </c>
      <c r="Q196" s="470" t="s">
        <v>426</v>
      </c>
      <c r="R196" s="460" t="s">
        <v>427</v>
      </c>
      <c r="S196" s="270" t="s">
        <v>32</v>
      </c>
      <c r="U196" s="471">
        <v>1</v>
      </c>
      <c r="V196" s="471"/>
      <c r="W196" s="471" t="s">
        <v>427</v>
      </c>
      <c r="X196" s="471">
        <v>0</v>
      </c>
      <c r="Y196" s="206"/>
      <c r="Z196" s="206"/>
    </row>
    <row r="197" spans="1:26">
      <c r="A197" s="406">
        <v>194</v>
      </c>
      <c r="B197" s="613" t="s">
        <v>6067</v>
      </c>
      <c r="C197" s="288" t="s">
        <v>428</v>
      </c>
      <c r="D197" s="414" t="s">
        <v>3423</v>
      </c>
      <c r="E197" s="407" t="s">
        <v>8610</v>
      </c>
      <c r="F197" s="483"/>
      <c r="G197" s="411"/>
      <c r="H197" s="411"/>
      <c r="I197" s="411"/>
      <c r="J197" s="411"/>
      <c r="K197" s="411"/>
      <c r="L197" s="608" t="s">
        <v>4884</v>
      </c>
      <c r="M197" s="409">
        <v>5082.6732283464562</v>
      </c>
      <c r="N197" s="409">
        <v>5082.6732283464562</v>
      </c>
      <c r="O197" s="410" t="s">
        <v>7569</v>
      </c>
      <c r="P197" s="406">
        <v>194</v>
      </c>
      <c r="Q197" s="470" t="s">
        <v>428</v>
      </c>
      <c r="R197" s="460" t="s">
        <v>429</v>
      </c>
      <c r="S197" s="270" t="s">
        <v>32</v>
      </c>
      <c r="U197" s="471">
        <v>1</v>
      </c>
      <c r="V197" s="471"/>
      <c r="W197" s="471" t="s">
        <v>429</v>
      </c>
      <c r="X197" s="471">
        <v>0</v>
      </c>
      <c r="Y197" s="206"/>
      <c r="Z197" s="206"/>
    </row>
    <row r="198" spans="1:26">
      <c r="A198" s="406">
        <v>195</v>
      </c>
      <c r="B198" s="613" t="s">
        <v>6068</v>
      </c>
      <c r="C198" s="288" t="s">
        <v>430</v>
      </c>
      <c r="D198" s="414" t="s">
        <v>3420</v>
      </c>
      <c r="E198" s="407" t="s">
        <v>8611</v>
      </c>
      <c r="F198" s="483"/>
      <c r="G198" s="411"/>
      <c r="H198" s="411"/>
      <c r="I198" s="411"/>
      <c r="J198" s="411"/>
      <c r="K198" s="411"/>
      <c r="L198" s="608" t="s">
        <v>4884</v>
      </c>
      <c r="M198" s="409">
        <v>5081.141732283465</v>
      </c>
      <c r="N198" s="409">
        <v>5081.141732283465</v>
      </c>
      <c r="O198" s="410" t="s">
        <v>7569</v>
      </c>
      <c r="P198" s="406">
        <v>195</v>
      </c>
      <c r="Q198" s="470" t="s">
        <v>430</v>
      </c>
      <c r="R198" s="460" t="s">
        <v>431</v>
      </c>
      <c r="S198" s="270" t="s">
        <v>32</v>
      </c>
      <c r="U198" s="471">
        <v>1</v>
      </c>
      <c r="V198" s="471"/>
      <c r="W198" s="471" t="s">
        <v>431</v>
      </c>
      <c r="X198" s="471">
        <v>0</v>
      </c>
      <c r="Y198" s="206"/>
      <c r="Z198" s="206"/>
    </row>
    <row r="199" spans="1:26">
      <c r="A199" s="406">
        <v>196</v>
      </c>
      <c r="B199" s="613" t="s">
        <v>6069</v>
      </c>
      <c r="C199" s="288" t="s">
        <v>432</v>
      </c>
      <c r="D199" s="414" t="s">
        <v>3372</v>
      </c>
      <c r="E199" s="407" t="s">
        <v>8612</v>
      </c>
      <c r="F199" s="483"/>
      <c r="G199" s="411"/>
      <c r="H199" s="411"/>
      <c r="I199" s="411"/>
      <c r="J199" s="411"/>
      <c r="K199" s="411"/>
      <c r="L199" s="608" t="s">
        <v>4884</v>
      </c>
      <c r="M199" s="409">
        <v>5077.3464566929133</v>
      </c>
      <c r="N199" s="409">
        <v>5077.3464566929133</v>
      </c>
      <c r="O199" s="410" t="s">
        <v>7569</v>
      </c>
      <c r="P199" s="406">
        <v>196</v>
      </c>
      <c r="Q199" s="470" t="s">
        <v>432</v>
      </c>
      <c r="R199" s="460" t="s">
        <v>433</v>
      </c>
      <c r="S199" s="270" t="s">
        <v>32</v>
      </c>
      <c r="U199" s="471">
        <v>1</v>
      </c>
      <c r="V199" s="471"/>
      <c r="W199" s="471" t="s">
        <v>433</v>
      </c>
      <c r="X199" s="471">
        <v>0</v>
      </c>
      <c r="Y199" s="206"/>
      <c r="Z199" s="206"/>
    </row>
    <row r="200" spans="1:26">
      <c r="A200" s="406">
        <v>197</v>
      </c>
      <c r="B200" s="613" t="s">
        <v>6070</v>
      </c>
      <c r="C200" s="288" t="s">
        <v>434</v>
      </c>
      <c r="D200" s="414" t="s">
        <v>3374</v>
      </c>
      <c r="E200" s="407" t="s">
        <v>8613</v>
      </c>
      <c r="F200" s="483"/>
      <c r="G200" s="411"/>
      <c r="H200" s="411"/>
      <c r="I200" s="411"/>
      <c r="J200" s="411"/>
      <c r="K200" s="411"/>
      <c r="L200" s="608" t="s">
        <v>4884</v>
      </c>
      <c r="M200" s="409">
        <v>5077.2086614173222</v>
      </c>
      <c r="N200" s="409">
        <v>5077.2086614173222</v>
      </c>
      <c r="O200" s="410" t="s">
        <v>7569</v>
      </c>
      <c r="P200" s="406">
        <v>197</v>
      </c>
      <c r="Q200" s="470" t="s">
        <v>434</v>
      </c>
      <c r="R200" s="460" t="s">
        <v>435</v>
      </c>
      <c r="S200" s="270" t="s">
        <v>32</v>
      </c>
      <c r="U200" s="471">
        <v>1</v>
      </c>
      <c r="V200" s="471"/>
      <c r="W200" s="471" t="s">
        <v>435</v>
      </c>
      <c r="X200" s="471">
        <v>0</v>
      </c>
      <c r="Y200" s="206"/>
      <c r="Z200" s="206"/>
    </row>
    <row r="201" spans="1:26">
      <c r="A201" s="406">
        <v>198</v>
      </c>
      <c r="B201" s="613" t="s">
        <v>6071</v>
      </c>
      <c r="C201" s="288" t="s">
        <v>436</v>
      </c>
      <c r="D201" s="414" t="s">
        <v>4500</v>
      </c>
      <c r="E201" s="407" t="s">
        <v>8614</v>
      </c>
      <c r="F201" s="483"/>
      <c r="G201" s="483"/>
      <c r="H201" s="483"/>
      <c r="I201" s="483"/>
      <c r="J201" s="483"/>
      <c r="K201" s="483"/>
      <c r="L201" s="608" t="s">
        <v>4884</v>
      </c>
      <c r="M201" s="409">
        <v>5590.6574803149606</v>
      </c>
      <c r="N201" s="409">
        <v>5590.6574803149606</v>
      </c>
      <c r="O201" s="410" t="s">
        <v>7575</v>
      </c>
      <c r="P201" s="406">
        <v>198</v>
      </c>
      <c r="Q201" s="470" t="s">
        <v>436</v>
      </c>
      <c r="R201" s="460" t="s">
        <v>437</v>
      </c>
      <c r="S201" s="270" t="s">
        <v>32</v>
      </c>
      <c r="U201" s="471">
        <v>1</v>
      </c>
      <c r="V201" s="471"/>
      <c r="W201" s="471" t="s">
        <v>437</v>
      </c>
      <c r="X201" s="471">
        <v>0</v>
      </c>
      <c r="Y201" s="206"/>
      <c r="Z201" s="206"/>
    </row>
    <row r="202" spans="1:26">
      <c r="A202" s="406">
        <v>199</v>
      </c>
      <c r="B202" s="613" t="s">
        <v>6072</v>
      </c>
      <c r="C202" s="288" t="s">
        <v>438</v>
      </c>
      <c r="D202" s="414" t="s">
        <v>4534</v>
      </c>
      <c r="E202" s="407" t="s">
        <v>8615</v>
      </c>
      <c r="F202" s="483"/>
      <c r="G202" s="483"/>
      <c r="H202" s="483"/>
      <c r="I202" s="483"/>
      <c r="J202" s="483"/>
      <c r="K202" s="483"/>
      <c r="L202" s="608" t="s">
        <v>4884</v>
      </c>
      <c r="M202" s="409">
        <v>5590.0236220472443</v>
      </c>
      <c r="N202" s="409">
        <v>5590.0236220472443</v>
      </c>
      <c r="O202" s="410" t="s">
        <v>7575</v>
      </c>
      <c r="P202" s="406">
        <v>199</v>
      </c>
      <c r="Q202" s="470" t="s">
        <v>438</v>
      </c>
      <c r="R202" s="460" t="s">
        <v>439</v>
      </c>
      <c r="S202" s="270" t="s">
        <v>32</v>
      </c>
      <c r="U202" s="471">
        <v>1</v>
      </c>
      <c r="V202" s="471"/>
      <c r="W202" s="471" t="s">
        <v>439</v>
      </c>
      <c r="X202" s="471">
        <v>0</v>
      </c>
      <c r="Y202" s="206"/>
      <c r="Z202" s="206"/>
    </row>
    <row r="203" spans="1:26">
      <c r="A203" s="406">
        <v>200</v>
      </c>
      <c r="B203" s="613" t="s">
        <v>6073</v>
      </c>
      <c r="C203" s="288" t="s">
        <v>440</v>
      </c>
      <c r="D203" s="414" t="s">
        <v>4501</v>
      </c>
      <c r="E203" s="407" t="s">
        <v>8616</v>
      </c>
      <c r="F203" s="483"/>
      <c r="G203" s="483"/>
      <c r="H203" s="483"/>
      <c r="I203" s="483"/>
      <c r="J203" s="483"/>
      <c r="K203" s="483"/>
      <c r="L203" s="608" t="s">
        <v>4884</v>
      </c>
      <c r="M203" s="409">
        <v>5590.6968503937014</v>
      </c>
      <c r="N203" s="409">
        <v>5590.6968503937014</v>
      </c>
      <c r="O203" s="410" t="s">
        <v>7575</v>
      </c>
      <c r="P203" s="406">
        <v>200</v>
      </c>
      <c r="Q203" s="470" t="s">
        <v>440</v>
      </c>
      <c r="R203" s="460" t="s">
        <v>441</v>
      </c>
      <c r="S203" s="270" t="s">
        <v>32</v>
      </c>
      <c r="U203" s="471">
        <v>1</v>
      </c>
      <c r="V203" s="471"/>
      <c r="W203" s="471" t="s">
        <v>441</v>
      </c>
      <c r="X203" s="471">
        <v>0</v>
      </c>
      <c r="Y203" s="206"/>
      <c r="Z203" s="206"/>
    </row>
    <row r="204" spans="1:26">
      <c r="A204" s="406">
        <v>201</v>
      </c>
      <c r="B204" s="613" t="s">
        <v>6074</v>
      </c>
      <c r="C204" s="288" t="s">
        <v>442</v>
      </c>
      <c r="D204" s="414" t="s">
        <v>4541</v>
      </c>
      <c r="E204" s="407" t="s">
        <v>8617</v>
      </c>
      <c r="F204" s="483"/>
      <c r="G204" s="483"/>
      <c r="H204" s="483"/>
      <c r="I204" s="483"/>
      <c r="J204" s="483"/>
      <c r="K204" s="483"/>
      <c r="L204" s="608" t="s">
        <v>4884</v>
      </c>
      <c r="M204" s="409">
        <v>5587.4488188976384</v>
      </c>
      <c r="N204" s="409">
        <v>5587.4488188976384</v>
      </c>
      <c r="O204" s="410" t="s">
        <v>7575</v>
      </c>
      <c r="P204" s="406">
        <v>201</v>
      </c>
      <c r="Q204" s="470" t="s">
        <v>442</v>
      </c>
      <c r="R204" s="460" t="s">
        <v>443</v>
      </c>
      <c r="S204" s="270" t="s">
        <v>32</v>
      </c>
      <c r="U204" s="471">
        <v>1</v>
      </c>
      <c r="V204" s="471"/>
      <c r="W204" s="471" t="s">
        <v>443</v>
      </c>
      <c r="X204" s="471">
        <v>0</v>
      </c>
      <c r="Y204" s="206"/>
      <c r="Z204" s="206"/>
    </row>
    <row r="205" spans="1:26">
      <c r="A205" s="406">
        <v>202</v>
      </c>
      <c r="B205" s="613" t="s">
        <v>6075</v>
      </c>
      <c r="C205" s="288" t="s">
        <v>444</v>
      </c>
      <c r="D205" s="414" t="s">
        <v>4507</v>
      </c>
      <c r="E205" s="407" t="s">
        <v>8618</v>
      </c>
      <c r="F205" s="483"/>
      <c r="G205" s="483"/>
      <c r="H205" s="483"/>
      <c r="I205" s="483"/>
      <c r="J205" s="483"/>
      <c r="K205" s="483"/>
      <c r="L205" s="608" t="s">
        <v>4884</v>
      </c>
      <c r="M205" s="409">
        <v>5590.6496062992128</v>
      </c>
      <c r="N205" s="409">
        <v>5590.6496062992128</v>
      </c>
      <c r="O205" s="410" t="s">
        <v>7575</v>
      </c>
      <c r="P205" s="406">
        <v>202</v>
      </c>
      <c r="Q205" s="470" t="s">
        <v>444</v>
      </c>
      <c r="R205" s="460" t="s">
        <v>445</v>
      </c>
      <c r="S205" s="270" t="s">
        <v>32</v>
      </c>
      <c r="U205" s="471">
        <v>1</v>
      </c>
      <c r="V205" s="471"/>
      <c r="W205" s="471" t="s">
        <v>445</v>
      </c>
      <c r="X205" s="471">
        <v>0</v>
      </c>
      <c r="Y205" s="206"/>
      <c r="Z205" s="206"/>
    </row>
    <row r="206" spans="1:26">
      <c r="A206" s="406">
        <v>203</v>
      </c>
      <c r="B206" s="613" t="s">
        <v>6076</v>
      </c>
      <c r="C206" s="288" t="s">
        <v>446</v>
      </c>
      <c r="D206" s="414" t="s">
        <v>4498</v>
      </c>
      <c r="E206" s="407" t="s">
        <v>8619</v>
      </c>
      <c r="F206" s="483"/>
      <c r="G206" s="483"/>
      <c r="H206" s="483"/>
      <c r="I206" s="483"/>
      <c r="J206" s="483"/>
      <c r="K206" s="483"/>
      <c r="L206" s="608" t="s">
        <v>4884</v>
      </c>
      <c r="M206" s="409">
        <v>5583.5393700787399</v>
      </c>
      <c r="N206" s="409">
        <v>5583.5393700787399</v>
      </c>
      <c r="O206" s="410" t="s">
        <v>7575</v>
      </c>
      <c r="P206" s="406">
        <v>203</v>
      </c>
      <c r="Q206" s="470" t="s">
        <v>446</v>
      </c>
      <c r="R206" s="460" t="s">
        <v>447</v>
      </c>
      <c r="S206" s="270" t="s">
        <v>32</v>
      </c>
      <c r="U206" s="471">
        <v>1</v>
      </c>
      <c r="V206" s="471"/>
      <c r="W206" s="471" t="s">
        <v>447</v>
      </c>
      <c r="X206" s="471">
        <v>0</v>
      </c>
      <c r="Y206" s="206"/>
      <c r="Z206" s="206"/>
    </row>
    <row r="207" spans="1:26">
      <c r="A207" s="406">
        <v>204</v>
      </c>
      <c r="B207" s="613" t="s">
        <v>6077</v>
      </c>
      <c r="C207" s="288" t="s">
        <v>448</v>
      </c>
      <c r="D207" s="414" t="s">
        <v>4499</v>
      </c>
      <c r="E207" s="407" t="s">
        <v>8620</v>
      </c>
      <c r="F207" s="483"/>
      <c r="G207" s="483"/>
      <c r="H207" s="483"/>
      <c r="I207" s="483"/>
      <c r="J207" s="483"/>
      <c r="K207" s="483"/>
      <c r="L207" s="608" t="s">
        <v>4884</v>
      </c>
      <c r="M207" s="409">
        <v>5597.677165354331</v>
      </c>
      <c r="N207" s="409">
        <v>5597.677165354331</v>
      </c>
      <c r="O207" s="410" t="s">
        <v>7575</v>
      </c>
      <c r="P207" s="406">
        <v>204</v>
      </c>
      <c r="Q207" s="470" t="s">
        <v>448</v>
      </c>
      <c r="R207" s="460" t="s">
        <v>449</v>
      </c>
      <c r="S207" s="270" t="s">
        <v>32</v>
      </c>
      <c r="U207" s="471">
        <v>1</v>
      </c>
      <c r="V207" s="471"/>
      <c r="W207" s="471" t="s">
        <v>449</v>
      </c>
      <c r="X207" s="471">
        <v>0</v>
      </c>
      <c r="Y207" s="206"/>
      <c r="Z207" s="206"/>
    </row>
    <row r="208" spans="1:26">
      <c r="A208" s="406">
        <v>205</v>
      </c>
      <c r="B208" s="613" t="s">
        <v>6078</v>
      </c>
      <c r="C208" s="288" t="s">
        <v>450</v>
      </c>
      <c r="D208" s="414" t="s">
        <v>4578</v>
      </c>
      <c r="E208" s="407" t="s">
        <v>8621</v>
      </c>
      <c r="F208" s="483"/>
      <c r="G208" s="483"/>
      <c r="H208" s="483"/>
      <c r="I208" s="483"/>
      <c r="J208" s="483"/>
      <c r="K208" s="483"/>
      <c r="L208" s="608" t="s">
        <v>4884</v>
      </c>
      <c r="M208" s="409">
        <v>5596.496062992127</v>
      </c>
      <c r="N208" s="409">
        <v>5596.496062992127</v>
      </c>
      <c r="O208" s="410" t="s">
        <v>7575</v>
      </c>
      <c r="P208" s="406">
        <v>205</v>
      </c>
      <c r="Q208" s="470" t="s">
        <v>450</v>
      </c>
      <c r="R208" s="460" t="s">
        <v>451</v>
      </c>
      <c r="S208" s="270" t="s">
        <v>32</v>
      </c>
      <c r="U208" s="471">
        <v>1</v>
      </c>
      <c r="V208" s="471"/>
      <c r="W208" s="471" t="s">
        <v>451</v>
      </c>
      <c r="X208" s="471">
        <v>0</v>
      </c>
      <c r="Y208" s="206"/>
      <c r="Z208" s="206"/>
    </row>
    <row r="209" spans="1:26">
      <c r="A209" s="406">
        <v>206</v>
      </c>
      <c r="B209" s="613" t="s">
        <v>6079</v>
      </c>
      <c r="C209" s="288" t="s">
        <v>452</v>
      </c>
      <c r="D209" s="414" t="s">
        <v>4564</v>
      </c>
      <c r="E209" s="407" t="s">
        <v>8622</v>
      </c>
      <c r="F209" s="483"/>
      <c r="G209" s="483"/>
      <c r="H209" s="483"/>
      <c r="I209" s="483"/>
      <c r="J209" s="483"/>
      <c r="K209" s="483"/>
      <c r="L209" s="608" t="s">
        <v>4884</v>
      </c>
      <c r="M209" s="409">
        <v>4683.0433070866138</v>
      </c>
      <c r="N209" s="409">
        <v>4683.0433070866138</v>
      </c>
      <c r="O209" s="410" t="s">
        <v>7569</v>
      </c>
      <c r="P209" s="406">
        <v>206</v>
      </c>
      <c r="Q209" s="470" t="s">
        <v>452</v>
      </c>
      <c r="R209" s="460" t="s">
        <v>453</v>
      </c>
      <c r="S209" s="270" t="s">
        <v>32</v>
      </c>
      <c r="U209" s="471">
        <v>1</v>
      </c>
      <c r="V209" s="471"/>
      <c r="W209" s="471" t="s">
        <v>453</v>
      </c>
      <c r="X209" s="471">
        <v>0</v>
      </c>
      <c r="Y209" s="206"/>
      <c r="Z209" s="206"/>
    </row>
    <row r="210" spans="1:26">
      <c r="A210" s="406">
        <v>207</v>
      </c>
      <c r="B210" s="613" t="s">
        <v>6080</v>
      </c>
      <c r="C210" s="288" t="s">
        <v>454</v>
      </c>
      <c r="D210" s="414" t="s">
        <v>4566</v>
      </c>
      <c r="E210" s="407" t="s">
        <v>8623</v>
      </c>
      <c r="F210" s="483"/>
      <c r="G210" s="483"/>
      <c r="H210" s="483"/>
      <c r="I210" s="483"/>
      <c r="J210" s="483"/>
      <c r="K210" s="483"/>
      <c r="L210" s="608" t="s">
        <v>4884</v>
      </c>
      <c r="M210" s="409">
        <v>4684.248031496063</v>
      </c>
      <c r="N210" s="409">
        <v>4684.248031496063</v>
      </c>
      <c r="O210" s="410" t="s">
        <v>7569</v>
      </c>
      <c r="P210" s="406">
        <v>207</v>
      </c>
      <c r="Q210" s="470" t="s">
        <v>454</v>
      </c>
      <c r="R210" s="460" t="s">
        <v>455</v>
      </c>
      <c r="S210" s="270" t="s">
        <v>32</v>
      </c>
      <c r="U210" s="471">
        <v>1</v>
      </c>
      <c r="V210" s="471"/>
      <c r="W210" s="471" t="s">
        <v>455</v>
      </c>
      <c r="X210" s="471">
        <v>0</v>
      </c>
      <c r="Y210" s="206"/>
      <c r="Z210" s="206"/>
    </row>
    <row r="211" spans="1:26">
      <c r="A211" s="406">
        <v>208</v>
      </c>
      <c r="B211" s="613" t="s">
        <v>6081</v>
      </c>
      <c r="C211" s="288" t="s">
        <v>456</v>
      </c>
      <c r="D211" s="414" t="s">
        <v>4559</v>
      </c>
      <c r="E211" s="407" t="s">
        <v>8624</v>
      </c>
      <c r="F211" s="483"/>
      <c r="G211" s="483"/>
      <c r="H211" s="483"/>
      <c r="I211" s="483"/>
      <c r="J211" s="483"/>
      <c r="K211" s="483"/>
      <c r="L211" s="608" t="s">
        <v>4884</v>
      </c>
      <c r="M211" s="409">
        <v>4687.0590551181103</v>
      </c>
      <c r="N211" s="409">
        <v>4687.0590551181103</v>
      </c>
      <c r="O211" s="410" t="s">
        <v>7569</v>
      </c>
      <c r="P211" s="406">
        <v>208</v>
      </c>
      <c r="Q211" s="470" t="s">
        <v>456</v>
      </c>
      <c r="R211" s="460" t="s">
        <v>457</v>
      </c>
      <c r="S211" s="270" t="s">
        <v>32</v>
      </c>
      <c r="U211" s="471">
        <v>1</v>
      </c>
      <c r="V211" s="471"/>
      <c r="W211" s="471" t="s">
        <v>457</v>
      </c>
      <c r="X211" s="471">
        <v>0</v>
      </c>
      <c r="Y211" s="206"/>
      <c r="Z211" s="206"/>
    </row>
    <row r="212" spans="1:26">
      <c r="A212" s="406">
        <v>209</v>
      </c>
      <c r="B212" s="613" t="s">
        <v>6082</v>
      </c>
      <c r="C212" s="288" t="s">
        <v>458</v>
      </c>
      <c r="D212" s="414" t="s">
        <v>4562</v>
      </c>
      <c r="E212" s="407" t="s">
        <v>8625</v>
      </c>
      <c r="F212" s="483"/>
      <c r="G212" s="483"/>
      <c r="H212" s="483"/>
      <c r="I212" s="483"/>
      <c r="J212" s="483"/>
      <c r="K212" s="483"/>
      <c r="L212" s="608" t="s">
        <v>4884</v>
      </c>
      <c r="M212" s="409">
        <v>4689.287401574803</v>
      </c>
      <c r="N212" s="409">
        <v>4689.287401574803</v>
      </c>
      <c r="O212" s="410" t="s">
        <v>7569</v>
      </c>
      <c r="P212" s="406">
        <v>209</v>
      </c>
      <c r="Q212" s="470" t="s">
        <v>458</v>
      </c>
      <c r="R212" s="460" t="s">
        <v>459</v>
      </c>
      <c r="S212" s="270" t="s">
        <v>32</v>
      </c>
      <c r="U212" s="471">
        <v>1</v>
      </c>
      <c r="V212" s="471"/>
      <c r="W212" s="471" t="s">
        <v>459</v>
      </c>
      <c r="X212" s="471">
        <v>0</v>
      </c>
      <c r="Y212" s="206"/>
      <c r="Z212" s="206"/>
    </row>
    <row r="213" spans="1:26">
      <c r="A213" s="406">
        <v>210</v>
      </c>
      <c r="B213" s="613" t="s">
        <v>6083</v>
      </c>
      <c r="C213" s="288" t="s">
        <v>460</v>
      </c>
      <c r="D213" s="414" t="s">
        <v>4563</v>
      </c>
      <c r="E213" s="407" t="s">
        <v>8626</v>
      </c>
      <c r="F213" s="483"/>
      <c r="G213" s="483"/>
      <c r="H213" s="411"/>
      <c r="I213" s="411"/>
      <c r="J213" s="411"/>
      <c r="K213" s="411"/>
      <c r="L213" s="608" t="s">
        <v>4884</v>
      </c>
      <c r="M213" s="409">
        <v>4686.7677165354326</v>
      </c>
      <c r="N213" s="409">
        <v>4686.7677165354326</v>
      </c>
      <c r="O213" s="410" t="s">
        <v>7569</v>
      </c>
      <c r="P213" s="406">
        <v>210</v>
      </c>
      <c r="Q213" s="470" t="s">
        <v>460</v>
      </c>
      <c r="R213" s="460" t="s">
        <v>461</v>
      </c>
      <c r="S213" s="270" t="s">
        <v>32</v>
      </c>
      <c r="U213" s="471">
        <v>1</v>
      </c>
      <c r="V213" s="471"/>
      <c r="W213" s="471" t="s">
        <v>461</v>
      </c>
      <c r="X213" s="471">
        <v>0</v>
      </c>
      <c r="Y213" s="206"/>
      <c r="Z213" s="206"/>
    </row>
    <row r="214" spans="1:26">
      <c r="A214" s="406">
        <v>211</v>
      </c>
      <c r="B214" s="613" t="s">
        <v>6084</v>
      </c>
      <c r="C214" s="288" t="s">
        <v>462</v>
      </c>
      <c r="D214" s="414" t="s">
        <v>4568</v>
      </c>
      <c r="E214" s="407" t="s">
        <v>8627</v>
      </c>
      <c r="F214" s="483"/>
      <c r="G214" s="411"/>
      <c r="H214" s="411"/>
      <c r="I214" s="411"/>
      <c r="J214" s="411"/>
      <c r="K214" s="411"/>
      <c r="L214" s="608" t="s">
        <v>4884</v>
      </c>
      <c r="M214" s="409">
        <v>4685.0236220472443</v>
      </c>
      <c r="N214" s="409">
        <v>4685.0236220472443</v>
      </c>
      <c r="O214" s="410" t="s">
        <v>7569</v>
      </c>
      <c r="P214" s="406">
        <v>211</v>
      </c>
      <c r="Q214" s="470" t="s">
        <v>462</v>
      </c>
      <c r="R214" s="460" t="s">
        <v>463</v>
      </c>
      <c r="S214" s="270" t="s">
        <v>32</v>
      </c>
      <c r="U214" s="471">
        <v>1</v>
      </c>
      <c r="V214" s="471"/>
      <c r="W214" s="471" t="s">
        <v>463</v>
      </c>
      <c r="X214" s="471">
        <v>0</v>
      </c>
      <c r="Y214" s="206"/>
      <c r="Z214" s="206"/>
    </row>
    <row r="215" spans="1:26">
      <c r="A215" s="406">
        <v>212</v>
      </c>
      <c r="B215" s="613" t="s">
        <v>6085</v>
      </c>
      <c r="C215" s="288" t="s">
        <v>464</v>
      </c>
      <c r="D215" s="414" t="s">
        <v>4561</v>
      </c>
      <c r="E215" s="407" t="s">
        <v>8628</v>
      </c>
      <c r="F215" s="483"/>
      <c r="G215" s="411"/>
      <c r="H215" s="411"/>
      <c r="I215" s="483"/>
      <c r="J215" s="411"/>
      <c r="K215" s="411"/>
      <c r="L215" s="608" t="s">
        <v>4884</v>
      </c>
      <c r="M215" s="409">
        <v>4681.2362204724413</v>
      </c>
      <c r="N215" s="409">
        <v>4681.2362204724413</v>
      </c>
      <c r="O215" s="410" t="s">
        <v>7569</v>
      </c>
      <c r="P215" s="406">
        <v>212</v>
      </c>
      <c r="Q215" s="470" t="s">
        <v>464</v>
      </c>
      <c r="R215" s="460" t="s">
        <v>465</v>
      </c>
      <c r="S215" s="270" t="s">
        <v>32</v>
      </c>
      <c r="U215" s="471">
        <v>1</v>
      </c>
      <c r="V215" s="471"/>
      <c r="W215" s="471" t="s">
        <v>465</v>
      </c>
      <c r="X215" s="471">
        <v>0</v>
      </c>
      <c r="Y215" s="206"/>
      <c r="Z215" s="206"/>
    </row>
    <row r="216" spans="1:26">
      <c r="A216" s="406">
        <v>213</v>
      </c>
      <c r="B216" s="613" t="s">
        <v>6086</v>
      </c>
      <c r="C216" s="288" t="s">
        <v>466</v>
      </c>
      <c r="D216" s="414" t="s">
        <v>4565</v>
      </c>
      <c r="E216" s="407" t="s">
        <v>8629</v>
      </c>
      <c r="F216" s="483"/>
      <c r="G216" s="411"/>
      <c r="H216" s="411"/>
      <c r="I216" s="483"/>
      <c r="J216" s="411"/>
      <c r="K216" s="411"/>
      <c r="L216" s="608" t="s">
        <v>4884</v>
      </c>
      <c r="M216" s="409">
        <v>4686.2007874015753</v>
      </c>
      <c r="N216" s="409">
        <v>4686.2007874015753</v>
      </c>
      <c r="O216" s="410" t="s">
        <v>7569</v>
      </c>
      <c r="P216" s="406">
        <v>213</v>
      </c>
      <c r="Q216" s="470" t="s">
        <v>466</v>
      </c>
      <c r="R216" s="460" t="s">
        <v>467</v>
      </c>
      <c r="S216" s="270" t="s">
        <v>32</v>
      </c>
      <c r="U216" s="471">
        <v>1</v>
      </c>
      <c r="V216" s="471"/>
      <c r="W216" s="471" t="s">
        <v>467</v>
      </c>
      <c r="X216" s="471">
        <v>0</v>
      </c>
      <c r="Y216" s="206"/>
      <c r="Z216" s="206"/>
    </row>
    <row r="217" spans="1:26">
      <c r="A217" s="406">
        <v>214</v>
      </c>
      <c r="B217" s="613" t="s">
        <v>6087</v>
      </c>
      <c r="C217" s="288" t="s">
        <v>468</v>
      </c>
      <c r="D217" s="414" t="s">
        <v>4546</v>
      </c>
      <c r="E217" s="407" t="s">
        <v>8630</v>
      </c>
      <c r="F217" s="483"/>
      <c r="G217" s="483"/>
      <c r="H217" s="411"/>
      <c r="I217" s="411"/>
      <c r="J217" s="411"/>
      <c r="K217" s="411"/>
      <c r="L217" s="608" t="s">
        <v>4884</v>
      </c>
      <c r="M217" s="409">
        <v>6058.4763779527566</v>
      </c>
      <c r="N217" s="409">
        <v>6058.4763779527566</v>
      </c>
      <c r="O217" s="410" t="s">
        <v>7575</v>
      </c>
      <c r="P217" s="406">
        <v>214</v>
      </c>
      <c r="Q217" s="470" t="s">
        <v>468</v>
      </c>
      <c r="R217" s="460" t="s">
        <v>469</v>
      </c>
      <c r="S217" s="270" t="s">
        <v>32</v>
      </c>
      <c r="U217" s="471">
        <v>1</v>
      </c>
      <c r="V217" s="471"/>
      <c r="W217" s="471" t="s">
        <v>469</v>
      </c>
      <c r="X217" s="471">
        <v>0</v>
      </c>
      <c r="Y217" s="206"/>
      <c r="Z217" s="206"/>
    </row>
    <row r="218" spans="1:26">
      <c r="A218" s="406">
        <v>215</v>
      </c>
      <c r="B218" s="613" t="s">
        <v>6088</v>
      </c>
      <c r="C218" s="288" t="s">
        <v>470</v>
      </c>
      <c r="D218" s="414" t="s">
        <v>4545</v>
      </c>
      <c r="E218" s="407" t="s">
        <v>8631</v>
      </c>
      <c r="F218" s="483"/>
      <c r="G218" s="483"/>
      <c r="H218" s="411"/>
      <c r="I218" s="411"/>
      <c r="J218" s="411"/>
      <c r="K218" s="411"/>
      <c r="L218" s="608" t="s">
        <v>4884</v>
      </c>
      <c r="M218" s="409">
        <v>6060.7125984251979</v>
      </c>
      <c r="N218" s="409">
        <v>6060.7125984251979</v>
      </c>
      <c r="O218" s="410" t="s">
        <v>7575</v>
      </c>
      <c r="P218" s="406">
        <v>215</v>
      </c>
      <c r="Q218" s="470" t="s">
        <v>470</v>
      </c>
      <c r="R218" s="460" t="s">
        <v>471</v>
      </c>
      <c r="S218" s="270" t="s">
        <v>32</v>
      </c>
      <c r="U218" s="471">
        <v>1</v>
      </c>
      <c r="V218" s="471"/>
      <c r="W218" s="471" t="s">
        <v>471</v>
      </c>
      <c r="X218" s="471">
        <v>0</v>
      </c>
      <c r="Y218" s="206"/>
      <c r="Z218" s="206"/>
    </row>
    <row r="219" spans="1:26">
      <c r="A219" s="406">
        <v>216</v>
      </c>
      <c r="B219" s="613" t="s">
        <v>6089</v>
      </c>
      <c r="C219" s="288" t="s">
        <v>472</v>
      </c>
      <c r="D219" s="414" t="s">
        <v>4585</v>
      </c>
      <c r="E219" s="407" t="s">
        <v>8632</v>
      </c>
      <c r="F219" s="483"/>
      <c r="G219" s="483"/>
      <c r="H219" s="411"/>
      <c r="I219" s="411"/>
      <c r="J219" s="411"/>
      <c r="K219" s="411"/>
      <c r="L219" s="608" t="s">
        <v>4884</v>
      </c>
      <c r="M219" s="409">
        <v>6067.0039370078739</v>
      </c>
      <c r="N219" s="409">
        <v>6067.0039370078739</v>
      </c>
      <c r="O219" s="410" t="s">
        <v>7575</v>
      </c>
      <c r="P219" s="406">
        <v>216</v>
      </c>
      <c r="Q219" s="470" t="s">
        <v>472</v>
      </c>
      <c r="R219" s="460" t="s">
        <v>473</v>
      </c>
      <c r="S219" s="270" t="s">
        <v>32</v>
      </c>
      <c r="U219" s="471">
        <v>1</v>
      </c>
      <c r="V219" s="471"/>
      <c r="W219" s="471" t="s">
        <v>473</v>
      </c>
      <c r="X219" s="471">
        <v>0</v>
      </c>
      <c r="Y219" s="206"/>
      <c r="Z219" s="206"/>
    </row>
    <row r="220" spans="1:26">
      <c r="A220" s="406">
        <v>217</v>
      </c>
      <c r="B220" s="613" t="s">
        <v>6090</v>
      </c>
      <c r="C220" s="288" t="s">
        <v>474</v>
      </c>
      <c r="D220" s="414" t="s">
        <v>4583</v>
      </c>
      <c r="E220" s="407" t="s">
        <v>8633</v>
      </c>
      <c r="F220" s="483"/>
      <c r="G220" s="483"/>
      <c r="H220" s="411"/>
      <c r="I220" s="411"/>
      <c r="J220" s="411"/>
      <c r="K220" s="411"/>
      <c r="L220" s="608" t="s">
        <v>4884</v>
      </c>
      <c r="M220" s="409">
        <v>6057.5</v>
      </c>
      <c r="N220" s="409">
        <v>6057.5</v>
      </c>
      <c r="O220" s="410" t="s">
        <v>7575</v>
      </c>
      <c r="P220" s="406">
        <v>217</v>
      </c>
      <c r="Q220" s="470" t="s">
        <v>474</v>
      </c>
      <c r="R220" s="460" t="s">
        <v>475</v>
      </c>
      <c r="S220" s="270" t="s">
        <v>32</v>
      </c>
      <c r="U220" s="471">
        <v>1</v>
      </c>
      <c r="V220" s="471"/>
      <c r="W220" s="471" t="s">
        <v>475</v>
      </c>
      <c r="X220" s="471">
        <v>0</v>
      </c>
      <c r="Y220" s="206"/>
      <c r="Z220" s="206"/>
    </row>
    <row r="221" spans="1:26">
      <c r="A221" s="406">
        <v>218</v>
      </c>
      <c r="B221" s="613" t="s">
        <v>6091</v>
      </c>
      <c r="C221" s="288" t="s">
        <v>476</v>
      </c>
      <c r="D221" s="414" t="s">
        <v>4542</v>
      </c>
      <c r="E221" s="407" t="s">
        <v>8634</v>
      </c>
      <c r="F221" s="483"/>
      <c r="G221" s="483"/>
      <c r="H221" s="411"/>
      <c r="I221" s="411"/>
      <c r="J221" s="411"/>
      <c r="K221" s="411"/>
      <c r="L221" s="608" t="s">
        <v>4884</v>
      </c>
      <c r="M221" s="409">
        <v>6055.8031496062995</v>
      </c>
      <c r="N221" s="409">
        <v>6055.8031496062995</v>
      </c>
      <c r="O221" s="410" t="s">
        <v>7575</v>
      </c>
      <c r="P221" s="406">
        <v>218</v>
      </c>
      <c r="Q221" s="470" t="s">
        <v>476</v>
      </c>
      <c r="R221" s="460" t="s">
        <v>477</v>
      </c>
      <c r="S221" s="270" t="s">
        <v>32</v>
      </c>
      <c r="U221" s="471">
        <v>1</v>
      </c>
      <c r="V221" s="471"/>
      <c r="W221" s="471" t="s">
        <v>477</v>
      </c>
      <c r="X221" s="471">
        <v>0</v>
      </c>
      <c r="Y221" s="206"/>
      <c r="Z221" s="206"/>
    </row>
    <row r="222" spans="1:26">
      <c r="A222" s="406">
        <v>219</v>
      </c>
      <c r="B222" s="613" t="s">
        <v>6092</v>
      </c>
      <c r="C222" s="288" t="s">
        <v>478</v>
      </c>
      <c r="D222" s="414" t="s">
        <v>4544</v>
      </c>
      <c r="E222" s="407" t="s">
        <v>8635</v>
      </c>
      <c r="F222" s="483"/>
      <c r="G222" s="483"/>
      <c r="H222" s="411"/>
      <c r="I222" s="411"/>
      <c r="J222" s="411"/>
      <c r="K222" s="411"/>
      <c r="L222" s="608" t="s">
        <v>4884</v>
      </c>
      <c r="M222" s="409">
        <v>6063.1181102362207</v>
      </c>
      <c r="N222" s="409">
        <v>6063.1181102362207</v>
      </c>
      <c r="O222" s="410" t="s">
        <v>7575</v>
      </c>
      <c r="P222" s="406">
        <v>219</v>
      </c>
      <c r="Q222" s="470" t="s">
        <v>478</v>
      </c>
      <c r="R222" s="460" t="s">
        <v>479</v>
      </c>
      <c r="S222" s="270" t="s">
        <v>32</v>
      </c>
      <c r="U222" s="471">
        <v>1</v>
      </c>
      <c r="V222" s="471"/>
      <c r="W222" s="471" t="s">
        <v>479</v>
      </c>
      <c r="X222" s="471">
        <v>0</v>
      </c>
      <c r="Y222" s="206"/>
      <c r="Z222" s="206"/>
    </row>
    <row r="223" spans="1:26">
      <c r="A223" s="406">
        <v>220</v>
      </c>
      <c r="B223" s="613" t="s">
        <v>6093</v>
      </c>
      <c r="C223" s="288" t="s">
        <v>480</v>
      </c>
      <c r="D223" s="414" t="s">
        <v>4619</v>
      </c>
      <c r="E223" s="407" t="s">
        <v>8636</v>
      </c>
      <c r="F223" s="483"/>
      <c r="G223" s="483"/>
      <c r="H223" s="411"/>
      <c r="I223" s="411"/>
      <c r="J223" s="411"/>
      <c r="K223" s="411"/>
      <c r="L223" s="608" t="s">
        <v>4884</v>
      </c>
      <c r="M223" s="409">
        <v>6068.8858267716532</v>
      </c>
      <c r="N223" s="409">
        <v>6068.8858267716532</v>
      </c>
      <c r="O223" s="410" t="s">
        <v>7575</v>
      </c>
      <c r="P223" s="406">
        <v>220</v>
      </c>
      <c r="Q223" s="470" t="s">
        <v>480</v>
      </c>
      <c r="R223" s="460" t="s">
        <v>481</v>
      </c>
      <c r="S223" s="270" t="s">
        <v>32</v>
      </c>
      <c r="U223" s="471">
        <v>1</v>
      </c>
      <c r="V223" s="471"/>
      <c r="W223" s="471" t="s">
        <v>481</v>
      </c>
      <c r="X223" s="471">
        <v>0</v>
      </c>
      <c r="Y223" s="206"/>
      <c r="Z223" s="206"/>
    </row>
    <row r="224" spans="1:26">
      <c r="A224" s="406">
        <v>221</v>
      </c>
      <c r="B224" s="613" t="s">
        <v>6094</v>
      </c>
      <c r="C224" s="288" t="s">
        <v>482</v>
      </c>
      <c r="D224" s="414" t="s">
        <v>4622</v>
      </c>
      <c r="E224" s="407" t="s">
        <v>8637</v>
      </c>
      <c r="F224" s="483"/>
      <c r="G224" s="483"/>
      <c r="H224" s="411"/>
      <c r="I224" s="411"/>
      <c r="J224" s="411"/>
      <c r="K224" s="411"/>
      <c r="L224" s="608" t="s">
        <v>4884</v>
      </c>
      <c r="M224" s="409">
        <v>6057.8149606299221</v>
      </c>
      <c r="N224" s="409">
        <v>6057.8149606299221</v>
      </c>
      <c r="O224" s="410" t="s">
        <v>7575</v>
      </c>
      <c r="P224" s="406">
        <v>221</v>
      </c>
      <c r="Q224" s="470" t="s">
        <v>482</v>
      </c>
      <c r="R224" s="460" t="s">
        <v>483</v>
      </c>
      <c r="S224" s="270" t="s">
        <v>32</v>
      </c>
      <c r="U224" s="471">
        <v>1</v>
      </c>
      <c r="V224" s="471"/>
      <c r="W224" s="471" t="s">
        <v>483</v>
      </c>
      <c r="X224" s="471">
        <v>0</v>
      </c>
      <c r="Y224" s="206"/>
      <c r="Z224" s="206"/>
    </row>
    <row r="225" spans="1:26">
      <c r="A225" s="406">
        <v>222</v>
      </c>
      <c r="B225" s="613" t="s">
        <v>6095</v>
      </c>
      <c r="C225" s="288" t="s">
        <v>484</v>
      </c>
      <c r="D225" s="414" t="s">
        <v>4555</v>
      </c>
      <c r="E225" s="407" t="s">
        <v>8638</v>
      </c>
      <c r="F225" s="483"/>
      <c r="G225" s="483"/>
      <c r="H225" s="411"/>
      <c r="I225" s="411"/>
      <c r="J225" s="411"/>
      <c r="K225" s="411"/>
      <c r="L225" s="608" t="s">
        <v>4884</v>
      </c>
      <c r="M225" s="409">
        <v>5192.5511811023625</v>
      </c>
      <c r="N225" s="409">
        <v>5192.5511811023625</v>
      </c>
      <c r="O225" s="410" t="s">
        <v>7576</v>
      </c>
      <c r="P225" s="406">
        <v>222</v>
      </c>
      <c r="Q225" s="470" t="s">
        <v>484</v>
      </c>
      <c r="R225" s="460" t="s">
        <v>485</v>
      </c>
      <c r="S225" s="270" t="s">
        <v>32</v>
      </c>
      <c r="U225" s="471">
        <v>1</v>
      </c>
      <c r="V225" s="471"/>
      <c r="W225" s="471" t="s">
        <v>485</v>
      </c>
      <c r="X225" s="471">
        <v>0</v>
      </c>
      <c r="Y225" s="206"/>
      <c r="Z225" s="206"/>
    </row>
    <row r="226" spans="1:26">
      <c r="A226" s="406">
        <v>223</v>
      </c>
      <c r="B226" s="613" t="s">
        <v>6096</v>
      </c>
      <c r="C226" s="288" t="s">
        <v>486</v>
      </c>
      <c r="D226" s="414" t="s">
        <v>4567</v>
      </c>
      <c r="E226" s="407" t="s">
        <v>8639</v>
      </c>
      <c r="F226" s="483"/>
      <c r="G226" s="483"/>
      <c r="H226" s="411"/>
      <c r="I226" s="411"/>
      <c r="J226" s="411"/>
      <c r="K226" s="411"/>
      <c r="L226" s="608" t="s">
        <v>4884</v>
      </c>
      <c r="M226" s="409">
        <v>5202.6850393700788</v>
      </c>
      <c r="N226" s="409">
        <v>5202.6850393700788</v>
      </c>
      <c r="O226" s="410" t="s">
        <v>7576</v>
      </c>
      <c r="P226" s="406">
        <v>223</v>
      </c>
      <c r="Q226" s="470" t="s">
        <v>486</v>
      </c>
      <c r="R226" s="460" t="s">
        <v>487</v>
      </c>
      <c r="S226" s="270" t="s">
        <v>32</v>
      </c>
      <c r="U226" s="471">
        <v>1</v>
      </c>
      <c r="V226" s="471"/>
      <c r="W226" s="471" t="s">
        <v>487</v>
      </c>
      <c r="X226" s="471">
        <v>0</v>
      </c>
      <c r="Y226" s="206"/>
      <c r="Z226" s="206"/>
    </row>
    <row r="227" spans="1:26">
      <c r="A227" s="406">
        <v>224</v>
      </c>
      <c r="B227" s="613" t="s">
        <v>6097</v>
      </c>
      <c r="C227" s="288" t="s">
        <v>488</v>
      </c>
      <c r="D227" s="414" t="s">
        <v>4616</v>
      </c>
      <c r="E227" s="407" t="s">
        <v>8640</v>
      </c>
      <c r="F227" s="483"/>
      <c r="G227" s="483"/>
      <c r="H227" s="411"/>
      <c r="I227" s="411"/>
      <c r="J227" s="411"/>
      <c r="K227" s="411"/>
      <c r="L227" s="608" t="s">
        <v>4884</v>
      </c>
      <c r="M227" s="409">
        <v>5196.8110236220473</v>
      </c>
      <c r="N227" s="409">
        <v>5196.8110236220473</v>
      </c>
      <c r="O227" s="410" t="s">
        <v>7576</v>
      </c>
      <c r="P227" s="406">
        <v>224</v>
      </c>
      <c r="Q227" s="470" t="s">
        <v>488</v>
      </c>
      <c r="R227" s="460" t="s">
        <v>489</v>
      </c>
      <c r="S227" s="270" t="s">
        <v>32</v>
      </c>
      <c r="U227" s="471">
        <v>1</v>
      </c>
      <c r="V227" s="471"/>
      <c r="W227" s="471" t="s">
        <v>489</v>
      </c>
      <c r="X227" s="471">
        <v>0</v>
      </c>
      <c r="Y227" s="206"/>
      <c r="Z227" s="206"/>
    </row>
    <row r="228" spans="1:26">
      <c r="A228" s="406">
        <v>225</v>
      </c>
      <c r="B228" s="613" t="s">
        <v>6098</v>
      </c>
      <c r="C228" s="288" t="s">
        <v>490</v>
      </c>
      <c r="D228" s="414" t="s">
        <v>4614</v>
      </c>
      <c r="E228" s="407" t="s">
        <v>8641</v>
      </c>
      <c r="F228" s="483"/>
      <c r="G228" s="483"/>
      <c r="H228" s="411"/>
      <c r="I228" s="411"/>
      <c r="J228" s="411"/>
      <c r="K228" s="411"/>
      <c r="L228" s="608" t="s">
        <v>4884</v>
      </c>
      <c r="M228" s="409">
        <v>5194.8543307086611</v>
      </c>
      <c r="N228" s="409">
        <v>5194.8543307086611</v>
      </c>
      <c r="O228" s="410" t="s">
        <v>7576</v>
      </c>
      <c r="P228" s="406">
        <v>225</v>
      </c>
      <c r="Q228" s="470" t="s">
        <v>490</v>
      </c>
      <c r="R228" s="460" t="s">
        <v>491</v>
      </c>
      <c r="S228" s="270" t="s">
        <v>32</v>
      </c>
      <c r="U228" s="471">
        <v>1</v>
      </c>
      <c r="V228" s="471"/>
      <c r="W228" s="471" t="s">
        <v>491</v>
      </c>
      <c r="X228" s="471">
        <v>0</v>
      </c>
      <c r="Y228" s="206"/>
      <c r="Z228" s="206"/>
    </row>
    <row r="229" spans="1:26">
      <c r="A229" s="406">
        <v>226</v>
      </c>
      <c r="B229" s="613" t="s">
        <v>6099</v>
      </c>
      <c r="C229" s="288" t="s">
        <v>492</v>
      </c>
      <c r="D229" s="414" t="s">
        <v>4558</v>
      </c>
      <c r="E229" s="407" t="s">
        <v>8642</v>
      </c>
      <c r="F229" s="483"/>
      <c r="G229" s="483"/>
      <c r="H229" s="411"/>
      <c r="I229" s="411"/>
      <c r="J229" s="411"/>
      <c r="K229" s="411"/>
      <c r="L229" s="608" t="s">
        <v>4884</v>
      </c>
      <c r="M229" s="409">
        <v>5192.6496062992128</v>
      </c>
      <c r="N229" s="409">
        <v>5192.6496062992128</v>
      </c>
      <c r="O229" s="410" t="s">
        <v>7576</v>
      </c>
      <c r="P229" s="406">
        <v>226</v>
      </c>
      <c r="Q229" s="470" t="s">
        <v>492</v>
      </c>
      <c r="R229" s="460" t="s">
        <v>493</v>
      </c>
      <c r="S229" s="270" t="s">
        <v>32</v>
      </c>
      <c r="U229" s="471">
        <v>1</v>
      </c>
      <c r="V229" s="471"/>
      <c r="W229" s="471" t="s">
        <v>493</v>
      </c>
      <c r="X229" s="471">
        <v>0</v>
      </c>
      <c r="Y229" s="206"/>
      <c r="Z229" s="206"/>
    </row>
    <row r="230" spans="1:26">
      <c r="A230" s="406">
        <v>227</v>
      </c>
      <c r="B230" s="613" t="s">
        <v>6100</v>
      </c>
      <c r="C230" s="288" t="s">
        <v>494</v>
      </c>
      <c r="D230" s="414" t="s">
        <v>4557</v>
      </c>
      <c r="E230" s="407" t="s">
        <v>8643</v>
      </c>
      <c r="F230" s="483"/>
      <c r="G230" s="483"/>
      <c r="H230" s="411"/>
      <c r="I230" s="411"/>
      <c r="J230" s="411"/>
      <c r="K230" s="411"/>
      <c r="L230" s="608" t="s">
        <v>4884</v>
      </c>
      <c r="M230" s="409">
        <v>5196.8740157480315</v>
      </c>
      <c r="N230" s="409">
        <v>5196.8740157480315</v>
      </c>
      <c r="O230" s="410" t="s">
        <v>7576</v>
      </c>
      <c r="P230" s="406">
        <v>227</v>
      </c>
      <c r="Q230" s="470" t="s">
        <v>494</v>
      </c>
      <c r="R230" s="460" t="s">
        <v>495</v>
      </c>
      <c r="S230" s="270" t="s">
        <v>32</v>
      </c>
      <c r="U230" s="471">
        <v>1</v>
      </c>
      <c r="V230" s="471"/>
      <c r="W230" s="471" t="s">
        <v>495</v>
      </c>
      <c r="X230" s="471">
        <v>0</v>
      </c>
      <c r="Y230" s="206"/>
      <c r="Z230" s="206"/>
    </row>
    <row r="231" spans="1:26">
      <c r="A231" s="406">
        <v>228</v>
      </c>
      <c r="B231" s="613" t="s">
        <v>6101</v>
      </c>
      <c r="C231" s="288" t="s">
        <v>496</v>
      </c>
      <c r="D231" s="414" t="s">
        <v>4618</v>
      </c>
      <c r="E231" s="407" t="s">
        <v>8644</v>
      </c>
      <c r="F231" s="483"/>
      <c r="G231" s="483"/>
      <c r="H231" s="411"/>
      <c r="I231" s="411"/>
      <c r="J231" s="411"/>
      <c r="K231" s="411"/>
      <c r="L231" s="608" t="s">
        <v>4884</v>
      </c>
      <c r="M231" s="409">
        <v>5192.3818897637802</v>
      </c>
      <c r="N231" s="409">
        <v>5192.3818897637802</v>
      </c>
      <c r="O231" s="410" t="s">
        <v>7576</v>
      </c>
      <c r="P231" s="406">
        <v>228</v>
      </c>
      <c r="Q231" s="470" t="s">
        <v>496</v>
      </c>
      <c r="R231" s="460" t="s">
        <v>497</v>
      </c>
      <c r="S231" s="270" t="s">
        <v>32</v>
      </c>
      <c r="U231" s="471">
        <v>1</v>
      </c>
      <c r="V231" s="471"/>
      <c r="W231" s="471" t="s">
        <v>497</v>
      </c>
      <c r="X231" s="471">
        <v>0</v>
      </c>
      <c r="Y231" s="206"/>
      <c r="Z231" s="206"/>
    </row>
    <row r="232" spans="1:26">
      <c r="A232" s="406">
        <v>229</v>
      </c>
      <c r="B232" s="613" t="s">
        <v>6102</v>
      </c>
      <c r="C232" s="288" t="s">
        <v>498</v>
      </c>
      <c r="D232" s="414" t="s">
        <v>4560</v>
      </c>
      <c r="E232" s="407" t="s">
        <v>8645</v>
      </c>
      <c r="F232" s="483"/>
      <c r="G232" s="483"/>
      <c r="H232" s="411"/>
      <c r="I232" s="411"/>
      <c r="J232" s="411"/>
      <c r="K232" s="411"/>
      <c r="L232" s="608" t="s">
        <v>4884</v>
      </c>
      <c r="M232" s="409">
        <v>5196.9881889763783</v>
      </c>
      <c r="N232" s="409">
        <v>5196.9881889763783</v>
      </c>
      <c r="O232" s="410" t="s">
        <v>7576</v>
      </c>
      <c r="P232" s="406">
        <v>229</v>
      </c>
      <c r="Q232" s="470" t="s">
        <v>498</v>
      </c>
      <c r="R232" s="460" t="s">
        <v>499</v>
      </c>
      <c r="S232" s="270" t="s">
        <v>32</v>
      </c>
      <c r="U232" s="471">
        <v>1</v>
      </c>
      <c r="V232" s="471"/>
      <c r="W232" s="471" t="s">
        <v>499</v>
      </c>
      <c r="X232" s="471">
        <v>0</v>
      </c>
      <c r="Y232" s="206"/>
      <c r="Z232" s="206"/>
    </row>
    <row r="233" spans="1:26">
      <c r="A233" s="406">
        <v>230</v>
      </c>
      <c r="B233" s="613" t="s">
        <v>6103</v>
      </c>
      <c r="C233" s="288" t="s">
        <v>500</v>
      </c>
      <c r="D233" s="414" t="s">
        <v>4610</v>
      </c>
      <c r="E233" s="407" t="s">
        <v>8646</v>
      </c>
      <c r="F233" s="483"/>
      <c r="G233" s="483"/>
      <c r="H233" s="411"/>
      <c r="I233" s="411"/>
      <c r="J233" s="411"/>
      <c r="K233" s="411"/>
      <c r="L233" s="608" t="s">
        <v>4884</v>
      </c>
      <c r="M233" s="409">
        <v>6181.9960629921261</v>
      </c>
      <c r="N233" s="409">
        <v>6181.9960629921261</v>
      </c>
      <c r="O233" s="410" t="s">
        <v>7569</v>
      </c>
      <c r="P233" s="406">
        <v>230</v>
      </c>
      <c r="Q233" s="470" t="s">
        <v>500</v>
      </c>
      <c r="R233" s="460" t="s">
        <v>501</v>
      </c>
      <c r="S233" s="270" t="s">
        <v>32</v>
      </c>
      <c r="U233" s="471">
        <v>1</v>
      </c>
      <c r="V233" s="471"/>
      <c r="W233" s="471" t="s">
        <v>501</v>
      </c>
      <c r="X233" s="471">
        <v>0</v>
      </c>
      <c r="Y233" s="206"/>
      <c r="Z233" s="206"/>
    </row>
    <row r="234" spans="1:26">
      <c r="A234" s="406">
        <v>231</v>
      </c>
      <c r="B234" s="613" t="s">
        <v>6104</v>
      </c>
      <c r="C234" s="288" t="s">
        <v>502</v>
      </c>
      <c r="D234" s="414" t="s">
        <v>4612</v>
      </c>
      <c r="E234" s="407" t="s">
        <v>8647</v>
      </c>
      <c r="F234" s="483"/>
      <c r="G234" s="483"/>
      <c r="H234" s="411"/>
      <c r="I234" s="411"/>
      <c r="J234" s="411"/>
      <c r="K234" s="411"/>
      <c r="L234" s="608" t="s">
        <v>4884</v>
      </c>
      <c r="M234" s="409">
        <v>6179.0157480314965</v>
      </c>
      <c r="N234" s="409">
        <v>6179.0157480314965</v>
      </c>
      <c r="O234" s="410" t="s">
        <v>7569</v>
      </c>
      <c r="P234" s="406">
        <v>231</v>
      </c>
      <c r="Q234" s="470" t="s">
        <v>502</v>
      </c>
      <c r="R234" s="460" t="s">
        <v>503</v>
      </c>
      <c r="S234" s="270" t="s">
        <v>32</v>
      </c>
      <c r="U234" s="471">
        <v>1</v>
      </c>
      <c r="V234" s="471"/>
      <c r="W234" s="471" t="s">
        <v>503</v>
      </c>
      <c r="X234" s="471">
        <v>0</v>
      </c>
      <c r="Y234" s="206"/>
      <c r="Z234" s="206"/>
    </row>
    <row r="235" spans="1:26">
      <c r="A235" s="406">
        <v>232</v>
      </c>
      <c r="B235" s="613" t="s">
        <v>6105</v>
      </c>
      <c r="C235" s="288" t="s">
        <v>504</v>
      </c>
      <c r="D235" s="414" t="s">
        <v>4603</v>
      </c>
      <c r="E235" s="407" t="s">
        <v>8648</v>
      </c>
      <c r="F235" s="483"/>
      <c r="G235" s="483"/>
      <c r="H235" s="411"/>
      <c r="I235" s="411"/>
      <c r="J235" s="411"/>
      <c r="K235" s="411"/>
      <c r="L235" s="608" t="s">
        <v>4884</v>
      </c>
      <c r="M235" s="409">
        <v>6180.8858267716532</v>
      </c>
      <c r="N235" s="409">
        <v>6180.8858267716532</v>
      </c>
      <c r="O235" s="410" t="s">
        <v>7569</v>
      </c>
      <c r="P235" s="406">
        <v>232</v>
      </c>
      <c r="Q235" s="470" t="s">
        <v>504</v>
      </c>
      <c r="R235" s="460" t="s">
        <v>505</v>
      </c>
      <c r="S235" s="270" t="s">
        <v>32</v>
      </c>
      <c r="U235" s="471">
        <v>1</v>
      </c>
      <c r="V235" s="471"/>
      <c r="W235" s="471" t="s">
        <v>505</v>
      </c>
      <c r="X235" s="471">
        <v>0</v>
      </c>
      <c r="Y235" s="206"/>
      <c r="Z235" s="206"/>
    </row>
    <row r="236" spans="1:26">
      <c r="A236" s="406">
        <v>233</v>
      </c>
      <c r="B236" s="613" t="s">
        <v>6106</v>
      </c>
      <c r="C236" s="288" t="s">
        <v>506</v>
      </c>
      <c r="D236" s="414" t="s">
        <v>4606</v>
      </c>
      <c r="E236" s="407" t="s">
        <v>8649</v>
      </c>
      <c r="F236" s="483"/>
      <c r="G236" s="483"/>
      <c r="H236" s="411"/>
      <c r="I236" s="411"/>
      <c r="J236" s="411"/>
      <c r="K236" s="411"/>
      <c r="L236" s="608" t="s">
        <v>4884</v>
      </c>
      <c r="M236" s="409">
        <v>6179.1614173228354</v>
      </c>
      <c r="N236" s="409">
        <v>6179.1614173228354</v>
      </c>
      <c r="O236" s="410" t="s">
        <v>7569</v>
      </c>
      <c r="P236" s="406">
        <v>233</v>
      </c>
      <c r="Q236" s="470" t="s">
        <v>506</v>
      </c>
      <c r="R236" s="460" t="s">
        <v>507</v>
      </c>
      <c r="S236" s="270" t="s">
        <v>32</v>
      </c>
      <c r="U236" s="471">
        <v>1</v>
      </c>
      <c r="V236" s="471"/>
      <c r="W236" s="471" t="s">
        <v>507</v>
      </c>
      <c r="X236" s="471">
        <v>0</v>
      </c>
      <c r="Y236" s="206"/>
      <c r="Z236" s="206"/>
    </row>
    <row r="237" spans="1:26">
      <c r="A237" s="406">
        <v>234</v>
      </c>
      <c r="B237" s="613" t="s">
        <v>6107</v>
      </c>
      <c r="C237" s="288" t="s">
        <v>508</v>
      </c>
      <c r="D237" s="414" t="s">
        <v>4607</v>
      </c>
      <c r="E237" s="407" t="s">
        <v>8650</v>
      </c>
      <c r="F237" s="483"/>
      <c r="G237" s="483"/>
      <c r="H237" s="411"/>
      <c r="I237" s="411"/>
      <c r="J237" s="411"/>
      <c r="K237" s="411"/>
      <c r="L237" s="608" t="s">
        <v>4884</v>
      </c>
      <c r="M237" s="409">
        <v>6184.5196850393704</v>
      </c>
      <c r="N237" s="409">
        <v>6184.5196850393704</v>
      </c>
      <c r="O237" s="410" t="s">
        <v>7569</v>
      </c>
      <c r="P237" s="406">
        <v>234</v>
      </c>
      <c r="Q237" s="470" t="s">
        <v>508</v>
      </c>
      <c r="R237" s="460" t="s">
        <v>509</v>
      </c>
      <c r="S237" s="270" t="s">
        <v>32</v>
      </c>
      <c r="U237" s="471">
        <v>1</v>
      </c>
      <c r="V237" s="471"/>
      <c r="W237" s="471" t="s">
        <v>509</v>
      </c>
      <c r="X237" s="471">
        <v>0</v>
      </c>
      <c r="Y237" s="206"/>
      <c r="Z237" s="206"/>
    </row>
    <row r="238" spans="1:26">
      <c r="A238" s="406">
        <v>235</v>
      </c>
      <c r="B238" s="613" t="s">
        <v>6108</v>
      </c>
      <c r="C238" s="288" t="s">
        <v>510</v>
      </c>
      <c r="D238" s="414" t="s">
        <v>4608</v>
      </c>
      <c r="E238" s="407" t="s">
        <v>8651</v>
      </c>
      <c r="F238" s="483"/>
      <c r="G238" s="483"/>
      <c r="H238" s="411"/>
      <c r="I238" s="411"/>
      <c r="J238" s="411"/>
      <c r="K238" s="411"/>
      <c r="L238" s="608" t="s">
        <v>4884</v>
      </c>
      <c r="M238" s="409">
        <v>6178.8582677165359</v>
      </c>
      <c r="N238" s="409">
        <v>6178.8582677165359</v>
      </c>
      <c r="O238" s="410" t="s">
        <v>7569</v>
      </c>
      <c r="P238" s="406">
        <v>235</v>
      </c>
      <c r="Q238" s="470" t="s">
        <v>510</v>
      </c>
      <c r="R238" s="460" t="s">
        <v>511</v>
      </c>
      <c r="S238" s="270" t="s">
        <v>32</v>
      </c>
      <c r="U238" s="471">
        <v>1</v>
      </c>
      <c r="V238" s="471"/>
      <c r="W238" s="471" t="s">
        <v>511</v>
      </c>
      <c r="X238" s="471">
        <v>0</v>
      </c>
      <c r="Y238" s="206"/>
      <c r="Z238" s="206"/>
    </row>
    <row r="239" spans="1:26">
      <c r="A239" s="406">
        <v>236</v>
      </c>
      <c r="B239" s="613" t="s">
        <v>6109</v>
      </c>
      <c r="C239" s="288" t="s">
        <v>512</v>
      </c>
      <c r="D239" s="414" t="s">
        <v>4605</v>
      </c>
      <c r="E239" s="407" t="s">
        <v>8652</v>
      </c>
      <c r="F239" s="483"/>
      <c r="G239" s="483"/>
      <c r="H239" s="411"/>
      <c r="I239" s="411"/>
      <c r="J239" s="411"/>
      <c r="K239" s="411"/>
      <c r="L239" s="608" t="s">
        <v>4884</v>
      </c>
      <c r="M239" s="409">
        <v>6176.9133858267714</v>
      </c>
      <c r="N239" s="409">
        <v>6176.9133858267714</v>
      </c>
      <c r="O239" s="410" t="s">
        <v>7569</v>
      </c>
      <c r="P239" s="406">
        <v>236</v>
      </c>
      <c r="Q239" s="470" t="s">
        <v>512</v>
      </c>
      <c r="R239" s="460" t="s">
        <v>513</v>
      </c>
      <c r="S239" s="270" t="s">
        <v>32</v>
      </c>
      <c r="U239" s="471">
        <v>1</v>
      </c>
      <c r="V239" s="471"/>
      <c r="W239" s="471" t="s">
        <v>513</v>
      </c>
      <c r="X239" s="471">
        <v>0</v>
      </c>
      <c r="Y239" s="206"/>
      <c r="Z239" s="206"/>
    </row>
    <row r="240" spans="1:26">
      <c r="A240" s="406">
        <v>237</v>
      </c>
      <c r="B240" s="613" t="s">
        <v>6110</v>
      </c>
      <c r="C240" s="288" t="s">
        <v>514</v>
      </c>
      <c r="D240" s="414" t="s">
        <v>4609</v>
      </c>
      <c r="E240" s="407" t="s">
        <v>8653</v>
      </c>
      <c r="F240" s="483"/>
      <c r="G240" s="483"/>
      <c r="H240" s="411"/>
      <c r="I240" s="411"/>
      <c r="J240" s="411"/>
      <c r="K240" s="411"/>
      <c r="L240" s="608" t="s">
        <v>4884</v>
      </c>
      <c r="M240" s="409">
        <v>6185.177165354331</v>
      </c>
      <c r="N240" s="409">
        <v>6185.177165354331</v>
      </c>
      <c r="O240" s="410" t="s">
        <v>7569</v>
      </c>
      <c r="P240" s="406">
        <v>237</v>
      </c>
      <c r="Q240" s="470" t="s">
        <v>514</v>
      </c>
      <c r="R240" s="460" t="s">
        <v>515</v>
      </c>
      <c r="S240" s="270" t="s">
        <v>32</v>
      </c>
      <c r="U240" s="471">
        <v>1</v>
      </c>
      <c r="V240" s="471"/>
      <c r="W240" s="471" t="s">
        <v>515</v>
      </c>
      <c r="X240" s="471">
        <v>0</v>
      </c>
      <c r="Y240" s="206"/>
      <c r="Z240" s="206"/>
    </row>
    <row r="241" spans="1:26">
      <c r="A241" s="406">
        <v>238</v>
      </c>
      <c r="B241" s="613" t="s">
        <v>6111</v>
      </c>
      <c r="C241" s="288" t="s">
        <v>516</v>
      </c>
      <c r="D241" s="414" t="s">
        <v>3433</v>
      </c>
      <c r="E241" s="407" t="s">
        <v>8654</v>
      </c>
      <c r="F241" s="483"/>
      <c r="G241" s="483"/>
      <c r="H241" s="411"/>
      <c r="I241" s="411"/>
      <c r="J241" s="411"/>
      <c r="K241" s="411"/>
      <c r="L241" s="608" t="s">
        <v>4884</v>
      </c>
      <c r="M241" s="409">
        <v>7164.9763779527557</v>
      </c>
      <c r="N241" s="409">
        <v>7164.9763779527557</v>
      </c>
      <c r="O241" s="410" t="s">
        <v>7572</v>
      </c>
      <c r="P241" s="406">
        <v>238</v>
      </c>
      <c r="Q241" s="470" t="s">
        <v>516</v>
      </c>
      <c r="R241" s="460" t="s">
        <v>517</v>
      </c>
      <c r="S241" s="270" t="s">
        <v>32</v>
      </c>
      <c r="U241" s="471">
        <v>1</v>
      </c>
      <c r="V241" s="471"/>
      <c r="W241" s="471" t="s">
        <v>517</v>
      </c>
      <c r="X241" s="471">
        <v>0</v>
      </c>
      <c r="Y241" s="206"/>
      <c r="Z241" s="206"/>
    </row>
    <row r="242" spans="1:26">
      <c r="A242" s="406">
        <v>239</v>
      </c>
      <c r="B242" s="613" t="s">
        <v>6112</v>
      </c>
      <c r="C242" s="288" t="s">
        <v>518</v>
      </c>
      <c r="D242" s="414" t="s">
        <v>3432</v>
      </c>
      <c r="E242" s="407" t="s">
        <v>8655</v>
      </c>
      <c r="F242" s="483"/>
      <c r="G242" s="483"/>
      <c r="H242" s="411"/>
      <c r="I242" s="411"/>
      <c r="J242" s="411"/>
      <c r="K242" s="411"/>
      <c r="L242" s="608" t="s">
        <v>4884</v>
      </c>
      <c r="M242" s="409">
        <v>7169.5472440944886</v>
      </c>
      <c r="N242" s="409">
        <v>7169.5472440944886</v>
      </c>
      <c r="O242" s="410" t="s">
        <v>7572</v>
      </c>
      <c r="P242" s="406">
        <v>239</v>
      </c>
      <c r="Q242" s="470" t="s">
        <v>518</v>
      </c>
      <c r="R242" s="460" t="s">
        <v>519</v>
      </c>
      <c r="S242" s="270" t="s">
        <v>32</v>
      </c>
      <c r="U242" s="471">
        <v>1</v>
      </c>
      <c r="V242" s="471"/>
      <c r="W242" s="471" t="s">
        <v>519</v>
      </c>
      <c r="X242" s="471">
        <v>0</v>
      </c>
      <c r="Y242" s="206"/>
      <c r="Z242" s="206"/>
    </row>
    <row r="243" spans="1:26">
      <c r="A243" s="406">
        <v>240</v>
      </c>
      <c r="B243" s="613" t="s">
        <v>6113</v>
      </c>
      <c r="C243" s="288" t="s">
        <v>520</v>
      </c>
      <c r="D243" s="414" t="s">
        <v>3382</v>
      </c>
      <c r="E243" s="407" t="s">
        <v>8656</v>
      </c>
      <c r="F243" s="483"/>
      <c r="G243" s="483"/>
      <c r="H243" s="411"/>
      <c r="I243" s="411"/>
      <c r="J243" s="411"/>
      <c r="K243" s="411"/>
      <c r="L243" s="608" t="s">
        <v>4884</v>
      </c>
      <c r="M243" s="409">
        <v>7159.6653543307093</v>
      </c>
      <c r="N243" s="409">
        <v>7159.6653543307093</v>
      </c>
      <c r="O243" s="410" t="s">
        <v>7572</v>
      </c>
      <c r="P243" s="406">
        <v>240</v>
      </c>
      <c r="Q243" s="470" t="s">
        <v>520</v>
      </c>
      <c r="R243" s="460" t="s">
        <v>521</v>
      </c>
      <c r="S243" s="270" t="s">
        <v>32</v>
      </c>
      <c r="U243" s="471">
        <v>1</v>
      </c>
      <c r="V243" s="471"/>
      <c r="W243" s="471" t="s">
        <v>521</v>
      </c>
      <c r="X243" s="471">
        <v>0</v>
      </c>
      <c r="Y243" s="206"/>
      <c r="Z243" s="206"/>
    </row>
    <row r="244" spans="1:26">
      <c r="A244" s="406">
        <v>241</v>
      </c>
      <c r="B244" s="613" t="s">
        <v>6114</v>
      </c>
      <c r="C244" s="288" t="s">
        <v>522</v>
      </c>
      <c r="D244" s="414" t="s">
        <v>3380</v>
      </c>
      <c r="E244" s="407" t="s">
        <v>8657</v>
      </c>
      <c r="F244" s="483"/>
      <c r="G244" s="483"/>
      <c r="H244" s="411"/>
      <c r="I244" s="411"/>
      <c r="J244" s="411"/>
      <c r="K244" s="411"/>
      <c r="L244" s="608" t="s">
        <v>4884</v>
      </c>
      <c r="M244" s="409">
        <v>7158.8228346456699</v>
      </c>
      <c r="N244" s="409">
        <v>7158.8228346456699</v>
      </c>
      <c r="O244" s="410" t="s">
        <v>7572</v>
      </c>
      <c r="P244" s="406">
        <v>241</v>
      </c>
      <c r="Q244" s="470" t="s">
        <v>522</v>
      </c>
      <c r="R244" s="460" t="s">
        <v>523</v>
      </c>
      <c r="S244" s="270" t="s">
        <v>32</v>
      </c>
      <c r="U244" s="471">
        <v>1</v>
      </c>
      <c r="V244" s="471"/>
      <c r="W244" s="471" t="s">
        <v>523</v>
      </c>
      <c r="X244" s="471">
        <v>0</v>
      </c>
      <c r="Y244" s="206"/>
      <c r="Z244" s="206"/>
    </row>
    <row r="245" spans="1:26">
      <c r="A245" s="406">
        <v>242</v>
      </c>
      <c r="B245" s="613" t="s">
        <v>6115</v>
      </c>
      <c r="C245" s="288" t="s">
        <v>524</v>
      </c>
      <c r="D245" s="414" t="s">
        <v>3430</v>
      </c>
      <c r="E245" s="407" t="s">
        <v>8658</v>
      </c>
      <c r="F245" s="483"/>
      <c r="G245" s="483"/>
      <c r="H245" s="411"/>
      <c r="I245" s="411"/>
      <c r="J245" s="411"/>
      <c r="K245" s="411"/>
      <c r="L245" s="608" t="s">
        <v>4884</v>
      </c>
      <c r="M245" s="409">
        <v>7160.7165354330718</v>
      </c>
      <c r="N245" s="409">
        <v>7160.7165354330718</v>
      </c>
      <c r="O245" s="410" t="s">
        <v>7572</v>
      </c>
      <c r="P245" s="406">
        <v>242</v>
      </c>
      <c r="Q245" s="470" t="s">
        <v>524</v>
      </c>
      <c r="R245" s="460" t="s">
        <v>525</v>
      </c>
      <c r="S245" s="270" t="s">
        <v>32</v>
      </c>
      <c r="U245" s="471">
        <v>1</v>
      </c>
      <c r="V245" s="471"/>
      <c r="W245" s="471" t="s">
        <v>525</v>
      </c>
      <c r="X245" s="471">
        <v>0</v>
      </c>
      <c r="Y245" s="206"/>
      <c r="Z245" s="206"/>
    </row>
    <row r="246" spans="1:26">
      <c r="A246" s="406">
        <v>243</v>
      </c>
      <c r="B246" s="613" t="s">
        <v>6116</v>
      </c>
      <c r="C246" s="288" t="s">
        <v>526</v>
      </c>
      <c r="D246" s="414" t="s">
        <v>3431</v>
      </c>
      <c r="E246" s="407" t="s">
        <v>8659</v>
      </c>
      <c r="F246" s="483"/>
      <c r="G246" s="483"/>
      <c r="H246" s="411"/>
      <c r="I246" s="411"/>
      <c r="J246" s="411"/>
      <c r="K246" s="411"/>
      <c r="L246" s="608" t="s">
        <v>4884</v>
      </c>
      <c r="M246" s="409">
        <v>7161.3031496062995</v>
      </c>
      <c r="N246" s="409">
        <v>7161.3031496062995</v>
      </c>
      <c r="O246" s="410" t="s">
        <v>7572</v>
      </c>
      <c r="P246" s="406">
        <v>243</v>
      </c>
      <c r="Q246" s="470" t="s">
        <v>526</v>
      </c>
      <c r="R246" s="460" t="s">
        <v>527</v>
      </c>
      <c r="S246" s="270" t="s">
        <v>32</v>
      </c>
      <c r="U246" s="471">
        <v>1</v>
      </c>
      <c r="V246" s="471"/>
      <c r="W246" s="471" t="s">
        <v>527</v>
      </c>
      <c r="X246" s="471">
        <v>0</v>
      </c>
      <c r="Y246" s="206"/>
      <c r="Z246" s="206"/>
    </row>
    <row r="247" spans="1:26">
      <c r="A247" s="406">
        <v>244</v>
      </c>
      <c r="B247" s="613" t="s">
        <v>6117</v>
      </c>
      <c r="C247" s="288" t="s">
        <v>528</v>
      </c>
      <c r="D247" s="414" t="s">
        <v>3424</v>
      </c>
      <c r="E247" s="407" t="s">
        <v>8660</v>
      </c>
      <c r="F247" s="483"/>
      <c r="G247" s="483"/>
      <c r="H247" s="411"/>
      <c r="I247" s="411"/>
      <c r="J247" s="411"/>
      <c r="K247" s="411"/>
      <c r="L247" s="608" t="s">
        <v>4884</v>
      </c>
      <c r="M247" s="409">
        <v>7171.1653543307093</v>
      </c>
      <c r="N247" s="409">
        <v>7171.1653543307093</v>
      </c>
      <c r="O247" s="410" t="s">
        <v>7572</v>
      </c>
      <c r="P247" s="406">
        <v>244</v>
      </c>
      <c r="Q247" s="470" t="s">
        <v>528</v>
      </c>
      <c r="R247" s="460" t="s">
        <v>529</v>
      </c>
      <c r="S247" s="270" t="s">
        <v>32</v>
      </c>
      <c r="U247" s="471">
        <v>1</v>
      </c>
      <c r="V247" s="471"/>
      <c r="W247" s="471" t="s">
        <v>529</v>
      </c>
      <c r="X247" s="471">
        <v>0</v>
      </c>
      <c r="Y247" s="206"/>
      <c r="Z247" s="206"/>
    </row>
    <row r="248" spans="1:26">
      <c r="A248" s="406">
        <v>245</v>
      </c>
      <c r="B248" s="613" t="s">
        <v>6118</v>
      </c>
      <c r="C248" s="288" t="s">
        <v>530</v>
      </c>
      <c r="D248" s="414" t="s">
        <v>3384</v>
      </c>
      <c r="E248" s="407" t="s">
        <v>8661</v>
      </c>
      <c r="F248" s="483"/>
      <c r="G248" s="483"/>
      <c r="H248" s="411"/>
      <c r="I248" s="411"/>
      <c r="J248" s="411"/>
      <c r="K248" s="411"/>
      <c r="L248" s="608" t="s">
        <v>4884</v>
      </c>
      <c r="M248" s="409">
        <v>7165.1456692913389</v>
      </c>
      <c r="N248" s="409">
        <v>7165.1456692913389</v>
      </c>
      <c r="O248" s="410" t="s">
        <v>7572</v>
      </c>
      <c r="P248" s="406">
        <v>245</v>
      </c>
      <c r="Q248" s="470" t="s">
        <v>530</v>
      </c>
      <c r="R248" s="460" t="s">
        <v>531</v>
      </c>
      <c r="S248" s="270" t="s">
        <v>32</v>
      </c>
      <c r="U248" s="471">
        <v>1</v>
      </c>
      <c r="V248" s="471"/>
      <c r="W248" s="471" t="s">
        <v>531</v>
      </c>
      <c r="X248" s="471">
        <v>0</v>
      </c>
      <c r="Y248" s="206"/>
      <c r="Z248" s="206"/>
    </row>
    <row r="249" spans="1:26">
      <c r="A249" s="406">
        <v>246</v>
      </c>
      <c r="B249" s="613" t="s">
        <v>6119</v>
      </c>
      <c r="C249" s="288" t="s">
        <v>532</v>
      </c>
      <c r="D249" s="414" t="s">
        <v>3385</v>
      </c>
      <c r="E249" s="407" t="s">
        <v>8662</v>
      </c>
      <c r="F249" s="483"/>
      <c r="G249" s="411"/>
      <c r="H249" s="411"/>
      <c r="I249" s="411"/>
      <c r="J249" s="411"/>
      <c r="K249" s="411"/>
      <c r="L249" s="608" t="s">
        <v>4884</v>
      </c>
      <c r="M249" s="409">
        <v>6731.818897637796</v>
      </c>
      <c r="N249" s="409">
        <v>6731.818897637796</v>
      </c>
      <c r="O249" s="410" t="s">
        <v>7573</v>
      </c>
      <c r="P249" s="406">
        <v>246</v>
      </c>
      <c r="Q249" s="470" t="s">
        <v>532</v>
      </c>
      <c r="R249" s="460" t="s">
        <v>533</v>
      </c>
      <c r="S249" s="270" t="s">
        <v>32</v>
      </c>
      <c r="U249" s="471">
        <v>1</v>
      </c>
      <c r="V249" s="471"/>
      <c r="W249" s="471" t="s">
        <v>533</v>
      </c>
      <c r="X249" s="471">
        <v>0</v>
      </c>
      <c r="Y249" s="206"/>
      <c r="Z249" s="206"/>
    </row>
    <row r="250" spans="1:26">
      <c r="A250" s="406">
        <v>247</v>
      </c>
      <c r="B250" s="613" t="s">
        <v>6120</v>
      </c>
      <c r="C250" s="288" t="s">
        <v>534</v>
      </c>
      <c r="D250" s="414" t="s">
        <v>3391</v>
      </c>
      <c r="E250" s="407" t="s">
        <v>8663</v>
      </c>
      <c r="F250" s="483"/>
      <c r="G250" s="411"/>
      <c r="H250" s="411"/>
      <c r="I250" s="411"/>
      <c r="J250" s="411"/>
      <c r="K250" s="411"/>
      <c r="L250" s="608" t="s">
        <v>4884</v>
      </c>
      <c r="M250" s="409">
        <v>6734.8818897637802</v>
      </c>
      <c r="N250" s="409">
        <v>6734.8818897637802</v>
      </c>
      <c r="O250" s="410" t="s">
        <v>7573</v>
      </c>
      <c r="P250" s="406">
        <v>247</v>
      </c>
      <c r="Q250" s="470" t="s">
        <v>534</v>
      </c>
      <c r="R250" s="460" t="s">
        <v>535</v>
      </c>
      <c r="S250" s="270" t="s">
        <v>32</v>
      </c>
      <c r="U250" s="471">
        <v>1</v>
      </c>
      <c r="V250" s="471"/>
      <c r="W250" s="471" t="s">
        <v>535</v>
      </c>
      <c r="X250" s="471">
        <v>0</v>
      </c>
      <c r="Y250" s="206"/>
      <c r="Z250" s="206"/>
    </row>
    <row r="251" spans="1:26">
      <c r="A251" s="406">
        <v>248</v>
      </c>
      <c r="B251" s="613" t="s">
        <v>6121</v>
      </c>
      <c r="C251" s="288" t="s">
        <v>536</v>
      </c>
      <c r="D251" s="414" t="s">
        <v>3389</v>
      </c>
      <c r="E251" s="407" t="s">
        <v>8664</v>
      </c>
      <c r="F251" s="483"/>
      <c r="G251" s="411"/>
      <c r="H251" s="411"/>
      <c r="I251" s="411"/>
      <c r="J251" s="411"/>
      <c r="K251" s="411"/>
      <c r="L251" s="608" t="s">
        <v>4884</v>
      </c>
      <c r="M251" s="409">
        <v>6736.5629921259842</v>
      </c>
      <c r="N251" s="409">
        <v>6736.5629921259842</v>
      </c>
      <c r="O251" s="410" t="s">
        <v>7573</v>
      </c>
      <c r="P251" s="406">
        <v>248</v>
      </c>
      <c r="Q251" s="470" t="s">
        <v>536</v>
      </c>
      <c r="R251" s="460" t="s">
        <v>537</v>
      </c>
      <c r="S251" s="270" t="s">
        <v>32</v>
      </c>
      <c r="U251" s="471">
        <v>1</v>
      </c>
      <c r="V251" s="471"/>
      <c r="W251" s="471" t="s">
        <v>537</v>
      </c>
      <c r="X251" s="471">
        <v>0</v>
      </c>
      <c r="Y251" s="206"/>
      <c r="Z251" s="206"/>
    </row>
    <row r="252" spans="1:26">
      <c r="A252" s="406">
        <v>249</v>
      </c>
      <c r="B252" s="613" t="s">
        <v>6122</v>
      </c>
      <c r="C252" s="288" t="s">
        <v>538</v>
      </c>
      <c r="D252" s="414" t="s">
        <v>3360</v>
      </c>
      <c r="E252" s="407" t="s">
        <v>8665</v>
      </c>
      <c r="F252" s="483"/>
      <c r="G252" s="411"/>
      <c r="H252" s="411"/>
      <c r="I252" s="411"/>
      <c r="J252" s="411"/>
      <c r="K252" s="411"/>
      <c r="L252" s="608" t="s">
        <v>4884</v>
      </c>
      <c r="M252" s="409">
        <v>6736.5236220472443</v>
      </c>
      <c r="N252" s="409">
        <v>6736.5236220472443</v>
      </c>
      <c r="O252" s="410" t="s">
        <v>7573</v>
      </c>
      <c r="P252" s="406">
        <v>249</v>
      </c>
      <c r="Q252" s="470" t="s">
        <v>538</v>
      </c>
      <c r="R252" s="460" t="s">
        <v>539</v>
      </c>
      <c r="S252" s="270" t="s">
        <v>32</v>
      </c>
      <c r="U252" s="471">
        <v>1</v>
      </c>
      <c r="V252" s="471"/>
      <c r="W252" s="471" t="s">
        <v>539</v>
      </c>
      <c r="X252" s="471">
        <v>0</v>
      </c>
      <c r="Y252" s="206"/>
      <c r="Z252" s="206"/>
    </row>
    <row r="253" spans="1:26">
      <c r="A253" s="406">
        <v>250</v>
      </c>
      <c r="B253" s="613" t="s">
        <v>6123</v>
      </c>
      <c r="C253" s="288" t="s">
        <v>540</v>
      </c>
      <c r="D253" s="414" t="s">
        <v>3379</v>
      </c>
      <c r="E253" s="407" t="s">
        <v>8666</v>
      </c>
      <c r="F253" s="483"/>
      <c r="G253" s="411"/>
      <c r="H253" s="411"/>
      <c r="I253" s="411"/>
      <c r="J253" s="411"/>
      <c r="K253" s="411"/>
      <c r="L253" s="608" t="s">
        <v>4884</v>
      </c>
      <c r="M253" s="409">
        <v>6733.8740157480315</v>
      </c>
      <c r="N253" s="409">
        <v>6733.8740157480315</v>
      </c>
      <c r="O253" s="410" t="s">
        <v>7573</v>
      </c>
      <c r="P253" s="406">
        <v>250</v>
      </c>
      <c r="Q253" s="470" t="s">
        <v>540</v>
      </c>
      <c r="R253" s="460" t="s">
        <v>541</v>
      </c>
      <c r="S253" s="270" t="s">
        <v>32</v>
      </c>
      <c r="U253" s="471">
        <v>1</v>
      </c>
      <c r="V253" s="471"/>
      <c r="W253" s="471" t="s">
        <v>541</v>
      </c>
      <c r="X253" s="471">
        <v>0</v>
      </c>
      <c r="Y253" s="206"/>
      <c r="Z253" s="206"/>
    </row>
    <row r="254" spans="1:26">
      <c r="A254" s="406">
        <v>251</v>
      </c>
      <c r="B254" s="613" t="s">
        <v>6124</v>
      </c>
      <c r="C254" s="288" t="s">
        <v>542</v>
      </c>
      <c r="D254" s="414" t="s">
        <v>3387</v>
      </c>
      <c r="E254" s="407" t="s">
        <v>8667</v>
      </c>
      <c r="F254" s="483"/>
      <c r="G254" s="411"/>
      <c r="H254" s="411"/>
      <c r="I254" s="411"/>
      <c r="J254" s="411"/>
      <c r="K254" s="411"/>
      <c r="L254" s="608" t="s">
        <v>4884</v>
      </c>
      <c r="M254" s="409">
        <v>6737.0393700787408</v>
      </c>
      <c r="N254" s="409">
        <v>6737.0393700787408</v>
      </c>
      <c r="O254" s="410" t="s">
        <v>7573</v>
      </c>
      <c r="P254" s="406">
        <v>251</v>
      </c>
      <c r="Q254" s="470" t="s">
        <v>542</v>
      </c>
      <c r="R254" s="460" t="s">
        <v>543</v>
      </c>
      <c r="S254" s="270" t="s">
        <v>32</v>
      </c>
      <c r="U254" s="471">
        <v>1</v>
      </c>
      <c r="V254" s="471"/>
      <c r="W254" s="471" t="s">
        <v>543</v>
      </c>
      <c r="X254" s="471">
        <v>0</v>
      </c>
      <c r="Y254" s="206"/>
      <c r="Z254" s="206"/>
    </row>
    <row r="255" spans="1:26">
      <c r="A255" s="406">
        <v>252</v>
      </c>
      <c r="B255" s="613" t="s">
        <v>6125</v>
      </c>
      <c r="C255" s="288" t="s">
        <v>544</v>
      </c>
      <c r="D255" s="414" t="s">
        <v>3386</v>
      </c>
      <c r="E255" s="407" t="s">
        <v>8668</v>
      </c>
      <c r="F255" s="483"/>
      <c r="G255" s="411"/>
      <c r="H255" s="411"/>
      <c r="I255" s="411"/>
      <c r="J255" s="411"/>
      <c r="K255" s="411"/>
      <c r="L255" s="608" t="s">
        <v>4884</v>
      </c>
      <c r="M255" s="409">
        <v>6730.3543307086611</v>
      </c>
      <c r="N255" s="409">
        <v>6730.3543307086611</v>
      </c>
      <c r="O255" s="410" t="s">
        <v>7573</v>
      </c>
      <c r="P255" s="406">
        <v>252</v>
      </c>
      <c r="Q255" s="470" t="s">
        <v>544</v>
      </c>
      <c r="R255" s="460" t="s">
        <v>545</v>
      </c>
      <c r="S255" s="270" t="s">
        <v>32</v>
      </c>
      <c r="U255" s="471">
        <v>1</v>
      </c>
      <c r="V255" s="471"/>
      <c r="W255" s="471" t="s">
        <v>545</v>
      </c>
      <c r="X255" s="471">
        <v>0</v>
      </c>
      <c r="Y255" s="206"/>
      <c r="Z255" s="206"/>
    </row>
    <row r="256" spans="1:26">
      <c r="A256" s="406">
        <v>253</v>
      </c>
      <c r="B256" s="613" t="s">
        <v>6126</v>
      </c>
      <c r="C256" s="288" t="s">
        <v>546</v>
      </c>
      <c r="D256" s="414" t="s">
        <v>3388</v>
      </c>
      <c r="E256" s="407" t="s">
        <v>8669</v>
      </c>
      <c r="F256" s="483"/>
      <c r="G256" s="411"/>
      <c r="H256" s="411"/>
      <c r="I256" s="411"/>
      <c r="J256" s="411"/>
      <c r="K256" s="411"/>
      <c r="L256" s="608" t="s">
        <v>4884</v>
      </c>
      <c r="M256" s="409">
        <v>6735.4881889763783</v>
      </c>
      <c r="N256" s="409">
        <v>6735.4881889763783</v>
      </c>
      <c r="O256" s="410" t="s">
        <v>7573</v>
      </c>
      <c r="P256" s="406">
        <v>253</v>
      </c>
      <c r="Q256" s="470" t="s">
        <v>546</v>
      </c>
      <c r="R256" s="460" t="s">
        <v>547</v>
      </c>
      <c r="S256" s="270" t="s">
        <v>32</v>
      </c>
      <c r="U256" s="471">
        <v>1</v>
      </c>
      <c r="V256" s="471"/>
      <c r="W256" s="471" t="s">
        <v>547</v>
      </c>
      <c r="X256" s="471">
        <v>0</v>
      </c>
      <c r="Y256" s="206"/>
      <c r="Z256" s="206"/>
    </row>
    <row r="257" spans="1:26">
      <c r="A257" s="406">
        <v>254</v>
      </c>
      <c r="B257" s="613" t="s">
        <v>6127</v>
      </c>
      <c r="C257" s="288" t="s">
        <v>548</v>
      </c>
      <c r="D257" s="414" t="s">
        <v>3365</v>
      </c>
      <c r="E257" s="407" t="s">
        <v>8670</v>
      </c>
      <c r="F257" s="483"/>
      <c r="G257" s="411"/>
      <c r="H257" s="411"/>
      <c r="I257" s="411"/>
      <c r="J257" s="411"/>
      <c r="K257" s="411"/>
      <c r="L257" s="608" t="s">
        <v>4884</v>
      </c>
      <c r="M257" s="409">
        <v>5592.2440944881891</v>
      </c>
      <c r="N257" s="409">
        <v>5592.2440944881891</v>
      </c>
      <c r="O257" s="410" t="s">
        <v>7574</v>
      </c>
      <c r="P257" s="406">
        <v>254</v>
      </c>
      <c r="Q257" s="470" t="s">
        <v>548</v>
      </c>
      <c r="R257" s="460" t="s">
        <v>549</v>
      </c>
      <c r="S257" s="270" t="s">
        <v>32</v>
      </c>
      <c r="U257" s="471">
        <v>1</v>
      </c>
      <c r="V257" s="471"/>
      <c r="W257" s="471" t="s">
        <v>549</v>
      </c>
      <c r="X257" s="471">
        <v>0</v>
      </c>
      <c r="Y257" s="206"/>
      <c r="Z257" s="206"/>
    </row>
    <row r="258" spans="1:26">
      <c r="A258" s="406">
        <v>255</v>
      </c>
      <c r="B258" s="613" t="s">
        <v>6128</v>
      </c>
      <c r="C258" s="288" t="s">
        <v>550</v>
      </c>
      <c r="D258" s="414" t="s">
        <v>3367</v>
      </c>
      <c r="E258" s="407" t="s">
        <v>8671</v>
      </c>
      <c r="F258" s="483"/>
      <c r="G258" s="411"/>
      <c r="H258" s="411"/>
      <c r="I258" s="411"/>
      <c r="J258" s="411"/>
      <c r="K258" s="411"/>
      <c r="L258" s="608" t="s">
        <v>4884</v>
      </c>
      <c r="M258" s="409">
        <v>5591.2086614173222</v>
      </c>
      <c r="N258" s="409">
        <v>5591.2086614173222</v>
      </c>
      <c r="O258" s="410" t="s">
        <v>7574</v>
      </c>
      <c r="P258" s="406">
        <v>255</v>
      </c>
      <c r="Q258" s="470" t="s">
        <v>550</v>
      </c>
      <c r="R258" s="460" t="s">
        <v>551</v>
      </c>
      <c r="S258" s="270" t="s">
        <v>32</v>
      </c>
      <c r="U258" s="471">
        <v>1</v>
      </c>
      <c r="V258" s="471"/>
      <c r="W258" s="471" t="s">
        <v>551</v>
      </c>
      <c r="X258" s="471">
        <v>0</v>
      </c>
      <c r="Y258" s="206"/>
      <c r="Z258" s="206"/>
    </row>
    <row r="259" spans="1:26">
      <c r="A259" s="406">
        <v>256</v>
      </c>
      <c r="B259" s="613" t="s">
        <v>6129</v>
      </c>
      <c r="C259" s="288" t="s">
        <v>552</v>
      </c>
      <c r="D259" s="414" t="s">
        <v>4535</v>
      </c>
      <c r="E259" s="407" t="s">
        <v>8672</v>
      </c>
      <c r="F259" s="483"/>
      <c r="G259" s="411"/>
      <c r="H259" s="411"/>
      <c r="I259" s="411"/>
      <c r="J259" s="411"/>
      <c r="K259" s="411"/>
      <c r="L259" s="608" t="s">
        <v>4884</v>
      </c>
      <c r="M259" s="409">
        <v>5591.9763779527566</v>
      </c>
      <c r="N259" s="409">
        <v>5591.9763779527566</v>
      </c>
      <c r="O259" s="410" t="s">
        <v>7574</v>
      </c>
      <c r="P259" s="406">
        <v>256</v>
      </c>
      <c r="Q259" s="470" t="s">
        <v>552</v>
      </c>
      <c r="R259" s="460" t="s">
        <v>553</v>
      </c>
      <c r="S259" s="270" t="s">
        <v>32</v>
      </c>
      <c r="U259" s="471">
        <v>1</v>
      </c>
      <c r="V259" s="471"/>
      <c r="W259" s="471" t="s">
        <v>553</v>
      </c>
      <c r="X259" s="471">
        <v>0</v>
      </c>
      <c r="Y259" s="206"/>
      <c r="Z259" s="206"/>
    </row>
    <row r="260" spans="1:26">
      <c r="A260" s="406">
        <v>257</v>
      </c>
      <c r="B260" s="613" t="s">
        <v>6130</v>
      </c>
      <c r="C260" s="288" t="s">
        <v>554</v>
      </c>
      <c r="D260" s="414" t="s">
        <v>4580</v>
      </c>
      <c r="E260" s="407" t="s">
        <v>8673</v>
      </c>
      <c r="F260" s="483"/>
      <c r="G260" s="411"/>
      <c r="H260" s="411"/>
      <c r="I260" s="411"/>
      <c r="J260" s="411"/>
      <c r="K260" s="411"/>
      <c r="L260" s="608" t="s">
        <v>4884</v>
      </c>
      <c r="M260" s="409">
        <v>5588.9330708661419</v>
      </c>
      <c r="N260" s="409">
        <v>5588.9330708661419</v>
      </c>
      <c r="O260" s="410" t="s">
        <v>7574</v>
      </c>
      <c r="P260" s="406">
        <v>257</v>
      </c>
      <c r="Q260" s="470" t="s">
        <v>554</v>
      </c>
      <c r="R260" s="460" t="s">
        <v>555</v>
      </c>
      <c r="S260" s="270" t="s">
        <v>32</v>
      </c>
      <c r="U260" s="471">
        <v>1</v>
      </c>
      <c r="V260" s="471"/>
      <c r="W260" s="471" t="s">
        <v>555</v>
      </c>
      <c r="X260" s="471">
        <v>0</v>
      </c>
      <c r="Y260" s="206"/>
      <c r="Z260" s="206"/>
    </row>
    <row r="261" spans="1:26">
      <c r="A261" s="406">
        <v>258</v>
      </c>
      <c r="B261" s="613" t="s">
        <v>6131</v>
      </c>
      <c r="C261" s="288" t="s">
        <v>556</v>
      </c>
      <c r="D261" s="414" t="s">
        <v>3348</v>
      </c>
      <c r="E261" s="407" t="s">
        <v>8674</v>
      </c>
      <c r="F261" s="483"/>
      <c r="G261" s="411"/>
      <c r="H261" s="411"/>
      <c r="I261" s="411"/>
      <c r="J261" s="411"/>
      <c r="K261" s="411"/>
      <c r="L261" s="608" t="s">
        <v>4884</v>
      </c>
      <c r="M261" s="409">
        <v>5590.7559055118118</v>
      </c>
      <c r="N261" s="409">
        <v>5590.7559055118118</v>
      </c>
      <c r="O261" s="410" t="s">
        <v>7574</v>
      </c>
      <c r="P261" s="406">
        <v>258</v>
      </c>
      <c r="Q261" s="470" t="s">
        <v>556</v>
      </c>
      <c r="R261" s="460" t="s">
        <v>557</v>
      </c>
      <c r="S261" s="270" t="s">
        <v>32</v>
      </c>
      <c r="U261" s="471">
        <v>1</v>
      </c>
      <c r="V261" s="471"/>
      <c r="W261" s="471" t="s">
        <v>557</v>
      </c>
      <c r="X261" s="471">
        <v>0</v>
      </c>
      <c r="Y261" s="206"/>
      <c r="Z261" s="206"/>
    </row>
    <row r="262" spans="1:26">
      <c r="A262" s="406">
        <v>259</v>
      </c>
      <c r="B262" s="613" t="s">
        <v>6132</v>
      </c>
      <c r="C262" s="288" t="s">
        <v>558</v>
      </c>
      <c r="D262" s="414" t="s">
        <v>3350</v>
      </c>
      <c r="E262" s="407" t="s">
        <v>8675</v>
      </c>
      <c r="F262" s="483"/>
      <c r="G262" s="411"/>
      <c r="H262" s="411"/>
      <c r="I262" s="411"/>
      <c r="J262" s="411"/>
      <c r="K262" s="411"/>
      <c r="L262" s="608" t="s">
        <v>4884</v>
      </c>
      <c r="M262" s="409">
        <v>5592.6338582677163</v>
      </c>
      <c r="N262" s="409">
        <v>5592.6338582677163</v>
      </c>
      <c r="O262" s="410" t="s">
        <v>7574</v>
      </c>
      <c r="P262" s="406">
        <v>259</v>
      </c>
      <c r="Q262" s="470" t="s">
        <v>558</v>
      </c>
      <c r="R262" s="460" t="s">
        <v>559</v>
      </c>
      <c r="S262" s="270" t="s">
        <v>32</v>
      </c>
      <c r="U262" s="471">
        <v>1</v>
      </c>
      <c r="V262" s="471"/>
      <c r="W262" s="471" t="s">
        <v>559</v>
      </c>
      <c r="X262" s="471">
        <v>0</v>
      </c>
      <c r="Y262" s="206"/>
      <c r="Z262" s="206"/>
    </row>
    <row r="263" spans="1:26">
      <c r="A263" s="406">
        <v>260</v>
      </c>
      <c r="B263" s="613" t="s">
        <v>6133</v>
      </c>
      <c r="C263" s="288" t="s">
        <v>560</v>
      </c>
      <c r="D263" s="414" t="s">
        <v>4536</v>
      </c>
      <c r="E263" s="407" t="s">
        <v>8676</v>
      </c>
      <c r="F263" s="483"/>
      <c r="G263" s="411"/>
      <c r="H263" s="411"/>
      <c r="I263" s="411"/>
      <c r="J263" s="411"/>
      <c r="K263" s="411"/>
      <c r="L263" s="608" t="s">
        <v>4884</v>
      </c>
      <c r="M263" s="409">
        <v>5591.0984251968512</v>
      </c>
      <c r="N263" s="409">
        <v>5591.0984251968512</v>
      </c>
      <c r="O263" s="410" t="s">
        <v>7574</v>
      </c>
      <c r="P263" s="406">
        <v>260</v>
      </c>
      <c r="Q263" s="470" t="s">
        <v>560</v>
      </c>
      <c r="R263" s="460" t="s">
        <v>561</v>
      </c>
      <c r="S263" s="270" t="s">
        <v>32</v>
      </c>
      <c r="U263" s="471">
        <v>1</v>
      </c>
      <c r="V263" s="471"/>
      <c r="W263" s="471" t="s">
        <v>561</v>
      </c>
      <c r="X263" s="471">
        <v>0</v>
      </c>
      <c r="Y263" s="206"/>
      <c r="Z263" s="206"/>
    </row>
    <row r="264" spans="1:26">
      <c r="A264" s="406">
        <v>261</v>
      </c>
      <c r="B264" s="613" t="s">
        <v>6134</v>
      </c>
      <c r="C264" s="288" t="s">
        <v>562</v>
      </c>
      <c r="D264" s="414" t="s">
        <v>4532</v>
      </c>
      <c r="E264" s="407" t="s">
        <v>8677</v>
      </c>
      <c r="F264" s="483"/>
      <c r="G264" s="411"/>
      <c r="H264" s="411"/>
      <c r="I264" s="411"/>
      <c r="J264" s="411"/>
      <c r="K264" s="411"/>
      <c r="L264" s="608" t="s">
        <v>4884</v>
      </c>
      <c r="M264" s="409">
        <v>5591.3858267716532</v>
      </c>
      <c r="N264" s="409">
        <v>5591.3858267716532</v>
      </c>
      <c r="O264" s="410" t="s">
        <v>7574</v>
      </c>
      <c r="P264" s="406">
        <v>261</v>
      </c>
      <c r="Q264" s="470" t="s">
        <v>562</v>
      </c>
      <c r="R264" s="460" t="s">
        <v>563</v>
      </c>
      <c r="S264" s="270" t="s">
        <v>32</v>
      </c>
      <c r="U264" s="471">
        <v>1</v>
      </c>
      <c r="V264" s="471"/>
      <c r="W264" s="471" t="s">
        <v>563</v>
      </c>
      <c r="X264" s="471">
        <v>0</v>
      </c>
      <c r="Y264" s="206"/>
      <c r="Z264" s="206"/>
    </row>
    <row r="265" spans="1:26">
      <c r="A265" s="406">
        <v>262</v>
      </c>
      <c r="B265" s="613" t="s">
        <v>6135</v>
      </c>
      <c r="C265" s="288" t="s">
        <v>564</v>
      </c>
      <c r="D265" s="414" t="s">
        <v>3363</v>
      </c>
      <c r="E265" s="407" t="s">
        <v>8678</v>
      </c>
      <c r="F265" s="483"/>
      <c r="G265" s="411"/>
      <c r="H265" s="411"/>
      <c r="I265" s="411"/>
      <c r="J265" s="411"/>
      <c r="K265" s="411"/>
      <c r="L265" s="608" t="s">
        <v>4884</v>
      </c>
      <c r="M265" s="409">
        <v>5551.4606299212601</v>
      </c>
      <c r="N265" s="409">
        <v>5551.4606299212601</v>
      </c>
      <c r="O265" s="410" t="s">
        <v>7573</v>
      </c>
      <c r="P265" s="406">
        <v>262</v>
      </c>
      <c r="Q265" s="470" t="s">
        <v>564</v>
      </c>
      <c r="R265" s="460" t="s">
        <v>565</v>
      </c>
      <c r="S265" s="270" t="s">
        <v>32</v>
      </c>
      <c r="U265" s="471">
        <v>1</v>
      </c>
      <c r="V265" s="471"/>
      <c r="W265" s="471" t="s">
        <v>565</v>
      </c>
      <c r="X265" s="471">
        <v>0</v>
      </c>
      <c r="Y265" s="206"/>
      <c r="Z265" s="206"/>
    </row>
    <row r="266" spans="1:26">
      <c r="A266" s="406">
        <v>263</v>
      </c>
      <c r="B266" s="613" t="s">
        <v>6136</v>
      </c>
      <c r="C266" s="288" t="s">
        <v>566</v>
      </c>
      <c r="D266" s="414" t="s">
        <v>3361</v>
      </c>
      <c r="E266" s="407" t="s">
        <v>8679</v>
      </c>
      <c r="F266" s="483"/>
      <c r="G266" s="411"/>
      <c r="H266" s="411"/>
      <c r="I266" s="411"/>
      <c r="J266" s="411"/>
      <c r="K266" s="411"/>
      <c r="L266" s="608" t="s">
        <v>4884</v>
      </c>
      <c r="M266" s="409">
        <v>5551.318897637796</v>
      </c>
      <c r="N266" s="409">
        <v>5551.318897637796</v>
      </c>
      <c r="O266" s="410" t="s">
        <v>7573</v>
      </c>
      <c r="P266" s="406">
        <v>263</v>
      </c>
      <c r="Q266" s="470" t="s">
        <v>566</v>
      </c>
      <c r="R266" s="460" t="s">
        <v>567</v>
      </c>
      <c r="S266" s="270" t="s">
        <v>32</v>
      </c>
      <c r="U266" s="471">
        <v>1</v>
      </c>
      <c r="V266" s="471"/>
      <c r="W266" s="471" t="s">
        <v>567</v>
      </c>
      <c r="X266" s="471">
        <v>0</v>
      </c>
      <c r="Y266" s="206"/>
      <c r="Z266" s="206"/>
    </row>
    <row r="267" spans="1:26">
      <c r="A267" s="406">
        <v>264</v>
      </c>
      <c r="B267" s="613" t="s">
        <v>6137</v>
      </c>
      <c r="C267" s="288" t="s">
        <v>568</v>
      </c>
      <c r="D267" s="414" t="s">
        <v>4533</v>
      </c>
      <c r="E267" s="407" t="s">
        <v>8680</v>
      </c>
      <c r="F267" s="483"/>
      <c r="G267" s="411"/>
      <c r="H267" s="411"/>
      <c r="I267" s="411"/>
      <c r="J267" s="411"/>
      <c r="K267" s="411"/>
      <c r="L267" s="608" t="s">
        <v>4884</v>
      </c>
      <c r="M267" s="409">
        <v>5549.8700787401576</v>
      </c>
      <c r="N267" s="409">
        <v>5549.8700787401576</v>
      </c>
      <c r="O267" s="410" t="s">
        <v>7573</v>
      </c>
      <c r="P267" s="406">
        <v>264</v>
      </c>
      <c r="Q267" s="470" t="s">
        <v>568</v>
      </c>
      <c r="R267" s="460" t="s">
        <v>569</v>
      </c>
      <c r="S267" s="270" t="s">
        <v>32</v>
      </c>
      <c r="U267" s="471">
        <v>1</v>
      </c>
      <c r="V267" s="471"/>
      <c r="W267" s="471" t="s">
        <v>569</v>
      </c>
      <c r="X267" s="471">
        <v>0</v>
      </c>
      <c r="Y267" s="206"/>
      <c r="Z267" s="206"/>
    </row>
    <row r="268" spans="1:26">
      <c r="A268" s="406">
        <v>265</v>
      </c>
      <c r="B268" s="613" t="s">
        <v>6138</v>
      </c>
      <c r="C268" s="288" t="s">
        <v>570</v>
      </c>
      <c r="D268" s="414" t="s">
        <v>4524</v>
      </c>
      <c r="E268" s="407" t="s">
        <v>8681</v>
      </c>
      <c r="F268" s="483"/>
      <c r="G268" s="411"/>
      <c r="H268" s="411"/>
      <c r="I268" s="411"/>
      <c r="J268" s="411"/>
      <c r="K268" s="411"/>
      <c r="L268" s="608" t="s">
        <v>4884</v>
      </c>
      <c r="M268" s="409">
        <v>5553.8385826771655</v>
      </c>
      <c r="N268" s="409">
        <v>5553.8385826771655</v>
      </c>
      <c r="O268" s="410" t="s">
        <v>7573</v>
      </c>
      <c r="P268" s="406">
        <v>265</v>
      </c>
      <c r="Q268" s="470" t="s">
        <v>570</v>
      </c>
      <c r="R268" s="460" t="s">
        <v>571</v>
      </c>
      <c r="S268" s="270" t="s">
        <v>32</v>
      </c>
      <c r="U268" s="471">
        <v>1</v>
      </c>
      <c r="V268" s="471"/>
      <c r="W268" s="471" t="s">
        <v>571</v>
      </c>
      <c r="X268" s="471">
        <v>0</v>
      </c>
      <c r="Y268" s="206"/>
      <c r="Z268" s="206"/>
    </row>
    <row r="269" spans="1:26">
      <c r="A269" s="406">
        <v>266</v>
      </c>
      <c r="B269" s="613" t="s">
        <v>6139</v>
      </c>
      <c r="C269" s="288" t="s">
        <v>572</v>
      </c>
      <c r="D269" s="414" t="s">
        <v>3358</v>
      </c>
      <c r="E269" s="407" t="s">
        <v>8682</v>
      </c>
      <c r="F269" s="483"/>
      <c r="G269" s="411"/>
      <c r="H269" s="411"/>
      <c r="I269" s="411"/>
      <c r="J269" s="411"/>
      <c r="K269" s="411"/>
      <c r="L269" s="608" t="s">
        <v>4884</v>
      </c>
      <c r="M269" s="409">
        <v>5554.141732283465</v>
      </c>
      <c r="N269" s="409">
        <v>5554.141732283465</v>
      </c>
      <c r="O269" s="410" t="s">
        <v>7573</v>
      </c>
      <c r="P269" s="406">
        <v>266</v>
      </c>
      <c r="Q269" s="470" t="s">
        <v>572</v>
      </c>
      <c r="R269" s="460" t="s">
        <v>573</v>
      </c>
      <c r="S269" s="270" t="s">
        <v>32</v>
      </c>
      <c r="U269" s="471">
        <v>1</v>
      </c>
      <c r="V269" s="471"/>
      <c r="W269" s="471" t="s">
        <v>573</v>
      </c>
      <c r="X269" s="471">
        <v>0</v>
      </c>
      <c r="Y269" s="206"/>
      <c r="Z269" s="206"/>
    </row>
    <row r="270" spans="1:26">
      <c r="A270" s="406">
        <v>267</v>
      </c>
      <c r="B270" s="613" t="s">
        <v>6140</v>
      </c>
      <c r="C270" s="288" t="s">
        <v>574</v>
      </c>
      <c r="D270" s="414" t="s">
        <v>3373</v>
      </c>
      <c r="E270" s="407" t="s">
        <v>8683</v>
      </c>
      <c r="F270" s="483"/>
      <c r="G270" s="411"/>
      <c r="H270" s="411"/>
      <c r="I270" s="411"/>
      <c r="J270" s="411"/>
      <c r="K270" s="411"/>
      <c r="L270" s="608" t="s">
        <v>4884</v>
      </c>
      <c r="M270" s="409">
        <v>5553.3622047244089</v>
      </c>
      <c r="N270" s="409">
        <v>5553.3622047244089</v>
      </c>
      <c r="O270" s="410" t="s">
        <v>7573</v>
      </c>
      <c r="P270" s="406">
        <v>267</v>
      </c>
      <c r="Q270" s="470" t="s">
        <v>574</v>
      </c>
      <c r="R270" s="460" t="s">
        <v>575</v>
      </c>
      <c r="S270" s="270" t="s">
        <v>32</v>
      </c>
      <c r="U270" s="471">
        <v>1</v>
      </c>
      <c r="V270" s="471"/>
      <c r="W270" s="471" t="s">
        <v>575</v>
      </c>
      <c r="X270" s="471">
        <v>0</v>
      </c>
      <c r="Y270" s="206"/>
      <c r="Z270" s="206"/>
    </row>
    <row r="271" spans="1:26">
      <c r="A271" s="406">
        <v>268</v>
      </c>
      <c r="B271" s="613" t="s">
        <v>6141</v>
      </c>
      <c r="C271" s="288" t="s">
        <v>576</v>
      </c>
      <c r="D271" s="414" t="s">
        <v>3356</v>
      </c>
      <c r="E271" s="407" t="s">
        <v>8684</v>
      </c>
      <c r="F271" s="483"/>
      <c r="G271" s="411"/>
      <c r="H271" s="411"/>
      <c r="I271" s="411"/>
      <c r="J271" s="411"/>
      <c r="K271" s="411"/>
      <c r="L271" s="608" t="s">
        <v>4884</v>
      </c>
      <c r="M271" s="409">
        <v>5549.8464566929142</v>
      </c>
      <c r="N271" s="409">
        <v>5549.8464566929142</v>
      </c>
      <c r="O271" s="410" t="s">
        <v>7573</v>
      </c>
      <c r="P271" s="406">
        <v>268</v>
      </c>
      <c r="Q271" s="470" t="s">
        <v>576</v>
      </c>
      <c r="R271" s="460" t="s">
        <v>577</v>
      </c>
      <c r="S271" s="270" t="s">
        <v>32</v>
      </c>
      <c r="U271" s="471">
        <v>1</v>
      </c>
      <c r="V271" s="471"/>
      <c r="W271" s="471" t="s">
        <v>577</v>
      </c>
      <c r="X271" s="471">
        <v>0</v>
      </c>
      <c r="Y271" s="206"/>
      <c r="Z271" s="206"/>
    </row>
    <row r="272" spans="1:26">
      <c r="A272" s="406">
        <v>269</v>
      </c>
      <c r="B272" s="613" t="s">
        <v>6142</v>
      </c>
      <c r="C272" s="288" t="s">
        <v>578</v>
      </c>
      <c r="D272" s="414" t="s">
        <v>3359</v>
      </c>
      <c r="E272" s="407" t="s">
        <v>8685</v>
      </c>
      <c r="F272" s="483"/>
      <c r="G272" s="411"/>
      <c r="H272" s="411"/>
      <c r="I272" s="411"/>
      <c r="J272" s="411"/>
      <c r="K272" s="411"/>
      <c r="L272" s="608" t="s">
        <v>4884</v>
      </c>
      <c r="M272" s="409">
        <v>5549.4212598425192</v>
      </c>
      <c r="N272" s="409">
        <v>5549.4212598425192</v>
      </c>
      <c r="O272" s="410" t="s">
        <v>7573</v>
      </c>
      <c r="P272" s="406">
        <v>269</v>
      </c>
      <c r="Q272" s="470" t="s">
        <v>578</v>
      </c>
      <c r="R272" s="460" t="s">
        <v>579</v>
      </c>
      <c r="S272" s="270" t="s">
        <v>32</v>
      </c>
      <c r="U272" s="471">
        <v>1</v>
      </c>
      <c r="V272" s="471"/>
      <c r="W272" s="471" t="s">
        <v>579</v>
      </c>
      <c r="X272" s="471">
        <v>0</v>
      </c>
      <c r="Y272" s="206"/>
      <c r="Z272" s="206"/>
    </row>
    <row r="273" spans="1:26">
      <c r="A273" s="406">
        <v>270</v>
      </c>
      <c r="B273" s="613" t="s">
        <v>6143</v>
      </c>
      <c r="C273" s="288" t="s">
        <v>580</v>
      </c>
      <c r="D273" s="414" t="s">
        <v>4577</v>
      </c>
      <c r="E273" s="407" t="s">
        <v>8686</v>
      </c>
      <c r="F273" s="483"/>
      <c r="G273" s="411"/>
      <c r="H273" s="411"/>
      <c r="I273" s="411"/>
      <c r="J273" s="411"/>
      <c r="K273" s="411"/>
      <c r="L273" s="608" t="s">
        <v>4884</v>
      </c>
      <c r="M273" s="409">
        <v>5313.3464566929133</v>
      </c>
      <c r="N273" s="409">
        <v>5313.3464566929133</v>
      </c>
      <c r="O273" s="410" t="s">
        <v>7573</v>
      </c>
      <c r="P273" s="406">
        <v>270</v>
      </c>
      <c r="Q273" s="470" t="s">
        <v>580</v>
      </c>
      <c r="R273" s="460" t="s">
        <v>581</v>
      </c>
      <c r="S273" s="270" t="s">
        <v>32</v>
      </c>
      <c r="U273" s="471">
        <v>1</v>
      </c>
      <c r="V273" s="471"/>
      <c r="W273" s="471" t="s">
        <v>581</v>
      </c>
      <c r="X273" s="471">
        <v>0</v>
      </c>
      <c r="Y273" s="206"/>
      <c r="Z273" s="206"/>
    </row>
    <row r="274" spans="1:26">
      <c r="A274" s="406">
        <v>271</v>
      </c>
      <c r="B274" s="613" t="s">
        <v>6144</v>
      </c>
      <c r="C274" s="288" t="s">
        <v>582</v>
      </c>
      <c r="D274" s="414" t="s">
        <v>4504</v>
      </c>
      <c r="E274" s="407" t="s">
        <v>8687</v>
      </c>
      <c r="F274" s="483"/>
      <c r="G274" s="411"/>
      <c r="H274" s="411"/>
      <c r="I274" s="411"/>
      <c r="J274" s="411"/>
      <c r="K274" s="411"/>
      <c r="L274" s="608" t="s">
        <v>4884</v>
      </c>
      <c r="M274" s="409">
        <v>5311.0039370078739</v>
      </c>
      <c r="N274" s="409">
        <v>5311.0039370078739</v>
      </c>
      <c r="O274" s="410" t="s">
        <v>7573</v>
      </c>
      <c r="P274" s="406">
        <v>271</v>
      </c>
      <c r="Q274" s="470" t="s">
        <v>582</v>
      </c>
      <c r="R274" s="460" t="s">
        <v>583</v>
      </c>
      <c r="S274" s="270" t="s">
        <v>32</v>
      </c>
      <c r="U274" s="471">
        <v>1</v>
      </c>
      <c r="V274" s="471"/>
      <c r="W274" s="471" t="s">
        <v>583</v>
      </c>
      <c r="X274" s="471">
        <v>0</v>
      </c>
      <c r="Y274" s="206"/>
      <c r="Z274" s="206"/>
    </row>
    <row r="275" spans="1:26">
      <c r="A275" s="406">
        <v>272</v>
      </c>
      <c r="B275" s="613" t="s">
        <v>6145</v>
      </c>
      <c r="C275" s="288" t="s">
        <v>584</v>
      </c>
      <c r="D275" s="414" t="s">
        <v>4550</v>
      </c>
      <c r="E275" s="407" t="s">
        <v>8688</v>
      </c>
      <c r="F275" s="483"/>
      <c r="G275" s="411"/>
      <c r="H275" s="411"/>
      <c r="I275" s="411"/>
      <c r="J275" s="411"/>
      <c r="K275" s="411"/>
      <c r="L275" s="608" t="s">
        <v>4884</v>
      </c>
      <c r="M275" s="409">
        <v>5312.5905511811025</v>
      </c>
      <c r="N275" s="409">
        <v>5312.5905511811025</v>
      </c>
      <c r="O275" s="410" t="s">
        <v>7573</v>
      </c>
      <c r="P275" s="406">
        <v>272</v>
      </c>
      <c r="Q275" s="470" t="s">
        <v>584</v>
      </c>
      <c r="R275" s="460" t="s">
        <v>585</v>
      </c>
      <c r="S275" s="270" t="s">
        <v>32</v>
      </c>
      <c r="U275" s="471">
        <v>1</v>
      </c>
      <c r="V275" s="471"/>
      <c r="W275" s="471" t="s">
        <v>585</v>
      </c>
      <c r="X275" s="471">
        <v>0</v>
      </c>
      <c r="Y275" s="206"/>
      <c r="Z275" s="206"/>
    </row>
    <row r="276" spans="1:26">
      <c r="A276" s="406">
        <v>273</v>
      </c>
      <c r="B276" s="613" t="s">
        <v>6146</v>
      </c>
      <c r="C276" s="288" t="s">
        <v>586</v>
      </c>
      <c r="D276" s="414" t="s">
        <v>4552</v>
      </c>
      <c r="E276" s="407" t="s">
        <v>8689</v>
      </c>
      <c r="F276" s="483"/>
      <c r="G276" s="411"/>
      <c r="H276" s="411"/>
      <c r="I276" s="411"/>
      <c r="J276" s="411"/>
      <c r="K276" s="411"/>
      <c r="L276" s="608" t="s">
        <v>4884</v>
      </c>
      <c r="M276" s="409">
        <v>5313.5118110236226</v>
      </c>
      <c r="N276" s="409">
        <v>5313.5118110236226</v>
      </c>
      <c r="O276" s="410" t="s">
        <v>7573</v>
      </c>
      <c r="P276" s="406">
        <v>273</v>
      </c>
      <c r="Q276" s="470" t="s">
        <v>586</v>
      </c>
      <c r="R276" s="460" t="s">
        <v>587</v>
      </c>
      <c r="S276" s="270" t="s">
        <v>32</v>
      </c>
      <c r="U276" s="471">
        <v>1</v>
      </c>
      <c r="V276" s="471"/>
      <c r="W276" s="471" t="s">
        <v>587</v>
      </c>
      <c r="X276" s="471">
        <v>0</v>
      </c>
      <c r="Y276" s="206"/>
      <c r="Z276" s="206"/>
    </row>
    <row r="277" spans="1:26">
      <c r="A277" s="406">
        <v>274</v>
      </c>
      <c r="B277" s="613" t="s">
        <v>6147</v>
      </c>
      <c r="C277" s="288" t="s">
        <v>588</v>
      </c>
      <c r="D277" s="414" t="s">
        <v>4506</v>
      </c>
      <c r="E277" s="407" t="s">
        <v>8690</v>
      </c>
      <c r="F277" s="483"/>
      <c r="G277" s="411"/>
      <c r="H277" s="411"/>
      <c r="I277" s="411"/>
      <c r="J277" s="411"/>
      <c r="K277" s="411"/>
      <c r="L277" s="608" t="s">
        <v>4884</v>
      </c>
      <c r="M277" s="409">
        <v>5322.1889763779536</v>
      </c>
      <c r="N277" s="409">
        <v>5322.1889763779536</v>
      </c>
      <c r="O277" s="410" t="s">
        <v>7573</v>
      </c>
      <c r="P277" s="406">
        <v>274</v>
      </c>
      <c r="Q277" s="470" t="s">
        <v>588</v>
      </c>
      <c r="R277" s="460" t="s">
        <v>589</v>
      </c>
      <c r="S277" s="270" t="s">
        <v>32</v>
      </c>
      <c r="U277" s="471">
        <v>1</v>
      </c>
      <c r="V277" s="471"/>
      <c r="W277" s="471" t="s">
        <v>589</v>
      </c>
      <c r="X277" s="471">
        <v>0</v>
      </c>
      <c r="Y277" s="206"/>
      <c r="Z277" s="206"/>
    </row>
    <row r="278" spans="1:26">
      <c r="A278" s="406">
        <v>275</v>
      </c>
      <c r="B278" s="613" t="s">
        <v>6148</v>
      </c>
      <c r="C278" s="288" t="s">
        <v>590</v>
      </c>
      <c r="D278" s="414" t="s">
        <v>4508</v>
      </c>
      <c r="E278" s="407" t="s">
        <v>8691</v>
      </c>
      <c r="F278" s="483"/>
      <c r="G278" s="411"/>
      <c r="H278" s="411"/>
      <c r="I278" s="411"/>
      <c r="J278" s="411"/>
      <c r="K278" s="411"/>
      <c r="L278" s="608" t="s">
        <v>4884</v>
      </c>
      <c r="M278" s="409">
        <v>5316.677165354331</v>
      </c>
      <c r="N278" s="409">
        <v>5316.677165354331</v>
      </c>
      <c r="O278" s="410" t="s">
        <v>7573</v>
      </c>
      <c r="P278" s="406">
        <v>275</v>
      </c>
      <c r="Q278" s="470" t="s">
        <v>590</v>
      </c>
      <c r="R278" s="460" t="s">
        <v>591</v>
      </c>
      <c r="S278" s="270" t="s">
        <v>32</v>
      </c>
      <c r="U278" s="471">
        <v>1</v>
      </c>
      <c r="V278" s="471"/>
      <c r="W278" s="471" t="s">
        <v>591</v>
      </c>
      <c r="X278" s="471">
        <v>0</v>
      </c>
      <c r="Y278" s="206"/>
      <c r="Z278" s="206"/>
    </row>
    <row r="279" spans="1:26">
      <c r="A279" s="406">
        <v>276</v>
      </c>
      <c r="B279" s="613" t="s">
        <v>6149</v>
      </c>
      <c r="C279" s="288" t="s">
        <v>592</v>
      </c>
      <c r="D279" s="414" t="s">
        <v>4621</v>
      </c>
      <c r="E279" s="407" t="s">
        <v>8692</v>
      </c>
      <c r="F279" s="483"/>
      <c r="G279" s="411"/>
      <c r="H279" s="411"/>
      <c r="I279" s="411"/>
      <c r="J279" s="411"/>
      <c r="K279" s="411"/>
      <c r="L279" s="608" t="s">
        <v>4884</v>
      </c>
      <c r="M279" s="409">
        <v>5321.4803149606305</v>
      </c>
      <c r="N279" s="409">
        <v>5321.4803149606305</v>
      </c>
      <c r="O279" s="410" t="s">
        <v>7573</v>
      </c>
      <c r="P279" s="406">
        <v>276</v>
      </c>
      <c r="Q279" s="470" t="s">
        <v>592</v>
      </c>
      <c r="R279" s="460" t="s">
        <v>593</v>
      </c>
      <c r="S279" s="270" t="s">
        <v>32</v>
      </c>
      <c r="U279" s="471">
        <v>1</v>
      </c>
      <c r="V279" s="471"/>
      <c r="W279" s="471" t="s">
        <v>593</v>
      </c>
      <c r="X279" s="471">
        <v>0</v>
      </c>
      <c r="Y279" s="206"/>
      <c r="Z279" s="206"/>
    </row>
    <row r="280" spans="1:26">
      <c r="A280" s="406">
        <v>277</v>
      </c>
      <c r="B280" s="613" t="s">
        <v>6150</v>
      </c>
      <c r="C280" s="288" t="s">
        <v>594</v>
      </c>
      <c r="D280" s="414" t="s">
        <v>4548</v>
      </c>
      <c r="E280" s="407" t="s">
        <v>8693</v>
      </c>
      <c r="F280" s="483"/>
      <c r="G280" s="411"/>
      <c r="H280" s="411"/>
      <c r="I280" s="411"/>
      <c r="J280" s="411"/>
      <c r="K280" s="411"/>
      <c r="L280" s="608" t="s">
        <v>4884</v>
      </c>
      <c r="M280" s="409">
        <v>5316.6732283464571</v>
      </c>
      <c r="N280" s="409">
        <v>5316.6732283464571</v>
      </c>
      <c r="O280" s="410" t="s">
        <v>7573</v>
      </c>
      <c r="P280" s="406">
        <v>277</v>
      </c>
      <c r="Q280" s="470" t="s">
        <v>594</v>
      </c>
      <c r="R280" s="460" t="s">
        <v>595</v>
      </c>
      <c r="S280" s="270" t="s">
        <v>32</v>
      </c>
      <c r="U280" s="471">
        <v>1</v>
      </c>
      <c r="V280" s="471"/>
      <c r="W280" s="471" t="s">
        <v>595</v>
      </c>
      <c r="X280" s="471">
        <v>0</v>
      </c>
      <c r="Y280" s="206"/>
      <c r="Z280" s="206"/>
    </row>
    <row r="281" spans="1:26">
      <c r="A281" s="406">
        <v>278</v>
      </c>
      <c r="B281" s="613" t="s">
        <v>6151</v>
      </c>
      <c r="C281" s="288" t="s">
        <v>596</v>
      </c>
      <c r="D281" s="414" t="s">
        <v>4537</v>
      </c>
      <c r="E281" s="407" t="s">
        <v>8694</v>
      </c>
      <c r="F281" s="483"/>
      <c r="G281" s="411"/>
      <c r="H281" s="411"/>
      <c r="I281" s="411"/>
      <c r="J281" s="411"/>
      <c r="K281" s="411"/>
      <c r="L281" s="608" t="s">
        <v>4884</v>
      </c>
      <c r="M281" s="409">
        <v>6380.2952755905517</v>
      </c>
      <c r="N281" s="409">
        <v>6380.2952755905517</v>
      </c>
      <c r="O281" s="410" t="s">
        <v>7574</v>
      </c>
      <c r="P281" s="406">
        <v>278</v>
      </c>
      <c r="Q281" s="470" t="s">
        <v>596</v>
      </c>
      <c r="R281" s="460" t="s">
        <v>597</v>
      </c>
      <c r="S281" s="270" t="s">
        <v>32</v>
      </c>
      <c r="U281" s="471">
        <v>1</v>
      </c>
      <c r="V281" s="471"/>
      <c r="W281" s="471" t="s">
        <v>597</v>
      </c>
      <c r="X281" s="471">
        <v>0</v>
      </c>
      <c r="Y281" s="206"/>
      <c r="Z281" s="206"/>
    </row>
    <row r="282" spans="1:26">
      <c r="A282" s="406">
        <v>279</v>
      </c>
      <c r="B282" s="613" t="s">
        <v>6152</v>
      </c>
      <c r="C282" s="288" t="s">
        <v>598</v>
      </c>
      <c r="D282" s="414" t="s">
        <v>4554</v>
      </c>
      <c r="E282" s="407" t="s">
        <v>8695</v>
      </c>
      <c r="F282" s="483"/>
      <c r="G282" s="411"/>
      <c r="H282" s="411"/>
      <c r="I282" s="411"/>
      <c r="J282" s="411"/>
      <c r="K282" s="411"/>
      <c r="L282" s="608" t="s">
        <v>4884</v>
      </c>
      <c r="M282" s="409">
        <v>6377.5551181102364</v>
      </c>
      <c r="N282" s="409">
        <v>6377.5551181102364</v>
      </c>
      <c r="O282" s="410" t="s">
        <v>7574</v>
      </c>
      <c r="P282" s="406">
        <v>279</v>
      </c>
      <c r="Q282" s="470" t="s">
        <v>598</v>
      </c>
      <c r="R282" s="460" t="s">
        <v>599</v>
      </c>
      <c r="S282" s="270" t="s">
        <v>32</v>
      </c>
      <c r="U282" s="471">
        <v>1</v>
      </c>
      <c r="V282" s="471"/>
      <c r="W282" s="471" t="s">
        <v>599</v>
      </c>
      <c r="X282" s="471">
        <v>0</v>
      </c>
      <c r="Y282" s="206"/>
      <c r="Z282" s="206"/>
    </row>
    <row r="283" spans="1:26">
      <c r="A283" s="406">
        <v>280</v>
      </c>
      <c r="B283" s="613" t="s">
        <v>6153</v>
      </c>
      <c r="C283" s="288" t="s">
        <v>600</v>
      </c>
      <c r="D283" s="414" t="s">
        <v>4620</v>
      </c>
      <c r="E283" s="407" t="s">
        <v>8696</v>
      </c>
      <c r="F283" s="483"/>
      <c r="G283" s="411"/>
      <c r="H283" s="411"/>
      <c r="I283" s="411"/>
      <c r="J283" s="411"/>
      <c r="K283" s="411"/>
      <c r="L283" s="608" t="s">
        <v>4884</v>
      </c>
      <c r="M283" s="409">
        <v>6377.4055118110236</v>
      </c>
      <c r="N283" s="409">
        <v>6377.4055118110236</v>
      </c>
      <c r="O283" s="410" t="s">
        <v>7574</v>
      </c>
      <c r="P283" s="406">
        <v>280</v>
      </c>
      <c r="Q283" s="470" t="s">
        <v>600</v>
      </c>
      <c r="R283" s="460" t="s">
        <v>601</v>
      </c>
      <c r="S283" s="270" t="s">
        <v>32</v>
      </c>
      <c r="U283" s="471">
        <v>1</v>
      </c>
      <c r="V283" s="471"/>
      <c r="W283" s="471" t="s">
        <v>601</v>
      </c>
      <c r="X283" s="471">
        <v>0</v>
      </c>
      <c r="Y283" s="206"/>
      <c r="Z283" s="206"/>
    </row>
    <row r="284" spans="1:26">
      <c r="A284" s="406">
        <v>281</v>
      </c>
      <c r="B284" s="613" t="s">
        <v>6154</v>
      </c>
      <c r="C284" s="288" t="s">
        <v>602</v>
      </c>
      <c r="D284" s="414" t="s">
        <v>4611</v>
      </c>
      <c r="E284" s="407" t="s">
        <v>8697</v>
      </c>
      <c r="F284" s="483"/>
      <c r="G284" s="411"/>
      <c r="H284" s="411"/>
      <c r="I284" s="411"/>
      <c r="J284" s="411"/>
      <c r="K284" s="411"/>
      <c r="L284" s="608" t="s">
        <v>4884</v>
      </c>
      <c r="M284" s="409">
        <v>6376.7874015748039</v>
      </c>
      <c r="N284" s="409">
        <v>6376.7874015748039</v>
      </c>
      <c r="O284" s="410" t="s">
        <v>7574</v>
      </c>
      <c r="P284" s="406">
        <v>281</v>
      </c>
      <c r="Q284" s="470" t="s">
        <v>602</v>
      </c>
      <c r="R284" s="460" t="s">
        <v>603</v>
      </c>
      <c r="S284" s="270" t="s">
        <v>32</v>
      </c>
      <c r="U284" s="471">
        <v>1</v>
      </c>
      <c r="V284" s="471"/>
      <c r="W284" s="471" t="s">
        <v>603</v>
      </c>
      <c r="X284" s="471">
        <v>0</v>
      </c>
      <c r="Y284" s="206"/>
      <c r="Z284" s="206"/>
    </row>
    <row r="285" spans="1:26">
      <c r="A285" s="406">
        <v>282</v>
      </c>
      <c r="B285" s="613" t="s">
        <v>6155</v>
      </c>
      <c r="C285" s="288" t="s">
        <v>604</v>
      </c>
      <c r="D285" s="414" t="s">
        <v>4539</v>
      </c>
      <c r="E285" s="407" t="s">
        <v>8698</v>
      </c>
      <c r="F285" s="483"/>
      <c r="G285" s="411"/>
      <c r="H285" s="411"/>
      <c r="I285" s="411"/>
      <c r="J285" s="411"/>
      <c r="K285" s="411"/>
      <c r="L285" s="608" t="s">
        <v>4884</v>
      </c>
      <c r="M285" s="409">
        <v>6375.5393700787408</v>
      </c>
      <c r="N285" s="409">
        <v>6375.5393700787408</v>
      </c>
      <c r="O285" s="410" t="s">
        <v>7574</v>
      </c>
      <c r="P285" s="406">
        <v>282</v>
      </c>
      <c r="Q285" s="470" t="s">
        <v>604</v>
      </c>
      <c r="R285" s="460" t="s">
        <v>605</v>
      </c>
      <c r="S285" s="270" t="s">
        <v>32</v>
      </c>
      <c r="U285" s="471">
        <v>1</v>
      </c>
      <c r="V285" s="471"/>
      <c r="W285" s="471" t="s">
        <v>605</v>
      </c>
      <c r="X285" s="471">
        <v>0</v>
      </c>
      <c r="Y285" s="206"/>
      <c r="Z285" s="206"/>
    </row>
    <row r="286" spans="1:26">
      <c r="A286" s="406">
        <v>283</v>
      </c>
      <c r="B286" s="613" t="s">
        <v>6156</v>
      </c>
      <c r="C286" s="288" t="s">
        <v>606</v>
      </c>
      <c r="D286" s="414" t="s">
        <v>4579</v>
      </c>
      <c r="E286" s="407" t="s">
        <v>8699</v>
      </c>
      <c r="F286" s="483"/>
      <c r="G286" s="411"/>
      <c r="H286" s="411"/>
      <c r="I286" s="411"/>
      <c r="J286" s="411"/>
      <c r="K286" s="411"/>
      <c r="L286" s="608" t="s">
        <v>4884</v>
      </c>
      <c r="M286" s="409">
        <v>6375.212598425197</v>
      </c>
      <c r="N286" s="409">
        <v>6375.212598425197</v>
      </c>
      <c r="O286" s="410" t="s">
        <v>7574</v>
      </c>
      <c r="P286" s="406">
        <v>283</v>
      </c>
      <c r="Q286" s="470" t="s">
        <v>606</v>
      </c>
      <c r="R286" s="460" t="s">
        <v>607</v>
      </c>
      <c r="S286" s="270" t="s">
        <v>32</v>
      </c>
      <c r="U286" s="471">
        <v>1</v>
      </c>
      <c r="V286" s="471"/>
      <c r="W286" s="471" t="s">
        <v>607</v>
      </c>
      <c r="X286" s="471">
        <v>0</v>
      </c>
      <c r="Y286" s="206"/>
      <c r="Z286" s="206"/>
    </row>
    <row r="287" spans="1:26">
      <c r="A287" s="406">
        <v>284</v>
      </c>
      <c r="B287" s="613" t="s">
        <v>6157</v>
      </c>
      <c r="C287" s="288" t="s">
        <v>608</v>
      </c>
      <c r="D287" s="414" t="s">
        <v>4624</v>
      </c>
      <c r="E287" s="407" t="s">
        <v>8700</v>
      </c>
      <c r="F287" s="483"/>
      <c r="G287" s="411"/>
      <c r="H287" s="411"/>
      <c r="I287" s="411"/>
      <c r="J287" s="411"/>
      <c r="K287" s="411"/>
      <c r="L287" s="608" t="s">
        <v>4884</v>
      </c>
      <c r="M287" s="409">
        <v>6378.0590551181103</v>
      </c>
      <c r="N287" s="409">
        <v>6378.0590551181103</v>
      </c>
      <c r="O287" s="410" t="s">
        <v>7574</v>
      </c>
      <c r="P287" s="406">
        <v>284</v>
      </c>
      <c r="Q287" s="470" t="s">
        <v>608</v>
      </c>
      <c r="R287" s="460" t="s">
        <v>609</v>
      </c>
      <c r="S287" s="270" t="s">
        <v>32</v>
      </c>
      <c r="U287" s="471">
        <v>1</v>
      </c>
      <c r="V287" s="471"/>
      <c r="W287" s="471" t="s">
        <v>609</v>
      </c>
      <c r="X287" s="471">
        <v>0</v>
      </c>
      <c r="Y287" s="206"/>
      <c r="Z287" s="206"/>
    </row>
    <row r="288" spans="1:26">
      <c r="A288" s="406">
        <v>285</v>
      </c>
      <c r="B288" s="613" t="s">
        <v>6158</v>
      </c>
      <c r="C288" s="288" t="s">
        <v>610</v>
      </c>
      <c r="D288" s="414" t="s">
        <v>4623</v>
      </c>
      <c r="E288" s="407" t="s">
        <v>8701</v>
      </c>
      <c r="F288" s="483"/>
      <c r="G288" s="483"/>
      <c r="H288" s="411"/>
      <c r="I288" s="411"/>
      <c r="J288" s="411"/>
      <c r="K288" s="411"/>
      <c r="L288" s="608" t="s">
        <v>4884</v>
      </c>
      <c r="M288" s="409">
        <v>6374.7362204724404</v>
      </c>
      <c r="N288" s="409">
        <v>6374.7362204724404</v>
      </c>
      <c r="O288" s="410" t="s">
        <v>7574</v>
      </c>
      <c r="P288" s="406">
        <v>285</v>
      </c>
      <c r="Q288" s="470" t="s">
        <v>610</v>
      </c>
      <c r="R288" s="460" t="s">
        <v>611</v>
      </c>
      <c r="S288" s="270" t="s">
        <v>32</v>
      </c>
      <c r="U288" s="471">
        <v>1</v>
      </c>
      <c r="V288" s="471"/>
      <c r="W288" s="471" t="s">
        <v>611</v>
      </c>
      <c r="X288" s="471">
        <v>0</v>
      </c>
      <c r="Y288" s="206"/>
      <c r="Z288" s="206"/>
    </row>
    <row r="289" spans="1:26">
      <c r="A289" s="406">
        <v>286</v>
      </c>
      <c r="B289" s="613" t="s">
        <v>6159</v>
      </c>
      <c r="C289" s="288" t="s">
        <v>612</v>
      </c>
      <c r="D289" s="414" t="s">
        <v>4615</v>
      </c>
      <c r="E289" s="407" t="s">
        <v>8702</v>
      </c>
      <c r="F289" s="483"/>
      <c r="G289" s="483"/>
      <c r="H289" s="483"/>
      <c r="I289" s="483"/>
      <c r="J289" s="483"/>
      <c r="K289" s="483"/>
      <c r="L289" s="608" t="s">
        <v>4884</v>
      </c>
      <c r="M289" s="409">
        <v>5203.964566929134</v>
      </c>
      <c r="N289" s="409">
        <v>5203.964566929134</v>
      </c>
      <c r="O289" s="410" t="s">
        <v>7572</v>
      </c>
      <c r="P289" s="406">
        <v>286</v>
      </c>
      <c r="Q289" s="470" t="s">
        <v>612</v>
      </c>
      <c r="R289" s="460" t="s">
        <v>613</v>
      </c>
      <c r="S289" s="270" t="s">
        <v>32</v>
      </c>
      <c r="U289" s="471">
        <v>1</v>
      </c>
      <c r="V289" s="471"/>
      <c r="W289" s="471" t="s">
        <v>613</v>
      </c>
      <c r="X289" s="471">
        <v>0</v>
      </c>
      <c r="Y289" s="206"/>
      <c r="Z289" s="206"/>
    </row>
    <row r="290" spans="1:26">
      <c r="A290" s="406">
        <v>287</v>
      </c>
      <c r="B290" s="613" t="s">
        <v>6160</v>
      </c>
      <c r="C290" s="288" t="s">
        <v>614</v>
      </c>
      <c r="D290" s="414" t="s">
        <v>4613</v>
      </c>
      <c r="E290" s="407" t="s">
        <v>8703</v>
      </c>
      <c r="F290" s="483"/>
      <c r="G290" s="483"/>
      <c r="H290" s="483"/>
      <c r="I290" s="483"/>
      <c r="J290" s="483"/>
      <c r="K290" s="483"/>
      <c r="L290" s="608" t="s">
        <v>4884</v>
      </c>
      <c r="M290" s="409">
        <v>5200.5039370078748</v>
      </c>
      <c r="N290" s="409">
        <v>5200.5039370078748</v>
      </c>
      <c r="O290" s="410" t="s">
        <v>7572</v>
      </c>
      <c r="P290" s="406">
        <v>287</v>
      </c>
      <c r="Q290" s="470" t="s">
        <v>614</v>
      </c>
      <c r="R290" s="460" t="s">
        <v>615</v>
      </c>
      <c r="S290" s="270" t="s">
        <v>32</v>
      </c>
      <c r="U290" s="471">
        <v>1</v>
      </c>
      <c r="V290" s="471"/>
      <c r="W290" s="471" t="s">
        <v>615</v>
      </c>
      <c r="X290" s="471">
        <v>0</v>
      </c>
      <c r="Y290" s="206"/>
      <c r="Z290" s="206"/>
    </row>
    <row r="291" spans="1:26">
      <c r="A291" s="406">
        <v>288</v>
      </c>
      <c r="B291" s="613" t="s">
        <v>6161</v>
      </c>
      <c r="C291" s="288" t="s">
        <v>616</v>
      </c>
      <c r="D291" s="414" t="s">
        <v>4597</v>
      </c>
      <c r="E291" s="407" t="s">
        <v>8704</v>
      </c>
      <c r="F291" s="483"/>
      <c r="G291" s="483"/>
      <c r="H291" s="411"/>
      <c r="I291" s="411"/>
      <c r="J291" s="411"/>
      <c r="K291" s="411"/>
      <c r="L291" s="608" t="s">
        <v>4884</v>
      </c>
      <c r="M291" s="409">
        <v>5203.5354330708669</v>
      </c>
      <c r="N291" s="409">
        <v>5203.5354330708669</v>
      </c>
      <c r="O291" s="410" t="s">
        <v>7572</v>
      </c>
      <c r="P291" s="406">
        <v>288</v>
      </c>
      <c r="Q291" s="470" t="s">
        <v>616</v>
      </c>
      <c r="R291" s="460" t="s">
        <v>617</v>
      </c>
      <c r="S291" s="270" t="s">
        <v>32</v>
      </c>
      <c r="U291" s="471">
        <v>1</v>
      </c>
      <c r="V291" s="471"/>
      <c r="W291" s="471" t="s">
        <v>617</v>
      </c>
      <c r="X291" s="471">
        <v>0</v>
      </c>
      <c r="Y291" s="206"/>
      <c r="Z291" s="206"/>
    </row>
    <row r="292" spans="1:26">
      <c r="A292" s="406">
        <v>289</v>
      </c>
      <c r="B292" s="613" t="s">
        <v>6162</v>
      </c>
      <c r="C292" s="288" t="s">
        <v>618</v>
      </c>
      <c r="D292" s="414" t="s">
        <v>4595</v>
      </c>
      <c r="E292" s="407" t="s">
        <v>8705</v>
      </c>
      <c r="F292" s="483"/>
      <c r="G292" s="483"/>
      <c r="H292" s="411"/>
      <c r="I292" s="411"/>
      <c r="J292" s="411"/>
      <c r="K292" s="411"/>
      <c r="L292" s="608" t="s">
        <v>4884</v>
      </c>
      <c r="M292" s="409">
        <v>5189.1811023622058</v>
      </c>
      <c r="N292" s="409">
        <v>5189.1811023622058</v>
      </c>
      <c r="O292" s="410" t="s">
        <v>7572</v>
      </c>
      <c r="P292" s="406">
        <v>289</v>
      </c>
      <c r="Q292" s="470" t="s">
        <v>618</v>
      </c>
      <c r="R292" s="460" t="s">
        <v>619</v>
      </c>
      <c r="S292" s="270" t="s">
        <v>32</v>
      </c>
      <c r="U292" s="471">
        <v>1</v>
      </c>
      <c r="V292" s="471"/>
      <c r="W292" s="471" t="s">
        <v>619</v>
      </c>
      <c r="X292" s="471">
        <v>0</v>
      </c>
      <c r="Y292" s="206"/>
      <c r="Z292" s="206"/>
    </row>
    <row r="293" spans="1:26">
      <c r="A293" s="406">
        <v>290</v>
      </c>
      <c r="B293" s="613" t="s">
        <v>6163</v>
      </c>
      <c r="C293" s="288" t="s">
        <v>620</v>
      </c>
      <c r="D293" s="414" t="s">
        <v>4617</v>
      </c>
      <c r="E293" s="407" t="s">
        <v>8706</v>
      </c>
      <c r="F293" s="483"/>
      <c r="G293" s="483"/>
      <c r="H293" s="411"/>
      <c r="I293" s="411"/>
      <c r="J293" s="411"/>
      <c r="K293" s="411"/>
      <c r="L293" s="608" t="s">
        <v>4884</v>
      </c>
      <c r="M293" s="409">
        <v>5190.7165354330709</v>
      </c>
      <c r="N293" s="409">
        <v>5190.7165354330709</v>
      </c>
      <c r="O293" s="410" t="s">
        <v>7572</v>
      </c>
      <c r="P293" s="406">
        <v>290</v>
      </c>
      <c r="Q293" s="470" t="s">
        <v>620</v>
      </c>
      <c r="R293" s="460" t="s">
        <v>621</v>
      </c>
      <c r="S293" s="270" t="s">
        <v>32</v>
      </c>
      <c r="U293" s="471">
        <v>1</v>
      </c>
      <c r="V293" s="471"/>
      <c r="W293" s="471" t="s">
        <v>621</v>
      </c>
      <c r="X293" s="471">
        <v>0</v>
      </c>
      <c r="Y293" s="206"/>
      <c r="Z293" s="206"/>
    </row>
    <row r="294" spans="1:26">
      <c r="A294" s="406">
        <v>291</v>
      </c>
      <c r="B294" s="613" t="s">
        <v>6164</v>
      </c>
      <c r="C294" s="288" t="s">
        <v>622</v>
      </c>
      <c r="D294" s="414" t="s">
        <v>4556</v>
      </c>
      <c r="E294" s="407" t="s">
        <v>8707</v>
      </c>
      <c r="F294" s="483"/>
      <c r="G294" s="483"/>
      <c r="H294" s="483"/>
      <c r="I294" s="483"/>
      <c r="J294" s="483"/>
      <c r="K294" s="483"/>
      <c r="L294" s="608" t="s">
        <v>4884</v>
      </c>
      <c r="M294" s="409">
        <v>5194.8858267716532</v>
      </c>
      <c r="N294" s="409">
        <v>5194.8858267716532</v>
      </c>
      <c r="O294" s="410" t="s">
        <v>7572</v>
      </c>
      <c r="P294" s="406">
        <v>291</v>
      </c>
      <c r="Q294" s="470" t="s">
        <v>622</v>
      </c>
      <c r="R294" s="460" t="s">
        <v>623</v>
      </c>
      <c r="S294" s="270" t="s">
        <v>32</v>
      </c>
      <c r="U294" s="471">
        <v>1</v>
      </c>
      <c r="V294" s="471"/>
      <c r="W294" s="471" t="s">
        <v>623</v>
      </c>
      <c r="X294" s="471">
        <v>0</v>
      </c>
      <c r="Y294" s="206"/>
      <c r="Z294" s="206"/>
    </row>
    <row r="295" spans="1:26">
      <c r="A295" s="406">
        <v>292</v>
      </c>
      <c r="B295" s="613" t="s">
        <v>6165</v>
      </c>
      <c r="C295" s="288" t="s">
        <v>624</v>
      </c>
      <c r="D295" s="414" t="s">
        <v>4600</v>
      </c>
      <c r="E295" s="407" t="s">
        <v>8708</v>
      </c>
      <c r="F295" s="483"/>
      <c r="G295" s="483"/>
      <c r="H295" s="483"/>
      <c r="I295" s="483"/>
      <c r="J295" s="483"/>
      <c r="K295" s="483"/>
      <c r="L295" s="608" t="s">
        <v>4884</v>
      </c>
      <c r="M295" s="409">
        <v>5189.964566929134</v>
      </c>
      <c r="N295" s="409">
        <v>5189.964566929134</v>
      </c>
      <c r="O295" s="410" t="s">
        <v>7572</v>
      </c>
      <c r="P295" s="406">
        <v>292</v>
      </c>
      <c r="Q295" s="470" t="s">
        <v>624</v>
      </c>
      <c r="R295" s="460" t="s">
        <v>625</v>
      </c>
      <c r="S295" s="270" t="s">
        <v>32</v>
      </c>
      <c r="U295" s="471">
        <v>1</v>
      </c>
      <c r="V295" s="471"/>
      <c r="W295" s="471" t="s">
        <v>625</v>
      </c>
      <c r="X295" s="471">
        <v>0</v>
      </c>
      <c r="Y295" s="206"/>
      <c r="Z295" s="206"/>
    </row>
    <row r="296" spans="1:26">
      <c r="A296" s="406">
        <v>293</v>
      </c>
      <c r="B296" s="613" t="s">
        <v>6166</v>
      </c>
      <c r="C296" s="288" t="s">
        <v>626</v>
      </c>
      <c r="D296" s="414" t="s">
        <v>4598</v>
      </c>
      <c r="E296" s="407" t="s">
        <v>8709</v>
      </c>
      <c r="F296" s="483"/>
      <c r="G296" s="483"/>
      <c r="H296" s="483"/>
      <c r="I296" s="483"/>
      <c r="J296" s="483"/>
      <c r="K296" s="483"/>
      <c r="L296" s="608" t="s">
        <v>4884</v>
      </c>
      <c r="M296" s="409">
        <v>5189.4921259842522</v>
      </c>
      <c r="N296" s="409">
        <v>5189.4921259842522</v>
      </c>
      <c r="O296" s="410" t="s">
        <v>7572</v>
      </c>
      <c r="P296" s="406">
        <v>293</v>
      </c>
      <c r="Q296" s="470" t="s">
        <v>626</v>
      </c>
      <c r="R296" s="460" t="s">
        <v>627</v>
      </c>
      <c r="S296" s="270" t="s">
        <v>32</v>
      </c>
      <c r="U296" s="471">
        <v>1</v>
      </c>
      <c r="V296" s="471"/>
      <c r="W296" s="471" t="s">
        <v>627</v>
      </c>
      <c r="X296" s="471">
        <v>0</v>
      </c>
      <c r="Y296" s="206"/>
      <c r="Z296" s="206"/>
    </row>
    <row r="297" spans="1:26">
      <c r="A297" s="406">
        <v>294</v>
      </c>
      <c r="B297" s="613" t="s">
        <v>6167</v>
      </c>
      <c r="C297" s="288" t="s">
        <v>628</v>
      </c>
      <c r="D297" s="414" t="s">
        <v>4592</v>
      </c>
      <c r="E297" s="407" t="s">
        <v>8710</v>
      </c>
      <c r="F297" s="483"/>
      <c r="G297" s="483"/>
      <c r="H297" s="411"/>
      <c r="I297" s="411"/>
      <c r="J297" s="411"/>
      <c r="K297" s="411"/>
      <c r="L297" s="608" t="s">
        <v>4884</v>
      </c>
      <c r="M297" s="409">
        <v>6305.7086614173231</v>
      </c>
      <c r="N297" s="409">
        <v>6305.7086614173231</v>
      </c>
      <c r="O297" s="410" t="s">
        <v>7573</v>
      </c>
      <c r="P297" s="406">
        <v>294</v>
      </c>
      <c r="Q297" s="470" t="s">
        <v>628</v>
      </c>
      <c r="R297" s="460" t="s">
        <v>629</v>
      </c>
      <c r="S297" s="270" t="s">
        <v>32</v>
      </c>
      <c r="U297" s="471">
        <v>1</v>
      </c>
      <c r="V297" s="471"/>
      <c r="W297" s="471" t="s">
        <v>629</v>
      </c>
      <c r="X297" s="471">
        <v>0</v>
      </c>
      <c r="Y297" s="206"/>
      <c r="Z297" s="206"/>
    </row>
    <row r="298" spans="1:26">
      <c r="A298" s="406">
        <v>295</v>
      </c>
      <c r="B298" s="613" t="s">
        <v>6168</v>
      </c>
      <c r="C298" s="288" t="s">
        <v>630</v>
      </c>
      <c r="D298" s="414" t="s">
        <v>4594</v>
      </c>
      <c r="E298" s="407" t="s">
        <v>8711</v>
      </c>
      <c r="F298" s="483"/>
      <c r="G298" s="483"/>
      <c r="H298" s="483"/>
      <c r="I298" s="483"/>
      <c r="J298" s="483"/>
      <c r="K298" s="483"/>
      <c r="L298" s="608" t="s">
        <v>4884</v>
      </c>
      <c r="M298" s="409">
        <v>6294.822834645669</v>
      </c>
      <c r="N298" s="409">
        <v>6294.822834645669</v>
      </c>
      <c r="O298" s="410" t="s">
        <v>7573</v>
      </c>
      <c r="P298" s="406">
        <v>295</v>
      </c>
      <c r="Q298" s="470" t="s">
        <v>630</v>
      </c>
      <c r="R298" s="460" t="s">
        <v>631</v>
      </c>
      <c r="S298" s="270" t="s">
        <v>32</v>
      </c>
      <c r="U298" s="471">
        <v>1</v>
      </c>
      <c r="V298" s="471"/>
      <c r="W298" s="471" t="s">
        <v>631</v>
      </c>
      <c r="X298" s="471">
        <v>0</v>
      </c>
      <c r="Y298" s="206"/>
      <c r="Z298" s="206"/>
    </row>
    <row r="299" spans="1:26">
      <c r="A299" s="406">
        <v>296</v>
      </c>
      <c r="B299" s="613" t="s">
        <v>6169</v>
      </c>
      <c r="C299" s="288" t="s">
        <v>632</v>
      </c>
      <c r="D299" s="414" t="s">
        <v>4590</v>
      </c>
      <c r="E299" s="407" t="s">
        <v>8712</v>
      </c>
      <c r="F299" s="483"/>
      <c r="G299" s="483"/>
      <c r="H299" s="483"/>
      <c r="I299" s="483"/>
      <c r="J299" s="483"/>
      <c r="K299" s="483"/>
      <c r="L299" s="608" t="s">
        <v>4884</v>
      </c>
      <c r="M299" s="409">
        <v>6302.3858267716541</v>
      </c>
      <c r="N299" s="409">
        <v>6302.3858267716541</v>
      </c>
      <c r="O299" s="410" t="s">
        <v>7573</v>
      </c>
      <c r="P299" s="406">
        <v>296</v>
      </c>
      <c r="Q299" s="470" t="s">
        <v>632</v>
      </c>
      <c r="R299" s="460" t="s">
        <v>633</v>
      </c>
      <c r="S299" s="270" t="s">
        <v>32</v>
      </c>
      <c r="U299" s="471">
        <v>1</v>
      </c>
      <c r="V299" s="471"/>
      <c r="W299" s="471" t="s">
        <v>633</v>
      </c>
      <c r="X299" s="471">
        <v>0</v>
      </c>
      <c r="Y299" s="206"/>
      <c r="Z299" s="206"/>
    </row>
    <row r="300" spans="1:26">
      <c r="A300" s="406">
        <v>297</v>
      </c>
      <c r="B300" s="613" t="s">
        <v>6170</v>
      </c>
      <c r="C300" s="288" t="s">
        <v>634</v>
      </c>
      <c r="D300" s="414" t="s">
        <v>4587</v>
      </c>
      <c r="E300" s="407" t="s">
        <v>8713</v>
      </c>
      <c r="F300" s="483"/>
      <c r="G300" s="483"/>
      <c r="H300" s="483"/>
      <c r="I300" s="483"/>
      <c r="J300" s="483"/>
      <c r="K300" s="483"/>
      <c r="L300" s="608" t="s">
        <v>4884</v>
      </c>
      <c r="M300" s="409">
        <v>6303.0748031496059</v>
      </c>
      <c r="N300" s="409">
        <v>6303.0748031496059</v>
      </c>
      <c r="O300" s="410" t="s">
        <v>7573</v>
      </c>
      <c r="P300" s="406">
        <v>297</v>
      </c>
      <c r="Q300" s="470" t="s">
        <v>634</v>
      </c>
      <c r="R300" s="460" t="s">
        <v>635</v>
      </c>
      <c r="S300" s="270" t="s">
        <v>32</v>
      </c>
      <c r="U300" s="471">
        <v>1</v>
      </c>
      <c r="V300" s="471"/>
      <c r="W300" s="471" t="s">
        <v>635</v>
      </c>
      <c r="X300" s="471">
        <v>0</v>
      </c>
      <c r="Y300" s="206"/>
      <c r="Z300" s="206"/>
    </row>
    <row r="301" spans="1:26">
      <c r="A301" s="406">
        <v>298</v>
      </c>
      <c r="B301" s="613" t="s">
        <v>6171</v>
      </c>
      <c r="C301" s="288" t="s">
        <v>636</v>
      </c>
      <c r="D301" s="414" t="s">
        <v>4589</v>
      </c>
      <c r="E301" s="407" t="s">
        <v>8714</v>
      </c>
      <c r="F301" s="483"/>
      <c r="G301" s="483"/>
      <c r="H301" s="483"/>
      <c r="I301" s="483"/>
      <c r="J301" s="483"/>
      <c r="K301" s="483"/>
      <c r="L301" s="608" t="s">
        <v>4884</v>
      </c>
      <c r="M301" s="409">
        <v>6304.6968503937005</v>
      </c>
      <c r="N301" s="409">
        <v>6304.6968503937005</v>
      </c>
      <c r="O301" s="410" t="s">
        <v>7573</v>
      </c>
      <c r="P301" s="406">
        <v>298</v>
      </c>
      <c r="Q301" s="470" t="s">
        <v>636</v>
      </c>
      <c r="R301" s="460" t="s">
        <v>637</v>
      </c>
      <c r="S301" s="270" t="s">
        <v>32</v>
      </c>
      <c r="U301" s="471">
        <v>1</v>
      </c>
      <c r="V301" s="471"/>
      <c r="W301" s="471" t="s">
        <v>637</v>
      </c>
      <c r="X301" s="471">
        <v>0</v>
      </c>
      <c r="Y301" s="206"/>
      <c r="Z301" s="206"/>
    </row>
    <row r="302" spans="1:26">
      <c r="A302" s="406">
        <v>299</v>
      </c>
      <c r="B302" s="613" t="s">
        <v>6172</v>
      </c>
      <c r="C302" s="288" t="s">
        <v>638</v>
      </c>
      <c r="D302" s="414" t="s">
        <v>4596</v>
      </c>
      <c r="E302" s="407" t="s">
        <v>8715</v>
      </c>
      <c r="F302" s="483"/>
      <c r="G302" s="483"/>
      <c r="H302" s="483"/>
      <c r="I302" s="483"/>
      <c r="J302" s="483"/>
      <c r="K302" s="483"/>
      <c r="L302" s="608" t="s">
        <v>4884</v>
      </c>
      <c r="M302" s="409">
        <v>6298.2716535433074</v>
      </c>
      <c r="N302" s="409">
        <v>6298.2716535433074</v>
      </c>
      <c r="O302" s="410" t="s">
        <v>7573</v>
      </c>
      <c r="P302" s="406">
        <v>299</v>
      </c>
      <c r="Q302" s="470" t="s">
        <v>638</v>
      </c>
      <c r="R302" s="460" t="s">
        <v>639</v>
      </c>
      <c r="S302" s="270" t="s">
        <v>32</v>
      </c>
      <c r="U302" s="471">
        <v>1</v>
      </c>
      <c r="V302" s="471"/>
      <c r="W302" s="471" t="s">
        <v>639</v>
      </c>
      <c r="X302" s="471">
        <v>0</v>
      </c>
      <c r="Y302" s="206"/>
      <c r="Z302" s="206"/>
    </row>
    <row r="303" spans="1:26">
      <c r="A303" s="406">
        <v>300</v>
      </c>
      <c r="B303" s="613" t="s">
        <v>6173</v>
      </c>
      <c r="C303" s="288" t="s">
        <v>640</v>
      </c>
      <c r="D303" s="414" t="s">
        <v>4588</v>
      </c>
      <c r="E303" s="407" t="s">
        <v>8716</v>
      </c>
      <c r="F303" s="483"/>
      <c r="G303" s="411"/>
      <c r="H303" s="411"/>
      <c r="I303" s="411"/>
      <c r="J303" s="411"/>
      <c r="K303" s="411"/>
      <c r="L303" s="608" t="s">
        <v>4884</v>
      </c>
      <c r="M303" s="409">
        <v>6303.2559055118109</v>
      </c>
      <c r="N303" s="409">
        <v>6303.2559055118109</v>
      </c>
      <c r="O303" s="410" t="s">
        <v>7573</v>
      </c>
      <c r="P303" s="406">
        <v>300</v>
      </c>
      <c r="Q303" s="470" t="s">
        <v>640</v>
      </c>
      <c r="R303" s="460" t="s">
        <v>641</v>
      </c>
      <c r="S303" s="270" t="s">
        <v>32</v>
      </c>
      <c r="U303" s="471">
        <v>1</v>
      </c>
      <c r="V303" s="471"/>
      <c r="W303" s="471" t="s">
        <v>641</v>
      </c>
      <c r="X303" s="471">
        <v>0</v>
      </c>
      <c r="Y303" s="206"/>
      <c r="Z303" s="206"/>
    </row>
    <row r="304" spans="1:26">
      <c r="A304" s="406">
        <v>301</v>
      </c>
      <c r="B304" s="613" t="s">
        <v>6174</v>
      </c>
      <c r="C304" s="288" t="s">
        <v>642</v>
      </c>
      <c r="D304" s="414" t="s">
        <v>4586</v>
      </c>
      <c r="E304" s="407" t="s">
        <v>8717</v>
      </c>
      <c r="F304" s="483"/>
      <c r="G304" s="483"/>
      <c r="H304" s="483"/>
      <c r="I304" s="483"/>
      <c r="J304" s="483"/>
      <c r="K304" s="483"/>
      <c r="L304" s="608" t="s">
        <v>4884</v>
      </c>
      <c r="M304" s="409">
        <v>6301.2716535433074</v>
      </c>
      <c r="N304" s="409">
        <v>6301.2716535433074</v>
      </c>
      <c r="O304" s="410" t="s">
        <v>7573</v>
      </c>
      <c r="P304" s="406">
        <v>301</v>
      </c>
      <c r="Q304" s="470" t="s">
        <v>642</v>
      </c>
      <c r="R304" s="460" t="s">
        <v>643</v>
      </c>
      <c r="S304" s="270" t="s">
        <v>32</v>
      </c>
      <c r="U304" s="471">
        <v>1</v>
      </c>
      <c r="V304" s="471"/>
      <c r="W304" s="471" t="s">
        <v>643</v>
      </c>
      <c r="X304" s="471">
        <v>0</v>
      </c>
      <c r="Y304" s="206"/>
      <c r="Z304" s="206"/>
    </row>
    <row r="305" spans="1:26">
      <c r="A305" s="406">
        <v>302</v>
      </c>
      <c r="B305" s="613" t="s">
        <v>5862</v>
      </c>
      <c r="C305" s="288" t="s">
        <v>644</v>
      </c>
      <c r="D305" s="414" t="s">
        <v>3418</v>
      </c>
      <c r="E305" s="407" t="s">
        <v>8718</v>
      </c>
      <c r="F305" s="483"/>
      <c r="G305" s="483"/>
      <c r="H305" s="411"/>
      <c r="I305" s="411"/>
      <c r="J305" s="411"/>
      <c r="K305" s="411"/>
      <c r="L305" s="608" t="s">
        <v>4884</v>
      </c>
      <c r="M305" s="409">
        <v>6417.4606299212601</v>
      </c>
      <c r="N305" s="409">
        <v>6417.4606299212601</v>
      </c>
      <c r="O305" s="410" t="s">
        <v>7569</v>
      </c>
      <c r="P305" s="406">
        <v>302</v>
      </c>
      <c r="Q305" s="470" t="s">
        <v>644</v>
      </c>
      <c r="R305" s="460" t="s">
        <v>645</v>
      </c>
      <c r="S305" s="270" t="s">
        <v>32</v>
      </c>
      <c r="U305" s="471">
        <v>1</v>
      </c>
      <c r="V305" s="471"/>
      <c r="W305" s="471" t="s">
        <v>645</v>
      </c>
      <c r="X305" s="471">
        <v>0</v>
      </c>
      <c r="Y305" s="206"/>
      <c r="Z305" s="206"/>
    </row>
    <row r="306" spans="1:26">
      <c r="A306" s="406">
        <v>303</v>
      </c>
      <c r="B306" s="613" t="s">
        <v>5864</v>
      </c>
      <c r="C306" s="288" t="s">
        <v>646</v>
      </c>
      <c r="D306" s="414" t="s">
        <v>3417</v>
      </c>
      <c r="E306" s="407" t="s">
        <v>8719</v>
      </c>
      <c r="F306" s="483"/>
      <c r="G306" s="483"/>
      <c r="H306" s="483"/>
      <c r="I306" s="483"/>
      <c r="J306" s="483"/>
      <c r="K306" s="483"/>
      <c r="L306" s="608" t="s">
        <v>4884</v>
      </c>
      <c r="M306" s="409">
        <v>4963.6614173228345</v>
      </c>
      <c r="N306" s="409">
        <v>4963.6614173228345</v>
      </c>
      <c r="O306" s="410" t="s">
        <v>7569</v>
      </c>
      <c r="P306" s="406">
        <v>303</v>
      </c>
      <c r="Q306" s="470" t="s">
        <v>646</v>
      </c>
      <c r="R306" s="460" t="s">
        <v>647</v>
      </c>
      <c r="S306" s="270" t="s">
        <v>32</v>
      </c>
      <c r="U306" s="471">
        <v>1</v>
      </c>
      <c r="V306" s="471"/>
      <c r="W306" s="471" t="s">
        <v>647</v>
      </c>
      <c r="X306" s="471">
        <v>0</v>
      </c>
      <c r="Y306" s="206"/>
      <c r="Z306" s="206"/>
    </row>
    <row r="307" spans="1:26">
      <c r="A307" s="406">
        <v>304</v>
      </c>
      <c r="B307" s="613" t="s">
        <v>5870</v>
      </c>
      <c r="C307" s="288" t="s">
        <v>648</v>
      </c>
      <c r="D307" s="414" t="s">
        <v>4527</v>
      </c>
      <c r="E307" s="407" t="s">
        <v>8720</v>
      </c>
      <c r="F307" s="483"/>
      <c r="G307" s="483"/>
      <c r="H307" s="411"/>
      <c r="I307" s="411"/>
      <c r="J307" s="411"/>
      <c r="K307" s="411"/>
      <c r="L307" s="608" t="s">
        <v>4884</v>
      </c>
      <c r="M307" s="409">
        <v>5081.1889763779527</v>
      </c>
      <c r="N307" s="409">
        <v>5081.1889763779527</v>
      </c>
      <c r="O307" s="410" t="s">
        <v>7572</v>
      </c>
      <c r="P307" s="406">
        <v>304</v>
      </c>
      <c r="Q307" s="470" t="s">
        <v>648</v>
      </c>
      <c r="R307" s="460" t="s">
        <v>649</v>
      </c>
      <c r="S307" s="270" t="s">
        <v>32</v>
      </c>
      <c r="U307" s="471">
        <v>1</v>
      </c>
      <c r="V307" s="471"/>
      <c r="W307" s="471" t="s">
        <v>649</v>
      </c>
      <c r="X307" s="471">
        <v>0</v>
      </c>
      <c r="Y307" s="206"/>
      <c r="Z307" s="206"/>
    </row>
    <row r="308" spans="1:26">
      <c r="A308" s="406">
        <v>305</v>
      </c>
      <c r="B308" s="613" t="s">
        <v>5872</v>
      </c>
      <c r="C308" s="288" t="s">
        <v>650</v>
      </c>
      <c r="D308" s="414" t="s">
        <v>4523</v>
      </c>
      <c r="E308" s="407" t="s">
        <v>8721</v>
      </c>
      <c r="F308" s="483"/>
      <c r="G308" s="483"/>
      <c r="H308" s="483"/>
      <c r="I308" s="483"/>
      <c r="J308" s="483"/>
      <c r="K308" s="483"/>
      <c r="L308" s="608" t="s">
        <v>4884</v>
      </c>
      <c r="M308" s="409">
        <v>5593.9094488188975</v>
      </c>
      <c r="N308" s="409">
        <v>5593.9094488188975</v>
      </c>
      <c r="O308" s="410" t="s">
        <v>7572</v>
      </c>
      <c r="P308" s="406">
        <v>305</v>
      </c>
      <c r="Q308" s="470" t="s">
        <v>650</v>
      </c>
      <c r="R308" s="460" t="s">
        <v>651</v>
      </c>
      <c r="S308" s="270" t="s">
        <v>32</v>
      </c>
      <c r="U308" s="471">
        <v>1</v>
      </c>
      <c r="V308" s="471"/>
      <c r="W308" s="471" t="s">
        <v>651</v>
      </c>
      <c r="X308" s="471">
        <v>0</v>
      </c>
      <c r="Y308" s="206"/>
      <c r="Z308" s="206"/>
    </row>
    <row r="309" spans="1:26">
      <c r="A309" s="406">
        <v>306</v>
      </c>
      <c r="B309" s="613" t="s">
        <v>5878</v>
      </c>
      <c r="C309" s="288" t="s">
        <v>652</v>
      </c>
      <c r="D309" s="414" t="s">
        <v>4571</v>
      </c>
      <c r="E309" s="407" t="s">
        <v>8722</v>
      </c>
      <c r="F309" s="483"/>
      <c r="G309" s="483"/>
      <c r="H309" s="483"/>
      <c r="I309" s="483"/>
      <c r="J309" s="483"/>
      <c r="K309" s="483"/>
      <c r="L309" s="608" t="s">
        <v>4884</v>
      </c>
      <c r="M309" s="409">
        <v>4685.3740157480315</v>
      </c>
      <c r="N309" s="409">
        <v>4685.3740157480315</v>
      </c>
      <c r="O309" s="410" t="s">
        <v>7572</v>
      </c>
      <c r="P309" s="406">
        <v>306</v>
      </c>
      <c r="Q309" s="470" t="s">
        <v>652</v>
      </c>
      <c r="R309" s="460" t="s">
        <v>653</v>
      </c>
      <c r="S309" s="270" t="s">
        <v>32</v>
      </c>
      <c r="U309" s="471">
        <v>1</v>
      </c>
      <c r="V309" s="471"/>
      <c r="W309" s="471" t="s">
        <v>653</v>
      </c>
      <c r="X309" s="471">
        <v>0</v>
      </c>
      <c r="Y309" s="206"/>
      <c r="Z309" s="206"/>
    </row>
    <row r="310" spans="1:26">
      <c r="A310" s="406">
        <v>307</v>
      </c>
      <c r="B310" s="613" t="s">
        <v>5844</v>
      </c>
      <c r="C310" s="288" t="s">
        <v>654</v>
      </c>
      <c r="D310" s="414" t="s">
        <v>4551</v>
      </c>
      <c r="E310" s="407" t="s">
        <v>8723</v>
      </c>
      <c r="F310" s="483"/>
      <c r="G310" s="483"/>
      <c r="H310" s="411"/>
      <c r="I310" s="411"/>
      <c r="J310" s="411"/>
      <c r="K310" s="411"/>
      <c r="L310" s="608" t="s">
        <v>4884</v>
      </c>
      <c r="M310" s="409">
        <v>6066.7362204724413</v>
      </c>
      <c r="N310" s="409">
        <v>6066.7362204724413</v>
      </c>
      <c r="O310" s="410" t="s">
        <v>7572</v>
      </c>
      <c r="P310" s="406">
        <v>307</v>
      </c>
      <c r="Q310" s="470" t="s">
        <v>654</v>
      </c>
      <c r="R310" s="460" t="s">
        <v>655</v>
      </c>
      <c r="S310" s="270" t="s">
        <v>32</v>
      </c>
      <c r="U310" s="471">
        <v>1</v>
      </c>
      <c r="V310" s="471"/>
      <c r="W310" s="471" t="s">
        <v>655</v>
      </c>
      <c r="X310" s="471">
        <v>0</v>
      </c>
      <c r="Y310" s="206"/>
      <c r="Z310" s="206"/>
    </row>
    <row r="311" spans="1:26">
      <c r="A311" s="406">
        <v>308</v>
      </c>
      <c r="B311" s="613" t="s">
        <v>5850</v>
      </c>
      <c r="C311" s="288" t="s">
        <v>656</v>
      </c>
      <c r="D311" s="414" t="s">
        <v>4593</v>
      </c>
      <c r="E311" s="407" t="s">
        <v>8724</v>
      </c>
      <c r="F311" s="483"/>
      <c r="G311" s="483"/>
      <c r="H311" s="483"/>
      <c r="I311" s="483"/>
      <c r="J311" s="483"/>
      <c r="K311" s="483"/>
      <c r="L311" s="608" t="s">
        <v>4884</v>
      </c>
      <c r="M311" s="409">
        <v>5199.3031496062995</v>
      </c>
      <c r="N311" s="409">
        <v>5199.3031496062995</v>
      </c>
      <c r="O311" s="410" t="s">
        <v>7573</v>
      </c>
      <c r="P311" s="406">
        <v>308</v>
      </c>
      <c r="Q311" s="470" t="s">
        <v>656</v>
      </c>
      <c r="R311" s="460" t="s">
        <v>657</v>
      </c>
      <c r="S311" s="270" t="s">
        <v>32</v>
      </c>
      <c r="U311" s="471">
        <v>1</v>
      </c>
      <c r="V311" s="471"/>
      <c r="W311" s="471" t="s">
        <v>657</v>
      </c>
      <c r="X311" s="471">
        <v>0</v>
      </c>
      <c r="Y311" s="206"/>
      <c r="Z311" s="206"/>
    </row>
    <row r="312" spans="1:26">
      <c r="A312" s="406">
        <v>309</v>
      </c>
      <c r="B312" s="613" t="s">
        <v>5852</v>
      </c>
      <c r="C312" s="288" t="s">
        <v>658</v>
      </c>
      <c r="D312" s="414" t="s">
        <v>4584</v>
      </c>
      <c r="E312" s="407" t="s">
        <v>8725</v>
      </c>
      <c r="F312" s="483"/>
      <c r="G312" s="483"/>
      <c r="H312" s="411"/>
      <c r="I312" s="411"/>
      <c r="J312" s="411"/>
      <c r="K312" s="411"/>
      <c r="L312" s="608" t="s">
        <v>4884</v>
      </c>
      <c r="M312" s="409">
        <v>6184.3425196850394</v>
      </c>
      <c r="N312" s="409">
        <v>6184.3425196850394</v>
      </c>
      <c r="O312" s="410" t="s">
        <v>7575</v>
      </c>
      <c r="P312" s="406">
        <v>309</v>
      </c>
      <c r="Q312" s="470" t="s">
        <v>658</v>
      </c>
      <c r="R312" s="460" t="s">
        <v>659</v>
      </c>
      <c r="S312" s="270" t="s">
        <v>32</v>
      </c>
      <c r="U312" s="471">
        <v>1</v>
      </c>
      <c r="V312" s="471"/>
      <c r="W312" s="471" t="s">
        <v>659</v>
      </c>
      <c r="X312" s="471">
        <v>0</v>
      </c>
      <c r="Y312" s="206"/>
      <c r="Z312" s="206"/>
    </row>
    <row r="313" spans="1:26">
      <c r="A313" s="406">
        <v>310</v>
      </c>
      <c r="B313" s="613" t="s">
        <v>5866</v>
      </c>
      <c r="C313" s="288" t="s">
        <v>660</v>
      </c>
      <c r="D313" s="414" t="s">
        <v>3428</v>
      </c>
      <c r="E313" s="407" t="s">
        <v>8726</v>
      </c>
      <c r="F313" s="483"/>
      <c r="G313" s="483"/>
      <c r="H313" s="483"/>
      <c r="I313" s="483"/>
      <c r="J313" s="483"/>
      <c r="K313" s="483"/>
      <c r="L313" s="608" t="s">
        <v>4884</v>
      </c>
      <c r="M313" s="409">
        <v>7164.9448818897636</v>
      </c>
      <c r="N313" s="409">
        <v>7164.9448818897636</v>
      </c>
      <c r="O313" s="410" t="s">
        <v>7572</v>
      </c>
      <c r="P313" s="406">
        <v>310</v>
      </c>
      <c r="Q313" s="470" t="s">
        <v>660</v>
      </c>
      <c r="R313" s="460" t="s">
        <v>661</v>
      </c>
      <c r="S313" s="270" t="s">
        <v>32</v>
      </c>
      <c r="U313" s="471">
        <v>1</v>
      </c>
      <c r="V313" s="471"/>
      <c r="W313" s="471" t="s">
        <v>661</v>
      </c>
      <c r="X313" s="471">
        <v>0</v>
      </c>
      <c r="Y313" s="206"/>
      <c r="Z313" s="206"/>
    </row>
    <row r="314" spans="1:26">
      <c r="A314" s="406">
        <v>311</v>
      </c>
      <c r="B314" s="613" t="s">
        <v>5868</v>
      </c>
      <c r="C314" s="288" t="s">
        <v>662</v>
      </c>
      <c r="D314" s="414" t="s">
        <v>3383</v>
      </c>
      <c r="E314" s="407" t="s">
        <v>8727</v>
      </c>
      <c r="F314" s="483"/>
      <c r="G314" s="411"/>
      <c r="H314" s="411"/>
      <c r="I314" s="411"/>
      <c r="J314" s="411"/>
      <c r="K314" s="411"/>
      <c r="L314" s="608" t="s">
        <v>4884</v>
      </c>
      <c r="M314" s="409">
        <v>6733.1259842519685</v>
      </c>
      <c r="N314" s="409">
        <v>6733.1259842519685</v>
      </c>
      <c r="O314" s="410" t="s">
        <v>7576</v>
      </c>
      <c r="P314" s="406">
        <v>311</v>
      </c>
      <c r="Q314" s="470" t="s">
        <v>662</v>
      </c>
      <c r="R314" s="460" t="s">
        <v>663</v>
      </c>
      <c r="S314" s="270" t="s">
        <v>32</v>
      </c>
      <c r="U314" s="471">
        <v>1</v>
      </c>
      <c r="V314" s="471"/>
      <c r="W314" s="471" t="s">
        <v>663</v>
      </c>
      <c r="X314" s="471">
        <v>0</v>
      </c>
      <c r="Y314" s="206"/>
      <c r="Z314" s="206"/>
    </row>
    <row r="315" spans="1:26">
      <c r="A315" s="406">
        <v>312</v>
      </c>
      <c r="B315" s="613" t="s">
        <v>5874</v>
      </c>
      <c r="C315" s="288" t="s">
        <v>664</v>
      </c>
      <c r="D315" s="414" t="s">
        <v>3362</v>
      </c>
      <c r="E315" s="407" t="s">
        <v>8728</v>
      </c>
      <c r="F315" s="483"/>
      <c r="G315" s="411"/>
      <c r="H315" s="411"/>
      <c r="I315" s="411"/>
      <c r="J315" s="411"/>
      <c r="K315" s="411"/>
      <c r="L315" s="608" t="s">
        <v>4884</v>
      </c>
      <c r="M315" s="409">
        <v>5593.4251968503941</v>
      </c>
      <c r="N315" s="409">
        <v>5593.4251968503941</v>
      </c>
      <c r="O315" s="410" t="s">
        <v>7572</v>
      </c>
      <c r="P315" s="406">
        <v>312</v>
      </c>
      <c r="Q315" s="470" t="s">
        <v>664</v>
      </c>
      <c r="R315" s="460" t="s">
        <v>665</v>
      </c>
      <c r="S315" s="270" t="s">
        <v>32</v>
      </c>
      <c r="U315" s="471">
        <v>1</v>
      </c>
      <c r="V315" s="471"/>
      <c r="W315" s="471" t="s">
        <v>665</v>
      </c>
      <c r="X315" s="471">
        <v>0</v>
      </c>
      <c r="Y315" s="206"/>
      <c r="Z315" s="206"/>
    </row>
    <row r="316" spans="1:26">
      <c r="A316" s="406">
        <v>313</v>
      </c>
      <c r="B316" s="613" t="s">
        <v>5876</v>
      </c>
      <c r="C316" s="288" t="s">
        <v>666</v>
      </c>
      <c r="D316" s="414" t="s">
        <v>4513</v>
      </c>
      <c r="E316" s="407" t="s">
        <v>8729</v>
      </c>
      <c r="F316" s="483"/>
      <c r="G316" s="411"/>
      <c r="H316" s="411"/>
      <c r="I316" s="411"/>
      <c r="J316" s="411"/>
      <c r="K316" s="411"/>
      <c r="L316" s="608" t="s">
        <v>4884</v>
      </c>
      <c r="M316" s="409">
        <v>5553.212598425197</v>
      </c>
      <c r="N316" s="409">
        <v>5553.212598425197</v>
      </c>
      <c r="O316" s="410" t="s">
        <v>7576</v>
      </c>
      <c r="P316" s="406">
        <v>313</v>
      </c>
      <c r="Q316" s="470" t="s">
        <v>666</v>
      </c>
      <c r="R316" s="460" t="s">
        <v>667</v>
      </c>
      <c r="S316" s="270" t="s">
        <v>32</v>
      </c>
      <c r="U316" s="471">
        <v>1</v>
      </c>
      <c r="V316" s="471"/>
      <c r="W316" s="471" t="s">
        <v>667</v>
      </c>
      <c r="X316" s="471">
        <v>0</v>
      </c>
      <c r="Y316" s="206"/>
      <c r="Z316" s="206"/>
    </row>
    <row r="317" spans="1:26">
      <c r="A317" s="406">
        <v>314</v>
      </c>
      <c r="B317" s="613" t="s">
        <v>5846</v>
      </c>
      <c r="C317" s="288" t="s">
        <v>668</v>
      </c>
      <c r="D317" s="414" t="s">
        <v>4549</v>
      </c>
      <c r="E317" s="407" t="s">
        <v>8730</v>
      </c>
      <c r="F317" s="483"/>
      <c r="G317" s="411"/>
      <c r="H317" s="411"/>
      <c r="I317" s="411"/>
      <c r="J317" s="411"/>
      <c r="K317" s="411"/>
      <c r="L317" s="608" t="s">
        <v>4884</v>
      </c>
      <c r="M317" s="409">
        <v>5317.3070866141734</v>
      </c>
      <c r="N317" s="409">
        <v>5317.3070866141734</v>
      </c>
      <c r="O317" s="410" t="s">
        <v>7573</v>
      </c>
      <c r="P317" s="406">
        <v>314</v>
      </c>
      <c r="Q317" s="470" t="s">
        <v>668</v>
      </c>
      <c r="R317" s="460" t="s">
        <v>669</v>
      </c>
      <c r="S317" s="270" t="s">
        <v>32</v>
      </c>
      <c r="U317" s="471">
        <v>1</v>
      </c>
      <c r="V317" s="471"/>
      <c r="W317" s="471" t="s">
        <v>669</v>
      </c>
      <c r="X317" s="471">
        <v>0</v>
      </c>
      <c r="Y317" s="206"/>
      <c r="Z317" s="206"/>
    </row>
    <row r="318" spans="1:26">
      <c r="A318" s="406">
        <v>315</v>
      </c>
      <c r="B318" s="613" t="s">
        <v>5848</v>
      </c>
      <c r="C318" s="288" t="s">
        <v>670</v>
      </c>
      <c r="D318" s="414" t="s">
        <v>4538</v>
      </c>
      <c r="E318" s="407" t="s">
        <v>8731</v>
      </c>
      <c r="F318" s="483"/>
      <c r="G318" s="411"/>
      <c r="H318" s="411"/>
      <c r="I318" s="411"/>
      <c r="J318" s="411"/>
      <c r="K318" s="411"/>
      <c r="L318" s="608" t="s">
        <v>4884</v>
      </c>
      <c r="M318" s="409">
        <v>6379.4724409448827</v>
      </c>
      <c r="N318" s="409">
        <v>6379.4724409448827</v>
      </c>
      <c r="O318" s="410" t="s">
        <v>7574</v>
      </c>
      <c r="P318" s="406">
        <v>315</v>
      </c>
      <c r="Q318" s="470" t="s">
        <v>670</v>
      </c>
      <c r="R318" s="460" t="s">
        <v>671</v>
      </c>
      <c r="S318" s="270" t="s">
        <v>32</v>
      </c>
      <c r="U318" s="471">
        <v>1</v>
      </c>
      <c r="V318" s="471"/>
      <c r="W318" s="471" t="s">
        <v>671</v>
      </c>
      <c r="X318" s="471">
        <v>0</v>
      </c>
      <c r="Y318" s="206"/>
      <c r="Z318" s="206"/>
    </row>
    <row r="319" spans="1:26">
      <c r="A319" s="406">
        <v>316</v>
      </c>
      <c r="B319" s="613" t="s">
        <v>5854</v>
      </c>
      <c r="C319" s="288" t="s">
        <v>672</v>
      </c>
      <c r="D319" s="414" t="s">
        <v>4601</v>
      </c>
      <c r="E319" s="407" t="s">
        <v>8732</v>
      </c>
      <c r="F319" s="483"/>
      <c r="G319" s="483"/>
      <c r="H319" s="483"/>
      <c r="I319" s="483"/>
      <c r="J319" s="483"/>
      <c r="K319" s="483"/>
      <c r="L319" s="608" t="s">
        <v>4884</v>
      </c>
      <c r="M319" s="409">
        <v>5196.6811023622049</v>
      </c>
      <c r="N319" s="409">
        <v>5196.6811023622049</v>
      </c>
      <c r="O319" s="410" t="s">
        <v>7576</v>
      </c>
      <c r="P319" s="406">
        <v>316</v>
      </c>
      <c r="Q319" s="470" t="s">
        <v>672</v>
      </c>
      <c r="R319" s="460" t="s">
        <v>673</v>
      </c>
      <c r="S319" s="270" t="s">
        <v>32</v>
      </c>
      <c r="U319" s="471">
        <v>1</v>
      </c>
      <c r="V319" s="471"/>
      <c r="W319" s="471" t="s">
        <v>673</v>
      </c>
      <c r="X319" s="471">
        <v>0</v>
      </c>
      <c r="Y319" s="206"/>
      <c r="Z319" s="206"/>
    </row>
    <row r="320" spans="1:26">
      <c r="A320" s="406">
        <v>317</v>
      </c>
      <c r="B320" s="613" t="s">
        <v>5856</v>
      </c>
      <c r="C320" s="288" t="s">
        <v>674</v>
      </c>
      <c r="D320" s="414" t="s">
        <v>4602</v>
      </c>
      <c r="E320" s="407" t="s">
        <v>8733</v>
      </c>
      <c r="F320" s="483"/>
      <c r="G320" s="483"/>
      <c r="H320" s="483"/>
      <c r="I320" s="483"/>
      <c r="J320" s="483"/>
      <c r="K320" s="483"/>
      <c r="L320" s="608" t="s">
        <v>4884</v>
      </c>
      <c r="M320" s="409">
        <v>6302.6614173228354</v>
      </c>
      <c r="N320" s="409">
        <v>6302.6614173228354</v>
      </c>
      <c r="O320" s="410" t="s">
        <v>7576</v>
      </c>
      <c r="P320" s="406">
        <v>317</v>
      </c>
      <c r="Q320" s="470" t="s">
        <v>674</v>
      </c>
      <c r="R320" s="460" t="s">
        <v>675</v>
      </c>
      <c r="S320" s="270" t="s">
        <v>32</v>
      </c>
      <c r="U320" s="471">
        <v>1</v>
      </c>
      <c r="V320" s="471"/>
      <c r="W320" s="471" t="s">
        <v>675</v>
      </c>
      <c r="X320" s="471">
        <v>0</v>
      </c>
      <c r="Y320" s="206"/>
      <c r="Z320" s="206"/>
    </row>
    <row r="321" spans="1:26">
      <c r="A321" s="406">
        <v>318</v>
      </c>
      <c r="B321" s="613" t="s">
        <v>5863</v>
      </c>
      <c r="C321" s="288" t="s">
        <v>676</v>
      </c>
      <c r="D321" s="414" t="s">
        <v>3419</v>
      </c>
      <c r="E321" s="407" t="s">
        <v>8734</v>
      </c>
      <c r="F321" s="483"/>
      <c r="G321" s="483"/>
      <c r="H321" s="483"/>
      <c r="I321" s="483"/>
      <c r="J321" s="483"/>
      <c r="K321" s="483"/>
      <c r="L321" s="608" t="s">
        <v>4884</v>
      </c>
      <c r="M321" s="409">
        <v>6417.6496062992128</v>
      </c>
      <c r="N321" s="409">
        <v>6417.6496062992128</v>
      </c>
      <c r="O321" s="410" t="s">
        <v>7569</v>
      </c>
      <c r="P321" s="406">
        <v>318</v>
      </c>
      <c r="Q321" s="470" t="s">
        <v>676</v>
      </c>
      <c r="R321" s="460" t="s">
        <v>677</v>
      </c>
      <c r="S321" s="270" t="s">
        <v>32</v>
      </c>
      <c r="U321" s="471">
        <v>1</v>
      </c>
      <c r="V321" s="471"/>
      <c r="W321" s="471" t="s">
        <v>677</v>
      </c>
      <c r="X321" s="471">
        <v>0</v>
      </c>
      <c r="Y321" s="206"/>
      <c r="Z321" s="206"/>
    </row>
    <row r="322" spans="1:26">
      <c r="A322" s="406">
        <v>319</v>
      </c>
      <c r="B322" s="613" t="s">
        <v>5865</v>
      </c>
      <c r="C322" s="288" t="s">
        <v>678</v>
      </c>
      <c r="D322" s="414" t="s">
        <v>3416</v>
      </c>
      <c r="E322" s="407" t="s">
        <v>8735</v>
      </c>
      <c r="F322" s="483"/>
      <c r="G322" s="483"/>
      <c r="H322" s="411"/>
      <c r="I322" s="411"/>
      <c r="J322" s="411"/>
      <c r="K322" s="411"/>
      <c r="L322" s="608" t="s">
        <v>4884</v>
      </c>
      <c r="M322" s="409">
        <v>4961.9566929133862</v>
      </c>
      <c r="N322" s="409">
        <v>4961.9566929133862</v>
      </c>
      <c r="O322" s="410" t="s">
        <v>7569</v>
      </c>
      <c r="P322" s="406">
        <v>319</v>
      </c>
      <c r="Q322" s="470" t="s">
        <v>678</v>
      </c>
      <c r="R322" s="460" t="s">
        <v>679</v>
      </c>
      <c r="S322" s="270" t="s">
        <v>32</v>
      </c>
      <c r="U322" s="471">
        <v>1</v>
      </c>
      <c r="V322" s="471"/>
      <c r="W322" s="471" t="s">
        <v>679</v>
      </c>
      <c r="X322" s="471">
        <v>0</v>
      </c>
      <c r="Y322" s="206"/>
      <c r="Z322" s="206"/>
    </row>
    <row r="323" spans="1:26">
      <c r="A323" s="406">
        <v>320</v>
      </c>
      <c r="B323" s="613" t="s">
        <v>5871</v>
      </c>
      <c r="C323" s="288" t="s">
        <v>680</v>
      </c>
      <c r="D323" s="414" t="s">
        <v>4529</v>
      </c>
      <c r="E323" s="407" t="s">
        <v>8736</v>
      </c>
      <c r="F323" s="483"/>
      <c r="G323" s="483"/>
      <c r="H323" s="411"/>
      <c r="I323" s="411"/>
      <c r="J323" s="411"/>
      <c r="K323" s="411"/>
      <c r="L323" s="608" t="s">
        <v>4884</v>
      </c>
      <c r="M323" s="409">
        <v>5079.6023622047242</v>
      </c>
      <c r="N323" s="409">
        <v>5079.6023622047242</v>
      </c>
      <c r="O323" s="410" t="s">
        <v>7572</v>
      </c>
      <c r="P323" s="406">
        <v>320</v>
      </c>
      <c r="Q323" s="470" t="s">
        <v>680</v>
      </c>
      <c r="R323" s="460" t="s">
        <v>681</v>
      </c>
      <c r="S323" s="270" t="s">
        <v>32</v>
      </c>
      <c r="U323" s="471">
        <v>1</v>
      </c>
      <c r="V323" s="471"/>
      <c r="W323" s="471" t="s">
        <v>681</v>
      </c>
      <c r="X323" s="471">
        <v>0</v>
      </c>
      <c r="Y323" s="206"/>
      <c r="Z323" s="206"/>
    </row>
    <row r="324" spans="1:26">
      <c r="A324" s="406">
        <v>321</v>
      </c>
      <c r="B324" s="613" t="s">
        <v>5873</v>
      </c>
      <c r="C324" s="288" t="s">
        <v>682</v>
      </c>
      <c r="D324" s="414" t="s">
        <v>4525</v>
      </c>
      <c r="E324" s="407" t="s">
        <v>8737</v>
      </c>
      <c r="F324" s="483"/>
      <c r="G324" s="483"/>
      <c r="H324" s="411"/>
      <c r="I324" s="411"/>
      <c r="J324" s="411"/>
      <c r="K324" s="411"/>
      <c r="L324" s="608" t="s">
        <v>4884</v>
      </c>
      <c r="M324" s="409">
        <v>5591.1377952755911</v>
      </c>
      <c r="N324" s="409">
        <v>5591.1377952755911</v>
      </c>
      <c r="O324" s="410" t="s">
        <v>7572</v>
      </c>
      <c r="P324" s="406">
        <v>321</v>
      </c>
      <c r="Q324" s="470" t="s">
        <v>682</v>
      </c>
      <c r="R324" s="460" t="s">
        <v>683</v>
      </c>
      <c r="S324" s="270" t="s">
        <v>32</v>
      </c>
      <c r="U324" s="471">
        <v>1</v>
      </c>
      <c r="V324" s="471"/>
      <c r="W324" s="471" t="s">
        <v>683</v>
      </c>
      <c r="X324" s="471">
        <v>0</v>
      </c>
      <c r="Y324" s="206"/>
      <c r="Z324" s="206"/>
    </row>
    <row r="325" spans="1:26">
      <c r="A325" s="406">
        <v>322</v>
      </c>
      <c r="B325" s="613" t="s">
        <v>5879</v>
      </c>
      <c r="C325" s="288" t="s">
        <v>684</v>
      </c>
      <c r="D325" s="414" t="s">
        <v>4573</v>
      </c>
      <c r="E325" s="407" t="s">
        <v>8738</v>
      </c>
      <c r="F325" s="483"/>
      <c r="G325" s="483"/>
      <c r="H325" s="411"/>
      <c r="I325" s="411"/>
      <c r="J325" s="411"/>
      <c r="K325" s="411"/>
      <c r="L325" s="608" t="s">
        <v>4884</v>
      </c>
      <c r="M325" s="409">
        <v>4686.1023622047251</v>
      </c>
      <c r="N325" s="409">
        <v>4686.1023622047251</v>
      </c>
      <c r="O325" s="410" t="s">
        <v>7572</v>
      </c>
      <c r="P325" s="406">
        <v>322</v>
      </c>
      <c r="Q325" s="470" t="s">
        <v>684</v>
      </c>
      <c r="R325" s="460" t="s">
        <v>685</v>
      </c>
      <c r="S325" s="270" t="s">
        <v>32</v>
      </c>
      <c r="U325" s="471">
        <v>1</v>
      </c>
      <c r="V325" s="471"/>
      <c r="W325" s="471" t="s">
        <v>685</v>
      </c>
      <c r="X325" s="471">
        <v>0</v>
      </c>
      <c r="Y325" s="206"/>
      <c r="Z325" s="206"/>
    </row>
    <row r="326" spans="1:26">
      <c r="A326" s="406">
        <v>323</v>
      </c>
      <c r="B326" s="613" t="s">
        <v>5845</v>
      </c>
      <c r="C326" s="288" t="s">
        <v>686</v>
      </c>
      <c r="D326" s="414" t="s">
        <v>4553</v>
      </c>
      <c r="E326" s="407" t="s">
        <v>8739</v>
      </c>
      <c r="F326" s="483"/>
      <c r="G326" s="483"/>
      <c r="H326" s="483"/>
      <c r="I326" s="483"/>
      <c r="J326" s="483"/>
      <c r="K326" s="483"/>
      <c r="L326" s="608" t="s">
        <v>4884</v>
      </c>
      <c r="M326" s="409">
        <v>6063.4055118110246</v>
      </c>
      <c r="N326" s="409">
        <v>6063.4055118110246</v>
      </c>
      <c r="O326" s="410" t="s">
        <v>7572</v>
      </c>
      <c r="P326" s="406">
        <v>323</v>
      </c>
      <c r="Q326" s="470" t="s">
        <v>686</v>
      </c>
      <c r="R326" s="460" t="s">
        <v>687</v>
      </c>
      <c r="S326" s="270" t="s">
        <v>32</v>
      </c>
      <c r="U326" s="471">
        <v>1</v>
      </c>
      <c r="V326" s="471"/>
      <c r="W326" s="471" t="s">
        <v>687</v>
      </c>
      <c r="X326" s="471">
        <v>0</v>
      </c>
      <c r="Y326" s="206"/>
      <c r="Z326" s="206"/>
    </row>
    <row r="327" spans="1:26">
      <c r="A327" s="406">
        <v>324</v>
      </c>
      <c r="B327" s="613" t="s">
        <v>5851</v>
      </c>
      <c r="C327" s="288" t="s">
        <v>688</v>
      </c>
      <c r="D327" s="414" t="s">
        <v>4591</v>
      </c>
      <c r="E327" s="407" t="s">
        <v>8740</v>
      </c>
      <c r="F327" s="483"/>
      <c r="G327" s="483"/>
      <c r="H327" s="483"/>
      <c r="I327" s="483"/>
      <c r="J327" s="483"/>
      <c r="K327" s="483"/>
      <c r="L327" s="608" t="s">
        <v>4884</v>
      </c>
      <c r="M327" s="409">
        <v>5198.6614173228345</v>
      </c>
      <c r="N327" s="409">
        <v>5198.6614173228345</v>
      </c>
      <c r="O327" s="410" t="s">
        <v>7573</v>
      </c>
      <c r="P327" s="406">
        <v>324</v>
      </c>
      <c r="Q327" s="470" t="s">
        <v>688</v>
      </c>
      <c r="R327" s="460" t="s">
        <v>689</v>
      </c>
      <c r="S327" s="270" t="s">
        <v>32</v>
      </c>
      <c r="U327" s="471">
        <v>1</v>
      </c>
      <c r="V327" s="471"/>
      <c r="W327" s="471" t="s">
        <v>689</v>
      </c>
      <c r="X327" s="471">
        <v>0</v>
      </c>
      <c r="Y327" s="206"/>
      <c r="Z327" s="206"/>
    </row>
    <row r="328" spans="1:26">
      <c r="A328" s="406">
        <v>325</v>
      </c>
      <c r="B328" s="613" t="s">
        <v>5853</v>
      </c>
      <c r="C328" s="288" t="s">
        <v>690</v>
      </c>
      <c r="D328" s="414" t="s">
        <v>4582</v>
      </c>
      <c r="E328" s="407" t="s">
        <v>8741</v>
      </c>
      <c r="F328" s="483"/>
      <c r="G328" s="483"/>
      <c r="H328" s="483"/>
      <c r="I328" s="483"/>
      <c r="J328" s="483"/>
      <c r="K328" s="483"/>
      <c r="L328" s="608" t="s">
        <v>4884</v>
      </c>
      <c r="M328" s="409">
        <v>6184.8031496062995</v>
      </c>
      <c r="N328" s="409">
        <v>6184.8031496062995</v>
      </c>
      <c r="O328" s="410" t="s">
        <v>7575</v>
      </c>
      <c r="P328" s="406">
        <v>325</v>
      </c>
      <c r="Q328" s="470" t="s">
        <v>690</v>
      </c>
      <c r="R328" s="460" t="s">
        <v>691</v>
      </c>
      <c r="S328" s="270" t="s">
        <v>32</v>
      </c>
      <c r="U328" s="471">
        <v>1</v>
      </c>
      <c r="V328" s="471"/>
      <c r="W328" s="471" t="s">
        <v>691</v>
      </c>
      <c r="X328" s="471">
        <v>0</v>
      </c>
      <c r="Y328" s="206"/>
      <c r="Z328" s="206"/>
    </row>
    <row r="329" spans="1:26">
      <c r="A329" s="406">
        <v>326</v>
      </c>
      <c r="B329" s="613" t="s">
        <v>5867</v>
      </c>
      <c r="C329" s="288" t="s">
        <v>692</v>
      </c>
      <c r="D329" s="414" t="s">
        <v>3426</v>
      </c>
      <c r="E329" s="407" t="s">
        <v>8742</v>
      </c>
      <c r="F329" s="483"/>
      <c r="G329" s="483"/>
      <c r="H329" s="483"/>
      <c r="I329" s="483"/>
      <c r="J329" s="483"/>
      <c r="K329" s="483"/>
      <c r="L329" s="608" t="s">
        <v>4884</v>
      </c>
      <c r="M329" s="409">
        <v>7163.6968503937005</v>
      </c>
      <c r="N329" s="409">
        <v>7163.6968503937005</v>
      </c>
      <c r="O329" s="410" t="s">
        <v>7572</v>
      </c>
      <c r="P329" s="406">
        <v>326</v>
      </c>
      <c r="Q329" s="470" t="s">
        <v>692</v>
      </c>
      <c r="R329" s="460" t="s">
        <v>693</v>
      </c>
      <c r="S329" s="270" t="s">
        <v>32</v>
      </c>
      <c r="U329" s="471">
        <v>1</v>
      </c>
      <c r="V329" s="471"/>
      <c r="W329" s="471" t="s">
        <v>693</v>
      </c>
      <c r="X329" s="471">
        <v>0</v>
      </c>
      <c r="Y329" s="206"/>
      <c r="Z329" s="206"/>
    </row>
    <row r="330" spans="1:26">
      <c r="A330" s="406">
        <v>327</v>
      </c>
      <c r="B330" s="613" t="s">
        <v>5869</v>
      </c>
      <c r="C330" s="288" t="s">
        <v>694</v>
      </c>
      <c r="D330" s="414" t="s">
        <v>3381</v>
      </c>
      <c r="E330" s="407" t="s">
        <v>8743</v>
      </c>
      <c r="F330" s="483"/>
      <c r="G330" s="483"/>
      <c r="H330" s="483"/>
      <c r="I330" s="483"/>
      <c r="J330" s="483"/>
      <c r="K330" s="483"/>
      <c r="L330" s="608" t="s">
        <v>4884</v>
      </c>
      <c r="M330" s="409">
        <v>6733.5748031496069</v>
      </c>
      <c r="N330" s="409">
        <v>6733.5748031496069</v>
      </c>
      <c r="O330" s="410" t="s">
        <v>7576</v>
      </c>
      <c r="P330" s="406">
        <v>327</v>
      </c>
      <c r="Q330" s="470" t="s">
        <v>694</v>
      </c>
      <c r="R330" s="460" t="s">
        <v>695</v>
      </c>
      <c r="S330" s="270" t="s">
        <v>32</v>
      </c>
      <c r="U330" s="471">
        <v>1</v>
      </c>
      <c r="V330" s="471"/>
      <c r="W330" s="471" t="s">
        <v>695</v>
      </c>
      <c r="X330" s="471">
        <v>0</v>
      </c>
      <c r="Y330" s="206"/>
      <c r="Z330" s="206"/>
    </row>
    <row r="331" spans="1:26">
      <c r="A331" s="406">
        <v>328</v>
      </c>
      <c r="B331" s="613" t="s">
        <v>5875</v>
      </c>
      <c r="C331" s="288" t="s">
        <v>696</v>
      </c>
      <c r="D331" s="414" t="s">
        <v>3364</v>
      </c>
      <c r="E331" s="407" t="s">
        <v>8744</v>
      </c>
      <c r="F331" s="483"/>
      <c r="G331" s="483"/>
      <c r="H331" s="483"/>
      <c r="I331" s="483"/>
      <c r="J331" s="483"/>
      <c r="K331" s="483"/>
      <c r="L331" s="608" t="s">
        <v>4884</v>
      </c>
      <c r="M331" s="409">
        <v>5589.8385826771655</v>
      </c>
      <c r="N331" s="409">
        <v>5589.8385826771655</v>
      </c>
      <c r="O331" s="410" t="s">
        <v>7572</v>
      </c>
      <c r="P331" s="406">
        <v>328</v>
      </c>
      <c r="Q331" s="470" t="s">
        <v>696</v>
      </c>
      <c r="R331" s="460" t="s">
        <v>697</v>
      </c>
      <c r="S331" s="270" t="s">
        <v>32</v>
      </c>
      <c r="U331" s="471">
        <v>1</v>
      </c>
      <c r="V331" s="471"/>
      <c r="W331" s="471" t="s">
        <v>697</v>
      </c>
      <c r="X331" s="471">
        <v>0</v>
      </c>
      <c r="Y331" s="206"/>
      <c r="Z331" s="206"/>
    </row>
    <row r="332" spans="1:26">
      <c r="A332" s="406">
        <v>329</v>
      </c>
      <c r="B332" s="613" t="s">
        <v>5877</v>
      </c>
      <c r="C332" s="288" t="s">
        <v>698</v>
      </c>
      <c r="D332" s="414" t="s">
        <v>4514</v>
      </c>
      <c r="E332" s="407" t="s">
        <v>8745</v>
      </c>
      <c r="F332" s="483"/>
      <c r="G332" s="483"/>
      <c r="H332" s="483"/>
      <c r="I332" s="483"/>
      <c r="J332" s="483"/>
      <c r="K332" s="483"/>
      <c r="L332" s="608" t="s">
        <v>4884</v>
      </c>
      <c r="M332" s="409">
        <v>5553.3858267716541</v>
      </c>
      <c r="N332" s="409">
        <v>5553.3858267716541</v>
      </c>
      <c r="O332" s="410" t="s">
        <v>7576</v>
      </c>
      <c r="P332" s="406">
        <v>329</v>
      </c>
      <c r="Q332" s="470" t="s">
        <v>698</v>
      </c>
      <c r="R332" s="460" t="s">
        <v>699</v>
      </c>
      <c r="S332" s="270" t="s">
        <v>32</v>
      </c>
      <c r="U332" s="471">
        <v>1</v>
      </c>
      <c r="V332" s="471"/>
      <c r="W332" s="471" t="s">
        <v>699</v>
      </c>
      <c r="X332" s="471">
        <v>0</v>
      </c>
      <c r="Y332" s="206"/>
      <c r="Z332" s="206"/>
    </row>
    <row r="333" spans="1:26">
      <c r="A333" s="406">
        <v>330</v>
      </c>
      <c r="B333" s="613" t="s">
        <v>5847</v>
      </c>
      <c r="C333" s="288" t="s">
        <v>700</v>
      </c>
      <c r="D333" s="414" t="s">
        <v>4547</v>
      </c>
      <c r="E333" s="407" t="s">
        <v>8746</v>
      </c>
      <c r="F333" s="483"/>
      <c r="G333" s="483"/>
      <c r="H333" s="483"/>
      <c r="I333" s="483"/>
      <c r="J333" s="483"/>
      <c r="K333" s="483"/>
      <c r="L333" s="608" t="s">
        <v>4884</v>
      </c>
      <c r="M333" s="409">
        <v>5316.0551181102373</v>
      </c>
      <c r="N333" s="409">
        <v>5316.0551181102373</v>
      </c>
      <c r="O333" s="410" t="s">
        <v>7573</v>
      </c>
      <c r="P333" s="406">
        <v>330</v>
      </c>
      <c r="Q333" s="470" t="s">
        <v>700</v>
      </c>
      <c r="R333" s="460" t="s">
        <v>701</v>
      </c>
      <c r="S333" s="270" t="s">
        <v>32</v>
      </c>
      <c r="U333" s="471">
        <v>1</v>
      </c>
      <c r="V333" s="471"/>
      <c r="W333" s="471" t="s">
        <v>701</v>
      </c>
      <c r="X333" s="471">
        <v>0</v>
      </c>
      <c r="Y333" s="206"/>
      <c r="Z333" s="206"/>
    </row>
    <row r="334" spans="1:26">
      <c r="A334" s="406">
        <v>331</v>
      </c>
      <c r="B334" s="613" t="s">
        <v>5849</v>
      </c>
      <c r="C334" s="288" t="s">
        <v>702</v>
      </c>
      <c r="D334" s="414" t="s">
        <v>4540</v>
      </c>
      <c r="E334" s="407" t="s">
        <v>8747</v>
      </c>
      <c r="F334" s="483"/>
      <c r="G334" s="483"/>
      <c r="H334" s="483"/>
      <c r="I334" s="483"/>
      <c r="J334" s="483"/>
      <c r="K334" s="483"/>
      <c r="L334" s="608" t="s">
        <v>4884</v>
      </c>
      <c r="M334" s="409">
        <v>6379.4803149606305</v>
      </c>
      <c r="N334" s="409">
        <v>6379.4803149606305</v>
      </c>
      <c r="O334" s="410" t="s">
        <v>7574</v>
      </c>
      <c r="P334" s="406">
        <v>331</v>
      </c>
      <c r="Q334" s="470" t="s">
        <v>702</v>
      </c>
      <c r="R334" s="460" t="s">
        <v>703</v>
      </c>
      <c r="S334" s="270" t="s">
        <v>32</v>
      </c>
      <c r="U334" s="471">
        <v>1</v>
      </c>
      <c r="V334" s="471"/>
      <c r="W334" s="471" t="s">
        <v>703</v>
      </c>
      <c r="X334" s="471">
        <v>0</v>
      </c>
      <c r="Y334" s="206"/>
      <c r="Z334" s="206"/>
    </row>
    <row r="335" spans="1:26">
      <c r="A335" s="406">
        <v>332</v>
      </c>
      <c r="B335" s="613" t="s">
        <v>5855</v>
      </c>
      <c r="C335" s="288" t="s">
        <v>704</v>
      </c>
      <c r="D335" s="414" t="s">
        <v>4599</v>
      </c>
      <c r="E335" s="407" t="s">
        <v>8748</v>
      </c>
      <c r="F335" s="483"/>
      <c r="G335" s="483"/>
      <c r="H335" s="483"/>
      <c r="I335" s="483"/>
      <c r="J335" s="483"/>
      <c r="K335" s="483"/>
      <c r="L335" s="608" t="s">
        <v>4884</v>
      </c>
      <c r="M335" s="409">
        <v>5200.1732283464562</v>
      </c>
      <c r="N335" s="409">
        <v>5200.1732283464562</v>
      </c>
      <c r="O335" s="410" t="s">
        <v>7576</v>
      </c>
      <c r="P335" s="406">
        <v>332</v>
      </c>
      <c r="Q335" s="470" t="s">
        <v>704</v>
      </c>
      <c r="R335" s="460" t="s">
        <v>705</v>
      </c>
      <c r="S335" s="270" t="s">
        <v>32</v>
      </c>
      <c r="U335" s="471">
        <v>1</v>
      </c>
      <c r="V335" s="471"/>
      <c r="W335" s="471" t="s">
        <v>705</v>
      </c>
      <c r="X335" s="471">
        <v>0</v>
      </c>
      <c r="Y335" s="206"/>
      <c r="Z335" s="206"/>
    </row>
    <row r="336" spans="1:26">
      <c r="A336" s="406">
        <v>333</v>
      </c>
      <c r="B336" s="613" t="s">
        <v>5857</v>
      </c>
      <c r="C336" s="288" t="s">
        <v>706</v>
      </c>
      <c r="D336" s="414" t="s">
        <v>4604</v>
      </c>
      <c r="E336" s="407" t="s">
        <v>8749</v>
      </c>
      <c r="F336" s="483"/>
      <c r="G336" s="483"/>
      <c r="H336" s="483"/>
      <c r="I336" s="483"/>
      <c r="J336" s="483"/>
      <c r="K336" s="483"/>
      <c r="L336" s="608" t="s">
        <v>4884</v>
      </c>
      <c r="M336" s="409">
        <v>6302.7913385826778</v>
      </c>
      <c r="N336" s="409">
        <v>6302.7913385826778</v>
      </c>
      <c r="O336" s="410" t="s">
        <v>7576</v>
      </c>
      <c r="P336" s="406">
        <v>333</v>
      </c>
      <c r="Q336" s="470" t="s">
        <v>706</v>
      </c>
      <c r="R336" s="460" t="s">
        <v>707</v>
      </c>
      <c r="S336" s="270" t="s">
        <v>32</v>
      </c>
      <c r="U336" s="471">
        <v>1</v>
      </c>
      <c r="V336" s="471"/>
      <c r="W336" s="471" t="s">
        <v>707</v>
      </c>
      <c r="X336" s="471">
        <v>0</v>
      </c>
    </row>
    <row r="337" spans="1:26">
      <c r="A337" s="406">
        <v>334</v>
      </c>
      <c r="B337" s="613" t="s">
        <v>3341</v>
      </c>
      <c r="C337" s="288" t="s">
        <v>708</v>
      </c>
      <c r="D337" s="414" t="s">
        <v>3435</v>
      </c>
      <c r="E337" s="407" t="s">
        <v>8750</v>
      </c>
      <c r="F337" s="483" t="s">
        <v>3340</v>
      </c>
      <c r="G337" s="483" t="s">
        <v>3339</v>
      </c>
      <c r="H337" s="411" t="s">
        <v>3342</v>
      </c>
      <c r="I337" s="411"/>
      <c r="J337" s="411"/>
      <c r="K337" s="411"/>
      <c r="L337" s="608">
        <v>9630.3188976377951</v>
      </c>
      <c r="M337" s="409">
        <v>460.1692913385827</v>
      </c>
      <c r="N337" s="409">
        <v>10090.488188976378</v>
      </c>
      <c r="O337" s="410" t="s">
        <v>7760</v>
      </c>
      <c r="P337" s="406">
        <v>334</v>
      </c>
      <c r="Q337" s="470" t="s">
        <v>708</v>
      </c>
      <c r="R337" s="460" t="s">
        <v>709</v>
      </c>
      <c r="S337" s="270" t="s">
        <v>32</v>
      </c>
      <c r="U337" s="466">
        <v>1</v>
      </c>
      <c r="V337" s="471"/>
      <c r="W337" s="471" t="s">
        <v>709</v>
      </c>
      <c r="X337" s="471">
        <v>0</v>
      </c>
    </row>
    <row r="338" spans="1:26">
      <c r="A338" s="406">
        <v>335</v>
      </c>
      <c r="B338" s="613" t="s">
        <v>5881</v>
      </c>
      <c r="C338" s="288" t="s">
        <v>710</v>
      </c>
      <c r="D338" s="414" t="s">
        <v>4793</v>
      </c>
      <c r="E338" s="407" t="s">
        <v>8751</v>
      </c>
      <c r="F338" s="483"/>
      <c r="G338" s="483"/>
      <c r="H338" s="483"/>
      <c r="I338" s="483"/>
      <c r="J338" s="483"/>
      <c r="K338" s="483"/>
      <c r="L338" s="608" t="s">
        <v>4884</v>
      </c>
      <c r="M338" s="409">
        <v>6097.6614173228345</v>
      </c>
      <c r="N338" s="409">
        <v>6097.6614173228345</v>
      </c>
      <c r="O338" s="410" t="s">
        <v>7573</v>
      </c>
      <c r="P338" s="406">
        <v>335</v>
      </c>
      <c r="Q338" s="470" t="s">
        <v>710</v>
      </c>
      <c r="R338" s="460" t="s">
        <v>711</v>
      </c>
      <c r="S338" s="270" t="s">
        <v>7</v>
      </c>
      <c r="U338" s="471">
        <v>0</v>
      </c>
      <c r="V338" s="471">
        <v>0</v>
      </c>
      <c r="W338" s="479" t="s">
        <v>711</v>
      </c>
      <c r="X338" s="471">
        <v>1</v>
      </c>
    </row>
    <row r="339" spans="1:26">
      <c r="A339" s="406">
        <v>336</v>
      </c>
      <c r="B339" s="613" t="s">
        <v>5882</v>
      </c>
      <c r="C339" s="288" t="s">
        <v>712</v>
      </c>
      <c r="D339" s="414" t="s">
        <v>4794</v>
      </c>
      <c r="E339" s="407" t="s">
        <v>8752</v>
      </c>
      <c r="F339" s="483"/>
      <c r="G339" s="483"/>
      <c r="H339" s="483"/>
      <c r="I339" s="483"/>
      <c r="J339" s="483"/>
      <c r="K339" s="483"/>
      <c r="L339" s="608" t="s">
        <v>4884</v>
      </c>
      <c r="M339" s="409">
        <v>5647.9094488188975</v>
      </c>
      <c r="N339" s="409">
        <v>5647.9094488188975</v>
      </c>
      <c r="O339" s="410" t="s">
        <v>7575</v>
      </c>
      <c r="P339" s="406">
        <v>336</v>
      </c>
      <c r="Q339" s="470" t="s">
        <v>712</v>
      </c>
      <c r="R339" s="460" t="s">
        <v>713</v>
      </c>
      <c r="S339" s="270" t="s">
        <v>7</v>
      </c>
      <c r="U339" s="471"/>
      <c r="V339" s="471"/>
      <c r="W339" s="471" t="s">
        <v>713</v>
      </c>
      <c r="X339" s="471">
        <v>1</v>
      </c>
    </row>
    <row r="340" spans="1:26">
      <c r="A340" s="406">
        <v>337</v>
      </c>
      <c r="B340" s="613" t="s">
        <v>7020</v>
      </c>
      <c r="C340" s="288" t="s">
        <v>714</v>
      </c>
      <c r="D340" s="414" t="s">
        <v>4884</v>
      </c>
      <c r="E340" s="407"/>
      <c r="F340" s="483"/>
      <c r="G340" s="483"/>
      <c r="H340" s="483"/>
      <c r="I340" s="483"/>
      <c r="J340" s="483"/>
      <c r="K340" s="483"/>
      <c r="L340" s="608" t="s">
        <v>4884</v>
      </c>
      <c r="M340" s="409" t="s">
        <v>4884</v>
      </c>
      <c r="N340" s="409" t="s">
        <v>4884</v>
      </c>
      <c r="O340" s="410" t="s">
        <v>4884</v>
      </c>
      <c r="P340" s="406">
        <v>337</v>
      </c>
      <c r="Q340" s="470" t="s">
        <v>714</v>
      </c>
      <c r="R340" s="475" t="s">
        <v>715</v>
      </c>
      <c r="S340" s="270" t="s">
        <v>716</v>
      </c>
      <c r="U340" s="471"/>
      <c r="V340" s="471">
        <v>0</v>
      </c>
      <c r="W340" s="471"/>
      <c r="X340" s="471"/>
      <c r="Z340" s="270" t="s">
        <v>717</v>
      </c>
    </row>
    <row r="341" spans="1:26">
      <c r="A341" s="406">
        <v>338</v>
      </c>
      <c r="B341" s="613" t="s">
        <v>7020</v>
      </c>
      <c r="C341" s="288" t="s">
        <v>718</v>
      </c>
      <c r="D341" s="414" t="s">
        <v>4884</v>
      </c>
      <c r="E341" s="407"/>
      <c r="F341" s="483"/>
      <c r="G341" s="483"/>
      <c r="H341" s="483"/>
      <c r="I341" s="483"/>
      <c r="J341" s="483"/>
      <c r="K341" s="483"/>
      <c r="L341" s="608" t="s">
        <v>4884</v>
      </c>
      <c r="M341" s="409" t="s">
        <v>4884</v>
      </c>
      <c r="N341" s="409" t="s">
        <v>4884</v>
      </c>
      <c r="O341" s="410" t="s">
        <v>4884</v>
      </c>
      <c r="P341" s="406">
        <v>338</v>
      </c>
      <c r="Q341" s="470" t="s">
        <v>718</v>
      </c>
      <c r="R341" s="475" t="s">
        <v>719</v>
      </c>
      <c r="S341" s="270" t="s">
        <v>716</v>
      </c>
      <c r="U341" s="471"/>
      <c r="V341" s="471">
        <v>0</v>
      </c>
      <c r="W341" s="471"/>
      <c r="X341" s="471"/>
      <c r="Z341" s="270" t="s">
        <v>717</v>
      </c>
    </row>
    <row r="342" spans="1:26">
      <c r="A342" s="406">
        <v>339</v>
      </c>
      <c r="B342" s="613" t="s">
        <v>3325</v>
      </c>
      <c r="C342" s="288" t="s">
        <v>720</v>
      </c>
      <c r="D342" s="414" t="s">
        <v>4521</v>
      </c>
      <c r="E342" s="407" t="s">
        <v>8753</v>
      </c>
      <c r="F342" s="483"/>
      <c r="G342" s="483"/>
      <c r="H342" s="483"/>
      <c r="I342" s="483"/>
      <c r="J342" s="483"/>
      <c r="K342" s="483"/>
      <c r="L342" s="608" t="s">
        <v>4884</v>
      </c>
      <c r="M342" s="409">
        <v>11534.5</v>
      </c>
      <c r="N342" s="409">
        <v>11534.5</v>
      </c>
      <c r="O342" s="410" t="s">
        <v>7569</v>
      </c>
      <c r="P342" s="406">
        <v>339</v>
      </c>
      <c r="Q342" s="470" t="s">
        <v>720</v>
      </c>
      <c r="R342" s="460" t="s">
        <v>721</v>
      </c>
      <c r="S342" s="270" t="s">
        <v>32</v>
      </c>
      <c r="U342" s="471">
        <v>1</v>
      </c>
      <c r="V342" s="471"/>
      <c r="W342" s="471" t="s">
        <v>721</v>
      </c>
      <c r="X342" s="471">
        <v>0</v>
      </c>
    </row>
    <row r="343" spans="1:26">
      <c r="A343" s="406">
        <v>340</v>
      </c>
      <c r="B343" s="613" t="s">
        <v>3326</v>
      </c>
      <c r="C343" s="288" t="s">
        <v>722</v>
      </c>
      <c r="D343" s="414" t="s">
        <v>4519</v>
      </c>
      <c r="E343" s="407" t="s">
        <v>8754</v>
      </c>
      <c r="F343" s="483"/>
      <c r="G343" s="483"/>
      <c r="H343" s="483"/>
      <c r="I343" s="483"/>
      <c r="J343" s="483"/>
      <c r="K343" s="483"/>
      <c r="L343" s="608" t="s">
        <v>4884</v>
      </c>
      <c r="M343" s="409">
        <v>11534.425196850394</v>
      </c>
      <c r="N343" s="409">
        <v>11534.425196850394</v>
      </c>
      <c r="O343" s="410" t="s">
        <v>7569</v>
      </c>
      <c r="P343" s="406">
        <v>340</v>
      </c>
      <c r="Q343" s="470" t="s">
        <v>722</v>
      </c>
      <c r="R343" s="460" t="s">
        <v>723</v>
      </c>
      <c r="S343" s="270" t="s">
        <v>32</v>
      </c>
      <c r="U343" s="471">
        <v>1</v>
      </c>
      <c r="V343" s="471"/>
      <c r="W343" s="471" t="s">
        <v>723</v>
      </c>
      <c r="X343" s="471">
        <v>0</v>
      </c>
    </row>
    <row r="344" spans="1:26">
      <c r="A344" s="406">
        <v>341</v>
      </c>
      <c r="B344" s="613" t="s">
        <v>3343</v>
      </c>
      <c r="C344" s="288" t="s">
        <v>724</v>
      </c>
      <c r="D344" s="414" t="s">
        <v>4574</v>
      </c>
      <c r="E344" s="407" t="s">
        <v>8755</v>
      </c>
      <c r="F344" s="483"/>
      <c r="G344" s="483"/>
      <c r="H344" s="483"/>
      <c r="I344" s="483"/>
      <c r="J344" s="483"/>
      <c r="K344" s="483"/>
      <c r="L344" s="608" t="s">
        <v>4884</v>
      </c>
      <c r="M344" s="409">
        <v>11535.173228346457</v>
      </c>
      <c r="N344" s="409">
        <v>11535.173228346457</v>
      </c>
      <c r="O344" s="410" t="s">
        <v>7574</v>
      </c>
      <c r="P344" s="406">
        <v>341</v>
      </c>
      <c r="Q344" s="470" t="s">
        <v>724</v>
      </c>
      <c r="R344" s="460" t="s">
        <v>725</v>
      </c>
      <c r="S344" s="270" t="s">
        <v>32</v>
      </c>
      <c r="U344" s="471">
        <v>1</v>
      </c>
      <c r="V344" s="471"/>
      <c r="W344" s="471" t="s">
        <v>725</v>
      </c>
      <c r="X344" s="471">
        <v>0</v>
      </c>
    </row>
    <row r="345" spans="1:26">
      <c r="A345" s="406">
        <v>342</v>
      </c>
      <c r="B345" s="613" t="s">
        <v>3317</v>
      </c>
      <c r="C345" s="288" t="s">
        <v>726</v>
      </c>
      <c r="D345" s="414" t="s">
        <v>4522</v>
      </c>
      <c r="E345" s="407" t="s">
        <v>8756</v>
      </c>
      <c r="F345" s="483"/>
      <c r="G345" s="483"/>
      <c r="H345" s="483"/>
      <c r="I345" s="483"/>
      <c r="J345" s="483"/>
      <c r="K345" s="483"/>
      <c r="L345" s="608" t="s">
        <v>4884</v>
      </c>
      <c r="M345" s="409">
        <v>11534.291338582678</v>
      </c>
      <c r="N345" s="409">
        <v>11534.291338582678</v>
      </c>
      <c r="O345" s="410" t="s">
        <v>7569</v>
      </c>
      <c r="P345" s="406">
        <v>342</v>
      </c>
      <c r="Q345" s="470" t="s">
        <v>726</v>
      </c>
      <c r="R345" s="460" t="s">
        <v>727</v>
      </c>
      <c r="S345" s="270" t="s">
        <v>32</v>
      </c>
      <c r="U345" s="471">
        <v>1</v>
      </c>
      <c r="V345" s="471"/>
      <c r="W345" s="471" t="s">
        <v>727</v>
      </c>
      <c r="X345" s="471">
        <v>0</v>
      </c>
    </row>
    <row r="346" spans="1:26">
      <c r="A346" s="406">
        <v>343</v>
      </c>
      <c r="B346" s="613" t="s">
        <v>3319</v>
      </c>
      <c r="C346" s="288" t="s">
        <v>728</v>
      </c>
      <c r="D346" s="414" t="s">
        <v>3429</v>
      </c>
      <c r="E346" s="407" t="s">
        <v>8757</v>
      </c>
      <c r="F346" s="483"/>
      <c r="G346" s="483"/>
      <c r="H346" s="483"/>
      <c r="I346" s="483"/>
      <c r="J346" s="483"/>
      <c r="K346" s="483"/>
      <c r="L346" s="608" t="s">
        <v>4884</v>
      </c>
      <c r="M346" s="409">
        <v>11534.527559055117</v>
      </c>
      <c r="N346" s="409">
        <v>11534.527559055117</v>
      </c>
      <c r="O346" s="410" t="s">
        <v>7573</v>
      </c>
      <c r="P346" s="406">
        <v>343</v>
      </c>
      <c r="Q346" s="470" t="s">
        <v>728</v>
      </c>
      <c r="R346" s="460" t="s">
        <v>729</v>
      </c>
      <c r="S346" s="270" t="s">
        <v>32</v>
      </c>
      <c r="U346" s="471">
        <v>1</v>
      </c>
      <c r="V346" s="471"/>
      <c r="W346" s="471" t="s">
        <v>729</v>
      </c>
      <c r="X346" s="471">
        <v>0</v>
      </c>
    </row>
    <row r="347" spans="1:26">
      <c r="A347" s="406">
        <v>344</v>
      </c>
      <c r="B347" s="613" t="s">
        <v>3321</v>
      </c>
      <c r="C347" s="288" t="s">
        <v>730</v>
      </c>
      <c r="D347" s="414" t="s">
        <v>4515</v>
      </c>
      <c r="E347" s="407" t="s">
        <v>8758</v>
      </c>
      <c r="F347" s="483"/>
      <c r="G347" s="483"/>
      <c r="H347" s="483"/>
      <c r="I347" s="483"/>
      <c r="J347" s="483"/>
      <c r="K347" s="483"/>
      <c r="L347" s="608" t="s">
        <v>4884</v>
      </c>
      <c r="M347" s="409">
        <v>11534.799212598426</v>
      </c>
      <c r="N347" s="409">
        <v>11534.799212598426</v>
      </c>
      <c r="O347" s="410" t="s">
        <v>7569</v>
      </c>
      <c r="P347" s="406">
        <v>344</v>
      </c>
      <c r="Q347" s="470" t="s">
        <v>730</v>
      </c>
      <c r="R347" s="460" t="s">
        <v>731</v>
      </c>
      <c r="S347" s="270" t="s">
        <v>32</v>
      </c>
      <c r="U347" s="471">
        <v>1</v>
      </c>
      <c r="V347" s="471"/>
      <c r="W347" s="471" t="s">
        <v>731</v>
      </c>
      <c r="X347" s="471">
        <v>0</v>
      </c>
    </row>
    <row r="348" spans="1:26">
      <c r="A348" s="406">
        <v>345</v>
      </c>
      <c r="B348" s="613" t="s">
        <v>3323</v>
      </c>
      <c r="C348" s="288" t="s">
        <v>732</v>
      </c>
      <c r="D348" s="414" t="s">
        <v>3422</v>
      </c>
      <c r="E348" s="407" t="s">
        <v>8759</v>
      </c>
      <c r="F348" s="483"/>
      <c r="G348" s="483"/>
      <c r="H348" s="483"/>
      <c r="I348" s="483"/>
      <c r="J348" s="483"/>
      <c r="K348" s="483"/>
      <c r="L348" s="608" t="s">
        <v>4884</v>
      </c>
      <c r="M348" s="409">
        <v>11534.015748031496</v>
      </c>
      <c r="N348" s="409">
        <v>11534.015748031496</v>
      </c>
      <c r="O348" s="410" t="s">
        <v>7573</v>
      </c>
      <c r="P348" s="406">
        <v>345</v>
      </c>
      <c r="Q348" s="470" t="s">
        <v>732</v>
      </c>
      <c r="R348" s="460" t="s">
        <v>733</v>
      </c>
      <c r="S348" s="270" t="s">
        <v>32</v>
      </c>
      <c r="U348" s="471">
        <v>1</v>
      </c>
      <c r="V348" s="471"/>
      <c r="W348" s="471" t="s">
        <v>733</v>
      </c>
      <c r="X348" s="471">
        <v>0</v>
      </c>
    </row>
    <row r="349" spans="1:26">
      <c r="A349" s="406">
        <v>346</v>
      </c>
      <c r="B349" s="613" t="s">
        <v>3318</v>
      </c>
      <c r="C349" s="288" t="s">
        <v>734</v>
      </c>
      <c r="D349" s="414" t="s">
        <v>4520</v>
      </c>
      <c r="E349" s="407" t="s">
        <v>8760</v>
      </c>
      <c r="F349" s="483"/>
      <c r="G349" s="483"/>
      <c r="H349" s="483"/>
      <c r="I349" s="483"/>
      <c r="J349" s="483"/>
      <c r="K349" s="483"/>
      <c r="L349" s="608" t="s">
        <v>4884</v>
      </c>
      <c r="M349" s="409">
        <v>11534.972440944881</v>
      </c>
      <c r="N349" s="409">
        <v>11534.972440944881</v>
      </c>
      <c r="O349" s="410" t="s">
        <v>7569</v>
      </c>
      <c r="P349" s="406">
        <v>346</v>
      </c>
      <c r="Q349" s="470" t="s">
        <v>734</v>
      </c>
      <c r="R349" s="460" t="s">
        <v>735</v>
      </c>
      <c r="S349" s="270" t="s">
        <v>32</v>
      </c>
      <c r="U349" s="471">
        <v>1</v>
      </c>
      <c r="V349" s="471"/>
      <c r="W349" s="471" t="s">
        <v>735</v>
      </c>
      <c r="X349" s="471">
        <v>0</v>
      </c>
    </row>
    <row r="350" spans="1:26">
      <c r="A350" s="406">
        <v>347</v>
      </c>
      <c r="B350" s="613" t="s">
        <v>3320</v>
      </c>
      <c r="C350" s="288" t="s">
        <v>736</v>
      </c>
      <c r="D350" s="414" t="s">
        <v>3427</v>
      </c>
      <c r="E350" s="407" t="s">
        <v>8761</v>
      </c>
      <c r="F350" s="483"/>
      <c r="G350" s="483"/>
      <c r="H350" s="483"/>
      <c r="I350" s="483"/>
      <c r="J350" s="483"/>
      <c r="K350" s="483"/>
      <c r="L350" s="608" t="s">
        <v>4884</v>
      </c>
      <c r="M350" s="409">
        <v>11535.011811023624</v>
      </c>
      <c r="N350" s="409">
        <v>11535.011811023624</v>
      </c>
      <c r="O350" s="410" t="s">
        <v>7573</v>
      </c>
      <c r="P350" s="406">
        <v>347</v>
      </c>
      <c r="Q350" s="470" t="s">
        <v>736</v>
      </c>
      <c r="R350" s="460" t="s">
        <v>737</v>
      </c>
      <c r="S350" s="270" t="s">
        <v>32</v>
      </c>
      <c r="U350" s="471">
        <v>1</v>
      </c>
      <c r="V350" s="471"/>
      <c r="W350" s="471" t="s">
        <v>737</v>
      </c>
      <c r="X350" s="471">
        <v>0</v>
      </c>
    </row>
    <row r="351" spans="1:26">
      <c r="A351" s="406">
        <v>348</v>
      </c>
      <c r="B351" s="613" t="s">
        <v>3322</v>
      </c>
      <c r="C351" s="288" t="s">
        <v>738</v>
      </c>
      <c r="D351" s="414" t="s">
        <v>4517</v>
      </c>
      <c r="E351" s="407" t="s">
        <v>8762</v>
      </c>
      <c r="F351" s="483"/>
      <c r="G351" s="483"/>
      <c r="H351" s="483"/>
      <c r="I351" s="483"/>
      <c r="J351" s="483"/>
      <c r="K351" s="483"/>
      <c r="L351" s="608" t="s">
        <v>4884</v>
      </c>
      <c r="M351" s="409">
        <v>11534.866141732284</v>
      </c>
      <c r="N351" s="409">
        <v>11534.866141732284</v>
      </c>
      <c r="O351" s="410" t="s">
        <v>7569</v>
      </c>
      <c r="P351" s="406">
        <v>348</v>
      </c>
      <c r="Q351" s="470" t="s">
        <v>738</v>
      </c>
      <c r="R351" s="460" t="s">
        <v>739</v>
      </c>
      <c r="S351" s="270" t="s">
        <v>32</v>
      </c>
      <c r="U351" s="471">
        <v>1</v>
      </c>
      <c r="V351" s="471"/>
      <c r="W351" s="471" t="s">
        <v>739</v>
      </c>
      <c r="X351" s="471">
        <v>0</v>
      </c>
    </row>
    <row r="352" spans="1:26">
      <c r="A352" s="406">
        <v>349</v>
      </c>
      <c r="B352" s="613" t="s">
        <v>3324</v>
      </c>
      <c r="C352" s="288" t="s">
        <v>740</v>
      </c>
      <c r="D352" s="414" t="s">
        <v>3425</v>
      </c>
      <c r="E352" s="407" t="s">
        <v>8763</v>
      </c>
      <c r="F352" s="483"/>
      <c r="G352" s="483"/>
      <c r="H352" s="483"/>
      <c r="I352" s="483"/>
      <c r="J352" s="483"/>
      <c r="K352" s="483"/>
      <c r="L352" s="608" t="s">
        <v>4884</v>
      </c>
      <c r="M352" s="409">
        <v>11535.035433070865</v>
      </c>
      <c r="N352" s="409">
        <v>11535.035433070865</v>
      </c>
      <c r="O352" s="410" t="s">
        <v>7573</v>
      </c>
      <c r="P352" s="406">
        <v>349</v>
      </c>
      <c r="Q352" s="470" t="s">
        <v>740</v>
      </c>
      <c r="R352" s="460" t="s">
        <v>741</v>
      </c>
      <c r="S352" s="270" t="s">
        <v>32</v>
      </c>
      <c r="U352" s="471">
        <v>1</v>
      </c>
      <c r="V352" s="471"/>
      <c r="W352" s="471" t="s">
        <v>741</v>
      </c>
      <c r="X352" s="471">
        <v>0</v>
      </c>
    </row>
    <row r="353" spans="1:26">
      <c r="A353" s="406">
        <v>350</v>
      </c>
      <c r="B353" s="613" t="s">
        <v>7020</v>
      </c>
      <c r="C353" s="288" t="s">
        <v>742</v>
      </c>
      <c r="D353" s="414" t="s">
        <v>4884</v>
      </c>
      <c r="E353" s="407"/>
      <c r="F353" s="483"/>
      <c r="G353" s="483"/>
      <c r="H353" s="483"/>
      <c r="I353" s="483"/>
      <c r="J353" s="483"/>
      <c r="K353" s="483"/>
      <c r="L353" s="608" t="s">
        <v>4884</v>
      </c>
      <c r="M353" s="409" t="s">
        <v>4884</v>
      </c>
      <c r="N353" s="409" t="s">
        <v>4884</v>
      </c>
      <c r="O353" s="410" t="s">
        <v>4884</v>
      </c>
      <c r="P353" s="406">
        <v>350</v>
      </c>
      <c r="Q353" s="470" t="s">
        <v>742</v>
      </c>
      <c r="R353" s="475" t="s">
        <v>743</v>
      </c>
      <c r="S353" s="270" t="s">
        <v>716</v>
      </c>
      <c r="U353" s="471"/>
      <c r="V353" s="471">
        <v>0</v>
      </c>
      <c r="W353" s="471"/>
      <c r="X353" s="471"/>
      <c r="Z353" s="270" t="s">
        <v>717</v>
      </c>
    </row>
    <row r="354" spans="1:26">
      <c r="A354" s="406">
        <v>351</v>
      </c>
      <c r="B354" s="613" t="s">
        <v>7020</v>
      </c>
      <c r="C354" s="288" t="s">
        <v>744</v>
      </c>
      <c r="D354" s="414" t="s">
        <v>4884</v>
      </c>
      <c r="E354" s="407"/>
      <c r="F354" s="483"/>
      <c r="G354" s="483"/>
      <c r="H354" s="483"/>
      <c r="I354" s="483"/>
      <c r="J354" s="483"/>
      <c r="K354" s="483"/>
      <c r="L354" s="608" t="s">
        <v>4884</v>
      </c>
      <c r="M354" s="409" t="s">
        <v>4884</v>
      </c>
      <c r="N354" s="409" t="s">
        <v>4884</v>
      </c>
      <c r="O354" s="410" t="s">
        <v>4884</v>
      </c>
      <c r="P354" s="406">
        <v>351</v>
      </c>
      <c r="Q354" s="470" t="s">
        <v>744</v>
      </c>
      <c r="R354" s="475" t="s">
        <v>745</v>
      </c>
      <c r="S354" s="270" t="s">
        <v>716</v>
      </c>
      <c r="U354" s="471"/>
      <c r="V354" s="471">
        <v>0</v>
      </c>
      <c r="W354" s="471"/>
      <c r="X354" s="471"/>
      <c r="Z354" s="270" t="s">
        <v>717</v>
      </c>
    </row>
    <row r="355" spans="1:26">
      <c r="A355" s="406">
        <v>352</v>
      </c>
      <c r="B355" s="613" t="s">
        <v>7020</v>
      </c>
      <c r="C355" s="288" t="s">
        <v>746</v>
      </c>
      <c r="D355" s="414" t="s">
        <v>4884</v>
      </c>
      <c r="E355" s="407"/>
      <c r="F355" s="483"/>
      <c r="G355" s="483"/>
      <c r="H355" s="483"/>
      <c r="I355" s="483"/>
      <c r="J355" s="483"/>
      <c r="K355" s="483"/>
      <c r="L355" s="608" t="s">
        <v>4884</v>
      </c>
      <c r="M355" s="409" t="s">
        <v>4884</v>
      </c>
      <c r="N355" s="409" t="s">
        <v>4884</v>
      </c>
      <c r="O355" s="410" t="s">
        <v>4884</v>
      </c>
      <c r="P355" s="406">
        <v>352</v>
      </c>
      <c r="Q355" s="470" t="s">
        <v>746</v>
      </c>
      <c r="R355" s="475" t="s">
        <v>747</v>
      </c>
      <c r="S355" s="270" t="s">
        <v>716</v>
      </c>
      <c r="U355" s="471">
        <v>0</v>
      </c>
      <c r="V355" s="471">
        <v>0</v>
      </c>
      <c r="W355" s="471"/>
      <c r="X355" s="471"/>
      <c r="Z355" s="270" t="s">
        <v>717</v>
      </c>
    </row>
    <row r="356" spans="1:26">
      <c r="A356" s="406">
        <v>353</v>
      </c>
      <c r="B356" s="613" t="s">
        <v>7020</v>
      </c>
      <c r="C356" s="288" t="s">
        <v>749</v>
      </c>
      <c r="D356" s="414" t="s">
        <v>4884</v>
      </c>
      <c r="E356" s="407"/>
      <c r="F356" s="483"/>
      <c r="G356" s="483"/>
      <c r="H356" s="483"/>
      <c r="I356" s="483"/>
      <c r="J356" s="483"/>
      <c r="K356" s="483"/>
      <c r="L356" s="608" t="s">
        <v>4884</v>
      </c>
      <c r="M356" s="409" t="s">
        <v>4884</v>
      </c>
      <c r="N356" s="409" t="s">
        <v>4884</v>
      </c>
      <c r="O356" s="410" t="s">
        <v>4884</v>
      </c>
      <c r="P356" s="406">
        <v>353</v>
      </c>
      <c r="Q356" s="470" t="s">
        <v>749</v>
      </c>
      <c r="R356" s="475" t="s">
        <v>750</v>
      </c>
      <c r="S356" s="270" t="s">
        <v>716</v>
      </c>
      <c r="U356" s="471">
        <v>0</v>
      </c>
      <c r="V356" s="471">
        <v>0</v>
      </c>
      <c r="W356" s="471"/>
      <c r="X356" s="471"/>
      <c r="Z356" s="270" t="s">
        <v>717</v>
      </c>
    </row>
    <row r="357" spans="1:26">
      <c r="A357" s="406">
        <v>354</v>
      </c>
      <c r="B357" s="613" t="s">
        <v>7020</v>
      </c>
      <c r="C357" s="288" t="s">
        <v>751</v>
      </c>
      <c r="D357" s="414" t="s">
        <v>4884</v>
      </c>
      <c r="E357" s="407"/>
      <c r="F357" s="483"/>
      <c r="G357" s="483"/>
      <c r="H357" s="483"/>
      <c r="I357" s="483"/>
      <c r="J357" s="483"/>
      <c r="K357" s="483"/>
      <c r="L357" s="608" t="s">
        <v>4884</v>
      </c>
      <c r="M357" s="409" t="s">
        <v>4884</v>
      </c>
      <c r="N357" s="409" t="s">
        <v>4884</v>
      </c>
      <c r="O357" s="410" t="s">
        <v>4884</v>
      </c>
      <c r="P357" s="406">
        <v>354</v>
      </c>
      <c r="Q357" s="470" t="s">
        <v>751</v>
      </c>
      <c r="R357" s="475" t="s">
        <v>752</v>
      </c>
      <c r="S357" s="270" t="s">
        <v>716</v>
      </c>
      <c r="U357" s="471"/>
      <c r="V357" s="471">
        <v>0</v>
      </c>
      <c r="W357" s="471"/>
      <c r="X357" s="471"/>
      <c r="Z357" s="270" t="s">
        <v>717</v>
      </c>
    </row>
    <row r="358" spans="1:26">
      <c r="A358" s="406">
        <v>355</v>
      </c>
      <c r="B358" s="613" t="s">
        <v>7020</v>
      </c>
      <c r="C358" s="288" t="s">
        <v>753</v>
      </c>
      <c r="D358" s="414" t="s">
        <v>4884</v>
      </c>
      <c r="E358" s="407"/>
      <c r="F358" s="483"/>
      <c r="G358" s="483"/>
      <c r="H358" s="483"/>
      <c r="I358" s="483"/>
      <c r="J358" s="483"/>
      <c r="K358" s="483"/>
      <c r="L358" s="608" t="s">
        <v>4884</v>
      </c>
      <c r="M358" s="409" t="s">
        <v>4884</v>
      </c>
      <c r="N358" s="409" t="s">
        <v>4884</v>
      </c>
      <c r="O358" s="410" t="s">
        <v>4884</v>
      </c>
      <c r="P358" s="406">
        <v>355</v>
      </c>
      <c r="Q358" s="470" t="s">
        <v>753</v>
      </c>
      <c r="R358" s="475" t="s">
        <v>754</v>
      </c>
      <c r="S358" s="270" t="s">
        <v>716</v>
      </c>
      <c r="U358" s="471"/>
      <c r="V358" s="471">
        <v>0</v>
      </c>
      <c r="W358" s="471"/>
      <c r="X358" s="471"/>
      <c r="Z358" s="270" t="s">
        <v>717</v>
      </c>
    </row>
    <row r="359" spans="1:26">
      <c r="A359" s="406">
        <v>356</v>
      </c>
      <c r="B359" s="613" t="s">
        <v>7020</v>
      </c>
      <c r="C359" s="288" t="s">
        <v>755</v>
      </c>
      <c r="D359" s="414" t="s">
        <v>4884</v>
      </c>
      <c r="E359" s="407"/>
      <c r="F359" s="483" t="s">
        <v>5014</v>
      </c>
      <c r="G359" s="411"/>
      <c r="H359" s="411"/>
      <c r="I359" s="411"/>
      <c r="J359" s="411"/>
      <c r="K359" s="411"/>
      <c r="L359" s="608" t="s">
        <v>4884</v>
      </c>
      <c r="M359" s="409" t="s">
        <v>4884</v>
      </c>
      <c r="N359" s="409" t="s">
        <v>4884</v>
      </c>
      <c r="O359" s="410" t="s">
        <v>4884</v>
      </c>
      <c r="P359" s="406">
        <v>356</v>
      </c>
      <c r="Q359" s="470" t="s">
        <v>755</v>
      </c>
      <c r="R359" s="460" t="s">
        <v>756</v>
      </c>
      <c r="S359" s="270" t="s">
        <v>7</v>
      </c>
      <c r="U359" s="471"/>
      <c r="V359" s="471"/>
      <c r="W359" s="471" t="s">
        <v>756</v>
      </c>
      <c r="X359" s="471">
        <v>0</v>
      </c>
      <c r="Z359" s="270" t="s">
        <v>717</v>
      </c>
    </row>
    <row r="360" spans="1:26">
      <c r="A360" s="406">
        <v>357</v>
      </c>
      <c r="B360" s="613" t="s">
        <v>6185</v>
      </c>
      <c r="C360" s="288" t="s">
        <v>757</v>
      </c>
      <c r="D360" s="414" t="s">
        <v>3443</v>
      </c>
      <c r="E360" s="407" t="s">
        <v>8764</v>
      </c>
      <c r="F360" s="483"/>
      <c r="G360" s="483"/>
      <c r="H360" s="483"/>
      <c r="I360" s="483"/>
      <c r="J360" s="483"/>
      <c r="K360" s="483"/>
      <c r="L360" s="608" t="s">
        <v>4884</v>
      </c>
      <c r="M360" s="409">
        <v>7366.6299212598433</v>
      </c>
      <c r="N360" s="409">
        <v>7366.6299212598433</v>
      </c>
      <c r="O360" s="410" t="s">
        <v>7569</v>
      </c>
      <c r="P360" s="406">
        <v>357</v>
      </c>
      <c r="Q360" s="470" t="s">
        <v>757</v>
      </c>
      <c r="R360" s="460" t="s">
        <v>758</v>
      </c>
      <c r="S360" s="270" t="s">
        <v>32</v>
      </c>
      <c r="U360" s="471"/>
      <c r="V360" s="471">
        <v>1</v>
      </c>
      <c r="W360" s="471" t="s">
        <v>758</v>
      </c>
      <c r="X360" s="471">
        <v>0</v>
      </c>
    </row>
    <row r="361" spans="1:26">
      <c r="A361" s="406">
        <v>358</v>
      </c>
      <c r="B361" s="613" t="s">
        <v>5523</v>
      </c>
      <c r="C361" s="288" t="s">
        <v>759</v>
      </c>
      <c r="D361" s="414" t="s">
        <v>3469</v>
      </c>
      <c r="E361" s="407" t="s">
        <v>8765</v>
      </c>
      <c r="F361" s="483" t="s">
        <v>5521</v>
      </c>
      <c r="G361" s="411" t="s">
        <v>5524</v>
      </c>
      <c r="H361" s="411"/>
      <c r="I361" s="411"/>
      <c r="J361" s="411"/>
      <c r="K361" s="411"/>
      <c r="L361" s="608">
        <v>6246.4724409448827</v>
      </c>
      <c r="M361" s="409">
        <v>5676.7795275590552</v>
      </c>
      <c r="N361" s="409">
        <v>11923.251968503937</v>
      </c>
      <c r="O361" s="410" t="s">
        <v>7775</v>
      </c>
      <c r="P361" s="406">
        <v>358</v>
      </c>
      <c r="Q361" s="470" t="s">
        <v>759</v>
      </c>
      <c r="R361" s="270" t="s">
        <v>760</v>
      </c>
      <c r="S361" s="270" t="s">
        <v>32</v>
      </c>
      <c r="U361" s="471"/>
      <c r="V361" s="471">
        <v>1</v>
      </c>
      <c r="W361" s="471" t="s">
        <v>760</v>
      </c>
      <c r="X361" s="471">
        <v>0</v>
      </c>
    </row>
    <row r="362" spans="1:26">
      <c r="A362" s="406">
        <v>359</v>
      </c>
      <c r="B362" s="613" t="s">
        <v>5523</v>
      </c>
      <c r="C362" s="288" t="s">
        <v>761</v>
      </c>
      <c r="D362" s="414" t="s">
        <v>3469</v>
      </c>
      <c r="E362" s="407" t="s">
        <v>8765</v>
      </c>
      <c r="F362" s="483" t="s">
        <v>5522</v>
      </c>
      <c r="G362" s="411" t="s">
        <v>5524</v>
      </c>
      <c r="H362" s="411"/>
      <c r="I362" s="411"/>
      <c r="J362" s="411"/>
      <c r="K362" s="411"/>
      <c r="L362" s="608">
        <v>6246.4724409448827</v>
      </c>
      <c r="M362" s="409">
        <v>5925.7598425196848</v>
      </c>
      <c r="N362" s="409">
        <v>12172.232283464569</v>
      </c>
      <c r="O362" s="410" t="s">
        <v>7775</v>
      </c>
      <c r="P362" s="406">
        <v>359</v>
      </c>
      <c r="Q362" s="470" t="s">
        <v>761</v>
      </c>
      <c r="R362" s="270" t="s">
        <v>762</v>
      </c>
      <c r="S362" s="270" t="s">
        <v>32</v>
      </c>
      <c r="U362" s="471"/>
      <c r="V362" s="471">
        <v>0</v>
      </c>
      <c r="W362" s="471" t="s">
        <v>762</v>
      </c>
      <c r="X362" s="471">
        <v>0</v>
      </c>
    </row>
    <row r="363" spans="1:26">
      <c r="A363" s="406">
        <v>360</v>
      </c>
      <c r="B363" s="613" t="s">
        <v>6176</v>
      </c>
      <c r="C363" s="288" t="s">
        <v>763</v>
      </c>
      <c r="D363" s="414" t="s">
        <v>4576</v>
      </c>
      <c r="E363" s="407" t="s">
        <v>8766</v>
      </c>
      <c r="F363" s="483"/>
      <c r="G363" s="483"/>
      <c r="H363" s="483"/>
      <c r="I363" s="483"/>
      <c r="J363" s="483"/>
      <c r="K363" s="483"/>
      <c r="L363" s="608" t="s">
        <v>4884</v>
      </c>
      <c r="M363" s="409">
        <v>5425.429133858268</v>
      </c>
      <c r="N363" s="409">
        <v>5425.429133858268</v>
      </c>
      <c r="O363" s="410" t="s">
        <v>7574</v>
      </c>
      <c r="P363" s="406">
        <v>360</v>
      </c>
      <c r="Q363" s="470" t="s">
        <v>763</v>
      </c>
      <c r="R363" s="460" t="s">
        <v>764</v>
      </c>
      <c r="S363" s="270" t="s">
        <v>32</v>
      </c>
      <c r="U363" s="471">
        <v>1</v>
      </c>
      <c r="V363" s="471"/>
      <c r="W363" s="471" t="s">
        <v>764</v>
      </c>
      <c r="X363" s="471">
        <v>0</v>
      </c>
    </row>
    <row r="364" spans="1:26">
      <c r="A364" s="406">
        <v>361</v>
      </c>
      <c r="B364" s="613" t="s">
        <v>6177</v>
      </c>
      <c r="C364" s="288" t="s">
        <v>765</v>
      </c>
      <c r="D364" s="414" t="s">
        <v>3377</v>
      </c>
      <c r="E364" s="407" t="s">
        <v>8767</v>
      </c>
      <c r="F364" s="483"/>
      <c r="G364" s="483"/>
      <c r="H364" s="483"/>
      <c r="I364" s="483"/>
      <c r="J364" s="483"/>
      <c r="K364" s="483"/>
      <c r="L364" s="608" t="s">
        <v>4884</v>
      </c>
      <c r="M364" s="409">
        <v>5946.5826771653547</v>
      </c>
      <c r="N364" s="409">
        <v>5946.5826771653547</v>
      </c>
      <c r="O364" s="410" t="s">
        <v>7569</v>
      </c>
      <c r="P364" s="406">
        <v>361</v>
      </c>
      <c r="Q364" s="470" t="s">
        <v>765</v>
      </c>
      <c r="R364" s="460" t="s">
        <v>766</v>
      </c>
      <c r="S364" s="270" t="s">
        <v>32</v>
      </c>
      <c r="U364" s="471">
        <v>1</v>
      </c>
      <c r="V364" s="471"/>
      <c r="W364" s="471" t="s">
        <v>766</v>
      </c>
      <c r="X364" s="471">
        <v>0</v>
      </c>
    </row>
    <row r="365" spans="1:26">
      <c r="A365" s="406">
        <v>362</v>
      </c>
      <c r="B365" s="613" t="s">
        <v>5883</v>
      </c>
      <c r="C365" s="288" t="s">
        <v>767</v>
      </c>
      <c r="D365" s="414" t="s">
        <v>4694</v>
      </c>
      <c r="E365" s="407" t="s">
        <v>8768</v>
      </c>
      <c r="F365" s="483"/>
      <c r="G365" s="483"/>
      <c r="H365" s="483"/>
      <c r="I365" s="483"/>
      <c r="J365" s="483"/>
      <c r="K365" s="483"/>
      <c r="L365" s="608" t="s">
        <v>4884</v>
      </c>
      <c r="M365" s="409">
        <v>4761.6456692913389</v>
      </c>
      <c r="N365" s="409">
        <v>4761.6456692913389</v>
      </c>
      <c r="O365" s="410" t="s">
        <v>7574</v>
      </c>
      <c r="P365" s="406">
        <v>362</v>
      </c>
      <c r="Q365" s="470" t="s">
        <v>767</v>
      </c>
      <c r="R365" s="460" t="s">
        <v>768</v>
      </c>
      <c r="S365" s="270" t="s">
        <v>7</v>
      </c>
      <c r="U365" s="471"/>
      <c r="V365" s="471"/>
      <c r="W365" s="471" t="s">
        <v>768</v>
      </c>
      <c r="X365" s="471">
        <v>1</v>
      </c>
    </row>
    <row r="366" spans="1:26">
      <c r="A366" s="406">
        <v>363</v>
      </c>
      <c r="B366" s="613" t="s">
        <v>5884</v>
      </c>
      <c r="C366" s="288" t="s">
        <v>769</v>
      </c>
      <c r="D366" s="414" t="s">
        <v>4764</v>
      </c>
      <c r="E366" s="407" t="s">
        <v>8769</v>
      </c>
      <c r="F366" s="483"/>
      <c r="G366" s="483"/>
      <c r="H366" s="483"/>
      <c r="I366" s="483"/>
      <c r="J366" s="483"/>
      <c r="K366" s="483"/>
      <c r="L366" s="608" t="s">
        <v>4884</v>
      </c>
      <c r="M366" s="409">
        <v>4216.2992125984256</v>
      </c>
      <c r="N366" s="409">
        <v>4216.2992125984256</v>
      </c>
      <c r="O366" s="410" t="s">
        <v>7575</v>
      </c>
      <c r="P366" s="406">
        <v>363</v>
      </c>
      <c r="Q366" s="470" t="s">
        <v>769</v>
      </c>
      <c r="R366" s="460" t="s">
        <v>770</v>
      </c>
      <c r="S366" s="270" t="s">
        <v>7</v>
      </c>
      <c r="U366" s="471"/>
      <c r="V366" s="471"/>
      <c r="W366" s="478" t="s">
        <v>770</v>
      </c>
      <c r="X366" s="471">
        <v>1</v>
      </c>
    </row>
    <row r="367" spans="1:26">
      <c r="A367" s="406">
        <v>364</v>
      </c>
      <c r="B367" s="613" t="s">
        <v>5885</v>
      </c>
      <c r="C367" s="288" t="s">
        <v>771</v>
      </c>
      <c r="D367" s="414" t="s">
        <v>4692</v>
      </c>
      <c r="E367" s="407" t="s">
        <v>8770</v>
      </c>
      <c r="F367" s="483"/>
      <c r="G367" s="483"/>
      <c r="H367" s="483"/>
      <c r="I367" s="483"/>
      <c r="J367" s="483"/>
      <c r="K367" s="483"/>
      <c r="L367" s="608" t="s">
        <v>4884</v>
      </c>
      <c r="M367" s="409">
        <v>3524.0039370078739</v>
      </c>
      <c r="N367" s="409">
        <v>3524.0039370078739</v>
      </c>
      <c r="O367" s="410" t="s">
        <v>7569</v>
      </c>
      <c r="P367" s="406">
        <v>364</v>
      </c>
      <c r="Q367" s="470" t="s">
        <v>771</v>
      </c>
      <c r="R367" s="460" t="s">
        <v>772</v>
      </c>
      <c r="S367" s="270" t="s">
        <v>7</v>
      </c>
      <c r="U367" s="471"/>
      <c r="V367" s="471"/>
      <c r="W367" s="471" t="s">
        <v>772</v>
      </c>
      <c r="X367" s="471">
        <v>1</v>
      </c>
    </row>
    <row r="368" spans="1:26">
      <c r="A368" s="406">
        <v>365</v>
      </c>
      <c r="B368" s="613" t="s">
        <v>5888</v>
      </c>
      <c r="C368" s="288" t="s">
        <v>773</v>
      </c>
      <c r="D368" s="414" t="s">
        <v>4742</v>
      </c>
      <c r="E368" s="407" t="s">
        <v>8771</v>
      </c>
      <c r="F368" s="483"/>
      <c r="G368" s="483"/>
      <c r="H368" s="483"/>
      <c r="I368" s="483"/>
      <c r="J368" s="483"/>
      <c r="K368" s="483"/>
      <c r="L368" s="608" t="s">
        <v>4884</v>
      </c>
      <c r="M368" s="409">
        <v>3536.3897637795276</v>
      </c>
      <c r="N368" s="409">
        <v>3536.3897637795276</v>
      </c>
      <c r="O368" s="410" t="s">
        <v>7575</v>
      </c>
      <c r="P368" s="406">
        <v>365</v>
      </c>
      <c r="Q368" s="470" t="s">
        <v>773</v>
      </c>
      <c r="R368" s="460" t="s">
        <v>774</v>
      </c>
      <c r="S368" s="270" t="s">
        <v>7</v>
      </c>
      <c r="U368" s="471"/>
      <c r="V368" s="471"/>
      <c r="W368" s="471" t="s">
        <v>774</v>
      </c>
      <c r="X368" s="471">
        <v>1</v>
      </c>
      <c r="Y368" s="206"/>
      <c r="Z368" s="206"/>
    </row>
    <row r="369" spans="1:26">
      <c r="A369" s="406">
        <v>366</v>
      </c>
      <c r="B369" s="613" t="s">
        <v>5886</v>
      </c>
      <c r="C369" s="288" t="s">
        <v>775</v>
      </c>
      <c r="D369" s="414" t="s">
        <v>4652</v>
      </c>
      <c r="E369" s="407" t="s">
        <v>8772</v>
      </c>
      <c r="F369" s="483"/>
      <c r="G369" s="483"/>
      <c r="H369" s="483"/>
      <c r="I369" s="483"/>
      <c r="J369" s="483"/>
      <c r="K369" s="483"/>
      <c r="L369" s="608" t="s">
        <v>4884</v>
      </c>
      <c r="M369" s="409">
        <v>3896.2007874015749</v>
      </c>
      <c r="N369" s="409">
        <v>3896.2007874015749</v>
      </c>
      <c r="O369" s="410" t="s">
        <v>7576</v>
      </c>
      <c r="P369" s="406">
        <v>366</v>
      </c>
      <c r="Q369" s="470" t="s">
        <v>775</v>
      </c>
      <c r="R369" s="460" t="s">
        <v>776</v>
      </c>
      <c r="S369" s="270" t="s">
        <v>7</v>
      </c>
      <c r="U369" s="471"/>
      <c r="V369" s="471"/>
      <c r="W369" s="471" t="s">
        <v>776</v>
      </c>
      <c r="X369" s="471">
        <v>1</v>
      </c>
      <c r="Y369" s="206"/>
      <c r="Z369" s="206"/>
    </row>
    <row r="370" spans="1:26">
      <c r="A370" s="406">
        <v>367</v>
      </c>
      <c r="B370" s="613" t="s">
        <v>5887</v>
      </c>
      <c r="C370" s="288" t="s">
        <v>777</v>
      </c>
      <c r="D370" s="414" t="s">
        <v>4658</v>
      </c>
      <c r="E370" s="407" t="s">
        <v>8773</v>
      </c>
      <c r="F370" s="483"/>
      <c r="G370" s="483"/>
      <c r="H370" s="483"/>
      <c r="I370" s="483"/>
      <c r="J370" s="483"/>
      <c r="K370" s="483"/>
      <c r="L370" s="608" t="s">
        <v>4884</v>
      </c>
      <c r="M370" s="409">
        <v>4233.7440944881891</v>
      </c>
      <c r="N370" s="409">
        <v>4233.7440944881891</v>
      </c>
      <c r="O370" s="410" t="s">
        <v>7572</v>
      </c>
      <c r="P370" s="406">
        <v>367</v>
      </c>
      <c r="Q370" s="470" t="s">
        <v>777</v>
      </c>
      <c r="R370" s="460" t="s">
        <v>778</v>
      </c>
      <c r="S370" s="270" t="s">
        <v>7</v>
      </c>
      <c r="U370" s="471"/>
      <c r="V370" s="471"/>
      <c r="W370" s="471" t="s">
        <v>778</v>
      </c>
      <c r="X370" s="471">
        <v>1</v>
      </c>
      <c r="Y370" s="206"/>
      <c r="Z370" s="206"/>
    </row>
    <row r="371" spans="1:26">
      <c r="A371" s="406">
        <v>368</v>
      </c>
      <c r="B371" s="613" t="s">
        <v>5889</v>
      </c>
      <c r="C371" s="288" t="s">
        <v>779</v>
      </c>
      <c r="D371" s="414" t="s">
        <v>4817</v>
      </c>
      <c r="E371" s="407" t="s">
        <v>8774</v>
      </c>
      <c r="F371" s="483"/>
      <c r="G371" s="483"/>
      <c r="H371" s="483"/>
      <c r="I371" s="483"/>
      <c r="J371" s="483"/>
      <c r="K371" s="483"/>
      <c r="L371" s="608" t="s">
        <v>4884</v>
      </c>
      <c r="M371" s="409">
        <v>4390.606299212599</v>
      </c>
      <c r="N371" s="409">
        <v>4390.606299212599</v>
      </c>
      <c r="O371" s="410" t="s">
        <v>7575</v>
      </c>
      <c r="P371" s="406">
        <v>368</v>
      </c>
      <c r="Q371" s="470" t="s">
        <v>779</v>
      </c>
      <c r="R371" s="460" t="s">
        <v>780</v>
      </c>
      <c r="S371" s="270" t="s">
        <v>7</v>
      </c>
      <c r="U371" s="471"/>
      <c r="V371" s="471"/>
      <c r="W371" s="471" t="s">
        <v>780</v>
      </c>
      <c r="X371" s="471">
        <v>1</v>
      </c>
      <c r="Y371" s="206"/>
      <c r="Z371" s="206"/>
    </row>
    <row r="372" spans="1:26">
      <c r="A372" s="406">
        <v>369</v>
      </c>
      <c r="B372" s="613" t="s">
        <v>6690</v>
      </c>
      <c r="C372" s="288" t="s">
        <v>781</v>
      </c>
      <c r="D372" s="414" t="s">
        <v>4725</v>
      </c>
      <c r="E372" s="407" t="s">
        <v>8775</v>
      </c>
      <c r="F372" s="483" t="s">
        <v>6715</v>
      </c>
      <c r="G372" s="483" t="s">
        <v>6714</v>
      </c>
      <c r="H372" s="411" t="s">
        <v>6717</v>
      </c>
      <c r="I372" s="411"/>
      <c r="J372" s="411"/>
      <c r="K372" s="411"/>
      <c r="L372" s="608">
        <v>2109.8661417322837</v>
      </c>
      <c r="M372" s="409">
        <v>1619.3188976377953</v>
      </c>
      <c r="N372" s="409">
        <v>3729.1850393700788</v>
      </c>
      <c r="O372" s="410" t="s">
        <v>7772</v>
      </c>
      <c r="P372" s="406">
        <v>369</v>
      </c>
      <c r="Q372" s="470" t="s">
        <v>781</v>
      </c>
      <c r="R372" s="460" t="s">
        <v>782</v>
      </c>
      <c r="S372" s="270" t="s">
        <v>7</v>
      </c>
      <c r="U372" s="471"/>
      <c r="V372" s="471"/>
      <c r="W372" s="471" t="s">
        <v>782</v>
      </c>
      <c r="X372" s="471">
        <v>1</v>
      </c>
      <c r="Y372" s="206"/>
      <c r="Z372" s="206"/>
    </row>
    <row r="373" spans="1:26">
      <c r="A373" s="406">
        <v>370</v>
      </c>
      <c r="B373" s="613" t="s">
        <v>5890</v>
      </c>
      <c r="C373" s="288" t="s">
        <v>783</v>
      </c>
      <c r="D373" s="414" t="s">
        <v>4653</v>
      </c>
      <c r="E373" s="407" t="s">
        <v>8776</v>
      </c>
      <c r="F373" s="483"/>
      <c r="G373" s="483"/>
      <c r="H373" s="483"/>
      <c r="I373" s="483"/>
      <c r="J373" s="483"/>
      <c r="K373" s="483"/>
      <c r="L373" s="608" t="s">
        <v>4884</v>
      </c>
      <c r="M373" s="409">
        <v>3983.5708661417325</v>
      </c>
      <c r="N373" s="409">
        <v>3983.5708661417325</v>
      </c>
      <c r="O373" s="410" t="s">
        <v>7572</v>
      </c>
      <c r="P373" s="406">
        <v>370</v>
      </c>
      <c r="Q373" s="470" t="s">
        <v>783</v>
      </c>
      <c r="R373" s="460" t="s">
        <v>784</v>
      </c>
      <c r="S373" s="270" t="s">
        <v>7</v>
      </c>
      <c r="U373" s="471"/>
      <c r="V373" s="471"/>
      <c r="W373" s="471" t="s">
        <v>784</v>
      </c>
      <c r="X373" s="471">
        <v>1</v>
      </c>
      <c r="Y373" s="206"/>
      <c r="Z373" s="206"/>
    </row>
    <row r="374" spans="1:26">
      <c r="A374" s="406">
        <v>371</v>
      </c>
      <c r="B374" s="613" t="s">
        <v>5891</v>
      </c>
      <c r="C374" s="288" t="s">
        <v>785</v>
      </c>
      <c r="D374" s="414" t="s">
        <v>4656</v>
      </c>
      <c r="E374" s="407" t="s">
        <v>8777</v>
      </c>
      <c r="F374" s="483"/>
      <c r="G374" s="483"/>
      <c r="H374" s="483"/>
      <c r="I374" s="483"/>
      <c r="J374" s="483"/>
      <c r="K374" s="483"/>
      <c r="L374" s="608" t="s">
        <v>4884</v>
      </c>
      <c r="M374" s="409">
        <v>3896.6141732283468</v>
      </c>
      <c r="N374" s="409">
        <v>3896.6141732283468</v>
      </c>
      <c r="O374" s="410" t="s">
        <v>7572</v>
      </c>
      <c r="P374" s="406">
        <v>371</v>
      </c>
      <c r="Q374" s="470" t="s">
        <v>785</v>
      </c>
      <c r="R374" s="460" t="s">
        <v>786</v>
      </c>
      <c r="S374" s="270" t="s">
        <v>7</v>
      </c>
      <c r="U374" s="471"/>
      <c r="V374" s="471"/>
      <c r="W374" s="471" t="s">
        <v>786</v>
      </c>
      <c r="X374" s="471">
        <v>1</v>
      </c>
      <c r="Y374" s="206"/>
      <c r="Z374" s="206"/>
    </row>
    <row r="375" spans="1:26">
      <c r="A375" s="406">
        <v>372</v>
      </c>
      <c r="B375" s="613" t="s">
        <v>5892</v>
      </c>
      <c r="C375" s="288" t="s">
        <v>787</v>
      </c>
      <c r="D375" s="414" t="s">
        <v>4648</v>
      </c>
      <c r="E375" s="407" t="s">
        <v>8778</v>
      </c>
      <c r="F375" s="483"/>
      <c r="G375" s="483"/>
      <c r="H375" s="483"/>
      <c r="I375" s="483"/>
      <c r="J375" s="483"/>
      <c r="K375" s="483"/>
      <c r="L375" s="608" t="s">
        <v>4884</v>
      </c>
      <c r="M375" s="409">
        <v>3816.2992125984251</v>
      </c>
      <c r="N375" s="409">
        <v>3816.2992125984251</v>
      </c>
      <c r="O375" s="410" t="s">
        <v>7576</v>
      </c>
      <c r="P375" s="406">
        <v>372</v>
      </c>
      <c r="Q375" s="470" t="s">
        <v>787</v>
      </c>
      <c r="R375" s="460" t="s">
        <v>788</v>
      </c>
      <c r="S375" s="270" t="s">
        <v>7</v>
      </c>
      <c r="U375" s="471"/>
      <c r="V375" s="471"/>
      <c r="W375" s="471" t="s">
        <v>788</v>
      </c>
      <c r="X375" s="471">
        <v>1</v>
      </c>
      <c r="Y375" s="206"/>
      <c r="Z375" s="206"/>
    </row>
    <row r="376" spans="1:26">
      <c r="A376" s="406">
        <v>373</v>
      </c>
      <c r="B376" s="613" t="s">
        <v>5893</v>
      </c>
      <c r="C376" s="288" t="s">
        <v>789</v>
      </c>
      <c r="D376" s="414" t="s">
        <v>4649</v>
      </c>
      <c r="E376" s="407" t="s">
        <v>8779</v>
      </c>
      <c r="F376" s="483"/>
      <c r="G376" s="483"/>
      <c r="H376" s="483"/>
      <c r="I376" s="483"/>
      <c r="J376" s="483"/>
      <c r="K376" s="483"/>
      <c r="L376" s="608" t="s">
        <v>4884</v>
      </c>
      <c r="M376" s="409">
        <v>3899.5511811023621</v>
      </c>
      <c r="N376" s="409">
        <v>3899.5511811023621</v>
      </c>
      <c r="O376" s="410" t="s">
        <v>7576</v>
      </c>
      <c r="P376" s="406">
        <v>373</v>
      </c>
      <c r="Q376" s="470" t="s">
        <v>789</v>
      </c>
      <c r="R376" s="460" t="s">
        <v>790</v>
      </c>
      <c r="S376" s="270" t="s">
        <v>7</v>
      </c>
      <c r="U376" s="471"/>
      <c r="V376" s="471"/>
      <c r="W376" s="471" t="s">
        <v>790</v>
      </c>
      <c r="X376" s="471">
        <v>1</v>
      </c>
      <c r="Y376" s="206"/>
      <c r="Z376" s="206"/>
    </row>
    <row r="377" spans="1:26">
      <c r="A377" s="406">
        <v>374</v>
      </c>
      <c r="B377" s="613" t="s">
        <v>5894</v>
      </c>
      <c r="C377" s="288" t="s">
        <v>791</v>
      </c>
      <c r="D377" s="414" t="s">
        <v>4650</v>
      </c>
      <c r="E377" s="407" t="s">
        <v>8780</v>
      </c>
      <c r="F377" s="483"/>
      <c r="G377" s="483"/>
      <c r="H377" s="483"/>
      <c r="I377" s="483"/>
      <c r="J377" s="483"/>
      <c r="K377" s="483"/>
      <c r="L377" s="608" t="s">
        <v>4884</v>
      </c>
      <c r="M377" s="409">
        <v>3705.2795275590552</v>
      </c>
      <c r="N377" s="409">
        <v>3705.2795275590552</v>
      </c>
      <c r="O377" s="410" t="s">
        <v>7576</v>
      </c>
      <c r="P377" s="406">
        <v>374</v>
      </c>
      <c r="Q377" s="470" t="s">
        <v>791</v>
      </c>
      <c r="R377" s="460" t="s">
        <v>792</v>
      </c>
      <c r="S377" s="270" t="s">
        <v>7</v>
      </c>
      <c r="U377" s="471"/>
      <c r="V377" s="471"/>
      <c r="W377" s="471" t="s">
        <v>792</v>
      </c>
      <c r="X377" s="471">
        <v>1</v>
      </c>
      <c r="Y377" s="206"/>
      <c r="Z377" s="206"/>
    </row>
    <row r="378" spans="1:26">
      <c r="A378" s="406">
        <v>375</v>
      </c>
      <c r="B378" s="613" t="s">
        <v>5895</v>
      </c>
      <c r="C378" s="288" t="s">
        <v>793</v>
      </c>
      <c r="D378" s="414" t="s">
        <v>4655</v>
      </c>
      <c r="E378" s="407" t="s">
        <v>8781</v>
      </c>
      <c r="F378" s="483"/>
      <c r="G378" s="483"/>
      <c r="H378" s="483"/>
      <c r="I378" s="483"/>
      <c r="J378" s="483"/>
      <c r="K378" s="483"/>
      <c r="L378" s="608" t="s">
        <v>4884</v>
      </c>
      <c r="M378" s="409">
        <v>4051.9527559055123</v>
      </c>
      <c r="N378" s="409">
        <v>4051.9527559055123</v>
      </c>
      <c r="O378" s="410" t="s">
        <v>7572</v>
      </c>
      <c r="P378" s="406">
        <v>375</v>
      </c>
      <c r="Q378" s="470" t="s">
        <v>793</v>
      </c>
      <c r="R378" s="460" t="s">
        <v>794</v>
      </c>
      <c r="S378" s="270" t="s">
        <v>7</v>
      </c>
      <c r="U378" s="471"/>
      <c r="V378" s="471"/>
      <c r="W378" s="471" t="s">
        <v>794</v>
      </c>
      <c r="X378" s="471">
        <v>1</v>
      </c>
      <c r="Y378" s="206"/>
      <c r="Z378" s="206"/>
    </row>
    <row r="379" spans="1:26">
      <c r="A379" s="406">
        <v>376</v>
      </c>
      <c r="B379" s="613" t="s">
        <v>5896</v>
      </c>
      <c r="C379" s="288" t="s">
        <v>795</v>
      </c>
      <c r="D379" s="414" t="s">
        <v>4741</v>
      </c>
      <c r="E379" s="407" t="s">
        <v>8782</v>
      </c>
      <c r="F379" s="483"/>
      <c r="G379" s="483"/>
      <c r="H379" s="483"/>
      <c r="I379" s="483"/>
      <c r="J379" s="483"/>
      <c r="K379" s="483"/>
      <c r="L379" s="608" t="s">
        <v>4884</v>
      </c>
      <c r="M379" s="409">
        <v>3673.3622047244094</v>
      </c>
      <c r="N379" s="409">
        <v>3673.3622047244094</v>
      </c>
      <c r="O379" s="410" t="s">
        <v>7575</v>
      </c>
      <c r="P379" s="406">
        <v>376</v>
      </c>
      <c r="Q379" s="470" t="s">
        <v>795</v>
      </c>
      <c r="R379" s="460" t="s">
        <v>796</v>
      </c>
      <c r="S379" s="270" t="s">
        <v>7</v>
      </c>
      <c r="U379" s="471"/>
      <c r="V379" s="471"/>
      <c r="W379" s="471" t="s">
        <v>796</v>
      </c>
      <c r="X379" s="471">
        <v>1</v>
      </c>
      <c r="Y379" s="206"/>
      <c r="Z379" s="206"/>
    </row>
    <row r="380" spans="1:26">
      <c r="A380" s="406">
        <v>377</v>
      </c>
      <c r="B380" s="613" t="s">
        <v>5906</v>
      </c>
      <c r="C380" s="288" t="s">
        <v>797</v>
      </c>
      <c r="D380" s="414" t="s">
        <v>4691</v>
      </c>
      <c r="E380" s="407" t="s">
        <v>8783</v>
      </c>
      <c r="F380" s="483"/>
      <c r="G380" s="483"/>
      <c r="H380" s="483"/>
      <c r="I380" s="483"/>
      <c r="J380" s="483"/>
      <c r="K380" s="483"/>
      <c r="L380" s="608" t="s">
        <v>4884</v>
      </c>
      <c r="M380" s="409">
        <v>3460.9488188976379</v>
      </c>
      <c r="N380" s="409">
        <v>3460.9488188976379</v>
      </c>
      <c r="O380" s="410" t="s">
        <v>7569</v>
      </c>
      <c r="P380" s="406">
        <v>377</v>
      </c>
      <c r="Q380" s="470" t="s">
        <v>797</v>
      </c>
      <c r="R380" s="460" t="s">
        <v>798</v>
      </c>
      <c r="S380" s="270" t="s">
        <v>7</v>
      </c>
      <c r="U380" s="471"/>
      <c r="V380" s="471"/>
      <c r="W380" s="471" t="s">
        <v>798</v>
      </c>
      <c r="X380" s="471">
        <v>1</v>
      </c>
      <c r="Y380" s="206"/>
      <c r="Z380" s="206"/>
    </row>
    <row r="381" spans="1:26">
      <c r="A381" s="406">
        <v>378</v>
      </c>
      <c r="B381" s="613" t="s">
        <v>4905</v>
      </c>
      <c r="C381" s="288" t="s">
        <v>799</v>
      </c>
      <c r="D381" s="414" t="s">
        <v>4697</v>
      </c>
      <c r="E381" s="407" t="s">
        <v>8784</v>
      </c>
      <c r="F381" s="483" t="s">
        <v>4906</v>
      </c>
      <c r="G381" s="411"/>
      <c r="H381" s="411"/>
      <c r="I381" s="411"/>
      <c r="J381" s="411"/>
      <c r="K381" s="411"/>
      <c r="L381" s="608">
        <v>0</v>
      </c>
      <c r="M381" s="409">
        <v>3916.2952755905512</v>
      </c>
      <c r="N381" s="409">
        <v>3916.2952755905512</v>
      </c>
      <c r="O381" s="410" t="s">
        <v>7569</v>
      </c>
      <c r="P381" s="406">
        <v>378</v>
      </c>
      <c r="Q381" s="470" t="s">
        <v>799</v>
      </c>
      <c r="R381" s="460" t="s">
        <v>800</v>
      </c>
      <c r="S381" s="270" t="s">
        <v>7</v>
      </c>
      <c r="U381" s="471"/>
      <c r="V381" s="471"/>
      <c r="W381" s="471" t="s">
        <v>800</v>
      </c>
      <c r="X381" s="471">
        <v>1</v>
      </c>
      <c r="Y381" s="206"/>
      <c r="Z381" s="206"/>
    </row>
    <row r="382" spans="1:26">
      <c r="A382" s="406">
        <v>379</v>
      </c>
      <c r="B382" s="613" t="s">
        <v>5897</v>
      </c>
      <c r="C382" s="288" t="s">
        <v>801</v>
      </c>
      <c r="D382" s="414" t="s">
        <v>4736</v>
      </c>
      <c r="E382" s="407" t="s">
        <v>8785</v>
      </c>
      <c r="F382" s="483"/>
      <c r="G382" s="483"/>
      <c r="H382" s="483"/>
      <c r="I382" s="483"/>
      <c r="J382" s="483"/>
      <c r="K382" s="483"/>
      <c r="L382" s="608" t="s">
        <v>4884</v>
      </c>
      <c r="M382" s="409">
        <v>3730.748031496063</v>
      </c>
      <c r="N382" s="409">
        <v>3730.748031496063</v>
      </c>
      <c r="O382" s="410" t="s">
        <v>7569</v>
      </c>
      <c r="P382" s="406">
        <v>379</v>
      </c>
      <c r="Q382" s="470" t="s">
        <v>801</v>
      </c>
      <c r="R382" s="460" t="s">
        <v>802</v>
      </c>
      <c r="S382" s="270" t="s">
        <v>7</v>
      </c>
      <c r="U382" s="471"/>
      <c r="V382" s="471"/>
      <c r="W382" s="471" t="s">
        <v>802</v>
      </c>
      <c r="X382" s="471">
        <v>1</v>
      </c>
      <c r="Y382" s="206"/>
      <c r="Z382" s="206"/>
    </row>
    <row r="383" spans="1:26">
      <c r="A383" s="406">
        <v>380</v>
      </c>
      <c r="B383" s="613" t="s">
        <v>5898</v>
      </c>
      <c r="C383" s="288" t="s">
        <v>803</v>
      </c>
      <c r="D383" s="414" t="s">
        <v>4716</v>
      </c>
      <c r="E383" s="407" t="s">
        <v>8786</v>
      </c>
      <c r="F383" s="483"/>
      <c r="G383" s="483"/>
      <c r="H383" s="483"/>
      <c r="I383" s="483"/>
      <c r="J383" s="483"/>
      <c r="K383" s="483"/>
      <c r="L383" s="608" t="s">
        <v>4884</v>
      </c>
      <c r="M383" s="409">
        <v>5696.8740157480324</v>
      </c>
      <c r="N383" s="409">
        <v>5696.8740157480324</v>
      </c>
      <c r="O383" s="410" t="s">
        <v>7573</v>
      </c>
      <c r="P383" s="406">
        <v>380</v>
      </c>
      <c r="Q383" s="470" t="s">
        <v>803</v>
      </c>
      <c r="R383" s="460" t="s">
        <v>804</v>
      </c>
      <c r="S383" s="270" t="s">
        <v>7</v>
      </c>
      <c r="U383" s="471"/>
      <c r="V383" s="471"/>
      <c r="W383" s="471" t="s">
        <v>804</v>
      </c>
      <c r="X383" s="471">
        <v>1</v>
      </c>
      <c r="Y383" s="206"/>
      <c r="Z383" s="206"/>
    </row>
    <row r="384" spans="1:26">
      <c r="A384" s="406">
        <v>381</v>
      </c>
      <c r="B384" s="613" t="s">
        <v>5899</v>
      </c>
      <c r="C384" s="288" t="s">
        <v>805</v>
      </c>
      <c r="D384" s="414" t="s">
        <v>4825</v>
      </c>
      <c r="E384" s="407" t="s">
        <v>8787</v>
      </c>
      <c r="F384" s="483"/>
      <c r="G384" s="483"/>
      <c r="H384" s="483"/>
      <c r="I384" s="483"/>
      <c r="J384" s="483"/>
      <c r="K384" s="483"/>
      <c r="L384" s="608" t="s">
        <v>4884</v>
      </c>
      <c r="M384" s="409">
        <v>4689.6220472440946</v>
      </c>
      <c r="N384" s="409">
        <v>4689.6220472440946</v>
      </c>
      <c r="O384" s="410" t="s">
        <v>7575</v>
      </c>
      <c r="P384" s="406">
        <v>381</v>
      </c>
      <c r="Q384" s="470" t="s">
        <v>805</v>
      </c>
      <c r="R384" s="460" t="s">
        <v>806</v>
      </c>
      <c r="S384" s="270" t="s">
        <v>7</v>
      </c>
      <c r="U384" s="471"/>
      <c r="V384" s="471"/>
      <c r="W384" s="471" t="s">
        <v>806</v>
      </c>
      <c r="X384" s="471">
        <v>1</v>
      </c>
      <c r="Y384" s="206"/>
      <c r="Z384" s="206"/>
    </row>
    <row r="385" spans="1:26">
      <c r="A385" s="406">
        <v>382</v>
      </c>
      <c r="B385" s="613" t="s">
        <v>5900</v>
      </c>
      <c r="C385" s="288" t="s">
        <v>807</v>
      </c>
      <c r="D385" s="414" t="s">
        <v>4698</v>
      </c>
      <c r="E385" s="407" t="s">
        <v>8788</v>
      </c>
      <c r="F385" s="483"/>
      <c r="G385" s="483"/>
      <c r="H385" s="483"/>
      <c r="I385" s="483"/>
      <c r="J385" s="483"/>
      <c r="K385" s="483"/>
      <c r="L385" s="608" t="s">
        <v>4884</v>
      </c>
      <c r="M385" s="409">
        <v>3836.7362204724413</v>
      </c>
      <c r="N385" s="409">
        <v>3836.7362204724413</v>
      </c>
      <c r="O385" s="410" t="s">
        <v>7569</v>
      </c>
      <c r="P385" s="406">
        <v>382</v>
      </c>
      <c r="Q385" s="470" t="s">
        <v>807</v>
      </c>
      <c r="R385" s="460" t="s">
        <v>808</v>
      </c>
      <c r="S385" s="270" t="s">
        <v>7</v>
      </c>
      <c r="U385" s="471"/>
      <c r="V385" s="471"/>
      <c r="W385" s="471" t="s">
        <v>808</v>
      </c>
      <c r="X385" s="471">
        <v>1</v>
      </c>
      <c r="Y385" s="206"/>
      <c r="Z385" s="206"/>
    </row>
    <row r="386" spans="1:26">
      <c r="A386" s="406">
        <v>383</v>
      </c>
      <c r="B386" s="613" t="s">
        <v>5901</v>
      </c>
      <c r="C386" s="288" t="s">
        <v>809</v>
      </c>
      <c r="D386" s="414" t="s">
        <v>4734</v>
      </c>
      <c r="E386" s="407" t="s">
        <v>8789</v>
      </c>
      <c r="F386" s="483"/>
      <c r="G386" s="483"/>
      <c r="H386" s="483"/>
      <c r="I386" s="483"/>
      <c r="J386" s="483"/>
      <c r="K386" s="483"/>
      <c r="L386" s="608" t="s">
        <v>4884</v>
      </c>
      <c r="M386" s="409">
        <v>4434.0551181102364</v>
      </c>
      <c r="N386" s="409">
        <v>4434.0551181102364</v>
      </c>
      <c r="O386" s="410" t="s">
        <v>7569</v>
      </c>
      <c r="P386" s="406">
        <v>383</v>
      </c>
      <c r="Q386" s="470" t="s">
        <v>809</v>
      </c>
      <c r="R386" s="460" t="s">
        <v>810</v>
      </c>
      <c r="S386" s="270" t="s">
        <v>7</v>
      </c>
      <c r="U386" s="471"/>
      <c r="V386" s="471"/>
      <c r="W386" s="471" t="s">
        <v>810</v>
      </c>
      <c r="X386" s="471">
        <v>1</v>
      </c>
      <c r="Y386" s="206"/>
      <c r="Z386" s="206"/>
    </row>
    <row r="387" spans="1:26">
      <c r="A387" s="406">
        <v>384</v>
      </c>
      <c r="B387" s="613" t="s">
        <v>5902</v>
      </c>
      <c r="C387" s="288" t="s">
        <v>811</v>
      </c>
      <c r="D387" s="414" t="s">
        <v>4713</v>
      </c>
      <c r="E387" s="407" t="s">
        <v>8790</v>
      </c>
      <c r="F387" s="483"/>
      <c r="G387" s="483"/>
      <c r="H387" s="483"/>
      <c r="I387" s="483"/>
      <c r="J387" s="483"/>
      <c r="K387" s="483"/>
      <c r="L387" s="608" t="s">
        <v>4884</v>
      </c>
      <c r="M387" s="409">
        <v>4570.2834645669291</v>
      </c>
      <c r="N387" s="409">
        <v>4570.2834645669291</v>
      </c>
      <c r="O387" s="410" t="s">
        <v>7575</v>
      </c>
      <c r="P387" s="406">
        <v>384</v>
      </c>
      <c r="Q387" s="470" t="s">
        <v>811</v>
      </c>
      <c r="R387" s="460" t="s">
        <v>812</v>
      </c>
      <c r="S387" s="270" t="s">
        <v>7</v>
      </c>
      <c r="U387" s="471"/>
      <c r="V387" s="471"/>
      <c r="W387" s="471" t="s">
        <v>812</v>
      </c>
      <c r="X387" s="471">
        <v>1</v>
      </c>
      <c r="Y387" s="206"/>
      <c r="Z387" s="206"/>
    </row>
    <row r="388" spans="1:26">
      <c r="A388" s="406">
        <v>385</v>
      </c>
      <c r="B388" s="613" t="s">
        <v>5903</v>
      </c>
      <c r="C388" s="288" t="s">
        <v>813</v>
      </c>
      <c r="D388" s="414" t="s">
        <v>4750</v>
      </c>
      <c r="E388" s="407" t="s">
        <v>8791</v>
      </c>
      <c r="F388" s="483"/>
      <c r="G388" s="483"/>
      <c r="H388" s="483"/>
      <c r="I388" s="483"/>
      <c r="J388" s="483"/>
      <c r="K388" s="483"/>
      <c r="L388" s="608" t="s">
        <v>4884</v>
      </c>
      <c r="M388" s="409">
        <v>4238.0354330708669</v>
      </c>
      <c r="N388" s="409">
        <v>4238.0354330708669</v>
      </c>
      <c r="O388" s="410" t="s">
        <v>7573</v>
      </c>
      <c r="P388" s="406">
        <v>385</v>
      </c>
      <c r="Q388" s="470" t="s">
        <v>813</v>
      </c>
      <c r="R388" s="460" t="s">
        <v>814</v>
      </c>
      <c r="S388" s="270" t="s">
        <v>7</v>
      </c>
      <c r="U388" s="471"/>
      <c r="V388" s="471"/>
      <c r="W388" s="471" t="s">
        <v>814</v>
      </c>
      <c r="X388" s="471">
        <v>1</v>
      </c>
      <c r="Y388" s="206"/>
      <c r="Z388" s="206"/>
    </row>
    <row r="389" spans="1:26">
      <c r="A389" s="406">
        <v>386</v>
      </c>
      <c r="B389" s="613" t="s">
        <v>5904</v>
      </c>
      <c r="C389" s="288" t="s">
        <v>815</v>
      </c>
      <c r="D389" s="414" t="s">
        <v>4746</v>
      </c>
      <c r="E389" s="407" t="s">
        <v>8792</v>
      </c>
      <c r="F389" s="483"/>
      <c r="G389" s="483"/>
      <c r="H389" s="483"/>
      <c r="I389" s="483"/>
      <c r="J389" s="483"/>
      <c r="K389" s="483"/>
      <c r="L389" s="608" t="s">
        <v>4884</v>
      </c>
      <c r="M389" s="409">
        <v>4089.4566929133862</v>
      </c>
      <c r="N389" s="409">
        <v>4089.4566929133862</v>
      </c>
      <c r="O389" s="410" t="s">
        <v>7573</v>
      </c>
      <c r="P389" s="406">
        <v>386</v>
      </c>
      <c r="Q389" s="470" t="s">
        <v>815</v>
      </c>
      <c r="R389" s="460" t="s">
        <v>816</v>
      </c>
      <c r="S389" s="270" t="s">
        <v>7</v>
      </c>
      <c r="U389" s="471"/>
      <c r="V389" s="471"/>
      <c r="W389" s="471" t="s">
        <v>816</v>
      </c>
      <c r="X389" s="471">
        <v>1</v>
      </c>
      <c r="Y389" s="206"/>
      <c r="Z389" s="206"/>
    </row>
    <row r="390" spans="1:26">
      <c r="A390" s="406">
        <v>387</v>
      </c>
      <c r="B390" s="613" t="s">
        <v>5905</v>
      </c>
      <c r="C390" s="288" t="s">
        <v>817</v>
      </c>
      <c r="D390" s="414" t="s">
        <v>4690</v>
      </c>
      <c r="E390" s="407" t="s">
        <v>8793</v>
      </c>
      <c r="F390" s="483"/>
      <c r="G390" s="483"/>
      <c r="H390" s="483"/>
      <c r="I390" s="483"/>
      <c r="J390" s="483"/>
      <c r="K390" s="483"/>
      <c r="L390" s="608" t="s">
        <v>4884</v>
      </c>
      <c r="M390" s="409">
        <v>3359.8661417322833</v>
      </c>
      <c r="N390" s="409">
        <v>3359.8661417322833</v>
      </c>
      <c r="O390" s="410" t="s">
        <v>7569</v>
      </c>
      <c r="P390" s="406">
        <v>387</v>
      </c>
      <c r="Q390" s="470" t="s">
        <v>817</v>
      </c>
      <c r="R390" s="460" t="s">
        <v>818</v>
      </c>
      <c r="S390" s="270" t="s">
        <v>7</v>
      </c>
      <c r="U390" s="471"/>
      <c r="V390" s="471"/>
      <c r="W390" s="471" t="s">
        <v>818</v>
      </c>
      <c r="X390" s="471">
        <v>1</v>
      </c>
      <c r="Y390" s="206"/>
      <c r="Z390" s="206"/>
    </row>
    <row r="391" spans="1:26">
      <c r="A391" s="406">
        <v>388</v>
      </c>
      <c r="B391" s="613" t="s">
        <v>5911</v>
      </c>
      <c r="C391" s="288" t="s">
        <v>819</v>
      </c>
      <c r="D391" s="414" t="s">
        <v>4702</v>
      </c>
      <c r="E391" s="407" t="s">
        <v>8794</v>
      </c>
      <c r="F391" s="483"/>
      <c r="G391" s="483"/>
      <c r="H391" s="483"/>
      <c r="I391" s="483"/>
      <c r="J391" s="483"/>
      <c r="K391" s="483"/>
      <c r="L391" s="608" t="s">
        <v>4884</v>
      </c>
      <c r="M391" s="409">
        <v>3900.4330708661419</v>
      </c>
      <c r="N391" s="409">
        <v>3900.4330708661419</v>
      </c>
      <c r="O391" s="410" t="s">
        <v>7573</v>
      </c>
      <c r="P391" s="406">
        <v>388</v>
      </c>
      <c r="Q391" s="470" t="s">
        <v>819</v>
      </c>
      <c r="R391" s="460" t="s">
        <v>820</v>
      </c>
      <c r="S391" s="270" t="s">
        <v>7</v>
      </c>
      <c r="U391" s="471"/>
      <c r="V391" s="471"/>
      <c r="W391" s="471" t="s">
        <v>820</v>
      </c>
      <c r="X391" s="471">
        <v>1</v>
      </c>
      <c r="Y391" s="206"/>
      <c r="Z391" s="206"/>
    </row>
    <row r="392" spans="1:26">
      <c r="A392" s="406">
        <v>389</v>
      </c>
      <c r="B392" s="613" t="s">
        <v>5907</v>
      </c>
      <c r="C392" s="288" t="s">
        <v>821</v>
      </c>
      <c r="D392" s="414" t="s">
        <v>4740</v>
      </c>
      <c r="E392" s="407" t="s">
        <v>8795</v>
      </c>
      <c r="F392" s="483"/>
      <c r="G392" s="483"/>
      <c r="H392" s="483"/>
      <c r="I392" s="483"/>
      <c r="J392" s="483"/>
      <c r="K392" s="483"/>
      <c r="L392" s="608" t="s">
        <v>4884</v>
      </c>
      <c r="M392" s="409">
        <v>3678.7480314960635</v>
      </c>
      <c r="N392" s="409">
        <v>3678.7480314960635</v>
      </c>
      <c r="O392" s="410" t="s">
        <v>7569</v>
      </c>
      <c r="P392" s="406">
        <v>389</v>
      </c>
      <c r="Q392" s="470" t="s">
        <v>821</v>
      </c>
      <c r="R392" s="460" t="s">
        <v>822</v>
      </c>
      <c r="S392" s="270" t="s">
        <v>7</v>
      </c>
      <c r="U392" s="471"/>
      <c r="V392" s="471"/>
      <c r="W392" s="471" t="s">
        <v>822</v>
      </c>
      <c r="X392" s="471">
        <v>1</v>
      </c>
      <c r="Y392" s="206"/>
      <c r="Z392" s="206"/>
    </row>
    <row r="393" spans="1:26">
      <c r="A393" s="406">
        <v>390</v>
      </c>
      <c r="B393" s="613" t="s">
        <v>5908</v>
      </c>
      <c r="C393" s="288" t="s">
        <v>823</v>
      </c>
      <c r="D393" s="414" t="s">
        <v>4748</v>
      </c>
      <c r="E393" s="407" t="s">
        <v>8796</v>
      </c>
      <c r="F393" s="483"/>
      <c r="G393" s="483"/>
      <c r="H393" s="483"/>
      <c r="I393" s="483"/>
      <c r="J393" s="483"/>
      <c r="K393" s="483"/>
      <c r="L393" s="608" t="s">
        <v>4884</v>
      </c>
      <c r="M393" s="409">
        <v>4139.3661417322837</v>
      </c>
      <c r="N393" s="409">
        <v>4139.3661417322837</v>
      </c>
      <c r="O393" s="410" t="s">
        <v>7573</v>
      </c>
      <c r="P393" s="406">
        <v>390</v>
      </c>
      <c r="Q393" s="470" t="s">
        <v>823</v>
      </c>
      <c r="R393" s="460" t="s">
        <v>824</v>
      </c>
      <c r="S393" s="270" t="s">
        <v>7</v>
      </c>
      <c r="U393" s="471"/>
      <c r="V393" s="471"/>
      <c r="W393" s="471" t="s">
        <v>824</v>
      </c>
      <c r="X393" s="471">
        <v>1</v>
      </c>
      <c r="Y393" s="206"/>
      <c r="Z393" s="206"/>
    </row>
    <row r="394" spans="1:26">
      <c r="A394" s="406">
        <v>391</v>
      </c>
      <c r="B394" s="613" t="s">
        <v>5909</v>
      </c>
      <c r="C394" s="288" t="s">
        <v>825</v>
      </c>
      <c r="D394" s="414" t="s">
        <v>4738</v>
      </c>
      <c r="E394" s="407" t="s">
        <v>8797</v>
      </c>
      <c r="F394" s="483"/>
      <c r="G394" s="483"/>
      <c r="H394" s="483"/>
      <c r="I394" s="483"/>
      <c r="J394" s="483"/>
      <c r="K394" s="483"/>
      <c r="L394" s="608" t="s">
        <v>4884</v>
      </c>
      <c r="M394" s="409">
        <v>3676.4094488188975</v>
      </c>
      <c r="N394" s="409">
        <v>3676.4094488188975</v>
      </c>
      <c r="O394" s="410" t="s">
        <v>7569</v>
      </c>
      <c r="P394" s="406">
        <v>391</v>
      </c>
      <c r="Q394" s="470" t="s">
        <v>825</v>
      </c>
      <c r="R394" s="460" t="s">
        <v>826</v>
      </c>
      <c r="S394" s="270" t="s">
        <v>7</v>
      </c>
      <c r="U394" s="471"/>
      <c r="V394" s="471"/>
      <c r="W394" s="471" t="s">
        <v>826</v>
      </c>
      <c r="X394" s="471">
        <v>1</v>
      </c>
      <c r="Y394" s="206"/>
      <c r="Z394" s="206"/>
    </row>
    <row r="395" spans="1:26">
      <c r="A395" s="406">
        <v>392</v>
      </c>
      <c r="B395" s="613" t="s">
        <v>5910</v>
      </c>
      <c r="C395" s="288" t="s">
        <v>827</v>
      </c>
      <c r="D395" s="414" t="s">
        <v>4761</v>
      </c>
      <c r="E395" s="407" t="s">
        <v>8798</v>
      </c>
      <c r="F395" s="483"/>
      <c r="G395" s="483"/>
      <c r="H395" s="483"/>
      <c r="I395" s="483"/>
      <c r="J395" s="483"/>
      <c r="K395" s="483"/>
      <c r="L395" s="608" t="s">
        <v>4884</v>
      </c>
      <c r="M395" s="409">
        <v>4463.2755905511813</v>
      </c>
      <c r="N395" s="409">
        <v>4463.2755905511813</v>
      </c>
      <c r="O395" s="410" t="s">
        <v>7575</v>
      </c>
      <c r="P395" s="406">
        <v>392</v>
      </c>
      <c r="Q395" s="470" t="s">
        <v>827</v>
      </c>
      <c r="R395" s="460" t="s">
        <v>828</v>
      </c>
      <c r="S395" s="270" t="s">
        <v>7</v>
      </c>
      <c r="U395" s="471"/>
      <c r="V395" s="471"/>
      <c r="W395" s="471" t="s">
        <v>828</v>
      </c>
      <c r="X395" s="471">
        <v>1</v>
      </c>
      <c r="Y395" s="206"/>
      <c r="Z395" s="206"/>
    </row>
    <row r="396" spans="1:26">
      <c r="A396" s="406">
        <v>393</v>
      </c>
      <c r="B396" s="613" t="s">
        <v>5912</v>
      </c>
      <c r="C396" s="288" t="s">
        <v>829</v>
      </c>
      <c r="D396" s="414" t="s">
        <v>4743</v>
      </c>
      <c r="E396" s="407" t="s">
        <v>8799</v>
      </c>
      <c r="F396" s="483"/>
      <c r="G396" s="483"/>
      <c r="H396" s="483"/>
      <c r="I396" s="483"/>
      <c r="J396" s="483"/>
      <c r="K396" s="483"/>
      <c r="L396" s="608" t="s">
        <v>4884</v>
      </c>
      <c r="M396" s="409">
        <v>3726.6850393700788</v>
      </c>
      <c r="N396" s="409">
        <v>3726.6850393700788</v>
      </c>
      <c r="O396" s="410" t="s">
        <v>7575</v>
      </c>
      <c r="P396" s="406">
        <v>393</v>
      </c>
      <c r="Q396" s="470" t="s">
        <v>829</v>
      </c>
      <c r="R396" s="460" t="s">
        <v>830</v>
      </c>
      <c r="S396" s="270" t="s">
        <v>7</v>
      </c>
      <c r="U396" s="471"/>
      <c r="V396" s="471"/>
      <c r="W396" s="471" t="s">
        <v>830</v>
      </c>
      <c r="X396" s="471">
        <v>1</v>
      </c>
      <c r="Y396" s="206"/>
      <c r="Z396" s="206"/>
    </row>
    <row r="397" spans="1:26">
      <c r="A397" s="406">
        <v>394</v>
      </c>
      <c r="B397" s="613" t="s">
        <v>5913</v>
      </c>
      <c r="C397" s="288" t="s">
        <v>831</v>
      </c>
      <c r="D397" s="414" t="s">
        <v>4689</v>
      </c>
      <c r="E397" s="407" t="s">
        <v>8800</v>
      </c>
      <c r="F397" s="483"/>
      <c r="G397" s="483"/>
      <c r="H397" s="483"/>
      <c r="I397" s="483"/>
      <c r="J397" s="483"/>
      <c r="K397" s="483"/>
      <c r="L397" s="608" t="s">
        <v>4884</v>
      </c>
      <c r="M397" s="409">
        <v>3375.2834645669295</v>
      </c>
      <c r="N397" s="409">
        <v>3375.2834645669295</v>
      </c>
      <c r="O397" s="410" t="s">
        <v>7573</v>
      </c>
      <c r="P397" s="406">
        <v>394</v>
      </c>
      <c r="Q397" s="470" t="s">
        <v>831</v>
      </c>
      <c r="R397" s="460" t="s">
        <v>832</v>
      </c>
      <c r="S397" s="270" t="s">
        <v>7</v>
      </c>
      <c r="U397" s="471"/>
      <c r="V397" s="471"/>
      <c r="W397" s="471" t="s">
        <v>832</v>
      </c>
      <c r="X397" s="471">
        <v>1</v>
      </c>
      <c r="Y397" s="206"/>
      <c r="Z397" s="206"/>
    </row>
    <row r="398" spans="1:26">
      <c r="A398" s="406">
        <v>395</v>
      </c>
      <c r="B398" s="613" t="s">
        <v>5914</v>
      </c>
      <c r="C398" s="288" t="s">
        <v>833</v>
      </c>
      <c r="D398" s="414" t="s">
        <v>4693</v>
      </c>
      <c r="E398" s="407" t="s">
        <v>8801</v>
      </c>
      <c r="F398" s="483"/>
      <c r="G398" s="483"/>
      <c r="H398" s="483"/>
      <c r="I398" s="483"/>
      <c r="J398" s="483"/>
      <c r="K398" s="483"/>
      <c r="L398" s="608" t="s">
        <v>4884</v>
      </c>
      <c r="M398" s="409">
        <v>3555.4251968503941</v>
      </c>
      <c r="N398" s="409">
        <v>3555.4251968503941</v>
      </c>
      <c r="O398" s="410" t="s">
        <v>7569</v>
      </c>
      <c r="P398" s="406">
        <v>395</v>
      </c>
      <c r="Q398" s="470" t="s">
        <v>833</v>
      </c>
      <c r="R398" s="460" t="s">
        <v>834</v>
      </c>
      <c r="S398" s="270" t="s">
        <v>7</v>
      </c>
      <c r="U398" s="471"/>
      <c r="V398" s="471"/>
      <c r="W398" s="471" t="s">
        <v>834</v>
      </c>
      <c r="X398" s="471">
        <v>1</v>
      </c>
      <c r="Y398" s="206"/>
      <c r="Z398" s="206"/>
    </row>
    <row r="399" spans="1:26">
      <c r="A399" s="406">
        <v>396</v>
      </c>
      <c r="B399" s="613" t="s">
        <v>5915</v>
      </c>
      <c r="C399" s="288" t="s">
        <v>835</v>
      </c>
      <c r="D399" s="414" t="s">
        <v>4696</v>
      </c>
      <c r="E399" s="407" t="s">
        <v>8802</v>
      </c>
      <c r="F399" s="483"/>
      <c r="G399" s="483"/>
      <c r="H399" s="483"/>
      <c r="I399" s="483"/>
      <c r="J399" s="483"/>
      <c r="K399" s="483"/>
      <c r="L399" s="608" t="s">
        <v>4884</v>
      </c>
      <c r="M399" s="409">
        <v>4942.9566929133862</v>
      </c>
      <c r="N399" s="409">
        <v>4942.9566929133862</v>
      </c>
      <c r="O399" s="410" t="s">
        <v>7574</v>
      </c>
      <c r="P399" s="406">
        <v>396</v>
      </c>
      <c r="Q399" s="470" t="s">
        <v>835</v>
      </c>
      <c r="R399" s="460" t="s">
        <v>836</v>
      </c>
      <c r="S399" s="270" t="s">
        <v>7</v>
      </c>
      <c r="U399" s="471"/>
      <c r="V399" s="471"/>
      <c r="W399" s="471" t="s">
        <v>836</v>
      </c>
      <c r="X399" s="471">
        <v>1</v>
      </c>
      <c r="Y399" s="206"/>
      <c r="Z399" s="206"/>
    </row>
    <row r="400" spans="1:26">
      <c r="A400" s="406">
        <v>397</v>
      </c>
      <c r="B400" s="613" t="s">
        <v>5916</v>
      </c>
      <c r="C400" s="288" t="s">
        <v>837</v>
      </c>
      <c r="D400" s="414" t="s">
        <v>4718</v>
      </c>
      <c r="E400" s="407" t="s">
        <v>8803</v>
      </c>
      <c r="F400" s="483"/>
      <c r="G400" s="483"/>
      <c r="H400" s="483"/>
      <c r="I400" s="483"/>
      <c r="J400" s="483"/>
      <c r="K400" s="483"/>
      <c r="L400" s="608" t="s">
        <v>4884</v>
      </c>
      <c r="M400" s="409">
        <v>4332.2952755905517</v>
      </c>
      <c r="N400" s="409">
        <v>4332.2952755905517</v>
      </c>
      <c r="O400" s="410" t="s">
        <v>7575</v>
      </c>
      <c r="P400" s="406">
        <v>397</v>
      </c>
      <c r="Q400" s="470" t="s">
        <v>837</v>
      </c>
      <c r="R400" s="460" t="s">
        <v>838</v>
      </c>
      <c r="S400" s="270" t="s">
        <v>7</v>
      </c>
      <c r="U400" s="471"/>
      <c r="V400" s="471"/>
      <c r="W400" s="471" t="s">
        <v>838</v>
      </c>
      <c r="X400" s="471">
        <v>1</v>
      </c>
      <c r="Y400" s="206"/>
      <c r="Z400" s="206"/>
    </row>
    <row r="401" spans="1:26">
      <c r="A401" s="406">
        <v>398</v>
      </c>
      <c r="B401" s="613" t="s">
        <v>5917</v>
      </c>
      <c r="C401" s="288" t="s">
        <v>839</v>
      </c>
      <c r="D401" s="414" t="s">
        <v>4717</v>
      </c>
      <c r="E401" s="407" t="s">
        <v>8804</v>
      </c>
      <c r="F401" s="483"/>
      <c r="G401" s="483"/>
      <c r="H401" s="483"/>
      <c r="I401" s="483"/>
      <c r="J401" s="483"/>
      <c r="K401" s="483"/>
      <c r="L401" s="608" t="s">
        <v>4884</v>
      </c>
      <c r="M401" s="409">
        <v>4235.1968503937005</v>
      </c>
      <c r="N401" s="409">
        <v>4235.1968503937005</v>
      </c>
      <c r="O401" s="410" t="s">
        <v>7575</v>
      </c>
      <c r="P401" s="406">
        <v>398</v>
      </c>
      <c r="Q401" s="470" t="s">
        <v>839</v>
      </c>
      <c r="R401" s="460" t="s">
        <v>840</v>
      </c>
      <c r="S401" s="270" t="s">
        <v>7</v>
      </c>
      <c r="U401" s="471"/>
      <c r="V401" s="471"/>
      <c r="W401" s="471" t="s">
        <v>840</v>
      </c>
      <c r="X401" s="471">
        <v>1</v>
      </c>
      <c r="Y401" s="206"/>
      <c r="Z401" s="206"/>
    </row>
    <row r="402" spans="1:26">
      <c r="A402" s="406">
        <v>399</v>
      </c>
      <c r="B402" s="613" t="s">
        <v>4907</v>
      </c>
      <c r="C402" s="288" t="s">
        <v>841</v>
      </c>
      <c r="D402" s="414" t="s">
        <v>4759</v>
      </c>
      <c r="E402" s="407" t="s">
        <v>8805</v>
      </c>
      <c r="F402" s="483" t="s">
        <v>4908</v>
      </c>
      <c r="G402" s="411"/>
      <c r="H402" s="411"/>
      <c r="I402" s="411"/>
      <c r="J402" s="411"/>
      <c r="K402" s="411"/>
      <c r="L402" s="608">
        <v>0</v>
      </c>
      <c r="M402" s="409">
        <v>4427.1338582677172</v>
      </c>
      <c r="N402" s="409">
        <v>4427.1338582677172</v>
      </c>
      <c r="O402" s="410" t="s">
        <v>7575</v>
      </c>
      <c r="P402" s="406">
        <v>399</v>
      </c>
      <c r="Q402" s="470" t="s">
        <v>841</v>
      </c>
      <c r="R402" s="460" t="s">
        <v>842</v>
      </c>
      <c r="S402" s="270" t="s">
        <v>7</v>
      </c>
      <c r="U402" s="471"/>
      <c r="V402" s="471"/>
      <c r="W402" s="471" t="s">
        <v>842</v>
      </c>
      <c r="X402" s="471">
        <v>1</v>
      </c>
      <c r="Y402" s="206"/>
      <c r="Z402" s="206"/>
    </row>
    <row r="403" spans="1:26">
      <c r="A403" s="406">
        <v>400</v>
      </c>
      <c r="B403" s="613" t="s">
        <v>5918</v>
      </c>
      <c r="C403" s="288" t="s">
        <v>843</v>
      </c>
      <c r="D403" s="414" t="s">
        <v>4635</v>
      </c>
      <c r="E403" s="407" t="s">
        <v>8806</v>
      </c>
      <c r="F403" s="483"/>
      <c r="G403" s="483"/>
      <c r="H403" s="483"/>
      <c r="I403" s="483"/>
      <c r="J403" s="483"/>
      <c r="K403" s="483"/>
      <c r="L403" s="608" t="s">
        <v>4884</v>
      </c>
      <c r="M403" s="409">
        <v>4396.3779527559063</v>
      </c>
      <c r="N403" s="409">
        <v>4396.3779527559063</v>
      </c>
      <c r="O403" s="410" t="s">
        <v>7572</v>
      </c>
      <c r="P403" s="406">
        <v>400</v>
      </c>
      <c r="Q403" s="470" t="s">
        <v>843</v>
      </c>
      <c r="R403" s="460" t="s">
        <v>844</v>
      </c>
      <c r="S403" s="270" t="s">
        <v>7</v>
      </c>
      <c r="U403" s="471"/>
      <c r="V403" s="471"/>
      <c r="W403" s="471" t="s">
        <v>844</v>
      </c>
      <c r="X403" s="471">
        <v>1</v>
      </c>
      <c r="Y403" s="206"/>
      <c r="Z403" s="206"/>
    </row>
    <row r="404" spans="1:26">
      <c r="A404" s="406">
        <v>401</v>
      </c>
      <c r="B404" s="613" t="s">
        <v>5928</v>
      </c>
      <c r="C404" s="288" t="s">
        <v>845</v>
      </c>
      <c r="D404" s="414" t="s">
        <v>4651</v>
      </c>
      <c r="E404" s="407" t="s">
        <v>8807</v>
      </c>
      <c r="F404" s="483"/>
      <c r="G404" s="483"/>
      <c r="H404" s="483"/>
      <c r="I404" s="483"/>
      <c r="J404" s="483"/>
      <c r="K404" s="483"/>
      <c r="L404" s="608" t="s">
        <v>4884</v>
      </c>
      <c r="M404" s="409">
        <v>4171.5236220472443</v>
      </c>
      <c r="N404" s="409">
        <v>4171.5236220472443</v>
      </c>
      <c r="O404" s="410" t="s">
        <v>7572</v>
      </c>
      <c r="P404" s="406">
        <v>401</v>
      </c>
      <c r="Q404" s="470" t="s">
        <v>845</v>
      </c>
      <c r="R404" s="460" t="s">
        <v>846</v>
      </c>
      <c r="S404" s="270" t="s">
        <v>7</v>
      </c>
      <c r="U404" s="471"/>
      <c r="V404" s="471"/>
      <c r="W404" s="471" t="s">
        <v>846</v>
      </c>
      <c r="X404" s="471">
        <v>1</v>
      </c>
      <c r="Y404" s="206"/>
      <c r="Z404" s="206"/>
    </row>
    <row r="405" spans="1:26">
      <c r="A405" s="406">
        <v>402</v>
      </c>
      <c r="B405" s="613" t="s">
        <v>5919</v>
      </c>
      <c r="C405" s="288" t="s">
        <v>847</v>
      </c>
      <c r="D405" s="414" t="s">
        <v>4735</v>
      </c>
      <c r="E405" s="407" t="s">
        <v>8808</v>
      </c>
      <c r="F405" s="483"/>
      <c r="G405" s="483"/>
      <c r="H405" s="483"/>
      <c r="I405" s="483"/>
      <c r="J405" s="483"/>
      <c r="K405" s="483"/>
      <c r="L405" s="608" t="s">
        <v>4884</v>
      </c>
      <c r="M405" s="409">
        <v>3650.1299212598428</v>
      </c>
      <c r="N405" s="409">
        <v>3650.1299212598428</v>
      </c>
      <c r="O405" s="410" t="s">
        <v>7569</v>
      </c>
      <c r="P405" s="406">
        <v>402</v>
      </c>
      <c r="Q405" s="470" t="s">
        <v>847</v>
      </c>
      <c r="R405" s="460" t="s">
        <v>848</v>
      </c>
      <c r="S405" s="270" t="s">
        <v>7</v>
      </c>
      <c r="U405" s="471"/>
      <c r="V405" s="471"/>
      <c r="W405" s="471" t="s">
        <v>848</v>
      </c>
      <c r="X405" s="471">
        <v>1</v>
      </c>
      <c r="Y405" s="206"/>
      <c r="Z405" s="206"/>
    </row>
    <row r="406" spans="1:26">
      <c r="A406" s="406">
        <v>403</v>
      </c>
      <c r="B406" s="613" t="s">
        <v>5920</v>
      </c>
      <c r="C406" s="288" t="s">
        <v>849</v>
      </c>
      <c r="D406" s="414" t="s">
        <v>4719</v>
      </c>
      <c r="E406" s="407" t="s">
        <v>8809</v>
      </c>
      <c r="F406" s="483"/>
      <c r="G406" s="483"/>
      <c r="H406" s="483"/>
      <c r="I406" s="483"/>
      <c r="J406" s="483"/>
      <c r="K406" s="483"/>
      <c r="L406" s="608" t="s">
        <v>4884</v>
      </c>
      <c r="M406" s="409">
        <v>5699.0944881889764</v>
      </c>
      <c r="N406" s="409">
        <v>5699.0944881889764</v>
      </c>
      <c r="O406" s="410" t="s">
        <v>7574</v>
      </c>
      <c r="P406" s="406">
        <v>403</v>
      </c>
      <c r="Q406" s="470" t="s">
        <v>849</v>
      </c>
      <c r="R406" s="460" t="s">
        <v>850</v>
      </c>
      <c r="S406" s="270" t="s">
        <v>7</v>
      </c>
      <c r="U406" s="471"/>
      <c r="V406" s="471"/>
      <c r="W406" s="471" t="s">
        <v>850</v>
      </c>
      <c r="X406" s="471">
        <v>1</v>
      </c>
      <c r="Y406" s="206"/>
      <c r="Z406" s="206"/>
    </row>
    <row r="407" spans="1:26">
      <c r="A407" s="406">
        <v>404</v>
      </c>
      <c r="B407" s="613" t="s">
        <v>5921</v>
      </c>
      <c r="C407" s="288" t="s">
        <v>851</v>
      </c>
      <c r="D407" s="414" t="s">
        <v>4715</v>
      </c>
      <c r="E407" s="407" t="s">
        <v>8810</v>
      </c>
      <c r="F407" s="483"/>
      <c r="G407" s="483"/>
      <c r="H407" s="483"/>
      <c r="I407" s="483"/>
      <c r="J407" s="483"/>
      <c r="K407" s="483"/>
      <c r="L407" s="608" t="s">
        <v>4884</v>
      </c>
      <c r="M407" s="409">
        <v>5602.1889763779536</v>
      </c>
      <c r="N407" s="409">
        <v>5602.1889763779536</v>
      </c>
      <c r="O407" s="410" t="s">
        <v>7573</v>
      </c>
      <c r="P407" s="406">
        <v>404</v>
      </c>
      <c r="Q407" s="470" t="s">
        <v>851</v>
      </c>
      <c r="R407" s="460" t="s">
        <v>852</v>
      </c>
      <c r="S407" s="270" t="s">
        <v>7</v>
      </c>
      <c r="U407" s="471"/>
      <c r="V407" s="471"/>
      <c r="W407" s="471" t="s">
        <v>852</v>
      </c>
      <c r="X407" s="471">
        <v>1</v>
      </c>
      <c r="Y407" s="206"/>
      <c r="Z407" s="206"/>
    </row>
    <row r="408" spans="1:26">
      <c r="A408" s="406">
        <v>405</v>
      </c>
      <c r="B408" s="613" t="s">
        <v>6693</v>
      </c>
      <c r="C408" s="288" t="s">
        <v>853</v>
      </c>
      <c r="D408" s="414" t="s">
        <v>4680</v>
      </c>
      <c r="E408" s="407" t="s">
        <v>8811</v>
      </c>
      <c r="F408" s="483" t="s">
        <v>6681</v>
      </c>
      <c r="G408" s="483" t="s">
        <v>6692</v>
      </c>
      <c r="H408" s="411" t="s">
        <v>6719</v>
      </c>
      <c r="I408" s="411"/>
      <c r="J408" s="411"/>
      <c r="K408" s="411"/>
      <c r="L408" s="608">
        <v>2817.964566929134</v>
      </c>
      <c r="M408" s="409">
        <v>1984.1535433070867</v>
      </c>
      <c r="N408" s="409">
        <v>4802.1181102362207</v>
      </c>
      <c r="O408" s="410" t="s">
        <v>7798</v>
      </c>
      <c r="P408" s="406">
        <v>405</v>
      </c>
      <c r="Q408" s="470" t="s">
        <v>853</v>
      </c>
      <c r="R408" s="460" t="s">
        <v>854</v>
      </c>
      <c r="S408" s="270" t="s">
        <v>7</v>
      </c>
      <c r="U408" s="471"/>
      <c r="V408" s="471"/>
      <c r="W408" s="471" t="s">
        <v>854</v>
      </c>
      <c r="X408" s="471">
        <v>1</v>
      </c>
      <c r="Y408" s="206"/>
      <c r="Z408" s="206"/>
    </row>
    <row r="409" spans="1:26">
      <c r="A409" s="406">
        <v>406</v>
      </c>
      <c r="B409" s="613" t="s">
        <v>5922</v>
      </c>
      <c r="C409" s="288" t="s">
        <v>855</v>
      </c>
      <c r="D409" s="414" t="s">
        <v>4729</v>
      </c>
      <c r="E409" s="407" t="s">
        <v>8812</v>
      </c>
      <c r="F409" s="483"/>
      <c r="G409" s="483"/>
      <c r="H409" s="483"/>
      <c r="I409" s="483"/>
      <c r="J409" s="483"/>
      <c r="K409" s="483"/>
      <c r="L409" s="608" t="s">
        <v>4884</v>
      </c>
      <c r="M409" s="409">
        <v>4313.9055118110236</v>
      </c>
      <c r="N409" s="409">
        <v>4313.9055118110236</v>
      </c>
      <c r="O409" s="410" t="s">
        <v>7573</v>
      </c>
      <c r="P409" s="406">
        <v>406</v>
      </c>
      <c r="Q409" s="470" t="s">
        <v>855</v>
      </c>
      <c r="R409" s="460" t="s">
        <v>856</v>
      </c>
      <c r="S409" s="270" t="s">
        <v>7</v>
      </c>
      <c r="U409" s="471"/>
      <c r="V409" s="471"/>
      <c r="W409" s="471" t="s">
        <v>856</v>
      </c>
      <c r="X409" s="471">
        <v>1</v>
      </c>
      <c r="Y409" s="206"/>
      <c r="Z409" s="206"/>
    </row>
    <row r="410" spans="1:26">
      <c r="A410" s="406">
        <v>407</v>
      </c>
      <c r="B410" s="613" t="s">
        <v>5923</v>
      </c>
      <c r="C410" s="288" t="s">
        <v>857</v>
      </c>
      <c r="D410" s="414" t="s">
        <v>4639</v>
      </c>
      <c r="E410" s="407" t="s">
        <v>8813</v>
      </c>
      <c r="F410" s="483"/>
      <c r="G410" s="483"/>
      <c r="H410" s="483"/>
      <c r="I410" s="483"/>
      <c r="J410" s="483"/>
      <c r="K410" s="483"/>
      <c r="L410" s="608" t="s">
        <v>4884</v>
      </c>
      <c r="M410" s="409">
        <v>4067.5629921259847</v>
      </c>
      <c r="N410" s="409">
        <v>4067.5629921259847</v>
      </c>
      <c r="O410" s="410" t="s">
        <v>7572</v>
      </c>
      <c r="P410" s="406">
        <v>407</v>
      </c>
      <c r="Q410" s="470" t="s">
        <v>857</v>
      </c>
      <c r="R410" s="460" t="s">
        <v>858</v>
      </c>
      <c r="S410" s="270" t="s">
        <v>7</v>
      </c>
      <c r="U410" s="471"/>
      <c r="V410" s="471"/>
      <c r="W410" s="471" t="s">
        <v>858</v>
      </c>
      <c r="X410" s="471">
        <v>1</v>
      </c>
      <c r="Y410" s="206"/>
      <c r="Z410" s="206"/>
    </row>
    <row r="411" spans="1:26">
      <c r="A411" s="406">
        <v>408</v>
      </c>
      <c r="B411" s="613" t="s">
        <v>5924</v>
      </c>
      <c r="C411" s="288" t="s">
        <v>859</v>
      </c>
      <c r="D411" s="414" t="s">
        <v>4642</v>
      </c>
      <c r="E411" s="407" t="s">
        <v>8814</v>
      </c>
      <c r="F411" s="483"/>
      <c r="G411" s="483"/>
      <c r="H411" s="483"/>
      <c r="I411" s="483"/>
      <c r="J411" s="483"/>
      <c r="K411" s="483"/>
      <c r="L411" s="608" t="s">
        <v>4884</v>
      </c>
      <c r="M411" s="409">
        <v>4607.3464566929133</v>
      </c>
      <c r="N411" s="409">
        <v>4607.3464566929133</v>
      </c>
      <c r="O411" s="410" t="s">
        <v>7576</v>
      </c>
      <c r="P411" s="406">
        <v>408</v>
      </c>
      <c r="Q411" s="470" t="s">
        <v>859</v>
      </c>
      <c r="R411" s="460" t="s">
        <v>860</v>
      </c>
      <c r="S411" s="270" t="s">
        <v>7</v>
      </c>
      <c r="U411" s="471"/>
      <c r="V411" s="471"/>
      <c r="W411" s="471" t="s">
        <v>860</v>
      </c>
      <c r="X411" s="471">
        <v>1</v>
      </c>
      <c r="Y411" s="206"/>
      <c r="Z411" s="206"/>
    </row>
    <row r="412" spans="1:26">
      <c r="A412" s="406">
        <v>409</v>
      </c>
      <c r="B412" s="613" t="s">
        <v>5925</v>
      </c>
      <c r="C412" s="288" t="s">
        <v>861</v>
      </c>
      <c r="D412" s="414" t="s">
        <v>4732</v>
      </c>
      <c r="E412" s="407" t="s">
        <v>8815</v>
      </c>
      <c r="F412" s="483"/>
      <c r="G412" s="483"/>
      <c r="H412" s="483"/>
      <c r="I412" s="483"/>
      <c r="J412" s="483"/>
      <c r="K412" s="483"/>
      <c r="L412" s="608" t="s">
        <v>4884</v>
      </c>
      <c r="M412" s="409">
        <v>4372.4094488188975</v>
      </c>
      <c r="N412" s="409">
        <v>4372.4094488188975</v>
      </c>
      <c r="O412" s="410" t="s">
        <v>7569</v>
      </c>
      <c r="P412" s="406">
        <v>409</v>
      </c>
      <c r="Q412" s="470" t="s">
        <v>861</v>
      </c>
      <c r="R412" s="460" t="s">
        <v>862</v>
      </c>
      <c r="S412" s="270" t="s">
        <v>7</v>
      </c>
      <c r="U412" s="471"/>
      <c r="V412" s="471"/>
      <c r="W412" s="471" t="s">
        <v>862</v>
      </c>
      <c r="X412" s="471">
        <v>1</v>
      </c>
      <c r="Y412" s="206"/>
      <c r="Z412" s="206"/>
    </row>
    <row r="413" spans="1:26">
      <c r="A413" s="406">
        <v>410</v>
      </c>
      <c r="B413" s="613" t="s">
        <v>5926</v>
      </c>
      <c r="C413" s="288" t="s">
        <v>863</v>
      </c>
      <c r="D413" s="414" t="s">
        <v>4636</v>
      </c>
      <c r="E413" s="407" t="s">
        <v>8816</v>
      </c>
      <c r="F413" s="483"/>
      <c r="G413" s="483"/>
      <c r="H413" s="483"/>
      <c r="I413" s="483"/>
      <c r="J413" s="483"/>
      <c r="K413" s="483"/>
      <c r="L413" s="608" t="s">
        <v>4884</v>
      </c>
      <c r="M413" s="409">
        <v>4732.1653543307093</v>
      </c>
      <c r="N413" s="409">
        <v>4732.1653543307093</v>
      </c>
      <c r="O413" s="410" t="s">
        <v>7572</v>
      </c>
      <c r="P413" s="406">
        <v>410</v>
      </c>
      <c r="Q413" s="470" t="s">
        <v>863</v>
      </c>
      <c r="R413" s="460" t="s">
        <v>864</v>
      </c>
      <c r="S413" s="270" t="s">
        <v>7</v>
      </c>
      <c r="U413" s="471"/>
      <c r="V413" s="471"/>
      <c r="W413" s="471" t="s">
        <v>864</v>
      </c>
      <c r="X413" s="471">
        <v>1</v>
      </c>
      <c r="Y413" s="206"/>
      <c r="Z413" s="206"/>
    </row>
    <row r="414" spans="1:26">
      <c r="A414" s="406">
        <v>411</v>
      </c>
      <c r="B414" s="613" t="s">
        <v>5927</v>
      </c>
      <c r="C414" s="288" t="s">
        <v>865</v>
      </c>
      <c r="D414" s="414" t="s">
        <v>4683</v>
      </c>
      <c r="E414" s="407" t="s">
        <v>8817</v>
      </c>
      <c r="F414" s="483"/>
      <c r="G414" s="483"/>
      <c r="H414" s="483"/>
      <c r="I414" s="483"/>
      <c r="J414" s="483"/>
      <c r="K414" s="483"/>
      <c r="L414" s="608" t="s">
        <v>4884</v>
      </c>
      <c r="M414" s="409">
        <v>4610.0118110236226</v>
      </c>
      <c r="N414" s="409">
        <v>4610.0118110236226</v>
      </c>
      <c r="O414" s="410" t="s">
        <v>7572</v>
      </c>
      <c r="P414" s="406">
        <v>411</v>
      </c>
      <c r="Q414" s="470" t="s">
        <v>865</v>
      </c>
      <c r="R414" s="460" t="s">
        <v>866</v>
      </c>
      <c r="S414" s="270" t="s">
        <v>7</v>
      </c>
      <c r="U414" s="471"/>
      <c r="V414" s="471"/>
      <c r="W414" s="471" t="s">
        <v>866</v>
      </c>
      <c r="X414" s="471">
        <v>1</v>
      </c>
      <c r="Y414" s="206"/>
      <c r="Z414" s="206"/>
    </row>
    <row r="415" spans="1:26">
      <c r="A415" s="406">
        <v>412</v>
      </c>
      <c r="B415" s="613" t="s">
        <v>5739</v>
      </c>
      <c r="C415" s="288" t="s">
        <v>867</v>
      </c>
      <c r="D415" s="414" t="s">
        <v>4722</v>
      </c>
      <c r="E415" s="407" t="s">
        <v>8565</v>
      </c>
      <c r="F415" s="483" t="s">
        <v>5737</v>
      </c>
      <c r="G415" s="411" t="s">
        <v>5740</v>
      </c>
      <c r="H415" s="411"/>
      <c r="I415" s="411"/>
      <c r="J415" s="411"/>
      <c r="K415" s="411"/>
      <c r="L415" s="608">
        <v>10365.633858267718</v>
      </c>
      <c r="M415" s="409">
        <v>7264.8267716535438</v>
      </c>
      <c r="N415" s="409">
        <v>17630.460629921261</v>
      </c>
      <c r="O415" s="410" t="s">
        <v>7805</v>
      </c>
      <c r="P415" s="406">
        <v>412</v>
      </c>
      <c r="Q415" s="470" t="s">
        <v>867</v>
      </c>
      <c r="R415" s="460" t="s">
        <v>868</v>
      </c>
      <c r="S415" s="270" t="s">
        <v>7</v>
      </c>
      <c r="U415" s="471"/>
      <c r="V415" s="471"/>
      <c r="W415" s="471" t="s">
        <v>868</v>
      </c>
      <c r="X415" s="471">
        <v>1</v>
      </c>
      <c r="Y415" s="206"/>
      <c r="Z415" s="206"/>
    </row>
    <row r="416" spans="1:26">
      <c r="A416" s="406">
        <v>413</v>
      </c>
      <c r="B416" s="613" t="s">
        <v>5929</v>
      </c>
      <c r="C416" s="288" t="s">
        <v>869</v>
      </c>
      <c r="D416" s="414" t="s">
        <v>4679</v>
      </c>
      <c r="E416" s="407" t="s">
        <v>8818</v>
      </c>
      <c r="F416" s="483"/>
      <c r="G416" s="483"/>
      <c r="H416" s="483"/>
      <c r="I416" s="483"/>
      <c r="J416" s="483"/>
      <c r="K416" s="483"/>
      <c r="L416" s="608" t="s">
        <v>4884</v>
      </c>
      <c r="M416" s="409">
        <v>4498.9330708661419</v>
      </c>
      <c r="N416" s="409">
        <v>4498.9330708661419</v>
      </c>
      <c r="O416" s="410" t="s">
        <v>7572</v>
      </c>
      <c r="P416" s="406">
        <v>413</v>
      </c>
      <c r="Q416" s="470" t="s">
        <v>869</v>
      </c>
      <c r="R416" s="460" t="s">
        <v>870</v>
      </c>
      <c r="S416" s="270" t="s">
        <v>7</v>
      </c>
      <c r="U416" s="471"/>
      <c r="V416" s="471"/>
      <c r="W416" s="471" t="s">
        <v>870</v>
      </c>
      <c r="X416" s="471">
        <v>1</v>
      </c>
      <c r="Y416" s="206"/>
      <c r="Z416" s="206"/>
    </row>
    <row r="417" spans="1:26">
      <c r="A417" s="406">
        <v>414</v>
      </c>
      <c r="B417" s="613" t="s">
        <v>5930</v>
      </c>
      <c r="C417" s="288" t="s">
        <v>871</v>
      </c>
      <c r="D417" s="414" t="s">
        <v>4828</v>
      </c>
      <c r="E417" s="407" t="s">
        <v>8819</v>
      </c>
      <c r="F417" s="483"/>
      <c r="G417" s="483"/>
      <c r="H417" s="483"/>
      <c r="I417" s="483"/>
      <c r="J417" s="483"/>
      <c r="K417" s="483"/>
      <c r="L417" s="608" t="s">
        <v>4884</v>
      </c>
      <c r="M417" s="409">
        <v>4478.0314960629921</v>
      </c>
      <c r="N417" s="409">
        <v>4478.0314960629921</v>
      </c>
      <c r="O417" s="410" t="s">
        <v>7575</v>
      </c>
      <c r="P417" s="406">
        <v>414</v>
      </c>
      <c r="Q417" s="470" t="s">
        <v>871</v>
      </c>
      <c r="R417" s="460" t="s">
        <v>872</v>
      </c>
      <c r="S417" s="270" t="s">
        <v>7</v>
      </c>
      <c r="U417" s="471"/>
      <c r="V417" s="471"/>
      <c r="W417" s="471" t="s">
        <v>872</v>
      </c>
      <c r="X417" s="471">
        <v>1</v>
      </c>
      <c r="Y417" s="206"/>
      <c r="Z417" s="206"/>
    </row>
    <row r="418" spans="1:26">
      <c r="A418" s="406">
        <v>415</v>
      </c>
      <c r="B418" s="613" t="s">
        <v>5931</v>
      </c>
      <c r="C418" s="288" t="s">
        <v>873</v>
      </c>
      <c r="D418" s="414" t="s">
        <v>4685</v>
      </c>
      <c r="E418" s="407" t="s">
        <v>8820</v>
      </c>
      <c r="F418" s="483"/>
      <c r="G418" s="483"/>
      <c r="H418" s="483"/>
      <c r="I418" s="483"/>
      <c r="J418" s="483"/>
      <c r="K418" s="483"/>
      <c r="L418" s="608" t="s">
        <v>4884</v>
      </c>
      <c r="M418" s="409">
        <v>4567.2874015748039</v>
      </c>
      <c r="N418" s="409">
        <v>4567.2874015748039</v>
      </c>
      <c r="O418" s="410" t="s">
        <v>7576</v>
      </c>
      <c r="P418" s="406">
        <v>415</v>
      </c>
      <c r="Q418" s="470" t="s">
        <v>873</v>
      </c>
      <c r="R418" s="460" t="s">
        <v>874</v>
      </c>
      <c r="S418" s="270" t="s">
        <v>7</v>
      </c>
      <c r="U418" s="471"/>
      <c r="V418" s="471"/>
      <c r="W418" s="471" t="s">
        <v>874</v>
      </c>
      <c r="X418" s="471">
        <v>1</v>
      </c>
      <c r="Y418" s="206"/>
      <c r="Z418" s="206"/>
    </row>
    <row r="419" spans="1:26">
      <c r="A419" s="406">
        <v>416</v>
      </c>
      <c r="B419" s="613" t="s">
        <v>3329</v>
      </c>
      <c r="C419" s="288" t="s">
        <v>875</v>
      </c>
      <c r="D419" s="414" t="s">
        <v>4726</v>
      </c>
      <c r="E419" s="407" t="s">
        <v>8821</v>
      </c>
      <c r="F419" s="483"/>
      <c r="G419" s="483"/>
      <c r="H419" s="483"/>
      <c r="I419" s="483"/>
      <c r="J419" s="483"/>
      <c r="K419" s="483"/>
      <c r="L419" s="608" t="s">
        <v>4884</v>
      </c>
      <c r="M419" s="409">
        <v>5350.5472440944877</v>
      </c>
      <c r="N419" s="409">
        <v>5350.5472440944877</v>
      </c>
      <c r="O419" s="410" t="s">
        <v>7574</v>
      </c>
      <c r="P419" s="406">
        <v>416</v>
      </c>
      <c r="Q419" s="470" t="s">
        <v>875</v>
      </c>
      <c r="R419" s="460" t="s">
        <v>876</v>
      </c>
      <c r="S419" s="270" t="s">
        <v>7</v>
      </c>
      <c r="U419" s="471"/>
      <c r="V419" s="471"/>
      <c r="W419" s="471" t="s">
        <v>876</v>
      </c>
      <c r="X419" s="471">
        <v>1</v>
      </c>
      <c r="Y419" s="206"/>
      <c r="Z419" s="206"/>
    </row>
    <row r="420" spans="1:26">
      <c r="A420" s="406">
        <v>417</v>
      </c>
      <c r="B420" s="613" t="s">
        <v>5932</v>
      </c>
      <c r="C420" s="288" t="s">
        <v>877</v>
      </c>
      <c r="D420" s="414" t="s">
        <v>4835</v>
      </c>
      <c r="E420" s="407" t="s">
        <v>8822</v>
      </c>
      <c r="F420" s="483"/>
      <c r="G420" s="483"/>
      <c r="H420" s="483"/>
      <c r="I420" s="483"/>
      <c r="J420" s="483"/>
      <c r="K420" s="483"/>
      <c r="L420" s="608" t="s">
        <v>4884</v>
      </c>
      <c r="M420" s="409">
        <v>5193.0078740157478</v>
      </c>
      <c r="N420" s="409">
        <v>5193.0078740157478</v>
      </c>
      <c r="O420" s="410" t="s">
        <v>7575</v>
      </c>
      <c r="P420" s="406">
        <v>417</v>
      </c>
      <c r="Q420" s="470" t="s">
        <v>877</v>
      </c>
      <c r="R420" s="460" t="s">
        <v>878</v>
      </c>
      <c r="S420" s="270" t="s">
        <v>7</v>
      </c>
      <c r="U420" s="471"/>
      <c r="V420" s="471"/>
      <c r="W420" s="471" t="s">
        <v>878</v>
      </c>
      <c r="X420" s="471">
        <v>1</v>
      </c>
      <c r="Y420" s="206"/>
      <c r="Z420" s="206"/>
    </row>
    <row r="421" spans="1:26">
      <c r="A421" s="406">
        <v>418</v>
      </c>
      <c r="B421" s="613" t="s">
        <v>5933</v>
      </c>
      <c r="C421" s="288" t="s">
        <v>879</v>
      </c>
      <c r="D421" s="414" t="s">
        <v>4836</v>
      </c>
      <c r="E421" s="407" t="s">
        <v>8823</v>
      </c>
      <c r="F421" s="483"/>
      <c r="G421" s="483"/>
      <c r="H421" s="483"/>
      <c r="I421" s="483"/>
      <c r="J421" s="483"/>
      <c r="K421" s="483"/>
      <c r="L421" s="608" t="s">
        <v>4884</v>
      </c>
      <c r="M421" s="409">
        <v>5111.2755905511813</v>
      </c>
      <c r="N421" s="409">
        <v>5111.2755905511813</v>
      </c>
      <c r="O421" s="410" t="s">
        <v>7575</v>
      </c>
      <c r="P421" s="406">
        <v>418</v>
      </c>
      <c r="Q421" s="470" t="s">
        <v>879</v>
      </c>
      <c r="R421" s="460" t="s">
        <v>880</v>
      </c>
      <c r="S421" s="270" t="s">
        <v>7</v>
      </c>
      <c r="U421" s="471"/>
      <c r="V421" s="471"/>
      <c r="W421" s="471" t="s">
        <v>880</v>
      </c>
      <c r="X421" s="471">
        <v>1</v>
      </c>
      <c r="Y421" s="206"/>
      <c r="Z421" s="206"/>
    </row>
    <row r="422" spans="1:26">
      <c r="A422" s="406">
        <v>419</v>
      </c>
      <c r="B422" s="613" t="s">
        <v>5934</v>
      </c>
      <c r="C422" s="288" t="s">
        <v>881</v>
      </c>
      <c r="D422" s="414" t="s">
        <v>4643</v>
      </c>
      <c r="E422" s="407" t="s">
        <v>8824</v>
      </c>
      <c r="F422" s="483"/>
      <c r="G422" s="483"/>
      <c r="H422" s="483"/>
      <c r="I422" s="483"/>
      <c r="J422" s="483"/>
      <c r="K422" s="483"/>
      <c r="L422" s="608" t="s">
        <v>4884</v>
      </c>
      <c r="M422" s="409">
        <v>4095.4015748031497</v>
      </c>
      <c r="N422" s="409">
        <v>4095.4015748031497</v>
      </c>
      <c r="O422" s="410" t="s">
        <v>7576</v>
      </c>
      <c r="P422" s="406">
        <v>419</v>
      </c>
      <c r="Q422" s="470" t="s">
        <v>881</v>
      </c>
      <c r="R422" s="460" t="s">
        <v>882</v>
      </c>
      <c r="S422" s="270" t="s">
        <v>7</v>
      </c>
      <c r="U422" s="471"/>
      <c r="V422" s="471"/>
      <c r="W422" s="471" t="s">
        <v>882</v>
      </c>
      <c r="X422" s="471">
        <v>1</v>
      </c>
      <c r="Y422" s="206"/>
      <c r="Z422" s="206"/>
    </row>
    <row r="423" spans="1:26">
      <c r="A423" s="406">
        <v>420</v>
      </c>
      <c r="B423" s="613" t="s">
        <v>5935</v>
      </c>
      <c r="C423" s="288" t="s">
        <v>883</v>
      </c>
      <c r="D423" s="414" t="s">
        <v>4646</v>
      </c>
      <c r="E423" s="407" t="s">
        <v>8825</v>
      </c>
      <c r="F423" s="483"/>
      <c r="G423" s="483"/>
      <c r="H423" s="483"/>
      <c r="I423" s="483"/>
      <c r="J423" s="483"/>
      <c r="K423" s="483"/>
      <c r="L423" s="608" t="s">
        <v>4884</v>
      </c>
      <c r="M423" s="409">
        <v>4056.2007874015753</v>
      </c>
      <c r="N423" s="409">
        <v>4056.2007874015753</v>
      </c>
      <c r="O423" s="410" t="s">
        <v>7576</v>
      </c>
      <c r="P423" s="406">
        <v>420</v>
      </c>
      <c r="Q423" s="470" t="s">
        <v>883</v>
      </c>
      <c r="R423" s="460" t="s">
        <v>884</v>
      </c>
      <c r="S423" s="270" t="s">
        <v>7</v>
      </c>
      <c r="U423" s="471"/>
      <c r="V423" s="471"/>
      <c r="W423" s="471" t="s">
        <v>884</v>
      </c>
      <c r="X423" s="471">
        <v>1</v>
      </c>
      <c r="Y423" s="206"/>
      <c r="Z423" s="206"/>
    </row>
    <row r="424" spans="1:26">
      <c r="A424" s="406">
        <v>421</v>
      </c>
      <c r="B424" s="613" t="s">
        <v>5936</v>
      </c>
      <c r="C424" s="288" t="s">
        <v>885</v>
      </c>
      <c r="D424" s="414" t="s">
        <v>4727</v>
      </c>
      <c r="E424" s="407" t="s">
        <v>8826</v>
      </c>
      <c r="F424" s="483"/>
      <c r="G424" s="483"/>
      <c r="H424" s="483"/>
      <c r="I424" s="483"/>
      <c r="J424" s="483"/>
      <c r="K424" s="483"/>
      <c r="L424" s="608" t="s">
        <v>4884</v>
      </c>
      <c r="M424" s="409">
        <v>4591.4566929133862</v>
      </c>
      <c r="N424" s="409">
        <v>4591.4566929133862</v>
      </c>
      <c r="O424" s="410" t="s">
        <v>7573</v>
      </c>
      <c r="P424" s="406">
        <v>421</v>
      </c>
      <c r="Q424" s="470" t="s">
        <v>885</v>
      </c>
      <c r="R424" s="460" t="s">
        <v>886</v>
      </c>
      <c r="S424" s="270" t="s">
        <v>7</v>
      </c>
      <c r="U424" s="471"/>
      <c r="V424" s="471"/>
      <c r="W424" s="471" t="s">
        <v>886</v>
      </c>
      <c r="X424" s="471">
        <v>1</v>
      </c>
      <c r="Y424" s="206"/>
      <c r="Z424" s="206"/>
    </row>
    <row r="425" spans="1:26">
      <c r="A425" s="406">
        <v>422</v>
      </c>
      <c r="B425" s="613" t="s">
        <v>5937</v>
      </c>
      <c r="C425" s="288" t="s">
        <v>887</v>
      </c>
      <c r="D425" s="414" t="s">
        <v>4737</v>
      </c>
      <c r="E425" s="407" t="s">
        <v>8827</v>
      </c>
      <c r="F425" s="483"/>
      <c r="G425" s="483"/>
      <c r="H425" s="483"/>
      <c r="I425" s="483"/>
      <c r="J425" s="483"/>
      <c r="K425" s="483"/>
      <c r="L425" s="608" t="s">
        <v>4884</v>
      </c>
      <c r="M425" s="409">
        <v>4171.8661417322837</v>
      </c>
      <c r="N425" s="409">
        <v>4171.8661417322837</v>
      </c>
      <c r="O425" s="410" t="s">
        <v>7569</v>
      </c>
      <c r="P425" s="406">
        <v>422</v>
      </c>
      <c r="Q425" s="470" t="s">
        <v>887</v>
      </c>
      <c r="R425" s="460" t="s">
        <v>888</v>
      </c>
      <c r="S425" s="270" t="s">
        <v>7</v>
      </c>
      <c r="U425" s="471"/>
      <c r="V425" s="471"/>
      <c r="W425" s="471" t="s">
        <v>888</v>
      </c>
      <c r="X425" s="471">
        <v>1</v>
      </c>
      <c r="Y425" s="206"/>
      <c r="Z425" s="206"/>
    </row>
    <row r="426" spans="1:26">
      <c r="A426" s="406">
        <v>423</v>
      </c>
      <c r="B426" s="613" t="s">
        <v>5938</v>
      </c>
      <c r="C426" s="288" t="s">
        <v>889</v>
      </c>
      <c r="D426" s="414" t="s">
        <v>4833</v>
      </c>
      <c r="E426" s="407" t="s">
        <v>8828</v>
      </c>
      <c r="F426" s="483"/>
      <c r="G426" s="483"/>
      <c r="H426" s="483"/>
      <c r="I426" s="483"/>
      <c r="J426" s="483"/>
      <c r="K426" s="483"/>
      <c r="L426" s="608" t="s">
        <v>4884</v>
      </c>
      <c r="M426" s="409">
        <v>4952.0551181102364</v>
      </c>
      <c r="N426" s="409">
        <v>4952.0551181102364</v>
      </c>
      <c r="O426" s="410" t="s">
        <v>7575</v>
      </c>
      <c r="P426" s="406">
        <v>423</v>
      </c>
      <c r="Q426" s="470" t="s">
        <v>889</v>
      </c>
      <c r="R426" s="460" t="s">
        <v>890</v>
      </c>
      <c r="S426" s="270" t="s">
        <v>7</v>
      </c>
      <c r="U426" s="471"/>
      <c r="V426" s="471"/>
      <c r="W426" s="471" t="s">
        <v>890</v>
      </c>
      <c r="X426" s="471">
        <v>1</v>
      </c>
      <c r="Y426" s="206"/>
      <c r="Z426" s="206"/>
    </row>
    <row r="427" spans="1:26">
      <c r="A427" s="406">
        <v>424</v>
      </c>
      <c r="B427" s="613" t="s">
        <v>3330</v>
      </c>
      <c r="C427" s="288" t="s">
        <v>891</v>
      </c>
      <c r="D427" s="414" t="s">
        <v>4799</v>
      </c>
      <c r="E427" s="407" t="s">
        <v>8829</v>
      </c>
      <c r="F427" s="483"/>
      <c r="G427" s="483"/>
      <c r="H427" s="483"/>
      <c r="I427" s="483"/>
      <c r="J427" s="483"/>
      <c r="K427" s="483"/>
      <c r="L427" s="608" t="s">
        <v>4884</v>
      </c>
      <c r="M427" s="409">
        <v>6450.5196850393704</v>
      </c>
      <c r="N427" s="409">
        <v>6450.5196850393704</v>
      </c>
      <c r="O427" s="410" t="s">
        <v>7574</v>
      </c>
      <c r="P427" s="406">
        <v>424</v>
      </c>
      <c r="Q427" s="470" t="s">
        <v>891</v>
      </c>
      <c r="R427" s="460" t="s">
        <v>892</v>
      </c>
      <c r="S427" s="270" t="s">
        <v>7</v>
      </c>
      <c r="U427" s="471"/>
      <c r="V427" s="471"/>
      <c r="W427" s="471" t="s">
        <v>892</v>
      </c>
      <c r="X427" s="471">
        <v>1</v>
      </c>
      <c r="Y427" s="206"/>
      <c r="Z427" s="206"/>
    </row>
    <row r="428" spans="1:26">
      <c r="A428" s="406">
        <v>425</v>
      </c>
      <c r="B428" s="613" t="s">
        <v>3331</v>
      </c>
      <c r="C428" s="288" t="s">
        <v>893</v>
      </c>
      <c r="D428" s="414" t="s">
        <v>4822</v>
      </c>
      <c r="E428" s="407" t="s">
        <v>8830</v>
      </c>
      <c r="F428" s="483"/>
      <c r="G428" s="483"/>
      <c r="H428" s="483"/>
      <c r="I428" s="483"/>
      <c r="J428" s="483"/>
      <c r="K428" s="483"/>
      <c r="L428" s="608" t="s">
        <v>4884</v>
      </c>
      <c r="M428" s="409">
        <v>5275.6141732283468</v>
      </c>
      <c r="N428" s="409">
        <v>5275.6141732283468</v>
      </c>
      <c r="O428" s="410" t="s">
        <v>7569</v>
      </c>
      <c r="P428" s="406">
        <v>425</v>
      </c>
      <c r="Q428" s="470" t="s">
        <v>893</v>
      </c>
      <c r="R428" s="460" t="s">
        <v>894</v>
      </c>
      <c r="S428" s="270" t="s">
        <v>7</v>
      </c>
      <c r="U428" s="471"/>
      <c r="V428" s="471"/>
      <c r="W428" s="471" t="s">
        <v>894</v>
      </c>
      <c r="X428" s="471">
        <v>1</v>
      </c>
      <c r="Y428" s="206"/>
      <c r="Z428" s="206"/>
    </row>
    <row r="429" spans="1:26">
      <c r="A429" s="406">
        <v>426</v>
      </c>
      <c r="B429" s="613" t="s">
        <v>5939</v>
      </c>
      <c r="C429" s="288" t="s">
        <v>895</v>
      </c>
      <c r="D429" s="414" t="s">
        <v>4723</v>
      </c>
      <c r="E429" s="407" t="s">
        <v>8831</v>
      </c>
      <c r="F429" s="483"/>
      <c r="G429" s="483"/>
      <c r="H429" s="483"/>
      <c r="I429" s="483"/>
      <c r="J429" s="483"/>
      <c r="K429" s="483"/>
      <c r="L429" s="608" t="s">
        <v>4884</v>
      </c>
      <c r="M429" s="409">
        <v>5216.0629921259842</v>
      </c>
      <c r="N429" s="409">
        <v>5216.0629921259842</v>
      </c>
      <c r="O429" s="410" t="s">
        <v>7572</v>
      </c>
      <c r="P429" s="406">
        <v>426</v>
      </c>
      <c r="Q429" s="470" t="s">
        <v>895</v>
      </c>
      <c r="R429" s="460" t="s">
        <v>896</v>
      </c>
      <c r="S429" s="270" t="s">
        <v>7</v>
      </c>
      <c r="U429" s="471"/>
      <c r="V429" s="471"/>
      <c r="W429" s="471" t="s">
        <v>896</v>
      </c>
      <c r="X429" s="471">
        <v>1</v>
      </c>
      <c r="Y429" s="206"/>
      <c r="Z429" s="206"/>
    </row>
    <row r="430" spans="1:26">
      <c r="A430" s="406">
        <v>427</v>
      </c>
      <c r="B430" s="613" t="s">
        <v>5940</v>
      </c>
      <c r="C430" s="288" t="s">
        <v>897</v>
      </c>
      <c r="D430" s="414" t="s">
        <v>4753</v>
      </c>
      <c r="E430" s="407" t="s">
        <v>8832</v>
      </c>
      <c r="F430" s="483"/>
      <c r="G430" s="483"/>
      <c r="H430" s="483"/>
      <c r="I430" s="483"/>
      <c r="J430" s="483"/>
      <c r="K430" s="483"/>
      <c r="L430" s="608" t="s">
        <v>4884</v>
      </c>
      <c r="M430" s="409">
        <v>5813.1653543307093</v>
      </c>
      <c r="N430" s="409">
        <v>5813.1653543307093</v>
      </c>
      <c r="O430" s="410" t="s">
        <v>7573</v>
      </c>
      <c r="P430" s="406">
        <v>427</v>
      </c>
      <c r="Q430" s="470" t="s">
        <v>897</v>
      </c>
      <c r="R430" s="460" t="s">
        <v>898</v>
      </c>
      <c r="S430" s="270" t="s">
        <v>7</v>
      </c>
      <c r="U430" s="471"/>
      <c r="V430" s="471"/>
      <c r="W430" s="471" t="s">
        <v>898</v>
      </c>
      <c r="X430" s="471">
        <v>1</v>
      </c>
      <c r="Y430" s="206"/>
      <c r="Z430" s="206"/>
    </row>
    <row r="431" spans="1:26">
      <c r="A431" s="406">
        <v>428</v>
      </c>
      <c r="B431" s="613" t="s">
        <v>5941</v>
      </c>
      <c r="C431" s="288" t="s">
        <v>899</v>
      </c>
      <c r="D431" s="414" t="s">
        <v>4814</v>
      </c>
      <c r="E431" s="407" t="s">
        <v>8833</v>
      </c>
      <c r="F431" s="483"/>
      <c r="G431" s="483"/>
      <c r="H431" s="483"/>
      <c r="I431" s="483"/>
      <c r="J431" s="483"/>
      <c r="K431" s="483"/>
      <c r="L431" s="608" t="s">
        <v>4884</v>
      </c>
      <c r="M431" s="409">
        <v>4759.8976377952758</v>
      </c>
      <c r="N431" s="409">
        <v>4759.8976377952758</v>
      </c>
      <c r="O431" s="410" t="s">
        <v>7575</v>
      </c>
      <c r="P431" s="406">
        <v>428</v>
      </c>
      <c r="Q431" s="470" t="s">
        <v>899</v>
      </c>
      <c r="R431" s="460" t="s">
        <v>900</v>
      </c>
      <c r="S431" s="270" t="s">
        <v>7</v>
      </c>
      <c r="U431" s="471"/>
      <c r="V431" s="471"/>
      <c r="W431" s="471" t="s">
        <v>900</v>
      </c>
      <c r="X431" s="471">
        <v>1</v>
      </c>
      <c r="Y431" s="206"/>
      <c r="Z431" s="206"/>
    </row>
    <row r="432" spans="1:26">
      <c r="A432" s="406">
        <v>429</v>
      </c>
      <c r="B432" s="613" t="s">
        <v>5942</v>
      </c>
      <c r="C432" s="288" t="s">
        <v>901</v>
      </c>
      <c r="D432" s="414" t="s">
        <v>4767</v>
      </c>
      <c r="E432" s="407" t="s">
        <v>8834</v>
      </c>
      <c r="F432" s="483"/>
      <c r="G432" s="483"/>
      <c r="H432" s="483"/>
      <c r="I432" s="483"/>
      <c r="J432" s="483"/>
      <c r="K432" s="483"/>
      <c r="L432" s="608" t="s">
        <v>4884</v>
      </c>
      <c r="M432" s="409">
        <v>4640.6181102362207</v>
      </c>
      <c r="N432" s="409">
        <v>4640.6181102362207</v>
      </c>
      <c r="O432" s="410" t="s">
        <v>7569</v>
      </c>
      <c r="P432" s="406">
        <v>429</v>
      </c>
      <c r="Q432" s="470" t="s">
        <v>901</v>
      </c>
      <c r="R432" s="460" t="s">
        <v>902</v>
      </c>
      <c r="S432" s="270" t="s">
        <v>7</v>
      </c>
      <c r="U432" s="471"/>
      <c r="V432" s="471"/>
      <c r="W432" s="471" t="s">
        <v>902</v>
      </c>
      <c r="X432" s="471">
        <v>1</v>
      </c>
      <c r="Y432" s="206"/>
      <c r="Z432" s="206"/>
    </row>
    <row r="433" spans="1:26">
      <c r="A433" s="406">
        <v>430</v>
      </c>
      <c r="B433" s="613" t="s">
        <v>5943</v>
      </c>
      <c r="C433" s="288" t="s">
        <v>903</v>
      </c>
      <c r="D433" s="414" t="s">
        <v>4762</v>
      </c>
      <c r="E433" s="407" t="s">
        <v>8835</v>
      </c>
      <c r="F433" s="483"/>
      <c r="G433" s="483"/>
      <c r="H433" s="483"/>
      <c r="I433" s="483"/>
      <c r="J433" s="483"/>
      <c r="K433" s="483"/>
      <c r="L433" s="608" t="s">
        <v>4884</v>
      </c>
      <c r="M433" s="409">
        <v>4987.251968503937</v>
      </c>
      <c r="N433" s="409">
        <v>4987.251968503937</v>
      </c>
      <c r="O433" s="410" t="s">
        <v>7576</v>
      </c>
      <c r="P433" s="406">
        <v>430</v>
      </c>
      <c r="Q433" s="470" t="s">
        <v>903</v>
      </c>
      <c r="R433" s="460" t="s">
        <v>904</v>
      </c>
      <c r="S433" s="270" t="s">
        <v>7</v>
      </c>
      <c r="U433" s="471"/>
      <c r="V433" s="471"/>
      <c r="W433" s="471" t="s">
        <v>904</v>
      </c>
      <c r="X433" s="471">
        <v>1</v>
      </c>
      <c r="Y433" s="206"/>
      <c r="Z433" s="206"/>
    </row>
    <row r="434" spans="1:26">
      <c r="A434" s="406">
        <v>431</v>
      </c>
      <c r="B434" s="613" t="s">
        <v>5944</v>
      </c>
      <c r="C434" s="288" t="s">
        <v>905</v>
      </c>
      <c r="D434" s="414" t="s">
        <v>4834</v>
      </c>
      <c r="E434" s="407" t="s">
        <v>8836</v>
      </c>
      <c r="F434" s="483"/>
      <c r="G434" s="483"/>
      <c r="H434" s="483"/>
      <c r="I434" s="483"/>
      <c r="J434" s="483"/>
      <c r="K434" s="483"/>
      <c r="L434" s="608" t="s">
        <v>4884</v>
      </c>
      <c r="M434" s="409">
        <v>5753.5078740157487</v>
      </c>
      <c r="N434" s="409">
        <v>5753.5078740157487</v>
      </c>
      <c r="O434" s="410" t="s">
        <v>7574</v>
      </c>
      <c r="P434" s="406">
        <v>431</v>
      </c>
      <c r="Q434" s="470" t="s">
        <v>905</v>
      </c>
      <c r="R434" s="460" t="s">
        <v>906</v>
      </c>
      <c r="S434" s="270" t="s">
        <v>7</v>
      </c>
      <c r="U434" s="471"/>
      <c r="V434" s="471"/>
      <c r="W434" s="471" t="s">
        <v>906</v>
      </c>
      <c r="X434" s="471">
        <v>1</v>
      </c>
      <c r="Y434" s="206"/>
      <c r="Z434" s="206"/>
    </row>
    <row r="435" spans="1:26">
      <c r="A435" s="406">
        <v>432</v>
      </c>
      <c r="B435" s="613" t="s">
        <v>5945</v>
      </c>
      <c r="C435" s="288" t="s">
        <v>907</v>
      </c>
      <c r="D435" s="414" t="s">
        <v>4800</v>
      </c>
      <c r="E435" s="407" t="s">
        <v>8837</v>
      </c>
      <c r="F435" s="483"/>
      <c r="G435" s="483"/>
      <c r="H435" s="483"/>
      <c r="I435" s="483"/>
      <c r="J435" s="483"/>
      <c r="K435" s="483"/>
      <c r="L435" s="608" t="s">
        <v>4884</v>
      </c>
      <c r="M435" s="409">
        <v>6484.5</v>
      </c>
      <c r="N435" s="409">
        <v>6484.5</v>
      </c>
      <c r="O435" s="410" t="s">
        <v>7574</v>
      </c>
      <c r="P435" s="406">
        <v>432</v>
      </c>
      <c r="Q435" s="470" t="s">
        <v>907</v>
      </c>
      <c r="R435" s="460" t="s">
        <v>908</v>
      </c>
      <c r="S435" s="270" t="s">
        <v>7</v>
      </c>
      <c r="U435" s="471"/>
      <c r="V435" s="471"/>
      <c r="W435" s="471" t="s">
        <v>908</v>
      </c>
      <c r="X435" s="471">
        <v>1</v>
      </c>
      <c r="Y435" s="206"/>
      <c r="Z435" s="206"/>
    </row>
    <row r="436" spans="1:26">
      <c r="A436" s="406">
        <v>433</v>
      </c>
      <c r="B436" s="613" t="s">
        <v>5946</v>
      </c>
      <c r="C436" s="288" t="s">
        <v>909</v>
      </c>
      <c r="D436" s="414" t="s">
        <v>4760</v>
      </c>
      <c r="E436" s="407" t="s">
        <v>8838</v>
      </c>
      <c r="F436" s="483"/>
      <c r="G436" s="483"/>
      <c r="H436" s="483"/>
      <c r="I436" s="483"/>
      <c r="J436" s="483"/>
      <c r="K436" s="483"/>
      <c r="L436" s="608" t="s">
        <v>4884</v>
      </c>
      <c r="M436" s="409">
        <v>5838.1456692913389</v>
      </c>
      <c r="N436" s="409">
        <v>5838.1456692913389</v>
      </c>
      <c r="O436" s="410" t="s">
        <v>7573</v>
      </c>
      <c r="P436" s="406">
        <v>433</v>
      </c>
      <c r="Q436" s="470" t="s">
        <v>909</v>
      </c>
      <c r="R436" s="460" t="s">
        <v>910</v>
      </c>
      <c r="S436" s="270" t="s">
        <v>7</v>
      </c>
      <c r="U436" s="471"/>
      <c r="V436" s="471"/>
      <c r="W436" s="471" t="s">
        <v>910</v>
      </c>
      <c r="X436" s="471">
        <v>1</v>
      </c>
      <c r="Y436" s="206"/>
      <c r="Z436" s="206"/>
    </row>
    <row r="437" spans="1:26">
      <c r="A437" s="406">
        <v>434</v>
      </c>
      <c r="B437" s="613" t="s">
        <v>5947</v>
      </c>
      <c r="C437" s="288" t="s">
        <v>911</v>
      </c>
      <c r="D437" s="414" t="s">
        <v>4758</v>
      </c>
      <c r="E437" s="407" t="s">
        <v>8839</v>
      </c>
      <c r="F437" s="483"/>
      <c r="G437" s="483"/>
      <c r="H437" s="483"/>
      <c r="I437" s="483"/>
      <c r="J437" s="483"/>
      <c r="K437" s="483"/>
      <c r="L437" s="608" t="s">
        <v>4884</v>
      </c>
      <c r="M437" s="409">
        <v>5769.0826771653537</v>
      </c>
      <c r="N437" s="409">
        <v>5769.0826771653537</v>
      </c>
      <c r="O437" s="410" t="s">
        <v>7573</v>
      </c>
      <c r="P437" s="406">
        <v>434</v>
      </c>
      <c r="Q437" s="470" t="s">
        <v>911</v>
      </c>
      <c r="R437" s="460" t="s">
        <v>912</v>
      </c>
      <c r="S437" s="270" t="s">
        <v>7</v>
      </c>
      <c r="U437" s="471"/>
      <c r="V437" s="471"/>
      <c r="W437" s="471" t="s">
        <v>912</v>
      </c>
      <c r="X437" s="471">
        <v>1</v>
      </c>
      <c r="Y437" s="206"/>
      <c r="Z437" s="206"/>
    </row>
    <row r="438" spans="1:26">
      <c r="A438" s="406">
        <v>435</v>
      </c>
      <c r="B438" s="613" t="s">
        <v>5948</v>
      </c>
      <c r="C438" s="288" t="s">
        <v>913</v>
      </c>
      <c r="D438" s="414" t="s">
        <v>4797</v>
      </c>
      <c r="E438" s="407" t="s">
        <v>8840</v>
      </c>
      <c r="F438" s="483"/>
      <c r="G438" s="483"/>
      <c r="H438" s="483"/>
      <c r="I438" s="483"/>
      <c r="J438" s="483"/>
      <c r="K438" s="483"/>
      <c r="L438" s="608" t="s">
        <v>4884</v>
      </c>
      <c r="M438" s="409">
        <v>6514.3858267716532</v>
      </c>
      <c r="N438" s="409">
        <v>6514.3858267716532</v>
      </c>
      <c r="O438" s="410" t="s">
        <v>7574</v>
      </c>
      <c r="P438" s="406">
        <v>435</v>
      </c>
      <c r="Q438" s="470" t="s">
        <v>913</v>
      </c>
      <c r="R438" s="460" t="s">
        <v>914</v>
      </c>
      <c r="S438" s="270" t="s">
        <v>7</v>
      </c>
      <c r="U438" s="471"/>
      <c r="V438" s="471"/>
      <c r="W438" s="471" t="s">
        <v>914</v>
      </c>
      <c r="X438" s="471">
        <v>1</v>
      </c>
      <c r="Y438" s="206"/>
      <c r="Z438" s="206"/>
    </row>
    <row r="439" spans="1:26">
      <c r="A439" s="406">
        <v>436</v>
      </c>
      <c r="B439" s="613" t="s">
        <v>3332</v>
      </c>
      <c r="C439" s="288" t="s">
        <v>915</v>
      </c>
      <c r="D439" s="414" t="s">
        <v>4730</v>
      </c>
      <c r="E439" s="407" t="s">
        <v>8841</v>
      </c>
      <c r="F439" s="483"/>
      <c r="G439" s="483"/>
      <c r="H439" s="483"/>
      <c r="I439" s="483"/>
      <c r="J439" s="483"/>
      <c r="K439" s="483"/>
      <c r="L439" s="608" t="s">
        <v>4884</v>
      </c>
      <c r="M439" s="409">
        <v>4783.9921259842522</v>
      </c>
      <c r="N439" s="409">
        <v>4783.9921259842522</v>
      </c>
      <c r="O439" s="410" t="s">
        <v>7569</v>
      </c>
      <c r="P439" s="406">
        <v>436</v>
      </c>
      <c r="Q439" s="470" t="s">
        <v>915</v>
      </c>
      <c r="R439" s="460" t="s">
        <v>916</v>
      </c>
      <c r="S439" s="270" t="s">
        <v>7</v>
      </c>
      <c r="U439" s="471"/>
      <c r="V439" s="471"/>
      <c r="W439" s="471" t="s">
        <v>916</v>
      </c>
      <c r="X439" s="471">
        <v>1</v>
      </c>
      <c r="Y439" s="206"/>
      <c r="Z439" s="206"/>
    </row>
    <row r="440" spans="1:26">
      <c r="A440" s="406">
        <v>437</v>
      </c>
      <c r="B440" s="613" t="s">
        <v>5949</v>
      </c>
      <c r="C440" s="288" t="s">
        <v>917</v>
      </c>
      <c r="D440" s="414" t="s">
        <v>4832</v>
      </c>
      <c r="E440" s="407" t="s">
        <v>8842</v>
      </c>
      <c r="F440" s="483"/>
      <c r="G440" s="483"/>
      <c r="H440" s="483"/>
      <c r="I440" s="483"/>
      <c r="J440" s="483"/>
      <c r="K440" s="483"/>
      <c r="L440" s="608" t="s">
        <v>4884</v>
      </c>
      <c r="M440" s="409">
        <v>4885.9842519685044</v>
      </c>
      <c r="N440" s="409">
        <v>4885.9842519685044</v>
      </c>
      <c r="O440" s="410" t="s">
        <v>7576</v>
      </c>
      <c r="P440" s="406">
        <v>437</v>
      </c>
      <c r="Q440" s="470" t="s">
        <v>917</v>
      </c>
      <c r="R440" s="460" t="s">
        <v>918</v>
      </c>
      <c r="S440" s="270" t="s">
        <v>7</v>
      </c>
      <c r="U440" s="471"/>
      <c r="V440" s="471"/>
      <c r="W440" s="471" t="s">
        <v>918</v>
      </c>
      <c r="X440" s="471">
        <v>1</v>
      </c>
      <c r="Y440" s="206"/>
      <c r="Z440" s="206"/>
    </row>
    <row r="441" spans="1:26">
      <c r="A441" s="406">
        <v>438</v>
      </c>
      <c r="B441" s="613" t="s">
        <v>5950</v>
      </c>
      <c r="C441" s="288" t="s">
        <v>919</v>
      </c>
      <c r="D441" s="414" t="s">
        <v>4813</v>
      </c>
      <c r="E441" s="407" t="s">
        <v>8843</v>
      </c>
      <c r="F441" s="483"/>
      <c r="G441" s="483"/>
      <c r="H441" s="483"/>
      <c r="I441" s="483"/>
      <c r="J441" s="483"/>
      <c r="K441" s="483"/>
      <c r="L441" s="608" t="s">
        <v>4884</v>
      </c>
      <c r="M441" s="409">
        <v>4746.9842519685044</v>
      </c>
      <c r="N441" s="409">
        <v>4746.9842519685044</v>
      </c>
      <c r="O441" s="410" t="s">
        <v>7575</v>
      </c>
      <c r="P441" s="406">
        <v>438</v>
      </c>
      <c r="Q441" s="470" t="s">
        <v>919</v>
      </c>
      <c r="R441" s="460" t="s">
        <v>920</v>
      </c>
      <c r="S441" s="270" t="s">
        <v>7</v>
      </c>
      <c r="U441" s="471"/>
      <c r="V441" s="471"/>
      <c r="W441" s="471" t="s">
        <v>920</v>
      </c>
      <c r="X441" s="471">
        <v>1</v>
      </c>
      <c r="Y441" s="206"/>
      <c r="Z441" s="206"/>
    </row>
    <row r="442" spans="1:26">
      <c r="A442" s="406">
        <v>439</v>
      </c>
      <c r="B442" s="613" t="s">
        <v>5951</v>
      </c>
      <c r="C442" s="288" t="s">
        <v>921</v>
      </c>
      <c r="D442" s="414" t="s">
        <v>4682</v>
      </c>
      <c r="E442" s="407" t="s">
        <v>8844</v>
      </c>
      <c r="F442" s="483"/>
      <c r="G442" s="483"/>
      <c r="H442" s="483"/>
      <c r="I442" s="483"/>
      <c r="J442" s="483"/>
      <c r="K442" s="483"/>
      <c r="L442" s="608" t="s">
        <v>4884</v>
      </c>
      <c r="M442" s="409">
        <v>5119.5590551181103</v>
      </c>
      <c r="N442" s="409">
        <v>5119.5590551181103</v>
      </c>
      <c r="O442" s="410" t="s">
        <v>7572</v>
      </c>
      <c r="P442" s="406">
        <v>439</v>
      </c>
      <c r="Q442" s="470" t="s">
        <v>921</v>
      </c>
      <c r="R442" s="460" t="s">
        <v>922</v>
      </c>
      <c r="S442" s="270" t="s">
        <v>7</v>
      </c>
      <c r="U442" s="471"/>
      <c r="V442" s="471"/>
      <c r="W442" s="471" t="s">
        <v>922</v>
      </c>
      <c r="X442" s="471">
        <v>1</v>
      </c>
      <c r="Y442" s="206"/>
      <c r="Z442" s="206"/>
    </row>
    <row r="443" spans="1:26">
      <c r="A443" s="406">
        <v>440</v>
      </c>
      <c r="B443" s="613" t="s">
        <v>5952</v>
      </c>
      <c r="C443" s="288" t="s">
        <v>923</v>
      </c>
      <c r="D443" s="414" t="s">
        <v>4728</v>
      </c>
      <c r="E443" s="407" t="s">
        <v>8845</v>
      </c>
      <c r="F443" s="483"/>
      <c r="G443" s="483"/>
      <c r="H443" s="483"/>
      <c r="I443" s="483"/>
      <c r="J443" s="483"/>
      <c r="K443" s="483"/>
      <c r="L443" s="608" t="s">
        <v>4884</v>
      </c>
      <c r="M443" s="409">
        <v>4627.177165354331</v>
      </c>
      <c r="N443" s="409">
        <v>4627.177165354331</v>
      </c>
      <c r="O443" s="410" t="s">
        <v>7569</v>
      </c>
      <c r="P443" s="406">
        <v>440</v>
      </c>
      <c r="Q443" s="470" t="s">
        <v>923</v>
      </c>
      <c r="R443" s="460" t="s">
        <v>924</v>
      </c>
      <c r="S443" s="270" t="s">
        <v>7</v>
      </c>
      <c r="U443" s="471"/>
      <c r="V443" s="471"/>
      <c r="W443" s="471" t="s">
        <v>924</v>
      </c>
      <c r="X443" s="471">
        <v>1</v>
      </c>
      <c r="Y443" s="206"/>
      <c r="Z443" s="206"/>
    </row>
    <row r="444" spans="1:26">
      <c r="A444" s="406">
        <v>441</v>
      </c>
      <c r="B444" s="613" t="s">
        <v>3333</v>
      </c>
      <c r="C444" s="288" t="s">
        <v>925</v>
      </c>
      <c r="D444" s="414" t="s">
        <v>4831</v>
      </c>
      <c r="E444" s="407" t="s">
        <v>8846</v>
      </c>
      <c r="F444" s="483"/>
      <c r="G444" s="483"/>
      <c r="H444" s="483"/>
      <c r="I444" s="483"/>
      <c r="J444" s="483"/>
      <c r="K444" s="483"/>
      <c r="L444" s="608" t="s">
        <v>4884</v>
      </c>
      <c r="M444" s="409">
        <v>5746.4133858267714</v>
      </c>
      <c r="N444" s="409">
        <v>5746.4133858267714</v>
      </c>
      <c r="O444" s="410" t="s">
        <v>7573</v>
      </c>
      <c r="P444" s="406">
        <v>441</v>
      </c>
      <c r="Q444" s="470" t="s">
        <v>925</v>
      </c>
      <c r="R444" s="460" t="s">
        <v>926</v>
      </c>
      <c r="S444" s="270" t="s">
        <v>7</v>
      </c>
      <c r="U444" s="471"/>
      <c r="V444" s="471"/>
      <c r="W444" s="471" t="s">
        <v>926</v>
      </c>
      <c r="X444" s="471">
        <v>1</v>
      </c>
      <c r="Y444" s="206"/>
      <c r="Z444" s="206"/>
    </row>
    <row r="445" spans="1:26">
      <c r="A445" s="406">
        <v>442</v>
      </c>
      <c r="B445" s="613" t="s">
        <v>3334</v>
      </c>
      <c r="C445" s="288" t="s">
        <v>927</v>
      </c>
      <c r="D445" s="414" t="s">
        <v>4724</v>
      </c>
      <c r="E445" s="407" t="s">
        <v>8847</v>
      </c>
      <c r="F445" s="483"/>
      <c r="G445" s="483"/>
      <c r="H445" s="483"/>
      <c r="I445" s="483"/>
      <c r="J445" s="483"/>
      <c r="K445" s="483"/>
      <c r="L445" s="608" t="s">
        <v>4884</v>
      </c>
      <c r="M445" s="409">
        <v>5488.8425196850394</v>
      </c>
      <c r="N445" s="409">
        <v>5488.8425196850394</v>
      </c>
      <c r="O445" s="410" t="s">
        <v>7572</v>
      </c>
      <c r="P445" s="406">
        <v>442</v>
      </c>
      <c r="Q445" s="470" t="s">
        <v>927</v>
      </c>
      <c r="R445" s="460" t="s">
        <v>928</v>
      </c>
      <c r="S445" s="270" t="s">
        <v>7</v>
      </c>
      <c r="U445" s="471"/>
      <c r="V445" s="471"/>
      <c r="W445" s="471" t="s">
        <v>928</v>
      </c>
      <c r="X445" s="471">
        <v>1</v>
      </c>
      <c r="Y445" s="206"/>
      <c r="Z445" s="206"/>
    </row>
    <row r="446" spans="1:26">
      <c r="A446" s="406">
        <v>443</v>
      </c>
      <c r="B446" s="613" t="s">
        <v>3335</v>
      </c>
      <c r="C446" s="288" t="s">
        <v>929</v>
      </c>
      <c r="D446" s="414" t="s">
        <v>4875</v>
      </c>
      <c r="E446" s="407" t="s">
        <v>8848</v>
      </c>
      <c r="F446" s="483"/>
      <c r="G446" s="483"/>
      <c r="H446" s="483"/>
      <c r="I446" s="483"/>
      <c r="J446" s="483"/>
      <c r="K446" s="483"/>
      <c r="L446" s="608" t="s">
        <v>4884</v>
      </c>
      <c r="M446" s="409">
        <v>5572.7283464566935</v>
      </c>
      <c r="N446" s="409">
        <v>5572.7283464566935</v>
      </c>
      <c r="O446" s="410" t="s">
        <v>7576</v>
      </c>
      <c r="P446" s="406">
        <v>443</v>
      </c>
      <c r="Q446" s="470" t="s">
        <v>929</v>
      </c>
      <c r="R446" s="460" t="s">
        <v>930</v>
      </c>
      <c r="S446" s="270" t="s">
        <v>7</v>
      </c>
      <c r="U446" s="471"/>
      <c r="V446" s="471"/>
      <c r="W446" s="471" t="s">
        <v>930</v>
      </c>
      <c r="X446" s="471">
        <v>1</v>
      </c>
      <c r="Y446" s="206"/>
      <c r="Z446" s="206"/>
    </row>
    <row r="447" spans="1:26">
      <c r="A447" s="406">
        <v>444</v>
      </c>
      <c r="B447" s="613" t="s">
        <v>3336</v>
      </c>
      <c r="C447" s="288" t="s">
        <v>931</v>
      </c>
      <c r="D447" s="414" t="s">
        <v>4830</v>
      </c>
      <c r="E447" s="407" t="s">
        <v>8849</v>
      </c>
      <c r="F447" s="483"/>
      <c r="G447" s="483"/>
      <c r="H447" s="483"/>
      <c r="I447" s="483"/>
      <c r="J447" s="483"/>
      <c r="K447" s="483"/>
      <c r="L447" s="608" t="s">
        <v>4884</v>
      </c>
      <c r="M447" s="409">
        <v>5089.4015748031497</v>
      </c>
      <c r="N447" s="409">
        <v>5089.4015748031497</v>
      </c>
      <c r="O447" s="410" t="s">
        <v>7576</v>
      </c>
      <c r="P447" s="406">
        <v>444</v>
      </c>
      <c r="Q447" s="470" t="s">
        <v>931</v>
      </c>
      <c r="R447" s="460" t="s">
        <v>932</v>
      </c>
      <c r="S447" s="270" t="s">
        <v>7</v>
      </c>
      <c r="U447" s="471"/>
      <c r="V447" s="471"/>
      <c r="W447" s="471" t="s">
        <v>932</v>
      </c>
      <c r="X447" s="471">
        <v>1</v>
      </c>
      <c r="Y447" s="206"/>
      <c r="Z447" s="206"/>
    </row>
    <row r="448" spans="1:26">
      <c r="A448" s="406">
        <v>445</v>
      </c>
      <c r="B448" s="613" t="s">
        <v>3337</v>
      </c>
      <c r="C448" s="288" t="s">
        <v>933</v>
      </c>
      <c r="D448" s="414" t="s">
        <v>4772</v>
      </c>
      <c r="E448" s="407" t="s">
        <v>8850</v>
      </c>
      <c r="F448" s="483"/>
      <c r="G448" s="483"/>
      <c r="H448" s="483"/>
      <c r="I448" s="483"/>
      <c r="J448" s="483"/>
      <c r="K448" s="483"/>
      <c r="L448" s="608" t="s">
        <v>4884</v>
      </c>
      <c r="M448" s="409">
        <v>4895.7204724409448</v>
      </c>
      <c r="N448" s="409">
        <v>4895.7204724409448</v>
      </c>
      <c r="O448" s="410" t="s">
        <v>7569</v>
      </c>
      <c r="P448" s="406">
        <v>445</v>
      </c>
      <c r="Q448" s="470" t="s">
        <v>933</v>
      </c>
      <c r="R448" s="460" t="s">
        <v>934</v>
      </c>
      <c r="S448" s="270" t="s">
        <v>7</v>
      </c>
      <c r="U448" s="471"/>
      <c r="V448" s="471"/>
      <c r="W448" s="471" t="s">
        <v>934</v>
      </c>
      <c r="X448" s="471">
        <v>1</v>
      </c>
      <c r="Y448" s="206"/>
      <c r="Z448" s="206"/>
    </row>
    <row r="449" spans="1:26">
      <c r="A449" s="406">
        <v>446</v>
      </c>
      <c r="B449" s="613" t="s">
        <v>5953</v>
      </c>
      <c r="C449" s="288" t="s">
        <v>935</v>
      </c>
      <c r="D449" s="414" t="s">
        <v>4769</v>
      </c>
      <c r="E449" s="407" t="s">
        <v>8851</v>
      </c>
      <c r="F449" s="483"/>
      <c r="G449" s="483"/>
      <c r="H449" s="483"/>
      <c r="I449" s="483"/>
      <c r="J449" s="483"/>
      <c r="K449" s="483"/>
      <c r="L449" s="608" t="s">
        <v>4884</v>
      </c>
      <c r="M449" s="409">
        <v>4456.7244094488187</v>
      </c>
      <c r="N449" s="409">
        <v>4456.7244094488187</v>
      </c>
      <c r="O449" s="410" t="s">
        <v>7569</v>
      </c>
      <c r="P449" s="406">
        <v>446</v>
      </c>
      <c r="Q449" s="470" t="s">
        <v>935</v>
      </c>
      <c r="R449" s="460" t="s">
        <v>936</v>
      </c>
      <c r="S449" s="270" t="s">
        <v>7</v>
      </c>
      <c r="U449" s="471"/>
      <c r="V449" s="471"/>
      <c r="W449" s="471" t="s">
        <v>936</v>
      </c>
      <c r="X449" s="471">
        <v>1</v>
      </c>
      <c r="Y449" s="206"/>
      <c r="Z449" s="206"/>
    </row>
    <row r="450" spans="1:26">
      <c r="A450" s="406">
        <v>447</v>
      </c>
      <c r="B450" s="613" t="s">
        <v>5954</v>
      </c>
      <c r="C450" s="288" t="s">
        <v>937</v>
      </c>
      <c r="D450" s="414" t="s">
        <v>4864</v>
      </c>
      <c r="E450" s="407" t="s">
        <v>8852</v>
      </c>
      <c r="F450" s="483"/>
      <c r="G450" s="483"/>
      <c r="H450" s="483"/>
      <c r="I450" s="483"/>
      <c r="J450" s="483"/>
      <c r="K450" s="483"/>
      <c r="L450" s="608" t="s">
        <v>4884</v>
      </c>
      <c r="M450" s="409">
        <v>4815.4960629921261</v>
      </c>
      <c r="N450" s="409">
        <v>4815.4960629921261</v>
      </c>
      <c r="O450" s="410" t="s">
        <v>7575</v>
      </c>
      <c r="P450" s="406">
        <v>447</v>
      </c>
      <c r="Q450" s="470" t="s">
        <v>937</v>
      </c>
      <c r="R450" s="460" t="s">
        <v>938</v>
      </c>
      <c r="S450" s="270" t="s">
        <v>7</v>
      </c>
      <c r="U450" s="471"/>
      <c r="V450" s="471"/>
      <c r="W450" s="471" t="s">
        <v>938</v>
      </c>
      <c r="X450" s="471">
        <v>1</v>
      </c>
      <c r="Y450" s="206"/>
      <c r="Z450" s="206"/>
    </row>
    <row r="451" spans="1:26">
      <c r="A451" s="406">
        <v>448</v>
      </c>
      <c r="B451" s="613" t="s">
        <v>5955</v>
      </c>
      <c r="C451" s="288" t="s">
        <v>939</v>
      </c>
      <c r="D451" s="414" t="s">
        <v>4678</v>
      </c>
      <c r="E451" s="407" t="s">
        <v>8853</v>
      </c>
      <c r="F451" s="483"/>
      <c r="G451" s="483"/>
      <c r="H451" s="483"/>
      <c r="I451" s="483"/>
      <c r="J451" s="483"/>
      <c r="K451" s="483"/>
      <c r="L451" s="608" t="s">
        <v>4884</v>
      </c>
      <c r="M451" s="409">
        <v>9113.3503937007881</v>
      </c>
      <c r="N451" s="409">
        <v>9113.3503937007881</v>
      </c>
      <c r="O451" s="410" t="s">
        <v>7572</v>
      </c>
      <c r="P451" s="406">
        <v>448</v>
      </c>
      <c r="Q451" s="470" t="s">
        <v>939</v>
      </c>
      <c r="R451" s="460" t="s">
        <v>940</v>
      </c>
      <c r="S451" s="270" t="s">
        <v>7</v>
      </c>
      <c r="U451" s="471"/>
      <c r="V451" s="471"/>
      <c r="W451" s="471" t="s">
        <v>940</v>
      </c>
      <c r="X451" s="471">
        <v>1</v>
      </c>
      <c r="Y451" s="206"/>
      <c r="Z451" s="206"/>
    </row>
    <row r="452" spans="1:26">
      <c r="A452" s="406">
        <v>449</v>
      </c>
      <c r="B452" s="613" t="s">
        <v>5966</v>
      </c>
      <c r="C452" s="288" t="s">
        <v>941</v>
      </c>
      <c r="D452" s="414" t="s">
        <v>4686</v>
      </c>
      <c r="E452" s="407" t="s">
        <v>8854</v>
      </c>
      <c r="F452" s="483"/>
      <c r="G452" s="483"/>
      <c r="H452" s="483"/>
      <c r="I452" s="483"/>
      <c r="J452" s="483"/>
      <c r="K452" s="483"/>
      <c r="L452" s="608" t="s">
        <v>4884</v>
      </c>
      <c r="M452" s="409">
        <v>5336.9055118110236</v>
      </c>
      <c r="N452" s="409">
        <v>5336.9055118110236</v>
      </c>
      <c r="O452" s="410" t="s">
        <v>7576</v>
      </c>
      <c r="P452" s="406">
        <v>449</v>
      </c>
      <c r="Q452" s="470" t="s">
        <v>941</v>
      </c>
      <c r="R452" s="460" t="s">
        <v>942</v>
      </c>
      <c r="S452" s="270" t="s">
        <v>7</v>
      </c>
      <c r="U452" s="471"/>
      <c r="V452" s="471"/>
      <c r="W452" s="471" t="s">
        <v>942</v>
      </c>
      <c r="X452" s="471">
        <v>1</v>
      </c>
      <c r="Y452" s="206"/>
      <c r="Z452" s="206"/>
    </row>
    <row r="453" spans="1:26">
      <c r="A453" s="406">
        <v>450</v>
      </c>
      <c r="B453" s="613" t="s">
        <v>5956</v>
      </c>
      <c r="C453" s="288" t="s">
        <v>943</v>
      </c>
      <c r="D453" s="414" t="s">
        <v>4709</v>
      </c>
      <c r="E453" s="407" t="s">
        <v>8855</v>
      </c>
      <c r="F453" s="483"/>
      <c r="G453" s="483"/>
      <c r="H453" s="483"/>
      <c r="I453" s="483"/>
      <c r="J453" s="483"/>
      <c r="K453" s="483"/>
      <c r="L453" s="608" t="s">
        <v>4884</v>
      </c>
      <c r="M453" s="409">
        <v>6346.2283464566926</v>
      </c>
      <c r="N453" s="409">
        <v>6346.2283464566926</v>
      </c>
      <c r="O453" s="410" t="s">
        <v>7572</v>
      </c>
      <c r="P453" s="406">
        <v>450</v>
      </c>
      <c r="Q453" s="470" t="s">
        <v>943</v>
      </c>
      <c r="R453" s="460" t="s">
        <v>944</v>
      </c>
      <c r="S453" s="270" t="s">
        <v>7</v>
      </c>
      <c r="U453" s="471"/>
      <c r="V453" s="471"/>
      <c r="W453" s="471" t="s">
        <v>944</v>
      </c>
      <c r="X453" s="471">
        <v>1</v>
      </c>
      <c r="Y453" s="206"/>
      <c r="Z453" s="206"/>
    </row>
    <row r="454" spans="1:26">
      <c r="A454" s="406">
        <v>451</v>
      </c>
      <c r="B454" s="613" t="s">
        <v>5957</v>
      </c>
      <c r="C454" s="288" t="s">
        <v>945</v>
      </c>
      <c r="D454" s="414" t="s">
        <v>4803</v>
      </c>
      <c r="E454" s="407" t="s">
        <v>8856</v>
      </c>
      <c r="F454" s="483"/>
      <c r="G454" s="483"/>
      <c r="H454" s="483"/>
      <c r="I454" s="483"/>
      <c r="J454" s="483"/>
      <c r="K454" s="483"/>
      <c r="L454" s="608" t="s">
        <v>4884</v>
      </c>
      <c r="M454" s="409">
        <v>5776.2755905511813</v>
      </c>
      <c r="N454" s="409">
        <v>5776.2755905511813</v>
      </c>
      <c r="O454" s="410" t="s">
        <v>7573</v>
      </c>
      <c r="P454" s="406">
        <v>451</v>
      </c>
      <c r="Q454" s="470" t="s">
        <v>945</v>
      </c>
      <c r="R454" s="460" t="s">
        <v>946</v>
      </c>
      <c r="S454" s="270" t="s">
        <v>7</v>
      </c>
      <c r="U454" s="471"/>
      <c r="V454" s="471"/>
      <c r="W454" s="471" t="s">
        <v>946</v>
      </c>
      <c r="X454" s="471">
        <v>1</v>
      </c>
      <c r="Y454" s="206"/>
      <c r="Z454" s="206"/>
    </row>
    <row r="455" spans="1:26">
      <c r="A455" s="406">
        <v>452</v>
      </c>
      <c r="B455" s="613" t="s">
        <v>5958</v>
      </c>
      <c r="C455" s="288" t="s">
        <v>947</v>
      </c>
      <c r="D455" s="414" t="s">
        <v>4801</v>
      </c>
      <c r="E455" s="407" t="s">
        <v>8857</v>
      </c>
      <c r="F455" s="483"/>
      <c r="G455" s="483"/>
      <c r="H455" s="483"/>
      <c r="I455" s="483"/>
      <c r="J455" s="483"/>
      <c r="K455" s="483"/>
      <c r="L455" s="608" t="s">
        <v>4884</v>
      </c>
      <c r="M455" s="409">
        <v>5480.8346456692916</v>
      </c>
      <c r="N455" s="409">
        <v>5480.8346456692916</v>
      </c>
      <c r="O455" s="410" t="s">
        <v>7572</v>
      </c>
      <c r="P455" s="406">
        <v>452</v>
      </c>
      <c r="Q455" s="470" t="s">
        <v>947</v>
      </c>
      <c r="R455" s="460" t="s">
        <v>948</v>
      </c>
      <c r="S455" s="270" t="s">
        <v>7</v>
      </c>
      <c r="U455" s="471"/>
      <c r="V455" s="471"/>
      <c r="W455" s="471" t="s">
        <v>948</v>
      </c>
      <c r="X455" s="471">
        <v>1</v>
      </c>
      <c r="Y455" s="206"/>
      <c r="Z455" s="206"/>
    </row>
    <row r="456" spans="1:26">
      <c r="A456" s="406">
        <v>453</v>
      </c>
      <c r="B456" s="613" t="s">
        <v>5959</v>
      </c>
      <c r="C456" s="288" t="s">
        <v>949</v>
      </c>
      <c r="D456" s="414" t="s">
        <v>4770</v>
      </c>
      <c r="E456" s="407" t="s">
        <v>8858</v>
      </c>
      <c r="F456" s="483"/>
      <c r="G456" s="483"/>
      <c r="H456" s="483"/>
      <c r="I456" s="483"/>
      <c r="J456" s="483"/>
      <c r="K456" s="483"/>
      <c r="L456" s="608" t="s">
        <v>4884</v>
      </c>
      <c r="M456" s="409">
        <v>4825.2598425196848</v>
      </c>
      <c r="N456" s="409">
        <v>4825.2598425196848</v>
      </c>
      <c r="O456" s="410" t="s">
        <v>7569</v>
      </c>
      <c r="P456" s="406">
        <v>453</v>
      </c>
      <c r="Q456" s="470" t="s">
        <v>949</v>
      </c>
      <c r="R456" s="460" t="s">
        <v>950</v>
      </c>
      <c r="S456" s="270" t="s">
        <v>7</v>
      </c>
      <c r="U456" s="471"/>
      <c r="V456" s="471"/>
      <c r="W456" s="471" t="s">
        <v>950</v>
      </c>
      <c r="X456" s="471">
        <v>1</v>
      </c>
      <c r="Y456" s="206"/>
      <c r="Z456" s="206"/>
    </row>
    <row r="457" spans="1:26">
      <c r="A457" s="406">
        <v>454</v>
      </c>
      <c r="B457" s="613" t="s">
        <v>5960</v>
      </c>
      <c r="C457" s="288" t="s">
        <v>951</v>
      </c>
      <c r="D457" s="414" t="s">
        <v>4861</v>
      </c>
      <c r="E457" s="407" t="s">
        <v>8859</v>
      </c>
      <c r="F457" s="483"/>
      <c r="G457" s="483"/>
      <c r="H457" s="483"/>
      <c r="I457" s="483"/>
      <c r="J457" s="483"/>
      <c r="K457" s="483"/>
      <c r="L457" s="608" t="s">
        <v>4884</v>
      </c>
      <c r="M457" s="409">
        <v>4871.6299212598433</v>
      </c>
      <c r="N457" s="409">
        <v>4871.6299212598433</v>
      </c>
      <c r="O457" s="410" t="s">
        <v>7575</v>
      </c>
      <c r="P457" s="406">
        <v>454</v>
      </c>
      <c r="Q457" s="470" t="s">
        <v>951</v>
      </c>
      <c r="R457" s="460" t="s">
        <v>952</v>
      </c>
      <c r="S457" s="270" t="s">
        <v>7</v>
      </c>
      <c r="U457" s="471"/>
      <c r="V457" s="471"/>
      <c r="W457" s="471" t="s">
        <v>952</v>
      </c>
      <c r="X457" s="471">
        <v>1</v>
      </c>
      <c r="Y457" s="206"/>
      <c r="Z457" s="206"/>
    </row>
    <row r="458" spans="1:26">
      <c r="A458" s="406">
        <v>455</v>
      </c>
      <c r="B458" s="613" t="s">
        <v>5961</v>
      </c>
      <c r="C458" s="288" t="s">
        <v>953</v>
      </c>
      <c r="D458" s="414" t="s">
        <v>4811</v>
      </c>
      <c r="E458" s="407" t="s">
        <v>8860</v>
      </c>
      <c r="F458" s="483"/>
      <c r="G458" s="483"/>
      <c r="H458" s="483"/>
      <c r="I458" s="483"/>
      <c r="J458" s="483"/>
      <c r="K458" s="483"/>
      <c r="L458" s="608" t="s">
        <v>4884</v>
      </c>
      <c r="M458" s="409">
        <v>4896.2952755905517</v>
      </c>
      <c r="N458" s="409">
        <v>4896.2952755905517</v>
      </c>
      <c r="O458" s="410" t="s">
        <v>7576</v>
      </c>
      <c r="P458" s="406">
        <v>455</v>
      </c>
      <c r="Q458" s="470" t="s">
        <v>953</v>
      </c>
      <c r="R458" s="460" t="s">
        <v>954</v>
      </c>
      <c r="S458" s="270" t="s">
        <v>7</v>
      </c>
      <c r="U458" s="471"/>
      <c r="V458" s="471"/>
      <c r="W458" s="471" t="s">
        <v>954</v>
      </c>
      <c r="X458" s="471">
        <v>1</v>
      </c>
      <c r="Y458" s="206"/>
      <c r="Z458" s="206"/>
    </row>
    <row r="459" spans="1:26">
      <c r="A459" s="406">
        <v>456</v>
      </c>
      <c r="B459" s="613" t="s">
        <v>5962</v>
      </c>
      <c r="C459" s="288" t="s">
        <v>955</v>
      </c>
      <c r="D459" s="414" t="s">
        <v>4711</v>
      </c>
      <c r="E459" s="407" t="s">
        <v>8861</v>
      </c>
      <c r="F459" s="483"/>
      <c r="G459" s="483"/>
      <c r="H459" s="483"/>
      <c r="I459" s="483"/>
      <c r="J459" s="483"/>
      <c r="K459" s="483"/>
      <c r="L459" s="608" t="s">
        <v>4884</v>
      </c>
      <c r="M459" s="409">
        <v>6099.6338582677172</v>
      </c>
      <c r="N459" s="409">
        <v>6099.6338582677172</v>
      </c>
      <c r="O459" s="410" t="s">
        <v>7572</v>
      </c>
      <c r="P459" s="406">
        <v>456</v>
      </c>
      <c r="Q459" s="470" t="s">
        <v>955</v>
      </c>
      <c r="R459" s="460" t="s">
        <v>956</v>
      </c>
      <c r="S459" s="270" t="s">
        <v>7</v>
      </c>
      <c r="U459" s="471"/>
      <c r="V459" s="471"/>
      <c r="W459" s="471" t="s">
        <v>956</v>
      </c>
      <c r="X459" s="471">
        <v>1</v>
      </c>
      <c r="Y459" s="206"/>
      <c r="Z459" s="206"/>
    </row>
    <row r="460" spans="1:26">
      <c r="A460" s="406">
        <v>457</v>
      </c>
      <c r="B460" s="613" t="s">
        <v>5963</v>
      </c>
      <c r="C460" s="288" t="s">
        <v>957</v>
      </c>
      <c r="D460" s="414" t="s">
        <v>4657</v>
      </c>
      <c r="E460" s="407" t="s">
        <v>8862</v>
      </c>
      <c r="F460" s="483"/>
      <c r="G460" s="483"/>
      <c r="H460" s="483"/>
      <c r="I460" s="483"/>
      <c r="J460" s="483"/>
      <c r="K460" s="483"/>
      <c r="L460" s="608" t="s">
        <v>4884</v>
      </c>
      <c r="M460" s="409">
        <v>11427.36220472441</v>
      </c>
      <c r="N460" s="409">
        <v>11427.36220472441</v>
      </c>
      <c r="O460" s="410" t="s">
        <v>7572</v>
      </c>
      <c r="P460" s="406">
        <v>457</v>
      </c>
      <c r="Q460" s="470" t="s">
        <v>957</v>
      </c>
      <c r="R460" s="460" t="s">
        <v>958</v>
      </c>
      <c r="S460" s="270" t="s">
        <v>7</v>
      </c>
      <c r="U460" s="471"/>
      <c r="V460" s="471"/>
      <c r="W460" s="471" t="s">
        <v>958</v>
      </c>
      <c r="X460" s="471">
        <v>1</v>
      </c>
      <c r="Y460" s="206"/>
      <c r="Z460" s="206"/>
    </row>
    <row r="461" spans="1:26">
      <c r="A461" s="406">
        <v>458</v>
      </c>
      <c r="B461" s="613" t="s">
        <v>5964</v>
      </c>
      <c r="C461" s="288" t="s">
        <v>959</v>
      </c>
      <c r="D461" s="414" t="s">
        <v>4688</v>
      </c>
      <c r="E461" s="407" t="s">
        <v>8863</v>
      </c>
      <c r="F461" s="483"/>
      <c r="G461" s="483"/>
      <c r="H461" s="483"/>
      <c r="I461" s="483"/>
      <c r="J461" s="483"/>
      <c r="K461" s="483"/>
      <c r="L461" s="608" t="s">
        <v>4884</v>
      </c>
      <c r="M461" s="409">
        <v>5294.4921259842522</v>
      </c>
      <c r="N461" s="409">
        <v>5294.4921259842522</v>
      </c>
      <c r="O461" s="410" t="s">
        <v>7576</v>
      </c>
      <c r="P461" s="406">
        <v>458</v>
      </c>
      <c r="Q461" s="470" t="s">
        <v>959</v>
      </c>
      <c r="R461" s="460" t="s">
        <v>960</v>
      </c>
      <c r="S461" s="270" t="s">
        <v>7</v>
      </c>
      <c r="U461" s="471"/>
      <c r="V461" s="471"/>
      <c r="W461" s="471" t="s">
        <v>960</v>
      </c>
      <c r="X461" s="471">
        <v>1</v>
      </c>
      <c r="Y461" s="206"/>
      <c r="Z461" s="206"/>
    </row>
    <row r="462" spans="1:26">
      <c r="A462" s="406">
        <v>459</v>
      </c>
      <c r="B462" s="613" t="s">
        <v>5965</v>
      </c>
      <c r="C462" s="288" t="s">
        <v>961</v>
      </c>
      <c r="D462" s="414" t="s">
        <v>4821</v>
      </c>
      <c r="E462" s="407" t="s">
        <v>8864</v>
      </c>
      <c r="F462" s="483"/>
      <c r="G462" s="483"/>
      <c r="H462" s="483"/>
      <c r="I462" s="483"/>
      <c r="J462" s="483"/>
      <c r="K462" s="483"/>
      <c r="L462" s="608" t="s">
        <v>4884</v>
      </c>
      <c r="M462" s="409">
        <v>5534.6968503937005</v>
      </c>
      <c r="N462" s="409">
        <v>5534.6968503937005</v>
      </c>
      <c r="O462" s="410" t="s">
        <v>7569</v>
      </c>
      <c r="P462" s="406">
        <v>459</v>
      </c>
      <c r="Q462" s="470" t="s">
        <v>961</v>
      </c>
      <c r="R462" s="460" t="s">
        <v>962</v>
      </c>
      <c r="S462" s="270" t="s">
        <v>7</v>
      </c>
      <c r="U462" s="471"/>
      <c r="V462" s="471"/>
      <c r="W462" s="471" t="s">
        <v>962</v>
      </c>
      <c r="X462" s="471">
        <v>1</v>
      </c>
      <c r="Y462" s="206"/>
      <c r="Z462" s="206"/>
    </row>
    <row r="463" spans="1:26">
      <c r="A463" s="406">
        <v>460</v>
      </c>
      <c r="B463" s="613" t="s">
        <v>5971</v>
      </c>
      <c r="C463" s="288" t="s">
        <v>963</v>
      </c>
      <c r="D463" s="414" t="s">
        <v>4676</v>
      </c>
      <c r="E463" s="407" t="s">
        <v>8865</v>
      </c>
      <c r="F463" s="483"/>
      <c r="G463" s="483"/>
      <c r="H463" s="483"/>
      <c r="I463" s="483"/>
      <c r="J463" s="483"/>
      <c r="K463" s="483"/>
      <c r="L463" s="608" t="s">
        <v>4884</v>
      </c>
      <c r="M463" s="409">
        <v>9420.4094488188985</v>
      </c>
      <c r="N463" s="409">
        <v>9420.4094488188985</v>
      </c>
      <c r="O463" s="410" t="s">
        <v>7572</v>
      </c>
      <c r="P463" s="406">
        <v>460</v>
      </c>
      <c r="Q463" s="470" t="s">
        <v>963</v>
      </c>
      <c r="R463" s="460" t="s">
        <v>964</v>
      </c>
      <c r="S463" s="270" t="s">
        <v>7</v>
      </c>
      <c r="U463" s="471"/>
      <c r="V463" s="471"/>
      <c r="W463" s="471" t="s">
        <v>964</v>
      </c>
      <c r="X463" s="471">
        <v>1</v>
      </c>
      <c r="Y463" s="206"/>
      <c r="Z463" s="206"/>
    </row>
    <row r="464" spans="1:26">
      <c r="A464" s="406">
        <v>461</v>
      </c>
      <c r="B464" s="613" t="s">
        <v>5967</v>
      </c>
      <c r="C464" s="288" t="s">
        <v>965</v>
      </c>
      <c r="D464" s="414" t="s">
        <v>4863</v>
      </c>
      <c r="E464" s="407" t="s">
        <v>8866</v>
      </c>
      <c r="F464" s="483"/>
      <c r="G464" s="483"/>
      <c r="H464" s="483"/>
      <c r="I464" s="483"/>
      <c r="J464" s="483"/>
      <c r="K464" s="483"/>
      <c r="L464" s="608" t="s">
        <v>4884</v>
      </c>
      <c r="M464" s="409">
        <v>6322.0669291338581</v>
      </c>
      <c r="N464" s="409">
        <v>6322.0669291338581</v>
      </c>
      <c r="O464" s="410" t="s">
        <v>7574</v>
      </c>
      <c r="P464" s="406">
        <v>461</v>
      </c>
      <c r="Q464" s="470" t="s">
        <v>965</v>
      </c>
      <c r="R464" s="460" t="s">
        <v>966</v>
      </c>
      <c r="S464" s="270" t="s">
        <v>7</v>
      </c>
      <c r="U464" s="471"/>
      <c r="V464" s="471"/>
      <c r="W464" s="471" t="s">
        <v>966</v>
      </c>
      <c r="X464" s="471">
        <v>1</v>
      </c>
      <c r="Y464" s="206"/>
      <c r="Z464" s="206"/>
    </row>
    <row r="465" spans="1:26">
      <c r="A465" s="406">
        <v>462</v>
      </c>
      <c r="B465" s="613" t="s">
        <v>5968</v>
      </c>
      <c r="C465" s="288" t="s">
        <v>967</v>
      </c>
      <c r="D465" s="414" t="s">
        <v>4768</v>
      </c>
      <c r="E465" s="407" t="s">
        <v>8867</v>
      </c>
      <c r="F465" s="483"/>
      <c r="G465" s="483"/>
      <c r="H465" s="483"/>
      <c r="I465" s="483"/>
      <c r="J465" s="483"/>
      <c r="K465" s="483"/>
      <c r="L465" s="608" t="s">
        <v>4884</v>
      </c>
      <c r="M465" s="409">
        <v>4864.0590551181103</v>
      </c>
      <c r="N465" s="409">
        <v>4864.0590551181103</v>
      </c>
      <c r="O465" s="410" t="s">
        <v>7569</v>
      </c>
      <c r="P465" s="406">
        <v>462</v>
      </c>
      <c r="Q465" s="470" t="s">
        <v>967</v>
      </c>
      <c r="R465" s="460" t="s">
        <v>968</v>
      </c>
      <c r="S465" s="270" t="s">
        <v>7</v>
      </c>
      <c r="U465" s="471"/>
      <c r="V465" s="471"/>
      <c r="W465" s="471" t="s">
        <v>968</v>
      </c>
      <c r="X465" s="471">
        <v>1</v>
      </c>
      <c r="Y465" s="206"/>
      <c r="Z465" s="206"/>
    </row>
    <row r="466" spans="1:26">
      <c r="A466" s="406">
        <v>463</v>
      </c>
      <c r="B466" s="613" t="s">
        <v>5969</v>
      </c>
      <c r="C466" s="288" t="s">
        <v>969</v>
      </c>
      <c r="D466" s="414" t="s">
        <v>4827</v>
      </c>
      <c r="E466" s="407" t="s">
        <v>8868</v>
      </c>
      <c r="F466" s="483"/>
      <c r="G466" s="483"/>
      <c r="H466" s="483"/>
      <c r="I466" s="483"/>
      <c r="J466" s="483"/>
      <c r="K466" s="483"/>
      <c r="L466" s="608" t="s">
        <v>4884</v>
      </c>
      <c r="M466" s="409">
        <v>5637.9566929133862</v>
      </c>
      <c r="N466" s="409">
        <v>5637.9566929133862</v>
      </c>
      <c r="O466" s="410" t="s">
        <v>7575</v>
      </c>
      <c r="P466" s="406">
        <v>463</v>
      </c>
      <c r="Q466" s="470" t="s">
        <v>969</v>
      </c>
      <c r="R466" s="460" t="s">
        <v>970</v>
      </c>
      <c r="S466" s="270" t="s">
        <v>7</v>
      </c>
      <c r="U466" s="471"/>
      <c r="V466" s="471"/>
      <c r="W466" s="471" t="s">
        <v>970</v>
      </c>
      <c r="X466" s="471">
        <v>1</v>
      </c>
      <c r="Y466" s="206"/>
      <c r="Z466" s="206"/>
    </row>
    <row r="467" spans="1:26">
      <c r="A467" s="406">
        <v>464</v>
      </c>
      <c r="B467" s="613" t="s">
        <v>5970</v>
      </c>
      <c r="C467" s="288" t="s">
        <v>971</v>
      </c>
      <c r="D467" s="414" t="s">
        <v>4634</v>
      </c>
      <c r="E467" s="407" t="s">
        <v>8869</v>
      </c>
      <c r="F467" s="483"/>
      <c r="G467" s="483"/>
      <c r="H467" s="483"/>
      <c r="I467" s="483"/>
      <c r="J467" s="483"/>
      <c r="K467" s="483"/>
      <c r="L467" s="608" t="s">
        <v>4884</v>
      </c>
      <c r="M467" s="409">
        <v>10511.21653543307</v>
      </c>
      <c r="N467" s="409">
        <v>10511.21653543307</v>
      </c>
      <c r="O467" s="410" t="s">
        <v>7572</v>
      </c>
      <c r="P467" s="406">
        <v>464</v>
      </c>
      <c r="Q467" s="470" t="s">
        <v>971</v>
      </c>
      <c r="R467" s="460" t="s">
        <v>972</v>
      </c>
      <c r="S467" s="270" t="s">
        <v>7</v>
      </c>
      <c r="U467" s="471"/>
      <c r="V467" s="471"/>
      <c r="W467" s="471" t="s">
        <v>972</v>
      </c>
      <c r="X467" s="471">
        <v>1</v>
      </c>
      <c r="Y467" s="206"/>
      <c r="Z467" s="206"/>
    </row>
    <row r="468" spans="1:26">
      <c r="A468" s="406">
        <v>465</v>
      </c>
      <c r="B468" s="613" t="s">
        <v>5972</v>
      </c>
      <c r="C468" s="288" t="s">
        <v>973</v>
      </c>
      <c r="D468" s="414" t="s">
        <v>4675</v>
      </c>
      <c r="E468" s="407" t="s">
        <v>8870</v>
      </c>
      <c r="F468" s="483"/>
      <c r="G468" s="483"/>
      <c r="H468" s="483"/>
      <c r="I468" s="483"/>
      <c r="J468" s="483"/>
      <c r="K468" s="483"/>
      <c r="L468" s="608" t="s">
        <v>4884</v>
      </c>
      <c r="M468" s="409">
        <v>9840.4724409448827</v>
      </c>
      <c r="N468" s="409">
        <v>9840.4724409448827</v>
      </c>
      <c r="O468" s="410" t="s">
        <v>7572</v>
      </c>
      <c r="P468" s="406">
        <v>465</v>
      </c>
      <c r="Q468" s="470" t="s">
        <v>973</v>
      </c>
      <c r="R468" s="460" t="s">
        <v>974</v>
      </c>
      <c r="S468" s="270" t="s">
        <v>7</v>
      </c>
      <c r="U468" s="471"/>
      <c r="V468" s="471"/>
      <c r="W468" s="471" t="s">
        <v>974</v>
      </c>
      <c r="X468" s="471">
        <v>1</v>
      </c>
      <c r="Y468" s="206"/>
      <c r="Z468" s="206"/>
    </row>
    <row r="469" spans="1:26">
      <c r="A469" s="406">
        <v>466</v>
      </c>
      <c r="B469" s="613" t="s">
        <v>5973</v>
      </c>
      <c r="C469" s="288" t="s">
        <v>975</v>
      </c>
      <c r="D469" s="414" t="s">
        <v>4660</v>
      </c>
      <c r="E469" s="407" t="s">
        <v>8871</v>
      </c>
      <c r="F469" s="483"/>
      <c r="G469" s="483"/>
      <c r="H469" s="483"/>
      <c r="I469" s="483"/>
      <c r="J469" s="483"/>
      <c r="K469" s="483"/>
      <c r="L469" s="608" t="s">
        <v>4884</v>
      </c>
      <c r="M469" s="409">
        <v>11776.011811023624</v>
      </c>
      <c r="N469" s="409">
        <v>11776.011811023624</v>
      </c>
      <c r="O469" s="410" t="s">
        <v>7572</v>
      </c>
      <c r="P469" s="406">
        <v>466</v>
      </c>
      <c r="Q469" s="470" t="s">
        <v>975</v>
      </c>
      <c r="R469" s="460" t="s">
        <v>976</v>
      </c>
      <c r="S469" s="270" t="s">
        <v>7</v>
      </c>
      <c r="U469" s="471"/>
      <c r="V469" s="471"/>
      <c r="W469" s="471" t="s">
        <v>976</v>
      </c>
      <c r="X469" s="471">
        <v>1</v>
      </c>
      <c r="Y469" s="206"/>
      <c r="Z469" s="206"/>
    </row>
    <row r="470" spans="1:26">
      <c r="A470" s="406">
        <v>467</v>
      </c>
      <c r="B470" s="613" t="s">
        <v>5974</v>
      </c>
      <c r="C470" s="288" t="s">
        <v>977</v>
      </c>
      <c r="D470" s="414" t="s">
        <v>4816</v>
      </c>
      <c r="E470" s="407" t="s">
        <v>8872</v>
      </c>
      <c r="F470" s="483"/>
      <c r="G470" s="483"/>
      <c r="H470" s="483"/>
      <c r="I470" s="483"/>
      <c r="J470" s="483"/>
      <c r="K470" s="483"/>
      <c r="L470" s="608" t="s">
        <v>4884</v>
      </c>
      <c r="M470" s="409">
        <v>5828.0039370078739</v>
      </c>
      <c r="N470" s="409">
        <v>5828.0039370078739</v>
      </c>
      <c r="O470" s="410" t="s">
        <v>7574</v>
      </c>
      <c r="P470" s="406">
        <v>467</v>
      </c>
      <c r="Q470" s="470" t="s">
        <v>977</v>
      </c>
      <c r="R470" s="460" t="s">
        <v>978</v>
      </c>
      <c r="S470" s="270" t="s">
        <v>7</v>
      </c>
      <c r="U470" s="471"/>
      <c r="V470" s="471"/>
      <c r="W470" s="471" t="s">
        <v>978</v>
      </c>
      <c r="X470" s="471">
        <v>1</v>
      </c>
      <c r="Y470" s="206"/>
      <c r="Z470" s="206"/>
    </row>
    <row r="471" spans="1:26">
      <c r="A471" s="406">
        <v>468</v>
      </c>
      <c r="B471" s="613" t="s">
        <v>5975</v>
      </c>
      <c r="C471" s="288" t="s">
        <v>979</v>
      </c>
      <c r="D471" s="414" t="s">
        <v>4815</v>
      </c>
      <c r="E471" s="407" t="s">
        <v>8873</v>
      </c>
      <c r="F471" s="483"/>
      <c r="G471" s="483"/>
      <c r="H471" s="483"/>
      <c r="I471" s="483"/>
      <c r="J471" s="483"/>
      <c r="K471" s="483"/>
      <c r="L471" s="608" t="s">
        <v>4884</v>
      </c>
      <c r="M471" s="409">
        <v>5633.9251968503941</v>
      </c>
      <c r="N471" s="409">
        <v>5633.9251968503941</v>
      </c>
      <c r="O471" s="410" t="s">
        <v>7574</v>
      </c>
      <c r="P471" s="406">
        <v>468</v>
      </c>
      <c r="Q471" s="470" t="s">
        <v>979</v>
      </c>
      <c r="R471" s="460" t="s">
        <v>980</v>
      </c>
      <c r="S471" s="270" t="s">
        <v>7</v>
      </c>
      <c r="U471" s="471"/>
      <c r="V471" s="471"/>
      <c r="W471" s="471" t="s">
        <v>980</v>
      </c>
      <c r="X471" s="471">
        <v>1</v>
      </c>
      <c r="Y471" s="206"/>
      <c r="Z471" s="206"/>
    </row>
    <row r="472" spans="1:26">
      <c r="A472" s="406">
        <v>469</v>
      </c>
      <c r="B472" s="613" t="s">
        <v>5976</v>
      </c>
      <c r="C472" s="288" t="s">
        <v>981</v>
      </c>
      <c r="D472" s="414" t="s">
        <v>4862</v>
      </c>
      <c r="E472" s="407" t="s">
        <v>8874</v>
      </c>
      <c r="F472" s="483"/>
      <c r="G472" s="483"/>
      <c r="H472" s="483"/>
      <c r="I472" s="483"/>
      <c r="J472" s="483"/>
      <c r="K472" s="483"/>
      <c r="L472" s="608" t="s">
        <v>4884</v>
      </c>
      <c r="M472" s="409">
        <v>4961.2401574803152</v>
      </c>
      <c r="N472" s="409">
        <v>4961.2401574803152</v>
      </c>
      <c r="O472" s="410" t="s">
        <v>7575</v>
      </c>
      <c r="P472" s="406">
        <v>469</v>
      </c>
      <c r="Q472" s="470" t="s">
        <v>981</v>
      </c>
      <c r="R472" s="460" t="s">
        <v>982</v>
      </c>
      <c r="S472" s="270" t="s">
        <v>7</v>
      </c>
      <c r="U472" s="471"/>
      <c r="V472" s="471"/>
      <c r="W472" s="471" t="s">
        <v>982</v>
      </c>
      <c r="X472" s="471">
        <v>1</v>
      </c>
      <c r="Y472" s="206"/>
      <c r="Z472" s="206"/>
    </row>
    <row r="473" spans="1:26">
      <c r="A473" s="406">
        <v>470</v>
      </c>
      <c r="B473" s="613" t="s">
        <v>5977</v>
      </c>
      <c r="C473" s="288" t="s">
        <v>983</v>
      </c>
      <c r="D473" s="414" t="s">
        <v>4824</v>
      </c>
      <c r="E473" s="407" t="s">
        <v>8875</v>
      </c>
      <c r="F473" s="483"/>
      <c r="G473" s="483"/>
      <c r="H473" s="483"/>
      <c r="I473" s="483"/>
      <c r="J473" s="483"/>
      <c r="K473" s="483"/>
      <c r="L473" s="608" t="s">
        <v>4884</v>
      </c>
      <c r="M473" s="409">
        <v>5085.4212598425202</v>
      </c>
      <c r="N473" s="409">
        <v>5085.4212598425202</v>
      </c>
      <c r="O473" s="410" t="s">
        <v>7569</v>
      </c>
      <c r="P473" s="406">
        <v>470</v>
      </c>
      <c r="Q473" s="470" t="s">
        <v>983</v>
      </c>
      <c r="R473" s="460" t="s">
        <v>984</v>
      </c>
      <c r="S473" s="270" t="s">
        <v>7</v>
      </c>
      <c r="U473" s="471"/>
      <c r="V473" s="471"/>
      <c r="W473" s="471" t="s">
        <v>984</v>
      </c>
      <c r="X473" s="471">
        <v>1</v>
      </c>
      <c r="Y473" s="206"/>
      <c r="Z473" s="206"/>
    </row>
    <row r="474" spans="1:26">
      <c r="A474" s="406">
        <v>471</v>
      </c>
      <c r="B474" s="613" t="s">
        <v>5978</v>
      </c>
      <c r="C474" s="288" t="s">
        <v>985</v>
      </c>
      <c r="D474" s="414" t="s">
        <v>4876</v>
      </c>
      <c r="E474" s="407" t="s">
        <v>8876</v>
      </c>
      <c r="F474" s="483"/>
      <c r="G474" s="483"/>
      <c r="H474" s="483"/>
      <c r="I474" s="483"/>
      <c r="J474" s="483"/>
      <c r="K474" s="483"/>
      <c r="L474" s="608" t="s">
        <v>4884</v>
      </c>
      <c r="M474" s="409">
        <v>5542.1614173228354</v>
      </c>
      <c r="N474" s="409">
        <v>5542.1614173228354</v>
      </c>
      <c r="O474" s="410" t="s">
        <v>7576</v>
      </c>
      <c r="P474" s="406">
        <v>471</v>
      </c>
      <c r="Q474" s="470" t="s">
        <v>985</v>
      </c>
      <c r="R474" s="460" t="s">
        <v>986</v>
      </c>
      <c r="S474" s="270" t="s">
        <v>7</v>
      </c>
      <c r="U474" s="471"/>
      <c r="V474" s="471"/>
      <c r="W474" s="471" t="s">
        <v>986</v>
      </c>
      <c r="X474" s="471">
        <v>1</v>
      </c>
      <c r="Y474" s="206"/>
      <c r="Z474" s="206"/>
    </row>
    <row r="475" spans="1:26">
      <c r="A475" s="406">
        <v>472</v>
      </c>
      <c r="B475" s="613" t="s">
        <v>5979</v>
      </c>
      <c r="C475" s="288" t="s">
        <v>987</v>
      </c>
      <c r="D475" s="414" t="s">
        <v>4819</v>
      </c>
      <c r="E475" s="407" t="s">
        <v>8877</v>
      </c>
      <c r="F475" s="483"/>
      <c r="G475" s="483"/>
      <c r="H475" s="483"/>
      <c r="I475" s="483"/>
      <c r="J475" s="483"/>
      <c r="K475" s="483"/>
      <c r="L475" s="608" t="s">
        <v>4884</v>
      </c>
      <c r="M475" s="409">
        <v>5167.3503937007872</v>
      </c>
      <c r="N475" s="409">
        <v>5167.3503937007872</v>
      </c>
      <c r="O475" s="410" t="s">
        <v>7569</v>
      </c>
      <c r="P475" s="406">
        <v>472</v>
      </c>
      <c r="Q475" s="470" t="s">
        <v>987</v>
      </c>
      <c r="R475" s="460" t="s">
        <v>988</v>
      </c>
      <c r="S475" s="270" t="s">
        <v>7</v>
      </c>
      <c r="U475" s="471"/>
      <c r="V475" s="471"/>
      <c r="W475" s="471" t="s">
        <v>988</v>
      </c>
      <c r="X475" s="471">
        <v>1</v>
      </c>
      <c r="Y475" s="206"/>
      <c r="Z475" s="206"/>
    </row>
    <row r="476" spans="1:26">
      <c r="A476" s="406">
        <v>473</v>
      </c>
      <c r="B476" s="613" t="s">
        <v>5984</v>
      </c>
      <c r="C476" s="288" t="s">
        <v>989</v>
      </c>
      <c r="D476" s="414" t="s">
        <v>4810</v>
      </c>
      <c r="E476" s="407" t="s">
        <v>8878</v>
      </c>
      <c r="F476" s="483"/>
      <c r="G476" s="483"/>
      <c r="H476" s="483"/>
      <c r="I476" s="483"/>
      <c r="J476" s="483"/>
      <c r="K476" s="483"/>
      <c r="L476" s="608" t="s">
        <v>4884</v>
      </c>
      <c r="M476" s="409">
        <v>5410.0590551181112</v>
      </c>
      <c r="N476" s="409">
        <v>5410.0590551181112</v>
      </c>
      <c r="O476" s="410" t="s">
        <v>7576</v>
      </c>
      <c r="P476" s="406">
        <v>473</v>
      </c>
      <c r="Q476" s="470" t="s">
        <v>989</v>
      </c>
      <c r="R476" s="460" t="s">
        <v>990</v>
      </c>
      <c r="S476" s="270" t="s">
        <v>7</v>
      </c>
      <c r="U476" s="471"/>
      <c r="V476" s="471"/>
      <c r="W476" s="471" t="s">
        <v>990</v>
      </c>
      <c r="X476" s="471">
        <v>1</v>
      </c>
      <c r="Y476" s="206"/>
      <c r="Z476" s="206"/>
    </row>
    <row r="477" spans="1:26">
      <c r="A477" s="406">
        <v>474</v>
      </c>
      <c r="B477" s="613" t="s">
        <v>5980</v>
      </c>
      <c r="C477" s="288" t="s">
        <v>991</v>
      </c>
      <c r="D477" s="414" t="s">
        <v>4809</v>
      </c>
      <c r="E477" s="407" t="s">
        <v>8879</v>
      </c>
      <c r="F477" s="483"/>
      <c r="G477" s="483"/>
      <c r="H477" s="483"/>
      <c r="I477" s="483"/>
      <c r="J477" s="483"/>
      <c r="K477" s="483"/>
      <c r="L477" s="608" t="s">
        <v>4884</v>
      </c>
      <c r="M477" s="409">
        <v>6286.9606299212592</v>
      </c>
      <c r="N477" s="409">
        <v>6286.9606299212592</v>
      </c>
      <c r="O477" s="410" t="s">
        <v>7569</v>
      </c>
      <c r="P477" s="406">
        <v>474</v>
      </c>
      <c r="Q477" s="470" t="s">
        <v>991</v>
      </c>
      <c r="R477" s="460" t="s">
        <v>992</v>
      </c>
      <c r="S477" s="270" t="s">
        <v>7</v>
      </c>
      <c r="U477" s="471"/>
      <c r="V477" s="471"/>
      <c r="W477" s="471" t="s">
        <v>992</v>
      </c>
      <c r="X477" s="471">
        <v>1</v>
      </c>
      <c r="Y477" s="206"/>
      <c r="Z477" s="206"/>
    </row>
    <row r="478" spans="1:26">
      <c r="A478" s="406">
        <v>475</v>
      </c>
      <c r="B478" s="613" t="s">
        <v>5981</v>
      </c>
      <c r="C478" s="288" t="s">
        <v>993</v>
      </c>
      <c r="D478" s="414" t="s">
        <v>4798</v>
      </c>
      <c r="E478" s="407" t="s">
        <v>8880</v>
      </c>
      <c r="F478" s="483"/>
      <c r="G478" s="483"/>
      <c r="H478" s="483"/>
      <c r="I478" s="483"/>
      <c r="J478" s="483"/>
      <c r="K478" s="483"/>
      <c r="L478" s="608" t="s">
        <v>4884</v>
      </c>
      <c r="M478" s="409">
        <v>6264.7283464566935</v>
      </c>
      <c r="N478" s="409">
        <v>6264.7283464566935</v>
      </c>
      <c r="O478" s="410" t="s">
        <v>7573</v>
      </c>
      <c r="P478" s="406">
        <v>475</v>
      </c>
      <c r="Q478" s="470" t="s">
        <v>993</v>
      </c>
      <c r="R478" s="460" t="s">
        <v>994</v>
      </c>
      <c r="S478" s="270" t="s">
        <v>7</v>
      </c>
      <c r="U478" s="471"/>
      <c r="V478" s="471"/>
      <c r="W478" s="471" t="s">
        <v>994</v>
      </c>
      <c r="X478" s="471">
        <v>1</v>
      </c>
      <c r="Y478" s="206"/>
      <c r="Z478" s="206"/>
    </row>
    <row r="479" spans="1:26">
      <c r="A479" s="406">
        <v>476</v>
      </c>
      <c r="B479" s="613" t="s">
        <v>5982</v>
      </c>
      <c r="C479" s="288" t="s">
        <v>995</v>
      </c>
      <c r="D479" s="414" t="s">
        <v>4754</v>
      </c>
      <c r="E479" s="407" t="s">
        <v>8881</v>
      </c>
      <c r="F479" s="483"/>
      <c r="G479" s="483"/>
      <c r="H479" s="483"/>
      <c r="I479" s="483"/>
      <c r="J479" s="483"/>
      <c r="K479" s="483"/>
      <c r="L479" s="608" t="s">
        <v>4884</v>
      </c>
      <c r="M479" s="409">
        <v>7683.4842519685044</v>
      </c>
      <c r="N479" s="409">
        <v>7683.4842519685044</v>
      </c>
      <c r="O479" s="410" t="s">
        <v>7573</v>
      </c>
      <c r="P479" s="406">
        <v>476</v>
      </c>
      <c r="Q479" s="470" t="s">
        <v>995</v>
      </c>
      <c r="R479" s="460" t="s">
        <v>996</v>
      </c>
      <c r="S479" s="270" t="s">
        <v>7</v>
      </c>
      <c r="U479" s="471"/>
      <c r="V479" s="471"/>
      <c r="W479" s="471" t="s">
        <v>996</v>
      </c>
      <c r="X479" s="471">
        <v>1</v>
      </c>
      <c r="Y479" s="206"/>
      <c r="Z479" s="206"/>
    </row>
    <row r="480" spans="1:26">
      <c r="A480" s="406">
        <v>477</v>
      </c>
      <c r="B480" s="613" t="s">
        <v>5983</v>
      </c>
      <c r="C480" s="288" t="s">
        <v>997</v>
      </c>
      <c r="D480" s="414" t="s">
        <v>4757</v>
      </c>
      <c r="E480" s="407" t="s">
        <v>8882</v>
      </c>
      <c r="F480" s="483"/>
      <c r="G480" s="483"/>
      <c r="H480" s="483"/>
      <c r="I480" s="483"/>
      <c r="J480" s="483"/>
      <c r="K480" s="483"/>
      <c r="L480" s="608" t="s">
        <v>4884</v>
      </c>
      <c r="M480" s="409">
        <v>7770.4173228346453</v>
      </c>
      <c r="N480" s="409">
        <v>7770.4173228346453</v>
      </c>
      <c r="O480" s="410" t="s">
        <v>7573</v>
      </c>
      <c r="P480" s="406">
        <v>477</v>
      </c>
      <c r="Q480" s="470" t="s">
        <v>997</v>
      </c>
      <c r="R480" s="460" t="s">
        <v>998</v>
      </c>
      <c r="S480" s="270" t="s">
        <v>7</v>
      </c>
      <c r="U480" s="471"/>
      <c r="V480" s="471"/>
      <c r="W480" s="471" t="s">
        <v>998</v>
      </c>
      <c r="X480" s="471">
        <v>1</v>
      </c>
      <c r="Z480" s="270" t="s">
        <v>999</v>
      </c>
    </row>
    <row r="481" spans="1:26">
      <c r="A481" s="406">
        <v>478</v>
      </c>
      <c r="B481" s="613" t="s">
        <v>5983</v>
      </c>
      <c r="C481" s="288" t="s">
        <v>1000</v>
      </c>
      <c r="D481" s="414" t="s">
        <v>4757</v>
      </c>
      <c r="E481" s="407" t="s">
        <v>8882</v>
      </c>
      <c r="F481" s="483"/>
      <c r="G481" s="483"/>
      <c r="H481" s="483"/>
      <c r="I481" s="483"/>
      <c r="J481" s="483"/>
      <c r="K481" s="483"/>
      <c r="L481" s="608" t="s">
        <v>4884</v>
      </c>
      <c r="M481" s="409">
        <v>7770.4173228346453</v>
      </c>
      <c r="N481" s="409">
        <v>7770.4173228346453</v>
      </c>
      <c r="O481" s="410" t="s">
        <v>7573</v>
      </c>
      <c r="P481" s="406">
        <v>478</v>
      </c>
      <c r="Q481" s="470" t="s">
        <v>1000</v>
      </c>
      <c r="R481" s="460" t="s">
        <v>1001</v>
      </c>
      <c r="S481" s="270" t="s">
        <v>7</v>
      </c>
      <c r="U481" s="471"/>
      <c r="V481" s="471"/>
      <c r="W481" s="471" t="s">
        <v>1001</v>
      </c>
      <c r="X481" s="473">
        <v>0</v>
      </c>
      <c r="Z481" s="270" t="s">
        <v>999</v>
      </c>
    </row>
    <row r="482" spans="1:26">
      <c r="A482" s="406">
        <v>479</v>
      </c>
      <c r="B482" s="613" t="s">
        <v>5983</v>
      </c>
      <c r="C482" s="288" t="s">
        <v>1002</v>
      </c>
      <c r="D482" s="414" t="s">
        <v>4757</v>
      </c>
      <c r="E482" s="407" t="s">
        <v>8882</v>
      </c>
      <c r="F482" s="483"/>
      <c r="G482" s="483"/>
      <c r="H482" s="483"/>
      <c r="I482" s="483"/>
      <c r="J482" s="483"/>
      <c r="K482" s="483"/>
      <c r="L482" s="608" t="s">
        <v>4884</v>
      </c>
      <c r="M482" s="409">
        <v>7770.4173228346453</v>
      </c>
      <c r="N482" s="409">
        <v>7770.4173228346453</v>
      </c>
      <c r="O482" s="410" t="s">
        <v>7573</v>
      </c>
      <c r="P482" s="406">
        <v>479</v>
      </c>
      <c r="Q482" s="470" t="s">
        <v>1002</v>
      </c>
      <c r="R482" s="460" t="s">
        <v>1003</v>
      </c>
      <c r="S482" s="270" t="s">
        <v>7</v>
      </c>
      <c r="U482" s="471"/>
      <c r="V482" s="471"/>
      <c r="W482" s="471" t="s">
        <v>1003</v>
      </c>
      <c r="X482" s="473">
        <v>0</v>
      </c>
      <c r="Z482" s="270" t="s">
        <v>999</v>
      </c>
    </row>
    <row r="483" spans="1:26">
      <c r="A483" s="406">
        <v>480</v>
      </c>
      <c r="B483" s="613" t="s">
        <v>5983</v>
      </c>
      <c r="C483" s="288" t="s">
        <v>1004</v>
      </c>
      <c r="D483" s="414" t="s">
        <v>4757</v>
      </c>
      <c r="E483" s="407" t="s">
        <v>8882</v>
      </c>
      <c r="F483" s="483"/>
      <c r="G483" s="483"/>
      <c r="H483" s="483"/>
      <c r="I483" s="483"/>
      <c r="J483" s="483"/>
      <c r="K483" s="483"/>
      <c r="L483" s="608" t="s">
        <v>4884</v>
      </c>
      <c r="M483" s="409">
        <v>7770.4173228346453</v>
      </c>
      <c r="N483" s="409">
        <v>7770.4173228346453</v>
      </c>
      <c r="O483" s="410" t="s">
        <v>7573</v>
      </c>
      <c r="P483" s="406">
        <v>480</v>
      </c>
      <c r="Q483" s="470" t="s">
        <v>1004</v>
      </c>
      <c r="R483" s="460" t="s">
        <v>1005</v>
      </c>
      <c r="S483" s="270" t="s">
        <v>7</v>
      </c>
      <c r="U483" s="471"/>
      <c r="V483" s="471"/>
      <c r="W483" s="471" t="s">
        <v>1005</v>
      </c>
      <c r="X483" s="473">
        <v>0</v>
      </c>
      <c r="Z483" s="270" t="s">
        <v>999</v>
      </c>
    </row>
    <row r="484" spans="1:26">
      <c r="A484" s="406">
        <v>481</v>
      </c>
      <c r="B484" s="613" t="s">
        <v>3338</v>
      </c>
      <c r="C484" s="288" t="s">
        <v>1006</v>
      </c>
      <c r="D484" s="414" t="s">
        <v>4823</v>
      </c>
      <c r="E484" s="407" t="s">
        <v>8883</v>
      </c>
      <c r="F484" s="483"/>
      <c r="G484" s="483"/>
      <c r="H484" s="483"/>
      <c r="I484" s="483"/>
      <c r="J484" s="483"/>
      <c r="K484" s="483"/>
      <c r="L484" s="608" t="s">
        <v>4884</v>
      </c>
      <c r="M484" s="409">
        <v>5980.677165354331</v>
      </c>
      <c r="N484" s="409">
        <v>5980.677165354331</v>
      </c>
      <c r="O484" s="410" t="s">
        <v>7569</v>
      </c>
      <c r="P484" s="406">
        <v>481</v>
      </c>
      <c r="Q484" s="470" t="s">
        <v>1006</v>
      </c>
      <c r="R484" s="460" t="s">
        <v>1007</v>
      </c>
      <c r="S484" s="270" t="s">
        <v>7</v>
      </c>
      <c r="U484" s="471"/>
      <c r="V484" s="471"/>
      <c r="W484" s="471" t="s">
        <v>1007</v>
      </c>
      <c r="X484" s="471">
        <v>1</v>
      </c>
    </row>
    <row r="485" spans="1:26">
      <c r="A485" s="406">
        <v>482</v>
      </c>
      <c r="B485" s="613" t="s">
        <v>5733</v>
      </c>
      <c r="C485" s="288" t="s">
        <v>1008</v>
      </c>
      <c r="D485" s="414" t="s">
        <v>4704</v>
      </c>
      <c r="E485" s="407" t="s">
        <v>8567</v>
      </c>
      <c r="F485" s="483" t="s">
        <v>5731</v>
      </c>
      <c r="G485" s="411" t="s">
        <v>5734</v>
      </c>
      <c r="H485" s="411"/>
      <c r="I485" s="411"/>
      <c r="J485" s="411"/>
      <c r="K485" s="411"/>
      <c r="L485" s="608">
        <v>9301.7952755905517</v>
      </c>
      <c r="M485" s="409">
        <v>6381.0236220472443</v>
      </c>
      <c r="N485" s="409">
        <v>15682.818897637797</v>
      </c>
      <c r="O485" s="410" t="s">
        <v>7755</v>
      </c>
      <c r="P485" s="406">
        <v>482</v>
      </c>
      <c r="Q485" s="470" t="s">
        <v>1008</v>
      </c>
      <c r="R485" s="460" t="s">
        <v>1009</v>
      </c>
      <c r="S485" s="270" t="s">
        <v>7</v>
      </c>
      <c r="U485" s="471"/>
      <c r="V485" s="471"/>
      <c r="W485" s="471" t="s">
        <v>1009</v>
      </c>
      <c r="X485" s="471">
        <v>1</v>
      </c>
      <c r="Z485" s="270" t="s">
        <v>1010</v>
      </c>
    </row>
    <row r="486" spans="1:26">
      <c r="A486" s="406">
        <v>483</v>
      </c>
      <c r="B486" s="613" t="s">
        <v>5727</v>
      </c>
      <c r="C486" s="288" t="s">
        <v>1011</v>
      </c>
      <c r="D486" s="414" t="s">
        <v>4706</v>
      </c>
      <c r="E486" s="407" t="s">
        <v>8568</v>
      </c>
      <c r="F486" s="483" t="s">
        <v>5730</v>
      </c>
      <c r="G486" s="411" t="s">
        <v>5728</v>
      </c>
      <c r="H486" s="411"/>
      <c r="I486" s="411"/>
      <c r="J486" s="411"/>
      <c r="K486" s="411"/>
      <c r="L486" s="608">
        <v>9263.6653543307093</v>
      </c>
      <c r="M486" s="409">
        <v>5916.3818897637802</v>
      </c>
      <c r="N486" s="409">
        <v>15180.04724409449</v>
      </c>
      <c r="O486" s="410" t="s">
        <v>7778</v>
      </c>
      <c r="P486" s="406">
        <v>483</v>
      </c>
      <c r="Q486" s="470" t="s">
        <v>1011</v>
      </c>
      <c r="R486" s="460" t="s">
        <v>1012</v>
      </c>
      <c r="S486" s="270" t="s">
        <v>7</v>
      </c>
      <c r="U486" s="471"/>
      <c r="V486" s="471"/>
      <c r="W486" s="471" t="s">
        <v>1012</v>
      </c>
      <c r="X486" s="471">
        <v>1</v>
      </c>
      <c r="Z486" s="270" t="s">
        <v>1013</v>
      </c>
    </row>
    <row r="487" spans="1:26">
      <c r="A487" s="406">
        <v>484</v>
      </c>
      <c r="B487" s="613" t="s">
        <v>5985</v>
      </c>
      <c r="C487" s="288" t="s">
        <v>1014</v>
      </c>
      <c r="D487" s="414" t="s">
        <v>4869</v>
      </c>
      <c r="E487" s="407" t="s">
        <v>8884</v>
      </c>
      <c r="F487" s="483"/>
      <c r="G487" s="483"/>
      <c r="H487" s="483"/>
      <c r="I487" s="483"/>
      <c r="J487" s="483"/>
      <c r="K487" s="483"/>
      <c r="L487" s="608" t="s">
        <v>4884</v>
      </c>
      <c r="M487" s="409">
        <v>6547.9921259842522</v>
      </c>
      <c r="N487" s="409">
        <v>6547.9921259842522</v>
      </c>
      <c r="O487" s="410" t="s">
        <v>7574</v>
      </c>
      <c r="P487" s="406">
        <v>484</v>
      </c>
      <c r="Q487" s="470" t="s">
        <v>1014</v>
      </c>
      <c r="R487" s="460" t="s">
        <v>1015</v>
      </c>
      <c r="S487" s="270" t="s">
        <v>7</v>
      </c>
      <c r="U487" s="471"/>
      <c r="V487" s="471"/>
      <c r="W487" s="471" t="s">
        <v>1015</v>
      </c>
      <c r="X487" s="471">
        <v>1</v>
      </c>
    </row>
    <row r="488" spans="1:26">
      <c r="A488" s="406">
        <v>485</v>
      </c>
      <c r="B488" s="613" t="s">
        <v>5733</v>
      </c>
      <c r="C488" s="288" t="s">
        <v>1016</v>
      </c>
      <c r="D488" s="414" t="s">
        <v>4704</v>
      </c>
      <c r="E488" s="407" t="s">
        <v>8567</v>
      </c>
      <c r="F488" s="483" t="s">
        <v>5731</v>
      </c>
      <c r="G488" s="411" t="s">
        <v>5734</v>
      </c>
      <c r="H488" s="411"/>
      <c r="I488" s="411"/>
      <c r="J488" s="411"/>
      <c r="K488" s="411"/>
      <c r="L488" s="608">
        <v>9301.7952755905517</v>
      </c>
      <c r="M488" s="409">
        <v>6381.0236220472443</v>
      </c>
      <c r="N488" s="409">
        <v>15682.818897637797</v>
      </c>
      <c r="O488" s="410" t="s">
        <v>7755</v>
      </c>
      <c r="P488" s="406">
        <v>485</v>
      </c>
      <c r="Q488" s="470" t="s">
        <v>1016</v>
      </c>
      <c r="R488" s="460" t="s">
        <v>1017</v>
      </c>
      <c r="S488" s="270" t="s">
        <v>7</v>
      </c>
      <c r="U488" s="471"/>
      <c r="V488" s="471"/>
      <c r="W488" s="471" t="s">
        <v>1017</v>
      </c>
      <c r="X488" s="471">
        <v>0</v>
      </c>
      <c r="Z488" s="270" t="s">
        <v>1010</v>
      </c>
    </row>
    <row r="489" spans="1:26">
      <c r="A489" s="406">
        <v>486</v>
      </c>
      <c r="B489" s="613" t="s">
        <v>5727</v>
      </c>
      <c r="C489" s="288" t="s">
        <v>1018</v>
      </c>
      <c r="D489" s="414" t="s">
        <v>4706</v>
      </c>
      <c r="E489" s="407" t="s">
        <v>8568</v>
      </c>
      <c r="F489" s="483" t="s">
        <v>5730</v>
      </c>
      <c r="G489" s="411" t="s">
        <v>5728</v>
      </c>
      <c r="H489" s="411"/>
      <c r="I489" s="411"/>
      <c r="J489" s="411"/>
      <c r="K489" s="411"/>
      <c r="L489" s="608">
        <v>9263.6653543307093</v>
      </c>
      <c r="M489" s="409">
        <v>5916.3818897637802</v>
      </c>
      <c r="N489" s="409">
        <v>15180.04724409449</v>
      </c>
      <c r="O489" s="410" t="s">
        <v>7778</v>
      </c>
      <c r="P489" s="406">
        <v>486</v>
      </c>
      <c r="Q489" s="470" t="s">
        <v>1018</v>
      </c>
      <c r="R489" s="460" t="s">
        <v>1019</v>
      </c>
      <c r="S489" s="270" t="s">
        <v>7</v>
      </c>
      <c r="U489" s="471"/>
      <c r="V489" s="471"/>
      <c r="W489" s="471" t="s">
        <v>1019</v>
      </c>
      <c r="X489" s="471">
        <v>0</v>
      </c>
      <c r="Z489" s="270" t="s">
        <v>1013</v>
      </c>
    </row>
    <row r="490" spans="1:26">
      <c r="A490" s="406">
        <v>487</v>
      </c>
      <c r="B490" s="613" t="s">
        <v>5733</v>
      </c>
      <c r="C490" s="288" t="s">
        <v>1020</v>
      </c>
      <c r="D490" s="414" t="s">
        <v>4704</v>
      </c>
      <c r="E490" s="407" t="s">
        <v>8567</v>
      </c>
      <c r="F490" s="483" t="s">
        <v>5731</v>
      </c>
      <c r="G490" s="411" t="s">
        <v>5734</v>
      </c>
      <c r="H490" s="411"/>
      <c r="I490" s="411"/>
      <c r="J490" s="411"/>
      <c r="K490" s="411"/>
      <c r="L490" s="608">
        <v>9301.7952755905517</v>
      </c>
      <c r="M490" s="409">
        <v>6381.0236220472443</v>
      </c>
      <c r="N490" s="409">
        <v>15682.818897637797</v>
      </c>
      <c r="O490" s="410" t="s">
        <v>7755</v>
      </c>
      <c r="P490" s="406">
        <v>487</v>
      </c>
      <c r="Q490" s="470" t="s">
        <v>1020</v>
      </c>
      <c r="R490" s="460" t="s">
        <v>1021</v>
      </c>
      <c r="S490" s="270" t="s">
        <v>7</v>
      </c>
      <c r="U490" s="471"/>
      <c r="V490" s="471"/>
      <c r="W490" s="471" t="s">
        <v>1021</v>
      </c>
      <c r="X490" s="471">
        <v>0</v>
      </c>
      <c r="Z490" s="270" t="s">
        <v>1010</v>
      </c>
    </row>
    <row r="491" spans="1:26">
      <c r="A491" s="406">
        <v>488</v>
      </c>
      <c r="B491" s="613" t="s">
        <v>5727</v>
      </c>
      <c r="C491" s="288" t="s">
        <v>1022</v>
      </c>
      <c r="D491" s="414" t="s">
        <v>4706</v>
      </c>
      <c r="E491" s="407" t="s">
        <v>8568</v>
      </c>
      <c r="F491" s="483" t="s">
        <v>5730</v>
      </c>
      <c r="G491" s="411" t="s">
        <v>5728</v>
      </c>
      <c r="H491" s="411"/>
      <c r="I491" s="411"/>
      <c r="J491" s="411"/>
      <c r="K491" s="411"/>
      <c r="L491" s="608">
        <v>9263.6653543307093</v>
      </c>
      <c r="M491" s="409">
        <v>5916.3818897637802</v>
      </c>
      <c r="N491" s="409">
        <v>15180.04724409449</v>
      </c>
      <c r="O491" s="410" t="s">
        <v>7778</v>
      </c>
      <c r="P491" s="406">
        <v>488</v>
      </c>
      <c r="Q491" s="470" t="s">
        <v>1022</v>
      </c>
      <c r="R491" s="460" t="s">
        <v>1023</v>
      </c>
      <c r="S491" s="270" t="s">
        <v>7</v>
      </c>
      <c r="U491" s="471"/>
      <c r="V491" s="471"/>
      <c r="W491" s="471" t="s">
        <v>1023</v>
      </c>
      <c r="X491" s="471">
        <v>0</v>
      </c>
      <c r="Z491" s="270" t="s">
        <v>1013</v>
      </c>
    </row>
    <row r="492" spans="1:26">
      <c r="A492" s="406">
        <v>489</v>
      </c>
      <c r="B492" s="613" t="s">
        <v>5986</v>
      </c>
      <c r="C492" s="288" t="s">
        <v>1024</v>
      </c>
      <c r="D492" s="414" t="s">
        <v>4812</v>
      </c>
      <c r="E492" s="407" t="s">
        <v>8885</v>
      </c>
      <c r="F492" s="483"/>
      <c r="G492" s="483"/>
      <c r="H492" s="483"/>
      <c r="I492" s="483"/>
      <c r="J492" s="483"/>
      <c r="K492" s="483"/>
      <c r="L492" s="608" t="s">
        <v>4884</v>
      </c>
      <c r="M492" s="409">
        <v>5736.9251968503931</v>
      </c>
      <c r="N492" s="409">
        <v>5736.9251968503931</v>
      </c>
      <c r="O492" s="410" t="s">
        <v>7569</v>
      </c>
      <c r="P492" s="406">
        <v>489</v>
      </c>
      <c r="Q492" s="470" t="s">
        <v>1024</v>
      </c>
      <c r="R492" s="460" t="s">
        <v>1025</v>
      </c>
      <c r="S492" s="270" t="s">
        <v>7</v>
      </c>
      <c r="U492" s="471"/>
      <c r="V492" s="471"/>
      <c r="W492" s="471" t="s">
        <v>1025</v>
      </c>
      <c r="X492" s="471">
        <v>1</v>
      </c>
    </row>
    <row r="493" spans="1:26">
      <c r="A493" s="406">
        <v>490</v>
      </c>
      <c r="B493" s="613" t="s">
        <v>5987</v>
      </c>
      <c r="C493" s="288" t="s">
        <v>1026</v>
      </c>
      <c r="D493" s="414" t="s">
        <v>4820</v>
      </c>
      <c r="E493" s="407" t="s">
        <v>8886</v>
      </c>
      <c r="F493" s="483"/>
      <c r="G493" s="483"/>
      <c r="H493" s="483"/>
      <c r="I493" s="483"/>
      <c r="J493" s="483"/>
      <c r="K493" s="483"/>
      <c r="L493" s="608" t="s">
        <v>4884</v>
      </c>
      <c r="M493" s="409">
        <v>5004.610236220472</v>
      </c>
      <c r="N493" s="409">
        <v>5004.610236220472</v>
      </c>
      <c r="O493" s="410" t="s">
        <v>7569</v>
      </c>
      <c r="P493" s="406">
        <v>490</v>
      </c>
      <c r="Q493" s="470" t="s">
        <v>1026</v>
      </c>
      <c r="R493" s="460" t="s">
        <v>1027</v>
      </c>
      <c r="S493" s="270" t="s">
        <v>7</v>
      </c>
      <c r="U493" s="471"/>
      <c r="V493" s="471"/>
      <c r="W493" s="471" t="s">
        <v>1027</v>
      </c>
      <c r="X493" s="471">
        <v>1</v>
      </c>
    </row>
    <row r="494" spans="1:26">
      <c r="A494" s="406">
        <v>491</v>
      </c>
      <c r="B494" s="613" t="s">
        <v>5988</v>
      </c>
      <c r="C494" s="288" t="s">
        <v>1028</v>
      </c>
      <c r="D494" s="414" t="s">
        <v>4829</v>
      </c>
      <c r="E494" s="407" t="s">
        <v>8887</v>
      </c>
      <c r="F494" s="483"/>
      <c r="G494" s="483"/>
      <c r="H494" s="483"/>
      <c r="I494" s="483"/>
      <c r="J494" s="483"/>
      <c r="K494" s="483"/>
      <c r="L494" s="608" t="s">
        <v>4884</v>
      </c>
      <c r="M494" s="409">
        <v>6147.2165354330709</v>
      </c>
      <c r="N494" s="409">
        <v>6147.2165354330709</v>
      </c>
      <c r="O494" s="410" t="s">
        <v>7575</v>
      </c>
      <c r="P494" s="406">
        <v>491</v>
      </c>
      <c r="Q494" s="470" t="s">
        <v>1028</v>
      </c>
      <c r="R494" s="460" t="s">
        <v>1029</v>
      </c>
      <c r="S494" s="270" t="s">
        <v>7</v>
      </c>
      <c r="U494" s="471"/>
      <c r="V494" s="471"/>
      <c r="W494" s="471" t="s">
        <v>1029</v>
      </c>
      <c r="X494" s="471">
        <v>1</v>
      </c>
    </row>
    <row r="495" spans="1:26">
      <c r="A495" s="406">
        <v>492</v>
      </c>
      <c r="B495" s="613" t="s">
        <v>5989</v>
      </c>
      <c r="C495" s="288" t="s">
        <v>1030</v>
      </c>
      <c r="D495" s="414" t="s">
        <v>4870</v>
      </c>
      <c r="E495" s="407" t="s">
        <v>8888</v>
      </c>
      <c r="F495" s="483"/>
      <c r="G495" s="483"/>
      <c r="H495" s="483"/>
      <c r="I495" s="483"/>
      <c r="J495" s="483"/>
      <c r="K495" s="483"/>
      <c r="L495" s="608" t="s">
        <v>4884</v>
      </c>
      <c r="M495" s="409">
        <v>6227</v>
      </c>
      <c r="N495" s="409">
        <v>6227</v>
      </c>
      <c r="O495" s="410" t="s">
        <v>7574</v>
      </c>
      <c r="P495" s="406">
        <v>492</v>
      </c>
      <c r="Q495" s="470" t="s">
        <v>1030</v>
      </c>
      <c r="R495" s="460" t="s">
        <v>1031</v>
      </c>
      <c r="S495" s="270" t="s">
        <v>7</v>
      </c>
      <c r="U495" s="471"/>
      <c r="V495" s="471"/>
      <c r="W495" s="471" t="s">
        <v>1031</v>
      </c>
      <c r="X495" s="471">
        <v>1</v>
      </c>
    </row>
    <row r="496" spans="1:26">
      <c r="A496" s="406">
        <v>493</v>
      </c>
      <c r="B496" s="613" t="s">
        <v>5990</v>
      </c>
      <c r="C496" s="288" t="s">
        <v>1032</v>
      </c>
      <c r="D496" s="414" t="s">
        <v>4756</v>
      </c>
      <c r="E496" s="407" t="s">
        <v>8889</v>
      </c>
      <c r="F496" s="483"/>
      <c r="G496" s="483"/>
      <c r="H496" s="483"/>
      <c r="I496" s="483"/>
      <c r="J496" s="483"/>
      <c r="K496" s="483"/>
      <c r="L496" s="608" t="s">
        <v>4884</v>
      </c>
      <c r="M496" s="409">
        <v>7307.4409448818906</v>
      </c>
      <c r="N496" s="409">
        <v>7307.4409448818906</v>
      </c>
      <c r="O496" s="410" t="s">
        <v>7573</v>
      </c>
      <c r="P496" s="406">
        <v>493</v>
      </c>
      <c r="Q496" s="470" t="s">
        <v>1032</v>
      </c>
      <c r="R496" s="460" t="s">
        <v>1033</v>
      </c>
      <c r="S496" s="270" t="s">
        <v>7</v>
      </c>
      <c r="U496" s="471"/>
      <c r="V496" s="471"/>
      <c r="W496" s="471" t="s">
        <v>1033</v>
      </c>
      <c r="X496" s="471">
        <v>1</v>
      </c>
    </row>
    <row r="497" spans="1:26">
      <c r="A497" s="406">
        <v>494</v>
      </c>
      <c r="B497" s="613" t="s">
        <v>5991</v>
      </c>
      <c r="C497" s="288" t="s">
        <v>1034</v>
      </c>
      <c r="D497" s="414" t="s">
        <v>4868</v>
      </c>
      <c r="E497" s="407" t="s">
        <v>8890</v>
      </c>
      <c r="F497" s="483"/>
      <c r="G497" s="483"/>
      <c r="H497" s="483"/>
      <c r="I497" s="483"/>
      <c r="J497" s="483"/>
      <c r="K497" s="483"/>
      <c r="L497" s="608" t="s">
        <v>4884</v>
      </c>
      <c r="M497" s="409">
        <v>6121.248031496064</v>
      </c>
      <c r="N497" s="409">
        <v>6121.248031496064</v>
      </c>
      <c r="O497" s="410" t="s">
        <v>7574</v>
      </c>
      <c r="P497" s="406">
        <v>494</v>
      </c>
      <c r="Q497" s="470" t="s">
        <v>1034</v>
      </c>
      <c r="R497" s="460" t="s">
        <v>1035</v>
      </c>
      <c r="S497" s="270" t="s">
        <v>7</v>
      </c>
      <c r="U497" s="471"/>
      <c r="V497" s="471"/>
      <c r="W497" s="471" t="s">
        <v>1035</v>
      </c>
      <c r="X497" s="471">
        <v>1</v>
      </c>
    </row>
    <row r="498" spans="1:26">
      <c r="A498" s="406">
        <v>495</v>
      </c>
      <c r="B498" s="613" t="s">
        <v>5992</v>
      </c>
      <c r="C498" s="288" t="s">
        <v>1036</v>
      </c>
      <c r="D498" s="414" t="s">
        <v>4807</v>
      </c>
      <c r="E498" s="407" t="s">
        <v>8891</v>
      </c>
      <c r="F498" s="483"/>
      <c r="G498" s="483"/>
      <c r="H498" s="483"/>
      <c r="I498" s="483"/>
      <c r="J498" s="483"/>
      <c r="K498" s="483"/>
      <c r="L498" s="608" t="s">
        <v>4884</v>
      </c>
      <c r="M498" s="409">
        <v>6574.858267716535</v>
      </c>
      <c r="N498" s="409">
        <v>6574.858267716535</v>
      </c>
      <c r="O498" s="410" t="s">
        <v>7569</v>
      </c>
      <c r="P498" s="406">
        <v>495</v>
      </c>
      <c r="Q498" s="470" t="s">
        <v>1036</v>
      </c>
      <c r="R498" s="460" t="s">
        <v>1037</v>
      </c>
      <c r="S498" s="270" t="s">
        <v>7</v>
      </c>
      <c r="U498" s="471"/>
      <c r="V498" s="471"/>
      <c r="W498" s="471" t="s">
        <v>1037</v>
      </c>
      <c r="X498" s="471">
        <v>1</v>
      </c>
    </row>
    <row r="499" spans="1:26">
      <c r="A499" s="406">
        <v>496</v>
      </c>
      <c r="B499" s="613" t="s">
        <v>5993</v>
      </c>
      <c r="C499" s="288" t="s">
        <v>1038</v>
      </c>
      <c r="D499" s="414" t="s">
        <v>4684</v>
      </c>
      <c r="E499" s="407" t="s">
        <v>8892</v>
      </c>
      <c r="F499" s="483"/>
      <c r="G499" s="483"/>
      <c r="H499" s="483"/>
      <c r="I499" s="483"/>
      <c r="J499" s="483"/>
      <c r="K499" s="483"/>
      <c r="L499" s="608" t="s">
        <v>4884</v>
      </c>
      <c r="M499" s="409">
        <v>4630.9881889763783</v>
      </c>
      <c r="N499" s="409">
        <v>4630.9881889763783</v>
      </c>
      <c r="O499" s="410" t="s">
        <v>7572</v>
      </c>
      <c r="P499" s="406">
        <v>496</v>
      </c>
      <c r="Q499" s="470" t="s">
        <v>1038</v>
      </c>
      <c r="R499" s="460" t="s">
        <v>1039</v>
      </c>
      <c r="S499" s="270" t="s">
        <v>7</v>
      </c>
      <c r="U499" s="471"/>
      <c r="V499" s="471"/>
      <c r="W499" s="471" t="s">
        <v>1039</v>
      </c>
      <c r="X499" s="471">
        <v>1</v>
      </c>
    </row>
    <row r="500" spans="1:26">
      <c r="A500" s="406">
        <v>497</v>
      </c>
      <c r="B500" s="613" t="s">
        <v>5996</v>
      </c>
      <c r="C500" s="288" t="s">
        <v>1040</v>
      </c>
      <c r="D500" s="414" t="s">
        <v>4714</v>
      </c>
      <c r="E500" s="407" t="s">
        <v>8893</v>
      </c>
      <c r="F500" s="483"/>
      <c r="G500" s="483"/>
      <c r="H500" s="483"/>
      <c r="I500" s="483"/>
      <c r="J500" s="483"/>
      <c r="K500" s="483"/>
      <c r="L500" s="608" t="s">
        <v>4884</v>
      </c>
      <c r="M500" s="409">
        <v>5690.8858267716532</v>
      </c>
      <c r="N500" s="409">
        <v>5690.8858267716532</v>
      </c>
      <c r="O500" s="410" t="s">
        <v>7573</v>
      </c>
      <c r="P500" s="406">
        <v>497</v>
      </c>
      <c r="Q500" s="470" t="s">
        <v>1040</v>
      </c>
      <c r="R500" s="460" t="s">
        <v>1041</v>
      </c>
      <c r="S500" s="270" t="s">
        <v>7</v>
      </c>
      <c r="U500" s="471"/>
      <c r="V500" s="471"/>
      <c r="W500" s="471" t="s">
        <v>1041</v>
      </c>
      <c r="X500" s="471">
        <v>1</v>
      </c>
    </row>
    <row r="501" spans="1:26">
      <c r="A501" s="406">
        <v>498</v>
      </c>
      <c r="B501" s="613" t="s">
        <v>5994</v>
      </c>
      <c r="C501" s="288" t="s">
        <v>1042</v>
      </c>
      <c r="D501" s="414" t="s">
        <v>4712</v>
      </c>
      <c r="E501" s="407" t="s">
        <v>8894</v>
      </c>
      <c r="F501" s="483"/>
      <c r="G501" s="483"/>
      <c r="H501" s="483"/>
      <c r="I501" s="483"/>
      <c r="J501" s="483"/>
      <c r="K501" s="483"/>
      <c r="L501" s="608" t="s">
        <v>4884</v>
      </c>
      <c r="M501" s="409">
        <v>7210.7283464566935</v>
      </c>
      <c r="N501" s="409">
        <v>7210.7283464566935</v>
      </c>
      <c r="O501" s="410" t="s">
        <v>7573</v>
      </c>
      <c r="P501" s="406">
        <v>498</v>
      </c>
      <c r="Q501" s="470" t="s">
        <v>1042</v>
      </c>
      <c r="R501" s="460" t="s">
        <v>1043</v>
      </c>
      <c r="S501" s="270" t="s">
        <v>7</v>
      </c>
      <c r="U501" s="471"/>
      <c r="V501" s="471"/>
      <c r="W501" s="471" t="s">
        <v>1043</v>
      </c>
      <c r="X501" s="471">
        <v>1</v>
      </c>
      <c r="Z501" s="270" t="s">
        <v>1044</v>
      </c>
    </row>
    <row r="502" spans="1:26">
      <c r="A502" s="406">
        <v>499</v>
      </c>
      <c r="B502" s="613" t="s">
        <v>5995</v>
      </c>
      <c r="C502" s="288" t="s">
        <v>1045</v>
      </c>
      <c r="D502" s="414" t="s">
        <v>4765</v>
      </c>
      <c r="E502" s="407" t="s">
        <v>8895</v>
      </c>
      <c r="F502" s="483"/>
      <c r="G502" s="483"/>
      <c r="H502" s="483"/>
      <c r="I502" s="483"/>
      <c r="J502" s="483"/>
      <c r="K502" s="483"/>
      <c r="L502" s="608" t="s">
        <v>4884</v>
      </c>
      <c r="M502" s="409">
        <v>6741.4881889763783</v>
      </c>
      <c r="N502" s="409">
        <v>6741.4881889763783</v>
      </c>
      <c r="O502" s="410" t="s">
        <v>7574</v>
      </c>
      <c r="P502" s="406">
        <v>499</v>
      </c>
      <c r="Q502" s="470" t="s">
        <v>1045</v>
      </c>
      <c r="R502" s="460" t="s">
        <v>1046</v>
      </c>
      <c r="S502" s="270" t="s">
        <v>7</v>
      </c>
      <c r="U502" s="471"/>
      <c r="V502" s="471"/>
      <c r="W502" s="471" t="s">
        <v>1046</v>
      </c>
      <c r="X502" s="471">
        <v>1</v>
      </c>
      <c r="Z502" s="270" t="s">
        <v>1047</v>
      </c>
    </row>
    <row r="503" spans="1:26">
      <c r="A503" s="406">
        <v>500</v>
      </c>
      <c r="B503" s="613" t="s">
        <v>5571</v>
      </c>
      <c r="C503" s="288" t="s">
        <v>1048</v>
      </c>
      <c r="D503" s="414" t="s">
        <v>4668</v>
      </c>
      <c r="E503" s="407" t="s">
        <v>8502</v>
      </c>
      <c r="F503" s="483" t="s">
        <v>5573</v>
      </c>
      <c r="G503" s="411" t="s">
        <v>5572</v>
      </c>
      <c r="H503" s="411"/>
      <c r="I503" s="411"/>
      <c r="J503" s="411"/>
      <c r="K503" s="411"/>
      <c r="L503" s="608">
        <v>11830.771653543308</v>
      </c>
      <c r="M503" s="409">
        <v>9371.177165354331</v>
      </c>
      <c r="N503" s="409">
        <v>21201.948818897639</v>
      </c>
      <c r="O503" s="410" t="s">
        <v>7826</v>
      </c>
      <c r="P503" s="406">
        <v>500</v>
      </c>
      <c r="Q503" s="470" t="s">
        <v>1048</v>
      </c>
      <c r="R503" s="460" t="s">
        <v>1049</v>
      </c>
      <c r="S503" s="270" t="s">
        <v>7</v>
      </c>
      <c r="U503" s="471"/>
      <c r="V503" s="471"/>
      <c r="W503" s="471" t="s">
        <v>1049</v>
      </c>
      <c r="X503" s="471">
        <v>0</v>
      </c>
      <c r="Z503" s="270" t="s">
        <v>1050</v>
      </c>
    </row>
    <row r="504" spans="1:26">
      <c r="A504" s="406">
        <v>501</v>
      </c>
      <c r="B504" s="613" t="s">
        <v>5563</v>
      </c>
      <c r="C504" s="288" t="s">
        <v>1051</v>
      </c>
      <c r="D504" s="414" t="s">
        <v>4666</v>
      </c>
      <c r="E504" s="407" t="s">
        <v>8504</v>
      </c>
      <c r="F504" s="483" t="s">
        <v>5565</v>
      </c>
      <c r="G504" s="411" t="s">
        <v>5564</v>
      </c>
      <c r="H504" s="411"/>
      <c r="I504" s="411"/>
      <c r="J504" s="411"/>
      <c r="K504" s="411"/>
      <c r="L504" s="608">
        <v>11800.968503937009</v>
      </c>
      <c r="M504" s="409">
        <v>9466.4527559055132</v>
      </c>
      <c r="N504" s="409">
        <v>21267.421259842522</v>
      </c>
      <c r="O504" s="410" t="s">
        <v>7826</v>
      </c>
      <c r="P504" s="406">
        <v>501</v>
      </c>
      <c r="Q504" s="470" t="s">
        <v>1051</v>
      </c>
      <c r="R504" s="460" t="s">
        <v>1052</v>
      </c>
      <c r="S504" s="270" t="s">
        <v>7</v>
      </c>
      <c r="U504" s="471"/>
      <c r="V504" s="471"/>
      <c r="W504" s="471" t="s">
        <v>1052</v>
      </c>
      <c r="X504" s="471">
        <v>0</v>
      </c>
      <c r="Z504" s="270" t="s">
        <v>1053</v>
      </c>
    </row>
    <row r="505" spans="1:26">
      <c r="A505" s="406">
        <v>502</v>
      </c>
      <c r="B505" s="613" t="s">
        <v>5555</v>
      </c>
      <c r="C505" s="288" t="s">
        <v>1054</v>
      </c>
      <c r="D505" s="414" t="s">
        <v>4667</v>
      </c>
      <c r="E505" s="407" t="s">
        <v>8500</v>
      </c>
      <c r="F505" s="483" t="s">
        <v>5557</v>
      </c>
      <c r="G505" s="411" t="s">
        <v>5556</v>
      </c>
      <c r="H505" s="411"/>
      <c r="I505" s="411"/>
      <c r="J505" s="411"/>
      <c r="K505" s="411"/>
      <c r="L505" s="608">
        <v>12187.944881889765</v>
      </c>
      <c r="M505" s="409">
        <v>8555.9173228346463</v>
      </c>
      <c r="N505" s="409">
        <v>20743.86220472441</v>
      </c>
      <c r="O505" s="410" t="s">
        <v>7800</v>
      </c>
      <c r="P505" s="406">
        <v>502</v>
      </c>
      <c r="Q505" s="470" t="s">
        <v>1054</v>
      </c>
      <c r="R505" s="460" t="s">
        <v>1055</v>
      </c>
      <c r="S505" s="270" t="s">
        <v>7</v>
      </c>
      <c r="U505" s="471"/>
      <c r="V505" s="471"/>
      <c r="W505" s="471" t="s">
        <v>1055</v>
      </c>
      <c r="X505" s="471">
        <v>0</v>
      </c>
      <c r="Z505" s="270" t="s">
        <v>1056</v>
      </c>
    </row>
    <row r="506" spans="1:26">
      <c r="A506" s="406">
        <v>503</v>
      </c>
      <c r="B506" s="613" t="s">
        <v>5547</v>
      </c>
      <c r="C506" s="288" t="s">
        <v>1057</v>
      </c>
      <c r="D506" s="414" t="s">
        <v>4631</v>
      </c>
      <c r="E506" s="407" t="s">
        <v>8505</v>
      </c>
      <c r="F506" s="483" t="s">
        <v>5549</v>
      </c>
      <c r="G506" s="411" t="s">
        <v>5548</v>
      </c>
      <c r="H506" s="411"/>
      <c r="I506" s="411"/>
      <c r="J506" s="411"/>
      <c r="K506" s="411"/>
      <c r="L506" s="608">
        <v>11151.826771653543</v>
      </c>
      <c r="M506" s="409">
        <v>8332.6968503937005</v>
      </c>
      <c r="N506" s="409">
        <v>19484.523622047243</v>
      </c>
      <c r="O506" s="410" t="s">
        <v>7827</v>
      </c>
      <c r="P506" s="406">
        <v>503</v>
      </c>
      <c r="Q506" s="470" t="s">
        <v>1057</v>
      </c>
      <c r="R506" s="460" t="s">
        <v>1058</v>
      </c>
      <c r="S506" s="270" t="s">
        <v>7</v>
      </c>
      <c r="U506" s="471"/>
      <c r="V506" s="471"/>
      <c r="W506" s="471" t="s">
        <v>1058</v>
      </c>
      <c r="X506" s="471">
        <v>0</v>
      </c>
      <c r="Z506" s="270" t="s">
        <v>1059</v>
      </c>
    </row>
    <row r="507" spans="1:26">
      <c r="A507" s="406">
        <v>504</v>
      </c>
      <c r="B507" s="613" t="s">
        <v>5541</v>
      </c>
      <c r="C507" s="288" t="s">
        <v>1060</v>
      </c>
      <c r="D507" s="414" t="s">
        <v>4673</v>
      </c>
      <c r="E507" s="407" t="s">
        <v>8501</v>
      </c>
      <c r="F507" s="483" t="s">
        <v>5543</v>
      </c>
      <c r="G507" s="411" t="s">
        <v>5542</v>
      </c>
      <c r="H507" s="411"/>
      <c r="I507" s="411"/>
      <c r="J507" s="411"/>
      <c r="K507" s="411"/>
      <c r="L507" s="608">
        <v>9684.5157480314974</v>
      </c>
      <c r="M507" s="409">
        <v>6499.6299212598424</v>
      </c>
      <c r="N507" s="409">
        <v>16184.14566929134</v>
      </c>
      <c r="O507" s="410" t="s">
        <v>7770</v>
      </c>
      <c r="P507" s="406">
        <v>504</v>
      </c>
      <c r="Q507" s="470" t="s">
        <v>1060</v>
      </c>
      <c r="R507" s="460" t="s">
        <v>1061</v>
      </c>
      <c r="S507" s="270" t="s">
        <v>7</v>
      </c>
      <c r="U507" s="471"/>
      <c r="V507" s="471"/>
      <c r="W507" s="471" t="s">
        <v>1061</v>
      </c>
      <c r="X507" s="471">
        <v>0</v>
      </c>
      <c r="Z507" s="270" t="s">
        <v>1059</v>
      </c>
    </row>
    <row r="508" spans="1:26">
      <c r="A508" s="406">
        <v>505</v>
      </c>
      <c r="B508" s="613" t="s">
        <v>5577</v>
      </c>
      <c r="C508" s="288" t="s">
        <v>1062</v>
      </c>
      <c r="D508" s="414" t="s">
        <v>4670</v>
      </c>
      <c r="E508" s="407" t="s">
        <v>8896</v>
      </c>
      <c r="F508" s="483" t="s">
        <v>5576</v>
      </c>
      <c r="G508" s="411" t="s">
        <v>5578</v>
      </c>
      <c r="H508" s="411"/>
      <c r="I508" s="411"/>
      <c r="J508" s="411"/>
      <c r="K508" s="411"/>
      <c r="L508" s="608">
        <v>11666.330708661417</v>
      </c>
      <c r="M508" s="409">
        <v>9871.9803149606305</v>
      </c>
      <c r="N508" s="409">
        <v>21538.311023622045</v>
      </c>
      <c r="O508" s="410" t="s">
        <v>7800</v>
      </c>
      <c r="P508" s="406">
        <v>505</v>
      </c>
      <c r="Q508" s="470" t="s">
        <v>1062</v>
      </c>
      <c r="R508" s="460" t="s">
        <v>1063</v>
      </c>
      <c r="S508" s="270" t="s">
        <v>7</v>
      </c>
      <c r="U508" s="471"/>
      <c r="V508" s="471"/>
      <c r="W508" s="471" t="s">
        <v>1063</v>
      </c>
      <c r="X508" s="471">
        <v>0</v>
      </c>
      <c r="Z508" s="270" t="s">
        <v>1064</v>
      </c>
    </row>
    <row r="509" spans="1:26">
      <c r="A509" s="406">
        <v>506</v>
      </c>
      <c r="B509" s="613" t="s">
        <v>5569</v>
      </c>
      <c r="C509" s="288" t="s">
        <v>1065</v>
      </c>
      <c r="D509" s="414" t="s">
        <v>4669</v>
      </c>
      <c r="E509" s="407" t="s">
        <v>8897</v>
      </c>
      <c r="F509" s="483" t="s">
        <v>5568</v>
      </c>
      <c r="G509" s="411" t="s">
        <v>5570</v>
      </c>
      <c r="H509" s="411"/>
      <c r="I509" s="411"/>
      <c r="J509" s="411"/>
      <c r="K509" s="411"/>
      <c r="L509" s="608">
        <v>12023.881889763781</v>
      </c>
      <c r="M509" s="409">
        <v>9946.7204724409457</v>
      </c>
      <c r="N509" s="409">
        <v>21970.602362204725</v>
      </c>
      <c r="O509" s="410" t="s">
        <v>7800</v>
      </c>
      <c r="P509" s="406">
        <v>506</v>
      </c>
      <c r="Q509" s="470" t="s">
        <v>1065</v>
      </c>
      <c r="R509" s="460" t="s">
        <v>1066</v>
      </c>
      <c r="S509" s="270" t="s">
        <v>7</v>
      </c>
      <c r="U509" s="471"/>
      <c r="V509" s="471"/>
      <c r="W509" s="471" t="s">
        <v>1066</v>
      </c>
      <c r="X509" s="471">
        <v>0</v>
      </c>
      <c r="Z509" s="270" t="s">
        <v>1067</v>
      </c>
    </row>
    <row r="510" spans="1:26">
      <c r="A510" s="406">
        <v>507</v>
      </c>
      <c r="B510" s="613" t="s">
        <v>5561</v>
      </c>
      <c r="C510" s="288" t="s">
        <v>1068</v>
      </c>
      <c r="D510" s="414" t="s">
        <v>4665</v>
      </c>
      <c r="E510" s="407" t="s">
        <v>8898</v>
      </c>
      <c r="F510" s="483" t="s">
        <v>5560</v>
      </c>
      <c r="G510" s="411" t="s">
        <v>5562</v>
      </c>
      <c r="H510" s="411"/>
      <c r="I510" s="411"/>
      <c r="J510" s="411"/>
      <c r="K510" s="411"/>
      <c r="L510" s="608">
        <v>11503.440944881891</v>
      </c>
      <c r="M510" s="409">
        <v>9260.1141732283468</v>
      </c>
      <c r="N510" s="409">
        <v>20763.555118110238</v>
      </c>
      <c r="O510" s="410" t="s">
        <v>7800</v>
      </c>
      <c r="P510" s="406">
        <v>507</v>
      </c>
      <c r="Q510" s="470" t="s">
        <v>1068</v>
      </c>
      <c r="R510" s="460" t="s">
        <v>1069</v>
      </c>
      <c r="S510" s="270" t="s">
        <v>7</v>
      </c>
      <c r="U510" s="471"/>
      <c r="V510" s="471"/>
      <c r="W510" s="471" t="s">
        <v>1069</v>
      </c>
      <c r="X510" s="471">
        <v>0</v>
      </c>
      <c r="Z510" s="270" t="s">
        <v>1070</v>
      </c>
    </row>
    <row r="511" spans="1:26">
      <c r="A511" s="406">
        <v>508</v>
      </c>
      <c r="B511" s="613" t="s">
        <v>5999</v>
      </c>
      <c r="C511" s="288" t="s">
        <v>1071</v>
      </c>
      <c r="D511" s="414" t="s">
        <v>4641</v>
      </c>
      <c r="E511" s="407" t="s">
        <v>8899</v>
      </c>
      <c r="F511" s="483"/>
      <c r="G511" s="483"/>
      <c r="H511" s="483"/>
      <c r="I511" s="483"/>
      <c r="J511" s="483"/>
      <c r="K511" s="483"/>
      <c r="L511" s="608" t="s">
        <v>4884</v>
      </c>
      <c r="M511" s="409">
        <v>4407.9055118110236</v>
      </c>
      <c r="N511" s="409">
        <v>4407.9055118110236</v>
      </c>
      <c r="O511" s="410" t="s">
        <v>7576</v>
      </c>
      <c r="P511" s="406">
        <v>508</v>
      </c>
      <c r="Q511" s="470" t="s">
        <v>1071</v>
      </c>
      <c r="R511" s="460" t="s">
        <v>1072</v>
      </c>
      <c r="S511" s="270" t="s">
        <v>7</v>
      </c>
      <c r="U511" s="471"/>
      <c r="V511" s="471"/>
      <c r="W511" s="471" t="s">
        <v>1072</v>
      </c>
      <c r="X511" s="471">
        <v>1</v>
      </c>
    </row>
    <row r="512" spans="1:26">
      <c r="A512" s="406">
        <v>509</v>
      </c>
      <c r="B512" s="613" t="s">
        <v>5553</v>
      </c>
      <c r="C512" s="288" t="s">
        <v>1073</v>
      </c>
      <c r="D512" s="414" t="s">
        <v>4632</v>
      </c>
      <c r="E512" s="407" t="s">
        <v>8900</v>
      </c>
      <c r="F512" s="483" t="s">
        <v>5552</v>
      </c>
      <c r="G512" s="411" t="s">
        <v>5554</v>
      </c>
      <c r="H512" s="411"/>
      <c r="I512" s="411"/>
      <c r="J512" s="411"/>
      <c r="K512" s="411"/>
      <c r="L512" s="608">
        <v>10547.003937007874</v>
      </c>
      <c r="M512" s="409">
        <v>7766.4881889763783</v>
      </c>
      <c r="N512" s="409">
        <v>18313.492125984252</v>
      </c>
      <c r="O512" s="410" t="s">
        <v>7770</v>
      </c>
      <c r="P512" s="406">
        <v>509</v>
      </c>
      <c r="Q512" s="470" t="s">
        <v>1073</v>
      </c>
      <c r="R512" s="460" t="s">
        <v>1074</v>
      </c>
      <c r="S512" s="270" t="s">
        <v>7</v>
      </c>
      <c r="U512" s="471"/>
      <c r="V512" s="471"/>
      <c r="W512" s="471" t="s">
        <v>1074</v>
      </c>
      <c r="X512" s="471">
        <v>0</v>
      </c>
      <c r="Z512" s="270" t="s">
        <v>1075</v>
      </c>
    </row>
    <row r="513" spans="1:26">
      <c r="A513" s="406">
        <v>510</v>
      </c>
      <c r="B513" s="613" t="s">
        <v>5997</v>
      </c>
      <c r="C513" s="288" t="s">
        <v>1076</v>
      </c>
      <c r="D513" s="414" t="s">
        <v>4731</v>
      </c>
      <c r="E513" s="407" t="s">
        <v>8901</v>
      </c>
      <c r="F513" s="483"/>
      <c r="G513" s="483"/>
      <c r="H513" s="483"/>
      <c r="I513" s="483"/>
      <c r="J513" s="483"/>
      <c r="K513" s="483"/>
      <c r="L513" s="608" t="s">
        <v>4884</v>
      </c>
      <c r="M513" s="409">
        <v>3933.4212598425202</v>
      </c>
      <c r="N513" s="409">
        <v>3933.4212598425202</v>
      </c>
      <c r="O513" s="410" t="s">
        <v>7569</v>
      </c>
      <c r="P513" s="406">
        <v>510</v>
      </c>
      <c r="Q513" s="470" t="s">
        <v>1076</v>
      </c>
      <c r="R513" s="460" t="s">
        <v>1077</v>
      </c>
      <c r="S513" s="270" t="s">
        <v>7</v>
      </c>
      <c r="U513" s="471"/>
      <c r="V513" s="471"/>
      <c r="W513" s="471" t="s">
        <v>1077</v>
      </c>
      <c r="X513" s="471">
        <v>1</v>
      </c>
    </row>
    <row r="514" spans="1:26">
      <c r="A514" s="406">
        <v>511</v>
      </c>
      <c r="B514" s="613" t="s">
        <v>5998</v>
      </c>
      <c r="C514" s="288" t="s">
        <v>1078</v>
      </c>
      <c r="D514" s="414" t="s">
        <v>4687</v>
      </c>
      <c r="E514" s="407" t="s">
        <v>8902</v>
      </c>
      <c r="F514" s="483"/>
      <c r="G514" s="483"/>
      <c r="H514" s="483"/>
      <c r="I514" s="483"/>
      <c r="J514" s="483"/>
      <c r="K514" s="483"/>
      <c r="L514" s="608" t="s">
        <v>4884</v>
      </c>
      <c r="M514" s="409">
        <v>4559.9763779527566</v>
      </c>
      <c r="N514" s="409">
        <v>4559.9763779527566</v>
      </c>
      <c r="O514" s="410" t="s">
        <v>7576</v>
      </c>
      <c r="P514" s="406">
        <v>511</v>
      </c>
      <c r="Q514" s="470" t="s">
        <v>1078</v>
      </c>
      <c r="R514" s="460" t="s">
        <v>1079</v>
      </c>
      <c r="S514" s="270" t="s">
        <v>7</v>
      </c>
      <c r="U514" s="471"/>
      <c r="V514" s="471"/>
      <c r="W514" s="471" t="s">
        <v>1079</v>
      </c>
      <c r="X514" s="471">
        <v>1</v>
      </c>
    </row>
    <row r="515" spans="1:26">
      <c r="A515" s="406">
        <v>512</v>
      </c>
      <c r="B515" s="613" t="s">
        <v>6687</v>
      </c>
      <c r="C515" s="288" t="s">
        <v>1080</v>
      </c>
      <c r="D515" s="414" t="s">
        <v>4671</v>
      </c>
      <c r="E515" s="407" t="s">
        <v>8566</v>
      </c>
      <c r="F515" s="483" t="s">
        <v>5546</v>
      </c>
      <c r="G515" s="411" t="s">
        <v>5735</v>
      </c>
      <c r="H515" s="411"/>
      <c r="I515" s="411"/>
      <c r="J515" s="411"/>
      <c r="K515" s="411"/>
      <c r="L515" s="608">
        <v>906.40944881889766</v>
      </c>
      <c r="M515" s="409">
        <v>6231.9251968503941</v>
      </c>
      <c r="N515" s="409">
        <v>16873.248031496063</v>
      </c>
      <c r="O515" s="410" t="s">
        <v>7828</v>
      </c>
      <c r="P515" s="406">
        <v>512</v>
      </c>
      <c r="Q515" s="470" t="s">
        <v>1080</v>
      </c>
      <c r="R515" s="460" t="s">
        <v>1081</v>
      </c>
      <c r="S515" s="270" t="s">
        <v>7</v>
      </c>
      <c r="U515" s="471"/>
      <c r="V515" s="471"/>
      <c r="W515" s="471" t="s">
        <v>1081</v>
      </c>
      <c r="X515" s="471">
        <v>0</v>
      </c>
      <c r="Z515" s="270" t="s">
        <v>1082</v>
      </c>
    </row>
    <row r="516" spans="1:26">
      <c r="A516" s="406">
        <v>513</v>
      </c>
      <c r="B516" s="613" t="s">
        <v>6000</v>
      </c>
      <c r="C516" s="288" t="s">
        <v>1083</v>
      </c>
      <c r="D516" s="414" t="s">
        <v>4818</v>
      </c>
      <c r="E516" s="407" t="s">
        <v>8903</v>
      </c>
      <c r="F516" s="483"/>
      <c r="G516" s="483"/>
      <c r="H516" s="483"/>
      <c r="I516" s="483"/>
      <c r="J516" s="483"/>
      <c r="K516" s="483"/>
      <c r="L516" s="608" t="s">
        <v>4884</v>
      </c>
      <c r="M516" s="409">
        <v>4426.3858267716541</v>
      </c>
      <c r="N516" s="409">
        <v>4426.3858267716541</v>
      </c>
      <c r="O516" s="410" t="s">
        <v>7575</v>
      </c>
      <c r="P516" s="406">
        <v>513</v>
      </c>
      <c r="Q516" s="470" t="s">
        <v>1083</v>
      </c>
      <c r="R516" s="460" t="s">
        <v>1084</v>
      </c>
      <c r="S516" s="270" t="s">
        <v>7</v>
      </c>
      <c r="U516" s="471"/>
      <c r="V516" s="471"/>
      <c r="W516" s="471" t="s">
        <v>1084</v>
      </c>
      <c r="X516" s="471">
        <v>1</v>
      </c>
    </row>
    <row r="517" spans="1:26">
      <c r="A517" s="406">
        <v>514</v>
      </c>
      <c r="B517" s="613" t="s">
        <v>5994</v>
      </c>
      <c r="C517" s="288" t="s">
        <v>1085</v>
      </c>
      <c r="D517" s="414" t="s">
        <v>4712</v>
      </c>
      <c r="E517" s="407" t="s">
        <v>8894</v>
      </c>
      <c r="F517" s="483"/>
      <c r="G517" s="483"/>
      <c r="H517" s="483"/>
      <c r="I517" s="483"/>
      <c r="J517" s="483"/>
      <c r="K517" s="483"/>
      <c r="L517" s="608" t="s">
        <v>4884</v>
      </c>
      <c r="M517" s="409">
        <v>7210.7283464566935</v>
      </c>
      <c r="N517" s="409">
        <v>7210.7283464566935</v>
      </c>
      <c r="O517" s="410" t="s">
        <v>7573</v>
      </c>
      <c r="P517" s="406">
        <v>514</v>
      </c>
      <c r="Q517" s="470" t="s">
        <v>1085</v>
      </c>
      <c r="R517" s="460" t="s">
        <v>1086</v>
      </c>
      <c r="S517" s="270" t="s">
        <v>7</v>
      </c>
      <c r="U517" s="471"/>
      <c r="V517" s="471"/>
      <c r="W517" s="471" t="s">
        <v>1086</v>
      </c>
      <c r="X517" s="471">
        <v>0</v>
      </c>
      <c r="Z517" s="270" t="s">
        <v>1044</v>
      </c>
    </row>
    <row r="518" spans="1:26">
      <c r="A518" s="406">
        <v>515</v>
      </c>
      <c r="B518" s="613" t="s">
        <v>5995</v>
      </c>
      <c r="C518" s="288" t="s">
        <v>1087</v>
      </c>
      <c r="D518" s="414" t="s">
        <v>4765</v>
      </c>
      <c r="E518" s="407" t="s">
        <v>8895</v>
      </c>
      <c r="F518" s="483"/>
      <c r="G518" s="483"/>
      <c r="H518" s="483"/>
      <c r="I518" s="483"/>
      <c r="J518" s="483"/>
      <c r="K518" s="483"/>
      <c r="L518" s="608" t="s">
        <v>4884</v>
      </c>
      <c r="M518" s="409">
        <v>6741.4881889763783</v>
      </c>
      <c r="N518" s="409">
        <v>6741.4881889763783</v>
      </c>
      <c r="O518" s="410" t="s">
        <v>7574</v>
      </c>
      <c r="P518" s="406">
        <v>515</v>
      </c>
      <c r="Q518" s="470" t="s">
        <v>1087</v>
      </c>
      <c r="R518" s="460" t="s">
        <v>1088</v>
      </c>
      <c r="S518" s="270" t="s">
        <v>7</v>
      </c>
      <c r="U518" s="471"/>
      <c r="V518" s="471"/>
      <c r="W518" s="471" t="s">
        <v>1088</v>
      </c>
      <c r="X518" s="471">
        <v>0</v>
      </c>
      <c r="Z518" s="270" t="s">
        <v>1047</v>
      </c>
    </row>
    <row r="519" spans="1:26">
      <c r="A519" s="406">
        <v>516</v>
      </c>
      <c r="B519" s="613" t="s">
        <v>5994</v>
      </c>
      <c r="C519" s="288" t="s">
        <v>1089</v>
      </c>
      <c r="D519" s="414" t="s">
        <v>4712</v>
      </c>
      <c r="E519" s="407" t="s">
        <v>8894</v>
      </c>
      <c r="F519" s="483"/>
      <c r="G519" s="483"/>
      <c r="H519" s="483"/>
      <c r="I519" s="483"/>
      <c r="J519" s="483"/>
      <c r="K519" s="483"/>
      <c r="L519" s="608" t="s">
        <v>4884</v>
      </c>
      <c r="M519" s="409">
        <v>7210.7283464566935</v>
      </c>
      <c r="N519" s="409">
        <v>7210.7283464566935</v>
      </c>
      <c r="O519" s="410" t="s">
        <v>7573</v>
      </c>
      <c r="P519" s="406">
        <v>516</v>
      </c>
      <c r="Q519" s="470" t="s">
        <v>1089</v>
      </c>
      <c r="R519" s="460" t="s">
        <v>1090</v>
      </c>
      <c r="S519" s="270" t="s">
        <v>7</v>
      </c>
      <c r="U519" s="471"/>
      <c r="V519" s="471"/>
      <c r="W519" s="471" t="s">
        <v>1090</v>
      </c>
      <c r="X519" s="471">
        <v>0</v>
      </c>
      <c r="Z519" s="270" t="s">
        <v>1044</v>
      </c>
    </row>
    <row r="520" spans="1:26">
      <c r="A520" s="406">
        <v>517</v>
      </c>
      <c r="B520" s="613" t="s">
        <v>5995</v>
      </c>
      <c r="C520" s="288" t="s">
        <v>1091</v>
      </c>
      <c r="D520" s="414" t="s">
        <v>4765</v>
      </c>
      <c r="E520" s="407" t="s">
        <v>8895</v>
      </c>
      <c r="F520" s="483"/>
      <c r="G520" s="483"/>
      <c r="H520" s="483"/>
      <c r="I520" s="483"/>
      <c r="J520" s="483"/>
      <c r="K520" s="483"/>
      <c r="L520" s="608" t="s">
        <v>4884</v>
      </c>
      <c r="M520" s="409">
        <v>6741.4881889763783</v>
      </c>
      <c r="N520" s="409">
        <v>6741.4881889763783</v>
      </c>
      <c r="O520" s="410" t="s">
        <v>7574</v>
      </c>
      <c r="P520" s="406">
        <v>517</v>
      </c>
      <c r="Q520" s="470" t="s">
        <v>1091</v>
      </c>
      <c r="R520" s="460" t="s">
        <v>1092</v>
      </c>
      <c r="S520" s="270" t="s">
        <v>7</v>
      </c>
      <c r="U520" s="471"/>
      <c r="V520" s="471"/>
      <c r="W520" s="471" t="s">
        <v>1092</v>
      </c>
      <c r="X520" s="471">
        <v>0</v>
      </c>
      <c r="Z520" s="270" t="s">
        <v>1047</v>
      </c>
    </row>
    <row r="521" spans="1:26">
      <c r="A521" s="406">
        <v>518</v>
      </c>
      <c r="B521" s="613" t="s">
        <v>5994</v>
      </c>
      <c r="C521" s="288" t="s">
        <v>1093</v>
      </c>
      <c r="D521" s="414" t="s">
        <v>4712</v>
      </c>
      <c r="E521" s="407" t="s">
        <v>8894</v>
      </c>
      <c r="F521" s="483"/>
      <c r="G521" s="483"/>
      <c r="H521" s="483"/>
      <c r="I521" s="483"/>
      <c r="J521" s="483"/>
      <c r="K521" s="483"/>
      <c r="L521" s="608" t="s">
        <v>4884</v>
      </c>
      <c r="M521" s="409">
        <v>7210.7283464566935</v>
      </c>
      <c r="N521" s="409">
        <v>7210.7283464566935</v>
      </c>
      <c r="O521" s="410" t="s">
        <v>7573</v>
      </c>
      <c r="P521" s="406">
        <v>518</v>
      </c>
      <c r="Q521" s="470" t="s">
        <v>1093</v>
      </c>
      <c r="R521" s="460" t="s">
        <v>1094</v>
      </c>
      <c r="S521" s="270" t="s">
        <v>7</v>
      </c>
      <c r="U521" s="471"/>
      <c r="V521" s="471"/>
      <c r="W521" s="471" t="s">
        <v>1094</v>
      </c>
      <c r="X521" s="471">
        <v>0</v>
      </c>
      <c r="Z521" s="270" t="s">
        <v>1044</v>
      </c>
    </row>
    <row r="522" spans="1:26">
      <c r="A522" s="406">
        <v>519</v>
      </c>
      <c r="B522" s="613" t="s">
        <v>5995</v>
      </c>
      <c r="C522" s="288" t="s">
        <v>1095</v>
      </c>
      <c r="D522" s="414" t="s">
        <v>4765</v>
      </c>
      <c r="E522" s="407" t="s">
        <v>8895</v>
      </c>
      <c r="F522" s="483"/>
      <c r="G522" s="483"/>
      <c r="H522" s="483"/>
      <c r="I522" s="483"/>
      <c r="J522" s="483"/>
      <c r="K522" s="483"/>
      <c r="L522" s="608" t="s">
        <v>4884</v>
      </c>
      <c r="M522" s="409">
        <v>6741.4881889763783</v>
      </c>
      <c r="N522" s="409">
        <v>6741.4881889763783</v>
      </c>
      <c r="O522" s="410" t="s">
        <v>7574</v>
      </c>
      <c r="P522" s="406">
        <v>519</v>
      </c>
      <c r="Q522" s="470" t="s">
        <v>1095</v>
      </c>
      <c r="R522" s="460" t="s">
        <v>1096</v>
      </c>
      <c r="S522" s="270" t="s">
        <v>7</v>
      </c>
      <c r="U522" s="471"/>
      <c r="V522" s="471"/>
      <c r="W522" s="471" t="s">
        <v>1096</v>
      </c>
      <c r="X522" s="471">
        <v>0</v>
      </c>
      <c r="Z522" s="270" t="s">
        <v>1047</v>
      </c>
    </row>
    <row r="523" spans="1:26">
      <c r="A523" s="406">
        <v>520</v>
      </c>
      <c r="B523" s="613" t="s">
        <v>6001</v>
      </c>
      <c r="C523" s="288" t="s">
        <v>1097</v>
      </c>
      <c r="D523" s="414" t="s">
        <v>4766</v>
      </c>
      <c r="E523" s="407" t="s">
        <v>8904</v>
      </c>
      <c r="F523" s="483"/>
      <c r="G523" s="483"/>
      <c r="H523" s="483"/>
      <c r="I523" s="483"/>
      <c r="J523" s="483"/>
      <c r="K523" s="483"/>
      <c r="L523" s="608" t="s">
        <v>4884</v>
      </c>
      <c r="M523" s="409">
        <v>5568.6732283464571</v>
      </c>
      <c r="N523" s="409">
        <v>5568.6732283464571</v>
      </c>
      <c r="O523" s="410" t="s">
        <v>7574</v>
      </c>
      <c r="P523" s="406">
        <v>520</v>
      </c>
      <c r="Q523" s="470" t="s">
        <v>1097</v>
      </c>
      <c r="R523" s="460" t="s">
        <v>1098</v>
      </c>
      <c r="S523" s="270" t="s">
        <v>7</v>
      </c>
      <c r="U523" s="471"/>
      <c r="V523" s="471"/>
      <c r="W523" s="471" t="s">
        <v>1098</v>
      </c>
      <c r="X523" s="471">
        <v>1</v>
      </c>
    </row>
    <row r="524" spans="1:26">
      <c r="A524" s="406">
        <v>521</v>
      </c>
      <c r="B524" s="613" t="s">
        <v>5539</v>
      </c>
      <c r="C524" s="288" t="s">
        <v>1099</v>
      </c>
      <c r="D524" s="414" t="s">
        <v>4674</v>
      </c>
      <c r="E524" s="407" t="s">
        <v>8905</v>
      </c>
      <c r="F524" s="483" t="s">
        <v>5537</v>
      </c>
      <c r="G524" s="411" t="s">
        <v>5540</v>
      </c>
      <c r="H524" s="411"/>
      <c r="I524" s="411"/>
      <c r="J524" s="411"/>
      <c r="K524" s="411"/>
      <c r="L524" s="608">
        <v>8129.9370078740167</v>
      </c>
      <c r="M524" s="409">
        <v>7785.6299212598424</v>
      </c>
      <c r="N524" s="409">
        <v>15915.56692913386</v>
      </c>
      <c r="O524" s="410" t="s">
        <v>7768</v>
      </c>
      <c r="P524" s="406">
        <v>521</v>
      </c>
      <c r="Q524" s="470" t="s">
        <v>1099</v>
      </c>
      <c r="R524" s="460" t="s">
        <v>1100</v>
      </c>
      <c r="S524" s="270" t="s">
        <v>7</v>
      </c>
      <c r="U524" s="471"/>
      <c r="V524" s="471"/>
      <c r="W524" s="471" t="s">
        <v>1100</v>
      </c>
      <c r="X524" s="471">
        <v>1</v>
      </c>
      <c r="Z524" s="270" t="s">
        <v>1101</v>
      </c>
    </row>
    <row r="525" spans="1:26">
      <c r="A525" s="406">
        <v>522</v>
      </c>
      <c r="B525" s="613" t="s">
        <v>5533</v>
      </c>
      <c r="C525" s="288" t="s">
        <v>1102</v>
      </c>
      <c r="D525" s="414" t="s">
        <v>4672</v>
      </c>
      <c r="E525" s="407" t="s">
        <v>8503</v>
      </c>
      <c r="F525" s="483" t="s">
        <v>5535</v>
      </c>
      <c r="G525" s="411" t="s">
        <v>5534</v>
      </c>
      <c r="H525" s="411"/>
      <c r="I525" s="411"/>
      <c r="J525" s="411"/>
      <c r="K525" s="411"/>
      <c r="L525" s="608">
        <v>8488.9370078740158</v>
      </c>
      <c r="M525" s="409">
        <v>7074.4724409448818</v>
      </c>
      <c r="N525" s="409">
        <v>15563.409448818898</v>
      </c>
      <c r="O525" s="410" t="s">
        <v>7769</v>
      </c>
      <c r="P525" s="406">
        <v>522</v>
      </c>
      <c r="Q525" s="470" t="s">
        <v>1102</v>
      </c>
      <c r="R525" s="460" t="s">
        <v>1103</v>
      </c>
      <c r="S525" s="270" t="s">
        <v>7</v>
      </c>
      <c r="U525" s="471"/>
      <c r="V525" s="471"/>
      <c r="W525" s="471" t="s">
        <v>1103</v>
      </c>
      <c r="X525" s="471">
        <v>0</v>
      </c>
      <c r="Z525" s="270" t="s">
        <v>1104</v>
      </c>
    </row>
    <row r="526" spans="1:26">
      <c r="A526" s="406">
        <v>523</v>
      </c>
      <c r="B526" s="613" t="s">
        <v>6002</v>
      </c>
      <c r="C526" s="288" t="s">
        <v>1105</v>
      </c>
      <c r="D526" s="414" t="s">
        <v>4681</v>
      </c>
      <c r="E526" s="407" t="s">
        <v>8906</v>
      </c>
      <c r="F526" s="483"/>
      <c r="G526" s="483"/>
      <c r="H526" s="483"/>
      <c r="I526" s="483"/>
      <c r="J526" s="483"/>
      <c r="K526" s="483"/>
      <c r="L526" s="608" t="s">
        <v>4884</v>
      </c>
      <c r="M526" s="409">
        <v>5263.9173228346453</v>
      </c>
      <c r="N526" s="409">
        <v>5263.9173228346453</v>
      </c>
      <c r="O526" s="410" t="s">
        <v>7572</v>
      </c>
      <c r="P526" s="406">
        <v>523</v>
      </c>
      <c r="Q526" s="470" t="s">
        <v>1105</v>
      </c>
      <c r="R526" s="460" t="s">
        <v>1106</v>
      </c>
      <c r="S526" s="270" t="s">
        <v>7</v>
      </c>
      <c r="U526" s="471"/>
      <c r="V526" s="471"/>
      <c r="W526" s="471" t="s">
        <v>1106</v>
      </c>
      <c r="X526" s="471">
        <v>1</v>
      </c>
    </row>
    <row r="527" spans="1:26">
      <c r="A527" s="406">
        <v>524</v>
      </c>
      <c r="B527" s="613" t="s">
        <v>6003</v>
      </c>
      <c r="C527" s="288" t="s">
        <v>1107</v>
      </c>
      <c r="D527" s="414" t="s">
        <v>4826</v>
      </c>
      <c r="E527" s="407" t="s">
        <v>8907</v>
      </c>
      <c r="F527" s="483"/>
      <c r="G527" s="483"/>
      <c r="H527" s="483"/>
      <c r="I527" s="483"/>
      <c r="J527" s="483"/>
      <c r="K527" s="483"/>
      <c r="L527" s="608" t="s">
        <v>4884</v>
      </c>
      <c r="M527" s="409">
        <v>5677.2795275590552</v>
      </c>
      <c r="N527" s="409">
        <v>5677.2795275590552</v>
      </c>
      <c r="O527" s="410" t="s">
        <v>7574</v>
      </c>
      <c r="P527" s="406">
        <v>524</v>
      </c>
      <c r="Q527" s="470" t="s">
        <v>1107</v>
      </c>
      <c r="R527" s="460" t="s">
        <v>1108</v>
      </c>
      <c r="S527" s="270" t="s">
        <v>7</v>
      </c>
      <c r="U527" s="471"/>
      <c r="V527" s="471"/>
      <c r="W527" s="471" t="s">
        <v>1108</v>
      </c>
      <c r="X527" s="471">
        <v>1</v>
      </c>
    </row>
    <row r="528" spans="1:26">
      <c r="A528" s="406">
        <v>525</v>
      </c>
      <c r="B528" s="613" t="s">
        <v>6004</v>
      </c>
      <c r="C528" s="288" t="s">
        <v>1109</v>
      </c>
      <c r="D528" s="414" t="s">
        <v>4755</v>
      </c>
      <c r="E528" s="407" t="s">
        <v>8908</v>
      </c>
      <c r="F528" s="483"/>
      <c r="G528" s="483"/>
      <c r="H528" s="483"/>
      <c r="I528" s="483"/>
      <c r="J528" s="483"/>
      <c r="K528" s="483"/>
      <c r="L528" s="608" t="s">
        <v>4884</v>
      </c>
      <c r="M528" s="409">
        <v>6043.5078740157478</v>
      </c>
      <c r="N528" s="409">
        <v>6043.5078740157478</v>
      </c>
      <c r="O528" s="410" t="s">
        <v>7573</v>
      </c>
      <c r="P528" s="406">
        <v>525</v>
      </c>
      <c r="Q528" s="470" t="s">
        <v>1109</v>
      </c>
      <c r="R528" s="460" t="s">
        <v>1110</v>
      </c>
      <c r="S528" s="270" t="s">
        <v>7</v>
      </c>
      <c r="U528" s="471"/>
      <c r="V528" s="471"/>
      <c r="W528" s="471" t="s">
        <v>1110</v>
      </c>
      <c r="X528" s="471">
        <v>1</v>
      </c>
    </row>
    <row r="529" spans="1:26">
      <c r="A529" s="406">
        <v>526</v>
      </c>
      <c r="B529" s="613" t="s">
        <v>6005</v>
      </c>
      <c r="C529" s="288" t="s">
        <v>1111</v>
      </c>
      <c r="D529" s="414" t="s">
        <v>4677</v>
      </c>
      <c r="E529" s="407" t="s">
        <v>8909</v>
      </c>
      <c r="F529" s="483"/>
      <c r="G529" s="483"/>
      <c r="H529" s="483"/>
      <c r="I529" s="483"/>
      <c r="J529" s="483"/>
      <c r="K529" s="483"/>
      <c r="L529" s="608" t="s">
        <v>4884</v>
      </c>
      <c r="M529" s="409">
        <v>5432.78346456693</v>
      </c>
      <c r="N529" s="409">
        <v>5432.78346456693</v>
      </c>
      <c r="O529" s="410" t="s">
        <v>7572</v>
      </c>
      <c r="P529" s="406">
        <v>526</v>
      </c>
      <c r="Q529" s="470" t="s">
        <v>1111</v>
      </c>
      <c r="R529" s="460" t="s">
        <v>1112</v>
      </c>
      <c r="S529" s="270" t="s">
        <v>7</v>
      </c>
      <c r="U529" s="471"/>
      <c r="V529" s="471"/>
      <c r="W529" s="471" t="s">
        <v>1112</v>
      </c>
      <c r="X529" s="471">
        <v>1</v>
      </c>
    </row>
    <row r="530" spans="1:26">
      <c r="A530" s="406">
        <v>527</v>
      </c>
      <c r="B530" s="613" t="s">
        <v>6006</v>
      </c>
      <c r="C530" s="288" t="s">
        <v>1113</v>
      </c>
      <c r="D530" s="414" t="s">
        <v>4771</v>
      </c>
      <c r="E530" s="407" t="s">
        <v>8910</v>
      </c>
      <c r="F530" s="483"/>
      <c r="G530" s="483"/>
      <c r="H530" s="483"/>
      <c r="I530" s="483"/>
      <c r="J530" s="483"/>
      <c r="K530" s="483"/>
      <c r="L530" s="608" t="s">
        <v>4884</v>
      </c>
      <c r="M530" s="409">
        <v>4696.0590551181103</v>
      </c>
      <c r="N530" s="409">
        <v>4696.0590551181103</v>
      </c>
      <c r="O530" s="410" t="s">
        <v>7569</v>
      </c>
      <c r="P530" s="406">
        <v>527</v>
      </c>
      <c r="Q530" s="470" t="s">
        <v>1113</v>
      </c>
      <c r="R530" s="460" t="s">
        <v>1114</v>
      </c>
      <c r="S530" s="270" t="s">
        <v>7</v>
      </c>
      <c r="U530" s="471"/>
      <c r="V530" s="471"/>
      <c r="W530" s="471" t="s">
        <v>1114</v>
      </c>
      <c r="X530" s="471">
        <v>1</v>
      </c>
    </row>
    <row r="531" spans="1:26">
      <c r="A531" s="406">
        <v>528</v>
      </c>
      <c r="B531" s="613" t="s">
        <v>5858</v>
      </c>
      <c r="C531" s="288" t="s">
        <v>1115</v>
      </c>
      <c r="D531" s="414" t="s">
        <v>3401</v>
      </c>
      <c r="E531" s="407" t="s">
        <v>8911</v>
      </c>
      <c r="F531" s="483"/>
      <c r="G531" s="483"/>
      <c r="H531" s="411"/>
      <c r="I531" s="411"/>
      <c r="J531" s="411"/>
      <c r="K531" s="411"/>
      <c r="L531" s="608" t="s">
        <v>4884</v>
      </c>
      <c r="M531" s="409">
        <v>7597.9251968503941</v>
      </c>
      <c r="N531" s="409">
        <v>7597.9251968503941</v>
      </c>
      <c r="O531" s="410" t="s">
        <v>7575</v>
      </c>
      <c r="P531" s="406">
        <v>528</v>
      </c>
      <c r="Q531" s="470" t="s">
        <v>1115</v>
      </c>
      <c r="R531" s="460" t="s">
        <v>1116</v>
      </c>
      <c r="S531" s="270" t="s">
        <v>32</v>
      </c>
      <c r="U531" s="471"/>
      <c r="V531" s="471">
        <v>1</v>
      </c>
      <c r="W531" s="471" t="s">
        <v>1116</v>
      </c>
      <c r="X531" s="471">
        <v>0</v>
      </c>
    </row>
    <row r="532" spans="1:26">
      <c r="A532" s="406">
        <v>529</v>
      </c>
      <c r="B532" s="613" t="s">
        <v>5859</v>
      </c>
      <c r="C532" s="288" t="s">
        <v>1117</v>
      </c>
      <c r="D532" s="414" t="s">
        <v>3403</v>
      </c>
      <c r="E532" s="407" t="s">
        <v>8912</v>
      </c>
      <c r="F532" s="483"/>
      <c r="G532" s="483"/>
      <c r="H532" s="483"/>
      <c r="I532" s="483"/>
      <c r="J532" s="483"/>
      <c r="K532" s="483"/>
      <c r="L532" s="608" t="s">
        <v>4884</v>
      </c>
      <c r="M532" s="409">
        <v>7597.1850393700797</v>
      </c>
      <c r="N532" s="409">
        <v>7597.1850393700797</v>
      </c>
      <c r="O532" s="410" t="s">
        <v>7575</v>
      </c>
      <c r="P532" s="406">
        <v>529</v>
      </c>
      <c r="Q532" s="470" t="s">
        <v>1117</v>
      </c>
      <c r="R532" s="460" t="s">
        <v>1118</v>
      </c>
      <c r="S532" s="270" t="s">
        <v>32</v>
      </c>
      <c r="U532" s="471"/>
      <c r="V532" s="471">
        <v>1</v>
      </c>
      <c r="W532" s="471" t="s">
        <v>1118</v>
      </c>
      <c r="X532" s="471">
        <v>0</v>
      </c>
    </row>
    <row r="533" spans="1:26">
      <c r="A533" s="406">
        <v>530</v>
      </c>
      <c r="B533" s="613" t="s">
        <v>5539</v>
      </c>
      <c r="C533" s="288" t="s">
        <v>1119</v>
      </c>
      <c r="D533" s="414" t="s">
        <v>4674</v>
      </c>
      <c r="E533" s="407" t="s">
        <v>8905</v>
      </c>
      <c r="F533" s="483" t="s">
        <v>5538</v>
      </c>
      <c r="G533" s="411" t="s">
        <v>5540</v>
      </c>
      <c r="H533" s="411"/>
      <c r="I533" s="411"/>
      <c r="J533" s="411"/>
      <c r="K533" s="411"/>
      <c r="L533" s="608">
        <v>8129.9370078740167</v>
      </c>
      <c r="M533" s="409">
        <v>7040.818897637796</v>
      </c>
      <c r="N533" s="409">
        <v>15170.755905511814</v>
      </c>
      <c r="O533" s="410" t="s">
        <v>7796</v>
      </c>
      <c r="P533" s="406">
        <v>530</v>
      </c>
      <c r="Q533" s="470" t="s">
        <v>1119</v>
      </c>
      <c r="R533" s="460" t="s">
        <v>1120</v>
      </c>
      <c r="S533" s="270" t="s">
        <v>7</v>
      </c>
      <c r="U533" s="471"/>
      <c r="V533" s="471"/>
      <c r="W533" s="471" t="s">
        <v>1120</v>
      </c>
      <c r="X533" s="471">
        <v>0</v>
      </c>
      <c r="Z533" s="270" t="s">
        <v>1121</v>
      </c>
    </row>
    <row r="534" spans="1:26">
      <c r="A534" s="406">
        <v>531</v>
      </c>
      <c r="B534" s="613" t="s">
        <v>6007</v>
      </c>
      <c r="C534" s="288" t="s">
        <v>1122</v>
      </c>
      <c r="D534" s="414" t="s">
        <v>4633</v>
      </c>
      <c r="E534" s="407" t="s">
        <v>8913</v>
      </c>
      <c r="F534" s="483"/>
      <c r="G534" s="483"/>
      <c r="H534" s="483"/>
      <c r="I534" s="483"/>
      <c r="J534" s="483"/>
      <c r="K534" s="483"/>
      <c r="L534" s="608" t="s">
        <v>4884</v>
      </c>
      <c r="M534" s="409">
        <v>10927.043307086615</v>
      </c>
      <c r="N534" s="409">
        <v>10927.043307086615</v>
      </c>
      <c r="O534" s="410" t="s">
        <v>7572</v>
      </c>
      <c r="P534" s="406">
        <v>531</v>
      </c>
      <c r="Q534" s="470" t="s">
        <v>1122</v>
      </c>
      <c r="R534" s="460" t="s">
        <v>1123</v>
      </c>
      <c r="S534" s="270" t="s">
        <v>7</v>
      </c>
      <c r="U534" s="471"/>
      <c r="V534" s="471"/>
      <c r="W534" s="471" t="s">
        <v>1123</v>
      </c>
      <c r="X534" s="471">
        <v>1</v>
      </c>
    </row>
    <row r="535" spans="1:26">
      <c r="A535" s="406">
        <v>532</v>
      </c>
      <c r="B535" s="613" t="s">
        <v>6008</v>
      </c>
      <c r="C535" s="288" t="s">
        <v>1124</v>
      </c>
      <c r="D535" s="414" t="s">
        <v>4865</v>
      </c>
      <c r="E535" s="407" t="s">
        <v>8914</v>
      </c>
      <c r="F535" s="483"/>
      <c r="G535" s="483"/>
      <c r="H535" s="483"/>
      <c r="I535" s="483"/>
      <c r="J535" s="483"/>
      <c r="K535" s="483"/>
      <c r="L535" s="608" t="s">
        <v>4884</v>
      </c>
      <c r="M535" s="409">
        <v>7610.9566929133862</v>
      </c>
      <c r="N535" s="409">
        <v>7610.9566929133862</v>
      </c>
      <c r="O535" s="410" t="s">
        <v>7569</v>
      </c>
      <c r="P535" s="406">
        <v>532</v>
      </c>
      <c r="Q535" s="470" t="s">
        <v>1124</v>
      </c>
      <c r="R535" s="460" t="s">
        <v>1125</v>
      </c>
      <c r="S535" s="270" t="s">
        <v>7</v>
      </c>
      <c r="U535" s="471"/>
      <c r="V535" s="471"/>
      <c r="W535" s="471" t="s">
        <v>1125</v>
      </c>
      <c r="X535" s="471">
        <v>1</v>
      </c>
    </row>
    <row r="536" spans="1:26">
      <c r="A536" s="406">
        <v>533</v>
      </c>
      <c r="B536" s="613" t="s">
        <v>5725</v>
      </c>
      <c r="C536" s="288" t="s">
        <v>1126</v>
      </c>
      <c r="D536" s="414" t="s">
        <v>4663</v>
      </c>
      <c r="E536" s="407" t="s">
        <v>8569</v>
      </c>
      <c r="F536" s="483" t="s">
        <v>5723</v>
      </c>
      <c r="G536" s="411" t="s">
        <v>5726</v>
      </c>
      <c r="H536" s="411"/>
      <c r="I536" s="411"/>
      <c r="J536" s="411"/>
      <c r="K536" s="411"/>
      <c r="L536" s="608">
        <v>6531.7913385826778</v>
      </c>
      <c r="M536" s="409">
        <v>7433.9015748031497</v>
      </c>
      <c r="N536" s="409">
        <v>13965.692913385828</v>
      </c>
      <c r="O536" s="410" t="s">
        <v>7821</v>
      </c>
      <c r="P536" s="406">
        <v>533</v>
      </c>
      <c r="Q536" s="470" t="s">
        <v>1126</v>
      </c>
      <c r="R536" s="460" t="s">
        <v>1127</v>
      </c>
      <c r="S536" s="270" t="s">
        <v>7</v>
      </c>
      <c r="U536" s="471"/>
      <c r="V536" s="471"/>
      <c r="W536" s="471" t="s">
        <v>1127</v>
      </c>
      <c r="X536" s="471">
        <v>1</v>
      </c>
    </row>
    <row r="537" spans="1:26">
      <c r="A537" s="406">
        <v>534</v>
      </c>
      <c r="B537" s="613" t="s">
        <v>5719</v>
      </c>
      <c r="C537" s="288" t="s">
        <v>1128</v>
      </c>
      <c r="D537" s="414" t="s">
        <v>4664</v>
      </c>
      <c r="E537" s="407" t="s">
        <v>8570</v>
      </c>
      <c r="F537" s="483" t="s">
        <v>5722</v>
      </c>
      <c r="G537" s="411" t="s">
        <v>5720</v>
      </c>
      <c r="H537" s="411"/>
      <c r="I537" s="411"/>
      <c r="J537" s="411"/>
      <c r="K537" s="411"/>
      <c r="L537" s="608">
        <v>6382.5590551181103</v>
      </c>
      <c r="M537" s="409">
        <v>7106.7559055118109</v>
      </c>
      <c r="N537" s="409">
        <v>13489.314960629921</v>
      </c>
      <c r="O537" s="410" t="s">
        <v>7787</v>
      </c>
      <c r="P537" s="406">
        <v>534</v>
      </c>
      <c r="Q537" s="470" t="s">
        <v>1128</v>
      </c>
      <c r="R537" s="460" t="s">
        <v>1129</v>
      </c>
      <c r="S537" s="270" t="s">
        <v>7</v>
      </c>
      <c r="U537" s="471"/>
      <c r="V537" s="471"/>
      <c r="W537" s="471" t="s">
        <v>1129</v>
      </c>
      <c r="X537" s="471">
        <v>1</v>
      </c>
    </row>
    <row r="538" spans="1:26">
      <c r="A538" s="406">
        <v>535</v>
      </c>
      <c r="B538" s="613" t="s">
        <v>5717</v>
      </c>
      <c r="C538" s="288" t="s">
        <v>1130</v>
      </c>
      <c r="D538" s="414" t="s">
        <v>4626</v>
      </c>
      <c r="E538" s="407" t="s">
        <v>8571</v>
      </c>
      <c r="F538" s="483" t="s">
        <v>5715</v>
      </c>
      <c r="G538" s="411" t="s">
        <v>5718</v>
      </c>
      <c r="H538" s="411"/>
      <c r="I538" s="411"/>
      <c r="J538" s="411"/>
      <c r="K538" s="411"/>
      <c r="L538" s="608">
        <v>7638.8661417322837</v>
      </c>
      <c r="M538" s="409">
        <v>6787.0551181102364</v>
      </c>
      <c r="N538" s="409">
        <v>14425.92125984252</v>
      </c>
      <c r="O538" s="410" t="s">
        <v>7787</v>
      </c>
      <c r="P538" s="406">
        <v>535</v>
      </c>
      <c r="Q538" s="470" t="s">
        <v>1130</v>
      </c>
      <c r="R538" s="460" t="s">
        <v>1131</v>
      </c>
      <c r="S538" s="270" t="s">
        <v>7</v>
      </c>
      <c r="U538" s="471"/>
      <c r="V538" s="471"/>
      <c r="W538" s="471" t="s">
        <v>1131</v>
      </c>
      <c r="X538" s="471">
        <v>1</v>
      </c>
    </row>
    <row r="539" spans="1:26">
      <c r="A539" s="406">
        <v>536</v>
      </c>
      <c r="B539" s="613" t="s">
        <v>6186</v>
      </c>
      <c r="C539" s="288" t="s">
        <v>1132</v>
      </c>
      <c r="D539" s="414" t="s">
        <v>3404</v>
      </c>
      <c r="E539" s="407" t="s">
        <v>8915</v>
      </c>
      <c r="F539" s="483"/>
      <c r="G539" s="483"/>
      <c r="H539" s="483"/>
      <c r="I539" s="483"/>
      <c r="J539" s="483"/>
      <c r="K539" s="483"/>
      <c r="L539" s="608" t="s">
        <v>4884</v>
      </c>
      <c r="M539" s="409">
        <v>6878.6968503937005</v>
      </c>
      <c r="N539" s="409">
        <v>6878.6968503937005</v>
      </c>
      <c r="O539" s="410" t="s">
        <v>7574</v>
      </c>
      <c r="P539" s="406">
        <v>536</v>
      </c>
      <c r="Q539" s="470" t="s">
        <v>1132</v>
      </c>
      <c r="R539" s="460" t="s">
        <v>1133</v>
      </c>
      <c r="S539" s="270" t="s">
        <v>32</v>
      </c>
      <c r="U539" s="471"/>
      <c r="V539" s="471">
        <v>1</v>
      </c>
      <c r="W539" s="471" t="s">
        <v>1133</v>
      </c>
      <c r="X539" s="471">
        <v>0</v>
      </c>
    </row>
    <row r="540" spans="1:26">
      <c r="A540" s="406">
        <v>537</v>
      </c>
      <c r="B540" s="613" t="s">
        <v>6187</v>
      </c>
      <c r="C540" s="288" t="s">
        <v>1134</v>
      </c>
      <c r="D540" s="414" t="s">
        <v>3447</v>
      </c>
      <c r="E540" s="407" t="s">
        <v>8916</v>
      </c>
      <c r="F540" s="483"/>
      <c r="G540" s="483"/>
      <c r="H540" s="483"/>
      <c r="I540" s="483"/>
      <c r="J540" s="483"/>
      <c r="K540" s="483"/>
      <c r="L540" s="608" t="s">
        <v>4884</v>
      </c>
      <c r="M540" s="409">
        <v>6908.2952755905508</v>
      </c>
      <c r="N540" s="409">
        <v>6908.2952755905508</v>
      </c>
      <c r="O540" s="410" t="s">
        <v>7574</v>
      </c>
      <c r="P540" s="406">
        <v>537</v>
      </c>
      <c r="Q540" s="470" t="s">
        <v>1134</v>
      </c>
      <c r="R540" s="475" t="s">
        <v>1135</v>
      </c>
      <c r="S540" s="270" t="s">
        <v>32</v>
      </c>
      <c r="U540" s="471"/>
      <c r="V540" s="477">
        <v>1</v>
      </c>
      <c r="W540" s="471"/>
      <c r="X540" s="471"/>
      <c r="Z540" s="270" t="s">
        <v>1136</v>
      </c>
    </row>
    <row r="541" spans="1:26">
      <c r="A541" s="406">
        <v>538</v>
      </c>
      <c r="B541" s="613" t="s">
        <v>4975</v>
      </c>
      <c r="C541" s="288" t="s">
        <v>1137</v>
      </c>
      <c r="D541" s="414" t="s">
        <v>3467</v>
      </c>
      <c r="E541" s="407" t="s">
        <v>8917</v>
      </c>
      <c r="F541" s="483" t="s">
        <v>4977</v>
      </c>
      <c r="G541" s="411" t="s">
        <v>4976</v>
      </c>
      <c r="H541" s="411" t="s">
        <v>4978</v>
      </c>
      <c r="I541" s="411"/>
      <c r="J541" s="411"/>
      <c r="K541" s="411"/>
      <c r="L541" s="608">
        <v>9346.1574803149615</v>
      </c>
      <c r="M541" s="409">
        <v>984.66141732283472</v>
      </c>
      <c r="N541" s="409">
        <v>10330.818897637797</v>
      </c>
      <c r="O541" s="410" t="s">
        <v>7760</v>
      </c>
      <c r="P541" s="406">
        <v>538</v>
      </c>
      <c r="Q541" s="470" t="s">
        <v>1137</v>
      </c>
      <c r="R541" s="475" t="s">
        <v>1138</v>
      </c>
      <c r="S541" s="270" t="s">
        <v>32</v>
      </c>
      <c r="U541" s="471"/>
      <c r="V541" s="477">
        <v>1</v>
      </c>
      <c r="W541" s="471"/>
      <c r="X541" s="471"/>
      <c r="Z541" s="270" t="s">
        <v>1136</v>
      </c>
    </row>
    <row r="542" spans="1:26">
      <c r="A542" s="406">
        <v>539</v>
      </c>
      <c r="B542" s="613" t="s">
        <v>6188</v>
      </c>
      <c r="C542" s="288" t="s">
        <v>1139</v>
      </c>
      <c r="D542" s="414" t="s">
        <v>3463</v>
      </c>
      <c r="E542" s="407" t="s">
        <v>8918</v>
      </c>
      <c r="F542" s="483"/>
      <c r="G542" s="483"/>
      <c r="H542" s="483"/>
      <c r="I542" s="483"/>
      <c r="J542" s="483"/>
      <c r="K542" s="483"/>
      <c r="L542" s="608" t="s">
        <v>4884</v>
      </c>
      <c r="M542" s="409">
        <v>10994.759842519687</v>
      </c>
      <c r="N542" s="409">
        <v>10994.759842519687</v>
      </c>
      <c r="O542" s="410" t="s">
        <v>7571</v>
      </c>
      <c r="P542" s="406">
        <v>539</v>
      </c>
      <c r="Q542" s="470" t="s">
        <v>1139</v>
      </c>
      <c r="R542" s="460" t="s">
        <v>1140</v>
      </c>
      <c r="S542" s="270" t="s">
        <v>32</v>
      </c>
      <c r="U542" s="471"/>
      <c r="V542" s="471">
        <v>1</v>
      </c>
      <c r="W542" s="471" t="s">
        <v>1140</v>
      </c>
      <c r="X542" s="471">
        <v>0</v>
      </c>
    </row>
    <row r="543" spans="1:26">
      <c r="A543" s="406">
        <v>540</v>
      </c>
      <c r="B543" s="613" t="s">
        <v>6189</v>
      </c>
      <c r="C543" s="288" t="s">
        <v>1141</v>
      </c>
      <c r="D543" s="414" t="s">
        <v>3405</v>
      </c>
      <c r="E543" s="407" t="s">
        <v>8919</v>
      </c>
      <c r="F543" s="483"/>
      <c r="G543" s="483"/>
      <c r="H543" s="483"/>
      <c r="I543" s="483"/>
      <c r="J543" s="483"/>
      <c r="K543" s="483"/>
      <c r="L543" s="608" t="s">
        <v>4884</v>
      </c>
      <c r="M543" s="409">
        <v>11034.527559055117</v>
      </c>
      <c r="N543" s="409">
        <v>11034.527559055117</v>
      </c>
      <c r="O543" s="410" t="s">
        <v>7574</v>
      </c>
      <c r="P543" s="406">
        <v>540</v>
      </c>
      <c r="Q543" s="470" t="s">
        <v>1141</v>
      </c>
      <c r="R543" s="460" t="s">
        <v>1142</v>
      </c>
      <c r="S543" s="270" t="s">
        <v>32</v>
      </c>
      <c r="U543" s="471"/>
      <c r="V543" s="471">
        <v>1</v>
      </c>
      <c r="W543" s="471" t="s">
        <v>1142</v>
      </c>
      <c r="X543" s="471">
        <v>0</v>
      </c>
    </row>
    <row r="544" spans="1:26">
      <c r="A544" s="406">
        <v>541</v>
      </c>
      <c r="B544" s="613" t="s">
        <v>6190</v>
      </c>
      <c r="C544" s="288" t="s">
        <v>1143</v>
      </c>
      <c r="D544" s="414" t="s">
        <v>3407</v>
      </c>
      <c r="E544" s="407" t="s">
        <v>8920</v>
      </c>
      <c r="F544" s="483"/>
      <c r="G544" s="483"/>
      <c r="H544" s="483"/>
      <c r="I544" s="483"/>
      <c r="J544" s="483"/>
      <c r="K544" s="483"/>
      <c r="L544" s="608" t="s">
        <v>4884</v>
      </c>
      <c r="M544" s="409">
        <v>11020.50787401575</v>
      </c>
      <c r="N544" s="409">
        <v>11020.50787401575</v>
      </c>
      <c r="O544" s="410" t="s">
        <v>7574</v>
      </c>
      <c r="P544" s="406">
        <v>541</v>
      </c>
      <c r="Q544" s="470" t="s">
        <v>1143</v>
      </c>
      <c r="R544" s="460" t="s">
        <v>1144</v>
      </c>
      <c r="S544" s="270" t="s">
        <v>32</v>
      </c>
      <c r="U544" s="471"/>
      <c r="V544" s="471">
        <v>1</v>
      </c>
      <c r="W544" s="471" t="s">
        <v>1144</v>
      </c>
      <c r="X544" s="471">
        <v>0</v>
      </c>
    </row>
    <row r="545" spans="1:26">
      <c r="A545" s="406">
        <v>542</v>
      </c>
      <c r="B545" s="613" t="s">
        <v>6191</v>
      </c>
      <c r="C545" s="288" t="s">
        <v>1145</v>
      </c>
      <c r="D545" s="414" t="s">
        <v>3465</v>
      </c>
      <c r="E545" s="407" t="s">
        <v>8921</v>
      </c>
      <c r="F545" s="483"/>
      <c r="G545" s="483"/>
      <c r="H545" s="483"/>
      <c r="I545" s="483"/>
      <c r="J545" s="483"/>
      <c r="K545" s="483"/>
      <c r="L545" s="608" t="s">
        <v>4884</v>
      </c>
      <c r="M545" s="409">
        <v>11012.716535433072</v>
      </c>
      <c r="N545" s="409">
        <v>11012.716535433072</v>
      </c>
      <c r="O545" s="410" t="s">
        <v>7571</v>
      </c>
      <c r="P545" s="406">
        <v>542</v>
      </c>
      <c r="Q545" s="470" t="s">
        <v>1145</v>
      </c>
      <c r="R545" s="460" t="s">
        <v>1146</v>
      </c>
      <c r="S545" s="270" t="s">
        <v>32</v>
      </c>
      <c r="U545" s="471"/>
      <c r="V545" s="471">
        <v>1</v>
      </c>
      <c r="W545" s="471" t="s">
        <v>1146</v>
      </c>
      <c r="X545" s="471">
        <v>0</v>
      </c>
    </row>
    <row r="546" spans="1:26">
      <c r="A546" s="406">
        <v>543</v>
      </c>
      <c r="B546" s="613" t="s">
        <v>7020</v>
      </c>
      <c r="C546" s="288" t="s">
        <v>1147</v>
      </c>
      <c r="D546" s="414" t="s">
        <v>4884</v>
      </c>
      <c r="E546" s="407"/>
      <c r="F546" s="483"/>
      <c r="G546" s="483"/>
      <c r="H546" s="483"/>
      <c r="I546" s="483"/>
      <c r="J546" s="483"/>
      <c r="K546" s="483"/>
      <c r="L546" s="608" t="s">
        <v>4884</v>
      </c>
      <c r="M546" s="409" t="s">
        <v>4884</v>
      </c>
      <c r="N546" s="409" t="s">
        <v>4884</v>
      </c>
      <c r="O546" s="410" t="s">
        <v>4884</v>
      </c>
      <c r="P546" s="406">
        <v>543</v>
      </c>
      <c r="Q546" s="470" t="s">
        <v>1147</v>
      </c>
      <c r="R546" s="460" t="s">
        <v>1148</v>
      </c>
      <c r="S546" s="270" t="s">
        <v>7</v>
      </c>
      <c r="U546" s="471"/>
      <c r="V546" s="471"/>
      <c r="W546" s="471" t="s">
        <v>1148</v>
      </c>
      <c r="X546" s="471">
        <v>0</v>
      </c>
    </row>
    <row r="547" spans="1:26">
      <c r="A547" s="406">
        <v>544</v>
      </c>
      <c r="B547" s="613" t="s">
        <v>7020</v>
      </c>
      <c r="C547" s="288" t="s">
        <v>1149</v>
      </c>
      <c r="D547" s="414" t="s">
        <v>4884</v>
      </c>
      <c r="E547" s="407"/>
      <c r="F547" s="483"/>
      <c r="G547" s="483"/>
      <c r="H547" s="483"/>
      <c r="I547" s="483"/>
      <c r="J547" s="483"/>
      <c r="K547" s="483"/>
      <c r="L547" s="608" t="s">
        <v>4884</v>
      </c>
      <c r="M547" s="409" t="s">
        <v>4884</v>
      </c>
      <c r="N547" s="409" t="s">
        <v>4884</v>
      </c>
      <c r="O547" s="410" t="s">
        <v>4884</v>
      </c>
      <c r="P547" s="406">
        <v>544</v>
      </c>
      <c r="Q547" s="470" t="s">
        <v>1149</v>
      </c>
      <c r="R547" s="460" t="s">
        <v>1150</v>
      </c>
      <c r="S547" s="270" t="s">
        <v>7</v>
      </c>
      <c r="U547" s="471"/>
      <c r="V547" s="471"/>
      <c r="W547" s="471" t="s">
        <v>1150</v>
      </c>
      <c r="X547" s="471">
        <v>0</v>
      </c>
    </row>
    <row r="548" spans="1:26">
      <c r="A548" s="406">
        <v>545</v>
      </c>
      <c r="B548" s="613" t="s">
        <v>5553</v>
      </c>
      <c r="C548" s="288" t="s">
        <v>1151</v>
      </c>
      <c r="D548" s="414" t="s">
        <v>4632</v>
      </c>
      <c r="E548" s="407" t="s">
        <v>8900</v>
      </c>
      <c r="F548" s="483" t="s">
        <v>5551</v>
      </c>
      <c r="G548" s="411" t="s">
        <v>5554</v>
      </c>
      <c r="H548" s="411"/>
      <c r="I548" s="411"/>
      <c r="J548" s="411"/>
      <c r="K548" s="411"/>
      <c r="L548" s="608">
        <v>10547.003937007874</v>
      </c>
      <c r="M548" s="409">
        <v>7586.2952755905517</v>
      </c>
      <c r="N548" s="409">
        <v>18133.299212598424</v>
      </c>
      <c r="O548" s="410" t="s">
        <v>7769</v>
      </c>
      <c r="P548" s="406">
        <v>545</v>
      </c>
      <c r="Q548" s="470" t="s">
        <v>1151</v>
      </c>
      <c r="R548" s="460" t="s">
        <v>1152</v>
      </c>
      <c r="S548" s="270" t="s">
        <v>7</v>
      </c>
      <c r="U548" s="471"/>
      <c r="V548" s="471"/>
      <c r="W548" s="471" t="s">
        <v>1152</v>
      </c>
      <c r="X548" s="471">
        <v>1</v>
      </c>
      <c r="Z548" s="270" t="s">
        <v>1153</v>
      </c>
    </row>
    <row r="549" spans="1:26">
      <c r="A549" s="406">
        <v>546</v>
      </c>
      <c r="B549" s="613" t="s">
        <v>5561</v>
      </c>
      <c r="C549" s="288" t="s">
        <v>1154</v>
      </c>
      <c r="D549" s="414" t="s">
        <v>4665</v>
      </c>
      <c r="E549" s="407" t="s">
        <v>8898</v>
      </c>
      <c r="F549" s="483" t="s">
        <v>5559</v>
      </c>
      <c r="G549" s="411" t="s">
        <v>5562</v>
      </c>
      <c r="H549" s="411"/>
      <c r="I549" s="411"/>
      <c r="J549" s="411"/>
      <c r="K549" s="411"/>
      <c r="L549" s="608">
        <v>11503.440944881891</v>
      </c>
      <c r="M549" s="409">
        <v>9255.78346456693</v>
      </c>
      <c r="N549" s="409">
        <v>20759.22440944882</v>
      </c>
      <c r="O549" s="410" t="s">
        <v>7829</v>
      </c>
      <c r="P549" s="406">
        <v>546</v>
      </c>
      <c r="Q549" s="470" t="s">
        <v>1154</v>
      </c>
      <c r="R549" s="460" t="s">
        <v>1155</v>
      </c>
      <c r="S549" s="270" t="s">
        <v>7</v>
      </c>
      <c r="U549" s="471"/>
      <c r="V549" s="471"/>
      <c r="W549" s="471" t="s">
        <v>1155</v>
      </c>
      <c r="X549" s="471">
        <v>1</v>
      </c>
      <c r="Z549" s="270" t="s">
        <v>1156</v>
      </c>
    </row>
    <row r="550" spans="1:26">
      <c r="A550" s="406">
        <v>547</v>
      </c>
      <c r="B550" s="613" t="s">
        <v>6687</v>
      </c>
      <c r="C550" s="288" t="s">
        <v>1157</v>
      </c>
      <c r="D550" s="414" t="s">
        <v>4671</v>
      </c>
      <c r="E550" s="407" t="s">
        <v>8566</v>
      </c>
      <c r="F550" s="483" t="s">
        <v>5545</v>
      </c>
      <c r="G550" s="411" t="s">
        <v>5735</v>
      </c>
      <c r="H550" s="411"/>
      <c r="I550" s="411"/>
      <c r="J550" s="411"/>
      <c r="K550" s="411"/>
      <c r="L550" s="608">
        <v>906.40944881889766</v>
      </c>
      <c r="M550" s="409">
        <v>6371.0905511811034</v>
      </c>
      <c r="N550" s="409">
        <v>17012.413385826771</v>
      </c>
      <c r="O550" s="410" t="s">
        <v>7830</v>
      </c>
      <c r="P550" s="406">
        <v>547</v>
      </c>
      <c r="Q550" s="470" t="s">
        <v>1157</v>
      </c>
      <c r="R550" s="460" t="s">
        <v>1158</v>
      </c>
      <c r="S550" s="270" t="s">
        <v>7</v>
      </c>
      <c r="U550" s="471"/>
      <c r="V550" s="471"/>
      <c r="W550" s="471" t="s">
        <v>1158</v>
      </c>
      <c r="X550" s="471">
        <v>1</v>
      </c>
      <c r="Z550" s="270" t="s">
        <v>1159</v>
      </c>
    </row>
    <row r="551" spans="1:26">
      <c r="A551" s="406">
        <v>548</v>
      </c>
      <c r="B551" s="613" t="s">
        <v>7020</v>
      </c>
      <c r="C551" s="288" t="s">
        <v>1160</v>
      </c>
      <c r="D551" s="414" t="s">
        <v>4884</v>
      </c>
      <c r="E551" s="407"/>
      <c r="F551" s="483"/>
      <c r="G551" s="483"/>
      <c r="H551" s="483"/>
      <c r="I551" s="483"/>
      <c r="J551" s="483"/>
      <c r="K551" s="483"/>
      <c r="L551" s="608" t="s">
        <v>4884</v>
      </c>
      <c r="M551" s="409" t="s">
        <v>4884</v>
      </c>
      <c r="N551" s="409" t="s">
        <v>4884</v>
      </c>
      <c r="O551" s="410" t="s">
        <v>4884</v>
      </c>
      <c r="P551" s="406">
        <v>548</v>
      </c>
      <c r="Q551" s="480" t="s">
        <v>1160</v>
      </c>
      <c r="R551" s="481" t="s">
        <v>1161</v>
      </c>
      <c r="S551" s="465" t="s">
        <v>32</v>
      </c>
      <c r="T551" s="482"/>
      <c r="U551" s="464"/>
      <c r="V551" s="464">
        <v>0</v>
      </c>
      <c r="W551" s="478"/>
      <c r="X551" s="464"/>
      <c r="Y551" s="465"/>
      <c r="Z551" s="465"/>
    </row>
    <row r="552" spans="1:26">
      <c r="A552" s="406">
        <v>549</v>
      </c>
      <c r="B552" s="613" t="s">
        <v>6192</v>
      </c>
      <c r="C552" s="288" t="s">
        <v>1162</v>
      </c>
      <c r="D552" s="414" t="s">
        <v>3468</v>
      </c>
      <c r="E552" s="407" t="s">
        <v>8922</v>
      </c>
      <c r="F552" s="483"/>
      <c r="G552" s="483"/>
      <c r="H552" s="483"/>
      <c r="I552" s="483"/>
      <c r="J552" s="483"/>
      <c r="K552" s="483"/>
      <c r="L552" s="608" t="s">
        <v>4884</v>
      </c>
      <c r="M552" s="409">
        <v>12951.515748031497</v>
      </c>
      <c r="N552" s="409">
        <v>12951.515748031497</v>
      </c>
      <c r="O552" s="410" t="s">
        <v>7574</v>
      </c>
      <c r="P552" s="406">
        <v>549</v>
      </c>
      <c r="Q552" s="470" t="s">
        <v>1162</v>
      </c>
      <c r="R552" s="460" t="s">
        <v>1163</v>
      </c>
      <c r="S552" s="270" t="s">
        <v>32</v>
      </c>
      <c r="U552" s="471"/>
      <c r="V552" s="471">
        <v>1</v>
      </c>
      <c r="W552" s="471" t="s">
        <v>1163</v>
      </c>
      <c r="X552" s="471">
        <v>0</v>
      </c>
    </row>
    <row r="553" spans="1:26">
      <c r="A553" s="406">
        <v>550</v>
      </c>
      <c r="B553" s="613" t="s">
        <v>6193</v>
      </c>
      <c r="C553" s="288" t="s">
        <v>1164</v>
      </c>
      <c r="D553" s="414" t="s">
        <v>3471</v>
      </c>
      <c r="E553" s="407" t="s">
        <v>8923</v>
      </c>
      <c r="F553" s="483"/>
      <c r="G553" s="483"/>
      <c r="H553" s="483"/>
      <c r="I553" s="483"/>
      <c r="J553" s="483"/>
      <c r="K553" s="483"/>
      <c r="L553" s="608" t="s">
        <v>4884</v>
      </c>
      <c r="M553" s="409">
        <v>12951.712598425198</v>
      </c>
      <c r="N553" s="409">
        <v>12951.712598425198</v>
      </c>
      <c r="O553" s="410" t="s">
        <v>7574</v>
      </c>
      <c r="P553" s="406">
        <v>550</v>
      </c>
      <c r="Q553" s="470" t="s">
        <v>1164</v>
      </c>
      <c r="R553" s="460" t="s">
        <v>1165</v>
      </c>
      <c r="S553" s="270" t="s">
        <v>32</v>
      </c>
      <c r="U553" s="471"/>
      <c r="V553" s="471">
        <v>1</v>
      </c>
      <c r="W553" s="471" t="s">
        <v>1165</v>
      </c>
      <c r="X553" s="471">
        <v>0</v>
      </c>
    </row>
    <row r="554" spans="1:26">
      <c r="A554" s="406">
        <v>551</v>
      </c>
      <c r="B554" s="613" t="s">
        <v>5617</v>
      </c>
      <c r="C554" s="288" t="s">
        <v>1166</v>
      </c>
      <c r="D554" s="414" t="s">
        <v>3455</v>
      </c>
      <c r="E554" s="407" t="s">
        <v>8544</v>
      </c>
      <c r="F554" s="483" t="s">
        <v>5620</v>
      </c>
      <c r="G554" s="411" t="s">
        <v>5618</v>
      </c>
      <c r="H554" s="411"/>
      <c r="I554" s="411"/>
      <c r="J554" s="411"/>
      <c r="K554" s="411"/>
      <c r="L554" s="608">
        <v>5629.0905511811034</v>
      </c>
      <c r="M554" s="409">
        <v>7322.4685039370079</v>
      </c>
      <c r="N554" s="409">
        <v>12951.559055118112</v>
      </c>
      <c r="O554" s="410" t="s">
        <v>7819</v>
      </c>
      <c r="P554" s="406">
        <v>551</v>
      </c>
      <c r="Q554" s="470" t="s">
        <v>1166</v>
      </c>
      <c r="R554" s="460" t="s">
        <v>1167</v>
      </c>
      <c r="S554" s="270" t="s">
        <v>32</v>
      </c>
      <c r="U554" s="471"/>
      <c r="V554" s="471">
        <v>0</v>
      </c>
      <c r="W554" s="471" t="s">
        <v>1167</v>
      </c>
      <c r="X554" s="471">
        <v>0</v>
      </c>
    </row>
    <row r="555" spans="1:26">
      <c r="A555" s="406">
        <v>552</v>
      </c>
      <c r="B555" s="613" t="s">
        <v>5609</v>
      </c>
      <c r="C555" s="288" t="s">
        <v>1168</v>
      </c>
      <c r="D555" s="414" t="s">
        <v>3461</v>
      </c>
      <c r="E555" s="407" t="s">
        <v>8545</v>
      </c>
      <c r="F555" s="483" t="s">
        <v>5612</v>
      </c>
      <c r="G555" s="411" t="s">
        <v>5610</v>
      </c>
      <c r="H555" s="411"/>
      <c r="I555" s="411"/>
      <c r="J555" s="411"/>
      <c r="K555" s="411"/>
      <c r="L555" s="608">
        <v>5629.2401574803152</v>
      </c>
      <c r="M555" s="409">
        <v>7321.9173228346453</v>
      </c>
      <c r="N555" s="409">
        <v>12951.15748031496</v>
      </c>
      <c r="O555" s="410" t="s">
        <v>7803</v>
      </c>
      <c r="P555" s="406">
        <v>552</v>
      </c>
      <c r="Q555" s="470" t="s">
        <v>1168</v>
      </c>
      <c r="R555" s="460" t="s">
        <v>1169</v>
      </c>
      <c r="S555" s="270" t="s">
        <v>32</v>
      </c>
      <c r="U555" s="471"/>
      <c r="V555" s="471">
        <v>0</v>
      </c>
      <c r="W555" s="471" t="s">
        <v>1169</v>
      </c>
      <c r="X555" s="471">
        <v>0</v>
      </c>
    </row>
    <row r="556" spans="1:26">
      <c r="A556" s="406">
        <v>553</v>
      </c>
      <c r="B556" s="613" t="s">
        <v>5601</v>
      </c>
      <c r="C556" s="288" t="s">
        <v>1170</v>
      </c>
      <c r="D556" s="414" t="s">
        <v>3456</v>
      </c>
      <c r="E556" s="407" t="s">
        <v>8546</v>
      </c>
      <c r="F556" s="483" t="s">
        <v>5604</v>
      </c>
      <c r="G556" s="411" t="s">
        <v>5602</v>
      </c>
      <c r="H556" s="411"/>
      <c r="I556" s="411"/>
      <c r="J556" s="411"/>
      <c r="K556" s="411"/>
      <c r="L556" s="608">
        <v>5629.5433070866138</v>
      </c>
      <c r="M556" s="409">
        <v>7321.4881889763783</v>
      </c>
      <c r="N556" s="409">
        <v>12951.031496062991</v>
      </c>
      <c r="O556" s="410" t="s">
        <v>7759</v>
      </c>
      <c r="P556" s="406">
        <v>553</v>
      </c>
      <c r="Q556" s="470" t="s">
        <v>1170</v>
      </c>
      <c r="R556" s="460" t="s">
        <v>1171</v>
      </c>
      <c r="S556" s="270" t="s">
        <v>32</v>
      </c>
      <c r="U556" s="471"/>
      <c r="V556" s="471">
        <v>0</v>
      </c>
      <c r="W556" s="471" t="s">
        <v>1171</v>
      </c>
      <c r="X556" s="471">
        <v>0</v>
      </c>
    </row>
    <row r="557" spans="1:26">
      <c r="A557" s="406">
        <v>554</v>
      </c>
      <c r="B557" s="613" t="s">
        <v>5593</v>
      </c>
      <c r="C557" s="288" t="s">
        <v>1172</v>
      </c>
      <c r="D557" s="414" t="s">
        <v>3466</v>
      </c>
      <c r="E557" s="407" t="s">
        <v>8547</v>
      </c>
      <c r="F557" s="483" t="s">
        <v>5596</v>
      </c>
      <c r="G557" s="411" t="s">
        <v>5594</v>
      </c>
      <c r="H557" s="411"/>
      <c r="I557" s="411"/>
      <c r="J557" s="411"/>
      <c r="K557" s="411"/>
      <c r="L557" s="608">
        <v>5628.6220472440955</v>
      </c>
      <c r="M557" s="409">
        <v>7321.6692913385832</v>
      </c>
      <c r="N557" s="409">
        <v>12950.291338582678</v>
      </c>
      <c r="O557" s="410" t="s">
        <v>7775</v>
      </c>
      <c r="P557" s="406">
        <v>554</v>
      </c>
      <c r="Q557" s="470" t="s">
        <v>1172</v>
      </c>
      <c r="R557" s="460" t="s">
        <v>1173</v>
      </c>
      <c r="S557" s="270" t="s">
        <v>32</v>
      </c>
      <c r="U557" s="471"/>
      <c r="V557" s="471">
        <v>0</v>
      </c>
      <c r="W557" s="471" t="s">
        <v>1173</v>
      </c>
      <c r="X557" s="471">
        <v>0</v>
      </c>
    </row>
    <row r="558" spans="1:26">
      <c r="A558" s="406">
        <v>555</v>
      </c>
      <c r="B558" s="613" t="s">
        <v>5623</v>
      </c>
      <c r="C558" s="288" t="s">
        <v>1174</v>
      </c>
      <c r="D558" s="414" t="s">
        <v>3457</v>
      </c>
      <c r="E558" s="407" t="s">
        <v>8548</v>
      </c>
      <c r="F558" s="483" t="s">
        <v>5621</v>
      </c>
      <c r="G558" s="411" t="s">
        <v>5624</v>
      </c>
      <c r="H558" s="411"/>
      <c r="I558" s="411"/>
      <c r="J558" s="411"/>
      <c r="K558" s="411"/>
      <c r="L558" s="608">
        <v>5629.3779527559054</v>
      </c>
      <c r="M558" s="409">
        <v>7321.7362204724413</v>
      </c>
      <c r="N558" s="409">
        <v>12951.114173228347</v>
      </c>
      <c r="O558" s="410" t="s">
        <v>7819</v>
      </c>
      <c r="P558" s="406">
        <v>555</v>
      </c>
      <c r="Q558" s="470" t="s">
        <v>1174</v>
      </c>
      <c r="R558" s="460" t="s">
        <v>1175</v>
      </c>
      <c r="S558" s="270" t="s">
        <v>32</v>
      </c>
      <c r="U558" s="471"/>
      <c r="V558" s="471">
        <v>0</v>
      </c>
      <c r="W558" s="471" t="s">
        <v>1175</v>
      </c>
      <c r="X558" s="471">
        <v>0</v>
      </c>
    </row>
    <row r="559" spans="1:26">
      <c r="A559" s="406">
        <v>556</v>
      </c>
      <c r="B559" s="613" t="s">
        <v>5615</v>
      </c>
      <c r="C559" s="288" t="s">
        <v>1176</v>
      </c>
      <c r="D559" s="414" t="s">
        <v>3459</v>
      </c>
      <c r="E559" s="407" t="s">
        <v>8549</v>
      </c>
      <c r="F559" s="483" t="s">
        <v>5613</v>
      </c>
      <c r="G559" s="411" t="s">
        <v>5616</v>
      </c>
      <c r="H559" s="411"/>
      <c r="I559" s="411"/>
      <c r="J559" s="411"/>
      <c r="K559" s="411"/>
      <c r="L559" s="608">
        <v>5628.8700787401576</v>
      </c>
      <c r="M559" s="409">
        <v>7321.6968503937014</v>
      </c>
      <c r="N559" s="409">
        <v>12950.566929133858</v>
      </c>
      <c r="O559" s="410" t="s">
        <v>7803</v>
      </c>
      <c r="P559" s="406">
        <v>556</v>
      </c>
      <c r="Q559" s="470" t="s">
        <v>1176</v>
      </c>
      <c r="R559" s="460" t="s">
        <v>1177</v>
      </c>
      <c r="S559" s="270" t="s">
        <v>32</v>
      </c>
      <c r="U559" s="471"/>
      <c r="V559" s="471">
        <v>0</v>
      </c>
      <c r="W559" s="471" t="s">
        <v>1177</v>
      </c>
      <c r="X559" s="471">
        <v>0</v>
      </c>
    </row>
    <row r="560" spans="1:26">
      <c r="A560" s="406">
        <v>557</v>
      </c>
      <c r="B560" s="613" t="s">
        <v>5648</v>
      </c>
      <c r="C560" s="288" t="s">
        <v>1178</v>
      </c>
      <c r="D560" s="414" t="s">
        <v>3450</v>
      </c>
      <c r="E560" s="407" t="s">
        <v>8534</v>
      </c>
      <c r="F560" s="483" t="s">
        <v>5651</v>
      </c>
      <c r="G560" s="411" t="s">
        <v>5649</v>
      </c>
      <c r="H560" s="411"/>
      <c r="I560" s="411"/>
      <c r="J560" s="411"/>
      <c r="K560" s="411"/>
      <c r="L560" s="608">
        <v>5628.6614173228345</v>
      </c>
      <c r="M560" s="409">
        <v>7321.9133858267714</v>
      </c>
      <c r="N560" s="409">
        <v>12950.574803149606</v>
      </c>
      <c r="O560" s="410" t="s">
        <v>7752</v>
      </c>
      <c r="P560" s="406">
        <v>557</v>
      </c>
      <c r="Q560" s="470" t="s">
        <v>1178</v>
      </c>
      <c r="R560" s="460" t="s">
        <v>1179</v>
      </c>
      <c r="S560" s="270" t="s">
        <v>32</v>
      </c>
      <c r="U560" s="471"/>
      <c r="V560" s="471">
        <v>0</v>
      </c>
      <c r="W560" s="471" t="s">
        <v>1179</v>
      </c>
      <c r="X560" s="471">
        <v>0</v>
      </c>
    </row>
    <row r="561" spans="1:26">
      <c r="A561" s="406">
        <v>558</v>
      </c>
      <c r="B561" s="613" t="s">
        <v>5641</v>
      </c>
      <c r="C561" s="288" t="s">
        <v>1180</v>
      </c>
      <c r="D561" s="414" t="s">
        <v>3451</v>
      </c>
      <c r="E561" s="407" t="s">
        <v>8535</v>
      </c>
      <c r="F561" s="483" t="s">
        <v>6680</v>
      </c>
      <c r="G561" s="483" t="s">
        <v>6684</v>
      </c>
      <c r="H561" s="411" t="s">
        <v>5642</v>
      </c>
      <c r="I561" s="411"/>
      <c r="J561" s="411"/>
      <c r="K561" s="411"/>
      <c r="L561" s="608">
        <v>4566.3267716535438</v>
      </c>
      <c r="M561" s="409">
        <v>2755.4330708661419</v>
      </c>
      <c r="N561" s="409">
        <v>12950.98031496063</v>
      </c>
      <c r="O561" s="410" t="s">
        <v>7831</v>
      </c>
      <c r="P561" s="406">
        <v>558</v>
      </c>
      <c r="Q561" s="470" t="s">
        <v>1180</v>
      </c>
      <c r="R561" s="460" t="s">
        <v>1181</v>
      </c>
      <c r="S561" s="270" t="s">
        <v>32</v>
      </c>
      <c r="U561" s="471"/>
      <c r="V561" s="471">
        <v>0</v>
      </c>
      <c r="W561" s="471" t="s">
        <v>1181</v>
      </c>
      <c r="X561" s="471">
        <v>0</v>
      </c>
    </row>
    <row r="562" spans="1:26">
      <c r="A562" s="406">
        <v>559</v>
      </c>
      <c r="B562" s="613" t="s">
        <v>5633</v>
      </c>
      <c r="C562" s="288" t="s">
        <v>1182</v>
      </c>
      <c r="D562" s="414" t="s">
        <v>3409</v>
      </c>
      <c r="E562" s="407" t="s">
        <v>8536</v>
      </c>
      <c r="F562" s="483" t="s">
        <v>5636</v>
      </c>
      <c r="G562" s="411" t="s">
        <v>5634</v>
      </c>
      <c r="H562" s="411"/>
      <c r="I562" s="411"/>
      <c r="J562" s="411"/>
      <c r="K562" s="411"/>
      <c r="L562" s="608">
        <v>5629.2007874015744</v>
      </c>
      <c r="M562" s="409">
        <v>7322.0905511811025</v>
      </c>
      <c r="N562" s="409">
        <v>12951.291338582678</v>
      </c>
      <c r="O562" s="410" t="s">
        <v>7785</v>
      </c>
      <c r="P562" s="406">
        <v>559</v>
      </c>
      <c r="Q562" s="470" t="s">
        <v>1182</v>
      </c>
      <c r="R562" s="460" t="s">
        <v>1183</v>
      </c>
      <c r="S562" s="270" t="s">
        <v>32</v>
      </c>
      <c r="U562" s="471"/>
      <c r="V562" s="471">
        <v>0</v>
      </c>
      <c r="W562" s="471" t="s">
        <v>1183</v>
      </c>
      <c r="X562" s="471">
        <v>0</v>
      </c>
    </row>
    <row r="563" spans="1:26">
      <c r="A563" s="406">
        <v>560</v>
      </c>
      <c r="B563" s="613" t="s">
        <v>5625</v>
      </c>
      <c r="C563" s="288" t="s">
        <v>1184</v>
      </c>
      <c r="D563" s="414" t="s">
        <v>3449</v>
      </c>
      <c r="E563" s="407" t="s">
        <v>8537</v>
      </c>
      <c r="F563" s="483" t="s">
        <v>5628</v>
      </c>
      <c r="G563" s="411" t="s">
        <v>5626</v>
      </c>
      <c r="H563" s="411"/>
      <c r="I563" s="411"/>
      <c r="J563" s="411"/>
      <c r="K563" s="411"/>
      <c r="L563" s="608">
        <v>5629.1299212598424</v>
      </c>
      <c r="M563" s="409">
        <v>7321.9921259842522</v>
      </c>
      <c r="N563" s="409">
        <v>12951.122047244093</v>
      </c>
      <c r="O563" s="410" t="s">
        <v>7787</v>
      </c>
      <c r="P563" s="406">
        <v>560</v>
      </c>
      <c r="Q563" s="470" t="s">
        <v>1184</v>
      </c>
      <c r="R563" s="460" t="s">
        <v>1185</v>
      </c>
      <c r="S563" s="270" t="s">
        <v>32</v>
      </c>
      <c r="U563" s="471"/>
      <c r="V563" s="471">
        <v>0</v>
      </c>
      <c r="W563" s="471" t="s">
        <v>1185</v>
      </c>
      <c r="X563" s="471">
        <v>0</v>
      </c>
    </row>
    <row r="564" spans="1:26">
      <c r="A564" s="406">
        <v>561</v>
      </c>
      <c r="B564" s="613" t="s">
        <v>5654</v>
      </c>
      <c r="C564" s="288" t="s">
        <v>1186</v>
      </c>
      <c r="D564" s="414" t="s">
        <v>3452</v>
      </c>
      <c r="E564" s="407" t="s">
        <v>8538</v>
      </c>
      <c r="F564" s="483" t="s">
        <v>5652</v>
      </c>
      <c r="G564" s="411" t="s">
        <v>5655</v>
      </c>
      <c r="H564" s="411"/>
      <c r="I564" s="411"/>
      <c r="J564" s="411"/>
      <c r="K564" s="411"/>
      <c r="L564" s="608">
        <v>5629.3070866141734</v>
      </c>
      <c r="M564" s="409">
        <v>7321.3070866141734</v>
      </c>
      <c r="N564" s="409">
        <v>12950.614173228347</v>
      </c>
      <c r="O564" s="410" t="s">
        <v>7822</v>
      </c>
      <c r="P564" s="406">
        <v>561</v>
      </c>
      <c r="Q564" s="470" t="s">
        <v>1186</v>
      </c>
      <c r="R564" s="460" t="s">
        <v>1187</v>
      </c>
      <c r="S564" s="270" t="s">
        <v>32</v>
      </c>
      <c r="U564" s="471"/>
      <c r="V564" s="471">
        <v>0</v>
      </c>
      <c r="W564" s="471" t="s">
        <v>1187</v>
      </c>
      <c r="X564" s="471">
        <v>0</v>
      </c>
    </row>
    <row r="565" spans="1:26">
      <c r="A565" s="406">
        <v>562</v>
      </c>
      <c r="B565" s="613" t="s">
        <v>5646</v>
      </c>
      <c r="C565" s="288" t="s">
        <v>1188</v>
      </c>
      <c r="D565" s="414" t="s">
        <v>3453</v>
      </c>
      <c r="E565" s="407" t="s">
        <v>8539</v>
      </c>
      <c r="F565" s="483" t="s">
        <v>5644</v>
      </c>
      <c r="G565" s="411" t="s">
        <v>5647</v>
      </c>
      <c r="H565" s="411"/>
      <c r="I565" s="411"/>
      <c r="J565" s="411"/>
      <c r="K565" s="411"/>
      <c r="L565" s="608">
        <v>5629.1850393700788</v>
      </c>
      <c r="M565" s="409">
        <v>7321.5787401574808</v>
      </c>
      <c r="N565" s="409">
        <v>12950.763779527559</v>
      </c>
      <c r="O565" s="410" t="s">
        <v>7772</v>
      </c>
      <c r="P565" s="406">
        <v>562</v>
      </c>
      <c r="Q565" s="470" t="s">
        <v>1188</v>
      </c>
      <c r="R565" s="460" t="s">
        <v>1189</v>
      </c>
      <c r="S565" s="270" t="s">
        <v>32</v>
      </c>
      <c r="U565" s="471"/>
      <c r="V565" s="471">
        <v>0</v>
      </c>
      <c r="W565" s="471" t="s">
        <v>1189</v>
      </c>
      <c r="X565" s="471">
        <v>0</v>
      </c>
    </row>
    <row r="566" spans="1:26">
      <c r="A566" s="406">
        <v>563</v>
      </c>
      <c r="B566" s="613" t="s">
        <v>5639</v>
      </c>
      <c r="C566" s="288" t="s">
        <v>1190</v>
      </c>
      <c r="D566" s="414" t="s">
        <v>3408</v>
      </c>
      <c r="E566" s="407" t="s">
        <v>8540</v>
      </c>
      <c r="F566" s="483" t="s">
        <v>5637</v>
      </c>
      <c r="G566" s="411" t="s">
        <v>5640</v>
      </c>
      <c r="H566" s="411"/>
      <c r="I566" s="411"/>
      <c r="J566" s="411"/>
      <c r="K566" s="411"/>
      <c r="L566" s="608">
        <v>5628.9330708661419</v>
      </c>
      <c r="M566" s="409">
        <v>7321.9842519685044</v>
      </c>
      <c r="N566" s="409">
        <v>12950.917322834646</v>
      </c>
      <c r="O566" s="410" t="s">
        <v>7785</v>
      </c>
      <c r="P566" s="406">
        <v>563</v>
      </c>
      <c r="Q566" s="470" t="s">
        <v>1190</v>
      </c>
      <c r="R566" s="460" t="s">
        <v>1191</v>
      </c>
      <c r="S566" s="270" t="s">
        <v>32</v>
      </c>
      <c r="U566" s="471"/>
      <c r="V566" s="471">
        <v>0</v>
      </c>
      <c r="W566" s="471" t="s">
        <v>1191</v>
      </c>
      <c r="X566" s="471">
        <v>0</v>
      </c>
    </row>
    <row r="567" spans="1:26">
      <c r="A567" s="406">
        <v>564</v>
      </c>
      <c r="B567" s="613" t="s">
        <v>5631</v>
      </c>
      <c r="C567" s="288" t="s">
        <v>1192</v>
      </c>
      <c r="D567" s="414" t="s">
        <v>3448</v>
      </c>
      <c r="E567" s="407" t="s">
        <v>8541</v>
      </c>
      <c r="F567" s="483" t="s">
        <v>5629</v>
      </c>
      <c r="G567" s="411" t="s">
        <v>5632</v>
      </c>
      <c r="H567" s="411"/>
      <c r="I567" s="411"/>
      <c r="J567" s="411"/>
      <c r="K567" s="411"/>
      <c r="L567" s="608">
        <v>5628.4488188976384</v>
      </c>
      <c r="M567" s="409">
        <v>7322.1259842519685</v>
      </c>
      <c r="N567" s="409">
        <v>12950.574803149608</v>
      </c>
      <c r="O567" s="410" t="s">
        <v>7787</v>
      </c>
      <c r="P567" s="406">
        <v>564</v>
      </c>
      <c r="Q567" s="470" t="s">
        <v>1192</v>
      </c>
      <c r="R567" s="460" t="s">
        <v>1193</v>
      </c>
      <c r="S567" s="270" t="s">
        <v>32</v>
      </c>
      <c r="U567" s="471"/>
      <c r="V567" s="471">
        <v>0</v>
      </c>
      <c r="W567" s="471" t="s">
        <v>1193</v>
      </c>
      <c r="X567" s="471">
        <v>0</v>
      </c>
    </row>
    <row r="568" spans="1:26">
      <c r="A568" s="406">
        <v>565</v>
      </c>
      <c r="B568" s="613" t="s">
        <v>7020</v>
      </c>
      <c r="C568" s="288" t="s">
        <v>1194</v>
      </c>
      <c r="D568" s="414" t="s">
        <v>4884</v>
      </c>
      <c r="E568" s="407"/>
      <c r="F568" s="483" t="s">
        <v>7743</v>
      </c>
      <c r="G568" s="483" t="s">
        <v>5013</v>
      </c>
      <c r="H568" s="411"/>
      <c r="I568" s="411"/>
      <c r="J568" s="411"/>
      <c r="K568" s="411"/>
      <c r="L568" s="608" t="s">
        <v>4884</v>
      </c>
      <c r="M568" s="409" t="s">
        <v>4884</v>
      </c>
      <c r="N568" s="409" t="s">
        <v>4884</v>
      </c>
      <c r="O568" s="410" t="s">
        <v>4884</v>
      </c>
      <c r="P568" s="406">
        <v>565</v>
      </c>
      <c r="Q568" s="470" t="s">
        <v>1194</v>
      </c>
      <c r="R568" s="460" t="s">
        <v>1195</v>
      </c>
      <c r="S568" s="270" t="s">
        <v>32</v>
      </c>
      <c r="U568" s="471">
        <v>0</v>
      </c>
      <c r="V568" s="471"/>
      <c r="W568" s="471" t="s">
        <v>1195</v>
      </c>
      <c r="X568" s="471">
        <v>0</v>
      </c>
    </row>
    <row r="569" spans="1:26">
      <c r="A569" s="406">
        <v>566</v>
      </c>
      <c r="B569" s="613" t="s">
        <v>5860</v>
      </c>
      <c r="C569" s="288" t="s">
        <v>1196</v>
      </c>
      <c r="D569" s="414" t="s">
        <v>3442</v>
      </c>
      <c r="E569" s="407" t="s">
        <v>8924</v>
      </c>
      <c r="F569" s="483"/>
      <c r="G569" s="483"/>
      <c r="H569" s="483"/>
      <c r="I569" s="483"/>
      <c r="J569" s="483"/>
      <c r="K569" s="483"/>
      <c r="L569" s="608" t="s">
        <v>4884</v>
      </c>
      <c r="M569" s="409">
        <v>12951.996062992128</v>
      </c>
      <c r="N569" s="409">
        <v>12951.996062992128</v>
      </c>
      <c r="O569" s="410" t="s">
        <v>7569</v>
      </c>
      <c r="P569" s="406">
        <v>566</v>
      </c>
      <c r="Q569" s="470" t="s">
        <v>1196</v>
      </c>
      <c r="R569" s="460" t="s">
        <v>1197</v>
      </c>
      <c r="S569" s="270" t="s">
        <v>32</v>
      </c>
      <c r="U569" s="471"/>
      <c r="V569" s="471">
        <v>1</v>
      </c>
      <c r="W569" s="471" t="s">
        <v>1197</v>
      </c>
      <c r="X569" s="471">
        <v>0</v>
      </c>
    </row>
    <row r="570" spans="1:26">
      <c r="A570" s="406">
        <v>567</v>
      </c>
      <c r="B570" s="613" t="s">
        <v>5607</v>
      </c>
      <c r="C570" s="288" t="s">
        <v>1198</v>
      </c>
      <c r="D570" s="414" t="s">
        <v>3454</v>
      </c>
      <c r="E570" s="407" t="s">
        <v>8550</v>
      </c>
      <c r="F570" s="483" t="s">
        <v>5605</v>
      </c>
      <c r="G570" s="411" t="s">
        <v>5608</v>
      </c>
      <c r="H570" s="411"/>
      <c r="I570" s="411"/>
      <c r="J570" s="411"/>
      <c r="K570" s="411"/>
      <c r="L570" s="608">
        <v>5629.4330708661419</v>
      </c>
      <c r="M570" s="409">
        <v>7321.7598425196857</v>
      </c>
      <c r="N570" s="409">
        <v>12951.192913385827</v>
      </c>
      <c r="O570" s="410" t="s">
        <v>7759</v>
      </c>
      <c r="P570" s="406">
        <v>567</v>
      </c>
      <c r="Q570" s="470" t="s">
        <v>1198</v>
      </c>
      <c r="R570" s="460" t="s">
        <v>1199</v>
      </c>
      <c r="S570" s="270" t="s">
        <v>32</v>
      </c>
      <c r="U570" s="471"/>
      <c r="V570" s="466">
        <v>0</v>
      </c>
      <c r="W570" s="471" t="s">
        <v>1199</v>
      </c>
      <c r="X570" s="471">
        <v>0</v>
      </c>
      <c r="Z570" s="270" t="s">
        <v>1200</v>
      </c>
    </row>
    <row r="571" spans="1:26">
      <c r="A571" s="406">
        <v>568</v>
      </c>
      <c r="B571" s="613" t="s">
        <v>5861</v>
      </c>
      <c r="C571" s="288" t="s">
        <v>1201</v>
      </c>
      <c r="D571" s="414" t="s">
        <v>3445</v>
      </c>
      <c r="E571" s="407" t="s">
        <v>8925</v>
      </c>
      <c r="F571" s="483"/>
      <c r="G571" s="483"/>
      <c r="H571" s="483"/>
      <c r="I571" s="483"/>
      <c r="J571" s="483"/>
      <c r="K571" s="483"/>
      <c r="L571" s="608" t="s">
        <v>4884</v>
      </c>
      <c r="M571" s="409">
        <v>12951.228346456694</v>
      </c>
      <c r="N571" s="409">
        <v>12951.228346456694</v>
      </c>
      <c r="O571" s="410" t="s">
        <v>7569</v>
      </c>
      <c r="P571" s="406">
        <v>568</v>
      </c>
      <c r="Q571" s="470" t="s">
        <v>1201</v>
      </c>
      <c r="R571" s="460" t="s">
        <v>1202</v>
      </c>
      <c r="S571" s="270" t="s">
        <v>32</v>
      </c>
      <c r="U571" s="471"/>
      <c r="V571" s="464">
        <v>1</v>
      </c>
      <c r="W571" s="471" t="s">
        <v>1202</v>
      </c>
      <c r="X571" s="471">
        <v>0</v>
      </c>
    </row>
    <row r="572" spans="1:26">
      <c r="A572" s="406">
        <v>569</v>
      </c>
      <c r="B572" s="613" t="s">
        <v>5599</v>
      </c>
      <c r="C572" s="288" t="s">
        <v>1203</v>
      </c>
      <c r="D572" s="414" t="s">
        <v>3464</v>
      </c>
      <c r="E572" s="407" t="s">
        <v>8551</v>
      </c>
      <c r="F572" s="483" t="s">
        <v>5597</v>
      </c>
      <c r="G572" s="411" t="s">
        <v>5600</v>
      </c>
      <c r="H572" s="411"/>
      <c r="I572" s="411"/>
      <c r="J572" s="411"/>
      <c r="K572" s="411"/>
      <c r="L572" s="608">
        <v>5629.1220472440955</v>
      </c>
      <c r="M572" s="409">
        <v>7321.3622047244098</v>
      </c>
      <c r="N572" s="409">
        <v>12950.484251968506</v>
      </c>
      <c r="O572" s="410" t="s">
        <v>7775</v>
      </c>
      <c r="P572" s="406">
        <v>569</v>
      </c>
      <c r="Q572" s="470" t="s">
        <v>1203</v>
      </c>
      <c r="R572" s="460" t="s">
        <v>1204</v>
      </c>
      <c r="S572" s="270" t="s">
        <v>32</v>
      </c>
      <c r="U572" s="471"/>
      <c r="V572" s="466">
        <v>0</v>
      </c>
      <c r="W572" s="471" t="s">
        <v>1204</v>
      </c>
      <c r="X572" s="471">
        <v>0</v>
      </c>
      <c r="Z572" s="270" t="s">
        <v>1205</v>
      </c>
    </row>
    <row r="573" spans="1:26">
      <c r="A573" s="406">
        <v>570</v>
      </c>
      <c r="B573" s="613" t="s">
        <v>6009</v>
      </c>
      <c r="C573" s="288" t="s">
        <v>1206</v>
      </c>
      <c r="D573" s="414" t="s">
        <v>4747</v>
      </c>
      <c r="E573" s="407" t="s">
        <v>8926</v>
      </c>
      <c r="F573" s="483"/>
      <c r="G573" s="483"/>
      <c r="H573" s="483"/>
      <c r="I573" s="483"/>
      <c r="J573" s="483"/>
      <c r="K573" s="483"/>
      <c r="L573" s="608" t="s">
        <v>4884</v>
      </c>
      <c r="M573" s="409">
        <v>4172.8425196850394</v>
      </c>
      <c r="N573" s="409">
        <v>4172.8425196850394</v>
      </c>
      <c r="O573" s="410" t="s">
        <v>7573</v>
      </c>
      <c r="P573" s="406">
        <v>570</v>
      </c>
      <c r="Q573" s="470" t="s">
        <v>1206</v>
      </c>
      <c r="R573" s="270" t="s">
        <v>1207</v>
      </c>
      <c r="S573" s="270" t="s">
        <v>7</v>
      </c>
      <c r="U573" s="471"/>
      <c r="V573" s="471"/>
      <c r="W573" s="471" t="s">
        <v>1207</v>
      </c>
      <c r="X573" s="471">
        <v>1</v>
      </c>
    </row>
    <row r="574" spans="1:26">
      <c r="A574" s="406">
        <v>571</v>
      </c>
      <c r="B574" s="613" t="s">
        <v>6010</v>
      </c>
      <c r="C574" s="288" t="s">
        <v>1208</v>
      </c>
      <c r="D574" s="414" t="s">
        <v>4808</v>
      </c>
      <c r="E574" s="407" t="s">
        <v>8927</v>
      </c>
      <c r="F574" s="483"/>
      <c r="G574" s="483"/>
      <c r="H574" s="483"/>
      <c r="I574" s="483"/>
      <c r="J574" s="483"/>
      <c r="K574" s="483"/>
      <c r="L574" s="608" t="s">
        <v>4884</v>
      </c>
      <c r="M574" s="409">
        <v>7699.6732283464571</v>
      </c>
      <c r="N574" s="409">
        <v>7699.6732283464571</v>
      </c>
      <c r="O574" s="410" t="s">
        <v>7569</v>
      </c>
      <c r="P574" s="406">
        <v>571</v>
      </c>
      <c r="Q574" s="470" t="s">
        <v>1208</v>
      </c>
      <c r="R574" s="270" t="s">
        <v>1209</v>
      </c>
      <c r="S574" s="270" t="s">
        <v>7</v>
      </c>
      <c r="U574" s="471"/>
      <c r="V574" s="471"/>
      <c r="W574" s="471" t="s">
        <v>1209</v>
      </c>
      <c r="X574" s="471">
        <v>1</v>
      </c>
    </row>
    <row r="575" spans="1:26">
      <c r="A575" s="406">
        <v>572</v>
      </c>
      <c r="B575" s="613" t="s">
        <v>6011</v>
      </c>
      <c r="C575" s="288" t="s">
        <v>1210</v>
      </c>
      <c r="D575" s="414" t="s">
        <v>4744</v>
      </c>
      <c r="E575" s="407" t="s">
        <v>8928</v>
      </c>
      <c r="F575" s="483"/>
      <c r="G575" s="483"/>
      <c r="H575" s="483"/>
      <c r="I575" s="483"/>
      <c r="J575" s="483"/>
      <c r="K575" s="483"/>
      <c r="L575" s="608" t="s">
        <v>4884</v>
      </c>
      <c r="M575" s="409">
        <v>5324.1732283464571</v>
      </c>
      <c r="N575" s="409">
        <v>5324.1732283464571</v>
      </c>
      <c r="O575" s="410" t="s">
        <v>7575</v>
      </c>
      <c r="P575" s="406">
        <v>572</v>
      </c>
      <c r="Q575" s="470" t="s">
        <v>1210</v>
      </c>
      <c r="R575" s="460" t="s">
        <v>1211</v>
      </c>
      <c r="S575" s="270" t="s">
        <v>7</v>
      </c>
      <c r="U575" s="471"/>
      <c r="V575" s="471"/>
      <c r="W575" s="471" t="s">
        <v>1211</v>
      </c>
      <c r="X575" s="471">
        <v>1</v>
      </c>
    </row>
    <row r="576" spans="1:26">
      <c r="A576" s="406">
        <v>573</v>
      </c>
      <c r="B576" s="613" t="s">
        <v>6012</v>
      </c>
      <c r="C576" s="288" t="s">
        <v>1212</v>
      </c>
      <c r="D576" s="414" t="s">
        <v>4866</v>
      </c>
      <c r="E576" s="407" t="s">
        <v>8929</v>
      </c>
      <c r="F576" s="483"/>
      <c r="G576" s="483"/>
      <c r="H576" s="483"/>
      <c r="I576" s="483"/>
      <c r="J576" s="483"/>
      <c r="K576" s="483"/>
      <c r="L576" s="608" t="s">
        <v>4884</v>
      </c>
      <c r="M576" s="409">
        <v>7332.3740157480315</v>
      </c>
      <c r="N576" s="409">
        <v>7332.3740157480315</v>
      </c>
      <c r="O576" s="410" t="s">
        <v>7569</v>
      </c>
      <c r="P576" s="406">
        <v>573</v>
      </c>
      <c r="Q576" s="470" t="s">
        <v>1212</v>
      </c>
      <c r="R576" s="460" t="s">
        <v>1213</v>
      </c>
      <c r="S576" s="270" t="s">
        <v>7</v>
      </c>
      <c r="U576" s="471"/>
      <c r="V576" s="471"/>
      <c r="W576" s="471" t="s">
        <v>1213</v>
      </c>
      <c r="X576" s="471">
        <v>1</v>
      </c>
      <c r="Y576" s="206"/>
      <c r="Z576" s="206"/>
    </row>
    <row r="577" spans="1:26">
      <c r="A577" s="406">
        <v>574</v>
      </c>
      <c r="B577" s="613" t="s">
        <v>6013</v>
      </c>
      <c r="C577" s="288" t="s">
        <v>1214</v>
      </c>
      <c r="D577" s="414" t="s">
        <v>4867</v>
      </c>
      <c r="E577" s="407" t="s">
        <v>8930</v>
      </c>
      <c r="F577" s="483"/>
      <c r="G577" s="483"/>
      <c r="H577" s="483"/>
      <c r="I577" s="483"/>
      <c r="J577" s="483"/>
      <c r="K577" s="483"/>
      <c r="L577" s="608" t="s">
        <v>4884</v>
      </c>
      <c r="M577" s="409">
        <v>8143.4488188976384</v>
      </c>
      <c r="N577" s="409">
        <v>8143.4488188976384</v>
      </c>
      <c r="O577" s="410" t="s">
        <v>7569</v>
      </c>
      <c r="P577" s="406">
        <v>574</v>
      </c>
      <c r="Q577" s="470" t="s">
        <v>1214</v>
      </c>
      <c r="R577" s="460" t="s">
        <v>1215</v>
      </c>
      <c r="S577" s="270" t="s">
        <v>7</v>
      </c>
      <c r="U577" s="471"/>
      <c r="V577" s="471"/>
      <c r="W577" s="471" t="s">
        <v>1215</v>
      </c>
      <c r="X577" s="471">
        <v>1</v>
      </c>
      <c r="Y577" s="206"/>
      <c r="Z577" s="206"/>
    </row>
    <row r="578" spans="1:26">
      <c r="A578" s="406">
        <v>575</v>
      </c>
      <c r="B578" s="613" t="s">
        <v>7020</v>
      </c>
      <c r="C578" s="288" t="s">
        <v>1216</v>
      </c>
      <c r="D578" s="414" t="s">
        <v>4884</v>
      </c>
      <c r="E578" s="407"/>
      <c r="F578" s="483" t="s">
        <v>5004</v>
      </c>
      <c r="G578" s="411"/>
      <c r="H578" s="411"/>
      <c r="I578" s="411"/>
      <c r="J578" s="411"/>
      <c r="K578" s="411"/>
      <c r="L578" s="608" t="s">
        <v>4884</v>
      </c>
      <c r="M578" s="409" t="s">
        <v>4884</v>
      </c>
      <c r="N578" s="409" t="s">
        <v>4884</v>
      </c>
      <c r="O578" s="410" t="s">
        <v>4884</v>
      </c>
      <c r="P578" s="406">
        <v>575</v>
      </c>
      <c r="Q578" s="470" t="s">
        <v>1216</v>
      </c>
      <c r="R578" s="474" t="s">
        <v>1217</v>
      </c>
      <c r="S578" s="270" t="s">
        <v>7</v>
      </c>
      <c r="U578" s="471"/>
      <c r="V578" s="471"/>
      <c r="W578" s="471" t="s">
        <v>1217</v>
      </c>
      <c r="X578" s="471">
        <v>0</v>
      </c>
      <c r="Y578" s="206"/>
      <c r="Z578" s="206"/>
    </row>
    <row r="579" spans="1:26">
      <c r="A579" s="406">
        <v>576</v>
      </c>
      <c r="B579" s="613" t="s">
        <v>6014</v>
      </c>
      <c r="C579" s="288" t="s">
        <v>1218</v>
      </c>
      <c r="D579" s="414" t="s">
        <v>4796</v>
      </c>
      <c r="E579" s="407" t="s">
        <v>8931</v>
      </c>
      <c r="F579" s="483"/>
      <c r="G579" s="483"/>
      <c r="H579" s="483"/>
      <c r="I579" s="483"/>
      <c r="J579" s="483"/>
      <c r="K579" s="483"/>
      <c r="L579" s="608" t="s">
        <v>4884</v>
      </c>
      <c r="M579" s="409">
        <v>6155.2283464566935</v>
      </c>
      <c r="N579" s="409">
        <v>6155.2283464566935</v>
      </c>
      <c r="O579" s="410" t="s">
        <v>7575</v>
      </c>
      <c r="P579" s="406">
        <v>576</v>
      </c>
      <c r="Q579" s="470" t="s">
        <v>1218</v>
      </c>
      <c r="R579" s="460" t="s">
        <v>1219</v>
      </c>
      <c r="S579" s="270" t="s">
        <v>7</v>
      </c>
      <c r="U579" s="471"/>
      <c r="V579" s="471"/>
      <c r="W579" s="471" t="s">
        <v>1219</v>
      </c>
      <c r="X579" s="471">
        <v>1</v>
      </c>
      <c r="Y579" s="206"/>
      <c r="Z579" s="206"/>
    </row>
    <row r="580" spans="1:26">
      <c r="A580" s="406">
        <v>577</v>
      </c>
      <c r="B580" s="613" t="s">
        <v>6015</v>
      </c>
      <c r="C580" s="288" t="s">
        <v>1220</v>
      </c>
      <c r="D580" s="414" t="s">
        <v>4659</v>
      </c>
      <c r="E580" s="407" t="s">
        <v>8932</v>
      </c>
      <c r="F580" s="483"/>
      <c r="G580" s="483"/>
      <c r="H580" s="483"/>
      <c r="I580" s="483"/>
      <c r="J580" s="483"/>
      <c r="K580" s="483"/>
      <c r="L580" s="608" t="s">
        <v>4884</v>
      </c>
      <c r="M580" s="409">
        <v>5855.4448818897636</v>
      </c>
      <c r="N580" s="409">
        <v>5855.4448818897636</v>
      </c>
      <c r="O580" s="410" t="s">
        <v>7575</v>
      </c>
      <c r="P580" s="406">
        <v>577</v>
      </c>
      <c r="Q580" s="470" t="s">
        <v>1220</v>
      </c>
      <c r="R580" s="460" t="s">
        <v>1221</v>
      </c>
      <c r="S580" s="270" t="s">
        <v>7</v>
      </c>
      <c r="U580" s="471"/>
      <c r="V580" s="471"/>
      <c r="W580" s="471" t="s">
        <v>1221</v>
      </c>
      <c r="X580" s="471">
        <v>1</v>
      </c>
      <c r="Y580" s="206"/>
      <c r="Z580" s="206"/>
    </row>
    <row r="581" spans="1:26">
      <c r="A581" s="406">
        <v>578</v>
      </c>
      <c r="B581" s="613" t="s">
        <v>3178</v>
      </c>
      <c r="C581" s="288" t="s">
        <v>1222</v>
      </c>
      <c r="D581" s="414" t="s">
        <v>4785</v>
      </c>
      <c r="E581" s="407" t="s">
        <v>8933</v>
      </c>
      <c r="F581" s="483" t="s">
        <v>3177</v>
      </c>
      <c r="G581" s="411" t="s">
        <v>3180</v>
      </c>
      <c r="H581" s="411" t="s">
        <v>3179</v>
      </c>
      <c r="I581" s="411"/>
      <c r="J581" s="411"/>
      <c r="K581" s="411"/>
      <c r="L581" s="608">
        <v>11455.708661417324</v>
      </c>
      <c r="M581" s="409">
        <v>4644.6102362204729</v>
      </c>
      <c r="N581" s="409">
        <v>16100.318897637797</v>
      </c>
      <c r="O581" s="410" t="s">
        <v>7805</v>
      </c>
      <c r="P581" s="406">
        <v>578</v>
      </c>
      <c r="Q581" s="470" t="s">
        <v>1222</v>
      </c>
      <c r="R581" s="460" t="s">
        <v>1223</v>
      </c>
      <c r="S581" s="270" t="s">
        <v>7</v>
      </c>
      <c r="U581" s="471"/>
      <c r="V581" s="471"/>
      <c r="W581" s="471" t="s">
        <v>1223</v>
      </c>
      <c r="X581" s="471">
        <v>0</v>
      </c>
      <c r="Y581" s="206"/>
      <c r="Z581" s="206"/>
    </row>
    <row r="582" spans="1:26">
      <c r="A582" s="406">
        <v>579</v>
      </c>
      <c r="B582" s="613" t="s">
        <v>3182</v>
      </c>
      <c r="C582" s="288" t="s">
        <v>1224</v>
      </c>
      <c r="D582" s="414" t="s">
        <v>4783</v>
      </c>
      <c r="E582" s="407" t="s">
        <v>8934</v>
      </c>
      <c r="F582" s="483" t="s">
        <v>3181</v>
      </c>
      <c r="G582" s="411" t="s">
        <v>3184</v>
      </c>
      <c r="H582" s="411" t="s">
        <v>3183</v>
      </c>
      <c r="I582" s="411"/>
      <c r="J582" s="411"/>
      <c r="K582" s="411"/>
      <c r="L582" s="608">
        <v>11455.84251968504</v>
      </c>
      <c r="M582" s="409">
        <v>4644.822834645669</v>
      </c>
      <c r="N582" s="409">
        <v>16100.665354330709</v>
      </c>
      <c r="O582" s="410" t="s">
        <v>7805</v>
      </c>
      <c r="P582" s="406">
        <v>579</v>
      </c>
      <c r="Q582" s="470" t="s">
        <v>1224</v>
      </c>
      <c r="R582" s="460" t="s">
        <v>1225</v>
      </c>
      <c r="S582" s="270" t="s">
        <v>7</v>
      </c>
      <c r="U582" s="471"/>
      <c r="V582" s="471"/>
      <c r="W582" s="471" t="s">
        <v>1225</v>
      </c>
      <c r="X582" s="471">
        <v>0</v>
      </c>
      <c r="Y582" s="206"/>
      <c r="Z582" s="206"/>
    </row>
    <row r="583" spans="1:26">
      <c r="A583" s="406">
        <v>580</v>
      </c>
      <c r="B583" s="613" t="s">
        <v>3178</v>
      </c>
      <c r="C583" s="288" t="s">
        <v>1226</v>
      </c>
      <c r="D583" s="414" t="s">
        <v>4785</v>
      </c>
      <c r="E583" s="407" t="s">
        <v>8933</v>
      </c>
      <c r="F583" s="483" t="s">
        <v>3174</v>
      </c>
      <c r="G583" s="483" t="s">
        <v>3173</v>
      </c>
      <c r="H583" s="411" t="s">
        <v>3180</v>
      </c>
      <c r="I583" s="411" t="s">
        <v>3179</v>
      </c>
      <c r="J583" s="411"/>
      <c r="K583" s="411"/>
      <c r="L583" s="608">
        <v>11455.708661417324</v>
      </c>
      <c r="M583" s="409">
        <v>4644.4960629921261</v>
      </c>
      <c r="N583" s="409">
        <v>16100.20472440945</v>
      </c>
      <c r="O583" s="410" t="s">
        <v>7750</v>
      </c>
      <c r="P583" s="406">
        <v>580</v>
      </c>
      <c r="Q583" s="470" t="s">
        <v>1226</v>
      </c>
      <c r="R583" s="460" t="s">
        <v>1227</v>
      </c>
      <c r="S583" s="270" t="s">
        <v>7</v>
      </c>
      <c r="U583" s="471"/>
      <c r="V583" s="471"/>
      <c r="W583" s="471" t="s">
        <v>1227</v>
      </c>
      <c r="X583" s="471">
        <v>1</v>
      </c>
      <c r="Y583" s="206"/>
      <c r="Z583" s="206"/>
    </row>
    <row r="584" spans="1:26">
      <c r="A584" s="406">
        <v>581</v>
      </c>
      <c r="B584" s="613" t="s">
        <v>3182</v>
      </c>
      <c r="C584" s="288" t="s">
        <v>1228</v>
      </c>
      <c r="D584" s="414" t="s">
        <v>4783</v>
      </c>
      <c r="E584" s="407" t="s">
        <v>8934</v>
      </c>
      <c r="F584" s="483" t="s">
        <v>3176</v>
      </c>
      <c r="G584" s="483" t="s">
        <v>3175</v>
      </c>
      <c r="H584" s="411" t="s">
        <v>3184</v>
      </c>
      <c r="I584" s="411" t="s">
        <v>3183</v>
      </c>
      <c r="J584" s="411"/>
      <c r="K584" s="411"/>
      <c r="L584" s="608">
        <v>11455.84251968504</v>
      </c>
      <c r="M584" s="409">
        <v>4645.2834645669291</v>
      </c>
      <c r="N584" s="409">
        <v>16101.12598425197</v>
      </c>
      <c r="O584" s="410" t="s">
        <v>7750</v>
      </c>
      <c r="P584" s="406">
        <v>581</v>
      </c>
      <c r="Q584" s="470" t="s">
        <v>1228</v>
      </c>
      <c r="R584" s="460" t="s">
        <v>1229</v>
      </c>
      <c r="S584" s="270" t="s">
        <v>7</v>
      </c>
      <c r="U584" s="471"/>
      <c r="V584" s="471"/>
      <c r="W584" s="471" t="s">
        <v>1229</v>
      </c>
      <c r="X584" s="471">
        <v>1</v>
      </c>
      <c r="Y584" s="206"/>
      <c r="Z584" s="206"/>
    </row>
    <row r="585" spans="1:26">
      <c r="A585" s="406">
        <v>582</v>
      </c>
      <c r="B585" s="613" t="s">
        <v>3286</v>
      </c>
      <c r="C585" s="288" t="s">
        <v>1230</v>
      </c>
      <c r="D585" s="414" t="s">
        <v>4842</v>
      </c>
      <c r="E585" s="407" t="s">
        <v>8935</v>
      </c>
      <c r="F585" s="483" t="s">
        <v>3285</v>
      </c>
      <c r="G585" s="411" t="s">
        <v>3288</v>
      </c>
      <c r="H585" s="411" t="s">
        <v>3287</v>
      </c>
      <c r="I585" s="411"/>
      <c r="J585" s="411"/>
      <c r="K585" s="411"/>
      <c r="L585" s="608">
        <v>15432.20472440945</v>
      </c>
      <c r="M585" s="409">
        <v>4644.6141732283468</v>
      </c>
      <c r="N585" s="409">
        <v>20076.818897637797</v>
      </c>
      <c r="O585" s="410" t="s">
        <v>7832</v>
      </c>
      <c r="P585" s="406">
        <v>582</v>
      </c>
      <c r="Q585" s="470" t="s">
        <v>1230</v>
      </c>
      <c r="R585" s="460" t="s">
        <v>1231</v>
      </c>
      <c r="S585" s="270" t="s">
        <v>7</v>
      </c>
      <c r="U585" s="471"/>
      <c r="V585" s="471"/>
      <c r="W585" s="471" t="s">
        <v>1231</v>
      </c>
      <c r="X585" s="471">
        <v>0</v>
      </c>
      <c r="Y585" s="206"/>
      <c r="Z585" s="206"/>
    </row>
    <row r="586" spans="1:26">
      <c r="A586" s="406">
        <v>583</v>
      </c>
      <c r="B586" s="613" t="s">
        <v>3290</v>
      </c>
      <c r="C586" s="288" t="s">
        <v>1232</v>
      </c>
      <c r="D586" s="414" t="s">
        <v>4840</v>
      </c>
      <c r="E586" s="407" t="s">
        <v>8936</v>
      </c>
      <c r="F586" s="483" t="s">
        <v>3289</v>
      </c>
      <c r="G586" s="411" t="s">
        <v>3292</v>
      </c>
      <c r="H586" s="411" t="s">
        <v>3291</v>
      </c>
      <c r="I586" s="411"/>
      <c r="J586" s="411"/>
      <c r="K586" s="411"/>
      <c r="L586" s="608">
        <v>15432</v>
      </c>
      <c r="M586" s="409">
        <v>4644.9055118110236</v>
      </c>
      <c r="N586" s="409">
        <v>20076.905511811023</v>
      </c>
      <c r="O586" s="410" t="s">
        <v>7832</v>
      </c>
      <c r="P586" s="406">
        <v>583</v>
      </c>
      <c r="Q586" s="470" t="s">
        <v>1232</v>
      </c>
      <c r="R586" s="460" t="s">
        <v>1233</v>
      </c>
      <c r="S586" s="270" t="s">
        <v>7</v>
      </c>
      <c r="U586" s="471"/>
      <c r="V586" s="471"/>
      <c r="W586" s="471" t="s">
        <v>1233</v>
      </c>
      <c r="X586" s="471">
        <v>0</v>
      </c>
      <c r="Y586" s="206"/>
      <c r="Z586" s="206"/>
    </row>
    <row r="587" spans="1:26">
      <c r="A587" s="406">
        <v>584</v>
      </c>
      <c r="B587" s="613" t="s">
        <v>3286</v>
      </c>
      <c r="C587" s="288" t="s">
        <v>1234</v>
      </c>
      <c r="D587" s="414" t="s">
        <v>4842</v>
      </c>
      <c r="E587" s="407" t="s">
        <v>8935</v>
      </c>
      <c r="F587" s="483" t="s">
        <v>3282</v>
      </c>
      <c r="G587" s="483" t="s">
        <v>3281</v>
      </c>
      <c r="H587" s="411" t="s">
        <v>3288</v>
      </c>
      <c r="I587" s="411" t="s">
        <v>3287</v>
      </c>
      <c r="J587" s="411"/>
      <c r="K587" s="411"/>
      <c r="L587" s="608">
        <v>15432.20472440945</v>
      </c>
      <c r="M587" s="409">
        <v>4644.7637795275596</v>
      </c>
      <c r="N587" s="409">
        <v>20076.968503937009</v>
      </c>
      <c r="O587" s="410" t="s">
        <v>7832</v>
      </c>
      <c r="P587" s="406">
        <v>584</v>
      </c>
      <c r="Q587" s="470" t="s">
        <v>1234</v>
      </c>
      <c r="R587" s="460" t="s">
        <v>1235</v>
      </c>
      <c r="S587" s="270" t="s">
        <v>7</v>
      </c>
      <c r="U587" s="471"/>
      <c r="V587" s="471"/>
      <c r="W587" s="471" t="s">
        <v>1235</v>
      </c>
      <c r="X587" s="471">
        <v>1</v>
      </c>
      <c r="Y587" s="206"/>
      <c r="Z587" s="206"/>
    </row>
    <row r="588" spans="1:26">
      <c r="A588" s="406">
        <v>585</v>
      </c>
      <c r="B588" s="613" t="s">
        <v>3290</v>
      </c>
      <c r="C588" s="288" t="s">
        <v>1236</v>
      </c>
      <c r="D588" s="414" t="s">
        <v>4840</v>
      </c>
      <c r="E588" s="407" t="s">
        <v>8936</v>
      </c>
      <c r="F588" s="483" t="s">
        <v>3284</v>
      </c>
      <c r="G588" s="483" t="s">
        <v>3283</v>
      </c>
      <c r="H588" s="411" t="s">
        <v>3292</v>
      </c>
      <c r="I588" s="411" t="s">
        <v>3291</v>
      </c>
      <c r="J588" s="411"/>
      <c r="K588" s="411"/>
      <c r="L588" s="608">
        <v>15432</v>
      </c>
      <c r="M588" s="409">
        <v>4644.8976377952758</v>
      </c>
      <c r="N588" s="409">
        <v>20076.897637795279</v>
      </c>
      <c r="O588" s="410" t="s">
        <v>7832</v>
      </c>
      <c r="P588" s="406">
        <v>585</v>
      </c>
      <c r="Q588" s="470" t="s">
        <v>1236</v>
      </c>
      <c r="R588" s="460" t="s">
        <v>1237</v>
      </c>
      <c r="S588" s="270" t="s">
        <v>7</v>
      </c>
      <c r="U588" s="471"/>
      <c r="V588" s="471"/>
      <c r="W588" s="471" t="s">
        <v>1237</v>
      </c>
      <c r="X588" s="471">
        <v>1</v>
      </c>
      <c r="Y588" s="206"/>
      <c r="Z588" s="206"/>
    </row>
    <row r="589" spans="1:26">
      <c r="A589" s="406">
        <v>586</v>
      </c>
      <c r="B589" s="613" t="s">
        <v>3298</v>
      </c>
      <c r="C589" s="288" t="s">
        <v>1238</v>
      </c>
      <c r="D589" s="414" t="s">
        <v>4854</v>
      </c>
      <c r="E589" s="407" t="s">
        <v>8937</v>
      </c>
      <c r="F589" s="483" t="s">
        <v>3297</v>
      </c>
      <c r="G589" s="411" t="s">
        <v>3300</v>
      </c>
      <c r="H589" s="411" t="s">
        <v>3299</v>
      </c>
      <c r="I589" s="411"/>
      <c r="J589" s="411"/>
      <c r="K589" s="411"/>
      <c r="L589" s="608">
        <v>12400.48031496063</v>
      </c>
      <c r="M589" s="409">
        <v>4645.2007874015753</v>
      </c>
      <c r="N589" s="409">
        <v>17045.681102362203</v>
      </c>
      <c r="O589" s="410" t="s">
        <v>7833</v>
      </c>
      <c r="P589" s="406">
        <v>586</v>
      </c>
      <c r="Q589" s="470" t="s">
        <v>1238</v>
      </c>
      <c r="R589" s="475" t="s">
        <v>1239</v>
      </c>
      <c r="S589" s="270" t="s">
        <v>7</v>
      </c>
      <c r="U589" s="471"/>
      <c r="V589" s="471"/>
      <c r="W589" s="471"/>
      <c r="X589" s="471">
        <v>0</v>
      </c>
      <c r="Y589" s="206"/>
      <c r="Z589" s="206"/>
    </row>
    <row r="590" spans="1:26">
      <c r="A590" s="406">
        <v>587</v>
      </c>
      <c r="B590" s="613" t="s">
        <v>3302</v>
      </c>
      <c r="C590" s="288" t="s">
        <v>1240</v>
      </c>
      <c r="D590" s="414" t="s">
        <v>4852</v>
      </c>
      <c r="E590" s="407" t="s">
        <v>8938</v>
      </c>
      <c r="F590" s="483" t="s">
        <v>3301</v>
      </c>
      <c r="G590" s="411" t="s">
        <v>3304</v>
      </c>
      <c r="H590" s="411" t="s">
        <v>3303</v>
      </c>
      <c r="I590" s="411"/>
      <c r="J590" s="411"/>
      <c r="K590" s="411"/>
      <c r="L590" s="608">
        <v>12401.527559055119</v>
      </c>
      <c r="M590" s="409">
        <v>4645.2559055118118</v>
      </c>
      <c r="N590" s="409">
        <v>17046.783464566932</v>
      </c>
      <c r="O590" s="410" t="s">
        <v>7833</v>
      </c>
      <c r="P590" s="406">
        <v>587</v>
      </c>
      <c r="Q590" s="470" t="s">
        <v>1240</v>
      </c>
      <c r="R590" s="475" t="s">
        <v>1241</v>
      </c>
      <c r="S590" s="270" t="s">
        <v>7</v>
      </c>
      <c r="U590" s="471"/>
      <c r="V590" s="471"/>
      <c r="W590" s="471"/>
      <c r="X590" s="471">
        <v>0</v>
      </c>
      <c r="Y590" s="206"/>
      <c r="Z590" s="206"/>
    </row>
    <row r="591" spans="1:26">
      <c r="A591" s="406">
        <v>588</v>
      </c>
      <c r="B591" s="613" t="s">
        <v>3298</v>
      </c>
      <c r="C591" s="288" t="s">
        <v>1242</v>
      </c>
      <c r="D591" s="414" t="s">
        <v>4854</v>
      </c>
      <c r="E591" s="407" t="s">
        <v>8937</v>
      </c>
      <c r="F591" s="483" t="s">
        <v>3294</v>
      </c>
      <c r="G591" s="483" t="s">
        <v>3293</v>
      </c>
      <c r="H591" s="411" t="s">
        <v>3300</v>
      </c>
      <c r="I591" s="411" t="s">
        <v>3299</v>
      </c>
      <c r="J591" s="411"/>
      <c r="K591" s="411"/>
      <c r="L591" s="608">
        <v>12400.48031496063</v>
      </c>
      <c r="M591" s="409">
        <v>4645.3464566929133</v>
      </c>
      <c r="N591" s="409">
        <v>17045.826771653545</v>
      </c>
      <c r="O591" s="410" t="s">
        <v>7833</v>
      </c>
      <c r="P591" s="406">
        <v>588</v>
      </c>
      <c r="Q591" s="470" t="s">
        <v>1242</v>
      </c>
      <c r="R591" s="475" t="s">
        <v>1243</v>
      </c>
      <c r="S591" s="270" t="s">
        <v>7</v>
      </c>
      <c r="U591" s="471"/>
      <c r="V591" s="471"/>
      <c r="W591" s="471"/>
      <c r="X591" s="471">
        <v>1</v>
      </c>
      <c r="Y591" s="206"/>
      <c r="Z591" s="206"/>
    </row>
    <row r="592" spans="1:26">
      <c r="A592" s="406">
        <v>589</v>
      </c>
      <c r="B592" s="613" t="s">
        <v>3302</v>
      </c>
      <c r="C592" s="288" t="s">
        <v>1244</v>
      </c>
      <c r="D592" s="414" t="s">
        <v>4852</v>
      </c>
      <c r="E592" s="407" t="s">
        <v>8938</v>
      </c>
      <c r="F592" s="483" t="s">
        <v>3296</v>
      </c>
      <c r="G592" s="483" t="s">
        <v>3295</v>
      </c>
      <c r="H592" s="411" t="s">
        <v>3304</v>
      </c>
      <c r="I592" s="411" t="s">
        <v>3303</v>
      </c>
      <c r="J592" s="411"/>
      <c r="K592" s="411"/>
      <c r="L592" s="608">
        <v>12401.527559055119</v>
      </c>
      <c r="M592" s="409">
        <v>4645.3464566929133</v>
      </c>
      <c r="N592" s="409">
        <v>17046.874015748032</v>
      </c>
      <c r="O592" s="410" t="s">
        <v>7833</v>
      </c>
      <c r="P592" s="406">
        <v>589</v>
      </c>
      <c r="Q592" s="470" t="s">
        <v>1244</v>
      </c>
      <c r="R592" s="475" t="s">
        <v>1245</v>
      </c>
      <c r="S592" s="270" t="s">
        <v>7</v>
      </c>
      <c r="U592" s="471"/>
      <c r="V592" s="471"/>
      <c r="W592" s="471"/>
      <c r="X592" s="471">
        <v>1</v>
      </c>
      <c r="Y592" s="206"/>
      <c r="Z592" s="206"/>
    </row>
    <row r="593" spans="1:26">
      <c r="A593" s="406">
        <v>590</v>
      </c>
      <c r="B593" s="613" t="s">
        <v>3310</v>
      </c>
      <c r="C593" s="288" t="s">
        <v>1246</v>
      </c>
      <c r="D593" s="414" t="s">
        <v>4778</v>
      </c>
      <c r="E593" s="407" t="s">
        <v>8939</v>
      </c>
      <c r="F593" s="483" t="s">
        <v>3309</v>
      </c>
      <c r="G593" s="411" t="s">
        <v>3312</v>
      </c>
      <c r="H593" s="411" t="s">
        <v>3311</v>
      </c>
      <c r="I593" s="411"/>
      <c r="J593" s="411"/>
      <c r="K593" s="411"/>
      <c r="L593" s="608">
        <v>11455.767716535433</v>
      </c>
      <c r="M593" s="409">
        <v>4644.6850393700788</v>
      </c>
      <c r="N593" s="409">
        <v>16100.452755905513</v>
      </c>
      <c r="O593" s="410" t="s">
        <v>7773</v>
      </c>
      <c r="P593" s="406">
        <v>590</v>
      </c>
      <c r="Q593" s="470" t="s">
        <v>1246</v>
      </c>
      <c r="R593" s="475" t="s">
        <v>1247</v>
      </c>
      <c r="S593" s="270" t="s">
        <v>7</v>
      </c>
      <c r="U593" s="471"/>
      <c r="V593" s="471"/>
      <c r="W593" s="471"/>
      <c r="X593" s="471">
        <v>0</v>
      </c>
      <c r="Y593" s="206"/>
      <c r="Z593" s="206"/>
    </row>
    <row r="594" spans="1:26">
      <c r="A594" s="406">
        <v>591</v>
      </c>
      <c r="B594" s="613" t="s">
        <v>3314</v>
      </c>
      <c r="C594" s="288" t="s">
        <v>1248</v>
      </c>
      <c r="D594" s="414" t="s">
        <v>4776</v>
      </c>
      <c r="E594" s="407" t="s">
        <v>8940</v>
      </c>
      <c r="F594" s="483" t="s">
        <v>3313</v>
      </c>
      <c r="G594" s="411" t="s">
        <v>3316</v>
      </c>
      <c r="H594" s="411" t="s">
        <v>3315</v>
      </c>
      <c r="I594" s="411"/>
      <c r="J594" s="411"/>
      <c r="K594" s="411"/>
      <c r="L594" s="608">
        <v>11456.673228346457</v>
      </c>
      <c r="M594" s="409">
        <v>4644.9921259842522</v>
      </c>
      <c r="N594" s="409">
        <v>16101.665354330709</v>
      </c>
      <c r="O594" s="410" t="s">
        <v>7773</v>
      </c>
      <c r="P594" s="406">
        <v>591</v>
      </c>
      <c r="Q594" s="470" t="s">
        <v>1248</v>
      </c>
      <c r="R594" s="475" t="s">
        <v>1249</v>
      </c>
      <c r="S594" s="270" t="s">
        <v>7</v>
      </c>
      <c r="U594" s="471"/>
      <c r="V594" s="471"/>
      <c r="W594" s="471"/>
      <c r="X594" s="471">
        <v>0</v>
      </c>
      <c r="Y594" s="206"/>
      <c r="Z594" s="206"/>
    </row>
    <row r="595" spans="1:26">
      <c r="A595" s="406">
        <v>592</v>
      </c>
      <c r="B595" s="613" t="s">
        <v>3310</v>
      </c>
      <c r="C595" s="288" t="s">
        <v>1250</v>
      </c>
      <c r="D595" s="414" t="s">
        <v>4778</v>
      </c>
      <c r="E595" s="407" t="s">
        <v>8939</v>
      </c>
      <c r="F595" s="483" t="s">
        <v>3306</v>
      </c>
      <c r="G595" s="483" t="s">
        <v>3305</v>
      </c>
      <c r="H595" s="411" t="s">
        <v>3312</v>
      </c>
      <c r="I595" s="411" t="s">
        <v>3311</v>
      </c>
      <c r="J595" s="411"/>
      <c r="K595" s="411"/>
      <c r="L595" s="608">
        <v>11455.767716535433</v>
      </c>
      <c r="M595" s="409">
        <v>4645.2244094488187</v>
      </c>
      <c r="N595" s="409">
        <v>16100.992125984252</v>
      </c>
      <c r="O595" s="410" t="s">
        <v>7825</v>
      </c>
      <c r="P595" s="406">
        <v>592</v>
      </c>
      <c r="Q595" s="470" t="s">
        <v>1250</v>
      </c>
      <c r="R595" s="475" t="s">
        <v>1251</v>
      </c>
      <c r="S595" s="270" t="s">
        <v>7</v>
      </c>
      <c r="U595" s="471"/>
      <c r="V595" s="471"/>
      <c r="W595" s="471"/>
      <c r="X595" s="471">
        <v>1</v>
      </c>
      <c r="Y595" s="206"/>
      <c r="Z595" s="206"/>
    </row>
    <row r="596" spans="1:26">
      <c r="A596" s="406">
        <v>593</v>
      </c>
      <c r="B596" s="613" t="s">
        <v>3314</v>
      </c>
      <c r="C596" s="288" t="s">
        <v>1252</v>
      </c>
      <c r="D596" s="414" t="s">
        <v>4776</v>
      </c>
      <c r="E596" s="407" t="s">
        <v>8940</v>
      </c>
      <c r="F596" s="483" t="s">
        <v>3308</v>
      </c>
      <c r="G596" s="483" t="s">
        <v>3307</v>
      </c>
      <c r="H596" s="411" t="s">
        <v>3316</v>
      </c>
      <c r="I596" s="411" t="s">
        <v>3315</v>
      </c>
      <c r="J596" s="411"/>
      <c r="K596" s="411"/>
      <c r="L596" s="608">
        <v>11456.673228346457</v>
      </c>
      <c r="M596" s="409">
        <v>4645.0118110236226</v>
      </c>
      <c r="N596" s="409">
        <v>16101.685039370079</v>
      </c>
      <c r="O596" s="410" t="s">
        <v>7825</v>
      </c>
      <c r="P596" s="406">
        <v>593</v>
      </c>
      <c r="Q596" s="470" t="s">
        <v>1252</v>
      </c>
      <c r="R596" s="475" t="s">
        <v>1253</v>
      </c>
      <c r="S596" s="270" t="s">
        <v>7</v>
      </c>
      <c r="U596" s="471"/>
      <c r="V596" s="471"/>
      <c r="W596" s="471"/>
      <c r="X596" s="471">
        <v>1</v>
      </c>
      <c r="Y596" s="206"/>
      <c r="Z596" s="206"/>
    </row>
    <row r="597" spans="1:26">
      <c r="A597" s="406">
        <v>594</v>
      </c>
      <c r="B597" s="613" t="s">
        <v>3190</v>
      </c>
      <c r="C597" s="288" t="s">
        <v>1254</v>
      </c>
      <c r="D597" s="414" t="s">
        <v>4780</v>
      </c>
      <c r="E597" s="407" t="s">
        <v>8941</v>
      </c>
      <c r="F597" s="483" t="s">
        <v>3189</v>
      </c>
      <c r="G597" s="411" t="s">
        <v>3192</v>
      </c>
      <c r="H597" s="411" t="s">
        <v>3191</v>
      </c>
      <c r="I597" s="411"/>
      <c r="J597" s="411"/>
      <c r="K597" s="411"/>
      <c r="L597" s="608">
        <v>10905.255905511811</v>
      </c>
      <c r="M597" s="409">
        <v>4644.8425196850394</v>
      </c>
      <c r="N597" s="409">
        <v>15550.098425196849</v>
      </c>
      <c r="O597" s="410" t="s">
        <v>7786</v>
      </c>
      <c r="P597" s="406">
        <v>594</v>
      </c>
      <c r="Q597" s="470" t="s">
        <v>1254</v>
      </c>
      <c r="R597" s="460" t="s">
        <v>1255</v>
      </c>
      <c r="S597" s="270" t="s">
        <v>7</v>
      </c>
      <c r="U597" s="471"/>
      <c r="V597" s="471"/>
      <c r="W597" s="471" t="s">
        <v>1255</v>
      </c>
      <c r="X597" s="471">
        <v>0</v>
      </c>
      <c r="Y597" s="206"/>
      <c r="Z597" s="206"/>
    </row>
    <row r="598" spans="1:26">
      <c r="A598" s="406">
        <v>595</v>
      </c>
      <c r="B598" s="613" t="s">
        <v>3194</v>
      </c>
      <c r="C598" s="288" t="s">
        <v>1256</v>
      </c>
      <c r="D598" s="414" t="s">
        <v>4782</v>
      </c>
      <c r="E598" s="407" t="s">
        <v>8942</v>
      </c>
      <c r="F598" s="483" t="s">
        <v>3193</v>
      </c>
      <c r="G598" s="411" t="s">
        <v>3196</v>
      </c>
      <c r="H598" s="411" t="s">
        <v>3195</v>
      </c>
      <c r="I598" s="411"/>
      <c r="J598" s="411"/>
      <c r="K598" s="411"/>
      <c r="L598" s="608">
        <v>10904.755905511811</v>
      </c>
      <c r="M598" s="409">
        <v>4644.6259842519685</v>
      </c>
      <c r="N598" s="409">
        <v>15549.381889763779</v>
      </c>
      <c r="O598" s="410" t="s">
        <v>7786</v>
      </c>
      <c r="P598" s="406">
        <v>595</v>
      </c>
      <c r="Q598" s="470" t="s">
        <v>1256</v>
      </c>
      <c r="R598" s="460" t="s">
        <v>1257</v>
      </c>
      <c r="S598" s="270" t="s">
        <v>7</v>
      </c>
      <c r="U598" s="471"/>
      <c r="V598" s="471"/>
      <c r="W598" s="471" t="s">
        <v>1257</v>
      </c>
      <c r="X598" s="471">
        <v>0</v>
      </c>
      <c r="Y598" s="206"/>
      <c r="Z598" s="206"/>
    </row>
    <row r="599" spans="1:26">
      <c r="A599" s="406">
        <v>596</v>
      </c>
      <c r="B599" s="613" t="s">
        <v>3190</v>
      </c>
      <c r="C599" s="288" t="s">
        <v>1258</v>
      </c>
      <c r="D599" s="414" t="s">
        <v>4780</v>
      </c>
      <c r="E599" s="407" t="s">
        <v>8941</v>
      </c>
      <c r="F599" s="483" t="s">
        <v>3186</v>
      </c>
      <c r="G599" s="483" t="s">
        <v>3185</v>
      </c>
      <c r="H599" s="411" t="s">
        <v>3192</v>
      </c>
      <c r="I599" s="411" t="s">
        <v>3191</v>
      </c>
      <c r="J599" s="411"/>
      <c r="K599" s="411"/>
      <c r="L599" s="608">
        <v>10905.255905511811</v>
      </c>
      <c r="M599" s="409">
        <v>4644.5196850393704</v>
      </c>
      <c r="N599" s="409">
        <v>15549.77559055118</v>
      </c>
      <c r="O599" s="410" t="s">
        <v>7754</v>
      </c>
      <c r="P599" s="406">
        <v>596</v>
      </c>
      <c r="Q599" s="470" t="s">
        <v>1258</v>
      </c>
      <c r="R599" s="460" t="s">
        <v>1259</v>
      </c>
      <c r="S599" s="270" t="s">
        <v>7</v>
      </c>
      <c r="U599" s="471"/>
      <c r="V599" s="471"/>
      <c r="W599" s="471" t="s">
        <v>1259</v>
      </c>
      <c r="X599" s="471">
        <v>1</v>
      </c>
      <c r="Y599" s="206"/>
      <c r="Z599" s="206"/>
    </row>
    <row r="600" spans="1:26">
      <c r="A600" s="406">
        <v>597</v>
      </c>
      <c r="B600" s="613" t="s">
        <v>3194</v>
      </c>
      <c r="C600" s="288" t="s">
        <v>1260</v>
      </c>
      <c r="D600" s="414" t="s">
        <v>4782</v>
      </c>
      <c r="E600" s="407" t="s">
        <v>8942</v>
      </c>
      <c r="F600" s="483" t="s">
        <v>3188</v>
      </c>
      <c r="G600" s="483" t="s">
        <v>3187</v>
      </c>
      <c r="H600" s="411" t="s">
        <v>3196</v>
      </c>
      <c r="I600" s="411" t="s">
        <v>3195</v>
      </c>
      <c r="J600" s="411"/>
      <c r="K600" s="411"/>
      <c r="L600" s="608">
        <v>10904.755905511811</v>
      </c>
      <c r="M600" s="409">
        <v>4644.5039370078739</v>
      </c>
      <c r="N600" s="409">
        <v>15549.259842519685</v>
      </c>
      <c r="O600" s="410" t="s">
        <v>7754</v>
      </c>
      <c r="P600" s="406">
        <v>597</v>
      </c>
      <c r="Q600" s="470" t="s">
        <v>1260</v>
      </c>
      <c r="R600" s="460" t="s">
        <v>1261</v>
      </c>
      <c r="S600" s="270" t="s">
        <v>7</v>
      </c>
      <c r="U600" s="471"/>
      <c r="V600" s="471"/>
      <c r="W600" s="471" t="s">
        <v>1261</v>
      </c>
      <c r="X600" s="471">
        <v>1</v>
      </c>
      <c r="Y600" s="206"/>
      <c r="Z600" s="206"/>
    </row>
    <row r="601" spans="1:26">
      <c r="A601" s="406">
        <v>598</v>
      </c>
      <c r="B601" s="613" t="s">
        <v>3202</v>
      </c>
      <c r="C601" s="288" t="s">
        <v>1262</v>
      </c>
      <c r="D601" s="414" t="s">
        <v>4843</v>
      </c>
      <c r="E601" s="407" t="s">
        <v>8943</v>
      </c>
      <c r="F601" s="483" t="s">
        <v>3201</v>
      </c>
      <c r="G601" s="411" t="s">
        <v>3204</v>
      </c>
      <c r="H601" s="411" t="s">
        <v>3203</v>
      </c>
      <c r="I601" s="411"/>
      <c r="J601" s="411"/>
      <c r="K601" s="411"/>
      <c r="L601" s="608">
        <v>9487.6692913385832</v>
      </c>
      <c r="M601" s="409">
        <v>4644.6811023622049</v>
      </c>
      <c r="N601" s="409">
        <v>14132.350393700788</v>
      </c>
      <c r="O601" s="410" t="s">
        <v>7776</v>
      </c>
      <c r="P601" s="406">
        <v>598</v>
      </c>
      <c r="Q601" s="470" t="s">
        <v>1262</v>
      </c>
      <c r="R601" s="460" t="s">
        <v>1263</v>
      </c>
      <c r="S601" s="270" t="s">
        <v>7</v>
      </c>
      <c r="U601" s="471"/>
      <c r="V601" s="471"/>
      <c r="W601" s="471" t="s">
        <v>1263</v>
      </c>
      <c r="X601" s="471">
        <v>0</v>
      </c>
      <c r="Y601" s="206"/>
      <c r="Z601" s="206"/>
    </row>
    <row r="602" spans="1:26">
      <c r="A602" s="406">
        <v>599</v>
      </c>
      <c r="B602" s="613" t="s">
        <v>3206</v>
      </c>
      <c r="C602" s="288" t="s">
        <v>1264</v>
      </c>
      <c r="D602" s="414" t="s">
        <v>4845</v>
      </c>
      <c r="E602" s="407" t="s">
        <v>8944</v>
      </c>
      <c r="F602" s="483" t="s">
        <v>3205</v>
      </c>
      <c r="G602" s="411" t="s">
        <v>3208</v>
      </c>
      <c r="H602" s="411" t="s">
        <v>3207</v>
      </c>
      <c r="I602" s="411"/>
      <c r="J602" s="411"/>
      <c r="K602" s="411"/>
      <c r="L602" s="608">
        <v>9486.9409448818897</v>
      </c>
      <c r="M602" s="409">
        <v>4644.5984251968512</v>
      </c>
      <c r="N602" s="409">
        <v>14131.539370078741</v>
      </c>
      <c r="O602" s="410" t="s">
        <v>7776</v>
      </c>
      <c r="P602" s="406">
        <v>599</v>
      </c>
      <c r="Q602" s="470" t="s">
        <v>1264</v>
      </c>
      <c r="R602" s="460" t="s">
        <v>1265</v>
      </c>
      <c r="S602" s="270" t="s">
        <v>7</v>
      </c>
      <c r="U602" s="471"/>
      <c r="V602" s="471"/>
      <c r="W602" s="471" t="s">
        <v>1265</v>
      </c>
      <c r="X602" s="471">
        <v>0</v>
      </c>
      <c r="Y602" s="206"/>
      <c r="Z602" s="206"/>
    </row>
    <row r="603" spans="1:26">
      <c r="A603" s="406">
        <v>600</v>
      </c>
      <c r="B603" s="613" t="s">
        <v>3202</v>
      </c>
      <c r="C603" s="288" t="s">
        <v>1266</v>
      </c>
      <c r="D603" s="414" t="s">
        <v>4843</v>
      </c>
      <c r="E603" s="407" t="s">
        <v>8943</v>
      </c>
      <c r="F603" s="483" t="s">
        <v>3198</v>
      </c>
      <c r="G603" s="483" t="s">
        <v>3197</v>
      </c>
      <c r="H603" s="411" t="s">
        <v>3204</v>
      </c>
      <c r="I603" s="411" t="s">
        <v>3203</v>
      </c>
      <c r="J603" s="411"/>
      <c r="K603" s="411"/>
      <c r="L603" s="608">
        <v>9487.6692913385832</v>
      </c>
      <c r="M603" s="409">
        <v>4644.9173228346463</v>
      </c>
      <c r="N603" s="409">
        <v>14132.586614173228</v>
      </c>
      <c r="O603" s="410" t="s">
        <v>7749</v>
      </c>
      <c r="P603" s="406">
        <v>600</v>
      </c>
      <c r="Q603" s="470" t="s">
        <v>1266</v>
      </c>
      <c r="R603" s="460" t="s">
        <v>1267</v>
      </c>
      <c r="S603" s="270" t="s">
        <v>7</v>
      </c>
      <c r="U603" s="471"/>
      <c r="V603" s="471"/>
      <c r="W603" s="471" t="s">
        <v>1267</v>
      </c>
      <c r="X603" s="471">
        <v>1</v>
      </c>
      <c r="Y603" s="206"/>
      <c r="Z603" s="206"/>
    </row>
    <row r="604" spans="1:26">
      <c r="A604" s="406">
        <v>601</v>
      </c>
      <c r="B604" s="613" t="s">
        <v>3206</v>
      </c>
      <c r="C604" s="288" t="s">
        <v>1268</v>
      </c>
      <c r="D604" s="414" t="s">
        <v>4845</v>
      </c>
      <c r="E604" s="407" t="s">
        <v>8944</v>
      </c>
      <c r="F604" s="483" t="s">
        <v>3200</v>
      </c>
      <c r="G604" s="483" t="s">
        <v>3199</v>
      </c>
      <c r="H604" s="411" t="s">
        <v>3208</v>
      </c>
      <c r="I604" s="411" t="s">
        <v>3207</v>
      </c>
      <c r="J604" s="411"/>
      <c r="K604" s="411"/>
      <c r="L604" s="608">
        <v>9486.9409448818897</v>
      </c>
      <c r="M604" s="409">
        <v>4644.7440944881891</v>
      </c>
      <c r="N604" s="409">
        <v>14131.685039370079</v>
      </c>
      <c r="O604" s="410" t="s">
        <v>7749</v>
      </c>
      <c r="P604" s="406">
        <v>601</v>
      </c>
      <c r="Q604" s="470" t="s">
        <v>1268</v>
      </c>
      <c r="R604" s="460" t="s">
        <v>1269</v>
      </c>
      <c r="S604" s="270" t="s">
        <v>7</v>
      </c>
      <c r="U604" s="471"/>
      <c r="V604" s="471"/>
      <c r="W604" s="471" t="s">
        <v>1269</v>
      </c>
      <c r="X604" s="471">
        <v>1</v>
      </c>
      <c r="Y604" s="206"/>
      <c r="Z604" s="206"/>
    </row>
    <row r="605" spans="1:26">
      <c r="A605" s="406">
        <v>602</v>
      </c>
      <c r="B605" s="613" t="s">
        <v>3214</v>
      </c>
      <c r="C605" s="288" t="s">
        <v>1270</v>
      </c>
      <c r="D605" s="414" t="s">
        <v>4784</v>
      </c>
      <c r="E605" s="407" t="s">
        <v>8945</v>
      </c>
      <c r="F605" s="483" t="s">
        <v>3213</v>
      </c>
      <c r="G605" s="411" t="s">
        <v>3216</v>
      </c>
      <c r="H605" s="411" t="s">
        <v>3215</v>
      </c>
      <c r="I605" s="411"/>
      <c r="J605" s="411"/>
      <c r="K605" s="411"/>
      <c r="L605" s="608">
        <v>13030.897637795277</v>
      </c>
      <c r="M605" s="409">
        <v>4644.9173228346463</v>
      </c>
      <c r="N605" s="409">
        <v>17675.814960629923</v>
      </c>
      <c r="O605" s="410" t="s">
        <v>7748</v>
      </c>
      <c r="P605" s="406">
        <v>602</v>
      </c>
      <c r="Q605" s="470" t="s">
        <v>1270</v>
      </c>
      <c r="R605" s="460" t="s">
        <v>1271</v>
      </c>
      <c r="S605" s="270" t="s">
        <v>7</v>
      </c>
      <c r="U605" s="471"/>
      <c r="V605" s="471"/>
      <c r="W605" s="471" t="s">
        <v>1271</v>
      </c>
      <c r="X605" s="471">
        <v>0</v>
      </c>
      <c r="Y605" s="206"/>
      <c r="Z605" s="206"/>
    </row>
    <row r="606" spans="1:26">
      <c r="A606" s="406">
        <v>603</v>
      </c>
      <c r="B606" s="613" t="s">
        <v>3218</v>
      </c>
      <c r="C606" s="288" t="s">
        <v>1272</v>
      </c>
      <c r="D606" s="414" t="s">
        <v>4786</v>
      </c>
      <c r="E606" s="407" t="s">
        <v>8946</v>
      </c>
      <c r="F606" s="483" t="s">
        <v>3217</v>
      </c>
      <c r="G606" s="411" t="s">
        <v>3220</v>
      </c>
      <c r="H606" s="411" t="s">
        <v>3219</v>
      </c>
      <c r="I606" s="411"/>
      <c r="J606" s="411"/>
      <c r="K606" s="411"/>
      <c r="L606" s="608">
        <v>13030.385826771653</v>
      </c>
      <c r="M606" s="409">
        <v>4644.5236220472443</v>
      </c>
      <c r="N606" s="409">
        <v>17674.909448818897</v>
      </c>
      <c r="O606" s="410" t="s">
        <v>7748</v>
      </c>
      <c r="P606" s="406">
        <v>603</v>
      </c>
      <c r="Q606" s="470" t="s">
        <v>1272</v>
      </c>
      <c r="R606" s="460" t="s">
        <v>1273</v>
      </c>
      <c r="S606" s="270" t="s">
        <v>7</v>
      </c>
      <c r="U606" s="471"/>
      <c r="V606" s="471"/>
      <c r="W606" s="471" t="s">
        <v>1273</v>
      </c>
      <c r="X606" s="471">
        <v>0</v>
      </c>
      <c r="Y606" s="206"/>
      <c r="Z606" s="206"/>
    </row>
    <row r="607" spans="1:26">
      <c r="A607" s="406">
        <v>604</v>
      </c>
      <c r="B607" s="613" t="s">
        <v>3214</v>
      </c>
      <c r="C607" s="288" t="s">
        <v>1274</v>
      </c>
      <c r="D607" s="414" t="s">
        <v>4784</v>
      </c>
      <c r="E607" s="407" t="s">
        <v>8945</v>
      </c>
      <c r="F607" s="483" t="s">
        <v>3210</v>
      </c>
      <c r="G607" s="483" t="s">
        <v>3209</v>
      </c>
      <c r="H607" s="411" t="s">
        <v>3216</v>
      </c>
      <c r="I607" s="411" t="s">
        <v>3215</v>
      </c>
      <c r="J607" s="411"/>
      <c r="K607" s="411"/>
      <c r="L607" s="608">
        <v>13030.897637795277</v>
      </c>
      <c r="M607" s="409">
        <v>4644.5236220472443</v>
      </c>
      <c r="N607" s="409">
        <v>17675.421259842518</v>
      </c>
      <c r="O607" s="410" t="s">
        <v>7750</v>
      </c>
      <c r="P607" s="406">
        <v>604</v>
      </c>
      <c r="Q607" s="470" t="s">
        <v>1274</v>
      </c>
      <c r="R607" s="460" t="s">
        <v>1275</v>
      </c>
      <c r="S607" s="270" t="s">
        <v>7</v>
      </c>
      <c r="U607" s="471"/>
      <c r="V607" s="471"/>
      <c r="W607" s="471" t="s">
        <v>1275</v>
      </c>
      <c r="X607" s="471">
        <v>1</v>
      </c>
      <c r="Y607" s="206"/>
      <c r="Z607" s="206"/>
    </row>
    <row r="608" spans="1:26">
      <c r="A608" s="406">
        <v>605</v>
      </c>
      <c r="B608" s="613" t="s">
        <v>3218</v>
      </c>
      <c r="C608" s="288" t="s">
        <v>1276</v>
      </c>
      <c r="D608" s="414" t="s">
        <v>4786</v>
      </c>
      <c r="E608" s="407" t="s">
        <v>8946</v>
      </c>
      <c r="F608" s="483" t="s">
        <v>3212</v>
      </c>
      <c r="G608" s="483" t="s">
        <v>3211</v>
      </c>
      <c r="H608" s="411" t="s">
        <v>3220</v>
      </c>
      <c r="I608" s="411" t="s">
        <v>3219</v>
      </c>
      <c r="J608" s="411"/>
      <c r="K608" s="411"/>
      <c r="L608" s="608">
        <v>13030.385826771653</v>
      </c>
      <c r="M608" s="409">
        <v>4645.0787401574808</v>
      </c>
      <c r="N608" s="409">
        <v>17675.464566929135</v>
      </c>
      <c r="O608" s="410" t="s">
        <v>7750</v>
      </c>
      <c r="P608" s="406">
        <v>605</v>
      </c>
      <c r="Q608" s="470" t="s">
        <v>1276</v>
      </c>
      <c r="R608" s="460" t="s">
        <v>1277</v>
      </c>
      <c r="S608" s="270" t="s">
        <v>7</v>
      </c>
      <c r="U608" s="471"/>
      <c r="V608" s="471"/>
      <c r="W608" s="471" t="s">
        <v>1277</v>
      </c>
      <c r="X608" s="471">
        <v>1</v>
      </c>
      <c r="Y608" s="206"/>
      <c r="Z608" s="206"/>
    </row>
    <row r="609" spans="1:26">
      <c r="A609" s="406">
        <v>606</v>
      </c>
      <c r="B609" s="613" t="s">
        <v>3226</v>
      </c>
      <c r="C609" s="288" t="s">
        <v>1278</v>
      </c>
      <c r="D609" s="414" t="s">
        <v>4849</v>
      </c>
      <c r="E609" s="407" t="s">
        <v>8947</v>
      </c>
      <c r="F609" s="483" t="s">
        <v>3225</v>
      </c>
      <c r="G609" s="411" t="s">
        <v>3228</v>
      </c>
      <c r="H609" s="411" t="s">
        <v>3227</v>
      </c>
      <c r="I609" s="411"/>
      <c r="J609" s="411"/>
      <c r="K609" s="411"/>
      <c r="L609" s="608">
        <v>9054.3070866141734</v>
      </c>
      <c r="M609" s="409">
        <v>4644.6850393700788</v>
      </c>
      <c r="N609" s="409">
        <v>13698.99212598425</v>
      </c>
      <c r="O609" s="410" t="s">
        <v>7782</v>
      </c>
      <c r="P609" s="406">
        <v>606</v>
      </c>
      <c r="Q609" s="470" t="s">
        <v>1278</v>
      </c>
      <c r="R609" s="460" t="s">
        <v>1279</v>
      </c>
      <c r="S609" s="270" t="s">
        <v>7</v>
      </c>
      <c r="U609" s="471"/>
      <c r="V609" s="471"/>
      <c r="W609" s="471" t="s">
        <v>1279</v>
      </c>
      <c r="X609" s="471">
        <v>0</v>
      </c>
      <c r="Y609" s="206"/>
      <c r="Z609" s="206"/>
    </row>
    <row r="610" spans="1:26">
      <c r="A610" s="406">
        <v>607</v>
      </c>
      <c r="B610" s="613" t="s">
        <v>3230</v>
      </c>
      <c r="C610" s="288" t="s">
        <v>1280</v>
      </c>
      <c r="D610" s="414" t="s">
        <v>4847</v>
      </c>
      <c r="E610" s="407" t="s">
        <v>8948</v>
      </c>
      <c r="F610" s="483" t="s">
        <v>3229</v>
      </c>
      <c r="G610" s="411" t="s">
        <v>3232</v>
      </c>
      <c r="H610" s="411" t="s">
        <v>3231</v>
      </c>
      <c r="I610" s="411"/>
      <c r="J610" s="411"/>
      <c r="K610" s="411"/>
      <c r="L610" s="608">
        <v>9053.9685039370088</v>
      </c>
      <c r="M610" s="409">
        <v>4644.929133858268</v>
      </c>
      <c r="N610" s="409">
        <v>13698.897637795277</v>
      </c>
      <c r="O610" s="410" t="s">
        <v>7782</v>
      </c>
      <c r="P610" s="406">
        <v>607</v>
      </c>
      <c r="Q610" s="470" t="s">
        <v>1280</v>
      </c>
      <c r="R610" s="460" t="s">
        <v>1281</v>
      </c>
      <c r="S610" s="270" t="s">
        <v>7</v>
      </c>
      <c r="U610" s="471"/>
      <c r="V610" s="471"/>
      <c r="W610" s="471" t="s">
        <v>1281</v>
      </c>
      <c r="X610" s="471">
        <v>0</v>
      </c>
      <c r="Y610" s="206"/>
      <c r="Z610" s="206"/>
    </row>
    <row r="611" spans="1:26">
      <c r="A611" s="406">
        <v>608</v>
      </c>
      <c r="B611" s="613" t="s">
        <v>3226</v>
      </c>
      <c r="C611" s="288" t="s">
        <v>1282</v>
      </c>
      <c r="D611" s="414" t="s">
        <v>4849</v>
      </c>
      <c r="E611" s="407" t="s">
        <v>8947</v>
      </c>
      <c r="F611" s="483" t="s">
        <v>3222</v>
      </c>
      <c r="G611" s="483" t="s">
        <v>3221</v>
      </c>
      <c r="H611" s="411" t="s">
        <v>3228</v>
      </c>
      <c r="I611" s="411" t="s">
        <v>3227</v>
      </c>
      <c r="J611" s="411"/>
      <c r="K611" s="411"/>
      <c r="L611" s="608">
        <v>9054.3070866141734</v>
      </c>
      <c r="M611" s="409">
        <v>4644.4527559055123</v>
      </c>
      <c r="N611" s="409">
        <v>13698.759842519685</v>
      </c>
      <c r="O611" s="410" t="s">
        <v>7776</v>
      </c>
      <c r="P611" s="406">
        <v>608</v>
      </c>
      <c r="Q611" s="470" t="s">
        <v>1282</v>
      </c>
      <c r="R611" s="460" t="s">
        <v>1283</v>
      </c>
      <c r="S611" s="270" t="s">
        <v>7</v>
      </c>
      <c r="U611" s="471"/>
      <c r="V611" s="471"/>
      <c r="W611" s="471" t="s">
        <v>1283</v>
      </c>
      <c r="X611" s="471">
        <v>1</v>
      </c>
      <c r="Y611" s="206"/>
      <c r="Z611" s="206"/>
    </row>
    <row r="612" spans="1:26">
      <c r="A612" s="406">
        <v>609</v>
      </c>
      <c r="B612" s="613" t="s">
        <v>3230</v>
      </c>
      <c r="C612" s="288" t="s">
        <v>1284</v>
      </c>
      <c r="D612" s="414" t="s">
        <v>4847</v>
      </c>
      <c r="E612" s="407" t="s">
        <v>8948</v>
      </c>
      <c r="F612" s="483" t="s">
        <v>3224</v>
      </c>
      <c r="G612" s="483" t="s">
        <v>3223</v>
      </c>
      <c r="H612" s="411" t="s">
        <v>3232</v>
      </c>
      <c r="I612" s="411" t="s">
        <v>3231</v>
      </c>
      <c r="J612" s="411"/>
      <c r="K612" s="411"/>
      <c r="L612" s="608">
        <v>9053.9685039370088</v>
      </c>
      <c r="M612" s="409">
        <v>4644.8070866141734</v>
      </c>
      <c r="N612" s="409">
        <v>13698.77559055118</v>
      </c>
      <c r="O612" s="410" t="s">
        <v>7776</v>
      </c>
      <c r="P612" s="406">
        <v>609</v>
      </c>
      <c r="Q612" s="470" t="s">
        <v>1284</v>
      </c>
      <c r="R612" s="460" t="s">
        <v>1285</v>
      </c>
      <c r="S612" s="270" t="s">
        <v>7</v>
      </c>
      <c r="U612" s="471"/>
      <c r="V612" s="471"/>
      <c r="W612" s="471" t="s">
        <v>1285</v>
      </c>
      <c r="X612" s="471">
        <v>1</v>
      </c>
      <c r="Y612" s="206"/>
      <c r="Z612" s="206"/>
    </row>
    <row r="613" spans="1:26">
      <c r="A613" s="406">
        <v>610</v>
      </c>
      <c r="B613" s="613" t="s">
        <v>3238</v>
      </c>
      <c r="C613" s="288" t="s">
        <v>1286</v>
      </c>
      <c r="D613" s="414" t="s">
        <v>4853</v>
      </c>
      <c r="E613" s="407" t="s">
        <v>8949</v>
      </c>
      <c r="F613" s="483" t="s">
        <v>3237</v>
      </c>
      <c r="G613" s="411" t="s">
        <v>3240</v>
      </c>
      <c r="H613" s="411" t="s">
        <v>3239</v>
      </c>
      <c r="I613" s="411"/>
      <c r="J613" s="411"/>
      <c r="K613" s="411"/>
      <c r="L613" s="608">
        <v>9369.1141732283468</v>
      </c>
      <c r="M613" s="409">
        <v>4645.0748031496059</v>
      </c>
      <c r="N613" s="409">
        <v>14014.188976377953</v>
      </c>
      <c r="O613" s="410" t="s">
        <v>7776</v>
      </c>
      <c r="P613" s="406">
        <v>610</v>
      </c>
      <c r="Q613" s="470" t="s">
        <v>1286</v>
      </c>
      <c r="R613" s="460" t="s">
        <v>1287</v>
      </c>
      <c r="S613" s="270" t="s">
        <v>7</v>
      </c>
      <c r="U613" s="471"/>
      <c r="V613" s="471"/>
      <c r="W613" s="471" t="s">
        <v>1287</v>
      </c>
      <c r="X613" s="471">
        <v>0</v>
      </c>
      <c r="Y613" s="206"/>
      <c r="Z613" s="206"/>
    </row>
    <row r="614" spans="1:26">
      <c r="A614" s="406">
        <v>611</v>
      </c>
      <c r="B614" s="613" t="s">
        <v>3242</v>
      </c>
      <c r="C614" s="288" t="s">
        <v>1288</v>
      </c>
      <c r="D614" s="414" t="s">
        <v>4851</v>
      </c>
      <c r="E614" s="407" t="s">
        <v>8950</v>
      </c>
      <c r="F614" s="483" t="s">
        <v>3241</v>
      </c>
      <c r="G614" s="411" t="s">
        <v>3244</v>
      </c>
      <c r="H614" s="411" t="s">
        <v>3243</v>
      </c>
      <c r="I614" s="411"/>
      <c r="J614" s="411"/>
      <c r="K614" s="411"/>
      <c r="L614" s="608">
        <v>9369.4055118110246</v>
      </c>
      <c r="M614" s="409">
        <v>4644.4015748031497</v>
      </c>
      <c r="N614" s="409">
        <v>14013.807086614173</v>
      </c>
      <c r="O614" s="410" t="s">
        <v>7776</v>
      </c>
      <c r="P614" s="406">
        <v>611</v>
      </c>
      <c r="Q614" s="470" t="s">
        <v>1288</v>
      </c>
      <c r="R614" s="460" t="s">
        <v>1289</v>
      </c>
      <c r="S614" s="270" t="s">
        <v>7</v>
      </c>
      <c r="U614" s="471"/>
      <c r="V614" s="471"/>
      <c r="W614" s="471" t="s">
        <v>1289</v>
      </c>
      <c r="X614" s="471">
        <v>0</v>
      </c>
      <c r="Y614" s="206"/>
      <c r="Z614" s="206"/>
    </row>
    <row r="615" spans="1:26">
      <c r="A615" s="406">
        <v>612</v>
      </c>
      <c r="B615" s="613" t="s">
        <v>3238</v>
      </c>
      <c r="C615" s="288" t="s">
        <v>1290</v>
      </c>
      <c r="D615" s="414" t="s">
        <v>4853</v>
      </c>
      <c r="E615" s="407" t="s">
        <v>8949</v>
      </c>
      <c r="F615" s="483" t="s">
        <v>3234</v>
      </c>
      <c r="G615" s="483" t="s">
        <v>3233</v>
      </c>
      <c r="H615" s="411" t="s">
        <v>3240</v>
      </c>
      <c r="I615" s="411" t="s">
        <v>3239</v>
      </c>
      <c r="J615" s="411"/>
      <c r="K615" s="411"/>
      <c r="L615" s="608">
        <v>9369.1141732283468</v>
      </c>
      <c r="M615" s="409">
        <v>4644.748031496063</v>
      </c>
      <c r="N615" s="409">
        <v>14013.862204724412</v>
      </c>
      <c r="O615" s="410" t="s">
        <v>7749</v>
      </c>
      <c r="P615" s="406">
        <v>612</v>
      </c>
      <c r="Q615" s="470" t="s">
        <v>1290</v>
      </c>
      <c r="R615" s="460" t="s">
        <v>1291</v>
      </c>
      <c r="S615" s="270" t="s">
        <v>7</v>
      </c>
      <c r="U615" s="471"/>
      <c r="V615" s="471"/>
      <c r="W615" s="471" t="s">
        <v>1291</v>
      </c>
      <c r="X615" s="471">
        <v>1</v>
      </c>
      <c r="Y615" s="206"/>
      <c r="Z615" s="206"/>
    </row>
    <row r="616" spans="1:26">
      <c r="A616" s="406">
        <v>613</v>
      </c>
      <c r="B616" s="613" t="s">
        <v>3242</v>
      </c>
      <c r="C616" s="288" t="s">
        <v>1292</v>
      </c>
      <c r="D616" s="414" t="s">
        <v>4851</v>
      </c>
      <c r="E616" s="407" t="s">
        <v>8950</v>
      </c>
      <c r="F616" s="483" t="s">
        <v>3236</v>
      </c>
      <c r="G616" s="483" t="s">
        <v>3235</v>
      </c>
      <c r="H616" s="411" t="s">
        <v>3244</v>
      </c>
      <c r="I616" s="411" t="s">
        <v>3243</v>
      </c>
      <c r="J616" s="411"/>
      <c r="K616" s="411"/>
      <c r="L616" s="608">
        <v>9369.4055118110246</v>
      </c>
      <c r="M616" s="409">
        <v>4644.6692913385823</v>
      </c>
      <c r="N616" s="409">
        <v>14014.074803149606</v>
      </c>
      <c r="O616" s="410" t="s">
        <v>7749</v>
      </c>
      <c r="P616" s="406">
        <v>613</v>
      </c>
      <c r="Q616" s="470" t="s">
        <v>1292</v>
      </c>
      <c r="R616" s="460" t="s">
        <v>1293</v>
      </c>
      <c r="S616" s="270" t="s">
        <v>7</v>
      </c>
      <c r="U616" s="471"/>
      <c r="V616" s="471"/>
      <c r="W616" s="471" t="s">
        <v>1293</v>
      </c>
      <c r="X616" s="471">
        <v>1</v>
      </c>
      <c r="Y616" s="206"/>
      <c r="Z616" s="206"/>
    </row>
    <row r="617" spans="1:26">
      <c r="A617" s="406">
        <v>614</v>
      </c>
      <c r="B617" s="613" t="s">
        <v>3250</v>
      </c>
      <c r="C617" s="288" t="s">
        <v>1294</v>
      </c>
      <c r="D617" s="414" t="s">
        <v>4855</v>
      </c>
      <c r="E617" s="407" t="s">
        <v>8951</v>
      </c>
      <c r="F617" s="483" t="s">
        <v>3249</v>
      </c>
      <c r="G617" s="411" t="s">
        <v>3252</v>
      </c>
      <c r="H617" s="411" t="s">
        <v>3251</v>
      </c>
      <c r="I617" s="411"/>
      <c r="J617" s="411"/>
      <c r="K617" s="411"/>
      <c r="L617" s="608">
        <v>9172.3661417322837</v>
      </c>
      <c r="M617" s="409">
        <v>4644.7204724409448</v>
      </c>
      <c r="N617" s="409">
        <v>13817.086614173229</v>
      </c>
      <c r="O617" s="410" t="s">
        <v>7782</v>
      </c>
      <c r="P617" s="406">
        <v>614</v>
      </c>
      <c r="Q617" s="470" t="s">
        <v>1294</v>
      </c>
      <c r="R617" s="460" t="s">
        <v>1295</v>
      </c>
      <c r="S617" s="270" t="s">
        <v>7</v>
      </c>
      <c r="U617" s="471"/>
      <c r="V617" s="471"/>
      <c r="W617" s="471" t="s">
        <v>1295</v>
      </c>
      <c r="X617" s="471">
        <v>0</v>
      </c>
      <c r="Y617" s="206"/>
      <c r="Z617" s="206"/>
    </row>
    <row r="618" spans="1:26">
      <c r="A618" s="406">
        <v>615</v>
      </c>
      <c r="B618" s="613" t="s">
        <v>3254</v>
      </c>
      <c r="C618" s="288" t="s">
        <v>1296</v>
      </c>
      <c r="D618" s="414" t="s">
        <v>4856</v>
      </c>
      <c r="E618" s="407" t="s">
        <v>8952</v>
      </c>
      <c r="F618" s="483" t="s">
        <v>3253</v>
      </c>
      <c r="G618" s="411" t="s">
        <v>3256</v>
      </c>
      <c r="H618" s="411" t="s">
        <v>3255</v>
      </c>
      <c r="I618" s="411"/>
      <c r="J618" s="411"/>
      <c r="K618" s="411"/>
      <c r="L618" s="608">
        <v>9172.1811023622049</v>
      </c>
      <c r="M618" s="409">
        <v>4644.748031496063</v>
      </c>
      <c r="N618" s="409">
        <v>13816.929133858268</v>
      </c>
      <c r="O618" s="410" t="s">
        <v>7782</v>
      </c>
      <c r="P618" s="406">
        <v>615</v>
      </c>
      <c r="Q618" s="470" t="s">
        <v>1296</v>
      </c>
      <c r="R618" s="460" t="s">
        <v>1297</v>
      </c>
      <c r="S618" s="270" t="s">
        <v>7</v>
      </c>
      <c r="U618" s="471"/>
      <c r="V618" s="471"/>
      <c r="W618" s="471" t="s">
        <v>1297</v>
      </c>
      <c r="X618" s="471">
        <v>0</v>
      </c>
      <c r="Y618" s="206"/>
      <c r="Z618" s="206"/>
    </row>
    <row r="619" spans="1:26">
      <c r="A619" s="406">
        <v>616</v>
      </c>
      <c r="B619" s="613" t="s">
        <v>3250</v>
      </c>
      <c r="C619" s="288" t="s">
        <v>1298</v>
      </c>
      <c r="D619" s="414" t="s">
        <v>4855</v>
      </c>
      <c r="E619" s="407" t="s">
        <v>8951</v>
      </c>
      <c r="F619" s="483" t="s">
        <v>3246</v>
      </c>
      <c r="G619" s="483" t="s">
        <v>3245</v>
      </c>
      <c r="H619" s="411" t="s">
        <v>3252</v>
      </c>
      <c r="I619" s="411" t="s">
        <v>3251</v>
      </c>
      <c r="J619" s="411"/>
      <c r="K619" s="411"/>
      <c r="L619" s="608">
        <v>9172.3661417322837</v>
      </c>
      <c r="M619" s="409">
        <v>4644.8700787401576</v>
      </c>
      <c r="N619" s="409">
        <v>13817.236220472443</v>
      </c>
      <c r="O619" s="410" t="s">
        <v>7753</v>
      </c>
      <c r="P619" s="406">
        <v>616</v>
      </c>
      <c r="Q619" s="470" t="s">
        <v>1298</v>
      </c>
      <c r="R619" s="460" t="s">
        <v>1299</v>
      </c>
      <c r="S619" s="270" t="s">
        <v>7</v>
      </c>
      <c r="U619" s="471"/>
      <c r="V619" s="471"/>
      <c r="W619" s="471" t="s">
        <v>1299</v>
      </c>
      <c r="X619" s="471">
        <v>1</v>
      </c>
      <c r="Y619" s="206"/>
      <c r="Z619" s="206"/>
    </row>
    <row r="620" spans="1:26">
      <c r="A620" s="406">
        <v>617</v>
      </c>
      <c r="B620" s="613" t="s">
        <v>3254</v>
      </c>
      <c r="C620" s="288" t="s">
        <v>1300</v>
      </c>
      <c r="D620" s="414" t="s">
        <v>4856</v>
      </c>
      <c r="E620" s="407" t="s">
        <v>8952</v>
      </c>
      <c r="F620" s="483" t="s">
        <v>3248</v>
      </c>
      <c r="G620" s="483" t="s">
        <v>3247</v>
      </c>
      <c r="H620" s="411" t="s">
        <v>3256</v>
      </c>
      <c r="I620" s="411" t="s">
        <v>3255</v>
      </c>
      <c r="J620" s="411"/>
      <c r="K620" s="411"/>
      <c r="L620" s="608">
        <v>9172.1811023622049</v>
      </c>
      <c r="M620" s="409">
        <v>4644.8622047244098</v>
      </c>
      <c r="N620" s="409">
        <v>13817.043307086615</v>
      </c>
      <c r="O620" s="410" t="s">
        <v>7753</v>
      </c>
      <c r="P620" s="406">
        <v>617</v>
      </c>
      <c r="Q620" s="470" t="s">
        <v>1300</v>
      </c>
      <c r="R620" s="460" t="s">
        <v>1301</v>
      </c>
      <c r="S620" s="270" t="s">
        <v>7</v>
      </c>
      <c r="U620" s="471"/>
      <c r="V620" s="471"/>
      <c r="W620" s="471" t="s">
        <v>1301</v>
      </c>
      <c r="X620" s="471">
        <v>1</v>
      </c>
      <c r="Y620" s="206"/>
      <c r="Z620" s="206"/>
    </row>
    <row r="621" spans="1:26">
      <c r="A621" s="406">
        <v>618</v>
      </c>
      <c r="B621" s="613" t="s">
        <v>3262</v>
      </c>
      <c r="C621" s="288" t="s">
        <v>1302</v>
      </c>
      <c r="D621" s="414" t="s">
        <v>4844</v>
      </c>
      <c r="E621" s="407" t="s">
        <v>8953</v>
      </c>
      <c r="F621" s="483" t="s">
        <v>3261</v>
      </c>
      <c r="G621" s="411" t="s">
        <v>3264</v>
      </c>
      <c r="H621" s="411" t="s">
        <v>3263</v>
      </c>
      <c r="I621" s="411"/>
      <c r="J621" s="411"/>
      <c r="K621" s="411"/>
      <c r="L621" s="608">
        <v>13621.937007874018</v>
      </c>
      <c r="M621" s="409">
        <v>4644.9212598425192</v>
      </c>
      <c r="N621" s="409">
        <v>18266.858267716536</v>
      </c>
      <c r="O621" s="410" t="s">
        <v>7765</v>
      </c>
      <c r="P621" s="406">
        <v>618</v>
      </c>
      <c r="Q621" s="470" t="s">
        <v>1302</v>
      </c>
      <c r="R621" s="460" t="s">
        <v>1303</v>
      </c>
      <c r="S621" s="270" t="s">
        <v>7</v>
      </c>
      <c r="U621" s="471"/>
      <c r="V621" s="471"/>
      <c r="W621" s="471" t="s">
        <v>1303</v>
      </c>
      <c r="X621" s="471">
        <v>0</v>
      </c>
      <c r="Y621" s="206"/>
      <c r="Z621" s="206"/>
    </row>
    <row r="622" spans="1:26">
      <c r="A622" s="406">
        <v>619</v>
      </c>
      <c r="B622" s="613" t="s">
        <v>3266</v>
      </c>
      <c r="C622" s="288" t="s">
        <v>1304</v>
      </c>
      <c r="D622" s="414" t="s">
        <v>4846</v>
      </c>
      <c r="E622" s="407" t="s">
        <v>8954</v>
      </c>
      <c r="F622" s="483" t="s">
        <v>3265</v>
      </c>
      <c r="G622" s="411" t="s">
        <v>3268</v>
      </c>
      <c r="H622" s="411" t="s">
        <v>3267</v>
      </c>
      <c r="I622" s="411"/>
      <c r="J622" s="411"/>
      <c r="K622" s="411"/>
      <c r="L622" s="608">
        <v>13620.787401574804</v>
      </c>
      <c r="M622" s="409">
        <v>4644.9370078740158</v>
      </c>
      <c r="N622" s="409">
        <v>18265.72440944882</v>
      </c>
      <c r="O622" s="410" t="s">
        <v>7765</v>
      </c>
      <c r="P622" s="406">
        <v>619</v>
      </c>
      <c r="Q622" s="470" t="s">
        <v>1304</v>
      </c>
      <c r="R622" s="460" t="s">
        <v>1305</v>
      </c>
      <c r="S622" s="270" t="s">
        <v>7</v>
      </c>
      <c r="U622" s="471"/>
      <c r="V622" s="471"/>
      <c r="W622" s="471" t="s">
        <v>1305</v>
      </c>
      <c r="X622" s="471">
        <v>0</v>
      </c>
      <c r="Y622" s="206"/>
      <c r="Z622" s="206"/>
    </row>
    <row r="623" spans="1:26">
      <c r="A623" s="406">
        <v>620</v>
      </c>
      <c r="B623" s="613" t="s">
        <v>3262</v>
      </c>
      <c r="C623" s="288" t="s">
        <v>1306</v>
      </c>
      <c r="D623" s="414" t="s">
        <v>4844</v>
      </c>
      <c r="E623" s="407" t="s">
        <v>8953</v>
      </c>
      <c r="F623" s="483" t="s">
        <v>3258</v>
      </c>
      <c r="G623" s="483" t="s">
        <v>3257</v>
      </c>
      <c r="H623" s="411" t="s">
        <v>3264</v>
      </c>
      <c r="I623" s="411" t="s">
        <v>3263</v>
      </c>
      <c r="J623" s="411"/>
      <c r="K623" s="411"/>
      <c r="L623" s="608">
        <v>13621.937007874018</v>
      </c>
      <c r="M623" s="409">
        <v>4645.066929133859</v>
      </c>
      <c r="N623" s="409">
        <v>18267.003937007874</v>
      </c>
      <c r="O623" s="410" t="s">
        <v>7832</v>
      </c>
      <c r="P623" s="406">
        <v>620</v>
      </c>
      <c r="Q623" s="470" t="s">
        <v>1306</v>
      </c>
      <c r="R623" s="460" t="s">
        <v>1307</v>
      </c>
      <c r="S623" s="270" t="s">
        <v>7</v>
      </c>
      <c r="U623" s="471"/>
      <c r="V623" s="471"/>
      <c r="W623" s="471" t="s">
        <v>1307</v>
      </c>
      <c r="X623" s="471">
        <v>1</v>
      </c>
      <c r="Y623" s="206"/>
      <c r="Z623" s="206"/>
    </row>
    <row r="624" spans="1:26">
      <c r="A624" s="406">
        <v>621</v>
      </c>
      <c r="B624" s="613" t="s">
        <v>3266</v>
      </c>
      <c r="C624" s="288" t="s">
        <v>1308</v>
      </c>
      <c r="D624" s="414" t="s">
        <v>4846</v>
      </c>
      <c r="E624" s="407" t="s">
        <v>8954</v>
      </c>
      <c r="F624" s="483" t="s">
        <v>3260</v>
      </c>
      <c r="G624" s="483" t="s">
        <v>3259</v>
      </c>
      <c r="H624" s="411" t="s">
        <v>3268</v>
      </c>
      <c r="I624" s="411" t="s">
        <v>3267</v>
      </c>
      <c r="J624" s="411"/>
      <c r="K624" s="411"/>
      <c r="L624" s="608">
        <v>13620.787401574804</v>
      </c>
      <c r="M624" s="409">
        <v>4644.8503937007881</v>
      </c>
      <c r="N624" s="409">
        <v>18265.63779527559</v>
      </c>
      <c r="O624" s="410" t="s">
        <v>7832</v>
      </c>
      <c r="P624" s="406">
        <v>621</v>
      </c>
      <c r="Q624" s="470" t="s">
        <v>1308</v>
      </c>
      <c r="R624" s="460" t="s">
        <v>1309</v>
      </c>
      <c r="S624" s="270" t="s">
        <v>7</v>
      </c>
      <c r="U624" s="471"/>
      <c r="V624" s="471"/>
      <c r="W624" s="471" t="s">
        <v>1309</v>
      </c>
      <c r="X624" s="471">
        <v>1</v>
      </c>
      <c r="Y624" s="206"/>
      <c r="Z624" s="206"/>
    </row>
    <row r="625" spans="1:26">
      <c r="A625" s="406">
        <v>622</v>
      </c>
      <c r="B625" s="613" t="s">
        <v>3274</v>
      </c>
      <c r="C625" s="288" t="s">
        <v>1310</v>
      </c>
      <c r="D625" s="414" t="s">
        <v>4850</v>
      </c>
      <c r="E625" s="407" t="s">
        <v>8955</v>
      </c>
      <c r="F625" s="483" t="s">
        <v>3273</v>
      </c>
      <c r="G625" s="411" t="s">
        <v>3276</v>
      </c>
      <c r="H625" s="411" t="s">
        <v>3275</v>
      </c>
      <c r="I625" s="411"/>
      <c r="J625" s="411"/>
      <c r="K625" s="411"/>
      <c r="L625" s="608">
        <v>12558.169291338583</v>
      </c>
      <c r="M625" s="409">
        <v>4645.0905511811025</v>
      </c>
      <c r="N625" s="409">
        <v>17203.259842519685</v>
      </c>
      <c r="O625" s="410" t="s">
        <v>7765</v>
      </c>
      <c r="P625" s="406">
        <v>622</v>
      </c>
      <c r="Q625" s="470" t="s">
        <v>1310</v>
      </c>
      <c r="R625" s="460" t="s">
        <v>1311</v>
      </c>
      <c r="S625" s="270" t="s">
        <v>7</v>
      </c>
      <c r="U625" s="471"/>
      <c r="V625" s="471"/>
      <c r="W625" s="471" t="s">
        <v>1311</v>
      </c>
      <c r="X625" s="471">
        <v>0</v>
      </c>
      <c r="Y625" s="206"/>
      <c r="Z625" s="206"/>
    </row>
    <row r="626" spans="1:26">
      <c r="A626" s="406">
        <v>623</v>
      </c>
      <c r="B626" s="613" t="s">
        <v>3278</v>
      </c>
      <c r="C626" s="288" t="s">
        <v>1312</v>
      </c>
      <c r="D626" s="414" t="s">
        <v>4848</v>
      </c>
      <c r="E626" s="407" t="s">
        <v>8956</v>
      </c>
      <c r="F626" s="483" t="s">
        <v>3277</v>
      </c>
      <c r="G626" s="411" t="s">
        <v>3280</v>
      </c>
      <c r="H626" s="411" t="s">
        <v>3279</v>
      </c>
      <c r="I626" s="411"/>
      <c r="J626" s="411"/>
      <c r="K626" s="411"/>
      <c r="L626" s="608">
        <v>12558.003937007874</v>
      </c>
      <c r="M626" s="409">
        <v>4644.7952755905517</v>
      </c>
      <c r="N626" s="409">
        <v>17202.799212598427</v>
      </c>
      <c r="O626" s="410" t="s">
        <v>7765</v>
      </c>
      <c r="P626" s="406">
        <v>623</v>
      </c>
      <c r="Q626" s="470" t="s">
        <v>1312</v>
      </c>
      <c r="R626" s="460" t="s">
        <v>1313</v>
      </c>
      <c r="S626" s="270" t="s">
        <v>7</v>
      </c>
      <c r="U626" s="471"/>
      <c r="V626" s="471"/>
      <c r="W626" s="471" t="s">
        <v>1313</v>
      </c>
      <c r="X626" s="471">
        <v>0</v>
      </c>
      <c r="Y626" s="206"/>
      <c r="Z626" s="206"/>
    </row>
    <row r="627" spans="1:26">
      <c r="A627" s="406">
        <v>624</v>
      </c>
      <c r="B627" s="613" t="s">
        <v>3274</v>
      </c>
      <c r="C627" s="288" t="s">
        <v>1314</v>
      </c>
      <c r="D627" s="414" t="s">
        <v>4850</v>
      </c>
      <c r="E627" s="407" t="s">
        <v>8955</v>
      </c>
      <c r="F627" s="483" t="s">
        <v>3270</v>
      </c>
      <c r="G627" s="483" t="s">
        <v>3269</v>
      </c>
      <c r="H627" s="411" t="s">
        <v>3276</v>
      </c>
      <c r="I627" s="411" t="s">
        <v>3275</v>
      </c>
      <c r="J627" s="411"/>
      <c r="K627" s="411"/>
      <c r="L627" s="608">
        <v>12558.169291338583</v>
      </c>
      <c r="M627" s="409">
        <v>4644.78346456693</v>
      </c>
      <c r="N627" s="409">
        <v>17202.952755905513</v>
      </c>
      <c r="O627" s="410" t="s">
        <v>7764</v>
      </c>
      <c r="P627" s="406">
        <v>624</v>
      </c>
      <c r="Q627" s="470" t="s">
        <v>1314</v>
      </c>
      <c r="R627" s="460" t="s">
        <v>1315</v>
      </c>
      <c r="S627" s="270" t="s">
        <v>7</v>
      </c>
      <c r="U627" s="471"/>
      <c r="V627" s="471"/>
      <c r="W627" s="471" t="s">
        <v>1315</v>
      </c>
      <c r="X627" s="471">
        <v>1</v>
      </c>
      <c r="Y627" s="206"/>
      <c r="Z627" s="206"/>
    </row>
    <row r="628" spans="1:26">
      <c r="A628" s="406">
        <v>625</v>
      </c>
      <c r="B628" s="613" t="s">
        <v>3278</v>
      </c>
      <c r="C628" s="288" t="s">
        <v>1316</v>
      </c>
      <c r="D628" s="414" t="s">
        <v>4848</v>
      </c>
      <c r="E628" s="407" t="s">
        <v>8956</v>
      </c>
      <c r="F628" s="483" t="s">
        <v>3272</v>
      </c>
      <c r="G628" s="483" t="s">
        <v>3271</v>
      </c>
      <c r="H628" s="411" t="s">
        <v>3280</v>
      </c>
      <c r="I628" s="411" t="s">
        <v>3279</v>
      </c>
      <c r="J628" s="411"/>
      <c r="K628" s="411"/>
      <c r="L628" s="608">
        <v>12558.003937007874</v>
      </c>
      <c r="M628" s="409">
        <v>4644.1535433070867</v>
      </c>
      <c r="N628" s="409">
        <v>17202.15748031496</v>
      </c>
      <c r="O628" s="410" t="s">
        <v>7764</v>
      </c>
      <c r="P628" s="406">
        <v>625</v>
      </c>
      <c r="Q628" s="470" t="s">
        <v>1316</v>
      </c>
      <c r="R628" s="460" t="s">
        <v>1317</v>
      </c>
      <c r="S628" s="270" t="s">
        <v>7</v>
      </c>
      <c r="U628" s="471"/>
      <c r="V628" s="471"/>
      <c r="W628" s="471" t="s">
        <v>1317</v>
      </c>
      <c r="X628" s="471">
        <v>1</v>
      </c>
      <c r="Y628" s="206"/>
      <c r="Z628" s="206"/>
    </row>
    <row r="629" spans="1:26">
      <c r="A629" s="406">
        <v>626</v>
      </c>
      <c r="B629" s="613" t="s">
        <v>7020</v>
      </c>
      <c r="C629" s="288" t="s">
        <v>1318</v>
      </c>
      <c r="D629" s="414" t="s">
        <v>4884</v>
      </c>
      <c r="E629" s="407"/>
      <c r="F629" s="483" t="s">
        <v>3346</v>
      </c>
      <c r="G629" s="411"/>
      <c r="H629" s="411"/>
      <c r="I629" s="411"/>
      <c r="J629" s="411"/>
      <c r="K629" s="411"/>
      <c r="L629" s="608" t="s">
        <v>4884</v>
      </c>
      <c r="M629" s="409" t="s">
        <v>4884</v>
      </c>
      <c r="N629" s="409" t="s">
        <v>4884</v>
      </c>
      <c r="O629" s="410" t="s">
        <v>4884</v>
      </c>
      <c r="P629" s="406">
        <v>626</v>
      </c>
      <c r="Q629" s="470" t="s">
        <v>1318</v>
      </c>
      <c r="R629" s="460" t="s">
        <v>1319</v>
      </c>
      <c r="S629" s="270" t="s">
        <v>7</v>
      </c>
      <c r="U629" s="471"/>
      <c r="V629" s="471"/>
      <c r="W629" s="471" t="s">
        <v>1319</v>
      </c>
      <c r="X629" s="471">
        <v>0</v>
      </c>
      <c r="Y629" s="206"/>
      <c r="Z629" s="206"/>
    </row>
    <row r="630" spans="1:26">
      <c r="A630" s="406">
        <v>627</v>
      </c>
      <c r="B630" s="613" t="s">
        <v>7020</v>
      </c>
      <c r="C630" s="288" t="s">
        <v>1320</v>
      </c>
      <c r="D630" s="414" t="s">
        <v>4884</v>
      </c>
      <c r="E630" s="407"/>
      <c r="F630" s="483" t="s">
        <v>3347</v>
      </c>
      <c r="G630" s="411"/>
      <c r="H630" s="411"/>
      <c r="I630" s="411"/>
      <c r="J630" s="411"/>
      <c r="K630" s="411"/>
      <c r="L630" s="608" t="s">
        <v>4884</v>
      </c>
      <c r="M630" s="409" t="s">
        <v>4884</v>
      </c>
      <c r="N630" s="409" t="s">
        <v>4884</v>
      </c>
      <c r="O630" s="410" t="s">
        <v>4884</v>
      </c>
      <c r="P630" s="406">
        <v>627</v>
      </c>
      <c r="Q630" s="470" t="s">
        <v>1320</v>
      </c>
      <c r="R630" s="460" t="s">
        <v>1321</v>
      </c>
      <c r="S630" s="270" t="s">
        <v>7</v>
      </c>
      <c r="U630" s="471"/>
      <c r="V630" s="471"/>
      <c r="W630" s="471" t="s">
        <v>1321</v>
      </c>
      <c r="X630" s="471">
        <v>0</v>
      </c>
      <c r="Y630" s="206"/>
      <c r="Z630" s="206"/>
    </row>
    <row r="631" spans="1:26">
      <c r="A631" s="406">
        <v>628</v>
      </c>
      <c r="B631" s="613" t="s">
        <v>7020</v>
      </c>
      <c r="C631" s="288" t="s">
        <v>1322</v>
      </c>
      <c r="D631" s="414" t="s">
        <v>4884</v>
      </c>
      <c r="E631" s="407"/>
      <c r="F631" s="483"/>
      <c r="G631" s="483"/>
      <c r="H631" s="483"/>
      <c r="I631" s="483"/>
      <c r="J631" s="483"/>
      <c r="K631" s="483"/>
      <c r="L631" s="608" t="s">
        <v>4884</v>
      </c>
      <c r="M631" s="409" t="s">
        <v>4884</v>
      </c>
      <c r="N631" s="409" t="s">
        <v>4884</v>
      </c>
      <c r="O631" s="410" t="s">
        <v>4884</v>
      </c>
      <c r="P631" s="406">
        <v>628</v>
      </c>
      <c r="Q631" s="470" t="s">
        <v>1322</v>
      </c>
      <c r="R631" s="460" t="s">
        <v>1323</v>
      </c>
      <c r="S631" s="270" t="s">
        <v>7</v>
      </c>
      <c r="U631" s="471"/>
      <c r="V631" s="471"/>
      <c r="W631" s="471" t="s">
        <v>1323</v>
      </c>
      <c r="X631" s="471">
        <v>0</v>
      </c>
      <c r="Y631" s="206"/>
      <c r="Z631" s="206"/>
    </row>
    <row r="632" spans="1:26">
      <c r="A632" s="406">
        <v>629</v>
      </c>
      <c r="B632" s="613" t="s">
        <v>7020</v>
      </c>
      <c r="C632" s="288" t="s">
        <v>1324</v>
      </c>
      <c r="D632" s="414" t="s">
        <v>4884</v>
      </c>
      <c r="E632" s="407"/>
      <c r="F632" s="483"/>
      <c r="G632" s="483"/>
      <c r="H632" s="483"/>
      <c r="I632" s="483"/>
      <c r="J632" s="483"/>
      <c r="K632" s="483"/>
      <c r="L632" s="608" t="s">
        <v>4884</v>
      </c>
      <c r="M632" s="409" t="s">
        <v>4884</v>
      </c>
      <c r="N632" s="409" t="s">
        <v>4884</v>
      </c>
      <c r="O632" s="410" t="s">
        <v>4884</v>
      </c>
      <c r="P632" s="406">
        <v>629</v>
      </c>
      <c r="Q632" s="470" t="s">
        <v>1324</v>
      </c>
      <c r="R632" s="460" t="s">
        <v>1325</v>
      </c>
      <c r="S632" s="270" t="s">
        <v>7</v>
      </c>
      <c r="U632" s="471"/>
      <c r="V632" s="471"/>
      <c r="W632" s="471" t="s">
        <v>1325</v>
      </c>
      <c r="X632" s="471">
        <v>0</v>
      </c>
      <c r="Y632" s="206"/>
      <c r="Z632" s="206"/>
    </row>
    <row r="633" spans="1:26">
      <c r="A633" s="406">
        <v>630</v>
      </c>
      <c r="B633" s="613" t="s">
        <v>7020</v>
      </c>
      <c r="C633" s="288" t="s">
        <v>1326</v>
      </c>
      <c r="D633" s="414" t="s">
        <v>4884</v>
      </c>
      <c r="E633" s="407"/>
      <c r="F633" s="483"/>
      <c r="G633" s="483"/>
      <c r="H633" s="483"/>
      <c r="I633" s="483"/>
      <c r="J633" s="483"/>
      <c r="K633" s="483"/>
      <c r="L633" s="608" t="s">
        <v>4884</v>
      </c>
      <c r="M633" s="409" t="s">
        <v>4884</v>
      </c>
      <c r="N633" s="409" t="s">
        <v>4884</v>
      </c>
      <c r="O633" s="410" t="s">
        <v>4884</v>
      </c>
      <c r="P633" s="406">
        <v>630</v>
      </c>
      <c r="Q633" s="470" t="s">
        <v>1326</v>
      </c>
      <c r="R633" s="460" t="s">
        <v>1327</v>
      </c>
      <c r="S633" s="270" t="s">
        <v>7</v>
      </c>
      <c r="U633" s="471"/>
      <c r="V633" s="471"/>
      <c r="W633" s="471" t="s">
        <v>1327</v>
      </c>
      <c r="X633" s="471">
        <v>0</v>
      </c>
      <c r="Y633" s="206"/>
      <c r="Z633" s="206"/>
    </row>
    <row r="634" spans="1:26">
      <c r="A634" s="406">
        <v>631</v>
      </c>
      <c r="B634" s="613" t="s">
        <v>7020</v>
      </c>
      <c r="C634" s="288" t="s">
        <v>1328</v>
      </c>
      <c r="D634" s="414" t="s">
        <v>4884</v>
      </c>
      <c r="E634" s="407"/>
      <c r="F634" s="483"/>
      <c r="G634" s="483"/>
      <c r="H634" s="483"/>
      <c r="I634" s="483"/>
      <c r="J634" s="483"/>
      <c r="K634" s="483"/>
      <c r="L634" s="608" t="s">
        <v>4884</v>
      </c>
      <c r="M634" s="409" t="s">
        <v>4884</v>
      </c>
      <c r="N634" s="409" t="s">
        <v>4884</v>
      </c>
      <c r="O634" s="410" t="s">
        <v>4884</v>
      </c>
      <c r="P634" s="406">
        <v>631</v>
      </c>
      <c r="Q634" s="470" t="s">
        <v>1328</v>
      </c>
      <c r="R634" s="460" t="s">
        <v>1329</v>
      </c>
      <c r="S634" s="270" t="s">
        <v>7</v>
      </c>
      <c r="U634" s="471"/>
      <c r="V634" s="471"/>
      <c r="W634" s="471" t="s">
        <v>1329</v>
      </c>
      <c r="X634" s="471">
        <v>0</v>
      </c>
      <c r="Y634" s="206"/>
      <c r="Z634" s="206"/>
    </row>
    <row r="635" spans="1:26">
      <c r="A635" s="406">
        <v>632</v>
      </c>
      <c r="B635" s="613" t="s">
        <v>5000</v>
      </c>
      <c r="C635" s="288" t="s">
        <v>1330</v>
      </c>
      <c r="D635" s="414" t="s">
        <v>4860</v>
      </c>
      <c r="E635" s="407" t="s">
        <v>8957</v>
      </c>
      <c r="F635" s="483" t="s">
        <v>4998</v>
      </c>
      <c r="G635" s="483" t="s">
        <v>4999</v>
      </c>
      <c r="H635" s="411" t="s">
        <v>5001</v>
      </c>
      <c r="I635" s="411"/>
      <c r="J635" s="411"/>
      <c r="K635" s="411"/>
      <c r="L635" s="608">
        <v>8746.5984251968512</v>
      </c>
      <c r="M635" s="409">
        <v>679.38976377952758</v>
      </c>
      <c r="N635" s="409">
        <v>9425.9881889763783</v>
      </c>
      <c r="O635" s="410" t="s">
        <v>7776</v>
      </c>
      <c r="P635" s="406">
        <v>632</v>
      </c>
      <c r="Q635" s="470" t="s">
        <v>1330</v>
      </c>
      <c r="R635" s="460" t="s">
        <v>1331</v>
      </c>
      <c r="S635" s="270" t="s">
        <v>7</v>
      </c>
      <c r="U635" s="471"/>
      <c r="V635" s="471"/>
      <c r="W635" s="471" t="s">
        <v>1331</v>
      </c>
      <c r="X635" s="471">
        <v>1</v>
      </c>
      <c r="Y635" s="206"/>
      <c r="Z635" s="206"/>
    </row>
    <row r="636" spans="1:26">
      <c r="A636" s="406">
        <v>633</v>
      </c>
      <c r="B636" s="613" t="s">
        <v>3344</v>
      </c>
      <c r="C636" s="288" t="s">
        <v>1332</v>
      </c>
      <c r="D636" s="414" t="s">
        <v>3410</v>
      </c>
      <c r="E636" s="407" t="s">
        <v>8958</v>
      </c>
      <c r="F636" s="483"/>
      <c r="G636" s="483"/>
      <c r="H636" s="483"/>
      <c r="I636" s="483"/>
      <c r="J636" s="483"/>
      <c r="K636" s="483"/>
      <c r="L636" s="608" t="s">
        <v>4884</v>
      </c>
      <c r="M636" s="409">
        <v>6618.2362204724404</v>
      </c>
      <c r="N636" s="409">
        <v>6618.2362204724404</v>
      </c>
      <c r="O636" s="410" t="s">
        <v>7567</v>
      </c>
      <c r="P636" s="406">
        <v>633</v>
      </c>
      <c r="Q636" s="470" t="s">
        <v>1332</v>
      </c>
      <c r="R636" s="270" t="s">
        <v>1333</v>
      </c>
      <c r="S636" s="270" t="s">
        <v>32</v>
      </c>
      <c r="U636" s="471"/>
      <c r="V636" s="471">
        <v>1</v>
      </c>
      <c r="W636" s="471" t="s">
        <v>1333</v>
      </c>
      <c r="X636" s="471">
        <v>0</v>
      </c>
      <c r="Y636" s="206"/>
      <c r="Z636" s="206"/>
    </row>
    <row r="637" spans="1:26">
      <c r="A637" s="406">
        <v>634</v>
      </c>
      <c r="B637" s="613" t="s">
        <v>3345</v>
      </c>
      <c r="C637" s="288" t="s">
        <v>1334</v>
      </c>
      <c r="D637" s="414" t="s">
        <v>3402</v>
      </c>
      <c r="E637" s="407" t="s">
        <v>8959</v>
      </c>
      <c r="F637" s="483"/>
      <c r="G637" s="483"/>
      <c r="H637" s="483"/>
      <c r="I637" s="483"/>
      <c r="J637" s="483"/>
      <c r="K637" s="483"/>
      <c r="L637" s="608" t="s">
        <v>4884</v>
      </c>
      <c r="M637" s="409">
        <v>7028.2086614173231</v>
      </c>
      <c r="N637" s="409">
        <v>7028.2086614173231</v>
      </c>
      <c r="O637" s="410" t="s">
        <v>7573</v>
      </c>
      <c r="P637" s="406">
        <v>634</v>
      </c>
      <c r="Q637" s="470" t="s">
        <v>1334</v>
      </c>
      <c r="R637" s="270" t="s">
        <v>1335</v>
      </c>
      <c r="S637" s="270" t="s">
        <v>32</v>
      </c>
      <c r="U637" s="471"/>
      <c r="V637" s="471">
        <v>1</v>
      </c>
      <c r="W637" s="471" t="s">
        <v>1335</v>
      </c>
      <c r="X637" s="471">
        <v>0</v>
      </c>
      <c r="Y637" s="206"/>
      <c r="Z637" s="206"/>
    </row>
    <row r="638" spans="1:26">
      <c r="A638" s="406">
        <v>635</v>
      </c>
      <c r="B638" s="613" t="s">
        <v>6016</v>
      </c>
      <c r="C638" s="288" t="s">
        <v>1336</v>
      </c>
      <c r="D638" s="414" t="s">
        <v>4763</v>
      </c>
      <c r="E638" s="407" t="s">
        <v>8960</v>
      </c>
      <c r="F638" s="483"/>
      <c r="G638" s="483"/>
      <c r="H638" s="483"/>
      <c r="I638" s="483"/>
      <c r="J638" s="483"/>
      <c r="K638" s="483"/>
      <c r="L638" s="608" t="s">
        <v>4884</v>
      </c>
      <c r="M638" s="409">
        <v>4210.251968503937</v>
      </c>
      <c r="N638" s="409">
        <v>4210.251968503937</v>
      </c>
      <c r="O638" s="410" t="s">
        <v>7575</v>
      </c>
      <c r="P638" s="406">
        <v>635</v>
      </c>
      <c r="Q638" s="470" t="s">
        <v>1336</v>
      </c>
      <c r="R638" s="460" t="s">
        <v>1337</v>
      </c>
      <c r="S638" s="270" t="s">
        <v>7</v>
      </c>
      <c r="U638" s="471"/>
      <c r="V638" s="471"/>
      <c r="W638" s="471" t="s">
        <v>1337</v>
      </c>
      <c r="X638" s="471">
        <v>1</v>
      </c>
      <c r="Y638" s="206"/>
      <c r="Z638" s="206"/>
    </row>
    <row r="639" spans="1:26">
      <c r="A639" s="406">
        <v>636</v>
      </c>
      <c r="B639" s="613" t="s">
        <v>5009</v>
      </c>
      <c r="C639" s="288" t="s">
        <v>1338</v>
      </c>
      <c r="D639" s="414" t="s">
        <v>4700</v>
      </c>
      <c r="E639" s="407" t="s">
        <v>8961</v>
      </c>
      <c r="F639" s="483" t="s">
        <v>5012</v>
      </c>
      <c r="G639" s="411" t="s">
        <v>5010</v>
      </c>
      <c r="H639" s="411"/>
      <c r="I639" s="411"/>
      <c r="J639" s="411"/>
      <c r="K639" s="411"/>
      <c r="L639" s="608">
        <v>4481.7755905511813</v>
      </c>
      <c r="M639" s="409">
        <v>813.57480314960628</v>
      </c>
      <c r="N639" s="409">
        <v>5295.3503937007881</v>
      </c>
      <c r="O639" s="410" t="s">
        <v>7789</v>
      </c>
      <c r="P639" s="406">
        <v>636</v>
      </c>
      <c r="Q639" s="470" t="s">
        <v>1338</v>
      </c>
      <c r="R639" s="460" t="s">
        <v>4890</v>
      </c>
      <c r="S639" s="270" t="s">
        <v>7</v>
      </c>
      <c r="U639" s="471"/>
      <c r="V639" s="471"/>
      <c r="W639" s="471" t="s">
        <v>4890</v>
      </c>
      <c r="X639" s="477">
        <v>2</v>
      </c>
      <c r="Y639" s="206"/>
      <c r="Z639" s="206"/>
    </row>
    <row r="640" spans="1:26">
      <c r="A640" s="406">
        <v>637</v>
      </c>
      <c r="B640" s="613" t="s">
        <v>5011</v>
      </c>
      <c r="C640" s="538" t="s">
        <v>7530</v>
      </c>
      <c r="D640" s="414" t="s">
        <v>4699</v>
      </c>
      <c r="E640" s="407" t="s">
        <v>8962</v>
      </c>
      <c r="F640" s="483" t="s">
        <v>5012</v>
      </c>
      <c r="G640" s="483"/>
      <c r="H640" s="483"/>
      <c r="I640" s="483"/>
      <c r="J640" s="483"/>
      <c r="K640" s="483"/>
      <c r="L640" s="608">
        <v>0</v>
      </c>
      <c r="M640" s="409">
        <v>5308.6496062992128</v>
      </c>
      <c r="N640" s="409">
        <v>5308.6496062992128</v>
      </c>
      <c r="O640" s="410" t="s">
        <v>7789</v>
      </c>
      <c r="P640" s="406">
        <v>637</v>
      </c>
      <c r="Q640" s="470" t="s">
        <v>7530</v>
      </c>
      <c r="R640" s="460"/>
      <c r="U640" s="471"/>
      <c r="V640" s="471"/>
      <c r="W640" s="471"/>
      <c r="X640" s="477"/>
      <c r="Y640" s="206"/>
      <c r="Z640" s="206"/>
    </row>
    <row r="641" spans="1:26">
      <c r="A641" s="406">
        <v>638</v>
      </c>
      <c r="B641" s="613" t="s">
        <v>7020</v>
      </c>
      <c r="C641" s="288" t="s">
        <v>1339</v>
      </c>
      <c r="D641" s="414" t="s">
        <v>4884</v>
      </c>
      <c r="E641" s="407"/>
      <c r="F641" s="483"/>
      <c r="G641" s="483"/>
      <c r="H641" s="483"/>
      <c r="I641" s="483"/>
      <c r="J641" s="483"/>
      <c r="K641" s="483"/>
      <c r="L641" s="608" t="s">
        <v>4884</v>
      </c>
      <c r="M641" s="409" t="s">
        <v>4884</v>
      </c>
      <c r="N641" s="409" t="s">
        <v>4884</v>
      </c>
      <c r="O641" s="410" t="s">
        <v>4884</v>
      </c>
      <c r="P641" s="406">
        <v>638</v>
      </c>
      <c r="Q641" s="470" t="s">
        <v>1339</v>
      </c>
      <c r="R641" s="460" t="s">
        <v>1340</v>
      </c>
      <c r="S641" s="270" t="s">
        <v>7</v>
      </c>
      <c r="U641" s="471"/>
      <c r="V641" s="471"/>
      <c r="W641" s="471" t="s">
        <v>1340</v>
      </c>
      <c r="X641" s="471">
        <v>0</v>
      </c>
    </row>
    <row r="642" spans="1:26">
      <c r="A642" s="406">
        <v>639</v>
      </c>
      <c r="B642" s="613" t="s">
        <v>6628</v>
      </c>
      <c r="C642" s="288" t="s">
        <v>1341</v>
      </c>
      <c r="D642" s="414" t="s">
        <v>3436</v>
      </c>
      <c r="E642" s="407" t="s">
        <v>8963</v>
      </c>
      <c r="F642" s="483" t="s">
        <v>6712</v>
      </c>
      <c r="G642" s="483" t="s">
        <v>6710</v>
      </c>
      <c r="H642" s="411" t="s">
        <v>6720</v>
      </c>
      <c r="I642" s="411"/>
      <c r="J642" s="411"/>
      <c r="K642" s="411"/>
      <c r="L642" s="608">
        <v>9623.2440944881891</v>
      </c>
      <c r="M642" s="409">
        <v>7620.4015748031497</v>
      </c>
      <c r="N642" s="409">
        <v>17243.645669291342</v>
      </c>
      <c r="O642" s="410" t="s">
        <v>7751</v>
      </c>
      <c r="P642" s="406">
        <v>639</v>
      </c>
      <c r="Q642" s="470" t="s">
        <v>1341</v>
      </c>
      <c r="R642" s="460" t="s">
        <v>1342</v>
      </c>
      <c r="S642" s="270" t="s">
        <v>32</v>
      </c>
      <c r="U642" s="471"/>
      <c r="V642" s="471">
        <v>1</v>
      </c>
      <c r="W642" s="471" t="s">
        <v>1342</v>
      </c>
      <c r="X642" s="471">
        <v>0</v>
      </c>
    </row>
    <row r="643" spans="1:26">
      <c r="A643" s="406">
        <v>640</v>
      </c>
      <c r="B643" s="613" t="s">
        <v>6629</v>
      </c>
      <c r="C643" s="288" t="s">
        <v>1343</v>
      </c>
      <c r="D643" s="414" t="s">
        <v>3474</v>
      </c>
      <c r="E643" s="407" t="s">
        <v>8964</v>
      </c>
      <c r="F643" s="483" t="s">
        <v>6709</v>
      </c>
      <c r="G643" s="483" t="s">
        <v>6708</v>
      </c>
      <c r="H643" s="411" t="s">
        <v>6723</v>
      </c>
      <c r="I643" s="411"/>
      <c r="J643" s="411"/>
      <c r="K643" s="411"/>
      <c r="L643" s="608">
        <v>9586.177165354331</v>
      </c>
      <c r="M643" s="409">
        <v>7661.8661417322837</v>
      </c>
      <c r="N643" s="409">
        <v>17248.043307086617</v>
      </c>
      <c r="O643" s="410" t="s">
        <v>7751</v>
      </c>
      <c r="P643" s="406">
        <v>640</v>
      </c>
      <c r="Q643" s="470" t="s">
        <v>1343</v>
      </c>
      <c r="R643" s="460" t="s">
        <v>1344</v>
      </c>
      <c r="S643" s="270" t="s">
        <v>32</v>
      </c>
      <c r="U643" s="471"/>
      <c r="V643" s="471">
        <v>1</v>
      </c>
      <c r="W643" s="471" t="s">
        <v>1344</v>
      </c>
      <c r="X643" s="471">
        <v>0</v>
      </c>
    </row>
    <row r="644" spans="1:26">
      <c r="A644" s="406">
        <v>641</v>
      </c>
      <c r="B644" s="613" t="s">
        <v>6194</v>
      </c>
      <c r="C644" s="288" t="s">
        <v>1345</v>
      </c>
      <c r="D644" s="414" t="s">
        <v>3446</v>
      </c>
      <c r="E644" s="407" t="s">
        <v>8965</v>
      </c>
      <c r="F644" s="483"/>
      <c r="G644" s="483"/>
      <c r="H644" s="483"/>
      <c r="I644" s="483"/>
      <c r="J644" s="483"/>
      <c r="K644" s="483"/>
      <c r="L644" s="608" t="s">
        <v>4884</v>
      </c>
      <c r="M644" s="409">
        <v>7589.9409448818906</v>
      </c>
      <c r="N644" s="409">
        <v>7589.9409448818906</v>
      </c>
      <c r="O644" s="410" t="s">
        <v>7574</v>
      </c>
      <c r="P644" s="406">
        <v>641</v>
      </c>
      <c r="Q644" s="470" t="s">
        <v>1345</v>
      </c>
      <c r="R644" s="460" t="s">
        <v>1346</v>
      </c>
      <c r="S644" s="270" t="s">
        <v>32</v>
      </c>
      <c r="U644" s="471"/>
      <c r="V644" s="471">
        <v>1</v>
      </c>
      <c r="W644" s="471" t="s">
        <v>1346</v>
      </c>
      <c r="X644" s="471">
        <v>0</v>
      </c>
    </row>
    <row r="645" spans="1:26">
      <c r="A645" s="406">
        <v>642</v>
      </c>
      <c r="B645" s="613" t="s">
        <v>6017</v>
      </c>
      <c r="C645" s="288" t="s">
        <v>1347</v>
      </c>
      <c r="D645" s="414" t="s">
        <v>4838</v>
      </c>
      <c r="E645" s="407" t="s">
        <v>8966</v>
      </c>
      <c r="F645" s="483"/>
      <c r="G645" s="483"/>
      <c r="H645" s="483"/>
      <c r="I645" s="483"/>
      <c r="J645" s="483"/>
      <c r="K645" s="483"/>
      <c r="L645" s="608" t="s">
        <v>4884</v>
      </c>
      <c r="M645" s="409">
        <v>8748.4842519685044</v>
      </c>
      <c r="N645" s="409">
        <v>8748.4842519685044</v>
      </c>
      <c r="O645" s="410" t="s">
        <v>7569</v>
      </c>
      <c r="P645" s="406">
        <v>642</v>
      </c>
      <c r="Q645" s="470" t="s">
        <v>1347</v>
      </c>
      <c r="R645" s="460" t="s">
        <v>1348</v>
      </c>
      <c r="S645" s="270" t="s">
        <v>7</v>
      </c>
      <c r="U645" s="471"/>
      <c r="V645" s="471"/>
      <c r="W645" s="471" t="s">
        <v>1348</v>
      </c>
      <c r="X645" s="471">
        <v>1</v>
      </c>
    </row>
    <row r="646" spans="1:26">
      <c r="A646" s="406">
        <v>643</v>
      </c>
      <c r="B646" s="613" t="s">
        <v>5585</v>
      </c>
      <c r="C646" s="288" t="s">
        <v>1349</v>
      </c>
      <c r="D646" s="414" t="s">
        <v>4630</v>
      </c>
      <c r="E646" s="407" t="s">
        <v>8967</v>
      </c>
      <c r="F646" s="483" t="s">
        <v>5590</v>
      </c>
      <c r="G646" s="411" t="s">
        <v>5586</v>
      </c>
      <c r="H646" s="411" t="s">
        <v>5589</v>
      </c>
      <c r="I646" s="411"/>
      <c r="J646" s="411"/>
      <c r="K646" s="411"/>
      <c r="L646" s="608">
        <v>4186.5196850393704</v>
      </c>
      <c r="M646" s="409">
        <v>1573.6732283464567</v>
      </c>
      <c r="N646" s="409">
        <v>5760.1929133858266</v>
      </c>
      <c r="O646" s="410" t="s">
        <v>7803</v>
      </c>
      <c r="P646" s="406">
        <v>643</v>
      </c>
      <c r="Q646" s="470" t="s">
        <v>1349</v>
      </c>
      <c r="R646" s="460" t="s">
        <v>1350</v>
      </c>
      <c r="S646" s="270" t="s">
        <v>7</v>
      </c>
      <c r="U646" s="471"/>
      <c r="V646" s="471"/>
      <c r="W646" s="471" t="s">
        <v>1350</v>
      </c>
      <c r="X646" s="471">
        <v>1</v>
      </c>
    </row>
    <row r="647" spans="1:26">
      <c r="A647" s="406">
        <v>644</v>
      </c>
      <c r="B647" s="613" t="s">
        <v>4995</v>
      </c>
      <c r="C647" s="288" t="s">
        <v>1351</v>
      </c>
      <c r="D647" s="414" t="s">
        <v>4628</v>
      </c>
      <c r="E647" s="407" t="s">
        <v>8968</v>
      </c>
      <c r="F647" s="483" t="s">
        <v>5587</v>
      </c>
      <c r="G647" s="411" t="s">
        <v>4996</v>
      </c>
      <c r="H647" s="411" t="s">
        <v>5588</v>
      </c>
      <c r="I647" s="411"/>
      <c r="J647" s="411"/>
      <c r="K647" s="411"/>
      <c r="L647" s="608">
        <v>4186.1496062992128</v>
      </c>
      <c r="M647" s="409">
        <v>1571.5275590551182</v>
      </c>
      <c r="N647" s="409">
        <v>5757.677165354331</v>
      </c>
      <c r="O647" s="410" t="s">
        <v>7773</v>
      </c>
      <c r="P647" s="406">
        <v>644</v>
      </c>
      <c r="Q647" s="470" t="s">
        <v>1351</v>
      </c>
      <c r="R647" s="460" t="s">
        <v>1352</v>
      </c>
      <c r="S647" s="270" t="s">
        <v>7</v>
      </c>
      <c r="U647" s="471"/>
      <c r="V647" s="471"/>
      <c r="W647" s="471" t="s">
        <v>1352</v>
      </c>
      <c r="X647" s="471">
        <v>1</v>
      </c>
    </row>
    <row r="648" spans="1:26">
      <c r="A648" s="406">
        <v>645</v>
      </c>
      <c r="B648" s="613" t="s">
        <v>6018</v>
      </c>
      <c r="C648" s="288" t="s">
        <v>1353</v>
      </c>
      <c r="D648" s="414" t="s">
        <v>4841</v>
      </c>
      <c r="E648" s="407" t="s">
        <v>8969</v>
      </c>
      <c r="F648" s="483"/>
      <c r="G648" s="483"/>
      <c r="H648" s="483"/>
      <c r="I648" s="483"/>
      <c r="J648" s="483"/>
      <c r="K648" s="483"/>
      <c r="L648" s="608" t="s">
        <v>4884</v>
      </c>
      <c r="M648" s="409">
        <v>9123.78346456693</v>
      </c>
      <c r="N648" s="409">
        <v>9123.78346456693</v>
      </c>
      <c r="O648" s="410" t="s">
        <v>7574</v>
      </c>
      <c r="P648" s="406">
        <v>645</v>
      </c>
      <c r="Q648" s="470" t="s">
        <v>1353</v>
      </c>
      <c r="R648" s="460" t="s">
        <v>1354</v>
      </c>
      <c r="S648" s="270" t="s">
        <v>7</v>
      </c>
      <c r="U648" s="471"/>
      <c r="V648" s="471"/>
      <c r="W648" s="471" t="s">
        <v>1354</v>
      </c>
      <c r="X648" s="471">
        <v>1</v>
      </c>
    </row>
    <row r="649" spans="1:26">
      <c r="A649" s="406">
        <v>646</v>
      </c>
      <c r="B649" s="613" t="s">
        <v>7020</v>
      </c>
      <c r="C649" s="288" t="s">
        <v>1355</v>
      </c>
      <c r="D649" s="414" t="s">
        <v>4884</v>
      </c>
      <c r="E649" s="407"/>
      <c r="F649" s="483"/>
      <c r="G649" s="483"/>
      <c r="H649" s="483"/>
      <c r="I649" s="483"/>
      <c r="J649" s="483"/>
      <c r="K649" s="483"/>
      <c r="L649" s="608" t="s">
        <v>4884</v>
      </c>
      <c r="M649" s="409" t="s">
        <v>4884</v>
      </c>
      <c r="N649" s="409" t="s">
        <v>4884</v>
      </c>
      <c r="O649" s="410" t="s">
        <v>4884</v>
      </c>
      <c r="P649" s="406">
        <v>646</v>
      </c>
      <c r="Q649" s="470" t="s">
        <v>1355</v>
      </c>
      <c r="R649" s="460" t="s">
        <v>1356</v>
      </c>
      <c r="S649" s="270" t="s">
        <v>7</v>
      </c>
      <c r="U649" s="471"/>
      <c r="V649" s="471"/>
      <c r="W649" s="471" t="s">
        <v>1356</v>
      </c>
      <c r="X649" s="471">
        <v>0</v>
      </c>
    </row>
    <row r="650" spans="1:26">
      <c r="A650" s="406">
        <v>647</v>
      </c>
      <c r="B650" s="613" t="s">
        <v>7020</v>
      </c>
      <c r="C650" s="288" t="s">
        <v>1357</v>
      </c>
      <c r="D650" s="414" t="s">
        <v>4884</v>
      </c>
      <c r="E650" s="407"/>
      <c r="F650" s="483"/>
      <c r="G650" s="483"/>
      <c r="H650" s="483"/>
      <c r="I650" s="483"/>
      <c r="J650" s="483"/>
      <c r="K650" s="483"/>
      <c r="L650" s="608" t="s">
        <v>4884</v>
      </c>
      <c r="M650" s="409" t="s">
        <v>4884</v>
      </c>
      <c r="N650" s="409" t="s">
        <v>4884</v>
      </c>
      <c r="O650" s="410" t="s">
        <v>4884</v>
      </c>
      <c r="P650" s="406">
        <v>647</v>
      </c>
      <c r="Q650" s="470" t="s">
        <v>1357</v>
      </c>
      <c r="R650" s="460" t="s">
        <v>1358</v>
      </c>
      <c r="S650" s="270" t="s">
        <v>7</v>
      </c>
      <c r="U650" s="471"/>
      <c r="V650" s="471"/>
      <c r="W650" s="471" t="s">
        <v>1358</v>
      </c>
      <c r="X650" s="471">
        <v>0</v>
      </c>
    </row>
    <row r="651" spans="1:26">
      <c r="A651" s="406">
        <v>648</v>
      </c>
      <c r="B651" s="613" t="s">
        <v>7020</v>
      </c>
      <c r="C651" s="288" t="s">
        <v>1359</v>
      </c>
      <c r="D651" s="414" t="s">
        <v>4884</v>
      </c>
      <c r="E651" s="407"/>
      <c r="F651" s="483" t="s">
        <v>4997</v>
      </c>
      <c r="G651" s="411"/>
      <c r="H651" s="411"/>
      <c r="I651" s="411"/>
      <c r="J651" s="411"/>
      <c r="K651" s="411"/>
      <c r="L651" s="608" t="s">
        <v>4884</v>
      </c>
      <c r="M651" s="409" t="s">
        <v>4884</v>
      </c>
      <c r="N651" s="409" t="s">
        <v>4884</v>
      </c>
      <c r="O651" s="410" t="s">
        <v>4884</v>
      </c>
      <c r="P651" s="406">
        <v>648</v>
      </c>
      <c r="Q651" s="470" t="s">
        <v>1359</v>
      </c>
      <c r="R651" s="460" t="s">
        <v>1360</v>
      </c>
      <c r="S651" s="270" t="s">
        <v>7</v>
      </c>
      <c r="U651" s="471"/>
      <c r="V651" s="471"/>
      <c r="W651" s="471" t="s">
        <v>1360</v>
      </c>
      <c r="X651" s="471">
        <v>0</v>
      </c>
    </row>
    <row r="652" spans="1:26">
      <c r="A652" s="406">
        <v>649</v>
      </c>
      <c r="B652" s="613" t="s">
        <v>4990</v>
      </c>
      <c r="C652" s="288" t="s">
        <v>1361</v>
      </c>
      <c r="D652" s="414" t="s">
        <v>3462</v>
      </c>
      <c r="E652" s="407" t="s">
        <v>8970</v>
      </c>
      <c r="F652" s="483" t="s">
        <v>4979</v>
      </c>
      <c r="G652" s="483" t="s">
        <v>4994</v>
      </c>
      <c r="H652" s="411" t="s">
        <v>4991</v>
      </c>
      <c r="I652" s="411" t="s">
        <v>4993</v>
      </c>
      <c r="J652" s="411"/>
      <c r="K652" s="411"/>
      <c r="L652" s="608">
        <v>8974.3307086614186</v>
      </c>
      <c r="M652" s="409">
        <v>916.37795275590554</v>
      </c>
      <c r="N652" s="409">
        <v>9890.708661417324</v>
      </c>
      <c r="O652" s="410" t="s">
        <v>7760</v>
      </c>
      <c r="P652" s="406">
        <v>649</v>
      </c>
      <c r="Q652" s="470" t="s">
        <v>1361</v>
      </c>
      <c r="R652" s="475" t="s">
        <v>1362</v>
      </c>
      <c r="S652" s="270" t="s">
        <v>32</v>
      </c>
      <c r="U652" s="471"/>
      <c r="V652" s="464">
        <v>0</v>
      </c>
      <c r="W652" s="471"/>
      <c r="X652" s="471"/>
      <c r="Z652" s="270" t="s">
        <v>1363</v>
      </c>
    </row>
    <row r="653" spans="1:26">
      <c r="A653" s="406">
        <v>650</v>
      </c>
      <c r="B653" s="613" t="s">
        <v>4990</v>
      </c>
      <c r="C653" s="288" t="s">
        <v>1364</v>
      </c>
      <c r="D653" s="414" t="s">
        <v>3462</v>
      </c>
      <c r="E653" s="407" t="s">
        <v>8970</v>
      </c>
      <c r="F653" s="483" t="s">
        <v>4992</v>
      </c>
      <c r="G653" s="411" t="s">
        <v>4991</v>
      </c>
      <c r="H653" s="411" t="s">
        <v>4993</v>
      </c>
      <c r="I653" s="411"/>
      <c r="J653" s="411"/>
      <c r="K653" s="411"/>
      <c r="L653" s="608">
        <v>8974.3307086614186</v>
      </c>
      <c r="M653" s="409">
        <v>758.46456692913387</v>
      </c>
      <c r="N653" s="409">
        <v>9732.7952755905517</v>
      </c>
      <c r="O653" s="410" t="s">
        <v>7760</v>
      </c>
      <c r="P653" s="406">
        <v>650</v>
      </c>
      <c r="Q653" s="470" t="s">
        <v>1364</v>
      </c>
      <c r="R653" s="460" t="s">
        <v>1365</v>
      </c>
      <c r="S653" s="270" t="s">
        <v>32</v>
      </c>
      <c r="U653" s="471"/>
      <c r="V653" s="471">
        <v>1</v>
      </c>
      <c r="W653" s="471" t="s">
        <v>1365</v>
      </c>
      <c r="X653" s="471">
        <v>0</v>
      </c>
      <c r="Z653" s="270" t="s">
        <v>4891</v>
      </c>
    </row>
    <row r="654" spans="1:26">
      <c r="A654" s="406">
        <v>651</v>
      </c>
      <c r="B654" s="613" t="s">
        <v>6019</v>
      </c>
      <c r="C654" s="288" t="s">
        <v>1366</v>
      </c>
      <c r="D654" s="414" t="s">
        <v>4654</v>
      </c>
      <c r="E654" s="407" t="s">
        <v>8971</v>
      </c>
      <c r="F654" s="483"/>
      <c r="G654" s="483"/>
      <c r="H654" s="483"/>
      <c r="I654" s="483"/>
      <c r="J654" s="483"/>
      <c r="K654" s="483"/>
      <c r="L654" s="608" t="s">
        <v>4884</v>
      </c>
      <c r="M654" s="409">
        <v>3815.5511811023625</v>
      </c>
      <c r="N654" s="409">
        <v>3815.5511811023625</v>
      </c>
      <c r="O654" s="410" t="s">
        <v>7572</v>
      </c>
      <c r="P654" s="406">
        <v>651</v>
      </c>
      <c r="Q654" s="470" t="s">
        <v>1366</v>
      </c>
      <c r="R654" s="460" t="s">
        <v>1367</v>
      </c>
      <c r="S654" s="270" t="s">
        <v>7</v>
      </c>
      <c r="U654" s="471"/>
      <c r="V654" s="471"/>
      <c r="W654" s="471" t="s">
        <v>1367</v>
      </c>
      <c r="X654" s="471">
        <v>1</v>
      </c>
    </row>
    <row r="655" spans="1:26">
      <c r="A655" s="406">
        <v>652</v>
      </c>
      <c r="B655" s="613" t="s">
        <v>6020</v>
      </c>
      <c r="C655" s="288" t="s">
        <v>1368</v>
      </c>
      <c r="D655" s="414" t="s">
        <v>4645</v>
      </c>
      <c r="E655" s="407" t="s">
        <v>8972</v>
      </c>
      <c r="F655" s="483"/>
      <c r="G655" s="483"/>
      <c r="H655" s="483"/>
      <c r="I655" s="483"/>
      <c r="J655" s="483"/>
      <c r="K655" s="483"/>
      <c r="L655" s="608" t="s">
        <v>4884</v>
      </c>
      <c r="M655" s="409">
        <v>3970.7952755905512</v>
      </c>
      <c r="N655" s="409">
        <v>3970.7952755905512</v>
      </c>
      <c r="O655" s="410" t="s">
        <v>7576</v>
      </c>
      <c r="P655" s="406">
        <v>652</v>
      </c>
      <c r="Q655" s="470" t="s">
        <v>1368</v>
      </c>
      <c r="R655" s="460" t="s">
        <v>1369</v>
      </c>
      <c r="S655" s="270" t="s">
        <v>7</v>
      </c>
      <c r="U655" s="471"/>
      <c r="V655" s="471"/>
      <c r="W655" s="471" t="s">
        <v>1369</v>
      </c>
      <c r="X655" s="471">
        <v>1</v>
      </c>
    </row>
    <row r="656" spans="1:26">
      <c r="A656" s="406">
        <v>653</v>
      </c>
      <c r="B656" s="613" t="s">
        <v>7020</v>
      </c>
      <c r="C656" s="288" t="s">
        <v>1370</v>
      </c>
      <c r="D656" s="414" t="s">
        <v>4884</v>
      </c>
      <c r="E656" s="407"/>
      <c r="F656" s="483"/>
      <c r="G656" s="483"/>
      <c r="H656" s="483"/>
      <c r="I656" s="483"/>
      <c r="J656" s="483"/>
      <c r="K656" s="483"/>
      <c r="L656" s="608" t="s">
        <v>4884</v>
      </c>
      <c r="M656" s="409" t="s">
        <v>4884</v>
      </c>
      <c r="N656" s="409" t="s">
        <v>4884</v>
      </c>
      <c r="O656" s="410" t="s">
        <v>4884</v>
      </c>
      <c r="P656" s="406">
        <v>653</v>
      </c>
      <c r="Q656" s="470" t="s">
        <v>1370</v>
      </c>
      <c r="R656" s="460" t="s">
        <v>1371</v>
      </c>
      <c r="S656" s="270" t="s">
        <v>7</v>
      </c>
      <c r="U656" s="471"/>
      <c r="V656" s="471"/>
      <c r="W656" s="478" t="s">
        <v>7515</v>
      </c>
      <c r="X656" s="471">
        <v>0</v>
      </c>
    </row>
    <row r="657" spans="1:26">
      <c r="A657" s="406">
        <v>654</v>
      </c>
      <c r="B657" s="613" t="s">
        <v>7020</v>
      </c>
      <c r="C657" s="288" t="s">
        <v>1372</v>
      </c>
      <c r="D657" s="414" t="s">
        <v>4884</v>
      </c>
      <c r="E657" s="407"/>
      <c r="F657" s="483"/>
      <c r="G657" s="483"/>
      <c r="H657" s="483"/>
      <c r="I657" s="483"/>
      <c r="J657" s="483"/>
      <c r="K657" s="483"/>
      <c r="L657" s="608" t="s">
        <v>4884</v>
      </c>
      <c r="M657" s="409" t="s">
        <v>4884</v>
      </c>
      <c r="N657" s="409" t="s">
        <v>4884</v>
      </c>
      <c r="O657" s="410" t="s">
        <v>4884</v>
      </c>
      <c r="P657" s="406">
        <v>654</v>
      </c>
      <c r="Q657" s="470" t="s">
        <v>1372</v>
      </c>
      <c r="R657" s="475" t="s">
        <v>1373</v>
      </c>
      <c r="S657" s="270" t="s">
        <v>7</v>
      </c>
      <c r="U657" s="471"/>
      <c r="V657" s="471"/>
      <c r="W657" s="478" t="s">
        <v>7516</v>
      </c>
      <c r="X657" s="471">
        <v>0</v>
      </c>
      <c r="Y657" s="206"/>
      <c r="Z657" s="206"/>
    </row>
    <row r="658" spans="1:26">
      <c r="A658" s="406">
        <v>655</v>
      </c>
      <c r="B658" s="613" t="s">
        <v>7020</v>
      </c>
      <c r="C658" s="288" t="s">
        <v>1374</v>
      </c>
      <c r="D658" s="414" t="s">
        <v>4884</v>
      </c>
      <c r="E658" s="407"/>
      <c r="F658" s="483"/>
      <c r="G658" s="483"/>
      <c r="H658" s="483"/>
      <c r="I658" s="483"/>
      <c r="J658" s="483"/>
      <c r="K658" s="483"/>
      <c r="L658" s="608" t="s">
        <v>4884</v>
      </c>
      <c r="M658" s="409" t="s">
        <v>4884</v>
      </c>
      <c r="N658" s="409" t="s">
        <v>4884</v>
      </c>
      <c r="O658" s="410" t="s">
        <v>4884</v>
      </c>
      <c r="P658" s="406">
        <v>655</v>
      </c>
      <c r="Q658" s="470" t="s">
        <v>1374</v>
      </c>
      <c r="R658" s="475" t="s">
        <v>1375</v>
      </c>
      <c r="S658" s="270" t="s">
        <v>7</v>
      </c>
      <c r="U658" s="471"/>
      <c r="V658" s="471"/>
      <c r="W658" s="478" t="s">
        <v>7517</v>
      </c>
      <c r="X658" s="471">
        <v>0</v>
      </c>
      <c r="Y658" s="206"/>
      <c r="Z658" s="206"/>
    </row>
    <row r="659" spans="1:26">
      <c r="A659" s="406">
        <v>656</v>
      </c>
      <c r="B659" s="613" t="s">
        <v>7020</v>
      </c>
      <c r="C659" s="288" t="s">
        <v>1376</v>
      </c>
      <c r="D659" s="414" t="s">
        <v>4884</v>
      </c>
      <c r="E659" s="407"/>
      <c r="F659" s="483"/>
      <c r="G659" s="483"/>
      <c r="H659" s="483"/>
      <c r="I659" s="483"/>
      <c r="J659" s="483"/>
      <c r="K659" s="483"/>
      <c r="L659" s="608" t="s">
        <v>4884</v>
      </c>
      <c r="M659" s="409" t="s">
        <v>4884</v>
      </c>
      <c r="N659" s="409" t="s">
        <v>4884</v>
      </c>
      <c r="O659" s="410" t="s">
        <v>4884</v>
      </c>
      <c r="P659" s="406">
        <v>656</v>
      </c>
      <c r="Q659" s="470" t="s">
        <v>1376</v>
      </c>
      <c r="R659" s="475" t="s">
        <v>1377</v>
      </c>
      <c r="S659" s="270" t="s">
        <v>7</v>
      </c>
      <c r="U659" s="471"/>
      <c r="V659" s="471"/>
      <c r="W659" s="478"/>
      <c r="X659" s="471">
        <v>0</v>
      </c>
      <c r="Y659" s="206"/>
      <c r="Z659" s="206"/>
    </row>
    <row r="660" spans="1:26">
      <c r="A660" s="406">
        <v>657</v>
      </c>
      <c r="B660" s="613" t="s">
        <v>7020</v>
      </c>
      <c r="C660" s="288" t="s">
        <v>1378</v>
      </c>
      <c r="D660" s="414" t="s">
        <v>4884</v>
      </c>
      <c r="E660" s="407"/>
      <c r="F660" s="483"/>
      <c r="G660" s="483"/>
      <c r="H660" s="483"/>
      <c r="I660" s="483"/>
      <c r="J660" s="483"/>
      <c r="K660" s="483"/>
      <c r="L660" s="608" t="s">
        <v>4884</v>
      </c>
      <c r="M660" s="409" t="s">
        <v>4884</v>
      </c>
      <c r="N660" s="409" t="s">
        <v>4884</v>
      </c>
      <c r="O660" s="410" t="s">
        <v>4884</v>
      </c>
      <c r="P660" s="406">
        <v>657</v>
      </c>
      <c r="Q660" s="470" t="s">
        <v>1378</v>
      </c>
      <c r="R660" s="475" t="s">
        <v>1379</v>
      </c>
      <c r="S660" s="270" t="s">
        <v>7</v>
      </c>
      <c r="U660" s="471"/>
      <c r="V660" s="471"/>
      <c r="W660" s="478"/>
      <c r="X660" s="471">
        <v>0</v>
      </c>
      <c r="Y660" s="206"/>
      <c r="Z660" s="206"/>
    </row>
    <row r="661" spans="1:26">
      <c r="A661" s="406">
        <v>658</v>
      </c>
      <c r="B661" s="613" t="s">
        <v>7020</v>
      </c>
      <c r="C661" s="288" t="s">
        <v>1380</v>
      </c>
      <c r="D661" s="414" t="s">
        <v>4884</v>
      </c>
      <c r="E661" s="407"/>
      <c r="F661" s="483"/>
      <c r="G661" s="483"/>
      <c r="H661" s="483"/>
      <c r="I661" s="483"/>
      <c r="J661" s="483"/>
      <c r="K661" s="483"/>
      <c r="L661" s="608" t="s">
        <v>4884</v>
      </c>
      <c r="M661" s="409" t="s">
        <v>4884</v>
      </c>
      <c r="N661" s="409" t="s">
        <v>4884</v>
      </c>
      <c r="O661" s="410" t="s">
        <v>4884</v>
      </c>
      <c r="P661" s="406">
        <v>658</v>
      </c>
      <c r="Q661" s="470" t="s">
        <v>1380</v>
      </c>
      <c r="R661" s="475" t="s">
        <v>1381</v>
      </c>
      <c r="S661" s="270" t="s">
        <v>7</v>
      </c>
      <c r="U661" s="471"/>
      <c r="V661" s="471"/>
      <c r="W661" s="478"/>
      <c r="X661" s="471">
        <v>0</v>
      </c>
      <c r="Y661" s="206"/>
      <c r="Z661" s="206"/>
    </row>
    <row r="662" spans="1:26">
      <c r="A662" s="406">
        <v>659</v>
      </c>
      <c r="B662" s="613" t="s">
        <v>7020</v>
      </c>
      <c r="C662" s="288" t="s">
        <v>1382</v>
      </c>
      <c r="D662" s="414" t="s">
        <v>4884</v>
      </c>
      <c r="E662" s="407"/>
      <c r="F662" s="483"/>
      <c r="G662" s="483"/>
      <c r="H662" s="483"/>
      <c r="I662" s="483"/>
      <c r="J662" s="483"/>
      <c r="K662" s="483"/>
      <c r="L662" s="608" t="s">
        <v>4884</v>
      </c>
      <c r="M662" s="409" t="s">
        <v>4884</v>
      </c>
      <c r="N662" s="409" t="s">
        <v>4884</v>
      </c>
      <c r="O662" s="410" t="s">
        <v>4884</v>
      </c>
      <c r="P662" s="406">
        <v>659</v>
      </c>
      <c r="Q662" s="470" t="s">
        <v>1382</v>
      </c>
      <c r="R662" s="475" t="s">
        <v>1383</v>
      </c>
      <c r="S662" s="270" t="s">
        <v>7</v>
      </c>
      <c r="U662" s="471"/>
      <c r="V662" s="471"/>
      <c r="W662" s="478"/>
      <c r="X662" s="471">
        <v>0</v>
      </c>
      <c r="Y662" s="206"/>
      <c r="Z662" s="206"/>
    </row>
    <row r="663" spans="1:26">
      <c r="A663" s="406">
        <v>660</v>
      </c>
      <c r="B663" s="613" t="s">
        <v>7020</v>
      </c>
      <c r="C663" s="288" t="s">
        <v>1384</v>
      </c>
      <c r="D663" s="414" t="s">
        <v>4884</v>
      </c>
      <c r="E663" s="407"/>
      <c r="F663" s="483"/>
      <c r="G663" s="483"/>
      <c r="H663" s="483"/>
      <c r="I663" s="483"/>
      <c r="J663" s="483"/>
      <c r="K663" s="483"/>
      <c r="L663" s="608" t="s">
        <v>4884</v>
      </c>
      <c r="M663" s="409" t="s">
        <v>4884</v>
      </c>
      <c r="N663" s="409" t="s">
        <v>4884</v>
      </c>
      <c r="O663" s="410" t="s">
        <v>4884</v>
      </c>
      <c r="P663" s="406">
        <v>660</v>
      </c>
      <c r="Q663" s="470" t="s">
        <v>1384</v>
      </c>
      <c r="R663" s="475" t="s">
        <v>1385</v>
      </c>
      <c r="S663" s="270" t="s">
        <v>7</v>
      </c>
      <c r="U663" s="471"/>
      <c r="V663" s="471"/>
      <c r="W663" s="478"/>
      <c r="X663" s="471">
        <v>0</v>
      </c>
      <c r="Y663" s="206"/>
      <c r="Z663" s="206"/>
    </row>
    <row r="664" spans="1:26">
      <c r="A664" s="406">
        <v>661</v>
      </c>
      <c r="B664" s="613" t="s">
        <v>7020</v>
      </c>
      <c r="C664" s="288" t="s">
        <v>1386</v>
      </c>
      <c r="D664" s="414" t="s">
        <v>4884</v>
      </c>
      <c r="E664" s="407"/>
      <c r="F664" s="483"/>
      <c r="G664" s="483"/>
      <c r="H664" s="483"/>
      <c r="I664" s="483"/>
      <c r="J664" s="483"/>
      <c r="K664" s="483"/>
      <c r="L664" s="608" t="s">
        <v>4884</v>
      </c>
      <c r="M664" s="409" t="s">
        <v>4884</v>
      </c>
      <c r="N664" s="409" t="s">
        <v>4884</v>
      </c>
      <c r="O664" s="410" t="s">
        <v>4884</v>
      </c>
      <c r="P664" s="406">
        <v>661</v>
      </c>
      <c r="Q664" s="470" t="s">
        <v>1386</v>
      </c>
      <c r="R664" s="460" t="s">
        <v>1387</v>
      </c>
      <c r="S664" s="270" t="s">
        <v>7</v>
      </c>
      <c r="U664" s="471"/>
      <c r="V664" s="471"/>
      <c r="W664" s="478"/>
      <c r="X664" s="471">
        <v>0</v>
      </c>
      <c r="Y664" s="206"/>
      <c r="Z664" s="206"/>
    </row>
    <row r="665" spans="1:26">
      <c r="A665" s="406">
        <v>662</v>
      </c>
      <c r="B665" s="613" t="s">
        <v>7020</v>
      </c>
      <c r="C665" s="288" t="s">
        <v>1388</v>
      </c>
      <c r="D665" s="414" t="s">
        <v>4884</v>
      </c>
      <c r="E665" s="407"/>
      <c r="F665" s="483"/>
      <c r="G665" s="483"/>
      <c r="H665" s="483"/>
      <c r="I665" s="483"/>
      <c r="J665" s="483"/>
      <c r="K665" s="483"/>
      <c r="L665" s="608" t="s">
        <v>4884</v>
      </c>
      <c r="M665" s="409" t="s">
        <v>4884</v>
      </c>
      <c r="N665" s="409" t="s">
        <v>4884</v>
      </c>
      <c r="O665" s="410" t="s">
        <v>4884</v>
      </c>
      <c r="P665" s="406">
        <v>662</v>
      </c>
      <c r="Q665" s="470" t="s">
        <v>1388</v>
      </c>
      <c r="R665" s="460" t="s">
        <v>1389</v>
      </c>
      <c r="S665" s="270" t="s">
        <v>7</v>
      </c>
      <c r="U665" s="471"/>
      <c r="V665" s="471"/>
      <c r="W665" s="478"/>
      <c r="X665" s="471">
        <v>0</v>
      </c>
      <c r="Y665" s="206"/>
      <c r="Z665" s="206"/>
    </row>
    <row r="666" spans="1:26">
      <c r="A666" s="406">
        <v>663</v>
      </c>
      <c r="B666" s="613" t="s">
        <v>7020</v>
      </c>
      <c r="C666" s="288" t="s">
        <v>1390</v>
      </c>
      <c r="D666" s="414" t="s">
        <v>4884</v>
      </c>
      <c r="E666" s="407"/>
      <c r="F666" s="483"/>
      <c r="G666" s="483"/>
      <c r="H666" s="483"/>
      <c r="I666" s="483"/>
      <c r="J666" s="483"/>
      <c r="K666" s="483"/>
      <c r="L666" s="608" t="s">
        <v>4884</v>
      </c>
      <c r="M666" s="409" t="s">
        <v>4884</v>
      </c>
      <c r="N666" s="409" t="s">
        <v>4884</v>
      </c>
      <c r="O666" s="410" t="s">
        <v>4884</v>
      </c>
      <c r="P666" s="406">
        <v>663</v>
      </c>
      <c r="Q666" s="470" t="s">
        <v>1390</v>
      </c>
      <c r="R666" s="475" t="s">
        <v>1391</v>
      </c>
      <c r="S666" s="270" t="s">
        <v>7</v>
      </c>
      <c r="U666" s="471"/>
      <c r="V666" s="471"/>
      <c r="W666" s="478"/>
      <c r="X666" s="471">
        <v>0</v>
      </c>
      <c r="Y666" s="206"/>
      <c r="Z666" s="206"/>
    </row>
    <row r="667" spans="1:26">
      <c r="A667" s="406">
        <v>664</v>
      </c>
      <c r="B667" s="613" t="s">
        <v>7020</v>
      </c>
      <c r="C667" s="288" t="s">
        <v>1392</v>
      </c>
      <c r="D667" s="414" t="s">
        <v>4884</v>
      </c>
      <c r="E667" s="407"/>
      <c r="F667" s="483"/>
      <c r="G667" s="483"/>
      <c r="H667" s="483"/>
      <c r="I667" s="483"/>
      <c r="J667" s="483"/>
      <c r="K667" s="483"/>
      <c r="L667" s="608" t="s">
        <v>4884</v>
      </c>
      <c r="M667" s="409" t="s">
        <v>4884</v>
      </c>
      <c r="N667" s="409" t="s">
        <v>4884</v>
      </c>
      <c r="O667" s="410" t="s">
        <v>4884</v>
      </c>
      <c r="P667" s="406">
        <v>664</v>
      </c>
      <c r="Q667" s="470" t="s">
        <v>1392</v>
      </c>
      <c r="R667" s="475" t="s">
        <v>1393</v>
      </c>
      <c r="S667" s="270" t="s">
        <v>7</v>
      </c>
      <c r="U667" s="471"/>
      <c r="V667" s="471"/>
      <c r="W667" s="478"/>
      <c r="X667" s="471">
        <v>0</v>
      </c>
      <c r="Y667" s="206"/>
      <c r="Z667" s="206"/>
    </row>
    <row r="668" spans="1:26">
      <c r="A668" s="406">
        <v>665</v>
      </c>
      <c r="B668" s="613" t="s">
        <v>7020</v>
      </c>
      <c r="C668" s="288" t="s">
        <v>1394</v>
      </c>
      <c r="D668" s="414" t="s">
        <v>4884</v>
      </c>
      <c r="E668" s="407"/>
      <c r="F668" s="483"/>
      <c r="G668" s="483"/>
      <c r="H668" s="483"/>
      <c r="I668" s="483"/>
      <c r="J668" s="483"/>
      <c r="K668" s="483"/>
      <c r="L668" s="608" t="s">
        <v>4884</v>
      </c>
      <c r="M668" s="409" t="s">
        <v>4884</v>
      </c>
      <c r="N668" s="409" t="s">
        <v>4884</v>
      </c>
      <c r="O668" s="410" t="s">
        <v>4884</v>
      </c>
      <c r="P668" s="406">
        <v>665</v>
      </c>
      <c r="Q668" s="470" t="s">
        <v>1394</v>
      </c>
      <c r="R668" s="475" t="s">
        <v>7985</v>
      </c>
      <c r="S668" s="270" t="s">
        <v>7986</v>
      </c>
      <c r="U668" s="471"/>
      <c r="V668" s="471"/>
      <c r="W668" s="478"/>
      <c r="X668" s="471">
        <v>0</v>
      </c>
      <c r="Y668" s="206"/>
      <c r="Z668" s="753" t="s">
        <v>7987</v>
      </c>
    </row>
    <row r="669" spans="1:26">
      <c r="A669" s="406">
        <v>666</v>
      </c>
      <c r="B669" s="613" t="s">
        <v>7020</v>
      </c>
      <c r="C669" s="288" t="s">
        <v>1395</v>
      </c>
      <c r="D669" s="414" t="s">
        <v>4884</v>
      </c>
      <c r="E669" s="407"/>
      <c r="F669" s="483"/>
      <c r="G669" s="483"/>
      <c r="H669" s="483"/>
      <c r="I669" s="483"/>
      <c r="J669" s="483"/>
      <c r="K669" s="483"/>
      <c r="L669" s="608" t="s">
        <v>4884</v>
      </c>
      <c r="M669" s="409" t="s">
        <v>4884</v>
      </c>
      <c r="N669" s="409" t="s">
        <v>4884</v>
      </c>
      <c r="O669" s="410" t="s">
        <v>4884</v>
      </c>
      <c r="P669" s="406">
        <v>666</v>
      </c>
      <c r="Q669" s="470" t="s">
        <v>1395</v>
      </c>
      <c r="R669" s="475" t="s">
        <v>7985</v>
      </c>
      <c r="S669" s="270" t="s">
        <v>7986</v>
      </c>
      <c r="U669" s="471"/>
      <c r="V669" s="471"/>
      <c r="W669" s="478"/>
      <c r="X669" s="471">
        <v>0</v>
      </c>
      <c r="Y669" s="206"/>
      <c r="Z669" s="753" t="s">
        <v>7988</v>
      </c>
    </row>
    <row r="670" spans="1:26">
      <c r="A670" s="406">
        <v>667</v>
      </c>
      <c r="B670" s="613" t="s">
        <v>7020</v>
      </c>
      <c r="C670" s="288" t="s">
        <v>1396</v>
      </c>
      <c r="D670" s="414" t="s">
        <v>4884</v>
      </c>
      <c r="E670" s="407"/>
      <c r="F670" s="483"/>
      <c r="G670" s="483"/>
      <c r="H670" s="483"/>
      <c r="I670" s="483"/>
      <c r="J670" s="483"/>
      <c r="K670" s="483"/>
      <c r="L670" s="608" t="s">
        <v>4884</v>
      </c>
      <c r="M670" s="409" t="s">
        <v>4884</v>
      </c>
      <c r="N670" s="409" t="s">
        <v>4884</v>
      </c>
      <c r="O670" s="410" t="s">
        <v>4884</v>
      </c>
      <c r="P670" s="406">
        <v>667</v>
      </c>
      <c r="Q670" s="470" t="s">
        <v>1396</v>
      </c>
      <c r="R670" s="475" t="s">
        <v>1397</v>
      </c>
      <c r="S670" s="270" t="s">
        <v>7</v>
      </c>
      <c r="U670" s="471"/>
      <c r="V670" s="471"/>
      <c r="W670" s="478"/>
      <c r="X670" s="471">
        <v>0</v>
      </c>
      <c r="Y670" s="206"/>
      <c r="Z670" s="206"/>
    </row>
    <row r="671" spans="1:26">
      <c r="A671" s="406">
        <v>668</v>
      </c>
      <c r="B671" s="613" t="s">
        <v>7020</v>
      </c>
      <c r="C671" s="288" t="s">
        <v>1398</v>
      </c>
      <c r="D671" s="414" t="s">
        <v>4884</v>
      </c>
      <c r="E671" s="407"/>
      <c r="F671" s="483"/>
      <c r="G671" s="483"/>
      <c r="H671" s="483"/>
      <c r="I671" s="483"/>
      <c r="J671" s="483"/>
      <c r="K671" s="483"/>
      <c r="L671" s="608" t="s">
        <v>4884</v>
      </c>
      <c r="M671" s="409" t="s">
        <v>4884</v>
      </c>
      <c r="N671" s="409" t="s">
        <v>4884</v>
      </c>
      <c r="O671" s="410" t="s">
        <v>4884</v>
      </c>
      <c r="P671" s="406">
        <v>668</v>
      </c>
      <c r="Q671" s="470" t="s">
        <v>1398</v>
      </c>
      <c r="R671" s="475" t="s">
        <v>1399</v>
      </c>
      <c r="S671" s="270" t="s">
        <v>7</v>
      </c>
      <c r="U671" s="471"/>
      <c r="V671" s="471"/>
      <c r="W671" s="478"/>
      <c r="X671" s="471">
        <v>0</v>
      </c>
      <c r="Y671" s="206"/>
      <c r="Z671" s="206"/>
    </row>
    <row r="672" spans="1:26">
      <c r="A672" s="406">
        <v>669</v>
      </c>
      <c r="B672" s="613" t="s">
        <v>6021</v>
      </c>
      <c r="C672" s="288" t="s">
        <v>1400</v>
      </c>
      <c r="D672" s="414" t="s">
        <v>4640</v>
      </c>
      <c r="E672" s="407" t="s">
        <v>8973</v>
      </c>
      <c r="F672" s="483"/>
      <c r="G672" s="483"/>
      <c r="H672" s="483"/>
      <c r="I672" s="483"/>
      <c r="J672" s="483"/>
      <c r="K672" s="483"/>
      <c r="L672" s="608" t="s">
        <v>4884</v>
      </c>
      <c r="M672" s="409">
        <v>3901.9921259842522</v>
      </c>
      <c r="N672" s="409">
        <v>3901.9921259842522</v>
      </c>
      <c r="O672" s="410" t="s">
        <v>7572</v>
      </c>
      <c r="P672" s="406">
        <v>669</v>
      </c>
      <c r="Q672" s="470" t="s">
        <v>1400</v>
      </c>
      <c r="R672" s="460" t="s">
        <v>1401</v>
      </c>
      <c r="S672" s="270" t="s">
        <v>7</v>
      </c>
      <c r="U672" s="471"/>
      <c r="V672" s="471"/>
      <c r="W672" s="471" t="s">
        <v>1401</v>
      </c>
      <c r="X672" s="471">
        <v>1</v>
      </c>
      <c r="Y672" s="206"/>
      <c r="Z672" s="206"/>
    </row>
    <row r="673" spans="1:26">
      <c r="A673" s="406">
        <v>670</v>
      </c>
      <c r="B673" s="613" t="s">
        <v>6022</v>
      </c>
      <c r="C673" s="288" t="s">
        <v>1402</v>
      </c>
      <c r="D673" s="414" t="s">
        <v>4638</v>
      </c>
      <c r="E673" s="407" t="s">
        <v>8974</v>
      </c>
      <c r="F673" s="483"/>
      <c r="G673" s="483"/>
      <c r="H673" s="483"/>
      <c r="I673" s="483"/>
      <c r="J673" s="483"/>
      <c r="K673" s="483"/>
      <c r="L673" s="608" t="s">
        <v>4884</v>
      </c>
      <c r="M673" s="409">
        <v>4444.2204724409448</v>
      </c>
      <c r="N673" s="409">
        <v>4444.2204724409448</v>
      </c>
      <c r="O673" s="410" t="s">
        <v>7572</v>
      </c>
      <c r="P673" s="406">
        <v>670</v>
      </c>
      <c r="Q673" s="470" t="s">
        <v>1402</v>
      </c>
      <c r="R673" s="270" t="s">
        <v>1403</v>
      </c>
      <c r="S673" s="270" t="s">
        <v>7</v>
      </c>
      <c r="U673" s="471"/>
      <c r="V673" s="471"/>
      <c r="W673" s="471" t="s">
        <v>1403</v>
      </c>
      <c r="X673" s="471">
        <v>1</v>
      </c>
    </row>
    <row r="674" spans="1:26">
      <c r="A674" s="406">
        <v>671</v>
      </c>
      <c r="B674" s="613" t="s">
        <v>6023</v>
      </c>
      <c r="C674" s="288" t="s">
        <v>1404</v>
      </c>
      <c r="D674" s="414" t="s">
        <v>4644</v>
      </c>
      <c r="E674" s="407" t="s">
        <v>8975</v>
      </c>
      <c r="F674" s="483"/>
      <c r="G674" s="483"/>
      <c r="H674" s="483"/>
      <c r="I674" s="483"/>
      <c r="J674" s="483"/>
      <c r="K674" s="483"/>
      <c r="L674" s="608" t="s">
        <v>4884</v>
      </c>
      <c r="M674" s="409">
        <v>4432.0944881889764</v>
      </c>
      <c r="N674" s="409">
        <v>4432.0944881889764</v>
      </c>
      <c r="O674" s="410" t="s">
        <v>7576</v>
      </c>
      <c r="P674" s="406">
        <v>671</v>
      </c>
      <c r="Q674" s="470" t="s">
        <v>1404</v>
      </c>
      <c r="R674" s="270" t="s">
        <v>1405</v>
      </c>
      <c r="S674" s="270" t="s">
        <v>7</v>
      </c>
      <c r="U674" s="471"/>
      <c r="V674" s="471"/>
      <c r="W674" s="471" t="s">
        <v>1405</v>
      </c>
      <c r="X674" s="471">
        <v>1</v>
      </c>
    </row>
    <row r="675" spans="1:26">
      <c r="A675" s="406">
        <v>672</v>
      </c>
      <c r="B675" s="613" t="s">
        <v>6024</v>
      </c>
      <c r="C675" s="288" t="s">
        <v>1406</v>
      </c>
      <c r="D675" s="414" t="s">
        <v>4745</v>
      </c>
      <c r="E675" s="407" t="s">
        <v>8976</v>
      </c>
      <c r="F675" s="483"/>
      <c r="G675" s="483"/>
      <c r="H675" s="483"/>
      <c r="I675" s="483"/>
      <c r="J675" s="483"/>
      <c r="K675" s="483"/>
      <c r="L675" s="608" t="s">
        <v>4884</v>
      </c>
      <c r="M675" s="409">
        <v>4343.0748031496059</v>
      </c>
      <c r="N675" s="409">
        <v>4343.0748031496059</v>
      </c>
      <c r="O675" s="410" t="s">
        <v>7573</v>
      </c>
      <c r="P675" s="406">
        <v>672</v>
      </c>
      <c r="Q675" s="470" t="s">
        <v>1406</v>
      </c>
      <c r="R675" s="270" t="s">
        <v>1407</v>
      </c>
      <c r="S675" s="270" t="s">
        <v>7</v>
      </c>
      <c r="U675" s="471"/>
      <c r="V675" s="471"/>
      <c r="W675" s="471" t="s">
        <v>1407</v>
      </c>
      <c r="X675" s="471">
        <v>1</v>
      </c>
    </row>
    <row r="676" spans="1:26">
      <c r="A676" s="406">
        <v>673</v>
      </c>
      <c r="B676" s="613" t="s">
        <v>6025</v>
      </c>
      <c r="C676" s="288" t="s">
        <v>1408</v>
      </c>
      <c r="D676" s="414" t="s">
        <v>4739</v>
      </c>
      <c r="E676" s="407" t="s">
        <v>8977</v>
      </c>
      <c r="F676" s="483"/>
      <c r="G676" s="483"/>
      <c r="H676" s="483"/>
      <c r="I676" s="483"/>
      <c r="J676" s="483"/>
      <c r="K676" s="483"/>
      <c r="L676" s="608" t="s">
        <v>4884</v>
      </c>
      <c r="M676" s="409">
        <v>4968.7992125984256</v>
      </c>
      <c r="N676" s="409">
        <v>4968.7992125984256</v>
      </c>
      <c r="O676" s="410" t="s">
        <v>7574</v>
      </c>
      <c r="P676" s="406">
        <v>673</v>
      </c>
      <c r="Q676" s="470" t="s">
        <v>1408</v>
      </c>
      <c r="R676" s="270" t="s">
        <v>1409</v>
      </c>
      <c r="S676" s="270" t="s">
        <v>7</v>
      </c>
      <c r="U676" s="471"/>
      <c r="V676" s="471"/>
      <c r="W676" s="471" t="s">
        <v>1409</v>
      </c>
      <c r="X676" s="471">
        <v>1</v>
      </c>
    </row>
    <row r="677" spans="1:26">
      <c r="A677" s="406">
        <v>674</v>
      </c>
      <c r="B677" s="613" t="s">
        <v>6026</v>
      </c>
      <c r="C677" s="288" t="s">
        <v>1410</v>
      </c>
      <c r="D677" s="414" t="s">
        <v>4695</v>
      </c>
      <c r="E677" s="407" t="s">
        <v>8978</v>
      </c>
      <c r="F677" s="483"/>
      <c r="G677" s="483"/>
      <c r="H677" s="411"/>
      <c r="I677" s="411"/>
      <c r="J677" s="411"/>
      <c r="K677" s="411"/>
      <c r="L677" s="608" t="s">
        <v>4884</v>
      </c>
      <c r="M677" s="409">
        <v>4848.8425196850394</v>
      </c>
      <c r="N677" s="409">
        <v>4848.8425196850394</v>
      </c>
      <c r="O677" s="410" t="s">
        <v>7574</v>
      </c>
      <c r="P677" s="406">
        <v>674</v>
      </c>
      <c r="Q677" s="470" t="s">
        <v>1410</v>
      </c>
      <c r="R677" s="270" t="s">
        <v>1411</v>
      </c>
      <c r="S677" s="270" t="s">
        <v>7</v>
      </c>
      <c r="U677" s="471"/>
      <c r="V677" s="471"/>
      <c r="W677" s="471" t="s">
        <v>1411</v>
      </c>
      <c r="X677" s="471">
        <v>1</v>
      </c>
    </row>
    <row r="678" spans="1:26">
      <c r="A678" s="406">
        <v>675</v>
      </c>
      <c r="B678" s="613" t="s">
        <v>6027</v>
      </c>
      <c r="C678" s="288" t="s">
        <v>1412</v>
      </c>
      <c r="D678" s="414" t="s">
        <v>4733</v>
      </c>
      <c r="E678" s="407" t="s">
        <v>8979</v>
      </c>
      <c r="F678" s="483"/>
      <c r="G678" s="483"/>
      <c r="H678" s="411"/>
      <c r="I678" s="411"/>
      <c r="J678" s="411"/>
      <c r="K678" s="411"/>
      <c r="L678" s="608" t="s">
        <v>4884</v>
      </c>
      <c r="M678" s="409">
        <v>3844.657480314961</v>
      </c>
      <c r="N678" s="409">
        <v>3844.657480314961</v>
      </c>
      <c r="O678" s="410" t="s">
        <v>7573</v>
      </c>
      <c r="P678" s="406">
        <v>675</v>
      </c>
      <c r="Q678" s="470" t="s">
        <v>1412</v>
      </c>
      <c r="R678" s="460" t="s">
        <v>1413</v>
      </c>
      <c r="S678" s="270" t="s">
        <v>7</v>
      </c>
      <c r="U678" s="471"/>
      <c r="V678" s="471"/>
      <c r="W678" s="471" t="s">
        <v>1413</v>
      </c>
      <c r="X678" s="471">
        <v>1</v>
      </c>
    </row>
    <row r="679" spans="1:26">
      <c r="A679" s="406">
        <v>676</v>
      </c>
      <c r="B679" s="613" t="s">
        <v>6028</v>
      </c>
      <c r="C679" s="288" t="s">
        <v>1414</v>
      </c>
      <c r="D679" s="414" t="s">
        <v>4637</v>
      </c>
      <c r="E679" s="407" t="s">
        <v>8980</v>
      </c>
      <c r="F679" s="483"/>
      <c r="G679" s="483"/>
      <c r="H679" s="483"/>
      <c r="I679" s="483"/>
      <c r="J679" s="483"/>
      <c r="K679" s="483"/>
      <c r="L679" s="608" t="s">
        <v>4884</v>
      </c>
      <c r="M679" s="409">
        <v>4222.5236220472443</v>
      </c>
      <c r="N679" s="409">
        <v>4222.5236220472443</v>
      </c>
      <c r="O679" s="410" t="s">
        <v>7572</v>
      </c>
      <c r="P679" s="406">
        <v>676</v>
      </c>
      <c r="Q679" s="470" t="s">
        <v>1414</v>
      </c>
      <c r="R679" s="460" t="s">
        <v>1415</v>
      </c>
      <c r="S679" s="270" t="s">
        <v>7</v>
      </c>
      <c r="U679" s="471"/>
      <c r="V679" s="471"/>
      <c r="W679" s="471" t="s">
        <v>1415</v>
      </c>
      <c r="X679" s="471">
        <v>1</v>
      </c>
    </row>
    <row r="680" spans="1:26">
      <c r="A680" s="406">
        <v>677</v>
      </c>
      <c r="B680" s="613" t="s">
        <v>6029</v>
      </c>
      <c r="C680" s="288" t="s">
        <v>1416</v>
      </c>
      <c r="D680" s="414" t="s">
        <v>4839</v>
      </c>
      <c r="E680" s="407" t="s">
        <v>8981</v>
      </c>
      <c r="F680" s="483"/>
      <c r="G680" s="483"/>
      <c r="H680" s="483"/>
      <c r="I680" s="483"/>
      <c r="J680" s="483"/>
      <c r="K680" s="483"/>
      <c r="L680" s="608" t="s">
        <v>4884</v>
      </c>
      <c r="M680" s="409">
        <v>8859.5866141732295</v>
      </c>
      <c r="N680" s="409">
        <v>8859.5866141732295</v>
      </c>
      <c r="O680" s="410" t="s">
        <v>7574</v>
      </c>
      <c r="P680" s="406">
        <v>677</v>
      </c>
      <c r="Q680" s="470" t="s">
        <v>1416</v>
      </c>
      <c r="R680" s="460" t="s">
        <v>1417</v>
      </c>
      <c r="S680" s="270" t="s">
        <v>7</v>
      </c>
      <c r="U680" s="471"/>
      <c r="V680" s="471"/>
      <c r="W680" s="471" t="s">
        <v>1417</v>
      </c>
      <c r="X680" s="471">
        <v>1</v>
      </c>
    </row>
    <row r="681" spans="1:26">
      <c r="A681" s="406">
        <v>678</v>
      </c>
      <c r="B681" s="613" t="s">
        <v>5577</v>
      </c>
      <c r="C681" s="288" t="s">
        <v>1418</v>
      </c>
      <c r="D681" s="414" t="s">
        <v>4670</v>
      </c>
      <c r="E681" s="407" t="s">
        <v>8896</v>
      </c>
      <c r="F681" s="483" t="s">
        <v>5575</v>
      </c>
      <c r="G681" s="411" t="s">
        <v>5578</v>
      </c>
      <c r="H681" s="411"/>
      <c r="I681" s="411"/>
      <c r="J681" s="411"/>
      <c r="K681" s="411"/>
      <c r="L681" s="608">
        <v>11666.330708661417</v>
      </c>
      <c r="M681" s="409">
        <v>10099.456692913387</v>
      </c>
      <c r="N681" s="409">
        <v>21765.787401574806</v>
      </c>
      <c r="O681" s="410" t="s">
        <v>7826</v>
      </c>
      <c r="P681" s="406">
        <v>678</v>
      </c>
      <c r="Q681" s="470" t="s">
        <v>1418</v>
      </c>
      <c r="R681" s="460" t="s">
        <v>1419</v>
      </c>
      <c r="S681" s="270" t="s">
        <v>7</v>
      </c>
      <c r="U681" s="471"/>
      <c r="V681" s="471"/>
      <c r="W681" s="471" t="s">
        <v>1419</v>
      </c>
      <c r="X681" s="471">
        <v>1</v>
      </c>
      <c r="Z681" s="270" t="s">
        <v>1420</v>
      </c>
    </row>
    <row r="682" spans="1:26">
      <c r="A682" s="406">
        <v>679</v>
      </c>
      <c r="B682" s="613" t="s">
        <v>5569</v>
      </c>
      <c r="C682" s="288" t="s">
        <v>1421</v>
      </c>
      <c r="D682" s="414" t="s">
        <v>4669</v>
      </c>
      <c r="E682" s="407" t="s">
        <v>8897</v>
      </c>
      <c r="F682" s="483" t="s">
        <v>5567</v>
      </c>
      <c r="G682" s="411" t="s">
        <v>5570</v>
      </c>
      <c r="H682" s="411"/>
      <c r="I682" s="411"/>
      <c r="J682" s="411"/>
      <c r="K682" s="411"/>
      <c r="L682" s="608">
        <v>12023.881889763781</v>
      </c>
      <c r="M682" s="409">
        <v>9560.708661417324</v>
      </c>
      <c r="N682" s="409">
        <v>21584.590551181103</v>
      </c>
      <c r="O682" s="410" t="s">
        <v>7799</v>
      </c>
      <c r="P682" s="406">
        <v>679</v>
      </c>
      <c r="Q682" s="470" t="s">
        <v>1421</v>
      </c>
      <c r="R682" s="460" t="s">
        <v>1422</v>
      </c>
      <c r="S682" s="270" t="s">
        <v>7</v>
      </c>
      <c r="U682" s="471"/>
      <c r="V682" s="471"/>
      <c r="W682" s="471" t="s">
        <v>1422</v>
      </c>
      <c r="X682" s="471">
        <v>1</v>
      </c>
      <c r="Z682" s="270" t="s">
        <v>1423</v>
      </c>
    </row>
    <row r="683" spans="1:26">
      <c r="A683" s="406">
        <v>680</v>
      </c>
      <c r="B683" s="613" t="s">
        <v>6030</v>
      </c>
      <c r="C683" s="288" t="s">
        <v>1424</v>
      </c>
      <c r="D683" s="414" t="s">
        <v>4857</v>
      </c>
      <c r="E683" s="407" t="s">
        <v>8982</v>
      </c>
      <c r="F683" s="483"/>
      <c r="G683" s="483"/>
      <c r="H683" s="483"/>
      <c r="I683" s="483"/>
      <c r="J683" s="483"/>
      <c r="K683" s="483"/>
      <c r="L683" s="608" t="s">
        <v>4884</v>
      </c>
      <c r="M683" s="409">
        <v>5225.6929133858266</v>
      </c>
      <c r="N683" s="409">
        <v>5225.6929133858266</v>
      </c>
      <c r="O683" s="410" t="s">
        <v>7573</v>
      </c>
      <c r="P683" s="406">
        <v>680</v>
      </c>
      <c r="Q683" s="470" t="s">
        <v>1424</v>
      </c>
      <c r="R683" s="460" t="s">
        <v>1425</v>
      </c>
      <c r="S683" s="270" t="s">
        <v>7</v>
      </c>
      <c r="U683" s="471"/>
      <c r="V683" s="471"/>
      <c r="W683" s="471" t="s">
        <v>1425</v>
      </c>
      <c r="X683" s="471">
        <v>1</v>
      </c>
    </row>
    <row r="684" spans="1:26">
      <c r="A684" s="406">
        <v>681</v>
      </c>
      <c r="B684" s="613" t="s">
        <v>6695</v>
      </c>
      <c r="C684" s="288" t="s">
        <v>1426</v>
      </c>
      <c r="D684" s="414" t="s">
        <v>4859</v>
      </c>
      <c r="E684" s="407" t="s">
        <v>8983</v>
      </c>
      <c r="F684" s="483" t="s">
        <v>6722</v>
      </c>
      <c r="G684" s="483" t="s">
        <v>6694</v>
      </c>
      <c r="H684" s="411" t="s">
        <v>6707</v>
      </c>
      <c r="I684" s="411"/>
      <c r="J684" s="411"/>
      <c r="K684" s="411"/>
      <c r="L684" s="608">
        <v>5804.5000000000009</v>
      </c>
      <c r="M684" s="409">
        <v>1523.7322834645672</v>
      </c>
      <c r="N684" s="409">
        <v>7328.2322834645674</v>
      </c>
      <c r="O684" s="410" t="s">
        <v>7574</v>
      </c>
      <c r="P684" s="406">
        <v>681</v>
      </c>
      <c r="Q684" s="470" t="s">
        <v>1426</v>
      </c>
      <c r="R684" s="460" t="s">
        <v>1427</v>
      </c>
      <c r="S684" s="270" t="s">
        <v>7</v>
      </c>
      <c r="U684" s="471"/>
      <c r="V684" s="471"/>
      <c r="W684" s="471" t="s">
        <v>1427</v>
      </c>
      <c r="X684" s="471">
        <v>1</v>
      </c>
    </row>
    <row r="685" spans="1:26">
      <c r="A685" s="406">
        <v>682</v>
      </c>
      <c r="B685" s="613" t="s">
        <v>7020</v>
      </c>
      <c r="C685" s="288" t="s">
        <v>1428</v>
      </c>
      <c r="D685" s="414" t="s">
        <v>4884</v>
      </c>
      <c r="E685" s="407"/>
      <c r="F685" s="483" t="s">
        <v>4984</v>
      </c>
      <c r="G685" s="411"/>
      <c r="H685" s="411"/>
      <c r="I685" s="411"/>
      <c r="J685" s="411"/>
      <c r="K685" s="411"/>
      <c r="L685" s="608" t="s">
        <v>4884</v>
      </c>
      <c r="M685" s="409" t="s">
        <v>4884</v>
      </c>
      <c r="N685" s="409" t="s">
        <v>4884</v>
      </c>
      <c r="O685" s="410" t="s">
        <v>4884</v>
      </c>
      <c r="P685" s="406">
        <v>682</v>
      </c>
      <c r="Q685" s="470" t="s">
        <v>1428</v>
      </c>
      <c r="R685" s="460" t="s">
        <v>1429</v>
      </c>
      <c r="S685" s="270" t="s">
        <v>748</v>
      </c>
      <c r="U685" s="471">
        <v>0</v>
      </c>
      <c r="V685" s="471">
        <v>0</v>
      </c>
      <c r="W685" s="471" t="s">
        <v>1429</v>
      </c>
      <c r="X685" s="471">
        <v>0</v>
      </c>
    </row>
    <row r="686" spans="1:26">
      <c r="A686" s="406">
        <v>683</v>
      </c>
      <c r="B686" s="613" t="s">
        <v>7020</v>
      </c>
      <c r="C686" s="288" t="s">
        <v>1430</v>
      </c>
      <c r="D686" s="414" t="s">
        <v>4884</v>
      </c>
      <c r="E686" s="407"/>
      <c r="F686" s="483" t="s">
        <v>4989</v>
      </c>
      <c r="G686" s="411"/>
      <c r="H686" s="411"/>
      <c r="I686" s="411"/>
      <c r="J686" s="411"/>
      <c r="K686" s="411"/>
      <c r="L686" s="608" t="s">
        <v>4884</v>
      </c>
      <c r="M686" s="409" t="s">
        <v>4884</v>
      </c>
      <c r="N686" s="409" t="s">
        <v>4884</v>
      </c>
      <c r="O686" s="410" t="s">
        <v>4884</v>
      </c>
      <c r="P686" s="406">
        <v>683</v>
      </c>
      <c r="Q686" s="470" t="s">
        <v>1430</v>
      </c>
      <c r="R686" s="460" t="s">
        <v>1431</v>
      </c>
      <c r="S686" s="270" t="s">
        <v>748</v>
      </c>
      <c r="U686" s="471">
        <v>0</v>
      </c>
      <c r="V686" s="471">
        <v>0</v>
      </c>
      <c r="W686" s="471" t="s">
        <v>1431</v>
      </c>
      <c r="X686" s="471">
        <v>0</v>
      </c>
    </row>
    <row r="687" spans="1:26">
      <c r="A687" s="406">
        <v>684</v>
      </c>
      <c r="B687" s="613" t="s">
        <v>4985</v>
      </c>
      <c r="C687" s="288" t="s">
        <v>1432</v>
      </c>
      <c r="D687" s="414" t="s">
        <v>4806</v>
      </c>
      <c r="E687" s="407" t="s">
        <v>8984</v>
      </c>
      <c r="F687" s="483" t="s">
        <v>4987</v>
      </c>
      <c r="G687" s="483" t="s">
        <v>4988</v>
      </c>
      <c r="H687" s="411" t="s">
        <v>4986</v>
      </c>
      <c r="I687" s="411"/>
      <c r="J687" s="411"/>
      <c r="K687" s="411"/>
      <c r="L687" s="608">
        <v>3328.5866141732281</v>
      </c>
      <c r="M687" s="409">
        <v>3580.8228346456694</v>
      </c>
      <c r="N687" s="409">
        <v>6909.4094488188975</v>
      </c>
      <c r="O687" s="410" t="s">
        <v>7827</v>
      </c>
      <c r="P687" s="406">
        <v>684</v>
      </c>
      <c r="Q687" s="470" t="s">
        <v>1432</v>
      </c>
      <c r="R687" s="460" t="s">
        <v>1433</v>
      </c>
      <c r="S687" s="270" t="s">
        <v>7</v>
      </c>
      <c r="U687" s="471"/>
      <c r="V687" s="471"/>
      <c r="W687" s="471" t="s">
        <v>1433</v>
      </c>
      <c r="X687" s="471">
        <v>1</v>
      </c>
    </row>
    <row r="688" spans="1:26">
      <c r="A688" s="406">
        <v>685</v>
      </c>
      <c r="B688" s="613" t="s">
        <v>4980</v>
      </c>
      <c r="C688" s="288" t="s">
        <v>1434</v>
      </c>
      <c r="D688" s="414" t="s">
        <v>4805</v>
      </c>
      <c r="E688" s="407" t="s">
        <v>8985</v>
      </c>
      <c r="F688" s="483" t="s">
        <v>4982</v>
      </c>
      <c r="G688" s="483" t="s">
        <v>4983</v>
      </c>
      <c r="H688" s="411" t="s">
        <v>4981</v>
      </c>
      <c r="I688" s="411"/>
      <c r="J688" s="411"/>
      <c r="K688" s="411"/>
      <c r="L688" s="608">
        <v>3629.0511811023621</v>
      </c>
      <c r="M688" s="409">
        <v>3364.787401574803</v>
      </c>
      <c r="N688" s="409">
        <v>6993.8385826771655</v>
      </c>
      <c r="O688" s="410" t="s">
        <v>7827</v>
      </c>
      <c r="P688" s="406">
        <v>685</v>
      </c>
      <c r="Q688" s="470" t="s">
        <v>1434</v>
      </c>
      <c r="R688" s="460" t="s">
        <v>1435</v>
      </c>
      <c r="S688" s="270" t="s">
        <v>7</v>
      </c>
      <c r="U688" s="471"/>
      <c r="V688" s="471"/>
      <c r="W688" s="471" t="s">
        <v>1435</v>
      </c>
      <c r="X688" s="471">
        <v>1</v>
      </c>
    </row>
    <row r="689" spans="1:26">
      <c r="A689" s="406">
        <v>686</v>
      </c>
      <c r="B689" s="613" t="s">
        <v>7020</v>
      </c>
      <c r="C689" s="288" t="s">
        <v>1436</v>
      </c>
      <c r="D689" s="414" t="s">
        <v>4884</v>
      </c>
      <c r="E689" s="407"/>
      <c r="F689" s="483" t="s">
        <v>5002</v>
      </c>
      <c r="G689" s="483" t="s">
        <v>5591</v>
      </c>
      <c r="H689" s="411"/>
      <c r="I689" s="411"/>
      <c r="J689" s="411"/>
      <c r="K689" s="411"/>
      <c r="L689" s="608" t="s">
        <v>4884</v>
      </c>
      <c r="M689" s="409" t="s">
        <v>4884</v>
      </c>
      <c r="N689" s="409" t="s">
        <v>4884</v>
      </c>
      <c r="O689" s="410" t="s">
        <v>4884</v>
      </c>
      <c r="P689" s="406">
        <v>686</v>
      </c>
      <c r="Q689" s="470" t="s">
        <v>1436</v>
      </c>
      <c r="R689" s="460" t="s">
        <v>1437</v>
      </c>
      <c r="S689" s="270" t="s">
        <v>748</v>
      </c>
      <c r="U689" s="471">
        <v>0</v>
      </c>
      <c r="V689" s="471">
        <v>0</v>
      </c>
      <c r="W689" s="471" t="s">
        <v>1437</v>
      </c>
      <c r="X689" s="471">
        <v>0</v>
      </c>
    </row>
    <row r="690" spans="1:26">
      <c r="A690" s="406">
        <v>687</v>
      </c>
      <c r="B690" s="613" t="s">
        <v>7020</v>
      </c>
      <c r="C690" s="288" t="s">
        <v>1438</v>
      </c>
      <c r="D690" s="414" t="s">
        <v>4884</v>
      </c>
      <c r="E690" s="407"/>
      <c r="F690" s="483"/>
      <c r="G690" s="483"/>
      <c r="H690" s="483"/>
      <c r="I690" s="483"/>
      <c r="J690" s="483"/>
      <c r="K690" s="483"/>
      <c r="L690" s="608" t="s">
        <v>4884</v>
      </c>
      <c r="M690" s="409" t="s">
        <v>4884</v>
      </c>
      <c r="N690" s="409" t="s">
        <v>4884</v>
      </c>
      <c r="O690" s="410" t="s">
        <v>4884</v>
      </c>
      <c r="P690" s="406">
        <v>687</v>
      </c>
      <c r="Q690" s="470" t="s">
        <v>1438</v>
      </c>
      <c r="R690" s="460" t="s">
        <v>1439</v>
      </c>
      <c r="S690" s="270" t="s">
        <v>748</v>
      </c>
      <c r="U690" s="471">
        <v>0</v>
      </c>
      <c r="V690" s="471">
        <v>0</v>
      </c>
      <c r="W690" s="471" t="s">
        <v>1439</v>
      </c>
      <c r="X690" s="471">
        <v>0</v>
      </c>
    </row>
    <row r="691" spans="1:26">
      <c r="A691" s="406">
        <v>688</v>
      </c>
      <c r="B691" s="613" t="s">
        <v>7020</v>
      </c>
      <c r="C691" s="288" t="s">
        <v>1440</v>
      </c>
      <c r="D691" s="414" t="s">
        <v>4884</v>
      </c>
      <c r="E691" s="407"/>
      <c r="F691" s="483" t="s">
        <v>5003</v>
      </c>
      <c r="G691" s="483" t="s">
        <v>5592</v>
      </c>
      <c r="H691" s="411"/>
      <c r="I691" s="411"/>
      <c r="J691" s="411"/>
      <c r="K691" s="411"/>
      <c r="L691" s="608" t="s">
        <v>4884</v>
      </c>
      <c r="M691" s="409" t="s">
        <v>4884</v>
      </c>
      <c r="N691" s="409" t="s">
        <v>4884</v>
      </c>
      <c r="O691" s="410" t="s">
        <v>4884</v>
      </c>
      <c r="P691" s="406">
        <v>688</v>
      </c>
      <c r="Q691" s="470" t="s">
        <v>1440</v>
      </c>
      <c r="R691" s="460" t="s">
        <v>1441</v>
      </c>
      <c r="S691" s="270" t="s">
        <v>748</v>
      </c>
      <c r="U691" s="471">
        <v>0</v>
      </c>
      <c r="V691" s="471">
        <v>0</v>
      </c>
      <c r="W691" s="471" t="s">
        <v>1441</v>
      </c>
      <c r="X691" s="471">
        <v>0</v>
      </c>
    </row>
    <row r="692" spans="1:26">
      <c r="A692" s="406">
        <v>689</v>
      </c>
      <c r="B692" s="613" t="s">
        <v>7020</v>
      </c>
      <c r="C692" s="288" t="s">
        <v>1442</v>
      </c>
      <c r="D692" s="414" t="s">
        <v>4884</v>
      </c>
      <c r="E692" s="407"/>
      <c r="F692" s="483"/>
      <c r="G692" s="483"/>
      <c r="H692" s="483"/>
      <c r="I692" s="483"/>
      <c r="J692" s="483"/>
      <c r="K692" s="483"/>
      <c r="L692" s="608" t="s">
        <v>4884</v>
      </c>
      <c r="M692" s="409" t="s">
        <v>4884</v>
      </c>
      <c r="N692" s="409" t="s">
        <v>4884</v>
      </c>
      <c r="O692" s="410" t="s">
        <v>4884</v>
      </c>
      <c r="P692" s="406">
        <v>689</v>
      </c>
      <c r="Q692" s="470" t="s">
        <v>1442</v>
      </c>
      <c r="R692" s="460" t="s">
        <v>1443</v>
      </c>
      <c r="S692" s="270" t="s">
        <v>748</v>
      </c>
      <c r="U692" s="471">
        <v>0</v>
      </c>
      <c r="V692" s="471">
        <v>0</v>
      </c>
      <c r="W692" s="471" t="s">
        <v>1443</v>
      </c>
      <c r="X692" s="471">
        <v>0</v>
      </c>
    </row>
    <row r="693" spans="1:26">
      <c r="A693" s="406">
        <v>690</v>
      </c>
      <c r="B693" s="613" t="s">
        <v>6031</v>
      </c>
      <c r="C693" s="288" t="s">
        <v>1444</v>
      </c>
      <c r="D693" s="414" t="s">
        <v>4858</v>
      </c>
      <c r="E693" s="407" t="s">
        <v>8986</v>
      </c>
      <c r="F693" s="483"/>
      <c r="G693" s="483"/>
      <c r="H693" s="483"/>
      <c r="I693" s="483"/>
      <c r="J693" s="483"/>
      <c r="K693" s="483"/>
      <c r="L693" s="608" t="s">
        <v>4884</v>
      </c>
      <c r="M693" s="409">
        <v>8097.9960629921261</v>
      </c>
      <c r="N693" s="409">
        <v>8097.9960629921261</v>
      </c>
      <c r="O693" s="410" t="s">
        <v>7569</v>
      </c>
      <c r="P693" s="406">
        <v>690</v>
      </c>
      <c r="Q693" s="470" t="s">
        <v>1444</v>
      </c>
      <c r="R693" s="460" t="s">
        <v>1445</v>
      </c>
      <c r="S693" s="270" t="s">
        <v>32</v>
      </c>
      <c r="U693" s="471"/>
      <c r="V693" s="471">
        <v>0</v>
      </c>
      <c r="W693" s="471" t="s">
        <v>1445</v>
      </c>
      <c r="X693" s="464">
        <v>1</v>
      </c>
    </row>
    <row r="694" spans="1:26">
      <c r="A694" s="406">
        <v>691</v>
      </c>
      <c r="B694" s="613" t="s">
        <v>7020</v>
      </c>
      <c r="C694" s="288" t="s">
        <v>1446</v>
      </c>
      <c r="D694" s="414" t="s">
        <v>4884</v>
      </c>
      <c r="E694" s="407"/>
      <c r="F694" s="483" t="s">
        <v>5016</v>
      </c>
      <c r="G694" s="411"/>
      <c r="H694" s="411"/>
      <c r="I694" s="411"/>
      <c r="J694" s="411"/>
      <c r="K694" s="411"/>
      <c r="L694" s="608" t="s">
        <v>4884</v>
      </c>
      <c r="M694" s="409" t="s">
        <v>4884</v>
      </c>
      <c r="N694" s="409" t="s">
        <v>4884</v>
      </c>
      <c r="O694" s="410" t="s">
        <v>4884</v>
      </c>
      <c r="P694" s="406">
        <v>691</v>
      </c>
      <c r="Q694" s="470" t="s">
        <v>1446</v>
      </c>
      <c r="R694" s="460" t="s">
        <v>1447</v>
      </c>
      <c r="S694" s="270" t="s">
        <v>7</v>
      </c>
      <c r="U694" s="471"/>
      <c r="V694" s="471"/>
      <c r="W694" s="471" t="s">
        <v>1447</v>
      </c>
      <c r="X694" s="471">
        <v>0</v>
      </c>
    </row>
    <row r="695" spans="1:26">
      <c r="A695" s="406">
        <v>692</v>
      </c>
      <c r="B695" s="613" t="s">
        <v>5711</v>
      </c>
      <c r="C695" s="288" t="s">
        <v>1448</v>
      </c>
      <c r="D695" s="414" t="s">
        <v>4703</v>
      </c>
      <c r="E695" s="407" t="s">
        <v>8572</v>
      </c>
      <c r="F695" s="483" t="s">
        <v>5714</v>
      </c>
      <c r="G695" s="411" t="s">
        <v>5712</v>
      </c>
      <c r="H695" s="411"/>
      <c r="I695" s="411"/>
      <c r="J695" s="411"/>
      <c r="K695" s="411"/>
      <c r="L695" s="608">
        <v>9735.6929133858266</v>
      </c>
      <c r="M695" s="409">
        <v>7518.893700787401</v>
      </c>
      <c r="N695" s="409">
        <v>17254.586614173226</v>
      </c>
      <c r="O695" s="410" t="s">
        <v>7755</v>
      </c>
      <c r="P695" s="406">
        <v>692</v>
      </c>
      <c r="Q695" s="470" t="s">
        <v>1448</v>
      </c>
      <c r="R695" s="460" t="s">
        <v>1449</v>
      </c>
      <c r="S695" s="270" t="s">
        <v>7</v>
      </c>
      <c r="U695" s="471"/>
      <c r="V695" s="471"/>
      <c r="W695" s="471" t="s">
        <v>1449</v>
      </c>
      <c r="X695" s="471">
        <v>1</v>
      </c>
      <c r="Z695" s="270" t="s">
        <v>4892</v>
      </c>
    </row>
    <row r="696" spans="1:26">
      <c r="A696" s="406">
        <v>693</v>
      </c>
      <c r="B696" s="613" t="s">
        <v>7020</v>
      </c>
      <c r="C696" s="288" t="s">
        <v>1450</v>
      </c>
      <c r="D696" s="414" t="s">
        <v>4884</v>
      </c>
      <c r="E696" s="407"/>
      <c r="F696" s="483"/>
      <c r="G696" s="483"/>
      <c r="H696" s="411"/>
      <c r="I696" s="411"/>
      <c r="J696" s="411"/>
      <c r="K696" s="411"/>
      <c r="L696" s="608" t="s">
        <v>4884</v>
      </c>
      <c r="M696" s="409" t="s">
        <v>4884</v>
      </c>
      <c r="N696" s="409" t="s">
        <v>4884</v>
      </c>
      <c r="O696" s="410" t="s">
        <v>4884</v>
      </c>
      <c r="P696" s="406">
        <v>693</v>
      </c>
      <c r="Q696" s="470" t="s">
        <v>1450</v>
      </c>
      <c r="R696" s="460" t="s">
        <v>1451</v>
      </c>
      <c r="S696" s="270" t="s">
        <v>7</v>
      </c>
      <c r="U696" s="471"/>
      <c r="V696" s="471"/>
      <c r="W696" s="471" t="s">
        <v>1451</v>
      </c>
      <c r="X696" s="471">
        <v>0</v>
      </c>
    </row>
    <row r="697" spans="1:26">
      <c r="A697" s="406">
        <v>694</v>
      </c>
      <c r="B697" s="613" t="s">
        <v>6696</v>
      </c>
      <c r="C697" s="288" t="s">
        <v>1452</v>
      </c>
      <c r="D697" s="414" t="s">
        <v>4795</v>
      </c>
      <c r="E697" s="407" t="s">
        <v>8987</v>
      </c>
      <c r="F697" s="483"/>
      <c r="G697" s="483"/>
      <c r="H697" s="483"/>
      <c r="I697" s="483"/>
      <c r="J697" s="483"/>
      <c r="K697" s="483"/>
      <c r="L697" s="608" t="s">
        <v>4884</v>
      </c>
      <c r="M697" s="409">
        <v>5679.5078740157487</v>
      </c>
      <c r="N697" s="409">
        <v>5679.5078740157487</v>
      </c>
      <c r="O697" s="410" t="s">
        <v>7576</v>
      </c>
      <c r="P697" s="406">
        <v>694</v>
      </c>
      <c r="Q697" s="470" t="s">
        <v>1452</v>
      </c>
      <c r="R697" s="460" t="s">
        <v>1453</v>
      </c>
      <c r="S697" s="270" t="s">
        <v>7</v>
      </c>
      <c r="U697" s="471"/>
      <c r="V697" s="471"/>
      <c r="W697" s="471" t="s">
        <v>1453</v>
      </c>
      <c r="X697" s="471">
        <v>0</v>
      </c>
      <c r="Z697" s="270" t="s">
        <v>4893</v>
      </c>
    </row>
    <row r="698" spans="1:26">
      <c r="A698" s="406">
        <v>695</v>
      </c>
      <c r="B698" s="613" t="s">
        <v>5681</v>
      </c>
      <c r="C698" s="288" t="s">
        <v>1454</v>
      </c>
      <c r="D698" s="414" t="s">
        <v>4872</v>
      </c>
      <c r="E698" s="407" t="s">
        <v>8573</v>
      </c>
      <c r="F698" s="483" t="s">
        <v>5709</v>
      </c>
      <c r="G698" s="411" t="s">
        <v>5682</v>
      </c>
      <c r="H698" s="411"/>
      <c r="I698" s="411"/>
      <c r="J698" s="411"/>
      <c r="K698" s="411"/>
      <c r="L698" s="608">
        <v>1770.704724409449</v>
      </c>
      <c r="M698" s="409">
        <v>5902.464566929134</v>
      </c>
      <c r="N698" s="409">
        <v>21252.885826771657</v>
      </c>
      <c r="O698" s="410" t="s">
        <v>7834</v>
      </c>
      <c r="P698" s="406">
        <v>695</v>
      </c>
      <c r="Q698" s="470" t="s">
        <v>1454</v>
      </c>
      <c r="R698" s="460" t="s">
        <v>1455</v>
      </c>
      <c r="S698" s="270" t="s">
        <v>7</v>
      </c>
      <c r="U698" s="471"/>
      <c r="V698" s="471"/>
      <c r="W698" s="471" t="s">
        <v>1455</v>
      </c>
      <c r="X698" s="478">
        <v>1</v>
      </c>
      <c r="Z698" s="270" t="s">
        <v>4894</v>
      </c>
    </row>
    <row r="699" spans="1:26">
      <c r="A699" s="406">
        <v>696</v>
      </c>
      <c r="B699" s="613" t="s">
        <v>5689</v>
      </c>
      <c r="C699" s="288" t="s">
        <v>1456</v>
      </c>
      <c r="D699" s="414" t="s">
        <v>4802</v>
      </c>
      <c r="E699" s="407" t="s">
        <v>8988</v>
      </c>
      <c r="F699" s="483" t="s">
        <v>5688</v>
      </c>
      <c r="G699" s="411" t="s">
        <v>5690</v>
      </c>
      <c r="H699" s="411"/>
      <c r="I699" s="411"/>
      <c r="J699" s="411"/>
      <c r="K699" s="411"/>
      <c r="L699" s="608">
        <v>15353.622047244096</v>
      </c>
      <c r="M699" s="409">
        <v>5903.1535433070867</v>
      </c>
      <c r="N699" s="409">
        <v>21256.77559055118</v>
      </c>
      <c r="O699" s="410" t="s">
        <v>7770</v>
      </c>
      <c r="P699" s="406">
        <v>696</v>
      </c>
      <c r="Q699" s="470" t="s">
        <v>1456</v>
      </c>
      <c r="R699" s="475" t="s">
        <v>1457</v>
      </c>
      <c r="S699" s="270" t="s">
        <v>7</v>
      </c>
      <c r="U699" s="471"/>
      <c r="V699" s="471"/>
      <c r="W699" s="471"/>
      <c r="X699" s="471">
        <v>0</v>
      </c>
      <c r="Z699" s="270" t="s">
        <v>4894</v>
      </c>
    </row>
    <row r="700" spans="1:26">
      <c r="A700" s="406">
        <v>697</v>
      </c>
      <c r="B700" s="613" t="s">
        <v>5681</v>
      </c>
      <c r="C700" s="288" t="s">
        <v>1458</v>
      </c>
      <c r="D700" s="414" t="s">
        <v>4872</v>
      </c>
      <c r="E700" s="407" t="s">
        <v>8573</v>
      </c>
      <c r="F700" s="483" t="s">
        <v>5710</v>
      </c>
      <c r="G700" s="411" t="s">
        <v>5682</v>
      </c>
      <c r="H700" s="411"/>
      <c r="I700" s="411"/>
      <c r="J700" s="411"/>
      <c r="K700" s="411"/>
      <c r="L700" s="608">
        <v>1770.704724409449</v>
      </c>
      <c r="M700" s="409">
        <v>5896.1653543307084</v>
      </c>
      <c r="N700" s="409">
        <v>21246.586614173226</v>
      </c>
      <c r="O700" s="410" t="s">
        <v>7807</v>
      </c>
      <c r="P700" s="406">
        <v>697</v>
      </c>
      <c r="Q700" s="470" t="s">
        <v>1458</v>
      </c>
      <c r="R700" s="460" t="s">
        <v>1459</v>
      </c>
      <c r="S700" s="270" t="s">
        <v>7</v>
      </c>
      <c r="U700" s="471"/>
      <c r="V700" s="471"/>
      <c r="W700" s="471" t="s">
        <v>1459</v>
      </c>
      <c r="X700" s="471">
        <v>0</v>
      </c>
      <c r="Z700" s="270" t="s">
        <v>4894</v>
      </c>
    </row>
    <row r="701" spans="1:26">
      <c r="A701" s="406">
        <v>698</v>
      </c>
      <c r="B701" s="613" t="s">
        <v>5677</v>
      </c>
      <c r="C701" s="288" t="s">
        <v>1460</v>
      </c>
      <c r="D701" s="414" t="s">
        <v>4871</v>
      </c>
      <c r="E701" s="407" t="s">
        <v>8574</v>
      </c>
      <c r="F701" s="483" t="s">
        <v>5705</v>
      </c>
      <c r="G701" s="411" t="s">
        <v>5678</v>
      </c>
      <c r="H701" s="411"/>
      <c r="I701" s="411"/>
      <c r="J701" s="411"/>
      <c r="K701" s="411"/>
      <c r="L701" s="608">
        <v>1766.3267716535433</v>
      </c>
      <c r="M701" s="409">
        <v>5901.7519685039379</v>
      </c>
      <c r="N701" s="409">
        <v>21246.330708661419</v>
      </c>
      <c r="O701" s="410" t="s">
        <v>7835</v>
      </c>
      <c r="P701" s="406">
        <v>698</v>
      </c>
      <c r="Q701" s="470" t="s">
        <v>1460</v>
      </c>
      <c r="R701" s="460" t="s">
        <v>1461</v>
      </c>
      <c r="S701" s="270" t="s">
        <v>7</v>
      </c>
      <c r="U701" s="471"/>
      <c r="V701" s="471"/>
      <c r="W701" s="471" t="s">
        <v>1461</v>
      </c>
      <c r="X701" s="471">
        <v>1</v>
      </c>
      <c r="Z701" s="270" t="s">
        <v>4894</v>
      </c>
    </row>
    <row r="702" spans="1:26">
      <c r="A702" s="406">
        <v>699</v>
      </c>
      <c r="B702" s="613" t="s">
        <v>5677</v>
      </c>
      <c r="C702" s="288" t="s">
        <v>1462</v>
      </c>
      <c r="D702" s="414" t="s">
        <v>4871</v>
      </c>
      <c r="E702" s="407" t="s">
        <v>8574</v>
      </c>
      <c r="F702" s="483" t="s">
        <v>5706</v>
      </c>
      <c r="G702" s="411" t="s">
        <v>5678</v>
      </c>
      <c r="H702" s="411"/>
      <c r="I702" s="411"/>
      <c r="J702" s="411"/>
      <c r="K702" s="411"/>
      <c r="L702" s="608">
        <v>1766.3267716535433</v>
      </c>
      <c r="M702" s="409">
        <v>5903.5472440944877</v>
      </c>
      <c r="N702" s="409">
        <v>21248.125984251968</v>
      </c>
      <c r="O702" s="410" t="s">
        <v>7836</v>
      </c>
      <c r="P702" s="406">
        <v>699</v>
      </c>
      <c r="Q702" s="470" t="s">
        <v>1462</v>
      </c>
      <c r="R702" s="460" t="s">
        <v>1463</v>
      </c>
      <c r="S702" s="270" t="s">
        <v>7</v>
      </c>
      <c r="U702" s="471"/>
      <c r="V702" s="471"/>
      <c r="W702" s="471" t="s">
        <v>1463</v>
      </c>
      <c r="X702" s="471">
        <v>0</v>
      </c>
      <c r="Z702" s="270" t="s">
        <v>4894</v>
      </c>
    </row>
    <row r="703" spans="1:26">
      <c r="A703" s="406">
        <v>700</v>
      </c>
      <c r="B703" s="613" t="s">
        <v>5675</v>
      </c>
      <c r="C703" s="288" t="s">
        <v>1464</v>
      </c>
      <c r="D703" s="414" t="s">
        <v>4877</v>
      </c>
      <c r="E703" s="407" t="s">
        <v>8575</v>
      </c>
      <c r="F703" s="483" t="s">
        <v>5701</v>
      </c>
      <c r="G703" s="411" t="s">
        <v>5676</v>
      </c>
      <c r="H703" s="411"/>
      <c r="I703" s="411"/>
      <c r="J703" s="411"/>
      <c r="K703" s="411"/>
      <c r="L703" s="608">
        <v>1768.956692913386</v>
      </c>
      <c r="M703" s="409">
        <v>5894.6732283464571</v>
      </c>
      <c r="N703" s="409">
        <v>21239.11417322835</v>
      </c>
      <c r="O703" s="410" t="s">
        <v>7837</v>
      </c>
      <c r="P703" s="406">
        <v>700</v>
      </c>
      <c r="Q703" s="470" t="s">
        <v>1464</v>
      </c>
      <c r="R703" s="460" t="s">
        <v>1465</v>
      </c>
      <c r="S703" s="270" t="s">
        <v>7</v>
      </c>
      <c r="U703" s="471"/>
      <c r="V703" s="471"/>
      <c r="W703" s="471" t="s">
        <v>1465</v>
      </c>
      <c r="X703" s="471">
        <v>1</v>
      </c>
      <c r="Z703" s="270" t="s">
        <v>4894</v>
      </c>
    </row>
    <row r="704" spans="1:26">
      <c r="A704" s="406">
        <v>701</v>
      </c>
      <c r="B704" s="613" t="s">
        <v>5675</v>
      </c>
      <c r="C704" s="288" t="s">
        <v>1466</v>
      </c>
      <c r="D704" s="414" t="s">
        <v>4877</v>
      </c>
      <c r="E704" s="407" t="s">
        <v>8575</v>
      </c>
      <c r="F704" s="483" t="s">
        <v>5702</v>
      </c>
      <c r="G704" s="411" t="s">
        <v>5676</v>
      </c>
      <c r="H704" s="411"/>
      <c r="I704" s="411"/>
      <c r="J704" s="411"/>
      <c r="K704" s="411"/>
      <c r="L704" s="608">
        <v>1768.956692913386</v>
      </c>
      <c r="M704" s="409">
        <v>5895.4566929133853</v>
      </c>
      <c r="N704" s="409">
        <v>21239.897637795275</v>
      </c>
      <c r="O704" s="410" t="s">
        <v>7837</v>
      </c>
      <c r="P704" s="406">
        <v>701</v>
      </c>
      <c r="Q704" s="470" t="s">
        <v>1466</v>
      </c>
      <c r="R704" s="460" t="s">
        <v>1467</v>
      </c>
      <c r="S704" s="270" t="s">
        <v>7</v>
      </c>
      <c r="U704" s="471"/>
      <c r="V704" s="471"/>
      <c r="W704" s="471" t="s">
        <v>1467</v>
      </c>
      <c r="X704" s="471">
        <v>0</v>
      </c>
      <c r="Z704" s="270" t="s">
        <v>4894</v>
      </c>
    </row>
    <row r="705" spans="1:26">
      <c r="A705" s="406">
        <v>702</v>
      </c>
      <c r="B705" s="613" t="s">
        <v>5697</v>
      </c>
      <c r="C705" s="288" t="s">
        <v>1468</v>
      </c>
      <c r="D705" s="414" t="s">
        <v>4880</v>
      </c>
      <c r="E705" s="407" t="s">
        <v>8989</v>
      </c>
      <c r="F705" s="483" t="s">
        <v>5695</v>
      </c>
      <c r="G705" s="411" t="s">
        <v>5698</v>
      </c>
      <c r="H705" s="411"/>
      <c r="I705" s="411"/>
      <c r="J705" s="411"/>
      <c r="K705" s="411"/>
      <c r="L705" s="608">
        <v>15346.996062992126</v>
      </c>
      <c r="M705" s="409">
        <v>5896.7952755905517</v>
      </c>
      <c r="N705" s="409">
        <v>21243.79133858268</v>
      </c>
      <c r="O705" s="410" t="s">
        <v>7826</v>
      </c>
      <c r="P705" s="406">
        <v>702</v>
      </c>
      <c r="Q705" s="470" t="s">
        <v>1468</v>
      </c>
      <c r="R705" s="475" t="s">
        <v>1469</v>
      </c>
      <c r="S705" s="270" t="s">
        <v>7</v>
      </c>
      <c r="U705" s="471"/>
      <c r="V705" s="471"/>
      <c r="W705" s="471"/>
      <c r="X705" s="471">
        <v>1</v>
      </c>
      <c r="Z705" s="270" t="s">
        <v>4894</v>
      </c>
    </row>
    <row r="706" spans="1:26">
      <c r="A706" s="406">
        <v>703</v>
      </c>
      <c r="B706" s="613" t="s">
        <v>5697</v>
      </c>
      <c r="C706" s="288" t="s">
        <v>1470</v>
      </c>
      <c r="D706" s="414" t="s">
        <v>4880</v>
      </c>
      <c r="E706" s="407" t="s">
        <v>8989</v>
      </c>
      <c r="F706" s="483" t="s">
        <v>5696</v>
      </c>
      <c r="G706" s="411" t="s">
        <v>5698</v>
      </c>
      <c r="H706" s="411"/>
      <c r="I706" s="411"/>
      <c r="J706" s="411"/>
      <c r="K706" s="411"/>
      <c r="L706" s="608">
        <v>15346.996062992126</v>
      </c>
      <c r="M706" s="409">
        <v>5903.9921259842522</v>
      </c>
      <c r="N706" s="409">
        <v>21250.988188976378</v>
      </c>
      <c r="O706" s="410" t="s">
        <v>7801</v>
      </c>
      <c r="P706" s="406">
        <v>703</v>
      </c>
      <c r="Q706" s="470" t="s">
        <v>1470</v>
      </c>
      <c r="R706" s="475" t="s">
        <v>1471</v>
      </c>
      <c r="S706" s="270" t="s">
        <v>7</v>
      </c>
      <c r="U706" s="471"/>
      <c r="V706" s="471"/>
      <c r="W706" s="471"/>
      <c r="X706" s="471">
        <v>0</v>
      </c>
      <c r="Z706" s="270" t="s">
        <v>4894</v>
      </c>
    </row>
    <row r="707" spans="1:26">
      <c r="A707" s="406">
        <v>704</v>
      </c>
      <c r="B707" s="613" t="s">
        <v>5689</v>
      </c>
      <c r="C707" s="288" t="s">
        <v>1472</v>
      </c>
      <c r="D707" s="414" t="s">
        <v>4802</v>
      </c>
      <c r="E707" s="407" t="s">
        <v>8988</v>
      </c>
      <c r="F707" s="483" t="s">
        <v>5687</v>
      </c>
      <c r="G707" s="411" t="s">
        <v>5690</v>
      </c>
      <c r="H707" s="411"/>
      <c r="I707" s="411"/>
      <c r="J707" s="411"/>
      <c r="K707" s="411"/>
      <c r="L707" s="608">
        <v>15353.622047244096</v>
      </c>
      <c r="M707" s="409">
        <v>5898.8346456692916</v>
      </c>
      <c r="N707" s="409">
        <v>21252.456692913387</v>
      </c>
      <c r="O707" s="410" t="s">
        <v>7796</v>
      </c>
      <c r="P707" s="406">
        <v>704</v>
      </c>
      <c r="Q707" s="470" t="s">
        <v>1472</v>
      </c>
      <c r="R707" s="475" t="s">
        <v>1473</v>
      </c>
      <c r="S707" s="270" t="s">
        <v>7</v>
      </c>
      <c r="U707" s="471"/>
      <c r="V707" s="471"/>
      <c r="W707" s="471"/>
      <c r="X707" s="471">
        <v>1</v>
      </c>
      <c r="Z707" s="270" t="s">
        <v>4894</v>
      </c>
    </row>
    <row r="708" spans="1:26">
      <c r="A708" s="406">
        <v>705</v>
      </c>
      <c r="B708" s="613" t="s">
        <v>5671</v>
      </c>
      <c r="C708" s="288" t="s">
        <v>1474</v>
      </c>
      <c r="D708" s="414" t="s">
        <v>4874</v>
      </c>
      <c r="E708" s="407" t="s">
        <v>8576</v>
      </c>
      <c r="F708" s="483" t="s">
        <v>5708</v>
      </c>
      <c r="G708" s="411" t="s">
        <v>5672</v>
      </c>
      <c r="H708" s="411"/>
      <c r="I708" s="411"/>
      <c r="J708" s="411"/>
      <c r="K708" s="411"/>
      <c r="L708" s="608">
        <v>1764.0511811023623</v>
      </c>
      <c r="M708" s="409">
        <v>5893.2322834645665</v>
      </c>
      <c r="N708" s="409">
        <v>21226.322834645671</v>
      </c>
      <c r="O708" s="410" t="s">
        <v>7834</v>
      </c>
      <c r="P708" s="406">
        <v>705</v>
      </c>
      <c r="Q708" s="470" t="s">
        <v>1474</v>
      </c>
      <c r="R708" s="460" t="s">
        <v>1475</v>
      </c>
      <c r="S708" s="270" t="s">
        <v>7</v>
      </c>
      <c r="U708" s="471"/>
      <c r="V708" s="471"/>
      <c r="W708" s="471" t="s">
        <v>1475</v>
      </c>
      <c r="X708" s="471">
        <v>1</v>
      </c>
      <c r="Z708" s="270" t="s">
        <v>4894</v>
      </c>
    </row>
    <row r="709" spans="1:26">
      <c r="A709" s="406">
        <v>706</v>
      </c>
      <c r="B709" s="613" t="s">
        <v>5683</v>
      </c>
      <c r="C709" s="288" t="s">
        <v>1476</v>
      </c>
      <c r="D709" s="414" t="s">
        <v>4804</v>
      </c>
      <c r="E709" s="407" t="s">
        <v>8990</v>
      </c>
      <c r="F709" s="483" t="s">
        <v>5685</v>
      </c>
      <c r="G709" s="411" t="s">
        <v>5684</v>
      </c>
      <c r="H709" s="411"/>
      <c r="I709" s="411"/>
      <c r="J709" s="411"/>
      <c r="K709" s="411"/>
      <c r="L709" s="608">
        <v>15354.322834645669</v>
      </c>
      <c r="M709" s="409">
        <v>5892.4055118110236</v>
      </c>
      <c r="N709" s="409">
        <v>21246.72834645669</v>
      </c>
      <c r="O709" s="410" t="s">
        <v>7770</v>
      </c>
      <c r="P709" s="406">
        <v>706</v>
      </c>
      <c r="Q709" s="470" t="s">
        <v>1476</v>
      </c>
      <c r="R709" s="475" t="s">
        <v>1477</v>
      </c>
      <c r="S709" s="270" t="s">
        <v>7</v>
      </c>
      <c r="U709" s="471"/>
      <c r="V709" s="471"/>
      <c r="W709" s="471"/>
      <c r="X709" s="471">
        <v>0</v>
      </c>
      <c r="Z709" s="270" t="s">
        <v>4894</v>
      </c>
    </row>
    <row r="710" spans="1:26">
      <c r="A710" s="406">
        <v>707</v>
      </c>
      <c r="B710" s="613" t="s">
        <v>5671</v>
      </c>
      <c r="C710" s="288" t="s">
        <v>1478</v>
      </c>
      <c r="D710" s="414" t="s">
        <v>4874</v>
      </c>
      <c r="E710" s="407" t="s">
        <v>8576</v>
      </c>
      <c r="F710" s="483" t="s">
        <v>5707</v>
      </c>
      <c r="G710" s="411" t="s">
        <v>5672</v>
      </c>
      <c r="H710" s="411"/>
      <c r="I710" s="411"/>
      <c r="J710" s="411"/>
      <c r="K710" s="411"/>
      <c r="L710" s="608">
        <v>1764.0511811023623</v>
      </c>
      <c r="M710" s="409">
        <v>5900.2677165354335</v>
      </c>
      <c r="N710" s="409">
        <v>21233.358267716532</v>
      </c>
      <c r="O710" s="410" t="s">
        <v>7807</v>
      </c>
      <c r="P710" s="406">
        <v>707</v>
      </c>
      <c r="Q710" s="470" t="s">
        <v>1478</v>
      </c>
      <c r="R710" s="460" t="s">
        <v>1479</v>
      </c>
      <c r="S710" s="270" t="s">
        <v>7</v>
      </c>
      <c r="U710" s="471"/>
      <c r="V710" s="471"/>
      <c r="W710" s="471" t="s">
        <v>1479</v>
      </c>
      <c r="X710" s="471">
        <v>0</v>
      </c>
      <c r="Z710" s="270" t="s">
        <v>4894</v>
      </c>
    </row>
    <row r="711" spans="1:26">
      <c r="A711" s="406">
        <v>708</v>
      </c>
      <c r="B711" s="613" t="s">
        <v>5669</v>
      </c>
      <c r="C711" s="288" t="s">
        <v>1480</v>
      </c>
      <c r="D711" s="414" t="s">
        <v>4873</v>
      </c>
      <c r="E711" s="407" t="s">
        <v>8577</v>
      </c>
      <c r="F711" s="483" t="s">
        <v>5704</v>
      </c>
      <c r="G711" s="411" t="s">
        <v>5670</v>
      </c>
      <c r="H711" s="411"/>
      <c r="I711" s="411"/>
      <c r="J711" s="411"/>
      <c r="K711" s="411"/>
      <c r="L711" s="608">
        <v>1764.4251968503938</v>
      </c>
      <c r="M711" s="409">
        <v>5901.8818897637802</v>
      </c>
      <c r="N711" s="409">
        <v>21248.602362204729</v>
      </c>
      <c r="O711" s="410" t="s">
        <v>7835</v>
      </c>
      <c r="P711" s="406">
        <v>708</v>
      </c>
      <c r="Q711" s="470" t="s">
        <v>1480</v>
      </c>
      <c r="R711" s="460" t="s">
        <v>1481</v>
      </c>
      <c r="S711" s="270" t="s">
        <v>7</v>
      </c>
      <c r="U711" s="471"/>
      <c r="V711" s="471"/>
      <c r="W711" s="471" t="s">
        <v>1481</v>
      </c>
      <c r="X711" s="471">
        <v>1</v>
      </c>
      <c r="Z711" s="270" t="s">
        <v>4894</v>
      </c>
    </row>
    <row r="712" spans="1:26">
      <c r="A712" s="406">
        <v>709</v>
      </c>
      <c r="B712" s="613" t="s">
        <v>5669</v>
      </c>
      <c r="C712" s="288" t="s">
        <v>1482</v>
      </c>
      <c r="D712" s="414" t="s">
        <v>4873</v>
      </c>
      <c r="E712" s="407" t="s">
        <v>8577</v>
      </c>
      <c r="F712" s="483" t="s">
        <v>5703</v>
      </c>
      <c r="G712" s="411" t="s">
        <v>5670</v>
      </c>
      <c r="H712" s="411"/>
      <c r="I712" s="411"/>
      <c r="J712" s="411"/>
      <c r="K712" s="411"/>
      <c r="L712" s="608">
        <v>1764.4251968503938</v>
      </c>
      <c r="M712" s="409">
        <v>5903.751968503937</v>
      </c>
      <c r="N712" s="409">
        <v>21250.472440944879</v>
      </c>
      <c r="O712" s="410" t="s">
        <v>7836</v>
      </c>
      <c r="P712" s="406">
        <v>709</v>
      </c>
      <c r="Q712" s="470" t="s">
        <v>1482</v>
      </c>
      <c r="R712" s="460" t="s">
        <v>1483</v>
      </c>
      <c r="S712" s="270" t="s">
        <v>7</v>
      </c>
      <c r="U712" s="471"/>
      <c r="V712" s="471"/>
      <c r="W712" s="471" t="s">
        <v>1483</v>
      </c>
      <c r="X712" s="471">
        <v>0</v>
      </c>
      <c r="Z712" s="270" t="s">
        <v>4894</v>
      </c>
    </row>
    <row r="713" spans="1:26">
      <c r="A713" s="406">
        <v>710</v>
      </c>
      <c r="B713" s="613" t="s">
        <v>5665</v>
      </c>
      <c r="C713" s="288" t="s">
        <v>1484</v>
      </c>
      <c r="D713" s="414" t="s">
        <v>4878</v>
      </c>
      <c r="E713" s="407" t="s">
        <v>8578</v>
      </c>
      <c r="F713" s="483" t="s">
        <v>5700</v>
      </c>
      <c r="G713" s="411" t="s">
        <v>5666</v>
      </c>
      <c r="H713" s="411"/>
      <c r="I713" s="411"/>
      <c r="J713" s="411"/>
      <c r="K713" s="411"/>
      <c r="L713" s="608">
        <v>1771.5866141732283</v>
      </c>
      <c r="M713" s="409">
        <v>5892.0629921259842</v>
      </c>
      <c r="N713" s="409">
        <v>21237.405511811026</v>
      </c>
      <c r="O713" s="410" t="s">
        <v>7837</v>
      </c>
      <c r="P713" s="406">
        <v>710</v>
      </c>
      <c r="Q713" s="470" t="s">
        <v>1484</v>
      </c>
      <c r="R713" s="460" t="s">
        <v>1485</v>
      </c>
      <c r="S713" s="270" t="s">
        <v>7</v>
      </c>
      <c r="U713" s="471"/>
      <c r="V713" s="471"/>
      <c r="W713" s="471" t="s">
        <v>1485</v>
      </c>
      <c r="X713" s="471">
        <v>1</v>
      </c>
      <c r="Z713" s="270" t="s">
        <v>4894</v>
      </c>
    </row>
    <row r="714" spans="1:26">
      <c r="A714" s="406">
        <v>711</v>
      </c>
      <c r="B714" s="613" t="s">
        <v>5665</v>
      </c>
      <c r="C714" s="288" t="s">
        <v>1486</v>
      </c>
      <c r="D714" s="414" t="s">
        <v>4878</v>
      </c>
      <c r="E714" s="407" t="s">
        <v>8578</v>
      </c>
      <c r="F714" s="483" t="s">
        <v>5699</v>
      </c>
      <c r="G714" s="411" t="s">
        <v>5666</v>
      </c>
      <c r="H714" s="411"/>
      <c r="I714" s="411"/>
      <c r="J714" s="411"/>
      <c r="K714" s="411"/>
      <c r="L714" s="608">
        <v>1771.5866141732283</v>
      </c>
      <c r="M714" s="409">
        <v>5895.9488188976384</v>
      </c>
      <c r="N714" s="409">
        <v>21241.29133858268</v>
      </c>
      <c r="O714" s="410" t="s">
        <v>7837</v>
      </c>
      <c r="P714" s="406">
        <v>711</v>
      </c>
      <c r="Q714" s="470" t="s">
        <v>1486</v>
      </c>
      <c r="R714" s="460" t="s">
        <v>1487</v>
      </c>
      <c r="S714" s="270" t="s">
        <v>7</v>
      </c>
      <c r="U714" s="471"/>
      <c r="V714" s="471"/>
      <c r="W714" s="471" t="s">
        <v>1487</v>
      </c>
      <c r="X714" s="471">
        <v>0</v>
      </c>
      <c r="Z714" s="270" t="s">
        <v>4894</v>
      </c>
    </row>
    <row r="715" spans="1:26">
      <c r="A715" s="406">
        <v>712</v>
      </c>
      <c r="B715" s="613" t="s">
        <v>5691</v>
      </c>
      <c r="C715" s="288" t="s">
        <v>1488</v>
      </c>
      <c r="D715" s="414" t="s">
        <v>4879</v>
      </c>
      <c r="E715" s="407" t="s">
        <v>8991</v>
      </c>
      <c r="F715" s="483" t="s">
        <v>5694</v>
      </c>
      <c r="G715" s="411" t="s">
        <v>5692</v>
      </c>
      <c r="H715" s="411"/>
      <c r="I715" s="411"/>
      <c r="J715" s="411"/>
      <c r="K715" s="411"/>
      <c r="L715" s="608">
        <v>15346.003937007874</v>
      </c>
      <c r="M715" s="409">
        <v>5892.4527559055114</v>
      </c>
      <c r="N715" s="409">
        <v>21238.456692913383</v>
      </c>
      <c r="O715" s="410" t="s">
        <v>7826</v>
      </c>
      <c r="P715" s="406">
        <v>712</v>
      </c>
      <c r="Q715" s="470" t="s">
        <v>1488</v>
      </c>
      <c r="R715" s="475" t="s">
        <v>1489</v>
      </c>
      <c r="S715" s="270" t="s">
        <v>7</v>
      </c>
      <c r="U715" s="471"/>
      <c r="V715" s="471"/>
      <c r="W715" s="471"/>
      <c r="X715" s="471">
        <v>1</v>
      </c>
      <c r="Z715" s="270" t="s">
        <v>4894</v>
      </c>
    </row>
    <row r="716" spans="1:26">
      <c r="A716" s="406">
        <v>713</v>
      </c>
      <c r="B716" s="613" t="s">
        <v>5691</v>
      </c>
      <c r="C716" s="288" t="s">
        <v>1490</v>
      </c>
      <c r="D716" s="414" t="s">
        <v>4879</v>
      </c>
      <c r="E716" s="407" t="s">
        <v>8991</v>
      </c>
      <c r="F716" s="483" t="s">
        <v>5693</v>
      </c>
      <c r="G716" s="411" t="s">
        <v>5692</v>
      </c>
      <c r="H716" s="411"/>
      <c r="I716" s="411"/>
      <c r="J716" s="411"/>
      <c r="K716" s="411"/>
      <c r="L716" s="608">
        <v>15346.003937007874</v>
      </c>
      <c r="M716" s="409">
        <v>5901.4881889763774</v>
      </c>
      <c r="N716" s="409">
        <v>21247.492125984252</v>
      </c>
      <c r="O716" s="410" t="s">
        <v>7801</v>
      </c>
      <c r="P716" s="406">
        <v>713</v>
      </c>
      <c r="Q716" s="470" t="s">
        <v>1490</v>
      </c>
      <c r="R716" s="475" t="s">
        <v>1491</v>
      </c>
      <c r="S716" s="270" t="s">
        <v>7</v>
      </c>
      <c r="U716" s="471"/>
      <c r="V716" s="471"/>
      <c r="W716" s="471"/>
      <c r="X716" s="471">
        <v>0</v>
      </c>
      <c r="Z716" s="270" t="s">
        <v>4894</v>
      </c>
    </row>
    <row r="717" spans="1:26">
      <c r="A717" s="406">
        <v>714</v>
      </c>
      <c r="B717" s="613" t="s">
        <v>5683</v>
      </c>
      <c r="C717" s="288" t="s">
        <v>1492</v>
      </c>
      <c r="D717" s="414" t="s">
        <v>4804</v>
      </c>
      <c r="E717" s="407" t="s">
        <v>8990</v>
      </c>
      <c r="F717" s="483" t="s">
        <v>5686</v>
      </c>
      <c r="G717" s="411" t="s">
        <v>5684</v>
      </c>
      <c r="H717" s="411"/>
      <c r="I717" s="411"/>
      <c r="J717" s="411"/>
      <c r="K717" s="411"/>
      <c r="L717" s="608">
        <v>15354.322834645669</v>
      </c>
      <c r="M717" s="409">
        <v>5898.9881889763783</v>
      </c>
      <c r="N717" s="409">
        <v>21253.311023622049</v>
      </c>
      <c r="O717" s="410" t="s">
        <v>7796</v>
      </c>
      <c r="P717" s="406">
        <v>714</v>
      </c>
      <c r="Q717" s="470" t="s">
        <v>1492</v>
      </c>
      <c r="R717" s="475" t="s">
        <v>1493</v>
      </c>
      <c r="S717" s="270" t="s">
        <v>7</v>
      </c>
      <c r="U717" s="471"/>
      <c r="V717" s="471"/>
      <c r="W717" s="471"/>
      <c r="X717" s="471">
        <v>1</v>
      </c>
      <c r="Z717" s="270" t="s">
        <v>4894</v>
      </c>
    </row>
    <row r="718" spans="1:26">
      <c r="A718" s="406">
        <v>715</v>
      </c>
      <c r="B718" s="613" t="s">
        <v>5152</v>
      </c>
      <c r="C718" s="288" t="s">
        <v>1494</v>
      </c>
      <c r="D718" s="414" t="s">
        <v>4788</v>
      </c>
      <c r="E718" s="407" t="s">
        <v>8992</v>
      </c>
      <c r="F718" s="483" t="s">
        <v>5517</v>
      </c>
      <c r="G718" s="411" t="s">
        <v>5153</v>
      </c>
      <c r="H718" s="411" t="s">
        <v>5518</v>
      </c>
      <c r="I718" s="411"/>
      <c r="J718" s="411"/>
      <c r="K718" s="411"/>
      <c r="L718" s="608">
        <v>9880.929133858268</v>
      </c>
      <c r="M718" s="409">
        <v>4644.9685039370079</v>
      </c>
      <c r="N718" s="409">
        <v>14525.897637795277</v>
      </c>
      <c r="O718" s="410" t="s">
        <v>7832</v>
      </c>
      <c r="P718" s="406">
        <v>715</v>
      </c>
      <c r="Q718" s="470" t="s">
        <v>1494</v>
      </c>
      <c r="R718" s="460" t="s">
        <v>1495</v>
      </c>
      <c r="S718" s="270" t="s">
        <v>7</v>
      </c>
      <c r="U718" s="471"/>
      <c r="V718" s="471"/>
      <c r="W718" s="471" t="s">
        <v>1495</v>
      </c>
      <c r="X718" s="471">
        <v>0</v>
      </c>
    </row>
    <row r="719" spans="1:26">
      <c r="A719" s="406">
        <v>716</v>
      </c>
      <c r="B719" s="613" t="s">
        <v>5149</v>
      </c>
      <c r="C719" s="288" t="s">
        <v>1496</v>
      </c>
      <c r="D719" s="414" t="s">
        <v>4790</v>
      </c>
      <c r="E719" s="407" t="s">
        <v>8993</v>
      </c>
      <c r="F719" s="483" t="s">
        <v>5520</v>
      </c>
      <c r="G719" s="411" t="s">
        <v>5150</v>
      </c>
      <c r="H719" s="411" t="s">
        <v>5519</v>
      </c>
      <c r="I719" s="411"/>
      <c r="J719" s="411"/>
      <c r="K719" s="411"/>
      <c r="L719" s="608">
        <v>9880.7874015748039</v>
      </c>
      <c r="M719" s="409">
        <v>4644.9566929133862</v>
      </c>
      <c r="N719" s="409">
        <v>14525.744094488189</v>
      </c>
      <c r="O719" s="410" t="s">
        <v>7832</v>
      </c>
      <c r="P719" s="406">
        <v>716</v>
      </c>
      <c r="Q719" s="470" t="s">
        <v>1496</v>
      </c>
      <c r="R719" s="460" t="s">
        <v>1497</v>
      </c>
      <c r="S719" s="270" t="s">
        <v>7</v>
      </c>
      <c r="U719" s="471"/>
      <c r="V719" s="471"/>
      <c r="W719" s="471" t="s">
        <v>1497</v>
      </c>
      <c r="X719" s="471">
        <v>0</v>
      </c>
    </row>
    <row r="720" spans="1:26">
      <c r="A720" s="406">
        <v>717</v>
      </c>
      <c r="B720" s="613" t="s">
        <v>5152</v>
      </c>
      <c r="C720" s="288" t="s">
        <v>1498</v>
      </c>
      <c r="D720" s="414" t="s">
        <v>4788</v>
      </c>
      <c r="E720" s="407" t="s">
        <v>8992</v>
      </c>
      <c r="F720" s="483" t="s">
        <v>5154</v>
      </c>
      <c r="G720" s="483" t="s">
        <v>5487</v>
      </c>
      <c r="H720" s="411" t="s">
        <v>5153</v>
      </c>
      <c r="I720" s="411" t="s">
        <v>5518</v>
      </c>
      <c r="J720" s="411"/>
      <c r="K720" s="411"/>
      <c r="L720" s="608">
        <v>9880.929133858268</v>
      </c>
      <c r="M720" s="409">
        <v>4644.3464566929133</v>
      </c>
      <c r="N720" s="409">
        <v>14525.275590551182</v>
      </c>
      <c r="O720" s="410" t="s">
        <v>7833</v>
      </c>
      <c r="P720" s="406">
        <v>717</v>
      </c>
      <c r="Q720" s="470" t="s">
        <v>1498</v>
      </c>
      <c r="R720" s="460" t="s">
        <v>1499</v>
      </c>
      <c r="S720" s="270" t="s">
        <v>7</v>
      </c>
      <c r="U720" s="471"/>
      <c r="V720" s="471"/>
      <c r="W720" s="471" t="s">
        <v>1499</v>
      </c>
      <c r="X720" s="471">
        <v>1</v>
      </c>
    </row>
    <row r="721" spans="1:26">
      <c r="A721" s="406">
        <v>718</v>
      </c>
      <c r="B721" s="613" t="s">
        <v>5149</v>
      </c>
      <c r="C721" s="288" t="s">
        <v>1500</v>
      </c>
      <c r="D721" s="414" t="s">
        <v>4790</v>
      </c>
      <c r="E721" s="407" t="s">
        <v>8993</v>
      </c>
      <c r="F721" s="483" t="s">
        <v>5151</v>
      </c>
      <c r="G721" s="483" t="s">
        <v>5489</v>
      </c>
      <c r="H721" s="411" t="s">
        <v>5150</v>
      </c>
      <c r="I721" s="411" t="s">
        <v>5519</v>
      </c>
      <c r="J721" s="411"/>
      <c r="K721" s="411"/>
      <c r="L721" s="608">
        <v>9880.7874015748039</v>
      </c>
      <c r="M721" s="409">
        <v>4644.2795275590552</v>
      </c>
      <c r="N721" s="409">
        <v>14525.066929133858</v>
      </c>
      <c r="O721" s="410" t="s">
        <v>7833</v>
      </c>
      <c r="P721" s="406">
        <v>718</v>
      </c>
      <c r="Q721" s="470" t="s">
        <v>1500</v>
      </c>
      <c r="R721" s="460" t="s">
        <v>1501</v>
      </c>
      <c r="S721" s="270" t="s">
        <v>7</v>
      </c>
      <c r="U721" s="471"/>
      <c r="V721" s="471"/>
      <c r="W721" s="471" t="s">
        <v>1501</v>
      </c>
      <c r="X721" s="471">
        <v>1</v>
      </c>
      <c r="Y721" s="206"/>
      <c r="Z721" s="206"/>
    </row>
    <row r="722" spans="1:26">
      <c r="A722" s="406">
        <v>719</v>
      </c>
      <c r="B722" s="613" t="s">
        <v>5146</v>
      </c>
      <c r="C722" s="288" t="s">
        <v>1502</v>
      </c>
      <c r="D722" s="414" t="s">
        <v>4781</v>
      </c>
      <c r="E722" s="407" t="s">
        <v>8994</v>
      </c>
      <c r="F722" s="483" t="s">
        <v>5513</v>
      </c>
      <c r="G722" s="411" t="s">
        <v>5147</v>
      </c>
      <c r="H722" s="411" t="s">
        <v>5514</v>
      </c>
      <c r="I722" s="411"/>
      <c r="J722" s="411"/>
      <c r="K722" s="411"/>
      <c r="L722" s="608">
        <v>8305.6889763779527</v>
      </c>
      <c r="M722" s="409">
        <v>4644.4763779527566</v>
      </c>
      <c r="N722" s="409">
        <v>12950.165354330707</v>
      </c>
      <c r="O722" s="410" t="s">
        <v>7754</v>
      </c>
      <c r="P722" s="406">
        <v>719</v>
      </c>
      <c r="Q722" s="470" t="s">
        <v>1502</v>
      </c>
      <c r="R722" s="460" t="s">
        <v>1503</v>
      </c>
      <c r="S722" s="270" t="s">
        <v>7</v>
      </c>
      <c r="U722" s="471"/>
      <c r="V722" s="471"/>
      <c r="W722" s="471" t="s">
        <v>1503</v>
      </c>
      <c r="X722" s="471">
        <v>0</v>
      </c>
      <c r="Y722" s="206"/>
      <c r="Z722" s="206"/>
    </row>
    <row r="723" spans="1:26">
      <c r="A723" s="406">
        <v>720</v>
      </c>
      <c r="B723" s="613" t="s">
        <v>5143</v>
      </c>
      <c r="C723" s="288" t="s">
        <v>1504</v>
      </c>
      <c r="D723" s="414" t="s">
        <v>4779</v>
      </c>
      <c r="E723" s="407" t="s">
        <v>8995</v>
      </c>
      <c r="F723" s="483" t="s">
        <v>5516</v>
      </c>
      <c r="G723" s="411" t="s">
        <v>5144</v>
      </c>
      <c r="H723" s="411" t="s">
        <v>5515</v>
      </c>
      <c r="I723" s="411"/>
      <c r="J723" s="411"/>
      <c r="K723" s="411"/>
      <c r="L723" s="608">
        <v>8305.9881889763783</v>
      </c>
      <c r="M723" s="409">
        <v>4644.7047244094492</v>
      </c>
      <c r="N723" s="409">
        <v>12950.692913385828</v>
      </c>
      <c r="O723" s="410" t="s">
        <v>7754</v>
      </c>
      <c r="P723" s="406">
        <v>720</v>
      </c>
      <c r="Q723" s="470" t="s">
        <v>1504</v>
      </c>
      <c r="R723" s="460" t="s">
        <v>1505</v>
      </c>
      <c r="S723" s="270" t="s">
        <v>7</v>
      </c>
      <c r="U723" s="471"/>
      <c r="V723" s="471"/>
      <c r="W723" s="471" t="s">
        <v>1505</v>
      </c>
      <c r="X723" s="471">
        <v>0</v>
      </c>
      <c r="Y723" s="206"/>
      <c r="Z723" s="206"/>
    </row>
    <row r="724" spans="1:26">
      <c r="A724" s="406">
        <v>721</v>
      </c>
      <c r="B724" s="613" t="s">
        <v>5146</v>
      </c>
      <c r="C724" s="288" t="s">
        <v>1506</v>
      </c>
      <c r="D724" s="414" t="s">
        <v>4781</v>
      </c>
      <c r="E724" s="407" t="s">
        <v>8994</v>
      </c>
      <c r="F724" s="483" t="s">
        <v>5148</v>
      </c>
      <c r="G724" s="483" t="s">
        <v>5493</v>
      </c>
      <c r="H724" s="411" t="s">
        <v>5147</v>
      </c>
      <c r="I724" s="411" t="s">
        <v>5514</v>
      </c>
      <c r="J724" s="411"/>
      <c r="K724" s="411"/>
      <c r="L724" s="608">
        <v>8305.6889763779527</v>
      </c>
      <c r="M724" s="409">
        <v>4644.4881889763783</v>
      </c>
      <c r="N724" s="409">
        <v>12950.177165354329</v>
      </c>
      <c r="O724" s="410" t="s">
        <v>7767</v>
      </c>
      <c r="P724" s="406">
        <v>721</v>
      </c>
      <c r="Q724" s="470" t="s">
        <v>1506</v>
      </c>
      <c r="R724" s="460" t="s">
        <v>1507</v>
      </c>
      <c r="S724" s="270" t="s">
        <v>7</v>
      </c>
      <c r="U724" s="471"/>
      <c r="V724" s="471"/>
      <c r="W724" s="471" t="s">
        <v>1507</v>
      </c>
      <c r="X724" s="471">
        <v>1</v>
      </c>
      <c r="Y724" s="206"/>
      <c r="Z724" s="206"/>
    </row>
    <row r="725" spans="1:26">
      <c r="A725" s="406">
        <v>722</v>
      </c>
      <c r="B725" s="613" t="s">
        <v>5143</v>
      </c>
      <c r="C725" s="288" t="s">
        <v>1508</v>
      </c>
      <c r="D725" s="414" t="s">
        <v>4779</v>
      </c>
      <c r="E725" s="407" t="s">
        <v>8995</v>
      </c>
      <c r="F725" s="483" t="s">
        <v>5145</v>
      </c>
      <c r="G725" s="483" t="s">
        <v>5494</v>
      </c>
      <c r="H725" s="411" t="s">
        <v>5144</v>
      </c>
      <c r="I725" s="411" t="s">
        <v>5515</v>
      </c>
      <c r="J725" s="411"/>
      <c r="K725" s="411"/>
      <c r="L725" s="608">
        <v>8305.9881889763783</v>
      </c>
      <c r="M725" s="409">
        <v>4644.4881889763783</v>
      </c>
      <c r="N725" s="409">
        <v>12950.476377952757</v>
      </c>
      <c r="O725" s="410" t="s">
        <v>7767</v>
      </c>
      <c r="P725" s="406">
        <v>722</v>
      </c>
      <c r="Q725" s="470" t="s">
        <v>1508</v>
      </c>
      <c r="R725" s="460" t="s">
        <v>1509</v>
      </c>
      <c r="S725" s="270" t="s">
        <v>7</v>
      </c>
      <c r="U725" s="471"/>
      <c r="V725" s="471"/>
      <c r="W725" s="471" t="s">
        <v>1509</v>
      </c>
      <c r="X725" s="471">
        <v>1</v>
      </c>
      <c r="Y725" s="206"/>
      <c r="Z725" s="206"/>
    </row>
    <row r="726" spans="1:26">
      <c r="A726" s="406">
        <v>723</v>
      </c>
      <c r="B726" s="613" t="s">
        <v>5140</v>
      </c>
      <c r="C726" s="288" t="s">
        <v>1510</v>
      </c>
      <c r="D726" s="414" t="s">
        <v>4792</v>
      </c>
      <c r="E726" s="407" t="s">
        <v>8996</v>
      </c>
      <c r="F726" s="483" t="s">
        <v>5509</v>
      </c>
      <c r="G726" s="411" t="s">
        <v>5141</v>
      </c>
      <c r="H726" s="411" t="s">
        <v>5510</v>
      </c>
      <c r="I726" s="411"/>
      <c r="J726" s="411"/>
      <c r="K726" s="411"/>
      <c r="L726" s="608">
        <v>8897.3661417322837</v>
      </c>
      <c r="M726" s="409">
        <v>4644.5944881889764</v>
      </c>
      <c r="N726" s="409">
        <v>13541.960629921261</v>
      </c>
      <c r="O726" s="410" t="s">
        <v>7778</v>
      </c>
      <c r="P726" s="406">
        <v>723</v>
      </c>
      <c r="Q726" s="470" t="s">
        <v>1510</v>
      </c>
      <c r="R726" s="460" t="s">
        <v>1511</v>
      </c>
      <c r="S726" s="270" t="s">
        <v>7</v>
      </c>
      <c r="U726" s="471"/>
      <c r="V726" s="471"/>
      <c r="W726" s="471" t="s">
        <v>1511</v>
      </c>
      <c r="X726" s="471">
        <v>0</v>
      </c>
      <c r="Y726" s="206"/>
      <c r="Z726" s="206"/>
    </row>
    <row r="727" spans="1:26">
      <c r="A727" s="406">
        <v>724</v>
      </c>
      <c r="B727" s="613" t="s">
        <v>5137</v>
      </c>
      <c r="C727" s="288" t="s">
        <v>1512</v>
      </c>
      <c r="D727" s="414" t="s">
        <v>4791</v>
      </c>
      <c r="E727" s="407" t="s">
        <v>8997</v>
      </c>
      <c r="F727" s="483" t="s">
        <v>5512</v>
      </c>
      <c r="G727" s="411" t="s">
        <v>5138</v>
      </c>
      <c r="H727" s="411" t="s">
        <v>5511</v>
      </c>
      <c r="I727" s="411"/>
      <c r="J727" s="411"/>
      <c r="K727" s="411"/>
      <c r="L727" s="608">
        <v>8896.7677165354344</v>
      </c>
      <c r="M727" s="409">
        <v>4644.7244094488187</v>
      </c>
      <c r="N727" s="409">
        <v>13541.492125984252</v>
      </c>
      <c r="O727" s="410" t="s">
        <v>7778</v>
      </c>
      <c r="P727" s="406">
        <v>724</v>
      </c>
      <c r="Q727" s="470" t="s">
        <v>1512</v>
      </c>
      <c r="R727" s="460" t="s">
        <v>1513</v>
      </c>
      <c r="S727" s="270" t="s">
        <v>7</v>
      </c>
      <c r="U727" s="471"/>
      <c r="V727" s="471"/>
      <c r="W727" s="471" t="s">
        <v>1513</v>
      </c>
      <c r="X727" s="471">
        <v>0</v>
      </c>
      <c r="Y727" s="206"/>
      <c r="Z727" s="206"/>
    </row>
    <row r="728" spans="1:26">
      <c r="A728" s="406">
        <v>725</v>
      </c>
      <c r="B728" s="613" t="s">
        <v>5140</v>
      </c>
      <c r="C728" s="288" t="s">
        <v>1514</v>
      </c>
      <c r="D728" s="414" t="s">
        <v>4792</v>
      </c>
      <c r="E728" s="407" t="s">
        <v>8996</v>
      </c>
      <c r="F728" s="483" t="s">
        <v>5142</v>
      </c>
      <c r="G728" s="483" t="s">
        <v>5498</v>
      </c>
      <c r="H728" s="411" t="s">
        <v>5141</v>
      </c>
      <c r="I728" s="411" t="s">
        <v>5510</v>
      </c>
      <c r="J728" s="411"/>
      <c r="K728" s="411"/>
      <c r="L728" s="608">
        <v>8897.3661417322837</v>
      </c>
      <c r="M728" s="409">
        <v>4643.8700787401576</v>
      </c>
      <c r="N728" s="409">
        <v>13541.236220472441</v>
      </c>
      <c r="O728" s="410" t="s">
        <v>7767</v>
      </c>
      <c r="P728" s="406">
        <v>725</v>
      </c>
      <c r="Q728" s="470" t="s">
        <v>1514</v>
      </c>
      <c r="R728" s="460" t="s">
        <v>1515</v>
      </c>
      <c r="S728" s="270" t="s">
        <v>7</v>
      </c>
      <c r="U728" s="471"/>
      <c r="V728" s="471"/>
      <c r="W728" s="471" t="s">
        <v>1515</v>
      </c>
      <c r="X728" s="471">
        <v>1</v>
      </c>
      <c r="Y728" s="206"/>
      <c r="Z728" s="206"/>
    </row>
    <row r="729" spans="1:26">
      <c r="A729" s="406">
        <v>726</v>
      </c>
      <c r="B729" s="613" t="s">
        <v>5137</v>
      </c>
      <c r="C729" s="288" t="s">
        <v>1516</v>
      </c>
      <c r="D729" s="414" t="s">
        <v>4791</v>
      </c>
      <c r="E729" s="407" t="s">
        <v>8997</v>
      </c>
      <c r="F729" s="483" t="s">
        <v>5139</v>
      </c>
      <c r="G729" s="483" t="s">
        <v>5500</v>
      </c>
      <c r="H729" s="411" t="s">
        <v>5138</v>
      </c>
      <c r="I729" s="411" t="s">
        <v>5511</v>
      </c>
      <c r="J729" s="411"/>
      <c r="K729" s="411"/>
      <c r="L729" s="608">
        <v>8896.7677165354344</v>
      </c>
      <c r="M729" s="409">
        <v>4644.7283464566935</v>
      </c>
      <c r="N729" s="409">
        <v>13541.496062992126</v>
      </c>
      <c r="O729" s="410" t="s">
        <v>7767</v>
      </c>
      <c r="P729" s="406">
        <v>726</v>
      </c>
      <c r="Q729" s="470" t="s">
        <v>1516</v>
      </c>
      <c r="R729" s="460" t="s">
        <v>1517</v>
      </c>
      <c r="S729" s="270" t="s">
        <v>7</v>
      </c>
      <c r="U729" s="471"/>
      <c r="V729" s="471"/>
      <c r="W729" s="471" t="s">
        <v>1517</v>
      </c>
      <c r="X729" s="471">
        <v>1</v>
      </c>
      <c r="Y729" s="206"/>
      <c r="Z729" s="206"/>
    </row>
    <row r="730" spans="1:26">
      <c r="A730" s="406">
        <v>727</v>
      </c>
      <c r="B730" s="613" t="s">
        <v>5134</v>
      </c>
      <c r="C730" s="288" t="s">
        <v>1518</v>
      </c>
      <c r="D730" s="414" t="s">
        <v>4789</v>
      </c>
      <c r="E730" s="407" t="s">
        <v>8998</v>
      </c>
      <c r="F730" s="483" t="s">
        <v>5505</v>
      </c>
      <c r="G730" s="411" t="s">
        <v>5135</v>
      </c>
      <c r="H730" s="411" t="s">
        <v>5506</v>
      </c>
      <c r="I730" s="411"/>
      <c r="J730" s="411"/>
      <c r="K730" s="411"/>
      <c r="L730" s="608">
        <v>8424.3188976377951</v>
      </c>
      <c r="M730" s="409">
        <v>4644.7637795275596</v>
      </c>
      <c r="N730" s="409">
        <v>13069.082677165356</v>
      </c>
      <c r="O730" s="410" t="s">
        <v>7833</v>
      </c>
      <c r="P730" s="406">
        <v>727</v>
      </c>
      <c r="Q730" s="470" t="s">
        <v>1518</v>
      </c>
      <c r="R730" s="460" t="s">
        <v>1519</v>
      </c>
      <c r="S730" s="270" t="s">
        <v>7</v>
      </c>
      <c r="U730" s="471"/>
      <c r="V730" s="471"/>
      <c r="W730" s="471" t="s">
        <v>1519</v>
      </c>
      <c r="X730" s="471">
        <v>0</v>
      </c>
      <c r="Y730" s="206"/>
      <c r="Z730" s="206"/>
    </row>
    <row r="731" spans="1:26">
      <c r="A731" s="406">
        <v>728</v>
      </c>
      <c r="B731" s="613" t="s">
        <v>5131</v>
      </c>
      <c r="C731" s="288" t="s">
        <v>1520</v>
      </c>
      <c r="D731" s="414" t="s">
        <v>4787</v>
      </c>
      <c r="E731" s="407" t="s">
        <v>8999</v>
      </c>
      <c r="F731" s="483" t="s">
        <v>5508</v>
      </c>
      <c r="G731" s="411" t="s">
        <v>5132</v>
      </c>
      <c r="H731" s="411" t="s">
        <v>5507</v>
      </c>
      <c r="I731" s="411"/>
      <c r="J731" s="411"/>
      <c r="K731" s="411"/>
      <c r="L731" s="608">
        <v>8424.3346456692925</v>
      </c>
      <c r="M731" s="409">
        <v>4644.8661417322837</v>
      </c>
      <c r="N731" s="409">
        <v>13069.200787401576</v>
      </c>
      <c r="O731" s="410" t="s">
        <v>7833</v>
      </c>
      <c r="P731" s="406">
        <v>728</v>
      </c>
      <c r="Q731" s="470" t="s">
        <v>1520</v>
      </c>
      <c r="R731" s="460" t="s">
        <v>1521</v>
      </c>
      <c r="S731" s="270" t="s">
        <v>7</v>
      </c>
      <c r="U731" s="471"/>
      <c r="V731" s="471"/>
      <c r="W731" s="471" t="s">
        <v>1521</v>
      </c>
      <c r="X731" s="471">
        <v>0</v>
      </c>
      <c r="Y731" s="206"/>
      <c r="Z731" s="206"/>
    </row>
    <row r="732" spans="1:26">
      <c r="A732" s="406">
        <v>729</v>
      </c>
      <c r="B732" s="613" t="s">
        <v>5134</v>
      </c>
      <c r="C732" s="288" t="s">
        <v>1522</v>
      </c>
      <c r="D732" s="414" t="s">
        <v>4789</v>
      </c>
      <c r="E732" s="407" t="s">
        <v>8998</v>
      </c>
      <c r="F732" s="483" t="s">
        <v>5136</v>
      </c>
      <c r="G732" s="483" t="s">
        <v>5503</v>
      </c>
      <c r="H732" s="411" t="s">
        <v>5135</v>
      </c>
      <c r="I732" s="411" t="s">
        <v>5506</v>
      </c>
      <c r="J732" s="411"/>
      <c r="K732" s="411"/>
      <c r="L732" s="608">
        <v>8424.3188976377951</v>
      </c>
      <c r="M732" s="409">
        <v>4645.2440944881891</v>
      </c>
      <c r="N732" s="409">
        <v>13069.562992125986</v>
      </c>
      <c r="O732" s="410" t="s">
        <v>7764</v>
      </c>
      <c r="P732" s="406">
        <v>729</v>
      </c>
      <c r="Q732" s="470" t="s">
        <v>1522</v>
      </c>
      <c r="R732" s="460" t="s">
        <v>1523</v>
      </c>
      <c r="S732" s="270" t="s">
        <v>7</v>
      </c>
      <c r="U732" s="471"/>
      <c r="V732" s="471"/>
      <c r="W732" s="471" t="s">
        <v>1523</v>
      </c>
      <c r="X732" s="471">
        <v>1</v>
      </c>
      <c r="Y732" s="206"/>
      <c r="Z732" s="206"/>
    </row>
    <row r="733" spans="1:26">
      <c r="A733" s="406">
        <v>730</v>
      </c>
      <c r="B733" s="613" t="s">
        <v>5131</v>
      </c>
      <c r="C733" s="288" t="s">
        <v>1524</v>
      </c>
      <c r="D733" s="414" t="s">
        <v>4787</v>
      </c>
      <c r="E733" s="407" t="s">
        <v>8999</v>
      </c>
      <c r="F733" s="483" t="s">
        <v>5133</v>
      </c>
      <c r="G733" s="483" t="s">
        <v>5504</v>
      </c>
      <c r="H733" s="411" t="s">
        <v>5132</v>
      </c>
      <c r="I733" s="411" t="s">
        <v>5507</v>
      </c>
      <c r="J733" s="411"/>
      <c r="K733" s="411"/>
      <c r="L733" s="608">
        <v>8424.3346456692925</v>
      </c>
      <c r="M733" s="409">
        <v>4644.7047244094492</v>
      </c>
      <c r="N733" s="409">
        <v>13069.039370078741</v>
      </c>
      <c r="O733" s="410" t="s">
        <v>7764</v>
      </c>
      <c r="P733" s="406">
        <v>730</v>
      </c>
      <c r="Q733" s="470" t="s">
        <v>1524</v>
      </c>
      <c r="R733" s="460" t="s">
        <v>1525</v>
      </c>
      <c r="S733" s="270" t="s">
        <v>7</v>
      </c>
      <c r="U733" s="471"/>
      <c r="V733" s="471"/>
      <c r="W733" s="471" t="s">
        <v>1525</v>
      </c>
      <c r="X733" s="471">
        <v>1</v>
      </c>
      <c r="Y733" s="206"/>
      <c r="Z733" s="206"/>
    </row>
    <row r="734" spans="1:26" ht="15" thickBot="1">
      <c r="A734" s="406">
        <v>731</v>
      </c>
      <c r="B734" s="613" t="s">
        <v>7020</v>
      </c>
      <c r="C734" s="483" t="s">
        <v>1526</v>
      </c>
      <c r="D734" s="414" t="s">
        <v>4884</v>
      </c>
      <c r="E734" s="407" t="s">
        <v>4884</v>
      </c>
      <c r="F734" s="483"/>
      <c r="G734" s="483"/>
      <c r="H734" s="483"/>
      <c r="I734" s="483"/>
      <c r="J734" s="483"/>
      <c r="K734" s="483"/>
      <c r="L734" s="608" t="s">
        <v>4884</v>
      </c>
      <c r="M734" s="409" t="s">
        <v>4884</v>
      </c>
      <c r="N734" s="409" t="s">
        <v>4884</v>
      </c>
      <c r="O734" s="410" t="s">
        <v>4884</v>
      </c>
      <c r="P734" s="406">
        <v>731</v>
      </c>
      <c r="Q734" s="532" t="s">
        <v>1526</v>
      </c>
      <c r="R734" s="532" t="s">
        <v>1527</v>
      </c>
      <c r="S734" s="532" t="s">
        <v>1528</v>
      </c>
      <c r="T734" s="533" t="s">
        <v>1529</v>
      </c>
      <c r="U734" s="471"/>
      <c r="V734" s="471"/>
      <c r="W734" s="479"/>
      <c r="X734" s="471"/>
      <c r="Y734" s="206"/>
      <c r="Z734" s="206"/>
    </row>
    <row r="735" spans="1:26">
      <c r="A735" s="406">
        <v>732</v>
      </c>
      <c r="B735" s="613" t="s">
        <v>7020</v>
      </c>
      <c r="C735" s="483" t="s">
        <v>1530</v>
      </c>
      <c r="D735" s="414" t="s">
        <v>4884</v>
      </c>
      <c r="E735" s="407" t="s">
        <v>4884</v>
      </c>
      <c r="F735" s="483"/>
      <c r="G735" s="483"/>
      <c r="H735" s="483"/>
      <c r="I735" s="483"/>
      <c r="J735" s="483"/>
      <c r="K735" s="483"/>
      <c r="L735" s="608" t="s">
        <v>4884</v>
      </c>
      <c r="M735" s="409" t="s">
        <v>4884</v>
      </c>
      <c r="N735" s="409" t="s">
        <v>4884</v>
      </c>
      <c r="O735" s="410" t="s">
        <v>4884</v>
      </c>
      <c r="P735" s="406">
        <v>732</v>
      </c>
      <c r="Q735" s="460" t="s">
        <v>1530</v>
      </c>
      <c r="R735" s="460" t="s">
        <v>1531</v>
      </c>
      <c r="S735" s="460" t="s">
        <v>1528</v>
      </c>
      <c r="T735" s="534" t="s">
        <v>1532</v>
      </c>
      <c r="U735" s="471"/>
      <c r="V735" s="471"/>
      <c r="W735" s="479"/>
      <c r="X735" s="471"/>
      <c r="Y735" s="206"/>
      <c r="Z735" s="206"/>
    </row>
    <row r="736" spans="1:26">
      <c r="A736" s="406">
        <v>733</v>
      </c>
      <c r="B736" s="613" t="s">
        <v>7020</v>
      </c>
      <c r="C736" s="483" t="s">
        <v>1533</v>
      </c>
      <c r="D736" s="414" t="s">
        <v>4884</v>
      </c>
      <c r="E736" s="407" t="s">
        <v>4884</v>
      </c>
      <c r="F736" s="483"/>
      <c r="G736" s="483"/>
      <c r="H736" s="483"/>
      <c r="I736" s="483"/>
      <c r="J736" s="483"/>
      <c r="K736" s="483"/>
      <c r="L736" s="608" t="s">
        <v>4884</v>
      </c>
      <c r="M736" s="409" t="s">
        <v>4884</v>
      </c>
      <c r="N736" s="409" t="s">
        <v>4884</v>
      </c>
      <c r="O736" s="410" t="s">
        <v>4884</v>
      </c>
      <c r="P736" s="406">
        <v>733</v>
      </c>
      <c r="Q736" s="460" t="s">
        <v>1533</v>
      </c>
      <c r="R736" s="460" t="s">
        <v>1534</v>
      </c>
      <c r="S736" s="460" t="s">
        <v>1528</v>
      </c>
      <c r="T736" s="484" t="s">
        <v>1535</v>
      </c>
      <c r="U736" s="471"/>
      <c r="V736" s="471"/>
      <c r="W736" s="479"/>
      <c r="X736" s="471"/>
      <c r="Y736" s="206"/>
      <c r="Z736" s="206"/>
    </row>
    <row r="737" spans="1:26">
      <c r="A737" s="406">
        <v>734</v>
      </c>
      <c r="B737" s="613" t="s">
        <v>7020</v>
      </c>
      <c r="C737" s="483" t="s">
        <v>1536</v>
      </c>
      <c r="D737" s="414" t="s">
        <v>4884</v>
      </c>
      <c r="E737" s="407" t="s">
        <v>4884</v>
      </c>
      <c r="F737" s="483"/>
      <c r="G737" s="483"/>
      <c r="H737" s="483"/>
      <c r="I737" s="483"/>
      <c r="J737" s="483"/>
      <c r="K737" s="483"/>
      <c r="L737" s="608" t="s">
        <v>4884</v>
      </c>
      <c r="M737" s="409" t="s">
        <v>4884</v>
      </c>
      <c r="N737" s="409" t="s">
        <v>4884</v>
      </c>
      <c r="O737" s="410" t="s">
        <v>4884</v>
      </c>
      <c r="P737" s="406">
        <v>734</v>
      </c>
      <c r="Q737" s="460" t="s">
        <v>1536</v>
      </c>
      <c r="R737" s="460" t="s">
        <v>1537</v>
      </c>
      <c r="S737" s="460" t="s">
        <v>1528</v>
      </c>
      <c r="T737" s="484" t="s">
        <v>1535</v>
      </c>
      <c r="U737" s="471"/>
      <c r="V737" s="471"/>
      <c r="W737" s="479"/>
      <c r="X737" s="471"/>
      <c r="Y737" s="206"/>
      <c r="Z737" s="206"/>
    </row>
    <row r="738" spans="1:26">
      <c r="A738" s="406">
        <v>735</v>
      </c>
      <c r="B738" s="613" t="s">
        <v>7020</v>
      </c>
      <c r="C738" s="483" t="s">
        <v>1538</v>
      </c>
      <c r="D738" s="414" t="s">
        <v>4884</v>
      </c>
      <c r="E738" s="407" t="s">
        <v>4884</v>
      </c>
      <c r="F738" s="483"/>
      <c r="G738" s="483"/>
      <c r="H738" s="483"/>
      <c r="I738" s="483"/>
      <c r="J738" s="483"/>
      <c r="K738" s="483"/>
      <c r="L738" s="608" t="s">
        <v>4884</v>
      </c>
      <c r="M738" s="409" t="s">
        <v>4884</v>
      </c>
      <c r="N738" s="409" t="s">
        <v>4884</v>
      </c>
      <c r="O738" s="410" t="s">
        <v>4884</v>
      </c>
      <c r="P738" s="406">
        <v>735</v>
      </c>
      <c r="Q738" s="460" t="s">
        <v>1538</v>
      </c>
      <c r="R738" s="460" t="s">
        <v>1539</v>
      </c>
      <c r="S738" s="460" t="s">
        <v>1528</v>
      </c>
      <c r="T738" s="485" t="s">
        <v>1540</v>
      </c>
      <c r="U738" s="471"/>
      <c r="V738" s="471"/>
      <c r="W738" s="479"/>
      <c r="X738" s="471"/>
      <c r="Y738" s="206"/>
      <c r="Z738" s="206"/>
    </row>
    <row r="739" spans="1:26">
      <c r="A739" s="406">
        <v>736</v>
      </c>
      <c r="B739" s="613" t="s">
        <v>7020</v>
      </c>
      <c r="C739" s="483" t="s">
        <v>1541</v>
      </c>
      <c r="D739" s="414" t="s">
        <v>4884</v>
      </c>
      <c r="E739" s="407" t="s">
        <v>4884</v>
      </c>
      <c r="F739" s="483"/>
      <c r="G739" s="483"/>
      <c r="H739" s="483"/>
      <c r="I739" s="483"/>
      <c r="J739" s="483"/>
      <c r="K739" s="483"/>
      <c r="L739" s="608" t="s">
        <v>4884</v>
      </c>
      <c r="M739" s="409" t="s">
        <v>4884</v>
      </c>
      <c r="N739" s="409" t="s">
        <v>4884</v>
      </c>
      <c r="O739" s="410" t="s">
        <v>4884</v>
      </c>
      <c r="P739" s="406">
        <v>736</v>
      </c>
      <c r="Q739" s="460" t="s">
        <v>1541</v>
      </c>
      <c r="R739" s="460" t="s">
        <v>1539</v>
      </c>
      <c r="S739" s="460" t="s">
        <v>1528</v>
      </c>
      <c r="T739" s="485" t="s">
        <v>1540</v>
      </c>
      <c r="U739" s="471"/>
      <c r="V739" s="471"/>
      <c r="W739" s="479"/>
      <c r="X739" s="471"/>
      <c r="Y739" s="206"/>
      <c r="Z739" s="206"/>
    </row>
    <row r="740" spans="1:26">
      <c r="A740" s="406">
        <v>737</v>
      </c>
      <c r="B740" s="613" t="s">
        <v>7020</v>
      </c>
      <c r="C740" s="483" t="s">
        <v>1542</v>
      </c>
      <c r="D740" s="414" t="s">
        <v>4884</v>
      </c>
      <c r="E740" s="407" t="s">
        <v>4884</v>
      </c>
      <c r="F740" s="483"/>
      <c r="G740" s="483"/>
      <c r="H740" s="483"/>
      <c r="I740" s="483"/>
      <c r="J740" s="483"/>
      <c r="K740" s="483"/>
      <c r="L740" s="608" t="s">
        <v>4884</v>
      </c>
      <c r="M740" s="409" t="s">
        <v>4884</v>
      </c>
      <c r="N740" s="409" t="s">
        <v>4884</v>
      </c>
      <c r="O740" s="410" t="s">
        <v>4884</v>
      </c>
      <c r="P740" s="406">
        <v>737</v>
      </c>
      <c r="Q740" s="460" t="s">
        <v>1542</v>
      </c>
      <c r="R740" s="460" t="s">
        <v>1543</v>
      </c>
      <c r="S740" s="460" t="s">
        <v>1528</v>
      </c>
      <c r="T740" s="484" t="s">
        <v>1535</v>
      </c>
      <c r="U740" s="471"/>
      <c r="V740" s="471"/>
      <c r="W740" s="479"/>
      <c r="X740" s="471"/>
      <c r="Y740" s="206"/>
      <c r="Z740" s="206"/>
    </row>
    <row r="741" spans="1:26">
      <c r="A741" s="406">
        <v>738</v>
      </c>
      <c r="B741" s="613" t="s">
        <v>7020</v>
      </c>
      <c r="C741" s="483" t="s">
        <v>1544</v>
      </c>
      <c r="D741" s="414" t="s">
        <v>4884</v>
      </c>
      <c r="E741" s="407" t="s">
        <v>4884</v>
      </c>
      <c r="F741" s="483"/>
      <c r="G741" s="483"/>
      <c r="H741" s="483"/>
      <c r="I741" s="483"/>
      <c r="J741" s="483"/>
      <c r="K741" s="483"/>
      <c r="L741" s="608" t="s">
        <v>4884</v>
      </c>
      <c r="M741" s="409" t="s">
        <v>4884</v>
      </c>
      <c r="N741" s="409" t="s">
        <v>4884</v>
      </c>
      <c r="O741" s="410" t="s">
        <v>4884</v>
      </c>
      <c r="P741" s="406">
        <v>738</v>
      </c>
      <c r="Q741" s="460" t="s">
        <v>1544</v>
      </c>
      <c r="R741" s="460" t="s">
        <v>1545</v>
      </c>
      <c r="S741" s="460" t="s">
        <v>1528</v>
      </c>
      <c r="T741" s="484" t="s">
        <v>1535</v>
      </c>
      <c r="U741" s="471"/>
      <c r="V741" s="471"/>
      <c r="W741" s="479"/>
      <c r="X741" s="471"/>
      <c r="Y741" s="206"/>
      <c r="Z741" s="206"/>
    </row>
    <row r="742" spans="1:26">
      <c r="A742" s="406">
        <v>739</v>
      </c>
      <c r="B742" s="613" t="s">
        <v>7020</v>
      </c>
      <c r="C742" s="483" t="s">
        <v>1546</v>
      </c>
      <c r="D742" s="414" t="s">
        <v>4884</v>
      </c>
      <c r="E742" s="407" t="s">
        <v>4884</v>
      </c>
      <c r="F742" s="483"/>
      <c r="G742" s="483"/>
      <c r="H742" s="483"/>
      <c r="I742" s="483"/>
      <c r="J742" s="483"/>
      <c r="K742" s="483"/>
      <c r="L742" s="608" t="s">
        <v>4884</v>
      </c>
      <c r="M742" s="409" t="s">
        <v>4884</v>
      </c>
      <c r="N742" s="409" t="s">
        <v>4884</v>
      </c>
      <c r="O742" s="410" t="s">
        <v>4884</v>
      </c>
      <c r="P742" s="406">
        <v>739</v>
      </c>
      <c r="Q742" s="460" t="s">
        <v>1546</v>
      </c>
      <c r="R742" s="460" t="s">
        <v>1547</v>
      </c>
      <c r="S742" s="460" t="s">
        <v>1528</v>
      </c>
      <c r="T742" s="486" t="s">
        <v>1548</v>
      </c>
      <c r="U742" s="471"/>
      <c r="V742" s="471"/>
      <c r="W742" s="471"/>
      <c r="X742" s="471"/>
      <c r="Y742" s="206"/>
      <c r="Z742" s="206"/>
    </row>
    <row r="743" spans="1:26">
      <c r="A743" s="406">
        <v>740</v>
      </c>
      <c r="B743" s="613" t="s">
        <v>7020</v>
      </c>
      <c r="C743" s="483" t="s">
        <v>1549</v>
      </c>
      <c r="D743" s="414" t="s">
        <v>4884</v>
      </c>
      <c r="E743" s="407" t="s">
        <v>4884</v>
      </c>
      <c r="F743" s="483"/>
      <c r="G743" s="483"/>
      <c r="H743" s="483"/>
      <c r="I743" s="483"/>
      <c r="J743" s="483"/>
      <c r="K743" s="483"/>
      <c r="L743" s="608" t="s">
        <v>4884</v>
      </c>
      <c r="M743" s="409" t="s">
        <v>4884</v>
      </c>
      <c r="N743" s="409" t="s">
        <v>4884</v>
      </c>
      <c r="O743" s="410" t="s">
        <v>4884</v>
      </c>
      <c r="P743" s="406">
        <v>740</v>
      </c>
      <c r="Q743" s="460" t="s">
        <v>1549</v>
      </c>
      <c r="R743" s="460" t="s">
        <v>1550</v>
      </c>
      <c r="S743" s="460" t="s">
        <v>1528</v>
      </c>
      <c r="T743" s="487" t="s">
        <v>1551</v>
      </c>
      <c r="U743" s="471"/>
      <c r="V743" s="471"/>
      <c r="W743" s="471"/>
      <c r="X743" s="471"/>
      <c r="Y743" s="206"/>
      <c r="Z743" s="206"/>
    </row>
    <row r="744" spans="1:26">
      <c r="A744" s="406">
        <v>741</v>
      </c>
      <c r="B744" s="613" t="s">
        <v>7020</v>
      </c>
      <c r="C744" s="483" t="s">
        <v>1552</v>
      </c>
      <c r="D744" s="414" t="s">
        <v>4884</v>
      </c>
      <c r="E744" s="407" t="s">
        <v>4884</v>
      </c>
      <c r="F744" s="483"/>
      <c r="G744" s="483"/>
      <c r="H744" s="483"/>
      <c r="I744" s="483"/>
      <c r="J744" s="483"/>
      <c r="K744" s="483"/>
      <c r="L744" s="608" t="s">
        <v>4884</v>
      </c>
      <c r="M744" s="409" t="s">
        <v>4884</v>
      </c>
      <c r="N744" s="409" t="s">
        <v>4884</v>
      </c>
      <c r="O744" s="410" t="s">
        <v>4884</v>
      </c>
      <c r="P744" s="406">
        <v>741</v>
      </c>
      <c r="Q744" s="460" t="s">
        <v>1552</v>
      </c>
      <c r="R744" s="460" t="s">
        <v>1550</v>
      </c>
      <c r="S744" s="460" t="s">
        <v>1528</v>
      </c>
      <c r="T744" s="487" t="s">
        <v>1551</v>
      </c>
      <c r="U744" s="471"/>
      <c r="V744" s="471"/>
      <c r="W744" s="488"/>
      <c r="X744" s="471"/>
      <c r="Y744" s="206"/>
      <c r="Z744" s="206"/>
    </row>
    <row r="745" spans="1:26">
      <c r="A745" s="406">
        <v>742</v>
      </c>
      <c r="B745" s="613" t="s">
        <v>7020</v>
      </c>
      <c r="C745" s="483" t="s">
        <v>1553</v>
      </c>
      <c r="D745" s="414" t="s">
        <v>4884</v>
      </c>
      <c r="E745" s="407" t="s">
        <v>4884</v>
      </c>
      <c r="F745" s="483"/>
      <c r="G745" s="483"/>
      <c r="H745" s="483"/>
      <c r="I745" s="483"/>
      <c r="J745" s="483"/>
      <c r="K745" s="483"/>
      <c r="L745" s="608" t="s">
        <v>4884</v>
      </c>
      <c r="M745" s="409" t="s">
        <v>4884</v>
      </c>
      <c r="N745" s="409" t="s">
        <v>4884</v>
      </c>
      <c r="O745" s="410" t="s">
        <v>4884</v>
      </c>
      <c r="P745" s="406">
        <v>742</v>
      </c>
      <c r="Q745" s="460" t="s">
        <v>1553</v>
      </c>
      <c r="R745" s="460" t="s">
        <v>1550</v>
      </c>
      <c r="S745" s="460" t="s">
        <v>1528</v>
      </c>
      <c r="T745" s="487" t="s">
        <v>1551</v>
      </c>
      <c r="U745" s="471"/>
      <c r="V745" s="471"/>
      <c r="W745" s="488"/>
      <c r="X745" s="471"/>
      <c r="Y745" s="206"/>
      <c r="Z745" s="206"/>
    </row>
    <row r="746" spans="1:26">
      <c r="A746" s="406">
        <v>743</v>
      </c>
      <c r="B746" s="613" t="s">
        <v>7020</v>
      </c>
      <c r="C746" s="483" t="s">
        <v>1554</v>
      </c>
      <c r="D746" s="414" t="s">
        <v>4884</v>
      </c>
      <c r="E746" s="407" t="s">
        <v>4884</v>
      </c>
      <c r="F746" s="483"/>
      <c r="G746" s="483"/>
      <c r="H746" s="483"/>
      <c r="I746" s="483"/>
      <c r="J746" s="483"/>
      <c r="K746" s="483"/>
      <c r="L746" s="608" t="s">
        <v>4884</v>
      </c>
      <c r="M746" s="409" t="s">
        <v>4884</v>
      </c>
      <c r="N746" s="409" t="s">
        <v>4884</v>
      </c>
      <c r="O746" s="410" t="s">
        <v>4884</v>
      </c>
      <c r="P746" s="406">
        <v>743</v>
      </c>
      <c r="Q746" s="460" t="s">
        <v>1554</v>
      </c>
      <c r="R746" s="460" t="s">
        <v>1550</v>
      </c>
      <c r="S746" s="460" t="s">
        <v>1528</v>
      </c>
      <c r="T746" s="487" t="s">
        <v>1551</v>
      </c>
      <c r="U746" s="471"/>
      <c r="V746" s="471"/>
      <c r="W746" s="489"/>
      <c r="X746" s="471"/>
      <c r="Y746" s="206"/>
      <c r="Z746" s="206"/>
    </row>
    <row r="747" spans="1:26">
      <c r="A747" s="406">
        <v>744</v>
      </c>
      <c r="B747" s="613" t="s">
        <v>7020</v>
      </c>
      <c r="C747" s="483" t="s">
        <v>1555</v>
      </c>
      <c r="D747" s="414" t="s">
        <v>4884</v>
      </c>
      <c r="E747" s="407" t="s">
        <v>4884</v>
      </c>
      <c r="F747" s="483"/>
      <c r="G747" s="483"/>
      <c r="H747" s="483"/>
      <c r="I747" s="483"/>
      <c r="J747" s="483"/>
      <c r="K747" s="483"/>
      <c r="L747" s="608" t="s">
        <v>4884</v>
      </c>
      <c r="M747" s="409" t="s">
        <v>4884</v>
      </c>
      <c r="N747" s="409" t="s">
        <v>4884</v>
      </c>
      <c r="O747" s="410" t="s">
        <v>4884</v>
      </c>
      <c r="P747" s="406">
        <v>744</v>
      </c>
      <c r="Q747" s="460" t="s">
        <v>1555</v>
      </c>
      <c r="R747" s="460" t="s">
        <v>1550</v>
      </c>
      <c r="S747" s="460" t="s">
        <v>1528</v>
      </c>
      <c r="T747" s="487" t="s">
        <v>1551</v>
      </c>
      <c r="U747" s="471"/>
      <c r="V747" s="471"/>
      <c r="W747" s="489"/>
      <c r="X747" s="471"/>
      <c r="Y747" s="206"/>
      <c r="Z747" s="206"/>
    </row>
    <row r="748" spans="1:26">
      <c r="A748" s="406">
        <v>745</v>
      </c>
      <c r="B748" s="613" t="s">
        <v>7020</v>
      </c>
      <c r="C748" s="483" t="s">
        <v>1556</v>
      </c>
      <c r="D748" s="414" t="s">
        <v>4884</v>
      </c>
      <c r="E748" s="407" t="s">
        <v>4884</v>
      </c>
      <c r="F748" s="483"/>
      <c r="G748" s="483"/>
      <c r="H748" s="483"/>
      <c r="I748" s="483"/>
      <c r="J748" s="483"/>
      <c r="K748" s="483"/>
      <c r="L748" s="608" t="s">
        <v>4884</v>
      </c>
      <c r="M748" s="409" t="s">
        <v>4884</v>
      </c>
      <c r="N748" s="409" t="s">
        <v>4884</v>
      </c>
      <c r="O748" s="410" t="s">
        <v>4884</v>
      </c>
      <c r="P748" s="406">
        <v>745</v>
      </c>
      <c r="Q748" s="460" t="s">
        <v>1556</v>
      </c>
      <c r="R748" s="460" t="s">
        <v>1550</v>
      </c>
      <c r="S748" s="460" t="s">
        <v>1528</v>
      </c>
      <c r="T748" s="487" t="s">
        <v>1551</v>
      </c>
      <c r="U748" s="471"/>
      <c r="V748" s="471"/>
      <c r="W748" s="489"/>
      <c r="X748" s="471"/>
      <c r="Y748" s="206"/>
      <c r="Z748" s="206"/>
    </row>
    <row r="749" spans="1:26">
      <c r="A749" s="406">
        <v>746</v>
      </c>
      <c r="B749" s="613" t="s">
        <v>7020</v>
      </c>
      <c r="C749" s="483" t="s">
        <v>1557</v>
      </c>
      <c r="D749" s="414" t="s">
        <v>4884</v>
      </c>
      <c r="E749" s="407" t="s">
        <v>4884</v>
      </c>
      <c r="F749" s="483"/>
      <c r="G749" s="483"/>
      <c r="H749" s="483"/>
      <c r="I749" s="483"/>
      <c r="J749" s="483"/>
      <c r="K749" s="483"/>
      <c r="L749" s="608" t="s">
        <v>4884</v>
      </c>
      <c r="M749" s="409" t="s">
        <v>4884</v>
      </c>
      <c r="N749" s="409" t="s">
        <v>4884</v>
      </c>
      <c r="O749" s="410" t="s">
        <v>4884</v>
      </c>
      <c r="P749" s="406">
        <v>746</v>
      </c>
      <c r="Q749" s="460" t="s">
        <v>1557</v>
      </c>
      <c r="R749" s="460" t="s">
        <v>1550</v>
      </c>
      <c r="S749" s="460" t="s">
        <v>1528</v>
      </c>
      <c r="T749" s="487" t="s">
        <v>1551</v>
      </c>
      <c r="U749" s="471"/>
      <c r="V749" s="471"/>
      <c r="W749" s="489"/>
      <c r="X749" s="471"/>
      <c r="Y749" s="206"/>
      <c r="Z749" s="206"/>
    </row>
    <row r="750" spans="1:26">
      <c r="A750" s="406">
        <v>747</v>
      </c>
      <c r="B750" s="613" t="s">
        <v>7020</v>
      </c>
      <c r="C750" s="483" t="s">
        <v>1558</v>
      </c>
      <c r="D750" s="414" t="s">
        <v>4884</v>
      </c>
      <c r="E750" s="407" t="s">
        <v>4884</v>
      </c>
      <c r="F750" s="483"/>
      <c r="G750" s="483"/>
      <c r="H750" s="483"/>
      <c r="I750" s="483"/>
      <c r="J750" s="483"/>
      <c r="K750" s="483"/>
      <c r="L750" s="608" t="s">
        <v>4884</v>
      </c>
      <c r="M750" s="409" t="s">
        <v>4884</v>
      </c>
      <c r="N750" s="409" t="s">
        <v>4884</v>
      </c>
      <c r="O750" s="410" t="s">
        <v>4884</v>
      </c>
      <c r="P750" s="406">
        <v>747</v>
      </c>
      <c r="Q750" s="460" t="s">
        <v>1558</v>
      </c>
      <c r="R750" s="460" t="s">
        <v>1550</v>
      </c>
      <c r="S750" s="460" t="s">
        <v>1528</v>
      </c>
      <c r="T750" s="487" t="s">
        <v>1551</v>
      </c>
      <c r="U750" s="471"/>
      <c r="V750" s="471"/>
      <c r="W750" s="489"/>
      <c r="X750" s="471"/>
      <c r="Y750" s="206"/>
      <c r="Z750" s="206"/>
    </row>
    <row r="751" spans="1:26">
      <c r="A751" s="406">
        <v>748</v>
      </c>
      <c r="B751" s="613" t="s">
        <v>7020</v>
      </c>
      <c r="C751" s="483" t="s">
        <v>1559</v>
      </c>
      <c r="D751" s="414" t="s">
        <v>4884</v>
      </c>
      <c r="E751" s="407" t="s">
        <v>4884</v>
      </c>
      <c r="F751" s="483"/>
      <c r="G751" s="483"/>
      <c r="H751" s="483"/>
      <c r="I751" s="483"/>
      <c r="J751" s="483"/>
      <c r="K751" s="483"/>
      <c r="L751" s="608" t="s">
        <v>4884</v>
      </c>
      <c r="M751" s="409" t="s">
        <v>4884</v>
      </c>
      <c r="N751" s="409" t="s">
        <v>4884</v>
      </c>
      <c r="O751" s="410" t="s">
        <v>4884</v>
      </c>
      <c r="P751" s="406">
        <v>748</v>
      </c>
      <c r="Q751" s="460" t="s">
        <v>1559</v>
      </c>
      <c r="R751" s="460" t="s">
        <v>1550</v>
      </c>
      <c r="S751" s="460" t="s">
        <v>1528</v>
      </c>
      <c r="T751" s="487" t="s">
        <v>1551</v>
      </c>
      <c r="U751" s="471"/>
      <c r="V751" s="471"/>
      <c r="W751" s="489"/>
      <c r="X751" s="471"/>
      <c r="Y751" s="206"/>
      <c r="Z751" s="206"/>
    </row>
    <row r="752" spans="1:26">
      <c r="A752" s="406">
        <v>749</v>
      </c>
      <c r="B752" s="613" t="s">
        <v>7020</v>
      </c>
      <c r="C752" s="483" t="s">
        <v>1560</v>
      </c>
      <c r="D752" s="414" t="s">
        <v>4884</v>
      </c>
      <c r="E752" s="407" t="s">
        <v>4884</v>
      </c>
      <c r="F752" s="483"/>
      <c r="G752" s="483"/>
      <c r="H752" s="483"/>
      <c r="I752" s="483"/>
      <c r="J752" s="483"/>
      <c r="K752" s="483"/>
      <c r="L752" s="608" t="s">
        <v>4884</v>
      </c>
      <c r="M752" s="409" t="s">
        <v>4884</v>
      </c>
      <c r="N752" s="409" t="s">
        <v>4884</v>
      </c>
      <c r="O752" s="410" t="s">
        <v>4884</v>
      </c>
      <c r="P752" s="406">
        <v>749</v>
      </c>
      <c r="Q752" s="460" t="s">
        <v>1560</v>
      </c>
      <c r="R752" s="460" t="s">
        <v>1550</v>
      </c>
      <c r="S752" s="460" t="s">
        <v>1528</v>
      </c>
      <c r="T752" s="487" t="s">
        <v>1551</v>
      </c>
      <c r="U752" s="471"/>
      <c r="V752" s="471"/>
      <c r="W752" s="489"/>
      <c r="X752" s="471"/>
      <c r="Y752" s="206"/>
      <c r="Z752" s="206"/>
    </row>
    <row r="753" spans="1:26">
      <c r="A753" s="406">
        <v>750</v>
      </c>
      <c r="B753" s="613" t="s">
        <v>7020</v>
      </c>
      <c r="C753" s="483" t="s">
        <v>1561</v>
      </c>
      <c r="D753" s="414" t="s">
        <v>4884</v>
      </c>
      <c r="E753" s="407" t="s">
        <v>4884</v>
      </c>
      <c r="F753" s="483"/>
      <c r="G753" s="483"/>
      <c r="H753" s="483"/>
      <c r="I753" s="483"/>
      <c r="J753" s="483"/>
      <c r="K753" s="483"/>
      <c r="L753" s="608" t="s">
        <v>4884</v>
      </c>
      <c r="M753" s="409" t="s">
        <v>4884</v>
      </c>
      <c r="N753" s="409" t="s">
        <v>4884</v>
      </c>
      <c r="O753" s="410" t="s">
        <v>4884</v>
      </c>
      <c r="P753" s="406">
        <v>750</v>
      </c>
      <c r="Q753" s="460" t="s">
        <v>1561</v>
      </c>
      <c r="R753" s="460" t="s">
        <v>1550</v>
      </c>
      <c r="S753" s="460" t="s">
        <v>1528</v>
      </c>
      <c r="T753" s="487" t="s">
        <v>1551</v>
      </c>
      <c r="U753" s="471"/>
      <c r="V753" s="471"/>
      <c r="W753" s="489"/>
      <c r="X753" s="471"/>
      <c r="Y753" s="206"/>
      <c r="Z753" s="206"/>
    </row>
    <row r="754" spans="1:26">
      <c r="A754" s="406">
        <v>751</v>
      </c>
      <c r="B754" s="613" t="s">
        <v>7020</v>
      </c>
      <c r="C754" s="483" t="s">
        <v>1562</v>
      </c>
      <c r="D754" s="414" t="s">
        <v>4884</v>
      </c>
      <c r="E754" s="407" t="s">
        <v>4884</v>
      </c>
      <c r="F754" s="483"/>
      <c r="G754" s="483"/>
      <c r="H754" s="483"/>
      <c r="I754" s="483"/>
      <c r="J754" s="483"/>
      <c r="K754" s="483"/>
      <c r="L754" s="608" t="s">
        <v>4884</v>
      </c>
      <c r="M754" s="409" t="s">
        <v>4884</v>
      </c>
      <c r="N754" s="409" t="s">
        <v>4884</v>
      </c>
      <c r="O754" s="410" t="s">
        <v>4884</v>
      </c>
      <c r="P754" s="406">
        <v>751</v>
      </c>
      <c r="Q754" s="460" t="s">
        <v>1562</v>
      </c>
      <c r="R754" s="460" t="s">
        <v>1550</v>
      </c>
      <c r="S754" s="460" t="s">
        <v>1528</v>
      </c>
      <c r="T754" s="487" t="s">
        <v>1551</v>
      </c>
      <c r="U754" s="471"/>
      <c r="V754" s="471"/>
      <c r="W754" s="489"/>
      <c r="X754" s="471"/>
      <c r="Y754" s="206"/>
      <c r="Z754" s="206"/>
    </row>
    <row r="755" spans="1:26">
      <c r="A755" s="406">
        <v>752</v>
      </c>
      <c r="B755" s="613" t="s">
        <v>7020</v>
      </c>
      <c r="C755" s="483" t="s">
        <v>1563</v>
      </c>
      <c r="D755" s="414" t="s">
        <v>4884</v>
      </c>
      <c r="E755" s="407" t="s">
        <v>4884</v>
      </c>
      <c r="F755" s="483"/>
      <c r="G755" s="483"/>
      <c r="H755" s="483"/>
      <c r="I755" s="483"/>
      <c r="J755" s="483"/>
      <c r="K755" s="483"/>
      <c r="L755" s="608" t="s">
        <v>4884</v>
      </c>
      <c r="M755" s="409" t="s">
        <v>4884</v>
      </c>
      <c r="N755" s="409" t="s">
        <v>4884</v>
      </c>
      <c r="O755" s="410" t="s">
        <v>4884</v>
      </c>
      <c r="P755" s="406">
        <v>752</v>
      </c>
      <c r="Q755" s="460" t="s">
        <v>1563</v>
      </c>
      <c r="R755" s="460" t="s">
        <v>1550</v>
      </c>
      <c r="S755" s="460" t="s">
        <v>1528</v>
      </c>
      <c r="T755" s="487" t="s">
        <v>1551</v>
      </c>
      <c r="U755" s="471"/>
      <c r="V755" s="471"/>
      <c r="W755" s="489"/>
      <c r="X755" s="471"/>
      <c r="Y755" s="206"/>
      <c r="Z755" s="206"/>
    </row>
    <row r="756" spans="1:26">
      <c r="A756" s="406">
        <v>753</v>
      </c>
      <c r="B756" s="613" t="s">
        <v>7020</v>
      </c>
      <c r="C756" s="483" t="s">
        <v>1564</v>
      </c>
      <c r="D756" s="414" t="s">
        <v>4884</v>
      </c>
      <c r="E756" s="407" t="s">
        <v>4884</v>
      </c>
      <c r="F756" s="483"/>
      <c r="G756" s="483"/>
      <c r="H756" s="483"/>
      <c r="I756" s="483"/>
      <c r="J756" s="483"/>
      <c r="K756" s="483"/>
      <c r="L756" s="608" t="s">
        <v>4884</v>
      </c>
      <c r="M756" s="409" t="s">
        <v>4884</v>
      </c>
      <c r="N756" s="409" t="s">
        <v>4884</v>
      </c>
      <c r="O756" s="410" t="s">
        <v>4884</v>
      </c>
      <c r="P756" s="406">
        <v>753</v>
      </c>
      <c r="Q756" s="460" t="s">
        <v>1564</v>
      </c>
      <c r="R756" s="460" t="s">
        <v>1550</v>
      </c>
      <c r="S756" s="460" t="s">
        <v>1528</v>
      </c>
      <c r="T756" s="487" t="s">
        <v>1551</v>
      </c>
      <c r="U756" s="471"/>
      <c r="V756" s="471"/>
      <c r="W756" s="489"/>
      <c r="X756" s="471"/>
      <c r="Y756" s="206"/>
      <c r="Z756" s="206"/>
    </row>
    <row r="757" spans="1:26">
      <c r="A757" s="406">
        <v>754</v>
      </c>
      <c r="B757" s="613" t="s">
        <v>7020</v>
      </c>
      <c r="C757" s="483" t="s">
        <v>1565</v>
      </c>
      <c r="D757" s="414" t="s">
        <v>4884</v>
      </c>
      <c r="E757" s="407" t="s">
        <v>4884</v>
      </c>
      <c r="F757" s="483"/>
      <c r="G757" s="483"/>
      <c r="H757" s="483"/>
      <c r="I757" s="483"/>
      <c r="J757" s="483"/>
      <c r="K757" s="483"/>
      <c r="L757" s="608" t="s">
        <v>4884</v>
      </c>
      <c r="M757" s="409" t="s">
        <v>4884</v>
      </c>
      <c r="N757" s="409" t="s">
        <v>4884</v>
      </c>
      <c r="O757" s="410" t="s">
        <v>4884</v>
      </c>
      <c r="P757" s="406">
        <v>754</v>
      </c>
      <c r="Q757" s="460" t="s">
        <v>1565</v>
      </c>
      <c r="R757" s="460" t="s">
        <v>1550</v>
      </c>
      <c r="S757" s="460" t="s">
        <v>1528</v>
      </c>
      <c r="T757" s="487" t="s">
        <v>1551</v>
      </c>
      <c r="U757" s="471"/>
      <c r="V757" s="471"/>
      <c r="W757" s="489"/>
      <c r="X757" s="471"/>
      <c r="Y757" s="206"/>
      <c r="Z757" s="206"/>
    </row>
    <row r="758" spans="1:26">
      <c r="A758" s="406">
        <v>755</v>
      </c>
      <c r="B758" s="613" t="s">
        <v>7020</v>
      </c>
      <c r="C758" s="483" t="s">
        <v>1566</v>
      </c>
      <c r="D758" s="414" t="s">
        <v>4884</v>
      </c>
      <c r="E758" s="407" t="s">
        <v>4884</v>
      </c>
      <c r="F758" s="483"/>
      <c r="G758" s="483"/>
      <c r="H758" s="483"/>
      <c r="I758" s="483"/>
      <c r="J758" s="483"/>
      <c r="K758" s="483"/>
      <c r="L758" s="608" t="s">
        <v>4884</v>
      </c>
      <c r="M758" s="409" t="s">
        <v>4884</v>
      </c>
      <c r="N758" s="409" t="s">
        <v>4884</v>
      </c>
      <c r="O758" s="410" t="s">
        <v>4884</v>
      </c>
      <c r="P758" s="406">
        <v>755</v>
      </c>
      <c r="Q758" s="460" t="s">
        <v>1566</v>
      </c>
      <c r="R758" s="460" t="s">
        <v>1550</v>
      </c>
      <c r="S758" s="460" t="s">
        <v>1528</v>
      </c>
      <c r="T758" s="487" t="s">
        <v>1551</v>
      </c>
      <c r="U758" s="471"/>
      <c r="V758" s="471"/>
      <c r="W758" s="489"/>
      <c r="X758" s="471"/>
      <c r="Y758" s="206"/>
      <c r="Z758" s="206"/>
    </row>
    <row r="759" spans="1:26">
      <c r="A759" s="406">
        <v>756</v>
      </c>
      <c r="B759" s="613" t="s">
        <v>7020</v>
      </c>
      <c r="C759" s="483" t="s">
        <v>1567</v>
      </c>
      <c r="D759" s="414" t="s">
        <v>4884</v>
      </c>
      <c r="E759" s="407" t="s">
        <v>4884</v>
      </c>
      <c r="F759" s="483"/>
      <c r="G759" s="483"/>
      <c r="H759" s="483"/>
      <c r="I759" s="483"/>
      <c r="J759" s="483"/>
      <c r="K759" s="483"/>
      <c r="L759" s="608" t="s">
        <v>4884</v>
      </c>
      <c r="M759" s="409" t="s">
        <v>4884</v>
      </c>
      <c r="N759" s="409" t="s">
        <v>4884</v>
      </c>
      <c r="O759" s="410" t="s">
        <v>4884</v>
      </c>
      <c r="P759" s="406">
        <v>756</v>
      </c>
      <c r="Q759" s="460" t="s">
        <v>1567</v>
      </c>
      <c r="R759" s="460" t="s">
        <v>1550</v>
      </c>
      <c r="S759" s="460" t="s">
        <v>1528</v>
      </c>
      <c r="T759" s="487" t="s">
        <v>1551</v>
      </c>
      <c r="U759" s="471"/>
      <c r="V759" s="471"/>
      <c r="W759" s="489"/>
      <c r="X759" s="471"/>
      <c r="Y759" s="206"/>
      <c r="Z759" s="206"/>
    </row>
    <row r="760" spans="1:26">
      <c r="A760" s="406">
        <v>757</v>
      </c>
      <c r="B760" s="613" t="s">
        <v>7020</v>
      </c>
      <c r="C760" s="483" t="s">
        <v>1568</v>
      </c>
      <c r="D760" s="414" t="s">
        <v>4884</v>
      </c>
      <c r="E760" s="407" t="s">
        <v>4884</v>
      </c>
      <c r="F760" s="483"/>
      <c r="G760" s="483"/>
      <c r="H760" s="483"/>
      <c r="I760" s="483"/>
      <c r="J760" s="483"/>
      <c r="K760" s="483"/>
      <c r="L760" s="608" t="s">
        <v>4884</v>
      </c>
      <c r="M760" s="409" t="s">
        <v>4884</v>
      </c>
      <c r="N760" s="409" t="s">
        <v>4884</v>
      </c>
      <c r="O760" s="410" t="s">
        <v>4884</v>
      </c>
      <c r="P760" s="406">
        <v>757</v>
      </c>
      <c r="Q760" s="460" t="s">
        <v>1568</v>
      </c>
      <c r="R760" s="460" t="s">
        <v>1550</v>
      </c>
      <c r="S760" s="460" t="s">
        <v>1528</v>
      </c>
      <c r="T760" s="487" t="s">
        <v>1551</v>
      </c>
      <c r="U760" s="471"/>
      <c r="V760" s="471"/>
      <c r="W760" s="489"/>
      <c r="X760" s="471"/>
      <c r="Y760" s="206"/>
      <c r="Z760" s="206"/>
    </row>
    <row r="761" spans="1:26">
      <c r="A761" s="406">
        <v>758</v>
      </c>
      <c r="B761" s="613" t="s">
        <v>7020</v>
      </c>
      <c r="C761" s="483" t="s">
        <v>1569</v>
      </c>
      <c r="D761" s="414" t="s">
        <v>4884</v>
      </c>
      <c r="E761" s="407" t="s">
        <v>4884</v>
      </c>
      <c r="F761" s="483"/>
      <c r="G761" s="483"/>
      <c r="H761" s="483"/>
      <c r="I761" s="483"/>
      <c r="J761" s="483"/>
      <c r="K761" s="483"/>
      <c r="L761" s="608" t="s">
        <v>4884</v>
      </c>
      <c r="M761" s="409" t="s">
        <v>4884</v>
      </c>
      <c r="N761" s="409" t="s">
        <v>4884</v>
      </c>
      <c r="O761" s="410" t="s">
        <v>4884</v>
      </c>
      <c r="P761" s="406">
        <v>758</v>
      </c>
      <c r="Q761" s="460" t="s">
        <v>1569</v>
      </c>
      <c r="R761" s="460" t="s">
        <v>1550</v>
      </c>
      <c r="S761" s="460" t="s">
        <v>1528</v>
      </c>
      <c r="T761" s="487" t="s">
        <v>1551</v>
      </c>
      <c r="U761" s="471"/>
      <c r="V761" s="471"/>
      <c r="W761" s="489"/>
      <c r="X761" s="471"/>
      <c r="Y761" s="206"/>
      <c r="Z761" s="206"/>
    </row>
    <row r="762" spans="1:26">
      <c r="A762" s="406">
        <v>759</v>
      </c>
      <c r="B762" s="613" t="s">
        <v>7020</v>
      </c>
      <c r="C762" s="483" t="s">
        <v>1570</v>
      </c>
      <c r="D762" s="414" t="s">
        <v>4884</v>
      </c>
      <c r="E762" s="407" t="s">
        <v>4884</v>
      </c>
      <c r="F762" s="483"/>
      <c r="G762" s="483"/>
      <c r="H762" s="483"/>
      <c r="I762" s="483"/>
      <c r="J762" s="483"/>
      <c r="K762" s="483"/>
      <c r="L762" s="608" t="s">
        <v>4884</v>
      </c>
      <c r="M762" s="409" t="s">
        <v>4884</v>
      </c>
      <c r="N762" s="409" t="s">
        <v>4884</v>
      </c>
      <c r="O762" s="410" t="s">
        <v>4884</v>
      </c>
      <c r="P762" s="406">
        <v>759</v>
      </c>
      <c r="Q762" s="460" t="s">
        <v>1570</v>
      </c>
      <c r="R762" s="460" t="s">
        <v>1550</v>
      </c>
      <c r="S762" s="460" t="s">
        <v>1528</v>
      </c>
      <c r="T762" s="487" t="s">
        <v>1551</v>
      </c>
      <c r="U762" s="471"/>
      <c r="V762" s="471"/>
      <c r="W762" s="489"/>
      <c r="X762" s="471"/>
      <c r="Y762" s="206"/>
      <c r="Z762" s="206"/>
    </row>
    <row r="763" spans="1:26">
      <c r="A763" s="406">
        <v>760</v>
      </c>
      <c r="B763" s="613" t="s">
        <v>7020</v>
      </c>
      <c r="C763" s="483" t="s">
        <v>1571</v>
      </c>
      <c r="D763" s="414" t="s">
        <v>4884</v>
      </c>
      <c r="E763" s="407" t="s">
        <v>4884</v>
      </c>
      <c r="F763" s="483"/>
      <c r="G763" s="483"/>
      <c r="H763" s="483"/>
      <c r="I763" s="483"/>
      <c r="J763" s="483"/>
      <c r="K763" s="483"/>
      <c r="L763" s="608" t="s">
        <v>4884</v>
      </c>
      <c r="M763" s="409" t="s">
        <v>4884</v>
      </c>
      <c r="N763" s="409" t="s">
        <v>4884</v>
      </c>
      <c r="O763" s="410" t="s">
        <v>4884</v>
      </c>
      <c r="P763" s="406">
        <v>760</v>
      </c>
      <c r="Q763" s="460" t="s">
        <v>1571</v>
      </c>
      <c r="R763" s="460" t="s">
        <v>1550</v>
      </c>
      <c r="S763" s="460" t="s">
        <v>1528</v>
      </c>
      <c r="T763" s="487" t="s">
        <v>1551</v>
      </c>
      <c r="U763" s="471"/>
      <c r="V763" s="471"/>
      <c r="W763" s="489"/>
      <c r="X763" s="471"/>
      <c r="Y763" s="206"/>
      <c r="Z763" s="206"/>
    </row>
    <row r="764" spans="1:26">
      <c r="A764" s="406">
        <v>761</v>
      </c>
      <c r="B764" s="613" t="s">
        <v>7020</v>
      </c>
      <c r="C764" s="483" t="s">
        <v>1572</v>
      </c>
      <c r="D764" s="414" t="s">
        <v>4884</v>
      </c>
      <c r="E764" s="407" t="s">
        <v>4884</v>
      </c>
      <c r="F764" s="483"/>
      <c r="G764" s="483"/>
      <c r="H764" s="483"/>
      <c r="I764" s="483"/>
      <c r="J764" s="483"/>
      <c r="K764" s="483"/>
      <c r="L764" s="608" t="s">
        <v>4884</v>
      </c>
      <c r="M764" s="409" t="s">
        <v>4884</v>
      </c>
      <c r="N764" s="409" t="s">
        <v>4884</v>
      </c>
      <c r="O764" s="410" t="s">
        <v>4884</v>
      </c>
      <c r="P764" s="406">
        <v>761</v>
      </c>
      <c r="Q764" s="460" t="s">
        <v>1572</v>
      </c>
      <c r="R764" s="460" t="s">
        <v>1550</v>
      </c>
      <c r="S764" s="460" t="s">
        <v>1528</v>
      </c>
      <c r="T764" s="487" t="s">
        <v>1551</v>
      </c>
      <c r="U764" s="471"/>
      <c r="V764" s="471"/>
      <c r="W764" s="489"/>
      <c r="X764" s="471"/>
      <c r="Y764" s="206"/>
      <c r="Z764" s="206"/>
    </row>
    <row r="765" spans="1:26">
      <c r="A765" s="406">
        <v>762</v>
      </c>
      <c r="B765" s="613" t="s">
        <v>7020</v>
      </c>
      <c r="C765" s="483" t="s">
        <v>1573</v>
      </c>
      <c r="D765" s="414" t="s">
        <v>4884</v>
      </c>
      <c r="E765" s="407" t="s">
        <v>4884</v>
      </c>
      <c r="F765" s="483"/>
      <c r="G765" s="483"/>
      <c r="H765" s="483"/>
      <c r="I765" s="483"/>
      <c r="J765" s="483"/>
      <c r="K765" s="483"/>
      <c r="L765" s="608" t="s">
        <v>4884</v>
      </c>
      <c r="M765" s="409" t="s">
        <v>4884</v>
      </c>
      <c r="N765" s="409" t="s">
        <v>4884</v>
      </c>
      <c r="O765" s="410" t="s">
        <v>4884</v>
      </c>
      <c r="P765" s="406">
        <v>762</v>
      </c>
      <c r="Q765" s="460" t="s">
        <v>1573</v>
      </c>
      <c r="R765" s="460" t="s">
        <v>1550</v>
      </c>
      <c r="S765" s="460" t="s">
        <v>1528</v>
      </c>
      <c r="T765" s="487" t="s">
        <v>1551</v>
      </c>
      <c r="U765" s="471"/>
      <c r="V765" s="471"/>
      <c r="W765" s="489"/>
      <c r="X765" s="471"/>
      <c r="Y765" s="206"/>
      <c r="Z765" s="206"/>
    </row>
    <row r="766" spans="1:26">
      <c r="A766" s="406">
        <v>763</v>
      </c>
      <c r="B766" s="613" t="s">
        <v>7020</v>
      </c>
      <c r="C766" s="483" t="s">
        <v>1574</v>
      </c>
      <c r="D766" s="414" t="s">
        <v>4884</v>
      </c>
      <c r="E766" s="407" t="s">
        <v>4884</v>
      </c>
      <c r="F766" s="483"/>
      <c r="G766" s="483"/>
      <c r="H766" s="483"/>
      <c r="I766" s="483"/>
      <c r="J766" s="483"/>
      <c r="K766" s="483"/>
      <c r="L766" s="608" t="s">
        <v>4884</v>
      </c>
      <c r="M766" s="409" t="s">
        <v>4884</v>
      </c>
      <c r="N766" s="409" t="s">
        <v>4884</v>
      </c>
      <c r="O766" s="410" t="s">
        <v>4884</v>
      </c>
      <c r="P766" s="406">
        <v>763</v>
      </c>
      <c r="Q766" s="460" t="s">
        <v>1574</v>
      </c>
      <c r="R766" s="460" t="s">
        <v>1550</v>
      </c>
      <c r="S766" s="460" t="s">
        <v>1528</v>
      </c>
      <c r="T766" s="487" t="s">
        <v>1551</v>
      </c>
      <c r="U766" s="471"/>
      <c r="V766" s="471"/>
      <c r="W766" s="489"/>
      <c r="X766" s="471"/>
      <c r="Y766" s="206"/>
      <c r="Z766" s="206"/>
    </row>
    <row r="767" spans="1:26">
      <c r="A767" s="406">
        <v>764</v>
      </c>
      <c r="B767" s="613" t="s">
        <v>7020</v>
      </c>
      <c r="C767" s="483" t="s">
        <v>1575</v>
      </c>
      <c r="D767" s="414" t="s">
        <v>4884</v>
      </c>
      <c r="E767" s="407" t="s">
        <v>4884</v>
      </c>
      <c r="F767" s="483"/>
      <c r="G767" s="483"/>
      <c r="H767" s="483"/>
      <c r="I767" s="483"/>
      <c r="J767" s="483"/>
      <c r="K767" s="483"/>
      <c r="L767" s="608" t="s">
        <v>4884</v>
      </c>
      <c r="M767" s="409" t="s">
        <v>4884</v>
      </c>
      <c r="N767" s="409" t="s">
        <v>4884</v>
      </c>
      <c r="O767" s="410" t="s">
        <v>4884</v>
      </c>
      <c r="P767" s="406">
        <v>764</v>
      </c>
      <c r="Q767" s="460" t="s">
        <v>1575</v>
      </c>
      <c r="R767" s="460" t="s">
        <v>1550</v>
      </c>
      <c r="S767" s="460" t="s">
        <v>1528</v>
      </c>
      <c r="T767" s="487" t="s">
        <v>1551</v>
      </c>
      <c r="U767" s="471"/>
      <c r="V767" s="471"/>
      <c r="W767" s="489"/>
      <c r="X767" s="471"/>
      <c r="Y767" s="206"/>
      <c r="Z767" s="206"/>
    </row>
    <row r="768" spans="1:26">
      <c r="A768" s="406">
        <v>765</v>
      </c>
      <c r="B768" s="613" t="s">
        <v>7020</v>
      </c>
      <c r="C768" s="483" t="s">
        <v>1576</v>
      </c>
      <c r="D768" s="414" t="s">
        <v>4884</v>
      </c>
      <c r="E768" s="407" t="s">
        <v>4884</v>
      </c>
      <c r="F768" s="483"/>
      <c r="G768" s="483"/>
      <c r="H768" s="483"/>
      <c r="I768" s="483"/>
      <c r="J768" s="483"/>
      <c r="K768" s="483"/>
      <c r="L768" s="608" t="s">
        <v>4884</v>
      </c>
      <c r="M768" s="409" t="s">
        <v>4884</v>
      </c>
      <c r="N768" s="409" t="s">
        <v>4884</v>
      </c>
      <c r="O768" s="410" t="s">
        <v>4884</v>
      </c>
      <c r="P768" s="406">
        <v>765</v>
      </c>
      <c r="Q768" s="460" t="s">
        <v>1576</v>
      </c>
      <c r="R768" s="460" t="s">
        <v>1550</v>
      </c>
      <c r="S768" s="460" t="s">
        <v>1528</v>
      </c>
      <c r="T768" s="487" t="s">
        <v>1551</v>
      </c>
      <c r="U768" s="471"/>
      <c r="V768" s="471"/>
      <c r="W768" s="489"/>
      <c r="X768" s="471"/>
      <c r="Y768" s="206"/>
      <c r="Z768" s="206"/>
    </row>
    <row r="769" spans="1:26">
      <c r="A769" s="406">
        <v>766</v>
      </c>
      <c r="B769" s="613" t="s">
        <v>7020</v>
      </c>
      <c r="C769" s="483" t="s">
        <v>1577</v>
      </c>
      <c r="D769" s="414" t="s">
        <v>4884</v>
      </c>
      <c r="E769" s="407" t="s">
        <v>4884</v>
      </c>
      <c r="F769" s="483"/>
      <c r="G769" s="483"/>
      <c r="H769" s="483"/>
      <c r="I769" s="483"/>
      <c r="J769" s="483"/>
      <c r="K769" s="483"/>
      <c r="L769" s="608" t="s">
        <v>4884</v>
      </c>
      <c r="M769" s="409" t="s">
        <v>4884</v>
      </c>
      <c r="N769" s="409" t="s">
        <v>4884</v>
      </c>
      <c r="O769" s="410" t="s">
        <v>4884</v>
      </c>
      <c r="P769" s="406">
        <v>766</v>
      </c>
      <c r="Q769" s="460" t="s">
        <v>1577</v>
      </c>
      <c r="R769" s="460" t="s">
        <v>1550</v>
      </c>
      <c r="S769" s="460" t="s">
        <v>1528</v>
      </c>
      <c r="T769" s="487" t="s">
        <v>1551</v>
      </c>
      <c r="U769" s="471"/>
      <c r="V769" s="471"/>
      <c r="W769" s="489"/>
      <c r="X769" s="471"/>
      <c r="Y769" s="206"/>
      <c r="Z769" s="206"/>
    </row>
    <row r="770" spans="1:26">
      <c r="A770" s="406">
        <v>767</v>
      </c>
      <c r="B770" s="613" t="s">
        <v>7020</v>
      </c>
      <c r="C770" s="483" t="s">
        <v>1578</v>
      </c>
      <c r="D770" s="414" t="s">
        <v>4884</v>
      </c>
      <c r="E770" s="407" t="s">
        <v>4884</v>
      </c>
      <c r="F770" s="483"/>
      <c r="G770" s="483"/>
      <c r="H770" s="483"/>
      <c r="I770" s="483"/>
      <c r="J770" s="483"/>
      <c r="K770" s="483"/>
      <c r="L770" s="608" t="s">
        <v>4884</v>
      </c>
      <c r="M770" s="409" t="s">
        <v>4884</v>
      </c>
      <c r="N770" s="409" t="s">
        <v>4884</v>
      </c>
      <c r="O770" s="410" t="s">
        <v>4884</v>
      </c>
      <c r="P770" s="406">
        <v>767</v>
      </c>
      <c r="Q770" s="460" t="s">
        <v>1578</v>
      </c>
      <c r="R770" s="460" t="s">
        <v>1550</v>
      </c>
      <c r="S770" s="460" t="s">
        <v>1528</v>
      </c>
      <c r="T770" s="487" t="s">
        <v>1551</v>
      </c>
      <c r="U770" s="471"/>
      <c r="V770" s="471"/>
      <c r="W770" s="489"/>
      <c r="X770" s="471"/>
      <c r="Y770" s="206"/>
      <c r="Z770" s="206"/>
    </row>
    <row r="771" spans="1:26">
      <c r="A771" s="406">
        <v>768</v>
      </c>
      <c r="B771" s="613" t="s">
        <v>7020</v>
      </c>
      <c r="C771" s="483" t="s">
        <v>1579</v>
      </c>
      <c r="D771" s="414" t="s">
        <v>4884</v>
      </c>
      <c r="E771" s="407" t="s">
        <v>4884</v>
      </c>
      <c r="F771" s="483"/>
      <c r="G771" s="483"/>
      <c r="H771" s="483"/>
      <c r="I771" s="483"/>
      <c r="J771" s="483"/>
      <c r="K771" s="483"/>
      <c r="L771" s="608" t="s">
        <v>4884</v>
      </c>
      <c r="M771" s="409" t="s">
        <v>4884</v>
      </c>
      <c r="N771" s="409" t="s">
        <v>4884</v>
      </c>
      <c r="O771" s="410" t="s">
        <v>4884</v>
      </c>
      <c r="P771" s="406">
        <v>768</v>
      </c>
      <c r="Q771" s="460" t="s">
        <v>1579</v>
      </c>
      <c r="R771" s="460" t="s">
        <v>1550</v>
      </c>
      <c r="S771" s="460" t="s">
        <v>1528</v>
      </c>
      <c r="T771" s="487" t="s">
        <v>1551</v>
      </c>
      <c r="U771" s="471"/>
      <c r="V771" s="471"/>
      <c r="W771" s="489"/>
      <c r="X771" s="471"/>
      <c r="Y771" s="206"/>
      <c r="Z771" s="206"/>
    </row>
    <row r="772" spans="1:26">
      <c r="A772" s="406">
        <v>769</v>
      </c>
      <c r="B772" s="613" t="s">
        <v>7020</v>
      </c>
      <c r="C772" s="483" t="s">
        <v>1580</v>
      </c>
      <c r="D772" s="414" t="s">
        <v>4884</v>
      </c>
      <c r="E772" s="407" t="s">
        <v>4884</v>
      </c>
      <c r="F772" s="483"/>
      <c r="G772" s="483"/>
      <c r="H772" s="483"/>
      <c r="I772" s="483"/>
      <c r="J772" s="483"/>
      <c r="K772" s="483"/>
      <c r="L772" s="608" t="s">
        <v>4884</v>
      </c>
      <c r="M772" s="409" t="s">
        <v>4884</v>
      </c>
      <c r="N772" s="409" t="s">
        <v>4884</v>
      </c>
      <c r="O772" s="410" t="s">
        <v>4884</v>
      </c>
      <c r="P772" s="406">
        <v>769</v>
      </c>
      <c r="Q772" s="460" t="s">
        <v>1580</v>
      </c>
      <c r="R772" s="460" t="s">
        <v>1550</v>
      </c>
      <c r="S772" s="460" t="s">
        <v>1528</v>
      </c>
      <c r="T772" s="487" t="s">
        <v>1551</v>
      </c>
      <c r="U772" s="471"/>
      <c r="V772" s="471"/>
      <c r="W772" s="489"/>
      <c r="X772" s="471"/>
      <c r="Y772" s="206"/>
      <c r="Z772" s="206"/>
    </row>
    <row r="773" spans="1:26">
      <c r="A773" s="406">
        <v>770</v>
      </c>
      <c r="B773" s="613" t="s">
        <v>7020</v>
      </c>
      <c r="C773" s="483" t="s">
        <v>1581</v>
      </c>
      <c r="D773" s="414" t="s">
        <v>4884</v>
      </c>
      <c r="E773" s="407" t="s">
        <v>4884</v>
      </c>
      <c r="F773" s="483"/>
      <c r="G773" s="483"/>
      <c r="H773" s="483"/>
      <c r="I773" s="483"/>
      <c r="J773" s="483"/>
      <c r="K773" s="483"/>
      <c r="L773" s="608" t="s">
        <v>4884</v>
      </c>
      <c r="M773" s="409" t="s">
        <v>4884</v>
      </c>
      <c r="N773" s="409" t="s">
        <v>4884</v>
      </c>
      <c r="O773" s="410" t="s">
        <v>4884</v>
      </c>
      <c r="P773" s="406">
        <v>770</v>
      </c>
      <c r="Q773" s="460" t="s">
        <v>1581</v>
      </c>
      <c r="R773" s="460" t="s">
        <v>1550</v>
      </c>
      <c r="S773" s="460" t="s">
        <v>1528</v>
      </c>
      <c r="T773" s="487" t="s">
        <v>1551</v>
      </c>
      <c r="U773" s="471"/>
      <c r="V773" s="471"/>
      <c r="W773" s="489"/>
      <c r="X773" s="471"/>
      <c r="Y773" s="206"/>
      <c r="Z773" s="206"/>
    </row>
    <row r="774" spans="1:26">
      <c r="A774" s="406">
        <v>771</v>
      </c>
      <c r="B774" s="613" t="s">
        <v>7020</v>
      </c>
      <c r="C774" s="483" t="s">
        <v>1582</v>
      </c>
      <c r="D774" s="414" t="s">
        <v>4884</v>
      </c>
      <c r="E774" s="407" t="s">
        <v>4884</v>
      </c>
      <c r="F774" s="483"/>
      <c r="G774" s="483"/>
      <c r="H774" s="483"/>
      <c r="I774" s="483"/>
      <c r="J774" s="483"/>
      <c r="K774" s="483"/>
      <c r="L774" s="608" t="s">
        <v>4884</v>
      </c>
      <c r="M774" s="409" t="s">
        <v>4884</v>
      </c>
      <c r="N774" s="409" t="s">
        <v>4884</v>
      </c>
      <c r="O774" s="410" t="s">
        <v>4884</v>
      </c>
      <c r="P774" s="406">
        <v>771</v>
      </c>
      <c r="Q774" s="460" t="s">
        <v>1582</v>
      </c>
      <c r="R774" s="460" t="s">
        <v>1550</v>
      </c>
      <c r="S774" s="460" t="s">
        <v>1528</v>
      </c>
      <c r="T774" s="487" t="s">
        <v>1551</v>
      </c>
      <c r="U774" s="471"/>
      <c r="V774" s="471"/>
      <c r="W774" s="489"/>
      <c r="X774" s="471"/>
      <c r="Y774" s="206"/>
      <c r="Z774" s="206"/>
    </row>
    <row r="775" spans="1:26">
      <c r="A775" s="406">
        <v>772</v>
      </c>
      <c r="B775" s="613" t="s">
        <v>7020</v>
      </c>
      <c r="C775" s="483" t="s">
        <v>1583</v>
      </c>
      <c r="D775" s="414" t="s">
        <v>4884</v>
      </c>
      <c r="E775" s="407" t="s">
        <v>4884</v>
      </c>
      <c r="F775" s="483"/>
      <c r="G775" s="483"/>
      <c r="H775" s="483"/>
      <c r="I775" s="483"/>
      <c r="J775" s="483"/>
      <c r="K775" s="483"/>
      <c r="L775" s="608" t="s">
        <v>4884</v>
      </c>
      <c r="M775" s="409" t="s">
        <v>4884</v>
      </c>
      <c r="N775" s="409" t="s">
        <v>4884</v>
      </c>
      <c r="O775" s="410" t="s">
        <v>4884</v>
      </c>
      <c r="P775" s="406">
        <v>772</v>
      </c>
      <c r="Q775" s="460" t="s">
        <v>1583</v>
      </c>
      <c r="R775" s="460" t="s">
        <v>1550</v>
      </c>
      <c r="S775" s="460" t="s">
        <v>1528</v>
      </c>
      <c r="T775" s="487" t="s">
        <v>1551</v>
      </c>
      <c r="U775" s="471"/>
      <c r="V775" s="471"/>
      <c r="W775" s="489"/>
      <c r="X775" s="471"/>
      <c r="Y775" s="206"/>
      <c r="Z775" s="206"/>
    </row>
    <row r="776" spans="1:26">
      <c r="A776" s="406">
        <v>773</v>
      </c>
      <c r="B776" s="613" t="s">
        <v>7020</v>
      </c>
      <c r="C776" s="483" t="s">
        <v>1584</v>
      </c>
      <c r="D776" s="414" t="s">
        <v>4884</v>
      </c>
      <c r="E776" s="407" t="s">
        <v>4884</v>
      </c>
      <c r="F776" s="483"/>
      <c r="G776" s="483"/>
      <c r="H776" s="483"/>
      <c r="I776" s="483"/>
      <c r="J776" s="483"/>
      <c r="K776" s="483"/>
      <c r="L776" s="608" t="s">
        <v>4884</v>
      </c>
      <c r="M776" s="409" t="s">
        <v>4884</v>
      </c>
      <c r="N776" s="409" t="s">
        <v>4884</v>
      </c>
      <c r="O776" s="410" t="s">
        <v>4884</v>
      </c>
      <c r="P776" s="406">
        <v>773</v>
      </c>
      <c r="Q776" s="460" t="s">
        <v>1584</v>
      </c>
      <c r="R776" s="460" t="s">
        <v>1550</v>
      </c>
      <c r="S776" s="460" t="s">
        <v>1528</v>
      </c>
      <c r="T776" s="487" t="s">
        <v>1551</v>
      </c>
      <c r="U776" s="471"/>
      <c r="V776" s="471"/>
      <c r="W776" s="489"/>
      <c r="X776" s="471"/>
      <c r="Y776" s="206"/>
      <c r="Z776" s="206"/>
    </row>
    <row r="777" spans="1:26">
      <c r="A777" s="406">
        <v>774</v>
      </c>
      <c r="B777" s="613" t="s">
        <v>7020</v>
      </c>
      <c r="C777" s="483" t="s">
        <v>1585</v>
      </c>
      <c r="D777" s="414" t="s">
        <v>4884</v>
      </c>
      <c r="E777" s="407" t="s">
        <v>4884</v>
      </c>
      <c r="F777" s="483"/>
      <c r="G777" s="483"/>
      <c r="H777" s="483"/>
      <c r="I777" s="483"/>
      <c r="J777" s="483"/>
      <c r="K777" s="483"/>
      <c r="L777" s="608" t="s">
        <v>4884</v>
      </c>
      <c r="M777" s="409" t="s">
        <v>4884</v>
      </c>
      <c r="N777" s="409" t="s">
        <v>4884</v>
      </c>
      <c r="O777" s="410" t="s">
        <v>4884</v>
      </c>
      <c r="P777" s="406">
        <v>774</v>
      </c>
      <c r="Q777" s="460" t="s">
        <v>1585</v>
      </c>
      <c r="R777" s="460" t="s">
        <v>1550</v>
      </c>
      <c r="S777" s="460" t="s">
        <v>1528</v>
      </c>
      <c r="T777" s="487" t="s">
        <v>1551</v>
      </c>
      <c r="U777" s="471"/>
      <c r="V777" s="471"/>
      <c r="W777" s="489"/>
      <c r="X777" s="471"/>
      <c r="Y777" s="206"/>
      <c r="Z777" s="206"/>
    </row>
    <row r="778" spans="1:26">
      <c r="A778" s="406">
        <v>775</v>
      </c>
      <c r="B778" s="613" t="s">
        <v>7020</v>
      </c>
      <c r="C778" s="483" t="s">
        <v>1586</v>
      </c>
      <c r="D778" s="414" t="s">
        <v>4884</v>
      </c>
      <c r="E778" s="407" t="s">
        <v>4884</v>
      </c>
      <c r="F778" s="483"/>
      <c r="G778" s="483"/>
      <c r="H778" s="483"/>
      <c r="I778" s="483"/>
      <c r="J778" s="483"/>
      <c r="K778" s="483"/>
      <c r="L778" s="608" t="s">
        <v>4884</v>
      </c>
      <c r="M778" s="409" t="s">
        <v>4884</v>
      </c>
      <c r="N778" s="409" t="s">
        <v>4884</v>
      </c>
      <c r="O778" s="410" t="s">
        <v>4884</v>
      </c>
      <c r="P778" s="406">
        <v>775</v>
      </c>
      <c r="Q778" s="460" t="s">
        <v>1586</v>
      </c>
      <c r="R778" s="460" t="s">
        <v>1550</v>
      </c>
      <c r="S778" s="460" t="s">
        <v>1528</v>
      </c>
      <c r="T778" s="487" t="s">
        <v>1551</v>
      </c>
      <c r="U778" s="471"/>
      <c r="V778" s="471"/>
      <c r="W778" s="489"/>
      <c r="X778" s="471"/>
      <c r="Y778" s="206"/>
      <c r="Z778" s="206"/>
    </row>
    <row r="779" spans="1:26">
      <c r="A779" s="406">
        <v>776</v>
      </c>
      <c r="B779" s="613" t="s">
        <v>7020</v>
      </c>
      <c r="C779" s="483" t="s">
        <v>1587</v>
      </c>
      <c r="D779" s="414" t="s">
        <v>4884</v>
      </c>
      <c r="E779" s="407" t="s">
        <v>4884</v>
      </c>
      <c r="F779" s="483"/>
      <c r="G779" s="483"/>
      <c r="H779" s="483"/>
      <c r="I779" s="483"/>
      <c r="J779" s="483"/>
      <c r="K779" s="483"/>
      <c r="L779" s="608" t="s">
        <v>4884</v>
      </c>
      <c r="M779" s="409" t="s">
        <v>4884</v>
      </c>
      <c r="N779" s="409" t="s">
        <v>4884</v>
      </c>
      <c r="O779" s="410" t="s">
        <v>4884</v>
      </c>
      <c r="P779" s="406">
        <v>776</v>
      </c>
      <c r="Q779" s="460" t="s">
        <v>1587</v>
      </c>
      <c r="R779" s="460" t="s">
        <v>1588</v>
      </c>
      <c r="S779" s="460" t="s">
        <v>1528</v>
      </c>
      <c r="T779" s="487" t="s">
        <v>1551</v>
      </c>
      <c r="U779" s="471"/>
      <c r="V779" s="471"/>
      <c r="W779" s="489"/>
      <c r="X779" s="471"/>
      <c r="Y779" s="206"/>
      <c r="Z779" s="206"/>
    </row>
    <row r="780" spans="1:26">
      <c r="A780" s="406">
        <v>777</v>
      </c>
      <c r="B780" s="613" t="s">
        <v>7020</v>
      </c>
      <c r="C780" s="483" t="s">
        <v>1589</v>
      </c>
      <c r="D780" s="414" t="s">
        <v>4884</v>
      </c>
      <c r="E780" s="407" t="s">
        <v>4884</v>
      </c>
      <c r="F780" s="483"/>
      <c r="G780" s="483"/>
      <c r="H780" s="483"/>
      <c r="I780" s="483"/>
      <c r="J780" s="483"/>
      <c r="K780" s="483"/>
      <c r="L780" s="608" t="s">
        <v>4884</v>
      </c>
      <c r="M780" s="409" t="s">
        <v>4884</v>
      </c>
      <c r="N780" s="409" t="s">
        <v>4884</v>
      </c>
      <c r="O780" s="410" t="s">
        <v>4884</v>
      </c>
      <c r="P780" s="406">
        <v>777</v>
      </c>
      <c r="Q780" s="460" t="s">
        <v>1589</v>
      </c>
      <c r="R780" s="460" t="s">
        <v>1590</v>
      </c>
      <c r="S780" s="460" t="s">
        <v>1528</v>
      </c>
      <c r="T780" s="475" t="s">
        <v>1591</v>
      </c>
      <c r="U780" s="471"/>
      <c r="V780" s="471"/>
      <c r="W780" s="489"/>
      <c r="X780" s="471"/>
      <c r="Y780" s="206"/>
      <c r="Z780" s="206"/>
    </row>
    <row r="781" spans="1:26">
      <c r="A781" s="406">
        <v>778</v>
      </c>
      <c r="B781" s="613" t="s">
        <v>7020</v>
      </c>
      <c r="C781" s="483" t="s">
        <v>1592</v>
      </c>
      <c r="D781" s="414" t="s">
        <v>4884</v>
      </c>
      <c r="E781" s="407" t="s">
        <v>4884</v>
      </c>
      <c r="F781" s="483"/>
      <c r="G781" s="483"/>
      <c r="H781" s="483"/>
      <c r="I781" s="483"/>
      <c r="J781" s="483"/>
      <c r="K781" s="483"/>
      <c r="L781" s="608" t="s">
        <v>4884</v>
      </c>
      <c r="M781" s="409" t="s">
        <v>4884</v>
      </c>
      <c r="N781" s="409" t="s">
        <v>4884</v>
      </c>
      <c r="O781" s="410" t="s">
        <v>4884</v>
      </c>
      <c r="P781" s="406">
        <v>778</v>
      </c>
      <c r="Q781" s="460" t="s">
        <v>1592</v>
      </c>
      <c r="R781" s="460" t="s">
        <v>1593</v>
      </c>
      <c r="S781" s="460" t="s">
        <v>1528</v>
      </c>
      <c r="T781" s="475" t="s">
        <v>1594</v>
      </c>
      <c r="U781" s="471"/>
      <c r="V781" s="471"/>
      <c r="W781" s="489"/>
      <c r="X781" s="471"/>
      <c r="Y781" s="206"/>
      <c r="Z781" s="206"/>
    </row>
    <row r="782" spans="1:26">
      <c r="A782" s="406">
        <v>779</v>
      </c>
      <c r="B782" s="613" t="s">
        <v>7020</v>
      </c>
      <c r="C782" s="483" t="s">
        <v>1595</v>
      </c>
      <c r="D782" s="414" t="s">
        <v>4884</v>
      </c>
      <c r="E782" s="407" t="s">
        <v>4884</v>
      </c>
      <c r="F782" s="483"/>
      <c r="G782" s="483"/>
      <c r="H782" s="483"/>
      <c r="I782" s="483"/>
      <c r="J782" s="483"/>
      <c r="K782" s="483"/>
      <c r="L782" s="608" t="s">
        <v>4884</v>
      </c>
      <c r="M782" s="409" t="s">
        <v>4884</v>
      </c>
      <c r="N782" s="409" t="s">
        <v>4884</v>
      </c>
      <c r="O782" s="410" t="s">
        <v>4884</v>
      </c>
      <c r="P782" s="406">
        <v>779</v>
      </c>
      <c r="Q782" s="460" t="s">
        <v>1595</v>
      </c>
      <c r="R782" s="460" t="s">
        <v>1596</v>
      </c>
      <c r="S782" s="460" t="s">
        <v>1528</v>
      </c>
      <c r="T782" s="490" t="s">
        <v>1597</v>
      </c>
      <c r="U782" s="471"/>
      <c r="V782" s="471"/>
      <c r="W782" s="489"/>
      <c r="X782" s="471"/>
      <c r="Y782" s="206"/>
      <c r="Z782" s="206"/>
    </row>
    <row r="783" spans="1:26">
      <c r="A783" s="406">
        <v>780</v>
      </c>
      <c r="B783" s="613" t="s">
        <v>5357</v>
      </c>
      <c r="C783" s="483" t="s">
        <v>1598</v>
      </c>
      <c r="D783" s="414" t="s">
        <v>4720</v>
      </c>
      <c r="E783" s="407" t="s">
        <v>9000</v>
      </c>
      <c r="F783" s="483" t="s">
        <v>5358</v>
      </c>
      <c r="G783" s="411"/>
      <c r="H783" s="411"/>
      <c r="J783" s="411"/>
      <c r="K783" s="411"/>
      <c r="L783" s="608"/>
      <c r="M783" s="409">
        <v>5741.7913385826769</v>
      </c>
      <c r="N783" s="409">
        <v>5741.7913385826769</v>
      </c>
      <c r="O783" s="410" t="s">
        <v>7567</v>
      </c>
      <c r="P783" s="406">
        <v>780</v>
      </c>
      <c r="Q783" s="460" t="s">
        <v>1598</v>
      </c>
      <c r="R783" s="460" t="s">
        <v>4895</v>
      </c>
      <c r="S783" s="460" t="s">
        <v>1528</v>
      </c>
      <c r="T783" s="482"/>
      <c r="U783" s="471"/>
      <c r="V783" s="471"/>
      <c r="W783" s="489"/>
      <c r="X783" s="471">
        <v>1</v>
      </c>
      <c r="Y783" s="206"/>
      <c r="Z783" s="206"/>
    </row>
    <row r="784" spans="1:26">
      <c r="A784" s="406">
        <v>781</v>
      </c>
      <c r="B784" s="613" t="s">
        <v>7020</v>
      </c>
      <c r="C784" s="483" t="s">
        <v>1599</v>
      </c>
      <c r="D784" s="414" t="s">
        <v>4884</v>
      </c>
      <c r="E784" s="407" t="s">
        <v>4884</v>
      </c>
      <c r="F784" s="483"/>
      <c r="G784" s="483"/>
      <c r="H784" s="483"/>
      <c r="I784" s="483"/>
      <c r="J784" s="483"/>
      <c r="K784" s="483"/>
      <c r="L784" s="608" t="s">
        <v>4884</v>
      </c>
      <c r="M784" s="409" t="s">
        <v>4884</v>
      </c>
      <c r="N784" s="409" t="s">
        <v>4884</v>
      </c>
      <c r="O784" s="410" t="s">
        <v>4884</v>
      </c>
      <c r="P784" s="406">
        <v>781</v>
      </c>
      <c r="Q784" s="460" t="s">
        <v>1599</v>
      </c>
      <c r="R784" s="460" t="s">
        <v>1600</v>
      </c>
      <c r="S784" s="460" t="s">
        <v>1528</v>
      </c>
      <c r="T784" s="484" t="s">
        <v>1535</v>
      </c>
      <c r="U784" s="471"/>
      <c r="V784" s="471"/>
      <c r="W784" s="489"/>
      <c r="X784" s="471"/>
      <c r="Y784" s="206"/>
      <c r="Z784" s="206"/>
    </row>
    <row r="785" spans="1:26">
      <c r="A785" s="406">
        <v>782</v>
      </c>
      <c r="B785" s="613" t="s">
        <v>7020</v>
      </c>
      <c r="C785" s="483" t="s">
        <v>1601</v>
      </c>
      <c r="D785" s="414" t="s">
        <v>4884</v>
      </c>
      <c r="E785" s="407" t="s">
        <v>4884</v>
      </c>
      <c r="F785" s="483"/>
      <c r="G785" s="483"/>
      <c r="H785" s="483"/>
      <c r="I785" s="483"/>
      <c r="J785" s="483"/>
      <c r="K785" s="483"/>
      <c r="L785" s="608" t="s">
        <v>4884</v>
      </c>
      <c r="M785" s="409" t="s">
        <v>4884</v>
      </c>
      <c r="N785" s="409" t="s">
        <v>4884</v>
      </c>
      <c r="O785" s="410" t="s">
        <v>4884</v>
      </c>
      <c r="P785" s="406">
        <v>782</v>
      </c>
      <c r="Q785" s="460" t="s">
        <v>1601</v>
      </c>
      <c r="R785" s="460" t="s">
        <v>1602</v>
      </c>
      <c r="S785" s="460" t="s">
        <v>1528</v>
      </c>
      <c r="T785" s="491" t="s">
        <v>1603</v>
      </c>
      <c r="U785" s="471"/>
      <c r="V785" s="471"/>
      <c r="W785" s="489"/>
      <c r="X785" s="471"/>
      <c r="Y785" s="206"/>
      <c r="Z785" s="206"/>
    </row>
    <row r="786" spans="1:26">
      <c r="A786" s="406">
        <v>783</v>
      </c>
      <c r="B786" s="613" t="s">
        <v>7020</v>
      </c>
      <c r="C786" s="483" t="s">
        <v>1604</v>
      </c>
      <c r="D786" s="414" t="s">
        <v>4884</v>
      </c>
      <c r="E786" s="407" t="s">
        <v>4884</v>
      </c>
      <c r="F786" s="483"/>
      <c r="G786" s="483"/>
      <c r="H786" s="483"/>
      <c r="I786" s="483"/>
      <c r="J786" s="483"/>
      <c r="K786" s="483"/>
      <c r="L786" s="608" t="s">
        <v>4884</v>
      </c>
      <c r="M786" s="409" t="s">
        <v>4884</v>
      </c>
      <c r="N786" s="409" t="s">
        <v>4884</v>
      </c>
      <c r="O786" s="410" t="s">
        <v>4884</v>
      </c>
      <c r="P786" s="406">
        <v>783</v>
      </c>
      <c r="Q786" s="460" t="s">
        <v>1604</v>
      </c>
      <c r="R786" s="460" t="s">
        <v>1602</v>
      </c>
      <c r="S786" s="460" t="s">
        <v>1528</v>
      </c>
      <c r="T786" s="491" t="s">
        <v>1603</v>
      </c>
      <c r="U786" s="471"/>
      <c r="V786" s="471"/>
      <c r="W786" s="489"/>
      <c r="X786" s="471"/>
      <c r="Y786" s="206"/>
      <c r="Z786" s="206"/>
    </row>
    <row r="787" spans="1:26">
      <c r="A787" s="406">
        <v>784</v>
      </c>
      <c r="B787" s="613" t="s">
        <v>7020</v>
      </c>
      <c r="C787" s="483" t="s">
        <v>1605</v>
      </c>
      <c r="D787" s="414" t="s">
        <v>4884</v>
      </c>
      <c r="E787" s="407" t="s">
        <v>4884</v>
      </c>
      <c r="F787" s="483"/>
      <c r="G787" s="483"/>
      <c r="H787" s="483"/>
      <c r="I787" s="483"/>
      <c r="J787" s="483"/>
      <c r="K787" s="483"/>
      <c r="L787" s="608" t="s">
        <v>4884</v>
      </c>
      <c r="M787" s="409" t="s">
        <v>4884</v>
      </c>
      <c r="N787" s="409" t="s">
        <v>4884</v>
      </c>
      <c r="O787" s="410" t="s">
        <v>4884</v>
      </c>
      <c r="P787" s="406">
        <v>784</v>
      </c>
      <c r="Q787" s="460" t="s">
        <v>1605</v>
      </c>
      <c r="R787" s="460" t="s">
        <v>1602</v>
      </c>
      <c r="S787" s="460" t="s">
        <v>1528</v>
      </c>
      <c r="T787" s="491" t="s">
        <v>1603</v>
      </c>
      <c r="U787" s="471"/>
      <c r="V787" s="471"/>
      <c r="W787" s="489"/>
      <c r="X787" s="471"/>
      <c r="Y787" s="206"/>
      <c r="Z787" s="206"/>
    </row>
    <row r="788" spans="1:26">
      <c r="A788" s="406">
        <v>785</v>
      </c>
      <c r="B788" s="613" t="s">
        <v>7020</v>
      </c>
      <c r="C788" s="483" t="s">
        <v>1606</v>
      </c>
      <c r="D788" s="414" t="s">
        <v>4884</v>
      </c>
      <c r="E788" s="407" t="s">
        <v>4884</v>
      </c>
      <c r="F788" s="483"/>
      <c r="G788" s="483"/>
      <c r="H788" s="483"/>
      <c r="I788" s="483"/>
      <c r="J788" s="483"/>
      <c r="K788" s="483"/>
      <c r="L788" s="608" t="s">
        <v>4884</v>
      </c>
      <c r="M788" s="409" t="s">
        <v>4884</v>
      </c>
      <c r="N788" s="409" t="s">
        <v>4884</v>
      </c>
      <c r="O788" s="410" t="s">
        <v>4884</v>
      </c>
      <c r="P788" s="406">
        <v>785</v>
      </c>
      <c r="Q788" s="460" t="s">
        <v>1606</v>
      </c>
      <c r="R788" s="460" t="s">
        <v>1602</v>
      </c>
      <c r="S788" s="460" t="s">
        <v>1528</v>
      </c>
      <c r="T788" s="491" t="s">
        <v>1603</v>
      </c>
      <c r="U788" s="471"/>
      <c r="V788" s="471"/>
      <c r="W788" s="489"/>
      <c r="X788" s="471"/>
      <c r="Y788" s="206"/>
      <c r="Z788" s="206"/>
    </row>
    <row r="789" spans="1:26">
      <c r="A789" s="406">
        <v>786</v>
      </c>
      <c r="B789" s="613" t="s">
        <v>7020</v>
      </c>
      <c r="C789" s="483" t="s">
        <v>1607</v>
      </c>
      <c r="D789" s="414" t="s">
        <v>4884</v>
      </c>
      <c r="E789" s="407" t="s">
        <v>4884</v>
      </c>
      <c r="F789" s="483"/>
      <c r="G789" s="483"/>
      <c r="H789" s="483"/>
      <c r="I789" s="483"/>
      <c r="J789" s="483"/>
      <c r="K789" s="483"/>
      <c r="L789" s="608" t="s">
        <v>4884</v>
      </c>
      <c r="M789" s="409" t="s">
        <v>4884</v>
      </c>
      <c r="N789" s="409" t="s">
        <v>4884</v>
      </c>
      <c r="O789" s="410" t="s">
        <v>4884</v>
      </c>
      <c r="P789" s="406">
        <v>786</v>
      </c>
      <c r="Q789" s="460" t="s">
        <v>1607</v>
      </c>
      <c r="R789" s="460" t="s">
        <v>1602</v>
      </c>
      <c r="S789" s="460" t="s">
        <v>1528</v>
      </c>
      <c r="T789" s="491" t="s">
        <v>1603</v>
      </c>
      <c r="U789" s="471"/>
      <c r="V789" s="471"/>
      <c r="W789" s="489"/>
      <c r="X789" s="471"/>
      <c r="Y789" s="206"/>
      <c r="Z789" s="206"/>
    </row>
    <row r="790" spans="1:26">
      <c r="A790" s="406">
        <v>787</v>
      </c>
      <c r="B790" s="613" t="s">
        <v>7020</v>
      </c>
      <c r="C790" s="483" t="s">
        <v>1608</v>
      </c>
      <c r="D790" s="414" t="s">
        <v>4884</v>
      </c>
      <c r="E790" s="407" t="s">
        <v>4884</v>
      </c>
      <c r="F790" s="483"/>
      <c r="G790" s="483"/>
      <c r="H790" s="483"/>
      <c r="I790" s="483"/>
      <c r="J790" s="483"/>
      <c r="K790" s="483"/>
      <c r="L790" s="608" t="s">
        <v>4884</v>
      </c>
      <c r="M790" s="409" t="s">
        <v>4884</v>
      </c>
      <c r="N790" s="409" t="s">
        <v>4884</v>
      </c>
      <c r="O790" s="410" t="s">
        <v>4884</v>
      </c>
      <c r="P790" s="406">
        <v>787</v>
      </c>
      <c r="Q790" s="460" t="s">
        <v>1608</v>
      </c>
      <c r="R790" s="460" t="s">
        <v>1602</v>
      </c>
      <c r="S790" s="460" t="s">
        <v>1528</v>
      </c>
      <c r="T790" s="491" t="s">
        <v>1603</v>
      </c>
      <c r="U790" s="471"/>
      <c r="V790" s="471"/>
      <c r="W790" s="489"/>
      <c r="X790" s="471"/>
      <c r="Y790" s="206"/>
      <c r="Z790" s="206"/>
    </row>
    <row r="791" spans="1:26">
      <c r="A791" s="406">
        <v>788</v>
      </c>
      <c r="B791" s="613" t="s">
        <v>7020</v>
      </c>
      <c r="C791" s="483" t="s">
        <v>1609</v>
      </c>
      <c r="D791" s="414" t="s">
        <v>4884</v>
      </c>
      <c r="E791" s="407" t="s">
        <v>4884</v>
      </c>
      <c r="F791" s="483"/>
      <c r="G791" s="483"/>
      <c r="H791" s="483"/>
      <c r="I791" s="483"/>
      <c r="J791" s="483"/>
      <c r="K791" s="483"/>
      <c r="L791" s="608" t="s">
        <v>4884</v>
      </c>
      <c r="M791" s="409" t="s">
        <v>4884</v>
      </c>
      <c r="N791" s="409" t="s">
        <v>4884</v>
      </c>
      <c r="O791" s="410" t="s">
        <v>4884</v>
      </c>
      <c r="P791" s="406">
        <v>788</v>
      </c>
      <c r="Q791" s="460" t="s">
        <v>1609</v>
      </c>
      <c r="R791" s="460" t="s">
        <v>1602</v>
      </c>
      <c r="S791" s="460" t="s">
        <v>1528</v>
      </c>
      <c r="T791" s="491" t="s">
        <v>1603</v>
      </c>
      <c r="U791" s="471"/>
      <c r="V791" s="471"/>
      <c r="W791" s="489"/>
      <c r="X791" s="471"/>
      <c r="Y791" s="206"/>
      <c r="Z791" s="206"/>
    </row>
    <row r="792" spans="1:26">
      <c r="A792" s="406">
        <v>789</v>
      </c>
      <c r="B792" s="613" t="s">
        <v>7020</v>
      </c>
      <c r="C792" s="483" t="s">
        <v>1610</v>
      </c>
      <c r="D792" s="414" t="s">
        <v>4884</v>
      </c>
      <c r="E792" s="407" t="s">
        <v>4884</v>
      </c>
      <c r="F792" s="483"/>
      <c r="G792" s="483"/>
      <c r="H792" s="483"/>
      <c r="I792" s="483"/>
      <c r="J792" s="483"/>
      <c r="K792" s="483"/>
      <c r="L792" s="608" t="s">
        <v>4884</v>
      </c>
      <c r="M792" s="409" t="s">
        <v>4884</v>
      </c>
      <c r="N792" s="409" t="s">
        <v>4884</v>
      </c>
      <c r="O792" s="410" t="s">
        <v>4884</v>
      </c>
      <c r="P792" s="406">
        <v>789</v>
      </c>
      <c r="Q792" s="460" t="s">
        <v>1610</v>
      </c>
      <c r="R792" s="460" t="s">
        <v>1602</v>
      </c>
      <c r="S792" s="460" t="s">
        <v>1528</v>
      </c>
      <c r="T792" s="491" t="s">
        <v>1603</v>
      </c>
      <c r="U792" s="471"/>
      <c r="V792" s="471"/>
      <c r="W792" s="489"/>
      <c r="X792" s="471"/>
      <c r="Y792" s="206"/>
      <c r="Z792" s="206"/>
    </row>
    <row r="793" spans="1:26">
      <c r="A793" s="406">
        <v>790</v>
      </c>
      <c r="B793" s="613" t="s">
        <v>7020</v>
      </c>
      <c r="C793" s="483" t="s">
        <v>1611</v>
      </c>
      <c r="D793" s="414" t="s">
        <v>4884</v>
      </c>
      <c r="E793" s="407" t="s">
        <v>4884</v>
      </c>
      <c r="F793" s="483"/>
      <c r="G793" s="483"/>
      <c r="H793" s="483"/>
      <c r="I793" s="483"/>
      <c r="J793" s="483"/>
      <c r="K793" s="483"/>
      <c r="L793" s="608" t="s">
        <v>4884</v>
      </c>
      <c r="M793" s="409" t="s">
        <v>4884</v>
      </c>
      <c r="N793" s="409" t="s">
        <v>4884</v>
      </c>
      <c r="O793" s="410" t="s">
        <v>4884</v>
      </c>
      <c r="P793" s="406">
        <v>790</v>
      </c>
      <c r="Q793" s="460" t="s">
        <v>1611</v>
      </c>
      <c r="R793" s="460" t="s">
        <v>1602</v>
      </c>
      <c r="S793" s="460" t="s">
        <v>1528</v>
      </c>
      <c r="T793" s="491" t="s">
        <v>1603</v>
      </c>
      <c r="U793" s="471"/>
      <c r="V793" s="471"/>
      <c r="W793" s="489"/>
      <c r="X793" s="471"/>
      <c r="Y793" s="206"/>
      <c r="Z793" s="206"/>
    </row>
    <row r="794" spans="1:26">
      <c r="A794" s="406">
        <v>791</v>
      </c>
      <c r="B794" s="613" t="s">
        <v>7020</v>
      </c>
      <c r="C794" s="483" t="s">
        <v>1612</v>
      </c>
      <c r="D794" s="414" t="s">
        <v>4884</v>
      </c>
      <c r="E794" s="407" t="s">
        <v>4884</v>
      </c>
      <c r="F794" s="483"/>
      <c r="G794" s="483"/>
      <c r="H794" s="483"/>
      <c r="I794" s="483"/>
      <c r="J794" s="483"/>
      <c r="K794" s="483"/>
      <c r="L794" s="608" t="s">
        <v>4884</v>
      </c>
      <c r="M794" s="409" t="s">
        <v>4884</v>
      </c>
      <c r="N794" s="409" t="s">
        <v>4884</v>
      </c>
      <c r="O794" s="410" t="s">
        <v>4884</v>
      </c>
      <c r="P794" s="406">
        <v>791</v>
      </c>
      <c r="Q794" s="460" t="s">
        <v>1612</v>
      </c>
      <c r="R794" s="460" t="s">
        <v>1613</v>
      </c>
      <c r="S794" s="460" t="s">
        <v>1528</v>
      </c>
      <c r="T794" s="484" t="s">
        <v>1535</v>
      </c>
      <c r="U794" s="471"/>
      <c r="V794" s="471"/>
      <c r="W794" s="489"/>
      <c r="X794" s="471"/>
      <c r="Y794" s="206"/>
      <c r="Z794" s="206"/>
    </row>
    <row r="795" spans="1:26">
      <c r="A795" s="406">
        <v>792</v>
      </c>
      <c r="B795" s="613" t="s">
        <v>7020</v>
      </c>
      <c r="C795" s="483" t="s">
        <v>1614</v>
      </c>
      <c r="D795" s="414" t="s">
        <v>4884</v>
      </c>
      <c r="E795" s="407" t="s">
        <v>4884</v>
      </c>
      <c r="F795" s="483"/>
      <c r="G795" s="483"/>
      <c r="H795" s="483"/>
      <c r="I795" s="483"/>
      <c r="J795" s="483"/>
      <c r="K795" s="483"/>
      <c r="L795" s="608" t="s">
        <v>4884</v>
      </c>
      <c r="M795" s="409" t="s">
        <v>4884</v>
      </c>
      <c r="N795" s="409" t="s">
        <v>4884</v>
      </c>
      <c r="O795" s="410" t="s">
        <v>4884</v>
      </c>
      <c r="P795" s="406">
        <v>792</v>
      </c>
      <c r="Q795" s="460" t="s">
        <v>1614</v>
      </c>
      <c r="R795" s="460" t="s">
        <v>1613</v>
      </c>
      <c r="S795" s="460" t="s">
        <v>1528</v>
      </c>
      <c r="T795" s="484" t="s">
        <v>1535</v>
      </c>
      <c r="U795" s="471"/>
      <c r="V795" s="471"/>
      <c r="W795" s="489"/>
      <c r="X795" s="471"/>
      <c r="Y795" s="206"/>
      <c r="Z795" s="206"/>
    </row>
    <row r="796" spans="1:26">
      <c r="A796" s="406">
        <v>793</v>
      </c>
      <c r="B796" s="613" t="s">
        <v>7020</v>
      </c>
      <c r="C796" s="483" t="s">
        <v>1615</v>
      </c>
      <c r="D796" s="414" t="s">
        <v>4884</v>
      </c>
      <c r="E796" s="407" t="s">
        <v>4884</v>
      </c>
      <c r="F796" s="483"/>
      <c r="G796" s="483"/>
      <c r="H796" s="483"/>
      <c r="I796" s="483"/>
      <c r="J796" s="483"/>
      <c r="K796" s="483"/>
      <c r="L796" s="608" t="s">
        <v>4884</v>
      </c>
      <c r="M796" s="409" t="s">
        <v>4884</v>
      </c>
      <c r="N796" s="409" t="s">
        <v>4884</v>
      </c>
      <c r="O796" s="410" t="s">
        <v>4884</v>
      </c>
      <c r="P796" s="406">
        <v>793</v>
      </c>
      <c r="Q796" s="460" t="s">
        <v>1615</v>
      </c>
      <c r="R796" s="460" t="s">
        <v>1616</v>
      </c>
      <c r="S796" s="460" t="s">
        <v>1528</v>
      </c>
      <c r="T796" s="492" t="s">
        <v>1617</v>
      </c>
      <c r="U796" s="471"/>
      <c r="V796" s="471"/>
      <c r="W796" s="489"/>
      <c r="X796" s="471"/>
      <c r="Y796" s="206"/>
      <c r="Z796" s="206"/>
    </row>
    <row r="797" spans="1:26">
      <c r="A797" s="406">
        <v>794</v>
      </c>
      <c r="B797" s="613" t="s">
        <v>7020</v>
      </c>
      <c r="C797" s="483" t="s">
        <v>1618</v>
      </c>
      <c r="D797" s="414" t="s">
        <v>4884</v>
      </c>
      <c r="E797" s="407" t="s">
        <v>4884</v>
      </c>
      <c r="F797" s="483"/>
      <c r="G797" s="483"/>
      <c r="H797" s="483"/>
      <c r="I797" s="483"/>
      <c r="J797" s="483"/>
      <c r="K797" s="483"/>
      <c r="L797" s="608" t="s">
        <v>4884</v>
      </c>
      <c r="M797" s="409" t="s">
        <v>4884</v>
      </c>
      <c r="N797" s="409" t="s">
        <v>4884</v>
      </c>
      <c r="O797" s="410" t="s">
        <v>4884</v>
      </c>
      <c r="P797" s="406">
        <v>794</v>
      </c>
      <c r="Q797" s="460" t="s">
        <v>1618</v>
      </c>
      <c r="R797" s="460" t="s">
        <v>1616</v>
      </c>
      <c r="S797" s="460" t="s">
        <v>1528</v>
      </c>
      <c r="T797" s="492" t="s">
        <v>1617</v>
      </c>
      <c r="U797" s="471"/>
      <c r="V797" s="471"/>
      <c r="W797" s="489"/>
      <c r="X797" s="471"/>
      <c r="Y797" s="206"/>
      <c r="Z797" s="206"/>
    </row>
    <row r="798" spans="1:26">
      <c r="A798" s="406">
        <v>795</v>
      </c>
      <c r="B798" s="613" t="s">
        <v>7020</v>
      </c>
      <c r="C798" s="483" t="s">
        <v>1619</v>
      </c>
      <c r="D798" s="414" t="s">
        <v>4884</v>
      </c>
      <c r="E798" s="407" t="s">
        <v>4884</v>
      </c>
      <c r="F798" s="483"/>
      <c r="G798" s="483"/>
      <c r="H798" s="483"/>
      <c r="I798" s="483"/>
      <c r="J798" s="483"/>
      <c r="K798" s="483"/>
      <c r="L798" s="608" t="s">
        <v>4884</v>
      </c>
      <c r="M798" s="409" t="s">
        <v>4884</v>
      </c>
      <c r="N798" s="409" t="s">
        <v>4884</v>
      </c>
      <c r="O798" s="410" t="s">
        <v>4884</v>
      </c>
      <c r="P798" s="406">
        <v>795</v>
      </c>
      <c r="Q798" s="460" t="s">
        <v>1619</v>
      </c>
      <c r="R798" s="460" t="s">
        <v>1616</v>
      </c>
      <c r="S798" s="460" t="s">
        <v>1528</v>
      </c>
      <c r="T798" s="492" t="s">
        <v>1617</v>
      </c>
      <c r="U798" s="471"/>
      <c r="V798" s="471"/>
      <c r="W798" s="489"/>
      <c r="X798" s="471"/>
      <c r="Y798" s="206"/>
      <c r="Z798" s="206"/>
    </row>
    <row r="799" spans="1:26">
      <c r="A799" s="406">
        <v>796</v>
      </c>
      <c r="B799" s="613" t="s">
        <v>7020</v>
      </c>
      <c r="C799" s="483" t="s">
        <v>1620</v>
      </c>
      <c r="D799" s="414" t="s">
        <v>4884</v>
      </c>
      <c r="E799" s="407" t="s">
        <v>4884</v>
      </c>
      <c r="F799" s="483"/>
      <c r="G799" s="483"/>
      <c r="H799" s="483"/>
      <c r="I799" s="483"/>
      <c r="J799" s="483"/>
      <c r="K799" s="483"/>
      <c r="L799" s="608" t="s">
        <v>4884</v>
      </c>
      <c r="M799" s="409" t="s">
        <v>4884</v>
      </c>
      <c r="N799" s="409" t="s">
        <v>4884</v>
      </c>
      <c r="O799" s="410" t="s">
        <v>4884</v>
      </c>
      <c r="P799" s="406">
        <v>796</v>
      </c>
      <c r="Q799" s="460" t="s">
        <v>1620</v>
      </c>
      <c r="R799" s="460" t="s">
        <v>1621</v>
      </c>
      <c r="S799" s="460" t="s">
        <v>1528</v>
      </c>
      <c r="T799" s="492" t="s">
        <v>1622</v>
      </c>
      <c r="U799" s="471"/>
      <c r="V799" s="471"/>
      <c r="W799" s="489"/>
      <c r="X799" s="471"/>
      <c r="Y799" s="206"/>
      <c r="Z799" s="206"/>
    </row>
    <row r="800" spans="1:26">
      <c r="A800" s="406">
        <v>797</v>
      </c>
      <c r="B800" s="613" t="s">
        <v>7020</v>
      </c>
      <c r="C800" s="483" t="s">
        <v>1623</v>
      </c>
      <c r="D800" s="414" t="s">
        <v>4884</v>
      </c>
      <c r="E800" s="407" t="s">
        <v>4884</v>
      </c>
      <c r="F800" s="483"/>
      <c r="G800" s="483"/>
      <c r="H800" s="483"/>
      <c r="I800" s="483"/>
      <c r="J800" s="483"/>
      <c r="K800" s="483"/>
      <c r="L800" s="608" t="s">
        <v>4884</v>
      </c>
      <c r="M800" s="409" t="s">
        <v>4884</v>
      </c>
      <c r="N800" s="409" t="s">
        <v>4884</v>
      </c>
      <c r="O800" s="410" t="s">
        <v>4884</v>
      </c>
      <c r="P800" s="406">
        <v>797</v>
      </c>
      <c r="Q800" s="460" t="s">
        <v>1623</v>
      </c>
      <c r="R800" s="460" t="s">
        <v>1624</v>
      </c>
      <c r="S800" s="460" t="s">
        <v>1528</v>
      </c>
      <c r="T800" s="493" t="s">
        <v>1625</v>
      </c>
      <c r="U800" s="471"/>
      <c r="V800" s="471"/>
      <c r="W800" s="489"/>
      <c r="X800" s="471"/>
      <c r="Y800" s="206"/>
      <c r="Z800" s="206"/>
    </row>
    <row r="801" spans="1:26">
      <c r="A801" s="406">
        <v>798</v>
      </c>
      <c r="B801" s="613" t="s">
        <v>7020</v>
      </c>
      <c r="C801" s="483" t="s">
        <v>1626</v>
      </c>
      <c r="D801" s="414" t="s">
        <v>4884</v>
      </c>
      <c r="E801" s="407" t="s">
        <v>4884</v>
      </c>
      <c r="F801" s="483"/>
      <c r="G801" s="483"/>
      <c r="H801" s="483"/>
      <c r="I801" s="483"/>
      <c r="J801" s="483"/>
      <c r="K801" s="483"/>
      <c r="L801" s="608" t="s">
        <v>4884</v>
      </c>
      <c r="M801" s="409" t="s">
        <v>4884</v>
      </c>
      <c r="N801" s="409" t="s">
        <v>4884</v>
      </c>
      <c r="O801" s="410" t="s">
        <v>4884</v>
      </c>
      <c r="P801" s="406">
        <v>798</v>
      </c>
      <c r="Q801" s="460" t="s">
        <v>1626</v>
      </c>
      <c r="R801" s="460" t="s">
        <v>1624</v>
      </c>
      <c r="S801" s="460" t="s">
        <v>1528</v>
      </c>
      <c r="T801" s="493" t="s">
        <v>1625</v>
      </c>
      <c r="U801" s="471"/>
      <c r="V801" s="471"/>
      <c r="W801" s="489"/>
      <c r="X801" s="471"/>
      <c r="Y801" s="206"/>
      <c r="Z801" s="206"/>
    </row>
    <row r="802" spans="1:26">
      <c r="A802" s="406">
        <v>799</v>
      </c>
      <c r="B802" s="613" t="s">
        <v>7020</v>
      </c>
      <c r="C802" s="483" t="s">
        <v>1627</v>
      </c>
      <c r="D802" s="414" t="s">
        <v>4884</v>
      </c>
      <c r="E802" s="407" t="s">
        <v>4884</v>
      </c>
      <c r="F802" s="483"/>
      <c r="G802" s="483"/>
      <c r="H802" s="483"/>
      <c r="I802" s="483"/>
      <c r="J802" s="483"/>
      <c r="K802" s="483"/>
      <c r="L802" s="608" t="s">
        <v>4884</v>
      </c>
      <c r="M802" s="409" t="s">
        <v>4884</v>
      </c>
      <c r="N802" s="409" t="s">
        <v>4884</v>
      </c>
      <c r="O802" s="410" t="s">
        <v>4884</v>
      </c>
      <c r="P802" s="406">
        <v>799</v>
      </c>
      <c r="Q802" s="460" t="s">
        <v>1627</v>
      </c>
      <c r="R802" s="460" t="s">
        <v>1628</v>
      </c>
      <c r="S802" s="460" t="s">
        <v>1528</v>
      </c>
      <c r="T802" s="493" t="s">
        <v>1629</v>
      </c>
      <c r="U802" s="471"/>
      <c r="V802" s="471"/>
      <c r="W802" s="489"/>
      <c r="X802" s="471"/>
      <c r="Y802" s="206"/>
      <c r="Z802" s="206"/>
    </row>
    <row r="803" spans="1:26">
      <c r="A803" s="406">
        <v>800</v>
      </c>
      <c r="B803" s="613" t="s">
        <v>7020</v>
      </c>
      <c r="C803" s="483" t="s">
        <v>1630</v>
      </c>
      <c r="D803" s="414" t="s">
        <v>4884</v>
      </c>
      <c r="E803" s="407" t="s">
        <v>4884</v>
      </c>
      <c r="F803" s="483"/>
      <c r="G803" s="483"/>
      <c r="H803" s="483"/>
      <c r="I803" s="483"/>
      <c r="J803" s="483"/>
      <c r="K803" s="483"/>
      <c r="L803" s="608" t="s">
        <v>4884</v>
      </c>
      <c r="M803" s="409" t="s">
        <v>4884</v>
      </c>
      <c r="N803" s="409" t="s">
        <v>4884</v>
      </c>
      <c r="O803" s="410" t="s">
        <v>4884</v>
      </c>
      <c r="P803" s="406">
        <v>800</v>
      </c>
      <c r="Q803" s="460" t="s">
        <v>1630</v>
      </c>
      <c r="R803" s="460" t="s">
        <v>1631</v>
      </c>
      <c r="S803" s="460" t="s">
        <v>1528</v>
      </c>
      <c r="T803" s="484" t="s">
        <v>1535</v>
      </c>
      <c r="U803" s="471"/>
      <c r="V803" s="471"/>
      <c r="W803" s="489"/>
      <c r="X803" s="471"/>
      <c r="Y803" s="206"/>
      <c r="Z803" s="206"/>
    </row>
    <row r="804" spans="1:26">
      <c r="A804" s="406">
        <v>801</v>
      </c>
      <c r="B804" s="613" t="s">
        <v>7020</v>
      </c>
      <c r="C804" s="483" t="s">
        <v>1632</v>
      </c>
      <c r="D804" s="414" t="s">
        <v>4884</v>
      </c>
      <c r="E804" s="407" t="s">
        <v>4884</v>
      </c>
      <c r="F804" s="483"/>
      <c r="G804" s="483"/>
      <c r="H804" s="483"/>
      <c r="I804" s="483"/>
      <c r="J804" s="483"/>
      <c r="K804" s="483"/>
      <c r="L804" s="608" t="s">
        <v>4884</v>
      </c>
      <c r="M804" s="409" t="s">
        <v>4884</v>
      </c>
      <c r="N804" s="409" t="s">
        <v>4884</v>
      </c>
      <c r="O804" s="410" t="s">
        <v>4884</v>
      </c>
      <c r="P804" s="406">
        <v>801</v>
      </c>
      <c r="Q804" s="460" t="s">
        <v>1632</v>
      </c>
      <c r="R804" s="460" t="s">
        <v>1633</v>
      </c>
      <c r="S804" s="460" t="s">
        <v>1528</v>
      </c>
      <c r="T804" s="484" t="s">
        <v>1535</v>
      </c>
      <c r="U804" s="471"/>
      <c r="V804" s="471"/>
      <c r="W804" s="489"/>
      <c r="X804" s="471"/>
      <c r="Y804" s="206"/>
      <c r="Z804" s="206"/>
    </row>
    <row r="805" spans="1:26">
      <c r="A805" s="406">
        <v>802</v>
      </c>
      <c r="B805" s="613" t="s">
        <v>7020</v>
      </c>
      <c r="C805" s="483" t="s">
        <v>1634</v>
      </c>
      <c r="D805" s="414" t="s">
        <v>4884</v>
      </c>
      <c r="E805" s="407" t="s">
        <v>4884</v>
      </c>
      <c r="F805" s="483"/>
      <c r="G805" s="483"/>
      <c r="H805" s="483"/>
      <c r="I805" s="483"/>
      <c r="J805" s="483"/>
      <c r="K805" s="483"/>
      <c r="L805" s="608" t="s">
        <v>4884</v>
      </c>
      <c r="M805" s="409" t="s">
        <v>4884</v>
      </c>
      <c r="N805" s="409" t="s">
        <v>4884</v>
      </c>
      <c r="O805" s="410" t="s">
        <v>4884</v>
      </c>
      <c r="P805" s="406">
        <v>802</v>
      </c>
      <c r="Q805" s="460" t="s">
        <v>1634</v>
      </c>
      <c r="R805" s="460" t="s">
        <v>1635</v>
      </c>
      <c r="S805" s="460" t="s">
        <v>1528</v>
      </c>
      <c r="T805" s="484" t="s">
        <v>1535</v>
      </c>
      <c r="U805" s="471"/>
      <c r="V805" s="471"/>
      <c r="W805" s="489"/>
      <c r="X805" s="471"/>
      <c r="Y805" s="206"/>
      <c r="Z805" s="206"/>
    </row>
    <row r="806" spans="1:26" ht="15" thickBot="1">
      <c r="A806" s="406">
        <v>803</v>
      </c>
      <c r="B806" s="613" t="s">
        <v>7020</v>
      </c>
      <c r="C806" s="483" t="s">
        <v>1636</v>
      </c>
      <c r="D806" s="414" t="s">
        <v>4884</v>
      </c>
      <c r="E806" s="407" t="s">
        <v>4884</v>
      </c>
      <c r="F806" s="483"/>
      <c r="G806" s="483"/>
      <c r="H806" s="483"/>
      <c r="I806" s="483"/>
      <c r="J806" s="483"/>
      <c r="K806" s="483"/>
      <c r="L806" s="608" t="s">
        <v>4884</v>
      </c>
      <c r="M806" s="409" t="s">
        <v>4884</v>
      </c>
      <c r="N806" s="409" t="s">
        <v>4884</v>
      </c>
      <c r="O806" s="410" t="s">
        <v>4884</v>
      </c>
      <c r="P806" s="406">
        <v>803</v>
      </c>
      <c r="Q806" s="460" t="s">
        <v>1636</v>
      </c>
      <c r="R806" s="460" t="s">
        <v>1637</v>
      </c>
      <c r="S806" s="460" t="s">
        <v>1528</v>
      </c>
      <c r="T806" s="484" t="s">
        <v>1535</v>
      </c>
      <c r="U806" s="471"/>
      <c r="V806" s="471"/>
      <c r="W806" s="489"/>
      <c r="X806" s="471"/>
      <c r="Y806" s="206"/>
      <c r="Z806" s="206"/>
    </row>
    <row r="807" spans="1:26" ht="15" thickBot="1">
      <c r="A807" s="406">
        <v>804</v>
      </c>
      <c r="B807" s="613" t="s">
        <v>7020</v>
      </c>
      <c r="C807" s="483" t="s">
        <v>1638</v>
      </c>
      <c r="D807" s="414" t="s">
        <v>4884</v>
      </c>
      <c r="E807" s="407" t="s">
        <v>4884</v>
      </c>
      <c r="F807" s="483"/>
      <c r="G807" s="483"/>
      <c r="H807" s="483"/>
      <c r="I807" s="483"/>
      <c r="J807" s="483"/>
      <c r="K807" s="483"/>
      <c r="L807" s="608" t="s">
        <v>4884</v>
      </c>
      <c r="M807" s="409" t="s">
        <v>4884</v>
      </c>
      <c r="N807" s="409" t="s">
        <v>4884</v>
      </c>
      <c r="O807" s="410" t="s">
        <v>4884</v>
      </c>
      <c r="P807" s="406">
        <v>804</v>
      </c>
      <c r="Q807" s="535" t="s">
        <v>1638</v>
      </c>
      <c r="R807" s="535" t="s">
        <v>1639</v>
      </c>
      <c r="S807" s="535" t="s">
        <v>1528</v>
      </c>
      <c r="T807" s="536" t="s">
        <v>1640</v>
      </c>
      <c r="U807" s="471"/>
      <c r="V807" s="471"/>
      <c r="W807" s="489"/>
      <c r="X807" s="471"/>
      <c r="Y807" s="206"/>
      <c r="Z807" s="206"/>
    </row>
    <row r="808" spans="1:26">
      <c r="A808" s="406">
        <v>805</v>
      </c>
      <c r="B808" s="613" t="s">
        <v>7020</v>
      </c>
      <c r="C808" s="483" t="s">
        <v>1641</v>
      </c>
      <c r="D808" s="414" t="s">
        <v>4884</v>
      </c>
      <c r="E808" s="407" t="s">
        <v>4884</v>
      </c>
      <c r="F808" s="483"/>
      <c r="G808" s="483"/>
      <c r="H808" s="483"/>
      <c r="I808" s="483"/>
      <c r="J808" s="483"/>
      <c r="K808" s="483"/>
      <c r="L808" s="608" t="s">
        <v>4884</v>
      </c>
      <c r="M808" s="409" t="s">
        <v>4884</v>
      </c>
      <c r="N808" s="409" t="s">
        <v>4884</v>
      </c>
      <c r="O808" s="410" t="s">
        <v>4884</v>
      </c>
      <c r="P808" s="406">
        <v>805</v>
      </c>
      <c r="Q808" s="460" t="s">
        <v>1641</v>
      </c>
      <c r="R808" s="460" t="s">
        <v>1642</v>
      </c>
      <c r="S808" s="460" t="s">
        <v>1528</v>
      </c>
      <c r="T808" s="494" t="s">
        <v>1643</v>
      </c>
      <c r="U808" s="471"/>
      <c r="V808" s="471"/>
      <c r="W808" s="489"/>
      <c r="X808" s="471"/>
      <c r="Y808" s="206"/>
      <c r="Z808" s="206"/>
    </row>
    <row r="809" spans="1:26">
      <c r="A809" s="406">
        <v>806</v>
      </c>
      <c r="B809" s="613" t="s">
        <v>7020</v>
      </c>
      <c r="C809" s="483" t="s">
        <v>1644</v>
      </c>
      <c r="D809" s="414" t="s">
        <v>4884</v>
      </c>
      <c r="E809" s="407" t="s">
        <v>4884</v>
      </c>
      <c r="F809" s="483"/>
      <c r="G809" s="483"/>
      <c r="H809" s="483"/>
      <c r="I809" s="483"/>
      <c r="J809" s="483"/>
      <c r="K809" s="483"/>
      <c r="L809" s="608" t="s">
        <v>4884</v>
      </c>
      <c r="M809" s="409" t="s">
        <v>4884</v>
      </c>
      <c r="N809" s="409" t="s">
        <v>4884</v>
      </c>
      <c r="O809" s="410" t="s">
        <v>4884</v>
      </c>
      <c r="P809" s="406">
        <v>806</v>
      </c>
      <c r="Q809" s="460" t="s">
        <v>1644</v>
      </c>
      <c r="R809" s="460" t="s">
        <v>1645</v>
      </c>
      <c r="S809" s="460" t="s">
        <v>1528</v>
      </c>
      <c r="T809" s="495" t="s">
        <v>1646</v>
      </c>
      <c r="U809" s="471"/>
      <c r="V809" s="471"/>
      <c r="W809" s="489"/>
      <c r="X809" s="471"/>
      <c r="Y809" s="206"/>
      <c r="Z809" s="206"/>
    </row>
    <row r="810" spans="1:26">
      <c r="A810" s="406">
        <v>807</v>
      </c>
      <c r="B810" s="613" t="s">
        <v>7020</v>
      </c>
      <c r="C810" s="483" t="s">
        <v>1647</v>
      </c>
      <c r="D810" s="414" t="s">
        <v>4884</v>
      </c>
      <c r="E810" s="407" t="s">
        <v>4884</v>
      </c>
      <c r="F810" s="483"/>
      <c r="G810" s="483"/>
      <c r="H810" s="483"/>
      <c r="I810" s="483"/>
      <c r="J810" s="483"/>
      <c r="K810" s="483"/>
      <c r="L810" s="608" t="s">
        <v>4884</v>
      </c>
      <c r="M810" s="409" t="s">
        <v>4884</v>
      </c>
      <c r="N810" s="409" t="s">
        <v>4884</v>
      </c>
      <c r="O810" s="410" t="s">
        <v>4884</v>
      </c>
      <c r="P810" s="406">
        <v>807</v>
      </c>
      <c r="Q810" s="460" t="s">
        <v>1647</v>
      </c>
      <c r="R810" s="460" t="s">
        <v>1645</v>
      </c>
      <c r="S810" s="460" t="s">
        <v>1528</v>
      </c>
      <c r="T810" s="495" t="s">
        <v>1646</v>
      </c>
      <c r="U810" s="471"/>
      <c r="V810" s="471"/>
      <c r="W810" s="489"/>
      <c r="X810" s="471"/>
      <c r="Y810" s="206"/>
      <c r="Z810" s="206"/>
    </row>
    <row r="811" spans="1:26">
      <c r="A811" s="406">
        <v>808</v>
      </c>
      <c r="B811" s="613" t="s">
        <v>7020</v>
      </c>
      <c r="C811" s="483" t="s">
        <v>1648</v>
      </c>
      <c r="D811" s="414" t="s">
        <v>4884</v>
      </c>
      <c r="E811" s="407" t="s">
        <v>4884</v>
      </c>
      <c r="F811" s="483"/>
      <c r="G811" s="483"/>
      <c r="H811" s="483"/>
      <c r="I811" s="483"/>
      <c r="J811" s="483"/>
      <c r="K811" s="483"/>
      <c r="L811" s="608" t="s">
        <v>4884</v>
      </c>
      <c r="M811" s="409" t="s">
        <v>4884</v>
      </c>
      <c r="N811" s="409" t="s">
        <v>4884</v>
      </c>
      <c r="O811" s="410" t="s">
        <v>4884</v>
      </c>
      <c r="P811" s="406">
        <v>808</v>
      </c>
      <c r="Q811" s="460" t="s">
        <v>1648</v>
      </c>
      <c r="R811" s="460" t="s">
        <v>1645</v>
      </c>
      <c r="S811" s="460" t="s">
        <v>1528</v>
      </c>
      <c r="T811" s="495" t="s">
        <v>1646</v>
      </c>
      <c r="U811" s="471"/>
      <c r="V811" s="471"/>
      <c r="W811" s="489"/>
      <c r="X811" s="471"/>
      <c r="Y811" s="206"/>
      <c r="Z811" s="206"/>
    </row>
    <row r="812" spans="1:26">
      <c r="A812" s="406">
        <v>809</v>
      </c>
      <c r="B812" s="613" t="s">
        <v>7020</v>
      </c>
      <c r="C812" s="483" t="s">
        <v>1649</v>
      </c>
      <c r="D812" s="414" t="s">
        <v>4884</v>
      </c>
      <c r="E812" s="407" t="s">
        <v>4884</v>
      </c>
      <c r="F812" s="483"/>
      <c r="G812" s="483"/>
      <c r="H812" s="483"/>
      <c r="I812" s="483"/>
      <c r="J812" s="483"/>
      <c r="K812" s="483"/>
      <c r="L812" s="608" t="s">
        <v>4884</v>
      </c>
      <c r="M812" s="409" t="s">
        <v>4884</v>
      </c>
      <c r="N812" s="409" t="s">
        <v>4884</v>
      </c>
      <c r="O812" s="410" t="s">
        <v>4884</v>
      </c>
      <c r="P812" s="406">
        <v>809</v>
      </c>
      <c r="Q812" s="460" t="s">
        <v>1649</v>
      </c>
      <c r="R812" s="460" t="s">
        <v>1645</v>
      </c>
      <c r="S812" s="460" t="s">
        <v>1528</v>
      </c>
      <c r="T812" s="495" t="s">
        <v>1646</v>
      </c>
      <c r="U812" s="471"/>
      <c r="V812" s="471"/>
      <c r="W812" s="489"/>
      <c r="X812" s="471"/>
      <c r="Y812" s="206"/>
      <c r="Z812" s="206"/>
    </row>
    <row r="813" spans="1:26">
      <c r="A813" s="406">
        <v>810</v>
      </c>
      <c r="B813" s="613" t="s">
        <v>7020</v>
      </c>
      <c r="C813" s="483" t="s">
        <v>1650</v>
      </c>
      <c r="D813" s="414" t="s">
        <v>4884</v>
      </c>
      <c r="E813" s="407" t="s">
        <v>4884</v>
      </c>
      <c r="F813" s="483"/>
      <c r="G813" s="483"/>
      <c r="H813" s="483"/>
      <c r="I813" s="483"/>
      <c r="J813" s="483"/>
      <c r="K813" s="483"/>
      <c r="L813" s="608" t="s">
        <v>4884</v>
      </c>
      <c r="M813" s="409" t="s">
        <v>4884</v>
      </c>
      <c r="N813" s="409" t="s">
        <v>4884</v>
      </c>
      <c r="O813" s="410" t="s">
        <v>4884</v>
      </c>
      <c r="P813" s="406">
        <v>810</v>
      </c>
      <c r="Q813" s="460" t="s">
        <v>1650</v>
      </c>
      <c r="R813" s="460" t="s">
        <v>1645</v>
      </c>
      <c r="S813" s="460" t="s">
        <v>1528</v>
      </c>
      <c r="T813" s="495" t="s">
        <v>1646</v>
      </c>
      <c r="U813" s="471"/>
      <c r="V813" s="471"/>
      <c r="W813" s="489"/>
      <c r="X813" s="471"/>
      <c r="Y813" s="206"/>
      <c r="Z813" s="206"/>
    </row>
    <row r="814" spans="1:26">
      <c r="A814" s="406">
        <v>811</v>
      </c>
      <c r="B814" s="613" t="s">
        <v>7020</v>
      </c>
      <c r="C814" s="483" t="s">
        <v>1651</v>
      </c>
      <c r="D814" s="414" t="s">
        <v>4884</v>
      </c>
      <c r="E814" s="407" t="s">
        <v>4884</v>
      </c>
      <c r="F814" s="483"/>
      <c r="G814" s="483"/>
      <c r="H814" s="483"/>
      <c r="I814" s="483"/>
      <c r="J814" s="483"/>
      <c r="K814" s="483"/>
      <c r="L814" s="608" t="s">
        <v>4884</v>
      </c>
      <c r="M814" s="409" t="s">
        <v>4884</v>
      </c>
      <c r="N814" s="409" t="s">
        <v>4884</v>
      </c>
      <c r="O814" s="410" t="s">
        <v>4884</v>
      </c>
      <c r="P814" s="406">
        <v>811</v>
      </c>
      <c r="Q814" s="460" t="s">
        <v>1651</v>
      </c>
      <c r="R814" s="460" t="s">
        <v>1645</v>
      </c>
      <c r="S814" s="460" t="s">
        <v>1528</v>
      </c>
      <c r="T814" s="495" t="s">
        <v>1646</v>
      </c>
      <c r="U814" s="471"/>
      <c r="V814" s="471"/>
      <c r="W814" s="489"/>
      <c r="X814" s="471"/>
      <c r="Y814" s="206"/>
      <c r="Z814" s="206"/>
    </row>
    <row r="815" spans="1:26">
      <c r="A815" s="406">
        <v>812</v>
      </c>
      <c r="B815" s="613" t="s">
        <v>7020</v>
      </c>
      <c r="C815" s="483" t="s">
        <v>1652</v>
      </c>
      <c r="D815" s="414" t="s">
        <v>4884</v>
      </c>
      <c r="E815" s="407" t="s">
        <v>4884</v>
      </c>
      <c r="F815" s="483"/>
      <c r="G815" s="483"/>
      <c r="H815" s="483"/>
      <c r="I815" s="483"/>
      <c r="J815" s="483"/>
      <c r="K815" s="483"/>
      <c r="L815" s="608" t="s">
        <v>4884</v>
      </c>
      <c r="M815" s="409" t="s">
        <v>4884</v>
      </c>
      <c r="N815" s="409" t="s">
        <v>4884</v>
      </c>
      <c r="O815" s="410" t="s">
        <v>4884</v>
      </c>
      <c r="P815" s="406">
        <v>812</v>
      </c>
      <c r="Q815" s="460" t="s">
        <v>1652</v>
      </c>
      <c r="R815" s="460" t="s">
        <v>1645</v>
      </c>
      <c r="S815" s="460" t="s">
        <v>1528</v>
      </c>
      <c r="T815" s="495" t="s">
        <v>1646</v>
      </c>
      <c r="U815" s="471"/>
      <c r="V815" s="471"/>
      <c r="W815" s="489"/>
      <c r="X815" s="471"/>
      <c r="Y815" s="206"/>
      <c r="Z815" s="206"/>
    </row>
    <row r="816" spans="1:26">
      <c r="A816" s="406">
        <v>813</v>
      </c>
      <c r="B816" s="613" t="s">
        <v>7020</v>
      </c>
      <c r="C816" s="483" t="s">
        <v>1653</v>
      </c>
      <c r="D816" s="414" t="s">
        <v>4884</v>
      </c>
      <c r="E816" s="407" t="s">
        <v>4884</v>
      </c>
      <c r="F816" s="483"/>
      <c r="G816" s="483"/>
      <c r="H816" s="483"/>
      <c r="I816" s="483"/>
      <c r="J816" s="483"/>
      <c r="K816" s="483"/>
      <c r="L816" s="608" t="s">
        <v>4884</v>
      </c>
      <c r="M816" s="409" t="s">
        <v>4884</v>
      </c>
      <c r="N816" s="409" t="s">
        <v>4884</v>
      </c>
      <c r="O816" s="410" t="s">
        <v>4884</v>
      </c>
      <c r="P816" s="406">
        <v>813</v>
      </c>
      <c r="Q816" s="460" t="s">
        <v>1653</v>
      </c>
      <c r="R816" s="460" t="s">
        <v>1645</v>
      </c>
      <c r="S816" s="460" t="s">
        <v>1528</v>
      </c>
      <c r="T816" s="495" t="s">
        <v>1646</v>
      </c>
      <c r="U816" s="471"/>
      <c r="V816" s="471"/>
      <c r="W816" s="489"/>
      <c r="X816" s="471"/>
      <c r="Y816" s="206"/>
      <c r="Z816" s="206"/>
    </row>
    <row r="817" spans="1:26">
      <c r="A817" s="406">
        <v>814</v>
      </c>
      <c r="B817" s="613" t="s">
        <v>7020</v>
      </c>
      <c r="C817" s="483" t="s">
        <v>1654</v>
      </c>
      <c r="D817" s="414" t="s">
        <v>4884</v>
      </c>
      <c r="E817" s="407" t="s">
        <v>4884</v>
      </c>
      <c r="F817" s="483"/>
      <c r="G817" s="483"/>
      <c r="H817" s="483"/>
      <c r="I817" s="483"/>
      <c r="J817" s="483"/>
      <c r="K817" s="483"/>
      <c r="L817" s="608" t="s">
        <v>4884</v>
      </c>
      <c r="M817" s="409" t="s">
        <v>4884</v>
      </c>
      <c r="N817" s="409" t="s">
        <v>4884</v>
      </c>
      <c r="O817" s="410" t="s">
        <v>4884</v>
      </c>
      <c r="P817" s="406">
        <v>814</v>
      </c>
      <c r="Q817" s="460" t="s">
        <v>1654</v>
      </c>
      <c r="R817" s="460" t="s">
        <v>1645</v>
      </c>
      <c r="S817" s="460" t="s">
        <v>1528</v>
      </c>
      <c r="T817" s="495" t="s">
        <v>1646</v>
      </c>
      <c r="U817" s="471"/>
      <c r="V817" s="471"/>
      <c r="W817" s="489"/>
      <c r="X817" s="471"/>
      <c r="Y817" s="206"/>
      <c r="Z817" s="206"/>
    </row>
    <row r="818" spans="1:26">
      <c r="A818" s="406">
        <v>815</v>
      </c>
      <c r="B818" s="613" t="s">
        <v>7020</v>
      </c>
      <c r="C818" s="483" t="s">
        <v>1655</v>
      </c>
      <c r="D818" s="414" t="s">
        <v>4884</v>
      </c>
      <c r="E818" s="407" t="s">
        <v>4884</v>
      </c>
      <c r="F818" s="483"/>
      <c r="G818" s="483"/>
      <c r="H818" s="483"/>
      <c r="I818" s="483"/>
      <c r="J818" s="483"/>
      <c r="K818" s="483"/>
      <c r="L818" s="608" t="s">
        <v>4884</v>
      </c>
      <c r="M818" s="409" t="s">
        <v>4884</v>
      </c>
      <c r="N818" s="409" t="s">
        <v>4884</v>
      </c>
      <c r="O818" s="410" t="s">
        <v>4884</v>
      </c>
      <c r="P818" s="406">
        <v>815</v>
      </c>
      <c r="Q818" s="460" t="s">
        <v>1655</v>
      </c>
      <c r="R818" s="460" t="s">
        <v>1645</v>
      </c>
      <c r="S818" s="460" t="s">
        <v>1528</v>
      </c>
      <c r="T818" s="495" t="s">
        <v>1646</v>
      </c>
      <c r="U818" s="471"/>
      <c r="V818" s="471"/>
      <c r="W818" s="489"/>
      <c r="X818" s="471"/>
      <c r="Y818" s="206"/>
      <c r="Z818" s="206"/>
    </row>
    <row r="819" spans="1:26">
      <c r="A819" s="406">
        <v>816</v>
      </c>
      <c r="B819" s="613" t="s">
        <v>7020</v>
      </c>
      <c r="C819" s="483" t="s">
        <v>1656</v>
      </c>
      <c r="D819" s="414" t="s">
        <v>4884</v>
      </c>
      <c r="E819" s="407" t="s">
        <v>4884</v>
      </c>
      <c r="F819" s="483"/>
      <c r="G819" s="483"/>
      <c r="H819" s="483"/>
      <c r="I819" s="483"/>
      <c r="J819" s="483"/>
      <c r="K819" s="483"/>
      <c r="L819" s="608" t="s">
        <v>4884</v>
      </c>
      <c r="M819" s="409" t="s">
        <v>4884</v>
      </c>
      <c r="N819" s="409" t="s">
        <v>4884</v>
      </c>
      <c r="O819" s="410" t="s">
        <v>4884</v>
      </c>
      <c r="P819" s="406">
        <v>816</v>
      </c>
      <c r="Q819" s="460" t="s">
        <v>1656</v>
      </c>
      <c r="R819" s="460" t="s">
        <v>1645</v>
      </c>
      <c r="S819" s="460" t="s">
        <v>1528</v>
      </c>
      <c r="T819" s="495" t="s">
        <v>1646</v>
      </c>
      <c r="U819" s="471"/>
      <c r="V819" s="471"/>
      <c r="W819" s="489"/>
      <c r="X819" s="471"/>
      <c r="Y819" s="206"/>
      <c r="Z819" s="206"/>
    </row>
    <row r="820" spans="1:26">
      <c r="A820" s="406">
        <v>817</v>
      </c>
      <c r="B820" s="613" t="s">
        <v>7020</v>
      </c>
      <c r="C820" s="483" t="s">
        <v>1657</v>
      </c>
      <c r="D820" s="414" t="s">
        <v>4884</v>
      </c>
      <c r="E820" s="407" t="s">
        <v>4884</v>
      </c>
      <c r="F820" s="483"/>
      <c r="G820" s="483"/>
      <c r="H820" s="483"/>
      <c r="I820" s="483"/>
      <c r="J820" s="483"/>
      <c r="K820" s="483"/>
      <c r="L820" s="608" t="s">
        <v>4884</v>
      </c>
      <c r="M820" s="409" t="s">
        <v>4884</v>
      </c>
      <c r="N820" s="409" t="s">
        <v>4884</v>
      </c>
      <c r="O820" s="410" t="s">
        <v>4884</v>
      </c>
      <c r="P820" s="406">
        <v>817</v>
      </c>
      <c r="Q820" s="460" t="s">
        <v>1657</v>
      </c>
      <c r="R820" s="460" t="s">
        <v>1645</v>
      </c>
      <c r="S820" s="460" t="s">
        <v>1528</v>
      </c>
      <c r="T820" s="495" t="s">
        <v>1646</v>
      </c>
      <c r="U820" s="471"/>
      <c r="V820" s="471"/>
      <c r="W820" s="489"/>
      <c r="X820" s="471"/>
      <c r="Y820" s="206"/>
      <c r="Z820" s="206"/>
    </row>
    <row r="821" spans="1:26">
      <c r="A821" s="406">
        <v>818</v>
      </c>
      <c r="B821" s="613" t="s">
        <v>7020</v>
      </c>
      <c r="C821" s="483" t="s">
        <v>1658</v>
      </c>
      <c r="D821" s="414" t="s">
        <v>4884</v>
      </c>
      <c r="E821" s="407" t="s">
        <v>4884</v>
      </c>
      <c r="F821" s="483"/>
      <c r="G821" s="483"/>
      <c r="H821" s="483"/>
      <c r="I821" s="483"/>
      <c r="J821" s="483"/>
      <c r="K821" s="483"/>
      <c r="L821" s="608" t="s">
        <v>4884</v>
      </c>
      <c r="M821" s="409" t="s">
        <v>4884</v>
      </c>
      <c r="N821" s="409" t="s">
        <v>4884</v>
      </c>
      <c r="O821" s="410" t="s">
        <v>4884</v>
      </c>
      <c r="P821" s="406">
        <v>818</v>
      </c>
      <c r="Q821" s="460" t="s">
        <v>1658</v>
      </c>
      <c r="R821" s="460" t="s">
        <v>1645</v>
      </c>
      <c r="S821" s="460" t="s">
        <v>1528</v>
      </c>
      <c r="T821" s="495" t="s">
        <v>1646</v>
      </c>
      <c r="U821" s="471"/>
      <c r="V821" s="471"/>
      <c r="W821" s="489"/>
      <c r="X821" s="471"/>
      <c r="Y821" s="206"/>
      <c r="Z821" s="206"/>
    </row>
    <row r="822" spans="1:26">
      <c r="A822" s="406">
        <v>819</v>
      </c>
      <c r="B822" s="613" t="s">
        <v>7020</v>
      </c>
      <c r="C822" s="483" t="s">
        <v>1659</v>
      </c>
      <c r="D822" s="414" t="s">
        <v>4884</v>
      </c>
      <c r="E822" s="407" t="s">
        <v>4884</v>
      </c>
      <c r="F822" s="483"/>
      <c r="G822" s="483"/>
      <c r="H822" s="483"/>
      <c r="I822" s="483"/>
      <c r="J822" s="483"/>
      <c r="K822" s="483"/>
      <c r="L822" s="608" t="s">
        <v>4884</v>
      </c>
      <c r="M822" s="409" t="s">
        <v>4884</v>
      </c>
      <c r="N822" s="409" t="s">
        <v>4884</v>
      </c>
      <c r="O822" s="410" t="s">
        <v>4884</v>
      </c>
      <c r="P822" s="406">
        <v>819</v>
      </c>
      <c r="Q822" s="460" t="s">
        <v>1659</v>
      </c>
      <c r="R822" s="460" t="s">
        <v>1645</v>
      </c>
      <c r="S822" s="460" t="s">
        <v>1528</v>
      </c>
      <c r="T822" s="495" t="s">
        <v>1646</v>
      </c>
      <c r="U822" s="471"/>
      <c r="V822" s="471"/>
      <c r="W822" s="489"/>
      <c r="X822" s="471"/>
      <c r="Y822" s="206"/>
      <c r="Z822" s="206"/>
    </row>
    <row r="823" spans="1:26">
      <c r="A823" s="406">
        <v>820</v>
      </c>
      <c r="B823" s="613" t="s">
        <v>7020</v>
      </c>
      <c r="C823" s="483" t="s">
        <v>1660</v>
      </c>
      <c r="D823" s="414" t="s">
        <v>4884</v>
      </c>
      <c r="E823" s="407" t="s">
        <v>4884</v>
      </c>
      <c r="F823" s="483"/>
      <c r="G823" s="483"/>
      <c r="H823" s="483"/>
      <c r="I823" s="483"/>
      <c r="J823" s="483"/>
      <c r="K823" s="483"/>
      <c r="L823" s="608" t="s">
        <v>4884</v>
      </c>
      <c r="M823" s="409" t="s">
        <v>4884</v>
      </c>
      <c r="N823" s="409" t="s">
        <v>4884</v>
      </c>
      <c r="O823" s="410" t="s">
        <v>4884</v>
      </c>
      <c r="P823" s="406">
        <v>820</v>
      </c>
      <c r="Q823" s="460" t="s">
        <v>1660</v>
      </c>
      <c r="R823" s="460" t="s">
        <v>1645</v>
      </c>
      <c r="S823" s="460" t="s">
        <v>1528</v>
      </c>
      <c r="T823" s="495" t="s">
        <v>1646</v>
      </c>
      <c r="U823" s="471"/>
      <c r="V823" s="471"/>
      <c r="W823" s="489"/>
      <c r="X823" s="471"/>
      <c r="Y823" s="206"/>
      <c r="Z823" s="206"/>
    </row>
    <row r="824" spans="1:26">
      <c r="A824" s="406">
        <v>821</v>
      </c>
      <c r="B824" s="613" t="s">
        <v>7020</v>
      </c>
      <c r="C824" s="483" t="s">
        <v>1661</v>
      </c>
      <c r="D824" s="414" t="s">
        <v>4884</v>
      </c>
      <c r="E824" s="407" t="s">
        <v>4884</v>
      </c>
      <c r="F824" s="483"/>
      <c r="G824" s="483"/>
      <c r="H824" s="483"/>
      <c r="I824" s="483"/>
      <c r="J824" s="483"/>
      <c r="K824" s="483"/>
      <c r="L824" s="608" t="s">
        <v>4884</v>
      </c>
      <c r="M824" s="409" t="s">
        <v>4884</v>
      </c>
      <c r="N824" s="409" t="s">
        <v>4884</v>
      </c>
      <c r="O824" s="410" t="s">
        <v>4884</v>
      </c>
      <c r="P824" s="406">
        <v>821</v>
      </c>
      <c r="Q824" s="460" t="s">
        <v>1661</v>
      </c>
      <c r="R824" s="460" t="s">
        <v>1645</v>
      </c>
      <c r="S824" s="460" t="s">
        <v>1528</v>
      </c>
      <c r="T824" s="495" t="s">
        <v>1646</v>
      </c>
      <c r="U824" s="471"/>
      <c r="V824" s="471"/>
      <c r="W824" s="489"/>
      <c r="X824" s="471"/>
      <c r="Y824" s="206"/>
      <c r="Z824" s="206"/>
    </row>
    <row r="825" spans="1:26">
      <c r="A825" s="406">
        <v>822</v>
      </c>
      <c r="B825" s="613" t="s">
        <v>7020</v>
      </c>
      <c r="C825" s="483" t="s">
        <v>1662</v>
      </c>
      <c r="D825" s="414" t="s">
        <v>4884</v>
      </c>
      <c r="E825" s="407" t="s">
        <v>4884</v>
      </c>
      <c r="F825" s="483"/>
      <c r="G825" s="483"/>
      <c r="H825" s="483"/>
      <c r="I825" s="483"/>
      <c r="J825" s="483"/>
      <c r="K825" s="483"/>
      <c r="L825" s="608" t="s">
        <v>4884</v>
      </c>
      <c r="M825" s="409" t="s">
        <v>4884</v>
      </c>
      <c r="N825" s="409" t="s">
        <v>4884</v>
      </c>
      <c r="O825" s="410" t="s">
        <v>4884</v>
      </c>
      <c r="P825" s="406">
        <v>822</v>
      </c>
      <c r="Q825" s="460" t="s">
        <v>1662</v>
      </c>
      <c r="R825" s="460" t="s">
        <v>1645</v>
      </c>
      <c r="S825" s="460" t="s">
        <v>1528</v>
      </c>
      <c r="T825" s="495" t="s">
        <v>1646</v>
      </c>
      <c r="U825" s="471"/>
      <c r="V825" s="471"/>
      <c r="W825" s="489"/>
      <c r="X825" s="471"/>
      <c r="Y825" s="206"/>
      <c r="Z825" s="206"/>
    </row>
    <row r="826" spans="1:26">
      <c r="A826" s="406">
        <v>823</v>
      </c>
      <c r="B826" s="613" t="s">
        <v>7020</v>
      </c>
      <c r="C826" s="483" t="s">
        <v>1663</v>
      </c>
      <c r="D826" s="414" t="s">
        <v>4884</v>
      </c>
      <c r="E826" s="407" t="s">
        <v>4884</v>
      </c>
      <c r="F826" s="483"/>
      <c r="G826" s="483"/>
      <c r="H826" s="483"/>
      <c r="I826" s="483"/>
      <c r="J826" s="483"/>
      <c r="K826" s="483"/>
      <c r="L826" s="608" t="s">
        <v>4884</v>
      </c>
      <c r="M826" s="409" t="s">
        <v>4884</v>
      </c>
      <c r="N826" s="409" t="s">
        <v>4884</v>
      </c>
      <c r="O826" s="410" t="s">
        <v>4884</v>
      </c>
      <c r="P826" s="406">
        <v>823</v>
      </c>
      <c r="Q826" s="460" t="s">
        <v>1663</v>
      </c>
      <c r="R826" s="460" t="s">
        <v>1645</v>
      </c>
      <c r="S826" s="460" t="s">
        <v>1528</v>
      </c>
      <c r="T826" s="495" t="s">
        <v>1646</v>
      </c>
      <c r="U826" s="471"/>
      <c r="V826" s="471"/>
      <c r="W826" s="489"/>
      <c r="X826" s="471"/>
      <c r="Y826" s="206"/>
      <c r="Z826" s="206"/>
    </row>
    <row r="827" spans="1:26">
      <c r="A827" s="406">
        <v>824</v>
      </c>
      <c r="B827" s="613" t="s">
        <v>7020</v>
      </c>
      <c r="C827" s="483" t="s">
        <v>1664</v>
      </c>
      <c r="D827" s="414" t="s">
        <v>4884</v>
      </c>
      <c r="E827" s="407" t="s">
        <v>4884</v>
      </c>
      <c r="F827" s="483"/>
      <c r="G827" s="483"/>
      <c r="H827" s="483"/>
      <c r="I827" s="483"/>
      <c r="J827" s="483"/>
      <c r="K827" s="483"/>
      <c r="L827" s="608" t="s">
        <v>4884</v>
      </c>
      <c r="M827" s="409" t="s">
        <v>4884</v>
      </c>
      <c r="N827" s="409" t="s">
        <v>4884</v>
      </c>
      <c r="O827" s="410" t="s">
        <v>4884</v>
      </c>
      <c r="P827" s="406">
        <v>824</v>
      </c>
      <c r="Q827" s="460" t="s">
        <v>1664</v>
      </c>
      <c r="R827" s="460" t="s">
        <v>1645</v>
      </c>
      <c r="S827" s="460" t="s">
        <v>1528</v>
      </c>
      <c r="T827" s="495" t="s">
        <v>1646</v>
      </c>
      <c r="U827" s="471"/>
      <c r="V827" s="471"/>
      <c r="W827" s="489"/>
      <c r="X827" s="471"/>
      <c r="Y827" s="206"/>
      <c r="Z827" s="206"/>
    </row>
    <row r="828" spans="1:26">
      <c r="A828" s="406">
        <v>825</v>
      </c>
      <c r="B828" s="613" t="s">
        <v>7020</v>
      </c>
      <c r="C828" s="483" t="s">
        <v>1665</v>
      </c>
      <c r="D828" s="414" t="s">
        <v>4884</v>
      </c>
      <c r="E828" s="407" t="s">
        <v>4884</v>
      </c>
      <c r="F828" s="483"/>
      <c r="G828" s="483"/>
      <c r="H828" s="483"/>
      <c r="I828" s="483"/>
      <c r="J828" s="483"/>
      <c r="K828" s="483"/>
      <c r="L828" s="608" t="s">
        <v>4884</v>
      </c>
      <c r="M828" s="409" t="s">
        <v>4884</v>
      </c>
      <c r="N828" s="409" t="s">
        <v>4884</v>
      </c>
      <c r="O828" s="410" t="s">
        <v>4884</v>
      </c>
      <c r="P828" s="406">
        <v>825</v>
      </c>
      <c r="Q828" s="460" t="s">
        <v>1665</v>
      </c>
      <c r="R828" s="460" t="s">
        <v>1645</v>
      </c>
      <c r="S828" s="460" t="s">
        <v>1528</v>
      </c>
      <c r="T828" s="495" t="s">
        <v>1646</v>
      </c>
      <c r="U828" s="471"/>
      <c r="V828" s="471"/>
      <c r="W828" s="489"/>
      <c r="X828" s="471"/>
      <c r="Y828" s="206"/>
      <c r="Z828" s="206"/>
    </row>
    <row r="829" spans="1:26">
      <c r="A829" s="406">
        <v>826</v>
      </c>
      <c r="B829" s="613" t="s">
        <v>7020</v>
      </c>
      <c r="C829" s="483" t="s">
        <v>1666</v>
      </c>
      <c r="D829" s="414" t="s">
        <v>4884</v>
      </c>
      <c r="E829" s="407" t="s">
        <v>4884</v>
      </c>
      <c r="F829" s="483"/>
      <c r="G829" s="483"/>
      <c r="H829" s="483"/>
      <c r="I829" s="483"/>
      <c r="J829" s="483"/>
      <c r="K829" s="483"/>
      <c r="L829" s="608" t="s">
        <v>4884</v>
      </c>
      <c r="M829" s="409" t="s">
        <v>4884</v>
      </c>
      <c r="N829" s="409" t="s">
        <v>4884</v>
      </c>
      <c r="O829" s="410" t="s">
        <v>4884</v>
      </c>
      <c r="P829" s="406">
        <v>826</v>
      </c>
      <c r="Q829" s="460" t="s">
        <v>1666</v>
      </c>
      <c r="R829" s="460" t="s">
        <v>1645</v>
      </c>
      <c r="S829" s="460" t="s">
        <v>1528</v>
      </c>
      <c r="T829" s="495" t="s">
        <v>1646</v>
      </c>
      <c r="U829" s="471"/>
      <c r="V829" s="471"/>
      <c r="W829" s="489"/>
      <c r="X829" s="471"/>
      <c r="Y829" s="206"/>
      <c r="Z829" s="206"/>
    </row>
    <row r="830" spans="1:26">
      <c r="A830" s="406">
        <v>827</v>
      </c>
      <c r="B830" s="613" t="s">
        <v>7020</v>
      </c>
      <c r="C830" s="483" t="s">
        <v>1667</v>
      </c>
      <c r="D830" s="414" t="s">
        <v>4884</v>
      </c>
      <c r="E830" s="407" t="s">
        <v>4884</v>
      </c>
      <c r="F830" s="483"/>
      <c r="G830" s="483"/>
      <c r="H830" s="483"/>
      <c r="I830" s="483"/>
      <c r="J830" s="483"/>
      <c r="K830" s="483"/>
      <c r="L830" s="608" t="s">
        <v>4884</v>
      </c>
      <c r="M830" s="409" t="s">
        <v>4884</v>
      </c>
      <c r="N830" s="409" t="s">
        <v>4884</v>
      </c>
      <c r="O830" s="410" t="s">
        <v>4884</v>
      </c>
      <c r="P830" s="406">
        <v>827</v>
      </c>
      <c r="Q830" s="460" t="s">
        <v>1667</v>
      </c>
      <c r="R830" s="460" t="s">
        <v>1645</v>
      </c>
      <c r="S830" s="460" t="s">
        <v>1528</v>
      </c>
      <c r="T830" s="495" t="s">
        <v>1646</v>
      </c>
      <c r="U830" s="471"/>
      <c r="V830" s="471"/>
      <c r="W830" s="489"/>
      <c r="X830" s="471"/>
      <c r="Y830" s="206"/>
      <c r="Z830" s="206"/>
    </row>
    <row r="831" spans="1:26">
      <c r="A831" s="406">
        <v>828</v>
      </c>
      <c r="B831" s="613" t="s">
        <v>7020</v>
      </c>
      <c r="C831" s="483" t="s">
        <v>1668</v>
      </c>
      <c r="D831" s="414" t="s">
        <v>4884</v>
      </c>
      <c r="E831" s="407" t="s">
        <v>4884</v>
      </c>
      <c r="F831" s="483"/>
      <c r="G831" s="483"/>
      <c r="H831" s="483"/>
      <c r="I831" s="483"/>
      <c r="J831" s="483"/>
      <c r="K831" s="483"/>
      <c r="L831" s="608" t="s">
        <v>4884</v>
      </c>
      <c r="M831" s="409" t="s">
        <v>4884</v>
      </c>
      <c r="N831" s="409" t="s">
        <v>4884</v>
      </c>
      <c r="O831" s="410" t="s">
        <v>4884</v>
      </c>
      <c r="P831" s="406">
        <v>828</v>
      </c>
      <c r="Q831" s="460" t="s">
        <v>1668</v>
      </c>
      <c r="R831" s="460" t="s">
        <v>1645</v>
      </c>
      <c r="S831" s="460" t="s">
        <v>1528</v>
      </c>
      <c r="T831" s="495" t="s">
        <v>1646</v>
      </c>
      <c r="U831" s="471"/>
      <c r="V831" s="471"/>
      <c r="W831" s="489"/>
      <c r="X831" s="471"/>
      <c r="Y831" s="206"/>
      <c r="Z831" s="206"/>
    </row>
    <row r="832" spans="1:26">
      <c r="A832" s="406">
        <v>829</v>
      </c>
      <c r="B832" s="613" t="s">
        <v>7020</v>
      </c>
      <c r="C832" s="483" t="s">
        <v>1669</v>
      </c>
      <c r="D832" s="414" t="s">
        <v>4884</v>
      </c>
      <c r="E832" s="407" t="s">
        <v>4884</v>
      </c>
      <c r="F832" s="483"/>
      <c r="G832" s="483"/>
      <c r="H832" s="483"/>
      <c r="I832" s="483"/>
      <c r="J832" s="483"/>
      <c r="K832" s="483"/>
      <c r="L832" s="608" t="s">
        <v>4884</v>
      </c>
      <c r="M832" s="409" t="s">
        <v>4884</v>
      </c>
      <c r="N832" s="409" t="s">
        <v>4884</v>
      </c>
      <c r="O832" s="410" t="s">
        <v>4884</v>
      </c>
      <c r="P832" s="406">
        <v>829</v>
      </c>
      <c r="Q832" s="460" t="s">
        <v>1669</v>
      </c>
      <c r="R832" s="460" t="s">
        <v>1645</v>
      </c>
      <c r="S832" s="460" t="s">
        <v>1528</v>
      </c>
      <c r="T832" s="495" t="s">
        <v>1646</v>
      </c>
      <c r="U832" s="471"/>
      <c r="V832" s="471"/>
      <c r="W832" s="489"/>
      <c r="X832" s="471"/>
      <c r="Y832" s="206"/>
      <c r="Z832" s="206"/>
    </row>
    <row r="833" spans="1:26">
      <c r="A833" s="406">
        <v>830</v>
      </c>
      <c r="B833" s="613" t="s">
        <v>7020</v>
      </c>
      <c r="C833" s="483" t="s">
        <v>1670</v>
      </c>
      <c r="D833" s="414" t="s">
        <v>4884</v>
      </c>
      <c r="E833" s="407" t="s">
        <v>4884</v>
      </c>
      <c r="F833" s="483"/>
      <c r="G833" s="483"/>
      <c r="H833" s="483"/>
      <c r="I833" s="483"/>
      <c r="J833" s="483"/>
      <c r="K833" s="483"/>
      <c r="L833" s="608" t="s">
        <v>4884</v>
      </c>
      <c r="M833" s="409" t="s">
        <v>4884</v>
      </c>
      <c r="N833" s="409" t="s">
        <v>4884</v>
      </c>
      <c r="O833" s="410" t="s">
        <v>4884</v>
      </c>
      <c r="P833" s="406">
        <v>830</v>
      </c>
      <c r="Q833" s="460" t="s">
        <v>1670</v>
      </c>
      <c r="R833" s="460" t="s">
        <v>1645</v>
      </c>
      <c r="S833" s="460" t="s">
        <v>1528</v>
      </c>
      <c r="T833" s="495" t="s">
        <v>1646</v>
      </c>
      <c r="U833" s="471"/>
      <c r="V833" s="471"/>
      <c r="W833" s="489"/>
      <c r="X833" s="471"/>
      <c r="Y833" s="206"/>
      <c r="Z833" s="206"/>
    </row>
    <row r="834" spans="1:26">
      <c r="A834" s="406">
        <v>831</v>
      </c>
      <c r="B834" s="613" t="s">
        <v>7020</v>
      </c>
      <c r="C834" s="483" t="s">
        <v>1671</v>
      </c>
      <c r="D834" s="414" t="s">
        <v>4884</v>
      </c>
      <c r="E834" s="407" t="s">
        <v>4884</v>
      </c>
      <c r="F834" s="483"/>
      <c r="G834" s="483"/>
      <c r="H834" s="483"/>
      <c r="I834" s="483"/>
      <c r="J834" s="483"/>
      <c r="K834" s="483"/>
      <c r="L834" s="608" t="s">
        <v>4884</v>
      </c>
      <c r="M834" s="409" t="s">
        <v>4884</v>
      </c>
      <c r="N834" s="409" t="s">
        <v>4884</v>
      </c>
      <c r="O834" s="410" t="s">
        <v>4884</v>
      </c>
      <c r="P834" s="406">
        <v>831</v>
      </c>
      <c r="Q834" s="460" t="s">
        <v>1671</v>
      </c>
      <c r="R834" s="460" t="s">
        <v>1645</v>
      </c>
      <c r="S834" s="460" t="s">
        <v>1528</v>
      </c>
      <c r="T834" s="495" t="s">
        <v>1646</v>
      </c>
      <c r="U834" s="471"/>
      <c r="V834" s="471"/>
      <c r="W834" s="489"/>
      <c r="X834" s="471"/>
      <c r="Y834" s="206"/>
      <c r="Z834" s="206"/>
    </row>
    <row r="835" spans="1:26">
      <c r="A835" s="406">
        <v>832</v>
      </c>
      <c r="B835" s="613" t="s">
        <v>7020</v>
      </c>
      <c r="C835" s="483" t="s">
        <v>1672</v>
      </c>
      <c r="D835" s="414" t="s">
        <v>4884</v>
      </c>
      <c r="E835" s="407" t="s">
        <v>4884</v>
      </c>
      <c r="F835" s="483"/>
      <c r="G835" s="483"/>
      <c r="H835" s="483"/>
      <c r="I835" s="483"/>
      <c r="J835" s="483"/>
      <c r="K835" s="483"/>
      <c r="L835" s="608" t="s">
        <v>4884</v>
      </c>
      <c r="M835" s="409" t="s">
        <v>4884</v>
      </c>
      <c r="N835" s="409" t="s">
        <v>4884</v>
      </c>
      <c r="O835" s="410" t="s">
        <v>4884</v>
      </c>
      <c r="P835" s="406">
        <v>832</v>
      </c>
      <c r="Q835" s="460" t="s">
        <v>1672</v>
      </c>
      <c r="R835" s="460" t="s">
        <v>1645</v>
      </c>
      <c r="S835" s="460" t="s">
        <v>1528</v>
      </c>
      <c r="T835" s="495" t="s">
        <v>1646</v>
      </c>
      <c r="U835" s="471"/>
      <c r="V835" s="471"/>
      <c r="W835" s="489"/>
      <c r="X835" s="471"/>
      <c r="Y835" s="206"/>
      <c r="Z835" s="206"/>
    </row>
    <row r="836" spans="1:26">
      <c r="A836" s="406">
        <v>833</v>
      </c>
      <c r="B836" s="613" t="s">
        <v>7020</v>
      </c>
      <c r="C836" s="483" t="s">
        <v>1673</v>
      </c>
      <c r="D836" s="414" t="s">
        <v>4884</v>
      </c>
      <c r="E836" s="407" t="s">
        <v>4884</v>
      </c>
      <c r="F836" s="483"/>
      <c r="G836" s="483"/>
      <c r="H836" s="483"/>
      <c r="I836" s="483"/>
      <c r="J836" s="483"/>
      <c r="K836" s="483"/>
      <c r="L836" s="608" t="s">
        <v>4884</v>
      </c>
      <c r="M836" s="409" t="s">
        <v>4884</v>
      </c>
      <c r="N836" s="409" t="s">
        <v>4884</v>
      </c>
      <c r="O836" s="410" t="s">
        <v>4884</v>
      </c>
      <c r="P836" s="406">
        <v>833</v>
      </c>
      <c r="Q836" s="460" t="s">
        <v>1673</v>
      </c>
      <c r="R836" s="460" t="s">
        <v>1645</v>
      </c>
      <c r="S836" s="460" t="s">
        <v>1528</v>
      </c>
      <c r="T836" s="495" t="s">
        <v>1646</v>
      </c>
      <c r="U836" s="471"/>
      <c r="V836" s="471"/>
      <c r="W836" s="471"/>
      <c r="X836" s="471"/>
      <c r="Y836" s="206"/>
      <c r="Z836" s="206"/>
    </row>
    <row r="837" spans="1:26">
      <c r="A837" s="406">
        <v>834</v>
      </c>
      <c r="B837" s="613" t="s">
        <v>7020</v>
      </c>
      <c r="C837" s="483" t="s">
        <v>1674</v>
      </c>
      <c r="D837" s="414" t="s">
        <v>4884</v>
      </c>
      <c r="E837" s="407" t="s">
        <v>4884</v>
      </c>
      <c r="F837" s="483"/>
      <c r="G837" s="483"/>
      <c r="H837" s="483"/>
      <c r="I837" s="483"/>
      <c r="J837" s="483"/>
      <c r="K837" s="483"/>
      <c r="L837" s="608" t="s">
        <v>4884</v>
      </c>
      <c r="M837" s="409" t="s">
        <v>4884</v>
      </c>
      <c r="N837" s="409" t="s">
        <v>4884</v>
      </c>
      <c r="O837" s="410" t="s">
        <v>4884</v>
      </c>
      <c r="P837" s="406">
        <v>834</v>
      </c>
      <c r="Q837" s="460" t="s">
        <v>1674</v>
      </c>
      <c r="R837" s="460" t="s">
        <v>1645</v>
      </c>
      <c r="S837" s="460" t="s">
        <v>1528</v>
      </c>
      <c r="T837" s="495" t="s">
        <v>1646</v>
      </c>
      <c r="U837" s="471"/>
      <c r="V837" s="471"/>
      <c r="W837" s="496"/>
      <c r="X837" s="471"/>
      <c r="Y837" s="206"/>
      <c r="Z837" s="206"/>
    </row>
    <row r="838" spans="1:26">
      <c r="A838" s="406">
        <v>835</v>
      </c>
      <c r="B838" s="613" t="s">
        <v>7020</v>
      </c>
      <c r="C838" s="483" t="s">
        <v>1675</v>
      </c>
      <c r="D838" s="414" t="s">
        <v>4884</v>
      </c>
      <c r="E838" s="407" t="s">
        <v>4884</v>
      </c>
      <c r="F838" s="483"/>
      <c r="G838" s="483"/>
      <c r="H838" s="483"/>
      <c r="I838" s="483"/>
      <c r="J838" s="483"/>
      <c r="K838" s="483"/>
      <c r="L838" s="608" t="s">
        <v>4884</v>
      </c>
      <c r="M838" s="409" t="s">
        <v>4884</v>
      </c>
      <c r="N838" s="409" t="s">
        <v>4884</v>
      </c>
      <c r="O838" s="410" t="s">
        <v>4884</v>
      </c>
      <c r="P838" s="406">
        <v>835</v>
      </c>
      <c r="Q838" s="460" t="s">
        <v>1675</v>
      </c>
      <c r="R838" s="460" t="s">
        <v>1645</v>
      </c>
      <c r="S838" s="460" t="s">
        <v>1528</v>
      </c>
      <c r="T838" s="495" t="s">
        <v>1646</v>
      </c>
      <c r="U838" s="471"/>
      <c r="V838" s="471"/>
      <c r="W838" s="496"/>
      <c r="X838" s="471"/>
      <c r="Y838" s="206"/>
      <c r="Z838" s="206"/>
    </row>
    <row r="839" spans="1:26">
      <c r="A839" s="406">
        <v>836</v>
      </c>
      <c r="B839" s="613" t="s">
        <v>7020</v>
      </c>
      <c r="C839" s="483" t="s">
        <v>1676</v>
      </c>
      <c r="D839" s="414" t="s">
        <v>4884</v>
      </c>
      <c r="E839" s="407" t="s">
        <v>4884</v>
      </c>
      <c r="F839" s="483"/>
      <c r="G839" s="483"/>
      <c r="H839" s="483"/>
      <c r="I839" s="483"/>
      <c r="J839" s="483"/>
      <c r="K839" s="483"/>
      <c r="L839" s="608" t="s">
        <v>4884</v>
      </c>
      <c r="M839" s="409" t="s">
        <v>4884</v>
      </c>
      <c r="N839" s="409" t="s">
        <v>4884</v>
      </c>
      <c r="O839" s="410" t="s">
        <v>4884</v>
      </c>
      <c r="P839" s="406">
        <v>836</v>
      </c>
      <c r="Q839" s="460" t="s">
        <v>1676</v>
      </c>
      <c r="R839" s="460" t="s">
        <v>1645</v>
      </c>
      <c r="S839" s="460" t="s">
        <v>1528</v>
      </c>
      <c r="T839" s="495" t="s">
        <v>1646</v>
      </c>
      <c r="U839" s="471"/>
      <c r="V839" s="471"/>
      <c r="W839" s="496"/>
      <c r="X839" s="471"/>
      <c r="Y839" s="206"/>
      <c r="Z839" s="206"/>
    </row>
    <row r="840" spans="1:26">
      <c r="A840" s="406">
        <v>837</v>
      </c>
      <c r="B840" s="613" t="s">
        <v>7020</v>
      </c>
      <c r="C840" s="483" t="s">
        <v>1677</v>
      </c>
      <c r="D840" s="414" t="s">
        <v>4884</v>
      </c>
      <c r="E840" s="407" t="s">
        <v>4884</v>
      </c>
      <c r="F840" s="483"/>
      <c r="G840" s="483"/>
      <c r="H840" s="483"/>
      <c r="I840" s="483"/>
      <c r="J840" s="483"/>
      <c r="K840" s="483"/>
      <c r="L840" s="608" t="s">
        <v>4884</v>
      </c>
      <c r="M840" s="409" t="s">
        <v>4884</v>
      </c>
      <c r="N840" s="409" t="s">
        <v>4884</v>
      </c>
      <c r="O840" s="410" t="s">
        <v>4884</v>
      </c>
      <c r="P840" s="406">
        <v>837</v>
      </c>
      <c r="Q840" s="460" t="s">
        <v>1677</v>
      </c>
      <c r="R840" s="460" t="s">
        <v>1645</v>
      </c>
      <c r="S840" s="460" t="s">
        <v>1528</v>
      </c>
      <c r="T840" s="495" t="s">
        <v>1646</v>
      </c>
      <c r="U840" s="471"/>
      <c r="V840" s="471"/>
      <c r="W840" s="496"/>
      <c r="X840" s="471"/>
      <c r="Y840" s="206"/>
      <c r="Z840" s="206"/>
    </row>
    <row r="841" spans="1:26">
      <c r="A841" s="406">
        <v>838</v>
      </c>
      <c r="B841" s="613" t="s">
        <v>7020</v>
      </c>
      <c r="C841" s="483" t="s">
        <v>1678</v>
      </c>
      <c r="D841" s="414" t="s">
        <v>4884</v>
      </c>
      <c r="E841" s="407" t="s">
        <v>4884</v>
      </c>
      <c r="F841" s="483"/>
      <c r="G841" s="483"/>
      <c r="H841" s="483"/>
      <c r="I841" s="483"/>
      <c r="J841" s="483"/>
      <c r="K841" s="483"/>
      <c r="L841" s="608" t="s">
        <v>4884</v>
      </c>
      <c r="M841" s="409" t="s">
        <v>4884</v>
      </c>
      <c r="N841" s="409" t="s">
        <v>4884</v>
      </c>
      <c r="O841" s="410" t="s">
        <v>4884</v>
      </c>
      <c r="P841" s="406">
        <v>838</v>
      </c>
      <c r="Q841" s="460" t="s">
        <v>1678</v>
      </c>
      <c r="R841" s="460" t="s">
        <v>1645</v>
      </c>
      <c r="S841" s="460" t="s">
        <v>1528</v>
      </c>
      <c r="T841" s="495" t="s">
        <v>1646</v>
      </c>
      <c r="U841" s="471"/>
      <c r="V841" s="471"/>
      <c r="W841" s="496"/>
      <c r="X841" s="471"/>
      <c r="Y841" s="206"/>
      <c r="Z841" s="206"/>
    </row>
    <row r="842" spans="1:26">
      <c r="A842" s="406">
        <v>839</v>
      </c>
      <c r="B842" s="613" t="s">
        <v>7020</v>
      </c>
      <c r="C842" s="483" t="s">
        <v>1679</v>
      </c>
      <c r="D842" s="414" t="s">
        <v>4884</v>
      </c>
      <c r="E842" s="407" t="s">
        <v>4884</v>
      </c>
      <c r="F842" s="483"/>
      <c r="G842" s="483"/>
      <c r="H842" s="483"/>
      <c r="I842" s="483"/>
      <c r="J842" s="483"/>
      <c r="K842" s="483"/>
      <c r="L842" s="608" t="s">
        <v>4884</v>
      </c>
      <c r="M842" s="409" t="s">
        <v>4884</v>
      </c>
      <c r="N842" s="409" t="s">
        <v>4884</v>
      </c>
      <c r="O842" s="410" t="s">
        <v>4884</v>
      </c>
      <c r="P842" s="406">
        <v>839</v>
      </c>
      <c r="Q842" s="460" t="s">
        <v>1679</v>
      </c>
      <c r="R842" s="460" t="s">
        <v>1645</v>
      </c>
      <c r="S842" s="460" t="s">
        <v>1528</v>
      </c>
      <c r="T842" s="495" t="s">
        <v>1646</v>
      </c>
      <c r="U842" s="471"/>
      <c r="V842" s="471"/>
      <c r="W842" s="496"/>
      <c r="X842" s="471"/>
      <c r="Y842" s="206"/>
      <c r="Z842" s="206"/>
    </row>
    <row r="843" spans="1:26">
      <c r="A843" s="406">
        <v>840</v>
      </c>
      <c r="B843" s="613" t="s">
        <v>7020</v>
      </c>
      <c r="C843" s="483" t="s">
        <v>1680</v>
      </c>
      <c r="D843" s="414" t="s">
        <v>4884</v>
      </c>
      <c r="E843" s="407" t="s">
        <v>4884</v>
      </c>
      <c r="F843" s="483"/>
      <c r="G843" s="483"/>
      <c r="H843" s="483"/>
      <c r="I843" s="483"/>
      <c r="J843" s="483"/>
      <c r="K843" s="483"/>
      <c r="L843" s="608" t="s">
        <v>4884</v>
      </c>
      <c r="M843" s="409" t="s">
        <v>4884</v>
      </c>
      <c r="N843" s="409" t="s">
        <v>4884</v>
      </c>
      <c r="O843" s="410" t="s">
        <v>4884</v>
      </c>
      <c r="P843" s="406">
        <v>840</v>
      </c>
      <c r="Q843" s="460" t="s">
        <v>1680</v>
      </c>
      <c r="R843" s="460" t="s">
        <v>1645</v>
      </c>
      <c r="S843" s="460" t="s">
        <v>1528</v>
      </c>
      <c r="T843" s="495" t="s">
        <v>1646</v>
      </c>
      <c r="U843" s="471"/>
      <c r="V843" s="471"/>
      <c r="W843" s="496"/>
      <c r="X843" s="471"/>
      <c r="Y843" s="206"/>
      <c r="Z843" s="206"/>
    </row>
    <row r="844" spans="1:26">
      <c r="A844" s="406">
        <v>841</v>
      </c>
      <c r="B844" s="613" t="s">
        <v>7020</v>
      </c>
      <c r="C844" s="483" t="s">
        <v>1681</v>
      </c>
      <c r="D844" s="414" t="s">
        <v>4884</v>
      </c>
      <c r="E844" s="407" t="s">
        <v>4884</v>
      </c>
      <c r="F844" s="483"/>
      <c r="G844" s="483"/>
      <c r="H844" s="483"/>
      <c r="I844" s="483"/>
      <c r="J844" s="483"/>
      <c r="K844" s="483"/>
      <c r="L844" s="608" t="s">
        <v>4884</v>
      </c>
      <c r="M844" s="409" t="s">
        <v>4884</v>
      </c>
      <c r="N844" s="409" t="s">
        <v>4884</v>
      </c>
      <c r="O844" s="410" t="s">
        <v>4884</v>
      </c>
      <c r="P844" s="406">
        <v>841</v>
      </c>
      <c r="Q844" s="460" t="s">
        <v>1681</v>
      </c>
      <c r="R844" s="460" t="s">
        <v>1645</v>
      </c>
      <c r="S844" s="460" t="s">
        <v>1528</v>
      </c>
      <c r="T844" s="495" t="s">
        <v>1646</v>
      </c>
      <c r="U844" s="471"/>
      <c r="V844" s="471"/>
      <c r="W844" s="496"/>
      <c r="X844" s="471"/>
      <c r="Y844" s="206"/>
      <c r="Z844" s="206"/>
    </row>
    <row r="845" spans="1:26">
      <c r="A845" s="406">
        <v>842</v>
      </c>
      <c r="B845" s="613" t="s">
        <v>7020</v>
      </c>
      <c r="C845" s="483" t="s">
        <v>1682</v>
      </c>
      <c r="D845" s="414" t="s">
        <v>4884</v>
      </c>
      <c r="E845" s="407" t="s">
        <v>4884</v>
      </c>
      <c r="F845" s="483"/>
      <c r="G845" s="483"/>
      <c r="H845" s="483"/>
      <c r="I845" s="483"/>
      <c r="J845" s="483"/>
      <c r="K845" s="483"/>
      <c r="L845" s="608" t="s">
        <v>4884</v>
      </c>
      <c r="M845" s="409" t="s">
        <v>4884</v>
      </c>
      <c r="N845" s="409" t="s">
        <v>4884</v>
      </c>
      <c r="O845" s="410" t="s">
        <v>4884</v>
      </c>
      <c r="P845" s="406">
        <v>842</v>
      </c>
      <c r="Q845" s="460" t="s">
        <v>1682</v>
      </c>
      <c r="R845" s="460" t="s">
        <v>1645</v>
      </c>
      <c r="S845" s="460" t="s">
        <v>1528</v>
      </c>
      <c r="T845" s="495" t="s">
        <v>1646</v>
      </c>
      <c r="U845" s="471"/>
      <c r="V845" s="471"/>
      <c r="W845" s="496"/>
      <c r="X845" s="471"/>
      <c r="Y845" s="206"/>
      <c r="Z845" s="206"/>
    </row>
    <row r="846" spans="1:26">
      <c r="A846" s="406">
        <v>843</v>
      </c>
      <c r="B846" s="613" t="s">
        <v>7020</v>
      </c>
      <c r="C846" s="483" t="s">
        <v>1683</v>
      </c>
      <c r="D846" s="414" t="s">
        <v>4884</v>
      </c>
      <c r="E846" s="407" t="s">
        <v>4884</v>
      </c>
      <c r="F846" s="483"/>
      <c r="G846" s="483"/>
      <c r="H846" s="483"/>
      <c r="I846" s="483"/>
      <c r="J846" s="483"/>
      <c r="K846" s="483"/>
      <c r="L846" s="608" t="s">
        <v>4884</v>
      </c>
      <c r="M846" s="409" t="s">
        <v>4884</v>
      </c>
      <c r="N846" s="409" t="s">
        <v>4884</v>
      </c>
      <c r="O846" s="410" t="s">
        <v>4884</v>
      </c>
      <c r="P846" s="406">
        <v>843</v>
      </c>
      <c r="Q846" s="460" t="s">
        <v>1683</v>
      </c>
      <c r="R846" s="460" t="s">
        <v>1645</v>
      </c>
      <c r="S846" s="460" t="s">
        <v>1528</v>
      </c>
      <c r="T846" s="495" t="s">
        <v>1646</v>
      </c>
      <c r="U846" s="471"/>
      <c r="V846" s="471"/>
      <c r="W846" s="496"/>
      <c r="X846" s="471"/>
      <c r="Y846" s="206"/>
      <c r="Z846" s="206"/>
    </row>
    <row r="847" spans="1:26">
      <c r="A847" s="406">
        <v>844</v>
      </c>
      <c r="B847" s="613" t="s">
        <v>7020</v>
      </c>
      <c r="C847" s="483" t="s">
        <v>1684</v>
      </c>
      <c r="D847" s="414" t="s">
        <v>4884</v>
      </c>
      <c r="E847" s="407" t="s">
        <v>4884</v>
      </c>
      <c r="F847" s="483"/>
      <c r="G847" s="483"/>
      <c r="H847" s="483"/>
      <c r="I847" s="483"/>
      <c r="J847" s="483"/>
      <c r="K847" s="483"/>
      <c r="L847" s="608" t="s">
        <v>4884</v>
      </c>
      <c r="M847" s="409" t="s">
        <v>4884</v>
      </c>
      <c r="N847" s="409" t="s">
        <v>4884</v>
      </c>
      <c r="O847" s="410" t="s">
        <v>4884</v>
      </c>
      <c r="P847" s="406">
        <v>844</v>
      </c>
      <c r="Q847" s="460" t="s">
        <v>1684</v>
      </c>
      <c r="R847" s="460" t="s">
        <v>1645</v>
      </c>
      <c r="S847" s="460" t="s">
        <v>1528</v>
      </c>
      <c r="T847" s="495" t="s">
        <v>1646</v>
      </c>
      <c r="U847" s="471"/>
      <c r="V847" s="471"/>
      <c r="W847" s="496"/>
      <c r="X847" s="471"/>
      <c r="Y847" s="206"/>
      <c r="Z847" s="206"/>
    </row>
    <row r="848" spans="1:26">
      <c r="A848" s="406">
        <v>845</v>
      </c>
      <c r="B848" s="613" t="s">
        <v>7020</v>
      </c>
      <c r="C848" s="483" t="s">
        <v>1685</v>
      </c>
      <c r="D848" s="414" t="s">
        <v>4884</v>
      </c>
      <c r="E848" s="407" t="s">
        <v>4884</v>
      </c>
      <c r="F848" s="483"/>
      <c r="G848" s="483"/>
      <c r="H848" s="483"/>
      <c r="I848" s="483"/>
      <c r="J848" s="483"/>
      <c r="K848" s="483"/>
      <c r="L848" s="608" t="s">
        <v>4884</v>
      </c>
      <c r="M848" s="409" t="s">
        <v>4884</v>
      </c>
      <c r="N848" s="409" t="s">
        <v>4884</v>
      </c>
      <c r="O848" s="410" t="s">
        <v>4884</v>
      </c>
      <c r="P848" s="406">
        <v>845</v>
      </c>
      <c r="Q848" s="460" t="s">
        <v>1685</v>
      </c>
      <c r="R848" s="460" t="s">
        <v>1645</v>
      </c>
      <c r="S848" s="460" t="s">
        <v>1528</v>
      </c>
      <c r="T848" s="495" t="s">
        <v>1646</v>
      </c>
      <c r="U848" s="471"/>
      <c r="V848" s="471"/>
      <c r="W848" s="496"/>
      <c r="X848" s="471"/>
      <c r="Y848" s="206"/>
      <c r="Z848" s="206"/>
    </row>
    <row r="849" spans="1:26">
      <c r="A849" s="406">
        <v>846</v>
      </c>
      <c r="B849" s="613" t="s">
        <v>7020</v>
      </c>
      <c r="C849" s="483" t="s">
        <v>1686</v>
      </c>
      <c r="D849" s="414" t="s">
        <v>4884</v>
      </c>
      <c r="E849" s="407" t="s">
        <v>4884</v>
      </c>
      <c r="F849" s="483"/>
      <c r="G849" s="483"/>
      <c r="H849" s="483"/>
      <c r="I849" s="483"/>
      <c r="J849" s="483"/>
      <c r="K849" s="483"/>
      <c r="L849" s="608" t="s">
        <v>4884</v>
      </c>
      <c r="M849" s="409" t="s">
        <v>4884</v>
      </c>
      <c r="N849" s="409" t="s">
        <v>4884</v>
      </c>
      <c r="O849" s="410" t="s">
        <v>4884</v>
      </c>
      <c r="P849" s="406">
        <v>846</v>
      </c>
      <c r="Q849" s="460" t="s">
        <v>1686</v>
      </c>
      <c r="R849" s="460" t="s">
        <v>1645</v>
      </c>
      <c r="S849" s="460" t="s">
        <v>1528</v>
      </c>
      <c r="T849" s="495" t="s">
        <v>1646</v>
      </c>
      <c r="U849" s="471"/>
      <c r="V849" s="471"/>
      <c r="W849" s="497"/>
      <c r="X849" s="471"/>
      <c r="Y849" s="206"/>
      <c r="Z849" s="206"/>
    </row>
    <row r="850" spans="1:26">
      <c r="A850" s="406">
        <v>847</v>
      </c>
      <c r="B850" s="613" t="s">
        <v>7020</v>
      </c>
      <c r="C850" s="483" t="s">
        <v>1687</v>
      </c>
      <c r="D850" s="414" t="s">
        <v>4884</v>
      </c>
      <c r="E850" s="407" t="s">
        <v>4884</v>
      </c>
      <c r="F850" s="483"/>
      <c r="G850" s="483"/>
      <c r="H850" s="483"/>
      <c r="I850" s="483"/>
      <c r="J850" s="483"/>
      <c r="K850" s="483"/>
      <c r="L850" s="608" t="s">
        <v>4884</v>
      </c>
      <c r="M850" s="409" t="s">
        <v>4884</v>
      </c>
      <c r="N850" s="409" t="s">
        <v>4884</v>
      </c>
      <c r="O850" s="410" t="s">
        <v>4884</v>
      </c>
      <c r="P850" s="406">
        <v>847</v>
      </c>
      <c r="Q850" s="460" t="s">
        <v>1687</v>
      </c>
      <c r="R850" s="460" t="s">
        <v>1645</v>
      </c>
      <c r="S850" s="460" t="s">
        <v>1528</v>
      </c>
      <c r="T850" s="495" t="s">
        <v>1646</v>
      </c>
      <c r="U850" s="471"/>
      <c r="V850" s="471"/>
      <c r="W850" s="497"/>
      <c r="X850" s="471"/>
      <c r="Y850" s="206"/>
      <c r="Z850" s="206"/>
    </row>
    <row r="851" spans="1:26">
      <c r="A851" s="406">
        <v>848</v>
      </c>
      <c r="B851" s="613" t="s">
        <v>7020</v>
      </c>
      <c r="C851" s="483" t="s">
        <v>1688</v>
      </c>
      <c r="D851" s="414" t="s">
        <v>4884</v>
      </c>
      <c r="E851" s="407" t="s">
        <v>4884</v>
      </c>
      <c r="F851" s="483"/>
      <c r="G851" s="483"/>
      <c r="H851" s="483"/>
      <c r="I851" s="483"/>
      <c r="J851" s="483"/>
      <c r="K851" s="483"/>
      <c r="L851" s="608" t="s">
        <v>4884</v>
      </c>
      <c r="M851" s="409" t="s">
        <v>4884</v>
      </c>
      <c r="N851" s="409" t="s">
        <v>4884</v>
      </c>
      <c r="O851" s="410" t="s">
        <v>4884</v>
      </c>
      <c r="P851" s="406">
        <v>848</v>
      </c>
      <c r="Q851" s="460" t="s">
        <v>1688</v>
      </c>
      <c r="R851" s="460" t="s">
        <v>1645</v>
      </c>
      <c r="S851" s="460" t="s">
        <v>1528</v>
      </c>
      <c r="T851" s="495" t="s">
        <v>1646</v>
      </c>
      <c r="U851" s="471"/>
      <c r="V851" s="471"/>
      <c r="W851" s="497"/>
      <c r="X851" s="471"/>
      <c r="Y851" s="206"/>
      <c r="Z851" s="206"/>
    </row>
    <row r="852" spans="1:26">
      <c r="A852" s="406">
        <v>849</v>
      </c>
      <c r="B852" s="613" t="s">
        <v>7020</v>
      </c>
      <c r="C852" s="483" t="s">
        <v>1689</v>
      </c>
      <c r="D852" s="414" t="s">
        <v>4884</v>
      </c>
      <c r="E852" s="407" t="s">
        <v>4884</v>
      </c>
      <c r="F852" s="483"/>
      <c r="G852" s="483"/>
      <c r="H852" s="483"/>
      <c r="I852" s="483"/>
      <c r="J852" s="483"/>
      <c r="K852" s="483"/>
      <c r="L852" s="608" t="s">
        <v>4884</v>
      </c>
      <c r="M852" s="409" t="s">
        <v>4884</v>
      </c>
      <c r="N852" s="409" t="s">
        <v>4884</v>
      </c>
      <c r="O852" s="410" t="s">
        <v>4884</v>
      </c>
      <c r="P852" s="406">
        <v>849</v>
      </c>
      <c r="Q852" s="460" t="s">
        <v>1689</v>
      </c>
      <c r="R852" s="460" t="s">
        <v>1645</v>
      </c>
      <c r="S852" s="460" t="s">
        <v>1528</v>
      </c>
      <c r="T852" s="495" t="s">
        <v>1646</v>
      </c>
      <c r="U852" s="471"/>
      <c r="V852" s="471"/>
      <c r="W852" s="497"/>
      <c r="X852" s="471"/>
      <c r="Y852" s="206"/>
      <c r="Z852" s="206"/>
    </row>
    <row r="853" spans="1:26">
      <c r="A853" s="406">
        <v>850</v>
      </c>
      <c r="B853" s="613" t="s">
        <v>7020</v>
      </c>
      <c r="C853" s="483" t="s">
        <v>1690</v>
      </c>
      <c r="D853" s="414" t="s">
        <v>4884</v>
      </c>
      <c r="E853" s="407" t="s">
        <v>4884</v>
      </c>
      <c r="F853" s="483"/>
      <c r="G853" s="483"/>
      <c r="H853" s="483"/>
      <c r="I853" s="483"/>
      <c r="J853" s="483"/>
      <c r="K853" s="483"/>
      <c r="L853" s="608" t="s">
        <v>4884</v>
      </c>
      <c r="M853" s="409" t="s">
        <v>4884</v>
      </c>
      <c r="N853" s="409" t="s">
        <v>4884</v>
      </c>
      <c r="O853" s="410" t="s">
        <v>4884</v>
      </c>
      <c r="P853" s="406">
        <v>850</v>
      </c>
      <c r="Q853" s="460" t="s">
        <v>1690</v>
      </c>
      <c r="R853" s="460" t="s">
        <v>1645</v>
      </c>
      <c r="S853" s="460" t="s">
        <v>1528</v>
      </c>
      <c r="T853" s="495" t="s">
        <v>1646</v>
      </c>
      <c r="U853" s="471"/>
      <c r="V853" s="471"/>
      <c r="W853" s="497"/>
      <c r="X853" s="471"/>
      <c r="Y853" s="206"/>
      <c r="Z853" s="206"/>
    </row>
    <row r="854" spans="1:26">
      <c r="A854" s="406">
        <v>851</v>
      </c>
      <c r="B854" s="613" t="s">
        <v>7020</v>
      </c>
      <c r="C854" s="483" t="s">
        <v>1691</v>
      </c>
      <c r="D854" s="414" t="s">
        <v>4884</v>
      </c>
      <c r="E854" s="407" t="s">
        <v>4884</v>
      </c>
      <c r="F854" s="483"/>
      <c r="G854" s="483"/>
      <c r="H854" s="483"/>
      <c r="I854" s="483"/>
      <c r="J854" s="483"/>
      <c r="K854" s="483"/>
      <c r="L854" s="608" t="s">
        <v>4884</v>
      </c>
      <c r="M854" s="409" t="s">
        <v>4884</v>
      </c>
      <c r="N854" s="409" t="s">
        <v>4884</v>
      </c>
      <c r="O854" s="410" t="s">
        <v>4884</v>
      </c>
      <c r="P854" s="406">
        <v>851</v>
      </c>
      <c r="Q854" s="460" t="s">
        <v>1691</v>
      </c>
      <c r="R854" s="460" t="s">
        <v>1645</v>
      </c>
      <c r="S854" s="460" t="s">
        <v>1528</v>
      </c>
      <c r="T854" s="495" t="s">
        <v>1646</v>
      </c>
      <c r="U854" s="471"/>
      <c r="V854" s="471"/>
      <c r="W854" s="497"/>
      <c r="X854" s="471"/>
      <c r="Y854" s="206"/>
      <c r="Z854" s="206"/>
    </row>
    <row r="855" spans="1:26">
      <c r="A855" s="406">
        <v>852</v>
      </c>
      <c r="B855" s="613" t="s">
        <v>7020</v>
      </c>
      <c r="C855" s="483" t="s">
        <v>1692</v>
      </c>
      <c r="D855" s="414" t="s">
        <v>4884</v>
      </c>
      <c r="E855" s="407" t="s">
        <v>4884</v>
      </c>
      <c r="F855" s="483"/>
      <c r="G855" s="483"/>
      <c r="H855" s="483"/>
      <c r="I855" s="483"/>
      <c r="J855" s="483"/>
      <c r="K855" s="483"/>
      <c r="L855" s="608" t="s">
        <v>4884</v>
      </c>
      <c r="M855" s="409" t="s">
        <v>4884</v>
      </c>
      <c r="N855" s="409" t="s">
        <v>4884</v>
      </c>
      <c r="O855" s="410" t="s">
        <v>4884</v>
      </c>
      <c r="P855" s="406">
        <v>852</v>
      </c>
      <c r="Q855" s="460" t="s">
        <v>1692</v>
      </c>
      <c r="R855" s="460" t="s">
        <v>1645</v>
      </c>
      <c r="S855" s="460" t="s">
        <v>1528</v>
      </c>
      <c r="T855" s="495" t="s">
        <v>1646</v>
      </c>
      <c r="U855" s="471"/>
      <c r="V855" s="471"/>
      <c r="W855" s="497"/>
      <c r="X855" s="471"/>
      <c r="Y855" s="206"/>
      <c r="Z855" s="206"/>
    </row>
    <row r="856" spans="1:26">
      <c r="A856" s="406">
        <v>853</v>
      </c>
      <c r="B856" s="613" t="s">
        <v>7020</v>
      </c>
      <c r="C856" s="483" t="s">
        <v>1693</v>
      </c>
      <c r="D856" s="414" t="s">
        <v>4884</v>
      </c>
      <c r="E856" s="407" t="s">
        <v>4884</v>
      </c>
      <c r="F856" s="483"/>
      <c r="G856" s="483"/>
      <c r="H856" s="483"/>
      <c r="I856" s="483"/>
      <c r="J856" s="483"/>
      <c r="K856" s="483"/>
      <c r="L856" s="608" t="s">
        <v>4884</v>
      </c>
      <c r="M856" s="409" t="s">
        <v>4884</v>
      </c>
      <c r="N856" s="409" t="s">
        <v>4884</v>
      </c>
      <c r="O856" s="410" t="s">
        <v>4884</v>
      </c>
      <c r="P856" s="406">
        <v>853</v>
      </c>
      <c r="Q856" s="460" t="s">
        <v>1693</v>
      </c>
      <c r="R856" s="460" t="s">
        <v>1645</v>
      </c>
      <c r="S856" s="460" t="s">
        <v>1528</v>
      </c>
      <c r="T856" s="495" t="s">
        <v>1646</v>
      </c>
      <c r="U856" s="471"/>
      <c r="V856" s="471"/>
      <c r="W856" s="497"/>
      <c r="X856" s="471"/>
      <c r="Y856" s="206"/>
      <c r="Z856" s="206"/>
    </row>
    <row r="857" spans="1:26">
      <c r="A857" s="406">
        <v>854</v>
      </c>
      <c r="B857" s="613" t="s">
        <v>7020</v>
      </c>
      <c r="C857" s="483" t="s">
        <v>1694</v>
      </c>
      <c r="D857" s="414" t="s">
        <v>4884</v>
      </c>
      <c r="E857" s="407" t="s">
        <v>4884</v>
      </c>
      <c r="F857" s="483"/>
      <c r="G857" s="483"/>
      <c r="H857" s="483"/>
      <c r="I857" s="483"/>
      <c r="J857" s="483"/>
      <c r="K857" s="483"/>
      <c r="L857" s="608" t="s">
        <v>4884</v>
      </c>
      <c r="M857" s="409" t="s">
        <v>4884</v>
      </c>
      <c r="N857" s="409" t="s">
        <v>4884</v>
      </c>
      <c r="O857" s="410" t="s">
        <v>4884</v>
      </c>
      <c r="P857" s="406">
        <v>854</v>
      </c>
      <c r="Q857" s="460" t="s">
        <v>1694</v>
      </c>
      <c r="R857" s="460" t="s">
        <v>1645</v>
      </c>
      <c r="S857" s="460" t="s">
        <v>1528</v>
      </c>
      <c r="T857" s="495" t="s">
        <v>1646</v>
      </c>
      <c r="U857" s="471"/>
      <c r="V857" s="471"/>
      <c r="W857" s="497"/>
      <c r="X857" s="471"/>
      <c r="Y857" s="206"/>
      <c r="Z857" s="206"/>
    </row>
    <row r="858" spans="1:26">
      <c r="A858" s="406">
        <v>855</v>
      </c>
      <c r="B858" s="613" t="s">
        <v>7020</v>
      </c>
      <c r="C858" s="483" t="s">
        <v>1695</v>
      </c>
      <c r="D858" s="414" t="s">
        <v>4884</v>
      </c>
      <c r="E858" s="407" t="s">
        <v>4884</v>
      </c>
      <c r="F858" s="483"/>
      <c r="G858" s="483"/>
      <c r="H858" s="483"/>
      <c r="I858" s="483"/>
      <c r="J858" s="483"/>
      <c r="K858" s="483"/>
      <c r="L858" s="608" t="s">
        <v>4884</v>
      </c>
      <c r="M858" s="409" t="s">
        <v>4884</v>
      </c>
      <c r="N858" s="409" t="s">
        <v>4884</v>
      </c>
      <c r="O858" s="410" t="s">
        <v>4884</v>
      </c>
      <c r="P858" s="406">
        <v>855</v>
      </c>
      <c r="Q858" s="460" t="s">
        <v>1695</v>
      </c>
      <c r="R858" s="460" t="s">
        <v>1645</v>
      </c>
      <c r="S858" s="460" t="s">
        <v>1528</v>
      </c>
      <c r="T858" s="495" t="s">
        <v>1646</v>
      </c>
      <c r="U858" s="471"/>
      <c r="V858" s="471"/>
      <c r="W858" s="497"/>
      <c r="X858" s="471"/>
      <c r="Y858" s="206"/>
      <c r="Z858" s="206"/>
    </row>
    <row r="859" spans="1:26">
      <c r="A859" s="406">
        <v>856</v>
      </c>
      <c r="B859" s="613" t="s">
        <v>7020</v>
      </c>
      <c r="C859" s="483" t="s">
        <v>1696</v>
      </c>
      <c r="D859" s="414" t="s">
        <v>4884</v>
      </c>
      <c r="E859" s="407" t="s">
        <v>4884</v>
      </c>
      <c r="F859" s="483"/>
      <c r="G859" s="483"/>
      <c r="H859" s="483"/>
      <c r="I859" s="483"/>
      <c r="J859" s="483"/>
      <c r="K859" s="483"/>
      <c r="L859" s="608" t="s">
        <v>4884</v>
      </c>
      <c r="M859" s="409" t="s">
        <v>4884</v>
      </c>
      <c r="N859" s="409" t="s">
        <v>4884</v>
      </c>
      <c r="O859" s="410" t="s">
        <v>4884</v>
      </c>
      <c r="P859" s="406">
        <v>856</v>
      </c>
      <c r="Q859" s="460" t="s">
        <v>1696</v>
      </c>
      <c r="R859" s="460" t="s">
        <v>1645</v>
      </c>
      <c r="S859" s="460" t="s">
        <v>1528</v>
      </c>
      <c r="T859" s="495" t="s">
        <v>1646</v>
      </c>
      <c r="U859" s="471"/>
      <c r="V859" s="471"/>
      <c r="W859" s="497"/>
      <c r="X859" s="471"/>
      <c r="Y859" s="206"/>
      <c r="Z859" s="206"/>
    </row>
    <row r="860" spans="1:26">
      <c r="A860" s="406">
        <v>857</v>
      </c>
      <c r="B860" s="613" t="s">
        <v>7020</v>
      </c>
      <c r="C860" s="483" t="s">
        <v>1697</v>
      </c>
      <c r="D860" s="414" t="s">
        <v>4884</v>
      </c>
      <c r="E860" s="407" t="s">
        <v>4884</v>
      </c>
      <c r="F860" s="483"/>
      <c r="G860" s="483"/>
      <c r="H860" s="483"/>
      <c r="I860" s="483"/>
      <c r="J860" s="483"/>
      <c r="K860" s="483"/>
      <c r="L860" s="608" t="s">
        <v>4884</v>
      </c>
      <c r="M860" s="409" t="s">
        <v>4884</v>
      </c>
      <c r="N860" s="409" t="s">
        <v>4884</v>
      </c>
      <c r="O860" s="410" t="s">
        <v>4884</v>
      </c>
      <c r="P860" s="406">
        <v>857</v>
      </c>
      <c r="Q860" s="460" t="s">
        <v>1697</v>
      </c>
      <c r="R860" s="460" t="s">
        <v>1645</v>
      </c>
      <c r="S860" s="460" t="s">
        <v>1528</v>
      </c>
      <c r="T860" s="495" t="s">
        <v>1646</v>
      </c>
      <c r="U860" s="471"/>
      <c r="V860" s="471"/>
      <c r="W860" s="497"/>
      <c r="X860" s="471"/>
      <c r="Y860" s="206"/>
      <c r="Z860" s="206"/>
    </row>
    <row r="861" spans="1:26">
      <c r="A861" s="406">
        <v>858</v>
      </c>
      <c r="B861" s="613" t="s">
        <v>7020</v>
      </c>
      <c r="C861" s="483" t="s">
        <v>1698</v>
      </c>
      <c r="D861" s="414" t="s">
        <v>4884</v>
      </c>
      <c r="E861" s="407" t="s">
        <v>4884</v>
      </c>
      <c r="F861" s="483"/>
      <c r="G861" s="483"/>
      <c r="H861" s="483"/>
      <c r="I861" s="483"/>
      <c r="J861" s="483"/>
      <c r="K861" s="483"/>
      <c r="L861" s="608" t="s">
        <v>4884</v>
      </c>
      <c r="M861" s="409" t="s">
        <v>4884</v>
      </c>
      <c r="N861" s="409" t="s">
        <v>4884</v>
      </c>
      <c r="O861" s="410" t="s">
        <v>4884</v>
      </c>
      <c r="P861" s="406">
        <v>858</v>
      </c>
      <c r="Q861" s="460" t="s">
        <v>1698</v>
      </c>
      <c r="R861" s="460" t="s">
        <v>1645</v>
      </c>
      <c r="S861" s="460" t="s">
        <v>1528</v>
      </c>
      <c r="T861" s="495" t="s">
        <v>1646</v>
      </c>
      <c r="U861" s="471"/>
      <c r="V861" s="471"/>
      <c r="W861" s="498"/>
      <c r="X861" s="471"/>
      <c r="Y861" s="206"/>
      <c r="Z861" s="206"/>
    </row>
    <row r="862" spans="1:26">
      <c r="A862" s="406">
        <v>859</v>
      </c>
      <c r="B862" s="613" t="s">
        <v>7020</v>
      </c>
      <c r="C862" s="483" t="s">
        <v>1699</v>
      </c>
      <c r="D862" s="414" t="s">
        <v>4884</v>
      </c>
      <c r="E862" s="407" t="s">
        <v>4884</v>
      </c>
      <c r="F862" s="483"/>
      <c r="G862" s="483"/>
      <c r="H862" s="483"/>
      <c r="I862" s="483"/>
      <c r="J862" s="483"/>
      <c r="K862" s="483"/>
      <c r="L862" s="608" t="s">
        <v>4884</v>
      </c>
      <c r="M862" s="409" t="s">
        <v>4884</v>
      </c>
      <c r="N862" s="409" t="s">
        <v>4884</v>
      </c>
      <c r="O862" s="410" t="s">
        <v>4884</v>
      </c>
      <c r="P862" s="406">
        <v>859</v>
      </c>
      <c r="Q862" s="460" t="s">
        <v>1699</v>
      </c>
      <c r="R862" s="460" t="s">
        <v>1645</v>
      </c>
      <c r="S862" s="460" t="s">
        <v>1528</v>
      </c>
      <c r="T862" s="495" t="s">
        <v>1646</v>
      </c>
      <c r="U862" s="471"/>
      <c r="V862" s="471"/>
      <c r="W862" s="499" t="s">
        <v>4895</v>
      </c>
      <c r="X862" s="500"/>
      <c r="Y862" s="206"/>
      <c r="Z862" s="206"/>
    </row>
    <row r="863" spans="1:26">
      <c r="A863" s="406">
        <v>860</v>
      </c>
      <c r="B863" s="613" t="s">
        <v>7020</v>
      </c>
      <c r="C863" s="483" t="s">
        <v>1700</v>
      </c>
      <c r="D863" s="414" t="s">
        <v>4884</v>
      </c>
      <c r="E863" s="407" t="s">
        <v>4884</v>
      </c>
      <c r="F863" s="483"/>
      <c r="G863" s="483"/>
      <c r="H863" s="483"/>
      <c r="I863" s="483"/>
      <c r="J863" s="483"/>
      <c r="K863" s="483"/>
      <c r="L863" s="608" t="s">
        <v>4884</v>
      </c>
      <c r="M863" s="409" t="s">
        <v>4884</v>
      </c>
      <c r="N863" s="409" t="s">
        <v>4884</v>
      </c>
      <c r="O863" s="410" t="s">
        <v>4884</v>
      </c>
      <c r="P863" s="406">
        <v>860</v>
      </c>
      <c r="Q863" s="460" t="s">
        <v>1700</v>
      </c>
      <c r="R863" s="460" t="s">
        <v>1645</v>
      </c>
      <c r="S863" s="460" t="s">
        <v>1528</v>
      </c>
      <c r="T863" s="495" t="s">
        <v>1646</v>
      </c>
      <c r="U863" s="471"/>
      <c r="V863" s="471"/>
      <c r="W863" s="499" t="s">
        <v>4895</v>
      </c>
      <c r="X863" s="501"/>
      <c r="Y863" s="206"/>
      <c r="Z863" s="206"/>
    </row>
    <row r="864" spans="1:26">
      <c r="A864" s="406">
        <v>861</v>
      </c>
      <c r="B864" s="613" t="s">
        <v>7020</v>
      </c>
      <c r="C864" s="483" t="s">
        <v>1701</v>
      </c>
      <c r="D864" s="414" t="s">
        <v>4884</v>
      </c>
      <c r="E864" s="407" t="s">
        <v>4884</v>
      </c>
      <c r="F864" s="483"/>
      <c r="G864" s="483"/>
      <c r="H864" s="483"/>
      <c r="I864" s="483"/>
      <c r="J864" s="483"/>
      <c r="K864" s="483"/>
      <c r="L864" s="608" t="s">
        <v>4884</v>
      </c>
      <c r="M864" s="409" t="s">
        <v>4884</v>
      </c>
      <c r="N864" s="409" t="s">
        <v>4884</v>
      </c>
      <c r="O864" s="410" t="s">
        <v>4884</v>
      </c>
      <c r="P864" s="406">
        <v>861</v>
      </c>
      <c r="Q864" s="460" t="s">
        <v>1701</v>
      </c>
      <c r="R864" s="460" t="s">
        <v>1645</v>
      </c>
      <c r="S864" s="460" t="s">
        <v>1528</v>
      </c>
      <c r="T864" s="495" t="s">
        <v>1646</v>
      </c>
      <c r="U864" s="471"/>
      <c r="V864" s="471"/>
      <c r="W864" s="502"/>
      <c r="X864" s="471"/>
      <c r="Y864" s="206"/>
      <c r="Z864" s="206"/>
    </row>
    <row r="865" spans="1:26">
      <c r="A865" s="406">
        <v>862</v>
      </c>
      <c r="B865" s="613" t="s">
        <v>7020</v>
      </c>
      <c r="C865" s="483" t="s">
        <v>1702</v>
      </c>
      <c r="D865" s="414" t="s">
        <v>4884</v>
      </c>
      <c r="E865" s="407" t="s">
        <v>4884</v>
      </c>
      <c r="F865" s="483"/>
      <c r="G865" s="483"/>
      <c r="H865" s="483"/>
      <c r="I865" s="483"/>
      <c r="J865" s="483"/>
      <c r="K865" s="483"/>
      <c r="L865" s="608" t="s">
        <v>4884</v>
      </c>
      <c r="M865" s="409" t="s">
        <v>4884</v>
      </c>
      <c r="N865" s="409" t="s">
        <v>4884</v>
      </c>
      <c r="O865" s="410" t="s">
        <v>4884</v>
      </c>
      <c r="P865" s="406">
        <v>862</v>
      </c>
      <c r="Q865" s="460" t="s">
        <v>1702</v>
      </c>
      <c r="R865" s="460" t="s">
        <v>1645</v>
      </c>
      <c r="S865" s="460" t="s">
        <v>1528</v>
      </c>
      <c r="T865" s="495" t="s">
        <v>1646</v>
      </c>
      <c r="U865" s="471"/>
      <c r="V865" s="471"/>
      <c r="W865" s="502"/>
      <c r="X865" s="471"/>
      <c r="Y865" s="206"/>
      <c r="Z865" s="206"/>
    </row>
    <row r="866" spans="1:26">
      <c r="A866" s="406">
        <v>863</v>
      </c>
      <c r="B866" s="613" t="s">
        <v>7020</v>
      </c>
      <c r="C866" s="483" t="s">
        <v>1703</v>
      </c>
      <c r="D866" s="414" t="s">
        <v>4884</v>
      </c>
      <c r="E866" s="407" t="s">
        <v>4884</v>
      </c>
      <c r="F866" s="483"/>
      <c r="G866" s="483"/>
      <c r="H866" s="483"/>
      <c r="I866" s="483"/>
      <c r="J866" s="483"/>
      <c r="K866" s="483"/>
      <c r="L866" s="608" t="s">
        <v>4884</v>
      </c>
      <c r="M866" s="409" t="s">
        <v>4884</v>
      </c>
      <c r="N866" s="409" t="s">
        <v>4884</v>
      </c>
      <c r="O866" s="410" t="s">
        <v>4884</v>
      </c>
      <c r="P866" s="406">
        <v>863</v>
      </c>
      <c r="Q866" s="460" t="s">
        <v>1703</v>
      </c>
      <c r="R866" s="460" t="s">
        <v>1645</v>
      </c>
      <c r="S866" s="460" t="s">
        <v>1528</v>
      </c>
      <c r="T866" s="495" t="s">
        <v>1646</v>
      </c>
      <c r="U866" s="471"/>
      <c r="V866" s="471"/>
      <c r="W866" s="503"/>
      <c r="X866" s="471"/>
      <c r="Y866" s="206"/>
      <c r="Z866" s="206"/>
    </row>
    <row r="867" spans="1:26">
      <c r="A867" s="406">
        <v>864</v>
      </c>
      <c r="B867" s="613" t="s">
        <v>7020</v>
      </c>
      <c r="C867" s="483" t="s">
        <v>1704</v>
      </c>
      <c r="D867" s="414" t="s">
        <v>4884</v>
      </c>
      <c r="E867" s="407" t="s">
        <v>4884</v>
      </c>
      <c r="F867" s="483"/>
      <c r="G867" s="483"/>
      <c r="H867" s="483"/>
      <c r="I867" s="483"/>
      <c r="J867" s="483"/>
      <c r="K867" s="483"/>
      <c r="L867" s="608" t="s">
        <v>4884</v>
      </c>
      <c r="M867" s="409" t="s">
        <v>4884</v>
      </c>
      <c r="N867" s="409" t="s">
        <v>4884</v>
      </c>
      <c r="O867" s="410" t="s">
        <v>4884</v>
      </c>
      <c r="P867" s="406">
        <v>864</v>
      </c>
      <c r="Q867" s="460" t="s">
        <v>1704</v>
      </c>
      <c r="R867" s="460" t="s">
        <v>1645</v>
      </c>
      <c r="S867" s="460" t="s">
        <v>1528</v>
      </c>
      <c r="T867" s="495" t="s">
        <v>1646</v>
      </c>
      <c r="U867" s="471"/>
      <c r="V867" s="471"/>
      <c r="W867" s="503"/>
      <c r="X867" s="471"/>
      <c r="Y867" s="206"/>
      <c r="Z867" s="206"/>
    </row>
    <row r="868" spans="1:26">
      <c r="A868" s="406">
        <v>865</v>
      </c>
      <c r="B868" s="613" t="s">
        <v>7020</v>
      </c>
      <c r="C868" s="483" t="s">
        <v>1705</v>
      </c>
      <c r="D868" s="414" t="s">
        <v>4884</v>
      </c>
      <c r="E868" s="407" t="s">
        <v>4884</v>
      </c>
      <c r="F868" s="483"/>
      <c r="G868" s="483"/>
      <c r="H868" s="483"/>
      <c r="I868" s="483"/>
      <c r="J868" s="483"/>
      <c r="K868" s="483"/>
      <c r="L868" s="608" t="s">
        <v>4884</v>
      </c>
      <c r="M868" s="409" t="s">
        <v>4884</v>
      </c>
      <c r="N868" s="409" t="s">
        <v>4884</v>
      </c>
      <c r="O868" s="410" t="s">
        <v>4884</v>
      </c>
      <c r="P868" s="406">
        <v>865</v>
      </c>
      <c r="Q868" s="460" t="s">
        <v>1705</v>
      </c>
      <c r="R868" s="460" t="s">
        <v>1645</v>
      </c>
      <c r="S868" s="460" t="s">
        <v>1528</v>
      </c>
      <c r="T868" s="495" t="s">
        <v>1646</v>
      </c>
      <c r="U868" s="471"/>
      <c r="V868" s="471"/>
      <c r="W868" s="503"/>
      <c r="X868" s="471"/>
      <c r="Y868" s="206"/>
      <c r="Z868" s="206"/>
    </row>
    <row r="869" spans="1:26">
      <c r="A869" s="406">
        <v>866</v>
      </c>
      <c r="B869" s="613" t="s">
        <v>7020</v>
      </c>
      <c r="C869" s="483" t="s">
        <v>1706</v>
      </c>
      <c r="D869" s="414" t="s">
        <v>4884</v>
      </c>
      <c r="E869" s="407" t="s">
        <v>4884</v>
      </c>
      <c r="F869" s="483"/>
      <c r="G869" s="483"/>
      <c r="H869" s="483"/>
      <c r="I869" s="483"/>
      <c r="J869" s="483"/>
      <c r="K869" s="483"/>
      <c r="L869" s="608" t="s">
        <v>4884</v>
      </c>
      <c r="M869" s="409" t="s">
        <v>4884</v>
      </c>
      <c r="N869" s="409" t="s">
        <v>4884</v>
      </c>
      <c r="O869" s="410" t="s">
        <v>4884</v>
      </c>
      <c r="P869" s="406">
        <v>866</v>
      </c>
      <c r="Q869" s="460" t="s">
        <v>1706</v>
      </c>
      <c r="R869" s="460" t="s">
        <v>1645</v>
      </c>
      <c r="S869" s="460" t="s">
        <v>1528</v>
      </c>
      <c r="T869" s="495" t="s">
        <v>1646</v>
      </c>
      <c r="U869" s="471"/>
      <c r="V869" s="471"/>
      <c r="W869" s="503"/>
      <c r="X869" s="471"/>
      <c r="Y869" s="206"/>
      <c r="Z869" s="206"/>
    </row>
    <row r="870" spans="1:26">
      <c r="A870" s="406">
        <v>867</v>
      </c>
      <c r="B870" s="613" t="s">
        <v>7020</v>
      </c>
      <c r="C870" s="483" t="s">
        <v>1707</v>
      </c>
      <c r="D870" s="414" t="s">
        <v>4884</v>
      </c>
      <c r="E870" s="407" t="s">
        <v>4884</v>
      </c>
      <c r="F870" s="483"/>
      <c r="G870" s="483"/>
      <c r="H870" s="483"/>
      <c r="I870" s="483"/>
      <c r="J870" s="483"/>
      <c r="K870" s="483"/>
      <c r="L870" s="608" t="s">
        <v>4884</v>
      </c>
      <c r="M870" s="409" t="s">
        <v>4884</v>
      </c>
      <c r="N870" s="409" t="s">
        <v>4884</v>
      </c>
      <c r="O870" s="410" t="s">
        <v>4884</v>
      </c>
      <c r="P870" s="406">
        <v>867</v>
      </c>
      <c r="Q870" s="460" t="s">
        <v>1707</v>
      </c>
      <c r="R870" s="460" t="s">
        <v>1645</v>
      </c>
      <c r="S870" s="460" t="s">
        <v>1528</v>
      </c>
      <c r="T870" s="495" t="s">
        <v>1646</v>
      </c>
      <c r="U870" s="471"/>
      <c r="V870" s="471"/>
      <c r="W870" s="503"/>
      <c r="X870" s="471"/>
      <c r="Y870" s="206"/>
      <c r="Z870" s="206"/>
    </row>
    <row r="871" spans="1:26">
      <c r="A871" s="406">
        <v>868</v>
      </c>
      <c r="B871" s="613" t="s">
        <v>7020</v>
      </c>
      <c r="C871" s="483" t="s">
        <v>1708</v>
      </c>
      <c r="D871" s="414" t="s">
        <v>4884</v>
      </c>
      <c r="E871" s="407" t="s">
        <v>4884</v>
      </c>
      <c r="F871" s="483"/>
      <c r="G871" s="483"/>
      <c r="H871" s="483"/>
      <c r="I871" s="483"/>
      <c r="J871" s="483"/>
      <c r="K871" s="483"/>
      <c r="L871" s="608" t="s">
        <v>4884</v>
      </c>
      <c r="M871" s="409" t="s">
        <v>4884</v>
      </c>
      <c r="N871" s="409" t="s">
        <v>4884</v>
      </c>
      <c r="O871" s="410" t="s">
        <v>4884</v>
      </c>
      <c r="P871" s="406">
        <v>868</v>
      </c>
      <c r="Q871" s="460" t="s">
        <v>1708</v>
      </c>
      <c r="R871" s="460" t="s">
        <v>1645</v>
      </c>
      <c r="S871" s="460" t="s">
        <v>1528</v>
      </c>
      <c r="T871" s="495" t="s">
        <v>1646</v>
      </c>
      <c r="U871" s="471"/>
      <c r="V871" s="471"/>
      <c r="W871" s="503"/>
      <c r="X871" s="471"/>
      <c r="Y871" s="206"/>
      <c r="Z871" s="206"/>
    </row>
    <row r="872" spans="1:26">
      <c r="A872" s="406">
        <v>869</v>
      </c>
      <c r="B872" s="613" t="s">
        <v>7020</v>
      </c>
      <c r="C872" s="483" t="s">
        <v>1709</v>
      </c>
      <c r="D872" s="414" t="s">
        <v>4884</v>
      </c>
      <c r="E872" s="407" t="s">
        <v>4884</v>
      </c>
      <c r="F872" s="483"/>
      <c r="G872" s="483"/>
      <c r="H872" s="483"/>
      <c r="I872" s="483"/>
      <c r="J872" s="483"/>
      <c r="K872" s="483"/>
      <c r="L872" s="608" t="s">
        <v>4884</v>
      </c>
      <c r="M872" s="409" t="s">
        <v>4884</v>
      </c>
      <c r="N872" s="409" t="s">
        <v>4884</v>
      </c>
      <c r="O872" s="410" t="s">
        <v>4884</v>
      </c>
      <c r="P872" s="406">
        <v>869</v>
      </c>
      <c r="Q872" s="460" t="s">
        <v>1709</v>
      </c>
      <c r="R872" s="460" t="s">
        <v>1645</v>
      </c>
      <c r="S872" s="460" t="s">
        <v>1528</v>
      </c>
      <c r="T872" s="495" t="s">
        <v>1646</v>
      </c>
      <c r="U872" s="471"/>
      <c r="V872" s="471"/>
      <c r="W872" s="503"/>
      <c r="X872" s="471"/>
      <c r="Y872" s="206"/>
      <c r="Z872" s="206"/>
    </row>
    <row r="873" spans="1:26">
      <c r="A873" s="406">
        <v>870</v>
      </c>
      <c r="B873" s="613" t="s">
        <v>7020</v>
      </c>
      <c r="C873" s="483" t="s">
        <v>1710</v>
      </c>
      <c r="D873" s="414" t="s">
        <v>4884</v>
      </c>
      <c r="E873" s="407" t="s">
        <v>4884</v>
      </c>
      <c r="F873" s="483"/>
      <c r="G873" s="483"/>
      <c r="H873" s="483"/>
      <c r="I873" s="483"/>
      <c r="J873" s="483"/>
      <c r="K873" s="483"/>
      <c r="L873" s="608" t="s">
        <v>4884</v>
      </c>
      <c r="M873" s="409" t="s">
        <v>4884</v>
      </c>
      <c r="N873" s="409" t="s">
        <v>4884</v>
      </c>
      <c r="O873" s="410" t="s">
        <v>4884</v>
      </c>
      <c r="P873" s="406">
        <v>870</v>
      </c>
      <c r="Q873" s="460" t="s">
        <v>1710</v>
      </c>
      <c r="R873" s="460" t="s">
        <v>1645</v>
      </c>
      <c r="S873" s="460" t="s">
        <v>1528</v>
      </c>
      <c r="T873" s="495" t="s">
        <v>1646</v>
      </c>
      <c r="U873" s="471"/>
      <c r="V873" s="471"/>
      <c r="W873" s="503"/>
      <c r="X873" s="471"/>
      <c r="Y873" s="206"/>
      <c r="Z873" s="206"/>
    </row>
    <row r="874" spans="1:26">
      <c r="A874" s="406">
        <v>871</v>
      </c>
      <c r="B874" s="613" t="s">
        <v>7020</v>
      </c>
      <c r="C874" s="483" t="s">
        <v>1711</v>
      </c>
      <c r="D874" s="414" t="s">
        <v>4884</v>
      </c>
      <c r="E874" s="407" t="s">
        <v>4884</v>
      </c>
      <c r="F874" s="483"/>
      <c r="G874" s="483"/>
      <c r="H874" s="483"/>
      <c r="I874" s="483"/>
      <c r="J874" s="483"/>
      <c r="K874" s="483"/>
      <c r="L874" s="608" t="s">
        <v>4884</v>
      </c>
      <c r="M874" s="409" t="s">
        <v>4884</v>
      </c>
      <c r="N874" s="409" t="s">
        <v>4884</v>
      </c>
      <c r="O874" s="410" t="s">
        <v>4884</v>
      </c>
      <c r="P874" s="406">
        <v>871</v>
      </c>
      <c r="Q874" s="460" t="s">
        <v>1711</v>
      </c>
      <c r="R874" s="460" t="s">
        <v>1645</v>
      </c>
      <c r="S874" s="460" t="s">
        <v>1528</v>
      </c>
      <c r="T874" s="495" t="s">
        <v>1646</v>
      </c>
      <c r="U874" s="471"/>
      <c r="V874" s="471"/>
      <c r="W874" s="503"/>
      <c r="X874" s="471"/>
      <c r="Y874" s="206"/>
      <c r="Z874" s="206"/>
    </row>
    <row r="875" spans="1:26">
      <c r="A875" s="406">
        <v>872</v>
      </c>
      <c r="B875" s="613" t="s">
        <v>7020</v>
      </c>
      <c r="C875" s="483" t="s">
        <v>1712</v>
      </c>
      <c r="D875" s="414" t="s">
        <v>4884</v>
      </c>
      <c r="E875" s="407" t="s">
        <v>4884</v>
      </c>
      <c r="F875" s="483"/>
      <c r="G875" s="483"/>
      <c r="H875" s="483"/>
      <c r="I875" s="483"/>
      <c r="J875" s="483"/>
      <c r="K875" s="483"/>
      <c r="L875" s="608" t="s">
        <v>4884</v>
      </c>
      <c r="M875" s="409" t="s">
        <v>4884</v>
      </c>
      <c r="N875" s="409" t="s">
        <v>4884</v>
      </c>
      <c r="O875" s="410" t="s">
        <v>4884</v>
      </c>
      <c r="P875" s="406">
        <v>872</v>
      </c>
      <c r="Q875" s="460" t="s">
        <v>1712</v>
      </c>
      <c r="R875" s="460" t="s">
        <v>1645</v>
      </c>
      <c r="S875" s="460" t="s">
        <v>1528</v>
      </c>
      <c r="T875" s="495" t="s">
        <v>1646</v>
      </c>
      <c r="U875" s="471"/>
      <c r="V875" s="471"/>
      <c r="W875" s="503"/>
      <c r="X875" s="471"/>
      <c r="Y875" s="206"/>
      <c r="Z875" s="206"/>
    </row>
    <row r="876" spans="1:26">
      <c r="A876" s="406">
        <v>873</v>
      </c>
      <c r="B876" s="613" t="s">
        <v>7020</v>
      </c>
      <c r="C876" s="483" t="s">
        <v>1713</v>
      </c>
      <c r="D876" s="414" t="s">
        <v>4884</v>
      </c>
      <c r="E876" s="407" t="s">
        <v>4884</v>
      </c>
      <c r="F876" s="483"/>
      <c r="G876" s="483"/>
      <c r="H876" s="483"/>
      <c r="I876" s="483"/>
      <c r="J876" s="483"/>
      <c r="K876" s="483"/>
      <c r="L876" s="608" t="s">
        <v>4884</v>
      </c>
      <c r="M876" s="409" t="s">
        <v>4884</v>
      </c>
      <c r="N876" s="409" t="s">
        <v>4884</v>
      </c>
      <c r="O876" s="410" t="s">
        <v>4884</v>
      </c>
      <c r="P876" s="406">
        <v>873</v>
      </c>
      <c r="Q876" s="460" t="s">
        <v>1713</v>
      </c>
      <c r="R876" s="460" t="s">
        <v>1645</v>
      </c>
      <c r="S876" s="460" t="s">
        <v>1528</v>
      </c>
      <c r="T876" s="495" t="s">
        <v>1646</v>
      </c>
      <c r="U876" s="471"/>
      <c r="V876" s="471"/>
      <c r="W876" s="503"/>
      <c r="X876" s="471"/>
      <c r="Y876" s="206"/>
      <c r="Z876" s="206"/>
    </row>
    <row r="877" spans="1:26">
      <c r="A877" s="406">
        <v>874</v>
      </c>
      <c r="B877" s="613" t="s">
        <v>7020</v>
      </c>
      <c r="C877" s="483" t="s">
        <v>1714</v>
      </c>
      <c r="D877" s="414" t="s">
        <v>4884</v>
      </c>
      <c r="E877" s="407" t="s">
        <v>4884</v>
      </c>
      <c r="F877" s="483"/>
      <c r="G877" s="483"/>
      <c r="H877" s="483"/>
      <c r="I877" s="483"/>
      <c r="J877" s="483"/>
      <c r="K877" s="483"/>
      <c r="L877" s="608" t="s">
        <v>4884</v>
      </c>
      <c r="M877" s="409" t="s">
        <v>4884</v>
      </c>
      <c r="N877" s="409" t="s">
        <v>4884</v>
      </c>
      <c r="O877" s="410" t="s">
        <v>4884</v>
      </c>
      <c r="P877" s="406">
        <v>874</v>
      </c>
      <c r="Q877" s="460" t="s">
        <v>1714</v>
      </c>
      <c r="R877" s="460" t="s">
        <v>1645</v>
      </c>
      <c r="S877" s="460" t="s">
        <v>1528</v>
      </c>
      <c r="T877" s="495" t="s">
        <v>1646</v>
      </c>
      <c r="U877" s="471"/>
      <c r="V877" s="471"/>
      <c r="W877" s="503"/>
      <c r="X877" s="471"/>
      <c r="Y877" s="206"/>
      <c r="Z877" s="206"/>
    </row>
    <row r="878" spans="1:26">
      <c r="A878" s="406">
        <v>875</v>
      </c>
      <c r="B878" s="613" t="s">
        <v>7020</v>
      </c>
      <c r="C878" s="483" t="s">
        <v>1715</v>
      </c>
      <c r="D878" s="414" t="s">
        <v>4884</v>
      </c>
      <c r="E878" s="407" t="s">
        <v>4884</v>
      </c>
      <c r="F878" s="483"/>
      <c r="G878" s="483"/>
      <c r="H878" s="483"/>
      <c r="I878" s="483"/>
      <c r="J878" s="483"/>
      <c r="K878" s="483"/>
      <c r="L878" s="608" t="s">
        <v>4884</v>
      </c>
      <c r="M878" s="409" t="s">
        <v>4884</v>
      </c>
      <c r="N878" s="409" t="s">
        <v>4884</v>
      </c>
      <c r="O878" s="410" t="s">
        <v>4884</v>
      </c>
      <c r="P878" s="406">
        <v>875</v>
      </c>
      <c r="Q878" s="460" t="s">
        <v>1715</v>
      </c>
      <c r="R878" s="460" t="s">
        <v>1645</v>
      </c>
      <c r="S878" s="460" t="s">
        <v>1528</v>
      </c>
      <c r="T878" s="495" t="s">
        <v>1646</v>
      </c>
      <c r="U878" s="471"/>
      <c r="V878" s="471"/>
      <c r="W878" s="503"/>
      <c r="X878" s="471"/>
      <c r="Y878" s="206"/>
      <c r="Z878" s="206"/>
    </row>
    <row r="879" spans="1:26">
      <c r="A879" s="406">
        <v>876</v>
      </c>
      <c r="B879" s="613" t="s">
        <v>7020</v>
      </c>
      <c r="C879" s="483" t="s">
        <v>1716</v>
      </c>
      <c r="D879" s="414" t="s">
        <v>4884</v>
      </c>
      <c r="E879" s="407" t="s">
        <v>4884</v>
      </c>
      <c r="F879" s="483"/>
      <c r="G879" s="483"/>
      <c r="H879" s="483"/>
      <c r="I879" s="483"/>
      <c r="J879" s="483"/>
      <c r="K879" s="483"/>
      <c r="L879" s="608" t="s">
        <v>4884</v>
      </c>
      <c r="M879" s="409" t="s">
        <v>4884</v>
      </c>
      <c r="N879" s="409" t="s">
        <v>4884</v>
      </c>
      <c r="O879" s="410" t="s">
        <v>4884</v>
      </c>
      <c r="P879" s="406">
        <v>876</v>
      </c>
      <c r="Q879" s="460" t="s">
        <v>1716</v>
      </c>
      <c r="R879" s="460" t="s">
        <v>1645</v>
      </c>
      <c r="S879" s="460" t="s">
        <v>1528</v>
      </c>
      <c r="T879" s="495" t="s">
        <v>1646</v>
      </c>
      <c r="U879" s="471"/>
      <c r="V879" s="471"/>
      <c r="W879" s="503"/>
      <c r="X879" s="471"/>
      <c r="Y879" s="206"/>
      <c r="Z879" s="206"/>
    </row>
    <row r="880" spans="1:26">
      <c r="A880" s="406">
        <v>877</v>
      </c>
      <c r="B880" s="613" t="s">
        <v>7020</v>
      </c>
      <c r="C880" s="483" t="s">
        <v>1717</v>
      </c>
      <c r="D880" s="414" t="s">
        <v>4884</v>
      </c>
      <c r="E880" s="407" t="s">
        <v>4884</v>
      </c>
      <c r="F880" s="483"/>
      <c r="G880" s="483"/>
      <c r="H880" s="483"/>
      <c r="I880" s="483"/>
      <c r="J880" s="483"/>
      <c r="K880" s="483"/>
      <c r="L880" s="608" t="s">
        <v>4884</v>
      </c>
      <c r="M880" s="409" t="s">
        <v>4884</v>
      </c>
      <c r="N880" s="409" t="s">
        <v>4884</v>
      </c>
      <c r="O880" s="410" t="s">
        <v>4884</v>
      </c>
      <c r="P880" s="406">
        <v>877</v>
      </c>
      <c r="Q880" s="460" t="s">
        <v>1717</v>
      </c>
      <c r="R880" s="460" t="s">
        <v>1645</v>
      </c>
      <c r="S880" s="460" t="s">
        <v>1528</v>
      </c>
      <c r="T880" s="495" t="s">
        <v>1646</v>
      </c>
      <c r="U880" s="471"/>
      <c r="V880" s="471"/>
      <c r="W880" s="503"/>
      <c r="X880" s="471"/>
      <c r="Y880" s="206"/>
      <c r="Z880" s="206"/>
    </row>
    <row r="881" spans="1:26">
      <c r="A881" s="406">
        <v>878</v>
      </c>
      <c r="B881" s="613" t="s">
        <v>7020</v>
      </c>
      <c r="C881" s="483" t="s">
        <v>1718</v>
      </c>
      <c r="D881" s="414" t="s">
        <v>4884</v>
      </c>
      <c r="E881" s="407" t="s">
        <v>4884</v>
      </c>
      <c r="F881" s="483"/>
      <c r="G881" s="483"/>
      <c r="H881" s="483"/>
      <c r="I881" s="483"/>
      <c r="J881" s="483"/>
      <c r="K881" s="483"/>
      <c r="L881" s="608" t="s">
        <v>4884</v>
      </c>
      <c r="M881" s="409" t="s">
        <v>4884</v>
      </c>
      <c r="N881" s="409" t="s">
        <v>4884</v>
      </c>
      <c r="O881" s="410" t="s">
        <v>4884</v>
      </c>
      <c r="P881" s="406">
        <v>878</v>
      </c>
      <c r="Q881" s="460" t="s">
        <v>1718</v>
      </c>
      <c r="R881" s="460" t="s">
        <v>1645</v>
      </c>
      <c r="S881" s="460" t="s">
        <v>1528</v>
      </c>
      <c r="T881" s="495" t="s">
        <v>1646</v>
      </c>
      <c r="U881" s="471"/>
      <c r="V881" s="471"/>
      <c r="W881" s="503"/>
      <c r="X881" s="471"/>
      <c r="Y881" s="206"/>
      <c r="Z881" s="206"/>
    </row>
    <row r="882" spans="1:26">
      <c r="A882" s="406">
        <v>879</v>
      </c>
      <c r="B882" s="613" t="s">
        <v>7020</v>
      </c>
      <c r="C882" s="483" t="s">
        <v>1719</v>
      </c>
      <c r="D882" s="414" t="s">
        <v>4884</v>
      </c>
      <c r="E882" s="407" t="s">
        <v>4884</v>
      </c>
      <c r="F882" s="483"/>
      <c r="G882" s="483"/>
      <c r="H882" s="483"/>
      <c r="I882" s="483"/>
      <c r="J882" s="483"/>
      <c r="K882" s="483"/>
      <c r="L882" s="608" t="s">
        <v>4884</v>
      </c>
      <c r="M882" s="409" t="s">
        <v>4884</v>
      </c>
      <c r="N882" s="409" t="s">
        <v>4884</v>
      </c>
      <c r="O882" s="410" t="s">
        <v>4884</v>
      </c>
      <c r="P882" s="406">
        <v>879</v>
      </c>
      <c r="Q882" s="460" t="s">
        <v>1719</v>
      </c>
      <c r="R882" s="460" t="s">
        <v>1645</v>
      </c>
      <c r="S882" s="460" t="s">
        <v>1528</v>
      </c>
      <c r="T882" s="495" t="s">
        <v>1646</v>
      </c>
      <c r="U882" s="471"/>
      <c r="V882" s="471"/>
      <c r="W882" s="503"/>
      <c r="X882" s="471"/>
      <c r="Y882" s="206"/>
      <c r="Z882" s="206"/>
    </row>
    <row r="883" spans="1:26">
      <c r="A883" s="406">
        <v>880</v>
      </c>
      <c r="B883" s="613" t="s">
        <v>7020</v>
      </c>
      <c r="C883" s="483" t="s">
        <v>1720</v>
      </c>
      <c r="D883" s="414" t="s">
        <v>4884</v>
      </c>
      <c r="E883" s="407" t="s">
        <v>4884</v>
      </c>
      <c r="F883" s="483"/>
      <c r="G883" s="483"/>
      <c r="H883" s="483"/>
      <c r="I883" s="483"/>
      <c r="J883" s="483"/>
      <c r="K883" s="483"/>
      <c r="L883" s="608" t="s">
        <v>4884</v>
      </c>
      <c r="M883" s="409" t="s">
        <v>4884</v>
      </c>
      <c r="N883" s="409" t="s">
        <v>4884</v>
      </c>
      <c r="O883" s="410" t="s">
        <v>4884</v>
      </c>
      <c r="P883" s="406">
        <v>880</v>
      </c>
      <c r="Q883" s="460" t="s">
        <v>1720</v>
      </c>
      <c r="R883" s="460" t="s">
        <v>1645</v>
      </c>
      <c r="S883" s="460" t="s">
        <v>1528</v>
      </c>
      <c r="T883" s="495" t="s">
        <v>1646</v>
      </c>
      <c r="U883" s="471"/>
      <c r="V883" s="471"/>
      <c r="W883" s="503"/>
      <c r="X883" s="471"/>
      <c r="Y883" s="206"/>
      <c r="Z883" s="206"/>
    </row>
    <row r="884" spans="1:26">
      <c r="A884" s="406">
        <v>881</v>
      </c>
      <c r="B884" s="613" t="s">
        <v>7020</v>
      </c>
      <c r="C884" s="483" t="s">
        <v>1721</v>
      </c>
      <c r="D884" s="414" t="s">
        <v>4884</v>
      </c>
      <c r="E884" s="407" t="s">
        <v>4884</v>
      </c>
      <c r="F884" s="483"/>
      <c r="G884" s="483"/>
      <c r="H884" s="483"/>
      <c r="I884" s="483"/>
      <c r="J884" s="483"/>
      <c r="K884" s="483"/>
      <c r="L884" s="608" t="s">
        <v>4884</v>
      </c>
      <c r="M884" s="409" t="s">
        <v>4884</v>
      </c>
      <c r="N884" s="409" t="s">
        <v>4884</v>
      </c>
      <c r="O884" s="410" t="s">
        <v>4884</v>
      </c>
      <c r="P884" s="406">
        <v>881</v>
      </c>
      <c r="Q884" s="460" t="s">
        <v>1721</v>
      </c>
      <c r="R884" s="460" t="s">
        <v>1645</v>
      </c>
      <c r="S884" s="460" t="s">
        <v>1528</v>
      </c>
      <c r="T884" s="495" t="s">
        <v>1646</v>
      </c>
      <c r="U884" s="471"/>
      <c r="V884" s="471"/>
      <c r="W884" s="503"/>
      <c r="X884" s="471"/>
      <c r="Y884" s="206"/>
      <c r="Z884" s="206"/>
    </row>
    <row r="885" spans="1:26">
      <c r="A885" s="406">
        <v>882</v>
      </c>
      <c r="B885" s="613" t="s">
        <v>7020</v>
      </c>
      <c r="C885" s="483" t="s">
        <v>1722</v>
      </c>
      <c r="D885" s="414" t="s">
        <v>4884</v>
      </c>
      <c r="E885" s="407" t="s">
        <v>4884</v>
      </c>
      <c r="F885" s="483"/>
      <c r="G885" s="483"/>
      <c r="H885" s="483"/>
      <c r="I885" s="483"/>
      <c r="J885" s="483"/>
      <c r="K885" s="483"/>
      <c r="L885" s="608" t="s">
        <v>4884</v>
      </c>
      <c r="M885" s="409" t="s">
        <v>4884</v>
      </c>
      <c r="N885" s="409" t="s">
        <v>4884</v>
      </c>
      <c r="O885" s="410" t="s">
        <v>4884</v>
      </c>
      <c r="P885" s="406">
        <v>882</v>
      </c>
      <c r="Q885" s="460" t="s">
        <v>1722</v>
      </c>
      <c r="R885" s="460" t="s">
        <v>1645</v>
      </c>
      <c r="S885" s="460" t="s">
        <v>1528</v>
      </c>
      <c r="T885" s="495" t="s">
        <v>1646</v>
      </c>
      <c r="U885" s="471"/>
      <c r="V885" s="471"/>
      <c r="W885" s="503"/>
      <c r="X885" s="471"/>
      <c r="Y885" s="206"/>
      <c r="Z885" s="206"/>
    </row>
    <row r="886" spans="1:26">
      <c r="A886" s="406">
        <v>883</v>
      </c>
      <c r="B886" s="613" t="s">
        <v>7020</v>
      </c>
      <c r="C886" s="483" t="s">
        <v>1723</v>
      </c>
      <c r="D886" s="414" t="s">
        <v>4884</v>
      </c>
      <c r="E886" s="407" t="s">
        <v>4884</v>
      </c>
      <c r="F886" s="483"/>
      <c r="G886" s="483"/>
      <c r="H886" s="483"/>
      <c r="I886" s="483"/>
      <c r="J886" s="483"/>
      <c r="K886" s="483"/>
      <c r="L886" s="608" t="s">
        <v>4884</v>
      </c>
      <c r="M886" s="409" t="s">
        <v>4884</v>
      </c>
      <c r="N886" s="409" t="s">
        <v>4884</v>
      </c>
      <c r="O886" s="410" t="s">
        <v>4884</v>
      </c>
      <c r="P886" s="406">
        <v>883</v>
      </c>
      <c r="Q886" s="460" t="s">
        <v>1723</v>
      </c>
      <c r="R886" s="460" t="s">
        <v>1645</v>
      </c>
      <c r="S886" s="460" t="s">
        <v>1528</v>
      </c>
      <c r="T886" s="495" t="s">
        <v>1646</v>
      </c>
      <c r="U886" s="471"/>
      <c r="V886" s="471"/>
      <c r="W886" s="503"/>
      <c r="X886" s="471"/>
      <c r="Y886" s="206"/>
      <c r="Z886" s="206"/>
    </row>
    <row r="887" spans="1:26">
      <c r="A887" s="406">
        <v>884</v>
      </c>
      <c r="B887" s="613" t="s">
        <v>7020</v>
      </c>
      <c r="C887" s="483" t="s">
        <v>1724</v>
      </c>
      <c r="D887" s="414" t="s">
        <v>4884</v>
      </c>
      <c r="E887" s="407" t="s">
        <v>4884</v>
      </c>
      <c r="F887" s="483"/>
      <c r="G887" s="483"/>
      <c r="H887" s="483"/>
      <c r="I887" s="483"/>
      <c r="J887" s="483"/>
      <c r="K887" s="483"/>
      <c r="L887" s="608" t="s">
        <v>4884</v>
      </c>
      <c r="M887" s="409" t="s">
        <v>4884</v>
      </c>
      <c r="N887" s="409" t="s">
        <v>4884</v>
      </c>
      <c r="O887" s="410" t="s">
        <v>4884</v>
      </c>
      <c r="P887" s="406">
        <v>884</v>
      </c>
      <c r="Q887" s="460" t="s">
        <v>1724</v>
      </c>
      <c r="R887" s="460" t="s">
        <v>1645</v>
      </c>
      <c r="S887" s="460" t="s">
        <v>1528</v>
      </c>
      <c r="T887" s="495" t="s">
        <v>1646</v>
      </c>
      <c r="U887" s="471"/>
      <c r="V887" s="471"/>
      <c r="W887" s="503"/>
      <c r="X887" s="471"/>
      <c r="Y887" s="206"/>
      <c r="Z887" s="206"/>
    </row>
    <row r="888" spans="1:26">
      <c r="A888" s="406">
        <v>885</v>
      </c>
      <c r="B888" s="613" t="s">
        <v>7020</v>
      </c>
      <c r="C888" s="483" t="s">
        <v>1725</v>
      </c>
      <c r="D888" s="414" t="s">
        <v>4884</v>
      </c>
      <c r="E888" s="407" t="s">
        <v>4884</v>
      </c>
      <c r="F888" s="483"/>
      <c r="G888" s="483"/>
      <c r="H888" s="483"/>
      <c r="I888" s="483"/>
      <c r="J888" s="483"/>
      <c r="K888" s="483"/>
      <c r="L888" s="608" t="s">
        <v>4884</v>
      </c>
      <c r="M888" s="409" t="s">
        <v>4884</v>
      </c>
      <c r="N888" s="409" t="s">
        <v>4884</v>
      </c>
      <c r="O888" s="410" t="s">
        <v>4884</v>
      </c>
      <c r="P888" s="406">
        <v>885</v>
      </c>
      <c r="Q888" s="460" t="s">
        <v>1725</v>
      </c>
      <c r="R888" s="460" t="s">
        <v>1645</v>
      </c>
      <c r="S888" s="460" t="s">
        <v>1528</v>
      </c>
      <c r="T888" s="495" t="s">
        <v>1646</v>
      </c>
      <c r="U888" s="471"/>
      <c r="V888" s="471"/>
      <c r="W888" s="503"/>
      <c r="X888" s="471"/>
      <c r="Y888" s="206"/>
      <c r="Z888" s="206"/>
    </row>
    <row r="889" spans="1:26">
      <c r="A889" s="406">
        <v>886</v>
      </c>
      <c r="B889" s="613" t="s">
        <v>7020</v>
      </c>
      <c r="C889" s="483" t="s">
        <v>1726</v>
      </c>
      <c r="D889" s="414" t="s">
        <v>4884</v>
      </c>
      <c r="E889" s="407" t="s">
        <v>4884</v>
      </c>
      <c r="F889" s="483"/>
      <c r="G889" s="483"/>
      <c r="H889" s="483"/>
      <c r="I889" s="483"/>
      <c r="J889" s="483"/>
      <c r="K889" s="483"/>
      <c r="L889" s="608" t="s">
        <v>4884</v>
      </c>
      <c r="M889" s="409" t="s">
        <v>4884</v>
      </c>
      <c r="N889" s="409" t="s">
        <v>4884</v>
      </c>
      <c r="O889" s="410" t="s">
        <v>4884</v>
      </c>
      <c r="P889" s="406">
        <v>886</v>
      </c>
      <c r="Q889" s="460" t="s">
        <v>1726</v>
      </c>
      <c r="R889" s="460" t="s">
        <v>1727</v>
      </c>
      <c r="S889" s="460" t="s">
        <v>1528</v>
      </c>
      <c r="T889" s="495" t="s">
        <v>1728</v>
      </c>
      <c r="U889" s="471"/>
      <c r="V889" s="471"/>
      <c r="W889" s="503"/>
      <c r="X889" s="471"/>
      <c r="Y889" s="206"/>
      <c r="Z889" s="206"/>
    </row>
    <row r="890" spans="1:26">
      <c r="A890" s="406">
        <v>887</v>
      </c>
      <c r="B890" s="613" t="s">
        <v>7020</v>
      </c>
      <c r="C890" s="483" t="s">
        <v>1729</v>
      </c>
      <c r="D890" s="414" t="s">
        <v>4884</v>
      </c>
      <c r="E890" s="407" t="s">
        <v>4884</v>
      </c>
      <c r="F890" s="483"/>
      <c r="G890" s="483"/>
      <c r="H890" s="483"/>
      <c r="I890" s="483"/>
      <c r="J890" s="483"/>
      <c r="K890" s="483"/>
      <c r="L890" s="608" t="s">
        <v>4884</v>
      </c>
      <c r="M890" s="409" t="s">
        <v>4884</v>
      </c>
      <c r="N890" s="409" t="s">
        <v>4884</v>
      </c>
      <c r="O890" s="410" t="s">
        <v>4884</v>
      </c>
      <c r="P890" s="406">
        <v>887</v>
      </c>
      <c r="Q890" s="460" t="s">
        <v>1729</v>
      </c>
      <c r="R890" s="460" t="s">
        <v>1730</v>
      </c>
      <c r="S890" s="460" t="s">
        <v>1528</v>
      </c>
      <c r="T890" s="504" t="s">
        <v>1731</v>
      </c>
      <c r="U890" s="471"/>
      <c r="V890" s="471"/>
      <c r="W890" s="503"/>
      <c r="X890" s="471"/>
      <c r="Y890" s="206"/>
      <c r="Z890" s="206"/>
    </row>
    <row r="891" spans="1:26">
      <c r="A891" s="406">
        <v>888</v>
      </c>
      <c r="B891" s="613" t="s">
        <v>7020</v>
      </c>
      <c r="C891" s="483" t="s">
        <v>1732</v>
      </c>
      <c r="D891" s="414" t="s">
        <v>4884</v>
      </c>
      <c r="E891" s="407" t="s">
        <v>4884</v>
      </c>
      <c r="F891" s="483"/>
      <c r="G891" s="483"/>
      <c r="H891" s="483"/>
      <c r="I891" s="483"/>
      <c r="J891" s="483"/>
      <c r="K891" s="483"/>
      <c r="L891" s="608" t="s">
        <v>4884</v>
      </c>
      <c r="M891" s="409" t="s">
        <v>4884</v>
      </c>
      <c r="N891" s="409" t="s">
        <v>4884</v>
      </c>
      <c r="O891" s="410" t="s">
        <v>4884</v>
      </c>
      <c r="P891" s="406">
        <v>888</v>
      </c>
      <c r="Q891" s="460" t="s">
        <v>1732</v>
      </c>
      <c r="R891" s="460" t="s">
        <v>1730</v>
      </c>
      <c r="S891" s="460" t="s">
        <v>1528</v>
      </c>
      <c r="T891" s="504" t="s">
        <v>1731</v>
      </c>
      <c r="U891" s="471"/>
      <c r="V891" s="471"/>
      <c r="W891" s="503"/>
      <c r="X891" s="471"/>
      <c r="Y891" s="206"/>
      <c r="Z891" s="206"/>
    </row>
    <row r="892" spans="1:26">
      <c r="A892" s="406">
        <v>889</v>
      </c>
      <c r="B892" s="613" t="s">
        <v>7020</v>
      </c>
      <c r="C892" s="483" t="s">
        <v>1733</v>
      </c>
      <c r="D892" s="414" t="s">
        <v>4884</v>
      </c>
      <c r="E892" s="407" t="s">
        <v>4884</v>
      </c>
      <c r="F892" s="483"/>
      <c r="G892" s="483"/>
      <c r="H892" s="483"/>
      <c r="I892" s="483"/>
      <c r="J892" s="483"/>
      <c r="K892" s="483"/>
      <c r="L892" s="608" t="s">
        <v>4884</v>
      </c>
      <c r="M892" s="409" t="s">
        <v>4884</v>
      </c>
      <c r="N892" s="409" t="s">
        <v>4884</v>
      </c>
      <c r="O892" s="410" t="s">
        <v>4884</v>
      </c>
      <c r="P892" s="406">
        <v>889</v>
      </c>
      <c r="Q892" s="460" t="s">
        <v>1733</v>
      </c>
      <c r="R892" s="460" t="s">
        <v>1730</v>
      </c>
      <c r="S892" s="460" t="s">
        <v>1528</v>
      </c>
      <c r="T892" s="504" t="s">
        <v>1731</v>
      </c>
      <c r="U892" s="471"/>
      <c r="V892" s="471"/>
      <c r="W892" s="503"/>
      <c r="X892" s="471"/>
      <c r="Y892" s="206"/>
      <c r="Z892" s="206"/>
    </row>
    <row r="893" spans="1:26">
      <c r="A893" s="406">
        <v>890</v>
      </c>
      <c r="B893" s="613" t="s">
        <v>7020</v>
      </c>
      <c r="C893" s="483" t="s">
        <v>1734</v>
      </c>
      <c r="D893" s="414" t="s">
        <v>4884</v>
      </c>
      <c r="E893" s="407" t="s">
        <v>4884</v>
      </c>
      <c r="F893" s="483"/>
      <c r="G893" s="483"/>
      <c r="H893" s="483"/>
      <c r="I893" s="483"/>
      <c r="J893" s="483"/>
      <c r="K893" s="483"/>
      <c r="L893" s="608" t="s">
        <v>4884</v>
      </c>
      <c r="M893" s="409" t="s">
        <v>4884</v>
      </c>
      <c r="N893" s="409" t="s">
        <v>4884</v>
      </c>
      <c r="O893" s="410" t="s">
        <v>4884</v>
      </c>
      <c r="P893" s="406">
        <v>890</v>
      </c>
      <c r="Q893" s="460" t="s">
        <v>1734</v>
      </c>
      <c r="R893" s="460" t="s">
        <v>1730</v>
      </c>
      <c r="S893" s="460" t="s">
        <v>1528</v>
      </c>
      <c r="T893" s="504" t="s">
        <v>1731</v>
      </c>
      <c r="U893" s="471"/>
      <c r="V893" s="471"/>
      <c r="W893" s="503"/>
      <c r="X893" s="471"/>
      <c r="Y893" s="206"/>
      <c r="Z893" s="206"/>
    </row>
    <row r="894" spans="1:26">
      <c r="A894" s="406">
        <v>891</v>
      </c>
      <c r="B894" s="613" t="s">
        <v>7020</v>
      </c>
      <c r="C894" s="483" t="s">
        <v>1735</v>
      </c>
      <c r="D894" s="414" t="s">
        <v>4884</v>
      </c>
      <c r="E894" s="407" t="s">
        <v>4884</v>
      </c>
      <c r="F894" s="483"/>
      <c r="G894" s="483"/>
      <c r="H894" s="483"/>
      <c r="I894" s="483"/>
      <c r="J894" s="483"/>
      <c r="K894" s="483"/>
      <c r="L894" s="608" t="s">
        <v>4884</v>
      </c>
      <c r="M894" s="409" t="s">
        <v>4884</v>
      </c>
      <c r="N894" s="409" t="s">
        <v>4884</v>
      </c>
      <c r="O894" s="410" t="s">
        <v>4884</v>
      </c>
      <c r="P894" s="406">
        <v>891</v>
      </c>
      <c r="Q894" s="460" t="s">
        <v>1735</v>
      </c>
      <c r="R894" s="460" t="s">
        <v>1730</v>
      </c>
      <c r="S894" s="460" t="s">
        <v>1528</v>
      </c>
      <c r="T894" s="504" t="s">
        <v>1731</v>
      </c>
      <c r="U894" s="471"/>
      <c r="V894" s="471"/>
      <c r="W894" s="503"/>
      <c r="X894" s="471"/>
      <c r="Y894" s="206"/>
      <c r="Z894" s="206"/>
    </row>
    <row r="895" spans="1:26">
      <c r="A895" s="406">
        <v>892</v>
      </c>
      <c r="B895" s="613" t="s">
        <v>7020</v>
      </c>
      <c r="C895" s="483" t="s">
        <v>1736</v>
      </c>
      <c r="D895" s="414" t="s">
        <v>4884</v>
      </c>
      <c r="E895" s="407" t="s">
        <v>4884</v>
      </c>
      <c r="F895" s="483"/>
      <c r="G895" s="483"/>
      <c r="H895" s="483"/>
      <c r="I895" s="483"/>
      <c r="J895" s="483"/>
      <c r="K895" s="483"/>
      <c r="L895" s="608" t="s">
        <v>4884</v>
      </c>
      <c r="M895" s="409" t="s">
        <v>4884</v>
      </c>
      <c r="N895" s="409" t="s">
        <v>4884</v>
      </c>
      <c r="O895" s="410" t="s">
        <v>4884</v>
      </c>
      <c r="P895" s="406">
        <v>892</v>
      </c>
      <c r="Q895" s="460" t="s">
        <v>1736</v>
      </c>
      <c r="R895" s="460" t="s">
        <v>1730</v>
      </c>
      <c r="S895" s="460" t="s">
        <v>1528</v>
      </c>
      <c r="T895" s="504" t="s">
        <v>1731</v>
      </c>
      <c r="U895" s="471"/>
      <c r="V895" s="471"/>
      <c r="W895" s="502"/>
      <c r="X895" s="471"/>
      <c r="Y895" s="206"/>
      <c r="Z895" s="206"/>
    </row>
    <row r="896" spans="1:26">
      <c r="A896" s="406">
        <v>893</v>
      </c>
      <c r="B896" s="613" t="s">
        <v>7020</v>
      </c>
      <c r="C896" s="483" t="s">
        <v>1737</v>
      </c>
      <c r="D896" s="414" t="s">
        <v>4884</v>
      </c>
      <c r="E896" s="407" t="s">
        <v>4884</v>
      </c>
      <c r="F896" s="483"/>
      <c r="G896" s="483"/>
      <c r="H896" s="483"/>
      <c r="I896" s="483"/>
      <c r="J896" s="483"/>
      <c r="K896" s="483"/>
      <c r="L896" s="608" t="s">
        <v>4884</v>
      </c>
      <c r="M896" s="409" t="s">
        <v>4884</v>
      </c>
      <c r="N896" s="409" t="s">
        <v>4884</v>
      </c>
      <c r="O896" s="410" t="s">
        <v>4884</v>
      </c>
      <c r="P896" s="406">
        <v>893</v>
      </c>
      <c r="Q896" s="460" t="s">
        <v>1737</v>
      </c>
      <c r="R896" s="460" t="s">
        <v>1730</v>
      </c>
      <c r="S896" s="460" t="s">
        <v>1528</v>
      </c>
      <c r="T896" s="504" t="s">
        <v>1731</v>
      </c>
      <c r="U896" s="471"/>
      <c r="V896" s="471"/>
      <c r="W896" s="502"/>
      <c r="X896" s="471"/>
      <c r="Y896" s="206"/>
      <c r="Z896" s="206"/>
    </row>
    <row r="897" spans="1:26">
      <c r="A897" s="406">
        <v>894</v>
      </c>
      <c r="B897" s="613" t="s">
        <v>7020</v>
      </c>
      <c r="C897" s="483" t="s">
        <v>1738</v>
      </c>
      <c r="D897" s="414" t="s">
        <v>4884</v>
      </c>
      <c r="E897" s="407" t="s">
        <v>4884</v>
      </c>
      <c r="F897" s="483"/>
      <c r="G897" s="483"/>
      <c r="H897" s="483"/>
      <c r="I897" s="483"/>
      <c r="J897" s="483"/>
      <c r="K897" s="483"/>
      <c r="L897" s="608" t="s">
        <v>4884</v>
      </c>
      <c r="M897" s="409" t="s">
        <v>4884</v>
      </c>
      <c r="N897" s="409" t="s">
        <v>4884</v>
      </c>
      <c r="O897" s="410" t="s">
        <v>4884</v>
      </c>
      <c r="P897" s="406">
        <v>894</v>
      </c>
      <c r="Q897" s="460" t="s">
        <v>1738</v>
      </c>
      <c r="R897" s="460" t="s">
        <v>1730</v>
      </c>
      <c r="S897" s="460" t="s">
        <v>1528</v>
      </c>
      <c r="T897" s="504" t="s">
        <v>1731</v>
      </c>
      <c r="U897" s="471"/>
      <c r="V897" s="471"/>
      <c r="W897" s="502"/>
      <c r="X897" s="471"/>
      <c r="Y897" s="206"/>
      <c r="Z897" s="206"/>
    </row>
    <row r="898" spans="1:26">
      <c r="A898" s="406">
        <v>895</v>
      </c>
      <c r="B898" s="613" t="s">
        <v>7020</v>
      </c>
      <c r="C898" s="483" t="s">
        <v>1739</v>
      </c>
      <c r="D898" s="414" t="s">
        <v>4884</v>
      </c>
      <c r="E898" s="407" t="s">
        <v>4884</v>
      </c>
      <c r="F898" s="483"/>
      <c r="G898" s="483"/>
      <c r="H898" s="483"/>
      <c r="I898" s="483"/>
      <c r="J898" s="483"/>
      <c r="K898" s="483"/>
      <c r="L898" s="608" t="s">
        <v>4884</v>
      </c>
      <c r="M898" s="409" t="s">
        <v>4884</v>
      </c>
      <c r="N898" s="409" t="s">
        <v>4884</v>
      </c>
      <c r="O898" s="410" t="s">
        <v>4884</v>
      </c>
      <c r="P898" s="406">
        <v>895</v>
      </c>
      <c r="Q898" s="460" t="s">
        <v>1739</v>
      </c>
      <c r="R898" s="460" t="s">
        <v>1730</v>
      </c>
      <c r="S898" s="460" t="s">
        <v>1528</v>
      </c>
      <c r="T898" s="504" t="s">
        <v>1731</v>
      </c>
      <c r="U898" s="471"/>
      <c r="V898" s="471"/>
      <c r="W898" s="502"/>
      <c r="X898" s="471"/>
      <c r="Y898" s="206"/>
      <c r="Z898" s="206"/>
    </row>
    <row r="899" spans="1:26">
      <c r="A899" s="406">
        <v>896</v>
      </c>
      <c r="B899" s="613" t="s">
        <v>7020</v>
      </c>
      <c r="C899" s="483" t="s">
        <v>1740</v>
      </c>
      <c r="D899" s="414" t="s">
        <v>4884</v>
      </c>
      <c r="E899" s="407" t="s">
        <v>4884</v>
      </c>
      <c r="F899" s="483"/>
      <c r="G899" s="483"/>
      <c r="H899" s="483"/>
      <c r="I899" s="483"/>
      <c r="J899" s="483"/>
      <c r="K899" s="483"/>
      <c r="L899" s="608" t="s">
        <v>4884</v>
      </c>
      <c r="M899" s="409" t="s">
        <v>4884</v>
      </c>
      <c r="N899" s="409" t="s">
        <v>4884</v>
      </c>
      <c r="O899" s="410" t="s">
        <v>4884</v>
      </c>
      <c r="P899" s="406">
        <v>896</v>
      </c>
      <c r="Q899" s="460" t="s">
        <v>1740</v>
      </c>
      <c r="R899" s="460" t="s">
        <v>1730</v>
      </c>
      <c r="S899" s="460" t="s">
        <v>1528</v>
      </c>
      <c r="T899" s="504" t="s">
        <v>1731</v>
      </c>
      <c r="U899" s="471"/>
      <c r="V899" s="471"/>
      <c r="W899" s="502"/>
      <c r="X899" s="471"/>
      <c r="Y899" s="206"/>
      <c r="Z899" s="206"/>
    </row>
    <row r="900" spans="1:26">
      <c r="A900" s="406">
        <v>897</v>
      </c>
      <c r="B900" s="613" t="s">
        <v>7020</v>
      </c>
      <c r="C900" s="483" t="s">
        <v>1741</v>
      </c>
      <c r="D900" s="414" t="s">
        <v>4884</v>
      </c>
      <c r="E900" s="407" t="s">
        <v>4884</v>
      </c>
      <c r="F900" s="483"/>
      <c r="G900" s="483"/>
      <c r="H900" s="483"/>
      <c r="I900" s="483"/>
      <c r="J900" s="483"/>
      <c r="K900" s="483"/>
      <c r="L900" s="608" t="s">
        <v>4884</v>
      </c>
      <c r="M900" s="409" t="s">
        <v>4884</v>
      </c>
      <c r="N900" s="409" t="s">
        <v>4884</v>
      </c>
      <c r="O900" s="410" t="s">
        <v>4884</v>
      </c>
      <c r="P900" s="406">
        <v>897</v>
      </c>
      <c r="Q900" s="460" t="s">
        <v>1741</v>
      </c>
      <c r="R900" s="460" t="s">
        <v>1730</v>
      </c>
      <c r="S900" s="460" t="s">
        <v>1528</v>
      </c>
      <c r="T900" s="504" t="s">
        <v>1731</v>
      </c>
      <c r="U900" s="471"/>
      <c r="V900" s="471"/>
      <c r="W900" s="502"/>
      <c r="X900" s="471"/>
      <c r="Y900" s="206"/>
      <c r="Z900" s="206"/>
    </row>
    <row r="901" spans="1:26">
      <c r="A901" s="406">
        <v>898</v>
      </c>
      <c r="B901" s="613" t="s">
        <v>7020</v>
      </c>
      <c r="C901" s="483" t="s">
        <v>1742</v>
      </c>
      <c r="D901" s="414" t="s">
        <v>4884</v>
      </c>
      <c r="E901" s="407" t="s">
        <v>4884</v>
      </c>
      <c r="F901" s="483"/>
      <c r="G901" s="483"/>
      <c r="H901" s="483"/>
      <c r="I901" s="483"/>
      <c r="J901" s="483"/>
      <c r="K901" s="483"/>
      <c r="L901" s="608" t="s">
        <v>4884</v>
      </c>
      <c r="M901" s="409" t="s">
        <v>4884</v>
      </c>
      <c r="N901" s="409" t="s">
        <v>4884</v>
      </c>
      <c r="O901" s="410" t="s">
        <v>4884</v>
      </c>
      <c r="P901" s="406">
        <v>898</v>
      </c>
      <c r="Q901" s="460" t="s">
        <v>1742</v>
      </c>
      <c r="R901" s="460" t="s">
        <v>1730</v>
      </c>
      <c r="S901" s="460" t="s">
        <v>1528</v>
      </c>
      <c r="T901" s="504" t="s">
        <v>1731</v>
      </c>
      <c r="U901" s="471"/>
      <c r="V901" s="471"/>
      <c r="W901" s="502"/>
      <c r="X901" s="471"/>
      <c r="Y901" s="206"/>
      <c r="Z901" s="206"/>
    </row>
    <row r="902" spans="1:26">
      <c r="A902" s="406">
        <v>899</v>
      </c>
      <c r="B902" s="613" t="s">
        <v>7020</v>
      </c>
      <c r="C902" s="483" t="s">
        <v>1743</v>
      </c>
      <c r="D902" s="414" t="s">
        <v>4884</v>
      </c>
      <c r="E902" s="407" t="s">
        <v>4884</v>
      </c>
      <c r="F902" s="483"/>
      <c r="G902" s="483"/>
      <c r="H902" s="483"/>
      <c r="I902" s="483"/>
      <c r="J902" s="483"/>
      <c r="K902" s="483"/>
      <c r="L902" s="608" t="s">
        <v>4884</v>
      </c>
      <c r="M902" s="409" t="s">
        <v>4884</v>
      </c>
      <c r="N902" s="409" t="s">
        <v>4884</v>
      </c>
      <c r="O902" s="410" t="s">
        <v>4884</v>
      </c>
      <c r="P902" s="406">
        <v>899</v>
      </c>
      <c r="Q902" s="460" t="s">
        <v>1743</v>
      </c>
      <c r="R902" s="460" t="s">
        <v>1730</v>
      </c>
      <c r="S902" s="460" t="s">
        <v>1528</v>
      </c>
      <c r="T902" s="504" t="s">
        <v>1731</v>
      </c>
      <c r="U902" s="471"/>
      <c r="V902" s="471"/>
      <c r="W902" s="502"/>
      <c r="X902" s="471"/>
      <c r="Y902" s="206"/>
      <c r="Z902" s="206"/>
    </row>
    <row r="903" spans="1:26">
      <c r="A903" s="406">
        <v>900</v>
      </c>
      <c r="B903" s="613" t="s">
        <v>7020</v>
      </c>
      <c r="C903" s="483" t="s">
        <v>1744</v>
      </c>
      <c r="D903" s="414" t="s">
        <v>4884</v>
      </c>
      <c r="E903" s="407" t="s">
        <v>4884</v>
      </c>
      <c r="F903" s="483"/>
      <c r="G903" s="483"/>
      <c r="H903" s="483"/>
      <c r="I903" s="483"/>
      <c r="J903" s="483"/>
      <c r="K903" s="483"/>
      <c r="L903" s="608" t="s">
        <v>4884</v>
      </c>
      <c r="M903" s="409" t="s">
        <v>4884</v>
      </c>
      <c r="N903" s="409" t="s">
        <v>4884</v>
      </c>
      <c r="O903" s="410" t="s">
        <v>4884</v>
      </c>
      <c r="P903" s="406">
        <v>900</v>
      </c>
      <c r="Q903" s="460" t="s">
        <v>1744</v>
      </c>
      <c r="R903" s="460" t="s">
        <v>1730</v>
      </c>
      <c r="S903" s="460" t="s">
        <v>1528</v>
      </c>
      <c r="T903" s="504" t="s">
        <v>1731</v>
      </c>
      <c r="U903" s="471"/>
      <c r="V903" s="471"/>
      <c r="W903" s="502"/>
      <c r="X903" s="471"/>
      <c r="Y903" s="206"/>
      <c r="Z903" s="206"/>
    </row>
    <row r="904" spans="1:26">
      <c r="A904" s="406">
        <v>901</v>
      </c>
      <c r="B904" s="613" t="s">
        <v>7020</v>
      </c>
      <c r="C904" s="483" t="s">
        <v>1745</v>
      </c>
      <c r="D904" s="414" t="s">
        <v>4884</v>
      </c>
      <c r="E904" s="407" t="s">
        <v>4884</v>
      </c>
      <c r="F904" s="483"/>
      <c r="G904" s="483"/>
      <c r="H904" s="483"/>
      <c r="I904" s="483"/>
      <c r="J904" s="483"/>
      <c r="K904" s="483"/>
      <c r="L904" s="608" t="s">
        <v>4884</v>
      </c>
      <c r="M904" s="409" t="s">
        <v>4884</v>
      </c>
      <c r="N904" s="409" t="s">
        <v>4884</v>
      </c>
      <c r="O904" s="410" t="s">
        <v>4884</v>
      </c>
      <c r="P904" s="406">
        <v>901</v>
      </c>
      <c r="Q904" s="460" t="s">
        <v>1745</v>
      </c>
      <c r="R904" s="460" t="s">
        <v>1730</v>
      </c>
      <c r="S904" s="460" t="s">
        <v>1528</v>
      </c>
      <c r="T904" s="504" t="s">
        <v>1731</v>
      </c>
      <c r="U904" s="471"/>
      <c r="V904" s="471"/>
      <c r="W904" s="502"/>
      <c r="X904" s="471"/>
      <c r="Y904" s="206"/>
      <c r="Z904" s="206"/>
    </row>
    <row r="905" spans="1:26">
      <c r="A905" s="406">
        <v>902</v>
      </c>
      <c r="B905" s="613" t="s">
        <v>7020</v>
      </c>
      <c r="C905" s="483" t="s">
        <v>1746</v>
      </c>
      <c r="D905" s="414" t="s">
        <v>4884</v>
      </c>
      <c r="E905" s="407" t="s">
        <v>4884</v>
      </c>
      <c r="F905" s="483"/>
      <c r="G905" s="483"/>
      <c r="H905" s="483"/>
      <c r="I905" s="483"/>
      <c r="J905" s="483"/>
      <c r="K905" s="483"/>
      <c r="L905" s="608" t="s">
        <v>4884</v>
      </c>
      <c r="M905" s="409" t="s">
        <v>4884</v>
      </c>
      <c r="N905" s="409" t="s">
        <v>4884</v>
      </c>
      <c r="O905" s="410" t="s">
        <v>4884</v>
      </c>
      <c r="P905" s="406">
        <v>902</v>
      </c>
      <c r="Q905" s="460" t="s">
        <v>1746</v>
      </c>
      <c r="R905" s="460" t="s">
        <v>1730</v>
      </c>
      <c r="S905" s="460" t="s">
        <v>1528</v>
      </c>
      <c r="T905" s="504" t="s">
        <v>1731</v>
      </c>
      <c r="U905" s="471"/>
      <c r="V905" s="471"/>
      <c r="W905" s="505"/>
      <c r="X905" s="471"/>
      <c r="Y905" s="206"/>
      <c r="Z905" s="206"/>
    </row>
    <row r="906" spans="1:26">
      <c r="A906" s="406">
        <v>903</v>
      </c>
      <c r="B906" s="613" t="s">
        <v>7020</v>
      </c>
      <c r="C906" s="483" t="s">
        <v>1747</v>
      </c>
      <c r="D906" s="414" t="s">
        <v>4884</v>
      </c>
      <c r="E906" s="407" t="s">
        <v>4884</v>
      </c>
      <c r="F906" s="483"/>
      <c r="G906" s="483"/>
      <c r="H906" s="483"/>
      <c r="I906" s="483"/>
      <c r="J906" s="483"/>
      <c r="K906" s="483"/>
      <c r="L906" s="608" t="s">
        <v>4884</v>
      </c>
      <c r="M906" s="409" t="s">
        <v>4884</v>
      </c>
      <c r="N906" s="409" t="s">
        <v>4884</v>
      </c>
      <c r="O906" s="410" t="s">
        <v>4884</v>
      </c>
      <c r="P906" s="406">
        <v>903</v>
      </c>
      <c r="Q906" s="460" t="s">
        <v>1747</v>
      </c>
      <c r="R906" s="460" t="s">
        <v>1730</v>
      </c>
      <c r="S906" s="460" t="s">
        <v>1528</v>
      </c>
      <c r="T906" s="504" t="s">
        <v>1731</v>
      </c>
      <c r="U906" s="471"/>
      <c r="V906" s="471"/>
      <c r="W906" s="505"/>
      <c r="X906" s="471"/>
      <c r="Y906" s="206"/>
      <c r="Z906" s="206"/>
    </row>
    <row r="907" spans="1:26">
      <c r="A907" s="406">
        <v>904</v>
      </c>
      <c r="B907" s="613" t="s">
        <v>7020</v>
      </c>
      <c r="C907" s="483" t="s">
        <v>1748</v>
      </c>
      <c r="D907" s="414" t="s">
        <v>4884</v>
      </c>
      <c r="E907" s="407" t="s">
        <v>4884</v>
      </c>
      <c r="F907" s="483"/>
      <c r="G907" s="483"/>
      <c r="H907" s="483"/>
      <c r="I907" s="483"/>
      <c r="J907" s="483"/>
      <c r="K907" s="483"/>
      <c r="L907" s="608" t="s">
        <v>4884</v>
      </c>
      <c r="M907" s="409" t="s">
        <v>4884</v>
      </c>
      <c r="N907" s="409" t="s">
        <v>4884</v>
      </c>
      <c r="O907" s="410" t="s">
        <v>4884</v>
      </c>
      <c r="P907" s="406">
        <v>904</v>
      </c>
      <c r="Q907" s="460" t="s">
        <v>1748</v>
      </c>
      <c r="R907" s="460" t="s">
        <v>1730</v>
      </c>
      <c r="S907" s="460" t="s">
        <v>1528</v>
      </c>
      <c r="T907" s="504" t="s">
        <v>1731</v>
      </c>
      <c r="U907" s="471"/>
      <c r="V907" s="471"/>
      <c r="W907" s="506"/>
      <c r="X907" s="471"/>
      <c r="Y907" s="206"/>
      <c r="Z907" s="206"/>
    </row>
    <row r="908" spans="1:26">
      <c r="A908" s="406">
        <v>905</v>
      </c>
      <c r="B908" s="613" t="s">
        <v>7020</v>
      </c>
      <c r="C908" s="483" t="s">
        <v>1749</v>
      </c>
      <c r="D908" s="414" t="s">
        <v>4884</v>
      </c>
      <c r="E908" s="407" t="s">
        <v>4884</v>
      </c>
      <c r="F908" s="483"/>
      <c r="G908" s="483"/>
      <c r="H908" s="483"/>
      <c r="I908" s="483"/>
      <c r="J908" s="483"/>
      <c r="K908" s="483"/>
      <c r="L908" s="608" t="s">
        <v>4884</v>
      </c>
      <c r="M908" s="409" t="s">
        <v>4884</v>
      </c>
      <c r="N908" s="409" t="s">
        <v>4884</v>
      </c>
      <c r="O908" s="410" t="s">
        <v>4884</v>
      </c>
      <c r="P908" s="406">
        <v>905</v>
      </c>
      <c r="Q908" s="460" t="s">
        <v>1749</v>
      </c>
      <c r="R908" s="460" t="s">
        <v>1730</v>
      </c>
      <c r="S908" s="460" t="s">
        <v>1528</v>
      </c>
      <c r="T908" s="504" t="s">
        <v>1731</v>
      </c>
      <c r="U908" s="471"/>
      <c r="V908" s="471"/>
      <c r="W908" s="506"/>
      <c r="X908" s="471"/>
      <c r="Y908" s="206"/>
      <c r="Z908" s="206"/>
    </row>
    <row r="909" spans="1:26">
      <c r="A909" s="406">
        <v>906</v>
      </c>
      <c r="B909" s="613" t="s">
        <v>7020</v>
      </c>
      <c r="C909" s="483" t="s">
        <v>1750</v>
      </c>
      <c r="D909" s="414" t="s">
        <v>4884</v>
      </c>
      <c r="E909" s="407" t="s">
        <v>4884</v>
      </c>
      <c r="F909" s="483"/>
      <c r="G909" s="483"/>
      <c r="H909" s="483"/>
      <c r="I909" s="483"/>
      <c r="J909" s="483"/>
      <c r="K909" s="483"/>
      <c r="L909" s="608" t="s">
        <v>4884</v>
      </c>
      <c r="M909" s="409" t="s">
        <v>4884</v>
      </c>
      <c r="N909" s="409" t="s">
        <v>4884</v>
      </c>
      <c r="O909" s="410" t="s">
        <v>4884</v>
      </c>
      <c r="P909" s="406">
        <v>906</v>
      </c>
      <c r="Q909" s="460" t="s">
        <v>1750</v>
      </c>
      <c r="R909" s="460" t="s">
        <v>1730</v>
      </c>
      <c r="S909" s="460" t="s">
        <v>1528</v>
      </c>
      <c r="T909" s="504" t="s">
        <v>1731</v>
      </c>
      <c r="U909" s="471"/>
      <c r="V909" s="471"/>
      <c r="W909" s="488"/>
      <c r="X909" s="471"/>
      <c r="Y909" s="206"/>
      <c r="Z909" s="206"/>
    </row>
    <row r="910" spans="1:26">
      <c r="A910" s="406">
        <v>907</v>
      </c>
      <c r="B910" s="613" t="s">
        <v>7020</v>
      </c>
      <c r="C910" s="483" t="s">
        <v>1751</v>
      </c>
      <c r="D910" s="414" t="s">
        <v>4884</v>
      </c>
      <c r="E910" s="407" t="s">
        <v>4884</v>
      </c>
      <c r="F910" s="483"/>
      <c r="G910" s="483"/>
      <c r="H910" s="483"/>
      <c r="I910" s="483"/>
      <c r="J910" s="483"/>
      <c r="K910" s="483"/>
      <c r="L910" s="608" t="s">
        <v>4884</v>
      </c>
      <c r="M910" s="409" t="s">
        <v>4884</v>
      </c>
      <c r="N910" s="409" t="s">
        <v>4884</v>
      </c>
      <c r="O910" s="410" t="s">
        <v>4884</v>
      </c>
      <c r="P910" s="406">
        <v>907</v>
      </c>
      <c r="Q910" s="460" t="s">
        <v>1751</v>
      </c>
      <c r="R910" s="460" t="s">
        <v>1730</v>
      </c>
      <c r="S910" s="460" t="s">
        <v>1528</v>
      </c>
      <c r="T910" s="504" t="s">
        <v>1731</v>
      </c>
      <c r="U910" s="471"/>
      <c r="V910" s="471"/>
      <c r="W910" s="488"/>
      <c r="X910" s="471"/>
      <c r="Y910" s="206"/>
      <c r="Z910" s="206"/>
    </row>
    <row r="911" spans="1:26">
      <c r="A911" s="406">
        <v>908</v>
      </c>
      <c r="B911" s="613" t="s">
        <v>7020</v>
      </c>
      <c r="C911" s="483" t="s">
        <v>1752</v>
      </c>
      <c r="D911" s="414" t="s">
        <v>4884</v>
      </c>
      <c r="E911" s="407" t="s">
        <v>4884</v>
      </c>
      <c r="F911" s="483"/>
      <c r="G911" s="483"/>
      <c r="H911" s="483"/>
      <c r="I911" s="483"/>
      <c r="J911" s="483"/>
      <c r="K911" s="483"/>
      <c r="L911" s="608" t="s">
        <v>4884</v>
      </c>
      <c r="M911" s="409" t="s">
        <v>4884</v>
      </c>
      <c r="N911" s="409" t="s">
        <v>4884</v>
      </c>
      <c r="O911" s="410" t="s">
        <v>4884</v>
      </c>
      <c r="P911" s="406">
        <v>908</v>
      </c>
      <c r="Q911" s="460" t="s">
        <v>1752</v>
      </c>
      <c r="R911" s="460" t="s">
        <v>1730</v>
      </c>
      <c r="S911" s="460" t="s">
        <v>1528</v>
      </c>
      <c r="T911" s="504" t="s">
        <v>1731</v>
      </c>
      <c r="U911" s="471"/>
      <c r="V911" s="471"/>
      <c r="W911" s="488"/>
      <c r="X911" s="471"/>
      <c r="Y911" s="206"/>
      <c r="Z911" s="206"/>
    </row>
    <row r="912" spans="1:26">
      <c r="A912" s="406">
        <v>909</v>
      </c>
      <c r="B912" s="613" t="s">
        <v>7020</v>
      </c>
      <c r="C912" s="483" t="s">
        <v>1753</v>
      </c>
      <c r="D912" s="414" t="s">
        <v>4884</v>
      </c>
      <c r="E912" s="407" t="s">
        <v>4884</v>
      </c>
      <c r="F912" s="483"/>
      <c r="G912" s="483"/>
      <c r="H912" s="483"/>
      <c r="I912" s="483"/>
      <c r="J912" s="483"/>
      <c r="K912" s="483"/>
      <c r="L912" s="608" t="s">
        <v>4884</v>
      </c>
      <c r="M912" s="409" t="s">
        <v>4884</v>
      </c>
      <c r="N912" s="409" t="s">
        <v>4884</v>
      </c>
      <c r="O912" s="410" t="s">
        <v>4884</v>
      </c>
      <c r="P912" s="406">
        <v>909</v>
      </c>
      <c r="Q912" s="460" t="s">
        <v>1753</v>
      </c>
      <c r="R912" s="460" t="s">
        <v>1730</v>
      </c>
      <c r="S912" s="460" t="s">
        <v>1528</v>
      </c>
      <c r="T912" s="504" t="s">
        <v>1731</v>
      </c>
      <c r="U912" s="471"/>
      <c r="V912" s="471"/>
      <c r="W912" s="488"/>
      <c r="X912" s="471"/>
      <c r="Y912" s="206"/>
      <c r="Z912" s="206"/>
    </row>
    <row r="913" spans="1:26">
      <c r="A913" s="406">
        <v>910</v>
      </c>
      <c r="B913" s="613" t="s">
        <v>7020</v>
      </c>
      <c r="C913" s="483" t="s">
        <v>1754</v>
      </c>
      <c r="D913" s="414" t="s">
        <v>4884</v>
      </c>
      <c r="E913" s="407" t="s">
        <v>4884</v>
      </c>
      <c r="F913" s="483"/>
      <c r="G913" s="483"/>
      <c r="H913" s="483"/>
      <c r="I913" s="483"/>
      <c r="J913" s="483"/>
      <c r="K913" s="483"/>
      <c r="L913" s="608" t="s">
        <v>4884</v>
      </c>
      <c r="M913" s="409" t="s">
        <v>4884</v>
      </c>
      <c r="N913" s="409" t="s">
        <v>4884</v>
      </c>
      <c r="O913" s="410" t="s">
        <v>4884</v>
      </c>
      <c r="P913" s="406">
        <v>910</v>
      </c>
      <c r="Q913" s="460" t="s">
        <v>1754</v>
      </c>
      <c r="R913" s="460" t="s">
        <v>1730</v>
      </c>
      <c r="S913" s="460" t="s">
        <v>1528</v>
      </c>
      <c r="T913" s="504" t="s">
        <v>1731</v>
      </c>
      <c r="U913" s="471"/>
      <c r="V913" s="471"/>
      <c r="W913" s="488"/>
      <c r="X913" s="471"/>
      <c r="Y913" s="206"/>
      <c r="Z913" s="206"/>
    </row>
    <row r="914" spans="1:26">
      <c r="A914" s="406">
        <v>911</v>
      </c>
      <c r="B914" s="613" t="s">
        <v>7020</v>
      </c>
      <c r="C914" s="483" t="s">
        <v>1755</v>
      </c>
      <c r="D914" s="414" t="s">
        <v>4884</v>
      </c>
      <c r="E914" s="407" t="s">
        <v>4884</v>
      </c>
      <c r="F914" s="483"/>
      <c r="G914" s="483"/>
      <c r="H914" s="483"/>
      <c r="I914" s="483"/>
      <c r="J914" s="483"/>
      <c r="K914" s="483"/>
      <c r="L914" s="608" t="s">
        <v>4884</v>
      </c>
      <c r="M914" s="409" t="s">
        <v>4884</v>
      </c>
      <c r="N914" s="409" t="s">
        <v>4884</v>
      </c>
      <c r="O914" s="410" t="s">
        <v>4884</v>
      </c>
      <c r="P914" s="406">
        <v>911</v>
      </c>
      <c r="Q914" s="460" t="s">
        <v>1755</v>
      </c>
      <c r="R914" s="460" t="s">
        <v>1730</v>
      </c>
      <c r="S914" s="460" t="s">
        <v>1528</v>
      </c>
      <c r="T914" s="504" t="s">
        <v>1731</v>
      </c>
      <c r="U914" s="471"/>
      <c r="V914" s="471"/>
      <c r="W914" s="488"/>
      <c r="X914" s="471"/>
      <c r="Y914" s="206"/>
      <c r="Z914" s="206"/>
    </row>
    <row r="915" spans="1:26">
      <c r="A915" s="406">
        <v>912</v>
      </c>
      <c r="B915" s="613" t="s">
        <v>7020</v>
      </c>
      <c r="C915" s="483" t="s">
        <v>1756</v>
      </c>
      <c r="D915" s="414" t="s">
        <v>4884</v>
      </c>
      <c r="E915" s="407" t="s">
        <v>4884</v>
      </c>
      <c r="F915" s="483"/>
      <c r="G915" s="483"/>
      <c r="H915" s="483"/>
      <c r="I915" s="483"/>
      <c r="J915" s="483"/>
      <c r="K915" s="483"/>
      <c r="L915" s="608" t="s">
        <v>4884</v>
      </c>
      <c r="M915" s="409" t="s">
        <v>4884</v>
      </c>
      <c r="N915" s="409" t="s">
        <v>4884</v>
      </c>
      <c r="O915" s="410" t="s">
        <v>4884</v>
      </c>
      <c r="P915" s="406">
        <v>912</v>
      </c>
      <c r="Q915" s="460" t="s">
        <v>1756</v>
      </c>
      <c r="R915" s="460" t="s">
        <v>1730</v>
      </c>
      <c r="S915" s="460" t="s">
        <v>1528</v>
      </c>
      <c r="T915" s="504" t="s">
        <v>1731</v>
      </c>
      <c r="U915" s="471"/>
      <c r="V915" s="471"/>
      <c r="W915" s="488"/>
      <c r="X915" s="471"/>
      <c r="Y915" s="206"/>
      <c r="Z915" s="206"/>
    </row>
    <row r="916" spans="1:26">
      <c r="A916" s="406">
        <v>913</v>
      </c>
      <c r="B916" s="613" t="s">
        <v>7020</v>
      </c>
      <c r="C916" s="483" t="s">
        <v>1757</v>
      </c>
      <c r="D916" s="414" t="s">
        <v>4884</v>
      </c>
      <c r="E916" s="407" t="s">
        <v>4884</v>
      </c>
      <c r="F916" s="483"/>
      <c r="G916" s="483"/>
      <c r="H916" s="483"/>
      <c r="I916" s="483"/>
      <c r="J916" s="483"/>
      <c r="K916" s="483"/>
      <c r="L916" s="608" t="s">
        <v>4884</v>
      </c>
      <c r="M916" s="409" t="s">
        <v>4884</v>
      </c>
      <c r="N916" s="409" t="s">
        <v>4884</v>
      </c>
      <c r="O916" s="410" t="s">
        <v>4884</v>
      </c>
      <c r="P916" s="406">
        <v>913</v>
      </c>
      <c r="Q916" s="460" t="s">
        <v>1757</v>
      </c>
      <c r="R916" s="460" t="s">
        <v>1730</v>
      </c>
      <c r="S916" s="460" t="s">
        <v>1528</v>
      </c>
      <c r="T916" s="504" t="s">
        <v>1731</v>
      </c>
      <c r="U916" s="471"/>
      <c r="V916" s="471"/>
      <c r="W916" s="488"/>
      <c r="X916" s="471"/>
      <c r="Y916" s="206"/>
      <c r="Z916" s="206"/>
    </row>
    <row r="917" spans="1:26">
      <c r="A917" s="406">
        <v>914</v>
      </c>
      <c r="B917" s="613" t="s">
        <v>7020</v>
      </c>
      <c r="C917" s="483" t="s">
        <v>1758</v>
      </c>
      <c r="D917" s="414" t="s">
        <v>4884</v>
      </c>
      <c r="E917" s="407" t="s">
        <v>4884</v>
      </c>
      <c r="F917" s="483"/>
      <c r="G917" s="483"/>
      <c r="H917" s="483"/>
      <c r="I917" s="483"/>
      <c r="J917" s="483"/>
      <c r="K917" s="483"/>
      <c r="L917" s="608" t="s">
        <v>4884</v>
      </c>
      <c r="M917" s="409" t="s">
        <v>4884</v>
      </c>
      <c r="N917" s="409" t="s">
        <v>4884</v>
      </c>
      <c r="O917" s="410" t="s">
        <v>4884</v>
      </c>
      <c r="P917" s="406">
        <v>914</v>
      </c>
      <c r="Q917" s="460" t="s">
        <v>1758</v>
      </c>
      <c r="R917" s="460" t="s">
        <v>1730</v>
      </c>
      <c r="S917" s="460" t="s">
        <v>1528</v>
      </c>
      <c r="T917" s="504" t="s">
        <v>1731</v>
      </c>
      <c r="U917" s="471"/>
      <c r="V917" s="471"/>
      <c r="W917" s="488"/>
      <c r="X917" s="471"/>
      <c r="Y917" s="206"/>
      <c r="Z917" s="206"/>
    </row>
    <row r="918" spans="1:26">
      <c r="A918" s="406">
        <v>915</v>
      </c>
      <c r="B918" s="613" t="s">
        <v>7020</v>
      </c>
      <c r="C918" s="483" t="s">
        <v>1759</v>
      </c>
      <c r="D918" s="414" t="s">
        <v>4884</v>
      </c>
      <c r="E918" s="407" t="s">
        <v>4884</v>
      </c>
      <c r="F918" s="483"/>
      <c r="G918" s="483"/>
      <c r="H918" s="483"/>
      <c r="I918" s="483"/>
      <c r="J918" s="483"/>
      <c r="K918" s="483"/>
      <c r="L918" s="608" t="s">
        <v>4884</v>
      </c>
      <c r="M918" s="409" t="s">
        <v>4884</v>
      </c>
      <c r="N918" s="409" t="s">
        <v>4884</v>
      </c>
      <c r="O918" s="410" t="s">
        <v>4884</v>
      </c>
      <c r="P918" s="406">
        <v>915</v>
      </c>
      <c r="Q918" s="460" t="s">
        <v>1759</v>
      </c>
      <c r="R918" s="460" t="s">
        <v>1730</v>
      </c>
      <c r="S918" s="460" t="s">
        <v>1528</v>
      </c>
      <c r="T918" s="504" t="s">
        <v>1731</v>
      </c>
      <c r="U918" s="471"/>
      <c r="V918" s="471"/>
      <c r="W918" s="488"/>
      <c r="X918" s="471"/>
      <c r="Y918" s="206"/>
      <c r="Z918" s="206"/>
    </row>
    <row r="919" spans="1:26">
      <c r="A919" s="406">
        <v>916</v>
      </c>
      <c r="B919" s="613" t="s">
        <v>7020</v>
      </c>
      <c r="C919" s="483" t="s">
        <v>1760</v>
      </c>
      <c r="D919" s="414" t="s">
        <v>4884</v>
      </c>
      <c r="E919" s="407" t="s">
        <v>4884</v>
      </c>
      <c r="F919" s="483"/>
      <c r="G919" s="483"/>
      <c r="H919" s="483"/>
      <c r="I919" s="483"/>
      <c r="J919" s="483"/>
      <c r="K919" s="483"/>
      <c r="L919" s="608" t="s">
        <v>4884</v>
      </c>
      <c r="M919" s="409" t="s">
        <v>4884</v>
      </c>
      <c r="N919" s="409" t="s">
        <v>4884</v>
      </c>
      <c r="O919" s="410" t="s">
        <v>4884</v>
      </c>
      <c r="P919" s="406">
        <v>916</v>
      </c>
      <c r="Q919" s="460" t="s">
        <v>1760</v>
      </c>
      <c r="R919" s="460" t="s">
        <v>1730</v>
      </c>
      <c r="S919" s="460" t="s">
        <v>1528</v>
      </c>
      <c r="T919" s="504" t="s">
        <v>1731</v>
      </c>
      <c r="U919" s="471"/>
      <c r="V919" s="471"/>
      <c r="W919" s="488"/>
      <c r="X919" s="471"/>
      <c r="Y919" s="206"/>
      <c r="Z919" s="206"/>
    </row>
    <row r="920" spans="1:26">
      <c r="A920" s="406">
        <v>917</v>
      </c>
      <c r="B920" s="613" t="s">
        <v>7020</v>
      </c>
      <c r="C920" s="483" t="s">
        <v>1761</v>
      </c>
      <c r="D920" s="414" t="s">
        <v>4884</v>
      </c>
      <c r="E920" s="407" t="s">
        <v>4884</v>
      </c>
      <c r="F920" s="483"/>
      <c r="G920" s="483"/>
      <c r="H920" s="483"/>
      <c r="I920" s="483"/>
      <c r="J920" s="483"/>
      <c r="K920" s="483"/>
      <c r="L920" s="608" t="s">
        <v>4884</v>
      </c>
      <c r="M920" s="409" t="s">
        <v>4884</v>
      </c>
      <c r="N920" s="409" t="s">
        <v>4884</v>
      </c>
      <c r="O920" s="410" t="s">
        <v>4884</v>
      </c>
      <c r="P920" s="406">
        <v>917</v>
      </c>
      <c r="Q920" s="460" t="s">
        <v>1761</v>
      </c>
      <c r="R920" s="460" t="s">
        <v>1762</v>
      </c>
      <c r="S920" s="460" t="s">
        <v>1528</v>
      </c>
      <c r="T920" s="504" t="s">
        <v>1763</v>
      </c>
      <c r="U920" s="471"/>
      <c r="V920" s="471"/>
      <c r="W920" s="488"/>
      <c r="X920" s="471"/>
      <c r="Y920" s="206"/>
      <c r="Z920" s="206"/>
    </row>
    <row r="921" spans="1:26">
      <c r="A921" s="406">
        <v>918</v>
      </c>
      <c r="B921" s="613" t="s">
        <v>7020</v>
      </c>
      <c r="C921" s="483" t="s">
        <v>1764</v>
      </c>
      <c r="D921" s="414" t="s">
        <v>4884</v>
      </c>
      <c r="E921" s="407" t="s">
        <v>4884</v>
      </c>
      <c r="F921" s="483"/>
      <c r="G921" s="483"/>
      <c r="H921" s="483"/>
      <c r="I921" s="483"/>
      <c r="J921" s="483"/>
      <c r="K921" s="483"/>
      <c r="L921" s="608" t="s">
        <v>4884</v>
      </c>
      <c r="M921" s="409" t="s">
        <v>4884</v>
      </c>
      <c r="N921" s="409" t="s">
        <v>4884</v>
      </c>
      <c r="O921" s="410" t="s">
        <v>4884</v>
      </c>
      <c r="P921" s="406">
        <v>918</v>
      </c>
      <c r="Q921" s="460" t="s">
        <v>1764</v>
      </c>
      <c r="R921" s="460" t="s">
        <v>1765</v>
      </c>
      <c r="S921" s="460" t="s">
        <v>1528</v>
      </c>
      <c r="T921" s="493" t="s">
        <v>1766</v>
      </c>
      <c r="U921" s="471"/>
      <c r="V921" s="471"/>
      <c r="W921" s="488"/>
      <c r="X921" s="471"/>
      <c r="Y921" s="206"/>
      <c r="Z921" s="206"/>
    </row>
    <row r="922" spans="1:26">
      <c r="A922" s="406">
        <v>919</v>
      </c>
      <c r="B922" s="613" t="s">
        <v>7020</v>
      </c>
      <c r="C922" s="483" t="s">
        <v>1767</v>
      </c>
      <c r="D922" s="414" t="s">
        <v>4884</v>
      </c>
      <c r="E922" s="407" t="s">
        <v>4884</v>
      </c>
      <c r="F922" s="483"/>
      <c r="G922" s="483"/>
      <c r="H922" s="483"/>
      <c r="I922" s="483"/>
      <c r="J922" s="483"/>
      <c r="K922" s="483"/>
      <c r="L922" s="608" t="s">
        <v>4884</v>
      </c>
      <c r="M922" s="409" t="s">
        <v>4884</v>
      </c>
      <c r="N922" s="409" t="s">
        <v>4884</v>
      </c>
      <c r="O922" s="410" t="s">
        <v>4884</v>
      </c>
      <c r="P922" s="406">
        <v>919</v>
      </c>
      <c r="Q922" s="460" t="s">
        <v>1767</v>
      </c>
      <c r="R922" s="460" t="s">
        <v>1765</v>
      </c>
      <c r="S922" s="460" t="s">
        <v>1528</v>
      </c>
      <c r="T922" s="493" t="s">
        <v>1766</v>
      </c>
      <c r="U922" s="471"/>
      <c r="V922" s="471"/>
      <c r="W922" s="488"/>
      <c r="X922" s="471"/>
      <c r="Y922" s="206"/>
      <c r="Z922" s="206"/>
    </row>
    <row r="923" spans="1:26">
      <c r="A923" s="406">
        <v>920</v>
      </c>
      <c r="B923" s="613" t="s">
        <v>7020</v>
      </c>
      <c r="C923" s="483" t="s">
        <v>1768</v>
      </c>
      <c r="D923" s="414" t="s">
        <v>4884</v>
      </c>
      <c r="E923" s="407" t="s">
        <v>4884</v>
      </c>
      <c r="F923" s="483"/>
      <c r="G923" s="483"/>
      <c r="H923" s="483"/>
      <c r="I923" s="483"/>
      <c r="J923" s="483"/>
      <c r="K923" s="483"/>
      <c r="L923" s="608" t="s">
        <v>4884</v>
      </c>
      <c r="M923" s="409" t="s">
        <v>4884</v>
      </c>
      <c r="N923" s="409" t="s">
        <v>4884</v>
      </c>
      <c r="O923" s="410" t="s">
        <v>4884</v>
      </c>
      <c r="P923" s="406">
        <v>920</v>
      </c>
      <c r="Q923" s="460" t="s">
        <v>1768</v>
      </c>
      <c r="R923" s="460" t="s">
        <v>1765</v>
      </c>
      <c r="S923" s="460" t="s">
        <v>1528</v>
      </c>
      <c r="T923" s="493" t="s">
        <v>1766</v>
      </c>
      <c r="U923" s="471"/>
      <c r="V923" s="471"/>
      <c r="W923" s="488"/>
      <c r="X923" s="471"/>
      <c r="Y923" s="206"/>
      <c r="Z923" s="206"/>
    </row>
    <row r="924" spans="1:26">
      <c r="A924" s="406">
        <v>921</v>
      </c>
      <c r="B924" s="613" t="s">
        <v>7020</v>
      </c>
      <c r="C924" s="483" t="s">
        <v>1769</v>
      </c>
      <c r="D924" s="414" t="s">
        <v>4884</v>
      </c>
      <c r="E924" s="407" t="s">
        <v>4884</v>
      </c>
      <c r="F924" s="483"/>
      <c r="G924" s="483"/>
      <c r="H924" s="483"/>
      <c r="I924" s="483"/>
      <c r="J924" s="483"/>
      <c r="K924" s="483"/>
      <c r="L924" s="608" t="s">
        <v>4884</v>
      </c>
      <c r="M924" s="409" t="s">
        <v>4884</v>
      </c>
      <c r="N924" s="409" t="s">
        <v>4884</v>
      </c>
      <c r="O924" s="410" t="s">
        <v>4884</v>
      </c>
      <c r="P924" s="406">
        <v>921</v>
      </c>
      <c r="Q924" s="460" t="s">
        <v>1769</v>
      </c>
      <c r="R924" s="460" t="s">
        <v>1765</v>
      </c>
      <c r="S924" s="460" t="s">
        <v>1528</v>
      </c>
      <c r="T924" s="493" t="s">
        <v>1766</v>
      </c>
      <c r="U924" s="471"/>
      <c r="V924" s="471"/>
      <c r="W924" s="488"/>
      <c r="X924" s="471"/>
      <c r="Y924" s="206"/>
      <c r="Z924" s="206"/>
    </row>
    <row r="925" spans="1:26">
      <c r="A925" s="406">
        <v>922</v>
      </c>
      <c r="B925" s="613" t="s">
        <v>7020</v>
      </c>
      <c r="C925" s="483" t="s">
        <v>1770</v>
      </c>
      <c r="D925" s="414" t="s">
        <v>4884</v>
      </c>
      <c r="E925" s="407" t="s">
        <v>4884</v>
      </c>
      <c r="F925" s="483"/>
      <c r="G925" s="483"/>
      <c r="H925" s="483"/>
      <c r="I925" s="483"/>
      <c r="J925" s="483"/>
      <c r="K925" s="483"/>
      <c r="L925" s="608" t="s">
        <v>4884</v>
      </c>
      <c r="M925" s="409" t="s">
        <v>4884</v>
      </c>
      <c r="N925" s="409" t="s">
        <v>4884</v>
      </c>
      <c r="O925" s="410" t="s">
        <v>4884</v>
      </c>
      <c r="P925" s="406">
        <v>922</v>
      </c>
      <c r="Q925" s="460" t="s">
        <v>1770</v>
      </c>
      <c r="R925" s="460" t="s">
        <v>1765</v>
      </c>
      <c r="S925" s="460" t="s">
        <v>1528</v>
      </c>
      <c r="T925" s="493" t="s">
        <v>1766</v>
      </c>
      <c r="U925" s="471"/>
      <c r="V925" s="471"/>
      <c r="W925" s="488"/>
      <c r="X925" s="471"/>
      <c r="Y925" s="206"/>
      <c r="Z925" s="206"/>
    </row>
    <row r="926" spans="1:26">
      <c r="A926" s="406">
        <v>923</v>
      </c>
      <c r="B926" s="613" t="s">
        <v>7020</v>
      </c>
      <c r="C926" s="483" t="s">
        <v>1771</v>
      </c>
      <c r="D926" s="414" t="s">
        <v>4884</v>
      </c>
      <c r="E926" s="407" t="s">
        <v>4884</v>
      </c>
      <c r="F926" s="483"/>
      <c r="G926" s="483"/>
      <c r="H926" s="483"/>
      <c r="I926" s="483"/>
      <c r="J926" s="483"/>
      <c r="K926" s="483"/>
      <c r="L926" s="608" t="s">
        <v>4884</v>
      </c>
      <c r="M926" s="409" t="s">
        <v>4884</v>
      </c>
      <c r="N926" s="409" t="s">
        <v>4884</v>
      </c>
      <c r="O926" s="410" t="s">
        <v>4884</v>
      </c>
      <c r="P926" s="406">
        <v>923</v>
      </c>
      <c r="Q926" s="460" t="s">
        <v>1771</v>
      </c>
      <c r="R926" s="460" t="s">
        <v>1765</v>
      </c>
      <c r="S926" s="460" t="s">
        <v>1528</v>
      </c>
      <c r="T926" s="493" t="s">
        <v>1766</v>
      </c>
      <c r="U926" s="471"/>
      <c r="V926" s="471"/>
      <c r="W926" s="488"/>
      <c r="X926" s="471"/>
      <c r="Y926" s="206"/>
      <c r="Z926" s="206"/>
    </row>
    <row r="927" spans="1:26">
      <c r="A927" s="406">
        <v>924</v>
      </c>
      <c r="B927" s="613" t="s">
        <v>7020</v>
      </c>
      <c r="C927" s="483" t="s">
        <v>1772</v>
      </c>
      <c r="D927" s="414" t="s">
        <v>4884</v>
      </c>
      <c r="E927" s="407" t="s">
        <v>4884</v>
      </c>
      <c r="F927" s="483"/>
      <c r="G927" s="483"/>
      <c r="H927" s="483"/>
      <c r="I927" s="483"/>
      <c r="J927" s="483"/>
      <c r="K927" s="483"/>
      <c r="L927" s="608" t="s">
        <v>4884</v>
      </c>
      <c r="M927" s="409" t="s">
        <v>4884</v>
      </c>
      <c r="N927" s="409" t="s">
        <v>4884</v>
      </c>
      <c r="O927" s="410" t="s">
        <v>4884</v>
      </c>
      <c r="P927" s="406">
        <v>924</v>
      </c>
      <c r="Q927" s="460" t="s">
        <v>1772</v>
      </c>
      <c r="R927" s="460" t="s">
        <v>1765</v>
      </c>
      <c r="S927" s="460" t="s">
        <v>1528</v>
      </c>
      <c r="T927" s="493" t="s">
        <v>1766</v>
      </c>
      <c r="U927" s="471"/>
      <c r="V927" s="471"/>
      <c r="W927" s="488"/>
      <c r="X927" s="471"/>
      <c r="Y927" s="206"/>
      <c r="Z927" s="206"/>
    </row>
    <row r="928" spans="1:26">
      <c r="A928" s="406">
        <v>925</v>
      </c>
      <c r="B928" s="613" t="s">
        <v>7020</v>
      </c>
      <c r="C928" s="483" t="s">
        <v>1773</v>
      </c>
      <c r="D928" s="414" t="s">
        <v>4884</v>
      </c>
      <c r="E928" s="407" t="s">
        <v>4884</v>
      </c>
      <c r="F928" s="483"/>
      <c r="G928" s="483"/>
      <c r="H928" s="483"/>
      <c r="I928" s="483"/>
      <c r="J928" s="483"/>
      <c r="K928" s="483"/>
      <c r="L928" s="608" t="s">
        <v>4884</v>
      </c>
      <c r="M928" s="409" t="s">
        <v>4884</v>
      </c>
      <c r="N928" s="409" t="s">
        <v>4884</v>
      </c>
      <c r="O928" s="410" t="s">
        <v>4884</v>
      </c>
      <c r="P928" s="406">
        <v>925</v>
      </c>
      <c r="Q928" s="460" t="s">
        <v>1773</v>
      </c>
      <c r="R928" s="460" t="s">
        <v>1774</v>
      </c>
      <c r="S928" s="460" t="s">
        <v>1528</v>
      </c>
      <c r="T928" s="493" t="s">
        <v>1775</v>
      </c>
      <c r="U928" s="471"/>
      <c r="V928" s="471"/>
      <c r="W928" s="488"/>
      <c r="X928" s="471"/>
      <c r="Y928" s="206"/>
      <c r="Z928" s="206"/>
    </row>
    <row r="929" spans="1:26">
      <c r="A929" s="406">
        <v>926</v>
      </c>
      <c r="B929" s="613" t="s">
        <v>7020</v>
      </c>
      <c r="C929" s="483" t="s">
        <v>1776</v>
      </c>
      <c r="D929" s="414" t="s">
        <v>4884</v>
      </c>
      <c r="E929" s="407" t="s">
        <v>4884</v>
      </c>
      <c r="F929" s="483"/>
      <c r="G929" s="483"/>
      <c r="H929" s="483"/>
      <c r="I929" s="483"/>
      <c r="J929" s="483"/>
      <c r="K929" s="483"/>
      <c r="L929" s="608" t="s">
        <v>4884</v>
      </c>
      <c r="M929" s="409" t="s">
        <v>4884</v>
      </c>
      <c r="N929" s="409" t="s">
        <v>4884</v>
      </c>
      <c r="O929" s="410" t="s">
        <v>4884</v>
      </c>
      <c r="P929" s="406">
        <v>926</v>
      </c>
      <c r="Q929" s="460" t="s">
        <v>1776</v>
      </c>
      <c r="R929" s="460" t="s">
        <v>1777</v>
      </c>
      <c r="S929" s="460" t="s">
        <v>1528</v>
      </c>
      <c r="T929" s="484" t="s">
        <v>1535</v>
      </c>
      <c r="U929" s="471"/>
      <c r="V929" s="471"/>
      <c r="W929" s="488"/>
      <c r="X929" s="471"/>
      <c r="Y929" s="206"/>
      <c r="Z929" s="206"/>
    </row>
    <row r="930" spans="1:26">
      <c r="A930" s="406">
        <v>927</v>
      </c>
      <c r="B930" s="613" t="s">
        <v>7020</v>
      </c>
      <c r="C930" s="483" t="s">
        <v>1778</v>
      </c>
      <c r="D930" s="414" t="s">
        <v>4884</v>
      </c>
      <c r="E930" s="407" t="s">
        <v>4884</v>
      </c>
      <c r="F930" s="483"/>
      <c r="G930" s="483"/>
      <c r="H930" s="483"/>
      <c r="I930" s="483"/>
      <c r="J930" s="483"/>
      <c r="K930" s="483"/>
      <c r="L930" s="608" t="s">
        <v>4884</v>
      </c>
      <c r="M930" s="409" t="s">
        <v>4884</v>
      </c>
      <c r="N930" s="409" t="s">
        <v>4884</v>
      </c>
      <c r="O930" s="410" t="s">
        <v>4884</v>
      </c>
      <c r="P930" s="406">
        <v>927</v>
      </c>
      <c r="Q930" s="460" t="s">
        <v>1778</v>
      </c>
      <c r="R930" s="460" t="s">
        <v>1777</v>
      </c>
      <c r="S930" s="460" t="s">
        <v>1528</v>
      </c>
      <c r="T930" s="484" t="s">
        <v>1535</v>
      </c>
      <c r="U930" s="471"/>
      <c r="V930" s="471"/>
      <c r="W930" s="488"/>
      <c r="X930" s="471"/>
      <c r="Y930" s="206"/>
      <c r="Z930" s="206"/>
    </row>
    <row r="931" spans="1:26">
      <c r="A931" s="406">
        <v>928</v>
      </c>
      <c r="B931" s="613" t="s">
        <v>7020</v>
      </c>
      <c r="C931" s="483" t="s">
        <v>1779</v>
      </c>
      <c r="D931" s="414" t="s">
        <v>4884</v>
      </c>
      <c r="E931" s="407" t="s">
        <v>4884</v>
      </c>
      <c r="F931" s="483"/>
      <c r="G931" s="483"/>
      <c r="H931" s="483"/>
      <c r="I931" s="483"/>
      <c r="J931" s="483"/>
      <c r="K931" s="483"/>
      <c r="L931" s="608" t="s">
        <v>4884</v>
      </c>
      <c r="M931" s="409" t="s">
        <v>4884</v>
      </c>
      <c r="N931" s="409" t="s">
        <v>4884</v>
      </c>
      <c r="O931" s="410" t="s">
        <v>4884</v>
      </c>
      <c r="P931" s="406">
        <v>928</v>
      </c>
      <c r="Q931" s="460" t="s">
        <v>1779</v>
      </c>
      <c r="R931" s="460" t="s">
        <v>1780</v>
      </c>
      <c r="S931" s="460" t="s">
        <v>1528</v>
      </c>
      <c r="T931" s="484" t="s">
        <v>1535</v>
      </c>
      <c r="U931" s="471"/>
      <c r="V931" s="471"/>
      <c r="W931" s="488"/>
      <c r="X931" s="471"/>
      <c r="Y931" s="206"/>
      <c r="Z931" s="206"/>
    </row>
    <row r="932" spans="1:26">
      <c r="A932" s="406">
        <v>929</v>
      </c>
      <c r="B932" s="613" t="s">
        <v>7020</v>
      </c>
      <c r="C932" s="483" t="s">
        <v>1781</v>
      </c>
      <c r="D932" s="414" t="s">
        <v>4884</v>
      </c>
      <c r="E932" s="407" t="s">
        <v>4884</v>
      </c>
      <c r="F932" s="483"/>
      <c r="G932" s="483"/>
      <c r="H932" s="483"/>
      <c r="I932" s="483"/>
      <c r="J932" s="483"/>
      <c r="K932" s="483"/>
      <c r="L932" s="608" t="s">
        <v>4884</v>
      </c>
      <c r="M932" s="409" t="s">
        <v>4884</v>
      </c>
      <c r="N932" s="409" t="s">
        <v>4884</v>
      </c>
      <c r="O932" s="410" t="s">
        <v>4884</v>
      </c>
      <c r="P932" s="406">
        <v>929</v>
      </c>
      <c r="Q932" s="460" t="s">
        <v>1781</v>
      </c>
      <c r="R932" s="460" t="s">
        <v>1780</v>
      </c>
      <c r="S932" s="460" t="s">
        <v>1528</v>
      </c>
      <c r="T932" s="484" t="s">
        <v>1535</v>
      </c>
      <c r="U932" s="471"/>
      <c r="V932" s="471"/>
      <c r="W932" s="488"/>
      <c r="X932" s="471"/>
      <c r="Y932" s="206"/>
      <c r="Z932" s="206"/>
    </row>
    <row r="933" spans="1:26">
      <c r="A933" s="406">
        <v>930</v>
      </c>
      <c r="B933" s="613" t="s">
        <v>7020</v>
      </c>
      <c r="C933" s="483" t="s">
        <v>1782</v>
      </c>
      <c r="D933" s="414" t="s">
        <v>4884</v>
      </c>
      <c r="E933" s="407" t="s">
        <v>4884</v>
      </c>
      <c r="F933" s="483"/>
      <c r="G933" s="483"/>
      <c r="H933" s="483"/>
      <c r="I933" s="483"/>
      <c r="J933" s="483"/>
      <c r="K933" s="483"/>
      <c r="L933" s="608" t="s">
        <v>4884</v>
      </c>
      <c r="M933" s="409" t="s">
        <v>4884</v>
      </c>
      <c r="N933" s="409" t="s">
        <v>4884</v>
      </c>
      <c r="O933" s="410" t="s">
        <v>4884</v>
      </c>
      <c r="P933" s="406">
        <v>930</v>
      </c>
      <c r="Q933" s="460" t="s">
        <v>1782</v>
      </c>
      <c r="R933" s="460" t="s">
        <v>1780</v>
      </c>
      <c r="S933" s="460" t="s">
        <v>1528</v>
      </c>
      <c r="T933" s="484" t="s">
        <v>1535</v>
      </c>
      <c r="U933" s="471"/>
      <c r="V933" s="471"/>
      <c r="W933" s="488"/>
      <c r="X933" s="471"/>
      <c r="Y933" s="206"/>
      <c r="Z933" s="206"/>
    </row>
    <row r="934" spans="1:26">
      <c r="A934" s="406">
        <v>931</v>
      </c>
      <c r="B934" s="613" t="s">
        <v>7020</v>
      </c>
      <c r="C934" s="483" t="s">
        <v>1783</v>
      </c>
      <c r="D934" s="414" t="s">
        <v>4884</v>
      </c>
      <c r="E934" s="407" t="s">
        <v>4884</v>
      </c>
      <c r="F934" s="483"/>
      <c r="G934" s="483"/>
      <c r="H934" s="483"/>
      <c r="I934" s="483"/>
      <c r="J934" s="483"/>
      <c r="K934" s="483"/>
      <c r="L934" s="608" t="s">
        <v>4884</v>
      </c>
      <c r="M934" s="409" t="s">
        <v>4884</v>
      </c>
      <c r="N934" s="409" t="s">
        <v>4884</v>
      </c>
      <c r="O934" s="410" t="s">
        <v>4884</v>
      </c>
      <c r="P934" s="406">
        <v>931</v>
      </c>
      <c r="Q934" s="460" t="s">
        <v>1783</v>
      </c>
      <c r="R934" s="460" t="s">
        <v>1780</v>
      </c>
      <c r="S934" s="460" t="s">
        <v>1528</v>
      </c>
      <c r="T934" s="484" t="s">
        <v>1535</v>
      </c>
      <c r="U934" s="471"/>
      <c r="V934" s="471"/>
      <c r="W934" s="488"/>
      <c r="X934" s="471"/>
      <c r="Y934" s="206"/>
      <c r="Z934" s="206"/>
    </row>
    <row r="935" spans="1:26">
      <c r="A935" s="406">
        <v>932</v>
      </c>
      <c r="B935" s="613" t="s">
        <v>7020</v>
      </c>
      <c r="C935" s="483" t="s">
        <v>1784</v>
      </c>
      <c r="D935" s="414" t="s">
        <v>4884</v>
      </c>
      <c r="E935" s="407" t="s">
        <v>4884</v>
      </c>
      <c r="F935" s="483"/>
      <c r="G935" s="483"/>
      <c r="H935" s="483"/>
      <c r="I935" s="483"/>
      <c r="J935" s="483"/>
      <c r="K935" s="483"/>
      <c r="L935" s="608" t="s">
        <v>4884</v>
      </c>
      <c r="M935" s="409" t="s">
        <v>4884</v>
      </c>
      <c r="N935" s="409" t="s">
        <v>4884</v>
      </c>
      <c r="O935" s="410" t="s">
        <v>4884</v>
      </c>
      <c r="P935" s="406">
        <v>932</v>
      </c>
      <c r="Q935" s="460" t="s">
        <v>1784</v>
      </c>
      <c r="R935" s="460" t="s">
        <v>1780</v>
      </c>
      <c r="S935" s="460" t="s">
        <v>1528</v>
      </c>
      <c r="T935" s="484" t="s">
        <v>1535</v>
      </c>
      <c r="U935" s="471"/>
      <c r="V935" s="471"/>
      <c r="W935" s="488"/>
      <c r="X935" s="471"/>
      <c r="Y935" s="206"/>
      <c r="Z935" s="206"/>
    </row>
    <row r="936" spans="1:26">
      <c r="A936" s="406">
        <v>933</v>
      </c>
      <c r="B936" s="613" t="s">
        <v>7020</v>
      </c>
      <c r="C936" s="483" t="s">
        <v>1785</v>
      </c>
      <c r="D936" s="414" t="s">
        <v>4884</v>
      </c>
      <c r="E936" s="407" t="s">
        <v>4884</v>
      </c>
      <c r="F936" s="483"/>
      <c r="G936" s="483"/>
      <c r="H936" s="483"/>
      <c r="I936" s="483"/>
      <c r="J936" s="483"/>
      <c r="K936" s="483"/>
      <c r="L936" s="608" t="s">
        <v>4884</v>
      </c>
      <c r="M936" s="409" t="s">
        <v>4884</v>
      </c>
      <c r="N936" s="409" t="s">
        <v>4884</v>
      </c>
      <c r="O936" s="410" t="s">
        <v>4884</v>
      </c>
      <c r="P936" s="406">
        <v>933</v>
      </c>
      <c r="Q936" s="460" t="s">
        <v>1785</v>
      </c>
      <c r="R936" s="460" t="s">
        <v>1786</v>
      </c>
      <c r="S936" s="460" t="s">
        <v>1528</v>
      </c>
      <c r="T936" s="507" t="s">
        <v>1787</v>
      </c>
      <c r="U936" s="471"/>
      <c r="V936" s="471"/>
      <c r="W936" s="488"/>
      <c r="X936" s="471"/>
      <c r="Y936" s="206"/>
      <c r="Z936" s="206"/>
    </row>
    <row r="937" spans="1:26">
      <c r="A937" s="406">
        <v>934</v>
      </c>
      <c r="B937" s="613" t="s">
        <v>7020</v>
      </c>
      <c r="C937" s="483" t="s">
        <v>1788</v>
      </c>
      <c r="D937" s="414" t="s">
        <v>4884</v>
      </c>
      <c r="E937" s="407" t="s">
        <v>4884</v>
      </c>
      <c r="F937" s="483"/>
      <c r="G937" s="483"/>
      <c r="H937" s="483"/>
      <c r="I937" s="483"/>
      <c r="J937" s="483"/>
      <c r="K937" s="483"/>
      <c r="L937" s="608" t="s">
        <v>4884</v>
      </c>
      <c r="M937" s="409" t="s">
        <v>4884</v>
      </c>
      <c r="N937" s="409" t="s">
        <v>4884</v>
      </c>
      <c r="O937" s="410" t="s">
        <v>4884</v>
      </c>
      <c r="P937" s="406">
        <v>934</v>
      </c>
      <c r="Q937" s="460" t="s">
        <v>1788</v>
      </c>
      <c r="R937" s="460" t="s">
        <v>1789</v>
      </c>
      <c r="S937" s="460" t="s">
        <v>1528</v>
      </c>
      <c r="T937" s="508" t="s">
        <v>1790</v>
      </c>
      <c r="U937" s="471"/>
      <c r="V937" s="471"/>
      <c r="W937" s="488"/>
      <c r="X937" s="471"/>
      <c r="Y937" s="206"/>
      <c r="Z937" s="206"/>
    </row>
    <row r="938" spans="1:26">
      <c r="A938" s="406">
        <v>935</v>
      </c>
      <c r="B938" s="613" t="s">
        <v>7020</v>
      </c>
      <c r="C938" s="483" t="s">
        <v>1791</v>
      </c>
      <c r="D938" s="414" t="s">
        <v>4884</v>
      </c>
      <c r="E938" s="407" t="s">
        <v>4884</v>
      </c>
      <c r="F938" s="483"/>
      <c r="G938" s="483"/>
      <c r="H938" s="483"/>
      <c r="I938" s="483"/>
      <c r="J938" s="483"/>
      <c r="K938" s="483"/>
      <c r="L938" s="608" t="s">
        <v>4884</v>
      </c>
      <c r="M938" s="409" t="s">
        <v>4884</v>
      </c>
      <c r="N938" s="409" t="s">
        <v>4884</v>
      </c>
      <c r="O938" s="410" t="s">
        <v>4884</v>
      </c>
      <c r="P938" s="406">
        <v>935</v>
      </c>
      <c r="Q938" s="460" t="s">
        <v>1791</v>
      </c>
      <c r="R938" s="460" t="s">
        <v>1789</v>
      </c>
      <c r="S938" s="460" t="s">
        <v>1528</v>
      </c>
      <c r="T938" s="508" t="s">
        <v>1790</v>
      </c>
      <c r="U938" s="471"/>
      <c r="V938" s="471"/>
      <c r="W938" s="488"/>
      <c r="X938" s="471"/>
      <c r="Y938" s="206"/>
      <c r="Z938" s="206"/>
    </row>
    <row r="939" spans="1:26">
      <c r="A939" s="406">
        <v>936</v>
      </c>
      <c r="B939" s="613" t="s">
        <v>7020</v>
      </c>
      <c r="C939" s="483" t="s">
        <v>1792</v>
      </c>
      <c r="D939" s="414" t="s">
        <v>4884</v>
      </c>
      <c r="E939" s="407" t="s">
        <v>4884</v>
      </c>
      <c r="F939" s="483"/>
      <c r="G939" s="483"/>
      <c r="H939" s="483"/>
      <c r="I939" s="483"/>
      <c r="J939" s="483"/>
      <c r="K939" s="483"/>
      <c r="L939" s="608" t="s">
        <v>4884</v>
      </c>
      <c r="M939" s="409" t="s">
        <v>4884</v>
      </c>
      <c r="N939" s="409" t="s">
        <v>4884</v>
      </c>
      <c r="O939" s="410" t="s">
        <v>4884</v>
      </c>
      <c r="P939" s="406">
        <v>936</v>
      </c>
      <c r="Q939" s="460" t="s">
        <v>1792</v>
      </c>
      <c r="R939" s="460" t="s">
        <v>1789</v>
      </c>
      <c r="S939" s="460" t="s">
        <v>1528</v>
      </c>
      <c r="T939" s="508" t="s">
        <v>1790</v>
      </c>
      <c r="U939" s="471"/>
      <c r="V939" s="471"/>
      <c r="W939" s="488"/>
      <c r="X939" s="471"/>
      <c r="Y939" s="206"/>
      <c r="Z939" s="206"/>
    </row>
    <row r="940" spans="1:26">
      <c r="A940" s="406">
        <v>937</v>
      </c>
      <c r="B940" s="613" t="s">
        <v>7020</v>
      </c>
      <c r="C940" s="483" t="s">
        <v>1793</v>
      </c>
      <c r="D940" s="414" t="s">
        <v>4884</v>
      </c>
      <c r="E940" s="407" t="s">
        <v>4884</v>
      </c>
      <c r="F940" s="483"/>
      <c r="G940" s="483"/>
      <c r="H940" s="483"/>
      <c r="I940" s="483"/>
      <c r="J940" s="483"/>
      <c r="K940" s="483"/>
      <c r="L940" s="608" t="s">
        <v>4884</v>
      </c>
      <c r="M940" s="409" t="s">
        <v>4884</v>
      </c>
      <c r="N940" s="409" t="s">
        <v>4884</v>
      </c>
      <c r="O940" s="410" t="s">
        <v>4884</v>
      </c>
      <c r="P940" s="406">
        <v>937</v>
      </c>
      <c r="Q940" s="460" t="s">
        <v>1793</v>
      </c>
      <c r="R940" s="460" t="s">
        <v>1794</v>
      </c>
      <c r="S940" s="460" t="s">
        <v>1528</v>
      </c>
      <c r="T940" s="486" t="s">
        <v>1795</v>
      </c>
      <c r="U940" s="471"/>
      <c r="V940" s="471"/>
      <c r="W940" s="488"/>
      <c r="X940" s="471"/>
      <c r="Y940" s="206"/>
      <c r="Z940" s="206"/>
    </row>
    <row r="941" spans="1:26">
      <c r="A941" s="406">
        <v>938</v>
      </c>
      <c r="B941" s="613" t="s">
        <v>7020</v>
      </c>
      <c r="C941" s="483" t="s">
        <v>1796</v>
      </c>
      <c r="D941" s="414" t="s">
        <v>4884</v>
      </c>
      <c r="E941" s="407" t="s">
        <v>4884</v>
      </c>
      <c r="F941" s="483"/>
      <c r="G941" s="483"/>
      <c r="H941" s="483"/>
      <c r="I941" s="483"/>
      <c r="J941" s="483"/>
      <c r="K941" s="483"/>
      <c r="L941" s="608" t="s">
        <v>4884</v>
      </c>
      <c r="M941" s="409" t="s">
        <v>4884</v>
      </c>
      <c r="N941" s="409" t="s">
        <v>4884</v>
      </c>
      <c r="O941" s="410" t="s">
        <v>4884</v>
      </c>
      <c r="P941" s="406">
        <v>938</v>
      </c>
      <c r="Q941" s="460" t="s">
        <v>1796</v>
      </c>
      <c r="R941" s="460" t="s">
        <v>1797</v>
      </c>
      <c r="S941" s="460" t="s">
        <v>1528</v>
      </c>
      <c r="T941" s="509" t="s">
        <v>1798</v>
      </c>
      <c r="U941" s="471"/>
      <c r="V941" s="471"/>
      <c r="W941" s="488"/>
      <c r="X941" s="471"/>
      <c r="Y941" s="206"/>
      <c r="Z941" s="206"/>
    </row>
    <row r="942" spans="1:26">
      <c r="A942" s="406">
        <v>939</v>
      </c>
      <c r="B942" s="613" t="s">
        <v>7020</v>
      </c>
      <c r="C942" s="483" t="s">
        <v>1799</v>
      </c>
      <c r="D942" s="414" t="s">
        <v>4884</v>
      </c>
      <c r="E942" s="407" t="s">
        <v>4884</v>
      </c>
      <c r="F942" s="483"/>
      <c r="G942" s="483"/>
      <c r="H942" s="483"/>
      <c r="I942" s="483"/>
      <c r="J942" s="483"/>
      <c r="K942" s="483"/>
      <c r="L942" s="608" t="s">
        <v>4884</v>
      </c>
      <c r="M942" s="409" t="s">
        <v>4884</v>
      </c>
      <c r="N942" s="409" t="s">
        <v>4884</v>
      </c>
      <c r="O942" s="410" t="s">
        <v>4884</v>
      </c>
      <c r="P942" s="406">
        <v>939</v>
      </c>
      <c r="Q942" s="460" t="s">
        <v>1799</v>
      </c>
      <c r="R942" s="460" t="s">
        <v>1800</v>
      </c>
      <c r="S942" s="460" t="s">
        <v>1528</v>
      </c>
      <c r="T942" s="509" t="s">
        <v>1798</v>
      </c>
      <c r="U942" s="471"/>
      <c r="V942" s="471"/>
      <c r="W942" s="488"/>
      <c r="X942" s="471"/>
      <c r="Y942" s="206"/>
      <c r="Z942" s="206"/>
    </row>
    <row r="943" spans="1:26">
      <c r="A943" s="406">
        <v>940</v>
      </c>
      <c r="B943" s="613" t="s">
        <v>7020</v>
      </c>
      <c r="C943" s="483" t="s">
        <v>1801</v>
      </c>
      <c r="D943" s="414" t="s">
        <v>4884</v>
      </c>
      <c r="E943" s="407" t="s">
        <v>4884</v>
      </c>
      <c r="F943" s="483"/>
      <c r="G943" s="483"/>
      <c r="H943" s="483"/>
      <c r="I943" s="483"/>
      <c r="J943" s="483"/>
      <c r="K943" s="483"/>
      <c r="L943" s="608" t="s">
        <v>4884</v>
      </c>
      <c r="M943" s="409" t="s">
        <v>4884</v>
      </c>
      <c r="N943" s="409" t="s">
        <v>4884</v>
      </c>
      <c r="O943" s="410" t="s">
        <v>4884</v>
      </c>
      <c r="P943" s="406">
        <v>940</v>
      </c>
      <c r="Q943" s="460" t="s">
        <v>1801</v>
      </c>
      <c r="R943" s="460" t="s">
        <v>1802</v>
      </c>
      <c r="S943" s="460" t="s">
        <v>1528</v>
      </c>
      <c r="T943" s="509" t="s">
        <v>1798</v>
      </c>
      <c r="U943" s="471"/>
      <c r="V943" s="471"/>
      <c r="W943" s="488"/>
      <c r="X943" s="471"/>
      <c r="Y943" s="206"/>
      <c r="Z943" s="206"/>
    </row>
    <row r="944" spans="1:26">
      <c r="A944" s="406">
        <v>941</v>
      </c>
      <c r="B944" s="613" t="s">
        <v>7020</v>
      </c>
      <c r="C944" s="483" t="s">
        <v>1803</v>
      </c>
      <c r="D944" s="414" t="s">
        <v>4884</v>
      </c>
      <c r="E944" s="407" t="s">
        <v>4884</v>
      </c>
      <c r="F944" s="483"/>
      <c r="G944" s="483"/>
      <c r="H944" s="483"/>
      <c r="I944" s="483"/>
      <c r="J944" s="483"/>
      <c r="K944" s="483"/>
      <c r="L944" s="608" t="s">
        <v>4884</v>
      </c>
      <c r="M944" s="409" t="s">
        <v>4884</v>
      </c>
      <c r="N944" s="409" t="s">
        <v>4884</v>
      </c>
      <c r="O944" s="410" t="s">
        <v>4884</v>
      </c>
      <c r="P944" s="406">
        <v>941</v>
      </c>
      <c r="Q944" s="460" t="s">
        <v>1803</v>
      </c>
      <c r="R944" s="460" t="s">
        <v>1804</v>
      </c>
      <c r="S944" s="460" t="s">
        <v>1528</v>
      </c>
      <c r="T944" s="509" t="s">
        <v>1798</v>
      </c>
      <c r="U944" s="471"/>
      <c r="V944" s="471"/>
      <c r="W944" s="488"/>
      <c r="X944" s="471"/>
      <c r="Y944" s="206"/>
      <c r="Z944" s="206"/>
    </row>
    <row r="945" spans="1:26" ht="15" thickBot="1">
      <c r="A945" s="406">
        <v>942</v>
      </c>
      <c r="B945" s="613" t="s">
        <v>7020</v>
      </c>
      <c r="C945" s="483" t="s">
        <v>1805</v>
      </c>
      <c r="D945" s="414" t="s">
        <v>4884</v>
      </c>
      <c r="E945" s="407" t="s">
        <v>4884</v>
      </c>
      <c r="F945" s="483"/>
      <c r="G945" s="483"/>
      <c r="H945" s="483"/>
      <c r="I945" s="483"/>
      <c r="J945" s="483"/>
      <c r="K945" s="483"/>
      <c r="L945" s="608" t="s">
        <v>4884</v>
      </c>
      <c r="M945" s="409" t="s">
        <v>4884</v>
      </c>
      <c r="N945" s="409" t="s">
        <v>4884</v>
      </c>
      <c r="O945" s="410" t="s">
        <v>4884</v>
      </c>
      <c r="P945" s="406">
        <v>942</v>
      </c>
      <c r="Q945" s="460" t="s">
        <v>1805</v>
      </c>
      <c r="R945" s="460" t="s">
        <v>1806</v>
      </c>
      <c r="S945" s="460" t="s">
        <v>1528</v>
      </c>
      <c r="T945" s="509" t="s">
        <v>1798</v>
      </c>
      <c r="U945" s="471"/>
      <c r="V945" s="471"/>
      <c r="W945" s="488"/>
      <c r="X945" s="471"/>
      <c r="Y945" s="206"/>
      <c r="Z945" s="206"/>
    </row>
    <row r="946" spans="1:26" ht="15" thickBot="1">
      <c r="A946" s="406">
        <v>943</v>
      </c>
      <c r="B946" s="613" t="s">
        <v>7020</v>
      </c>
      <c r="C946" s="483" t="s">
        <v>1807</v>
      </c>
      <c r="D946" s="414" t="s">
        <v>4884</v>
      </c>
      <c r="E946" s="407" t="s">
        <v>4884</v>
      </c>
      <c r="F946" s="483"/>
      <c r="G946" s="483"/>
      <c r="H946" s="483"/>
      <c r="I946" s="483"/>
      <c r="J946" s="483"/>
      <c r="K946" s="483"/>
      <c r="L946" s="608" t="s">
        <v>4884</v>
      </c>
      <c r="M946" s="409" t="s">
        <v>4884</v>
      </c>
      <c r="N946" s="409" t="s">
        <v>4884</v>
      </c>
      <c r="O946" s="410" t="s">
        <v>4884</v>
      </c>
      <c r="P946" s="406">
        <v>943</v>
      </c>
      <c r="Q946" s="535" t="s">
        <v>1807</v>
      </c>
      <c r="R946" s="535" t="s">
        <v>1808</v>
      </c>
      <c r="S946" s="535" t="s">
        <v>1528</v>
      </c>
      <c r="T946" s="537" t="s">
        <v>1809</v>
      </c>
      <c r="U946" s="471"/>
      <c r="V946" s="471"/>
      <c r="W946" s="488"/>
      <c r="X946" s="471"/>
      <c r="Y946" s="206"/>
      <c r="Z946" s="206"/>
    </row>
    <row r="947" spans="1:26">
      <c r="A947" s="406">
        <v>944</v>
      </c>
      <c r="B947" s="613" t="s">
        <v>7020</v>
      </c>
      <c r="C947" s="483" t="s">
        <v>1810</v>
      </c>
      <c r="D947" s="414" t="s">
        <v>4884</v>
      </c>
      <c r="E947" s="407" t="s">
        <v>4884</v>
      </c>
      <c r="F947" s="483"/>
      <c r="G947" s="483"/>
      <c r="H947" s="483"/>
      <c r="I947" s="483"/>
      <c r="J947" s="483"/>
      <c r="K947" s="483"/>
      <c r="L947" s="608" t="s">
        <v>4884</v>
      </c>
      <c r="M947" s="409" t="s">
        <v>4884</v>
      </c>
      <c r="N947" s="409" t="s">
        <v>4884</v>
      </c>
      <c r="O947" s="410" t="s">
        <v>4884</v>
      </c>
      <c r="P947" s="406">
        <v>944</v>
      </c>
      <c r="Q947" s="460" t="s">
        <v>1810</v>
      </c>
      <c r="R947" s="460" t="s">
        <v>1811</v>
      </c>
      <c r="S947" s="460" t="s">
        <v>1528</v>
      </c>
      <c r="T947" s="509" t="s">
        <v>1798</v>
      </c>
      <c r="U947" s="471"/>
      <c r="V947" s="471"/>
      <c r="W947" s="488"/>
      <c r="X947" s="471"/>
      <c r="Y947" s="206"/>
      <c r="Z947" s="206"/>
    </row>
    <row r="948" spans="1:26">
      <c r="A948" s="406">
        <v>945</v>
      </c>
      <c r="B948" s="613" t="s">
        <v>7020</v>
      </c>
      <c r="C948" s="483" t="s">
        <v>1812</v>
      </c>
      <c r="D948" s="414" t="s">
        <v>4884</v>
      </c>
      <c r="E948" s="407" t="s">
        <v>4884</v>
      </c>
      <c r="F948" s="483"/>
      <c r="G948" s="483"/>
      <c r="H948" s="483"/>
      <c r="I948" s="483"/>
      <c r="J948" s="483"/>
      <c r="K948" s="483"/>
      <c r="L948" s="608" t="s">
        <v>4884</v>
      </c>
      <c r="M948" s="409" t="s">
        <v>4884</v>
      </c>
      <c r="N948" s="409" t="s">
        <v>4884</v>
      </c>
      <c r="O948" s="410" t="s">
        <v>4884</v>
      </c>
      <c r="P948" s="406">
        <v>945</v>
      </c>
      <c r="Q948" s="460" t="s">
        <v>1812</v>
      </c>
      <c r="R948" s="460" t="s">
        <v>1813</v>
      </c>
      <c r="S948" s="460" t="s">
        <v>1528</v>
      </c>
      <c r="T948" s="486" t="s">
        <v>1795</v>
      </c>
      <c r="U948" s="471"/>
      <c r="V948" s="471"/>
      <c r="W948" s="488"/>
      <c r="X948" s="471"/>
      <c r="Y948" s="206"/>
      <c r="Z948" s="206"/>
    </row>
    <row r="949" spans="1:26">
      <c r="A949" s="406">
        <v>946</v>
      </c>
      <c r="B949" s="613" t="s">
        <v>7020</v>
      </c>
      <c r="C949" s="483" t="s">
        <v>1814</v>
      </c>
      <c r="D949" s="414" t="s">
        <v>4884</v>
      </c>
      <c r="E949" s="407" t="s">
        <v>4884</v>
      </c>
      <c r="F949" s="483"/>
      <c r="G949" s="483"/>
      <c r="H949" s="483"/>
      <c r="I949" s="483"/>
      <c r="J949" s="483"/>
      <c r="K949" s="483"/>
      <c r="L949" s="608" t="s">
        <v>4884</v>
      </c>
      <c r="M949" s="409" t="s">
        <v>4884</v>
      </c>
      <c r="N949" s="409" t="s">
        <v>4884</v>
      </c>
      <c r="O949" s="410" t="s">
        <v>4884</v>
      </c>
      <c r="P949" s="406">
        <v>946</v>
      </c>
      <c r="Q949" s="460" t="s">
        <v>1814</v>
      </c>
      <c r="R949" s="460" t="s">
        <v>1815</v>
      </c>
      <c r="S949" s="460" t="s">
        <v>1528</v>
      </c>
      <c r="T949" s="484" t="s">
        <v>1535</v>
      </c>
      <c r="U949" s="471"/>
      <c r="V949" s="471"/>
      <c r="W949" s="488"/>
      <c r="X949" s="471"/>
      <c r="Y949" s="206"/>
      <c r="Z949" s="206"/>
    </row>
    <row r="950" spans="1:26">
      <c r="A950" s="406">
        <v>947</v>
      </c>
      <c r="B950" s="613" t="s">
        <v>7020</v>
      </c>
      <c r="C950" s="483" t="s">
        <v>1816</v>
      </c>
      <c r="D950" s="414" t="s">
        <v>4884</v>
      </c>
      <c r="E950" s="407" t="s">
        <v>4884</v>
      </c>
      <c r="F950" s="483"/>
      <c r="G950" s="483"/>
      <c r="H950" s="483"/>
      <c r="I950" s="483"/>
      <c r="J950" s="483"/>
      <c r="K950" s="483"/>
      <c r="L950" s="608" t="s">
        <v>4884</v>
      </c>
      <c r="M950" s="409" t="s">
        <v>4884</v>
      </c>
      <c r="N950" s="409" t="s">
        <v>4884</v>
      </c>
      <c r="O950" s="410" t="s">
        <v>4884</v>
      </c>
      <c r="P950" s="406">
        <v>947</v>
      </c>
      <c r="Q950" s="460" t="s">
        <v>1816</v>
      </c>
      <c r="R950" s="460" t="s">
        <v>1815</v>
      </c>
      <c r="S950" s="460" t="s">
        <v>1528</v>
      </c>
      <c r="T950" s="484" t="s">
        <v>1535</v>
      </c>
      <c r="U950" s="471"/>
      <c r="V950" s="471"/>
      <c r="W950" s="488"/>
      <c r="X950" s="471"/>
      <c r="Y950" s="206"/>
      <c r="Z950" s="206"/>
    </row>
    <row r="951" spans="1:26">
      <c r="A951" s="406">
        <v>948</v>
      </c>
      <c r="B951" s="613" t="s">
        <v>7020</v>
      </c>
      <c r="C951" s="483" t="s">
        <v>1817</v>
      </c>
      <c r="D951" s="414" t="s">
        <v>4884</v>
      </c>
      <c r="E951" s="407" t="s">
        <v>4884</v>
      </c>
      <c r="F951" s="483"/>
      <c r="G951" s="483"/>
      <c r="H951" s="483"/>
      <c r="I951" s="483"/>
      <c r="J951" s="483"/>
      <c r="K951" s="483"/>
      <c r="L951" s="608" t="s">
        <v>4884</v>
      </c>
      <c r="M951" s="409" t="s">
        <v>4884</v>
      </c>
      <c r="N951" s="409" t="s">
        <v>4884</v>
      </c>
      <c r="O951" s="410" t="s">
        <v>4884</v>
      </c>
      <c r="P951" s="406">
        <v>948</v>
      </c>
      <c r="Q951" s="460" t="s">
        <v>1817</v>
      </c>
      <c r="R951" s="460" t="s">
        <v>1815</v>
      </c>
      <c r="S951" s="460" t="s">
        <v>1528</v>
      </c>
      <c r="T951" s="484" t="s">
        <v>1535</v>
      </c>
      <c r="U951" s="471"/>
      <c r="V951" s="471"/>
      <c r="W951" s="488"/>
      <c r="X951" s="471"/>
      <c r="Y951" s="206"/>
      <c r="Z951" s="206"/>
    </row>
    <row r="952" spans="1:26">
      <c r="A952" s="406">
        <v>949</v>
      </c>
      <c r="B952" s="613" t="s">
        <v>7020</v>
      </c>
      <c r="C952" s="483" t="s">
        <v>1818</v>
      </c>
      <c r="D952" s="414" t="s">
        <v>4884</v>
      </c>
      <c r="E952" s="407" t="s">
        <v>4884</v>
      </c>
      <c r="F952" s="483"/>
      <c r="G952" s="483"/>
      <c r="H952" s="483"/>
      <c r="I952" s="483"/>
      <c r="J952" s="483"/>
      <c r="K952" s="483"/>
      <c r="L952" s="608" t="s">
        <v>4884</v>
      </c>
      <c r="M952" s="409" t="s">
        <v>4884</v>
      </c>
      <c r="N952" s="409" t="s">
        <v>4884</v>
      </c>
      <c r="O952" s="410" t="s">
        <v>4884</v>
      </c>
      <c r="P952" s="406">
        <v>949</v>
      </c>
      <c r="Q952" s="460" t="s">
        <v>1818</v>
      </c>
      <c r="R952" s="460" t="s">
        <v>1819</v>
      </c>
      <c r="S952" s="460" t="s">
        <v>1528</v>
      </c>
      <c r="T952" s="510" t="s">
        <v>1820</v>
      </c>
      <c r="U952" s="471"/>
      <c r="V952" s="471"/>
      <c r="W952" s="488"/>
      <c r="X952" s="471"/>
      <c r="Y952" s="206"/>
      <c r="Z952" s="206"/>
    </row>
    <row r="953" spans="1:26">
      <c r="A953" s="406">
        <v>950</v>
      </c>
      <c r="B953" s="613" t="s">
        <v>7020</v>
      </c>
      <c r="C953" s="483" t="s">
        <v>1821</v>
      </c>
      <c r="D953" s="414" t="s">
        <v>4884</v>
      </c>
      <c r="E953" s="407" t="s">
        <v>4884</v>
      </c>
      <c r="F953" s="483"/>
      <c r="G953" s="483"/>
      <c r="H953" s="483"/>
      <c r="I953" s="483"/>
      <c r="J953" s="483"/>
      <c r="K953" s="483"/>
      <c r="L953" s="608" t="s">
        <v>4884</v>
      </c>
      <c r="M953" s="409" t="s">
        <v>4884</v>
      </c>
      <c r="N953" s="409" t="s">
        <v>4884</v>
      </c>
      <c r="O953" s="410" t="s">
        <v>4884</v>
      </c>
      <c r="P953" s="406">
        <v>950</v>
      </c>
      <c r="Q953" s="460" t="s">
        <v>1821</v>
      </c>
      <c r="R953" s="460" t="s">
        <v>1819</v>
      </c>
      <c r="S953" s="460" t="s">
        <v>1528</v>
      </c>
      <c r="T953" s="510" t="s">
        <v>1820</v>
      </c>
      <c r="U953" s="471"/>
      <c r="V953" s="471"/>
      <c r="W953" s="488"/>
      <c r="X953" s="471"/>
      <c r="Y953" s="206"/>
      <c r="Z953" s="206"/>
    </row>
    <row r="954" spans="1:26">
      <c r="A954" s="406">
        <v>951</v>
      </c>
      <c r="B954" s="613" t="s">
        <v>7020</v>
      </c>
      <c r="C954" s="483" t="s">
        <v>1822</v>
      </c>
      <c r="D954" s="414" t="s">
        <v>4884</v>
      </c>
      <c r="E954" s="407" t="s">
        <v>4884</v>
      </c>
      <c r="F954" s="483"/>
      <c r="G954" s="483"/>
      <c r="H954" s="483"/>
      <c r="I954" s="483"/>
      <c r="J954" s="483"/>
      <c r="K954" s="483"/>
      <c r="L954" s="608" t="s">
        <v>4884</v>
      </c>
      <c r="M954" s="409" t="s">
        <v>4884</v>
      </c>
      <c r="N954" s="409" t="s">
        <v>4884</v>
      </c>
      <c r="O954" s="410" t="s">
        <v>4884</v>
      </c>
      <c r="P954" s="406">
        <v>951</v>
      </c>
      <c r="Q954" s="460" t="s">
        <v>1822</v>
      </c>
      <c r="R954" s="460" t="s">
        <v>1819</v>
      </c>
      <c r="S954" s="460" t="s">
        <v>1528</v>
      </c>
      <c r="T954" s="510" t="s">
        <v>1820</v>
      </c>
      <c r="U954" s="471"/>
      <c r="V954" s="471"/>
      <c r="W954" s="488"/>
      <c r="X954" s="471"/>
      <c r="Y954" s="206"/>
      <c r="Z954" s="206"/>
    </row>
    <row r="955" spans="1:26">
      <c r="A955" s="406">
        <v>952</v>
      </c>
      <c r="B955" s="613" t="s">
        <v>7020</v>
      </c>
      <c r="C955" s="483" t="s">
        <v>1823</v>
      </c>
      <c r="D955" s="414" t="s">
        <v>4884</v>
      </c>
      <c r="E955" s="407" t="s">
        <v>4884</v>
      </c>
      <c r="F955" s="483"/>
      <c r="G955" s="483"/>
      <c r="H955" s="483"/>
      <c r="I955" s="483"/>
      <c r="J955" s="483"/>
      <c r="K955" s="483"/>
      <c r="L955" s="608" t="s">
        <v>4884</v>
      </c>
      <c r="M955" s="409" t="s">
        <v>4884</v>
      </c>
      <c r="N955" s="409" t="s">
        <v>4884</v>
      </c>
      <c r="O955" s="410" t="s">
        <v>4884</v>
      </c>
      <c r="P955" s="406">
        <v>952</v>
      </c>
      <c r="Q955" s="460" t="s">
        <v>1823</v>
      </c>
      <c r="R955" s="460" t="s">
        <v>1819</v>
      </c>
      <c r="S955" s="460" t="s">
        <v>1528</v>
      </c>
      <c r="T955" s="510" t="s">
        <v>1820</v>
      </c>
      <c r="U955" s="471"/>
      <c r="V955" s="471"/>
      <c r="W955" s="488"/>
      <c r="X955" s="471"/>
      <c r="Y955" s="206"/>
      <c r="Z955" s="206"/>
    </row>
    <row r="956" spans="1:26">
      <c r="A956" s="406">
        <v>953</v>
      </c>
      <c r="B956" s="613" t="s">
        <v>7020</v>
      </c>
      <c r="C956" s="483" t="s">
        <v>1824</v>
      </c>
      <c r="D956" s="414" t="s">
        <v>4884</v>
      </c>
      <c r="E956" s="407" t="s">
        <v>4884</v>
      </c>
      <c r="F956" s="483"/>
      <c r="G956" s="483"/>
      <c r="H956" s="483"/>
      <c r="I956" s="483"/>
      <c r="J956" s="483"/>
      <c r="K956" s="483"/>
      <c r="L956" s="608" t="s">
        <v>4884</v>
      </c>
      <c r="M956" s="409" t="s">
        <v>4884</v>
      </c>
      <c r="N956" s="409" t="s">
        <v>4884</v>
      </c>
      <c r="O956" s="410" t="s">
        <v>4884</v>
      </c>
      <c r="P956" s="406">
        <v>953</v>
      </c>
      <c r="Q956" s="460" t="s">
        <v>1824</v>
      </c>
      <c r="R956" s="460" t="s">
        <v>1825</v>
      </c>
      <c r="S956" s="460" t="s">
        <v>1528</v>
      </c>
      <c r="T956" s="511" t="s">
        <v>1826</v>
      </c>
      <c r="U956" s="471"/>
      <c r="V956" s="471"/>
      <c r="W956" s="488"/>
      <c r="X956" s="471"/>
      <c r="Y956" s="206"/>
      <c r="Z956" s="206"/>
    </row>
    <row r="957" spans="1:26">
      <c r="A957" s="406">
        <v>954</v>
      </c>
      <c r="B957" s="613" t="s">
        <v>7020</v>
      </c>
      <c r="C957" s="483" t="s">
        <v>1827</v>
      </c>
      <c r="D957" s="414" t="s">
        <v>4884</v>
      </c>
      <c r="E957" s="407" t="s">
        <v>4884</v>
      </c>
      <c r="F957" s="483"/>
      <c r="G957" s="483"/>
      <c r="H957" s="483"/>
      <c r="I957" s="483"/>
      <c r="J957" s="483"/>
      <c r="K957" s="483"/>
      <c r="L957" s="608" t="s">
        <v>4884</v>
      </c>
      <c r="M957" s="409" t="s">
        <v>4884</v>
      </c>
      <c r="N957" s="409" t="s">
        <v>4884</v>
      </c>
      <c r="O957" s="410" t="s">
        <v>4884</v>
      </c>
      <c r="P957" s="406">
        <v>954</v>
      </c>
      <c r="Q957" s="460" t="s">
        <v>1827</v>
      </c>
      <c r="R957" s="460" t="s">
        <v>1825</v>
      </c>
      <c r="S957" s="460" t="s">
        <v>1528</v>
      </c>
      <c r="T957" s="511" t="s">
        <v>1826</v>
      </c>
      <c r="U957" s="471"/>
      <c r="V957" s="471"/>
      <c r="W957" s="488"/>
      <c r="X957" s="471"/>
      <c r="Y957" s="206"/>
      <c r="Z957" s="206"/>
    </row>
    <row r="958" spans="1:26" ht="15" thickBot="1">
      <c r="A958" s="406">
        <v>955</v>
      </c>
      <c r="B958" s="613" t="s">
        <v>7020</v>
      </c>
      <c r="C958" s="483" t="s">
        <v>1828</v>
      </c>
      <c r="D958" s="414" t="s">
        <v>4884</v>
      </c>
      <c r="E958" s="407" t="s">
        <v>4884</v>
      </c>
      <c r="F958" s="483"/>
      <c r="G958" s="483"/>
      <c r="H958" s="483"/>
      <c r="I958" s="483"/>
      <c r="J958" s="483"/>
      <c r="K958" s="483"/>
      <c r="L958" s="608" t="s">
        <v>4884</v>
      </c>
      <c r="M958" s="409" t="s">
        <v>4884</v>
      </c>
      <c r="N958" s="409" t="s">
        <v>4884</v>
      </c>
      <c r="O958" s="410" t="s">
        <v>4884</v>
      </c>
      <c r="P958" s="406">
        <v>955</v>
      </c>
      <c r="Q958" s="460" t="s">
        <v>1828</v>
      </c>
      <c r="R958" s="460" t="s">
        <v>1829</v>
      </c>
      <c r="S958" s="460" t="s">
        <v>1528</v>
      </c>
      <c r="T958" s="486" t="s">
        <v>1795</v>
      </c>
      <c r="U958" s="471"/>
      <c r="V958" s="471"/>
      <c r="W958" s="488"/>
      <c r="X958" s="471"/>
      <c r="Y958" s="206"/>
      <c r="Z958" s="206"/>
    </row>
    <row r="959" spans="1:26" ht="15" thickBot="1">
      <c r="A959" s="406">
        <v>956</v>
      </c>
      <c r="B959" s="613" t="s">
        <v>7020</v>
      </c>
      <c r="C959" s="483" t="s">
        <v>1830</v>
      </c>
      <c r="D959" s="414" t="s">
        <v>4884</v>
      </c>
      <c r="E959" s="407" t="s">
        <v>4884</v>
      </c>
      <c r="F959" s="483"/>
      <c r="G959" s="483"/>
      <c r="H959" s="483"/>
      <c r="I959" s="483"/>
      <c r="J959" s="483"/>
      <c r="K959" s="483"/>
      <c r="L959" s="608" t="s">
        <v>4884</v>
      </c>
      <c r="M959" s="409" t="s">
        <v>4884</v>
      </c>
      <c r="N959" s="409" t="s">
        <v>4884</v>
      </c>
      <c r="O959" s="410" t="s">
        <v>4884</v>
      </c>
      <c r="P959" s="406">
        <v>956</v>
      </c>
      <c r="Q959" s="535" t="s">
        <v>1830</v>
      </c>
      <c r="R959" s="535" t="s">
        <v>1831</v>
      </c>
      <c r="S959" s="535" t="s">
        <v>1528</v>
      </c>
      <c r="T959" s="536" t="s">
        <v>1832</v>
      </c>
      <c r="U959" s="471"/>
      <c r="V959" s="471"/>
      <c r="W959" s="488"/>
      <c r="X959" s="471"/>
      <c r="Y959" s="206"/>
      <c r="Z959" s="206"/>
    </row>
    <row r="960" spans="1:26">
      <c r="A960" s="406">
        <v>957</v>
      </c>
      <c r="B960" s="613" t="s">
        <v>5436</v>
      </c>
      <c r="C960" s="483" t="s">
        <v>1833</v>
      </c>
      <c r="D960" s="414" t="s">
        <v>4647</v>
      </c>
      <c r="E960" s="407" t="s">
        <v>9001</v>
      </c>
      <c r="F960" s="483" t="s">
        <v>5437</v>
      </c>
      <c r="H960" s="411"/>
      <c r="I960" s="411"/>
      <c r="J960" s="411"/>
      <c r="K960" s="411"/>
      <c r="L960" s="608"/>
      <c r="M960" s="409">
        <v>3777.4881889763783</v>
      </c>
      <c r="N960" s="409">
        <v>3777.4881889763783</v>
      </c>
      <c r="O960" s="410" t="s">
        <v>7570</v>
      </c>
      <c r="P960" s="406">
        <v>957</v>
      </c>
      <c r="Q960" s="460" t="s">
        <v>1833</v>
      </c>
      <c r="R960" s="460" t="s">
        <v>1834</v>
      </c>
      <c r="S960" s="460" t="s">
        <v>1528</v>
      </c>
      <c r="T960" s="482" t="s">
        <v>1835</v>
      </c>
      <c r="U960" s="471"/>
      <c r="V960" s="471"/>
      <c r="W960" s="488"/>
      <c r="X960" s="471">
        <v>1</v>
      </c>
      <c r="Y960" s="206"/>
      <c r="Z960" s="206"/>
    </row>
    <row r="961" spans="1:26">
      <c r="A961" s="406">
        <v>958</v>
      </c>
      <c r="B961" s="613" t="s">
        <v>7020</v>
      </c>
      <c r="C961" s="483" t="s">
        <v>1836</v>
      </c>
      <c r="D961" s="414" t="s">
        <v>4884</v>
      </c>
      <c r="E961" s="407" t="s">
        <v>4884</v>
      </c>
      <c r="F961" s="483"/>
      <c r="G961" s="483"/>
      <c r="H961" s="483"/>
      <c r="I961" s="483"/>
      <c r="J961" s="483"/>
      <c r="K961" s="483"/>
      <c r="L961" s="608" t="s">
        <v>4884</v>
      </c>
      <c r="M961" s="409" t="s">
        <v>4884</v>
      </c>
      <c r="N961" s="409" t="s">
        <v>4884</v>
      </c>
      <c r="O961" s="410" t="s">
        <v>4884</v>
      </c>
      <c r="P961" s="406">
        <v>958</v>
      </c>
      <c r="Q961" s="460" t="s">
        <v>1836</v>
      </c>
      <c r="R961" s="460" t="s">
        <v>1837</v>
      </c>
      <c r="S961" s="460" t="s">
        <v>1528</v>
      </c>
      <c r="T961" s="481" t="s">
        <v>1838</v>
      </c>
      <c r="U961" s="471"/>
      <c r="V961" s="471"/>
      <c r="W961" s="488"/>
      <c r="X961" s="471"/>
      <c r="Y961" s="206"/>
      <c r="Z961" s="206"/>
    </row>
    <row r="962" spans="1:26">
      <c r="A962" s="406">
        <v>959</v>
      </c>
      <c r="B962" s="613" t="s">
        <v>7020</v>
      </c>
      <c r="C962" s="483" t="s">
        <v>1839</v>
      </c>
      <c r="D962" s="414" t="s">
        <v>4884</v>
      </c>
      <c r="E962" s="407" t="s">
        <v>4884</v>
      </c>
      <c r="F962" s="483"/>
      <c r="G962" s="483"/>
      <c r="H962" s="483"/>
      <c r="I962" s="483"/>
      <c r="J962" s="483"/>
      <c r="K962" s="483"/>
      <c r="L962" s="608" t="s">
        <v>4884</v>
      </c>
      <c r="M962" s="409" t="s">
        <v>4884</v>
      </c>
      <c r="N962" s="409" t="s">
        <v>4884</v>
      </c>
      <c r="O962" s="410" t="s">
        <v>4884</v>
      </c>
      <c r="P962" s="406">
        <v>959</v>
      </c>
      <c r="Q962" s="460" t="s">
        <v>1839</v>
      </c>
      <c r="R962" s="460" t="s">
        <v>1837</v>
      </c>
      <c r="S962" s="460" t="s">
        <v>1528</v>
      </c>
      <c r="T962" s="481" t="s">
        <v>1838</v>
      </c>
      <c r="U962" s="471"/>
      <c r="V962" s="471"/>
      <c r="W962" s="488"/>
      <c r="X962" s="471"/>
      <c r="Y962" s="206"/>
      <c r="Z962" s="206"/>
    </row>
    <row r="963" spans="1:26">
      <c r="A963" s="406">
        <v>960</v>
      </c>
      <c r="B963" s="613" t="s">
        <v>7020</v>
      </c>
      <c r="C963" s="483" t="s">
        <v>1840</v>
      </c>
      <c r="D963" s="414" t="s">
        <v>4884</v>
      </c>
      <c r="E963" s="407" t="s">
        <v>4884</v>
      </c>
      <c r="F963" s="483"/>
      <c r="G963" s="483"/>
      <c r="H963" s="483"/>
      <c r="I963" s="483"/>
      <c r="J963" s="483"/>
      <c r="K963" s="483"/>
      <c r="L963" s="608" t="s">
        <v>4884</v>
      </c>
      <c r="M963" s="409" t="s">
        <v>4884</v>
      </c>
      <c r="N963" s="409" t="s">
        <v>4884</v>
      </c>
      <c r="O963" s="410" t="s">
        <v>4884</v>
      </c>
      <c r="P963" s="406">
        <v>960</v>
      </c>
      <c r="Q963" s="460" t="s">
        <v>1840</v>
      </c>
      <c r="R963" s="460" t="s">
        <v>1837</v>
      </c>
      <c r="S963" s="460" t="s">
        <v>1528</v>
      </c>
      <c r="T963" s="481" t="s">
        <v>1838</v>
      </c>
      <c r="U963" s="471"/>
      <c r="V963" s="471"/>
      <c r="W963" s="488"/>
      <c r="X963" s="471"/>
      <c r="Y963" s="206"/>
      <c r="Z963" s="206"/>
    </row>
    <row r="964" spans="1:26">
      <c r="A964" s="406">
        <v>961</v>
      </c>
      <c r="B964" s="613" t="s">
        <v>7020</v>
      </c>
      <c r="C964" s="483" t="s">
        <v>1841</v>
      </c>
      <c r="D964" s="414" t="s">
        <v>4884</v>
      </c>
      <c r="E964" s="407" t="s">
        <v>4884</v>
      </c>
      <c r="F964" s="483"/>
      <c r="G964" s="483"/>
      <c r="H964" s="483"/>
      <c r="I964" s="483"/>
      <c r="J964" s="483"/>
      <c r="K964" s="483"/>
      <c r="L964" s="608" t="s">
        <v>4884</v>
      </c>
      <c r="M964" s="409" t="s">
        <v>4884</v>
      </c>
      <c r="N964" s="409" t="s">
        <v>4884</v>
      </c>
      <c r="O964" s="410" t="s">
        <v>4884</v>
      </c>
      <c r="P964" s="406">
        <v>961</v>
      </c>
      <c r="Q964" s="460" t="s">
        <v>1841</v>
      </c>
      <c r="R964" s="460" t="s">
        <v>1837</v>
      </c>
      <c r="S964" s="460" t="s">
        <v>1528</v>
      </c>
      <c r="T964" s="481" t="s">
        <v>1838</v>
      </c>
      <c r="U964" s="471"/>
      <c r="V964" s="471"/>
      <c r="W964" s="488"/>
      <c r="X964" s="471"/>
      <c r="Y964" s="206"/>
      <c r="Z964" s="206"/>
    </row>
    <row r="965" spans="1:26">
      <c r="A965" s="406">
        <v>962</v>
      </c>
      <c r="B965" s="613" t="s">
        <v>7020</v>
      </c>
      <c r="C965" s="483" t="s">
        <v>1842</v>
      </c>
      <c r="D965" s="414" t="s">
        <v>4884</v>
      </c>
      <c r="E965" s="407" t="s">
        <v>4884</v>
      </c>
      <c r="F965" s="483"/>
      <c r="G965" s="483"/>
      <c r="H965" s="483"/>
      <c r="I965" s="483"/>
      <c r="J965" s="483"/>
      <c r="K965" s="483"/>
      <c r="L965" s="608" t="s">
        <v>4884</v>
      </c>
      <c r="M965" s="409" t="s">
        <v>4884</v>
      </c>
      <c r="N965" s="409" t="s">
        <v>4884</v>
      </c>
      <c r="O965" s="410" t="s">
        <v>4884</v>
      </c>
      <c r="P965" s="406">
        <v>962</v>
      </c>
      <c r="Q965" s="460" t="s">
        <v>1842</v>
      </c>
      <c r="R965" s="460" t="s">
        <v>1837</v>
      </c>
      <c r="S965" s="460" t="s">
        <v>1528</v>
      </c>
      <c r="T965" s="481" t="s">
        <v>1838</v>
      </c>
      <c r="U965" s="471"/>
      <c r="V965" s="471"/>
      <c r="W965" s="488"/>
      <c r="X965" s="471"/>
      <c r="Y965" s="206"/>
      <c r="Z965" s="206"/>
    </row>
    <row r="966" spans="1:26">
      <c r="A966" s="406">
        <v>963</v>
      </c>
      <c r="B966" s="613" t="s">
        <v>7020</v>
      </c>
      <c r="C966" s="483" t="s">
        <v>1843</v>
      </c>
      <c r="D966" s="414" t="s">
        <v>4884</v>
      </c>
      <c r="E966" s="407" t="s">
        <v>4884</v>
      </c>
      <c r="F966" s="483"/>
      <c r="G966" s="483"/>
      <c r="H966" s="483"/>
      <c r="I966" s="483"/>
      <c r="J966" s="483"/>
      <c r="K966" s="483"/>
      <c r="L966" s="608" t="s">
        <v>4884</v>
      </c>
      <c r="M966" s="409" t="s">
        <v>4884</v>
      </c>
      <c r="N966" s="409" t="s">
        <v>4884</v>
      </c>
      <c r="O966" s="410" t="s">
        <v>4884</v>
      </c>
      <c r="P966" s="406">
        <v>963</v>
      </c>
      <c r="Q966" s="460" t="s">
        <v>1843</v>
      </c>
      <c r="R966" s="460" t="s">
        <v>1837</v>
      </c>
      <c r="S966" s="460" t="s">
        <v>1528</v>
      </c>
      <c r="T966" s="481" t="s">
        <v>1838</v>
      </c>
      <c r="U966" s="471"/>
      <c r="V966" s="471"/>
      <c r="W966" s="488"/>
      <c r="X966" s="471"/>
      <c r="Y966" s="206"/>
      <c r="Z966" s="206"/>
    </row>
    <row r="967" spans="1:26">
      <c r="A967" s="406">
        <v>964</v>
      </c>
      <c r="B967" s="613" t="s">
        <v>7020</v>
      </c>
      <c r="C967" s="483" t="s">
        <v>1844</v>
      </c>
      <c r="D967" s="414" t="s">
        <v>4884</v>
      </c>
      <c r="E967" s="407" t="s">
        <v>4884</v>
      </c>
      <c r="F967" s="483"/>
      <c r="G967" s="483"/>
      <c r="H967" s="483"/>
      <c r="I967" s="483"/>
      <c r="J967" s="483"/>
      <c r="K967" s="483"/>
      <c r="L967" s="608" t="s">
        <v>4884</v>
      </c>
      <c r="M967" s="409" t="s">
        <v>4884</v>
      </c>
      <c r="N967" s="409" t="s">
        <v>4884</v>
      </c>
      <c r="O967" s="410" t="s">
        <v>4884</v>
      </c>
      <c r="P967" s="406">
        <v>964</v>
      </c>
      <c r="Q967" s="460" t="s">
        <v>1844</v>
      </c>
      <c r="R967" s="460" t="s">
        <v>1837</v>
      </c>
      <c r="S967" s="460" t="s">
        <v>1528</v>
      </c>
      <c r="T967" s="481" t="s">
        <v>1838</v>
      </c>
      <c r="U967" s="471"/>
      <c r="V967" s="471"/>
      <c r="W967" s="488"/>
      <c r="X967" s="471"/>
      <c r="Y967" s="206"/>
      <c r="Z967" s="206"/>
    </row>
    <row r="968" spans="1:26">
      <c r="A968" s="406">
        <v>965</v>
      </c>
      <c r="B968" s="613" t="s">
        <v>7020</v>
      </c>
      <c r="C968" s="483" t="s">
        <v>1845</v>
      </c>
      <c r="D968" s="414" t="s">
        <v>4884</v>
      </c>
      <c r="E968" s="407" t="s">
        <v>4884</v>
      </c>
      <c r="F968" s="483"/>
      <c r="G968" s="483"/>
      <c r="H968" s="483"/>
      <c r="I968" s="483"/>
      <c r="J968" s="483"/>
      <c r="K968" s="483"/>
      <c r="L968" s="608" t="s">
        <v>4884</v>
      </c>
      <c r="M968" s="409" t="s">
        <v>4884</v>
      </c>
      <c r="N968" s="409" t="s">
        <v>4884</v>
      </c>
      <c r="O968" s="410" t="s">
        <v>4884</v>
      </c>
      <c r="P968" s="406">
        <v>965</v>
      </c>
      <c r="Q968" s="460" t="s">
        <v>1845</v>
      </c>
      <c r="R968" s="460" t="s">
        <v>1837</v>
      </c>
      <c r="S968" s="460" t="s">
        <v>1528</v>
      </c>
      <c r="T968" s="481" t="s">
        <v>1838</v>
      </c>
      <c r="U968" s="471"/>
      <c r="V968" s="471"/>
      <c r="W968" s="488"/>
      <c r="X968" s="471"/>
      <c r="Y968" s="206"/>
      <c r="Z968" s="206"/>
    </row>
    <row r="969" spans="1:26">
      <c r="A969" s="406">
        <v>966</v>
      </c>
      <c r="B969" s="613" t="s">
        <v>7020</v>
      </c>
      <c r="C969" s="483" t="s">
        <v>1846</v>
      </c>
      <c r="D969" s="414" t="s">
        <v>4884</v>
      </c>
      <c r="E969" s="407" t="s">
        <v>4884</v>
      </c>
      <c r="F969" s="483"/>
      <c r="G969" s="483"/>
      <c r="H969" s="483"/>
      <c r="I969" s="483"/>
      <c r="J969" s="483"/>
      <c r="K969" s="483"/>
      <c r="L969" s="608" t="s">
        <v>4884</v>
      </c>
      <c r="M969" s="409" t="s">
        <v>4884</v>
      </c>
      <c r="N969" s="409" t="s">
        <v>4884</v>
      </c>
      <c r="O969" s="410" t="s">
        <v>4884</v>
      </c>
      <c r="P969" s="406">
        <v>966</v>
      </c>
      <c r="Q969" s="460" t="s">
        <v>1846</v>
      </c>
      <c r="R969" s="460" t="s">
        <v>1837</v>
      </c>
      <c r="S969" s="460" t="s">
        <v>1528</v>
      </c>
      <c r="T969" s="481" t="s">
        <v>1838</v>
      </c>
      <c r="U969" s="471"/>
      <c r="V969" s="471"/>
      <c r="W969" s="488"/>
      <c r="X969" s="471"/>
      <c r="Y969" s="206"/>
      <c r="Z969" s="206"/>
    </row>
    <row r="970" spans="1:26">
      <c r="A970" s="406">
        <v>967</v>
      </c>
      <c r="B970" s="613" t="s">
        <v>7020</v>
      </c>
      <c r="C970" s="483" t="s">
        <v>1847</v>
      </c>
      <c r="D970" s="414" t="s">
        <v>4884</v>
      </c>
      <c r="E970" s="407" t="s">
        <v>4884</v>
      </c>
      <c r="F970" s="483"/>
      <c r="G970" s="483"/>
      <c r="H970" s="483"/>
      <c r="I970" s="483"/>
      <c r="J970" s="483"/>
      <c r="K970" s="483"/>
      <c r="L970" s="608" t="s">
        <v>4884</v>
      </c>
      <c r="M970" s="409" t="s">
        <v>4884</v>
      </c>
      <c r="N970" s="409" t="s">
        <v>4884</v>
      </c>
      <c r="O970" s="410" t="s">
        <v>4884</v>
      </c>
      <c r="P970" s="406">
        <v>967</v>
      </c>
      <c r="Q970" s="460" t="s">
        <v>1847</v>
      </c>
      <c r="R970" s="460" t="s">
        <v>1837</v>
      </c>
      <c r="S970" s="460" t="s">
        <v>1528</v>
      </c>
      <c r="T970" s="481" t="s">
        <v>1838</v>
      </c>
      <c r="U970" s="471"/>
      <c r="V970" s="471"/>
      <c r="W970" s="488"/>
      <c r="X970" s="471"/>
      <c r="Y970" s="206"/>
      <c r="Z970" s="206"/>
    </row>
    <row r="971" spans="1:26">
      <c r="A971" s="406">
        <v>968</v>
      </c>
      <c r="B971" s="613" t="s">
        <v>7020</v>
      </c>
      <c r="C971" s="483" t="s">
        <v>1848</v>
      </c>
      <c r="D971" s="414" t="s">
        <v>4884</v>
      </c>
      <c r="E971" s="407" t="s">
        <v>4884</v>
      </c>
      <c r="F971" s="483"/>
      <c r="G971" s="483"/>
      <c r="H971" s="483"/>
      <c r="I971" s="483"/>
      <c r="J971" s="483"/>
      <c r="K971" s="483"/>
      <c r="L971" s="608" t="s">
        <v>4884</v>
      </c>
      <c r="M971" s="409" t="s">
        <v>4884</v>
      </c>
      <c r="N971" s="409" t="s">
        <v>4884</v>
      </c>
      <c r="O971" s="410" t="s">
        <v>4884</v>
      </c>
      <c r="P971" s="406">
        <v>968</v>
      </c>
      <c r="Q971" s="460" t="s">
        <v>1848</v>
      </c>
      <c r="R971" s="460" t="s">
        <v>1837</v>
      </c>
      <c r="S971" s="460" t="s">
        <v>1528</v>
      </c>
      <c r="T971" s="481" t="s">
        <v>1838</v>
      </c>
      <c r="U971" s="471"/>
      <c r="V971" s="471"/>
      <c r="W971" s="488"/>
      <c r="X971" s="471"/>
      <c r="Y971" s="206"/>
      <c r="Z971" s="206"/>
    </row>
    <row r="972" spans="1:26">
      <c r="A972" s="406">
        <v>969</v>
      </c>
      <c r="B972" s="613" t="s">
        <v>7020</v>
      </c>
      <c r="C972" s="483" t="s">
        <v>1849</v>
      </c>
      <c r="D972" s="414" t="s">
        <v>4884</v>
      </c>
      <c r="E972" s="407" t="s">
        <v>4884</v>
      </c>
      <c r="F972" s="483"/>
      <c r="G972" s="483"/>
      <c r="H972" s="483"/>
      <c r="I972" s="483"/>
      <c r="J972" s="483"/>
      <c r="K972" s="483"/>
      <c r="L972" s="608" t="s">
        <v>4884</v>
      </c>
      <c r="M972" s="409" t="s">
        <v>4884</v>
      </c>
      <c r="N972" s="409" t="s">
        <v>4884</v>
      </c>
      <c r="O972" s="410" t="s">
        <v>4884</v>
      </c>
      <c r="P972" s="406">
        <v>969</v>
      </c>
      <c r="Q972" s="460" t="s">
        <v>1849</v>
      </c>
      <c r="R972" s="460" t="s">
        <v>1837</v>
      </c>
      <c r="S972" s="460" t="s">
        <v>1528</v>
      </c>
      <c r="T972" s="481" t="s">
        <v>1838</v>
      </c>
      <c r="U972" s="471"/>
      <c r="V972" s="471"/>
      <c r="W972" s="488"/>
      <c r="X972" s="471"/>
      <c r="Y972" s="206"/>
      <c r="Z972" s="206"/>
    </row>
    <row r="973" spans="1:26">
      <c r="A973" s="406">
        <v>970</v>
      </c>
      <c r="B973" s="613" t="s">
        <v>7020</v>
      </c>
      <c r="C973" s="483" t="s">
        <v>1850</v>
      </c>
      <c r="D973" s="414" t="s">
        <v>4884</v>
      </c>
      <c r="E973" s="407" t="s">
        <v>4884</v>
      </c>
      <c r="F973" s="483"/>
      <c r="G973" s="483"/>
      <c r="H973" s="483"/>
      <c r="I973" s="483"/>
      <c r="J973" s="483"/>
      <c r="K973" s="483"/>
      <c r="L973" s="608" t="s">
        <v>4884</v>
      </c>
      <c r="M973" s="409" t="s">
        <v>4884</v>
      </c>
      <c r="N973" s="409" t="s">
        <v>4884</v>
      </c>
      <c r="O973" s="410" t="s">
        <v>4884</v>
      </c>
      <c r="P973" s="406">
        <v>970</v>
      </c>
      <c r="Q973" s="460" t="s">
        <v>1850</v>
      </c>
      <c r="R973" s="460" t="s">
        <v>1837</v>
      </c>
      <c r="S973" s="460" t="s">
        <v>1528</v>
      </c>
      <c r="T973" s="481" t="s">
        <v>1838</v>
      </c>
      <c r="U973" s="471"/>
      <c r="V973" s="471"/>
      <c r="W973" s="488"/>
      <c r="X973" s="471"/>
      <c r="Y973" s="206"/>
      <c r="Z973" s="206"/>
    </row>
    <row r="974" spans="1:26">
      <c r="A974" s="406">
        <v>971</v>
      </c>
      <c r="B974" s="613" t="s">
        <v>7020</v>
      </c>
      <c r="C974" s="483" t="s">
        <v>1851</v>
      </c>
      <c r="D974" s="414" t="s">
        <v>4884</v>
      </c>
      <c r="E974" s="407" t="s">
        <v>4884</v>
      </c>
      <c r="F974" s="483"/>
      <c r="G974" s="483"/>
      <c r="H974" s="483"/>
      <c r="I974" s="483"/>
      <c r="J974" s="483"/>
      <c r="K974" s="483"/>
      <c r="L974" s="608" t="s">
        <v>4884</v>
      </c>
      <c r="M974" s="409" t="s">
        <v>4884</v>
      </c>
      <c r="N974" s="409" t="s">
        <v>4884</v>
      </c>
      <c r="O974" s="410" t="s">
        <v>4884</v>
      </c>
      <c r="P974" s="406">
        <v>971</v>
      </c>
      <c r="Q974" s="460" t="s">
        <v>1851</v>
      </c>
      <c r="R974" s="460" t="s">
        <v>1837</v>
      </c>
      <c r="S974" s="460" t="s">
        <v>1528</v>
      </c>
      <c r="T974" s="481" t="s">
        <v>1838</v>
      </c>
      <c r="U974" s="471"/>
      <c r="V974" s="471"/>
      <c r="W974" s="488"/>
      <c r="X974" s="471"/>
      <c r="Y974" s="206"/>
      <c r="Z974" s="206"/>
    </row>
    <row r="975" spans="1:26">
      <c r="A975" s="406">
        <v>972</v>
      </c>
      <c r="B975" s="613" t="s">
        <v>7020</v>
      </c>
      <c r="C975" s="483" t="s">
        <v>1852</v>
      </c>
      <c r="D975" s="414" t="s">
        <v>4884</v>
      </c>
      <c r="E975" s="407" t="s">
        <v>4884</v>
      </c>
      <c r="F975" s="483"/>
      <c r="G975" s="483"/>
      <c r="H975" s="483"/>
      <c r="I975" s="483"/>
      <c r="J975" s="483"/>
      <c r="K975" s="483"/>
      <c r="L975" s="608" t="s">
        <v>4884</v>
      </c>
      <c r="M975" s="409" t="s">
        <v>4884</v>
      </c>
      <c r="N975" s="409" t="s">
        <v>4884</v>
      </c>
      <c r="O975" s="410" t="s">
        <v>4884</v>
      </c>
      <c r="P975" s="406">
        <v>972</v>
      </c>
      <c r="Q975" s="460" t="s">
        <v>1852</v>
      </c>
      <c r="R975" s="460" t="s">
        <v>1853</v>
      </c>
      <c r="S975" s="460" t="s">
        <v>1528</v>
      </c>
      <c r="T975" s="481" t="s">
        <v>1854</v>
      </c>
      <c r="U975" s="471"/>
      <c r="V975" s="471"/>
      <c r="W975" s="488"/>
      <c r="X975" s="471"/>
      <c r="Y975" s="206"/>
      <c r="Z975" s="206"/>
    </row>
    <row r="976" spans="1:26">
      <c r="A976" s="406">
        <v>973</v>
      </c>
      <c r="B976" s="613" t="s">
        <v>7020</v>
      </c>
      <c r="C976" s="483" t="s">
        <v>1855</v>
      </c>
      <c r="D976" s="414" t="s">
        <v>4884</v>
      </c>
      <c r="E976" s="407" t="s">
        <v>4884</v>
      </c>
      <c r="F976" s="483"/>
      <c r="G976" s="483"/>
      <c r="H976" s="483"/>
      <c r="I976" s="483"/>
      <c r="J976" s="483"/>
      <c r="K976" s="483"/>
      <c r="L976" s="608" t="s">
        <v>4884</v>
      </c>
      <c r="M976" s="409" t="s">
        <v>4884</v>
      </c>
      <c r="N976" s="409" t="s">
        <v>4884</v>
      </c>
      <c r="O976" s="410" t="s">
        <v>4884</v>
      </c>
      <c r="P976" s="406">
        <v>973</v>
      </c>
      <c r="Q976" s="460" t="s">
        <v>1855</v>
      </c>
      <c r="R976" s="460" t="s">
        <v>1856</v>
      </c>
      <c r="S976" s="460" t="s">
        <v>1528</v>
      </c>
      <c r="T976" s="512" t="s">
        <v>1857</v>
      </c>
      <c r="U976" s="471"/>
      <c r="V976" s="471"/>
      <c r="W976" s="488"/>
      <c r="X976" s="471"/>
      <c r="Y976" s="206"/>
      <c r="Z976" s="206"/>
    </row>
    <row r="977" spans="1:26">
      <c r="A977" s="406">
        <v>974</v>
      </c>
      <c r="B977" s="613" t="s">
        <v>7020</v>
      </c>
      <c r="C977" s="483" t="s">
        <v>1858</v>
      </c>
      <c r="D977" s="414" t="s">
        <v>4884</v>
      </c>
      <c r="E977" s="407" t="s">
        <v>4884</v>
      </c>
      <c r="F977" s="483"/>
      <c r="G977" s="483"/>
      <c r="H977" s="483"/>
      <c r="I977" s="483"/>
      <c r="J977" s="483"/>
      <c r="K977" s="483"/>
      <c r="L977" s="608" t="s">
        <v>4884</v>
      </c>
      <c r="M977" s="409" t="s">
        <v>4884</v>
      </c>
      <c r="N977" s="409" t="s">
        <v>4884</v>
      </c>
      <c r="O977" s="410" t="s">
        <v>4884</v>
      </c>
      <c r="P977" s="406">
        <v>974</v>
      </c>
      <c r="Q977" s="460" t="s">
        <v>1858</v>
      </c>
      <c r="R977" s="460" t="s">
        <v>1856</v>
      </c>
      <c r="S977" s="460" t="s">
        <v>1528</v>
      </c>
      <c r="T977" s="512" t="s">
        <v>1857</v>
      </c>
      <c r="U977" s="471"/>
      <c r="V977" s="471"/>
      <c r="W977" s="488"/>
      <c r="X977" s="471"/>
      <c r="Y977" s="206"/>
      <c r="Z977" s="206"/>
    </row>
    <row r="978" spans="1:26">
      <c r="A978" s="406">
        <v>975</v>
      </c>
      <c r="B978" s="613" t="s">
        <v>7020</v>
      </c>
      <c r="C978" s="483" t="s">
        <v>1859</v>
      </c>
      <c r="D978" s="414" t="s">
        <v>4884</v>
      </c>
      <c r="E978" s="407" t="s">
        <v>4884</v>
      </c>
      <c r="F978" s="483"/>
      <c r="G978" s="483"/>
      <c r="H978" s="483"/>
      <c r="I978" s="483"/>
      <c r="J978" s="483"/>
      <c r="K978" s="483"/>
      <c r="L978" s="608" t="s">
        <v>4884</v>
      </c>
      <c r="M978" s="409" t="s">
        <v>4884</v>
      </c>
      <c r="N978" s="409" t="s">
        <v>4884</v>
      </c>
      <c r="O978" s="410" t="s">
        <v>4884</v>
      </c>
      <c r="P978" s="406">
        <v>975</v>
      </c>
      <c r="Q978" s="460" t="s">
        <v>1859</v>
      </c>
      <c r="R978" s="460" t="s">
        <v>1860</v>
      </c>
      <c r="S978" s="460" t="s">
        <v>1528</v>
      </c>
      <c r="T978" s="513" t="s">
        <v>1861</v>
      </c>
      <c r="U978" s="471"/>
      <c r="V978" s="471"/>
      <c r="W978" s="488"/>
      <c r="X978" s="471"/>
      <c r="Y978" s="206"/>
      <c r="Z978" s="206"/>
    </row>
    <row r="979" spans="1:26">
      <c r="A979" s="406">
        <v>976</v>
      </c>
      <c r="B979" s="613" t="s">
        <v>7020</v>
      </c>
      <c r="C979" s="483" t="s">
        <v>1862</v>
      </c>
      <c r="D979" s="414" t="s">
        <v>4884</v>
      </c>
      <c r="E979" s="407" t="s">
        <v>4884</v>
      </c>
      <c r="F979" s="483"/>
      <c r="G979" s="483"/>
      <c r="H979" s="483"/>
      <c r="I979" s="483"/>
      <c r="J979" s="483"/>
      <c r="K979" s="483"/>
      <c r="L979" s="608" t="s">
        <v>4884</v>
      </c>
      <c r="M979" s="409" t="s">
        <v>4884</v>
      </c>
      <c r="N979" s="409" t="s">
        <v>4884</v>
      </c>
      <c r="O979" s="410" t="s">
        <v>4884</v>
      </c>
      <c r="P979" s="406">
        <v>976</v>
      </c>
      <c r="Q979" s="460" t="s">
        <v>1862</v>
      </c>
      <c r="R979" s="460" t="s">
        <v>1863</v>
      </c>
      <c r="S979" s="460" t="s">
        <v>1528</v>
      </c>
      <c r="T979" s="514" t="s">
        <v>1864</v>
      </c>
      <c r="U979" s="471"/>
      <c r="V979" s="471"/>
      <c r="W979" s="488"/>
      <c r="X979" s="471"/>
      <c r="Y979" s="206"/>
      <c r="Z979" s="206"/>
    </row>
    <row r="980" spans="1:26">
      <c r="A980" s="406">
        <v>977</v>
      </c>
      <c r="B980" s="613" t="s">
        <v>7020</v>
      </c>
      <c r="C980" s="483" t="s">
        <v>1865</v>
      </c>
      <c r="D980" s="414" t="s">
        <v>4884</v>
      </c>
      <c r="E980" s="407" t="s">
        <v>4884</v>
      </c>
      <c r="F980" s="483"/>
      <c r="G980" s="483"/>
      <c r="H980" s="483"/>
      <c r="I980" s="483"/>
      <c r="J980" s="483"/>
      <c r="K980" s="483"/>
      <c r="L980" s="608" t="s">
        <v>4884</v>
      </c>
      <c r="M980" s="409" t="s">
        <v>4884</v>
      </c>
      <c r="N980" s="409" t="s">
        <v>4884</v>
      </c>
      <c r="O980" s="410" t="s">
        <v>4884</v>
      </c>
      <c r="P980" s="406">
        <v>977</v>
      </c>
      <c r="Q980" s="460" t="s">
        <v>1865</v>
      </c>
      <c r="R980" s="460" t="s">
        <v>1863</v>
      </c>
      <c r="S980" s="460" t="s">
        <v>1528</v>
      </c>
      <c r="T980" s="514" t="s">
        <v>1864</v>
      </c>
      <c r="U980" s="471"/>
      <c r="V980" s="471"/>
      <c r="W980" s="488"/>
      <c r="X980" s="471"/>
      <c r="Y980" s="206"/>
      <c r="Z980" s="206"/>
    </row>
    <row r="981" spans="1:26">
      <c r="A981" s="406">
        <v>978</v>
      </c>
      <c r="B981" s="613" t="s">
        <v>7020</v>
      </c>
      <c r="C981" s="483" t="s">
        <v>1866</v>
      </c>
      <c r="D981" s="414" t="s">
        <v>4884</v>
      </c>
      <c r="E981" s="407" t="s">
        <v>4884</v>
      </c>
      <c r="F981" s="483"/>
      <c r="G981" s="483"/>
      <c r="H981" s="483"/>
      <c r="I981" s="483"/>
      <c r="J981" s="483"/>
      <c r="K981" s="483"/>
      <c r="L981" s="608" t="s">
        <v>4884</v>
      </c>
      <c r="M981" s="409" t="s">
        <v>4884</v>
      </c>
      <c r="N981" s="409" t="s">
        <v>4884</v>
      </c>
      <c r="O981" s="410" t="s">
        <v>4884</v>
      </c>
      <c r="P981" s="406">
        <v>978</v>
      </c>
      <c r="Q981" s="460" t="s">
        <v>1866</v>
      </c>
      <c r="R981" s="460" t="s">
        <v>1863</v>
      </c>
      <c r="S981" s="460" t="s">
        <v>1528</v>
      </c>
      <c r="T981" s="514" t="s">
        <v>1864</v>
      </c>
      <c r="U981" s="471"/>
      <c r="V981" s="471"/>
      <c r="W981" s="488"/>
      <c r="X981" s="471"/>
      <c r="Y981" s="206"/>
      <c r="Z981" s="206"/>
    </row>
    <row r="982" spans="1:26">
      <c r="A982" s="406">
        <v>979</v>
      </c>
      <c r="B982" s="613" t="s">
        <v>7020</v>
      </c>
      <c r="C982" s="483" t="s">
        <v>1867</v>
      </c>
      <c r="D982" s="414" t="s">
        <v>4884</v>
      </c>
      <c r="E982" s="407" t="s">
        <v>4884</v>
      </c>
      <c r="F982" s="483"/>
      <c r="G982" s="483"/>
      <c r="H982" s="483"/>
      <c r="I982" s="483"/>
      <c r="J982" s="483"/>
      <c r="K982" s="483"/>
      <c r="L982" s="608" t="s">
        <v>4884</v>
      </c>
      <c r="M982" s="409" t="s">
        <v>4884</v>
      </c>
      <c r="N982" s="409" t="s">
        <v>4884</v>
      </c>
      <c r="O982" s="410" t="s">
        <v>4884</v>
      </c>
      <c r="P982" s="406">
        <v>979</v>
      </c>
      <c r="Q982" s="460" t="s">
        <v>1867</v>
      </c>
      <c r="R982" s="460" t="s">
        <v>1863</v>
      </c>
      <c r="S982" s="460" t="s">
        <v>1528</v>
      </c>
      <c r="T982" s="514" t="s">
        <v>1864</v>
      </c>
      <c r="U982" s="471"/>
      <c r="V982" s="471"/>
      <c r="W982" s="488"/>
      <c r="X982" s="471"/>
      <c r="Y982" s="206"/>
      <c r="Z982" s="206"/>
    </row>
    <row r="983" spans="1:26">
      <c r="A983" s="406">
        <v>980</v>
      </c>
      <c r="B983" s="613" t="s">
        <v>7020</v>
      </c>
      <c r="C983" s="483" t="s">
        <v>1868</v>
      </c>
      <c r="D983" s="414" t="s">
        <v>4884</v>
      </c>
      <c r="E983" s="407" t="s">
        <v>4884</v>
      </c>
      <c r="F983" s="483"/>
      <c r="G983" s="483"/>
      <c r="H983" s="483"/>
      <c r="I983" s="483"/>
      <c r="J983" s="483"/>
      <c r="K983" s="483"/>
      <c r="L983" s="608" t="s">
        <v>4884</v>
      </c>
      <c r="M983" s="409" t="s">
        <v>4884</v>
      </c>
      <c r="N983" s="409" t="s">
        <v>4884</v>
      </c>
      <c r="O983" s="410" t="s">
        <v>4884</v>
      </c>
      <c r="P983" s="406">
        <v>980</v>
      </c>
      <c r="Q983" s="460" t="s">
        <v>1868</v>
      </c>
      <c r="R983" s="460" t="s">
        <v>1869</v>
      </c>
      <c r="S983" s="460" t="s">
        <v>1528</v>
      </c>
      <c r="T983" s="467" t="s">
        <v>1870</v>
      </c>
      <c r="U983" s="471"/>
      <c r="V983" s="471"/>
      <c r="W983" s="488"/>
      <c r="X983" s="471"/>
      <c r="Y983" s="206"/>
      <c r="Z983" s="206"/>
    </row>
    <row r="984" spans="1:26">
      <c r="A984" s="406">
        <v>981</v>
      </c>
      <c r="B984" s="613" t="s">
        <v>6716</v>
      </c>
      <c r="C984" s="483" t="s">
        <v>1871</v>
      </c>
      <c r="D984" s="414" t="s">
        <v>3475</v>
      </c>
      <c r="E984" s="407" t="s">
        <v>9002</v>
      </c>
      <c r="F984" s="483" t="s">
        <v>6711</v>
      </c>
      <c r="G984" s="483" t="s">
        <v>6713</v>
      </c>
      <c r="H984" s="411" t="s">
        <v>6721</v>
      </c>
      <c r="I984" s="411"/>
      <c r="J984" s="411"/>
      <c r="K984" s="411"/>
      <c r="L984" s="608">
        <v>10153.448818897639</v>
      </c>
      <c r="M984" s="409">
        <v>7069.6299212598433</v>
      </c>
      <c r="N984" s="409">
        <v>17223.078740157482</v>
      </c>
      <c r="O984" s="410" t="s">
        <v>7751</v>
      </c>
      <c r="P984" s="406">
        <v>981</v>
      </c>
      <c r="Q984" s="460" t="s">
        <v>1871</v>
      </c>
      <c r="R984" s="460" t="s">
        <v>1872</v>
      </c>
      <c r="S984" s="460" t="s">
        <v>32</v>
      </c>
      <c r="U984" s="471"/>
      <c r="V984" s="471">
        <v>1</v>
      </c>
      <c r="W984" s="488"/>
      <c r="X984" s="471"/>
      <c r="Y984" s="206"/>
      <c r="Z984" s="206"/>
    </row>
    <row r="985" spans="1:26">
      <c r="A985" s="406">
        <v>982</v>
      </c>
      <c r="B985" s="613" t="s">
        <v>7020</v>
      </c>
      <c r="C985" s="483" t="s">
        <v>1873</v>
      </c>
      <c r="D985" s="414" t="s">
        <v>4884</v>
      </c>
      <c r="E985" s="407" t="s">
        <v>4884</v>
      </c>
      <c r="F985" s="483"/>
      <c r="G985" s="483"/>
      <c r="H985" s="483"/>
      <c r="I985" s="483"/>
      <c r="J985" s="483"/>
      <c r="K985" s="483"/>
      <c r="L985" s="608" t="s">
        <v>4884</v>
      </c>
      <c r="M985" s="409" t="s">
        <v>4884</v>
      </c>
      <c r="N985" s="409" t="s">
        <v>4884</v>
      </c>
      <c r="O985" s="410" t="s">
        <v>4884</v>
      </c>
      <c r="P985" s="406">
        <v>982</v>
      </c>
      <c r="Q985" s="460" t="s">
        <v>1873</v>
      </c>
      <c r="R985" s="460" t="s">
        <v>1874</v>
      </c>
      <c r="S985" s="460" t="s">
        <v>1528</v>
      </c>
      <c r="T985" s="515" t="s">
        <v>1875</v>
      </c>
      <c r="U985" s="471"/>
      <c r="V985" s="471"/>
      <c r="W985" s="488"/>
      <c r="X985" s="471"/>
      <c r="Y985" s="206"/>
      <c r="Z985" s="206"/>
    </row>
    <row r="986" spans="1:26">
      <c r="A986" s="406">
        <v>983</v>
      </c>
      <c r="B986" s="613" t="s">
        <v>6195</v>
      </c>
      <c r="C986" s="483" t="s">
        <v>1876</v>
      </c>
      <c r="D986" s="414" t="s">
        <v>3406</v>
      </c>
      <c r="E986" s="407" t="s">
        <v>9003</v>
      </c>
      <c r="F986" s="483"/>
      <c r="G986" s="483"/>
      <c r="H986" s="483"/>
      <c r="I986" s="483"/>
      <c r="J986" s="483"/>
      <c r="K986" s="483"/>
      <c r="L986" s="608" t="s">
        <v>4884</v>
      </c>
      <c r="M986" s="409">
        <v>6799.0433070866138</v>
      </c>
      <c r="N986" s="409">
        <v>6799.0433070866138</v>
      </c>
      <c r="O986" s="410" t="s">
        <v>7574</v>
      </c>
      <c r="P986" s="406">
        <v>983</v>
      </c>
      <c r="Q986" s="262" t="s">
        <v>1876</v>
      </c>
      <c r="R986" s="460" t="s">
        <v>1877</v>
      </c>
      <c r="S986" s="460" t="s">
        <v>32</v>
      </c>
      <c r="U986" s="471"/>
      <c r="V986" s="471">
        <v>1</v>
      </c>
      <c r="W986" s="488"/>
      <c r="X986" s="471"/>
      <c r="Y986" s="206"/>
      <c r="Z986" s="206"/>
    </row>
    <row r="987" spans="1:26">
      <c r="A987" s="406">
        <v>984</v>
      </c>
      <c r="B987" s="613" t="s">
        <v>6196</v>
      </c>
      <c r="C987" s="483" t="s">
        <v>1878</v>
      </c>
      <c r="D987" s="414" t="s">
        <v>3472</v>
      </c>
      <c r="E987" s="407" t="s">
        <v>9004</v>
      </c>
      <c r="F987" s="483"/>
      <c r="G987" s="483"/>
      <c r="H987" s="483"/>
      <c r="I987" s="483"/>
      <c r="J987" s="483"/>
      <c r="K987" s="483"/>
      <c r="L987" s="608" t="s">
        <v>4884</v>
      </c>
      <c r="M987" s="409">
        <v>9584.4960629921261</v>
      </c>
      <c r="N987" s="409">
        <v>9584.4960629921261</v>
      </c>
      <c r="O987" s="410" t="s">
        <v>7576</v>
      </c>
      <c r="P987" s="406">
        <v>984</v>
      </c>
      <c r="Q987" s="262" t="s">
        <v>1878</v>
      </c>
      <c r="R987" s="460" t="s">
        <v>1879</v>
      </c>
      <c r="S987" s="460" t="s">
        <v>32</v>
      </c>
      <c r="U987" s="471"/>
      <c r="V987" s="471">
        <v>1</v>
      </c>
      <c r="W987" s="488"/>
      <c r="X987" s="471"/>
      <c r="Y987" s="206"/>
      <c r="Z987" s="206"/>
    </row>
    <row r="988" spans="1:26">
      <c r="A988" s="406">
        <v>985</v>
      </c>
      <c r="B988" s="613" t="s">
        <v>6197</v>
      </c>
      <c r="C988" s="483" t="s">
        <v>1880</v>
      </c>
      <c r="D988" s="414" t="s">
        <v>3440</v>
      </c>
      <c r="E988" s="407" t="s">
        <v>9005</v>
      </c>
      <c r="F988" s="483"/>
      <c r="G988" s="483"/>
      <c r="H988" s="483"/>
      <c r="I988" s="483"/>
      <c r="J988" s="483"/>
      <c r="K988" s="483"/>
      <c r="L988" s="608" t="s">
        <v>4884</v>
      </c>
      <c r="M988" s="409">
        <v>7373.8858267716532</v>
      </c>
      <c r="N988" s="409">
        <v>7373.8858267716532</v>
      </c>
      <c r="O988" s="410" t="s">
        <v>7569</v>
      </c>
      <c r="P988" s="406">
        <v>985</v>
      </c>
      <c r="Q988" s="262" t="s">
        <v>1880</v>
      </c>
      <c r="R988" s="460" t="s">
        <v>1881</v>
      </c>
      <c r="S988" s="460" t="s">
        <v>32</v>
      </c>
      <c r="U988" s="471"/>
      <c r="V988" s="471">
        <v>1</v>
      </c>
      <c r="W988" s="488"/>
      <c r="X988" s="471"/>
      <c r="Y988" s="206"/>
      <c r="Z988" s="206"/>
    </row>
    <row r="989" spans="1:26">
      <c r="A989" s="406">
        <v>986</v>
      </c>
      <c r="B989" s="613" t="s">
        <v>7020</v>
      </c>
      <c r="C989" s="483" t="s">
        <v>1882</v>
      </c>
      <c r="D989" s="414" t="s">
        <v>4884</v>
      </c>
      <c r="E989" s="407" t="s">
        <v>4884</v>
      </c>
      <c r="F989" s="483"/>
      <c r="G989" s="483"/>
      <c r="H989" s="483"/>
      <c r="I989" s="483"/>
      <c r="J989" s="483"/>
      <c r="K989" s="483"/>
      <c r="L989" s="608" t="s">
        <v>4884</v>
      </c>
      <c r="M989" s="409" t="s">
        <v>4884</v>
      </c>
      <c r="N989" s="409" t="s">
        <v>4884</v>
      </c>
      <c r="O989" s="410" t="s">
        <v>4884</v>
      </c>
      <c r="P989" s="406">
        <v>986</v>
      </c>
      <c r="Q989" s="460" t="s">
        <v>1882</v>
      </c>
      <c r="R989" s="460" t="s">
        <v>1883</v>
      </c>
      <c r="S989" s="460" t="s">
        <v>1884</v>
      </c>
      <c r="U989" s="471"/>
      <c r="V989" s="471"/>
      <c r="W989" s="488"/>
      <c r="X989" s="471"/>
      <c r="Y989" s="206"/>
      <c r="Z989" s="206"/>
    </row>
    <row r="990" spans="1:26">
      <c r="A990" s="406">
        <v>987</v>
      </c>
      <c r="B990" s="613" t="s">
        <v>7020</v>
      </c>
      <c r="C990" s="483" t="s">
        <v>1885</v>
      </c>
      <c r="D990" s="414" t="s">
        <v>4884</v>
      </c>
      <c r="E990" s="407" t="s">
        <v>4884</v>
      </c>
      <c r="F990" s="483"/>
      <c r="G990" s="483"/>
      <c r="H990" s="483"/>
      <c r="I990" s="483"/>
      <c r="J990" s="483"/>
      <c r="K990" s="483"/>
      <c r="L990" s="608" t="s">
        <v>4884</v>
      </c>
      <c r="M990" s="409" t="s">
        <v>4884</v>
      </c>
      <c r="N990" s="409" t="s">
        <v>4884</v>
      </c>
      <c r="O990" s="410" t="s">
        <v>4884</v>
      </c>
      <c r="P990" s="406">
        <v>987</v>
      </c>
      <c r="Q990" s="460" t="s">
        <v>1885</v>
      </c>
      <c r="R990" s="460" t="s">
        <v>1883</v>
      </c>
      <c r="S990" s="460" t="s">
        <v>1884</v>
      </c>
      <c r="U990" s="471"/>
      <c r="V990" s="471"/>
      <c r="W990" s="488"/>
      <c r="X990" s="471"/>
      <c r="Y990" s="206"/>
      <c r="Z990" s="206"/>
    </row>
    <row r="991" spans="1:26">
      <c r="A991" s="406">
        <v>988</v>
      </c>
      <c r="B991" s="613" t="s">
        <v>7020</v>
      </c>
      <c r="C991" s="483" t="s">
        <v>1886</v>
      </c>
      <c r="D991" s="414" t="s">
        <v>4884</v>
      </c>
      <c r="E991" s="407" t="s">
        <v>4884</v>
      </c>
      <c r="F991" s="483"/>
      <c r="G991" s="483"/>
      <c r="H991" s="483"/>
      <c r="I991" s="483"/>
      <c r="J991" s="483"/>
      <c r="K991" s="483"/>
      <c r="L991" s="608" t="s">
        <v>4884</v>
      </c>
      <c r="M991" s="409" t="s">
        <v>4884</v>
      </c>
      <c r="N991" s="409" t="s">
        <v>4884</v>
      </c>
      <c r="O991" s="410" t="s">
        <v>4884</v>
      </c>
      <c r="P991" s="406">
        <v>988</v>
      </c>
      <c r="Q991" s="460" t="s">
        <v>1886</v>
      </c>
      <c r="R991" s="460" t="s">
        <v>1883</v>
      </c>
      <c r="S991" s="460" t="s">
        <v>1884</v>
      </c>
      <c r="U991" s="471"/>
      <c r="V991" s="471"/>
      <c r="W991" s="488"/>
      <c r="X991" s="471"/>
      <c r="Y991" s="206"/>
      <c r="Z991" s="206"/>
    </row>
    <row r="992" spans="1:26">
      <c r="A992" s="406">
        <v>989</v>
      </c>
      <c r="B992" s="613" t="s">
        <v>7020</v>
      </c>
      <c r="C992" s="483" t="s">
        <v>1887</v>
      </c>
      <c r="D992" s="414" t="s">
        <v>4884</v>
      </c>
      <c r="E992" s="407" t="s">
        <v>4884</v>
      </c>
      <c r="F992" s="483"/>
      <c r="G992" s="483"/>
      <c r="H992" s="483"/>
      <c r="I992" s="483"/>
      <c r="J992" s="483"/>
      <c r="K992" s="483"/>
      <c r="L992" s="608" t="s">
        <v>4884</v>
      </c>
      <c r="M992" s="409" t="s">
        <v>4884</v>
      </c>
      <c r="N992" s="409" t="s">
        <v>4884</v>
      </c>
      <c r="O992" s="410" t="s">
        <v>4884</v>
      </c>
      <c r="P992" s="406">
        <v>989</v>
      </c>
      <c r="Q992" s="460" t="s">
        <v>1887</v>
      </c>
      <c r="R992" s="460" t="s">
        <v>1883</v>
      </c>
      <c r="S992" s="460" t="s">
        <v>1884</v>
      </c>
      <c r="U992" s="471"/>
      <c r="V992" s="471"/>
      <c r="W992" s="488"/>
      <c r="X992" s="471"/>
      <c r="Y992" s="206"/>
      <c r="Z992" s="206"/>
    </row>
    <row r="993" spans="1:26">
      <c r="A993" s="406">
        <v>990</v>
      </c>
      <c r="B993" s="613" t="s">
        <v>7020</v>
      </c>
      <c r="C993" s="483" t="s">
        <v>1888</v>
      </c>
      <c r="D993" s="414" t="s">
        <v>4884</v>
      </c>
      <c r="E993" s="407" t="s">
        <v>4884</v>
      </c>
      <c r="F993" s="483"/>
      <c r="G993" s="483"/>
      <c r="H993" s="483"/>
      <c r="I993" s="483"/>
      <c r="J993" s="483"/>
      <c r="K993" s="483"/>
      <c r="L993" s="608" t="s">
        <v>4884</v>
      </c>
      <c r="M993" s="409" t="s">
        <v>4884</v>
      </c>
      <c r="N993" s="409" t="s">
        <v>4884</v>
      </c>
      <c r="O993" s="410" t="s">
        <v>4884</v>
      </c>
      <c r="P993" s="406">
        <v>990</v>
      </c>
      <c r="Q993" s="460" t="s">
        <v>1888</v>
      </c>
      <c r="R993" s="460" t="s">
        <v>1883</v>
      </c>
      <c r="S993" s="460" t="s">
        <v>1884</v>
      </c>
      <c r="U993" s="471"/>
      <c r="V993" s="471"/>
      <c r="W993" s="488"/>
      <c r="X993" s="471"/>
      <c r="Y993" s="206"/>
      <c r="Z993" s="206"/>
    </row>
    <row r="994" spans="1:26">
      <c r="A994" s="406">
        <v>991</v>
      </c>
      <c r="B994" s="613" t="s">
        <v>7020</v>
      </c>
      <c r="C994" s="483" t="s">
        <v>1889</v>
      </c>
      <c r="D994" s="414" t="s">
        <v>4884</v>
      </c>
      <c r="E994" s="407" t="s">
        <v>4884</v>
      </c>
      <c r="F994" s="483"/>
      <c r="G994" s="483"/>
      <c r="H994" s="483"/>
      <c r="I994" s="483"/>
      <c r="J994" s="483"/>
      <c r="K994" s="483"/>
      <c r="L994" s="608" t="s">
        <v>4884</v>
      </c>
      <c r="M994" s="409" t="s">
        <v>4884</v>
      </c>
      <c r="N994" s="409" t="s">
        <v>4884</v>
      </c>
      <c r="O994" s="410" t="s">
        <v>4884</v>
      </c>
      <c r="P994" s="406">
        <v>991</v>
      </c>
      <c r="Q994" s="460" t="s">
        <v>1889</v>
      </c>
      <c r="R994" s="460" t="s">
        <v>1883</v>
      </c>
      <c r="S994" s="460" t="s">
        <v>1884</v>
      </c>
      <c r="U994" s="471"/>
      <c r="V994" s="471"/>
      <c r="W994" s="488"/>
      <c r="X994" s="471"/>
      <c r="Y994" s="206"/>
      <c r="Z994" s="206"/>
    </row>
    <row r="995" spans="1:26">
      <c r="A995" s="406">
        <v>992</v>
      </c>
      <c r="B995" s="613" t="s">
        <v>7020</v>
      </c>
      <c r="C995" s="483" t="s">
        <v>1890</v>
      </c>
      <c r="D995" s="414" t="s">
        <v>4884</v>
      </c>
      <c r="E995" s="407" t="s">
        <v>4884</v>
      </c>
      <c r="F995" s="483"/>
      <c r="G995" s="483"/>
      <c r="H995" s="483"/>
      <c r="I995" s="483"/>
      <c r="J995" s="483"/>
      <c r="K995" s="483"/>
      <c r="L995" s="608" t="s">
        <v>4884</v>
      </c>
      <c r="M995" s="409" t="s">
        <v>4884</v>
      </c>
      <c r="N995" s="409" t="s">
        <v>4884</v>
      </c>
      <c r="O995" s="410" t="s">
        <v>4884</v>
      </c>
      <c r="P995" s="406">
        <v>992</v>
      </c>
      <c r="Q995" s="460" t="s">
        <v>1890</v>
      </c>
      <c r="R995" s="460" t="s">
        <v>1883</v>
      </c>
      <c r="S995" s="460" t="s">
        <v>1884</v>
      </c>
      <c r="U995" s="471"/>
      <c r="V995" s="471"/>
      <c r="W995" s="488"/>
      <c r="X995" s="471"/>
      <c r="Y995" s="206"/>
      <c r="Z995" s="206"/>
    </row>
    <row r="996" spans="1:26">
      <c r="A996" s="406">
        <v>993</v>
      </c>
      <c r="B996" s="613" t="s">
        <v>7020</v>
      </c>
      <c r="C996" s="483" t="s">
        <v>1891</v>
      </c>
      <c r="D996" s="414" t="s">
        <v>4884</v>
      </c>
      <c r="E996" s="407" t="s">
        <v>4884</v>
      </c>
      <c r="F996" s="483"/>
      <c r="G996" s="483"/>
      <c r="H996" s="483"/>
      <c r="I996" s="483"/>
      <c r="J996" s="483"/>
      <c r="K996" s="483"/>
      <c r="L996" s="608" t="s">
        <v>4884</v>
      </c>
      <c r="M996" s="409" t="s">
        <v>4884</v>
      </c>
      <c r="N996" s="409" t="s">
        <v>4884</v>
      </c>
      <c r="O996" s="410" t="s">
        <v>4884</v>
      </c>
      <c r="P996" s="406">
        <v>993</v>
      </c>
      <c r="Q996" s="460" t="s">
        <v>1891</v>
      </c>
      <c r="R996" s="460" t="s">
        <v>1883</v>
      </c>
      <c r="S996" s="460" t="s">
        <v>1884</v>
      </c>
      <c r="U996" s="471"/>
      <c r="V996" s="471"/>
      <c r="W996" s="488"/>
      <c r="X996" s="471"/>
      <c r="Y996" s="206"/>
      <c r="Z996" s="206"/>
    </row>
    <row r="997" spans="1:26">
      <c r="A997" s="406">
        <v>994</v>
      </c>
      <c r="B997" s="613" t="s">
        <v>7020</v>
      </c>
      <c r="C997" s="483" t="s">
        <v>1892</v>
      </c>
      <c r="D997" s="414" t="s">
        <v>4884</v>
      </c>
      <c r="E997" s="407" t="s">
        <v>4884</v>
      </c>
      <c r="F997" s="483"/>
      <c r="G997" s="483"/>
      <c r="H997" s="483"/>
      <c r="I997" s="483"/>
      <c r="J997" s="483"/>
      <c r="K997" s="483"/>
      <c r="L997" s="608" t="s">
        <v>4884</v>
      </c>
      <c r="M997" s="409" t="s">
        <v>4884</v>
      </c>
      <c r="N997" s="409" t="s">
        <v>4884</v>
      </c>
      <c r="O997" s="410" t="s">
        <v>4884</v>
      </c>
      <c r="P997" s="406">
        <v>994</v>
      </c>
      <c r="Q997" s="460" t="s">
        <v>1892</v>
      </c>
      <c r="R997" s="460" t="s">
        <v>1883</v>
      </c>
      <c r="S997" s="460" t="s">
        <v>1884</v>
      </c>
      <c r="U997" s="471"/>
      <c r="V997" s="471"/>
      <c r="W997" s="488"/>
      <c r="X997" s="471"/>
      <c r="Y997" s="206"/>
      <c r="Z997" s="206"/>
    </row>
    <row r="998" spans="1:26">
      <c r="A998" s="406">
        <v>995</v>
      </c>
      <c r="B998" s="613" t="s">
        <v>7020</v>
      </c>
      <c r="C998" s="483" t="s">
        <v>1893</v>
      </c>
      <c r="D998" s="414" t="s">
        <v>4884</v>
      </c>
      <c r="E998" s="407" t="s">
        <v>4884</v>
      </c>
      <c r="F998" s="483"/>
      <c r="G998" s="483"/>
      <c r="H998" s="483"/>
      <c r="I998" s="483"/>
      <c r="J998" s="483"/>
      <c r="K998" s="483"/>
      <c r="L998" s="608" t="s">
        <v>4884</v>
      </c>
      <c r="M998" s="409" t="s">
        <v>4884</v>
      </c>
      <c r="N998" s="409" t="s">
        <v>4884</v>
      </c>
      <c r="O998" s="410" t="s">
        <v>4884</v>
      </c>
      <c r="P998" s="406">
        <v>995</v>
      </c>
      <c r="Q998" s="460" t="s">
        <v>1893</v>
      </c>
      <c r="R998" s="460" t="s">
        <v>1883</v>
      </c>
      <c r="S998" s="460" t="s">
        <v>1884</v>
      </c>
      <c r="U998" s="471"/>
      <c r="V998" s="471"/>
      <c r="W998" s="488"/>
      <c r="X998" s="471"/>
      <c r="Y998" s="206"/>
      <c r="Z998" s="206"/>
    </row>
    <row r="999" spans="1:26">
      <c r="A999" s="406">
        <v>996</v>
      </c>
      <c r="B999" s="613" t="s">
        <v>7020</v>
      </c>
      <c r="C999" s="483" t="s">
        <v>1894</v>
      </c>
      <c r="D999" s="414" t="s">
        <v>4884</v>
      </c>
      <c r="E999" s="407" t="s">
        <v>4884</v>
      </c>
      <c r="F999" s="483"/>
      <c r="G999" s="483"/>
      <c r="H999" s="483"/>
      <c r="I999" s="483"/>
      <c r="J999" s="483"/>
      <c r="K999" s="483"/>
      <c r="L999" s="608" t="s">
        <v>4884</v>
      </c>
      <c r="M999" s="409" t="s">
        <v>4884</v>
      </c>
      <c r="N999" s="409" t="s">
        <v>4884</v>
      </c>
      <c r="O999" s="410" t="s">
        <v>4884</v>
      </c>
      <c r="P999" s="406">
        <v>996</v>
      </c>
      <c r="Q999" s="460" t="s">
        <v>1894</v>
      </c>
      <c r="R999" s="460" t="s">
        <v>1883</v>
      </c>
      <c r="S999" s="460" t="s">
        <v>1884</v>
      </c>
      <c r="U999" s="471"/>
      <c r="V999" s="471"/>
      <c r="W999" s="488"/>
      <c r="X999" s="471"/>
      <c r="Y999" s="206"/>
      <c r="Z999" s="206"/>
    </row>
    <row r="1000" spans="1:26">
      <c r="A1000" s="406">
        <v>997</v>
      </c>
      <c r="B1000" s="613" t="s">
        <v>7020</v>
      </c>
      <c r="C1000" s="483" t="s">
        <v>1895</v>
      </c>
      <c r="D1000" s="414" t="s">
        <v>4884</v>
      </c>
      <c r="E1000" s="407" t="s">
        <v>4884</v>
      </c>
      <c r="F1000" s="483"/>
      <c r="G1000" s="483"/>
      <c r="H1000" s="483"/>
      <c r="I1000" s="483"/>
      <c r="J1000" s="483"/>
      <c r="K1000" s="483"/>
      <c r="L1000" s="608" t="s">
        <v>4884</v>
      </c>
      <c r="M1000" s="409" t="s">
        <v>4884</v>
      </c>
      <c r="N1000" s="409" t="s">
        <v>4884</v>
      </c>
      <c r="O1000" s="410" t="s">
        <v>4884</v>
      </c>
      <c r="P1000" s="406">
        <v>997</v>
      </c>
      <c r="Q1000" s="460" t="s">
        <v>1895</v>
      </c>
      <c r="R1000" s="460" t="s">
        <v>1883</v>
      </c>
      <c r="S1000" s="460" t="s">
        <v>1884</v>
      </c>
      <c r="U1000" s="471"/>
      <c r="V1000" s="471"/>
      <c r="W1000" s="488"/>
      <c r="X1000" s="471"/>
      <c r="Y1000" s="206"/>
      <c r="Z1000" s="206"/>
    </row>
    <row r="1001" spans="1:26">
      <c r="A1001" s="406">
        <v>998</v>
      </c>
      <c r="B1001" s="613" t="s">
        <v>7020</v>
      </c>
      <c r="C1001" s="483" t="s">
        <v>1896</v>
      </c>
      <c r="D1001" s="414" t="s">
        <v>4884</v>
      </c>
      <c r="E1001" s="407" t="s">
        <v>4884</v>
      </c>
      <c r="F1001" s="483"/>
      <c r="G1001" s="483"/>
      <c r="H1001" s="483"/>
      <c r="I1001" s="483"/>
      <c r="J1001" s="483"/>
      <c r="K1001" s="483"/>
      <c r="L1001" s="608" t="s">
        <v>4884</v>
      </c>
      <c r="M1001" s="409" t="s">
        <v>4884</v>
      </c>
      <c r="N1001" s="409" t="s">
        <v>4884</v>
      </c>
      <c r="O1001" s="410" t="s">
        <v>4884</v>
      </c>
      <c r="P1001" s="406">
        <v>998</v>
      </c>
      <c r="Q1001" s="460" t="s">
        <v>1896</v>
      </c>
      <c r="R1001" s="460" t="s">
        <v>1883</v>
      </c>
      <c r="S1001" s="460" t="s">
        <v>1884</v>
      </c>
      <c r="U1001" s="471"/>
      <c r="V1001" s="471"/>
      <c r="W1001" s="488"/>
      <c r="X1001" s="471"/>
      <c r="Y1001" s="206"/>
      <c r="Z1001" s="206"/>
    </row>
    <row r="1002" spans="1:26">
      <c r="A1002" s="406">
        <v>999</v>
      </c>
      <c r="B1002" s="613" t="s">
        <v>7020</v>
      </c>
      <c r="C1002" s="483" t="s">
        <v>1897</v>
      </c>
      <c r="D1002" s="414" t="s">
        <v>4884</v>
      </c>
      <c r="E1002" s="407" t="s">
        <v>4884</v>
      </c>
      <c r="F1002" s="483"/>
      <c r="G1002" s="483"/>
      <c r="H1002" s="483"/>
      <c r="I1002" s="483"/>
      <c r="J1002" s="483"/>
      <c r="K1002" s="483"/>
      <c r="L1002" s="608" t="s">
        <v>4884</v>
      </c>
      <c r="M1002" s="409" t="s">
        <v>4884</v>
      </c>
      <c r="N1002" s="409" t="s">
        <v>4884</v>
      </c>
      <c r="O1002" s="410" t="s">
        <v>4884</v>
      </c>
      <c r="P1002" s="406">
        <v>999</v>
      </c>
      <c r="Q1002" s="460" t="s">
        <v>1897</v>
      </c>
      <c r="R1002" s="460" t="s">
        <v>1883</v>
      </c>
      <c r="S1002" s="460" t="s">
        <v>1884</v>
      </c>
      <c r="U1002" s="471"/>
      <c r="V1002" s="471"/>
      <c r="W1002" s="488"/>
      <c r="X1002" s="471"/>
      <c r="Y1002" s="206"/>
      <c r="Z1002" s="206"/>
    </row>
    <row r="1003" spans="1:26">
      <c r="A1003" s="406">
        <v>1000</v>
      </c>
      <c r="B1003" s="613" t="s">
        <v>7020</v>
      </c>
      <c r="C1003" s="483" t="s">
        <v>1898</v>
      </c>
      <c r="D1003" s="414" t="s">
        <v>4884</v>
      </c>
      <c r="E1003" s="407" t="s">
        <v>4884</v>
      </c>
      <c r="F1003" s="483"/>
      <c r="G1003" s="483"/>
      <c r="H1003" s="483"/>
      <c r="I1003" s="483"/>
      <c r="J1003" s="483"/>
      <c r="K1003" s="483"/>
      <c r="L1003" s="608" t="s">
        <v>4884</v>
      </c>
      <c r="M1003" s="409" t="s">
        <v>4884</v>
      </c>
      <c r="N1003" s="409" t="s">
        <v>4884</v>
      </c>
      <c r="O1003" s="410" t="s">
        <v>4884</v>
      </c>
      <c r="P1003" s="406">
        <v>1000</v>
      </c>
      <c r="Q1003" s="460" t="s">
        <v>1898</v>
      </c>
      <c r="R1003" s="460" t="s">
        <v>1883</v>
      </c>
      <c r="S1003" s="460" t="s">
        <v>1884</v>
      </c>
      <c r="U1003" s="471"/>
      <c r="V1003" s="471"/>
      <c r="W1003" s="488"/>
      <c r="X1003" s="471"/>
      <c r="Y1003" s="206"/>
      <c r="Z1003" s="206"/>
    </row>
    <row r="1004" spans="1:26">
      <c r="A1004" s="406">
        <v>1001</v>
      </c>
      <c r="B1004" s="613" t="s">
        <v>7020</v>
      </c>
      <c r="C1004" s="483" t="s">
        <v>1899</v>
      </c>
      <c r="D1004" s="414" t="s">
        <v>4884</v>
      </c>
      <c r="E1004" s="407" t="s">
        <v>4884</v>
      </c>
      <c r="F1004" s="483"/>
      <c r="G1004" s="483"/>
      <c r="H1004" s="483"/>
      <c r="I1004" s="483"/>
      <c r="J1004" s="483"/>
      <c r="K1004" s="483"/>
      <c r="L1004" s="608" t="s">
        <v>4884</v>
      </c>
      <c r="M1004" s="409" t="s">
        <v>4884</v>
      </c>
      <c r="N1004" s="409" t="s">
        <v>4884</v>
      </c>
      <c r="O1004" s="410" t="s">
        <v>4884</v>
      </c>
      <c r="P1004" s="406">
        <v>1001</v>
      </c>
      <c r="Q1004" s="460" t="s">
        <v>1899</v>
      </c>
      <c r="R1004" s="460" t="s">
        <v>1883</v>
      </c>
      <c r="S1004" s="460" t="s">
        <v>1884</v>
      </c>
      <c r="U1004" s="471"/>
      <c r="V1004" s="471"/>
      <c r="W1004" s="488"/>
      <c r="X1004" s="471"/>
      <c r="Y1004" s="206"/>
      <c r="Z1004" s="206"/>
    </row>
    <row r="1005" spans="1:26">
      <c r="A1005" s="406">
        <v>1002</v>
      </c>
      <c r="B1005" s="613" t="s">
        <v>7020</v>
      </c>
      <c r="C1005" s="483" t="s">
        <v>1900</v>
      </c>
      <c r="D1005" s="414" t="s">
        <v>4884</v>
      </c>
      <c r="E1005" s="407" t="s">
        <v>4884</v>
      </c>
      <c r="F1005" s="483"/>
      <c r="G1005" s="483"/>
      <c r="H1005" s="483"/>
      <c r="I1005" s="483"/>
      <c r="J1005" s="483"/>
      <c r="K1005" s="483"/>
      <c r="L1005" s="608" t="s">
        <v>4884</v>
      </c>
      <c r="M1005" s="409" t="s">
        <v>4884</v>
      </c>
      <c r="N1005" s="409" t="s">
        <v>4884</v>
      </c>
      <c r="O1005" s="410" t="s">
        <v>4884</v>
      </c>
      <c r="P1005" s="406">
        <v>1002</v>
      </c>
      <c r="Q1005" s="460" t="s">
        <v>1900</v>
      </c>
      <c r="R1005" s="460" t="s">
        <v>1883</v>
      </c>
      <c r="S1005" s="460" t="s">
        <v>1884</v>
      </c>
      <c r="U1005" s="471"/>
      <c r="V1005" s="471"/>
      <c r="W1005" s="488"/>
      <c r="X1005" s="471"/>
      <c r="Y1005" s="206"/>
      <c r="Z1005" s="206"/>
    </row>
    <row r="1006" spans="1:26">
      <c r="A1006" s="406">
        <v>1003</v>
      </c>
      <c r="B1006" s="613" t="s">
        <v>7020</v>
      </c>
      <c r="C1006" s="483" t="s">
        <v>1901</v>
      </c>
      <c r="D1006" s="414" t="s">
        <v>4884</v>
      </c>
      <c r="E1006" s="407" t="s">
        <v>4884</v>
      </c>
      <c r="F1006" s="483"/>
      <c r="G1006" s="483"/>
      <c r="H1006" s="483"/>
      <c r="I1006" s="483"/>
      <c r="J1006" s="483"/>
      <c r="K1006" s="483"/>
      <c r="L1006" s="608" t="s">
        <v>4884</v>
      </c>
      <c r="M1006" s="409" t="s">
        <v>4884</v>
      </c>
      <c r="N1006" s="409" t="s">
        <v>4884</v>
      </c>
      <c r="O1006" s="410" t="s">
        <v>4884</v>
      </c>
      <c r="P1006" s="406">
        <v>1003</v>
      </c>
      <c r="Q1006" s="460" t="s">
        <v>1901</v>
      </c>
      <c r="R1006" s="460" t="s">
        <v>1883</v>
      </c>
      <c r="S1006" s="460" t="s">
        <v>1884</v>
      </c>
      <c r="U1006" s="471"/>
      <c r="V1006" s="471"/>
      <c r="W1006" s="488"/>
      <c r="X1006" s="471"/>
      <c r="Y1006" s="206"/>
      <c r="Z1006" s="206"/>
    </row>
    <row r="1007" spans="1:26">
      <c r="A1007" s="406">
        <v>1004</v>
      </c>
      <c r="B1007" s="613" t="s">
        <v>7020</v>
      </c>
      <c r="C1007" s="483" t="s">
        <v>1902</v>
      </c>
      <c r="D1007" s="414" t="s">
        <v>4884</v>
      </c>
      <c r="E1007" s="407" t="s">
        <v>4884</v>
      </c>
      <c r="F1007" s="483"/>
      <c r="G1007" s="483"/>
      <c r="H1007" s="483"/>
      <c r="I1007" s="483"/>
      <c r="J1007" s="483"/>
      <c r="K1007" s="483"/>
      <c r="L1007" s="608" t="s">
        <v>4884</v>
      </c>
      <c r="M1007" s="409" t="s">
        <v>4884</v>
      </c>
      <c r="N1007" s="409" t="s">
        <v>4884</v>
      </c>
      <c r="O1007" s="410" t="s">
        <v>4884</v>
      </c>
      <c r="P1007" s="406">
        <v>1004</v>
      </c>
      <c r="Q1007" s="460" t="s">
        <v>1902</v>
      </c>
      <c r="R1007" s="460" t="s">
        <v>1883</v>
      </c>
      <c r="S1007" s="460" t="s">
        <v>1884</v>
      </c>
      <c r="U1007" s="471"/>
      <c r="V1007" s="471"/>
      <c r="W1007" s="488"/>
      <c r="X1007" s="471"/>
      <c r="Y1007" s="206"/>
      <c r="Z1007" s="206"/>
    </row>
    <row r="1008" spans="1:26">
      <c r="A1008" s="406">
        <v>1005</v>
      </c>
      <c r="B1008" s="613" t="s">
        <v>7020</v>
      </c>
      <c r="C1008" s="483" t="s">
        <v>1903</v>
      </c>
      <c r="D1008" s="414" t="s">
        <v>4884</v>
      </c>
      <c r="E1008" s="407" t="s">
        <v>4884</v>
      </c>
      <c r="F1008" s="483"/>
      <c r="G1008" s="483"/>
      <c r="H1008" s="483"/>
      <c r="I1008" s="483"/>
      <c r="J1008" s="483"/>
      <c r="K1008" s="483"/>
      <c r="L1008" s="608" t="s">
        <v>4884</v>
      </c>
      <c r="M1008" s="409" t="s">
        <v>4884</v>
      </c>
      <c r="N1008" s="409" t="s">
        <v>4884</v>
      </c>
      <c r="O1008" s="410" t="s">
        <v>4884</v>
      </c>
      <c r="P1008" s="406">
        <v>1005</v>
      </c>
      <c r="Q1008" s="460" t="s">
        <v>1903</v>
      </c>
      <c r="R1008" s="460" t="s">
        <v>1883</v>
      </c>
      <c r="S1008" s="460" t="s">
        <v>1884</v>
      </c>
      <c r="U1008" s="471"/>
      <c r="V1008" s="471"/>
      <c r="W1008" s="488"/>
      <c r="X1008" s="471"/>
      <c r="Y1008" s="206"/>
      <c r="Z1008" s="206"/>
    </row>
    <row r="1009" spans="1:26">
      <c r="A1009" s="406">
        <v>1006</v>
      </c>
      <c r="B1009" s="613" t="s">
        <v>7020</v>
      </c>
      <c r="C1009" s="483" t="s">
        <v>1904</v>
      </c>
      <c r="D1009" s="414" t="s">
        <v>4884</v>
      </c>
      <c r="E1009" s="407" t="s">
        <v>4884</v>
      </c>
      <c r="F1009" s="483"/>
      <c r="G1009" s="483"/>
      <c r="H1009" s="483"/>
      <c r="I1009" s="483"/>
      <c r="J1009" s="483"/>
      <c r="K1009" s="483"/>
      <c r="L1009" s="608" t="s">
        <v>4884</v>
      </c>
      <c r="M1009" s="409" t="s">
        <v>4884</v>
      </c>
      <c r="N1009" s="409" t="s">
        <v>4884</v>
      </c>
      <c r="O1009" s="410" t="s">
        <v>4884</v>
      </c>
      <c r="P1009" s="406">
        <v>1006</v>
      </c>
      <c r="Q1009" s="460" t="s">
        <v>1904</v>
      </c>
      <c r="R1009" s="460" t="s">
        <v>1883</v>
      </c>
      <c r="S1009" s="460" t="s">
        <v>1884</v>
      </c>
      <c r="U1009" s="471"/>
      <c r="V1009" s="471"/>
      <c r="W1009" s="488"/>
      <c r="X1009" s="471"/>
      <c r="Y1009" s="206"/>
      <c r="Z1009" s="206"/>
    </row>
    <row r="1010" spans="1:26">
      <c r="A1010" s="406">
        <v>1007</v>
      </c>
      <c r="B1010" s="613" t="s">
        <v>7020</v>
      </c>
      <c r="C1010" s="483" t="s">
        <v>1905</v>
      </c>
      <c r="D1010" s="414" t="s">
        <v>4884</v>
      </c>
      <c r="E1010" s="407" t="s">
        <v>4884</v>
      </c>
      <c r="F1010" s="483"/>
      <c r="G1010" s="483"/>
      <c r="H1010" s="483"/>
      <c r="I1010" s="483"/>
      <c r="J1010" s="483"/>
      <c r="K1010" s="483"/>
      <c r="L1010" s="608" t="s">
        <v>4884</v>
      </c>
      <c r="M1010" s="409" t="s">
        <v>4884</v>
      </c>
      <c r="N1010" s="409" t="s">
        <v>4884</v>
      </c>
      <c r="O1010" s="410" t="s">
        <v>4884</v>
      </c>
      <c r="P1010" s="406">
        <v>1007</v>
      </c>
      <c r="Q1010" s="460" t="s">
        <v>1905</v>
      </c>
      <c r="R1010" s="460" t="s">
        <v>1883</v>
      </c>
      <c r="S1010" s="460" t="s">
        <v>1884</v>
      </c>
      <c r="U1010" s="471"/>
      <c r="V1010" s="471"/>
      <c r="W1010" s="488"/>
      <c r="X1010" s="471"/>
      <c r="Y1010" s="206"/>
      <c r="Z1010" s="206"/>
    </row>
    <row r="1011" spans="1:26">
      <c r="A1011" s="406">
        <v>1008</v>
      </c>
      <c r="B1011" s="613" t="s">
        <v>7020</v>
      </c>
      <c r="C1011" s="483" t="s">
        <v>1906</v>
      </c>
      <c r="D1011" s="414" t="s">
        <v>4884</v>
      </c>
      <c r="E1011" s="407" t="s">
        <v>4884</v>
      </c>
      <c r="F1011" s="483"/>
      <c r="G1011" s="483"/>
      <c r="H1011" s="483"/>
      <c r="I1011" s="483"/>
      <c r="J1011" s="483"/>
      <c r="K1011" s="483"/>
      <c r="L1011" s="608" t="s">
        <v>4884</v>
      </c>
      <c r="M1011" s="409" t="s">
        <v>4884</v>
      </c>
      <c r="N1011" s="409" t="s">
        <v>4884</v>
      </c>
      <c r="O1011" s="410" t="s">
        <v>4884</v>
      </c>
      <c r="P1011" s="406">
        <v>1008</v>
      </c>
      <c r="Q1011" s="460" t="s">
        <v>1906</v>
      </c>
      <c r="R1011" s="460" t="s">
        <v>1883</v>
      </c>
      <c r="S1011" s="460" t="s">
        <v>1884</v>
      </c>
      <c r="U1011" s="471"/>
      <c r="V1011" s="471"/>
      <c r="W1011" s="488"/>
      <c r="X1011" s="471"/>
      <c r="Y1011" s="206"/>
      <c r="Z1011" s="206"/>
    </row>
    <row r="1012" spans="1:26">
      <c r="A1012" s="406">
        <v>1009</v>
      </c>
      <c r="B1012" s="613" t="s">
        <v>7020</v>
      </c>
      <c r="C1012" s="483" t="s">
        <v>1907</v>
      </c>
      <c r="D1012" s="414" t="s">
        <v>4884</v>
      </c>
      <c r="E1012" s="407" t="s">
        <v>4884</v>
      </c>
      <c r="F1012" s="483"/>
      <c r="G1012" s="483"/>
      <c r="H1012" s="483"/>
      <c r="I1012" s="483"/>
      <c r="J1012" s="483"/>
      <c r="K1012" s="483"/>
      <c r="L1012" s="608" t="s">
        <v>4884</v>
      </c>
      <c r="M1012" s="409" t="s">
        <v>4884</v>
      </c>
      <c r="N1012" s="409" t="s">
        <v>4884</v>
      </c>
      <c r="O1012" s="410" t="s">
        <v>4884</v>
      </c>
      <c r="P1012" s="406">
        <v>1009</v>
      </c>
      <c r="Q1012" s="460" t="s">
        <v>1907</v>
      </c>
      <c r="R1012" s="460" t="s">
        <v>1883</v>
      </c>
      <c r="S1012" s="460" t="s">
        <v>1884</v>
      </c>
      <c r="U1012" s="471"/>
      <c r="V1012" s="471"/>
      <c r="W1012" s="488"/>
      <c r="X1012" s="471"/>
      <c r="Y1012" s="206"/>
      <c r="Z1012" s="206"/>
    </row>
    <row r="1013" spans="1:26">
      <c r="A1013" s="406">
        <v>1010</v>
      </c>
      <c r="B1013" s="613" t="s">
        <v>7020</v>
      </c>
      <c r="C1013" s="483" t="s">
        <v>1908</v>
      </c>
      <c r="D1013" s="414" t="s">
        <v>4884</v>
      </c>
      <c r="E1013" s="407" t="s">
        <v>4884</v>
      </c>
      <c r="F1013" s="483"/>
      <c r="G1013" s="483"/>
      <c r="H1013" s="483"/>
      <c r="I1013" s="483"/>
      <c r="J1013" s="483"/>
      <c r="K1013" s="483"/>
      <c r="L1013" s="608" t="s">
        <v>4884</v>
      </c>
      <c r="M1013" s="409" t="s">
        <v>4884</v>
      </c>
      <c r="N1013" s="409" t="s">
        <v>4884</v>
      </c>
      <c r="O1013" s="410" t="s">
        <v>4884</v>
      </c>
      <c r="P1013" s="406">
        <v>1010</v>
      </c>
      <c r="Q1013" s="460" t="s">
        <v>1908</v>
      </c>
      <c r="R1013" s="460" t="s">
        <v>1883</v>
      </c>
      <c r="S1013" s="460" t="s">
        <v>1884</v>
      </c>
      <c r="U1013" s="471"/>
      <c r="V1013" s="471"/>
      <c r="W1013" s="488"/>
      <c r="X1013" s="471"/>
      <c r="Y1013" s="206"/>
      <c r="Z1013" s="206"/>
    </row>
    <row r="1014" spans="1:26">
      <c r="A1014" s="406">
        <v>1011</v>
      </c>
      <c r="B1014" s="613" t="s">
        <v>7020</v>
      </c>
      <c r="C1014" s="483" t="s">
        <v>1909</v>
      </c>
      <c r="D1014" s="414" t="s">
        <v>4884</v>
      </c>
      <c r="E1014" s="407" t="s">
        <v>4884</v>
      </c>
      <c r="F1014" s="483"/>
      <c r="G1014" s="483"/>
      <c r="H1014" s="483"/>
      <c r="I1014" s="483"/>
      <c r="J1014" s="483"/>
      <c r="K1014" s="483"/>
      <c r="L1014" s="608" t="s">
        <v>4884</v>
      </c>
      <c r="M1014" s="409" t="s">
        <v>4884</v>
      </c>
      <c r="N1014" s="409" t="s">
        <v>4884</v>
      </c>
      <c r="O1014" s="410" t="s">
        <v>4884</v>
      </c>
      <c r="P1014" s="406">
        <v>1011</v>
      </c>
      <c r="Q1014" s="460" t="s">
        <v>1909</v>
      </c>
      <c r="R1014" s="460" t="s">
        <v>1883</v>
      </c>
      <c r="S1014" s="460" t="s">
        <v>1884</v>
      </c>
      <c r="U1014" s="471"/>
      <c r="V1014" s="471"/>
      <c r="W1014" s="488"/>
      <c r="X1014" s="471"/>
      <c r="Y1014" s="206"/>
      <c r="Z1014" s="206"/>
    </row>
    <row r="1015" spans="1:26">
      <c r="A1015" s="406">
        <v>1012</v>
      </c>
      <c r="B1015" s="613" t="s">
        <v>7020</v>
      </c>
      <c r="C1015" s="483" t="s">
        <v>1910</v>
      </c>
      <c r="D1015" s="414" t="s">
        <v>4884</v>
      </c>
      <c r="E1015" s="407" t="s">
        <v>4884</v>
      </c>
      <c r="F1015" s="483"/>
      <c r="G1015" s="483"/>
      <c r="H1015" s="483"/>
      <c r="I1015" s="483"/>
      <c r="J1015" s="483"/>
      <c r="K1015" s="483"/>
      <c r="L1015" s="608" t="s">
        <v>4884</v>
      </c>
      <c r="M1015" s="409" t="s">
        <v>4884</v>
      </c>
      <c r="N1015" s="409" t="s">
        <v>4884</v>
      </c>
      <c r="O1015" s="410" t="s">
        <v>4884</v>
      </c>
      <c r="P1015" s="406">
        <v>1012</v>
      </c>
      <c r="Q1015" s="460" t="s">
        <v>1910</v>
      </c>
      <c r="R1015" s="460" t="s">
        <v>1883</v>
      </c>
      <c r="S1015" s="460" t="s">
        <v>1884</v>
      </c>
      <c r="U1015" s="471"/>
      <c r="V1015" s="471"/>
      <c r="W1015" s="488"/>
      <c r="X1015" s="471"/>
      <c r="Y1015" s="206"/>
      <c r="Z1015" s="206"/>
    </row>
    <row r="1016" spans="1:26">
      <c r="A1016" s="406">
        <v>1013</v>
      </c>
      <c r="B1016" s="613" t="s">
        <v>7020</v>
      </c>
      <c r="C1016" s="483" t="s">
        <v>1911</v>
      </c>
      <c r="D1016" s="414" t="s">
        <v>4884</v>
      </c>
      <c r="E1016" s="407" t="s">
        <v>4884</v>
      </c>
      <c r="F1016" s="483"/>
      <c r="G1016" s="483"/>
      <c r="H1016" s="483"/>
      <c r="I1016" s="483"/>
      <c r="J1016" s="483"/>
      <c r="K1016" s="483"/>
      <c r="L1016" s="608" t="s">
        <v>4884</v>
      </c>
      <c r="M1016" s="409" t="s">
        <v>4884</v>
      </c>
      <c r="N1016" s="409" t="s">
        <v>4884</v>
      </c>
      <c r="O1016" s="410" t="s">
        <v>4884</v>
      </c>
      <c r="P1016" s="406">
        <v>1013</v>
      </c>
      <c r="Q1016" s="460" t="s">
        <v>1911</v>
      </c>
      <c r="R1016" s="460" t="s">
        <v>1883</v>
      </c>
      <c r="S1016" s="460" t="s">
        <v>1884</v>
      </c>
      <c r="U1016" s="471"/>
      <c r="V1016" s="471"/>
      <c r="W1016" s="471"/>
      <c r="X1016" s="471"/>
      <c r="Y1016" s="206"/>
      <c r="Z1016" s="206"/>
    </row>
    <row r="1017" spans="1:26">
      <c r="A1017" s="406">
        <v>1014</v>
      </c>
      <c r="B1017" s="613" t="s">
        <v>7020</v>
      </c>
      <c r="C1017" s="483" t="s">
        <v>1912</v>
      </c>
      <c r="D1017" s="414" t="s">
        <v>4884</v>
      </c>
      <c r="E1017" s="407" t="s">
        <v>4884</v>
      </c>
      <c r="F1017" s="483"/>
      <c r="G1017" s="483"/>
      <c r="H1017" s="483"/>
      <c r="I1017" s="483"/>
      <c r="J1017" s="483"/>
      <c r="K1017" s="483"/>
      <c r="L1017" s="608" t="s">
        <v>4884</v>
      </c>
      <c r="M1017" s="409" t="s">
        <v>4884</v>
      </c>
      <c r="N1017" s="409" t="s">
        <v>4884</v>
      </c>
      <c r="O1017" s="410" t="s">
        <v>4884</v>
      </c>
      <c r="P1017" s="406">
        <v>1014</v>
      </c>
      <c r="Q1017" s="460" t="s">
        <v>1912</v>
      </c>
      <c r="R1017" s="460" t="s">
        <v>1883</v>
      </c>
      <c r="S1017" s="460" t="s">
        <v>1884</v>
      </c>
      <c r="U1017" s="471"/>
      <c r="V1017" s="471"/>
      <c r="W1017" s="516"/>
      <c r="X1017" s="471"/>
      <c r="Y1017" s="206"/>
      <c r="Z1017" s="206"/>
    </row>
    <row r="1018" spans="1:26">
      <c r="A1018" s="406">
        <v>1015</v>
      </c>
      <c r="B1018" s="613" t="s">
        <v>7020</v>
      </c>
      <c r="C1018" s="288" t="s">
        <v>1913</v>
      </c>
      <c r="D1018" s="414" t="s">
        <v>4884</v>
      </c>
      <c r="E1018" s="407" t="s">
        <v>4884</v>
      </c>
      <c r="F1018" s="483"/>
      <c r="G1018" s="483"/>
      <c r="H1018" s="483"/>
      <c r="I1018" s="483"/>
      <c r="J1018" s="483"/>
      <c r="K1018" s="483"/>
      <c r="L1018" s="608" t="s">
        <v>4884</v>
      </c>
      <c r="M1018" s="409" t="s">
        <v>4884</v>
      </c>
      <c r="N1018" s="409" t="s">
        <v>4884</v>
      </c>
      <c r="O1018" s="410" t="s">
        <v>4884</v>
      </c>
      <c r="P1018" s="406">
        <v>1015</v>
      </c>
      <c r="Q1018" s="270" t="s">
        <v>1913</v>
      </c>
      <c r="R1018" s="460" t="s">
        <v>1883</v>
      </c>
      <c r="S1018" s="270" t="s">
        <v>1884</v>
      </c>
      <c r="U1018" s="471"/>
      <c r="V1018" s="471"/>
      <c r="W1018" s="516"/>
      <c r="X1018" s="471"/>
      <c r="Y1018" s="206"/>
      <c r="Z1018" s="206"/>
    </row>
    <row r="1019" spans="1:26">
      <c r="A1019" s="406">
        <v>1016</v>
      </c>
      <c r="B1019" s="613" t="s">
        <v>7020</v>
      </c>
      <c r="C1019" s="288" t="s">
        <v>1914</v>
      </c>
      <c r="D1019" s="414" t="s">
        <v>4884</v>
      </c>
      <c r="E1019" s="407" t="s">
        <v>4884</v>
      </c>
      <c r="F1019" s="483"/>
      <c r="G1019" s="483"/>
      <c r="H1019" s="483"/>
      <c r="I1019" s="483"/>
      <c r="J1019" s="483"/>
      <c r="K1019" s="483"/>
      <c r="L1019" s="608" t="s">
        <v>4884</v>
      </c>
      <c r="M1019" s="409" t="s">
        <v>4884</v>
      </c>
      <c r="N1019" s="409" t="s">
        <v>4884</v>
      </c>
      <c r="O1019" s="410" t="s">
        <v>4884</v>
      </c>
      <c r="P1019" s="406">
        <v>1016</v>
      </c>
      <c r="Q1019" s="270" t="s">
        <v>1914</v>
      </c>
      <c r="R1019" s="460" t="s">
        <v>1883</v>
      </c>
      <c r="S1019" s="270" t="s">
        <v>1884</v>
      </c>
      <c r="U1019" s="471"/>
      <c r="V1019" s="471"/>
      <c r="W1019" s="516"/>
      <c r="X1019" s="471"/>
      <c r="Y1019" s="206"/>
      <c r="Z1019" s="206"/>
    </row>
    <row r="1020" spans="1:26">
      <c r="A1020" s="406">
        <v>1017</v>
      </c>
      <c r="B1020" s="613" t="s">
        <v>7020</v>
      </c>
      <c r="C1020" s="288" t="s">
        <v>1915</v>
      </c>
      <c r="D1020" s="414" t="s">
        <v>4884</v>
      </c>
      <c r="E1020" s="407" t="s">
        <v>4884</v>
      </c>
      <c r="F1020" s="483"/>
      <c r="G1020" s="483"/>
      <c r="H1020" s="483"/>
      <c r="I1020" s="483"/>
      <c r="J1020" s="483"/>
      <c r="K1020" s="483"/>
      <c r="L1020" s="608" t="s">
        <v>4884</v>
      </c>
      <c r="M1020" s="409" t="s">
        <v>4884</v>
      </c>
      <c r="N1020" s="409" t="s">
        <v>4884</v>
      </c>
      <c r="O1020" s="410" t="s">
        <v>4884</v>
      </c>
      <c r="P1020" s="406">
        <v>1017</v>
      </c>
      <c r="Q1020" s="270" t="s">
        <v>1915</v>
      </c>
      <c r="R1020" s="460" t="s">
        <v>1883</v>
      </c>
      <c r="S1020" s="270" t="s">
        <v>1884</v>
      </c>
      <c r="U1020" s="471"/>
      <c r="V1020" s="471"/>
      <c r="W1020" s="516"/>
      <c r="X1020" s="471"/>
      <c r="Y1020" s="206"/>
      <c r="Z1020" s="206"/>
    </row>
    <row r="1021" spans="1:26">
      <c r="A1021" s="406">
        <v>1018</v>
      </c>
      <c r="B1021" s="613" t="s">
        <v>7020</v>
      </c>
      <c r="C1021" s="288" t="s">
        <v>1916</v>
      </c>
      <c r="D1021" s="414" t="s">
        <v>4884</v>
      </c>
      <c r="E1021" s="407" t="s">
        <v>4884</v>
      </c>
      <c r="F1021" s="483"/>
      <c r="G1021" s="483"/>
      <c r="H1021" s="483"/>
      <c r="I1021" s="483"/>
      <c r="J1021" s="483"/>
      <c r="K1021" s="483"/>
      <c r="L1021" s="608" t="s">
        <v>4884</v>
      </c>
      <c r="M1021" s="409" t="s">
        <v>4884</v>
      </c>
      <c r="N1021" s="409" t="s">
        <v>4884</v>
      </c>
      <c r="O1021" s="410" t="s">
        <v>4884</v>
      </c>
      <c r="P1021" s="406">
        <v>1018</v>
      </c>
      <c r="Q1021" s="270" t="s">
        <v>1916</v>
      </c>
      <c r="R1021" s="460" t="s">
        <v>1883</v>
      </c>
      <c r="S1021" s="270" t="s">
        <v>1884</v>
      </c>
      <c r="U1021" s="471"/>
      <c r="V1021" s="471"/>
      <c r="W1021" s="516"/>
      <c r="X1021" s="471"/>
      <c r="Y1021" s="206"/>
      <c r="Z1021" s="206"/>
    </row>
    <row r="1022" spans="1:26">
      <c r="A1022" s="406">
        <v>1019</v>
      </c>
      <c r="B1022" s="613" t="s">
        <v>7020</v>
      </c>
      <c r="C1022" s="288" t="s">
        <v>1917</v>
      </c>
      <c r="D1022" s="414" t="s">
        <v>4884</v>
      </c>
      <c r="E1022" s="407" t="s">
        <v>4884</v>
      </c>
      <c r="F1022" s="483"/>
      <c r="G1022" s="483"/>
      <c r="H1022" s="483"/>
      <c r="I1022" s="483"/>
      <c r="J1022" s="483"/>
      <c r="K1022" s="483"/>
      <c r="L1022" s="608" t="s">
        <v>4884</v>
      </c>
      <c r="M1022" s="409" t="s">
        <v>4884</v>
      </c>
      <c r="N1022" s="409" t="s">
        <v>4884</v>
      </c>
      <c r="O1022" s="410" t="s">
        <v>4884</v>
      </c>
      <c r="P1022" s="406">
        <v>1019</v>
      </c>
      <c r="Q1022" s="270" t="s">
        <v>1917</v>
      </c>
      <c r="R1022" s="460" t="s">
        <v>1883</v>
      </c>
      <c r="S1022" s="270" t="s">
        <v>1884</v>
      </c>
      <c r="U1022" s="471"/>
      <c r="V1022" s="471"/>
      <c r="W1022" s="516"/>
      <c r="X1022" s="471"/>
      <c r="Y1022" s="206"/>
      <c r="Z1022" s="206"/>
    </row>
    <row r="1023" spans="1:26">
      <c r="A1023" s="406">
        <v>1020</v>
      </c>
      <c r="B1023" s="613" t="s">
        <v>7020</v>
      </c>
      <c r="C1023" s="288" t="s">
        <v>1918</v>
      </c>
      <c r="D1023" s="414" t="s">
        <v>4884</v>
      </c>
      <c r="E1023" s="407" t="s">
        <v>4884</v>
      </c>
      <c r="F1023" s="483"/>
      <c r="G1023" s="483"/>
      <c r="H1023" s="483"/>
      <c r="I1023" s="483"/>
      <c r="J1023" s="483"/>
      <c r="K1023" s="483"/>
      <c r="L1023" s="608" t="s">
        <v>4884</v>
      </c>
      <c r="M1023" s="409" t="s">
        <v>4884</v>
      </c>
      <c r="N1023" s="409" t="s">
        <v>4884</v>
      </c>
      <c r="O1023" s="410" t="s">
        <v>4884</v>
      </c>
      <c r="P1023" s="406">
        <v>1020</v>
      </c>
      <c r="Q1023" s="270" t="s">
        <v>1918</v>
      </c>
      <c r="R1023" s="460" t="s">
        <v>1883</v>
      </c>
      <c r="S1023" s="270" t="s">
        <v>1884</v>
      </c>
      <c r="U1023" s="471"/>
      <c r="V1023" s="471"/>
      <c r="W1023" s="516"/>
      <c r="X1023" s="471"/>
      <c r="Y1023" s="206"/>
      <c r="Z1023" s="206"/>
    </row>
    <row r="1024" spans="1:26">
      <c r="A1024" s="406">
        <v>1021</v>
      </c>
      <c r="B1024" s="613" t="s">
        <v>7020</v>
      </c>
      <c r="C1024" s="288" t="s">
        <v>1919</v>
      </c>
      <c r="D1024" s="414" t="s">
        <v>4884</v>
      </c>
      <c r="E1024" s="407" t="s">
        <v>4884</v>
      </c>
      <c r="F1024" s="483"/>
      <c r="G1024" s="483"/>
      <c r="H1024" s="483"/>
      <c r="I1024" s="483"/>
      <c r="J1024" s="483"/>
      <c r="K1024" s="483"/>
      <c r="L1024" s="608" t="s">
        <v>4884</v>
      </c>
      <c r="M1024" s="409" t="s">
        <v>4884</v>
      </c>
      <c r="N1024" s="409" t="s">
        <v>4884</v>
      </c>
      <c r="O1024" s="410" t="s">
        <v>4884</v>
      </c>
      <c r="P1024" s="406">
        <v>1021</v>
      </c>
      <c r="Q1024" s="270" t="s">
        <v>1919</v>
      </c>
      <c r="R1024" s="460" t="s">
        <v>1883</v>
      </c>
      <c r="S1024" s="270" t="s">
        <v>1884</v>
      </c>
      <c r="U1024" s="471"/>
      <c r="V1024" s="471"/>
      <c r="W1024" s="516"/>
      <c r="X1024" s="471"/>
      <c r="Y1024" s="206"/>
      <c r="Z1024" s="206"/>
    </row>
    <row r="1025" spans="1:26">
      <c r="A1025" s="406">
        <v>1022</v>
      </c>
      <c r="B1025" s="613" t="s">
        <v>7020</v>
      </c>
      <c r="C1025" s="288" t="s">
        <v>1920</v>
      </c>
      <c r="D1025" s="414" t="s">
        <v>4884</v>
      </c>
      <c r="E1025" s="407" t="s">
        <v>4884</v>
      </c>
      <c r="F1025" s="483"/>
      <c r="G1025" s="483"/>
      <c r="H1025" s="483"/>
      <c r="I1025" s="483"/>
      <c r="J1025" s="483"/>
      <c r="K1025" s="483"/>
      <c r="L1025" s="608" t="s">
        <v>4884</v>
      </c>
      <c r="M1025" s="409" t="s">
        <v>4884</v>
      </c>
      <c r="N1025" s="409" t="s">
        <v>4884</v>
      </c>
      <c r="O1025" s="410" t="s">
        <v>4884</v>
      </c>
      <c r="P1025" s="406">
        <v>1022</v>
      </c>
      <c r="Q1025" s="270" t="s">
        <v>1920</v>
      </c>
      <c r="R1025" s="460" t="s">
        <v>1883</v>
      </c>
      <c r="S1025" s="270" t="s">
        <v>1884</v>
      </c>
      <c r="U1025" s="471"/>
      <c r="V1025" s="471"/>
      <c r="W1025" s="516"/>
      <c r="X1025" s="471"/>
      <c r="Y1025" s="206"/>
      <c r="Z1025" s="206"/>
    </row>
    <row r="1026" spans="1:26">
      <c r="A1026" s="406">
        <v>1023</v>
      </c>
      <c r="B1026" s="613" t="s">
        <v>7020</v>
      </c>
      <c r="C1026" s="288" t="s">
        <v>1921</v>
      </c>
      <c r="D1026" s="414" t="s">
        <v>4884</v>
      </c>
      <c r="E1026" s="407" t="s">
        <v>4884</v>
      </c>
      <c r="F1026" s="483"/>
      <c r="G1026" s="483"/>
      <c r="H1026" s="483"/>
      <c r="I1026" s="483"/>
      <c r="J1026" s="483"/>
      <c r="K1026" s="483"/>
      <c r="L1026" s="608" t="s">
        <v>4884</v>
      </c>
      <c r="M1026" s="409" t="s">
        <v>4884</v>
      </c>
      <c r="N1026" s="409" t="s">
        <v>4884</v>
      </c>
      <c r="O1026" s="410" t="s">
        <v>4884</v>
      </c>
      <c r="P1026" s="406">
        <v>1023</v>
      </c>
      <c r="Q1026" s="270" t="s">
        <v>1921</v>
      </c>
      <c r="R1026" s="460" t="s">
        <v>1883</v>
      </c>
      <c r="S1026" s="270" t="s">
        <v>1884</v>
      </c>
      <c r="U1026" s="471"/>
      <c r="V1026" s="471"/>
      <c r="W1026" s="516"/>
      <c r="X1026" s="471"/>
      <c r="Y1026" s="206"/>
      <c r="Z1026" s="206"/>
    </row>
    <row r="1027" spans="1:26">
      <c r="A1027" s="406">
        <v>1024</v>
      </c>
      <c r="B1027" s="613" t="s">
        <v>7020</v>
      </c>
      <c r="C1027" s="288" t="s">
        <v>1922</v>
      </c>
      <c r="D1027" s="414" t="s">
        <v>4884</v>
      </c>
      <c r="E1027" s="407" t="s">
        <v>4884</v>
      </c>
      <c r="F1027" s="483"/>
      <c r="G1027" s="483"/>
      <c r="H1027" s="483"/>
      <c r="I1027" s="483"/>
      <c r="J1027" s="483"/>
      <c r="K1027" s="483"/>
      <c r="L1027" s="608" t="s">
        <v>4884</v>
      </c>
      <c r="M1027" s="409" t="s">
        <v>4884</v>
      </c>
      <c r="N1027" s="409" t="s">
        <v>4884</v>
      </c>
      <c r="O1027" s="410" t="s">
        <v>4884</v>
      </c>
      <c r="P1027" s="406">
        <v>1024</v>
      </c>
      <c r="Q1027" s="270" t="s">
        <v>1922</v>
      </c>
      <c r="R1027" s="460" t="s">
        <v>1883</v>
      </c>
      <c r="S1027" s="270" t="s">
        <v>1884</v>
      </c>
      <c r="U1027" s="471"/>
      <c r="V1027" s="471"/>
      <c r="W1027" s="516"/>
      <c r="X1027" s="471"/>
      <c r="Y1027" s="206"/>
      <c r="Z1027" s="206"/>
    </row>
    <row r="1028" spans="1:26">
      <c r="A1028" s="406">
        <v>1025</v>
      </c>
      <c r="B1028" s="613" t="s">
        <v>7020</v>
      </c>
      <c r="C1028" s="288" t="s">
        <v>1923</v>
      </c>
      <c r="D1028" s="414" t="s">
        <v>4884</v>
      </c>
      <c r="E1028" s="407" t="s">
        <v>4884</v>
      </c>
      <c r="F1028" s="483"/>
      <c r="G1028" s="483"/>
      <c r="H1028" s="483"/>
      <c r="I1028" s="483"/>
      <c r="J1028" s="483"/>
      <c r="K1028" s="483"/>
      <c r="L1028" s="608" t="s">
        <v>4884</v>
      </c>
      <c r="M1028" s="409" t="s">
        <v>4884</v>
      </c>
      <c r="N1028" s="409" t="s">
        <v>4884</v>
      </c>
      <c r="O1028" s="410" t="s">
        <v>4884</v>
      </c>
      <c r="P1028" s="406">
        <v>1025</v>
      </c>
      <c r="Q1028" s="270" t="s">
        <v>1923</v>
      </c>
      <c r="R1028" s="460" t="s">
        <v>1883</v>
      </c>
      <c r="S1028" s="270" t="s">
        <v>1884</v>
      </c>
      <c r="U1028" s="471"/>
      <c r="V1028" s="471"/>
      <c r="W1028" s="516"/>
      <c r="X1028" s="471"/>
      <c r="Y1028" s="206"/>
      <c r="Z1028" s="206"/>
    </row>
    <row r="1029" spans="1:26">
      <c r="A1029" s="406">
        <v>1026</v>
      </c>
      <c r="B1029" s="613" t="s">
        <v>7020</v>
      </c>
      <c r="C1029" s="288" t="s">
        <v>1924</v>
      </c>
      <c r="D1029" s="414" t="s">
        <v>4884</v>
      </c>
      <c r="E1029" s="407" t="s">
        <v>4884</v>
      </c>
      <c r="F1029" s="483"/>
      <c r="G1029" s="483"/>
      <c r="H1029" s="483"/>
      <c r="I1029" s="483"/>
      <c r="J1029" s="483"/>
      <c r="K1029" s="483"/>
      <c r="L1029" s="608" t="s">
        <v>4884</v>
      </c>
      <c r="M1029" s="409" t="s">
        <v>4884</v>
      </c>
      <c r="N1029" s="409" t="s">
        <v>4884</v>
      </c>
      <c r="O1029" s="410" t="s">
        <v>4884</v>
      </c>
      <c r="P1029" s="406">
        <v>1026</v>
      </c>
      <c r="Q1029" s="270" t="s">
        <v>1924</v>
      </c>
      <c r="R1029" s="460" t="s">
        <v>1883</v>
      </c>
      <c r="S1029" s="270" t="s">
        <v>1884</v>
      </c>
      <c r="U1029" s="471"/>
      <c r="V1029" s="471"/>
      <c r="W1029" s="516"/>
      <c r="X1029" s="471"/>
      <c r="Y1029" s="206"/>
      <c r="Z1029" s="206"/>
    </row>
    <row r="1030" spans="1:26">
      <c r="A1030" s="406">
        <v>1027</v>
      </c>
      <c r="B1030" s="613" t="s">
        <v>7020</v>
      </c>
      <c r="C1030" s="288" t="s">
        <v>1925</v>
      </c>
      <c r="D1030" s="414" t="s">
        <v>4884</v>
      </c>
      <c r="E1030" s="407" t="s">
        <v>4884</v>
      </c>
      <c r="F1030" s="483"/>
      <c r="G1030" s="483"/>
      <c r="H1030" s="483"/>
      <c r="I1030" s="483"/>
      <c r="J1030" s="483"/>
      <c r="K1030" s="483"/>
      <c r="L1030" s="608" t="s">
        <v>4884</v>
      </c>
      <c r="M1030" s="409" t="s">
        <v>4884</v>
      </c>
      <c r="N1030" s="409" t="s">
        <v>4884</v>
      </c>
      <c r="O1030" s="410" t="s">
        <v>4884</v>
      </c>
      <c r="P1030" s="406">
        <v>1027</v>
      </c>
      <c r="Q1030" s="270" t="s">
        <v>1925</v>
      </c>
      <c r="R1030" s="460" t="s">
        <v>1883</v>
      </c>
      <c r="S1030" s="270" t="s">
        <v>1884</v>
      </c>
      <c r="U1030" s="471"/>
      <c r="V1030" s="471"/>
      <c r="W1030" s="516"/>
      <c r="X1030" s="471"/>
      <c r="Y1030" s="206"/>
      <c r="Z1030" s="206"/>
    </row>
    <row r="1031" spans="1:26">
      <c r="A1031" s="406">
        <v>1028</v>
      </c>
      <c r="B1031" s="613" t="s">
        <v>7020</v>
      </c>
      <c r="C1031" s="288" t="s">
        <v>1926</v>
      </c>
      <c r="D1031" s="414" t="s">
        <v>4884</v>
      </c>
      <c r="E1031" s="407" t="s">
        <v>4884</v>
      </c>
      <c r="F1031" s="483"/>
      <c r="G1031" s="483"/>
      <c r="H1031" s="483"/>
      <c r="I1031" s="483"/>
      <c r="J1031" s="483"/>
      <c r="K1031" s="483"/>
      <c r="L1031" s="608" t="s">
        <v>4884</v>
      </c>
      <c r="M1031" s="409" t="s">
        <v>4884</v>
      </c>
      <c r="N1031" s="409" t="s">
        <v>4884</v>
      </c>
      <c r="O1031" s="410" t="s">
        <v>4884</v>
      </c>
      <c r="P1031" s="406">
        <v>1028</v>
      </c>
      <c r="Q1031" s="270" t="s">
        <v>1926</v>
      </c>
      <c r="R1031" s="460" t="s">
        <v>1883</v>
      </c>
      <c r="S1031" s="270" t="s">
        <v>1884</v>
      </c>
      <c r="U1031" s="471"/>
      <c r="V1031" s="471"/>
      <c r="W1031" s="516"/>
      <c r="X1031" s="471"/>
      <c r="Y1031" s="206"/>
      <c r="Z1031" s="206"/>
    </row>
    <row r="1032" spans="1:26">
      <c r="A1032" s="406">
        <v>1029</v>
      </c>
      <c r="B1032" s="613" t="s">
        <v>7020</v>
      </c>
      <c r="C1032" s="288" t="s">
        <v>1927</v>
      </c>
      <c r="D1032" s="414" t="s">
        <v>4884</v>
      </c>
      <c r="E1032" s="407" t="s">
        <v>4884</v>
      </c>
      <c r="F1032" s="483"/>
      <c r="G1032" s="483"/>
      <c r="H1032" s="483"/>
      <c r="I1032" s="483"/>
      <c r="J1032" s="483"/>
      <c r="K1032" s="483"/>
      <c r="L1032" s="608" t="s">
        <v>4884</v>
      </c>
      <c r="M1032" s="409" t="s">
        <v>4884</v>
      </c>
      <c r="N1032" s="409" t="s">
        <v>4884</v>
      </c>
      <c r="O1032" s="410" t="s">
        <v>4884</v>
      </c>
      <c r="P1032" s="406">
        <v>1029</v>
      </c>
      <c r="Q1032" s="270" t="s">
        <v>1927</v>
      </c>
      <c r="R1032" s="460" t="s">
        <v>1883</v>
      </c>
      <c r="S1032" s="270" t="s">
        <v>1884</v>
      </c>
      <c r="U1032" s="471"/>
      <c r="V1032" s="471"/>
      <c r="W1032" s="516"/>
      <c r="X1032" s="471"/>
      <c r="Y1032" s="206"/>
      <c r="Z1032" s="206"/>
    </row>
    <row r="1033" spans="1:26">
      <c r="A1033" s="406">
        <v>1030</v>
      </c>
      <c r="B1033" s="613" t="s">
        <v>7020</v>
      </c>
      <c r="C1033" s="288" t="s">
        <v>1928</v>
      </c>
      <c r="D1033" s="414" t="s">
        <v>4884</v>
      </c>
      <c r="E1033" s="407" t="s">
        <v>4884</v>
      </c>
      <c r="F1033" s="483"/>
      <c r="G1033" s="483"/>
      <c r="H1033" s="483"/>
      <c r="I1033" s="483"/>
      <c r="J1033" s="483"/>
      <c r="K1033" s="483"/>
      <c r="L1033" s="608" t="s">
        <v>4884</v>
      </c>
      <c r="M1033" s="409" t="s">
        <v>4884</v>
      </c>
      <c r="N1033" s="409" t="s">
        <v>4884</v>
      </c>
      <c r="O1033" s="410" t="s">
        <v>4884</v>
      </c>
      <c r="P1033" s="406">
        <v>1030</v>
      </c>
      <c r="Q1033" s="270" t="s">
        <v>1928</v>
      </c>
      <c r="R1033" s="460" t="s">
        <v>1883</v>
      </c>
      <c r="S1033" s="270" t="s">
        <v>1884</v>
      </c>
      <c r="U1033" s="471"/>
      <c r="V1033" s="471"/>
      <c r="W1033" s="516"/>
      <c r="X1033" s="471"/>
      <c r="Y1033" s="206"/>
      <c r="Z1033" s="206"/>
    </row>
    <row r="1034" spans="1:26">
      <c r="A1034" s="406">
        <v>1031</v>
      </c>
      <c r="B1034" s="613" t="s">
        <v>7020</v>
      </c>
      <c r="C1034" s="288" t="s">
        <v>1929</v>
      </c>
      <c r="D1034" s="414" t="s">
        <v>4884</v>
      </c>
      <c r="E1034" s="407" t="s">
        <v>4884</v>
      </c>
      <c r="F1034" s="483"/>
      <c r="G1034" s="483"/>
      <c r="H1034" s="483"/>
      <c r="I1034" s="483"/>
      <c r="J1034" s="483"/>
      <c r="K1034" s="483"/>
      <c r="L1034" s="608" t="s">
        <v>4884</v>
      </c>
      <c r="M1034" s="409" t="s">
        <v>4884</v>
      </c>
      <c r="N1034" s="409" t="s">
        <v>4884</v>
      </c>
      <c r="O1034" s="410" t="s">
        <v>4884</v>
      </c>
      <c r="P1034" s="406">
        <v>1031</v>
      </c>
      <c r="Q1034" s="270" t="s">
        <v>1929</v>
      </c>
      <c r="R1034" s="460" t="s">
        <v>1883</v>
      </c>
      <c r="S1034" s="270" t="s">
        <v>1884</v>
      </c>
      <c r="U1034" s="471"/>
      <c r="V1034" s="471"/>
      <c r="W1034" s="516"/>
      <c r="X1034" s="471"/>
      <c r="Y1034" s="206"/>
      <c r="Z1034" s="206"/>
    </row>
    <row r="1035" spans="1:26">
      <c r="A1035" s="406">
        <v>1032</v>
      </c>
      <c r="B1035" s="613" t="s">
        <v>7020</v>
      </c>
      <c r="C1035" s="288" t="s">
        <v>1930</v>
      </c>
      <c r="D1035" s="414" t="s">
        <v>4884</v>
      </c>
      <c r="E1035" s="407" t="s">
        <v>4884</v>
      </c>
      <c r="F1035" s="483"/>
      <c r="G1035" s="483"/>
      <c r="H1035" s="483"/>
      <c r="I1035" s="483"/>
      <c r="J1035" s="483"/>
      <c r="K1035" s="483"/>
      <c r="L1035" s="608" t="s">
        <v>4884</v>
      </c>
      <c r="M1035" s="409" t="s">
        <v>4884</v>
      </c>
      <c r="N1035" s="409" t="s">
        <v>4884</v>
      </c>
      <c r="O1035" s="410" t="s">
        <v>4884</v>
      </c>
      <c r="P1035" s="406">
        <v>1032</v>
      </c>
      <c r="Q1035" s="270" t="s">
        <v>1930</v>
      </c>
      <c r="R1035" s="460" t="s">
        <v>1883</v>
      </c>
      <c r="S1035" s="270" t="s">
        <v>1884</v>
      </c>
      <c r="U1035" s="471"/>
      <c r="V1035" s="471"/>
      <c r="W1035" s="516"/>
      <c r="X1035" s="471"/>
      <c r="Y1035" s="206"/>
      <c r="Z1035" s="206"/>
    </row>
    <row r="1036" spans="1:26">
      <c r="A1036" s="406">
        <v>1033</v>
      </c>
      <c r="B1036" s="613" t="s">
        <v>7020</v>
      </c>
      <c r="C1036" s="288" t="s">
        <v>1931</v>
      </c>
      <c r="D1036" s="414" t="s">
        <v>4884</v>
      </c>
      <c r="E1036" s="407" t="s">
        <v>4884</v>
      </c>
      <c r="F1036" s="483"/>
      <c r="G1036" s="483"/>
      <c r="H1036" s="483"/>
      <c r="I1036" s="483"/>
      <c r="J1036" s="483"/>
      <c r="K1036" s="483"/>
      <c r="L1036" s="608" t="s">
        <v>4884</v>
      </c>
      <c r="M1036" s="409" t="s">
        <v>4884</v>
      </c>
      <c r="N1036" s="409" t="s">
        <v>4884</v>
      </c>
      <c r="O1036" s="410" t="s">
        <v>4884</v>
      </c>
      <c r="P1036" s="406">
        <v>1033</v>
      </c>
      <c r="Q1036" s="270" t="s">
        <v>1931</v>
      </c>
      <c r="R1036" s="460" t="s">
        <v>1883</v>
      </c>
      <c r="S1036" s="270" t="s">
        <v>1884</v>
      </c>
      <c r="U1036" s="471"/>
      <c r="V1036" s="471"/>
      <c r="W1036" s="516"/>
      <c r="X1036" s="471"/>
      <c r="Y1036" s="206"/>
      <c r="Z1036" s="206"/>
    </row>
    <row r="1037" spans="1:26">
      <c r="A1037" s="406">
        <v>1034</v>
      </c>
      <c r="B1037" s="613" t="s">
        <v>7020</v>
      </c>
      <c r="C1037" s="288" t="s">
        <v>1932</v>
      </c>
      <c r="D1037" s="414" t="s">
        <v>4884</v>
      </c>
      <c r="E1037" s="407" t="s">
        <v>4884</v>
      </c>
      <c r="F1037" s="483"/>
      <c r="G1037" s="483"/>
      <c r="H1037" s="483"/>
      <c r="I1037" s="483"/>
      <c r="J1037" s="483"/>
      <c r="K1037" s="483"/>
      <c r="L1037" s="608" t="s">
        <v>4884</v>
      </c>
      <c r="M1037" s="409" t="s">
        <v>4884</v>
      </c>
      <c r="N1037" s="409" t="s">
        <v>4884</v>
      </c>
      <c r="O1037" s="410" t="s">
        <v>4884</v>
      </c>
      <c r="P1037" s="406">
        <v>1034</v>
      </c>
      <c r="Q1037" s="270" t="s">
        <v>1932</v>
      </c>
      <c r="R1037" s="460" t="s">
        <v>1883</v>
      </c>
      <c r="S1037" s="270" t="s">
        <v>1884</v>
      </c>
      <c r="U1037" s="471"/>
      <c r="V1037" s="471"/>
      <c r="W1037" s="516"/>
      <c r="X1037" s="471"/>
      <c r="Y1037" s="206"/>
      <c r="Z1037" s="206"/>
    </row>
    <row r="1038" spans="1:26">
      <c r="A1038" s="406">
        <v>1035</v>
      </c>
      <c r="B1038" s="613" t="s">
        <v>7020</v>
      </c>
      <c r="C1038" s="288" t="s">
        <v>1933</v>
      </c>
      <c r="D1038" s="414" t="s">
        <v>4884</v>
      </c>
      <c r="E1038" s="407" t="s">
        <v>4884</v>
      </c>
      <c r="F1038" s="483"/>
      <c r="G1038" s="483"/>
      <c r="H1038" s="483"/>
      <c r="I1038" s="483"/>
      <c r="J1038" s="483"/>
      <c r="K1038" s="483"/>
      <c r="L1038" s="608" t="s">
        <v>4884</v>
      </c>
      <c r="M1038" s="409" t="s">
        <v>4884</v>
      </c>
      <c r="N1038" s="409" t="s">
        <v>4884</v>
      </c>
      <c r="O1038" s="410" t="s">
        <v>4884</v>
      </c>
      <c r="P1038" s="406">
        <v>1035</v>
      </c>
      <c r="Q1038" s="270" t="s">
        <v>1933</v>
      </c>
      <c r="R1038" s="460" t="s">
        <v>1883</v>
      </c>
      <c r="S1038" s="270" t="s">
        <v>1884</v>
      </c>
      <c r="U1038" s="471"/>
      <c r="V1038" s="471"/>
      <c r="W1038" s="516"/>
      <c r="X1038" s="471"/>
      <c r="Y1038" s="206"/>
      <c r="Z1038" s="206"/>
    </row>
    <row r="1039" spans="1:26">
      <c r="A1039" s="406">
        <v>1036</v>
      </c>
      <c r="B1039" s="613" t="s">
        <v>7020</v>
      </c>
      <c r="C1039" s="288" t="s">
        <v>1934</v>
      </c>
      <c r="D1039" s="414" t="s">
        <v>4884</v>
      </c>
      <c r="E1039" s="407" t="s">
        <v>4884</v>
      </c>
      <c r="F1039" s="483"/>
      <c r="G1039" s="483"/>
      <c r="H1039" s="483"/>
      <c r="I1039" s="483"/>
      <c r="J1039" s="483"/>
      <c r="K1039" s="483"/>
      <c r="L1039" s="608" t="s">
        <v>4884</v>
      </c>
      <c r="M1039" s="409" t="s">
        <v>4884</v>
      </c>
      <c r="N1039" s="409" t="s">
        <v>4884</v>
      </c>
      <c r="O1039" s="410" t="s">
        <v>4884</v>
      </c>
      <c r="P1039" s="406">
        <v>1036</v>
      </c>
      <c r="Q1039" s="270" t="s">
        <v>1934</v>
      </c>
      <c r="R1039" s="460" t="s">
        <v>1883</v>
      </c>
      <c r="S1039" s="270" t="s">
        <v>1884</v>
      </c>
      <c r="U1039" s="471"/>
      <c r="V1039" s="471"/>
      <c r="W1039" s="516"/>
      <c r="X1039" s="471"/>
      <c r="Y1039" s="206"/>
      <c r="Z1039" s="206"/>
    </row>
    <row r="1040" spans="1:26">
      <c r="A1040" s="406">
        <v>1037</v>
      </c>
      <c r="B1040" s="613" t="s">
        <v>7020</v>
      </c>
      <c r="C1040" s="288" t="s">
        <v>1935</v>
      </c>
      <c r="D1040" s="414" t="s">
        <v>4884</v>
      </c>
      <c r="E1040" s="407" t="s">
        <v>4884</v>
      </c>
      <c r="F1040" s="483"/>
      <c r="G1040" s="483"/>
      <c r="H1040" s="483"/>
      <c r="I1040" s="483"/>
      <c r="J1040" s="483"/>
      <c r="K1040" s="483"/>
      <c r="L1040" s="608" t="s">
        <v>4884</v>
      </c>
      <c r="M1040" s="409" t="s">
        <v>4884</v>
      </c>
      <c r="N1040" s="409" t="s">
        <v>4884</v>
      </c>
      <c r="O1040" s="410" t="s">
        <v>4884</v>
      </c>
      <c r="P1040" s="406">
        <v>1037</v>
      </c>
      <c r="Q1040" s="270" t="s">
        <v>1935</v>
      </c>
      <c r="R1040" s="460" t="s">
        <v>1883</v>
      </c>
      <c r="S1040" s="270" t="s">
        <v>1884</v>
      </c>
      <c r="U1040" s="471"/>
      <c r="V1040" s="471"/>
      <c r="W1040" s="516"/>
      <c r="X1040" s="471"/>
      <c r="Y1040" s="206"/>
      <c r="Z1040" s="206"/>
    </row>
    <row r="1041" spans="1:26">
      <c r="A1041" s="406">
        <v>1038</v>
      </c>
      <c r="B1041" s="613" t="s">
        <v>7020</v>
      </c>
      <c r="C1041" s="288" t="s">
        <v>1936</v>
      </c>
      <c r="D1041" s="414" t="s">
        <v>4884</v>
      </c>
      <c r="E1041" s="407" t="s">
        <v>4884</v>
      </c>
      <c r="F1041" s="483"/>
      <c r="G1041" s="483"/>
      <c r="H1041" s="483"/>
      <c r="I1041" s="483"/>
      <c r="J1041" s="483"/>
      <c r="K1041" s="483"/>
      <c r="L1041" s="608" t="s">
        <v>4884</v>
      </c>
      <c r="M1041" s="409" t="s">
        <v>4884</v>
      </c>
      <c r="N1041" s="409" t="s">
        <v>4884</v>
      </c>
      <c r="O1041" s="410" t="s">
        <v>4884</v>
      </c>
      <c r="P1041" s="406">
        <v>1038</v>
      </c>
      <c r="Q1041" s="270" t="s">
        <v>1936</v>
      </c>
      <c r="R1041" s="460" t="s">
        <v>1883</v>
      </c>
      <c r="S1041" s="270" t="s">
        <v>1884</v>
      </c>
      <c r="U1041" s="471"/>
      <c r="V1041" s="471"/>
      <c r="W1041" s="516"/>
      <c r="X1041" s="471"/>
      <c r="Y1041" s="206"/>
      <c r="Z1041" s="206"/>
    </row>
    <row r="1042" spans="1:26">
      <c r="A1042" s="406">
        <v>1039</v>
      </c>
      <c r="B1042" s="613" t="s">
        <v>7020</v>
      </c>
      <c r="C1042" s="288" t="s">
        <v>1937</v>
      </c>
      <c r="D1042" s="414" t="s">
        <v>4884</v>
      </c>
      <c r="E1042" s="407" t="s">
        <v>4884</v>
      </c>
      <c r="F1042" s="483"/>
      <c r="G1042" s="483"/>
      <c r="H1042" s="483"/>
      <c r="I1042" s="483"/>
      <c r="J1042" s="483"/>
      <c r="K1042" s="483"/>
      <c r="L1042" s="608" t="s">
        <v>4884</v>
      </c>
      <c r="M1042" s="409" t="s">
        <v>4884</v>
      </c>
      <c r="N1042" s="409" t="s">
        <v>4884</v>
      </c>
      <c r="O1042" s="410" t="s">
        <v>4884</v>
      </c>
      <c r="P1042" s="406">
        <v>1039</v>
      </c>
      <c r="Q1042" s="270" t="s">
        <v>1937</v>
      </c>
      <c r="R1042" s="460" t="s">
        <v>1883</v>
      </c>
      <c r="S1042" s="270" t="s">
        <v>1884</v>
      </c>
      <c r="U1042" s="471"/>
      <c r="V1042" s="471"/>
      <c r="W1042" s="516"/>
      <c r="X1042" s="471"/>
      <c r="Y1042" s="206"/>
      <c r="Z1042" s="206"/>
    </row>
    <row r="1043" spans="1:26">
      <c r="A1043" s="406">
        <v>1040</v>
      </c>
      <c r="B1043" s="613" t="s">
        <v>7020</v>
      </c>
      <c r="C1043" s="288" t="s">
        <v>1938</v>
      </c>
      <c r="D1043" s="414" t="s">
        <v>4884</v>
      </c>
      <c r="E1043" s="407" t="s">
        <v>4884</v>
      </c>
      <c r="F1043" s="483"/>
      <c r="G1043" s="483"/>
      <c r="H1043" s="483"/>
      <c r="I1043" s="483"/>
      <c r="J1043" s="483"/>
      <c r="K1043" s="483"/>
      <c r="L1043" s="608" t="s">
        <v>4884</v>
      </c>
      <c r="M1043" s="409" t="s">
        <v>4884</v>
      </c>
      <c r="N1043" s="409" t="s">
        <v>4884</v>
      </c>
      <c r="O1043" s="410" t="s">
        <v>4884</v>
      </c>
      <c r="P1043" s="406">
        <v>1040</v>
      </c>
      <c r="Q1043" s="270" t="s">
        <v>1938</v>
      </c>
      <c r="R1043" s="460" t="s">
        <v>1883</v>
      </c>
      <c r="S1043" s="270" t="s">
        <v>1884</v>
      </c>
      <c r="U1043" s="471"/>
      <c r="V1043" s="471"/>
      <c r="W1043" s="516"/>
      <c r="X1043" s="471"/>
      <c r="Y1043" s="206"/>
      <c r="Z1043" s="206"/>
    </row>
    <row r="1044" spans="1:26">
      <c r="A1044" s="406">
        <v>1041</v>
      </c>
      <c r="B1044" s="613" t="s">
        <v>7020</v>
      </c>
      <c r="C1044" s="288" t="s">
        <v>1939</v>
      </c>
      <c r="D1044" s="414" t="s">
        <v>4884</v>
      </c>
      <c r="E1044" s="407" t="s">
        <v>4884</v>
      </c>
      <c r="F1044" s="483"/>
      <c r="G1044" s="483"/>
      <c r="H1044" s="483"/>
      <c r="I1044" s="483"/>
      <c r="J1044" s="483"/>
      <c r="K1044" s="483"/>
      <c r="L1044" s="608" t="s">
        <v>4884</v>
      </c>
      <c r="M1044" s="409" t="s">
        <v>4884</v>
      </c>
      <c r="N1044" s="409" t="s">
        <v>4884</v>
      </c>
      <c r="O1044" s="410" t="s">
        <v>4884</v>
      </c>
      <c r="P1044" s="406">
        <v>1041</v>
      </c>
      <c r="Q1044" s="270" t="s">
        <v>1939</v>
      </c>
      <c r="R1044" s="460" t="s">
        <v>1883</v>
      </c>
      <c r="S1044" s="270" t="s">
        <v>1884</v>
      </c>
      <c r="U1044" s="471"/>
      <c r="V1044" s="471"/>
      <c r="W1044" s="516"/>
      <c r="X1044" s="471"/>
      <c r="Y1044" s="206"/>
      <c r="Z1044" s="206"/>
    </row>
    <row r="1045" spans="1:26">
      <c r="A1045" s="406">
        <v>1042</v>
      </c>
      <c r="B1045" s="613" t="s">
        <v>7020</v>
      </c>
      <c r="C1045" s="288" t="s">
        <v>1940</v>
      </c>
      <c r="D1045" s="414" t="s">
        <v>4884</v>
      </c>
      <c r="E1045" s="407" t="s">
        <v>4884</v>
      </c>
      <c r="F1045" s="483"/>
      <c r="G1045" s="483"/>
      <c r="H1045" s="483"/>
      <c r="I1045" s="483"/>
      <c r="J1045" s="483"/>
      <c r="K1045" s="483"/>
      <c r="L1045" s="608" t="s">
        <v>4884</v>
      </c>
      <c r="M1045" s="409" t="s">
        <v>4884</v>
      </c>
      <c r="N1045" s="409" t="s">
        <v>4884</v>
      </c>
      <c r="O1045" s="410" t="s">
        <v>4884</v>
      </c>
      <c r="P1045" s="406">
        <v>1042</v>
      </c>
      <c r="Q1045" s="270" t="s">
        <v>1940</v>
      </c>
      <c r="R1045" s="460" t="s">
        <v>1883</v>
      </c>
      <c r="S1045" s="270" t="s">
        <v>1884</v>
      </c>
      <c r="U1045" s="471"/>
      <c r="V1045" s="471"/>
      <c r="W1045" s="516"/>
      <c r="X1045" s="471"/>
      <c r="Y1045" s="206"/>
      <c r="Z1045" s="206"/>
    </row>
    <row r="1046" spans="1:26">
      <c r="A1046" s="406">
        <v>1043</v>
      </c>
      <c r="B1046" s="613" t="s">
        <v>7020</v>
      </c>
      <c r="C1046" s="288" t="s">
        <v>1941</v>
      </c>
      <c r="D1046" s="414" t="s">
        <v>4884</v>
      </c>
      <c r="E1046" s="407" t="s">
        <v>4884</v>
      </c>
      <c r="F1046" s="483"/>
      <c r="G1046" s="483"/>
      <c r="H1046" s="483"/>
      <c r="I1046" s="483"/>
      <c r="J1046" s="483"/>
      <c r="K1046" s="483"/>
      <c r="L1046" s="608" t="s">
        <v>4884</v>
      </c>
      <c r="M1046" s="409" t="s">
        <v>4884</v>
      </c>
      <c r="N1046" s="409" t="s">
        <v>4884</v>
      </c>
      <c r="O1046" s="410" t="s">
        <v>4884</v>
      </c>
      <c r="P1046" s="406">
        <v>1043</v>
      </c>
      <c r="Q1046" s="270" t="s">
        <v>1941</v>
      </c>
      <c r="R1046" s="460" t="s">
        <v>1883</v>
      </c>
      <c r="S1046" s="270" t="s">
        <v>1884</v>
      </c>
      <c r="U1046" s="471"/>
      <c r="V1046" s="471"/>
      <c r="W1046" s="516"/>
      <c r="X1046" s="471"/>
      <c r="Y1046" s="206"/>
      <c r="Z1046" s="206"/>
    </row>
    <row r="1047" spans="1:26">
      <c r="A1047" s="406">
        <v>1044</v>
      </c>
      <c r="B1047" s="613" t="s">
        <v>7020</v>
      </c>
      <c r="C1047" s="288" t="s">
        <v>1942</v>
      </c>
      <c r="D1047" s="414" t="s">
        <v>4884</v>
      </c>
      <c r="E1047" s="407" t="s">
        <v>4884</v>
      </c>
      <c r="F1047" s="483"/>
      <c r="G1047" s="483"/>
      <c r="H1047" s="483"/>
      <c r="I1047" s="483"/>
      <c r="J1047" s="483"/>
      <c r="K1047" s="483"/>
      <c r="L1047" s="608" t="s">
        <v>4884</v>
      </c>
      <c r="M1047" s="409" t="s">
        <v>4884</v>
      </c>
      <c r="N1047" s="409" t="s">
        <v>4884</v>
      </c>
      <c r="O1047" s="410" t="s">
        <v>4884</v>
      </c>
      <c r="P1047" s="406">
        <v>1044</v>
      </c>
      <c r="Q1047" s="270" t="s">
        <v>1942</v>
      </c>
      <c r="R1047" s="460" t="s">
        <v>1883</v>
      </c>
      <c r="S1047" s="270" t="s">
        <v>1884</v>
      </c>
      <c r="U1047" s="471"/>
      <c r="V1047" s="471"/>
      <c r="W1047" s="516"/>
      <c r="X1047" s="471"/>
      <c r="Y1047" s="206"/>
      <c r="Z1047" s="206"/>
    </row>
    <row r="1048" spans="1:26">
      <c r="A1048" s="406">
        <v>1045</v>
      </c>
      <c r="B1048" s="613" t="s">
        <v>7020</v>
      </c>
      <c r="C1048" s="288" t="s">
        <v>1943</v>
      </c>
      <c r="D1048" s="414" t="s">
        <v>4884</v>
      </c>
      <c r="E1048" s="407" t="s">
        <v>4884</v>
      </c>
      <c r="F1048" s="483"/>
      <c r="G1048" s="483"/>
      <c r="H1048" s="483"/>
      <c r="I1048" s="483"/>
      <c r="J1048" s="483"/>
      <c r="K1048" s="483"/>
      <c r="L1048" s="608" t="s">
        <v>4884</v>
      </c>
      <c r="M1048" s="409" t="s">
        <v>4884</v>
      </c>
      <c r="N1048" s="409" t="s">
        <v>4884</v>
      </c>
      <c r="O1048" s="410" t="s">
        <v>4884</v>
      </c>
      <c r="P1048" s="406">
        <v>1045</v>
      </c>
      <c r="Q1048" s="270" t="s">
        <v>1943</v>
      </c>
      <c r="R1048" s="460" t="s">
        <v>1883</v>
      </c>
      <c r="S1048" s="270" t="s">
        <v>1884</v>
      </c>
      <c r="U1048" s="471"/>
      <c r="V1048" s="471"/>
      <c r="W1048" s="516"/>
      <c r="X1048" s="471"/>
      <c r="Y1048" s="206"/>
      <c r="Z1048" s="206"/>
    </row>
    <row r="1049" spans="1:26">
      <c r="A1049" s="406">
        <v>1046</v>
      </c>
      <c r="B1049" s="613" t="s">
        <v>7020</v>
      </c>
      <c r="C1049" s="288" t="s">
        <v>1944</v>
      </c>
      <c r="D1049" s="414" t="s">
        <v>4884</v>
      </c>
      <c r="E1049" s="407" t="s">
        <v>4884</v>
      </c>
      <c r="F1049" s="483"/>
      <c r="G1049" s="483"/>
      <c r="H1049" s="483"/>
      <c r="I1049" s="483"/>
      <c r="J1049" s="483"/>
      <c r="K1049" s="483"/>
      <c r="L1049" s="608" t="s">
        <v>4884</v>
      </c>
      <c r="M1049" s="409" t="s">
        <v>4884</v>
      </c>
      <c r="N1049" s="409" t="s">
        <v>4884</v>
      </c>
      <c r="O1049" s="410" t="s">
        <v>4884</v>
      </c>
      <c r="P1049" s="406">
        <v>1046</v>
      </c>
      <c r="Q1049" s="270" t="s">
        <v>1944</v>
      </c>
      <c r="R1049" s="460" t="s">
        <v>1883</v>
      </c>
      <c r="S1049" s="270" t="s">
        <v>1884</v>
      </c>
      <c r="U1049" s="471"/>
      <c r="V1049" s="471"/>
      <c r="W1049" s="516"/>
      <c r="X1049" s="471"/>
      <c r="Y1049" s="206"/>
      <c r="Z1049" s="206"/>
    </row>
    <row r="1050" spans="1:26">
      <c r="A1050" s="406">
        <v>1047</v>
      </c>
      <c r="B1050" s="613" t="s">
        <v>7020</v>
      </c>
      <c r="C1050" s="288" t="s">
        <v>1945</v>
      </c>
      <c r="D1050" s="414" t="s">
        <v>4884</v>
      </c>
      <c r="E1050" s="407" t="s">
        <v>4884</v>
      </c>
      <c r="F1050" s="483"/>
      <c r="G1050" s="483"/>
      <c r="H1050" s="483"/>
      <c r="I1050" s="483"/>
      <c r="J1050" s="483"/>
      <c r="K1050" s="483"/>
      <c r="L1050" s="608" t="s">
        <v>4884</v>
      </c>
      <c r="M1050" s="409" t="s">
        <v>4884</v>
      </c>
      <c r="N1050" s="409" t="s">
        <v>4884</v>
      </c>
      <c r="O1050" s="410" t="s">
        <v>4884</v>
      </c>
      <c r="P1050" s="406">
        <v>1047</v>
      </c>
      <c r="Q1050" s="270" t="s">
        <v>1945</v>
      </c>
      <c r="R1050" s="460" t="s">
        <v>1883</v>
      </c>
      <c r="S1050" s="270" t="s">
        <v>1884</v>
      </c>
      <c r="U1050" s="471"/>
      <c r="V1050" s="471"/>
      <c r="W1050" s="516"/>
      <c r="X1050" s="471"/>
      <c r="Y1050" s="206"/>
      <c r="Z1050" s="206"/>
    </row>
    <row r="1051" spans="1:26">
      <c r="A1051" s="406">
        <v>1048</v>
      </c>
      <c r="B1051" s="613" t="s">
        <v>7020</v>
      </c>
      <c r="C1051" s="288" t="s">
        <v>1946</v>
      </c>
      <c r="D1051" s="414" t="s">
        <v>4884</v>
      </c>
      <c r="E1051" s="407" t="s">
        <v>4884</v>
      </c>
      <c r="F1051" s="483"/>
      <c r="G1051" s="483"/>
      <c r="H1051" s="483"/>
      <c r="I1051" s="483"/>
      <c r="J1051" s="483"/>
      <c r="K1051" s="483"/>
      <c r="L1051" s="608" t="s">
        <v>4884</v>
      </c>
      <c r="M1051" s="409" t="s">
        <v>4884</v>
      </c>
      <c r="N1051" s="409" t="s">
        <v>4884</v>
      </c>
      <c r="O1051" s="410" t="s">
        <v>4884</v>
      </c>
      <c r="P1051" s="406">
        <v>1048</v>
      </c>
      <c r="Q1051" s="270" t="s">
        <v>1946</v>
      </c>
      <c r="R1051" s="460" t="s">
        <v>1883</v>
      </c>
      <c r="S1051" s="270" t="s">
        <v>1884</v>
      </c>
      <c r="U1051" s="471"/>
      <c r="V1051" s="471"/>
      <c r="W1051" s="516"/>
      <c r="X1051" s="471"/>
      <c r="Y1051" s="206"/>
      <c r="Z1051" s="206"/>
    </row>
    <row r="1052" spans="1:26">
      <c r="A1052" s="406">
        <v>1049</v>
      </c>
      <c r="B1052" s="613" t="s">
        <v>7020</v>
      </c>
      <c r="C1052" s="288" t="s">
        <v>1947</v>
      </c>
      <c r="D1052" s="414" t="s">
        <v>4884</v>
      </c>
      <c r="E1052" s="407" t="s">
        <v>4884</v>
      </c>
      <c r="F1052" s="483"/>
      <c r="G1052" s="483"/>
      <c r="H1052" s="483"/>
      <c r="I1052" s="483"/>
      <c r="J1052" s="483"/>
      <c r="K1052" s="483"/>
      <c r="L1052" s="608" t="s">
        <v>4884</v>
      </c>
      <c r="M1052" s="409" t="s">
        <v>4884</v>
      </c>
      <c r="N1052" s="409" t="s">
        <v>4884</v>
      </c>
      <c r="O1052" s="410" t="s">
        <v>4884</v>
      </c>
      <c r="P1052" s="406">
        <v>1049</v>
      </c>
      <c r="Q1052" s="270" t="s">
        <v>1947</v>
      </c>
      <c r="R1052" s="460" t="s">
        <v>1883</v>
      </c>
      <c r="S1052" s="270" t="s">
        <v>1884</v>
      </c>
      <c r="U1052" s="471"/>
      <c r="V1052" s="471"/>
      <c r="W1052" s="516"/>
      <c r="X1052" s="471"/>
      <c r="Y1052" s="206"/>
      <c r="Z1052" s="206"/>
    </row>
    <row r="1053" spans="1:26">
      <c r="A1053" s="406">
        <v>1050</v>
      </c>
      <c r="B1053" s="613" t="s">
        <v>7020</v>
      </c>
      <c r="C1053" s="288" t="s">
        <v>1948</v>
      </c>
      <c r="D1053" s="414" t="s">
        <v>4884</v>
      </c>
      <c r="E1053" s="407" t="s">
        <v>4884</v>
      </c>
      <c r="F1053" s="483"/>
      <c r="G1053" s="483"/>
      <c r="H1053" s="483"/>
      <c r="I1053" s="483"/>
      <c r="J1053" s="483"/>
      <c r="K1053" s="483"/>
      <c r="L1053" s="608" t="s">
        <v>4884</v>
      </c>
      <c r="M1053" s="409" t="s">
        <v>4884</v>
      </c>
      <c r="N1053" s="409" t="s">
        <v>4884</v>
      </c>
      <c r="O1053" s="410" t="s">
        <v>4884</v>
      </c>
      <c r="P1053" s="406">
        <v>1050</v>
      </c>
      <c r="Q1053" s="270" t="s">
        <v>1948</v>
      </c>
      <c r="R1053" s="460" t="s">
        <v>1883</v>
      </c>
      <c r="S1053" s="270" t="s">
        <v>1884</v>
      </c>
      <c r="U1053" s="471"/>
      <c r="V1053" s="471"/>
      <c r="W1053" s="516"/>
      <c r="X1053" s="471"/>
      <c r="Y1053" s="206"/>
      <c r="Z1053" s="206"/>
    </row>
    <row r="1054" spans="1:26">
      <c r="A1054" s="406">
        <v>1051</v>
      </c>
      <c r="B1054" s="613" t="s">
        <v>7020</v>
      </c>
      <c r="C1054" s="288" t="s">
        <v>1949</v>
      </c>
      <c r="D1054" s="414" t="s">
        <v>4884</v>
      </c>
      <c r="E1054" s="407" t="s">
        <v>4884</v>
      </c>
      <c r="F1054" s="483"/>
      <c r="G1054" s="483"/>
      <c r="H1054" s="483"/>
      <c r="I1054" s="483"/>
      <c r="J1054" s="483"/>
      <c r="K1054" s="483"/>
      <c r="L1054" s="608" t="s">
        <v>4884</v>
      </c>
      <c r="M1054" s="409" t="s">
        <v>4884</v>
      </c>
      <c r="N1054" s="409" t="s">
        <v>4884</v>
      </c>
      <c r="O1054" s="410" t="s">
        <v>4884</v>
      </c>
      <c r="P1054" s="406">
        <v>1051</v>
      </c>
      <c r="Q1054" s="270" t="s">
        <v>1949</v>
      </c>
      <c r="R1054" s="460" t="s">
        <v>1883</v>
      </c>
      <c r="S1054" s="270" t="s">
        <v>1884</v>
      </c>
      <c r="U1054" s="471"/>
      <c r="V1054" s="471"/>
      <c r="W1054" s="516"/>
      <c r="X1054" s="471"/>
      <c r="Y1054" s="206"/>
      <c r="Z1054" s="206"/>
    </row>
    <row r="1055" spans="1:26">
      <c r="A1055" s="406">
        <v>1052</v>
      </c>
      <c r="B1055" s="613" t="s">
        <v>7020</v>
      </c>
      <c r="C1055" s="288" t="s">
        <v>1950</v>
      </c>
      <c r="D1055" s="414" t="s">
        <v>4884</v>
      </c>
      <c r="E1055" s="407" t="s">
        <v>4884</v>
      </c>
      <c r="F1055" s="483"/>
      <c r="G1055" s="483"/>
      <c r="H1055" s="483"/>
      <c r="I1055" s="483"/>
      <c r="J1055" s="483"/>
      <c r="K1055" s="483"/>
      <c r="L1055" s="608" t="s">
        <v>4884</v>
      </c>
      <c r="M1055" s="409" t="s">
        <v>4884</v>
      </c>
      <c r="N1055" s="409" t="s">
        <v>4884</v>
      </c>
      <c r="O1055" s="410" t="s">
        <v>4884</v>
      </c>
      <c r="P1055" s="406">
        <v>1052</v>
      </c>
      <c r="Q1055" s="270" t="s">
        <v>1950</v>
      </c>
      <c r="R1055" s="460" t="s">
        <v>1883</v>
      </c>
      <c r="S1055" s="270" t="s">
        <v>1884</v>
      </c>
      <c r="U1055" s="471"/>
      <c r="V1055" s="471"/>
      <c r="W1055" s="516"/>
      <c r="X1055" s="471"/>
      <c r="Y1055" s="206"/>
      <c r="Z1055" s="206"/>
    </row>
    <row r="1056" spans="1:26">
      <c r="A1056" s="406">
        <v>1053</v>
      </c>
      <c r="B1056" s="613" t="s">
        <v>7020</v>
      </c>
      <c r="C1056" s="288" t="s">
        <v>1951</v>
      </c>
      <c r="D1056" s="414" t="s">
        <v>4884</v>
      </c>
      <c r="E1056" s="407" t="s">
        <v>4884</v>
      </c>
      <c r="F1056" s="483"/>
      <c r="G1056" s="483"/>
      <c r="H1056" s="483"/>
      <c r="I1056" s="483"/>
      <c r="J1056" s="483"/>
      <c r="K1056" s="483"/>
      <c r="L1056" s="608" t="s">
        <v>4884</v>
      </c>
      <c r="M1056" s="409" t="s">
        <v>4884</v>
      </c>
      <c r="N1056" s="409" t="s">
        <v>4884</v>
      </c>
      <c r="O1056" s="410" t="s">
        <v>4884</v>
      </c>
      <c r="P1056" s="406">
        <v>1053</v>
      </c>
      <c r="Q1056" s="270" t="s">
        <v>1951</v>
      </c>
      <c r="R1056" s="460" t="s">
        <v>1883</v>
      </c>
      <c r="S1056" s="270" t="s">
        <v>1884</v>
      </c>
      <c r="U1056" s="471"/>
      <c r="V1056" s="471"/>
      <c r="W1056" s="471"/>
      <c r="X1056" s="471"/>
      <c r="Y1056" s="206"/>
      <c r="Z1056" s="206"/>
    </row>
    <row r="1057" spans="1:26">
      <c r="A1057" s="406">
        <v>1054</v>
      </c>
      <c r="B1057" s="613" t="s">
        <v>7020</v>
      </c>
      <c r="C1057" s="288" t="s">
        <v>1952</v>
      </c>
      <c r="D1057" s="414" t="s">
        <v>4884</v>
      </c>
      <c r="E1057" s="407" t="s">
        <v>4884</v>
      </c>
      <c r="F1057" s="483"/>
      <c r="G1057" s="483"/>
      <c r="H1057" s="483"/>
      <c r="I1057" s="483"/>
      <c r="J1057" s="483"/>
      <c r="K1057" s="483"/>
      <c r="L1057" s="608" t="s">
        <v>4884</v>
      </c>
      <c r="M1057" s="409" t="s">
        <v>4884</v>
      </c>
      <c r="N1057" s="409" t="s">
        <v>4884</v>
      </c>
      <c r="O1057" s="410" t="s">
        <v>4884</v>
      </c>
      <c r="P1057" s="406">
        <v>1054</v>
      </c>
      <c r="Q1057" s="270" t="s">
        <v>1952</v>
      </c>
      <c r="R1057" s="460" t="s">
        <v>1883</v>
      </c>
      <c r="S1057" s="270" t="s">
        <v>1884</v>
      </c>
      <c r="U1057" s="471"/>
      <c r="V1057" s="471"/>
      <c r="W1057" s="502"/>
      <c r="X1057" s="471"/>
      <c r="Y1057" s="206"/>
      <c r="Z1057" s="206"/>
    </row>
    <row r="1058" spans="1:26">
      <c r="A1058" s="406">
        <v>1055</v>
      </c>
      <c r="B1058" s="613" t="s">
        <v>7020</v>
      </c>
      <c r="C1058" s="288" t="s">
        <v>1953</v>
      </c>
      <c r="D1058" s="414" t="s">
        <v>4884</v>
      </c>
      <c r="E1058" s="407" t="s">
        <v>4884</v>
      </c>
      <c r="F1058" s="483"/>
      <c r="G1058" s="483"/>
      <c r="H1058" s="483"/>
      <c r="I1058" s="483"/>
      <c r="J1058" s="483"/>
      <c r="K1058" s="483"/>
      <c r="L1058" s="608" t="s">
        <v>4884</v>
      </c>
      <c r="M1058" s="409" t="s">
        <v>4884</v>
      </c>
      <c r="N1058" s="409" t="s">
        <v>4884</v>
      </c>
      <c r="O1058" s="410" t="s">
        <v>4884</v>
      </c>
      <c r="P1058" s="406">
        <v>1055</v>
      </c>
      <c r="Q1058" s="270" t="s">
        <v>1953</v>
      </c>
      <c r="R1058" s="460" t="s">
        <v>1883</v>
      </c>
      <c r="S1058" s="270" t="s">
        <v>1884</v>
      </c>
      <c r="U1058" s="471"/>
      <c r="V1058" s="471"/>
      <c r="W1058" s="502"/>
      <c r="X1058" s="471"/>
      <c r="Y1058" s="206"/>
      <c r="Z1058" s="206"/>
    </row>
    <row r="1059" spans="1:26">
      <c r="A1059" s="406">
        <v>1056</v>
      </c>
      <c r="B1059" s="613" t="s">
        <v>7020</v>
      </c>
      <c r="C1059" s="288" t="s">
        <v>1954</v>
      </c>
      <c r="D1059" s="414" t="s">
        <v>4884</v>
      </c>
      <c r="E1059" s="407" t="s">
        <v>4884</v>
      </c>
      <c r="F1059" s="483"/>
      <c r="G1059" s="483"/>
      <c r="H1059" s="483"/>
      <c r="I1059" s="483"/>
      <c r="J1059" s="483"/>
      <c r="K1059" s="483"/>
      <c r="L1059" s="608" t="s">
        <v>4884</v>
      </c>
      <c r="M1059" s="409" t="s">
        <v>4884</v>
      </c>
      <c r="N1059" s="409" t="s">
        <v>4884</v>
      </c>
      <c r="O1059" s="410" t="s">
        <v>4884</v>
      </c>
      <c r="P1059" s="406">
        <v>1056</v>
      </c>
      <c r="Q1059" s="270" t="s">
        <v>1954</v>
      </c>
      <c r="R1059" s="460" t="s">
        <v>1883</v>
      </c>
      <c r="S1059" s="270" t="s">
        <v>1884</v>
      </c>
      <c r="U1059" s="471"/>
      <c r="V1059" s="471"/>
      <c r="W1059" s="502"/>
      <c r="X1059" s="471"/>
      <c r="Y1059" s="206"/>
      <c r="Z1059" s="206"/>
    </row>
    <row r="1060" spans="1:26">
      <c r="A1060" s="406">
        <v>1057</v>
      </c>
      <c r="B1060" s="613" t="s">
        <v>7020</v>
      </c>
      <c r="C1060" s="288" t="s">
        <v>1955</v>
      </c>
      <c r="D1060" s="414" t="s">
        <v>4884</v>
      </c>
      <c r="E1060" s="407" t="s">
        <v>4884</v>
      </c>
      <c r="F1060" s="483"/>
      <c r="G1060" s="483"/>
      <c r="H1060" s="483"/>
      <c r="I1060" s="483"/>
      <c r="J1060" s="483"/>
      <c r="K1060" s="483"/>
      <c r="L1060" s="608" t="s">
        <v>4884</v>
      </c>
      <c r="M1060" s="409" t="s">
        <v>4884</v>
      </c>
      <c r="N1060" s="409" t="s">
        <v>4884</v>
      </c>
      <c r="O1060" s="410" t="s">
        <v>4884</v>
      </c>
      <c r="P1060" s="406">
        <v>1057</v>
      </c>
      <c r="Q1060" s="270" t="s">
        <v>1955</v>
      </c>
      <c r="R1060" s="460" t="s">
        <v>1883</v>
      </c>
      <c r="S1060" s="270" t="s">
        <v>1884</v>
      </c>
      <c r="U1060" s="471"/>
      <c r="V1060" s="471"/>
      <c r="W1060" s="502"/>
      <c r="X1060" s="471"/>
      <c r="Y1060" s="206"/>
      <c r="Z1060" s="206"/>
    </row>
    <row r="1061" spans="1:26">
      <c r="A1061" s="406">
        <v>1058</v>
      </c>
      <c r="B1061" s="613" t="s">
        <v>7020</v>
      </c>
      <c r="C1061" s="288" t="s">
        <v>1956</v>
      </c>
      <c r="D1061" s="414" t="s">
        <v>4884</v>
      </c>
      <c r="E1061" s="407" t="s">
        <v>4884</v>
      </c>
      <c r="F1061" s="483"/>
      <c r="G1061" s="483"/>
      <c r="H1061" s="483"/>
      <c r="I1061" s="483"/>
      <c r="J1061" s="483"/>
      <c r="K1061" s="483"/>
      <c r="L1061" s="608" t="s">
        <v>4884</v>
      </c>
      <c r="M1061" s="409" t="s">
        <v>4884</v>
      </c>
      <c r="N1061" s="409" t="s">
        <v>4884</v>
      </c>
      <c r="O1061" s="410" t="s">
        <v>4884</v>
      </c>
      <c r="P1061" s="406">
        <v>1058</v>
      </c>
      <c r="Q1061" s="270" t="s">
        <v>1956</v>
      </c>
      <c r="R1061" s="460" t="s">
        <v>1883</v>
      </c>
      <c r="S1061" s="270" t="s">
        <v>1884</v>
      </c>
      <c r="U1061" s="471"/>
      <c r="V1061" s="471"/>
      <c r="W1061" s="502"/>
      <c r="X1061" s="471"/>
      <c r="Y1061" s="206"/>
      <c r="Z1061" s="206"/>
    </row>
    <row r="1062" spans="1:26">
      <c r="A1062" s="406">
        <v>1059</v>
      </c>
      <c r="B1062" s="613" t="s">
        <v>7020</v>
      </c>
      <c r="C1062" s="288" t="s">
        <v>1957</v>
      </c>
      <c r="D1062" s="414" t="s">
        <v>4884</v>
      </c>
      <c r="E1062" s="407" t="s">
        <v>4884</v>
      </c>
      <c r="F1062" s="483"/>
      <c r="G1062" s="483"/>
      <c r="H1062" s="483"/>
      <c r="I1062" s="483"/>
      <c r="J1062" s="483"/>
      <c r="K1062" s="483"/>
      <c r="L1062" s="608" t="s">
        <v>4884</v>
      </c>
      <c r="M1062" s="409" t="s">
        <v>4884</v>
      </c>
      <c r="N1062" s="409" t="s">
        <v>4884</v>
      </c>
      <c r="O1062" s="410" t="s">
        <v>4884</v>
      </c>
      <c r="P1062" s="406">
        <v>1059</v>
      </c>
      <c r="Q1062" s="270" t="s">
        <v>1957</v>
      </c>
      <c r="R1062" s="460" t="s">
        <v>1883</v>
      </c>
      <c r="S1062" s="270" t="s">
        <v>1884</v>
      </c>
      <c r="U1062" s="471"/>
      <c r="V1062" s="471"/>
      <c r="W1062" s="502"/>
      <c r="X1062" s="471"/>
      <c r="Y1062" s="206"/>
      <c r="Z1062" s="206"/>
    </row>
    <row r="1063" spans="1:26">
      <c r="A1063" s="406">
        <v>1060</v>
      </c>
      <c r="B1063" s="613" t="s">
        <v>7020</v>
      </c>
      <c r="C1063" s="288" t="s">
        <v>1958</v>
      </c>
      <c r="D1063" s="414" t="s">
        <v>4884</v>
      </c>
      <c r="E1063" s="407" t="s">
        <v>4884</v>
      </c>
      <c r="F1063" s="483"/>
      <c r="G1063" s="483"/>
      <c r="H1063" s="483"/>
      <c r="I1063" s="483"/>
      <c r="J1063" s="483"/>
      <c r="K1063" s="483"/>
      <c r="L1063" s="608" t="s">
        <v>4884</v>
      </c>
      <c r="M1063" s="409" t="s">
        <v>4884</v>
      </c>
      <c r="N1063" s="409" t="s">
        <v>4884</v>
      </c>
      <c r="O1063" s="410" t="s">
        <v>4884</v>
      </c>
      <c r="P1063" s="406">
        <v>1060</v>
      </c>
      <c r="Q1063" s="270" t="s">
        <v>1958</v>
      </c>
      <c r="R1063" s="460" t="s">
        <v>1883</v>
      </c>
      <c r="S1063" s="270" t="s">
        <v>1884</v>
      </c>
      <c r="U1063" s="471"/>
      <c r="V1063" s="471"/>
      <c r="W1063" s="517"/>
      <c r="X1063" s="471"/>
      <c r="Y1063" s="206"/>
      <c r="Z1063" s="206"/>
    </row>
    <row r="1064" spans="1:26">
      <c r="A1064" s="406">
        <v>1061</v>
      </c>
      <c r="B1064" s="613" t="s">
        <v>7020</v>
      </c>
      <c r="C1064" s="288" t="s">
        <v>1959</v>
      </c>
      <c r="D1064" s="414" t="s">
        <v>4884</v>
      </c>
      <c r="E1064" s="407" t="s">
        <v>4884</v>
      </c>
      <c r="F1064" s="483"/>
      <c r="G1064" s="483"/>
      <c r="H1064" s="483"/>
      <c r="I1064" s="483"/>
      <c r="J1064" s="483"/>
      <c r="K1064" s="483"/>
      <c r="L1064" s="608" t="s">
        <v>4884</v>
      </c>
      <c r="M1064" s="409" t="s">
        <v>4884</v>
      </c>
      <c r="N1064" s="409" t="s">
        <v>4884</v>
      </c>
      <c r="O1064" s="410" t="s">
        <v>4884</v>
      </c>
      <c r="P1064" s="406">
        <v>1061</v>
      </c>
      <c r="Q1064" s="270" t="s">
        <v>1959</v>
      </c>
      <c r="R1064" s="460" t="s">
        <v>1883</v>
      </c>
      <c r="S1064" s="270" t="s">
        <v>1884</v>
      </c>
      <c r="U1064" s="471"/>
      <c r="V1064" s="471"/>
      <c r="W1064" s="517"/>
      <c r="X1064" s="471"/>
      <c r="Y1064" s="206"/>
      <c r="Z1064" s="206"/>
    </row>
    <row r="1065" spans="1:26">
      <c r="A1065" s="406">
        <v>1062</v>
      </c>
      <c r="B1065" s="613" t="s">
        <v>7020</v>
      </c>
      <c r="C1065" s="288" t="s">
        <v>1960</v>
      </c>
      <c r="D1065" s="414" t="s">
        <v>4884</v>
      </c>
      <c r="E1065" s="407" t="s">
        <v>4884</v>
      </c>
      <c r="F1065" s="483"/>
      <c r="G1065" s="483"/>
      <c r="H1065" s="483"/>
      <c r="I1065" s="483"/>
      <c r="J1065" s="483"/>
      <c r="K1065" s="483"/>
      <c r="L1065" s="608" t="s">
        <v>4884</v>
      </c>
      <c r="M1065" s="409" t="s">
        <v>4884</v>
      </c>
      <c r="N1065" s="409" t="s">
        <v>4884</v>
      </c>
      <c r="O1065" s="410" t="s">
        <v>4884</v>
      </c>
      <c r="P1065" s="406">
        <v>1062</v>
      </c>
      <c r="Q1065" s="270" t="s">
        <v>1960</v>
      </c>
      <c r="R1065" s="460" t="s">
        <v>1883</v>
      </c>
      <c r="S1065" s="270" t="s">
        <v>1884</v>
      </c>
      <c r="U1065" s="471"/>
      <c r="V1065" s="471"/>
      <c r="W1065" s="518"/>
      <c r="X1065" s="471"/>
      <c r="Y1065" s="206"/>
      <c r="Z1065" s="206"/>
    </row>
    <row r="1066" spans="1:26">
      <c r="A1066" s="406">
        <v>1063</v>
      </c>
      <c r="B1066" s="613" t="s">
        <v>7020</v>
      </c>
      <c r="C1066" s="288" t="s">
        <v>1961</v>
      </c>
      <c r="D1066" s="414" t="s">
        <v>4884</v>
      </c>
      <c r="E1066" s="407" t="s">
        <v>4884</v>
      </c>
      <c r="F1066" s="483"/>
      <c r="G1066" s="483"/>
      <c r="H1066" s="483"/>
      <c r="I1066" s="483"/>
      <c r="J1066" s="483"/>
      <c r="K1066" s="483"/>
      <c r="L1066" s="608" t="s">
        <v>4884</v>
      </c>
      <c r="M1066" s="409" t="s">
        <v>4884</v>
      </c>
      <c r="N1066" s="409" t="s">
        <v>4884</v>
      </c>
      <c r="O1066" s="410" t="s">
        <v>4884</v>
      </c>
      <c r="P1066" s="406">
        <v>1063</v>
      </c>
      <c r="Q1066" s="270" t="s">
        <v>1961</v>
      </c>
      <c r="R1066" s="460" t="s">
        <v>1883</v>
      </c>
      <c r="S1066" s="270" t="s">
        <v>1884</v>
      </c>
      <c r="U1066" s="471"/>
      <c r="V1066" s="471"/>
      <c r="W1066" s="518"/>
      <c r="X1066" s="471"/>
      <c r="Y1066" s="206"/>
      <c r="Z1066" s="206"/>
    </row>
    <row r="1067" spans="1:26">
      <c r="A1067" s="406">
        <v>1064</v>
      </c>
      <c r="B1067" s="613" t="s">
        <v>7020</v>
      </c>
      <c r="C1067" s="288" t="s">
        <v>1962</v>
      </c>
      <c r="D1067" s="414" t="s">
        <v>4884</v>
      </c>
      <c r="E1067" s="407" t="s">
        <v>4884</v>
      </c>
      <c r="F1067" s="483"/>
      <c r="G1067" s="483"/>
      <c r="H1067" s="483"/>
      <c r="I1067" s="483"/>
      <c r="J1067" s="483"/>
      <c r="K1067" s="483"/>
      <c r="L1067" s="608" t="s">
        <v>4884</v>
      </c>
      <c r="M1067" s="409" t="s">
        <v>4884</v>
      </c>
      <c r="N1067" s="409" t="s">
        <v>4884</v>
      </c>
      <c r="O1067" s="410" t="s">
        <v>4884</v>
      </c>
      <c r="P1067" s="406">
        <v>1064</v>
      </c>
      <c r="Q1067" s="270" t="s">
        <v>1962</v>
      </c>
      <c r="R1067" s="460" t="s">
        <v>1883</v>
      </c>
      <c r="S1067" s="270" t="s">
        <v>1884</v>
      </c>
      <c r="U1067" s="471"/>
      <c r="V1067" s="471"/>
      <c r="W1067" s="519"/>
      <c r="X1067" s="471"/>
      <c r="Y1067" s="206"/>
      <c r="Z1067" s="206"/>
    </row>
    <row r="1068" spans="1:26">
      <c r="A1068" s="406">
        <v>1065</v>
      </c>
      <c r="B1068" s="613" t="s">
        <v>7020</v>
      </c>
      <c r="C1068" s="288" t="s">
        <v>1963</v>
      </c>
      <c r="D1068" s="414" t="s">
        <v>4884</v>
      </c>
      <c r="E1068" s="407" t="s">
        <v>4884</v>
      </c>
      <c r="F1068" s="483"/>
      <c r="G1068" s="483"/>
      <c r="H1068" s="483"/>
      <c r="I1068" s="483"/>
      <c r="J1068" s="483"/>
      <c r="K1068" s="483"/>
      <c r="L1068" s="608" t="s">
        <v>4884</v>
      </c>
      <c r="M1068" s="409" t="s">
        <v>4884</v>
      </c>
      <c r="N1068" s="409" t="s">
        <v>4884</v>
      </c>
      <c r="O1068" s="410" t="s">
        <v>4884</v>
      </c>
      <c r="P1068" s="406">
        <v>1065</v>
      </c>
      <c r="Q1068" s="270" t="s">
        <v>1963</v>
      </c>
      <c r="R1068" s="460" t="s">
        <v>1883</v>
      </c>
      <c r="S1068" s="270" t="s">
        <v>1884</v>
      </c>
      <c r="U1068" s="471"/>
      <c r="V1068" s="471"/>
      <c r="W1068" s="519"/>
      <c r="X1068" s="471"/>
      <c r="Y1068" s="206"/>
      <c r="Z1068" s="206"/>
    </row>
    <row r="1069" spans="1:26">
      <c r="A1069" s="406">
        <v>1066</v>
      </c>
      <c r="B1069" s="613" t="s">
        <v>7020</v>
      </c>
      <c r="C1069" s="288" t="s">
        <v>1964</v>
      </c>
      <c r="D1069" s="414" t="s">
        <v>4884</v>
      </c>
      <c r="E1069" s="407" t="s">
        <v>4884</v>
      </c>
      <c r="F1069" s="483"/>
      <c r="G1069" s="483"/>
      <c r="H1069" s="483"/>
      <c r="I1069" s="483"/>
      <c r="J1069" s="483"/>
      <c r="K1069" s="483"/>
      <c r="L1069" s="608" t="s">
        <v>4884</v>
      </c>
      <c r="M1069" s="409" t="s">
        <v>4884</v>
      </c>
      <c r="N1069" s="409" t="s">
        <v>4884</v>
      </c>
      <c r="O1069" s="410" t="s">
        <v>4884</v>
      </c>
      <c r="P1069" s="406">
        <v>1066</v>
      </c>
      <c r="Q1069" s="270" t="s">
        <v>1964</v>
      </c>
      <c r="R1069" s="460" t="s">
        <v>1883</v>
      </c>
      <c r="S1069" s="270" t="s">
        <v>1884</v>
      </c>
      <c r="U1069" s="471"/>
      <c r="V1069" s="471"/>
      <c r="W1069" s="499"/>
      <c r="X1069" s="471"/>
      <c r="Y1069" s="206"/>
      <c r="Z1069" s="206"/>
    </row>
    <row r="1070" spans="1:26">
      <c r="A1070" s="406">
        <v>1067</v>
      </c>
      <c r="B1070" s="613" t="s">
        <v>7020</v>
      </c>
      <c r="C1070" s="288" t="s">
        <v>1965</v>
      </c>
      <c r="D1070" s="414" t="s">
        <v>4884</v>
      </c>
      <c r="E1070" s="407" t="s">
        <v>4884</v>
      </c>
      <c r="F1070" s="483"/>
      <c r="G1070" s="483"/>
      <c r="H1070" s="483"/>
      <c r="I1070" s="483"/>
      <c r="J1070" s="483"/>
      <c r="K1070" s="483"/>
      <c r="L1070" s="608" t="s">
        <v>4884</v>
      </c>
      <c r="M1070" s="409" t="s">
        <v>4884</v>
      </c>
      <c r="N1070" s="409" t="s">
        <v>4884</v>
      </c>
      <c r="O1070" s="410" t="s">
        <v>4884</v>
      </c>
      <c r="P1070" s="406">
        <v>1067</v>
      </c>
      <c r="Q1070" s="270" t="s">
        <v>1965</v>
      </c>
      <c r="R1070" s="460" t="s">
        <v>1883</v>
      </c>
      <c r="S1070" s="270" t="s">
        <v>1884</v>
      </c>
      <c r="U1070" s="471"/>
      <c r="V1070" s="471"/>
      <c r="W1070" s="499"/>
      <c r="X1070" s="471"/>
      <c r="Y1070" s="206"/>
      <c r="Z1070" s="206"/>
    </row>
    <row r="1071" spans="1:26">
      <c r="A1071" s="406">
        <v>1068</v>
      </c>
      <c r="B1071" s="613" t="s">
        <v>7020</v>
      </c>
      <c r="C1071" s="288" t="s">
        <v>1966</v>
      </c>
      <c r="D1071" s="414" t="s">
        <v>4884</v>
      </c>
      <c r="E1071" s="407" t="s">
        <v>4884</v>
      </c>
      <c r="F1071" s="483"/>
      <c r="G1071" s="483"/>
      <c r="H1071" s="483"/>
      <c r="I1071" s="483"/>
      <c r="J1071" s="483"/>
      <c r="K1071" s="483"/>
      <c r="L1071" s="608" t="s">
        <v>4884</v>
      </c>
      <c r="M1071" s="409" t="s">
        <v>4884</v>
      </c>
      <c r="N1071" s="409" t="s">
        <v>4884</v>
      </c>
      <c r="O1071" s="410" t="s">
        <v>4884</v>
      </c>
      <c r="P1071" s="406">
        <v>1068</v>
      </c>
      <c r="Q1071" s="270" t="s">
        <v>1966</v>
      </c>
      <c r="R1071" s="460" t="s">
        <v>1883</v>
      </c>
      <c r="S1071" s="270" t="s">
        <v>1884</v>
      </c>
      <c r="U1071" s="471"/>
      <c r="V1071" s="471"/>
      <c r="W1071" s="499"/>
      <c r="X1071" s="471"/>
      <c r="Y1071" s="206"/>
      <c r="Z1071" s="206"/>
    </row>
    <row r="1072" spans="1:26">
      <c r="A1072" s="406">
        <v>1069</v>
      </c>
      <c r="B1072" s="613" t="s">
        <v>7020</v>
      </c>
      <c r="C1072" s="288" t="s">
        <v>1967</v>
      </c>
      <c r="D1072" s="414" t="s">
        <v>4884</v>
      </c>
      <c r="E1072" s="407" t="s">
        <v>4884</v>
      </c>
      <c r="F1072" s="483"/>
      <c r="G1072" s="483"/>
      <c r="H1072" s="483"/>
      <c r="I1072" s="483"/>
      <c r="J1072" s="483"/>
      <c r="K1072" s="483"/>
      <c r="L1072" s="608" t="s">
        <v>4884</v>
      </c>
      <c r="M1072" s="409" t="s">
        <v>4884</v>
      </c>
      <c r="N1072" s="409" t="s">
        <v>4884</v>
      </c>
      <c r="O1072" s="410" t="s">
        <v>4884</v>
      </c>
      <c r="P1072" s="406">
        <v>1069</v>
      </c>
      <c r="Q1072" s="270" t="s">
        <v>1967</v>
      </c>
      <c r="R1072" s="460" t="s">
        <v>1883</v>
      </c>
      <c r="S1072" s="270" t="s">
        <v>1884</v>
      </c>
      <c r="U1072" s="471"/>
      <c r="V1072" s="471"/>
      <c r="W1072" s="499"/>
      <c r="X1072" s="471"/>
      <c r="Y1072" s="206"/>
      <c r="Z1072" s="206"/>
    </row>
    <row r="1073" spans="1:26">
      <c r="A1073" s="406">
        <v>1070</v>
      </c>
      <c r="B1073" s="613" t="s">
        <v>7020</v>
      </c>
      <c r="C1073" s="288" t="s">
        <v>1968</v>
      </c>
      <c r="D1073" s="414" t="s">
        <v>4884</v>
      </c>
      <c r="E1073" s="407" t="s">
        <v>4884</v>
      </c>
      <c r="F1073" s="483"/>
      <c r="G1073" s="483"/>
      <c r="H1073" s="483"/>
      <c r="I1073" s="483"/>
      <c r="J1073" s="483"/>
      <c r="K1073" s="483"/>
      <c r="L1073" s="608" t="s">
        <v>4884</v>
      </c>
      <c r="M1073" s="409" t="s">
        <v>4884</v>
      </c>
      <c r="N1073" s="409" t="s">
        <v>4884</v>
      </c>
      <c r="O1073" s="410" t="s">
        <v>4884</v>
      </c>
      <c r="P1073" s="406">
        <v>1070</v>
      </c>
      <c r="Q1073" s="270" t="s">
        <v>1968</v>
      </c>
      <c r="R1073" s="460" t="s">
        <v>1883</v>
      </c>
      <c r="S1073" s="270" t="s">
        <v>1884</v>
      </c>
      <c r="U1073" s="471"/>
      <c r="V1073" s="471"/>
      <c r="W1073" s="499"/>
      <c r="X1073" s="471"/>
      <c r="Y1073" s="206"/>
      <c r="Z1073" s="206"/>
    </row>
    <row r="1074" spans="1:26">
      <c r="A1074" s="406">
        <v>1071</v>
      </c>
      <c r="B1074" s="613" t="s">
        <v>7020</v>
      </c>
      <c r="C1074" s="288" t="s">
        <v>1969</v>
      </c>
      <c r="D1074" s="414" t="s">
        <v>4884</v>
      </c>
      <c r="E1074" s="407" t="s">
        <v>4884</v>
      </c>
      <c r="F1074" s="483"/>
      <c r="G1074" s="483"/>
      <c r="H1074" s="483"/>
      <c r="I1074" s="483"/>
      <c r="J1074" s="483"/>
      <c r="K1074" s="483"/>
      <c r="L1074" s="608" t="s">
        <v>4884</v>
      </c>
      <c r="M1074" s="409" t="s">
        <v>4884</v>
      </c>
      <c r="N1074" s="409" t="s">
        <v>4884</v>
      </c>
      <c r="O1074" s="410" t="s">
        <v>4884</v>
      </c>
      <c r="P1074" s="406">
        <v>1071</v>
      </c>
      <c r="Q1074" s="270" t="s">
        <v>1969</v>
      </c>
      <c r="R1074" s="460" t="s">
        <v>1883</v>
      </c>
      <c r="S1074" s="270" t="s">
        <v>1884</v>
      </c>
      <c r="U1074" s="471"/>
      <c r="V1074" s="471"/>
      <c r="W1074" s="499"/>
      <c r="X1074" s="471"/>
      <c r="Y1074" s="206"/>
      <c r="Z1074" s="206"/>
    </row>
    <row r="1075" spans="1:26">
      <c r="A1075" s="406">
        <v>1072</v>
      </c>
      <c r="B1075" s="613" t="s">
        <v>7020</v>
      </c>
      <c r="C1075" s="288" t="s">
        <v>1970</v>
      </c>
      <c r="D1075" s="414" t="s">
        <v>4884</v>
      </c>
      <c r="E1075" s="407" t="s">
        <v>4884</v>
      </c>
      <c r="F1075" s="483"/>
      <c r="G1075" s="483"/>
      <c r="H1075" s="483"/>
      <c r="I1075" s="483"/>
      <c r="J1075" s="483"/>
      <c r="K1075" s="483"/>
      <c r="L1075" s="608" t="s">
        <v>4884</v>
      </c>
      <c r="M1075" s="409" t="s">
        <v>4884</v>
      </c>
      <c r="N1075" s="409" t="s">
        <v>4884</v>
      </c>
      <c r="O1075" s="410" t="s">
        <v>4884</v>
      </c>
      <c r="P1075" s="406">
        <v>1072</v>
      </c>
      <c r="Q1075" s="270" t="s">
        <v>1970</v>
      </c>
      <c r="R1075" s="460" t="s">
        <v>1883</v>
      </c>
      <c r="S1075" s="270" t="s">
        <v>1884</v>
      </c>
      <c r="U1075" s="471"/>
      <c r="V1075" s="471"/>
      <c r="W1075" s="499"/>
      <c r="X1075" s="471"/>
      <c r="Y1075" s="206"/>
      <c r="Z1075" s="206"/>
    </row>
    <row r="1076" spans="1:26">
      <c r="A1076" s="406">
        <v>1073</v>
      </c>
      <c r="B1076" s="613" t="s">
        <v>7020</v>
      </c>
      <c r="C1076" s="288" t="s">
        <v>1971</v>
      </c>
      <c r="D1076" s="414" t="s">
        <v>4884</v>
      </c>
      <c r="E1076" s="407" t="s">
        <v>4884</v>
      </c>
      <c r="F1076" s="483"/>
      <c r="G1076" s="483"/>
      <c r="H1076" s="483"/>
      <c r="I1076" s="483"/>
      <c r="J1076" s="483"/>
      <c r="K1076" s="483"/>
      <c r="L1076" s="608" t="s">
        <v>4884</v>
      </c>
      <c r="M1076" s="409" t="s">
        <v>4884</v>
      </c>
      <c r="N1076" s="409" t="s">
        <v>4884</v>
      </c>
      <c r="O1076" s="410" t="s">
        <v>4884</v>
      </c>
      <c r="P1076" s="406">
        <v>1073</v>
      </c>
      <c r="Q1076" s="270" t="s">
        <v>1971</v>
      </c>
      <c r="R1076" s="460" t="s">
        <v>1883</v>
      </c>
      <c r="S1076" s="270" t="s">
        <v>1884</v>
      </c>
      <c r="U1076" s="471"/>
      <c r="V1076" s="471"/>
      <c r="W1076" s="499"/>
      <c r="X1076" s="471"/>
      <c r="Y1076" s="206"/>
      <c r="Z1076" s="206"/>
    </row>
    <row r="1077" spans="1:26">
      <c r="A1077" s="406">
        <v>1074</v>
      </c>
      <c r="B1077" s="613" t="s">
        <v>7020</v>
      </c>
      <c r="C1077" s="288" t="s">
        <v>1972</v>
      </c>
      <c r="D1077" s="414" t="s">
        <v>4884</v>
      </c>
      <c r="E1077" s="407" t="s">
        <v>4884</v>
      </c>
      <c r="F1077" s="483"/>
      <c r="G1077" s="483"/>
      <c r="H1077" s="483"/>
      <c r="I1077" s="483"/>
      <c r="J1077" s="483"/>
      <c r="K1077" s="483"/>
      <c r="L1077" s="608" t="s">
        <v>4884</v>
      </c>
      <c r="M1077" s="409" t="s">
        <v>4884</v>
      </c>
      <c r="N1077" s="409" t="s">
        <v>4884</v>
      </c>
      <c r="O1077" s="410" t="s">
        <v>4884</v>
      </c>
      <c r="P1077" s="406">
        <v>1074</v>
      </c>
      <c r="Q1077" s="270" t="s">
        <v>1972</v>
      </c>
      <c r="R1077" s="460" t="s">
        <v>1883</v>
      </c>
      <c r="S1077" s="270" t="s">
        <v>1884</v>
      </c>
      <c r="U1077" s="471"/>
      <c r="V1077" s="471"/>
      <c r="W1077" s="499"/>
      <c r="X1077" s="471"/>
      <c r="Y1077" s="206"/>
      <c r="Z1077" s="206"/>
    </row>
    <row r="1078" spans="1:26">
      <c r="A1078" s="406">
        <v>1075</v>
      </c>
      <c r="B1078" s="613" t="s">
        <v>7020</v>
      </c>
      <c r="C1078" s="288" t="s">
        <v>1973</v>
      </c>
      <c r="D1078" s="414" t="s">
        <v>4884</v>
      </c>
      <c r="E1078" s="407" t="s">
        <v>4884</v>
      </c>
      <c r="F1078" s="483"/>
      <c r="G1078" s="483"/>
      <c r="H1078" s="483"/>
      <c r="I1078" s="483"/>
      <c r="J1078" s="483"/>
      <c r="K1078" s="483"/>
      <c r="L1078" s="608" t="s">
        <v>4884</v>
      </c>
      <c r="M1078" s="409" t="s">
        <v>4884</v>
      </c>
      <c r="N1078" s="409" t="s">
        <v>4884</v>
      </c>
      <c r="O1078" s="410" t="s">
        <v>4884</v>
      </c>
      <c r="P1078" s="406">
        <v>1075</v>
      </c>
      <c r="Q1078" s="270" t="s">
        <v>1973</v>
      </c>
      <c r="R1078" s="460" t="s">
        <v>1883</v>
      </c>
      <c r="S1078" s="270" t="s">
        <v>1884</v>
      </c>
      <c r="U1078" s="471"/>
      <c r="V1078" s="471"/>
      <c r="W1078" s="499"/>
      <c r="X1078" s="471"/>
      <c r="Y1078" s="206"/>
      <c r="Z1078" s="206"/>
    </row>
    <row r="1079" spans="1:26">
      <c r="A1079" s="406">
        <v>1076</v>
      </c>
      <c r="B1079" s="613" t="s">
        <v>7020</v>
      </c>
      <c r="C1079" s="288" t="s">
        <v>1974</v>
      </c>
      <c r="D1079" s="414" t="s">
        <v>4884</v>
      </c>
      <c r="E1079" s="407" t="s">
        <v>4884</v>
      </c>
      <c r="F1079" s="483"/>
      <c r="G1079" s="483"/>
      <c r="H1079" s="483"/>
      <c r="I1079" s="483"/>
      <c r="J1079" s="483"/>
      <c r="K1079" s="483"/>
      <c r="L1079" s="608" t="s">
        <v>4884</v>
      </c>
      <c r="M1079" s="409" t="s">
        <v>4884</v>
      </c>
      <c r="N1079" s="409" t="s">
        <v>4884</v>
      </c>
      <c r="O1079" s="410" t="s">
        <v>4884</v>
      </c>
      <c r="P1079" s="406">
        <v>1076</v>
      </c>
      <c r="Q1079" s="270" t="s">
        <v>1974</v>
      </c>
      <c r="R1079" s="460" t="s">
        <v>1883</v>
      </c>
      <c r="S1079" s="270" t="s">
        <v>1884</v>
      </c>
      <c r="U1079" s="471"/>
      <c r="V1079" s="471"/>
      <c r="W1079" s="520"/>
      <c r="X1079" s="471"/>
      <c r="Y1079" s="206"/>
      <c r="Z1079" s="206"/>
    </row>
    <row r="1080" spans="1:26">
      <c r="A1080" s="406">
        <v>1077</v>
      </c>
      <c r="B1080" s="613" t="s">
        <v>7020</v>
      </c>
      <c r="C1080" s="288" t="s">
        <v>1975</v>
      </c>
      <c r="D1080" s="414" t="s">
        <v>4884</v>
      </c>
      <c r="E1080" s="407" t="s">
        <v>4884</v>
      </c>
      <c r="F1080" s="483"/>
      <c r="G1080" s="483"/>
      <c r="H1080" s="483"/>
      <c r="I1080" s="483"/>
      <c r="J1080" s="483"/>
      <c r="K1080" s="483"/>
      <c r="L1080" s="608" t="s">
        <v>4884</v>
      </c>
      <c r="M1080" s="409" t="s">
        <v>4884</v>
      </c>
      <c r="N1080" s="409" t="s">
        <v>4884</v>
      </c>
      <c r="O1080" s="410" t="s">
        <v>4884</v>
      </c>
      <c r="P1080" s="406">
        <v>1077</v>
      </c>
      <c r="Q1080" s="270" t="s">
        <v>1975</v>
      </c>
      <c r="R1080" s="460" t="s">
        <v>1883</v>
      </c>
      <c r="S1080" s="270" t="s">
        <v>1884</v>
      </c>
      <c r="U1080" s="471"/>
      <c r="V1080" s="471"/>
      <c r="W1080" s="520"/>
      <c r="X1080" s="471"/>
      <c r="Y1080" s="206"/>
      <c r="Z1080" s="206"/>
    </row>
    <row r="1081" spans="1:26">
      <c r="A1081" s="406">
        <v>1078</v>
      </c>
      <c r="B1081" s="613" t="s">
        <v>7020</v>
      </c>
      <c r="C1081" s="288" t="s">
        <v>1976</v>
      </c>
      <c r="D1081" s="414" t="s">
        <v>4884</v>
      </c>
      <c r="E1081" s="407" t="s">
        <v>4884</v>
      </c>
      <c r="F1081" s="483"/>
      <c r="G1081" s="483"/>
      <c r="H1081" s="483"/>
      <c r="I1081" s="483"/>
      <c r="J1081" s="483"/>
      <c r="K1081" s="483"/>
      <c r="L1081" s="608" t="s">
        <v>4884</v>
      </c>
      <c r="M1081" s="409" t="s">
        <v>4884</v>
      </c>
      <c r="N1081" s="409" t="s">
        <v>4884</v>
      </c>
      <c r="O1081" s="410" t="s">
        <v>4884</v>
      </c>
      <c r="P1081" s="406">
        <v>1078</v>
      </c>
      <c r="Q1081" s="270" t="s">
        <v>1976</v>
      </c>
      <c r="R1081" s="460" t="s">
        <v>1883</v>
      </c>
      <c r="S1081" s="270" t="s">
        <v>1884</v>
      </c>
      <c r="U1081" s="471"/>
      <c r="V1081" s="471"/>
      <c r="W1081" s="499"/>
      <c r="X1081" s="471"/>
      <c r="Y1081" s="206"/>
      <c r="Z1081" s="206"/>
    </row>
    <row r="1082" spans="1:26">
      <c r="A1082" s="406">
        <v>1079</v>
      </c>
      <c r="B1082" s="613" t="s">
        <v>7020</v>
      </c>
      <c r="C1082" s="288" t="s">
        <v>1977</v>
      </c>
      <c r="D1082" s="414" t="s">
        <v>4884</v>
      </c>
      <c r="E1082" s="407" t="s">
        <v>4884</v>
      </c>
      <c r="F1082" s="483"/>
      <c r="G1082" s="483"/>
      <c r="H1082" s="483"/>
      <c r="I1082" s="483"/>
      <c r="J1082" s="483"/>
      <c r="K1082" s="483"/>
      <c r="L1082" s="608" t="s">
        <v>4884</v>
      </c>
      <c r="M1082" s="409" t="s">
        <v>4884</v>
      </c>
      <c r="N1082" s="409" t="s">
        <v>4884</v>
      </c>
      <c r="O1082" s="410" t="s">
        <v>4884</v>
      </c>
      <c r="P1082" s="406">
        <v>1079</v>
      </c>
      <c r="Q1082" s="270" t="s">
        <v>1977</v>
      </c>
      <c r="R1082" s="460" t="s">
        <v>1883</v>
      </c>
      <c r="S1082" s="270" t="s">
        <v>1884</v>
      </c>
      <c r="U1082" s="471"/>
      <c r="V1082" s="471"/>
      <c r="W1082" s="499"/>
      <c r="X1082" s="471"/>
      <c r="Y1082" s="206"/>
      <c r="Z1082" s="206"/>
    </row>
    <row r="1083" spans="1:26">
      <c r="A1083" s="406">
        <v>1080</v>
      </c>
      <c r="B1083" s="613" t="s">
        <v>7020</v>
      </c>
      <c r="C1083" s="288" t="s">
        <v>1978</v>
      </c>
      <c r="D1083" s="414" t="s">
        <v>4884</v>
      </c>
      <c r="E1083" s="407" t="s">
        <v>4884</v>
      </c>
      <c r="F1083" s="483"/>
      <c r="G1083" s="483"/>
      <c r="H1083" s="483"/>
      <c r="I1083" s="483"/>
      <c r="J1083" s="483"/>
      <c r="K1083" s="483"/>
      <c r="L1083" s="608" t="s">
        <v>4884</v>
      </c>
      <c r="M1083" s="409" t="s">
        <v>4884</v>
      </c>
      <c r="N1083" s="409" t="s">
        <v>4884</v>
      </c>
      <c r="O1083" s="410" t="s">
        <v>4884</v>
      </c>
      <c r="P1083" s="406">
        <v>1080</v>
      </c>
      <c r="Q1083" s="270" t="s">
        <v>1978</v>
      </c>
      <c r="R1083" s="460" t="s">
        <v>1883</v>
      </c>
      <c r="S1083" s="270" t="s">
        <v>1884</v>
      </c>
      <c r="U1083" s="471"/>
      <c r="V1083" s="471"/>
      <c r="W1083" s="519"/>
      <c r="X1083" s="471"/>
      <c r="Y1083" s="206"/>
      <c r="Z1083" s="206"/>
    </row>
    <row r="1084" spans="1:26">
      <c r="A1084" s="406">
        <v>1081</v>
      </c>
      <c r="B1084" s="613" t="s">
        <v>7020</v>
      </c>
      <c r="C1084" s="288" t="s">
        <v>1979</v>
      </c>
      <c r="D1084" s="414" t="s">
        <v>4884</v>
      </c>
      <c r="E1084" s="407" t="s">
        <v>4884</v>
      </c>
      <c r="F1084" s="483"/>
      <c r="G1084" s="483"/>
      <c r="H1084" s="483"/>
      <c r="I1084" s="483"/>
      <c r="J1084" s="483"/>
      <c r="K1084" s="483"/>
      <c r="L1084" s="608" t="s">
        <v>4884</v>
      </c>
      <c r="M1084" s="409" t="s">
        <v>4884</v>
      </c>
      <c r="N1084" s="409" t="s">
        <v>4884</v>
      </c>
      <c r="O1084" s="410" t="s">
        <v>4884</v>
      </c>
      <c r="P1084" s="406">
        <v>1081</v>
      </c>
      <c r="Q1084" s="270" t="s">
        <v>1979</v>
      </c>
      <c r="R1084" s="460" t="s">
        <v>1883</v>
      </c>
      <c r="S1084" s="270" t="s">
        <v>1884</v>
      </c>
      <c r="U1084" s="471"/>
      <c r="V1084" s="471"/>
      <c r="W1084" s="519"/>
      <c r="X1084" s="471"/>
      <c r="Y1084" s="206"/>
      <c r="Z1084" s="206"/>
    </row>
    <row r="1085" spans="1:26">
      <c r="A1085" s="406">
        <v>1082</v>
      </c>
      <c r="B1085" s="613" t="s">
        <v>7020</v>
      </c>
      <c r="C1085" s="288" t="s">
        <v>1980</v>
      </c>
      <c r="D1085" s="414" t="s">
        <v>4884</v>
      </c>
      <c r="E1085" s="407" t="s">
        <v>4884</v>
      </c>
      <c r="F1085" s="483"/>
      <c r="G1085" s="483"/>
      <c r="H1085" s="483"/>
      <c r="I1085" s="483"/>
      <c r="J1085" s="483"/>
      <c r="K1085" s="483"/>
      <c r="L1085" s="608" t="s">
        <v>4884</v>
      </c>
      <c r="M1085" s="409" t="s">
        <v>4884</v>
      </c>
      <c r="N1085" s="409" t="s">
        <v>4884</v>
      </c>
      <c r="O1085" s="410" t="s">
        <v>4884</v>
      </c>
      <c r="P1085" s="406">
        <v>1082</v>
      </c>
      <c r="Q1085" s="270" t="s">
        <v>1980</v>
      </c>
      <c r="R1085" s="460" t="s">
        <v>1883</v>
      </c>
      <c r="S1085" s="270" t="s">
        <v>1884</v>
      </c>
      <c r="U1085" s="471"/>
      <c r="V1085" s="471"/>
      <c r="W1085" s="502"/>
      <c r="X1085" s="471"/>
      <c r="Y1085" s="206"/>
      <c r="Z1085" s="206"/>
    </row>
    <row r="1086" spans="1:26">
      <c r="A1086" s="406">
        <v>1083</v>
      </c>
      <c r="B1086" s="613" t="s">
        <v>7020</v>
      </c>
      <c r="C1086" s="288" t="s">
        <v>1981</v>
      </c>
      <c r="D1086" s="414" t="s">
        <v>4884</v>
      </c>
      <c r="E1086" s="407" t="s">
        <v>4884</v>
      </c>
      <c r="F1086" s="483"/>
      <c r="G1086" s="483"/>
      <c r="H1086" s="483"/>
      <c r="I1086" s="483"/>
      <c r="J1086" s="483"/>
      <c r="K1086" s="483"/>
      <c r="L1086" s="608" t="s">
        <v>4884</v>
      </c>
      <c r="M1086" s="409" t="s">
        <v>4884</v>
      </c>
      <c r="N1086" s="409" t="s">
        <v>4884</v>
      </c>
      <c r="O1086" s="410" t="s">
        <v>4884</v>
      </c>
      <c r="P1086" s="406">
        <v>1083</v>
      </c>
      <c r="Q1086" s="270" t="s">
        <v>1981</v>
      </c>
      <c r="R1086" s="460" t="s">
        <v>1883</v>
      </c>
      <c r="S1086" s="270" t="s">
        <v>1884</v>
      </c>
      <c r="U1086" s="471"/>
      <c r="V1086" s="471"/>
      <c r="W1086" s="502"/>
      <c r="X1086" s="471"/>
      <c r="Y1086" s="206"/>
      <c r="Z1086" s="206"/>
    </row>
    <row r="1087" spans="1:26">
      <c r="A1087" s="406">
        <v>1084</v>
      </c>
      <c r="B1087" s="613" t="s">
        <v>7020</v>
      </c>
      <c r="C1087" s="288" t="s">
        <v>1982</v>
      </c>
      <c r="D1087" s="414" t="s">
        <v>4884</v>
      </c>
      <c r="E1087" s="407" t="s">
        <v>4884</v>
      </c>
      <c r="F1087" s="483"/>
      <c r="G1087" s="483"/>
      <c r="H1087" s="483"/>
      <c r="I1087" s="483"/>
      <c r="J1087" s="483"/>
      <c r="K1087" s="483"/>
      <c r="L1087" s="608" t="s">
        <v>4884</v>
      </c>
      <c r="M1087" s="409" t="s">
        <v>4884</v>
      </c>
      <c r="N1087" s="409" t="s">
        <v>4884</v>
      </c>
      <c r="O1087" s="410" t="s">
        <v>4884</v>
      </c>
      <c r="P1087" s="406">
        <v>1084</v>
      </c>
      <c r="Q1087" s="270" t="s">
        <v>1982</v>
      </c>
      <c r="R1087" s="460" t="s">
        <v>1883</v>
      </c>
      <c r="S1087" s="270" t="s">
        <v>1884</v>
      </c>
      <c r="U1087" s="471"/>
      <c r="V1087" s="471"/>
      <c r="W1087" s="502"/>
      <c r="X1087" s="471"/>
      <c r="Y1087" s="206"/>
      <c r="Z1087" s="206"/>
    </row>
    <row r="1088" spans="1:26">
      <c r="A1088" s="406">
        <v>1085</v>
      </c>
      <c r="B1088" s="613" t="s">
        <v>7020</v>
      </c>
      <c r="C1088" s="288" t="s">
        <v>1983</v>
      </c>
      <c r="D1088" s="414" t="s">
        <v>4884</v>
      </c>
      <c r="E1088" s="407" t="s">
        <v>4884</v>
      </c>
      <c r="F1088" s="483"/>
      <c r="G1088" s="483"/>
      <c r="H1088" s="483"/>
      <c r="I1088" s="483"/>
      <c r="J1088" s="483"/>
      <c r="K1088" s="483"/>
      <c r="L1088" s="608" t="s">
        <v>4884</v>
      </c>
      <c r="M1088" s="409" t="s">
        <v>4884</v>
      </c>
      <c r="N1088" s="409" t="s">
        <v>4884</v>
      </c>
      <c r="O1088" s="410" t="s">
        <v>4884</v>
      </c>
      <c r="P1088" s="406">
        <v>1085</v>
      </c>
      <c r="Q1088" s="270" t="s">
        <v>1983</v>
      </c>
      <c r="R1088" s="460" t="s">
        <v>1883</v>
      </c>
      <c r="S1088" s="270" t="s">
        <v>1884</v>
      </c>
      <c r="U1088" s="471"/>
      <c r="V1088" s="471"/>
      <c r="W1088" s="502"/>
      <c r="X1088" s="471"/>
      <c r="Y1088" s="206"/>
      <c r="Z1088" s="206"/>
    </row>
    <row r="1089" spans="1:26">
      <c r="A1089" s="406">
        <v>1086</v>
      </c>
      <c r="B1089" s="613" t="s">
        <v>7020</v>
      </c>
      <c r="C1089" s="288" t="s">
        <v>1984</v>
      </c>
      <c r="D1089" s="414" t="s">
        <v>4884</v>
      </c>
      <c r="E1089" s="407" t="s">
        <v>4884</v>
      </c>
      <c r="F1089" s="483"/>
      <c r="G1089" s="483"/>
      <c r="H1089" s="483"/>
      <c r="I1089" s="483"/>
      <c r="J1089" s="483"/>
      <c r="K1089" s="483"/>
      <c r="L1089" s="608" t="s">
        <v>4884</v>
      </c>
      <c r="M1089" s="409" t="s">
        <v>4884</v>
      </c>
      <c r="N1089" s="409" t="s">
        <v>4884</v>
      </c>
      <c r="O1089" s="410" t="s">
        <v>4884</v>
      </c>
      <c r="P1089" s="406">
        <v>1086</v>
      </c>
      <c r="Q1089" s="270" t="s">
        <v>1984</v>
      </c>
      <c r="R1089" s="460" t="s">
        <v>1883</v>
      </c>
      <c r="S1089" s="270" t="s">
        <v>1884</v>
      </c>
      <c r="U1089" s="471"/>
      <c r="V1089" s="471"/>
      <c r="W1089" s="466"/>
      <c r="X1089" s="471"/>
      <c r="Y1089" s="206"/>
      <c r="Z1089" s="206"/>
    </row>
    <row r="1090" spans="1:26">
      <c r="A1090" s="406">
        <v>1087</v>
      </c>
      <c r="B1090" s="613" t="s">
        <v>7020</v>
      </c>
      <c r="C1090" s="288" t="s">
        <v>1985</v>
      </c>
      <c r="D1090" s="414" t="s">
        <v>4884</v>
      </c>
      <c r="E1090" s="407" t="s">
        <v>4884</v>
      </c>
      <c r="F1090" s="483"/>
      <c r="G1090" s="483"/>
      <c r="H1090" s="483"/>
      <c r="I1090" s="483"/>
      <c r="J1090" s="483"/>
      <c r="K1090" s="483"/>
      <c r="L1090" s="608" t="s">
        <v>4884</v>
      </c>
      <c r="M1090" s="409" t="s">
        <v>4884</v>
      </c>
      <c r="N1090" s="409" t="s">
        <v>4884</v>
      </c>
      <c r="O1090" s="410" t="s">
        <v>4884</v>
      </c>
      <c r="P1090" s="406">
        <v>1087</v>
      </c>
      <c r="Q1090" s="270" t="s">
        <v>1985</v>
      </c>
      <c r="R1090" s="460" t="s">
        <v>1883</v>
      </c>
      <c r="S1090" s="270" t="s">
        <v>1884</v>
      </c>
      <c r="U1090" s="471"/>
      <c r="V1090" s="471"/>
      <c r="W1090" s="466"/>
      <c r="X1090" s="471"/>
      <c r="Y1090" s="206"/>
      <c r="Z1090" s="206"/>
    </row>
    <row r="1091" spans="1:26">
      <c r="A1091" s="406">
        <v>1088</v>
      </c>
      <c r="B1091" s="613" t="s">
        <v>7020</v>
      </c>
      <c r="C1091" s="288" t="s">
        <v>1986</v>
      </c>
      <c r="D1091" s="414" t="s">
        <v>4884</v>
      </c>
      <c r="E1091" s="407" t="s">
        <v>4884</v>
      </c>
      <c r="F1091" s="483"/>
      <c r="G1091" s="483"/>
      <c r="H1091" s="483"/>
      <c r="I1091" s="483"/>
      <c r="J1091" s="483"/>
      <c r="K1091" s="483"/>
      <c r="L1091" s="608" t="s">
        <v>4884</v>
      </c>
      <c r="M1091" s="409" t="s">
        <v>4884</v>
      </c>
      <c r="N1091" s="409" t="s">
        <v>4884</v>
      </c>
      <c r="O1091" s="410" t="s">
        <v>4884</v>
      </c>
      <c r="P1091" s="406">
        <v>1088</v>
      </c>
      <c r="Q1091" s="270" t="s">
        <v>1986</v>
      </c>
      <c r="R1091" s="460" t="s">
        <v>1883</v>
      </c>
      <c r="S1091" s="270" t="s">
        <v>1884</v>
      </c>
      <c r="U1091" s="471"/>
      <c r="V1091" s="471"/>
      <c r="W1091" s="466"/>
      <c r="X1091" s="471"/>
      <c r="Y1091" s="206"/>
      <c r="Z1091" s="206"/>
    </row>
    <row r="1092" spans="1:26">
      <c r="A1092" s="406">
        <v>1089</v>
      </c>
      <c r="B1092" s="613" t="s">
        <v>7020</v>
      </c>
      <c r="C1092" s="288" t="s">
        <v>1987</v>
      </c>
      <c r="D1092" s="414" t="s">
        <v>4884</v>
      </c>
      <c r="E1092" s="407" t="s">
        <v>4884</v>
      </c>
      <c r="F1092" s="483"/>
      <c r="G1092" s="483"/>
      <c r="H1092" s="483"/>
      <c r="I1092" s="483"/>
      <c r="J1092" s="483"/>
      <c r="K1092" s="483"/>
      <c r="L1092" s="608" t="s">
        <v>4884</v>
      </c>
      <c r="M1092" s="409" t="s">
        <v>4884</v>
      </c>
      <c r="N1092" s="409" t="s">
        <v>4884</v>
      </c>
      <c r="O1092" s="410" t="s">
        <v>4884</v>
      </c>
      <c r="P1092" s="406">
        <v>1089</v>
      </c>
      <c r="Q1092" s="270" t="s">
        <v>1987</v>
      </c>
      <c r="R1092" s="460" t="s">
        <v>1883</v>
      </c>
      <c r="S1092" s="270" t="s">
        <v>1884</v>
      </c>
      <c r="U1092" s="471"/>
      <c r="V1092" s="471"/>
      <c r="W1092" s="466"/>
      <c r="X1092" s="471"/>
      <c r="Y1092" s="206"/>
      <c r="Z1092" s="206"/>
    </row>
    <row r="1093" spans="1:26">
      <c r="A1093" s="406">
        <v>1090</v>
      </c>
      <c r="B1093" s="613" t="s">
        <v>7020</v>
      </c>
      <c r="C1093" s="288" t="s">
        <v>1988</v>
      </c>
      <c r="D1093" s="414" t="s">
        <v>4884</v>
      </c>
      <c r="E1093" s="407" t="s">
        <v>4884</v>
      </c>
      <c r="F1093" s="483"/>
      <c r="G1093" s="483"/>
      <c r="H1093" s="483"/>
      <c r="I1093" s="483"/>
      <c r="J1093" s="483"/>
      <c r="K1093" s="483"/>
      <c r="L1093" s="608" t="s">
        <v>4884</v>
      </c>
      <c r="M1093" s="409" t="s">
        <v>4884</v>
      </c>
      <c r="N1093" s="409" t="s">
        <v>4884</v>
      </c>
      <c r="O1093" s="410" t="s">
        <v>4884</v>
      </c>
      <c r="P1093" s="406">
        <v>1090</v>
      </c>
      <c r="Q1093" s="270" t="s">
        <v>1988</v>
      </c>
      <c r="R1093" s="460" t="s">
        <v>1883</v>
      </c>
      <c r="S1093" s="270" t="s">
        <v>1884</v>
      </c>
      <c r="U1093" s="471"/>
      <c r="V1093" s="471"/>
      <c r="W1093" s="466"/>
      <c r="X1093" s="471"/>
      <c r="Y1093" s="206"/>
      <c r="Z1093" s="206"/>
    </row>
    <row r="1094" spans="1:26">
      <c r="A1094" s="406">
        <v>1091</v>
      </c>
      <c r="B1094" s="613" t="s">
        <v>7020</v>
      </c>
      <c r="C1094" s="288" t="s">
        <v>1989</v>
      </c>
      <c r="D1094" s="414" t="s">
        <v>4884</v>
      </c>
      <c r="E1094" s="407" t="s">
        <v>4884</v>
      </c>
      <c r="F1094" s="483"/>
      <c r="G1094" s="483"/>
      <c r="H1094" s="483"/>
      <c r="I1094" s="483"/>
      <c r="J1094" s="483"/>
      <c r="K1094" s="483"/>
      <c r="L1094" s="608" t="s">
        <v>4884</v>
      </c>
      <c r="M1094" s="409" t="s">
        <v>4884</v>
      </c>
      <c r="N1094" s="409" t="s">
        <v>4884</v>
      </c>
      <c r="O1094" s="410" t="s">
        <v>4884</v>
      </c>
      <c r="P1094" s="406">
        <v>1091</v>
      </c>
      <c r="Q1094" s="270" t="s">
        <v>1989</v>
      </c>
      <c r="R1094" s="460" t="s">
        <v>1883</v>
      </c>
      <c r="S1094" s="270" t="s">
        <v>1884</v>
      </c>
      <c r="U1094" s="471"/>
      <c r="V1094" s="471"/>
      <c r="W1094" s="466"/>
      <c r="X1094" s="471"/>
      <c r="Y1094" s="206"/>
      <c r="Z1094" s="206"/>
    </row>
    <row r="1095" spans="1:26">
      <c r="A1095" s="406">
        <v>1092</v>
      </c>
      <c r="B1095" s="613" t="s">
        <v>7020</v>
      </c>
      <c r="C1095" s="288" t="s">
        <v>1990</v>
      </c>
      <c r="D1095" s="414" t="s">
        <v>4884</v>
      </c>
      <c r="E1095" s="407" t="s">
        <v>4884</v>
      </c>
      <c r="F1095" s="483"/>
      <c r="G1095" s="483"/>
      <c r="H1095" s="483"/>
      <c r="I1095" s="483"/>
      <c r="J1095" s="483"/>
      <c r="K1095" s="483"/>
      <c r="L1095" s="608" t="s">
        <v>4884</v>
      </c>
      <c r="M1095" s="409" t="s">
        <v>4884</v>
      </c>
      <c r="N1095" s="409" t="s">
        <v>4884</v>
      </c>
      <c r="O1095" s="410" t="s">
        <v>4884</v>
      </c>
      <c r="P1095" s="406">
        <v>1092</v>
      </c>
      <c r="Q1095" s="270" t="s">
        <v>1990</v>
      </c>
      <c r="R1095" s="460" t="s">
        <v>1883</v>
      </c>
      <c r="S1095" s="270" t="s">
        <v>1884</v>
      </c>
      <c r="U1095" s="471"/>
      <c r="V1095" s="471"/>
      <c r="W1095" s="496"/>
      <c r="X1095" s="471"/>
      <c r="Y1095" s="206"/>
      <c r="Z1095" s="206"/>
    </row>
    <row r="1096" spans="1:26">
      <c r="A1096" s="406">
        <v>1093</v>
      </c>
      <c r="B1096" s="613" t="s">
        <v>7020</v>
      </c>
      <c r="C1096" s="288" t="s">
        <v>1991</v>
      </c>
      <c r="D1096" s="414" t="s">
        <v>4884</v>
      </c>
      <c r="E1096" s="407" t="s">
        <v>4884</v>
      </c>
      <c r="F1096" s="483"/>
      <c r="G1096" s="483"/>
      <c r="H1096" s="483"/>
      <c r="I1096" s="483"/>
      <c r="J1096" s="483"/>
      <c r="K1096" s="483"/>
      <c r="L1096" s="608" t="s">
        <v>4884</v>
      </c>
      <c r="M1096" s="409" t="s">
        <v>4884</v>
      </c>
      <c r="N1096" s="409" t="s">
        <v>4884</v>
      </c>
      <c r="O1096" s="410" t="s">
        <v>4884</v>
      </c>
      <c r="P1096" s="406">
        <v>1093</v>
      </c>
      <c r="Q1096" s="270" t="s">
        <v>1991</v>
      </c>
      <c r="R1096" s="460" t="s">
        <v>1883</v>
      </c>
      <c r="S1096" s="270" t="s">
        <v>1884</v>
      </c>
      <c r="U1096" s="471"/>
      <c r="V1096" s="471"/>
      <c r="W1096" s="496"/>
      <c r="X1096" s="471"/>
      <c r="Y1096" s="206"/>
      <c r="Z1096" s="206"/>
    </row>
    <row r="1097" spans="1:26">
      <c r="A1097" s="406">
        <v>1094</v>
      </c>
      <c r="B1097" s="613" t="s">
        <v>7020</v>
      </c>
      <c r="C1097" s="288" t="s">
        <v>1992</v>
      </c>
      <c r="D1097" s="414" t="s">
        <v>4884</v>
      </c>
      <c r="E1097" s="407" t="s">
        <v>4884</v>
      </c>
      <c r="F1097" s="483"/>
      <c r="G1097" s="483"/>
      <c r="H1097" s="483"/>
      <c r="I1097" s="483"/>
      <c r="J1097" s="483"/>
      <c r="K1097" s="483"/>
      <c r="L1097" s="608" t="s">
        <v>4884</v>
      </c>
      <c r="M1097" s="409" t="s">
        <v>4884</v>
      </c>
      <c r="N1097" s="409" t="s">
        <v>4884</v>
      </c>
      <c r="O1097" s="410" t="s">
        <v>4884</v>
      </c>
      <c r="P1097" s="406">
        <v>1094</v>
      </c>
      <c r="Q1097" s="270" t="s">
        <v>1992</v>
      </c>
      <c r="R1097" s="460" t="s">
        <v>1883</v>
      </c>
      <c r="S1097" s="270" t="s">
        <v>1884</v>
      </c>
      <c r="U1097" s="471"/>
      <c r="V1097" s="471"/>
      <c r="W1097" s="519"/>
      <c r="X1097" s="471"/>
      <c r="Y1097" s="206"/>
      <c r="Z1097" s="206"/>
    </row>
    <row r="1098" spans="1:26">
      <c r="A1098" s="406">
        <v>1095</v>
      </c>
      <c r="B1098" s="613" t="s">
        <v>7020</v>
      </c>
      <c r="C1098" s="288" t="s">
        <v>1993</v>
      </c>
      <c r="D1098" s="414" t="s">
        <v>4884</v>
      </c>
      <c r="E1098" s="407" t="s">
        <v>4884</v>
      </c>
      <c r="F1098" s="483"/>
      <c r="G1098" s="483"/>
      <c r="H1098" s="483"/>
      <c r="I1098" s="483"/>
      <c r="J1098" s="483"/>
      <c r="K1098" s="483"/>
      <c r="L1098" s="608" t="s">
        <v>4884</v>
      </c>
      <c r="M1098" s="409" t="s">
        <v>4884</v>
      </c>
      <c r="N1098" s="409" t="s">
        <v>4884</v>
      </c>
      <c r="O1098" s="410" t="s">
        <v>4884</v>
      </c>
      <c r="P1098" s="406">
        <v>1095</v>
      </c>
      <c r="Q1098" s="270" t="s">
        <v>1993</v>
      </c>
      <c r="R1098" s="460" t="s">
        <v>1883</v>
      </c>
      <c r="S1098" s="270" t="s">
        <v>1884</v>
      </c>
      <c r="U1098" s="471"/>
      <c r="V1098" s="471"/>
      <c r="W1098" s="519"/>
      <c r="X1098" s="471"/>
      <c r="Y1098" s="206"/>
      <c r="Z1098" s="206"/>
    </row>
    <row r="1099" spans="1:26">
      <c r="A1099" s="406">
        <v>1096</v>
      </c>
      <c r="B1099" s="613" t="s">
        <v>7020</v>
      </c>
      <c r="C1099" s="288" t="s">
        <v>1994</v>
      </c>
      <c r="D1099" s="414" t="s">
        <v>4884</v>
      </c>
      <c r="E1099" s="407" t="s">
        <v>4884</v>
      </c>
      <c r="F1099" s="483"/>
      <c r="G1099" s="483"/>
      <c r="H1099" s="483"/>
      <c r="I1099" s="483"/>
      <c r="J1099" s="483"/>
      <c r="K1099" s="483"/>
      <c r="L1099" s="608" t="s">
        <v>4884</v>
      </c>
      <c r="M1099" s="409" t="s">
        <v>4884</v>
      </c>
      <c r="N1099" s="409" t="s">
        <v>4884</v>
      </c>
      <c r="O1099" s="410" t="s">
        <v>4884</v>
      </c>
      <c r="P1099" s="406">
        <v>1096</v>
      </c>
      <c r="Q1099" s="270" t="s">
        <v>1994</v>
      </c>
      <c r="R1099" s="460" t="s">
        <v>1883</v>
      </c>
      <c r="S1099" s="270" t="s">
        <v>1884</v>
      </c>
      <c r="U1099" s="471"/>
      <c r="V1099" s="471"/>
      <c r="W1099" s="521"/>
      <c r="X1099" s="471"/>
      <c r="Y1099" s="206"/>
      <c r="Z1099" s="206"/>
    </row>
    <row r="1100" spans="1:26">
      <c r="A1100" s="406">
        <v>1097</v>
      </c>
      <c r="B1100" s="613" t="s">
        <v>7020</v>
      </c>
      <c r="C1100" s="288" t="s">
        <v>1995</v>
      </c>
      <c r="D1100" s="414" t="s">
        <v>4884</v>
      </c>
      <c r="E1100" s="407" t="s">
        <v>4884</v>
      </c>
      <c r="F1100" s="483"/>
      <c r="G1100" s="483"/>
      <c r="H1100" s="483"/>
      <c r="I1100" s="483"/>
      <c r="J1100" s="483"/>
      <c r="K1100" s="483"/>
      <c r="L1100" s="608" t="s">
        <v>4884</v>
      </c>
      <c r="M1100" s="409" t="s">
        <v>4884</v>
      </c>
      <c r="N1100" s="409" t="s">
        <v>4884</v>
      </c>
      <c r="O1100" s="410" t="s">
        <v>4884</v>
      </c>
      <c r="P1100" s="406">
        <v>1097</v>
      </c>
      <c r="Q1100" s="270" t="s">
        <v>1995</v>
      </c>
      <c r="R1100" s="460" t="s">
        <v>1883</v>
      </c>
      <c r="S1100" s="270" t="s">
        <v>1884</v>
      </c>
      <c r="U1100" s="471"/>
      <c r="V1100" s="471"/>
      <c r="W1100" s="521"/>
      <c r="X1100" s="471"/>
      <c r="Y1100" s="206"/>
      <c r="Z1100" s="206"/>
    </row>
    <row r="1101" spans="1:26">
      <c r="A1101" s="406">
        <v>1098</v>
      </c>
      <c r="B1101" s="613" t="s">
        <v>7020</v>
      </c>
      <c r="C1101" s="288" t="s">
        <v>1996</v>
      </c>
      <c r="D1101" s="414" t="s">
        <v>4884</v>
      </c>
      <c r="E1101" s="407" t="s">
        <v>4884</v>
      </c>
      <c r="F1101" s="483"/>
      <c r="G1101" s="483"/>
      <c r="H1101" s="483"/>
      <c r="I1101" s="483"/>
      <c r="J1101" s="483"/>
      <c r="K1101" s="483"/>
      <c r="L1101" s="608" t="s">
        <v>4884</v>
      </c>
      <c r="M1101" s="409" t="s">
        <v>4884</v>
      </c>
      <c r="N1101" s="409" t="s">
        <v>4884</v>
      </c>
      <c r="O1101" s="410" t="s">
        <v>4884</v>
      </c>
      <c r="P1101" s="406">
        <v>1098</v>
      </c>
      <c r="Q1101" s="270" t="s">
        <v>1996</v>
      </c>
      <c r="R1101" s="460" t="s">
        <v>1883</v>
      </c>
      <c r="S1101" s="270" t="s">
        <v>1884</v>
      </c>
      <c r="U1101" s="471"/>
      <c r="V1101" s="471"/>
      <c r="W1101" s="471" t="s">
        <v>1834</v>
      </c>
      <c r="X1101" s="471"/>
      <c r="Y1101" s="206"/>
      <c r="Z1101" s="206"/>
    </row>
    <row r="1102" spans="1:26">
      <c r="A1102" s="406">
        <v>1099</v>
      </c>
      <c r="B1102" s="613" t="s">
        <v>7020</v>
      </c>
      <c r="C1102" s="288" t="s">
        <v>1997</v>
      </c>
      <c r="D1102" s="414" t="s">
        <v>4884</v>
      </c>
      <c r="E1102" s="407" t="s">
        <v>4884</v>
      </c>
      <c r="F1102" s="483"/>
      <c r="G1102" s="483"/>
      <c r="H1102" s="483"/>
      <c r="I1102" s="483"/>
      <c r="J1102" s="483"/>
      <c r="K1102" s="483"/>
      <c r="L1102" s="608" t="s">
        <v>4884</v>
      </c>
      <c r="M1102" s="409" t="s">
        <v>4884</v>
      </c>
      <c r="N1102" s="409" t="s">
        <v>4884</v>
      </c>
      <c r="O1102" s="410" t="s">
        <v>4884</v>
      </c>
      <c r="P1102" s="406">
        <v>1099</v>
      </c>
      <c r="Q1102" s="270" t="s">
        <v>1997</v>
      </c>
      <c r="R1102" s="460" t="s">
        <v>1883</v>
      </c>
      <c r="S1102" s="270" t="s">
        <v>1884</v>
      </c>
      <c r="U1102" s="471"/>
      <c r="V1102" s="471"/>
      <c r="W1102" s="471" t="s">
        <v>1834</v>
      </c>
      <c r="X1102" s="471"/>
      <c r="Y1102" s="206"/>
      <c r="Z1102" s="206"/>
    </row>
    <row r="1103" spans="1:26">
      <c r="A1103" s="406">
        <v>1100</v>
      </c>
      <c r="B1103" s="613" t="s">
        <v>7020</v>
      </c>
      <c r="C1103" s="288" t="s">
        <v>1998</v>
      </c>
      <c r="D1103" s="414" t="s">
        <v>4884</v>
      </c>
      <c r="E1103" s="407" t="s">
        <v>4884</v>
      </c>
      <c r="F1103" s="483"/>
      <c r="G1103" s="483"/>
      <c r="H1103" s="483"/>
      <c r="I1103" s="483"/>
      <c r="J1103" s="483"/>
      <c r="K1103" s="483"/>
      <c r="L1103" s="608" t="s">
        <v>4884</v>
      </c>
      <c r="M1103" s="409" t="s">
        <v>4884</v>
      </c>
      <c r="N1103" s="409" t="s">
        <v>4884</v>
      </c>
      <c r="O1103" s="410" t="s">
        <v>4884</v>
      </c>
      <c r="P1103" s="406">
        <v>1100</v>
      </c>
      <c r="Q1103" s="270" t="s">
        <v>1998</v>
      </c>
      <c r="R1103" s="460" t="s">
        <v>1883</v>
      </c>
      <c r="S1103" s="270" t="s">
        <v>1884</v>
      </c>
      <c r="U1103" s="471"/>
      <c r="V1103" s="471"/>
      <c r="W1103" s="477"/>
      <c r="X1103" s="471"/>
      <c r="Y1103" s="206"/>
      <c r="Z1103" s="206"/>
    </row>
    <row r="1104" spans="1:26">
      <c r="A1104" s="406">
        <v>1101</v>
      </c>
      <c r="B1104" s="613" t="s">
        <v>7020</v>
      </c>
      <c r="C1104" s="288" t="s">
        <v>1999</v>
      </c>
      <c r="D1104" s="414" t="s">
        <v>4884</v>
      </c>
      <c r="E1104" s="407" t="s">
        <v>4884</v>
      </c>
      <c r="F1104" s="483"/>
      <c r="G1104" s="483"/>
      <c r="H1104" s="483"/>
      <c r="I1104" s="483"/>
      <c r="J1104" s="483"/>
      <c r="K1104" s="483"/>
      <c r="L1104" s="608" t="s">
        <v>4884</v>
      </c>
      <c r="M1104" s="409" t="s">
        <v>4884</v>
      </c>
      <c r="N1104" s="409" t="s">
        <v>4884</v>
      </c>
      <c r="O1104" s="410" t="s">
        <v>4884</v>
      </c>
      <c r="P1104" s="406">
        <v>1101</v>
      </c>
      <c r="Q1104" s="270" t="s">
        <v>1999</v>
      </c>
      <c r="R1104" s="460" t="s">
        <v>1883</v>
      </c>
      <c r="S1104" s="270" t="s">
        <v>1884</v>
      </c>
      <c r="U1104" s="471"/>
      <c r="V1104" s="471"/>
      <c r="W1104" s="477"/>
      <c r="X1104" s="471"/>
      <c r="Y1104" s="206"/>
      <c r="Z1104" s="206"/>
    </row>
    <row r="1105" spans="1:26">
      <c r="A1105" s="406">
        <v>1102</v>
      </c>
      <c r="B1105" s="613" t="s">
        <v>7020</v>
      </c>
      <c r="C1105" s="288" t="s">
        <v>2000</v>
      </c>
      <c r="D1105" s="414" t="s">
        <v>4884</v>
      </c>
      <c r="E1105" s="407" t="s">
        <v>4884</v>
      </c>
      <c r="F1105" s="483"/>
      <c r="G1105" s="483"/>
      <c r="H1105" s="483"/>
      <c r="I1105" s="483"/>
      <c r="J1105" s="483"/>
      <c r="K1105" s="483"/>
      <c r="L1105" s="608" t="s">
        <v>4884</v>
      </c>
      <c r="M1105" s="409" t="s">
        <v>4884</v>
      </c>
      <c r="N1105" s="409" t="s">
        <v>4884</v>
      </c>
      <c r="O1105" s="410" t="s">
        <v>4884</v>
      </c>
      <c r="P1105" s="406">
        <v>1102</v>
      </c>
      <c r="Q1105" s="270" t="s">
        <v>2000</v>
      </c>
      <c r="R1105" s="460" t="s">
        <v>1883</v>
      </c>
      <c r="S1105" s="270" t="s">
        <v>1884</v>
      </c>
      <c r="U1105" s="471"/>
      <c r="V1105" s="471"/>
      <c r="W1105" s="477"/>
      <c r="X1105" s="471"/>
      <c r="Y1105" s="206"/>
      <c r="Z1105" s="206"/>
    </row>
    <row r="1106" spans="1:26">
      <c r="A1106" s="406">
        <v>1103</v>
      </c>
      <c r="B1106" s="613" t="s">
        <v>7020</v>
      </c>
      <c r="C1106" s="288" t="s">
        <v>2001</v>
      </c>
      <c r="D1106" s="414" t="s">
        <v>4884</v>
      </c>
      <c r="E1106" s="407" t="s">
        <v>4884</v>
      </c>
      <c r="F1106" s="483"/>
      <c r="G1106" s="483"/>
      <c r="H1106" s="483"/>
      <c r="I1106" s="483"/>
      <c r="J1106" s="483"/>
      <c r="K1106" s="483"/>
      <c r="L1106" s="608" t="s">
        <v>4884</v>
      </c>
      <c r="M1106" s="409" t="s">
        <v>4884</v>
      </c>
      <c r="N1106" s="409" t="s">
        <v>4884</v>
      </c>
      <c r="O1106" s="410" t="s">
        <v>4884</v>
      </c>
      <c r="P1106" s="406">
        <v>1103</v>
      </c>
      <c r="Q1106" s="270" t="s">
        <v>2001</v>
      </c>
      <c r="R1106" s="460" t="s">
        <v>1883</v>
      </c>
      <c r="S1106" s="270" t="s">
        <v>1884</v>
      </c>
      <c r="U1106" s="471"/>
      <c r="V1106" s="471"/>
      <c r="W1106" s="477"/>
      <c r="X1106" s="471"/>
      <c r="Y1106" s="206"/>
      <c r="Z1106" s="206"/>
    </row>
    <row r="1107" spans="1:26">
      <c r="A1107" s="406">
        <v>1104</v>
      </c>
      <c r="B1107" s="613" t="s">
        <v>7020</v>
      </c>
      <c r="C1107" s="288" t="s">
        <v>2002</v>
      </c>
      <c r="D1107" s="414" t="s">
        <v>4884</v>
      </c>
      <c r="E1107" s="407" t="s">
        <v>4884</v>
      </c>
      <c r="F1107" s="483"/>
      <c r="G1107" s="483"/>
      <c r="H1107" s="483"/>
      <c r="I1107" s="483"/>
      <c r="J1107" s="483"/>
      <c r="K1107" s="483"/>
      <c r="L1107" s="608" t="s">
        <v>4884</v>
      </c>
      <c r="M1107" s="409" t="s">
        <v>4884</v>
      </c>
      <c r="N1107" s="409" t="s">
        <v>4884</v>
      </c>
      <c r="O1107" s="410" t="s">
        <v>4884</v>
      </c>
      <c r="P1107" s="406">
        <v>1104</v>
      </c>
      <c r="Q1107" s="270" t="s">
        <v>2002</v>
      </c>
      <c r="R1107" s="460" t="s">
        <v>1883</v>
      </c>
      <c r="S1107" s="270" t="s">
        <v>1884</v>
      </c>
      <c r="U1107" s="471"/>
      <c r="V1107" s="471"/>
      <c r="W1107" s="477"/>
      <c r="X1107" s="471"/>
      <c r="Y1107" s="206"/>
      <c r="Z1107" s="206"/>
    </row>
    <row r="1108" spans="1:26">
      <c r="A1108" s="406">
        <v>1105</v>
      </c>
      <c r="B1108" s="613" t="s">
        <v>7020</v>
      </c>
      <c r="C1108" s="288" t="s">
        <v>2003</v>
      </c>
      <c r="D1108" s="414" t="s">
        <v>4884</v>
      </c>
      <c r="E1108" s="407" t="s">
        <v>4884</v>
      </c>
      <c r="F1108" s="483"/>
      <c r="G1108" s="483"/>
      <c r="H1108" s="483"/>
      <c r="I1108" s="483"/>
      <c r="J1108" s="483"/>
      <c r="K1108" s="483"/>
      <c r="L1108" s="608" t="s">
        <v>4884</v>
      </c>
      <c r="M1108" s="409" t="s">
        <v>4884</v>
      </c>
      <c r="N1108" s="409" t="s">
        <v>4884</v>
      </c>
      <c r="O1108" s="410" t="s">
        <v>4884</v>
      </c>
      <c r="P1108" s="406">
        <v>1105</v>
      </c>
      <c r="Q1108" s="270" t="s">
        <v>2003</v>
      </c>
      <c r="R1108" s="460" t="s">
        <v>1883</v>
      </c>
      <c r="S1108" s="270" t="s">
        <v>1884</v>
      </c>
      <c r="U1108" s="471"/>
      <c r="V1108" s="471"/>
      <c r="W1108" s="477"/>
      <c r="X1108" s="471"/>
      <c r="Y1108" s="206"/>
      <c r="Z1108" s="206"/>
    </row>
    <row r="1109" spans="1:26">
      <c r="A1109" s="406">
        <v>1106</v>
      </c>
      <c r="B1109" s="613" t="s">
        <v>7020</v>
      </c>
      <c r="C1109" s="288" t="s">
        <v>2004</v>
      </c>
      <c r="D1109" s="414" t="s">
        <v>4884</v>
      </c>
      <c r="E1109" s="407" t="s">
        <v>4884</v>
      </c>
      <c r="F1109" s="483"/>
      <c r="G1109" s="483"/>
      <c r="H1109" s="483"/>
      <c r="I1109" s="483"/>
      <c r="J1109" s="483"/>
      <c r="K1109" s="483"/>
      <c r="L1109" s="608" t="s">
        <v>4884</v>
      </c>
      <c r="M1109" s="409" t="s">
        <v>4884</v>
      </c>
      <c r="N1109" s="409" t="s">
        <v>4884</v>
      </c>
      <c r="O1109" s="410" t="s">
        <v>4884</v>
      </c>
      <c r="P1109" s="406">
        <v>1106</v>
      </c>
      <c r="Q1109" s="270" t="s">
        <v>2004</v>
      </c>
      <c r="R1109" s="460" t="s">
        <v>1883</v>
      </c>
      <c r="S1109" s="270" t="s">
        <v>1884</v>
      </c>
      <c r="U1109" s="471"/>
      <c r="V1109" s="471"/>
      <c r="W1109" s="477"/>
      <c r="X1109" s="471"/>
      <c r="Y1109" s="206"/>
      <c r="Z1109" s="206"/>
    </row>
    <row r="1110" spans="1:26">
      <c r="A1110" s="406">
        <v>1107</v>
      </c>
      <c r="B1110" s="613" t="s">
        <v>7020</v>
      </c>
      <c r="C1110" s="288" t="s">
        <v>2005</v>
      </c>
      <c r="D1110" s="414" t="s">
        <v>4884</v>
      </c>
      <c r="E1110" s="407" t="s">
        <v>4884</v>
      </c>
      <c r="F1110" s="483"/>
      <c r="G1110" s="483"/>
      <c r="H1110" s="483"/>
      <c r="I1110" s="483"/>
      <c r="J1110" s="483"/>
      <c r="K1110" s="483"/>
      <c r="L1110" s="608" t="s">
        <v>4884</v>
      </c>
      <c r="M1110" s="409" t="s">
        <v>4884</v>
      </c>
      <c r="N1110" s="409" t="s">
        <v>4884</v>
      </c>
      <c r="O1110" s="410" t="s">
        <v>4884</v>
      </c>
      <c r="P1110" s="406">
        <v>1107</v>
      </c>
      <c r="Q1110" s="270" t="s">
        <v>2005</v>
      </c>
      <c r="R1110" s="460" t="s">
        <v>1883</v>
      </c>
      <c r="S1110" s="270" t="s">
        <v>1884</v>
      </c>
      <c r="U1110" s="471"/>
      <c r="V1110" s="471"/>
      <c r="W1110" s="477"/>
      <c r="X1110" s="471"/>
      <c r="Y1110" s="206"/>
      <c r="Z1110" s="206"/>
    </row>
    <row r="1111" spans="1:26">
      <c r="A1111" s="406">
        <v>1108</v>
      </c>
      <c r="B1111" s="613" t="s">
        <v>7020</v>
      </c>
      <c r="C1111" s="288" t="s">
        <v>2006</v>
      </c>
      <c r="D1111" s="414" t="s">
        <v>4884</v>
      </c>
      <c r="E1111" s="407" t="s">
        <v>4884</v>
      </c>
      <c r="F1111" s="483"/>
      <c r="G1111" s="483"/>
      <c r="H1111" s="483"/>
      <c r="I1111" s="483"/>
      <c r="J1111" s="483"/>
      <c r="K1111" s="483"/>
      <c r="L1111" s="608" t="s">
        <v>4884</v>
      </c>
      <c r="M1111" s="409" t="s">
        <v>4884</v>
      </c>
      <c r="N1111" s="409" t="s">
        <v>4884</v>
      </c>
      <c r="O1111" s="410" t="s">
        <v>4884</v>
      </c>
      <c r="P1111" s="406">
        <v>1108</v>
      </c>
      <c r="Q1111" s="270" t="s">
        <v>2006</v>
      </c>
      <c r="R1111" s="460" t="s">
        <v>1883</v>
      </c>
      <c r="S1111" s="270" t="s">
        <v>1884</v>
      </c>
      <c r="U1111" s="471"/>
      <c r="V1111" s="471"/>
      <c r="W1111" s="477"/>
      <c r="X1111" s="471"/>
      <c r="Y1111" s="206"/>
      <c r="Z1111" s="206"/>
    </row>
    <row r="1112" spans="1:26">
      <c r="A1112" s="406">
        <v>1109</v>
      </c>
      <c r="B1112" s="613" t="s">
        <v>7020</v>
      </c>
      <c r="C1112" s="288" t="s">
        <v>2007</v>
      </c>
      <c r="D1112" s="414" t="s">
        <v>4884</v>
      </c>
      <c r="E1112" s="407" t="s">
        <v>4884</v>
      </c>
      <c r="F1112" s="483"/>
      <c r="G1112" s="483"/>
      <c r="H1112" s="483"/>
      <c r="I1112" s="483"/>
      <c r="J1112" s="483"/>
      <c r="K1112" s="483"/>
      <c r="L1112" s="608" t="s">
        <v>4884</v>
      </c>
      <c r="M1112" s="409" t="s">
        <v>4884</v>
      </c>
      <c r="N1112" s="409" t="s">
        <v>4884</v>
      </c>
      <c r="O1112" s="410" t="s">
        <v>4884</v>
      </c>
      <c r="P1112" s="406">
        <v>1109</v>
      </c>
      <c r="Q1112" s="270" t="s">
        <v>2007</v>
      </c>
      <c r="R1112" s="460" t="s">
        <v>1883</v>
      </c>
      <c r="S1112" s="270" t="s">
        <v>1884</v>
      </c>
      <c r="U1112" s="471"/>
      <c r="V1112" s="471"/>
      <c r="W1112" s="477"/>
      <c r="X1112" s="471"/>
      <c r="Y1112" s="206"/>
      <c r="Z1112" s="206"/>
    </row>
    <row r="1113" spans="1:26">
      <c r="A1113" s="406">
        <v>1110</v>
      </c>
      <c r="B1113" s="613" t="s">
        <v>7020</v>
      </c>
      <c r="C1113" s="288" t="s">
        <v>2008</v>
      </c>
      <c r="D1113" s="414" t="s">
        <v>4884</v>
      </c>
      <c r="E1113" s="407" t="s">
        <v>4884</v>
      </c>
      <c r="F1113" s="483"/>
      <c r="G1113" s="483"/>
      <c r="H1113" s="483"/>
      <c r="I1113" s="483"/>
      <c r="J1113" s="483"/>
      <c r="K1113" s="483"/>
      <c r="L1113" s="608" t="s">
        <v>4884</v>
      </c>
      <c r="M1113" s="409" t="s">
        <v>4884</v>
      </c>
      <c r="N1113" s="409" t="s">
        <v>4884</v>
      </c>
      <c r="O1113" s="410" t="s">
        <v>4884</v>
      </c>
      <c r="P1113" s="406">
        <v>1110</v>
      </c>
      <c r="Q1113" s="270" t="s">
        <v>2008</v>
      </c>
      <c r="R1113" s="460" t="s">
        <v>1883</v>
      </c>
      <c r="S1113" s="270" t="s">
        <v>1884</v>
      </c>
      <c r="U1113" s="471"/>
      <c r="V1113" s="471"/>
      <c r="W1113" s="477"/>
      <c r="X1113" s="471"/>
      <c r="Y1113" s="206"/>
      <c r="Z1113" s="206"/>
    </row>
    <row r="1114" spans="1:26">
      <c r="A1114" s="406">
        <v>1111</v>
      </c>
      <c r="B1114" s="613" t="s">
        <v>7020</v>
      </c>
      <c r="C1114" s="288" t="s">
        <v>2009</v>
      </c>
      <c r="D1114" s="414" t="s">
        <v>4884</v>
      </c>
      <c r="E1114" s="407" t="s">
        <v>4884</v>
      </c>
      <c r="F1114" s="483"/>
      <c r="G1114" s="483"/>
      <c r="H1114" s="483"/>
      <c r="I1114" s="483"/>
      <c r="J1114" s="483"/>
      <c r="K1114" s="483"/>
      <c r="L1114" s="608" t="s">
        <v>4884</v>
      </c>
      <c r="M1114" s="409" t="s">
        <v>4884</v>
      </c>
      <c r="N1114" s="409" t="s">
        <v>4884</v>
      </c>
      <c r="O1114" s="410" t="s">
        <v>4884</v>
      </c>
      <c r="P1114" s="406">
        <v>1111</v>
      </c>
      <c r="Q1114" s="270" t="s">
        <v>2009</v>
      </c>
      <c r="R1114" s="460" t="s">
        <v>1883</v>
      </c>
      <c r="S1114" s="270" t="s">
        <v>1884</v>
      </c>
      <c r="U1114" s="471"/>
      <c r="V1114" s="471"/>
      <c r="W1114" s="477"/>
      <c r="X1114" s="471"/>
      <c r="Y1114" s="206"/>
      <c r="Z1114" s="206"/>
    </row>
    <row r="1115" spans="1:26">
      <c r="A1115" s="406">
        <v>1112</v>
      </c>
      <c r="B1115" s="613" t="s">
        <v>7020</v>
      </c>
      <c r="C1115" s="288" t="s">
        <v>2010</v>
      </c>
      <c r="D1115" s="414" t="s">
        <v>4884</v>
      </c>
      <c r="E1115" s="407" t="s">
        <v>4884</v>
      </c>
      <c r="F1115" s="483"/>
      <c r="G1115" s="483"/>
      <c r="H1115" s="483"/>
      <c r="I1115" s="483"/>
      <c r="J1115" s="483"/>
      <c r="K1115" s="483"/>
      <c r="L1115" s="608" t="s">
        <v>4884</v>
      </c>
      <c r="M1115" s="409" t="s">
        <v>4884</v>
      </c>
      <c r="N1115" s="409" t="s">
        <v>4884</v>
      </c>
      <c r="O1115" s="410" t="s">
        <v>4884</v>
      </c>
      <c r="P1115" s="406">
        <v>1112</v>
      </c>
      <c r="Q1115" s="270" t="s">
        <v>2010</v>
      </c>
      <c r="R1115" s="460" t="s">
        <v>1883</v>
      </c>
      <c r="S1115" s="270" t="s">
        <v>1884</v>
      </c>
      <c r="U1115" s="471"/>
      <c r="V1115" s="471"/>
      <c r="W1115" s="477"/>
      <c r="X1115" s="471"/>
      <c r="Y1115" s="206"/>
      <c r="Z1115" s="206"/>
    </row>
    <row r="1116" spans="1:26">
      <c r="A1116" s="406">
        <v>1113</v>
      </c>
      <c r="B1116" s="613" t="s">
        <v>7020</v>
      </c>
      <c r="C1116" s="288" t="s">
        <v>2011</v>
      </c>
      <c r="D1116" s="414" t="s">
        <v>4884</v>
      </c>
      <c r="E1116" s="407" t="s">
        <v>4884</v>
      </c>
      <c r="F1116" s="483"/>
      <c r="G1116" s="483"/>
      <c r="H1116" s="483"/>
      <c r="I1116" s="483"/>
      <c r="J1116" s="483"/>
      <c r="K1116" s="483"/>
      <c r="L1116" s="608" t="s">
        <v>4884</v>
      </c>
      <c r="M1116" s="409" t="s">
        <v>4884</v>
      </c>
      <c r="N1116" s="409" t="s">
        <v>4884</v>
      </c>
      <c r="O1116" s="410" t="s">
        <v>4884</v>
      </c>
      <c r="P1116" s="406">
        <v>1113</v>
      </c>
      <c r="Q1116" s="270" t="s">
        <v>2011</v>
      </c>
      <c r="R1116" s="460" t="s">
        <v>1883</v>
      </c>
      <c r="S1116" s="270" t="s">
        <v>1884</v>
      </c>
      <c r="U1116" s="471"/>
      <c r="V1116" s="471"/>
      <c r="W1116" s="477"/>
      <c r="X1116" s="471"/>
      <c r="Y1116" s="206"/>
      <c r="Z1116" s="206"/>
    </row>
    <row r="1117" spans="1:26">
      <c r="A1117" s="406">
        <v>1114</v>
      </c>
      <c r="B1117" s="613" t="s">
        <v>7020</v>
      </c>
      <c r="C1117" s="288" t="s">
        <v>2012</v>
      </c>
      <c r="D1117" s="414" t="s">
        <v>4884</v>
      </c>
      <c r="E1117" s="407" t="s">
        <v>4884</v>
      </c>
      <c r="F1117" s="483"/>
      <c r="G1117" s="483"/>
      <c r="H1117" s="483"/>
      <c r="I1117" s="483"/>
      <c r="J1117" s="483"/>
      <c r="K1117" s="483"/>
      <c r="L1117" s="608" t="s">
        <v>4884</v>
      </c>
      <c r="M1117" s="409" t="s">
        <v>4884</v>
      </c>
      <c r="N1117" s="409" t="s">
        <v>4884</v>
      </c>
      <c r="O1117" s="410" t="s">
        <v>4884</v>
      </c>
      <c r="P1117" s="406">
        <v>1114</v>
      </c>
      <c r="Q1117" s="270" t="s">
        <v>2012</v>
      </c>
      <c r="R1117" s="460" t="s">
        <v>1883</v>
      </c>
      <c r="S1117" s="270" t="s">
        <v>1884</v>
      </c>
      <c r="U1117" s="471"/>
      <c r="V1117" s="471"/>
      <c r="W1117" s="477"/>
      <c r="X1117" s="471"/>
      <c r="Y1117" s="206"/>
      <c r="Z1117" s="206"/>
    </row>
    <row r="1118" spans="1:26">
      <c r="A1118" s="406">
        <v>1115</v>
      </c>
      <c r="B1118" s="613" t="s">
        <v>7020</v>
      </c>
      <c r="C1118" s="288" t="s">
        <v>2013</v>
      </c>
      <c r="D1118" s="414" t="s">
        <v>4884</v>
      </c>
      <c r="E1118" s="407" t="s">
        <v>4884</v>
      </c>
      <c r="F1118" s="483"/>
      <c r="G1118" s="483"/>
      <c r="H1118" s="483"/>
      <c r="I1118" s="483"/>
      <c r="J1118" s="483"/>
      <c r="K1118" s="483"/>
      <c r="L1118" s="608" t="s">
        <v>4884</v>
      </c>
      <c r="M1118" s="409" t="s">
        <v>4884</v>
      </c>
      <c r="N1118" s="409" t="s">
        <v>4884</v>
      </c>
      <c r="O1118" s="410" t="s">
        <v>4884</v>
      </c>
      <c r="P1118" s="406">
        <v>1115</v>
      </c>
      <c r="Q1118" s="270" t="s">
        <v>2013</v>
      </c>
      <c r="R1118" s="460" t="s">
        <v>1883</v>
      </c>
      <c r="S1118" s="270" t="s">
        <v>1884</v>
      </c>
      <c r="U1118" s="471"/>
      <c r="V1118" s="471"/>
      <c r="W1118" s="477"/>
      <c r="X1118" s="471"/>
      <c r="Y1118" s="206"/>
      <c r="Z1118" s="206"/>
    </row>
    <row r="1119" spans="1:26">
      <c r="A1119" s="406">
        <v>1116</v>
      </c>
      <c r="B1119" s="613" t="s">
        <v>7020</v>
      </c>
      <c r="C1119" s="288" t="s">
        <v>2014</v>
      </c>
      <c r="D1119" s="414" t="s">
        <v>4884</v>
      </c>
      <c r="E1119" s="407" t="s">
        <v>4884</v>
      </c>
      <c r="F1119" s="483"/>
      <c r="G1119" s="483"/>
      <c r="H1119" s="483"/>
      <c r="I1119" s="483"/>
      <c r="J1119" s="483"/>
      <c r="K1119" s="483"/>
      <c r="L1119" s="608" t="s">
        <v>4884</v>
      </c>
      <c r="M1119" s="409" t="s">
        <v>4884</v>
      </c>
      <c r="N1119" s="409" t="s">
        <v>4884</v>
      </c>
      <c r="O1119" s="410" t="s">
        <v>4884</v>
      </c>
      <c r="P1119" s="406">
        <v>1116</v>
      </c>
      <c r="Q1119" s="270" t="s">
        <v>2014</v>
      </c>
      <c r="R1119" s="460" t="s">
        <v>1883</v>
      </c>
      <c r="S1119" s="270" t="s">
        <v>1884</v>
      </c>
      <c r="U1119" s="471"/>
      <c r="V1119" s="471"/>
      <c r="W1119" s="477"/>
      <c r="X1119" s="471"/>
      <c r="Y1119" s="206"/>
      <c r="Z1119" s="206"/>
    </row>
    <row r="1120" spans="1:26">
      <c r="A1120" s="406">
        <v>1117</v>
      </c>
      <c r="B1120" s="613" t="s">
        <v>7020</v>
      </c>
      <c r="C1120" s="288" t="s">
        <v>2015</v>
      </c>
      <c r="D1120" s="414" t="s">
        <v>4884</v>
      </c>
      <c r="E1120" s="407" t="s">
        <v>4884</v>
      </c>
      <c r="F1120" s="483"/>
      <c r="G1120" s="483"/>
      <c r="H1120" s="483"/>
      <c r="I1120" s="483"/>
      <c r="J1120" s="483"/>
      <c r="K1120" s="483"/>
      <c r="L1120" s="608" t="s">
        <v>4884</v>
      </c>
      <c r="M1120" s="409" t="s">
        <v>4884</v>
      </c>
      <c r="N1120" s="409" t="s">
        <v>4884</v>
      </c>
      <c r="O1120" s="410" t="s">
        <v>4884</v>
      </c>
      <c r="P1120" s="406">
        <v>1117</v>
      </c>
      <c r="Q1120" s="270" t="s">
        <v>2015</v>
      </c>
      <c r="R1120" s="460" t="s">
        <v>1883</v>
      </c>
      <c r="S1120" s="270" t="s">
        <v>1884</v>
      </c>
      <c r="U1120" s="471"/>
      <c r="V1120" s="471"/>
      <c r="W1120" s="477"/>
      <c r="X1120" s="471"/>
      <c r="Y1120" s="206"/>
      <c r="Z1120" s="206"/>
    </row>
    <row r="1121" spans="1:26">
      <c r="A1121" s="406">
        <v>1118</v>
      </c>
      <c r="B1121" s="613" t="s">
        <v>7020</v>
      </c>
      <c r="C1121" s="288" t="s">
        <v>2016</v>
      </c>
      <c r="D1121" s="414" t="s">
        <v>4884</v>
      </c>
      <c r="E1121" s="407" t="s">
        <v>4884</v>
      </c>
      <c r="F1121" s="483"/>
      <c r="G1121" s="483"/>
      <c r="H1121" s="483"/>
      <c r="I1121" s="483"/>
      <c r="J1121" s="483"/>
      <c r="K1121" s="483"/>
      <c r="L1121" s="608" t="s">
        <v>4884</v>
      </c>
      <c r="M1121" s="409" t="s">
        <v>4884</v>
      </c>
      <c r="N1121" s="409" t="s">
        <v>4884</v>
      </c>
      <c r="O1121" s="410" t="s">
        <v>4884</v>
      </c>
      <c r="P1121" s="406">
        <v>1118</v>
      </c>
      <c r="Q1121" s="270" t="s">
        <v>2016</v>
      </c>
      <c r="R1121" s="460" t="s">
        <v>1883</v>
      </c>
      <c r="S1121" s="270" t="s">
        <v>1884</v>
      </c>
      <c r="U1121" s="471"/>
      <c r="V1121" s="471"/>
      <c r="W1121" s="477"/>
      <c r="X1121" s="471"/>
      <c r="Y1121" s="206"/>
      <c r="Z1121" s="206"/>
    </row>
    <row r="1122" spans="1:26">
      <c r="A1122" s="406">
        <v>1119</v>
      </c>
      <c r="B1122" s="613" t="s">
        <v>7020</v>
      </c>
      <c r="C1122" s="288" t="s">
        <v>2017</v>
      </c>
      <c r="D1122" s="414" t="s">
        <v>4884</v>
      </c>
      <c r="E1122" s="407" t="s">
        <v>4884</v>
      </c>
      <c r="F1122" s="483"/>
      <c r="G1122" s="483"/>
      <c r="H1122" s="483"/>
      <c r="I1122" s="483"/>
      <c r="J1122" s="483"/>
      <c r="K1122" s="483"/>
      <c r="L1122" s="608" t="s">
        <v>4884</v>
      </c>
      <c r="M1122" s="409" t="s">
        <v>4884</v>
      </c>
      <c r="N1122" s="409" t="s">
        <v>4884</v>
      </c>
      <c r="O1122" s="410" t="s">
        <v>4884</v>
      </c>
      <c r="P1122" s="406">
        <v>1119</v>
      </c>
      <c r="Q1122" s="270" t="s">
        <v>2017</v>
      </c>
      <c r="R1122" s="460" t="s">
        <v>1883</v>
      </c>
      <c r="S1122" s="270" t="s">
        <v>1884</v>
      </c>
      <c r="U1122" s="471"/>
      <c r="V1122" s="471"/>
      <c r="W1122" s="477"/>
      <c r="X1122" s="471"/>
      <c r="Y1122" s="206"/>
      <c r="Z1122" s="206"/>
    </row>
    <row r="1123" spans="1:26">
      <c r="A1123" s="406">
        <v>1120</v>
      </c>
      <c r="B1123" s="613" t="s">
        <v>7020</v>
      </c>
      <c r="C1123" s="288" t="s">
        <v>2018</v>
      </c>
      <c r="D1123" s="414" t="s">
        <v>4884</v>
      </c>
      <c r="E1123" s="407" t="s">
        <v>4884</v>
      </c>
      <c r="F1123" s="483"/>
      <c r="G1123" s="483"/>
      <c r="H1123" s="483"/>
      <c r="I1123" s="483"/>
      <c r="J1123" s="483"/>
      <c r="K1123" s="483"/>
      <c r="L1123" s="608" t="s">
        <v>4884</v>
      </c>
      <c r="M1123" s="409" t="s">
        <v>4884</v>
      </c>
      <c r="N1123" s="409" t="s">
        <v>4884</v>
      </c>
      <c r="O1123" s="410" t="s">
        <v>4884</v>
      </c>
      <c r="P1123" s="406">
        <v>1120</v>
      </c>
      <c r="Q1123" s="270" t="s">
        <v>2018</v>
      </c>
      <c r="R1123" s="460" t="s">
        <v>1883</v>
      </c>
      <c r="S1123" s="270" t="s">
        <v>1884</v>
      </c>
      <c r="U1123" s="471"/>
      <c r="V1123" s="471"/>
      <c r="W1123" s="477"/>
      <c r="X1123" s="471"/>
      <c r="Y1123" s="206"/>
      <c r="Z1123" s="206"/>
    </row>
    <row r="1124" spans="1:26">
      <c r="A1124" s="406">
        <v>1121</v>
      </c>
      <c r="B1124" s="613" t="s">
        <v>7020</v>
      </c>
      <c r="C1124" s="288" t="s">
        <v>2019</v>
      </c>
      <c r="D1124" s="414" t="s">
        <v>4884</v>
      </c>
      <c r="E1124" s="407" t="s">
        <v>4884</v>
      </c>
      <c r="F1124" s="483"/>
      <c r="G1124" s="483"/>
      <c r="H1124" s="483"/>
      <c r="I1124" s="483"/>
      <c r="J1124" s="483"/>
      <c r="K1124" s="483"/>
      <c r="L1124" s="608" t="s">
        <v>4884</v>
      </c>
      <c r="M1124" s="409" t="s">
        <v>4884</v>
      </c>
      <c r="N1124" s="409" t="s">
        <v>4884</v>
      </c>
      <c r="O1124" s="410" t="s">
        <v>4884</v>
      </c>
      <c r="P1124" s="406">
        <v>1121</v>
      </c>
      <c r="Q1124" s="270" t="s">
        <v>2019</v>
      </c>
      <c r="R1124" s="460" t="s">
        <v>1883</v>
      </c>
      <c r="S1124" s="270" t="s">
        <v>1884</v>
      </c>
      <c r="U1124" s="471"/>
      <c r="V1124" s="471"/>
      <c r="W1124" s="477"/>
      <c r="X1124" s="471"/>
      <c r="Y1124" s="206"/>
      <c r="Z1124" s="206"/>
    </row>
    <row r="1125" spans="1:26">
      <c r="A1125" s="406">
        <v>1122</v>
      </c>
      <c r="B1125" s="613" t="s">
        <v>7020</v>
      </c>
      <c r="C1125" s="288" t="s">
        <v>2020</v>
      </c>
      <c r="D1125" s="414" t="s">
        <v>4884</v>
      </c>
      <c r="E1125" s="407" t="s">
        <v>4884</v>
      </c>
      <c r="F1125" s="483"/>
      <c r="G1125" s="483"/>
      <c r="H1125" s="483"/>
      <c r="I1125" s="483"/>
      <c r="J1125" s="483"/>
      <c r="K1125" s="483"/>
      <c r="L1125" s="608" t="s">
        <v>4884</v>
      </c>
      <c r="M1125" s="409" t="s">
        <v>4884</v>
      </c>
      <c r="N1125" s="409" t="s">
        <v>4884</v>
      </c>
      <c r="O1125" s="410" t="s">
        <v>4884</v>
      </c>
      <c r="P1125" s="406">
        <v>1122</v>
      </c>
      <c r="Q1125" s="270" t="s">
        <v>2020</v>
      </c>
      <c r="R1125" s="460" t="s">
        <v>1883</v>
      </c>
      <c r="S1125" s="270" t="s">
        <v>1884</v>
      </c>
      <c r="U1125" s="471"/>
      <c r="V1125" s="471"/>
      <c r="W1125" s="478"/>
      <c r="X1125" s="471"/>
      <c r="Y1125" s="206"/>
      <c r="Z1125" s="206"/>
    </row>
    <row r="1126" spans="1:26">
      <c r="A1126" s="406">
        <v>1123</v>
      </c>
      <c r="B1126" s="613" t="s">
        <v>7020</v>
      </c>
      <c r="C1126" s="288" t="s">
        <v>2021</v>
      </c>
      <c r="D1126" s="414" t="s">
        <v>4884</v>
      </c>
      <c r="E1126" s="407" t="s">
        <v>4884</v>
      </c>
      <c r="F1126" s="483"/>
      <c r="G1126" s="483"/>
      <c r="H1126" s="483"/>
      <c r="I1126" s="483"/>
      <c r="J1126" s="483"/>
      <c r="K1126" s="483"/>
      <c r="L1126" s="608" t="s">
        <v>4884</v>
      </c>
      <c r="M1126" s="409" t="s">
        <v>4884</v>
      </c>
      <c r="N1126" s="409" t="s">
        <v>4884</v>
      </c>
      <c r="O1126" s="410" t="s">
        <v>4884</v>
      </c>
      <c r="P1126" s="406">
        <v>1123</v>
      </c>
      <c r="Q1126" s="270" t="s">
        <v>2021</v>
      </c>
      <c r="R1126" s="460" t="s">
        <v>1883</v>
      </c>
      <c r="S1126" s="270" t="s">
        <v>1884</v>
      </c>
      <c r="U1126" s="471"/>
      <c r="V1126" s="471"/>
      <c r="W1126" s="478"/>
      <c r="X1126" s="471"/>
      <c r="Y1126" s="206"/>
      <c r="Z1126" s="206"/>
    </row>
    <row r="1127" spans="1:26">
      <c r="A1127" s="406">
        <v>1124</v>
      </c>
      <c r="B1127" s="613" t="s">
        <v>7020</v>
      </c>
      <c r="C1127" s="288" t="s">
        <v>2022</v>
      </c>
      <c r="D1127" s="414" t="s">
        <v>4884</v>
      </c>
      <c r="E1127" s="407" t="s">
        <v>4884</v>
      </c>
      <c r="F1127" s="483"/>
      <c r="G1127" s="483"/>
      <c r="H1127" s="483"/>
      <c r="I1127" s="483"/>
      <c r="J1127" s="483"/>
      <c r="K1127" s="483"/>
      <c r="L1127" s="608" t="s">
        <v>4884</v>
      </c>
      <c r="M1127" s="409" t="s">
        <v>4884</v>
      </c>
      <c r="N1127" s="409" t="s">
        <v>4884</v>
      </c>
      <c r="O1127" s="410" t="s">
        <v>4884</v>
      </c>
      <c r="P1127" s="406">
        <v>1124</v>
      </c>
      <c r="Q1127" s="270" t="s">
        <v>2022</v>
      </c>
      <c r="R1127" s="460" t="s">
        <v>1883</v>
      </c>
      <c r="S1127" s="270" t="s">
        <v>1884</v>
      </c>
      <c r="U1127" s="471"/>
      <c r="V1127" s="471"/>
      <c r="W1127" s="471"/>
      <c r="X1127" s="471"/>
      <c r="Y1127" s="206"/>
      <c r="Z1127" s="206"/>
    </row>
    <row r="1128" spans="1:26">
      <c r="A1128" s="406">
        <v>1125</v>
      </c>
      <c r="B1128" s="613" t="s">
        <v>7020</v>
      </c>
      <c r="C1128" s="288" t="s">
        <v>2023</v>
      </c>
      <c r="D1128" s="414" t="s">
        <v>4884</v>
      </c>
      <c r="E1128" s="407" t="s">
        <v>4884</v>
      </c>
      <c r="F1128" s="483"/>
      <c r="G1128" s="483"/>
      <c r="H1128" s="483"/>
      <c r="I1128" s="483"/>
      <c r="J1128" s="483"/>
      <c r="K1128" s="483"/>
      <c r="L1128" s="608" t="s">
        <v>4884</v>
      </c>
      <c r="M1128" s="409" t="s">
        <v>4884</v>
      </c>
      <c r="N1128" s="409" t="s">
        <v>4884</v>
      </c>
      <c r="O1128" s="410" t="s">
        <v>4884</v>
      </c>
      <c r="P1128" s="406">
        <v>1125</v>
      </c>
      <c r="Q1128" s="270" t="s">
        <v>2023</v>
      </c>
      <c r="R1128" s="460" t="s">
        <v>1883</v>
      </c>
      <c r="S1128" s="270" t="s">
        <v>1884</v>
      </c>
      <c r="U1128" s="471"/>
      <c r="V1128" s="471"/>
      <c r="W1128" s="522"/>
      <c r="X1128" s="471"/>
      <c r="Y1128" s="206"/>
      <c r="Z1128" s="206"/>
    </row>
    <row r="1129" spans="1:26">
      <c r="A1129" s="406">
        <v>1126</v>
      </c>
      <c r="B1129" s="613" t="s">
        <v>7020</v>
      </c>
      <c r="C1129" s="288" t="s">
        <v>2024</v>
      </c>
      <c r="D1129" s="414" t="s">
        <v>4884</v>
      </c>
      <c r="E1129" s="407" t="s">
        <v>4884</v>
      </c>
      <c r="F1129" s="483"/>
      <c r="G1129" s="483"/>
      <c r="H1129" s="483"/>
      <c r="I1129" s="483"/>
      <c r="J1129" s="483"/>
      <c r="K1129" s="483"/>
      <c r="L1129" s="608" t="s">
        <v>4884</v>
      </c>
      <c r="M1129" s="409" t="s">
        <v>4884</v>
      </c>
      <c r="N1129" s="409" t="s">
        <v>4884</v>
      </c>
      <c r="O1129" s="410" t="s">
        <v>4884</v>
      </c>
      <c r="P1129" s="406">
        <v>1126</v>
      </c>
      <c r="Q1129" s="270" t="s">
        <v>2024</v>
      </c>
      <c r="R1129" s="460" t="s">
        <v>1883</v>
      </c>
      <c r="S1129" s="270" t="s">
        <v>1884</v>
      </c>
      <c r="U1129" s="471"/>
      <c r="V1129" s="471"/>
      <c r="W1129" s="522"/>
      <c r="X1129" s="471"/>
      <c r="Y1129" s="206"/>
      <c r="Z1129" s="206"/>
    </row>
    <row r="1130" spans="1:26">
      <c r="A1130" s="406">
        <v>1127</v>
      </c>
      <c r="B1130" s="613" t="s">
        <v>7020</v>
      </c>
      <c r="C1130" s="288" t="s">
        <v>2025</v>
      </c>
      <c r="D1130" s="414" t="s">
        <v>4884</v>
      </c>
      <c r="E1130" s="407" t="s">
        <v>4884</v>
      </c>
      <c r="F1130" s="483"/>
      <c r="G1130" s="483"/>
      <c r="H1130" s="483"/>
      <c r="I1130" s="483"/>
      <c r="J1130" s="483"/>
      <c r="K1130" s="483"/>
      <c r="L1130" s="608" t="s">
        <v>4884</v>
      </c>
      <c r="M1130" s="409" t="s">
        <v>4884</v>
      </c>
      <c r="N1130" s="409" t="s">
        <v>4884</v>
      </c>
      <c r="O1130" s="410" t="s">
        <v>4884</v>
      </c>
      <c r="P1130" s="406">
        <v>1127</v>
      </c>
      <c r="Q1130" s="270" t="s">
        <v>2025</v>
      </c>
      <c r="R1130" s="460" t="s">
        <v>1883</v>
      </c>
      <c r="S1130" s="270" t="s">
        <v>1884</v>
      </c>
      <c r="U1130" s="471"/>
      <c r="V1130" s="471"/>
      <c r="W1130" s="469"/>
      <c r="X1130" s="471"/>
      <c r="Y1130" s="206"/>
      <c r="Z1130" s="206"/>
    </row>
    <row r="1131" spans="1:26">
      <c r="A1131" s="406">
        <v>1128</v>
      </c>
      <c r="B1131" s="613" t="s">
        <v>7020</v>
      </c>
      <c r="C1131" s="288" t="s">
        <v>2026</v>
      </c>
      <c r="D1131" s="414" t="s">
        <v>4884</v>
      </c>
      <c r="E1131" s="407" t="s">
        <v>4884</v>
      </c>
      <c r="F1131" s="483"/>
      <c r="G1131" s="483"/>
      <c r="H1131" s="483"/>
      <c r="I1131" s="483"/>
      <c r="J1131" s="483"/>
      <c r="K1131" s="483"/>
      <c r="L1131" s="608" t="s">
        <v>4884</v>
      </c>
      <c r="M1131" s="409" t="s">
        <v>4884</v>
      </c>
      <c r="N1131" s="409" t="s">
        <v>4884</v>
      </c>
      <c r="O1131" s="410" t="s">
        <v>4884</v>
      </c>
      <c r="P1131" s="406">
        <v>1128</v>
      </c>
      <c r="Q1131" s="270" t="s">
        <v>2026</v>
      </c>
      <c r="R1131" s="460" t="s">
        <v>1883</v>
      </c>
      <c r="S1131" s="270" t="s">
        <v>1884</v>
      </c>
      <c r="U1131" s="471"/>
      <c r="V1131" s="471"/>
      <c r="W1131" s="469"/>
      <c r="X1131" s="471"/>
      <c r="Y1131" s="206"/>
      <c r="Z1131" s="206"/>
    </row>
    <row r="1132" spans="1:26">
      <c r="A1132" s="406">
        <v>1129</v>
      </c>
      <c r="B1132" s="613" t="s">
        <v>7020</v>
      </c>
      <c r="C1132" s="288" t="s">
        <v>2027</v>
      </c>
      <c r="D1132" s="414" t="s">
        <v>4884</v>
      </c>
      <c r="E1132" s="407" t="s">
        <v>4884</v>
      </c>
      <c r="F1132" s="483"/>
      <c r="G1132" s="483"/>
      <c r="H1132" s="483"/>
      <c r="I1132" s="483"/>
      <c r="J1132" s="483"/>
      <c r="K1132" s="483"/>
      <c r="L1132" s="608" t="s">
        <v>4884</v>
      </c>
      <c r="M1132" s="409" t="s">
        <v>4884</v>
      </c>
      <c r="N1132" s="409" t="s">
        <v>4884</v>
      </c>
      <c r="O1132" s="410" t="s">
        <v>4884</v>
      </c>
      <c r="P1132" s="406">
        <v>1129</v>
      </c>
      <c r="Q1132" s="270" t="s">
        <v>2027</v>
      </c>
      <c r="R1132" s="460" t="s">
        <v>1883</v>
      </c>
      <c r="S1132" s="270" t="s">
        <v>1884</v>
      </c>
      <c r="U1132" s="471"/>
      <c r="V1132" s="471"/>
      <c r="W1132" s="479"/>
      <c r="X1132" s="471"/>
      <c r="Y1132" s="206"/>
      <c r="Z1132" s="206"/>
    </row>
    <row r="1133" spans="1:26">
      <c r="A1133" s="406">
        <v>1130</v>
      </c>
      <c r="B1133" s="613" t="s">
        <v>7020</v>
      </c>
      <c r="C1133" s="288" t="s">
        <v>2028</v>
      </c>
      <c r="D1133" s="414" t="s">
        <v>4884</v>
      </c>
      <c r="E1133" s="407" t="s">
        <v>4884</v>
      </c>
      <c r="F1133" s="483"/>
      <c r="G1133" s="483"/>
      <c r="H1133" s="483"/>
      <c r="I1133" s="483"/>
      <c r="J1133" s="483"/>
      <c r="K1133" s="483"/>
      <c r="L1133" s="608" t="s">
        <v>4884</v>
      </c>
      <c r="M1133" s="409" t="s">
        <v>4884</v>
      </c>
      <c r="N1133" s="409" t="s">
        <v>4884</v>
      </c>
      <c r="O1133" s="410" t="s">
        <v>4884</v>
      </c>
      <c r="P1133" s="406">
        <v>1130</v>
      </c>
      <c r="Q1133" s="270" t="s">
        <v>2028</v>
      </c>
      <c r="R1133" s="460" t="s">
        <v>1883</v>
      </c>
      <c r="S1133" s="270" t="s">
        <v>1884</v>
      </c>
      <c r="U1133" s="471"/>
      <c r="V1133" s="471"/>
      <c r="W1133" s="479"/>
      <c r="X1133" s="471"/>
      <c r="Y1133" s="206"/>
      <c r="Z1133" s="206"/>
    </row>
    <row r="1134" spans="1:26">
      <c r="A1134" s="406">
        <v>1131</v>
      </c>
      <c r="B1134" s="613" t="s">
        <v>7020</v>
      </c>
      <c r="C1134" s="288" t="s">
        <v>2029</v>
      </c>
      <c r="D1134" s="414" t="s">
        <v>4884</v>
      </c>
      <c r="E1134" s="407" t="s">
        <v>4884</v>
      </c>
      <c r="F1134" s="483"/>
      <c r="G1134" s="483"/>
      <c r="H1134" s="483"/>
      <c r="I1134" s="483"/>
      <c r="J1134" s="483"/>
      <c r="K1134" s="483"/>
      <c r="L1134" s="608" t="s">
        <v>4884</v>
      </c>
      <c r="M1134" s="409" t="s">
        <v>4884</v>
      </c>
      <c r="N1134" s="409" t="s">
        <v>4884</v>
      </c>
      <c r="O1134" s="410" t="s">
        <v>4884</v>
      </c>
      <c r="P1134" s="406">
        <v>1131</v>
      </c>
      <c r="Q1134" s="270" t="s">
        <v>2029</v>
      </c>
      <c r="R1134" s="460" t="s">
        <v>1883</v>
      </c>
      <c r="S1134" s="270" t="s">
        <v>1884</v>
      </c>
      <c r="U1134" s="471"/>
      <c r="V1134" s="471"/>
      <c r="W1134" s="479"/>
      <c r="X1134" s="471"/>
      <c r="Y1134" s="206"/>
      <c r="Z1134" s="206"/>
    </row>
    <row r="1135" spans="1:26">
      <c r="A1135" s="406">
        <v>1132</v>
      </c>
      <c r="B1135" s="613" t="s">
        <v>7020</v>
      </c>
      <c r="C1135" s="288" t="s">
        <v>2030</v>
      </c>
      <c r="D1135" s="414" t="s">
        <v>4884</v>
      </c>
      <c r="E1135" s="407" t="s">
        <v>4884</v>
      </c>
      <c r="F1135" s="483"/>
      <c r="G1135" s="483"/>
      <c r="H1135" s="483"/>
      <c r="I1135" s="483"/>
      <c r="J1135" s="483"/>
      <c r="K1135" s="483"/>
      <c r="L1135" s="608" t="s">
        <v>4884</v>
      </c>
      <c r="M1135" s="409" t="s">
        <v>4884</v>
      </c>
      <c r="N1135" s="409" t="s">
        <v>4884</v>
      </c>
      <c r="O1135" s="410" t="s">
        <v>4884</v>
      </c>
      <c r="P1135" s="406">
        <v>1132</v>
      </c>
      <c r="Q1135" s="270" t="s">
        <v>2030</v>
      </c>
      <c r="R1135" s="460" t="s">
        <v>1883</v>
      </c>
      <c r="S1135" s="270" t="s">
        <v>1884</v>
      </c>
      <c r="U1135" s="471"/>
      <c r="V1135" s="471"/>
      <c r="W1135" s="479"/>
      <c r="X1135" s="471"/>
      <c r="Y1135" s="206"/>
      <c r="Z1135" s="206"/>
    </row>
    <row r="1136" spans="1:26">
      <c r="A1136" s="406">
        <v>1133</v>
      </c>
      <c r="B1136" s="613" t="s">
        <v>7020</v>
      </c>
      <c r="C1136" s="288" t="s">
        <v>2031</v>
      </c>
      <c r="D1136" s="414" t="s">
        <v>4884</v>
      </c>
      <c r="E1136" s="407" t="s">
        <v>4884</v>
      </c>
      <c r="F1136" s="483"/>
      <c r="G1136" s="483"/>
      <c r="H1136" s="483"/>
      <c r="I1136" s="483"/>
      <c r="J1136" s="483"/>
      <c r="K1136" s="483"/>
      <c r="L1136" s="608" t="s">
        <v>4884</v>
      </c>
      <c r="M1136" s="409" t="s">
        <v>4884</v>
      </c>
      <c r="N1136" s="409" t="s">
        <v>4884</v>
      </c>
      <c r="O1136" s="410" t="s">
        <v>4884</v>
      </c>
      <c r="P1136" s="406">
        <v>1133</v>
      </c>
      <c r="Q1136" s="270" t="s">
        <v>2031</v>
      </c>
      <c r="R1136" s="460" t="s">
        <v>1883</v>
      </c>
      <c r="S1136" s="270" t="s">
        <v>1884</v>
      </c>
      <c r="U1136" s="471"/>
      <c r="V1136" s="471"/>
      <c r="W1136" s="479"/>
      <c r="X1136" s="471"/>
      <c r="Y1136" s="206"/>
      <c r="Z1136" s="206"/>
    </row>
    <row r="1137" spans="1:26">
      <c r="A1137" s="406">
        <v>1134</v>
      </c>
      <c r="B1137" s="613" t="s">
        <v>7020</v>
      </c>
      <c r="C1137" s="288" t="s">
        <v>2032</v>
      </c>
      <c r="D1137" s="414" t="s">
        <v>4884</v>
      </c>
      <c r="E1137" s="407" t="s">
        <v>4884</v>
      </c>
      <c r="F1137" s="483"/>
      <c r="G1137" s="483"/>
      <c r="H1137" s="483"/>
      <c r="I1137" s="483"/>
      <c r="J1137" s="483"/>
      <c r="K1137" s="483"/>
      <c r="L1137" s="608" t="s">
        <v>4884</v>
      </c>
      <c r="M1137" s="409" t="s">
        <v>4884</v>
      </c>
      <c r="N1137" s="409" t="s">
        <v>4884</v>
      </c>
      <c r="O1137" s="410" t="s">
        <v>4884</v>
      </c>
      <c r="P1137" s="406">
        <v>1134</v>
      </c>
      <c r="Q1137" s="270" t="s">
        <v>2032</v>
      </c>
      <c r="R1137" s="460" t="s">
        <v>1883</v>
      </c>
      <c r="S1137" s="270" t="s">
        <v>1884</v>
      </c>
      <c r="U1137" s="471"/>
      <c r="V1137" s="471"/>
      <c r="W1137" s="479"/>
      <c r="X1137" s="471"/>
      <c r="Y1137" s="206"/>
      <c r="Z1137" s="206"/>
    </row>
    <row r="1138" spans="1:26">
      <c r="A1138" s="406">
        <v>1135</v>
      </c>
      <c r="B1138" s="613" t="s">
        <v>7020</v>
      </c>
      <c r="C1138" s="288" t="s">
        <v>2033</v>
      </c>
      <c r="D1138" s="414" t="s">
        <v>4884</v>
      </c>
      <c r="E1138" s="407" t="s">
        <v>4884</v>
      </c>
      <c r="F1138" s="483"/>
      <c r="G1138" s="483"/>
      <c r="H1138" s="483"/>
      <c r="I1138" s="483"/>
      <c r="J1138" s="483"/>
      <c r="K1138" s="483"/>
      <c r="L1138" s="608" t="s">
        <v>4884</v>
      </c>
      <c r="M1138" s="409" t="s">
        <v>4884</v>
      </c>
      <c r="N1138" s="409" t="s">
        <v>4884</v>
      </c>
      <c r="O1138" s="410" t="s">
        <v>4884</v>
      </c>
      <c r="P1138" s="406">
        <v>1135</v>
      </c>
      <c r="Q1138" s="270" t="s">
        <v>2033</v>
      </c>
      <c r="R1138" s="460" t="s">
        <v>1883</v>
      </c>
      <c r="S1138" s="270" t="s">
        <v>1884</v>
      </c>
      <c r="U1138" s="471"/>
      <c r="V1138" s="471"/>
      <c r="W1138" s="518"/>
      <c r="X1138" s="471"/>
      <c r="Y1138" s="206"/>
      <c r="Z1138" s="206"/>
    </row>
    <row r="1139" spans="1:26">
      <c r="A1139" s="406">
        <v>1136</v>
      </c>
      <c r="B1139" s="613" t="s">
        <v>7020</v>
      </c>
      <c r="C1139" s="288" t="s">
        <v>2034</v>
      </c>
      <c r="D1139" s="414" t="s">
        <v>4884</v>
      </c>
      <c r="E1139" s="407" t="s">
        <v>4884</v>
      </c>
      <c r="F1139" s="483"/>
      <c r="G1139" s="483"/>
      <c r="H1139" s="483"/>
      <c r="I1139" s="483"/>
      <c r="J1139" s="483"/>
      <c r="K1139" s="483"/>
      <c r="L1139" s="608" t="s">
        <v>4884</v>
      </c>
      <c r="M1139" s="409" t="s">
        <v>4884</v>
      </c>
      <c r="N1139" s="409" t="s">
        <v>4884</v>
      </c>
      <c r="O1139" s="410" t="s">
        <v>4884</v>
      </c>
      <c r="P1139" s="406">
        <v>1136</v>
      </c>
      <c r="Q1139" s="270" t="s">
        <v>2034</v>
      </c>
      <c r="R1139" s="460" t="s">
        <v>1883</v>
      </c>
      <c r="S1139" s="270" t="s">
        <v>1884</v>
      </c>
      <c r="U1139" s="471"/>
      <c r="V1139" s="471"/>
      <c r="W1139" s="518"/>
      <c r="X1139" s="471"/>
      <c r="Y1139" s="206"/>
      <c r="Z1139" s="206"/>
    </row>
    <row r="1140" spans="1:26">
      <c r="A1140" s="406">
        <v>1137</v>
      </c>
      <c r="B1140" s="613" t="s">
        <v>7020</v>
      </c>
      <c r="C1140" s="288" t="s">
        <v>2035</v>
      </c>
      <c r="D1140" s="414" t="s">
        <v>4884</v>
      </c>
      <c r="E1140" s="407" t="s">
        <v>4884</v>
      </c>
      <c r="F1140" s="483"/>
      <c r="G1140" s="483"/>
      <c r="H1140" s="483"/>
      <c r="I1140" s="483"/>
      <c r="J1140" s="483"/>
      <c r="K1140" s="483"/>
      <c r="L1140" s="608" t="s">
        <v>4884</v>
      </c>
      <c r="M1140" s="409" t="s">
        <v>4884</v>
      </c>
      <c r="N1140" s="409" t="s">
        <v>4884</v>
      </c>
      <c r="O1140" s="410" t="s">
        <v>4884</v>
      </c>
      <c r="P1140" s="406">
        <v>1137</v>
      </c>
      <c r="Q1140" s="270" t="s">
        <v>2035</v>
      </c>
      <c r="R1140" s="460" t="s">
        <v>1883</v>
      </c>
      <c r="S1140" s="270" t="s">
        <v>1884</v>
      </c>
      <c r="U1140" s="471"/>
      <c r="V1140" s="471"/>
      <c r="W1140" s="471"/>
      <c r="X1140" s="471"/>
      <c r="Y1140" s="206"/>
      <c r="Z1140" s="206"/>
    </row>
    <row r="1141" spans="1:26">
      <c r="A1141" s="406">
        <v>1138</v>
      </c>
      <c r="B1141" s="613" t="s">
        <v>7020</v>
      </c>
      <c r="C1141" s="288" t="s">
        <v>2036</v>
      </c>
      <c r="D1141" s="414" t="s">
        <v>4884</v>
      </c>
      <c r="E1141" s="407" t="s">
        <v>4884</v>
      </c>
      <c r="F1141" s="483"/>
      <c r="G1141" s="483"/>
      <c r="H1141" s="483"/>
      <c r="I1141" s="483"/>
      <c r="J1141" s="483"/>
      <c r="K1141" s="483"/>
      <c r="L1141" s="608" t="s">
        <v>4884</v>
      </c>
      <c r="M1141" s="409" t="s">
        <v>4884</v>
      </c>
      <c r="N1141" s="409" t="s">
        <v>4884</v>
      </c>
      <c r="O1141" s="410" t="s">
        <v>4884</v>
      </c>
      <c r="P1141" s="406">
        <v>1138</v>
      </c>
      <c r="Q1141" s="270" t="s">
        <v>2036</v>
      </c>
      <c r="R1141" s="460" t="s">
        <v>1883</v>
      </c>
      <c r="S1141" s="270" t="s">
        <v>1884</v>
      </c>
      <c r="U1141" s="471"/>
      <c r="V1141" s="471"/>
      <c r="W1141" s="477"/>
      <c r="X1141" s="471"/>
      <c r="Y1141" s="206"/>
      <c r="Z1141" s="206"/>
    </row>
    <row r="1142" spans="1:26">
      <c r="A1142" s="406">
        <v>1139</v>
      </c>
      <c r="B1142" s="613" t="s">
        <v>7020</v>
      </c>
      <c r="C1142" s="288" t="s">
        <v>2037</v>
      </c>
      <c r="D1142" s="414" t="s">
        <v>4884</v>
      </c>
      <c r="E1142" s="407" t="s">
        <v>4884</v>
      </c>
      <c r="F1142" s="483"/>
      <c r="G1142" s="483"/>
      <c r="H1142" s="483"/>
      <c r="I1142" s="483"/>
      <c r="J1142" s="483"/>
      <c r="K1142" s="483"/>
      <c r="L1142" s="608" t="s">
        <v>4884</v>
      </c>
      <c r="M1142" s="409" t="s">
        <v>4884</v>
      </c>
      <c r="N1142" s="409" t="s">
        <v>4884</v>
      </c>
      <c r="O1142" s="410" t="s">
        <v>4884</v>
      </c>
      <c r="P1142" s="406">
        <v>1139</v>
      </c>
      <c r="Q1142" s="270" t="s">
        <v>2037</v>
      </c>
      <c r="R1142" s="460" t="s">
        <v>1883</v>
      </c>
      <c r="S1142" s="270" t="s">
        <v>1884</v>
      </c>
      <c r="U1142" s="471"/>
      <c r="V1142" s="471"/>
      <c r="W1142" s="477"/>
      <c r="X1142" s="471"/>
      <c r="Y1142" s="206"/>
      <c r="Z1142" s="206"/>
    </row>
    <row r="1143" spans="1:26">
      <c r="A1143" s="406">
        <v>1140</v>
      </c>
      <c r="B1143" s="613" t="s">
        <v>7020</v>
      </c>
      <c r="C1143" s="288" t="s">
        <v>2038</v>
      </c>
      <c r="D1143" s="414" t="s">
        <v>4884</v>
      </c>
      <c r="E1143" s="407" t="s">
        <v>4884</v>
      </c>
      <c r="F1143" s="483"/>
      <c r="G1143" s="483"/>
      <c r="H1143" s="483"/>
      <c r="I1143" s="483"/>
      <c r="J1143" s="483"/>
      <c r="K1143" s="483"/>
      <c r="L1143" s="608" t="s">
        <v>4884</v>
      </c>
      <c r="M1143" s="409" t="s">
        <v>4884</v>
      </c>
      <c r="N1143" s="409" t="s">
        <v>4884</v>
      </c>
      <c r="O1143" s="410" t="s">
        <v>4884</v>
      </c>
      <c r="P1143" s="406">
        <v>1140</v>
      </c>
      <c r="Q1143" s="270" t="s">
        <v>2038</v>
      </c>
      <c r="R1143" s="460" t="s">
        <v>1883</v>
      </c>
      <c r="S1143" s="270" t="s">
        <v>1884</v>
      </c>
      <c r="U1143" s="471"/>
      <c r="V1143" s="471"/>
      <c r="W1143" s="471"/>
      <c r="X1143" s="471"/>
      <c r="Y1143" s="206"/>
      <c r="Z1143" s="206"/>
    </row>
    <row r="1144" spans="1:26">
      <c r="A1144" s="406">
        <v>1141</v>
      </c>
      <c r="B1144" s="613" t="s">
        <v>7020</v>
      </c>
      <c r="C1144" s="288" t="s">
        <v>2039</v>
      </c>
      <c r="D1144" s="414" t="s">
        <v>4884</v>
      </c>
      <c r="E1144" s="407" t="s">
        <v>4884</v>
      </c>
      <c r="F1144" s="483"/>
      <c r="G1144" s="483"/>
      <c r="H1144" s="483"/>
      <c r="I1144" s="483"/>
      <c r="J1144" s="483"/>
      <c r="K1144" s="483"/>
      <c r="L1144" s="608" t="s">
        <v>4884</v>
      </c>
      <c r="M1144" s="409" t="s">
        <v>4884</v>
      </c>
      <c r="N1144" s="409" t="s">
        <v>4884</v>
      </c>
      <c r="O1144" s="410" t="s">
        <v>4884</v>
      </c>
      <c r="P1144" s="406">
        <v>1141</v>
      </c>
      <c r="Q1144" s="270" t="s">
        <v>2039</v>
      </c>
      <c r="R1144" s="460" t="s">
        <v>1883</v>
      </c>
      <c r="S1144" s="270" t="s">
        <v>1884</v>
      </c>
      <c r="U1144" s="471"/>
      <c r="V1144" s="471"/>
      <c r="W1144" s="471"/>
      <c r="X1144" s="471"/>
      <c r="Y1144" s="206"/>
      <c r="Z1144" s="206"/>
    </row>
    <row r="1145" spans="1:26">
      <c r="A1145" s="406">
        <v>1142</v>
      </c>
      <c r="B1145" s="613" t="s">
        <v>7020</v>
      </c>
      <c r="C1145" s="288" t="s">
        <v>2040</v>
      </c>
      <c r="D1145" s="414" t="s">
        <v>4884</v>
      </c>
      <c r="E1145" s="407" t="s">
        <v>4884</v>
      </c>
      <c r="F1145" s="483"/>
      <c r="G1145" s="483"/>
      <c r="H1145" s="483"/>
      <c r="I1145" s="483"/>
      <c r="J1145" s="483"/>
      <c r="K1145" s="483"/>
      <c r="L1145" s="608" t="s">
        <v>4884</v>
      </c>
      <c r="M1145" s="409" t="s">
        <v>4884</v>
      </c>
      <c r="N1145" s="409" t="s">
        <v>4884</v>
      </c>
      <c r="O1145" s="410" t="s">
        <v>4884</v>
      </c>
      <c r="P1145" s="406">
        <v>1142</v>
      </c>
      <c r="Q1145" s="270" t="s">
        <v>2040</v>
      </c>
      <c r="R1145" s="460" t="s">
        <v>1883</v>
      </c>
      <c r="S1145" s="270" t="s">
        <v>1884</v>
      </c>
      <c r="U1145" s="471"/>
      <c r="V1145" s="471"/>
      <c r="W1145" s="471"/>
      <c r="X1145" s="471"/>
      <c r="Y1145" s="206"/>
      <c r="Z1145" s="206"/>
    </row>
    <row r="1146" spans="1:26">
      <c r="A1146" s="406">
        <v>1143</v>
      </c>
      <c r="B1146" s="613" t="s">
        <v>7020</v>
      </c>
      <c r="C1146" s="288" t="s">
        <v>2041</v>
      </c>
      <c r="D1146" s="414" t="s">
        <v>4884</v>
      </c>
      <c r="E1146" s="407" t="s">
        <v>4884</v>
      </c>
      <c r="F1146" s="483"/>
      <c r="G1146" s="483"/>
      <c r="H1146" s="483"/>
      <c r="I1146" s="483"/>
      <c r="J1146" s="483"/>
      <c r="K1146" s="483"/>
      <c r="L1146" s="608" t="s">
        <v>4884</v>
      </c>
      <c r="M1146" s="409" t="s">
        <v>4884</v>
      </c>
      <c r="N1146" s="409" t="s">
        <v>4884</v>
      </c>
      <c r="O1146" s="410" t="s">
        <v>4884</v>
      </c>
      <c r="P1146" s="406">
        <v>1143</v>
      </c>
      <c r="Q1146" s="270" t="s">
        <v>2041</v>
      </c>
      <c r="R1146" s="460" t="s">
        <v>1883</v>
      </c>
      <c r="S1146" s="270" t="s">
        <v>1884</v>
      </c>
      <c r="U1146" s="471"/>
      <c r="V1146" s="471"/>
      <c r="W1146" s="471"/>
      <c r="X1146" s="471"/>
      <c r="Y1146" s="206"/>
      <c r="Z1146" s="206"/>
    </row>
    <row r="1147" spans="1:26">
      <c r="A1147" s="406">
        <v>1144</v>
      </c>
      <c r="B1147" s="613" t="s">
        <v>7020</v>
      </c>
      <c r="C1147" s="288" t="s">
        <v>2042</v>
      </c>
      <c r="D1147" s="414" t="s">
        <v>4884</v>
      </c>
      <c r="E1147" s="407" t="s">
        <v>4884</v>
      </c>
      <c r="F1147" s="483"/>
      <c r="G1147" s="483"/>
      <c r="H1147" s="483"/>
      <c r="I1147" s="483"/>
      <c r="J1147" s="483"/>
      <c r="K1147" s="483"/>
      <c r="L1147" s="608" t="s">
        <v>4884</v>
      </c>
      <c r="M1147" s="409" t="s">
        <v>4884</v>
      </c>
      <c r="N1147" s="409" t="s">
        <v>4884</v>
      </c>
      <c r="O1147" s="410" t="s">
        <v>4884</v>
      </c>
      <c r="P1147" s="406">
        <v>1144</v>
      </c>
      <c r="Q1147" s="270" t="s">
        <v>2042</v>
      </c>
      <c r="R1147" s="460" t="s">
        <v>1883</v>
      </c>
      <c r="S1147" s="270" t="s">
        <v>1884</v>
      </c>
      <c r="U1147" s="471"/>
      <c r="V1147" s="471"/>
      <c r="W1147" s="471"/>
      <c r="X1147" s="471"/>
      <c r="Y1147" s="206"/>
      <c r="Z1147" s="206"/>
    </row>
    <row r="1148" spans="1:26">
      <c r="A1148" s="406">
        <v>1145</v>
      </c>
      <c r="B1148" s="613" t="s">
        <v>7020</v>
      </c>
      <c r="C1148" s="288" t="s">
        <v>2043</v>
      </c>
      <c r="D1148" s="414" t="s">
        <v>4884</v>
      </c>
      <c r="E1148" s="407" t="s">
        <v>4884</v>
      </c>
      <c r="F1148" s="483"/>
      <c r="G1148" s="483"/>
      <c r="H1148" s="483"/>
      <c r="I1148" s="483"/>
      <c r="J1148" s="483"/>
      <c r="K1148" s="483"/>
      <c r="L1148" s="608" t="s">
        <v>4884</v>
      </c>
      <c r="M1148" s="409" t="s">
        <v>4884</v>
      </c>
      <c r="N1148" s="409" t="s">
        <v>4884</v>
      </c>
      <c r="O1148" s="410" t="s">
        <v>4884</v>
      </c>
      <c r="P1148" s="406">
        <v>1145</v>
      </c>
      <c r="Q1148" s="270" t="s">
        <v>2043</v>
      </c>
      <c r="R1148" s="523" t="s">
        <v>1883</v>
      </c>
      <c r="S1148" s="270" t="s">
        <v>1884</v>
      </c>
      <c r="U1148" s="471"/>
      <c r="V1148" s="471"/>
      <c r="W1148" s="471"/>
      <c r="X1148" s="471"/>
      <c r="Y1148" s="206"/>
      <c r="Z1148" s="206"/>
    </row>
    <row r="1149" spans="1:26">
      <c r="A1149" s="406">
        <v>1146</v>
      </c>
      <c r="B1149" s="613" t="s">
        <v>7020</v>
      </c>
      <c r="C1149" s="288" t="s">
        <v>2044</v>
      </c>
      <c r="D1149" s="414" t="s">
        <v>4884</v>
      </c>
      <c r="E1149" s="407" t="s">
        <v>4884</v>
      </c>
      <c r="F1149" s="483"/>
      <c r="G1149" s="483"/>
      <c r="H1149" s="483"/>
      <c r="I1149" s="483"/>
      <c r="J1149" s="483"/>
      <c r="K1149" s="483"/>
      <c r="L1149" s="608" t="s">
        <v>4884</v>
      </c>
      <c r="M1149" s="409" t="s">
        <v>4884</v>
      </c>
      <c r="N1149" s="409" t="s">
        <v>4884</v>
      </c>
      <c r="O1149" s="410" t="s">
        <v>4884</v>
      </c>
      <c r="P1149" s="406">
        <v>1146</v>
      </c>
      <c r="Q1149" s="270" t="s">
        <v>2044</v>
      </c>
      <c r="R1149" s="523" t="s">
        <v>1883</v>
      </c>
      <c r="S1149" s="270" t="s">
        <v>1884</v>
      </c>
      <c r="U1149" s="471"/>
      <c r="V1149" s="471"/>
      <c r="W1149" s="471"/>
      <c r="X1149" s="471"/>
      <c r="Y1149" s="206"/>
      <c r="Z1149" s="206"/>
    </row>
    <row r="1150" spans="1:26">
      <c r="A1150" s="406">
        <v>1147</v>
      </c>
      <c r="B1150" s="613" t="s">
        <v>7020</v>
      </c>
      <c r="C1150" s="288" t="s">
        <v>2045</v>
      </c>
      <c r="D1150" s="414" t="s">
        <v>4884</v>
      </c>
      <c r="E1150" s="407" t="s">
        <v>4884</v>
      </c>
      <c r="F1150" s="483"/>
      <c r="G1150" s="483"/>
      <c r="H1150" s="483"/>
      <c r="I1150" s="483"/>
      <c r="J1150" s="483"/>
      <c r="K1150" s="483"/>
      <c r="L1150" s="608" t="s">
        <v>4884</v>
      </c>
      <c r="M1150" s="409" t="s">
        <v>4884</v>
      </c>
      <c r="N1150" s="409" t="s">
        <v>4884</v>
      </c>
      <c r="O1150" s="410" t="s">
        <v>4884</v>
      </c>
      <c r="P1150" s="406">
        <v>1147</v>
      </c>
      <c r="Q1150" s="270" t="s">
        <v>2045</v>
      </c>
      <c r="R1150" s="523" t="s">
        <v>1883</v>
      </c>
      <c r="S1150" s="270" t="s">
        <v>1884</v>
      </c>
      <c r="U1150" s="471"/>
      <c r="V1150" s="471"/>
      <c r="W1150" s="471"/>
      <c r="X1150" s="471"/>
      <c r="Y1150" s="206"/>
      <c r="Z1150" s="206"/>
    </row>
    <row r="1151" spans="1:26">
      <c r="A1151" s="406">
        <v>1148</v>
      </c>
      <c r="B1151" s="613" t="s">
        <v>7020</v>
      </c>
      <c r="C1151" s="288" t="s">
        <v>2046</v>
      </c>
      <c r="D1151" s="414" t="s">
        <v>4884</v>
      </c>
      <c r="E1151" s="407" t="s">
        <v>4884</v>
      </c>
      <c r="F1151" s="483"/>
      <c r="G1151" s="483"/>
      <c r="H1151" s="483"/>
      <c r="I1151" s="483"/>
      <c r="J1151" s="483"/>
      <c r="K1151" s="483"/>
      <c r="L1151" s="608" t="s">
        <v>4884</v>
      </c>
      <c r="M1151" s="409" t="s">
        <v>4884</v>
      </c>
      <c r="N1151" s="409" t="s">
        <v>4884</v>
      </c>
      <c r="O1151" s="410" t="s">
        <v>4884</v>
      </c>
      <c r="P1151" s="406">
        <v>1148</v>
      </c>
      <c r="Q1151" s="270" t="s">
        <v>2046</v>
      </c>
      <c r="R1151" s="523" t="s">
        <v>1883</v>
      </c>
      <c r="S1151" s="270" t="s">
        <v>1884</v>
      </c>
      <c r="U1151" s="471"/>
      <c r="V1151" s="471"/>
      <c r="W1151" s="471"/>
      <c r="X1151" s="471"/>
      <c r="Y1151" s="206"/>
      <c r="Z1151" s="206"/>
    </row>
    <row r="1152" spans="1:26">
      <c r="A1152" s="406">
        <v>1149</v>
      </c>
      <c r="B1152" s="613" t="s">
        <v>7020</v>
      </c>
      <c r="C1152" s="288" t="s">
        <v>2047</v>
      </c>
      <c r="D1152" s="414" t="s">
        <v>4884</v>
      </c>
      <c r="E1152" s="407" t="s">
        <v>4884</v>
      </c>
      <c r="F1152" s="483"/>
      <c r="G1152" s="483"/>
      <c r="H1152" s="483"/>
      <c r="I1152" s="483"/>
      <c r="J1152" s="483"/>
      <c r="K1152" s="483"/>
      <c r="L1152" s="608" t="s">
        <v>4884</v>
      </c>
      <c r="M1152" s="409" t="s">
        <v>4884</v>
      </c>
      <c r="N1152" s="409" t="s">
        <v>4884</v>
      </c>
      <c r="O1152" s="410" t="s">
        <v>4884</v>
      </c>
      <c r="P1152" s="406">
        <v>1149</v>
      </c>
      <c r="Q1152" s="270" t="s">
        <v>2047</v>
      </c>
      <c r="R1152" s="523" t="s">
        <v>1883</v>
      </c>
      <c r="S1152" s="270" t="s">
        <v>1884</v>
      </c>
      <c r="U1152" s="471"/>
      <c r="V1152" s="471"/>
      <c r="W1152" s="471"/>
      <c r="X1152" s="471"/>
      <c r="Y1152" s="206"/>
      <c r="Z1152" s="206"/>
    </row>
    <row r="1153" spans="1:26">
      <c r="A1153" s="406">
        <v>1150</v>
      </c>
      <c r="B1153" s="613" t="s">
        <v>7020</v>
      </c>
      <c r="C1153" s="288" t="s">
        <v>2048</v>
      </c>
      <c r="D1153" s="414" t="s">
        <v>4884</v>
      </c>
      <c r="E1153" s="407" t="s">
        <v>4884</v>
      </c>
      <c r="F1153" s="483"/>
      <c r="G1153" s="483"/>
      <c r="H1153" s="483"/>
      <c r="I1153" s="483"/>
      <c r="J1153" s="483"/>
      <c r="K1153" s="483"/>
      <c r="L1153" s="608" t="s">
        <v>4884</v>
      </c>
      <c r="M1153" s="409" t="s">
        <v>4884</v>
      </c>
      <c r="N1153" s="409" t="s">
        <v>4884</v>
      </c>
      <c r="O1153" s="410" t="s">
        <v>4884</v>
      </c>
      <c r="P1153" s="406">
        <v>1150</v>
      </c>
      <c r="Q1153" s="270" t="s">
        <v>2048</v>
      </c>
      <c r="R1153" s="523" t="s">
        <v>1883</v>
      </c>
      <c r="S1153" s="270" t="s">
        <v>1884</v>
      </c>
      <c r="U1153" s="471"/>
      <c r="V1153" s="471"/>
      <c r="W1153" s="471"/>
      <c r="X1153" s="471"/>
      <c r="Y1153" s="206"/>
      <c r="Z1153" s="206"/>
    </row>
    <row r="1154" spans="1:26">
      <c r="A1154" s="406">
        <v>1151</v>
      </c>
      <c r="B1154" s="613" t="s">
        <v>7020</v>
      </c>
      <c r="C1154" s="288" t="s">
        <v>2049</v>
      </c>
      <c r="D1154" s="414" t="s">
        <v>4884</v>
      </c>
      <c r="E1154" s="407" t="s">
        <v>4884</v>
      </c>
      <c r="F1154" s="483"/>
      <c r="G1154" s="483"/>
      <c r="H1154" s="483"/>
      <c r="I1154" s="483"/>
      <c r="J1154" s="483"/>
      <c r="K1154" s="483"/>
      <c r="L1154" s="608" t="s">
        <v>4884</v>
      </c>
      <c r="M1154" s="409" t="s">
        <v>4884</v>
      </c>
      <c r="N1154" s="409" t="s">
        <v>4884</v>
      </c>
      <c r="O1154" s="410" t="s">
        <v>4884</v>
      </c>
      <c r="P1154" s="406">
        <v>1151</v>
      </c>
      <c r="Q1154" s="270" t="s">
        <v>2049</v>
      </c>
      <c r="R1154" s="523" t="s">
        <v>1883</v>
      </c>
      <c r="S1154" s="270" t="s">
        <v>1884</v>
      </c>
      <c r="U1154" s="471"/>
      <c r="V1154" s="471"/>
      <c r="W1154" s="471"/>
      <c r="X1154" s="471"/>
      <c r="Y1154" s="206"/>
      <c r="Z1154" s="206"/>
    </row>
    <row r="1155" spans="1:26">
      <c r="A1155" s="406">
        <v>1152</v>
      </c>
      <c r="B1155" s="613" t="s">
        <v>7020</v>
      </c>
      <c r="C1155" s="288" t="s">
        <v>2050</v>
      </c>
      <c r="D1155" s="414" t="s">
        <v>4884</v>
      </c>
      <c r="E1155" s="407" t="s">
        <v>4884</v>
      </c>
      <c r="F1155" s="483"/>
      <c r="G1155" s="483"/>
      <c r="H1155" s="483"/>
      <c r="I1155" s="483"/>
      <c r="J1155" s="483"/>
      <c r="K1155" s="483"/>
      <c r="L1155" s="608" t="s">
        <v>4884</v>
      </c>
      <c r="M1155" s="409" t="s">
        <v>4884</v>
      </c>
      <c r="N1155" s="409" t="s">
        <v>4884</v>
      </c>
      <c r="O1155" s="410" t="s">
        <v>4884</v>
      </c>
      <c r="P1155" s="406">
        <v>1152</v>
      </c>
      <c r="Q1155" s="270" t="s">
        <v>2050</v>
      </c>
      <c r="R1155" s="523" t="s">
        <v>1883</v>
      </c>
      <c r="S1155" s="270" t="s">
        <v>1884</v>
      </c>
      <c r="U1155" s="471"/>
      <c r="V1155" s="471"/>
      <c r="W1155" s="471"/>
      <c r="X1155" s="471"/>
      <c r="Y1155" s="206"/>
      <c r="Z1155" s="206"/>
    </row>
    <row r="1156" spans="1:26">
      <c r="A1156" s="406">
        <v>1153</v>
      </c>
      <c r="B1156" s="613" t="s">
        <v>7020</v>
      </c>
      <c r="C1156" s="288" t="s">
        <v>2051</v>
      </c>
      <c r="D1156" s="414" t="s">
        <v>4884</v>
      </c>
      <c r="E1156" s="407" t="s">
        <v>4884</v>
      </c>
      <c r="F1156" s="483"/>
      <c r="G1156" s="483"/>
      <c r="H1156" s="483"/>
      <c r="I1156" s="483"/>
      <c r="J1156" s="483"/>
      <c r="K1156" s="483"/>
      <c r="L1156" s="608" t="s">
        <v>4884</v>
      </c>
      <c r="M1156" s="409" t="s">
        <v>4884</v>
      </c>
      <c r="N1156" s="409" t="s">
        <v>4884</v>
      </c>
      <c r="O1156" s="410" t="s">
        <v>4884</v>
      </c>
      <c r="P1156" s="406">
        <v>1153</v>
      </c>
      <c r="Q1156" s="270" t="s">
        <v>2051</v>
      </c>
      <c r="R1156" s="523" t="s">
        <v>1883</v>
      </c>
      <c r="S1156" s="270" t="s">
        <v>1884</v>
      </c>
      <c r="U1156" s="471"/>
      <c r="V1156" s="471"/>
      <c r="W1156" s="471"/>
      <c r="X1156" s="471"/>
      <c r="Y1156" s="206"/>
      <c r="Z1156" s="206"/>
    </row>
    <row r="1157" spans="1:26">
      <c r="A1157" s="406">
        <v>1154</v>
      </c>
      <c r="B1157" s="613" t="s">
        <v>7020</v>
      </c>
      <c r="C1157" s="288" t="s">
        <v>2052</v>
      </c>
      <c r="D1157" s="414" t="s">
        <v>4884</v>
      </c>
      <c r="E1157" s="407" t="s">
        <v>4884</v>
      </c>
      <c r="F1157" s="483"/>
      <c r="G1157" s="483"/>
      <c r="H1157" s="483"/>
      <c r="I1157" s="483"/>
      <c r="J1157" s="483"/>
      <c r="K1157" s="483"/>
      <c r="L1157" s="608" t="s">
        <v>4884</v>
      </c>
      <c r="M1157" s="409" t="s">
        <v>4884</v>
      </c>
      <c r="N1157" s="409" t="s">
        <v>4884</v>
      </c>
      <c r="O1157" s="410" t="s">
        <v>4884</v>
      </c>
      <c r="P1157" s="406">
        <v>1154</v>
      </c>
      <c r="Q1157" s="270" t="s">
        <v>2052</v>
      </c>
      <c r="R1157" s="523" t="s">
        <v>1883</v>
      </c>
      <c r="S1157" s="270" t="s">
        <v>1884</v>
      </c>
      <c r="U1157" s="471"/>
      <c r="V1157" s="471"/>
      <c r="W1157" s="471"/>
      <c r="X1157" s="471"/>
      <c r="Y1157" s="206"/>
      <c r="Z1157" s="206"/>
    </row>
    <row r="1158" spans="1:26">
      <c r="A1158" s="406">
        <v>1155</v>
      </c>
      <c r="B1158" s="613" t="s">
        <v>7020</v>
      </c>
      <c r="C1158" s="288" t="s">
        <v>2053</v>
      </c>
      <c r="D1158" s="414" t="s">
        <v>4884</v>
      </c>
      <c r="E1158" s="407" t="s">
        <v>4884</v>
      </c>
      <c r="F1158" s="483"/>
      <c r="G1158" s="483"/>
      <c r="H1158" s="483"/>
      <c r="I1158" s="483"/>
      <c r="J1158" s="483"/>
      <c r="K1158" s="483"/>
      <c r="L1158" s="608" t="s">
        <v>4884</v>
      </c>
      <c r="M1158" s="409" t="s">
        <v>4884</v>
      </c>
      <c r="N1158" s="409" t="s">
        <v>4884</v>
      </c>
      <c r="O1158" s="410" t="s">
        <v>4884</v>
      </c>
      <c r="P1158" s="406">
        <v>1155</v>
      </c>
      <c r="Q1158" s="270" t="s">
        <v>2053</v>
      </c>
      <c r="R1158" s="523" t="s">
        <v>1883</v>
      </c>
      <c r="S1158" s="270" t="s">
        <v>1884</v>
      </c>
      <c r="U1158" s="471"/>
      <c r="V1158" s="471"/>
      <c r="W1158" s="471"/>
      <c r="X1158" s="471"/>
      <c r="Y1158" s="206"/>
      <c r="Z1158" s="206"/>
    </row>
    <row r="1159" spans="1:26">
      <c r="A1159" s="406">
        <v>1156</v>
      </c>
      <c r="B1159" s="613" t="s">
        <v>7020</v>
      </c>
      <c r="C1159" s="288" t="s">
        <v>2054</v>
      </c>
      <c r="D1159" s="414" t="s">
        <v>4884</v>
      </c>
      <c r="E1159" s="407" t="s">
        <v>4884</v>
      </c>
      <c r="F1159" s="483"/>
      <c r="G1159" s="483"/>
      <c r="H1159" s="483"/>
      <c r="I1159" s="483"/>
      <c r="J1159" s="483"/>
      <c r="K1159" s="483"/>
      <c r="L1159" s="608" t="s">
        <v>4884</v>
      </c>
      <c r="M1159" s="409" t="s">
        <v>4884</v>
      </c>
      <c r="N1159" s="409" t="s">
        <v>4884</v>
      </c>
      <c r="O1159" s="410" t="s">
        <v>4884</v>
      </c>
      <c r="P1159" s="406">
        <v>1156</v>
      </c>
      <c r="Q1159" s="270" t="s">
        <v>2054</v>
      </c>
      <c r="R1159" s="523" t="s">
        <v>1883</v>
      </c>
      <c r="S1159" s="270" t="s">
        <v>1884</v>
      </c>
      <c r="U1159" s="471"/>
      <c r="V1159" s="471"/>
      <c r="W1159" s="471"/>
      <c r="X1159" s="471"/>
      <c r="Y1159" s="206"/>
      <c r="Z1159" s="206"/>
    </row>
    <row r="1160" spans="1:26">
      <c r="A1160" s="406">
        <v>1157</v>
      </c>
      <c r="B1160" s="613" t="s">
        <v>7020</v>
      </c>
      <c r="C1160" s="288" t="s">
        <v>2055</v>
      </c>
      <c r="D1160" s="414" t="s">
        <v>4884</v>
      </c>
      <c r="E1160" s="407" t="s">
        <v>4884</v>
      </c>
      <c r="F1160" s="483"/>
      <c r="G1160" s="483"/>
      <c r="H1160" s="483"/>
      <c r="I1160" s="483"/>
      <c r="J1160" s="483"/>
      <c r="K1160" s="483"/>
      <c r="L1160" s="608" t="s">
        <v>4884</v>
      </c>
      <c r="M1160" s="409" t="s">
        <v>4884</v>
      </c>
      <c r="N1160" s="409" t="s">
        <v>4884</v>
      </c>
      <c r="O1160" s="410" t="s">
        <v>4884</v>
      </c>
      <c r="P1160" s="406">
        <v>1157</v>
      </c>
      <c r="Q1160" s="270" t="s">
        <v>2055</v>
      </c>
      <c r="R1160" s="523" t="s">
        <v>1883</v>
      </c>
      <c r="S1160" s="270" t="s">
        <v>1884</v>
      </c>
      <c r="U1160" s="471"/>
      <c r="V1160" s="471"/>
      <c r="W1160" s="471"/>
      <c r="X1160" s="471"/>
      <c r="Y1160" s="206"/>
      <c r="Z1160" s="206"/>
    </row>
    <row r="1161" spans="1:26">
      <c r="A1161" s="406">
        <v>1158</v>
      </c>
      <c r="B1161" s="613" t="s">
        <v>7020</v>
      </c>
      <c r="C1161" s="288" t="s">
        <v>2056</v>
      </c>
      <c r="D1161" s="414" t="s">
        <v>4884</v>
      </c>
      <c r="E1161" s="407" t="s">
        <v>4884</v>
      </c>
      <c r="F1161" s="483"/>
      <c r="G1161" s="483"/>
      <c r="H1161" s="483"/>
      <c r="I1161" s="483"/>
      <c r="J1161" s="483"/>
      <c r="K1161" s="483"/>
      <c r="L1161" s="608" t="s">
        <v>4884</v>
      </c>
      <c r="M1161" s="409" t="s">
        <v>4884</v>
      </c>
      <c r="N1161" s="409" t="s">
        <v>4884</v>
      </c>
      <c r="O1161" s="410" t="s">
        <v>4884</v>
      </c>
      <c r="P1161" s="406">
        <v>1158</v>
      </c>
      <c r="Q1161" s="270" t="s">
        <v>2056</v>
      </c>
      <c r="R1161" s="523" t="s">
        <v>1883</v>
      </c>
      <c r="S1161" s="270" t="s">
        <v>1884</v>
      </c>
      <c r="U1161" s="471"/>
      <c r="V1161" s="471"/>
      <c r="W1161" s="471"/>
      <c r="X1161" s="471"/>
      <c r="Y1161" s="206"/>
      <c r="Z1161" s="206"/>
    </row>
    <row r="1162" spans="1:26">
      <c r="A1162" s="406">
        <v>1159</v>
      </c>
      <c r="B1162" s="613" t="s">
        <v>7020</v>
      </c>
      <c r="C1162" s="288" t="s">
        <v>2057</v>
      </c>
      <c r="D1162" s="414" t="s">
        <v>4884</v>
      </c>
      <c r="E1162" s="407" t="s">
        <v>4884</v>
      </c>
      <c r="F1162" s="483"/>
      <c r="G1162" s="483"/>
      <c r="H1162" s="483"/>
      <c r="I1162" s="483"/>
      <c r="J1162" s="483"/>
      <c r="K1162" s="483"/>
      <c r="L1162" s="608" t="s">
        <v>4884</v>
      </c>
      <c r="M1162" s="409" t="s">
        <v>4884</v>
      </c>
      <c r="N1162" s="409" t="s">
        <v>4884</v>
      </c>
      <c r="O1162" s="410" t="s">
        <v>4884</v>
      </c>
      <c r="P1162" s="406">
        <v>1159</v>
      </c>
      <c r="Q1162" s="270" t="s">
        <v>2057</v>
      </c>
      <c r="R1162" s="523" t="s">
        <v>1883</v>
      </c>
      <c r="S1162" s="270" t="s">
        <v>1884</v>
      </c>
      <c r="U1162" s="471"/>
      <c r="V1162" s="471"/>
      <c r="W1162" s="471"/>
      <c r="X1162" s="471"/>
      <c r="Y1162" s="206"/>
      <c r="Z1162" s="206"/>
    </row>
    <row r="1163" spans="1:26">
      <c r="A1163" s="406">
        <v>1160</v>
      </c>
      <c r="B1163" s="613" t="s">
        <v>7020</v>
      </c>
      <c r="C1163" s="288" t="s">
        <v>2058</v>
      </c>
      <c r="D1163" s="414" t="s">
        <v>4884</v>
      </c>
      <c r="E1163" s="407" t="s">
        <v>4884</v>
      </c>
      <c r="F1163" s="483"/>
      <c r="G1163" s="483"/>
      <c r="H1163" s="483"/>
      <c r="I1163" s="483"/>
      <c r="J1163" s="483"/>
      <c r="K1163" s="483"/>
      <c r="L1163" s="608" t="s">
        <v>4884</v>
      </c>
      <c r="M1163" s="409" t="s">
        <v>4884</v>
      </c>
      <c r="N1163" s="409" t="s">
        <v>4884</v>
      </c>
      <c r="O1163" s="410" t="s">
        <v>4884</v>
      </c>
      <c r="P1163" s="406">
        <v>1160</v>
      </c>
      <c r="Q1163" s="270" t="s">
        <v>2058</v>
      </c>
      <c r="R1163" s="523" t="s">
        <v>1883</v>
      </c>
      <c r="S1163" s="270" t="s">
        <v>1884</v>
      </c>
      <c r="U1163" s="471"/>
      <c r="V1163" s="471"/>
      <c r="W1163" s="471"/>
      <c r="X1163" s="471"/>
      <c r="Y1163" s="206"/>
      <c r="Z1163" s="206"/>
    </row>
    <row r="1164" spans="1:26">
      <c r="A1164" s="406">
        <v>1161</v>
      </c>
      <c r="B1164" s="613" t="s">
        <v>7020</v>
      </c>
      <c r="C1164" s="288" t="s">
        <v>2059</v>
      </c>
      <c r="D1164" s="414" t="s">
        <v>4884</v>
      </c>
      <c r="E1164" s="407" t="s">
        <v>4884</v>
      </c>
      <c r="F1164" s="483"/>
      <c r="G1164" s="483"/>
      <c r="H1164" s="483"/>
      <c r="I1164" s="483"/>
      <c r="J1164" s="483"/>
      <c r="K1164" s="483"/>
      <c r="L1164" s="608" t="s">
        <v>4884</v>
      </c>
      <c r="M1164" s="409" t="s">
        <v>4884</v>
      </c>
      <c r="N1164" s="409" t="s">
        <v>4884</v>
      </c>
      <c r="O1164" s="410" t="s">
        <v>4884</v>
      </c>
      <c r="P1164" s="406">
        <v>1161</v>
      </c>
      <c r="Q1164" s="270" t="s">
        <v>2059</v>
      </c>
      <c r="R1164" s="523" t="s">
        <v>1883</v>
      </c>
      <c r="S1164" s="270" t="s">
        <v>1884</v>
      </c>
      <c r="U1164" s="471"/>
      <c r="V1164" s="471"/>
      <c r="W1164" s="471"/>
      <c r="X1164" s="471"/>
      <c r="Y1164" s="206"/>
      <c r="Z1164" s="206"/>
    </row>
    <row r="1165" spans="1:26">
      <c r="A1165" s="406">
        <v>1162</v>
      </c>
      <c r="B1165" s="613" t="s">
        <v>7020</v>
      </c>
      <c r="C1165" s="288" t="s">
        <v>2060</v>
      </c>
      <c r="D1165" s="414" t="s">
        <v>4884</v>
      </c>
      <c r="E1165" s="407" t="s">
        <v>4884</v>
      </c>
      <c r="F1165" s="483"/>
      <c r="G1165" s="483"/>
      <c r="H1165" s="483"/>
      <c r="I1165" s="483"/>
      <c r="J1165" s="483"/>
      <c r="K1165" s="483"/>
      <c r="L1165" s="608" t="s">
        <v>4884</v>
      </c>
      <c r="M1165" s="409" t="s">
        <v>4884</v>
      </c>
      <c r="N1165" s="409" t="s">
        <v>4884</v>
      </c>
      <c r="O1165" s="410" t="s">
        <v>4884</v>
      </c>
      <c r="P1165" s="406">
        <v>1162</v>
      </c>
      <c r="Q1165" s="270" t="s">
        <v>2060</v>
      </c>
      <c r="R1165" s="523" t="s">
        <v>1883</v>
      </c>
      <c r="S1165" s="270" t="s">
        <v>1884</v>
      </c>
      <c r="U1165" s="471"/>
      <c r="V1165" s="471"/>
      <c r="W1165" s="471"/>
      <c r="X1165" s="471"/>
      <c r="Y1165" s="206"/>
      <c r="Z1165" s="206"/>
    </row>
    <row r="1166" spans="1:26">
      <c r="A1166" s="406">
        <v>1163</v>
      </c>
      <c r="B1166" s="613" t="s">
        <v>7020</v>
      </c>
      <c r="C1166" s="288" t="s">
        <v>2061</v>
      </c>
      <c r="D1166" s="414" t="s">
        <v>4884</v>
      </c>
      <c r="E1166" s="407" t="s">
        <v>4884</v>
      </c>
      <c r="F1166" s="483"/>
      <c r="G1166" s="483"/>
      <c r="H1166" s="483"/>
      <c r="I1166" s="483"/>
      <c r="J1166" s="483"/>
      <c r="K1166" s="483"/>
      <c r="L1166" s="608" t="s">
        <v>4884</v>
      </c>
      <c r="M1166" s="409" t="s">
        <v>4884</v>
      </c>
      <c r="N1166" s="409" t="s">
        <v>4884</v>
      </c>
      <c r="O1166" s="410" t="s">
        <v>4884</v>
      </c>
      <c r="P1166" s="406">
        <v>1163</v>
      </c>
      <c r="Q1166" s="270" t="s">
        <v>2061</v>
      </c>
      <c r="R1166" s="523" t="s">
        <v>1883</v>
      </c>
      <c r="S1166" s="270" t="s">
        <v>1884</v>
      </c>
      <c r="U1166" s="471"/>
      <c r="V1166" s="471"/>
      <c r="W1166" s="471"/>
      <c r="X1166" s="471"/>
      <c r="Y1166" s="206"/>
      <c r="Z1166" s="206"/>
    </row>
    <row r="1167" spans="1:26">
      <c r="A1167" s="406">
        <v>1164</v>
      </c>
      <c r="B1167" s="613" t="s">
        <v>7020</v>
      </c>
      <c r="C1167" s="288" t="s">
        <v>2062</v>
      </c>
      <c r="D1167" s="414" t="s">
        <v>4884</v>
      </c>
      <c r="E1167" s="407" t="s">
        <v>4884</v>
      </c>
      <c r="F1167" s="483"/>
      <c r="G1167" s="483"/>
      <c r="H1167" s="483"/>
      <c r="I1167" s="483"/>
      <c r="J1167" s="483"/>
      <c r="K1167" s="483"/>
      <c r="L1167" s="608" t="s">
        <v>4884</v>
      </c>
      <c r="M1167" s="409" t="s">
        <v>4884</v>
      </c>
      <c r="N1167" s="409" t="s">
        <v>4884</v>
      </c>
      <c r="O1167" s="410" t="s">
        <v>4884</v>
      </c>
      <c r="P1167" s="406">
        <v>1164</v>
      </c>
      <c r="Q1167" s="270" t="s">
        <v>2062</v>
      </c>
      <c r="R1167" s="523" t="s">
        <v>1883</v>
      </c>
      <c r="S1167" s="270" t="s">
        <v>1884</v>
      </c>
      <c r="U1167" s="471"/>
      <c r="V1167" s="471"/>
      <c r="W1167" s="471"/>
      <c r="X1167" s="471"/>
      <c r="Y1167" s="206"/>
      <c r="Z1167" s="206"/>
    </row>
    <row r="1168" spans="1:26">
      <c r="A1168" s="406">
        <v>1165</v>
      </c>
      <c r="B1168" s="613" t="s">
        <v>7020</v>
      </c>
      <c r="C1168" s="288" t="s">
        <v>2063</v>
      </c>
      <c r="D1168" s="414" t="s">
        <v>4884</v>
      </c>
      <c r="E1168" s="407" t="s">
        <v>4884</v>
      </c>
      <c r="F1168" s="483"/>
      <c r="G1168" s="483"/>
      <c r="H1168" s="483"/>
      <c r="I1168" s="483"/>
      <c r="J1168" s="483"/>
      <c r="K1168" s="483"/>
      <c r="L1168" s="608" t="s">
        <v>4884</v>
      </c>
      <c r="M1168" s="409" t="s">
        <v>4884</v>
      </c>
      <c r="N1168" s="409" t="s">
        <v>4884</v>
      </c>
      <c r="O1168" s="410" t="s">
        <v>4884</v>
      </c>
      <c r="P1168" s="406">
        <v>1165</v>
      </c>
      <c r="Q1168" s="270" t="s">
        <v>2063</v>
      </c>
      <c r="R1168" s="523" t="s">
        <v>1883</v>
      </c>
      <c r="S1168" s="270" t="s">
        <v>1884</v>
      </c>
      <c r="U1168" s="471"/>
      <c r="V1168" s="471"/>
      <c r="W1168" s="471"/>
      <c r="X1168" s="471"/>
      <c r="Y1168" s="206"/>
      <c r="Z1168" s="206"/>
    </row>
    <row r="1169" spans="1:26">
      <c r="A1169" s="406">
        <v>1166</v>
      </c>
      <c r="B1169" s="613" t="s">
        <v>7020</v>
      </c>
      <c r="C1169" s="288" t="s">
        <v>2064</v>
      </c>
      <c r="D1169" s="414" t="s">
        <v>4884</v>
      </c>
      <c r="E1169" s="407" t="s">
        <v>4884</v>
      </c>
      <c r="F1169" s="483"/>
      <c r="G1169" s="483"/>
      <c r="H1169" s="483"/>
      <c r="I1169" s="483"/>
      <c r="J1169" s="483"/>
      <c r="K1169" s="483"/>
      <c r="L1169" s="608" t="s">
        <v>4884</v>
      </c>
      <c r="M1169" s="409" t="s">
        <v>4884</v>
      </c>
      <c r="N1169" s="409" t="s">
        <v>4884</v>
      </c>
      <c r="O1169" s="410" t="s">
        <v>4884</v>
      </c>
      <c r="P1169" s="406">
        <v>1166</v>
      </c>
      <c r="Q1169" s="270" t="s">
        <v>2064</v>
      </c>
      <c r="R1169" s="523" t="s">
        <v>1883</v>
      </c>
      <c r="S1169" s="270" t="s">
        <v>1884</v>
      </c>
      <c r="U1169" s="471"/>
      <c r="V1169" s="471"/>
      <c r="W1169" s="471"/>
      <c r="X1169" s="471"/>
      <c r="Y1169" s="206"/>
      <c r="Z1169" s="206"/>
    </row>
    <row r="1170" spans="1:26">
      <c r="A1170" s="406">
        <v>1167</v>
      </c>
      <c r="B1170" s="613" t="s">
        <v>7020</v>
      </c>
      <c r="C1170" s="288" t="s">
        <v>2065</v>
      </c>
      <c r="D1170" s="414" t="s">
        <v>4884</v>
      </c>
      <c r="E1170" s="407" t="s">
        <v>4884</v>
      </c>
      <c r="F1170" s="483"/>
      <c r="G1170" s="483"/>
      <c r="H1170" s="483"/>
      <c r="I1170" s="483"/>
      <c r="J1170" s="483"/>
      <c r="K1170" s="483"/>
      <c r="L1170" s="608" t="s">
        <v>4884</v>
      </c>
      <c r="M1170" s="409" t="s">
        <v>4884</v>
      </c>
      <c r="N1170" s="409" t="s">
        <v>4884</v>
      </c>
      <c r="O1170" s="410" t="s">
        <v>4884</v>
      </c>
      <c r="P1170" s="406">
        <v>1167</v>
      </c>
      <c r="Q1170" s="270" t="s">
        <v>2065</v>
      </c>
      <c r="R1170" s="523" t="s">
        <v>1883</v>
      </c>
      <c r="S1170" s="270" t="s">
        <v>1884</v>
      </c>
      <c r="U1170" s="471"/>
      <c r="V1170" s="471"/>
      <c r="W1170" s="471"/>
      <c r="X1170" s="471"/>
      <c r="Y1170" s="206"/>
      <c r="Z1170" s="206"/>
    </row>
    <row r="1171" spans="1:26">
      <c r="A1171" s="406">
        <v>1168</v>
      </c>
      <c r="B1171" s="613" t="s">
        <v>7020</v>
      </c>
      <c r="C1171" s="288" t="s">
        <v>2066</v>
      </c>
      <c r="D1171" s="414" t="s">
        <v>4884</v>
      </c>
      <c r="E1171" s="407" t="s">
        <v>4884</v>
      </c>
      <c r="F1171" s="483"/>
      <c r="G1171" s="483"/>
      <c r="H1171" s="483"/>
      <c r="I1171" s="483"/>
      <c r="J1171" s="483"/>
      <c r="K1171" s="483"/>
      <c r="L1171" s="608" t="s">
        <v>4884</v>
      </c>
      <c r="M1171" s="409" t="s">
        <v>4884</v>
      </c>
      <c r="N1171" s="409" t="s">
        <v>4884</v>
      </c>
      <c r="O1171" s="410" t="s">
        <v>4884</v>
      </c>
      <c r="P1171" s="406">
        <v>1168</v>
      </c>
      <c r="Q1171" s="270" t="s">
        <v>2066</v>
      </c>
      <c r="R1171" s="523" t="s">
        <v>1883</v>
      </c>
      <c r="S1171" s="270" t="s">
        <v>1884</v>
      </c>
      <c r="U1171" s="471"/>
      <c r="V1171" s="471"/>
      <c r="W1171" s="471"/>
      <c r="X1171" s="471"/>
      <c r="Y1171" s="206"/>
      <c r="Z1171" s="206"/>
    </row>
    <row r="1172" spans="1:26">
      <c r="A1172" s="406">
        <v>1169</v>
      </c>
      <c r="B1172" s="613" t="s">
        <v>7020</v>
      </c>
      <c r="C1172" s="288" t="s">
        <v>2067</v>
      </c>
      <c r="D1172" s="414" t="s">
        <v>4884</v>
      </c>
      <c r="E1172" s="407" t="s">
        <v>4884</v>
      </c>
      <c r="F1172" s="483"/>
      <c r="G1172" s="483"/>
      <c r="H1172" s="483"/>
      <c r="I1172" s="483"/>
      <c r="J1172" s="483"/>
      <c r="K1172" s="483"/>
      <c r="L1172" s="608" t="s">
        <v>4884</v>
      </c>
      <c r="M1172" s="409" t="s">
        <v>4884</v>
      </c>
      <c r="N1172" s="409" t="s">
        <v>4884</v>
      </c>
      <c r="O1172" s="410" t="s">
        <v>4884</v>
      </c>
      <c r="P1172" s="406">
        <v>1169</v>
      </c>
      <c r="Q1172" s="270" t="s">
        <v>2067</v>
      </c>
      <c r="R1172" s="523" t="s">
        <v>1883</v>
      </c>
      <c r="S1172" s="270" t="s">
        <v>1884</v>
      </c>
      <c r="U1172" s="471"/>
      <c r="V1172" s="471"/>
      <c r="W1172" s="471"/>
      <c r="X1172" s="471"/>
      <c r="Y1172" s="206"/>
      <c r="Z1172" s="206"/>
    </row>
    <row r="1173" spans="1:26">
      <c r="A1173" s="406">
        <v>1170</v>
      </c>
      <c r="B1173" s="613" t="s">
        <v>7020</v>
      </c>
      <c r="C1173" s="288" t="s">
        <v>2068</v>
      </c>
      <c r="D1173" s="414" t="s">
        <v>4884</v>
      </c>
      <c r="E1173" s="407" t="s">
        <v>4884</v>
      </c>
      <c r="F1173" s="483"/>
      <c r="G1173" s="483"/>
      <c r="H1173" s="483"/>
      <c r="I1173" s="483"/>
      <c r="J1173" s="483"/>
      <c r="K1173" s="483"/>
      <c r="L1173" s="608" t="s">
        <v>4884</v>
      </c>
      <c r="M1173" s="409" t="s">
        <v>4884</v>
      </c>
      <c r="N1173" s="409" t="s">
        <v>4884</v>
      </c>
      <c r="O1173" s="410" t="s">
        <v>4884</v>
      </c>
      <c r="P1173" s="406">
        <v>1170</v>
      </c>
      <c r="Q1173" s="270" t="s">
        <v>2068</v>
      </c>
      <c r="R1173" s="523" t="s">
        <v>1883</v>
      </c>
      <c r="S1173" s="270" t="s">
        <v>1884</v>
      </c>
      <c r="U1173" s="471"/>
      <c r="V1173" s="471"/>
      <c r="W1173" s="471"/>
      <c r="X1173" s="471"/>
      <c r="Y1173" s="206"/>
      <c r="Z1173" s="206"/>
    </row>
    <row r="1174" spans="1:26">
      <c r="A1174" s="406">
        <v>1171</v>
      </c>
      <c r="B1174" s="613" t="s">
        <v>7020</v>
      </c>
      <c r="C1174" s="288" t="s">
        <v>2069</v>
      </c>
      <c r="D1174" s="414" t="s">
        <v>4884</v>
      </c>
      <c r="E1174" s="407" t="s">
        <v>4884</v>
      </c>
      <c r="F1174" s="483"/>
      <c r="G1174" s="483"/>
      <c r="H1174" s="483"/>
      <c r="I1174" s="483"/>
      <c r="J1174" s="483"/>
      <c r="K1174" s="483"/>
      <c r="L1174" s="608" t="s">
        <v>4884</v>
      </c>
      <c r="M1174" s="409" t="s">
        <v>4884</v>
      </c>
      <c r="N1174" s="409" t="s">
        <v>4884</v>
      </c>
      <c r="O1174" s="410" t="s">
        <v>4884</v>
      </c>
      <c r="P1174" s="406">
        <v>1171</v>
      </c>
      <c r="Q1174" s="270" t="s">
        <v>2069</v>
      </c>
      <c r="R1174" s="523" t="s">
        <v>1883</v>
      </c>
      <c r="S1174" s="270" t="s">
        <v>1884</v>
      </c>
      <c r="U1174" s="471"/>
      <c r="V1174" s="471"/>
      <c r="W1174" s="471"/>
      <c r="X1174" s="471"/>
      <c r="Y1174" s="206"/>
      <c r="Z1174" s="206"/>
    </row>
    <row r="1175" spans="1:26">
      <c r="A1175" s="406">
        <v>1172</v>
      </c>
      <c r="B1175" s="613" t="s">
        <v>7020</v>
      </c>
      <c r="C1175" s="288" t="s">
        <v>2070</v>
      </c>
      <c r="D1175" s="414" t="s">
        <v>4884</v>
      </c>
      <c r="E1175" s="407" t="s">
        <v>4884</v>
      </c>
      <c r="F1175" s="483"/>
      <c r="G1175" s="483"/>
      <c r="H1175" s="483"/>
      <c r="I1175" s="483"/>
      <c r="J1175" s="483"/>
      <c r="K1175" s="483"/>
      <c r="L1175" s="608" t="s">
        <v>4884</v>
      </c>
      <c r="M1175" s="409" t="s">
        <v>4884</v>
      </c>
      <c r="N1175" s="409" t="s">
        <v>4884</v>
      </c>
      <c r="O1175" s="410" t="s">
        <v>4884</v>
      </c>
      <c r="P1175" s="406">
        <v>1172</v>
      </c>
      <c r="Q1175" s="270" t="s">
        <v>2070</v>
      </c>
      <c r="R1175" s="523" t="s">
        <v>1883</v>
      </c>
      <c r="S1175" s="270" t="s">
        <v>1884</v>
      </c>
      <c r="U1175" s="471"/>
      <c r="V1175" s="471"/>
      <c r="W1175" s="471"/>
      <c r="X1175" s="471"/>
      <c r="Y1175" s="206"/>
      <c r="Z1175" s="206"/>
    </row>
    <row r="1176" spans="1:26">
      <c r="A1176" s="406">
        <v>1173</v>
      </c>
      <c r="B1176" s="613" t="s">
        <v>7020</v>
      </c>
      <c r="C1176" s="288" t="s">
        <v>2071</v>
      </c>
      <c r="D1176" s="414" t="s">
        <v>4884</v>
      </c>
      <c r="E1176" s="407" t="s">
        <v>4884</v>
      </c>
      <c r="F1176" s="483"/>
      <c r="G1176" s="483"/>
      <c r="H1176" s="483"/>
      <c r="I1176" s="483"/>
      <c r="J1176" s="483"/>
      <c r="K1176" s="483"/>
      <c r="L1176" s="608" t="s">
        <v>4884</v>
      </c>
      <c r="M1176" s="409" t="s">
        <v>4884</v>
      </c>
      <c r="N1176" s="409" t="s">
        <v>4884</v>
      </c>
      <c r="O1176" s="410" t="s">
        <v>4884</v>
      </c>
      <c r="P1176" s="406">
        <v>1173</v>
      </c>
      <c r="Q1176" s="270" t="s">
        <v>2071</v>
      </c>
      <c r="R1176" s="523" t="s">
        <v>1883</v>
      </c>
      <c r="S1176" s="270" t="s">
        <v>1884</v>
      </c>
      <c r="U1176" s="471"/>
      <c r="V1176" s="471"/>
      <c r="W1176" s="471"/>
      <c r="X1176" s="471"/>
      <c r="Y1176" s="206"/>
      <c r="Z1176" s="206"/>
    </row>
    <row r="1177" spans="1:26">
      <c r="A1177" s="406">
        <v>1174</v>
      </c>
      <c r="B1177" s="613" t="s">
        <v>7020</v>
      </c>
      <c r="C1177" s="288" t="s">
        <v>2072</v>
      </c>
      <c r="D1177" s="414" t="s">
        <v>4884</v>
      </c>
      <c r="E1177" s="407" t="s">
        <v>4884</v>
      </c>
      <c r="F1177" s="483"/>
      <c r="G1177" s="483"/>
      <c r="H1177" s="483"/>
      <c r="I1177" s="483"/>
      <c r="J1177" s="483"/>
      <c r="K1177" s="483"/>
      <c r="L1177" s="608" t="s">
        <v>4884</v>
      </c>
      <c r="M1177" s="409" t="s">
        <v>4884</v>
      </c>
      <c r="N1177" s="409" t="s">
        <v>4884</v>
      </c>
      <c r="O1177" s="410" t="s">
        <v>4884</v>
      </c>
      <c r="P1177" s="406">
        <v>1174</v>
      </c>
      <c r="Q1177" s="270" t="s">
        <v>2072</v>
      </c>
      <c r="R1177" s="523" t="s">
        <v>1883</v>
      </c>
      <c r="S1177" s="270" t="s">
        <v>1884</v>
      </c>
      <c r="U1177" s="471"/>
      <c r="V1177" s="471"/>
      <c r="W1177" s="471"/>
      <c r="X1177" s="471"/>
      <c r="Y1177" s="206"/>
      <c r="Z1177" s="206"/>
    </row>
    <row r="1178" spans="1:26">
      <c r="A1178" s="406">
        <v>1175</v>
      </c>
      <c r="B1178" s="613" t="s">
        <v>7020</v>
      </c>
      <c r="C1178" s="288" t="s">
        <v>2073</v>
      </c>
      <c r="D1178" s="414" t="s">
        <v>4884</v>
      </c>
      <c r="E1178" s="407" t="s">
        <v>4884</v>
      </c>
      <c r="F1178" s="483"/>
      <c r="G1178" s="483"/>
      <c r="H1178" s="483"/>
      <c r="I1178" s="483"/>
      <c r="J1178" s="483"/>
      <c r="K1178" s="483"/>
      <c r="L1178" s="608" t="s">
        <v>4884</v>
      </c>
      <c r="M1178" s="409" t="s">
        <v>4884</v>
      </c>
      <c r="N1178" s="409" t="s">
        <v>4884</v>
      </c>
      <c r="O1178" s="410" t="s">
        <v>4884</v>
      </c>
      <c r="P1178" s="406">
        <v>1175</v>
      </c>
      <c r="Q1178" s="270" t="s">
        <v>2073</v>
      </c>
      <c r="R1178" s="523" t="s">
        <v>1883</v>
      </c>
      <c r="S1178" s="270" t="s">
        <v>1884</v>
      </c>
      <c r="U1178" s="471"/>
      <c r="V1178" s="471"/>
      <c r="W1178" s="471"/>
      <c r="X1178" s="471"/>
      <c r="Y1178" s="206"/>
      <c r="Z1178" s="206"/>
    </row>
    <row r="1179" spans="1:26">
      <c r="A1179" s="406">
        <v>1176</v>
      </c>
      <c r="B1179" s="613" t="s">
        <v>7020</v>
      </c>
      <c r="C1179" s="288" t="s">
        <v>2074</v>
      </c>
      <c r="D1179" s="414" t="s">
        <v>4884</v>
      </c>
      <c r="E1179" s="407" t="s">
        <v>4884</v>
      </c>
      <c r="F1179" s="483"/>
      <c r="G1179" s="483"/>
      <c r="H1179" s="483"/>
      <c r="I1179" s="483"/>
      <c r="J1179" s="483"/>
      <c r="K1179" s="483"/>
      <c r="L1179" s="608" t="s">
        <v>4884</v>
      </c>
      <c r="M1179" s="409" t="s">
        <v>4884</v>
      </c>
      <c r="N1179" s="409" t="s">
        <v>4884</v>
      </c>
      <c r="O1179" s="410" t="s">
        <v>4884</v>
      </c>
      <c r="P1179" s="406">
        <v>1176</v>
      </c>
      <c r="Q1179" s="270" t="s">
        <v>2074</v>
      </c>
      <c r="R1179" s="523" t="s">
        <v>1883</v>
      </c>
      <c r="S1179" s="270" t="s">
        <v>1884</v>
      </c>
      <c r="U1179" s="471"/>
      <c r="V1179" s="471"/>
      <c r="W1179" s="471"/>
      <c r="X1179" s="471"/>
      <c r="Y1179" s="206"/>
      <c r="Z1179" s="206"/>
    </row>
    <row r="1180" spans="1:26">
      <c r="A1180" s="406">
        <v>1177</v>
      </c>
      <c r="B1180" s="613" t="s">
        <v>7020</v>
      </c>
      <c r="C1180" s="288" t="s">
        <v>2075</v>
      </c>
      <c r="D1180" s="414" t="s">
        <v>4884</v>
      </c>
      <c r="E1180" s="407" t="s">
        <v>4884</v>
      </c>
      <c r="F1180" s="483"/>
      <c r="G1180" s="483"/>
      <c r="H1180" s="483"/>
      <c r="I1180" s="483"/>
      <c r="J1180" s="483"/>
      <c r="K1180" s="483"/>
      <c r="L1180" s="608" t="s">
        <v>4884</v>
      </c>
      <c r="M1180" s="409" t="s">
        <v>4884</v>
      </c>
      <c r="N1180" s="409" t="s">
        <v>4884</v>
      </c>
      <c r="O1180" s="410" t="s">
        <v>4884</v>
      </c>
      <c r="P1180" s="406">
        <v>1177</v>
      </c>
      <c r="Q1180" s="270" t="s">
        <v>2075</v>
      </c>
      <c r="R1180" s="523" t="s">
        <v>1883</v>
      </c>
      <c r="S1180" s="270" t="s">
        <v>1884</v>
      </c>
      <c r="U1180" s="471"/>
      <c r="V1180" s="471"/>
      <c r="W1180" s="471"/>
      <c r="X1180" s="471"/>
      <c r="Y1180" s="206"/>
      <c r="Z1180" s="206"/>
    </row>
    <row r="1181" spans="1:26">
      <c r="A1181" s="406">
        <v>1178</v>
      </c>
      <c r="B1181" s="613" t="s">
        <v>7020</v>
      </c>
      <c r="C1181" s="288" t="s">
        <v>2076</v>
      </c>
      <c r="D1181" s="414" t="s">
        <v>4884</v>
      </c>
      <c r="E1181" s="407" t="s">
        <v>4884</v>
      </c>
      <c r="F1181" s="483"/>
      <c r="G1181" s="483"/>
      <c r="H1181" s="483"/>
      <c r="I1181" s="483"/>
      <c r="J1181" s="483"/>
      <c r="K1181" s="483"/>
      <c r="L1181" s="608" t="s">
        <v>4884</v>
      </c>
      <c r="M1181" s="409" t="s">
        <v>4884</v>
      </c>
      <c r="N1181" s="409" t="s">
        <v>4884</v>
      </c>
      <c r="O1181" s="410" t="s">
        <v>4884</v>
      </c>
      <c r="P1181" s="406">
        <v>1178</v>
      </c>
      <c r="Q1181" s="270" t="s">
        <v>2076</v>
      </c>
      <c r="R1181" s="523" t="s">
        <v>1883</v>
      </c>
      <c r="S1181" s="270" t="s">
        <v>1884</v>
      </c>
      <c r="U1181" s="471"/>
      <c r="V1181" s="471"/>
      <c r="W1181" s="471"/>
      <c r="X1181" s="471"/>
      <c r="Y1181" s="206"/>
      <c r="Z1181" s="206"/>
    </row>
    <row r="1182" spans="1:26">
      <c r="A1182" s="406">
        <v>1179</v>
      </c>
      <c r="B1182" s="613" t="s">
        <v>7020</v>
      </c>
      <c r="C1182" s="288" t="s">
        <v>2077</v>
      </c>
      <c r="D1182" s="414" t="s">
        <v>4884</v>
      </c>
      <c r="E1182" s="407" t="s">
        <v>4884</v>
      </c>
      <c r="F1182" s="483"/>
      <c r="G1182" s="483"/>
      <c r="H1182" s="483"/>
      <c r="I1182" s="483"/>
      <c r="J1182" s="483"/>
      <c r="K1182" s="483"/>
      <c r="L1182" s="608" t="s">
        <v>4884</v>
      </c>
      <c r="M1182" s="409" t="s">
        <v>4884</v>
      </c>
      <c r="N1182" s="409" t="s">
        <v>4884</v>
      </c>
      <c r="O1182" s="410" t="s">
        <v>4884</v>
      </c>
      <c r="P1182" s="406">
        <v>1179</v>
      </c>
      <c r="Q1182" s="270" t="s">
        <v>2077</v>
      </c>
      <c r="R1182" s="523" t="s">
        <v>1883</v>
      </c>
      <c r="S1182" s="270" t="s">
        <v>1884</v>
      </c>
      <c r="U1182" s="471"/>
      <c r="V1182" s="471"/>
      <c r="W1182" s="471"/>
      <c r="X1182" s="471"/>
      <c r="Y1182" s="206"/>
      <c r="Z1182" s="206"/>
    </row>
    <row r="1183" spans="1:26">
      <c r="A1183" s="406">
        <v>1180</v>
      </c>
      <c r="B1183" s="613" t="s">
        <v>7020</v>
      </c>
      <c r="C1183" s="288" t="s">
        <v>2078</v>
      </c>
      <c r="D1183" s="414" t="s">
        <v>4884</v>
      </c>
      <c r="E1183" s="407" t="s">
        <v>4884</v>
      </c>
      <c r="F1183" s="483"/>
      <c r="G1183" s="483"/>
      <c r="H1183" s="483"/>
      <c r="I1183" s="483"/>
      <c r="J1183" s="483"/>
      <c r="K1183" s="483"/>
      <c r="L1183" s="608" t="s">
        <v>4884</v>
      </c>
      <c r="M1183" s="409" t="s">
        <v>4884</v>
      </c>
      <c r="N1183" s="409" t="s">
        <v>4884</v>
      </c>
      <c r="O1183" s="410" t="s">
        <v>4884</v>
      </c>
      <c r="P1183" s="406">
        <v>1180</v>
      </c>
      <c r="Q1183" s="270" t="s">
        <v>2078</v>
      </c>
      <c r="R1183" s="523" t="s">
        <v>1883</v>
      </c>
      <c r="S1183" s="270" t="s">
        <v>1884</v>
      </c>
      <c r="U1183" s="471"/>
      <c r="V1183" s="471"/>
      <c r="W1183" s="471"/>
      <c r="X1183" s="471"/>
      <c r="Y1183" s="206"/>
      <c r="Z1183" s="206"/>
    </row>
    <row r="1184" spans="1:26">
      <c r="A1184" s="406">
        <v>1181</v>
      </c>
      <c r="B1184" s="613" t="s">
        <v>7020</v>
      </c>
      <c r="C1184" s="288" t="s">
        <v>2079</v>
      </c>
      <c r="D1184" s="414" t="s">
        <v>4884</v>
      </c>
      <c r="E1184" s="407" t="s">
        <v>4884</v>
      </c>
      <c r="F1184" s="483"/>
      <c r="G1184" s="483"/>
      <c r="H1184" s="483"/>
      <c r="I1184" s="483"/>
      <c r="J1184" s="483"/>
      <c r="K1184" s="483"/>
      <c r="L1184" s="608" t="s">
        <v>4884</v>
      </c>
      <c r="M1184" s="409" t="s">
        <v>4884</v>
      </c>
      <c r="N1184" s="409" t="s">
        <v>4884</v>
      </c>
      <c r="O1184" s="410" t="s">
        <v>4884</v>
      </c>
      <c r="P1184" s="406">
        <v>1181</v>
      </c>
      <c r="Q1184" s="270" t="s">
        <v>2079</v>
      </c>
      <c r="R1184" s="523" t="s">
        <v>1883</v>
      </c>
      <c r="S1184" s="270" t="s">
        <v>1884</v>
      </c>
      <c r="U1184" s="471"/>
      <c r="V1184" s="471"/>
      <c r="W1184" s="471"/>
      <c r="X1184" s="471"/>
      <c r="Y1184" s="206"/>
      <c r="Z1184" s="206"/>
    </row>
    <row r="1185" spans="1:26">
      <c r="A1185" s="406">
        <v>1182</v>
      </c>
      <c r="B1185" s="613" t="s">
        <v>7020</v>
      </c>
      <c r="C1185" s="288" t="s">
        <v>2080</v>
      </c>
      <c r="D1185" s="414" t="s">
        <v>4884</v>
      </c>
      <c r="E1185" s="407" t="s">
        <v>4884</v>
      </c>
      <c r="F1185" s="483"/>
      <c r="G1185" s="483"/>
      <c r="H1185" s="483"/>
      <c r="I1185" s="483"/>
      <c r="J1185" s="483"/>
      <c r="K1185" s="483"/>
      <c r="L1185" s="608" t="s">
        <v>4884</v>
      </c>
      <c r="M1185" s="409" t="s">
        <v>4884</v>
      </c>
      <c r="N1185" s="409" t="s">
        <v>4884</v>
      </c>
      <c r="O1185" s="410" t="s">
        <v>4884</v>
      </c>
      <c r="P1185" s="406">
        <v>1182</v>
      </c>
      <c r="Q1185" s="270" t="s">
        <v>2080</v>
      </c>
      <c r="R1185" s="523" t="s">
        <v>1883</v>
      </c>
      <c r="S1185" s="270" t="s">
        <v>1884</v>
      </c>
      <c r="U1185" s="471"/>
      <c r="V1185" s="471"/>
      <c r="W1185" s="471"/>
      <c r="X1185" s="471"/>
      <c r="Y1185" s="206"/>
      <c r="Z1185" s="206"/>
    </row>
    <row r="1186" spans="1:26">
      <c r="A1186" s="406">
        <v>1183</v>
      </c>
      <c r="B1186" s="613" t="s">
        <v>7020</v>
      </c>
      <c r="C1186" s="288" t="s">
        <v>2081</v>
      </c>
      <c r="D1186" s="414" t="s">
        <v>4884</v>
      </c>
      <c r="E1186" s="407" t="s">
        <v>4884</v>
      </c>
      <c r="F1186" s="483"/>
      <c r="G1186" s="483"/>
      <c r="H1186" s="483"/>
      <c r="I1186" s="483"/>
      <c r="J1186" s="483"/>
      <c r="K1186" s="483"/>
      <c r="L1186" s="608" t="s">
        <v>4884</v>
      </c>
      <c r="M1186" s="409" t="s">
        <v>4884</v>
      </c>
      <c r="N1186" s="409" t="s">
        <v>4884</v>
      </c>
      <c r="O1186" s="410" t="s">
        <v>4884</v>
      </c>
      <c r="P1186" s="406">
        <v>1183</v>
      </c>
      <c r="Q1186" s="270" t="s">
        <v>2081</v>
      </c>
      <c r="R1186" s="523" t="s">
        <v>1883</v>
      </c>
      <c r="S1186" s="270" t="s">
        <v>1884</v>
      </c>
      <c r="U1186" s="471"/>
      <c r="V1186" s="471"/>
      <c r="W1186" s="471"/>
      <c r="X1186" s="471"/>
      <c r="Y1186" s="206"/>
      <c r="Z1186" s="206"/>
    </row>
    <row r="1187" spans="1:26">
      <c r="A1187" s="406">
        <v>1184</v>
      </c>
      <c r="B1187" s="613" t="s">
        <v>7020</v>
      </c>
      <c r="C1187" s="288" t="s">
        <v>2082</v>
      </c>
      <c r="D1187" s="414" t="s">
        <v>4884</v>
      </c>
      <c r="E1187" s="407" t="s">
        <v>4884</v>
      </c>
      <c r="F1187" s="483"/>
      <c r="G1187" s="483"/>
      <c r="H1187" s="483"/>
      <c r="I1187" s="483"/>
      <c r="J1187" s="483"/>
      <c r="K1187" s="483"/>
      <c r="L1187" s="608" t="s">
        <v>4884</v>
      </c>
      <c r="M1187" s="409" t="s">
        <v>4884</v>
      </c>
      <c r="N1187" s="409" t="s">
        <v>4884</v>
      </c>
      <c r="O1187" s="410" t="s">
        <v>4884</v>
      </c>
      <c r="P1187" s="406">
        <v>1184</v>
      </c>
      <c r="Q1187" s="270" t="s">
        <v>2082</v>
      </c>
      <c r="R1187" s="523" t="s">
        <v>1883</v>
      </c>
      <c r="S1187" s="270" t="s">
        <v>1884</v>
      </c>
      <c r="U1187" s="471"/>
      <c r="V1187" s="471"/>
      <c r="W1187" s="471"/>
      <c r="X1187" s="471"/>
      <c r="Y1187" s="206"/>
      <c r="Z1187" s="206"/>
    </row>
    <row r="1188" spans="1:26">
      <c r="A1188" s="406">
        <v>1185</v>
      </c>
      <c r="B1188" s="613" t="s">
        <v>7020</v>
      </c>
      <c r="C1188" s="288" t="s">
        <v>2083</v>
      </c>
      <c r="D1188" s="414" t="s">
        <v>4884</v>
      </c>
      <c r="E1188" s="407" t="s">
        <v>4884</v>
      </c>
      <c r="F1188" s="483"/>
      <c r="G1188" s="483"/>
      <c r="H1188" s="483"/>
      <c r="I1188" s="483"/>
      <c r="J1188" s="483"/>
      <c r="K1188" s="483"/>
      <c r="L1188" s="608" t="s">
        <v>4884</v>
      </c>
      <c r="M1188" s="409" t="s">
        <v>4884</v>
      </c>
      <c r="N1188" s="409" t="s">
        <v>4884</v>
      </c>
      <c r="O1188" s="410" t="s">
        <v>4884</v>
      </c>
      <c r="P1188" s="406">
        <v>1185</v>
      </c>
      <c r="Q1188" s="270" t="s">
        <v>2083</v>
      </c>
      <c r="R1188" s="523" t="s">
        <v>1883</v>
      </c>
      <c r="S1188" s="270" t="s">
        <v>1884</v>
      </c>
      <c r="U1188" s="471"/>
      <c r="V1188" s="471"/>
      <c r="W1188" s="471"/>
      <c r="X1188" s="471"/>
      <c r="Y1188" s="206"/>
      <c r="Z1188" s="206"/>
    </row>
    <row r="1189" spans="1:26">
      <c r="A1189" s="406">
        <v>1186</v>
      </c>
      <c r="B1189" s="613" t="s">
        <v>7020</v>
      </c>
      <c r="C1189" s="288" t="s">
        <v>2084</v>
      </c>
      <c r="D1189" s="414" t="s">
        <v>4884</v>
      </c>
      <c r="E1189" s="407" t="s">
        <v>4884</v>
      </c>
      <c r="F1189" s="483"/>
      <c r="G1189" s="483"/>
      <c r="H1189" s="483"/>
      <c r="I1189" s="483"/>
      <c r="J1189" s="483"/>
      <c r="K1189" s="483"/>
      <c r="L1189" s="608" t="s">
        <v>4884</v>
      </c>
      <c r="M1189" s="409" t="s">
        <v>4884</v>
      </c>
      <c r="N1189" s="409" t="s">
        <v>4884</v>
      </c>
      <c r="O1189" s="410" t="s">
        <v>4884</v>
      </c>
      <c r="P1189" s="406">
        <v>1186</v>
      </c>
      <c r="Q1189" s="270" t="s">
        <v>2084</v>
      </c>
      <c r="R1189" s="523" t="s">
        <v>1883</v>
      </c>
      <c r="S1189" s="270" t="s">
        <v>1884</v>
      </c>
      <c r="U1189" s="471"/>
      <c r="V1189" s="471"/>
      <c r="W1189" s="471"/>
      <c r="X1189" s="471"/>
      <c r="Y1189" s="206"/>
      <c r="Z1189" s="206"/>
    </row>
    <row r="1190" spans="1:26">
      <c r="A1190" s="406">
        <v>1187</v>
      </c>
      <c r="B1190" s="613" t="s">
        <v>7020</v>
      </c>
      <c r="C1190" s="288" t="s">
        <v>2085</v>
      </c>
      <c r="D1190" s="414" t="s">
        <v>4884</v>
      </c>
      <c r="E1190" s="407" t="s">
        <v>4884</v>
      </c>
      <c r="F1190" s="483"/>
      <c r="G1190" s="483"/>
      <c r="H1190" s="483"/>
      <c r="I1190" s="483"/>
      <c r="J1190" s="483"/>
      <c r="K1190" s="483"/>
      <c r="L1190" s="608" t="s">
        <v>4884</v>
      </c>
      <c r="M1190" s="409" t="s">
        <v>4884</v>
      </c>
      <c r="N1190" s="409" t="s">
        <v>4884</v>
      </c>
      <c r="O1190" s="410" t="s">
        <v>4884</v>
      </c>
      <c r="P1190" s="406">
        <v>1187</v>
      </c>
      <c r="Q1190" s="270" t="s">
        <v>2085</v>
      </c>
      <c r="R1190" s="523" t="s">
        <v>1883</v>
      </c>
      <c r="S1190" s="270" t="s">
        <v>1884</v>
      </c>
      <c r="U1190" s="471"/>
      <c r="V1190" s="471"/>
      <c r="W1190" s="471"/>
      <c r="X1190" s="471"/>
      <c r="Y1190" s="206"/>
      <c r="Z1190" s="206"/>
    </row>
    <row r="1191" spans="1:26">
      <c r="A1191" s="406">
        <v>1188</v>
      </c>
      <c r="B1191" s="613" t="s">
        <v>7020</v>
      </c>
      <c r="C1191" s="288" t="s">
        <v>2086</v>
      </c>
      <c r="D1191" s="414" t="s">
        <v>4884</v>
      </c>
      <c r="E1191" s="407" t="s">
        <v>4884</v>
      </c>
      <c r="F1191" s="483"/>
      <c r="G1191" s="483"/>
      <c r="H1191" s="483"/>
      <c r="I1191" s="483"/>
      <c r="J1191" s="483"/>
      <c r="K1191" s="483"/>
      <c r="L1191" s="608" t="s">
        <v>4884</v>
      </c>
      <c r="M1191" s="409" t="s">
        <v>4884</v>
      </c>
      <c r="N1191" s="409" t="s">
        <v>4884</v>
      </c>
      <c r="O1191" s="410" t="s">
        <v>4884</v>
      </c>
      <c r="P1191" s="406">
        <v>1188</v>
      </c>
      <c r="Q1191" s="270" t="s">
        <v>2086</v>
      </c>
      <c r="R1191" s="523" t="s">
        <v>1883</v>
      </c>
      <c r="S1191" s="270" t="s">
        <v>1884</v>
      </c>
      <c r="U1191" s="471"/>
      <c r="V1191" s="471"/>
      <c r="W1191" s="471"/>
      <c r="X1191" s="471"/>
      <c r="Y1191" s="206"/>
      <c r="Z1191" s="206"/>
    </row>
    <row r="1192" spans="1:26">
      <c r="A1192" s="406">
        <v>1189</v>
      </c>
      <c r="B1192" s="613" t="s">
        <v>7020</v>
      </c>
      <c r="C1192" s="288" t="s">
        <v>2087</v>
      </c>
      <c r="D1192" s="414" t="s">
        <v>4884</v>
      </c>
      <c r="E1192" s="407" t="s">
        <v>4884</v>
      </c>
      <c r="F1192" s="483"/>
      <c r="G1192" s="483"/>
      <c r="H1192" s="483"/>
      <c r="I1192" s="483"/>
      <c r="J1192" s="483"/>
      <c r="K1192" s="483"/>
      <c r="L1192" s="608" t="s">
        <v>4884</v>
      </c>
      <c r="M1192" s="409" t="s">
        <v>4884</v>
      </c>
      <c r="N1192" s="409" t="s">
        <v>4884</v>
      </c>
      <c r="O1192" s="410" t="s">
        <v>4884</v>
      </c>
      <c r="P1192" s="406">
        <v>1189</v>
      </c>
      <c r="Q1192" s="270" t="s">
        <v>2087</v>
      </c>
      <c r="R1192" s="523" t="s">
        <v>1883</v>
      </c>
      <c r="S1192" s="270" t="s">
        <v>1884</v>
      </c>
      <c r="U1192" s="471"/>
      <c r="V1192" s="471"/>
      <c r="W1192" s="471"/>
      <c r="X1192" s="471"/>
      <c r="Y1192" s="206"/>
      <c r="Z1192" s="206"/>
    </row>
    <row r="1193" spans="1:26">
      <c r="A1193" s="406">
        <v>1190</v>
      </c>
      <c r="B1193" s="613" t="s">
        <v>7020</v>
      </c>
      <c r="C1193" s="288" t="s">
        <v>2088</v>
      </c>
      <c r="D1193" s="414" t="s">
        <v>4884</v>
      </c>
      <c r="E1193" s="407" t="s">
        <v>4884</v>
      </c>
      <c r="F1193" s="483"/>
      <c r="G1193" s="483"/>
      <c r="H1193" s="483"/>
      <c r="I1193" s="483"/>
      <c r="J1193" s="483"/>
      <c r="K1193" s="483"/>
      <c r="L1193" s="608" t="s">
        <v>4884</v>
      </c>
      <c r="M1193" s="409" t="s">
        <v>4884</v>
      </c>
      <c r="N1193" s="409" t="s">
        <v>4884</v>
      </c>
      <c r="O1193" s="410" t="s">
        <v>4884</v>
      </c>
      <c r="P1193" s="406">
        <v>1190</v>
      </c>
      <c r="Q1193" s="270" t="s">
        <v>2088</v>
      </c>
      <c r="R1193" s="523" t="s">
        <v>1883</v>
      </c>
      <c r="S1193" s="270" t="s">
        <v>1884</v>
      </c>
      <c r="U1193" s="471"/>
      <c r="V1193" s="471"/>
      <c r="W1193" s="471"/>
      <c r="X1193" s="471"/>
      <c r="Y1193" s="206"/>
      <c r="Z1193" s="206"/>
    </row>
    <row r="1194" spans="1:26">
      <c r="A1194" s="406">
        <v>1191</v>
      </c>
      <c r="B1194" s="613" t="s">
        <v>7020</v>
      </c>
      <c r="C1194" s="288" t="s">
        <v>2089</v>
      </c>
      <c r="D1194" s="414" t="s">
        <v>4884</v>
      </c>
      <c r="E1194" s="407" t="s">
        <v>4884</v>
      </c>
      <c r="F1194" s="483"/>
      <c r="G1194" s="483"/>
      <c r="H1194" s="483"/>
      <c r="I1194" s="483"/>
      <c r="J1194" s="483"/>
      <c r="K1194" s="483"/>
      <c r="L1194" s="608" t="s">
        <v>4884</v>
      </c>
      <c r="M1194" s="409" t="s">
        <v>4884</v>
      </c>
      <c r="N1194" s="409" t="s">
        <v>4884</v>
      </c>
      <c r="O1194" s="410" t="s">
        <v>4884</v>
      </c>
      <c r="P1194" s="406">
        <v>1191</v>
      </c>
      <c r="Q1194" s="270" t="s">
        <v>2089</v>
      </c>
      <c r="R1194" s="523" t="s">
        <v>1883</v>
      </c>
      <c r="S1194" s="270" t="s">
        <v>1884</v>
      </c>
      <c r="U1194" s="471"/>
      <c r="V1194" s="471"/>
      <c r="W1194" s="471"/>
      <c r="X1194" s="471"/>
      <c r="Y1194" s="206"/>
      <c r="Z1194" s="206"/>
    </row>
    <row r="1195" spans="1:26">
      <c r="A1195" s="406">
        <v>1192</v>
      </c>
      <c r="B1195" s="613" t="s">
        <v>7020</v>
      </c>
      <c r="C1195" s="288" t="s">
        <v>2090</v>
      </c>
      <c r="D1195" s="414" t="s">
        <v>4884</v>
      </c>
      <c r="E1195" s="407" t="s">
        <v>4884</v>
      </c>
      <c r="F1195" s="483"/>
      <c r="G1195" s="483"/>
      <c r="H1195" s="483"/>
      <c r="I1195" s="483"/>
      <c r="J1195" s="483"/>
      <c r="K1195" s="483"/>
      <c r="L1195" s="608" t="s">
        <v>4884</v>
      </c>
      <c r="M1195" s="409" t="s">
        <v>4884</v>
      </c>
      <c r="N1195" s="409" t="s">
        <v>4884</v>
      </c>
      <c r="O1195" s="410" t="s">
        <v>4884</v>
      </c>
      <c r="P1195" s="406">
        <v>1192</v>
      </c>
      <c r="Q1195" s="270" t="s">
        <v>2090</v>
      </c>
      <c r="R1195" s="523" t="s">
        <v>1883</v>
      </c>
      <c r="S1195" s="270" t="s">
        <v>1884</v>
      </c>
      <c r="U1195" s="471"/>
      <c r="V1195" s="471"/>
      <c r="W1195" s="471"/>
      <c r="X1195" s="471"/>
      <c r="Y1195" s="206"/>
      <c r="Z1195" s="206"/>
    </row>
    <row r="1196" spans="1:26">
      <c r="A1196" s="406">
        <v>1193</v>
      </c>
      <c r="B1196" s="613" t="s">
        <v>7020</v>
      </c>
      <c r="C1196" s="288" t="s">
        <v>2091</v>
      </c>
      <c r="D1196" s="414" t="s">
        <v>4884</v>
      </c>
      <c r="E1196" s="407" t="s">
        <v>4884</v>
      </c>
      <c r="F1196" s="483"/>
      <c r="G1196" s="483"/>
      <c r="H1196" s="483"/>
      <c r="I1196" s="483"/>
      <c r="J1196" s="483"/>
      <c r="K1196" s="483"/>
      <c r="L1196" s="608" t="s">
        <v>4884</v>
      </c>
      <c r="M1196" s="409" t="s">
        <v>4884</v>
      </c>
      <c r="N1196" s="409" t="s">
        <v>4884</v>
      </c>
      <c r="O1196" s="410" t="s">
        <v>4884</v>
      </c>
      <c r="P1196" s="406">
        <v>1193</v>
      </c>
      <c r="Q1196" s="270" t="s">
        <v>2091</v>
      </c>
      <c r="R1196" s="523" t="s">
        <v>1883</v>
      </c>
      <c r="S1196" s="270" t="s">
        <v>1884</v>
      </c>
      <c r="U1196" s="471"/>
      <c r="V1196" s="471"/>
      <c r="W1196" s="471"/>
      <c r="X1196" s="471"/>
      <c r="Y1196" s="206"/>
      <c r="Z1196" s="206"/>
    </row>
    <row r="1197" spans="1:26">
      <c r="A1197" s="406">
        <v>1194</v>
      </c>
      <c r="B1197" s="613" t="s">
        <v>7020</v>
      </c>
      <c r="C1197" s="288" t="s">
        <v>2092</v>
      </c>
      <c r="D1197" s="414" t="s">
        <v>4884</v>
      </c>
      <c r="E1197" s="407" t="s">
        <v>4884</v>
      </c>
      <c r="F1197" s="483"/>
      <c r="G1197" s="483"/>
      <c r="H1197" s="483"/>
      <c r="I1197" s="483"/>
      <c r="J1197" s="483"/>
      <c r="K1197" s="483"/>
      <c r="L1197" s="608" t="s">
        <v>4884</v>
      </c>
      <c r="M1197" s="409" t="s">
        <v>4884</v>
      </c>
      <c r="N1197" s="409" t="s">
        <v>4884</v>
      </c>
      <c r="O1197" s="410" t="s">
        <v>4884</v>
      </c>
      <c r="P1197" s="406">
        <v>1194</v>
      </c>
      <c r="Q1197" s="270" t="s">
        <v>2092</v>
      </c>
      <c r="R1197" s="523" t="s">
        <v>1883</v>
      </c>
      <c r="S1197" s="270" t="s">
        <v>1884</v>
      </c>
      <c r="U1197" s="471"/>
      <c r="V1197" s="471"/>
      <c r="W1197" s="471"/>
      <c r="X1197" s="471"/>
      <c r="Y1197" s="206"/>
      <c r="Z1197" s="206"/>
    </row>
    <row r="1198" spans="1:26">
      <c r="A1198" s="406">
        <v>1195</v>
      </c>
      <c r="B1198" s="613" t="s">
        <v>7020</v>
      </c>
      <c r="C1198" s="288" t="s">
        <v>2093</v>
      </c>
      <c r="D1198" s="414" t="s">
        <v>4884</v>
      </c>
      <c r="E1198" s="407" t="s">
        <v>4884</v>
      </c>
      <c r="F1198" s="483"/>
      <c r="G1198" s="483"/>
      <c r="H1198" s="483"/>
      <c r="I1198" s="483"/>
      <c r="J1198" s="483"/>
      <c r="K1198" s="483"/>
      <c r="L1198" s="608" t="s">
        <v>4884</v>
      </c>
      <c r="M1198" s="409" t="s">
        <v>4884</v>
      </c>
      <c r="N1198" s="409" t="s">
        <v>4884</v>
      </c>
      <c r="O1198" s="410" t="s">
        <v>4884</v>
      </c>
      <c r="P1198" s="406">
        <v>1195</v>
      </c>
      <c r="Q1198" s="270" t="s">
        <v>2093</v>
      </c>
      <c r="R1198" s="523" t="s">
        <v>1883</v>
      </c>
      <c r="S1198" s="270" t="s">
        <v>1884</v>
      </c>
      <c r="U1198" s="471"/>
      <c r="V1198" s="471"/>
      <c r="W1198" s="471"/>
      <c r="X1198" s="471"/>
      <c r="Y1198" s="206"/>
      <c r="Z1198" s="206"/>
    </row>
    <row r="1199" spans="1:26">
      <c r="A1199" s="406">
        <v>1196</v>
      </c>
      <c r="B1199" s="613" t="s">
        <v>7020</v>
      </c>
      <c r="C1199" s="288" t="s">
        <v>2094</v>
      </c>
      <c r="D1199" s="414" t="s">
        <v>4884</v>
      </c>
      <c r="E1199" s="407" t="s">
        <v>4884</v>
      </c>
      <c r="F1199" s="483"/>
      <c r="G1199" s="483"/>
      <c r="H1199" s="483"/>
      <c r="I1199" s="483"/>
      <c r="J1199" s="483"/>
      <c r="K1199" s="483"/>
      <c r="L1199" s="608" t="s">
        <v>4884</v>
      </c>
      <c r="M1199" s="409" t="s">
        <v>4884</v>
      </c>
      <c r="N1199" s="409" t="s">
        <v>4884</v>
      </c>
      <c r="O1199" s="410" t="s">
        <v>4884</v>
      </c>
      <c r="P1199" s="406">
        <v>1196</v>
      </c>
      <c r="Q1199" s="270" t="s">
        <v>2094</v>
      </c>
      <c r="R1199" s="523" t="s">
        <v>1883</v>
      </c>
      <c r="S1199" s="270" t="s">
        <v>1884</v>
      </c>
      <c r="U1199" s="471"/>
      <c r="V1199" s="471"/>
      <c r="W1199" s="471"/>
      <c r="X1199" s="471"/>
      <c r="Y1199" s="206"/>
      <c r="Z1199" s="206"/>
    </row>
    <row r="1200" spans="1:26">
      <c r="A1200" s="406">
        <v>1197</v>
      </c>
      <c r="B1200" s="613" t="s">
        <v>7020</v>
      </c>
      <c r="C1200" s="288" t="s">
        <v>2095</v>
      </c>
      <c r="D1200" s="414" t="s">
        <v>4884</v>
      </c>
      <c r="E1200" s="407" t="s">
        <v>4884</v>
      </c>
      <c r="F1200" s="483"/>
      <c r="G1200" s="483"/>
      <c r="H1200" s="483"/>
      <c r="I1200" s="483"/>
      <c r="J1200" s="483"/>
      <c r="K1200" s="483"/>
      <c r="L1200" s="608" t="s">
        <v>4884</v>
      </c>
      <c r="M1200" s="409" t="s">
        <v>4884</v>
      </c>
      <c r="N1200" s="409" t="s">
        <v>4884</v>
      </c>
      <c r="O1200" s="410" t="s">
        <v>4884</v>
      </c>
      <c r="P1200" s="406">
        <v>1197</v>
      </c>
      <c r="Q1200" s="270" t="s">
        <v>2095</v>
      </c>
      <c r="R1200" s="523" t="s">
        <v>1883</v>
      </c>
      <c r="S1200" s="270" t="s">
        <v>1884</v>
      </c>
      <c r="U1200" s="471"/>
      <c r="V1200" s="471"/>
      <c r="W1200" s="471"/>
      <c r="X1200" s="471"/>
      <c r="Y1200" s="206"/>
      <c r="Z1200" s="206"/>
    </row>
    <row r="1201" spans="1:26">
      <c r="A1201" s="406">
        <v>1198</v>
      </c>
      <c r="B1201" s="613" t="s">
        <v>7020</v>
      </c>
      <c r="C1201" s="288" t="s">
        <v>2096</v>
      </c>
      <c r="D1201" s="414" t="s">
        <v>4884</v>
      </c>
      <c r="E1201" s="407" t="s">
        <v>4884</v>
      </c>
      <c r="F1201" s="483"/>
      <c r="G1201" s="483"/>
      <c r="H1201" s="483"/>
      <c r="I1201" s="483"/>
      <c r="J1201" s="483"/>
      <c r="K1201" s="483"/>
      <c r="L1201" s="608" t="s">
        <v>4884</v>
      </c>
      <c r="M1201" s="409" t="s">
        <v>4884</v>
      </c>
      <c r="N1201" s="409" t="s">
        <v>4884</v>
      </c>
      <c r="O1201" s="410" t="s">
        <v>4884</v>
      </c>
      <c r="P1201" s="406">
        <v>1198</v>
      </c>
      <c r="Q1201" s="270" t="s">
        <v>2096</v>
      </c>
      <c r="R1201" s="523" t="s">
        <v>1883</v>
      </c>
      <c r="S1201" s="270" t="s">
        <v>1884</v>
      </c>
      <c r="U1201" s="471"/>
      <c r="V1201" s="471"/>
      <c r="W1201" s="471"/>
      <c r="X1201" s="471"/>
      <c r="Y1201" s="206"/>
      <c r="Z1201" s="206"/>
    </row>
    <row r="1202" spans="1:26">
      <c r="A1202" s="406">
        <v>1199</v>
      </c>
      <c r="B1202" s="613" t="s">
        <v>7020</v>
      </c>
      <c r="C1202" s="288" t="s">
        <v>2097</v>
      </c>
      <c r="D1202" s="414" t="s">
        <v>4884</v>
      </c>
      <c r="E1202" s="407" t="s">
        <v>4884</v>
      </c>
      <c r="F1202" s="483"/>
      <c r="G1202" s="483"/>
      <c r="H1202" s="483"/>
      <c r="I1202" s="483"/>
      <c r="J1202" s="483"/>
      <c r="K1202" s="483"/>
      <c r="L1202" s="608" t="s">
        <v>4884</v>
      </c>
      <c r="M1202" s="409" t="s">
        <v>4884</v>
      </c>
      <c r="N1202" s="409" t="s">
        <v>4884</v>
      </c>
      <c r="O1202" s="410" t="s">
        <v>4884</v>
      </c>
      <c r="P1202" s="406">
        <v>1199</v>
      </c>
      <c r="Q1202" s="270" t="s">
        <v>2097</v>
      </c>
      <c r="R1202" s="523" t="s">
        <v>1883</v>
      </c>
      <c r="S1202" s="270" t="s">
        <v>1884</v>
      </c>
      <c r="U1202" s="471"/>
      <c r="V1202" s="471"/>
      <c r="W1202" s="471"/>
      <c r="X1202" s="471"/>
      <c r="Y1202" s="206"/>
      <c r="Z1202" s="206"/>
    </row>
    <row r="1203" spans="1:26">
      <c r="A1203" s="406">
        <v>1200</v>
      </c>
      <c r="B1203" s="613" t="s">
        <v>7020</v>
      </c>
      <c r="C1203" s="288" t="s">
        <v>2098</v>
      </c>
      <c r="D1203" s="414" t="s">
        <v>4884</v>
      </c>
      <c r="E1203" s="407" t="s">
        <v>4884</v>
      </c>
      <c r="F1203" s="483"/>
      <c r="G1203" s="483"/>
      <c r="H1203" s="483"/>
      <c r="I1203" s="483"/>
      <c r="J1203" s="483"/>
      <c r="K1203" s="483"/>
      <c r="L1203" s="608" t="s">
        <v>4884</v>
      </c>
      <c r="M1203" s="409" t="s">
        <v>4884</v>
      </c>
      <c r="N1203" s="409" t="s">
        <v>4884</v>
      </c>
      <c r="O1203" s="410" t="s">
        <v>4884</v>
      </c>
      <c r="P1203" s="406">
        <v>1200</v>
      </c>
      <c r="Q1203" s="270" t="s">
        <v>2098</v>
      </c>
      <c r="R1203" s="523" t="s">
        <v>1883</v>
      </c>
      <c r="S1203" s="270" t="s">
        <v>1884</v>
      </c>
      <c r="U1203" s="471"/>
      <c r="V1203" s="471"/>
      <c r="W1203" s="471"/>
      <c r="X1203" s="471"/>
      <c r="Y1203" s="206"/>
      <c r="Z1203" s="206"/>
    </row>
    <row r="1204" spans="1:26">
      <c r="A1204" s="406">
        <v>1201</v>
      </c>
      <c r="B1204" s="613" t="s">
        <v>7020</v>
      </c>
      <c r="C1204" s="288" t="s">
        <v>2099</v>
      </c>
      <c r="D1204" s="414" t="s">
        <v>4884</v>
      </c>
      <c r="E1204" s="407" t="s">
        <v>4884</v>
      </c>
      <c r="F1204" s="483"/>
      <c r="G1204" s="483"/>
      <c r="H1204" s="483"/>
      <c r="I1204" s="483"/>
      <c r="J1204" s="483"/>
      <c r="K1204" s="483"/>
      <c r="L1204" s="608" t="s">
        <v>4884</v>
      </c>
      <c r="M1204" s="409" t="s">
        <v>4884</v>
      </c>
      <c r="N1204" s="409" t="s">
        <v>4884</v>
      </c>
      <c r="O1204" s="410" t="s">
        <v>4884</v>
      </c>
      <c r="P1204" s="406">
        <v>1201</v>
      </c>
      <c r="Q1204" s="270" t="s">
        <v>2099</v>
      </c>
      <c r="R1204" s="523" t="s">
        <v>1883</v>
      </c>
      <c r="S1204" s="270" t="s">
        <v>1884</v>
      </c>
      <c r="U1204" s="471"/>
      <c r="V1204" s="471"/>
      <c r="W1204" s="471"/>
      <c r="X1204" s="471"/>
      <c r="Y1204" s="206"/>
      <c r="Z1204" s="206"/>
    </row>
    <row r="1205" spans="1:26">
      <c r="A1205" s="406">
        <v>1202</v>
      </c>
      <c r="B1205" s="613" t="s">
        <v>7020</v>
      </c>
      <c r="C1205" s="288" t="s">
        <v>2100</v>
      </c>
      <c r="D1205" s="414" t="s">
        <v>4884</v>
      </c>
      <c r="E1205" s="407" t="s">
        <v>4884</v>
      </c>
      <c r="F1205" s="483"/>
      <c r="G1205" s="483"/>
      <c r="H1205" s="483"/>
      <c r="I1205" s="483"/>
      <c r="J1205" s="483"/>
      <c r="K1205" s="483"/>
      <c r="L1205" s="608" t="s">
        <v>4884</v>
      </c>
      <c r="M1205" s="409" t="s">
        <v>4884</v>
      </c>
      <c r="N1205" s="409" t="s">
        <v>4884</v>
      </c>
      <c r="O1205" s="410" t="s">
        <v>4884</v>
      </c>
      <c r="P1205" s="406">
        <v>1202</v>
      </c>
      <c r="Q1205" s="270" t="s">
        <v>2100</v>
      </c>
      <c r="R1205" s="523" t="s">
        <v>1883</v>
      </c>
      <c r="S1205" s="270" t="s">
        <v>1884</v>
      </c>
      <c r="U1205" s="471"/>
      <c r="V1205" s="471"/>
      <c r="W1205" s="471"/>
      <c r="X1205" s="471"/>
      <c r="Y1205" s="206"/>
      <c r="Z1205" s="206"/>
    </row>
    <row r="1206" spans="1:26">
      <c r="A1206" s="406">
        <v>1203</v>
      </c>
      <c r="B1206" s="613" t="s">
        <v>7020</v>
      </c>
      <c r="C1206" s="288" t="s">
        <v>2101</v>
      </c>
      <c r="D1206" s="414" t="s">
        <v>4884</v>
      </c>
      <c r="E1206" s="407" t="s">
        <v>4884</v>
      </c>
      <c r="F1206" s="483"/>
      <c r="G1206" s="483"/>
      <c r="H1206" s="483"/>
      <c r="I1206" s="483"/>
      <c r="J1206" s="483"/>
      <c r="K1206" s="483"/>
      <c r="L1206" s="608" t="s">
        <v>4884</v>
      </c>
      <c r="M1206" s="409" t="s">
        <v>4884</v>
      </c>
      <c r="N1206" s="409" t="s">
        <v>4884</v>
      </c>
      <c r="O1206" s="410" t="s">
        <v>4884</v>
      </c>
      <c r="P1206" s="406">
        <v>1203</v>
      </c>
      <c r="Q1206" s="270" t="s">
        <v>2101</v>
      </c>
      <c r="R1206" s="523" t="s">
        <v>1883</v>
      </c>
      <c r="S1206" s="270" t="s">
        <v>1884</v>
      </c>
      <c r="U1206" s="471"/>
      <c r="V1206" s="471"/>
      <c r="W1206" s="471"/>
      <c r="X1206" s="471"/>
      <c r="Y1206" s="206"/>
      <c r="Z1206" s="206"/>
    </row>
    <row r="1207" spans="1:26">
      <c r="A1207" s="406">
        <v>1204</v>
      </c>
      <c r="B1207" s="613" t="s">
        <v>7020</v>
      </c>
      <c r="C1207" s="288" t="s">
        <v>2102</v>
      </c>
      <c r="D1207" s="414" t="s">
        <v>4884</v>
      </c>
      <c r="E1207" s="407" t="s">
        <v>4884</v>
      </c>
      <c r="F1207" s="483"/>
      <c r="G1207" s="483"/>
      <c r="H1207" s="483"/>
      <c r="I1207" s="483"/>
      <c r="J1207" s="483"/>
      <c r="K1207" s="483"/>
      <c r="L1207" s="608" t="s">
        <v>4884</v>
      </c>
      <c r="M1207" s="409" t="s">
        <v>4884</v>
      </c>
      <c r="N1207" s="409" t="s">
        <v>4884</v>
      </c>
      <c r="O1207" s="410" t="s">
        <v>4884</v>
      </c>
      <c r="P1207" s="406">
        <v>1204</v>
      </c>
      <c r="Q1207" s="270" t="s">
        <v>2102</v>
      </c>
      <c r="R1207" s="523" t="s">
        <v>1883</v>
      </c>
      <c r="S1207" s="270" t="s">
        <v>1884</v>
      </c>
      <c r="U1207" s="471"/>
      <c r="V1207" s="471"/>
      <c r="W1207" s="471"/>
      <c r="X1207" s="471"/>
      <c r="Y1207" s="206"/>
      <c r="Z1207" s="206"/>
    </row>
    <row r="1208" spans="1:26">
      <c r="A1208" s="406">
        <v>1205</v>
      </c>
      <c r="B1208" s="613" t="s">
        <v>7020</v>
      </c>
      <c r="C1208" s="288" t="s">
        <v>2103</v>
      </c>
      <c r="D1208" s="414" t="s">
        <v>4884</v>
      </c>
      <c r="E1208" s="407" t="s">
        <v>4884</v>
      </c>
      <c r="F1208" s="483"/>
      <c r="G1208" s="483"/>
      <c r="H1208" s="483"/>
      <c r="I1208" s="483"/>
      <c r="J1208" s="483"/>
      <c r="K1208" s="483"/>
      <c r="L1208" s="608" t="s">
        <v>4884</v>
      </c>
      <c r="M1208" s="409" t="s">
        <v>4884</v>
      </c>
      <c r="N1208" s="409" t="s">
        <v>4884</v>
      </c>
      <c r="O1208" s="410" t="s">
        <v>4884</v>
      </c>
      <c r="P1208" s="406">
        <v>1205</v>
      </c>
      <c r="Q1208" s="270" t="s">
        <v>2103</v>
      </c>
      <c r="R1208" s="523" t="s">
        <v>1883</v>
      </c>
      <c r="S1208" s="270" t="s">
        <v>1884</v>
      </c>
      <c r="U1208" s="471"/>
      <c r="V1208" s="471"/>
      <c r="W1208" s="471"/>
      <c r="X1208" s="471"/>
      <c r="Y1208" s="206"/>
      <c r="Z1208" s="206"/>
    </row>
    <row r="1209" spans="1:26">
      <c r="A1209" s="406">
        <v>1206</v>
      </c>
      <c r="B1209" s="613" t="s">
        <v>7020</v>
      </c>
      <c r="C1209" s="288" t="s">
        <v>2104</v>
      </c>
      <c r="D1209" s="414" t="s">
        <v>4884</v>
      </c>
      <c r="E1209" s="407" t="s">
        <v>4884</v>
      </c>
      <c r="F1209" s="483"/>
      <c r="G1209" s="483"/>
      <c r="H1209" s="483"/>
      <c r="I1209" s="483"/>
      <c r="J1209" s="483"/>
      <c r="K1209" s="483"/>
      <c r="L1209" s="608" t="s">
        <v>4884</v>
      </c>
      <c r="M1209" s="409" t="s">
        <v>4884</v>
      </c>
      <c r="N1209" s="409" t="s">
        <v>4884</v>
      </c>
      <c r="O1209" s="410" t="s">
        <v>4884</v>
      </c>
      <c r="P1209" s="406">
        <v>1206</v>
      </c>
      <c r="Q1209" s="270" t="s">
        <v>2104</v>
      </c>
      <c r="R1209" s="523" t="s">
        <v>1883</v>
      </c>
      <c r="S1209" s="270" t="s">
        <v>1884</v>
      </c>
      <c r="U1209" s="471"/>
      <c r="V1209" s="471"/>
      <c r="W1209" s="471"/>
      <c r="X1209" s="471"/>
      <c r="Y1209" s="206"/>
      <c r="Z1209" s="206"/>
    </row>
    <row r="1210" spans="1:26">
      <c r="A1210" s="406">
        <v>1207</v>
      </c>
      <c r="B1210" s="613" t="s">
        <v>7020</v>
      </c>
      <c r="C1210" s="288" t="s">
        <v>2105</v>
      </c>
      <c r="D1210" s="414" t="s">
        <v>4884</v>
      </c>
      <c r="E1210" s="407" t="s">
        <v>4884</v>
      </c>
      <c r="F1210" s="483"/>
      <c r="G1210" s="483"/>
      <c r="H1210" s="483"/>
      <c r="I1210" s="483"/>
      <c r="J1210" s="483"/>
      <c r="K1210" s="483"/>
      <c r="L1210" s="608" t="s">
        <v>4884</v>
      </c>
      <c r="M1210" s="409" t="s">
        <v>4884</v>
      </c>
      <c r="N1210" s="409" t="s">
        <v>4884</v>
      </c>
      <c r="O1210" s="410" t="s">
        <v>4884</v>
      </c>
      <c r="P1210" s="406">
        <v>1207</v>
      </c>
      <c r="Q1210" s="270" t="s">
        <v>2105</v>
      </c>
      <c r="R1210" s="523" t="s">
        <v>1883</v>
      </c>
      <c r="S1210" s="270" t="s">
        <v>1884</v>
      </c>
      <c r="U1210" s="471"/>
      <c r="V1210" s="471"/>
      <c r="W1210" s="471"/>
      <c r="X1210" s="471"/>
      <c r="Y1210" s="206"/>
      <c r="Z1210" s="206"/>
    </row>
    <row r="1211" spans="1:26">
      <c r="A1211" s="406">
        <v>1208</v>
      </c>
      <c r="B1211" s="613" t="s">
        <v>7020</v>
      </c>
      <c r="C1211" s="288" t="s">
        <v>2106</v>
      </c>
      <c r="D1211" s="414" t="s">
        <v>4884</v>
      </c>
      <c r="E1211" s="407" t="s">
        <v>4884</v>
      </c>
      <c r="F1211" s="483"/>
      <c r="G1211" s="483"/>
      <c r="H1211" s="483"/>
      <c r="I1211" s="483"/>
      <c r="J1211" s="483"/>
      <c r="K1211" s="483"/>
      <c r="L1211" s="608" t="s">
        <v>4884</v>
      </c>
      <c r="M1211" s="409" t="s">
        <v>4884</v>
      </c>
      <c r="N1211" s="409" t="s">
        <v>4884</v>
      </c>
      <c r="O1211" s="410" t="s">
        <v>4884</v>
      </c>
      <c r="P1211" s="406">
        <v>1208</v>
      </c>
      <c r="Q1211" s="270" t="s">
        <v>2106</v>
      </c>
      <c r="R1211" s="523" t="s">
        <v>1883</v>
      </c>
      <c r="S1211" s="270" t="s">
        <v>1884</v>
      </c>
      <c r="U1211" s="471"/>
      <c r="V1211" s="471"/>
      <c r="W1211" s="471"/>
      <c r="X1211" s="471"/>
      <c r="Y1211" s="206"/>
      <c r="Z1211" s="206"/>
    </row>
    <row r="1212" spans="1:26">
      <c r="A1212" s="406">
        <v>1209</v>
      </c>
      <c r="B1212" s="613" t="s">
        <v>7020</v>
      </c>
      <c r="C1212" s="288" t="s">
        <v>2107</v>
      </c>
      <c r="D1212" s="414" t="s">
        <v>4884</v>
      </c>
      <c r="E1212" s="407" t="s">
        <v>4884</v>
      </c>
      <c r="F1212" s="483"/>
      <c r="G1212" s="483"/>
      <c r="H1212" s="483"/>
      <c r="I1212" s="483"/>
      <c r="J1212" s="483"/>
      <c r="K1212" s="483"/>
      <c r="L1212" s="608" t="s">
        <v>4884</v>
      </c>
      <c r="M1212" s="409" t="s">
        <v>4884</v>
      </c>
      <c r="N1212" s="409" t="s">
        <v>4884</v>
      </c>
      <c r="O1212" s="410" t="s">
        <v>4884</v>
      </c>
      <c r="P1212" s="406">
        <v>1209</v>
      </c>
      <c r="Q1212" s="270" t="s">
        <v>2107</v>
      </c>
      <c r="R1212" s="523" t="s">
        <v>1883</v>
      </c>
      <c r="S1212" s="270" t="s">
        <v>1884</v>
      </c>
      <c r="U1212" s="471"/>
      <c r="V1212" s="471"/>
      <c r="W1212" s="471"/>
      <c r="X1212" s="471"/>
      <c r="Y1212" s="206"/>
      <c r="Z1212" s="206"/>
    </row>
    <row r="1213" spans="1:26">
      <c r="A1213" s="406">
        <v>1210</v>
      </c>
      <c r="B1213" s="613" t="s">
        <v>7020</v>
      </c>
      <c r="C1213" s="288" t="s">
        <v>2108</v>
      </c>
      <c r="D1213" s="414" t="s">
        <v>4884</v>
      </c>
      <c r="E1213" s="407" t="s">
        <v>4884</v>
      </c>
      <c r="F1213" s="483"/>
      <c r="G1213" s="483"/>
      <c r="H1213" s="483"/>
      <c r="I1213" s="483"/>
      <c r="J1213" s="483"/>
      <c r="K1213" s="483"/>
      <c r="L1213" s="608" t="s">
        <v>4884</v>
      </c>
      <c r="M1213" s="409" t="s">
        <v>4884</v>
      </c>
      <c r="N1213" s="409" t="s">
        <v>4884</v>
      </c>
      <c r="O1213" s="410" t="s">
        <v>4884</v>
      </c>
      <c r="P1213" s="406">
        <v>1210</v>
      </c>
      <c r="Q1213" s="270" t="s">
        <v>2108</v>
      </c>
      <c r="R1213" s="523" t="s">
        <v>1883</v>
      </c>
      <c r="S1213" s="270" t="s">
        <v>1884</v>
      </c>
      <c r="U1213" s="471"/>
      <c r="V1213" s="471"/>
      <c r="W1213" s="471"/>
      <c r="X1213" s="471"/>
      <c r="Y1213" s="206"/>
      <c r="Z1213" s="206"/>
    </row>
    <row r="1214" spans="1:26">
      <c r="A1214" s="406">
        <v>1211</v>
      </c>
      <c r="B1214" s="613" t="s">
        <v>7020</v>
      </c>
      <c r="C1214" s="288" t="s">
        <v>2109</v>
      </c>
      <c r="D1214" s="414" t="s">
        <v>4884</v>
      </c>
      <c r="E1214" s="407" t="s">
        <v>4884</v>
      </c>
      <c r="F1214" s="483"/>
      <c r="G1214" s="483"/>
      <c r="H1214" s="483"/>
      <c r="I1214" s="483"/>
      <c r="J1214" s="483"/>
      <c r="K1214" s="483"/>
      <c r="L1214" s="608" t="s">
        <v>4884</v>
      </c>
      <c r="M1214" s="409" t="s">
        <v>4884</v>
      </c>
      <c r="N1214" s="409" t="s">
        <v>4884</v>
      </c>
      <c r="O1214" s="410" t="s">
        <v>4884</v>
      </c>
      <c r="P1214" s="406">
        <v>1211</v>
      </c>
      <c r="Q1214" s="270" t="s">
        <v>2109</v>
      </c>
      <c r="R1214" s="523" t="s">
        <v>1883</v>
      </c>
      <c r="S1214" s="270" t="s">
        <v>1884</v>
      </c>
      <c r="U1214" s="471"/>
      <c r="V1214" s="471"/>
      <c r="W1214" s="471"/>
      <c r="X1214" s="471"/>
      <c r="Y1214" s="206"/>
      <c r="Z1214" s="206"/>
    </row>
    <row r="1215" spans="1:26">
      <c r="A1215" s="406">
        <v>1212</v>
      </c>
      <c r="B1215" s="613" t="s">
        <v>7020</v>
      </c>
      <c r="C1215" s="288" t="s">
        <v>2110</v>
      </c>
      <c r="D1215" s="414" t="s">
        <v>4884</v>
      </c>
      <c r="E1215" s="407" t="s">
        <v>4884</v>
      </c>
      <c r="F1215" s="483"/>
      <c r="G1215" s="483"/>
      <c r="H1215" s="483"/>
      <c r="I1215" s="483"/>
      <c r="J1215" s="483"/>
      <c r="K1215" s="483"/>
      <c r="L1215" s="608" t="s">
        <v>4884</v>
      </c>
      <c r="M1215" s="409" t="s">
        <v>4884</v>
      </c>
      <c r="N1215" s="409" t="s">
        <v>4884</v>
      </c>
      <c r="O1215" s="410" t="s">
        <v>4884</v>
      </c>
      <c r="P1215" s="406">
        <v>1212</v>
      </c>
      <c r="Q1215" s="270" t="s">
        <v>2110</v>
      </c>
      <c r="R1215" s="523" t="s">
        <v>1883</v>
      </c>
      <c r="S1215" s="270" t="s">
        <v>1884</v>
      </c>
      <c r="U1215" s="471"/>
      <c r="V1215" s="471"/>
      <c r="W1215" s="471"/>
      <c r="X1215" s="471"/>
      <c r="Y1215" s="206"/>
      <c r="Z1215" s="206"/>
    </row>
    <row r="1216" spans="1:26">
      <c r="A1216" s="406">
        <v>1213</v>
      </c>
      <c r="B1216" s="613" t="s">
        <v>7020</v>
      </c>
      <c r="C1216" s="288" t="s">
        <v>2111</v>
      </c>
      <c r="D1216" s="414" t="s">
        <v>4884</v>
      </c>
      <c r="E1216" s="407" t="s">
        <v>4884</v>
      </c>
      <c r="F1216" s="483"/>
      <c r="G1216" s="483"/>
      <c r="H1216" s="483"/>
      <c r="I1216" s="483"/>
      <c r="J1216" s="483"/>
      <c r="K1216" s="483"/>
      <c r="L1216" s="608" t="s">
        <v>4884</v>
      </c>
      <c r="M1216" s="409" t="s">
        <v>4884</v>
      </c>
      <c r="N1216" s="409" t="s">
        <v>4884</v>
      </c>
      <c r="O1216" s="410" t="s">
        <v>4884</v>
      </c>
      <c r="P1216" s="406">
        <v>1213</v>
      </c>
      <c r="Q1216" s="270" t="s">
        <v>2111</v>
      </c>
      <c r="R1216" s="523" t="s">
        <v>1883</v>
      </c>
      <c r="S1216" s="270" t="s">
        <v>1884</v>
      </c>
      <c r="U1216" s="471"/>
      <c r="V1216" s="471"/>
      <c r="W1216" s="471"/>
      <c r="X1216" s="471"/>
      <c r="Y1216" s="206"/>
      <c r="Z1216" s="206"/>
    </row>
    <row r="1217" spans="1:26">
      <c r="A1217" s="406">
        <v>1214</v>
      </c>
      <c r="B1217" s="613" t="s">
        <v>7020</v>
      </c>
      <c r="C1217" s="288" t="s">
        <v>2112</v>
      </c>
      <c r="D1217" s="414" t="s">
        <v>4884</v>
      </c>
      <c r="E1217" s="407" t="s">
        <v>4884</v>
      </c>
      <c r="F1217" s="483"/>
      <c r="G1217" s="483"/>
      <c r="H1217" s="483"/>
      <c r="I1217" s="483"/>
      <c r="J1217" s="483"/>
      <c r="K1217" s="483"/>
      <c r="L1217" s="608" t="s">
        <v>4884</v>
      </c>
      <c r="M1217" s="409" t="s">
        <v>4884</v>
      </c>
      <c r="N1217" s="409" t="s">
        <v>4884</v>
      </c>
      <c r="O1217" s="410" t="s">
        <v>4884</v>
      </c>
      <c r="P1217" s="406">
        <v>1214</v>
      </c>
      <c r="Q1217" s="270" t="s">
        <v>2112</v>
      </c>
      <c r="R1217" s="523" t="s">
        <v>1883</v>
      </c>
      <c r="S1217" s="270" t="s">
        <v>1884</v>
      </c>
      <c r="U1217" s="471"/>
      <c r="V1217" s="471"/>
      <c r="W1217" s="471"/>
      <c r="X1217" s="471"/>
      <c r="Y1217" s="206"/>
      <c r="Z1217" s="206"/>
    </row>
    <row r="1218" spans="1:26">
      <c r="A1218" s="406">
        <v>1215</v>
      </c>
      <c r="B1218" s="613" t="s">
        <v>7020</v>
      </c>
      <c r="C1218" s="288" t="s">
        <v>2113</v>
      </c>
      <c r="D1218" s="414" t="s">
        <v>4884</v>
      </c>
      <c r="E1218" s="407" t="s">
        <v>4884</v>
      </c>
      <c r="F1218" s="483"/>
      <c r="G1218" s="483"/>
      <c r="H1218" s="483"/>
      <c r="I1218" s="483"/>
      <c r="J1218" s="483"/>
      <c r="K1218" s="483"/>
      <c r="L1218" s="608" t="s">
        <v>4884</v>
      </c>
      <c r="M1218" s="409" t="s">
        <v>4884</v>
      </c>
      <c r="N1218" s="409" t="s">
        <v>4884</v>
      </c>
      <c r="O1218" s="410" t="s">
        <v>4884</v>
      </c>
      <c r="P1218" s="406">
        <v>1215</v>
      </c>
      <c r="Q1218" s="270" t="s">
        <v>2113</v>
      </c>
      <c r="R1218" s="523" t="s">
        <v>1883</v>
      </c>
      <c r="S1218" s="270" t="s">
        <v>1884</v>
      </c>
      <c r="U1218" s="471"/>
      <c r="V1218" s="471"/>
      <c r="W1218" s="471"/>
      <c r="X1218" s="471"/>
      <c r="Y1218" s="206"/>
      <c r="Z1218" s="206"/>
    </row>
    <row r="1219" spans="1:26">
      <c r="A1219" s="406">
        <v>1216</v>
      </c>
      <c r="B1219" s="613" t="s">
        <v>7020</v>
      </c>
      <c r="C1219" s="288" t="s">
        <v>2114</v>
      </c>
      <c r="D1219" s="414" t="s">
        <v>4884</v>
      </c>
      <c r="E1219" s="407" t="s">
        <v>4884</v>
      </c>
      <c r="F1219" s="483"/>
      <c r="G1219" s="483"/>
      <c r="H1219" s="483"/>
      <c r="I1219" s="483"/>
      <c r="J1219" s="483"/>
      <c r="K1219" s="483"/>
      <c r="L1219" s="608" t="s">
        <v>4884</v>
      </c>
      <c r="M1219" s="409" t="s">
        <v>4884</v>
      </c>
      <c r="N1219" s="409" t="s">
        <v>4884</v>
      </c>
      <c r="O1219" s="410" t="s">
        <v>4884</v>
      </c>
      <c r="P1219" s="406">
        <v>1216</v>
      </c>
      <c r="Q1219" s="270" t="s">
        <v>2114</v>
      </c>
      <c r="R1219" s="523" t="s">
        <v>1883</v>
      </c>
      <c r="S1219" s="270" t="s">
        <v>1884</v>
      </c>
      <c r="U1219" s="471"/>
      <c r="V1219" s="471"/>
      <c r="W1219" s="471"/>
      <c r="X1219" s="471"/>
      <c r="Y1219" s="206"/>
      <c r="Z1219" s="206"/>
    </row>
    <row r="1220" spans="1:26">
      <c r="A1220" s="406">
        <v>1217</v>
      </c>
      <c r="B1220" s="613" t="s">
        <v>7020</v>
      </c>
      <c r="C1220" s="288" t="s">
        <v>2115</v>
      </c>
      <c r="D1220" s="414" t="s">
        <v>4884</v>
      </c>
      <c r="E1220" s="407" t="s">
        <v>4884</v>
      </c>
      <c r="F1220" s="483"/>
      <c r="G1220" s="483"/>
      <c r="H1220" s="483"/>
      <c r="I1220" s="483"/>
      <c r="J1220" s="483"/>
      <c r="K1220" s="483"/>
      <c r="L1220" s="608" t="s">
        <v>4884</v>
      </c>
      <c r="M1220" s="409" t="s">
        <v>4884</v>
      </c>
      <c r="N1220" s="409" t="s">
        <v>4884</v>
      </c>
      <c r="O1220" s="410" t="s">
        <v>4884</v>
      </c>
      <c r="P1220" s="406">
        <v>1217</v>
      </c>
      <c r="Q1220" s="270" t="s">
        <v>2115</v>
      </c>
      <c r="R1220" s="523" t="s">
        <v>1883</v>
      </c>
      <c r="S1220" s="270" t="s">
        <v>1884</v>
      </c>
      <c r="U1220" s="471"/>
      <c r="V1220" s="471"/>
      <c r="W1220" s="471"/>
      <c r="X1220" s="471"/>
      <c r="Y1220" s="206"/>
      <c r="Z1220" s="206"/>
    </row>
    <row r="1221" spans="1:26">
      <c r="A1221" s="406">
        <v>1218</v>
      </c>
      <c r="B1221" s="613" t="s">
        <v>7020</v>
      </c>
      <c r="C1221" s="288" t="s">
        <v>2116</v>
      </c>
      <c r="D1221" s="414" t="s">
        <v>4884</v>
      </c>
      <c r="E1221" s="407" t="s">
        <v>4884</v>
      </c>
      <c r="F1221" s="483"/>
      <c r="G1221" s="483"/>
      <c r="H1221" s="483"/>
      <c r="I1221" s="483"/>
      <c r="J1221" s="483"/>
      <c r="K1221" s="483"/>
      <c r="L1221" s="608" t="s">
        <v>4884</v>
      </c>
      <c r="M1221" s="409" t="s">
        <v>4884</v>
      </c>
      <c r="N1221" s="409" t="s">
        <v>4884</v>
      </c>
      <c r="O1221" s="410" t="s">
        <v>4884</v>
      </c>
      <c r="P1221" s="406">
        <v>1218</v>
      </c>
      <c r="Q1221" s="270" t="s">
        <v>2116</v>
      </c>
      <c r="R1221" s="523" t="s">
        <v>1883</v>
      </c>
      <c r="S1221" s="270" t="s">
        <v>1884</v>
      </c>
      <c r="U1221" s="471"/>
      <c r="V1221" s="471"/>
      <c r="W1221" s="471"/>
      <c r="X1221" s="471"/>
      <c r="Y1221" s="206"/>
      <c r="Z1221" s="206"/>
    </row>
    <row r="1222" spans="1:26">
      <c r="A1222" s="406">
        <v>1219</v>
      </c>
      <c r="B1222" s="613" t="s">
        <v>7020</v>
      </c>
      <c r="C1222" s="288" t="s">
        <v>2117</v>
      </c>
      <c r="D1222" s="414" t="s">
        <v>4884</v>
      </c>
      <c r="E1222" s="407" t="s">
        <v>4884</v>
      </c>
      <c r="F1222" s="483"/>
      <c r="G1222" s="483"/>
      <c r="H1222" s="483"/>
      <c r="I1222" s="483"/>
      <c r="J1222" s="483"/>
      <c r="K1222" s="483"/>
      <c r="L1222" s="608" t="s">
        <v>4884</v>
      </c>
      <c r="M1222" s="409" t="s">
        <v>4884</v>
      </c>
      <c r="N1222" s="409" t="s">
        <v>4884</v>
      </c>
      <c r="O1222" s="410" t="s">
        <v>4884</v>
      </c>
      <c r="P1222" s="406">
        <v>1219</v>
      </c>
      <c r="Q1222" s="270" t="s">
        <v>2117</v>
      </c>
      <c r="R1222" s="523" t="s">
        <v>1883</v>
      </c>
      <c r="S1222" s="270" t="s">
        <v>1884</v>
      </c>
      <c r="U1222" s="471"/>
      <c r="V1222" s="471"/>
      <c r="W1222" s="471"/>
      <c r="X1222" s="471"/>
      <c r="Y1222" s="206"/>
      <c r="Z1222" s="206"/>
    </row>
    <row r="1223" spans="1:26">
      <c r="A1223" s="406">
        <v>1220</v>
      </c>
      <c r="B1223" s="613" t="s">
        <v>7020</v>
      </c>
      <c r="C1223" s="288" t="s">
        <v>2118</v>
      </c>
      <c r="D1223" s="414" t="s">
        <v>4884</v>
      </c>
      <c r="E1223" s="407" t="s">
        <v>4884</v>
      </c>
      <c r="F1223" s="483"/>
      <c r="G1223" s="483"/>
      <c r="H1223" s="483"/>
      <c r="I1223" s="483"/>
      <c r="J1223" s="483"/>
      <c r="K1223" s="483"/>
      <c r="L1223" s="608" t="s">
        <v>4884</v>
      </c>
      <c r="M1223" s="409" t="s">
        <v>4884</v>
      </c>
      <c r="N1223" s="409" t="s">
        <v>4884</v>
      </c>
      <c r="O1223" s="410" t="s">
        <v>4884</v>
      </c>
      <c r="P1223" s="406">
        <v>1220</v>
      </c>
      <c r="Q1223" s="270" t="s">
        <v>2118</v>
      </c>
      <c r="R1223" s="523" t="s">
        <v>1883</v>
      </c>
      <c r="S1223" s="270" t="s">
        <v>1884</v>
      </c>
      <c r="U1223" s="471"/>
      <c r="V1223" s="471"/>
      <c r="W1223" s="471"/>
      <c r="X1223" s="471"/>
      <c r="Y1223" s="206"/>
      <c r="Z1223" s="206"/>
    </row>
    <row r="1224" spans="1:26">
      <c r="A1224" s="406">
        <v>1221</v>
      </c>
      <c r="B1224" s="613" t="s">
        <v>7020</v>
      </c>
      <c r="C1224" s="288" t="s">
        <v>2119</v>
      </c>
      <c r="D1224" s="414" t="s">
        <v>4884</v>
      </c>
      <c r="E1224" s="407" t="s">
        <v>4884</v>
      </c>
      <c r="F1224" s="483"/>
      <c r="G1224" s="483"/>
      <c r="H1224" s="483"/>
      <c r="I1224" s="483"/>
      <c r="J1224" s="483"/>
      <c r="K1224" s="483"/>
      <c r="L1224" s="608" t="s">
        <v>4884</v>
      </c>
      <c r="M1224" s="409" t="s">
        <v>4884</v>
      </c>
      <c r="N1224" s="409" t="s">
        <v>4884</v>
      </c>
      <c r="O1224" s="410" t="s">
        <v>4884</v>
      </c>
      <c r="P1224" s="406">
        <v>1221</v>
      </c>
      <c r="Q1224" s="270" t="s">
        <v>2119</v>
      </c>
      <c r="R1224" s="523" t="s">
        <v>1883</v>
      </c>
      <c r="S1224" s="270" t="s">
        <v>1884</v>
      </c>
      <c r="U1224" s="471"/>
      <c r="V1224" s="471"/>
      <c r="W1224" s="471"/>
      <c r="X1224" s="471"/>
      <c r="Y1224" s="206"/>
      <c r="Z1224" s="206"/>
    </row>
    <row r="1225" spans="1:26">
      <c r="A1225" s="406">
        <v>1222</v>
      </c>
      <c r="B1225" s="613" t="s">
        <v>7020</v>
      </c>
      <c r="C1225" s="288" t="s">
        <v>2120</v>
      </c>
      <c r="D1225" s="414" t="s">
        <v>4884</v>
      </c>
      <c r="E1225" s="407" t="s">
        <v>4884</v>
      </c>
      <c r="F1225" s="483"/>
      <c r="G1225" s="483"/>
      <c r="H1225" s="483"/>
      <c r="I1225" s="483"/>
      <c r="J1225" s="483"/>
      <c r="K1225" s="483"/>
      <c r="L1225" s="608" t="s">
        <v>4884</v>
      </c>
      <c r="M1225" s="409" t="s">
        <v>4884</v>
      </c>
      <c r="N1225" s="409" t="s">
        <v>4884</v>
      </c>
      <c r="O1225" s="410" t="s">
        <v>4884</v>
      </c>
      <c r="P1225" s="406">
        <v>1222</v>
      </c>
      <c r="Q1225" s="270" t="s">
        <v>2120</v>
      </c>
      <c r="R1225" s="523" t="s">
        <v>1883</v>
      </c>
      <c r="S1225" s="270" t="s">
        <v>1884</v>
      </c>
      <c r="U1225" s="471"/>
      <c r="V1225" s="471"/>
      <c r="W1225" s="471"/>
      <c r="X1225" s="471"/>
      <c r="Y1225" s="206"/>
      <c r="Z1225" s="206"/>
    </row>
    <row r="1226" spans="1:26">
      <c r="A1226" s="406">
        <v>1223</v>
      </c>
      <c r="B1226" s="613" t="s">
        <v>7020</v>
      </c>
      <c r="C1226" s="288" t="s">
        <v>2121</v>
      </c>
      <c r="D1226" s="414" t="s">
        <v>4884</v>
      </c>
      <c r="E1226" s="407" t="s">
        <v>4884</v>
      </c>
      <c r="F1226" s="483"/>
      <c r="G1226" s="483"/>
      <c r="H1226" s="483"/>
      <c r="I1226" s="483"/>
      <c r="J1226" s="483"/>
      <c r="K1226" s="483"/>
      <c r="L1226" s="608" t="s">
        <v>4884</v>
      </c>
      <c r="M1226" s="409" t="s">
        <v>4884</v>
      </c>
      <c r="N1226" s="409" t="s">
        <v>4884</v>
      </c>
      <c r="O1226" s="410" t="s">
        <v>4884</v>
      </c>
      <c r="P1226" s="406">
        <v>1223</v>
      </c>
      <c r="Q1226" s="270" t="s">
        <v>2121</v>
      </c>
      <c r="R1226" s="523" t="s">
        <v>1883</v>
      </c>
      <c r="S1226" s="270" t="s">
        <v>1884</v>
      </c>
      <c r="U1226" s="471"/>
      <c r="V1226" s="471"/>
      <c r="W1226" s="471"/>
      <c r="X1226" s="471"/>
      <c r="Y1226" s="206"/>
      <c r="Z1226" s="206"/>
    </row>
    <row r="1227" spans="1:26">
      <c r="A1227" s="406">
        <v>1224</v>
      </c>
      <c r="B1227" s="613" t="s">
        <v>7020</v>
      </c>
      <c r="C1227" s="288" t="s">
        <v>2122</v>
      </c>
      <c r="D1227" s="414" t="s">
        <v>4884</v>
      </c>
      <c r="E1227" s="407" t="s">
        <v>4884</v>
      </c>
      <c r="F1227" s="483"/>
      <c r="G1227" s="483"/>
      <c r="H1227" s="483"/>
      <c r="I1227" s="483"/>
      <c r="J1227" s="483"/>
      <c r="K1227" s="483"/>
      <c r="L1227" s="608" t="s">
        <v>4884</v>
      </c>
      <c r="M1227" s="409" t="s">
        <v>4884</v>
      </c>
      <c r="N1227" s="409" t="s">
        <v>4884</v>
      </c>
      <c r="O1227" s="410" t="s">
        <v>4884</v>
      </c>
      <c r="P1227" s="406">
        <v>1224</v>
      </c>
      <c r="Q1227" s="270" t="s">
        <v>2122</v>
      </c>
      <c r="R1227" s="523" t="s">
        <v>1883</v>
      </c>
      <c r="S1227" s="270" t="s">
        <v>1884</v>
      </c>
      <c r="U1227" s="471"/>
      <c r="V1227" s="471"/>
      <c r="W1227" s="471"/>
      <c r="X1227" s="471"/>
      <c r="Y1227" s="206"/>
      <c r="Z1227" s="206"/>
    </row>
    <row r="1228" spans="1:26">
      <c r="A1228" s="406">
        <v>1225</v>
      </c>
      <c r="B1228" s="613" t="s">
        <v>7020</v>
      </c>
      <c r="C1228" s="288" t="s">
        <v>2123</v>
      </c>
      <c r="D1228" s="414" t="s">
        <v>4884</v>
      </c>
      <c r="E1228" s="407" t="s">
        <v>4884</v>
      </c>
      <c r="F1228" s="483"/>
      <c r="G1228" s="483"/>
      <c r="H1228" s="483"/>
      <c r="I1228" s="483"/>
      <c r="J1228" s="483"/>
      <c r="K1228" s="483"/>
      <c r="L1228" s="608" t="s">
        <v>4884</v>
      </c>
      <c r="M1228" s="409" t="s">
        <v>4884</v>
      </c>
      <c r="N1228" s="409" t="s">
        <v>4884</v>
      </c>
      <c r="O1228" s="410" t="s">
        <v>4884</v>
      </c>
      <c r="P1228" s="406">
        <v>1225</v>
      </c>
      <c r="Q1228" s="270" t="s">
        <v>2123</v>
      </c>
      <c r="R1228" s="523" t="s">
        <v>1883</v>
      </c>
      <c r="S1228" s="270" t="s">
        <v>1884</v>
      </c>
      <c r="U1228" s="471"/>
      <c r="V1228" s="471"/>
      <c r="W1228" s="471"/>
      <c r="X1228" s="471"/>
      <c r="Y1228" s="206"/>
      <c r="Z1228" s="206"/>
    </row>
    <row r="1229" spans="1:26">
      <c r="A1229" s="406">
        <v>1226</v>
      </c>
      <c r="B1229" s="613" t="s">
        <v>7020</v>
      </c>
      <c r="C1229" s="288" t="s">
        <v>2124</v>
      </c>
      <c r="D1229" s="414" t="s">
        <v>4884</v>
      </c>
      <c r="E1229" s="407" t="s">
        <v>4884</v>
      </c>
      <c r="F1229" s="483"/>
      <c r="G1229" s="483"/>
      <c r="H1229" s="483"/>
      <c r="I1229" s="483"/>
      <c r="J1229" s="483"/>
      <c r="K1229" s="483"/>
      <c r="L1229" s="608" t="s">
        <v>4884</v>
      </c>
      <c r="M1229" s="409" t="s">
        <v>4884</v>
      </c>
      <c r="N1229" s="409" t="s">
        <v>4884</v>
      </c>
      <c r="O1229" s="410" t="s">
        <v>4884</v>
      </c>
      <c r="P1229" s="406">
        <v>1226</v>
      </c>
      <c r="Q1229" s="270" t="s">
        <v>2124</v>
      </c>
      <c r="R1229" s="523" t="s">
        <v>1883</v>
      </c>
      <c r="S1229" s="270" t="s">
        <v>1884</v>
      </c>
      <c r="U1229" s="471"/>
      <c r="V1229" s="471"/>
      <c r="W1229" s="471"/>
      <c r="X1229" s="471"/>
      <c r="Y1229" s="206"/>
      <c r="Z1229" s="206"/>
    </row>
    <row r="1230" spans="1:26">
      <c r="A1230" s="406">
        <v>1227</v>
      </c>
      <c r="B1230" s="613" t="s">
        <v>7020</v>
      </c>
      <c r="C1230" s="288" t="s">
        <v>2125</v>
      </c>
      <c r="D1230" s="414" t="s">
        <v>4884</v>
      </c>
      <c r="E1230" s="407" t="s">
        <v>4884</v>
      </c>
      <c r="F1230" s="483"/>
      <c r="G1230" s="483"/>
      <c r="H1230" s="483"/>
      <c r="I1230" s="483"/>
      <c r="J1230" s="483"/>
      <c r="K1230" s="483"/>
      <c r="L1230" s="608" t="s">
        <v>4884</v>
      </c>
      <c r="M1230" s="409" t="s">
        <v>4884</v>
      </c>
      <c r="N1230" s="409" t="s">
        <v>4884</v>
      </c>
      <c r="O1230" s="410" t="s">
        <v>4884</v>
      </c>
      <c r="P1230" s="406">
        <v>1227</v>
      </c>
      <c r="Q1230" s="270" t="s">
        <v>2125</v>
      </c>
      <c r="R1230" s="523" t="s">
        <v>1883</v>
      </c>
      <c r="S1230" s="270" t="s">
        <v>1884</v>
      </c>
      <c r="U1230" s="471"/>
      <c r="V1230" s="471"/>
      <c r="W1230" s="471"/>
      <c r="X1230" s="471"/>
      <c r="Y1230" s="206"/>
      <c r="Z1230" s="206"/>
    </row>
    <row r="1231" spans="1:26">
      <c r="A1231" s="406">
        <v>1228</v>
      </c>
      <c r="B1231" s="613" t="s">
        <v>7020</v>
      </c>
      <c r="C1231" s="288" t="s">
        <v>2126</v>
      </c>
      <c r="D1231" s="414" t="s">
        <v>4884</v>
      </c>
      <c r="E1231" s="407" t="s">
        <v>4884</v>
      </c>
      <c r="F1231" s="483"/>
      <c r="G1231" s="483"/>
      <c r="H1231" s="483"/>
      <c r="I1231" s="483"/>
      <c r="J1231" s="483"/>
      <c r="K1231" s="483"/>
      <c r="L1231" s="608" t="s">
        <v>4884</v>
      </c>
      <c r="M1231" s="409" t="s">
        <v>4884</v>
      </c>
      <c r="N1231" s="409" t="s">
        <v>4884</v>
      </c>
      <c r="O1231" s="410" t="s">
        <v>4884</v>
      </c>
      <c r="P1231" s="406">
        <v>1228</v>
      </c>
      <c r="Q1231" s="270" t="s">
        <v>2126</v>
      </c>
      <c r="R1231" s="523" t="s">
        <v>1883</v>
      </c>
      <c r="S1231" s="270" t="s">
        <v>1884</v>
      </c>
      <c r="U1231" s="471"/>
      <c r="V1231" s="471"/>
      <c r="W1231" s="471"/>
      <c r="X1231" s="471"/>
      <c r="Y1231" s="206"/>
      <c r="Z1231" s="206"/>
    </row>
    <row r="1232" spans="1:26">
      <c r="A1232" s="406">
        <v>1229</v>
      </c>
      <c r="B1232" s="613" t="s">
        <v>7020</v>
      </c>
      <c r="C1232" s="288" t="s">
        <v>2127</v>
      </c>
      <c r="D1232" s="414" t="s">
        <v>4884</v>
      </c>
      <c r="E1232" s="407" t="s">
        <v>4884</v>
      </c>
      <c r="F1232" s="483"/>
      <c r="G1232" s="483"/>
      <c r="H1232" s="483"/>
      <c r="I1232" s="483"/>
      <c r="J1232" s="483"/>
      <c r="K1232" s="483"/>
      <c r="L1232" s="608" t="s">
        <v>4884</v>
      </c>
      <c r="M1232" s="409" t="s">
        <v>4884</v>
      </c>
      <c r="N1232" s="409" t="s">
        <v>4884</v>
      </c>
      <c r="O1232" s="410" t="s">
        <v>4884</v>
      </c>
      <c r="P1232" s="406">
        <v>1229</v>
      </c>
      <c r="Q1232" s="270" t="s">
        <v>2127</v>
      </c>
      <c r="R1232" s="523" t="s">
        <v>1883</v>
      </c>
      <c r="S1232" s="270" t="s">
        <v>1884</v>
      </c>
      <c r="U1232" s="471"/>
      <c r="V1232" s="471"/>
      <c r="W1232" s="471"/>
      <c r="X1232" s="471"/>
      <c r="Y1232" s="206"/>
      <c r="Z1232" s="206"/>
    </row>
    <row r="1233" spans="1:26">
      <c r="A1233" s="406">
        <v>1230</v>
      </c>
      <c r="B1233" s="613" t="s">
        <v>7020</v>
      </c>
      <c r="C1233" s="288" t="s">
        <v>2128</v>
      </c>
      <c r="D1233" s="414" t="s">
        <v>4884</v>
      </c>
      <c r="E1233" s="407" t="s">
        <v>4884</v>
      </c>
      <c r="F1233" s="483"/>
      <c r="G1233" s="483"/>
      <c r="H1233" s="483"/>
      <c r="I1233" s="483"/>
      <c r="J1233" s="483"/>
      <c r="K1233" s="483"/>
      <c r="L1233" s="608" t="s">
        <v>4884</v>
      </c>
      <c r="M1233" s="409" t="s">
        <v>4884</v>
      </c>
      <c r="N1233" s="409" t="s">
        <v>4884</v>
      </c>
      <c r="O1233" s="410" t="s">
        <v>4884</v>
      </c>
      <c r="P1233" s="406">
        <v>1230</v>
      </c>
      <c r="Q1233" s="270" t="s">
        <v>2128</v>
      </c>
      <c r="R1233" s="523" t="s">
        <v>1883</v>
      </c>
      <c r="S1233" s="270" t="s">
        <v>1884</v>
      </c>
      <c r="U1233" s="471"/>
      <c r="V1233" s="471"/>
      <c r="W1233" s="471"/>
      <c r="X1233" s="471"/>
      <c r="Y1233" s="206"/>
      <c r="Z1233" s="206"/>
    </row>
    <row r="1234" spans="1:26">
      <c r="A1234" s="406">
        <v>1231</v>
      </c>
      <c r="B1234" s="613" t="s">
        <v>7020</v>
      </c>
      <c r="C1234" s="288" t="s">
        <v>2129</v>
      </c>
      <c r="D1234" s="414" t="s">
        <v>4884</v>
      </c>
      <c r="E1234" s="407" t="s">
        <v>4884</v>
      </c>
      <c r="F1234" s="483"/>
      <c r="G1234" s="483"/>
      <c r="H1234" s="483"/>
      <c r="I1234" s="483"/>
      <c r="J1234" s="483"/>
      <c r="K1234" s="483"/>
      <c r="L1234" s="608" t="s">
        <v>4884</v>
      </c>
      <c r="M1234" s="409" t="s">
        <v>4884</v>
      </c>
      <c r="N1234" s="409" t="s">
        <v>4884</v>
      </c>
      <c r="O1234" s="410" t="s">
        <v>4884</v>
      </c>
      <c r="P1234" s="406">
        <v>1231</v>
      </c>
      <c r="Q1234" s="270" t="s">
        <v>2129</v>
      </c>
      <c r="R1234" s="523" t="s">
        <v>1883</v>
      </c>
      <c r="S1234" s="270" t="s">
        <v>1884</v>
      </c>
      <c r="U1234" s="471"/>
      <c r="V1234" s="471"/>
      <c r="W1234" s="471"/>
      <c r="X1234" s="471"/>
      <c r="Y1234" s="206"/>
      <c r="Z1234" s="206"/>
    </row>
    <row r="1235" spans="1:26">
      <c r="A1235" s="406">
        <v>1232</v>
      </c>
      <c r="B1235" s="613" t="s">
        <v>7020</v>
      </c>
      <c r="C1235" s="288" t="s">
        <v>2130</v>
      </c>
      <c r="D1235" s="414" t="s">
        <v>4884</v>
      </c>
      <c r="E1235" s="407" t="s">
        <v>4884</v>
      </c>
      <c r="F1235" s="483"/>
      <c r="G1235" s="483"/>
      <c r="H1235" s="483"/>
      <c r="I1235" s="483"/>
      <c r="J1235" s="483"/>
      <c r="K1235" s="483"/>
      <c r="L1235" s="608" t="s">
        <v>4884</v>
      </c>
      <c r="M1235" s="409" t="s">
        <v>4884</v>
      </c>
      <c r="N1235" s="409" t="s">
        <v>4884</v>
      </c>
      <c r="O1235" s="410" t="s">
        <v>4884</v>
      </c>
      <c r="P1235" s="406">
        <v>1232</v>
      </c>
      <c r="Q1235" s="270" t="s">
        <v>2130</v>
      </c>
      <c r="R1235" s="523" t="s">
        <v>1883</v>
      </c>
      <c r="S1235" s="270" t="s">
        <v>1884</v>
      </c>
      <c r="U1235" s="471"/>
      <c r="V1235" s="471"/>
      <c r="W1235" s="471"/>
      <c r="X1235" s="471"/>
      <c r="Y1235" s="206"/>
      <c r="Z1235" s="206"/>
    </row>
    <row r="1236" spans="1:26">
      <c r="A1236" s="406">
        <v>1233</v>
      </c>
      <c r="B1236" s="613" t="s">
        <v>7020</v>
      </c>
      <c r="C1236" s="288" t="s">
        <v>2131</v>
      </c>
      <c r="D1236" s="414" t="s">
        <v>4884</v>
      </c>
      <c r="E1236" s="407" t="s">
        <v>4884</v>
      </c>
      <c r="F1236" s="483"/>
      <c r="G1236" s="483"/>
      <c r="H1236" s="483"/>
      <c r="I1236" s="483"/>
      <c r="J1236" s="483"/>
      <c r="K1236" s="483"/>
      <c r="L1236" s="608" t="s">
        <v>4884</v>
      </c>
      <c r="M1236" s="409" t="s">
        <v>4884</v>
      </c>
      <c r="N1236" s="409" t="s">
        <v>4884</v>
      </c>
      <c r="O1236" s="410" t="s">
        <v>4884</v>
      </c>
      <c r="P1236" s="406">
        <v>1233</v>
      </c>
      <c r="Q1236" s="270" t="s">
        <v>2131</v>
      </c>
      <c r="R1236" s="523" t="s">
        <v>1883</v>
      </c>
      <c r="S1236" s="270" t="s">
        <v>1884</v>
      </c>
      <c r="U1236" s="471"/>
      <c r="V1236" s="471"/>
      <c r="W1236" s="471"/>
      <c r="X1236" s="471"/>
      <c r="Y1236" s="206"/>
      <c r="Z1236" s="206"/>
    </row>
    <row r="1237" spans="1:26">
      <c r="A1237" s="406">
        <v>1234</v>
      </c>
      <c r="B1237" s="613" t="s">
        <v>7020</v>
      </c>
      <c r="C1237" s="288" t="s">
        <v>2132</v>
      </c>
      <c r="D1237" s="414" t="s">
        <v>4884</v>
      </c>
      <c r="E1237" s="407" t="s">
        <v>4884</v>
      </c>
      <c r="F1237" s="483"/>
      <c r="G1237" s="483"/>
      <c r="H1237" s="483"/>
      <c r="I1237" s="483"/>
      <c r="J1237" s="483"/>
      <c r="K1237" s="483"/>
      <c r="L1237" s="608" t="s">
        <v>4884</v>
      </c>
      <c r="M1237" s="409" t="s">
        <v>4884</v>
      </c>
      <c r="N1237" s="409" t="s">
        <v>4884</v>
      </c>
      <c r="O1237" s="410" t="s">
        <v>4884</v>
      </c>
      <c r="P1237" s="406">
        <v>1234</v>
      </c>
      <c r="Q1237" s="270" t="s">
        <v>2132</v>
      </c>
      <c r="R1237" s="523" t="s">
        <v>1883</v>
      </c>
      <c r="S1237" s="270" t="s">
        <v>1884</v>
      </c>
      <c r="U1237" s="471"/>
      <c r="V1237" s="471"/>
      <c r="W1237" s="471"/>
      <c r="X1237" s="471"/>
      <c r="Y1237" s="206"/>
      <c r="Z1237" s="206"/>
    </row>
    <row r="1238" spans="1:26">
      <c r="A1238" s="406">
        <v>1235</v>
      </c>
      <c r="B1238" s="613" t="s">
        <v>7020</v>
      </c>
      <c r="C1238" s="288" t="s">
        <v>2133</v>
      </c>
      <c r="D1238" s="414" t="s">
        <v>4884</v>
      </c>
      <c r="E1238" s="407" t="s">
        <v>4884</v>
      </c>
      <c r="F1238" s="483"/>
      <c r="G1238" s="483"/>
      <c r="H1238" s="483"/>
      <c r="I1238" s="483"/>
      <c r="J1238" s="483"/>
      <c r="K1238" s="483"/>
      <c r="L1238" s="608" t="s">
        <v>4884</v>
      </c>
      <c r="M1238" s="409" t="s">
        <v>4884</v>
      </c>
      <c r="N1238" s="409" t="s">
        <v>4884</v>
      </c>
      <c r="O1238" s="410" t="s">
        <v>4884</v>
      </c>
      <c r="P1238" s="406">
        <v>1235</v>
      </c>
      <c r="Q1238" s="270" t="s">
        <v>2133</v>
      </c>
      <c r="R1238" s="523" t="s">
        <v>1883</v>
      </c>
      <c r="S1238" s="270" t="s">
        <v>1884</v>
      </c>
      <c r="U1238" s="471"/>
      <c r="V1238" s="471"/>
      <c r="W1238" s="471"/>
      <c r="X1238" s="471"/>
      <c r="Y1238" s="206"/>
      <c r="Z1238" s="206"/>
    </row>
    <row r="1239" spans="1:26">
      <c r="A1239" s="406">
        <v>1236</v>
      </c>
      <c r="B1239" s="613" t="s">
        <v>7020</v>
      </c>
      <c r="C1239" s="288" t="s">
        <v>2134</v>
      </c>
      <c r="D1239" s="414" t="s">
        <v>4884</v>
      </c>
      <c r="E1239" s="407" t="s">
        <v>4884</v>
      </c>
      <c r="F1239" s="483"/>
      <c r="G1239" s="483"/>
      <c r="H1239" s="483"/>
      <c r="I1239" s="483"/>
      <c r="J1239" s="483"/>
      <c r="K1239" s="483"/>
      <c r="L1239" s="608" t="s">
        <v>4884</v>
      </c>
      <c r="M1239" s="409" t="s">
        <v>4884</v>
      </c>
      <c r="N1239" s="409" t="s">
        <v>4884</v>
      </c>
      <c r="O1239" s="410" t="s">
        <v>4884</v>
      </c>
      <c r="P1239" s="406">
        <v>1236</v>
      </c>
      <c r="Q1239" s="270" t="s">
        <v>2134</v>
      </c>
      <c r="R1239" s="523" t="s">
        <v>1883</v>
      </c>
      <c r="S1239" s="270" t="s">
        <v>1884</v>
      </c>
      <c r="U1239" s="471"/>
      <c r="V1239" s="471"/>
      <c r="W1239" s="471"/>
      <c r="X1239" s="471"/>
      <c r="Y1239" s="206"/>
      <c r="Z1239" s="206"/>
    </row>
    <row r="1240" spans="1:26">
      <c r="A1240" s="406">
        <v>1237</v>
      </c>
      <c r="B1240" s="613" t="s">
        <v>7020</v>
      </c>
      <c r="C1240" s="288" t="s">
        <v>2135</v>
      </c>
      <c r="D1240" s="414" t="s">
        <v>4884</v>
      </c>
      <c r="E1240" s="407" t="s">
        <v>4884</v>
      </c>
      <c r="F1240" s="483"/>
      <c r="G1240" s="483"/>
      <c r="H1240" s="483"/>
      <c r="I1240" s="483"/>
      <c r="J1240" s="483"/>
      <c r="K1240" s="483"/>
      <c r="L1240" s="608" t="s">
        <v>4884</v>
      </c>
      <c r="M1240" s="409" t="s">
        <v>4884</v>
      </c>
      <c r="N1240" s="409" t="s">
        <v>4884</v>
      </c>
      <c r="O1240" s="410" t="s">
        <v>4884</v>
      </c>
      <c r="P1240" s="406">
        <v>1237</v>
      </c>
      <c r="Q1240" s="270" t="s">
        <v>2135</v>
      </c>
      <c r="R1240" s="523" t="s">
        <v>1883</v>
      </c>
      <c r="S1240" s="270" t="s">
        <v>1884</v>
      </c>
      <c r="U1240" s="471"/>
      <c r="V1240" s="471"/>
      <c r="W1240" s="471"/>
      <c r="X1240" s="471"/>
      <c r="Y1240" s="206"/>
      <c r="Z1240" s="206"/>
    </row>
    <row r="1241" spans="1:26">
      <c r="A1241" s="406">
        <v>1238</v>
      </c>
      <c r="B1241" s="613" t="s">
        <v>7020</v>
      </c>
      <c r="C1241" s="288" t="s">
        <v>2136</v>
      </c>
      <c r="D1241" s="414" t="s">
        <v>4884</v>
      </c>
      <c r="E1241" s="407" t="s">
        <v>4884</v>
      </c>
      <c r="F1241" s="483"/>
      <c r="G1241" s="483"/>
      <c r="H1241" s="483"/>
      <c r="I1241" s="483"/>
      <c r="J1241" s="483"/>
      <c r="K1241" s="483"/>
      <c r="L1241" s="608" t="s">
        <v>4884</v>
      </c>
      <c r="M1241" s="409" t="s">
        <v>4884</v>
      </c>
      <c r="N1241" s="409" t="s">
        <v>4884</v>
      </c>
      <c r="O1241" s="410" t="s">
        <v>4884</v>
      </c>
      <c r="P1241" s="406">
        <v>1238</v>
      </c>
      <c r="Q1241" s="270" t="s">
        <v>2136</v>
      </c>
      <c r="R1241" s="523" t="s">
        <v>1883</v>
      </c>
      <c r="S1241" s="270" t="s">
        <v>1884</v>
      </c>
      <c r="U1241" s="471"/>
      <c r="V1241" s="471"/>
      <c r="W1241" s="471"/>
      <c r="X1241" s="471"/>
      <c r="Y1241" s="206"/>
      <c r="Z1241" s="206"/>
    </row>
    <row r="1242" spans="1:26">
      <c r="A1242" s="406">
        <v>1239</v>
      </c>
      <c r="B1242" s="613" t="s">
        <v>7020</v>
      </c>
      <c r="C1242" s="288" t="s">
        <v>2137</v>
      </c>
      <c r="D1242" s="414" t="s">
        <v>4884</v>
      </c>
      <c r="E1242" s="407" t="s">
        <v>4884</v>
      </c>
      <c r="F1242" s="483"/>
      <c r="G1242" s="483"/>
      <c r="H1242" s="483"/>
      <c r="I1242" s="483"/>
      <c r="J1242" s="483"/>
      <c r="K1242" s="483"/>
      <c r="L1242" s="608" t="s">
        <v>4884</v>
      </c>
      <c r="M1242" s="409" t="s">
        <v>4884</v>
      </c>
      <c r="N1242" s="409" t="s">
        <v>4884</v>
      </c>
      <c r="O1242" s="410" t="s">
        <v>4884</v>
      </c>
      <c r="P1242" s="406">
        <v>1239</v>
      </c>
      <c r="Q1242" s="270" t="s">
        <v>2137</v>
      </c>
      <c r="R1242" s="523" t="s">
        <v>1883</v>
      </c>
      <c r="S1242" s="270" t="s">
        <v>1884</v>
      </c>
      <c r="U1242" s="471"/>
      <c r="V1242" s="471"/>
      <c r="W1242" s="471"/>
      <c r="X1242" s="471"/>
      <c r="Y1242" s="206"/>
      <c r="Z1242" s="206"/>
    </row>
    <row r="1243" spans="1:26">
      <c r="A1243" s="406">
        <v>1240</v>
      </c>
      <c r="B1243" s="613" t="s">
        <v>7020</v>
      </c>
      <c r="C1243" s="288" t="s">
        <v>2138</v>
      </c>
      <c r="D1243" s="414" t="s">
        <v>4884</v>
      </c>
      <c r="E1243" s="407" t="s">
        <v>4884</v>
      </c>
      <c r="F1243" s="483"/>
      <c r="G1243" s="483"/>
      <c r="H1243" s="483"/>
      <c r="I1243" s="483"/>
      <c r="J1243" s="483"/>
      <c r="K1243" s="483"/>
      <c r="L1243" s="608" t="s">
        <v>4884</v>
      </c>
      <c r="M1243" s="409" t="s">
        <v>4884</v>
      </c>
      <c r="N1243" s="409" t="s">
        <v>4884</v>
      </c>
      <c r="O1243" s="410" t="s">
        <v>4884</v>
      </c>
      <c r="P1243" s="406">
        <v>1240</v>
      </c>
      <c r="Q1243" s="270" t="s">
        <v>2138</v>
      </c>
      <c r="R1243" s="523" t="s">
        <v>1883</v>
      </c>
      <c r="S1243" s="270" t="s">
        <v>1884</v>
      </c>
      <c r="U1243" s="471"/>
      <c r="V1243" s="471"/>
      <c r="W1243" s="471"/>
      <c r="X1243" s="471"/>
      <c r="Y1243" s="206"/>
      <c r="Z1243" s="206"/>
    </row>
    <row r="1244" spans="1:26">
      <c r="A1244" s="406">
        <v>1241</v>
      </c>
      <c r="B1244" s="613" t="s">
        <v>7020</v>
      </c>
      <c r="C1244" s="288" t="s">
        <v>2139</v>
      </c>
      <c r="D1244" s="414" t="s">
        <v>4884</v>
      </c>
      <c r="E1244" s="407" t="s">
        <v>4884</v>
      </c>
      <c r="F1244" s="483"/>
      <c r="G1244" s="483"/>
      <c r="H1244" s="483"/>
      <c r="I1244" s="483"/>
      <c r="J1244" s="483"/>
      <c r="K1244" s="483"/>
      <c r="L1244" s="608" t="s">
        <v>4884</v>
      </c>
      <c r="M1244" s="409" t="s">
        <v>4884</v>
      </c>
      <c r="N1244" s="409" t="s">
        <v>4884</v>
      </c>
      <c r="O1244" s="410" t="s">
        <v>4884</v>
      </c>
      <c r="P1244" s="406">
        <v>1241</v>
      </c>
      <c r="Q1244" s="270" t="s">
        <v>2139</v>
      </c>
      <c r="R1244" s="523" t="s">
        <v>1883</v>
      </c>
      <c r="S1244" s="270" t="s">
        <v>1884</v>
      </c>
      <c r="U1244" s="471"/>
      <c r="V1244" s="471"/>
      <c r="W1244" s="471"/>
      <c r="X1244" s="471"/>
      <c r="Y1244" s="206"/>
      <c r="Z1244" s="206"/>
    </row>
    <row r="1245" spans="1:26">
      <c r="A1245" s="406">
        <v>1242</v>
      </c>
      <c r="B1245" s="613" t="s">
        <v>7020</v>
      </c>
      <c r="C1245" s="288" t="s">
        <v>2140</v>
      </c>
      <c r="D1245" s="414" t="s">
        <v>4884</v>
      </c>
      <c r="E1245" s="407" t="s">
        <v>4884</v>
      </c>
      <c r="F1245" s="483"/>
      <c r="G1245" s="483"/>
      <c r="H1245" s="483"/>
      <c r="I1245" s="483"/>
      <c r="J1245" s="483"/>
      <c r="K1245" s="483"/>
      <c r="L1245" s="608" t="s">
        <v>4884</v>
      </c>
      <c r="M1245" s="409" t="s">
        <v>4884</v>
      </c>
      <c r="N1245" s="409" t="s">
        <v>4884</v>
      </c>
      <c r="O1245" s="410" t="s">
        <v>4884</v>
      </c>
      <c r="P1245" s="406">
        <v>1242</v>
      </c>
      <c r="Q1245" s="270" t="s">
        <v>2140</v>
      </c>
      <c r="R1245" s="523" t="s">
        <v>1883</v>
      </c>
      <c r="S1245" s="270" t="s">
        <v>1884</v>
      </c>
      <c r="U1245" s="471"/>
      <c r="V1245" s="471"/>
      <c r="W1245" s="471"/>
      <c r="X1245" s="471"/>
      <c r="Y1245" s="206"/>
      <c r="Z1245" s="206"/>
    </row>
    <row r="1246" spans="1:26">
      <c r="A1246" s="406">
        <v>1243</v>
      </c>
      <c r="B1246" s="613" t="s">
        <v>7020</v>
      </c>
      <c r="C1246" s="288" t="s">
        <v>2141</v>
      </c>
      <c r="D1246" s="414" t="s">
        <v>4884</v>
      </c>
      <c r="E1246" s="407" t="s">
        <v>4884</v>
      </c>
      <c r="F1246" s="483"/>
      <c r="G1246" s="483"/>
      <c r="H1246" s="483"/>
      <c r="I1246" s="483"/>
      <c r="J1246" s="483"/>
      <c r="K1246" s="483"/>
      <c r="L1246" s="608" t="s">
        <v>4884</v>
      </c>
      <c r="M1246" s="409" t="s">
        <v>4884</v>
      </c>
      <c r="N1246" s="409" t="s">
        <v>4884</v>
      </c>
      <c r="O1246" s="410" t="s">
        <v>4884</v>
      </c>
      <c r="P1246" s="406">
        <v>1243</v>
      </c>
      <c r="Q1246" s="270" t="s">
        <v>2141</v>
      </c>
      <c r="R1246" s="523" t="s">
        <v>1883</v>
      </c>
      <c r="S1246" s="270" t="s">
        <v>1884</v>
      </c>
      <c r="U1246" s="471"/>
      <c r="V1246" s="471"/>
      <c r="W1246" s="471"/>
      <c r="X1246" s="471"/>
      <c r="Y1246" s="206"/>
      <c r="Z1246" s="206"/>
    </row>
    <row r="1247" spans="1:26">
      <c r="A1247" s="406">
        <v>1244</v>
      </c>
      <c r="B1247" s="613" t="s">
        <v>7020</v>
      </c>
      <c r="C1247" s="288" t="s">
        <v>2142</v>
      </c>
      <c r="D1247" s="414" t="s">
        <v>4884</v>
      </c>
      <c r="E1247" s="407" t="s">
        <v>4884</v>
      </c>
      <c r="F1247" s="483"/>
      <c r="G1247" s="483"/>
      <c r="H1247" s="483"/>
      <c r="I1247" s="483"/>
      <c r="J1247" s="483"/>
      <c r="K1247" s="483"/>
      <c r="L1247" s="608" t="s">
        <v>4884</v>
      </c>
      <c r="M1247" s="409" t="s">
        <v>4884</v>
      </c>
      <c r="N1247" s="409" t="s">
        <v>4884</v>
      </c>
      <c r="O1247" s="410" t="s">
        <v>4884</v>
      </c>
      <c r="P1247" s="406">
        <v>1244</v>
      </c>
      <c r="Q1247" s="270" t="s">
        <v>2142</v>
      </c>
      <c r="R1247" s="523" t="s">
        <v>1883</v>
      </c>
      <c r="S1247" s="270" t="s">
        <v>1884</v>
      </c>
      <c r="U1247" s="471"/>
      <c r="V1247" s="471"/>
      <c r="W1247" s="471"/>
      <c r="X1247" s="471"/>
      <c r="Y1247" s="206"/>
      <c r="Z1247" s="206"/>
    </row>
    <row r="1248" spans="1:26">
      <c r="A1248" s="406">
        <v>1245</v>
      </c>
      <c r="B1248" s="613" t="s">
        <v>7020</v>
      </c>
      <c r="C1248" s="288" t="s">
        <v>2143</v>
      </c>
      <c r="D1248" s="414" t="s">
        <v>4884</v>
      </c>
      <c r="E1248" s="407" t="s">
        <v>4884</v>
      </c>
      <c r="F1248" s="483"/>
      <c r="G1248" s="483"/>
      <c r="H1248" s="483"/>
      <c r="I1248" s="483"/>
      <c r="J1248" s="483"/>
      <c r="K1248" s="483"/>
      <c r="L1248" s="608" t="s">
        <v>4884</v>
      </c>
      <c r="M1248" s="409" t="s">
        <v>4884</v>
      </c>
      <c r="N1248" s="409" t="s">
        <v>4884</v>
      </c>
      <c r="O1248" s="410" t="s">
        <v>4884</v>
      </c>
      <c r="P1248" s="406">
        <v>1245</v>
      </c>
      <c r="Q1248" s="270" t="s">
        <v>2143</v>
      </c>
      <c r="R1248" s="523" t="s">
        <v>1883</v>
      </c>
      <c r="S1248" s="270" t="s">
        <v>1884</v>
      </c>
      <c r="U1248" s="471"/>
      <c r="V1248" s="471"/>
      <c r="W1248" s="471"/>
      <c r="X1248" s="471"/>
      <c r="Y1248" s="206"/>
      <c r="Z1248" s="206"/>
    </row>
    <row r="1249" spans="1:26">
      <c r="A1249" s="406">
        <v>1246</v>
      </c>
      <c r="B1249" s="613" t="s">
        <v>7020</v>
      </c>
      <c r="C1249" s="288" t="s">
        <v>2144</v>
      </c>
      <c r="D1249" s="414" t="s">
        <v>4884</v>
      </c>
      <c r="E1249" s="407" t="s">
        <v>4884</v>
      </c>
      <c r="F1249" s="483"/>
      <c r="G1249" s="483"/>
      <c r="H1249" s="483"/>
      <c r="I1249" s="483"/>
      <c r="J1249" s="483"/>
      <c r="K1249" s="483"/>
      <c r="L1249" s="608" t="s">
        <v>4884</v>
      </c>
      <c r="M1249" s="409" t="s">
        <v>4884</v>
      </c>
      <c r="N1249" s="409" t="s">
        <v>4884</v>
      </c>
      <c r="O1249" s="410" t="s">
        <v>4884</v>
      </c>
      <c r="P1249" s="406">
        <v>1246</v>
      </c>
      <c r="Q1249" s="270" t="s">
        <v>2144</v>
      </c>
      <c r="R1249" s="523" t="s">
        <v>1883</v>
      </c>
      <c r="S1249" s="270" t="s">
        <v>1884</v>
      </c>
      <c r="U1249" s="471"/>
      <c r="V1249" s="471"/>
      <c r="W1249" s="471"/>
      <c r="X1249" s="471"/>
      <c r="Y1249" s="206"/>
      <c r="Z1249" s="206"/>
    </row>
    <row r="1250" spans="1:26">
      <c r="A1250" s="406">
        <v>1247</v>
      </c>
      <c r="B1250" s="613" t="s">
        <v>7020</v>
      </c>
      <c r="C1250" s="288" t="s">
        <v>2145</v>
      </c>
      <c r="D1250" s="414" t="s">
        <v>4884</v>
      </c>
      <c r="E1250" s="407" t="s">
        <v>4884</v>
      </c>
      <c r="F1250" s="483"/>
      <c r="G1250" s="483"/>
      <c r="H1250" s="483"/>
      <c r="I1250" s="483"/>
      <c r="J1250" s="483"/>
      <c r="K1250" s="483"/>
      <c r="L1250" s="608" t="s">
        <v>4884</v>
      </c>
      <c r="M1250" s="409" t="s">
        <v>4884</v>
      </c>
      <c r="N1250" s="409" t="s">
        <v>4884</v>
      </c>
      <c r="O1250" s="410" t="s">
        <v>4884</v>
      </c>
      <c r="P1250" s="406">
        <v>1247</v>
      </c>
      <c r="Q1250" s="270" t="s">
        <v>2145</v>
      </c>
      <c r="R1250" s="523" t="s">
        <v>1883</v>
      </c>
      <c r="S1250" s="270" t="s">
        <v>1884</v>
      </c>
      <c r="U1250" s="471"/>
      <c r="V1250" s="471"/>
      <c r="W1250" s="471"/>
      <c r="X1250" s="471"/>
      <c r="Y1250" s="206"/>
      <c r="Z1250" s="206"/>
    </row>
    <row r="1251" spans="1:26">
      <c r="A1251" s="406">
        <v>1248</v>
      </c>
      <c r="B1251" s="613" t="s">
        <v>7020</v>
      </c>
      <c r="C1251" s="288" t="s">
        <v>2146</v>
      </c>
      <c r="D1251" s="414" t="s">
        <v>4884</v>
      </c>
      <c r="E1251" s="407" t="s">
        <v>4884</v>
      </c>
      <c r="F1251" s="483"/>
      <c r="G1251" s="483"/>
      <c r="H1251" s="483"/>
      <c r="I1251" s="483"/>
      <c r="J1251" s="483"/>
      <c r="K1251" s="483"/>
      <c r="L1251" s="608" t="s">
        <v>4884</v>
      </c>
      <c r="M1251" s="409" t="s">
        <v>4884</v>
      </c>
      <c r="N1251" s="409" t="s">
        <v>4884</v>
      </c>
      <c r="O1251" s="410" t="s">
        <v>4884</v>
      </c>
      <c r="P1251" s="406">
        <v>1248</v>
      </c>
      <c r="Q1251" s="270" t="s">
        <v>2146</v>
      </c>
      <c r="R1251" s="523" t="s">
        <v>1883</v>
      </c>
      <c r="S1251" s="270" t="s">
        <v>1884</v>
      </c>
      <c r="U1251" s="471"/>
      <c r="V1251" s="471"/>
      <c r="W1251" s="471"/>
      <c r="X1251" s="471"/>
      <c r="Y1251" s="206"/>
      <c r="Z1251" s="206"/>
    </row>
    <row r="1252" spans="1:26">
      <c r="A1252" s="406">
        <v>1249</v>
      </c>
      <c r="B1252" s="613" t="s">
        <v>7020</v>
      </c>
      <c r="C1252" s="288" t="s">
        <v>2147</v>
      </c>
      <c r="D1252" s="414" t="s">
        <v>4884</v>
      </c>
      <c r="E1252" s="407" t="s">
        <v>4884</v>
      </c>
      <c r="F1252" s="483"/>
      <c r="G1252" s="483"/>
      <c r="H1252" s="483"/>
      <c r="I1252" s="483"/>
      <c r="J1252" s="483"/>
      <c r="K1252" s="483"/>
      <c r="L1252" s="608" t="s">
        <v>4884</v>
      </c>
      <c r="M1252" s="409" t="s">
        <v>4884</v>
      </c>
      <c r="N1252" s="409" t="s">
        <v>4884</v>
      </c>
      <c r="O1252" s="410" t="s">
        <v>4884</v>
      </c>
      <c r="P1252" s="406">
        <v>1249</v>
      </c>
      <c r="Q1252" s="270" t="s">
        <v>2147</v>
      </c>
      <c r="R1252" s="523" t="s">
        <v>1883</v>
      </c>
      <c r="S1252" s="270" t="s">
        <v>1884</v>
      </c>
      <c r="U1252" s="471"/>
      <c r="V1252" s="471"/>
      <c r="W1252" s="471"/>
      <c r="X1252" s="471"/>
      <c r="Y1252" s="206"/>
      <c r="Z1252" s="206"/>
    </row>
    <row r="1253" spans="1:26">
      <c r="A1253" s="406">
        <v>1250</v>
      </c>
      <c r="B1253" s="613" t="s">
        <v>7020</v>
      </c>
      <c r="C1253" s="288" t="s">
        <v>2148</v>
      </c>
      <c r="D1253" s="414" t="s">
        <v>4884</v>
      </c>
      <c r="E1253" s="407" t="s">
        <v>4884</v>
      </c>
      <c r="F1253" s="483"/>
      <c r="G1253" s="483"/>
      <c r="H1253" s="483"/>
      <c r="I1253" s="483"/>
      <c r="J1253" s="483"/>
      <c r="K1253" s="483"/>
      <c r="L1253" s="608" t="s">
        <v>4884</v>
      </c>
      <c r="M1253" s="409" t="s">
        <v>4884</v>
      </c>
      <c r="N1253" s="409" t="s">
        <v>4884</v>
      </c>
      <c r="O1253" s="410" t="s">
        <v>4884</v>
      </c>
      <c r="P1253" s="406">
        <v>1250</v>
      </c>
      <c r="Q1253" s="270" t="s">
        <v>2148</v>
      </c>
      <c r="R1253" s="523" t="s">
        <v>1883</v>
      </c>
      <c r="S1253" s="270" t="s">
        <v>1884</v>
      </c>
      <c r="U1253" s="471"/>
      <c r="V1253" s="471"/>
      <c r="W1253" s="471"/>
      <c r="X1253" s="471"/>
      <c r="Y1253" s="206"/>
      <c r="Z1253" s="206"/>
    </row>
    <row r="1254" spans="1:26">
      <c r="A1254" s="406">
        <v>1251</v>
      </c>
      <c r="B1254" s="613" t="s">
        <v>7020</v>
      </c>
      <c r="C1254" s="288" t="s">
        <v>2149</v>
      </c>
      <c r="D1254" s="414" t="s">
        <v>4884</v>
      </c>
      <c r="E1254" s="407" t="s">
        <v>4884</v>
      </c>
      <c r="F1254" s="483"/>
      <c r="G1254" s="483"/>
      <c r="H1254" s="483"/>
      <c r="I1254" s="483"/>
      <c r="J1254" s="483"/>
      <c r="K1254" s="483"/>
      <c r="L1254" s="608" t="s">
        <v>4884</v>
      </c>
      <c r="M1254" s="409" t="s">
        <v>4884</v>
      </c>
      <c r="N1254" s="409" t="s">
        <v>4884</v>
      </c>
      <c r="O1254" s="410" t="s">
        <v>4884</v>
      </c>
      <c r="P1254" s="406">
        <v>1251</v>
      </c>
      <c r="Q1254" s="270" t="s">
        <v>2149</v>
      </c>
      <c r="R1254" s="523" t="s">
        <v>1883</v>
      </c>
      <c r="S1254" s="270" t="s">
        <v>1884</v>
      </c>
      <c r="U1254" s="471"/>
      <c r="V1254" s="471"/>
      <c r="W1254" s="471"/>
      <c r="X1254" s="471"/>
      <c r="Y1254" s="206"/>
      <c r="Z1254" s="206"/>
    </row>
    <row r="1255" spans="1:26">
      <c r="A1255" s="406">
        <v>1252</v>
      </c>
      <c r="B1255" s="613" t="s">
        <v>7020</v>
      </c>
      <c r="C1255" s="288" t="s">
        <v>2150</v>
      </c>
      <c r="D1255" s="414" t="s">
        <v>4884</v>
      </c>
      <c r="E1255" s="407" t="s">
        <v>4884</v>
      </c>
      <c r="F1255" s="483"/>
      <c r="G1255" s="483"/>
      <c r="H1255" s="483"/>
      <c r="I1255" s="483"/>
      <c r="J1255" s="483"/>
      <c r="K1255" s="483"/>
      <c r="L1255" s="608" t="s">
        <v>4884</v>
      </c>
      <c r="M1255" s="409" t="s">
        <v>4884</v>
      </c>
      <c r="N1255" s="409" t="s">
        <v>4884</v>
      </c>
      <c r="O1255" s="410" t="s">
        <v>4884</v>
      </c>
      <c r="P1255" s="406">
        <v>1252</v>
      </c>
      <c r="Q1255" s="270" t="s">
        <v>2150</v>
      </c>
      <c r="R1255" s="523" t="s">
        <v>1883</v>
      </c>
      <c r="S1255" s="270" t="s">
        <v>1884</v>
      </c>
      <c r="U1255" s="471"/>
      <c r="V1255" s="471"/>
      <c r="W1255" s="471"/>
      <c r="X1255" s="471"/>
      <c r="Y1255" s="206"/>
      <c r="Z1255" s="206"/>
    </row>
    <row r="1256" spans="1:26">
      <c r="A1256" s="406">
        <v>1253</v>
      </c>
      <c r="B1256" s="613" t="s">
        <v>7020</v>
      </c>
      <c r="C1256" s="288" t="s">
        <v>2151</v>
      </c>
      <c r="D1256" s="414" t="s">
        <v>4884</v>
      </c>
      <c r="E1256" s="407" t="s">
        <v>4884</v>
      </c>
      <c r="F1256" s="483"/>
      <c r="G1256" s="483"/>
      <c r="H1256" s="483"/>
      <c r="I1256" s="483"/>
      <c r="J1256" s="483"/>
      <c r="K1256" s="483"/>
      <c r="L1256" s="608" t="s">
        <v>4884</v>
      </c>
      <c r="M1256" s="409" t="s">
        <v>4884</v>
      </c>
      <c r="N1256" s="409" t="s">
        <v>4884</v>
      </c>
      <c r="O1256" s="410" t="s">
        <v>4884</v>
      </c>
      <c r="P1256" s="406">
        <v>1253</v>
      </c>
      <c r="Q1256" s="270" t="s">
        <v>2151</v>
      </c>
      <c r="R1256" s="523" t="s">
        <v>1883</v>
      </c>
      <c r="S1256" s="270" t="s">
        <v>1884</v>
      </c>
      <c r="U1256" s="471"/>
      <c r="V1256" s="471"/>
      <c r="W1256" s="471"/>
      <c r="X1256" s="471"/>
      <c r="Y1256" s="206"/>
      <c r="Z1256" s="206"/>
    </row>
    <row r="1257" spans="1:26">
      <c r="A1257" s="406">
        <v>1254</v>
      </c>
      <c r="B1257" s="613" t="s">
        <v>7020</v>
      </c>
      <c r="C1257" s="288" t="s">
        <v>2152</v>
      </c>
      <c r="D1257" s="414" t="s">
        <v>4884</v>
      </c>
      <c r="E1257" s="407" t="s">
        <v>4884</v>
      </c>
      <c r="F1257" s="483"/>
      <c r="G1257" s="483"/>
      <c r="H1257" s="483"/>
      <c r="I1257" s="483"/>
      <c r="J1257" s="483"/>
      <c r="K1257" s="483"/>
      <c r="L1257" s="608" t="s">
        <v>4884</v>
      </c>
      <c r="M1257" s="409" t="s">
        <v>4884</v>
      </c>
      <c r="N1257" s="409" t="s">
        <v>4884</v>
      </c>
      <c r="O1257" s="410" t="s">
        <v>4884</v>
      </c>
      <c r="P1257" s="406">
        <v>1254</v>
      </c>
      <c r="Q1257" s="270" t="s">
        <v>2152</v>
      </c>
      <c r="R1257" s="523" t="s">
        <v>1883</v>
      </c>
      <c r="S1257" s="270" t="s">
        <v>1884</v>
      </c>
      <c r="U1257" s="471"/>
      <c r="V1257" s="471"/>
      <c r="W1257" s="471"/>
      <c r="X1257" s="471"/>
      <c r="Y1257" s="206"/>
      <c r="Z1257" s="206"/>
    </row>
    <row r="1258" spans="1:26">
      <c r="A1258" s="406">
        <v>1255</v>
      </c>
      <c r="B1258" s="613" t="s">
        <v>7020</v>
      </c>
      <c r="C1258" s="288" t="s">
        <v>2153</v>
      </c>
      <c r="D1258" s="414" t="s">
        <v>4884</v>
      </c>
      <c r="E1258" s="407" t="s">
        <v>4884</v>
      </c>
      <c r="F1258" s="483"/>
      <c r="G1258" s="483"/>
      <c r="H1258" s="483"/>
      <c r="I1258" s="483"/>
      <c r="J1258" s="483"/>
      <c r="K1258" s="483"/>
      <c r="L1258" s="608" t="s">
        <v>4884</v>
      </c>
      <c r="M1258" s="409" t="s">
        <v>4884</v>
      </c>
      <c r="N1258" s="409" t="s">
        <v>4884</v>
      </c>
      <c r="O1258" s="410" t="s">
        <v>4884</v>
      </c>
      <c r="P1258" s="406">
        <v>1255</v>
      </c>
      <c r="Q1258" s="270" t="s">
        <v>2153</v>
      </c>
      <c r="R1258" s="523" t="s">
        <v>1883</v>
      </c>
      <c r="S1258" s="270" t="s">
        <v>1884</v>
      </c>
      <c r="U1258" s="471"/>
      <c r="V1258" s="471"/>
      <c r="W1258" s="471"/>
      <c r="X1258" s="471"/>
      <c r="Y1258" s="206"/>
      <c r="Z1258" s="206"/>
    </row>
    <row r="1259" spans="1:26">
      <c r="A1259" s="406">
        <v>1256</v>
      </c>
      <c r="B1259" s="613" t="s">
        <v>7020</v>
      </c>
      <c r="C1259" s="288" t="s">
        <v>2154</v>
      </c>
      <c r="D1259" s="414" t="s">
        <v>4884</v>
      </c>
      <c r="E1259" s="407" t="s">
        <v>4884</v>
      </c>
      <c r="F1259" s="483"/>
      <c r="G1259" s="483"/>
      <c r="H1259" s="483"/>
      <c r="I1259" s="483"/>
      <c r="J1259" s="483"/>
      <c r="K1259" s="483"/>
      <c r="L1259" s="608" t="s">
        <v>4884</v>
      </c>
      <c r="M1259" s="409" t="s">
        <v>4884</v>
      </c>
      <c r="N1259" s="409" t="s">
        <v>4884</v>
      </c>
      <c r="O1259" s="410" t="s">
        <v>4884</v>
      </c>
      <c r="P1259" s="406">
        <v>1256</v>
      </c>
      <c r="Q1259" s="270" t="s">
        <v>2154</v>
      </c>
      <c r="R1259" s="523" t="s">
        <v>1883</v>
      </c>
      <c r="S1259" s="270" t="s">
        <v>1884</v>
      </c>
      <c r="U1259" s="471"/>
      <c r="V1259" s="471"/>
      <c r="W1259" s="471"/>
      <c r="X1259" s="471"/>
      <c r="Y1259" s="206"/>
      <c r="Z1259" s="206"/>
    </row>
    <row r="1260" spans="1:26">
      <c r="A1260" s="406">
        <v>1257</v>
      </c>
      <c r="B1260" s="613" t="s">
        <v>7020</v>
      </c>
      <c r="C1260" s="288" t="s">
        <v>2155</v>
      </c>
      <c r="D1260" s="414" t="s">
        <v>4884</v>
      </c>
      <c r="E1260" s="407" t="s">
        <v>4884</v>
      </c>
      <c r="F1260" s="483"/>
      <c r="G1260" s="483"/>
      <c r="H1260" s="483"/>
      <c r="I1260" s="483"/>
      <c r="J1260" s="483"/>
      <c r="K1260" s="483"/>
      <c r="L1260" s="608" t="s">
        <v>4884</v>
      </c>
      <c r="M1260" s="409" t="s">
        <v>4884</v>
      </c>
      <c r="N1260" s="409" t="s">
        <v>4884</v>
      </c>
      <c r="O1260" s="410" t="s">
        <v>4884</v>
      </c>
      <c r="P1260" s="406">
        <v>1257</v>
      </c>
      <c r="Q1260" s="270" t="s">
        <v>2155</v>
      </c>
      <c r="R1260" s="523" t="s">
        <v>1883</v>
      </c>
      <c r="S1260" s="270" t="s">
        <v>1884</v>
      </c>
      <c r="U1260" s="471"/>
      <c r="V1260" s="471"/>
      <c r="W1260" s="471"/>
      <c r="X1260" s="471"/>
      <c r="Y1260" s="206"/>
      <c r="Z1260" s="206"/>
    </row>
    <row r="1261" spans="1:26">
      <c r="A1261" s="406">
        <v>1258</v>
      </c>
      <c r="B1261" s="613" t="s">
        <v>7020</v>
      </c>
      <c r="C1261" s="288" t="s">
        <v>2156</v>
      </c>
      <c r="D1261" s="414" t="s">
        <v>4884</v>
      </c>
      <c r="E1261" s="407" t="s">
        <v>4884</v>
      </c>
      <c r="F1261" s="483"/>
      <c r="G1261" s="483"/>
      <c r="H1261" s="483"/>
      <c r="I1261" s="483"/>
      <c r="J1261" s="483"/>
      <c r="K1261" s="483"/>
      <c r="L1261" s="608" t="s">
        <v>4884</v>
      </c>
      <c r="M1261" s="409" t="s">
        <v>4884</v>
      </c>
      <c r="N1261" s="409" t="s">
        <v>4884</v>
      </c>
      <c r="O1261" s="410" t="s">
        <v>4884</v>
      </c>
      <c r="P1261" s="406">
        <v>1258</v>
      </c>
      <c r="Q1261" s="270" t="s">
        <v>2156</v>
      </c>
      <c r="R1261" s="523" t="s">
        <v>1883</v>
      </c>
      <c r="S1261" s="270" t="s">
        <v>1884</v>
      </c>
      <c r="U1261" s="471"/>
      <c r="V1261" s="471"/>
      <c r="W1261" s="471"/>
      <c r="X1261" s="471"/>
      <c r="Y1261" s="206"/>
      <c r="Z1261" s="206"/>
    </row>
    <row r="1262" spans="1:26">
      <c r="A1262" s="406">
        <v>1259</v>
      </c>
      <c r="B1262" s="613" t="s">
        <v>7020</v>
      </c>
      <c r="C1262" s="288" t="s">
        <v>2157</v>
      </c>
      <c r="D1262" s="414" t="s">
        <v>4884</v>
      </c>
      <c r="E1262" s="407" t="s">
        <v>4884</v>
      </c>
      <c r="F1262" s="483"/>
      <c r="G1262" s="483"/>
      <c r="H1262" s="483"/>
      <c r="I1262" s="483"/>
      <c r="J1262" s="483"/>
      <c r="K1262" s="483"/>
      <c r="L1262" s="608" t="s">
        <v>4884</v>
      </c>
      <c r="M1262" s="409" t="s">
        <v>4884</v>
      </c>
      <c r="N1262" s="409" t="s">
        <v>4884</v>
      </c>
      <c r="O1262" s="410" t="s">
        <v>4884</v>
      </c>
      <c r="P1262" s="406">
        <v>1259</v>
      </c>
      <c r="Q1262" s="270" t="s">
        <v>2157</v>
      </c>
      <c r="R1262" s="523" t="s">
        <v>1883</v>
      </c>
      <c r="S1262" s="270" t="s">
        <v>1884</v>
      </c>
      <c r="U1262" s="471"/>
      <c r="V1262" s="471"/>
      <c r="W1262" s="471"/>
      <c r="X1262" s="471"/>
      <c r="Y1262" s="206"/>
      <c r="Z1262" s="206"/>
    </row>
    <row r="1263" spans="1:26">
      <c r="A1263" s="406">
        <v>1260</v>
      </c>
      <c r="B1263" s="613" t="s">
        <v>7020</v>
      </c>
      <c r="C1263" s="288" t="s">
        <v>2158</v>
      </c>
      <c r="D1263" s="414" t="s">
        <v>4884</v>
      </c>
      <c r="E1263" s="407" t="s">
        <v>4884</v>
      </c>
      <c r="F1263" s="483"/>
      <c r="G1263" s="483"/>
      <c r="H1263" s="483"/>
      <c r="I1263" s="483"/>
      <c r="J1263" s="483"/>
      <c r="K1263" s="483"/>
      <c r="L1263" s="608" t="s">
        <v>4884</v>
      </c>
      <c r="M1263" s="409" t="s">
        <v>4884</v>
      </c>
      <c r="N1263" s="409" t="s">
        <v>4884</v>
      </c>
      <c r="O1263" s="410" t="s">
        <v>4884</v>
      </c>
      <c r="P1263" s="406">
        <v>1260</v>
      </c>
      <c r="Q1263" s="270" t="s">
        <v>2158</v>
      </c>
      <c r="R1263" s="523" t="s">
        <v>1883</v>
      </c>
      <c r="S1263" s="270" t="s">
        <v>1884</v>
      </c>
      <c r="U1263" s="471"/>
      <c r="V1263" s="471"/>
      <c r="W1263" s="471"/>
      <c r="X1263" s="471"/>
      <c r="Y1263" s="206"/>
      <c r="Z1263" s="206"/>
    </row>
    <row r="1264" spans="1:26">
      <c r="A1264" s="406">
        <v>1261</v>
      </c>
      <c r="B1264" s="613" t="s">
        <v>7020</v>
      </c>
      <c r="C1264" s="288" t="s">
        <v>2159</v>
      </c>
      <c r="D1264" s="414" t="s">
        <v>4884</v>
      </c>
      <c r="E1264" s="407" t="s">
        <v>4884</v>
      </c>
      <c r="F1264" s="483"/>
      <c r="G1264" s="483"/>
      <c r="H1264" s="483"/>
      <c r="I1264" s="483"/>
      <c r="J1264" s="483"/>
      <c r="K1264" s="483"/>
      <c r="L1264" s="608" t="s">
        <v>4884</v>
      </c>
      <c r="M1264" s="409" t="s">
        <v>4884</v>
      </c>
      <c r="N1264" s="409" t="s">
        <v>4884</v>
      </c>
      <c r="O1264" s="410" t="s">
        <v>4884</v>
      </c>
      <c r="P1264" s="406">
        <v>1261</v>
      </c>
      <c r="Q1264" s="270" t="s">
        <v>2159</v>
      </c>
      <c r="R1264" s="523" t="s">
        <v>1883</v>
      </c>
      <c r="S1264" s="270" t="s">
        <v>1884</v>
      </c>
      <c r="U1264" s="471"/>
      <c r="V1264" s="471"/>
      <c r="W1264" s="471"/>
      <c r="X1264" s="471"/>
      <c r="Y1264" s="206"/>
      <c r="Z1264" s="206"/>
    </row>
    <row r="1265" spans="1:26">
      <c r="A1265" s="406">
        <v>1262</v>
      </c>
      <c r="B1265" s="613" t="s">
        <v>7020</v>
      </c>
      <c r="C1265" s="288" t="s">
        <v>2160</v>
      </c>
      <c r="D1265" s="414" t="s">
        <v>4884</v>
      </c>
      <c r="E1265" s="407" t="s">
        <v>4884</v>
      </c>
      <c r="F1265" s="483"/>
      <c r="G1265" s="483"/>
      <c r="H1265" s="483"/>
      <c r="I1265" s="483"/>
      <c r="J1265" s="483"/>
      <c r="K1265" s="483"/>
      <c r="L1265" s="608" t="s">
        <v>4884</v>
      </c>
      <c r="M1265" s="409" t="s">
        <v>4884</v>
      </c>
      <c r="N1265" s="409" t="s">
        <v>4884</v>
      </c>
      <c r="O1265" s="410" t="s">
        <v>4884</v>
      </c>
      <c r="P1265" s="406">
        <v>1262</v>
      </c>
      <c r="Q1265" s="270" t="s">
        <v>2160</v>
      </c>
      <c r="R1265" s="523" t="s">
        <v>1883</v>
      </c>
      <c r="S1265" s="270" t="s">
        <v>1884</v>
      </c>
      <c r="U1265" s="471"/>
      <c r="V1265" s="471"/>
      <c r="W1265" s="471"/>
      <c r="X1265" s="471"/>
      <c r="Y1265" s="206"/>
      <c r="Z1265" s="206"/>
    </row>
    <row r="1266" spans="1:26">
      <c r="A1266" s="406">
        <v>1263</v>
      </c>
      <c r="B1266" s="613" t="s">
        <v>7020</v>
      </c>
      <c r="C1266" s="288" t="s">
        <v>2161</v>
      </c>
      <c r="D1266" s="414" t="s">
        <v>4884</v>
      </c>
      <c r="E1266" s="407" t="s">
        <v>4884</v>
      </c>
      <c r="F1266" s="483"/>
      <c r="G1266" s="483"/>
      <c r="H1266" s="483"/>
      <c r="I1266" s="483"/>
      <c r="J1266" s="483"/>
      <c r="K1266" s="483"/>
      <c r="L1266" s="608" t="s">
        <v>4884</v>
      </c>
      <c r="M1266" s="409" t="s">
        <v>4884</v>
      </c>
      <c r="N1266" s="409" t="s">
        <v>4884</v>
      </c>
      <c r="O1266" s="410" t="s">
        <v>4884</v>
      </c>
      <c r="P1266" s="406">
        <v>1263</v>
      </c>
      <c r="Q1266" s="270" t="s">
        <v>2161</v>
      </c>
      <c r="R1266" s="523" t="s">
        <v>1883</v>
      </c>
      <c r="S1266" s="270" t="s">
        <v>1884</v>
      </c>
      <c r="U1266" s="471"/>
      <c r="V1266" s="471"/>
      <c r="W1266" s="471"/>
      <c r="X1266" s="471"/>
      <c r="Y1266" s="206"/>
      <c r="Z1266" s="206"/>
    </row>
    <row r="1267" spans="1:26">
      <c r="A1267" s="406">
        <v>1264</v>
      </c>
      <c r="B1267" s="613" t="s">
        <v>7020</v>
      </c>
      <c r="C1267" s="288" t="s">
        <v>2162</v>
      </c>
      <c r="D1267" s="414" t="s">
        <v>4884</v>
      </c>
      <c r="E1267" s="407" t="s">
        <v>4884</v>
      </c>
      <c r="F1267" s="483"/>
      <c r="G1267" s="483"/>
      <c r="H1267" s="483"/>
      <c r="I1267" s="483"/>
      <c r="J1267" s="483"/>
      <c r="K1267" s="483"/>
      <c r="L1267" s="608" t="s">
        <v>4884</v>
      </c>
      <c r="M1267" s="409" t="s">
        <v>4884</v>
      </c>
      <c r="N1267" s="409" t="s">
        <v>4884</v>
      </c>
      <c r="O1267" s="410" t="s">
        <v>4884</v>
      </c>
      <c r="P1267" s="406">
        <v>1264</v>
      </c>
      <c r="Q1267" s="270" t="s">
        <v>2162</v>
      </c>
      <c r="R1267" s="523" t="s">
        <v>1883</v>
      </c>
      <c r="S1267" s="270" t="s">
        <v>1884</v>
      </c>
      <c r="U1267" s="471"/>
      <c r="V1267" s="471"/>
      <c r="W1267" s="471"/>
      <c r="X1267" s="471"/>
      <c r="Y1267" s="206"/>
      <c r="Z1267" s="206"/>
    </row>
    <row r="1268" spans="1:26">
      <c r="A1268" s="406">
        <v>1265</v>
      </c>
      <c r="B1268" s="613" t="s">
        <v>7020</v>
      </c>
      <c r="C1268" s="288" t="s">
        <v>2163</v>
      </c>
      <c r="D1268" s="414" t="s">
        <v>4884</v>
      </c>
      <c r="E1268" s="407" t="s">
        <v>4884</v>
      </c>
      <c r="F1268" s="483"/>
      <c r="G1268" s="483"/>
      <c r="H1268" s="483"/>
      <c r="I1268" s="483"/>
      <c r="J1268" s="483"/>
      <c r="K1268" s="483"/>
      <c r="L1268" s="608" t="s">
        <v>4884</v>
      </c>
      <c r="M1268" s="409" t="s">
        <v>4884</v>
      </c>
      <c r="N1268" s="409" t="s">
        <v>4884</v>
      </c>
      <c r="O1268" s="410" t="s">
        <v>4884</v>
      </c>
      <c r="P1268" s="406">
        <v>1265</v>
      </c>
      <c r="Q1268" s="270" t="s">
        <v>2163</v>
      </c>
      <c r="R1268" s="523" t="s">
        <v>1883</v>
      </c>
      <c r="S1268" s="270" t="s">
        <v>1884</v>
      </c>
      <c r="U1268" s="471"/>
      <c r="V1268" s="471"/>
      <c r="W1268" s="471"/>
      <c r="X1268" s="471"/>
      <c r="Y1268" s="206"/>
      <c r="Z1268" s="206"/>
    </row>
    <row r="1269" spans="1:26">
      <c r="A1269" s="406">
        <v>1266</v>
      </c>
      <c r="B1269" s="613" t="s">
        <v>7020</v>
      </c>
      <c r="C1269" s="288" t="s">
        <v>2164</v>
      </c>
      <c r="D1269" s="414" t="s">
        <v>4884</v>
      </c>
      <c r="E1269" s="407" t="s">
        <v>4884</v>
      </c>
      <c r="F1269" s="483"/>
      <c r="G1269" s="483"/>
      <c r="H1269" s="483"/>
      <c r="I1269" s="483"/>
      <c r="J1269" s="483"/>
      <c r="K1269" s="483"/>
      <c r="L1269" s="608" t="s">
        <v>4884</v>
      </c>
      <c r="M1269" s="409" t="s">
        <v>4884</v>
      </c>
      <c r="N1269" s="409" t="s">
        <v>4884</v>
      </c>
      <c r="O1269" s="410" t="s">
        <v>4884</v>
      </c>
      <c r="P1269" s="406">
        <v>1266</v>
      </c>
      <c r="Q1269" s="270" t="s">
        <v>2164</v>
      </c>
      <c r="R1269" s="523" t="s">
        <v>1883</v>
      </c>
      <c r="S1269" s="270" t="s">
        <v>1884</v>
      </c>
      <c r="U1269" s="471"/>
      <c r="V1269" s="471"/>
      <c r="W1269" s="471"/>
      <c r="X1269" s="471"/>
      <c r="Y1269" s="206"/>
      <c r="Z1269" s="206"/>
    </row>
    <row r="1270" spans="1:26">
      <c r="A1270" s="406">
        <v>1267</v>
      </c>
      <c r="B1270" s="613" t="s">
        <v>7020</v>
      </c>
      <c r="C1270" s="288" t="s">
        <v>2165</v>
      </c>
      <c r="D1270" s="414" t="s">
        <v>4884</v>
      </c>
      <c r="E1270" s="407" t="s">
        <v>4884</v>
      </c>
      <c r="F1270" s="483"/>
      <c r="G1270" s="483"/>
      <c r="H1270" s="483"/>
      <c r="I1270" s="483"/>
      <c r="J1270" s="483"/>
      <c r="K1270" s="483"/>
      <c r="L1270" s="608" t="s">
        <v>4884</v>
      </c>
      <c r="M1270" s="409" t="s">
        <v>4884</v>
      </c>
      <c r="N1270" s="409" t="s">
        <v>4884</v>
      </c>
      <c r="O1270" s="410" t="s">
        <v>4884</v>
      </c>
      <c r="P1270" s="406">
        <v>1267</v>
      </c>
      <c r="Q1270" s="270" t="s">
        <v>2165</v>
      </c>
      <c r="R1270" s="523" t="s">
        <v>1883</v>
      </c>
      <c r="S1270" s="270" t="s">
        <v>1884</v>
      </c>
      <c r="U1270" s="471"/>
      <c r="V1270" s="471"/>
      <c r="W1270" s="471"/>
      <c r="X1270" s="471"/>
      <c r="Y1270" s="206"/>
      <c r="Z1270" s="206"/>
    </row>
    <row r="1271" spans="1:26">
      <c r="A1271" s="406">
        <v>1268</v>
      </c>
      <c r="B1271" s="613" t="s">
        <v>7020</v>
      </c>
      <c r="C1271" s="288" t="s">
        <v>2166</v>
      </c>
      <c r="D1271" s="414" t="s">
        <v>4884</v>
      </c>
      <c r="E1271" s="407" t="s">
        <v>4884</v>
      </c>
      <c r="F1271" s="483"/>
      <c r="G1271" s="483"/>
      <c r="H1271" s="483"/>
      <c r="I1271" s="483"/>
      <c r="J1271" s="483"/>
      <c r="K1271" s="483"/>
      <c r="L1271" s="608" t="s">
        <v>4884</v>
      </c>
      <c r="M1271" s="409" t="s">
        <v>4884</v>
      </c>
      <c r="N1271" s="409" t="s">
        <v>4884</v>
      </c>
      <c r="O1271" s="410" t="s">
        <v>4884</v>
      </c>
      <c r="P1271" s="406">
        <v>1268</v>
      </c>
      <c r="Q1271" s="270" t="s">
        <v>2166</v>
      </c>
      <c r="R1271" s="523" t="s">
        <v>1883</v>
      </c>
      <c r="S1271" s="270" t="s">
        <v>1884</v>
      </c>
      <c r="U1271" s="471"/>
      <c r="V1271" s="471"/>
      <c r="W1271" s="471"/>
      <c r="X1271" s="471"/>
      <c r="Y1271" s="206"/>
      <c r="Z1271" s="206"/>
    </row>
    <row r="1272" spans="1:26">
      <c r="A1272" s="406">
        <v>1269</v>
      </c>
      <c r="B1272" s="613" t="s">
        <v>7020</v>
      </c>
      <c r="C1272" s="288" t="s">
        <v>2167</v>
      </c>
      <c r="D1272" s="414" t="s">
        <v>4884</v>
      </c>
      <c r="E1272" s="407" t="s">
        <v>4884</v>
      </c>
      <c r="F1272" s="483"/>
      <c r="G1272" s="483"/>
      <c r="H1272" s="483"/>
      <c r="I1272" s="483"/>
      <c r="J1272" s="483"/>
      <c r="K1272" s="483"/>
      <c r="L1272" s="608" t="s">
        <v>4884</v>
      </c>
      <c r="M1272" s="409" t="s">
        <v>4884</v>
      </c>
      <c r="N1272" s="409" t="s">
        <v>4884</v>
      </c>
      <c r="O1272" s="410" t="s">
        <v>4884</v>
      </c>
      <c r="P1272" s="406">
        <v>1269</v>
      </c>
      <c r="Q1272" s="270" t="s">
        <v>2167</v>
      </c>
      <c r="R1272" s="523" t="s">
        <v>1883</v>
      </c>
      <c r="S1272" s="270" t="s">
        <v>1884</v>
      </c>
      <c r="U1272" s="471"/>
      <c r="V1272" s="471"/>
      <c r="W1272" s="471"/>
      <c r="X1272" s="471"/>
      <c r="Y1272" s="206"/>
      <c r="Z1272" s="206"/>
    </row>
    <row r="1273" spans="1:26">
      <c r="A1273" s="406">
        <v>1270</v>
      </c>
      <c r="B1273" s="613" t="s">
        <v>7020</v>
      </c>
      <c r="C1273" s="288" t="s">
        <v>2168</v>
      </c>
      <c r="D1273" s="414" t="s">
        <v>4884</v>
      </c>
      <c r="E1273" s="407" t="s">
        <v>4884</v>
      </c>
      <c r="F1273" s="483"/>
      <c r="G1273" s="483"/>
      <c r="H1273" s="483"/>
      <c r="I1273" s="483"/>
      <c r="J1273" s="483"/>
      <c r="K1273" s="483"/>
      <c r="L1273" s="608" t="s">
        <v>4884</v>
      </c>
      <c r="M1273" s="409" t="s">
        <v>4884</v>
      </c>
      <c r="N1273" s="409" t="s">
        <v>4884</v>
      </c>
      <c r="O1273" s="410" t="s">
        <v>4884</v>
      </c>
      <c r="P1273" s="406">
        <v>1270</v>
      </c>
      <c r="Q1273" s="270" t="s">
        <v>2168</v>
      </c>
      <c r="R1273" s="523" t="s">
        <v>1883</v>
      </c>
      <c r="S1273" s="270" t="s">
        <v>1884</v>
      </c>
      <c r="U1273" s="471"/>
      <c r="V1273" s="471"/>
      <c r="W1273" s="471"/>
      <c r="X1273" s="471"/>
      <c r="Y1273" s="206"/>
      <c r="Z1273" s="206"/>
    </row>
    <row r="1274" spans="1:26">
      <c r="A1274" s="406">
        <v>1271</v>
      </c>
      <c r="B1274" s="613" t="s">
        <v>7020</v>
      </c>
      <c r="C1274" s="288" t="s">
        <v>2169</v>
      </c>
      <c r="D1274" s="414" t="s">
        <v>4884</v>
      </c>
      <c r="E1274" s="407" t="s">
        <v>4884</v>
      </c>
      <c r="F1274" s="483"/>
      <c r="G1274" s="483"/>
      <c r="H1274" s="483"/>
      <c r="I1274" s="483"/>
      <c r="J1274" s="483"/>
      <c r="K1274" s="483"/>
      <c r="L1274" s="608" t="s">
        <v>4884</v>
      </c>
      <c r="M1274" s="409" t="s">
        <v>4884</v>
      </c>
      <c r="N1274" s="409" t="s">
        <v>4884</v>
      </c>
      <c r="O1274" s="410" t="s">
        <v>4884</v>
      </c>
      <c r="P1274" s="406">
        <v>1271</v>
      </c>
      <c r="Q1274" s="270" t="s">
        <v>2169</v>
      </c>
      <c r="R1274" s="523" t="s">
        <v>1883</v>
      </c>
      <c r="S1274" s="270" t="s">
        <v>1884</v>
      </c>
      <c r="U1274" s="471"/>
      <c r="V1274" s="471"/>
      <c r="W1274" s="471"/>
      <c r="X1274" s="471"/>
      <c r="Y1274" s="206"/>
      <c r="Z1274" s="206"/>
    </row>
    <row r="1275" spans="1:26">
      <c r="A1275" s="406">
        <v>1272</v>
      </c>
      <c r="B1275" s="613" t="s">
        <v>7020</v>
      </c>
      <c r="C1275" s="288" t="s">
        <v>2170</v>
      </c>
      <c r="D1275" s="414" t="s">
        <v>4884</v>
      </c>
      <c r="E1275" s="407" t="s">
        <v>4884</v>
      </c>
      <c r="F1275" s="483"/>
      <c r="G1275" s="483"/>
      <c r="H1275" s="483"/>
      <c r="I1275" s="483"/>
      <c r="J1275" s="483"/>
      <c r="K1275" s="483"/>
      <c r="L1275" s="608" t="s">
        <v>4884</v>
      </c>
      <c r="M1275" s="409" t="s">
        <v>4884</v>
      </c>
      <c r="N1275" s="409" t="s">
        <v>4884</v>
      </c>
      <c r="O1275" s="410" t="s">
        <v>4884</v>
      </c>
      <c r="P1275" s="406">
        <v>1272</v>
      </c>
      <c r="Q1275" s="270" t="s">
        <v>2170</v>
      </c>
      <c r="R1275" s="523" t="s">
        <v>1883</v>
      </c>
      <c r="S1275" s="270" t="s">
        <v>1884</v>
      </c>
      <c r="U1275" s="471"/>
      <c r="V1275" s="471"/>
      <c r="W1275" s="471"/>
      <c r="X1275" s="471"/>
      <c r="Y1275" s="206"/>
      <c r="Z1275" s="206"/>
    </row>
    <row r="1276" spans="1:26">
      <c r="A1276" s="406">
        <v>1273</v>
      </c>
      <c r="B1276" s="613" t="s">
        <v>7020</v>
      </c>
      <c r="C1276" s="288" t="s">
        <v>2171</v>
      </c>
      <c r="D1276" s="414" t="s">
        <v>4884</v>
      </c>
      <c r="E1276" s="407" t="s">
        <v>4884</v>
      </c>
      <c r="F1276" s="483"/>
      <c r="G1276" s="483"/>
      <c r="H1276" s="483"/>
      <c r="I1276" s="483"/>
      <c r="J1276" s="483"/>
      <c r="K1276" s="483"/>
      <c r="L1276" s="608" t="s">
        <v>4884</v>
      </c>
      <c r="M1276" s="409" t="s">
        <v>4884</v>
      </c>
      <c r="N1276" s="409" t="s">
        <v>4884</v>
      </c>
      <c r="O1276" s="410" t="s">
        <v>4884</v>
      </c>
      <c r="P1276" s="406">
        <v>1273</v>
      </c>
      <c r="Q1276" s="270" t="s">
        <v>2171</v>
      </c>
      <c r="R1276" s="523" t="s">
        <v>1883</v>
      </c>
      <c r="S1276" s="270" t="s">
        <v>1884</v>
      </c>
      <c r="U1276" s="471"/>
      <c r="V1276" s="471"/>
      <c r="W1276" s="471"/>
      <c r="X1276" s="471"/>
      <c r="Y1276" s="206"/>
      <c r="Z1276" s="206"/>
    </row>
    <row r="1277" spans="1:26">
      <c r="A1277" s="406">
        <v>1274</v>
      </c>
      <c r="B1277" s="613" t="s">
        <v>7020</v>
      </c>
      <c r="C1277" s="288" t="s">
        <v>2172</v>
      </c>
      <c r="D1277" s="414" t="s">
        <v>4884</v>
      </c>
      <c r="E1277" s="407" t="s">
        <v>4884</v>
      </c>
      <c r="F1277" s="483"/>
      <c r="G1277" s="483"/>
      <c r="H1277" s="483"/>
      <c r="I1277" s="483"/>
      <c r="J1277" s="483"/>
      <c r="K1277" s="483"/>
      <c r="L1277" s="608" t="s">
        <v>4884</v>
      </c>
      <c r="M1277" s="409" t="s">
        <v>4884</v>
      </c>
      <c r="N1277" s="409" t="s">
        <v>4884</v>
      </c>
      <c r="O1277" s="410" t="s">
        <v>4884</v>
      </c>
      <c r="P1277" s="406">
        <v>1274</v>
      </c>
      <c r="Q1277" s="270" t="s">
        <v>2172</v>
      </c>
      <c r="R1277" s="523" t="s">
        <v>1883</v>
      </c>
      <c r="S1277" s="270" t="s">
        <v>1884</v>
      </c>
      <c r="U1277" s="471"/>
      <c r="V1277" s="471"/>
      <c r="W1277" s="471"/>
      <c r="X1277" s="471"/>
      <c r="Y1277" s="206"/>
      <c r="Z1277" s="206"/>
    </row>
    <row r="1278" spans="1:26">
      <c r="A1278" s="406">
        <v>1275</v>
      </c>
      <c r="B1278" s="613" t="s">
        <v>7020</v>
      </c>
      <c r="C1278" s="288" t="s">
        <v>2173</v>
      </c>
      <c r="D1278" s="414" t="s">
        <v>4884</v>
      </c>
      <c r="E1278" s="407" t="s">
        <v>4884</v>
      </c>
      <c r="F1278" s="483"/>
      <c r="G1278" s="483"/>
      <c r="H1278" s="483"/>
      <c r="I1278" s="483"/>
      <c r="J1278" s="483"/>
      <c r="K1278" s="483"/>
      <c r="L1278" s="608" t="s">
        <v>4884</v>
      </c>
      <c r="M1278" s="409" t="s">
        <v>4884</v>
      </c>
      <c r="N1278" s="409" t="s">
        <v>4884</v>
      </c>
      <c r="O1278" s="410" t="s">
        <v>4884</v>
      </c>
      <c r="P1278" s="406">
        <v>1275</v>
      </c>
      <c r="Q1278" s="270" t="s">
        <v>2173</v>
      </c>
      <c r="R1278" s="523" t="s">
        <v>1883</v>
      </c>
      <c r="S1278" s="270" t="s">
        <v>1884</v>
      </c>
      <c r="U1278" s="471"/>
      <c r="V1278" s="471"/>
      <c r="W1278" s="471"/>
      <c r="X1278" s="471"/>
      <c r="Y1278" s="206"/>
      <c r="Z1278" s="206"/>
    </row>
    <row r="1279" spans="1:26">
      <c r="A1279" s="406">
        <v>1276</v>
      </c>
      <c r="B1279" s="613" t="s">
        <v>7020</v>
      </c>
      <c r="C1279" s="288" t="s">
        <v>2174</v>
      </c>
      <c r="D1279" s="414" t="s">
        <v>4884</v>
      </c>
      <c r="E1279" s="407" t="s">
        <v>4884</v>
      </c>
      <c r="F1279" s="483"/>
      <c r="G1279" s="483"/>
      <c r="H1279" s="483"/>
      <c r="I1279" s="483"/>
      <c r="J1279" s="483"/>
      <c r="K1279" s="483"/>
      <c r="L1279" s="608" t="s">
        <v>4884</v>
      </c>
      <c r="M1279" s="409" t="s">
        <v>4884</v>
      </c>
      <c r="N1279" s="409" t="s">
        <v>4884</v>
      </c>
      <c r="O1279" s="410" t="s">
        <v>4884</v>
      </c>
      <c r="P1279" s="406">
        <v>1276</v>
      </c>
      <c r="Q1279" s="270" t="s">
        <v>2174</v>
      </c>
      <c r="R1279" s="523" t="s">
        <v>1883</v>
      </c>
      <c r="S1279" s="270" t="s">
        <v>1884</v>
      </c>
      <c r="U1279" s="471"/>
      <c r="V1279" s="471"/>
      <c r="W1279" s="471"/>
      <c r="X1279" s="471"/>
      <c r="Y1279" s="206"/>
      <c r="Z1279" s="206"/>
    </row>
    <row r="1280" spans="1:26">
      <c r="A1280" s="406">
        <v>1277</v>
      </c>
      <c r="B1280" s="613" t="s">
        <v>7020</v>
      </c>
      <c r="C1280" s="288" t="s">
        <v>2175</v>
      </c>
      <c r="D1280" s="414" t="s">
        <v>4884</v>
      </c>
      <c r="E1280" s="407" t="s">
        <v>4884</v>
      </c>
      <c r="F1280" s="483"/>
      <c r="G1280" s="483"/>
      <c r="H1280" s="483"/>
      <c r="I1280" s="483"/>
      <c r="J1280" s="483"/>
      <c r="K1280" s="483"/>
      <c r="L1280" s="608" t="s">
        <v>4884</v>
      </c>
      <c r="M1280" s="409" t="s">
        <v>4884</v>
      </c>
      <c r="N1280" s="409" t="s">
        <v>4884</v>
      </c>
      <c r="O1280" s="410" t="s">
        <v>4884</v>
      </c>
      <c r="P1280" s="406">
        <v>1277</v>
      </c>
      <c r="Q1280" s="270" t="s">
        <v>2175</v>
      </c>
      <c r="R1280" s="523" t="s">
        <v>1883</v>
      </c>
      <c r="S1280" s="270" t="s">
        <v>1884</v>
      </c>
      <c r="U1280" s="471"/>
      <c r="V1280" s="471"/>
      <c r="W1280" s="471"/>
      <c r="X1280" s="471"/>
      <c r="Y1280" s="206"/>
      <c r="Z1280" s="206"/>
    </row>
    <row r="1281" spans="1:26">
      <c r="A1281" s="406">
        <v>1278</v>
      </c>
      <c r="B1281" s="613" t="s">
        <v>7020</v>
      </c>
      <c r="C1281" s="288" t="s">
        <v>2176</v>
      </c>
      <c r="D1281" s="414" t="s">
        <v>4884</v>
      </c>
      <c r="E1281" s="407" t="s">
        <v>4884</v>
      </c>
      <c r="F1281" s="483"/>
      <c r="G1281" s="483"/>
      <c r="H1281" s="483"/>
      <c r="I1281" s="483"/>
      <c r="J1281" s="483"/>
      <c r="K1281" s="483"/>
      <c r="L1281" s="608" t="s">
        <v>4884</v>
      </c>
      <c r="M1281" s="409" t="s">
        <v>4884</v>
      </c>
      <c r="N1281" s="409" t="s">
        <v>4884</v>
      </c>
      <c r="O1281" s="410" t="s">
        <v>4884</v>
      </c>
      <c r="P1281" s="406">
        <v>1278</v>
      </c>
      <c r="Q1281" s="270" t="s">
        <v>2176</v>
      </c>
      <c r="R1281" s="523" t="s">
        <v>1883</v>
      </c>
      <c r="S1281" s="270" t="s">
        <v>1884</v>
      </c>
      <c r="U1281" s="471"/>
      <c r="V1281" s="471"/>
      <c r="W1281" s="471"/>
      <c r="X1281" s="471"/>
      <c r="Y1281" s="206"/>
      <c r="Z1281" s="206"/>
    </row>
    <row r="1282" spans="1:26">
      <c r="A1282" s="406">
        <v>1279</v>
      </c>
      <c r="B1282" s="613" t="s">
        <v>7020</v>
      </c>
      <c r="C1282" s="288" t="s">
        <v>2177</v>
      </c>
      <c r="D1282" s="414" t="s">
        <v>4884</v>
      </c>
      <c r="E1282" s="407" t="s">
        <v>4884</v>
      </c>
      <c r="F1282" s="483"/>
      <c r="G1282" s="483"/>
      <c r="H1282" s="483"/>
      <c r="I1282" s="483"/>
      <c r="J1282" s="483"/>
      <c r="K1282" s="483"/>
      <c r="L1282" s="608" t="s">
        <v>4884</v>
      </c>
      <c r="M1282" s="409" t="s">
        <v>4884</v>
      </c>
      <c r="N1282" s="409" t="s">
        <v>4884</v>
      </c>
      <c r="O1282" s="410" t="s">
        <v>4884</v>
      </c>
      <c r="P1282" s="406">
        <v>1279</v>
      </c>
      <c r="Q1282" s="270" t="s">
        <v>2177</v>
      </c>
      <c r="R1282" s="523" t="s">
        <v>1883</v>
      </c>
      <c r="S1282" s="270" t="s">
        <v>1884</v>
      </c>
      <c r="U1282" s="471"/>
      <c r="V1282" s="471"/>
      <c r="W1282" s="471"/>
      <c r="X1282" s="471"/>
      <c r="Y1282" s="206"/>
      <c r="Z1282" s="206"/>
    </row>
    <row r="1283" spans="1:26">
      <c r="A1283" s="406">
        <v>1280</v>
      </c>
      <c r="B1283" s="613" t="s">
        <v>7020</v>
      </c>
      <c r="C1283" s="288" t="s">
        <v>2178</v>
      </c>
      <c r="D1283" s="414" t="s">
        <v>4884</v>
      </c>
      <c r="E1283" s="407" t="s">
        <v>4884</v>
      </c>
      <c r="F1283" s="483"/>
      <c r="G1283" s="483"/>
      <c r="H1283" s="483"/>
      <c r="I1283" s="483"/>
      <c r="J1283" s="483"/>
      <c r="K1283" s="483"/>
      <c r="L1283" s="608" t="s">
        <v>4884</v>
      </c>
      <c r="M1283" s="409" t="s">
        <v>4884</v>
      </c>
      <c r="N1283" s="409" t="s">
        <v>4884</v>
      </c>
      <c r="O1283" s="410" t="s">
        <v>4884</v>
      </c>
      <c r="P1283" s="406">
        <v>1280</v>
      </c>
      <c r="Q1283" s="270" t="s">
        <v>2178</v>
      </c>
      <c r="R1283" s="523" t="s">
        <v>1883</v>
      </c>
      <c r="S1283" s="270" t="s">
        <v>1884</v>
      </c>
      <c r="U1283" s="471"/>
      <c r="V1283" s="471"/>
      <c r="W1283" s="471"/>
      <c r="X1283" s="471"/>
      <c r="Y1283" s="206"/>
      <c r="Z1283" s="206"/>
    </row>
    <row r="1284" spans="1:26">
      <c r="A1284" s="406">
        <v>1281</v>
      </c>
      <c r="B1284" s="613" t="s">
        <v>7020</v>
      </c>
      <c r="C1284" s="288" t="s">
        <v>2179</v>
      </c>
      <c r="D1284" s="414" t="s">
        <v>4884</v>
      </c>
      <c r="E1284" s="407" t="s">
        <v>4884</v>
      </c>
      <c r="F1284" s="483"/>
      <c r="G1284" s="483"/>
      <c r="H1284" s="483"/>
      <c r="I1284" s="483"/>
      <c r="J1284" s="483"/>
      <c r="K1284" s="483"/>
      <c r="L1284" s="608" t="s">
        <v>4884</v>
      </c>
      <c r="M1284" s="409" t="s">
        <v>4884</v>
      </c>
      <c r="N1284" s="409" t="s">
        <v>4884</v>
      </c>
      <c r="O1284" s="410" t="s">
        <v>4884</v>
      </c>
      <c r="P1284" s="406">
        <v>1281</v>
      </c>
      <c r="Q1284" s="270" t="s">
        <v>2179</v>
      </c>
      <c r="R1284" s="523" t="s">
        <v>1883</v>
      </c>
      <c r="S1284" s="270" t="s">
        <v>1884</v>
      </c>
      <c r="U1284" s="471"/>
      <c r="V1284" s="471"/>
      <c r="W1284" s="471"/>
      <c r="X1284" s="471"/>
      <c r="Y1284" s="206"/>
      <c r="Z1284" s="206"/>
    </row>
    <row r="1285" spans="1:26">
      <c r="A1285" s="406">
        <v>1282</v>
      </c>
      <c r="B1285" s="613" t="s">
        <v>7020</v>
      </c>
      <c r="C1285" s="288" t="s">
        <v>2180</v>
      </c>
      <c r="D1285" s="414" t="s">
        <v>4884</v>
      </c>
      <c r="E1285" s="407" t="s">
        <v>4884</v>
      </c>
      <c r="F1285" s="483"/>
      <c r="G1285" s="483"/>
      <c r="H1285" s="483"/>
      <c r="I1285" s="483"/>
      <c r="J1285" s="483"/>
      <c r="K1285" s="483"/>
      <c r="L1285" s="608" t="s">
        <v>4884</v>
      </c>
      <c r="M1285" s="409" t="s">
        <v>4884</v>
      </c>
      <c r="N1285" s="409" t="s">
        <v>4884</v>
      </c>
      <c r="O1285" s="410" t="s">
        <v>4884</v>
      </c>
      <c r="P1285" s="406">
        <v>1282</v>
      </c>
      <c r="Q1285" s="270" t="s">
        <v>2180</v>
      </c>
      <c r="R1285" s="523" t="s">
        <v>1883</v>
      </c>
      <c r="S1285" s="270" t="s">
        <v>1884</v>
      </c>
      <c r="U1285" s="471"/>
      <c r="V1285" s="471"/>
      <c r="W1285" s="471"/>
      <c r="X1285" s="471"/>
      <c r="Y1285" s="206"/>
      <c r="Z1285" s="206"/>
    </row>
    <row r="1286" spans="1:26">
      <c r="A1286" s="406">
        <v>1283</v>
      </c>
      <c r="B1286" s="613" t="s">
        <v>7020</v>
      </c>
      <c r="C1286" s="288" t="s">
        <v>2181</v>
      </c>
      <c r="D1286" s="414" t="s">
        <v>4884</v>
      </c>
      <c r="E1286" s="407" t="s">
        <v>4884</v>
      </c>
      <c r="F1286" s="483"/>
      <c r="G1286" s="483"/>
      <c r="H1286" s="483"/>
      <c r="I1286" s="483"/>
      <c r="J1286" s="483"/>
      <c r="K1286" s="483"/>
      <c r="L1286" s="608" t="s">
        <v>4884</v>
      </c>
      <c r="M1286" s="409" t="s">
        <v>4884</v>
      </c>
      <c r="N1286" s="409" t="s">
        <v>4884</v>
      </c>
      <c r="O1286" s="410" t="s">
        <v>4884</v>
      </c>
      <c r="P1286" s="406">
        <v>1283</v>
      </c>
      <c r="Q1286" s="270" t="s">
        <v>2181</v>
      </c>
      <c r="R1286" s="523" t="s">
        <v>1883</v>
      </c>
      <c r="S1286" s="270" t="s">
        <v>1884</v>
      </c>
      <c r="U1286" s="471"/>
      <c r="V1286" s="471"/>
      <c r="W1286" s="471"/>
      <c r="X1286" s="471"/>
      <c r="Y1286" s="206"/>
      <c r="Z1286" s="206"/>
    </row>
    <row r="1287" spans="1:26">
      <c r="A1287" s="406">
        <v>1284</v>
      </c>
      <c r="B1287" s="613" t="s">
        <v>7020</v>
      </c>
      <c r="C1287" s="288" t="s">
        <v>2182</v>
      </c>
      <c r="D1287" s="414" t="s">
        <v>4884</v>
      </c>
      <c r="E1287" s="407" t="s">
        <v>4884</v>
      </c>
      <c r="F1287" s="483"/>
      <c r="G1287" s="483"/>
      <c r="H1287" s="483"/>
      <c r="I1287" s="483"/>
      <c r="J1287" s="483"/>
      <c r="K1287" s="483"/>
      <c r="L1287" s="608" t="s">
        <v>4884</v>
      </c>
      <c r="M1287" s="409" t="s">
        <v>4884</v>
      </c>
      <c r="N1287" s="409" t="s">
        <v>4884</v>
      </c>
      <c r="O1287" s="410" t="s">
        <v>4884</v>
      </c>
      <c r="P1287" s="406">
        <v>1284</v>
      </c>
      <c r="Q1287" s="270" t="s">
        <v>2182</v>
      </c>
      <c r="R1287" s="523" t="s">
        <v>1883</v>
      </c>
      <c r="S1287" s="270" t="s">
        <v>1884</v>
      </c>
      <c r="U1287" s="471"/>
      <c r="V1287" s="471"/>
      <c r="W1287" s="471"/>
      <c r="X1287" s="471"/>
      <c r="Y1287" s="206"/>
      <c r="Z1287" s="206"/>
    </row>
    <row r="1288" spans="1:26">
      <c r="A1288" s="406">
        <v>1285</v>
      </c>
      <c r="B1288" s="613" t="s">
        <v>7020</v>
      </c>
      <c r="C1288" s="288" t="s">
        <v>2183</v>
      </c>
      <c r="D1288" s="414" t="s">
        <v>4884</v>
      </c>
      <c r="E1288" s="407" t="s">
        <v>4884</v>
      </c>
      <c r="F1288" s="483"/>
      <c r="G1288" s="483"/>
      <c r="H1288" s="483"/>
      <c r="I1288" s="483"/>
      <c r="J1288" s="483"/>
      <c r="K1288" s="483"/>
      <c r="L1288" s="608" t="s">
        <v>4884</v>
      </c>
      <c r="M1288" s="409" t="s">
        <v>4884</v>
      </c>
      <c r="N1288" s="409" t="s">
        <v>4884</v>
      </c>
      <c r="O1288" s="410" t="s">
        <v>4884</v>
      </c>
      <c r="P1288" s="406">
        <v>1285</v>
      </c>
      <c r="Q1288" s="270" t="s">
        <v>2183</v>
      </c>
      <c r="R1288" s="523" t="s">
        <v>1883</v>
      </c>
      <c r="S1288" s="270" t="s">
        <v>1884</v>
      </c>
      <c r="U1288" s="471"/>
      <c r="V1288" s="471"/>
      <c r="W1288" s="471"/>
      <c r="X1288" s="471"/>
      <c r="Y1288" s="206"/>
      <c r="Z1288" s="206"/>
    </row>
    <row r="1289" spans="1:26">
      <c r="A1289" s="406">
        <v>1286</v>
      </c>
      <c r="B1289" s="613" t="s">
        <v>7020</v>
      </c>
      <c r="C1289" s="288" t="s">
        <v>2184</v>
      </c>
      <c r="D1289" s="414" t="s">
        <v>4884</v>
      </c>
      <c r="E1289" s="407" t="s">
        <v>4884</v>
      </c>
      <c r="F1289" s="483"/>
      <c r="G1289" s="483"/>
      <c r="H1289" s="483"/>
      <c r="I1289" s="483"/>
      <c r="J1289" s="483"/>
      <c r="K1289" s="483"/>
      <c r="L1289" s="608" t="s">
        <v>4884</v>
      </c>
      <c r="M1289" s="409" t="s">
        <v>4884</v>
      </c>
      <c r="N1289" s="409" t="s">
        <v>4884</v>
      </c>
      <c r="O1289" s="410" t="s">
        <v>4884</v>
      </c>
      <c r="P1289" s="406">
        <v>1286</v>
      </c>
      <c r="Q1289" s="270" t="s">
        <v>2184</v>
      </c>
      <c r="R1289" s="523" t="s">
        <v>1883</v>
      </c>
      <c r="S1289" s="270" t="s">
        <v>1884</v>
      </c>
      <c r="U1289" s="471"/>
      <c r="V1289" s="471"/>
      <c r="W1289" s="471"/>
      <c r="X1289" s="471"/>
      <c r="Y1289" s="206"/>
      <c r="Z1289" s="206"/>
    </row>
    <row r="1290" spans="1:26">
      <c r="A1290" s="406">
        <v>1287</v>
      </c>
      <c r="B1290" s="613" t="s">
        <v>7020</v>
      </c>
      <c r="C1290" s="288" t="s">
        <v>2185</v>
      </c>
      <c r="D1290" s="414" t="s">
        <v>4884</v>
      </c>
      <c r="E1290" s="407" t="s">
        <v>4884</v>
      </c>
      <c r="F1290" s="483"/>
      <c r="G1290" s="483"/>
      <c r="H1290" s="483"/>
      <c r="I1290" s="483"/>
      <c r="J1290" s="483"/>
      <c r="K1290" s="483"/>
      <c r="L1290" s="608" t="s">
        <v>4884</v>
      </c>
      <c r="M1290" s="409" t="s">
        <v>4884</v>
      </c>
      <c r="N1290" s="409" t="s">
        <v>4884</v>
      </c>
      <c r="O1290" s="410" t="s">
        <v>4884</v>
      </c>
      <c r="P1290" s="406">
        <v>1287</v>
      </c>
      <c r="Q1290" s="270" t="s">
        <v>2185</v>
      </c>
      <c r="R1290" s="523" t="s">
        <v>1883</v>
      </c>
      <c r="S1290" s="270" t="s">
        <v>1884</v>
      </c>
      <c r="U1290" s="471"/>
      <c r="V1290" s="471"/>
      <c r="W1290" s="471"/>
      <c r="X1290" s="471"/>
      <c r="Y1290" s="206"/>
      <c r="Z1290" s="206"/>
    </row>
    <row r="1291" spans="1:26">
      <c r="A1291" s="406">
        <v>1288</v>
      </c>
      <c r="B1291" s="613" t="s">
        <v>7020</v>
      </c>
      <c r="C1291" s="288" t="s">
        <v>2186</v>
      </c>
      <c r="D1291" s="414" t="s">
        <v>4884</v>
      </c>
      <c r="E1291" s="407" t="s">
        <v>4884</v>
      </c>
      <c r="F1291" s="483"/>
      <c r="G1291" s="483"/>
      <c r="H1291" s="483"/>
      <c r="I1291" s="483"/>
      <c r="J1291" s="483"/>
      <c r="K1291" s="483"/>
      <c r="L1291" s="608" t="s">
        <v>4884</v>
      </c>
      <c r="M1291" s="409" t="s">
        <v>4884</v>
      </c>
      <c r="N1291" s="409" t="s">
        <v>4884</v>
      </c>
      <c r="O1291" s="410" t="s">
        <v>4884</v>
      </c>
      <c r="P1291" s="406">
        <v>1288</v>
      </c>
      <c r="Q1291" s="270" t="s">
        <v>2186</v>
      </c>
      <c r="R1291" s="523" t="s">
        <v>1883</v>
      </c>
      <c r="S1291" s="270" t="s">
        <v>1884</v>
      </c>
      <c r="U1291" s="471"/>
      <c r="V1291" s="471"/>
      <c r="W1291" s="471"/>
      <c r="X1291" s="471"/>
      <c r="Y1291" s="206"/>
      <c r="Z1291" s="206"/>
    </row>
    <row r="1292" spans="1:26">
      <c r="A1292" s="406">
        <v>1289</v>
      </c>
      <c r="B1292" s="613" t="s">
        <v>7020</v>
      </c>
      <c r="C1292" s="288" t="s">
        <v>2187</v>
      </c>
      <c r="D1292" s="414" t="s">
        <v>4884</v>
      </c>
      <c r="E1292" s="407" t="s">
        <v>4884</v>
      </c>
      <c r="F1292" s="483"/>
      <c r="G1292" s="483"/>
      <c r="H1292" s="483"/>
      <c r="I1292" s="483"/>
      <c r="J1292" s="483"/>
      <c r="K1292" s="483"/>
      <c r="L1292" s="608" t="s">
        <v>4884</v>
      </c>
      <c r="M1292" s="409" t="s">
        <v>4884</v>
      </c>
      <c r="N1292" s="409" t="s">
        <v>4884</v>
      </c>
      <c r="O1292" s="410" t="s">
        <v>4884</v>
      </c>
      <c r="P1292" s="406">
        <v>1289</v>
      </c>
      <c r="Q1292" s="270" t="s">
        <v>2187</v>
      </c>
      <c r="R1292" s="523" t="s">
        <v>1883</v>
      </c>
      <c r="S1292" s="270" t="s">
        <v>1884</v>
      </c>
      <c r="U1292" s="471"/>
      <c r="V1292" s="471"/>
      <c r="W1292" s="471"/>
      <c r="X1292" s="471"/>
      <c r="Y1292" s="206"/>
      <c r="Z1292" s="206"/>
    </row>
    <row r="1293" spans="1:26">
      <c r="A1293" s="406">
        <v>1290</v>
      </c>
      <c r="B1293" s="613" t="s">
        <v>7020</v>
      </c>
      <c r="C1293" s="288" t="s">
        <v>2188</v>
      </c>
      <c r="D1293" s="414" t="s">
        <v>4884</v>
      </c>
      <c r="E1293" s="407" t="s">
        <v>4884</v>
      </c>
      <c r="F1293" s="483"/>
      <c r="G1293" s="483"/>
      <c r="H1293" s="483"/>
      <c r="I1293" s="483"/>
      <c r="J1293" s="483"/>
      <c r="K1293" s="483"/>
      <c r="L1293" s="608" t="s">
        <v>4884</v>
      </c>
      <c r="M1293" s="409" t="s">
        <v>4884</v>
      </c>
      <c r="N1293" s="409" t="s">
        <v>4884</v>
      </c>
      <c r="O1293" s="410" t="s">
        <v>4884</v>
      </c>
      <c r="P1293" s="406">
        <v>1290</v>
      </c>
      <c r="Q1293" s="270" t="s">
        <v>2188</v>
      </c>
      <c r="R1293" s="523" t="s">
        <v>1883</v>
      </c>
      <c r="S1293" s="270" t="s">
        <v>1884</v>
      </c>
      <c r="U1293" s="471"/>
      <c r="V1293" s="471"/>
      <c r="W1293" s="471"/>
      <c r="X1293" s="471"/>
      <c r="Y1293" s="206"/>
      <c r="Z1293" s="206"/>
    </row>
    <row r="1294" spans="1:26">
      <c r="A1294" s="406">
        <v>1291</v>
      </c>
      <c r="B1294" s="613" t="s">
        <v>7020</v>
      </c>
      <c r="C1294" s="288" t="s">
        <v>2189</v>
      </c>
      <c r="D1294" s="414" t="s">
        <v>4884</v>
      </c>
      <c r="E1294" s="407" t="s">
        <v>4884</v>
      </c>
      <c r="F1294" s="483"/>
      <c r="G1294" s="483"/>
      <c r="H1294" s="483"/>
      <c r="I1294" s="483"/>
      <c r="J1294" s="483"/>
      <c r="K1294" s="483"/>
      <c r="L1294" s="608" t="s">
        <v>4884</v>
      </c>
      <c r="M1294" s="409" t="s">
        <v>4884</v>
      </c>
      <c r="N1294" s="409" t="s">
        <v>4884</v>
      </c>
      <c r="O1294" s="410" t="s">
        <v>4884</v>
      </c>
      <c r="P1294" s="406">
        <v>1291</v>
      </c>
      <c r="Q1294" s="270" t="s">
        <v>2189</v>
      </c>
      <c r="R1294" s="523" t="s">
        <v>1883</v>
      </c>
      <c r="S1294" s="270" t="s">
        <v>1884</v>
      </c>
      <c r="U1294" s="471"/>
      <c r="V1294" s="471"/>
      <c r="W1294" s="471"/>
      <c r="X1294" s="471"/>
      <c r="Y1294" s="206"/>
      <c r="Z1294" s="206"/>
    </row>
    <row r="1295" spans="1:26">
      <c r="A1295" s="406">
        <v>1292</v>
      </c>
      <c r="B1295" s="613" t="s">
        <v>7020</v>
      </c>
      <c r="C1295" s="288" t="s">
        <v>2190</v>
      </c>
      <c r="D1295" s="414" t="s">
        <v>4884</v>
      </c>
      <c r="E1295" s="407" t="s">
        <v>4884</v>
      </c>
      <c r="F1295" s="483"/>
      <c r="G1295" s="483"/>
      <c r="H1295" s="483"/>
      <c r="I1295" s="483"/>
      <c r="J1295" s="483"/>
      <c r="K1295" s="483"/>
      <c r="L1295" s="608" t="s">
        <v>4884</v>
      </c>
      <c r="M1295" s="409" t="s">
        <v>4884</v>
      </c>
      <c r="N1295" s="409" t="s">
        <v>4884</v>
      </c>
      <c r="O1295" s="410" t="s">
        <v>4884</v>
      </c>
      <c r="P1295" s="406">
        <v>1292</v>
      </c>
      <c r="Q1295" s="270" t="s">
        <v>2190</v>
      </c>
      <c r="R1295" s="523" t="s">
        <v>1883</v>
      </c>
      <c r="S1295" s="270" t="s">
        <v>1884</v>
      </c>
      <c r="U1295" s="471"/>
      <c r="V1295" s="471"/>
      <c r="W1295" s="471"/>
      <c r="X1295" s="471"/>
      <c r="Y1295" s="206"/>
      <c r="Z1295" s="206"/>
    </row>
    <row r="1296" spans="1:26">
      <c r="A1296" s="406">
        <v>1293</v>
      </c>
      <c r="B1296" s="613" t="s">
        <v>7020</v>
      </c>
      <c r="C1296" s="288" t="s">
        <v>2191</v>
      </c>
      <c r="D1296" s="414" t="s">
        <v>4884</v>
      </c>
      <c r="E1296" s="407" t="s">
        <v>4884</v>
      </c>
      <c r="F1296" s="483"/>
      <c r="G1296" s="483"/>
      <c r="H1296" s="483"/>
      <c r="I1296" s="483"/>
      <c r="J1296" s="483"/>
      <c r="K1296" s="483"/>
      <c r="L1296" s="608" t="s">
        <v>4884</v>
      </c>
      <c r="M1296" s="409" t="s">
        <v>4884</v>
      </c>
      <c r="N1296" s="409" t="s">
        <v>4884</v>
      </c>
      <c r="O1296" s="410" t="s">
        <v>4884</v>
      </c>
      <c r="P1296" s="406">
        <v>1293</v>
      </c>
      <c r="Q1296" s="270" t="s">
        <v>2191</v>
      </c>
      <c r="R1296" s="523" t="s">
        <v>1883</v>
      </c>
      <c r="S1296" s="270" t="s">
        <v>1884</v>
      </c>
      <c r="U1296" s="471"/>
      <c r="V1296" s="471"/>
      <c r="W1296" s="471"/>
      <c r="X1296" s="471"/>
      <c r="Y1296" s="206"/>
      <c r="Z1296" s="206"/>
    </row>
    <row r="1297" spans="1:26">
      <c r="A1297" s="406">
        <v>1294</v>
      </c>
      <c r="B1297" s="613" t="s">
        <v>7020</v>
      </c>
      <c r="C1297" s="288" t="s">
        <v>2192</v>
      </c>
      <c r="D1297" s="414" t="s">
        <v>4884</v>
      </c>
      <c r="E1297" s="407" t="s">
        <v>4884</v>
      </c>
      <c r="F1297" s="483"/>
      <c r="G1297" s="483"/>
      <c r="H1297" s="483"/>
      <c r="I1297" s="483"/>
      <c r="J1297" s="483"/>
      <c r="K1297" s="483"/>
      <c r="L1297" s="608" t="s">
        <v>4884</v>
      </c>
      <c r="M1297" s="409" t="s">
        <v>4884</v>
      </c>
      <c r="N1297" s="409" t="s">
        <v>4884</v>
      </c>
      <c r="O1297" s="410" t="s">
        <v>4884</v>
      </c>
      <c r="P1297" s="406">
        <v>1294</v>
      </c>
      <c r="Q1297" s="270" t="s">
        <v>2192</v>
      </c>
      <c r="R1297" s="523" t="s">
        <v>1883</v>
      </c>
      <c r="S1297" s="270" t="s">
        <v>1884</v>
      </c>
      <c r="U1297" s="471"/>
      <c r="V1297" s="471"/>
      <c r="W1297" s="471"/>
      <c r="X1297" s="471"/>
      <c r="Y1297" s="206"/>
      <c r="Z1297" s="206"/>
    </row>
    <row r="1298" spans="1:26">
      <c r="A1298" s="406">
        <v>1295</v>
      </c>
      <c r="B1298" s="613" t="s">
        <v>7020</v>
      </c>
      <c r="C1298" s="288" t="s">
        <v>2193</v>
      </c>
      <c r="D1298" s="414" t="s">
        <v>4884</v>
      </c>
      <c r="E1298" s="407" t="s">
        <v>4884</v>
      </c>
      <c r="F1298" s="483"/>
      <c r="G1298" s="483"/>
      <c r="H1298" s="483"/>
      <c r="I1298" s="483"/>
      <c r="J1298" s="483"/>
      <c r="K1298" s="483"/>
      <c r="L1298" s="608" t="s">
        <v>4884</v>
      </c>
      <c r="M1298" s="409" t="s">
        <v>4884</v>
      </c>
      <c r="N1298" s="409" t="s">
        <v>4884</v>
      </c>
      <c r="O1298" s="410" t="s">
        <v>4884</v>
      </c>
      <c r="P1298" s="406">
        <v>1295</v>
      </c>
      <c r="Q1298" s="270" t="s">
        <v>2193</v>
      </c>
      <c r="R1298" s="523" t="s">
        <v>1883</v>
      </c>
      <c r="S1298" s="270" t="s">
        <v>1884</v>
      </c>
      <c r="U1298" s="471"/>
      <c r="V1298" s="471"/>
      <c r="W1298" s="471"/>
      <c r="X1298" s="471"/>
      <c r="Y1298" s="206"/>
      <c r="Z1298" s="206"/>
    </row>
    <row r="1299" spans="1:26">
      <c r="A1299" s="406">
        <v>1296</v>
      </c>
      <c r="B1299" s="613" t="s">
        <v>7020</v>
      </c>
      <c r="C1299" s="288" t="s">
        <v>2194</v>
      </c>
      <c r="D1299" s="414" t="s">
        <v>4884</v>
      </c>
      <c r="E1299" s="407" t="s">
        <v>4884</v>
      </c>
      <c r="F1299" s="483"/>
      <c r="G1299" s="483"/>
      <c r="H1299" s="483"/>
      <c r="I1299" s="483"/>
      <c r="J1299" s="483"/>
      <c r="K1299" s="483"/>
      <c r="L1299" s="608" t="s">
        <v>4884</v>
      </c>
      <c r="M1299" s="409" t="s">
        <v>4884</v>
      </c>
      <c r="N1299" s="409" t="s">
        <v>4884</v>
      </c>
      <c r="O1299" s="410" t="s">
        <v>4884</v>
      </c>
      <c r="P1299" s="406">
        <v>1296</v>
      </c>
      <c r="Q1299" s="270" t="s">
        <v>2194</v>
      </c>
      <c r="R1299" s="523" t="s">
        <v>1883</v>
      </c>
      <c r="S1299" s="270" t="s">
        <v>1884</v>
      </c>
      <c r="U1299" s="471"/>
      <c r="V1299" s="471"/>
      <c r="W1299" s="471"/>
      <c r="X1299" s="471"/>
      <c r="Y1299" s="206"/>
      <c r="Z1299" s="206"/>
    </row>
    <row r="1300" spans="1:26">
      <c r="A1300" s="406">
        <v>1297</v>
      </c>
      <c r="B1300" s="613" t="s">
        <v>7020</v>
      </c>
      <c r="C1300" s="288" t="s">
        <v>2195</v>
      </c>
      <c r="D1300" s="414" t="s">
        <v>4884</v>
      </c>
      <c r="E1300" s="407" t="s">
        <v>4884</v>
      </c>
      <c r="F1300" s="483"/>
      <c r="G1300" s="483"/>
      <c r="H1300" s="483"/>
      <c r="I1300" s="483"/>
      <c r="J1300" s="483"/>
      <c r="K1300" s="483"/>
      <c r="L1300" s="608" t="s">
        <v>4884</v>
      </c>
      <c r="M1300" s="409" t="s">
        <v>4884</v>
      </c>
      <c r="N1300" s="409" t="s">
        <v>4884</v>
      </c>
      <c r="O1300" s="410" t="s">
        <v>4884</v>
      </c>
      <c r="P1300" s="406">
        <v>1297</v>
      </c>
      <c r="Q1300" s="270" t="s">
        <v>2195</v>
      </c>
      <c r="R1300" s="523" t="s">
        <v>1883</v>
      </c>
      <c r="S1300" s="270" t="s">
        <v>1884</v>
      </c>
      <c r="U1300" s="471"/>
      <c r="V1300" s="471"/>
      <c r="W1300" s="471"/>
      <c r="X1300" s="471"/>
      <c r="Y1300" s="206"/>
      <c r="Z1300" s="206"/>
    </row>
    <row r="1301" spans="1:26">
      <c r="A1301" s="406">
        <v>1298</v>
      </c>
      <c r="B1301" s="613" t="s">
        <v>7020</v>
      </c>
      <c r="C1301" s="288" t="s">
        <v>2196</v>
      </c>
      <c r="D1301" s="414" t="s">
        <v>4884</v>
      </c>
      <c r="E1301" s="407" t="s">
        <v>4884</v>
      </c>
      <c r="F1301" s="483"/>
      <c r="G1301" s="483"/>
      <c r="H1301" s="483"/>
      <c r="I1301" s="483"/>
      <c r="J1301" s="483"/>
      <c r="K1301" s="483"/>
      <c r="L1301" s="608" t="s">
        <v>4884</v>
      </c>
      <c r="M1301" s="409" t="s">
        <v>4884</v>
      </c>
      <c r="N1301" s="409" t="s">
        <v>4884</v>
      </c>
      <c r="O1301" s="410" t="s">
        <v>4884</v>
      </c>
      <c r="P1301" s="406">
        <v>1298</v>
      </c>
      <c r="Q1301" s="270" t="s">
        <v>2196</v>
      </c>
      <c r="R1301" s="523" t="s">
        <v>1883</v>
      </c>
      <c r="S1301" s="270" t="s">
        <v>1884</v>
      </c>
      <c r="U1301" s="471"/>
      <c r="V1301" s="471"/>
      <c r="W1301" s="471"/>
      <c r="X1301" s="471"/>
      <c r="Y1301" s="206"/>
      <c r="Z1301" s="206"/>
    </row>
    <row r="1302" spans="1:26">
      <c r="A1302" s="406">
        <v>1299</v>
      </c>
      <c r="B1302" s="613" t="s">
        <v>7020</v>
      </c>
      <c r="C1302" s="288" t="s">
        <v>2197</v>
      </c>
      <c r="D1302" s="414" t="s">
        <v>4884</v>
      </c>
      <c r="E1302" s="407" t="s">
        <v>4884</v>
      </c>
      <c r="F1302" s="483"/>
      <c r="G1302" s="483"/>
      <c r="H1302" s="483"/>
      <c r="I1302" s="483"/>
      <c r="J1302" s="483"/>
      <c r="K1302" s="483"/>
      <c r="L1302" s="608" t="s">
        <v>4884</v>
      </c>
      <c r="M1302" s="409" t="s">
        <v>4884</v>
      </c>
      <c r="N1302" s="409" t="s">
        <v>4884</v>
      </c>
      <c r="O1302" s="410" t="s">
        <v>4884</v>
      </c>
      <c r="P1302" s="406">
        <v>1299</v>
      </c>
      <c r="Q1302" s="270" t="s">
        <v>2197</v>
      </c>
      <c r="R1302" s="523" t="s">
        <v>1883</v>
      </c>
      <c r="S1302" s="270" t="s">
        <v>1884</v>
      </c>
      <c r="U1302" s="471"/>
      <c r="V1302" s="471"/>
      <c r="W1302" s="471"/>
      <c r="X1302" s="471"/>
      <c r="Y1302" s="206"/>
      <c r="Z1302" s="206"/>
    </row>
    <row r="1303" spans="1:26">
      <c r="A1303" s="406">
        <v>1300</v>
      </c>
      <c r="B1303" s="613" t="s">
        <v>7020</v>
      </c>
      <c r="C1303" s="288" t="s">
        <v>2198</v>
      </c>
      <c r="D1303" s="414" t="s">
        <v>4884</v>
      </c>
      <c r="E1303" s="407" t="s">
        <v>4884</v>
      </c>
      <c r="F1303" s="483"/>
      <c r="G1303" s="483"/>
      <c r="H1303" s="483"/>
      <c r="I1303" s="483"/>
      <c r="J1303" s="483"/>
      <c r="K1303" s="483"/>
      <c r="L1303" s="608" t="s">
        <v>4884</v>
      </c>
      <c r="M1303" s="409" t="s">
        <v>4884</v>
      </c>
      <c r="N1303" s="409" t="s">
        <v>4884</v>
      </c>
      <c r="O1303" s="410" t="s">
        <v>4884</v>
      </c>
      <c r="P1303" s="406">
        <v>1300</v>
      </c>
      <c r="Q1303" s="270" t="s">
        <v>2198</v>
      </c>
      <c r="R1303" s="523" t="s">
        <v>1883</v>
      </c>
      <c r="S1303" s="270" t="s">
        <v>1884</v>
      </c>
      <c r="U1303" s="471"/>
      <c r="V1303" s="471"/>
      <c r="W1303" s="471"/>
      <c r="X1303" s="471"/>
      <c r="Y1303" s="206"/>
      <c r="Z1303" s="206"/>
    </row>
    <row r="1304" spans="1:26">
      <c r="A1304" s="406">
        <v>1301</v>
      </c>
      <c r="B1304" s="613" t="s">
        <v>7020</v>
      </c>
      <c r="C1304" s="288" t="s">
        <v>2199</v>
      </c>
      <c r="D1304" s="414" t="s">
        <v>4884</v>
      </c>
      <c r="E1304" s="407" t="s">
        <v>4884</v>
      </c>
      <c r="F1304" s="483"/>
      <c r="G1304" s="483"/>
      <c r="H1304" s="483"/>
      <c r="I1304" s="483"/>
      <c r="J1304" s="483"/>
      <c r="K1304" s="483"/>
      <c r="L1304" s="608" t="s">
        <v>4884</v>
      </c>
      <c r="M1304" s="409" t="s">
        <v>4884</v>
      </c>
      <c r="N1304" s="409" t="s">
        <v>4884</v>
      </c>
      <c r="O1304" s="410" t="s">
        <v>4884</v>
      </c>
      <c r="P1304" s="406">
        <v>1301</v>
      </c>
      <c r="Q1304" s="270" t="s">
        <v>2199</v>
      </c>
      <c r="R1304" s="523" t="s">
        <v>1883</v>
      </c>
      <c r="S1304" s="270" t="s">
        <v>1884</v>
      </c>
      <c r="U1304" s="471"/>
      <c r="V1304" s="471"/>
      <c r="W1304" s="471"/>
      <c r="X1304" s="471"/>
      <c r="Y1304" s="206"/>
      <c r="Z1304" s="206"/>
    </row>
    <row r="1305" spans="1:26">
      <c r="A1305" s="406">
        <v>1302</v>
      </c>
      <c r="B1305" s="613" t="s">
        <v>7020</v>
      </c>
      <c r="C1305" s="288" t="s">
        <v>2200</v>
      </c>
      <c r="D1305" s="414" t="s">
        <v>4884</v>
      </c>
      <c r="E1305" s="407" t="s">
        <v>4884</v>
      </c>
      <c r="F1305" s="483"/>
      <c r="G1305" s="483"/>
      <c r="H1305" s="483"/>
      <c r="I1305" s="483"/>
      <c r="J1305" s="483"/>
      <c r="K1305" s="483"/>
      <c r="L1305" s="608" t="s">
        <v>4884</v>
      </c>
      <c r="M1305" s="409" t="s">
        <v>4884</v>
      </c>
      <c r="N1305" s="409" t="s">
        <v>4884</v>
      </c>
      <c r="O1305" s="410" t="s">
        <v>4884</v>
      </c>
      <c r="P1305" s="406">
        <v>1302</v>
      </c>
      <c r="Q1305" s="270" t="s">
        <v>2200</v>
      </c>
      <c r="R1305" s="523" t="s">
        <v>1883</v>
      </c>
      <c r="S1305" s="270" t="s">
        <v>1884</v>
      </c>
      <c r="U1305" s="471"/>
      <c r="V1305" s="471"/>
      <c r="W1305" s="471"/>
      <c r="X1305" s="471"/>
      <c r="Y1305" s="206"/>
      <c r="Z1305" s="206"/>
    </row>
    <row r="1306" spans="1:26">
      <c r="A1306" s="406">
        <v>1303</v>
      </c>
      <c r="B1306" s="613" t="s">
        <v>7020</v>
      </c>
      <c r="C1306" s="288" t="s">
        <v>2201</v>
      </c>
      <c r="D1306" s="414" t="s">
        <v>4884</v>
      </c>
      <c r="E1306" s="407" t="s">
        <v>4884</v>
      </c>
      <c r="F1306" s="483"/>
      <c r="G1306" s="483"/>
      <c r="H1306" s="483"/>
      <c r="I1306" s="483"/>
      <c r="J1306" s="483"/>
      <c r="K1306" s="483"/>
      <c r="L1306" s="608" t="s">
        <v>4884</v>
      </c>
      <c r="M1306" s="409" t="s">
        <v>4884</v>
      </c>
      <c r="N1306" s="409" t="s">
        <v>4884</v>
      </c>
      <c r="O1306" s="410" t="s">
        <v>4884</v>
      </c>
      <c r="P1306" s="406">
        <v>1303</v>
      </c>
      <c r="Q1306" s="270" t="s">
        <v>2201</v>
      </c>
      <c r="R1306" s="523" t="s">
        <v>1883</v>
      </c>
      <c r="S1306" s="270" t="s">
        <v>1884</v>
      </c>
      <c r="U1306" s="471"/>
      <c r="V1306" s="471"/>
      <c r="W1306" s="471"/>
      <c r="X1306" s="471"/>
      <c r="Y1306" s="206"/>
      <c r="Z1306" s="206"/>
    </row>
    <row r="1307" spans="1:26">
      <c r="A1307" s="406">
        <v>1304</v>
      </c>
      <c r="B1307" s="613" t="s">
        <v>7020</v>
      </c>
      <c r="C1307" s="288" t="s">
        <v>2202</v>
      </c>
      <c r="D1307" s="414" t="s">
        <v>4884</v>
      </c>
      <c r="E1307" s="407" t="s">
        <v>4884</v>
      </c>
      <c r="F1307" s="483"/>
      <c r="G1307" s="483"/>
      <c r="H1307" s="483"/>
      <c r="I1307" s="483"/>
      <c r="J1307" s="483"/>
      <c r="K1307" s="483"/>
      <c r="L1307" s="608" t="s">
        <v>4884</v>
      </c>
      <c r="M1307" s="409" t="s">
        <v>4884</v>
      </c>
      <c r="N1307" s="409" t="s">
        <v>4884</v>
      </c>
      <c r="O1307" s="410" t="s">
        <v>4884</v>
      </c>
      <c r="P1307" s="406">
        <v>1304</v>
      </c>
      <c r="Q1307" s="270" t="s">
        <v>2202</v>
      </c>
      <c r="R1307" s="523" t="s">
        <v>1883</v>
      </c>
      <c r="S1307" s="270" t="s">
        <v>1884</v>
      </c>
      <c r="U1307" s="471"/>
      <c r="V1307" s="471"/>
      <c r="W1307" s="471"/>
      <c r="X1307" s="471"/>
      <c r="Y1307" s="206"/>
      <c r="Z1307" s="206"/>
    </row>
    <row r="1308" spans="1:26">
      <c r="A1308" s="406">
        <v>1305</v>
      </c>
      <c r="B1308" s="613" t="s">
        <v>7020</v>
      </c>
      <c r="C1308" s="288" t="s">
        <v>2203</v>
      </c>
      <c r="D1308" s="414" t="s">
        <v>4884</v>
      </c>
      <c r="E1308" s="407" t="s">
        <v>4884</v>
      </c>
      <c r="F1308" s="483"/>
      <c r="G1308" s="483"/>
      <c r="H1308" s="483"/>
      <c r="I1308" s="483"/>
      <c r="J1308" s="483"/>
      <c r="K1308" s="483"/>
      <c r="L1308" s="608" t="s">
        <v>4884</v>
      </c>
      <c r="M1308" s="409" t="s">
        <v>4884</v>
      </c>
      <c r="N1308" s="409" t="s">
        <v>4884</v>
      </c>
      <c r="O1308" s="410" t="s">
        <v>4884</v>
      </c>
      <c r="P1308" s="406">
        <v>1305</v>
      </c>
      <c r="Q1308" s="270" t="s">
        <v>2203</v>
      </c>
      <c r="R1308" s="523" t="s">
        <v>1883</v>
      </c>
      <c r="S1308" s="270" t="s">
        <v>1884</v>
      </c>
      <c r="U1308" s="471"/>
      <c r="V1308" s="471"/>
      <c r="W1308" s="471"/>
      <c r="X1308" s="471"/>
      <c r="Y1308" s="206"/>
      <c r="Z1308" s="206"/>
    </row>
    <row r="1309" spans="1:26">
      <c r="A1309" s="406">
        <v>1306</v>
      </c>
      <c r="B1309" s="613" t="s">
        <v>7020</v>
      </c>
      <c r="C1309" s="288" t="s">
        <v>2204</v>
      </c>
      <c r="D1309" s="414" t="s">
        <v>4884</v>
      </c>
      <c r="E1309" s="407" t="s">
        <v>4884</v>
      </c>
      <c r="F1309" s="483"/>
      <c r="G1309" s="483"/>
      <c r="H1309" s="483"/>
      <c r="I1309" s="483"/>
      <c r="J1309" s="483"/>
      <c r="K1309" s="483"/>
      <c r="L1309" s="608" t="s">
        <v>4884</v>
      </c>
      <c r="M1309" s="409" t="s">
        <v>4884</v>
      </c>
      <c r="N1309" s="409" t="s">
        <v>4884</v>
      </c>
      <c r="O1309" s="410" t="s">
        <v>4884</v>
      </c>
      <c r="P1309" s="406">
        <v>1306</v>
      </c>
      <c r="Q1309" s="270" t="s">
        <v>2204</v>
      </c>
      <c r="R1309" s="523" t="s">
        <v>1883</v>
      </c>
      <c r="S1309" s="270" t="s">
        <v>1884</v>
      </c>
      <c r="U1309" s="471"/>
      <c r="V1309" s="471"/>
      <c r="W1309" s="471"/>
      <c r="X1309" s="471"/>
      <c r="Y1309" s="206"/>
      <c r="Z1309" s="206"/>
    </row>
    <row r="1310" spans="1:26">
      <c r="A1310" s="406">
        <v>1307</v>
      </c>
      <c r="B1310" s="613" t="s">
        <v>7020</v>
      </c>
      <c r="C1310" s="288" t="s">
        <v>2205</v>
      </c>
      <c r="D1310" s="414" t="s">
        <v>4884</v>
      </c>
      <c r="E1310" s="407" t="s">
        <v>4884</v>
      </c>
      <c r="F1310" s="483"/>
      <c r="G1310" s="483"/>
      <c r="H1310" s="483"/>
      <c r="I1310" s="483"/>
      <c r="J1310" s="483"/>
      <c r="K1310" s="483"/>
      <c r="L1310" s="608" t="s">
        <v>4884</v>
      </c>
      <c r="M1310" s="409" t="s">
        <v>4884</v>
      </c>
      <c r="N1310" s="409" t="s">
        <v>4884</v>
      </c>
      <c r="O1310" s="410" t="s">
        <v>4884</v>
      </c>
      <c r="P1310" s="406">
        <v>1307</v>
      </c>
      <c r="Q1310" s="270" t="s">
        <v>2205</v>
      </c>
      <c r="R1310" s="523" t="s">
        <v>1883</v>
      </c>
      <c r="S1310" s="270" t="s">
        <v>1884</v>
      </c>
      <c r="U1310" s="471"/>
      <c r="V1310" s="471"/>
      <c r="W1310" s="471"/>
      <c r="X1310" s="471"/>
      <c r="Y1310" s="206"/>
      <c r="Z1310" s="206"/>
    </row>
    <row r="1311" spans="1:26">
      <c r="A1311" s="406">
        <v>1308</v>
      </c>
      <c r="B1311" s="613" t="s">
        <v>7020</v>
      </c>
      <c r="C1311" s="288" t="s">
        <v>2206</v>
      </c>
      <c r="D1311" s="414" t="s">
        <v>4884</v>
      </c>
      <c r="E1311" s="407" t="s">
        <v>4884</v>
      </c>
      <c r="F1311" s="483"/>
      <c r="G1311" s="483"/>
      <c r="H1311" s="483"/>
      <c r="I1311" s="483"/>
      <c r="J1311" s="483"/>
      <c r="K1311" s="483"/>
      <c r="L1311" s="608" t="s">
        <v>4884</v>
      </c>
      <c r="M1311" s="409" t="s">
        <v>4884</v>
      </c>
      <c r="N1311" s="409" t="s">
        <v>4884</v>
      </c>
      <c r="O1311" s="410" t="s">
        <v>4884</v>
      </c>
      <c r="P1311" s="406">
        <v>1308</v>
      </c>
      <c r="Q1311" s="270" t="s">
        <v>2206</v>
      </c>
      <c r="R1311" s="523" t="s">
        <v>1883</v>
      </c>
      <c r="S1311" s="270" t="s">
        <v>1884</v>
      </c>
      <c r="U1311" s="471"/>
      <c r="V1311" s="471"/>
      <c r="W1311" s="471"/>
      <c r="X1311" s="471"/>
      <c r="Y1311" s="206"/>
      <c r="Z1311" s="206"/>
    </row>
    <row r="1312" spans="1:26">
      <c r="A1312" s="406">
        <v>1309</v>
      </c>
      <c r="B1312" s="613" t="s">
        <v>7020</v>
      </c>
      <c r="C1312" s="288" t="s">
        <v>2207</v>
      </c>
      <c r="D1312" s="414" t="s">
        <v>4884</v>
      </c>
      <c r="E1312" s="407" t="s">
        <v>4884</v>
      </c>
      <c r="F1312" s="483"/>
      <c r="G1312" s="483"/>
      <c r="H1312" s="483"/>
      <c r="I1312" s="483"/>
      <c r="J1312" s="483"/>
      <c r="K1312" s="483"/>
      <c r="L1312" s="608" t="s">
        <v>4884</v>
      </c>
      <c r="M1312" s="409" t="s">
        <v>4884</v>
      </c>
      <c r="N1312" s="409" t="s">
        <v>4884</v>
      </c>
      <c r="O1312" s="410" t="s">
        <v>4884</v>
      </c>
      <c r="P1312" s="406">
        <v>1309</v>
      </c>
      <c r="Q1312" s="270" t="s">
        <v>2207</v>
      </c>
      <c r="R1312" s="523" t="s">
        <v>1883</v>
      </c>
      <c r="S1312" s="270" t="s">
        <v>1884</v>
      </c>
      <c r="U1312" s="471"/>
      <c r="V1312" s="471"/>
      <c r="W1312" s="471"/>
      <c r="X1312" s="471"/>
      <c r="Y1312" s="206"/>
      <c r="Z1312" s="206"/>
    </row>
    <row r="1313" spans="1:26">
      <c r="A1313" s="406">
        <v>1310</v>
      </c>
      <c r="B1313" s="613" t="s">
        <v>7020</v>
      </c>
      <c r="C1313" s="288" t="s">
        <v>2208</v>
      </c>
      <c r="D1313" s="414" t="s">
        <v>4884</v>
      </c>
      <c r="E1313" s="407" t="s">
        <v>4884</v>
      </c>
      <c r="F1313" s="483"/>
      <c r="G1313" s="483"/>
      <c r="H1313" s="483"/>
      <c r="I1313" s="483"/>
      <c r="J1313" s="483"/>
      <c r="K1313" s="483"/>
      <c r="L1313" s="608" t="s">
        <v>4884</v>
      </c>
      <c r="M1313" s="409" t="s">
        <v>4884</v>
      </c>
      <c r="N1313" s="409" t="s">
        <v>4884</v>
      </c>
      <c r="O1313" s="410" t="s">
        <v>4884</v>
      </c>
      <c r="P1313" s="406">
        <v>1310</v>
      </c>
      <c r="Q1313" s="270" t="s">
        <v>2208</v>
      </c>
      <c r="R1313" s="523" t="s">
        <v>1883</v>
      </c>
      <c r="S1313" s="270" t="s">
        <v>1884</v>
      </c>
      <c r="U1313" s="471"/>
      <c r="V1313" s="471"/>
      <c r="W1313" s="471"/>
      <c r="X1313" s="471"/>
      <c r="Y1313" s="206"/>
      <c r="Z1313" s="206"/>
    </row>
    <row r="1314" spans="1:26">
      <c r="A1314" s="406">
        <v>1311</v>
      </c>
      <c r="B1314" s="613" t="s">
        <v>7020</v>
      </c>
      <c r="C1314" s="288" t="s">
        <v>2209</v>
      </c>
      <c r="D1314" s="414" t="s">
        <v>4884</v>
      </c>
      <c r="E1314" s="407" t="s">
        <v>4884</v>
      </c>
      <c r="F1314" s="483"/>
      <c r="G1314" s="483"/>
      <c r="H1314" s="483"/>
      <c r="I1314" s="483"/>
      <c r="J1314" s="483"/>
      <c r="K1314" s="483"/>
      <c r="L1314" s="608" t="s">
        <v>4884</v>
      </c>
      <c r="M1314" s="409" t="s">
        <v>4884</v>
      </c>
      <c r="N1314" s="409" t="s">
        <v>4884</v>
      </c>
      <c r="O1314" s="410" t="s">
        <v>4884</v>
      </c>
      <c r="P1314" s="406">
        <v>1311</v>
      </c>
      <c r="Q1314" s="270" t="s">
        <v>2209</v>
      </c>
      <c r="R1314" s="523" t="s">
        <v>1883</v>
      </c>
      <c r="S1314" s="270" t="s">
        <v>1884</v>
      </c>
      <c r="U1314" s="471"/>
      <c r="V1314" s="471"/>
      <c r="W1314" s="471"/>
      <c r="X1314" s="471"/>
      <c r="Y1314" s="206"/>
      <c r="Z1314" s="206"/>
    </row>
    <row r="1315" spans="1:26">
      <c r="A1315" s="406">
        <v>1312</v>
      </c>
      <c r="B1315" s="613" t="s">
        <v>7020</v>
      </c>
      <c r="C1315" s="288" t="s">
        <v>2210</v>
      </c>
      <c r="D1315" s="414" t="s">
        <v>4884</v>
      </c>
      <c r="E1315" s="407" t="s">
        <v>4884</v>
      </c>
      <c r="F1315" s="483"/>
      <c r="G1315" s="483"/>
      <c r="H1315" s="483"/>
      <c r="I1315" s="483"/>
      <c r="J1315" s="483"/>
      <c r="K1315" s="483"/>
      <c r="L1315" s="608" t="s">
        <v>4884</v>
      </c>
      <c r="M1315" s="409" t="s">
        <v>4884</v>
      </c>
      <c r="N1315" s="409" t="s">
        <v>4884</v>
      </c>
      <c r="O1315" s="410" t="s">
        <v>4884</v>
      </c>
      <c r="P1315" s="406">
        <v>1312</v>
      </c>
      <c r="Q1315" s="270" t="s">
        <v>2210</v>
      </c>
      <c r="R1315" s="523" t="s">
        <v>1883</v>
      </c>
      <c r="S1315" s="270" t="s">
        <v>1884</v>
      </c>
      <c r="U1315" s="471"/>
      <c r="V1315" s="471"/>
      <c r="W1315" s="471"/>
      <c r="X1315" s="471"/>
      <c r="Y1315" s="206"/>
      <c r="Z1315" s="206"/>
    </row>
    <row r="1316" spans="1:26">
      <c r="A1316" s="406">
        <v>1313</v>
      </c>
      <c r="B1316" s="613" t="s">
        <v>7020</v>
      </c>
      <c r="C1316" s="288" t="s">
        <v>2211</v>
      </c>
      <c r="D1316" s="414" t="s">
        <v>4884</v>
      </c>
      <c r="E1316" s="407" t="s">
        <v>4884</v>
      </c>
      <c r="F1316" s="483"/>
      <c r="G1316" s="483"/>
      <c r="H1316" s="483"/>
      <c r="I1316" s="483"/>
      <c r="J1316" s="483"/>
      <c r="K1316" s="483"/>
      <c r="L1316" s="608" t="s">
        <v>4884</v>
      </c>
      <c r="M1316" s="409" t="s">
        <v>4884</v>
      </c>
      <c r="N1316" s="409" t="s">
        <v>4884</v>
      </c>
      <c r="O1316" s="410" t="s">
        <v>4884</v>
      </c>
      <c r="P1316" s="406">
        <v>1313</v>
      </c>
      <c r="Q1316" s="270" t="s">
        <v>2211</v>
      </c>
      <c r="R1316" s="523" t="s">
        <v>1883</v>
      </c>
      <c r="S1316" s="270" t="s">
        <v>1884</v>
      </c>
      <c r="U1316" s="471"/>
      <c r="V1316" s="471"/>
      <c r="W1316" s="471"/>
      <c r="X1316" s="471"/>
      <c r="Y1316" s="206"/>
      <c r="Z1316" s="206"/>
    </row>
    <row r="1317" spans="1:26">
      <c r="A1317" s="406">
        <v>1314</v>
      </c>
      <c r="B1317" s="613" t="s">
        <v>7020</v>
      </c>
      <c r="C1317" s="288" t="s">
        <v>2212</v>
      </c>
      <c r="D1317" s="414" t="s">
        <v>4884</v>
      </c>
      <c r="E1317" s="407" t="s">
        <v>4884</v>
      </c>
      <c r="F1317" s="483"/>
      <c r="G1317" s="483"/>
      <c r="H1317" s="483"/>
      <c r="I1317" s="483"/>
      <c r="J1317" s="483"/>
      <c r="K1317" s="483"/>
      <c r="L1317" s="608" t="s">
        <v>4884</v>
      </c>
      <c r="M1317" s="409" t="s">
        <v>4884</v>
      </c>
      <c r="N1317" s="409" t="s">
        <v>4884</v>
      </c>
      <c r="O1317" s="410" t="s">
        <v>4884</v>
      </c>
      <c r="P1317" s="406">
        <v>1314</v>
      </c>
      <c r="Q1317" s="270" t="s">
        <v>2212</v>
      </c>
      <c r="R1317" s="523" t="s">
        <v>1883</v>
      </c>
      <c r="S1317" s="270" t="s">
        <v>1884</v>
      </c>
      <c r="U1317" s="471"/>
      <c r="V1317" s="471"/>
      <c r="W1317" s="471"/>
      <c r="X1317" s="471"/>
      <c r="Y1317" s="206"/>
      <c r="Z1317" s="206"/>
    </row>
    <row r="1318" spans="1:26">
      <c r="A1318" s="406">
        <v>1315</v>
      </c>
      <c r="B1318" s="613" t="s">
        <v>7020</v>
      </c>
      <c r="C1318" s="288" t="s">
        <v>2213</v>
      </c>
      <c r="D1318" s="414" t="s">
        <v>4884</v>
      </c>
      <c r="E1318" s="407" t="s">
        <v>4884</v>
      </c>
      <c r="F1318" s="483"/>
      <c r="G1318" s="483"/>
      <c r="H1318" s="483"/>
      <c r="I1318" s="483"/>
      <c r="J1318" s="483"/>
      <c r="K1318" s="483"/>
      <c r="L1318" s="608" t="s">
        <v>4884</v>
      </c>
      <c r="M1318" s="409" t="s">
        <v>4884</v>
      </c>
      <c r="N1318" s="409" t="s">
        <v>4884</v>
      </c>
      <c r="O1318" s="410" t="s">
        <v>4884</v>
      </c>
      <c r="P1318" s="406">
        <v>1315</v>
      </c>
      <c r="Q1318" s="270" t="s">
        <v>2213</v>
      </c>
      <c r="R1318" s="523" t="s">
        <v>1883</v>
      </c>
      <c r="S1318" s="270" t="s">
        <v>1884</v>
      </c>
      <c r="U1318" s="471"/>
      <c r="V1318" s="471"/>
      <c r="W1318" s="471"/>
      <c r="X1318" s="471"/>
      <c r="Y1318" s="206"/>
      <c r="Z1318" s="206"/>
    </row>
    <row r="1319" spans="1:26">
      <c r="A1319" s="406">
        <v>1316</v>
      </c>
      <c r="B1319" s="613" t="s">
        <v>7020</v>
      </c>
      <c r="C1319" s="288" t="s">
        <v>2214</v>
      </c>
      <c r="D1319" s="414" t="s">
        <v>4884</v>
      </c>
      <c r="E1319" s="407" t="s">
        <v>4884</v>
      </c>
      <c r="F1319" s="483"/>
      <c r="G1319" s="483"/>
      <c r="H1319" s="483"/>
      <c r="I1319" s="483"/>
      <c r="J1319" s="483"/>
      <c r="K1319" s="483"/>
      <c r="L1319" s="608" t="s">
        <v>4884</v>
      </c>
      <c r="M1319" s="409" t="s">
        <v>4884</v>
      </c>
      <c r="N1319" s="409" t="s">
        <v>4884</v>
      </c>
      <c r="O1319" s="410" t="s">
        <v>4884</v>
      </c>
      <c r="P1319" s="406">
        <v>1316</v>
      </c>
      <c r="Q1319" s="270" t="s">
        <v>2214</v>
      </c>
      <c r="R1319" s="523" t="s">
        <v>1883</v>
      </c>
      <c r="S1319" s="270" t="s">
        <v>1884</v>
      </c>
      <c r="U1319" s="471"/>
      <c r="V1319" s="471"/>
      <c r="W1319" s="471"/>
      <c r="X1319" s="471"/>
      <c r="Y1319" s="206"/>
      <c r="Z1319" s="206"/>
    </row>
    <row r="1320" spans="1:26">
      <c r="A1320" s="406">
        <v>1317</v>
      </c>
      <c r="B1320" s="613" t="s">
        <v>7020</v>
      </c>
      <c r="C1320" s="288" t="s">
        <v>2215</v>
      </c>
      <c r="D1320" s="414" t="s">
        <v>4884</v>
      </c>
      <c r="E1320" s="407" t="s">
        <v>4884</v>
      </c>
      <c r="F1320" s="483"/>
      <c r="G1320" s="483"/>
      <c r="H1320" s="483"/>
      <c r="I1320" s="483"/>
      <c r="J1320" s="483"/>
      <c r="K1320" s="483"/>
      <c r="L1320" s="608" t="s">
        <v>4884</v>
      </c>
      <c r="M1320" s="409" t="s">
        <v>4884</v>
      </c>
      <c r="N1320" s="409" t="s">
        <v>4884</v>
      </c>
      <c r="O1320" s="410" t="s">
        <v>4884</v>
      </c>
      <c r="P1320" s="406">
        <v>1317</v>
      </c>
      <c r="Q1320" s="270" t="s">
        <v>2215</v>
      </c>
      <c r="R1320" s="523" t="s">
        <v>1883</v>
      </c>
      <c r="S1320" s="270" t="s">
        <v>1884</v>
      </c>
      <c r="U1320" s="471"/>
      <c r="V1320" s="471"/>
      <c r="W1320" s="471"/>
      <c r="X1320" s="471"/>
      <c r="Y1320" s="206"/>
      <c r="Z1320" s="206"/>
    </row>
    <row r="1321" spans="1:26">
      <c r="A1321" s="406">
        <v>1318</v>
      </c>
      <c r="B1321" s="613" t="s">
        <v>7020</v>
      </c>
      <c r="C1321" s="288" t="s">
        <v>2216</v>
      </c>
      <c r="D1321" s="414" t="s">
        <v>4884</v>
      </c>
      <c r="E1321" s="407" t="s">
        <v>4884</v>
      </c>
      <c r="F1321" s="483"/>
      <c r="G1321" s="483"/>
      <c r="H1321" s="483"/>
      <c r="I1321" s="483"/>
      <c r="J1321" s="483"/>
      <c r="K1321" s="483"/>
      <c r="L1321" s="608" t="s">
        <v>4884</v>
      </c>
      <c r="M1321" s="409" t="s">
        <v>4884</v>
      </c>
      <c r="N1321" s="409" t="s">
        <v>4884</v>
      </c>
      <c r="O1321" s="410" t="s">
        <v>4884</v>
      </c>
      <c r="P1321" s="406">
        <v>1318</v>
      </c>
      <c r="Q1321" s="270" t="s">
        <v>2216</v>
      </c>
      <c r="R1321" s="523" t="s">
        <v>1883</v>
      </c>
      <c r="S1321" s="270" t="s">
        <v>1884</v>
      </c>
      <c r="U1321" s="471"/>
      <c r="V1321" s="471"/>
      <c r="W1321" s="471"/>
      <c r="X1321" s="471"/>
      <c r="Y1321" s="206"/>
      <c r="Z1321" s="206"/>
    </row>
    <row r="1322" spans="1:26">
      <c r="A1322" s="406">
        <v>1319</v>
      </c>
      <c r="B1322" s="613" t="s">
        <v>7020</v>
      </c>
      <c r="C1322" s="288" t="s">
        <v>2217</v>
      </c>
      <c r="D1322" s="414" t="s">
        <v>4884</v>
      </c>
      <c r="E1322" s="407" t="s">
        <v>4884</v>
      </c>
      <c r="F1322" s="483"/>
      <c r="G1322" s="483"/>
      <c r="H1322" s="483"/>
      <c r="I1322" s="483"/>
      <c r="J1322" s="483"/>
      <c r="K1322" s="483"/>
      <c r="L1322" s="608" t="s">
        <v>4884</v>
      </c>
      <c r="M1322" s="409" t="s">
        <v>4884</v>
      </c>
      <c r="N1322" s="409" t="s">
        <v>4884</v>
      </c>
      <c r="O1322" s="410" t="s">
        <v>4884</v>
      </c>
      <c r="P1322" s="406">
        <v>1319</v>
      </c>
      <c r="Q1322" s="270" t="s">
        <v>2217</v>
      </c>
      <c r="R1322" s="523" t="s">
        <v>1883</v>
      </c>
      <c r="S1322" s="270" t="s">
        <v>1884</v>
      </c>
      <c r="U1322" s="471"/>
      <c r="V1322" s="471"/>
      <c r="W1322" s="471"/>
      <c r="X1322" s="471"/>
      <c r="Y1322" s="206"/>
      <c r="Z1322" s="206"/>
    </row>
    <row r="1323" spans="1:26">
      <c r="A1323" s="406">
        <v>1320</v>
      </c>
      <c r="B1323" s="613" t="s">
        <v>7020</v>
      </c>
      <c r="C1323" s="288" t="s">
        <v>2218</v>
      </c>
      <c r="D1323" s="414" t="s">
        <v>4884</v>
      </c>
      <c r="E1323" s="407" t="s">
        <v>4884</v>
      </c>
      <c r="F1323" s="483"/>
      <c r="G1323" s="483"/>
      <c r="H1323" s="483"/>
      <c r="I1323" s="483"/>
      <c r="J1323" s="483"/>
      <c r="K1323" s="483"/>
      <c r="L1323" s="608" t="s">
        <v>4884</v>
      </c>
      <c r="M1323" s="409" t="s">
        <v>4884</v>
      </c>
      <c r="N1323" s="409" t="s">
        <v>4884</v>
      </c>
      <c r="O1323" s="410" t="s">
        <v>4884</v>
      </c>
      <c r="P1323" s="406">
        <v>1320</v>
      </c>
      <c r="Q1323" s="270" t="s">
        <v>2218</v>
      </c>
      <c r="R1323" s="523" t="s">
        <v>1883</v>
      </c>
      <c r="S1323" s="270" t="s">
        <v>1884</v>
      </c>
      <c r="U1323" s="471"/>
      <c r="V1323" s="471"/>
      <c r="W1323" s="471"/>
      <c r="X1323" s="471"/>
      <c r="Y1323" s="206"/>
      <c r="Z1323" s="206"/>
    </row>
    <row r="1324" spans="1:26">
      <c r="A1324" s="406">
        <v>1321</v>
      </c>
      <c r="B1324" s="613" t="s">
        <v>7020</v>
      </c>
      <c r="C1324" s="288" t="s">
        <v>2219</v>
      </c>
      <c r="D1324" s="414" t="s">
        <v>4884</v>
      </c>
      <c r="E1324" s="407" t="s">
        <v>4884</v>
      </c>
      <c r="F1324" s="483"/>
      <c r="G1324" s="483"/>
      <c r="H1324" s="483"/>
      <c r="I1324" s="483"/>
      <c r="J1324" s="483"/>
      <c r="K1324" s="483"/>
      <c r="L1324" s="608" t="s">
        <v>4884</v>
      </c>
      <c r="M1324" s="409" t="s">
        <v>4884</v>
      </c>
      <c r="N1324" s="409" t="s">
        <v>4884</v>
      </c>
      <c r="O1324" s="410" t="s">
        <v>4884</v>
      </c>
      <c r="P1324" s="406">
        <v>1321</v>
      </c>
      <c r="Q1324" s="270" t="s">
        <v>2219</v>
      </c>
      <c r="R1324" s="523" t="s">
        <v>1883</v>
      </c>
      <c r="S1324" s="270" t="s">
        <v>1884</v>
      </c>
      <c r="U1324" s="471"/>
      <c r="V1324" s="471"/>
      <c r="W1324" s="471"/>
      <c r="X1324" s="471"/>
      <c r="Y1324" s="206"/>
      <c r="Z1324" s="206"/>
    </row>
    <row r="1325" spans="1:26">
      <c r="A1325" s="406">
        <v>1322</v>
      </c>
      <c r="B1325" s="613" t="s">
        <v>7020</v>
      </c>
      <c r="C1325" s="288" t="s">
        <v>2220</v>
      </c>
      <c r="D1325" s="414" t="s">
        <v>4884</v>
      </c>
      <c r="E1325" s="407" t="s">
        <v>4884</v>
      </c>
      <c r="F1325" s="483"/>
      <c r="G1325" s="483"/>
      <c r="H1325" s="483"/>
      <c r="I1325" s="483"/>
      <c r="J1325" s="483"/>
      <c r="K1325" s="483"/>
      <c r="L1325" s="608" t="s">
        <v>4884</v>
      </c>
      <c r="M1325" s="409" t="s">
        <v>4884</v>
      </c>
      <c r="N1325" s="409" t="s">
        <v>4884</v>
      </c>
      <c r="O1325" s="410" t="s">
        <v>4884</v>
      </c>
      <c r="P1325" s="406">
        <v>1322</v>
      </c>
      <c r="Q1325" s="270" t="s">
        <v>2220</v>
      </c>
      <c r="R1325" s="523" t="s">
        <v>1883</v>
      </c>
      <c r="S1325" s="270" t="s">
        <v>1884</v>
      </c>
      <c r="U1325" s="471"/>
      <c r="V1325" s="471"/>
      <c r="W1325" s="471"/>
      <c r="X1325" s="471"/>
      <c r="Y1325" s="206"/>
      <c r="Z1325" s="206"/>
    </row>
    <row r="1326" spans="1:26">
      <c r="A1326" s="406">
        <v>1323</v>
      </c>
      <c r="B1326" s="613" t="s">
        <v>7020</v>
      </c>
      <c r="C1326" s="288" t="s">
        <v>2221</v>
      </c>
      <c r="D1326" s="414" t="s">
        <v>4884</v>
      </c>
      <c r="E1326" s="407" t="s">
        <v>4884</v>
      </c>
      <c r="F1326" s="483"/>
      <c r="G1326" s="483"/>
      <c r="H1326" s="483"/>
      <c r="I1326" s="483"/>
      <c r="J1326" s="483"/>
      <c r="K1326" s="483"/>
      <c r="L1326" s="608" t="s">
        <v>4884</v>
      </c>
      <c r="M1326" s="409" t="s">
        <v>4884</v>
      </c>
      <c r="N1326" s="409" t="s">
        <v>4884</v>
      </c>
      <c r="O1326" s="410" t="s">
        <v>4884</v>
      </c>
      <c r="P1326" s="406">
        <v>1323</v>
      </c>
      <c r="Q1326" s="270" t="s">
        <v>2221</v>
      </c>
      <c r="R1326" s="523" t="s">
        <v>1883</v>
      </c>
      <c r="S1326" s="270" t="s">
        <v>1884</v>
      </c>
      <c r="U1326" s="471"/>
      <c r="V1326" s="471"/>
      <c r="W1326" s="471"/>
      <c r="X1326" s="471"/>
      <c r="Y1326" s="206"/>
      <c r="Z1326" s="206"/>
    </row>
    <row r="1327" spans="1:26">
      <c r="A1327" s="406">
        <v>1324</v>
      </c>
      <c r="B1327" s="613" t="s">
        <v>7020</v>
      </c>
      <c r="C1327" s="288" t="s">
        <v>2222</v>
      </c>
      <c r="D1327" s="414" t="s">
        <v>4884</v>
      </c>
      <c r="E1327" s="407" t="s">
        <v>4884</v>
      </c>
      <c r="F1327" s="483"/>
      <c r="G1327" s="483"/>
      <c r="H1327" s="483"/>
      <c r="I1327" s="483"/>
      <c r="J1327" s="483"/>
      <c r="K1327" s="483"/>
      <c r="L1327" s="608" t="s">
        <v>4884</v>
      </c>
      <c r="M1327" s="409" t="s">
        <v>4884</v>
      </c>
      <c r="N1327" s="409" t="s">
        <v>4884</v>
      </c>
      <c r="O1327" s="410" t="s">
        <v>4884</v>
      </c>
      <c r="P1327" s="406">
        <v>1324</v>
      </c>
      <c r="Q1327" s="270" t="s">
        <v>2222</v>
      </c>
      <c r="R1327" s="523" t="s">
        <v>1883</v>
      </c>
      <c r="S1327" s="270" t="s">
        <v>1884</v>
      </c>
      <c r="U1327" s="471"/>
      <c r="V1327" s="471"/>
      <c r="W1327" s="471"/>
      <c r="X1327" s="471"/>
      <c r="Y1327" s="206"/>
      <c r="Z1327" s="206"/>
    </row>
    <row r="1328" spans="1:26">
      <c r="A1328" s="406">
        <v>1325</v>
      </c>
      <c r="B1328" s="613" t="s">
        <v>7020</v>
      </c>
      <c r="C1328" s="288" t="s">
        <v>2223</v>
      </c>
      <c r="D1328" s="414" t="s">
        <v>4884</v>
      </c>
      <c r="E1328" s="407" t="s">
        <v>4884</v>
      </c>
      <c r="F1328" s="483"/>
      <c r="G1328" s="483"/>
      <c r="H1328" s="483"/>
      <c r="I1328" s="483"/>
      <c r="J1328" s="483"/>
      <c r="K1328" s="483"/>
      <c r="L1328" s="608" t="s">
        <v>4884</v>
      </c>
      <c r="M1328" s="409" t="s">
        <v>4884</v>
      </c>
      <c r="N1328" s="409" t="s">
        <v>4884</v>
      </c>
      <c r="O1328" s="410" t="s">
        <v>4884</v>
      </c>
      <c r="P1328" s="406">
        <v>1325</v>
      </c>
      <c r="Q1328" s="270" t="s">
        <v>2223</v>
      </c>
      <c r="R1328" s="523" t="s">
        <v>1883</v>
      </c>
      <c r="S1328" s="270" t="s">
        <v>1884</v>
      </c>
      <c r="U1328" s="471"/>
      <c r="V1328" s="471"/>
      <c r="W1328" s="471"/>
      <c r="X1328" s="471"/>
      <c r="Y1328" s="206"/>
      <c r="Z1328" s="206"/>
    </row>
    <row r="1329" spans="1:26">
      <c r="A1329" s="406">
        <v>1326</v>
      </c>
      <c r="B1329" s="613" t="s">
        <v>7020</v>
      </c>
      <c r="C1329" s="288" t="s">
        <v>2224</v>
      </c>
      <c r="D1329" s="414" t="s">
        <v>4884</v>
      </c>
      <c r="E1329" s="407" t="s">
        <v>4884</v>
      </c>
      <c r="F1329" s="483"/>
      <c r="G1329" s="483"/>
      <c r="H1329" s="483"/>
      <c r="I1329" s="483"/>
      <c r="J1329" s="483"/>
      <c r="K1329" s="483"/>
      <c r="L1329" s="608" t="s">
        <v>4884</v>
      </c>
      <c r="M1329" s="409" t="s">
        <v>4884</v>
      </c>
      <c r="N1329" s="409" t="s">
        <v>4884</v>
      </c>
      <c r="O1329" s="410" t="s">
        <v>4884</v>
      </c>
      <c r="P1329" s="406">
        <v>1326</v>
      </c>
      <c r="Q1329" s="270" t="s">
        <v>2224</v>
      </c>
      <c r="R1329" s="523" t="s">
        <v>1883</v>
      </c>
      <c r="S1329" s="270" t="s">
        <v>1884</v>
      </c>
      <c r="U1329" s="471"/>
      <c r="V1329" s="471"/>
      <c r="W1329" s="471"/>
      <c r="X1329" s="471"/>
      <c r="Y1329" s="206"/>
      <c r="Z1329" s="206"/>
    </row>
    <row r="1330" spans="1:26">
      <c r="A1330" s="406">
        <v>1327</v>
      </c>
      <c r="B1330" s="613" t="s">
        <v>7020</v>
      </c>
      <c r="C1330" s="288" t="s">
        <v>2225</v>
      </c>
      <c r="D1330" s="414" t="s">
        <v>4884</v>
      </c>
      <c r="E1330" s="407" t="s">
        <v>4884</v>
      </c>
      <c r="F1330" s="483"/>
      <c r="G1330" s="483"/>
      <c r="H1330" s="483"/>
      <c r="I1330" s="483"/>
      <c r="J1330" s="483"/>
      <c r="K1330" s="483"/>
      <c r="L1330" s="608" t="s">
        <v>4884</v>
      </c>
      <c r="M1330" s="409" t="s">
        <v>4884</v>
      </c>
      <c r="N1330" s="409" t="s">
        <v>4884</v>
      </c>
      <c r="O1330" s="410" t="s">
        <v>4884</v>
      </c>
      <c r="P1330" s="406">
        <v>1327</v>
      </c>
      <c r="Q1330" s="270" t="s">
        <v>2225</v>
      </c>
      <c r="R1330" s="523" t="s">
        <v>1883</v>
      </c>
      <c r="S1330" s="270" t="s">
        <v>1884</v>
      </c>
      <c r="U1330" s="471"/>
      <c r="V1330" s="471"/>
      <c r="W1330" s="471"/>
      <c r="X1330" s="471"/>
      <c r="Y1330" s="206"/>
      <c r="Z1330" s="206"/>
    </row>
    <row r="1331" spans="1:26">
      <c r="A1331" s="406">
        <v>1328</v>
      </c>
      <c r="B1331" s="613" t="s">
        <v>7020</v>
      </c>
      <c r="C1331" s="288" t="s">
        <v>2226</v>
      </c>
      <c r="D1331" s="414" t="s">
        <v>4884</v>
      </c>
      <c r="E1331" s="407" t="s">
        <v>4884</v>
      </c>
      <c r="F1331" s="483"/>
      <c r="G1331" s="483"/>
      <c r="H1331" s="483"/>
      <c r="I1331" s="483"/>
      <c r="J1331" s="483"/>
      <c r="K1331" s="483"/>
      <c r="L1331" s="608" t="s">
        <v>4884</v>
      </c>
      <c r="M1331" s="409" t="s">
        <v>4884</v>
      </c>
      <c r="N1331" s="409" t="s">
        <v>4884</v>
      </c>
      <c r="O1331" s="410" t="s">
        <v>4884</v>
      </c>
      <c r="P1331" s="406">
        <v>1328</v>
      </c>
      <c r="Q1331" s="270" t="s">
        <v>2226</v>
      </c>
      <c r="R1331" s="523" t="s">
        <v>1883</v>
      </c>
      <c r="S1331" s="270" t="s">
        <v>1884</v>
      </c>
      <c r="U1331" s="471"/>
      <c r="V1331" s="471"/>
      <c r="W1331" s="471"/>
      <c r="X1331" s="471"/>
      <c r="Y1331" s="206"/>
      <c r="Z1331" s="206"/>
    </row>
    <row r="1332" spans="1:26">
      <c r="A1332" s="406">
        <v>1329</v>
      </c>
      <c r="B1332" s="613" t="s">
        <v>7020</v>
      </c>
      <c r="C1332" s="288" t="s">
        <v>2227</v>
      </c>
      <c r="D1332" s="414" t="s">
        <v>4884</v>
      </c>
      <c r="E1332" s="407" t="s">
        <v>4884</v>
      </c>
      <c r="F1332" s="483"/>
      <c r="G1332" s="483"/>
      <c r="H1332" s="483"/>
      <c r="I1332" s="483"/>
      <c r="J1332" s="483"/>
      <c r="K1332" s="483"/>
      <c r="L1332" s="608" t="s">
        <v>4884</v>
      </c>
      <c r="M1332" s="409" t="s">
        <v>4884</v>
      </c>
      <c r="N1332" s="409" t="s">
        <v>4884</v>
      </c>
      <c r="O1332" s="410" t="s">
        <v>4884</v>
      </c>
      <c r="P1332" s="406">
        <v>1329</v>
      </c>
      <c r="Q1332" s="270" t="s">
        <v>2227</v>
      </c>
      <c r="R1332" s="523" t="s">
        <v>1883</v>
      </c>
      <c r="S1332" s="270" t="s">
        <v>1884</v>
      </c>
      <c r="U1332" s="471"/>
      <c r="V1332" s="471"/>
      <c r="W1332" s="471"/>
      <c r="X1332" s="471"/>
      <c r="Y1332" s="206"/>
      <c r="Z1332" s="206"/>
    </row>
    <row r="1333" spans="1:26">
      <c r="A1333" s="406">
        <v>1330</v>
      </c>
      <c r="B1333" s="613" t="s">
        <v>7020</v>
      </c>
      <c r="C1333" s="288" t="s">
        <v>2228</v>
      </c>
      <c r="D1333" s="414" t="s">
        <v>4884</v>
      </c>
      <c r="E1333" s="407" t="s">
        <v>4884</v>
      </c>
      <c r="F1333" s="483"/>
      <c r="G1333" s="483"/>
      <c r="H1333" s="483"/>
      <c r="I1333" s="483"/>
      <c r="J1333" s="483"/>
      <c r="K1333" s="483"/>
      <c r="L1333" s="608" t="s">
        <v>4884</v>
      </c>
      <c r="M1333" s="409" t="s">
        <v>4884</v>
      </c>
      <c r="N1333" s="409" t="s">
        <v>4884</v>
      </c>
      <c r="O1333" s="410" t="s">
        <v>4884</v>
      </c>
      <c r="P1333" s="406">
        <v>1330</v>
      </c>
      <c r="Q1333" s="270" t="s">
        <v>2228</v>
      </c>
      <c r="R1333" s="523" t="s">
        <v>1883</v>
      </c>
      <c r="S1333" s="270" t="s">
        <v>1884</v>
      </c>
      <c r="U1333" s="471"/>
      <c r="V1333" s="471"/>
      <c r="W1333" s="471"/>
      <c r="X1333" s="471"/>
      <c r="Y1333" s="206"/>
      <c r="Z1333" s="206"/>
    </row>
    <row r="1334" spans="1:26">
      <c r="A1334" s="406">
        <v>1331</v>
      </c>
      <c r="B1334" s="613" t="s">
        <v>7020</v>
      </c>
      <c r="C1334" s="288" t="s">
        <v>2229</v>
      </c>
      <c r="D1334" s="414" t="s">
        <v>4884</v>
      </c>
      <c r="E1334" s="407" t="s">
        <v>4884</v>
      </c>
      <c r="F1334" s="483"/>
      <c r="G1334" s="483"/>
      <c r="H1334" s="483"/>
      <c r="I1334" s="483"/>
      <c r="J1334" s="483"/>
      <c r="K1334" s="483"/>
      <c r="L1334" s="608" t="s">
        <v>4884</v>
      </c>
      <c r="M1334" s="409" t="s">
        <v>4884</v>
      </c>
      <c r="N1334" s="409" t="s">
        <v>4884</v>
      </c>
      <c r="O1334" s="410" t="s">
        <v>4884</v>
      </c>
      <c r="P1334" s="406">
        <v>1331</v>
      </c>
      <c r="Q1334" s="270" t="s">
        <v>2229</v>
      </c>
      <c r="R1334" s="523" t="s">
        <v>1883</v>
      </c>
      <c r="S1334" s="270" t="s">
        <v>1884</v>
      </c>
      <c r="U1334" s="471"/>
      <c r="V1334" s="471"/>
      <c r="W1334" s="471"/>
      <c r="X1334" s="471"/>
      <c r="Y1334" s="206"/>
      <c r="Z1334" s="206"/>
    </row>
    <row r="1335" spans="1:26">
      <c r="A1335" s="406">
        <v>1332</v>
      </c>
      <c r="B1335" s="613" t="s">
        <v>7020</v>
      </c>
      <c r="C1335" s="288" t="s">
        <v>2230</v>
      </c>
      <c r="D1335" s="414" t="s">
        <v>4884</v>
      </c>
      <c r="E1335" s="407" t="s">
        <v>4884</v>
      </c>
      <c r="F1335" s="483"/>
      <c r="G1335" s="483"/>
      <c r="H1335" s="483"/>
      <c r="I1335" s="483"/>
      <c r="J1335" s="483"/>
      <c r="K1335" s="483"/>
      <c r="L1335" s="608" t="s">
        <v>4884</v>
      </c>
      <c r="M1335" s="409" t="s">
        <v>4884</v>
      </c>
      <c r="N1335" s="409" t="s">
        <v>4884</v>
      </c>
      <c r="O1335" s="410" t="s">
        <v>4884</v>
      </c>
      <c r="P1335" s="406">
        <v>1332</v>
      </c>
      <c r="Q1335" s="270" t="s">
        <v>2230</v>
      </c>
      <c r="R1335" s="523" t="s">
        <v>1883</v>
      </c>
      <c r="S1335" s="270" t="s">
        <v>1884</v>
      </c>
      <c r="U1335" s="471"/>
      <c r="V1335" s="471"/>
      <c r="W1335" s="471"/>
      <c r="X1335" s="471"/>
      <c r="Y1335" s="206"/>
      <c r="Z1335" s="206"/>
    </row>
    <row r="1336" spans="1:26">
      <c r="A1336" s="406">
        <v>1333</v>
      </c>
      <c r="B1336" s="613" t="s">
        <v>7020</v>
      </c>
      <c r="C1336" s="288" t="s">
        <v>2231</v>
      </c>
      <c r="D1336" s="414" t="s">
        <v>4884</v>
      </c>
      <c r="E1336" s="407" t="s">
        <v>4884</v>
      </c>
      <c r="F1336" s="483"/>
      <c r="G1336" s="483"/>
      <c r="H1336" s="483"/>
      <c r="I1336" s="483"/>
      <c r="J1336" s="483"/>
      <c r="K1336" s="483"/>
      <c r="L1336" s="608" t="s">
        <v>4884</v>
      </c>
      <c r="M1336" s="409" t="s">
        <v>4884</v>
      </c>
      <c r="N1336" s="409" t="s">
        <v>4884</v>
      </c>
      <c r="O1336" s="410" t="s">
        <v>4884</v>
      </c>
      <c r="P1336" s="406">
        <v>1333</v>
      </c>
      <c r="Q1336" s="270" t="s">
        <v>2231</v>
      </c>
      <c r="R1336" s="523" t="s">
        <v>1883</v>
      </c>
      <c r="S1336" s="270" t="s">
        <v>1884</v>
      </c>
      <c r="U1336" s="471"/>
      <c r="V1336" s="471"/>
      <c r="W1336" s="471"/>
      <c r="X1336" s="471"/>
      <c r="Y1336" s="206"/>
      <c r="Z1336" s="206"/>
    </row>
    <row r="1337" spans="1:26">
      <c r="A1337" s="406">
        <v>1334</v>
      </c>
      <c r="B1337" s="613" t="s">
        <v>7020</v>
      </c>
      <c r="C1337" s="288" t="s">
        <v>2232</v>
      </c>
      <c r="D1337" s="414" t="s">
        <v>4884</v>
      </c>
      <c r="E1337" s="407" t="s">
        <v>4884</v>
      </c>
      <c r="F1337" s="483"/>
      <c r="G1337" s="483"/>
      <c r="H1337" s="483"/>
      <c r="I1337" s="483"/>
      <c r="J1337" s="483"/>
      <c r="K1337" s="483"/>
      <c r="L1337" s="608" t="s">
        <v>4884</v>
      </c>
      <c r="M1337" s="409" t="s">
        <v>4884</v>
      </c>
      <c r="N1337" s="409" t="s">
        <v>4884</v>
      </c>
      <c r="O1337" s="410" t="s">
        <v>4884</v>
      </c>
      <c r="P1337" s="406">
        <v>1334</v>
      </c>
      <c r="Q1337" s="270" t="s">
        <v>2232</v>
      </c>
      <c r="R1337" s="523" t="s">
        <v>1883</v>
      </c>
      <c r="S1337" s="270" t="s">
        <v>1884</v>
      </c>
      <c r="U1337" s="471"/>
      <c r="V1337" s="471"/>
      <c r="W1337" s="471"/>
      <c r="X1337" s="471"/>
      <c r="Y1337" s="206"/>
      <c r="Z1337" s="206"/>
    </row>
    <row r="1338" spans="1:26">
      <c r="A1338" s="406">
        <v>1335</v>
      </c>
      <c r="B1338" s="613" t="s">
        <v>7020</v>
      </c>
      <c r="C1338" s="288" t="s">
        <v>2233</v>
      </c>
      <c r="D1338" s="414" t="s">
        <v>4884</v>
      </c>
      <c r="E1338" s="407" t="s">
        <v>4884</v>
      </c>
      <c r="F1338" s="483"/>
      <c r="G1338" s="483"/>
      <c r="H1338" s="483"/>
      <c r="I1338" s="483"/>
      <c r="J1338" s="483"/>
      <c r="K1338" s="483"/>
      <c r="L1338" s="608" t="s">
        <v>4884</v>
      </c>
      <c r="M1338" s="409" t="s">
        <v>4884</v>
      </c>
      <c r="N1338" s="409" t="s">
        <v>4884</v>
      </c>
      <c r="O1338" s="410" t="s">
        <v>4884</v>
      </c>
      <c r="P1338" s="406">
        <v>1335</v>
      </c>
      <c r="Q1338" s="270" t="s">
        <v>2233</v>
      </c>
      <c r="R1338" s="523" t="s">
        <v>1883</v>
      </c>
      <c r="S1338" s="270" t="s">
        <v>1884</v>
      </c>
      <c r="U1338" s="471"/>
      <c r="V1338" s="471"/>
      <c r="W1338" s="471"/>
      <c r="X1338" s="471"/>
      <c r="Y1338" s="206"/>
      <c r="Z1338" s="206"/>
    </row>
    <row r="1339" spans="1:26">
      <c r="A1339" s="406">
        <v>1336</v>
      </c>
      <c r="B1339" s="613" t="s">
        <v>7020</v>
      </c>
      <c r="C1339" s="288" t="s">
        <v>2234</v>
      </c>
      <c r="D1339" s="414" t="s">
        <v>4884</v>
      </c>
      <c r="E1339" s="407" t="s">
        <v>4884</v>
      </c>
      <c r="F1339" s="483"/>
      <c r="G1339" s="483"/>
      <c r="H1339" s="483"/>
      <c r="I1339" s="483"/>
      <c r="J1339" s="483"/>
      <c r="K1339" s="483"/>
      <c r="L1339" s="608" t="s">
        <v>4884</v>
      </c>
      <c r="M1339" s="409" t="s">
        <v>4884</v>
      </c>
      <c r="N1339" s="409" t="s">
        <v>4884</v>
      </c>
      <c r="O1339" s="410" t="s">
        <v>4884</v>
      </c>
      <c r="P1339" s="406">
        <v>1336</v>
      </c>
      <c r="Q1339" s="270" t="s">
        <v>2234</v>
      </c>
      <c r="R1339" s="523" t="s">
        <v>1883</v>
      </c>
      <c r="S1339" s="270" t="s">
        <v>1884</v>
      </c>
      <c r="U1339" s="471"/>
      <c r="V1339" s="471"/>
      <c r="W1339" s="471"/>
      <c r="X1339" s="471"/>
      <c r="Y1339" s="206"/>
      <c r="Z1339" s="206"/>
    </row>
    <row r="1340" spans="1:26">
      <c r="A1340" s="406">
        <v>1337</v>
      </c>
      <c r="B1340" s="613" t="s">
        <v>7020</v>
      </c>
      <c r="C1340" s="288" t="s">
        <v>2235</v>
      </c>
      <c r="D1340" s="414" t="s">
        <v>4884</v>
      </c>
      <c r="E1340" s="407" t="s">
        <v>4884</v>
      </c>
      <c r="F1340" s="483"/>
      <c r="G1340" s="483"/>
      <c r="H1340" s="483"/>
      <c r="I1340" s="483"/>
      <c r="J1340" s="483"/>
      <c r="K1340" s="483"/>
      <c r="L1340" s="608" t="s">
        <v>4884</v>
      </c>
      <c r="M1340" s="409" t="s">
        <v>4884</v>
      </c>
      <c r="N1340" s="409" t="s">
        <v>4884</v>
      </c>
      <c r="O1340" s="410" t="s">
        <v>4884</v>
      </c>
      <c r="P1340" s="406">
        <v>1337</v>
      </c>
      <c r="Q1340" s="270" t="s">
        <v>2235</v>
      </c>
      <c r="R1340" s="523" t="s">
        <v>1883</v>
      </c>
      <c r="S1340" s="270" t="s">
        <v>1884</v>
      </c>
      <c r="U1340" s="471"/>
      <c r="V1340" s="471"/>
      <c r="W1340" s="471"/>
      <c r="X1340" s="471"/>
      <c r="Y1340" s="206"/>
      <c r="Z1340" s="206"/>
    </row>
    <row r="1341" spans="1:26">
      <c r="A1341" s="406">
        <v>1338</v>
      </c>
      <c r="B1341" s="613" t="s">
        <v>7020</v>
      </c>
      <c r="C1341" s="288" t="s">
        <v>2236</v>
      </c>
      <c r="D1341" s="414" t="s">
        <v>4884</v>
      </c>
      <c r="E1341" s="407" t="s">
        <v>4884</v>
      </c>
      <c r="F1341" s="483"/>
      <c r="G1341" s="483"/>
      <c r="H1341" s="483"/>
      <c r="I1341" s="483"/>
      <c r="J1341" s="483"/>
      <c r="K1341" s="483"/>
      <c r="L1341" s="608" t="s">
        <v>4884</v>
      </c>
      <c r="M1341" s="409" t="s">
        <v>4884</v>
      </c>
      <c r="N1341" s="409" t="s">
        <v>4884</v>
      </c>
      <c r="O1341" s="410" t="s">
        <v>4884</v>
      </c>
      <c r="P1341" s="406">
        <v>1338</v>
      </c>
      <c r="Q1341" s="270" t="s">
        <v>2236</v>
      </c>
      <c r="R1341" s="523" t="s">
        <v>1883</v>
      </c>
      <c r="S1341" s="270" t="s">
        <v>1884</v>
      </c>
      <c r="U1341" s="471"/>
      <c r="V1341" s="471"/>
      <c r="W1341" s="471"/>
      <c r="X1341" s="471"/>
      <c r="Y1341" s="206"/>
      <c r="Z1341" s="206"/>
    </row>
    <row r="1342" spans="1:26">
      <c r="A1342" s="406">
        <v>1339</v>
      </c>
      <c r="B1342" s="613" t="s">
        <v>7020</v>
      </c>
      <c r="C1342" s="288" t="s">
        <v>2237</v>
      </c>
      <c r="D1342" s="414" t="s">
        <v>4884</v>
      </c>
      <c r="E1342" s="407" t="s">
        <v>4884</v>
      </c>
      <c r="F1342" s="483"/>
      <c r="G1342" s="483"/>
      <c r="H1342" s="483"/>
      <c r="I1342" s="483"/>
      <c r="J1342" s="483"/>
      <c r="K1342" s="483"/>
      <c r="L1342" s="608" t="s">
        <v>4884</v>
      </c>
      <c r="M1342" s="409" t="s">
        <v>4884</v>
      </c>
      <c r="N1342" s="409" t="s">
        <v>4884</v>
      </c>
      <c r="O1342" s="410" t="s">
        <v>4884</v>
      </c>
      <c r="P1342" s="406">
        <v>1339</v>
      </c>
      <c r="Q1342" s="270" t="s">
        <v>2237</v>
      </c>
      <c r="R1342" s="523" t="s">
        <v>1883</v>
      </c>
      <c r="S1342" s="270" t="s">
        <v>1884</v>
      </c>
      <c r="U1342" s="471"/>
      <c r="V1342" s="471"/>
      <c r="W1342" s="471"/>
      <c r="X1342" s="471"/>
      <c r="Y1342" s="206"/>
      <c r="Z1342" s="206"/>
    </row>
    <row r="1343" spans="1:26">
      <c r="A1343" s="406">
        <v>1340</v>
      </c>
      <c r="B1343" s="613" t="s">
        <v>7020</v>
      </c>
      <c r="C1343" s="288" t="s">
        <v>2238</v>
      </c>
      <c r="D1343" s="414" t="s">
        <v>4884</v>
      </c>
      <c r="E1343" s="407" t="s">
        <v>4884</v>
      </c>
      <c r="F1343" s="483"/>
      <c r="G1343" s="483"/>
      <c r="H1343" s="483"/>
      <c r="I1343" s="483"/>
      <c r="J1343" s="483"/>
      <c r="K1343" s="483"/>
      <c r="L1343" s="608" t="s">
        <v>4884</v>
      </c>
      <c r="M1343" s="409" t="s">
        <v>4884</v>
      </c>
      <c r="N1343" s="409" t="s">
        <v>4884</v>
      </c>
      <c r="O1343" s="410" t="s">
        <v>4884</v>
      </c>
      <c r="P1343" s="406">
        <v>1340</v>
      </c>
      <c r="Q1343" s="270" t="s">
        <v>2238</v>
      </c>
      <c r="R1343" s="523" t="s">
        <v>1883</v>
      </c>
      <c r="S1343" s="270" t="s">
        <v>1884</v>
      </c>
      <c r="U1343" s="471"/>
      <c r="V1343" s="471"/>
      <c r="W1343" s="471"/>
      <c r="X1343" s="471"/>
      <c r="Y1343" s="206"/>
      <c r="Z1343" s="206"/>
    </row>
    <row r="1344" spans="1:26">
      <c r="A1344" s="406">
        <v>1341</v>
      </c>
      <c r="B1344" s="613" t="s">
        <v>7020</v>
      </c>
      <c r="C1344" s="288" t="s">
        <v>2239</v>
      </c>
      <c r="D1344" s="414" t="s">
        <v>4884</v>
      </c>
      <c r="E1344" s="407" t="s">
        <v>4884</v>
      </c>
      <c r="F1344" s="483"/>
      <c r="G1344" s="483"/>
      <c r="H1344" s="483"/>
      <c r="I1344" s="483"/>
      <c r="J1344" s="483"/>
      <c r="K1344" s="483"/>
      <c r="L1344" s="608" t="s">
        <v>4884</v>
      </c>
      <c r="M1344" s="409" t="s">
        <v>4884</v>
      </c>
      <c r="N1344" s="409" t="s">
        <v>4884</v>
      </c>
      <c r="O1344" s="410" t="s">
        <v>4884</v>
      </c>
      <c r="P1344" s="406">
        <v>1341</v>
      </c>
      <c r="Q1344" s="270" t="s">
        <v>2239</v>
      </c>
      <c r="R1344" s="523" t="s">
        <v>1883</v>
      </c>
      <c r="S1344" s="270" t="s">
        <v>1884</v>
      </c>
      <c r="U1344" s="471"/>
      <c r="V1344" s="471"/>
      <c r="W1344" s="471"/>
      <c r="X1344" s="471"/>
      <c r="Y1344" s="206"/>
      <c r="Z1344" s="206"/>
    </row>
    <row r="1345" spans="1:26">
      <c r="A1345" s="406">
        <v>1342</v>
      </c>
      <c r="B1345" s="613" t="s">
        <v>7020</v>
      </c>
      <c r="C1345" s="288" t="s">
        <v>2240</v>
      </c>
      <c r="D1345" s="414" t="s">
        <v>4884</v>
      </c>
      <c r="E1345" s="407" t="s">
        <v>4884</v>
      </c>
      <c r="F1345" s="483"/>
      <c r="G1345" s="483"/>
      <c r="H1345" s="483"/>
      <c r="I1345" s="483"/>
      <c r="J1345" s="483"/>
      <c r="K1345" s="483"/>
      <c r="L1345" s="608" t="s">
        <v>4884</v>
      </c>
      <c r="M1345" s="409" t="s">
        <v>4884</v>
      </c>
      <c r="N1345" s="409" t="s">
        <v>4884</v>
      </c>
      <c r="O1345" s="410" t="s">
        <v>4884</v>
      </c>
      <c r="P1345" s="406">
        <v>1342</v>
      </c>
      <c r="Q1345" s="270" t="s">
        <v>2240</v>
      </c>
      <c r="R1345" s="523" t="s">
        <v>1883</v>
      </c>
      <c r="S1345" s="270" t="s">
        <v>1884</v>
      </c>
      <c r="U1345" s="471"/>
      <c r="V1345" s="471"/>
      <c r="W1345" s="471"/>
      <c r="X1345" s="471"/>
      <c r="Y1345" s="206"/>
      <c r="Z1345" s="206"/>
    </row>
    <row r="1346" spans="1:26">
      <c r="A1346" s="406">
        <v>1343</v>
      </c>
      <c r="B1346" s="613" t="s">
        <v>7020</v>
      </c>
      <c r="C1346" s="483" t="s">
        <v>2241</v>
      </c>
      <c r="D1346" s="414" t="s">
        <v>4884</v>
      </c>
      <c r="E1346" s="407" t="s">
        <v>4884</v>
      </c>
      <c r="F1346" s="483"/>
      <c r="G1346" s="483"/>
      <c r="H1346" s="483"/>
      <c r="I1346" s="483"/>
      <c r="J1346" s="483"/>
      <c r="K1346" s="483"/>
      <c r="L1346" s="608" t="s">
        <v>4884</v>
      </c>
      <c r="M1346" s="409" t="s">
        <v>4884</v>
      </c>
      <c r="N1346" s="409" t="s">
        <v>4884</v>
      </c>
      <c r="O1346" s="410" t="s">
        <v>4884</v>
      </c>
      <c r="P1346" s="406">
        <v>1343</v>
      </c>
      <c r="Q1346" s="460" t="s">
        <v>2241</v>
      </c>
      <c r="R1346" s="460" t="s">
        <v>1883</v>
      </c>
      <c r="S1346" s="460" t="s">
        <v>1884</v>
      </c>
      <c r="U1346" s="471"/>
      <c r="V1346" s="471"/>
      <c r="W1346" s="471"/>
      <c r="X1346" s="471"/>
      <c r="Y1346" s="206"/>
      <c r="Z1346" s="206"/>
    </row>
    <row r="1347" spans="1:26">
      <c r="A1347" s="406">
        <v>1344</v>
      </c>
      <c r="B1347" s="613" t="s">
        <v>7020</v>
      </c>
      <c r="C1347" s="483" t="s">
        <v>2242</v>
      </c>
      <c r="D1347" s="414" t="s">
        <v>4884</v>
      </c>
      <c r="E1347" s="407" t="s">
        <v>4884</v>
      </c>
      <c r="F1347" s="483"/>
      <c r="G1347" s="483"/>
      <c r="H1347" s="483"/>
      <c r="I1347" s="483"/>
      <c r="J1347" s="483"/>
      <c r="K1347" s="483"/>
      <c r="L1347" s="608" t="s">
        <v>4884</v>
      </c>
      <c r="M1347" s="409" t="s">
        <v>4884</v>
      </c>
      <c r="N1347" s="409" t="s">
        <v>4884</v>
      </c>
      <c r="O1347" s="410" t="s">
        <v>4884</v>
      </c>
      <c r="P1347" s="406">
        <v>1344</v>
      </c>
      <c r="Q1347" s="460" t="s">
        <v>2242</v>
      </c>
      <c r="R1347" s="460" t="s">
        <v>1883</v>
      </c>
      <c r="S1347" s="460" t="s">
        <v>1884</v>
      </c>
      <c r="U1347" s="471"/>
      <c r="V1347" s="471"/>
      <c r="W1347" s="471"/>
      <c r="X1347" s="471"/>
      <c r="Y1347" s="206"/>
      <c r="Z1347" s="206"/>
    </row>
    <row r="1348" spans="1:26">
      <c r="A1348" s="406">
        <v>1345</v>
      </c>
      <c r="B1348" s="613" t="s">
        <v>7020</v>
      </c>
      <c r="C1348" s="483" t="s">
        <v>2243</v>
      </c>
      <c r="D1348" s="414" t="s">
        <v>4884</v>
      </c>
      <c r="E1348" s="407" t="s">
        <v>4884</v>
      </c>
      <c r="F1348" s="483"/>
      <c r="G1348" s="483"/>
      <c r="H1348" s="483"/>
      <c r="I1348" s="483"/>
      <c r="J1348" s="483"/>
      <c r="K1348" s="483"/>
      <c r="L1348" s="608" t="s">
        <v>4884</v>
      </c>
      <c r="M1348" s="409" t="s">
        <v>4884</v>
      </c>
      <c r="N1348" s="409" t="s">
        <v>4884</v>
      </c>
      <c r="O1348" s="410" t="s">
        <v>4884</v>
      </c>
      <c r="P1348" s="406">
        <v>1345</v>
      </c>
      <c r="Q1348" s="460" t="s">
        <v>2243</v>
      </c>
      <c r="R1348" s="460" t="s">
        <v>1883</v>
      </c>
      <c r="S1348" s="460" t="s">
        <v>1884</v>
      </c>
      <c r="U1348" s="471"/>
      <c r="V1348" s="471"/>
      <c r="W1348" s="471"/>
      <c r="X1348" s="471"/>
      <c r="Y1348" s="206"/>
      <c r="Z1348" s="206"/>
    </row>
    <row r="1349" spans="1:26">
      <c r="A1349" s="406">
        <v>1346</v>
      </c>
      <c r="B1349" s="613" t="s">
        <v>7020</v>
      </c>
      <c r="C1349" s="483" t="s">
        <v>2244</v>
      </c>
      <c r="D1349" s="414" t="s">
        <v>4884</v>
      </c>
      <c r="E1349" s="407" t="s">
        <v>4884</v>
      </c>
      <c r="F1349" s="483"/>
      <c r="G1349" s="483"/>
      <c r="H1349" s="483"/>
      <c r="I1349" s="483"/>
      <c r="J1349" s="483"/>
      <c r="K1349" s="483"/>
      <c r="L1349" s="608" t="s">
        <v>4884</v>
      </c>
      <c r="M1349" s="409" t="s">
        <v>4884</v>
      </c>
      <c r="N1349" s="409" t="s">
        <v>4884</v>
      </c>
      <c r="O1349" s="410" t="s">
        <v>4884</v>
      </c>
      <c r="P1349" s="406">
        <v>1346</v>
      </c>
      <c r="Q1349" s="460" t="s">
        <v>2244</v>
      </c>
      <c r="R1349" s="460" t="s">
        <v>2245</v>
      </c>
      <c r="S1349" s="460" t="s">
        <v>1528</v>
      </c>
      <c r="T1349" s="487" t="s">
        <v>2246</v>
      </c>
      <c r="U1349" s="471"/>
      <c r="V1349" s="471"/>
      <c r="W1349" s="471"/>
      <c r="X1349" s="471"/>
      <c r="Y1349" s="206"/>
      <c r="Z1349" s="206"/>
    </row>
    <row r="1350" spans="1:26">
      <c r="A1350" s="406">
        <v>1347</v>
      </c>
      <c r="B1350" s="613" t="s">
        <v>7020</v>
      </c>
      <c r="C1350" s="483" t="s">
        <v>2247</v>
      </c>
      <c r="D1350" s="414" t="s">
        <v>4884</v>
      </c>
      <c r="E1350" s="407" t="s">
        <v>4884</v>
      </c>
      <c r="F1350" s="483"/>
      <c r="G1350" s="483"/>
      <c r="H1350" s="483"/>
      <c r="I1350" s="483"/>
      <c r="J1350" s="483"/>
      <c r="K1350" s="483"/>
      <c r="L1350" s="608" t="s">
        <v>4884</v>
      </c>
      <c r="M1350" s="409" t="s">
        <v>4884</v>
      </c>
      <c r="N1350" s="409" t="s">
        <v>4884</v>
      </c>
      <c r="O1350" s="410" t="s">
        <v>4884</v>
      </c>
      <c r="P1350" s="406">
        <v>1347</v>
      </c>
      <c r="Q1350" s="460" t="s">
        <v>2247</v>
      </c>
      <c r="R1350" s="460" t="s">
        <v>2249</v>
      </c>
      <c r="S1350" s="460" t="s">
        <v>1528</v>
      </c>
      <c r="T1350" s="492" t="s">
        <v>1622</v>
      </c>
      <c r="U1350" s="471"/>
      <c r="V1350" s="471"/>
      <c r="W1350" s="471"/>
      <c r="X1350" s="471"/>
      <c r="Y1350" s="206"/>
      <c r="Z1350" s="206"/>
    </row>
    <row r="1351" spans="1:26">
      <c r="A1351" s="406">
        <v>1348</v>
      </c>
      <c r="B1351" s="613" t="s">
        <v>7020</v>
      </c>
      <c r="C1351" s="483" t="s">
        <v>2250</v>
      </c>
      <c r="D1351" s="414" t="s">
        <v>4884</v>
      </c>
      <c r="E1351" s="407" t="s">
        <v>4884</v>
      </c>
      <c r="F1351" s="483"/>
      <c r="G1351" s="483"/>
      <c r="H1351" s="483"/>
      <c r="I1351" s="483"/>
      <c r="J1351" s="483"/>
      <c r="K1351" s="483"/>
      <c r="L1351" s="608" t="s">
        <v>4884</v>
      </c>
      <c r="M1351" s="409" t="s">
        <v>4884</v>
      </c>
      <c r="N1351" s="409" t="s">
        <v>4884</v>
      </c>
      <c r="O1351" s="410" t="s">
        <v>4884</v>
      </c>
      <c r="P1351" s="406">
        <v>1348</v>
      </c>
      <c r="Q1351" s="460" t="s">
        <v>2250</v>
      </c>
      <c r="R1351" s="460" t="s">
        <v>2252</v>
      </c>
      <c r="S1351" s="460" t="s">
        <v>1528</v>
      </c>
      <c r="T1351" s="493" t="s">
        <v>1629</v>
      </c>
      <c r="U1351" s="471"/>
      <c r="V1351" s="471"/>
      <c r="W1351" s="471"/>
      <c r="X1351" s="471"/>
      <c r="Y1351" s="206"/>
      <c r="Z1351" s="206"/>
    </row>
    <row r="1352" spans="1:26">
      <c r="A1352" s="406">
        <v>1349</v>
      </c>
      <c r="B1352" s="613" t="s">
        <v>7020</v>
      </c>
      <c r="C1352" s="483" t="s">
        <v>2253</v>
      </c>
      <c r="D1352" s="414" t="s">
        <v>4884</v>
      </c>
      <c r="E1352" s="407" t="s">
        <v>4884</v>
      </c>
      <c r="F1352" s="483"/>
      <c r="G1352" s="483"/>
      <c r="H1352" s="483"/>
      <c r="I1352" s="483"/>
      <c r="J1352" s="483"/>
      <c r="K1352" s="483"/>
      <c r="L1352" s="608" t="s">
        <v>4884</v>
      </c>
      <c r="M1352" s="409" t="s">
        <v>4884</v>
      </c>
      <c r="N1352" s="409" t="s">
        <v>4884</v>
      </c>
      <c r="O1352" s="410" t="s">
        <v>4884</v>
      </c>
      <c r="P1352" s="406">
        <v>1349</v>
      </c>
      <c r="Q1352" s="460" t="s">
        <v>2253</v>
      </c>
      <c r="R1352" s="460" t="s">
        <v>2248</v>
      </c>
      <c r="S1352" s="460" t="s">
        <v>1528</v>
      </c>
      <c r="T1352" s="495" t="s">
        <v>1728</v>
      </c>
      <c r="U1352" s="471"/>
      <c r="V1352" s="471"/>
      <c r="W1352" s="471"/>
      <c r="X1352" s="471"/>
      <c r="Y1352" s="206"/>
      <c r="Z1352" s="206"/>
    </row>
    <row r="1353" spans="1:26">
      <c r="A1353" s="406">
        <v>1350</v>
      </c>
      <c r="B1353" s="613" t="s">
        <v>7020</v>
      </c>
      <c r="C1353" s="483" t="s">
        <v>2255</v>
      </c>
      <c r="D1353" s="414" t="s">
        <v>4884</v>
      </c>
      <c r="E1353" s="407" t="s">
        <v>4884</v>
      </c>
      <c r="F1353" s="483"/>
      <c r="G1353" s="483"/>
      <c r="H1353" s="483"/>
      <c r="I1353" s="483"/>
      <c r="J1353" s="483"/>
      <c r="K1353" s="483"/>
      <c r="L1353" s="608" t="s">
        <v>4884</v>
      </c>
      <c r="M1353" s="409" t="s">
        <v>4884</v>
      </c>
      <c r="N1353" s="409" t="s">
        <v>4884</v>
      </c>
      <c r="O1353" s="410" t="s">
        <v>4884</v>
      </c>
      <c r="P1353" s="406">
        <v>1350</v>
      </c>
      <c r="Q1353" s="460" t="s">
        <v>2255</v>
      </c>
      <c r="R1353" s="460" t="s">
        <v>2256</v>
      </c>
      <c r="S1353" s="460" t="s">
        <v>1528</v>
      </c>
      <c r="T1353" s="524" t="s">
        <v>1763</v>
      </c>
      <c r="U1353" s="471"/>
      <c r="V1353" s="471"/>
      <c r="W1353" s="471"/>
      <c r="X1353" s="471"/>
      <c r="Y1353" s="206"/>
      <c r="Z1353" s="206"/>
    </row>
    <row r="1354" spans="1:26">
      <c r="A1354" s="406">
        <v>1351</v>
      </c>
      <c r="B1354" s="613" t="s">
        <v>7020</v>
      </c>
      <c r="C1354" s="483" t="s">
        <v>2257</v>
      </c>
      <c r="D1354" s="414" t="s">
        <v>4884</v>
      </c>
      <c r="E1354" s="407" t="s">
        <v>4884</v>
      </c>
      <c r="F1354" s="483"/>
      <c r="G1354" s="483"/>
      <c r="H1354" s="483"/>
      <c r="I1354" s="483"/>
      <c r="J1354" s="483"/>
      <c r="K1354" s="483"/>
      <c r="L1354" s="608" t="s">
        <v>4884</v>
      </c>
      <c r="M1354" s="409" t="s">
        <v>4884</v>
      </c>
      <c r="N1354" s="409" t="s">
        <v>4884</v>
      </c>
      <c r="O1354" s="410" t="s">
        <v>4884</v>
      </c>
      <c r="P1354" s="406">
        <v>1351</v>
      </c>
      <c r="Q1354" s="460" t="s">
        <v>2257</v>
      </c>
      <c r="R1354" s="460" t="s">
        <v>2251</v>
      </c>
      <c r="S1354" s="460" t="s">
        <v>1528</v>
      </c>
      <c r="T1354" s="493" t="s">
        <v>1766</v>
      </c>
      <c r="U1354" s="471"/>
      <c r="V1354" s="471"/>
      <c r="W1354" s="471"/>
      <c r="X1354" s="471"/>
      <c r="Y1354" s="206"/>
      <c r="Z1354" s="206"/>
    </row>
    <row r="1355" spans="1:26">
      <c r="A1355" s="406">
        <v>1352</v>
      </c>
      <c r="B1355" s="613" t="s">
        <v>7020</v>
      </c>
      <c r="C1355" s="483" t="s">
        <v>2258</v>
      </c>
      <c r="D1355" s="414" t="s">
        <v>4884</v>
      </c>
      <c r="E1355" s="407" t="s">
        <v>4884</v>
      </c>
      <c r="F1355" s="483"/>
      <c r="G1355" s="483"/>
      <c r="H1355" s="483"/>
      <c r="I1355" s="483"/>
      <c r="J1355" s="483"/>
      <c r="K1355" s="483"/>
      <c r="L1355" s="608" t="s">
        <v>4884</v>
      </c>
      <c r="M1355" s="409" t="s">
        <v>4884</v>
      </c>
      <c r="N1355" s="409" t="s">
        <v>4884</v>
      </c>
      <c r="O1355" s="410" t="s">
        <v>4884</v>
      </c>
      <c r="P1355" s="406">
        <v>1352</v>
      </c>
      <c r="Q1355" s="460" t="s">
        <v>2258</v>
      </c>
      <c r="R1355" s="460" t="s">
        <v>2254</v>
      </c>
      <c r="S1355" s="460" t="s">
        <v>1528</v>
      </c>
      <c r="T1355" s="481" t="s">
        <v>1838</v>
      </c>
      <c r="U1355" s="471"/>
      <c r="V1355" s="471"/>
      <c r="W1355" s="471"/>
      <c r="X1355" s="471"/>
      <c r="Y1355" s="206"/>
      <c r="Z1355" s="206"/>
    </row>
    <row r="1356" spans="1:26">
      <c r="A1356" s="406">
        <v>1353</v>
      </c>
      <c r="B1356" s="613" t="s">
        <v>6032</v>
      </c>
      <c r="C1356" s="288" t="s">
        <v>2259</v>
      </c>
      <c r="D1356" s="414" t="s">
        <v>4837</v>
      </c>
      <c r="E1356" s="407" t="s">
        <v>9006</v>
      </c>
      <c r="F1356" s="483"/>
      <c r="G1356" s="483"/>
      <c r="H1356" s="483"/>
      <c r="I1356" s="483"/>
      <c r="J1356" s="483"/>
      <c r="K1356" s="483"/>
      <c r="L1356" s="608" t="s">
        <v>4884</v>
      </c>
      <c r="M1356" s="409">
        <v>8757.1889763779527</v>
      </c>
      <c r="N1356" s="409">
        <v>8757.1889763779527</v>
      </c>
      <c r="O1356" s="410" t="s">
        <v>7569</v>
      </c>
      <c r="P1356" s="406">
        <v>1353</v>
      </c>
      <c r="Q1356" s="470" t="s">
        <v>2259</v>
      </c>
      <c r="R1356" s="270" t="s">
        <v>2260</v>
      </c>
      <c r="S1356" s="270" t="s">
        <v>7</v>
      </c>
      <c r="U1356" s="471"/>
      <c r="V1356" s="471"/>
      <c r="W1356" s="471" t="s">
        <v>2260</v>
      </c>
      <c r="X1356" s="471">
        <v>1</v>
      </c>
      <c r="Y1356" s="206"/>
      <c r="Z1356" s="206"/>
    </row>
    <row r="1357" spans="1:26">
      <c r="A1357" s="406">
        <v>1354</v>
      </c>
      <c r="B1357" s="613" t="s">
        <v>7020</v>
      </c>
      <c r="C1357" s="288" t="s">
        <v>2261</v>
      </c>
      <c r="D1357" s="414" t="s">
        <v>4884</v>
      </c>
      <c r="E1357" s="407"/>
      <c r="F1357" s="483"/>
      <c r="G1357" s="483"/>
      <c r="H1357" s="483"/>
      <c r="I1357" s="483"/>
      <c r="J1357" s="483"/>
      <c r="K1357" s="483"/>
      <c r="L1357" s="608" t="s">
        <v>4884</v>
      </c>
      <c r="M1357" s="409" t="s">
        <v>4884</v>
      </c>
      <c r="N1357" s="409" t="s">
        <v>4884</v>
      </c>
      <c r="O1357" s="410" t="s">
        <v>4884</v>
      </c>
      <c r="P1357" s="406">
        <v>1354</v>
      </c>
      <c r="Q1357" s="470" t="s">
        <v>2261</v>
      </c>
      <c r="R1357" s="270" t="s">
        <v>2262</v>
      </c>
      <c r="S1357" s="270" t="s">
        <v>7</v>
      </c>
      <c r="U1357" s="471"/>
      <c r="V1357" s="471"/>
      <c r="W1357" s="471" t="s">
        <v>2262</v>
      </c>
      <c r="X1357" s="471">
        <v>0</v>
      </c>
      <c r="Y1357" s="206"/>
      <c r="Z1357" s="206"/>
    </row>
    <row r="1358" spans="1:26">
      <c r="A1358" s="406">
        <v>1355</v>
      </c>
      <c r="B1358" s="613" t="s">
        <v>7020</v>
      </c>
      <c r="C1358" s="288" t="s">
        <v>2263</v>
      </c>
      <c r="D1358" s="414" t="s">
        <v>4884</v>
      </c>
      <c r="E1358" s="407"/>
      <c r="F1358" s="483"/>
      <c r="G1358" s="483"/>
      <c r="H1358" s="483"/>
      <c r="I1358" s="483"/>
      <c r="J1358" s="483"/>
      <c r="K1358" s="483"/>
      <c r="L1358" s="608" t="s">
        <v>4884</v>
      </c>
      <c r="M1358" s="409" t="s">
        <v>4884</v>
      </c>
      <c r="N1358" s="409" t="s">
        <v>4884</v>
      </c>
      <c r="O1358" s="410" t="s">
        <v>4884</v>
      </c>
      <c r="P1358" s="406">
        <v>1355</v>
      </c>
      <c r="Q1358" s="470" t="s">
        <v>2263</v>
      </c>
      <c r="R1358" s="270" t="s">
        <v>2264</v>
      </c>
      <c r="S1358" s="270" t="s">
        <v>7</v>
      </c>
      <c r="U1358" s="471"/>
      <c r="V1358" s="471"/>
      <c r="W1358" s="471" t="s">
        <v>2264</v>
      </c>
      <c r="X1358" s="471">
        <v>0</v>
      </c>
      <c r="Y1358" s="206"/>
      <c r="Z1358" s="206"/>
    </row>
    <row r="1359" spans="1:26">
      <c r="A1359" s="406">
        <v>1356</v>
      </c>
      <c r="B1359" s="613" t="s">
        <v>7020</v>
      </c>
      <c r="C1359" s="288" t="s">
        <v>2265</v>
      </c>
      <c r="D1359" s="414" t="s">
        <v>4884</v>
      </c>
      <c r="E1359" s="407"/>
      <c r="F1359" s="483" t="s">
        <v>4974</v>
      </c>
      <c r="G1359" s="411"/>
      <c r="H1359" s="411"/>
      <c r="I1359" s="411"/>
      <c r="J1359" s="411"/>
      <c r="K1359" s="411"/>
      <c r="L1359" s="608" t="s">
        <v>4884</v>
      </c>
      <c r="M1359" s="409" t="s">
        <v>4884</v>
      </c>
      <c r="N1359" s="409" t="s">
        <v>4884</v>
      </c>
      <c r="O1359" s="410" t="s">
        <v>4884</v>
      </c>
      <c r="P1359" s="406">
        <v>1356</v>
      </c>
      <c r="Q1359" s="470" t="s">
        <v>2265</v>
      </c>
      <c r="R1359" s="270" t="s">
        <v>2266</v>
      </c>
      <c r="S1359" s="270" t="s">
        <v>7</v>
      </c>
      <c r="U1359" s="471"/>
      <c r="V1359" s="471"/>
      <c r="W1359" s="471" t="s">
        <v>2266</v>
      </c>
      <c r="X1359" s="471">
        <v>0</v>
      </c>
      <c r="Y1359" s="206"/>
      <c r="Z1359" s="206"/>
    </row>
    <row r="1360" spans="1:26">
      <c r="A1360" s="406">
        <v>1357</v>
      </c>
      <c r="B1360" s="613" t="s">
        <v>5580</v>
      </c>
      <c r="C1360" s="288" t="s">
        <v>2267</v>
      </c>
      <c r="D1360" s="414" t="s">
        <v>4629</v>
      </c>
      <c r="E1360" s="407" t="s">
        <v>9007</v>
      </c>
      <c r="F1360" s="483" t="s">
        <v>5579</v>
      </c>
      <c r="G1360" s="411" t="s">
        <v>5581</v>
      </c>
      <c r="H1360" s="411"/>
      <c r="I1360" s="411"/>
      <c r="J1360" s="411"/>
      <c r="K1360" s="411"/>
      <c r="L1360" s="608">
        <v>13811.385826771653</v>
      </c>
      <c r="M1360" s="409">
        <v>1248.1614173228347</v>
      </c>
      <c r="N1360" s="409">
        <v>15059.547244094489</v>
      </c>
      <c r="O1360" s="410" t="s">
        <v>7768</v>
      </c>
      <c r="P1360" s="406">
        <v>1357</v>
      </c>
      <c r="Q1360" s="470" t="s">
        <v>2267</v>
      </c>
      <c r="R1360" s="270" t="s">
        <v>2268</v>
      </c>
      <c r="S1360" s="270" t="s">
        <v>7</v>
      </c>
      <c r="U1360" s="471"/>
      <c r="V1360" s="471"/>
      <c r="W1360" s="471" t="s">
        <v>2268</v>
      </c>
      <c r="X1360" s="471">
        <v>1</v>
      </c>
      <c r="Y1360" s="206"/>
      <c r="Z1360" s="206"/>
    </row>
    <row r="1361" spans="1:26">
      <c r="A1361" s="406">
        <v>1358</v>
      </c>
      <c r="B1361" s="613" t="s">
        <v>5582</v>
      </c>
      <c r="C1361" s="288" t="s">
        <v>2269</v>
      </c>
      <c r="D1361" s="414" t="s">
        <v>4661</v>
      </c>
      <c r="E1361" s="407" t="s">
        <v>9008</v>
      </c>
      <c r="F1361" s="483" t="s">
        <v>5584</v>
      </c>
      <c r="G1361" s="411" t="s">
        <v>5583</v>
      </c>
      <c r="H1361" s="411"/>
      <c r="I1361" s="411"/>
      <c r="J1361" s="411"/>
      <c r="K1361" s="411"/>
      <c r="L1361" s="608">
        <v>13811.850393700788</v>
      </c>
      <c r="M1361" s="409">
        <v>1249.9960629921261</v>
      </c>
      <c r="N1361" s="409">
        <v>15061.846456692916</v>
      </c>
      <c r="O1361" s="410" t="s">
        <v>7768</v>
      </c>
      <c r="P1361" s="406">
        <v>1358</v>
      </c>
      <c r="Q1361" s="470" t="s">
        <v>2269</v>
      </c>
      <c r="R1361" s="270" t="s">
        <v>2270</v>
      </c>
      <c r="S1361" s="270" t="s">
        <v>7</v>
      </c>
      <c r="U1361" s="471"/>
      <c r="V1361" s="471"/>
      <c r="W1361" s="471" t="s">
        <v>2270</v>
      </c>
      <c r="X1361" s="471">
        <v>1</v>
      </c>
      <c r="Y1361" s="206"/>
      <c r="Z1361" s="206"/>
    </row>
    <row r="1362" spans="1:26">
      <c r="A1362" s="406">
        <v>1359</v>
      </c>
      <c r="B1362" s="613" t="s">
        <v>7020</v>
      </c>
      <c r="C1362" s="288" t="s">
        <v>2271</v>
      </c>
      <c r="D1362" s="407" t="s">
        <v>4884</v>
      </c>
      <c r="E1362" s="407" t="s">
        <v>4884</v>
      </c>
      <c r="F1362" s="483"/>
      <c r="G1362" s="483"/>
      <c r="H1362" s="483"/>
      <c r="I1362" s="483"/>
      <c r="J1362" s="483"/>
      <c r="K1362" s="483"/>
      <c r="L1362" s="608" t="s">
        <v>4884</v>
      </c>
      <c r="M1362" s="409" t="s">
        <v>4884</v>
      </c>
      <c r="N1362" s="409" t="s">
        <v>4884</v>
      </c>
      <c r="O1362" s="410" t="s">
        <v>4884</v>
      </c>
      <c r="P1362" s="406">
        <v>1359</v>
      </c>
      <c r="Q1362" s="470" t="s">
        <v>2271</v>
      </c>
      <c r="R1362" s="270" t="s">
        <v>2272</v>
      </c>
      <c r="S1362" s="270" t="s">
        <v>716</v>
      </c>
      <c r="U1362" s="471"/>
      <c r="V1362" s="471">
        <v>0</v>
      </c>
      <c r="W1362" s="471"/>
      <c r="X1362" s="471"/>
      <c r="Y1362" s="206"/>
      <c r="Z1362" s="206"/>
    </row>
    <row r="1363" spans="1:26">
      <c r="L1363" s="412"/>
      <c r="M1363" s="235"/>
      <c r="N1363" s="235"/>
      <c r="O1363" s="206"/>
      <c r="U1363" s="471"/>
      <c r="V1363" s="471"/>
      <c r="W1363" s="471"/>
      <c r="X1363" s="471"/>
      <c r="Y1363" s="206"/>
      <c r="Z1363" s="206"/>
    </row>
    <row r="1364" spans="1:26">
      <c r="B1364" s="288" t="s">
        <v>7358</v>
      </c>
      <c r="C1364" s="461" t="s">
        <v>2273</v>
      </c>
      <c r="D1364" s="407" t="s">
        <v>3434</v>
      </c>
      <c r="E1364" s="407" t="s">
        <v>9009</v>
      </c>
      <c r="F1364" s="288"/>
      <c r="G1364" s="288"/>
      <c r="H1364" s="288"/>
      <c r="I1364" s="288"/>
      <c r="J1364" s="288"/>
      <c r="K1364" s="288"/>
      <c r="L1364" s="610"/>
      <c r="M1364" s="269"/>
      <c r="N1364" s="269"/>
      <c r="O1364" s="288"/>
      <c r="Q1364" s="460" t="s">
        <v>2273</v>
      </c>
      <c r="R1364" s="460" t="s">
        <v>2273</v>
      </c>
      <c r="U1364" s="471">
        <v>1</v>
      </c>
      <c r="V1364" s="471"/>
      <c r="W1364" s="461" t="s">
        <v>2273</v>
      </c>
      <c r="X1364" s="471"/>
      <c r="Y1364" s="206"/>
      <c r="Z1364" s="206"/>
    </row>
    <row r="1365" spans="1:26">
      <c r="B1365" s="288" t="s">
        <v>7358</v>
      </c>
      <c r="C1365" s="461" t="s">
        <v>4896</v>
      </c>
      <c r="D1365" s="407" t="s">
        <v>3441</v>
      </c>
      <c r="E1365" s="407" t="s">
        <v>9010</v>
      </c>
      <c r="F1365" s="288"/>
      <c r="G1365" s="288"/>
      <c r="H1365" s="288"/>
      <c r="I1365" s="288"/>
      <c r="J1365" s="288"/>
      <c r="K1365" s="288"/>
      <c r="L1365" s="610"/>
      <c r="M1365" s="269"/>
      <c r="N1365" s="269"/>
      <c r="O1365" s="288"/>
      <c r="Q1365" s="460" t="s">
        <v>4896</v>
      </c>
      <c r="R1365" s="460" t="s">
        <v>4896</v>
      </c>
      <c r="U1365" s="471"/>
      <c r="V1365" s="471">
        <v>1</v>
      </c>
      <c r="W1365" s="461" t="s">
        <v>4896</v>
      </c>
      <c r="X1365" s="471"/>
      <c r="Y1365" s="206"/>
      <c r="Z1365" s="206"/>
    </row>
    <row r="1366" spans="1:26">
      <c r="L1366" s="412"/>
      <c r="M1366" s="235"/>
      <c r="N1366" s="235"/>
      <c r="O1366" s="206"/>
      <c r="U1366" s="471"/>
      <c r="V1366" s="471"/>
      <c r="W1366" s="462" t="s">
        <v>7518</v>
      </c>
      <c r="X1366" s="463"/>
      <c r="Y1366" s="206"/>
      <c r="Z1366" s="206"/>
    </row>
    <row r="1367" spans="1:26">
      <c r="L1367" s="412"/>
      <c r="M1367" s="235"/>
      <c r="N1367" s="235"/>
      <c r="O1367" s="206"/>
    </row>
    <row r="1368" spans="1:26">
      <c r="L1368" s="412"/>
      <c r="M1368" s="235"/>
      <c r="N1368" s="235"/>
      <c r="O1368" s="206"/>
    </row>
    <row r="1369" spans="1:26">
      <c r="L1369" s="412"/>
      <c r="M1369" s="235"/>
      <c r="N1369" s="235"/>
      <c r="O1369" s="206"/>
    </row>
    <row r="1370" spans="1:26">
      <c r="L1370" s="412"/>
      <c r="M1370" s="235"/>
      <c r="N1370" s="235"/>
      <c r="O1370" s="206"/>
    </row>
    <row r="1371" spans="1:26">
      <c r="L1371" s="412"/>
      <c r="M1371" s="235"/>
      <c r="N1371" s="235"/>
      <c r="O1371" s="206"/>
    </row>
    <row r="1372" spans="1:26">
      <c r="L1372" s="412"/>
      <c r="M1372" s="235"/>
      <c r="N1372" s="235"/>
      <c r="O1372" s="206"/>
    </row>
    <row r="1373" spans="1:26">
      <c r="L1373" s="412"/>
      <c r="M1373" s="235"/>
      <c r="N1373" s="235"/>
      <c r="O1373" s="206"/>
    </row>
    <row r="1374" spans="1:26">
      <c r="L1374" s="412"/>
      <c r="M1374" s="235"/>
      <c r="N1374" s="235"/>
      <c r="O1374" s="206"/>
    </row>
    <row r="1375" spans="1:26">
      <c r="L1375" s="412"/>
      <c r="M1375" s="235"/>
      <c r="N1375" s="235"/>
      <c r="O1375" s="206"/>
    </row>
    <row r="1376" spans="1:26">
      <c r="L1376" s="412"/>
      <c r="M1376" s="235"/>
      <c r="N1376" s="235"/>
      <c r="O1376" s="206"/>
    </row>
    <row r="1377" spans="12:15">
      <c r="L1377" s="412"/>
      <c r="M1377" s="235"/>
      <c r="N1377" s="235"/>
      <c r="O1377" s="206"/>
    </row>
    <row r="1378" spans="12:15">
      <c r="L1378" s="412"/>
      <c r="M1378" s="235"/>
      <c r="N1378" s="235"/>
      <c r="O1378" s="206"/>
    </row>
    <row r="1379" spans="12:15">
      <c r="L1379" s="412"/>
      <c r="M1379" s="235"/>
      <c r="N1379" s="235"/>
      <c r="O1379" s="206"/>
    </row>
    <row r="1380" spans="12:15">
      <c r="L1380" s="412"/>
      <c r="M1380" s="235"/>
      <c r="N1380" s="235"/>
      <c r="O1380" s="206"/>
    </row>
    <row r="1381" spans="12:15">
      <c r="L1381" s="412"/>
      <c r="M1381" s="235"/>
      <c r="N1381" s="235"/>
      <c r="O1381" s="206"/>
    </row>
    <row r="1382" spans="12:15">
      <c r="L1382" s="412"/>
      <c r="M1382" s="235"/>
      <c r="N1382" s="235"/>
      <c r="O1382" s="206"/>
    </row>
    <row r="1383" spans="12:15">
      <c r="L1383" s="412"/>
      <c r="M1383" s="235"/>
      <c r="N1383" s="235"/>
      <c r="O1383" s="206"/>
    </row>
    <row r="1384" spans="12:15">
      <c r="L1384" s="412"/>
      <c r="M1384" s="235"/>
      <c r="N1384" s="235"/>
      <c r="O1384" s="206"/>
    </row>
    <row r="1385" spans="12:15">
      <c r="L1385" s="412"/>
      <c r="M1385" s="235"/>
      <c r="N1385" s="235"/>
      <c r="O1385" s="206"/>
    </row>
    <row r="1386" spans="12:15">
      <c r="L1386" s="412"/>
      <c r="M1386" s="235"/>
      <c r="N1386" s="235"/>
      <c r="O1386" s="206"/>
    </row>
    <row r="1387" spans="12:15">
      <c r="L1387" s="412"/>
      <c r="M1387" s="235"/>
      <c r="N1387" s="235"/>
      <c r="O1387" s="206"/>
    </row>
    <row r="1388" spans="12:15">
      <c r="L1388" s="412"/>
      <c r="M1388" s="235"/>
      <c r="N1388" s="235"/>
      <c r="O1388" s="206"/>
    </row>
    <row r="1389" spans="12:15">
      <c r="L1389" s="412"/>
      <c r="M1389" s="235"/>
      <c r="N1389" s="235"/>
      <c r="O1389" s="206"/>
    </row>
    <row r="1390" spans="12:15">
      <c r="L1390" s="412"/>
      <c r="M1390" s="235"/>
      <c r="N1390" s="235"/>
      <c r="O1390" s="206"/>
    </row>
    <row r="1391" spans="12:15">
      <c r="L1391" s="412"/>
      <c r="M1391" s="235"/>
      <c r="N1391" s="235"/>
      <c r="O1391" s="206"/>
    </row>
    <row r="1392" spans="12:15">
      <c r="L1392" s="412"/>
      <c r="M1392" s="235"/>
      <c r="N1392" s="235"/>
      <c r="O1392" s="206"/>
    </row>
    <row r="1393" spans="12:15">
      <c r="L1393" s="412"/>
      <c r="M1393" s="235"/>
      <c r="N1393" s="235"/>
      <c r="O1393" s="206"/>
    </row>
    <row r="1394" spans="12:15">
      <c r="L1394" s="412"/>
      <c r="M1394" s="235"/>
      <c r="N1394" s="235"/>
      <c r="O1394" s="206"/>
    </row>
    <row r="1395" spans="12:15">
      <c r="L1395" s="412"/>
      <c r="M1395" s="235"/>
      <c r="N1395" s="235"/>
      <c r="O1395" s="206"/>
    </row>
    <row r="1396" spans="12:15">
      <c r="L1396" s="412"/>
      <c r="M1396" s="235"/>
      <c r="N1396" s="235"/>
      <c r="O1396" s="206"/>
    </row>
    <row r="1397" spans="12:15">
      <c r="L1397" s="412"/>
      <c r="M1397" s="235"/>
      <c r="N1397" s="235"/>
      <c r="O1397" s="206"/>
    </row>
    <row r="1398" spans="12:15">
      <c r="L1398" s="412"/>
      <c r="M1398" s="235"/>
      <c r="N1398" s="235"/>
      <c r="O1398" s="206"/>
    </row>
    <row r="1399" spans="12:15">
      <c r="L1399" s="412"/>
      <c r="M1399" s="235"/>
      <c r="N1399" s="235"/>
      <c r="O1399" s="206"/>
    </row>
    <row r="1400" spans="12:15">
      <c r="L1400" s="412"/>
      <c r="M1400" s="235"/>
      <c r="N1400" s="235"/>
      <c r="O1400" s="206"/>
    </row>
    <row r="1401" spans="12:15">
      <c r="L1401" s="412"/>
      <c r="M1401" s="235"/>
      <c r="N1401" s="235"/>
      <c r="O1401" s="206"/>
    </row>
    <row r="1402" spans="12:15">
      <c r="L1402" s="412"/>
      <c r="M1402" s="235"/>
      <c r="N1402" s="235"/>
      <c r="O1402" s="206"/>
    </row>
    <row r="1403" spans="12:15">
      <c r="L1403" s="412"/>
      <c r="M1403" s="235"/>
      <c r="N1403" s="235"/>
      <c r="O1403" s="206"/>
    </row>
    <row r="1404" spans="12:15">
      <c r="L1404" s="412"/>
      <c r="M1404" s="235"/>
      <c r="N1404" s="235"/>
      <c r="O1404" s="206"/>
    </row>
    <row r="1405" spans="12:15">
      <c r="L1405" s="412"/>
      <c r="M1405" s="235"/>
      <c r="N1405" s="235"/>
      <c r="O1405" s="206"/>
    </row>
    <row r="1406" spans="12:15">
      <c r="L1406" s="412"/>
      <c r="M1406" s="235"/>
      <c r="N1406" s="235"/>
      <c r="O1406" s="206"/>
    </row>
    <row r="1407" spans="12:15">
      <c r="L1407" s="412"/>
      <c r="M1407" s="235"/>
      <c r="N1407" s="235"/>
      <c r="O1407" s="206"/>
    </row>
    <row r="1408" spans="12:15">
      <c r="L1408" s="412"/>
      <c r="M1408" s="235"/>
      <c r="N1408" s="235"/>
      <c r="O1408" s="206"/>
    </row>
    <row r="1409" spans="12:15">
      <c r="L1409" s="412"/>
      <c r="M1409" s="235"/>
      <c r="N1409" s="235"/>
      <c r="O1409" s="206"/>
    </row>
    <row r="1410" spans="12:15">
      <c r="L1410" s="412"/>
      <c r="M1410" s="235"/>
      <c r="N1410" s="235"/>
      <c r="O1410" s="206"/>
    </row>
    <row r="1411" spans="12:15">
      <c r="L1411" s="412"/>
      <c r="M1411" s="235"/>
      <c r="N1411" s="235"/>
      <c r="O1411" s="206"/>
    </row>
    <row r="1412" spans="12:15">
      <c r="L1412" s="412"/>
      <c r="M1412" s="235"/>
      <c r="N1412" s="235"/>
      <c r="O1412" s="206"/>
    </row>
    <row r="1413" spans="12:15">
      <c r="L1413" s="412"/>
      <c r="M1413" s="235"/>
      <c r="N1413" s="235"/>
      <c r="O1413" s="206"/>
    </row>
    <row r="1414" spans="12:15">
      <c r="L1414" s="412"/>
      <c r="M1414" s="235"/>
      <c r="N1414" s="235"/>
      <c r="O1414" s="206"/>
    </row>
    <row r="1415" spans="12:15">
      <c r="L1415" s="412"/>
      <c r="M1415" s="235"/>
      <c r="N1415" s="235"/>
      <c r="O1415" s="206"/>
    </row>
    <row r="1416" spans="12:15">
      <c r="L1416" s="412"/>
      <c r="M1416" s="235"/>
      <c r="N1416" s="235"/>
      <c r="O1416" s="206"/>
    </row>
    <row r="1417" spans="12:15">
      <c r="L1417" s="412"/>
      <c r="M1417" s="235"/>
      <c r="N1417" s="235"/>
      <c r="O1417" s="206"/>
    </row>
    <row r="1418" spans="12:15">
      <c r="L1418" s="412"/>
      <c r="M1418" s="235"/>
      <c r="N1418" s="235"/>
      <c r="O1418" s="206"/>
    </row>
    <row r="1419" spans="12:15">
      <c r="L1419" s="412"/>
      <c r="M1419" s="235"/>
      <c r="N1419" s="235"/>
      <c r="O1419" s="206"/>
    </row>
    <row r="1420" spans="12:15">
      <c r="L1420" s="412"/>
      <c r="M1420" s="235"/>
      <c r="N1420" s="235"/>
      <c r="O1420" s="206"/>
    </row>
    <row r="1421" spans="12:15">
      <c r="L1421" s="412"/>
      <c r="M1421" s="235"/>
      <c r="N1421" s="235"/>
      <c r="O1421" s="206"/>
    </row>
    <row r="1422" spans="12:15">
      <c r="L1422" s="412"/>
      <c r="M1422" s="235"/>
      <c r="N1422" s="235"/>
      <c r="O1422" s="206"/>
    </row>
    <row r="1423" spans="12:15">
      <c r="L1423" s="412"/>
      <c r="M1423" s="235"/>
      <c r="N1423" s="235"/>
      <c r="O1423" s="206"/>
    </row>
    <row r="1424" spans="12:15">
      <c r="L1424" s="412"/>
      <c r="M1424" s="235"/>
      <c r="N1424" s="235"/>
      <c r="O1424" s="206"/>
    </row>
    <row r="1425" spans="12:15">
      <c r="L1425" s="412"/>
      <c r="M1425" s="235"/>
      <c r="N1425" s="235"/>
      <c r="O1425" s="206"/>
    </row>
    <row r="1426" spans="12:15">
      <c r="L1426" s="412"/>
      <c r="M1426" s="235"/>
      <c r="N1426" s="235"/>
      <c r="O1426" s="206"/>
    </row>
    <row r="1427" spans="12:15">
      <c r="L1427" s="412"/>
      <c r="M1427" s="235"/>
      <c r="N1427" s="235"/>
      <c r="O1427" s="206"/>
    </row>
    <row r="1428" spans="12:15">
      <c r="L1428" s="412"/>
      <c r="M1428" s="235"/>
      <c r="N1428" s="235"/>
      <c r="O1428" s="206"/>
    </row>
    <row r="1429" spans="12:15">
      <c r="L1429" s="412"/>
      <c r="M1429" s="235"/>
      <c r="N1429" s="235"/>
      <c r="O1429" s="206"/>
    </row>
    <row r="1430" spans="12:15">
      <c r="L1430" s="412"/>
      <c r="M1430" s="235"/>
      <c r="N1430" s="235"/>
      <c r="O1430" s="206"/>
    </row>
    <row r="1431" spans="12:15">
      <c r="L1431" s="412"/>
      <c r="M1431" s="235"/>
      <c r="N1431" s="235"/>
      <c r="O1431" s="206"/>
    </row>
    <row r="1432" spans="12:15">
      <c r="L1432" s="412"/>
      <c r="M1432" s="235"/>
      <c r="N1432" s="235"/>
      <c r="O1432" s="206"/>
    </row>
    <row r="1433" spans="12:15">
      <c r="L1433" s="412"/>
      <c r="M1433" s="235"/>
      <c r="N1433" s="235"/>
      <c r="O1433" s="206"/>
    </row>
    <row r="1434" spans="12:15">
      <c r="L1434" s="412"/>
      <c r="M1434" s="235"/>
      <c r="N1434" s="235"/>
      <c r="O1434" s="206"/>
    </row>
    <row r="1435" spans="12:15">
      <c r="L1435" s="412"/>
      <c r="M1435" s="235"/>
      <c r="N1435" s="235"/>
      <c r="O1435" s="206"/>
    </row>
    <row r="1436" spans="12:15">
      <c r="L1436" s="412"/>
      <c r="M1436" s="235"/>
      <c r="N1436" s="235"/>
      <c r="O1436" s="206"/>
    </row>
    <row r="1437" spans="12:15">
      <c r="L1437" s="412"/>
      <c r="M1437" s="235"/>
      <c r="N1437" s="235"/>
      <c r="O1437" s="206"/>
    </row>
    <row r="1438" spans="12:15">
      <c r="L1438" s="412"/>
      <c r="M1438" s="235"/>
      <c r="N1438" s="235"/>
      <c r="O1438" s="206"/>
    </row>
    <row r="1439" spans="12:15">
      <c r="L1439" s="412"/>
      <c r="M1439" s="235"/>
      <c r="N1439" s="235"/>
      <c r="O1439" s="206"/>
    </row>
    <row r="1440" spans="12:15">
      <c r="L1440" s="412"/>
      <c r="M1440" s="235"/>
      <c r="N1440" s="235"/>
      <c r="O1440" s="206"/>
    </row>
    <row r="1441" spans="12:15">
      <c r="L1441" s="412"/>
      <c r="M1441" s="235"/>
      <c r="N1441" s="235"/>
      <c r="O1441" s="206"/>
    </row>
    <row r="1442" spans="12:15">
      <c r="L1442" s="412"/>
      <c r="M1442" s="235"/>
      <c r="N1442" s="235"/>
      <c r="O1442" s="206"/>
    </row>
    <row r="1443" spans="12:15">
      <c r="L1443" s="412"/>
      <c r="M1443" s="235"/>
      <c r="N1443" s="235"/>
      <c r="O1443" s="206"/>
    </row>
    <row r="1444" spans="12:15">
      <c r="L1444" s="412"/>
      <c r="M1444" s="235"/>
      <c r="N1444" s="235"/>
      <c r="O1444" s="206"/>
    </row>
    <row r="1445" spans="12:15">
      <c r="L1445" s="412"/>
      <c r="M1445" s="235"/>
      <c r="N1445" s="235"/>
      <c r="O1445" s="206"/>
    </row>
    <row r="1446" spans="12:15">
      <c r="L1446" s="412"/>
      <c r="M1446" s="235"/>
      <c r="N1446" s="235"/>
      <c r="O1446" s="206"/>
    </row>
    <row r="1447" spans="12:15">
      <c r="L1447" s="412"/>
      <c r="M1447" s="235"/>
      <c r="N1447" s="235"/>
      <c r="O1447" s="206"/>
    </row>
    <row r="1448" spans="12:15">
      <c r="L1448" s="412"/>
      <c r="M1448" s="235"/>
      <c r="N1448" s="235"/>
      <c r="O1448" s="206"/>
    </row>
    <row r="1449" spans="12:15">
      <c r="L1449" s="412"/>
      <c r="M1449" s="235"/>
      <c r="N1449" s="235"/>
      <c r="O1449" s="206"/>
    </row>
    <row r="1450" spans="12:15">
      <c r="L1450" s="412"/>
      <c r="M1450" s="235"/>
      <c r="N1450" s="235"/>
      <c r="O1450" s="206"/>
    </row>
    <row r="1451" spans="12:15">
      <c r="L1451" s="412"/>
      <c r="M1451" s="235"/>
      <c r="N1451" s="235"/>
      <c r="O1451" s="206"/>
    </row>
    <row r="1452" spans="12:15">
      <c r="L1452" s="412"/>
      <c r="M1452" s="235"/>
      <c r="N1452" s="235"/>
      <c r="O1452" s="206"/>
    </row>
    <row r="1453" spans="12:15">
      <c r="L1453" s="412"/>
      <c r="M1453" s="235"/>
      <c r="N1453" s="235"/>
      <c r="O1453" s="206"/>
    </row>
    <row r="1454" spans="12:15">
      <c r="L1454" s="412"/>
      <c r="M1454" s="235"/>
      <c r="N1454" s="235"/>
      <c r="O1454" s="206"/>
    </row>
    <row r="1455" spans="12:15">
      <c r="L1455" s="412"/>
      <c r="M1455" s="235"/>
      <c r="N1455" s="235"/>
      <c r="O1455" s="206"/>
    </row>
    <row r="1456" spans="12:15">
      <c r="L1456" s="412"/>
      <c r="M1456" s="235"/>
      <c r="N1456" s="235"/>
      <c r="O1456" s="206"/>
    </row>
    <row r="1457" spans="12:15">
      <c r="L1457" s="412"/>
      <c r="M1457" s="235"/>
      <c r="N1457" s="235"/>
      <c r="O1457" s="206"/>
    </row>
    <row r="1458" spans="12:15">
      <c r="L1458" s="412"/>
      <c r="M1458" s="235"/>
      <c r="N1458" s="235"/>
      <c r="O1458" s="206"/>
    </row>
    <row r="1459" spans="12:15">
      <c r="L1459" s="412"/>
      <c r="M1459" s="235"/>
      <c r="N1459" s="235"/>
      <c r="O1459" s="206"/>
    </row>
    <row r="1460" spans="12:15">
      <c r="L1460" s="412"/>
      <c r="M1460" s="235"/>
      <c r="N1460" s="235"/>
      <c r="O1460" s="206"/>
    </row>
    <row r="1461" spans="12:15">
      <c r="L1461" s="412"/>
      <c r="M1461" s="235"/>
      <c r="N1461" s="235"/>
      <c r="O1461" s="206"/>
    </row>
    <row r="1462" spans="12:15">
      <c r="L1462" s="412"/>
      <c r="M1462" s="235"/>
      <c r="N1462" s="235"/>
      <c r="O1462" s="206"/>
    </row>
    <row r="1463" spans="12:15">
      <c r="L1463" s="412"/>
      <c r="M1463" s="235"/>
      <c r="N1463" s="235"/>
      <c r="O1463" s="206"/>
    </row>
    <row r="1464" spans="12:15">
      <c r="L1464" s="412"/>
      <c r="M1464" s="235"/>
      <c r="N1464" s="235"/>
      <c r="O1464" s="206"/>
    </row>
    <row r="1465" spans="12:15">
      <c r="L1465" s="412"/>
      <c r="M1465" s="235"/>
      <c r="N1465" s="235"/>
      <c r="O1465" s="206"/>
    </row>
    <row r="1466" spans="12:15">
      <c r="L1466" s="412"/>
      <c r="M1466" s="235"/>
      <c r="N1466" s="235"/>
      <c r="O1466" s="206"/>
    </row>
    <row r="1467" spans="12:15">
      <c r="L1467" s="412"/>
      <c r="M1467" s="235"/>
      <c r="N1467" s="235"/>
      <c r="O1467" s="206"/>
    </row>
    <row r="1468" spans="12:15">
      <c r="L1468" s="412"/>
      <c r="M1468" s="235"/>
      <c r="N1468" s="235"/>
      <c r="O1468" s="206"/>
    </row>
    <row r="1469" spans="12:15">
      <c r="L1469" s="412"/>
      <c r="M1469" s="235"/>
      <c r="N1469" s="235"/>
      <c r="O1469" s="206"/>
    </row>
    <row r="1470" spans="12:15">
      <c r="L1470" s="412"/>
      <c r="M1470" s="235"/>
      <c r="N1470" s="235"/>
      <c r="O1470" s="206"/>
    </row>
    <row r="1471" spans="12:15">
      <c r="L1471" s="412"/>
      <c r="M1471" s="235"/>
      <c r="N1471" s="235"/>
      <c r="O1471" s="206"/>
    </row>
    <row r="1472" spans="12:15">
      <c r="L1472" s="412"/>
      <c r="M1472" s="235"/>
      <c r="N1472" s="235"/>
      <c r="O1472" s="206"/>
    </row>
    <row r="1473" spans="12:15">
      <c r="L1473" s="412"/>
      <c r="M1473" s="235"/>
      <c r="N1473" s="235"/>
      <c r="O1473" s="206"/>
    </row>
    <row r="1474" spans="12:15">
      <c r="L1474" s="412"/>
      <c r="M1474" s="235"/>
      <c r="N1474" s="235"/>
      <c r="O1474" s="206"/>
    </row>
    <row r="1475" spans="12:15">
      <c r="L1475" s="412"/>
      <c r="M1475" s="235"/>
      <c r="N1475" s="235"/>
      <c r="O1475" s="206"/>
    </row>
    <row r="1476" spans="12:15">
      <c r="L1476" s="412"/>
      <c r="M1476" s="235"/>
      <c r="N1476" s="235"/>
      <c r="O1476" s="206"/>
    </row>
    <row r="1477" spans="12:15">
      <c r="L1477" s="412"/>
      <c r="M1477" s="235"/>
      <c r="N1477" s="235"/>
      <c r="O1477" s="206"/>
    </row>
    <row r="1478" spans="12:15">
      <c r="L1478" s="412"/>
      <c r="M1478" s="235"/>
      <c r="N1478" s="235"/>
      <c r="O1478" s="206"/>
    </row>
    <row r="1479" spans="12:15">
      <c r="L1479" s="412"/>
      <c r="M1479" s="235"/>
      <c r="N1479" s="235"/>
      <c r="O1479" s="206"/>
    </row>
    <row r="1480" spans="12:15">
      <c r="L1480" s="412"/>
      <c r="M1480" s="235"/>
      <c r="N1480" s="235"/>
      <c r="O1480" s="206"/>
    </row>
    <row r="1481" spans="12:15">
      <c r="L1481" s="412"/>
      <c r="M1481" s="235"/>
      <c r="N1481" s="235"/>
      <c r="O1481" s="206"/>
    </row>
    <row r="1482" spans="12:15">
      <c r="L1482" s="412"/>
      <c r="M1482" s="235"/>
      <c r="N1482" s="235"/>
      <c r="O1482" s="206"/>
    </row>
    <row r="1483" spans="12:15">
      <c r="L1483" s="412"/>
      <c r="M1483" s="235"/>
      <c r="N1483" s="235"/>
      <c r="O1483" s="206"/>
    </row>
    <row r="1484" spans="12:15">
      <c r="L1484" s="412"/>
      <c r="M1484" s="235"/>
      <c r="N1484" s="235"/>
      <c r="O1484" s="206"/>
    </row>
    <row r="1485" spans="12:15">
      <c r="L1485" s="412"/>
      <c r="M1485" s="235"/>
      <c r="N1485" s="235"/>
      <c r="O1485" s="206"/>
    </row>
    <row r="1486" spans="12:15">
      <c r="L1486" s="412"/>
      <c r="M1486" s="235"/>
      <c r="N1486" s="235"/>
      <c r="O1486" s="206"/>
    </row>
    <row r="1487" spans="12:15">
      <c r="L1487" s="412"/>
      <c r="M1487" s="235"/>
      <c r="N1487" s="235"/>
      <c r="O1487" s="206"/>
    </row>
    <row r="1488" spans="12:15">
      <c r="L1488" s="412"/>
      <c r="M1488" s="235"/>
      <c r="N1488" s="235"/>
      <c r="O1488" s="206"/>
    </row>
    <row r="1489" spans="12:15">
      <c r="L1489" s="412"/>
      <c r="M1489" s="235"/>
      <c r="N1489" s="235"/>
      <c r="O1489" s="206"/>
    </row>
    <row r="1490" spans="12:15">
      <c r="L1490" s="412"/>
      <c r="M1490" s="235"/>
      <c r="N1490" s="235"/>
      <c r="O1490" s="206"/>
    </row>
    <row r="1491" spans="12:15">
      <c r="L1491" s="412"/>
      <c r="M1491" s="235"/>
      <c r="N1491" s="235"/>
      <c r="O1491" s="206"/>
    </row>
    <row r="1492" spans="12:15">
      <c r="L1492" s="412"/>
      <c r="M1492" s="235"/>
      <c r="N1492" s="235"/>
      <c r="O1492" s="206"/>
    </row>
    <row r="1493" spans="12:15">
      <c r="L1493" s="412"/>
      <c r="M1493" s="235"/>
      <c r="N1493" s="235"/>
      <c r="O1493" s="206"/>
    </row>
    <row r="1494" spans="12:15">
      <c r="L1494" s="412"/>
      <c r="M1494" s="235"/>
      <c r="N1494" s="235"/>
      <c r="O1494" s="206"/>
    </row>
    <row r="1495" spans="12:15">
      <c r="L1495" s="412"/>
      <c r="M1495" s="235"/>
      <c r="N1495" s="235"/>
      <c r="O1495" s="206"/>
    </row>
    <row r="1496" spans="12:15">
      <c r="L1496" s="412"/>
      <c r="M1496" s="235"/>
      <c r="N1496" s="235"/>
      <c r="O1496" s="206"/>
    </row>
    <row r="1497" spans="12:15">
      <c r="L1497" s="412"/>
      <c r="M1497" s="235"/>
      <c r="N1497" s="235"/>
      <c r="O1497" s="206"/>
    </row>
    <row r="1498" spans="12:15">
      <c r="L1498" s="412"/>
      <c r="M1498" s="235"/>
      <c r="N1498" s="235"/>
      <c r="O1498" s="206"/>
    </row>
    <row r="1499" spans="12:15">
      <c r="L1499" s="412"/>
      <c r="M1499" s="235"/>
      <c r="N1499" s="235"/>
      <c r="O1499" s="206"/>
    </row>
    <row r="1500" spans="12:15">
      <c r="L1500" s="412"/>
      <c r="M1500" s="235"/>
      <c r="N1500" s="235"/>
      <c r="O1500" s="206"/>
    </row>
    <row r="1501" spans="12:15">
      <c r="L1501" s="412"/>
      <c r="M1501" s="235"/>
      <c r="N1501" s="235"/>
      <c r="O1501" s="206"/>
    </row>
    <row r="1502" spans="12:15">
      <c r="L1502" s="412"/>
      <c r="M1502" s="235"/>
      <c r="N1502" s="235"/>
      <c r="O1502" s="206"/>
    </row>
    <row r="1503" spans="12:15">
      <c r="L1503" s="412"/>
      <c r="M1503" s="235"/>
      <c r="N1503" s="235"/>
      <c r="O1503" s="206"/>
    </row>
    <row r="1504" spans="12:15">
      <c r="L1504" s="412"/>
      <c r="M1504" s="235"/>
      <c r="N1504" s="235"/>
      <c r="O1504" s="206"/>
    </row>
    <row r="1505" spans="12:15">
      <c r="L1505" s="412"/>
      <c r="M1505" s="235"/>
      <c r="N1505" s="235"/>
      <c r="O1505" s="206"/>
    </row>
    <row r="1506" spans="12:15">
      <c r="L1506" s="412"/>
      <c r="M1506" s="235"/>
      <c r="N1506" s="235"/>
      <c r="O1506" s="206"/>
    </row>
    <row r="1507" spans="12:15">
      <c r="L1507" s="412"/>
      <c r="M1507" s="235"/>
      <c r="N1507" s="235"/>
      <c r="O1507" s="206"/>
    </row>
    <row r="1508" spans="12:15">
      <c r="L1508" s="412"/>
      <c r="M1508" s="235"/>
      <c r="N1508" s="235"/>
      <c r="O1508" s="206"/>
    </row>
    <row r="1509" spans="12:15">
      <c r="L1509" s="412"/>
      <c r="M1509" s="235"/>
      <c r="N1509" s="235"/>
      <c r="O1509" s="206"/>
    </row>
    <row r="1510" spans="12:15">
      <c r="L1510" s="412"/>
      <c r="M1510" s="235"/>
      <c r="N1510" s="235"/>
      <c r="O1510" s="206"/>
    </row>
    <row r="1511" spans="12:15">
      <c r="L1511" s="412"/>
      <c r="M1511" s="235"/>
      <c r="N1511" s="235"/>
      <c r="O1511" s="206"/>
    </row>
    <row r="1512" spans="12:15">
      <c r="L1512" s="412"/>
      <c r="M1512" s="235"/>
      <c r="N1512" s="235"/>
      <c r="O1512" s="206"/>
    </row>
    <row r="1513" spans="12:15">
      <c r="L1513" s="412"/>
      <c r="M1513" s="235"/>
      <c r="N1513" s="235"/>
      <c r="O1513" s="206"/>
    </row>
    <row r="1514" spans="12:15">
      <c r="L1514" s="412"/>
      <c r="M1514" s="235"/>
      <c r="N1514" s="235"/>
      <c r="O1514" s="206"/>
    </row>
    <row r="1515" spans="12:15">
      <c r="L1515" s="412"/>
      <c r="M1515" s="235"/>
      <c r="N1515" s="235"/>
      <c r="O1515" s="206"/>
    </row>
    <row r="1516" spans="12:15">
      <c r="L1516" s="412"/>
      <c r="M1516" s="235"/>
      <c r="N1516" s="235"/>
      <c r="O1516" s="206"/>
    </row>
    <row r="1517" spans="12:15">
      <c r="L1517" s="412"/>
      <c r="M1517" s="235"/>
      <c r="N1517" s="235"/>
      <c r="O1517" s="206"/>
    </row>
    <row r="1518" spans="12:15">
      <c r="L1518" s="412"/>
      <c r="M1518" s="235"/>
      <c r="N1518" s="235"/>
      <c r="O1518" s="206"/>
    </row>
    <row r="1519" spans="12:15">
      <c r="L1519" s="412"/>
      <c r="M1519" s="235"/>
      <c r="N1519" s="235"/>
      <c r="O1519" s="206"/>
    </row>
    <row r="1520" spans="12:15">
      <c r="L1520" s="412"/>
      <c r="M1520" s="235"/>
      <c r="N1520" s="235"/>
      <c r="O1520" s="206"/>
    </row>
    <row r="1521" spans="12:15">
      <c r="L1521" s="412"/>
      <c r="M1521" s="235"/>
      <c r="N1521" s="235"/>
      <c r="O1521" s="206"/>
    </row>
    <row r="1522" spans="12:15">
      <c r="L1522" s="412"/>
      <c r="M1522" s="235"/>
      <c r="N1522" s="235"/>
      <c r="O1522" s="206"/>
    </row>
    <row r="1523" spans="12:15">
      <c r="L1523" s="412"/>
      <c r="M1523" s="235"/>
      <c r="N1523" s="235"/>
      <c r="O1523" s="206"/>
    </row>
    <row r="1524" spans="12:15">
      <c r="L1524" s="412"/>
      <c r="M1524" s="235"/>
      <c r="N1524" s="235"/>
      <c r="O1524" s="206"/>
    </row>
    <row r="1525" spans="12:15">
      <c r="L1525" s="412"/>
      <c r="M1525" s="235"/>
      <c r="N1525" s="235"/>
      <c r="O1525" s="206"/>
    </row>
    <row r="1526" spans="12:15">
      <c r="L1526" s="412"/>
      <c r="M1526" s="235"/>
      <c r="N1526" s="235"/>
      <c r="O1526" s="206"/>
    </row>
    <row r="1527" spans="12:15">
      <c r="L1527" s="412"/>
      <c r="M1527" s="235"/>
      <c r="N1527" s="235"/>
      <c r="O1527" s="206"/>
    </row>
    <row r="1528" spans="12:15">
      <c r="L1528" s="412"/>
      <c r="M1528" s="235"/>
      <c r="N1528" s="235"/>
      <c r="O1528" s="206"/>
    </row>
    <row r="1529" spans="12:15">
      <c r="L1529" s="412"/>
      <c r="M1529" s="235"/>
      <c r="N1529" s="235"/>
      <c r="O1529" s="206"/>
    </row>
    <row r="1530" spans="12:15">
      <c r="L1530" s="412"/>
      <c r="M1530" s="235"/>
      <c r="N1530" s="235"/>
      <c r="O1530" s="206"/>
    </row>
    <row r="1531" spans="12:15">
      <c r="L1531" s="412"/>
      <c r="M1531" s="235"/>
      <c r="N1531" s="235"/>
      <c r="O1531" s="206"/>
    </row>
    <row r="1532" spans="12:15">
      <c r="L1532" s="412"/>
      <c r="M1532" s="235"/>
      <c r="N1532" s="235"/>
      <c r="O1532" s="206"/>
    </row>
    <row r="1533" spans="12:15">
      <c r="L1533" s="412"/>
      <c r="M1533" s="235"/>
      <c r="N1533" s="235"/>
      <c r="O1533" s="206"/>
    </row>
    <row r="1534" spans="12:15">
      <c r="L1534" s="412"/>
      <c r="M1534" s="235"/>
      <c r="N1534" s="235"/>
      <c r="O1534" s="206"/>
    </row>
    <row r="1535" spans="12:15">
      <c r="L1535" s="412"/>
      <c r="M1535" s="235"/>
      <c r="N1535" s="235"/>
      <c r="O1535" s="206"/>
    </row>
    <row r="1536" spans="12:15">
      <c r="L1536" s="412"/>
      <c r="M1536" s="235"/>
      <c r="N1536" s="235"/>
      <c r="O1536" s="206"/>
    </row>
    <row r="1537" spans="12:15">
      <c r="L1537" s="412"/>
      <c r="M1537" s="235"/>
      <c r="N1537" s="235"/>
      <c r="O1537" s="206"/>
    </row>
    <row r="1538" spans="12:15">
      <c r="L1538" s="412"/>
      <c r="M1538" s="235"/>
      <c r="N1538" s="235"/>
      <c r="O1538" s="206"/>
    </row>
    <row r="1539" spans="12:15">
      <c r="L1539" s="412"/>
      <c r="M1539" s="235"/>
      <c r="N1539" s="235"/>
      <c r="O1539" s="206"/>
    </row>
    <row r="1540" spans="12:15">
      <c r="L1540" s="412"/>
      <c r="M1540" s="235"/>
      <c r="N1540" s="235"/>
      <c r="O1540" s="206"/>
    </row>
    <row r="1541" spans="12:15">
      <c r="L1541" s="412"/>
      <c r="M1541" s="235"/>
      <c r="N1541" s="235"/>
      <c r="O1541" s="206"/>
    </row>
    <row r="1542" spans="12:15">
      <c r="L1542" s="412"/>
      <c r="M1542" s="235"/>
      <c r="N1542" s="235"/>
      <c r="O1542" s="206"/>
    </row>
    <row r="1543" spans="12:15">
      <c r="L1543" s="412"/>
      <c r="M1543" s="235"/>
      <c r="N1543" s="235"/>
      <c r="O1543" s="206"/>
    </row>
    <row r="1544" spans="12:15">
      <c r="L1544" s="412"/>
      <c r="M1544" s="235"/>
      <c r="N1544" s="235"/>
      <c r="O1544" s="206"/>
    </row>
    <row r="1545" spans="12:15">
      <c r="L1545" s="412"/>
      <c r="M1545" s="235"/>
      <c r="N1545" s="235"/>
      <c r="O1545" s="206"/>
    </row>
    <row r="1546" spans="12:15">
      <c r="L1546" s="412"/>
      <c r="M1546" s="235"/>
      <c r="N1546" s="235"/>
      <c r="O1546" s="206"/>
    </row>
    <row r="1547" spans="12:15">
      <c r="L1547" s="412"/>
      <c r="M1547" s="235"/>
      <c r="N1547" s="235"/>
      <c r="O1547" s="206"/>
    </row>
    <row r="1548" spans="12:15">
      <c r="L1548" s="412"/>
      <c r="M1548" s="235"/>
      <c r="N1548" s="235"/>
      <c r="O1548" s="206"/>
    </row>
    <row r="1549" spans="12:15">
      <c r="L1549" s="412"/>
      <c r="M1549" s="235"/>
      <c r="N1549" s="235"/>
      <c r="O1549" s="206"/>
    </row>
    <row r="1550" spans="12:15">
      <c r="L1550" s="412"/>
      <c r="M1550" s="235"/>
      <c r="N1550" s="235"/>
      <c r="O1550" s="206"/>
    </row>
    <row r="1551" spans="12:15">
      <c r="L1551" s="412"/>
      <c r="M1551" s="235"/>
      <c r="N1551" s="235"/>
      <c r="O1551" s="206"/>
    </row>
    <row r="1552" spans="12:15">
      <c r="L1552" s="412"/>
      <c r="M1552" s="235"/>
      <c r="N1552" s="235"/>
      <c r="O1552" s="206"/>
    </row>
    <row r="1553" spans="12:15">
      <c r="L1553" s="412"/>
      <c r="M1553" s="235"/>
      <c r="N1553" s="235"/>
      <c r="O1553" s="206"/>
    </row>
    <row r="1554" spans="12:15">
      <c r="L1554" s="412"/>
      <c r="M1554" s="235"/>
      <c r="N1554" s="235"/>
      <c r="O1554" s="206"/>
    </row>
    <row r="1555" spans="12:15">
      <c r="L1555" s="412"/>
      <c r="M1555" s="235"/>
      <c r="N1555" s="235"/>
      <c r="O1555" s="206"/>
    </row>
    <row r="1556" spans="12:15">
      <c r="L1556" s="412"/>
      <c r="M1556" s="235"/>
      <c r="N1556" s="235"/>
      <c r="O1556" s="206"/>
    </row>
    <row r="1557" spans="12:15">
      <c r="L1557" s="412"/>
      <c r="M1557" s="235"/>
      <c r="N1557" s="235"/>
      <c r="O1557" s="206"/>
    </row>
    <row r="1558" spans="12:15">
      <c r="L1558" s="412"/>
      <c r="M1558" s="235"/>
      <c r="N1558" s="235"/>
      <c r="O1558" s="206"/>
    </row>
    <row r="1559" spans="12:15">
      <c r="L1559" s="412"/>
      <c r="M1559" s="235"/>
      <c r="N1559" s="235"/>
      <c r="O1559" s="206"/>
    </row>
    <row r="1560" spans="12:15">
      <c r="L1560" s="412"/>
      <c r="M1560" s="235"/>
      <c r="N1560" s="235"/>
      <c r="O1560" s="206"/>
    </row>
    <row r="1561" spans="12:15">
      <c r="L1561" s="412"/>
      <c r="M1561" s="235"/>
      <c r="N1561" s="235"/>
      <c r="O1561" s="206"/>
    </row>
    <row r="1562" spans="12:15">
      <c r="L1562" s="412"/>
      <c r="M1562" s="235"/>
      <c r="N1562" s="235"/>
      <c r="O1562" s="206"/>
    </row>
    <row r="1563" spans="12:15">
      <c r="L1563" s="412"/>
      <c r="M1563" s="235"/>
      <c r="N1563" s="235"/>
      <c r="O1563" s="206"/>
    </row>
    <row r="1564" spans="12:15">
      <c r="L1564" s="412"/>
      <c r="M1564" s="235"/>
      <c r="N1564" s="235"/>
      <c r="O1564" s="206"/>
    </row>
    <row r="1565" spans="12:15">
      <c r="L1565" s="412"/>
      <c r="M1565" s="235"/>
      <c r="N1565" s="235"/>
      <c r="O1565" s="206"/>
    </row>
    <row r="1566" spans="12:15">
      <c r="L1566" s="412"/>
      <c r="M1566" s="235"/>
      <c r="N1566" s="235"/>
      <c r="O1566" s="206"/>
    </row>
    <row r="1567" spans="12:15">
      <c r="L1567" s="412"/>
      <c r="M1567" s="235"/>
      <c r="N1567" s="235"/>
      <c r="O1567" s="206"/>
    </row>
    <row r="1568" spans="12:15">
      <c r="L1568" s="412"/>
      <c r="M1568" s="235"/>
      <c r="N1568" s="235"/>
      <c r="O1568" s="206"/>
    </row>
    <row r="1569" spans="12:15">
      <c r="L1569" s="412"/>
      <c r="M1569" s="235"/>
      <c r="N1569" s="235"/>
      <c r="O1569" s="206"/>
    </row>
    <row r="1570" spans="12:15">
      <c r="L1570" s="412"/>
      <c r="M1570" s="235"/>
      <c r="N1570" s="235"/>
      <c r="O1570" s="206"/>
    </row>
    <row r="1571" spans="12:15">
      <c r="L1571" s="412"/>
      <c r="M1571" s="235"/>
      <c r="N1571" s="235"/>
      <c r="O1571" s="206"/>
    </row>
    <row r="1572" spans="12:15">
      <c r="L1572" s="412"/>
      <c r="M1572" s="235"/>
      <c r="N1572" s="235"/>
      <c r="O1572" s="206"/>
    </row>
    <row r="1573" spans="12:15">
      <c r="L1573" s="412"/>
      <c r="M1573" s="235"/>
      <c r="N1573" s="235"/>
      <c r="O1573" s="206"/>
    </row>
    <row r="1574" spans="12:15">
      <c r="L1574" s="412"/>
      <c r="M1574" s="235"/>
      <c r="N1574" s="235"/>
      <c r="O1574" s="206"/>
    </row>
    <row r="1575" spans="12:15">
      <c r="L1575" s="412"/>
      <c r="M1575" s="235"/>
      <c r="N1575" s="235"/>
      <c r="O1575" s="206"/>
    </row>
    <row r="1576" spans="12:15">
      <c r="L1576" s="412"/>
      <c r="M1576" s="235"/>
      <c r="N1576" s="235"/>
      <c r="O1576" s="206"/>
    </row>
    <row r="1577" spans="12:15">
      <c r="L1577" s="412"/>
      <c r="M1577" s="235"/>
      <c r="N1577" s="235"/>
      <c r="O1577" s="206"/>
    </row>
    <row r="1578" spans="12:15">
      <c r="L1578" s="412"/>
      <c r="M1578" s="235"/>
      <c r="N1578" s="235"/>
      <c r="O1578" s="206"/>
    </row>
    <row r="1579" spans="12:15">
      <c r="L1579" s="412"/>
      <c r="M1579" s="235"/>
      <c r="N1579" s="235"/>
      <c r="O1579" s="206"/>
    </row>
    <row r="1580" spans="12:15">
      <c r="L1580" s="412"/>
      <c r="M1580" s="235"/>
      <c r="N1580" s="235"/>
      <c r="O1580" s="206"/>
    </row>
    <row r="1581" spans="12:15">
      <c r="L1581" s="412"/>
      <c r="M1581" s="235"/>
      <c r="N1581" s="235"/>
      <c r="O1581" s="206"/>
    </row>
    <row r="1582" spans="12:15">
      <c r="L1582" s="412"/>
      <c r="M1582" s="235"/>
      <c r="N1582" s="235"/>
      <c r="O1582" s="206"/>
    </row>
    <row r="1583" spans="12:15">
      <c r="L1583" s="412"/>
      <c r="M1583" s="235"/>
      <c r="N1583" s="235"/>
      <c r="O1583" s="206"/>
    </row>
    <row r="1584" spans="12:15">
      <c r="L1584" s="412"/>
      <c r="M1584" s="235"/>
      <c r="N1584" s="235"/>
      <c r="O1584" s="206"/>
    </row>
    <row r="1585" spans="12:15">
      <c r="L1585" s="412"/>
      <c r="M1585" s="235"/>
      <c r="N1585" s="235"/>
      <c r="O1585" s="206"/>
    </row>
    <row r="1586" spans="12:15">
      <c r="L1586" s="412"/>
      <c r="M1586" s="235"/>
      <c r="N1586" s="235"/>
      <c r="O1586" s="206"/>
    </row>
    <row r="1587" spans="12:15">
      <c r="L1587" s="412"/>
      <c r="M1587" s="235"/>
      <c r="N1587" s="235"/>
      <c r="O1587" s="206"/>
    </row>
    <row r="1588" spans="12:15">
      <c r="L1588" s="412"/>
      <c r="M1588" s="235"/>
      <c r="N1588" s="235"/>
      <c r="O1588" s="206"/>
    </row>
    <row r="1589" spans="12:15">
      <c r="L1589" s="412"/>
      <c r="M1589" s="235"/>
      <c r="N1589" s="235"/>
      <c r="O1589" s="206"/>
    </row>
    <row r="1590" spans="12:15">
      <c r="L1590" s="412"/>
      <c r="M1590" s="235"/>
      <c r="N1590" s="235"/>
      <c r="O1590" s="206"/>
    </row>
    <row r="1591" spans="12:15">
      <c r="L1591" s="412"/>
      <c r="M1591" s="235"/>
      <c r="N1591" s="235"/>
      <c r="O1591" s="206"/>
    </row>
    <row r="1592" spans="12:15">
      <c r="L1592" s="412"/>
      <c r="M1592" s="235"/>
      <c r="N1592" s="235"/>
      <c r="O1592" s="206"/>
    </row>
    <row r="1593" spans="12:15">
      <c r="L1593" s="412"/>
      <c r="M1593" s="235"/>
      <c r="N1593" s="235"/>
      <c r="O1593" s="206"/>
    </row>
    <row r="1594" spans="12:15">
      <c r="L1594" s="412"/>
      <c r="M1594" s="235"/>
      <c r="N1594" s="235"/>
      <c r="O1594" s="206"/>
    </row>
    <row r="1595" spans="12:15">
      <c r="L1595" s="412"/>
      <c r="M1595" s="235"/>
      <c r="N1595" s="235"/>
      <c r="O1595" s="206"/>
    </row>
    <row r="1596" spans="12:15">
      <c r="L1596" s="412"/>
      <c r="M1596" s="235"/>
      <c r="N1596" s="235"/>
      <c r="O1596" s="206"/>
    </row>
    <row r="1597" spans="12:15">
      <c r="L1597" s="412"/>
      <c r="M1597" s="235"/>
      <c r="N1597" s="235"/>
      <c r="O1597" s="206"/>
    </row>
    <row r="1598" spans="12:15">
      <c r="L1598" s="412"/>
      <c r="M1598" s="235"/>
      <c r="N1598" s="235"/>
      <c r="O1598" s="206"/>
    </row>
    <row r="1599" spans="12:15">
      <c r="L1599" s="412"/>
      <c r="M1599" s="235"/>
      <c r="N1599" s="235"/>
      <c r="O1599" s="206"/>
    </row>
    <row r="1600" spans="12:15">
      <c r="L1600" s="412"/>
      <c r="M1600" s="235"/>
      <c r="N1600" s="235"/>
      <c r="O1600" s="206"/>
    </row>
    <row r="1601" spans="12:15">
      <c r="L1601" s="412"/>
      <c r="M1601" s="235"/>
      <c r="N1601" s="235"/>
      <c r="O1601" s="206"/>
    </row>
    <row r="1602" spans="12:15">
      <c r="L1602" s="412"/>
      <c r="M1602" s="235"/>
      <c r="N1602" s="235"/>
      <c r="O1602" s="206"/>
    </row>
    <row r="1603" spans="12:15">
      <c r="L1603" s="412"/>
      <c r="M1603" s="235"/>
      <c r="N1603" s="235"/>
      <c r="O1603" s="206"/>
    </row>
    <row r="1604" spans="12:15">
      <c r="L1604" s="412"/>
      <c r="M1604" s="235"/>
      <c r="N1604" s="235"/>
      <c r="O1604" s="206"/>
    </row>
    <row r="1605" spans="12:15">
      <c r="L1605" s="412"/>
      <c r="M1605" s="235"/>
      <c r="N1605" s="235"/>
      <c r="O1605" s="206"/>
    </row>
    <row r="1606" spans="12:15">
      <c r="L1606" s="412"/>
      <c r="M1606" s="235"/>
      <c r="N1606" s="235"/>
      <c r="O1606" s="206"/>
    </row>
    <row r="1607" spans="12:15">
      <c r="L1607" s="412"/>
      <c r="M1607" s="235"/>
      <c r="N1607" s="235"/>
      <c r="O1607" s="206"/>
    </row>
    <row r="1608" spans="12:15">
      <c r="L1608" s="412"/>
      <c r="M1608" s="235"/>
      <c r="N1608" s="235"/>
      <c r="O1608" s="206"/>
    </row>
    <row r="1609" spans="12:15">
      <c r="L1609" s="412"/>
      <c r="M1609" s="235"/>
      <c r="N1609" s="235"/>
      <c r="O1609" s="206"/>
    </row>
    <row r="1610" spans="12:15">
      <c r="L1610" s="412"/>
      <c r="M1610" s="235"/>
      <c r="N1610" s="235"/>
      <c r="O1610" s="206"/>
    </row>
    <row r="1611" spans="12:15">
      <c r="L1611" s="412"/>
      <c r="M1611" s="235"/>
      <c r="N1611" s="235"/>
      <c r="O1611" s="206"/>
    </row>
    <row r="1612" spans="12:15">
      <c r="L1612" s="412"/>
      <c r="M1612" s="235"/>
      <c r="N1612" s="235"/>
      <c r="O1612" s="206"/>
    </row>
    <row r="1613" spans="12:15">
      <c r="L1613" s="412"/>
      <c r="M1613" s="235"/>
      <c r="N1613" s="235"/>
      <c r="O1613" s="206"/>
    </row>
    <row r="1614" spans="12:15">
      <c r="L1614" s="412"/>
      <c r="M1614" s="235"/>
      <c r="N1614" s="235"/>
      <c r="O1614" s="206"/>
    </row>
    <row r="1615" spans="12:15">
      <c r="L1615" s="412"/>
      <c r="M1615" s="235"/>
      <c r="N1615" s="235"/>
      <c r="O1615" s="206"/>
    </row>
    <row r="1616" spans="12:15">
      <c r="L1616" s="412"/>
      <c r="M1616" s="235"/>
      <c r="N1616" s="235"/>
      <c r="O1616" s="206"/>
    </row>
    <row r="1617" spans="12:15">
      <c r="L1617" s="412"/>
      <c r="M1617" s="235"/>
      <c r="N1617" s="235"/>
      <c r="O1617" s="206"/>
    </row>
    <row r="1618" spans="12:15">
      <c r="L1618" s="412"/>
      <c r="M1618" s="235"/>
      <c r="N1618" s="235"/>
      <c r="O1618" s="206"/>
    </row>
    <row r="1619" spans="12:15">
      <c r="L1619" s="412"/>
      <c r="M1619" s="235"/>
      <c r="N1619" s="235"/>
      <c r="O1619" s="206"/>
    </row>
    <row r="1620" spans="12:15">
      <c r="L1620" s="412"/>
      <c r="M1620" s="235"/>
      <c r="N1620" s="235"/>
      <c r="O1620" s="206"/>
    </row>
    <row r="1621" spans="12:15">
      <c r="L1621" s="412"/>
      <c r="M1621" s="235"/>
      <c r="N1621" s="235"/>
      <c r="O1621" s="206"/>
    </row>
    <row r="1622" spans="12:15">
      <c r="L1622" s="412"/>
      <c r="M1622" s="235"/>
      <c r="N1622" s="235"/>
      <c r="O1622" s="206"/>
    </row>
    <row r="1623" spans="12:15">
      <c r="L1623" s="412"/>
      <c r="M1623" s="235"/>
      <c r="N1623" s="235"/>
      <c r="O1623" s="206"/>
    </row>
    <row r="1624" spans="12:15">
      <c r="L1624" s="412"/>
      <c r="M1624" s="235"/>
      <c r="N1624" s="235"/>
      <c r="O1624" s="206"/>
    </row>
    <row r="1625" spans="12:15">
      <c r="L1625" s="412"/>
      <c r="M1625" s="235"/>
      <c r="N1625" s="235"/>
      <c r="O1625" s="206"/>
    </row>
    <row r="1626" spans="12:15">
      <c r="L1626" s="412"/>
      <c r="M1626" s="235"/>
      <c r="N1626" s="235"/>
      <c r="O1626" s="206"/>
    </row>
    <row r="1627" spans="12:15">
      <c r="L1627" s="412"/>
      <c r="M1627" s="235"/>
      <c r="N1627" s="235"/>
      <c r="O1627" s="206"/>
    </row>
    <row r="1628" spans="12:15">
      <c r="L1628" s="412"/>
      <c r="M1628" s="235"/>
      <c r="N1628" s="235"/>
      <c r="O1628" s="206"/>
    </row>
    <row r="1629" spans="12:15">
      <c r="L1629" s="412"/>
      <c r="M1629" s="235"/>
      <c r="N1629" s="235"/>
      <c r="O1629" s="206"/>
    </row>
    <row r="1630" spans="12:15">
      <c r="L1630" s="412"/>
      <c r="M1630" s="235"/>
      <c r="N1630" s="235"/>
      <c r="O1630" s="206"/>
    </row>
    <row r="1631" spans="12:15">
      <c r="L1631" s="412"/>
      <c r="M1631" s="235"/>
      <c r="N1631" s="235"/>
      <c r="O1631" s="206"/>
    </row>
    <row r="1632" spans="12:15">
      <c r="L1632" s="412"/>
      <c r="M1632" s="235"/>
      <c r="N1632" s="235"/>
      <c r="O1632" s="206"/>
    </row>
    <row r="1633" spans="12:15">
      <c r="L1633" s="412"/>
      <c r="M1633" s="235"/>
      <c r="N1633" s="235"/>
      <c r="O1633" s="206"/>
    </row>
    <row r="1634" spans="12:15">
      <c r="L1634" s="412"/>
      <c r="M1634" s="235"/>
      <c r="N1634" s="235"/>
      <c r="O1634" s="206"/>
    </row>
    <row r="1635" spans="12:15">
      <c r="L1635" s="412"/>
      <c r="M1635" s="235"/>
      <c r="N1635" s="235"/>
      <c r="O1635" s="206"/>
    </row>
    <row r="1636" spans="12:15">
      <c r="L1636" s="412"/>
      <c r="M1636" s="235"/>
      <c r="N1636" s="235"/>
      <c r="O1636" s="206"/>
    </row>
    <row r="1637" spans="12:15">
      <c r="L1637" s="412"/>
      <c r="M1637" s="235"/>
      <c r="N1637" s="235"/>
      <c r="O1637" s="206"/>
    </row>
    <row r="1638" spans="12:15">
      <c r="L1638" s="412"/>
      <c r="M1638" s="235"/>
      <c r="N1638" s="235"/>
      <c r="O1638" s="206"/>
    </row>
    <row r="1639" spans="12:15">
      <c r="L1639" s="412"/>
      <c r="M1639" s="235"/>
      <c r="N1639" s="235"/>
      <c r="O1639" s="206"/>
    </row>
    <row r="1640" spans="12:15">
      <c r="L1640" s="412"/>
      <c r="M1640" s="235"/>
      <c r="N1640" s="235"/>
      <c r="O1640" s="206"/>
    </row>
    <row r="1641" spans="12:15">
      <c r="L1641" s="412"/>
      <c r="M1641" s="235"/>
      <c r="N1641" s="235"/>
      <c r="O1641" s="206"/>
    </row>
    <row r="1642" spans="12:15">
      <c r="L1642" s="412"/>
      <c r="M1642" s="235"/>
      <c r="N1642" s="235"/>
      <c r="O1642" s="206"/>
    </row>
    <row r="1643" spans="12:15">
      <c r="L1643" s="412"/>
      <c r="M1643" s="235"/>
      <c r="N1643" s="235"/>
      <c r="O1643" s="206"/>
    </row>
    <row r="1644" spans="12:15">
      <c r="L1644" s="412"/>
      <c r="M1644" s="235"/>
      <c r="N1644" s="235"/>
      <c r="O1644" s="206"/>
    </row>
    <row r="1645" spans="12:15">
      <c r="L1645" s="412"/>
      <c r="M1645" s="235"/>
      <c r="N1645" s="235"/>
      <c r="O1645" s="206"/>
    </row>
    <row r="1646" spans="12:15">
      <c r="L1646" s="412"/>
      <c r="M1646" s="235"/>
      <c r="N1646" s="235"/>
      <c r="O1646" s="206"/>
    </row>
    <row r="1647" spans="12:15">
      <c r="L1647" s="412"/>
      <c r="M1647" s="235"/>
      <c r="N1647" s="235"/>
      <c r="O1647" s="206"/>
    </row>
    <row r="1648" spans="12:15">
      <c r="L1648" s="412"/>
      <c r="M1648" s="235"/>
      <c r="N1648" s="235"/>
      <c r="O1648" s="206"/>
    </row>
    <row r="1649" spans="12:15">
      <c r="L1649" s="412"/>
      <c r="M1649" s="235"/>
      <c r="N1649" s="235"/>
      <c r="O1649" s="206"/>
    </row>
    <row r="1650" spans="12:15">
      <c r="L1650" s="412"/>
      <c r="M1650" s="235"/>
      <c r="N1650" s="235"/>
      <c r="O1650" s="206"/>
    </row>
    <row r="1651" spans="12:15">
      <c r="L1651" s="412"/>
      <c r="M1651" s="235"/>
      <c r="N1651" s="235"/>
      <c r="O1651" s="206"/>
    </row>
    <row r="1652" spans="12:15">
      <c r="L1652" s="412"/>
      <c r="M1652" s="235"/>
      <c r="N1652" s="235"/>
      <c r="O1652" s="206"/>
    </row>
    <row r="1653" spans="12:15">
      <c r="L1653" s="412"/>
      <c r="M1653" s="235"/>
      <c r="N1653" s="235"/>
      <c r="O1653" s="206"/>
    </row>
    <row r="1654" spans="12:15">
      <c r="L1654" s="412"/>
      <c r="M1654" s="235"/>
      <c r="N1654" s="235"/>
      <c r="O1654" s="206"/>
    </row>
    <row r="1655" spans="12:15">
      <c r="L1655" s="412"/>
      <c r="M1655" s="235"/>
      <c r="N1655" s="235"/>
      <c r="O1655" s="206"/>
    </row>
    <row r="1656" spans="12:15">
      <c r="L1656" s="412"/>
      <c r="M1656" s="235"/>
      <c r="N1656" s="235"/>
      <c r="O1656" s="206"/>
    </row>
    <row r="1657" spans="12:15">
      <c r="L1657" s="412"/>
      <c r="M1657" s="235"/>
      <c r="N1657" s="235"/>
      <c r="O1657" s="206"/>
    </row>
    <row r="1658" spans="12:15">
      <c r="L1658" s="412"/>
      <c r="M1658" s="235"/>
      <c r="N1658" s="235"/>
      <c r="O1658" s="206"/>
    </row>
    <row r="1659" spans="12:15">
      <c r="L1659" s="412"/>
      <c r="M1659" s="235"/>
      <c r="N1659" s="235"/>
      <c r="O1659" s="206"/>
    </row>
    <row r="1660" spans="12:15">
      <c r="L1660" s="412"/>
      <c r="M1660" s="235"/>
      <c r="N1660" s="235"/>
      <c r="O1660" s="206"/>
    </row>
    <row r="1661" spans="12:15">
      <c r="L1661" s="412"/>
      <c r="M1661" s="235"/>
      <c r="N1661" s="235"/>
      <c r="O1661" s="206"/>
    </row>
    <row r="1662" spans="12:15">
      <c r="L1662" s="412"/>
      <c r="M1662" s="235"/>
      <c r="N1662" s="235"/>
      <c r="O1662" s="206"/>
    </row>
    <row r="1663" spans="12:15">
      <c r="L1663" s="412"/>
      <c r="M1663" s="235"/>
      <c r="N1663" s="235"/>
      <c r="O1663" s="206"/>
    </row>
    <row r="1664" spans="12:15">
      <c r="L1664" s="412"/>
      <c r="M1664" s="235"/>
      <c r="N1664" s="235"/>
      <c r="O1664" s="206"/>
    </row>
    <row r="1665" spans="12:15">
      <c r="L1665" s="412"/>
      <c r="M1665" s="235"/>
      <c r="N1665" s="235"/>
      <c r="O1665" s="206"/>
    </row>
    <row r="1666" spans="12:15">
      <c r="L1666" s="412"/>
      <c r="M1666" s="235"/>
      <c r="N1666" s="235"/>
      <c r="O1666" s="206"/>
    </row>
    <row r="1667" spans="12:15">
      <c r="L1667" s="412"/>
      <c r="M1667" s="235"/>
      <c r="N1667" s="235"/>
      <c r="O1667" s="206"/>
    </row>
    <row r="1668" spans="12:15">
      <c r="L1668" s="412"/>
      <c r="M1668" s="235"/>
      <c r="N1668" s="235"/>
      <c r="O1668" s="206"/>
    </row>
    <row r="1669" spans="12:15">
      <c r="L1669" s="412"/>
      <c r="M1669" s="235"/>
      <c r="N1669" s="235"/>
      <c r="O1669" s="206"/>
    </row>
    <row r="1670" spans="12:15">
      <c r="L1670" s="412"/>
      <c r="M1670" s="235"/>
      <c r="N1670" s="235"/>
      <c r="O1670" s="206"/>
    </row>
    <row r="1671" spans="12:15">
      <c r="L1671" s="412"/>
      <c r="M1671" s="235"/>
      <c r="N1671" s="235"/>
      <c r="O1671" s="206"/>
    </row>
    <row r="1672" spans="12:15">
      <c r="L1672" s="412"/>
      <c r="M1672" s="235"/>
      <c r="N1672" s="235"/>
      <c r="O1672" s="206"/>
    </row>
    <row r="1673" spans="12:15">
      <c r="L1673" s="412"/>
      <c r="M1673" s="235"/>
      <c r="N1673" s="235"/>
      <c r="O1673" s="206"/>
    </row>
    <row r="1674" spans="12:15">
      <c r="L1674" s="412"/>
      <c r="M1674" s="235"/>
      <c r="N1674" s="235"/>
      <c r="O1674" s="206"/>
    </row>
    <row r="1675" spans="12:15">
      <c r="L1675" s="412"/>
      <c r="M1675" s="235"/>
      <c r="N1675" s="235"/>
      <c r="O1675" s="206"/>
    </row>
    <row r="1676" spans="12:15">
      <c r="L1676" s="412"/>
      <c r="M1676" s="235"/>
      <c r="N1676" s="235"/>
      <c r="O1676" s="206"/>
    </row>
    <row r="1677" spans="12:15">
      <c r="L1677" s="412"/>
      <c r="M1677" s="235"/>
      <c r="N1677" s="235"/>
      <c r="O1677" s="206"/>
    </row>
    <row r="1678" spans="12:15">
      <c r="L1678" s="412"/>
      <c r="M1678" s="235"/>
      <c r="N1678" s="235"/>
      <c r="O1678" s="206"/>
    </row>
    <row r="1679" spans="12:15">
      <c r="L1679" s="412"/>
      <c r="M1679" s="235"/>
      <c r="N1679" s="235"/>
      <c r="O1679" s="206"/>
    </row>
    <row r="1680" spans="12:15">
      <c r="L1680" s="412"/>
      <c r="M1680" s="235"/>
      <c r="N1680" s="235"/>
      <c r="O1680" s="206"/>
    </row>
    <row r="1681" spans="12:15">
      <c r="L1681" s="412"/>
      <c r="M1681" s="235"/>
      <c r="N1681" s="235"/>
      <c r="O1681" s="206"/>
    </row>
    <row r="1682" spans="12:15">
      <c r="L1682" s="412"/>
      <c r="M1682" s="235"/>
      <c r="N1682" s="235"/>
      <c r="O1682" s="206"/>
    </row>
    <row r="1683" spans="12:15">
      <c r="L1683" s="412"/>
      <c r="M1683" s="235"/>
      <c r="N1683" s="235"/>
      <c r="O1683" s="206"/>
    </row>
    <row r="1684" spans="12:15">
      <c r="L1684" s="412"/>
      <c r="M1684" s="235"/>
      <c r="N1684" s="235"/>
      <c r="O1684" s="206"/>
    </row>
    <row r="1685" spans="12:15">
      <c r="L1685" s="412"/>
      <c r="M1685" s="235"/>
      <c r="N1685" s="235"/>
      <c r="O1685" s="206"/>
    </row>
    <row r="1686" spans="12:15">
      <c r="L1686" s="412"/>
      <c r="M1686" s="235"/>
      <c r="N1686" s="235"/>
      <c r="O1686" s="206"/>
    </row>
    <row r="1687" spans="12:15">
      <c r="L1687" s="412"/>
      <c r="M1687" s="235"/>
      <c r="N1687" s="235"/>
      <c r="O1687" s="206"/>
    </row>
    <row r="1688" spans="12:15">
      <c r="L1688" s="412"/>
      <c r="M1688" s="235"/>
      <c r="N1688" s="235"/>
      <c r="O1688" s="206"/>
    </row>
    <row r="1689" spans="12:15">
      <c r="L1689" s="412"/>
      <c r="M1689" s="235"/>
      <c r="N1689" s="235"/>
      <c r="O1689" s="206"/>
    </row>
    <row r="1690" spans="12:15">
      <c r="L1690" s="412"/>
      <c r="M1690" s="235"/>
      <c r="N1690" s="235"/>
      <c r="O1690" s="206"/>
    </row>
    <row r="1691" spans="12:15">
      <c r="L1691" s="412"/>
      <c r="M1691" s="235"/>
      <c r="N1691" s="235"/>
      <c r="O1691" s="206"/>
    </row>
    <row r="1692" spans="12:15">
      <c r="L1692" s="412"/>
      <c r="M1692" s="235"/>
      <c r="N1692" s="235"/>
      <c r="O1692" s="206"/>
    </row>
    <row r="1693" spans="12:15">
      <c r="L1693" s="412"/>
      <c r="M1693" s="235"/>
      <c r="N1693" s="235"/>
      <c r="O1693" s="206"/>
    </row>
    <row r="1694" spans="12:15">
      <c r="L1694" s="412"/>
      <c r="M1694" s="235"/>
      <c r="N1694" s="235"/>
      <c r="O1694" s="206"/>
    </row>
    <row r="1695" spans="12:15">
      <c r="L1695" s="412"/>
      <c r="M1695" s="235"/>
      <c r="N1695" s="235"/>
      <c r="O1695" s="206"/>
    </row>
    <row r="1696" spans="12:15">
      <c r="L1696" s="412"/>
      <c r="M1696" s="235"/>
      <c r="N1696" s="235"/>
      <c r="O1696" s="206"/>
    </row>
    <row r="1697" spans="12:15">
      <c r="L1697" s="412"/>
      <c r="M1697" s="235"/>
      <c r="N1697" s="235"/>
      <c r="O1697" s="206"/>
    </row>
    <row r="1698" spans="12:15">
      <c r="L1698" s="412"/>
      <c r="M1698" s="235"/>
      <c r="N1698" s="235"/>
      <c r="O1698" s="206"/>
    </row>
    <row r="1699" spans="12:15">
      <c r="L1699" s="412"/>
      <c r="M1699" s="235"/>
      <c r="N1699" s="235"/>
      <c r="O1699" s="206"/>
    </row>
    <row r="1700" spans="12:15">
      <c r="L1700" s="412"/>
      <c r="M1700" s="235"/>
      <c r="N1700" s="235"/>
      <c r="O1700" s="206"/>
    </row>
    <row r="1701" spans="12:15">
      <c r="L1701" s="412"/>
      <c r="M1701" s="235"/>
      <c r="N1701" s="235"/>
      <c r="O1701" s="206"/>
    </row>
    <row r="1702" spans="12:15">
      <c r="L1702" s="412"/>
      <c r="M1702" s="235"/>
      <c r="N1702" s="235"/>
      <c r="O1702" s="206"/>
    </row>
    <row r="1703" spans="12:15">
      <c r="L1703" s="412"/>
      <c r="M1703" s="235"/>
      <c r="N1703" s="235"/>
      <c r="O1703" s="206"/>
    </row>
    <row r="1704" spans="12:15">
      <c r="L1704" s="412"/>
      <c r="M1704" s="235"/>
      <c r="N1704" s="235"/>
      <c r="O1704" s="206"/>
    </row>
    <row r="1705" spans="12:15">
      <c r="L1705" s="412"/>
      <c r="M1705" s="235"/>
      <c r="N1705" s="235"/>
      <c r="O1705" s="206"/>
    </row>
    <row r="1706" spans="12:15">
      <c r="L1706" s="412"/>
      <c r="M1706" s="235"/>
      <c r="N1706" s="235"/>
      <c r="O1706" s="206"/>
    </row>
    <row r="1707" spans="12:15">
      <c r="L1707" s="412"/>
      <c r="M1707" s="235"/>
      <c r="N1707" s="235"/>
      <c r="O1707" s="206"/>
    </row>
    <row r="1708" spans="12:15">
      <c r="L1708" s="412"/>
      <c r="M1708" s="235"/>
      <c r="N1708" s="235"/>
      <c r="O1708" s="206"/>
    </row>
    <row r="1709" spans="12:15">
      <c r="L1709" s="412"/>
      <c r="M1709" s="235"/>
      <c r="N1709" s="235"/>
      <c r="O1709" s="206"/>
    </row>
    <row r="1710" spans="12:15">
      <c r="L1710" s="412"/>
      <c r="M1710" s="235"/>
      <c r="N1710" s="235"/>
      <c r="O1710" s="206"/>
    </row>
    <row r="1711" spans="12:15">
      <c r="L1711" s="412"/>
      <c r="M1711" s="235"/>
      <c r="N1711" s="235"/>
      <c r="O1711" s="206"/>
    </row>
    <row r="1712" spans="12:15">
      <c r="L1712" s="412"/>
      <c r="M1712" s="235"/>
      <c r="N1712" s="235"/>
      <c r="O1712" s="206"/>
    </row>
    <row r="1713" spans="12:15">
      <c r="L1713" s="412"/>
      <c r="M1713" s="235"/>
      <c r="N1713" s="235"/>
      <c r="O1713" s="206"/>
    </row>
    <row r="1714" spans="12:15">
      <c r="L1714" s="412"/>
      <c r="M1714" s="235"/>
      <c r="N1714" s="235"/>
      <c r="O1714" s="206"/>
    </row>
    <row r="1715" spans="12:15">
      <c r="L1715" s="412"/>
      <c r="M1715" s="235"/>
      <c r="N1715" s="235"/>
      <c r="O1715" s="206"/>
    </row>
    <row r="1716" spans="12:15">
      <c r="L1716" s="412"/>
      <c r="M1716" s="235"/>
      <c r="N1716" s="235"/>
      <c r="O1716" s="206"/>
    </row>
    <row r="1717" spans="12:15">
      <c r="L1717" s="412"/>
      <c r="M1717" s="235"/>
      <c r="N1717" s="235"/>
      <c r="O1717" s="206"/>
    </row>
    <row r="1718" spans="12:15">
      <c r="L1718" s="412"/>
      <c r="M1718" s="235"/>
      <c r="N1718" s="235"/>
      <c r="O1718" s="206"/>
    </row>
    <row r="1719" spans="12:15">
      <c r="L1719" s="412"/>
      <c r="M1719" s="235"/>
      <c r="N1719" s="235"/>
      <c r="O1719" s="206"/>
    </row>
    <row r="1720" spans="12:15">
      <c r="L1720" s="412"/>
      <c r="M1720" s="235"/>
      <c r="N1720" s="235"/>
      <c r="O1720" s="206"/>
    </row>
    <row r="1721" spans="12:15">
      <c r="L1721" s="412"/>
      <c r="M1721" s="235"/>
      <c r="N1721" s="235"/>
      <c r="O1721" s="206"/>
    </row>
    <row r="1722" spans="12:15">
      <c r="L1722" s="412"/>
      <c r="M1722" s="235"/>
      <c r="N1722" s="235"/>
      <c r="O1722" s="206"/>
    </row>
    <row r="1723" spans="12:15">
      <c r="L1723" s="412"/>
      <c r="M1723" s="235"/>
      <c r="N1723" s="235"/>
      <c r="O1723" s="206"/>
    </row>
    <row r="1724" spans="12:15">
      <c r="L1724" s="412"/>
      <c r="M1724" s="235"/>
      <c r="N1724" s="235"/>
      <c r="O1724" s="206"/>
    </row>
    <row r="1725" spans="12:15">
      <c r="L1725" s="412"/>
      <c r="M1725" s="235"/>
      <c r="N1725" s="235"/>
      <c r="O1725" s="206"/>
    </row>
    <row r="1726" spans="12:15">
      <c r="L1726" s="412"/>
      <c r="M1726" s="235"/>
      <c r="N1726" s="235"/>
      <c r="O1726" s="206"/>
    </row>
    <row r="1727" spans="12:15">
      <c r="L1727" s="412"/>
      <c r="M1727" s="235"/>
      <c r="N1727" s="235"/>
      <c r="O1727" s="206"/>
    </row>
    <row r="1728" spans="12:15">
      <c r="L1728" s="412"/>
      <c r="M1728" s="235"/>
      <c r="N1728" s="235"/>
      <c r="O1728" s="206"/>
    </row>
    <row r="1729" spans="12:15">
      <c r="L1729" s="412"/>
      <c r="M1729" s="235"/>
      <c r="N1729" s="235"/>
      <c r="O1729" s="206"/>
    </row>
    <row r="1730" spans="12:15">
      <c r="L1730" s="412"/>
      <c r="M1730" s="235"/>
      <c r="N1730" s="235"/>
      <c r="O1730" s="206"/>
    </row>
    <row r="1731" spans="12:15">
      <c r="L1731" s="412"/>
      <c r="M1731" s="235"/>
      <c r="N1731" s="235"/>
      <c r="O1731" s="206"/>
    </row>
    <row r="1732" spans="12:15">
      <c r="L1732" s="412"/>
      <c r="M1732" s="235"/>
      <c r="N1732" s="235"/>
      <c r="O1732" s="206"/>
    </row>
    <row r="1733" spans="12:15">
      <c r="L1733" s="412"/>
      <c r="M1733" s="235"/>
      <c r="N1733" s="235"/>
      <c r="O1733" s="206"/>
    </row>
    <row r="1734" spans="12:15">
      <c r="L1734" s="412"/>
      <c r="M1734" s="235"/>
      <c r="N1734" s="235"/>
      <c r="O1734" s="206"/>
    </row>
    <row r="1735" spans="12:15">
      <c r="L1735" s="412"/>
      <c r="M1735" s="235"/>
      <c r="N1735" s="235"/>
      <c r="O1735" s="206"/>
    </row>
    <row r="1736" spans="12:15">
      <c r="L1736" s="412"/>
      <c r="M1736" s="235"/>
      <c r="N1736" s="235"/>
      <c r="O1736" s="206"/>
    </row>
    <row r="1737" spans="12:15">
      <c r="L1737" s="412"/>
      <c r="M1737" s="235"/>
      <c r="N1737" s="235"/>
      <c r="O1737" s="206"/>
    </row>
    <row r="1738" spans="12:15">
      <c r="L1738" s="412"/>
      <c r="M1738" s="235"/>
      <c r="N1738" s="235"/>
      <c r="O1738" s="206"/>
    </row>
    <row r="1739" spans="12:15">
      <c r="L1739" s="412"/>
      <c r="M1739" s="235"/>
      <c r="N1739" s="235"/>
      <c r="O1739" s="206"/>
    </row>
    <row r="1740" spans="12:15">
      <c r="L1740" s="412"/>
      <c r="M1740" s="235"/>
      <c r="N1740" s="235"/>
      <c r="O1740" s="206"/>
    </row>
    <row r="1741" spans="12:15">
      <c r="L1741" s="412"/>
      <c r="M1741" s="235"/>
      <c r="N1741" s="235"/>
      <c r="O1741" s="206"/>
    </row>
    <row r="1742" spans="12:15">
      <c r="L1742" s="412"/>
      <c r="M1742" s="235"/>
      <c r="N1742" s="235"/>
      <c r="O1742" s="206"/>
    </row>
    <row r="1743" spans="12:15">
      <c r="L1743" s="412"/>
      <c r="M1743" s="235"/>
      <c r="N1743" s="235"/>
      <c r="O1743" s="206"/>
    </row>
    <row r="1744" spans="12:15">
      <c r="L1744" s="412"/>
      <c r="M1744" s="235"/>
      <c r="N1744" s="235"/>
      <c r="O1744" s="206"/>
    </row>
    <row r="1745" spans="12:15">
      <c r="L1745" s="412"/>
      <c r="M1745" s="235"/>
      <c r="N1745" s="235"/>
      <c r="O1745" s="206"/>
    </row>
    <row r="1746" spans="12:15">
      <c r="L1746" s="412"/>
      <c r="M1746" s="235"/>
      <c r="N1746" s="235"/>
      <c r="O1746" s="206"/>
    </row>
    <row r="1747" spans="12:15">
      <c r="L1747" s="412"/>
      <c r="M1747" s="235"/>
      <c r="N1747" s="235"/>
      <c r="O1747" s="206"/>
    </row>
    <row r="1748" spans="12:15">
      <c r="L1748" s="412"/>
      <c r="M1748" s="235"/>
      <c r="N1748" s="235"/>
      <c r="O1748" s="206"/>
    </row>
    <row r="1749" spans="12:15">
      <c r="L1749" s="412"/>
      <c r="M1749" s="235"/>
      <c r="N1749" s="235"/>
      <c r="O1749" s="206"/>
    </row>
    <row r="1750" spans="12:15">
      <c r="L1750" s="412"/>
      <c r="M1750" s="235"/>
      <c r="N1750" s="235"/>
      <c r="O1750" s="206"/>
    </row>
    <row r="1751" spans="12:15">
      <c r="L1751" s="412"/>
      <c r="M1751" s="235"/>
      <c r="N1751" s="235"/>
      <c r="O1751" s="206"/>
    </row>
    <row r="1752" spans="12:15">
      <c r="L1752" s="412"/>
      <c r="M1752" s="235"/>
      <c r="N1752" s="235"/>
      <c r="O1752" s="206"/>
    </row>
    <row r="1753" spans="12:15">
      <c r="L1753" s="412"/>
      <c r="M1753" s="235"/>
      <c r="N1753" s="235"/>
      <c r="O1753" s="206"/>
    </row>
    <row r="1754" spans="12:15">
      <c r="L1754" s="412"/>
      <c r="M1754" s="235"/>
      <c r="N1754" s="235"/>
      <c r="O1754" s="206"/>
    </row>
    <row r="1755" spans="12:15">
      <c r="L1755" s="412"/>
      <c r="M1755" s="235"/>
      <c r="N1755" s="235"/>
      <c r="O1755" s="206"/>
    </row>
    <row r="1756" spans="12:15">
      <c r="L1756" s="412"/>
      <c r="M1756" s="235"/>
      <c r="N1756" s="235"/>
      <c r="O1756" s="206"/>
    </row>
    <row r="1757" spans="12:15">
      <c r="L1757" s="412"/>
      <c r="M1757" s="235"/>
      <c r="N1757" s="235"/>
      <c r="O1757" s="206"/>
    </row>
    <row r="1758" spans="12:15">
      <c r="L1758" s="412"/>
      <c r="M1758" s="235"/>
      <c r="N1758" s="235"/>
      <c r="O1758" s="206"/>
    </row>
    <row r="1759" spans="12:15">
      <c r="L1759" s="412"/>
      <c r="M1759" s="235"/>
      <c r="N1759" s="235"/>
      <c r="O1759" s="206"/>
    </row>
    <row r="1760" spans="12:15">
      <c r="L1760" s="412"/>
      <c r="M1760" s="235"/>
      <c r="N1760" s="235"/>
      <c r="O1760" s="206"/>
    </row>
    <row r="1761" spans="12:15">
      <c r="L1761" s="412"/>
      <c r="M1761" s="235"/>
      <c r="N1761" s="235"/>
      <c r="O1761" s="206"/>
    </row>
    <row r="1762" spans="12:15">
      <c r="L1762" s="412"/>
      <c r="M1762" s="235"/>
      <c r="N1762" s="235"/>
      <c r="O1762" s="206"/>
    </row>
    <row r="1763" spans="12:15">
      <c r="L1763" s="412"/>
      <c r="M1763" s="235"/>
      <c r="N1763" s="235"/>
      <c r="O1763" s="206"/>
    </row>
    <row r="1764" spans="12:15">
      <c r="L1764" s="412"/>
      <c r="M1764" s="235"/>
      <c r="N1764" s="235"/>
      <c r="O1764" s="206"/>
    </row>
    <row r="1765" spans="12:15">
      <c r="L1765" s="412"/>
      <c r="M1765" s="235"/>
      <c r="N1765" s="235"/>
      <c r="O1765" s="206"/>
    </row>
    <row r="1766" spans="12:15">
      <c r="L1766" s="412"/>
      <c r="M1766" s="235"/>
      <c r="N1766" s="235"/>
      <c r="O1766" s="206"/>
    </row>
    <row r="1767" spans="12:15">
      <c r="L1767" s="412"/>
      <c r="M1767" s="235"/>
      <c r="N1767" s="235"/>
      <c r="O1767" s="206"/>
    </row>
    <row r="1768" spans="12:15">
      <c r="L1768" s="412"/>
      <c r="M1768" s="235"/>
      <c r="N1768" s="235"/>
      <c r="O1768" s="206"/>
    </row>
    <row r="1769" spans="12:15">
      <c r="L1769" s="412"/>
      <c r="M1769" s="235"/>
      <c r="N1769" s="235"/>
      <c r="O1769" s="206"/>
    </row>
    <row r="1770" spans="12:15">
      <c r="L1770" s="412"/>
      <c r="M1770" s="235"/>
      <c r="N1770" s="235"/>
      <c r="O1770" s="206"/>
    </row>
    <row r="1771" spans="12:15">
      <c r="L1771" s="412"/>
      <c r="M1771" s="235"/>
      <c r="N1771" s="235"/>
      <c r="O1771" s="206"/>
    </row>
    <row r="1772" spans="12:15">
      <c r="L1772" s="412"/>
      <c r="M1772" s="235"/>
      <c r="N1772" s="235"/>
      <c r="O1772" s="206"/>
    </row>
    <row r="1773" spans="12:15">
      <c r="L1773" s="412"/>
      <c r="M1773" s="235"/>
      <c r="N1773" s="235"/>
      <c r="O1773" s="206"/>
    </row>
    <row r="1774" spans="12:15">
      <c r="L1774" s="412"/>
      <c r="M1774" s="235"/>
      <c r="N1774" s="235"/>
      <c r="O1774" s="206"/>
    </row>
    <row r="1775" spans="12:15">
      <c r="L1775" s="412"/>
      <c r="M1775" s="235"/>
      <c r="N1775" s="235"/>
      <c r="O1775" s="206"/>
    </row>
    <row r="1776" spans="12:15">
      <c r="L1776" s="412"/>
      <c r="M1776" s="235"/>
      <c r="N1776" s="235"/>
      <c r="O1776" s="206"/>
    </row>
    <row r="1777" spans="12:15">
      <c r="L1777" s="412"/>
      <c r="M1777" s="235"/>
      <c r="N1777" s="235"/>
      <c r="O1777" s="206"/>
    </row>
    <row r="1778" spans="12:15">
      <c r="L1778" s="412"/>
      <c r="M1778" s="235"/>
      <c r="N1778" s="235"/>
      <c r="O1778" s="206"/>
    </row>
    <row r="1779" spans="12:15">
      <c r="L1779" s="412"/>
      <c r="M1779" s="235"/>
      <c r="N1779" s="235"/>
      <c r="O1779" s="206"/>
    </row>
    <row r="1780" spans="12:15">
      <c r="L1780" s="412"/>
      <c r="M1780" s="235"/>
      <c r="N1780" s="235"/>
      <c r="O1780" s="206"/>
    </row>
    <row r="1781" spans="12:15">
      <c r="L1781" s="412"/>
      <c r="M1781" s="235"/>
      <c r="N1781" s="235"/>
      <c r="O1781" s="206"/>
    </row>
    <row r="1782" spans="12:15">
      <c r="L1782" s="412"/>
      <c r="M1782" s="235"/>
      <c r="N1782" s="235"/>
      <c r="O1782" s="206"/>
    </row>
    <row r="1783" spans="12:15">
      <c r="L1783" s="412"/>
      <c r="M1783" s="235"/>
      <c r="N1783" s="235"/>
      <c r="O1783" s="206"/>
    </row>
    <row r="1784" spans="12:15">
      <c r="L1784" s="412"/>
      <c r="M1784" s="235"/>
      <c r="N1784" s="235"/>
      <c r="O1784" s="206"/>
    </row>
    <row r="1785" spans="12:15">
      <c r="L1785" s="412"/>
      <c r="M1785" s="235"/>
      <c r="N1785" s="235"/>
      <c r="O1785" s="206"/>
    </row>
    <row r="1786" spans="12:15">
      <c r="L1786" s="412"/>
      <c r="M1786" s="235"/>
      <c r="N1786" s="235"/>
      <c r="O1786" s="206"/>
    </row>
    <row r="1787" spans="12:15">
      <c r="L1787" s="412"/>
      <c r="M1787" s="235"/>
      <c r="N1787" s="235"/>
      <c r="O1787" s="206"/>
    </row>
    <row r="1788" spans="12:15">
      <c r="L1788" s="412"/>
      <c r="M1788" s="235"/>
      <c r="N1788" s="235"/>
      <c r="O1788" s="206"/>
    </row>
    <row r="1789" spans="12:15">
      <c r="L1789" s="412"/>
      <c r="M1789" s="235"/>
      <c r="N1789" s="235"/>
      <c r="O1789" s="206"/>
    </row>
    <row r="1790" spans="12:15">
      <c r="L1790" s="412"/>
      <c r="M1790" s="235"/>
      <c r="N1790" s="235"/>
      <c r="O1790" s="206"/>
    </row>
    <row r="1791" spans="12:15">
      <c r="L1791" s="412"/>
      <c r="M1791" s="235"/>
      <c r="N1791" s="235"/>
      <c r="O1791" s="206"/>
    </row>
    <row r="1792" spans="12:15">
      <c r="L1792" s="412"/>
      <c r="M1792" s="235"/>
      <c r="N1792" s="235"/>
      <c r="O1792" s="206"/>
    </row>
    <row r="1793" spans="12:15">
      <c r="L1793" s="412"/>
      <c r="M1793" s="235"/>
      <c r="N1793" s="235"/>
      <c r="O1793" s="206"/>
    </row>
    <row r="1794" spans="12:15">
      <c r="L1794" s="412"/>
      <c r="M1794" s="235"/>
      <c r="N1794" s="235"/>
      <c r="O1794" s="206"/>
    </row>
    <row r="1795" spans="12:15">
      <c r="L1795" s="412"/>
      <c r="M1795" s="235"/>
      <c r="N1795" s="235"/>
      <c r="O1795" s="206"/>
    </row>
    <row r="1796" spans="12:15">
      <c r="L1796" s="412"/>
      <c r="M1796" s="235"/>
      <c r="N1796" s="235"/>
      <c r="O1796" s="206"/>
    </row>
    <row r="1797" spans="12:15">
      <c r="L1797" s="412"/>
      <c r="M1797" s="235"/>
      <c r="N1797" s="235"/>
      <c r="O1797" s="206"/>
    </row>
    <row r="1798" spans="12:15">
      <c r="L1798" s="412"/>
      <c r="M1798" s="235"/>
      <c r="N1798" s="235"/>
      <c r="O1798" s="206"/>
    </row>
    <row r="1799" spans="12:15">
      <c r="L1799" s="412"/>
      <c r="M1799" s="235"/>
      <c r="N1799" s="235"/>
      <c r="O1799" s="206"/>
    </row>
    <row r="1800" spans="12:15">
      <c r="L1800" s="412"/>
      <c r="M1800" s="235"/>
      <c r="N1800" s="235"/>
      <c r="O1800" s="206"/>
    </row>
    <row r="1801" spans="12:15">
      <c r="L1801" s="412"/>
      <c r="M1801" s="235"/>
      <c r="N1801" s="235"/>
      <c r="O1801" s="206"/>
    </row>
    <row r="1802" spans="12:15">
      <c r="L1802" s="412"/>
      <c r="M1802" s="235"/>
      <c r="N1802" s="235"/>
      <c r="O1802" s="206"/>
    </row>
    <row r="1803" spans="12:15">
      <c r="L1803" s="412"/>
      <c r="M1803" s="235"/>
      <c r="N1803" s="235"/>
      <c r="O1803" s="206"/>
    </row>
    <row r="1804" spans="12:15">
      <c r="L1804" s="412"/>
      <c r="M1804" s="235"/>
      <c r="N1804" s="235"/>
      <c r="O1804" s="206"/>
    </row>
    <row r="1805" spans="12:15">
      <c r="L1805" s="412"/>
      <c r="M1805" s="235"/>
      <c r="N1805" s="235"/>
      <c r="O1805" s="206"/>
    </row>
    <row r="1806" spans="12:15">
      <c r="L1806" s="412"/>
      <c r="M1806" s="235"/>
      <c r="N1806" s="235"/>
      <c r="O1806" s="206"/>
    </row>
    <row r="1807" spans="12:15">
      <c r="L1807" s="412"/>
      <c r="M1807" s="235"/>
      <c r="N1807" s="235"/>
      <c r="O1807" s="206"/>
    </row>
    <row r="1808" spans="12:15">
      <c r="L1808" s="412"/>
      <c r="M1808" s="235"/>
      <c r="N1808" s="235"/>
      <c r="O1808" s="206"/>
    </row>
    <row r="1809" spans="12:15">
      <c r="L1809" s="412"/>
      <c r="M1809" s="235"/>
      <c r="N1809" s="235"/>
      <c r="O1809" s="206"/>
    </row>
    <row r="1810" spans="12:15">
      <c r="L1810" s="412"/>
      <c r="M1810" s="235"/>
      <c r="N1810" s="235"/>
      <c r="O1810" s="206"/>
    </row>
    <row r="1811" spans="12:15">
      <c r="L1811" s="412"/>
      <c r="M1811" s="235"/>
      <c r="N1811" s="235"/>
      <c r="O1811" s="206"/>
    </row>
    <row r="1812" spans="12:15">
      <c r="L1812" s="412"/>
      <c r="M1812" s="235"/>
      <c r="N1812" s="235"/>
      <c r="O1812" s="206"/>
    </row>
    <row r="1813" spans="12:15">
      <c r="L1813" s="412"/>
      <c r="M1813" s="235"/>
      <c r="N1813" s="235"/>
      <c r="O1813" s="206"/>
    </row>
    <row r="1814" spans="12:15">
      <c r="L1814" s="412"/>
      <c r="M1814" s="235"/>
      <c r="N1814" s="235"/>
      <c r="O1814" s="206"/>
    </row>
    <row r="1815" spans="12:15">
      <c r="L1815" s="412"/>
      <c r="M1815" s="235"/>
      <c r="N1815" s="235"/>
      <c r="O1815" s="206"/>
    </row>
    <row r="1816" spans="12:15">
      <c r="L1816" s="412"/>
      <c r="M1816" s="235"/>
      <c r="N1816" s="235"/>
      <c r="O1816" s="206"/>
    </row>
    <row r="1817" spans="12:15">
      <c r="L1817" s="412"/>
      <c r="M1817" s="235"/>
      <c r="N1817" s="235"/>
      <c r="O1817" s="206"/>
    </row>
    <row r="1818" spans="12:15">
      <c r="L1818" s="412"/>
      <c r="M1818" s="235"/>
      <c r="N1818" s="235"/>
      <c r="O1818" s="206"/>
    </row>
    <row r="1819" spans="12:15">
      <c r="L1819" s="412"/>
      <c r="M1819" s="235"/>
      <c r="N1819" s="235"/>
      <c r="O1819" s="206"/>
    </row>
    <row r="1820" spans="12:15">
      <c r="L1820" s="412"/>
      <c r="M1820" s="235"/>
      <c r="N1820" s="235"/>
      <c r="O1820" s="206"/>
    </row>
    <row r="1821" spans="12:15">
      <c r="L1821" s="412"/>
      <c r="M1821" s="235"/>
      <c r="N1821" s="235"/>
      <c r="O1821" s="206"/>
    </row>
    <row r="1822" spans="12:15">
      <c r="L1822" s="412"/>
      <c r="M1822" s="235"/>
      <c r="N1822" s="235"/>
      <c r="O1822" s="206"/>
    </row>
    <row r="1823" spans="12:15">
      <c r="L1823" s="412"/>
      <c r="M1823" s="235"/>
      <c r="N1823" s="235"/>
      <c r="O1823" s="206"/>
    </row>
    <row r="1824" spans="12:15">
      <c r="L1824" s="412"/>
      <c r="M1824" s="235"/>
      <c r="N1824" s="235"/>
      <c r="O1824" s="206"/>
    </row>
    <row r="1825" spans="12:15">
      <c r="L1825" s="412"/>
      <c r="M1825" s="235"/>
      <c r="N1825" s="235"/>
      <c r="O1825" s="206"/>
    </row>
    <row r="1826" spans="12:15">
      <c r="L1826" s="412"/>
      <c r="M1826" s="235"/>
      <c r="N1826" s="235"/>
      <c r="O1826" s="206"/>
    </row>
    <row r="1827" spans="12:15">
      <c r="L1827" s="412"/>
      <c r="M1827" s="235"/>
      <c r="N1827" s="235"/>
      <c r="O1827" s="206"/>
    </row>
    <row r="1828" spans="12:15">
      <c r="L1828" s="412"/>
      <c r="M1828" s="235"/>
      <c r="N1828" s="235"/>
      <c r="O1828" s="206"/>
    </row>
    <row r="1829" spans="12:15">
      <c r="L1829" s="412"/>
      <c r="M1829" s="235"/>
      <c r="N1829" s="235"/>
      <c r="O1829" s="206"/>
    </row>
    <row r="1830" spans="12:15">
      <c r="L1830" s="412"/>
      <c r="M1830" s="235"/>
      <c r="N1830" s="235"/>
      <c r="O1830" s="206"/>
    </row>
    <row r="1831" spans="12:15">
      <c r="L1831" s="412"/>
      <c r="M1831" s="235"/>
      <c r="N1831" s="235"/>
      <c r="O1831" s="206"/>
    </row>
    <row r="1832" spans="12:15">
      <c r="L1832" s="412"/>
      <c r="M1832" s="235"/>
      <c r="N1832" s="235"/>
      <c r="O1832" s="206"/>
    </row>
    <row r="1833" spans="12:15">
      <c r="L1833" s="412"/>
      <c r="M1833" s="235"/>
      <c r="N1833" s="235"/>
      <c r="O1833" s="206"/>
    </row>
    <row r="1834" spans="12:15">
      <c r="L1834" s="412"/>
      <c r="M1834" s="235"/>
      <c r="N1834" s="235"/>
      <c r="O1834" s="206"/>
    </row>
    <row r="1835" spans="12:15">
      <c r="L1835" s="412"/>
      <c r="M1835" s="235"/>
      <c r="N1835" s="235"/>
      <c r="O1835" s="206"/>
    </row>
    <row r="1836" spans="12:15">
      <c r="L1836" s="412"/>
      <c r="M1836" s="235"/>
      <c r="N1836" s="235"/>
      <c r="O1836" s="206"/>
    </row>
    <row r="1837" spans="12:15">
      <c r="L1837" s="412"/>
      <c r="M1837" s="235"/>
      <c r="N1837" s="235"/>
      <c r="O1837" s="206"/>
    </row>
    <row r="1838" spans="12:15">
      <c r="L1838" s="412"/>
      <c r="M1838" s="235"/>
      <c r="N1838" s="235"/>
      <c r="O1838" s="206"/>
    </row>
    <row r="1839" spans="12:15">
      <c r="L1839" s="412"/>
      <c r="M1839" s="235"/>
      <c r="N1839" s="235"/>
      <c r="O1839" s="206"/>
    </row>
    <row r="1840" spans="12:15">
      <c r="L1840" s="412"/>
      <c r="M1840" s="235"/>
      <c r="N1840" s="235"/>
      <c r="O1840" s="206"/>
    </row>
    <row r="1841" spans="12:15">
      <c r="L1841" s="412"/>
      <c r="M1841" s="235"/>
      <c r="N1841" s="235"/>
      <c r="O1841" s="206"/>
    </row>
    <row r="1842" spans="12:15">
      <c r="L1842" s="412"/>
      <c r="M1842" s="235"/>
      <c r="N1842" s="235"/>
      <c r="O1842" s="206"/>
    </row>
    <row r="1843" spans="12:15">
      <c r="L1843" s="412"/>
      <c r="M1843" s="235"/>
      <c r="N1843" s="235"/>
      <c r="O1843" s="206"/>
    </row>
    <row r="1844" spans="12:15">
      <c r="L1844" s="412"/>
      <c r="M1844" s="235"/>
      <c r="N1844" s="235"/>
      <c r="O1844" s="206"/>
    </row>
    <row r="1845" spans="12:15">
      <c r="L1845" s="412"/>
      <c r="M1845" s="235"/>
      <c r="N1845" s="235"/>
      <c r="O1845" s="206"/>
    </row>
    <row r="1846" spans="12:15">
      <c r="L1846" s="412"/>
      <c r="M1846" s="235"/>
      <c r="N1846" s="235"/>
      <c r="O1846" s="206"/>
    </row>
    <row r="1847" spans="12:15">
      <c r="L1847" s="412"/>
      <c r="M1847" s="235"/>
      <c r="N1847" s="235"/>
      <c r="O1847" s="206"/>
    </row>
    <row r="1848" spans="12:15">
      <c r="L1848" s="412"/>
      <c r="M1848" s="235"/>
      <c r="N1848" s="235"/>
      <c r="O1848" s="206"/>
    </row>
    <row r="1849" spans="12:15">
      <c r="L1849" s="412"/>
      <c r="M1849" s="235"/>
      <c r="N1849" s="235"/>
      <c r="O1849" s="206"/>
    </row>
    <row r="1850" spans="12:15">
      <c r="L1850" s="412"/>
      <c r="M1850" s="235"/>
      <c r="N1850" s="235"/>
      <c r="O1850" s="206"/>
    </row>
    <row r="1851" spans="12:15">
      <c r="L1851" s="412"/>
      <c r="M1851" s="235"/>
      <c r="N1851" s="235"/>
      <c r="O1851" s="206"/>
    </row>
    <row r="1852" spans="12:15">
      <c r="L1852" s="412"/>
      <c r="M1852" s="235"/>
      <c r="N1852" s="235"/>
      <c r="O1852" s="206"/>
    </row>
    <row r="1853" spans="12:15">
      <c r="L1853" s="412"/>
      <c r="M1853" s="235"/>
      <c r="N1853" s="235"/>
      <c r="O1853" s="206"/>
    </row>
    <row r="1854" spans="12:15">
      <c r="L1854" s="412"/>
      <c r="M1854" s="235"/>
      <c r="N1854" s="235"/>
      <c r="O1854" s="206"/>
    </row>
    <row r="1855" spans="12:15">
      <c r="L1855" s="412"/>
      <c r="M1855" s="235"/>
      <c r="N1855" s="235"/>
      <c r="O1855" s="206"/>
    </row>
    <row r="1856" spans="12:15">
      <c r="L1856" s="412"/>
      <c r="M1856" s="235"/>
      <c r="N1856" s="235"/>
      <c r="O1856" s="206"/>
    </row>
    <row r="1857" spans="12:15">
      <c r="L1857" s="412"/>
      <c r="M1857" s="235"/>
      <c r="N1857" s="235"/>
      <c r="O1857" s="206"/>
    </row>
    <row r="1858" spans="12:15">
      <c r="L1858" s="412"/>
      <c r="M1858" s="235"/>
      <c r="N1858" s="235"/>
      <c r="O1858" s="206"/>
    </row>
    <row r="1859" spans="12:15">
      <c r="L1859" s="412"/>
      <c r="M1859" s="235"/>
      <c r="N1859" s="235"/>
      <c r="O1859" s="206"/>
    </row>
    <row r="1860" spans="12:15">
      <c r="L1860" s="412"/>
      <c r="M1860" s="235"/>
      <c r="N1860" s="235"/>
      <c r="O1860" s="206"/>
    </row>
    <row r="1861" spans="12:15">
      <c r="L1861" s="412"/>
      <c r="M1861" s="235"/>
      <c r="N1861" s="235"/>
      <c r="O1861" s="206"/>
    </row>
    <row r="1862" spans="12:15">
      <c r="L1862" s="412"/>
      <c r="M1862" s="235"/>
      <c r="N1862" s="235"/>
      <c r="O1862" s="206"/>
    </row>
    <row r="1863" spans="12:15">
      <c r="L1863" s="412"/>
      <c r="M1863" s="235"/>
      <c r="N1863" s="235"/>
      <c r="O1863" s="206"/>
    </row>
    <row r="1864" spans="12:15">
      <c r="L1864" s="412"/>
      <c r="M1864" s="235"/>
      <c r="N1864" s="235"/>
      <c r="O1864" s="206"/>
    </row>
    <row r="1865" spans="12:15">
      <c r="L1865" s="412"/>
      <c r="M1865" s="235"/>
      <c r="N1865" s="235"/>
      <c r="O1865" s="206"/>
    </row>
    <row r="1866" spans="12:15">
      <c r="L1866" s="412"/>
      <c r="M1866" s="235"/>
      <c r="N1866" s="235"/>
      <c r="O1866" s="206"/>
    </row>
    <row r="1867" spans="12:15">
      <c r="L1867" s="412"/>
      <c r="M1867" s="235"/>
      <c r="N1867" s="235"/>
      <c r="O1867" s="206"/>
    </row>
    <row r="1868" spans="12:15">
      <c r="L1868" s="412"/>
      <c r="M1868" s="235"/>
      <c r="N1868" s="235"/>
      <c r="O1868" s="206"/>
    </row>
    <row r="1869" spans="12:15">
      <c r="L1869" s="412"/>
      <c r="M1869" s="235"/>
      <c r="N1869" s="235"/>
      <c r="O1869" s="206"/>
    </row>
    <row r="1870" spans="12:15">
      <c r="L1870" s="412"/>
      <c r="M1870" s="235"/>
      <c r="N1870" s="235"/>
      <c r="O1870" s="206"/>
    </row>
    <row r="1871" spans="12:15">
      <c r="L1871" s="412"/>
      <c r="M1871" s="235"/>
      <c r="N1871" s="235"/>
      <c r="O1871" s="206"/>
    </row>
    <row r="1872" spans="12:15">
      <c r="L1872" s="412"/>
      <c r="M1872" s="235"/>
      <c r="N1872" s="235"/>
      <c r="O1872" s="206"/>
    </row>
    <row r="1873" spans="12:15">
      <c r="L1873" s="412"/>
      <c r="M1873" s="235"/>
      <c r="N1873" s="235"/>
      <c r="O1873" s="206"/>
    </row>
    <row r="1874" spans="12:15">
      <c r="L1874" s="412"/>
      <c r="M1874" s="235"/>
      <c r="N1874" s="235"/>
      <c r="O1874" s="206"/>
    </row>
    <row r="1875" spans="12:15">
      <c r="L1875" s="412"/>
      <c r="M1875" s="235"/>
      <c r="N1875" s="235"/>
      <c r="O1875" s="206"/>
    </row>
    <row r="1876" spans="12:15">
      <c r="L1876" s="412"/>
      <c r="M1876" s="235"/>
      <c r="N1876" s="235"/>
      <c r="O1876" s="206"/>
    </row>
    <row r="1877" spans="12:15">
      <c r="L1877" s="412"/>
      <c r="M1877" s="235"/>
      <c r="N1877" s="235"/>
      <c r="O1877" s="206"/>
    </row>
    <row r="1878" spans="12:15">
      <c r="L1878" s="412"/>
      <c r="M1878" s="235"/>
      <c r="N1878" s="235"/>
      <c r="O1878" s="206"/>
    </row>
    <row r="1879" spans="12:15">
      <c r="L1879" s="412"/>
      <c r="M1879" s="235"/>
      <c r="N1879" s="235"/>
      <c r="O1879" s="206"/>
    </row>
    <row r="1880" spans="12:15">
      <c r="L1880" s="412"/>
      <c r="M1880" s="235"/>
      <c r="N1880" s="235"/>
      <c r="O1880" s="206"/>
    </row>
    <row r="1881" spans="12:15">
      <c r="L1881" s="412"/>
      <c r="M1881" s="235"/>
      <c r="N1881" s="235"/>
      <c r="O1881" s="206"/>
    </row>
    <row r="1882" spans="12:15">
      <c r="L1882" s="412"/>
      <c r="M1882" s="235"/>
      <c r="N1882" s="235"/>
      <c r="O1882" s="206"/>
    </row>
    <row r="1883" spans="12:15">
      <c r="L1883" s="412"/>
      <c r="M1883" s="235"/>
      <c r="N1883" s="235"/>
      <c r="O1883" s="206"/>
    </row>
    <row r="1884" spans="12:15">
      <c r="L1884" s="412"/>
      <c r="M1884" s="235"/>
      <c r="N1884" s="235"/>
      <c r="O1884" s="206"/>
    </row>
    <row r="1885" spans="12:15">
      <c r="L1885" s="412"/>
      <c r="M1885" s="235"/>
      <c r="N1885" s="235"/>
      <c r="O1885" s="206"/>
    </row>
    <row r="1886" spans="12:15">
      <c r="L1886" s="412"/>
      <c r="M1886" s="235"/>
      <c r="N1886" s="235"/>
      <c r="O1886" s="206"/>
    </row>
    <row r="1887" spans="12:15">
      <c r="L1887" s="412"/>
      <c r="M1887" s="235"/>
      <c r="N1887" s="235"/>
      <c r="O1887" s="206"/>
    </row>
    <row r="1888" spans="12:15">
      <c r="L1888" s="412"/>
      <c r="M1888" s="235"/>
      <c r="N1888" s="235"/>
      <c r="O1888" s="206"/>
    </row>
    <row r="1889" spans="12:15">
      <c r="L1889" s="412"/>
      <c r="M1889" s="235"/>
      <c r="N1889" s="235"/>
      <c r="O1889" s="206"/>
    </row>
    <row r="1890" spans="12:15">
      <c r="L1890" s="412"/>
      <c r="M1890" s="235"/>
      <c r="N1890" s="235"/>
      <c r="O1890" s="206"/>
    </row>
    <row r="1891" spans="12:15">
      <c r="L1891" s="412"/>
      <c r="M1891" s="235"/>
      <c r="N1891" s="235"/>
      <c r="O1891" s="206"/>
    </row>
    <row r="1892" spans="12:15">
      <c r="L1892" s="412"/>
      <c r="M1892" s="235"/>
      <c r="N1892" s="235"/>
      <c r="O1892" s="206"/>
    </row>
    <row r="1893" spans="12:15">
      <c r="L1893" s="412"/>
      <c r="M1893" s="235"/>
      <c r="N1893" s="235"/>
      <c r="O1893" s="206"/>
    </row>
    <row r="1894" spans="12:15">
      <c r="L1894" s="412"/>
      <c r="M1894" s="235"/>
      <c r="N1894" s="235"/>
      <c r="O1894" s="206"/>
    </row>
    <row r="1895" spans="12:15">
      <c r="L1895" s="412"/>
      <c r="M1895" s="235"/>
      <c r="N1895" s="235"/>
      <c r="O1895" s="206"/>
    </row>
    <row r="1896" spans="12:15">
      <c r="L1896" s="412"/>
      <c r="M1896" s="235"/>
      <c r="N1896" s="235"/>
      <c r="O1896" s="206"/>
    </row>
    <row r="1897" spans="12:15">
      <c r="L1897" s="412"/>
      <c r="M1897" s="235"/>
      <c r="N1897" s="235"/>
      <c r="O1897" s="206"/>
    </row>
    <row r="1898" spans="12:15">
      <c r="L1898" s="412"/>
      <c r="M1898" s="235"/>
      <c r="N1898" s="235"/>
      <c r="O1898" s="206"/>
    </row>
    <row r="1899" spans="12:15">
      <c r="L1899" s="412"/>
      <c r="M1899" s="235"/>
      <c r="N1899" s="235"/>
      <c r="O1899" s="206"/>
    </row>
    <row r="1900" spans="12:15">
      <c r="L1900" s="412"/>
      <c r="M1900" s="235"/>
      <c r="N1900" s="235"/>
      <c r="O1900" s="206"/>
    </row>
    <row r="1901" spans="12:15">
      <c r="L1901" s="412"/>
      <c r="M1901" s="235"/>
      <c r="N1901" s="235"/>
      <c r="O1901" s="206"/>
    </row>
    <row r="1902" spans="12:15">
      <c r="L1902" s="412"/>
      <c r="M1902" s="235"/>
      <c r="N1902" s="235"/>
      <c r="O1902" s="206"/>
    </row>
    <row r="1903" spans="12:15">
      <c r="L1903" s="412"/>
      <c r="M1903" s="235"/>
      <c r="N1903" s="235"/>
      <c r="O1903" s="206"/>
    </row>
    <row r="1904" spans="12:15">
      <c r="L1904" s="412"/>
      <c r="M1904" s="235"/>
      <c r="N1904" s="235"/>
      <c r="O1904" s="206"/>
    </row>
    <row r="1905" spans="12:15">
      <c r="L1905" s="412"/>
      <c r="M1905" s="235"/>
      <c r="N1905" s="235"/>
      <c r="O1905" s="206"/>
    </row>
    <row r="1906" spans="12:15">
      <c r="L1906" s="412"/>
      <c r="M1906" s="235"/>
      <c r="N1906" s="235"/>
      <c r="O1906" s="206"/>
    </row>
    <row r="1907" spans="12:15">
      <c r="L1907" s="412"/>
      <c r="M1907" s="235"/>
      <c r="N1907" s="235"/>
      <c r="O1907" s="206"/>
    </row>
    <row r="1908" spans="12:15">
      <c r="L1908" s="412"/>
      <c r="M1908" s="235"/>
      <c r="N1908" s="235"/>
      <c r="O1908" s="206"/>
    </row>
    <row r="1909" spans="12:15">
      <c r="L1909" s="412"/>
      <c r="M1909" s="235"/>
      <c r="N1909" s="235"/>
      <c r="O1909" s="206"/>
    </row>
    <row r="1910" spans="12:15">
      <c r="L1910" s="412"/>
      <c r="M1910" s="235"/>
      <c r="N1910" s="235"/>
      <c r="O1910" s="206"/>
    </row>
    <row r="1911" spans="12:15">
      <c r="L1911" s="412"/>
      <c r="M1911" s="235"/>
      <c r="N1911" s="235"/>
      <c r="O1911" s="206"/>
    </row>
    <row r="1912" spans="12:15">
      <c r="L1912" s="412"/>
      <c r="M1912" s="235"/>
      <c r="N1912" s="235"/>
      <c r="O1912" s="206"/>
    </row>
    <row r="1913" spans="12:15">
      <c r="L1913" s="412"/>
      <c r="M1913" s="235"/>
      <c r="N1913" s="235"/>
      <c r="O1913" s="206"/>
    </row>
    <row r="1914" spans="12:15">
      <c r="L1914" s="412"/>
      <c r="M1914" s="235"/>
      <c r="N1914" s="235"/>
      <c r="O1914" s="206"/>
    </row>
    <row r="1915" spans="12:15">
      <c r="L1915" s="412"/>
      <c r="M1915" s="235"/>
      <c r="N1915" s="235"/>
      <c r="O1915" s="206"/>
    </row>
    <row r="1916" spans="12:15">
      <c r="L1916" s="412"/>
      <c r="M1916" s="235"/>
      <c r="N1916" s="235"/>
      <c r="O1916" s="206"/>
    </row>
    <row r="1917" spans="12:15">
      <c r="L1917" s="412"/>
      <c r="M1917" s="235"/>
      <c r="N1917" s="235"/>
      <c r="O1917" s="206"/>
    </row>
    <row r="1918" spans="12:15">
      <c r="L1918" s="412"/>
      <c r="M1918" s="235"/>
      <c r="N1918" s="235"/>
      <c r="O1918" s="206"/>
    </row>
    <row r="1919" spans="12:15">
      <c r="L1919" s="412"/>
      <c r="M1919" s="235"/>
      <c r="N1919" s="235"/>
      <c r="O1919" s="206"/>
    </row>
    <row r="1920" spans="12:15">
      <c r="L1920" s="412"/>
      <c r="M1920" s="235"/>
      <c r="N1920" s="235"/>
      <c r="O1920" s="206"/>
    </row>
    <row r="1921" spans="12:15">
      <c r="L1921" s="412"/>
      <c r="M1921" s="235"/>
      <c r="N1921" s="235"/>
      <c r="O1921" s="206"/>
    </row>
    <row r="1922" spans="12:15">
      <c r="L1922" s="412"/>
      <c r="M1922" s="235"/>
      <c r="N1922" s="235"/>
      <c r="O1922" s="206"/>
    </row>
    <row r="1923" spans="12:15">
      <c r="L1923" s="412"/>
      <c r="M1923" s="235"/>
      <c r="N1923" s="235"/>
      <c r="O1923" s="206"/>
    </row>
    <row r="1924" spans="12:15">
      <c r="L1924" s="412"/>
      <c r="M1924" s="235"/>
      <c r="N1924" s="235"/>
      <c r="O1924" s="206"/>
    </row>
    <row r="1925" spans="12:15">
      <c r="L1925" s="412"/>
      <c r="M1925" s="235"/>
      <c r="N1925" s="235"/>
      <c r="O1925" s="206"/>
    </row>
    <row r="1926" spans="12:15">
      <c r="L1926" s="412"/>
      <c r="M1926" s="235"/>
      <c r="N1926" s="235"/>
      <c r="O1926" s="206"/>
    </row>
    <row r="1927" spans="12:15">
      <c r="L1927" s="412"/>
      <c r="M1927" s="235"/>
      <c r="N1927" s="235"/>
      <c r="O1927" s="206"/>
    </row>
    <row r="1928" spans="12:15">
      <c r="L1928" s="412"/>
      <c r="M1928" s="235"/>
      <c r="N1928" s="235"/>
      <c r="O1928" s="206"/>
    </row>
    <row r="1929" spans="12:15">
      <c r="L1929" s="412"/>
      <c r="M1929" s="235"/>
      <c r="N1929" s="235"/>
      <c r="O1929" s="206"/>
    </row>
    <row r="1930" spans="12:15">
      <c r="L1930" s="412"/>
      <c r="M1930" s="235"/>
      <c r="N1930" s="235"/>
      <c r="O1930" s="206"/>
    </row>
    <row r="1931" spans="12:15">
      <c r="L1931" s="412"/>
      <c r="M1931" s="235"/>
      <c r="N1931" s="235"/>
      <c r="O1931" s="206"/>
    </row>
    <row r="1932" spans="12:15">
      <c r="L1932" s="412"/>
      <c r="M1932" s="235"/>
      <c r="N1932" s="235"/>
      <c r="O1932" s="206"/>
    </row>
    <row r="1933" spans="12:15">
      <c r="L1933" s="412"/>
      <c r="M1933" s="235"/>
      <c r="N1933" s="235"/>
      <c r="O1933" s="206"/>
    </row>
    <row r="1934" spans="12:15">
      <c r="L1934" s="412"/>
      <c r="M1934" s="235"/>
      <c r="N1934" s="235"/>
      <c r="O1934" s="206"/>
    </row>
    <row r="1935" spans="12:15">
      <c r="L1935" s="412"/>
      <c r="M1935" s="235"/>
      <c r="N1935" s="235"/>
      <c r="O1935" s="206"/>
    </row>
    <row r="1936" spans="12:15">
      <c r="L1936" s="412"/>
      <c r="M1936" s="235"/>
      <c r="N1936" s="235"/>
      <c r="O1936" s="206"/>
    </row>
    <row r="1937" spans="12:15">
      <c r="L1937" s="412"/>
      <c r="M1937" s="235"/>
      <c r="N1937" s="235"/>
      <c r="O1937" s="206"/>
    </row>
    <row r="1938" spans="12:15">
      <c r="L1938" s="412"/>
      <c r="M1938" s="235"/>
      <c r="N1938" s="235"/>
      <c r="O1938" s="206"/>
    </row>
    <row r="1939" spans="12:15">
      <c r="L1939" s="412"/>
      <c r="M1939" s="235"/>
      <c r="N1939" s="235"/>
      <c r="O1939" s="206"/>
    </row>
    <row r="1940" spans="12:15">
      <c r="L1940" s="412"/>
      <c r="M1940" s="235"/>
      <c r="N1940" s="235"/>
      <c r="O1940" s="206"/>
    </row>
    <row r="1941" spans="12:15">
      <c r="L1941" s="412"/>
      <c r="M1941" s="235"/>
      <c r="N1941" s="235"/>
      <c r="O1941" s="206"/>
    </row>
    <row r="1942" spans="12:15">
      <c r="L1942" s="412"/>
      <c r="M1942" s="235"/>
      <c r="N1942" s="235"/>
      <c r="O1942" s="206"/>
    </row>
    <row r="1943" spans="12:15">
      <c r="L1943" s="412"/>
      <c r="M1943" s="235"/>
      <c r="N1943" s="235"/>
      <c r="O1943" s="206"/>
    </row>
    <row r="1944" spans="12:15">
      <c r="L1944" s="412"/>
      <c r="M1944" s="235"/>
      <c r="N1944" s="235"/>
      <c r="O1944" s="206"/>
    </row>
    <row r="1945" spans="12:15">
      <c r="L1945" s="412"/>
      <c r="M1945" s="235"/>
      <c r="N1945" s="235"/>
      <c r="O1945" s="206"/>
    </row>
    <row r="1946" spans="12:15">
      <c r="L1946" s="412"/>
      <c r="M1946" s="235"/>
      <c r="N1946" s="235"/>
      <c r="O1946" s="206"/>
    </row>
    <row r="1947" spans="12:15">
      <c r="L1947" s="412"/>
      <c r="M1947" s="235"/>
      <c r="N1947" s="235"/>
      <c r="O1947" s="206"/>
    </row>
    <row r="1948" spans="12:15">
      <c r="L1948" s="412"/>
      <c r="M1948" s="235"/>
      <c r="N1948" s="235"/>
      <c r="O1948" s="206"/>
    </row>
    <row r="1949" spans="12:15">
      <c r="L1949" s="412"/>
      <c r="M1949" s="235"/>
      <c r="N1949" s="235"/>
      <c r="O1949" s="206"/>
    </row>
    <row r="1950" spans="12:15">
      <c r="L1950" s="412"/>
      <c r="M1950" s="235"/>
      <c r="N1950" s="235"/>
      <c r="O1950" s="206"/>
    </row>
    <row r="1951" spans="12:15">
      <c r="L1951" s="412"/>
      <c r="M1951" s="235"/>
      <c r="N1951" s="235"/>
      <c r="O1951" s="206"/>
    </row>
    <row r="1952" spans="12:15">
      <c r="L1952" s="412"/>
      <c r="M1952" s="235"/>
      <c r="N1952" s="235"/>
      <c r="O1952" s="206"/>
    </row>
    <row r="1953" spans="12:15">
      <c r="L1953" s="412"/>
      <c r="M1953" s="235"/>
      <c r="N1953" s="235"/>
      <c r="O1953" s="206"/>
    </row>
    <row r="1954" spans="12:15">
      <c r="L1954" s="412"/>
      <c r="M1954" s="235"/>
      <c r="N1954" s="235"/>
      <c r="O1954" s="206"/>
    </row>
    <row r="1955" spans="12:15">
      <c r="L1955" s="412"/>
      <c r="M1955" s="235"/>
      <c r="N1955" s="235"/>
      <c r="O1955" s="206"/>
    </row>
    <row r="1956" spans="12:15">
      <c r="L1956" s="412"/>
      <c r="M1956" s="235"/>
      <c r="N1956" s="235"/>
      <c r="O1956" s="206"/>
    </row>
    <row r="1957" spans="12:15">
      <c r="L1957" s="412"/>
      <c r="M1957" s="235"/>
      <c r="N1957" s="235"/>
      <c r="O1957" s="206"/>
    </row>
    <row r="1958" spans="12:15">
      <c r="L1958" s="412"/>
      <c r="M1958" s="235"/>
      <c r="N1958" s="235"/>
      <c r="O1958" s="206"/>
    </row>
    <row r="1959" spans="12:15">
      <c r="L1959" s="412"/>
      <c r="M1959" s="235"/>
      <c r="N1959" s="235"/>
      <c r="O1959" s="206"/>
    </row>
    <row r="1960" spans="12:15">
      <c r="L1960" s="412"/>
      <c r="M1960" s="235"/>
      <c r="N1960" s="235"/>
      <c r="O1960" s="206"/>
    </row>
    <row r="1961" spans="12:15">
      <c r="L1961" s="412"/>
      <c r="M1961" s="235"/>
      <c r="N1961" s="235"/>
      <c r="O1961" s="206"/>
    </row>
    <row r="1962" spans="12:15">
      <c r="L1962" s="412"/>
      <c r="M1962" s="235"/>
      <c r="N1962" s="235"/>
      <c r="O1962" s="206"/>
    </row>
    <row r="1963" spans="12:15">
      <c r="L1963" s="412"/>
      <c r="M1963" s="235"/>
      <c r="N1963" s="235"/>
      <c r="O1963" s="206"/>
    </row>
    <row r="1964" spans="12:15">
      <c r="L1964" s="412"/>
      <c r="M1964" s="235"/>
      <c r="N1964" s="235"/>
      <c r="O1964" s="206"/>
    </row>
    <row r="1965" spans="12:15">
      <c r="L1965" s="412"/>
      <c r="M1965" s="235"/>
      <c r="N1965" s="235"/>
      <c r="O1965" s="206"/>
    </row>
    <row r="1966" spans="12:15">
      <c r="L1966" s="412"/>
      <c r="M1966" s="235"/>
      <c r="N1966" s="235"/>
      <c r="O1966" s="206"/>
    </row>
    <row r="1967" spans="12:15">
      <c r="L1967" s="412"/>
      <c r="M1967" s="235"/>
      <c r="N1967" s="235"/>
      <c r="O1967" s="206"/>
    </row>
    <row r="1968" spans="12:15">
      <c r="L1968" s="412"/>
      <c r="M1968" s="235"/>
      <c r="N1968" s="235"/>
      <c r="O1968" s="206"/>
    </row>
    <row r="1969" spans="12:15">
      <c r="L1969" s="412"/>
      <c r="M1969" s="235"/>
      <c r="N1969" s="235"/>
      <c r="O1969" s="206"/>
    </row>
    <row r="1970" spans="12:15">
      <c r="L1970" s="412"/>
      <c r="M1970" s="235"/>
      <c r="N1970" s="235"/>
      <c r="O1970" s="206"/>
    </row>
    <row r="1971" spans="12:15">
      <c r="L1971" s="412"/>
      <c r="M1971" s="235"/>
      <c r="N1971" s="235"/>
      <c r="O1971" s="206"/>
    </row>
    <row r="1972" spans="12:15">
      <c r="L1972" s="412"/>
      <c r="M1972" s="235"/>
      <c r="N1972" s="235"/>
      <c r="O1972" s="206"/>
    </row>
    <row r="1973" spans="12:15">
      <c r="L1973" s="412"/>
      <c r="M1973" s="235"/>
      <c r="N1973" s="235"/>
      <c r="O1973" s="206"/>
    </row>
    <row r="1974" spans="12:15">
      <c r="L1974" s="412"/>
      <c r="M1974" s="235"/>
      <c r="N1974" s="235"/>
      <c r="O1974" s="206"/>
    </row>
    <row r="1975" spans="12:15">
      <c r="L1975" s="412"/>
      <c r="M1975" s="235"/>
      <c r="N1975" s="235"/>
      <c r="O1975" s="206"/>
    </row>
    <row r="1976" spans="12:15">
      <c r="L1976" s="412"/>
      <c r="M1976" s="235"/>
      <c r="N1976" s="235"/>
      <c r="O1976" s="206"/>
    </row>
    <row r="1977" spans="12:15">
      <c r="L1977" s="412"/>
      <c r="M1977" s="235"/>
      <c r="N1977" s="235"/>
      <c r="O1977" s="206"/>
    </row>
    <row r="1978" spans="12:15">
      <c r="L1978" s="412"/>
      <c r="M1978" s="235"/>
      <c r="N1978" s="235"/>
      <c r="O1978" s="206"/>
    </row>
    <row r="1979" spans="12:15">
      <c r="L1979" s="412"/>
      <c r="M1979" s="235"/>
      <c r="N1979" s="235"/>
      <c r="O1979" s="206"/>
    </row>
    <row r="1980" spans="12:15">
      <c r="L1980" s="412"/>
      <c r="M1980" s="235"/>
      <c r="N1980" s="235"/>
      <c r="O1980" s="206"/>
    </row>
    <row r="1981" spans="12:15">
      <c r="L1981" s="412"/>
      <c r="M1981" s="235"/>
      <c r="N1981" s="235"/>
      <c r="O1981" s="206"/>
    </row>
    <row r="1982" spans="12:15">
      <c r="L1982" s="412"/>
      <c r="M1982" s="235"/>
      <c r="N1982" s="235"/>
      <c r="O1982" s="206"/>
    </row>
    <row r="1983" spans="12:15">
      <c r="L1983" s="412"/>
      <c r="M1983" s="235"/>
      <c r="N1983" s="235"/>
      <c r="O1983" s="206"/>
    </row>
    <row r="1984" spans="12:15">
      <c r="L1984" s="412"/>
      <c r="M1984" s="235"/>
      <c r="N1984" s="235"/>
      <c r="O1984" s="206"/>
    </row>
    <row r="1985" spans="12:15">
      <c r="L1985" s="412"/>
      <c r="M1985" s="235"/>
      <c r="N1985" s="235"/>
      <c r="O1985" s="206"/>
    </row>
    <row r="1986" spans="12:15">
      <c r="L1986" s="412"/>
      <c r="M1986" s="235"/>
      <c r="N1986" s="235"/>
      <c r="O1986" s="206"/>
    </row>
    <row r="1987" spans="12:15">
      <c r="L1987" s="412"/>
      <c r="M1987" s="235"/>
      <c r="N1987" s="235"/>
      <c r="O1987" s="206"/>
    </row>
    <row r="1988" spans="12:15">
      <c r="L1988" s="412"/>
      <c r="M1988" s="235"/>
      <c r="N1988" s="235"/>
      <c r="O1988" s="206"/>
    </row>
    <row r="1989" spans="12:15">
      <c r="L1989" s="412"/>
      <c r="M1989" s="235"/>
      <c r="N1989" s="235"/>
      <c r="O1989" s="206"/>
    </row>
    <row r="1990" spans="12:15">
      <c r="L1990" s="412"/>
      <c r="M1990" s="235"/>
      <c r="N1990" s="235"/>
      <c r="O1990" s="206"/>
    </row>
    <row r="1991" spans="12:15">
      <c r="L1991" s="412"/>
      <c r="M1991" s="235"/>
      <c r="N1991" s="235"/>
      <c r="O1991" s="206"/>
    </row>
    <row r="1992" spans="12:15">
      <c r="L1992" s="412"/>
      <c r="M1992" s="235"/>
      <c r="N1992" s="235"/>
      <c r="O1992" s="206"/>
    </row>
    <row r="1993" spans="12:15">
      <c r="L1993" s="412"/>
      <c r="M1993" s="235"/>
      <c r="N1993" s="235"/>
      <c r="O1993" s="206"/>
    </row>
    <row r="1994" spans="12:15">
      <c r="L1994" s="412"/>
      <c r="M1994" s="235"/>
      <c r="N1994" s="235"/>
      <c r="O1994" s="206"/>
    </row>
    <row r="1995" spans="12:15">
      <c r="L1995" s="412"/>
      <c r="M1995" s="235"/>
      <c r="N1995" s="235"/>
      <c r="O1995" s="206"/>
    </row>
    <row r="1996" spans="12:15">
      <c r="L1996" s="412"/>
      <c r="M1996" s="235"/>
      <c r="N1996" s="235"/>
      <c r="O1996" s="206"/>
    </row>
    <row r="1997" spans="12:15">
      <c r="L1997" s="412"/>
      <c r="M1997" s="235"/>
      <c r="N1997" s="235"/>
      <c r="O1997" s="206"/>
    </row>
    <row r="1998" spans="12:15">
      <c r="L1998" s="412"/>
      <c r="M1998" s="235"/>
      <c r="N1998" s="235"/>
      <c r="O1998" s="206"/>
    </row>
    <row r="1999" spans="12:15">
      <c r="L1999" s="412"/>
      <c r="M1999" s="235"/>
      <c r="N1999" s="235"/>
      <c r="O1999" s="206"/>
    </row>
    <row r="2000" spans="12:15">
      <c r="L2000" s="412"/>
      <c r="M2000" s="235"/>
      <c r="N2000" s="235"/>
      <c r="O2000" s="206"/>
    </row>
    <row r="2001" spans="12:15">
      <c r="L2001" s="412"/>
      <c r="M2001" s="235"/>
      <c r="N2001" s="235"/>
      <c r="O2001" s="206"/>
    </row>
    <row r="2002" spans="12:15">
      <c r="L2002" s="412"/>
      <c r="M2002" s="235"/>
      <c r="N2002" s="235"/>
      <c r="O2002" s="206"/>
    </row>
    <row r="2003" spans="12:15">
      <c r="L2003" s="412"/>
      <c r="M2003" s="235"/>
      <c r="N2003" s="235"/>
      <c r="O2003" s="206"/>
    </row>
    <row r="2004" spans="12:15">
      <c r="L2004" s="412"/>
      <c r="M2004" s="235"/>
      <c r="N2004" s="235"/>
      <c r="O2004" s="206"/>
    </row>
    <row r="2005" spans="12:15">
      <c r="L2005" s="412"/>
      <c r="M2005" s="235"/>
      <c r="N2005" s="235"/>
      <c r="O2005" s="206"/>
    </row>
    <row r="2006" spans="12:15">
      <c r="L2006" s="412"/>
      <c r="M2006" s="235"/>
      <c r="N2006" s="235"/>
      <c r="O2006" s="206"/>
    </row>
    <row r="2007" spans="12:15">
      <c r="L2007" s="412"/>
      <c r="M2007" s="235"/>
      <c r="N2007" s="235"/>
      <c r="O2007" s="206"/>
    </row>
    <row r="2008" spans="12:15">
      <c r="L2008" s="412"/>
      <c r="M2008" s="235"/>
      <c r="N2008" s="235"/>
      <c r="O2008" s="206"/>
    </row>
    <row r="2009" spans="12:15">
      <c r="L2009" s="412"/>
      <c r="M2009" s="235"/>
      <c r="N2009" s="235"/>
      <c r="O2009" s="206"/>
    </row>
    <row r="2010" spans="12:15">
      <c r="L2010" s="412"/>
      <c r="M2010" s="235"/>
      <c r="N2010" s="235"/>
      <c r="O2010" s="206"/>
    </row>
    <row r="2011" spans="12:15">
      <c r="L2011" s="412"/>
      <c r="M2011" s="235"/>
      <c r="N2011" s="235"/>
      <c r="O2011" s="206"/>
    </row>
    <row r="2012" spans="12:15">
      <c r="L2012" s="412"/>
      <c r="M2012" s="235"/>
      <c r="N2012" s="235"/>
      <c r="O2012" s="206"/>
    </row>
    <row r="2013" spans="12:15">
      <c r="L2013" s="412"/>
      <c r="M2013" s="235"/>
      <c r="N2013" s="235"/>
      <c r="O2013" s="206"/>
    </row>
    <row r="2014" spans="12:15">
      <c r="L2014" s="412"/>
      <c r="M2014" s="235"/>
      <c r="N2014" s="235"/>
      <c r="O2014" s="206"/>
    </row>
    <row r="2015" spans="12:15">
      <c r="L2015" s="412"/>
      <c r="M2015" s="235"/>
      <c r="N2015" s="235"/>
      <c r="O2015" s="206"/>
    </row>
    <row r="2016" spans="12:15">
      <c r="L2016" s="412"/>
      <c r="M2016" s="235"/>
      <c r="N2016" s="235"/>
      <c r="O2016" s="206"/>
    </row>
    <row r="2017" spans="12:15">
      <c r="L2017" s="412"/>
      <c r="M2017" s="235"/>
      <c r="N2017" s="235"/>
      <c r="O2017" s="206"/>
    </row>
    <row r="2018" spans="12:15">
      <c r="L2018" s="412"/>
      <c r="M2018" s="235"/>
      <c r="N2018" s="235"/>
      <c r="O2018" s="206"/>
    </row>
    <row r="2019" spans="12:15">
      <c r="L2019" s="412"/>
      <c r="M2019" s="235"/>
      <c r="N2019" s="235"/>
      <c r="O2019" s="206"/>
    </row>
    <row r="2020" spans="12:15">
      <c r="L2020" s="412"/>
      <c r="M2020" s="235"/>
      <c r="N2020" s="235"/>
      <c r="O2020" s="206"/>
    </row>
    <row r="2021" spans="12:15">
      <c r="L2021" s="412"/>
      <c r="M2021" s="235"/>
      <c r="N2021" s="235"/>
      <c r="O2021" s="206"/>
    </row>
    <row r="2022" spans="12:15">
      <c r="L2022" s="412"/>
      <c r="M2022" s="235"/>
      <c r="N2022" s="235"/>
      <c r="O2022" s="206"/>
    </row>
    <row r="2023" spans="12:15">
      <c r="L2023" s="412"/>
      <c r="M2023" s="235"/>
      <c r="N2023" s="235"/>
      <c r="O2023" s="206"/>
    </row>
    <row r="2024" spans="12:15">
      <c r="L2024" s="412"/>
      <c r="M2024" s="235"/>
      <c r="N2024" s="235"/>
      <c r="O2024" s="206"/>
    </row>
    <row r="2025" spans="12:15">
      <c r="L2025" s="412"/>
      <c r="M2025" s="235"/>
      <c r="N2025" s="235"/>
      <c r="O2025" s="206"/>
    </row>
    <row r="2026" spans="12:15">
      <c r="L2026" s="412"/>
      <c r="M2026" s="235"/>
      <c r="N2026" s="235"/>
      <c r="O2026" s="206"/>
    </row>
    <row r="2027" spans="12:15">
      <c r="L2027" s="412"/>
      <c r="M2027" s="235"/>
      <c r="N2027" s="235"/>
      <c r="O2027" s="206"/>
    </row>
    <row r="2028" spans="12:15">
      <c r="L2028" s="412"/>
      <c r="M2028" s="235"/>
      <c r="N2028" s="235"/>
      <c r="O2028" s="206"/>
    </row>
    <row r="2029" spans="12:15">
      <c r="L2029" s="412"/>
      <c r="M2029" s="235"/>
      <c r="N2029" s="235"/>
      <c r="O2029" s="206"/>
    </row>
    <row r="2030" spans="12:15">
      <c r="L2030" s="412"/>
      <c r="M2030" s="235"/>
      <c r="N2030" s="235"/>
      <c r="O2030" s="206"/>
    </row>
    <row r="2031" spans="12:15">
      <c r="L2031" s="412"/>
      <c r="M2031" s="235"/>
      <c r="N2031" s="235"/>
      <c r="O2031" s="206"/>
    </row>
    <row r="2032" spans="12:15">
      <c r="L2032" s="412"/>
      <c r="M2032" s="235"/>
      <c r="N2032" s="235"/>
      <c r="O2032" s="206"/>
    </row>
    <row r="2033" spans="12:15">
      <c r="L2033" s="412"/>
      <c r="M2033" s="235"/>
      <c r="N2033" s="235"/>
      <c r="O2033" s="206"/>
    </row>
    <row r="2034" spans="12:15">
      <c r="L2034" s="412"/>
      <c r="M2034" s="235"/>
      <c r="N2034" s="235"/>
      <c r="O2034" s="206"/>
    </row>
    <row r="2035" spans="12:15">
      <c r="L2035" s="412"/>
      <c r="M2035" s="235"/>
      <c r="N2035" s="235"/>
      <c r="O2035" s="206"/>
    </row>
    <row r="2036" spans="12:15">
      <c r="L2036" s="412"/>
      <c r="M2036" s="235"/>
      <c r="N2036" s="235"/>
      <c r="O2036" s="206"/>
    </row>
    <row r="2037" spans="12:15">
      <c r="L2037" s="412"/>
      <c r="M2037" s="235"/>
      <c r="N2037" s="235"/>
      <c r="O2037" s="206"/>
    </row>
    <row r="2038" spans="12:15">
      <c r="L2038" s="412"/>
      <c r="M2038" s="235"/>
      <c r="N2038" s="235"/>
      <c r="O2038" s="206"/>
    </row>
    <row r="2039" spans="12:15">
      <c r="L2039" s="412"/>
      <c r="M2039" s="235"/>
      <c r="N2039" s="235"/>
      <c r="O2039" s="206"/>
    </row>
    <row r="2040" spans="12:15">
      <c r="L2040" s="412"/>
      <c r="M2040" s="235"/>
      <c r="N2040" s="235"/>
      <c r="O2040" s="206"/>
    </row>
    <row r="2041" spans="12:15">
      <c r="L2041" s="412"/>
      <c r="M2041" s="235"/>
      <c r="N2041" s="235"/>
      <c r="O2041" s="206"/>
    </row>
    <row r="2042" spans="12:15">
      <c r="L2042" s="412"/>
      <c r="M2042" s="235"/>
      <c r="N2042" s="235"/>
      <c r="O2042" s="206"/>
    </row>
    <row r="2043" spans="12:15">
      <c r="L2043" s="412"/>
      <c r="M2043" s="235"/>
      <c r="N2043" s="235"/>
      <c r="O2043" s="206"/>
    </row>
    <row r="2044" spans="12:15">
      <c r="L2044" s="412"/>
      <c r="M2044" s="235"/>
      <c r="N2044" s="235"/>
      <c r="O2044" s="206"/>
    </row>
    <row r="2045" spans="12:15">
      <c r="L2045" s="412"/>
      <c r="M2045" s="235"/>
      <c r="N2045" s="235"/>
      <c r="O2045" s="206"/>
    </row>
    <row r="2046" spans="12:15">
      <c r="L2046" s="412"/>
      <c r="M2046" s="235"/>
      <c r="N2046" s="235"/>
      <c r="O2046" s="206"/>
    </row>
    <row r="2047" spans="12:15">
      <c r="L2047" s="412"/>
      <c r="M2047" s="235"/>
      <c r="N2047" s="235"/>
      <c r="O2047" s="206"/>
    </row>
    <row r="2048" spans="12:15">
      <c r="L2048" s="412"/>
      <c r="M2048" s="235"/>
      <c r="N2048" s="235"/>
      <c r="O2048" s="206"/>
    </row>
    <row r="2049" spans="12:15">
      <c r="L2049" s="412"/>
      <c r="M2049" s="235"/>
      <c r="N2049" s="235"/>
      <c r="O2049" s="206"/>
    </row>
    <row r="2050" spans="12:15">
      <c r="L2050" s="412"/>
      <c r="M2050" s="235"/>
      <c r="N2050" s="235"/>
      <c r="O2050" s="206"/>
    </row>
    <row r="2051" spans="12:15">
      <c r="L2051" s="412"/>
      <c r="M2051" s="235"/>
      <c r="N2051" s="235"/>
      <c r="O2051" s="206"/>
    </row>
    <row r="2052" spans="12:15">
      <c r="L2052" s="412"/>
      <c r="M2052" s="235"/>
      <c r="N2052" s="235"/>
      <c r="O2052" s="206"/>
    </row>
    <row r="2053" spans="12:15">
      <c r="L2053" s="412"/>
      <c r="M2053" s="235"/>
      <c r="N2053" s="235"/>
      <c r="O2053" s="206"/>
    </row>
    <row r="2054" spans="12:15">
      <c r="L2054" s="412"/>
      <c r="M2054" s="235"/>
      <c r="N2054" s="235"/>
      <c r="O2054" s="206"/>
    </row>
    <row r="2055" spans="12:15">
      <c r="L2055" s="412"/>
      <c r="M2055" s="235"/>
      <c r="N2055" s="235"/>
      <c r="O2055" s="206"/>
    </row>
    <row r="2056" spans="12:15">
      <c r="L2056" s="412"/>
      <c r="M2056" s="235"/>
      <c r="N2056" s="235"/>
      <c r="O2056" s="206"/>
    </row>
    <row r="2057" spans="12:15">
      <c r="L2057" s="412"/>
      <c r="M2057" s="235"/>
      <c r="N2057" s="235"/>
      <c r="O2057" s="206"/>
    </row>
    <row r="2058" spans="12:15">
      <c r="L2058" s="412"/>
      <c r="M2058" s="235"/>
      <c r="N2058" s="235"/>
      <c r="O2058" s="206"/>
    </row>
    <row r="2059" spans="12:15">
      <c r="L2059" s="412"/>
      <c r="M2059" s="235"/>
      <c r="N2059" s="235"/>
      <c r="O2059" s="206"/>
    </row>
    <row r="2060" spans="12:15">
      <c r="L2060" s="412"/>
      <c r="M2060" s="235"/>
      <c r="N2060" s="235"/>
      <c r="O2060" s="206"/>
    </row>
    <row r="2061" spans="12:15">
      <c r="L2061" s="412"/>
      <c r="M2061" s="235"/>
      <c r="N2061" s="235"/>
      <c r="O2061" s="206"/>
    </row>
    <row r="2062" spans="12:15">
      <c r="L2062" s="412"/>
      <c r="M2062" s="235"/>
      <c r="N2062" s="235"/>
      <c r="O2062" s="206"/>
    </row>
    <row r="2063" spans="12:15">
      <c r="L2063" s="412"/>
      <c r="M2063" s="235"/>
      <c r="N2063" s="235"/>
      <c r="O2063" s="206"/>
    </row>
    <row r="2064" spans="12:15">
      <c r="L2064" s="412"/>
      <c r="M2064" s="235"/>
      <c r="N2064" s="235"/>
      <c r="O2064" s="206"/>
    </row>
    <row r="2065" spans="12:15">
      <c r="L2065" s="412"/>
      <c r="M2065" s="235"/>
      <c r="N2065" s="235"/>
      <c r="O2065" s="206"/>
    </row>
    <row r="2066" spans="12:15">
      <c r="L2066" s="412"/>
      <c r="M2066" s="235"/>
      <c r="N2066" s="235"/>
      <c r="O2066" s="206"/>
    </row>
    <row r="2067" spans="12:15">
      <c r="L2067" s="412"/>
      <c r="M2067" s="235"/>
      <c r="N2067" s="235"/>
      <c r="O2067" s="206"/>
    </row>
    <row r="2068" spans="12:15">
      <c r="L2068" s="412"/>
      <c r="M2068" s="235"/>
      <c r="N2068" s="235"/>
      <c r="O2068" s="206"/>
    </row>
    <row r="2069" spans="12:15">
      <c r="L2069" s="412"/>
      <c r="M2069" s="235"/>
      <c r="N2069" s="235"/>
      <c r="O2069" s="206"/>
    </row>
    <row r="2070" spans="12:15">
      <c r="L2070" s="412"/>
      <c r="M2070" s="235"/>
      <c r="N2070" s="235"/>
      <c r="O2070" s="206"/>
    </row>
    <row r="2071" spans="12:15">
      <c r="L2071" s="412"/>
      <c r="M2071" s="235"/>
      <c r="N2071" s="235"/>
      <c r="O2071" s="206"/>
    </row>
    <row r="2072" spans="12:15">
      <c r="L2072" s="412"/>
      <c r="M2072" s="235"/>
      <c r="N2072" s="235"/>
      <c r="O2072" s="206"/>
    </row>
    <row r="2073" spans="12:15">
      <c r="L2073" s="412"/>
      <c r="M2073" s="235"/>
      <c r="N2073" s="235"/>
      <c r="O2073" s="206"/>
    </row>
    <row r="2074" spans="12:15">
      <c r="L2074" s="412"/>
      <c r="M2074" s="235"/>
      <c r="N2074" s="235"/>
      <c r="O2074" s="206"/>
    </row>
    <row r="2075" spans="12:15">
      <c r="L2075" s="412"/>
      <c r="M2075" s="235"/>
      <c r="N2075" s="235"/>
      <c r="O2075" s="206"/>
    </row>
    <row r="2076" spans="12:15">
      <c r="L2076" s="412"/>
      <c r="M2076" s="235"/>
      <c r="N2076" s="235"/>
      <c r="O2076" s="206"/>
    </row>
    <row r="2077" spans="12:15">
      <c r="L2077" s="412"/>
      <c r="M2077" s="235"/>
      <c r="N2077" s="235"/>
      <c r="O2077" s="206"/>
    </row>
    <row r="2078" spans="12:15">
      <c r="L2078" s="412"/>
      <c r="M2078" s="235"/>
      <c r="N2078" s="235"/>
      <c r="O2078" s="206"/>
    </row>
    <row r="2079" spans="12:15">
      <c r="L2079" s="412"/>
      <c r="M2079" s="235"/>
      <c r="N2079" s="235"/>
      <c r="O2079" s="206"/>
    </row>
    <row r="2080" spans="12:15">
      <c r="L2080" s="412"/>
      <c r="M2080" s="235"/>
      <c r="N2080" s="235"/>
      <c r="O2080" s="206"/>
    </row>
    <row r="2081" spans="12:15">
      <c r="L2081" s="412"/>
      <c r="M2081" s="235"/>
      <c r="N2081" s="235"/>
      <c r="O2081" s="206"/>
    </row>
    <row r="2082" spans="12:15">
      <c r="L2082" s="412"/>
      <c r="M2082" s="235"/>
      <c r="N2082" s="235"/>
      <c r="O2082" s="206"/>
    </row>
    <row r="2083" spans="12:15">
      <c r="L2083" s="412"/>
      <c r="M2083" s="235"/>
      <c r="N2083" s="235"/>
      <c r="O2083" s="206"/>
    </row>
    <row r="2084" spans="12:15">
      <c r="L2084" s="412"/>
      <c r="M2084" s="235"/>
      <c r="N2084" s="235"/>
      <c r="O2084" s="206"/>
    </row>
    <row r="2085" spans="12:15">
      <c r="L2085" s="412"/>
      <c r="M2085" s="235"/>
      <c r="N2085" s="235"/>
      <c r="O2085" s="206"/>
    </row>
    <row r="2086" spans="12:15">
      <c r="L2086" s="412"/>
      <c r="M2086" s="235"/>
      <c r="N2086" s="235"/>
      <c r="O2086" s="206"/>
    </row>
    <row r="2087" spans="12:15">
      <c r="L2087" s="412"/>
      <c r="M2087" s="235"/>
      <c r="N2087" s="235"/>
      <c r="O2087" s="206"/>
    </row>
    <row r="2088" spans="12:15">
      <c r="L2088" s="412"/>
      <c r="M2088" s="235"/>
      <c r="N2088" s="235"/>
      <c r="O2088" s="206"/>
    </row>
    <row r="2089" spans="12:15">
      <c r="L2089" s="412"/>
      <c r="M2089" s="235"/>
      <c r="N2089" s="235"/>
      <c r="O2089" s="206"/>
    </row>
    <row r="2090" spans="12:15">
      <c r="L2090" s="412"/>
      <c r="M2090" s="235"/>
      <c r="N2090" s="235"/>
      <c r="O2090" s="206"/>
    </row>
    <row r="2091" spans="12:15">
      <c r="L2091" s="412"/>
      <c r="M2091" s="235"/>
      <c r="N2091" s="235"/>
      <c r="O2091" s="206"/>
    </row>
    <row r="2092" spans="12:15">
      <c r="L2092" s="412"/>
      <c r="M2092" s="235"/>
      <c r="N2092" s="235"/>
      <c r="O2092" s="206"/>
    </row>
    <row r="2093" spans="12:15">
      <c r="L2093" s="412"/>
      <c r="M2093" s="235"/>
      <c r="N2093" s="235"/>
      <c r="O2093" s="206"/>
    </row>
    <row r="2094" spans="12:15">
      <c r="L2094" s="412"/>
      <c r="M2094" s="235"/>
      <c r="N2094" s="235"/>
      <c r="O2094" s="206"/>
    </row>
    <row r="2095" spans="12:15">
      <c r="L2095" s="412"/>
      <c r="M2095" s="235"/>
      <c r="N2095" s="235"/>
      <c r="O2095" s="206"/>
    </row>
    <row r="2096" spans="12:15">
      <c r="L2096" s="412"/>
      <c r="M2096" s="235"/>
      <c r="N2096" s="235"/>
      <c r="O2096" s="206"/>
    </row>
    <row r="2097" spans="12:15">
      <c r="L2097" s="412"/>
      <c r="M2097" s="235"/>
      <c r="N2097" s="235"/>
      <c r="O2097" s="206"/>
    </row>
    <row r="2098" spans="12:15">
      <c r="L2098" s="412"/>
      <c r="M2098" s="235"/>
      <c r="N2098" s="235"/>
      <c r="O2098" s="206"/>
    </row>
    <row r="2099" spans="12:15">
      <c r="L2099" s="412"/>
      <c r="M2099" s="235"/>
      <c r="N2099" s="235"/>
      <c r="O2099" s="206"/>
    </row>
    <row r="2100" spans="12:15">
      <c r="L2100" s="412"/>
      <c r="M2100" s="235"/>
      <c r="N2100" s="235"/>
      <c r="O2100" s="206"/>
    </row>
    <row r="2101" spans="12:15">
      <c r="L2101" s="412"/>
      <c r="M2101" s="235"/>
      <c r="N2101" s="235"/>
      <c r="O2101" s="206"/>
    </row>
    <row r="2102" spans="12:15">
      <c r="L2102" s="412"/>
      <c r="M2102" s="235"/>
      <c r="N2102" s="235"/>
      <c r="O2102" s="206"/>
    </row>
    <row r="2103" spans="12:15">
      <c r="L2103" s="412"/>
      <c r="M2103" s="235"/>
      <c r="N2103" s="235"/>
      <c r="O2103" s="206"/>
    </row>
    <row r="2104" spans="12:15">
      <c r="L2104" s="412"/>
      <c r="M2104" s="235"/>
      <c r="N2104" s="235"/>
      <c r="O2104" s="206"/>
    </row>
    <row r="2105" spans="12:15">
      <c r="L2105" s="412"/>
      <c r="M2105" s="235"/>
      <c r="N2105" s="235"/>
      <c r="O2105" s="206"/>
    </row>
    <row r="2106" spans="12:15">
      <c r="L2106" s="412"/>
      <c r="M2106" s="235"/>
      <c r="N2106" s="235"/>
      <c r="O2106" s="206"/>
    </row>
    <row r="2107" spans="12:15">
      <c r="L2107" s="412"/>
      <c r="M2107" s="235"/>
      <c r="N2107" s="235"/>
      <c r="O2107" s="206"/>
    </row>
    <row r="2108" spans="12:15">
      <c r="L2108" s="412"/>
      <c r="M2108" s="235"/>
      <c r="N2108" s="235"/>
      <c r="O2108" s="206"/>
    </row>
    <row r="2109" spans="12:15">
      <c r="L2109" s="412"/>
      <c r="M2109" s="235"/>
      <c r="N2109" s="235"/>
      <c r="O2109" s="206"/>
    </row>
    <row r="2110" spans="12:15">
      <c r="L2110" s="412"/>
      <c r="M2110" s="235"/>
      <c r="N2110" s="235"/>
      <c r="O2110" s="206"/>
    </row>
    <row r="2111" spans="12:15">
      <c r="L2111" s="412"/>
      <c r="M2111" s="235"/>
      <c r="N2111" s="235"/>
      <c r="O2111" s="206"/>
    </row>
    <row r="2112" spans="12:15">
      <c r="L2112" s="412"/>
      <c r="M2112" s="235"/>
      <c r="N2112" s="235"/>
      <c r="O2112" s="206"/>
    </row>
    <row r="2113" spans="12:15">
      <c r="L2113" s="412"/>
      <c r="M2113" s="235"/>
      <c r="N2113" s="235"/>
      <c r="O2113" s="206"/>
    </row>
    <row r="2114" spans="12:15">
      <c r="L2114" s="412"/>
      <c r="M2114" s="235"/>
      <c r="N2114" s="235"/>
      <c r="O2114" s="206"/>
    </row>
    <row r="2115" spans="12:15">
      <c r="L2115" s="412"/>
      <c r="M2115" s="235"/>
      <c r="N2115" s="235"/>
      <c r="O2115" s="206"/>
    </row>
    <row r="2116" spans="12:15">
      <c r="L2116" s="412"/>
      <c r="M2116" s="235"/>
      <c r="N2116" s="235"/>
      <c r="O2116" s="206"/>
    </row>
    <row r="2117" spans="12:15">
      <c r="L2117" s="412"/>
      <c r="M2117" s="235"/>
      <c r="N2117" s="235"/>
      <c r="O2117" s="206"/>
    </row>
    <row r="2118" spans="12:15">
      <c r="L2118" s="412"/>
      <c r="M2118" s="235"/>
      <c r="N2118" s="235"/>
      <c r="O2118" s="206"/>
    </row>
    <row r="2119" spans="12:15">
      <c r="L2119" s="412"/>
      <c r="M2119" s="235"/>
      <c r="N2119" s="235"/>
      <c r="O2119" s="206"/>
    </row>
    <row r="2120" spans="12:15">
      <c r="L2120" s="412"/>
      <c r="M2120" s="235"/>
      <c r="N2120" s="235"/>
      <c r="O2120" s="206"/>
    </row>
    <row r="2121" spans="12:15">
      <c r="L2121" s="412"/>
      <c r="M2121" s="235"/>
      <c r="N2121" s="235"/>
      <c r="O2121" s="206"/>
    </row>
    <row r="2122" spans="12:15">
      <c r="L2122" s="412"/>
      <c r="M2122" s="235"/>
      <c r="N2122" s="235"/>
      <c r="O2122" s="206"/>
    </row>
    <row r="2123" spans="12:15">
      <c r="L2123" s="412"/>
      <c r="M2123" s="235"/>
      <c r="N2123" s="235"/>
      <c r="O2123" s="206"/>
    </row>
    <row r="2124" spans="12:15">
      <c r="L2124" s="412"/>
      <c r="M2124" s="235"/>
      <c r="N2124" s="235"/>
      <c r="O2124" s="206"/>
    </row>
    <row r="2125" spans="12:15">
      <c r="L2125" s="412"/>
      <c r="M2125" s="235"/>
      <c r="N2125" s="235"/>
      <c r="O2125" s="206"/>
    </row>
    <row r="2126" spans="12:15">
      <c r="L2126" s="412"/>
      <c r="M2126" s="235"/>
      <c r="N2126" s="235"/>
      <c r="O2126" s="206"/>
    </row>
    <row r="2127" spans="12:15">
      <c r="L2127" s="412"/>
      <c r="M2127" s="235"/>
      <c r="N2127" s="235"/>
      <c r="O2127" s="206"/>
    </row>
    <row r="2128" spans="12:15">
      <c r="L2128" s="412"/>
      <c r="M2128" s="235"/>
      <c r="N2128" s="235"/>
      <c r="O2128" s="206"/>
    </row>
    <row r="2129" spans="12:15">
      <c r="L2129" s="412"/>
      <c r="M2129" s="235"/>
      <c r="N2129" s="235"/>
      <c r="O2129" s="206"/>
    </row>
    <row r="2130" spans="12:15">
      <c r="L2130" s="412"/>
      <c r="M2130" s="235"/>
      <c r="N2130" s="235"/>
      <c r="O2130" s="206"/>
    </row>
    <row r="2131" spans="12:15">
      <c r="L2131" s="412"/>
      <c r="M2131" s="235"/>
      <c r="N2131" s="235"/>
      <c r="O2131" s="206"/>
    </row>
    <row r="2132" spans="12:15">
      <c r="L2132" s="412"/>
      <c r="M2132" s="235"/>
      <c r="N2132" s="235"/>
      <c r="O2132" s="206"/>
    </row>
    <row r="2133" spans="12:15">
      <c r="L2133" s="412"/>
      <c r="M2133" s="235"/>
      <c r="N2133" s="235"/>
      <c r="O2133" s="206"/>
    </row>
    <row r="2134" spans="12:15">
      <c r="L2134" s="412"/>
      <c r="M2134" s="235"/>
      <c r="N2134" s="235"/>
      <c r="O2134" s="206"/>
    </row>
    <row r="2135" spans="12:15">
      <c r="L2135" s="412"/>
      <c r="M2135" s="235"/>
      <c r="N2135" s="235"/>
      <c r="O2135" s="206"/>
    </row>
    <row r="2136" spans="12:15">
      <c r="L2136" s="412"/>
      <c r="M2136" s="235"/>
      <c r="N2136" s="235"/>
      <c r="O2136" s="206"/>
    </row>
    <row r="2137" spans="12:15">
      <c r="L2137" s="412"/>
      <c r="M2137" s="235"/>
      <c r="N2137" s="235"/>
      <c r="O2137" s="206"/>
    </row>
    <row r="2138" spans="12:15">
      <c r="L2138" s="412"/>
      <c r="M2138" s="235"/>
      <c r="N2138" s="235"/>
      <c r="O2138" s="206"/>
    </row>
    <row r="2139" spans="12:15">
      <c r="L2139" s="412"/>
      <c r="M2139" s="235"/>
      <c r="N2139" s="235"/>
      <c r="O2139" s="206"/>
    </row>
    <row r="2140" spans="12:15">
      <c r="L2140" s="412"/>
      <c r="M2140" s="235"/>
      <c r="N2140" s="235"/>
      <c r="O2140" s="206"/>
    </row>
    <row r="2141" spans="12:15">
      <c r="L2141" s="412"/>
      <c r="M2141" s="235"/>
      <c r="N2141" s="235"/>
      <c r="O2141" s="206"/>
    </row>
    <row r="2142" spans="12:15">
      <c r="L2142" s="412"/>
      <c r="M2142" s="235"/>
      <c r="N2142" s="235"/>
      <c r="O2142" s="206"/>
    </row>
    <row r="2143" spans="12:15">
      <c r="L2143" s="412"/>
      <c r="M2143" s="235"/>
      <c r="N2143" s="235"/>
      <c r="O2143" s="206"/>
    </row>
    <row r="2144" spans="12:15">
      <c r="L2144" s="412"/>
      <c r="M2144" s="235"/>
      <c r="N2144" s="235"/>
      <c r="O2144" s="206"/>
    </row>
    <row r="2145" spans="12:15">
      <c r="L2145" s="412"/>
      <c r="M2145" s="235"/>
      <c r="N2145" s="235"/>
      <c r="O2145" s="206"/>
    </row>
    <row r="2146" spans="12:15">
      <c r="L2146" s="412"/>
      <c r="M2146" s="235"/>
      <c r="N2146" s="235"/>
      <c r="O2146" s="206"/>
    </row>
    <row r="2147" spans="12:15">
      <c r="L2147" s="412"/>
      <c r="M2147" s="235"/>
      <c r="N2147" s="235"/>
      <c r="O2147" s="206"/>
    </row>
    <row r="2148" spans="12:15">
      <c r="L2148" s="412"/>
      <c r="M2148" s="235"/>
      <c r="N2148" s="235"/>
      <c r="O2148" s="206"/>
    </row>
    <row r="2149" spans="12:15">
      <c r="L2149" s="412"/>
      <c r="M2149" s="235"/>
      <c r="N2149" s="235"/>
      <c r="O2149" s="206"/>
    </row>
    <row r="2150" spans="12:15">
      <c r="L2150" s="412"/>
      <c r="M2150" s="235"/>
      <c r="N2150" s="235"/>
      <c r="O2150" s="206"/>
    </row>
    <row r="2151" spans="12:15">
      <c r="L2151" s="412"/>
      <c r="M2151" s="235"/>
      <c r="N2151" s="235"/>
      <c r="O2151" s="206"/>
    </row>
    <row r="2152" spans="12:15">
      <c r="L2152" s="412"/>
      <c r="M2152" s="235"/>
      <c r="N2152" s="235"/>
      <c r="O2152" s="206"/>
    </row>
    <row r="2153" spans="12:15">
      <c r="L2153" s="412"/>
      <c r="M2153" s="235"/>
      <c r="N2153" s="235"/>
      <c r="O2153" s="206"/>
    </row>
    <row r="2154" spans="12:15">
      <c r="L2154" s="412"/>
      <c r="M2154" s="235"/>
      <c r="N2154" s="235"/>
      <c r="O2154" s="206"/>
    </row>
    <row r="2155" spans="12:15">
      <c r="L2155" s="412"/>
      <c r="M2155" s="235"/>
      <c r="N2155" s="235"/>
      <c r="O2155" s="206"/>
    </row>
    <row r="2156" spans="12:15">
      <c r="L2156" s="412"/>
      <c r="M2156" s="235"/>
      <c r="N2156" s="235"/>
      <c r="O2156" s="206"/>
    </row>
    <row r="2157" spans="12:15">
      <c r="L2157" s="412"/>
      <c r="M2157" s="235"/>
      <c r="N2157" s="235"/>
      <c r="O2157" s="206"/>
    </row>
    <row r="2158" spans="12:15">
      <c r="L2158" s="412"/>
      <c r="M2158" s="235"/>
      <c r="N2158" s="235"/>
      <c r="O2158" s="206"/>
    </row>
    <row r="2159" spans="12:15">
      <c r="L2159" s="412"/>
      <c r="M2159" s="235"/>
      <c r="N2159" s="235"/>
      <c r="O2159" s="206"/>
    </row>
    <row r="2160" spans="12:15">
      <c r="L2160" s="412"/>
      <c r="M2160" s="235"/>
      <c r="N2160" s="235"/>
      <c r="O2160" s="206"/>
    </row>
    <row r="2161" spans="12:15">
      <c r="L2161" s="412"/>
      <c r="M2161" s="235"/>
      <c r="N2161" s="235"/>
      <c r="O2161" s="206"/>
    </row>
    <row r="2162" spans="12:15">
      <c r="L2162" s="412"/>
      <c r="M2162" s="235"/>
      <c r="N2162" s="235"/>
      <c r="O2162" s="206"/>
    </row>
    <row r="2163" spans="12:15">
      <c r="L2163" s="412"/>
      <c r="M2163" s="235"/>
      <c r="N2163" s="235"/>
      <c r="O2163" s="206"/>
    </row>
    <row r="2164" spans="12:15">
      <c r="L2164" s="412"/>
      <c r="M2164" s="235"/>
      <c r="N2164" s="235"/>
      <c r="O2164" s="206"/>
    </row>
    <row r="2165" spans="12:15">
      <c r="L2165" s="412"/>
      <c r="M2165" s="235"/>
      <c r="N2165" s="235"/>
      <c r="O2165" s="206"/>
    </row>
    <row r="2166" spans="12:15">
      <c r="L2166" s="412"/>
      <c r="M2166" s="235"/>
      <c r="N2166" s="235"/>
      <c r="O2166" s="206"/>
    </row>
    <row r="2167" spans="12:15">
      <c r="L2167" s="412"/>
      <c r="M2167" s="235"/>
      <c r="N2167" s="235"/>
      <c r="O2167" s="206"/>
    </row>
    <row r="2168" spans="12:15">
      <c r="L2168" s="412"/>
      <c r="M2168" s="235"/>
      <c r="N2168" s="235"/>
      <c r="O2168" s="206"/>
    </row>
    <row r="2169" spans="12:15">
      <c r="L2169" s="412"/>
      <c r="M2169" s="235"/>
      <c r="N2169" s="235"/>
      <c r="O2169" s="206"/>
    </row>
    <row r="2170" spans="12:15">
      <c r="L2170" s="412"/>
      <c r="M2170" s="235"/>
      <c r="N2170" s="235"/>
      <c r="O2170" s="206"/>
    </row>
    <row r="2171" spans="12:15">
      <c r="L2171" s="412"/>
      <c r="M2171" s="235"/>
      <c r="N2171" s="235"/>
      <c r="O2171" s="206"/>
    </row>
    <row r="2172" spans="12:15">
      <c r="L2172" s="412"/>
      <c r="M2172" s="235"/>
      <c r="N2172" s="235"/>
      <c r="O2172" s="206"/>
    </row>
    <row r="2173" spans="12:15">
      <c r="L2173" s="412"/>
      <c r="M2173" s="235"/>
      <c r="N2173" s="235"/>
      <c r="O2173" s="206"/>
    </row>
    <row r="2174" spans="12:15">
      <c r="L2174" s="412"/>
      <c r="M2174" s="235"/>
      <c r="N2174" s="235"/>
      <c r="O2174" s="206"/>
    </row>
    <row r="2175" spans="12:15">
      <c r="L2175" s="412"/>
      <c r="M2175" s="235"/>
      <c r="N2175" s="235"/>
      <c r="O2175" s="206"/>
    </row>
    <row r="2176" spans="12:15">
      <c r="L2176" s="412"/>
      <c r="M2176" s="235"/>
      <c r="N2176" s="235"/>
      <c r="O2176" s="206"/>
    </row>
    <row r="2177" spans="12:15">
      <c r="L2177" s="412"/>
      <c r="M2177" s="235"/>
      <c r="N2177" s="235"/>
      <c r="O2177" s="206"/>
    </row>
    <row r="2178" spans="12:15">
      <c r="L2178" s="412"/>
      <c r="M2178" s="235"/>
      <c r="N2178" s="235"/>
      <c r="O2178" s="206"/>
    </row>
    <row r="2179" spans="12:15">
      <c r="L2179" s="412"/>
      <c r="M2179" s="235"/>
      <c r="N2179" s="235"/>
      <c r="O2179" s="206"/>
    </row>
    <row r="2180" spans="12:15">
      <c r="L2180" s="412"/>
      <c r="M2180" s="235"/>
      <c r="N2180" s="235"/>
      <c r="O2180" s="206"/>
    </row>
    <row r="2181" spans="12:15">
      <c r="L2181" s="412"/>
      <c r="M2181" s="235"/>
      <c r="N2181" s="235"/>
      <c r="O2181" s="206"/>
    </row>
    <row r="2182" spans="12:15">
      <c r="L2182" s="412"/>
      <c r="M2182" s="235"/>
      <c r="N2182" s="235"/>
      <c r="O2182" s="206"/>
    </row>
    <row r="2183" spans="12:15">
      <c r="L2183" s="412"/>
      <c r="M2183" s="235"/>
      <c r="N2183" s="235"/>
      <c r="O2183" s="206"/>
    </row>
    <row r="2184" spans="12:15">
      <c r="L2184" s="412"/>
      <c r="M2184" s="235"/>
      <c r="N2184" s="235"/>
      <c r="O2184" s="206"/>
    </row>
    <row r="2185" spans="12:15">
      <c r="L2185" s="412"/>
      <c r="M2185" s="235"/>
      <c r="N2185" s="235"/>
      <c r="O2185" s="206"/>
    </row>
    <row r="2186" spans="12:15">
      <c r="L2186" s="412"/>
      <c r="M2186" s="235"/>
      <c r="N2186" s="235"/>
      <c r="O2186" s="206"/>
    </row>
    <row r="2187" spans="12:15">
      <c r="L2187" s="412"/>
      <c r="M2187" s="235"/>
      <c r="N2187" s="235"/>
      <c r="O2187" s="206"/>
    </row>
    <row r="2188" spans="12:15">
      <c r="L2188" s="412"/>
      <c r="M2188" s="235"/>
      <c r="N2188" s="235"/>
      <c r="O2188" s="206"/>
    </row>
    <row r="2189" spans="12:15">
      <c r="L2189" s="412"/>
      <c r="M2189" s="235"/>
      <c r="N2189" s="235"/>
      <c r="O2189" s="206"/>
    </row>
    <row r="2190" spans="12:15">
      <c r="L2190" s="412"/>
      <c r="M2190" s="235"/>
      <c r="N2190" s="235"/>
      <c r="O2190" s="206"/>
    </row>
    <row r="2191" spans="12:15">
      <c r="L2191" s="412"/>
      <c r="M2191" s="235"/>
      <c r="N2191" s="235"/>
      <c r="O2191" s="206"/>
    </row>
    <row r="2192" spans="12:15">
      <c r="L2192" s="412"/>
      <c r="M2192" s="235"/>
      <c r="N2192" s="235"/>
      <c r="O2192" s="206"/>
    </row>
    <row r="2193" spans="12:15">
      <c r="L2193" s="412"/>
      <c r="M2193" s="235"/>
      <c r="N2193" s="235"/>
      <c r="O2193" s="206"/>
    </row>
    <row r="2194" spans="12:15">
      <c r="L2194" s="412"/>
      <c r="M2194" s="235"/>
      <c r="N2194" s="235"/>
      <c r="O2194" s="206"/>
    </row>
    <row r="2195" spans="12:15">
      <c r="L2195" s="412"/>
      <c r="M2195" s="235"/>
      <c r="N2195" s="235"/>
      <c r="O2195" s="206"/>
    </row>
    <row r="2196" spans="12:15">
      <c r="L2196" s="412"/>
      <c r="M2196" s="235"/>
      <c r="N2196" s="235"/>
      <c r="O2196" s="206"/>
    </row>
    <row r="2197" spans="12:15">
      <c r="L2197" s="412"/>
      <c r="M2197" s="235"/>
      <c r="N2197" s="235"/>
      <c r="O2197" s="206"/>
    </row>
    <row r="2198" spans="12:15">
      <c r="L2198" s="412"/>
      <c r="M2198" s="235"/>
      <c r="N2198" s="235"/>
      <c r="O2198" s="206"/>
    </row>
    <row r="2199" spans="12:15">
      <c r="L2199" s="412"/>
      <c r="M2199" s="235"/>
      <c r="N2199" s="235"/>
      <c r="O2199" s="206"/>
    </row>
    <row r="2200" spans="12:15">
      <c r="L2200" s="412"/>
      <c r="M2200" s="235"/>
      <c r="N2200" s="235"/>
      <c r="O2200" s="206"/>
    </row>
    <row r="2201" spans="12:15">
      <c r="L2201" s="412"/>
      <c r="M2201" s="235"/>
      <c r="N2201" s="235"/>
      <c r="O2201" s="206"/>
    </row>
    <row r="2202" spans="12:15">
      <c r="L2202" s="412"/>
      <c r="M2202" s="235"/>
      <c r="N2202" s="235"/>
      <c r="O2202" s="206"/>
    </row>
    <row r="2203" spans="12:15">
      <c r="L2203" s="412"/>
      <c r="M2203" s="235"/>
      <c r="N2203" s="235"/>
      <c r="O2203" s="206"/>
    </row>
    <row r="2204" spans="12:15">
      <c r="L2204" s="412"/>
      <c r="M2204" s="235"/>
      <c r="N2204" s="235"/>
      <c r="O2204" s="206"/>
    </row>
    <row r="2205" spans="12:15">
      <c r="L2205" s="412"/>
      <c r="M2205" s="235"/>
      <c r="N2205" s="235"/>
      <c r="O2205" s="206"/>
    </row>
    <row r="2206" spans="12:15">
      <c r="L2206" s="412"/>
      <c r="M2206" s="235"/>
      <c r="N2206" s="235"/>
      <c r="O2206" s="206"/>
    </row>
    <row r="2207" spans="12:15">
      <c r="L2207" s="412"/>
      <c r="M2207" s="235"/>
      <c r="N2207" s="235"/>
      <c r="O2207" s="206"/>
    </row>
    <row r="2208" spans="12:15">
      <c r="L2208" s="412"/>
      <c r="M2208" s="235"/>
      <c r="N2208" s="235"/>
      <c r="O2208" s="206"/>
    </row>
    <row r="2209" spans="4:15">
      <c r="L2209" s="412"/>
      <c r="M2209" s="235"/>
      <c r="N2209" s="235"/>
      <c r="O2209" s="206"/>
    </row>
    <row r="2210" spans="4:15">
      <c r="L2210" s="412"/>
      <c r="M2210" s="235"/>
      <c r="N2210" s="235"/>
      <c r="O2210" s="206"/>
    </row>
    <row r="2211" spans="4:15">
      <c r="L2211" s="412"/>
      <c r="M2211" s="235"/>
      <c r="N2211" s="235"/>
      <c r="O2211" s="206"/>
    </row>
    <row r="2212" spans="4:15">
      <c r="D2212" s="413"/>
      <c r="H2212" s="405"/>
      <c r="I2212" s="405"/>
      <c r="L2212" s="412"/>
      <c r="M2212" s="235"/>
      <c r="N2212" s="235"/>
      <c r="O2212" s="206"/>
    </row>
    <row r="2213" spans="4:15">
      <c r="D2213" s="413"/>
      <c r="H2213" s="405"/>
      <c r="I2213" s="405"/>
      <c r="L2213" s="412"/>
      <c r="M2213" s="235"/>
      <c r="N2213" s="235"/>
      <c r="O2213" s="206"/>
    </row>
    <row r="2214" spans="4:15">
      <c r="D2214" s="413"/>
      <c r="G2214" s="413"/>
      <c r="H2214" s="405"/>
      <c r="I2214" s="405"/>
      <c r="L2214" s="412"/>
      <c r="M2214" s="235"/>
      <c r="N2214" s="235"/>
      <c r="O2214" s="206"/>
    </row>
    <row r="2215" spans="4:15">
      <c r="D2215" s="413"/>
      <c r="G2215" s="413"/>
      <c r="H2215" s="405"/>
      <c r="I2215" s="405"/>
      <c r="L2215" s="412"/>
      <c r="M2215" s="235"/>
      <c r="N2215" s="235"/>
      <c r="O2215" s="206"/>
    </row>
    <row r="2216" spans="4:15">
      <c r="D2216" s="413"/>
      <c r="G2216" s="413"/>
      <c r="H2216" s="405"/>
      <c r="I2216" s="405"/>
      <c r="L2216" s="412"/>
      <c r="M2216" s="235"/>
      <c r="N2216" s="235"/>
      <c r="O2216" s="206"/>
    </row>
    <row r="2217" spans="4:15">
      <c r="D2217" s="413"/>
      <c r="G2217" s="413"/>
      <c r="H2217" s="405"/>
      <c r="I2217" s="405"/>
      <c r="L2217" s="412"/>
      <c r="M2217" s="235"/>
      <c r="N2217" s="235"/>
      <c r="O2217" s="206"/>
    </row>
    <row r="2218" spans="4:15">
      <c r="D2218" s="413"/>
      <c r="G2218" s="413"/>
      <c r="H2218" s="405"/>
      <c r="I2218" s="405"/>
      <c r="L2218" s="412"/>
      <c r="M2218" s="235"/>
      <c r="N2218" s="235"/>
      <c r="O2218" s="206"/>
    </row>
    <row r="2219" spans="4:15">
      <c r="D2219" s="413"/>
      <c r="G2219" s="413"/>
      <c r="H2219" s="405"/>
      <c r="I2219" s="405"/>
      <c r="L2219" s="412"/>
      <c r="M2219" s="235"/>
      <c r="N2219" s="235"/>
      <c r="O2219" s="206"/>
    </row>
    <row r="2220" spans="4:15">
      <c r="D2220" s="413"/>
      <c r="G2220" s="413"/>
      <c r="H2220" s="405"/>
      <c r="I2220" s="405"/>
      <c r="L2220" s="412"/>
      <c r="M2220" s="235"/>
      <c r="N2220" s="235"/>
      <c r="O2220" s="206"/>
    </row>
    <row r="2221" spans="4:15">
      <c r="D2221" s="413"/>
      <c r="G2221" s="413"/>
      <c r="H2221" s="405"/>
      <c r="I2221" s="405"/>
      <c r="L2221" s="412"/>
      <c r="M2221" s="235"/>
      <c r="N2221" s="235"/>
      <c r="O2221" s="206"/>
    </row>
    <row r="2222" spans="4:15">
      <c r="D2222" s="413"/>
      <c r="G2222" s="413"/>
      <c r="H2222" s="405"/>
      <c r="I2222" s="405"/>
      <c r="L2222" s="412"/>
      <c r="M2222" s="235"/>
      <c r="N2222" s="235"/>
      <c r="O2222" s="206"/>
    </row>
    <row r="2223" spans="4:15">
      <c r="D2223" s="413"/>
      <c r="G2223" s="413"/>
      <c r="H2223" s="405"/>
      <c r="I2223" s="405"/>
      <c r="L2223" s="412"/>
      <c r="M2223" s="235"/>
      <c r="N2223" s="235"/>
      <c r="O2223" s="206"/>
    </row>
    <row r="2224" spans="4:15">
      <c r="D2224" s="413"/>
      <c r="G2224" s="413"/>
      <c r="H2224" s="405"/>
      <c r="I2224" s="405"/>
      <c r="L2224" s="412"/>
      <c r="M2224" s="235"/>
      <c r="N2224" s="235"/>
      <c r="O2224" s="206"/>
    </row>
    <row r="2225" spans="4:15">
      <c r="D2225" s="413"/>
      <c r="G2225" s="413"/>
      <c r="H2225" s="405"/>
      <c r="I2225" s="405"/>
      <c r="L2225" s="412"/>
      <c r="M2225" s="235"/>
      <c r="N2225" s="235"/>
      <c r="O2225" s="206"/>
    </row>
    <row r="2226" spans="4:15">
      <c r="D2226" s="413"/>
      <c r="G2226" s="413"/>
      <c r="H2226" s="405"/>
      <c r="I2226" s="405"/>
      <c r="L2226" s="412"/>
      <c r="M2226" s="235"/>
      <c r="N2226" s="235"/>
      <c r="O2226" s="206"/>
    </row>
    <row r="2227" spans="4:15">
      <c r="D2227" s="413"/>
      <c r="G2227" s="413"/>
      <c r="H2227" s="405"/>
      <c r="I2227" s="405"/>
      <c r="L2227" s="412"/>
      <c r="M2227" s="235"/>
      <c r="N2227" s="235"/>
      <c r="O2227" s="206"/>
    </row>
    <row r="2228" spans="4:15">
      <c r="D2228" s="413"/>
      <c r="G2228" s="413"/>
      <c r="H2228" s="405"/>
      <c r="I2228" s="405"/>
      <c r="L2228" s="412"/>
      <c r="M2228" s="235"/>
      <c r="N2228" s="235"/>
      <c r="O2228" s="206"/>
    </row>
    <row r="2229" spans="4:15">
      <c r="D2229" s="413"/>
      <c r="G2229" s="413"/>
      <c r="H2229" s="405"/>
      <c r="I2229" s="405"/>
      <c r="L2229" s="412"/>
      <c r="M2229" s="235"/>
      <c r="N2229" s="235"/>
      <c r="O2229" s="206"/>
    </row>
    <row r="2230" spans="4:15">
      <c r="D2230" s="413"/>
      <c r="G2230" s="413"/>
      <c r="H2230" s="405"/>
      <c r="I2230" s="405"/>
      <c r="L2230" s="412"/>
      <c r="M2230" s="235"/>
      <c r="N2230" s="235"/>
      <c r="O2230" s="206"/>
    </row>
    <row r="2231" spans="4:15">
      <c r="D2231" s="413"/>
      <c r="G2231" s="413"/>
      <c r="H2231" s="405"/>
      <c r="I2231" s="405"/>
      <c r="L2231" s="412"/>
      <c r="M2231" s="235"/>
      <c r="N2231" s="235"/>
      <c r="O2231" s="206"/>
    </row>
    <row r="2232" spans="4:15">
      <c r="D2232" s="413"/>
      <c r="G2232" s="413"/>
      <c r="H2232" s="405"/>
      <c r="I2232" s="405"/>
      <c r="L2232" s="412"/>
      <c r="M2232" s="235"/>
      <c r="N2232" s="235"/>
      <c r="O2232" s="206"/>
    </row>
    <row r="2233" spans="4:15">
      <c r="D2233" s="413"/>
      <c r="G2233" s="413"/>
      <c r="H2233" s="405"/>
      <c r="I2233" s="405"/>
      <c r="L2233" s="412"/>
      <c r="M2233" s="235"/>
      <c r="N2233" s="235"/>
      <c r="O2233" s="206"/>
    </row>
    <row r="2234" spans="4:15">
      <c r="D2234" s="413"/>
      <c r="G2234" s="413"/>
      <c r="H2234" s="405"/>
      <c r="I2234" s="405"/>
      <c r="L2234" s="412"/>
      <c r="M2234" s="235"/>
      <c r="N2234" s="235"/>
      <c r="O2234" s="206"/>
    </row>
    <row r="2235" spans="4:15">
      <c r="D2235" s="413"/>
      <c r="G2235" s="413"/>
      <c r="H2235" s="405"/>
      <c r="I2235" s="405"/>
      <c r="L2235" s="412"/>
      <c r="M2235" s="235"/>
      <c r="N2235" s="235"/>
      <c r="O2235" s="206"/>
    </row>
    <row r="2236" spans="4:15">
      <c r="D2236" s="413"/>
      <c r="G2236" s="413"/>
      <c r="H2236" s="405"/>
      <c r="I2236" s="405"/>
      <c r="L2236" s="412"/>
      <c r="M2236" s="235"/>
      <c r="N2236" s="235"/>
      <c r="O2236" s="206"/>
    </row>
    <row r="2237" spans="4:15">
      <c r="D2237" s="413"/>
      <c r="G2237" s="413"/>
      <c r="H2237" s="405"/>
      <c r="I2237" s="405"/>
      <c r="L2237" s="412"/>
      <c r="M2237" s="235"/>
      <c r="N2237" s="235"/>
      <c r="O2237" s="206"/>
    </row>
    <row r="2238" spans="4:15">
      <c r="D2238" s="413"/>
      <c r="G2238" s="413"/>
      <c r="H2238" s="405"/>
      <c r="I2238" s="405"/>
      <c r="L2238" s="412"/>
      <c r="M2238" s="235"/>
      <c r="N2238" s="235"/>
      <c r="O2238" s="206"/>
    </row>
    <row r="2239" spans="4:15">
      <c r="D2239" s="413"/>
      <c r="G2239" s="413"/>
      <c r="H2239" s="405"/>
      <c r="I2239" s="405"/>
      <c r="L2239" s="412"/>
      <c r="M2239" s="235"/>
      <c r="N2239" s="235"/>
      <c r="O2239" s="206"/>
    </row>
    <row r="2240" spans="4:15">
      <c r="D2240" s="413"/>
      <c r="G2240" s="413"/>
      <c r="H2240" s="405"/>
      <c r="I2240" s="405"/>
      <c r="L2240" s="412"/>
      <c r="M2240" s="235"/>
      <c r="N2240" s="235"/>
      <c r="O2240" s="206"/>
    </row>
    <row r="2241" spans="4:15">
      <c r="D2241" s="413"/>
      <c r="G2241" s="413"/>
      <c r="H2241" s="405"/>
      <c r="I2241" s="405"/>
      <c r="L2241" s="412"/>
      <c r="M2241" s="235"/>
      <c r="N2241" s="235"/>
      <c r="O2241" s="206"/>
    </row>
    <row r="2242" spans="4:15">
      <c r="D2242" s="413"/>
      <c r="G2242" s="413"/>
      <c r="H2242" s="405"/>
      <c r="I2242" s="405"/>
      <c r="L2242" s="412"/>
      <c r="M2242" s="235"/>
      <c r="N2242" s="235"/>
      <c r="O2242" s="206"/>
    </row>
    <row r="2243" spans="4:15">
      <c r="D2243" s="413"/>
      <c r="G2243" s="413"/>
      <c r="H2243" s="405"/>
      <c r="I2243" s="405"/>
      <c r="L2243" s="412"/>
      <c r="M2243" s="235"/>
      <c r="N2243" s="235"/>
      <c r="O2243" s="206"/>
    </row>
    <row r="2244" spans="4:15">
      <c r="D2244" s="413"/>
      <c r="G2244" s="413"/>
      <c r="H2244" s="405"/>
      <c r="I2244" s="405"/>
      <c r="L2244" s="412"/>
      <c r="M2244" s="235"/>
      <c r="N2244" s="235"/>
      <c r="O2244" s="206"/>
    </row>
    <row r="2245" spans="4:15">
      <c r="D2245" s="413"/>
      <c r="G2245" s="413"/>
      <c r="H2245" s="405"/>
      <c r="I2245" s="405"/>
      <c r="L2245" s="412"/>
      <c r="M2245" s="235"/>
      <c r="N2245" s="235"/>
      <c r="O2245" s="206"/>
    </row>
    <row r="2246" spans="4:15">
      <c r="D2246" s="413"/>
      <c r="G2246" s="413"/>
      <c r="H2246" s="405"/>
      <c r="I2246" s="405"/>
      <c r="L2246" s="412"/>
      <c r="M2246" s="235"/>
      <c r="N2246" s="235"/>
      <c r="O2246" s="206"/>
    </row>
    <row r="2247" spans="4:15">
      <c r="D2247" s="413"/>
      <c r="G2247" s="413"/>
      <c r="H2247" s="405"/>
      <c r="I2247" s="405"/>
      <c r="L2247" s="412"/>
      <c r="M2247" s="235"/>
      <c r="N2247" s="235"/>
      <c r="O2247" s="206"/>
    </row>
    <row r="2248" spans="4:15">
      <c r="D2248" s="413"/>
      <c r="G2248" s="413"/>
      <c r="H2248" s="405"/>
      <c r="I2248" s="405"/>
      <c r="L2248" s="412"/>
      <c r="M2248" s="235"/>
      <c r="N2248" s="235"/>
      <c r="O2248" s="206"/>
    </row>
    <row r="2249" spans="4:15">
      <c r="D2249" s="413"/>
      <c r="G2249" s="413"/>
      <c r="H2249" s="405"/>
      <c r="I2249" s="405"/>
      <c r="L2249" s="412"/>
      <c r="M2249" s="235"/>
      <c r="N2249" s="235"/>
      <c r="O2249" s="206"/>
    </row>
    <row r="2250" spans="4:15">
      <c r="D2250" s="413"/>
      <c r="G2250" s="413"/>
      <c r="H2250" s="405"/>
      <c r="I2250" s="405"/>
      <c r="L2250" s="412"/>
      <c r="M2250" s="235"/>
      <c r="N2250" s="235"/>
      <c r="O2250" s="206"/>
    </row>
    <row r="2251" spans="4:15">
      <c r="D2251" s="413"/>
      <c r="G2251" s="413"/>
      <c r="H2251" s="405"/>
      <c r="I2251" s="405"/>
      <c r="L2251" s="412"/>
      <c r="M2251" s="235"/>
      <c r="N2251" s="235"/>
      <c r="O2251" s="206"/>
    </row>
    <row r="2252" spans="4:15">
      <c r="D2252" s="413"/>
      <c r="G2252" s="413"/>
      <c r="H2252" s="405"/>
      <c r="I2252" s="405"/>
      <c r="L2252" s="412"/>
      <c r="M2252" s="235"/>
      <c r="N2252" s="235"/>
      <c r="O2252" s="206"/>
    </row>
    <row r="2253" spans="4:15">
      <c r="D2253" s="413"/>
      <c r="G2253" s="413"/>
      <c r="H2253" s="405"/>
      <c r="I2253" s="405"/>
      <c r="L2253" s="412"/>
      <c r="M2253" s="235"/>
      <c r="N2253" s="235"/>
      <c r="O2253" s="206"/>
    </row>
    <row r="2254" spans="4:15">
      <c r="D2254" s="413"/>
      <c r="G2254" s="413"/>
      <c r="H2254" s="405"/>
      <c r="I2254" s="405"/>
      <c r="L2254" s="412"/>
      <c r="M2254" s="235"/>
      <c r="N2254" s="235"/>
      <c r="O2254" s="206"/>
    </row>
    <row r="2255" spans="4:15">
      <c r="D2255" s="413"/>
      <c r="G2255" s="413"/>
      <c r="H2255" s="405"/>
      <c r="I2255" s="405"/>
      <c r="L2255" s="412"/>
      <c r="M2255" s="235"/>
      <c r="N2255" s="235"/>
      <c r="O2255" s="206"/>
    </row>
    <row r="2256" spans="4:15">
      <c r="D2256" s="413"/>
      <c r="G2256" s="413"/>
      <c r="H2256" s="405"/>
      <c r="I2256" s="405"/>
      <c r="L2256" s="412"/>
      <c r="M2256" s="235"/>
      <c r="N2256" s="235"/>
      <c r="O2256" s="206"/>
    </row>
    <row r="2257" spans="4:15">
      <c r="D2257" s="413"/>
      <c r="G2257" s="413"/>
      <c r="H2257" s="405"/>
      <c r="I2257" s="405"/>
      <c r="L2257" s="412"/>
      <c r="M2257" s="235"/>
      <c r="N2257" s="235"/>
      <c r="O2257" s="206"/>
    </row>
    <row r="2258" spans="4:15">
      <c r="D2258" s="413"/>
      <c r="G2258" s="413"/>
      <c r="H2258" s="405"/>
      <c r="I2258" s="405"/>
      <c r="L2258" s="412"/>
      <c r="M2258" s="235"/>
      <c r="N2258" s="235"/>
      <c r="O2258" s="206"/>
    </row>
    <row r="2259" spans="4:15">
      <c r="D2259" s="413"/>
      <c r="G2259" s="413"/>
      <c r="H2259" s="405"/>
      <c r="I2259" s="405"/>
      <c r="L2259" s="412"/>
      <c r="M2259" s="235"/>
      <c r="N2259" s="235"/>
      <c r="O2259" s="206"/>
    </row>
    <row r="2260" spans="4:15">
      <c r="D2260" s="413"/>
      <c r="G2260" s="413"/>
      <c r="H2260" s="405"/>
      <c r="I2260" s="405"/>
      <c r="L2260" s="412"/>
      <c r="M2260" s="235"/>
      <c r="N2260" s="235"/>
      <c r="O2260" s="206"/>
    </row>
    <row r="2261" spans="4:15">
      <c r="D2261" s="413"/>
      <c r="G2261" s="413"/>
      <c r="H2261" s="405"/>
      <c r="I2261" s="405"/>
      <c r="L2261" s="412"/>
      <c r="M2261" s="235"/>
      <c r="N2261" s="235"/>
      <c r="O2261" s="206"/>
    </row>
    <row r="2262" spans="4:15">
      <c r="D2262" s="413"/>
      <c r="G2262" s="413"/>
      <c r="H2262" s="405"/>
      <c r="I2262" s="405"/>
      <c r="L2262" s="412"/>
      <c r="M2262" s="235"/>
      <c r="N2262" s="235"/>
      <c r="O2262" s="206"/>
    </row>
    <row r="2263" spans="4:15">
      <c r="D2263" s="413"/>
      <c r="G2263" s="413"/>
      <c r="H2263" s="405"/>
      <c r="I2263" s="405"/>
      <c r="L2263" s="412"/>
      <c r="M2263" s="235"/>
      <c r="N2263" s="235"/>
      <c r="O2263" s="206"/>
    </row>
    <row r="2264" spans="4:15">
      <c r="D2264" s="413"/>
      <c r="G2264" s="413"/>
      <c r="H2264" s="405"/>
      <c r="I2264" s="405"/>
      <c r="L2264" s="412"/>
      <c r="M2264" s="235"/>
      <c r="N2264" s="235"/>
      <c r="O2264" s="206"/>
    </row>
    <row r="2265" spans="4:15">
      <c r="D2265" s="413"/>
      <c r="G2265" s="413"/>
      <c r="H2265" s="405"/>
      <c r="I2265" s="405"/>
      <c r="L2265" s="412"/>
      <c r="M2265" s="235"/>
      <c r="N2265" s="235"/>
      <c r="O2265" s="206"/>
    </row>
    <row r="2266" spans="4:15">
      <c r="D2266" s="413"/>
      <c r="G2266" s="413"/>
      <c r="H2266" s="405"/>
      <c r="I2266" s="405"/>
      <c r="L2266" s="412"/>
      <c r="M2266" s="235"/>
      <c r="N2266" s="235"/>
      <c r="O2266" s="206"/>
    </row>
    <row r="2267" spans="4:15">
      <c r="D2267" s="413"/>
      <c r="G2267" s="413"/>
      <c r="H2267" s="405"/>
      <c r="I2267" s="405"/>
      <c r="L2267" s="412"/>
      <c r="M2267" s="235"/>
      <c r="N2267" s="235"/>
      <c r="O2267" s="206"/>
    </row>
    <row r="2268" spans="4:15">
      <c r="D2268" s="413"/>
      <c r="G2268" s="413"/>
      <c r="H2268" s="405"/>
      <c r="I2268" s="405"/>
      <c r="L2268" s="412"/>
      <c r="M2268" s="235"/>
      <c r="N2268" s="235"/>
      <c r="O2268" s="206"/>
    </row>
    <row r="2269" spans="4:15">
      <c r="D2269" s="413"/>
      <c r="G2269" s="413"/>
      <c r="H2269" s="405"/>
      <c r="I2269" s="405"/>
      <c r="L2269" s="412"/>
      <c r="M2269" s="235"/>
      <c r="N2269" s="235"/>
      <c r="O2269" s="206"/>
    </row>
    <row r="2270" spans="4:15">
      <c r="D2270" s="413"/>
      <c r="G2270" s="413"/>
      <c r="H2270" s="405"/>
      <c r="I2270" s="405"/>
      <c r="L2270" s="412"/>
      <c r="M2270" s="235"/>
      <c r="N2270" s="235"/>
      <c r="O2270" s="206"/>
    </row>
    <row r="2271" spans="4:15">
      <c r="D2271" s="413"/>
      <c r="G2271" s="413"/>
      <c r="H2271" s="405"/>
      <c r="I2271" s="405"/>
      <c r="L2271" s="412"/>
      <c r="M2271" s="235"/>
      <c r="N2271" s="235"/>
      <c r="O2271" s="206"/>
    </row>
    <row r="2272" spans="4:15">
      <c r="D2272" s="413"/>
      <c r="G2272" s="413"/>
      <c r="H2272" s="405"/>
      <c r="I2272" s="405"/>
      <c r="L2272" s="412"/>
      <c r="M2272" s="235"/>
      <c r="N2272" s="235"/>
      <c r="O2272" s="206"/>
    </row>
    <row r="2273" spans="4:15">
      <c r="D2273" s="413"/>
      <c r="G2273" s="413"/>
      <c r="H2273" s="405"/>
      <c r="I2273" s="405"/>
      <c r="L2273" s="412"/>
      <c r="M2273" s="235"/>
      <c r="N2273" s="235"/>
      <c r="O2273" s="206"/>
    </row>
    <row r="2274" spans="4:15">
      <c r="D2274" s="413"/>
      <c r="G2274" s="413"/>
      <c r="H2274" s="405"/>
      <c r="I2274" s="405"/>
      <c r="L2274" s="412"/>
      <c r="M2274" s="235"/>
      <c r="N2274" s="235"/>
      <c r="O2274" s="206"/>
    </row>
    <row r="2275" spans="4:15">
      <c r="D2275" s="413"/>
      <c r="G2275" s="413"/>
      <c r="H2275" s="405"/>
      <c r="I2275" s="405"/>
      <c r="L2275" s="412"/>
      <c r="M2275" s="235"/>
      <c r="N2275" s="235"/>
      <c r="O2275" s="206"/>
    </row>
    <row r="2276" spans="4:15">
      <c r="D2276" s="413"/>
      <c r="G2276" s="413"/>
      <c r="H2276" s="405"/>
      <c r="I2276" s="405"/>
      <c r="L2276" s="412"/>
      <c r="M2276" s="235"/>
      <c r="N2276" s="235"/>
      <c r="O2276" s="206"/>
    </row>
    <row r="2277" spans="4:15">
      <c r="D2277" s="413"/>
      <c r="G2277" s="413"/>
      <c r="H2277" s="405"/>
      <c r="I2277" s="405"/>
      <c r="L2277" s="412"/>
      <c r="M2277" s="235"/>
      <c r="N2277" s="235"/>
      <c r="O2277" s="206"/>
    </row>
    <row r="2278" spans="4:15">
      <c r="D2278" s="413"/>
      <c r="G2278" s="413"/>
      <c r="H2278" s="405"/>
      <c r="I2278" s="405"/>
      <c r="L2278" s="412"/>
      <c r="M2278" s="235"/>
      <c r="N2278" s="235"/>
      <c r="O2278" s="206"/>
    </row>
    <row r="2279" spans="4:15">
      <c r="D2279" s="413"/>
      <c r="G2279" s="413"/>
      <c r="H2279" s="405"/>
      <c r="I2279" s="405"/>
      <c r="L2279" s="412"/>
      <c r="M2279" s="235"/>
      <c r="N2279" s="235"/>
      <c r="O2279" s="206"/>
    </row>
    <row r="2280" spans="4:15">
      <c r="D2280" s="413"/>
      <c r="G2280" s="413"/>
      <c r="H2280" s="405"/>
      <c r="I2280" s="405"/>
      <c r="L2280" s="412"/>
      <c r="M2280" s="235"/>
      <c r="N2280" s="235"/>
      <c r="O2280" s="206"/>
    </row>
    <row r="2281" spans="4:15">
      <c r="G2281" s="413"/>
    </row>
    <row r="2282" spans="4:15">
      <c r="G2282" s="413"/>
    </row>
  </sheetData>
  <mergeCells count="1">
    <mergeCell ref="F3:K3"/>
  </mergeCells>
  <phoneticPr fontId="3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F154-B00B-4E60-8FAA-26CBA2958AE4}">
  <sheetPr codeName="Sheet31"/>
  <dimension ref="A1:Z2282"/>
  <sheetViews>
    <sheetView topLeftCell="C1" zoomScale="85" zoomScaleNormal="85" workbookViewId="0">
      <selection activeCell="H13" sqref="H13"/>
    </sheetView>
  </sheetViews>
  <sheetFormatPr defaultColWidth="9" defaultRowHeight="14.25"/>
  <cols>
    <col min="1" max="1" width="5.42578125" style="206" bestFit="1" customWidth="1"/>
    <col min="2" max="2" width="30.5703125" style="206" customWidth="1"/>
    <col min="3" max="3" width="7.42578125" style="206" bestFit="1" customWidth="1"/>
    <col min="4" max="4" width="11.7109375" style="206" bestFit="1" customWidth="1"/>
    <col min="5" max="5" width="12.85546875" style="206" bestFit="1" customWidth="1"/>
    <col min="6" max="6" width="9.5703125" style="206" bestFit="1" customWidth="1"/>
    <col min="7" max="9" width="8.7109375" style="206" bestFit="1" customWidth="1"/>
    <col min="10" max="10" width="8.7109375" style="206" customWidth="1"/>
    <col min="11" max="11" width="9" style="206" customWidth="1"/>
    <col min="12" max="12" width="12.28515625" style="403" bestFit="1" customWidth="1"/>
    <col min="13" max="13" width="12.42578125" style="404" bestFit="1" customWidth="1"/>
    <col min="14" max="14" width="12.85546875" style="404" bestFit="1" customWidth="1"/>
    <col min="15" max="15" width="24.42578125" style="405" bestFit="1" customWidth="1"/>
    <col min="16" max="16" width="5.42578125" style="206" bestFit="1" customWidth="1"/>
    <col min="17" max="17" width="6.42578125" style="270" customWidth="1"/>
    <col min="18" max="18" width="38.7109375" style="270" bestFit="1" customWidth="1"/>
    <col min="19" max="19" width="17.5703125" style="270" customWidth="1"/>
    <col min="20" max="20" width="31.42578125" style="270" hidden="1" customWidth="1"/>
    <col min="21" max="21" width="13.5703125" style="270" customWidth="1"/>
    <col min="22" max="22" width="18.42578125" style="270" customWidth="1"/>
    <col min="23" max="23" width="29.140625" style="270" hidden="1" customWidth="1"/>
    <col min="24" max="24" width="10.42578125" style="270" customWidth="1"/>
    <col min="25" max="25" width="18.42578125" style="270" customWidth="1"/>
    <col min="26" max="26" width="43.42578125" style="270" bestFit="1" customWidth="1"/>
    <col min="27" max="16384" width="9" style="206"/>
  </cols>
  <sheetData>
    <row r="1" spans="1:26">
      <c r="B1" s="611" t="s">
        <v>7496</v>
      </c>
      <c r="C1" s="459"/>
      <c r="D1" s="459"/>
      <c r="E1" s="459"/>
      <c r="F1" s="459"/>
      <c r="G1" s="33"/>
      <c r="K1" s="403"/>
      <c r="N1" s="405"/>
      <c r="O1" s="136">
        <v>41787</v>
      </c>
      <c r="R1" s="472" t="s">
        <v>4882</v>
      </c>
      <c r="S1" s="464" t="s">
        <v>0</v>
      </c>
      <c r="T1" s="464"/>
      <c r="U1" s="464">
        <v>192</v>
      </c>
      <c r="V1" s="464">
        <v>64</v>
      </c>
      <c r="W1" s="461" t="s">
        <v>7510</v>
      </c>
      <c r="X1" s="525">
        <v>256</v>
      </c>
      <c r="Y1" s="465"/>
      <c r="Z1" s="465"/>
    </row>
    <row r="2" spans="1:26">
      <c r="K2" s="403"/>
      <c r="N2" s="405"/>
      <c r="O2" s="34"/>
      <c r="S2" s="466" t="s">
        <v>1</v>
      </c>
      <c r="T2" s="466"/>
      <c r="U2" s="466">
        <v>191</v>
      </c>
      <c r="V2" s="466">
        <v>64</v>
      </c>
      <c r="W2" s="461"/>
      <c r="X2" s="466">
        <v>256</v>
      </c>
      <c r="Y2" s="467"/>
      <c r="Z2" s="467">
        <v>0</v>
      </c>
    </row>
    <row r="3" spans="1:26" ht="15">
      <c r="A3" s="526" t="s">
        <v>7501</v>
      </c>
      <c r="B3" s="612" t="s">
        <v>7502</v>
      </c>
      <c r="C3" s="527" t="s">
        <v>7503</v>
      </c>
      <c r="D3" s="613" t="s">
        <v>7504</v>
      </c>
      <c r="E3" s="752"/>
      <c r="F3" s="757" t="s">
        <v>7505</v>
      </c>
      <c r="G3" s="758"/>
      <c r="H3" s="758"/>
      <c r="I3" s="758"/>
      <c r="J3" s="758"/>
      <c r="K3" s="759"/>
      <c r="L3" s="528" t="s">
        <v>7506</v>
      </c>
      <c r="M3" s="529" t="s">
        <v>7507</v>
      </c>
      <c r="N3" s="529" t="s">
        <v>7508</v>
      </c>
      <c r="O3" s="527" t="s">
        <v>7509</v>
      </c>
      <c r="P3" s="526" t="s">
        <v>7501</v>
      </c>
      <c r="Q3" s="468" t="s">
        <v>2</v>
      </c>
      <c r="R3" s="468" t="s">
        <v>4883</v>
      </c>
      <c r="S3" s="468" t="s">
        <v>3</v>
      </c>
      <c r="T3" s="468" t="s">
        <v>4</v>
      </c>
      <c r="U3" s="469" t="s">
        <v>5</v>
      </c>
      <c r="V3" s="469" t="s">
        <v>6</v>
      </c>
      <c r="W3" s="530" t="s">
        <v>7511</v>
      </c>
      <c r="X3" s="531" t="s">
        <v>7</v>
      </c>
      <c r="Y3" s="468"/>
      <c r="Z3" s="468" t="s">
        <v>8</v>
      </c>
    </row>
    <row r="4" spans="1:26">
      <c r="A4" s="406">
        <v>1</v>
      </c>
      <c r="B4" s="613" t="s">
        <v>5253</v>
      </c>
      <c r="C4" s="288" t="s">
        <v>9</v>
      </c>
      <c r="D4" s="414" t="s">
        <v>4213</v>
      </c>
      <c r="E4" s="407" t="s">
        <v>9011</v>
      </c>
      <c r="F4" s="288" t="s">
        <v>5256</v>
      </c>
      <c r="G4" s="609" t="s">
        <v>5254</v>
      </c>
      <c r="H4" s="483"/>
      <c r="I4" s="483"/>
      <c r="J4" s="483"/>
      <c r="K4" s="483"/>
      <c r="L4" s="608">
        <v>6533.8110236220473</v>
      </c>
      <c r="M4" s="409">
        <v>8405.4055118110246</v>
      </c>
      <c r="N4" s="409">
        <v>14939.216535433072</v>
      </c>
      <c r="O4" s="410" t="s">
        <v>7748</v>
      </c>
      <c r="P4" s="406">
        <v>1</v>
      </c>
      <c r="Q4" s="470" t="s">
        <v>9</v>
      </c>
      <c r="R4" s="460" t="s">
        <v>10</v>
      </c>
      <c r="S4" s="270" t="s">
        <v>7</v>
      </c>
      <c r="U4" s="471"/>
      <c r="V4" s="471"/>
      <c r="W4" s="471" t="s">
        <v>10</v>
      </c>
      <c r="X4" s="471">
        <v>1</v>
      </c>
      <c r="Z4" s="270" t="s">
        <v>11</v>
      </c>
    </row>
    <row r="5" spans="1:26">
      <c r="A5" s="406">
        <v>2</v>
      </c>
      <c r="B5" s="613" t="s">
        <v>7020</v>
      </c>
      <c r="C5" s="288" t="s">
        <v>12</v>
      </c>
      <c r="D5" s="414" t="s">
        <v>4884</v>
      </c>
      <c r="E5" s="407"/>
      <c r="F5" s="483"/>
      <c r="G5" s="411"/>
      <c r="H5" s="411"/>
      <c r="I5" s="411"/>
      <c r="J5" s="411"/>
      <c r="K5" s="411"/>
      <c r="L5" s="608" t="s">
        <v>4884</v>
      </c>
      <c r="M5" s="409" t="s">
        <v>4884</v>
      </c>
      <c r="N5" s="409" t="s">
        <v>4884</v>
      </c>
      <c r="O5" s="410" t="s">
        <v>4884</v>
      </c>
      <c r="P5" s="406">
        <v>2</v>
      </c>
      <c r="Q5" s="470" t="s">
        <v>12</v>
      </c>
      <c r="R5" s="460" t="s">
        <v>4885</v>
      </c>
      <c r="S5" s="270" t="s">
        <v>7</v>
      </c>
      <c r="U5" s="471"/>
      <c r="V5" s="471"/>
      <c r="W5" s="471" t="s">
        <v>4885</v>
      </c>
      <c r="X5" s="471">
        <v>0</v>
      </c>
    </row>
    <row r="6" spans="1:26">
      <c r="A6" s="406">
        <v>3</v>
      </c>
      <c r="B6" s="613" t="s">
        <v>7020</v>
      </c>
      <c r="C6" s="288" t="s">
        <v>13</v>
      </c>
      <c r="D6" s="414" t="s">
        <v>4884</v>
      </c>
      <c r="E6" s="407"/>
      <c r="F6" s="483"/>
      <c r="G6" s="411"/>
      <c r="H6" s="411"/>
      <c r="I6" s="411"/>
      <c r="J6" s="411"/>
      <c r="K6" s="411"/>
      <c r="L6" s="608" t="s">
        <v>4884</v>
      </c>
      <c r="M6" s="409" t="s">
        <v>4884</v>
      </c>
      <c r="N6" s="409" t="s">
        <v>4884</v>
      </c>
      <c r="O6" s="410" t="s">
        <v>4884</v>
      </c>
      <c r="P6" s="406">
        <v>3</v>
      </c>
      <c r="Q6" s="470" t="s">
        <v>13</v>
      </c>
      <c r="R6" s="460" t="s">
        <v>14</v>
      </c>
      <c r="S6" s="270" t="s">
        <v>7</v>
      </c>
      <c r="U6" s="471"/>
      <c r="V6" s="471"/>
      <c r="W6" s="471" t="s">
        <v>14</v>
      </c>
      <c r="X6" s="471">
        <v>0</v>
      </c>
    </row>
    <row r="7" spans="1:26">
      <c r="A7" s="406">
        <v>4</v>
      </c>
      <c r="B7" s="613" t="s">
        <v>5239</v>
      </c>
      <c r="C7" s="288" t="s">
        <v>15</v>
      </c>
      <c r="D7" s="414" t="s">
        <v>4204</v>
      </c>
      <c r="E7" s="407" t="s">
        <v>9012</v>
      </c>
      <c r="F7" s="483" t="s">
        <v>5242</v>
      </c>
      <c r="G7" s="411" t="s">
        <v>5240</v>
      </c>
      <c r="H7" s="411"/>
      <c r="I7" s="411"/>
      <c r="J7" s="411"/>
      <c r="K7" s="411"/>
      <c r="L7" s="608">
        <v>9519.2362204724413</v>
      </c>
      <c r="M7" s="409">
        <v>6956.322834645669</v>
      </c>
      <c r="N7" s="409">
        <v>16475.559055118112</v>
      </c>
      <c r="O7" s="410" t="s">
        <v>7749</v>
      </c>
      <c r="P7" s="406">
        <v>4</v>
      </c>
      <c r="Q7" s="470" t="s">
        <v>15</v>
      </c>
      <c r="R7" s="460" t="s">
        <v>16</v>
      </c>
      <c r="S7" s="270" t="s">
        <v>7</v>
      </c>
      <c r="U7" s="471"/>
      <c r="V7" s="471"/>
      <c r="W7" s="471" t="s">
        <v>16</v>
      </c>
      <c r="X7" s="471">
        <v>1</v>
      </c>
      <c r="Z7" s="270" t="s">
        <v>17</v>
      </c>
    </row>
    <row r="8" spans="1:26">
      <c r="A8" s="406">
        <v>5</v>
      </c>
      <c r="B8" s="613" t="s">
        <v>5269</v>
      </c>
      <c r="C8" s="288" t="s">
        <v>18</v>
      </c>
      <c r="D8" s="414" t="s">
        <v>4211</v>
      </c>
      <c r="E8" s="407" t="s">
        <v>9013</v>
      </c>
      <c r="F8" s="483" t="s">
        <v>5272</v>
      </c>
      <c r="G8" s="411" t="s">
        <v>5270</v>
      </c>
      <c r="H8" s="411"/>
      <c r="I8" s="411"/>
      <c r="J8" s="411"/>
      <c r="K8" s="411"/>
      <c r="L8" s="608">
        <v>5702.9685039370079</v>
      </c>
      <c r="M8" s="409">
        <v>6625.9803149606305</v>
      </c>
      <c r="N8" s="409">
        <v>12328.948818897639</v>
      </c>
      <c r="O8" s="410" t="s">
        <v>7750</v>
      </c>
      <c r="P8" s="406">
        <v>5</v>
      </c>
      <c r="Q8" s="470" t="s">
        <v>18</v>
      </c>
      <c r="R8" s="460" t="s">
        <v>19</v>
      </c>
      <c r="S8" s="270" t="s">
        <v>7</v>
      </c>
      <c r="U8" s="471"/>
      <c r="V8" s="471"/>
      <c r="W8" s="471" t="s">
        <v>19</v>
      </c>
      <c r="X8" s="471">
        <v>1</v>
      </c>
      <c r="Z8" s="270" t="s">
        <v>20</v>
      </c>
    </row>
    <row r="9" spans="1:26">
      <c r="A9" s="406">
        <v>6</v>
      </c>
      <c r="B9" s="613" t="s">
        <v>5231</v>
      </c>
      <c r="C9" s="288" t="s">
        <v>21</v>
      </c>
      <c r="D9" s="414" t="s">
        <v>4235</v>
      </c>
      <c r="E9" s="407" t="s">
        <v>9014</v>
      </c>
      <c r="F9" s="483" t="s">
        <v>5234</v>
      </c>
      <c r="G9" s="411" t="s">
        <v>5232</v>
      </c>
      <c r="H9" s="411"/>
      <c r="I9" s="411"/>
      <c r="J9" s="411"/>
      <c r="K9" s="411"/>
      <c r="L9" s="608">
        <v>8333.0629921259842</v>
      </c>
      <c r="M9" s="409">
        <v>5749.7874015748039</v>
      </c>
      <c r="N9" s="409">
        <v>14082.850393700786</v>
      </c>
      <c r="O9" s="410" t="s">
        <v>7748</v>
      </c>
      <c r="P9" s="406">
        <v>6</v>
      </c>
      <c r="Q9" s="470" t="s">
        <v>21</v>
      </c>
      <c r="R9" s="460" t="s">
        <v>22</v>
      </c>
      <c r="S9" s="270" t="s">
        <v>7</v>
      </c>
      <c r="U9" s="471"/>
      <c r="V9" s="471"/>
      <c r="W9" s="471" t="s">
        <v>22</v>
      </c>
      <c r="X9" s="471">
        <v>1</v>
      </c>
      <c r="Z9" s="270" t="s">
        <v>23</v>
      </c>
    </row>
    <row r="10" spans="1:26">
      <c r="A10" s="406">
        <v>7</v>
      </c>
      <c r="B10" s="613" t="s">
        <v>5261</v>
      </c>
      <c r="C10" s="288" t="s">
        <v>24</v>
      </c>
      <c r="D10" s="414" t="s">
        <v>4182</v>
      </c>
      <c r="E10" s="407" t="s">
        <v>9015</v>
      </c>
      <c r="F10" s="483" t="s">
        <v>5264</v>
      </c>
      <c r="G10" s="411" t="s">
        <v>5262</v>
      </c>
      <c r="H10" s="411"/>
      <c r="I10" s="411"/>
      <c r="J10" s="411"/>
      <c r="K10" s="411"/>
      <c r="L10" s="608">
        <v>5996.0196850393704</v>
      </c>
      <c r="M10" s="409">
        <v>3636.429133858268</v>
      </c>
      <c r="N10" s="409">
        <v>9632.4488188976375</v>
      </c>
      <c r="O10" s="410" t="s">
        <v>7751</v>
      </c>
      <c r="P10" s="406">
        <v>7</v>
      </c>
      <c r="Q10" s="470" t="s">
        <v>24</v>
      </c>
      <c r="R10" s="460" t="s">
        <v>25</v>
      </c>
      <c r="S10" s="270" t="s">
        <v>7</v>
      </c>
      <c r="U10" s="471"/>
      <c r="V10" s="471"/>
      <c r="W10" s="471" t="s">
        <v>25</v>
      </c>
      <c r="X10" s="471">
        <v>1</v>
      </c>
      <c r="Z10" s="270" t="s">
        <v>26</v>
      </c>
    </row>
    <row r="11" spans="1:26">
      <c r="A11" s="406">
        <v>8</v>
      </c>
      <c r="B11" s="613" t="s">
        <v>5245</v>
      </c>
      <c r="C11" s="288" t="s">
        <v>27</v>
      </c>
      <c r="D11" s="414" t="s">
        <v>4233</v>
      </c>
      <c r="E11" s="407" t="s">
        <v>9016</v>
      </c>
      <c r="F11" s="483" t="s">
        <v>5248</v>
      </c>
      <c r="G11" s="411" t="s">
        <v>5246</v>
      </c>
      <c r="H11" s="411"/>
      <c r="I11" s="411"/>
      <c r="J11" s="411"/>
      <c r="K11" s="411"/>
      <c r="L11" s="608">
        <v>7048.4370078740167</v>
      </c>
      <c r="M11" s="409">
        <v>6709.1968503937014</v>
      </c>
      <c r="N11" s="409">
        <v>13757.633858267716</v>
      </c>
      <c r="O11" s="410" t="s">
        <v>7752</v>
      </c>
      <c r="P11" s="406">
        <v>8</v>
      </c>
      <c r="Q11" s="470" t="s">
        <v>27</v>
      </c>
      <c r="R11" s="460" t="s">
        <v>28</v>
      </c>
      <c r="S11" s="270" t="s">
        <v>7</v>
      </c>
      <c r="U11" s="471"/>
      <c r="V11" s="471"/>
      <c r="W11" s="471" t="s">
        <v>28</v>
      </c>
      <c r="X11" s="471">
        <v>1</v>
      </c>
      <c r="Z11" s="270" t="s">
        <v>29</v>
      </c>
    </row>
    <row r="12" spans="1:26">
      <c r="A12" s="406">
        <v>9</v>
      </c>
      <c r="B12" s="613" t="s">
        <v>6555</v>
      </c>
      <c r="C12" s="288" t="s">
        <v>30</v>
      </c>
      <c r="D12" s="414" t="s">
        <v>4467</v>
      </c>
      <c r="E12" s="407" t="s">
        <v>9017</v>
      </c>
      <c r="F12" s="483"/>
      <c r="G12" s="411"/>
      <c r="H12" s="411"/>
      <c r="I12" s="411"/>
      <c r="J12" s="411"/>
      <c r="K12" s="411"/>
      <c r="L12" s="608" t="s">
        <v>4884</v>
      </c>
      <c r="M12" s="409">
        <v>5425.2440944881891</v>
      </c>
      <c r="N12" s="409">
        <v>5425.2440944881891</v>
      </c>
      <c r="O12" s="410" t="s">
        <v>7574</v>
      </c>
      <c r="P12" s="406">
        <v>9</v>
      </c>
      <c r="Q12" s="470" t="s">
        <v>30</v>
      </c>
      <c r="R12" s="270" t="s">
        <v>31</v>
      </c>
      <c r="S12" s="270" t="s">
        <v>32</v>
      </c>
      <c r="U12" s="471"/>
      <c r="V12" s="471">
        <v>1</v>
      </c>
      <c r="W12" s="471" t="s">
        <v>31</v>
      </c>
      <c r="X12" s="471">
        <v>0</v>
      </c>
    </row>
    <row r="13" spans="1:26">
      <c r="A13" s="406">
        <v>10</v>
      </c>
      <c r="B13" s="613" t="s">
        <v>6729</v>
      </c>
      <c r="C13" s="288" t="s">
        <v>33</v>
      </c>
      <c r="D13" s="414" t="s">
        <v>4241</v>
      </c>
      <c r="E13" s="407" t="s">
        <v>9018</v>
      </c>
      <c r="F13" s="483" t="s">
        <v>4904</v>
      </c>
      <c r="G13" s="483" t="s">
        <v>5499</v>
      </c>
      <c r="H13" s="411" t="s">
        <v>5502</v>
      </c>
      <c r="I13" s="411"/>
      <c r="J13" s="411"/>
      <c r="K13" s="411"/>
      <c r="L13" s="608">
        <v>9644.7125984251961</v>
      </c>
      <c r="M13" s="409">
        <v>2951.7362204724413</v>
      </c>
      <c r="N13" s="409">
        <v>12596.448818897637</v>
      </c>
      <c r="O13" s="410" t="s">
        <v>7753</v>
      </c>
      <c r="P13" s="406">
        <v>10</v>
      </c>
      <c r="Q13" s="470" t="s">
        <v>33</v>
      </c>
      <c r="R13" s="270" t="s">
        <v>34</v>
      </c>
      <c r="S13" s="270" t="s">
        <v>7</v>
      </c>
      <c r="U13" s="471"/>
      <c r="V13" s="471"/>
      <c r="W13" s="471" t="s">
        <v>34</v>
      </c>
      <c r="X13" s="471">
        <v>1</v>
      </c>
    </row>
    <row r="14" spans="1:26">
      <c r="A14" s="406">
        <v>11</v>
      </c>
      <c r="B14" s="613" t="s">
        <v>6730</v>
      </c>
      <c r="C14" s="288" t="s">
        <v>35</v>
      </c>
      <c r="D14" s="414" t="s">
        <v>4242</v>
      </c>
      <c r="E14" s="407" t="s">
        <v>9019</v>
      </c>
      <c r="F14" s="483" t="s">
        <v>4903</v>
      </c>
      <c r="G14" s="483" t="s">
        <v>5497</v>
      </c>
      <c r="H14" s="411" t="s">
        <v>5495</v>
      </c>
      <c r="I14" s="411"/>
      <c r="J14" s="411"/>
      <c r="K14" s="411"/>
      <c r="L14" s="608">
        <v>9644.9960629921261</v>
      </c>
      <c r="M14" s="409">
        <v>2951.3937007874019</v>
      </c>
      <c r="N14" s="409">
        <v>12596.389763779529</v>
      </c>
      <c r="O14" s="410" t="s">
        <v>7753</v>
      </c>
      <c r="P14" s="406">
        <v>11</v>
      </c>
      <c r="Q14" s="470" t="s">
        <v>35</v>
      </c>
      <c r="R14" s="270" t="s">
        <v>36</v>
      </c>
      <c r="S14" s="270" t="s">
        <v>7</v>
      </c>
      <c r="U14" s="471"/>
      <c r="V14" s="471"/>
      <c r="W14" s="471" t="s">
        <v>36</v>
      </c>
      <c r="X14" s="471">
        <v>1</v>
      </c>
    </row>
    <row r="15" spans="1:26">
      <c r="A15" s="406">
        <v>12</v>
      </c>
      <c r="B15" s="613" t="s">
        <v>5491</v>
      </c>
      <c r="C15" s="288" t="s">
        <v>37</v>
      </c>
      <c r="D15" s="414" t="s">
        <v>4200</v>
      </c>
      <c r="E15" s="407" t="s">
        <v>9020</v>
      </c>
      <c r="F15" s="483" t="s">
        <v>4902</v>
      </c>
      <c r="G15" s="483" t="s">
        <v>5488</v>
      </c>
      <c r="H15" s="411" t="s">
        <v>5492</v>
      </c>
      <c r="I15" s="411"/>
      <c r="J15" s="411"/>
      <c r="K15" s="411"/>
      <c r="L15" s="608">
        <v>9132.3661417322837</v>
      </c>
      <c r="M15" s="409">
        <v>6219.3937007874019</v>
      </c>
      <c r="N15" s="409">
        <v>15351.759842519687</v>
      </c>
      <c r="O15" s="410" t="s">
        <v>7754</v>
      </c>
      <c r="P15" s="406">
        <v>12</v>
      </c>
      <c r="Q15" s="470" t="s">
        <v>37</v>
      </c>
      <c r="R15" s="472" t="s">
        <v>38</v>
      </c>
      <c r="S15" s="270" t="s">
        <v>7</v>
      </c>
      <c r="U15" s="471"/>
      <c r="V15" s="471"/>
      <c r="W15" s="471"/>
      <c r="X15" s="471">
        <v>1</v>
      </c>
      <c r="Z15" s="270" t="s">
        <v>39</v>
      </c>
    </row>
    <row r="16" spans="1:26">
      <c r="A16" s="406">
        <v>13</v>
      </c>
      <c r="B16" s="613" t="s">
        <v>5491</v>
      </c>
      <c r="C16" s="288" t="s">
        <v>40</v>
      </c>
      <c r="D16" s="414" t="s">
        <v>4200</v>
      </c>
      <c r="E16" s="407" t="s">
        <v>9020</v>
      </c>
      <c r="F16" s="483" t="s">
        <v>4902</v>
      </c>
      <c r="G16" s="483" t="s">
        <v>5488</v>
      </c>
      <c r="H16" s="411" t="s">
        <v>5492</v>
      </c>
      <c r="I16" s="411"/>
      <c r="J16" s="411"/>
      <c r="K16" s="411"/>
      <c r="L16" s="608">
        <v>9132.3661417322837</v>
      </c>
      <c r="M16" s="409">
        <v>6219.3937007874019</v>
      </c>
      <c r="N16" s="409">
        <v>15351.759842519687</v>
      </c>
      <c r="O16" s="410" t="s">
        <v>7754</v>
      </c>
      <c r="P16" s="406">
        <v>13</v>
      </c>
      <c r="Q16" s="470" t="s">
        <v>40</v>
      </c>
      <c r="R16" s="270" t="s">
        <v>41</v>
      </c>
      <c r="S16" s="270" t="s">
        <v>7</v>
      </c>
      <c r="U16" s="471"/>
      <c r="V16" s="471"/>
      <c r="W16" s="471" t="s">
        <v>41</v>
      </c>
      <c r="X16" s="471">
        <v>0</v>
      </c>
      <c r="Z16" s="270" t="s">
        <v>39</v>
      </c>
    </row>
    <row r="17" spans="1:26">
      <c r="A17" s="406">
        <v>14</v>
      </c>
      <c r="B17" s="613" t="s">
        <v>5491</v>
      </c>
      <c r="C17" s="288" t="s">
        <v>42</v>
      </c>
      <c r="D17" s="414" t="s">
        <v>4200</v>
      </c>
      <c r="E17" s="407" t="s">
        <v>9020</v>
      </c>
      <c r="F17" s="483" t="s">
        <v>4902</v>
      </c>
      <c r="G17" s="483" t="s">
        <v>5488</v>
      </c>
      <c r="H17" s="411" t="s">
        <v>5492</v>
      </c>
      <c r="I17" s="411"/>
      <c r="J17" s="411"/>
      <c r="K17" s="411"/>
      <c r="L17" s="608">
        <v>9132.3661417322837</v>
      </c>
      <c r="M17" s="409">
        <v>6219.3937007874019</v>
      </c>
      <c r="N17" s="409">
        <v>15351.759842519687</v>
      </c>
      <c r="O17" s="410" t="s">
        <v>7754</v>
      </c>
      <c r="P17" s="406">
        <v>14</v>
      </c>
      <c r="Q17" s="470" t="s">
        <v>42</v>
      </c>
      <c r="R17" s="270" t="s">
        <v>43</v>
      </c>
      <c r="S17" s="270" t="s">
        <v>7</v>
      </c>
      <c r="U17" s="471"/>
      <c r="V17" s="471"/>
      <c r="W17" s="471" t="s">
        <v>43</v>
      </c>
      <c r="X17" s="473">
        <v>0</v>
      </c>
      <c r="Z17" s="270" t="s">
        <v>39</v>
      </c>
    </row>
    <row r="18" spans="1:26">
      <c r="A18" s="406">
        <v>15</v>
      </c>
      <c r="B18" s="613" t="s">
        <v>5491</v>
      </c>
      <c r="C18" s="288" t="s">
        <v>44</v>
      </c>
      <c r="D18" s="414" t="s">
        <v>4200</v>
      </c>
      <c r="E18" s="407" t="s">
        <v>9020</v>
      </c>
      <c r="F18" s="483" t="s">
        <v>4902</v>
      </c>
      <c r="G18" s="483" t="s">
        <v>5488</v>
      </c>
      <c r="H18" s="411" t="s">
        <v>5492</v>
      </c>
      <c r="I18" s="411"/>
      <c r="J18" s="411"/>
      <c r="K18" s="411"/>
      <c r="L18" s="608">
        <v>9132.3661417322837</v>
      </c>
      <c r="M18" s="409">
        <v>6219.3937007874019</v>
      </c>
      <c r="N18" s="409">
        <v>15351.759842519687</v>
      </c>
      <c r="O18" s="410" t="s">
        <v>7754</v>
      </c>
      <c r="P18" s="406">
        <v>15</v>
      </c>
      <c r="Q18" s="470" t="s">
        <v>44</v>
      </c>
      <c r="R18" s="270" t="s">
        <v>45</v>
      </c>
      <c r="S18" s="270" t="s">
        <v>7</v>
      </c>
      <c r="U18" s="471"/>
      <c r="V18" s="471"/>
      <c r="W18" s="471" t="s">
        <v>45</v>
      </c>
      <c r="X18" s="473">
        <v>0</v>
      </c>
      <c r="Z18" s="270" t="s">
        <v>39</v>
      </c>
    </row>
    <row r="19" spans="1:26">
      <c r="A19" s="406">
        <v>16</v>
      </c>
      <c r="B19" s="613" t="s">
        <v>5491</v>
      </c>
      <c r="C19" s="288" t="s">
        <v>46</v>
      </c>
      <c r="D19" s="414" t="s">
        <v>4200</v>
      </c>
      <c r="E19" s="407" t="s">
        <v>9020</v>
      </c>
      <c r="F19" s="483" t="s">
        <v>4902</v>
      </c>
      <c r="G19" s="483" t="s">
        <v>5488</v>
      </c>
      <c r="H19" s="411" t="s">
        <v>5492</v>
      </c>
      <c r="I19" s="411"/>
      <c r="J19" s="411"/>
      <c r="K19" s="411"/>
      <c r="L19" s="608">
        <v>9132.3661417322837</v>
      </c>
      <c r="M19" s="409">
        <v>6219.3937007874019</v>
      </c>
      <c r="N19" s="409">
        <v>15351.759842519687</v>
      </c>
      <c r="O19" s="410" t="s">
        <v>7754</v>
      </c>
      <c r="P19" s="406">
        <v>16</v>
      </c>
      <c r="Q19" s="470" t="s">
        <v>46</v>
      </c>
      <c r="R19" s="270" t="s">
        <v>47</v>
      </c>
      <c r="S19" s="270" t="s">
        <v>7</v>
      </c>
      <c r="U19" s="471"/>
      <c r="V19" s="471"/>
      <c r="W19" s="471" t="s">
        <v>47</v>
      </c>
      <c r="X19" s="473">
        <v>0</v>
      </c>
      <c r="Z19" s="270" t="s">
        <v>39</v>
      </c>
    </row>
    <row r="20" spans="1:26">
      <c r="A20" s="406">
        <v>17</v>
      </c>
      <c r="B20" s="613" t="s">
        <v>5491</v>
      </c>
      <c r="C20" s="288" t="s">
        <v>48</v>
      </c>
      <c r="D20" s="414" t="s">
        <v>4200</v>
      </c>
      <c r="E20" s="407" t="s">
        <v>9020</v>
      </c>
      <c r="F20" s="483" t="s">
        <v>4902</v>
      </c>
      <c r="G20" s="483" t="s">
        <v>5488</v>
      </c>
      <c r="H20" s="411" t="s">
        <v>5492</v>
      </c>
      <c r="I20" s="411"/>
      <c r="J20" s="411"/>
      <c r="K20" s="411"/>
      <c r="L20" s="608">
        <v>9132.3661417322837</v>
      </c>
      <c r="M20" s="409">
        <v>6219.3937007874019</v>
      </c>
      <c r="N20" s="409">
        <v>15351.759842519687</v>
      </c>
      <c r="O20" s="410" t="s">
        <v>7754</v>
      </c>
      <c r="P20" s="406">
        <v>17</v>
      </c>
      <c r="Q20" s="470" t="s">
        <v>48</v>
      </c>
      <c r="R20" s="270" t="s">
        <v>49</v>
      </c>
      <c r="S20" s="270" t="s">
        <v>7</v>
      </c>
      <c r="U20" s="471"/>
      <c r="V20" s="471"/>
      <c r="W20" s="471" t="s">
        <v>49</v>
      </c>
      <c r="X20" s="473">
        <v>0</v>
      </c>
      <c r="Z20" s="270" t="s">
        <v>39</v>
      </c>
    </row>
    <row r="21" spans="1:26">
      <c r="A21" s="406">
        <v>18</v>
      </c>
      <c r="B21" s="613" t="s">
        <v>5483</v>
      </c>
      <c r="C21" s="288" t="s">
        <v>50</v>
      </c>
      <c r="D21" s="414" t="s">
        <v>4199</v>
      </c>
      <c r="E21" s="407" t="s">
        <v>9021</v>
      </c>
      <c r="F21" s="483" t="s">
        <v>4901</v>
      </c>
      <c r="G21" s="483" t="s">
        <v>5486</v>
      </c>
      <c r="H21" s="411" t="s">
        <v>5484</v>
      </c>
      <c r="I21" s="411"/>
      <c r="J21" s="411"/>
      <c r="K21" s="411"/>
      <c r="L21" s="608">
        <v>9133.6338582677181</v>
      </c>
      <c r="M21" s="409">
        <v>6219.8779527559063</v>
      </c>
      <c r="N21" s="409">
        <v>15353.511811023622</v>
      </c>
      <c r="O21" s="410" t="s">
        <v>7755</v>
      </c>
      <c r="P21" s="406">
        <v>18</v>
      </c>
      <c r="Q21" s="470" t="s">
        <v>50</v>
      </c>
      <c r="R21" s="472" t="s">
        <v>51</v>
      </c>
      <c r="S21" s="270" t="s">
        <v>7</v>
      </c>
      <c r="U21" s="471"/>
      <c r="V21" s="471"/>
      <c r="W21" s="471" t="s">
        <v>52</v>
      </c>
      <c r="X21" s="471">
        <v>1</v>
      </c>
      <c r="Z21" s="270" t="s">
        <v>53</v>
      </c>
    </row>
    <row r="22" spans="1:26">
      <c r="A22" s="406">
        <v>19</v>
      </c>
      <c r="B22" s="613" t="s">
        <v>5483</v>
      </c>
      <c r="C22" s="288" t="s">
        <v>54</v>
      </c>
      <c r="D22" s="414" t="s">
        <v>4199</v>
      </c>
      <c r="E22" s="407" t="s">
        <v>9021</v>
      </c>
      <c r="F22" s="483" t="s">
        <v>4901</v>
      </c>
      <c r="G22" s="483" t="s">
        <v>5486</v>
      </c>
      <c r="H22" s="411" t="s">
        <v>5484</v>
      </c>
      <c r="I22" s="411"/>
      <c r="J22" s="411"/>
      <c r="K22" s="411"/>
      <c r="L22" s="608">
        <v>9133.6338582677181</v>
      </c>
      <c r="M22" s="409">
        <v>6219.8779527559063</v>
      </c>
      <c r="N22" s="409">
        <v>15353.511811023622</v>
      </c>
      <c r="O22" s="410" t="s">
        <v>7755</v>
      </c>
      <c r="P22" s="406">
        <v>19</v>
      </c>
      <c r="Q22" s="470" t="s">
        <v>54</v>
      </c>
      <c r="R22" s="270" t="s">
        <v>52</v>
      </c>
      <c r="S22" s="270" t="s">
        <v>7</v>
      </c>
      <c r="U22" s="471"/>
      <c r="V22" s="471"/>
      <c r="W22" s="471" t="s">
        <v>7512</v>
      </c>
      <c r="X22" s="473">
        <v>0</v>
      </c>
      <c r="Z22" s="270" t="s">
        <v>53</v>
      </c>
    </row>
    <row r="23" spans="1:26">
      <c r="A23" s="406">
        <v>20</v>
      </c>
      <c r="B23" s="613" t="s">
        <v>5483</v>
      </c>
      <c r="C23" s="288" t="s">
        <v>55</v>
      </c>
      <c r="D23" s="414" t="s">
        <v>4199</v>
      </c>
      <c r="E23" s="407" t="s">
        <v>9021</v>
      </c>
      <c r="F23" s="483" t="s">
        <v>4901</v>
      </c>
      <c r="G23" s="483" t="s">
        <v>5486</v>
      </c>
      <c r="H23" s="411" t="s">
        <v>5484</v>
      </c>
      <c r="I23" s="411"/>
      <c r="J23" s="411"/>
      <c r="K23" s="411"/>
      <c r="L23" s="608">
        <v>9133.6338582677181</v>
      </c>
      <c r="M23" s="409">
        <v>6219.8779527559063</v>
      </c>
      <c r="N23" s="409">
        <v>15353.511811023622</v>
      </c>
      <c r="O23" s="410" t="s">
        <v>7755</v>
      </c>
      <c r="P23" s="406">
        <v>20</v>
      </c>
      <c r="Q23" s="470" t="s">
        <v>55</v>
      </c>
      <c r="R23" s="270" t="s">
        <v>56</v>
      </c>
      <c r="S23" s="270" t="s">
        <v>7</v>
      </c>
      <c r="U23" s="471"/>
      <c r="V23" s="471"/>
      <c r="W23" s="471" t="s">
        <v>57</v>
      </c>
      <c r="X23" s="473">
        <v>0</v>
      </c>
      <c r="Z23" s="270" t="s">
        <v>53</v>
      </c>
    </row>
    <row r="24" spans="1:26">
      <c r="A24" s="406">
        <v>21</v>
      </c>
      <c r="B24" s="613" t="s">
        <v>5483</v>
      </c>
      <c r="C24" s="288" t="s">
        <v>58</v>
      </c>
      <c r="D24" s="414" t="s">
        <v>4199</v>
      </c>
      <c r="E24" s="407" t="s">
        <v>9021</v>
      </c>
      <c r="F24" s="483" t="s">
        <v>4901</v>
      </c>
      <c r="G24" s="483" t="s">
        <v>5486</v>
      </c>
      <c r="H24" s="411" t="s">
        <v>5484</v>
      </c>
      <c r="I24" s="411"/>
      <c r="J24" s="411"/>
      <c r="K24" s="411"/>
      <c r="L24" s="608">
        <v>9133.6338582677181</v>
      </c>
      <c r="M24" s="409">
        <v>6219.8779527559063</v>
      </c>
      <c r="N24" s="409">
        <v>15353.511811023622</v>
      </c>
      <c r="O24" s="410" t="s">
        <v>7755</v>
      </c>
      <c r="P24" s="406">
        <v>21</v>
      </c>
      <c r="Q24" s="470" t="s">
        <v>58</v>
      </c>
      <c r="R24" s="270" t="s">
        <v>57</v>
      </c>
      <c r="S24" s="270" t="s">
        <v>7</v>
      </c>
      <c r="U24" s="471"/>
      <c r="V24" s="471"/>
      <c r="W24" s="471" t="s">
        <v>59</v>
      </c>
      <c r="X24" s="473">
        <v>0</v>
      </c>
      <c r="Z24" s="270" t="s">
        <v>53</v>
      </c>
    </row>
    <row r="25" spans="1:26">
      <c r="A25" s="406">
        <v>22</v>
      </c>
      <c r="B25" s="613" t="s">
        <v>5483</v>
      </c>
      <c r="C25" s="288" t="s">
        <v>60</v>
      </c>
      <c r="D25" s="414" t="s">
        <v>4199</v>
      </c>
      <c r="E25" s="407" t="s">
        <v>9021</v>
      </c>
      <c r="F25" s="483" t="s">
        <v>4901</v>
      </c>
      <c r="G25" s="483" t="s">
        <v>5486</v>
      </c>
      <c r="H25" s="411" t="s">
        <v>5484</v>
      </c>
      <c r="I25" s="411"/>
      <c r="J25" s="411"/>
      <c r="K25" s="411"/>
      <c r="L25" s="608">
        <v>9133.6338582677181</v>
      </c>
      <c r="M25" s="409">
        <v>6219.8779527559063</v>
      </c>
      <c r="N25" s="409">
        <v>15353.511811023622</v>
      </c>
      <c r="O25" s="410" t="s">
        <v>7755</v>
      </c>
      <c r="P25" s="406">
        <v>22</v>
      </c>
      <c r="Q25" s="470" t="s">
        <v>60</v>
      </c>
      <c r="R25" s="270" t="s">
        <v>59</v>
      </c>
      <c r="S25" s="270" t="s">
        <v>7</v>
      </c>
      <c r="U25" s="471"/>
      <c r="V25" s="471"/>
      <c r="W25" s="471" t="s">
        <v>61</v>
      </c>
      <c r="X25" s="473">
        <v>0</v>
      </c>
      <c r="Z25" s="270" t="s">
        <v>53</v>
      </c>
    </row>
    <row r="26" spans="1:26">
      <c r="A26" s="406">
        <v>23</v>
      </c>
      <c r="B26" s="613" t="s">
        <v>5483</v>
      </c>
      <c r="C26" s="288" t="s">
        <v>62</v>
      </c>
      <c r="D26" s="414" t="s">
        <v>4199</v>
      </c>
      <c r="E26" s="407" t="s">
        <v>9021</v>
      </c>
      <c r="F26" s="483" t="s">
        <v>4901</v>
      </c>
      <c r="G26" s="483" t="s">
        <v>5486</v>
      </c>
      <c r="H26" s="411" t="s">
        <v>5484</v>
      </c>
      <c r="I26" s="411"/>
      <c r="J26" s="411"/>
      <c r="K26" s="411"/>
      <c r="L26" s="608">
        <v>9133.6338582677181</v>
      </c>
      <c r="M26" s="409">
        <v>6219.8779527559063</v>
      </c>
      <c r="N26" s="409">
        <v>15353.511811023622</v>
      </c>
      <c r="O26" s="410" t="s">
        <v>7755</v>
      </c>
      <c r="P26" s="406">
        <v>23</v>
      </c>
      <c r="Q26" s="470" t="s">
        <v>62</v>
      </c>
      <c r="R26" s="270" t="s">
        <v>61</v>
      </c>
      <c r="S26" s="270" t="s">
        <v>7</v>
      </c>
      <c r="U26" s="471"/>
      <c r="V26" s="471"/>
      <c r="W26" s="471" t="s">
        <v>63</v>
      </c>
      <c r="X26" s="471">
        <v>0</v>
      </c>
      <c r="Z26" s="270" t="s">
        <v>53</v>
      </c>
    </row>
    <row r="27" spans="1:26">
      <c r="A27" s="406">
        <v>24</v>
      </c>
      <c r="B27" s="613" t="s">
        <v>6556</v>
      </c>
      <c r="C27" s="288" t="s">
        <v>64</v>
      </c>
      <c r="D27" s="414" t="s">
        <v>4497</v>
      </c>
      <c r="E27" s="407" t="s">
        <v>9022</v>
      </c>
      <c r="F27" s="483"/>
      <c r="G27" s="483"/>
      <c r="H27" s="411"/>
      <c r="I27" s="411"/>
      <c r="J27" s="411"/>
      <c r="K27" s="411"/>
      <c r="L27" s="608" t="s">
        <v>4884</v>
      </c>
      <c r="M27" s="409">
        <v>6911</v>
      </c>
      <c r="N27" s="409">
        <v>6911</v>
      </c>
      <c r="O27" s="410" t="s">
        <v>7569</v>
      </c>
      <c r="P27" s="406">
        <v>24</v>
      </c>
      <c r="Q27" s="470" t="s">
        <v>64</v>
      </c>
      <c r="R27" s="270" t="s">
        <v>63</v>
      </c>
      <c r="S27" s="270" t="s">
        <v>32</v>
      </c>
      <c r="U27" s="471"/>
      <c r="V27" s="471">
        <v>1</v>
      </c>
      <c r="W27" s="471" t="s">
        <v>65</v>
      </c>
      <c r="X27" s="471">
        <v>0</v>
      </c>
    </row>
    <row r="28" spans="1:26">
      <c r="A28" s="406">
        <v>25</v>
      </c>
      <c r="B28" s="613" t="s">
        <v>6557</v>
      </c>
      <c r="C28" s="288" t="s">
        <v>66</v>
      </c>
      <c r="D28" s="414" t="s">
        <v>4468</v>
      </c>
      <c r="E28" s="407" t="s">
        <v>9023</v>
      </c>
      <c r="F28" s="483"/>
      <c r="G28" s="483"/>
      <c r="H28" s="411"/>
      <c r="I28" s="411"/>
      <c r="J28" s="411"/>
      <c r="K28" s="411"/>
      <c r="L28" s="608" t="s">
        <v>4884</v>
      </c>
      <c r="M28" s="409">
        <v>6157.78346456693</v>
      </c>
      <c r="N28" s="409">
        <v>6157.78346456693</v>
      </c>
      <c r="O28" s="410" t="s">
        <v>7574</v>
      </c>
      <c r="P28" s="406">
        <v>25</v>
      </c>
      <c r="Q28" s="470" t="s">
        <v>66</v>
      </c>
      <c r="R28" s="270" t="s">
        <v>65</v>
      </c>
      <c r="S28" s="270" t="s">
        <v>32</v>
      </c>
      <c r="U28" s="471"/>
      <c r="V28" s="471">
        <v>1</v>
      </c>
      <c r="W28" s="471"/>
      <c r="X28" s="471"/>
    </row>
    <row r="29" spans="1:26">
      <c r="A29" s="406">
        <v>26</v>
      </c>
      <c r="B29" s="613" t="s">
        <v>7020</v>
      </c>
      <c r="C29" s="288" t="s">
        <v>67</v>
      </c>
      <c r="D29" s="414" t="s">
        <v>4884</v>
      </c>
      <c r="E29" s="407"/>
      <c r="F29" s="483"/>
      <c r="G29" s="483"/>
      <c r="H29" s="411"/>
      <c r="I29" s="411"/>
      <c r="J29" s="411"/>
      <c r="K29" s="411"/>
      <c r="L29" s="608" t="s">
        <v>4884</v>
      </c>
      <c r="M29" s="409" t="s">
        <v>4884</v>
      </c>
      <c r="N29" s="409" t="s">
        <v>4884</v>
      </c>
      <c r="O29" s="410" t="s">
        <v>4884</v>
      </c>
      <c r="P29" s="406">
        <v>26</v>
      </c>
      <c r="Q29" s="470" t="s">
        <v>67</v>
      </c>
      <c r="R29" s="474" t="s">
        <v>68</v>
      </c>
      <c r="S29" s="270" t="s">
        <v>716</v>
      </c>
      <c r="U29" s="466">
        <v>0</v>
      </c>
      <c r="V29" s="471">
        <v>0</v>
      </c>
      <c r="W29" s="471"/>
      <c r="X29" s="471"/>
      <c r="Z29" s="270" t="s">
        <v>4886</v>
      </c>
    </row>
    <row r="30" spans="1:26">
      <c r="A30" s="406">
        <v>27</v>
      </c>
      <c r="B30" s="613" t="s">
        <v>7020</v>
      </c>
      <c r="C30" s="288" t="s">
        <v>69</v>
      </c>
      <c r="D30" s="414" t="s">
        <v>4884</v>
      </c>
      <c r="E30" s="407"/>
      <c r="F30" s="483"/>
      <c r="G30" s="483"/>
      <c r="H30" s="411"/>
      <c r="I30" s="411"/>
      <c r="J30" s="411"/>
      <c r="K30" s="411"/>
      <c r="L30" s="608" t="s">
        <v>4884</v>
      </c>
      <c r="M30" s="409" t="s">
        <v>4884</v>
      </c>
      <c r="N30" s="409" t="s">
        <v>4884</v>
      </c>
      <c r="O30" s="410" t="s">
        <v>4884</v>
      </c>
      <c r="P30" s="406">
        <v>27</v>
      </c>
      <c r="Q30" s="470" t="s">
        <v>69</v>
      </c>
      <c r="R30" s="475" t="s">
        <v>70</v>
      </c>
      <c r="S30" s="270" t="s">
        <v>716</v>
      </c>
      <c r="U30" s="471"/>
      <c r="V30" s="471">
        <v>0</v>
      </c>
      <c r="W30" s="471"/>
      <c r="X30" s="471"/>
      <c r="Z30" s="270" t="s">
        <v>4886</v>
      </c>
    </row>
    <row r="31" spans="1:26">
      <c r="A31" s="406">
        <v>28</v>
      </c>
      <c r="B31" s="613" t="s">
        <v>7020</v>
      </c>
      <c r="C31" s="288" t="s">
        <v>71</v>
      </c>
      <c r="D31" s="414" t="s">
        <v>4884</v>
      </c>
      <c r="E31" s="407"/>
      <c r="F31" s="483"/>
      <c r="G31" s="483"/>
      <c r="H31" s="411"/>
      <c r="I31" s="411"/>
      <c r="J31" s="411"/>
      <c r="K31" s="411"/>
      <c r="L31" s="608" t="s">
        <v>4884</v>
      </c>
      <c r="M31" s="409" t="s">
        <v>4884</v>
      </c>
      <c r="N31" s="409" t="s">
        <v>4884</v>
      </c>
      <c r="O31" s="410" t="s">
        <v>4884</v>
      </c>
      <c r="P31" s="406">
        <v>28</v>
      </c>
      <c r="Q31" s="470" t="s">
        <v>71</v>
      </c>
      <c r="R31" s="475" t="s">
        <v>72</v>
      </c>
      <c r="S31" s="270" t="s">
        <v>716</v>
      </c>
      <c r="U31" s="471"/>
      <c r="V31" s="471">
        <v>0</v>
      </c>
      <c r="W31" s="471"/>
      <c r="X31" s="471"/>
      <c r="Z31" s="270" t="s">
        <v>4886</v>
      </c>
    </row>
    <row r="32" spans="1:26">
      <c r="A32" s="406">
        <v>29</v>
      </c>
      <c r="B32" s="613" t="s">
        <v>6630</v>
      </c>
      <c r="C32" s="288" t="s">
        <v>73</v>
      </c>
      <c r="D32" s="414" t="s">
        <v>4417</v>
      </c>
      <c r="E32" s="407" t="s">
        <v>9024</v>
      </c>
      <c r="F32" s="483" t="s">
        <v>6742</v>
      </c>
      <c r="G32" s="483" t="s">
        <v>6741</v>
      </c>
      <c r="H32" s="411" t="s">
        <v>6743</v>
      </c>
      <c r="I32" s="411"/>
      <c r="J32" s="411"/>
      <c r="K32" s="411"/>
      <c r="L32" s="608">
        <v>9022.4094488188985</v>
      </c>
      <c r="M32" s="409">
        <v>12189.854330708662</v>
      </c>
      <c r="N32" s="409">
        <v>21212.263779527562</v>
      </c>
      <c r="O32" s="410" t="s">
        <v>7756</v>
      </c>
      <c r="P32" s="406">
        <v>29</v>
      </c>
      <c r="Q32" s="470" t="s">
        <v>73</v>
      </c>
      <c r="R32" s="460" t="s">
        <v>74</v>
      </c>
      <c r="S32" s="270" t="s">
        <v>32</v>
      </c>
      <c r="U32" s="471"/>
      <c r="V32" s="471">
        <v>1</v>
      </c>
      <c r="W32" s="471" t="s">
        <v>74</v>
      </c>
      <c r="X32" s="471">
        <v>0</v>
      </c>
    </row>
    <row r="33" spans="1:26">
      <c r="A33" s="406">
        <v>30</v>
      </c>
      <c r="B33" s="613" t="s">
        <v>6631</v>
      </c>
      <c r="C33" s="288" t="s">
        <v>75</v>
      </c>
      <c r="D33" s="414" t="s">
        <v>4463</v>
      </c>
      <c r="E33" s="407" t="s">
        <v>9025</v>
      </c>
      <c r="F33" s="483" t="s">
        <v>6745</v>
      </c>
      <c r="G33" s="483" t="s">
        <v>6744</v>
      </c>
      <c r="H33" s="411" t="s">
        <v>6746</v>
      </c>
      <c r="I33" s="411"/>
      <c r="J33" s="411"/>
      <c r="K33" s="411"/>
      <c r="L33" s="608">
        <v>9028.0511811023625</v>
      </c>
      <c r="M33" s="409">
        <v>12171.04724409449</v>
      </c>
      <c r="N33" s="409">
        <v>21199.098425196855</v>
      </c>
      <c r="O33" s="410" t="s">
        <v>7757</v>
      </c>
      <c r="P33" s="406">
        <v>30</v>
      </c>
      <c r="Q33" s="470" t="s">
        <v>75</v>
      </c>
      <c r="R33" s="460" t="s">
        <v>76</v>
      </c>
      <c r="S33" s="270" t="s">
        <v>32</v>
      </c>
      <c r="U33" s="471"/>
      <c r="V33" s="471">
        <v>1</v>
      </c>
      <c r="W33" s="471" t="s">
        <v>76</v>
      </c>
      <c r="X33" s="471">
        <v>0</v>
      </c>
    </row>
    <row r="34" spans="1:26">
      <c r="A34" s="406">
        <v>31</v>
      </c>
      <c r="B34" s="613" t="s">
        <v>6632</v>
      </c>
      <c r="C34" s="288" t="s">
        <v>77</v>
      </c>
      <c r="D34" s="414" t="s">
        <v>4465</v>
      </c>
      <c r="E34" s="407" t="s">
        <v>9026</v>
      </c>
      <c r="F34" s="483" t="s">
        <v>6727</v>
      </c>
      <c r="G34" s="483" t="s">
        <v>6735</v>
      </c>
      <c r="H34" s="411" t="s">
        <v>6733</v>
      </c>
      <c r="I34" s="411"/>
      <c r="J34" s="411"/>
      <c r="K34" s="411"/>
      <c r="L34" s="608">
        <v>9026.2007874015744</v>
      </c>
      <c r="M34" s="409">
        <v>12187.586614173229</v>
      </c>
      <c r="N34" s="409">
        <v>21213.787401574802</v>
      </c>
      <c r="O34" s="410" t="s">
        <v>7758</v>
      </c>
      <c r="P34" s="406">
        <v>31</v>
      </c>
      <c r="Q34" s="470" t="s">
        <v>77</v>
      </c>
      <c r="R34" s="460" t="s">
        <v>78</v>
      </c>
      <c r="S34" s="270" t="s">
        <v>32</v>
      </c>
      <c r="U34" s="471"/>
      <c r="V34" s="471">
        <v>1</v>
      </c>
      <c r="W34" s="471" t="s">
        <v>78</v>
      </c>
      <c r="X34" s="471">
        <v>0</v>
      </c>
    </row>
    <row r="35" spans="1:26">
      <c r="A35" s="406">
        <v>32</v>
      </c>
      <c r="B35" s="613" t="s">
        <v>6633</v>
      </c>
      <c r="C35" s="288" t="s">
        <v>79</v>
      </c>
      <c r="D35" s="414" t="s">
        <v>4460</v>
      </c>
      <c r="E35" s="407" t="s">
        <v>9027</v>
      </c>
      <c r="F35" s="483" t="s">
        <v>6748</v>
      </c>
      <c r="G35" s="483" t="s">
        <v>6747</v>
      </c>
      <c r="H35" s="411" t="s">
        <v>6750</v>
      </c>
      <c r="I35" s="411"/>
      <c r="J35" s="411"/>
      <c r="K35" s="411"/>
      <c r="L35" s="608">
        <v>9048.3818897637793</v>
      </c>
      <c r="M35" s="409">
        <v>12173.318897637795</v>
      </c>
      <c r="N35" s="409">
        <v>21221.700787401576</v>
      </c>
      <c r="O35" s="410" t="s">
        <v>7756</v>
      </c>
      <c r="P35" s="406">
        <v>32</v>
      </c>
      <c r="Q35" s="470" t="s">
        <v>79</v>
      </c>
      <c r="R35" s="460" t="s">
        <v>80</v>
      </c>
      <c r="S35" s="270" t="s">
        <v>32</v>
      </c>
      <c r="U35" s="471"/>
      <c r="V35" s="471">
        <v>1</v>
      </c>
      <c r="W35" s="471" t="s">
        <v>80</v>
      </c>
      <c r="X35" s="471">
        <v>0</v>
      </c>
    </row>
    <row r="36" spans="1:26">
      <c r="A36" s="406">
        <v>33</v>
      </c>
      <c r="B36" s="613" t="s">
        <v>6749</v>
      </c>
      <c r="C36" s="288" t="s">
        <v>81</v>
      </c>
      <c r="D36" s="414" t="s">
        <v>4462</v>
      </c>
      <c r="E36" s="407" t="s">
        <v>9028</v>
      </c>
      <c r="F36" s="483" t="s">
        <v>6770</v>
      </c>
      <c r="G36" s="483" t="s">
        <v>6762</v>
      </c>
      <c r="H36" s="411" t="s">
        <v>6726</v>
      </c>
      <c r="I36" s="411"/>
      <c r="J36" s="411"/>
      <c r="K36" s="411"/>
      <c r="L36" s="608">
        <v>8850.3346456692907</v>
      </c>
      <c r="M36" s="409">
        <v>12383.311023622047</v>
      </c>
      <c r="N36" s="409">
        <v>21233.645669291334</v>
      </c>
      <c r="O36" s="410" t="s">
        <v>7759</v>
      </c>
      <c r="P36" s="406">
        <v>33</v>
      </c>
      <c r="Q36" s="470" t="s">
        <v>81</v>
      </c>
      <c r="R36" s="460" t="s">
        <v>4887</v>
      </c>
      <c r="S36" s="270" t="s">
        <v>32</v>
      </c>
      <c r="U36" s="471"/>
      <c r="V36" s="471">
        <v>1</v>
      </c>
      <c r="W36" s="471" t="s">
        <v>4887</v>
      </c>
      <c r="X36" s="471">
        <v>0</v>
      </c>
    </row>
    <row r="37" spans="1:26">
      <c r="A37" s="406">
        <v>34</v>
      </c>
      <c r="B37" s="613" t="s">
        <v>6558</v>
      </c>
      <c r="C37" s="288" t="s">
        <v>82</v>
      </c>
      <c r="D37" s="414" t="s">
        <v>4415</v>
      </c>
      <c r="E37" s="407" t="s">
        <v>9029</v>
      </c>
      <c r="F37" s="483"/>
      <c r="G37" s="483"/>
      <c r="H37" s="411"/>
      <c r="I37" s="411"/>
      <c r="J37" s="411"/>
      <c r="K37" s="411"/>
      <c r="L37" s="608" t="s">
        <v>4884</v>
      </c>
      <c r="M37" s="409">
        <v>9064.3425196850385</v>
      </c>
      <c r="N37" s="409">
        <v>9064.3425196850385</v>
      </c>
      <c r="O37" s="410" t="s">
        <v>7570</v>
      </c>
      <c r="P37" s="406">
        <v>34</v>
      </c>
      <c r="Q37" s="470" t="s">
        <v>82</v>
      </c>
      <c r="R37" s="460" t="s">
        <v>83</v>
      </c>
      <c r="S37" s="270" t="s">
        <v>32</v>
      </c>
      <c r="U37" s="471"/>
      <c r="V37" s="471">
        <v>1</v>
      </c>
      <c r="W37" s="471" t="s">
        <v>83</v>
      </c>
      <c r="X37" s="471">
        <v>0</v>
      </c>
    </row>
    <row r="38" spans="1:26">
      <c r="A38" s="406">
        <v>35</v>
      </c>
      <c r="B38" s="613" t="s">
        <v>6559</v>
      </c>
      <c r="C38" s="288" t="s">
        <v>84</v>
      </c>
      <c r="D38" s="414" t="s">
        <v>4416</v>
      </c>
      <c r="E38" s="407" t="s">
        <v>9030</v>
      </c>
      <c r="F38" s="483"/>
      <c r="G38" s="483"/>
      <c r="H38" s="411"/>
      <c r="I38" s="411"/>
      <c r="J38" s="411"/>
      <c r="K38" s="411"/>
      <c r="L38" s="608" t="s">
        <v>4884</v>
      </c>
      <c r="M38" s="409">
        <v>8865.7204724409457</v>
      </c>
      <c r="N38" s="409">
        <v>8865.7204724409457</v>
      </c>
      <c r="O38" s="410" t="s">
        <v>7570</v>
      </c>
      <c r="P38" s="406">
        <v>35</v>
      </c>
      <c r="Q38" s="470" t="s">
        <v>84</v>
      </c>
      <c r="R38" s="460" t="s">
        <v>85</v>
      </c>
      <c r="S38" s="270" t="s">
        <v>32</v>
      </c>
      <c r="U38" s="471"/>
      <c r="V38" s="471">
        <v>1</v>
      </c>
      <c r="W38" s="471" t="s">
        <v>85</v>
      </c>
      <c r="X38" s="471">
        <v>0</v>
      </c>
    </row>
    <row r="39" spans="1:26">
      <c r="A39" s="406">
        <v>36</v>
      </c>
      <c r="B39" s="613" t="s">
        <v>4945</v>
      </c>
      <c r="C39" s="288" t="s">
        <v>86</v>
      </c>
      <c r="D39" s="414" t="s">
        <v>4286</v>
      </c>
      <c r="E39" s="407" t="s">
        <v>9031</v>
      </c>
      <c r="F39" s="483" t="s">
        <v>4944</v>
      </c>
      <c r="G39" s="483" t="s">
        <v>4947</v>
      </c>
      <c r="H39" s="411" t="s">
        <v>4946</v>
      </c>
      <c r="I39" s="411"/>
      <c r="J39" s="411"/>
      <c r="K39" s="411"/>
      <c r="L39" s="608">
        <v>4525.8267716535438</v>
      </c>
      <c r="M39" s="409">
        <v>1223.5944881889764</v>
      </c>
      <c r="N39" s="409">
        <v>5749.4212598425202</v>
      </c>
      <c r="O39" s="410" t="s">
        <v>7760</v>
      </c>
      <c r="P39" s="406">
        <v>36</v>
      </c>
      <c r="Q39" s="470" t="s">
        <v>86</v>
      </c>
      <c r="R39" s="476" t="s">
        <v>87</v>
      </c>
      <c r="S39" s="270" t="s">
        <v>32</v>
      </c>
      <c r="U39" s="466">
        <v>1</v>
      </c>
      <c r="V39" s="471"/>
      <c r="W39" s="471" t="s">
        <v>87</v>
      </c>
      <c r="X39" s="471">
        <v>0</v>
      </c>
    </row>
    <row r="40" spans="1:26">
      <c r="A40" s="406">
        <v>37</v>
      </c>
      <c r="B40" s="613" t="s">
        <v>6246</v>
      </c>
      <c r="C40" s="288" t="s">
        <v>88</v>
      </c>
      <c r="D40" s="414" t="s">
        <v>4232</v>
      </c>
      <c r="E40" s="407" t="s">
        <v>9032</v>
      </c>
      <c r="F40" s="483"/>
      <c r="G40" s="411"/>
      <c r="H40" s="411"/>
      <c r="I40" s="411"/>
      <c r="J40" s="411"/>
      <c r="K40" s="411"/>
      <c r="L40" s="608" t="s">
        <v>4884</v>
      </c>
      <c r="M40" s="409">
        <v>5149.3464566929133</v>
      </c>
      <c r="N40" s="409">
        <v>5149.3464566929133</v>
      </c>
      <c r="O40" s="410" t="s">
        <v>7575</v>
      </c>
      <c r="P40" s="406">
        <v>37</v>
      </c>
      <c r="Q40" s="470" t="s">
        <v>88</v>
      </c>
      <c r="R40" s="460" t="s">
        <v>89</v>
      </c>
      <c r="S40" s="270" t="s">
        <v>7</v>
      </c>
      <c r="U40" s="471"/>
      <c r="V40" s="471"/>
      <c r="W40" s="471" t="s">
        <v>89</v>
      </c>
      <c r="X40" s="471">
        <v>1</v>
      </c>
    </row>
    <row r="41" spans="1:26">
      <c r="A41" s="406">
        <v>38</v>
      </c>
      <c r="B41" s="613" t="s">
        <v>5481</v>
      </c>
      <c r="C41" s="288" t="s">
        <v>90</v>
      </c>
      <c r="D41" s="414" t="s">
        <v>3733</v>
      </c>
      <c r="E41" s="407" t="s">
        <v>9033</v>
      </c>
      <c r="F41" s="483" t="s">
        <v>5479</v>
      </c>
      <c r="G41" s="411" t="s">
        <v>5482</v>
      </c>
      <c r="H41" s="411"/>
      <c r="I41" s="411"/>
      <c r="J41" s="411"/>
      <c r="K41" s="411"/>
      <c r="L41" s="608">
        <v>13188.913385826772</v>
      </c>
      <c r="M41" s="409">
        <v>5078.322834645669</v>
      </c>
      <c r="N41" s="409">
        <v>18267.236220472441</v>
      </c>
      <c r="O41" s="410" t="s">
        <v>7761</v>
      </c>
      <c r="P41" s="406">
        <v>38</v>
      </c>
      <c r="Q41" s="470" t="s">
        <v>90</v>
      </c>
      <c r="R41" s="460" t="s">
        <v>91</v>
      </c>
      <c r="S41" s="270" t="s">
        <v>7</v>
      </c>
      <c r="U41" s="471"/>
      <c r="V41" s="471"/>
      <c r="W41" s="471" t="s">
        <v>91</v>
      </c>
      <c r="X41" s="471">
        <v>1</v>
      </c>
      <c r="Z41" s="270" t="s">
        <v>92</v>
      </c>
    </row>
    <row r="42" spans="1:26">
      <c r="A42" s="406">
        <v>39</v>
      </c>
      <c r="B42" s="613" t="s">
        <v>5481</v>
      </c>
      <c r="C42" s="288" t="s">
        <v>93</v>
      </c>
      <c r="D42" s="414" t="s">
        <v>3733</v>
      </c>
      <c r="E42" s="407" t="s">
        <v>9033</v>
      </c>
      <c r="F42" s="483" t="s">
        <v>5479</v>
      </c>
      <c r="G42" s="411" t="s">
        <v>5482</v>
      </c>
      <c r="H42" s="411"/>
      <c r="I42" s="411"/>
      <c r="J42" s="411"/>
      <c r="K42" s="411"/>
      <c r="L42" s="608">
        <v>13188.913385826772</v>
      </c>
      <c r="M42" s="409">
        <v>5078.322834645669</v>
      </c>
      <c r="N42" s="409">
        <v>18267.236220472441</v>
      </c>
      <c r="O42" s="410" t="s">
        <v>7761</v>
      </c>
      <c r="P42" s="406">
        <v>39</v>
      </c>
      <c r="Q42" s="470" t="s">
        <v>93</v>
      </c>
      <c r="R42" s="460" t="s">
        <v>94</v>
      </c>
      <c r="S42" s="270" t="s">
        <v>7</v>
      </c>
      <c r="U42" s="471"/>
      <c r="V42" s="471"/>
      <c r="W42" s="471" t="s">
        <v>94</v>
      </c>
      <c r="X42" s="473">
        <v>0</v>
      </c>
      <c r="Z42" s="270" t="s">
        <v>92</v>
      </c>
    </row>
    <row r="43" spans="1:26">
      <c r="A43" s="406">
        <v>40</v>
      </c>
      <c r="B43" s="613" t="s">
        <v>5481</v>
      </c>
      <c r="C43" s="288" t="s">
        <v>95</v>
      </c>
      <c r="D43" s="414" t="s">
        <v>3733</v>
      </c>
      <c r="E43" s="407" t="s">
        <v>9033</v>
      </c>
      <c r="F43" s="483" t="s">
        <v>5479</v>
      </c>
      <c r="G43" s="411" t="s">
        <v>5482</v>
      </c>
      <c r="H43" s="411"/>
      <c r="I43" s="411"/>
      <c r="J43" s="411"/>
      <c r="K43" s="411"/>
      <c r="L43" s="608">
        <v>13188.913385826772</v>
      </c>
      <c r="M43" s="409">
        <v>5078.322834645669</v>
      </c>
      <c r="N43" s="409">
        <v>18267.236220472441</v>
      </c>
      <c r="O43" s="410" t="s">
        <v>7761</v>
      </c>
      <c r="P43" s="406">
        <v>40</v>
      </c>
      <c r="Q43" s="470" t="s">
        <v>95</v>
      </c>
      <c r="R43" s="460" t="s">
        <v>96</v>
      </c>
      <c r="S43" s="270" t="s">
        <v>7</v>
      </c>
      <c r="U43" s="471"/>
      <c r="V43" s="471"/>
      <c r="W43" s="471" t="s">
        <v>96</v>
      </c>
      <c r="X43" s="473">
        <v>0</v>
      </c>
      <c r="Z43" s="270" t="s">
        <v>92</v>
      </c>
    </row>
    <row r="44" spans="1:26">
      <c r="A44" s="406">
        <v>41</v>
      </c>
      <c r="B44" s="613" t="s">
        <v>5481</v>
      </c>
      <c r="C44" s="288" t="s">
        <v>97</v>
      </c>
      <c r="D44" s="414" t="s">
        <v>3733</v>
      </c>
      <c r="E44" s="407" t="s">
        <v>9033</v>
      </c>
      <c r="F44" s="483" t="s">
        <v>5479</v>
      </c>
      <c r="G44" s="411" t="s">
        <v>5482</v>
      </c>
      <c r="H44" s="411"/>
      <c r="I44" s="411"/>
      <c r="J44" s="411"/>
      <c r="K44" s="411"/>
      <c r="L44" s="608">
        <v>13188.913385826772</v>
      </c>
      <c r="M44" s="409">
        <v>5078.322834645669</v>
      </c>
      <c r="N44" s="409">
        <v>18267.236220472441</v>
      </c>
      <c r="O44" s="410" t="s">
        <v>7761</v>
      </c>
      <c r="P44" s="406">
        <v>41</v>
      </c>
      <c r="Q44" s="470" t="s">
        <v>97</v>
      </c>
      <c r="R44" s="460" t="s">
        <v>98</v>
      </c>
      <c r="S44" s="270" t="s">
        <v>7</v>
      </c>
      <c r="U44" s="471"/>
      <c r="V44" s="471"/>
      <c r="W44" s="471" t="s">
        <v>98</v>
      </c>
      <c r="X44" s="473">
        <v>0</v>
      </c>
      <c r="Z44" s="270" t="s">
        <v>92</v>
      </c>
    </row>
    <row r="45" spans="1:26">
      <c r="A45" s="406">
        <v>42</v>
      </c>
      <c r="B45" s="613" t="s">
        <v>5475</v>
      </c>
      <c r="C45" s="288" t="s">
        <v>99</v>
      </c>
      <c r="D45" s="414" t="s">
        <v>4127</v>
      </c>
      <c r="E45" s="407" t="s">
        <v>9034</v>
      </c>
      <c r="F45" s="483" t="s">
        <v>5478</v>
      </c>
      <c r="G45" s="411" t="s">
        <v>5476</v>
      </c>
      <c r="H45" s="411"/>
      <c r="I45" s="411"/>
      <c r="J45" s="411"/>
      <c r="K45" s="411"/>
      <c r="L45" s="608">
        <v>13187.901574803149</v>
      </c>
      <c r="M45" s="409">
        <v>5077.7401574803152</v>
      </c>
      <c r="N45" s="409">
        <v>18265.641732283464</v>
      </c>
      <c r="O45" s="410" t="s">
        <v>7762</v>
      </c>
      <c r="P45" s="406">
        <v>42</v>
      </c>
      <c r="Q45" s="470" t="s">
        <v>99</v>
      </c>
      <c r="R45" s="460" t="s">
        <v>100</v>
      </c>
      <c r="S45" s="270" t="s">
        <v>7</v>
      </c>
      <c r="U45" s="471"/>
      <c r="V45" s="471"/>
      <c r="W45" s="471" t="s">
        <v>100</v>
      </c>
      <c r="X45" s="471">
        <v>1</v>
      </c>
      <c r="Z45" s="270" t="s">
        <v>101</v>
      </c>
    </row>
    <row r="46" spans="1:26">
      <c r="A46" s="406">
        <v>43</v>
      </c>
      <c r="B46" s="613" t="s">
        <v>5475</v>
      </c>
      <c r="C46" s="288" t="s">
        <v>102</v>
      </c>
      <c r="D46" s="414" t="s">
        <v>4127</v>
      </c>
      <c r="E46" s="407" t="s">
        <v>9034</v>
      </c>
      <c r="F46" s="483" t="s">
        <v>5478</v>
      </c>
      <c r="G46" s="411" t="s">
        <v>5476</v>
      </c>
      <c r="H46" s="411"/>
      <c r="I46" s="411"/>
      <c r="J46" s="411"/>
      <c r="K46" s="411"/>
      <c r="L46" s="608">
        <v>13187.901574803149</v>
      </c>
      <c r="M46" s="409">
        <v>5077.7401574803152</v>
      </c>
      <c r="N46" s="409">
        <v>18265.641732283464</v>
      </c>
      <c r="O46" s="410" t="s">
        <v>7762</v>
      </c>
      <c r="P46" s="406">
        <v>43</v>
      </c>
      <c r="Q46" s="470" t="s">
        <v>102</v>
      </c>
      <c r="R46" s="460" t="s">
        <v>103</v>
      </c>
      <c r="S46" s="270" t="s">
        <v>7</v>
      </c>
      <c r="U46" s="471"/>
      <c r="V46" s="471"/>
      <c r="W46" s="471" t="s">
        <v>103</v>
      </c>
      <c r="X46" s="473">
        <v>0</v>
      </c>
      <c r="Z46" s="270" t="s">
        <v>101</v>
      </c>
    </row>
    <row r="47" spans="1:26">
      <c r="A47" s="406">
        <v>44</v>
      </c>
      <c r="B47" s="613" t="s">
        <v>5475</v>
      </c>
      <c r="C47" s="288" t="s">
        <v>104</v>
      </c>
      <c r="D47" s="414" t="s">
        <v>4127</v>
      </c>
      <c r="E47" s="407" t="s">
        <v>9034</v>
      </c>
      <c r="F47" s="483" t="s">
        <v>5478</v>
      </c>
      <c r="G47" s="411" t="s">
        <v>5476</v>
      </c>
      <c r="H47" s="411"/>
      <c r="I47" s="411"/>
      <c r="J47" s="411"/>
      <c r="K47" s="411"/>
      <c r="L47" s="608">
        <v>13187.901574803149</v>
      </c>
      <c r="M47" s="409">
        <v>5077.7401574803152</v>
      </c>
      <c r="N47" s="409">
        <v>18265.641732283464</v>
      </c>
      <c r="O47" s="410" t="s">
        <v>7762</v>
      </c>
      <c r="P47" s="406">
        <v>44</v>
      </c>
      <c r="Q47" s="470" t="s">
        <v>104</v>
      </c>
      <c r="R47" s="460" t="s">
        <v>105</v>
      </c>
      <c r="S47" s="270" t="s">
        <v>7</v>
      </c>
      <c r="U47" s="471"/>
      <c r="V47" s="471"/>
      <c r="W47" s="471" t="s">
        <v>105</v>
      </c>
      <c r="X47" s="473">
        <v>0</v>
      </c>
      <c r="Z47" s="270" t="s">
        <v>101</v>
      </c>
    </row>
    <row r="48" spans="1:26">
      <c r="A48" s="406">
        <v>45</v>
      </c>
      <c r="B48" s="613" t="s">
        <v>5475</v>
      </c>
      <c r="C48" s="288" t="s">
        <v>106</v>
      </c>
      <c r="D48" s="414" t="s">
        <v>4127</v>
      </c>
      <c r="E48" s="407" t="s">
        <v>9034</v>
      </c>
      <c r="F48" s="483" t="s">
        <v>5478</v>
      </c>
      <c r="G48" s="411" t="s">
        <v>5476</v>
      </c>
      <c r="H48" s="411"/>
      <c r="I48" s="411"/>
      <c r="J48" s="411"/>
      <c r="K48" s="411"/>
      <c r="L48" s="608">
        <v>13187.901574803149</v>
      </c>
      <c r="M48" s="409">
        <v>5077.7401574803152</v>
      </c>
      <c r="N48" s="409">
        <v>18265.641732283464</v>
      </c>
      <c r="O48" s="410" t="s">
        <v>7762</v>
      </c>
      <c r="P48" s="406">
        <v>45</v>
      </c>
      <c r="Q48" s="470" t="s">
        <v>106</v>
      </c>
      <c r="R48" s="460" t="s">
        <v>107</v>
      </c>
      <c r="S48" s="270" t="s">
        <v>7</v>
      </c>
      <c r="U48" s="471"/>
      <c r="V48" s="471"/>
      <c r="W48" s="471" t="s">
        <v>107</v>
      </c>
      <c r="X48" s="473">
        <v>0</v>
      </c>
      <c r="Z48" s="270" t="s">
        <v>101</v>
      </c>
    </row>
    <row r="49" spans="1:26">
      <c r="A49" s="406">
        <v>46</v>
      </c>
      <c r="B49" s="613" t="s">
        <v>7020</v>
      </c>
      <c r="C49" s="288" t="s">
        <v>108</v>
      </c>
      <c r="D49" s="414" t="s">
        <v>4884</v>
      </c>
      <c r="E49" s="407"/>
      <c r="F49" s="483" t="s">
        <v>4954</v>
      </c>
      <c r="G49" s="411"/>
      <c r="H49" s="411"/>
      <c r="I49" s="411"/>
      <c r="J49" s="411"/>
      <c r="K49" s="411"/>
      <c r="L49" s="608" t="s">
        <v>4884</v>
      </c>
      <c r="M49" s="409" t="s">
        <v>4884</v>
      </c>
      <c r="N49" s="409" t="s">
        <v>4884</v>
      </c>
      <c r="O49" s="410" t="s">
        <v>4884</v>
      </c>
      <c r="P49" s="406">
        <v>46</v>
      </c>
      <c r="Q49" s="470" t="s">
        <v>108</v>
      </c>
      <c r="R49" s="460" t="s">
        <v>109</v>
      </c>
      <c r="S49" s="270" t="s">
        <v>7</v>
      </c>
      <c r="U49" s="471"/>
      <c r="V49" s="471"/>
      <c r="W49" s="471" t="s">
        <v>109</v>
      </c>
      <c r="X49" s="471">
        <v>0</v>
      </c>
    </row>
    <row r="50" spans="1:26">
      <c r="A50" s="406">
        <v>47</v>
      </c>
      <c r="B50" s="613" t="s">
        <v>5473</v>
      </c>
      <c r="C50" s="288" t="s">
        <v>110</v>
      </c>
      <c r="D50" s="414" t="s">
        <v>3837</v>
      </c>
      <c r="E50" s="407" t="s">
        <v>9035</v>
      </c>
      <c r="F50" s="483" t="s">
        <v>5471</v>
      </c>
      <c r="G50" s="411" t="s">
        <v>5474</v>
      </c>
      <c r="H50" s="411"/>
      <c r="I50" s="411"/>
      <c r="J50" s="411"/>
      <c r="K50" s="411"/>
      <c r="L50" s="608">
        <v>15905.232283464569</v>
      </c>
      <c r="M50" s="409">
        <v>6652.5433070866147</v>
      </c>
      <c r="N50" s="409">
        <v>22557.77559055118</v>
      </c>
      <c r="O50" s="410" t="s">
        <v>7763</v>
      </c>
      <c r="P50" s="406">
        <v>47</v>
      </c>
      <c r="Q50" s="470" t="s">
        <v>110</v>
      </c>
      <c r="R50" s="460" t="s">
        <v>111</v>
      </c>
      <c r="S50" s="270" t="s">
        <v>7</v>
      </c>
      <c r="U50" s="471"/>
      <c r="V50" s="471"/>
      <c r="W50" s="471" t="s">
        <v>111</v>
      </c>
      <c r="X50" s="471">
        <v>1</v>
      </c>
      <c r="Z50" s="270" t="s">
        <v>112</v>
      </c>
    </row>
    <row r="51" spans="1:26">
      <c r="A51" s="406">
        <v>48</v>
      </c>
      <c r="B51" s="613" t="s">
        <v>5467</v>
      </c>
      <c r="C51" s="288" t="s">
        <v>113</v>
      </c>
      <c r="D51" s="414" t="s">
        <v>3817</v>
      </c>
      <c r="E51" s="407" t="s">
        <v>9036</v>
      </c>
      <c r="F51" s="483" t="s">
        <v>5470</v>
      </c>
      <c r="G51" s="411" t="s">
        <v>5468</v>
      </c>
      <c r="H51" s="411"/>
      <c r="I51" s="411"/>
      <c r="J51" s="411"/>
      <c r="K51" s="411"/>
      <c r="L51" s="608">
        <v>14644.618110236221</v>
      </c>
      <c r="M51" s="409">
        <v>6651.9606299212601</v>
      </c>
      <c r="N51" s="409">
        <v>21296.578740157482</v>
      </c>
      <c r="O51" s="410" t="s">
        <v>7763</v>
      </c>
      <c r="P51" s="406">
        <v>48</v>
      </c>
      <c r="Q51" s="470" t="s">
        <v>113</v>
      </c>
      <c r="R51" s="460" t="s">
        <v>114</v>
      </c>
      <c r="S51" s="270" t="s">
        <v>7</v>
      </c>
      <c r="U51" s="471"/>
      <c r="V51" s="471"/>
      <c r="W51" s="471" t="s">
        <v>114</v>
      </c>
      <c r="X51" s="471">
        <v>1</v>
      </c>
      <c r="Z51" s="270" t="s">
        <v>115</v>
      </c>
    </row>
    <row r="52" spans="1:26">
      <c r="A52" s="406">
        <v>49</v>
      </c>
      <c r="B52" s="613" t="s">
        <v>5465</v>
      </c>
      <c r="C52" s="288" t="s">
        <v>116</v>
      </c>
      <c r="D52" s="414" t="s">
        <v>4115</v>
      </c>
      <c r="E52" s="407" t="s">
        <v>9037</v>
      </c>
      <c r="F52" s="483" t="s">
        <v>5463</v>
      </c>
      <c r="G52" s="411" t="s">
        <v>5466</v>
      </c>
      <c r="H52" s="411"/>
      <c r="I52" s="411"/>
      <c r="J52" s="411"/>
      <c r="K52" s="411"/>
      <c r="L52" s="608">
        <v>9565.5354330708669</v>
      </c>
      <c r="M52" s="409">
        <v>6653.2992125984256</v>
      </c>
      <c r="N52" s="409">
        <v>16218.834645669291</v>
      </c>
      <c r="O52" s="410" t="s">
        <v>7755</v>
      </c>
      <c r="P52" s="406">
        <v>49</v>
      </c>
      <c r="Q52" s="470" t="s">
        <v>116</v>
      </c>
      <c r="R52" s="460" t="s">
        <v>117</v>
      </c>
      <c r="S52" s="270" t="s">
        <v>7</v>
      </c>
      <c r="U52" s="471"/>
      <c r="V52" s="471"/>
      <c r="W52" s="471" t="s">
        <v>117</v>
      </c>
      <c r="X52" s="471">
        <v>1</v>
      </c>
      <c r="Z52" s="270" t="s">
        <v>118</v>
      </c>
    </row>
    <row r="53" spans="1:26">
      <c r="A53" s="406">
        <v>50</v>
      </c>
      <c r="B53" s="613" t="s">
        <v>5459</v>
      </c>
      <c r="C53" s="288" t="s">
        <v>119</v>
      </c>
      <c r="D53" s="414" t="s">
        <v>4116</v>
      </c>
      <c r="E53" s="407" t="s">
        <v>9038</v>
      </c>
      <c r="F53" s="483" t="s">
        <v>5462</v>
      </c>
      <c r="G53" s="411" t="s">
        <v>5460</v>
      </c>
      <c r="H53" s="411"/>
      <c r="I53" s="411"/>
      <c r="J53" s="411"/>
      <c r="K53" s="411"/>
      <c r="L53" s="608">
        <v>10432.633858267716</v>
      </c>
      <c r="M53" s="409">
        <v>6652.7559055118109</v>
      </c>
      <c r="N53" s="409">
        <v>17085.389763779527</v>
      </c>
      <c r="O53" s="410" t="s">
        <v>7762</v>
      </c>
      <c r="P53" s="406">
        <v>50</v>
      </c>
      <c r="Q53" s="470" t="s">
        <v>119</v>
      </c>
      <c r="R53" s="460" t="s">
        <v>120</v>
      </c>
      <c r="S53" s="270" t="s">
        <v>7</v>
      </c>
      <c r="U53" s="471"/>
      <c r="V53" s="471"/>
      <c r="W53" s="471" t="s">
        <v>120</v>
      </c>
      <c r="X53" s="471">
        <v>1</v>
      </c>
      <c r="Z53" s="270" t="s">
        <v>121</v>
      </c>
    </row>
    <row r="54" spans="1:26">
      <c r="A54" s="406">
        <v>51</v>
      </c>
      <c r="B54" s="613" t="s">
        <v>5465</v>
      </c>
      <c r="C54" s="288" t="s">
        <v>122</v>
      </c>
      <c r="D54" s="414" t="s">
        <v>4115</v>
      </c>
      <c r="E54" s="407" t="s">
        <v>9037</v>
      </c>
      <c r="F54" s="483" t="s">
        <v>5463</v>
      </c>
      <c r="G54" s="411" t="s">
        <v>5466</v>
      </c>
      <c r="H54" s="411"/>
      <c r="I54" s="411"/>
      <c r="J54" s="411"/>
      <c r="K54" s="411"/>
      <c r="L54" s="608">
        <v>9565.5354330708669</v>
      </c>
      <c r="M54" s="409">
        <v>6653.2992125984256</v>
      </c>
      <c r="N54" s="409">
        <v>16218.834645669291</v>
      </c>
      <c r="O54" s="410" t="s">
        <v>7755</v>
      </c>
      <c r="P54" s="406">
        <v>51</v>
      </c>
      <c r="Q54" s="470" t="s">
        <v>122</v>
      </c>
      <c r="R54" s="460" t="s">
        <v>123</v>
      </c>
      <c r="S54" s="270" t="s">
        <v>7</v>
      </c>
      <c r="U54" s="471"/>
      <c r="V54" s="471"/>
      <c r="W54" s="471" t="s">
        <v>123</v>
      </c>
      <c r="X54" s="471">
        <v>0</v>
      </c>
      <c r="Z54" s="270" t="s">
        <v>118</v>
      </c>
    </row>
    <row r="55" spans="1:26">
      <c r="A55" s="406">
        <v>52</v>
      </c>
      <c r="B55" s="613" t="s">
        <v>5459</v>
      </c>
      <c r="C55" s="288" t="s">
        <v>124</v>
      </c>
      <c r="D55" s="414" t="s">
        <v>4116</v>
      </c>
      <c r="E55" s="407" t="s">
        <v>9038</v>
      </c>
      <c r="F55" s="483" t="s">
        <v>5462</v>
      </c>
      <c r="G55" s="411" t="s">
        <v>5460</v>
      </c>
      <c r="H55" s="411"/>
      <c r="I55" s="411"/>
      <c r="J55" s="411"/>
      <c r="K55" s="411"/>
      <c r="L55" s="608">
        <v>10432.633858267716</v>
      </c>
      <c r="M55" s="409">
        <v>6652.7559055118109</v>
      </c>
      <c r="N55" s="409">
        <v>17085.389763779527</v>
      </c>
      <c r="O55" s="410" t="s">
        <v>7762</v>
      </c>
      <c r="P55" s="406">
        <v>52</v>
      </c>
      <c r="Q55" s="470" t="s">
        <v>124</v>
      </c>
      <c r="R55" s="460" t="s">
        <v>125</v>
      </c>
      <c r="S55" s="270" t="s">
        <v>7</v>
      </c>
      <c r="U55" s="471"/>
      <c r="V55" s="471"/>
      <c r="W55" s="471" t="s">
        <v>125</v>
      </c>
      <c r="X55" s="471">
        <v>0</v>
      </c>
      <c r="Z55" s="270" t="s">
        <v>121</v>
      </c>
    </row>
    <row r="56" spans="1:26">
      <c r="A56" s="406">
        <v>53</v>
      </c>
      <c r="B56" s="613" t="s">
        <v>5473</v>
      </c>
      <c r="C56" s="288" t="s">
        <v>126</v>
      </c>
      <c r="D56" s="414" t="s">
        <v>3837</v>
      </c>
      <c r="E56" s="407" t="s">
        <v>9035</v>
      </c>
      <c r="F56" s="483" t="s">
        <v>5471</v>
      </c>
      <c r="G56" s="411" t="s">
        <v>5474</v>
      </c>
      <c r="H56" s="411"/>
      <c r="I56" s="411"/>
      <c r="J56" s="411"/>
      <c r="K56" s="411"/>
      <c r="L56" s="608">
        <v>15905.232283464569</v>
      </c>
      <c r="M56" s="409">
        <v>6652.5433070866147</v>
      </c>
      <c r="N56" s="409">
        <v>22557.77559055118</v>
      </c>
      <c r="O56" s="410" t="s">
        <v>7763</v>
      </c>
      <c r="P56" s="406">
        <v>53</v>
      </c>
      <c r="Q56" s="470" t="s">
        <v>126</v>
      </c>
      <c r="R56" s="460" t="s">
        <v>127</v>
      </c>
      <c r="S56" s="270" t="s">
        <v>7</v>
      </c>
      <c r="U56" s="471"/>
      <c r="V56" s="471"/>
      <c r="W56" s="471" t="s">
        <v>127</v>
      </c>
      <c r="X56" s="471">
        <v>0</v>
      </c>
      <c r="Z56" s="270" t="s">
        <v>112</v>
      </c>
    </row>
    <row r="57" spans="1:26">
      <c r="A57" s="406">
        <v>54</v>
      </c>
      <c r="B57" s="613" t="s">
        <v>5467</v>
      </c>
      <c r="C57" s="288" t="s">
        <v>128</v>
      </c>
      <c r="D57" s="414" t="s">
        <v>3817</v>
      </c>
      <c r="E57" s="407" t="s">
        <v>9036</v>
      </c>
      <c r="F57" s="483" t="s">
        <v>5470</v>
      </c>
      <c r="G57" s="411" t="s">
        <v>5468</v>
      </c>
      <c r="H57" s="411"/>
      <c r="I57" s="411"/>
      <c r="J57" s="411"/>
      <c r="K57" s="411"/>
      <c r="L57" s="608">
        <v>14644.618110236221</v>
      </c>
      <c r="M57" s="409">
        <v>6651.9606299212601</v>
      </c>
      <c r="N57" s="409">
        <v>21296.578740157482</v>
      </c>
      <c r="O57" s="410" t="s">
        <v>7763</v>
      </c>
      <c r="P57" s="406">
        <v>54</v>
      </c>
      <c r="Q57" s="470" t="s">
        <v>128</v>
      </c>
      <c r="R57" s="460" t="s">
        <v>129</v>
      </c>
      <c r="S57" s="270" t="s">
        <v>7</v>
      </c>
      <c r="U57" s="471"/>
      <c r="V57" s="471"/>
      <c r="W57" s="471" t="s">
        <v>129</v>
      </c>
      <c r="X57" s="471">
        <v>0</v>
      </c>
      <c r="Z57" s="270" t="s">
        <v>115</v>
      </c>
    </row>
    <row r="58" spans="1:26">
      <c r="A58" s="406">
        <v>55</v>
      </c>
      <c r="B58" s="613" t="s">
        <v>5465</v>
      </c>
      <c r="C58" s="288" t="s">
        <v>130</v>
      </c>
      <c r="D58" s="414" t="s">
        <v>4115</v>
      </c>
      <c r="E58" s="407" t="s">
        <v>9037</v>
      </c>
      <c r="F58" s="483" t="s">
        <v>5463</v>
      </c>
      <c r="G58" s="411" t="s">
        <v>5466</v>
      </c>
      <c r="H58" s="411"/>
      <c r="I58" s="411"/>
      <c r="J58" s="411"/>
      <c r="K58" s="411"/>
      <c r="L58" s="608">
        <v>9565.5354330708669</v>
      </c>
      <c r="M58" s="409">
        <v>6653.2992125984256</v>
      </c>
      <c r="N58" s="409">
        <v>16218.834645669291</v>
      </c>
      <c r="O58" s="410" t="s">
        <v>7755</v>
      </c>
      <c r="P58" s="406">
        <v>55</v>
      </c>
      <c r="Q58" s="470" t="s">
        <v>130</v>
      </c>
      <c r="R58" s="460" t="s">
        <v>131</v>
      </c>
      <c r="S58" s="270" t="s">
        <v>7</v>
      </c>
      <c r="U58" s="471"/>
      <c r="V58" s="471"/>
      <c r="W58" s="471" t="s">
        <v>131</v>
      </c>
      <c r="X58" s="471">
        <v>0</v>
      </c>
      <c r="Z58" s="270" t="s">
        <v>118</v>
      </c>
    </row>
    <row r="59" spans="1:26">
      <c r="A59" s="406">
        <v>56</v>
      </c>
      <c r="B59" s="613" t="s">
        <v>5459</v>
      </c>
      <c r="C59" s="288" t="s">
        <v>132</v>
      </c>
      <c r="D59" s="414" t="s">
        <v>4116</v>
      </c>
      <c r="E59" s="407" t="s">
        <v>9038</v>
      </c>
      <c r="F59" s="483" t="s">
        <v>5462</v>
      </c>
      <c r="G59" s="411" t="s">
        <v>5460</v>
      </c>
      <c r="H59" s="411"/>
      <c r="I59" s="411"/>
      <c r="J59" s="411"/>
      <c r="K59" s="411"/>
      <c r="L59" s="608">
        <v>10432.633858267716</v>
      </c>
      <c r="M59" s="409">
        <v>6652.7559055118109</v>
      </c>
      <c r="N59" s="409">
        <v>17085.389763779527</v>
      </c>
      <c r="O59" s="410" t="s">
        <v>7762</v>
      </c>
      <c r="P59" s="406">
        <v>56</v>
      </c>
      <c r="Q59" s="470" t="s">
        <v>132</v>
      </c>
      <c r="R59" s="460" t="s">
        <v>133</v>
      </c>
      <c r="S59" s="270" t="s">
        <v>7</v>
      </c>
      <c r="U59" s="471"/>
      <c r="V59" s="471"/>
      <c r="W59" s="471" t="s">
        <v>133</v>
      </c>
      <c r="X59" s="471">
        <v>0</v>
      </c>
      <c r="Z59" s="270" t="s">
        <v>121</v>
      </c>
    </row>
    <row r="60" spans="1:26">
      <c r="A60" s="406">
        <v>57</v>
      </c>
      <c r="B60" s="613" t="s">
        <v>5473</v>
      </c>
      <c r="C60" s="288" t="s">
        <v>134</v>
      </c>
      <c r="D60" s="414" t="s">
        <v>3837</v>
      </c>
      <c r="E60" s="407" t="s">
        <v>9035</v>
      </c>
      <c r="F60" s="483" t="s">
        <v>5471</v>
      </c>
      <c r="G60" s="411" t="s">
        <v>5474</v>
      </c>
      <c r="H60" s="411"/>
      <c r="I60" s="411"/>
      <c r="J60" s="411"/>
      <c r="K60" s="411"/>
      <c r="L60" s="608">
        <v>15905.232283464569</v>
      </c>
      <c r="M60" s="409">
        <v>6652.5433070866147</v>
      </c>
      <c r="N60" s="409">
        <v>22557.77559055118</v>
      </c>
      <c r="O60" s="410" t="s">
        <v>7763</v>
      </c>
      <c r="P60" s="406">
        <v>57</v>
      </c>
      <c r="Q60" s="470" t="s">
        <v>134</v>
      </c>
      <c r="R60" s="460" t="s">
        <v>135</v>
      </c>
      <c r="S60" s="270" t="s">
        <v>7</v>
      </c>
      <c r="U60" s="471"/>
      <c r="V60" s="471"/>
      <c r="W60" s="471" t="s">
        <v>135</v>
      </c>
      <c r="X60" s="471">
        <v>0</v>
      </c>
      <c r="Z60" s="270" t="s">
        <v>112</v>
      </c>
    </row>
    <row r="61" spans="1:26">
      <c r="A61" s="406">
        <v>58</v>
      </c>
      <c r="B61" s="613" t="s">
        <v>5467</v>
      </c>
      <c r="C61" s="288" t="s">
        <v>136</v>
      </c>
      <c r="D61" s="414" t="s">
        <v>3817</v>
      </c>
      <c r="E61" s="407" t="s">
        <v>9036</v>
      </c>
      <c r="F61" s="483" t="s">
        <v>5470</v>
      </c>
      <c r="G61" s="411" t="s">
        <v>5468</v>
      </c>
      <c r="H61" s="411"/>
      <c r="I61" s="411"/>
      <c r="J61" s="411"/>
      <c r="K61" s="411"/>
      <c r="L61" s="608">
        <v>14644.618110236221</v>
      </c>
      <c r="M61" s="409">
        <v>6651.9606299212601</v>
      </c>
      <c r="N61" s="409">
        <v>21296.578740157482</v>
      </c>
      <c r="O61" s="410" t="s">
        <v>7763</v>
      </c>
      <c r="P61" s="406">
        <v>58</v>
      </c>
      <c r="Q61" s="470" t="s">
        <v>136</v>
      </c>
      <c r="R61" s="460" t="s">
        <v>137</v>
      </c>
      <c r="S61" s="270" t="s">
        <v>7</v>
      </c>
      <c r="U61" s="471"/>
      <c r="V61" s="471"/>
      <c r="W61" s="471" t="s">
        <v>137</v>
      </c>
      <c r="X61" s="471">
        <v>0</v>
      </c>
      <c r="Z61" s="270" t="s">
        <v>115</v>
      </c>
    </row>
    <row r="62" spans="1:26">
      <c r="A62" s="406">
        <v>59</v>
      </c>
      <c r="B62" s="613" t="s">
        <v>5443</v>
      </c>
      <c r="C62" s="288" t="s">
        <v>138</v>
      </c>
      <c r="D62" s="414" t="s">
        <v>3838</v>
      </c>
      <c r="E62" s="407" t="s">
        <v>9039</v>
      </c>
      <c r="F62" s="483" t="s">
        <v>5446</v>
      </c>
      <c r="G62" s="411" t="s">
        <v>5444</v>
      </c>
      <c r="H62" s="411"/>
      <c r="I62" s="411"/>
      <c r="J62" s="411"/>
      <c r="K62" s="411"/>
      <c r="L62" s="608">
        <v>15904.960629921261</v>
      </c>
      <c r="M62" s="409">
        <v>6652.6574803149606</v>
      </c>
      <c r="N62" s="409">
        <v>22557.618110236221</v>
      </c>
      <c r="O62" s="410" t="s">
        <v>7764</v>
      </c>
      <c r="P62" s="406">
        <v>59</v>
      </c>
      <c r="Q62" s="470" t="s">
        <v>138</v>
      </c>
      <c r="R62" s="460" t="s">
        <v>139</v>
      </c>
      <c r="S62" s="270" t="s">
        <v>7</v>
      </c>
      <c r="U62" s="471"/>
      <c r="V62" s="471"/>
      <c r="W62" s="471" t="s">
        <v>139</v>
      </c>
      <c r="X62" s="471">
        <v>1</v>
      </c>
      <c r="Z62" s="270" t="s">
        <v>112</v>
      </c>
    </row>
    <row r="63" spans="1:26">
      <c r="A63" s="406">
        <v>60</v>
      </c>
      <c r="B63" s="613" t="s">
        <v>5457</v>
      </c>
      <c r="C63" s="288" t="s">
        <v>140</v>
      </c>
      <c r="D63" s="414" t="s">
        <v>3816</v>
      </c>
      <c r="E63" s="407" t="s">
        <v>9040</v>
      </c>
      <c r="F63" s="483" t="s">
        <v>5455</v>
      </c>
      <c r="G63" s="411" t="s">
        <v>5458</v>
      </c>
      <c r="H63" s="411"/>
      <c r="I63" s="411"/>
      <c r="J63" s="411"/>
      <c r="K63" s="411"/>
      <c r="L63" s="608">
        <v>14644.925196850396</v>
      </c>
      <c r="M63" s="409">
        <v>6652.2598425196857</v>
      </c>
      <c r="N63" s="409">
        <v>21297.185039370077</v>
      </c>
      <c r="O63" s="410" t="s">
        <v>7765</v>
      </c>
      <c r="P63" s="406">
        <v>60</v>
      </c>
      <c r="Q63" s="470" t="s">
        <v>140</v>
      </c>
      <c r="R63" s="460" t="s">
        <v>141</v>
      </c>
      <c r="S63" s="270" t="s">
        <v>7</v>
      </c>
      <c r="U63" s="471"/>
      <c r="V63" s="471"/>
      <c r="W63" s="471" t="s">
        <v>141</v>
      </c>
      <c r="X63" s="471">
        <v>1</v>
      </c>
      <c r="Z63" s="270" t="s">
        <v>115</v>
      </c>
    </row>
    <row r="64" spans="1:26">
      <c r="A64" s="406">
        <v>61</v>
      </c>
      <c r="B64" s="613" t="s">
        <v>5451</v>
      </c>
      <c r="C64" s="288" t="s">
        <v>142</v>
      </c>
      <c r="D64" s="414" t="s">
        <v>4185</v>
      </c>
      <c r="E64" s="407" t="s">
        <v>9041</v>
      </c>
      <c r="F64" s="483" t="s">
        <v>5454</v>
      </c>
      <c r="G64" s="411" t="s">
        <v>5452</v>
      </c>
      <c r="H64" s="411"/>
      <c r="I64" s="411"/>
      <c r="J64" s="411"/>
      <c r="K64" s="411"/>
      <c r="L64" s="608">
        <v>9566.0905511811034</v>
      </c>
      <c r="M64" s="409">
        <v>6652.748031496064</v>
      </c>
      <c r="N64" s="409">
        <v>16218.838582677166</v>
      </c>
      <c r="O64" s="410" t="s">
        <v>7766</v>
      </c>
      <c r="P64" s="406">
        <v>61</v>
      </c>
      <c r="Q64" s="470" t="s">
        <v>142</v>
      </c>
      <c r="R64" s="460" t="s">
        <v>143</v>
      </c>
      <c r="S64" s="270" t="s">
        <v>7</v>
      </c>
      <c r="U64" s="471"/>
      <c r="V64" s="471"/>
      <c r="W64" s="471" t="s">
        <v>143</v>
      </c>
      <c r="X64" s="471">
        <v>1</v>
      </c>
      <c r="Z64" s="270" t="s">
        <v>118</v>
      </c>
    </row>
    <row r="65" spans="1:26">
      <c r="A65" s="406">
        <v>62</v>
      </c>
      <c r="B65" s="613" t="s">
        <v>5449</v>
      </c>
      <c r="C65" s="288" t="s">
        <v>144</v>
      </c>
      <c r="D65" s="414" t="s">
        <v>4119</v>
      </c>
      <c r="E65" s="407" t="s">
        <v>9042</v>
      </c>
      <c r="F65" s="483" t="s">
        <v>5447</v>
      </c>
      <c r="G65" s="411" t="s">
        <v>5450</v>
      </c>
      <c r="H65" s="411"/>
      <c r="I65" s="411"/>
      <c r="J65" s="411"/>
      <c r="K65" s="411"/>
      <c r="L65" s="608">
        <v>10431.551181102364</v>
      </c>
      <c r="M65" s="409">
        <v>6653.4094488188975</v>
      </c>
      <c r="N65" s="409">
        <v>17084.960629921261</v>
      </c>
      <c r="O65" s="410" t="s">
        <v>7767</v>
      </c>
      <c r="P65" s="406">
        <v>62</v>
      </c>
      <c r="Q65" s="470" t="s">
        <v>144</v>
      </c>
      <c r="R65" s="460" t="s">
        <v>145</v>
      </c>
      <c r="S65" s="270" t="s">
        <v>7</v>
      </c>
      <c r="U65" s="471"/>
      <c r="V65" s="471"/>
      <c r="W65" s="471" t="s">
        <v>145</v>
      </c>
      <c r="X65" s="471">
        <v>1</v>
      </c>
      <c r="Z65" s="270" t="s">
        <v>121</v>
      </c>
    </row>
    <row r="66" spans="1:26">
      <c r="A66" s="406">
        <v>63</v>
      </c>
      <c r="B66" s="613" t="s">
        <v>5451</v>
      </c>
      <c r="C66" s="288" t="s">
        <v>146</v>
      </c>
      <c r="D66" s="414" t="s">
        <v>4185</v>
      </c>
      <c r="E66" s="407" t="s">
        <v>9041</v>
      </c>
      <c r="F66" s="483" t="s">
        <v>5454</v>
      </c>
      <c r="G66" s="411" t="s">
        <v>5452</v>
      </c>
      <c r="H66" s="411"/>
      <c r="I66" s="411"/>
      <c r="J66" s="411"/>
      <c r="K66" s="411"/>
      <c r="L66" s="608">
        <v>9566.0905511811034</v>
      </c>
      <c r="M66" s="409">
        <v>6652.748031496064</v>
      </c>
      <c r="N66" s="409">
        <v>16218.838582677166</v>
      </c>
      <c r="O66" s="410" t="s">
        <v>7766</v>
      </c>
      <c r="P66" s="406">
        <v>63</v>
      </c>
      <c r="Q66" s="470" t="s">
        <v>146</v>
      </c>
      <c r="R66" s="460" t="s">
        <v>147</v>
      </c>
      <c r="S66" s="270" t="s">
        <v>7</v>
      </c>
      <c r="U66" s="471"/>
      <c r="V66" s="471"/>
      <c r="W66" s="471" t="s">
        <v>147</v>
      </c>
      <c r="X66" s="471">
        <v>0</v>
      </c>
      <c r="Z66" s="270" t="s">
        <v>118</v>
      </c>
    </row>
    <row r="67" spans="1:26">
      <c r="A67" s="406">
        <v>64</v>
      </c>
      <c r="B67" s="613" t="s">
        <v>5449</v>
      </c>
      <c r="C67" s="288" t="s">
        <v>148</v>
      </c>
      <c r="D67" s="414" t="s">
        <v>4119</v>
      </c>
      <c r="E67" s="407" t="s">
        <v>9042</v>
      </c>
      <c r="F67" s="483" t="s">
        <v>5447</v>
      </c>
      <c r="G67" s="411" t="s">
        <v>5450</v>
      </c>
      <c r="H67" s="411"/>
      <c r="I67" s="411"/>
      <c r="J67" s="411"/>
      <c r="K67" s="411"/>
      <c r="L67" s="608">
        <v>10431.551181102364</v>
      </c>
      <c r="M67" s="409">
        <v>6653.4094488188975</v>
      </c>
      <c r="N67" s="409">
        <v>17084.960629921261</v>
      </c>
      <c r="O67" s="410" t="s">
        <v>7767</v>
      </c>
      <c r="P67" s="406">
        <v>64</v>
      </c>
      <c r="Q67" s="470" t="s">
        <v>148</v>
      </c>
      <c r="R67" s="460" t="s">
        <v>149</v>
      </c>
      <c r="S67" s="270" t="s">
        <v>7</v>
      </c>
      <c r="U67" s="471"/>
      <c r="V67" s="471"/>
      <c r="W67" s="471" t="s">
        <v>149</v>
      </c>
      <c r="X67" s="471">
        <v>0</v>
      </c>
      <c r="Z67" s="270" t="s">
        <v>121</v>
      </c>
    </row>
    <row r="68" spans="1:26">
      <c r="A68" s="406">
        <v>65</v>
      </c>
      <c r="B68" s="613" t="s">
        <v>5443</v>
      </c>
      <c r="C68" s="288" t="s">
        <v>150</v>
      </c>
      <c r="D68" s="414" t="s">
        <v>3838</v>
      </c>
      <c r="E68" s="407" t="s">
        <v>9039</v>
      </c>
      <c r="F68" s="483" t="s">
        <v>5446</v>
      </c>
      <c r="G68" s="411" t="s">
        <v>5444</v>
      </c>
      <c r="H68" s="411"/>
      <c r="I68" s="411"/>
      <c r="J68" s="411"/>
      <c r="K68" s="411"/>
      <c r="L68" s="608">
        <v>15904.960629921261</v>
      </c>
      <c r="M68" s="409">
        <v>6652.6574803149606</v>
      </c>
      <c r="N68" s="409">
        <v>22557.618110236221</v>
      </c>
      <c r="O68" s="410" t="s">
        <v>7764</v>
      </c>
      <c r="P68" s="406">
        <v>65</v>
      </c>
      <c r="Q68" s="470" t="s">
        <v>150</v>
      </c>
      <c r="R68" s="460" t="s">
        <v>151</v>
      </c>
      <c r="S68" s="270" t="s">
        <v>7</v>
      </c>
      <c r="U68" s="471"/>
      <c r="V68" s="471"/>
      <c r="W68" s="471" t="s">
        <v>151</v>
      </c>
      <c r="X68" s="471">
        <v>0</v>
      </c>
      <c r="Z68" s="270" t="s">
        <v>112</v>
      </c>
    </row>
    <row r="69" spans="1:26">
      <c r="A69" s="406">
        <v>66</v>
      </c>
      <c r="B69" s="613" t="s">
        <v>5457</v>
      </c>
      <c r="C69" s="288" t="s">
        <v>152</v>
      </c>
      <c r="D69" s="414" t="s">
        <v>3816</v>
      </c>
      <c r="E69" s="407" t="s">
        <v>9040</v>
      </c>
      <c r="F69" s="483" t="s">
        <v>5455</v>
      </c>
      <c r="G69" s="411" t="s">
        <v>5458</v>
      </c>
      <c r="H69" s="411"/>
      <c r="I69" s="411"/>
      <c r="J69" s="411"/>
      <c r="K69" s="411"/>
      <c r="L69" s="608">
        <v>14644.925196850396</v>
      </c>
      <c r="M69" s="409">
        <v>6652.2598425196857</v>
      </c>
      <c r="N69" s="409">
        <v>21297.185039370077</v>
      </c>
      <c r="O69" s="410" t="s">
        <v>7765</v>
      </c>
      <c r="P69" s="406">
        <v>66</v>
      </c>
      <c r="Q69" s="470" t="s">
        <v>152</v>
      </c>
      <c r="R69" s="460" t="s">
        <v>153</v>
      </c>
      <c r="S69" s="270" t="s">
        <v>7</v>
      </c>
      <c r="U69" s="471"/>
      <c r="V69" s="471"/>
      <c r="W69" s="471" t="s">
        <v>153</v>
      </c>
      <c r="X69" s="471">
        <v>0</v>
      </c>
      <c r="Z69" s="270" t="s">
        <v>115</v>
      </c>
    </row>
    <row r="70" spans="1:26">
      <c r="A70" s="406">
        <v>67</v>
      </c>
      <c r="B70" s="613" t="s">
        <v>5451</v>
      </c>
      <c r="C70" s="288" t="s">
        <v>154</v>
      </c>
      <c r="D70" s="414" t="s">
        <v>4185</v>
      </c>
      <c r="E70" s="407" t="s">
        <v>9041</v>
      </c>
      <c r="F70" s="483" t="s">
        <v>5454</v>
      </c>
      <c r="G70" s="411" t="s">
        <v>5452</v>
      </c>
      <c r="H70" s="411"/>
      <c r="I70" s="411"/>
      <c r="J70" s="411"/>
      <c r="K70" s="411"/>
      <c r="L70" s="608">
        <v>9566.0905511811034</v>
      </c>
      <c r="M70" s="409">
        <v>6652.748031496064</v>
      </c>
      <c r="N70" s="409">
        <v>16218.838582677166</v>
      </c>
      <c r="O70" s="410" t="s">
        <v>7766</v>
      </c>
      <c r="P70" s="406">
        <v>67</v>
      </c>
      <c r="Q70" s="470" t="s">
        <v>154</v>
      </c>
      <c r="R70" s="460" t="s">
        <v>155</v>
      </c>
      <c r="S70" s="270" t="s">
        <v>7</v>
      </c>
      <c r="U70" s="471"/>
      <c r="V70" s="471"/>
      <c r="W70" s="471" t="s">
        <v>155</v>
      </c>
      <c r="X70" s="471">
        <v>0</v>
      </c>
      <c r="Z70" s="270" t="s">
        <v>118</v>
      </c>
    </row>
    <row r="71" spans="1:26">
      <c r="A71" s="406">
        <v>68</v>
      </c>
      <c r="B71" s="613" t="s">
        <v>5449</v>
      </c>
      <c r="C71" s="288" t="s">
        <v>156</v>
      </c>
      <c r="D71" s="414" t="s">
        <v>4119</v>
      </c>
      <c r="E71" s="407" t="s">
        <v>9042</v>
      </c>
      <c r="F71" s="483" t="s">
        <v>5447</v>
      </c>
      <c r="G71" s="411" t="s">
        <v>5450</v>
      </c>
      <c r="H71" s="411"/>
      <c r="I71" s="411"/>
      <c r="J71" s="411"/>
      <c r="K71" s="411"/>
      <c r="L71" s="608">
        <v>10431.551181102364</v>
      </c>
      <c r="M71" s="409">
        <v>6653.4094488188975</v>
      </c>
      <c r="N71" s="409">
        <v>17084.960629921261</v>
      </c>
      <c r="O71" s="410" t="s">
        <v>7767</v>
      </c>
      <c r="P71" s="406">
        <v>68</v>
      </c>
      <c r="Q71" s="470" t="s">
        <v>156</v>
      </c>
      <c r="R71" s="460" t="s">
        <v>157</v>
      </c>
      <c r="S71" s="270" t="s">
        <v>7</v>
      </c>
      <c r="U71" s="471"/>
      <c r="V71" s="471"/>
      <c r="W71" s="471" t="s">
        <v>157</v>
      </c>
      <c r="X71" s="471">
        <v>0</v>
      </c>
      <c r="Z71" s="270" t="s">
        <v>121</v>
      </c>
    </row>
    <row r="72" spans="1:26">
      <c r="A72" s="406">
        <v>69</v>
      </c>
      <c r="B72" s="613" t="s">
        <v>5443</v>
      </c>
      <c r="C72" s="288" t="s">
        <v>158</v>
      </c>
      <c r="D72" s="414" t="s">
        <v>3838</v>
      </c>
      <c r="E72" s="407" t="s">
        <v>9039</v>
      </c>
      <c r="F72" s="483" t="s">
        <v>5446</v>
      </c>
      <c r="G72" s="411" t="s">
        <v>5444</v>
      </c>
      <c r="H72" s="411"/>
      <c r="I72" s="411"/>
      <c r="J72" s="411"/>
      <c r="K72" s="411"/>
      <c r="L72" s="608">
        <v>15904.960629921261</v>
      </c>
      <c r="M72" s="409">
        <v>6652.6574803149606</v>
      </c>
      <c r="N72" s="409">
        <v>22557.618110236221</v>
      </c>
      <c r="O72" s="410" t="s">
        <v>7764</v>
      </c>
      <c r="P72" s="406">
        <v>69</v>
      </c>
      <c r="Q72" s="470" t="s">
        <v>158</v>
      </c>
      <c r="R72" s="460" t="s">
        <v>159</v>
      </c>
      <c r="S72" s="270" t="s">
        <v>7</v>
      </c>
      <c r="U72" s="471"/>
      <c r="V72" s="471"/>
      <c r="W72" s="471" t="s">
        <v>159</v>
      </c>
      <c r="X72" s="471">
        <v>0</v>
      </c>
      <c r="Z72" s="270" t="s">
        <v>112</v>
      </c>
    </row>
    <row r="73" spans="1:26">
      <c r="A73" s="406">
        <v>70</v>
      </c>
      <c r="B73" s="613" t="s">
        <v>5457</v>
      </c>
      <c r="C73" s="288" t="s">
        <v>160</v>
      </c>
      <c r="D73" s="414" t="s">
        <v>3816</v>
      </c>
      <c r="E73" s="407" t="s">
        <v>9040</v>
      </c>
      <c r="F73" s="483" t="s">
        <v>5455</v>
      </c>
      <c r="G73" s="411" t="s">
        <v>5458</v>
      </c>
      <c r="H73" s="411"/>
      <c r="I73" s="411"/>
      <c r="J73" s="411"/>
      <c r="K73" s="411"/>
      <c r="L73" s="608">
        <v>14644.925196850396</v>
      </c>
      <c r="M73" s="409">
        <v>6652.2598425196857</v>
      </c>
      <c r="N73" s="409">
        <v>21297.185039370077</v>
      </c>
      <c r="O73" s="410" t="s">
        <v>7765</v>
      </c>
      <c r="P73" s="406">
        <v>70</v>
      </c>
      <c r="Q73" s="470" t="s">
        <v>160</v>
      </c>
      <c r="R73" s="460" t="s">
        <v>161</v>
      </c>
      <c r="S73" s="270" t="s">
        <v>7</v>
      </c>
      <c r="U73" s="471"/>
      <c r="V73" s="471"/>
      <c r="W73" s="471" t="s">
        <v>161</v>
      </c>
      <c r="X73" s="471">
        <v>0</v>
      </c>
      <c r="Z73" s="270" t="s">
        <v>115</v>
      </c>
    </row>
    <row r="74" spans="1:26">
      <c r="A74" s="406">
        <v>71</v>
      </c>
      <c r="B74" s="613" t="s">
        <v>6224</v>
      </c>
      <c r="C74" s="288" t="s">
        <v>162</v>
      </c>
      <c r="D74" s="414" t="s">
        <v>4475</v>
      </c>
      <c r="E74" s="407" t="s">
        <v>9043</v>
      </c>
      <c r="F74" s="483"/>
      <c r="G74" s="483"/>
      <c r="H74" s="411"/>
      <c r="I74" s="411"/>
      <c r="J74" s="411"/>
      <c r="K74" s="411"/>
      <c r="L74" s="608" t="s">
        <v>4884</v>
      </c>
      <c r="M74" s="409">
        <v>14841.570866141734</v>
      </c>
      <c r="N74" s="409">
        <v>14841.570866141734</v>
      </c>
      <c r="O74" s="410" t="s">
        <v>7569</v>
      </c>
      <c r="P74" s="406">
        <v>71</v>
      </c>
      <c r="Q74" s="470" t="s">
        <v>162</v>
      </c>
      <c r="R74" s="460" t="s">
        <v>163</v>
      </c>
      <c r="S74" s="270" t="s">
        <v>32</v>
      </c>
      <c r="U74" s="471"/>
      <c r="V74" s="471">
        <v>1</v>
      </c>
      <c r="W74" s="471" t="s">
        <v>163</v>
      </c>
      <c r="X74" s="471">
        <v>0</v>
      </c>
    </row>
    <row r="75" spans="1:26">
      <c r="A75" s="406">
        <v>72</v>
      </c>
      <c r="B75" s="613" t="s">
        <v>6225</v>
      </c>
      <c r="C75" s="288" t="s">
        <v>164</v>
      </c>
      <c r="D75" s="414" t="s">
        <v>4473</v>
      </c>
      <c r="E75" s="407" t="s">
        <v>9044</v>
      </c>
      <c r="F75" s="483"/>
      <c r="G75" s="411"/>
      <c r="H75" s="411"/>
      <c r="I75" s="411"/>
      <c r="J75" s="411"/>
      <c r="K75" s="411"/>
      <c r="L75" s="608" t="s">
        <v>4884</v>
      </c>
      <c r="M75" s="409">
        <v>14841.244094488189</v>
      </c>
      <c r="N75" s="409">
        <v>14841.244094488189</v>
      </c>
      <c r="O75" s="410" t="s">
        <v>7569</v>
      </c>
      <c r="P75" s="406">
        <v>72</v>
      </c>
      <c r="Q75" s="470" t="s">
        <v>164</v>
      </c>
      <c r="R75" s="460" t="s">
        <v>165</v>
      </c>
      <c r="S75" s="270" t="s">
        <v>32</v>
      </c>
      <c r="U75" s="471"/>
      <c r="V75" s="471">
        <v>1</v>
      </c>
      <c r="W75" s="471" t="s">
        <v>165</v>
      </c>
      <c r="X75" s="471">
        <v>0</v>
      </c>
    </row>
    <row r="76" spans="1:26">
      <c r="A76" s="406">
        <v>73</v>
      </c>
      <c r="B76" s="613" t="s">
        <v>5346</v>
      </c>
      <c r="C76" s="288" t="s">
        <v>166</v>
      </c>
      <c r="D76" s="414" t="s">
        <v>4432</v>
      </c>
      <c r="E76" s="407" t="s">
        <v>9045</v>
      </c>
      <c r="F76" s="483" t="s">
        <v>5348</v>
      </c>
      <c r="G76" s="411" t="s">
        <v>5347</v>
      </c>
      <c r="H76" s="411"/>
      <c r="I76" s="411"/>
      <c r="J76" s="411"/>
      <c r="K76" s="411"/>
      <c r="L76" s="608">
        <v>8109.3582677165359</v>
      </c>
      <c r="M76" s="409">
        <v>6732.2677165354326</v>
      </c>
      <c r="N76" s="409">
        <v>14841.62598425197</v>
      </c>
      <c r="O76" s="410" t="s">
        <v>7768</v>
      </c>
      <c r="P76" s="406">
        <v>73</v>
      </c>
      <c r="Q76" s="470" t="s">
        <v>166</v>
      </c>
      <c r="R76" s="460" t="s">
        <v>167</v>
      </c>
      <c r="S76" s="270" t="s">
        <v>32</v>
      </c>
      <c r="U76" s="471"/>
      <c r="V76" s="471">
        <v>1</v>
      </c>
      <c r="W76" s="471" t="s">
        <v>167</v>
      </c>
      <c r="X76" s="471">
        <v>0</v>
      </c>
      <c r="Z76" s="460" t="s">
        <v>2274</v>
      </c>
    </row>
    <row r="77" spans="1:26">
      <c r="A77" s="406">
        <v>74</v>
      </c>
      <c r="B77" s="613" t="s">
        <v>5339</v>
      </c>
      <c r="C77" s="288" t="s">
        <v>168</v>
      </c>
      <c r="D77" s="414" t="s">
        <v>4431</v>
      </c>
      <c r="E77" s="407" t="s">
        <v>9046</v>
      </c>
      <c r="F77" s="483" t="s">
        <v>5341</v>
      </c>
      <c r="G77" s="411" t="s">
        <v>5340</v>
      </c>
      <c r="H77" s="411"/>
      <c r="I77" s="411"/>
      <c r="J77" s="411"/>
      <c r="K77" s="411"/>
      <c r="L77" s="608">
        <v>8110.0078740157487</v>
      </c>
      <c r="M77" s="409">
        <v>6730.8976377952758</v>
      </c>
      <c r="N77" s="409">
        <v>14840.905511811025</v>
      </c>
      <c r="O77" s="410" t="s">
        <v>7769</v>
      </c>
      <c r="P77" s="406">
        <v>74</v>
      </c>
      <c r="Q77" s="470" t="s">
        <v>168</v>
      </c>
      <c r="R77" s="460" t="s">
        <v>169</v>
      </c>
      <c r="S77" s="270" t="s">
        <v>32</v>
      </c>
      <c r="U77" s="471"/>
      <c r="V77" s="471">
        <v>1</v>
      </c>
      <c r="W77" s="471" t="s">
        <v>169</v>
      </c>
      <c r="X77" s="471">
        <v>0</v>
      </c>
      <c r="Z77" s="460" t="s">
        <v>170</v>
      </c>
    </row>
    <row r="78" spans="1:26">
      <c r="A78" s="406">
        <v>75</v>
      </c>
      <c r="B78" s="613" t="s">
        <v>5331</v>
      </c>
      <c r="C78" s="288" t="s">
        <v>171</v>
      </c>
      <c r="D78" s="414" t="s">
        <v>4477</v>
      </c>
      <c r="E78" s="407" t="s">
        <v>9047</v>
      </c>
      <c r="F78" s="483" t="s">
        <v>5333</v>
      </c>
      <c r="G78" s="411" t="s">
        <v>5332</v>
      </c>
      <c r="H78" s="411"/>
      <c r="I78" s="411"/>
      <c r="J78" s="411"/>
      <c r="K78" s="411"/>
      <c r="L78" s="608">
        <v>8109.566929133859</v>
      </c>
      <c r="M78" s="409">
        <v>6731.354330708662</v>
      </c>
      <c r="N78" s="409">
        <v>14840.92125984252</v>
      </c>
      <c r="O78" s="410" t="s">
        <v>7770</v>
      </c>
      <c r="P78" s="406">
        <v>75</v>
      </c>
      <c r="Q78" s="470" t="s">
        <v>171</v>
      </c>
      <c r="R78" s="460" t="s">
        <v>172</v>
      </c>
      <c r="S78" s="270" t="s">
        <v>32</v>
      </c>
      <c r="U78" s="471"/>
      <c r="V78" s="471">
        <v>1</v>
      </c>
      <c r="W78" s="471" t="s">
        <v>172</v>
      </c>
      <c r="X78" s="471">
        <v>0</v>
      </c>
      <c r="Z78" s="460" t="s">
        <v>173</v>
      </c>
    </row>
    <row r="79" spans="1:26">
      <c r="A79" s="406">
        <v>76</v>
      </c>
      <c r="B79" s="613" t="s">
        <v>5323</v>
      </c>
      <c r="C79" s="288" t="s">
        <v>174</v>
      </c>
      <c r="D79" s="414" t="s">
        <v>4476</v>
      </c>
      <c r="E79" s="407" t="s">
        <v>9048</v>
      </c>
      <c r="F79" s="483" t="s">
        <v>5325</v>
      </c>
      <c r="G79" s="411" t="s">
        <v>5324</v>
      </c>
      <c r="H79" s="411"/>
      <c r="I79" s="411"/>
      <c r="J79" s="411"/>
      <c r="K79" s="411"/>
      <c r="L79" s="608">
        <v>8109.6299212598433</v>
      </c>
      <c r="M79" s="409">
        <v>6731.4527559055123</v>
      </c>
      <c r="N79" s="409">
        <v>14841.082677165356</v>
      </c>
      <c r="O79" s="410" t="s">
        <v>7770</v>
      </c>
      <c r="P79" s="406">
        <v>76</v>
      </c>
      <c r="Q79" s="470" t="s">
        <v>174</v>
      </c>
      <c r="R79" s="460" t="s">
        <v>175</v>
      </c>
      <c r="S79" s="270" t="s">
        <v>32</v>
      </c>
      <c r="U79" s="471"/>
      <c r="V79" s="471">
        <v>1</v>
      </c>
      <c r="W79" s="471" t="s">
        <v>175</v>
      </c>
      <c r="X79" s="471">
        <v>0</v>
      </c>
      <c r="Z79" s="460" t="s">
        <v>176</v>
      </c>
    </row>
    <row r="80" spans="1:26">
      <c r="A80" s="406">
        <v>77</v>
      </c>
      <c r="B80" s="613" t="s">
        <v>5352</v>
      </c>
      <c r="C80" s="288" t="s">
        <v>177</v>
      </c>
      <c r="D80" s="414" t="s">
        <v>4430</v>
      </c>
      <c r="E80" s="407" t="s">
        <v>9049</v>
      </c>
      <c r="F80" s="483" t="s">
        <v>5351</v>
      </c>
      <c r="G80" s="411" t="s">
        <v>5353</v>
      </c>
      <c r="H80" s="411"/>
      <c r="I80" s="411"/>
      <c r="J80" s="411"/>
      <c r="K80" s="411"/>
      <c r="L80" s="608">
        <v>8109.389763779528</v>
      </c>
      <c r="M80" s="409">
        <v>6731.4566929133862</v>
      </c>
      <c r="N80" s="409">
        <v>14840.846456692912</v>
      </c>
      <c r="O80" s="410" t="s">
        <v>7768</v>
      </c>
      <c r="P80" s="406">
        <v>77</v>
      </c>
      <c r="Q80" s="470" t="s">
        <v>177</v>
      </c>
      <c r="R80" s="460" t="s">
        <v>178</v>
      </c>
      <c r="S80" s="270" t="s">
        <v>32</v>
      </c>
      <c r="U80" s="471"/>
      <c r="V80" s="471">
        <v>1</v>
      </c>
      <c r="W80" s="471" t="s">
        <v>178</v>
      </c>
      <c r="X80" s="471">
        <v>0</v>
      </c>
      <c r="Z80" s="460" t="s">
        <v>179</v>
      </c>
    </row>
    <row r="81" spans="1:26">
      <c r="A81" s="406">
        <v>78</v>
      </c>
      <c r="B81" s="613" t="s">
        <v>5344</v>
      </c>
      <c r="C81" s="288" t="s">
        <v>180</v>
      </c>
      <c r="D81" s="414" t="s">
        <v>4429</v>
      </c>
      <c r="E81" s="407" t="s">
        <v>9050</v>
      </c>
      <c r="F81" s="483" t="s">
        <v>5343</v>
      </c>
      <c r="G81" s="411" t="s">
        <v>5345</v>
      </c>
      <c r="H81" s="411"/>
      <c r="I81" s="411"/>
      <c r="J81" s="411"/>
      <c r="K81" s="411"/>
      <c r="L81" s="608">
        <v>8108.677165354331</v>
      </c>
      <c r="M81" s="409">
        <v>6731.2637795275587</v>
      </c>
      <c r="N81" s="409">
        <v>14839.940944881888</v>
      </c>
      <c r="O81" s="410" t="s">
        <v>7769</v>
      </c>
      <c r="P81" s="406">
        <v>78</v>
      </c>
      <c r="Q81" s="470" t="s">
        <v>180</v>
      </c>
      <c r="R81" s="460" t="s">
        <v>181</v>
      </c>
      <c r="S81" s="270" t="s">
        <v>32</v>
      </c>
      <c r="U81" s="471"/>
      <c r="V81" s="471">
        <v>1</v>
      </c>
      <c r="W81" s="471" t="s">
        <v>181</v>
      </c>
      <c r="X81" s="471">
        <v>0</v>
      </c>
      <c r="Z81" s="460" t="s">
        <v>182</v>
      </c>
    </row>
    <row r="82" spans="1:26">
      <c r="A82" s="406">
        <v>79</v>
      </c>
      <c r="B82" s="613" t="s">
        <v>5337</v>
      </c>
      <c r="C82" s="288" t="s">
        <v>183</v>
      </c>
      <c r="D82" s="414" t="s">
        <v>4479</v>
      </c>
      <c r="E82" s="407" t="s">
        <v>9051</v>
      </c>
      <c r="F82" s="483" t="s">
        <v>5336</v>
      </c>
      <c r="G82" s="411" t="s">
        <v>5338</v>
      </c>
      <c r="H82" s="411"/>
      <c r="I82" s="411"/>
      <c r="J82" s="411"/>
      <c r="K82" s="411"/>
      <c r="L82" s="608">
        <v>8108.8582677165359</v>
      </c>
      <c r="M82" s="409">
        <v>6731.6181102362207</v>
      </c>
      <c r="N82" s="409">
        <v>14840.476377952757</v>
      </c>
      <c r="O82" s="410" t="s">
        <v>7770</v>
      </c>
      <c r="P82" s="406">
        <v>79</v>
      </c>
      <c r="Q82" s="470" t="s">
        <v>183</v>
      </c>
      <c r="R82" s="460" t="s">
        <v>184</v>
      </c>
      <c r="S82" s="270" t="s">
        <v>32</v>
      </c>
      <c r="U82" s="471"/>
      <c r="V82" s="471">
        <v>1</v>
      </c>
      <c r="W82" s="471" t="s">
        <v>184</v>
      </c>
      <c r="X82" s="471">
        <v>0</v>
      </c>
      <c r="Z82" s="460" t="s">
        <v>185</v>
      </c>
    </row>
    <row r="83" spans="1:26">
      <c r="A83" s="406">
        <v>80</v>
      </c>
      <c r="B83" s="613" t="s">
        <v>5329</v>
      </c>
      <c r="C83" s="288" t="s">
        <v>186</v>
      </c>
      <c r="D83" s="414" t="s">
        <v>4478</v>
      </c>
      <c r="E83" s="407" t="s">
        <v>9052</v>
      </c>
      <c r="F83" s="483" t="s">
        <v>5328</v>
      </c>
      <c r="G83" s="411" t="s">
        <v>5330</v>
      </c>
      <c r="H83" s="411"/>
      <c r="I83" s="411"/>
      <c r="J83" s="411"/>
      <c r="K83" s="411"/>
      <c r="L83" s="608">
        <v>8109.8110236220482</v>
      </c>
      <c r="M83" s="409">
        <v>6731.3661417322837</v>
      </c>
      <c r="N83" s="409">
        <v>14841.177165354333</v>
      </c>
      <c r="O83" s="410" t="s">
        <v>7770</v>
      </c>
      <c r="P83" s="406">
        <v>80</v>
      </c>
      <c r="Q83" s="470" t="s">
        <v>186</v>
      </c>
      <c r="R83" s="460" t="s">
        <v>187</v>
      </c>
      <c r="S83" s="270" t="s">
        <v>32</v>
      </c>
      <c r="U83" s="471"/>
      <c r="V83" s="471">
        <v>1</v>
      </c>
      <c r="W83" s="471" t="s">
        <v>187</v>
      </c>
      <c r="X83" s="471">
        <v>0</v>
      </c>
      <c r="Z83" s="460" t="s">
        <v>188</v>
      </c>
    </row>
    <row r="84" spans="1:26">
      <c r="A84" s="406">
        <v>81</v>
      </c>
      <c r="B84" s="613" t="s">
        <v>5229</v>
      </c>
      <c r="C84" s="288" t="s">
        <v>189</v>
      </c>
      <c r="D84" s="414" t="s">
        <v>4493</v>
      </c>
      <c r="E84" s="407" t="s">
        <v>9053</v>
      </c>
      <c r="F84" s="483" t="s">
        <v>5227</v>
      </c>
      <c r="G84" s="411" t="s">
        <v>5230</v>
      </c>
      <c r="H84" s="411"/>
      <c r="I84" s="411"/>
      <c r="J84" s="411"/>
      <c r="K84" s="411"/>
      <c r="L84" s="608">
        <v>8936.677165354331</v>
      </c>
      <c r="M84" s="409">
        <v>5904.8346456692916</v>
      </c>
      <c r="N84" s="409">
        <v>14841.511811023624</v>
      </c>
      <c r="O84" s="410" t="s">
        <v>7771</v>
      </c>
      <c r="P84" s="406">
        <v>81</v>
      </c>
      <c r="Q84" s="470" t="s">
        <v>189</v>
      </c>
      <c r="R84" s="460" t="s">
        <v>190</v>
      </c>
      <c r="S84" s="270" t="s">
        <v>32</v>
      </c>
      <c r="U84" s="471"/>
      <c r="V84" s="471">
        <v>1</v>
      </c>
      <c r="W84" s="471" t="s">
        <v>190</v>
      </c>
      <c r="X84" s="471">
        <v>0</v>
      </c>
      <c r="Z84" s="270" t="s">
        <v>191</v>
      </c>
    </row>
    <row r="85" spans="1:26">
      <c r="A85" s="406">
        <v>82</v>
      </c>
      <c r="B85" s="613" t="s">
        <v>5223</v>
      </c>
      <c r="C85" s="288" t="s">
        <v>192</v>
      </c>
      <c r="D85" s="414" t="s">
        <v>4491</v>
      </c>
      <c r="E85" s="407" t="s">
        <v>9054</v>
      </c>
      <c r="F85" s="483" t="s">
        <v>5226</v>
      </c>
      <c r="G85" s="411" t="s">
        <v>5224</v>
      </c>
      <c r="H85" s="411"/>
      <c r="I85" s="411"/>
      <c r="J85" s="411"/>
      <c r="K85" s="411"/>
      <c r="L85" s="608">
        <v>8936.4921259842522</v>
      </c>
      <c r="M85" s="409">
        <v>5904.358267716535</v>
      </c>
      <c r="N85" s="409">
        <v>14840.850393700786</v>
      </c>
      <c r="O85" s="410" t="s">
        <v>7771</v>
      </c>
      <c r="P85" s="406">
        <v>82</v>
      </c>
      <c r="Q85" s="470" t="s">
        <v>192</v>
      </c>
      <c r="R85" s="460" t="s">
        <v>193</v>
      </c>
      <c r="S85" s="270" t="s">
        <v>32</v>
      </c>
      <c r="U85" s="471"/>
      <c r="V85" s="471">
        <v>1</v>
      </c>
      <c r="W85" s="471" t="s">
        <v>193</v>
      </c>
      <c r="X85" s="471">
        <v>0</v>
      </c>
      <c r="Z85" s="270" t="s">
        <v>194</v>
      </c>
    </row>
    <row r="86" spans="1:26">
      <c r="A86" s="406">
        <v>83</v>
      </c>
      <c r="B86" s="613" t="s">
        <v>5315</v>
      </c>
      <c r="C86" s="288" t="s">
        <v>195</v>
      </c>
      <c r="D86" s="414" t="s">
        <v>4464</v>
      </c>
      <c r="E86" s="407" t="s">
        <v>9055</v>
      </c>
      <c r="F86" s="483" t="s">
        <v>5317</v>
      </c>
      <c r="G86" s="411" t="s">
        <v>5316</v>
      </c>
      <c r="H86" s="411"/>
      <c r="I86" s="411"/>
      <c r="J86" s="411"/>
      <c r="K86" s="411"/>
      <c r="L86" s="608">
        <v>8109.7755905511822</v>
      </c>
      <c r="M86" s="409">
        <v>6731.1023622047251</v>
      </c>
      <c r="N86" s="409">
        <v>14840.877952755907</v>
      </c>
      <c r="O86" s="410" t="s">
        <v>7751</v>
      </c>
      <c r="P86" s="406">
        <v>83</v>
      </c>
      <c r="Q86" s="470" t="s">
        <v>195</v>
      </c>
      <c r="R86" s="460" t="s">
        <v>196</v>
      </c>
      <c r="S86" s="270" t="s">
        <v>32</v>
      </c>
      <c r="U86" s="471"/>
      <c r="V86" s="471">
        <v>1</v>
      </c>
      <c r="W86" s="471" t="s">
        <v>196</v>
      </c>
      <c r="X86" s="471">
        <v>0</v>
      </c>
      <c r="Z86" s="460" t="s">
        <v>197</v>
      </c>
    </row>
    <row r="87" spans="1:26">
      <c r="A87" s="406">
        <v>84</v>
      </c>
      <c r="B87" s="613" t="s">
        <v>5307</v>
      </c>
      <c r="C87" s="288" t="s">
        <v>198</v>
      </c>
      <c r="D87" s="414" t="s">
        <v>4458</v>
      </c>
      <c r="E87" s="407" t="s">
        <v>9056</v>
      </c>
      <c r="F87" s="483" t="s">
        <v>5309</v>
      </c>
      <c r="G87" s="411" t="s">
        <v>5308</v>
      </c>
      <c r="H87" s="411"/>
      <c r="I87" s="411"/>
      <c r="J87" s="411"/>
      <c r="K87" s="411"/>
      <c r="L87" s="608">
        <v>8699.9448818897636</v>
      </c>
      <c r="M87" s="409">
        <v>6141.3464566929133</v>
      </c>
      <c r="N87" s="409">
        <v>14841.291338582678</v>
      </c>
      <c r="O87" s="410" t="s">
        <v>7772</v>
      </c>
      <c r="P87" s="406">
        <v>84</v>
      </c>
      <c r="Q87" s="470" t="s">
        <v>198</v>
      </c>
      <c r="R87" s="460" t="s">
        <v>199</v>
      </c>
      <c r="S87" s="270" t="s">
        <v>32</v>
      </c>
      <c r="U87" s="471"/>
      <c r="V87" s="471">
        <v>1</v>
      </c>
      <c r="W87" s="471" t="s">
        <v>199</v>
      </c>
      <c r="X87" s="471">
        <v>0</v>
      </c>
      <c r="Z87" s="460" t="s">
        <v>200</v>
      </c>
    </row>
    <row r="88" spans="1:26">
      <c r="A88" s="406">
        <v>85</v>
      </c>
      <c r="B88" s="613" t="s">
        <v>5299</v>
      </c>
      <c r="C88" s="288" t="s">
        <v>201</v>
      </c>
      <c r="D88" s="414" t="s">
        <v>4483</v>
      </c>
      <c r="E88" s="407" t="s">
        <v>9057</v>
      </c>
      <c r="F88" s="483" t="s">
        <v>5301</v>
      </c>
      <c r="G88" s="411" t="s">
        <v>5300</v>
      </c>
      <c r="H88" s="411"/>
      <c r="I88" s="411"/>
      <c r="J88" s="411"/>
      <c r="K88" s="411"/>
      <c r="L88" s="608">
        <v>8108.6574803149615</v>
      </c>
      <c r="M88" s="409">
        <v>6732.1574803149615</v>
      </c>
      <c r="N88" s="409">
        <v>14840.814960629923</v>
      </c>
      <c r="O88" s="410" t="s">
        <v>7773</v>
      </c>
      <c r="P88" s="406">
        <v>85</v>
      </c>
      <c r="Q88" s="470" t="s">
        <v>201</v>
      </c>
      <c r="R88" s="460" t="s">
        <v>202</v>
      </c>
      <c r="S88" s="270" t="s">
        <v>32</v>
      </c>
      <c r="U88" s="471"/>
      <c r="V88" s="471">
        <v>1</v>
      </c>
      <c r="W88" s="471" t="s">
        <v>202</v>
      </c>
      <c r="X88" s="471">
        <v>0</v>
      </c>
      <c r="Z88" s="460" t="s">
        <v>203</v>
      </c>
    </row>
    <row r="89" spans="1:26">
      <c r="A89" s="406">
        <v>86</v>
      </c>
      <c r="B89" s="613" t="s">
        <v>5291</v>
      </c>
      <c r="C89" s="288" t="s">
        <v>204</v>
      </c>
      <c r="D89" s="414" t="s">
        <v>4487</v>
      </c>
      <c r="E89" s="407" t="s">
        <v>9058</v>
      </c>
      <c r="F89" s="483" t="s">
        <v>5293</v>
      </c>
      <c r="G89" s="411" t="s">
        <v>5292</v>
      </c>
      <c r="H89" s="411"/>
      <c r="I89" s="411"/>
      <c r="J89" s="411"/>
      <c r="K89" s="411"/>
      <c r="L89" s="608">
        <v>8108.3700787401576</v>
      </c>
      <c r="M89" s="409">
        <v>6731.2795275590561</v>
      </c>
      <c r="N89" s="409">
        <v>14839.649606299214</v>
      </c>
      <c r="O89" s="410" t="s">
        <v>7771</v>
      </c>
      <c r="P89" s="406">
        <v>86</v>
      </c>
      <c r="Q89" s="470" t="s">
        <v>204</v>
      </c>
      <c r="R89" s="460" t="s">
        <v>205</v>
      </c>
      <c r="S89" s="270" t="s">
        <v>32</v>
      </c>
      <c r="U89" s="471"/>
      <c r="V89" s="471">
        <v>1</v>
      </c>
      <c r="W89" s="471" t="s">
        <v>205</v>
      </c>
      <c r="X89" s="471">
        <v>0</v>
      </c>
      <c r="Z89" s="460" t="s">
        <v>206</v>
      </c>
    </row>
    <row r="90" spans="1:26">
      <c r="A90" s="406">
        <v>87</v>
      </c>
      <c r="B90" s="613" t="s">
        <v>5321</v>
      </c>
      <c r="C90" s="288" t="s">
        <v>207</v>
      </c>
      <c r="D90" s="414" t="s">
        <v>4466</v>
      </c>
      <c r="E90" s="407" t="s">
        <v>9059</v>
      </c>
      <c r="F90" s="483" t="s">
        <v>5320</v>
      </c>
      <c r="G90" s="411" t="s">
        <v>5322</v>
      </c>
      <c r="H90" s="411"/>
      <c r="I90" s="411"/>
      <c r="J90" s="411"/>
      <c r="K90" s="411"/>
      <c r="L90" s="608">
        <v>8109.2716535433083</v>
      </c>
      <c r="M90" s="409">
        <v>6731.141732283465</v>
      </c>
      <c r="N90" s="409">
        <v>14840.413385826772</v>
      </c>
      <c r="O90" s="410" t="s">
        <v>7751</v>
      </c>
      <c r="P90" s="406">
        <v>87</v>
      </c>
      <c r="Q90" s="470" t="s">
        <v>207</v>
      </c>
      <c r="R90" s="460" t="s">
        <v>208</v>
      </c>
      <c r="S90" s="270" t="s">
        <v>32</v>
      </c>
      <c r="U90" s="471"/>
      <c r="V90" s="471">
        <v>1</v>
      </c>
      <c r="W90" s="471" t="s">
        <v>208</v>
      </c>
      <c r="X90" s="471">
        <v>0</v>
      </c>
      <c r="Z90" s="460" t="s">
        <v>209</v>
      </c>
    </row>
    <row r="91" spans="1:26">
      <c r="A91" s="406">
        <v>88</v>
      </c>
      <c r="B91" s="613" t="s">
        <v>5313</v>
      </c>
      <c r="C91" s="288" t="s">
        <v>210</v>
      </c>
      <c r="D91" s="414" t="s">
        <v>4459</v>
      </c>
      <c r="E91" s="407" t="s">
        <v>9060</v>
      </c>
      <c r="F91" s="483" t="s">
        <v>5312</v>
      </c>
      <c r="G91" s="411" t="s">
        <v>5314</v>
      </c>
      <c r="H91" s="411"/>
      <c r="I91" s="411"/>
      <c r="J91" s="411"/>
      <c r="K91" s="411"/>
      <c r="L91" s="608">
        <v>8699.9330708661419</v>
      </c>
      <c r="M91" s="409">
        <v>6140.8661417322837</v>
      </c>
      <c r="N91" s="409">
        <v>14840.799212598426</v>
      </c>
      <c r="O91" s="410" t="s">
        <v>7772</v>
      </c>
      <c r="P91" s="406">
        <v>88</v>
      </c>
      <c r="Q91" s="470" t="s">
        <v>210</v>
      </c>
      <c r="R91" s="460" t="s">
        <v>211</v>
      </c>
      <c r="S91" s="270" t="s">
        <v>32</v>
      </c>
      <c r="U91" s="471"/>
      <c r="V91" s="471">
        <v>1</v>
      </c>
      <c r="W91" s="471" t="s">
        <v>211</v>
      </c>
      <c r="X91" s="471">
        <v>0</v>
      </c>
      <c r="Z91" s="460" t="s">
        <v>212</v>
      </c>
    </row>
    <row r="92" spans="1:26">
      <c r="A92" s="406">
        <v>89</v>
      </c>
      <c r="B92" s="613" t="s">
        <v>5305</v>
      </c>
      <c r="C92" s="288" t="s">
        <v>213</v>
      </c>
      <c r="D92" s="414" t="s">
        <v>4485</v>
      </c>
      <c r="E92" s="407" t="s">
        <v>9061</v>
      </c>
      <c r="F92" s="483" t="s">
        <v>5304</v>
      </c>
      <c r="G92" s="411" t="s">
        <v>5306</v>
      </c>
      <c r="H92" s="411"/>
      <c r="I92" s="411"/>
      <c r="J92" s="411"/>
      <c r="K92" s="411"/>
      <c r="L92" s="608">
        <v>8108.3937007874019</v>
      </c>
      <c r="M92" s="409">
        <v>6730.7125984251979</v>
      </c>
      <c r="N92" s="409">
        <v>14839.106299212601</v>
      </c>
      <c r="O92" s="410" t="s">
        <v>7773</v>
      </c>
      <c r="P92" s="406">
        <v>89</v>
      </c>
      <c r="Q92" s="470" t="s">
        <v>213</v>
      </c>
      <c r="R92" s="460" t="s">
        <v>214</v>
      </c>
      <c r="S92" s="270" t="s">
        <v>32</v>
      </c>
      <c r="U92" s="471"/>
      <c r="V92" s="471">
        <v>1</v>
      </c>
      <c r="W92" s="471" t="s">
        <v>214</v>
      </c>
      <c r="X92" s="471">
        <v>0</v>
      </c>
      <c r="Z92" s="460" t="s">
        <v>4888</v>
      </c>
    </row>
    <row r="93" spans="1:26">
      <c r="A93" s="406">
        <v>90</v>
      </c>
      <c r="B93" s="613" t="s">
        <v>5297</v>
      </c>
      <c r="C93" s="288" t="s">
        <v>215</v>
      </c>
      <c r="D93" s="414" t="s">
        <v>4489</v>
      </c>
      <c r="E93" s="407" t="s">
        <v>9062</v>
      </c>
      <c r="F93" s="483" t="s">
        <v>5296</v>
      </c>
      <c r="G93" s="411" t="s">
        <v>5298</v>
      </c>
      <c r="H93" s="411"/>
      <c r="I93" s="411"/>
      <c r="J93" s="411"/>
      <c r="K93" s="411"/>
      <c r="L93" s="608">
        <v>8108.4803149606305</v>
      </c>
      <c r="M93" s="409">
        <v>6731.4566929133862</v>
      </c>
      <c r="N93" s="409">
        <v>14839.937007874016</v>
      </c>
      <c r="O93" s="410" t="s">
        <v>7771</v>
      </c>
      <c r="P93" s="406">
        <v>90</v>
      </c>
      <c r="Q93" s="470" t="s">
        <v>215</v>
      </c>
      <c r="R93" s="460" t="s">
        <v>216</v>
      </c>
      <c r="S93" s="270" t="s">
        <v>32</v>
      </c>
      <c r="U93" s="471"/>
      <c r="V93" s="471">
        <v>1</v>
      </c>
      <c r="W93" s="471" t="s">
        <v>216</v>
      </c>
      <c r="X93" s="471">
        <v>0</v>
      </c>
      <c r="Z93" s="460" t="s">
        <v>217</v>
      </c>
    </row>
    <row r="94" spans="1:26">
      <c r="A94" s="406">
        <v>91</v>
      </c>
      <c r="B94" s="613" t="s">
        <v>5229</v>
      </c>
      <c r="C94" s="288" t="s">
        <v>218</v>
      </c>
      <c r="D94" s="414" t="s">
        <v>4493</v>
      </c>
      <c r="E94" s="407" t="s">
        <v>9053</v>
      </c>
      <c r="F94" s="483" t="s">
        <v>5228</v>
      </c>
      <c r="G94" s="411" t="s">
        <v>5230</v>
      </c>
      <c r="H94" s="411"/>
      <c r="I94" s="411"/>
      <c r="J94" s="411"/>
      <c r="K94" s="411"/>
      <c r="L94" s="608">
        <v>8936.677165354331</v>
      </c>
      <c r="M94" s="409">
        <v>5904.4803149606305</v>
      </c>
      <c r="N94" s="409">
        <v>14841.157480314963</v>
      </c>
      <c r="O94" s="410" t="s">
        <v>7760</v>
      </c>
      <c r="P94" s="406">
        <v>91</v>
      </c>
      <c r="Q94" s="470" t="s">
        <v>218</v>
      </c>
      <c r="R94" s="475" t="s">
        <v>219</v>
      </c>
      <c r="S94" s="270" t="s">
        <v>32</v>
      </c>
      <c r="U94" s="471"/>
      <c r="V94" s="471">
        <v>0</v>
      </c>
      <c r="W94" s="471"/>
      <c r="X94" s="471"/>
      <c r="Z94" s="270" t="s">
        <v>220</v>
      </c>
    </row>
    <row r="95" spans="1:26">
      <c r="A95" s="406">
        <v>92</v>
      </c>
      <c r="B95" s="613" t="s">
        <v>5223</v>
      </c>
      <c r="C95" s="288" t="s">
        <v>221</v>
      </c>
      <c r="D95" s="414" t="s">
        <v>4491</v>
      </c>
      <c r="E95" s="407" t="s">
        <v>9054</v>
      </c>
      <c r="F95" s="483" t="s">
        <v>5225</v>
      </c>
      <c r="G95" s="411" t="s">
        <v>5224</v>
      </c>
      <c r="H95" s="411"/>
      <c r="I95" s="411"/>
      <c r="J95" s="411"/>
      <c r="K95" s="411"/>
      <c r="L95" s="608">
        <v>8936.4921259842522</v>
      </c>
      <c r="M95" s="409">
        <v>5904.2086614173231</v>
      </c>
      <c r="N95" s="409">
        <v>14840.700787401576</v>
      </c>
      <c r="O95" s="410" t="s">
        <v>7760</v>
      </c>
      <c r="P95" s="406">
        <v>92</v>
      </c>
      <c r="Q95" s="470" t="s">
        <v>221</v>
      </c>
      <c r="R95" s="475" t="s">
        <v>222</v>
      </c>
      <c r="S95" s="270" t="s">
        <v>32</v>
      </c>
      <c r="U95" s="471"/>
      <c r="V95" s="471">
        <v>0</v>
      </c>
      <c r="W95" s="471"/>
      <c r="X95" s="471"/>
      <c r="Z95" s="270" t="s">
        <v>223</v>
      </c>
    </row>
    <row r="96" spans="1:26">
      <c r="A96" s="406">
        <v>93</v>
      </c>
      <c r="B96" s="613" t="s">
        <v>4966</v>
      </c>
      <c r="C96" s="288" t="s">
        <v>224</v>
      </c>
      <c r="D96" s="414" t="s">
        <v>4438</v>
      </c>
      <c r="E96" s="407" t="s">
        <v>9063</v>
      </c>
      <c r="F96" s="483" t="s">
        <v>4964</v>
      </c>
      <c r="G96" s="483" t="s">
        <v>4965</v>
      </c>
      <c r="H96" s="411" t="s">
        <v>4967</v>
      </c>
      <c r="I96" s="411"/>
      <c r="J96" s="411"/>
      <c r="K96" s="411"/>
      <c r="L96" s="608">
        <v>7950.9566929133862</v>
      </c>
      <c r="M96" s="409">
        <v>1094.0551181102364</v>
      </c>
      <c r="N96" s="409">
        <v>9045.0118110236217</v>
      </c>
      <c r="O96" s="410" t="s">
        <v>7771</v>
      </c>
      <c r="P96" s="406">
        <v>93</v>
      </c>
      <c r="Q96" s="470" t="s">
        <v>224</v>
      </c>
      <c r="R96" s="460" t="s">
        <v>225</v>
      </c>
      <c r="S96" s="270" t="s">
        <v>32</v>
      </c>
      <c r="U96" s="471"/>
      <c r="V96" s="471">
        <v>1</v>
      </c>
      <c r="W96" s="471" t="s">
        <v>225</v>
      </c>
      <c r="X96" s="471">
        <v>0</v>
      </c>
    </row>
    <row r="97" spans="1:26">
      <c r="A97" s="406">
        <v>94</v>
      </c>
      <c r="B97" s="613" t="s">
        <v>4962</v>
      </c>
      <c r="C97" s="288" t="s">
        <v>226</v>
      </c>
      <c r="D97" s="414" t="s">
        <v>4436</v>
      </c>
      <c r="E97" s="407" t="s">
        <v>9064</v>
      </c>
      <c r="F97" s="483" t="s">
        <v>4960</v>
      </c>
      <c r="G97" s="483" t="s">
        <v>4961</v>
      </c>
      <c r="H97" s="411" t="s">
        <v>4963</v>
      </c>
      <c r="I97" s="411"/>
      <c r="J97" s="411"/>
      <c r="K97" s="411"/>
      <c r="L97" s="608">
        <v>8001.9488188976384</v>
      </c>
      <c r="M97" s="409">
        <v>1054.4212598425197</v>
      </c>
      <c r="N97" s="409">
        <v>9056.3700787401576</v>
      </c>
      <c r="O97" s="410" t="s">
        <v>7774</v>
      </c>
      <c r="P97" s="406">
        <v>94</v>
      </c>
      <c r="Q97" s="470" t="s">
        <v>226</v>
      </c>
      <c r="R97" s="460" t="s">
        <v>227</v>
      </c>
      <c r="S97" s="270" t="s">
        <v>32</v>
      </c>
      <c r="U97" s="471"/>
      <c r="V97" s="471">
        <v>1</v>
      </c>
      <c r="W97" s="471" t="s">
        <v>227</v>
      </c>
      <c r="X97" s="471">
        <v>0</v>
      </c>
    </row>
    <row r="98" spans="1:26">
      <c r="A98" s="406">
        <v>95</v>
      </c>
      <c r="B98" s="613" t="s">
        <v>4958</v>
      </c>
      <c r="C98" s="288" t="s">
        <v>228</v>
      </c>
      <c r="D98" s="414" t="s">
        <v>4434</v>
      </c>
      <c r="E98" s="407" t="s">
        <v>9065</v>
      </c>
      <c r="F98" s="483" t="s">
        <v>4956</v>
      </c>
      <c r="G98" s="483" t="s">
        <v>4957</v>
      </c>
      <c r="H98" s="411" t="s">
        <v>4959</v>
      </c>
      <c r="I98" s="411"/>
      <c r="J98" s="411"/>
      <c r="K98" s="411"/>
      <c r="L98" s="608">
        <v>8058.6023622047251</v>
      </c>
      <c r="M98" s="409">
        <v>1012.2952755905512</v>
      </c>
      <c r="N98" s="409">
        <v>9070.8976377952768</v>
      </c>
      <c r="O98" s="410" t="s">
        <v>7760</v>
      </c>
      <c r="P98" s="406">
        <v>95</v>
      </c>
      <c r="Q98" s="470" t="s">
        <v>228</v>
      </c>
      <c r="R98" s="460" t="s">
        <v>229</v>
      </c>
      <c r="S98" s="270" t="s">
        <v>32</v>
      </c>
      <c r="U98" s="471"/>
      <c r="V98" s="471">
        <v>1</v>
      </c>
      <c r="W98" s="471" t="s">
        <v>229</v>
      </c>
      <c r="X98" s="471">
        <v>0</v>
      </c>
    </row>
    <row r="99" spans="1:26">
      <c r="A99" s="406">
        <v>96</v>
      </c>
      <c r="B99" s="613" t="s">
        <v>6560</v>
      </c>
      <c r="C99" s="288" t="s">
        <v>230</v>
      </c>
      <c r="D99" s="414" t="s">
        <v>4423</v>
      </c>
      <c r="E99" s="407" t="s">
        <v>9066</v>
      </c>
      <c r="F99" s="483"/>
      <c r="G99" s="411"/>
      <c r="H99" s="411"/>
      <c r="I99" s="411"/>
      <c r="J99" s="411"/>
      <c r="K99" s="411"/>
      <c r="L99" s="608" t="s">
        <v>4884</v>
      </c>
      <c r="M99" s="409">
        <v>9777.8622047244098</v>
      </c>
      <c r="N99" s="409">
        <v>9777.8622047244098</v>
      </c>
      <c r="O99" s="410" t="s">
        <v>7570</v>
      </c>
      <c r="P99" s="406">
        <v>96</v>
      </c>
      <c r="Q99" s="470" t="s">
        <v>230</v>
      </c>
      <c r="R99" s="460" t="s">
        <v>231</v>
      </c>
      <c r="S99" s="270" t="s">
        <v>32</v>
      </c>
      <c r="U99" s="471"/>
      <c r="V99" s="471">
        <v>1</v>
      </c>
      <c r="W99" s="471" t="s">
        <v>231</v>
      </c>
      <c r="X99" s="471">
        <v>0</v>
      </c>
    </row>
    <row r="100" spans="1:26">
      <c r="A100" s="406">
        <v>97</v>
      </c>
      <c r="B100" s="613" t="s">
        <v>6561</v>
      </c>
      <c r="C100" s="288" t="s">
        <v>232</v>
      </c>
      <c r="D100" s="414" t="s">
        <v>4421</v>
      </c>
      <c r="E100" s="407" t="s">
        <v>9067</v>
      </c>
      <c r="F100" s="483"/>
      <c r="G100" s="411"/>
      <c r="H100" s="411"/>
      <c r="I100" s="411"/>
      <c r="J100" s="411"/>
      <c r="K100" s="411"/>
      <c r="L100" s="608" t="s">
        <v>4884</v>
      </c>
      <c r="M100" s="409">
        <v>9852.751968503937</v>
      </c>
      <c r="N100" s="409">
        <v>9852.751968503937</v>
      </c>
      <c r="O100" s="410" t="s">
        <v>7570</v>
      </c>
      <c r="P100" s="406">
        <v>97</v>
      </c>
      <c r="Q100" s="470" t="s">
        <v>232</v>
      </c>
      <c r="R100" s="460" t="s">
        <v>233</v>
      </c>
      <c r="S100" s="270" t="s">
        <v>32</v>
      </c>
      <c r="U100" s="471"/>
      <c r="V100" s="471">
        <v>1</v>
      </c>
      <c r="W100" s="471" t="s">
        <v>233</v>
      </c>
      <c r="X100" s="471">
        <v>0</v>
      </c>
    </row>
    <row r="101" spans="1:26">
      <c r="A101" s="406">
        <v>98</v>
      </c>
      <c r="B101" s="613" t="s">
        <v>5363</v>
      </c>
      <c r="C101" s="288" t="s">
        <v>234</v>
      </c>
      <c r="D101" s="414" t="s">
        <v>4437</v>
      </c>
      <c r="E101" s="407" t="s">
        <v>9068</v>
      </c>
      <c r="F101" s="483" t="s">
        <v>5362</v>
      </c>
      <c r="G101" s="411" t="s">
        <v>5364</v>
      </c>
      <c r="H101" s="411"/>
      <c r="I101" s="411"/>
      <c r="J101" s="411"/>
      <c r="K101" s="411"/>
      <c r="L101" s="608">
        <v>2179.8661417322837</v>
      </c>
      <c r="M101" s="409">
        <v>1593.5472440944884</v>
      </c>
      <c r="N101" s="409">
        <v>3773.4133858267719</v>
      </c>
      <c r="O101" s="410" t="s">
        <v>7760</v>
      </c>
      <c r="P101" s="406">
        <v>98</v>
      </c>
      <c r="Q101" s="470" t="s">
        <v>234</v>
      </c>
      <c r="R101" s="460" t="s">
        <v>235</v>
      </c>
      <c r="S101" s="270" t="s">
        <v>32</v>
      </c>
      <c r="U101" s="471"/>
      <c r="V101" s="471">
        <v>1</v>
      </c>
      <c r="W101" s="471" t="s">
        <v>235</v>
      </c>
      <c r="X101" s="471">
        <v>0</v>
      </c>
    </row>
    <row r="102" spans="1:26">
      <c r="A102" s="406">
        <v>99</v>
      </c>
      <c r="B102" s="613" t="s">
        <v>5360</v>
      </c>
      <c r="C102" s="288" t="s">
        <v>236</v>
      </c>
      <c r="D102" s="414" t="s">
        <v>4433</v>
      </c>
      <c r="E102" s="407" t="s">
        <v>9069</v>
      </c>
      <c r="F102" s="483" t="s">
        <v>5359</v>
      </c>
      <c r="G102" s="411" t="s">
        <v>5361</v>
      </c>
      <c r="H102" s="411"/>
      <c r="I102" s="411"/>
      <c r="J102" s="411"/>
      <c r="K102" s="411"/>
      <c r="L102" s="608">
        <v>2332.3425196850394</v>
      </c>
      <c r="M102" s="409">
        <v>1804.1732283464569</v>
      </c>
      <c r="N102" s="409">
        <v>4136.5157480314956</v>
      </c>
      <c r="O102" s="410" t="s">
        <v>7760</v>
      </c>
      <c r="P102" s="406">
        <v>99</v>
      </c>
      <c r="Q102" s="470" t="s">
        <v>236</v>
      </c>
      <c r="R102" s="460" t="s">
        <v>237</v>
      </c>
      <c r="S102" s="270" t="s">
        <v>32</v>
      </c>
      <c r="U102" s="471"/>
      <c r="V102" s="471">
        <v>1</v>
      </c>
      <c r="W102" s="471" t="s">
        <v>237</v>
      </c>
      <c r="X102" s="471">
        <v>0</v>
      </c>
    </row>
    <row r="103" spans="1:26">
      <c r="A103" s="406">
        <v>100</v>
      </c>
      <c r="B103" s="613" t="s">
        <v>5355</v>
      </c>
      <c r="C103" s="288" t="s">
        <v>238</v>
      </c>
      <c r="D103" s="414" t="s">
        <v>4435</v>
      </c>
      <c r="E103" s="407" t="s">
        <v>9070</v>
      </c>
      <c r="F103" s="483" t="s">
        <v>5354</v>
      </c>
      <c r="G103" s="411" t="s">
        <v>5356</v>
      </c>
      <c r="H103" s="411"/>
      <c r="I103" s="411"/>
      <c r="J103" s="411"/>
      <c r="K103" s="411"/>
      <c r="L103" s="608">
        <v>1638.1811023622047</v>
      </c>
      <c r="M103" s="409">
        <v>2139.232283464567</v>
      </c>
      <c r="N103" s="409">
        <v>3777.4133858267719</v>
      </c>
      <c r="O103" s="410" t="s">
        <v>7760</v>
      </c>
      <c r="P103" s="406">
        <v>100</v>
      </c>
      <c r="Q103" s="470" t="s">
        <v>238</v>
      </c>
      <c r="R103" s="460" t="s">
        <v>239</v>
      </c>
      <c r="S103" s="270" t="s">
        <v>32</v>
      </c>
      <c r="U103" s="471"/>
      <c r="V103" s="471">
        <v>1</v>
      </c>
      <c r="W103" s="471" t="s">
        <v>239</v>
      </c>
      <c r="X103" s="471">
        <v>0</v>
      </c>
    </row>
    <row r="104" spans="1:26">
      <c r="A104" s="406">
        <v>101</v>
      </c>
      <c r="B104" s="613" t="s">
        <v>6551</v>
      </c>
      <c r="C104" s="288" t="s">
        <v>240</v>
      </c>
      <c r="D104" s="414" t="s">
        <v>4364</v>
      </c>
      <c r="E104" s="407" t="s">
        <v>9071</v>
      </c>
      <c r="F104" s="483"/>
      <c r="G104" s="411"/>
      <c r="H104" s="411"/>
      <c r="I104" s="411"/>
      <c r="J104" s="411"/>
      <c r="K104" s="411"/>
      <c r="L104" s="608" t="s">
        <v>4884</v>
      </c>
      <c r="M104" s="409">
        <v>4885.6574803149606</v>
      </c>
      <c r="N104" s="409">
        <v>4885.6574803149606</v>
      </c>
      <c r="O104" s="410" t="s">
        <v>7576</v>
      </c>
      <c r="P104" s="406">
        <v>101</v>
      </c>
      <c r="Q104" s="470" t="s">
        <v>240</v>
      </c>
      <c r="R104" s="460" t="s">
        <v>241</v>
      </c>
      <c r="S104" s="270" t="s">
        <v>32</v>
      </c>
      <c r="U104" s="471">
        <v>1</v>
      </c>
      <c r="V104" s="471"/>
      <c r="W104" s="471" t="s">
        <v>241</v>
      </c>
      <c r="X104" s="471">
        <v>0</v>
      </c>
    </row>
    <row r="105" spans="1:26">
      <c r="A105" s="406">
        <v>102</v>
      </c>
      <c r="B105" s="613" t="s">
        <v>6409</v>
      </c>
      <c r="C105" s="288" t="s">
        <v>242</v>
      </c>
      <c r="D105" s="414" t="s">
        <v>4360</v>
      </c>
      <c r="E105" s="407" t="s">
        <v>9072</v>
      </c>
      <c r="F105" s="483"/>
      <c r="G105" s="411"/>
      <c r="H105" s="411"/>
      <c r="I105" s="411"/>
      <c r="J105" s="411"/>
      <c r="K105" s="411"/>
      <c r="L105" s="608" t="s">
        <v>4884</v>
      </c>
      <c r="M105" s="409">
        <v>5120.6574803149606</v>
      </c>
      <c r="N105" s="409">
        <v>5120.6574803149606</v>
      </c>
      <c r="O105" s="410" t="s">
        <v>7576</v>
      </c>
      <c r="P105" s="406">
        <v>102</v>
      </c>
      <c r="Q105" s="470" t="s">
        <v>242</v>
      </c>
      <c r="R105" s="460" t="s">
        <v>243</v>
      </c>
      <c r="S105" s="270" t="s">
        <v>32</v>
      </c>
      <c r="U105" s="471">
        <v>1</v>
      </c>
      <c r="V105" s="471"/>
      <c r="W105" s="471" t="s">
        <v>243</v>
      </c>
      <c r="X105" s="471">
        <v>0</v>
      </c>
    </row>
    <row r="106" spans="1:26">
      <c r="A106" s="406">
        <v>103</v>
      </c>
      <c r="B106" s="613" t="s">
        <v>5459</v>
      </c>
      <c r="C106" s="288" t="s">
        <v>244</v>
      </c>
      <c r="D106" s="414" t="s">
        <v>4116</v>
      </c>
      <c r="E106" s="407" t="s">
        <v>9038</v>
      </c>
      <c r="F106" s="483" t="s">
        <v>5461</v>
      </c>
      <c r="G106" s="411" t="s">
        <v>5460</v>
      </c>
      <c r="H106" s="411"/>
      <c r="I106" s="411"/>
      <c r="J106" s="411"/>
      <c r="K106" s="411"/>
      <c r="L106" s="608">
        <v>10432.633858267716</v>
      </c>
      <c r="M106" s="409">
        <v>5955.2637795275596</v>
      </c>
      <c r="N106" s="409">
        <v>16387.897637795279</v>
      </c>
      <c r="O106" s="410" t="s">
        <v>7755</v>
      </c>
      <c r="P106" s="406">
        <v>103</v>
      </c>
      <c r="Q106" s="470" t="s">
        <v>244</v>
      </c>
      <c r="R106" s="460" t="s">
        <v>245</v>
      </c>
      <c r="S106" s="270" t="s">
        <v>32</v>
      </c>
      <c r="U106" s="471">
        <v>0</v>
      </c>
      <c r="V106" s="471"/>
      <c r="W106" s="471" t="s">
        <v>245</v>
      </c>
      <c r="X106" s="471">
        <v>0</v>
      </c>
      <c r="Z106" s="270" t="s">
        <v>246</v>
      </c>
    </row>
    <row r="107" spans="1:26">
      <c r="A107" s="406">
        <v>104</v>
      </c>
      <c r="B107" s="613" t="s">
        <v>5457</v>
      </c>
      <c r="C107" s="288" t="s">
        <v>247</v>
      </c>
      <c r="D107" s="414" t="s">
        <v>3816</v>
      </c>
      <c r="E107" s="407" t="s">
        <v>9040</v>
      </c>
      <c r="F107" s="483" t="s">
        <v>5456</v>
      </c>
      <c r="G107" s="411" t="s">
        <v>5458</v>
      </c>
      <c r="H107" s="411"/>
      <c r="I107" s="411"/>
      <c r="J107" s="411"/>
      <c r="K107" s="411"/>
      <c r="L107" s="608">
        <v>14644.925196850396</v>
      </c>
      <c r="M107" s="409">
        <v>5896.389763779528</v>
      </c>
      <c r="N107" s="409">
        <v>20541.314960629923</v>
      </c>
      <c r="O107" s="410" t="s">
        <v>7764</v>
      </c>
      <c r="P107" s="406">
        <v>104</v>
      </c>
      <c r="Q107" s="470" t="s">
        <v>247</v>
      </c>
      <c r="R107" s="460" t="s">
        <v>248</v>
      </c>
      <c r="S107" s="270" t="s">
        <v>32</v>
      </c>
      <c r="U107" s="471">
        <v>0</v>
      </c>
      <c r="V107" s="471"/>
      <c r="W107" s="471" t="s">
        <v>248</v>
      </c>
      <c r="X107" s="471">
        <v>0</v>
      </c>
      <c r="Z107" s="270" t="s">
        <v>246</v>
      </c>
    </row>
    <row r="108" spans="1:26">
      <c r="A108" s="406">
        <v>105</v>
      </c>
      <c r="B108" s="613" t="s">
        <v>5451</v>
      </c>
      <c r="C108" s="288" t="s">
        <v>249</v>
      </c>
      <c r="D108" s="414" t="s">
        <v>4185</v>
      </c>
      <c r="E108" s="407" t="s">
        <v>9041</v>
      </c>
      <c r="F108" s="483" t="s">
        <v>5453</v>
      </c>
      <c r="G108" s="411" t="s">
        <v>5452</v>
      </c>
      <c r="H108" s="411"/>
      <c r="I108" s="411"/>
      <c r="J108" s="411"/>
      <c r="K108" s="411"/>
      <c r="L108" s="608">
        <v>9566.0905511811034</v>
      </c>
      <c r="M108" s="409">
        <v>6126.251968503937</v>
      </c>
      <c r="N108" s="409">
        <v>15692.34251968504</v>
      </c>
      <c r="O108" s="410" t="s">
        <v>7775</v>
      </c>
      <c r="P108" s="406">
        <v>105</v>
      </c>
      <c r="Q108" s="470" t="s">
        <v>249</v>
      </c>
      <c r="R108" s="460" t="s">
        <v>250</v>
      </c>
      <c r="S108" s="270" t="s">
        <v>32</v>
      </c>
      <c r="U108" s="471">
        <v>0</v>
      </c>
      <c r="V108" s="471"/>
      <c r="W108" s="471" t="s">
        <v>250</v>
      </c>
      <c r="X108" s="471">
        <v>0</v>
      </c>
      <c r="Z108" s="270" t="s">
        <v>246</v>
      </c>
    </row>
    <row r="109" spans="1:26">
      <c r="A109" s="406">
        <v>106</v>
      </c>
      <c r="B109" s="613" t="s">
        <v>6410</v>
      </c>
      <c r="C109" s="288" t="s">
        <v>251</v>
      </c>
      <c r="D109" s="414" t="s">
        <v>4349</v>
      </c>
      <c r="E109" s="407" t="s">
        <v>9073</v>
      </c>
      <c r="F109" s="483"/>
      <c r="G109" s="411"/>
      <c r="H109" s="411"/>
      <c r="I109" s="411"/>
      <c r="J109" s="411"/>
      <c r="K109" s="411"/>
      <c r="L109" s="608" t="s">
        <v>4884</v>
      </c>
      <c r="M109" s="409">
        <v>3387.0866141732286</v>
      </c>
      <c r="N109" s="409">
        <v>3387.0866141732286</v>
      </c>
      <c r="O109" s="410" t="s">
        <v>7569</v>
      </c>
      <c r="P109" s="406">
        <v>106</v>
      </c>
      <c r="Q109" s="470" t="s">
        <v>251</v>
      </c>
      <c r="R109" s="460" t="s">
        <v>252</v>
      </c>
      <c r="S109" s="270" t="s">
        <v>32</v>
      </c>
      <c r="U109" s="471">
        <v>1</v>
      </c>
      <c r="V109" s="471"/>
      <c r="W109" s="471" t="s">
        <v>252</v>
      </c>
      <c r="X109" s="471">
        <v>0</v>
      </c>
    </row>
    <row r="110" spans="1:26">
      <c r="A110" s="406">
        <v>107</v>
      </c>
      <c r="B110" s="613" t="s">
        <v>6729</v>
      </c>
      <c r="C110" s="288" t="s">
        <v>253</v>
      </c>
      <c r="D110" s="414" t="s">
        <v>4241</v>
      </c>
      <c r="E110" s="407" t="s">
        <v>9018</v>
      </c>
      <c r="F110" s="483" t="s">
        <v>5501</v>
      </c>
      <c r="G110" s="411" t="s">
        <v>5502</v>
      </c>
      <c r="H110" s="411"/>
      <c r="I110" s="411"/>
      <c r="J110" s="411"/>
      <c r="K110" s="411"/>
      <c r="L110" s="608">
        <v>9644.7125984251961</v>
      </c>
      <c r="M110" s="409">
        <v>2626.5669291338581</v>
      </c>
      <c r="N110" s="409">
        <v>12271.279527559054</v>
      </c>
      <c r="O110" s="410" t="s">
        <v>7776</v>
      </c>
      <c r="P110" s="406">
        <v>107</v>
      </c>
      <c r="Q110" s="470" t="s">
        <v>253</v>
      </c>
      <c r="R110" s="460" t="s">
        <v>254</v>
      </c>
      <c r="S110" s="270" t="s">
        <v>32</v>
      </c>
      <c r="U110" s="471">
        <v>0</v>
      </c>
      <c r="V110" s="471"/>
      <c r="W110" s="471" t="s">
        <v>254</v>
      </c>
      <c r="X110" s="471">
        <v>0</v>
      </c>
      <c r="Z110" s="270" t="s">
        <v>246</v>
      </c>
    </row>
    <row r="111" spans="1:26">
      <c r="A111" s="406">
        <v>108</v>
      </c>
      <c r="B111" s="613" t="s">
        <v>6730</v>
      </c>
      <c r="C111" s="288" t="s">
        <v>255</v>
      </c>
      <c r="D111" s="414" t="s">
        <v>4242</v>
      </c>
      <c r="E111" s="407" t="s">
        <v>9019</v>
      </c>
      <c r="F111" s="483" t="s">
        <v>5496</v>
      </c>
      <c r="G111" s="411" t="s">
        <v>5495</v>
      </c>
      <c r="H111" s="411"/>
      <c r="I111" s="411"/>
      <c r="J111" s="411"/>
      <c r="K111" s="411"/>
      <c r="L111" s="608">
        <v>9644.9960629921261</v>
      </c>
      <c r="M111" s="409">
        <v>2905.4133858267719</v>
      </c>
      <c r="N111" s="409">
        <v>12550.409448818898</v>
      </c>
      <c r="O111" s="410" t="s">
        <v>7777</v>
      </c>
      <c r="P111" s="406">
        <v>108</v>
      </c>
      <c r="Q111" s="470" t="s">
        <v>255</v>
      </c>
      <c r="R111" s="460" t="s">
        <v>256</v>
      </c>
      <c r="S111" s="270" t="s">
        <v>32</v>
      </c>
      <c r="U111" s="471">
        <v>0</v>
      </c>
      <c r="V111" s="471"/>
      <c r="W111" s="471" t="s">
        <v>256</v>
      </c>
      <c r="X111" s="471">
        <v>0</v>
      </c>
      <c r="Z111" s="270" t="s">
        <v>246</v>
      </c>
    </row>
    <row r="112" spans="1:26">
      <c r="A112" s="406">
        <v>109</v>
      </c>
      <c r="B112" s="613" t="s">
        <v>5491</v>
      </c>
      <c r="C112" s="288" t="s">
        <v>257</v>
      </c>
      <c r="D112" s="414" t="s">
        <v>4200</v>
      </c>
      <c r="E112" s="407" t="s">
        <v>9020</v>
      </c>
      <c r="F112" s="483" t="s">
        <v>5490</v>
      </c>
      <c r="G112" s="411" t="s">
        <v>5492</v>
      </c>
      <c r="H112" s="411"/>
      <c r="I112" s="411"/>
      <c r="J112" s="411"/>
      <c r="K112" s="411"/>
      <c r="L112" s="608">
        <v>9132.3661417322837</v>
      </c>
      <c r="M112" s="409">
        <v>5621.6850393700788</v>
      </c>
      <c r="N112" s="409">
        <v>14754.051181102361</v>
      </c>
      <c r="O112" s="410" t="s">
        <v>7767</v>
      </c>
      <c r="P112" s="406">
        <v>109</v>
      </c>
      <c r="Q112" s="470" t="s">
        <v>257</v>
      </c>
      <c r="R112" s="460" t="s">
        <v>258</v>
      </c>
      <c r="S112" s="270" t="s">
        <v>32</v>
      </c>
      <c r="U112" s="471">
        <v>0</v>
      </c>
      <c r="V112" s="471"/>
      <c r="W112" s="471" t="s">
        <v>258</v>
      </c>
      <c r="X112" s="471">
        <v>0</v>
      </c>
      <c r="Z112" s="270" t="s">
        <v>246</v>
      </c>
    </row>
    <row r="113" spans="1:26">
      <c r="A113" s="406">
        <v>110</v>
      </c>
      <c r="B113" s="613" t="s">
        <v>5483</v>
      </c>
      <c r="C113" s="288" t="s">
        <v>259</v>
      </c>
      <c r="D113" s="414" t="s">
        <v>4199</v>
      </c>
      <c r="E113" s="407" t="s">
        <v>9021</v>
      </c>
      <c r="F113" s="483" t="s">
        <v>5485</v>
      </c>
      <c r="G113" s="411" t="s">
        <v>5484</v>
      </c>
      <c r="H113" s="411"/>
      <c r="I113" s="411"/>
      <c r="J113" s="411"/>
      <c r="K113" s="411"/>
      <c r="L113" s="608">
        <v>9133.6338582677181</v>
      </c>
      <c r="M113" s="409">
        <v>5439.3858267716541</v>
      </c>
      <c r="N113" s="409">
        <v>14573.019685039373</v>
      </c>
      <c r="O113" s="410" t="s">
        <v>7754</v>
      </c>
      <c r="P113" s="406">
        <v>110</v>
      </c>
      <c r="Q113" s="470" t="s">
        <v>259</v>
      </c>
      <c r="R113" s="460" t="s">
        <v>260</v>
      </c>
      <c r="S113" s="270" t="s">
        <v>32</v>
      </c>
      <c r="U113" s="471">
        <v>0</v>
      </c>
      <c r="V113" s="471"/>
      <c r="W113" s="471" t="s">
        <v>260</v>
      </c>
      <c r="X113" s="471">
        <v>0</v>
      </c>
      <c r="Z113" s="270" t="s">
        <v>246</v>
      </c>
    </row>
    <row r="114" spans="1:26">
      <c r="A114" s="406">
        <v>111</v>
      </c>
      <c r="B114" s="613" t="s">
        <v>5481</v>
      </c>
      <c r="C114" s="288" t="s">
        <v>261</v>
      </c>
      <c r="D114" s="414" t="s">
        <v>3733</v>
      </c>
      <c r="E114" s="407" t="s">
        <v>9033</v>
      </c>
      <c r="F114" s="483" t="s">
        <v>5480</v>
      </c>
      <c r="G114" s="411" t="s">
        <v>5482</v>
      </c>
      <c r="H114" s="411"/>
      <c r="I114" s="411"/>
      <c r="J114" s="411"/>
      <c r="K114" s="411"/>
      <c r="L114" s="608">
        <v>13188.913385826772</v>
      </c>
      <c r="M114" s="409">
        <v>4408.7165354330709</v>
      </c>
      <c r="N114" s="409">
        <v>17597.629921259842</v>
      </c>
      <c r="O114" s="410" t="s">
        <v>7754</v>
      </c>
      <c r="P114" s="406">
        <v>111</v>
      </c>
      <c r="Q114" s="470" t="s">
        <v>261</v>
      </c>
      <c r="R114" s="460" t="s">
        <v>262</v>
      </c>
      <c r="S114" s="270" t="s">
        <v>32</v>
      </c>
      <c r="U114" s="471">
        <v>0</v>
      </c>
      <c r="V114" s="471"/>
      <c r="W114" s="471" t="s">
        <v>262</v>
      </c>
      <c r="X114" s="471">
        <v>0</v>
      </c>
      <c r="Z114" s="270" t="s">
        <v>246</v>
      </c>
    </row>
    <row r="115" spans="1:26">
      <c r="A115" s="406">
        <v>112</v>
      </c>
      <c r="B115" s="613" t="s">
        <v>5475</v>
      </c>
      <c r="C115" s="288" t="s">
        <v>263</v>
      </c>
      <c r="D115" s="414" t="s">
        <v>4127</v>
      </c>
      <c r="E115" s="407" t="s">
        <v>9034</v>
      </c>
      <c r="F115" s="483" t="s">
        <v>5477</v>
      </c>
      <c r="G115" s="411" t="s">
        <v>5476</v>
      </c>
      <c r="H115" s="411"/>
      <c r="I115" s="411"/>
      <c r="J115" s="411"/>
      <c r="K115" s="411"/>
      <c r="L115" s="608">
        <v>13187.901574803149</v>
      </c>
      <c r="M115" s="409">
        <v>4320.4566929133862</v>
      </c>
      <c r="N115" s="409">
        <v>17508.358267716536</v>
      </c>
      <c r="O115" s="410" t="s">
        <v>7780</v>
      </c>
      <c r="P115" s="406">
        <v>112</v>
      </c>
      <c r="Q115" s="470" t="s">
        <v>263</v>
      </c>
      <c r="R115" s="460" t="s">
        <v>264</v>
      </c>
      <c r="S115" s="270" t="s">
        <v>32</v>
      </c>
      <c r="U115" s="471">
        <v>0</v>
      </c>
      <c r="V115" s="471"/>
      <c r="W115" s="471" t="s">
        <v>264</v>
      </c>
      <c r="X115" s="471">
        <v>0</v>
      </c>
      <c r="Z115" s="270" t="s">
        <v>246</v>
      </c>
    </row>
    <row r="116" spans="1:26">
      <c r="A116" s="406">
        <v>113</v>
      </c>
      <c r="B116" s="613" t="s">
        <v>5473</v>
      </c>
      <c r="C116" s="288" t="s">
        <v>265</v>
      </c>
      <c r="D116" s="414" t="s">
        <v>3837</v>
      </c>
      <c r="E116" s="407" t="s">
        <v>9035</v>
      </c>
      <c r="F116" s="483" t="s">
        <v>5472</v>
      </c>
      <c r="G116" s="411" t="s">
        <v>5474</v>
      </c>
      <c r="H116" s="411"/>
      <c r="I116" s="411"/>
      <c r="J116" s="411"/>
      <c r="K116" s="411"/>
      <c r="L116" s="608">
        <v>15905.232283464569</v>
      </c>
      <c r="M116" s="409">
        <v>6482.9251968503941</v>
      </c>
      <c r="N116" s="409">
        <v>22388.157480314963</v>
      </c>
      <c r="O116" s="410" t="s">
        <v>7779</v>
      </c>
      <c r="P116" s="406">
        <v>113</v>
      </c>
      <c r="Q116" s="470" t="s">
        <v>265</v>
      </c>
      <c r="R116" s="460" t="s">
        <v>266</v>
      </c>
      <c r="S116" s="270" t="s">
        <v>32</v>
      </c>
      <c r="U116" s="471">
        <v>0</v>
      </c>
      <c r="V116" s="471"/>
      <c r="W116" s="471" t="s">
        <v>266</v>
      </c>
      <c r="X116" s="471">
        <v>0</v>
      </c>
      <c r="Z116" s="270" t="s">
        <v>246</v>
      </c>
    </row>
    <row r="117" spans="1:26">
      <c r="A117" s="406">
        <v>114</v>
      </c>
      <c r="B117" s="613" t="s">
        <v>5467</v>
      </c>
      <c r="C117" s="288" t="s">
        <v>267</v>
      </c>
      <c r="D117" s="414" t="s">
        <v>3817</v>
      </c>
      <c r="E117" s="407" t="s">
        <v>9036</v>
      </c>
      <c r="F117" s="483" t="s">
        <v>5469</v>
      </c>
      <c r="G117" s="411" t="s">
        <v>5468</v>
      </c>
      <c r="H117" s="411"/>
      <c r="I117" s="411"/>
      <c r="J117" s="411"/>
      <c r="K117" s="411"/>
      <c r="L117" s="608">
        <v>14644.618110236221</v>
      </c>
      <c r="M117" s="409">
        <v>6125.9370078740167</v>
      </c>
      <c r="N117" s="409">
        <v>20770.555118110235</v>
      </c>
      <c r="O117" s="410" t="s">
        <v>7779</v>
      </c>
      <c r="P117" s="406">
        <v>114</v>
      </c>
      <c r="Q117" s="470" t="s">
        <v>267</v>
      </c>
      <c r="R117" s="460" t="s">
        <v>268</v>
      </c>
      <c r="S117" s="270" t="s">
        <v>32</v>
      </c>
      <c r="U117" s="471">
        <v>0</v>
      </c>
      <c r="V117" s="471"/>
      <c r="W117" s="471" t="s">
        <v>268</v>
      </c>
      <c r="X117" s="471">
        <v>0</v>
      </c>
      <c r="Z117" s="270" t="s">
        <v>246</v>
      </c>
    </row>
    <row r="118" spans="1:26">
      <c r="A118" s="406">
        <v>115</v>
      </c>
      <c r="B118" s="613" t="s">
        <v>6411</v>
      </c>
      <c r="C118" s="288" t="s">
        <v>269</v>
      </c>
      <c r="D118" s="414" t="s">
        <v>4343</v>
      </c>
      <c r="E118" s="407" t="s">
        <v>9074</v>
      </c>
      <c r="F118" s="483"/>
      <c r="G118" s="411"/>
      <c r="H118" s="411"/>
      <c r="I118" s="411"/>
      <c r="J118" s="411"/>
      <c r="K118" s="411"/>
      <c r="L118" s="608" t="s">
        <v>4884</v>
      </c>
      <c r="M118" s="409">
        <v>3966.2007874015749</v>
      </c>
      <c r="N118" s="409">
        <v>3966.2007874015749</v>
      </c>
      <c r="O118" s="410" t="s">
        <v>7572</v>
      </c>
      <c r="P118" s="406">
        <v>115</v>
      </c>
      <c r="Q118" s="470" t="s">
        <v>269</v>
      </c>
      <c r="R118" s="460" t="s">
        <v>270</v>
      </c>
      <c r="S118" s="270" t="s">
        <v>32</v>
      </c>
      <c r="U118" s="471">
        <v>1</v>
      </c>
      <c r="V118" s="471"/>
      <c r="W118" s="471" t="s">
        <v>270</v>
      </c>
      <c r="X118" s="471">
        <v>0</v>
      </c>
      <c r="Z118" s="270" t="s">
        <v>271</v>
      </c>
    </row>
    <row r="119" spans="1:26">
      <c r="A119" s="406">
        <v>116</v>
      </c>
      <c r="B119" s="613" t="s">
        <v>6412</v>
      </c>
      <c r="C119" s="288" t="s">
        <v>272</v>
      </c>
      <c r="D119" s="414" t="s">
        <v>4346</v>
      </c>
      <c r="E119" s="407" t="s">
        <v>9075</v>
      </c>
      <c r="F119" s="483"/>
      <c r="G119" s="411"/>
      <c r="H119" s="411"/>
      <c r="I119" s="411"/>
      <c r="J119" s="411"/>
      <c r="K119" s="411"/>
      <c r="L119" s="608" t="s">
        <v>4884</v>
      </c>
      <c r="M119" s="409">
        <v>3702.4842519685039</v>
      </c>
      <c r="N119" s="409">
        <v>3702.4842519685039</v>
      </c>
      <c r="O119" s="410" t="s">
        <v>7572</v>
      </c>
      <c r="P119" s="406">
        <v>116</v>
      </c>
      <c r="Q119" s="470" t="s">
        <v>272</v>
      </c>
      <c r="R119" s="460" t="s">
        <v>273</v>
      </c>
      <c r="S119" s="270" t="s">
        <v>32</v>
      </c>
      <c r="U119" s="471">
        <v>1</v>
      </c>
      <c r="V119" s="471"/>
      <c r="W119" s="471" t="s">
        <v>273</v>
      </c>
      <c r="X119" s="471">
        <v>0</v>
      </c>
      <c r="Z119" s="270" t="s">
        <v>271</v>
      </c>
    </row>
    <row r="120" spans="1:26">
      <c r="A120" s="406">
        <v>117</v>
      </c>
      <c r="B120" s="613" t="s">
        <v>5449</v>
      </c>
      <c r="C120" s="288" t="s">
        <v>274</v>
      </c>
      <c r="D120" s="414" t="s">
        <v>4119</v>
      </c>
      <c r="E120" s="407" t="s">
        <v>9042</v>
      </c>
      <c r="F120" s="483" t="s">
        <v>5448</v>
      </c>
      <c r="G120" s="411" t="s">
        <v>5450</v>
      </c>
      <c r="H120" s="411"/>
      <c r="I120" s="411"/>
      <c r="J120" s="411"/>
      <c r="K120" s="411"/>
      <c r="L120" s="608">
        <v>10431.551181102364</v>
      </c>
      <c r="M120" s="409">
        <v>5873.1456692913389</v>
      </c>
      <c r="N120" s="409">
        <v>16304.696850393704</v>
      </c>
      <c r="O120" s="410" t="s">
        <v>7762</v>
      </c>
      <c r="P120" s="406">
        <v>117</v>
      </c>
      <c r="Q120" s="470" t="s">
        <v>274</v>
      </c>
      <c r="R120" s="460" t="s">
        <v>275</v>
      </c>
      <c r="S120" s="270" t="s">
        <v>32</v>
      </c>
      <c r="U120" s="471">
        <v>0</v>
      </c>
      <c r="V120" s="471"/>
      <c r="W120" s="471" t="s">
        <v>275</v>
      </c>
      <c r="X120" s="471">
        <v>0</v>
      </c>
      <c r="Z120" s="270" t="s">
        <v>246</v>
      </c>
    </row>
    <row r="121" spans="1:26">
      <c r="A121" s="406">
        <v>118</v>
      </c>
      <c r="B121" s="613" t="s">
        <v>5443</v>
      </c>
      <c r="C121" s="288" t="s">
        <v>276</v>
      </c>
      <c r="D121" s="414" t="s">
        <v>3838</v>
      </c>
      <c r="E121" s="407" t="s">
        <v>9039</v>
      </c>
      <c r="F121" s="483" t="s">
        <v>5445</v>
      </c>
      <c r="G121" s="411" t="s">
        <v>5444</v>
      </c>
      <c r="H121" s="411"/>
      <c r="I121" s="411"/>
      <c r="J121" s="411"/>
      <c r="K121" s="411"/>
      <c r="L121" s="608">
        <v>15904.960629921261</v>
      </c>
      <c r="M121" s="409">
        <v>5939.5393700787399</v>
      </c>
      <c r="N121" s="409">
        <v>21844.5</v>
      </c>
      <c r="O121" s="410" t="s">
        <v>7765</v>
      </c>
      <c r="P121" s="406">
        <v>118</v>
      </c>
      <c r="Q121" s="470" t="s">
        <v>276</v>
      </c>
      <c r="R121" s="460" t="s">
        <v>277</v>
      </c>
      <c r="S121" s="270" t="s">
        <v>32</v>
      </c>
      <c r="U121" s="471">
        <v>0</v>
      </c>
      <c r="V121" s="471"/>
      <c r="W121" s="471" t="s">
        <v>277</v>
      </c>
      <c r="X121" s="471">
        <v>0</v>
      </c>
      <c r="Z121" s="270" t="s">
        <v>246</v>
      </c>
    </row>
    <row r="122" spans="1:26">
      <c r="A122" s="406">
        <v>119</v>
      </c>
      <c r="B122" s="613" t="s">
        <v>5441</v>
      </c>
      <c r="C122" s="288" t="s">
        <v>278</v>
      </c>
      <c r="D122" s="414" t="s">
        <v>3732</v>
      </c>
      <c r="E122" s="407" t="s">
        <v>9076</v>
      </c>
      <c r="F122" s="483" t="s">
        <v>5440</v>
      </c>
      <c r="G122" s="411" t="s">
        <v>5442</v>
      </c>
      <c r="H122" s="411"/>
      <c r="I122" s="411"/>
      <c r="J122" s="411"/>
      <c r="K122" s="411"/>
      <c r="L122" s="608">
        <v>11423.161417322835</v>
      </c>
      <c r="M122" s="409">
        <v>8118.4763779527566</v>
      </c>
      <c r="N122" s="409">
        <v>19541.637795275594</v>
      </c>
      <c r="O122" s="410" t="s">
        <v>7780</v>
      </c>
      <c r="P122" s="406">
        <v>119</v>
      </c>
      <c r="Q122" s="470" t="s">
        <v>278</v>
      </c>
      <c r="R122" s="460" t="s">
        <v>279</v>
      </c>
      <c r="S122" s="270" t="s">
        <v>32</v>
      </c>
      <c r="U122" s="471">
        <v>0</v>
      </c>
      <c r="V122" s="471"/>
      <c r="W122" s="471" t="s">
        <v>279</v>
      </c>
      <c r="X122" s="471">
        <v>0</v>
      </c>
      <c r="Z122" s="270" t="s">
        <v>246</v>
      </c>
    </row>
    <row r="123" spans="1:26">
      <c r="A123" s="406">
        <v>120</v>
      </c>
      <c r="B123" s="613" t="s">
        <v>6731</v>
      </c>
      <c r="C123" s="288" t="s">
        <v>280</v>
      </c>
      <c r="D123" s="414" t="s">
        <v>4236</v>
      </c>
      <c r="E123" s="407" t="s">
        <v>9077</v>
      </c>
      <c r="F123" s="483" t="s">
        <v>5438</v>
      </c>
      <c r="G123" s="411" t="s">
        <v>5435</v>
      </c>
      <c r="H123" s="411"/>
      <c r="I123" s="411"/>
      <c r="J123" s="411"/>
      <c r="K123" s="411"/>
      <c r="L123" s="608">
        <v>7333.8385826771664</v>
      </c>
      <c r="M123" s="409">
        <v>7785.4763779527566</v>
      </c>
      <c r="N123" s="409">
        <v>15119.314960629923</v>
      </c>
      <c r="O123" s="410" t="s">
        <v>7781</v>
      </c>
      <c r="P123" s="406">
        <v>120</v>
      </c>
      <c r="Q123" s="470" t="s">
        <v>280</v>
      </c>
      <c r="R123" s="460" t="s">
        <v>281</v>
      </c>
      <c r="S123" s="270" t="s">
        <v>32</v>
      </c>
      <c r="U123" s="471">
        <v>0</v>
      </c>
      <c r="V123" s="471"/>
      <c r="W123" s="471" t="s">
        <v>281</v>
      </c>
      <c r="X123" s="477">
        <v>1</v>
      </c>
      <c r="Z123" s="270" t="s">
        <v>246</v>
      </c>
    </row>
    <row r="124" spans="1:26">
      <c r="A124" s="406">
        <v>121</v>
      </c>
      <c r="B124" s="613" t="s">
        <v>5433</v>
      </c>
      <c r="C124" s="288" t="s">
        <v>282</v>
      </c>
      <c r="D124" s="414" t="s">
        <v>3850</v>
      </c>
      <c r="E124" s="407" t="s">
        <v>9078</v>
      </c>
      <c r="F124" s="483" t="s">
        <v>5432</v>
      </c>
      <c r="G124" s="411" t="s">
        <v>5434</v>
      </c>
      <c r="H124" s="411"/>
      <c r="I124" s="411"/>
      <c r="J124" s="411"/>
      <c r="K124" s="411"/>
      <c r="L124" s="608">
        <v>16855.834645669293</v>
      </c>
      <c r="M124" s="409">
        <v>6851.7716535433074</v>
      </c>
      <c r="N124" s="409">
        <v>23707.606299212599</v>
      </c>
      <c r="O124" s="410" t="s">
        <v>7778</v>
      </c>
      <c r="P124" s="406">
        <v>121</v>
      </c>
      <c r="Q124" s="470" t="s">
        <v>282</v>
      </c>
      <c r="R124" s="460" t="s">
        <v>283</v>
      </c>
      <c r="S124" s="270" t="s">
        <v>32</v>
      </c>
      <c r="U124" s="471">
        <v>0</v>
      </c>
      <c r="V124" s="471"/>
      <c r="W124" s="471" t="s">
        <v>283</v>
      </c>
      <c r="X124" s="471">
        <v>0</v>
      </c>
      <c r="Z124" s="270" t="s">
        <v>246</v>
      </c>
    </row>
    <row r="125" spans="1:26">
      <c r="A125" s="406">
        <v>122</v>
      </c>
      <c r="B125" s="613" t="s">
        <v>5427</v>
      </c>
      <c r="C125" s="288" t="s">
        <v>284</v>
      </c>
      <c r="D125" s="414" t="s">
        <v>3789</v>
      </c>
      <c r="E125" s="407" t="s">
        <v>9079</v>
      </c>
      <c r="F125" s="483" t="s">
        <v>5429</v>
      </c>
      <c r="G125" s="411" t="s">
        <v>5428</v>
      </c>
      <c r="H125" s="411"/>
      <c r="I125" s="411"/>
      <c r="J125" s="411"/>
      <c r="K125" s="411"/>
      <c r="L125" s="608">
        <v>16794.976377952757</v>
      </c>
      <c r="M125" s="409">
        <v>6150.9094488188985</v>
      </c>
      <c r="N125" s="409">
        <v>22945.885826771657</v>
      </c>
      <c r="O125" s="410" t="s">
        <v>7778</v>
      </c>
      <c r="P125" s="406">
        <v>122</v>
      </c>
      <c r="Q125" s="470" t="s">
        <v>284</v>
      </c>
      <c r="R125" s="460" t="s">
        <v>285</v>
      </c>
      <c r="S125" s="270" t="s">
        <v>32</v>
      </c>
      <c r="U125" s="471">
        <v>0</v>
      </c>
      <c r="V125" s="471"/>
      <c r="W125" s="471" t="s">
        <v>285</v>
      </c>
      <c r="X125" s="471">
        <v>0</v>
      </c>
      <c r="Z125" s="270" t="s">
        <v>246</v>
      </c>
    </row>
    <row r="126" spans="1:26">
      <c r="A126" s="406">
        <v>123</v>
      </c>
      <c r="B126" s="613" t="s">
        <v>5425</v>
      </c>
      <c r="C126" s="288" t="s">
        <v>286</v>
      </c>
      <c r="D126" s="414" t="s">
        <v>4159</v>
      </c>
      <c r="E126" s="407" t="s">
        <v>9080</v>
      </c>
      <c r="F126" s="483" t="s">
        <v>5424</v>
      </c>
      <c r="G126" s="411" t="s">
        <v>5426</v>
      </c>
      <c r="H126" s="411"/>
      <c r="I126" s="411"/>
      <c r="J126" s="411"/>
      <c r="K126" s="411"/>
      <c r="L126" s="608">
        <v>11995.775590551182</v>
      </c>
      <c r="M126" s="409">
        <v>4775.9055118110236</v>
      </c>
      <c r="N126" s="409">
        <v>16771.681102362207</v>
      </c>
      <c r="O126" s="410" t="s">
        <v>7782</v>
      </c>
      <c r="P126" s="406">
        <v>123</v>
      </c>
      <c r="Q126" s="470" t="s">
        <v>286</v>
      </c>
      <c r="R126" s="460" t="s">
        <v>287</v>
      </c>
      <c r="S126" s="270" t="s">
        <v>32</v>
      </c>
      <c r="U126" s="471">
        <v>0</v>
      </c>
      <c r="V126" s="471"/>
      <c r="W126" s="471" t="s">
        <v>287</v>
      </c>
      <c r="X126" s="471">
        <v>0</v>
      </c>
      <c r="Z126" s="270" t="s">
        <v>246</v>
      </c>
    </row>
    <row r="127" spans="1:26">
      <c r="A127" s="406">
        <v>124</v>
      </c>
      <c r="B127" s="613" t="s">
        <v>5419</v>
      </c>
      <c r="C127" s="288" t="s">
        <v>288</v>
      </c>
      <c r="D127" s="414" t="s">
        <v>4206</v>
      </c>
      <c r="E127" s="407" t="s">
        <v>9081</v>
      </c>
      <c r="F127" s="483" t="s">
        <v>5421</v>
      </c>
      <c r="G127" s="411" t="s">
        <v>5420</v>
      </c>
      <c r="H127" s="411"/>
      <c r="I127" s="411"/>
      <c r="J127" s="411"/>
      <c r="K127" s="411"/>
      <c r="L127" s="608">
        <v>11623.657480314962</v>
      </c>
      <c r="M127" s="409">
        <v>4264.4133858267724</v>
      </c>
      <c r="N127" s="409">
        <v>15888.070866141734</v>
      </c>
      <c r="O127" s="410" t="s">
        <v>7782</v>
      </c>
      <c r="P127" s="406">
        <v>124</v>
      </c>
      <c r="Q127" s="470" t="s">
        <v>288</v>
      </c>
      <c r="R127" s="460" t="s">
        <v>289</v>
      </c>
      <c r="S127" s="270" t="s">
        <v>32</v>
      </c>
      <c r="U127" s="471">
        <v>0</v>
      </c>
      <c r="V127" s="471"/>
      <c r="W127" s="471" t="s">
        <v>289</v>
      </c>
      <c r="X127" s="471">
        <v>0</v>
      </c>
      <c r="Z127" s="270" t="s">
        <v>246</v>
      </c>
    </row>
    <row r="128" spans="1:26">
      <c r="A128" s="406">
        <v>125</v>
      </c>
      <c r="B128" s="613" t="s">
        <v>5417</v>
      </c>
      <c r="C128" s="288" t="s">
        <v>290</v>
      </c>
      <c r="D128" s="414" t="s">
        <v>4160</v>
      </c>
      <c r="E128" s="407" t="s">
        <v>9082</v>
      </c>
      <c r="F128" s="483" t="s">
        <v>5416</v>
      </c>
      <c r="G128" s="411" t="s">
        <v>5418</v>
      </c>
      <c r="H128" s="411"/>
      <c r="I128" s="411"/>
      <c r="J128" s="411"/>
      <c r="K128" s="411"/>
      <c r="L128" s="608">
        <v>12709.952755905513</v>
      </c>
      <c r="M128" s="409">
        <v>5802.3503937007881</v>
      </c>
      <c r="N128" s="409">
        <v>18512.303149606301</v>
      </c>
      <c r="O128" s="410" t="s">
        <v>7782</v>
      </c>
      <c r="P128" s="406">
        <v>125</v>
      </c>
      <c r="Q128" s="470" t="s">
        <v>290</v>
      </c>
      <c r="R128" s="460" t="s">
        <v>291</v>
      </c>
      <c r="S128" s="270" t="s">
        <v>32</v>
      </c>
      <c r="U128" s="471">
        <v>0</v>
      </c>
      <c r="V128" s="471"/>
      <c r="W128" s="471" t="s">
        <v>291</v>
      </c>
      <c r="X128" s="471">
        <v>0</v>
      </c>
      <c r="Z128" s="270" t="s">
        <v>246</v>
      </c>
    </row>
    <row r="129" spans="1:26">
      <c r="A129" s="406">
        <v>126</v>
      </c>
      <c r="B129" s="613" t="s">
        <v>5411</v>
      </c>
      <c r="C129" s="288" t="s">
        <v>292</v>
      </c>
      <c r="D129" s="414" t="s">
        <v>3851</v>
      </c>
      <c r="E129" s="407" t="s">
        <v>9083</v>
      </c>
      <c r="F129" s="483" t="s">
        <v>5413</v>
      </c>
      <c r="G129" s="411" t="s">
        <v>5412</v>
      </c>
      <c r="H129" s="411"/>
      <c r="I129" s="411"/>
      <c r="J129" s="411"/>
      <c r="K129" s="411"/>
      <c r="L129" s="608">
        <v>17910.007874015748</v>
      </c>
      <c r="M129" s="409">
        <v>6351.4842519685035</v>
      </c>
      <c r="N129" s="409">
        <v>24261.492125984252</v>
      </c>
      <c r="O129" s="410" t="s">
        <v>7780</v>
      </c>
      <c r="P129" s="406">
        <v>126</v>
      </c>
      <c r="Q129" s="470" t="s">
        <v>292</v>
      </c>
      <c r="R129" s="460" t="s">
        <v>293</v>
      </c>
      <c r="S129" s="270" t="s">
        <v>32</v>
      </c>
      <c r="U129" s="471">
        <v>0</v>
      </c>
      <c r="V129" s="471"/>
      <c r="W129" s="471" t="s">
        <v>293</v>
      </c>
      <c r="X129" s="471">
        <v>0</v>
      </c>
      <c r="Z129" s="270" t="s">
        <v>246</v>
      </c>
    </row>
    <row r="130" spans="1:26">
      <c r="A130" s="406">
        <v>127</v>
      </c>
      <c r="B130" s="613" t="s">
        <v>5381</v>
      </c>
      <c r="C130" s="288" t="s">
        <v>294</v>
      </c>
      <c r="D130" s="414" t="s">
        <v>3849</v>
      </c>
      <c r="E130" s="407" t="s">
        <v>9084</v>
      </c>
      <c r="F130" s="483" t="s">
        <v>5380</v>
      </c>
      <c r="G130" s="411" t="s">
        <v>5382</v>
      </c>
      <c r="H130" s="411"/>
      <c r="I130" s="411"/>
      <c r="J130" s="411"/>
      <c r="K130" s="411"/>
      <c r="L130" s="608">
        <v>12946.303149606299</v>
      </c>
      <c r="M130" s="409">
        <v>6683.1456692913389</v>
      </c>
      <c r="N130" s="409">
        <v>19629.448818897636</v>
      </c>
      <c r="O130" s="410" t="s">
        <v>7754</v>
      </c>
      <c r="P130" s="406">
        <v>127</v>
      </c>
      <c r="Q130" s="470" t="s">
        <v>294</v>
      </c>
      <c r="R130" s="460" t="s">
        <v>295</v>
      </c>
      <c r="S130" s="270" t="s">
        <v>32</v>
      </c>
      <c r="U130" s="471">
        <v>0</v>
      </c>
      <c r="V130" s="471"/>
      <c r="W130" s="471" t="s">
        <v>295</v>
      </c>
      <c r="X130" s="471">
        <v>0</v>
      </c>
      <c r="Z130" s="270" t="s">
        <v>246</v>
      </c>
    </row>
    <row r="131" spans="1:26">
      <c r="A131" s="406">
        <v>128</v>
      </c>
      <c r="B131" s="613" t="s">
        <v>5377</v>
      </c>
      <c r="C131" s="288" t="s">
        <v>296</v>
      </c>
      <c r="D131" s="414" t="s">
        <v>3840</v>
      </c>
      <c r="E131" s="407" t="s">
        <v>9085</v>
      </c>
      <c r="F131" s="483" t="s">
        <v>5379</v>
      </c>
      <c r="G131" s="411" t="s">
        <v>5378</v>
      </c>
      <c r="H131" s="411"/>
      <c r="I131" s="411"/>
      <c r="J131" s="411"/>
      <c r="K131" s="411"/>
      <c r="L131" s="608">
        <v>12938.043307086615</v>
      </c>
      <c r="M131" s="409">
        <v>6192.287401574803</v>
      </c>
      <c r="N131" s="409">
        <v>19130.330708661419</v>
      </c>
      <c r="O131" s="410" t="s">
        <v>7754</v>
      </c>
      <c r="P131" s="406">
        <v>128</v>
      </c>
      <c r="Q131" s="470" t="s">
        <v>296</v>
      </c>
      <c r="R131" s="460" t="s">
        <v>297</v>
      </c>
      <c r="S131" s="270" t="s">
        <v>32</v>
      </c>
      <c r="U131" s="471">
        <v>0</v>
      </c>
      <c r="V131" s="471"/>
      <c r="W131" s="471" t="s">
        <v>297</v>
      </c>
      <c r="X131" s="471">
        <v>0</v>
      </c>
      <c r="Z131" s="270" t="s">
        <v>246</v>
      </c>
    </row>
    <row r="132" spans="1:26">
      <c r="A132" s="406">
        <v>129</v>
      </c>
      <c r="B132" s="613" t="s">
        <v>5375</v>
      </c>
      <c r="C132" s="288" t="s">
        <v>298</v>
      </c>
      <c r="D132" s="414" t="s">
        <v>3808</v>
      </c>
      <c r="E132" s="407" t="s">
        <v>9086</v>
      </c>
      <c r="F132" s="483" t="s">
        <v>5374</v>
      </c>
      <c r="G132" s="411" t="s">
        <v>5376</v>
      </c>
      <c r="H132" s="411"/>
      <c r="I132" s="411"/>
      <c r="J132" s="411"/>
      <c r="K132" s="411"/>
      <c r="L132" s="608">
        <v>12950.539370078739</v>
      </c>
      <c r="M132" s="409">
        <v>7033.7165354330709</v>
      </c>
      <c r="N132" s="409">
        <v>19984.255905511811</v>
      </c>
      <c r="O132" s="410" t="s">
        <v>7748</v>
      </c>
      <c r="P132" s="406">
        <v>129</v>
      </c>
      <c r="Q132" s="470" t="s">
        <v>298</v>
      </c>
      <c r="R132" s="460" t="s">
        <v>299</v>
      </c>
      <c r="S132" s="270" t="s">
        <v>32</v>
      </c>
      <c r="U132" s="471">
        <v>0</v>
      </c>
      <c r="V132" s="471"/>
      <c r="W132" s="471" t="s">
        <v>299</v>
      </c>
      <c r="X132" s="471">
        <v>0</v>
      </c>
      <c r="Z132" s="270" t="s">
        <v>246</v>
      </c>
    </row>
    <row r="133" spans="1:26">
      <c r="A133" s="406">
        <v>130</v>
      </c>
      <c r="B133" s="613" t="s">
        <v>5371</v>
      </c>
      <c r="C133" s="288" t="s">
        <v>300</v>
      </c>
      <c r="D133" s="414" t="s">
        <v>3848</v>
      </c>
      <c r="E133" s="407" t="s">
        <v>9087</v>
      </c>
      <c r="F133" s="483" t="s">
        <v>5373</v>
      </c>
      <c r="G133" s="411" t="s">
        <v>5372</v>
      </c>
      <c r="H133" s="411"/>
      <c r="I133" s="411"/>
      <c r="J133" s="411"/>
      <c r="K133" s="411"/>
      <c r="L133" s="608">
        <v>12952.338582677165</v>
      </c>
      <c r="M133" s="409">
        <v>6853.6141732283459</v>
      </c>
      <c r="N133" s="409">
        <v>19805.952755905513</v>
      </c>
      <c r="O133" s="410" t="s">
        <v>7783</v>
      </c>
      <c r="P133" s="406">
        <v>130</v>
      </c>
      <c r="Q133" s="470" t="s">
        <v>300</v>
      </c>
      <c r="R133" s="460" t="s">
        <v>301</v>
      </c>
      <c r="S133" s="270" t="s">
        <v>32</v>
      </c>
      <c r="U133" s="471">
        <v>0</v>
      </c>
      <c r="V133" s="471"/>
      <c r="W133" s="471" t="s">
        <v>301</v>
      </c>
      <c r="X133" s="471">
        <v>0</v>
      </c>
      <c r="Z133" s="270" t="s">
        <v>246</v>
      </c>
    </row>
    <row r="134" spans="1:26">
      <c r="A134" s="406">
        <v>131</v>
      </c>
      <c r="B134" s="613" t="s">
        <v>5369</v>
      </c>
      <c r="C134" s="288" t="s">
        <v>302</v>
      </c>
      <c r="D134" s="414" t="s">
        <v>3841</v>
      </c>
      <c r="E134" s="407" t="s">
        <v>9088</v>
      </c>
      <c r="F134" s="483" t="s">
        <v>5368</v>
      </c>
      <c r="G134" s="411" t="s">
        <v>5370</v>
      </c>
      <c r="H134" s="411"/>
      <c r="I134" s="411"/>
      <c r="J134" s="411"/>
      <c r="K134" s="411"/>
      <c r="L134" s="608">
        <v>12951.944881889764</v>
      </c>
      <c r="M134" s="409">
        <v>7192.7952755905517</v>
      </c>
      <c r="N134" s="409">
        <v>20144.740157480315</v>
      </c>
      <c r="O134" s="410" t="s">
        <v>7783</v>
      </c>
      <c r="P134" s="406">
        <v>131</v>
      </c>
      <c r="Q134" s="470" t="s">
        <v>302</v>
      </c>
      <c r="R134" s="460" t="s">
        <v>303</v>
      </c>
      <c r="S134" s="270" t="s">
        <v>32</v>
      </c>
      <c r="U134" s="471">
        <v>0</v>
      </c>
      <c r="V134" s="471"/>
      <c r="W134" s="471" t="s">
        <v>303</v>
      </c>
      <c r="X134" s="471">
        <v>0</v>
      </c>
      <c r="Z134" s="270" t="s">
        <v>246</v>
      </c>
    </row>
    <row r="135" spans="1:26">
      <c r="A135" s="406">
        <v>132</v>
      </c>
      <c r="B135" s="613" t="s">
        <v>5365</v>
      </c>
      <c r="C135" s="288" t="s">
        <v>304</v>
      </c>
      <c r="D135" s="414" t="s">
        <v>3810</v>
      </c>
      <c r="E135" s="407" t="s">
        <v>9089</v>
      </c>
      <c r="F135" s="483" t="s">
        <v>5367</v>
      </c>
      <c r="G135" s="411" t="s">
        <v>5366</v>
      </c>
      <c r="H135" s="411"/>
      <c r="I135" s="411"/>
      <c r="J135" s="411"/>
      <c r="K135" s="411"/>
      <c r="L135" s="608">
        <v>12946.031496062993</v>
      </c>
      <c r="M135" s="409">
        <v>7735.1496062992128</v>
      </c>
      <c r="N135" s="409">
        <v>20681.181102362207</v>
      </c>
      <c r="O135" s="410" t="s">
        <v>7784</v>
      </c>
      <c r="P135" s="406">
        <v>132</v>
      </c>
      <c r="Q135" s="470" t="s">
        <v>304</v>
      </c>
      <c r="R135" s="460" t="s">
        <v>305</v>
      </c>
      <c r="S135" s="270" t="s">
        <v>32</v>
      </c>
      <c r="U135" s="471">
        <v>0</v>
      </c>
      <c r="V135" s="471"/>
      <c r="W135" s="471" t="s">
        <v>305</v>
      </c>
      <c r="X135" s="471">
        <v>0</v>
      </c>
      <c r="Z135" s="270" t="s">
        <v>246</v>
      </c>
    </row>
    <row r="136" spans="1:26">
      <c r="A136" s="406">
        <v>133</v>
      </c>
      <c r="B136" s="613" t="s">
        <v>5465</v>
      </c>
      <c r="C136" s="288" t="s">
        <v>306</v>
      </c>
      <c r="D136" s="414" t="s">
        <v>4115</v>
      </c>
      <c r="E136" s="407" t="s">
        <v>9037</v>
      </c>
      <c r="F136" s="483" t="s">
        <v>5464</v>
      </c>
      <c r="G136" s="411" t="s">
        <v>5466</v>
      </c>
      <c r="H136" s="411"/>
      <c r="I136" s="411"/>
      <c r="J136" s="411"/>
      <c r="K136" s="411"/>
      <c r="L136" s="608">
        <v>9565.5354330708669</v>
      </c>
      <c r="M136" s="409">
        <v>6133.0039370078739</v>
      </c>
      <c r="N136" s="409">
        <v>15698.539370078739</v>
      </c>
      <c r="O136" s="410" t="s">
        <v>7767</v>
      </c>
      <c r="P136" s="406">
        <v>133</v>
      </c>
      <c r="Q136" s="470" t="s">
        <v>306</v>
      </c>
      <c r="R136" s="460" t="s">
        <v>307</v>
      </c>
      <c r="S136" s="270" t="s">
        <v>32</v>
      </c>
      <c r="U136" s="471">
        <v>0</v>
      </c>
      <c r="V136" s="471"/>
      <c r="W136" s="478" t="s">
        <v>307</v>
      </c>
      <c r="X136" s="471">
        <v>0</v>
      </c>
      <c r="Z136" s="270" t="s">
        <v>4889</v>
      </c>
    </row>
    <row r="137" spans="1:26">
      <c r="A137" s="406">
        <v>134</v>
      </c>
      <c r="B137" s="613" t="s">
        <v>6732</v>
      </c>
      <c r="C137" s="288" t="s">
        <v>308</v>
      </c>
      <c r="D137" s="414" t="s">
        <v>3738</v>
      </c>
      <c r="E137" s="407" t="s">
        <v>9090</v>
      </c>
      <c r="F137" s="483"/>
      <c r="G137" s="411"/>
      <c r="H137" s="411"/>
      <c r="I137" s="411"/>
      <c r="J137" s="411"/>
      <c r="K137" s="411"/>
      <c r="L137" s="608" t="s">
        <v>4884</v>
      </c>
      <c r="M137" s="409">
        <v>6793.4251968503941</v>
      </c>
      <c r="N137" s="409">
        <v>6793.4251968503941</v>
      </c>
      <c r="O137" s="410" t="s">
        <v>7571</v>
      </c>
      <c r="P137" s="406">
        <v>134</v>
      </c>
      <c r="Q137" s="470" t="s">
        <v>308</v>
      </c>
      <c r="R137" s="475" t="s">
        <v>309</v>
      </c>
      <c r="S137" s="270" t="s">
        <v>32</v>
      </c>
      <c r="U137" s="471">
        <v>0</v>
      </c>
      <c r="V137" s="471"/>
      <c r="W137" s="471"/>
      <c r="X137" s="477">
        <v>1</v>
      </c>
      <c r="Z137" s="270" t="s">
        <v>7513</v>
      </c>
    </row>
    <row r="138" spans="1:26">
      <c r="A138" s="406">
        <v>135</v>
      </c>
      <c r="B138" s="613" t="s">
        <v>6413</v>
      </c>
      <c r="C138" s="288" t="s">
        <v>310</v>
      </c>
      <c r="D138" s="414" t="s">
        <v>4362</v>
      </c>
      <c r="E138" s="407" t="s">
        <v>9091</v>
      </c>
      <c r="F138" s="483"/>
      <c r="G138" s="411"/>
      <c r="H138" s="411"/>
      <c r="I138" s="411"/>
      <c r="J138" s="411"/>
      <c r="K138" s="411"/>
      <c r="L138" s="608" t="s">
        <v>4884</v>
      </c>
      <c r="M138" s="409">
        <v>5207.0196850393695</v>
      </c>
      <c r="N138" s="409">
        <v>5207.0196850393695</v>
      </c>
      <c r="O138" s="410" t="s">
        <v>7576</v>
      </c>
      <c r="P138" s="406">
        <v>135</v>
      </c>
      <c r="Q138" s="470" t="s">
        <v>310</v>
      </c>
      <c r="R138" s="460" t="s">
        <v>311</v>
      </c>
      <c r="S138" s="270" t="s">
        <v>32</v>
      </c>
      <c r="U138" s="471">
        <v>1</v>
      </c>
      <c r="V138" s="471"/>
      <c r="W138" s="471" t="s">
        <v>311</v>
      </c>
      <c r="X138" s="471">
        <v>0</v>
      </c>
    </row>
    <row r="139" spans="1:26">
      <c r="A139" s="406">
        <v>136</v>
      </c>
      <c r="B139" s="613" t="s">
        <v>6414</v>
      </c>
      <c r="C139" s="288" t="s">
        <v>312</v>
      </c>
      <c r="D139" s="414" t="s">
        <v>4351</v>
      </c>
      <c r="E139" s="407" t="s">
        <v>9092</v>
      </c>
      <c r="F139" s="483"/>
      <c r="G139" s="411"/>
      <c r="H139" s="411"/>
      <c r="I139" s="411"/>
      <c r="J139" s="411"/>
      <c r="K139" s="411"/>
      <c r="L139" s="608" t="s">
        <v>4884</v>
      </c>
      <c r="M139" s="409">
        <v>3255.248031496063</v>
      </c>
      <c r="N139" s="409">
        <v>3255.248031496063</v>
      </c>
      <c r="O139" s="410" t="s">
        <v>7569</v>
      </c>
      <c r="P139" s="406">
        <v>136</v>
      </c>
      <c r="Q139" s="470" t="s">
        <v>312</v>
      </c>
      <c r="R139" s="460" t="s">
        <v>313</v>
      </c>
      <c r="S139" s="270" t="s">
        <v>32</v>
      </c>
      <c r="U139" s="471">
        <v>1</v>
      </c>
      <c r="V139" s="471"/>
      <c r="W139" s="471" t="s">
        <v>313</v>
      </c>
      <c r="X139" s="471">
        <v>0</v>
      </c>
    </row>
    <row r="140" spans="1:26">
      <c r="A140" s="406">
        <v>137</v>
      </c>
      <c r="B140" s="613" t="s">
        <v>6415</v>
      </c>
      <c r="C140" s="288" t="s">
        <v>314</v>
      </c>
      <c r="D140" s="414" t="s">
        <v>4352</v>
      </c>
      <c r="E140" s="407" t="s">
        <v>9093</v>
      </c>
      <c r="F140" s="483"/>
      <c r="G140" s="411"/>
      <c r="H140" s="411"/>
      <c r="I140" s="411"/>
      <c r="J140" s="411"/>
      <c r="K140" s="411"/>
      <c r="L140" s="608" t="s">
        <v>4884</v>
      </c>
      <c r="M140" s="409">
        <v>3337.8425196850394</v>
      </c>
      <c r="N140" s="409">
        <v>3337.8425196850394</v>
      </c>
      <c r="O140" s="410" t="s">
        <v>7569</v>
      </c>
      <c r="P140" s="406">
        <v>137</v>
      </c>
      <c r="Q140" s="470" t="s">
        <v>314</v>
      </c>
      <c r="R140" s="460" t="s">
        <v>315</v>
      </c>
      <c r="S140" s="270" t="s">
        <v>32</v>
      </c>
      <c r="U140" s="471">
        <v>1</v>
      </c>
      <c r="V140" s="471"/>
      <c r="W140" s="471" t="s">
        <v>315</v>
      </c>
      <c r="X140" s="471">
        <v>0</v>
      </c>
    </row>
    <row r="141" spans="1:26">
      <c r="A141" s="406">
        <v>138</v>
      </c>
      <c r="B141" s="613" t="s">
        <v>6416</v>
      </c>
      <c r="C141" s="288" t="s">
        <v>316</v>
      </c>
      <c r="D141" s="414" t="s">
        <v>4335</v>
      </c>
      <c r="E141" s="407" t="s">
        <v>9094</v>
      </c>
      <c r="F141" s="483"/>
      <c r="G141" s="411"/>
      <c r="H141" s="411"/>
      <c r="I141" s="411"/>
      <c r="J141" s="411"/>
      <c r="K141" s="411"/>
      <c r="L141" s="608" t="s">
        <v>4884</v>
      </c>
      <c r="M141" s="409">
        <v>4508.854330708662</v>
      </c>
      <c r="N141" s="409">
        <v>4508.854330708662</v>
      </c>
      <c r="O141" s="410" t="s">
        <v>7573</v>
      </c>
      <c r="P141" s="406">
        <v>138</v>
      </c>
      <c r="Q141" s="470" t="s">
        <v>316</v>
      </c>
      <c r="R141" s="460" t="s">
        <v>317</v>
      </c>
      <c r="S141" s="270" t="s">
        <v>32</v>
      </c>
      <c r="U141" s="471">
        <v>1</v>
      </c>
      <c r="V141" s="471"/>
      <c r="W141" s="471" t="s">
        <v>317</v>
      </c>
      <c r="X141" s="471">
        <v>0</v>
      </c>
    </row>
    <row r="142" spans="1:26">
      <c r="A142" s="406">
        <v>139</v>
      </c>
      <c r="B142" s="613" t="s">
        <v>5459</v>
      </c>
      <c r="C142" s="288" t="s">
        <v>318</v>
      </c>
      <c r="D142" s="414" t="s">
        <v>4116</v>
      </c>
      <c r="E142" s="407" t="s">
        <v>9038</v>
      </c>
      <c r="F142" s="483" t="s">
        <v>5461</v>
      </c>
      <c r="G142" s="411" t="s">
        <v>5460</v>
      </c>
      <c r="H142" s="411"/>
      <c r="I142" s="411"/>
      <c r="J142" s="411"/>
      <c r="K142" s="411"/>
      <c r="L142" s="608">
        <v>10432.633858267716</v>
      </c>
      <c r="M142" s="409">
        <v>5955.2637795275596</v>
      </c>
      <c r="N142" s="409">
        <v>16387.897637795279</v>
      </c>
      <c r="O142" s="410" t="s">
        <v>7755</v>
      </c>
      <c r="P142" s="406">
        <v>139</v>
      </c>
      <c r="Q142" s="470" t="s">
        <v>318</v>
      </c>
      <c r="R142" s="460" t="s">
        <v>319</v>
      </c>
      <c r="S142" s="270" t="s">
        <v>32</v>
      </c>
      <c r="U142" s="471">
        <v>0</v>
      </c>
      <c r="V142" s="471"/>
      <c r="W142" s="471" t="s">
        <v>319</v>
      </c>
      <c r="X142" s="471">
        <v>0</v>
      </c>
      <c r="Z142" s="270" t="s">
        <v>246</v>
      </c>
    </row>
    <row r="143" spans="1:26">
      <c r="A143" s="406">
        <v>140</v>
      </c>
      <c r="B143" s="613" t="s">
        <v>5457</v>
      </c>
      <c r="C143" s="288" t="s">
        <v>320</v>
      </c>
      <c r="D143" s="414" t="s">
        <v>3816</v>
      </c>
      <c r="E143" s="407" t="s">
        <v>9040</v>
      </c>
      <c r="F143" s="483" t="s">
        <v>5456</v>
      </c>
      <c r="G143" s="411" t="s">
        <v>5458</v>
      </c>
      <c r="H143" s="411"/>
      <c r="I143" s="411"/>
      <c r="J143" s="411"/>
      <c r="K143" s="411"/>
      <c r="L143" s="608">
        <v>14644.925196850396</v>
      </c>
      <c r="M143" s="409">
        <v>5896.389763779528</v>
      </c>
      <c r="N143" s="409">
        <v>20541.314960629923</v>
      </c>
      <c r="O143" s="410" t="s">
        <v>7764</v>
      </c>
      <c r="P143" s="406">
        <v>140</v>
      </c>
      <c r="Q143" s="470" t="s">
        <v>320</v>
      </c>
      <c r="R143" s="460" t="s">
        <v>321</v>
      </c>
      <c r="S143" s="270" t="s">
        <v>32</v>
      </c>
      <c r="U143" s="471">
        <v>0</v>
      </c>
      <c r="V143" s="471"/>
      <c r="W143" s="471" t="s">
        <v>321</v>
      </c>
      <c r="X143" s="471">
        <v>0</v>
      </c>
      <c r="Z143" s="270" t="s">
        <v>246</v>
      </c>
    </row>
    <row r="144" spans="1:26">
      <c r="A144" s="406">
        <v>141</v>
      </c>
      <c r="B144" s="613" t="s">
        <v>5451</v>
      </c>
      <c r="C144" s="288" t="s">
        <v>322</v>
      </c>
      <c r="D144" s="414" t="s">
        <v>4185</v>
      </c>
      <c r="E144" s="407" t="s">
        <v>9041</v>
      </c>
      <c r="F144" s="483" t="s">
        <v>5453</v>
      </c>
      <c r="G144" s="411" t="s">
        <v>5452</v>
      </c>
      <c r="H144" s="411"/>
      <c r="I144" s="411"/>
      <c r="J144" s="411"/>
      <c r="K144" s="411"/>
      <c r="L144" s="608">
        <v>9566.0905511811034</v>
      </c>
      <c r="M144" s="409">
        <v>6126.251968503937</v>
      </c>
      <c r="N144" s="409">
        <v>15692.34251968504</v>
      </c>
      <c r="O144" s="410" t="s">
        <v>7775</v>
      </c>
      <c r="P144" s="406">
        <v>141</v>
      </c>
      <c r="Q144" s="470" t="s">
        <v>322</v>
      </c>
      <c r="R144" s="460" t="s">
        <v>323</v>
      </c>
      <c r="S144" s="270" t="s">
        <v>32</v>
      </c>
      <c r="U144" s="471">
        <v>0</v>
      </c>
      <c r="V144" s="471"/>
      <c r="W144" s="471" t="s">
        <v>323</v>
      </c>
      <c r="X144" s="471">
        <v>0</v>
      </c>
      <c r="Z144" s="270" t="s">
        <v>246</v>
      </c>
    </row>
    <row r="145" spans="1:26">
      <c r="A145" s="406">
        <v>142</v>
      </c>
      <c r="B145" s="613" t="s">
        <v>6417</v>
      </c>
      <c r="C145" s="288" t="s">
        <v>324</v>
      </c>
      <c r="D145" s="414" t="s">
        <v>4325</v>
      </c>
      <c r="E145" s="407" t="s">
        <v>9095</v>
      </c>
      <c r="F145" s="483"/>
      <c r="G145" s="411"/>
      <c r="H145" s="411"/>
      <c r="I145" s="411"/>
      <c r="J145" s="411"/>
      <c r="K145" s="411"/>
      <c r="L145" s="608" t="s">
        <v>4884</v>
      </c>
      <c r="M145" s="409">
        <v>4269.3779527559054</v>
      </c>
      <c r="N145" s="409">
        <v>4269.3779527559054</v>
      </c>
      <c r="O145" s="410" t="s">
        <v>7574</v>
      </c>
      <c r="P145" s="406">
        <v>142</v>
      </c>
      <c r="Q145" s="470" t="s">
        <v>324</v>
      </c>
      <c r="R145" s="460" t="s">
        <v>325</v>
      </c>
      <c r="S145" s="270" t="s">
        <v>32</v>
      </c>
      <c r="U145" s="471">
        <v>1</v>
      </c>
      <c r="V145" s="471"/>
      <c r="W145" s="471" t="s">
        <v>325</v>
      </c>
      <c r="X145" s="471">
        <v>0</v>
      </c>
    </row>
    <row r="146" spans="1:26">
      <c r="A146" s="406">
        <v>143</v>
      </c>
      <c r="B146" s="613" t="s">
        <v>6729</v>
      </c>
      <c r="C146" s="288" t="s">
        <v>326</v>
      </c>
      <c r="D146" s="414" t="s">
        <v>4241</v>
      </c>
      <c r="E146" s="407" t="s">
        <v>9018</v>
      </c>
      <c r="F146" s="483" t="s">
        <v>5501</v>
      </c>
      <c r="G146" s="411" t="s">
        <v>5502</v>
      </c>
      <c r="H146" s="411"/>
      <c r="I146" s="411"/>
      <c r="J146" s="411"/>
      <c r="K146" s="411"/>
      <c r="L146" s="608">
        <v>9644.7125984251961</v>
      </c>
      <c r="M146" s="409">
        <v>2626.5669291338581</v>
      </c>
      <c r="N146" s="409">
        <v>12271.279527559054</v>
      </c>
      <c r="O146" s="410" t="s">
        <v>7776</v>
      </c>
      <c r="P146" s="406">
        <v>143</v>
      </c>
      <c r="Q146" s="470" t="s">
        <v>326</v>
      </c>
      <c r="R146" s="460" t="s">
        <v>327</v>
      </c>
      <c r="S146" s="270" t="s">
        <v>32</v>
      </c>
      <c r="U146" s="471">
        <v>0</v>
      </c>
      <c r="V146" s="471"/>
      <c r="W146" s="471" t="s">
        <v>327</v>
      </c>
      <c r="X146" s="471">
        <v>0</v>
      </c>
      <c r="Z146" s="270" t="s">
        <v>246</v>
      </c>
    </row>
    <row r="147" spans="1:26">
      <c r="A147" s="406">
        <v>144</v>
      </c>
      <c r="B147" s="613" t="s">
        <v>6730</v>
      </c>
      <c r="C147" s="288" t="s">
        <v>328</v>
      </c>
      <c r="D147" s="414" t="s">
        <v>4242</v>
      </c>
      <c r="E147" s="407" t="s">
        <v>9019</v>
      </c>
      <c r="F147" s="483" t="s">
        <v>5496</v>
      </c>
      <c r="G147" s="411" t="s">
        <v>5495</v>
      </c>
      <c r="H147" s="411"/>
      <c r="I147" s="411"/>
      <c r="J147" s="411"/>
      <c r="K147" s="411"/>
      <c r="L147" s="608">
        <v>9644.9960629921261</v>
      </c>
      <c r="M147" s="409">
        <v>2905.4133858267719</v>
      </c>
      <c r="N147" s="409">
        <v>12550.409448818898</v>
      </c>
      <c r="O147" s="410" t="s">
        <v>7777</v>
      </c>
      <c r="P147" s="406">
        <v>144</v>
      </c>
      <c r="Q147" s="470" t="s">
        <v>328</v>
      </c>
      <c r="R147" s="460" t="s">
        <v>329</v>
      </c>
      <c r="S147" s="270" t="s">
        <v>32</v>
      </c>
      <c r="U147" s="471">
        <v>0</v>
      </c>
      <c r="V147" s="471"/>
      <c r="W147" s="471" t="s">
        <v>329</v>
      </c>
      <c r="X147" s="471">
        <v>0</v>
      </c>
      <c r="Z147" s="270" t="s">
        <v>246</v>
      </c>
    </row>
    <row r="148" spans="1:26">
      <c r="A148" s="406">
        <v>145</v>
      </c>
      <c r="B148" s="613" t="s">
        <v>5491</v>
      </c>
      <c r="C148" s="288" t="s">
        <v>330</v>
      </c>
      <c r="D148" s="414" t="s">
        <v>4200</v>
      </c>
      <c r="E148" s="407" t="s">
        <v>9020</v>
      </c>
      <c r="F148" s="483" t="s">
        <v>5490</v>
      </c>
      <c r="G148" s="411" t="s">
        <v>5492</v>
      </c>
      <c r="H148" s="411"/>
      <c r="I148" s="411"/>
      <c r="J148" s="411"/>
      <c r="K148" s="411"/>
      <c r="L148" s="608">
        <v>9132.3661417322837</v>
      </c>
      <c r="M148" s="409">
        <v>5621.6850393700788</v>
      </c>
      <c r="N148" s="409">
        <v>14754.051181102361</v>
      </c>
      <c r="O148" s="410" t="s">
        <v>7767</v>
      </c>
      <c r="P148" s="406">
        <v>145</v>
      </c>
      <c r="Q148" s="470" t="s">
        <v>330</v>
      </c>
      <c r="R148" s="460" t="s">
        <v>331</v>
      </c>
      <c r="S148" s="270" t="s">
        <v>32</v>
      </c>
      <c r="U148" s="471">
        <v>0</v>
      </c>
      <c r="V148" s="471"/>
      <c r="W148" s="471" t="s">
        <v>331</v>
      </c>
      <c r="X148" s="471">
        <v>0</v>
      </c>
      <c r="Z148" s="270" t="s">
        <v>246</v>
      </c>
    </row>
    <row r="149" spans="1:26">
      <c r="A149" s="406">
        <v>146</v>
      </c>
      <c r="B149" s="613" t="s">
        <v>5483</v>
      </c>
      <c r="C149" s="288" t="s">
        <v>332</v>
      </c>
      <c r="D149" s="414" t="s">
        <v>4199</v>
      </c>
      <c r="E149" s="407" t="s">
        <v>9021</v>
      </c>
      <c r="F149" s="483" t="s">
        <v>5485</v>
      </c>
      <c r="G149" s="411" t="s">
        <v>5484</v>
      </c>
      <c r="H149" s="411"/>
      <c r="I149" s="411"/>
      <c r="J149" s="411"/>
      <c r="K149" s="411"/>
      <c r="L149" s="608">
        <v>9133.6338582677181</v>
      </c>
      <c r="M149" s="409">
        <v>5439.3858267716541</v>
      </c>
      <c r="N149" s="409">
        <v>14573.019685039373</v>
      </c>
      <c r="O149" s="410" t="s">
        <v>7754</v>
      </c>
      <c r="P149" s="406">
        <v>146</v>
      </c>
      <c r="Q149" s="470" t="s">
        <v>332</v>
      </c>
      <c r="R149" s="460" t="s">
        <v>333</v>
      </c>
      <c r="S149" s="270" t="s">
        <v>32</v>
      </c>
      <c r="U149" s="471">
        <v>0</v>
      </c>
      <c r="V149" s="471"/>
      <c r="W149" s="471" t="s">
        <v>333</v>
      </c>
      <c r="X149" s="471">
        <v>0</v>
      </c>
      <c r="Z149" s="270" t="s">
        <v>246</v>
      </c>
    </row>
    <row r="150" spans="1:26">
      <c r="A150" s="406">
        <v>147</v>
      </c>
      <c r="B150" s="613" t="s">
        <v>5481</v>
      </c>
      <c r="C150" s="288" t="s">
        <v>334</v>
      </c>
      <c r="D150" s="414" t="s">
        <v>3733</v>
      </c>
      <c r="E150" s="407" t="s">
        <v>9033</v>
      </c>
      <c r="F150" s="483" t="s">
        <v>5480</v>
      </c>
      <c r="G150" s="411" t="s">
        <v>5482</v>
      </c>
      <c r="H150" s="411"/>
      <c r="I150" s="411"/>
      <c r="J150" s="411"/>
      <c r="K150" s="411"/>
      <c r="L150" s="608">
        <v>13188.913385826772</v>
      </c>
      <c r="M150" s="409">
        <v>4408.7165354330709</v>
      </c>
      <c r="N150" s="409">
        <v>17597.629921259842</v>
      </c>
      <c r="O150" s="410" t="s">
        <v>7754</v>
      </c>
      <c r="P150" s="406">
        <v>147</v>
      </c>
      <c r="Q150" s="470" t="s">
        <v>334</v>
      </c>
      <c r="R150" s="460" t="s">
        <v>335</v>
      </c>
      <c r="S150" s="270" t="s">
        <v>32</v>
      </c>
      <c r="U150" s="471">
        <v>0</v>
      </c>
      <c r="V150" s="471"/>
      <c r="W150" s="471" t="s">
        <v>335</v>
      </c>
      <c r="X150" s="471">
        <v>0</v>
      </c>
      <c r="Z150" s="270" t="s">
        <v>246</v>
      </c>
    </row>
    <row r="151" spans="1:26">
      <c r="A151" s="406">
        <v>148</v>
      </c>
      <c r="B151" s="613" t="s">
        <v>5475</v>
      </c>
      <c r="C151" s="288" t="s">
        <v>336</v>
      </c>
      <c r="D151" s="414" t="s">
        <v>4127</v>
      </c>
      <c r="E151" s="407" t="s">
        <v>9034</v>
      </c>
      <c r="F151" s="483" t="s">
        <v>5477</v>
      </c>
      <c r="G151" s="411" t="s">
        <v>5476</v>
      </c>
      <c r="H151" s="411"/>
      <c r="I151" s="411"/>
      <c r="J151" s="411"/>
      <c r="K151" s="411"/>
      <c r="L151" s="608">
        <v>13187.901574803149</v>
      </c>
      <c r="M151" s="409">
        <v>4320.4566929133862</v>
      </c>
      <c r="N151" s="409">
        <v>17508.358267716536</v>
      </c>
      <c r="O151" s="410" t="s">
        <v>7780</v>
      </c>
      <c r="P151" s="406">
        <v>148</v>
      </c>
      <c r="Q151" s="470" t="s">
        <v>336</v>
      </c>
      <c r="R151" s="460" t="s">
        <v>337</v>
      </c>
      <c r="S151" s="270" t="s">
        <v>32</v>
      </c>
      <c r="U151" s="471">
        <v>0</v>
      </c>
      <c r="V151" s="471"/>
      <c r="W151" s="471" t="s">
        <v>337</v>
      </c>
      <c r="X151" s="471">
        <v>0</v>
      </c>
      <c r="Z151" s="270" t="s">
        <v>246</v>
      </c>
    </row>
    <row r="152" spans="1:26">
      <c r="A152" s="406">
        <v>149</v>
      </c>
      <c r="B152" s="613" t="s">
        <v>5473</v>
      </c>
      <c r="C152" s="288" t="s">
        <v>338</v>
      </c>
      <c r="D152" s="414" t="s">
        <v>3837</v>
      </c>
      <c r="E152" s="407" t="s">
        <v>9035</v>
      </c>
      <c r="F152" s="483" t="s">
        <v>5472</v>
      </c>
      <c r="G152" s="411" t="s">
        <v>5474</v>
      </c>
      <c r="H152" s="411"/>
      <c r="I152" s="411"/>
      <c r="J152" s="411"/>
      <c r="K152" s="411"/>
      <c r="L152" s="608">
        <v>15905.232283464569</v>
      </c>
      <c r="M152" s="409">
        <v>6482.9251968503941</v>
      </c>
      <c r="N152" s="409">
        <v>22388.157480314963</v>
      </c>
      <c r="O152" s="410" t="s">
        <v>7779</v>
      </c>
      <c r="P152" s="406">
        <v>149</v>
      </c>
      <c r="Q152" s="470" t="s">
        <v>338</v>
      </c>
      <c r="R152" s="460" t="s">
        <v>339</v>
      </c>
      <c r="S152" s="270" t="s">
        <v>32</v>
      </c>
      <c r="U152" s="471">
        <v>0</v>
      </c>
      <c r="V152" s="471"/>
      <c r="W152" s="471" t="s">
        <v>339</v>
      </c>
      <c r="X152" s="471">
        <v>0</v>
      </c>
      <c r="Z152" s="270" t="s">
        <v>246</v>
      </c>
    </row>
    <row r="153" spans="1:26">
      <c r="A153" s="406">
        <v>150</v>
      </c>
      <c r="B153" s="613" t="s">
        <v>5467</v>
      </c>
      <c r="C153" s="288" t="s">
        <v>340</v>
      </c>
      <c r="D153" s="414" t="s">
        <v>3817</v>
      </c>
      <c r="E153" s="407" t="s">
        <v>9036</v>
      </c>
      <c r="F153" s="483" t="s">
        <v>5469</v>
      </c>
      <c r="G153" s="411" t="s">
        <v>5468</v>
      </c>
      <c r="H153" s="411"/>
      <c r="I153" s="411"/>
      <c r="J153" s="411"/>
      <c r="K153" s="411"/>
      <c r="L153" s="608">
        <v>14644.618110236221</v>
      </c>
      <c r="M153" s="409">
        <v>6125.9370078740167</v>
      </c>
      <c r="N153" s="409">
        <v>20770.555118110235</v>
      </c>
      <c r="O153" s="410" t="s">
        <v>7779</v>
      </c>
      <c r="P153" s="406">
        <v>150</v>
      </c>
      <c r="Q153" s="470" t="s">
        <v>340</v>
      </c>
      <c r="R153" s="460" t="s">
        <v>341</v>
      </c>
      <c r="S153" s="270" t="s">
        <v>32</v>
      </c>
      <c r="U153" s="471">
        <v>0</v>
      </c>
      <c r="V153" s="471"/>
      <c r="W153" s="471" t="s">
        <v>341</v>
      </c>
      <c r="X153" s="471">
        <v>0</v>
      </c>
      <c r="Z153" s="270" t="s">
        <v>246</v>
      </c>
    </row>
    <row r="154" spans="1:26">
      <c r="A154" s="406">
        <v>151</v>
      </c>
      <c r="B154" s="613" t="s">
        <v>6418</v>
      </c>
      <c r="C154" s="288" t="s">
        <v>342</v>
      </c>
      <c r="D154" s="414" t="s">
        <v>4319</v>
      </c>
      <c r="E154" s="407" t="s">
        <v>9096</v>
      </c>
      <c r="F154" s="483"/>
      <c r="G154" s="411"/>
      <c r="H154" s="411"/>
      <c r="I154" s="411"/>
      <c r="J154" s="411"/>
      <c r="K154" s="411"/>
      <c r="L154" s="608" t="s">
        <v>4884</v>
      </c>
      <c r="M154" s="409">
        <v>3891.5314960629921</v>
      </c>
      <c r="N154" s="409">
        <v>3891.5314960629921</v>
      </c>
      <c r="O154" s="410" t="s">
        <v>7574</v>
      </c>
      <c r="P154" s="406">
        <v>151</v>
      </c>
      <c r="Q154" s="470" t="s">
        <v>342</v>
      </c>
      <c r="R154" s="460" t="s">
        <v>343</v>
      </c>
      <c r="S154" s="270" t="s">
        <v>32</v>
      </c>
      <c r="U154" s="471">
        <v>1</v>
      </c>
      <c r="V154" s="471"/>
      <c r="W154" s="471" t="s">
        <v>343</v>
      </c>
      <c r="X154" s="471">
        <v>0</v>
      </c>
    </row>
    <row r="155" spans="1:26">
      <c r="A155" s="406">
        <v>152</v>
      </c>
      <c r="B155" s="613" t="s">
        <v>6419</v>
      </c>
      <c r="C155" s="288" t="s">
        <v>344</v>
      </c>
      <c r="D155" s="414" t="s">
        <v>4347</v>
      </c>
      <c r="E155" s="407" t="s">
        <v>9097</v>
      </c>
      <c r="F155" s="483"/>
      <c r="G155" s="411"/>
      <c r="H155" s="411"/>
      <c r="I155" s="411"/>
      <c r="J155" s="411"/>
      <c r="K155" s="411"/>
      <c r="L155" s="608" t="s">
        <v>4884</v>
      </c>
      <c r="M155" s="409">
        <v>5013.1850393700788</v>
      </c>
      <c r="N155" s="409">
        <v>5013.1850393700788</v>
      </c>
      <c r="O155" s="410" t="s">
        <v>7576</v>
      </c>
      <c r="P155" s="406">
        <v>152</v>
      </c>
      <c r="Q155" s="470" t="s">
        <v>344</v>
      </c>
      <c r="R155" s="460" t="s">
        <v>345</v>
      </c>
      <c r="S155" s="270" t="s">
        <v>32</v>
      </c>
      <c r="U155" s="471">
        <v>1</v>
      </c>
      <c r="V155" s="471"/>
      <c r="W155" s="471" t="s">
        <v>345</v>
      </c>
      <c r="X155" s="471">
        <v>0</v>
      </c>
    </row>
    <row r="156" spans="1:26">
      <c r="A156" s="406">
        <v>153</v>
      </c>
      <c r="B156" s="613" t="s">
        <v>5449</v>
      </c>
      <c r="C156" s="288" t="s">
        <v>346</v>
      </c>
      <c r="D156" s="414" t="s">
        <v>4119</v>
      </c>
      <c r="E156" s="407" t="s">
        <v>9042</v>
      </c>
      <c r="F156" s="483" t="s">
        <v>5448</v>
      </c>
      <c r="G156" s="411" t="s">
        <v>5450</v>
      </c>
      <c r="H156" s="411"/>
      <c r="I156" s="411"/>
      <c r="J156" s="411"/>
      <c r="K156" s="411"/>
      <c r="L156" s="608">
        <v>10431.551181102364</v>
      </c>
      <c r="M156" s="409">
        <v>5873.1456692913389</v>
      </c>
      <c r="N156" s="409">
        <v>16304.696850393704</v>
      </c>
      <c r="O156" s="410" t="s">
        <v>7762</v>
      </c>
      <c r="P156" s="406">
        <v>153</v>
      </c>
      <c r="Q156" s="470" t="s">
        <v>346</v>
      </c>
      <c r="R156" s="460" t="s">
        <v>347</v>
      </c>
      <c r="S156" s="270" t="s">
        <v>32</v>
      </c>
      <c r="U156" s="471">
        <v>0</v>
      </c>
      <c r="V156" s="471"/>
      <c r="W156" s="471" t="s">
        <v>347</v>
      </c>
      <c r="X156" s="471">
        <v>0</v>
      </c>
      <c r="Z156" s="270" t="s">
        <v>246</v>
      </c>
    </row>
    <row r="157" spans="1:26">
      <c r="A157" s="406">
        <v>154</v>
      </c>
      <c r="B157" s="613" t="s">
        <v>5443</v>
      </c>
      <c r="C157" s="288" t="s">
        <v>348</v>
      </c>
      <c r="D157" s="414" t="s">
        <v>3838</v>
      </c>
      <c r="E157" s="407" t="s">
        <v>9039</v>
      </c>
      <c r="F157" s="483" t="s">
        <v>5445</v>
      </c>
      <c r="G157" s="411" t="s">
        <v>5444</v>
      </c>
      <c r="H157" s="411"/>
      <c r="I157" s="411"/>
      <c r="J157" s="411"/>
      <c r="K157" s="411"/>
      <c r="L157" s="608">
        <v>15904.960629921261</v>
      </c>
      <c r="M157" s="409">
        <v>5939.5393700787399</v>
      </c>
      <c r="N157" s="409">
        <v>21844.5</v>
      </c>
      <c r="O157" s="410" t="s">
        <v>7765</v>
      </c>
      <c r="P157" s="406">
        <v>154</v>
      </c>
      <c r="Q157" s="470" t="s">
        <v>348</v>
      </c>
      <c r="R157" s="460" t="s">
        <v>349</v>
      </c>
      <c r="S157" s="270" t="s">
        <v>32</v>
      </c>
      <c r="U157" s="471">
        <v>0</v>
      </c>
      <c r="V157" s="471"/>
      <c r="W157" s="471" t="s">
        <v>349</v>
      </c>
      <c r="X157" s="471">
        <v>0</v>
      </c>
      <c r="Z157" s="270" t="s">
        <v>246</v>
      </c>
    </row>
    <row r="158" spans="1:26">
      <c r="A158" s="406">
        <v>155</v>
      </c>
      <c r="B158" s="613" t="s">
        <v>5441</v>
      </c>
      <c r="C158" s="288" t="s">
        <v>350</v>
      </c>
      <c r="D158" s="414" t="s">
        <v>3732</v>
      </c>
      <c r="E158" s="407" t="s">
        <v>9076</v>
      </c>
      <c r="F158" s="483" t="s">
        <v>5440</v>
      </c>
      <c r="G158" s="411" t="s">
        <v>5442</v>
      </c>
      <c r="H158" s="411"/>
      <c r="I158" s="411"/>
      <c r="J158" s="411"/>
      <c r="K158" s="411"/>
      <c r="L158" s="608">
        <v>11423.161417322835</v>
      </c>
      <c r="M158" s="409">
        <v>8118.4763779527566</v>
      </c>
      <c r="N158" s="409">
        <v>19541.637795275594</v>
      </c>
      <c r="O158" s="410" t="s">
        <v>7780</v>
      </c>
      <c r="P158" s="406">
        <v>155</v>
      </c>
      <c r="Q158" s="470" t="s">
        <v>350</v>
      </c>
      <c r="R158" s="460" t="s">
        <v>351</v>
      </c>
      <c r="S158" s="270" t="s">
        <v>32</v>
      </c>
      <c r="U158" s="471">
        <v>0</v>
      </c>
      <c r="V158" s="471"/>
      <c r="W158" s="471" t="s">
        <v>351</v>
      </c>
      <c r="X158" s="471">
        <v>0</v>
      </c>
      <c r="Z158" s="270" t="s">
        <v>246</v>
      </c>
    </row>
    <row r="159" spans="1:26">
      <c r="A159" s="406">
        <v>156</v>
      </c>
      <c r="B159" s="613" t="s">
        <v>6731</v>
      </c>
      <c r="C159" s="288" t="s">
        <v>352</v>
      </c>
      <c r="D159" s="414" t="s">
        <v>4236</v>
      </c>
      <c r="E159" s="407" t="s">
        <v>9077</v>
      </c>
      <c r="F159" s="483" t="s">
        <v>5438</v>
      </c>
      <c r="G159" s="411" t="s">
        <v>5435</v>
      </c>
      <c r="H159" s="411"/>
      <c r="I159" s="411"/>
      <c r="J159" s="411"/>
      <c r="K159" s="411"/>
      <c r="L159" s="608">
        <v>7333.8385826771664</v>
      </c>
      <c r="M159" s="409">
        <v>7785.4763779527566</v>
      </c>
      <c r="N159" s="409">
        <v>15119.314960629923</v>
      </c>
      <c r="O159" s="410" t="s">
        <v>7781</v>
      </c>
      <c r="P159" s="406">
        <v>156</v>
      </c>
      <c r="Q159" s="470" t="s">
        <v>352</v>
      </c>
      <c r="R159" s="460" t="s">
        <v>353</v>
      </c>
      <c r="S159" s="270" t="s">
        <v>32</v>
      </c>
      <c r="U159" s="471">
        <v>0</v>
      </c>
      <c r="V159" s="471"/>
      <c r="W159" s="471" t="s">
        <v>353</v>
      </c>
      <c r="X159" s="471">
        <v>0</v>
      </c>
      <c r="Z159" s="270" t="s">
        <v>246</v>
      </c>
    </row>
    <row r="160" spans="1:26">
      <c r="A160" s="406">
        <v>157</v>
      </c>
      <c r="B160" s="613" t="s">
        <v>5433</v>
      </c>
      <c r="C160" s="288" t="s">
        <v>354</v>
      </c>
      <c r="D160" s="414" t="s">
        <v>3850</v>
      </c>
      <c r="E160" s="407" t="s">
        <v>9078</v>
      </c>
      <c r="F160" s="483" t="s">
        <v>5432</v>
      </c>
      <c r="G160" s="411" t="s">
        <v>5434</v>
      </c>
      <c r="H160" s="411"/>
      <c r="I160" s="411"/>
      <c r="J160" s="411"/>
      <c r="K160" s="411"/>
      <c r="L160" s="608">
        <v>16855.834645669293</v>
      </c>
      <c r="M160" s="409">
        <v>6851.7716535433074</v>
      </c>
      <c r="N160" s="409">
        <v>23707.606299212599</v>
      </c>
      <c r="O160" s="410" t="s">
        <v>7778</v>
      </c>
      <c r="P160" s="406">
        <v>157</v>
      </c>
      <c r="Q160" s="470" t="s">
        <v>354</v>
      </c>
      <c r="R160" s="460" t="s">
        <v>355</v>
      </c>
      <c r="S160" s="270" t="s">
        <v>32</v>
      </c>
      <c r="U160" s="471">
        <v>0</v>
      </c>
      <c r="V160" s="471"/>
      <c r="W160" s="471" t="s">
        <v>355</v>
      </c>
      <c r="X160" s="471">
        <v>0</v>
      </c>
      <c r="Z160" s="270" t="s">
        <v>246</v>
      </c>
    </row>
    <row r="161" spans="1:26">
      <c r="A161" s="406">
        <v>158</v>
      </c>
      <c r="B161" s="613" t="s">
        <v>5427</v>
      </c>
      <c r="C161" s="288" t="s">
        <v>356</v>
      </c>
      <c r="D161" s="414" t="s">
        <v>3789</v>
      </c>
      <c r="E161" s="407" t="s">
        <v>9079</v>
      </c>
      <c r="F161" s="483" t="s">
        <v>5429</v>
      </c>
      <c r="G161" s="411" t="s">
        <v>5428</v>
      </c>
      <c r="H161" s="411"/>
      <c r="I161" s="411"/>
      <c r="J161" s="411"/>
      <c r="K161" s="411"/>
      <c r="L161" s="608">
        <v>16794.976377952757</v>
      </c>
      <c r="M161" s="409">
        <v>6150.9094488188985</v>
      </c>
      <c r="N161" s="409">
        <v>22945.885826771657</v>
      </c>
      <c r="O161" s="410" t="s">
        <v>7778</v>
      </c>
      <c r="P161" s="406">
        <v>158</v>
      </c>
      <c r="Q161" s="470" t="s">
        <v>356</v>
      </c>
      <c r="R161" s="460" t="s">
        <v>357</v>
      </c>
      <c r="S161" s="270" t="s">
        <v>32</v>
      </c>
      <c r="U161" s="471">
        <v>0</v>
      </c>
      <c r="V161" s="471"/>
      <c r="W161" s="471" t="s">
        <v>357</v>
      </c>
      <c r="X161" s="471">
        <v>0</v>
      </c>
      <c r="Z161" s="270" t="s">
        <v>246</v>
      </c>
    </row>
    <row r="162" spans="1:26">
      <c r="A162" s="406">
        <v>159</v>
      </c>
      <c r="B162" s="613" t="s">
        <v>5425</v>
      </c>
      <c r="C162" s="288" t="s">
        <v>358</v>
      </c>
      <c r="D162" s="414" t="s">
        <v>4159</v>
      </c>
      <c r="E162" s="407" t="s">
        <v>9080</v>
      </c>
      <c r="F162" s="483" t="s">
        <v>5424</v>
      </c>
      <c r="G162" s="411" t="s">
        <v>5426</v>
      </c>
      <c r="H162" s="411"/>
      <c r="I162" s="411"/>
      <c r="J162" s="411"/>
      <c r="K162" s="411"/>
      <c r="L162" s="608">
        <v>11995.775590551182</v>
      </c>
      <c r="M162" s="409">
        <v>4775.9055118110236</v>
      </c>
      <c r="N162" s="409">
        <v>16771.681102362207</v>
      </c>
      <c r="O162" s="410" t="s">
        <v>7782</v>
      </c>
      <c r="P162" s="406">
        <v>159</v>
      </c>
      <c r="Q162" s="470" t="s">
        <v>358</v>
      </c>
      <c r="R162" s="460" t="s">
        <v>359</v>
      </c>
      <c r="S162" s="270" t="s">
        <v>32</v>
      </c>
      <c r="U162" s="471">
        <v>0</v>
      </c>
      <c r="V162" s="471"/>
      <c r="W162" s="471" t="s">
        <v>359</v>
      </c>
      <c r="X162" s="471">
        <v>0</v>
      </c>
      <c r="Z162" s="270" t="s">
        <v>246</v>
      </c>
    </row>
    <row r="163" spans="1:26">
      <c r="A163" s="406">
        <v>160</v>
      </c>
      <c r="B163" s="613" t="s">
        <v>5419</v>
      </c>
      <c r="C163" s="288" t="s">
        <v>360</v>
      </c>
      <c r="D163" s="414" t="s">
        <v>4206</v>
      </c>
      <c r="E163" s="407" t="s">
        <v>9081</v>
      </c>
      <c r="F163" s="483" t="s">
        <v>5421</v>
      </c>
      <c r="G163" s="411" t="s">
        <v>5420</v>
      </c>
      <c r="H163" s="411"/>
      <c r="I163" s="411"/>
      <c r="J163" s="411"/>
      <c r="K163" s="411"/>
      <c r="L163" s="608">
        <v>11623.657480314962</v>
      </c>
      <c r="M163" s="409">
        <v>4264.4133858267724</v>
      </c>
      <c r="N163" s="409">
        <v>15888.070866141734</v>
      </c>
      <c r="O163" s="410" t="s">
        <v>7782</v>
      </c>
      <c r="P163" s="406">
        <v>160</v>
      </c>
      <c r="Q163" s="470" t="s">
        <v>360</v>
      </c>
      <c r="R163" s="460" t="s">
        <v>361</v>
      </c>
      <c r="S163" s="270" t="s">
        <v>32</v>
      </c>
      <c r="U163" s="471">
        <v>0</v>
      </c>
      <c r="V163" s="471"/>
      <c r="W163" s="471" t="s">
        <v>361</v>
      </c>
      <c r="X163" s="471">
        <v>0</v>
      </c>
      <c r="Z163" s="270" t="s">
        <v>246</v>
      </c>
    </row>
    <row r="164" spans="1:26">
      <c r="A164" s="406">
        <v>161</v>
      </c>
      <c r="B164" s="613" t="s">
        <v>5417</v>
      </c>
      <c r="C164" s="288" t="s">
        <v>362</v>
      </c>
      <c r="D164" s="414" t="s">
        <v>4160</v>
      </c>
      <c r="E164" s="407" t="s">
        <v>9082</v>
      </c>
      <c r="F164" s="483" t="s">
        <v>5416</v>
      </c>
      <c r="G164" s="411" t="s">
        <v>5418</v>
      </c>
      <c r="H164" s="411"/>
      <c r="I164" s="411"/>
      <c r="J164" s="411"/>
      <c r="K164" s="411"/>
      <c r="L164" s="608">
        <v>12709.952755905513</v>
      </c>
      <c r="M164" s="409">
        <v>5802.3503937007881</v>
      </c>
      <c r="N164" s="409">
        <v>18512.303149606301</v>
      </c>
      <c r="O164" s="410" t="s">
        <v>7782</v>
      </c>
      <c r="P164" s="406">
        <v>161</v>
      </c>
      <c r="Q164" s="470" t="s">
        <v>362</v>
      </c>
      <c r="R164" s="460" t="s">
        <v>363</v>
      </c>
      <c r="S164" s="270" t="s">
        <v>32</v>
      </c>
      <c r="U164" s="471">
        <v>0</v>
      </c>
      <c r="V164" s="471"/>
      <c r="W164" s="471" t="s">
        <v>363</v>
      </c>
      <c r="X164" s="471">
        <v>0</v>
      </c>
      <c r="Z164" s="270" t="s">
        <v>246</v>
      </c>
    </row>
    <row r="165" spans="1:26">
      <c r="A165" s="406">
        <v>162</v>
      </c>
      <c r="B165" s="613" t="s">
        <v>5411</v>
      </c>
      <c r="C165" s="288" t="s">
        <v>364</v>
      </c>
      <c r="D165" s="414" t="s">
        <v>3851</v>
      </c>
      <c r="E165" s="407" t="s">
        <v>9083</v>
      </c>
      <c r="F165" s="483" t="s">
        <v>5413</v>
      </c>
      <c r="G165" s="411" t="s">
        <v>5412</v>
      </c>
      <c r="H165" s="411"/>
      <c r="I165" s="411"/>
      <c r="J165" s="411"/>
      <c r="K165" s="411"/>
      <c r="L165" s="608">
        <v>17910.007874015748</v>
      </c>
      <c r="M165" s="409">
        <v>6351.4842519685035</v>
      </c>
      <c r="N165" s="409">
        <v>24261.492125984252</v>
      </c>
      <c r="O165" s="410" t="s">
        <v>7780</v>
      </c>
      <c r="P165" s="406">
        <v>162</v>
      </c>
      <c r="Q165" s="470" t="s">
        <v>364</v>
      </c>
      <c r="R165" s="460" t="s">
        <v>365</v>
      </c>
      <c r="S165" s="270" t="s">
        <v>32</v>
      </c>
      <c r="U165" s="471">
        <v>0</v>
      </c>
      <c r="V165" s="471"/>
      <c r="W165" s="471" t="s">
        <v>365</v>
      </c>
      <c r="X165" s="471">
        <v>0</v>
      </c>
      <c r="Z165" s="270" t="s">
        <v>246</v>
      </c>
    </row>
    <row r="166" spans="1:26">
      <c r="A166" s="406">
        <v>163</v>
      </c>
      <c r="B166" s="613" t="s">
        <v>5381</v>
      </c>
      <c r="C166" s="288" t="s">
        <v>366</v>
      </c>
      <c r="D166" s="414" t="s">
        <v>3849</v>
      </c>
      <c r="E166" s="407" t="s">
        <v>9084</v>
      </c>
      <c r="F166" s="483" t="s">
        <v>5380</v>
      </c>
      <c r="G166" s="411" t="s">
        <v>5382</v>
      </c>
      <c r="H166" s="411"/>
      <c r="I166" s="411"/>
      <c r="J166" s="411"/>
      <c r="K166" s="411"/>
      <c r="L166" s="608">
        <v>12946.303149606299</v>
      </c>
      <c r="M166" s="409">
        <v>6683.1456692913389</v>
      </c>
      <c r="N166" s="409">
        <v>19629.448818897636</v>
      </c>
      <c r="O166" s="410" t="s">
        <v>7754</v>
      </c>
      <c r="P166" s="406">
        <v>163</v>
      </c>
      <c r="Q166" s="470" t="s">
        <v>366</v>
      </c>
      <c r="R166" s="460" t="s">
        <v>367</v>
      </c>
      <c r="S166" s="270" t="s">
        <v>32</v>
      </c>
      <c r="U166" s="471">
        <v>0</v>
      </c>
      <c r="V166" s="471"/>
      <c r="W166" s="471" t="s">
        <v>367</v>
      </c>
      <c r="X166" s="471">
        <v>0</v>
      </c>
      <c r="Z166" s="270" t="s">
        <v>246</v>
      </c>
    </row>
    <row r="167" spans="1:26">
      <c r="A167" s="406">
        <v>164</v>
      </c>
      <c r="B167" s="613" t="s">
        <v>5377</v>
      </c>
      <c r="C167" s="288" t="s">
        <v>368</v>
      </c>
      <c r="D167" s="414" t="s">
        <v>3840</v>
      </c>
      <c r="E167" s="407" t="s">
        <v>9085</v>
      </c>
      <c r="F167" s="483" t="s">
        <v>5379</v>
      </c>
      <c r="G167" s="411" t="s">
        <v>5378</v>
      </c>
      <c r="H167" s="411"/>
      <c r="I167" s="411"/>
      <c r="J167" s="411"/>
      <c r="K167" s="411"/>
      <c r="L167" s="608">
        <v>12938.043307086615</v>
      </c>
      <c r="M167" s="409">
        <v>6192.287401574803</v>
      </c>
      <c r="N167" s="409">
        <v>19130.330708661419</v>
      </c>
      <c r="O167" s="410" t="s">
        <v>7754</v>
      </c>
      <c r="P167" s="406">
        <v>164</v>
      </c>
      <c r="Q167" s="470" t="s">
        <v>368</v>
      </c>
      <c r="R167" s="460" t="s">
        <v>369</v>
      </c>
      <c r="S167" s="270" t="s">
        <v>32</v>
      </c>
      <c r="U167" s="471">
        <v>0</v>
      </c>
      <c r="V167" s="471"/>
      <c r="W167" s="471" t="s">
        <v>369</v>
      </c>
      <c r="X167" s="471">
        <v>0</v>
      </c>
      <c r="Z167" s="270" t="s">
        <v>246</v>
      </c>
    </row>
    <row r="168" spans="1:26">
      <c r="A168" s="406">
        <v>165</v>
      </c>
      <c r="B168" s="613" t="s">
        <v>5375</v>
      </c>
      <c r="C168" s="288" t="s">
        <v>370</v>
      </c>
      <c r="D168" s="414" t="s">
        <v>3808</v>
      </c>
      <c r="E168" s="407" t="s">
        <v>9086</v>
      </c>
      <c r="F168" s="483" t="s">
        <v>5374</v>
      </c>
      <c r="G168" s="411" t="s">
        <v>5376</v>
      </c>
      <c r="H168" s="411"/>
      <c r="I168" s="411"/>
      <c r="J168" s="411"/>
      <c r="K168" s="411"/>
      <c r="L168" s="608">
        <v>12950.539370078739</v>
      </c>
      <c r="M168" s="409">
        <v>7033.7165354330709</v>
      </c>
      <c r="N168" s="409">
        <v>19984.255905511811</v>
      </c>
      <c r="O168" s="410" t="s">
        <v>7748</v>
      </c>
      <c r="P168" s="406">
        <v>165</v>
      </c>
      <c r="Q168" s="470" t="s">
        <v>370</v>
      </c>
      <c r="R168" s="460" t="s">
        <v>371</v>
      </c>
      <c r="S168" s="270" t="s">
        <v>32</v>
      </c>
      <c r="U168" s="471">
        <v>0</v>
      </c>
      <c r="V168" s="471"/>
      <c r="W168" s="471" t="s">
        <v>371</v>
      </c>
      <c r="X168" s="471">
        <v>0</v>
      </c>
      <c r="Z168" s="270" t="s">
        <v>246</v>
      </c>
    </row>
    <row r="169" spans="1:26">
      <c r="A169" s="406">
        <v>166</v>
      </c>
      <c r="B169" s="613" t="s">
        <v>5371</v>
      </c>
      <c r="C169" s="288" t="s">
        <v>372</v>
      </c>
      <c r="D169" s="414" t="s">
        <v>3848</v>
      </c>
      <c r="E169" s="407" t="s">
        <v>9087</v>
      </c>
      <c r="F169" s="483" t="s">
        <v>5373</v>
      </c>
      <c r="G169" s="411" t="s">
        <v>5372</v>
      </c>
      <c r="H169" s="411"/>
      <c r="I169" s="411"/>
      <c r="J169" s="411"/>
      <c r="K169" s="411"/>
      <c r="L169" s="608">
        <v>12952.338582677165</v>
      </c>
      <c r="M169" s="409">
        <v>6853.6141732283459</v>
      </c>
      <c r="N169" s="409">
        <v>19805.952755905513</v>
      </c>
      <c r="O169" s="410" t="s">
        <v>7783</v>
      </c>
      <c r="P169" s="406">
        <v>166</v>
      </c>
      <c r="Q169" s="470" t="s">
        <v>372</v>
      </c>
      <c r="R169" s="460" t="s">
        <v>373</v>
      </c>
      <c r="S169" s="270" t="s">
        <v>32</v>
      </c>
      <c r="U169" s="471">
        <v>0</v>
      </c>
      <c r="V169" s="471"/>
      <c r="W169" s="471" t="s">
        <v>373</v>
      </c>
      <c r="X169" s="471">
        <v>0</v>
      </c>
      <c r="Z169" s="270" t="s">
        <v>246</v>
      </c>
    </row>
    <row r="170" spans="1:26">
      <c r="A170" s="406">
        <v>167</v>
      </c>
      <c r="B170" s="613" t="s">
        <v>5369</v>
      </c>
      <c r="C170" s="288" t="s">
        <v>374</v>
      </c>
      <c r="D170" s="414" t="s">
        <v>3841</v>
      </c>
      <c r="E170" s="407" t="s">
        <v>9088</v>
      </c>
      <c r="F170" s="483" t="s">
        <v>5368</v>
      </c>
      <c r="G170" s="411" t="s">
        <v>5370</v>
      </c>
      <c r="H170" s="411"/>
      <c r="I170" s="411"/>
      <c r="J170" s="411"/>
      <c r="K170" s="411"/>
      <c r="L170" s="608">
        <v>12951.944881889764</v>
      </c>
      <c r="M170" s="409">
        <v>7192.7952755905517</v>
      </c>
      <c r="N170" s="409">
        <v>20144.740157480315</v>
      </c>
      <c r="O170" s="410" t="s">
        <v>7783</v>
      </c>
      <c r="P170" s="406">
        <v>167</v>
      </c>
      <c r="Q170" s="470" t="s">
        <v>374</v>
      </c>
      <c r="R170" s="460" t="s">
        <v>375</v>
      </c>
      <c r="S170" s="270" t="s">
        <v>32</v>
      </c>
      <c r="U170" s="471">
        <v>0</v>
      </c>
      <c r="V170" s="471"/>
      <c r="W170" s="471" t="s">
        <v>375</v>
      </c>
      <c r="X170" s="471">
        <v>0</v>
      </c>
      <c r="Z170" s="270" t="s">
        <v>246</v>
      </c>
    </row>
    <row r="171" spans="1:26">
      <c r="A171" s="406">
        <v>168</v>
      </c>
      <c r="B171" s="613" t="s">
        <v>5365</v>
      </c>
      <c r="C171" s="288" t="s">
        <v>376</v>
      </c>
      <c r="D171" s="414" t="s">
        <v>3810</v>
      </c>
      <c r="E171" s="407" t="s">
        <v>9089</v>
      </c>
      <c r="F171" s="483" t="s">
        <v>5367</v>
      </c>
      <c r="G171" s="411" t="s">
        <v>5366</v>
      </c>
      <c r="H171" s="411"/>
      <c r="I171" s="411"/>
      <c r="J171" s="411"/>
      <c r="K171" s="411"/>
      <c r="L171" s="608">
        <v>12946.031496062993</v>
      </c>
      <c r="M171" s="409">
        <v>7735.1496062992128</v>
      </c>
      <c r="N171" s="409">
        <v>20681.181102362207</v>
      </c>
      <c r="O171" s="410" t="s">
        <v>7784</v>
      </c>
      <c r="P171" s="406">
        <v>168</v>
      </c>
      <c r="Q171" s="470" t="s">
        <v>376</v>
      </c>
      <c r="R171" s="460" t="s">
        <v>377</v>
      </c>
      <c r="S171" s="270" t="s">
        <v>32</v>
      </c>
      <c r="U171" s="471">
        <v>0</v>
      </c>
      <c r="V171" s="471"/>
      <c r="W171" s="471" t="s">
        <v>377</v>
      </c>
      <c r="X171" s="471">
        <v>0</v>
      </c>
      <c r="Z171" s="270" t="s">
        <v>246</v>
      </c>
    </row>
    <row r="172" spans="1:26">
      <c r="A172" s="406">
        <v>169</v>
      </c>
      <c r="B172" s="613" t="s">
        <v>5465</v>
      </c>
      <c r="C172" s="288" t="s">
        <v>378</v>
      </c>
      <c r="D172" s="414" t="s">
        <v>4115</v>
      </c>
      <c r="E172" s="407" t="s">
        <v>9037</v>
      </c>
      <c r="F172" s="483" t="s">
        <v>5464</v>
      </c>
      <c r="G172" s="411" t="s">
        <v>5466</v>
      </c>
      <c r="H172" s="411"/>
      <c r="I172" s="411"/>
      <c r="J172" s="411"/>
      <c r="K172" s="411"/>
      <c r="L172" s="608">
        <v>9565.5354330708669</v>
      </c>
      <c r="M172" s="409">
        <v>6133.0039370078739</v>
      </c>
      <c r="N172" s="409">
        <v>15698.539370078739</v>
      </c>
      <c r="O172" s="410" t="s">
        <v>7767</v>
      </c>
      <c r="P172" s="406">
        <v>169</v>
      </c>
      <c r="Q172" s="470" t="s">
        <v>378</v>
      </c>
      <c r="R172" s="460" t="s">
        <v>379</v>
      </c>
      <c r="S172" s="270" t="s">
        <v>32</v>
      </c>
      <c r="U172" s="471">
        <v>0</v>
      </c>
      <c r="V172" s="471"/>
      <c r="W172" s="478" t="s">
        <v>379</v>
      </c>
      <c r="X172" s="471">
        <v>0</v>
      </c>
      <c r="Z172" s="270" t="s">
        <v>246</v>
      </c>
    </row>
    <row r="173" spans="1:26">
      <c r="A173" s="406">
        <v>170</v>
      </c>
      <c r="B173" s="613" t="s">
        <v>6732</v>
      </c>
      <c r="C173" s="288" t="s">
        <v>380</v>
      </c>
      <c r="D173" s="414" t="s">
        <v>3738</v>
      </c>
      <c r="E173" s="407" t="s">
        <v>9090</v>
      </c>
      <c r="F173" s="483"/>
      <c r="G173" s="411"/>
      <c r="H173" s="411"/>
      <c r="I173" s="411"/>
      <c r="J173" s="411"/>
      <c r="K173" s="411"/>
      <c r="L173" s="608" t="s">
        <v>4884</v>
      </c>
      <c r="M173" s="409">
        <v>6793.4251968503941</v>
      </c>
      <c r="N173" s="409">
        <v>6793.4251968503941</v>
      </c>
      <c r="O173" s="410" t="s">
        <v>7571</v>
      </c>
      <c r="P173" s="406">
        <v>170</v>
      </c>
      <c r="Q173" s="470" t="s">
        <v>380</v>
      </c>
      <c r="R173" s="475" t="s">
        <v>381</v>
      </c>
      <c r="S173" s="270" t="s">
        <v>32</v>
      </c>
      <c r="U173" s="477">
        <v>0</v>
      </c>
      <c r="V173" s="471"/>
      <c r="W173" s="471"/>
      <c r="X173" s="471"/>
      <c r="Z173" s="270" t="s">
        <v>7514</v>
      </c>
    </row>
    <row r="174" spans="1:26">
      <c r="A174" s="406">
        <v>171</v>
      </c>
      <c r="B174" s="613" t="s">
        <v>6420</v>
      </c>
      <c r="C174" s="288" t="s">
        <v>382</v>
      </c>
      <c r="D174" s="414" t="s">
        <v>4344</v>
      </c>
      <c r="E174" s="407" t="s">
        <v>9098</v>
      </c>
      <c r="F174" s="483"/>
      <c r="G174" s="411"/>
      <c r="H174" s="411"/>
      <c r="I174" s="411"/>
      <c r="J174" s="411"/>
      <c r="K174" s="411"/>
      <c r="L174" s="608" t="s">
        <v>4884</v>
      </c>
      <c r="M174" s="409">
        <v>4132.964566929134</v>
      </c>
      <c r="N174" s="409">
        <v>4132.964566929134</v>
      </c>
      <c r="O174" s="410" t="s">
        <v>7572</v>
      </c>
      <c r="P174" s="406">
        <v>171</v>
      </c>
      <c r="Q174" s="470" t="s">
        <v>382</v>
      </c>
      <c r="R174" s="460" t="s">
        <v>383</v>
      </c>
      <c r="S174" s="270" t="s">
        <v>32</v>
      </c>
      <c r="U174" s="471">
        <v>1</v>
      </c>
      <c r="V174" s="471"/>
      <c r="W174" s="471" t="s">
        <v>383</v>
      </c>
      <c r="X174" s="471">
        <v>0</v>
      </c>
    </row>
    <row r="175" spans="1:26">
      <c r="A175" s="406">
        <v>172</v>
      </c>
      <c r="B175" s="613" t="s">
        <v>6421</v>
      </c>
      <c r="C175" s="288" t="s">
        <v>384</v>
      </c>
      <c r="D175" s="414" t="s">
        <v>4293</v>
      </c>
      <c r="E175" s="407" t="s">
        <v>9099</v>
      </c>
      <c r="F175" s="483"/>
      <c r="G175" s="411"/>
      <c r="H175" s="411"/>
      <c r="I175" s="411"/>
      <c r="J175" s="411"/>
      <c r="K175" s="411"/>
      <c r="L175" s="608" t="s">
        <v>4884</v>
      </c>
      <c r="M175" s="409">
        <v>5081.3897637795271</v>
      </c>
      <c r="N175" s="409">
        <v>5081.3897637795271</v>
      </c>
      <c r="O175" s="410" t="s">
        <v>7575</v>
      </c>
      <c r="P175" s="406">
        <v>172</v>
      </c>
      <c r="Q175" s="470" t="s">
        <v>384</v>
      </c>
      <c r="R175" s="460" t="s">
        <v>385</v>
      </c>
      <c r="S175" s="270" t="s">
        <v>32</v>
      </c>
      <c r="U175" s="471">
        <v>1</v>
      </c>
      <c r="V175" s="471"/>
      <c r="W175" s="471" t="s">
        <v>385</v>
      </c>
      <c r="X175" s="471">
        <v>0</v>
      </c>
    </row>
    <row r="176" spans="1:26">
      <c r="A176" s="406">
        <v>173</v>
      </c>
      <c r="B176" s="613" t="s">
        <v>6422</v>
      </c>
      <c r="C176" s="288" t="s">
        <v>386</v>
      </c>
      <c r="D176" s="414" t="s">
        <v>4345</v>
      </c>
      <c r="E176" s="407" t="s">
        <v>9100</v>
      </c>
      <c r="F176" s="483"/>
      <c r="G176" s="411"/>
      <c r="H176" s="411"/>
      <c r="I176" s="411"/>
      <c r="J176" s="411"/>
      <c r="K176" s="411"/>
      <c r="L176" s="608" t="s">
        <v>4884</v>
      </c>
      <c r="M176" s="409">
        <v>5242.4488188976375</v>
      </c>
      <c r="N176" s="409">
        <v>5242.4488188976375</v>
      </c>
      <c r="O176" s="410" t="s">
        <v>7576</v>
      </c>
      <c r="P176" s="406">
        <v>173</v>
      </c>
      <c r="Q176" s="470" t="s">
        <v>386</v>
      </c>
      <c r="R176" s="460" t="s">
        <v>387</v>
      </c>
      <c r="S176" s="270" t="s">
        <v>32</v>
      </c>
      <c r="U176" s="471">
        <v>1</v>
      </c>
      <c r="V176" s="471"/>
      <c r="W176" s="471" t="s">
        <v>387</v>
      </c>
      <c r="X176" s="471">
        <v>0</v>
      </c>
      <c r="Y176" s="206"/>
      <c r="Z176" s="206"/>
    </row>
    <row r="177" spans="1:26">
      <c r="A177" s="406">
        <v>174</v>
      </c>
      <c r="B177" s="613" t="s">
        <v>6423</v>
      </c>
      <c r="C177" s="288" t="s">
        <v>388</v>
      </c>
      <c r="D177" s="414" t="s">
        <v>4374</v>
      </c>
      <c r="E177" s="407" t="s">
        <v>9101</v>
      </c>
      <c r="F177" s="483"/>
      <c r="G177" s="411"/>
      <c r="H177" s="411"/>
      <c r="I177" s="411"/>
      <c r="J177" s="411"/>
      <c r="K177" s="411"/>
      <c r="L177" s="608" t="s">
        <v>4884</v>
      </c>
      <c r="M177" s="409">
        <v>6424.9015748031497</v>
      </c>
      <c r="N177" s="409">
        <v>6424.9015748031497</v>
      </c>
      <c r="O177" s="410" t="s">
        <v>7575</v>
      </c>
      <c r="P177" s="406">
        <v>174</v>
      </c>
      <c r="Q177" s="470" t="s">
        <v>388</v>
      </c>
      <c r="R177" s="460" t="s">
        <v>389</v>
      </c>
      <c r="S177" s="270" t="s">
        <v>32</v>
      </c>
      <c r="U177" s="471">
        <v>1</v>
      </c>
      <c r="V177" s="471"/>
      <c r="W177" s="471" t="s">
        <v>389</v>
      </c>
      <c r="X177" s="471">
        <v>0</v>
      </c>
      <c r="Y177" s="206"/>
      <c r="Z177" s="206"/>
    </row>
    <row r="178" spans="1:26">
      <c r="A178" s="406">
        <v>175</v>
      </c>
      <c r="B178" s="613" t="s">
        <v>6424</v>
      </c>
      <c r="C178" s="288" t="s">
        <v>390</v>
      </c>
      <c r="D178" s="414" t="s">
        <v>4413</v>
      </c>
      <c r="E178" s="407" t="s">
        <v>9102</v>
      </c>
      <c r="F178" s="483"/>
      <c r="G178" s="411"/>
      <c r="H178" s="411"/>
      <c r="I178" s="411"/>
      <c r="J178" s="411"/>
      <c r="K178" s="411"/>
      <c r="L178" s="608" t="s">
        <v>4884</v>
      </c>
      <c r="M178" s="409">
        <v>6416.8503937007872</v>
      </c>
      <c r="N178" s="409">
        <v>6416.8503937007872</v>
      </c>
      <c r="O178" s="410" t="s">
        <v>7575</v>
      </c>
      <c r="P178" s="406">
        <v>175</v>
      </c>
      <c r="Q178" s="470" t="s">
        <v>390</v>
      </c>
      <c r="R178" s="460" t="s">
        <v>391</v>
      </c>
      <c r="S178" s="270" t="s">
        <v>32</v>
      </c>
      <c r="U178" s="471">
        <v>1</v>
      </c>
      <c r="V178" s="471"/>
      <c r="W178" s="471" t="s">
        <v>391</v>
      </c>
      <c r="X178" s="471">
        <v>0</v>
      </c>
      <c r="Y178" s="206"/>
      <c r="Z178" s="206"/>
    </row>
    <row r="179" spans="1:26">
      <c r="A179" s="406">
        <v>176</v>
      </c>
      <c r="B179" s="613" t="s">
        <v>6425</v>
      </c>
      <c r="C179" s="288" t="s">
        <v>392</v>
      </c>
      <c r="D179" s="414" t="s">
        <v>4368</v>
      </c>
      <c r="E179" s="407" t="s">
        <v>9103</v>
      </c>
      <c r="F179" s="483"/>
      <c r="G179" s="411"/>
      <c r="H179" s="411"/>
      <c r="I179" s="411"/>
      <c r="J179" s="411"/>
      <c r="K179" s="411"/>
      <c r="L179" s="608" t="s">
        <v>4884</v>
      </c>
      <c r="M179" s="409">
        <v>6421.2204724409448</v>
      </c>
      <c r="N179" s="409">
        <v>6421.2204724409448</v>
      </c>
      <c r="O179" s="410" t="s">
        <v>7575</v>
      </c>
      <c r="P179" s="406">
        <v>176</v>
      </c>
      <c r="Q179" s="470" t="s">
        <v>392</v>
      </c>
      <c r="R179" s="460" t="s">
        <v>393</v>
      </c>
      <c r="S179" s="270" t="s">
        <v>32</v>
      </c>
      <c r="U179" s="471">
        <v>1</v>
      </c>
      <c r="V179" s="471"/>
      <c r="W179" s="471" t="s">
        <v>393</v>
      </c>
      <c r="X179" s="471">
        <v>0</v>
      </c>
      <c r="Y179" s="206"/>
      <c r="Z179" s="206"/>
    </row>
    <row r="180" spans="1:26">
      <c r="A180" s="406">
        <v>177</v>
      </c>
      <c r="B180" s="613" t="s">
        <v>6426</v>
      </c>
      <c r="C180" s="288" t="s">
        <v>394</v>
      </c>
      <c r="D180" s="414" t="s">
        <v>4376</v>
      </c>
      <c r="E180" s="407" t="s">
        <v>9104</v>
      </c>
      <c r="F180" s="483"/>
      <c r="G180" s="411"/>
      <c r="H180" s="411"/>
      <c r="I180" s="411"/>
      <c r="J180" s="411"/>
      <c r="K180" s="411"/>
      <c r="L180" s="608" t="s">
        <v>4884</v>
      </c>
      <c r="M180" s="409">
        <v>6424.4724409448827</v>
      </c>
      <c r="N180" s="409">
        <v>6424.4724409448827</v>
      </c>
      <c r="O180" s="410" t="s">
        <v>7575</v>
      </c>
      <c r="P180" s="406">
        <v>177</v>
      </c>
      <c r="Q180" s="470" t="s">
        <v>394</v>
      </c>
      <c r="R180" s="460" t="s">
        <v>395</v>
      </c>
      <c r="S180" s="270" t="s">
        <v>32</v>
      </c>
      <c r="U180" s="471">
        <v>1</v>
      </c>
      <c r="V180" s="471"/>
      <c r="W180" s="471" t="s">
        <v>395</v>
      </c>
      <c r="X180" s="471">
        <v>0</v>
      </c>
      <c r="Y180" s="206"/>
      <c r="Z180" s="206"/>
    </row>
    <row r="181" spans="1:26">
      <c r="A181" s="406">
        <v>178</v>
      </c>
      <c r="B181" s="613" t="s">
        <v>6427</v>
      </c>
      <c r="C181" s="288" t="s">
        <v>396</v>
      </c>
      <c r="D181" s="414" t="s">
        <v>4377</v>
      </c>
      <c r="E181" s="407" t="s">
        <v>9105</v>
      </c>
      <c r="F181" s="483"/>
      <c r="G181" s="411"/>
      <c r="H181" s="411"/>
      <c r="I181" s="411"/>
      <c r="J181" s="411"/>
      <c r="K181" s="411"/>
      <c r="L181" s="608" t="s">
        <v>4884</v>
      </c>
      <c r="M181" s="409">
        <v>6411.5354330708669</v>
      </c>
      <c r="N181" s="409">
        <v>6411.5354330708669</v>
      </c>
      <c r="O181" s="410" t="s">
        <v>7575</v>
      </c>
      <c r="P181" s="406">
        <v>178</v>
      </c>
      <c r="Q181" s="470" t="s">
        <v>396</v>
      </c>
      <c r="R181" s="460" t="s">
        <v>397</v>
      </c>
      <c r="S181" s="270" t="s">
        <v>32</v>
      </c>
      <c r="U181" s="471">
        <v>1</v>
      </c>
      <c r="V181" s="471"/>
      <c r="W181" s="471" t="s">
        <v>397</v>
      </c>
      <c r="X181" s="471">
        <v>0</v>
      </c>
      <c r="Y181" s="206"/>
      <c r="Z181" s="206"/>
    </row>
    <row r="182" spans="1:26">
      <c r="A182" s="406">
        <v>179</v>
      </c>
      <c r="B182" s="613" t="s">
        <v>6428</v>
      </c>
      <c r="C182" s="288" t="s">
        <v>398</v>
      </c>
      <c r="D182" s="414" t="s">
        <v>4375</v>
      </c>
      <c r="E182" s="407" t="s">
        <v>9106</v>
      </c>
      <c r="F182" s="483"/>
      <c r="G182" s="411"/>
      <c r="H182" s="411"/>
      <c r="I182" s="411"/>
      <c r="J182" s="411"/>
      <c r="K182" s="411"/>
      <c r="L182" s="608" t="s">
        <v>4884</v>
      </c>
      <c r="M182" s="409">
        <v>6410.3228346456699</v>
      </c>
      <c r="N182" s="409">
        <v>6410.3228346456699</v>
      </c>
      <c r="O182" s="410" t="s">
        <v>7575</v>
      </c>
      <c r="P182" s="406">
        <v>179</v>
      </c>
      <c r="Q182" s="470" t="s">
        <v>398</v>
      </c>
      <c r="R182" s="460" t="s">
        <v>399</v>
      </c>
      <c r="S182" s="270" t="s">
        <v>32</v>
      </c>
      <c r="U182" s="471">
        <v>1</v>
      </c>
      <c r="V182" s="471"/>
      <c r="W182" s="471" t="s">
        <v>399</v>
      </c>
      <c r="X182" s="471">
        <v>0</v>
      </c>
      <c r="Y182" s="206"/>
      <c r="Z182" s="206"/>
    </row>
    <row r="183" spans="1:26">
      <c r="A183" s="406">
        <v>180</v>
      </c>
      <c r="B183" s="613" t="s">
        <v>6429</v>
      </c>
      <c r="C183" s="288" t="s">
        <v>400</v>
      </c>
      <c r="D183" s="414" t="s">
        <v>4378</v>
      </c>
      <c r="E183" s="407" t="s">
        <v>9107</v>
      </c>
      <c r="F183" s="483"/>
      <c r="G183" s="411"/>
      <c r="H183" s="411"/>
      <c r="I183" s="411"/>
      <c r="J183" s="411"/>
      <c r="K183" s="411"/>
      <c r="L183" s="608" t="s">
        <v>4884</v>
      </c>
      <c r="M183" s="409">
        <v>6418.5866141732295</v>
      </c>
      <c r="N183" s="409">
        <v>6418.5866141732295</v>
      </c>
      <c r="O183" s="410" t="s">
        <v>7575</v>
      </c>
      <c r="P183" s="406">
        <v>180</v>
      </c>
      <c r="Q183" s="470" t="s">
        <v>400</v>
      </c>
      <c r="R183" s="460" t="s">
        <v>401</v>
      </c>
      <c r="S183" s="270" t="s">
        <v>32</v>
      </c>
      <c r="U183" s="471">
        <v>1</v>
      </c>
      <c r="V183" s="471"/>
      <c r="W183" s="471" t="s">
        <v>401</v>
      </c>
      <c r="X183" s="471">
        <v>0</v>
      </c>
      <c r="Y183" s="206"/>
      <c r="Z183" s="206"/>
    </row>
    <row r="184" spans="1:26">
      <c r="A184" s="406">
        <v>181</v>
      </c>
      <c r="B184" s="613" t="s">
        <v>6430</v>
      </c>
      <c r="C184" s="288" t="s">
        <v>402</v>
      </c>
      <c r="D184" s="414" t="s">
        <v>4380</v>
      </c>
      <c r="E184" s="407" t="s">
        <v>9108</v>
      </c>
      <c r="F184" s="483"/>
      <c r="G184" s="411"/>
      <c r="H184" s="411"/>
      <c r="I184" s="411"/>
      <c r="J184" s="411"/>
      <c r="K184" s="411"/>
      <c r="L184" s="608" t="s">
        <v>4884</v>
      </c>
      <c r="M184" s="409">
        <v>6421.8858267716541</v>
      </c>
      <c r="N184" s="409">
        <v>6421.8858267716541</v>
      </c>
      <c r="O184" s="410" t="s">
        <v>7575</v>
      </c>
      <c r="P184" s="406">
        <v>181</v>
      </c>
      <c r="Q184" s="470" t="s">
        <v>402</v>
      </c>
      <c r="R184" s="460" t="s">
        <v>403</v>
      </c>
      <c r="S184" s="270" t="s">
        <v>32</v>
      </c>
      <c r="U184" s="471">
        <v>1</v>
      </c>
      <c r="V184" s="471"/>
      <c r="W184" s="471" t="s">
        <v>403</v>
      </c>
      <c r="X184" s="471">
        <v>0</v>
      </c>
      <c r="Y184" s="206"/>
      <c r="Z184" s="206"/>
    </row>
    <row r="185" spans="1:26">
      <c r="A185" s="406">
        <v>182</v>
      </c>
      <c r="B185" s="613" t="s">
        <v>6431</v>
      </c>
      <c r="C185" s="288" t="s">
        <v>404</v>
      </c>
      <c r="D185" s="414" t="s">
        <v>4408</v>
      </c>
      <c r="E185" s="407" t="s">
        <v>9109</v>
      </c>
      <c r="F185" s="483"/>
      <c r="G185" s="411"/>
      <c r="H185" s="411"/>
      <c r="I185" s="411"/>
      <c r="J185" s="411"/>
      <c r="K185" s="411"/>
      <c r="L185" s="608" t="s">
        <v>4884</v>
      </c>
      <c r="M185" s="409">
        <v>4967.8582677165359</v>
      </c>
      <c r="N185" s="409">
        <v>4967.8582677165359</v>
      </c>
      <c r="O185" s="410" t="s">
        <v>7576</v>
      </c>
      <c r="P185" s="406">
        <v>182</v>
      </c>
      <c r="Q185" s="470" t="s">
        <v>404</v>
      </c>
      <c r="R185" s="460" t="s">
        <v>405</v>
      </c>
      <c r="S185" s="270" t="s">
        <v>32</v>
      </c>
      <c r="U185" s="471">
        <v>1</v>
      </c>
      <c r="V185" s="471"/>
      <c r="W185" s="471" t="s">
        <v>405</v>
      </c>
      <c r="X185" s="471">
        <v>0</v>
      </c>
      <c r="Y185" s="206"/>
      <c r="Z185" s="206"/>
    </row>
    <row r="186" spans="1:26">
      <c r="A186" s="406">
        <v>183</v>
      </c>
      <c r="B186" s="613" t="s">
        <v>6432</v>
      </c>
      <c r="C186" s="288" t="s">
        <v>406</v>
      </c>
      <c r="D186" s="414" t="s">
        <v>4448</v>
      </c>
      <c r="E186" s="407" t="s">
        <v>9110</v>
      </c>
      <c r="F186" s="483"/>
      <c r="G186" s="411"/>
      <c r="H186" s="411"/>
      <c r="I186" s="411"/>
      <c r="J186" s="411"/>
      <c r="K186" s="411"/>
      <c r="L186" s="608" t="s">
        <v>4884</v>
      </c>
      <c r="M186" s="409">
        <v>4967.2834645669291</v>
      </c>
      <c r="N186" s="409">
        <v>4967.2834645669291</v>
      </c>
      <c r="O186" s="410" t="s">
        <v>7576</v>
      </c>
      <c r="P186" s="406">
        <v>183</v>
      </c>
      <c r="Q186" s="470" t="s">
        <v>406</v>
      </c>
      <c r="R186" s="460" t="s">
        <v>407</v>
      </c>
      <c r="S186" s="270" t="s">
        <v>32</v>
      </c>
      <c r="U186" s="471">
        <v>1</v>
      </c>
      <c r="V186" s="471"/>
      <c r="W186" s="471" t="s">
        <v>407</v>
      </c>
      <c r="X186" s="471">
        <v>0</v>
      </c>
      <c r="Y186" s="206"/>
      <c r="Z186" s="206"/>
    </row>
    <row r="187" spans="1:26">
      <c r="A187" s="406">
        <v>184</v>
      </c>
      <c r="B187" s="613" t="s">
        <v>6433</v>
      </c>
      <c r="C187" s="288" t="s">
        <v>408</v>
      </c>
      <c r="D187" s="414" t="s">
        <v>4404</v>
      </c>
      <c r="E187" s="407" t="s">
        <v>9111</v>
      </c>
      <c r="F187" s="483"/>
      <c r="G187" s="411"/>
      <c r="H187" s="411"/>
      <c r="I187" s="411"/>
      <c r="J187" s="411"/>
      <c r="K187" s="411"/>
      <c r="L187" s="608" t="s">
        <v>4884</v>
      </c>
      <c r="M187" s="409">
        <v>4960.8818897637793</v>
      </c>
      <c r="N187" s="409">
        <v>4960.8818897637793</v>
      </c>
      <c r="O187" s="410" t="s">
        <v>7576</v>
      </c>
      <c r="P187" s="406">
        <v>184</v>
      </c>
      <c r="Q187" s="470" t="s">
        <v>408</v>
      </c>
      <c r="R187" s="460" t="s">
        <v>409</v>
      </c>
      <c r="S187" s="270" t="s">
        <v>32</v>
      </c>
      <c r="U187" s="471">
        <v>1</v>
      </c>
      <c r="V187" s="471"/>
      <c r="W187" s="471" t="s">
        <v>409</v>
      </c>
      <c r="X187" s="471">
        <v>0</v>
      </c>
      <c r="Y187" s="206"/>
      <c r="Z187" s="206"/>
    </row>
    <row r="188" spans="1:26">
      <c r="A188" s="406">
        <v>185</v>
      </c>
      <c r="B188" s="613" t="s">
        <v>6434</v>
      </c>
      <c r="C188" s="288" t="s">
        <v>410</v>
      </c>
      <c r="D188" s="414" t="s">
        <v>4391</v>
      </c>
      <c r="E188" s="407" t="s">
        <v>9112</v>
      </c>
      <c r="F188" s="483"/>
      <c r="G188" s="411"/>
      <c r="H188" s="411"/>
      <c r="I188" s="411"/>
      <c r="J188" s="411"/>
      <c r="K188" s="411"/>
      <c r="L188" s="608" t="s">
        <v>4884</v>
      </c>
      <c r="M188" s="409">
        <v>4955.7283464566935</v>
      </c>
      <c r="N188" s="409">
        <v>4955.7283464566935</v>
      </c>
      <c r="O188" s="410" t="s">
        <v>7576</v>
      </c>
      <c r="P188" s="406">
        <v>185</v>
      </c>
      <c r="Q188" s="470" t="s">
        <v>410</v>
      </c>
      <c r="R188" s="460" t="s">
        <v>411</v>
      </c>
      <c r="S188" s="270" t="s">
        <v>32</v>
      </c>
      <c r="U188" s="471">
        <v>1</v>
      </c>
      <c r="V188" s="471"/>
      <c r="W188" s="471" t="s">
        <v>411</v>
      </c>
      <c r="X188" s="471">
        <v>0</v>
      </c>
      <c r="Y188" s="206"/>
      <c r="Z188" s="206"/>
    </row>
    <row r="189" spans="1:26">
      <c r="A189" s="406">
        <v>186</v>
      </c>
      <c r="B189" s="613" t="s">
        <v>6435</v>
      </c>
      <c r="C189" s="288" t="s">
        <v>412</v>
      </c>
      <c r="D189" s="414" t="s">
        <v>4406</v>
      </c>
      <c r="E189" s="407" t="s">
        <v>9113</v>
      </c>
      <c r="F189" s="483"/>
      <c r="G189" s="411"/>
      <c r="H189" s="411"/>
      <c r="I189" s="411"/>
      <c r="J189" s="411"/>
      <c r="K189" s="411"/>
      <c r="L189" s="608" t="s">
        <v>4884</v>
      </c>
      <c r="M189" s="409">
        <v>4963.751968503937</v>
      </c>
      <c r="N189" s="409">
        <v>4963.751968503937</v>
      </c>
      <c r="O189" s="410" t="s">
        <v>7576</v>
      </c>
      <c r="P189" s="406">
        <v>186</v>
      </c>
      <c r="Q189" s="470" t="s">
        <v>412</v>
      </c>
      <c r="R189" s="460" t="s">
        <v>413</v>
      </c>
      <c r="S189" s="270" t="s">
        <v>32</v>
      </c>
      <c r="U189" s="471">
        <v>1</v>
      </c>
      <c r="V189" s="471"/>
      <c r="W189" s="471" t="s">
        <v>413</v>
      </c>
      <c r="X189" s="471">
        <v>0</v>
      </c>
      <c r="Y189" s="206"/>
      <c r="Z189" s="206"/>
    </row>
    <row r="190" spans="1:26">
      <c r="A190" s="406">
        <v>187</v>
      </c>
      <c r="B190" s="613" t="s">
        <v>6436</v>
      </c>
      <c r="C190" s="288" t="s">
        <v>414</v>
      </c>
      <c r="D190" s="414" t="s">
        <v>4445</v>
      </c>
      <c r="E190" s="407" t="s">
        <v>9114</v>
      </c>
      <c r="F190" s="483"/>
      <c r="G190" s="411"/>
      <c r="H190" s="411"/>
      <c r="I190" s="411"/>
      <c r="J190" s="411"/>
      <c r="K190" s="411"/>
      <c r="L190" s="608" t="s">
        <v>4884</v>
      </c>
      <c r="M190" s="409">
        <v>4954.6732283464562</v>
      </c>
      <c r="N190" s="409">
        <v>4954.6732283464562</v>
      </c>
      <c r="O190" s="410" t="s">
        <v>7576</v>
      </c>
      <c r="P190" s="406">
        <v>187</v>
      </c>
      <c r="Q190" s="470" t="s">
        <v>414</v>
      </c>
      <c r="R190" s="460" t="s">
        <v>415</v>
      </c>
      <c r="S190" s="270" t="s">
        <v>32</v>
      </c>
      <c r="U190" s="471">
        <v>1</v>
      </c>
      <c r="V190" s="471"/>
      <c r="W190" s="471" t="s">
        <v>415</v>
      </c>
      <c r="X190" s="471">
        <v>0</v>
      </c>
      <c r="Y190" s="206"/>
      <c r="Z190" s="206"/>
    </row>
    <row r="191" spans="1:26">
      <c r="A191" s="406">
        <v>188</v>
      </c>
      <c r="B191" s="613" t="s">
        <v>6437</v>
      </c>
      <c r="C191" s="288" t="s">
        <v>416</v>
      </c>
      <c r="D191" s="414" t="s">
        <v>4401</v>
      </c>
      <c r="E191" s="407" t="s">
        <v>9115</v>
      </c>
      <c r="F191" s="483"/>
      <c r="G191" s="411"/>
      <c r="H191" s="411"/>
      <c r="I191" s="411"/>
      <c r="J191" s="411"/>
      <c r="K191" s="411"/>
      <c r="L191" s="608" t="s">
        <v>4884</v>
      </c>
      <c r="M191" s="409">
        <v>4963.7795275590552</v>
      </c>
      <c r="N191" s="409">
        <v>4963.7795275590552</v>
      </c>
      <c r="O191" s="410" t="s">
        <v>7576</v>
      </c>
      <c r="P191" s="406">
        <v>188</v>
      </c>
      <c r="Q191" s="470" t="s">
        <v>416</v>
      </c>
      <c r="R191" s="460" t="s">
        <v>417</v>
      </c>
      <c r="S191" s="270" t="s">
        <v>32</v>
      </c>
      <c r="U191" s="471">
        <v>1</v>
      </c>
      <c r="V191" s="471"/>
      <c r="W191" s="471" t="s">
        <v>417</v>
      </c>
      <c r="X191" s="471">
        <v>0</v>
      </c>
      <c r="Y191" s="206"/>
      <c r="Z191" s="206"/>
    </row>
    <row r="192" spans="1:26">
      <c r="A192" s="406">
        <v>189</v>
      </c>
      <c r="B192" s="613" t="s">
        <v>6438</v>
      </c>
      <c r="C192" s="288" t="s">
        <v>418</v>
      </c>
      <c r="D192" s="414" t="s">
        <v>4389</v>
      </c>
      <c r="E192" s="407" t="s">
        <v>9116</v>
      </c>
      <c r="F192" s="483"/>
      <c r="G192" s="411"/>
      <c r="H192" s="411"/>
      <c r="I192" s="411"/>
      <c r="J192" s="411"/>
      <c r="K192" s="411"/>
      <c r="L192" s="608" t="s">
        <v>4884</v>
      </c>
      <c r="M192" s="409">
        <v>4960.8937007874019</v>
      </c>
      <c r="N192" s="409">
        <v>4960.8937007874019</v>
      </c>
      <c r="O192" s="410" t="s">
        <v>7576</v>
      </c>
      <c r="P192" s="406">
        <v>189</v>
      </c>
      <c r="Q192" s="470" t="s">
        <v>418</v>
      </c>
      <c r="R192" s="460" t="s">
        <v>419</v>
      </c>
      <c r="S192" s="270" t="s">
        <v>32</v>
      </c>
      <c r="U192" s="471">
        <v>1</v>
      </c>
      <c r="V192" s="471"/>
      <c r="W192" s="471" t="s">
        <v>419</v>
      </c>
      <c r="X192" s="471">
        <v>0</v>
      </c>
      <c r="Y192" s="206"/>
      <c r="Z192" s="206"/>
    </row>
    <row r="193" spans="1:26">
      <c r="A193" s="406">
        <v>190</v>
      </c>
      <c r="B193" s="613" t="s">
        <v>6439</v>
      </c>
      <c r="C193" s="288" t="s">
        <v>420</v>
      </c>
      <c r="D193" s="414" t="s">
        <v>4358</v>
      </c>
      <c r="E193" s="407" t="s">
        <v>9117</v>
      </c>
      <c r="F193" s="483"/>
      <c r="G193" s="411"/>
      <c r="H193" s="411"/>
      <c r="I193" s="411"/>
      <c r="J193" s="411"/>
      <c r="K193" s="411"/>
      <c r="L193" s="608" t="s">
        <v>4884</v>
      </c>
      <c r="M193" s="409">
        <v>5082.6496062992128</v>
      </c>
      <c r="N193" s="409">
        <v>5082.6496062992128</v>
      </c>
      <c r="O193" s="410" t="s">
        <v>7569</v>
      </c>
      <c r="P193" s="406">
        <v>190</v>
      </c>
      <c r="Q193" s="470" t="s">
        <v>420</v>
      </c>
      <c r="R193" s="460" t="s">
        <v>421</v>
      </c>
      <c r="S193" s="270" t="s">
        <v>32</v>
      </c>
      <c r="U193" s="471">
        <v>1</v>
      </c>
      <c r="V193" s="471"/>
      <c r="W193" s="471" t="s">
        <v>421</v>
      </c>
      <c r="X193" s="471">
        <v>0</v>
      </c>
      <c r="Y193" s="206"/>
      <c r="Z193" s="206"/>
    </row>
    <row r="194" spans="1:26">
      <c r="A194" s="406">
        <v>191</v>
      </c>
      <c r="B194" s="613" t="s">
        <v>6440</v>
      </c>
      <c r="C194" s="288" t="s">
        <v>422</v>
      </c>
      <c r="D194" s="414" t="s">
        <v>4395</v>
      </c>
      <c r="E194" s="407" t="s">
        <v>9118</v>
      </c>
      <c r="F194" s="483"/>
      <c r="G194" s="411"/>
      <c r="H194" s="411"/>
      <c r="I194" s="411"/>
      <c r="J194" s="411"/>
      <c r="K194" s="411"/>
      <c r="L194" s="608" t="s">
        <v>4884</v>
      </c>
      <c r="M194" s="409">
        <v>5079.2677165354326</v>
      </c>
      <c r="N194" s="409">
        <v>5079.2677165354326</v>
      </c>
      <c r="O194" s="410" t="s">
        <v>7569</v>
      </c>
      <c r="P194" s="406">
        <v>191</v>
      </c>
      <c r="Q194" s="470" t="s">
        <v>422</v>
      </c>
      <c r="R194" s="460" t="s">
        <v>423</v>
      </c>
      <c r="S194" s="270" t="s">
        <v>32</v>
      </c>
      <c r="U194" s="471">
        <v>1</v>
      </c>
      <c r="V194" s="471"/>
      <c r="W194" s="471" t="s">
        <v>423</v>
      </c>
      <c r="X194" s="471">
        <v>0</v>
      </c>
      <c r="Y194" s="206"/>
      <c r="Z194" s="206"/>
    </row>
    <row r="195" spans="1:26">
      <c r="A195" s="406">
        <v>192</v>
      </c>
      <c r="B195" s="613" t="s">
        <v>6441</v>
      </c>
      <c r="C195" s="288" t="s">
        <v>424</v>
      </c>
      <c r="D195" s="414" t="s">
        <v>4355</v>
      </c>
      <c r="E195" s="407" t="s">
        <v>9119</v>
      </c>
      <c r="F195" s="483"/>
      <c r="G195" s="411"/>
      <c r="H195" s="411"/>
      <c r="I195" s="411"/>
      <c r="J195" s="411"/>
      <c r="K195" s="411"/>
      <c r="L195" s="608" t="s">
        <v>4884</v>
      </c>
      <c r="M195" s="409">
        <v>5077.4015748031497</v>
      </c>
      <c r="N195" s="409">
        <v>5077.4015748031497</v>
      </c>
      <c r="O195" s="410" t="s">
        <v>7569</v>
      </c>
      <c r="P195" s="406">
        <v>192</v>
      </c>
      <c r="Q195" s="470" t="s">
        <v>424</v>
      </c>
      <c r="R195" s="460" t="s">
        <v>425</v>
      </c>
      <c r="S195" s="270" t="s">
        <v>32</v>
      </c>
      <c r="U195" s="471">
        <v>1</v>
      </c>
      <c r="V195" s="471"/>
      <c r="W195" s="471" t="s">
        <v>425</v>
      </c>
      <c r="X195" s="471">
        <v>0</v>
      </c>
      <c r="Y195" s="206"/>
      <c r="Z195" s="206"/>
    </row>
    <row r="196" spans="1:26">
      <c r="A196" s="406">
        <v>193</v>
      </c>
      <c r="B196" s="613" t="s">
        <v>6442</v>
      </c>
      <c r="C196" s="288" t="s">
        <v>426</v>
      </c>
      <c r="D196" s="414" t="s">
        <v>4353</v>
      </c>
      <c r="E196" s="407" t="s">
        <v>9120</v>
      </c>
      <c r="F196" s="483"/>
      <c r="G196" s="411"/>
      <c r="H196" s="411"/>
      <c r="I196" s="411"/>
      <c r="J196" s="411"/>
      <c r="K196" s="411"/>
      <c r="L196" s="608" t="s">
        <v>4884</v>
      </c>
      <c r="M196" s="409">
        <v>5078.358267716535</v>
      </c>
      <c r="N196" s="409">
        <v>5078.358267716535</v>
      </c>
      <c r="O196" s="410" t="s">
        <v>7569</v>
      </c>
      <c r="P196" s="406">
        <v>193</v>
      </c>
      <c r="Q196" s="470" t="s">
        <v>426</v>
      </c>
      <c r="R196" s="460" t="s">
        <v>427</v>
      </c>
      <c r="S196" s="270" t="s">
        <v>32</v>
      </c>
      <c r="U196" s="471">
        <v>1</v>
      </c>
      <c r="V196" s="471"/>
      <c r="W196" s="471" t="s">
        <v>427</v>
      </c>
      <c r="X196" s="471">
        <v>0</v>
      </c>
      <c r="Y196" s="206"/>
      <c r="Z196" s="206"/>
    </row>
    <row r="197" spans="1:26">
      <c r="A197" s="406">
        <v>194</v>
      </c>
      <c r="B197" s="613" t="s">
        <v>6443</v>
      </c>
      <c r="C197" s="288" t="s">
        <v>428</v>
      </c>
      <c r="D197" s="414" t="s">
        <v>4396</v>
      </c>
      <c r="E197" s="407" t="s">
        <v>9121</v>
      </c>
      <c r="F197" s="483"/>
      <c r="G197" s="411"/>
      <c r="H197" s="411"/>
      <c r="I197" s="411"/>
      <c r="J197" s="411"/>
      <c r="K197" s="411"/>
      <c r="L197" s="608" t="s">
        <v>4884</v>
      </c>
      <c r="M197" s="409">
        <v>5078.106299212599</v>
      </c>
      <c r="N197" s="409">
        <v>5078.106299212599</v>
      </c>
      <c r="O197" s="410" t="s">
        <v>7569</v>
      </c>
      <c r="P197" s="406">
        <v>194</v>
      </c>
      <c r="Q197" s="470" t="s">
        <v>428</v>
      </c>
      <c r="R197" s="460" t="s">
        <v>429</v>
      </c>
      <c r="S197" s="270" t="s">
        <v>32</v>
      </c>
      <c r="U197" s="471">
        <v>1</v>
      </c>
      <c r="V197" s="471"/>
      <c r="W197" s="471" t="s">
        <v>429</v>
      </c>
      <c r="X197" s="471">
        <v>0</v>
      </c>
      <c r="Y197" s="206"/>
      <c r="Z197" s="206"/>
    </row>
    <row r="198" spans="1:26">
      <c r="A198" s="406">
        <v>195</v>
      </c>
      <c r="B198" s="613" t="s">
        <v>6444</v>
      </c>
      <c r="C198" s="288" t="s">
        <v>430</v>
      </c>
      <c r="D198" s="414" t="s">
        <v>4393</v>
      </c>
      <c r="E198" s="407" t="s">
        <v>9122</v>
      </c>
      <c r="F198" s="483"/>
      <c r="G198" s="411"/>
      <c r="H198" s="411"/>
      <c r="I198" s="411"/>
      <c r="J198" s="411"/>
      <c r="K198" s="411"/>
      <c r="L198" s="608" t="s">
        <v>4884</v>
      </c>
      <c r="M198" s="409">
        <v>5080.1692913385832</v>
      </c>
      <c r="N198" s="409">
        <v>5080.1692913385832</v>
      </c>
      <c r="O198" s="410" t="s">
        <v>7569</v>
      </c>
      <c r="P198" s="406">
        <v>195</v>
      </c>
      <c r="Q198" s="470" t="s">
        <v>430</v>
      </c>
      <c r="R198" s="460" t="s">
        <v>431</v>
      </c>
      <c r="S198" s="270" t="s">
        <v>32</v>
      </c>
      <c r="U198" s="471">
        <v>1</v>
      </c>
      <c r="V198" s="471"/>
      <c r="W198" s="471" t="s">
        <v>431</v>
      </c>
      <c r="X198" s="471">
        <v>0</v>
      </c>
      <c r="Y198" s="206"/>
      <c r="Z198" s="206"/>
    </row>
    <row r="199" spans="1:26">
      <c r="A199" s="406">
        <v>196</v>
      </c>
      <c r="B199" s="613" t="s">
        <v>6445</v>
      </c>
      <c r="C199" s="288" t="s">
        <v>432</v>
      </c>
      <c r="D199" s="414" t="s">
        <v>4354</v>
      </c>
      <c r="E199" s="407" t="s">
        <v>9123</v>
      </c>
      <c r="F199" s="483"/>
      <c r="G199" s="411"/>
      <c r="H199" s="411"/>
      <c r="I199" s="411"/>
      <c r="J199" s="411"/>
      <c r="K199" s="411"/>
      <c r="L199" s="608" t="s">
        <v>4884</v>
      </c>
      <c r="M199" s="409">
        <v>5078.9251968503941</v>
      </c>
      <c r="N199" s="409">
        <v>5078.9251968503941</v>
      </c>
      <c r="O199" s="410" t="s">
        <v>7569</v>
      </c>
      <c r="P199" s="406">
        <v>196</v>
      </c>
      <c r="Q199" s="470" t="s">
        <v>432</v>
      </c>
      <c r="R199" s="460" t="s">
        <v>433</v>
      </c>
      <c r="S199" s="270" t="s">
        <v>32</v>
      </c>
      <c r="U199" s="471">
        <v>1</v>
      </c>
      <c r="V199" s="471"/>
      <c r="W199" s="471" t="s">
        <v>433</v>
      </c>
      <c r="X199" s="471">
        <v>0</v>
      </c>
      <c r="Y199" s="206"/>
      <c r="Z199" s="206"/>
    </row>
    <row r="200" spans="1:26">
      <c r="A200" s="406">
        <v>197</v>
      </c>
      <c r="B200" s="613" t="s">
        <v>6446</v>
      </c>
      <c r="C200" s="288" t="s">
        <v>434</v>
      </c>
      <c r="D200" s="414" t="s">
        <v>4356</v>
      </c>
      <c r="E200" s="407" t="s">
        <v>9124</v>
      </c>
      <c r="F200" s="483"/>
      <c r="G200" s="411"/>
      <c r="H200" s="411"/>
      <c r="I200" s="411"/>
      <c r="J200" s="411"/>
      <c r="K200" s="411"/>
      <c r="L200" s="608" t="s">
        <v>4884</v>
      </c>
      <c r="M200" s="409">
        <v>5080.2992125984256</v>
      </c>
      <c r="N200" s="409">
        <v>5080.2992125984256</v>
      </c>
      <c r="O200" s="410" t="s">
        <v>7569</v>
      </c>
      <c r="P200" s="406">
        <v>197</v>
      </c>
      <c r="Q200" s="470" t="s">
        <v>434</v>
      </c>
      <c r="R200" s="460" t="s">
        <v>435</v>
      </c>
      <c r="S200" s="270" t="s">
        <v>32</v>
      </c>
      <c r="U200" s="471">
        <v>1</v>
      </c>
      <c r="V200" s="471"/>
      <c r="W200" s="471" t="s">
        <v>435</v>
      </c>
      <c r="X200" s="471">
        <v>0</v>
      </c>
      <c r="Y200" s="206"/>
      <c r="Z200" s="206"/>
    </row>
    <row r="201" spans="1:26">
      <c r="A201" s="406">
        <v>198</v>
      </c>
      <c r="B201" s="613" t="s">
        <v>6447</v>
      </c>
      <c r="C201" s="288" t="s">
        <v>436</v>
      </c>
      <c r="D201" s="414" t="s">
        <v>4341</v>
      </c>
      <c r="E201" s="407" t="s">
        <v>9125</v>
      </c>
      <c r="F201" s="483"/>
      <c r="G201" s="483"/>
      <c r="H201" s="483"/>
      <c r="I201" s="483"/>
      <c r="J201" s="483"/>
      <c r="K201" s="483"/>
      <c r="L201" s="608" t="s">
        <v>4884</v>
      </c>
      <c r="M201" s="409">
        <v>5592.5393700787399</v>
      </c>
      <c r="N201" s="409">
        <v>5592.5393700787399</v>
      </c>
      <c r="O201" s="410" t="s">
        <v>7575</v>
      </c>
      <c r="P201" s="406">
        <v>198</v>
      </c>
      <c r="Q201" s="470" t="s">
        <v>436</v>
      </c>
      <c r="R201" s="460" t="s">
        <v>437</v>
      </c>
      <c r="S201" s="270" t="s">
        <v>32</v>
      </c>
      <c r="U201" s="471">
        <v>1</v>
      </c>
      <c r="V201" s="471"/>
      <c r="W201" s="471" t="s">
        <v>437</v>
      </c>
      <c r="X201" s="471">
        <v>0</v>
      </c>
      <c r="Y201" s="206"/>
      <c r="Z201" s="206"/>
    </row>
    <row r="202" spans="1:26">
      <c r="A202" s="406">
        <v>199</v>
      </c>
      <c r="B202" s="613" t="s">
        <v>6448</v>
      </c>
      <c r="C202" s="288" t="s">
        <v>438</v>
      </c>
      <c r="D202" s="414" t="s">
        <v>4331</v>
      </c>
      <c r="E202" s="407" t="s">
        <v>9126</v>
      </c>
      <c r="F202" s="483"/>
      <c r="G202" s="483"/>
      <c r="H202" s="483"/>
      <c r="I202" s="483"/>
      <c r="J202" s="483"/>
      <c r="K202" s="483"/>
      <c r="L202" s="608" t="s">
        <v>4884</v>
      </c>
      <c r="M202" s="409">
        <v>5597.212598425197</v>
      </c>
      <c r="N202" s="409">
        <v>5597.212598425197</v>
      </c>
      <c r="O202" s="410" t="s">
        <v>7575</v>
      </c>
      <c r="P202" s="406">
        <v>199</v>
      </c>
      <c r="Q202" s="470" t="s">
        <v>438</v>
      </c>
      <c r="R202" s="460" t="s">
        <v>439</v>
      </c>
      <c r="S202" s="270" t="s">
        <v>32</v>
      </c>
      <c r="U202" s="471">
        <v>1</v>
      </c>
      <c r="V202" s="471"/>
      <c r="W202" s="471" t="s">
        <v>439</v>
      </c>
      <c r="X202" s="471">
        <v>0</v>
      </c>
      <c r="Y202" s="206"/>
      <c r="Z202" s="206"/>
    </row>
    <row r="203" spans="1:26">
      <c r="A203" s="406">
        <v>200</v>
      </c>
      <c r="B203" s="613" t="s">
        <v>6449</v>
      </c>
      <c r="C203" s="288" t="s">
        <v>440</v>
      </c>
      <c r="D203" s="414" t="s">
        <v>4334</v>
      </c>
      <c r="E203" s="407" t="s">
        <v>9127</v>
      </c>
      <c r="F203" s="483"/>
      <c r="G203" s="483"/>
      <c r="H203" s="483"/>
      <c r="I203" s="483"/>
      <c r="J203" s="483"/>
      <c r="K203" s="483"/>
      <c r="L203" s="608" t="s">
        <v>4884</v>
      </c>
      <c r="M203" s="409">
        <v>5591.8149606299221</v>
      </c>
      <c r="N203" s="409">
        <v>5591.8149606299221</v>
      </c>
      <c r="O203" s="410" t="s">
        <v>7575</v>
      </c>
      <c r="P203" s="406">
        <v>200</v>
      </c>
      <c r="Q203" s="470" t="s">
        <v>440</v>
      </c>
      <c r="R203" s="460" t="s">
        <v>441</v>
      </c>
      <c r="S203" s="270" t="s">
        <v>32</v>
      </c>
      <c r="U203" s="471">
        <v>1</v>
      </c>
      <c r="V203" s="471"/>
      <c r="W203" s="471" t="s">
        <v>441</v>
      </c>
      <c r="X203" s="471">
        <v>0</v>
      </c>
      <c r="Y203" s="206"/>
      <c r="Z203" s="206"/>
    </row>
    <row r="204" spans="1:26">
      <c r="A204" s="406">
        <v>201</v>
      </c>
      <c r="B204" s="613" t="s">
        <v>6450</v>
      </c>
      <c r="C204" s="288" t="s">
        <v>442</v>
      </c>
      <c r="D204" s="414" t="s">
        <v>4291</v>
      </c>
      <c r="E204" s="407" t="s">
        <v>9128</v>
      </c>
      <c r="F204" s="483"/>
      <c r="G204" s="483"/>
      <c r="H204" s="483"/>
      <c r="I204" s="483"/>
      <c r="J204" s="483"/>
      <c r="K204" s="483"/>
      <c r="L204" s="608" t="s">
        <v>4884</v>
      </c>
      <c r="M204" s="409">
        <v>5597.0275590551182</v>
      </c>
      <c r="N204" s="409">
        <v>5597.0275590551182</v>
      </c>
      <c r="O204" s="410" t="s">
        <v>7575</v>
      </c>
      <c r="P204" s="406">
        <v>201</v>
      </c>
      <c r="Q204" s="470" t="s">
        <v>442</v>
      </c>
      <c r="R204" s="460" t="s">
        <v>443</v>
      </c>
      <c r="S204" s="270" t="s">
        <v>32</v>
      </c>
      <c r="U204" s="471">
        <v>1</v>
      </c>
      <c r="V204" s="471"/>
      <c r="W204" s="471" t="s">
        <v>443</v>
      </c>
      <c r="X204" s="471">
        <v>0</v>
      </c>
      <c r="Y204" s="206"/>
      <c r="Z204" s="206"/>
    </row>
    <row r="205" spans="1:26">
      <c r="A205" s="406">
        <v>202</v>
      </c>
      <c r="B205" s="613" t="s">
        <v>6451</v>
      </c>
      <c r="C205" s="288" t="s">
        <v>444</v>
      </c>
      <c r="D205" s="414" t="s">
        <v>4336</v>
      </c>
      <c r="E205" s="407" t="s">
        <v>9129</v>
      </c>
      <c r="F205" s="483"/>
      <c r="G205" s="483"/>
      <c r="H205" s="483"/>
      <c r="I205" s="483"/>
      <c r="J205" s="483"/>
      <c r="K205" s="483"/>
      <c r="L205" s="608" t="s">
        <v>4884</v>
      </c>
      <c r="M205" s="409">
        <v>5582.7362204724413</v>
      </c>
      <c r="N205" s="409">
        <v>5582.7362204724413</v>
      </c>
      <c r="O205" s="410" t="s">
        <v>7575</v>
      </c>
      <c r="P205" s="406">
        <v>202</v>
      </c>
      <c r="Q205" s="470" t="s">
        <v>444</v>
      </c>
      <c r="R205" s="460" t="s">
        <v>445</v>
      </c>
      <c r="S205" s="270" t="s">
        <v>32</v>
      </c>
      <c r="U205" s="471">
        <v>1</v>
      </c>
      <c r="V205" s="471"/>
      <c r="W205" s="471" t="s">
        <v>445</v>
      </c>
      <c r="X205" s="471">
        <v>0</v>
      </c>
      <c r="Y205" s="206"/>
      <c r="Z205" s="206"/>
    </row>
    <row r="206" spans="1:26">
      <c r="A206" s="406">
        <v>203</v>
      </c>
      <c r="B206" s="613" t="s">
        <v>6452</v>
      </c>
      <c r="C206" s="288" t="s">
        <v>446</v>
      </c>
      <c r="D206" s="414" t="s">
        <v>4333</v>
      </c>
      <c r="E206" s="407" t="s">
        <v>9130</v>
      </c>
      <c r="F206" s="483"/>
      <c r="G206" s="483"/>
      <c r="H206" s="483"/>
      <c r="I206" s="483"/>
      <c r="J206" s="483"/>
      <c r="K206" s="483"/>
      <c r="L206" s="608" t="s">
        <v>4884</v>
      </c>
      <c r="M206" s="409">
        <v>5591.6496062992128</v>
      </c>
      <c r="N206" s="409">
        <v>5591.6496062992128</v>
      </c>
      <c r="O206" s="410" t="s">
        <v>7575</v>
      </c>
      <c r="P206" s="406">
        <v>203</v>
      </c>
      <c r="Q206" s="470" t="s">
        <v>446</v>
      </c>
      <c r="R206" s="460" t="s">
        <v>447</v>
      </c>
      <c r="S206" s="270" t="s">
        <v>32</v>
      </c>
      <c r="U206" s="471">
        <v>1</v>
      </c>
      <c r="V206" s="471"/>
      <c r="W206" s="471" t="s">
        <v>447</v>
      </c>
      <c r="X206" s="471">
        <v>0</v>
      </c>
      <c r="Y206" s="206"/>
      <c r="Z206" s="206"/>
    </row>
    <row r="207" spans="1:26">
      <c r="A207" s="406">
        <v>204</v>
      </c>
      <c r="B207" s="613" t="s">
        <v>6453</v>
      </c>
      <c r="C207" s="288" t="s">
        <v>448</v>
      </c>
      <c r="D207" s="414" t="s">
        <v>4332</v>
      </c>
      <c r="E207" s="407" t="s">
        <v>9131</v>
      </c>
      <c r="F207" s="483"/>
      <c r="G207" s="483"/>
      <c r="H207" s="483"/>
      <c r="I207" s="483"/>
      <c r="J207" s="483"/>
      <c r="K207" s="483"/>
      <c r="L207" s="608" t="s">
        <v>4884</v>
      </c>
      <c r="M207" s="409">
        <v>5594.429133858268</v>
      </c>
      <c r="N207" s="409">
        <v>5594.429133858268</v>
      </c>
      <c r="O207" s="410" t="s">
        <v>7575</v>
      </c>
      <c r="P207" s="406">
        <v>204</v>
      </c>
      <c r="Q207" s="470" t="s">
        <v>448</v>
      </c>
      <c r="R207" s="460" t="s">
        <v>449</v>
      </c>
      <c r="S207" s="270" t="s">
        <v>32</v>
      </c>
      <c r="U207" s="471">
        <v>1</v>
      </c>
      <c r="V207" s="471"/>
      <c r="W207" s="471" t="s">
        <v>449</v>
      </c>
      <c r="X207" s="471">
        <v>0</v>
      </c>
      <c r="Y207" s="206"/>
      <c r="Z207" s="206"/>
    </row>
    <row r="208" spans="1:26">
      <c r="A208" s="406">
        <v>205</v>
      </c>
      <c r="B208" s="613" t="s">
        <v>6454</v>
      </c>
      <c r="C208" s="288" t="s">
        <v>450</v>
      </c>
      <c r="D208" s="414" t="s">
        <v>4328</v>
      </c>
      <c r="E208" s="407" t="s">
        <v>9132</v>
      </c>
      <c r="F208" s="483"/>
      <c r="G208" s="483"/>
      <c r="H208" s="483"/>
      <c r="I208" s="483"/>
      <c r="J208" s="483"/>
      <c r="K208" s="483"/>
      <c r="L208" s="608" t="s">
        <v>4884</v>
      </c>
      <c r="M208" s="409">
        <v>5587.8740157480315</v>
      </c>
      <c r="N208" s="409">
        <v>5587.8740157480315</v>
      </c>
      <c r="O208" s="410" t="s">
        <v>7575</v>
      </c>
      <c r="P208" s="406">
        <v>205</v>
      </c>
      <c r="Q208" s="470" t="s">
        <v>450</v>
      </c>
      <c r="R208" s="460" t="s">
        <v>451</v>
      </c>
      <c r="S208" s="270" t="s">
        <v>32</v>
      </c>
      <c r="U208" s="471">
        <v>1</v>
      </c>
      <c r="V208" s="471"/>
      <c r="W208" s="471" t="s">
        <v>451</v>
      </c>
      <c r="X208" s="471">
        <v>0</v>
      </c>
      <c r="Y208" s="206"/>
      <c r="Z208" s="206"/>
    </row>
    <row r="209" spans="1:26">
      <c r="A209" s="406">
        <v>206</v>
      </c>
      <c r="B209" s="613" t="s">
        <v>6455</v>
      </c>
      <c r="C209" s="288" t="s">
        <v>452</v>
      </c>
      <c r="D209" s="414" t="s">
        <v>4316</v>
      </c>
      <c r="E209" s="407" t="s">
        <v>9133</v>
      </c>
      <c r="F209" s="483"/>
      <c r="G209" s="483"/>
      <c r="H209" s="483"/>
      <c r="I209" s="483"/>
      <c r="J209" s="483"/>
      <c r="K209" s="483"/>
      <c r="L209" s="608" t="s">
        <v>4884</v>
      </c>
      <c r="M209" s="409">
        <v>4681.141732283465</v>
      </c>
      <c r="N209" s="409">
        <v>4681.141732283465</v>
      </c>
      <c r="O209" s="410" t="s">
        <v>7569</v>
      </c>
      <c r="P209" s="406">
        <v>206</v>
      </c>
      <c r="Q209" s="470" t="s">
        <v>452</v>
      </c>
      <c r="R209" s="460" t="s">
        <v>453</v>
      </c>
      <c r="S209" s="270" t="s">
        <v>32</v>
      </c>
      <c r="U209" s="471">
        <v>1</v>
      </c>
      <c r="V209" s="471"/>
      <c r="W209" s="471" t="s">
        <v>453</v>
      </c>
      <c r="X209" s="471">
        <v>0</v>
      </c>
      <c r="Y209" s="206"/>
      <c r="Z209" s="206"/>
    </row>
    <row r="210" spans="1:26">
      <c r="A210" s="406">
        <v>207</v>
      </c>
      <c r="B210" s="613" t="s">
        <v>6456</v>
      </c>
      <c r="C210" s="288" t="s">
        <v>454</v>
      </c>
      <c r="D210" s="414" t="s">
        <v>4318</v>
      </c>
      <c r="E210" s="407" t="s">
        <v>9134</v>
      </c>
      <c r="F210" s="483"/>
      <c r="G210" s="483"/>
      <c r="H210" s="483"/>
      <c r="I210" s="483"/>
      <c r="J210" s="483"/>
      <c r="K210" s="483"/>
      <c r="L210" s="608" t="s">
        <v>4884</v>
      </c>
      <c r="M210" s="409">
        <v>4683.8700787401576</v>
      </c>
      <c r="N210" s="409">
        <v>4683.8700787401576</v>
      </c>
      <c r="O210" s="410" t="s">
        <v>7569</v>
      </c>
      <c r="P210" s="406">
        <v>207</v>
      </c>
      <c r="Q210" s="470" t="s">
        <v>454</v>
      </c>
      <c r="R210" s="460" t="s">
        <v>455</v>
      </c>
      <c r="S210" s="270" t="s">
        <v>32</v>
      </c>
      <c r="U210" s="471">
        <v>1</v>
      </c>
      <c r="V210" s="471"/>
      <c r="W210" s="471" t="s">
        <v>455</v>
      </c>
      <c r="X210" s="471">
        <v>0</v>
      </c>
      <c r="Y210" s="206"/>
      <c r="Z210" s="206"/>
    </row>
    <row r="211" spans="1:26">
      <c r="A211" s="406">
        <v>208</v>
      </c>
      <c r="B211" s="613" t="s">
        <v>6457</v>
      </c>
      <c r="C211" s="288" t="s">
        <v>456</v>
      </c>
      <c r="D211" s="414" t="s">
        <v>4309</v>
      </c>
      <c r="E211" s="407" t="s">
        <v>9135</v>
      </c>
      <c r="F211" s="483"/>
      <c r="G211" s="483"/>
      <c r="H211" s="483"/>
      <c r="I211" s="483"/>
      <c r="J211" s="483"/>
      <c r="K211" s="483"/>
      <c r="L211" s="608" t="s">
        <v>4884</v>
      </c>
      <c r="M211" s="409">
        <v>4684.5511811023625</v>
      </c>
      <c r="N211" s="409">
        <v>4684.5511811023625</v>
      </c>
      <c r="O211" s="410" t="s">
        <v>7569</v>
      </c>
      <c r="P211" s="406">
        <v>208</v>
      </c>
      <c r="Q211" s="470" t="s">
        <v>456</v>
      </c>
      <c r="R211" s="460" t="s">
        <v>457</v>
      </c>
      <c r="S211" s="270" t="s">
        <v>32</v>
      </c>
      <c r="U211" s="471">
        <v>1</v>
      </c>
      <c r="V211" s="471"/>
      <c r="W211" s="471" t="s">
        <v>457</v>
      </c>
      <c r="X211" s="471">
        <v>0</v>
      </c>
      <c r="Y211" s="206"/>
      <c r="Z211" s="206"/>
    </row>
    <row r="212" spans="1:26">
      <c r="A212" s="406">
        <v>209</v>
      </c>
      <c r="B212" s="613" t="s">
        <v>6458</v>
      </c>
      <c r="C212" s="288" t="s">
        <v>458</v>
      </c>
      <c r="D212" s="414" t="s">
        <v>4312</v>
      </c>
      <c r="E212" s="407" t="s">
        <v>9136</v>
      </c>
      <c r="F212" s="483"/>
      <c r="G212" s="483"/>
      <c r="H212" s="483"/>
      <c r="I212" s="483"/>
      <c r="J212" s="483"/>
      <c r="K212" s="483"/>
      <c r="L212" s="608" t="s">
        <v>4884</v>
      </c>
      <c r="M212" s="409">
        <v>4685.4330708661419</v>
      </c>
      <c r="N212" s="409">
        <v>4685.4330708661419</v>
      </c>
      <c r="O212" s="410" t="s">
        <v>7569</v>
      </c>
      <c r="P212" s="406">
        <v>209</v>
      </c>
      <c r="Q212" s="470" t="s">
        <v>458</v>
      </c>
      <c r="R212" s="460" t="s">
        <v>459</v>
      </c>
      <c r="S212" s="270" t="s">
        <v>32</v>
      </c>
      <c r="U212" s="471">
        <v>1</v>
      </c>
      <c r="V212" s="471"/>
      <c r="W212" s="471" t="s">
        <v>459</v>
      </c>
      <c r="X212" s="471">
        <v>0</v>
      </c>
      <c r="Y212" s="206"/>
      <c r="Z212" s="206"/>
    </row>
    <row r="213" spans="1:26">
      <c r="A213" s="406">
        <v>210</v>
      </c>
      <c r="B213" s="613" t="s">
        <v>6459</v>
      </c>
      <c r="C213" s="288" t="s">
        <v>460</v>
      </c>
      <c r="D213" s="414" t="s">
        <v>4313</v>
      </c>
      <c r="E213" s="407" t="s">
        <v>9137</v>
      </c>
      <c r="F213" s="483"/>
      <c r="G213" s="483"/>
      <c r="H213" s="411"/>
      <c r="I213" s="411"/>
      <c r="J213" s="411"/>
      <c r="K213" s="411"/>
      <c r="L213" s="608" t="s">
        <v>4884</v>
      </c>
      <c r="M213" s="409">
        <v>4683.2283464566926</v>
      </c>
      <c r="N213" s="409">
        <v>4683.2283464566926</v>
      </c>
      <c r="O213" s="410" t="s">
        <v>7569</v>
      </c>
      <c r="P213" s="406">
        <v>210</v>
      </c>
      <c r="Q213" s="470" t="s">
        <v>460</v>
      </c>
      <c r="R213" s="460" t="s">
        <v>461</v>
      </c>
      <c r="S213" s="270" t="s">
        <v>32</v>
      </c>
      <c r="U213" s="471">
        <v>1</v>
      </c>
      <c r="V213" s="471"/>
      <c r="W213" s="471" t="s">
        <v>461</v>
      </c>
      <c r="X213" s="471">
        <v>0</v>
      </c>
      <c r="Y213" s="206"/>
      <c r="Z213" s="206"/>
    </row>
    <row r="214" spans="1:26">
      <c r="A214" s="406">
        <v>211</v>
      </c>
      <c r="B214" s="613" t="s">
        <v>6460</v>
      </c>
      <c r="C214" s="288" t="s">
        <v>462</v>
      </c>
      <c r="D214" s="414" t="s">
        <v>4314</v>
      </c>
      <c r="E214" s="407" t="s">
        <v>9138</v>
      </c>
      <c r="F214" s="483"/>
      <c r="G214" s="411"/>
      <c r="H214" s="411"/>
      <c r="I214" s="411"/>
      <c r="J214" s="411"/>
      <c r="K214" s="411"/>
      <c r="L214" s="608" t="s">
        <v>4884</v>
      </c>
      <c r="M214" s="409">
        <v>4690.4330708661419</v>
      </c>
      <c r="N214" s="409">
        <v>4690.4330708661419</v>
      </c>
      <c r="O214" s="410" t="s">
        <v>7569</v>
      </c>
      <c r="P214" s="406">
        <v>211</v>
      </c>
      <c r="Q214" s="470" t="s">
        <v>462</v>
      </c>
      <c r="R214" s="460" t="s">
        <v>463</v>
      </c>
      <c r="S214" s="270" t="s">
        <v>32</v>
      </c>
      <c r="U214" s="471">
        <v>1</v>
      </c>
      <c r="V214" s="471"/>
      <c r="W214" s="471" t="s">
        <v>463</v>
      </c>
      <c r="X214" s="471">
        <v>0</v>
      </c>
      <c r="Y214" s="206"/>
      <c r="Z214" s="206"/>
    </row>
    <row r="215" spans="1:26">
      <c r="A215" s="406">
        <v>212</v>
      </c>
      <c r="B215" s="613" t="s">
        <v>6461</v>
      </c>
      <c r="C215" s="288" t="s">
        <v>464</v>
      </c>
      <c r="D215" s="414" t="s">
        <v>4311</v>
      </c>
      <c r="E215" s="407" t="s">
        <v>9139</v>
      </c>
      <c r="F215" s="483"/>
      <c r="G215" s="411"/>
      <c r="H215" s="411"/>
      <c r="I215" s="483"/>
      <c r="J215" s="411"/>
      <c r="K215" s="411"/>
      <c r="L215" s="608" t="s">
        <v>4884</v>
      </c>
      <c r="M215" s="409">
        <v>4679.6811023622049</v>
      </c>
      <c r="N215" s="409">
        <v>4679.6811023622049</v>
      </c>
      <c r="O215" s="410" t="s">
        <v>7569</v>
      </c>
      <c r="P215" s="406">
        <v>212</v>
      </c>
      <c r="Q215" s="470" t="s">
        <v>464</v>
      </c>
      <c r="R215" s="460" t="s">
        <v>465</v>
      </c>
      <c r="S215" s="270" t="s">
        <v>32</v>
      </c>
      <c r="U215" s="471">
        <v>1</v>
      </c>
      <c r="V215" s="471"/>
      <c r="W215" s="471" t="s">
        <v>465</v>
      </c>
      <c r="X215" s="471">
        <v>0</v>
      </c>
      <c r="Y215" s="206"/>
      <c r="Z215" s="206"/>
    </row>
    <row r="216" spans="1:26">
      <c r="A216" s="406">
        <v>213</v>
      </c>
      <c r="B216" s="613" t="s">
        <v>6462</v>
      </c>
      <c r="C216" s="288" t="s">
        <v>466</v>
      </c>
      <c r="D216" s="414" t="s">
        <v>4315</v>
      </c>
      <c r="E216" s="407" t="s">
        <v>9140</v>
      </c>
      <c r="F216" s="483"/>
      <c r="G216" s="411"/>
      <c r="H216" s="411"/>
      <c r="I216" s="483"/>
      <c r="J216" s="411"/>
      <c r="K216" s="411"/>
      <c r="L216" s="608" t="s">
        <v>4884</v>
      </c>
      <c r="M216" s="409">
        <v>4686.7952755905517</v>
      </c>
      <c r="N216" s="409">
        <v>4686.7952755905517</v>
      </c>
      <c r="O216" s="410" t="s">
        <v>7569</v>
      </c>
      <c r="P216" s="406">
        <v>213</v>
      </c>
      <c r="Q216" s="470" t="s">
        <v>466</v>
      </c>
      <c r="R216" s="460" t="s">
        <v>467</v>
      </c>
      <c r="S216" s="270" t="s">
        <v>32</v>
      </c>
      <c r="U216" s="471">
        <v>1</v>
      </c>
      <c r="V216" s="471"/>
      <c r="W216" s="471" t="s">
        <v>467</v>
      </c>
      <c r="X216" s="471">
        <v>0</v>
      </c>
      <c r="Y216" s="206"/>
      <c r="Z216" s="206"/>
    </row>
    <row r="217" spans="1:26">
      <c r="A217" s="406">
        <v>214</v>
      </c>
      <c r="B217" s="613" t="s">
        <v>6463</v>
      </c>
      <c r="C217" s="288" t="s">
        <v>468</v>
      </c>
      <c r="D217" s="414" t="s">
        <v>4296</v>
      </c>
      <c r="E217" s="407" t="s">
        <v>9141</v>
      </c>
      <c r="F217" s="483"/>
      <c r="G217" s="483"/>
      <c r="H217" s="411"/>
      <c r="I217" s="411"/>
      <c r="J217" s="411"/>
      <c r="K217" s="411"/>
      <c r="L217" s="608" t="s">
        <v>4884</v>
      </c>
      <c r="M217" s="409">
        <v>6063.9960629921261</v>
      </c>
      <c r="N217" s="409">
        <v>6063.9960629921261</v>
      </c>
      <c r="O217" s="410" t="s">
        <v>7575</v>
      </c>
      <c r="P217" s="406">
        <v>214</v>
      </c>
      <c r="Q217" s="470" t="s">
        <v>468</v>
      </c>
      <c r="R217" s="460" t="s">
        <v>469</v>
      </c>
      <c r="S217" s="270" t="s">
        <v>32</v>
      </c>
      <c r="U217" s="471">
        <v>1</v>
      </c>
      <c r="V217" s="471"/>
      <c r="W217" s="471" t="s">
        <v>469</v>
      </c>
      <c r="X217" s="471">
        <v>0</v>
      </c>
      <c r="Y217" s="206"/>
      <c r="Z217" s="206"/>
    </row>
    <row r="218" spans="1:26">
      <c r="A218" s="406">
        <v>215</v>
      </c>
      <c r="B218" s="613" t="s">
        <v>6464</v>
      </c>
      <c r="C218" s="288" t="s">
        <v>470</v>
      </c>
      <c r="D218" s="414" t="s">
        <v>4295</v>
      </c>
      <c r="E218" s="407" t="s">
        <v>9142</v>
      </c>
      <c r="F218" s="483"/>
      <c r="G218" s="483"/>
      <c r="H218" s="411"/>
      <c r="I218" s="411"/>
      <c r="J218" s="411"/>
      <c r="K218" s="411"/>
      <c r="L218" s="608" t="s">
        <v>4884</v>
      </c>
      <c r="M218" s="409">
        <v>6060.6653543307093</v>
      </c>
      <c r="N218" s="409">
        <v>6060.6653543307093</v>
      </c>
      <c r="O218" s="410" t="s">
        <v>7575</v>
      </c>
      <c r="P218" s="406">
        <v>215</v>
      </c>
      <c r="Q218" s="470" t="s">
        <v>470</v>
      </c>
      <c r="R218" s="460" t="s">
        <v>471</v>
      </c>
      <c r="S218" s="270" t="s">
        <v>32</v>
      </c>
      <c r="U218" s="471">
        <v>1</v>
      </c>
      <c r="V218" s="471"/>
      <c r="W218" s="471" t="s">
        <v>471</v>
      </c>
      <c r="X218" s="471">
        <v>0</v>
      </c>
      <c r="Y218" s="206"/>
      <c r="Z218" s="206"/>
    </row>
    <row r="219" spans="1:26">
      <c r="A219" s="406">
        <v>216</v>
      </c>
      <c r="B219" s="613" t="s">
        <v>6465</v>
      </c>
      <c r="C219" s="288" t="s">
        <v>472</v>
      </c>
      <c r="D219" s="414" t="s">
        <v>4247</v>
      </c>
      <c r="E219" s="407" t="s">
        <v>9143</v>
      </c>
      <c r="F219" s="483"/>
      <c r="G219" s="483"/>
      <c r="H219" s="411"/>
      <c r="I219" s="411"/>
      <c r="J219" s="411"/>
      <c r="K219" s="411"/>
      <c r="L219" s="608" t="s">
        <v>4884</v>
      </c>
      <c r="M219" s="409">
        <v>6060.1220472440946</v>
      </c>
      <c r="N219" s="409">
        <v>6060.1220472440946</v>
      </c>
      <c r="O219" s="410" t="s">
        <v>7575</v>
      </c>
      <c r="P219" s="406">
        <v>216</v>
      </c>
      <c r="Q219" s="470" t="s">
        <v>472</v>
      </c>
      <c r="R219" s="460" t="s">
        <v>473</v>
      </c>
      <c r="S219" s="270" t="s">
        <v>32</v>
      </c>
      <c r="U219" s="471">
        <v>1</v>
      </c>
      <c r="V219" s="471"/>
      <c r="W219" s="471" t="s">
        <v>473</v>
      </c>
      <c r="X219" s="471">
        <v>0</v>
      </c>
      <c r="Y219" s="206"/>
      <c r="Z219" s="206"/>
    </row>
    <row r="220" spans="1:26">
      <c r="A220" s="406">
        <v>217</v>
      </c>
      <c r="B220" s="613" t="s">
        <v>6466</v>
      </c>
      <c r="C220" s="288" t="s">
        <v>474</v>
      </c>
      <c r="D220" s="414" t="s">
        <v>4245</v>
      </c>
      <c r="E220" s="407" t="s">
        <v>9144</v>
      </c>
      <c r="F220" s="483"/>
      <c r="G220" s="483"/>
      <c r="H220" s="411"/>
      <c r="I220" s="411"/>
      <c r="J220" s="411"/>
      <c r="K220" s="411"/>
      <c r="L220" s="608" t="s">
        <v>4884</v>
      </c>
      <c r="M220" s="409">
        <v>6056.0275590551191</v>
      </c>
      <c r="N220" s="409">
        <v>6056.0275590551191</v>
      </c>
      <c r="O220" s="410" t="s">
        <v>7575</v>
      </c>
      <c r="P220" s="406">
        <v>217</v>
      </c>
      <c r="Q220" s="470" t="s">
        <v>474</v>
      </c>
      <c r="R220" s="460" t="s">
        <v>475</v>
      </c>
      <c r="S220" s="270" t="s">
        <v>32</v>
      </c>
      <c r="U220" s="471">
        <v>1</v>
      </c>
      <c r="V220" s="471"/>
      <c r="W220" s="471" t="s">
        <v>475</v>
      </c>
      <c r="X220" s="471">
        <v>0</v>
      </c>
      <c r="Y220" s="206"/>
      <c r="Z220" s="206"/>
    </row>
    <row r="221" spans="1:26">
      <c r="A221" s="406">
        <v>218</v>
      </c>
      <c r="B221" s="613" t="s">
        <v>6467</v>
      </c>
      <c r="C221" s="288" t="s">
        <v>476</v>
      </c>
      <c r="D221" s="414" t="s">
        <v>4292</v>
      </c>
      <c r="E221" s="407" t="s">
        <v>9145</v>
      </c>
      <c r="F221" s="483"/>
      <c r="G221" s="483"/>
      <c r="H221" s="411"/>
      <c r="I221" s="411"/>
      <c r="J221" s="411"/>
      <c r="K221" s="411"/>
      <c r="L221" s="608" t="s">
        <v>4884</v>
      </c>
      <c r="M221" s="409">
        <v>6062.5118110236217</v>
      </c>
      <c r="N221" s="409">
        <v>6062.5118110236217</v>
      </c>
      <c r="O221" s="410" t="s">
        <v>7575</v>
      </c>
      <c r="P221" s="406">
        <v>218</v>
      </c>
      <c r="Q221" s="470" t="s">
        <v>476</v>
      </c>
      <c r="R221" s="460" t="s">
        <v>477</v>
      </c>
      <c r="S221" s="270" t="s">
        <v>32</v>
      </c>
      <c r="U221" s="471">
        <v>1</v>
      </c>
      <c r="V221" s="471"/>
      <c r="W221" s="471" t="s">
        <v>477</v>
      </c>
      <c r="X221" s="471">
        <v>0</v>
      </c>
      <c r="Y221" s="206"/>
      <c r="Z221" s="206"/>
    </row>
    <row r="222" spans="1:26">
      <c r="A222" s="406">
        <v>219</v>
      </c>
      <c r="B222" s="613" t="s">
        <v>6468</v>
      </c>
      <c r="C222" s="288" t="s">
        <v>478</v>
      </c>
      <c r="D222" s="414" t="s">
        <v>4294</v>
      </c>
      <c r="E222" s="407" t="s">
        <v>9146</v>
      </c>
      <c r="F222" s="483"/>
      <c r="G222" s="483"/>
      <c r="H222" s="411"/>
      <c r="I222" s="411"/>
      <c r="J222" s="411"/>
      <c r="K222" s="411"/>
      <c r="L222" s="608" t="s">
        <v>4884</v>
      </c>
      <c r="M222" s="409">
        <v>6064.4881889763783</v>
      </c>
      <c r="N222" s="409">
        <v>6064.4881889763783</v>
      </c>
      <c r="O222" s="410" t="s">
        <v>7575</v>
      </c>
      <c r="P222" s="406">
        <v>219</v>
      </c>
      <c r="Q222" s="470" t="s">
        <v>478</v>
      </c>
      <c r="R222" s="460" t="s">
        <v>479</v>
      </c>
      <c r="S222" s="270" t="s">
        <v>32</v>
      </c>
      <c r="U222" s="471">
        <v>1</v>
      </c>
      <c r="V222" s="471"/>
      <c r="W222" s="471" t="s">
        <v>479</v>
      </c>
      <c r="X222" s="471">
        <v>0</v>
      </c>
      <c r="Y222" s="206"/>
      <c r="Z222" s="206"/>
    </row>
    <row r="223" spans="1:26">
      <c r="A223" s="406">
        <v>220</v>
      </c>
      <c r="B223" s="613" t="s">
        <v>6469</v>
      </c>
      <c r="C223" s="288" t="s">
        <v>480</v>
      </c>
      <c r="D223" s="414" t="s">
        <v>4281</v>
      </c>
      <c r="E223" s="407" t="s">
        <v>9147</v>
      </c>
      <c r="F223" s="483"/>
      <c r="G223" s="483"/>
      <c r="H223" s="411"/>
      <c r="I223" s="411"/>
      <c r="J223" s="411"/>
      <c r="K223" s="411"/>
      <c r="L223" s="608" t="s">
        <v>4884</v>
      </c>
      <c r="M223" s="409">
        <v>6057.5354330708669</v>
      </c>
      <c r="N223" s="409">
        <v>6057.5354330708669</v>
      </c>
      <c r="O223" s="410" t="s">
        <v>7575</v>
      </c>
      <c r="P223" s="406">
        <v>220</v>
      </c>
      <c r="Q223" s="470" t="s">
        <v>480</v>
      </c>
      <c r="R223" s="460" t="s">
        <v>481</v>
      </c>
      <c r="S223" s="270" t="s">
        <v>32</v>
      </c>
      <c r="U223" s="471">
        <v>1</v>
      </c>
      <c r="V223" s="471"/>
      <c r="W223" s="471" t="s">
        <v>481</v>
      </c>
      <c r="X223" s="471">
        <v>0</v>
      </c>
      <c r="Y223" s="206"/>
      <c r="Z223" s="206"/>
    </row>
    <row r="224" spans="1:26">
      <c r="A224" s="406">
        <v>221</v>
      </c>
      <c r="B224" s="613" t="s">
        <v>6470</v>
      </c>
      <c r="C224" s="288" t="s">
        <v>482</v>
      </c>
      <c r="D224" s="414" t="s">
        <v>4284</v>
      </c>
      <c r="E224" s="407" t="s">
        <v>9148</v>
      </c>
      <c r="F224" s="483"/>
      <c r="G224" s="483"/>
      <c r="H224" s="411"/>
      <c r="I224" s="411"/>
      <c r="J224" s="411"/>
      <c r="K224" s="411"/>
      <c r="L224" s="608" t="s">
        <v>4884</v>
      </c>
      <c r="M224" s="409">
        <v>6060.5157480314956</v>
      </c>
      <c r="N224" s="409">
        <v>6060.5157480314956</v>
      </c>
      <c r="O224" s="410" t="s">
        <v>7575</v>
      </c>
      <c r="P224" s="406">
        <v>221</v>
      </c>
      <c r="Q224" s="470" t="s">
        <v>482</v>
      </c>
      <c r="R224" s="460" t="s">
        <v>483</v>
      </c>
      <c r="S224" s="270" t="s">
        <v>32</v>
      </c>
      <c r="U224" s="471">
        <v>1</v>
      </c>
      <c r="V224" s="471"/>
      <c r="W224" s="471" t="s">
        <v>483</v>
      </c>
      <c r="X224" s="471">
        <v>0</v>
      </c>
      <c r="Y224" s="206"/>
      <c r="Z224" s="206"/>
    </row>
    <row r="225" spans="1:26">
      <c r="A225" s="406">
        <v>222</v>
      </c>
      <c r="B225" s="613" t="s">
        <v>6471</v>
      </c>
      <c r="C225" s="288" t="s">
        <v>484</v>
      </c>
      <c r="D225" s="414" t="s">
        <v>4305</v>
      </c>
      <c r="E225" s="407" t="s">
        <v>9149</v>
      </c>
      <c r="F225" s="483"/>
      <c r="G225" s="483"/>
      <c r="H225" s="411"/>
      <c r="I225" s="411"/>
      <c r="J225" s="411"/>
      <c r="K225" s="411"/>
      <c r="L225" s="608" t="s">
        <v>4884</v>
      </c>
      <c r="M225" s="409">
        <v>5194.8425196850403</v>
      </c>
      <c r="N225" s="409">
        <v>5194.8425196850403</v>
      </c>
      <c r="O225" s="410" t="s">
        <v>7576</v>
      </c>
      <c r="P225" s="406">
        <v>222</v>
      </c>
      <c r="Q225" s="470" t="s">
        <v>484</v>
      </c>
      <c r="R225" s="460" t="s">
        <v>485</v>
      </c>
      <c r="S225" s="270" t="s">
        <v>32</v>
      </c>
      <c r="U225" s="471">
        <v>1</v>
      </c>
      <c r="V225" s="471"/>
      <c r="W225" s="471" t="s">
        <v>485</v>
      </c>
      <c r="X225" s="471">
        <v>0</v>
      </c>
      <c r="Y225" s="206"/>
      <c r="Z225" s="206"/>
    </row>
    <row r="226" spans="1:26">
      <c r="A226" s="406">
        <v>223</v>
      </c>
      <c r="B226" s="613" t="s">
        <v>6472</v>
      </c>
      <c r="C226" s="288" t="s">
        <v>486</v>
      </c>
      <c r="D226" s="414" t="s">
        <v>4317</v>
      </c>
      <c r="E226" s="407" t="s">
        <v>9150</v>
      </c>
      <c r="F226" s="483"/>
      <c r="G226" s="483"/>
      <c r="H226" s="411"/>
      <c r="I226" s="411"/>
      <c r="J226" s="411"/>
      <c r="K226" s="411"/>
      <c r="L226" s="608" t="s">
        <v>4884</v>
      </c>
      <c r="M226" s="409">
        <v>5204.2677165354335</v>
      </c>
      <c r="N226" s="409">
        <v>5204.2677165354335</v>
      </c>
      <c r="O226" s="410" t="s">
        <v>7576</v>
      </c>
      <c r="P226" s="406">
        <v>223</v>
      </c>
      <c r="Q226" s="470" t="s">
        <v>486</v>
      </c>
      <c r="R226" s="460" t="s">
        <v>487</v>
      </c>
      <c r="S226" s="270" t="s">
        <v>32</v>
      </c>
      <c r="U226" s="471">
        <v>1</v>
      </c>
      <c r="V226" s="471"/>
      <c r="W226" s="471" t="s">
        <v>487</v>
      </c>
      <c r="X226" s="471">
        <v>0</v>
      </c>
      <c r="Y226" s="206"/>
      <c r="Z226" s="206"/>
    </row>
    <row r="227" spans="1:26">
      <c r="A227" s="406">
        <v>224</v>
      </c>
      <c r="B227" s="613" t="s">
        <v>6473</v>
      </c>
      <c r="C227" s="288" t="s">
        <v>488</v>
      </c>
      <c r="D227" s="414" t="s">
        <v>4278</v>
      </c>
      <c r="E227" s="407" t="s">
        <v>9151</v>
      </c>
      <c r="F227" s="483"/>
      <c r="G227" s="483"/>
      <c r="H227" s="411"/>
      <c r="I227" s="411"/>
      <c r="J227" s="411"/>
      <c r="K227" s="411"/>
      <c r="L227" s="608" t="s">
        <v>4884</v>
      </c>
      <c r="M227" s="409">
        <v>5192.6220472440946</v>
      </c>
      <c r="N227" s="409">
        <v>5192.6220472440946</v>
      </c>
      <c r="O227" s="410" t="s">
        <v>7576</v>
      </c>
      <c r="P227" s="406">
        <v>224</v>
      </c>
      <c r="Q227" s="470" t="s">
        <v>488</v>
      </c>
      <c r="R227" s="460" t="s">
        <v>489</v>
      </c>
      <c r="S227" s="270" t="s">
        <v>32</v>
      </c>
      <c r="U227" s="471">
        <v>1</v>
      </c>
      <c r="V227" s="471"/>
      <c r="W227" s="471" t="s">
        <v>489</v>
      </c>
      <c r="X227" s="471">
        <v>0</v>
      </c>
      <c r="Y227" s="206"/>
      <c r="Z227" s="206"/>
    </row>
    <row r="228" spans="1:26">
      <c r="A228" s="406">
        <v>225</v>
      </c>
      <c r="B228" s="613" t="s">
        <v>6474</v>
      </c>
      <c r="C228" s="288" t="s">
        <v>490</v>
      </c>
      <c r="D228" s="414" t="s">
        <v>4276</v>
      </c>
      <c r="E228" s="407" t="s">
        <v>9152</v>
      </c>
      <c r="F228" s="483"/>
      <c r="G228" s="483"/>
      <c r="H228" s="411"/>
      <c r="I228" s="411"/>
      <c r="J228" s="411"/>
      <c r="K228" s="411"/>
      <c r="L228" s="608" t="s">
        <v>4884</v>
      </c>
      <c r="M228" s="409">
        <v>5195.1653543307093</v>
      </c>
      <c r="N228" s="409">
        <v>5195.1653543307093</v>
      </c>
      <c r="O228" s="410" t="s">
        <v>7576</v>
      </c>
      <c r="P228" s="406">
        <v>225</v>
      </c>
      <c r="Q228" s="470" t="s">
        <v>490</v>
      </c>
      <c r="R228" s="460" t="s">
        <v>491</v>
      </c>
      <c r="S228" s="270" t="s">
        <v>32</v>
      </c>
      <c r="U228" s="471">
        <v>1</v>
      </c>
      <c r="V228" s="471"/>
      <c r="W228" s="471" t="s">
        <v>491</v>
      </c>
      <c r="X228" s="471">
        <v>0</v>
      </c>
      <c r="Y228" s="206"/>
      <c r="Z228" s="206"/>
    </row>
    <row r="229" spans="1:26">
      <c r="A229" s="406">
        <v>226</v>
      </c>
      <c r="B229" s="613" t="s">
        <v>6475</v>
      </c>
      <c r="C229" s="288" t="s">
        <v>492</v>
      </c>
      <c r="D229" s="414" t="s">
        <v>4308</v>
      </c>
      <c r="E229" s="407" t="s">
        <v>9153</v>
      </c>
      <c r="F229" s="483"/>
      <c r="G229" s="483"/>
      <c r="H229" s="411"/>
      <c r="I229" s="411"/>
      <c r="J229" s="411"/>
      <c r="K229" s="411"/>
      <c r="L229" s="608" t="s">
        <v>4884</v>
      </c>
      <c r="M229" s="409">
        <v>5190.0826771653547</v>
      </c>
      <c r="N229" s="409">
        <v>5190.0826771653547</v>
      </c>
      <c r="O229" s="410" t="s">
        <v>7576</v>
      </c>
      <c r="P229" s="406">
        <v>226</v>
      </c>
      <c r="Q229" s="470" t="s">
        <v>492</v>
      </c>
      <c r="R229" s="460" t="s">
        <v>493</v>
      </c>
      <c r="S229" s="270" t="s">
        <v>32</v>
      </c>
      <c r="U229" s="471">
        <v>1</v>
      </c>
      <c r="V229" s="471"/>
      <c r="W229" s="471" t="s">
        <v>493</v>
      </c>
      <c r="X229" s="471">
        <v>0</v>
      </c>
      <c r="Y229" s="206"/>
      <c r="Z229" s="206"/>
    </row>
    <row r="230" spans="1:26">
      <c r="A230" s="406">
        <v>227</v>
      </c>
      <c r="B230" s="613" t="s">
        <v>6476</v>
      </c>
      <c r="C230" s="288" t="s">
        <v>494</v>
      </c>
      <c r="D230" s="414" t="s">
        <v>4307</v>
      </c>
      <c r="E230" s="407" t="s">
        <v>9154</v>
      </c>
      <c r="F230" s="483"/>
      <c r="G230" s="483"/>
      <c r="H230" s="411"/>
      <c r="I230" s="411"/>
      <c r="J230" s="411"/>
      <c r="K230" s="411"/>
      <c r="L230" s="608" t="s">
        <v>4884</v>
      </c>
      <c r="M230" s="409">
        <v>5191.0118110236217</v>
      </c>
      <c r="N230" s="409">
        <v>5191.0118110236217</v>
      </c>
      <c r="O230" s="410" t="s">
        <v>7576</v>
      </c>
      <c r="P230" s="406">
        <v>227</v>
      </c>
      <c r="Q230" s="470" t="s">
        <v>494</v>
      </c>
      <c r="R230" s="460" t="s">
        <v>495</v>
      </c>
      <c r="S230" s="270" t="s">
        <v>32</v>
      </c>
      <c r="U230" s="471">
        <v>1</v>
      </c>
      <c r="V230" s="471"/>
      <c r="W230" s="471" t="s">
        <v>495</v>
      </c>
      <c r="X230" s="471">
        <v>0</v>
      </c>
      <c r="Y230" s="206"/>
      <c r="Z230" s="206"/>
    </row>
    <row r="231" spans="1:26">
      <c r="A231" s="406">
        <v>228</v>
      </c>
      <c r="B231" s="613" t="s">
        <v>6477</v>
      </c>
      <c r="C231" s="288" t="s">
        <v>496</v>
      </c>
      <c r="D231" s="414" t="s">
        <v>4280</v>
      </c>
      <c r="E231" s="407" t="s">
        <v>9155</v>
      </c>
      <c r="F231" s="483"/>
      <c r="G231" s="483"/>
      <c r="H231" s="411"/>
      <c r="I231" s="411"/>
      <c r="J231" s="411"/>
      <c r="K231" s="411"/>
      <c r="L231" s="608" t="s">
        <v>4884</v>
      </c>
      <c r="M231" s="409">
        <v>5195.3149606299221</v>
      </c>
      <c r="N231" s="409">
        <v>5195.3149606299221</v>
      </c>
      <c r="O231" s="410" t="s">
        <v>7576</v>
      </c>
      <c r="P231" s="406">
        <v>228</v>
      </c>
      <c r="Q231" s="470" t="s">
        <v>496</v>
      </c>
      <c r="R231" s="460" t="s">
        <v>497</v>
      </c>
      <c r="S231" s="270" t="s">
        <v>32</v>
      </c>
      <c r="U231" s="471">
        <v>1</v>
      </c>
      <c r="V231" s="471"/>
      <c r="W231" s="471" t="s">
        <v>497</v>
      </c>
      <c r="X231" s="471">
        <v>0</v>
      </c>
      <c r="Y231" s="206"/>
      <c r="Z231" s="206"/>
    </row>
    <row r="232" spans="1:26">
      <c r="A232" s="406">
        <v>229</v>
      </c>
      <c r="B232" s="613" t="s">
        <v>6478</v>
      </c>
      <c r="C232" s="288" t="s">
        <v>498</v>
      </c>
      <c r="D232" s="414" t="s">
        <v>4310</v>
      </c>
      <c r="E232" s="407" t="s">
        <v>9156</v>
      </c>
      <c r="F232" s="483"/>
      <c r="G232" s="483"/>
      <c r="H232" s="411"/>
      <c r="I232" s="411"/>
      <c r="J232" s="411"/>
      <c r="K232" s="411"/>
      <c r="L232" s="608" t="s">
        <v>4884</v>
      </c>
      <c r="M232" s="409">
        <v>5191.4094488188975</v>
      </c>
      <c r="N232" s="409">
        <v>5191.4094488188975</v>
      </c>
      <c r="O232" s="410" t="s">
        <v>7576</v>
      </c>
      <c r="P232" s="406">
        <v>229</v>
      </c>
      <c r="Q232" s="470" t="s">
        <v>498</v>
      </c>
      <c r="R232" s="460" t="s">
        <v>499</v>
      </c>
      <c r="S232" s="270" t="s">
        <v>32</v>
      </c>
      <c r="U232" s="471">
        <v>1</v>
      </c>
      <c r="V232" s="471"/>
      <c r="W232" s="471" t="s">
        <v>499</v>
      </c>
      <c r="X232" s="471">
        <v>0</v>
      </c>
      <c r="Y232" s="206"/>
      <c r="Z232" s="206"/>
    </row>
    <row r="233" spans="1:26">
      <c r="A233" s="406">
        <v>230</v>
      </c>
      <c r="B233" s="613" t="s">
        <v>6479</v>
      </c>
      <c r="C233" s="288" t="s">
        <v>500</v>
      </c>
      <c r="D233" s="414" t="s">
        <v>4272</v>
      </c>
      <c r="E233" s="407" t="s">
        <v>9157</v>
      </c>
      <c r="F233" s="483"/>
      <c r="G233" s="483"/>
      <c r="H233" s="411"/>
      <c r="I233" s="411"/>
      <c r="J233" s="411"/>
      <c r="K233" s="411"/>
      <c r="L233" s="608" t="s">
        <v>4884</v>
      </c>
      <c r="M233" s="409">
        <v>6183.8700787401576</v>
      </c>
      <c r="N233" s="409">
        <v>6183.8700787401576</v>
      </c>
      <c r="O233" s="410" t="s">
        <v>7569</v>
      </c>
      <c r="P233" s="406">
        <v>230</v>
      </c>
      <c r="Q233" s="470" t="s">
        <v>500</v>
      </c>
      <c r="R233" s="460" t="s">
        <v>501</v>
      </c>
      <c r="S233" s="270" t="s">
        <v>32</v>
      </c>
      <c r="U233" s="471">
        <v>1</v>
      </c>
      <c r="V233" s="471"/>
      <c r="W233" s="471" t="s">
        <v>501</v>
      </c>
      <c r="X233" s="471">
        <v>0</v>
      </c>
      <c r="Y233" s="206"/>
      <c r="Z233" s="206"/>
    </row>
    <row r="234" spans="1:26">
      <c r="A234" s="406">
        <v>231</v>
      </c>
      <c r="B234" s="613" t="s">
        <v>6480</v>
      </c>
      <c r="C234" s="288" t="s">
        <v>502</v>
      </c>
      <c r="D234" s="414" t="s">
        <v>4274</v>
      </c>
      <c r="E234" s="407" t="s">
        <v>9158</v>
      </c>
      <c r="F234" s="483"/>
      <c r="G234" s="483"/>
      <c r="H234" s="411"/>
      <c r="I234" s="411"/>
      <c r="J234" s="411"/>
      <c r="K234" s="411"/>
      <c r="L234" s="608" t="s">
        <v>4884</v>
      </c>
      <c r="M234" s="409">
        <v>6184.5078740157487</v>
      </c>
      <c r="N234" s="409">
        <v>6184.5078740157487</v>
      </c>
      <c r="O234" s="410" t="s">
        <v>7569</v>
      </c>
      <c r="P234" s="406">
        <v>231</v>
      </c>
      <c r="Q234" s="470" t="s">
        <v>502</v>
      </c>
      <c r="R234" s="460" t="s">
        <v>503</v>
      </c>
      <c r="S234" s="270" t="s">
        <v>32</v>
      </c>
      <c r="U234" s="471">
        <v>1</v>
      </c>
      <c r="V234" s="471"/>
      <c r="W234" s="471" t="s">
        <v>503</v>
      </c>
      <c r="X234" s="471">
        <v>0</v>
      </c>
      <c r="Y234" s="206"/>
      <c r="Z234" s="206"/>
    </row>
    <row r="235" spans="1:26">
      <c r="A235" s="406">
        <v>232</v>
      </c>
      <c r="B235" s="613" t="s">
        <v>6481</v>
      </c>
      <c r="C235" s="288" t="s">
        <v>504</v>
      </c>
      <c r="D235" s="414" t="s">
        <v>4265</v>
      </c>
      <c r="E235" s="407" t="s">
        <v>9159</v>
      </c>
      <c r="F235" s="483"/>
      <c r="G235" s="483"/>
      <c r="H235" s="411"/>
      <c r="I235" s="411"/>
      <c r="J235" s="411"/>
      <c r="K235" s="411"/>
      <c r="L235" s="608" t="s">
        <v>4884</v>
      </c>
      <c r="M235" s="409">
        <v>6182.6181102362207</v>
      </c>
      <c r="N235" s="409">
        <v>6182.6181102362207</v>
      </c>
      <c r="O235" s="410" t="s">
        <v>7569</v>
      </c>
      <c r="P235" s="406">
        <v>232</v>
      </c>
      <c r="Q235" s="470" t="s">
        <v>504</v>
      </c>
      <c r="R235" s="460" t="s">
        <v>505</v>
      </c>
      <c r="S235" s="270" t="s">
        <v>32</v>
      </c>
      <c r="U235" s="471">
        <v>1</v>
      </c>
      <c r="V235" s="471"/>
      <c r="W235" s="471" t="s">
        <v>505</v>
      </c>
      <c r="X235" s="471">
        <v>0</v>
      </c>
      <c r="Y235" s="206"/>
      <c r="Z235" s="206"/>
    </row>
    <row r="236" spans="1:26">
      <c r="A236" s="406">
        <v>233</v>
      </c>
      <c r="B236" s="613" t="s">
        <v>6482</v>
      </c>
      <c r="C236" s="288" t="s">
        <v>506</v>
      </c>
      <c r="D236" s="414" t="s">
        <v>4268</v>
      </c>
      <c r="E236" s="407" t="s">
        <v>9160</v>
      </c>
      <c r="F236" s="483"/>
      <c r="G236" s="483"/>
      <c r="H236" s="411"/>
      <c r="I236" s="411"/>
      <c r="J236" s="411"/>
      <c r="K236" s="411"/>
      <c r="L236" s="608" t="s">
        <v>4884</v>
      </c>
      <c r="M236" s="409">
        <v>6182.2283464566935</v>
      </c>
      <c r="N236" s="409">
        <v>6182.2283464566935</v>
      </c>
      <c r="O236" s="410" t="s">
        <v>7569</v>
      </c>
      <c r="P236" s="406">
        <v>233</v>
      </c>
      <c r="Q236" s="470" t="s">
        <v>506</v>
      </c>
      <c r="R236" s="460" t="s">
        <v>507</v>
      </c>
      <c r="S236" s="270" t="s">
        <v>32</v>
      </c>
      <c r="U236" s="471">
        <v>1</v>
      </c>
      <c r="V236" s="471"/>
      <c r="W236" s="471" t="s">
        <v>507</v>
      </c>
      <c r="X236" s="471">
        <v>0</v>
      </c>
      <c r="Y236" s="206"/>
      <c r="Z236" s="206"/>
    </row>
    <row r="237" spans="1:26">
      <c r="A237" s="406">
        <v>234</v>
      </c>
      <c r="B237" s="613" t="s">
        <v>6483</v>
      </c>
      <c r="C237" s="288" t="s">
        <v>508</v>
      </c>
      <c r="D237" s="414" t="s">
        <v>4269</v>
      </c>
      <c r="E237" s="407" t="s">
        <v>9161</v>
      </c>
      <c r="F237" s="483"/>
      <c r="G237" s="483"/>
      <c r="H237" s="411"/>
      <c r="I237" s="411"/>
      <c r="J237" s="411"/>
      <c r="K237" s="411"/>
      <c r="L237" s="608" t="s">
        <v>4884</v>
      </c>
      <c r="M237" s="409">
        <v>6182.1377952755902</v>
      </c>
      <c r="N237" s="409">
        <v>6182.1377952755902</v>
      </c>
      <c r="O237" s="410" t="s">
        <v>7569</v>
      </c>
      <c r="P237" s="406">
        <v>234</v>
      </c>
      <c r="Q237" s="470" t="s">
        <v>508</v>
      </c>
      <c r="R237" s="460" t="s">
        <v>509</v>
      </c>
      <c r="S237" s="270" t="s">
        <v>32</v>
      </c>
      <c r="U237" s="471">
        <v>1</v>
      </c>
      <c r="V237" s="471"/>
      <c r="W237" s="471" t="s">
        <v>509</v>
      </c>
      <c r="X237" s="471">
        <v>0</v>
      </c>
      <c r="Y237" s="206"/>
      <c r="Z237" s="206"/>
    </row>
    <row r="238" spans="1:26">
      <c r="A238" s="406">
        <v>235</v>
      </c>
      <c r="B238" s="613" t="s">
        <v>6484</v>
      </c>
      <c r="C238" s="288" t="s">
        <v>510</v>
      </c>
      <c r="D238" s="414" t="s">
        <v>4270</v>
      </c>
      <c r="E238" s="407" t="s">
        <v>9162</v>
      </c>
      <c r="F238" s="483"/>
      <c r="G238" s="483"/>
      <c r="H238" s="411"/>
      <c r="I238" s="411"/>
      <c r="J238" s="411"/>
      <c r="K238" s="411"/>
      <c r="L238" s="608" t="s">
        <v>4884</v>
      </c>
      <c r="M238" s="409">
        <v>6181.4212598425202</v>
      </c>
      <c r="N238" s="409">
        <v>6181.4212598425202</v>
      </c>
      <c r="O238" s="410" t="s">
        <v>7569</v>
      </c>
      <c r="P238" s="406">
        <v>235</v>
      </c>
      <c r="Q238" s="470" t="s">
        <v>510</v>
      </c>
      <c r="R238" s="460" t="s">
        <v>511</v>
      </c>
      <c r="S238" s="270" t="s">
        <v>32</v>
      </c>
      <c r="U238" s="471">
        <v>1</v>
      </c>
      <c r="V238" s="471"/>
      <c r="W238" s="471" t="s">
        <v>511</v>
      </c>
      <c r="X238" s="471">
        <v>0</v>
      </c>
      <c r="Y238" s="206"/>
      <c r="Z238" s="206"/>
    </row>
    <row r="239" spans="1:26">
      <c r="A239" s="406">
        <v>236</v>
      </c>
      <c r="B239" s="613" t="s">
        <v>6485</v>
      </c>
      <c r="C239" s="288" t="s">
        <v>512</v>
      </c>
      <c r="D239" s="414" t="s">
        <v>4267</v>
      </c>
      <c r="E239" s="407" t="s">
        <v>9163</v>
      </c>
      <c r="F239" s="483"/>
      <c r="G239" s="483"/>
      <c r="H239" s="411"/>
      <c r="I239" s="411"/>
      <c r="J239" s="411"/>
      <c r="K239" s="411"/>
      <c r="L239" s="608" t="s">
        <v>4884</v>
      </c>
      <c r="M239" s="409">
        <v>6180.5511811023616</v>
      </c>
      <c r="N239" s="409">
        <v>6180.5511811023616</v>
      </c>
      <c r="O239" s="410" t="s">
        <v>7569</v>
      </c>
      <c r="P239" s="406">
        <v>236</v>
      </c>
      <c r="Q239" s="470" t="s">
        <v>512</v>
      </c>
      <c r="R239" s="460" t="s">
        <v>513</v>
      </c>
      <c r="S239" s="270" t="s">
        <v>32</v>
      </c>
      <c r="U239" s="471">
        <v>1</v>
      </c>
      <c r="V239" s="471"/>
      <c r="W239" s="471" t="s">
        <v>513</v>
      </c>
      <c r="X239" s="471">
        <v>0</v>
      </c>
      <c r="Y239" s="206"/>
      <c r="Z239" s="206"/>
    </row>
    <row r="240" spans="1:26">
      <c r="A240" s="406">
        <v>237</v>
      </c>
      <c r="B240" s="613" t="s">
        <v>6486</v>
      </c>
      <c r="C240" s="288" t="s">
        <v>514</v>
      </c>
      <c r="D240" s="414" t="s">
        <v>4271</v>
      </c>
      <c r="E240" s="407" t="s">
        <v>9164</v>
      </c>
      <c r="F240" s="483"/>
      <c r="G240" s="483"/>
      <c r="H240" s="411"/>
      <c r="I240" s="411"/>
      <c r="J240" s="411"/>
      <c r="K240" s="411"/>
      <c r="L240" s="608" t="s">
        <v>4884</v>
      </c>
      <c r="M240" s="409">
        <v>6185</v>
      </c>
      <c r="N240" s="409">
        <v>6185</v>
      </c>
      <c r="O240" s="410" t="s">
        <v>7569</v>
      </c>
      <c r="P240" s="406">
        <v>237</v>
      </c>
      <c r="Q240" s="470" t="s">
        <v>514</v>
      </c>
      <c r="R240" s="460" t="s">
        <v>515</v>
      </c>
      <c r="S240" s="270" t="s">
        <v>32</v>
      </c>
      <c r="U240" s="471">
        <v>1</v>
      </c>
      <c r="V240" s="471"/>
      <c r="W240" s="471" t="s">
        <v>515</v>
      </c>
      <c r="X240" s="471">
        <v>0</v>
      </c>
      <c r="Y240" s="206"/>
      <c r="Z240" s="206"/>
    </row>
    <row r="241" spans="1:26">
      <c r="A241" s="406">
        <v>238</v>
      </c>
      <c r="B241" s="613" t="s">
        <v>6487</v>
      </c>
      <c r="C241" s="288" t="s">
        <v>516</v>
      </c>
      <c r="D241" s="414" t="s">
        <v>4456</v>
      </c>
      <c r="E241" s="407" t="s">
        <v>9165</v>
      </c>
      <c r="F241" s="483"/>
      <c r="G241" s="483"/>
      <c r="H241" s="411"/>
      <c r="I241" s="411"/>
      <c r="J241" s="411"/>
      <c r="K241" s="411"/>
      <c r="L241" s="608" t="s">
        <v>4884</v>
      </c>
      <c r="M241" s="409">
        <v>7172.2755905511822</v>
      </c>
      <c r="N241" s="409">
        <v>7172.2755905511822</v>
      </c>
      <c r="O241" s="410" t="s">
        <v>7572</v>
      </c>
      <c r="P241" s="406">
        <v>238</v>
      </c>
      <c r="Q241" s="470" t="s">
        <v>516</v>
      </c>
      <c r="R241" s="460" t="s">
        <v>517</v>
      </c>
      <c r="S241" s="270" t="s">
        <v>32</v>
      </c>
      <c r="U241" s="471">
        <v>1</v>
      </c>
      <c r="V241" s="471"/>
      <c r="W241" s="471" t="s">
        <v>517</v>
      </c>
      <c r="X241" s="471">
        <v>0</v>
      </c>
      <c r="Y241" s="206"/>
      <c r="Z241" s="206"/>
    </row>
    <row r="242" spans="1:26">
      <c r="A242" s="406">
        <v>239</v>
      </c>
      <c r="B242" s="613" t="s">
        <v>6488</v>
      </c>
      <c r="C242" s="288" t="s">
        <v>518</v>
      </c>
      <c r="D242" s="414" t="s">
        <v>4455</v>
      </c>
      <c r="E242" s="407" t="s">
        <v>9166</v>
      </c>
      <c r="F242" s="483"/>
      <c r="G242" s="483"/>
      <c r="H242" s="411"/>
      <c r="I242" s="411"/>
      <c r="J242" s="411"/>
      <c r="K242" s="411"/>
      <c r="L242" s="608" t="s">
        <v>4884</v>
      </c>
      <c r="M242" s="409">
        <v>7165.1023622047242</v>
      </c>
      <c r="N242" s="409">
        <v>7165.1023622047242</v>
      </c>
      <c r="O242" s="410" t="s">
        <v>7572</v>
      </c>
      <c r="P242" s="406">
        <v>239</v>
      </c>
      <c r="Q242" s="470" t="s">
        <v>518</v>
      </c>
      <c r="R242" s="460" t="s">
        <v>519</v>
      </c>
      <c r="S242" s="270" t="s">
        <v>32</v>
      </c>
      <c r="U242" s="471">
        <v>1</v>
      </c>
      <c r="V242" s="471"/>
      <c r="W242" s="471" t="s">
        <v>519</v>
      </c>
      <c r="X242" s="471">
        <v>0</v>
      </c>
      <c r="Y242" s="206"/>
      <c r="Z242" s="206"/>
    </row>
    <row r="243" spans="1:26">
      <c r="A243" s="406">
        <v>240</v>
      </c>
      <c r="B243" s="613" t="s">
        <v>6489</v>
      </c>
      <c r="C243" s="288" t="s">
        <v>520</v>
      </c>
      <c r="D243" s="414" t="s">
        <v>4405</v>
      </c>
      <c r="E243" s="407" t="s">
        <v>9167</v>
      </c>
      <c r="F243" s="483"/>
      <c r="G243" s="483"/>
      <c r="H243" s="411"/>
      <c r="I243" s="411"/>
      <c r="J243" s="411"/>
      <c r="K243" s="411"/>
      <c r="L243" s="608" t="s">
        <v>4884</v>
      </c>
      <c r="M243" s="409">
        <v>7171.0590551181112</v>
      </c>
      <c r="N243" s="409">
        <v>7171.0590551181112</v>
      </c>
      <c r="O243" s="410" t="s">
        <v>7572</v>
      </c>
      <c r="P243" s="406">
        <v>240</v>
      </c>
      <c r="Q243" s="470" t="s">
        <v>520</v>
      </c>
      <c r="R243" s="460" t="s">
        <v>521</v>
      </c>
      <c r="S243" s="270" t="s">
        <v>32</v>
      </c>
      <c r="U243" s="471">
        <v>1</v>
      </c>
      <c r="V243" s="471"/>
      <c r="W243" s="471" t="s">
        <v>521</v>
      </c>
      <c r="X243" s="471">
        <v>0</v>
      </c>
      <c r="Y243" s="206"/>
      <c r="Z243" s="206"/>
    </row>
    <row r="244" spans="1:26">
      <c r="A244" s="406">
        <v>241</v>
      </c>
      <c r="B244" s="613" t="s">
        <v>6490</v>
      </c>
      <c r="C244" s="288" t="s">
        <v>522</v>
      </c>
      <c r="D244" s="414" t="s">
        <v>4403</v>
      </c>
      <c r="E244" s="407" t="s">
        <v>9168</v>
      </c>
      <c r="F244" s="483"/>
      <c r="G244" s="483"/>
      <c r="H244" s="411"/>
      <c r="I244" s="411"/>
      <c r="J244" s="411"/>
      <c r="K244" s="411"/>
      <c r="L244" s="608" t="s">
        <v>4884</v>
      </c>
      <c r="M244" s="409">
        <v>7163.5393700787408</v>
      </c>
      <c r="N244" s="409">
        <v>7163.5393700787408</v>
      </c>
      <c r="O244" s="410" t="s">
        <v>7572</v>
      </c>
      <c r="P244" s="406">
        <v>241</v>
      </c>
      <c r="Q244" s="470" t="s">
        <v>522</v>
      </c>
      <c r="R244" s="460" t="s">
        <v>523</v>
      </c>
      <c r="S244" s="270" t="s">
        <v>32</v>
      </c>
      <c r="U244" s="471">
        <v>1</v>
      </c>
      <c r="V244" s="471"/>
      <c r="W244" s="471" t="s">
        <v>523</v>
      </c>
      <c r="X244" s="471">
        <v>0</v>
      </c>
      <c r="Y244" s="206"/>
      <c r="Z244" s="206"/>
    </row>
    <row r="245" spans="1:26">
      <c r="A245" s="406">
        <v>242</v>
      </c>
      <c r="B245" s="613" t="s">
        <v>6491</v>
      </c>
      <c r="C245" s="288" t="s">
        <v>524</v>
      </c>
      <c r="D245" s="414" t="s">
        <v>4453</v>
      </c>
      <c r="E245" s="407" t="s">
        <v>9169</v>
      </c>
      <c r="F245" s="483"/>
      <c r="G245" s="483"/>
      <c r="H245" s="411"/>
      <c r="I245" s="411"/>
      <c r="J245" s="411"/>
      <c r="K245" s="411"/>
      <c r="L245" s="608" t="s">
        <v>4884</v>
      </c>
      <c r="M245" s="409">
        <v>7160.4842519685035</v>
      </c>
      <c r="N245" s="409">
        <v>7160.4842519685035</v>
      </c>
      <c r="O245" s="410" t="s">
        <v>7572</v>
      </c>
      <c r="P245" s="406">
        <v>242</v>
      </c>
      <c r="Q245" s="470" t="s">
        <v>524</v>
      </c>
      <c r="R245" s="460" t="s">
        <v>525</v>
      </c>
      <c r="S245" s="270" t="s">
        <v>32</v>
      </c>
      <c r="U245" s="471">
        <v>1</v>
      </c>
      <c r="V245" s="471"/>
      <c r="W245" s="471" t="s">
        <v>525</v>
      </c>
      <c r="X245" s="471">
        <v>0</v>
      </c>
      <c r="Y245" s="206"/>
      <c r="Z245" s="206"/>
    </row>
    <row r="246" spans="1:26">
      <c r="A246" s="406">
        <v>243</v>
      </c>
      <c r="B246" s="613" t="s">
        <v>6492</v>
      </c>
      <c r="C246" s="288" t="s">
        <v>526</v>
      </c>
      <c r="D246" s="414" t="s">
        <v>4454</v>
      </c>
      <c r="E246" s="407" t="s">
        <v>9170</v>
      </c>
      <c r="F246" s="483"/>
      <c r="G246" s="483"/>
      <c r="H246" s="411"/>
      <c r="I246" s="411"/>
      <c r="J246" s="411"/>
      <c r="K246" s="411"/>
      <c r="L246" s="608" t="s">
        <v>4884</v>
      </c>
      <c r="M246" s="409">
        <v>7167.1692913385832</v>
      </c>
      <c r="N246" s="409">
        <v>7167.1692913385832</v>
      </c>
      <c r="O246" s="410" t="s">
        <v>7572</v>
      </c>
      <c r="P246" s="406">
        <v>243</v>
      </c>
      <c r="Q246" s="470" t="s">
        <v>526</v>
      </c>
      <c r="R246" s="460" t="s">
        <v>527</v>
      </c>
      <c r="S246" s="270" t="s">
        <v>32</v>
      </c>
      <c r="U246" s="471">
        <v>1</v>
      </c>
      <c r="V246" s="471"/>
      <c r="W246" s="471" t="s">
        <v>527</v>
      </c>
      <c r="X246" s="471">
        <v>0</v>
      </c>
      <c r="Y246" s="206"/>
      <c r="Z246" s="206"/>
    </row>
    <row r="247" spans="1:26">
      <c r="A247" s="406">
        <v>244</v>
      </c>
      <c r="B247" s="613" t="s">
        <v>6493</v>
      </c>
      <c r="C247" s="288" t="s">
        <v>528</v>
      </c>
      <c r="D247" s="414" t="s">
        <v>4447</v>
      </c>
      <c r="E247" s="407" t="s">
        <v>9171</v>
      </c>
      <c r="F247" s="483"/>
      <c r="G247" s="483"/>
      <c r="H247" s="411"/>
      <c r="I247" s="411"/>
      <c r="J247" s="411"/>
      <c r="K247" s="411"/>
      <c r="L247" s="608" t="s">
        <v>4884</v>
      </c>
      <c r="M247" s="409">
        <v>7163.6811023622058</v>
      </c>
      <c r="N247" s="409">
        <v>7163.6811023622058</v>
      </c>
      <c r="O247" s="410" t="s">
        <v>7572</v>
      </c>
      <c r="P247" s="406">
        <v>244</v>
      </c>
      <c r="Q247" s="470" t="s">
        <v>528</v>
      </c>
      <c r="R247" s="460" t="s">
        <v>529</v>
      </c>
      <c r="S247" s="270" t="s">
        <v>32</v>
      </c>
      <c r="U247" s="471">
        <v>1</v>
      </c>
      <c r="V247" s="471"/>
      <c r="W247" s="471" t="s">
        <v>529</v>
      </c>
      <c r="X247" s="471">
        <v>0</v>
      </c>
      <c r="Y247" s="206"/>
      <c r="Z247" s="206"/>
    </row>
    <row r="248" spans="1:26">
      <c r="A248" s="406">
        <v>245</v>
      </c>
      <c r="B248" s="613" t="s">
        <v>6494</v>
      </c>
      <c r="C248" s="288" t="s">
        <v>530</v>
      </c>
      <c r="D248" s="414" t="s">
        <v>4407</v>
      </c>
      <c r="E248" s="407" t="s">
        <v>9172</v>
      </c>
      <c r="F248" s="483"/>
      <c r="G248" s="483"/>
      <c r="H248" s="411"/>
      <c r="I248" s="411"/>
      <c r="J248" s="411"/>
      <c r="K248" s="411"/>
      <c r="L248" s="608" t="s">
        <v>4884</v>
      </c>
      <c r="M248" s="409">
        <v>7157.8858267716541</v>
      </c>
      <c r="N248" s="409">
        <v>7157.8858267716541</v>
      </c>
      <c r="O248" s="410" t="s">
        <v>7572</v>
      </c>
      <c r="P248" s="406">
        <v>245</v>
      </c>
      <c r="Q248" s="470" t="s">
        <v>530</v>
      </c>
      <c r="R248" s="460" t="s">
        <v>531</v>
      </c>
      <c r="S248" s="270" t="s">
        <v>32</v>
      </c>
      <c r="U248" s="471">
        <v>1</v>
      </c>
      <c r="V248" s="471"/>
      <c r="W248" s="471" t="s">
        <v>531</v>
      </c>
      <c r="X248" s="471">
        <v>0</v>
      </c>
      <c r="Y248" s="206"/>
      <c r="Z248" s="206"/>
    </row>
    <row r="249" spans="1:26">
      <c r="A249" s="406">
        <v>246</v>
      </c>
      <c r="B249" s="613" t="s">
        <v>6495</v>
      </c>
      <c r="C249" s="288" t="s">
        <v>532</v>
      </c>
      <c r="D249" s="414" t="s">
        <v>4410</v>
      </c>
      <c r="E249" s="407" t="s">
        <v>9173</v>
      </c>
      <c r="F249" s="483"/>
      <c r="G249" s="411"/>
      <c r="H249" s="411"/>
      <c r="I249" s="411"/>
      <c r="J249" s="411"/>
      <c r="K249" s="411"/>
      <c r="L249" s="608" t="s">
        <v>4884</v>
      </c>
      <c r="M249" s="409">
        <v>6728.7322834645665</v>
      </c>
      <c r="N249" s="409">
        <v>6728.7322834645665</v>
      </c>
      <c r="O249" s="410" t="s">
        <v>7573</v>
      </c>
      <c r="P249" s="406">
        <v>246</v>
      </c>
      <c r="Q249" s="470" t="s">
        <v>532</v>
      </c>
      <c r="R249" s="460" t="s">
        <v>533</v>
      </c>
      <c r="S249" s="270" t="s">
        <v>32</v>
      </c>
      <c r="U249" s="471">
        <v>1</v>
      </c>
      <c r="V249" s="471"/>
      <c r="W249" s="471" t="s">
        <v>533</v>
      </c>
      <c r="X249" s="471">
        <v>0</v>
      </c>
      <c r="Y249" s="206"/>
      <c r="Z249" s="206"/>
    </row>
    <row r="250" spans="1:26">
      <c r="A250" s="406">
        <v>247</v>
      </c>
      <c r="B250" s="613" t="s">
        <v>6496</v>
      </c>
      <c r="C250" s="288" t="s">
        <v>534</v>
      </c>
      <c r="D250" s="414" t="s">
        <v>4414</v>
      </c>
      <c r="E250" s="407" t="s">
        <v>9174</v>
      </c>
      <c r="F250" s="483"/>
      <c r="G250" s="411"/>
      <c r="H250" s="411"/>
      <c r="I250" s="411"/>
      <c r="J250" s="411"/>
      <c r="K250" s="411"/>
      <c r="L250" s="608" t="s">
        <v>4884</v>
      </c>
      <c r="M250" s="409">
        <v>6735.8267716535438</v>
      </c>
      <c r="N250" s="409">
        <v>6735.8267716535438</v>
      </c>
      <c r="O250" s="410" t="s">
        <v>7573</v>
      </c>
      <c r="P250" s="406">
        <v>247</v>
      </c>
      <c r="Q250" s="470" t="s">
        <v>534</v>
      </c>
      <c r="R250" s="460" t="s">
        <v>535</v>
      </c>
      <c r="S250" s="270" t="s">
        <v>32</v>
      </c>
      <c r="U250" s="471">
        <v>1</v>
      </c>
      <c r="V250" s="471"/>
      <c r="W250" s="471" t="s">
        <v>535</v>
      </c>
      <c r="X250" s="471">
        <v>0</v>
      </c>
      <c r="Y250" s="206"/>
      <c r="Z250" s="206"/>
    </row>
    <row r="251" spans="1:26">
      <c r="A251" s="406">
        <v>248</v>
      </c>
      <c r="B251" s="613" t="s">
        <v>6497</v>
      </c>
      <c r="C251" s="288" t="s">
        <v>536</v>
      </c>
      <c r="D251" s="414" t="s">
        <v>4411</v>
      </c>
      <c r="E251" s="407" t="s">
        <v>9175</v>
      </c>
      <c r="F251" s="483"/>
      <c r="G251" s="411"/>
      <c r="H251" s="411"/>
      <c r="I251" s="411"/>
      <c r="J251" s="411"/>
      <c r="K251" s="411"/>
      <c r="L251" s="608" t="s">
        <v>4884</v>
      </c>
      <c r="M251" s="409">
        <v>6731.3622047244089</v>
      </c>
      <c r="N251" s="409">
        <v>6731.3622047244089</v>
      </c>
      <c r="O251" s="410" t="s">
        <v>7573</v>
      </c>
      <c r="P251" s="406">
        <v>248</v>
      </c>
      <c r="Q251" s="470" t="s">
        <v>536</v>
      </c>
      <c r="R251" s="460" t="s">
        <v>537</v>
      </c>
      <c r="S251" s="270" t="s">
        <v>32</v>
      </c>
      <c r="U251" s="471">
        <v>1</v>
      </c>
      <c r="V251" s="471"/>
      <c r="W251" s="471" t="s">
        <v>537</v>
      </c>
      <c r="X251" s="471">
        <v>0</v>
      </c>
      <c r="Y251" s="206"/>
      <c r="Z251" s="206"/>
    </row>
    <row r="252" spans="1:26">
      <c r="A252" s="406">
        <v>249</v>
      </c>
      <c r="B252" s="613" t="s">
        <v>6498</v>
      </c>
      <c r="C252" s="288" t="s">
        <v>538</v>
      </c>
      <c r="D252" s="414" t="s">
        <v>4383</v>
      </c>
      <c r="E252" s="407" t="s">
        <v>9176</v>
      </c>
      <c r="F252" s="483"/>
      <c r="G252" s="411"/>
      <c r="H252" s="411"/>
      <c r="I252" s="411"/>
      <c r="J252" s="411"/>
      <c r="K252" s="411"/>
      <c r="L252" s="608" t="s">
        <v>4884</v>
      </c>
      <c r="M252" s="409">
        <v>6732.1968503937014</v>
      </c>
      <c r="N252" s="409">
        <v>6732.1968503937014</v>
      </c>
      <c r="O252" s="410" t="s">
        <v>7573</v>
      </c>
      <c r="P252" s="406">
        <v>249</v>
      </c>
      <c r="Q252" s="470" t="s">
        <v>538</v>
      </c>
      <c r="R252" s="460" t="s">
        <v>539</v>
      </c>
      <c r="S252" s="270" t="s">
        <v>32</v>
      </c>
      <c r="U252" s="471">
        <v>1</v>
      </c>
      <c r="V252" s="471"/>
      <c r="W252" s="471" t="s">
        <v>539</v>
      </c>
      <c r="X252" s="471">
        <v>0</v>
      </c>
      <c r="Y252" s="206"/>
      <c r="Z252" s="206"/>
    </row>
    <row r="253" spans="1:26">
      <c r="A253" s="406">
        <v>250</v>
      </c>
      <c r="B253" s="613" t="s">
        <v>6499</v>
      </c>
      <c r="C253" s="288" t="s">
        <v>540</v>
      </c>
      <c r="D253" s="414" t="s">
        <v>4402</v>
      </c>
      <c r="E253" s="407" t="s">
        <v>9177</v>
      </c>
      <c r="F253" s="483"/>
      <c r="G253" s="411"/>
      <c r="H253" s="411"/>
      <c r="I253" s="411"/>
      <c r="J253" s="411"/>
      <c r="K253" s="411"/>
      <c r="L253" s="608" t="s">
        <v>4884</v>
      </c>
      <c r="M253" s="409">
        <v>6731.4055118110236</v>
      </c>
      <c r="N253" s="409">
        <v>6731.4055118110236</v>
      </c>
      <c r="O253" s="410" t="s">
        <v>7573</v>
      </c>
      <c r="P253" s="406">
        <v>250</v>
      </c>
      <c r="Q253" s="470" t="s">
        <v>540</v>
      </c>
      <c r="R253" s="460" t="s">
        <v>541</v>
      </c>
      <c r="S253" s="270" t="s">
        <v>32</v>
      </c>
      <c r="U253" s="471">
        <v>1</v>
      </c>
      <c r="V253" s="471"/>
      <c r="W253" s="471" t="s">
        <v>541</v>
      </c>
      <c r="X253" s="471">
        <v>0</v>
      </c>
      <c r="Y253" s="206"/>
      <c r="Z253" s="206"/>
    </row>
    <row r="254" spans="1:26">
      <c r="A254" s="406">
        <v>251</v>
      </c>
      <c r="B254" s="613" t="s">
        <v>6500</v>
      </c>
      <c r="C254" s="288" t="s">
        <v>542</v>
      </c>
      <c r="D254" s="414" t="s">
        <v>4412</v>
      </c>
      <c r="E254" s="407" t="s">
        <v>9178</v>
      </c>
      <c r="F254" s="483"/>
      <c r="G254" s="411"/>
      <c r="H254" s="411"/>
      <c r="I254" s="411"/>
      <c r="J254" s="411"/>
      <c r="K254" s="411"/>
      <c r="L254" s="608" t="s">
        <v>4884</v>
      </c>
      <c r="M254" s="409">
        <v>6730.5866141732286</v>
      </c>
      <c r="N254" s="409">
        <v>6730.5866141732286</v>
      </c>
      <c r="O254" s="410" t="s">
        <v>7573</v>
      </c>
      <c r="P254" s="406">
        <v>251</v>
      </c>
      <c r="Q254" s="470" t="s">
        <v>542</v>
      </c>
      <c r="R254" s="460" t="s">
        <v>543</v>
      </c>
      <c r="S254" s="270" t="s">
        <v>32</v>
      </c>
      <c r="U254" s="471">
        <v>1</v>
      </c>
      <c r="V254" s="471"/>
      <c r="W254" s="471" t="s">
        <v>543</v>
      </c>
      <c r="X254" s="471">
        <v>0</v>
      </c>
      <c r="Y254" s="206"/>
      <c r="Z254" s="206"/>
    </row>
    <row r="255" spans="1:26">
      <c r="A255" s="406">
        <v>252</v>
      </c>
      <c r="B255" s="613" t="s">
        <v>6501</v>
      </c>
      <c r="C255" s="288" t="s">
        <v>544</v>
      </c>
      <c r="D255" s="414" t="s">
        <v>4409</v>
      </c>
      <c r="E255" s="407" t="s">
        <v>9179</v>
      </c>
      <c r="F255" s="483"/>
      <c r="G255" s="411"/>
      <c r="H255" s="411"/>
      <c r="I255" s="411"/>
      <c r="J255" s="411"/>
      <c r="K255" s="411"/>
      <c r="L255" s="608" t="s">
        <v>4884</v>
      </c>
      <c r="M255" s="409">
        <v>6728.9763779527557</v>
      </c>
      <c r="N255" s="409">
        <v>6728.9763779527557</v>
      </c>
      <c r="O255" s="410" t="s">
        <v>7573</v>
      </c>
      <c r="P255" s="406">
        <v>252</v>
      </c>
      <c r="Q255" s="470" t="s">
        <v>544</v>
      </c>
      <c r="R255" s="460" t="s">
        <v>545</v>
      </c>
      <c r="S255" s="270" t="s">
        <v>32</v>
      </c>
      <c r="U255" s="471">
        <v>1</v>
      </c>
      <c r="V255" s="471"/>
      <c r="W255" s="471" t="s">
        <v>545</v>
      </c>
      <c r="X255" s="471">
        <v>0</v>
      </c>
      <c r="Y255" s="206"/>
      <c r="Z255" s="206"/>
    </row>
    <row r="256" spans="1:26">
      <c r="A256" s="406">
        <v>253</v>
      </c>
      <c r="B256" s="613" t="s">
        <v>6502</v>
      </c>
      <c r="C256" s="288" t="s">
        <v>546</v>
      </c>
      <c r="D256" s="414" t="s">
        <v>4381</v>
      </c>
      <c r="E256" s="407" t="s">
        <v>9180</v>
      </c>
      <c r="F256" s="483"/>
      <c r="G256" s="411"/>
      <c r="H256" s="411"/>
      <c r="I256" s="411"/>
      <c r="J256" s="411"/>
      <c r="K256" s="411"/>
      <c r="L256" s="608" t="s">
        <v>4884</v>
      </c>
      <c r="M256" s="409">
        <v>6734.4881889763783</v>
      </c>
      <c r="N256" s="409">
        <v>6734.4881889763783</v>
      </c>
      <c r="O256" s="410" t="s">
        <v>7573</v>
      </c>
      <c r="P256" s="406">
        <v>253</v>
      </c>
      <c r="Q256" s="470" t="s">
        <v>546</v>
      </c>
      <c r="R256" s="460" t="s">
        <v>547</v>
      </c>
      <c r="S256" s="270" t="s">
        <v>32</v>
      </c>
      <c r="U256" s="471">
        <v>1</v>
      </c>
      <c r="V256" s="471"/>
      <c r="W256" s="471" t="s">
        <v>547</v>
      </c>
      <c r="X256" s="471">
        <v>0</v>
      </c>
      <c r="Y256" s="206"/>
      <c r="Z256" s="206"/>
    </row>
    <row r="257" spans="1:26">
      <c r="A257" s="406">
        <v>254</v>
      </c>
      <c r="B257" s="613" t="s">
        <v>6503</v>
      </c>
      <c r="C257" s="288" t="s">
        <v>548</v>
      </c>
      <c r="D257" s="414" t="s">
        <v>4388</v>
      </c>
      <c r="E257" s="407" t="s">
        <v>9181</v>
      </c>
      <c r="F257" s="483"/>
      <c r="G257" s="411"/>
      <c r="H257" s="411"/>
      <c r="I257" s="411"/>
      <c r="J257" s="411"/>
      <c r="K257" s="411"/>
      <c r="L257" s="608" t="s">
        <v>4884</v>
      </c>
      <c r="M257" s="409">
        <v>5592.1732283464571</v>
      </c>
      <c r="N257" s="409">
        <v>5592.1732283464571</v>
      </c>
      <c r="O257" s="410" t="s">
        <v>7574</v>
      </c>
      <c r="P257" s="406">
        <v>254</v>
      </c>
      <c r="Q257" s="470" t="s">
        <v>548</v>
      </c>
      <c r="R257" s="460" t="s">
        <v>549</v>
      </c>
      <c r="S257" s="270" t="s">
        <v>32</v>
      </c>
      <c r="U257" s="471">
        <v>1</v>
      </c>
      <c r="V257" s="471"/>
      <c r="W257" s="471" t="s">
        <v>549</v>
      </c>
      <c r="X257" s="471">
        <v>0</v>
      </c>
      <c r="Y257" s="206"/>
      <c r="Z257" s="206"/>
    </row>
    <row r="258" spans="1:26">
      <c r="A258" s="406">
        <v>255</v>
      </c>
      <c r="B258" s="613" t="s">
        <v>6504</v>
      </c>
      <c r="C258" s="288" t="s">
        <v>550</v>
      </c>
      <c r="D258" s="414" t="s">
        <v>4390</v>
      </c>
      <c r="E258" s="407" t="s">
        <v>9182</v>
      </c>
      <c r="F258" s="483"/>
      <c r="G258" s="411"/>
      <c r="H258" s="411"/>
      <c r="I258" s="411"/>
      <c r="J258" s="411"/>
      <c r="K258" s="411"/>
      <c r="L258" s="608" t="s">
        <v>4884</v>
      </c>
      <c r="M258" s="409">
        <v>5591.4094488188985</v>
      </c>
      <c r="N258" s="409">
        <v>5591.4094488188985</v>
      </c>
      <c r="O258" s="410" t="s">
        <v>7574</v>
      </c>
      <c r="P258" s="406">
        <v>255</v>
      </c>
      <c r="Q258" s="470" t="s">
        <v>550</v>
      </c>
      <c r="R258" s="460" t="s">
        <v>551</v>
      </c>
      <c r="S258" s="270" t="s">
        <v>32</v>
      </c>
      <c r="U258" s="471">
        <v>1</v>
      </c>
      <c r="V258" s="471"/>
      <c r="W258" s="471" t="s">
        <v>551</v>
      </c>
      <c r="X258" s="471">
        <v>0</v>
      </c>
      <c r="Y258" s="206"/>
      <c r="Z258" s="206"/>
    </row>
    <row r="259" spans="1:26">
      <c r="A259" s="406">
        <v>256</v>
      </c>
      <c r="B259" s="613" t="s">
        <v>6505</v>
      </c>
      <c r="C259" s="288" t="s">
        <v>552</v>
      </c>
      <c r="D259" s="414" t="s">
        <v>4369</v>
      </c>
      <c r="E259" s="407" t="s">
        <v>9183</v>
      </c>
      <c r="F259" s="483"/>
      <c r="G259" s="411"/>
      <c r="H259" s="411"/>
      <c r="I259" s="411"/>
      <c r="J259" s="411"/>
      <c r="K259" s="411"/>
      <c r="L259" s="608" t="s">
        <v>4884</v>
      </c>
      <c r="M259" s="409">
        <v>5591.7637795275596</v>
      </c>
      <c r="N259" s="409">
        <v>5591.7637795275596</v>
      </c>
      <c r="O259" s="410" t="s">
        <v>7574</v>
      </c>
      <c r="P259" s="406">
        <v>256</v>
      </c>
      <c r="Q259" s="470" t="s">
        <v>552</v>
      </c>
      <c r="R259" s="460" t="s">
        <v>553</v>
      </c>
      <c r="S259" s="270" t="s">
        <v>32</v>
      </c>
      <c r="U259" s="471">
        <v>1</v>
      </c>
      <c r="V259" s="471"/>
      <c r="W259" s="471" t="s">
        <v>553</v>
      </c>
      <c r="X259" s="471">
        <v>0</v>
      </c>
      <c r="Y259" s="206"/>
      <c r="Z259" s="206"/>
    </row>
    <row r="260" spans="1:26">
      <c r="A260" s="406">
        <v>257</v>
      </c>
      <c r="B260" s="613" t="s">
        <v>6506</v>
      </c>
      <c r="C260" s="288" t="s">
        <v>554</v>
      </c>
      <c r="D260" s="414" t="s">
        <v>4330</v>
      </c>
      <c r="E260" s="407" t="s">
        <v>9184</v>
      </c>
      <c r="F260" s="483"/>
      <c r="G260" s="411"/>
      <c r="H260" s="411"/>
      <c r="I260" s="411"/>
      <c r="J260" s="411"/>
      <c r="K260" s="411"/>
      <c r="L260" s="608" t="s">
        <v>4884</v>
      </c>
      <c r="M260" s="409">
        <v>5591.0511811023625</v>
      </c>
      <c r="N260" s="409">
        <v>5591.0511811023625</v>
      </c>
      <c r="O260" s="410" t="s">
        <v>7574</v>
      </c>
      <c r="P260" s="406">
        <v>257</v>
      </c>
      <c r="Q260" s="470" t="s">
        <v>554</v>
      </c>
      <c r="R260" s="460" t="s">
        <v>555</v>
      </c>
      <c r="S260" s="270" t="s">
        <v>32</v>
      </c>
      <c r="U260" s="471">
        <v>1</v>
      </c>
      <c r="V260" s="471"/>
      <c r="W260" s="471" t="s">
        <v>555</v>
      </c>
      <c r="X260" s="471">
        <v>0</v>
      </c>
      <c r="Y260" s="206"/>
      <c r="Z260" s="206"/>
    </row>
    <row r="261" spans="1:26">
      <c r="A261" s="406">
        <v>258</v>
      </c>
      <c r="B261" s="613" t="s">
        <v>6507</v>
      </c>
      <c r="C261" s="288" t="s">
        <v>556</v>
      </c>
      <c r="D261" s="414" t="s">
        <v>4371</v>
      </c>
      <c r="E261" s="407" t="s">
        <v>9185</v>
      </c>
      <c r="F261" s="483"/>
      <c r="G261" s="411"/>
      <c r="H261" s="411"/>
      <c r="I261" s="411"/>
      <c r="J261" s="411"/>
      <c r="K261" s="411"/>
      <c r="L261" s="608" t="s">
        <v>4884</v>
      </c>
      <c r="M261" s="409">
        <v>5591.0826771653547</v>
      </c>
      <c r="N261" s="409">
        <v>5591.0826771653547</v>
      </c>
      <c r="O261" s="410" t="s">
        <v>7574</v>
      </c>
      <c r="P261" s="406">
        <v>258</v>
      </c>
      <c r="Q261" s="470" t="s">
        <v>556</v>
      </c>
      <c r="R261" s="460" t="s">
        <v>557</v>
      </c>
      <c r="S261" s="270" t="s">
        <v>32</v>
      </c>
      <c r="U261" s="471">
        <v>1</v>
      </c>
      <c r="V261" s="471"/>
      <c r="W261" s="471" t="s">
        <v>557</v>
      </c>
      <c r="X261" s="471">
        <v>0</v>
      </c>
      <c r="Y261" s="206"/>
      <c r="Z261" s="206"/>
    </row>
    <row r="262" spans="1:26">
      <c r="A262" s="406">
        <v>259</v>
      </c>
      <c r="B262" s="613" t="s">
        <v>6508</v>
      </c>
      <c r="C262" s="288" t="s">
        <v>558</v>
      </c>
      <c r="D262" s="414" t="s">
        <v>4373</v>
      </c>
      <c r="E262" s="407" t="s">
        <v>9186</v>
      </c>
      <c r="F262" s="483"/>
      <c r="G262" s="411"/>
      <c r="H262" s="411"/>
      <c r="I262" s="411"/>
      <c r="J262" s="411"/>
      <c r="K262" s="411"/>
      <c r="L262" s="608" t="s">
        <v>4884</v>
      </c>
      <c r="M262" s="409">
        <v>5590.429133858268</v>
      </c>
      <c r="N262" s="409">
        <v>5590.429133858268</v>
      </c>
      <c r="O262" s="410" t="s">
        <v>7574</v>
      </c>
      <c r="P262" s="406">
        <v>259</v>
      </c>
      <c r="Q262" s="470" t="s">
        <v>558</v>
      </c>
      <c r="R262" s="460" t="s">
        <v>559</v>
      </c>
      <c r="S262" s="270" t="s">
        <v>32</v>
      </c>
      <c r="U262" s="471">
        <v>1</v>
      </c>
      <c r="V262" s="471"/>
      <c r="W262" s="471" t="s">
        <v>559</v>
      </c>
      <c r="X262" s="471">
        <v>0</v>
      </c>
      <c r="Y262" s="206"/>
      <c r="Z262" s="206"/>
    </row>
    <row r="263" spans="1:26">
      <c r="A263" s="406">
        <v>260</v>
      </c>
      <c r="B263" s="613" t="s">
        <v>6509</v>
      </c>
      <c r="C263" s="288" t="s">
        <v>560</v>
      </c>
      <c r="D263" s="414" t="s">
        <v>4370</v>
      </c>
      <c r="E263" s="407" t="s">
        <v>9187</v>
      </c>
      <c r="F263" s="483"/>
      <c r="G263" s="411"/>
      <c r="H263" s="411"/>
      <c r="I263" s="411"/>
      <c r="J263" s="411"/>
      <c r="K263" s="411"/>
      <c r="L263" s="608" t="s">
        <v>4884</v>
      </c>
      <c r="M263" s="409">
        <v>5592.1889763779527</v>
      </c>
      <c r="N263" s="409">
        <v>5592.1889763779527</v>
      </c>
      <c r="O263" s="410" t="s">
        <v>7574</v>
      </c>
      <c r="P263" s="406">
        <v>260</v>
      </c>
      <c r="Q263" s="470" t="s">
        <v>560</v>
      </c>
      <c r="R263" s="460" t="s">
        <v>561</v>
      </c>
      <c r="S263" s="270" t="s">
        <v>32</v>
      </c>
      <c r="U263" s="471">
        <v>1</v>
      </c>
      <c r="V263" s="471"/>
      <c r="W263" s="471" t="s">
        <v>561</v>
      </c>
      <c r="X263" s="471">
        <v>0</v>
      </c>
      <c r="Y263" s="206"/>
      <c r="Z263" s="206"/>
    </row>
    <row r="264" spans="1:26">
      <c r="A264" s="406">
        <v>261</v>
      </c>
      <c r="B264" s="613" t="s">
        <v>6510</v>
      </c>
      <c r="C264" s="288" t="s">
        <v>562</v>
      </c>
      <c r="D264" s="414" t="s">
        <v>4366</v>
      </c>
      <c r="E264" s="407" t="s">
        <v>9188</v>
      </c>
      <c r="F264" s="483"/>
      <c r="G264" s="411"/>
      <c r="H264" s="411"/>
      <c r="I264" s="411"/>
      <c r="J264" s="411"/>
      <c r="K264" s="411"/>
      <c r="L264" s="608" t="s">
        <v>4884</v>
      </c>
      <c r="M264" s="409">
        <v>5591.1574803149606</v>
      </c>
      <c r="N264" s="409">
        <v>5591.1574803149606</v>
      </c>
      <c r="O264" s="410" t="s">
        <v>7574</v>
      </c>
      <c r="P264" s="406">
        <v>261</v>
      </c>
      <c r="Q264" s="470" t="s">
        <v>562</v>
      </c>
      <c r="R264" s="460" t="s">
        <v>563</v>
      </c>
      <c r="S264" s="270" t="s">
        <v>32</v>
      </c>
      <c r="U264" s="471">
        <v>1</v>
      </c>
      <c r="V264" s="471"/>
      <c r="W264" s="471" t="s">
        <v>563</v>
      </c>
      <c r="X264" s="471">
        <v>0</v>
      </c>
      <c r="Y264" s="206"/>
      <c r="Z264" s="206"/>
    </row>
    <row r="265" spans="1:26">
      <c r="A265" s="406">
        <v>262</v>
      </c>
      <c r="B265" s="613" t="s">
        <v>6511</v>
      </c>
      <c r="C265" s="288" t="s">
        <v>564</v>
      </c>
      <c r="D265" s="414" t="s">
        <v>4384</v>
      </c>
      <c r="E265" s="407" t="s">
        <v>9189</v>
      </c>
      <c r="F265" s="483"/>
      <c r="G265" s="411"/>
      <c r="H265" s="411"/>
      <c r="I265" s="411"/>
      <c r="J265" s="411"/>
      <c r="K265" s="411"/>
      <c r="L265" s="608" t="s">
        <v>4884</v>
      </c>
      <c r="M265" s="409">
        <v>5549.0984251968512</v>
      </c>
      <c r="N265" s="409">
        <v>5549.0984251968512</v>
      </c>
      <c r="O265" s="410" t="s">
        <v>7573</v>
      </c>
      <c r="P265" s="406">
        <v>262</v>
      </c>
      <c r="Q265" s="470" t="s">
        <v>564</v>
      </c>
      <c r="R265" s="460" t="s">
        <v>565</v>
      </c>
      <c r="S265" s="270" t="s">
        <v>32</v>
      </c>
      <c r="U265" s="471">
        <v>1</v>
      </c>
      <c r="V265" s="471"/>
      <c r="W265" s="471" t="s">
        <v>565</v>
      </c>
      <c r="X265" s="471">
        <v>0</v>
      </c>
      <c r="Y265" s="206"/>
      <c r="Z265" s="206"/>
    </row>
    <row r="266" spans="1:26">
      <c r="A266" s="406">
        <v>263</v>
      </c>
      <c r="B266" s="613" t="s">
        <v>6512</v>
      </c>
      <c r="C266" s="288" t="s">
        <v>566</v>
      </c>
      <c r="D266" s="414" t="s">
        <v>4382</v>
      </c>
      <c r="E266" s="407" t="s">
        <v>9190</v>
      </c>
      <c r="F266" s="483"/>
      <c r="G266" s="411"/>
      <c r="H266" s="411"/>
      <c r="I266" s="411"/>
      <c r="J266" s="411"/>
      <c r="K266" s="411"/>
      <c r="L266" s="608" t="s">
        <v>4884</v>
      </c>
      <c r="M266" s="409">
        <v>5552.5866141732286</v>
      </c>
      <c r="N266" s="409">
        <v>5552.5866141732286</v>
      </c>
      <c r="O266" s="410" t="s">
        <v>7573</v>
      </c>
      <c r="P266" s="406">
        <v>263</v>
      </c>
      <c r="Q266" s="470" t="s">
        <v>566</v>
      </c>
      <c r="R266" s="460" t="s">
        <v>567</v>
      </c>
      <c r="S266" s="270" t="s">
        <v>32</v>
      </c>
      <c r="U266" s="471">
        <v>1</v>
      </c>
      <c r="V266" s="471"/>
      <c r="W266" s="471" t="s">
        <v>567</v>
      </c>
      <c r="X266" s="471">
        <v>0</v>
      </c>
      <c r="Y266" s="206"/>
      <c r="Z266" s="206"/>
    </row>
    <row r="267" spans="1:26">
      <c r="A267" s="406">
        <v>264</v>
      </c>
      <c r="B267" s="613" t="s">
        <v>6513</v>
      </c>
      <c r="C267" s="288" t="s">
        <v>568</v>
      </c>
      <c r="D267" s="414" t="s">
        <v>4337</v>
      </c>
      <c r="E267" s="407" t="s">
        <v>9191</v>
      </c>
      <c r="F267" s="483"/>
      <c r="G267" s="411"/>
      <c r="H267" s="411"/>
      <c r="I267" s="411"/>
      <c r="J267" s="411"/>
      <c r="K267" s="411"/>
      <c r="L267" s="608" t="s">
        <v>4884</v>
      </c>
      <c r="M267" s="409">
        <v>5551.2952755905517</v>
      </c>
      <c r="N267" s="409">
        <v>5551.2952755905517</v>
      </c>
      <c r="O267" s="410" t="s">
        <v>7573</v>
      </c>
      <c r="P267" s="406">
        <v>264</v>
      </c>
      <c r="Q267" s="470" t="s">
        <v>568</v>
      </c>
      <c r="R267" s="460" t="s">
        <v>569</v>
      </c>
      <c r="S267" s="270" t="s">
        <v>32</v>
      </c>
      <c r="U267" s="471">
        <v>1</v>
      </c>
      <c r="V267" s="471"/>
      <c r="W267" s="471" t="s">
        <v>569</v>
      </c>
      <c r="X267" s="471">
        <v>0</v>
      </c>
      <c r="Y267" s="206"/>
      <c r="Z267" s="206"/>
    </row>
    <row r="268" spans="1:26">
      <c r="A268" s="406">
        <v>265</v>
      </c>
      <c r="B268" s="613" t="s">
        <v>6514</v>
      </c>
      <c r="C268" s="288" t="s">
        <v>570</v>
      </c>
      <c r="D268" s="414" t="s">
        <v>4339</v>
      </c>
      <c r="E268" s="407" t="s">
        <v>9192</v>
      </c>
      <c r="F268" s="483"/>
      <c r="G268" s="411"/>
      <c r="H268" s="411"/>
      <c r="I268" s="411"/>
      <c r="J268" s="411"/>
      <c r="K268" s="411"/>
      <c r="L268" s="608" t="s">
        <v>4884</v>
      </c>
      <c r="M268" s="409">
        <v>5553.0984251968503</v>
      </c>
      <c r="N268" s="409">
        <v>5553.0984251968503</v>
      </c>
      <c r="O268" s="410" t="s">
        <v>7573</v>
      </c>
      <c r="P268" s="406">
        <v>265</v>
      </c>
      <c r="Q268" s="470" t="s">
        <v>570</v>
      </c>
      <c r="R268" s="460" t="s">
        <v>571</v>
      </c>
      <c r="S268" s="270" t="s">
        <v>32</v>
      </c>
      <c r="U268" s="471">
        <v>1</v>
      </c>
      <c r="V268" s="471"/>
      <c r="W268" s="471" t="s">
        <v>571</v>
      </c>
      <c r="X268" s="471">
        <v>0</v>
      </c>
      <c r="Y268" s="206"/>
      <c r="Z268" s="206"/>
    </row>
    <row r="269" spans="1:26">
      <c r="A269" s="406">
        <v>266</v>
      </c>
      <c r="B269" s="613" t="s">
        <v>6515</v>
      </c>
      <c r="C269" s="288" t="s">
        <v>572</v>
      </c>
      <c r="D269" s="414" t="s">
        <v>4379</v>
      </c>
      <c r="E269" s="407" t="s">
        <v>9193</v>
      </c>
      <c r="F269" s="483"/>
      <c r="G269" s="411"/>
      <c r="H269" s="411"/>
      <c r="I269" s="411"/>
      <c r="J269" s="411"/>
      <c r="K269" s="411"/>
      <c r="L269" s="608" t="s">
        <v>4884</v>
      </c>
      <c r="M269" s="409">
        <v>5552.4251968503941</v>
      </c>
      <c r="N269" s="409">
        <v>5552.4251968503941</v>
      </c>
      <c r="O269" s="410" t="s">
        <v>7573</v>
      </c>
      <c r="P269" s="406">
        <v>266</v>
      </c>
      <c r="Q269" s="470" t="s">
        <v>572</v>
      </c>
      <c r="R269" s="460" t="s">
        <v>573</v>
      </c>
      <c r="S269" s="270" t="s">
        <v>32</v>
      </c>
      <c r="U269" s="471">
        <v>1</v>
      </c>
      <c r="V269" s="471"/>
      <c r="W269" s="471" t="s">
        <v>573</v>
      </c>
      <c r="X269" s="471">
        <v>0</v>
      </c>
      <c r="Y269" s="206"/>
      <c r="Z269" s="206"/>
    </row>
    <row r="270" spans="1:26">
      <c r="A270" s="406">
        <v>267</v>
      </c>
      <c r="B270" s="613" t="s">
        <v>6516</v>
      </c>
      <c r="C270" s="288" t="s">
        <v>574</v>
      </c>
      <c r="D270" s="414" t="s">
        <v>4386</v>
      </c>
      <c r="E270" s="407" t="s">
        <v>9194</v>
      </c>
      <c r="F270" s="483"/>
      <c r="G270" s="411"/>
      <c r="H270" s="411"/>
      <c r="I270" s="411"/>
      <c r="J270" s="411"/>
      <c r="K270" s="411"/>
      <c r="L270" s="608" t="s">
        <v>4884</v>
      </c>
      <c r="M270" s="409">
        <v>5552.0354330708669</v>
      </c>
      <c r="N270" s="409">
        <v>5552.0354330708669</v>
      </c>
      <c r="O270" s="410" t="s">
        <v>7573</v>
      </c>
      <c r="P270" s="406">
        <v>267</v>
      </c>
      <c r="Q270" s="470" t="s">
        <v>574</v>
      </c>
      <c r="R270" s="460" t="s">
        <v>575</v>
      </c>
      <c r="S270" s="270" t="s">
        <v>32</v>
      </c>
      <c r="U270" s="471">
        <v>1</v>
      </c>
      <c r="V270" s="471"/>
      <c r="W270" s="471" t="s">
        <v>575</v>
      </c>
      <c r="X270" s="471">
        <v>0</v>
      </c>
      <c r="Y270" s="206"/>
      <c r="Z270" s="206"/>
    </row>
    <row r="271" spans="1:26">
      <c r="A271" s="406">
        <v>268</v>
      </c>
      <c r="B271" s="613" t="s">
        <v>6517</v>
      </c>
      <c r="C271" s="288" t="s">
        <v>576</v>
      </c>
      <c r="D271" s="414" t="s">
        <v>4365</v>
      </c>
      <c r="E271" s="407" t="s">
        <v>9195</v>
      </c>
      <c r="F271" s="483"/>
      <c r="G271" s="411"/>
      <c r="H271" s="411"/>
      <c r="I271" s="411"/>
      <c r="J271" s="411"/>
      <c r="K271" s="411"/>
      <c r="L271" s="608" t="s">
        <v>4884</v>
      </c>
      <c r="M271" s="409">
        <v>5552.8188976377951</v>
      </c>
      <c r="N271" s="409">
        <v>5552.8188976377951</v>
      </c>
      <c r="O271" s="410" t="s">
        <v>7573</v>
      </c>
      <c r="P271" s="406">
        <v>268</v>
      </c>
      <c r="Q271" s="470" t="s">
        <v>576</v>
      </c>
      <c r="R271" s="460" t="s">
        <v>577</v>
      </c>
      <c r="S271" s="270" t="s">
        <v>32</v>
      </c>
      <c r="U271" s="471">
        <v>1</v>
      </c>
      <c r="V271" s="471"/>
      <c r="W271" s="471" t="s">
        <v>577</v>
      </c>
      <c r="X271" s="471">
        <v>0</v>
      </c>
      <c r="Y271" s="206"/>
      <c r="Z271" s="206"/>
    </row>
    <row r="272" spans="1:26">
      <c r="A272" s="406">
        <v>269</v>
      </c>
      <c r="B272" s="613" t="s">
        <v>6518</v>
      </c>
      <c r="C272" s="288" t="s">
        <v>578</v>
      </c>
      <c r="D272" s="414" t="s">
        <v>4367</v>
      </c>
      <c r="E272" s="407" t="s">
        <v>9196</v>
      </c>
      <c r="F272" s="483"/>
      <c r="G272" s="411"/>
      <c r="H272" s="411"/>
      <c r="I272" s="411"/>
      <c r="J272" s="411"/>
      <c r="K272" s="411"/>
      <c r="L272" s="608" t="s">
        <v>4884</v>
      </c>
      <c r="M272" s="409">
        <v>5548.6377952755902</v>
      </c>
      <c r="N272" s="409">
        <v>5548.6377952755902</v>
      </c>
      <c r="O272" s="410" t="s">
        <v>7573</v>
      </c>
      <c r="P272" s="406">
        <v>269</v>
      </c>
      <c r="Q272" s="470" t="s">
        <v>578</v>
      </c>
      <c r="R272" s="460" t="s">
        <v>579</v>
      </c>
      <c r="S272" s="270" t="s">
        <v>32</v>
      </c>
      <c r="U272" s="471">
        <v>1</v>
      </c>
      <c r="V272" s="471"/>
      <c r="W272" s="471" t="s">
        <v>579</v>
      </c>
      <c r="X272" s="471">
        <v>0</v>
      </c>
      <c r="Y272" s="206"/>
      <c r="Z272" s="206"/>
    </row>
    <row r="273" spans="1:26">
      <c r="A273" s="406">
        <v>270</v>
      </c>
      <c r="B273" s="613" t="s">
        <v>6519</v>
      </c>
      <c r="C273" s="288" t="s">
        <v>580</v>
      </c>
      <c r="D273" s="414" t="s">
        <v>4327</v>
      </c>
      <c r="E273" s="407" t="s">
        <v>9197</v>
      </c>
      <c r="F273" s="483"/>
      <c r="G273" s="411"/>
      <c r="H273" s="411"/>
      <c r="I273" s="411"/>
      <c r="J273" s="411"/>
      <c r="K273" s="411"/>
      <c r="L273" s="608" t="s">
        <v>4884</v>
      </c>
      <c r="M273" s="409">
        <v>5316.5078740157478</v>
      </c>
      <c r="N273" s="409">
        <v>5316.5078740157478</v>
      </c>
      <c r="O273" s="410" t="s">
        <v>7573</v>
      </c>
      <c r="P273" s="406">
        <v>270</v>
      </c>
      <c r="Q273" s="470" t="s">
        <v>580</v>
      </c>
      <c r="R273" s="460" t="s">
        <v>581</v>
      </c>
      <c r="S273" s="270" t="s">
        <v>32</v>
      </c>
      <c r="U273" s="471">
        <v>1</v>
      </c>
      <c r="V273" s="471"/>
      <c r="W273" s="471" t="s">
        <v>581</v>
      </c>
      <c r="X273" s="471">
        <v>0</v>
      </c>
      <c r="Y273" s="206"/>
      <c r="Z273" s="206"/>
    </row>
    <row r="274" spans="1:26">
      <c r="A274" s="406">
        <v>271</v>
      </c>
      <c r="B274" s="613" t="s">
        <v>6520</v>
      </c>
      <c r="C274" s="288" t="s">
        <v>582</v>
      </c>
      <c r="D274" s="414" t="s">
        <v>4338</v>
      </c>
      <c r="E274" s="407" t="s">
        <v>9198</v>
      </c>
      <c r="F274" s="483"/>
      <c r="G274" s="411"/>
      <c r="H274" s="411"/>
      <c r="I274" s="411"/>
      <c r="J274" s="411"/>
      <c r="K274" s="411"/>
      <c r="L274" s="608" t="s">
        <v>4884</v>
      </c>
      <c r="M274" s="409">
        <v>5316.5236220472443</v>
      </c>
      <c r="N274" s="409">
        <v>5316.5236220472443</v>
      </c>
      <c r="O274" s="410" t="s">
        <v>7573</v>
      </c>
      <c r="P274" s="406">
        <v>271</v>
      </c>
      <c r="Q274" s="470" t="s">
        <v>582</v>
      </c>
      <c r="R274" s="460" t="s">
        <v>583</v>
      </c>
      <c r="S274" s="270" t="s">
        <v>32</v>
      </c>
      <c r="U274" s="471">
        <v>1</v>
      </c>
      <c r="V274" s="471"/>
      <c r="W274" s="471" t="s">
        <v>583</v>
      </c>
      <c r="X274" s="471">
        <v>0</v>
      </c>
      <c r="Y274" s="206"/>
      <c r="Z274" s="206"/>
    </row>
    <row r="275" spans="1:26">
      <c r="A275" s="406">
        <v>272</v>
      </c>
      <c r="B275" s="613" t="s">
        <v>6521</v>
      </c>
      <c r="C275" s="288" t="s">
        <v>584</v>
      </c>
      <c r="D275" s="414" t="s">
        <v>4300</v>
      </c>
      <c r="E275" s="407" t="s">
        <v>9199</v>
      </c>
      <c r="F275" s="483"/>
      <c r="G275" s="411"/>
      <c r="H275" s="411"/>
      <c r="I275" s="411"/>
      <c r="J275" s="411"/>
      <c r="K275" s="411"/>
      <c r="L275" s="608" t="s">
        <v>4884</v>
      </c>
      <c r="M275" s="409">
        <v>5315.1496062992128</v>
      </c>
      <c r="N275" s="409">
        <v>5315.1496062992128</v>
      </c>
      <c r="O275" s="410" t="s">
        <v>7573</v>
      </c>
      <c r="P275" s="406">
        <v>272</v>
      </c>
      <c r="Q275" s="470" t="s">
        <v>584</v>
      </c>
      <c r="R275" s="460" t="s">
        <v>585</v>
      </c>
      <c r="S275" s="270" t="s">
        <v>32</v>
      </c>
      <c r="U275" s="471">
        <v>1</v>
      </c>
      <c r="V275" s="471"/>
      <c r="W275" s="471" t="s">
        <v>585</v>
      </c>
      <c r="X275" s="471">
        <v>0</v>
      </c>
      <c r="Y275" s="206"/>
      <c r="Z275" s="206"/>
    </row>
    <row r="276" spans="1:26">
      <c r="A276" s="406">
        <v>273</v>
      </c>
      <c r="B276" s="613" t="s">
        <v>6522</v>
      </c>
      <c r="C276" s="288" t="s">
        <v>586</v>
      </c>
      <c r="D276" s="414" t="s">
        <v>4302</v>
      </c>
      <c r="E276" s="407" t="s">
        <v>9200</v>
      </c>
      <c r="F276" s="483"/>
      <c r="G276" s="411"/>
      <c r="H276" s="411"/>
      <c r="I276" s="411"/>
      <c r="J276" s="411"/>
      <c r="K276" s="411"/>
      <c r="L276" s="608" t="s">
        <v>4884</v>
      </c>
      <c r="M276" s="409">
        <v>5319.4409448818897</v>
      </c>
      <c r="N276" s="409">
        <v>5319.4409448818897</v>
      </c>
      <c r="O276" s="410" t="s">
        <v>7573</v>
      </c>
      <c r="P276" s="406">
        <v>273</v>
      </c>
      <c r="Q276" s="470" t="s">
        <v>586</v>
      </c>
      <c r="R276" s="460" t="s">
        <v>587</v>
      </c>
      <c r="S276" s="270" t="s">
        <v>32</v>
      </c>
      <c r="U276" s="471">
        <v>1</v>
      </c>
      <c r="V276" s="471"/>
      <c r="W276" s="471" t="s">
        <v>587</v>
      </c>
      <c r="X276" s="471">
        <v>0</v>
      </c>
      <c r="Y276" s="206"/>
      <c r="Z276" s="206"/>
    </row>
    <row r="277" spans="1:26">
      <c r="A277" s="406">
        <v>274</v>
      </c>
      <c r="B277" s="613" t="s">
        <v>6523</v>
      </c>
      <c r="C277" s="288" t="s">
        <v>588</v>
      </c>
      <c r="D277" s="414" t="s">
        <v>4340</v>
      </c>
      <c r="E277" s="407" t="s">
        <v>9201</v>
      </c>
      <c r="F277" s="483"/>
      <c r="G277" s="411"/>
      <c r="H277" s="411"/>
      <c r="I277" s="411"/>
      <c r="J277" s="411"/>
      <c r="K277" s="411"/>
      <c r="L277" s="608" t="s">
        <v>4884</v>
      </c>
      <c r="M277" s="409">
        <v>5321.7440944881891</v>
      </c>
      <c r="N277" s="409">
        <v>5321.7440944881891</v>
      </c>
      <c r="O277" s="410" t="s">
        <v>7573</v>
      </c>
      <c r="P277" s="406">
        <v>274</v>
      </c>
      <c r="Q277" s="470" t="s">
        <v>588</v>
      </c>
      <c r="R277" s="460" t="s">
        <v>589</v>
      </c>
      <c r="S277" s="270" t="s">
        <v>32</v>
      </c>
      <c r="U277" s="471">
        <v>1</v>
      </c>
      <c r="V277" s="471"/>
      <c r="W277" s="471" t="s">
        <v>589</v>
      </c>
      <c r="X277" s="471">
        <v>0</v>
      </c>
      <c r="Y277" s="206"/>
      <c r="Z277" s="206"/>
    </row>
    <row r="278" spans="1:26">
      <c r="A278" s="406">
        <v>275</v>
      </c>
      <c r="B278" s="613" t="s">
        <v>6524</v>
      </c>
      <c r="C278" s="288" t="s">
        <v>590</v>
      </c>
      <c r="D278" s="414" t="s">
        <v>4342</v>
      </c>
      <c r="E278" s="407" t="s">
        <v>9202</v>
      </c>
      <c r="F278" s="483"/>
      <c r="G278" s="411"/>
      <c r="H278" s="411"/>
      <c r="I278" s="411"/>
      <c r="J278" s="411"/>
      <c r="K278" s="411"/>
      <c r="L278" s="608" t="s">
        <v>4884</v>
      </c>
      <c r="M278" s="409">
        <v>5310.7086614173231</v>
      </c>
      <c r="N278" s="409">
        <v>5310.7086614173231</v>
      </c>
      <c r="O278" s="410" t="s">
        <v>7573</v>
      </c>
      <c r="P278" s="406">
        <v>275</v>
      </c>
      <c r="Q278" s="470" t="s">
        <v>590</v>
      </c>
      <c r="R278" s="460" t="s">
        <v>591</v>
      </c>
      <c r="S278" s="270" t="s">
        <v>32</v>
      </c>
      <c r="U278" s="471">
        <v>1</v>
      </c>
      <c r="V278" s="471"/>
      <c r="W278" s="471" t="s">
        <v>591</v>
      </c>
      <c r="X278" s="471">
        <v>0</v>
      </c>
      <c r="Y278" s="206"/>
      <c r="Z278" s="206"/>
    </row>
    <row r="279" spans="1:26">
      <c r="A279" s="406">
        <v>276</v>
      </c>
      <c r="B279" s="613" t="s">
        <v>6525</v>
      </c>
      <c r="C279" s="288" t="s">
        <v>592</v>
      </c>
      <c r="D279" s="414" t="s">
        <v>4283</v>
      </c>
      <c r="E279" s="407" t="s">
        <v>9203</v>
      </c>
      <c r="F279" s="483"/>
      <c r="G279" s="411"/>
      <c r="H279" s="411"/>
      <c r="I279" s="411"/>
      <c r="J279" s="411"/>
      <c r="K279" s="411"/>
      <c r="L279" s="608" t="s">
        <v>4884</v>
      </c>
      <c r="M279" s="409">
        <v>5307.854330708662</v>
      </c>
      <c r="N279" s="409">
        <v>5307.854330708662</v>
      </c>
      <c r="O279" s="410" t="s">
        <v>7573</v>
      </c>
      <c r="P279" s="406">
        <v>276</v>
      </c>
      <c r="Q279" s="470" t="s">
        <v>592</v>
      </c>
      <c r="R279" s="460" t="s">
        <v>593</v>
      </c>
      <c r="S279" s="270" t="s">
        <v>32</v>
      </c>
      <c r="U279" s="471">
        <v>1</v>
      </c>
      <c r="V279" s="471"/>
      <c r="W279" s="471" t="s">
        <v>593</v>
      </c>
      <c r="X279" s="471">
        <v>0</v>
      </c>
      <c r="Y279" s="206"/>
      <c r="Z279" s="206"/>
    </row>
    <row r="280" spans="1:26">
      <c r="A280" s="406">
        <v>277</v>
      </c>
      <c r="B280" s="613" t="s">
        <v>6526</v>
      </c>
      <c r="C280" s="288" t="s">
        <v>594</v>
      </c>
      <c r="D280" s="414" t="s">
        <v>4298</v>
      </c>
      <c r="E280" s="407" t="s">
        <v>9204</v>
      </c>
      <c r="F280" s="483"/>
      <c r="G280" s="411"/>
      <c r="H280" s="411"/>
      <c r="I280" s="411"/>
      <c r="J280" s="411"/>
      <c r="K280" s="411"/>
      <c r="L280" s="608" t="s">
        <v>4884</v>
      </c>
      <c r="M280" s="409">
        <v>5314.6496062992128</v>
      </c>
      <c r="N280" s="409">
        <v>5314.6496062992128</v>
      </c>
      <c r="O280" s="410" t="s">
        <v>7573</v>
      </c>
      <c r="P280" s="406">
        <v>277</v>
      </c>
      <c r="Q280" s="470" t="s">
        <v>594</v>
      </c>
      <c r="R280" s="460" t="s">
        <v>595</v>
      </c>
      <c r="S280" s="270" t="s">
        <v>32</v>
      </c>
      <c r="U280" s="471">
        <v>1</v>
      </c>
      <c r="V280" s="471"/>
      <c r="W280" s="471" t="s">
        <v>595</v>
      </c>
      <c r="X280" s="471">
        <v>0</v>
      </c>
      <c r="Y280" s="206"/>
      <c r="Z280" s="206"/>
    </row>
    <row r="281" spans="1:26">
      <c r="A281" s="406">
        <v>278</v>
      </c>
      <c r="B281" s="613" t="s">
        <v>6527</v>
      </c>
      <c r="C281" s="288" t="s">
        <v>596</v>
      </c>
      <c r="D281" s="414" t="s">
        <v>4287</v>
      </c>
      <c r="E281" s="407" t="s">
        <v>9205</v>
      </c>
      <c r="F281" s="483"/>
      <c r="G281" s="411"/>
      <c r="H281" s="411"/>
      <c r="I281" s="411"/>
      <c r="J281" s="411"/>
      <c r="K281" s="411"/>
      <c r="L281" s="608" t="s">
        <v>4884</v>
      </c>
      <c r="M281" s="409">
        <v>6377.0196850393704</v>
      </c>
      <c r="N281" s="409">
        <v>6377.0196850393704</v>
      </c>
      <c r="O281" s="410" t="s">
        <v>7574</v>
      </c>
      <c r="P281" s="406">
        <v>278</v>
      </c>
      <c r="Q281" s="470" t="s">
        <v>596</v>
      </c>
      <c r="R281" s="460" t="s">
        <v>597</v>
      </c>
      <c r="S281" s="270" t="s">
        <v>32</v>
      </c>
      <c r="U281" s="471">
        <v>1</v>
      </c>
      <c r="V281" s="471"/>
      <c r="W281" s="471" t="s">
        <v>597</v>
      </c>
      <c r="X281" s="471">
        <v>0</v>
      </c>
      <c r="Y281" s="206"/>
      <c r="Z281" s="206"/>
    </row>
    <row r="282" spans="1:26">
      <c r="A282" s="406">
        <v>279</v>
      </c>
      <c r="B282" s="613" t="s">
        <v>6528</v>
      </c>
      <c r="C282" s="288" t="s">
        <v>598</v>
      </c>
      <c r="D282" s="414" t="s">
        <v>4304</v>
      </c>
      <c r="E282" s="407" t="s">
        <v>9206</v>
      </c>
      <c r="F282" s="483"/>
      <c r="G282" s="411"/>
      <c r="H282" s="411"/>
      <c r="I282" s="411"/>
      <c r="J282" s="411"/>
      <c r="K282" s="411"/>
      <c r="L282" s="608" t="s">
        <v>4884</v>
      </c>
      <c r="M282" s="409">
        <v>6378.4409448818906</v>
      </c>
      <c r="N282" s="409">
        <v>6378.4409448818906</v>
      </c>
      <c r="O282" s="410" t="s">
        <v>7574</v>
      </c>
      <c r="P282" s="406">
        <v>279</v>
      </c>
      <c r="Q282" s="470" t="s">
        <v>598</v>
      </c>
      <c r="R282" s="460" t="s">
        <v>599</v>
      </c>
      <c r="S282" s="270" t="s">
        <v>32</v>
      </c>
      <c r="U282" s="471">
        <v>1</v>
      </c>
      <c r="V282" s="471"/>
      <c r="W282" s="471" t="s">
        <v>599</v>
      </c>
      <c r="X282" s="471">
        <v>0</v>
      </c>
      <c r="Y282" s="206"/>
      <c r="Z282" s="206"/>
    </row>
    <row r="283" spans="1:26">
      <c r="A283" s="406">
        <v>280</v>
      </c>
      <c r="B283" s="613" t="s">
        <v>6529</v>
      </c>
      <c r="C283" s="288" t="s">
        <v>600</v>
      </c>
      <c r="D283" s="414" t="s">
        <v>4282</v>
      </c>
      <c r="E283" s="407" t="s">
        <v>9207</v>
      </c>
      <c r="F283" s="483"/>
      <c r="G283" s="411"/>
      <c r="H283" s="411"/>
      <c r="I283" s="411"/>
      <c r="J283" s="411"/>
      <c r="K283" s="411"/>
      <c r="L283" s="608" t="s">
        <v>4884</v>
      </c>
      <c r="M283" s="409">
        <v>6379.6102362204729</v>
      </c>
      <c r="N283" s="409">
        <v>6379.6102362204729</v>
      </c>
      <c r="O283" s="410" t="s">
        <v>7574</v>
      </c>
      <c r="P283" s="406">
        <v>280</v>
      </c>
      <c r="Q283" s="470" t="s">
        <v>600</v>
      </c>
      <c r="R283" s="460" t="s">
        <v>601</v>
      </c>
      <c r="S283" s="270" t="s">
        <v>32</v>
      </c>
      <c r="U283" s="471">
        <v>1</v>
      </c>
      <c r="V283" s="471"/>
      <c r="W283" s="471" t="s">
        <v>601</v>
      </c>
      <c r="X283" s="471">
        <v>0</v>
      </c>
      <c r="Y283" s="206"/>
      <c r="Z283" s="206"/>
    </row>
    <row r="284" spans="1:26">
      <c r="A284" s="406">
        <v>281</v>
      </c>
      <c r="B284" s="613" t="s">
        <v>6530</v>
      </c>
      <c r="C284" s="288" t="s">
        <v>602</v>
      </c>
      <c r="D284" s="414" t="s">
        <v>4273</v>
      </c>
      <c r="E284" s="407" t="s">
        <v>9208</v>
      </c>
      <c r="F284" s="483"/>
      <c r="G284" s="411"/>
      <c r="H284" s="411"/>
      <c r="I284" s="411"/>
      <c r="J284" s="411"/>
      <c r="K284" s="411"/>
      <c r="L284" s="608" t="s">
        <v>4884</v>
      </c>
      <c r="M284" s="409">
        <v>6374.929133858268</v>
      </c>
      <c r="N284" s="409">
        <v>6374.929133858268</v>
      </c>
      <c r="O284" s="410" t="s">
        <v>7574</v>
      </c>
      <c r="P284" s="406">
        <v>281</v>
      </c>
      <c r="Q284" s="470" t="s">
        <v>602</v>
      </c>
      <c r="R284" s="460" t="s">
        <v>603</v>
      </c>
      <c r="S284" s="270" t="s">
        <v>32</v>
      </c>
      <c r="U284" s="471">
        <v>1</v>
      </c>
      <c r="V284" s="471"/>
      <c r="W284" s="471" t="s">
        <v>603</v>
      </c>
      <c r="X284" s="471">
        <v>0</v>
      </c>
      <c r="Y284" s="206"/>
      <c r="Z284" s="206"/>
    </row>
    <row r="285" spans="1:26">
      <c r="A285" s="406">
        <v>282</v>
      </c>
      <c r="B285" s="613" t="s">
        <v>6531</v>
      </c>
      <c r="C285" s="288" t="s">
        <v>604</v>
      </c>
      <c r="D285" s="414" t="s">
        <v>4289</v>
      </c>
      <c r="E285" s="407" t="s">
        <v>9209</v>
      </c>
      <c r="F285" s="483"/>
      <c r="G285" s="411"/>
      <c r="H285" s="411"/>
      <c r="I285" s="411"/>
      <c r="J285" s="411"/>
      <c r="K285" s="411"/>
      <c r="L285" s="608" t="s">
        <v>4884</v>
      </c>
      <c r="M285" s="409">
        <v>6378.251968503937</v>
      </c>
      <c r="N285" s="409">
        <v>6378.251968503937</v>
      </c>
      <c r="O285" s="410" t="s">
        <v>7574</v>
      </c>
      <c r="P285" s="406">
        <v>282</v>
      </c>
      <c r="Q285" s="470" t="s">
        <v>604</v>
      </c>
      <c r="R285" s="460" t="s">
        <v>605</v>
      </c>
      <c r="S285" s="270" t="s">
        <v>32</v>
      </c>
      <c r="U285" s="471">
        <v>1</v>
      </c>
      <c r="V285" s="471"/>
      <c r="W285" s="471" t="s">
        <v>605</v>
      </c>
      <c r="X285" s="471">
        <v>0</v>
      </c>
      <c r="Y285" s="206"/>
      <c r="Z285" s="206"/>
    </row>
    <row r="286" spans="1:26">
      <c r="A286" s="406">
        <v>283</v>
      </c>
      <c r="B286" s="613" t="s">
        <v>6532</v>
      </c>
      <c r="C286" s="288" t="s">
        <v>606</v>
      </c>
      <c r="D286" s="414" t="s">
        <v>4329</v>
      </c>
      <c r="E286" s="407" t="s">
        <v>9210</v>
      </c>
      <c r="F286" s="483"/>
      <c r="G286" s="411"/>
      <c r="H286" s="411"/>
      <c r="I286" s="411"/>
      <c r="J286" s="411"/>
      <c r="K286" s="411"/>
      <c r="L286" s="608" t="s">
        <v>4884</v>
      </c>
      <c r="M286" s="409">
        <v>6379.1653543307093</v>
      </c>
      <c r="N286" s="409">
        <v>6379.1653543307093</v>
      </c>
      <c r="O286" s="410" t="s">
        <v>7574</v>
      </c>
      <c r="P286" s="406">
        <v>283</v>
      </c>
      <c r="Q286" s="470" t="s">
        <v>606</v>
      </c>
      <c r="R286" s="460" t="s">
        <v>607</v>
      </c>
      <c r="S286" s="270" t="s">
        <v>32</v>
      </c>
      <c r="U286" s="471">
        <v>1</v>
      </c>
      <c r="V286" s="471"/>
      <c r="W286" s="471" t="s">
        <v>607</v>
      </c>
      <c r="X286" s="471">
        <v>0</v>
      </c>
      <c r="Y286" s="206"/>
      <c r="Z286" s="206"/>
    </row>
    <row r="287" spans="1:26">
      <c r="A287" s="406">
        <v>284</v>
      </c>
      <c r="B287" s="613" t="s">
        <v>6533</v>
      </c>
      <c r="C287" s="288" t="s">
        <v>608</v>
      </c>
      <c r="D287" s="414" t="s">
        <v>4243</v>
      </c>
      <c r="E287" s="407" t="s">
        <v>9211</v>
      </c>
      <c r="F287" s="483"/>
      <c r="G287" s="411"/>
      <c r="H287" s="411"/>
      <c r="I287" s="411"/>
      <c r="J287" s="411"/>
      <c r="K287" s="411"/>
      <c r="L287" s="608" t="s">
        <v>4884</v>
      </c>
      <c r="M287" s="409">
        <v>6377.2007874015744</v>
      </c>
      <c r="N287" s="409">
        <v>6377.2007874015744</v>
      </c>
      <c r="O287" s="410" t="s">
        <v>7574</v>
      </c>
      <c r="P287" s="406">
        <v>284</v>
      </c>
      <c r="Q287" s="470" t="s">
        <v>608</v>
      </c>
      <c r="R287" s="460" t="s">
        <v>609</v>
      </c>
      <c r="S287" s="270" t="s">
        <v>32</v>
      </c>
      <c r="U287" s="471">
        <v>1</v>
      </c>
      <c r="V287" s="471"/>
      <c r="W287" s="471" t="s">
        <v>609</v>
      </c>
      <c r="X287" s="471">
        <v>0</v>
      </c>
      <c r="Y287" s="206"/>
      <c r="Z287" s="206"/>
    </row>
    <row r="288" spans="1:26">
      <c r="A288" s="406">
        <v>285</v>
      </c>
      <c r="B288" s="613" t="s">
        <v>6534</v>
      </c>
      <c r="C288" s="288" t="s">
        <v>610</v>
      </c>
      <c r="D288" s="414" t="s">
        <v>4285</v>
      </c>
      <c r="E288" s="407" t="s">
        <v>9212</v>
      </c>
      <c r="F288" s="483"/>
      <c r="G288" s="483"/>
      <c r="H288" s="411"/>
      <c r="I288" s="411"/>
      <c r="J288" s="411"/>
      <c r="K288" s="411"/>
      <c r="L288" s="608" t="s">
        <v>4884</v>
      </c>
      <c r="M288" s="409">
        <v>6380.0433070866147</v>
      </c>
      <c r="N288" s="409">
        <v>6380.0433070866147</v>
      </c>
      <c r="O288" s="410" t="s">
        <v>7574</v>
      </c>
      <c r="P288" s="406">
        <v>285</v>
      </c>
      <c r="Q288" s="470" t="s">
        <v>610</v>
      </c>
      <c r="R288" s="460" t="s">
        <v>611</v>
      </c>
      <c r="S288" s="270" t="s">
        <v>32</v>
      </c>
      <c r="U288" s="471">
        <v>1</v>
      </c>
      <c r="V288" s="471"/>
      <c r="W288" s="471" t="s">
        <v>611</v>
      </c>
      <c r="X288" s="471">
        <v>0</v>
      </c>
      <c r="Y288" s="206"/>
      <c r="Z288" s="206"/>
    </row>
    <row r="289" spans="1:26">
      <c r="A289" s="406">
        <v>286</v>
      </c>
      <c r="B289" s="613" t="s">
        <v>6535</v>
      </c>
      <c r="C289" s="288" t="s">
        <v>612</v>
      </c>
      <c r="D289" s="414" t="s">
        <v>4277</v>
      </c>
      <c r="E289" s="407" t="s">
        <v>9213</v>
      </c>
      <c r="F289" s="483"/>
      <c r="G289" s="483"/>
      <c r="H289" s="483"/>
      <c r="I289" s="483"/>
      <c r="J289" s="483"/>
      <c r="K289" s="483"/>
      <c r="L289" s="608" t="s">
        <v>4884</v>
      </c>
      <c r="M289" s="409">
        <v>5189.8503937007881</v>
      </c>
      <c r="N289" s="409">
        <v>5189.8503937007881</v>
      </c>
      <c r="O289" s="410" t="s">
        <v>7572</v>
      </c>
      <c r="P289" s="406">
        <v>286</v>
      </c>
      <c r="Q289" s="470" t="s">
        <v>612</v>
      </c>
      <c r="R289" s="460" t="s">
        <v>613</v>
      </c>
      <c r="S289" s="270" t="s">
        <v>32</v>
      </c>
      <c r="U289" s="471">
        <v>1</v>
      </c>
      <c r="V289" s="471"/>
      <c r="W289" s="471" t="s">
        <v>613</v>
      </c>
      <c r="X289" s="471">
        <v>0</v>
      </c>
      <c r="Y289" s="206"/>
      <c r="Z289" s="206"/>
    </row>
    <row r="290" spans="1:26">
      <c r="A290" s="406">
        <v>287</v>
      </c>
      <c r="B290" s="613" t="s">
        <v>6536</v>
      </c>
      <c r="C290" s="288" t="s">
        <v>614</v>
      </c>
      <c r="D290" s="414" t="s">
        <v>4275</v>
      </c>
      <c r="E290" s="407" t="s">
        <v>9214</v>
      </c>
      <c r="F290" s="483"/>
      <c r="G290" s="483"/>
      <c r="H290" s="483"/>
      <c r="I290" s="483"/>
      <c r="J290" s="483"/>
      <c r="K290" s="483"/>
      <c r="L290" s="608" t="s">
        <v>4884</v>
      </c>
      <c r="M290" s="409">
        <v>5189.3937007874019</v>
      </c>
      <c r="N290" s="409">
        <v>5189.3937007874019</v>
      </c>
      <c r="O290" s="410" t="s">
        <v>7572</v>
      </c>
      <c r="P290" s="406">
        <v>287</v>
      </c>
      <c r="Q290" s="470" t="s">
        <v>614</v>
      </c>
      <c r="R290" s="460" t="s">
        <v>615</v>
      </c>
      <c r="S290" s="270" t="s">
        <v>32</v>
      </c>
      <c r="U290" s="471">
        <v>1</v>
      </c>
      <c r="V290" s="471"/>
      <c r="W290" s="471" t="s">
        <v>615</v>
      </c>
      <c r="X290" s="471">
        <v>0</v>
      </c>
      <c r="Y290" s="206"/>
      <c r="Z290" s="206"/>
    </row>
    <row r="291" spans="1:26">
      <c r="A291" s="406">
        <v>288</v>
      </c>
      <c r="B291" s="613" t="s">
        <v>6537</v>
      </c>
      <c r="C291" s="288" t="s">
        <v>616</v>
      </c>
      <c r="D291" s="414" t="s">
        <v>4259</v>
      </c>
      <c r="E291" s="407" t="s">
        <v>9215</v>
      </c>
      <c r="F291" s="483"/>
      <c r="G291" s="483"/>
      <c r="H291" s="411"/>
      <c r="I291" s="411"/>
      <c r="J291" s="411"/>
      <c r="K291" s="411"/>
      <c r="L291" s="608" t="s">
        <v>4884</v>
      </c>
      <c r="M291" s="409">
        <v>5200.6614173228345</v>
      </c>
      <c r="N291" s="409">
        <v>5200.6614173228345</v>
      </c>
      <c r="O291" s="410" t="s">
        <v>7572</v>
      </c>
      <c r="P291" s="406">
        <v>288</v>
      </c>
      <c r="Q291" s="470" t="s">
        <v>616</v>
      </c>
      <c r="R291" s="460" t="s">
        <v>617</v>
      </c>
      <c r="S291" s="270" t="s">
        <v>32</v>
      </c>
      <c r="U291" s="471">
        <v>1</v>
      </c>
      <c r="V291" s="471"/>
      <c r="W291" s="471" t="s">
        <v>617</v>
      </c>
      <c r="X291" s="471">
        <v>0</v>
      </c>
      <c r="Y291" s="206"/>
      <c r="Z291" s="206"/>
    </row>
    <row r="292" spans="1:26">
      <c r="A292" s="406">
        <v>289</v>
      </c>
      <c r="B292" s="613" t="s">
        <v>6538</v>
      </c>
      <c r="C292" s="288" t="s">
        <v>618</v>
      </c>
      <c r="D292" s="414" t="s">
        <v>4257</v>
      </c>
      <c r="E292" s="407" t="s">
        <v>9216</v>
      </c>
      <c r="F292" s="483"/>
      <c r="G292" s="483"/>
      <c r="H292" s="411"/>
      <c r="I292" s="411"/>
      <c r="J292" s="411"/>
      <c r="K292" s="411"/>
      <c r="L292" s="608" t="s">
        <v>4884</v>
      </c>
      <c r="M292" s="409">
        <v>5193.818897637796</v>
      </c>
      <c r="N292" s="409">
        <v>5193.818897637796</v>
      </c>
      <c r="O292" s="410" t="s">
        <v>7572</v>
      </c>
      <c r="P292" s="406">
        <v>289</v>
      </c>
      <c r="Q292" s="470" t="s">
        <v>618</v>
      </c>
      <c r="R292" s="460" t="s">
        <v>619</v>
      </c>
      <c r="S292" s="270" t="s">
        <v>32</v>
      </c>
      <c r="U292" s="471">
        <v>1</v>
      </c>
      <c r="V292" s="471"/>
      <c r="W292" s="471" t="s">
        <v>619</v>
      </c>
      <c r="X292" s="471">
        <v>0</v>
      </c>
      <c r="Y292" s="206"/>
      <c r="Z292" s="206"/>
    </row>
    <row r="293" spans="1:26">
      <c r="A293" s="406">
        <v>290</v>
      </c>
      <c r="B293" s="613" t="s">
        <v>6539</v>
      </c>
      <c r="C293" s="288" t="s">
        <v>620</v>
      </c>
      <c r="D293" s="414" t="s">
        <v>4279</v>
      </c>
      <c r="E293" s="407" t="s">
        <v>9217</v>
      </c>
      <c r="F293" s="483"/>
      <c r="G293" s="483"/>
      <c r="H293" s="411"/>
      <c r="I293" s="411"/>
      <c r="J293" s="411"/>
      <c r="K293" s="411"/>
      <c r="L293" s="608" t="s">
        <v>4884</v>
      </c>
      <c r="M293" s="409">
        <v>5198.0393700787408</v>
      </c>
      <c r="N293" s="409">
        <v>5198.0393700787408</v>
      </c>
      <c r="O293" s="410" t="s">
        <v>7572</v>
      </c>
      <c r="P293" s="406">
        <v>290</v>
      </c>
      <c r="Q293" s="470" t="s">
        <v>620</v>
      </c>
      <c r="R293" s="460" t="s">
        <v>621</v>
      </c>
      <c r="S293" s="270" t="s">
        <v>32</v>
      </c>
      <c r="U293" s="471">
        <v>1</v>
      </c>
      <c r="V293" s="471"/>
      <c r="W293" s="471" t="s">
        <v>621</v>
      </c>
      <c r="X293" s="471">
        <v>0</v>
      </c>
      <c r="Y293" s="206"/>
      <c r="Z293" s="206"/>
    </row>
    <row r="294" spans="1:26">
      <c r="A294" s="406">
        <v>291</v>
      </c>
      <c r="B294" s="613" t="s">
        <v>6540</v>
      </c>
      <c r="C294" s="288" t="s">
        <v>622</v>
      </c>
      <c r="D294" s="414" t="s">
        <v>4306</v>
      </c>
      <c r="E294" s="407" t="s">
        <v>9218</v>
      </c>
      <c r="F294" s="483"/>
      <c r="G294" s="483"/>
      <c r="H294" s="483"/>
      <c r="I294" s="483"/>
      <c r="J294" s="483"/>
      <c r="K294" s="483"/>
      <c r="L294" s="608" t="s">
        <v>4884</v>
      </c>
      <c r="M294" s="409">
        <v>5195.6535433070876</v>
      </c>
      <c r="N294" s="409">
        <v>5195.6535433070876</v>
      </c>
      <c r="O294" s="410" t="s">
        <v>7572</v>
      </c>
      <c r="P294" s="406">
        <v>291</v>
      </c>
      <c r="Q294" s="470" t="s">
        <v>622</v>
      </c>
      <c r="R294" s="460" t="s">
        <v>623</v>
      </c>
      <c r="S294" s="270" t="s">
        <v>32</v>
      </c>
      <c r="U294" s="471">
        <v>1</v>
      </c>
      <c r="V294" s="471"/>
      <c r="W294" s="471" t="s">
        <v>623</v>
      </c>
      <c r="X294" s="471">
        <v>0</v>
      </c>
      <c r="Y294" s="206"/>
      <c r="Z294" s="206"/>
    </row>
    <row r="295" spans="1:26">
      <c r="A295" s="406">
        <v>292</v>
      </c>
      <c r="B295" s="613" t="s">
        <v>6541</v>
      </c>
      <c r="C295" s="288" t="s">
        <v>624</v>
      </c>
      <c r="D295" s="414" t="s">
        <v>4260</v>
      </c>
      <c r="E295" s="407" t="s">
        <v>9219</v>
      </c>
      <c r="F295" s="483"/>
      <c r="G295" s="483"/>
      <c r="H295" s="483"/>
      <c r="I295" s="483"/>
      <c r="J295" s="483"/>
      <c r="K295" s="483"/>
      <c r="L295" s="608" t="s">
        <v>4884</v>
      </c>
      <c r="M295" s="409">
        <v>5198.0826771653537</v>
      </c>
      <c r="N295" s="409">
        <v>5198.0826771653537</v>
      </c>
      <c r="O295" s="410" t="s">
        <v>7572</v>
      </c>
      <c r="P295" s="406">
        <v>292</v>
      </c>
      <c r="Q295" s="470" t="s">
        <v>624</v>
      </c>
      <c r="R295" s="460" t="s">
        <v>625</v>
      </c>
      <c r="S295" s="270" t="s">
        <v>32</v>
      </c>
      <c r="U295" s="471">
        <v>1</v>
      </c>
      <c r="V295" s="471"/>
      <c r="W295" s="471" t="s">
        <v>625</v>
      </c>
      <c r="X295" s="471">
        <v>0</v>
      </c>
      <c r="Y295" s="206"/>
      <c r="Z295" s="206"/>
    </row>
    <row r="296" spans="1:26">
      <c r="A296" s="406">
        <v>293</v>
      </c>
      <c r="B296" s="613" t="s">
        <v>6542</v>
      </c>
      <c r="C296" s="288" t="s">
        <v>626</v>
      </c>
      <c r="D296" s="414" t="s">
        <v>4262</v>
      </c>
      <c r="E296" s="407" t="s">
        <v>9220</v>
      </c>
      <c r="F296" s="483"/>
      <c r="G296" s="483"/>
      <c r="H296" s="483"/>
      <c r="I296" s="483"/>
      <c r="J296" s="483"/>
      <c r="K296" s="483"/>
      <c r="L296" s="608" t="s">
        <v>4884</v>
      </c>
      <c r="M296" s="409">
        <v>5191.1338582677172</v>
      </c>
      <c r="N296" s="409">
        <v>5191.1338582677172</v>
      </c>
      <c r="O296" s="410" t="s">
        <v>7572</v>
      </c>
      <c r="P296" s="406">
        <v>293</v>
      </c>
      <c r="Q296" s="470" t="s">
        <v>626</v>
      </c>
      <c r="R296" s="460" t="s">
        <v>627</v>
      </c>
      <c r="S296" s="270" t="s">
        <v>32</v>
      </c>
      <c r="U296" s="471">
        <v>1</v>
      </c>
      <c r="V296" s="471"/>
      <c r="W296" s="471" t="s">
        <v>627</v>
      </c>
      <c r="X296" s="471">
        <v>0</v>
      </c>
      <c r="Y296" s="206"/>
      <c r="Z296" s="206"/>
    </row>
    <row r="297" spans="1:26">
      <c r="A297" s="406">
        <v>294</v>
      </c>
      <c r="B297" s="613" t="s">
        <v>6543</v>
      </c>
      <c r="C297" s="288" t="s">
        <v>628</v>
      </c>
      <c r="D297" s="414" t="s">
        <v>4254</v>
      </c>
      <c r="E297" s="407" t="s">
        <v>9221</v>
      </c>
      <c r="F297" s="483"/>
      <c r="G297" s="483"/>
      <c r="H297" s="411"/>
      <c r="I297" s="411"/>
      <c r="J297" s="411"/>
      <c r="K297" s="411"/>
      <c r="L297" s="608" t="s">
        <v>4884</v>
      </c>
      <c r="M297" s="409">
        <v>6296.2598425196857</v>
      </c>
      <c r="N297" s="409">
        <v>6296.2598425196857</v>
      </c>
      <c r="O297" s="410" t="s">
        <v>7573</v>
      </c>
      <c r="P297" s="406">
        <v>294</v>
      </c>
      <c r="Q297" s="470" t="s">
        <v>628</v>
      </c>
      <c r="R297" s="460" t="s">
        <v>629</v>
      </c>
      <c r="S297" s="270" t="s">
        <v>32</v>
      </c>
      <c r="U297" s="471">
        <v>1</v>
      </c>
      <c r="V297" s="471"/>
      <c r="W297" s="471" t="s">
        <v>629</v>
      </c>
      <c r="X297" s="471">
        <v>0</v>
      </c>
      <c r="Y297" s="206"/>
      <c r="Z297" s="206"/>
    </row>
    <row r="298" spans="1:26">
      <c r="A298" s="406">
        <v>295</v>
      </c>
      <c r="B298" s="613" t="s">
        <v>6544</v>
      </c>
      <c r="C298" s="288" t="s">
        <v>630</v>
      </c>
      <c r="D298" s="414" t="s">
        <v>4256</v>
      </c>
      <c r="E298" s="407" t="s">
        <v>9222</v>
      </c>
      <c r="F298" s="483"/>
      <c r="G298" s="483"/>
      <c r="H298" s="483"/>
      <c r="I298" s="483"/>
      <c r="J298" s="483"/>
      <c r="K298" s="483"/>
      <c r="L298" s="608" t="s">
        <v>4884</v>
      </c>
      <c r="M298" s="409">
        <v>6295.5433070866147</v>
      </c>
      <c r="N298" s="409">
        <v>6295.5433070866147</v>
      </c>
      <c r="O298" s="410" t="s">
        <v>7573</v>
      </c>
      <c r="P298" s="406">
        <v>295</v>
      </c>
      <c r="Q298" s="470" t="s">
        <v>630</v>
      </c>
      <c r="R298" s="460" t="s">
        <v>631</v>
      </c>
      <c r="S298" s="270" t="s">
        <v>32</v>
      </c>
      <c r="U298" s="471">
        <v>1</v>
      </c>
      <c r="V298" s="471"/>
      <c r="W298" s="471" t="s">
        <v>631</v>
      </c>
      <c r="X298" s="471">
        <v>0</v>
      </c>
      <c r="Y298" s="206"/>
      <c r="Z298" s="206"/>
    </row>
    <row r="299" spans="1:26">
      <c r="A299" s="406">
        <v>296</v>
      </c>
      <c r="B299" s="613" t="s">
        <v>6545</v>
      </c>
      <c r="C299" s="288" t="s">
        <v>632</v>
      </c>
      <c r="D299" s="414" t="s">
        <v>4252</v>
      </c>
      <c r="E299" s="407" t="s">
        <v>9223</v>
      </c>
      <c r="F299" s="483"/>
      <c r="G299" s="483"/>
      <c r="H299" s="483"/>
      <c r="I299" s="483"/>
      <c r="J299" s="483"/>
      <c r="K299" s="483"/>
      <c r="L299" s="608" t="s">
        <v>4884</v>
      </c>
      <c r="M299" s="409">
        <v>6304.4606299212601</v>
      </c>
      <c r="N299" s="409">
        <v>6304.4606299212601</v>
      </c>
      <c r="O299" s="410" t="s">
        <v>7573</v>
      </c>
      <c r="P299" s="406">
        <v>296</v>
      </c>
      <c r="Q299" s="470" t="s">
        <v>632</v>
      </c>
      <c r="R299" s="460" t="s">
        <v>633</v>
      </c>
      <c r="S299" s="270" t="s">
        <v>32</v>
      </c>
      <c r="U299" s="471">
        <v>1</v>
      </c>
      <c r="V299" s="471"/>
      <c r="W299" s="471" t="s">
        <v>633</v>
      </c>
      <c r="X299" s="471">
        <v>0</v>
      </c>
      <c r="Y299" s="206"/>
      <c r="Z299" s="206"/>
    </row>
    <row r="300" spans="1:26">
      <c r="A300" s="406">
        <v>297</v>
      </c>
      <c r="B300" s="613" t="s">
        <v>6546</v>
      </c>
      <c r="C300" s="288" t="s">
        <v>634</v>
      </c>
      <c r="D300" s="414" t="s">
        <v>4249</v>
      </c>
      <c r="E300" s="407" t="s">
        <v>9224</v>
      </c>
      <c r="F300" s="483"/>
      <c r="G300" s="483"/>
      <c r="H300" s="483"/>
      <c r="I300" s="483"/>
      <c r="J300" s="483"/>
      <c r="K300" s="483"/>
      <c r="L300" s="608" t="s">
        <v>4884</v>
      </c>
      <c r="M300" s="409">
        <v>6297.7283464566935</v>
      </c>
      <c r="N300" s="409">
        <v>6297.7283464566935</v>
      </c>
      <c r="O300" s="410" t="s">
        <v>7573</v>
      </c>
      <c r="P300" s="406">
        <v>297</v>
      </c>
      <c r="Q300" s="470" t="s">
        <v>634</v>
      </c>
      <c r="R300" s="460" t="s">
        <v>635</v>
      </c>
      <c r="S300" s="270" t="s">
        <v>32</v>
      </c>
      <c r="U300" s="471">
        <v>1</v>
      </c>
      <c r="V300" s="471"/>
      <c r="W300" s="471" t="s">
        <v>635</v>
      </c>
      <c r="X300" s="471">
        <v>0</v>
      </c>
      <c r="Y300" s="206"/>
      <c r="Z300" s="206"/>
    </row>
    <row r="301" spans="1:26">
      <c r="A301" s="406">
        <v>298</v>
      </c>
      <c r="B301" s="613" t="s">
        <v>6547</v>
      </c>
      <c r="C301" s="288" t="s">
        <v>636</v>
      </c>
      <c r="D301" s="414" t="s">
        <v>4251</v>
      </c>
      <c r="E301" s="407" t="s">
        <v>9225</v>
      </c>
      <c r="F301" s="483"/>
      <c r="G301" s="483"/>
      <c r="H301" s="483"/>
      <c r="I301" s="483"/>
      <c r="J301" s="483"/>
      <c r="K301" s="483"/>
      <c r="L301" s="608" t="s">
        <v>4884</v>
      </c>
      <c r="M301" s="409">
        <v>6300.2322834645674</v>
      </c>
      <c r="N301" s="409">
        <v>6300.2322834645674</v>
      </c>
      <c r="O301" s="410" t="s">
        <v>7573</v>
      </c>
      <c r="P301" s="406">
        <v>298</v>
      </c>
      <c r="Q301" s="470" t="s">
        <v>636</v>
      </c>
      <c r="R301" s="460" t="s">
        <v>637</v>
      </c>
      <c r="S301" s="270" t="s">
        <v>32</v>
      </c>
      <c r="U301" s="471">
        <v>1</v>
      </c>
      <c r="V301" s="471"/>
      <c r="W301" s="471" t="s">
        <v>637</v>
      </c>
      <c r="X301" s="471">
        <v>0</v>
      </c>
      <c r="Y301" s="206"/>
      <c r="Z301" s="206"/>
    </row>
    <row r="302" spans="1:26">
      <c r="A302" s="406">
        <v>299</v>
      </c>
      <c r="B302" s="613" t="s">
        <v>6548</v>
      </c>
      <c r="C302" s="288" t="s">
        <v>638</v>
      </c>
      <c r="D302" s="414" t="s">
        <v>4258</v>
      </c>
      <c r="E302" s="407" t="s">
        <v>9226</v>
      </c>
      <c r="F302" s="483"/>
      <c r="G302" s="483"/>
      <c r="H302" s="483"/>
      <c r="I302" s="483"/>
      <c r="J302" s="483"/>
      <c r="K302" s="483"/>
      <c r="L302" s="608" t="s">
        <v>4884</v>
      </c>
      <c r="M302" s="409">
        <v>6297.8661417322837</v>
      </c>
      <c r="N302" s="409">
        <v>6297.8661417322837</v>
      </c>
      <c r="O302" s="410" t="s">
        <v>7573</v>
      </c>
      <c r="P302" s="406">
        <v>299</v>
      </c>
      <c r="Q302" s="470" t="s">
        <v>638</v>
      </c>
      <c r="R302" s="460" t="s">
        <v>639</v>
      </c>
      <c r="S302" s="270" t="s">
        <v>32</v>
      </c>
      <c r="U302" s="471">
        <v>1</v>
      </c>
      <c r="V302" s="471"/>
      <c r="W302" s="471" t="s">
        <v>639</v>
      </c>
      <c r="X302" s="471">
        <v>0</v>
      </c>
      <c r="Y302" s="206"/>
      <c r="Z302" s="206"/>
    </row>
    <row r="303" spans="1:26">
      <c r="A303" s="406">
        <v>300</v>
      </c>
      <c r="B303" s="613" t="s">
        <v>6549</v>
      </c>
      <c r="C303" s="288" t="s">
        <v>640</v>
      </c>
      <c r="D303" s="414" t="s">
        <v>4250</v>
      </c>
      <c r="E303" s="407" t="s">
        <v>9227</v>
      </c>
      <c r="F303" s="483"/>
      <c r="G303" s="411"/>
      <c r="H303" s="411"/>
      <c r="I303" s="411"/>
      <c r="J303" s="411"/>
      <c r="K303" s="411"/>
      <c r="L303" s="608" t="s">
        <v>4884</v>
      </c>
      <c r="M303" s="409">
        <v>6294.7598425196848</v>
      </c>
      <c r="N303" s="409">
        <v>6294.7598425196848</v>
      </c>
      <c r="O303" s="410" t="s">
        <v>7573</v>
      </c>
      <c r="P303" s="406">
        <v>300</v>
      </c>
      <c r="Q303" s="470" t="s">
        <v>640</v>
      </c>
      <c r="R303" s="460" t="s">
        <v>641</v>
      </c>
      <c r="S303" s="270" t="s">
        <v>32</v>
      </c>
      <c r="U303" s="471">
        <v>1</v>
      </c>
      <c r="V303" s="471"/>
      <c r="W303" s="471" t="s">
        <v>641</v>
      </c>
      <c r="X303" s="471">
        <v>0</v>
      </c>
      <c r="Y303" s="206"/>
      <c r="Z303" s="206"/>
    </row>
    <row r="304" spans="1:26">
      <c r="A304" s="406">
        <v>301</v>
      </c>
      <c r="B304" s="613" t="s">
        <v>6550</v>
      </c>
      <c r="C304" s="288" t="s">
        <v>642</v>
      </c>
      <c r="D304" s="414" t="s">
        <v>4248</v>
      </c>
      <c r="E304" s="407" t="s">
        <v>9228</v>
      </c>
      <c r="F304" s="483"/>
      <c r="G304" s="483"/>
      <c r="H304" s="483"/>
      <c r="I304" s="483"/>
      <c r="J304" s="483"/>
      <c r="K304" s="483"/>
      <c r="L304" s="608" t="s">
        <v>4884</v>
      </c>
      <c r="M304" s="409">
        <v>6297.6496062992128</v>
      </c>
      <c r="N304" s="409">
        <v>6297.6496062992128</v>
      </c>
      <c r="O304" s="410" t="s">
        <v>7573</v>
      </c>
      <c r="P304" s="406">
        <v>301</v>
      </c>
      <c r="Q304" s="470" t="s">
        <v>642</v>
      </c>
      <c r="R304" s="460" t="s">
        <v>643</v>
      </c>
      <c r="S304" s="270" t="s">
        <v>32</v>
      </c>
      <c r="U304" s="471">
        <v>1</v>
      </c>
      <c r="V304" s="471"/>
      <c r="W304" s="471" t="s">
        <v>643</v>
      </c>
      <c r="X304" s="471">
        <v>0</v>
      </c>
      <c r="Y304" s="206"/>
      <c r="Z304" s="206"/>
    </row>
    <row r="305" spans="1:26">
      <c r="A305" s="406">
        <v>302</v>
      </c>
      <c r="B305" s="613" t="s">
        <v>6228</v>
      </c>
      <c r="C305" s="288" t="s">
        <v>644</v>
      </c>
      <c r="D305" s="414" t="s">
        <v>4398</v>
      </c>
      <c r="E305" s="407" t="s">
        <v>9229</v>
      </c>
      <c r="F305" s="483"/>
      <c r="G305" s="483"/>
      <c r="H305" s="411"/>
      <c r="I305" s="411"/>
      <c r="J305" s="411"/>
      <c r="K305" s="411"/>
      <c r="L305" s="608" t="s">
        <v>4884</v>
      </c>
      <c r="M305" s="409">
        <v>6418.2244094488187</v>
      </c>
      <c r="N305" s="409">
        <v>6418.2244094488187</v>
      </c>
      <c r="O305" s="410" t="s">
        <v>7569</v>
      </c>
      <c r="P305" s="406">
        <v>302</v>
      </c>
      <c r="Q305" s="470" t="s">
        <v>644</v>
      </c>
      <c r="R305" s="460" t="s">
        <v>645</v>
      </c>
      <c r="S305" s="270" t="s">
        <v>32</v>
      </c>
      <c r="U305" s="471">
        <v>1</v>
      </c>
      <c r="V305" s="471"/>
      <c r="W305" s="471" t="s">
        <v>645</v>
      </c>
      <c r="X305" s="471">
        <v>0</v>
      </c>
      <c r="Y305" s="206"/>
      <c r="Z305" s="206"/>
    </row>
    <row r="306" spans="1:26">
      <c r="A306" s="406">
        <v>303</v>
      </c>
      <c r="B306" s="613" t="s">
        <v>6230</v>
      </c>
      <c r="C306" s="288" t="s">
        <v>646</v>
      </c>
      <c r="D306" s="414" t="s">
        <v>4399</v>
      </c>
      <c r="E306" s="407" t="s">
        <v>9230</v>
      </c>
      <c r="F306" s="483"/>
      <c r="G306" s="483"/>
      <c r="H306" s="483"/>
      <c r="I306" s="483"/>
      <c r="J306" s="483"/>
      <c r="K306" s="483"/>
      <c r="L306" s="608" t="s">
        <v>4884</v>
      </c>
      <c r="M306" s="409">
        <v>4963.1299212598433</v>
      </c>
      <c r="N306" s="409">
        <v>4963.1299212598433</v>
      </c>
      <c r="O306" s="410" t="s">
        <v>7569</v>
      </c>
      <c r="P306" s="406">
        <v>303</v>
      </c>
      <c r="Q306" s="470" t="s">
        <v>646</v>
      </c>
      <c r="R306" s="460" t="s">
        <v>647</v>
      </c>
      <c r="S306" s="270" t="s">
        <v>32</v>
      </c>
      <c r="U306" s="471">
        <v>1</v>
      </c>
      <c r="V306" s="471"/>
      <c r="W306" s="471" t="s">
        <v>647</v>
      </c>
      <c r="X306" s="471">
        <v>0</v>
      </c>
      <c r="Y306" s="206"/>
      <c r="Z306" s="206"/>
    </row>
    <row r="307" spans="1:26">
      <c r="A307" s="406">
        <v>304</v>
      </c>
      <c r="B307" s="613" t="s">
        <v>6236</v>
      </c>
      <c r="C307" s="288" t="s">
        <v>648</v>
      </c>
      <c r="D307" s="414" t="s">
        <v>4361</v>
      </c>
      <c r="E307" s="407" t="s">
        <v>9231</v>
      </c>
      <c r="F307" s="483"/>
      <c r="G307" s="483"/>
      <c r="H307" s="411"/>
      <c r="I307" s="411"/>
      <c r="J307" s="411"/>
      <c r="K307" s="411"/>
      <c r="L307" s="608" t="s">
        <v>4884</v>
      </c>
      <c r="M307" s="409">
        <v>5079.070866141732</v>
      </c>
      <c r="N307" s="409">
        <v>5079.070866141732</v>
      </c>
      <c r="O307" s="410" t="s">
        <v>7572</v>
      </c>
      <c r="P307" s="406">
        <v>304</v>
      </c>
      <c r="Q307" s="470" t="s">
        <v>648</v>
      </c>
      <c r="R307" s="460" t="s">
        <v>649</v>
      </c>
      <c r="S307" s="270" t="s">
        <v>32</v>
      </c>
      <c r="U307" s="471">
        <v>1</v>
      </c>
      <c r="V307" s="471"/>
      <c r="W307" s="471" t="s">
        <v>649</v>
      </c>
      <c r="X307" s="471">
        <v>0</v>
      </c>
      <c r="Y307" s="206"/>
      <c r="Z307" s="206"/>
    </row>
    <row r="308" spans="1:26">
      <c r="A308" s="406">
        <v>305</v>
      </c>
      <c r="B308" s="613" t="s">
        <v>6238</v>
      </c>
      <c r="C308" s="288" t="s">
        <v>650</v>
      </c>
      <c r="D308" s="414" t="s">
        <v>4357</v>
      </c>
      <c r="E308" s="407" t="s">
        <v>9232</v>
      </c>
      <c r="F308" s="483"/>
      <c r="G308" s="483"/>
      <c r="H308" s="483"/>
      <c r="I308" s="483"/>
      <c r="J308" s="483"/>
      <c r="K308" s="483"/>
      <c r="L308" s="608" t="s">
        <v>4884</v>
      </c>
      <c r="M308" s="409">
        <v>5593.9488188976375</v>
      </c>
      <c r="N308" s="409">
        <v>5593.9488188976375</v>
      </c>
      <c r="O308" s="410" t="s">
        <v>7572</v>
      </c>
      <c r="P308" s="406">
        <v>305</v>
      </c>
      <c r="Q308" s="470" t="s">
        <v>650</v>
      </c>
      <c r="R308" s="460" t="s">
        <v>651</v>
      </c>
      <c r="S308" s="270" t="s">
        <v>32</v>
      </c>
      <c r="U308" s="471">
        <v>1</v>
      </c>
      <c r="V308" s="471"/>
      <c r="W308" s="471" t="s">
        <v>651</v>
      </c>
      <c r="X308" s="471">
        <v>0</v>
      </c>
      <c r="Y308" s="206"/>
      <c r="Z308" s="206"/>
    </row>
    <row r="309" spans="1:26">
      <c r="A309" s="406">
        <v>306</v>
      </c>
      <c r="B309" s="613" t="s">
        <v>6244</v>
      </c>
      <c r="C309" s="288" t="s">
        <v>652</v>
      </c>
      <c r="D309" s="414" t="s">
        <v>4321</v>
      </c>
      <c r="E309" s="407" t="s">
        <v>9233</v>
      </c>
      <c r="F309" s="483"/>
      <c r="G309" s="483"/>
      <c r="H309" s="483"/>
      <c r="I309" s="483"/>
      <c r="J309" s="483"/>
      <c r="K309" s="483"/>
      <c r="L309" s="608" t="s">
        <v>4884</v>
      </c>
      <c r="M309" s="409">
        <v>4684.1023622047251</v>
      </c>
      <c r="N309" s="409">
        <v>4684.1023622047251</v>
      </c>
      <c r="O309" s="410" t="s">
        <v>7572</v>
      </c>
      <c r="P309" s="406">
        <v>306</v>
      </c>
      <c r="Q309" s="470" t="s">
        <v>652</v>
      </c>
      <c r="R309" s="460" t="s">
        <v>653</v>
      </c>
      <c r="S309" s="270" t="s">
        <v>32</v>
      </c>
      <c r="U309" s="471">
        <v>1</v>
      </c>
      <c r="V309" s="471"/>
      <c r="W309" s="471" t="s">
        <v>653</v>
      </c>
      <c r="X309" s="471">
        <v>0</v>
      </c>
      <c r="Y309" s="206"/>
      <c r="Z309" s="206"/>
    </row>
    <row r="310" spans="1:26">
      <c r="A310" s="406">
        <v>307</v>
      </c>
      <c r="B310" s="613" t="s">
        <v>6198</v>
      </c>
      <c r="C310" s="288" t="s">
        <v>654</v>
      </c>
      <c r="D310" s="414" t="s">
        <v>4301</v>
      </c>
      <c r="E310" s="407" t="s">
        <v>9234</v>
      </c>
      <c r="F310" s="483"/>
      <c r="G310" s="483"/>
      <c r="H310" s="411"/>
      <c r="I310" s="411"/>
      <c r="J310" s="411"/>
      <c r="K310" s="411"/>
      <c r="L310" s="608" t="s">
        <v>4884</v>
      </c>
      <c r="M310" s="409">
        <v>6062.7007874015753</v>
      </c>
      <c r="N310" s="409">
        <v>6062.7007874015753</v>
      </c>
      <c r="O310" s="410" t="s">
        <v>7572</v>
      </c>
      <c r="P310" s="406">
        <v>307</v>
      </c>
      <c r="Q310" s="470" t="s">
        <v>654</v>
      </c>
      <c r="R310" s="460" t="s">
        <v>655</v>
      </c>
      <c r="S310" s="270" t="s">
        <v>32</v>
      </c>
      <c r="U310" s="471">
        <v>1</v>
      </c>
      <c r="V310" s="471"/>
      <c r="W310" s="471" t="s">
        <v>655</v>
      </c>
      <c r="X310" s="471">
        <v>0</v>
      </c>
      <c r="Y310" s="206"/>
      <c r="Z310" s="206"/>
    </row>
    <row r="311" spans="1:26">
      <c r="A311" s="406">
        <v>308</v>
      </c>
      <c r="B311" s="613" t="s">
        <v>6204</v>
      </c>
      <c r="C311" s="288" t="s">
        <v>656</v>
      </c>
      <c r="D311" s="414" t="s">
        <v>4255</v>
      </c>
      <c r="E311" s="407" t="s">
        <v>9235</v>
      </c>
      <c r="F311" s="483"/>
      <c r="G311" s="483"/>
      <c r="H311" s="483"/>
      <c r="I311" s="483"/>
      <c r="J311" s="483"/>
      <c r="K311" s="483"/>
      <c r="L311" s="608" t="s">
        <v>4884</v>
      </c>
      <c r="M311" s="409">
        <v>5198.5787401574808</v>
      </c>
      <c r="N311" s="409">
        <v>5198.5787401574808</v>
      </c>
      <c r="O311" s="410" t="s">
        <v>7573</v>
      </c>
      <c r="P311" s="406">
        <v>308</v>
      </c>
      <c r="Q311" s="470" t="s">
        <v>656</v>
      </c>
      <c r="R311" s="460" t="s">
        <v>657</v>
      </c>
      <c r="S311" s="270" t="s">
        <v>32</v>
      </c>
      <c r="U311" s="471">
        <v>1</v>
      </c>
      <c r="V311" s="471"/>
      <c r="W311" s="471" t="s">
        <v>657</v>
      </c>
      <c r="X311" s="471">
        <v>0</v>
      </c>
      <c r="Y311" s="206"/>
      <c r="Z311" s="206"/>
    </row>
    <row r="312" spans="1:26">
      <c r="A312" s="406">
        <v>309</v>
      </c>
      <c r="B312" s="613" t="s">
        <v>6206</v>
      </c>
      <c r="C312" s="288" t="s">
        <v>658</v>
      </c>
      <c r="D312" s="414" t="s">
        <v>4246</v>
      </c>
      <c r="E312" s="407" t="s">
        <v>9236</v>
      </c>
      <c r="F312" s="483"/>
      <c r="G312" s="483"/>
      <c r="H312" s="411"/>
      <c r="I312" s="411"/>
      <c r="J312" s="411"/>
      <c r="K312" s="411"/>
      <c r="L312" s="608" t="s">
        <v>4884</v>
      </c>
      <c r="M312" s="409">
        <v>6184.1377952755911</v>
      </c>
      <c r="N312" s="409">
        <v>6184.1377952755911</v>
      </c>
      <c r="O312" s="410" t="s">
        <v>7575</v>
      </c>
      <c r="P312" s="406">
        <v>309</v>
      </c>
      <c r="Q312" s="470" t="s">
        <v>658</v>
      </c>
      <c r="R312" s="460" t="s">
        <v>659</v>
      </c>
      <c r="S312" s="270" t="s">
        <v>32</v>
      </c>
      <c r="U312" s="471">
        <v>1</v>
      </c>
      <c r="V312" s="471"/>
      <c r="W312" s="471" t="s">
        <v>659</v>
      </c>
      <c r="X312" s="471">
        <v>0</v>
      </c>
      <c r="Y312" s="206"/>
      <c r="Z312" s="206"/>
    </row>
    <row r="313" spans="1:26">
      <c r="A313" s="406">
        <v>310</v>
      </c>
      <c r="B313" s="613" t="s">
        <v>6232</v>
      </c>
      <c r="C313" s="288" t="s">
        <v>660</v>
      </c>
      <c r="D313" s="414" t="s">
        <v>4451</v>
      </c>
      <c r="E313" s="407" t="s">
        <v>9237</v>
      </c>
      <c r="F313" s="483"/>
      <c r="G313" s="483"/>
      <c r="H313" s="483"/>
      <c r="I313" s="483"/>
      <c r="J313" s="483"/>
      <c r="K313" s="483"/>
      <c r="L313" s="608" t="s">
        <v>4884</v>
      </c>
      <c r="M313" s="409">
        <v>7167.177165354331</v>
      </c>
      <c r="N313" s="409">
        <v>7167.177165354331</v>
      </c>
      <c r="O313" s="410" t="s">
        <v>7572</v>
      </c>
      <c r="P313" s="406">
        <v>310</v>
      </c>
      <c r="Q313" s="470" t="s">
        <v>660</v>
      </c>
      <c r="R313" s="460" t="s">
        <v>661</v>
      </c>
      <c r="S313" s="270" t="s">
        <v>32</v>
      </c>
      <c r="U313" s="471">
        <v>1</v>
      </c>
      <c r="V313" s="471"/>
      <c r="W313" s="471" t="s">
        <v>661</v>
      </c>
      <c r="X313" s="471">
        <v>0</v>
      </c>
      <c r="Y313" s="206"/>
      <c r="Z313" s="206"/>
    </row>
    <row r="314" spans="1:26">
      <c r="A314" s="406">
        <v>311</v>
      </c>
      <c r="B314" s="613" t="s">
        <v>6234</v>
      </c>
      <c r="C314" s="288" t="s">
        <v>662</v>
      </c>
      <c r="D314" s="414" t="s">
        <v>4452</v>
      </c>
      <c r="E314" s="407" t="s">
        <v>9238</v>
      </c>
      <c r="F314" s="483"/>
      <c r="G314" s="411"/>
      <c r="H314" s="411"/>
      <c r="I314" s="411"/>
      <c r="J314" s="411"/>
      <c r="K314" s="411"/>
      <c r="L314" s="608" t="s">
        <v>4884</v>
      </c>
      <c r="M314" s="409">
        <v>6733.5511811023616</v>
      </c>
      <c r="N314" s="409">
        <v>6733.5511811023616</v>
      </c>
      <c r="O314" s="410" t="s">
        <v>7576</v>
      </c>
      <c r="P314" s="406">
        <v>311</v>
      </c>
      <c r="Q314" s="470" t="s">
        <v>662</v>
      </c>
      <c r="R314" s="460" t="s">
        <v>663</v>
      </c>
      <c r="S314" s="270" t="s">
        <v>32</v>
      </c>
      <c r="U314" s="471">
        <v>1</v>
      </c>
      <c r="V314" s="471"/>
      <c r="W314" s="471" t="s">
        <v>663</v>
      </c>
      <c r="X314" s="471">
        <v>0</v>
      </c>
      <c r="Y314" s="206"/>
      <c r="Z314" s="206"/>
    </row>
    <row r="315" spans="1:26">
      <c r="A315" s="406">
        <v>312</v>
      </c>
      <c r="B315" s="613" t="s">
        <v>6240</v>
      </c>
      <c r="C315" s="288" t="s">
        <v>664</v>
      </c>
      <c r="D315" s="414" t="s">
        <v>4385</v>
      </c>
      <c r="E315" s="407" t="s">
        <v>9239</v>
      </c>
      <c r="F315" s="483"/>
      <c r="G315" s="411"/>
      <c r="H315" s="411"/>
      <c r="I315" s="411"/>
      <c r="J315" s="411"/>
      <c r="K315" s="411"/>
      <c r="L315" s="608" t="s">
        <v>4884</v>
      </c>
      <c r="M315" s="409">
        <v>5589.5669291338581</v>
      </c>
      <c r="N315" s="409">
        <v>5589.5669291338581</v>
      </c>
      <c r="O315" s="410" t="s">
        <v>7572</v>
      </c>
      <c r="P315" s="406">
        <v>312</v>
      </c>
      <c r="Q315" s="470" t="s">
        <v>664</v>
      </c>
      <c r="R315" s="460" t="s">
        <v>665</v>
      </c>
      <c r="S315" s="270" t="s">
        <v>32</v>
      </c>
      <c r="U315" s="471">
        <v>1</v>
      </c>
      <c r="V315" s="471"/>
      <c r="W315" s="471" t="s">
        <v>665</v>
      </c>
      <c r="X315" s="471">
        <v>0</v>
      </c>
      <c r="Y315" s="206"/>
      <c r="Z315" s="206"/>
    </row>
    <row r="316" spans="1:26">
      <c r="A316" s="406">
        <v>313</v>
      </c>
      <c r="B316" s="613" t="s">
        <v>6242</v>
      </c>
      <c r="C316" s="288" t="s">
        <v>666</v>
      </c>
      <c r="D316" s="414" t="s">
        <v>4394</v>
      </c>
      <c r="E316" s="407" t="s">
        <v>9240</v>
      </c>
      <c r="F316" s="483"/>
      <c r="G316" s="411"/>
      <c r="H316" s="411"/>
      <c r="I316" s="411"/>
      <c r="J316" s="411"/>
      <c r="K316" s="411"/>
      <c r="L316" s="608" t="s">
        <v>4884</v>
      </c>
      <c r="M316" s="409">
        <v>5553.3858267716541</v>
      </c>
      <c r="N316" s="409">
        <v>5553.3858267716541</v>
      </c>
      <c r="O316" s="410" t="s">
        <v>7576</v>
      </c>
      <c r="P316" s="406">
        <v>313</v>
      </c>
      <c r="Q316" s="470" t="s">
        <v>666</v>
      </c>
      <c r="R316" s="460" t="s">
        <v>667</v>
      </c>
      <c r="S316" s="270" t="s">
        <v>32</v>
      </c>
      <c r="U316" s="471">
        <v>1</v>
      </c>
      <c r="V316" s="471"/>
      <c r="W316" s="471" t="s">
        <v>667</v>
      </c>
      <c r="X316" s="471">
        <v>0</v>
      </c>
      <c r="Y316" s="206"/>
      <c r="Z316" s="206"/>
    </row>
    <row r="317" spans="1:26">
      <c r="A317" s="406">
        <v>314</v>
      </c>
      <c r="B317" s="613" t="s">
        <v>6200</v>
      </c>
      <c r="C317" s="288" t="s">
        <v>668</v>
      </c>
      <c r="D317" s="414" t="s">
        <v>4299</v>
      </c>
      <c r="E317" s="407" t="s">
        <v>9241</v>
      </c>
      <c r="F317" s="483"/>
      <c r="G317" s="411"/>
      <c r="H317" s="411"/>
      <c r="I317" s="411"/>
      <c r="J317" s="411"/>
      <c r="K317" s="411"/>
      <c r="L317" s="608" t="s">
        <v>4884</v>
      </c>
      <c r="M317" s="409">
        <v>5316.0866141732295</v>
      </c>
      <c r="N317" s="409">
        <v>5316.0866141732295</v>
      </c>
      <c r="O317" s="410" t="s">
        <v>7573</v>
      </c>
      <c r="P317" s="406">
        <v>314</v>
      </c>
      <c r="Q317" s="470" t="s">
        <v>668</v>
      </c>
      <c r="R317" s="460" t="s">
        <v>669</v>
      </c>
      <c r="S317" s="270" t="s">
        <v>32</v>
      </c>
      <c r="U317" s="471">
        <v>1</v>
      </c>
      <c r="V317" s="471"/>
      <c r="W317" s="471" t="s">
        <v>669</v>
      </c>
      <c r="X317" s="471">
        <v>0</v>
      </c>
      <c r="Y317" s="206"/>
      <c r="Z317" s="206"/>
    </row>
    <row r="318" spans="1:26">
      <c r="A318" s="406">
        <v>315</v>
      </c>
      <c r="B318" s="613" t="s">
        <v>6202</v>
      </c>
      <c r="C318" s="288" t="s">
        <v>670</v>
      </c>
      <c r="D318" s="414" t="s">
        <v>4288</v>
      </c>
      <c r="E318" s="407" t="s">
        <v>9242</v>
      </c>
      <c r="F318" s="483"/>
      <c r="G318" s="411"/>
      <c r="H318" s="411"/>
      <c r="I318" s="411"/>
      <c r="J318" s="411"/>
      <c r="K318" s="411"/>
      <c r="L318" s="608" t="s">
        <v>4884</v>
      </c>
      <c r="M318" s="409">
        <v>6377.3976377952749</v>
      </c>
      <c r="N318" s="409">
        <v>6377.3976377952749</v>
      </c>
      <c r="O318" s="410" t="s">
        <v>7574</v>
      </c>
      <c r="P318" s="406">
        <v>315</v>
      </c>
      <c r="Q318" s="470" t="s">
        <v>670</v>
      </c>
      <c r="R318" s="460" t="s">
        <v>671</v>
      </c>
      <c r="S318" s="270" t="s">
        <v>32</v>
      </c>
      <c r="U318" s="471">
        <v>1</v>
      </c>
      <c r="V318" s="471"/>
      <c r="W318" s="471" t="s">
        <v>671</v>
      </c>
      <c r="X318" s="471">
        <v>0</v>
      </c>
      <c r="Y318" s="206"/>
      <c r="Z318" s="206"/>
    </row>
    <row r="319" spans="1:26">
      <c r="A319" s="406">
        <v>316</v>
      </c>
      <c r="B319" s="613" t="s">
        <v>6208</v>
      </c>
      <c r="C319" s="288" t="s">
        <v>672</v>
      </c>
      <c r="D319" s="414" t="s">
        <v>4263</v>
      </c>
      <c r="E319" s="407" t="s">
        <v>9243</v>
      </c>
      <c r="F319" s="483"/>
      <c r="G319" s="483"/>
      <c r="H319" s="483"/>
      <c r="I319" s="483"/>
      <c r="J319" s="483"/>
      <c r="K319" s="483"/>
      <c r="L319" s="608" t="s">
        <v>4884</v>
      </c>
      <c r="M319" s="409">
        <v>5197.0905511811025</v>
      </c>
      <c r="N319" s="409">
        <v>5197.0905511811025</v>
      </c>
      <c r="O319" s="410" t="s">
        <v>7576</v>
      </c>
      <c r="P319" s="406">
        <v>316</v>
      </c>
      <c r="Q319" s="470" t="s">
        <v>672</v>
      </c>
      <c r="R319" s="460" t="s">
        <v>673</v>
      </c>
      <c r="S319" s="270" t="s">
        <v>32</v>
      </c>
      <c r="U319" s="471">
        <v>1</v>
      </c>
      <c r="V319" s="471"/>
      <c r="W319" s="471" t="s">
        <v>673</v>
      </c>
      <c r="X319" s="471">
        <v>0</v>
      </c>
      <c r="Y319" s="206"/>
      <c r="Z319" s="206"/>
    </row>
    <row r="320" spans="1:26">
      <c r="A320" s="406">
        <v>317</v>
      </c>
      <c r="B320" s="613" t="s">
        <v>6210</v>
      </c>
      <c r="C320" s="288" t="s">
        <v>674</v>
      </c>
      <c r="D320" s="414" t="s">
        <v>4264</v>
      </c>
      <c r="E320" s="407" t="s">
        <v>9244</v>
      </c>
      <c r="F320" s="483"/>
      <c r="G320" s="483"/>
      <c r="H320" s="483"/>
      <c r="I320" s="483"/>
      <c r="J320" s="483"/>
      <c r="K320" s="483"/>
      <c r="L320" s="608" t="s">
        <v>4884</v>
      </c>
      <c r="M320" s="409">
        <v>6299.3149606299212</v>
      </c>
      <c r="N320" s="409">
        <v>6299.3149606299212</v>
      </c>
      <c r="O320" s="410" t="s">
        <v>7576</v>
      </c>
      <c r="P320" s="406">
        <v>317</v>
      </c>
      <c r="Q320" s="470" t="s">
        <v>674</v>
      </c>
      <c r="R320" s="460" t="s">
        <v>675</v>
      </c>
      <c r="S320" s="270" t="s">
        <v>32</v>
      </c>
      <c r="U320" s="471">
        <v>1</v>
      </c>
      <c r="V320" s="471"/>
      <c r="W320" s="471" t="s">
        <v>675</v>
      </c>
      <c r="X320" s="471">
        <v>0</v>
      </c>
      <c r="Y320" s="206"/>
      <c r="Z320" s="206"/>
    </row>
    <row r="321" spans="1:26">
      <c r="A321" s="406">
        <v>318</v>
      </c>
      <c r="B321" s="613" t="s">
        <v>6229</v>
      </c>
      <c r="C321" s="288" t="s">
        <v>676</v>
      </c>
      <c r="D321" s="414" t="s">
        <v>4400</v>
      </c>
      <c r="E321" s="407" t="s">
        <v>9245</v>
      </c>
      <c r="F321" s="483"/>
      <c r="G321" s="483"/>
      <c r="H321" s="483"/>
      <c r="I321" s="483"/>
      <c r="J321" s="483"/>
      <c r="K321" s="483"/>
      <c r="L321" s="608" t="s">
        <v>4884</v>
      </c>
      <c r="M321" s="409">
        <v>6418.7401574803152</v>
      </c>
      <c r="N321" s="409">
        <v>6418.7401574803152</v>
      </c>
      <c r="O321" s="410" t="s">
        <v>7569</v>
      </c>
      <c r="P321" s="406">
        <v>318</v>
      </c>
      <c r="Q321" s="470" t="s">
        <v>676</v>
      </c>
      <c r="R321" s="460" t="s">
        <v>677</v>
      </c>
      <c r="S321" s="270" t="s">
        <v>32</v>
      </c>
      <c r="U321" s="471">
        <v>1</v>
      </c>
      <c r="V321" s="471"/>
      <c r="W321" s="471" t="s">
        <v>677</v>
      </c>
      <c r="X321" s="471">
        <v>0</v>
      </c>
      <c r="Y321" s="206"/>
      <c r="Z321" s="206"/>
    </row>
    <row r="322" spans="1:26">
      <c r="A322" s="406">
        <v>319</v>
      </c>
      <c r="B322" s="613" t="s">
        <v>6231</v>
      </c>
      <c r="C322" s="288" t="s">
        <v>678</v>
      </c>
      <c r="D322" s="414" t="s">
        <v>4397</v>
      </c>
      <c r="E322" s="407" t="s">
        <v>9246</v>
      </c>
      <c r="F322" s="483"/>
      <c r="G322" s="483"/>
      <c r="H322" s="411"/>
      <c r="I322" s="411"/>
      <c r="J322" s="411"/>
      <c r="K322" s="411"/>
      <c r="L322" s="608" t="s">
        <v>4884</v>
      </c>
      <c r="M322" s="409">
        <v>4963.7204724409457</v>
      </c>
      <c r="N322" s="409">
        <v>4963.7204724409457</v>
      </c>
      <c r="O322" s="410" t="s">
        <v>7569</v>
      </c>
      <c r="P322" s="406">
        <v>319</v>
      </c>
      <c r="Q322" s="470" t="s">
        <v>678</v>
      </c>
      <c r="R322" s="460" t="s">
        <v>679</v>
      </c>
      <c r="S322" s="270" t="s">
        <v>32</v>
      </c>
      <c r="U322" s="471">
        <v>1</v>
      </c>
      <c r="V322" s="471"/>
      <c r="W322" s="471" t="s">
        <v>679</v>
      </c>
      <c r="X322" s="471">
        <v>0</v>
      </c>
      <c r="Y322" s="206"/>
      <c r="Z322" s="206"/>
    </row>
    <row r="323" spans="1:26">
      <c r="A323" s="406">
        <v>320</v>
      </c>
      <c r="B323" s="613" t="s">
        <v>6237</v>
      </c>
      <c r="C323" s="288" t="s">
        <v>680</v>
      </c>
      <c r="D323" s="414" t="s">
        <v>4363</v>
      </c>
      <c r="E323" s="407" t="s">
        <v>9247</v>
      </c>
      <c r="F323" s="483"/>
      <c r="G323" s="483"/>
      <c r="H323" s="411"/>
      <c r="I323" s="411"/>
      <c r="J323" s="411"/>
      <c r="K323" s="411"/>
      <c r="L323" s="608" t="s">
        <v>4884</v>
      </c>
      <c r="M323" s="409">
        <v>5079.0039370078739</v>
      </c>
      <c r="N323" s="409">
        <v>5079.0039370078739</v>
      </c>
      <c r="O323" s="410" t="s">
        <v>7572</v>
      </c>
      <c r="P323" s="406">
        <v>320</v>
      </c>
      <c r="Q323" s="470" t="s">
        <v>680</v>
      </c>
      <c r="R323" s="460" t="s">
        <v>681</v>
      </c>
      <c r="S323" s="270" t="s">
        <v>32</v>
      </c>
      <c r="U323" s="471">
        <v>1</v>
      </c>
      <c r="V323" s="471"/>
      <c r="W323" s="471" t="s">
        <v>681</v>
      </c>
      <c r="X323" s="471">
        <v>0</v>
      </c>
      <c r="Y323" s="206"/>
      <c r="Z323" s="206"/>
    </row>
    <row r="324" spans="1:26">
      <c r="A324" s="406">
        <v>321</v>
      </c>
      <c r="B324" s="613" t="s">
        <v>6239</v>
      </c>
      <c r="C324" s="288" t="s">
        <v>682</v>
      </c>
      <c r="D324" s="414" t="s">
        <v>4359</v>
      </c>
      <c r="E324" s="407" t="s">
        <v>9248</v>
      </c>
      <c r="F324" s="483"/>
      <c r="G324" s="483"/>
      <c r="H324" s="411"/>
      <c r="I324" s="411"/>
      <c r="J324" s="411"/>
      <c r="K324" s="411"/>
      <c r="L324" s="608" t="s">
        <v>4884</v>
      </c>
      <c r="M324" s="409">
        <v>5590.9606299212601</v>
      </c>
      <c r="N324" s="409">
        <v>5590.9606299212601</v>
      </c>
      <c r="O324" s="410" t="s">
        <v>7572</v>
      </c>
      <c r="P324" s="406">
        <v>321</v>
      </c>
      <c r="Q324" s="470" t="s">
        <v>682</v>
      </c>
      <c r="R324" s="460" t="s">
        <v>683</v>
      </c>
      <c r="S324" s="270" t="s">
        <v>32</v>
      </c>
      <c r="U324" s="471">
        <v>1</v>
      </c>
      <c r="V324" s="471"/>
      <c r="W324" s="471" t="s">
        <v>683</v>
      </c>
      <c r="X324" s="471">
        <v>0</v>
      </c>
      <c r="Y324" s="206"/>
      <c r="Z324" s="206"/>
    </row>
    <row r="325" spans="1:26">
      <c r="A325" s="406">
        <v>322</v>
      </c>
      <c r="B325" s="613" t="s">
        <v>6245</v>
      </c>
      <c r="C325" s="288" t="s">
        <v>684</v>
      </c>
      <c r="D325" s="414" t="s">
        <v>4323</v>
      </c>
      <c r="E325" s="407" t="s">
        <v>9249</v>
      </c>
      <c r="F325" s="483"/>
      <c r="G325" s="483"/>
      <c r="H325" s="411"/>
      <c r="I325" s="411"/>
      <c r="J325" s="411"/>
      <c r="K325" s="411"/>
      <c r="L325" s="608" t="s">
        <v>4884</v>
      </c>
      <c r="M325" s="409">
        <v>4687.3307086614177</v>
      </c>
      <c r="N325" s="409">
        <v>4687.3307086614177</v>
      </c>
      <c r="O325" s="410" t="s">
        <v>7572</v>
      </c>
      <c r="P325" s="406">
        <v>322</v>
      </c>
      <c r="Q325" s="470" t="s">
        <v>684</v>
      </c>
      <c r="R325" s="460" t="s">
        <v>685</v>
      </c>
      <c r="S325" s="270" t="s">
        <v>32</v>
      </c>
      <c r="U325" s="471">
        <v>1</v>
      </c>
      <c r="V325" s="471"/>
      <c r="W325" s="471" t="s">
        <v>685</v>
      </c>
      <c r="X325" s="471">
        <v>0</v>
      </c>
      <c r="Y325" s="206"/>
      <c r="Z325" s="206"/>
    </row>
    <row r="326" spans="1:26">
      <c r="A326" s="406">
        <v>323</v>
      </c>
      <c r="B326" s="613" t="s">
        <v>6199</v>
      </c>
      <c r="C326" s="288" t="s">
        <v>686</v>
      </c>
      <c r="D326" s="414" t="s">
        <v>4303</v>
      </c>
      <c r="E326" s="407" t="s">
        <v>9250</v>
      </c>
      <c r="F326" s="483"/>
      <c r="G326" s="483"/>
      <c r="H326" s="483"/>
      <c r="I326" s="483"/>
      <c r="J326" s="483"/>
      <c r="K326" s="483"/>
      <c r="L326" s="608" t="s">
        <v>4884</v>
      </c>
      <c r="M326" s="409">
        <v>6066.4803149606305</v>
      </c>
      <c r="N326" s="409">
        <v>6066.4803149606305</v>
      </c>
      <c r="O326" s="410" t="s">
        <v>7572</v>
      </c>
      <c r="P326" s="406">
        <v>323</v>
      </c>
      <c r="Q326" s="470" t="s">
        <v>686</v>
      </c>
      <c r="R326" s="460" t="s">
        <v>687</v>
      </c>
      <c r="S326" s="270" t="s">
        <v>32</v>
      </c>
      <c r="U326" s="471">
        <v>1</v>
      </c>
      <c r="V326" s="471"/>
      <c r="W326" s="471" t="s">
        <v>687</v>
      </c>
      <c r="X326" s="471">
        <v>0</v>
      </c>
      <c r="Y326" s="206"/>
      <c r="Z326" s="206"/>
    </row>
    <row r="327" spans="1:26">
      <c r="A327" s="406">
        <v>324</v>
      </c>
      <c r="B327" s="613" t="s">
        <v>6205</v>
      </c>
      <c r="C327" s="288" t="s">
        <v>688</v>
      </c>
      <c r="D327" s="414" t="s">
        <v>4253</v>
      </c>
      <c r="E327" s="407" t="s">
        <v>9251</v>
      </c>
      <c r="F327" s="483"/>
      <c r="G327" s="483"/>
      <c r="H327" s="483"/>
      <c r="I327" s="483"/>
      <c r="J327" s="483"/>
      <c r="K327" s="483"/>
      <c r="L327" s="608" t="s">
        <v>4884</v>
      </c>
      <c r="M327" s="409">
        <v>5200.7362204724413</v>
      </c>
      <c r="N327" s="409">
        <v>5200.7362204724413</v>
      </c>
      <c r="O327" s="410" t="s">
        <v>7573</v>
      </c>
      <c r="P327" s="406">
        <v>324</v>
      </c>
      <c r="Q327" s="470" t="s">
        <v>688</v>
      </c>
      <c r="R327" s="460" t="s">
        <v>689</v>
      </c>
      <c r="S327" s="270" t="s">
        <v>32</v>
      </c>
      <c r="U327" s="471">
        <v>1</v>
      </c>
      <c r="V327" s="471"/>
      <c r="W327" s="471" t="s">
        <v>689</v>
      </c>
      <c r="X327" s="471">
        <v>0</v>
      </c>
      <c r="Y327" s="206"/>
      <c r="Z327" s="206"/>
    </row>
    <row r="328" spans="1:26">
      <c r="A328" s="406">
        <v>325</v>
      </c>
      <c r="B328" s="613" t="s">
        <v>6207</v>
      </c>
      <c r="C328" s="288" t="s">
        <v>690</v>
      </c>
      <c r="D328" s="414" t="s">
        <v>4244</v>
      </c>
      <c r="E328" s="407" t="s">
        <v>9252</v>
      </c>
      <c r="F328" s="483"/>
      <c r="G328" s="483"/>
      <c r="H328" s="483"/>
      <c r="I328" s="483"/>
      <c r="J328" s="483"/>
      <c r="K328" s="483"/>
      <c r="L328" s="608" t="s">
        <v>4884</v>
      </c>
      <c r="M328" s="409">
        <v>6182.0669291338581</v>
      </c>
      <c r="N328" s="409">
        <v>6182.0669291338581</v>
      </c>
      <c r="O328" s="410" t="s">
        <v>7575</v>
      </c>
      <c r="P328" s="406">
        <v>325</v>
      </c>
      <c r="Q328" s="470" t="s">
        <v>690</v>
      </c>
      <c r="R328" s="460" t="s">
        <v>691</v>
      </c>
      <c r="S328" s="270" t="s">
        <v>32</v>
      </c>
      <c r="U328" s="471">
        <v>1</v>
      </c>
      <c r="V328" s="471"/>
      <c r="W328" s="471" t="s">
        <v>691</v>
      </c>
      <c r="X328" s="471">
        <v>0</v>
      </c>
      <c r="Y328" s="206"/>
      <c r="Z328" s="206"/>
    </row>
    <row r="329" spans="1:26">
      <c r="A329" s="406">
        <v>326</v>
      </c>
      <c r="B329" s="613" t="s">
        <v>6233</v>
      </c>
      <c r="C329" s="288" t="s">
        <v>692</v>
      </c>
      <c r="D329" s="414" t="s">
        <v>4449</v>
      </c>
      <c r="E329" s="407" t="s">
        <v>9253</v>
      </c>
      <c r="F329" s="483"/>
      <c r="G329" s="483"/>
      <c r="H329" s="483"/>
      <c r="I329" s="483"/>
      <c r="J329" s="483"/>
      <c r="K329" s="483"/>
      <c r="L329" s="608" t="s">
        <v>4884</v>
      </c>
      <c r="M329" s="409">
        <v>7167.8346456692916</v>
      </c>
      <c r="N329" s="409">
        <v>7167.8346456692916</v>
      </c>
      <c r="O329" s="410" t="s">
        <v>7572</v>
      </c>
      <c r="P329" s="406">
        <v>326</v>
      </c>
      <c r="Q329" s="470" t="s">
        <v>692</v>
      </c>
      <c r="R329" s="460" t="s">
        <v>693</v>
      </c>
      <c r="S329" s="270" t="s">
        <v>32</v>
      </c>
      <c r="U329" s="471">
        <v>1</v>
      </c>
      <c r="V329" s="471"/>
      <c r="W329" s="471" t="s">
        <v>693</v>
      </c>
      <c r="X329" s="471">
        <v>0</v>
      </c>
      <c r="Y329" s="206"/>
      <c r="Z329" s="206"/>
    </row>
    <row r="330" spans="1:26">
      <c r="A330" s="406">
        <v>327</v>
      </c>
      <c r="B330" s="613" t="s">
        <v>6235</v>
      </c>
      <c r="C330" s="288" t="s">
        <v>694</v>
      </c>
      <c r="D330" s="414" t="s">
        <v>4450</v>
      </c>
      <c r="E330" s="407" t="s">
        <v>9254</v>
      </c>
      <c r="F330" s="483"/>
      <c r="G330" s="483"/>
      <c r="H330" s="483"/>
      <c r="I330" s="483"/>
      <c r="J330" s="483"/>
      <c r="K330" s="483"/>
      <c r="L330" s="608" t="s">
        <v>4884</v>
      </c>
      <c r="M330" s="409">
        <v>6732.7834645669291</v>
      </c>
      <c r="N330" s="409">
        <v>6732.7834645669291</v>
      </c>
      <c r="O330" s="410" t="s">
        <v>7576</v>
      </c>
      <c r="P330" s="406">
        <v>327</v>
      </c>
      <c r="Q330" s="470" t="s">
        <v>694</v>
      </c>
      <c r="R330" s="460" t="s">
        <v>695</v>
      </c>
      <c r="S330" s="270" t="s">
        <v>32</v>
      </c>
      <c r="U330" s="471">
        <v>1</v>
      </c>
      <c r="V330" s="471"/>
      <c r="W330" s="471" t="s">
        <v>695</v>
      </c>
      <c r="X330" s="471">
        <v>0</v>
      </c>
      <c r="Y330" s="206"/>
      <c r="Z330" s="206"/>
    </row>
    <row r="331" spans="1:26">
      <c r="A331" s="406">
        <v>328</v>
      </c>
      <c r="B331" s="613" t="s">
        <v>6241</v>
      </c>
      <c r="C331" s="288" t="s">
        <v>696</v>
      </c>
      <c r="D331" s="414" t="s">
        <v>4387</v>
      </c>
      <c r="E331" s="407" t="s">
        <v>9255</v>
      </c>
      <c r="F331" s="483"/>
      <c r="G331" s="483"/>
      <c r="H331" s="483"/>
      <c r="I331" s="483"/>
      <c r="J331" s="483"/>
      <c r="K331" s="483"/>
      <c r="L331" s="608" t="s">
        <v>4884</v>
      </c>
      <c r="M331" s="409">
        <v>5593.0196850393704</v>
      </c>
      <c r="N331" s="409">
        <v>5593.0196850393704</v>
      </c>
      <c r="O331" s="410" t="s">
        <v>7572</v>
      </c>
      <c r="P331" s="406">
        <v>328</v>
      </c>
      <c r="Q331" s="470" t="s">
        <v>696</v>
      </c>
      <c r="R331" s="460" t="s">
        <v>697</v>
      </c>
      <c r="S331" s="270" t="s">
        <v>32</v>
      </c>
      <c r="U331" s="471">
        <v>1</v>
      </c>
      <c r="V331" s="471"/>
      <c r="W331" s="471" t="s">
        <v>697</v>
      </c>
      <c r="X331" s="471">
        <v>0</v>
      </c>
      <c r="Y331" s="206"/>
      <c r="Z331" s="206"/>
    </row>
    <row r="332" spans="1:26">
      <c r="A332" s="406">
        <v>329</v>
      </c>
      <c r="B332" s="613" t="s">
        <v>6243</v>
      </c>
      <c r="C332" s="288" t="s">
        <v>698</v>
      </c>
      <c r="D332" s="414" t="s">
        <v>4392</v>
      </c>
      <c r="E332" s="407" t="s">
        <v>9256</v>
      </c>
      <c r="F332" s="483"/>
      <c r="G332" s="483"/>
      <c r="H332" s="483"/>
      <c r="I332" s="483"/>
      <c r="J332" s="483"/>
      <c r="K332" s="483"/>
      <c r="L332" s="608" t="s">
        <v>4884</v>
      </c>
      <c r="M332" s="409">
        <v>5554.3818897637793</v>
      </c>
      <c r="N332" s="409">
        <v>5554.3818897637793</v>
      </c>
      <c r="O332" s="410" t="s">
        <v>7576</v>
      </c>
      <c r="P332" s="406">
        <v>329</v>
      </c>
      <c r="Q332" s="470" t="s">
        <v>698</v>
      </c>
      <c r="R332" s="460" t="s">
        <v>699</v>
      </c>
      <c r="S332" s="270" t="s">
        <v>32</v>
      </c>
      <c r="U332" s="471">
        <v>1</v>
      </c>
      <c r="V332" s="471"/>
      <c r="W332" s="471" t="s">
        <v>699</v>
      </c>
      <c r="X332" s="471">
        <v>0</v>
      </c>
      <c r="Y332" s="206"/>
      <c r="Z332" s="206"/>
    </row>
    <row r="333" spans="1:26">
      <c r="A333" s="406">
        <v>330</v>
      </c>
      <c r="B333" s="613" t="s">
        <v>6201</v>
      </c>
      <c r="C333" s="288" t="s">
        <v>700</v>
      </c>
      <c r="D333" s="414" t="s">
        <v>4297</v>
      </c>
      <c r="E333" s="407" t="s">
        <v>9257</v>
      </c>
      <c r="F333" s="483"/>
      <c r="G333" s="483"/>
      <c r="H333" s="483"/>
      <c r="I333" s="483"/>
      <c r="J333" s="483"/>
      <c r="K333" s="483"/>
      <c r="L333" s="608" t="s">
        <v>4884</v>
      </c>
      <c r="M333" s="409">
        <v>5316.9921259842522</v>
      </c>
      <c r="N333" s="409">
        <v>5316.9921259842522</v>
      </c>
      <c r="O333" s="410" t="s">
        <v>7573</v>
      </c>
      <c r="P333" s="406">
        <v>330</v>
      </c>
      <c r="Q333" s="470" t="s">
        <v>700</v>
      </c>
      <c r="R333" s="460" t="s">
        <v>701</v>
      </c>
      <c r="S333" s="270" t="s">
        <v>32</v>
      </c>
      <c r="U333" s="471">
        <v>1</v>
      </c>
      <c r="V333" s="471"/>
      <c r="W333" s="471" t="s">
        <v>701</v>
      </c>
      <c r="X333" s="471">
        <v>0</v>
      </c>
      <c r="Y333" s="206"/>
      <c r="Z333" s="206"/>
    </row>
    <row r="334" spans="1:26">
      <c r="A334" s="406">
        <v>331</v>
      </c>
      <c r="B334" s="613" t="s">
        <v>6203</v>
      </c>
      <c r="C334" s="288" t="s">
        <v>702</v>
      </c>
      <c r="D334" s="414" t="s">
        <v>4290</v>
      </c>
      <c r="E334" s="407" t="s">
        <v>9258</v>
      </c>
      <c r="F334" s="483"/>
      <c r="G334" s="483"/>
      <c r="H334" s="483"/>
      <c r="I334" s="483"/>
      <c r="J334" s="483"/>
      <c r="K334" s="483"/>
      <c r="L334" s="608" t="s">
        <v>4884</v>
      </c>
      <c r="M334" s="409">
        <v>6377.3622047244098</v>
      </c>
      <c r="N334" s="409">
        <v>6377.3622047244098</v>
      </c>
      <c r="O334" s="410" t="s">
        <v>7574</v>
      </c>
      <c r="P334" s="406">
        <v>331</v>
      </c>
      <c r="Q334" s="470" t="s">
        <v>702</v>
      </c>
      <c r="R334" s="460" t="s">
        <v>703</v>
      </c>
      <c r="S334" s="270" t="s">
        <v>32</v>
      </c>
      <c r="U334" s="471">
        <v>1</v>
      </c>
      <c r="V334" s="471"/>
      <c r="W334" s="471" t="s">
        <v>703</v>
      </c>
      <c r="X334" s="471">
        <v>0</v>
      </c>
      <c r="Y334" s="206"/>
      <c r="Z334" s="206"/>
    </row>
    <row r="335" spans="1:26">
      <c r="A335" s="406">
        <v>332</v>
      </c>
      <c r="B335" s="613" t="s">
        <v>6209</v>
      </c>
      <c r="C335" s="288" t="s">
        <v>704</v>
      </c>
      <c r="D335" s="414" t="s">
        <v>4261</v>
      </c>
      <c r="E335" s="407" t="s">
        <v>9259</v>
      </c>
      <c r="F335" s="483"/>
      <c r="G335" s="483"/>
      <c r="H335" s="483"/>
      <c r="I335" s="483"/>
      <c r="J335" s="483"/>
      <c r="K335" s="483"/>
      <c r="L335" s="608" t="s">
        <v>4884</v>
      </c>
      <c r="M335" s="409">
        <v>5199.389763779528</v>
      </c>
      <c r="N335" s="409">
        <v>5199.389763779528</v>
      </c>
      <c r="O335" s="410" t="s">
        <v>7576</v>
      </c>
      <c r="P335" s="406">
        <v>332</v>
      </c>
      <c r="Q335" s="470" t="s">
        <v>704</v>
      </c>
      <c r="R335" s="460" t="s">
        <v>705</v>
      </c>
      <c r="S335" s="270" t="s">
        <v>32</v>
      </c>
      <c r="U335" s="471">
        <v>1</v>
      </c>
      <c r="V335" s="471"/>
      <c r="W335" s="471" t="s">
        <v>705</v>
      </c>
      <c r="X335" s="471">
        <v>0</v>
      </c>
      <c r="Y335" s="206"/>
      <c r="Z335" s="206"/>
    </row>
    <row r="336" spans="1:26">
      <c r="A336" s="406">
        <v>333</v>
      </c>
      <c r="B336" s="613" t="s">
        <v>6211</v>
      </c>
      <c r="C336" s="288" t="s">
        <v>706</v>
      </c>
      <c r="D336" s="414" t="s">
        <v>4266</v>
      </c>
      <c r="E336" s="407" t="s">
        <v>9260</v>
      </c>
      <c r="F336" s="483"/>
      <c r="G336" s="483"/>
      <c r="H336" s="483"/>
      <c r="I336" s="483"/>
      <c r="J336" s="483"/>
      <c r="K336" s="483"/>
      <c r="L336" s="608" t="s">
        <v>4884</v>
      </c>
      <c r="M336" s="409">
        <v>6301.7047244094492</v>
      </c>
      <c r="N336" s="409">
        <v>6301.7047244094492</v>
      </c>
      <c r="O336" s="410" t="s">
        <v>7576</v>
      </c>
      <c r="P336" s="406">
        <v>333</v>
      </c>
      <c r="Q336" s="470" t="s">
        <v>706</v>
      </c>
      <c r="R336" s="460" t="s">
        <v>707</v>
      </c>
      <c r="S336" s="270" t="s">
        <v>32</v>
      </c>
      <c r="U336" s="471">
        <v>1</v>
      </c>
      <c r="V336" s="471"/>
      <c r="W336" s="471" t="s">
        <v>707</v>
      </c>
      <c r="X336" s="471">
        <v>0</v>
      </c>
    </row>
    <row r="337" spans="1:26">
      <c r="A337" s="406">
        <v>334</v>
      </c>
      <c r="B337" s="613" t="s">
        <v>4971</v>
      </c>
      <c r="C337" s="288" t="s">
        <v>708</v>
      </c>
      <c r="D337" s="414" t="s">
        <v>4457</v>
      </c>
      <c r="E337" s="407" t="s">
        <v>9261</v>
      </c>
      <c r="F337" s="483" t="s">
        <v>4970</v>
      </c>
      <c r="G337" s="483" t="s">
        <v>4973</v>
      </c>
      <c r="H337" s="411" t="s">
        <v>4972</v>
      </c>
      <c r="I337" s="411"/>
      <c r="J337" s="411"/>
      <c r="K337" s="411"/>
      <c r="L337" s="608">
        <v>11312.614173228347</v>
      </c>
      <c r="M337" s="409">
        <v>460.1692913385827</v>
      </c>
      <c r="N337" s="409">
        <v>11772.78346456693</v>
      </c>
      <c r="O337" s="410" t="s">
        <v>7765</v>
      </c>
      <c r="P337" s="406">
        <v>334</v>
      </c>
      <c r="Q337" s="470" t="s">
        <v>708</v>
      </c>
      <c r="R337" s="460" t="s">
        <v>709</v>
      </c>
      <c r="S337" s="270" t="s">
        <v>32</v>
      </c>
      <c r="U337" s="466">
        <v>1</v>
      </c>
      <c r="V337" s="471"/>
      <c r="W337" s="471" t="s">
        <v>709</v>
      </c>
      <c r="X337" s="471">
        <v>0</v>
      </c>
    </row>
    <row r="338" spans="1:26">
      <c r="A338" s="406">
        <v>335</v>
      </c>
      <c r="B338" s="613" t="s">
        <v>6247</v>
      </c>
      <c r="C338" s="288" t="s">
        <v>710</v>
      </c>
      <c r="D338" s="414" t="s">
        <v>3756</v>
      </c>
      <c r="E338" s="407" t="s">
        <v>9262</v>
      </c>
      <c r="F338" s="483"/>
      <c r="G338" s="483"/>
      <c r="H338" s="483"/>
      <c r="I338" s="483"/>
      <c r="J338" s="483"/>
      <c r="K338" s="483"/>
      <c r="L338" s="608" t="s">
        <v>4884</v>
      </c>
      <c r="M338" s="409">
        <v>9157.78346456693</v>
      </c>
      <c r="N338" s="409">
        <v>9157.78346456693</v>
      </c>
      <c r="O338" s="410" t="s">
        <v>7573</v>
      </c>
      <c r="P338" s="406">
        <v>335</v>
      </c>
      <c r="Q338" s="470" t="s">
        <v>710</v>
      </c>
      <c r="R338" s="460" t="s">
        <v>711</v>
      </c>
      <c r="S338" s="270" t="s">
        <v>7</v>
      </c>
      <c r="U338" s="471">
        <v>0</v>
      </c>
      <c r="V338" s="471">
        <v>0</v>
      </c>
      <c r="W338" s="479" t="s">
        <v>711</v>
      </c>
      <c r="X338" s="471">
        <v>1</v>
      </c>
    </row>
    <row r="339" spans="1:26">
      <c r="A339" s="406">
        <v>336</v>
      </c>
      <c r="B339" s="613" t="s">
        <v>6248</v>
      </c>
      <c r="C339" s="288" t="s">
        <v>712</v>
      </c>
      <c r="D339" s="414" t="s">
        <v>3753</v>
      </c>
      <c r="E339" s="407" t="s">
        <v>9263</v>
      </c>
      <c r="F339" s="483"/>
      <c r="G339" s="483"/>
      <c r="H339" s="483"/>
      <c r="I339" s="483"/>
      <c r="J339" s="483"/>
      <c r="K339" s="483"/>
      <c r="L339" s="608" t="s">
        <v>4884</v>
      </c>
      <c r="M339" s="409">
        <v>8391.1338582677181</v>
      </c>
      <c r="N339" s="409">
        <v>8391.1338582677181</v>
      </c>
      <c r="O339" s="410" t="s">
        <v>7575</v>
      </c>
      <c r="P339" s="406">
        <v>336</v>
      </c>
      <c r="Q339" s="470" t="s">
        <v>712</v>
      </c>
      <c r="R339" s="460" t="s">
        <v>713</v>
      </c>
      <c r="S339" s="270" t="s">
        <v>7</v>
      </c>
      <c r="U339" s="471"/>
      <c r="V339" s="471"/>
      <c r="W339" s="471" t="s">
        <v>713</v>
      </c>
      <c r="X339" s="471">
        <v>1</v>
      </c>
    </row>
    <row r="340" spans="1:26">
      <c r="A340" s="406">
        <v>337</v>
      </c>
      <c r="B340" s="613" t="s">
        <v>7020</v>
      </c>
      <c r="C340" s="288" t="s">
        <v>714</v>
      </c>
      <c r="D340" s="414" t="s">
        <v>4884</v>
      </c>
      <c r="E340" s="407"/>
      <c r="F340" s="483"/>
      <c r="G340" s="483"/>
      <c r="H340" s="483"/>
      <c r="I340" s="483"/>
      <c r="J340" s="483"/>
      <c r="K340" s="483"/>
      <c r="L340" s="608" t="s">
        <v>4884</v>
      </c>
      <c r="M340" s="409" t="s">
        <v>4884</v>
      </c>
      <c r="N340" s="409" t="s">
        <v>4884</v>
      </c>
      <c r="O340" s="410" t="s">
        <v>4884</v>
      </c>
      <c r="P340" s="406">
        <v>337</v>
      </c>
      <c r="Q340" s="470" t="s">
        <v>714</v>
      </c>
      <c r="R340" s="475" t="s">
        <v>715</v>
      </c>
      <c r="S340" s="270" t="s">
        <v>716</v>
      </c>
      <c r="U340" s="471"/>
      <c r="V340" s="471">
        <v>0</v>
      </c>
      <c r="W340" s="471"/>
      <c r="X340" s="471"/>
      <c r="Z340" s="270" t="s">
        <v>717</v>
      </c>
    </row>
    <row r="341" spans="1:26">
      <c r="A341" s="406">
        <v>338</v>
      </c>
      <c r="B341" s="613" t="s">
        <v>7020</v>
      </c>
      <c r="C341" s="288" t="s">
        <v>718</v>
      </c>
      <c r="D341" s="414" t="s">
        <v>4884</v>
      </c>
      <c r="E341" s="407"/>
      <c r="F341" s="483"/>
      <c r="G341" s="483"/>
      <c r="H341" s="483"/>
      <c r="I341" s="483"/>
      <c r="J341" s="483"/>
      <c r="K341" s="483"/>
      <c r="L341" s="608" t="s">
        <v>4884</v>
      </c>
      <c r="M341" s="409" t="s">
        <v>4884</v>
      </c>
      <c r="N341" s="409" t="s">
        <v>4884</v>
      </c>
      <c r="O341" s="410" t="s">
        <v>4884</v>
      </c>
      <c r="P341" s="406">
        <v>338</v>
      </c>
      <c r="Q341" s="470" t="s">
        <v>718</v>
      </c>
      <c r="R341" s="475" t="s">
        <v>719</v>
      </c>
      <c r="S341" s="270" t="s">
        <v>716</v>
      </c>
      <c r="U341" s="471"/>
      <c r="V341" s="471">
        <v>0</v>
      </c>
      <c r="W341" s="471"/>
      <c r="X341" s="471"/>
      <c r="Z341" s="270" t="s">
        <v>717</v>
      </c>
    </row>
    <row r="342" spans="1:26">
      <c r="A342" s="406">
        <v>339</v>
      </c>
      <c r="B342" s="613" t="s">
        <v>6222</v>
      </c>
      <c r="C342" s="288" t="s">
        <v>720</v>
      </c>
      <c r="D342" s="414" t="s">
        <v>4443</v>
      </c>
      <c r="E342" s="407" t="s">
        <v>9264</v>
      </c>
      <c r="F342" s="483"/>
      <c r="G342" s="483"/>
      <c r="H342" s="483"/>
      <c r="I342" s="483"/>
      <c r="J342" s="483"/>
      <c r="K342" s="483"/>
      <c r="L342" s="608" t="s">
        <v>4884</v>
      </c>
      <c r="M342" s="409">
        <v>5313.7047244094483</v>
      </c>
      <c r="N342" s="409">
        <v>5313.7047244094483</v>
      </c>
      <c r="O342" s="410" t="s">
        <v>7569</v>
      </c>
      <c r="P342" s="406">
        <v>339</v>
      </c>
      <c r="Q342" s="470" t="s">
        <v>720</v>
      </c>
      <c r="R342" s="460" t="s">
        <v>721</v>
      </c>
      <c r="S342" s="270" t="s">
        <v>32</v>
      </c>
      <c r="U342" s="471">
        <v>1</v>
      </c>
      <c r="V342" s="471"/>
      <c r="W342" s="471" t="s">
        <v>721</v>
      </c>
      <c r="X342" s="471">
        <v>0</v>
      </c>
    </row>
    <row r="343" spans="1:26">
      <c r="A343" s="406">
        <v>340</v>
      </c>
      <c r="B343" s="613" t="s">
        <v>6223</v>
      </c>
      <c r="C343" s="288" t="s">
        <v>722</v>
      </c>
      <c r="D343" s="414" t="s">
        <v>4441</v>
      </c>
      <c r="E343" s="407" t="s">
        <v>9265</v>
      </c>
      <c r="F343" s="483"/>
      <c r="G343" s="483"/>
      <c r="H343" s="483"/>
      <c r="I343" s="483"/>
      <c r="J343" s="483"/>
      <c r="K343" s="483"/>
      <c r="L343" s="608" t="s">
        <v>4884</v>
      </c>
      <c r="M343" s="409">
        <v>5313.9803149606305</v>
      </c>
      <c r="N343" s="409">
        <v>5313.9803149606305</v>
      </c>
      <c r="O343" s="410" t="s">
        <v>7569</v>
      </c>
      <c r="P343" s="406">
        <v>340</v>
      </c>
      <c r="Q343" s="470" t="s">
        <v>722</v>
      </c>
      <c r="R343" s="460" t="s">
        <v>723</v>
      </c>
      <c r="S343" s="270" t="s">
        <v>32</v>
      </c>
      <c r="U343" s="471">
        <v>1</v>
      </c>
      <c r="V343" s="471"/>
      <c r="W343" s="471" t="s">
        <v>723</v>
      </c>
      <c r="X343" s="471">
        <v>0</v>
      </c>
    </row>
    <row r="344" spans="1:26">
      <c r="A344" s="406">
        <v>341</v>
      </c>
      <c r="B344" s="613" t="s">
        <v>6552</v>
      </c>
      <c r="C344" s="288" t="s">
        <v>724</v>
      </c>
      <c r="D344" s="414" t="s">
        <v>4324</v>
      </c>
      <c r="E344" s="407" t="s">
        <v>9266</v>
      </c>
      <c r="F344" s="483"/>
      <c r="G344" s="483"/>
      <c r="H344" s="483"/>
      <c r="I344" s="483"/>
      <c r="J344" s="483"/>
      <c r="K344" s="483"/>
      <c r="L344" s="608" t="s">
        <v>4884</v>
      </c>
      <c r="M344" s="409">
        <v>5314.1850393700788</v>
      </c>
      <c r="N344" s="409">
        <v>5314.1850393700788</v>
      </c>
      <c r="O344" s="410" t="s">
        <v>7574</v>
      </c>
      <c r="P344" s="406">
        <v>341</v>
      </c>
      <c r="Q344" s="470" t="s">
        <v>724</v>
      </c>
      <c r="R344" s="460" t="s">
        <v>725</v>
      </c>
      <c r="S344" s="270" t="s">
        <v>32</v>
      </c>
      <c r="U344" s="471">
        <v>1</v>
      </c>
      <c r="V344" s="471"/>
      <c r="W344" s="471" t="s">
        <v>725</v>
      </c>
      <c r="X344" s="471">
        <v>0</v>
      </c>
    </row>
    <row r="345" spans="1:26">
      <c r="A345" s="406">
        <v>342</v>
      </c>
      <c r="B345" s="613" t="s">
        <v>6214</v>
      </c>
      <c r="C345" s="288" t="s">
        <v>726</v>
      </c>
      <c r="D345" s="414" t="s">
        <v>4444</v>
      </c>
      <c r="E345" s="407" t="s">
        <v>9267</v>
      </c>
      <c r="F345" s="483"/>
      <c r="G345" s="483"/>
      <c r="H345" s="483"/>
      <c r="I345" s="483"/>
      <c r="J345" s="483"/>
      <c r="K345" s="483"/>
      <c r="L345" s="608" t="s">
        <v>4884</v>
      </c>
      <c r="M345" s="409">
        <v>5314.464566929134</v>
      </c>
      <c r="N345" s="409">
        <v>5314.464566929134</v>
      </c>
      <c r="O345" s="410" t="s">
        <v>7569</v>
      </c>
      <c r="P345" s="406">
        <v>342</v>
      </c>
      <c r="Q345" s="470" t="s">
        <v>726</v>
      </c>
      <c r="R345" s="460" t="s">
        <v>727</v>
      </c>
      <c r="S345" s="270" t="s">
        <v>32</v>
      </c>
      <c r="U345" s="471">
        <v>1</v>
      </c>
      <c r="V345" s="471"/>
      <c r="W345" s="471" t="s">
        <v>727</v>
      </c>
      <c r="X345" s="471">
        <v>0</v>
      </c>
    </row>
    <row r="346" spans="1:26">
      <c r="A346" s="406">
        <v>343</v>
      </c>
      <c r="B346" s="613" t="s">
        <v>6216</v>
      </c>
      <c r="C346" s="288" t="s">
        <v>728</v>
      </c>
      <c r="D346" s="414" t="s">
        <v>4322</v>
      </c>
      <c r="E346" s="407" t="s">
        <v>9268</v>
      </c>
      <c r="F346" s="483"/>
      <c r="G346" s="483"/>
      <c r="H346" s="483"/>
      <c r="I346" s="483"/>
      <c r="J346" s="483"/>
      <c r="K346" s="483"/>
      <c r="L346" s="608" t="s">
        <v>4884</v>
      </c>
      <c r="M346" s="409">
        <v>5314.8425196850403</v>
      </c>
      <c r="N346" s="409">
        <v>5314.8425196850403</v>
      </c>
      <c r="O346" s="410" t="s">
        <v>7576</v>
      </c>
      <c r="P346" s="406">
        <v>343</v>
      </c>
      <c r="Q346" s="470" t="s">
        <v>728</v>
      </c>
      <c r="R346" s="460" t="s">
        <v>729</v>
      </c>
      <c r="S346" s="270" t="s">
        <v>32</v>
      </c>
      <c r="U346" s="471">
        <v>1</v>
      </c>
      <c r="V346" s="471"/>
      <c r="W346" s="471" t="s">
        <v>729</v>
      </c>
      <c r="X346" s="471">
        <v>0</v>
      </c>
    </row>
    <row r="347" spans="1:26">
      <c r="A347" s="406">
        <v>344</v>
      </c>
      <c r="B347" s="613" t="s">
        <v>6218</v>
      </c>
      <c r="C347" s="288" t="s">
        <v>730</v>
      </c>
      <c r="D347" s="414" t="s">
        <v>4440</v>
      </c>
      <c r="E347" s="407" t="s">
        <v>9269</v>
      </c>
      <c r="F347" s="483"/>
      <c r="G347" s="483"/>
      <c r="H347" s="483"/>
      <c r="I347" s="483"/>
      <c r="J347" s="483"/>
      <c r="K347" s="483"/>
      <c r="L347" s="608" t="s">
        <v>4884</v>
      </c>
      <c r="M347" s="409">
        <v>5313.2401574803152</v>
      </c>
      <c r="N347" s="409">
        <v>5313.2401574803152</v>
      </c>
      <c r="O347" s="410" t="s">
        <v>7569</v>
      </c>
      <c r="P347" s="406">
        <v>344</v>
      </c>
      <c r="Q347" s="470" t="s">
        <v>730</v>
      </c>
      <c r="R347" s="460" t="s">
        <v>731</v>
      </c>
      <c r="S347" s="270" t="s">
        <v>32</v>
      </c>
      <c r="U347" s="471">
        <v>1</v>
      </c>
      <c r="V347" s="471"/>
      <c r="W347" s="471" t="s">
        <v>731</v>
      </c>
      <c r="X347" s="471">
        <v>0</v>
      </c>
    </row>
    <row r="348" spans="1:26">
      <c r="A348" s="406">
        <v>345</v>
      </c>
      <c r="B348" s="613" t="s">
        <v>6220</v>
      </c>
      <c r="C348" s="288" t="s">
        <v>732</v>
      </c>
      <c r="D348" s="414" t="s">
        <v>4348</v>
      </c>
      <c r="E348" s="407" t="s">
        <v>9270</v>
      </c>
      <c r="F348" s="483"/>
      <c r="G348" s="483"/>
      <c r="H348" s="483"/>
      <c r="I348" s="483"/>
      <c r="J348" s="483"/>
      <c r="K348" s="483"/>
      <c r="L348" s="608" t="s">
        <v>4884</v>
      </c>
      <c r="M348" s="409">
        <v>5314.3110236220473</v>
      </c>
      <c r="N348" s="409">
        <v>5314.3110236220473</v>
      </c>
      <c r="O348" s="410" t="s">
        <v>7576</v>
      </c>
      <c r="P348" s="406">
        <v>345</v>
      </c>
      <c r="Q348" s="470" t="s">
        <v>732</v>
      </c>
      <c r="R348" s="460" t="s">
        <v>733</v>
      </c>
      <c r="S348" s="270" t="s">
        <v>32</v>
      </c>
      <c r="U348" s="471">
        <v>1</v>
      </c>
      <c r="V348" s="471"/>
      <c r="W348" s="471" t="s">
        <v>733</v>
      </c>
      <c r="X348" s="471">
        <v>0</v>
      </c>
    </row>
    <row r="349" spans="1:26">
      <c r="A349" s="406">
        <v>346</v>
      </c>
      <c r="B349" s="613" t="s">
        <v>6215</v>
      </c>
      <c r="C349" s="288" t="s">
        <v>734</v>
      </c>
      <c r="D349" s="414" t="s">
        <v>4442</v>
      </c>
      <c r="E349" s="407" t="s">
        <v>9271</v>
      </c>
      <c r="F349" s="483"/>
      <c r="G349" s="483"/>
      <c r="H349" s="483"/>
      <c r="I349" s="483"/>
      <c r="J349" s="483"/>
      <c r="K349" s="483"/>
      <c r="L349" s="608" t="s">
        <v>4884</v>
      </c>
      <c r="M349" s="409">
        <v>5313.8464566929133</v>
      </c>
      <c r="N349" s="409">
        <v>5313.8464566929133</v>
      </c>
      <c r="O349" s="410" t="s">
        <v>7569</v>
      </c>
      <c r="P349" s="406">
        <v>346</v>
      </c>
      <c r="Q349" s="470" t="s">
        <v>734</v>
      </c>
      <c r="R349" s="460" t="s">
        <v>735</v>
      </c>
      <c r="S349" s="270" t="s">
        <v>32</v>
      </c>
      <c r="U349" s="471">
        <v>1</v>
      </c>
      <c r="V349" s="471"/>
      <c r="W349" s="471" t="s">
        <v>735</v>
      </c>
      <c r="X349" s="471">
        <v>0</v>
      </c>
    </row>
    <row r="350" spans="1:26">
      <c r="A350" s="406">
        <v>347</v>
      </c>
      <c r="B350" s="613" t="s">
        <v>6217</v>
      </c>
      <c r="C350" s="288" t="s">
        <v>736</v>
      </c>
      <c r="D350" s="414" t="s">
        <v>4320</v>
      </c>
      <c r="E350" s="407" t="s">
        <v>9272</v>
      </c>
      <c r="F350" s="483"/>
      <c r="G350" s="483"/>
      <c r="H350" s="483"/>
      <c r="I350" s="483"/>
      <c r="J350" s="483"/>
      <c r="K350" s="483"/>
      <c r="L350" s="608" t="s">
        <v>4884</v>
      </c>
      <c r="M350" s="409">
        <v>5314.0393700787399</v>
      </c>
      <c r="N350" s="409">
        <v>5314.0393700787399</v>
      </c>
      <c r="O350" s="410" t="s">
        <v>7576</v>
      </c>
      <c r="P350" s="406">
        <v>347</v>
      </c>
      <c r="Q350" s="470" t="s">
        <v>736</v>
      </c>
      <c r="R350" s="460" t="s">
        <v>737</v>
      </c>
      <c r="S350" s="270" t="s">
        <v>32</v>
      </c>
      <c r="U350" s="471">
        <v>1</v>
      </c>
      <c r="V350" s="471"/>
      <c r="W350" s="471" t="s">
        <v>737</v>
      </c>
      <c r="X350" s="471">
        <v>0</v>
      </c>
    </row>
    <row r="351" spans="1:26">
      <c r="A351" s="406">
        <v>348</v>
      </c>
      <c r="B351" s="613" t="s">
        <v>6219</v>
      </c>
      <c r="C351" s="288" t="s">
        <v>738</v>
      </c>
      <c r="D351" s="414" t="s">
        <v>4439</v>
      </c>
      <c r="E351" s="407" t="s">
        <v>9273</v>
      </c>
      <c r="F351" s="483"/>
      <c r="G351" s="483"/>
      <c r="H351" s="483"/>
      <c r="I351" s="483"/>
      <c r="J351" s="483"/>
      <c r="K351" s="483"/>
      <c r="L351" s="608" t="s">
        <v>4884</v>
      </c>
      <c r="M351" s="409">
        <v>5313.7283464566935</v>
      </c>
      <c r="N351" s="409">
        <v>5313.7283464566935</v>
      </c>
      <c r="O351" s="410" t="s">
        <v>7569</v>
      </c>
      <c r="P351" s="406">
        <v>348</v>
      </c>
      <c r="Q351" s="470" t="s">
        <v>738</v>
      </c>
      <c r="R351" s="460" t="s">
        <v>739</v>
      </c>
      <c r="S351" s="270" t="s">
        <v>32</v>
      </c>
      <c r="U351" s="471">
        <v>1</v>
      </c>
      <c r="V351" s="471"/>
      <c r="W351" s="471" t="s">
        <v>739</v>
      </c>
      <c r="X351" s="471">
        <v>0</v>
      </c>
    </row>
    <row r="352" spans="1:26">
      <c r="A352" s="406">
        <v>349</v>
      </c>
      <c r="B352" s="613" t="s">
        <v>6221</v>
      </c>
      <c r="C352" s="288" t="s">
        <v>740</v>
      </c>
      <c r="D352" s="414" t="s">
        <v>4350</v>
      </c>
      <c r="E352" s="407" t="s">
        <v>9274</v>
      </c>
      <c r="F352" s="483"/>
      <c r="G352" s="483"/>
      <c r="H352" s="483"/>
      <c r="I352" s="483"/>
      <c r="J352" s="483"/>
      <c r="K352" s="483"/>
      <c r="L352" s="608" t="s">
        <v>4884</v>
      </c>
      <c r="M352" s="409">
        <v>5313.3110236220473</v>
      </c>
      <c r="N352" s="409">
        <v>5313.3110236220473</v>
      </c>
      <c r="O352" s="410" t="s">
        <v>7576</v>
      </c>
      <c r="P352" s="406">
        <v>349</v>
      </c>
      <c r="Q352" s="470" t="s">
        <v>740</v>
      </c>
      <c r="R352" s="460" t="s">
        <v>741</v>
      </c>
      <c r="S352" s="270" t="s">
        <v>32</v>
      </c>
      <c r="U352" s="471">
        <v>1</v>
      </c>
      <c r="V352" s="471"/>
      <c r="W352" s="471" t="s">
        <v>741</v>
      </c>
      <c r="X352" s="471">
        <v>0</v>
      </c>
    </row>
    <row r="353" spans="1:26">
      <c r="A353" s="406">
        <v>350</v>
      </c>
      <c r="B353" s="613" t="s">
        <v>7020</v>
      </c>
      <c r="C353" s="288" t="s">
        <v>742</v>
      </c>
      <c r="D353" s="414" t="s">
        <v>4884</v>
      </c>
      <c r="E353" s="407"/>
      <c r="F353" s="483"/>
      <c r="G353" s="483"/>
      <c r="H353" s="483"/>
      <c r="I353" s="483"/>
      <c r="J353" s="483"/>
      <c r="K353" s="483"/>
      <c r="L353" s="608" t="s">
        <v>4884</v>
      </c>
      <c r="M353" s="409" t="s">
        <v>4884</v>
      </c>
      <c r="N353" s="409" t="s">
        <v>4884</v>
      </c>
      <c r="O353" s="410" t="s">
        <v>4884</v>
      </c>
      <c r="P353" s="406">
        <v>350</v>
      </c>
      <c r="Q353" s="470" t="s">
        <v>742</v>
      </c>
      <c r="R353" s="475" t="s">
        <v>743</v>
      </c>
      <c r="S353" s="270" t="s">
        <v>716</v>
      </c>
      <c r="U353" s="471"/>
      <c r="V353" s="471">
        <v>0</v>
      </c>
      <c r="W353" s="471"/>
      <c r="X353" s="471"/>
      <c r="Z353" s="270" t="s">
        <v>717</v>
      </c>
    </row>
    <row r="354" spans="1:26">
      <c r="A354" s="406">
        <v>351</v>
      </c>
      <c r="B354" s="613" t="s">
        <v>7020</v>
      </c>
      <c r="C354" s="288" t="s">
        <v>744</v>
      </c>
      <c r="D354" s="414" t="s">
        <v>4884</v>
      </c>
      <c r="E354" s="407"/>
      <c r="F354" s="483"/>
      <c r="G354" s="483"/>
      <c r="H354" s="483"/>
      <c r="I354" s="483"/>
      <c r="J354" s="483"/>
      <c r="K354" s="483"/>
      <c r="L354" s="608" t="s">
        <v>4884</v>
      </c>
      <c r="M354" s="409" t="s">
        <v>4884</v>
      </c>
      <c r="N354" s="409" t="s">
        <v>4884</v>
      </c>
      <c r="O354" s="410" t="s">
        <v>4884</v>
      </c>
      <c r="P354" s="406">
        <v>351</v>
      </c>
      <c r="Q354" s="470" t="s">
        <v>744</v>
      </c>
      <c r="R354" s="475" t="s">
        <v>745</v>
      </c>
      <c r="S354" s="270" t="s">
        <v>716</v>
      </c>
      <c r="U354" s="471"/>
      <c r="V354" s="471">
        <v>0</v>
      </c>
      <c r="W354" s="471"/>
      <c r="X354" s="471"/>
      <c r="Z354" s="270" t="s">
        <v>717</v>
      </c>
    </row>
    <row r="355" spans="1:26">
      <c r="A355" s="406">
        <v>352</v>
      </c>
      <c r="B355" s="613" t="s">
        <v>7020</v>
      </c>
      <c r="C355" s="288" t="s">
        <v>746</v>
      </c>
      <c r="D355" s="414" t="s">
        <v>4884</v>
      </c>
      <c r="E355" s="407"/>
      <c r="F355" s="483"/>
      <c r="G355" s="483"/>
      <c r="H355" s="483"/>
      <c r="I355" s="483"/>
      <c r="J355" s="483"/>
      <c r="K355" s="483"/>
      <c r="L355" s="608" t="s">
        <v>4884</v>
      </c>
      <c r="M355" s="409" t="s">
        <v>4884</v>
      </c>
      <c r="N355" s="409" t="s">
        <v>4884</v>
      </c>
      <c r="O355" s="410" t="s">
        <v>4884</v>
      </c>
      <c r="P355" s="406">
        <v>352</v>
      </c>
      <c r="Q355" s="470" t="s">
        <v>746</v>
      </c>
      <c r="R355" s="475" t="s">
        <v>747</v>
      </c>
      <c r="S355" s="270" t="s">
        <v>716</v>
      </c>
      <c r="U355" s="471">
        <v>0</v>
      </c>
      <c r="V355" s="471">
        <v>0</v>
      </c>
      <c r="W355" s="471"/>
      <c r="X355" s="471"/>
      <c r="Z355" s="270" t="s">
        <v>717</v>
      </c>
    </row>
    <row r="356" spans="1:26">
      <c r="A356" s="406">
        <v>353</v>
      </c>
      <c r="B356" s="613" t="s">
        <v>7020</v>
      </c>
      <c r="C356" s="288" t="s">
        <v>749</v>
      </c>
      <c r="D356" s="414" t="s">
        <v>4884</v>
      </c>
      <c r="E356" s="407"/>
      <c r="F356" s="483"/>
      <c r="G356" s="483"/>
      <c r="H356" s="483"/>
      <c r="I356" s="483"/>
      <c r="J356" s="483"/>
      <c r="K356" s="483"/>
      <c r="L356" s="608" t="s">
        <v>4884</v>
      </c>
      <c r="M356" s="409" t="s">
        <v>4884</v>
      </c>
      <c r="N356" s="409" t="s">
        <v>4884</v>
      </c>
      <c r="O356" s="410" t="s">
        <v>4884</v>
      </c>
      <c r="P356" s="406">
        <v>353</v>
      </c>
      <c r="Q356" s="470" t="s">
        <v>749</v>
      </c>
      <c r="R356" s="475" t="s">
        <v>750</v>
      </c>
      <c r="S356" s="270" t="s">
        <v>716</v>
      </c>
      <c r="U356" s="471">
        <v>0</v>
      </c>
      <c r="V356" s="471">
        <v>0</v>
      </c>
      <c r="W356" s="471"/>
      <c r="X356" s="471"/>
      <c r="Z356" s="270" t="s">
        <v>717</v>
      </c>
    </row>
    <row r="357" spans="1:26">
      <c r="A357" s="406">
        <v>354</v>
      </c>
      <c r="B357" s="613" t="s">
        <v>7020</v>
      </c>
      <c r="C357" s="288" t="s">
        <v>751</v>
      </c>
      <c r="D357" s="414" t="s">
        <v>4884</v>
      </c>
      <c r="E357" s="407"/>
      <c r="F357" s="483"/>
      <c r="G357" s="483"/>
      <c r="H357" s="483"/>
      <c r="I357" s="483"/>
      <c r="J357" s="483"/>
      <c r="K357" s="483"/>
      <c r="L357" s="608" t="s">
        <v>4884</v>
      </c>
      <c r="M357" s="409" t="s">
        <v>4884</v>
      </c>
      <c r="N357" s="409" t="s">
        <v>4884</v>
      </c>
      <c r="O357" s="410" t="s">
        <v>4884</v>
      </c>
      <c r="P357" s="406">
        <v>354</v>
      </c>
      <c r="Q357" s="470" t="s">
        <v>751</v>
      </c>
      <c r="R357" s="475" t="s">
        <v>752</v>
      </c>
      <c r="S357" s="270" t="s">
        <v>716</v>
      </c>
      <c r="U357" s="471"/>
      <c r="V357" s="471">
        <v>0</v>
      </c>
      <c r="W357" s="471"/>
      <c r="X357" s="471"/>
      <c r="Z357" s="270" t="s">
        <v>717</v>
      </c>
    </row>
    <row r="358" spans="1:26">
      <c r="A358" s="406">
        <v>355</v>
      </c>
      <c r="B358" s="613" t="s">
        <v>7020</v>
      </c>
      <c r="C358" s="288" t="s">
        <v>753</v>
      </c>
      <c r="D358" s="414" t="s">
        <v>4884</v>
      </c>
      <c r="E358" s="407"/>
      <c r="F358" s="483"/>
      <c r="G358" s="483"/>
      <c r="H358" s="483"/>
      <c r="I358" s="483"/>
      <c r="J358" s="483"/>
      <c r="K358" s="483"/>
      <c r="L358" s="608" t="s">
        <v>4884</v>
      </c>
      <c r="M358" s="409" t="s">
        <v>4884</v>
      </c>
      <c r="N358" s="409" t="s">
        <v>4884</v>
      </c>
      <c r="O358" s="410" t="s">
        <v>4884</v>
      </c>
      <c r="P358" s="406">
        <v>355</v>
      </c>
      <c r="Q358" s="470" t="s">
        <v>753</v>
      </c>
      <c r="R358" s="475" t="s">
        <v>754</v>
      </c>
      <c r="S358" s="270" t="s">
        <v>716</v>
      </c>
      <c r="U358" s="471"/>
      <c r="V358" s="471">
        <v>0</v>
      </c>
      <c r="W358" s="471"/>
      <c r="X358" s="471"/>
      <c r="Z358" s="270" t="s">
        <v>717</v>
      </c>
    </row>
    <row r="359" spans="1:26">
      <c r="A359" s="406">
        <v>356</v>
      </c>
      <c r="B359" s="613" t="s">
        <v>7020</v>
      </c>
      <c r="C359" s="288" t="s">
        <v>755</v>
      </c>
      <c r="D359" s="414" t="s">
        <v>4884</v>
      </c>
      <c r="E359" s="407"/>
      <c r="F359" s="483" t="s">
        <v>4953</v>
      </c>
      <c r="G359" s="411"/>
      <c r="H359" s="411"/>
      <c r="I359" s="411"/>
      <c r="J359" s="411"/>
      <c r="K359" s="411"/>
      <c r="L359" s="608" t="s">
        <v>4884</v>
      </c>
      <c r="M359" s="409" t="s">
        <v>4884</v>
      </c>
      <c r="N359" s="409" t="s">
        <v>4884</v>
      </c>
      <c r="O359" s="410" t="s">
        <v>4884</v>
      </c>
      <c r="P359" s="406">
        <v>356</v>
      </c>
      <c r="Q359" s="470" t="s">
        <v>755</v>
      </c>
      <c r="R359" s="460" t="s">
        <v>756</v>
      </c>
      <c r="S359" s="270" t="s">
        <v>7</v>
      </c>
      <c r="U359" s="471"/>
      <c r="V359" s="471"/>
      <c r="W359" s="471" t="s">
        <v>756</v>
      </c>
      <c r="X359" s="471">
        <v>0</v>
      </c>
      <c r="Z359" s="270" t="s">
        <v>717</v>
      </c>
    </row>
    <row r="360" spans="1:26">
      <c r="A360" s="406">
        <v>357</v>
      </c>
      <c r="B360" s="613" t="s">
        <v>6562</v>
      </c>
      <c r="C360" s="288" t="s">
        <v>757</v>
      </c>
      <c r="D360" s="414" t="s">
        <v>4474</v>
      </c>
      <c r="E360" s="407" t="s">
        <v>9275</v>
      </c>
      <c r="F360" s="483"/>
      <c r="G360" s="483"/>
      <c r="H360" s="483"/>
      <c r="I360" s="483"/>
      <c r="J360" s="483"/>
      <c r="K360" s="483"/>
      <c r="L360" s="608" t="s">
        <v>4884</v>
      </c>
      <c r="M360" s="409">
        <v>5487.4212598425202</v>
      </c>
      <c r="N360" s="409">
        <v>5487.4212598425202</v>
      </c>
      <c r="O360" s="410" t="s">
        <v>7569</v>
      </c>
      <c r="P360" s="406">
        <v>357</v>
      </c>
      <c r="Q360" s="470" t="s">
        <v>757</v>
      </c>
      <c r="R360" s="460" t="s">
        <v>758</v>
      </c>
      <c r="S360" s="270" t="s">
        <v>32</v>
      </c>
      <c r="U360" s="471"/>
      <c r="V360" s="471">
        <v>1</v>
      </c>
      <c r="W360" s="471" t="s">
        <v>758</v>
      </c>
      <c r="X360" s="471">
        <v>0</v>
      </c>
    </row>
    <row r="361" spans="1:26">
      <c r="A361" s="406">
        <v>358</v>
      </c>
      <c r="B361" s="613" t="s">
        <v>5221</v>
      </c>
      <c r="C361" s="288" t="s">
        <v>759</v>
      </c>
      <c r="D361" s="414" t="s">
        <v>4482</v>
      </c>
      <c r="E361" s="407" t="s">
        <v>9276</v>
      </c>
      <c r="F361" s="483" t="s">
        <v>5219</v>
      </c>
      <c r="G361" s="411" t="s">
        <v>5222</v>
      </c>
      <c r="H361" s="411"/>
      <c r="I361" s="411"/>
      <c r="J361" s="411"/>
      <c r="K361" s="411"/>
      <c r="L361" s="608">
        <v>8702.4606299212592</v>
      </c>
      <c r="M361" s="409">
        <v>3581.1338582677167</v>
      </c>
      <c r="N361" s="409">
        <v>12283.594488188975</v>
      </c>
      <c r="O361" s="410" t="s">
        <v>7770</v>
      </c>
      <c r="P361" s="406">
        <v>358</v>
      </c>
      <c r="Q361" s="470" t="s">
        <v>759</v>
      </c>
      <c r="R361" s="270" t="s">
        <v>760</v>
      </c>
      <c r="S361" s="270" t="s">
        <v>32</v>
      </c>
      <c r="U361" s="471"/>
      <c r="V361" s="471">
        <v>1</v>
      </c>
      <c r="W361" s="471" t="s">
        <v>760</v>
      </c>
      <c r="X361" s="471">
        <v>0</v>
      </c>
    </row>
    <row r="362" spans="1:26">
      <c r="A362" s="406">
        <v>359</v>
      </c>
      <c r="B362" s="613" t="s">
        <v>5221</v>
      </c>
      <c r="C362" s="288" t="s">
        <v>761</v>
      </c>
      <c r="D362" s="414" t="s">
        <v>4482</v>
      </c>
      <c r="E362" s="407" t="s">
        <v>9276</v>
      </c>
      <c r="F362" s="483" t="s">
        <v>5220</v>
      </c>
      <c r="G362" s="411" t="s">
        <v>5222</v>
      </c>
      <c r="H362" s="411"/>
      <c r="I362" s="411"/>
      <c r="J362" s="411"/>
      <c r="K362" s="411"/>
      <c r="L362" s="608">
        <v>8702.4606299212592</v>
      </c>
      <c r="M362" s="409">
        <v>3647.3740157480315</v>
      </c>
      <c r="N362" s="409">
        <v>12349.834645669291</v>
      </c>
      <c r="O362" s="410" t="s">
        <v>7770</v>
      </c>
      <c r="P362" s="406">
        <v>359</v>
      </c>
      <c r="Q362" s="470" t="s">
        <v>761</v>
      </c>
      <c r="R362" s="270" t="s">
        <v>762</v>
      </c>
      <c r="S362" s="270" t="s">
        <v>32</v>
      </c>
      <c r="U362" s="471"/>
      <c r="V362" s="471">
        <v>0</v>
      </c>
      <c r="W362" s="471" t="s">
        <v>762</v>
      </c>
      <c r="X362" s="471">
        <v>0</v>
      </c>
    </row>
    <row r="363" spans="1:26">
      <c r="A363" s="406">
        <v>360</v>
      </c>
      <c r="B363" s="613" t="s">
        <v>6553</v>
      </c>
      <c r="C363" s="288" t="s">
        <v>763</v>
      </c>
      <c r="D363" s="414" t="s">
        <v>4326</v>
      </c>
      <c r="E363" s="407" t="s">
        <v>9277</v>
      </c>
      <c r="F363" s="483"/>
      <c r="G363" s="483"/>
      <c r="H363" s="483"/>
      <c r="I363" s="483"/>
      <c r="J363" s="483"/>
      <c r="K363" s="483"/>
      <c r="L363" s="608" t="s">
        <v>4884</v>
      </c>
      <c r="M363" s="409">
        <v>4957.2952755905517</v>
      </c>
      <c r="N363" s="409">
        <v>4957.2952755905517</v>
      </c>
      <c r="O363" s="410" t="s">
        <v>7574</v>
      </c>
      <c r="P363" s="406">
        <v>360</v>
      </c>
      <c r="Q363" s="470" t="s">
        <v>763</v>
      </c>
      <c r="R363" s="460" t="s">
        <v>764</v>
      </c>
      <c r="S363" s="270" t="s">
        <v>32</v>
      </c>
      <c r="U363" s="471">
        <v>1</v>
      </c>
      <c r="V363" s="471"/>
      <c r="W363" s="471" t="s">
        <v>764</v>
      </c>
      <c r="X363" s="471">
        <v>0</v>
      </c>
    </row>
    <row r="364" spans="1:26">
      <c r="A364" s="406">
        <v>361</v>
      </c>
      <c r="B364" s="613" t="s">
        <v>6554</v>
      </c>
      <c r="C364" s="288" t="s">
        <v>765</v>
      </c>
      <c r="D364" s="414" t="s">
        <v>4446</v>
      </c>
      <c r="E364" s="407" t="s">
        <v>9278</v>
      </c>
      <c r="F364" s="483"/>
      <c r="G364" s="483"/>
      <c r="H364" s="483"/>
      <c r="I364" s="483"/>
      <c r="J364" s="483"/>
      <c r="K364" s="483"/>
      <c r="L364" s="608" t="s">
        <v>4884</v>
      </c>
      <c r="M364" s="409">
        <v>5435.0393700787408</v>
      </c>
      <c r="N364" s="409">
        <v>5435.0393700787408</v>
      </c>
      <c r="O364" s="410" t="s">
        <v>7569</v>
      </c>
      <c r="P364" s="406">
        <v>361</v>
      </c>
      <c r="Q364" s="470" t="s">
        <v>765</v>
      </c>
      <c r="R364" s="460" t="s">
        <v>766</v>
      </c>
      <c r="S364" s="270" t="s">
        <v>32</v>
      </c>
      <c r="U364" s="471">
        <v>1</v>
      </c>
      <c r="V364" s="471"/>
      <c r="W364" s="471" t="s">
        <v>766</v>
      </c>
      <c r="X364" s="471">
        <v>0</v>
      </c>
    </row>
    <row r="365" spans="1:26">
      <c r="A365" s="406">
        <v>362</v>
      </c>
      <c r="B365" s="613" t="s">
        <v>6249</v>
      </c>
      <c r="C365" s="288" t="s">
        <v>767</v>
      </c>
      <c r="D365" s="414" t="s">
        <v>4188</v>
      </c>
      <c r="E365" s="407" t="s">
        <v>9279</v>
      </c>
      <c r="F365" s="483"/>
      <c r="G365" s="483"/>
      <c r="H365" s="483"/>
      <c r="I365" s="483"/>
      <c r="J365" s="483"/>
      <c r="K365" s="483"/>
      <c r="L365" s="608" t="s">
        <v>4884</v>
      </c>
      <c r="M365" s="409">
        <v>3666.4763779527561</v>
      </c>
      <c r="N365" s="409">
        <v>3666.4763779527561</v>
      </c>
      <c r="O365" s="410" t="s">
        <v>7574</v>
      </c>
      <c r="P365" s="406">
        <v>362</v>
      </c>
      <c r="Q365" s="470" t="s">
        <v>767</v>
      </c>
      <c r="R365" s="460" t="s">
        <v>768</v>
      </c>
      <c r="S365" s="270" t="s">
        <v>7</v>
      </c>
      <c r="U365" s="471"/>
      <c r="V365" s="471"/>
      <c r="W365" s="471" t="s">
        <v>768</v>
      </c>
      <c r="X365" s="471">
        <v>1</v>
      </c>
    </row>
    <row r="366" spans="1:26">
      <c r="A366" s="406">
        <v>363</v>
      </c>
      <c r="B366" s="613" t="s">
        <v>6250</v>
      </c>
      <c r="C366" s="288" t="s">
        <v>769</v>
      </c>
      <c r="D366" s="414" t="s">
        <v>4146</v>
      </c>
      <c r="E366" s="407" t="s">
        <v>9280</v>
      </c>
      <c r="F366" s="483"/>
      <c r="G366" s="483"/>
      <c r="H366" s="483"/>
      <c r="I366" s="483"/>
      <c r="J366" s="483"/>
      <c r="K366" s="483"/>
      <c r="L366" s="608" t="s">
        <v>4884</v>
      </c>
      <c r="M366" s="409">
        <v>3761.9173228346458</v>
      </c>
      <c r="N366" s="409">
        <v>3761.9173228346458</v>
      </c>
      <c r="O366" s="410" t="s">
        <v>7567</v>
      </c>
      <c r="P366" s="406">
        <v>363</v>
      </c>
      <c r="Q366" s="470" t="s">
        <v>769</v>
      </c>
      <c r="R366" s="460" t="s">
        <v>770</v>
      </c>
      <c r="S366" s="270" t="s">
        <v>7</v>
      </c>
      <c r="U366" s="471"/>
      <c r="V366" s="471"/>
      <c r="W366" s="478" t="s">
        <v>770</v>
      </c>
      <c r="X366" s="471">
        <v>1</v>
      </c>
    </row>
    <row r="367" spans="1:26">
      <c r="A367" s="406">
        <v>364</v>
      </c>
      <c r="B367" s="613" t="s">
        <v>6251</v>
      </c>
      <c r="C367" s="288" t="s">
        <v>771</v>
      </c>
      <c r="D367" s="414" t="s">
        <v>3792</v>
      </c>
      <c r="E367" s="407" t="s">
        <v>9281</v>
      </c>
      <c r="F367" s="483"/>
      <c r="G367" s="483"/>
      <c r="H367" s="483"/>
      <c r="I367" s="483"/>
      <c r="J367" s="483"/>
      <c r="K367" s="483"/>
      <c r="L367" s="608" t="s">
        <v>4884</v>
      </c>
      <c r="M367" s="409">
        <v>5284.1456692913389</v>
      </c>
      <c r="N367" s="409">
        <v>5284.1456692913389</v>
      </c>
      <c r="O367" s="410" t="s">
        <v>7570</v>
      </c>
      <c r="P367" s="406">
        <v>364</v>
      </c>
      <c r="Q367" s="470" t="s">
        <v>771</v>
      </c>
      <c r="R367" s="460" t="s">
        <v>772</v>
      </c>
      <c r="S367" s="270" t="s">
        <v>7</v>
      </c>
      <c r="U367" s="471"/>
      <c r="V367" s="471"/>
      <c r="W367" s="471" t="s">
        <v>772</v>
      </c>
      <c r="X367" s="471">
        <v>1</v>
      </c>
    </row>
    <row r="368" spans="1:26">
      <c r="A368" s="406">
        <v>365</v>
      </c>
      <c r="B368" s="613" t="s">
        <v>6254</v>
      </c>
      <c r="C368" s="288" t="s">
        <v>773</v>
      </c>
      <c r="D368" s="414" t="s">
        <v>4196</v>
      </c>
      <c r="E368" s="407" t="s">
        <v>9282</v>
      </c>
      <c r="F368" s="483"/>
      <c r="G368" s="483"/>
      <c r="H368" s="483"/>
      <c r="I368" s="483"/>
      <c r="J368" s="483"/>
      <c r="K368" s="483"/>
      <c r="L368" s="608" t="s">
        <v>4884</v>
      </c>
      <c r="M368" s="409">
        <v>3842.3149606299216</v>
      </c>
      <c r="N368" s="409">
        <v>3842.3149606299216</v>
      </c>
      <c r="O368" s="410" t="s">
        <v>7575</v>
      </c>
      <c r="P368" s="406">
        <v>365</v>
      </c>
      <c r="Q368" s="470" t="s">
        <v>773</v>
      </c>
      <c r="R368" s="460" t="s">
        <v>774</v>
      </c>
      <c r="S368" s="270" t="s">
        <v>7</v>
      </c>
      <c r="U368" s="471"/>
      <c r="V368" s="471"/>
      <c r="W368" s="471" t="s">
        <v>774</v>
      </c>
      <c r="X368" s="471">
        <v>1</v>
      </c>
      <c r="Y368" s="206"/>
      <c r="Z368" s="206"/>
    </row>
    <row r="369" spans="1:26">
      <c r="A369" s="406">
        <v>366</v>
      </c>
      <c r="B369" s="613" t="s">
        <v>6252</v>
      </c>
      <c r="C369" s="288" t="s">
        <v>775</v>
      </c>
      <c r="D369" s="414" t="s">
        <v>4230</v>
      </c>
      <c r="E369" s="407" t="s">
        <v>9283</v>
      </c>
      <c r="F369" s="483"/>
      <c r="G369" s="483"/>
      <c r="H369" s="483"/>
      <c r="I369" s="483"/>
      <c r="J369" s="483"/>
      <c r="K369" s="483"/>
      <c r="L369" s="608" t="s">
        <v>4884</v>
      </c>
      <c r="M369" s="409">
        <v>3864.677165354331</v>
      </c>
      <c r="N369" s="409">
        <v>3864.677165354331</v>
      </c>
      <c r="O369" s="410" t="s">
        <v>7576</v>
      </c>
      <c r="P369" s="406">
        <v>366</v>
      </c>
      <c r="Q369" s="470" t="s">
        <v>775</v>
      </c>
      <c r="R369" s="460" t="s">
        <v>776</v>
      </c>
      <c r="S369" s="270" t="s">
        <v>7</v>
      </c>
      <c r="U369" s="471"/>
      <c r="V369" s="471"/>
      <c r="W369" s="471" t="s">
        <v>776</v>
      </c>
      <c r="X369" s="471">
        <v>1</v>
      </c>
      <c r="Y369" s="206"/>
      <c r="Z369" s="206"/>
    </row>
    <row r="370" spans="1:26">
      <c r="A370" s="406">
        <v>367</v>
      </c>
      <c r="B370" s="613" t="s">
        <v>6253</v>
      </c>
      <c r="C370" s="288" t="s">
        <v>777</v>
      </c>
      <c r="D370" s="414" t="s">
        <v>4228</v>
      </c>
      <c r="E370" s="407" t="s">
        <v>9284</v>
      </c>
      <c r="F370" s="483"/>
      <c r="G370" s="483"/>
      <c r="H370" s="483"/>
      <c r="I370" s="483"/>
      <c r="J370" s="483"/>
      <c r="K370" s="483"/>
      <c r="L370" s="608" t="s">
        <v>4884</v>
      </c>
      <c r="M370" s="409">
        <v>3504.1062992125985</v>
      </c>
      <c r="N370" s="409">
        <v>3504.1062992125985</v>
      </c>
      <c r="O370" s="410" t="s">
        <v>7572</v>
      </c>
      <c r="P370" s="406">
        <v>367</v>
      </c>
      <c r="Q370" s="470" t="s">
        <v>777</v>
      </c>
      <c r="R370" s="460" t="s">
        <v>778</v>
      </c>
      <c r="S370" s="270" t="s">
        <v>7</v>
      </c>
      <c r="U370" s="471"/>
      <c r="V370" s="471"/>
      <c r="W370" s="471" t="s">
        <v>778</v>
      </c>
      <c r="X370" s="471">
        <v>1</v>
      </c>
      <c r="Y370" s="206"/>
      <c r="Z370" s="206"/>
    </row>
    <row r="371" spans="1:26">
      <c r="A371" s="406">
        <v>368</v>
      </c>
      <c r="B371" s="613" t="s">
        <v>6255</v>
      </c>
      <c r="C371" s="288" t="s">
        <v>779</v>
      </c>
      <c r="D371" s="414" t="s">
        <v>4124</v>
      </c>
      <c r="E371" s="407" t="s">
        <v>9285</v>
      </c>
      <c r="F371" s="483"/>
      <c r="G371" s="483"/>
      <c r="H371" s="483"/>
      <c r="I371" s="483"/>
      <c r="J371" s="483"/>
      <c r="K371" s="483"/>
      <c r="L371" s="608" t="s">
        <v>4884</v>
      </c>
      <c r="M371" s="409">
        <v>5301.9724409448818</v>
      </c>
      <c r="N371" s="409">
        <v>5301.9724409448818</v>
      </c>
      <c r="O371" s="410" t="s">
        <v>7575</v>
      </c>
      <c r="P371" s="406">
        <v>368</v>
      </c>
      <c r="Q371" s="470" t="s">
        <v>779</v>
      </c>
      <c r="R371" s="460" t="s">
        <v>780</v>
      </c>
      <c r="S371" s="270" t="s">
        <v>7</v>
      </c>
      <c r="U371" s="471"/>
      <c r="V371" s="471"/>
      <c r="W371" s="471" t="s">
        <v>780</v>
      </c>
      <c r="X371" s="471">
        <v>1</v>
      </c>
      <c r="Y371" s="206"/>
      <c r="Z371" s="206"/>
    </row>
    <row r="372" spans="1:26">
      <c r="A372" s="406">
        <v>369</v>
      </c>
      <c r="B372" s="613" t="s">
        <v>6734</v>
      </c>
      <c r="C372" s="288" t="s">
        <v>781</v>
      </c>
      <c r="D372" s="414" t="s">
        <v>4137</v>
      </c>
      <c r="E372" s="407" t="s">
        <v>9286</v>
      </c>
      <c r="F372" s="483" t="s">
        <v>6759</v>
      </c>
      <c r="G372" s="483" t="s">
        <v>6758</v>
      </c>
      <c r="H372" s="411" t="s">
        <v>6761</v>
      </c>
      <c r="I372" s="411"/>
      <c r="J372" s="411"/>
      <c r="K372" s="411"/>
      <c r="L372" s="608">
        <v>2331.0669291338581</v>
      </c>
      <c r="M372" s="409">
        <v>1863.3976377952756</v>
      </c>
      <c r="N372" s="409">
        <v>4194.464566929134</v>
      </c>
      <c r="O372" s="410" t="s">
        <v>7785</v>
      </c>
      <c r="P372" s="406">
        <v>369</v>
      </c>
      <c r="Q372" s="470" t="s">
        <v>781</v>
      </c>
      <c r="R372" s="460" t="s">
        <v>782</v>
      </c>
      <c r="S372" s="270" t="s">
        <v>7</v>
      </c>
      <c r="U372" s="471"/>
      <c r="V372" s="471"/>
      <c r="W372" s="471" t="s">
        <v>782</v>
      </c>
      <c r="X372" s="471">
        <v>1</v>
      </c>
      <c r="Y372" s="206"/>
      <c r="Z372" s="206"/>
    </row>
    <row r="373" spans="1:26">
      <c r="A373" s="406">
        <v>370</v>
      </c>
      <c r="B373" s="613" t="s">
        <v>6256</v>
      </c>
      <c r="C373" s="288" t="s">
        <v>783</v>
      </c>
      <c r="D373" s="414" t="s">
        <v>4227</v>
      </c>
      <c r="E373" s="407" t="s">
        <v>9287</v>
      </c>
      <c r="F373" s="483"/>
      <c r="G373" s="483"/>
      <c r="H373" s="483"/>
      <c r="I373" s="483"/>
      <c r="J373" s="483"/>
      <c r="K373" s="483"/>
      <c r="L373" s="608" t="s">
        <v>4884</v>
      </c>
      <c r="M373" s="409">
        <v>3692.5866141732286</v>
      </c>
      <c r="N373" s="409">
        <v>3692.5866141732286</v>
      </c>
      <c r="O373" s="410" t="s">
        <v>7572</v>
      </c>
      <c r="P373" s="406">
        <v>370</v>
      </c>
      <c r="Q373" s="470" t="s">
        <v>783</v>
      </c>
      <c r="R373" s="460" t="s">
        <v>784</v>
      </c>
      <c r="S373" s="270" t="s">
        <v>7</v>
      </c>
      <c r="U373" s="471"/>
      <c r="V373" s="471"/>
      <c r="W373" s="471" t="s">
        <v>784</v>
      </c>
      <c r="X373" s="471">
        <v>1</v>
      </c>
      <c r="Y373" s="206"/>
      <c r="Z373" s="206"/>
    </row>
    <row r="374" spans="1:26">
      <c r="A374" s="406">
        <v>371</v>
      </c>
      <c r="B374" s="613" t="s">
        <v>6257</v>
      </c>
      <c r="C374" s="288" t="s">
        <v>785</v>
      </c>
      <c r="D374" s="414" t="s">
        <v>4229</v>
      </c>
      <c r="E374" s="407" t="s">
        <v>9288</v>
      </c>
      <c r="F374" s="483"/>
      <c r="G374" s="483"/>
      <c r="H374" s="483"/>
      <c r="I374" s="483"/>
      <c r="J374" s="483"/>
      <c r="K374" s="483"/>
      <c r="L374" s="608" t="s">
        <v>4884</v>
      </c>
      <c r="M374" s="409">
        <v>3584.0314960629926</v>
      </c>
      <c r="N374" s="409">
        <v>3584.0314960629926</v>
      </c>
      <c r="O374" s="410" t="s">
        <v>7572</v>
      </c>
      <c r="P374" s="406">
        <v>371</v>
      </c>
      <c r="Q374" s="470" t="s">
        <v>785</v>
      </c>
      <c r="R374" s="460" t="s">
        <v>786</v>
      </c>
      <c r="S374" s="270" t="s">
        <v>7</v>
      </c>
      <c r="U374" s="471"/>
      <c r="V374" s="471"/>
      <c r="W374" s="471" t="s">
        <v>786</v>
      </c>
      <c r="X374" s="471">
        <v>1</v>
      </c>
      <c r="Y374" s="206"/>
      <c r="Z374" s="206"/>
    </row>
    <row r="375" spans="1:26">
      <c r="A375" s="406">
        <v>372</v>
      </c>
      <c r="B375" s="613" t="s">
        <v>6258</v>
      </c>
      <c r="C375" s="288" t="s">
        <v>787</v>
      </c>
      <c r="D375" s="414" t="s">
        <v>4224</v>
      </c>
      <c r="E375" s="407" t="s">
        <v>9289</v>
      </c>
      <c r="F375" s="483"/>
      <c r="G375" s="483"/>
      <c r="H375" s="483"/>
      <c r="I375" s="483"/>
      <c r="J375" s="483"/>
      <c r="K375" s="483"/>
      <c r="L375" s="608" t="s">
        <v>4884</v>
      </c>
      <c r="M375" s="409">
        <v>4119.6535433070867</v>
      </c>
      <c r="N375" s="409">
        <v>4119.6535433070867</v>
      </c>
      <c r="O375" s="410" t="s">
        <v>7576</v>
      </c>
      <c r="P375" s="406">
        <v>372</v>
      </c>
      <c r="Q375" s="470" t="s">
        <v>787</v>
      </c>
      <c r="R375" s="460" t="s">
        <v>788</v>
      </c>
      <c r="S375" s="270" t="s">
        <v>7</v>
      </c>
      <c r="U375" s="471"/>
      <c r="V375" s="471"/>
      <c r="W375" s="471" t="s">
        <v>788</v>
      </c>
      <c r="X375" s="471">
        <v>1</v>
      </c>
      <c r="Y375" s="206"/>
      <c r="Z375" s="206"/>
    </row>
    <row r="376" spans="1:26">
      <c r="A376" s="406">
        <v>373</v>
      </c>
      <c r="B376" s="613" t="s">
        <v>6259</v>
      </c>
      <c r="C376" s="288" t="s">
        <v>789</v>
      </c>
      <c r="D376" s="414" t="s">
        <v>4216</v>
      </c>
      <c r="E376" s="407" t="s">
        <v>9290</v>
      </c>
      <c r="F376" s="483"/>
      <c r="G376" s="483"/>
      <c r="H376" s="483"/>
      <c r="I376" s="483"/>
      <c r="J376" s="483"/>
      <c r="K376" s="483"/>
      <c r="L376" s="608" t="s">
        <v>4884</v>
      </c>
      <c r="M376" s="409">
        <v>4554.2283464566935</v>
      </c>
      <c r="N376" s="409">
        <v>4554.2283464566935</v>
      </c>
      <c r="O376" s="410" t="s">
        <v>7576</v>
      </c>
      <c r="P376" s="406">
        <v>373</v>
      </c>
      <c r="Q376" s="470" t="s">
        <v>789</v>
      </c>
      <c r="R376" s="460" t="s">
        <v>790</v>
      </c>
      <c r="S376" s="270" t="s">
        <v>7</v>
      </c>
      <c r="U376" s="471"/>
      <c r="V376" s="471"/>
      <c r="W376" s="471" t="s">
        <v>790</v>
      </c>
      <c r="X376" s="471">
        <v>1</v>
      </c>
      <c r="Y376" s="206"/>
      <c r="Z376" s="206"/>
    </row>
    <row r="377" spans="1:26">
      <c r="A377" s="406">
        <v>374</v>
      </c>
      <c r="B377" s="613" t="s">
        <v>6260</v>
      </c>
      <c r="C377" s="288" t="s">
        <v>791</v>
      </c>
      <c r="D377" s="414" t="s">
        <v>4217</v>
      </c>
      <c r="E377" s="407" t="s">
        <v>9291</v>
      </c>
      <c r="F377" s="483"/>
      <c r="G377" s="483"/>
      <c r="H377" s="483"/>
      <c r="I377" s="483"/>
      <c r="J377" s="483"/>
      <c r="K377" s="483"/>
      <c r="L377" s="608" t="s">
        <v>4884</v>
      </c>
      <c r="M377" s="409">
        <v>3972.8622047244098</v>
      </c>
      <c r="N377" s="409">
        <v>3972.8622047244098</v>
      </c>
      <c r="O377" s="410" t="s">
        <v>7576</v>
      </c>
      <c r="P377" s="406">
        <v>374</v>
      </c>
      <c r="Q377" s="470" t="s">
        <v>791</v>
      </c>
      <c r="R377" s="460" t="s">
        <v>792</v>
      </c>
      <c r="S377" s="270" t="s">
        <v>7</v>
      </c>
      <c r="U377" s="471"/>
      <c r="V377" s="471"/>
      <c r="W377" s="471" t="s">
        <v>792</v>
      </c>
      <c r="X377" s="471">
        <v>1</v>
      </c>
      <c r="Y377" s="206"/>
      <c r="Z377" s="206"/>
    </row>
    <row r="378" spans="1:26">
      <c r="A378" s="406">
        <v>375</v>
      </c>
      <c r="B378" s="613" t="s">
        <v>6261</v>
      </c>
      <c r="C378" s="288" t="s">
        <v>793</v>
      </c>
      <c r="D378" s="414" t="s">
        <v>4226</v>
      </c>
      <c r="E378" s="407" t="s">
        <v>9292</v>
      </c>
      <c r="F378" s="483"/>
      <c r="G378" s="483"/>
      <c r="H378" s="483"/>
      <c r="I378" s="483"/>
      <c r="J378" s="483"/>
      <c r="K378" s="483"/>
      <c r="L378" s="608" t="s">
        <v>4884</v>
      </c>
      <c r="M378" s="409">
        <v>3265.6496062992128</v>
      </c>
      <c r="N378" s="409">
        <v>3265.6496062992128</v>
      </c>
      <c r="O378" s="410" t="s">
        <v>7572</v>
      </c>
      <c r="P378" s="406">
        <v>375</v>
      </c>
      <c r="Q378" s="470" t="s">
        <v>793</v>
      </c>
      <c r="R378" s="460" t="s">
        <v>794</v>
      </c>
      <c r="S378" s="270" t="s">
        <v>7</v>
      </c>
      <c r="U378" s="471"/>
      <c r="V378" s="471"/>
      <c r="W378" s="471" t="s">
        <v>794</v>
      </c>
      <c r="X378" s="471">
        <v>1</v>
      </c>
      <c r="Y378" s="206"/>
      <c r="Z378" s="206"/>
    </row>
    <row r="379" spans="1:26">
      <c r="A379" s="406">
        <v>376</v>
      </c>
      <c r="B379" s="613" t="s">
        <v>6262</v>
      </c>
      <c r="C379" s="288" t="s">
        <v>795</v>
      </c>
      <c r="D379" s="414" t="s">
        <v>4191</v>
      </c>
      <c r="E379" s="407" t="s">
        <v>9293</v>
      </c>
      <c r="F379" s="483"/>
      <c r="G379" s="483"/>
      <c r="H379" s="483"/>
      <c r="I379" s="483"/>
      <c r="J379" s="483"/>
      <c r="K379" s="483"/>
      <c r="L379" s="608" t="s">
        <v>4884</v>
      </c>
      <c r="M379" s="409">
        <v>3788.3307086614177</v>
      </c>
      <c r="N379" s="409">
        <v>3788.3307086614177</v>
      </c>
      <c r="O379" s="410" t="s">
        <v>7575</v>
      </c>
      <c r="P379" s="406">
        <v>376</v>
      </c>
      <c r="Q379" s="470" t="s">
        <v>795</v>
      </c>
      <c r="R379" s="460" t="s">
        <v>796</v>
      </c>
      <c r="S379" s="270" t="s">
        <v>7</v>
      </c>
      <c r="U379" s="471"/>
      <c r="V379" s="471"/>
      <c r="W379" s="471" t="s">
        <v>796</v>
      </c>
      <c r="X379" s="471">
        <v>1</v>
      </c>
      <c r="Y379" s="206"/>
      <c r="Z379" s="206"/>
    </row>
    <row r="380" spans="1:26">
      <c r="A380" s="406">
        <v>377</v>
      </c>
      <c r="B380" s="613" t="s">
        <v>6272</v>
      </c>
      <c r="C380" s="288" t="s">
        <v>797</v>
      </c>
      <c r="D380" s="414" t="s">
        <v>4201</v>
      </c>
      <c r="E380" s="407" t="s">
        <v>9294</v>
      </c>
      <c r="F380" s="483"/>
      <c r="G380" s="483"/>
      <c r="H380" s="483"/>
      <c r="I380" s="483"/>
      <c r="J380" s="483"/>
      <c r="K380" s="483"/>
      <c r="L380" s="608" t="s">
        <v>4884</v>
      </c>
      <c r="M380" s="409">
        <v>4692.3622047244098</v>
      </c>
      <c r="N380" s="409">
        <v>4692.3622047244098</v>
      </c>
      <c r="O380" s="410" t="s">
        <v>7569</v>
      </c>
      <c r="P380" s="406">
        <v>377</v>
      </c>
      <c r="Q380" s="470" t="s">
        <v>797</v>
      </c>
      <c r="R380" s="460" t="s">
        <v>798</v>
      </c>
      <c r="S380" s="270" t="s">
        <v>7</v>
      </c>
      <c r="U380" s="471"/>
      <c r="V380" s="471"/>
      <c r="W380" s="471" t="s">
        <v>798</v>
      </c>
      <c r="X380" s="471">
        <v>1</v>
      </c>
      <c r="Y380" s="206"/>
      <c r="Z380" s="206"/>
    </row>
    <row r="381" spans="1:26">
      <c r="A381" s="406">
        <v>378</v>
      </c>
      <c r="B381" s="613" t="s">
        <v>4897</v>
      </c>
      <c r="C381" s="288" t="s">
        <v>799</v>
      </c>
      <c r="D381" s="414" t="s">
        <v>4118</v>
      </c>
      <c r="E381" s="407" t="s">
        <v>9295</v>
      </c>
      <c r="F381" s="483" t="s">
        <v>4898</v>
      </c>
      <c r="G381" s="411"/>
      <c r="H381" s="411"/>
      <c r="I381" s="411"/>
      <c r="J381" s="411"/>
      <c r="K381" s="411"/>
      <c r="L381" s="608">
        <v>0</v>
      </c>
      <c r="M381" s="409">
        <v>5101.6141732283459</v>
      </c>
      <c r="N381" s="409">
        <v>5101.6141732283459</v>
      </c>
      <c r="O381" s="410" t="s">
        <v>7570</v>
      </c>
      <c r="P381" s="406">
        <v>378</v>
      </c>
      <c r="Q381" s="470" t="s">
        <v>799</v>
      </c>
      <c r="R381" s="460" t="s">
        <v>800</v>
      </c>
      <c r="S381" s="270" t="s">
        <v>7</v>
      </c>
      <c r="U381" s="471"/>
      <c r="V381" s="471"/>
      <c r="W381" s="471" t="s">
        <v>800</v>
      </c>
      <c r="X381" s="471">
        <v>1</v>
      </c>
      <c r="Y381" s="206"/>
      <c r="Z381" s="206"/>
    </row>
    <row r="382" spans="1:26">
      <c r="A382" s="406">
        <v>379</v>
      </c>
      <c r="B382" s="613" t="s">
        <v>6263</v>
      </c>
      <c r="C382" s="288" t="s">
        <v>801</v>
      </c>
      <c r="D382" s="414" t="s">
        <v>4154</v>
      </c>
      <c r="E382" s="407" t="s">
        <v>9296</v>
      </c>
      <c r="F382" s="483"/>
      <c r="G382" s="483"/>
      <c r="H382" s="483"/>
      <c r="I382" s="483"/>
      <c r="J382" s="483"/>
      <c r="K382" s="483"/>
      <c r="L382" s="608" t="s">
        <v>4884</v>
      </c>
      <c r="M382" s="409">
        <v>4338.1496062992128</v>
      </c>
      <c r="N382" s="409">
        <v>4338.1496062992128</v>
      </c>
      <c r="O382" s="410" t="s">
        <v>7569</v>
      </c>
      <c r="P382" s="406">
        <v>379</v>
      </c>
      <c r="Q382" s="470" t="s">
        <v>801</v>
      </c>
      <c r="R382" s="460" t="s">
        <v>802</v>
      </c>
      <c r="S382" s="270" t="s">
        <v>7</v>
      </c>
      <c r="U382" s="471"/>
      <c r="V382" s="471"/>
      <c r="W382" s="471" t="s">
        <v>802</v>
      </c>
      <c r="X382" s="471">
        <v>1</v>
      </c>
      <c r="Y382" s="206"/>
      <c r="Z382" s="206"/>
    </row>
    <row r="383" spans="1:26">
      <c r="A383" s="406">
        <v>380</v>
      </c>
      <c r="B383" s="613" t="s">
        <v>6264</v>
      </c>
      <c r="C383" s="288" t="s">
        <v>803</v>
      </c>
      <c r="D383" s="414" t="s">
        <v>3736</v>
      </c>
      <c r="E383" s="407" t="s">
        <v>9297</v>
      </c>
      <c r="F383" s="483"/>
      <c r="G383" s="483"/>
      <c r="H383" s="483"/>
      <c r="I383" s="483"/>
      <c r="J383" s="483"/>
      <c r="K383" s="483"/>
      <c r="L383" s="608" t="s">
        <v>4884</v>
      </c>
      <c r="M383" s="409">
        <v>5791.6889763779536</v>
      </c>
      <c r="N383" s="409">
        <v>5791.6889763779536</v>
      </c>
      <c r="O383" s="410" t="s">
        <v>7573</v>
      </c>
      <c r="P383" s="406">
        <v>380</v>
      </c>
      <c r="Q383" s="470" t="s">
        <v>803</v>
      </c>
      <c r="R383" s="460" t="s">
        <v>804</v>
      </c>
      <c r="S383" s="270" t="s">
        <v>7</v>
      </c>
      <c r="U383" s="471"/>
      <c r="V383" s="471"/>
      <c r="W383" s="471" t="s">
        <v>804</v>
      </c>
      <c r="X383" s="471">
        <v>1</v>
      </c>
      <c r="Y383" s="206"/>
      <c r="Z383" s="206"/>
    </row>
    <row r="384" spans="1:26">
      <c r="A384" s="406">
        <v>381</v>
      </c>
      <c r="B384" s="613" t="s">
        <v>6265</v>
      </c>
      <c r="C384" s="288" t="s">
        <v>805</v>
      </c>
      <c r="D384" s="414" t="s">
        <v>4138</v>
      </c>
      <c r="E384" s="407" t="s">
        <v>9298</v>
      </c>
      <c r="F384" s="483"/>
      <c r="G384" s="483"/>
      <c r="H384" s="483"/>
      <c r="I384" s="483"/>
      <c r="J384" s="483"/>
      <c r="K384" s="483"/>
      <c r="L384" s="608" t="s">
        <v>4884</v>
      </c>
      <c r="M384" s="409">
        <v>4439.0118110236226</v>
      </c>
      <c r="N384" s="409">
        <v>4439.0118110236226</v>
      </c>
      <c r="O384" s="410" t="s">
        <v>7575</v>
      </c>
      <c r="P384" s="406">
        <v>381</v>
      </c>
      <c r="Q384" s="470" t="s">
        <v>805</v>
      </c>
      <c r="R384" s="460" t="s">
        <v>806</v>
      </c>
      <c r="S384" s="270" t="s">
        <v>7</v>
      </c>
      <c r="U384" s="471"/>
      <c r="V384" s="471"/>
      <c r="W384" s="471" t="s">
        <v>806</v>
      </c>
      <c r="X384" s="471">
        <v>1</v>
      </c>
      <c r="Y384" s="206"/>
      <c r="Z384" s="206"/>
    </row>
    <row r="385" spans="1:26">
      <c r="A385" s="406">
        <v>382</v>
      </c>
      <c r="B385" s="613" t="s">
        <v>6266</v>
      </c>
      <c r="C385" s="288" t="s">
        <v>807</v>
      </c>
      <c r="D385" s="414" t="s">
        <v>4197</v>
      </c>
      <c r="E385" s="407" t="s">
        <v>9299</v>
      </c>
      <c r="F385" s="483"/>
      <c r="G385" s="483"/>
      <c r="H385" s="483"/>
      <c r="I385" s="483"/>
      <c r="J385" s="483"/>
      <c r="K385" s="483"/>
      <c r="L385" s="608" t="s">
        <v>4884</v>
      </c>
      <c r="M385" s="409">
        <v>4003.6141732283468</v>
      </c>
      <c r="N385" s="409">
        <v>4003.6141732283468</v>
      </c>
      <c r="O385" s="410" t="s">
        <v>7569</v>
      </c>
      <c r="P385" s="406">
        <v>382</v>
      </c>
      <c r="Q385" s="470" t="s">
        <v>807</v>
      </c>
      <c r="R385" s="460" t="s">
        <v>808</v>
      </c>
      <c r="S385" s="270" t="s">
        <v>7</v>
      </c>
      <c r="U385" s="471"/>
      <c r="V385" s="471"/>
      <c r="W385" s="471" t="s">
        <v>808</v>
      </c>
      <c r="X385" s="471">
        <v>1</v>
      </c>
      <c r="Y385" s="206"/>
      <c r="Z385" s="206"/>
    </row>
    <row r="386" spans="1:26">
      <c r="A386" s="406">
        <v>383</v>
      </c>
      <c r="B386" s="613" t="s">
        <v>6267</v>
      </c>
      <c r="C386" s="288" t="s">
        <v>809</v>
      </c>
      <c r="D386" s="414" t="s">
        <v>4139</v>
      </c>
      <c r="E386" s="407" t="s">
        <v>9300</v>
      </c>
      <c r="F386" s="483"/>
      <c r="G386" s="483"/>
      <c r="H386" s="483"/>
      <c r="I386" s="483"/>
      <c r="J386" s="483"/>
      <c r="K386" s="483"/>
      <c r="L386" s="608" t="s">
        <v>4884</v>
      </c>
      <c r="M386" s="409">
        <v>3976.7755905511808</v>
      </c>
      <c r="N386" s="409">
        <v>3976.7755905511808</v>
      </c>
      <c r="O386" s="410" t="s">
        <v>7569</v>
      </c>
      <c r="P386" s="406">
        <v>383</v>
      </c>
      <c r="Q386" s="470" t="s">
        <v>809</v>
      </c>
      <c r="R386" s="460" t="s">
        <v>810</v>
      </c>
      <c r="S386" s="270" t="s">
        <v>7</v>
      </c>
      <c r="U386" s="471"/>
      <c r="V386" s="471"/>
      <c r="W386" s="471" t="s">
        <v>810</v>
      </c>
      <c r="X386" s="471">
        <v>1</v>
      </c>
      <c r="Y386" s="206"/>
      <c r="Z386" s="206"/>
    </row>
    <row r="387" spans="1:26">
      <c r="A387" s="406">
        <v>384</v>
      </c>
      <c r="B387" s="613" t="s">
        <v>6268</v>
      </c>
      <c r="C387" s="288" t="s">
        <v>811</v>
      </c>
      <c r="D387" s="414" t="s">
        <v>4117</v>
      </c>
      <c r="E387" s="407" t="s">
        <v>9301</v>
      </c>
      <c r="F387" s="483"/>
      <c r="G387" s="483"/>
      <c r="H387" s="483"/>
      <c r="I387" s="483"/>
      <c r="J387" s="483"/>
      <c r="K387" s="483"/>
      <c r="L387" s="608" t="s">
        <v>4884</v>
      </c>
      <c r="M387" s="409">
        <v>4703.1102362204729</v>
      </c>
      <c r="N387" s="409">
        <v>4703.1102362204729</v>
      </c>
      <c r="O387" s="410" t="s">
        <v>7575</v>
      </c>
      <c r="P387" s="406">
        <v>384</v>
      </c>
      <c r="Q387" s="470" t="s">
        <v>811</v>
      </c>
      <c r="R387" s="460" t="s">
        <v>812</v>
      </c>
      <c r="S387" s="270" t="s">
        <v>7</v>
      </c>
      <c r="U387" s="471"/>
      <c r="V387" s="471"/>
      <c r="W387" s="471" t="s">
        <v>812</v>
      </c>
      <c r="X387" s="471">
        <v>1</v>
      </c>
      <c r="Y387" s="206"/>
      <c r="Z387" s="206"/>
    </row>
    <row r="388" spans="1:26">
      <c r="A388" s="406">
        <v>385</v>
      </c>
      <c r="B388" s="613" t="s">
        <v>6269</v>
      </c>
      <c r="C388" s="288" t="s">
        <v>813</v>
      </c>
      <c r="D388" s="414" t="s">
        <v>3734</v>
      </c>
      <c r="E388" s="407" t="s">
        <v>9302</v>
      </c>
      <c r="F388" s="483"/>
      <c r="G388" s="483"/>
      <c r="H388" s="483"/>
      <c r="I388" s="483"/>
      <c r="J388" s="483"/>
      <c r="K388" s="483"/>
      <c r="L388" s="608" t="s">
        <v>4884</v>
      </c>
      <c r="M388" s="409">
        <v>6226.2992125984256</v>
      </c>
      <c r="N388" s="409">
        <v>6226.2992125984256</v>
      </c>
      <c r="O388" s="410" t="s">
        <v>7573</v>
      </c>
      <c r="P388" s="406">
        <v>385</v>
      </c>
      <c r="Q388" s="470" t="s">
        <v>813</v>
      </c>
      <c r="R388" s="460" t="s">
        <v>814</v>
      </c>
      <c r="S388" s="270" t="s">
        <v>7</v>
      </c>
      <c r="U388" s="471"/>
      <c r="V388" s="471"/>
      <c r="W388" s="471" t="s">
        <v>814</v>
      </c>
      <c r="X388" s="471">
        <v>1</v>
      </c>
      <c r="Y388" s="206"/>
      <c r="Z388" s="206"/>
    </row>
    <row r="389" spans="1:26">
      <c r="A389" s="406">
        <v>386</v>
      </c>
      <c r="B389" s="613" t="s">
        <v>6270</v>
      </c>
      <c r="C389" s="288" t="s">
        <v>815</v>
      </c>
      <c r="D389" s="414" t="s">
        <v>4150</v>
      </c>
      <c r="E389" s="407" t="s">
        <v>9303</v>
      </c>
      <c r="F389" s="483"/>
      <c r="G389" s="483"/>
      <c r="H389" s="483"/>
      <c r="I389" s="483"/>
      <c r="J389" s="483"/>
      <c r="K389" s="483"/>
      <c r="L389" s="608" t="s">
        <v>4884</v>
      </c>
      <c r="M389" s="409">
        <v>4309.9488188976384</v>
      </c>
      <c r="N389" s="409">
        <v>4309.9488188976384</v>
      </c>
      <c r="O389" s="410" t="s">
        <v>7573</v>
      </c>
      <c r="P389" s="406">
        <v>386</v>
      </c>
      <c r="Q389" s="470" t="s">
        <v>815</v>
      </c>
      <c r="R389" s="460" t="s">
        <v>816</v>
      </c>
      <c r="S389" s="270" t="s">
        <v>7</v>
      </c>
      <c r="U389" s="471"/>
      <c r="V389" s="471"/>
      <c r="W389" s="471" t="s">
        <v>816</v>
      </c>
      <c r="X389" s="471">
        <v>1</v>
      </c>
      <c r="Y389" s="206"/>
      <c r="Z389" s="206"/>
    </row>
    <row r="390" spans="1:26">
      <c r="A390" s="406">
        <v>387</v>
      </c>
      <c r="B390" s="613" t="s">
        <v>6271</v>
      </c>
      <c r="C390" s="288" t="s">
        <v>817</v>
      </c>
      <c r="D390" s="414" t="s">
        <v>4198</v>
      </c>
      <c r="E390" s="407" t="s">
        <v>9304</v>
      </c>
      <c r="F390" s="483"/>
      <c r="G390" s="483"/>
      <c r="H390" s="483"/>
      <c r="I390" s="483"/>
      <c r="J390" s="483"/>
      <c r="K390" s="483"/>
      <c r="L390" s="608" t="s">
        <v>4884</v>
      </c>
      <c r="M390" s="409">
        <v>3850.1889763779527</v>
      </c>
      <c r="N390" s="409">
        <v>3850.1889763779527</v>
      </c>
      <c r="O390" s="410" t="s">
        <v>7569</v>
      </c>
      <c r="P390" s="406">
        <v>387</v>
      </c>
      <c r="Q390" s="470" t="s">
        <v>817</v>
      </c>
      <c r="R390" s="460" t="s">
        <v>818</v>
      </c>
      <c r="S390" s="270" t="s">
        <v>7</v>
      </c>
      <c r="U390" s="471"/>
      <c r="V390" s="471"/>
      <c r="W390" s="471" t="s">
        <v>818</v>
      </c>
      <c r="X390" s="471">
        <v>1</v>
      </c>
      <c r="Y390" s="206"/>
      <c r="Z390" s="206"/>
    </row>
    <row r="391" spans="1:26">
      <c r="A391" s="406">
        <v>388</v>
      </c>
      <c r="B391" s="613" t="s">
        <v>6277</v>
      </c>
      <c r="C391" s="288" t="s">
        <v>819</v>
      </c>
      <c r="D391" s="414" t="s">
        <v>4192</v>
      </c>
      <c r="E391" s="407" t="s">
        <v>9305</v>
      </c>
      <c r="F391" s="483"/>
      <c r="G391" s="483"/>
      <c r="H391" s="483"/>
      <c r="I391" s="483"/>
      <c r="J391" s="483"/>
      <c r="K391" s="483"/>
      <c r="L391" s="608" t="s">
        <v>4884</v>
      </c>
      <c r="M391" s="409">
        <v>3816.3818897637793</v>
      </c>
      <c r="N391" s="409">
        <v>3816.3818897637793</v>
      </c>
      <c r="O391" s="410" t="s">
        <v>7573</v>
      </c>
      <c r="P391" s="406">
        <v>388</v>
      </c>
      <c r="Q391" s="470" t="s">
        <v>819</v>
      </c>
      <c r="R391" s="460" t="s">
        <v>820</v>
      </c>
      <c r="S391" s="270" t="s">
        <v>7</v>
      </c>
      <c r="U391" s="471"/>
      <c r="V391" s="471"/>
      <c r="W391" s="471" t="s">
        <v>820</v>
      </c>
      <c r="X391" s="471">
        <v>1</v>
      </c>
      <c r="Y391" s="206"/>
      <c r="Z391" s="206"/>
    </row>
    <row r="392" spans="1:26">
      <c r="A392" s="406">
        <v>389</v>
      </c>
      <c r="B392" s="613" t="s">
        <v>6273</v>
      </c>
      <c r="C392" s="288" t="s">
        <v>821</v>
      </c>
      <c r="D392" s="414" t="s">
        <v>4155</v>
      </c>
      <c r="E392" s="407" t="s">
        <v>9306</v>
      </c>
      <c r="F392" s="483"/>
      <c r="G392" s="483"/>
      <c r="H392" s="483"/>
      <c r="I392" s="483"/>
      <c r="J392" s="483"/>
      <c r="K392" s="483"/>
      <c r="L392" s="608" t="s">
        <v>4884</v>
      </c>
      <c r="M392" s="409">
        <v>4442.964566929134</v>
      </c>
      <c r="N392" s="409">
        <v>4442.964566929134</v>
      </c>
      <c r="O392" s="410" t="s">
        <v>7569</v>
      </c>
      <c r="P392" s="406">
        <v>389</v>
      </c>
      <c r="Q392" s="470" t="s">
        <v>821</v>
      </c>
      <c r="R392" s="460" t="s">
        <v>822</v>
      </c>
      <c r="S392" s="270" t="s">
        <v>7</v>
      </c>
      <c r="U392" s="471"/>
      <c r="V392" s="471"/>
      <c r="W392" s="471" t="s">
        <v>822</v>
      </c>
      <c r="X392" s="471">
        <v>1</v>
      </c>
      <c r="Y392" s="206"/>
      <c r="Z392" s="206"/>
    </row>
    <row r="393" spans="1:26">
      <c r="A393" s="406">
        <v>390</v>
      </c>
      <c r="B393" s="613" t="s">
        <v>6274</v>
      </c>
      <c r="C393" s="288" t="s">
        <v>823</v>
      </c>
      <c r="D393" s="414" t="s">
        <v>3735</v>
      </c>
      <c r="E393" s="407" t="s">
        <v>9307</v>
      </c>
      <c r="F393" s="483"/>
      <c r="G393" s="483"/>
      <c r="H393" s="483"/>
      <c r="I393" s="483"/>
      <c r="J393" s="483"/>
      <c r="K393" s="483"/>
      <c r="L393" s="608" t="s">
        <v>4884</v>
      </c>
      <c r="M393" s="409">
        <v>6158.429133858268</v>
      </c>
      <c r="N393" s="409">
        <v>6158.429133858268</v>
      </c>
      <c r="O393" s="410" t="s">
        <v>7573</v>
      </c>
      <c r="P393" s="406">
        <v>390</v>
      </c>
      <c r="Q393" s="470" t="s">
        <v>823</v>
      </c>
      <c r="R393" s="460" t="s">
        <v>824</v>
      </c>
      <c r="S393" s="270" t="s">
        <v>7</v>
      </c>
      <c r="U393" s="471"/>
      <c r="V393" s="471"/>
      <c r="W393" s="471" t="s">
        <v>824</v>
      </c>
      <c r="X393" s="471">
        <v>1</v>
      </c>
      <c r="Y393" s="206"/>
      <c r="Z393" s="206"/>
    </row>
    <row r="394" spans="1:26">
      <c r="A394" s="406">
        <v>391</v>
      </c>
      <c r="B394" s="613" t="s">
        <v>6275</v>
      </c>
      <c r="C394" s="288" t="s">
        <v>825</v>
      </c>
      <c r="D394" s="414" t="s">
        <v>4156</v>
      </c>
      <c r="E394" s="407" t="s">
        <v>9308</v>
      </c>
      <c r="F394" s="483"/>
      <c r="G394" s="483"/>
      <c r="H394" s="483"/>
      <c r="I394" s="483"/>
      <c r="J394" s="483"/>
      <c r="K394" s="483"/>
      <c r="L394" s="608" t="s">
        <v>4884</v>
      </c>
      <c r="M394" s="409">
        <v>4247.4094488188985</v>
      </c>
      <c r="N394" s="409">
        <v>4247.4094488188985</v>
      </c>
      <c r="O394" s="410" t="s">
        <v>7569</v>
      </c>
      <c r="P394" s="406">
        <v>391</v>
      </c>
      <c r="Q394" s="470" t="s">
        <v>825</v>
      </c>
      <c r="R394" s="460" t="s">
        <v>826</v>
      </c>
      <c r="S394" s="270" t="s">
        <v>7</v>
      </c>
      <c r="U394" s="471"/>
      <c r="V394" s="471"/>
      <c r="W394" s="471" t="s">
        <v>826</v>
      </c>
      <c r="X394" s="471">
        <v>1</v>
      </c>
      <c r="Y394" s="206"/>
      <c r="Z394" s="206"/>
    </row>
    <row r="395" spans="1:26">
      <c r="A395" s="406">
        <v>392</v>
      </c>
      <c r="B395" s="613" t="s">
        <v>6276</v>
      </c>
      <c r="C395" s="288" t="s">
        <v>827</v>
      </c>
      <c r="D395" s="414" t="s">
        <v>4122</v>
      </c>
      <c r="E395" s="407" t="s">
        <v>9309</v>
      </c>
      <c r="F395" s="483"/>
      <c r="G395" s="483"/>
      <c r="H395" s="483"/>
      <c r="I395" s="483"/>
      <c r="J395" s="483"/>
      <c r="K395" s="483"/>
      <c r="L395" s="608" t="s">
        <v>4884</v>
      </c>
      <c r="M395" s="409">
        <v>4760.8937007874019</v>
      </c>
      <c r="N395" s="409">
        <v>4760.8937007874019</v>
      </c>
      <c r="O395" s="410" t="s">
        <v>7575</v>
      </c>
      <c r="P395" s="406">
        <v>392</v>
      </c>
      <c r="Q395" s="470" t="s">
        <v>827</v>
      </c>
      <c r="R395" s="460" t="s">
        <v>828</v>
      </c>
      <c r="S395" s="270" t="s">
        <v>7</v>
      </c>
      <c r="U395" s="471"/>
      <c r="V395" s="471"/>
      <c r="W395" s="471" t="s">
        <v>828</v>
      </c>
      <c r="X395" s="471">
        <v>1</v>
      </c>
      <c r="Y395" s="206"/>
      <c r="Z395" s="206"/>
    </row>
    <row r="396" spans="1:26">
      <c r="A396" s="406">
        <v>393</v>
      </c>
      <c r="B396" s="613" t="s">
        <v>6278</v>
      </c>
      <c r="C396" s="288" t="s">
        <v>829</v>
      </c>
      <c r="D396" s="414" t="s">
        <v>4183</v>
      </c>
      <c r="E396" s="407" t="s">
        <v>9310</v>
      </c>
      <c r="F396" s="483"/>
      <c r="G396" s="483"/>
      <c r="H396" s="483"/>
      <c r="I396" s="483"/>
      <c r="J396" s="483"/>
      <c r="K396" s="483"/>
      <c r="L396" s="608" t="s">
        <v>4884</v>
      </c>
      <c r="M396" s="409">
        <v>3214.6023622047242</v>
      </c>
      <c r="N396" s="409">
        <v>3214.6023622047242</v>
      </c>
      <c r="O396" s="410" t="s">
        <v>7575</v>
      </c>
      <c r="P396" s="406">
        <v>393</v>
      </c>
      <c r="Q396" s="470" t="s">
        <v>829</v>
      </c>
      <c r="R396" s="460" t="s">
        <v>830</v>
      </c>
      <c r="S396" s="270" t="s">
        <v>7</v>
      </c>
      <c r="U396" s="471"/>
      <c r="V396" s="471"/>
      <c r="W396" s="471" t="s">
        <v>830</v>
      </c>
      <c r="X396" s="471">
        <v>1</v>
      </c>
      <c r="Y396" s="206"/>
      <c r="Z396" s="206"/>
    </row>
    <row r="397" spans="1:26">
      <c r="A397" s="406">
        <v>394</v>
      </c>
      <c r="B397" s="613" t="s">
        <v>6279</v>
      </c>
      <c r="C397" s="288" t="s">
        <v>831</v>
      </c>
      <c r="D397" s="414" t="s">
        <v>4190</v>
      </c>
      <c r="E397" s="407" t="s">
        <v>9311</v>
      </c>
      <c r="F397" s="483"/>
      <c r="G397" s="483"/>
      <c r="H397" s="483"/>
      <c r="I397" s="483"/>
      <c r="J397" s="483"/>
      <c r="K397" s="483"/>
      <c r="L397" s="608" t="s">
        <v>4884</v>
      </c>
      <c r="M397" s="409">
        <v>3730.6496062992128</v>
      </c>
      <c r="N397" s="409">
        <v>3730.6496062992128</v>
      </c>
      <c r="O397" s="410" t="s">
        <v>7573</v>
      </c>
      <c r="P397" s="406">
        <v>394</v>
      </c>
      <c r="Q397" s="470" t="s">
        <v>831</v>
      </c>
      <c r="R397" s="460" t="s">
        <v>832</v>
      </c>
      <c r="S397" s="270" t="s">
        <v>7</v>
      </c>
      <c r="U397" s="471"/>
      <c r="V397" s="471"/>
      <c r="W397" s="471" t="s">
        <v>832</v>
      </c>
      <c r="X397" s="471">
        <v>1</v>
      </c>
      <c r="Y397" s="206"/>
      <c r="Z397" s="206"/>
    </row>
    <row r="398" spans="1:26">
      <c r="A398" s="406">
        <v>395</v>
      </c>
      <c r="B398" s="613" t="s">
        <v>6280</v>
      </c>
      <c r="C398" s="288" t="s">
        <v>833</v>
      </c>
      <c r="D398" s="414" t="s">
        <v>4202</v>
      </c>
      <c r="E398" s="407" t="s">
        <v>9312</v>
      </c>
      <c r="F398" s="483"/>
      <c r="G398" s="483"/>
      <c r="H398" s="483"/>
      <c r="I398" s="483"/>
      <c r="J398" s="483"/>
      <c r="K398" s="483"/>
      <c r="L398" s="608" t="s">
        <v>4884</v>
      </c>
      <c r="M398" s="409">
        <v>4498.7283464566935</v>
      </c>
      <c r="N398" s="409">
        <v>4498.7283464566935</v>
      </c>
      <c r="O398" s="410" t="s">
        <v>7569</v>
      </c>
      <c r="P398" s="406">
        <v>395</v>
      </c>
      <c r="Q398" s="470" t="s">
        <v>833</v>
      </c>
      <c r="R398" s="460" t="s">
        <v>834</v>
      </c>
      <c r="S398" s="270" t="s">
        <v>7</v>
      </c>
      <c r="U398" s="471"/>
      <c r="V398" s="471"/>
      <c r="W398" s="471" t="s">
        <v>834</v>
      </c>
      <c r="X398" s="471">
        <v>1</v>
      </c>
      <c r="Y398" s="206"/>
      <c r="Z398" s="206"/>
    </row>
    <row r="399" spans="1:26">
      <c r="A399" s="406">
        <v>396</v>
      </c>
      <c r="B399" s="613" t="s">
        <v>6281</v>
      </c>
      <c r="C399" s="288" t="s">
        <v>835</v>
      </c>
      <c r="D399" s="414" t="s">
        <v>4186</v>
      </c>
      <c r="E399" s="407" t="s">
        <v>9313</v>
      </c>
      <c r="F399" s="483"/>
      <c r="G399" s="483"/>
      <c r="H399" s="483"/>
      <c r="I399" s="483"/>
      <c r="J399" s="483"/>
      <c r="K399" s="483"/>
      <c r="L399" s="608" t="s">
        <v>4884</v>
      </c>
      <c r="M399" s="409">
        <v>3626.0433070866143</v>
      </c>
      <c r="N399" s="409">
        <v>3626.0433070866143</v>
      </c>
      <c r="O399" s="410" t="s">
        <v>7574</v>
      </c>
      <c r="P399" s="406">
        <v>396</v>
      </c>
      <c r="Q399" s="470" t="s">
        <v>835</v>
      </c>
      <c r="R399" s="460" t="s">
        <v>836</v>
      </c>
      <c r="S399" s="270" t="s">
        <v>7</v>
      </c>
      <c r="U399" s="471"/>
      <c r="V399" s="471"/>
      <c r="W399" s="471" t="s">
        <v>836</v>
      </c>
      <c r="X399" s="471">
        <v>1</v>
      </c>
      <c r="Y399" s="206"/>
      <c r="Z399" s="206"/>
    </row>
    <row r="400" spans="1:26">
      <c r="A400" s="406">
        <v>397</v>
      </c>
      <c r="B400" s="613" t="s">
        <v>6282</v>
      </c>
      <c r="C400" s="288" t="s">
        <v>837</v>
      </c>
      <c r="D400" s="414" t="s">
        <v>4184</v>
      </c>
      <c r="E400" s="407" t="s">
        <v>9314</v>
      </c>
      <c r="F400" s="483"/>
      <c r="G400" s="483"/>
      <c r="H400" s="483"/>
      <c r="I400" s="483"/>
      <c r="J400" s="483"/>
      <c r="K400" s="483"/>
      <c r="L400" s="608" t="s">
        <v>4884</v>
      </c>
      <c r="M400" s="409">
        <v>3285.1181102362202</v>
      </c>
      <c r="N400" s="409">
        <v>3285.1181102362202</v>
      </c>
      <c r="O400" s="410" t="s">
        <v>7575</v>
      </c>
      <c r="P400" s="406">
        <v>397</v>
      </c>
      <c r="Q400" s="470" t="s">
        <v>837</v>
      </c>
      <c r="R400" s="460" t="s">
        <v>838</v>
      </c>
      <c r="S400" s="270" t="s">
        <v>7</v>
      </c>
      <c r="U400" s="471"/>
      <c r="V400" s="471"/>
      <c r="W400" s="471" t="s">
        <v>838</v>
      </c>
      <c r="X400" s="471">
        <v>1</v>
      </c>
      <c r="Y400" s="206"/>
      <c r="Z400" s="206"/>
    </row>
    <row r="401" spans="1:26">
      <c r="A401" s="406">
        <v>398</v>
      </c>
      <c r="B401" s="613" t="s">
        <v>6283</v>
      </c>
      <c r="C401" s="288" t="s">
        <v>839</v>
      </c>
      <c r="D401" s="414" t="s">
        <v>4157</v>
      </c>
      <c r="E401" s="407" t="s">
        <v>9315</v>
      </c>
      <c r="F401" s="483"/>
      <c r="G401" s="483"/>
      <c r="H401" s="483"/>
      <c r="I401" s="483"/>
      <c r="J401" s="483"/>
      <c r="K401" s="483"/>
      <c r="L401" s="608" t="s">
        <v>4884</v>
      </c>
      <c r="M401" s="409">
        <v>4906.9251968503941</v>
      </c>
      <c r="N401" s="409">
        <v>4906.9251968503941</v>
      </c>
      <c r="O401" s="410" t="s">
        <v>7575</v>
      </c>
      <c r="P401" s="406">
        <v>398</v>
      </c>
      <c r="Q401" s="470" t="s">
        <v>839</v>
      </c>
      <c r="R401" s="460" t="s">
        <v>840</v>
      </c>
      <c r="S401" s="270" t="s">
        <v>7</v>
      </c>
      <c r="U401" s="471"/>
      <c r="V401" s="471"/>
      <c r="W401" s="471" t="s">
        <v>840</v>
      </c>
      <c r="X401" s="471">
        <v>1</v>
      </c>
      <c r="Y401" s="206"/>
      <c r="Z401" s="206"/>
    </row>
    <row r="402" spans="1:26">
      <c r="A402" s="406">
        <v>399</v>
      </c>
      <c r="B402" s="613" t="s">
        <v>4899</v>
      </c>
      <c r="C402" s="288" t="s">
        <v>841</v>
      </c>
      <c r="D402" s="414" t="s">
        <v>4158</v>
      </c>
      <c r="E402" s="407" t="s">
        <v>9316</v>
      </c>
      <c r="F402" s="483" t="s">
        <v>4900</v>
      </c>
      <c r="G402" s="411"/>
      <c r="H402" s="411"/>
      <c r="I402" s="411"/>
      <c r="J402" s="411"/>
      <c r="K402" s="411"/>
      <c r="L402" s="608">
        <v>0</v>
      </c>
      <c r="M402" s="409">
        <v>5551.070866141732</v>
      </c>
      <c r="N402" s="409">
        <v>5551.070866141732</v>
      </c>
      <c r="O402" s="410" t="s">
        <v>7570</v>
      </c>
      <c r="P402" s="406">
        <v>399</v>
      </c>
      <c r="Q402" s="470" t="s">
        <v>841</v>
      </c>
      <c r="R402" s="460" t="s">
        <v>842</v>
      </c>
      <c r="S402" s="270" t="s">
        <v>7</v>
      </c>
      <c r="U402" s="471"/>
      <c r="V402" s="471"/>
      <c r="W402" s="471" t="s">
        <v>842</v>
      </c>
      <c r="X402" s="471">
        <v>1</v>
      </c>
      <c r="Y402" s="206"/>
      <c r="Z402" s="206"/>
    </row>
    <row r="403" spans="1:26">
      <c r="A403" s="406">
        <v>400</v>
      </c>
      <c r="B403" s="613" t="s">
        <v>6284</v>
      </c>
      <c r="C403" s="288" t="s">
        <v>843</v>
      </c>
      <c r="D403" s="414" t="s">
        <v>4219</v>
      </c>
      <c r="E403" s="407" t="s">
        <v>9317</v>
      </c>
      <c r="F403" s="483"/>
      <c r="G403" s="483"/>
      <c r="H403" s="483"/>
      <c r="I403" s="483"/>
      <c r="J403" s="483"/>
      <c r="K403" s="483"/>
      <c r="L403" s="608" t="s">
        <v>4884</v>
      </c>
      <c r="M403" s="409">
        <v>3721.944881889764</v>
      </c>
      <c r="N403" s="409">
        <v>3721.944881889764</v>
      </c>
      <c r="O403" s="410" t="s">
        <v>7572</v>
      </c>
      <c r="P403" s="406">
        <v>400</v>
      </c>
      <c r="Q403" s="470" t="s">
        <v>843</v>
      </c>
      <c r="R403" s="460" t="s">
        <v>844</v>
      </c>
      <c r="S403" s="270" t="s">
        <v>7</v>
      </c>
      <c r="U403" s="471"/>
      <c r="V403" s="471"/>
      <c r="W403" s="471" t="s">
        <v>844</v>
      </c>
      <c r="X403" s="471">
        <v>1</v>
      </c>
      <c r="Y403" s="206"/>
      <c r="Z403" s="206"/>
    </row>
    <row r="404" spans="1:26">
      <c r="A404" s="406">
        <v>401</v>
      </c>
      <c r="B404" s="613" t="s">
        <v>6294</v>
      </c>
      <c r="C404" s="288" t="s">
        <v>845</v>
      </c>
      <c r="D404" s="414" t="s">
        <v>4221</v>
      </c>
      <c r="E404" s="407" t="s">
        <v>9318</v>
      </c>
      <c r="F404" s="483"/>
      <c r="G404" s="483"/>
      <c r="H404" s="483"/>
      <c r="I404" s="483"/>
      <c r="J404" s="483"/>
      <c r="K404" s="483"/>
      <c r="L404" s="608" t="s">
        <v>4884</v>
      </c>
      <c r="M404" s="409">
        <v>3597.9055118110236</v>
      </c>
      <c r="N404" s="409">
        <v>3597.9055118110236</v>
      </c>
      <c r="O404" s="410" t="s">
        <v>7572</v>
      </c>
      <c r="P404" s="406">
        <v>401</v>
      </c>
      <c r="Q404" s="470" t="s">
        <v>845</v>
      </c>
      <c r="R404" s="460" t="s">
        <v>846</v>
      </c>
      <c r="S404" s="270" t="s">
        <v>7</v>
      </c>
      <c r="U404" s="471"/>
      <c r="V404" s="471"/>
      <c r="W404" s="471" t="s">
        <v>846</v>
      </c>
      <c r="X404" s="471">
        <v>1</v>
      </c>
      <c r="Y404" s="206"/>
      <c r="Z404" s="206"/>
    </row>
    <row r="405" spans="1:26">
      <c r="A405" s="406">
        <v>402</v>
      </c>
      <c r="B405" s="613" t="s">
        <v>6285</v>
      </c>
      <c r="C405" s="288" t="s">
        <v>847</v>
      </c>
      <c r="D405" s="414" t="s">
        <v>4152</v>
      </c>
      <c r="E405" s="407" t="s">
        <v>9319</v>
      </c>
      <c r="F405" s="483"/>
      <c r="G405" s="483"/>
      <c r="H405" s="483"/>
      <c r="I405" s="483"/>
      <c r="J405" s="483"/>
      <c r="K405" s="483"/>
      <c r="L405" s="608" t="s">
        <v>4884</v>
      </c>
      <c r="M405" s="409">
        <v>4181.1811023622049</v>
      </c>
      <c r="N405" s="409">
        <v>4181.1811023622049</v>
      </c>
      <c r="O405" s="410" t="s">
        <v>7569</v>
      </c>
      <c r="P405" s="406">
        <v>402</v>
      </c>
      <c r="Q405" s="470" t="s">
        <v>847</v>
      </c>
      <c r="R405" s="460" t="s">
        <v>848</v>
      </c>
      <c r="S405" s="270" t="s">
        <v>7</v>
      </c>
      <c r="U405" s="471"/>
      <c r="V405" s="471"/>
      <c r="W405" s="471" t="s">
        <v>848</v>
      </c>
      <c r="X405" s="471">
        <v>1</v>
      </c>
      <c r="Y405" s="206"/>
      <c r="Z405" s="206"/>
    </row>
    <row r="406" spans="1:26">
      <c r="A406" s="406">
        <v>403</v>
      </c>
      <c r="B406" s="613" t="s">
        <v>6286</v>
      </c>
      <c r="C406" s="288" t="s">
        <v>849</v>
      </c>
      <c r="D406" s="414" t="s">
        <v>4144</v>
      </c>
      <c r="E406" s="407" t="s">
        <v>9320</v>
      </c>
      <c r="F406" s="483"/>
      <c r="G406" s="483"/>
      <c r="H406" s="483"/>
      <c r="I406" s="483"/>
      <c r="J406" s="483"/>
      <c r="K406" s="483"/>
      <c r="L406" s="608" t="s">
        <v>4884</v>
      </c>
      <c r="M406" s="409">
        <v>4298.6692913385832</v>
      </c>
      <c r="N406" s="409">
        <v>4298.6692913385832</v>
      </c>
      <c r="O406" s="410" t="s">
        <v>7574</v>
      </c>
      <c r="P406" s="406">
        <v>403</v>
      </c>
      <c r="Q406" s="470" t="s">
        <v>849</v>
      </c>
      <c r="R406" s="460" t="s">
        <v>850</v>
      </c>
      <c r="S406" s="270" t="s">
        <v>7</v>
      </c>
      <c r="U406" s="471"/>
      <c r="V406" s="471"/>
      <c r="W406" s="471" t="s">
        <v>850</v>
      </c>
      <c r="X406" s="471">
        <v>1</v>
      </c>
      <c r="Y406" s="206"/>
      <c r="Z406" s="206"/>
    </row>
    <row r="407" spans="1:26">
      <c r="A407" s="406">
        <v>404</v>
      </c>
      <c r="B407" s="613" t="s">
        <v>6287</v>
      </c>
      <c r="C407" s="288" t="s">
        <v>851</v>
      </c>
      <c r="D407" s="414" t="s">
        <v>3737</v>
      </c>
      <c r="E407" s="407" t="s">
        <v>9321</v>
      </c>
      <c r="F407" s="483"/>
      <c r="G407" s="483"/>
      <c r="H407" s="483"/>
      <c r="I407" s="483"/>
      <c r="J407" s="483"/>
      <c r="K407" s="483"/>
      <c r="L407" s="608" t="s">
        <v>4884</v>
      </c>
      <c r="M407" s="409">
        <v>5919.2952755905517</v>
      </c>
      <c r="N407" s="409">
        <v>5919.2952755905517</v>
      </c>
      <c r="O407" s="410" t="s">
        <v>7573</v>
      </c>
      <c r="P407" s="406">
        <v>404</v>
      </c>
      <c r="Q407" s="470" t="s">
        <v>851</v>
      </c>
      <c r="R407" s="460" t="s">
        <v>852</v>
      </c>
      <c r="S407" s="270" t="s">
        <v>7</v>
      </c>
      <c r="U407" s="471"/>
      <c r="V407" s="471"/>
      <c r="W407" s="471" t="s">
        <v>852</v>
      </c>
      <c r="X407" s="471">
        <v>1</v>
      </c>
      <c r="Y407" s="206"/>
      <c r="Z407" s="206"/>
    </row>
    <row r="408" spans="1:26">
      <c r="A408" s="406">
        <v>405</v>
      </c>
      <c r="B408" s="613" t="s">
        <v>6737</v>
      </c>
      <c r="C408" s="288" t="s">
        <v>853</v>
      </c>
      <c r="D408" s="414" t="s">
        <v>4164</v>
      </c>
      <c r="E408" s="407" t="s">
        <v>9322</v>
      </c>
      <c r="F408" s="483" t="s">
        <v>6725</v>
      </c>
      <c r="G408" s="483" t="s">
        <v>6736</v>
      </c>
      <c r="H408" s="411" t="s">
        <v>6763</v>
      </c>
      <c r="I408" s="411"/>
      <c r="J408" s="411"/>
      <c r="K408" s="411"/>
      <c r="L408" s="608">
        <v>2899.6456692913384</v>
      </c>
      <c r="M408" s="409">
        <v>2024.6811023622049</v>
      </c>
      <c r="N408" s="409">
        <v>4924.3267716535438</v>
      </c>
      <c r="O408" s="410" t="s">
        <v>7781</v>
      </c>
      <c r="P408" s="406">
        <v>405</v>
      </c>
      <c r="Q408" s="470" t="s">
        <v>853</v>
      </c>
      <c r="R408" s="460" t="s">
        <v>854</v>
      </c>
      <c r="S408" s="270" t="s">
        <v>7</v>
      </c>
      <c r="U408" s="471"/>
      <c r="V408" s="471"/>
      <c r="W408" s="471" t="s">
        <v>854</v>
      </c>
      <c r="X408" s="471">
        <v>1</v>
      </c>
      <c r="Y408" s="206"/>
      <c r="Z408" s="206"/>
    </row>
    <row r="409" spans="1:26">
      <c r="A409" s="406">
        <v>406</v>
      </c>
      <c r="B409" s="613" t="s">
        <v>6288</v>
      </c>
      <c r="C409" s="288" t="s">
        <v>855</v>
      </c>
      <c r="D409" s="414" t="s">
        <v>4133</v>
      </c>
      <c r="E409" s="407" t="s">
        <v>9323</v>
      </c>
      <c r="F409" s="483"/>
      <c r="G409" s="483"/>
      <c r="H409" s="483"/>
      <c r="I409" s="483"/>
      <c r="J409" s="483"/>
      <c r="K409" s="483"/>
      <c r="L409" s="608" t="s">
        <v>4884</v>
      </c>
      <c r="M409" s="409">
        <v>4168.4921259842522</v>
      </c>
      <c r="N409" s="409">
        <v>4168.4921259842522</v>
      </c>
      <c r="O409" s="410" t="s">
        <v>7573</v>
      </c>
      <c r="P409" s="406">
        <v>406</v>
      </c>
      <c r="Q409" s="470" t="s">
        <v>855</v>
      </c>
      <c r="R409" s="460" t="s">
        <v>856</v>
      </c>
      <c r="S409" s="270" t="s">
        <v>7</v>
      </c>
      <c r="U409" s="471"/>
      <c r="V409" s="471"/>
      <c r="W409" s="471" t="s">
        <v>856</v>
      </c>
      <c r="X409" s="471">
        <v>1</v>
      </c>
      <c r="Y409" s="206"/>
      <c r="Z409" s="206"/>
    </row>
    <row r="410" spans="1:26">
      <c r="A410" s="406">
        <v>407</v>
      </c>
      <c r="B410" s="613" t="s">
        <v>6289</v>
      </c>
      <c r="C410" s="288" t="s">
        <v>857</v>
      </c>
      <c r="D410" s="414" t="s">
        <v>4222</v>
      </c>
      <c r="E410" s="407" t="s">
        <v>9324</v>
      </c>
      <c r="F410" s="483"/>
      <c r="G410" s="483"/>
      <c r="H410" s="483"/>
      <c r="I410" s="483"/>
      <c r="J410" s="483"/>
      <c r="K410" s="483"/>
      <c r="L410" s="608" t="s">
        <v>4884</v>
      </c>
      <c r="M410" s="409">
        <v>3860.8188976377955</v>
      </c>
      <c r="N410" s="409">
        <v>3860.8188976377955</v>
      </c>
      <c r="O410" s="410" t="s">
        <v>7572</v>
      </c>
      <c r="P410" s="406">
        <v>407</v>
      </c>
      <c r="Q410" s="470" t="s">
        <v>857</v>
      </c>
      <c r="R410" s="460" t="s">
        <v>858</v>
      </c>
      <c r="S410" s="270" t="s">
        <v>7</v>
      </c>
      <c r="U410" s="471"/>
      <c r="V410" s="471"/>
      <c r="W410" s="471" t="s">
        <v>858</v>
      </c>
      <c r="X410" s="471">
        <v>1</v>
      </c>
      <c r="Y410" s="206"/>
      <c r="Z410" s="206"/>
    </row>
    <row r="411" spans="1:26">
      <c r="A411" s="406">
        <v>408</v>
      </c>
      <c r="B411" s="613" t="s">
        <v>6290</v>
      </c>
      <c r="C411" s="288" t="s">
        <v>859</v>
      </c>
      <c r="D411" s="414" t="s">
        <v>4163</v>
      </c>
      <c r="E411" s="407" t="s">
        <v>9325</v>
      </c>
      <c r="F411" s="483"/>
      <c r="G411" s="483"/>
      <c r="H411" s="483"/>
      <c r="I411" s="483"/>
      <c r="J411" s="483"/>
      <c r="K411" s="483"/>
      <c r="L411" s="608" t="s">
        <v>4884</v>
      </c>
      <c r="M411" s="409">
        <v>5258.8385826771655</v>
      </c>
      <c r="N411" s="409">
        <v>5258.8385826771655</v>
      </c>
      <c r="O411" s="410" t="s">
        <v>7576</v>
      </c>
      <c r="P411" s="406">
        <v>408</v>
      </c>
      <c r="Q411" s="470" t="s">
        <v>859</v>
      </c>
      <c r="R411" s="460" t="s">
        <v>860</v>
      </c>
      <c r="S411" s="270" t="s">
        <v>7</v>
      </c>
      <c r="U411" s="471"/>
      <c r="V411" s="471"/>
      <c r="W411" s="471" t="s">
        <v>860</v>
      </c>
      <c r="X411" s="471">
        <v>1</v>
      </c>
      <c r="Y411" s="206"/>
      <c r="Z411" s="206"/>
    </row>
    <row r="412" spans="1:26">
      <c r="A412" s="406">
        <v>409</v>
      </c>
      <c r="B412" s="613" t="s">
        <v>6291</v>
      </c>
      <c r="C412" s="288" t="s">
        <v>861</v>
      </c>
      <c r="D412" s="414" t="s">
        <v>4142</v>
      </c>
      <c r="E412" s="407" t="s">
        <v>9326</v>
      </c>
      <c r="F412" s="483"/>
      <c r="G412" s="483"/>
      <c r="H412" s="483"/>
      <c r="I412" s="483"/>
      <c r="J412" s="483"/>
      <c r="K412" s="483"/>
      <c r="L412" s="608" t="s">
        <v>4884</v>
      </c>
      <c r="M412" s="409">
        <v>3753.0590551181103</v>
      </c>
      <c r="N412" s="409">
        <v>3753.0590551181103</v>
      </c>
      <c r="O412" s="410" t="s">
        <v>7569</v>
      </c>
      <c r="P412" s="406">
        <v>409</v>
      </c>
      <c r="Q412" s="470" t="s">
        <v>861</v>
      </c>
      <c r="R412" s="460" t="s">
        <v>862</v>
      </c>
      <c r="S412" s="270" t="s">
        <v>7</v>
      </c>
      <c r="U412" s="471"/>
      <c r="V412" s="471"/>
      <c r="W412" s="471" t="s">
        <v>862</v>
      </c>
      <c r="X412" s="471">
        <v>1</v>
      </c>
      <c r="Y412" s="206"/>
      <c r="Z412" s="206"/>
    </row>
    <row r="413" spans="1:26">
      <c r="A413" s="406">
        <v>410</v>
      </c>
      <c r="B413" s="613" t="s">
        <v>6292</v>
      </c>
      <c r="C413" s="288" t="s">
        <v>863</v>
      </c>
      <c r="D413" s="414" t="s">
        <v>4175</v>
      </c>
      <c r="E413" s="407" t="s">
        <v>9327</v>
      </c>
      <c r="F413" s="483"/>
      <c r="G413" s="483"/>
      <c r="H413" s="483"/>
      <c r="I413" s="483"/>
      <c r="J413" s="483"/>
      <c r="K413" s="483"/>
      <c r="L413" s="608" t="s">
        <v>4884</v>
      </c>
      <c r="M413" s="409">
        <v>4487.9881889763783</v>
      </c>
      <c r="N413" s="409">
        <v>4487.9881889763783</v>
      </c>
      <c r="O413" s="410" t="s">
        <v>7572</v>
      </c>
      <c r="P413" s="406">
        <v>410</v>
      </c>
      <c r="Q413" s="470" t="s">
        <v>863</v>
      </c>
      <c r="R413" s="460" t="s">
        <v>864</v>
      </c>
      <c r="S413" s="270" t="s">
        <v>7</v>
      </c>
      <c r="U413" s="471"/>
      <c r="V413" s="471"/>
      <c r="W413" s="471" t="s">
        <v>864</v>
      </c>
      <c r="X413" s="471">
        <v>1</v>
      </c>
      <c r="Y413" s="206"/>
      <c r="Z413" s="206"/>
    </row>
    <row r="414" spans="1:26">
      <c r="A414" s="406">
        <v>411</v>
      </c>
      <c r="B414" s="613" t="s">
        <v>6293</v>
      </c>
      <c r="C414" s="288" t="s">
        <v>865</v>
      </c>
      <c r="D414" s="414" t="s">
        <v>4178</v>
      </c>
      <c r="E414" s="407" t="s">
        <v>9328</v>
      </c>
      <c r="F414" s="483"/>
      <c r="G414" s="483"/>
      <c r="H414" s="483"/>
      <c r="I414" s="483"/>
      <c r="J414" s="483"/>
      <c r="K414" s="483"/>
      <c r="L414" s="608" t="s">
        <v>4884</v>
      </c>
      <c r="M414" s="409">
        <v>4484.5472440944886</v>
      </c>
      <c r="N414" s="409">
        <v>4484.5472440944886</v>
      </c>
      <c r="O414" s="410" t="s">
        <v>7572</v>
      </c>
      <c r="P414" s="406">
        <v>411</v>
      </c>
      <c r="Q414" s="470" t="s">
        <v>865</v>
      </c>
      <c r="R414" s="460" t="s">
        <v>866</v>
      </c>
      <c r="S414" s="270" t="s">
        <v>7</v>
      </c>
      <c r="U414" s="471"/>
      <c r="V414" s="471"/>
      <c r="W414" s="471" t="s">
        <v>866</v>
      </c>
      <c r="X414" s="471">
        <v>1</v>
      </c>
      <c r="Y414" s="206"/>
      <c r="Z414" s="206"/>
    </row>
    <row r="415" spans="1:26">
      <c r="A415" s="406">
        <v>412</v>
      </c>
      <c r="B415" s="613" t="s">
        <v>5441</v>
      </c>
      <c r="C415" s="288" t="s">
        <v>867</v>
      </c>
      <c r="D415" s="414" t="s">
        <v>3732</v>
      </c>
      <c r="E415" s="407" t="s">
        <v>9076</v>
      </c>
      <c r="F415" s="483" t="s">
        <v>5439</v>
      </c>
      <c r="G415" s="411" t="s">
        <v>5442</v>
      </c>
      <c r="H415" s="411"/>
      <c r="I415" s="411"/>
      <c r="J415" s="411"/>
      <c r="K415" s="411"/>
      <c r="L415" s="608">
        <v>11423.161417322835</v>
      </c>
      <c r="M415" s="409">
        <v>8033.7677165354335</v>
      </c>
      <c r="N415" s="409">
        <v>19456.92913385827</v>
      </c>
      <c r="O415" s="410" t="s">
        <v>7786</v>
      </c>
      <c r="P415" s="406">
        <v>412</v>
      </c>
      <c r="Q415" s="470" t="s">
        <v>867</v>
      </c>
      <c r="R415" s="460" t="s">
        <v>868</v>
      </c>
      <c r="S415" s="270" t="s">
        <v>7</v>
      </c>
      <c r="U415" s="471"/>
      <c r="V415" s="471"/>
      <c r="W415" s="471" t="s">
        <v>868</v>
      </c>
      <c r="X415" s="471">
        <v>1</v>
      </c>
      <c r="Y415" s="206"/>
      <c r="Z415" s="206"/>
    </row>
    <row r="416" spans="1:26">
      <c r="A416" s="406">
        <v>413</v>
      </c>
      <c r="B416" s="613" t="s">
        <v>6295</v>
      </c>
      <c r="C416" s="288" t="s">
        <v>869</v>
      </c>
      <c r="D416" s="414" t="s">
        <v>4177</v>
      </c>
      <c r="E416" s="407" t="s">
        <v>9329</v>
      </c>
      <c r="F416" s="483"/>
      <c r="G416" s="483"/>
      <c r="H416" s="483"/>
      <c r="I416" s="483"/>
      <c r="J416" s="483"/>
      <c r="K416" s="483"/>
      <c r="L416" s="608" t="s">
        <v>4884</v>
      </c>
      <c r="M416" s="409">
        <v>4351.141732283465</v>
      </c>
      <c r="N416" s="409">
        <v>4351.141732283465</v>
      </c>
      <c r="O416" s="410" t="s">
        <v>7572</v>
      </c>
      <c r="P416" s="406">
        <v>413</v>
      </c>
      <c r="Q416" s="470" t="s">
        <v>869</v>
      </c>
      <c r="R416" s="460" t="s">
        <v>870</v>
      </c>
      <c r="S416" s="270" t="s">
        <v>7</v>
      </c>
      <c r="U416" s="471"/>
      <c r="V416" s="471"/>
      <c r="W416" s="471" t="s">
        <v>870</v>
      </c>
      <c r="X416" s="471">
        <v>1</v>
      </c>
      <c r="Y416" s="206"/>
      <c r="Z416" s="206"/>
    </row>
    <row r="417" spans="1:26">
      <c r="A417" s="406">
        <v>414</v>
      </c>
      <c r="B417" s="613" t="s">
        <v>6296</v>
      </c>
      <c r="C417" s="288" t="s">
        <v>871</v>
      </c>
      <c r="D417" s="414" t="s">
        <v>4140</v>
      </c>
      <c r="E417" s="407" t="s">
        <v>9330</v>
      </c>
      <c r="F417" s="483"/>
      <c r="G417" s="483"/>
      <c r="H417" s="483"/>
      <c r="I417" s="483"/>
      <c r="J417" s="483"/>
      <c r="K417" s="483"/>
      <c r="L417" s="608" t="s">
        <v>4884</v>
      </c>
      <c r="M417" s="409">
        <v>4033.3779527559059</v>
      </c>
      <c r="N417" s="409">
        <v>4033.3779527559059</v>
      </c>
      <c r="O417" s="410" t="s">
        <v>7575</v>
      </c>
      <c r="P417" s="406">
        <v>414</v>
      </c>
      <c r="Q417" s="470" t="s">
        <v>871</v>
      </c>
      <c r="R417" s="460" t="s">
        <v>872</v>
      </c>
      <c r="S417" s="270" t="s">
        <v>7</v>
      </c>
      <c r="U417" s="471"/>
      <c r="V417" s="471"/>
      <c r="W417" s="471" t="s">
        <v>872</v>
      </c>
      <c r="X417" s="471">
        <v>1</v>
      </c>
      <c r="Y417" s="206"/>
      <c r="Z417" s="206"/>
    </row>
    <row r="418" spans="1:26">
      <c r="A418" s="406">
        <v>415</v>
      </c>
      <c r="B418" s="613" t="s">
        <v>6297</v>
      </c>
      <c r="C418" s="288" t="s">
        <v>873</v>
      </c>
      <c r="D418" s="414" t="s">
        <v>4172</v>
      </c>
      <c r="E418" s="407" t="s">
        <v>9331</v>
      </c>
      <c r="F418" s="483"/>
      <c r="G418" s="483"/>
      <c r="H418" s="483"/>
      <c r="I418" s="483"/>
      <c r="J418" s="483"/>
      <c r="K418" s="483"/>
      <c r="L418" s="608" t="s">
        <v>4884</v>
      </c>
      <c r="M418" s="409">
        <v>4996.6889763779527</v>
      </c>
      <c r="N418" s="409">
        <v>4996.6889763779527</v>
      </c>
      <c r="O418" s="410" t="s">
        <v>7576</v>
      </c>
      <c r="P418" s="406">
        <v>415</v>
      </c>
      <c r="Q418" s="470" t="s">
        <v>873</v>
      </c>
      <c r="R418" s="460" t="s">
        <v>874</v>
      </c>
      <c r="S418" s="270" t="s">
        <v>7</v>
      </c>
      <c r="U418" s="471"/>
      <c r="V418" s="471"/>
      <c r="W418" s="471" t="s">
        <v>874</v>
      </c>
      <c r="X418" s="471">
        <v>1</v>
      </c>
      <c r="Y418" s="206"/>
      <c r="Z418" s="206"/>
    </row>
    <row r="419" spans="1:26">
      <c r="A419" s="406">
        <v>416</v>
      </c>
      <c r="B419" s="613" t="s">
        <v>6298</v>
      </c>
      <c r="C419" s="288" t="s">
        <v>875</v>
      </c>
      <c r="D419" s="414" t="s">
        <v>4143</v>
      </c>
      <c r="E419" s="407" t="s">
        <v>9332</v>
      </c>
      <c r="F419" s="483"/>
      <c r="G419" s="483"/>
      <c r="H419" s="483"/>
      <c r="I419" s="483"/>
      <c r="J419" s="483"/>
      <c r="K419" s="483"/>
      <c r="L419" s="608" t="s">
        <v>4884</v>
      </c>
      <c r="M419" s="409">
        <v>4314.7637795275596</v>
      </c>
      <c r="N419" s="409">
        <v>4314.7637795275596</v>
      </c>
      <c r="O419" s="410" t="s">
        <v>7574</v>
      </c>
      <c r="P419" s="406">
        <v>416</v>
      </c>
      <c r="Q419" s="470" t="s">
        <v>875</v>
      </c>
      <c r="R419" s="460" t="s">
        <v>876</v>
      </c>
      <c r="S419" s="270" t="s">
        <v>7</v>
      </c>
      <c r="U419" s="471"/>
      <c r="V419" s="471"/>
      <c r="W419" s="471" t="s">
        <v>876</v>
      </c>
      <c r="X419" s="471">
        <v>1</v>
      </c>
      <c r="Y419" s="206"/>
      <c r="Z419" s="206"/>
    </row>
    <row r="420" spans="1:26">
      <c r="A420" s="406">
        <v>417</v>
      </c>
      <c r="B420" s="613" t="s">
        <v>6299</v>
      </c>
      <c r="C420" s="288" t="s">
        <v>877</v>
      </c>
      <c r="D420" s="414" t="s">
        <v>4121</v>
      </c>
      <c r="E420" s="407" t="s">
        <v>9333</v>
      </c>
      <c r="F420" s="483"/>
      <c r="G420" s="483"/>
      <c r="H420" s="483"/>
      <c r="I420" s="483"/>
      <c r="J420" s="483"/>
      <c r="K420" s="483"/>
      <c r="L420" s="608" t="s">
        <v>4884</v>
      </c>
      <c r="M420" s="409">
        <v>4551.1653543307084</v>
      </c>
      <c r="N420" s="409">
        <v>4551.1653543307084</v>
      </c>
      <c r="O420" s="410" t="s">
        <v>7575</v>
      </c>
      <c r="P420" s="406">
        <v>417</v>
      </c>
      <c r="Q420" s="470" t="s">
        <v>877</v>
      </c>
      <c r="R420" s="460" t="s">
        <v>878</v>
      </c>
      <c r="S420" s="270" t="s">
        <v>7</v>
      </c>
      <c r="U420" s="471"/>
      <c r="V420" s="471"/>
      <c r="W420" s="471" t="s">
        <v>878</v>
      </c>
      <c r="X420" s="471">
        <v>1</v>
      </c>
      <c r="Y420" s="206"/>
      <c r="Z420" s="206"/>
    </row>
    <row r="421" spans="1:26">
      <c r="A421" s="406">
        <v>418</v>
      </c>
      <c r="B421" s="613" t="s">
        <v>6300</v>
      </c>
      <c r="C421" s="288" t="s">
        <v>879</v>
      </c>
      <c r="D421" s="414" t="s">
        <v>4125</v>
      </c>
      <c r="E421" s="407" t="s">
        <v>9334</v>
      </c>
      <c r="F421" s="483"/>
      <c r="G421" s="483"/>
      <c r="H421" s="483"/>
      <c r="I421" s="483"/>
      <c r="J421" s="483"/>
      <c r="K421" s="483"/>
      <c r="L421" s="608" t="s">
        <v>4884</v>
      </c>
      <c r="M421" s="409">
        <v>4353.7204724409448</v>
      </c>
      <c r="N421" s="409">
        <v>4353.7204724409448</v>
      </c>
      <c r="O421" s="410" t="s">
        <v>7575</v>
      </c>
      <c r="P421" s="406">
        <v>418</v>
      </c>
      <c r="Q421" s="470" t="s">
        <v>879</v>
      </c>
      <c r="R421" s="460" t="s">
        <v>880</v>
      </c>
      <c r="S421" s="270" t="s">
        <v>7</v>
      </c>
      <c r="U421" s="471"/>
      <c r="V421" s="471"/>
      <c r="W421" s="471" t="s">
        <v>880</v>
      </c>
      <c r="X421" s="471">
        <v>1</v>
      </c>
      <c r="Y421" s="206"/>
      <c r="Z421" s="206"/>
    </row>
    <row r="422" spans="1:26">
      <c r="A422" s="406">
        <v>419</v>
      </c>
      <c r="B422" s="613" t="s">
        <v>6301</v>
      </c>
      <c r="C422" s="288" t="s">
        <v>881</v>
      </c>
      <c r="D422" s="414" t="s">
        <v>4212</v>
      </c>
      <c r="E422" s="407" t="s">
        <v>9335</v>
      </c>
      <c r="F422" s="483"/>
      <c r="G422" s="483"/>
      <c r="H422" s="483"/>
      <c r="I422" s="483"/>
      <c r="J422" s="483"/>
      <c r="K422" s="483"/>
      <c r="L422" s="608" t="s">
        <v>4884</v>
      </c>
      <c r="M422" s="409">
        <v>4777.3307086614177</v>
      </c>
      <c r="N422" s="409">
        <v>4777.3307086614177</v>
      </c>
      <c r="O422" s="410" t="s">
        <v>7576</v>
      </c>
      <c r="P422" s="406">
        <v>419</v>
      </c>
      <c r="Q422" s="470" t="s">
        <v>881</v>
      </c>
      <c r="R422" s="460" t="s">
        <v>882</v>
      </c>
      <c r="S422" s="270" t="s">
        <v>7</v>
      </c>
      <c r="U422" s="471"/>
      <c r="V422" s="471"/>
      <c r="W422" s="471" t="s">
        <v>882</v>
      </c>
      <c r="X422" s="471">
        <v>1</v>
      </c>
      <c r="Y422" s="206"/>
      <c r="Z422" s="206"/>
    </row>
    <row r="423" spans="1:26">
      <c r="A423" s="406">
        <v>420</v>
      </c>
      <c r="B423" s="613" t="s">
        <v>6302</v>
      </c>
      <c r="C423" s="288" t="s">
        <v>883</v>
      </c>
      <c r="D423" s="414" t="s">
        <v>4167</v>
      </c>
      <c r="E423" s="407" t="s">
        <v>9336</v>
      </c>
      <c r="F423" s="483"/>
      <c r="G423" s="483"/>
      <c r="H423" s="483"/>
      <c r="I423" s="483"/>
      <c r="J423" s="483"/>
      <c r="K423" s="483"/>
      <c r="L423" s="608" t="s">
        <v>4884</v>
      </c>
      <c r="M423" s="409">
        <v>4921.5826771653547</v>
      </c>
      <c r="N423" s="409">
        <v>4921.5826771653547</v>
      </c>
      <c r="O423" s="410" t="s">
        <v>7576</v>
      </c>
      <c r="P423" s="406">
        <v>420</v>
      </c>
      <c r="Q423" s="470" t="s">
        <v>883</v>
      </c>
      <c r="R423" s="460" t="s">
        <v>884</v>
      </c>
      <c r="S423" s="270" t="s">
        <v>7</v>
      </c>
      <c r="U423" s="471"/>
      <c r="V423" s="471"/>
      <c r="W423" s="471" t="s">
        <v>884</v>
      </c>
      <c r="X423" s="471">
        <v>1</v>
      </c>
      <c r="Y423" s="206"/>
      <c r="Z423" s="206"/>
    </row>
    <row r="424" spans="1:26">
      <c r="A424" s="406">
        <v>421</v>
      </c>
      <c r="B424" s="613" t="s">
        <v>6303</v>
      </c>
      <c r="C424" s="288" t="s">
        <v>885</v>
      </c>
      <c r="D424" s="414" t="s">
        <v>4134</v>
      </c>
      <c r="E424" s="407" t="s">
        <v>9337</v>
      </c>
      <c r="F424" s="483"/>
      <c r="G424" s="483"/>
      <c r="H424" s="483"/>
      <c r="I424" s="483"/>
      <c r="J424" s="483"/>
      <c r="K424" s="483"/>
      <c r="L424" s="608" t="s">
        <v>4884</v>
      </c>
      <c r="M424" s="409">
        <v>4338.8031496062995</v>
      </c>
      <c r="N424" s="409">
        <v>4338.8031496062995</v>
      </c>
      <c r="O424" s="410" t="s">
        <v>7573</v>
      </c>
      <c r="P424" s="406">
        <v>421</v>
      </c>
      <c r="Q424" s="470" t="s">
        <v>885</v>
      </c>
      <c r="R424" s="460" t="s">
        <v>886</v>
      </c>
      <c r="S424" s="270" t="s">
        <v>7</v>
      </c>
      <c r="U424" s="471"/>
      <c r="V424" s="471"/>
      <c r="W424" s="471" t="s">
        <v>886</v>
      </c>
      <c r="X424" s="471">
        <v>1</v>
      </c>
      <c r="Y424" s="206"/>
      <c r="Z424" s="206"/>
    </row>
    <row r="425" spans="1:26">
      <c r="A425" s="406">
        <v>422</v>
      </c>
      <c r="B425" s="613" t="s">
        <v>6304</v>
      </c>
      <c r="C425" s="288" t="s">
        <v>887</v>
      </c>
      <c r="D425" s="414" t="s">
        <v>4141</v>
      </c>
      <c r="E425" s="407" t="s">
        <v>9338</v>
      </c>
      <c r="F425" s="483"/>
      <c r="G425" s="483"/>
      <c r="H425" s="483"/>
      <c r="I425" s="483"/>
      <c r="J425" s="483"/>
      <c r="K425" s="483"/>
      <c r="L425" s="608" t="s">
        <v>4884</v>
      </c>
      <c r="M425" s="409">
        <v>3905.7716535433069</v>
      </c>
      <c r="N425" s="409">
        <v>3905.7716535433069</v>
      </c>
      <c r="O425" s="410" t="s">
        <v>7569</v>
      </c>
      <c r="P425" s="406">
        <v>422</v>
      </c>
      <c r="Q425" s="470" t="s">
        <v>887</v>
      </c>
      <c r="R425" s="460" t="s">
        <v>888</v>
      </c>
      <c r="S425" s="270" t="s">
        <v>7</v>
      </c>
      <c r="U425" s="471"/>
      <c r="V425" s="471"/>
      <c r="W425" s="471" t="s">
        <v>888</v>
      </c>
      <c r="X425" s="471">
        <v>1</v>
      </c>
      <c r="Y425" s="206"/>
      <c r="Z425" s="206"/>
    </row>
    <row r="426" spans="1:26">
      <c r="A426" s="406">
        <v>423</v>
      </c>
      <c r="B426" s="613" t="s">
        <v>6305</v>
      </c>
      <c r="C426" s="288" t="s">
        <v>889</v>
      </c>
      <c r="D426" s="414" t="s">
        <v>4131</v>
      </c>
      <c r="E426" s="407" t="s">
        <v>9339</v>
      </c>
      <c r="F426" s="483"/>
      <c r="G426" s="483"/>
      <c r="H426" s="483"/>
      <c r="I426" s="483"/>
      <c r="J426" s="483"/>
      <c r="K426" s="483"/>
      <c r="L426" s="608" t="s">
        <v>4884</v>
      </c>
      <c r="M426" s="409">
        <v>4487.0196850393704</v>
      </c>
      <c r="N426" s="409">
        <v>4487.0196850393704</v>
      </c>
      <c r="O426" s="410" t="s">
        <v>7575</v>
      </c>
      <c r="P426" s="406">
        <v>423</v>
      </c>
      <c r="Q426" s="470" t="s">
        <v>889</v>
      </c>
      <c r="R426" s="460" t="s">
        <v>890</v>
      </c>
      <c r="S426" s="270" t="s">
        <v>7</v>
      </c>
      <c r="U426" s="471"/>
      <c r="V426" s="471"/>
      <c r="W426" s="471" t="s">
        <v>890</v>
      </c>
      <c r="X426" s="471">
        <v>1</v>
      </c>
      <c r="Y426" s="206"/>
      <c r="Z426" s="206"/>
    </row>
    <row r="427" spans="1:26">
      <c r="A427" s="406">
        <v>424</v>
      </c>
      <c r="B427" s="613" t="s">
        <v>6306</v>
      </c>
      <c r="C427" s="288" t="s">
        <v>891</v>
      </c>
      <c r="D427" s="414" t="s">
        <v>3804</v>
      </c>
      <c r="E427" s="407" t="s">
        <v>9340</v>
      </c>
      <c r="F427" s="483"/>
      <c r="G427" s="483"/>
      <c r="H427" s="483"/>
      <c r="I427" s="483"/>
      <c r="J427" s="483"/>
      <c r="K427" s="483"/>
      <c r="L427" s="608" t="s">
        <v>4884</v>
      </c>
      <c r="M427" s="409">
        <v>6171.822834645669</v>
      </c>
      <c r="N427" s="409">
        <v>6171.822834645669</v>
      </c>
      <c r="O427" s="410" t="s">
        <v>7574</v>
      </c>
      <c r="P427" s="406">
        <v>424</v>
      </c>
      <c r="Q427" s="470" t="s">
        <v>891</v>
      </c>
      <c r="R427" s="460" t="s">
        <v>892</v>
      </c>
      <c r="S427" s="270" t="s">
        <v>7</v>
      </c>
      <c r="U427" s="471"/>
      <c r="V427" s="471"/>
      <c r="W427" s="471" t="s">
        <v>892</v>
      </c>
      <c r="X427" s="471">
        <v>1</v>
      </c>
      <c r="Y427" s="206"/>
      <c r="Z427" s="206"/>
    </row>
    <row r="428" spans="1:26">
      <c r="A428" s="406">
        <v>425</v>
      </c>
      <c r="B428" s="613" t="s">
        <v>6317</v>
      </c>
      <c r="C428" s="288" t="s">
        <v>893</v>
      </c>
      <c r="D428" s="414" t="s">
        <v>3778</v>
      </c>
      <c r="E428" s="407" t="s">
        <v>9341</v>
      </c>
      <c r="F428" s="483"/>
      <c r="G428" s="483"/>
      <c r="H428" s="483"/>
      <c r="I428" s="483"/>
      <c r="J428" s="483"/>
      <c r="K428" s="483"/>
      <c r="L428" s="608" t="s">
        <v>4884</v>
      </c>
      <c r="M428" s="409">
        <v>6677.6220472440955</v>
      </c>
      <c r="N428" s="409">
        <v>6677.6220472440955</v>
      </c>
      <c r="O428" s="410" t="s">
        <v>7569</v>
      </c>
      <c r="P428" s="406">
        <v>425</v>
      </c>
      <c r="Q428" s="470" t="s">
        <v>893</v>
      </c>
      <c r="R428" s="460" t="s">
        <v>894</v>
      </c>
      <c r="S428" s="270" t="s">
        <v>7</v>
      </c>
      <c r="U428" s="471"/>
      <c r="V428" s="471"/>
      <c r="W428" s="471" t="s">
        <v>894</v>
      </c>
      <c r="X428" s="471">
        <v>1</v>
      </c>
      <c r="Y428" s="206"/>
      <c r="Z428" s="206"/>
    </row>
    <row r="429" spans="1:26">
      <c r="A429" s="406">
        <v>426</v>
      </c>
      <c r="B429" s="613" t="s">
        <v>6307</v>
      </c>
      <c r="C429" s="288" t="s">
        <v>895</v>
      </c>
      <c r="D429" s="414" t="s">
        <v>3742</v>
      </c>
      <c r="E429" s="407" t="s">
        <v>9342</v>
      </c>
      <c r="F429" s="483"/>
      <c r="G429" s="483"/>
      <c r="H429" s="483"/>
      <c r="I429" s="483"/>
      <c r="J429" s="483"/>
      <c r="K429" s="483"/>
      <c r="L429" s="608" t="s">
        <v>4884</v>
      </c>
      <c r="M429" s="409">
        <v>5691.6889763779536</v>
      </c>
      <c r="N429" s="409">
        <v>5691.6889763779536</v>
      </c>
      <c r="O429" s="410" t="s">
        <v>7572</v>
      </c>
      <c r="P429" s="406">
        <v>426</v>
      </c>
      <c r="Q429" s="470" t="s">
        <v>895</v>
      </c>
      <c r="R429" s="460" t="s">
        <v>896</v>
      </c>
      <c r="S429" s="270" t="s">
        <v>7</v>
      </c>
      <c r="U429" s="471"/>
      <c r="V429" s="471"/>
      <c r="W429" s="471" t="s">
        <v>896</v>
      </c>
      <c r="X429" s="471">
        <v>1</v>
      </c>
      <c r="Y429" s="206"/>
      <c r="Z429" s="206"/>
    </row>
    <row r="430" spans="1:26">
      <c r="A430" s="406">
        <v>427</v>
      </c>
      <c r="B430" s="613" t="s">
        <v>6308</v>
      </c>
      <c r="C430" s="288" t="s">
        <v>897</v>
      </c>
      <c r="D430" s="414" t="s">
        <v>3813</v>
      </c>
      <c r="E430" s="407" t="s">
        <v>9343</v>
      </c>
      <c r="F430" s="483"/>
      <c r="G430" s="483"/>
      <c r="H430" s="483"/>
      <c r="I430" s="483"/>
      <c r="J430" s="483"/>
      <c r="K430" s="483"/>
      <c r="L430" s="608" t="s">
        <v>4884</v>
      </c>
      <c r="M430" s="409">
        <v>5778.248031496064</v>
      </c>
      <c r="N430" s="409">
        <v>5778.248031496064</v>
      </c>
      <c r="O430" s="410" t="s">
        <v>7573</v>
      </c>
      <c r="P430" s="406">
        <v>427</v>
      </c>
      <c r="Q430" s="470" t="s">
        <v>897</v>
      </c>
      <c r="R430" s="460" t="s">
        <v>898</v>
      </c>
      <c r="S430" s="270" t="s">
        <v>7</v>
      </c>
      <c r="U430" s="471"/>
      <c r="V430" s="471"/>
      <c r="W430" s="471" t="s">
        <v>898</v>
      </c>
      <c r="X430" s="471">
        <v>1</v>
      </c>
      <c r="Y430" s="206"/>
      <c r="Z430" s="206"/>
    </row>
    <row r="431" spans="1:26">
      <c r="A431" s="406">
        <v>428</v>
      </c>
      <c r="B431" s="613" t="s">
        <v>6309</v>
      </c>
      <c r="C431" s="288" t="s">
        <v>899</v>
      </c>
      <c r="D431" s="414" t="s">
        <v>3814</v>
      </c>
      <c r="E431" s="407" t="s">
        <v>9344</v>
      </c>
      <c r="F431" s="483"/>
      <c r="G431" s="483"/>
      <c r="H431" s="483"/>
      <c r="I431" s="483"/>
      <c r="J431" s="483"/>
      <c r="K431" s="483"/>
      <c r="L431" s="608" t="s">
        <v>4884</v>
      </c>
      <c r="M431" s="409">
        <v>6521.3228346456699</v>
      </c>
      <c r="N431" s="409">
        <v>6521.3228346456699</v>
      </c>
      <c r="O431" s="410" t="s">
        <v>7575</v>
      </c>
      <c r="P431" s="406">
        <v>428</v>
      </c>
      <c r="Q431" s="470" t="s">
        <v>899</v>
      </c>
      <c r="R431" s="460" t="s">
        <v>900</v>
      </c>
      <c r="S431" s="270" t="s">
        <v>7</v>
      </c>
      <c r="U431" s="471"/>
      <c r="V431" s="471"/>
      <c r="W431" s="471" t="s">
        <v>900</v>
      </c>
      <c r="X431" s="471">
        <v>1</v>
      </c>
      <c r="Y431" s="206"/>
      <c r="Z431" s="206"/>
    </row>
    <row r="432" spans="1:26">
      <c r="A432" s="406">
        <v>429</v>
      </c>
      <c r="B432" s="613" t="s">
        <v>6310</v>
      </c>
      <c r="C432" s="288" t="s">
        <v>901</v>
      </c>
      <c r="D432" s="414" t="s">
        <v>4128</v>
      </c>
      <c r="E432" s="407" t="s">
        <v>9345</v>
      </c>
      <c r="F432" s="483"/>
      <c r="G432" s="483"/>
      <c r="H432" s="483"/>
      <c r="I432" s="483"/>
      <c r="J432" s="483"/>
      <c r="K432" s="483"/>
      <c r="L432" s="608" t="s">
        <v>4884</v>
      </c>
      <c r="M432" s="409">
        <v>4935.429133858268</v>
      </c>
      <c r="N432" s="409">
        <v>4935.429133858268</v>
      </c>
      <c r="O432" s="410" t="s">
        <v>7569</v>
      </c>
      <c r="P432" s="406">
        <v>429</v>
      </c>
      <c r="Q432" s="470" t="s">
        <v>901</v>
      </c>
      <c r="R432" s="460" t="s">
        <v>902</v>
      </c>
      <c r="S432" s="270" t="s">
        <v>7</v>
      </c>
      <c r="U432" s="471"/>
      <c r="V432" s="471"/>
      <c r="W432" s="471" t="s">
        <v>902</v>
      </c>
      <c r="X432" s="471">
        <v>1</v>
      </c>
      <c r="Y432" s="206"/>
      <c r="Z432" s="206"/>
    </row>
    <row r="433" spans="1:26">
      <c r="A433" s="406">
        <v>430</v>
      </c>
      <c r="B433" s="613" t="s">
        <v>6311</v>
      </c>
      <c r="C433" s="288" t="s">
        <v>903</v>
      </c>
      <c r="D433" s="414" t="s">
        <v>3859</v>
      </c>
      <c r="E433" s="407" t="s">
        <v>9346</v>
      </c>
      <c r="F433" s="483"/>
      <c r="G433" s="483"/>
      <c r="H433" s="483"/>
      <c r="I433" s="483"/>
      <c r="J433" s="483"/>
      <c r="K433" s="483"/>
      <c r="L433" s="608" t="s">
        <v>4884</v>
      </c>
      <c r="M433" s="409">
        <v>7320.2165354330718</v>
      </c>
      <c r="N433" s="409">
        <v>7320.2165354330718</v>
      </c>
      <c r="O433" s="410" t="s">
        <v>7576</v>
      </c>
      <c r="P433" s="406">
        <v>430</v>
      </c>
      <c r="Q433" s="470" t="s">
        <v>903</v>
      </c>
      <c r="R433" s="460" t="s">
        <v>904</v>
      </c>
      <c r="S433" s="270" t="s">
        <v>7</v>
      </c>
      <c r="U433" s="471"/>
      <c r="V433" s="471"/>
      <c r="W433" s="471" t="s">
        <v>904</v>
      </c>
      <c r="X433" s="471">
        <v>1</v>
      </c>
      <c r="Y433" s="206"/>
      <c r="Z433" s="206"/>
    </row>
    <row r="434" spans="1:26">
      <c r="A434" s="406">
        <v>431</v>
      </c>
      <c r="B434" s="613" t="s">
        <v>6312</v>
      </c>
      <c r="C434" s="288" t="s">
        <v>905</v>
      </c>
      <c r="D434" s="414" t="s">
        <v>3749</v>
      </c>
      <c r="E434" s="407" t="s">
        <v>9347</v>
      </c>
      <c r="F434" s="483"/>
      <c r="G434" s="483"/>
      <c r="H434" s="483"/>
      <c r="I434" s="483"/>
      <c r="J434" s="483"/>
      <c r="K434" s="483"/>
      <c r="L434" s="608" t="s">
        <v>4884</v>
      </c>
      <c r="M434" s="409">
        <v>5407.2755905511813</v>
      </c>
      <c r="N434" s="409">
        <v>5407.2755905511813</v>
      </c>
      <c r="O434" s="410" t="s">
        <v>7574</v>
      </c>
      <c r="P434" s="406">
        <v>431</v>
      </c>
      <c r="Q434" s="470" t="s">
        <v>905</v>
      </c>
      <c r="R434" s="460" t="s">
        <v>906</v>
      </c>
      <c r="S434" s="270" t="s">
        <v>7</v>
      </c>
      <c r="U434" s="471"/>
      <c r="V434" s="471"/>
      <c r="W434" s="471" t="s">
        <v>906</v>
      </c>
      <c r="X434" s="471">
        <v>1</v>
      </c>
      <c r="Y434" s="206"/>
      <c r="Z434" s="206"/>
    </row>
    <row r="435" spans="1:26">
      <c r="A435" s="406">
        <v>432</v>
      </c>
      <c r="B435" s="613" t="s">
        <v>6313</v>
      </c>
      <c r="C435" s="288" t="s">
        <v>907</v>
      </c>
      <c r="D435" s="414" t="s">
        <v>3802</v>
      </c>
      <c r="E435" s="407" t="s">
        <v>9348</v>
      </c>
      <c r="F435" s="483"/>
      <c r="G435" s="483"/>
      <c r="H435" s="483"/>
      <c r="I435" s="483"/>
      <c r="J435" s="483"/>
      <c r="K435" s="483"/>
      <c r="L435" s="608" t="s">
        <v>4884</v>
      </c>
      <c r="M435" s="409">
        <v>5733.9212598425202</v>
      </c>
      <c r="N435" s="409">
        <v>5733.9212598425202</v>
      </c>
      <c r="O435" s="410" t="s">
        <v>7574</v>
      </c>
      <c r="P435" s="406">
        <v>432</v>
      </c>
      <c r="Q435" s="470" t="s">
        <v>907</v>
      </c>
      <c r="R435" s="460" t="s">
        <v>908</v>
      </c>
      <c r="S435" s="270" t="s">
        <v>7</v>
      </c>
      <c r="U435" s="471"/>
      <c r="V435" s="471"/>
      <c r="W435" s="471" t="s">
        <v>908</v>
      </c>
      <c r="X435" s="471">
        <v>1</v>
      </c>
      <c r="Y435" s="206"/>
      <c r="Z435" s="206"/>
    </row>
    <row r="436" spans="1:26">
      <c r="A436" s="406">
        <v>433</v>
      </c>
      <c r="B436" s="613" t="s">
        <v>6314</v>
      </c>
      <c r="C436" s="288" t="s">
        <v>909</v>
      </c>
      <c r="D436" s="414" t="s">
        <v>3748</v>
      </c>
      <c r="E436" s="407" t="s">
        <v>9349</v>
      </c>
      <c r="F436" s="483"/>
      <c r="G436" s="483"/>
      <c r="H436" s="483"/>
      <c r="I436" s="483"/>
      <c r="J436" s="483"/>
      <c r="K436" s="483"/>
      <c r="L436" s="608" t="s">
        <v>4884</v>
      </c>
      <c r="M436" s="409">
        <v>5304.7913385826778</v>
      </c>
      <c r="N436" s="409">
        <v>5304.7913385826778</v>
      </c>
      <c r="O436" s="410" t="s">
        <v>7573</v>
      </c>
      <c r="P436" s="406">
        <v>433</v>
      </c>
      <c r="Q436" s="470" t="s">
        <v>909</v>
      </c>
      <c r="R436" s="460" t="s">
        <v>910</v>
      </c>
      <c r="S436" s="270" t="s">
        <v>7</v>
      </c>
      <c r="U436" s="471"/>
      <c r="V436" s="471"/>
      <c r="W436" s="471" t="s">
        <v>910</v>
      </c>
      <c r="X436" s="471">
        <v>1</v>
      </c>
      <c r="Y436" s="206"/>
      <c r="Z436" s="206"/>
    </row>
    <row r="437" spans="1:26">
      <c r="A437" s="406">
        <v>434</v>
      </c>
      <c r="B437" s="613" t="s">
        <v>6315</v>
      </c>
      <c r="C437" s="288" t="s">
        <v>911</v>
      </c>
      <c r="D437" s="414" t="s">
        <v>3744</v>
      </c>
      <c r="E437" s="407" t="s">
        <v>9350</v>
      </c>
      <c r="F437" s="483"/>
      <c r="G437" s="483"/>
      <c r="H437" s="483"/>
      <c r="I437" s="483"/>
      <c r="J437" s="483"/>
      <c r="K437" s="483"/>
      <c r="L437" s="608" t="s">
        <v>4884</v>
      </c>
      <c r="M437" s="409">
        <v>5530.496062992127</v>
      </c>
      <c r="N437" s="409">
        <v>5530.496062992127</v>
      </c>
      <c r="O437" s="410" t="s">
        <v>7573</v>
      </c>
      <c r="P437" s="406">
        <v>434</v>
      </c>
      <c r="Q437" s="470" t="s">
        <v>911</v>
      </c>
      <c r="R437" s="460" t="s">
        <v>912</v>
      </c>
      <c r="S437" s="270" t="s">
        <v>7</v>
      </c>
      <c r="U437" s="471"/>
      <c r="V437" s="471"/>
      <c r="W437" s="471" t="s">
        <v>912</v>
      </c>
      <c r="X437" s="471">
        <v>1</v>
      </c>
      <c r="Y437" s="206"/>
      <c r="Z437" s="206"/>
    </row>
    <row r="438" spans="1:26">
      <c r="A438" s="406">
        <v>435</v>
      </c>
      <c r="B438" s="613" t="s">
        <v>6316</v>
      </c>
      <c r="C438" s="288" t="s">
        <v>913</v>
      </c>
      <c r="D438" s="414" t="s">
        <v>3805</v>
      </c>
      <c r="E438" s="407" t="s">
        <v>9351</v>
      </c>
      <c r="F438" s="483"/>
      <c r="G438" s="483"/>
      <c r="H438" s="483"/>
      <c r="I438" s="483"/>
      <c r="J438" s="483"/>
      <c r="K438" s="483"/>
      <c r="L438" s="608" t="s">
        <v>4884</v>
      </c>
      <c r="M438" s="409">
        <v>5645.1574803149606</v>
      </c>
      <c r="N438" s="409">
        <v>5645.1574803149606</v>
      </c>
      <c r="O438" s="410" t="s">
        <v>7574</v>
      </c>
      <c r="P438" s="406">
        <v>435</v>
      </c>
      <c r="Q438" s="470" t="s">
        <v>913</v>
      </c>
      <c r="R438" s="460" t="s">
        <v>914</v>
      </c>
      <c r="S438" s="270" t="s">
        <v>7</v>
      </c>
      <c r="U438" s="471"/>
      <c r="V438" s="471"/>
      <c r="W438" s="471" t="s">
        <v>914</v>
      </c>
      <c r="X438" s="471">
        <v>1</v>
      </c>
      <c r="Y438" s="206"/>
      <c r="Z438" s="206"/>
    </row>
    <row r="439" spans="1:26">
      <c r="A439" s="406">
        <v>436</v>
      </c>
      <c r="B439" s="613" t="s">
        <v>6322</v>
      </c>
      <c r="C439" s="288" t="s">
        <v>915</v>
      </c>
      <c r="D439" s="414" t="s">
        <v>4129</v>
      </c>
      <c r="E439" s="407" t="s">
        <v>9352</v>
      </c>
      <c r="F439" s="483"/>
      <c r="G439" s="483"/>
      <c r="H439" s="483"/>
      <c r="I439" s="483"/>
      <c r="J439" s="483"/>
      <c r="K439" s="483"/>
      <c r="L439" s="608" t="s">
        <v>4884</v>
      </c>
      <c r="M439" s="409">
        <v>4978.070866141732</v>
      </c>
      <c r="N439" s="409">
        <v>4978.070866141732</v>
      </c>
      <c r="O439" s="410" t="s">
        <v>7569</v>
      </c>
      <c r="P439" s="406">
        <v>436</v>
      </c>
      <c r="Q439" s="470" t="s">
        <v>915</v>
      </c>
      <c r="R439" s="460" t="s">
        <v>916</v>
      </c>
      <c r="S439" s="270" t="s">
        <v>7</v>
      </c>
      <c r="U439" s="471"/>
      <c r="V439" s="471"/>
      <c r="W439" s="471" t="s">
        <v>916</v>
      </c>
      <c r="X439" s="471">
        <v>1</v>
      </c>
      <c r="Y439" s="206"/>
      <c r="Z439" s="206"/>
    </row>
    <row r="440" spans="1:26">
      <c r="A440" s="406">
        <v>437</v>
      </c>
      <c r="B440" s="613" t="s">
        <v>6318</v>
      </c>
      <c r="C440" s="288" t="s">
        <v>917</v>
      </c>
      <c r="D440" s="414" t="s">
        <v>3858</v>
      </c>
      <c r="E440" s="407" t="s">
        <v>9353</v>
      </c>
      <c r="F440" s="483"/>
      <c r="G440" s="483"/>
      <c r="H440" s="483"/>
      <c r="I440" s="483"/>
      <c r="J440" s="483"/>
      <c r="K440" s="483"/>
      <c r="L440" s="608" t="s">
        <v>4884</v>
      </c>
      <c r="M440" s="409">
        <v>7231.787401574803</v>
      </c>
      <c r="N440" s="409">
        <v>7231.787401574803</v>
      </c>
      <c r="O440" s="410" t="s">
        <v>7576</v>
      </c>
      <c r="P440" s="406">
        <v>437</v>
      </c>
      <c r="Q440" s="470" t="s">
        <v>917</v>
      </c>
      <c r="R440" s="460" t="s">
        <v>918</v>
      </c>
      <c r="S440" s="270" t="s">
        <v>7</v>
      </c>
      <c r="U440" s="471"/>
      <c r="V440" s="471"/>
      <c r="W440" s="471" t="s">
        <v>918</v>
      </c>
      <c r="X440" s="471">
        <v>1</v>
      </c>
      <c r="Y440" s="206"/>
      <c r="Z440" s="206"/>
    </row>
    <row r="441" spans="1:26">
      <c r="A441" s="406">
        <v>438</v>
      </c>
      <c r="B441" s="613" t="s">
        <v>6319</v>
      </c>
      <c r="C441" s="288" t="s">
        <v>919</v>
      </c>
      <c r="D441" s="414" t="s">
        <v>3815</v>
      </c>
      <c r="E441" s="407" t="s">
        <v>9354</v>
      </c>
      <c r="F441" s="483"/>
      <c r="G441" s="483"/>
      <c r="H441" s="483"/>
      <c r="I441" s="483"/>
      <c r="J441" s="483"/>
      <c r="K441" s="483"/>
      <c r="L441" s="608" t="s">
        <v>4884</v>
      </c>
      <c r="M441" s="409">
        <v>6227.8346456692916</v>
      </c>
      <c r="N441" s="409">
        <v>6227.8346456692916</v>
      </c>
      <c r="O441" s="410" t="s">
        <v>7575</v>
      </c>
      <c r="P441" s="406">
        <v>438</v>
      </c>
      <c r="Q441" s="470" t="s">
        <v>919</v>
      </c>
      <c r="R441" s="460" t="s">
        <v>920</v>
      </c>
      <c r="S441" s="270" t="s">
        <v>7</v>
      </c>
      <c r="U441" s="471"/>
      <c r="V441" s="471"/>
      <c r="W441" s="471" t="s">
        <v>920</v>
      </c>
      <c r="X441" s="471">
        <v>1</v>
      </c>
      <c r="Y441" s="206"/>
      <c r="Z441" s="206"/>
    </row>
    <row r="442" spans="1:26">
      <c r="A442" s="406">
        <v>439</v>
      </c>
      <c r="B442" s="613" t="s">
        <v>6320</v>
      </c>
      <c r="C442" s="288" t="s">
        <v>921</v>
      </c>
      <c r="D442" s="414" t="s">
        <v>4171</v>
      </c>
      <c r="E442" s="407" t="s">
        <v>9355</v>
      </c>
      <c r="F442" s="483"/>
      <c r="G442" s="483"/>
      <c r="H442" s="483"/>
      <c r="I442" s="483"/>
      <c r="J442" s="483"/>
      <c r="K442" s="483"/>
      <c r="L442" s="608" t="s">
        <v>4884</v>
      </c>
      <c r="M442" s="409">
        <v>5184.4448818897636</v>
      </c>
      <c r="N442" s="409">
        <v>5184.4448818897636</v>
      </c>
      <c r="O442" s="410" t="s">
        <v>7572</v>
      </c>
      <c r="P442" s="406">
        <v>439</v>
      </c>
      <c r="Q442" s="470" t="s">
        <v>921</v>
      </c>
      <c r="R442" s="460" t="s">
        <v>922</v>
      </c>
      <c r="S442" s="270" t="s">
        <v>7</v>
      </c>
      <c r="U442" s="471"/>
      <c r="V442" s="471"/>
      <c r="W442" s="471" t="s">
        <v>922</v>
      </c>
      <c r="X442" s="471">
        <v>1</v>
      </c>
      <c r="Y442" s="206"/>
      <c r="Z442" s="206"/>
    </row>
    <row r="443" spans="1:26">
      <c r="A443" s="406">
        <v>440</v>
      </c>
      <c r="B443" s="613" t="s">
        <v>6321</v>
      </c>
      <c r="C443" s="288" t="s">
        <v>923</v>
      </c>
      <c r="D443" s="414" t="s">
        <v>4130</v>
      </c>
      <c r="E443" s="407" t="s">
        <v>9356</v>
      </c>
      <c r="F443" s="483"/>
      <c r="G443" s="483"/>
      <c r="H443" s="483"/>
      <c r="I443" s="483"/>
      <c r="J443" s="483"/>
      <c r="K443" s="483"/>
      <c r="L443" s="608" t="s">
        <v>4884</v>
      </c>
      <c r="M443" s="409">
        <v>4780.8700787401576</v>
      </c>
      <c r="N443" s="409">
        <v>4780.8700787401576</v>
      </c>
      <c r="O443" s="410" t="s">
        <v>7569</v>
      </c>
      <c r="P443" s="406">
        <v>440</v>
      </c>
      <c r="Q443" s="470" t="s">
        <v>923</v>
      </c>
      <c r="R443" s="460" t="s">
        <v>924</v>
      </c>
      <c r="S443" s="270" t="s">
        <v>7</v>
      </c>
      <c r="U443" s="471"/>
      <c r="V443" s="471"/>
      <c r="W443" s="471" t="s">
        <v>924</v>
      </c>
      <c r="X443" s="471">
        <v>1</v>
      </c>
      <c r="Y443" s="206"/>
      <c r="Z443" s="206"/>
    </row>
    <row r="444" spans="1:26">
      <c r="A444" s="406">
        <v>441</v>
      </c>
      <c r="B444" s="613" t="s">
        <v>6323</v>
      </c>
      <c r="C444" s="288" t="s">
        <v>925</v>
      </c>
      <c r="D444" s="414" t="s">
        <v>3811</v>
      </c>
      <c r="E444" s="407" t="s">
        <v>9357</v>
      </c>
      <c r="F444" s="483"/>
      <c r="G444" s="483"/>
      <c r="H444" s="483"/>
      <c r="I444" s="483"/>
      <c r="J444" s="483"/>
      <c r="K444" s="483"/>
      <c r="L444" s="608" t="s">
        <v>4884</v>
      </c>
      <c r="M444" s="409">
        <v>6145.0629921259842</v>
      </c>
      <c r="N444" s="409">
        <v>6145.0629921259842</v>
      </c>
      <c r="O444" s="410" t="s">
        <v>7573</v>
      </c>
      <c r="P444" s="406">
        <v>441</v>
      </c>
      <c r="Q444" s="470" t="s">
        <v>925</v>
      </c>
      <c r="R444" s="460" t="s">
        <v>926</v>
      </c>
      <c r="S444" s="270" t="s">
        <v>7</v>
      </c>
      <c r="U444" s="471"/>
      <c r="V444" s="471"/>
      <c r="W444" s="471" t="s">
        <v>926</v>
      </c>
      <c r="X444" s="471">
        <v>1</v>
      </c>
      <c r="Y444" s="206"/>
      <c r="Z444" s="206"/>
    </row>
    <row r="445" spans="1:26">
      <c r="A445" s="406">
        <v>442</v>
      </c>
      <c r="B445" s="613" t="s">
        <v>6324</v>
      </c>
      <c r="C445" s="288" t="s">
        <v>927</v>
      </c>
      <c r="D445" s="414" t="s">
        <v>3746</v>
      </c>
      <c r="E445" s="407" t="s">
        <v>9358</v>
      </c>
      <c r="F445" s="483"/>
      <c r="G445" s="483"/>
      <c r="H445" s="483"/>
      <c r="I445" s="483"/>
      <c r="J445" s="483"/>
      <c r="K445" s="483"/>
      <c r="L445" s="608" t="s">
        <v>4884</v>
      </c>
      <c r="M445" s="409">
        <v>5379.4803149606305</v>
      </c>
      <c r="N445" s="409">
        <v>5379.4803149606305</v>
      </c>
      <c r="O445" s="410" t="s">
        <v>7572</v>
      </c>
      <c r="P445" s="406">
        <v>442</v>
      </c>
      <c r="Q445" s="470" t="s">
        <v>927</v>
      </c>
      <c r="R445" s="460" t="s">
        <v>928</v>
      </c>
      <c r="S445" s="270" t="s">
        <v>7</v>
      </c>
      <c r="U445" s="471"/>
      <c r="V445" s="471"/>
      <c r="W445" s="471" t="s">
        <v>928</v>
      </c>
      <c r="X445" s="471">
        <v>1</v>
      </c>
      <c r="Y445" s="206"/>
      <c r="Z445" s="206"/>
    </row>
    <row r="446" spans="1:26">
      <c r="A446" s="406">
        <v>443</v>
      </c>
      <c r="B446" s="613" t="s">
        <v>6325</v>
      </c>
      <c r="C446" s="288" t="s">
        <v>929</v>
      </c>
      <c r="D446" s="414" t="s">
        <v>3854</v>
      </c>
      <c r="E446" s="407" t="s">
        <v>9359</v>
      </c>
      <c r="F446" s="483"/>
      <c r="G446" s="483"/>
      <c r="H446" s="483"/>
      <c r="I446" s="483"/>
      <c r="J446" s="483"/>
      <c r="K446" s="483"/>
      <c r="L446" s="608" t="s">
        <v>4884</v>
      </c>
      <c r="M446" s="409">
        <v>7227.3700787401576</v>
      </c>
      <c r="N446" s="409">
        <v>7227.3700787401576</v>
      </c>
      <c r="O446" s="410" t="s">
        <v>7576</v>
      </c>
      <c r="P446" s="406">
        <v>443</v>
      </c>
      <c r="Q446" s="470" t="s">
        <v>929</v>
      </c>
      <c r="R446" s="460" t="s">
        <v>930</v>
      </c>
      <c r="S446" s="270" t="s">
        <v>7</v>
      </c>
      <c r="U446" s="471"/>
      <c r="V446" s="471"/>
      <c r="W446" s="471" t="s">
        <v>930</v>
      </c>
      <c r="X446" s="471">
        <v>1</v>
      </c>
      <c r="Y446" s="206"/>
      <c r="Z446" s="206"/>
    </row>
    <row r="447" spans="1:26">
      <c r="A447" s="406">
        <v>444</v>
      </c>
      <c r="B447" s="613" t="s">
        <v>6326</v>
      </c>
      <c r="C447" s="288" t="s">
        <v>931</v>
      </c>
      <c r="D447" s="414" t="s">
        <v>3856</v>
      </c>
      <c r="E447" s="407" t="s">
        <v>9360</v>
      </c>
      <c r="F447" s="483"/>
      <c r="G447" s="483"/>
      <c r="H447" s="483"/>
      <c r="I447" s="483"/>
      <c r="J447" s="483"/>
      <c r="K447" s="483"/>
      <c r="L447" s="608" t="s">
        <v>4884</v>
      </c>
      <c r="M447" s="409">
        <v>7337.5511811023616</v>
      </c>
      <c r="N447" s="409">
        <v>7337.5511811023616</v>
      </c>
      <c r="O447" s="410" t="s">
        <v>7576</v>
      </c>
      <c r="P447" s="406">
        <v>444</v>
      </c>
      <c r="Q447" s="470" t="s">
        <v>931</v>
      </c>
      <c r="R447" s="460" t="s">
        <v>932</v>
      </c>
      <c r="S447" s="270" t="s">
        <v>7</v>
      </c>
      <c r="U447" s="471"/>
      <c r="V447" s="471"/>
      <c r="W447" s="471" t="s">
        <v>932</v>
      </c>
      <c r="X447" s="471">
        <v>1</v>
      </c>
      <c r="Y447" s="206"/>
      <c r="Z447" s="206"/>
    </row>
    <row r="448" spans="1:26">
      <c r="A448" s="406">
        <v>445</v>
      </c>
      <c r="B448" s="613" t="s">
        <v>6327</v>
      </c>
      <c r="C448" s="288" t="s">
        <v>933</v>
      </c>
      <c r="D448" s="414" t="s">
        <v>3777</v>
      </c>
      <c r="E448" s="407" t="s">
        <v>9361</v>
      </c>
      <c r="F448" s="483"/>
      <c r="G448" s="483"/>
      <c r="H448" s="483"/>
      <c r="I448" s="483"/>
      <c r="J448" s="483"/>
      <c r="K448" s="483"/>
      <c r="L448" s="608" t="s">
        <v>4884</v>
      </c>
      <c r="M448" s="409">
        <v>6828.6377952755902</v>
      </c>
      <c r="N448" s="409">
        <v>6828.6377952755902</v>
      </c>
      <c r="O448" s="410" t="s">
        <v>7569</v>
      </c>
      <c r="P448" s="406">
        <v>445</v>
      </c>
      <c r="Q448" s="470" t="s">
        <v>933</v>
      </c>
      <c r="R448" s="460" t="s">
        <v>934</v>
      </c>
      <c r="S448" s="270" t="s">
        <v>7</v>
      </c>
      <c r="U448" s="471"/>
      <c r="V448" s="471"/>
      <c r="W448" s="471" t="s">
        <v>934</v>
      </c>
      <c r="X448" s="471">
        <v>1</v>
      </c>
      <c r="Y448" s="206"/>
      <c r="Z448" s="206"/>
    </row>
    <row r="449" spans="1:26">
      <c r="A449" s="406">
        <v>446</v>
      </c>
      <c r="B449" s="613" t="s">
        <v>6328</v>
      </c>
      <c r="C449" s="288" t="s">
        <v>935</v>
      </c>
      <c r="D449" s="414" t="s">
        <v>4126</v>
      </c>
      <c r="E449" s="407" t="s">
        <v>9362</v>
      </c>
      <c r="F449" s="483"/>
      <c r="G449" s="483"/>
      <c r="H449" s="483"/>
      <c r="I449" s="483"/>
      <c r="J449" s="483"/>
      <c r="K449" s="483"/>
      <c r="L449" s="608" t="s">
        <v>4884</v>
      </c>
      <c r="M449" s="409">
        <v>5139.6692913385823</v>
      </c>
      <c r="N449" s="409">
        <v>5139.6692913385823</v>
      </c>
      <c r="O449" s="410" t="s">
        <v>7569</v>
      </c>
      <c r="P449" s="406">
        <v>446</v>
      </c>
      <c r="Q449" s="470" t="s">
        <v>935</v>
      </c>
      <c r="R449" s="460" t="s">
        <v>936</v>
      </c>
      <c r="S449" s="270" t="s">
        <v>7</v>
      </c>
      <c r="U449" s="471"/>
      <c r="V449" s="471"/>
      <c r="W449" s="471" t="s">
        <v>936</v>
      </c>
      <c r="X449" s="471">
        <v>1</v>
      </c>
      <c r="Y449" s="206"/>
      <c r="Z449" s="206"/>
    </row>
    <row r="450" spans="1:26">
      <c r="A450" s="406">
        <v>447</v>
      </c>
      <c r="B450" s="613" t="s">
        <v>6329</v>
      </c>
      <c r="C450" s="288" t="s">
        <v>937</v>
      </c>
      <c r="D450" s="414" t="s">
        <v>3812</v>
      </c>
      <c r="E450" s="407" t="s">
        <v>9363</v>
      </c>
      <c r="F450" s="483"/>
      <c r="G450" s="483"/>
      <c r="H450" s="483"/>
      <c r="I450" s="483"/>
      <c r="J450" s="483"/>
      <c r="K450" s="483"/>
      <c r="L450" s="608" t="s">
        <v>4884</v>
      </c>
      <c r="M450" s="409">
        <v>6119.7047244094483</v>
      </c>
      <c r="N450" s="409">
        <v>6119.7047244094483</v>
      </c>
      <c r="O450" s="410" t="s">
        <v>7575</v>
      </c>
      <c r="P450" s="406">
        <v>447</v>
      </c>
      <c r="Q450" s="470" t="s">
        <v>937</v>
      </c>
      <c r="R450" s="460" t="s">
        <v>938</v>
      </c>
      <c r="S450" s="270" t="s">
        <v>7</v>
      </c>
      <c r="U450" s="471"/>
      <c r="V450" s="471"/>
      <c r="W450" s="471" t="s">
        <v>938</v>
      </c>
      <c r="X450" s="471">
        <v>1</v>
      </c>
      <c r="Y450" s="206"/>
      <c r="Z450" s="206"/>
    </row>
    <row r="451" spans="1:26">
      <c r="A451" s="406">
        <v>448</v>
      </c>
      <c r="B451" s="613" t="s">
        <v>6330</v>
      </c>
      <c r="C451" s="288" t="s">
        <v>939</v>
      </c>
      <c r="D451" s="414" t="s">
        <v>4162</v>
      </c>
      <c r="E451" s="407" t="s">
        <v>9364</v>
      </c>
      <c r="F451" s="483"/>
      <c r="G451" s="483"/>
      <c r="H451" s="483"/>
      <c r="I451" s="483"/>
      <c r="J451" s="483"/>
      <c r="K451" s="483"/>
      <c r="L451" s="608" t="s">
        <v>4884</v>
      </c>
      <c r="M451" s="409">
        <v>9495.4724409448827</v>
      </c>
      <c r="N451" s="409">
        <v>9495.4724409448827</v>
      </c>
      <c r="O451" s="410" t="s">
        <v>7572</v>
      </c>
      <c r="P451" s="406">
        <v>448</v>
      </c>
      <c r="Q451" s="470" t="s">
        <v>939</v>
      </c>
      <c r="R451" s="460" t="s">
        <v>940</v>
      </c>
      <c r="S451" s="270" t="s">
        <v>7</v>
      </c>
      <c r="U451" s="471"/>
      <c r="V451" s="471"/>
      <c r="W451" s="471" t="s">
        <v>940</v>
      </c>
      <c r="X451" s="471">
        <v>1</v>
      </c>
      <c r="Y451" s="206"/>
      <c r="Z451" s="206"/>
    </row>
    <row r="452" spans="1:26">
      <c r="A452" s="406">
        <v>449</v>
      </c>
      <c r="B452" s="613" t="s">
        <v>6341</v>
      </c>
      <c r="C452" s="288" t="s">
        <v>941</v>
      </c>
      <c r="D452" s="414" t="s">
        <v>4166</v>
      </c>
      <c r="E452" s="407" t="s">
        <v>9365</v>
      </c>
      <c r="F452" s="483"/>
      <c r="G452" s="483"/>
      <c r="H452" s="483"/>
      <c r="I452" s="483"/>
      <c r="J452" s="483"/>
      <c r="K452" s="483"/>
      <c r="L452" s="608" t="s">
        <v>4884</v>
      </c>
      <c r="M452" s="409">
        <v>6088.3385826771655</v>
      </c>
      <c r="N452" s="409">
        <v>6088.3385826771655</v>
      </c>
      <c r="O452" s="410" t="s">
        <v>7576</v>
      </c>
      <c r="P452" s="406">
        <v>449</v>
      </c>
      <c r="Q452" s="470" t="s">
        <v>941</v>
      </c>
      <c r="R452" s="460" t="s">
        <v>942</v>
      </c>
      <c r="S452" s="270" t="s">
        <v>7</v>
      </c>
      <c r="U452" s="471"/>
      <c r="V452" s="471"/>
      <c r="W452" s="471" t="s">
        <v>942</v>
      </c>
      <c r="X452" s="471">
        <v>1</v>
      </c>
      <c r="Y452" s="206"/>
      <c r="Z452" s="206"/>
    </row>
    <row r="453" spans="1:26">
      <c r="A453" s="406">
        <v>450</v>
      </c>
      <c r="B453" s="613" t="s">
        <v>6331</v>
      </c>
      <c r="C453" s="288" t="s">
        <v>943</v>
      </c>
      <c r="D453" s="414" t="s">
        <v>3801</v>
      </c>
      <c r="E453" s="407" t="s">
        <v>9366</v>
      </c>
      <c r="F453" s="483"/>
      <c r="G453" s="483"/>
      <c r="H453" s="483"/>
      <c r="I453" s="483"/>
      <c r="J453" s="483"/>
      <c r="K453" s="483"/>
      <c r="L453" s="608" t="s">
        <v>4884</v>
      </c>
      <c r="M453" s="409">
        <v>5748.3700787401576</v>
      </c>
      <c r="N453" s="409">
        <v>5748.3700787401576</v>
      </c>
      <c r="O453" s="410" t="s">
        <v>7572</v>
      </c>
      <c r="P453" s="406">
        <v>450</v>
      </c>
      <c r="Q453" s="470" t="s">
        <v>943</v>
      </c>
      <c r="R453" s="460" t="s">
        <v>944</v>
      </c>
      <c r="S453" s="270" t="s">
        <v>7</v>
      </c>
      <c r="U453" s="471"/>
      <c r="V453" s="471"/>
      <c r="W453" s="471" t="s">
        <v>944</v>
      </c>
      <c r="X453" s="471">
        <v>1</v>
      </c>
      <c r="Y453" s="206"/>
      <c r="Z453" s="206"/>
    </row>
    <row r="454" spans="1:26">
      <c r="A454" s="406">
        <v>451</v>
      </c>
      <c r="B454" s="613" t="s">
        <v>6332</v>
      </c>
      <c r="C454" s="288" t="s">
        <v>945</v>
      </c>
      <c r="D454" s="414" t="s">
        <v>3809</v>
      </c>
      <c r="E454" s="407" t="s">
        <v>9367</v>
      </c>
      <c r="F454" s="483"/>
      <c r="G454" s="483"/>
      <c r="H454" s="483"/>
      <c r="I454" s="483"/>
      <c r="J454" s="483"/>
      <c r="K454" s="483"/>
      <c r="L454" s="608" t="s">
        <v>4884</v>
      </c>
      <c r="M454" s="409">
        <v>6011.251968503937</v>
      </c>
      <c r="N454" s="409">
        <v>6011.251968503937</v>
      </c>
      <c r="O454" s="410" t="s">
        <v>7573</v>
      </c>
      <c r="P454" s="406">
        <v>451</v>
      </c>
      <c r="Q454" s="470" t="s">
        <v>945</v>
      </c>
      <c r="R454" s="460" t="s">
        <v>946</v>
      </c>
      <c r="S454" s="270" t="s">
        <v>7</v>
      </c>
      <c r="U454" s="471"/>
      <c r="V454" s="471"/>
      <c r="W454" s="471" t="s">
        <v>946</v>
      </c>
      <c r="X454" s="471">
        <v>1</v>
      </c>
      <c r="Y454" s="206"/>
      <c r="Z454" s="206"/>
    </row>
    <row r="455" spans="1:26">
      <c r="A455" s="406">
        <v>452</v>
      </c>
      <c r="B455" s="613" t="s">
        <v>6333</v>
      </c>
      <c r="C455" s="288" t="s">
        <v>947</v>
      </c>
      <c r="D455" s="414" t="s">
        <v>3800</v>
      </c>
      <c r="E455" s="407" t="s">
        <v>9368</v>
      </c>
      <c r="F455" s="483"/>
      <c r="G455" s="483"/>
      <c r="H455" s="483"/>
      <c r="I455" s="483"/>
      <c r="J455" s="483"/>
      <c r="K455" s="483"/>
      <c r="L455" s="608" t="s">
        <v>4884</v>
      </c>
      <c r="M455" s="409">
        <v>5908.7283464566935</v>
      </c>
      <c r="N455" s="409">
        <v>5908.7283464566935</v>
      </c>
      <c r="O455" s="410" t="s">
        <v>7572</v>
      </c>
      <c r="P455" s="406">
        <v>452</v>
      </c>
      <c r="Q455" s="470" t="s">
        <v>947</v>
      </c>
      <c r="R455" s="460" t="s">
        <v>948</v>
      </c>
      <c r="S455" s="270" t="s">
        <v>7</v>
      </c>
      <c r="U455" s="471"/>
      <c r="V455" s="471"/>
      <c r="W455" s="471" t="s">
        <v>948</v>
      </c>
      <c r="X455" s="471">
        <v>1</v>
      </c>
      <c r="Y455" s="206"/>
      <c r="Z455" s="206"/>
    </row>
    <row r="456" spans="1:26">
      <c r="A456" s="406">
        <v>453</v>
      </c>
      <c r="B456" s="613" t="s">
        <v>6334</v>
      </c>
      <c r="C456" s="288" t="s">
        <v>949</v>
      </c>
      <c r="D456" s="414" t="s">
        <v>3751</v>
      </c>
      <c r="E456" s="407" t="s">
        <v>9369</v>
      </c>
      <c r="F456" s="483"/>
      <c r="G456" s="483"/>
      <c r="H456" s="483"/>
      <c r="I456" s="483"/>
      <c r="J456" s="483"/>
      <c r="K456" s="483"/>
      <c r="L456" s="608" t="s">
        <v>4884</v>
      </c>
      <c r="M456" s="409">
        <v>5236.7598425196857</v>
      </c>
      <c r="N456" s="409">
        <v>5236.7598425196857</v>
      </c>
      <c r="O456" s="410" t="s">
        <v>7569</v>
      </c>
      <c r="P456" s="406">
        <v>453</v>
      </c>
      <c r="Q456" s="470" t="s">
        <v>949</v>
      </c>
      <c r="R456" s="460" t="s">
        <v>950</v>
      </c>
      <c r="S456" s="270" t="s">
        <v>7</v>
      </c>
      <c r="U456" s="471"/>
      <c r="V456" s="471"/>
      <c r="W456" s="471" t="s">
        <v>950</v>
      </c>
      <c r="X456" s="471">
        <v>1</v>
      </c>
      <c r="Y456" s="206"/>
      <c r="Z456" s="206"/>
    </row>
    <row r="457" spans="1:26">
      <c r="A457" s="406">
        <v>454</v>
      </c>
      <c r="B457" s="613" t="s">
        <v>6335</v>
      </c>
      <c r="C457" s="288" t="s">
        <v>951</v>
      </c>
      <c r="D457" s="414" t="s">
        <v>3782</v>
      </c>
      <c r="E457" s="407" t="s">
        <v>9370</v>
      </c>
      <c r="F457" s="483"/>
      <c r="G457" s="483"/>
      <c r="H457" s="483"/>
      <c r="I457" s="483"/>
      <c r="J457" s="483"/>
      <c r="K457" s="483"/>
      <c r="L457" s="608" t="s">
        <v>4884</v>
      </c>
      <c r="M457" s="409">
        <v>6423.1377952755902</v>
      </c>
      <c r="N457" s="409">
        <v>6423.1377952755902</v>
      </c>
      <c r="O457" s="410" t="s">
        <v>7575</v>
      </c>
      <c r="P457" s="406">
        <v>454</v>
      </c>
      <c r="Q457" s="470" t="s">
        <v>951</v>
      </c>
      <c r="R457" s="460" t="s">
        <v>952</v>
      </c>
      <c r="S457" s="270" t="s">
        <v>7</v>
      </c>
      <c r="U457" s="471"/>
      <c r="V457" s="471"/>
      <c r="W457" s="471" t="s">
        <v>952</v>
      </c>
      <c r="X457" s="471">
        <v>1</v>
      </c>
      <c r="Y457" s="206"/>
      <c r="Z457" s="206"/>
    </row>
    <row r="458" spans="1:26">
      <c r="A458" s="406">
        <v>455</v>
      </c>
      <c r="B458" s="613" t="s">
        <v>6336</v>
      </c>
      <c r="C458" s="288" t="s">
        <v>953</v>
      </c>
      <c r="D458" s="414" t="s">
        <v>3784</v>
      </c>
      <c r="E458" s="407" t="s">
        <v>9371</v>
      </c>
      <c r="F458" s="483"/>
      <c r="G458" s="483"/>
      <c r="H458" s="483"/>
      <c r="I458" s="483"/>
      <c r="J458" s="483"/>
      <c r="K458" s="483"/>
      <c r="L458" s="608" t="s">
        <v>4884</v>
      </c>
      <c r="M458" s="409">
        <v>7010.3937007874019</v>
      </c>
      <c r="N458" s="409">
        <v>7010.3937007874019</v>
      </c>
      <c r="O458" s="410" t="s">
        <v>7576</v>
      </c>
      <c r="P458" s="406">
        <v>455</v>
      </c>
      <c r="Q458" s="470" t="s">
        <v>953</v>
      </c>
      <c r="R458" s="460" t="s">
        <v>954</v>
      </c>
      <c r="S458" s="270" t="s">
        <v>7</v>
      </c>
      <c r="U458" s="471"/>
      <c r="V458" s="471"/>
      <c r="W458" s="471" t="s">
        <v>954</v>
      </c>
      <c r="X458" s="471">
        <v>1</v>
      </c>
      <c r="Y458" s="206"/>
      <c r="Z458" s="206"/>
    </row>
    <row r="459" spans="1:26">
      <c r="A459" s="406">
        <v>456</v>
      </c>
      <c r="B459" s="613" t="s">
        <v>6337</v>
      </c>
      <c r="C459" s="288" t="s">
        <v>955</v>
      </c>
      <c r="D459" s="414" t="s">
        <v>3747</v>
      </c>
      <c r="E459" s="407" t="s">
        <v>9372</v>
      </c>
      <c r="F459" s="483"/>
      <c r="G459" s="483"/>
      <c r="H459" s="483"/>
      <c r="I459" s="483"/>
      <c r="J459" s="483"/>
      <c r="K459" s="483"/>
      <c r="L459" s="608" t="s">
        <v>4884</v>
      </c>
      <c r="M459" s="409">
        <v>5593.6417322834641</v>
      </c>
      <c r="N459" s="409">
        <v>5593.6417322834641</v>
      </c>
      <c r="O459" s="410" t="s">
        <v>7572</v>
      </c>
      <c r="P459" s="406">
        <v>456</v>
      </c>
      <c r="Q459" s="470" t="s">
        <v>955</v>
      </c>
      <c r="R459" s="460" t="s">
        <v>956</v>
      </c>
      <c r="S459" s="270" t="s">
        <v>7</v>
      </c>
      <c r="U459" s="471"/>
      <c r="V459" s="471"/>
      <c r="W459" s="471" t="s">
        <v>956</v>
      </c>
      <c r="X459" s="471">
        <v>1</v>
      </c>
      <c r="Y459" s="206"/>
      <c r="Z459" s="206"/>
    </row>
    <row r="460" spans="1:26">
      <c r="A460" s="406">
        <v>457</v>
      </c>
      <c r="B460" s="613" t="s">
        <v>6338</v>
      </c>
      <c r="C460" s="288" t="s">
        <v>957</v>
      </c>
      <c r="D460" s="414" t="s">
        <v>4240</v>
      </c>
      <c r="E460" s="407" t="s">
        <v>9373</v>
      </c>
      <c r="F460" s="483"/>
      <c r="G460" s="483"/>
      <c r="H460" s="483"/>
      <c r="I460" s="483"/>
      <c r="J460" s="483"/>
      <c r="K460" s="483"/>
      <c r="L460" s="608" t="s">
        <v>4884</v>
      </c>
      <c r="M460" s="409">
        <v>11828.452755905513</v>
      </c>
      <c r="N460" s="409">
        <v>11828.452755905513</v>
      </c>
      <c r="O460" s="410" t="s">
        <v>7572</v>
      </c>
      <c r="P460" s="406">
        <v>457</v>
      </c>
      <c r="Q460" s="470" t="s">
        <v>957</v>
      </c>
      <c r="R460" s="460" t="s">
        <v>958</v>
      </c>
      <c r="S460" s="270" t="s">
        <v>7</v>
      </c>
      <c r="U460" s="471"/>
      <c r="V460" s="471"/>
      <c r="W460" s="471" t="s">
        <v>958</v>
      </c>
      <c r="X460" s="471">
        <v>1</v>
      </c>
      <c r="Y460" s="206"/>
      <c r="Z460" s="206"/>
    </row>
    <row r="461" spans="1:26">
      <c r="A461" s="406">
        <v>458</v>
      </c>
      <c r="B461" s="613" t="s">
        <v>6339</v>
      </c>
      <c r="C461" s="288" t="s">
        <v>959</v>
      </c>
      <c r="D461" s="414" t="s">
        <v>4168</v>
      </c>
      <c r="E461" s="407" t="s">
        <v>9374</v>
      </c>
      <c r="F461" s="483"/>
      <c r="G461" s="483"/>
      <c r="H461" s="483"/>
      <c r="I461" s="483"/>
      <c r="J461" s="483"/>
      <c r="K461" s="483"/>
      <c r="L461" s="608" t="s">
        <v>4884</v>
      </c>
      <c r="M461" s="409">
        <v>6041.2007874015744</v>
      </c>
      <c r="N461" s="409">
        <v>6041.2007874015744</v>
      </c>
      <c r="O461" s="410" t="s">
        <v>7576</v>
      </c>
      <c r="P461" s="406">
        <v>458</v>
      </c>
      <c r="Q461" s="470" t="s">
        <v>959</v>
      </c>
      <c r="R461" s="460" t="s">
        <v>960</v>
      </c>
      <c r="S461" s="270" t="s">
        <v>7</v>
      </c>
      <c r="U461" s="471"/>
      <c r="V461" s="471"/>
      <c r="W461" s="471" t="s">
        <v>960</v>
      </c>
      <c r="X461" s="471">
        <v>1</v>
      </c>
      <c r="Y461" s="206"/>
      <c r="Z461" s="206"/>
    </row>
    <row r="462" spans="1:26">
      <c r="A462" s="406">
        <v>459</v>
      </c>
      <c r="B462" s="613" t="s">
        <v>6340</v>
      </c>
      <c r="C462" s="288" t="s">
        <v>961</v>
      </c>
      <c r="D462" s="414" t="s">
        <v>3779</v>
      </c>
      <c r="E462" s="407" t="s">
        <v>9375</v>
      </c>
      <c r="F462" s="483"/>
      <c r="G462" s="483"/>
      <c r="H462" s="483"/>
      <c r="I462" s="483"/>
      <c r="J462" s="483"/>
      <c r="K462" s="483"/>
      <c r="L462" s="608" t="s">
        <v>4884</v>
      </c>
      <c r="M462" s="409">
        <v>6751.141732283465</v>
      </c>
      <c r="N462" s="409">
        <v>6751.141732283465</v>
      </c>
      <c r="O462" s="410" t="s">
        <v>7569</v>
      </c>
      <c r="P462" s="406">
        <v>459</v>
      </c>
      <c r="Q462" s="470" t="s">
        <v>961</v>
      </c>
      <c r="R462" s="460" t="s">
        <v>962</v>
      </c>
      <c r="S462" s="270" t="s">
        <v>7</v>
      </c>
      <c r="U462" s="471"/>
      <c r="V462" s="471"/>
      <c r="W462" s="471" t="s">
        <v>962</v>
      </c>
      <c r="X462" s="471">
        <v>1</v>
      </c>
      <c r="Y462" s="206"/>
      <c r="Z462" s="206"/>
    </row>
    <row r="463" spans="1:26">
      <c r="A463" s="406">
        <v>460</v>
      </c>
      <c r="B463" s="613" t="s">
        <v>6346</v>
      </c>
      <c r="C463" s="288" t="s">
        <v>963</v>
      </c>
      <c r="D463" s="414" t="s">
        <v>4161</v>
      </c>
      <c r="E463" s="407" t="s">
        <v>9376</v>
      </c>
      <c r="F463" s="483"/>
      <c r="G463" s="483"/>
      <c r="H463" s="483"/>
      <c r="I463" s="483"/>
      <c r="J463" s="483"/>
      <c r="K463" s="483"/>
      <c r="L463" s="608" t="s">
        <v>4884</v>
      </c>
      <c r="M463" s="409">
        <v>9862.7755905511822</v>
      </c>
      <c r="N463" s="409">
        <v>9862.7755905511822</v>
      </c>
      <c r="O463" s="410" t="s">
        <v>7572</v>
      </c>
      <c r="P463" s="406">
        <v>460</v>
      </c>
      <c r="Q463" s="470" t="s">
        <v>963</v>
      </c>
      <c r="R463" s="460" t="s">
        <v>964</v>
      </c>
      <c r="S463" s="270" t="s">
        <v>7</v>
      </c>
      <c r="U463" s="471"/>
      <c r="V463" s="471"/>
      <c r="W463" s="471" t="s">
        <v>964</v>
      </c>
      <c r="X463" s="471">
        <v>1</v>
      </c>
      <c r="Y463" s="206"/>
      <c r="Z463" s="206"/>
    </row>
    <row r="464" spans="1:26">
      <c r="A464" s="406">
        <v>461</v>
      </c>
      <c r="B464" s="613" t="s">
        <v>6342</v>
      </c>
      <c r="C464" s="288" t="s">
        <v>965</v>
      </c>
      <c r="D464" s="414" t="s">
        <v>3843</v>
      </c>
      <c r="E464" s="407" t="s">
        <v>9377</v>
      </c>
      <c r="F464" s="483"/>
      <c r="G464" s="483"/>
      <c r="H464" s="483"/>
      <c r="I464" s="483"/>
      <c r="J464" s="483"/>
      <c r="K464" s="483"/>
      <c r="L464" s="608" t="s">
        <v>4884</v>
      </c>
      <c r="M464" s="409">
        <v>6390.6653543307093</v>
      </c>
      <c r="N464" s="409">
        <v>6390.6653543307093</v>
      </c>
      <c r="O464" s="410" t="s">
        <v>7574</v>
      </c>
      <c r="P464" s="406">
        <v>461</v>
      </c>
      <c r="Q464" s="470" t="s">
        <v>965</v>
      </c>
      <c r="R464" s="460" t="s">
        <v>966</v>
      </c>
      <c r="S464" s="270" t="s">
        <v>7</v>
      </c>
      <c r="U464" s="471"/>
      <c r="V464" s="471"/>
      <c r="W464" s="471" t="s">
        <v>966</v>
      </c>
      <c r="X464" s="471">
        <v>1</v>
      </c>
      <c r="Y464" s="206"/>
      <c r="Z464" s="206"/>
    </row>
    <row r="465" spans="1:26">
      <c r="A465" s="406">
        <v>462</v>
      </c>
      <c r="B465" s="613" t="s">
        <v>6343</v>
      </c>
      <c r="C465" s="288" t="s">
        <v>967</v>
      </c>
      <c r="D465" s="414" t="s">
        <v>3750</v>
      </c>
      <c r="E465" s="407" t="s">
        <v>9378</v>
      </c>
      <c r="F465" s="483"/>
      <c r="G465" s="483"/>
      <c r="H465" s="483"/>
      <c r="I465" s="483"/>
      <c r="J465" s="483"/>
      <c r="K465" s="483"/>
      <c r="L465" s="608" t="s">
        <v>4884</v>
      </c>
      <c r="M465" s="409">
        <v>5125.4409448818906</v>
      </c>
      <c r="N465" s="409">
        <v>5125.4409448818906</v>
      </c>
      <c r="O465" s="410" t="s">
        <v>7569</v>
      </c>
      <c r="P465" s="406">
        <v>462</v>
      </c>
      <c r="Q465" s="470" t="s">
        <v>967</v>
      </c>
      <c r="R465" s="460" t="s">
        <v>968</v>
      </c>
      <c r="S465" s="270" t="s">
        <v>7</v>
      </c>
      <c r="U465" s="471"/>
      <c r="V465" s="471"/>
      <c r="W465" s="471" t="s">
        <v>968</v>
      </c>
      <c r="X465" s="471">
        <v>1</v>
      </c>
      <c r="Y465" s="206"/>
      <c r="Z465" s="206"/>
    </row>
    <row r="466" spans="1:26">
      <c r="A466" s="406">
        <v>463</v>
      </c>
      <c r="B466" s="613" t="s">
        <v>6344</v>
      </c>
      <c r="C466" s="288" t="s">
        <v>969</v>
      </c>
      <c r="D466" s="414" t="s">
        <v>3780</v>
      </c>
      <c r="E466" s="407" t="s">
        <v>9379</v>
      </c>
      <c r="F466" s="483"/>
      <c r="G466" s="483"/>
      <c r="H466" s="483"/>
      <c r="I466" s="483"/>
      <c r="J466" s="483"/>
      <c r="K466" s="483"/>
      <c r="L466" s="608" t="s">
        <v>4884</v>
      </c>
      <c r="M466" s="409">
        <v>6436.1496062992128</v>
      </c>
      <c r="N466" s="409">
        <v>6436.1496062992128</v>
      </c>
      <c r="O466" s="410" t="s">
        <v>7575</v>
      </c>
      <c r="P466" s="406">
        <v>463</v>
      </c>
      <c r="Q466" s="470" t="s">
        <v>969</v>
      </c>
      <c r="R466" s="460" t="s">
        <v>970</v>
      </c>
      <c r="S466" s="270" t="s">
        <v>7</v>
      </c>
      <c r="U466" s="471"/>
      <c r="V466" s="471"/>
      <c r="W466" s="471" t="s">
        <v>970</v>
      </c>
      <c r="X466" s="471">
        <v>1</v>
      </c>
      <c r="Y466" s="206"/>
      <c r="Z466" s="206"/>
    </row>
    <row r="467" spans="1:26">
      <c r="A467" s="406">
        <v>464</v>
      </c>
      <c r="B467" s="613" t="s">
        <v>6345</v>
      </c>
      <c r="C467" s="288" t="s">
        <v>971</v>
      </c>
      <c r="D467" s="414" t="s">
        <v>4207</v>
      </c>
      <c r="E467" s="407" t="s">
        <v>9380</v>
      </c>
      <c r="F467" s="483"/>
      <c r="G467" s="483"/>
      <c r="H467" s="483"/>
      <c r="I467" s="483"/>
      <c r="J467" s="483"/>
      <c r="K467" s="483"/>
      <c r="L467" s="608" t="s">
        <v>4884</v>
      </c>
      <c r="M467" s="409">
        <v>11248.602362204725</v>
      </c>
      <c r="N467" s="409">
        <v>11248.602362204725</v>
      </c>
      <c r="O467" s="410" t="s">
        <v>7572</v>
      </c>
      <c r="P467" s="406">
        <v>464</v>
      </c>
      <c r="Q467" s="470" t="s">
        <v>971</v>
      </c>
      <c r="R467" s="460" t="s">
        <v>972</v>
      </c>
      <c r="S467" s="270" t="s">
        <v>7</v>
      </c>
      <c r="U467" s="471"/>
      <c r="V467" s="471"/>
      <c r="W467" s="471" t="s">
        <v>972</v>
      </c>
      <c r="X467" s="471">
        <v>1</v>
      </c>
      <c r="Y467" s="206"/>
      <c r="Z467" s="206"/>
    </row>
    <row r="468" spans="1:26">
      <c r="A468" s="406">
        <v>465</v>
      </c>
      <c r="B468" s="613" t="s">
        <v>6347</v>
      </c>
      <c r="C468" s="288" t="s">
        <v>973</v>
      </c>
      <c r="D468" s="414" t="s">
        <v>4208</v>
      </c>
      <c r="E468" s="407" t="s">
        <v>9381</v>
      </c>
      <c r="F468" s="483"/>
      <c r="G468" s="483"/>
      <c r="H468" s="483"/>
      <c r="I468" s="483"/>
      <c r="J468" s="483"/>
      <c r="K468" s="483"/>
      <c r="L468" s="608" t="s">
        <v>4884</v>
      </c>
      <c r="M468" s="409">
        <v>10865.842519685038</v>
      </c>
      <c r="N468" s="409">
        <v>10865.842519685038</v>
      </c>
      <c r="O468" s="410" t="s">
        <v>7572</v>
      </c>
      <c r="P468" s="406">
        <v>465</v>
      </c>
      <c r="Q468" s="470" t="s">
        <v>973</v>
      </c>
      <c r="R468" s="460" t="s">
        <v>974</v>
      </c>
      <c r="S468" s="270" t="s">
        <v>7</v>
      </c>
      <c r="U468" s="471"/>
      <c r="V468" s="471"/>
      <c r="W468" s="471" t="s">
        <v>974</v>
      </c>
      <c r="X468" s="471">
        <v>1</v>
      </c>
      <c r="Y468" s="206"/>
      <c r="Z468" s="206"/>
    </row>
    <row r="469" spans="1:26">
      <c r="A469" s="406">
        <v>466</v>
      </c>
      <c r="B469" s="613" t="s">
        <v>6348</v>
      </c>
      <c r="C469" s="288" t="s">
        <v>975</v>
      </c>
      <c r="D469" s="414" t="s">
        <v>4238</v>
      </c>
      <c r="E469" s="407" t="s">
        <v>9382</v>
      </c>
      <c r="F469" s="483"/>
      <c r="G469" s="483"/>
      <c r="H469" s="483"/>
      <c r="I469" s="483"/>
      <c r="J469" s="483"/>
      <c r="K469" s="483"/>
      <c r="L469" s="608" t="s">
        <v>4884</v>
      </c>
      <c r="M469" s="409">
        <v>12441.444881889764</v>
      </c>
      <c r="N469" s="409">
        <v>12441.444881889764</v>
      </c>
      <c r="O469" s="410" t="s">
        <v>7572</v>
      </c>
      <c r="P469" s="406">
        <v>466</v>
      </c>
      <c r="Q469" s="470" t="s">
        <v>975</v>
      </c>
      <c r="R469" s="460" t="s">
        <v>976</v>
      </c>
      <c r="S469" s="270" t="s">
        <v>7</v>
      </c>
      <c r="U469" s="471"/>
      <c r="V469" s="471"/>
      <c r="W469" s="471" t="s">
        <v>976</v>
      </c>
      <c r="X469" s="471">
        <v>1</v>
      </c>
      <c r="Y469" s="206"/>
      <c r="Z469" s="206"/>
    </row>
    <row r="470" spans="1:26">
      <c r="A470" s="406">
        <v>467</v>
      </c>
      <c r="B470" s="613" t="s">
        <v>6349</v>
      </c>
      <c r="C470" s="288" t="s">
        <v>977</v>
      </c>
      <c r="D470" s="414" t="s">
        <v>3842</v>
      </c>
      <c r="E470" s="407" t="s">
        <v>9383</v>
      </c>
      <c r="F470" s="483"/>
      <c r="G470" s="483"/>
      <c r="H470" s="483"/>
      <c r="I470" s="483"/>
      <c r="J470" s="483"/>
      <c r="K470" s="483"/>
      <c r="L470" s="608" t="s">
        <v>4884</v>
      </c>
      <c r="M470" s="409">
        <v>6866.3503937007881</v>
      </c>
      <c r="N470" s="409">
        <v>6866.3503937007881</v>
      </c>
      <c r="O470" s="410" t="s">
        <v>7574</v>
      </c>
      <c r="P470" s="406">
        <v>467</v>
      </c>
      <c r="Q470" s="470" t="s">
        <v>977</v>
      </c>
      <c r="R470" s="460" t="s">
        <v>978</v>
      </c>
      <c r="S470" s="270" t="s">
        <v>7</v>
      </c>
      <c r="U470" s="471"/>
      <c r="V470" s="471"/>
      <c r="W470" s="471" t="s">
        <v>978</v>
      </c>
      <c r="X470" s="471">
        <v>1</v>
      </c>
      <c r="Y470" s="206"/>
      <c r="Z470" s="206"/>
    </row>
    <row r="471" spans="1:26">
      <c r="A471" s="406">
        <v>468</v>
      </c>
      <c r="B471" s="613" t="s">
        <v>6350</v>
      </c>
      <c r="C471" s="288" t="s">
        <v>979</v>
      </c>
      <c r="D471" s="414" t="s">
        <v>3790</v>
      </c>
      <c r="E471" s="407" t="s">
        <v>9384</v>
      </c>
      <c r="F471" s="483"/>
      <c r="G471" s="483"/>
      <c r="H471" s="483"/>
      <c r="I471" s="483"/>
      <c r="J471" s="483"/>
      <c r="K471" s="483"/>
      <c r="L471" s="608" t="s">
        <v>4884</v>
      </c>
      <c r="M471" s="409">
        <v>5971.8976377952768</v>
      </c>
      <c r="N471" s="409">
        <v>5971.8976377952768</v>
      </c>
      <c r="O471" s="410" t="s">
        <v>7574</v>
      </c>
      <c r="P471" s="406">
        <v>468</v>
      </c>
      <c r="Q471" s="470" t="s">
        <v>979</v>
      </c>
      <c r="R471" s="460" t="s">
        <v>980</v>
      </c>
      <c r="S471" s="270" t="s">
        <v>7</v>
      </c>
      <c r="U471" s="471"/>
      <c r="V471" s="471"/>
      <c r="W471" s="471" t="s">
        <v>980</v>
      </c>
      <c r="X471" s="471">
        <v>1</v>
      </c>
      <c r="Y471" s="206"/>
      <c r="Z471" s="206"/>
    </row>
    <row r="472" spans="1:26">
      <c r="A472" s="406">
        <v>469</v>
      </c>
      <c r="B472" s="613" t="s">
        <v>6351</v>
      </c>
      <c r="C472" s="288" t="s">
        <v>981</v>
      </c>
      <c r="D472" s="414" t="s">
        <v>3852</v>
      </c>
      <c r="E472" s="407" t="s">
        <v>9385</v>
      </c>
      <c r="F472" s="483"/>
      <c r="G472" s="483"/>
      <c r="H472" s="483"/>
      <c r="I472" s="483"/>
      <c r="J472" s="483"/>
      <c r="K472" s="483"/>
      <c r="L472" s="608" t="s">
        <v>4884</v>
      </c>
      <c r="M472" s="409">
        <v>7256.4370078740167</v>
      </c>
      <c r="N472" s="409">
        <v>7256.4370078740167</v>
      </c>
      <c r="O472" s="410" t="s">
        <v>7575</v>
      </c>
      <c r="P472" s="406">
        <v>469</v>
      </c>
      <c r="Q472" s="470" t="s">
        <v>981</v>
      </c>
      <c r="R472" s="460" t="s">
        <v>982</v>
      </c>
      <c r="S472" s="270" t="s">
        <v>7</v>
      </c>
      <c r="U472" s="471"/>
      <c r="V472" s="471"/>
      <c r="W472" s="471" t="s">
        <v>982</v>
      </c>
      <c r="X472" s="471">
        <v>1</v>
      </c>
      <c r="Y472" s="206"/>
      <c r="Z472" s="206"/>
    </row>
    <row r="473" spans="1:26">
      <c r="A473" s="406">
        <v>470</v>
      </c>
      <c r="B473" s="613" t="s">
        <v>6352</v>
      </c>
      <c r="C473" s="288" t="s">
        <v>983</v>
      </c>
      <c r="D473" s="414" t="s">
        <v>3776</v>
      </c>
      <c r="E473" s="407" t="s">
        <v>9386</v>
      </c>
      <c r="F473" s="483"/>
      <c r="G473" s="483"/>
      <c r="H473" s="483"/>
      <c r="I473" s="483"/>
      <c r="J473" s="483"/>
      <c r="K473" s="483"/>
      <c r="L473" s="608" t="s">
        <v>4884</v>
      </c>
      <c r="M473" s="409">
        <v>6602.5748031496069</v>
      </c>
      <c r="N473" s="409">
        <v>6602.5748031496069</v>
      </c>
      <c r="O473" s="410" t="s">
        <v>7569</v>
      </c>
      <c r="P473" s="406">
        <v>470</v>
      </c>
      <c r="Q473" s="470" t="s">
        <v>983</v>
      </c>
      <c r="R473" s="460" t="s">
        <v>984</v>
      </c>
      <c r="S473" s="270" t="s">
        <v>7</v>
      </c>
      <c r="U473" s="471"/>
      <c r="V473" s="471"/>
      <c r="W473" s="471" t="s">
        <v>984</v>
      </c>
      <c r="X473" s="471">
        <v>1</v>
      </c>
      <c r="Y473" s="206"/>
      <c r="Z473" s="206"/>
    </row>
    <row r="474" spans="1:26">
      <c r="A474" s="406">
        <v>471</v>
      </c>
      <c r="B474" s="613" t="s">
        <v>6353</v>
      </c>
      <c r="C474" s="288" t="s">
        <v>985</v>
      </c>
      <c r="D474" s="414" t="s">
        <v>3853</v>
      </c>
      <c r="E474" s="407" t="s">
        <v>9387</v>
      </c>
      <c r="F474" s="483"/>
      <c r="G474" s="483"/>
      <c r="H474" s="483"/>
      <c r="I474" s="483"/>
      <c r="J474" s="483"/>
      <c r="K474" s="483"/>
      <c r="L474" s="608" t="s">
        <v>4884</v>
      </c>
      <c r="M474" s="409">
        <v>7383.5551181102373</v>
      </c>
      <c r="N474" s="409">
        <v>7383.5551181102373</v>
      </c>
      <c r="O474" s="410" t="s">
        <v>7576</v>
      </c>
      <c r="P474" s="406">
        <v>471</v>
      </c>
      <c r="Q474" s="470" t="s">
        <v>985</v>
      </c>
      <c r="R474" s="460" t="s">
        <v>986</v>
      </c>
      <c r="S474" s="270" t="s">
        <v>7</v>
      </c>
      <c r="U474" s="471"/>
      <c r="V474" s="471"/>
      <c r="W474" s="471" t="s">
        <v>986</v>
      </c>
      <c r="X474" s="471">
        <v>1</v>
      </c>
      <c r="Y474" s="206"/>
      <c r="Z474" s="206"/>
    </row>
    <row r="475" spans="1:26">
      <c r="A475" s="406">
        <v>472</v>
      </c>
      <c r="B475" s="613" t="s">
        <v>6354</v>
      </c>
      <c r="C475" s="288" t="s">
        <v>987</v>
      </c>
      <c r="D475" s="414" t="s">
        <v>3788</v>
      </c>
      <c r="E475" s="407" t="s">
        <v>9388</v>
      </c>
      <c r="F475" s="483"/>
      <c r="G475" s="483"/>
      <c r="H475" s="483"/>
      <c r="I475" s="483"/>
      <c r="J475" s="483"/>
      <c r="K475" s="483"/>
      <c r="L475" s="608" t="s">
        <v>4884</v>
      </c>
      <c r="M475" s="409">
        <v>6044.251968503937</v>
      </c>
      <c r="N475" s="409">
        <v>6044.251968503937</v>
      </c>
      <c r="O475" s="410" t="s">
        <v>7569</v>
      </c>
      <c r="P475" s="406">
        <v>472</v>
      </c>
      <c r="Q475" s="470" t="s">
        <v>987</v>
      </c>
      <c r="R475" s="460" t="s">
        <v>988</v>
      </c>
      <c r="S475" s="270" t="s">
        <v>7</v>
      </c>
      <c r="U475" s="471"/>
      <c r="V475" s="471"/>
      <c r="W475" s="471" t="s">
        <v>988</v>
      </c>
      <c r="X475" s="471">
        <v>1</v>
      </c>
      <c r="Y475" s="206"/>
      <c r="Z475" s="206"/>
    </row>
    <row r="476" spans="1:26">
      <c r="A476" s="406">
        <v>473</v>
      </c>
      <c r="B476" s="613" t="s">
        <v>6360</v>
      </c>
      <c r="C476" s="288" t="s">
        <v>989</v>
      </c>
      <c r="D476" s="414" t="s">
        <v>3741</v>
      </c>
      <c r="E476" s="407" t="s">
        <v>9389</v>
      </c>
      <c r="F476" s="483"/>
      <c r="G476" s="483"/>
      <c r="H476" s="483"/>
      <c r="I476" s="483"/>
      <c r="J476" s="483"/>
      <c r="K476" s="483"/>
      <c r="L476" s="608" t="s">
        <v>4884</v>
      </c>
      <c r="M476" s="409">
        <v>6276.2086614173222</v>
      </c>
      <c r="N476" s="409">
        <v>6276.2086614173222</v>
      </c>
      <c r="O476" s="410" t="s">
        <v>7576</v>
      </c>
      <c r="P476" s="406">
        <v>473</v>
      </c>
      <c r="Q476" s="470" t="s">
        <v>989</v>
      </c>
      <c r="R476" s="460" t="s">
        <v>990</v>
      </c>
      <c r="S476" s="270" t="s">
        <v>7</v>
      </c>
      <c r="U476" s="471"/>
      <c r="V476" s="471"/>
      <c r="W476" s="471" t="s">
        <v>990</v>
      </c>
      <c r="X476" s="471">
        <v>1</v>
      </c>
      <c r="Y476" s="206"/>
      <c r="Z476" s="206"/>
    </row>
    <row r="477" spans="1:26">
      <c r="A477" s="406">
        <v>474</v>
      </c>
      <c r="B477" s="613" t="s">
        <v>6355</v>
      </c>
      <c r="C477" s="288" t="s">
        <v>991</v>
      </c>
      <c r="D477" s="414" t="s">
        <v>3785</v>
      </c>
      <c r="E477" s="407" t="s">
        <v>9390</v>
      </c>
      <c r="F477" s="483"/>
      <c r="G477" s="483"/>
      <c r="H477" s="483"/>
      <c r="I477" s="483"/>
      <c r="J477" s="483"/>
      <c r="K477" s="483"/>
      <c r="L477" s="608" t="s">
        <v>4884</v>
      </c>
      <c r="M477" s="409">
        <v>6506.3228346456699</v>
      </c>
      <c r="N477" s="409">
        <v>6506.3228346456699</v>
      </c>
      <c r="O477" s="410" t="s">
        <v>7569</v>
      </c>
      <c r="P477" s="406">
        <v>474</v>
      </c>
      <c r="Q477" s="470" t="s">
        <v>991</v>
      </c>
      <c r="R477" s="460" t="s">
        <v>992</v>
      </c>
      <c r="S477" s="270" t="s">
        <v>7</v>
      </c>
      <c r="U477" s="471"/>
      <c r="V477" s="471"/>
      <c r="W477" s="471" t="s">
        <v>992</v>
      </c>
      <c r="X477" s="471">
        <v>1</v>
      </c>
      <c r="Y477" s="206"/>
      <c r="Z477" s="206"/>
    </row>
    <row r="478" spans="1:26">
      <c r="A478" s="406">
        <v>475</v>
      </c>
      <c r="B478" s="613" t="s">
        <v>6356</v>
      </c>
      <c r="C478" s="288" t="s">
        <v>993</v>
      </c>
      <c r="D478" s="414" t="s">
        <v>3798</v>
      </c>
      <c r="E478" s="407" t="s">
        <v>9391</v>
      </c>
      <c r="F478" s="483"/>
      <c r="G478" s="483"/>
      <c r="H478" s="483"/>
      <c r="I478" s="483"/>
      <c r="J478" s="483"/>
      <c r="K478" s="483"/>
      <c r="L478" s="608" t="s">
        <v>4884</v>
      </c>
      <c r="M478" s="409">
        <v>5785.5393700787399</v>
      </c>
      <c r="N478" s="409">
        <v>5785.5393700787399</v>
      </c>
      <c r="O478" s="410" t="s">
        <v>7573</v>
      </c>
      <c r="P478" s="406">
        <v>475</v>
      </c>
      <c r="Q478" s="470" t="s">
        <v>993</v>
      </c>
      <c r="R478" s="460" t="s">
        <v>994</v>
      </c>
      <c r="S478" s="270" t="s">
        <v>7</v>
      </c>
      <c r="U478" s="471"/>
      <c r="V478" s="471"/>
      <c r="W478" s="471" t="s">
        <v>994</v>
      </c>
      <c r="X478" s="471">
        <v>1</v>
      </c>
      <c r="Y478" s="206"/>
      <c r="Z478" s="206"/>
    </row>
    <row r="479" spans="1:26">
      <c r="A479" s="406">
        <v>476</v>
      </c>
      <c r="B479" s="613" t="s">
        <v>6357</v>
      </c>
      <c r="C479" s="288" t="s">
        <v>995</v>
      </c>
      <c r="D479" s="414" t="s">
        <v>3857</v>
      </c>
      <c r="E479" s="407" t="s">
        <v>9392</v>
      </c>
      <c r="F479" s="483"/>
      <c r="G479" s="483"/>
      <c r="H479" s="483"/>
      <c r="I479" s="483"/>
      <c r="J479" s="483"/>
      <c r="K479" s="483"/>
      <c r="L479" s="608" t="s">
        <v>4884</v>
      </c>
      <c r="M479" s="409">
        <v>6858.0669291338581</v>
      </c>
      <c r="N479" s="409">
        <v>6858.0669291338581</v>
      </c>
      <c r="O479" s="410" t="s">
        <v>7573</v>
      </c>
      <c r="P479" s="406">
        <v>476</v>
      </c>
      <c r="Q479" s="470" t="s">
        <v>995</v>
      </c>
      <c r="R479" s="460" t="s">
        <v>996</v>
      </c>
      <c r="S479" s="270" t="s">
        <v>7</v>
      </c>
      <c r="U479" s="471"/>
      <c r="V479" s="471"/>
      <c r="W479" s="471" t="s">
        <v>996</v>
      </c>
      <c r="X479" s="471">
        <v>1</v>
      </c>
      <c r="Y479" s="206"/>
      <c r="Z479" s="206"/>
    </row>
    <row r="480" spans="1:26">
      <c r="A480" s="406">
        <v>477</v>
      </c>
      <c r="B480" s="613" t="s">
        <v>6358</v>
      </c>
      <c r="C480" s="288" t="s">
        <v>997</v>
      </c>
      <c r="D480" s="414" t="s">
        <v>3799</v>
      </c>
      <c r="E480" s="407" t="s">
        <v>9393</v>
      </c>
      <c r="F480" s="483"/>
      <c r="G480" s="483"/>
      <c r="H480" s="483"/>
      <c r="I480" s="483"/>
      <c r="J480" s="483"/>
      <c r="K480" s="483"/>
      <c r="L480" s="608" t="s">
        <v>4884</v>
      </c>
      <c r="M480" s="409">
        <v>6805.208661417324</v>
      </c>
      <c r="N480" s="409">
        <v>6805.208661417324</v>
      </c>
      <c r="O480" s="410" t="s">
        <v>7573</v>
      </c>
      <c r="P480" s="406">
        <v>477</v>
      </c>
      <c r="Q480" s="470" t="s">
        <v>997</v>
      </c>
      <c r="R480" s="460" t="s">
        <v>998</v>
      </c>
      <c r="S480" s="270" t="s">
        <v>7</v>
      </c>
      <c r="U480" s="471"/>
      <c r="V480" s="471"/>
      <c r="W480" s="471" t="s">
        <v>998</v>
      </c>
      <c r="X480" s="471">
        <v>1</v>
      </c>
      <c r="Z480" s="270" t="s">
        <v>999</v>
      </c>
    </row>
    <row r="481" spans="1:26">
      <c r="A481" s="406">
        <v>478</v>
      </c>
      <c r="B481" s="613" t="s">
        <v>6358</v>
      </c>
      <c r="C481" s="288" t="s">
        <v>1000</v>
      </c>
      <c r="D481" s="414" t="s">
        <v>3799</v>
      </c>
      <c r="E481" s="407" t="s">
        <v>9393</v>
      </c>
      <c r="F481" s="483"/>
      <c r="G481" s="483"/>
      <c r="H481" s="483"/>
      <c r="I481" s="483"/>
      <c r="J481" s="483"/>
      <c r="K481" s="483"/>
      <c r="L481" s="608" t="s">
        <v>4884</v>
      </c>
      <c r="M481" s="409">
        <v>6805.208661417324</v>
      </c>
      <c r="N481" s="409">
        <v>6805.208661417324</v>
      </c>
      <c r="O481" s="410" t="s">
        <v>7573</v>
      </c>
      <c r="P481" s="406">
        <v>478</v>
      </c>
      <c r="Q481" s="470" t="s">
        <v>1000</v>
      </c>
      <c r="R481" s="460" t="s">
        <v>1001</v>
      </c>
      <c r="S481" s="270" t="s">
        <v>7</v>
      </c>
      <c r="U481" s="471"/>
      <c r="V481" s="471"/>
      <c r="W481" s="471" t="s">
        <v>1001</v>
      </c>
      <c r="X481" s="473">
        <v>0</v>
      </c>
      <c r="Z481" s="270" t="s">
        <v>999</v>
      </c>
    </row>
    <row r="482" spans="1:26">
      <c r="A482" s="406">
        <v>479</v>
      </c>
      <c r="B482" s="613" t="s">
        <v>6358</v>
      </c>
      <c r="C482" s="288" t="s">
        <v>1002</v>
      </c>
      <c r="D482" s="414" t="s">
        <v>3799</v>
      </c>
      <c r="E482" s="407" t="s">
        <v>9393</v>
      </c>
      <c r="F482" s="483"/>
      <c r="G482" s="483"/>
      <c r="H482" s="483"/>
      <c r="I482" s="483"/>
      <c r="J482" s="483"/>
      <c r="K482" s="483"/>
      <c r="L482" s="608" t="s">
        <v>4884</v>
      </c>
      <c r="M482" s="409">
        <v>6805.208661417324</v>
      </c>
      <c r="N482" s="409">
        <v>6805.208661417324</v>
      </c>
      <c r="O482" s="410" t="s">
        <v>7573</v>
      </c>
      <c r="P482" s="406">
        <v>479</v>
      </c>
      <c r="Q482" s="470" t="s">
        <v>1002</v>
      </c>
      <c r="R482" s="460" t="s">
        <v>1003</v>
      </c>
      <c r="S482" s="270" t="s">
        <v>7</v>
      </c>
      <c r="U482" s="471"/>
      <c r="V482" s="471"/>
      <c r="W482" s="471" t="s">
        <v>1003</v>
      </c>
      <c r="X482" s="473">
        <v>0</v>
      </c>
      <c r="Z482" s="270" t="s">
        <v>999</v>
      </c>
    </row>
    <row r="483" spans="1:26">
      <c r="A483" s="406">
        <v>480</v>
      </c>
      <c r="B483" s="613" t="s">
        <v>6358</v>
      </c>
      <c r="C483" s="288" t="s">
        <v>1004</v>
      </c>
      <c r="D483" s="414" t="s">
        <v>3799</v>
      </c>
      <c r="E483" s="407" t="s">
        <v>9393</v>
      </c>
      <c r="F483" s="483"/>
      <c r="G483" s="483"/>
      <c r="H483" s="483"/>
      <c r="I483" s="483"/>
      <c r="J483" s="483"/>
      <c r="K483" s="483"/>
      <c r="L483" s="608" t="s">
        <v>4884</v>
      </c>
      <c r="M483" s="409">
        <v>6805.208661417324</v>
      </c>
      <c r="N483" s="409">
        <v>6805.208661417324</v>
      </c>
      <c r="O483" s="410" t="s">
        <v>7573</v>
      </c>
      <c r="P483" s="406">
        <v>480</v>
      </c>
      <c r="Q483" s="470" t="s">
        <v>1004</v>
      </c>
      <c r="R483" s="460" t="s">
        <v>1005</v>
      </c>
      <c r="S483" s="270" t="s">
        <v>7</v>
      </c>
      <c r="U483" s="471"/>
      <c r="V483" s="471"/>
      <c r="W483" s="471" t="s">
        <v>1005</v>
      </c>
      <c r="X483" s="473">
        <v>0</v>
      </c>
      <c r="Z483" s="270" t="s">
        <v>999</v>
      </c>
    </row>
    <row r="484" spans="1:26">
      <c r="A484" s="406">
        <v>481</v>
      </c>
      <c r="B484" s="613" t="s">
        <v>6359</v>
      </c>
      <c r="C484" s="288" t="s">
        <v>1006</v>
      </c>
      <c r="D484" s="414" t="s">
        <v>3787</v>
      </c>
      <c r="E484" s="407" t="s">
        <v>9394</v>
      </c>
      <c r="F484" s="483"/>
      <c r="G484" s="483"/>
      <c r="H484" s="483"/>
      <c r="I484" s="483"/>
      <c r="J484" s="483"/>
      <c r="K484" s="483"/>
      <c r="L484" s="608" t="s">
        <v>4884</v>
      </c>
      <c r="M484" s="409">
        <v>6639.3740157480315</v>
      </c>
      <c r="N484" s="409">
        <v>6639.3740157480315</v>
      </c>
      <c r="O484" s="410" t="s">
        <v>7569</v>
      </c>
      <c r="P484" s="406">
        <v>481</v>
      </c>
      <c r="Q484" s="470" t="s">
        <v>1006</v>
      </c>
      <c r="R484" s="460" t="s">
        <v>1007</v>
      </c>
      <c r="S484" s="270" t="s">
        <v>7</v>
      </c>
      <c r="U484" s="471"/>
      <c r="V484" s="471"/>
      <c r="W484" s="471" t="s">
        <v>1007</v>
      </c>
      <c r="X484" s="471">
        <v>1</v>
      </c>
    </row>
    <row r="485" spans="1:26">
      <c r="A485" s="406">
        <v>482</v>
      </c>
      <c r="B485" s="613" t="s">
        <v>5433</v>
      </c>
      <c r="C485" s="288" t="s">
        <v>1008</v>
      </c>
      <c r="D485" s="414" t="s">
        <v>3850</v>
      </c>
      <c r="E485" s="407" t="s">
        <v>9078</v>
      </c>
      <c r="F485" s="483" t="s">
        <v>5431</v>
      </c>
      <c r="G485" s="411" t="s">
        <v>5434</v>
      </c>
      <c r="H485" s="411"/>
      <c r="I485" s="411"/>
      <c r="J485" s="411"/>
      <c r="K485" s="411"/>
      <c r="L485" s="608">
        <v>16855.834645669293</v>
      </c>
      <c r="M485" s="409">
        <v>6249.7440944881901</v>
      </c>
      <c r="N485" s="409">
        <v>23105.578740157482</v>
      </c>
      <c r="O485" s="410" t="s">
        <v>7755</v>
      </c>
      <c r="P485" s="406">
        <v>482</v>
      </c>
      <c r="Q485" s="470" t="s">
        <v>1008</v>
      </c>
      <c r="R485" s="460" t="s">
        <v>1009</v>
      </c>
      <c r="S485" s="270" t="s">
        <v>7</v>
      </c>
      <c r="U485" s="471"/>
      <c r="V485" s="471"/>
      <c r="W485" s="471" t="s">
        <v>1009</v>
      </c>
      <c r="X485" s="471">
        <v>1</v>
      </c>
      <c r="Z485" s="270" t="s">
        <v>1010</v>
      </c>
    </row>
    <row r="486" spans="1:26">
      <c r="A486" s="406">
        <v>483</v>
      </c>
      <c r="B486" s="613" t="s">
        <v>5427</v>
      </c>
      <c r="C486" s="288" t="s">
        <v>1011</v>
      </c>
      <c r="D486" s="414" t="s">
        <v>3789</v>
      </c>
      <c r="E486" s="407" t="s">
        <v>9079</v>
      </c>
      <c r="F486" s="483" t="s">
        <v>5430</v>
      </c>
      <c r="G486" s="411" t="s">
        <v>5428</v>
      </c>
      <c r="H486" s="411"/>
      <c r="I486" s="411"/>
      <c r="J486" s="411"/>
      <c r="K486" s="411"/>
      <c r="L486" s="608">
        <v>16794.976377952757</v>
      </c>
      <c r="M486" s="409">
        <v>6498.0236220472443</v>
      </c>
      <c r="N486" s="409">
        <v>23293</v>
      </c>
      <c r="O486" s="410" t="s">
        <v>7778</v>
      </c>
      <c r="P486" s="406">
        <v>483</v>
      </c>
      <c r="Q486" s="470" t="s">
        <v>1011</v>
      </c>
      <c r="R486" s="460" t="s">
        <v>1012</v>
      </c>
      <c r="S486" s="270" t="s">
        <v>7</v>
      </c>
      <c r="U486" s="471"/>
      <c r="V486" s="471"/>
      <c r="W486" s="471" t="s">
        <v>1012</v>
      </c>
      <c r="X486" s="471">
        <v>1</v>
      </c>
      <c r="Z486" s="270" t="s">
        <v>1013</v>
      </c>
    </row>
    <row r="487" spans="1:26">
      <c r="A487" s="406">
        <v>484</v>
      </c>
      <c r="B487" s="613" t="s">
        <v>6361</v>
      </c>
      <c r="C487" s="288" t="s">
        <v>1014</v>
      </c>
      <c r="D487" s="414" t="s">
        <v>3845</v>
      </c>
      <c r="E487" s="407" t="s">
        <v>9395</v>
      </c>
      <c r="F487" s="483"/>
      <c r="G487" s="483"/>
      <c r="H487" s="483"/>
      <c r="I487" s="483"/>
      <c r="J487" s="483"/>
      <c r="K487" s="483"/>
      <c r="L487" s="608" t="s">
        <v>4884</v>
      </c>
      <c r="M487" s="409">
        <v>6286.9330708661419</v>
      </c>
      <c r="N487" s="409">
        <v>6286.9330708661419</v>
      </c>
      <c r="O487" s="410" t="s">
        <v>7574</v>
      </c>
      <c r="P487" s="406">
        <v>484</v>
      </c>
      <c r="Q487" s="470" t="s">
        <v>1014</v>
      </c>
      <c r="R487" s="460" t="s">
        <v>1015</v>
      </c>
      <c r="S487" s="270" t="s">
        <v>7</v>
      </c>
      <c r="U487" s="471"/>
      <c r="V487" s="471"/>
      <c r="W487" s="471" t="s">
        <v>1015</v>
      </c>
      <c r="X487" s="471">
        <v>1</v>
      </c>
    </row>
    <row r="488" spans="1:26">
      <c r="A488" s="406">
        <v>485</v>
      </c>
      <c r="B488" s="613" t="s">
        <v>5433</v>
      </c>
      <c r="C488" s="288" t="s">
        <v>1016</v>
      </c>
      <c r="D488" s="414" t="s">
        <v>3850</v>
      </c>
      <c r="E488" s="407" t="s">
        <v>9078</v>
      </c>
      <c r="F488" s="483" t="s">
        <v>5431</v>
      </c>
      <c r="G488" s="411" t="s">
        <v>5434</v>
      </c>
      <c r="H488" s="411"/>
      <c r="I488" s="411"/>
      <c r="J488" s="411"/>
      <c r="K488" s="411"/>
      <c r="L488" s="608">
        <v>16855.834645669293</v>
      </c>
      <c r="M488" s="409">
        <v>6249.7440944881901</v>
      </c>
      <c r="N488" s="409">
        <v>23105.578740157482</v>
      </c>
      <c r="O488" s="410" t="s">
        <v>7755</v>
      </c>
      <c r="P488" s="406">
        <v>485</v>
      </c>
      <c r="Q488" s="470" t="s">
        <v>1016</v>
      </c>
      <c r="R488" s="460" t="s">
        <v>1017</v>
      </c>
      <c r="S488" s="270" t="s">
        <v>7</v>
      </c>
      <c r="U488" s="471"/>
      <c r="V488" s="471"/>
      <c r="W488" s="471" t="s">
        <v>1017</v>
      </c>
      <c r="X488" s="471">
        <v>0</v>
      </c>
      <c r="Z488" s="270" t="s">
        <v>1010</v>
      </c>
    </row>
    <row r="489" spans="1:26">
      <c r="A489" s="406">
        <v>486</v>
      </c>
      <c r="B489" s="613" t="s">
        <v>5427</v>
      </c>
      <c r="C489" s="288" t="s">
        <v>1018</v>
      </c>
      <c r="D489" s="414" t="s">
        <v>3789</v>
      </c>
      <c r="E489" s="407" t="s">
        <v>9079</v>
      </c>
      <c r="F489" s="483" t="s">
        <v>5430</v>
      </c>
      <c r="G489" s="411" t="s">
        <v>5428</v>
      </c>
      <c r="H489" s="411"/>
      <c r="I489" s="411"/>
      <c r="J489" s="411"/>
      <c r="K489" s="411"/>
      <c r="L489" s="608">
        <v>16794.976377952757</v>
      </c>
      <c r="M489" s="409">
        <v>6498.0236220472443</v>
      </c>
      <c r="N489" s="409">
        <v>23293</v>
      </c>
      <c r="O489" s="410" t="s">
        <v>7778</v>
      </c>
      <c r="P489" s="406">
        <v>486</v>
      </c>
      <c r="Q489" s="470" t="s">
        <v>1018</v>
      </c>
      <c r="R489" s="460" t="s">
        <v>1019</v>
      </c>
      <c r="S489" s="270" t="s">
        <v>7</v>
      </c>
      <c r="U489" s="471"/>
      <c r="V489" s="471"/>
      <c r="W489" s="471" t="s">
        <v>1019</v>
      </c>
      <c r="X489" s="471">
        <v>0</v>
      </c>
      <c r="Z489" s="270" t="s">
        <v>1013</v>
      </c>
    </row>
    <row r="490" spans="1:26">
      <c r="A490" s="406">
        <v>487</v>
      </c>
      <c r="B490" s="613" t="s">
        <v>5433</v>
      </c>
      <c r="C490" s="288" t="s">
        <v>1020</v>
      </c>
      <c r="D490" s="414" t="s">
        <v>3850</v>
      </c>
      <c r="E490" s="407" t="s">
        <v>9078</v>
      </c>
      <c r="F490" s="483" t="s">
        <v>5431</v>
      </c>
      <c r="G490" s="411" t="s">
        <v>5434</v>
      </c>
      <c r="H490" s="411"/>
      <c r="I490" s="411"/>
      <c r="J490" s="411"/>
      <c r="K490" s="411"/>
      <c r="L490" s="608">
        <v>16855.834645669293</v>
      </c>
      <c r="M490" s="409">
        <v>6249.7440944881901</v>
      </c>
      <c r="N490" s="409">
        <v>23105.578740157482</v>
      </c>
      <c r="O490" s="410" t="s">
        <v>7755</v>
      </c>
      <c r="P490" s="406">
        <v>487</v>
      </c>
      <c r="Q490" s="470" t="s">
        <v>1020</v>
      </c>
      <c r="R490" s="460" t="s">
        <v>1021</v>
      </c>
      <c r="S490" s="270" t="s">
        <v>7</v>
      </c>
      <c r="U490" s="471"/>
      <c r="V490" s="471"/>
      <c r="W490" s="471" t="s">
        <v>1021</v>
      </c>
      <c r="X490" s="471">
        <v>0</v>
      </c>
      <c r="Z490" s="270" t="s">
        <v>1010</v>
      </c>
    </row>
    <row r="491" spans="1:26">
      <c r="A491" s="406">
        <v>488</v>
      </c>
      <c r="B491" s="613" t="s">
        <v>5427</v>
      </c>
      <c r="C491" s="288" t="s">
        <v>1022</v>
      </c>
      <c r="D491" s="414" t="s">
        <v>3789</v>
      </c>
      <c r="E491" s="407" t="s">
        <v>9079</v>
      </c>
      <c r="F491" s="483" t="s">
        <v>5430</v>
      </c>
      <c r="G491" s="411" t="s">
        <v>5428</v>
      </c>
      <c r="H491" s="411"/>
      <c r="I491" s="411"/>
      <c r="J491" s="411"/>
      <c r="K491" s="411"/>
      <c r="L491" s="608">
        <v>16794.976377952757</v>
      </c>
      <c r="M491" s="409">
        <v>6498.0236220472443</v>
      </c>
      <c r="N491" s="409">
        <v>23293</v>
      </c>
      <c r="O491" s="410" t="s">
        <v>7778</v>
      </c>
      <c r="P491" s="406">
        <v>488</v>
      </c>
      <c r="Q491" s="470" t="s">
        <v>1022</v>
      </c>
      <c r="R491" s="460" t="s">
        <v>1023</v>
      </c>
      <c r="S491" s="270" t="s">
        <v>7</v>
      </c>
      <c r="U491" s="471"/>
      <c r="V491" s="471"/>
      <c r="W491" s="471" t="s">
        <v>1023</v>
      </c>
      <c r="X491" s="471">
        <v>0</v>
      </c>
      <c r="Z491" s="270" t="s">
        <v>1013</v>
      </c>
    </row>
    <row r="492" spans="1:26">
      <c r="A492" s="406">
        <v>489</v>
      </c>
      <c r="B492" s="613" t="s">
        <v>6362</v>
      </c>
      <c r="C492" s="288" t="s">
        <v>1024</v>
      </c>
      <c r="D492" s="414" t="s">
        <v>3807</v>
      </c>
      <c r="E492" s="407" t="s">
        <v>9396</v>
      </c>
      <c r="F492" s="483"/>
      <c r="G492" s="483"/>
      <c r="H492" s="483"/>
      <c r="I492" s="483"/>
      <c r="J492" s="483"/>
      <c r="K492" s="483"/>
      <c r="L492" s="608" t="s">
        <v>4884</v>
      </c>
      <c r="M492" s="409">
        <v>6310.318897637796</v>
      </c>
      <c r="N492" s="409">
        <v>6310.318897637796</v>
      </c>
      <c r="O492" s="410" t="s">
        <v>7576</v>
      </c>
      <c r="P492" s="406">
        <v>489</v>
      </c>
      <c r="Q492" s="470" t="s">
        <v>1024</v>
      </c>
      <c r="R492" s="460" t="s">
        <v>1025</v>
      </c>
      <c r="S492" s="270" t="s">
        <v>7</v>
      </c>
      <c r="U492" s="471"/>
      <c r="V492" s="471"/>
      <c r="W492" s="471" t="s">
        <v>1025</v>
      </c>
      <c r="X492" s="471">
        <v>1</v>
      </c>
    </row>
    <row r="493" spans="1:26">
      <c r="A493" s="406">
        <v>490</v>
      </c>
      <c r="B493" s="613" t="s">
        <v>6363</v>
      </c>
      <c r="C493" s="288" t="s">
        <v>1026</v>
      </c>
      <c r="D493" s="414" t="s">
        <v>3806</v>
      </c>
      <c r="E493" s="407" t="s">
        <v>9397</v>
      </c>
      <c r="F493" s="483"/>
      <c r="G493" s="483"/>
      <c r="H493" s="483"/>
      <c r="I493" s="483"/>
      <c r="J493" s="483"/>
      <c r="K493" s="483"/>
      <c r="L493" s="608" t="s">
        <v>4884</v>
      </c>
      <c r="M493" s="409">
        <v>6017.2047244094483</v>
      </c>
      <c r="N493" s="409">
        <v>6017.2047244094483</v>
      </c>
      <c r="O493" s="410" t="s">
        <v>7569</v>
      </c>
      <c r="P493" s="406">
        <v>490</v>
      </c>
      <c r="Q493" s="470" t="s">
        <v>1026</v>
      </c>
      <c r="R493" s="460" t="s">
        <v>1027</v>
      </c>
      <c r="S493" s="270" t="s">
        <v>7</v>
      </c>
      <c r="U493" s="471"/>
      <c r="V493" s="471"/>
      <c r="W493" s="471" t="s">
        <v>1027</v>
      </c>
      <c r="X493" s="471">
        <v>1</v>
      </c>
    </row>
    <row r="494" spans="1:26">
      <c r="A494" s="406">
        <v>491</v>
      </c>
      <c r="B494" s="613" t="s">
        <v>6364</v>
      </c>
      <c r="C494" s="288" t="s">
        <v>1028</v>
      </c>
      <c r="D494" s="414" t="s">
        <v>3781</v>
      </c>
      <c r="E494" s="407" t="s">
        <v>9398</v>
      </c>
      <c r="F494" s="483"/>
      <c r="G494" s="483"/>
      <c r="H494" s="483"/>
      <c r="I494" s="483"/>
      <c r="J494" s="483"/>
      <c r="K494" s="483"/>
      <c r="L494" s="608" t="s">
        <v>4884</v>
      </c>
      <c r="M494" s="409">
        <v>6910.4488188976375</v>
      </c>
      <c r="N494" s="409">
        <v>6910.4488188976375</v>
      </c>
      <c r="O494" s="410" t="s">
        <v>7575</v>
      </c>
      <c r="P494" s="406">
        <v>491</v>
      </c>
      <c r="Q494" s="470" t="s">
        <v>1028</v>
      </c>
      <c r="R494" s="460" t="s">
        <v>1029</v>
      </c>
      <c r="S494" s="270" t="s">
        <v>7</v>
      </c>
      <c r="U494" s="471"/>
      <c r="V494" s="471"/>
      <c r="W494" s="471" t="s">
        <v>1029</v>
      </c>
      <c r="X494" s="471">
        <v>1</v>
      </c>
    </row>
    <row r="495" spans="1:26">
      <c r="A495" s="406">
        <v>492</v>
      </c>
      <c r="B495" s="613" t="s">
        <v>6365</v>
      </c>
      <c r="C495" s="288" t="s">
        <v>1030</v>
      </c>
      <c r="D495" s="414" t="s">
        <v>3791</v>
      </c>
      <c r="E495" s="407" t="s">
        <v>9399</v>
      </c>
      <c r="F495" s="483"/>
      <c r="G495" s="483"/>
      <c r="H495" s="483"/>
      <c r="I495" s="483"/>
      <c r="J495" s="483"/>
      <c r="K495" s="483"/>
      <c r="L495" s="608" t="s">
        <v>4884</v>
      </c>
      <c r="M495" s="409">
        <v>6198.7047244094492</v>
      </c>
      <c r="N495" s="409">
        <v>6198.7047244094492</v>
      </c>
      <c r="O495" s="410" t="s">
        <v>7574</v>
      </c>
      <c r="P495" s="406">
        <v>492</v>
      </c>
      <c r="Q495" s="470" t="s">
        <v>1030</v>
      </c>
      <c r="R495" s="460" t="s">
        <v>1031</v>
      </c>
      <c r="S495" s="270" t="s">
        <v>7</v>
      </c>
      <c r="U495" s="471"/>
      <c r="V495" s="471"/>
      <c r="W495" s="471" t="s">
        <v>1031</v>
      </c>
      <c r="X495" s="471">
        <v>1</v>
      </c>
    </row>
    <row r="496" spans="1:26">
      <c r="A496" s="406">
        <v>493</v>
      </c>
      <c r="B496" s="613" t="s">
        <v>6366</v>
      </c>
      <c r="C496" s="288" t="s">
        <v>1032</v>
      </c>
      <c r="D496" s="414" t="s">
        <v>3786</v>
      </c>
      <c r="E496" s="407" t="s">
        <v>9400</v>
      </c>
      <c r="F496" s="483"/>
      <c r="G496" s="483"/>
      <c r="H496" s="483"/>
      <c r="I496" s="483"/>
      <c r="J496" s="483"/>
      <c r="K496" s="483"/>
      <c r="L496" s="608" t="s">
        <v>4884</v>
      </c>
      <c r="M496" s="409">
        <v>6420.6181102362207</v>
      </c>
      <c r="N496" s="409">
        <v>6420.6181102362207</v>
      </c>
      <c r="O496" s="410" t="s">
        <v>7573</v>
      </c>
      <c r="P496" s="406">
        <v>493</v>
      </c>
      <c r="Q496" s="470" t="s">
        <v>1032</v>
      </c>
      <c r="R496" s="460" t="s">
        <v>1033</v>
      </c>
      <c r="S496" s="270" t="s">
        <v>7</v>
      </c>
      <c r="U496" s="471"/>
      <c r="V496" s="471"/>
      <c r="W496" s="471" t="s">
        <v>1033</v>
      </c>
      <c r="X496" s="471">
        <v>1</v>
      </c>
    </row>
    <row r="497" spans="1:26">
      <c r="A497" s="406">
        <v>494</v>
      </c>
      <c r="B497" s="613" t="s">
        <v>6367</v>
      </c>
      <c r="C497" s="288" t="s">
        <v>1034</v>
      </c>
      <c r="D497" s="414" t="s">
        <v>3847</v>
      </c>
      <c r="E497" s="407" t="s">
        <v>9401</v>
      </c>
      <c r="F497" s="483"/>
      <c r="G497" s="483"/>
      <c r="H497" s="483"/>
      <c r="I497" s="483"/>
      <c r="J497" s="483"/>
      <c r="K497" s="483"/>
      <c r="L497" s="608" t="s">
        <v>4884</v>
      </c>
      <c r="M497" s="409">
        <v>6205.78346456693</v>
      </c>
      <c r="N497" s="409">
        <v>6205.78346456693</v>
      </c>
      <c r="O497" s="410" t="s">
        <v>7574</v>
      </c>
      <c r="P497" s="406">
        <v>494</v>
      </c>
      <c r="Q497" s="470" t="s">
        <v>1034</v>
      </c>
      <c r="R497" s="460" t="s">
        <v>1035</v>
      </c>
      <c r="S497" s="270" t="s">
        <v>7</v>
      </c>
      <c r="U497" s="471"/>
      <c r="V497" s="471"/>
      <c r="W497" s="471" t="s">
        <v>1035</v>
      </c>
      <c r="X497" s="471">
        <v>1</v>
      </c>
    </row>
    <row r="498" spans="1:26">
      <c r="A498" s="406">
        <v>495</v>
      </c>
      <c r="B498" s="613" t="s">
        <v>6368</v>
      </c>
      <c r="C498" s="288" t="s">
        <v>1036</v>
      </c>
      <c r="D498" s="414" t="s">
        <v>3794</v>
      </c>
      <c r="E498" s="407" t="s">
        <v>9402</v>
      </c>
      <c r="F498" s="483"/>
      <c r="G498" s="483"/>
      <c r="H498" s="483"/>
      <c r="I498" s="483"/>
      <c r="J498" s="483"/>
      <c r="K498" s="483"/>
      <c r="L498" s="608" t="s">
        <v>4884</v>
      </c>
      <c r="M498" s="409">
        <v>6187.3818897637802</v>
      </c>
      <c r="N498" s="409">
        <v>6187.3818897637802</v>
      </c>
      <c r="O498" s="410" t="s">
        <v>7576</v>
      </c>
      <c r="P498" s="406">
        <v>495</v>
      </c>
      <c r="Q498" s="470" t="s">
        <v>1036</v>
      </c>
      <c r="R498" s="460" t="s">
        <v>1037</v>
      </c>
      <c r="S498" s="270" t="s">
        <v>7</v>
      </c>
      <c r="U498" s="471"/>
      <c r="V498" s="471"/>
      <c r="W498" s="471" t="s">
        <v>1037</v>
      </c>
      <c r="X498" s="471">
        <v>1</v>
      </c>
    </row>
    <row r="499" spans="1:26">
      <c r="A499" s="406">
        <v>496</v>
      </c>
      <c r="B499" s="613" t="s">
        <v>6369</v>
      </c>
      <c r="C499" s="288" t="s">
        <v>1038</v>
      </c>
      <c r="D499" s="414" t="s">
        <v>4180</v>
      </c>
      <c r="E499" s="407" t="s">
        <v>9403</v>
      </c>
      <c r="F499" s="483"/>
      <c r="G499" s="483"/>
      <c r="H499" s="483"/>
      <c r="I499" s="483"/>
      <c r="J499" s="483"/>
      <c r="K499" s="483"/>
      <c r="L499" s="608" t="s">
        <v>4884</v>
      </c>
      <c r="M499" s="409">
        <v>4425.854330708662</v>
      </c>
      <c r="N499" s="409">
        <v>4425.854330708662</v>
      </c>
      <c r="O499" s="410" t="s">
        <v>7572</v>
      </c>
      <c r="P499" s="406">
        <v>496</v>
      </c>
      <c r="Q499" s="470" t="s">
        <v>1038</v>
      </c>
      <c r="R499" s="460" t="s">
        <v>1039</v>
      </c>
      <c r="S499" s="270" t="s">
        <v>7</v>
      </c>
      <c r="U499" s="471"/>
      <c r="V499" s="471"/>
      <c r="W499" s="471" t="s">
        <v>1039</v>
      </c>
      <c r="X499" s="471">
        <v>1</v>
      </c>
    </row>
    <row r="500" spans="1:26">
      <c r="A500" s="406">
        <v>497</v>
      </c>
      <c r="B500" s="613" t="s">
        <v>6372</v>
      </c>
      <c r="C500" s="288" t="s">
        <v>1040</v>
      </c>
      <c r="D500" s="414" t="s">
        <v>3743</v>
      </c>
      <c r="E500" s="407" t="s">
        <v>9404</v>
      </c>
      <c r="F500" s="483"/>
      <c r="G500" s="483"/>
      <c r="H500" s="483"/>
      <c r="I500" s="483"/>
      <c r="J500" s="483"/>
      <c r="K500" s="483"/>
      <c r="L500" s="608" t="s">
        <v>4884</v>
      </c>
      <c r="M500" s="409">
        <v>5780.2795275590552</v>
      </c>
      <c r="N500" s="409">
        <v>5780.2795275590552</v>
      </c>
      <c r="O500" s="410" t="s">
        <v>7573</v>
      </c>
      <c r="P500" s="406">
        <v>497</v>
      </c>
      <c r="Q500" s="470" t="s">
        <v>1040</v>
      </c>
      <c r="R500" s="460" t="s">
        <v>1041</v>
      </c>
      <c r="S500" s="270" t="s">
        <v>7</v>
      </c>
      <c r="U500" s="471"/>
      <c r="V500" s="471"/>
      <c r="W500" s="471" t="s">
        <v>1041</v>
      </c>
      <c r="X500" s="471">
        <v>1</v>
      </c>
    </row>
    <row r="501" spans="1:26">
      <c r="A501" s="406">
        <v>498</v>
      </c>
      <c r="B501" s="613" t="s">
        <v>6370</v>
      </c>
      <c r="C501" s="288" t="s">
        <v>1042</v>
      </c>
      <c r="D501" s="414" t="s">
        <v>3740</v>
      </c>
      <c r="E501" s="407" t="s">
        <v>9405</v>
      </c>
      <c r="F501" s="483"/>
      <c r="G501" s="483"/>
      <c r="H501" s="483"/>
      <c r="I501" s="483"/>
      <c r="J501" s="483"/>
      <c r="K501" s="483"/>
      <c r="L501" s="608" t="s">
        <v>4884</v>
      </c>
      <c r="M501" s="409">
        <v>6896.2244094488187</v>
      </c>
      <c r="N501" s="409">
        <v>6896.2244094488187</v>
      </c>
      <c r="O501" s="410" t="s">
        <v>7573</v>
      </c>
      <c r="P501" s="406">
        <v>498</v>
      </c>
      <c r="Q501" s="470" t="s">
        <v>1042</v>
      </c>
      <c r="R501" s="460" t="s">
        <v>1043</v>
      </c>
      <c r="S501" s="270" t="s">
        <v>7</v>
      </c>
      <c r="U501" s="471"/>
      <c r="V501" s="471"/>
      <c r="W501" s="471" t="s">
        <v>1043</v>
      </c>
      <c r="X501" s="471">
        <v>1</v>
      </c>
      <c r="Z501" s="270" t="s">
        <v>1044</v>
      </c>
    </row>
    <row r="502" spans="1:26">
      <c r="A502" s="406">
        <v>499</v>
      </c>
      <c r="B502" s="613" t="s">
        <v>6371</v>
      </c>
      <c r="C502" s="288" t="s">
        <v>1045</v>
      </c>
      <c r="D502" s="414" t="s">
        <v>4135</v>
      </c>
      <c r="E502" s="407" t="s">
        <v>9406</v>
      </c>
      <c r="F502" s="483"/>
      <c r="G502" s="483"/>
      <c r="H502" s="483"/>
      <c r="I502" s="483"/>
      <c r="J502" s="483"/>
      <c r="K502" s="483"/>
      <c r="L502" s="608" t="s">
        <v>4884</v>
      </c>
      <c r="M502" s="409">
        <v>5785.1653543307084</v>
      </c>
      <c r="N502" s="409">
        <v>5785.1653543307084</v>
      </c>
      <c r="O502" s="410" t="s">
        <v>7574</v>
      </c>
      <c r="P502" s="406">
        <v>499</v>
      </c>
      <c r="Q502" s="470" t="s">
        <v>1045</v>
      </c>
      <c r="R502" s="460" t="s">
        <v>1046</v>
      </c>
      <c r="S502" s="270" t="s">
        <v>7</v>
      </c>
      <c r="U502" s="471"/>
      <c r="V502" s="471"/>
      <c r="W502" s="471" t="s">
        <v>1046</v>
      </c>
      <c r="X502" s="471">
        <v>1</v>
      </c>
      <c r="Z502" s="270" t="s">
        <v>1047</v>
      </c>
    </row>
    <row r="503" spans="1:26">
      <c r="A503" s="406">
        <v>500</v>
      </c>
      <c r="B503" s="613" t="s">
        <v>5269</v>
      </c>
      <c r="C503" s="288" t="s">
        <v>1048</v>
      </c>
      <c r="D503" s="414" t="s">
        <v>4211</v>
      </c>
      <c r="E503" s="407" t="s">
        <v>9013</v>
      </c>
      <c r="F503" s="483" t="s">
        <v>5271</v>
      </c>
      <c r="G503" s="411" t="s">
        <v>5270</v>
      </c>
      <c r="H503" s="411"/>
      <c r="I503" s="411"/>
      <c r="J503" s="411"/>
      <c r="K503" s="411"/>
      <c r="L503" s="608">
        <v>5702.9685039370079</v>
      </c>
      <c r="M503" s="409">
        <v>6715.5472440944886</v>
      </c>
      <c r="N503" s="409">
        <v>12418.515748031496</v>
      </c>
      <c r="O503" s="410" t="s">
        <v>7752</v>
      </c>
      <c r="P503" s="406">
        <v>500</v>
      </c>
      <c r="Q503" s="470" t="s">
        <v>1048</v>
      </c>
      <c r="R503" s="460" t="s">
        <v>1049</v>
      </c>
      <c r="S503" s="270" t="s">
        <v>7</v>
      </c>
      <c r="U503" s="471"/>
      <c r="V503" s="471"/>
      <c r="W503" s="471" t="s">
        <v>1049</v>
      </c>
      <c r="X503" s="471">
        <v>0</v>
      </c>
      <c r="Z503" s="270" t="s">
        <v>1050</v>
      </c>
    </row>
    <row r="504" spans="1:26">
      <c r="A504" s="406">
        <v>501</v>
      </c>
      <c r="B504" s="613" t="s">
        <v>5261</v>
      </c>
      <c r="C504" s="288" t="s">
        <v>1051</v>
      </c>
      <c r="D504" s="414" t="s">
        <v>4182</v>
      </c>
      <c r="E504" s="407" t="s">
        <v>9015</v>
      </c>
      <c r="F504" s="483" t="s">
        <v>5263</v>
      </c>
      <c r="G504" s="411" t="s">
        <v>5262</v>
      </c>
      <c r="H504" s="411"/>
      <c r="I504" s="411"/>
      <c r="J504" s="411"/>
      <c r="K504" s="411"/>
      <c r="L504" s="608">
        <v>5996.0196850393704</v>
      </c>
      <c r="M504" s="409">
        <v>4310.177165354331</v>
      </c>
      <c r="N504" s="409">
        <v>10306.196850393701</v>
      </c>
      <c r="O504" s="410" t="s">
        <v>7787</v>
      </c>
      <c r="P504" s="406">
        <v>501</v>
      </c>
      <c r="Q504" s="470" t="s">
        <v>1051</v>
      </c>
      <c r="R504" s="460" t="s">
        <v>1052</v>
      </c>
      <c r="S504" s="270" t="s">
        <v>7</v>
      </c>
      <c r="U504" s="471"/>
      <c r="V504" s="471"/>
      <c r="W504" s="471" t="s">
        <v>1052</v>
      </c>
      <c r="X504" s="471">
        <v>0</v>
      </c>
      <c r="Z504" s="270" t="s">
        <v>1053</v>
      </c>
    </row>
    <row r="505" spans="1:26">
      <c r="A505" s="406">
        <v>502</v>
      </c>
      <c r="B505" s="613" t="s">
        <v>5253</v>
      </c>
      <c r="C505" s="288" t="s">
        <v>1054</v>
      </c>
      <c r="D505" s="414" t="s">
        <v>4213</v>
      </c>
      <c r="E505" s="407" t="s">
        <v>9011</v>
      </c>
      <c r="F505" s="483" t="s">
        <v>5255</v>
      </c>
      <c r="G505" s="411" t="s">
        <v>5254</v>
      </c>
      <c r="H505" s="411"/>
      <c r="I505" s="411"/>
      <c r="J505" s="411"/>
      <c r="K505" s="411"/>
      <c r="L505" s="608">
        <v>6533.8110236220473</v>
      </c>
      <c r="M505" s="409">
        <v>7765.3031496062995</v>
      </c>
      <c r="N505" s="409">
        <v>14299.114173228347</v>
      </c>
      <c r="O505" s="410" t="s">
        <v>7750</v>
      </c>
      <c r="P505" s="406">
        <v>502</v>
      </c>
      <c r="Q505" s="470" t="s">
        <v>1054</v>
      </c>
      <c r="R505" s="460" t="s">
        <v>1055</v>
      </c>
      <c r="S505" s="270" t="s">
        <v>7</v>
      </c>
      <c r="U505" s="471"/>
      <c r="V505" s="471"/>
      <c r="W505" s="471" t="s">
        <v>1055</v>
      </c>
      <c r="X505" s="471">
        <v>0</v>
      </c>
      <c r="Z505" s="270" t="s">
        <v>1056</v>
      </c>
    </row>
    <row r="506" spans="1:26">
      <c r="A506" s="406">
        <v>503</v>
      </c>
      <c r="B506" s="613" t="s">
        <v>5245</v>
      </c>
      <c r="C506" s="288" t="s">
        <v>1057</v>
      </c>
      <c r="D506" s="414" t="s">
        <v>4233</v>
      </c>
      <c r="E506" s="407" t="s">
        <v>9016</v>
      </c>
      <c r="F506" s="483" t="s">
        <v>5247</v>
      </c>
      <c r="G506" s="411" t="s">
        <v>5246</v>
      </c>
      <c r="H506" s="411"/>
      <c r="I506" s="411"/>
      <c r="J506" s="411"/>
      <c r="K506" s="411"/>
      <c r="L506" s="608">
        <v>7048.4370078740167</v>
      </c>
      <c r="M506" s="409">
        <v>6817.9527559055114</v>
      </c>
      <c r="N506" s="409">
        <v>13866.389763779529</v>
      </c>
      <c r="O506" s="410" t="s">
        <v>7750</v>
      </c>
      <c r="P506" s="406">
        <v>503</v>
      </c>
      <c r="Q506" s="470" t="s">
        <v>1057</v>
      </c>
      <c r="R506" s="460" t="s">
        <v>1058</v>
      </c>
      <c r="S506" s="270" t="s">
        <v>7</v>
      </c>
      <c r="U506" s="471"/>
      <c r="V506" s="471"/>
      <c r="W506" s="471" t="s">
        <v>1058</v>
      </c>
      <c r="X506" s="471">
        <v>0</v>
      </c>
      <c r="Z506" s="270" t="s">
        <v>1059</v>
      </c>
    </row>
    <row r="507" spans="1:26">
      <c r="A507" s="406">
        <v>504</v>
      </c>
      <c r="B507" s="613" t="s">
        <v>5239</v>
      </c>
      <c r="C507" s="288" t="s">
        <v>1060</v>
      </c>
      <c r="D507" s="414" t="s">
        <v>4204</v>
      </c>
      <c r="E507" s="407" t="s">
        <v>9012</v>
      </c>
      <c r="F507" s="483" t="s">
        <v>5241</v>
      </c>
      <c r="G507" s="411" t="s">
        <v>5240</v>
      </c>
      <c r="H507" s="411"/>
      <c r="I507" s="411"/>
      <c r="J507" s="411"/>
      <c r="K507" s="411"/>
      <c r="L507" s="608">
        <v>9519.2362204724413</v>
      </c>
      <c r="M507" s="409">
        <v>7062.389763779528</v>
      </c>
      <c r="N507" s="409">
        <v>16581.625984251972</v>
      </c>
      <c r="O507" s="410" t="s">
        <v>7782</v>
      </c>
      <c r="P507" s="406">
        <v>504</v>
      </c>
      <c r="Q507" s="470" t="s">
        <v>1060</v>
      </c>
      <c r="R507" s="460" t="s">
        <v>1061</v>
      </c>
      <c r="S507" s="270" t="s">
        <v>7</v>
      </c>
      <c r="U507" s="471"/>
      <c r="V507" s="471"/>
      <c r="W507" s="471" t="s">
        <v>1061</v>
      </c>
      <c r="X507" s="471">
        <v>0</v>
      </c>
      <c r="Z507" s="270" t="s">
        <v>1059</v>
      </c>
    </row>
    <row r="508" spans="1:26">
      <c r="A508" s="406">
        <v>505</v>
      </c>
      <c r="B508" s="613" t="s">
        <v>5275</v>
      </c>
      <c r="C508" s="288" t="s">
        <v>1062</v>
      </c>
      <c r="D508" s="414" t="s">
        <v>4209</v>
      </c>
      <c r="E508" s="407" t="s">
        <v>9407</v>
      </c>
      <c r="F508" s="483" t="s">
        <v>5274</v>
      </c>
      <c r="G508" s="411" t="s">
        <v>5276</v>
      </c>
      <c r="H508" s="411"/>
      <c r="I508" s="411"/>
      <c r="J508" s="411"/>
      <c r="K508" s="411"/>
      <c r="L508" s="608">
        <v>5887.1692913385823</v>
      </c>
      <c r="M508" s="409">
        <v>7067.5669291338581</v>
      </c>
      <c r="N508" s="409">
        <v>12954.736220472441</v>
      </c>
      <c r="O508" s="410" t="s">
        <v>7748</v>
      </c>
      <c r="P508" s="406">
        <v>505</v>
      </c>
      <c r="Q508" s="470" t="s">
        <v>1062</v>
      </c>
      <c r="R508" s="460" t="s">
        <v>1063</v>
      </c>
      <c r="S508" s="270" t="s">
        <v>7</v>
      </c>
      <c r="U508" s="471"/>
      <c r="V508" s="471"/>
      <c r="W508" s="471" t="s">
        <v>1063</v>
      </c>
      <c r="X508" s="471">
        <v>0</v>
      </c>
      <c r="Z508" s="270" t="s">
        <v>1064</v>
      </c>
    </row>
    <row r="509" spans="1:26">
      <c r="A509" s="406">
        <v>506</v>
      </c>
      <c r="B509" s="613" t="s">
        <v>5267</v>
      </c>
      <c r="C509" s="288" t="s">
        <v>1065</v>
      </c>
      <c r="D509" s="414" t="s">
        <v>4181</v>
      </c>
      <c r="E509" s="407" t="s">
        <v>9408</v>
      </c>
      <c r="F509" s="483" t="s">
        <v>5266</v>
      </c>
      <c r="G509" s="411" t="s">
        <v>5268</v>
      </c>
      <c r="H509" s="411"/>
      <c r="I509" s="411"/>
      <c r="J509" s="411"/>
      <c r="K509" s="411"/>
      <c r="L509" s="608">
        <v>5994.0314960629921</v>
      </c>
      <c r="M509" s="409">
        <v>3729.409448818898</v>
      </c>
      <c r="N509" s="409">
        <v>9723.4409448818897</v>
      </c>
      <c r="O509" s="410" t="s">
        <v>7751</v>
      </c>
      <c r="P509" s="406">
        <v>506</v>
      </c>
      <c r="Q509" s="470" t="s">
        <v>1065</v>
      </c>
      <c r="R509" s="460" t="s">
        <v>1066</v>
      </c>
      <c r="S509" s="270" t="s">
        <v>7</v>
      </c>
      <c r="U509" s="471"/>
      <c r="V509" s="471"/>
      <c r="W509" s="471" t="s">
        <v>1066</v>
      </c>
      <c r="X509" s="471">
        <v>0</v>
      </c>
      <c r="Z509" s="270" t="s">
        <v>1067</v>
      </c>
    </row>
    <row r="510" spans="1:26">
      <c r="A510" s="406">
        <v>507</v>
      </c>
      <c r="B510" s="613" t="s">
        <v>5259</v>
      </c>
      <c r="C510" s="288" t="s">
        <v>1068</v>
      </c>
      <c r="D510" s="414" t="s">
        <v>4215</v>
      </c>
      <c r="E510" s="407" t="s">
        <v>9409</v>
      </c>
      <c r="F510" s="483" t="s">
        <v>5258</v>
      </c>
      <c r="G510" s="411" t="s">
        <v>5260</v>
      </c>
      <c r="H510" s="411"/>
      <c r="I510" s="411"/>
      <c r="J510" s="411"/>
      <c r="K510" s="411"/>
      <c r="L510" s="608">
        <v>6727.6141732283477</v>
      </c>
      <c r="M510" s="409">
        <v>7832.4133858267714</v>
      </c>
      <c r="N510" s="409">
        <v>14560.027559055119</v>
      </c>
      <c r="O510" s="410" t="s">
        <v>7750</v>
      </c>
      <c r="P510" s="406">
        <v>507</v>
      </c>
      <c r="Q510" s="470" t="s">
        <v>1068</v>
      </c>
      <c r="R510" s="460" t="s">
        <v>1069</v>
      </c>
      <c r="S510" s="270" t="s">
        <v>7</v>
      </c>
      <c r="U510" s="471"/>
      <c r="V510" s="471"/>
      <c r="W510" s="471" t="s">
        <v>1069</v>
      </c>
      <c r="X510" s="471">
        <v>0</v>
      </c>
      <c r="Z510" s="270" t="s">
        <v>1070</v>
      </c>
    </row>
    <row r="511" spans="1:26">
      <c r="A511" s="406">
        <v>508</v>
      </c>
      <c r="B511" s="613" t="s">
        <v>6375</v>
      </c>
      <c r="C511" s="288" t="s">
        <v>1071</v>
      </c>
      <c r="D511" s="414" t="s">
        <v>4165</v>
      </c>
      <c r="E511" s="407" t="s">
        <v>9410</v>
      </c>
      <c r="F511" s="483"/>
      <c r="G511" s="483"/>
      <c r="H511" s="483"/>
      <c r="I511" s="483"/>
      <c r="J511" s="483"/>
      <c r="K511" s="483"/>
      <c r="L511" s="608" t="s">
        <v>4884</v>
      </c>
      <c r="M511" s="409">
        <v>5179.3661417322837</v>
      </c>
      <c r="N511" s="409">
        <v>5179.3661417322837</v>
      </c>
      <c r="O511" s="410" t="s">
        <v>7576</v>
      </c>
      <c r="P511" s="406">
        <v>508</v>
      </c>
      <c r="Q511" s="470" t="s">
        <v>1071</v>
      </c>
      <c r="R511" s="460" t="s">
        <v>1072</v>
      </c>
      <c r="S511" s="270" t="s">
        <v>7</v>
      </c>
      <c r="U511" s="471"/>
      <c r="V511" s="471"/>
      <c r="W511" s="471" t="s">
        <v>1072</v>
      </c>
      <c r="X511" s="471">
        <v>1</v>
      </c>
    </row>
    <row r="512" spans="1:26">
      <c r="A512" s="406">
        <v>509</v>
      </c>
      <c r="B512" s="613" t="s">
        <v>5251</v>
      </c>
      <c r="C512" s="288" t="s">
        <v>1073</v>
      </c>
      <c r="D512" s="414" t="s">
        <v>4234</v>
      </c>
      <c r="E512" s="407" t="s">
        <v>9411</v>
      </c>
      <c r="F512" s="483" t="s">
        <v>5250</v>
      </c>
      <c r="G512" s="411" t="s">
        <v>5252</v>
      </c>
      <c r="H512" s="411"/>
      <c r="I512" s="411"/>
      <c r="J512" s="411"/>
      <c r="K512" s="411"/>
      <c r="L512" s="608">
        <v>6955.3858267716532</v>
      </c>
      <c r="M512" s="409">
        <v>7446.0078740157487</v>
      </c>
      <c r="N512" s="409">
        <v>14401.393700787401</v>
      </c>
      <c r="O512" s="410" t="s">
        <v>7750</v>
      </c>
      <c r="P512" s="406">
        <v>509</v>
      </c>
      <c r="Q512" s="470" t="s">
        <v>1073</v>
      </c>
      <c r="R512" s="460" t="s">
        <v>1074</v>
      </c>
      <c r="S512" s="270" t="s">
        <v>7</v>
      </c>
      <c r="U512" s="471"/>
      <c r="V512" s="471"/>
      <c r="W512" s="471" t="s">
        <v>1074</v>
      </c>
      <c r="X512" s="471">
        <v>0</v>
      </c>
      <c r="Z512" s="270" t="s">
        <v>1075</v>
      </c>
    </row>
    <row r="513" spans="1:26">
      <c r="A513" s="406">
        <v>510</v>
      </c>
      <c r="B513" s="613" t="s">
        <v>6373</v>
      </c>
      <c r="C513" s="288" t="s">
        <v>1076</v>
      </c>
      <c r="D513" s="414" t="s">
        <v>4132</v>
      </c>
      <c r="E513" s="407" t="s">
        <v>9412</v>
      </c>
      <c r="F513" s="483"/>
      <c r="G513" s="483"/>
      <c r="H513" s="483"/>
      <c r="I513" s="483"/>
      <c r="J513" s="483"/>
      <c r="K513" s="483"/>
      <c r="L513" s="608" t="s">
        <v>4884</v>
      </c>
      <c r="M513" s="409">
        <v>4565.6614173228345</v>
      </c>
      <c r="N513" s="409">
        <v>4565.6614173228345</v>
      </c>
      <c r="O513" s="410" t="s">
        <v>7567</v>
      </c>
      <c r="P513" s="406">
        <v>510</v>
      </c>
      <c r="Q513" s="470" t="s">
        <v>1076</v>
      </c>
      <c r="R513" s="460" t="s">
        <v>1077</v>
      </c>
      <c r="S513" s="270" t="s">
        <v>7</v>
      </c>
      <c r="U513" s="471"/>
      <c r="V513" s="471"/>
      <c r="W513" s="471" t="s">
        <v>1077</v>
      </c>
      <c r="X513" s="471">
        <v>1</v>
      </c>
    </row>
    <row r="514" spans="1:26">
      <c r="A514" s="406">
        <v>511</v>
      </c>
      <c r="B514" s="613" t="s">
        <v>6374</v>
      </c>
      <c r="C514" s="288" t="s">
        <v>1078</v>
      </c>
      <c r="D514" s="414" t="s">
        <v>4170</v>
      </c>
      <c r="E514" s="407" t="s">
        <v>9413</v>
      </c>
      <c r="F514" s="483"/>
      <c r="G514" s="483"/>
      <c r="H514" s="483"/>
      <c r="I514" s="483"/>
      <c r="J514" s="483"/>
      <c r="K514" s="483"/>
      <c r="L514" s="608" t="s">
        <v>4884</v>
      </c>
      <c r="M514" s="409">
        <v>5110.6811023622049</v>
      </c>
      <c r="N514" s="409">
        <v>5110.6811023622049</v>
      </c>
      <c r="O514" s="410" t="s">
        <v>7576</v>
      </c>
      <c r="P514" s="406">
        <v>511</v>
      </c>
      <c r="Q514" s="470" t="s">
        <v>1078</v>
      </c>
      <c r="R514" s="460" t="s">
        <v>1079</v>
      </c>
      <c r="S514" s="270" t="s">
        <v>7</v>
      </c>
      <c r="U514" s="471"/>
      <c r="V514" s="471"/>
      <c r="W514" s="471" t="s">
        <v>1079</v>
      </c>
      <c r="X514" s="471">
        <v>1</v>
      </c>
    </row>
    <row r="515" spans="1:26">
      <c r="A515" s="406">
        <v>512</v>
      </c>
      <c r="B515" s="613" t="s">
        <v>6731</v>
      </c>
      <c r="C515" s="288" t="s">
        <v>1080</v>
      </c>
      <c r="D515" s="414" t="s">
        <v>4236</v>
      </c>
      <c r="E515" s="407" t="s">
        <v>9077</v>
      </c>
      <c r="F515" s="483" t="s">
        <v>5244</v>
      </c>
      <c r="G515" s="411" t="s">
        <v>5435</v>
      </c>
      <c r="H515" s="411"/>
      <c r="I515" s="411"/>
      <c r="J515" s="411"/>
      <c r="K515" s="411"/>
      <c r="L515" s="608">
        <v>1069.0354330708662</v>
      </c>
      <c r="M515" s="409">
        <v>6804.964566929134</v>
      </c>
      <c r="N515" s="409">
        <v>7874.0000000000009</v>
      </c>
      <c r="O515" s="410" t="s">
        <v>7788</v>
      </c>
      <c r="P515" s="406">
        <v>512</v>
      </c>
      <c r="Q515" s="470" t="s">
        <v>1080</v>
      </c>
      <c r="R515" s="460" t="s">
        <v>1081</v>
      </c>
      <c r="S515" s="270" t="s">
        <v>7</v>
      </c>
      <c r="U515" s="471"/>
      <c r="V515" s="471"/>
      <c r="W515" s="471" t="s">
        <v>1081</v>
      </c>
      <c r="X515" s="471">
        <v>0</v>
      </c>
      <c r="Z515" s="270" t="s">
        <v>1082</v>
      </c>
    </row>
    <row r="516" spans="1:26">
      <c r="A516" s="406">
        <v>513</v>
      </c>
      <c r="B516" s="613" t="s">
        <v>6376</v>
      </c>
      <c r="C516" s="288" t="s">
        <v>1083</v>
      </c>
      <c r="D516" s="414" t="s">
        <v>4120</v>
      </c>
      <c r="E516" s="407" t="s">
        <v>9414</v>
      </c>
      <c r="F516" s="483"/>
      <c r="G516" s="483"/>
      <c r="H516" s="483"/>
      <c r="I516" s="483"/>
      <c r="J516" s="483"/>
      <c r="K516" s="483"/>
      <c r="L516" s="608" t="s">
        <v>4884</v>
      </c>
      <c r="M516" s="409">
        <v>5462.8385826771655</v>
      </c>
      <c r="N516" s="409">
        <v>5462.8385826771655</v>
      </c>
      <c r="O516" s="410" t="s">
        <v>7575</v>
      </c>
      <c r="P516" s="406">
        <v>513</v>
      </c>
      <c r="Q516" s="470" t="s">
        <v>1083</v>
      </c>
      <c r="R516" s="460" t="s">
        <v>1084</v>
      </c>
      <c r="S516" s="270" t="s">
        <v>7</v>
      </c>
      <c r="U516" s="471"/>
      <c r="V516" s="471"/>
      <c r="W516" s="471" t="s">
        <v>1084</v>
      </c>
      <c r="X516" s="471">
        <v>1</v>
      </c>
    </row>
    <row r="517" spans="1:26">
      <c r="A517" s="406">
        <v>514</v>
      </c>
      <c r="B517" s="613" t="s">
        <v>6370</v>
      </c>
      <c r="C517" s="288" t="s">
        <v>1085</v>
      </c>
      <c r="D517" s="414" t="s">
        <v>3740</v>
      </c>
      <c r="E517" s="407" t="s">
        <v>9405</v>
      </c>
      <c r="F517" s="483"/>
      <c r="G517" s="483"/>
      <c r="H517" s="483"/>
      <c r="I517" s="483"/>
      <c r="J517" s="483"/>
      <c r="K517" s="483"/>
      <c r="L517" s="608" t="s">
        <v>4884</v>
      </c>
      <c r="M517" s="409">
        <v>6896.2244094488187</v>
      </c>
      <c r="N517" s="409">
        <v>6896.2244094488187</v>
      </c>
      <c r="O517" s="410" t="s">
        <v>7573</v>
      </c>
      <c r="P517" s="406">
        <v>514</v>
      </c>
      <c r="Q517" s="470" t="s">
        <v>1085</v>
      </c>
      <c r="R517" s="460" t="s">
        <v>1086</v>
      </c>
      <c r="S517" s="270" t="s">
        <v>7</v>
      </c>
      <c r="U517" s="471"/>
      <c r="V517" s="471"/>
      <c r="W517" s="471" t="s">
        <v>1086</v>
      </c>
      <c r="X517" s="471">
        <v>0</v>
      </c>
      <c r="Z517" s="270" t="s">
        <v>1044</v>
      </c>
    </row>
    <row r="518" spans="1:26">
      <c r="A518" s="406">
        <v>515</v>
      </c>
      <c r="B518" s="613" t="s">
        <v>6371</v>
      </c>
      <c r="C518" s="288" t="s">
        <v>1087</v>
      </c>
      <c r="D518" s="414" t="s">
        <v>4135</v>
      </c>
      <c r="E518" s="407" t="s">
        <v>9406</v>
      </c>
      <c r="F518" s="483"/>
      <c r="G518" s="483"/>
      <c r="H518" s="483"/>
      <c r="I518" s="483"/>
      <c r="J518" s="483"/>
      <c r="K518" s="483"/>
      <c r="L518" s="608" t="s">
        <v>4884</v>
      </c>
      <c r="M518" s="409">
        <v>5785.1653543307084</v>
      </c>
      <c r="N518" s="409">
        <v>5785.1653543307084</v>
      </c>
      <c r="O518" s="410" t="s">
        <v>7574</v>
      </c>
      <c r="P518" s="406">
        <v>515</v>
      </c>
      <c r="Q518" s="470" t="s">
        <v>1087</v>
      </c>
      <c r="R518" s="460" t="s">
        <v>1088</v>
      </c>
      <c r="S518" s="270" t="s">
        <v>7</v>
      </c>
      <c r="U518" s="471"/>
      <c r="V518" s="471"/>
      <c r="W518" s="471" t="s">
        <v>1088</v>
      </c>
      <c r="X518" s="471">
        <v>0</v>
      </c>
      <c r="Z518" s="270" t="s">
        <v>1047</v>
      </c>
    </row>
    <row r="519" spans="1:26">
      <c r="A519" s="406">
        <v>516</v>
      </c>
      <c r="B519" s="613" t="s">
        <v>6370</v>
      </c>
      <c r="C519" s="288" t="s">
        <v>1089</v>
      </c>
      <c r="D519" s="414" t="s">
        <v>3740</v>
      </c>
      <c r="E519" s="407" t="s">
        <v>9405</v>
      </c>
      <c r="F519" s="483"/>
      <c r="G519" s="483"/>
      <c r="H519" s="483"/>
      <c r="I519" s="483"/>
      <c r="J519" s="483"/>
      <c r="K519" s="483"/>
      <c r="L519" s="608" t="s">
        <v>4884</v>
      </c>
      <c r="M519" s="409">
        <v>6896.2244094488187</v>
      </c>
      <c r="N519" s="409">
        <v>6896.2244094488187</v>
      </c>
      <c r="O519" s="410" t="s">
        <v>7573</v>
      </c>
      <c r="P519" s="406">
        <v>516</v>
      </c>
      <c r="Q519" s="470" t="s">
        <v>1089</v>
      </c>
      <c r="R519" s="460" t="s">
        <v>1090</v>
      </c>
      <c r="S519" s="270" t="s">
        <v>7</v>
      </c>
      <c r="U519" s="471"/>
      <c r="V519" s="471"/>
      <c r="W519" s="471" t="s">
        <v>1090</v>
      </c>
      <c r="X519" s="471">
        <v>0</v>
      </c>
      <c r="Z519" s="270" t="s">
        <v>1044</v>
      </c>
    </row>
    <row r="520" spans="1:26">
      <c r="A520" s="406">
        <v>517</v>
      </c>
      <c r="B520" s="613" t="s">
        <v>6371</v>
      </c>
      <c r="C520" s="288" t="s">
        <v>1091</v>
      </c>
      <c r="D520" s="414" t="s">
        <v>4135</v>
      </c>
      <c r="E520" s="407" t="s">
        <v>9406</v>
      </c>
      <c r="F520" s="483"/>
      <c r="G520" s="483"/>
      <c r="H520" s="483"/>
      <c r="I520" s="483"/>
      <c r="J520" s="483"/>
      <c r="K520" s="483"/>
      <c r="L520" s="608" t="s">
        <v>4884</v>
      </c>
      <c r="M520" s="409">
        <v>5785.1653543307084</v>
      </c>
      <c r="N520" s="409">
        <v>5785.1653543307084</v>
      </c>
      <c r="O520" s="410" t="s">
        <v>7574</v>
      </c>
      <c r="P520" s="406">
        <v>517</v>
      </c>
      <c r="Q520" s="470" t="s">
        <v>1091</v>
      </c>
      <c r="R520" s="460" t="s">
        <v>1092</v>
      </c>
      <c r="S520" s="270" t="s">
        <v>7</v>
      </c>
      <c r="U520" s="471"/>
      <c r="V520" s="471"/>
      <c r="W520" s="471" t="s">
        <v>1092</v>
      </c>
      <c r="X520" s="471">
        <v>0</v>
      </c>
      <c r="Z520" s="270" t="s">
        <v>1047</v>
      </c>
    </row>
    <row r="521" spans="1:26">
      <c r="A521" s="406">
        <v>518</v>
      </c>
      <c r="B521" s="613" t="s">
        <v>6370</v>
      </c>
      <c r="C521" s="288" t="s">
        <v>1093</v>
      </c>
      <c r="D521" s="414" t="s">
        <v>3740</v>
      </c>
      <c r="E521" s="407" t="s">
        <v>9405</v>
      </c>
      <c r="F521" s="483"/>
      <c r="G521" s="483"/>
      <c r="H521" s="483"/>
      <c r="I521" s="483"/>
      <c r="J521" s="483"/>
      <c r="K521" s="483"/>
      <c r="L521" s="608" t="s">
        <v>4884</v>
      </c>
      <c r="M521" s="409">
        <v>6896.2244094488187</v>
      </c>
      <c r="N521" s="409">
        <v>6896.2244094488187</v>
      </c>
      <c r="O521" s="410" t="s">
        <v>7573</v>
      </c>
      <c r="P521" s="406">
        <v>518</v>
      </c>
      <c r="Q521" s="470" t="s">
        <v>1093</v>
      </c>
      <c r="R521" s="460" t="s">
        <v>1094</v>
      </c>
      <c r="S521" s="270" t="s">
        <v>7</v>
      </c>
      <c r="U521" s="471"/>
      <c r="V521" s="471"/>
      <c r="W521" s="471" t="s">
        <v>1094</v>
      </c>
      <c r="X521" s="471">
        <v>0</v>
      </c>
      <c r="Z521" s="270" t="s">
        <v>1044</v>
      </c>
    </row>
    <row r="522" spans="1:26">
      <c r="A522" s="406">
        <v>519</v>
      </c>
      <c r="B522" s="613" t="s">
        <v>6371</v>
      </c>
      <c r="C522" s="288" t="s">
        <v>1095</v>
      </c>
      <c r="D522" s="414" t="s">
        <v>4135</v>
      </c>
      <c r="E522" s="407" t="s">
        <v>9406</v>
      </c>
      <c r="F522" s="483"/>
      <c r="G522" s="483"/>
      <c r="H522" s="483"/>
      <c r="I522" s="483"/>
      <c r="J522" s="483"/>
      <c r="K522" s="483"/>
      <c r="L522" s="608" t="s">
        <v>4884</v>
      </c>
      <c r="M522" s="409">
        <v>5785.1653543307084</v>
      </c>
      <c r="N522" s="409">
        <v>5785.1653543307084</v>
      </c>
      <c r="O522" s="410" t="s">
        <v>7574</v>
      </c>
      <c r="P522" s="406">
        <v>519</v>
      </c>
      <c r="Q522" s="470" t="s">
        <v>1095</v>
      </c>
      <c r="R522" s="460" t="s">
        <v>1096</v>
      </c>
      <c r="S522" s="270" t="s">
        <v>7</v>
      </c>
      <c r="U522" s="471"/>
      <c r="V522" s="471"/>
      <c r="W522" s="471" t="s">
        <v>1096</v>
      </c>
      <c r="X522" s="471">
        <v>0</v>
      </c>
      <c r="Z522" s="270" t="s">
        <v>1047</v>
      </c>
    </row>
    <row r="523" spans="1:26">
      <c r="A523" s="406">
        <v>520</v>
      </c>
      <c r="B523" s="613" t="s">
        <v>6377</v>
      </c>
      <c r="C523" s="288" t="s">
        <v>1097</v>
      </c>
      <c r="D523" s="414" t="s">
        <v>4136</v>
      </c>
      <c r="E523" s="407" t="s">
        <v>9415</v>
      </c>
      <c r="F523" s="483"/>
      <c r="G523" s="483"/>
      <c r="H523" s="483"/>
      <c r="I523" s="483"/>
      <c r="J523" s="483"/>
      <c r="K523" s="483"/>
      <c r="L523" s="608" t="s">
        <v>4884</v>
      </c>
      <c r="M523" s="409">
        <v>4691.3464566929133</v>
      </c>
      <c r="N523" s="409">
        <v>4691.3464566929133</v>
      </c>
      <c r="O523" s="410" t="s">
        <v>7574</v>
      </c>
      <c r="P523" s="406">
        <v>520</v>
      </c>
      <c r="Q523" s="470" t="s">
        <v>1097</v>
      </c>
      <c r="R523" s="460" t="s">
        <v>1098</v>
      </c>
      <c r="S523" s="270" t="s">
        <v>7</v>
      </c>
      <c r="U523" s="471"/>
      <c r="V523" s="471"/>
      <c r="W523" s="471" t="s">
        <v>1098</v>
      </c>
      <c r="X523" s="471">
        <v>1</v>
      </c>
    </row>
    <row r="524" spans="1:26">
      <c r="A524" s="406">
        <v>521</v>
      </c>
      <c r="B524" s="613" t="s">
        <v>5237</v>
      </c>
      <c r="C524" s="288" t="s">
        <v>1099</v>
      </c>
      <c r="D524" s="414" t="s">
        <v>4237</v>
      </c>
      <c r="E524" s="407" t="s">
        <v>9416</v>
      </c>
      <c r="F524" s="483" t="s">
        <v>5235</v>
      </c>
      <c r="G524" s="411" t="s">
        <v>5238</v>
      </c>
      <c r="H524" s="411"/>
      <c r="I524" s="411"/>
      <c r="J524" s="411"/>
      <c r="K524" s="411"/>
      <c r="L524" s="608">
        <v>8958.248031496063</v>
      </c>
      <c r="M524" s="409">
        <v>5512.2283464566935</v>
      </c>
      <c r="N524" s="409">
        <v>14470.476377952758</v>
      </c>
      <c r="O524" s="410" t="s">
        <v>7772</v>
      </c>
      <c r="P524" s="406">
        <v>521</v>
      </c>
      <c r="Q524" s="470" t="s">
        <v>1099</v>
      </c>
      <c r="R524" s="460" t="s">
        <v>1100</v>
      </c>
      <c r="S524" s="270" t="s">
        <v>7</v>
      </c>
      <c r="U524" s="471"/>
      <c r="V524" s="471"/>
      <c r="W524" s="471" t="s">
        <v>1100</v>
      </c>
      <c r="X524" s="471">
        <v>1</v>
      </c>
      <c r="Z524" s="270" t="s">
        <v>1101</v>
      </c>
    </row>
    <row r="525" spans="1:26">
      <c r="A525" s="406">
        <v>522</v>
      </c>
      <c r="B525" s="613" t="s">
        <v>5231</v>
      </c>
      <c r="C525" s="288" t="s">
        <v>1102</v>
      </c>
      <c r="D525" s="414" t="s">
        <v>4235</v>
      </c>
      <c r="E525" s="407" t="s">
        <v>9014</v>
      </c>
      <c r="F525" s="483" t="s">
        <v>5233</v>
      </c>
      <c r="G525" s="411" t="s">
        <v>5232</v>
      </c>
      <c r="H525" s="411"/>
      <c r="I525" s="411"/>
      <c r="J525" s="411"/>
      <c r="K525" s="411"/>
      <c r="L525" s="608">
        <v>8333.0629921259842</v>
      </c>
      <c r="M525" s="409">
        <v>6042.5511811023616</v>
      </c>
      <c r="N525" s="409">
        <v>14375.614173228345</v>
      </c>
      <c r="O525" s="410" t="s">
        <v>7781</v>
      </c>
      <c r="P525" s="406">
        <v>522</v>
      </c>
      <c r="Q525" s="470" t="s">
        <v>1102</v>
      </c>
      <c r="R525" s="460" t="s">
        <v>1103</v>
      </c>
      <c r="S525" s="270" t="s">
        <v>7</v>
      </c>
      <c r="U525" s="471"/>
      <c r="V525" s="471"/>
      <c r="W525" s="471" t="s">
        <v>1103</v>
      </c>
      <c r="X525" s="471">
        <v>0</v>
      </c>
      <c r="Z525" s="270" t="s">
        <v>1104</v>
      </c>
    </row>
    <row r="526" spans="1:26">
      <c r="A526" s="406">
        <v>523</v>
      </c>
      <c r="B526" s="613" t="s">
        <v>6378</v>
      </c>
      <c r="C526" s="288" t="s">
        <v>1105</v>
      </c>
      <c r="D526" s="414" t="s">
        <v>4176</v>
      </c>
      <c r="E526" s="407" t="s">
        <v>9417</v>
      </c>
      <c r="F526" s="483"/>
      <c r="G526" s="483"/>
      <c r="H526" s="483"/>
      <c r="I526" s="483"/>
      <c r="J526" s="483"/>
      <c r="K526" s="483"/>
      <c r="L526" s="608" t="s">
        <v>4884</v>
      </c>
      <c r="M526" s="409">
        <v>5109.9606299212601</v>
      </c>
      <c r="N526" s="409">
        <v>5109.9606299212601</v>
      </c>
      <c r="O526" s="410" t="s">
        <v>7572</v>
      </c>
      <c r="P526" s="406">
        <v>523</v>
      </c>
      <c r="Q526" s="470" t="s">
        <v>1105</v>
      </c>
      <c r="R526" s="460" t="s">
        <v>1106</v>
      </c>
      <c r="S526" s="270" t="s">
        <v>7</v>
      </c>
      <c r="U526" s="471"/>
      <c r="V526" s="471"/>
      <c r="W526" s="471" t="s">
        <v>1106</v>
      </c>
      <c r="X526" s="471">
        <v>1</v>
      </c>
    </row>
    <row r="527" spans="1:26">
      <c r="A527" s="406">
        <v>524</v>
      </c>
      <c r="B527" s="613" t="s">
        <v>6379</v>
      </c>
      <c r="C527" s="288" t="s">
        <v>1107</v>
      </c>
      <c r="D527" s="414" t="s">
        <v>3803</v>
      </c>
      <c r="E527" s="407" t="s">
        <v>9418</v>
      </c>
      <c r="F527" s="483"/>
      <c r="G527" s="483"/>
      <c r="H527" s="483"/>
      <c r="I527" s="483"/>
      <c r="J527" s="483"/>
      <c r="K527" s="483"/>
      <c r="L527" s="608" t="s">
        <v>4884</v>
      </c>
      <c r="M527" s="409">
        <v>5400.1929133858266</v>
      </c>
      <c r="N527" s="409">
        <v>5400.1929133858266</v>
      </c>
      <c r="O527" s="410" t="s">
        <v>7574</v>
      </c>
      <c r="P527" s="406">
        <v>524</v>
      </c>
      <c r="Q527" s="470" t="s">
        <v>1107</v>
      </c>
      <c r="R527" s="460" t="s">
        <v>1108</v>
      </c>
      <c r="S527" s="270" t="s">
        <v>7</v>
      </c>
      <c r="U527" s="471"/>
      <c r="V527" s="471"/>
      <c r="W527" s="471" t="s">
        <v>1108</v>
      </c>
      <c r="X527" s="471">
        <v>1</v>
      </c>
    </row>
    <row r="528" spans="1:26">
      <c r="A528" s="406">
        <v>525</v>
      </c>
      <c r="B528" s="613" t="s">
        <v>6380</v>
      </c>
      <c r="C528" s="288" t="s">
        <v>1109</v>
      </c>
      <c r="D528" s="414" t="s">
        <v>3745</v>
      </c>
      <c r="E528" s="407" t="s">
        <v>9419</v>
      </c>
      <c r="F528" s="483"/>
      <c r="G528" s="483"/>
      <c r="H528" s="483"/>
      <c r="I528" s="483"/>
      <c r="J528" s="483"/>
      <c r="K528" s="483"/>
      <c r="L528" s="608" t="s">
        <v>4884</v>
      </c>
      <c r="M528" s="409">
        <v>5692.2086614173231</v>
      </c>
      <c r="N528" s="409">
        <v>5692.2086614173231</v>
      </c>
      <c r="O528" s="410" t="s">
        <v>7573</v>
      </c>
      <c r="P528" s="406">
        <v>525</v>
      </c>
      <c r="Q528" s="470" t="s">
        <v>1109</v>
      </c>
      <c r="R528" s="460" t="s">
        <v>1110</v>
      </c>
      <c r="S528" s="270" t="s">
        <v>7</v>
      </c>
      <c r="U528" s="471"/>
      <c r="V528" s="471"/>
      <c r="W528" s="471" t="s">
        <v>1110</v>
      </c>
      <c r="X528" s="471">
        <v>1</v>
      </c>
    </row>
    <row r="529" spans="1:26">
      <c r="A529" s="406">
        <v>526</v>
      </c>
      <c r="B529" s="613" t="s">
        <v>6381</v>
      </c>
      <c r="C529" s="288" t="s">
        <v>1111</v>
      </c>
      <c r="D529" s="414" t="s">
        <v>4174</v>
      </c>
      <c r="E529" s="407" t="s">
        <v>9420</v>
      </c>
      <c r="F529" s="483"/>
      <c r="G529" s="483"/>
      <c r="H529" s="483"/>
      <c r="I529" s="483"/>
      <c r="J529" s="483"/>
      <c r="K529" s="483"/>
      <c r="L529" s="608" t="s">
        <v>4884</v>
      </c>
      <c r="M529" s="409">
        <v>5186.106299212599</v>
      </c>
      <c r="N529" s="409">
        <v>5186.106299212599</v>
      </c>
      <c r="O529" s="410" t="s">
        <v>7572</v>
      </c>
      <c r="P529" s="406">
        <v>526</v>
      </c>
      <c r="Q529" s="470" t="s">
        <v>1111</v>
      </c>
      <c r="R529" s="460" t="s">
        <v>1112</v>
      </c>
      <c r="S529" s="270" t="s">
        <v>7</v>
      </c>
      <c r="U529" s="471"/>
      <c r="V529" s="471"/>
      <c r="W529" s="471" t="s">
        <v>1112</v>
      </c>
      <c r="X529" s="471">
        <v>1</v>
      </c>
    </row>
    <row r="530" spans="1:26">
      <c r="A530" s="406">
        <v>527</v>
      </c>
      <c r="B530" s="613" t="s">
        <v>6382</v>
      </c>
      <c r="C530" s="288" t="s">
        <v>1113</v>
      </c>
      <c r="D530" s="414" t="s">
        <v>4123</v>
      </c>
      <c r="E530" s="407" t="s">
        <v>9421</v>
      </c>
      <c r="F530" s="483"/>
      <c r="G530" s="483"/>
      <c r="H530" s="483"/>
      <c r="I530" s="483"/>
      <c r="J530" s="483"/>
      <c r="K530" s="483"/>
      <c r="L530" s="608" t="s">
        <v>4884</v>
      </c>
      <c r="M530" s="409">
        <v>5435.8818897637802</v>
      </c>
      <c r="N530" s="409">
        <v>5435.8818897637802</v>
      </c>
      <c r="O530" s="410" t="s">
        <v>7569</v>
      </c>
      <c r="P530" s="406">
        <v>527</v>
      </c>
      <c r="Q530" s="470" t="s">
        <v>1113</v>
      </c>
      <c r="R530" s="460" t="s">
        <v>1114</v>
      </c>
      <c r="S530" s="270" t="s">
        <v>7</v>
      </c>
      <c r="U530" s="471"/>
      <c r="V530" s="471"/>
      <c r="W530" s="471" t="s">
        <v>1114</v>
      </c>
      <c r="X530" s="471">
        <v>1</v>
      </c>
    </row>
    <row r="531" spans="1:26">
      <c r="A531" s="406">
        <v>528</v>
      </c>
      <c r="B531" s="613" t="s">
        <v>6212</v>
      </c>
      <c r="C531" s="288" t="s">
        <v>1115</v>
      </c>
      <c r="D531" s="414" t="s">
        <v>4495</v>
      </c>
      <c r="E531" s="407" t="s">
        <v>9422</v>
      </c>
      <c r="F531" s="483"/>
      <c r="G531" s="483"/>
      <c r="H531" s="411"/>
      <c r="I531" s="411"/>
      <c r="J531" s="411"/>
      <c r="K531" s="411"/>
      <c r="L531" s="608" t="s">
        <v>4884</v>
      </c>
      <c r="M531" s="409">
        <v>6495.6968503937014</v>
      </c>
      <c r="N531" s="409">
        <v>6495.6968503937014</v>
      </c>
      <c r="O531" s="410" t="s">
        <v>7569</v>
      </c>
      <c r="P531" s="406">
        <v>528</v>
      </c>
      <c r="Q531" s="470" t="s">
        <v>1115</v>
      </c>
      <c r="R531" s="460" t="s">
        <v>1116</v>
      </c>
      <c r="S531" s="270" t="s">
        <v>32</v>
      </c>
      <c r="U531" s="471"/>
      <c r="V531" s="471">
        <v>1</v>
      </c>
      <c r="W531" s="471" t="s">
        <v>1116</v>
      </c>
      <c r="X531" s="471">
        <v>0</v>
      </c>
    </row>
    <row r="532" spans="1:26">
      <c r="A532" s="406">
        <v>529</v>
      </c>
      <c r="B532" s="613" t="s">
        <v>6213</v>
      </c>
      <c r="C532" s="288" t="s">
        <v>1117</v>
      </c>
      <c r="D532" s="414" t="s">
        <v>4494</v>
      </c>
      <c r="E532" s="407" t="s">
        <v>9423</v>
      </c>
      <c r="F532" s="483"/>
      <c r="G532" s="483"/>
      <c r="H532" s="483"/>
      <c r="I532" s="483"/>
      <c r="J532" s="483"/>
      <c r="K532" s="483"/>
      <c r="L532" s="608" t="s">
        <v>4884</v>
      </c>
      <c r="M532" s="409">
        <v>6496.0590551181103</v>
      </c>
      <c r="N532" s="409">
        <v>6496.0590551181103</v>
      </c>
      <c r="O532" s="410" t="s">
        <v>7569</v>
      </c>
      <c r="P532" s="406">
        <v>529</v>
      </c>
      <c r="Q532" s="470" t="s">
        <v>1117</v>
      </c>
      <c r="R532" s="460" t="s">
        <v>1118</v>
      </c>
      <c r="S532" s="270" t="s">
        <v>32</v>
      </c>
      <c r="U532" s="471"/>
      <c r="V532" s="471">
        <v>1</v>
      </c>
      <c r="W532" s="471" t="s">
        <v>1118</v>
      </c>
      <c r="X532" s="471">
        <v>0</v>
      </c>
    </row>
    <row r="533" spans="1:26">
      <c r="A533" s="406">
        <v>530</v>
      </c>
      <c r="B533" s="613" t="s">
        <v>5237</v>
      </c>
      <c r="C533" s="288" t="s">
        <v>1119</v>
      </c>
      <c r="D533" s="414" t="s">
        <v>4237</v>
      </c>
      <c r="E533" s="407" t="s">
        <v>9416</v>
      </c>
      <c r="F533" s="483" t="s">
        <v>5236</v>
      </c>
      <c r="G533" s="411" t="s">
        <v>5238</v>
      </c>
      <c r="H533" s="411"/>
      <c r="I533" s="411"/>
      <c r="J533" s="411"/>
      <c r="K533" s="411"/>
      <c r="L533" s="608">
        <v>8958.248031496063</v>
      </c>
      <c r="M533" s="409">
        <v>6066.9330708661419</v>
      </c>
      <c r="N533" s="409">
        <v>15025.181102362205</v>
      </c>
      <c r="O533" s="410" t="s">
        <v>7781</v>
      </c>
      <c r="P533" s="406">
        <v>530</v>
      </c>
      <c r="Q533" s="470" t="s">
        <v>1119</v>
      </c>
      <c r="R533" s="460" t="s">
        <v>1120</v>
      </c>
      <c r="S533" s="270" t="s">
        <v>7</v>
      </c>
      <c r="U533" s="471"/>
      <c r="V533" s="471"/>
      <c r="W533" s="471" t="s">
        <v>1120</v>
      </c>
      <c r="X533" s="471">
        <v>0</v>
      </c>
      <c r="Z533" s="270" t="s">
        <v>1121</v>
      </c>
    </row>
    <row r="534" spans="1:26">
      <c r="A534" s="406">
        <v>531</v>
      </c>
      <c r="B534" s="613" t="s">
        <v>6383</v>
      </c>
      <c r="C534" s="288" t="s">
        <v>1122</v>
      </c>
      <c r="D534" s="414" t="s">
        <v>4239</v>
      </c>
      <c r="E534" s="407" t="s">
        <v>9424</v>
      </c>
      <c r="F534" s="483"/>
      <c r="G534" s="483"/>
      <c r="H534" s="483"/>
      <c r="I534" s="483"/>
      <c r="J534" s="483"/>
      <c r="K534" s="483"/>
      <c r="L534" s="608" t="s">
        <v>4884</v>
      </c>
      <c r="M534" s="409">
        <v>11572.074803149606</v>
      </c>
      <c r="N534" s="409">
        <v>11572.074803149606</v>
      </c>
      <c r="O534" s="410" t="s">
        <v>7572</v>
      </c>
      <c r="P534" s="406">
        <v>531</v>
      </c>
      <c r="Q534" s="470" t="s">
        <v>1122</v>
      </c>
      <c r="R534" s="460" t="s">
        <v>1123</v>
      </c>
      <c r="S534" s="270" t="s">
        <v>7</v>
      </c>
      <c r="U534" s="471"/>
      <c r="V534" s="471"/>
      <c r="W534" s="471" t="s">
        <v>1123</v>
      </c>
      <c r="X534" s="471">
        <v>1</v>
      </c>
    </row>
    <row r="535" spans="1:26">
      <c r="A535" s="406">
        <v>532</v>
      </c>
      <c r="B535" s="613" t="s">
        <v>6384</v>
      </c>
      <c r="C535" s="288" t="s">
        <v>1124</v>
      </c>
      <c r="D535" s="414" t="s">
        <v>3844</v>
      </c>
      <c r="E535" s="407" t="s">
        <v>9425</v>
      </c>
      <c r="F535" s="483"/>
      <c r="G535" s="483"/>
      <c r="H535" s="483"/>
      <c r="I535" s="483"/>
      <c r="J535" s="483"/>
      <c r="K535" s="483"/>
      <c r="L535" s="608" t="s">
        <v>4884</v>
      </c>
      <c r="M535" s="409">
        <v>7484.9448818897645</v>
      </c>
      <c r="N535" s="409">
        <v>7484.9448818897645</v>
      </c>
      <c r="O535" s="410" t="s">
        <v>7569</v>
      </c>
      <c r="P535" s="406">
        <v>532</v>
      </c>
      <c r="Q535" s="470" t="s">
        <v>1124</v>
      </c>
      <c r="R535" s="460" t="s">
        <v>1125</v>
      </c>
      <c r="S535" s="270" t="s">
        <v>7</v>
      </c>
      <c r="U535" s="471"/>
      <c r="V535" s="471"/>
      <c r="W535" s="471" t="s">
        <v>1125</v>
      </c>
      <c r="X535" s="471">
        <v>1</v>
      </c>
    </row>
    <row r="536" spans="1:26">
      <c r="A536" s="406">
        <v>533</v>
      </c>
      <c r="B536" s="613" t="s">
        <v>5425</v>
      </c>
      <c r="C536" s="288" t="s">
        <v>1126</v>
      </c>
      <c r="D536" s="414" t="s">
        <v>4159</v>
      </c>
      <c r="E536" s="407" t="s">
        <v>9080</v>
      </c>
      <c r="F536" s="483" t="s">
        <v>5423</v>
      </c>
      <c r="G536" s="411" t="s">
        <v>5426</v>
      </c>
      <c r="H536" s="411"/>
      <c r="I536" s="411"/>
      <c r="J536" s="411"/>
      <c r="K536" s="411"/>
      <c r="L536" s="608">
        <v>11995.775590551182</v>
      </c>
      <c r="M536" s="409">
        <v>5012.287401574803</v>
      </c>
      <c r="N536" s="409">
        <v>17008.062992125986</v>
      </c>
      <c r="O536" s="410" t="s">
        <v>7789</v>
      </c>
      <c r="P536" s="406">
        <v>533</v>
      </c>
      <c r="Q536" s="470" t="s">
        <v>1126</v>
      </c>
      <c r="R536" s="460" t="s">
        <v>1127</v>
      </c>
      <c r="S536" s="270" t="s">
        <v>7</v>
      </c>
      <c r="U536" s="471"/>
      <c r="V536" s="471"/>
      <c r="W536" s="471" t="s">
        <v>1127</v>
      </c>
      <c r="X536" s="471">
        <v>1</v>
      </c>
    </row>
    <row r="537" spans="1:26">
      <c r="A537" s="406">
        <v>534</v>
      </c>
      <c r="B537" s="613" t="s">
        <v>5419</v>
      </c>
      <c r="C537" s="288" t="s">
        <v>1128</v>
      </c>
      <c r="D537" s="414" t="s">
        <v>4206</v>
      </c>
      <c r="E537" s="407" t="s">
        <v>9081</v>
      </c>
      <c r="F537" s="483" t="s">
        <v>5422</v>
      </c>
      <c r="G537" s="411" t="s">
        <v>5420</v>
      </c>
      <c r="H537" s="411"/>
      <c r="I537" s="411"/>
      <c r="J537" s="411"/>
      <c r="K537" s="411"/>
      <c r="L537" s="608">
        <v>11623.657480314962</v>
      </c>
      <c r="M537" s="409">
        <v>4712.8937007874019</v>
      </c>
      <c r="N537" s="409">
        <v>16336.551181102363</v>
      </c>
      <c r="O537" s="410" t="s">
        <v>7790</v>
      </c>
      <c r="P537" s="406">
        <v>534</v>
      </c>
      <c r="Q537" s="470" t="s">
        <v>1128</v>
      </c>
      <c r="R537" s="460" t="s">
        <v>1129</v>
      </c>
      <c r="S537" s="270" t="s">
        <v>7</v>
      </c>
      <c r="U537" s="471"/>
      <c r="V537" s="471"/>
      <c r="W537" s="471" t="s">
        <v>1129</v>
      </c>
      <c r="X537" s="471">
        <v>1</v>
      </c>
    </row>
    <row r="538" spans="1:26">
      <c r="A538" s="406">
        <v>535</v>
      </c>
      <c r="B538" s="613" t="s">
        <v>5417</v>
      </c>
      <c r="C538" s="288" t="s">
        <v>1130</v>
      </c>
      <c r="D538" s="414" t="s">
        <v>4160</v>
      </c>
      <c r="E538" s="407" t="s">
        <v>9082</v>
      </c>
      <c r="F538" s="483" t="s">
        <v>5415</v>
      </c>
      <c r="G538" s="411" t="s">
        <v>5418</v>
      </c>
      <c r="H538" s="411"/>
      <c r="I538" s="411"/>
      <c r="J538" s="411"/>
      <c r="K538" s="411"/>
      <c r="L538" s="608">
        <v>12709.952755905513</v>
      </c>
      <c r="M538" s="409">
        <v>5984.3070866141734</v>
      </c>
      <c r="N538" s="409">
        <v>18694.259842519685</v>
      </c>
      <c r="O538" s="410" t="s">
        <v>7790</v>
      </c>
      <c r="P538" s="406">
        <v>535</v>
      </c>
      <c r="Q538" s="470" t="s">
        <v>1130</v>
      </c>
      <c r="R538" s="460" t="s">
        <v>1131</v>
      </c>
      <c r="S538" s="270" t="s">
        <v>7</v>
      </c>
      <c r="U538" s="471"/>
      <c r="V538" s="471"/>
      <c r="W538" s="471" t="s">
        <v>1131</v>
      </c>
      <c r="X538" s="471">
        <v>1</v>
      </c>
    </row>
    <row r="539" spans="1:26">
      <c r="A539" s="406">
        <v>536</v>
      </c>
      <c r="B539" s="613" t="s">
        <v>6563</v>
      </c>
      <c r="C539" s="288" t="s">
        <v>1132</v>
      </c>
      <c r="D539" s="414" t="s">
        <v>4425</v>
      </c>
      <c r="E539" s="407" t="s">
        <v>9426</v>
      </c>
      <c r="F539" s="483"/>
      <c r="G539" s="483"/>
      <c r="H539" s="483"/>
      <c r="I539" s="483"/>
      <c r="J539" s="483"/>
      <c r="K539" s="483"/>
      <c r="L539" s="608" t="s">
        <v>4884</v>
      </c>
      <c r="M539" s="409">
        <v>5539.5551181102364</v>
      </c>
      <c r="N539" s="409">
        <v>5539.5551181102364</v>
      </c>
      <c r="O539" s="410" t="s">
        <v>7574</v>
      </c>
      <c r="P539" s="406">
        <v>536</v>
      </c>
      <c r="Q539" s="470" t="s">
        <v>1132</v>
      </c>
      <c r="R539" s="460" t="s">
        <v>1133</v>
      </c>
      <c r="S539" s="270" t="s">
        <v>32</v>
      </c>
      <c r="U539" s="471"/>
      <c r="V539" s="471">
        <v>1</v>
      </c>
      <c r="W539" s="471" t="s">
        <v>1133</v>
      </c>
      <c r="X539" s="471">
        <v>0</v>
      </c>
    </row>
    <row r="540" spans="1:26">
      <c r="A540" s="406">
        <v>537</v>
      </c>
      <c r="B540" s="613" t="s">
        <v>6564</v>
      </c>
      <c r="C540" s="288" t="s">
        <v>1134</v>
      </c>
      <c r="D540" s="414" t="s">
        <v>4427</v>
      </c>
      <c r="E540" s="407" t="s">
        <v>9427</v>
      </c>
      <c r="F540" s="483"/>
      <c r="G540" s="483"/>
      <c r="H540" s="483"/>
      <c r="I540" s="483"/>
      <c r="J540" s="483"/>
      <c r="K540" s="483"/>
      <c r="L540" s="608" t="s">
        <v>4884</v>
      </c>
      <c r="M540" s="409">
        <v>5360.1968503937014</v>
      </c>
      <c r="N540" s="409">
        <v>5360.1968503937014</v>
      </c>
      <c r="O540" s="410" t="s">
        <v>7574</v>
      </c>
      <c r="P540" s="406">
        <v>537</v>
      </c>
      <c r="Q540" s="470" t="s">
        <v>1134</v>
      </c>
      <c r="R540" s="475" t="s">
        <v>1135</v>
      </c>
      <c r="S540" s="270" t="s">
        <v>32</v>
      </c>
      <c r="U540" s="471"/>
      <c r="V540" s="477">
        <v>1</v>
      </c>
      <c r="W540" s="471"/>
      <c r="X540" s="471"/>
      <c r="Z540" s="270" t="s">
        <v>1136</v>
      </c>
    </row>
    <row r="541" spans="1:26">
      <c r="A541" s="406">
        <v>538</v>
      </c>
      <c r="B541" s="613" t="s">
        <v>4914</v>
      </c>
      <c r="C541" s="288" t="s">
        <v>1137</v>
      </c>
      <c r="D541" s="414" t="s">
        <v>4486</v>
      </c>
      <c r="E541" s="407" t="s">
        <v>9428</v>
      </c>
      <c r="F541" s="483" t="s">
        <v>4916</v>
      </c>
      <c r="G541" s="411" t="s">
        <v>4915</v>
      </c>
      <c r="H541" s="411" t="s">
        <v>4917</v>
      </c>
      <c r="I541" s="411"/>
      <c r="J541" s="411"/>
      <c r="K541" s="411"/>
      <c r="L541" s="608">
        <v>13086.65748031496</v>
      </c>
      <c r="M541" s="409">
        <v>1038.0511811023621</v>
      </c>
      <c r="N541" s="409">
        <v>14124.708661417322</v>
      </c>
      <c r="O541" s="410" t="s">
        <v>7770</v>
      </c>
      <c r="P541" s="406">
        <v>538</v>
      </c>
      <c r="Q541" s="470" t="s">
        <v>1137</v>
      </c>
      <c r="R541" s="475" t="s">
        <v>1138</v>
      </c>
      <c r="S541" s="270" t="s">
        <v>32</v>
      </c>
      <c r="U541" s="471"/>
      <c r="V541" s="477">
        <v>1</v>
      </c>
      <c r="W541" s="471"/>
      <c r="X541" s="471"/>
      <c r="Z541" s="270" t="s">
        <v>1136</v>
      </c>
    </row>
    <row r="542" spans="1:26">
      <c r="A542" s="406">
        <v>539</v>
      </c>
      <c r="B542" s="613" t="s">
        <v>6565</v>
      </c>
      <c r="C542" s="288" t="s">
        <v>1139</v>
      </c>
      <c r="D542" s="414" t="s">
        <v>4480</v>
      </c>
      <c r="E542" s="407" t="s">
        <v>9429</v>
      </c>
      <c r="F542" s="483"/>
      <c r="G542" s="483"/>
      <c r="H542" s="483"/>
      <c r="I542" s="483"/>
      <c r="J542" s="483"/>
      <c r="K542" s="483"/>
      <c r="L542" s="608" t="s">
        <v>4884</v>
      </c>
      <c r="M542" s="409">
        <v>11056.066929133858</v>
      </c>
      <c r="N542" s="409">
        <v>11056.066929133858</v>
      </c>
      <c r="O542" s="410" t="s">
        <v>7568</v>
      </c>
      <c r="P542" s="406">
        <v>539</v>
      </c>
      <c r="Q542" s="470" t="s">
        <v>1139</v>
      </c>
      <c r="R542" s="460" t="s">
        <v>1140</v>
      </c>
      <c r="S542" s="270" t="s">
        <v>32</v>
      </c>
      <c r="U542" s="471"/>
      <c r="V542" s="471">
        <v>1</v>
      </c>
      <c r="W542" s="471" t="s">
        <v>1140</v>
      </c>
      <c r="X542" s="471">
        <v>0</v>
      </c>
    </row>
    <row r="543" spans="1:26">
      <c r="A543" s="406">
        <v>540</v>
      </c>
      <c r="B543" s="613" t="s">
        <v>6566</v>
      </c>
      <c r="C543" s="288" t="s">
        <v>1141</v>
      </c>
      <c r="D543" s="414" t="s">
        <v>4424</v>
      </c>
      <c r="E543" s="407" t="s">
        <v>9430</v>
      </c>
      <c r="F543" s="483"/>
      <c r="G543" s="483"/>
      <c r="H543" s="483"/>
      <c r="I543" s="483"/>
      <c r="J543" s="483"/>
      <c r="K543" s="483"/>
      <c r="L543" s="608" t="s">
        <v>4884</v>
      </c>
      <c r="M543" s="409">
        <v>11021.846456692914</v>
      </c>
      <c r="N543" s="409">
        <v>11021.846456692914</v>
      </c>
      <c r="O543" s="410" t="s">
        <v>7574</v>
      </c>
      <c r="P543" s="406">
        <v>540</v>
      </c>
      <c r="Q543" s="470" t="s">
        <v>1141</v>
      </c>
      <c r="R543" s="460" t="s">
        <v>1142</v>
      </c>
      <c r="S543" s="270" t="s">
        <v>32</v>
      </c>
      <c r="U543" s="471"/>
      <c r="V543" s="471">
        <v>1</v>
      </c>
      <c r="W543" s="471" t="s">
        <v>1142</v>
      </c>
      <c r="X543" s="471">
        <v>0</v>
      </c>
    </row>
    <row r="544" spans="1:26">
      <c r="A544" s="406">
        <v>541</v>
      </c>
      <c r="B544" s="613" t="s">
        <v>6567</v>
      </c>
      <c r="C544" s="288" t="s">
        <v>1143</v>
      </c>
      <c r="D544" s="414" t="s">
        <v>4426</v>
      </c>
      <c r="E544" s="407" t="s">
        <v>9431</v>
      </c>
      <c r="F544" s="483"/>
      <c r="G544" s="483"/>
      <c r="H544" s="483"/>
      <c r="I544" s="483"/>
      <c r="J544" s="483"/>
      <c r="K544" s="483"/>
      <c r="L544" s="608" t="s">
        <v>4884</v>
      </c>
      <c r="M544" s="409">
        <v>11015.874015748032</v>
      </c>
      <c r="N544" s="409">
        <v>11015.874015748032</v>
      </c>
      <c r="O544" s="410" t="s">
        <v>7574</v>
      </c>
      <c r="P544" s="406">
        <v>541</v>
      </c>
      <c r="Q544" s="470" t="s">
        <v>1143</v>
      </c>
      <c r="R544" s="460" t="s">
        <v>1144</v>
      </c>
      <c r="S544" s="270" t="s">
        <v>32</v>
      </c>
      <c r="U544" s="471"/>
      <c r="V544" s="471">
        <v>1</v>
      </c>
      <c r="W544" s="471" t="s">
        <v>1144</v>
      </c>
      <c r="X544" s="471">
        <v>0</v>
      </c>
    </row>
    <row r="545" spans="1:26">
      <c r="A545" s="406">
        <v>542</v>
      </c>
      <c r="B545" s="613" t="s">
        <v>6568</v>
      </c>
      <c r="C545" s="288" t="s">
        <v>1145</v>
      </c>
      <c r="D545" s="414" t="s">
        <v>4481</v>
      </c>
      <c r="E545" s="407" t="s">
        <v>9432</v>
      </c>
      <c r="F545" s="483"/>
      <c r="G545" s="483"/>
      <c r="H545" s="483"/>
      <c r="I545" s="483"/>
      <c r="J545" s="483"/>
      <c r="K545" s="483"/>
      <c r="L545" s="608" t="s">
        <v>4884</v>
      </c>
      <c r="M545" s="409">
        <v>10996.358267716536</v>
      </c>
      <c r="N545" s="409">
        <v>10996.358267716536</v>
      </c>
      <c r="O545" s="410" t="s">
        <v>7568</v>
      </c>
      <c r="P545" s="406">
        <v>542</v>
      </c>
      <c r="Q545" s="470" t="s">
        <v>1145</v>
      </c>
      <c r="R545" s="460" t="s">
        <v>1146</v>
      </c>
      <c r="S545" s="270" t="s">
        <v>32</v>
      </c>
      <c r="U545" s="471"/>
      <c r="V545" s="471">
        <v>1</v>
      </c>
      <c r="W545" s="471" t="s">
        <v>1146</v>
      </c>
      <c r="X545" s="471">
        <v>0</v>
      </c>
    </row>
    <row r="546" spans="1:26">
      <c r="A546" s="406">
        <v>543</v>
      </c>
      <c r="B546" s="613" t="s">
        <v>7020</v>
      </c>
      <c r="C546" s="288" t="s">
        <v>1147</v>
      </c>
      <c r="D546" s="414" t="s">
        <v>4884</v>
      </c>
      <c r="E546" s="407"/>
      <c r="F546" s="483"/>
      <c r="G546" s="483"/>
      <c r="H546" s="483"/>
      <c r="I546" s="483"/>
      <c r="J546" s="483"/>
      <c r="K546" s="483"/>
      <c r="L546" s="608" t="s">
        <v>4884</v>
      </c>
      <c r="M546" s="409" t="s">
        <v>4884</v>
      </c>
      <c r="N546" s="409" t="s">
        <v>4884</v>
      </c>
      <c r="O546" s="410" t="s">
        <v>4884</v>
      </c>
      <c r="P546" s="406">
        <v>543</v>
      </c>
      <c r="Q546" s="470" t="s">
        <v>1147</v>
      </c>
      <c r="R546" s="460" t="s">
        <v>1148</v>
      </c>
      <c r="S546" s="270" t="s">
        <v>7</v>
      </c>
      <c r="U546" s="471"/>
      <c r="V546" s="471"/>
      <c r="W546" s="471" t="s">
        <v>1148</v>
      </c>
      <c r="X546" s="471">
        <v>0</v>
      </c>
    </row>
    <row r="547" spans="1:26">
      <c r="A547" s="406">
        <v>544</v>
      </c>
      <c r="B547" s="613" t="s">
        <v>7020</v>
      </c>
      <c r="C547" s="288" t="s">
        <v>1149</v>
      </c>
      <c r="D547" s="414" t="s">
        <v>4884</v>
      </c>
      <c r="E547" s="407"/>
      <c r="F547" s="483"/>
      <c r="G547" s="483"/>
      <c r="H547" s="483"/>
      <c r="I547" s="483"/>
      <c r="J547" s="483"/>
      <c r="K547" s="483"/>
      <c r="L547" s="608" t="s">
        <v>4884</v>
      </c>
      <c r="M547" s="409" t="s">
        <v>4884</v>
      </c>
      <c r="N547" s="409" t="s">
        <v>4884</v>
      </c>
      <c r="O547" s="410" t="s">
        <v>4884</v>
      </c>
      <c r="P547" s="406">
        <v>544</v>
      </c>
      <c r="Q547" s="470" t="s">
        <v>1149</v>
      </c>
      <c r="R547" s="460" t="s">
        <v>1150</v>
      </c>
      <c r="S547" s="270" t="s">
        <v>7</v>
      </c>
      <c r="U547" s="471"/>
      <c r="V547" s="471"/>
      <c r="W547" s="471" t="s">
        <v>1150</v>
      </c>
      <c r="X547" s="471">
        <v>0</v>
      </c>
    </row>
    <row r="548" spans="1:26">
      <c r="A548" s="406">
        <v>545</v>
      </c>
      <c r="B548" s="613" t="s">
        <v>5251</v>
      </c>
      <c r="C548" s="288" t="s">
        <v>1151</v>
      </c>
      <c r="D548" s="414" t="s">
        <v>4234</v>
      </c>
      <c r="E548" s="407" t="s">
        <v>9411</v>
      </c>
      <c r="F548" s="483" t="s">
        <v>5249</v>
      </c>
      <c r="G548" s="411" t="s">
        <v>5252</v>
      </c>
      <c r="H548" s="411"/>
      <c r="I548" s="411"/>
      <c r="J548" s="411"/>
      <c r="K548" s="411"/>
      <c r="L548" s="608">
        <v>6955.3858267716532</v>
      </c>
      <c r="M548" s="409">
        <v>6798.429133858268</v>
      </c>
      <c r="N548" s="409">
        <v>13753.814960629921</v>
      </c>
      <c r="O548" s="410" t="s">
        <v>7750</v>
      </c>
      <c r="P548" s="406">
        <v>545</v>
      </c>
      <c r="Q548" s="470" t="s">
        <v>1151</v>
      </c>
      <c r="R548" s="460" t="s">
        <v>1152</v>
      </c>
      <c r="S548" s="270" t="s">
        <v>7</v>
      </c>
      <c r="U548" s="471"/>
      <c r="V548" s="471"/>
      <c r="W548" s="471" t="s">
        <v>1152</v>
      </c>
      <c r="X548" s="471">
        <v>1</v>
      </c>
      <c r="Z548" s="270" t="s">
        <v>1153</v>
      </c>
    </row>
    <row r="549" spans="1:26">
      <c r="A549" s="406">
        <v>546</v>
      </c>
      <c r="B549" s="613" t="s">
        <v>5259</v>
      </c>
      <c r="C549" s="288" t="s">
        <v>1154</v>
      </c>
      <c r="D549" s="414" t="s">
        <v>4215</v>
      </c>
      <c r="E549" s="407" t="s">
        <v>9409</v>
      </c>
      <c r="F549" s="483" t="s">
        <v>5257</v>
      </c>
      <c r="G549" s="411" t="s">
        <v>5260</v>
      </c>
      <c r="H549" s="411"/>
      <c r="I549" s="411"/>
      <c r="J549" s="411"/>
      <c r="K549" s="411"/>
      <c r="L549" s="608">
        <v>6727.6141732283477</v>
      </c>
      <c r="M549" s="409">
        <v>8469.8779527559054</v>
      </c>
      <c r="N549" s="409">
        <v>15197.492125984252</v>
      </c>
      <c r="O549" s="410" t="s">
        <v>7791</v>
      </c>
      <c r="P549" s="406">
        <v>546</v>
      </c>
      <c r="Q549" s="470" t="s">
        <v>1154</v>
      </c>
      <c r="R549" s="460" t="s">
        <v>1155</v>
      </c>
      <c r="S549" s="270" t="s">
        <v>7</v>
      </c>
      <c r="U549" s="471"/>
      <c r="V549" s="471"/>
      <c r="W549" s="471" t="s">
        <v>1155</v>
      </c>
      <c r="X549" s="471">
        <v>1</v>
      </c>
      <c r="Z549" s="270" t="s">
        <v>1156</v>
      </c>
    </row>
    <row r="550" spans="1:26">
      <c r="A550" s="406">
        <v>547</v>
      </c>
      <c r="B550" s="613" t="s">
        <v>6731</v>
      </c>
      <c r="C550" s="288" t="s">
        <v>1157</v>
      </c>
      <c r="D550" s="414" t="s">
        <v>4236</v>
      </c>
      <c r="E550" s="407" t="s">
        <v>9077</v>
      </c>
      <c r="F550" s="483" t="s">
        <v>5243</v>
      </c>
      <c r="G550" s="411" t="s">
        <v>5435</v>
      </c>
      <c r="H550" s="411"/>
      <c r="I550" s="411"/>
      <c r="J550" s="411"/>
      <c r="K550" s="411"/>
      <c r="L550" s="608">
        <v>1069.0354330708662</v>
      </c>
      <c r="M550" s="409">
        <v>7178.8425196850394</v>
      </c>
      <c r="N550" s="409">
        <v>8247.8779527559072</v>
      </c>
      <c r="O550" s="410" t="s">
        <v>7792</v>
      </c>
      <c r="P550" s="406">
        <v>547</v>
      </c>
      <c r="Q550" s="470" t="s">
        <v>1157</v>
      </c>
      <c r="R550" s="460" t="s">
        <v>1158</v>
      </c>
      <c r="S550" s="270" t="s">
        <v>7</v>
      </c>
      <c r="U550" s="471"/>
      <c r="V550" s="471"/>
      <c r="W550" s="471" t="s">
        <v>1158</v>
      </c>
      <c r="X550" s="471">
        <v>1</v>
      </c>
      <c r="Z550" s="270" t="s">
        <v>1159</v>
      </c>
    </row>
    <row r="551" spans="1:26">
      <c r="A551" s="406">
        <v>548</v>
      </c>
      <c r="B551" s="613" t="s">
        <v>7020</v>
      </c>
      <c r="C551" s="288" t="s">
        <v>1160</v>
      </c>
      <c r="D551" s="414" t="s">
        <v>4884</v>
      </c>
      <c r="E551" s="407"/>
      <c r="F551" s="483"/>
      <c r="G551" s="483"/>
      <c r="H551" s="483"/>
      <c r="I551" s="483"/>
      <c r="J551" s="483"/>
      <c r="K551" s="483"/>
      <c r="L551" s="608" t="s">
        <v>4884</v>
      </c>
      <c r="M551" s="409" t="s">
        <v>4884</v>
      </c>
      <c r="N551" s="409" t="s">
        <v>4884</v>
      </c>
      <c r="O551" s="410" t="s">
        <v>4884</v>
      </c>
      <c r="P551" s="406">
        <v>548</v>
      </c>
      <c r="Q551" s="480" t="s">
        <v>1160</v>
      </c>
      <c r="R551" s="481" t="s">
        <v>1161</v>
      </c>
      <c r="S551" s="465" t="s">
        <v>32</v>
      </c>
      <c r="T551" s="482"/>
      <c r="U551" s="464"/>
      <c r="V551" s="464">
        <v>0</v>
      </c>
      <c r="W551" s="478"/>
      <c r="X551" s="464"/>
      <c r="Y551" s="465"/>
      <c r="Z551" s="465"/>
    </row>
    <row r="552" spans="1:26">
      <c r="A552" s="406">
        <v>549</v>
      </c>
      <c r="B552" s="613" t="s">
        <v>6569</v>
      </c>
      <c r="C552" s="288" t="s">
        <v>1162</v>
      </c>
      <c r="D552" s="414" t="s">
        <v>4471</v>
      </c>
      <c r="E552" s="407" t="s">
        <v>9433</v>
      </c>
      <c r="F552" s="483"/>
      <c r="G552" s="483"/>
      <c r="H552" s="483"/>
      <c r="I552" s="483"/>
      <c r="J552" s="483"/>
      <c r="K552" s="483"/>
      <c r="L552" s="608" t="s">
        <v>4884</v>
      </c>
      <c r="M552" s="409">
        <v>14329.807086614173</v>
      </c>
      <c r="N552" s="409">
        <v>14329.807086614173</v>
      </c>
      <c r="O552" s="410" t="s">
        <v>7574</v>
      </c>
      <c r="P552" s="406">
        <v>549</v>
      </c>
      <c r="Q552" s="470" t="s">
        <v>1162</v>
      </c>
      <c r="R552" s="460" t="s">
        <v>1163</v>
      </c>
      <c r="S552" s="270" t="s">
        <v>32</v>
      </c>
      <c r="U552" s="471"/>
      <c r="V552" s="471">
        <v>1</v>
      </c>
      <c r="W552" s="471" t="s">
        <v>1163</v>
      </c>
      <c r="X552" s="471">
        <v>0</v>
      </c>
    </row>
    <row r="553" spans="1:26">
      <c r="A553" s="406">
        <v>550</v>
      </c>
      <c r="B553" s="613" t="s">
        <v>6570</v>
      </c>
      <c r="C553" s="288" t="s">
        <v>1164</v>
      </c>
      <c r="D553" s="414" t="s">
        <v>4470</v>
      </c>
      <c r="E553" s="407" t="s">
        <v>9434</v>
      </c>
      <c r="F553" s="483"/>
      <c r="G553" s="483"/>
      <c r="H553" s="483"/>
      <c r="I553" s="483"/>
      <c r="J553" s="483"/>
      <c r="K553" s="483"/>
      <c r="L553" s="608" t="s">
        <v>4884</v>
      </c>
      <c r="M553" s="409">
        <v>14329.803149606299</v>
      </c>
      <c r="N553" s="409">
        <v>14329.803149606299</v>
      </c>
      <c r="O553" s="410" t="s">
        <v>7574</v>
      </c>
      <c r="P553" s="406">
        <v>550</v>
      </c>
      <c r="Q553" s="470" t="s">
        <v>1164</v>
      </c>
      <c r="R553" s="460" t="s">
        <v>1165</v>
      </c>
      <c r="S553" s="270" t="s">
        <v>32</v>
      </c>
      <c r="U553" s="471"/>
      <c r="V553" s="471">
        <v>1</v>
      </c>
      <c r="W553" s="471" t="s">
        <v>1165</v>
      </c>
      <c r="X553" s="471">
        <v>0</v>
      </c>
    </row>
    <row r="554" spans="1:26">
      <c r="A554" s="406">
        <v>551</v>
      </c>
      <c r="B554" s="613" t="s">
        <v>5315</v>
      </c>
      <c r="C554" s="288" t="s">
        <v>1166</v>
      </c>
      <c r="D554" s="414" t="s">
        <v>4464</v>
      </c>
      <c r="E554" s="407" t="s">
        <v>9055</v>
      </c>
      <c r="F554" s="483" t="s">
        <v>5318</v>
      </c>
      <c r="G554" s="411" t="s">
        <v>5316</v>
      </c>
      <c r="H554" s="411"/>
      <c r="I554" s="411"/>
      <c r="J554" s="411"/>
      <c r="K554" s="411"/>
      <c r="L554" s="608">
        <v>8109.7755905511822</v>
      </c>
      <c r="M554" s="409">
        <v>6219.4055118110246</v>
      </c>
      <c r="N554" s="409">
        <v>14329.181102362207</v>
      </c>
      <c r="O554" s="410" t="s">
        <v>7751</v>
      </c>
      <c r="P554" s="406">
        <v>551</v>
      </c>
      <c r="Q554" s="470" t="s">
        <v>1166</v>
      </c>
      <c r="R554" s="460" t="s">
        <v>1167</v>
      </c>
      <c r="S554" s="270" t="s">
        <v>32</v>
      </c>
      <c r="U554" s="471"/>
      <c r="V554" s="471">
        <v>0</v>
      </c>
      <c r="W554" s="471" t="s">
        <v>1167</v>
      </c>
      <c r="X554" s="471">
        <v>0</v>
      </c>
    </row>
    <row r="555" spans="1:26">
      <c r="A555" s="406">
        <v>552</v>
      </c>
      <c r="B555" s="613" t="s">
        <v>5307</v>
      </c>
      <c r="C555" s="288" t="s">
        <v>1168</v>
      </c>
      <c r="D555" s="414" t="s">
        <v>4458</v>
      </c>
      <c r="E555" s="407" t="s">
        <v>9056</v>
      </c>
      <c r="F555" s="483" t="s">
        <v>5310</v>
      </c>
      <c r="G555" s="411" t="s">
        <v>5308</v>
      </c>
      <c r="H555" s="411"/>
      <c r="I555" s="411"/>
      <c r="J555" s="411"/>
      <c r="K555" s="411"/>
      <c r="L555" s="608">
        <v>8699.9448818897636</v>
      </c>
      <c r="M555" s="409">
        <v>5628.9488188976384</v>
      </c>
      <c r="N555" s="409">
        <v>14328.893700787401</v>
      </c>
      <c r="O555" s="410" t="s">
        <v>7752</v>
      </c>
      <c r="P555" s="406">
        <v>552</v>
      </c>
      <c r="Q555" s="470" t="s">
        <v>1168</v>
      </c>
      <c r="R555" s="460" t="s">
        <v>1169</v>
      </c>
      <c r="S555" s="270" t="s">
        <v>32</v>
      </c>
      <c r="U555" s="471"/>
      <c r="V555" s="471">
        <v>0</v>
      </c>
      <c r="W555" s="471" t="s">
        <v>1169</v>
      </c>
      <c r="X555" s="471">
        <v>0</v>
      </c>
    </row>
    <row r="556" spans="1:26">
      <c r="A556" s="406">
        <v>553</v>
      </c>
      <c r="B556" s="613" t="s">
        <v>5299</v>
      </c>
      <c r="C556" s="288" t="s">
        <v>1170</v>
      </c>
      <c r="D556" s="414" t="s">
        <v>4483</v>
      </c>
      <c r="E556" s="407" t="s">
        <v>9057</v>
      </c>
      <c r="F556" s="483" t="s">
        <v>5302</v>
      </c>
      <c r="G556" s="411" t="s">
        <v>5300</v>
      </c>
      <c r="H556" s="411"/>
      <c r="I556" s="411"/>
      <c r="J556" s="411"/>
      <c r="K556" s="411"/>
      <c r="L556" s="608">
        <v>8108.6574803149615</v>
      </c>
      <c r="M556" s="409">
        <v>6219.6732283464571</v>
      </c>
      <c r="N556" s="409">
        <v>14328.33070866142</v>
      </c>
      <c r="O556" s="410" t="s">
        <v>7793</v>
      </c>
      <c r="P556" s="406">
        <v>553</v>
      </c>
      <c r="Q556" s="470" t="s">
        <v>1170</v>
      </c>
      <c r="R556" s="460" t="s">
        <v>1171</v>
      </c>
      <c r="S556" s="270" t="s">
        <v>32</v>
      </c>
      <c r="U556" s="471"/>
      <c r="V556" s="471">
        <v>0</v>
      </c>
      <c r="W556" s="471" t="s">
        <v>1171</v>
      </c>
      <c r="X556" s="471">
        <v>0</v>
      </c>
    </row>
    <row r="557" spans="1:26">
      <c r="A557" s="406">
        <v>554</v>
      </c>
      <c r="B557" s="613" t="s">
        <v>5291</v>
      </c>
      <c r="C557" s="288" t="s">
        <v>1172</v>
      </c>
      <c r="D557" s="414" t="s">
        <v>4487</v>
      </c>
      <c r="E557" s="407" t="s">
        <v>9058</v>
      </c>
      <c r="F557" s="483" t="s">
        <v>5294</v>
      </c>
      <c r="G557" s="411" t="s">
        <v>5292</v>
      </c>
      <c r="H557" s="411"/>
      <c r="I557" s="411"/>
      <c r="J557" s="411"/>
      <c r="K557" s="411"/>
      <c r="L557" s="608">
        <v>8108.3700787401576</v>
      </c>
      <c r="M557" s="409">
        <v>6219.3425196850403</v>
      </c>
      <c r="N557" s="409">
        <v>14327.712598425198</v>
      </c>
      <c r="O557" s="410" t="s">
        <v>7760</v>
      </c>
      <c r="P557" s="406">
        <v>554</v>
      </c>
      <c r="Q557" s="470" t="s">
        <v>1172</v>
      </c>
      <c r="R557" s="460" t="s">
        <v>1173</v>
      </c>
      <c r="S557" s="270" t="s">
        <v>32</v>
      </c>
      <c r="U557" s="471"/>
      <c r="V557" s="471">
        <v>0</v>
      </c>
      <c r="W557" s="471" t="s">
        <v>1173</v>
      </c>
      <c r="X557" s="471">
        <v>0</v>
      </c>
    </row>
    <row r="558" spans="1:26">
      <c r="A558" s="406">
        <v>555</v>
      </c>
      <c r="B558" s="613" t="s">
        <v>5321</v>
      </c>
      <c r="C558" s="288" t="s">
        <v>1174</v>
      </c>
      <c r="D558" s="414" t="s">
        <v>4466</v>
      </c>
      <c r="E558" s="407" t="s">
        <v>9059</v>
      </c>
      <c r="F558" s="483" t="s">
        <v>5319</v>
      </c>
      <c r="G558" s="411" t="s">
        <v>5322</v>
      </c>
      <c r="H558" s="411"/>
      <c r="I558" s="411"/>
      <c r="J558" s="411"/>
      <c r="K558" s="411"/>
      <c r="L558" s="608">
        <v>8109.2716535433083</v>
      </c>
      <c r="M558" s="409">
        <v>6219.8385826771655</v>
      </c>
      <c r="N558" s="409">
        <v>14329.110236220473</v>
      </c>
      <c r="O558" s="410" t="s">
        <v>7794</v>
      </c>
      <c r="P558" s="406">
        <v>555</v>
      </c>
      <c r="Q558" s="470" t="s">
        <v>1174</v>
      </c>
      <c r="R558" s="460" t="s">
        <v>1175</v>
      </c>
      <c r="S558" s="270" t="s">
        <v>32</v>
      </c>
      <c r="U558" s="471"/>
      <c r="V558" s="471">
        <v>0</v>
      </c>
      <c r="W558" s="471" t="s">
        <v>1175</v>
      </c>
      <c r="X558" s="471">
        <v>0</v>
      </c>
    </row>
    <row r="559" spans="1:26">
      <c r="A559" s="406">
        <v>556</v>
      </c>
      <c r="B559" s="613" t="s">
        <v>5313</v>
      </c>
      <c r="C559" s="288" t="s">
        <v>1176</v>
      </c>
      <c r="D559" s="414" t="s">
        <v>4459</v>
      </c>
      <c r="E559" s="407" t="s">
        <v>9060</v>
      </c>
      <c r="F559" s="483" t="s">
        <v>5311</v>
      </c>
      <c r="G559" s="411" t="s">
        <v>5314</v>
      </c>
      <c r="H559" s="411"/>
      <c r="I559" s="411"/>
      <c r="J559" s="411"/>
      <c r="K559" s="411"/>
      <c r="L559" s="608">
        <v>8699.9330708661419</v>
      </c>
      <c r="M559" s="409">
        <v>5629.1259842519694</v>
      </c>
      <c r="N559" s="409">
        <v>14329.05905511811</v>
      </c>
      <c r="O559" s="410" t="s">
        <v>7752</v>
      </c>
      <c r="P559" s="406">
        <v>556</v>
      </c>
      <c r="Q559" s="470" t="s">
        <v>1176</v>
      </c>
      <c r="R559" s="460" t="s">
        <v>1177</v>
      </c>
      <c r="S559" s="270" t="s">
        <v>32</v>
      </c>
      <c r="U559" s="471"/>
      <c r="V559" s="471">
        <v>0</v>
      </c>
      <c r="W559" s="471" t="s">
        <v>1177</v>
      </c>
      <c r="X559" s="471">
        <v>0</v>
      </c>
    </row>
    <row r="560" spans="1:26">
      <c r="A560" s="406">
        <v>557</v>
      </c>
      <c r="B560" s="613" t="s">
        <v>5346</v>
      </c>
      <c r="C560" s="288" t="s">
        <v>1178</v>
      </c>
      <c r="D560" s="414" t="s">
        <v>4432</v>
      </c>
      <c r="E560" s="407" t="s">
        <v>9045</v>
      </c>
      <c r="F560" s="483" t="s">
        <v>5349</v>
      </c>
      <c r="G560" s="411" t="s">
        <v>5347</v>
      </c>
      <c r="H560" s="411"/>
      <c r="I560" s="411"/>
      <c r="J560" s="411"/>
      <c r="K560" s="411"/>
      <c r="L560" s="608">
        <v>8109.3582677165359</v>
      </c>
      <c r="M560" s="409">
        <v>6219.6692913385832</v>
      </c>
      <c r="N560" s="409">
        <v>14329.027559055119</v>
      </c>
      <c r="O560" s="410" t="s">
        <v>7769</v>
      </c>
      <c r="P560" s="406">
        <v>557</v>
      </c>
      <c r="Q560" s="470" t="s">
        <v>1178</v>
      </c>
      <c r="R560" s="460" t="s">
        <v>1179</v>
      </c>
      <c r="S560" s="270" t="s">
        <v>32</v>
      </c>
      <c r="U560" s="471"/>
      <c r="V560" s="471">
        <v>0</v>
      </c>
      <c r="W560" s="471" t="s">
        <v>1179</v>
      </c>
      <c r="X560" s="471">
        <v>0</v>
      </c>
    </row>
    <row r="561" spans="1:26">
      <c r="A561" s="406">
        <v>558</v>
      </c>
      <c r="B561" s="613" t="s">
        <v>5339</v>
      </c>
      <c r="C561" s="288" t="s">
        <v>1180</v>
      </c>
      <c r="D561" s="414" t="s">
        <v>4431</v>
      </c>
      <c r="E561" s="407" t="s">
        <v>9046</v>
      </c>
      <c r="F561" s="483" t="s">
        <v>6724</v>
      </c>
      <c r="G561" s="483" t="s">
        <v>6728</v>
      </c>
      <c r="H561" s="411" t="s">
        <v>5340</v>
      </c>
      <c r="I561" s="411"/>
      <c r="J561" s="411"/>
      <c r="K561" s="411"/>
      <c r="L561" s="608">
        <v>2282.3464566929138</v>
      </c>
      <c r="M561" s="409">
        <v>3936.4370078740158</v>
      </c>
      <c r="N561" s="409">
        <v>6218.7834645669291</v>
      </c>
      <c r="O561" s="410" t="s">
        <v>7795</v>
      </c>
      <c r="P561" s="406">
        <v>558</v>
      </c>
      <c r="Q561" s="470" t="s">
        <v>1180</v>
      </c>
      <c r="R561" s="460" t="s">
        <v>1181</v>
      </c>
      <c r="S561" s="270" t="s">
        <v>32</v>
      </c>
      <c r="U561" s="471"/>
      <c r="V561" s="471">
        <v>0</v>
      </c>
      <c r="W561" s="471" t="s">
        <v>1181</v>
      </c>
      <c r="X561" s="471">
        <v>0</v>
      </c>
    </row>
    <row r="562" spans="1:26">
      <c r="A562" s="406">
        <v>559</v>
      </c>
      <c r="B562" s="613" t="s">
        <v>5331</v>
      </c>
      <c r="C562" s="288" t="s">
        <v>1182</v>
      </c>
      <c r="D562" s="414" t="s">
        <v>4477</v>
      </c>
      <c r="E562" s="407" t="s">
        <v>9047</v>
      </c>
      <c r="F562" s="483" t="s">
        <v>5334</v>
      </c>
      <c r="G562" s="411" t="s">
        <v>5332</v>
      </c>
      <c r="H562" s="411"/>
      <c r="I562" s="411"/>
      <c r="J562" s="411"/>
      <c r="K562" s="411"/>
      <c r="L562" s="608">
        <v>8109.566929133859</v>
      </c>
      <c r="M562" s="409">
        <v>6219.4881889763783</v>
      </c>
      <c r="N562" s="409">
        <v>14329.055118110236</v>
      </c>
      <c r="O562" s="410" t="s">
        <v>7768</v>
      </c>
      <c r="P562" s="406">
        <v>559</v>
      </c>
      <c r="Q562" s="470" t="s">
        <v>1182</v>
      </c>
      <c r="R562" s="460" t="s">
        <v>1183</v>
      </c>
      <c r="S562" s="270" t="s">
        <v>32</v>
      </c>
      <c r="U562" s="471"/>
      <c r="V562" s="471">
        <v>0</v>
      </c>
      <c r="W562" s="471" t="s">
        <v>1183</v>
      </c>
      <c r="X562" s="471">
        <v>0</v>
      </c>
    </row>
    <row r="563" spans="1:26">
      <c r="A563" s="406">
        <v>560</v>
      </c>
      <c r="B563" s="613" t="s">
        <v>5323</v>
      </c>
      <c r="C563" s="288" t="s">
        <v>1184</v>
      </c>
      <c r="D563" s="414" t="s">
        <v>4476</v>
      </c>
      <c r="E563" s="407" t="s">
        <v>9048</v>
      </c>
      <c r="F563" s="483" t="s">
        <v>5326</v>
      </c>
      <c r="G563" s="411" t="s">
        <v>5324</v>
      </c>
      <c r="H563" s="411"/>
      <c r="I563" s="411"/>
      <c r="J563" s="411"/>
      <c r="K563" s="411"/>
      <c r="L563" s="608">
        <v>8109.6299212598433</v>
      </c>
      <c r="M563" s="409">
        <v>6219.751968503937</v>
      </c>
      <c r="N563" s="409">
        <v>14329.381889763779</v>
      </c>
      <c r="O563" s="410" t="s">
        <v>7796</v>
      </c>
      <c r="P563" s="406">
        <v>560</v>
      </c>
      <c r="Q563" s="470" t="s">
        <v>1184</v>
      </c>
      <c r="R563" s="460" t="s">
        <v>1185</v>
      </c>
      <c r="S563" s="270" t="s">
        <v>32</v>
      </c>
      <c r="U563" s="471"/>
      <c r="V563" s="471">
        <v>0</v>
      </c>
      <c r="W563" s="471" t="s">
        <v>1185</v>
      </c>
      <c r="X563" s="471">
        <v>0</v>
      </c>
    </row>
    <row r="564" spans="1:26">
      <c r="A564" s="406">
        <v>561</v>
      </c>
      <c r="B564" s="613" t="s">
        <v>5352</v>
      </c>
      <c r="C564" s="288" t="s">
        <v>1186</v>
      </c>
      <c r="D564" s="414" t="s">
        <v>4430</v>
      </c>
      <c r="E564" s="407" t="s">
        <v>9049</v>
      </c>
      <c r="F564" s="483" t="s">
        <v>5350</v>
      </c>
      <c r="G564" s="411" t="s">
        <v>5353</v>
      </c>
      <c r="H564" s="411"/>
      <c r="I564" s="411"/>
      <c r="J564" s="411"/>
      <c r="K564" s="411"/>
      <c r="L564" s="608">
        <v>8109.389763779528</v>
      </c>
      <c r="M564" s="409">
        <v>6219.6141732283459</v>
      </c>
      <c r="N564" s="409">
        <v>14329.003937007872</v>
      </c>
      <c r="O564" s="410" t="s">
        <v>7769</v>
      </c>
      <c r="P564" s="406">
        <v>561</v>
      </c>
      <c r="Q564" s="470" t="s">
        <v>1186</v>
      </c>
      <c r="R564" s="460" t="s">
        <v>1187</v>
      </c>
      <c r="S564" s="270" t="s">
        <v>32</v>
      </c>
      <c r="U564" s="471"/>
      <c r="V564" s="471">
        <v>0</v>
      </c>
      <c r="W564" s="471" t="s">
        <v>1187</v>
      </c>
      <c r="X564" s="471">
        <v>0</v>
      </c>
    </row>
    <row r="565" spans="1:26">
      <c r="A565" s="406">
        <v>562</v>
      </c>
      <c r="B565" s="613" t="s">
        <v>5344</v>
      </c>
      <c r="C565" s="288" t="s">
        <v>1188</v>
      </c>
      <c r="D565" s="414" t="s">
        <v>4429</v>
      </c>
      <c r="E565" s="407" t="s">
        <v>9050</v>
      </c>
      <c r="F565" s="483" t="s">
        <v>5342</v>
      </c>
      <c r="G565" s="411" t="s">
        <v>5345</v>
      </c>
      <c r="H565" s="411"/>
      <c r="I565" s="411"/>
      <c r="J565" s="411"/>
      <c r="K565" s="411"/>
      <c r="L565" s="608">
        <v>8108.677165354331</v>
      </c>
      <c r="M565" s="409">
        <v>6219.3188976377951</v>
      </c>
      <c r="N565" s="409">
        <v>14327.996062992128</v>
      </c>
      <c r="O565" s="410" t="s">
        <v>7768</v>
      </c>
      <c r="P565" s="406">
        <v>562</v>
      </c>
      <c r="Q565" s="470" t="s">
        <v>1188</v>
      </c>
      <c r="R565" s="460" t="s">
        <v>1189</v>
      </c>
      <c r="S565" s="270" t="s">
        <v>32</v>
      </c>
      <c r="U565" s="471"/>
      <c r="V565" s="471">
        <v>0</v>
      </c>
      <c r="W565" s="471" t="s">
        <v>1189</v>
      </c>
      <c r="X565" s="471">
        <v>0</v>
      </c>
    </row>
    <row r="566" spans="1:26">
      <c r="A566" s="406">
        <v>563</v>
      </c>
      <c r="B566" s="613" t="s">
        <v>5337</v>
      </c>
      <c r="C566" s="288" t="s">
        <v>1190</v>
      </c>
      <c r="D566" s="414" t="s">
        <v>4479</v>
      </c>
      <c r="E566" s="407" t="s">
        <v>9051</v>
      </c>
      <c r="F566" s="483" t="s">
        <v>5335</v>
      </c>
      <c r="G566" s="411" t="s">
        <v>5338</v>
      </c>
      <c r="H566" s="411"/>
      <c r="I566" s="411"/>
      <c r="J566" s="411"/>
      <c r="K566" s="411"/>
      <c r="L566" s="608">
        <v>8108.8582677165359</v>
      </c>
      <c r="M566" s="409">
        <v>6219.5590551181103</v>
      </c>
      <c r="N566" s="409">
        <v>14328.417322834646</v>
      </c>
      <c r="O566" s="410" t="s">
        <v>7768</v>
      </c>
      <c r="P566" s="406">
        <v>563</v>
      </c>
      <c r="Q566" s="470" t="s">
        <v>1190</v>
      </c>
      <c r="R566" s="460" t="s">
        <v>1191</v>
      </c>
      <c r="S566" s="270" t="s">
        <v>32</v>
      </c>
      <c r="U566" s="471"/>
      <c r="V566" s="471">
        <v>0</v>
      </c>
      <c r="W566" s="471" t="s">
        <v>1191</v>
      </c>
      <c r="X566" s="471">
        <v>0</v>
      </c>
    </row>
    <row r="567" spans="1:26">
      <c r="A567" s="406">
        <v>564</v>
      </c>
      <c r="B567" s="613" t="s">
        <v>5329</v>
      </c>
      <c r="C567" s="288" t="s">
        <v>1192</v>
      </c>
      <c r="D567" s="414" t="s">
        <v>4478</v>
      </c>
      <c r="E567" s="407" t="s">
        <v>9052</v>
      </c>
      <c r="F567" s="483" t="s">
        <v>5327</v>
      </c>
      <c r="G567" s="411" t="s">
        <v>5330</v>
      </c>
      <c r="H567" s="411"/>
      <c r="I567" s="411"/>
      <c r="J567" s="411"/>
      <c r="K567" s="411"/>
      <c r="L567" s="608">
        <v>8109.8110236220482</v>
      </c>
      <c r="M567" s="409">
        <v>6219.5944881889764</v>
      </c>
      <c r="N567" s="409">
        <v>14329.405511811025</v>
      </c>
      <c r="O567" s="410" t="s">
        <v>7796</v>
      </c>
      <c r="P567" s="406">
        <v>564</v>
      </c>
      <c r="Q567" s="470" t="s">
        <v>1192</v>
      </c>
      <c r="R567" s="460" t="s">
        <v>1193</v>
      </c>
      <c r="S567" s="270" t="s">
        <v>32</v>
      </c>
      <c r="U567" s="471"/>
      <c r="V567" s="471">
        <v>0</v>
      </c>
      <c r="W567" s="471" t="s">
        <v>1193</v>
      </c>
      <c r="X567" s="471">
        <v>0</v>
      </c>
    </row>
    <row r="568" spans="1:26">
      <c r="A568" s="406">
        <v>565</v>
      </c>
      <c r="B568" s="613" t="s">
        <v>7020</v>
      </c>
      <c r="C568" s="288" t="s">
        <v>1194</v>
      </c>
      <c r="D568" s="414" t="s">
        <v>4884</v>
      </c>
      <c r="E568" s="407"/>
      <c r="F568" s="483" t="s">
        <v>7744</v>
      </c>
      <c r="G568" s="483" t="s">
        <v>4952</v>
      </c>
      <c r="H568" s="411"/>
      <c r="I568" s="411"/>
      <c r="J568" s="411"/>
      <c r="K568" s="411"/>
      <c r="L568" s="608" t="s">
        <v>4884</v>
      </c>
      <c r="M568" s="409" t="s">
        <v>4884</v>
      </c>
      <c r="N568" s="409" t="s">
        <v>4884</v>
      </c>
      <c r="O568" s="410" t="s">
        <v>4884</v>
      </c>
      <c r="P568" s="406">
        <v>565</v>
      </c>
      <c r="Q568" s="470" t="s">
        <v>1194</v>
      </c>
      <c r="R568" s="460" t="s">
        <v>1195</v>
      </c>
      <c r="S568" s="270" t="s">
        <v>32</v>
      </c>
      <c r="U568" s="471">
        <v>0</v>
      </c>
      <c r="V568" s="471"/>
      <c r="W568" s="471" t="s">
        <v>1195</v>
      </c>
      <c r="X568" s="471">
        <v>0</v>
      </c>
    </row>
    <row r="569" spans="1:26">
      <c r="A569" s="406">
        <v>566</v>
      </c>
      <c r="B569" s="613" t="s">
        <v>6226</v>
      </c>
      <c r="C569" s="288" t="s">
        <v>1196</v>
      </c>
      <c r="D569" s="414" t="s">
        <v>4490</v>
      </c>
      <c r="E569" s="407" t="s">
        <v>9435</v>
      </c>
      <c r="F569" s="483"/>
      <c r="G569" s="483"/>
      <c r="H569" s="483"/>
      <c r="I569" s="483"/>
      <c r="J569" s="483"/>
      <c r="K569" s="483"/>
      <c r="L569" s="608" t="s">
        <v>4884</v>
      </c>
      <c r="M569" s="409">
        <v>14329.78346456693</v>
      </c>
      <c r="N569" s="409">
        <v>14329.78346456693</v>
      </c>
      <c r="O569" s="410" t="s">
        <v>7569</v>
      </c>
      <c r="P569" s="406">
        <v>566</v>
      </c>
      <c r="Q569" s="470" t="s">
        <v>1196</v>
      </c>
      <c r="R569" s="460" t="s">
        <v>1197</v>
      </c>
      <c r="S569" s="270" t="s">
        <v>32</v>
      </c>
      <c r="U569" s="471"/>
      <c r="V569" s="471">
        <v>1</v>
      </c>
      <c r="W569" s="471" t="s">
        <v>1197</v>
      </c>
      <c r="X569" s="471">
        <v>0</v>
      </c>
    </row>
    <row r="570" spans="1:26">
      <c r="A570" s="406">
        <v>567</v>
      </c>
      <c r="B570" s="613" t="s">
        <v>5305</v>
      </c>
      <c r="C570" s="288" t="s">
        <v>1198</v>
      </c>
      <c r="D570" s="414" t="s">
        <v>4485</v>
      </c>
      <c r="E570" s="407" t="s">
        <v>9061</v>
      </c>
      <c r="F570" s="483" t="s">
        <v>5303</v>
      </c>
      <c r="G570" s="411" t="s">
        <v>5306</v>
      </c>
      <c r="H570" s="411"/>
      <c r="I570" s="411"/>
      <c r="J570" s="411"/>
      <c r="K570" s="411"/>
      <c r="L570" s="608">
        <v>8108.3937007874019</v>
      </c>
      <c r="M570" s="409">
        <v>6219.6535433070867</v>
      </c>
      <c r="N570" s="409">
        <v>14328.04724409449</v>
      </c>
      <c r="O570" s="410" t="s">
        <v>7793</v>
      </c>
      <c r="P570" s="406">
        <v>567</v>
      </c>
      <c r="Q570" s="470" t="s">
        <v>1198</v>
      </c>
      <c r="R570" s="460" t="s">
        <v>1199</v>
      </c>
      <c r="S570" s="270" t="s">
        <v>32</v>
      </c>
      <c r="U570" s="471"/>
      <c r="V570" s="466">
        <v>0</v>
      </c>
      <c r="W570" s="471" t="s">
        <v>1199</v>
      </c>
      <c r="X570" s="471">
        <v>0</v>
      </c>
      <c r="Z570" s="270" t="s">
        <v>1200</v>
      </c>
    </row>
    <row r="571" spans="1:26">
      <c r="A571" s="406">
        <v>568</v>
      </c>
      <c r="B571" s="613" t="s">
        <v>6227</v>
      </c>
      <c r="C571" s="288" t="s">
        <v>1201</v>
      </c>
      <c r="D571" s="414" t="s">
        <v>4488</v>
      </c>
      <c r="E571" s="407" t="s">
        <v>9436</v>
      </c>
      <c r="F571" s="483"/>
      <c r="G571" s="483"/>
      <c r="H571" s="483"/>
      <c r="I571" s="483"/>
      <c r="J571" s="483"/>
      <c r="K571" s="483"/>
      <c r="L571" s="608" t="s">
        <v>4884</v>
      </c>
      <c r="M571" s="409">
        <v>14330.14566929134</v>
      </c>
      <c r="N571" s="409">
        <v>14330.14566929134</v>
      </c>
      <c r="O571" s="410" t="s">
        <v>7569</v>
      </c>
      <c r="P571" s="406">
        <v>568</v>
      </c>
      <c r="Q571" s="470" t="s">
        <v>1201</v>
      </c>
      <c r="R571" s="460" t="s">
        <v>1202</v>
      </c>
      <c r="S571" s="270" t="s">
        <v>32</v>
      </c>
      <c r="U571" s="471"/>
      <c r="V571" s="464">
        <v>1</v>
      </c>
      <c r="W571" s="471" t="s">
        <v>1202</v>
      </c>
      <c r="X571" s="471">
        <v>0</v>
      </c>
    </row>
    <row r="572" spans="1:26">
      <c r="A572" s="406">
        <v>569</v>
      </c>
      <c r="B572" s="613" t="s">
        <v>5297</v>
      </c>
      <c r="C572" s="288" t="s">
        <v>1203</v>
      </c>
      <c r="D572" s="414" t="s">
        <v>4489</v>
      </c>
      <c r="E572" s="407" t="s">
        <v>9062</v>
      </c>
      <c r="F572" s="483" t="s">
        <v>5295</v>
      </c>
      <c r="G572" s="411" t="s">
        <v>5298</v>
      </c>
      <c r="H572" s="411"/>
      <c r="I572" s="411"/>
      <c r="J572" s="411"/>
      <c r="K572" s="411"/>
      <c r="L572" s="608">
        <v>8108.4803149606305</v>
      </c>
      <c r="M572" s="409">
        <v>6219.681102362204</v>
      </c>
      <c r="N572" s="409">
        <v>14328.161417322835</v>
      </c>
      <c r="O572" s="410" t="s">
        <v>7760</v>
      </c>
      <c r="P572" s="406">
        <v>569</v>
      </c>
      <c r="Q572" s="470" t="s">
        <v>1203</v>
      </c>
      <c r="R572" s="460" t="s">
        <v>1204</v>
      </c>
      <c r="S572" s="270" t="s">
        <v>32</v>
      </c>
      <c r="U572" s="471"/>
      <c r="V572" s="466">
        <v>0</v>
      </c>
      <c r="W572" s="471" t="s">
        <v>1204</v>
      </c>
      <c r="X572" s="471">
        <v>0</v>
      </c>
      <c r="Z572" s="270" t="s">
        <v>1205</v>
      </c>
    </row>
    <row r="573" spans="1:26">
      <c r="A573" s="406">
        <v>570</v>
      </c>
      <c r="B573" s="613" t="s">
        <v>6385</v>
      </c>
      <c r="C573" s="288" t="s">
        <v>1206</v>
      </c>
      <c r="D573" s="414" t="s">
        <v>4147</v>
      </c>
      <c r="E573" s="407" t="s">
        <v>9437</v>
      </c>
      <c r="F573" s="483"/>
      <c r="G573" s="483"/>
      <c r="H573" s="483"/>
      <c r="I573" s="483"/>
      <c r="J573" s="483"/>
      <c r="K573" s="483"/>
      <c r="L573" s="608" t="s">
        <v>4884</v>
      </c>
      <c r="M573" s="409">
        <v>4103.0905511811025</v>
      </c>
      <c r="N573" s="409">
        <v>4103.0905511811025</v>
      </c>
      <c r="O573" s="410" t="s">
        <v>7567</v>
      </c>
      <c r="P573" s="406">
        <v>570</v>
      </c>
      <c r="Q573" s="470" t="s">
        <v>1206</v>
      </c>
      <c r="R573" s="270" t="s">
        <v>1207</v>
      </c>
      <c r="S573" s="270" t="s">
        <v>7</v>
      </c>
      <c r="U573" s="471"/>
      <c r="V573" s="471"/>
      <c r="W573" s="471" t="s">
        <v>1207</v>
      </c>
      <c r="X573" s="471">
        <v>1</v>
      </c>
    </row>
    <row r="574" spans="1:26">
      <c r="A574" s="406">
        <v>571</v>
      </c>
      <c r="B574" s="613" t="s">
        <v>6386</v>
      </c>
      <c r="C574" s="288" t="s">
        <v>1208</v>
      </c>
      <c r="D574" s="414" t="s">
        <v>4195</v>
      </c>
      <c r="E574" s="407" t="s">
        <v>9438</v>
      </c>
      <c r="F574" s="483"/>
      <c r="G574" s="483"/>
      <c r="H574" s="483"/>
      <c r="I574" s="483"/>
      <c r="J574" s="483"/>
      <c r="K574" s="483"/>
      <c r="L574" s="608" t="s">
        <v>4884</v>
      </c>
      <c r="M574" s="409">
        <v>5549.4251968503941</v>
      </c>
      <c r="N574" s="409">
        <v>5549.4251968503941</v>
      </c>
      <c r="O574" s="410" t="s">
        <v>7575</v>
      </c>
      <c r="P574" s="406">
        <v>571</v>
      </c>
      <c r="Q574" s="470" t="s">
        <v>1208</v>
      </c>
      <c r="R574" s="270" t="s">
        <v>1209</v>
      </c>
      <c r="S574" s="270" t="s">
        <v>7</v>
      </c>
      <c r="U574" s="471"/>
      <c r="V574" s="471"/>
      <c r="W574" s="471" t="s">
        <v>1209</v>
      </c>
      <c r="X574" s="471">
        <v>1</v>
      </c>
    </row>
    <row r="575" spans="1:26">
      <c r="A575" s="406">
        <v>572</v>
      </c>
      <c r="B575" s="613" t="s">
        <v>6387</v>
      </c>
      <c r="C575" s="288" t="s">
        <v>1210</v>
      </c>
      <c r="D575" s="414" t="s">
        <v>3855</v>
      </c>
      <c r="E575" s="407" t="s">
        <v>9439</v>
      </c>
      <c r="F575" s="483"/>
      <c r="G575" s="483"/>
      <c r="H575" s="483"/>
      <c r="I575" s="483"/>
      <c r="J575" s="483"/>
      <c r="K575" s="483"/>
      <c r="L575" s="608" t="s">
        <v>4884</v>
      </c>
      <c r="M575" s="409">
        <v>10285.22440944882</v>
      </c>
      <c r="N575" s="409">
        <v>10285.22440944882</v>
      </c>
      <c r="O575" s="410" t="s">
        <v>7573</v>
      </c>
      <c r="P575" s="406">
        <v>572</v>
      </c>
      <c r="Q575" s="470" t="s">
        <v>1210</v>
      </c>
      <c r="R575" s="460" t="s">
        <v>1211</v>
      </c>
      <c r="S575" s="270" t="s">
        <v>7</v>
      </c>
      <c r="U575" s="471"/>
      <c r="V575" s="471"/>
      <c r="W575" s="471" t="s">
        <v>1211</v>
      </c>
      <c r="X575" s="471">
        <v>1</v>
      </c>
    </row>
    <row r="576" spans="1:26">
      <c r="A576" s="406">
        <v>573</v>
      </c>
      <c r="B576" s="613" t="s">
        <v>6388</v>
      </c>
      <c r="C576" s="288" t="s">
        <v>1212</v>
      </c>
      <c r="D576" s="414" t="s">
        <v>3846</v>
      </c>
      <c r="E576" s="407" t="s">
        <v>9440</v>
      </c>
      <c r="F576" s="483"/>
      <c r="G576" s="483"/>
      <c r="H576" s="483"/>
      <c r="I576" s="483"/>
      <c r="J576" s="483"/>
      <c r="K576" s="483"/>
      <c r="L576" s="608" t="s">
        <v>4884</v>
      </c>
      <c r="M576" s="409">
        <v>7444.6417322834641</v>
      </c>
      <c r="N576" s="409">
        <v>7444.6417322834641</v>
      </c>
      <c r="O576" s="410" t="s">
        <v>7569</v>
      </c>
      <c r="P576" s="406">
        <v>573</v>
      </c>
      <c r="Q576" s="470" t="s">
        <v>1212</v>
      </c>
      <c r="R576" s="460" t="s">
        <v>1213</v>
      </c>
      <c r="S576" s="270" t="s">
        <v>7</v>
      </c>
      <c r="U576" s="471"/>
      <c r="V576" s="471"/>
      <c r="W576" s="471" t="s">
        <v>1213</v>
      </c>
      <c r="X576" s="471">
        <v>1</v>
      </c>
      <c r="Y576" s="206"/>
      <c r="Z576" s="206"/>
    </row>
    <row r="577" spans="1:26">
      <c r="A577" s="406">
        <v>574</v>
      </c>
      <c r="B577" s="613" t="s">
        <v>6389</v>
      </c>
      <c r="C577" s="288" t="s">
        <v>1214</v>
      </c>
      <c r="D577" s="414" t="s">
        <v>3783</v>
      </c>
      <c r="E577" s="407" t="s">
        <v>9441</v>
      </c>
      <c r="F577" s="483"/>
      <c r="G577" s="483"/>
      <c r="H577" s="483"/>
      <c r="I577" s="483"/>
      <c r="J577" s="483"/>
      <c r="K577" s="483"/>
      <c r="L577" s="608" t="s">
        <v>4884</v>
      </c>
      <c r="M577" s="409">
        <v>7875.1811023622049</v>
      </c>
      <c r="N577" s="409">
        <v>7875.1811023622049</v>
      </c>
      <c r="O577" s="410" t="s">
        <v>7569</v>
      </c>
      <c r="P577" s="406">
        <v>574</v>
      </c>
      <c r="Q577" s="470" t="s">
        <v>1214</v>
      </c>
      <c r="R577" s="460" t="s">
        <v>1215</v>
      </c>
      <c r="S577" s="270" t="s">
        <v>7</v>
      </c>
      <c r="U577" s="471"/>
      <c r="V577" s="471"/>
      <c r="W577" s="471" t="s">
        <v>1215</v>
      </c>
      <c r="X577" s="471">
        <v>1</v>
      </c>
      <c r="Y577" s="206"/>
      <c r="Z577" s="206"/>
    </row>
    <row r="578" spans="1:26">
      <c r="A578" s="406">
        <v>575</v>
      </c>
      <c r="B578" s="613" t="s">
        <v>7020</v>
      </c>
      <c r="C578" s="288" t="s">
        <v>1216</v>
      </c>
      <c r="D578" s="414" t="s">
        <v>4884</v>
      </c>
      <c r="E578" s="407"/>
      <c r="F578" s="483" t="s">
        <v>4943</v>
      </c>
      <c r="G578" s="411"/>
      <c r="H578" s="411"/>
      <c r="I578" s="411"/>
      <c r="J578" s="411"/>
      <c r="K578" s="411"/>
      <c r="L578" s="608" t="s">
        <v>4884</v>
      </c>
      <c r="M578" s="409" t="s">
        <v>4884</v>
      </c>
      <c r="N578" s="409" t="s">
        <v>4884</v>
      </c>
      <c r="O578" s="410" t="s">
        <v>4884</v>
      </c>
      <c r="P578" s="406">
        <v>575</v>
      </c>
      <c r="Q578" s="470" t="s">
        <v>1216</v>
      </c>
      <c r="R578" s="474" t="s">
        <v>1217</v>
      </c>
      <c r="S578" s="270" t="s">
        <v>7</v>
      </c>
      <c r="U578" s="471"/>
      <c r="V578" s="471"/>
      <c r="W578" s="471" t="s">
        <v>1217</v>
      </c>
      <c r="X578" s="471">
        <v>0</v>
      </c>
      <c r="Y578" s="206"/>
      <c r="Z578" s="206"/>
    </row>
    <row r="579" spans="1:26">
      <c r="A579" s="406">
        <v>576</v>
      </c>
      <c r="B579" s="613" t="s">
        <v>6390</v>
      </c>
      <c r="C579" s="288" t="s">
        <v>1218</v>
      </c>
      <c r="D579" s="414" t="s">
        <v>3772</v>
      </c>
      <c r="E579" s="407" t="s">
        <v>9442</v>
      </c>
      <c r="F579" s="483"/>
      <c r="G579" s="483"/>
      <c r="H579" s="483"/>
      <c r="I579" s="483"/>
      <c r="J579" s="483"/>
      <c r="K579" s="483"/>
      <c r="L579" s="608" t="s">
        <v>4884</v>
      </c>
      <c r="M579" s="409">
        <v>7477.3818897637802</v>
      </c>
      <c r="N579" s="409">
        <v>7477.3818897637802</v>
      </c>
      <c r="O579" s="410" t="s">
        <v>7574</v>
      </c>
      <c r="P579" s="406">
        <v>576</v>
      </c>
      <c r="Q579" s="470" t="s">
        <v>1218</v>
      </c>
      <c r="R579" s="460" t="s">
        <v>1219</v>
      </c>
      <c r="S579" s="270" t="s">
        <v>7</v>
      </c>
      <c r="U579" s="471"/>
      <c r="V579" s="471"/>
      <c r="W579" s="471" t="s">
        <v>1219</v>
      </c>
      <c r="X579" s="471">
        <v>1</v>
      </c>
      <c r="Y579" s="206"/>
      <c r="Z579" s="206"/>
    </row>
    <row r="580" spans="1:26">
      <c r="A580" s="406">
        <v>577</v>
      </c>
      <c r="B580" s="613" t="s">
        <v>6391</v>
      </c>
      <c r="C580" s="288" t="s">
        <v>1220</v>
      </c>
      <c r="D580" s="414" t="s">
        <v>4231</v>
      </c>
      <c r="E580" s="407" t="s">
        <v>9443</v>
      </c>
      <c r="F580" s="483"/>
      <c r="G580" s="483"/>
      <c r="H580" s="483"/>
      <c r="I580" s="483"/>
      <c r="J580" s="483"/>
      <c r="K580" s="483"/>
      <c r="L580" s="608" t="s">
        <v>4884</v>
      </c>
      <c r="M580" s="409">
        <v>5021.251968503937</v>
      </c>
      <c r="N580" s="409">
        <v>5021.251968503937</v>
      </c>
      <c r="O580" s="410" t="s">
        <v>7575</v>
      </c>
      <c r="P580" s="406">
        <v>577</v>
      </c>
      <c r="Q580" s="470" t="s">
        <v>1220</v>
      </c>
      <c r="R580" s="460" t="s">
        <v>1221</v>
      </c>
      <c r="S580" s="270" t="s">
        <v>7</v>
      </c>
      <c r="U580" s="471"/>
      <c r="V580" s="471"/>
      <c r="W580" s="471" t="s">
        <v>1221</v>
      </c>
      <c r="X580" s="471">
        <v>1</v>
      </c>
      <c r="Y580" s="206"/>
      <c r="Z580" s="206"/>
    </row>
    <row r="581" spans="1:26">
      <c r="A581" s="406">
        <v>578</v>
      </c>
      <c r="B581" s="613" t="s">
        <v>5128</v>
      </c>
      <c r="C581" s="288" t="s">
        <v>1222</v>
      </c>
      <c r="D581" s="414" t="s">
        <v>3819</v>
      </c>
      <c r="E581" s="407" t="s">
        <v>9444</v>
      </c>
      <c r="F581" s="483" t="s">
        <v>5215</v>
      </c>
      <c r="G581" s="411" t="s">
        <v>5129</v>
      </c>
      <c r="H581" s="411" t="s">
        <v>5216</v>
      </c>
      <c r="I581" s="411"/>
      <c r="J581" s="411"/>
      <c r="K581" s="411"/>
      <c r="L581" s="608">
        <v>7951.7874015748039</v>
      </c>
      <c r="M581" s="409">
        <v>4645.0826771653547</v>
      </c>
      <c r="N581" s="409">
        <v>12596.870078740159</v>
      </c>
      <c r="O581" s="410" t="s">
        <v>7797</v>
      </c>
      <c r="P581" s="406">
        <v>578</v>
      </c>
      <c r="Q581" s="470" t="s">
        <v>1222</v>
      </c>
      <c r="R581" s="460" t="s">
        <v>1223</v>
      </c>
      <c r="S581" s="270" t="s">
        <v>7</v>
      </c>
      <c r="U581" s="471"/>
      <c r="V581" s="471"/>
      <c r="W581" s="471" t="s">
        <v>1223</v>
      </c>
      <c r="X581" s="471">
        <v>0</v>
      </c>
      <c r="Y581" s="206"/>
      <c r="Z581" s="206"/>
    </row>
    <row r="582" spans="1:26">
      <c r="A582" s="406">
        <v>579</v>
      </c>
      <c r="B582" s="613" t="s">
        <v>5125</v>
      </c>
      <c r="C582" s="288" t="s">
        <v>1224</v>
      </c>
      <c r="D582" s="414" t="s">
        <v>3821</v>
      </c>
      <c r="E582" s="407" t="s">
        <v>9445</v>
      </c>
      <c r="F582" s="483" t="s">
        <v>5218</v>
      </c>
      <c r="G582" s="411" t="s">
        <v>5126</v>
      </c>
      <c r="H582" s="411" t="s">
        <v>5217</v>
      </c>
      <c r="I582" s="411"/>
      <c r="J582" s="411"/>
      <c r="K582" s="411"/>
      <c r="L582" s="608">
        <v>7951.4566929133871</v>
      </c>
      <c r="M582" s="409">
        <v>4644.606299212599</v>
      </c>
      <c r="N582" s="409">
        <v>12596.062992125984</v>
      </c>
      <c r="O582" s="410" t="s">
        <v>7797</v>
      </c>
      <c r="P582" s="406">
        <v>579</v>
      </c>
      <c r="Q582" s="470" t="s">
        <v>1224</v>
      </c>
      <c r="R582" s="460" t="s">
        <v>1225</v>
      </c>
      <c r="S582" s="270" t="s">
        <v>7</v>
      </c>
      <c r="U582" s="471"/>
      <c r="V582" s="471"/>
      <c r="W582" s="471" t="s">
        <v>1225</v>
      </c>
      <c r="X582" s="471">
        <v>0</v>
      </c>
      <c r="Y582" s="206"/>
      <c r="Z582" s="206"/>
    </row>
    <row r="583" spans="1:26">
      <c r="A583" s="406">
        <v>580</v>
      </c>
      <c r="B583" s="613" t="s">
        <v>5128</v>
      </c>
      <c r="C583" s="288" t="s">
        <v>1226</v>
      </c>
      <c r="D583" s="414" t="s">
        <v>3819</v>
      </c>
      <c r="E583" s="407" t="s">
        <v>9444</v>
      </c>
      <c r="F583" s="483" t="s">
        <v>5130</v>
      </c>
      <c r="G583" s="483" t="s">
        <v>5805</v>
      </c>
      <c r="H583" s="411" t="s">
        <v>5129</v>
      </c>
      <c r="I583" s="411" t="s">
        <v>5216</v>
      </c>
      <c r="J583" s="411"/>
      <c r="K583" s="411"/>
      <c r="L583" s="608">
        <v>7951.7874015748039</v>
      </c>
      <c r="M583" s="409">
        <v>4644.8582677165359</v>
      </c>
      <c r="N583" s="409">
        <v>12596.645669291338</v>
      </c>
      <c r="O583" s="410" t="s">
        <v>7798</v>
      </c>
      <c r="P583" s="406">
        <v>580</v>
      </c>
      <c r="Q583" s="470" t="s">
        <v>1226</v>
      </c>
      <c r="R583" s="460" t="s">
        <v>1227</v>
      </c>
      <c r="S583" s="270" t="s">
        <v>7</v>
      </c>
      <c r="U583" s="471"/>
      <c r="V583" s="471"/>
      <c r="W583" s="471" t="s">
        <v>1227</v>
      </c>
      <c r="X583" s="471">
        <v>1</v>
      </c>
      <c r="Y583" s="206"/>
      <c r="Z583" s="206"/>
    </row>
    <row r="584" spans="1:26">
      <c r="A584" s="406">
        <v>581</v>
      </c>
      <c r="B584" s="613" t="s">
        <v>5125</v>
      </c>
      <c r="C584" s="288" t="s">
        <v>1228</v>
      </c>
      <c r="D584" s="414" t="s">
        <v>3821</v>
      </c>
      <c r="E584" s="407" t="s">
        <v>9445</v>
      </c>
      <c r="F584" s="483" t="s">
        <v>5127</v>
      </c>
      <c r="G584" s="483" t="s">
        <v>5806</v>
      </c>
      <c r="H584" s="411" t="s">
        <v>5126</v>
      </c>
      <c r="I584" s="411" t="s">
        <v>5217</v>
      </c>
      <c r="J584" s="411"/>
      <c r="K584" s="411"/>
      <c r="L584" s="608">
        <v>7951.4566929133871</v>
      </c>
      <c r="M584" s="409">
        <v>4644.6968503937014</v>
      </c>
      <c r="N584" s="409">
        <v>12596.153543307089</v>
      </c>
      <c r="O584" s="410" t="s">
        <v>7798</v>
      </c>
      <c r="P584" s="406">
        <v>581</v>
      </c>
      <c r="Q584" s="470" t="s">
        <v>1228</v>
      </c>
      <c r="R584" s="460" t="s">
        <v>1229</v>
      </c>
      <c r="S584" s="270" t="s">
        <v>7</v>
      </c>
      <c r="U584" s="471"/>
      <c r="V584" s="471"/>
      <c r="W584" s="471" t="s">
        <v>1229</v>
      </c>
      <c r="X584" s="471">
        <v>1</v>
      </c>
      <c r="Y584" s="206"/>
      <c r="Z584" s="206"/>
    </row>
    <row r="585" spans="1:26">
      <c r="A585" s="406">
        <v>582</v>
      </c>
      <c r="B585" s="613" t="s">
        <v>5074</v>
      </c>
      <c r="C585" s="288" t="s">
        <v>1230</v>
      </c>
      <c r="D585" s="414" t="s">
        <v>3758</v>
      </c>
      <c r="E585" s="407" t="s">
        <v>9446</v>
      </c>
      <c r="F585" s="483" t="s">
        <v>5179</v>
      </c>
      <c r="G585" s="411" t="s">
        <v>5075</v>
      </c>
      <c r="H585" s="411" t="s">
        <v>5180</v>
      </c>
      <c r="I585" s="411"/>
      <c r="J585" s="411"/>
      <c r="K585" s="411"/>
      <c r="L585" s="608">
        <v>17597.688976377951</v>
      </c>
      <c r="M585" s="409">
        <v>4644.5078740157487</v>
      </c>
      <c r="N585" s="409">
        <v>22242.196850393699</v>
      </c>
      <c r="O585" s="410" t="s">
        <v>7787</v>
      </c>
      <c r="P585" s="406">
        <v>582</v>
      </c>
      <c r="Q585" s="470" t="s">
        <v>1230</v>
      </c>
      <c r="R585" s="460" t="s">
        <v>1231</v>
      </c>
      <c r="S585" s="270" t="s">
        <v>7</v>
      </c>
      <c r="U585" s="471"/>
      <c r="V585" s="471"/>
      <c r="W585" s="471" t="s">
        <v>1231</v>
      </c>
      <c r="X585" s="471">
        <v>0</v>
      </c>
      <c r="Y585" s="206"/>
      <c r="Z585" s="206"/>
    </row>
    <row r="586" spans="1:26">
      <c r="A586" s="406">
        <v>583</v>
      </c>
      <c r="B586" s="613" t="s">
        <v>5071</v>
      </c>
      <c r="C586" s="288" t="s">
        <v>1232</v>
      </c>
      <c r="D586" s="414" t="s">
        <v>3759</v>
      </c>
      <c r="E586" s="407" t="s">
        <v>9447</v>
      </c>
      <c r="F586" s="483" t="s">
        <v>5182</v>
      </c>
      <c r="G586" s="411" t="s">
        <v>5072</v>
      </c>
      <c r="H586" s="411" t="s">
        <v>5181</v>
      </c>
      <c r="I586" s="411"/>
      <c r="J586" s="411"/>
      <c r="K586" s="411"/>
      <c r="L586" s="608">
        <v>17597.366141732284</v>
      </c>
      <c r="M586" s="409">
        <v>4644.822834645669</v>
      </c>
      <c r="N586" s="409">
        <v>22242.188976377955</v>
      </c>
      <c r="O586" s="410" t="s">
        <v>7787</v>
      </c>
      <c r="P586" s="406">
        <v>583</v>
      </c>
      <c r="Q586" s="470" t="s">
        <v>1232</v>
      </c>
      <c r="R586" s="460" t="s">
        <v>1233</v>
      </c>
      <c r="S586" s="270" t="s">
        <v>7</v>
      </c>
      <c r="U586" s="471"/>
      <c r="V586" s="471"/>
      <c r="W586" s="471" t="s">
        <v>1233</v>
      </c>
      <c r="X586" s="471">
        <v>0</v>
      </c>
      <c r="Y586" s="206"/>
      <c r="Z586" s="206"/>
    </row>
    <row r="587" spans="1:26">
      <c r="A587" s="406">
        <v>584</v>
      </c>
      <c r="B587" s="613" t="s">
        <v>5074</v>
      </c>
      <c r="C587" s="288" t="s">
        <v>1234</v>
      </c>
      <c r="D587" s="414" t="s">
        <v>3758</v>
      </c>
      <c r="E587" s="407" t="s">
        <v>9446</v>
      </c>
      <c r="F587" s="483" t="s">
        <v>5076</v>
      </c>
      <c r="G587" s="483" t="s">
        <v>5823</v>
      </c>
      <c r="H587" s="411" t="s">
        <v>5075</v>
      </c>
      <c r="I587" s="411" t="s">
        <v>5180</v>
      </c>
      <c r="J587" s="411"/>
      <c r="K587" s="411"/>
      <c r="L587" s="608">
        <v>17597.688976377951</v>
      </c>
      <c r="M587" s="409">
        <v>4644.4094488188975</v>
      </c>
      <c r="N587" s="409">
        <v>22242.098425196851</v>
      </c>
      <c r="O587" s="410" t="s">
        <v>7787</v>
      </c>
      <c r="P587" s="406">
        <v>584</v>
      </c>
      <c r="Q587" s="470" t="s">
        <v>1234</v>
      </c>
      <c r="R587" s="460" t="s">
        <v>1235</v>
      </c>
      <c r="S587" s="270" t="s">
        <v>7</v>
      </c>
      <c r="U587" s="471"/>
      <c r="V587" s="471"/>
      <c r="W587" s="471" t="s">
        <v>1235</v>
      </c>
      <c r="X587" s="471">
        <v>1</v>
      </c>
      <c r="Y587" s="206"/>
      <c r="Z587" s="206"/>
    </row>
    <row r="588" spans="1:26">
      <c r="A588" s="406">
        <v>585</v>
      </c>
      <c r="B588" s="613" t="s">
        <v>5071</v>
      </c>
      <c r="C588" s="288" t="s">
        <v>1236</v>
      </c>
      <c r="D588" s="414" t="s">
        <v>3759</v>
      </c>
      <c r="E588" s="407" t="s">
        <v>9447</v>
      </c>
      <c r="F588" s="483" t="s">
        <v>5073</v>
      </c>
      <c r="G588" s="483" t="s">
        <v>5824</v>
      </c>
      <c r="H588" s="411" t="s">
        <v>5072</v>
      </c>
      <c r="I588" s="411" t="s">
        <v>5181</v>
      </c>
      <c r="J588" s="411"/>
      <c r="K588" s="411"/>
      <c r="L588" s="608">
        <v>17597.366141732284</v>
      </c>
      <c r="M588" s="409">
        <v>4644.9606299212601</v>
      </c>
      <c r="N588" s="409">
        <v>22242.326771653545</v>
      </c>
      <c r="O588" s="410" t="s">
        <v>7787</v>
      </c>
      <c r="P588" s="406">
        <v>585</v>
      </c>
      <c r="Q588" s="470" t="s">
        <v>1236</v>
      </c>
      <c r="R588" s="460" t="s">
        <v>1237</v>
      </c>
      <c r="S588" s="270" t="s">
        <v>7</v>
      </c>
      <c r="U588" s="471"/>
      <c r="V588" s="471"/>
      <c r="W588" s="471" t="s">
        <v>1237</v>
      </c>
      <c r="X588" s="471">
        <v>1</v>
      </c>
      <c r="Y588" s="206"/>
      <c r="Z588" s="206"/>
    </row>
    <row r="589" spans="1:26">
      <c r="A589" s="406">
        <v>586</v>
      </c>
      <c r="B589" s="613" t="s">
        <v>5068</v>
      </c>
      <c r="C589" s="288" t="s">
        <v>1238</v>
      </c>
      <c r="D589" s="414" t="s">
        <v>3765</v>
      </c>
      <c r="E589" s="407" t="s">
        <v>9448</v>
      </c>
      <c r="F589" s="483" t="s">
        <v>5175</v>
      </c>
      <c r="G589" s="411" t="s">
        <v>5069</v>
      </c>
      <c r="H589" s="411" t="s">
        <v>5176</v>
      </c>
      <c r="I589" s="411"/>
      <c r="J589" s="411"/>
      <c r="K589" s="411"/>
      <c r="L589" s="608">
        <v>17124.905511811023</v>
      </c>
      <c r="M589" s="409">
        <v>4644.7204724409448</v>
      </c>
      <c r="N589" s="409">
        <v>21769.625984251968</v>
      </c>
      <c r="O589" s="410" t="s">
        <v>7749</v>
      </c>
      <c r="P589" s="406">
        <v>586</v>
      </c>
      <c r="Q589" s="470" t="s">
        <v>1238</v>
      </c>
      <c r="R589" s="475" t="s">
        <v>1239</v>
      </c>
      <c r="S589" s="270" t="s">
        <v>7</v>
      </c>
      <c r="U589" s="471"/>
      <c r="V589" s="471"/>
      <c r="W589" s="471"/>
      <c r="X589" s="471">
        <v>0</v>
      </c>
      <c r="Y589" s="206"/>
      <c r="Z589" s="206"/>
    </row>
    <row r="590" spans="1:26">
      <c r="A590" s="406">
        <v>587</v>
      </c>
      <c r="B590" s="613" t="s">
        <v>5065</v>
      </c>
      <c r="C590" s="288" t="s">
        <v>1240</v>
      </c>
      <c r="D590" s="414" t="s">
        <v>3767</v>
      </c>
      <c r="E590" s="407" t="s">
        <v>9449</v>
      </c>
      <c r="F590" s="483" t="s">
        <v>5178</v>
      </c>
      <c r="G590" s="411" t="s">
        <v>5066</v>
      </c>
      <c r="H590" s="411" t="s">
        <v>5177</v>
      </c>
      <c r="I590" s="411"/>
      <c r="J590" s="411"/>
      <c r="K590" s="411"/>
      <c r="L590" s="608">
        <v>17124.901574803152</v>
      </c>
      <c r="M590" s="409">
        <v>4644.7007874015744</v>
      </c>
      <c r="N590" s="409">
        <v>21769.602362204725</v>
      </c>
      <c r="O590" s="410" t="s">
        <v>7749</v>
      </c>
      <c r="P590" s="406">
        <v>587</v>
      </c>
      <c r="Q590" s="470" t="s">
        <v>1240</v>
      </c>
      <c r="R590" s="475" t="s">
        <v>1241</v>
      </c>
      <c r="S590" s="270" t="s">
        <v>7</v>
      </c>
      <c r="U590" s="471"/>
      <c r="V590" s="471"/>
      <c r="W590" s="471"/>
      <c r="X590" s="471">
        <v>0</v>
      </c>
      <c r="Y590" s="206"/>
      <c r="Z590" s="206"/>
    </row>
    <row r="591" spans="1:26">
      <c r="A591" s="406">
        <v>588</v>
      </c>
      <c r="B591" s="613" t="s">
        <v>5068</v>
      </c>
      <c r="C591" s="288" t="s">
        <v>1242</v>
      </c>
      <c r="D591" s="414" t="s">
        <v>3765</v>
      </c>
      <c r="E591" s="407" t="s">
        <v>9448</v>
      </c>
      <c r="F591" s="483" t="s">
        <v>5070</v>
      </c>
      <c r="G591" s="483" t="s">
        <v>5825</v>
      </c>
      <c r="H591" s="411" t="s">
        <v>5069</v>
      </c>
      <c r="I591" s="411" t="s">
        <v>5176</v>
      </c>
      <c r="J591" s="411"/>
      <c r="K591" s="411"/>
      <c r="L591" s="608">
        <v>17124.905511811023</v>
      </c>
      <c r="M591" s="409">
        <v>4645.1102362204729</v>
      </c>
      <c r="N591" s="409">
        <v>21770.015748031496</v>
      </c>
      <c r="O591" s="410" t="s">
        <v>7749</v>
      </c>
      <c r="P591" s="406">
        <v>588</v>
      </c>
      <c r="Q591" s="470" t="s">
        <v>1242</v>
      </c>
      <c r="R591" s="475" t="s">
        <v>1243</v>
      </c>
      <c r="S591" s="270" t="s">
        <v>7</v>
      </c>
      <c r="U591" s="471"/>
      <c r="V591" s="471"/>
      <c r="W591" s="471"/>
      <c r="X591" s="471">
        <v>1</v>
      </c>
      <c r="Y591" s="206"/>
      <c r="Z591" s="206"/>
    </row>
    <row r="592" spans="1:26">
      <c r="A592" s="406">
        <v>589</v>
      </c>
      <c r="B592" s="613" t="s">
        <v>5065</v>
      </c>
      <c r="C592" s="288" t="s">
        <v>1244</v>
      </c>
      <c r="D592" s="414" t="s">
        <v>3767</v>
      </c>
      <c r="E592" s="407" t="s">
        <v>9449</v>
      </c>
      <c r="F592" s="483" t="s">
        <v>5067</v>
      </c>
      <c r="G592" s="483" t="s">
        <v>5826</v>
      </c>
      <c r="H592" s="411" t="s">
        <v>5066</v>
      </c>
      <c r="I592" s="411" t="s">
        <v>5177</v>
      </c>
      <c r="J592" s="411"/>
      <c r="K592" s="411"/>
      <c r="L592" s="608">
        <v>17124.901574803152</v>
      </c>
      <c r="M592" s="409">
        <v>4644.4842519685044</v>
      </c>
      <c r="N592" s="409">
        <v>21769.385826771657</v>
      </c>
      <c r="O592" s="410" t="s">
        <v>7749</v>
      </c>
      <c r="P592" s="406">
        <v>589</v>
      </c>
      <c r="Q592" s="470" t="s">
        <v>1244</v>
      </c>
      <c r="R592" s="475" t="s">
        <v>1245</v>
      </c>
      <c r="S592" s="270" t="s">
        <v>7</v>
      </c>
      <c r="U592" s="471"/>
      <c r="V592" s="471"/>
      <c r="W592" s="471"/>
      <c r="X592" s="471">
        <v>1</v>
      </c>
      <c r="Y592" s="206"/>
      <c r="Z592" s="206"/>
    </row>
    <row r="593" spans="1:26">
      <c r="A593" s="406">
        <v>590</v>
      </c>
      <c r="B593" s="613" t="s">
        <v>5062</v>
      </c>
      <c r="C593" s="288" t="s">
        <v>1246</v>
      </c>
      <c r="D593" s="414" t="s">
        <v>3770</v>
      </c>
      <c r="E593" s="407" t="s">
        <v>9450</v>
      </c>
      <c r="F593" s="483" t="s">
        <v>5171</v>
      </c>
      <c r="G593" s="411" t="s">
        <v>5063</v>
      </c>
      <c r="H593" s="411" t="s">
        <v>5172</v>
      </c>
      <c r="I593" s="411"/>
      <c r="J593" s="411"/>
      <c r="K593" s="411"/>
      <c r="L593" s="608">
        <v>13976.086614173228</v>
      </c>
      <c r="M593" s="409">
        <v>4644.8700787401576</v>
      </c>
      <c r="N593" s="409">
        <v>18620.956692913383</v>
      </c>
      <c r="O593" s="410" t="s">
        <v>7799</v>
      </c>
      <c r="P593" s="406">
        <v>590</v>
      </c>
      <c r="Q593" s="470" t="s">
        <v>1246</v>
      </c>
      <c r="R593" s="475" t="s">
        <v>1247</v>
      </c>
      <c r="S593" s="270" t="s">
        <v>7</v>
      </c>
      <c r="U593" s="471"/>
      <c r="V593" s="471"/>
      <c r="W593" s="471"/>
      <c r="X593" s="471">
        <v>0</v>
      </c>
      <c r="Y593" s="206"/>
      <c r="Z593" s="206"/>
    </row>
    <row r="594" spans="1:26">
      <c r="A594" s="406">
        <v>591</v>
      </c>
      <c r="B594" s="613" t="s">
        <v>5059</v>
      </c>
      <c r="C594" s="288" t="s">
        <v>1248</v>
      </c>
      <c r="D594" s="414" t="s">
        <v>3771</v>
      </c>
      <c r="E594" s="407" t="s">
        <v>9451</v>
      </c>
      <c r="F594" s="483" t="s">
        <v>5174</v>
      </c>
      <c r="G594" s="411" t="s">
        <v>5060</v>
      </c>
      <c r="H594" s="411" t="s">
        <v>5173</v>
      </c>
      <c r="I594" s="411"/>
      <c r="J594" s="411"/>
      <c r="K594" s="411"/>
      <c r="L594" s="608">
        <v>13976.062992125986</v>
      </c>
      <c r="M594" s="409">
        <v>4644.9881889763783</v>
      </c>
      <c r="N594" s="409">
        <v>18621.051181102361</v>
      </c>
      <c r="O594" s="410" t="s">
        <v>7799</v>
      </c>
      <c r="P594" s="406">
        <v>591</v>
      </c>
      <c r="Q594" s="470" t="s">
        <v>1248</v>
      </c>
      <c r="R594" s="475" t="s">
        <v>1249</v>
      </c>
      <c r="S594" s="270" t="s">
        <v>7</v>
      </c>
      <c r="U594" s="471"/>
      <c r="V594" s="471"/>
      <c r="W594" s="471"/>
      <c r="X594" s="471">
        <v>0</v>
      </c>
      <c r="Y594" s="206"/>
      <c r="Z594" s="206"/>
    </row>
    <row r="595" spans="1:26">
      <c r="A595" s="406">
        <v>592</v>
      </c>
      <c r="B595" s="613" t="s">
        <v>5062</v>
      </c>
      <c r="C595" s="288" t="s">
        <v>1250</v>
      </c>
      <c r="D595" s="414" t="s">
        <v>3770</v>
      </c>
      <c r="E595" s="407" t="s">
        <v>9450</v>
      </c>
      <c r="F595" s="483" t="s">
        <v>5064</v>
      </c>
      <c r="G595" s="483" t="s">
        <v>5827</v>
      </c>
      <c r="H595" s="411" t="s">
        <v>5063</v>
      </c>
      <c r="I595" s="411" t="s">
        <v>5172</v>
      </c>
      <c r="J595" s="411"/>
      <c r="K595" s="411"/>
      <c r="L595" s="608">
        <v>13976.086614173228</v>
      </c>
      <c r="M595" s="409">
        <v>4643.9173228346463</v>
      </c>
      <c r="N595" s="409">
        <v>18620.003937007874</v>
      </c>
      <c r="O595" s="410" t="s">
        <v>7800</v>
      </c>
      <c r="P595" s="406">
        <v>592</v>
      </c>
      <c r="Q595" s="470" t="s">
        <v>1250</v>
      </c>
      <c r="R595" s="475" t="s">
        <v>1251</v>
      </c>
      <c r="S595" s="270" t="s">
        <v>7</v>
      </c>
      <c r="U595" s="471"/>
      <c r="V595" s="471"/>
      <c r="W595" s="471"/>
      <c r="X595" s="471">
        <v>1</v>
      </c>
      <c r="Y595" s="206"/>
      <c r="Z595" s="206"/>
    </row>
    <row r="596" spans="1:26">
      <c r="A596" s="406">
        <v>593</v>
      </c>
      <c r="B596" s="613" t="s">
        <v>5059</v>
      </c>
      <c r="C596" s="288" t="s">
        <v>1252</v>
      </c>
      <c r="D596" s="414" t="s">
        <v>3771</v>
      </c>
      <c r="E596" s="407" t="s">
        <v>9451</v>
      </c>
      <c r="F596" s="483" t="s">
        <v>5061</v>
      </c>
      <c r="G596" s="483" t="s">
        <v>5828</v>
      </c>
      <c r="H596" s="411" t="s">
        <v>5060</v>
      </c>
      <c r="I596" s="411" t="s">
        <v>5173</v>
      </c>
      <c r="J596" s="411"/>
      <c r="K596" s="411"/>
      <c r="L596" s="608">
        <v>13976.062992125986</v>
      </c>
      <c r="M596" s="409">
        <v>4643.818897637796</v>
      </c>
      <c r="N596" s="409">
        <v>18619.881889763783</v>
      </c>
      <c r="O596" s="410" t="s">
        <v>7800</v>
      </c>
      <c r="P596" s="406">
        <v>593</v>
      </c>
      <c r="Q596" s="470" t="s">
        <v>1252</v>
      </c>
      <c r="R596" s="475" t="s">
        <v>1253</v>
      </c>
      <c r="S596" s="270" t="s">
        <v>7</v>
      </c>
      <c r="U596" s="471"/>
      <c r="V596" s="471"/>
      <c r="W596" s="471"/>
      <c r="X596" s="471">
        <v>1</v>
      </c>
      <c r="Y596" s="206"/>
      <c r="Z596" s="206"/>
    </row>
    <row r="597" spans="1:26">
      <c r="A597" s="406">
        <v>594</v>
      </c>
      <c r="B597" s="613" t="s">
        <v>5122</v>
      </c>
      <c r="C597" s="288" t="s">
        <v>1254</v>
      </c>
      <c r="D597" s="414" t="s">
        <v>3833</v>
      </c>
      <c r="E597" s="407" t="s">
        <v>9452</v>
      </c>
      <c r="F597" s="483" t="s">
        <v>5211</v>
      </c>
      <c r="G597" s="411" t="s">
        <v>5123</v>
      </c>
      <c r="H597" s="411" t="s">
        <v>5212</v>
      </c>
      <c r="I597" s="411"/>
      <c r="J597" s="411"/>
      <c r="K597" s="411"/>
      <c r="L597" s="608">
        <v>8149.287401574803</v>
      </c>
      <c r="M597" s="409">
        <v>4645.1259842519685</v>
      </c>
      <c r="N597" s="409">
        <v>12794.413385826772</v>
      </c>
      <c r="O597" s="410" t="s">
        <v>7796</v>
      </c>
      <c r="P597" s="406">
        <v>594</v>
      </c>
      <c r="Q597" s="470" t="s">
        <v>1254</v>
      </c>
      <c r="R597" s="460" t="s">
        <v>1255</v>
      </c>
      <c r="S597" s="270" t="s">
        <v>7</v>
      </c>
      <c r="U597" s="471"/>
      <c r="V597" s="471"/>
      <c r="W597" s="471" t="s">
        <v>1255</v>
      </c>
      <c r="X597" s="471">
        <v>0</v>
      </c>
      <c r="Y597" s="206"/>
      <c r="Z597" s="206"/>
    </row>
    <row r="598" spans="1:26">
      <c r="A598" s="406">
        <v>595</v>
      </c>
      <c r="B598" s="613" t="s">
        <v>5119</v>
      </c>
      <c r="C598" s="288" t="s">
        <v>1256</v>
      </c>
      <c r="D598" s="414" t="s">
        <v>3831</v>
      </c>
      <c r="E598" s="407" t="s">
        <v>9453</v>
      </c>
      <c r="F598" s="483" t="s">
        <v>5214</v>
      </c>
      <c r="G598" s="411" t="s">
        <v>5120</v>
      </c>
      <c r="H598" s="411" t="s">
        <v>5213</v>
      </c>
      <c r="I598" s="411"/>
      <c r="J598" s="411"/>
      <c r="K598" s="411"/>
      <c r="L598" s="608">
        <v>8149.0551181102364</v>
      </c>
      <c r="M598" s="409">
        <v>4645.2795275590552</v>
      </c>
      <c r="N598" s="409">
        <v>12794.334645669291</v>
      </c>
      <c r="O598" s="410" t="s">
        <v>7796</v>
      </c>
      <c r="P598" s="406">
        <v>595</v>
      </c>
      <c r="Q598" s="470" t="s">
        <v>1256</v>
      </c>
      <c r="R598" s="460" t="s">
        <v>1257</v>
      </c>
      <c r="S598" s="270" t="s">
        <v>7</v>
      </c>
      <c r="U598" s="471"/>
      <c r="V598" s="471"/>
      <c r="W598" s="471" t="s">
        <v>1257</v>
      </c>
      <c r="X598" s="471">
        <v>0</v>
      </c>
      <c r="Y598" s="206"/>
      <c r="Z598" s="206"/>
    </row>
    <row r="599" spans="1:26">
      <c r="A599" s="406">
        <v>596</v>
      </c>
      <c r="B599" s="613" t="s">
        <v>5122</v>
      </c>
      <c r="C599" s="288" t="s">
        <v>1258</v>
      </c>
      <c r="D599" s="414" t="s">
        <v>3833</v>
      </c>
      <c r="E599" s="407" t="s">
        <v>9452</v>
      </c>
      <c r="F599" s="483" t="s">
        <v>5124</v>
      </c>
      <c r="G599" s="483" t="s">
        <v>5807</v>
      </c>
      <c r="H599" s="411" t="s">
        <v>5123</v>
      </c>
      <c r="I599" s="411" t="s">
        <v>5212</v>
      </c>
      <c r="J599" s="411"/>
      <c r="K599" s="411"/>
      <c r="L599" s="608">
        <v>8149.287401574803</v>
      </c>
      <c r="M599" s="409">
        <v>4644.2755905511813</v>
      </c>
      <c r="N599" s="409">
        <v>12793.562992125984</v>
      </c>
      <c r="O599" s="410" t="s">
        <v>7769</v>
      </c>
      <c r="P599" s="406">
        <v>596</v>
      </c>
      <c r="Q599" s="470" t="s">
        <v>1258</v>
      </c>
      <c r="R599" s="460" t="s">
        <v>1259</v>
      </c>
      <c r="S599" s="270" t="s">
        <v>7</v>
      </c>
      <c r="U599" s="471"/>
      <c r="V599" s="471"/>
      <c r="W599" s="471" t="s">
        <v>1259</v>
      </c>
      <c r="X599" s="471">
        <v>1</v>
      </c>
      <c r="Y599" s="206"/>
      <c r="Z599" s="206"/>
    </row>
    <row r="600" spans="1:26">
      <c r="A600" s="406">
        <v>597</v>
      </c>
      <c r="B600" s="613" t="s">
        <v>5119</v>
      </c>
      <c r="C600" s="288" t="s">
        <v>1260</v>
      </c>
      <c r="D600" s="414" t="s">
        <v>3831</v>
      </c>
      <c r="E600" s="407" t="s">
        <v>9453</v>
      </c>
      <c r="F600" s="483" t="s">
        <v>5121</v>
      </c>
      <c r="G600" s="483" t="s">
        <v>5808</v>
      </c>
      <c r="H600" s="411" t="s">
        <v>5120</v>
      </c>
      <c r="I600" s="411" t="s">
        <v>5213</v>
      </c>
      <c r="J600" s="411"/>
      <c r="K600" s="411"/>
      <c r="L600" s="608">
        <v>8149.0551181102364</v>
      </c>
      <c r="M600" s="409">
        <v>4645.251968503937</v>
      </c>
      <c r="N600" s="409">
        <v>12794.307086614173</v>
      </c>
      <c r="O600" s="410" t="s">
        <v>7769</v>
      </c>
      <c r="P600" s="406">
        <v>597</v>
      </c>
      <c r="Q600" s="470" t="s">
        <v>1260</v>
      </c>
      <c r="R600" s="460" t="s">
        <v>1261</v>
      </c>
      <c r="S600" s="270" t="s">
        <v>7</v>
      </c>
      <c r="U600" s="471"/>
      <c r="V600" s="471"/>
      <c r="W600" s="471" t="s">
        <v>1261</v>
      </c>
      <c r="X600" s="471">
        <v>1</v>
      </c>
      <c r="Y600" s="206"/>
      <c r="Z600" s="206"/>
    </row>
    <row r="601" spans="1:26">
      <c r="A601" s="406">
        <v>598</v>
      </c>
      <c r="B601" s="613" t="s">
        <v>5116</v>
      </c>
      <c r="C601" s="288" t="s">
        <v>1262</v>
      </c>
      <c r="D601" s="414" t="s">
        <v>3826</v>
      </c>
      <c r="E601" s="407" t="s">
        <v>9454</v>
      </c>
      <c r="F601" s="483" t="s">
        <v>5207</v>
      </c>
      <c r="G601" s="411" t="s">
        <v>5117</v>
      </c>
      <c r="H601" s="411" t="s">
        <v>5208</v>
      </c>
      <c r="I601" s="411"/>
      <c r="J601" s="411"/>
      <c r="K601" s="411"/>
      <c r="L601" s="608">
        <v>7992.0944881889764</v>
      </c>
      <c r="M601" s="409">
        <v>4644.7440944881891</v>
      </c>
      <c r="N601" s="409">
        <v>12636.838582677166</v>
      </c>
      <c r="O601" s="410" t="s">
        <v>7770</v>
      </c>
      <c r="P601" s="406">
        <v>598</v>
      </c>
      <c r="Q601" s="470" t="s">
        <v>1262</v>
      </c>
      <c r="R601" s="460" t="s">
        <v>1263</v>
      </c>
      <c r="S601" s="270" t="s">
        <v>7</v>
      </c>
      <c r="U601" s="471"/>
      <c r="V601" s="471"/>
      <c r="W601" s="471" t="s">
        <v>1263</v>
      </c>
      <c r="X601" s="471">
        <v>0</v>
      </c>
      <c r="Y601" s="206"/>
      <c r="Z601" s="206"/>
    </row>
    <row r="602" spans="1:26">
      <c r="A602" s="406">
        <v>599</v>
      </c>
      <c r="B602" s="613" t="s">
        <v>5113</v>
      </c>
      <c r="C602" s="288" t="s">
        <v>1264</v>
      </c>
      <c r="D602" s="414" t="s">
        <v>3828</v>
      </c>
      <c r="E602" s="407" t="s">
        <v>9455</v>
      </c>
      <c r="F602" s="483" t="s">
        <v>5210</v>
      </c>
      <c r="G602" s="411" t="s">
        <v>5114</v>
      </c>
      <c r="H602" s="411" t="s">
        <v>5209</v>
      </c>
      <c r="I602" s="411"/>
      <c r="J602" s="411"/>
      <c r="K602" s="411"/>
      <c r="L602" s="608">
        <v>7991.8582677165359</v>
      </c>
      <c r="M602" s="409">
        <v>4644.6811023622049</v>
      </c>
      <c r="N602" s="409">
        <v>12636.539370078741</v>
      </c>
      <c r="O602" s="410" t="s">
        <v>7770</v>
      </c>
      <c r="P602" s="406">
        <v>599</v>
      </c>
      <c r="Q602" s="470" t="s">
        <v>1264</v>
      </c>
      <c r="R602" s="460" t="s">
        <v>1265</v>
      </c>
      <c r="S602" s="270" t="s">
        <v>7</v>
      </c>
      <c r="U602" s="471"/>
      <c r="V602" s="471"/>
      <c r="W602" s="471" t="s">
        <v>1265</v>
      </c>
      <c r="X602" s="471">
        <v>0</v>
      </c>
      <c r="Y602" s="206"/>
      <c r="Z602" s="206"/>
    </row>
    <row r="603" spans="1:26">
      <c r="A603" s="406">
        <v>600</v>
      </c>
      <c r="B603" s="613" t="s">
        <v>5116</v>
      </c>
      <c r="C603" s="288" t="s">
        <v>1266</v>
      </c>
      <c r="D603" s="414" t="s">
        <v>3826</v>
      </c>
      <c r="E603" s="407" t="s">
        <v>9454</v>
      </c>
      <c r="F603" s="483" t="s">
        <v>5118</v>
      </c>
      <c r="G603" s="483" t="s">
        <v>5809</v>
      </c>
      <c r="H603" s="411" t="s">
        <v>5117</v>
      </c>
      <c r="I603" s="411" t="s">
        <v>5208</v>
      </c>
      <c r="J603" s="411"/>
      <c r="K603" s="411"/>
      <c r="L603" s="608">
        <v>7992.0944881889764</v>
      </c>
      <c r="M603" s="409">
        <v>4644.6141732283468</v>
      </c>
      <c r="N603" s="409">
        <v>12636.708661417322</v>
      </c>
      <c r="O603" s="410" t="s">
        <v>7769</v>
      </c>
      <c r="P603" s="406">
        <v>600</v>
      </c>
      <c r="Q603" s="470" t="s">
        <v>1266</v>
      </c>
      <c r="R603" s="460" t="s">
        <v>1267</v>
      </c>
      <c r="S603" s="270" t="s">
        <v>7</v>
      </c>
      <c r="U603" s="471"/>
      <c r="V603" s="471"/>
      <c r="W603" s="471" t="s">
        <v>1267</v>
      </c>
      <c r="X603" s="471">
        <v>1</v>
      </c>
      <c r="Y603" s="206"/>
      <c r="Z603" s="206"/>
    </row>
    <row r="604" spans="1:26">
      <c r="A604" s="406">
        <v>601</v>
      </c>
      <c r="B604" s="613" t="s">
        <v>5113</v>
      </c>
      <c r="C604" s="288" t="s">
        <v>1268</v>
      </c>
      <c r="D604" s="414" t="s">
        <v>3828</v>
      </c>
      <c r="E604" s="407" t="s">
        <v>9455</v>
      </c>
      <c r="F604" s="483" t="s">
        <v>5115</v>
      </c>
      <c r="G604" s="483" t="s">
        <v>5810</v>
      </c>
      <c r="H604" s="411" t="s">
        <v>5114</v>
      </c>
      <c r="I604" s="411" t="s">
        <v>5209</v>
      </c>
      <c r="J604" s="411"/>
      <c r="K604" s="411"/>
      <c r="L604" s="608">
        <v>7991.8582677165359</v>
      </c>
      <c r="M604" s="409">
        <v>4644.7244094488187</v>
      </c>
      <c r="N604" s="409">
        <v>12636.582677165356</v>
      </c>
      <c r="O604" s="410" t="s">
        <v>7769</v>
      </c>
      <c r="P604" s="406">
        <v>601</v>
      </c>
      <c r="Q604" s="470" t="s">
        <v>1268</v>
      </c>
      <c r="R604" s="460" t="s">
        <v>1269</v>
      </c>
      <c r="S604" s="270" t="s">
        <v>7</v>
      </c>
      <c r="U604" s="471"/>
      <c r="V604" s="471"/>
      <c r="W604" s="471" t="s">
        <v>1269</v>
      </c>
      <c r="X604" s="471">
        <v>1</v>
      </c>
      <c r="Y604" s="206"/>
      <c r="Z604" s="206"/>
    </row>
    <row r="605" spans="1:26">
      <c r="A605" s="406">
        <v>602</v>
      </c>
      <c r="B605" s="613" t="s">
        <v>5110</v>
      </c>
      <c r="C605" s="288" t="s">
        <v>1270</v>
      </c>
      <c r="D605" s="414" t="s">
        <v>3822</v>
      </c>
      <c r="E605" s="407" t="s">
        <v>9456</v>
      </c>
      <c r="F605" s="483" t="s">
        <v>5203</v>
      </c>
      <c r="G605" s="411" t="s">
        <v>5111</v>
      </c>
      <c r="H605" s="411" t="s">
        <v>5204</v>
      </c>
      <c r="I605" s="411"/>
      <c r="J605" s="411"/>
      <c r="K605" s="411"/>
      <c r="L605" s="608">
        <v>8897.0551181102364</v>
      </c>
      <c r="M605" s="409">
        <v>4645.3858267716541</v>
      </c>
      <c r="N605" s="409">
        <v>13542.440944881891</v>
      </c>
      <c r="O605" s="410" t="s">
        <v>7801</v>
      </c>
      <c r="P605" s="406">
        <v>602</v>
      </c>
      <c r="Q605" s="470" t="s">
        <v>1270</v>
      </c>
      <c r="R605" s="460" t="s">
        <v>1271</v>
      </c>
      <c r="S605" s="270" t="s">
        <v>7</v>
      </c>
      <c r="U605" s="471"/>
      <c r="V605" s="471"/>
      <c r="W605" s="471" t="s">
        <v>1271</v>
      </c>
      <c r="X605" s="471">
        <v>0</v>
      </c>
      <c r="Y605" s="206"/>
      <c r="Z605" s="206"/>
    </row>
    <row r="606" spans="1:26">
      <c r="A606" s="406">
        <v>603</v>
      </c>
      <c r="B606" s="613" t="s">
        <v>5107</v>
      </c>
      <c r="C606" s="288" t="s">
        <v>1272</v>
      </c>
      <c r="D606" s="414" t="s">
        <v>3824</v>
      </c>
      <c r="E606" s="407" t="s">
        <v>9457</v>
      </c>
      <c r="F606" s="483" t="s">
        <v>5206</v>
      </c>
      <c r="G606" s="411" t="s">
        <v>5108</v>
      </c>
      <c r="H606" s="411" t="s">
        <v>5205</v>
      </c>
      <c r="I606" s="411"/>
      <c r="J606" s="411"/>
      <c r="K606" s="411"/>
      <c r="L606" s="608">
        <v>8896.3346456692925</v>
      </c>
      <c r="M606" s="409">
        <v>4644.1181102362207</v>
      </c>
      <c r="N606" s="409">
        <v>13540.452755905513</v>
      </c>
      <c r="O606" s="410" t="s">
        <v>7801</v>
      </c>
      <c r="P606" s="406">
        <v>603</v>
      </c>
      <c r="Q606" s="470" t="s">
        <v>1272</v>
      </c>
      <c r="R606" s="460" t="s">
        <v>1273</v>
      </c>
      <c r="S606" s="270" t="s">
        <v>7</v>
      </c>
      <c r="U606" s="471"/>
      <c r="V606" s="471"/>
      <c r="W606" s="471" t="s">
        <v>1273</v>
      </c>
      <c r="X606" s="471">
        <v>0</v>
      </c>
      <c r="Y606" s="206"/>
      <c r="Z606" s="206"/>
    </row>
    <row r="607" spans="1:26">
      <c r="A607" s="406">
        <v>604</v>
      </c>
      <c r="B607" s="613" t="s">
        <v>5110</v>
      </c>
      <c r="C607" s="288" t="s">
        <v>1274</v>
      </c>
      <c r="D607" s="414" t="s">
        <v>3822</v>
      </c>
      <c r="E607" s="407" t="s">
        <v>9456</v>
      </c>
      <c r="F607" s="483" t="s">
        <v>5112</v>
      </c>
      <c r="G607" s="483" t="s">
        <v>5811</v>
      </c>
      <c r="H607" s="411" t="s">
        <v>5111</v>
      </c>
      <c r="I607" s="411" t="s">
        <v>5204</v>
      </c>
      <c r="J607" s="411"/>
      <c r="K607" s="411"/>
      <c r="L607" s="608">
        <v>8897.0551181102364</v>
      </c>
      <c r="M607" s="409">
        <v>4645.1653543307093</v>
      </c>
      <c r="N607" s="409">
        <v>13542.220472440946</v>
      </c>
      <c r="O607" s="410" t="s">
        <v>7800</v>
      </c>
      <c r="P607" s="406">
        <v>604</v>
      </c>
      <c r="Q607" s="470" t="s">
        <v>1274</v>
      </c>
      <c r="R607" s="460" t="s">
        <v>1275</v>
      </c>
      <c r="S607" s="270" t="s">
        <v>7</v>
      </c>
      <c r="U607" s="471"/>
      <c r="V607" s="471"/>
      <c r="W607" s="471" t="s">
        <v>1275</v>
      </c>
      <c r="X607" s="471">
        <v>1</v>
      </c>
      <c r="Y607" s="206"/>
      <c r="Z607" s="206"/>
    </row>
    <row r="608" spans="1:26">
      <c r="A608" s="406">
        <v>605</v>
      </c>
      <c r="B608" s="613" t="s">
        <v>5107</v>
      </c>
      <c r="C608" s="288" t="s">
        <v>1276</v>
      </c>
      <c r="D608" s="414" t="s">
        <v>3824</v>
      </c>
      <c r="E608" s="407" t="s">
        <v>9457</v>
      </c>
      <c r="F608" s="483" t="s">
        <v>5109</v>
      </c>
      <c r="G608" s="483" t="s">
        <v>5812</v>
      </c>
      <c r="H608" s="411" t="s">
        <v>5108</v>
      </c>
      <c r="I608" s="411" t="s">
        <v>5205</v>
      </c>
      <c r="J608" s="411"/>
      <c r="K608" s="411"/>
      <c r="L608" s="608">
        <v>8896.3346456692925</v>
      </c>
      <c r="M608" s="409">
        <v>4644.9606299212601</v>
      </c>
      <c r="N608" s="409">
        <v>13541.295275590552</v>
      </c>
      <c r="O608" s="410" t="s">
        <v>7800</v>
      </c>
      <c r="P608" s="406">
        <v>605</v>
      </c>
      <c r="Q608" s="470" t="s">
        <v>1276</v>
      </c>
      <c r="R608" s="460" t="s">
        <v>1277</v>
      </c>
      <c r="S608" s="270" t="s">
        <v>7</v>
      </c>
      <c r="U608" s="471"/>
      <c r="V608" s="471"/>
      <c r="W608" s="471" t="s">
        <v>1277</v>
      </c>
      <c r="X608" s="471">
        <v>1</v>
      </c>
      <c r="Y608" s="206"/>
      <c r="Z608" s="206"/>
    </row>
    <row r="609" spans="1:26">
      <c r="A609" s="406">
        <v>606</v>
      </c>
      <c r="B609" s="613" t="s">
        <v>5104</v>
      </c>
      <c r="C609" s="288" t="s">
        <v>1278</v>
      </c>
      <c r="D609" s="414" t="s">
        <v>3764</v>
      </c>
      <c r="E609" s="407" t="s">
        <v>9458</v>
      </c>
      <c r="F609" s="483" t="s">
        <v>5199</v>
      </c>
      <c r="G609" s="411" t="s">
        <v>5105</v>
      </c>
      <c r="H609" s="411" t="s">
        <v>5200</v>
      </c>
      <c r="I609" s="411"/>
      <c r="J609" s="411"/>
      <c r="K609" s="411"/>
      <c r="L609" s="608">
        <v>21809.917322834648</v>
      </c>
      <c r="M609" s="409">
        <v>4644.8070866141734</v>
      </c>
      <c r="N609" s="409">
        <v>26454.724409448823</v>
      </c>
      <c r="O609" s="410" t="s">
        <v>7782</v>
      </c>
      <c r="P609" s="406">
        <v>606</v>
      </c>
      <c r="Q609" s="470" t="s">
        <v>1278</v>
      </c>
      <c r="R609" s="460" t="s">
        <v>1279</v>
      </c>
      <c r="S609" s="270" t="s">
        <v>7</v>
      </c>
      <c r="U609" s="471"/>
      <c r="V609" s="471"/>
      <c r="W609" s="471" t="s">
        <v>1279</v>
      </c>
      <c r="X609" s="471">
        <v>0</v>
      </c>
      <c r="Y609" s="206"/>
      <c r="Z609" s="206"/>
    </row>
    <row r="610" spans="1:26">
      <c r="A610" s="406">
        <v>607</v>
      </c>
      <c r="B610" s="613" t="s">
        <v>5101</v>
      </c>
      <c r="C610" s="288" t="s">
        <v>1280</v>
      </c>
      <c r="D610" s="414" t="s">
        <v>3766</v>
      </c>
      <c r="E610" s="407" t="s">
        <v>9459</v>
      </c>
      <c r="F610" s="483" t="s">
        <v>5202</v>
      </c>
      <c r="G610" s="411" t="s">
        <v>5102</v>
      </c>
      <c r="H610" s="411" t="s">
        <v>5201</v>
      </c>
      <c r="I610" s="411"/>
      <c r="J610" s="411"/>
      <c r="K610" s="411"/>
      <c r="L610" s="608">
        <v>21810.149606299212</v>
      </c>
      <c r="M610" s="409">
        <v>4644.5984251968512</v>
      </c>
      <c r="N610" s="409">
        <v>26454.748031496063</v>
      </c>
      <c r="O610" s="410" t="s">
        <v>7782</v>
      </c>
      <c r="P610" s="406">
        <v>607</v>
      </c>
      <c r="Q610" s="470" t="s">
        <v>1280</v>
      </c>
      <c r="R610" s="460" t="s">
        <v>1281</v>
      </c>
      <c r="S610" s="270" t="s">
        <v>7</v>
      </c>
      <c r="U610" s="471"/>
      <c r="V610" s="471"/>
      <c r="W610" s="471" t="s">
        <v>1281</v>
      </c>
      <c r="X610" s="471">
        <v>0</v>
      </c>
      <c r="Y610" s="206"/>
      <c r="Z610" s="206"/>
    </row>
    <row r="611" spans="1:26">
      <c r="A611" s="406">
        <v>608</v>
      </c>
      <c r="B611" s="613" t="s">
        <v>5104</v>
      </c>
      <c r="C611" s="288" t="s">
        <v>1282</v>
      </c>
      <c r="D611" s="414" t="s">
        <v>3764</v>
      </c>
      <c r="E611" s="407" t="s">
        <v>9458</v>
      </c>
      <c r="F611" s="483" t="s">
        <v>5106</v>
      </c>
      <c r="G611" s="483" t="s">
        <v>5813</v>
      </c>
      <c r="H611" s="411" t="s">
        <v>5105</v>
      </c>
      <c r="I611" s="411" t="s">
        <v>5200</v>
      </c>
      <c r="J611" s="411"/>
      <c r="K611" s="411"/>
      <c r="L611" s="608">
        <v>21809.917322834648</v>
      </c>
      <c r="M611" s="409">
        <v>4644.5</v>
      </c>
      <c r="N611" s="409">
        <v>26454.417322834644</v>
      </c>
      <c r="O611" s="410" t="s">
        <v>7776</v>
      </c>
      <c r="P611" s="406">
        <v>608</v>
      </c>
      <c r="Q611" s="470" t="s">
        <v>1282</v>
      </c>
      <c r="R611" s="460" t="s">
        <v>1283</v>
      </c>
      <c r="S611" s="270" t="s">
        <v>7</v>
      </c>
      <c r="U611" s="471"/>
      <c r="V611" s="471"/>
      <c r="W611" s="471" t="s">
        <v>1283</v>
      </c>
      <c r="X611" s="471">
        <v>1</v>
      </c>
      <c r="Y611" s="206"/>
      <c r="Z611" s="206"/>
    </row>
    <row r="612" spans="1:26">
      <c r="A612" s="406">
        <v>609</v>
      </c>
      <c r="B612" s="613" t="s">
        <v>5101</v>
      </c>
      <c r="C612" s="288" t="s">
        <v>1284</v>
      </c>
      <c r="D612" s="414" t="s">
        <v>3766</v>
      </c>
      <c r="E612" s="407" t="s">
        <v>9459</v>
      </c>
      <c r="F612" s="483" t="s">
        <v>5103</v>
      </c>
      <c r="G612" s="483" t="s">
        <v>5814</v>
      </c>
      <c r="H612" s="411" t="s">
        <v>5102</v>
      </c>
      <c r="I612" s="411" t="s">
        <v>5201</v>
      </c>
      <c r="J612" s="411"/>
      <c r="K612" s="411"/>
      <c r="L612" s="608">
        <v>21810.149606299212</v>
      </c>
      <c r="M612" s="409">
        <v>4644.4448818897645</v>
      </c>
      <c r="N612" s="409">
        <v>26454.594488188977</v>
      </c>
      <c r="O612" s="410" t="s">
        <v>7776</v>
      </c>
      <c r="P612" s="406">
        <v>609</v>
      </c>
      <c r="Q612" s="470" t="s">
        <v>1284</v>
      </c>
      <c r="R612" s="460" t="s">
        <v>1285</v>
      </c>
      <c r="S612" s="270" t="s">
        <v>7</v>
      </c>
      <c r="U612" s="471"/>
      <c r="V612" s="471"/>
      <c r="W612" s="471" t="s">
        <v>1285</v>
      </c>
      <c r="X612" s="471">
        <v>1</v>
      </c>
      <c r="Y612" s="206"/>
      <c r="Z612" s="206"/>
    </row>
    <row r="613" spans="1:26">
      <c r="A613" s="406">
        <v>610</v>
      </c>
      <c r="B613" s="613" t="s">
        <v>5098</v>
      </c>
      <c r="C613" s="288" t="s">
        <v>1286</v>
      </c>
      <c r="D613" s="414" t="s">
        <v>3769</v>
      </c>
      <c r="E613" s="407" t="s">
        <v>9460</v>
      </c>
      <c r="F613" s="483" t="s">
        <v>5195</v>
      </c>
      <c r="G613" s="411" t="s">
        <v>5099</v>
      </c>
      <c r="H613" s="411" t="s">
        <v>5196</v>
      </c>
      <c r="I613" s="411"/>
      <c r="J613" s="411"/>
      <c r="K613" s="411"/>
      <c r="L613" s="608">
        <v>20983.074803149608</v>
      </c>
      <c r="M613" s="409">
        <v>4644.889763779528</v>
      </c>
      <c r="N613" s="409">
        <v>25627.964566929135</v>
      </c>
      <c r="O613" s="410" t="s">
        <v>7776</v>
      </c>
      <c r="P613" s="406">
        <v>610</v>
      </c>
      <c r="Q613" s="470" t="s">
        <v>1286</v>
      </c>
      <c r="R613" s="460" t="s">
        <v>1287</v>
      </c>
      <c r="S613" s="270" t="s">
        <v>7</v>
      </c>
      <c r="U613" s="471"/>
      <c r="V613" s="471"/>
      <c r="W613" s="471" t="s">
        <v>1287</v>
      </c>
      <c r="X613" s="471">
        <v>0</v>
      </c>
      <c r="Y613" s="206"/>
      <c r="Z613" s="206"/>
    </row>
    <row r="614" spans="1:26">
      <c r="A614" s="406">
        <v>611</v>
      </c>
      <c r="B614" s="613" t="s">
        <v>5095</v>
      </c>
      <c r="C614" s="288" t="s">
        <v>1288</v>
      </c>
      <c r="D614" s="414" t="s">
        <v>3768</v>
      </c>
      <c r="E614" s="407" t="s">
        <v>9461</v>
      </c>
      <c r="F614" s="483" t="s">
        <v>5198</v>
      </c>
      <c r="G614" s="411" t="s">
        <v>5096</v>
      </c>
      <c r="H614" s="411" t="s">
        <v>5197</v>
      </c>
      <c r="I614" s="411"/>
      <c r="J614" s="411"/>
      <c r="K614" s="411"/>
      <c r="L614" s="608">
        <v>20983.370078740161</v>
      </c>
      <c r="M614" s="409">
        <v>4644.6968503937014</v>
      </c>
      <c r="N614" s="409">
        <v>25628.06692913386</v>
      </c>
      <c r="O614" s="410" t="s">
        <v>7776</v>
      </c>
      <c r="P614" s="406">
        <v>611</v>
      </c>
      <c r="Q614" s="470" t="s">
        <v>1288</v>
      </c>
      <c r="R614" s="460" t="s">
        <v>1289</v>
      </c>
      <c r="S614" s="270" t="s">
        <v>7</v>
      </c>
      <c r="U614" s="471"/>
      <c r="V614" s="471"/>
      <c r="W614" s="471" t="s">
        <v>1289</v>
      </c>
      <c r="X614" s="471">
        <v>0</v>
      </c>
      <c r="Y614" s="206"/>
      <c r="Z614" s="206"/>
    </row>
    <row r="615" spans="1:26">
      <c r="A615" s="406">
        <v>612</v>
      </c>
      <c r="B615" s="613" t="s">
        <v>5098</v>
      </c>
      <c r="C615" s="288" t="s">
        <v>1290</v>
      </c>
      <c r="D615" s="414" t="s">
        <v>3769</v>
      </c>
      <c r="E615" s="407" t="s">
        <v>9460</v>
      </c>
      <c r="F615" s="483" t="s">
        <v>5100</v>
      </c>
      <c r="G615" s="483" t="s">
        <v>5815</v>
      </c>
      <c r="H615" s="411" t="s">
        <v>5099</v>
      </c>
      <c r="I615" s="411" t="s">
        <v>5196</v>
      </c>
      <c r="J615" s="411"/>
      <c r="K615" s="411"/>
      <c r="L615" s="608">
        <v>20983.074803149608</v>
      </c>
      <c r="M615" s="409">
        <v>4644.2165354330709</v>
      </c>
      <c r="N615" s="409">
        <v>25627.291338582676</v>
      </c>
      <c r="O615" s="410" t="s">
        <v>7749</v>
      </c>
      <c r="P615" s="406">
        <v>612</v>
      </c>
      <c r="Q615" s="470" t="s">
        <v>1290</v>
      </c>
      <c r="R615" s="460" t="s">
        <v>1291</v>
      </c>
      <c r="S615" s="270" t="s">
        <v>7</v>
      </c>
      <c r="U615" s="471"/>
      <c r="V615" s="471"/>
      <c r="W615" s="471" t="s">
        <v>1291</v>
      </c>
      <c r="X615" s="471">
        <v>1</v>
      </c>
      <c r="Y615" s="206"/>
      <c r="Z615" s="206"/>
    </row>
    <row r="616" spans="1:26">
      <c r="A616" s="406">
        <v>613</v>
      </c>
      <c r="B616" s="613" t="s">
        <v>5095</v>
      </c>
      <c r="C616" s="288" t="s">
        <v>1292</v>
      </c>
      <c r="D616" s="414" t="s">
        <v>3768</v>
      </c>
      <c r="E616" s="407" t="s">
        <v>9461</v>
      </c>
      <c r="F616" s="483" t="s">
        <v>5097</v>
      </c>
      <c r="G616" s="483" t="s">
        <v>5816</v>
      </c>
      <c r="H616" s="411" t="s">
        <v>5096</v>
      </c>
      <c r="I616" s="411" t="s">
        <v>5197</v>
      </c>
      <c r="J616" s="411"/>
      <c r="K616" s="411"/>
      <c r="L616" s="608">
        <v>20983.370078740161</v>
      </c>
      <c r="M616" s="409">
        <v>4645.389763779528</v>
      </c>
      <c r="N616" s="409">
        <v>25628.759842519688</v>
      </c>
      <c r="O616" s="410" t="s">
        <v>7749</v>
      </c>
      <c r="P616" s="406">
        <v>613</v>
      </c>
      <c r="Q616" s="470" t="s">
        <v>1292</v>
      </c>
      <c r="R616" s="460" t="s">
        <v>1293</v>
      </c>
      <c r="S616" s="270" t="s">
        <v>7</v>
      </c>
      <c r="U616" s="471"/>
      <c r="V616" s="471"/>
      <c r="W616" s="471" t="s">
        <v>1293</v>
      </c>
      <c r="X616" s="471">
        <v>1</v>
      </c>
      <c r="Y616" s="206"/>
      <c r="Z616" s="206"/>
    </row>
    <row r="617" spans="1:26">
      <c r="A617" s="406">
        <v>614</v>
      </c>
      <c r="B617" s="613" t="s">
        <v>5092</v>
      </c>
      <c r="C617" s="288" t="s">
        <v>1294</v>
      </c>
      <c r="D617" s="414" t="s">
        <v>3763</v>
      </c>
      <c r="E617" s="407" t="s">
        <v>9462</v>
      </c>
      <c r="F617" s="483" t="s">
        <v>5191</v>
      </c>
      <c r="G617" s="411" t="s">
        <v>5093</v>
      </c>
      <c r="H617" s="411" t="s">
        <v>5192</v>
      </c>
      <c r="I617" s="411"/>
      <c r="J617" s="411"/>
      <c r="K617" s="411"/>
      <c r="L617" s="608">
        <v>20628.889763779527</v>
      </c>
      <c r="M617" s="409">
        <v>4645.0354330708669</v>
      </c>
      <c r="N617" s="409">
        <v>25273.925196850392</v>
      </c>
      <c r="O617" s="410" t="s">
        <v>7787</v>
      </c>
      <c r="P617" s="406">
        <v>614</v>
      </c>
      <c r="Q617" s="470" t="s">
        <v>1294</v>
      </c>
      <c r="R617" s="460" t="s">
        <v>1295</v>
      </c>
      <c r="S617" s="270" t="s">
        <v>7</v>
      </c>
      <c r="U617" s="471"/>
      <c r="V617" s="471"/>
      <c r="W617" s="471" t="s">
        <v>1295</v>
      </c>
      <c r="X617" s="471">
        <v>0</v>
      </c>
      <c r="Y617" s="206"/>
      <c r="Z617" s="206"/>
    </row>
    <row r="618" spans="1:26">
      <c r="A618" s="406">
        <v>615</v>
      </c>
      <c r="B618" s="613" t="s">
        <v>5089</v>
      </c>
      <c r="C618" s="288" t="s">
        <v>1296</v>
      </c>
      <c r="D618" s="414" t="s">
        <v>3762</v>
      </c>
      <c r="E618" s="407" t="s">
        <v>9463</v>
      </c>
      <c r="F618" s="483" t="s">
        <v>5194</v>
      </c>
      <c r="G618" s="411" t="s">
        <v>5090</v>
      </c>
      <c r="H618" s="411" t="s">
        <v>5193</v>
      </c>
      <c r="I618" s="411"/>
      <c r="J618" s="411"/>
      <c r="K618" s="411"/>
      <c r="L618" s="608">
        <v>20628.874015748032</v>
      </c>
      <c r="M618" s="409">
        <v>4644.5157480314956</v>
      </c>
      <c r="N618" s="409">
        <v>25273.389763779527</v>
      </c>
      <c r="O618" s="410" t="s">
        <v>7787</v>
      </c>
      <c r="P618" s="406">
        <v>615</v>
      </c>
      <c r="Q618" s="470" t="s">
        <v>1296</v>
      </c>
      <c r="R618" s="460" t="s">
        <v>1297</v>
      </c>
      <c r="S618" s="270" t="s">
        <v>7</v>
      </c>
      <c r="U618" s="471"/>
      <c r="V618" s="471"/>
      <c r="W618" s="471" t="s">
        <v>1297</v>
      </c>
      <c r="X618" s="471">
        <v>0</v>
      </c>
      <c r="Y618" s="206"/>
      <c r="Z618" s="206"/>
    </row>
    <row r="619" spans="1:26">
      <c r="A619" s="406">
        <v>616</v>
      </c>
      <c r="B619" s="613" t="s">
        <v>5092</v>
      </c>
      <c r="C619" s="288" t="s">
        <v>1298</v>
      </c>
      <c r="D619" s="414" t="s">
        <v>3763</v>
      </c>
      <c r="E619" s="407" t="s">
        <v>9462</v>
      </c>
      <c r="F619" s="483" t="s">
        <v>5094</v>
      </c>
      <c r="G619" s="483" t="s">
        <v>5817</v>
      </c>
      <c r="H619" s="411" t="s">
        <v>5093</v>
      </c>
      <c r="I619" s="411" t="s">
        <v>5192</v>
      </c>
      <c r="J619" s="411"/>
      <c r="K619" s="411"/>
      <c r="L619" s="608">
        <v>20628.889763779527</v>
      </c>
      <c r="M619" s="409">
        <v>4644.4921259842522</v>
      </c>
      <c r="N619" s="409">
        <v>25273.381889763779</v>
      </c>
      <c r="O619" s="410" t="s">
        <v>7751</v>
      </c>
      <c r="P619" s="406">
        <v>616</v>
      </c>
      <c r="Q619" s="470" t="s">
        <v>1298</v>
      </c>
      <c r="R619" s="460" t="s">
        <v>1299</v>
      </c>
      <c r="S619" s="270" t="s">
        <v>7</v>
      </c>
      <c r="U619" s="471"/>
      <c r="V619" s="471"/>
      <c r="W619" s="471" t="s">
        <v>1299</v>
      </c>
      <c r="X619" s="471">
        <v>1</v>
      </c>
      <c r="Y619" s="206"/>
      <c r="Z619" s="206"/>
    </row>
    <row r="620" spans="1:26">
      <c r="A620" s="406">
        <v>617</v>
      </c>
      <c r="B620" s="613" t="s">
        <v>5089</v>
      </c>
      <c r="C620" s="288" t="s">
        <v>1300</v>
      </c>
      <c r="D620" s="414" t="s">
        <v>3762</v>
      </c>
      <c r="E620" s="407" t="s">
        <v>9463</v>
      </c>
      <c r="F620" s="483" t="s">
        <v>5091</v>
      </c>
      <c r="G620" s="483" t="s">
        <v>5818</v>
      </c>
      <c r="H620" s="411" t="s">
        <v>5090</v>
      </c>
      <c r="I620" s="411" t="s">
        <v>5193</v>
      </c>
      <c r="J620" s="411"/>
      <c r="K620" s="411"/>
      <c r="L620" s="608">
        <v>20628.874015748032</v>
      </c>
      <c r="M620" s="409">
        <v>4644.4094488188975</v>
      </c>
      <c r="N620" s="409">
        <v>25273.283464566928</v>
      </c>
      <c r="O620" s="410" t="s">
        <v>7751</v>
      </c>
      <c r="P620" s="406">
        <v>617</v>
      </c>
      <c r="Q620" s="470" t="s">
        <v>1300</v>
      </c>
      <c r="R620" s="460" t="s">
        <v>1301</v>
      </c>
      <c r="S620" s="270" t="s">
        <v>7</v>
      </c>
      <c r="U620" s="471"/>
      <c r="V620" s="471"/>
      <c r="W620" s="471" t="s">
        <v>1301</v>
      </c>
      <c r="X620" s="471">
        <v>1</v>
      </c>
      <c r="Y620" s="206"/>
      <c r="Z620" s="206"/>
    </row>
    <row r="621" spans="1:26">
      <c r="A621" s="406">
        <v>618</v>
      </c>
      <c r="B621" s="613" t="s">
        <v>5086</v>
      </c>
      <c r="C621" s="288" t="s">
        <v>1302</v>
      </c>
      <c r="D621" s="414" t="s">
        <v>3761</v>
      </c>
      <c r="E621" s="407" t="s">
        <v>9464</v>
      </c>
      <c r="F621" s="483" t="s">
        <v>5187</v>
      </c>
      <c r="G621" s="411" t="s">
        <v>5087</v>
      </c>
      <c r="H621" s="411" t="s">
        <v>5188</v>
      </c>
      <c r="I621" s="411"/>
      <c r="J621" s="411"/>
      <c r="K621" s="411"/>
      <c r="L621" s="608">
        <v>19250.807086614175</v>
      </c>
      <c r="M621" s="409">
        <v>4644.7283464566935</v>
      </c>
      <c r="N621" s="409">
        <v>23895.535433070865</v>
      </c>
      <c r="O621" s="410" t="s">
        <v>7775</v>
      </c>
      <c r="P621" s="406">
        <v>618</v>
      </c>
      <c r="Q621" s="470" t="s">
        <v>1302</v>
      </c>
      <c r="R621" s="460" t="s">
        <v>1303</v>
      </c>
      <c r="S621" s="270" t="s">
        <v>7</v>
      </c>
      <c r="U621" s="471"/>
      <c r="V621" s="471"/>
      <c r="W621" s="471" t="s">
        <v>1303</v>
      </c>
      <c r="X621" s="471">
        <v>0</v>
      </c>
      <c r="Y621" s="206"/>
      <c r="Z621" s="206"/>
    </row>
    <row r="622" spans="1:26">
      <c r="A622" s="406">
        <v>619</v>
      </c>
      <c r="B622" s="613" t="s">
        <v>5083</v>
      </c>
      <c r="C622" s="288" t="s">
        <v>1304</v>
      </c>
      <c r="D622" s="414" t="s">
        <v>3760</v>
      </c>
      <c r="E622" s="407" t="s">
        <v>9465</v>
      </c>
      <c r="F622" s="483" t="s">
        <v>5190</v>
      </c>
      <c r="G622" s="411" t="s">
        <v>5084</v>
      </c>
      <c r="H622" s="411" t="s">
        <v>5189</v>
      </c>
      <c r="I622" s="411"/>
      <c r="J622" s="411"/>
      <c r="K622" s="411"/>
      <c r="L622" s="608">
        <v>19250.98031496063</v>
      </c>
      <c r="M622" s="409">
        <v>4644.7204724409448</v>
      </c>
      <c r="N622" s="409">
        <v>23895.700787401573</v>
      </c>
      <c r="O622" s="410" t="s">
        <v>7775</v>
      </c>
      <c r="P622" s="406">
        <v>619</v>
      </c>
      <c r="Q622" s="470" t="s">
        <v>1304</v>
      </c>
      <c r="R622" s="460" t="s">
        <v>1305</v>
      </c>
      <c r="S622" s="270" t="s">
        <v>7</v>
      </c>
      <c r="U622" s="471"/>
      <c r="V622" s="471"/>
      <c r="W622" s="471" t="s">
        <v>1305</v>
      </c>
      <c r="X622" s="471">
        <v>0</v>
      </c>
      <c r="Y622" s="206"/>
      <c r="Z622" s="206"/>
    </row>
    <row r="623" spans="1:26">
      <c r="A623" s="406">
        <v>620</v>
      </c>
      <c r="B623" s="613" t="s">
        <v>5086</v>
      </c>
      <c r="C623" s="288" t="s">
        <v>1306</v>
      </c>
      <c r="D623" s="414" t="s">
        <v>3761</v>
      </c>
      <c r="E623" s="407" t="s">
        <v>9464</v>
      </c>
      <c r="F623" s="483" t="s">
        <v>5088</v>
      </c>
      <c r="G623" s="483" t="s">
        <v>5819</v>
      </c>
      <c r="H623" s="411" t="s">
        <v>5087</v>
      </c>
      <c r="I623" s="411" t="s">
        <v>5188</v>
      </c>
      <c r="J623" s="411"/>
      <c r="K623" s="411"/>
      <c r="L623" s="608">
        <v>19250.807086614175</v>
      </c>
      <c r="M623" s="409">
        <v>4644.4606299212601</v>
      </c>
      <c r="N623" s="409">
        <v>23895.267716535433</v>
      </c>
      <c r="O623" s="410" t="s">
        <v>7787</v>
      </c>
      <c r="P623" s="406">
        <v>620</v>
      </c>
      <c r="Q623" s="470" t="s">
        <v>1306</v>
      </c>
      <c r="R623" s="460" t="s">
        <v>1307</v>
      </c>
      <c r="S623" s="270" t="s">
        <v>7</v>
      </c>
      <c r="U623" s="471"/>
      <c r="V623" s="471"/>
      <c r="W623" s="471" t="s">
        <v>1307</v>
      </c>
      <c r="X623" s="471">
        <v>1</v>
      </c>
      <c r="Y623" s="206"/>
      <c r="Z623" s="206"/>
    </row>
    <row r="624" spans="1:26">
      <c r="A624" s="406">
        <v>621</v>
      </c>
      <c r="B624" s="613" t="s">
        <v>5083</v>
      </c>
      <c r="C624" s="288" t="s">
        <v>1308</v>
      </c>
      <c r="D624" s="414" t="s">
        <v>3760</v>
      </c>
      <c r="E624" s="407" t="s">
        <v>9465</v>
      </c>
      <c r="F624" s="483" t="s">
        <v>5085</v>
      </c>
      <c r="G624" s="483" t="s">
        <v>5820</v>
      </c>
      <c r="H624" s="411" t="s">
        <v>5084</v>
      </c>
      <c r="I624" s="411" t="s">
        <v>5189</v>
      </c>
      <c r="J624" s="411"/>
      <c r="K624" s="411"/>
      <c r="L624" s="608">
        <v>19250.98031496063</v>
      </c>
      <c r="M624" s="409">
        <v>4644.712598425197</v>
      </c>
      <c r="N624" s="409">
        <v>23895.692913385828</v>
      </c>
      <c r="O624" s="410" t="s">
        <v>7787</v>
      </c>
      <c r="P624" s="406">
        <v>621</v>
      </c>
      <c r="Q624" s="470" t="s">
        <v>1308</v>
      </c>
      <c r="R624" s="460" t="s">
        <v>1309</v>
      </c>
      <c r="S624" s="270" t="s">
        <v>7</v>
      </c>
      <c r="U624" s="471"/>
      <c r="V624" s="471"/>
      <c r="W624" s="471" t="s">
        <v>1309</v>
      </c>
      <c r="X624" s="471">
        <v>1</v>
      </c>
      <c r="Y624" s="206"/>
      <c r="Z624" s="206"/>
    </row>
    <row r="625" spans="1:26">
      <c r="A625" s="406">
        <v>622</v>
      </c>
      <c r="B625" s="613" t="s">
        <v>5080</v>
      </c>
      <c r="C625" s="288" t="s">
        <v>1310</v>
      </c>
      <c r="D625" s="414" t="s">
        <v>3757</v>
      </c>
      <c r="E625" s="407" t="s">
        <v>9466</v>
      </c>
      <c r="F625" s="483" t="s">
        <v>5183</v>
      </c>
      <c r="G625" s="411" t="s">
        <v>5081</v>
      </c>
      <c r="H625" s="411" t="s">
        <v>5184</v>
      </c>
      <c r="I625" s="411"/>
      <c r="J625" s="411"/>
      <c r="K625" s="411"/>
      <c r="L625" s="608">
        <v>17755.661417322837</v>
      </c>
      <c r="M625" s="409">
        <v>4644.9212598425192</v>
      </c>
      <c r="N625" s="409">
        <v>22400.582677165352</v>
      </c>
      <c r="O625" s="410" t="s">
        <v>7775</v>
      </c>
      <c r="P625" s="406">
        <v>622</v>
      </c>
      <c r="Q625" s="470" t="s">
        <v>1310</v>
      </c>
      <c r="R625" s="460" t="s">
        <v>1311</v>
      </c>
      <c r="S625" s="270" t="s">
        <v>7</v>
      </c>
      <c r="U625" s="471"/>
      <c r="V625" s="471"/>
      <c r="W625" s="471" t="s">
        <v>1311</v>
      </c>
      <c r="X625" s="471">
        <v>0</v>
      </c>
      <c r="Y625" s="206"/>
      <c r="Z625" s="206"/>
    </row>
    <row r="626" spans="1:26">
      <c r="A626" s="406">
        <v>623</v>
      </c>
      <c r="B626" s="613" t="s">
        <v>5077</v>
      </c>
      <c r="C626" s="288" t="s">
        <v>1312</v>
      </c>
      <c r="D626" s="414" t="s">
        <v>3755</v>
      </c>
      <c r="E626" s="407" t="s">
        <v>9467</v>
      </c>
      <c r="F626" s="483" t="s">
        <v>5186</v>
      </c>
      <c r="G626" s="411" t="s">
        <v>5078</v>
      </c>
      <c r="H626" s="411" t="s">
        <v>5185</v>
      </c>
      <c r="I626" s="411"/>
      <c r="J626" s="411"/>
      <c r="K626" s="411"/>
      <c r="L626" s="608">
        <v>17754.559055118112</v>
      </c>
      <c r="M626" s="409">
        <v>4644.6181102362207</v>
      </c>
      <c r="N626" s="409">
        <v>22399.177165354333</v>
      </c>
      <c r="O626" s="410" t="s">
        <v>7775</v>
      </c>
      <c r="P626" s="406">
        <v>623</v>
      </c>
      <c r="Q626" s="470" t="s">
        <v>1312</v>
      </c>
      <c r="R626" s="460" t="s">
        <v>1313</v>
      </c>
      <c r="S626" s="270" t="s">
        <v>7</v>
      </c>
      <c r="U626" s="471"/>
      <c r="V626" s="471"/>
      <c r="W626" s="471" t="s">
        <v>1313</v>
      </c>
      <c r="X626" s="471">
        <v>0</v>
      </c>
      <c r="Y626" s="206"/>
      <c r="Z626" s="206"/>
    </row>
    <row r="627" spans="1:26">
      <c r="A627" s="406">
        <v>624</v>
      </c>
      <c r="B627" s="613" t="s">
        <v>5080</v>
      </c>
      <c r="C627" s="288" t="s">
        <v>1314</v>
      </c>
      <c r="D627" s="414" t="s">
        <v>3757</v>
      </c>
      <c r="E627" s="407" t="s">
        <v>9466</v>
      </c>
      <c r="F627" s="483" t="s">
        <v>5082</v>
      </c>
      <c r="G627" s="483" t="s">
        <v>5821</v>
      </c>
      <c r="H627" s="411" t="s">
        <v>5081</v>
      </c>
      <c r="I627" s="411" t="s">
        <v>5184</v>
      </c>
      <c r="J627" s="411"/>
      <c r="K627" s="411"/>
      <c r="L627" s="608">
        <v>17755.661417322837</v>
      </c>
      <c r="M627" s="409">
        <v>4644.4488188976375</v>
      </c>
      <c r="N627" s="409">
        <v>22400.110236220473</v>
      </c>
      <c r="O627" s="410" t="s">
        <v>7751</v>
      </c>
      <c r="P627" s="406">
        <v>624</v>
      </c>
      <c r="Q627" s="470" t="s">
        <v>1314</v>
      </c>
      <c r="R627" s="460" t="s">
        <v>1315</v>
      </c>
      <c r="S627" s="270" t="s">
        <v>7</v>
      </c>
      <c r="U627" s="471"/>
      <c r="V627" s="471"/>
      <c r="W627" s="471" t="s">
        <v>1315</v>
      </c>
      <c r="X627" s="471">
        <v>1</v>
      </c>
      <c r="Y627" s="206"/>
      <c r="Z627" s="206"/>
    </row>
    <row r="628" spans="1:26">
      <c r="A628" s="406">
        <v>625</v>
      </c>
      <c r="B628" s="613" t="s">
        <v>5077</v>
      </c>
      <c r="C628" s="288" t="s">
        <v>1316</v>
      </c>
      <c r="D628" s="414" t="s">
        <v>3755</v>
      </c>
      <c r="E628" s="407" t="s">
        <v>9467</v>
      </c>
      <c r="F628" s="483" t="s">
        <v>5079</v>
      </c>
      <c r="G628" s="483" t="s">
        <v>5822</v>
      </c>
      <c r="H628" s="411" t="s">
        <v>5078</v>
      </c>
      <c r="I628" s="411" t="s">
        <v>5185</v>
      </c>
      <c r="J628" s="411"/>
      <c r="K628" s="411"/>
      <c r="L628" s="608">
        <v>17754.559055118112</v>
      </c>
      <c r="M628" s="409">
        <v>4644.1535433070867</v>
      </c>
      <c r="N628" s="409">
        <v>22398.712598425202</v>
      </c>
      <c r="O628" s="410" t="s">
        <v>7751</v>
      </c>
      <c r="P628" s="406">
        <v>625</v>
      </c>
      <c r="Q628" s="470" t="s">
        <v>1316</v>
      </c>
      <c r="R628" s="460" t="s">
        <v>1317</v>
      </c>
      <c r="S628" s="270" t="s">
        <v>7</v>
      </c>
      <c r="U628" s="471"/>
      <c r="V628" s="471"/>
      <c r="W628" s="471" t="s">
        <v>1317</v>
      </c>
      <c r="X628" s="471">
        <v>1</v>
      </c>
      <c r="Y628" s="206"/>
      <c r="Z628" s="206"/>
    </row>
    <row r="629" spans="1:26">
      <c r="A629" s="406">
        <v>626</v>
      </c>
      <c r="B629" s="613" t="s">
        <v>7020</v>
      </c>
      <c r="C629" s="288" t="s">
        <v>1318</v>
      </c>
      <c r="D629" s="414" t="s">
        <v>4884</v>
      </c>
      <c r="E629" s="407"/>
      <c r="F629" s="483" t="s">
        <v>4968</v>
      </c>
      <c r="G629" s="411"/>
      <c r="H629" s="411"/>
      <c r="I629" s="411"/>
      <c r="J629" s="411"/>
      <c r="K629" s="411"/>
      <c r="L629" s="608" t="s">
        <v>4884</v>
      </c>
      <c r="M629" s="409" t="s">
        <v>4884</v>
      </c>
      <c r="N629" s="409" t="s">
        <v>4884</v>
      </c>
      <c r="O629" s="410" t="s">
        <v>4884</v>
      </c>
      <c r="P629" s="406">
        <v>626</v>
      </c>
      <c r="Q629" s="470" t="s">
        <v>1318</v>
      </c>
      <c r="R629" s="460" t="s">
        <v>1319</v>
      </c>
      <c r="S629" s="270" t="s">
        <v>7</v>
      </c>
      <c r="U629" s="471"/>
      <c r="V629" s="471"/>
      <c r="W629" s="471" t="s">
        <v>1319</v>
      </c>
      <c r="X629" s="471">
        <v>0</v>
      </c>
      <c r="Y629" s="206"/>
      <c r="Z629" s="206"/>
    </row>
    <row r="630" spans="1:26">
      <c r="A630" s="406">
        <v>627</v>
      </c>
      <c r="B630" s="613" t="s">
        <v>7020</v>
      </c>
      <c r="C630" s="288" t="s">
        <v>1320</v>
      </c>
      <c r="D630" s="414" t="s">
        <v>4884</v>
      </c>
      <c r="E630" s="407"/>
      <c r="F630" s="483" t="s">
        <v>4969</v>
      </c>
      <c r="G630" s="411"/>
      <c r="H630" s="411"/>
      <c r="I630" s="411"/>
      <c r="J630" s="411"/>
      <c r="K630" s="411"/>
      <c r="L630" s="608" t="s">
        <v>4884</v>
      </c>
      <c r="M630" s="409" t="s">
        <v>4884</v>
      </c>
      <c r="N630" s="409" t="s">
        <v>4884</v>
      </c>
      <c r="O630" s="410" t="s">
        <v>4884</v>
      </c>
      <c r="P630" s="406">
        <v>627</v>
      </c>
      <c r="Q630" s="470" t="s">
        <v>1320</v>
      </c>
      <c r="R630" s="460" t="s">
        <v>1321</v>
      </c>
      <c r="S630" s="270" t="s">
        <v>7</v>
      </c>
      <c r="U630" s="471"/>
      <c r="V630" s="471"/>
      <c r="W630" s="471" t="s">
        <v>1321</v>
      </c>
      <c r="X630" s="471">
        <v>0</v>
      </c>
      <c r="Y630" s="206"/>
      <c r="Z630" s="206"/>
    </row>
    <row r="631" spans="1:26">
      <c r="A631" s="406">
        <v>628</v>
      </c>
      <c r="B631" s="613" t="s">
        <v>7020</v>
      </c>
      <c r="C631" s="288" t="s">
        <v>1322</v>
      </c>
      <c r="D631" s="414" t="s">
        <v>4884</v>
      </c>
      <c r="E631" s="407"/>
      <c r="F631" s="483"/>
      <c r="G631" s="483"/>
      <c r="H631" s="483"/>
      <c r="I631" s="483"/>
      <c r="J631" s="483"/>
      <c r="K631" s="483"/>
      <c r="L631" s="608" t="s">
        <v>4884</v>
      </c>
      <c r="M631" s="409" t="s">
        <v>4884</v>
      </c>
      <c r="N631" s="409" t="s">
        <v>4884</v>
      </c>
      <c r="O631" s="410" t="s">
        <v>4884</v>
      </c>
      <c r="P631" s="406">
        <v>628</v>
      </c>
      <c r="Q631" s="470" t="s">
        <v>1322</v>
      </c>
      <c r="R631" s="460" t="s">
        <v>1323</v>
      </c>
      <c r="S631" s="270" t="s">
        <v>7</v>
      </c>
      <c r="U631" s="471"/>
      <c r="V631" s="471"/>
      <c r="W631" s="471" t="s">
        <v>1323</v>
      </c>
      <c r="X631" s="471">
        <v>0</v>
      </c>
      <c r="Y631" s="206"/>
      <c r="Z631" s="206"/>
    </row>
    <row r="632" spans="1:26">
      <c r="A632" s="406">
        <v>629</v>
      </c>
      <c r="B632" s="613" t="s">
        <v>7020</v>
      </c>
      <c r="C632" s="288" t="s">
        <v>1324</v>
      </c>
      <c r="D632" s="414" t="s">
        <v>4884</v>
      </c>
      <c r="E632" s="407"/>
      <c r="F632" s="483"/>
      <c r="G632" s="483"/>
      <c r="H632" s="483"/>
      <c r="I632" s="483"/>
      <c r="J632" s="483"/>
      <c r="K632" s="483"/>
      <c r="L632" s="608" t="s">
        <v>4884</v>
      </c>
      <c r="M632" s="409" t="s">
        <v>4884</v>
      </c>
      <c r="N632" s="409" t="s">
        <v>4884</v>
      </c>
      <c r="O632" s="410" t="s">
        <v>4884</v>
      </c>
      <c r="P632" s="406">
        <v>629</v>
      </c>
      <c r="Q632" s="470" t="s">
        <v>1324</v>
      </c>
      <c r="R632" s="460" t="s">
        <v>1325</v>
      </c>
      <c r="S632" s="270" t="s">
        <v>7</v>
      </c>
      <c r="U632" s="471"/>
      <c r="V632" s="471"/>
      <c r="W632" s="471" t="s">
        <v>1325</v>
      </c>
      <c r="X632" s="471">
        <v>0</v>
      </c>
      <c r="Y632" s="206"/>
      <c r="Z632" s="206"/>
    </row>
    <row r="633" spans="1:26">
      <c r="A633" s="406">
        <v>630</v>
      </c>
      <c r="B633" s="613" t="s">
        <v>7020</v>
      </c>
      <c r="C633" s="288" t="s">
        <v>1326</v>
      </c>
      <c r="D633" s="414" t="s">
        <v>4884</v>
      </c>
      <c r="E633" s="407"/>
      <c r="F633" s="483"/>
      <c r="G633" s="483"/>
      <c r="H633" s="483"/>
      <c r="I633" s="483"/>
      <c r="J633" s="483"/>
      <c r="K633" s="483"/>
      <c r="L633" s="608" t="s">
        <v>4884</v>
      </c>
      <c r="M633" s="409" t="s">
        <v>4884</v>
      </c>
      <c r="N633" s="409" t="s">
        <v>4884</v>
      </c>
      <c r="O633" s="410" t="s">
        <v>4884</v>
      </c>
      <c r="P633" s="406">
        <v>630</v>
      </c>
      <c r="Q633" s="470" t="s">
        <v>1326</v>
      </c>
      <c r="R633" s="460" t="s">
        <v>1327</v>
      </c>
      <c r="S633" s="270" t="s">
        <v>7</v>
      </c>
      <c r="U633" s="471"/>
      <c r="V633" s="471"/>
      <c r="W633" s="471" t="s">
        <v>1327</v>
      </c>
      <c r="X633" s="471">
        <v>0</v>
      </c>
      <c r="Y633" s="206"/>
      <c r="Z633" s="206"/>
    </row>
    <row r="634" spans="1:26">
      <c r="A634" s="406">
        <v>631</v>
      </c>
      <c r="B634" s="613" t="s">
        <v>7020</v>
      </c>
      <c r="C634" s="288" t="s">
        <v>1328</v>
      </c>
      <c r="D634" s="414" t="s">
        <v>4884</v>
      </c>
      <c r="E634" s="407"/>
      <c r="F634" s="483"/>
      <c r="G634" s="483"/>
      <c r="H634" s="483"/>
      <c r="I634" s="483"/>
      <c r="J634" s="483"/>
      <c r="K634" s="483"/>
      <c r="L634" s="608" t="s">
        <v>4884</v>
      </c>
      <c r="M634" s="409" t="s">
        <v>4884</v>
      </c>
      <c r="N634" s="409" t="s">
        <v>4884</v>
      </c>
      <c r="O634" s="410" t="s">
        <v>4884</v>
      </c>
      <c r="P634" s="406">
        <v>631</v>
      </c>
      <c r="Q634" s="470" t="s">
        <v>1328</v>
      </c>
      <c r="R634" s="460" t="s">
        <v>1329</v>
      </c>
      <c r="S634" s="270" t="s">
        <v>7</v>
      </c>
      <c r="U634" s="471"/>
      <c r="V634" s="471"/>
      <c r="W634" s="471" t="s">
        <v>1329</v>
      </c>
      <c r="X634" s="471">
        <v>0</v>
      </c>
      <c r="Y634" s="206"/>
      <c r="Z634" s="206"/>
    </row>
    <row r="635" spans="1:26">
      <c r="A635" s="406">
        <v>632</v>
      </c>
      <c r="B635" s="613" t="s">
        <v>4939</v>
      </c>
      <c r="C635" s="288" t="s">
        <v>1330</v>
      </c>
      <c r="D635" s="414" t="s">
        <v>3839</v>
      </c>
      <c r="E635" s="407" t="s">
        <v>9468</v>
      </c>
      <c r="F635" s="483" t="s">
        <v>4937</v>
      </c>
      <c r="G635" s="483" t="s">
        <v>4938</v>
      </c>
      <c r="H635" s="411" t="s">
        <v>4940</v>
      </c>
      <c r="I635" s="411"/>
      <c r="J635" s="411"/>
      <c r="K635" s="411"/>
      <c r="L635" s="608">
        <v>7461.677165354331</v>
      </c>
      <c r="M635" s="409">
        <v>679.38976377952758</v>
      </c>
      <c r="N635" s="409">
        <v>8141.0669291338581</v>
      </c>
      <c r="O635" s="410" t="s">
        <v>7765</v>
      </c>
      <c r="P635" s="406">
        <v>632</v>
      </c>
      <c r="Q635" s="470" t="s">
        <v>1330</v>
      </c>
      <c r="R635" s="460" t="s">
        <v>1331</v>
      </c>
      <c r="S635" s="270" t="s">
        <v>7</v>
      </c>
      <c r="U635" s="471"/>
      <c r="V635" s="471"/>
      <c r="W635" s="471" t="s">
        <v>1331</v>
      </c>
      <c r="X635" s="471">
        <v>1</v>
      </c>
      <c r="Y635" s="206"/>
      <c r="Z635" s="206"/>
    </row>
    <row r="636" spans="1:26">
      <c r="A636" s="406">
        <v>633</v>
      </c>
      <c r="B636" s="613" t="s">
        <v>6571</v>
      </c>
      <c r="C636" s="288" t="s">
        <v>1332</v>
      </c>
      <c r="D636" s="414" t="s">
        <v>4422</v>
      </c>
      <c r="E636" s="407" t="s">
        <v>9469</v>
      </c>
      <c r="F636" s="483"/>
      <c r="G636" s="483"/>
      <c r="H636" s="483"/>
      <c r="I636" s="483"/>
      <c r="J636" s="483"/>
      <c r="K636" s="483"/>
      <c r="L636" s="608" t="s">
        <v>4884</v>
      </c>
      <c r="M636" s="409">
        <v>7516.8110236220473</v>
      </c>
      <c r="N636" s="409">
        <v>7516.8110236220473</v>
      </c>
      <c r="O636" s="410" t="s">
        <v>7567</v>
      </c>
      <c r="P636" s="406">
        <v>633</v>
      </c>
      <c r="Q636" s="470" t="s">
        <v>1332</v>
      </c>
      <c r="R636" s="270" t="s">
        <v>1333</v>
      </c>
      <c r="S636" s="270" t="s">
        <v>32</v>
      </c>
      <c r="U636" s="471"/>
      <c r="V636" s="471">
        <v>1</v>
      </c>
      <c r="W636" s="471" t="s">
        <v>1333</v>
      </c>
      <c r="X636" s="471">
        <v>0</v>
      </c>
      <c r="Y636" s="206"/>
      <c r="Z636" s="206"/>
    </row>
    <row r="637" spans="1:26">
      <c r="A637" s="406">
        <v>634</v>
      </c>
      <c r="B637" s="613" t="s">
        <v>6572</v>
      </c>
      <c r="C637" s="288" t="s">
        <v>1334</v>
      </c>
      <c r="D637" s="414" t="s">
        <v>4419</v>
      </c>
      <c r="E637" s="407" t="s">
        <v>9470</v>
      </c>
      <c r="F637" s="483"/>
      <c r="G637" s="483"/>
      <c r="H637" s="483"/>
      <c r="I637" s="483"/>
      <c r="J637" s="483"/>
      <c r="K637" s="483"/>
      <c r="L637" s="608" t="s">
        <v>4884</v>
      </c>
      <c r="M637" s="409">
        <v>7783.0511811023625</v>
      </c>
      <c r="N637" s="409">
        <v>7783.0511811023625</v>
      </c>
      <c r="O637" s="410" t="s">
        <v>7573</v>
      </c>
      <c r="P637" s="406">
        <v>634</v>
      </c>
      <c r="Q637" s="470" t="s">
        <v>1334</v>
      </c>
      <c r="R637" s="270" t="s">
        <v>1335</v>
      </c>
      <c r="S637" s="270" t="s">
        <v>32</v>
      </c>
      <c r="U637" s="471"/>
      <c r="V637" s="471">
        <v>1</v>
      </c>
      <c r="W637" s="471" t="s">
        <v>1335</v>
      </c>
      <c r="X637" s="471">
        <v>0</v>
      </c>
      <c r="Y637" s="206"/>
      <c r="Z637" s="206"/>
    </row>
    <row r="638" spans="1:26">
      <c r="A638" s="406">
        <v>635</v>
      </c>
      <c r="B638" s="613" t="s">
        <v>6392</v>
      </c>
      <c r="C638" s="288" t="s">
        <v>1336</v>
      </c>
      <c r="D638" s="414" t="s">
        <v>4148</v>
      </c>
      <c r="E638" s="407" t="s">
        <v>9471</v>
      </c>
      <c r="F638" s="483"/>
      <c r="G638" s="483"/>
      <c r="H638" s="483"/>
      <c r="I638" s="483"/>
      <c r="J638" s="483"/>
      <c r="K638" s="483"/>
      <c r="L638" s="608" t="s">
        <v>4884</v>
      </c>
      <c r="M638" s="409">
        <v>3935.9094488188975</v>
      </c>
      <c r="N638" s="409">
        <v>3935.9094488188975</v>
      </c>
      <c r="O638" s="410" t="s">
        <v>7567</v>
      </c>
      <c r="P638" s="406">
        <v>635</v>
      </c>
      <c r="Q638" s="470" t="s">
        <v>1336</v>
      </c>
      <c r="R638" s="460" t="s">
        <v>1337</v>
      </c>
      <c r="S638" s="270" t="s">
        <v>7</v>
      </c>
      <c r="U638" s="471"/>
      <c r="V638" s="471"/>
      <c r="W638" s="471" t="s">
        <v>1337</v>
      </c>
      <c r="X638" s="471">
        <v>1</v>
      </c>
      <c r="Y638" s="206"/>
      <c r="Z638" s="206"/>
    </row>
    <row r="639" spans="1:26">
      <c r="A639" s="406">
        <v>636</v>
      </c>
      <c r="B639" s="613" t="s">
        <v>4948</v>
      </c>
      <c r="C639" s="288" t="s">
        <v>1338</v>
      </c>
      <c r="D639" s="414" t="s">
        <v>4153</v>
      </c>
      <c r="E639" s="407" t="s">
        <v>9472</v>
      </c>
      <c r="F639" s="483" t="s">
        <v>4951</v>
      </c>
      <c r="G639" s="411" t="s">
        <v>4949</v>
      </c>
      <c r="H639" s="411"/>
      <c r="I639" s="411"/>
      <c r="J639" s="411"/>
      <c r="K639" s="411"/>
      <c r="L639" s="608">
        <v>3987.2677165354335</v>
      </c>
      <c r="M639" s="409">
        <v>796.57874015748041</v>
      </c>
      <c r="N639" s="409">
        <v>4783.8464566929142</v>
      </c>
      <c r="O639" s="410" t="s">
        <v>7802</v>
      </c>
      <c r="P639" s="406">
        <v>636</v>
      </c>
      <c r="Q639" s="470" t="s">
        <v>1338</v>
      </c>
      <c r="R639" s="460" t="s">
        <v>4890</v>
      </c>
      <c r="S639" s="270" t="s">
        <v>7</v>
      </c>
      <c r="U639" s="471"/>
      <c r="V639" s="471"/>
      <c r="W639" s="471" t="s">
        <v>4890</v>
      </c>
      <c r="X639" s="477">
        <v>2</v>
      </c>
      <c r="Y639" s="206"/>
      <c r="Z639" s="206"/>
    </row>
    <row r="640" spans="1:26">
      <c r="A640" s="406">
        <v>637</v>
      </c>
      <c r="B640" s="613" t="s">
        <v>4950</v>
      </c>
      <c r="C640" s="538" t="s">
        <v>7530</v>
      </c>
      <c r="D640" s="414" t="s">
        <v>4151</v>
      </c>
      <c r="E640" s="407" t="s">
        <v>9473</v>
      </c>
      <c r="F640" s="483" t="s">
        <v>4951</v>
      </c>
      <c r="G640" s="483"/>
      <c r="H640" s="483"/>
      <c r="I640" s="483"/>
      <c r="J640" s="483"/>
      <c r="K640" s="483"/>
      <c r="L640" s="608">
        <v>0</v>
      </c>
      <c r="M640" s="409">
        <v>4489.4488188976375</v>
      </c>
      <c r="N640" s="409">
        <v>4489.4488188976375</v>
      </c>
      <c r="O640" s="410" t="s">
        <v>7802</v>
      </c>
      <c r="P640" s="406">
        <v>637</v>
      </c>
      <c r="Q640" s="470" t="s">
        <v>7530</v>
      </c>
      <c r="R640" s="460"/>
      <c r="U640" s="471"/>
      <c r="V640" s="471"/>
      <c r="W640" s="471"/>
      <c r="X640" s="477"/>
      <c r="Y640" s="206"/>
      <c r="Z640" s="206"/>
    </row>
    <row r="641" spans="1:26">
      <c r="A641" s="406">
        <v>638</v>
      </c>
      <c r="B641" s="613" t="s">
        <v>7020</v>
      </c>
      <c r="C641" s="288" t="s">
        <v>1339</v>
      </c>
      <c r="D641" s="414" t="s">
        <v>4884</v>
      </c>
      <c r="E641" s="407"/>
      <c r="F641" s="483"/>
      <c r="G641" s="483"/>
      <c r="H641" s="483"/>
      <c r="I641" s="483"/>
      <c r="J641" s="483"/>
      <c r="K641" s="483"/>
      <c r="L641" s="608" t="s">
        <v>4884</v>
      </c>
      <c r="M641" s="409" t="s">
        <v>4884</v>
      </c>
      <c r="N641" s="409" t="s">
        <v>4884</v>
      </c>
      <c r="O641" s="410" t="s">
        <v>4884</v>
      </c>
      <c r="P641" s="406">
        <v>638</v>
      </c>
      <c r="Q641" s="470" t="s">
        <v>1339</v>
      </c>
      <c r="R641" s="460" t="s">
        <v>1340</v>
      </c>
      <c r="S641" s="270" t="s">
        <v>7</v>
      </c>
      <c r="U641" s="471"/>
      <c r="V641" s="471"/>
      <c r="W641" s="471" t="s">
        <v>1340</v>
      </c>
      <c r="X641" s="471">
        <v>0</v>
      </c>
    </row>
    <row r="642" spans="1:26">
      <c r="A642" s="406">
        <v>639</v>
      </c>
      <c r="B642" s="613" t="s">
        <v>6634</v>
      </c>
      <c r="C642" s="288" t="s">
        <v>1341</v>
      </c>
      <c r="D642" s="414" t="s">
        <v>4418</v>
      </c>
      <c r="E642" s="407" t="s">
        <v>9474</v>
      </c>
      <c r="F642" s="483" t="s">
        <v>6756</v>
      </c>
      <c r="G642" s="483" t="s">
        <v>6754</v>
      </c>
      <c r="H642" s="411" t="s">
        <v>6764</v>
      </c>
      <c r="I642" s="411"/>
      <c r="J642" s="411"/>
      <c r="K642" s="411"/>
      <c r="L642" s="608">
        <v>3459.1377952755906</v>
      </c>
      <c r="M642" s="409">
        <v>8091.7834645669291</v>
      </c>
      <c r="N642" s="409">
        <v>11550.92125984252</v>
      </c>
      <c r="O642" s="410" t="s">
        <v>7757</v>
      </c>
      <c r="P642" s="406">
        <v>639</v>
      </c>
      <c r="Q642" s="470" t="s">
        <v>1341</v>
      </c>
      <c r="R642" s="460" t="s">
        <v>1342</v>
      </c>
      <c r="S642" s="270" t="s">
        <v>32</v>
      </c>
      <c r="U642" s="471"/>
      <c r="V642" s="471">
        <v>1</v>
      </c>
      <c r="W642" s="471" t="s">
        <v>1342</v>
      </c>
      <c r="X642" s="471">
        <v>0</v>
      </c>
    </row>
    <row r="643" spans="1:26">
      <c r="A643" s="406">
        <v>640</v>
      </c>
      <c r="B643" s="613" t="s">
        <v>6635</v>
      </c>
      <c r="C643" s="288" t="s">
        <v>1343</v>
      </c>
      <c r="D643" s="414" t="s">
        <v>4496</v>
      </c>
      <c r="E643" s="407" t="s">
        <v>9475</v>
      </c>
      <c r="F643" s="483" t="s">
        <v>6753</v>
      </c>
      <c r="G643" s="483" t="s">
        <v>6752</v>
      </c>
      <c r="H643" s="411" t="s">
        <v>6767</v>
      </c>
      <c r="I643" s="411"/>
      <c r="J643" s="411"/>
      <c r="K643" s="411"/>
      <c r="L643" s="608">
        <v>2434.2362204724409</v>
      </c>
      <c r="M643" s="409">
        <v>7981.6338582677163</v>
      </c>
      <c r="N643" s="409">
        <v>10415.870078740156</v>
      </c>
      <c r="O643" s="410" t="s">
        <v>7757</v>
      </c>
      <c r="P643" s="406">
        <v>640</v>
      </c>
      <c r="Q643" s="470" t="s">
        <v>1343</v>
      </c>
      <c r="R643" s="460" t="s">
        <v>1344</v>
      </c>
      <c r="S643" s="270" t="s">
        <v>32</v>
      </c>
      <c r="U643" s="471"/>
      <c r="V643" s="471">
        <v>1</v>
      </c>
      <c r="W643" s="471" t="s">
        <v>1344</v>
      </c>
      <c r="X643" s="471">
        <v>0</v>
      </c>
    </row>
    <row r="644" spans="1:26">
      <c r="A644" s="406">
        <v>641</v>
      </c>
      <c r="B644" s="613" t="s">
        <v>6573</v>
      </c>
      <c r="C644" s="288" t="s">
        <v>1345</v>
      </c>
      <c r="D644" s="414" t="s">
        <v>4469</v>
      </c>
      <c r="E644" s="407" t="s">
        <v>9476</v>
      </c>
      <c r="F644" s="483"/>
      <c r="G644" s="483"/>
      <c r="H644" s="483"/>
      <c r="I644" s="483"/>
      <c r="J644" s="483"/>
      <c r="K644" s="483"/>
      <c r="L644" s="608" t="s">
        <v>4884</v>
      </c>
      <c r="M644" s="409">
        <v>5354.8385826771655</v>
      </c>
      <c r="N644" s="409">
        <v>5354.8385826771655</v>
      </c>
      <c r="O644" s="410" t="s">
        <v>7574</v>
      </c>
      <c r="P644" s="406">
        <v>641</v>
      </c>
      <c r="Q644" s="470" t="s">
        <v>1345</v>
      </c>
      <c r="R644" s="460" t="s">
        <v>1346</v>
      </c>
      <c r="S644" s="270" t="s">
        <v>32</v>
      </c>
      <c r="U644" s="471"/>
      <c r="V644" s="471">
        <v>1</v>
      </c>
      <c r="W644" s="471" t="s">
        <v>1346</v>
      </c>
      <c r="X644" s="471">
        <v>0</v>
      </c>
    </row>
    <row r="645" spans="1:26">
      <c r="A645" s="406">
        <v>642</v>
      </c>
      <c r="B645" s="613" t="s">
        <v>6393</v>
      </c>
      <c r="C645" s="288" t="s">
        <v>1347</v>
      </c>
      <c r="D645" s="414" t="s">
        <v>3836</v>
      </c>
      <c r="E645" s="407" t="s">
        <v>9477</v>
      </c>
      <c r="F645" s="483"/>
      <c r="G645" s="483"/>
      <c r="H645" s="483"/>
      <c r="I645" s="483"/>
      <c r="J645" s="483"/>
      <c r="K645" s="483"/>
      <c r="L645" s="608" t="s">
        <v>4884</v>
      </c>
      <c r="M645" s="409">
        <v>9202.6968503937023</v>
      </c>
      <c r="N645" s="409">
        <v>9202.6968503937023</v>
      </c>
      <c r="O645" s="410" t="s">
        <v>7569</v>
      </c>
      <c r="P645" s="406">
        <v>642</v>
      </c>
      <c r="Q645" s="470" t="s">
        <v>1347</v>
      </c>
      <c r="R645" s="460" t="s">
        <v>1348</v>
      </c>
      <c r="S645" s="270" t="s">
        <v>7</v>
      </c>
      <c r="U645" s="471"/>
      <c r="V645" s="471"/>
      <c r="W645" s="471" t="s">
        <v>1348</v>
      </c>
      <c r="X645" s="471">
        <v>1</v>
      </c>
    </row>
    <row r="646" spans="1:26">
      <c r="A646" s="406">
        <v>643</v>
      </c>
      <c r="B646" s="613" t="s">
        <v>5283</v>
      </c>
      <c r="C646" s="288" t="s">
        <v>1349</v>
      </c>
      <c r="D646" s="414" t="s">
        <v>4210</v>
      </c>
      <c r="E646" s="407" t="s">
        <v>9478</v>
      </c>
      <c r="F646" s="483" t="s">
        <v>5288</v>
      </c>
      <c r="G646" s="411" t="s">
        <v>5284</v>
      </c>
      <c r="H646" s="411" t="s">
        <v>5287</v>
      </c>
      <c r="I646" s="411"/>
      <c r="J646" s="411"/>
      <c r="K646" s="411"/>
      <c r="L646" s="608">
        <v>4329.5826771653547</v>
      </c>
      <c r="M646" s="409">
        <v>1569.248031496063</v>
      </c>
      <c r="N646" s="409">
        <v>5898.8307086614177</v>
      </c>
      <c r="O646" s="410" t="s">
        <v>7803</v>
      </c>
      <c r="P646" s="406">
        <v>643</v>
      </c>
      <c r="Q646" s="470" t="s">
        <v>1349</v>
      </c>
      <c r="R646" s="460" t="s">
        <v>1350</v>
      </c>
      <c r="S646" s="270" t="s">
        <v>7</v>
      </c>
      <c r="U646" s="471"/>
      <c r="V646" s="471"/>
      <c r="W646" s="471" t="s">
        <v>1350</v>
      </c>
      <c r="X646" s="471">
        <v>1</v>
      </c>
    </row>
    <row r="647" spans="1:26">
      <c r="A647" s="406">
        <v>644</v>
      </c>
      <c r="B647" s="613" t="s">
        <v>4934</v>
      </c>
      <c r="C647" s="288" t="s">
        <v>1351</v>
      </c>
      <c r="D647" s="414" t="s">
        <v>4179</v>
      </c>
      <c r="E647" s="407" t="s">
        <v>9479</v>
      </c>
      <c r="F647" s="483" t="s">
        <v>5285</v>
      </c>
      <c r="G647" s="411" t="s">
        <v>4935</v>
      </c>
      <c r="H647" s="411" t="s">
        <v>5286</v>
      </c>
      <c r="I647" s="411"/>
      <c r="J647" s="411"/>
      <c r="K647" s="411"/>
      <c r="L647" s="608">
        <v>4329.8740157480315</v>
      </c>
      <c r="M647" s="409">
        <v>1570.5039370078741</v>
      </c>
      <c r="N647" s="409">
        <v>5900.3779527559054</v>
      </c>
      <c r="O647" s="410" t="s">
        <v>7803</v>
      </c>
      <c r="P647" s="406">
        <v>644</v>
      </c>
      <c r="Q647" s="470" t="s">
        <v>1351</v>
      </c>
      <c r="R647" s="460" t="s">
        <v>1352</v>
      </c>
      <c r="S647" s="270" t="s">
        <v>7</v>
      </c>
      <c r="U647" s="471"/>
      <c r="V647" s="471"/>
      <c r="W647" s="471" t="s">
        <v>1352</v>
      </c>
      <c r="X647" s="471">
        <v>1</v>
      </c>
    </row>
    <row r="648" spans="1:26">
      <c r="A648" s="406">
        <v>645</v>
      </c>
      <c r="B648" s="613" t="s">
        <v>6394</v>
      </c>
      <c r="C648" s="288" t="s">
        <v>1353</v>
      </c>
      <c r="D648" s="414" t="s">
        <v>3775</v>
      </c>
      <c r="E648" s="407" t="s">
        <v>9480</v>
      </c>
      <c r="F648" s="483"/>
      <c r="G648" s="483"/>
      <c r="H648" s="483"/>
      <c r="I648" s="483"/>
      <c r="J648" s="483"/>
      <c r="K648" s="483"/>
      <c r="L648" s="608" t="s">
        <v>4884</v>
      </c>
      <c r="M648" s="409">
        <v>7969.2992125984256</v>
      </c>
      <c r="N648" s="409">
        <v>7969.2992125984256</v>
      </c>
      <c r="O648" s="410" t="s">
        <v>7574</v>
      </c>
      <c r="P648" s="406">
        <v>645</v>
      </c>
      <c r="Q648" s="470" t="s">
        <v>1353</v>
      </c>
      <c r="R648" s="460" t="s">
        <v>1354</v>
      </c>
      <c r="S648" s="270" t="s">
        <v>7</v>
      </c>
      <c r="U648" s="471"/>
      <c r="V648" s="471"/>
      <c r="W648" s="471" t="s">
        <v>1354</v>
      </c>
      <c r="X648" s="471">
        <v>1</v>
      </c>
    </row>
    <row r="649" spans="1:26">
      <c r="A649" s="406">
        <v>646</v>
      </c>
      <c r="B649" s="613" t="s">
        <v>7020</v>
      </c>
      <c r="C649" s="288" t="s">
        <v>1355</v>
      </c>
      <c r="D649" s="414" t="s">
        <v>4884</v>
      </c>
      <c r="E649" s="407"/>
      <c r="F649" s="483"/>
      <c r="G649" s="483"/>
      <c r="H649" s="483"/>
      <c r="I649" s="483"/>
      <c r="J649" s="483"/>
      <c r="K649" s="483"/>
      <c r="L649" s="608" t="s">
        <v>4884</v>
      </c>
      <c r="M649" s="409" t="s">
        <v>4884</v>
      </c>
      <c r="N649" s="409" t="s">
        <v>4884</v>
      </c>
      <c r="O649" s="410" t="s">
        <v>4884</v>
      </c>
      <c r="P649" s="406">
        <v>646</v>
      </c>
      <c r="Q649" s="470" t="s">
        <v>1355</v>
      </c>
      <c r="R649" s="460" t="s">
        <v>1356</v>
      </c>
      <c r="S649" s="270" t="s">
        <v>7</v>
      </c>
      <c r="U649" s="471"/>
      <c r="V649" s="471"/>
      <c r="W649" s="471" t="s">
        <v>1356</v>
      </c>
      <c r="X649" s="471">
        <v>0</v>
      </c>
    </row>
    <row r="650" spans="1:26">
      <c r="A650" s="406">
        <v>647</v>
      </c>
      <c r="B650" s="613" t="s">
        <v>7020</v>
      </c>
      <c r="C650" s="288" t="s">
        <v>1357</v>
      </c>
      <c r="D650" s="414" t="s">
        <v>4884</v>
      </c>
      <c r="E650" s="407"/>
      <c r="F650" s="483"/>
      <c r="G650" s="483"/>
      <c r="H650" s="483"/>
      <c r="I650" s="483"/>
      <c r="J650" s="483"/>
      <c r="K650" s="483"/>
      <c r="L650" s="608" t="s">
        <v>4884</v>
      </c>
      <c r="M650" s="409" t="s">
        <v>4884</v>
      </c>
      <c r="N650" s="409" t="s">
        <v>4884</v>
      </c>
      <c r="O650" s="410" t="s">
        <v>4884</v>
      </c>
      <c r="P650" s="406">
        <v>647</v>
      </c>
      <c r="Q650" s="470" t="s">
        <v>1357</v>
      </c>
      <c r="R650" s="460" t="s">
        <v>1358</v>
      </c>
      <c r="S650" s="270" t="s">
        <v>7</v>
      </c>
      <c r="U650" s="471"/>
      <c r="V650" s="471"/>
      <c r="W650" s="471" t="s">
        <v>1358</v>
      </c>
      <c r="X650" s="471">
        <v>0</v>
      </c>
    </row>
    <row r="651" spans="1:26">
      <c r="A651" s="406">
        <v>648</v>
      </c>
      <c r="B651" s="613" t="s">
        <v>7020</v>
      </c>
      <c r="C651" s="288" t="s">
        <v>1359</v>
      </c>
      <c r="D651" s="414" t="s">
        <v>4884</v>
      </c>
      <c r="E651" s="407"/>
      <c r="F651" s="483" t="s">
        <v>4936</v>
      </c>
      <c r="G651" s="411"/>
      <c r="H651" s="411"/>
      <c r="I651" s="411"/>
      <c r="J651" s="411"/>
      <c r="K651" s="411"/>
      <c r="L651" s="608" t="s">
        <v>4884</v>
      </c>
      <c r="M651" s="409" t="s">
        <v>4884</v>
      </c>
      <c r="N651" s="409" t="s">
        <v>4884</v>
      </c>
      <c r="O651" s="410" t="s">
        <v>4884</v>
      </c>
      <c r="P651" s="406">
        <v>648</v>
      </c>
      <c r="Q651" s="470" t="s">
        <v>1359</v>
      </c>
      <c r="R651" s="460" t="s">
        <v>1360</v>
      </c>
      <c r="S651" s="270" t="s">
        <v>7</v>
      </c>
      <c r="U651" s="471"/>
      <c r="V651" s="471"/>
      <c r="W651" s="471" t="s">
        <v>1360</v>
      </c>
      <c r="X651" s="471">
        <v>0</v>
      </c>
    </row>
    <row r="652" spans="1:26">
      <c r="A652" s="406">
        <v>649</v>
      </c>
      <c r="B652" s="613" t="s">
        <v>4929</v>
      </c>
      <c r="C652" s="288" t="s">
        <v>1361</v>
      </c>
      <c r="D652" s="414" t="s">
        <v>4484</v>
      </c>
      <c r="E652" s="407" t="s">
        <v>9481</v>
      </c>
      <c r="F652" s="483" t="s">
        <v>4918</v>
      </c>
      <c r="G652" s="483" t="s">
        <v>4933</v>
      </c>
      <c r="H652" s="411" t="s">
        <v>4930</v>
      </c>
      <c r="I652" s="411" t="s">
        <v>4932</v>
      </c>
      <c r="J652" s="411"/>
      <c r="K652" s="411"/>
      <c r="L652" s="608">
        <v>12748.177165354331</v>
      </c>
      <c r="M652" s="409">
        <v>966.4212598425197</v>
      </c>
      <c r="N652" s="409">
        <v>13714.598425196851</v>
      </c>
      <c r="O652" s="410" t="s">
        <v>7770</v>
      </c>
      <c r="P652" s="406">
        <v>649</v>
      </c>
      <c r="Q652" s="470" t="s">
        <v>1361</v>
      </c>
      <c r="R652" s="475" t="s">
        <v>1362</v>
      </c>
      <c r="S652" s="270" t="s">
        <v>32</v>
      </c>
      <c r="U652" s="471"/>
      <c r="V652" s="464">
        <v>0</v>
      </c>
      <c r="W652" s="471"/>
      <c r="X652" s="471"/>
      <c r="Z652" s="270" t="s">
        <v>1363</v>
      </c>
    </row>
    <row r="653" spans="1:26">
      <c r="A653" s="406">
        <v>650</v>
      </c>
      <c r="B653" s="613" t="s">
        <v>4929</v>
      </c>
      <c r="C653" s="288" t="s">
        <v>1364</v>
      </c>
      <c r="D653" s="414" t="s">
        <v>4484</v>
      </c>
      <c r="E653" s="407" t="s">
        <v>9481</v>
      </c>
      <c r="F653" s="483" t="s">
        <v>4931</v>
      </c>
      <c r="G653" s="411" t="s">
        <v>4930</v>
      </c>
      <c r="H653" s="411" t="s">
        <v>4932</v>
      </c>
      <c r="I653" s="411"/>
      <c r="J653" s="411"/>
      <c r="K653" s="411"/>
      <c r="L653" s="608">
        <v>12748.177165354331</v>
      </c>
      <c r="M653" s="409">
        <v>782.35433070866145</v>
      </c>
      <c r="N653" s="409">
        <v>13530.531496062993</v>
      </c>
      <c r="O653" s="410" t="s">
        <v>7770</v>
      </c>
      <c r="P653" s="406">
        <v>650</v>
      </c>
      <c r="Q653" s="470" t="s">
        <v>1364</v>
      </c>
      <c r="R653" s="460" t="s">
        <v>1365</v>
      </c>
      <c r="S653" s="270" t="s">
        <v>32</v>
      </c>
      <c r="U653" s="471"/>
      <c r="V653" s="471">
        <v>1</v>
      </c>
      <c r="W653" s="471" t="s">
        <v>1365</v>
      </c>
      <c r="X653" s="471">
        <v>0</v>
      </c>
      <c r="Z653" s="270" t="s">
        <v>4891</v>
      </c>
    </row>
    <row r="654" spans="1:26">
      <c r="A654" s="406">
        <v>651</v>
      </c>
      <c r="B654" s="613" t="s">
        <v>6395</v>
      </c>
      <c r="C654" s="288" t="s">
        <v>1366</v>
      </c>
      <c r="D654" s="414" t="s">
        <v>4225</v>
      </c>
      <c r="E654" s="407" t="s">
        <v>9482</v>
      </c>
      <c r="F654" s="483"/>
      <c r="G654" s="483"/>
      <c r="H654" s="483"/>
      <c r="I654" s="483"/>
      <c r="J654" s="483"/>
      <c r="K654" s="483"/>
      <c r="L654" s="608" t="s">
        <v>4884</v>
      </c>
      <c r="M654" s="409">
        <v>3394.3228346456694</v>
      </c>
      <c r="N654" s="409">
        <v>3394.3228346456694</v>
      </c>
      <c r="O654" s="410" t="s">
        <v>7572</v>
      </c>
      <c r="P654" s="406">
        <v>651</v>
      </c>
      <c r="Q654" s="470" t="s">
        <v>1366</v>
      </c>
      <c r="R654" s="460" t="s">
        <v>1367</v>
      </c>
      <c r="S654" s="270" t="s">
        <v>7</v>
      </c>
      <c r="U654" s="471"/>
      <c r="V654" s="471"/>
      <c r="W654" s="471" t="s">
        <v>1367</v>
      </c>
      <c r="X654" s="471">
        <v>1</v>
      </c>
    </row>
    <row r="655" spans="1:26">
      <c r="A655" s="406">
        <v>652</v>
      </c>
      <c r="B655" s="613" t="s">
        <v>6396</v>
      </c>
      <c r="C655" s="288" t="s">
        <v>1368</v>
      </c>
      <c r="D655" s="414" t="s">
        <v>4214</v>
      </c>
      <c r="E655" s="407" t="s">
        <v>9483</v>
      </c>
      <c r="F655" s="483"/>
      <c r="G655" s="483"/>
      <c r="H655" s="483"/>
      <c r="I655" s="483"/>
      <c r="J655" s="483"/>
      <c r="K655" s="483"/>
      <c r="L655" s="608" t="s">
        <v>4884</v>
      </c>
      <c r="M655" s="409">
        <v>4773.1889763779527</v>
      </c>
      <c r="N655" s="409">
        <v>4773.1889763779527</v>
      </c>
      <c r="O655" s="410" t="s">
        <v>7576</v>
      </c>
      <c r="P655" s="406">
        <v>652</v>
      </c>
      <c r="Q655" s="470" t="s">
        <v>1368</v>
      </c>
      <c r="R655" s="460" t="s">
        <v>1369</v>
      </c>
      <c r="S655" s="270" t="s">
        <v>7</v>
      </c>
      <c r="U655" s="471"/>
      <c r="V655" s="471"/>
      <c r="W655" s="471" t="s">
        <v>1369</v>
      </c>
      <c r="X655" s="471">
        <v>1</v>
      </c>
    </row>
    <row r="656" spans="1:26">
      <c r="A656" s="406">
        <v>653</v>
      </c>
      <c r="B656" s="613" t="s">
        <v>7020</v>
      </c>
      <c r="C656" s="288" t="s">
        <v>1370</v>
      </c>
      <c r="D656" s="414" t="s">
        <v>4884</v>
      </c>
      <c r="E656" s="407"/>
      <c r="F656" s="483"/>
      <c r="G656" s="483"/>
      <c r="H656" s="483"/>
      <c r="I656" s="483"/>
      <c r="J656" s="483"/>
      <c r="K656" s="483"/>
      <c r="L656" s="608" t="s">
        <v>4884</v>
      </c>
      <c r="M656" s="409" t="s">
        <v>4884</v>
      </c>
      <c r="N656" s="409" t="s">
        <v>4884</v>
      </c>
      <c r="O656" s="410" t="s">
        <v>4884</v>
      </c>
      <c r="P656" s="406">
        <v>653</v>
      </c>
      <c r="Q656" s="470" t="s">
        <v>1370</v>
      </c>
      <c r="R656" s="460" t="s">
        <v>1371</v>
      </c>
      <c r="S656" s="270" t="s">
        <v>7</v>
      </c>
      <c r="U656" s="471"/>
      <c r="V656" s="471"/>
      <c r="W656" s="478" t="s">
        <v>7515</v>
      </c>
      <c r="X656" s="471">
        <v>0</v>
      </c>
    </row>
    <row r="657" spans="1:26">
      <c r="A657" s="406">
        <v>654</v>
      </c>
      <c r="B657" s="613" t="s">
        <v>7020</v>
      </c>
      <c r="C657" s="288" t="s">
        <v>1372</v>
      </c>
      <c r="D657" s="414" t="s">
        <v>4884</v>
      </c>
      <c r="E657" s="407"/>
      <c r="F657" s="483"/>
      <c r="G657" s="483"/>
      <c r="H657" s="483"/>
      <c r="I657" s="483"/>
      <c r="J657" s="483"/>
      <c r="K657" s="483"/>
      <c r="L657" s="608" t="s">
        <v>4884</v>
      </c>
      <c r="M657" s="409" t="s">
        <v>4884</v>
      </c>
      <c r="N657" s="409" t="s">
        <v>4884</v>
      </c>
      <c r="O657" s="410" t="s">
        <v>4884</v>
      </c>
      <c r="P657" s="406">
        <v>654</v>
      </c>
      <c r="Q657" s="470" t="s">
        <v>1372</v>
      </c>
      <c r="R657" s="475" t="s">
        <v>1373</v>
      </c>
      <c r="S657" s="270" t="s">
        <v>7</v>
      </c>
      <c r="U657" s="471"/>
      <c r="V657" s="471"/>
      <c r="W657" s="478" t="s">
        <v>7516</v>
      </c>
      <c r="X657" s="471">
        <v>0</v>
      </c>
      <c r="Y657" s="206"/>
      <c r="Z657" s="206"/>
    </row>
    <row r="658" spans="1:26">
      <c r="A658" s="406">
        <v>655</v>
      </c>
      <c r="B658" s="613" t="s">
        <v>7020</v>
      </c>
      <c r="C658" s="288" t="s">
        <v>1374</v>
      </c>
      <c r="D658" s="414" t="s">
        <v>4884</v>
      </c>
      <c r="E658" s="407"/>
      <c r="F658" s="483"/>
      <c r="G658" s="483"/>
      <c r="H658" s="483"/>
      <c r="I658" s="483"/>
      <c r="J658" s="483"/>
      <c r="K658" s="483"/>
      <c r="L658" s="608" t="s">
        <v>4884</v>
      </c>
      <c r="M658" s="409" t="s">
        <v>4884</v>
      </c>
      <c r="N658" s="409" t="s">
        <v>4884</v>
      </c>
      <c r="O658" s="410" t="s">
        <v>4884</v>
      </c>
      <c r="P658" s="406">
        <v>655</v>
      </c>
      <c r="Q658" s="470" t="s">
        <v>1374</v>
      </c>
      <c r="R658" s="475" t="s">
        <v>1375</v>
      </c>
      <c r="S658" s="270" t="s">
        <v>7</v>
      </c>
      <c r="U658" s="471"/>
      <c r="V658" s="471"/>
      <c r="W658" s="478" t="s">
        <v>7517</v>
      </c>
      <c r="X658" s="471">
        <v>0</v>
      </c>
      <c r="Y658" s="206"/>
      <c r="Z658" s="206"/>
    </row>
    <row r="659" spans="1:26">
      <c r="A659" s="406">
        <v>656</v>
      </c>
      <c r="B659" s="613" t="s">
        <v>7020</v>
      </c>
      <c r="C659" s="288" t="s">
        <v>1376</v>
      </c>
      <c r="D659" s="414" t="s">
        <v>4884</v>
      </c>
      <c r="E659" s="407"/>
      <c r="F659" s="483"/>
      <c r="G659" s="483"/>
      <c r="H659" s="483"/>
      <c r="I659" s="483"/>
      <c r="J659" s="483"/>
      <c r="K659" s="483"/>
      <c r="L659" s="608" t="s">
        <v>4884</v>
      </c>
      <c r="M659" s="409" t="s">
        <v>4884</v>
      </c>
      <c r="N659" s="409" t="s">
        <v>4884</v>
      </c>
      <c r="O659" s="410" t="s">
        <v>4884</v>
      </c>
      <c r="P659" s="406">
        <v>656</v>
      </c>
      <c r="Q659" s="470" t="s">
        <v>1376</v>
      </c>
      <c r="R659" s="475" t="s">
        <v>1377</v>
      </c>
      <c r="S659" s="270" t="s">
        <v>7</v>
      </c>
      <c r="U659" s="471"/>
      <c r="V659" s="471"/>
      <c r="W659" s="478"/>
      <c r="X659" s="471">
        <v>0</v>
      </c>
      <c r="Y659" s="206"/>
      <c r="Z659" s="206"/>
    </row>
    <row r="660" spans="1:26">
      <c r="A660" s="406">
        <v>657</v>
      </c>
      <c r="B660" s="613" t="s">
        <v>7020</v>
      </c>
      <c r="C660" s="288" t="s">
        <v>1378</v>
      </c>
      <c r="D660" s="414" t="s">
        <v>4884</v>
      </c>
      <c r="E660" s="407"/>
      <c r="F660" s="483"/>
      <c r="G660" s="483"/>
      <c r="H660" s="483"/>
      <c r="I660" s="483"/>
      <c r="J660" s="483"/>
      <c r="K660" s="483"/>
      <c r="L660" s="608" t="s">
        <v>4884</v>
      </c>
      <c r="M660" s="409" t="s">
        <v>4884</v>
      </c>
      <c r="N660" s="409" t="s">
        <v>4884</v>
      </c>
      <c r="O660" s="410" t="s">
        <v>4884</v>
      </c>
      <c r="P660" s="406">
        <v>657</v>
      </c>
      <c r="Q660" s="470" t="s">
        <v>1378</v>
      </c>
      <c r="R660" s="475" t="s">
        <v>1379</v>
      </c>
      <c r="S660" s="270" t="s">
        <v>7</v>
      </c>
      <c r="U660" s="471"/>
      <c r="V660" s="471"/>
      <c r="W660" s="478"/>
      <c r="X660" s="471">
        <v>0</v>
      </c>
      <c r="Y660" s="206"/>
      <c r="Z660" s="206"/>
    </row>
    <row r="661" spans="1:26">
      <c r="A661" s="406">
        <v>658</v>
      </c>
      <c r="B661" s="613" t="s">
        <v>7020</v>
      </c>
      <c r="C661" s="288" t="s">
        <v>1380</v>
      </c>
      <c r="D661" s="414" t="s">
        <v>4884</v>
      </c>
      <c r="E661" s="407"/>
      <c r="F661" s="483"/>
      <c r="G661" s="483"/>
      <c r="H661" s="483"/>
      <c r="I661" s="483"/>
      <c r="J661" s="483"/>
      <c r="K661" s="483"/>
      <c r="L661" s="608" t="s">
        <v>4884</v>
      </c>
      <c r="M661" s="409" t="s">
        <v>4884</v>
      </c>
      <c r="N661" s="409" t="s">
        <v>4884</v>
      </c>
      <c r="O661" s="410" t="s">
        <v>4884</v>
      </c>
      <c r="P661" s="406">
        <v>658</v>
      </c>
      <c r="Q661" s="470" t="s">
        <v>1380</v>
      </c>
      <c r="R661" s="475" t="s">
        <v>1381</v>
      </c>
      <c r="S661" s="270" t="s">
        <v>7</v>
      </c>
      <c r="U661" s="471"/>
      <c r="V661" s="471"/>
      <c r="W661" s="478"/>
      <c r="X661" s="471">
        <v>0</v>
      </c>
      <c r="Y661" s="206"/>
      <c r="Z661" s="206"/>
    </row>
    <row r="662" spans="1:26">
      <c r="A662" s="406">
        <v>659</v>
      </c>
      <c r="B662" s="613" t="s">
        <v>7020</v>
      </c>
      <c r="C662" s="288" t="s">
        <v>1382</v>
      </c>
      <c r="D662" s="414" t="s">
        <v>4884</v>
      </c>
      <c r="E662" s="407"/>
      <c r="F662" s="483"/>
      <c r="G662" s="483"/>
      <c r="H662" s="483"/>
      <c r="I662" s="483"/>
      <c r="J662" s="483"/>
      <c r="K662" s="483"/>
      <c r="L662" s="608" t="s">
        <v>4884</v>
      </c>
      <c r="M662" s="409" t="s">
        <v>4884</v>
      </c>
      <c r="N662" s="409" t="s">
        <v>4884</v>
      </c>
      <c r="O662" s="410" t="s">
        <v>4884</v>
      </c>
      <c r="P662" s="406">
        <v>659</v>
      </c>
      <c r="Q662" s="470" t="s">
        <v>1382</v>
      </c>
      <c r="R662" s="475" t="s">
        <v>1383</v>
      </c>
      <c r="S662" s="270" t="s">
        <v>7</v>
      </c>
      <c r="U662" s="471"/>
      <c r="V662" s="471"/>
      <c r="W662" s="478"/>
      <c r="X662" s="471">
        <v>0</v>
      </c>
      <c r="Y662" s="206"/>
      <c r="Z662" s="206"/>
    </row>
    <row r="663" spans="1:26">
      <c r="A663" s="406">
        <v>660</v>
      </c>
      <c r="B663" s="613" t="s">
        <v>7020</v>
      </c>
      <c r="C663" s="288" t="s">
        <v>1384</v>
      </c>
      <c r="D663" s="414" t="s">
        <v>4884</v>
      </c>
      <c r="E663" s="407"/>
      <c r="F663" s="483"/>
      <c r="G663" s="483"/>
      <c r="H663" s="483"/>
      <c r="I663" s="483"/>
      <c r="J663" s="483"/>
      <c r="K663" s="483"/>
      <c r="L663" s="608" t="s">
        <v>4884</v>
      </c>
      <c r="M663" s="409" t="s">
        <v>4884</v>
      </c>
      <c r="N663" s="409" t="s">
        <v>4884</v>
      </c>
      <c r="O663" s="410" t="s">
        <v>4884</v>
      </c>
      <c r="P663" s="406">
        <v>660</v>
      </c>
      <c r="Q663" s="470" t="s">
        <v>1384</v>
      </c>
      <c r="R663" s="475" t="s">
        <v>1385</v>
      </c>
      <c r="S663" s="270" t="s">
        <v>7</v>
      </c>
      <c r="U663" s="471"/>
      <c r="V663" s="471"/>
      <c r="W663" s="478"/>
      <c r="X663" s="471">
        <v>0</v>
      </c>
      <c r="Y663" s="206"/>
      <c r="Z663" s="206"/>
    </row>
    <row r="664" spans="1:26">
      <c r="A664" s="406">
        <v>661</v>
      </c>
      <c r="B664" s="613" t="s">
        <v>7020</v>
      </c>
      <c r="C664" s="288" t="s">
        <v>1386</v>
      </c>
      <c r="D664" s="414" t="s">
        <v>4884</v>
      </c>
      <c r="E664" s="407"/>
      <c r="F664" s="483"/>
      <c r="G664" s="483"/>
      <c r="H664" s="483"/>
      <c r="I664" s="483"/>
      <c r="J664" s="483"/>
      <c r="K664" s="483"/>
      <c r="L664" s="608" t="s">
        <v>4884</v>
      </c>
      <c r="M664" s="409" t="s">
        <v>4884</v>
      </c>
      <c r="N664" s="409" t="s">
        <v>4884</v>
      </c>
      <c r="O664" s="410" t="s">
        <v>4884</v>
      </c>
      <c r="P664" s="406">
        <v>661</v>
      </c>
      <c r="Q664" s="470" t="s">
        <v>1386</v>
      </c>
      <c r="R664" s="460" t="s">
        <v>1387</v>
      </c>
      <c r="S664" s="270" t="s">
        <v>7</v>
      </c>
      <c r="U664" s="471"/>
      <c r="V664" s="471"/>
      <c r="W664" s="478"/>
      <c r="X664" s="471">
        <v>0</v>
      </c>
      <c r="Y664" s="206"/>
      <c r="Z664" s="206"/>
    </row>
    <row r="665" spans="1:26">
      <c r="A665" s="406">
        <v>662</v>
      </c>
      <c r="B665" s="613" t="s">
        <v>7020</v>
      </c>
      <c r="C665" s="288" t="s">
        <v>1388</v>
      </c>
      <c r="D665" s="414" t="s">
        <v>4884</v>
      </c>
      <c r="E665" s="407"/>
      <c r="F665" s="483"/>
      <c r="G665" s="483"/>
      <c r="H665" s="483"/>
      <c r="I665" s="483"/>
      <c r="J665" s="483"/>
      <c r="K665" s="483"/>
      <c r="L665" s="608" t="s">
        <v>4884</v>
      </c>
      <c r="M665" s="409" t="s">
        <v>4884</v>
      </c>
      <c r="N665" s="409" t="s">
        <v>4884</v>
      </c>
      <c r="O665" s="410" t="s">
        <v>4884</v>
      </c>
      <c r="P665" s="406">
        <v>662</v>
      </c>
      <c r="Q665" s="470" t="s">
        <v>1388</v>
      </c>
      <c r="R665" s="460" t="s">
        <v>1389</v>
      </c>
      <c r="S665" s="270" t="s">
        <v>7</v>
      </c>
      <c r="U665" s="471"/>
      <c r="V665" s="471"/>
      <c r="W665" s="478"/>
      <c r="X665" s="471">
        <v>0</v>
      </c>
      <c r="Y665" s="206"/>
      <c r="Z665" s="206"/>
    </row>
    <row r="666" spans="1:26">
      <c r="A666" s="406">
        <v>663</v>
      </c>
      <c r="B666" s="613" t="s">
        <v>7020</v>
      </c>
      <c r="C666" s="288" t="s">
        <v>1390</v>
      </c>
      <c r="D666" s="414" t="s">
        <v>4884</v>
      </c>
      <c r="E666" s="407"/>
      <c r="F666" s="483"/>
      <c r="G666" s="483"/>
      <c r="H666" s="483"/>
      <c r="I666" s="483"/>
      <c r="J666" s="483"/>
      <c r="K666" s="483"/>
      <c r="L666" s="608" t="s">
        <v>4884</v>
      </c>
      <c r="M666" s="409" t="s">
        <v>4884</v>
      </c>
      <c r="N666" s="409" t="s">
        <v>4884</v>
      </c>
      <c r="O666" s="410" t="s">
        <v>4884</v>
      </c>
      <c r="P666" s="406">
        <v>663</v>
      </c>
      <c r="Q666" s="470" t="s">
        <v>1390</v>
      </c>
      <c r="R666" s="475" t="s">
        <v>1391</v>
      </c>
      <c r="S666" s="270" t="s">
        <v>7</v>
      </c>
      <c r="U666" s="471"/>
      <c r="V666" s="471"/>
      <c r="W666" s="478"/>
      <c r="X666" s="471">
        <v>0</v>
      </c>
      <c r="Y666" s="206"/>
      <c r="Z666" s="206"/>
    </row>
    <row r="667" spans="1:26">
      <c r="A667" s="406">
        <v>664</v>
      </c>
      <c r="B667" s="613" t="s">
        <v>7020</v>
      </c>
      <c r="C667" s="288" t="s">
        <v>1392</v>
      </c>
      <c r="D667" s="414" t="s">
        <v>4884</v>
      </c>
      <c r="E667" s="407"/>
      <c r="F667" s="483"/>
      <c r="G667" s="483"/>
      <c r="H667" s="483"/>
      <c r="I667" s="483"/>
      <c r="J667" s="483"/>
      <c r="K667" s="483"/>
      <c r="L667" s="608" t="s">
        <v>4884</v>
      </c>
      <c r="M667" s="409" t="s">
        <v>4884</v>
      </c>
      <c r="N667" s="409" t="s">
        <v>4884</v>
      </c>
      <c r="O667" s="410" t="s">
        <v>4884</v>
      </c>
      <c r="P667" s="406">
        <v>664</v>
      </c>
      <c r="Q667" s="470" t="s">
        <v>1392</v>
      </c>
      <c r="R667" s="475" t="s">
        <v>1393</v>
      </c>
      <c r="S667" s="270" t="s">
        <v>7</v>
      </c>
      <c r="U667" s="471"/>
      <c r="V667" s="471"/>
      <c r="W667" s="478"/>
      <c r="X667" s="471">
        <v>0</v>
      </c>
      <c r="Y667" s="206"/>
      <c r="Z667" s="206"/>
    </row>
    <row r="668" spans="1:26">
      <c r="A668" s="406">
        <v>665</v>
      </c>
      <c r="B668" s="613" t="s">
        <v>7020</v>
      </c>
      <c r="C668" s="288" t="s">
        <v>1394</v>
      </c>
      <c r="D668" s="414" t="s">
        <v>4884</v>
      </c>
      <c r="E668" s="407"/>
      <c r="F668" s="483"/>
      <c r="G668" s="483"/>
      <c r="H668" s="483"/>
      <c r="I668" s="483"/>
      <c r="J668" s="483"/>
      <c r="K668" s="483"/>
      <c r="L668" s="608" t="s">
        <v>4884</v>
      </c>
      <c r="M668" s="409" t="s">
        <v>4884</v>
      </c>
      <c r="N668" s="409" t="s">
        <v>4884</v>
      </c>
      <c r="O668" s="410" t="s">
        <v>4884</v>
      </c>
      <c r="P668" s="406">
        <v>665</v>
      </c>
      <c r="Q668" s="470" t="s">
        <v>1394</v>
      </c>
      <c r="R668" s="475" t="s">
        <v>7985</v>
      </c>
      <c r="S668" s="270" t="s">
        <v>7986</v>
      </c>
      <c r="U668" s="471"/>
      <c r="V668" s="471"/>
      <c r="W668" s="478"/>
      <c r="X668" s="471">
        <v>0</v>
      </c>
      <c r="Y668" s="206"/>
      <c r="Z668" s="753" t="s">
        <v>7987</v>
      </c>
    </row>
    <row r="669" spans="1:26">
      <c r="A669" s="406">
        <v>666</v>
      </c>
      <c r="B669" s="613" t="s">
        <v>7020</v>
      </c>
      <c r="C669" s="288" t="s">
        <v>1395</v>
      </c>
      <c r="D669" s="414" t="s">
        <v>4884</v>
      </c>
      <c r="E669" s="407"/>
      <c r="F669" s="483"/>
      <c r="G669" s="483"/>
      <c r="H669" s="483"/>
      <c r="I669" s="483"/>
      <c r="J669" s="483"/>
      <c r="K669" s="483"/>
      <c r="L669" s="608" t="s">
        <v>4884</v>
      </c>
      <c r="M669" s="409" t="s">
        <v>4884</v>
      </c>
      <c r="N669" s="409" t="s">
        <v>4884</v>
      </c>
      <c r="O669" s="410" t="s">
        <v>4884</v>
      </c>
      <c r="P669" s="406">
        <v>666</v>
      </c>
      <c r="Q669" s="470" t="s">
        <v>1395</v>
      </c>
      <c r="R669" s="475" t="s">
        <v>7985</v>
      </c>
      <c r="S669" s="270" t="s">
        <v>7986</v>
      </c>
      <c r="U669" s="471"/>
      <c r="V669" s="471"/>
      <c r="W669" s="478"/>
      <c r="X669" s="471">
        <v>0</v>
      </c>
      <c r="Y669" s="206"/>
      <c r="Z669" s="753" t="s">
        <v>7988</v>
      </c>
    </row>
    <row r="670" spans="1:26">
      <c r="A670" s="406">
        <v>667</v>
      </c>
      <c r="B670" s="613" t="s">
        <v>7020</v>
      </c>
      <c r="C670" s="288" t="s">
        <v>1396</v>
      </c>
      <c r="D670" s="414" t="s">
        <v>4884</v>
      </c>
      <c r="E670" s="407"/>
      <c r="F670" s="483"/>
      <c r="G670" s="483"/>
      <c r="H670" s="483"/>
      <c r="I670" s="483"/>
      <c r="J670" s="483"/>
      <c r="K670" s="483"/>
      <c r="L670" s="608" t="s">
        <v>4884</v>
      </c>
      <c r="M670" s="409" t="s">
        <v>4884</v>
      </c>
      <c r="N670" s="409" t="s">
        <v>4884</v>
      </c>
      <c r="O670" s="410" t="s">
        <v>4884</v>
      </c>
      <c r="P670" s="406">
        <v>667</v>
      </c>
      <c r="Q670" s="470" t="s">
        <v>1396</v>
      </c>
      <c r="R670" s="475" t="s">
        <v>1397</v>
      </c>
      <c r="S670" s="270" t="s">
        <v>7</v>
      </c>
      <c r="U670" s="471"/>
      <c r="V670" s="471"/>
      <c r="W670" s="478"/>
      <c r="X670" s="471">
        <v>0</v>
      </c>
      <c r="Y670" s="206"/>
      <c r="Z670" s="206"/>
    </row>
    <row r="671" spans="1:26">
      <c r="A671" s="406">
        <v>668</v>
      </c>
      <c r="B671" s="613" t="s">
        <v>7020</v>
      </c>
      <c r="C671" s="288" t="s">
        <v>1398</v>
      </c>
      <c r="D671" s="414" t="s">
        <v>4884</v>
      </c>
      <c r="E671" s="407"/>
      <c r="F671" s="483"/>
      <c r="G671" s="483"/>
      <c r="H671" s="483"/>
      <c r="I671" s="483"/>
      <c r="J671" s="483"/>
      <c r="K671" s="483"/>
      <c r="L671" s="608" t="s">
        <v>4884</v>
      </c>
      <c r="M671" s="409" t="s">
        <v>4884</v>
      </c>
      <c r="N671" s="409" t="s">
        <v>4884</v>
      </c>
      <c r="O671" s="410" t="s">
        <v>4884</v>
      </c>
      <c r="P671" s="406">
        <v>668</v>
      </c>
      <c r="Q671" s="470" t="s">
        <v>1398</v>
      </c>
      <c r="R671" s="475" t="s">
        <v>1399</v>
      </c>
      <c r="S671" s="270" t="s">
        <v>7</v>
      </c>
      <c r="U671" s="471"/>
      <c r="V671" s="471"/>
      <c r="W671" s="478"/>
      <c r="X671" s="471">
        <v>0</v>
      </c>
      <c r="Y671" s="206"/>
      <c r="Z671" s="206"/>
    </row>
    <row r="672" spans="1:26">
      <c r="A672" s="406">
        <v>669</v>
      </c>
      <c r="B672" s="613" t="s">
        <v>6397</v>
      </c>
      <c r="C672" s="288" t="s">
        <v>1400</v>
      </c>
      <c r="D672" s="414" t="s">
        <v>4220</v>
      </c>
      <c r="E672" s="407" t="s">
        <v>9484</v>
      </c>
      <c r="F672" s="483"/>
      <c r="G672" s="483"/>
      <c r="H672" s="483"/>
      <c r="I672" s="483"/>
      <c r="J672" s="483"/>
      <c r="K672" s="483"/>
      <c r="L672" s="608" t="s">
        <v>4884</v>
      </c>
      <c r="M672" s="409">
        <v>3898.9291338582675</v>
      </c>
      <c r="N672" s="409">
        <v>3898.9291338582675</v>
      </c>
      <c r="O672" s="410" t="s">
        <v>7572</v>
      </c>
      <c r="P672" s="406">
        <v>669</v>
      </c>
      <c r="Q672" s="470" t="s">
        <v>1400</v>
      </c>
      <c r="R672" s="460" t="s">
        <v>1401</v>
      </c>
      <c r="S672" s="270" t="s">
        <v>7</v>
      </c>
      <c r="U672" s="471"/>
      <c r="V672" s="471"/>
      <c r="W672" s="471" t="s">
        <v>1401</v>
      </c>
      <c r="X672" s="471">
        <v>1</v>
      </c>
      <c r="Y672" s="206"/>
      <c r="Z672" s="206"/>
    </row>
    <row r="673" spans="1:26">
      <c r="A673" s="406">
        <v>670</v>
      </c>
      <c r="B673" s="613" t="s">
        <v>6398</v>
      </c>
      <c r="C673" s="288" t="s">
        <v>1402</v>
      </c>
      <c r="D673" s="414" t="s">
        <v>4173</v>
      </c>
      <c r="E673" s="407" t="s">
        <v>9485</v>
      </c>
      <c r="F673" s="483"/>
      <c r="G673" s="483"/>
      <c r="H673" s="483"/>
      <c r="I673" s="483"/>
      <c r="J673" s="483"/>
      <c r="K673" s="483"/>
      <c r="L673" s="608" t="s">
        <v>4884</v>
      </c>
      <c r="M673" s="409">
        <v>4506.1259842519685</v>
      </c>
      <c r="N673" s="409">
        <v>4506.1259842519685</v>
      </c>
      <c r="O673" s="410" t="s">
        <v>7572</v>
      </c>
      <c r="P673" s="406">
        <v>670</v>
      </c>
      <c r="Q673" s="470" t="s">
        <v>1402</v>
      </c>
      <c r="R673" s="270" t="s">
        <v>1403</v>
      </c>
      <c r="S673" s="270" t="s">
        <v>7</v>
      </c>
      <c r="U673" s="471"/>
      <c r="V673" s="471"/>
      <c r="W673" s="471" t="s">
        <v>1403</v>
      </c>
      <c r="X673" s="471">
        <v>1</v>
      </c>
    </row>
    <row r="674" spans="1:26">
      <c r="A674" s="406">
        <v>671</v>
      </c>
      <c r="B674" s="613" t="s">
        <v>6399</v>
      </c>
      <c r="C674" s="288" t="s">
        <v>1404</v>
      </c>
      <c r="D674" s="414" t="s">
        <v>4169</v>
      </c>
      <c r="E674" s="407" t="s">
        <v>9486</v>
      </c>
      <c r="F674" s="483"/>
      <c r="G674" s="483"/>
      <c r="H674" s="483"/>
      <c r="I674" s="483"/>
      <c r="J674" s="483"/>
      <c r="K674" s="483"/>
      <c r="L674" s="608" t="s">
        <v>4884</v>
      </c>
      <c r="M674" s="409">
        <v>4788.4566929133862</v>
      </c>
      <c r="N674" s="409">
        <v>4788.4566929133862</v>
      </c>
      <c r="O674" s="410" t="s">
        <v>7576</v>
      </c>
      <c r="P674" s="406">
        <v>671</v>
      </c>
      <c r="Q674" s="470" t="s">
        <v>1404</v>
      </c>
      <c r="R674" s="270" t="s">
        <v>1405</v>
      </c>
      <c r="S674" s="270" t="s">
        <v>7</v>
      </c>
      <c r="U674" s="471"/>
      <c r="V674" s="471"/>
      <c r="W674" s="471" t="s">
        <v>1405</v>
      </c>
      <c r="X674" s="471">
        <v>1</v>
      </c>
    </row>
    <row r="675" spans="1:26">
      <c r="A675" s="406">
        <v>672</v>
      </c>
      <c r="B675" s="613" t="s">
        <v>6400</v>
      </c>
      <c r="C675" s="288" t="s">
        <v>1406</v>
      </c>
      <c r="D675" s="414" t="s">
        <v>4145</v>
      </c>
      <c r="E675" s="407" t="s">
        <v>9487</v>
      </c>
      <c r="F675" s="483"/>
      <c r="G675" s="483"/>
      <c r="H675" s="483"/>
      <c r="I675" s="483"/>
      <c r="J675" s="483"/>
      <c r="K675" s="483"/>
      <c r="L675" s="608" t="s">
        <v>4884</v>
      </c>
      <c r="M675" s="409">
        <v>4074.9921259842522</v>
      </c>
      <c r="N675" s="409">
        <v>4074.9921259842522</v>
      </c>
      <c r="O675" s="410" t="s">
        <v>7567</v>
      </c>
      <c r="P675" s="406">
        <v>672</v>
      </c>
      <c r="Q675" s="470" t="s">
        <v>1406</v>
      </c>
      <c r="R675" s="270" t="s">
        <v>1407</v>
      </c>
      <c r="S675" s="270" t="s">
        <v>7</v>
      </c>
      <c r="U675" s="471"/>
      <c r="V675" s="471"/>
      <c r="W675" s="471" t="s">
        <v>1407</v>
      </c>
      <c r="X675" s="471">
        <v>1</v>
      </c>
    </row>
    <row r="676" spans="1:26">
      <c r="A676" s="406">
        <v>673</v>
      </c>
      <c r="B676" s="613" t="s">
        <v>6401</v>
      </c>
      <c r="C676" s="288" t="s">
        <v>1408</v>
      </c>
      <c r="D676" s="414" t="s">
        <v>4193</v>
      </c>
      <c r="E676" s="407" t="s">
        <v>9488</v>
      </c>
      <c r="F676" s="483"/>
      <c r="G676" s="483"/>
      <c r="H676" s="483"/>
      <c r="I676" s="483"/>
      <c r="J676" s="483"/>
      <c r="K676" s="483"/>
      <c r="L676" s="608" t="s">
        <v>4884</v>
      </c>
      <c r="M676" s="409">
        <v>4556.0629921259842</v>
      </c>
      <c r="N676" s="409">
        <v>4556.0629921259842</v>
      </c>
      <c r="O676" s="410" t="s">
        <v>7574</v>
      </c>
      <c r="P676" s="406">
        <v>673</v>
      </c>
      <c r="Q676" s="470" t="s">
        <v>1408</v>
      </c>
      <c r="R676" s="270" t="s">
        <v>1409</v>
      </c>
      <c r="S676" s="270" t="s">
        <v>7</v>
      </c>
      <c r="U676" s="471"/>
      <c r="V676" s="471"/>
      <c r="W676" s="471" t="s">
        <v>1409</v>
      </c>
      <c r="X676" s="471">
        <v>1</v>
      </c>
    </row>
    <row r="677" spans="1:26">
      <c r="A677" s="406">
        <v>674</v>
      </c>
      <c r="B677" s="613" t="s">
        <v>6402</v>
      </c>
      <c r="C677" s="288" t="s">
        <v>1410</v>
      </c>
      <c r="D677" s="414" t="s">
        <v>4194</v>
      </c>
      <c r="E677" s="407" t="s">
        <v>9489</v>
      </c>
      <c r="F677" s="483"/>
      <c r="G677" s="483"/>
      <c r="H677" s="411"/>
      <c r="I677" s="411"/>
      <c r="J677" s="411"/>
      <c r="K677" s="411"/>
      <c r="L677" s="608" t="s">
        <v>4884</v>
      </c>
      <c r="M677" s="409">
        <v>4109.6259842519685</v>
      </c>
      <c r="N677" s="409">
        <v>4109.6259842519685</v>
      </c>
      <c r="O677" s="410" t="s">
        <v>7574</v>
      </c>
      <c r="P677" s="406">
        <v>674</v>
      </c>
      <c r="Q677" s="470" t="s">
        <v>1410</v>
      </c>
      <c r="R677" s="270" t="s">
        <v>1411</v>
      </c>
      <c r="S677" s="270" t="s">
        <v>7</v>
      </c>
      <c r="U677" s="471"/>
      <c r="V677" s="471"/>
      <c r="W677" s="471" t="s">
        <v>1411</v>
      </c>
      <c r="X677" s="471">
        <v>1</v>
      </c>
    </row>
    <row r="678" spans="1:26">
      <c r="A678" s="406">
        <v>675</v>
      </c>
      <c r="B678" s="613" t="s">
        <v>6403</v>
      </c>
      <c r="C678" s="288" t="s">
        <v>1412</v>
      </c>
      <c r="D678" s="414" t="s">
        <v>4149</v>
      </c>
      <c r="E678" s="407" t="s">
        <v>9490</v>
      </c>
      <c r="F678" s="483"/>
      <c r="G678" s="483"/>
      <c r="H678" s="411"/>
      <c r="I678" s="411"/>
      <c r="J678" s="411"/>
      <c r="K678" s="411"/>
      <c r="L678" s="608" t="s">
        <v>4884</v>
      </c>
      <c r="M678" s="409">
        <v>4494.6102362204729</v>
      </c>
      <c r="N678" s="409">
        <v>4494.6102362204729</v>
      </c>
      <c r="O678" s="410" t="s">
        <v>7567</v>
      </c>
      <c r="P678" s="406">
        <v>675</v>
      </c>
      <c r="Q678" s="470" t="s">
        <v>1412</v>
      </c>
      <c r="R678" s="460" t="s">
        <v>1413</v>
      </c>
      <c r="S678" s="270" t="s">
        <v>7</v>
      </c>
      <c r="U678" s="471"/>
      <c r="V678" s="471"/>
      <c r="W678" s="471" t="s">
        <v>1413</v>
      </c>
      <c r="X678" s="471">
        <v>1</v>
      </c>
    </row>
    <row r="679" spans="1:26">
      <c r="A679" s="406">
        <v>676</v>
      </c>
      <c r="B679" s="613" t="s">
        <v>6404</v>
      </c>
      <c r="C679" s="288" t="s">
        <v>1414</v>
      </c>
      <c r="D679" s="414" t="s">
        <v>4218</v>
      </c>
      <c r="E679" s="407" t="s">
        <v>9491</v>
      </c>
      <c r="F679" s="483"/>
      <c r="G679" s="483"/>
      <c r="H679" s="483"/>
      <c r="I679" s="483"/>
      <c r="J679" s="483"/>
      <c r="K679" s="483"/>
      <c r="L679" s="608" t="s">
        <v>4884</v>
      </c>
      <c r="M679" s="409">
        <v>4031.0748031496069</v>
      </c>
      <c r="N679" s="409">
        <v>4031.0748031496069</v>
      </c>
      <c r="O679" s="410" t="s">
        <v>7572</v>
      </c>
      <c r="P679" s="406">
        <v>676</v>
      </c>
      <c r="Q679" s="470" t="s">
        <v>1414</v>
      </c>
      <c r="R679" s="460" t="s">
        <v>1415</v>
      </c>
      <c r="S679" s="270" t="s">
        <v>7</v>
      </c>
      <c r="U679" s="471"/>
      <c r="V679" s="471"/>
      <c r="W679" s="471" t="s">
        <v>1415</v>
      </c>
      <c r="X679" s="471">
        <v>1</v>
      </c>
    </row>
    <row r="680" spans="1:26">
      <c r="A680" s="406">
        <v>677</v>
      </c>
      <c r="B680" s="613" t="s">
        <v>6405</v>
      </c>
      <c r="C680" s="288" t="s">
        <v>1416</v>
      </c>
      <c r="D680" s="414" t="s">
        <v>3773</v>
      </c>
      <c r="E680" s="407" t="s">
        <v>9492</v>
      </c>
      <c r="F680" s="483"/>
      <c r="G680" s="483"/>
      <c r="H680" s="483"/>
      <c r="I680" s="483"/>
      <c r="J680" s="483"/>
      <c r="K680" s="483"/>
      <c r="L680" s="608" t="s">
        <v>4884</v>
      </c>
      <c r="M680" s="409">
        <v>8089.8700787401576</v>
      </c>
      <c r="N680" s="409">
        <v>8089.8700787401576</v>
      </c>
      <c r="O680" s="410" t="s">
        <v>7574</v>
      </c>
      <c r="P680" s="406">
        <v>677</v>
      </c>
      <c r="Q680" s="470" t="s">
        <v>1416</v>
      </c>
      <c r="R680" s="460" t="s">
        <v>1417</v>
      </c>
      <c r="S680" s="270" t="s">
        <v>7</v>
      </c>
      <c r="U680" s="471"/>
      <c r="V680" s="471"/>
      <c r="W680" s="471" t="s">
        <v>1417</v>
      </c>
      <c r="X680" s="471">
        <v>1</v>
      </c>
    </row>
    <row r="681" spans="1:26">
      <c r="A681" s="406">
        <v>678</v>
      </c>
      <c r="B681" s="613" t="s">
        <v>5275</v>
      </c>
      <c r="C681" s="288" t="s">
        <v>1418</v>
      </c>
      <c r="D681" s="414" t="s">
        <v>4209</v>
      </c>
      <c r="E681" s="407" t="s">
        <v>9407</v>
      </c>
      <c r="F681" s="483" t="s">
        <v>5273</v>
      </c>
      <c r="G681" s="411" t="s">
        <v>5276</v>
      </c>
      <c r="H681" s="411"/>
      <c r="I681" s="411"/>
      <c r="J681" s="411"/>
      <c r="K681" s="411"/>
      <c r="L681" s="608">
        <v>5887.1692913385823</v>
      </c>
      <c r="M681" s="409">
        <v>7277.3031496062995</v>
      </c>
      <c r="N681" s="409">
        <v>13164.472440944883</v>
      </c>
      <c r="O681" s="410" t="s">
        <v>7748</v>
      </c>
      <c r="P681" s="406">
        <v>678</v>
      </c>
      <c r="Q681" s="470" t="s">
        <v>1418</v>
      </c>
      <c r="R681" s="460" t="s">
        <v>1419</v>
      </c>
      <c r="S681" s="270" t="s">
        <v>7</v>
      </c>
      <c r="U681" s="471"/>
      <c r="V681" s="471"/>
      <c r="W681" s="471" t="s">
        <v>1419</v>
      </c>
      <c r="X681" s="471">
        <v>1</v>
      </c>
      <c r="Z681" s="270" t="s">
        <v>1420</v>
      </c>
    </row>
    <row r="682" spans="1:26">
      <c r="A682" s="406">
        <v>679</v>
      </c>
      <c r="B682" s="613" t="s">
        <v>5267</v>
      </c>
      <c r="C682" s="288" t="s">
        <v>1421</v>
      </c>
      <c r="D682" s="414" t="s">
        <v>4181</v>
      </c>
      <c r="E682" s="407" t="s">
        <v>9408</v>
      </c>
      <c r="F682" s="483" t="s">
        <v>5265</v>
      </c>
      <c r="G682" s="411" t="s">
        <v>5268</v>
      </c>
      <c r="H682" s="411"/>
      <c r="I682" s="411"/>
      <c r="J682" s="411"/>
      <c r="K682" s="411"/>
      <c r="L682" s="608">
        <v>5994.0314960629921</v>
      </c>
      <c r="M682" s="409">
        <v>3633.2598425196852</v>
      </c>
      <c r="N682" s="409">
        <v>9627.2913385826778</v>
      </c>
      <c r="O682" s="410" t="s">
        <v>7751</v>
      </c>
      <c r="P682" s="406">
        <v>679</v>
      </c>
      <c r="Q682" s="470" t="s">
        <v>1421</v>
      </c>
      <c r="R682" s="460" t="s">
        <v>1422</v>
      </c>
      <c r="S682" s="270" t="s">
        <v>7</v>
      </c>
      <c r="U682" s="471"/>
      <c r="V682" s="471"/>
      <c r="W682" s="471" t="s">
        <v>1422</v>
      </c>
      <c r="X682" s="471">
        <v>1</v>
      </c>
      <c r="Z682" s="270" t="s">
        <v>1423</v>
      </c>
    </row>
    <row r="683" spans="1:26">
      <c r="A683" s="406">
        <v>680</v>
      </c>
      <c r="B683" s="613" t="s">
        <v>6406</v>
      </c>
      <c r="C683" s="288" t="s">
        <v>1424</v>
      </c>
      <c r="D683" s="414" t="s">
        <v>3774</v>
      </c>
      <c r="E683" s="407" t="s">
        <v>9493</v>
      </c>
      <c r="F683" s="483"/>
      <c r="G683" s="483"/>
      <c r="H683" s="483"/>
      <c r="I683" s="483"/>
      <c r="J683" s="483"/>
      <c r="K683" s="483"/>
      <c r="L683" s="608" t="s">
        <v>4884</v>
      </c>
      <c r="M683" s="409">
        <v>7008.7795275590552</v>
      </c>
      <c r="N683" s="409">
        <v>7008.7795275590552</v>
      </c>
      <c r="O683" s="410" t="s">
        <v>7573</v>
      </c>
      <c r="P683" s="406">
        <v>680</v>
      </c>
      <c r="Q683" s="470" t="s">
        <v>1424</v>
      </c>
      <c r="R683" s="460" t="s">
        <v>1425</v>
      </c>
      <c r="S683" s="270" t="s">
        <v>7</v>
      </c>
      <c r="U683" s="471"/>
      <c r="V683" s="471"/>
      <c r="W683" s="471" t="s">
        <v>1425</v>
      </c>
      <c r="X683" s="471">
        <v>1</v>
      </c>
    </row>
    <row r="684" spans="1:26">
      <c r="A684" s="406">
        <v>681</v>
      </c>
      <c r="B684" s="613" t="s">
        <v>6739</v>
      </c>
      <c r="C684" s="288" t="s">
        <v>1426</v>
      </c>
      <c r="D684" s="414" t="s">
        <v>3820</v>
      </c>
      <c r="E684" s="407" t="s">
        <v>9494</v>
      </c>
      <c r="F684" s="483" t="s">
        <v>6766</v>
      </c>
      <c r="G684" s="483" t="s">
        <v>6738</v>
      </c>
      <c r="H684" s="411" t="s">
        <v>6751</v>
      </c>
      <c r="I684" s="411"/>
      <c r="J684" s="411"/>
      <c r="K684" s="411"/>
      <c r="L684" s="608">
        <v>6099.322834645669</v>
      </c>
      <c r="M684" s="409">
        <v>1523.7322834645672</v>
      </c>
      <c r="N684" s="409">
        <v>7623.0551181102364</v>
      </c>
      <c r="O684" s="410" t="s">
        <v>7774</v>
      </c>
      <c r="P684" s="406">
        <v>681</v>
      </c>
      <c r="Q684" s="470" t="s">
        <v>1426</v>
      </c>
      <c r="R684" s="460" t="s">
        <v>1427</v>
      </c>
      <c r="S684" s="270" t="s">
        <v>7</v>
      </c>
      <c r="U684" s="471"/>
      <c r="V684" s="471"/>
      <c r="W684" s="471" t="s">
        <v>1427</v>
      </c>
      <c r="X684" s="471">
        <v>1</v>
      </c>
    </row>
    <row r="685" spans="1:26">
      <c r="A685" s="406">
        <v>682</v>
      </c>
      <c r="B685" s="613" t="s">
        <v>7020</v>
      </c>
      <c r="C685" s="288" t="s">
        <v>1428</v>
      </c>
      <c r="D685" s="414" t="s">
        <v>4884</v>
      </c>
      <c r="E685" s="407"/>
      <c r="F685" s="483" t="s">
        <v>4923</v>
      </c>
      <c r="G685" s="411"/>
      <c r="H685" s="411"/>
      <c r="I685" s="411"/>
      <c r="J685" s="411"/>
      <c r="K685" s="411"/>
      <c r="L685" s="608" t="s">
        <v>4884</v>
      </c>
      <c r="M685" s="409" t="s">
        <v>4884</v>
      </c>
      <c r="N685" s="409" t="s">
        <v>4884</v>
      </c>
      <c r="O685" s="410" t="s">
        <v>4884</v>
      </c>
      <c r="P685" s="406">
        <v>682</v>
      </c>
      <c r="Q685" s="470" t="s">
        <v>1428</v>
      </c>
      <c r="R685" s="460" t="s">
        <v>1429</v>
      </c>
      <c r="S685" s="270" t="s">
        <v>748</v>
      </c>
      <c r="U685" s="471">
        <v>0</v>
      </c>
      <c r="V685" s="471">
        <v>0</v>
      </c>
      <c r="W685" s="471" t="s">
        <v>1429</v>
      </c>
      <c r="X685" s="471">
        <v>0</v>
      </c>
    </row>
    <row r="686" spans="1:26">
      <c r="A686" s="406">
        <v>683</v>
      </c>
      <c r="B686" s="613" t="s">
        <v>7020</v>
      </c>
      <c r="C686" s="288" t="s">
        <v>1430</v>
      </c>
      <c r="D686" s="414" t="s">
        <v>4884</v>
      </c>
      <c r="E686" s="407"/>
      <c r="F686" s="483" t="s">
        <v>4928</v>
      </c>
      <c r="G686" s="411"/>
      <c r="H686" s="411"/>
      <c r="I686" s="411"/>
      <c r="J686" s="411"/>
      <c r="K686" s="411"/>
      <c r="L686" s="608" t="s">
        <v>4884</v>
      </c>
      <c r="M686" s="409" t="s">
        <v>4884</v>
      </c>
      <c r="N686" s="409" t="s">
        <v>4884</v>
      </c>
      <c r="O686" s="410" t="s">
        <v>4884</v>
      </c>
      <c r="P686" s="406">
        <v>683</v>
      </c>
      <c r="Q686" s="470" t="s">
        <v>1430</v>
      </c>
      <c r="R686" s="460" t="s">
        <v>1431</v>
      </c>
      <c r="S686" s="270" t="s">
        <v>748</v>
      </c>
      <c r="U686" s="471">
        <v>0</v>
      </c>
      <c r="V686" s="471">
        <v>0</v>
      </c>
      <c r="W686" s="471" t="s">
        <v>1431</v>
      </c>
      <c r="X686" s="471">
        <v>0</v>
      </c>
    </row>
    <row r="687" spans="1:26">
      <c r="A687" s="406">
        <v>684</v>
      </c>
      <c r="B687" s="613" t="s">
        <v>4924</v>
      </c>
      <c r="C687" s="288" t="s">
        <v>1432</v>
      </c>
      <c r="D687" s="414" t="s">
        <v>4189</v>
      </c>
      <c r="E687" s="407" t="s">
        <v>9495</v>
      </c>
      <c r="F687" s="483" t="s">
        <v>4926</v>
      </c>
      <c r="G687" s="483" t="s">
        <v>4927</v>
      </c>
      <c r="H687" s="411" t="s">
        <v>4925</v>
      </c>
      <c r="I687" s="411"/>
      <c r="J687" s="411"/>
      <c r="K687" s="411"/>
      <c r="L687" s="608">
        <v>6283.2637795275596</v>
      </c>
      <c r="M687" s="409">
        <v>5521.6299212598433</v>
      </c>
      <c r="N687" s="409">
        <v>11804.893700787401</v>
      </c>
      <c r="O687" s="410" t="s">
        <v>7751</v>
      </c>
      <c r="P687" s="406">
        <v>684</v>
      </c>
      <c r="Q687" s="470" t="s">
        <v>1432</v>
      </c>
      <c r="R687" s="460" t="s">
        <v>1433</v>
      </c>
      <c r="S687" s="270" t="s">
        <v>7</v>
      </c>
      <c r="U687" s="471"/>
      <c r="V687" s="471"/>
      <c r="W687" s="471" t="s">
        <v>1433</v>
      </c>
      <c r="X687" s="471">
        <v>1</v>
      </c>
    </row>
    <row r="688" spans="1:26">
      <c r="A688" s="406">
        <v>685</v>
      </c>
      <c r="B688" s="613" t="s">
        <v>4919</v>
      </c>
      <c r="C688" s="288" t="s">
        <v>1434</v>
      </c>
      <c r="D688" s="414" t="s">
        <v>4187</v>
      </c>
      <c r="E688" s="407" t="s">
        <v>9496</v>
      </c>
      <c r="F688" s="483" t="s">
        <v>4921</v>
      </c>
      <c r="G688" s="483" t="s">
        <v>4922</v>
      </c>
      <c r="H688" s="411" t="s">
        <v>4920</v>
      </c>
      <c r="I688" s="411"/>
      <c r="J688" s="411"/>
      <c r="K688" s="411"/>
      <c r="L688" s="608">
        <v>5682.8149606299221</v>
      </c>
      <c r="M688" s="409">
        <v>5884.1023622047242</v>
      </c>
      <c r="N688" s="409">
        <v>11566.917322834648</v>
      </c>
      <c r="O688" s="410" t="s">
        <v>7751</v>
      </c>
      <c r="P688" s="406">
        <v>685</v>
      </c>
      <c r="Q688" s="470" t="s">
        <v>1434</v>
      </c>
      <c r="R688" s="460" t="s">
        <v>1435</v>
      </c>
      <c r="S688" s="270" t="s">
        <v>7</v>
      </c>
      <c r="U688" s="471"/>
      <c r="V688" s="471"/>
      <c r="W688" s="471" t="s">
        <v>1435</v>
      </c>
      <c r="X688" s="471">
        <v>1</v>
      </c>
    </row>
    <row r="689" spans="1:26">
      <c r="A689" s="406">
        <v>686</v>
      </c>
      <c r="B689" s="613" t="s">
        <v>7020</v>
      </c>
      <c r="C689" s="288" t="s">
        <v>1436</v>
      </c>
      <c r="D689" s="414" t="s">
        <v>4884</v>
      </c>
      <c r="E689" s="407"/>
      <c r="F689" s="483" t="s">
        <v>4941</v>
      </c>
      <c r="G689" s="483" t="s">
        <v>5289</v>
      </c>
      <c r="H689" s="411"/>
      <c r="I689" s="411"/>
      <c r="J689" s="411"/>
      <c r="K689" s="411"/>
      <c r="L689" s="608" t="s">
        <v>4884</v>
      </c>
      <c r="M689" s="409" t="s">
        <v>4884</v>
      </c>
      <c r="N689" s="409" t="s">
        <v>4884</v>
      </c>
      <c r="O689" s="410" t="s">
        <v>4884</v>
      </c>
      <c r="P689" s="406">
        <v>686</v>
      </c>
      <c r="Q689" s="470" t="s">
        <v>1436</v>
      </c>
      <c r="R689" s="460" t="s">
        <v>1437</v>
      </c>
      <c r="S689" s="270" t="s">
        <v>748</v>
      </c>
      <c r="U689" s="471">
        <v>0</v>
      </c>
      <c r="V689" s="471">
        <v>0</v>
      </c>
      <c r="W689" s="471" t="s">
        <v>1437</v>
      </c>
      <c r="X689" s="471">
        <v>0</v>
      </c>
    </row>
    <row r="690" spans="1:26">
      <c r="A690" s="406">
        <v>687</v>
      </c>
      <c r="B690" s="613" t="s">
        <v>7020</v>
      </c>
      <c r="C690" s="288" t="s">
        <v>1438</v>
      </c>
      <c r="D690" s="414" t="s">
        <v>4884</v>
      </c>
      <c r="E690" s="407"/>
      <c r="F690" s="483"/>
      <c r="G690" s="483"/>
      <c r="H690" s="483"/>
      <c r="I690" s="483"/>
      <c r="J690" s="483"/>
      <c r="K690" s="483"/>
      <c r="L690" s="608" t="s">
        <v>4884</v>
      </c>
      <c r="M690" s="409" t="s">
        <v>4884</v>
      </c>
      <c r="N690" s="409" t="s">
        <v>4884</v>
      </c>
      <c r="O690" s="410" t="s">
        <v>4884</v>
      </c>
      <c r="P690" s="406">
        <v>687</v>
      </c>
      <c r="Q690" s="470" t="s">
        <v>1438</v>
      </c>
      <c r="R690" s="460" t="s">
        <v>1439</v>
      </c>
      <c r="S690" s="270" t="s">
        <v>748</v>
      </c>
      <c r="U690" s="471">
        <v>0</v>
      </c>
      <c r="V690" s="471">
        <v>0</v>
      </c>
      <c r="W690" s="471" t="s">
        <v>1439</v>
      </c>
      <c r="X690" s="471">
        <v>0</v>
      </c>
    </row>
    <row r="691" spans="1:26">
      <c r="A691" s="406">
        <v>688</v>
      </c>
      <c r="B691" s="613" t="s">
        <v>7020</v>
      </c>
      <c r="C691" s="288" t="s">
        <v>1440</v>
      </c>
      <c r="D691" s="414" t="s">
        <v>4884</v>
      </c>
      <c r="E691" s="407"/>
      <c r="F691" s="483" t="s">
        <v>4942</v>
      </c>
      <c r="G691" s="483" t="s">
        <v>5290</v>
      </c>
      <c r="H691" s="411"/>
      <c r="I691" s="411"/>
      <c r="J691" s="411"/>
      <c r="K691" s="411"/>
      <c r="L691" s="608" t="s">
        <v>4884</v>
      </c>
      <c r="M691" s="409" t="s">
        <v>4884</v>
      </c>
      <c r="N691" s="409" t="s">
        <v>4884</v>
      </c>
      <c r="O691" s="410" t="s">
        <v>4884</v>
      </c>
      <c r="P691" s="406">
        <v>688</v>
      </c>
      <c r="Q691" s="470" t="s">
        <v>1440</v>
      </c>
      <c r="R691" s="460" t="s">
        <v>1441</v>
      </c>
      <c r="S691" s="270" t="s">
        <v>748</v>
      </c>
      <c r="U691" s="471">
        <v>0</v>
      </c>
      <c r="V691" s="471">
        <v>0</v>
      </c>
      <c r="W691" s="471" t="s">
        <v>1441</v>
      </c>
      <c r="X691" s="471">
        <v>0</v>
      </c>
    </row>
    <row r="692" spans="1:26">
      <c r="A692" s="406">
        <v>689</v>
      </c>
      <c r="B692" s="613" t="s">
        <v>7020</v>
      </c>
      <c r="C692" s="288" t="s">
        <v>1442</v>
      </c>
      <c r="D692" s="414" t="s">
        <v>4884</v>
      </c>
      <c r="E692" s="407"/>
      <c r="F692" s="483"/>
      <c r="G692" s="483"/>
      <c r="H692" s="483"/>
      <c r="I692" s="483"/>
      <c r="J692" s="483"/>
      <c r="K692" s="483"/>
      <c r="L692" s="608" t="s">
        <v>4884</v>
      </c>
      <c r="M692" s="409" t="s">
        <v>4884</v>
      </c>
      <c r="N692" s="409" t="s">
        <v>4884</v>
      </c>
      <c r="O692" s="410" t="s">
        <v>4884</v>
      </c>
      <c r="P692" s="406">
        <v>689</v>
      </c>
      <c r="Q692" s="470" t="s">
        <v>1442</v>
      </c>
      <c r="R692" s="460" t="s">
        <v>1443</v>
      </c>
      <c r="S692" s="270" t="s">
        <v>748</v>
      </c>
      <c r="U692" s="471">
        <v>0</v>
      </c>
      <c r="V692" s="471">
        <v>0</v>
      </c>
      <c r="W692" s="471" t="s">
        <v>1443</v>
      </c>
      <c r="X692" s="471">
        <v>0</v>
      </c>
    </row>
    <row r="693" spans="1:26">
      <c r="A693" s="406">
        <v>690</v>
      </c>
      <c r="B693" s="613" t="s">
        <v>6407</v>
      </c>
      <c r="C693" s="288" t="s">
        <v>1444</v>
      </c>
      <c r="D693" s="414" t="s">
        <v>3752</v>
      </c>
      <c r="E693" s="407" t="s">
        <v>9497</v>
      </c>
      <c r="F693" s="483"/>
      <c r="G693" s="483"/>
      <c r="H693" s="483"/>
      <c r="I693" s="483"/>
      <c r="J693" s="483"/>
      <c r="K693" s="483"/>
      <c r="L693" s="608" t="s">
        <v>4884</v>
      </c>
      <c r="M693" s="409">
        <v>9932.3464566929142</v>
      </c>
      <c r="N693" s="409">
        <v>9932.3464566929142</v>
      </c>
      <c r="O693" s="410" t="s">
        <v>7575</v>
      </c>
      <c r="P693" s="406">
        <v>690</v>
      </c>
      <c r="Q693" s="470" t="s">
        <v>1444</v>
      </c>
      <c r="R693" s="460" t="s">
        <v>1445</v>
      </c>
      <c r="S693" s="270" t="s">
        <v>32</v>
      </c>
      <c r="U693" s="471"/>
      <c r="V693" s="471">
        <v>0</v>
      </c>
      <c r="W693" s="471" t="s">
        <v>1445</v>
      </c>
      <c r="X693" s="464">
        <v>1</v>
      </c>
    </row>
    <row r="694" spans="1:26">
      <c r="A694" s="406">
        <v>691</v>
      </c>
      <c r="B694" s="613" t="s">
        <v>7020</v>
      </c>
      <c r="C694" s="288" t="s">
        <v>1446</v>
      </c>
      <c r="D694" s="414" t="s">
        <v>4884</v>
      </c>
      <c r="E694" s="407"/>
      <c r="F694" s="483" t="s">
        <v>4955</v>
      </c>
      <c r="G694" s="411"/>
      <c r="H694" s="411"/>
      <c r="I694" s="411"/>
      <c r="J694" s="411"/>
      <c r="K694" s="411"/>
      <c r="L694" s="608" t="s">
        <v>4884</v>
      </c>
      <c r="M694" s="409" t="s">
        <v>4884</v>
      </c>
      <c r="N694" s="409" t="s">
        <v>4884</v>
      </c>
      <c r="O694" s="410" t="s">
        <v>4884</v>
      </c>
      <c r="P694" s="406">
        <v>691</v>
      </c>
      <c r="Q694" s="470" t="s">
        <v>1446</v>
      </c>
      <c r="R694" s="460" t="s">
        <v>1447</v>
      </c>
      <c r="S694" s="270" t="s">
        <v>7</v>
      </c>
      <c r="U694" s="471"/>
      <c r="V694" s="471"/>
      <c r="W694" s="471" t="s">
        <v>1447</v>
      </c>
      <c r="X694" s="471">
        <v>0</v>
      </c>
    </row>
    <row r="695" spans="1:26">
      <c r="A695" s="406">
        <v>692</v>
      </c>
      <c r="B695" s="613" t="s">
        <v>5411</v>
      </c>
      <c r="C695" s="288" t="s">
        <v>1448</v>
      </c>
      <c r="D695" s="414" t="s">
        <v>3851</v>
      </c>
      <c r="E695" s="407" t="s">
        <v>9083</v>
      </c>
      <c r="F695" s="483" t="s">
        <v>5414</v>
      </c>
      <c r="G695" s="411" t="s">
        <v>5412</v>
      </c>
      <c r="H695" s="411"/>
      <c r="I695" s="411"/>
      <c r="J695" s="411"/>
      <c r="K695" s="411"/>
      <c r="L695" s="608">
        <v>17910.007874015748</v>
      </c>
      <c r="M695" s="409">
        <v>5655.8464566929133</v>
      </c>
      <c r="N695" s="409">
        <v>23565.854330708658</v>
      </c>
      <c r="O695" s="410" t="s">
        <v>7755</v>
      </c>
      <c r="P695" s="406">
        <v>692</v>
      </c>
      <c r="Q695" s="470" t="s">
        <v>1448</v>
      </c>
      <c r="R695" s="460" t="s">
        <v>1449</v>
      </c>
      <c r="S695" s="270" t="s">
        <v>7</v>
      </c>
      <c r="U695" s="471"/>
      <c r="V695" s="471"/>
      <c r="W695" s="471" t="s">
        <v>1449</v>
      </c>
      <c r="X695" s="471">
        <v>1</v>
      </c>
      <c r="Z695" s="270" t="s">
        <v>4892</v>
      </c>
    </row>
    <row r="696" spans="1:26">
      <c r="A696" s="406">
        <v>693</v>
      </c>
      <c r="B696" s="613" t="s">
        <v>7020</v>
      </c>
      <c r="C696" s="288" t="s">
        <v>1450</v>
      </c>
      <c r="D696" s="414" t="s">
        <v>4884</v>
      </c>
      <c r="E696" s="407"/>
      <c r="F696" s="483"/>
      <c r="G696" s="483"/>
      <c r="H696" s="411"/>
      <c r="I696" s="411"/>
      <c r="J696" s="411"/>
      <c r="K696" s="411"/>
      <c r="L696" s="608" t="s">
        <v>4884</v>
      </c>
      <c r="M696" s="409" t="s">
        <v>4884</v>
      </c>
      <c r="N696" s="409" t="s">
        <v>4884</v>
      </c>
      <c r="O696" s="410" t="s">
        <v>4884</v>
      </c>
      <c r="P696" s="406">
        <v>693</v>
      </c>
      <c r="Q696" s="470" t="s">
        <v>1450</v>
      </c>
      <c r="R696" s="460" t="s">
        <v>1451</v>
      </c>
      <c r="S696" s="270" t="s">
        <v>7</v>
      </c>
      <c r="U696" s="471"/>
      <c r="V696" s="471"/>
      <c r="W696" s="471" t="s">
        <v>1451</v>
      </c>
      <c r="X696" s="471">
        <v>0</v>
      </c>
    </row>
    <row r="697" spans="1:26">
      <c r="A697" s="406">
        <v>694</v>
      </c>
      <c r="B697" s="613" t="s">
        <v>6740</v>
      </c>
      <c r="C697" s="288" t="s">
        <v>1452</v>
      </c>
      <c r="D697" s="414" t="s">
        <v>3818</v>
      </c>
      <c r="E697" s="407" t="s">
        <v>9498</v>
      </c>
      <c r="F697" s="483"/>
      <c r="G697" s="483"/>
      <c r="H697" s="483"/>
      <c r="I697" s="483"/>
      <c r="J697" s="483"/>
      <c r="K697" s="483"/>
      <c r="L697" s="608" t="s">
        <v>4884</v>
      </c>
      <c r="M697" s="409">
        <v>7555.6220472440946</v>
      </c>
      <c r="N697" s="409">
        <v>7555.6220472440946</v>
      </c>
      <c r="O697" s="410" t="s">
        <v>7576</v>
      </c>
      <c r="P697" s="406">
        <v>694</v>
      </c>
      <c r="Q697" s="470" t="s">
        <v>1452</v>
      </c>
      <c r="R697" s="460" t="s">
        <v>1453</v>
      </c>
      <c r="S697" s="270" t="s">
        <v>7</v>
      </c>
      <c r="U697" s="471"/>
      <c r="V697" s="471"/>
      <c r="W697" s="471" t="s">
        <v>1453</v>
      </c>
      <c r="X697" s="471">
        <v>0</v>
      </c>
      <c r="Z697" s="270" t="s">
        <v>4893</v>
      </c>
    </row>
    <row r="698" spans="1:26">
      <c r="A698" s="406">
        <v>695</v>
      </c>
      <c r="B698" s="613" t="s">
        <v>5381</v>
      </c>
      <c r="C698" s="288" t="s">
        <v>1454</v>
      </c>
      <c r="D698" s="414" t="s">
        <v>3849</v>
      </c>
      <c r="E698" s="407" t="s">
        <v>9084</v>
      </c>
      <c r="F698" s="483" t="s">
        <v>5409</v>
      </c>
      <c r="G698" s="411" t="s">
        <v>5382</v>
      </c>
      <c r="H698" s="411"/>
      <c r="I698" s="411"/>
      <c r="J698" s="411"/>
      <c r="K698" s="411"/>
      <c r="L698" s="608">
        <v>1767.5748031496064</v>
      </c>
      <c r="M698" s="409">
        <v>6525.177165354331</v>
      </c>
      <c r="N698" s="409">
        <v>8292.751968503937</v>
      </c>
      <c r="O698" s="410" t="s">
        <v>7804</v>
      </c>
      <c r="P698" s="406">
        <v>695</v>
      </c>
      <c r="Q698" s="470" t="s">
        <v>1454</v>
      </c>
      <c r="R698" s="460" t="s">
        <v>1455</v>
      </c>
      <c r="S698" s="270" t="s">
        <v>7</v>
      </c>
      <c r="U698" s="471"/>
      <c r="V698" s="471"/>
      <c r="W698" s="471" t="s">
        <v>1455</v>
      </c>
      <c r="X698" s="478">
        <v>1</v>
      </c>
      <c r="Z698" s="270" t="s">
        <v>4894</v>
      </c>
    </row>
    <row r="699" spans="1:26">
      <c r="A699" s="406">
        <v>696</v>
      </c>
      <c r="B699" s="613" t="s">
        <v>5389</v>
      </c>
      <c r="C699" s="288" t="s">
        <v>1456</v>
      </c>
      <c r="D699" s="414" t="s">
        <v>3795</v>
      </c>
      <c r="E699" s="407" t="s">
        <v>9499</v>
      </c>
      <c r="F699" s="483" t="s">
        <v>5388</v>
      </c>
      <c r="G699" s="411" t="s">
        <v>5390</v>
      </c>
      <c r="H699" s="411"/>
      <c r="I699" s="411"/>
      <c r="J699" s="411"/>
      <c r="K699" s="411"/>
      <c r="L699" s="608">
        <v>14712.917322834646</v>
      </c>
      <c r="M699" s="409">
        <v>6526.3031496062995</v>
      </c>
      <c r="N699" s="409">
        <v>21239.220472440949</v>
      </c>
      <c r="O699" s="410" t="s">
        <v>7805</v>
      </c>
      <c r="P699" s="406">
        <v>696</v>
      </c>
      <c r="Q699" s="470" t="s">
        <v>1456</v>
      </c>
      <c r="R699" s="475" t="s">
        <v>1457</v>
      </c>
      <c r="S699" s="270" t="s">
        <v>7</v>
      </c>
      <c r="U699" s="471"/>
      <c r="V699" s="471"/>
      <c r="W699" s="471"/>
      <c r="X699" s="471">
        <v>0</v>
      </c>
      <c r="Z699" s="270" t="s">
        <v>4894</v>
      </c>
    </row>
    <row r="700" spans="1:26">
      <c r="A700" s="406">
        <v>697</v>
      </c>
      <c r="B700" s="613" t="s">
        <v>5381</v>
      </c>
      <c r="C700" s="288" t="s">
        <v>1458</v>
      </c>
      <c r="D700" s="414" t="s">
        <v>3849</v>
      </c>
      <c r="E700" s="407" t="s">
        <v>9084</v>
      </c>
      <c r="F700" s="483" t="s">
        <v>5410</v>
      </c>
      <c r="G700" s="411" t="s">
        <v>5382</v>
      </c>
      <c r="H700" s="411"/>
      <c r="I700" s="411"/>
      <c r="J700" s="411"/>
      <c r="K700" s="411"/>
      <c r="L700" s="608">
        <v>1767.5748031496064</v>
      </c>
      <c r="M700" s="409">
        <v>6534.0748031496059</v>
      </c>
      <c r="N700" s="409">
        <v>8301.6496062992119</v>
      </c>
      <c r="O700" s="410" t="s">
        <v>7806</v>
      </c>
      <c r="P700" s="406">
        <v>697</v>
      </c>
      <c r="Q700" s="470" t="s">
        <v>1458</v>
      </c>
      <c r="R700" s="460" t="s">
        <v>1459</v>
      </c>
      <c r="S700" s="270" t="s">
        <v>7</v>
      </c>
      <c r="U700" s="471"/>
      <c r="V700" s="471"/>
      <c r="W700" s="471" t="s">
        <v>1459</v>
      </c>
      <c r="X700" s="471">
        <v>0</v>
      </c>
      <c r="Z700" s="270" t="s">
        <v>4894</v>
      </c>
    </row>
    <row r="701" spans="1:26">
      <c r="A701" s="406">
        <v>698</v>
      </c>
      <c r="B701" s="613" t="s">
        <v>5377</v>
      </c>
      <c r="C701" s="288" t="s">
        <v>1460</v>
      </c>
      <c r="D701" s="414" t="s">
        <v>3840</v>
      </c>
      <c r="E701" s="407" t="s">
        <v>9085</v>
      </c>
      <c r="F701" s="483" t="s">
        <v>5405</v>
      </c>
      <c r="G701" s="411" t="s">
        <v>5378</v>
      </c>
      <c r="H701" s="411"/>
      <c r="I701" s="411"/>
      <c r="J701" s="411"/>
      <c r="K701" s="411"/>
      <c r="L701" s="608">
        <v>1767.0826771653542</v>
      </c>
      <c r="M701" s="409">
        <v>6533.3503937007881</v>
      </c>
      <c r="N701" s="409">
        <v>8300.4330708661419</v>
      </c>
      <c r="O701" s="410" t="s">
        <v>7807</v>
      </c>
      <c r="P701" s="406">
        <v>698</v>
      </c>
      <c r="Q701" s="470" t="s">
        <v>1460</v>
      </c>
      <c r="R701" s="460" t="s">
        <v>1461</v>
      </c>
      <c r="S701" s="270" t="s">
        <v>7</v>
      </c>
      <c r="U701" s="471"/>
      <c r="V701" s="471"/>
      <c r="W701" s="471" t="s">
        <v>1461</v>
      </c>
      <c r="X701" s="471">
        <v>1</v>
      </c>
      <c r="Z701" s="270" t="s">
        <v>4894</v>
      </c>
    </row>
    <row r="702" spans="1:26">
      <c r="A702" s="406">
        <v>699</v>
      </c>
      <c r="B702" s="613" t="s">
        <v>5377</v>
      </c>
      <c r="C702" s="288" t="s">
        <v>1462</v>
      </c>
      <c r="D702" s="414" t="s">
        <v>3840</v>
      </c>
      <c r="E702" s="407" t="s">
        <v>9085</v>
      </c>
      <c r="F702" s="483" t="s">
        <v>5406</v>
      </c>
      <c r="G702" s="411" t="s">
        <v>5378</v>
      </c>
      <c r="H702" s="411"/>
      <c r="I702" s="411"/>
      <c r="J702" s="411"/>
      <c r="K702" s="411"/>
      <c r="L702" s="608">
        <v>1767.0826771653542</v>
      </c>
      <c r="M702" s="409">
        <v>6534.0551181102364</v>
      </c>
      <c r="N702" s="409">
        <v>8301.137795275592</v>
      </c>
      <c r="O702" s="410" t="s">
        <v>7808</v>
      </c>
      <c r="P702" s="406">
        <v>699</v>
      </c>
      <c r="Q702" s="470" t="s">
        <v>1462</v>
      </c>
      <c r="R702" s="460" t="s">
        <v>1463</v>
      </c>
      <c r="S702" s="270" t="s">
        <v>7</v>
      </c>
      <c r="U702" s="471"/>
      <c r="V702" s="471"/>
      <c r="W702" s="471" t="s">
        <v>1463</v>
      </c>
      <c r="X702" s="471">
        <v>0</v>
      </c>
      <c r="Z702" s="270" t="s">
        <v>4894</v>
      </c>
    </row>
    <row r="703" spans="1:26">
      <c r="A703" s="406">
        <v>700</v>
      </c>
      <c r="B703" s="613" t="s">
        <v>5375</v>
      </c>
      <c r="C703" s="288" t="s">
        <v>1464</v>
      </c>
      <c r="D703" s="414" t="s">
        <v>3808</v>
      </c>
      <c r="E703" s="407" t="s">
        <v>9086</v>
      </c>
      <c r="F703" s="483" t="s">
        <v>5401</v>
      </c>
      <c r="G703" s="411" t="s">
        <v>5376</v>
      </c>
      <c r="H703" s="411"/>
      <c r="I703" s="411"/>
      <c r="J703" s="411"/>
      <c r="K703" s="411"/>
      <c r="L703" s="608">
        <v>1770.8425196850394</v>
      </c>
      <c r="M703" s="409">
        <v>6534.5708661417329</v>
      </c>
      <c r="N703" s="409">
        <v>8305.4133858267724</v>
      </c>
      <c r="O703" s="410" t="s">
        <v>7809</v>
      </c>
      <c r="P703" s="406">
        <v>700</v>
      </c>
      <c r="Q703" s="470" t="s">
        <v>1464</v>
      </c>
      <c r="R703" s="460" t="s">
        <v>1465</v>
      </c>
      <c r="S703" s="270" t="s">
        <v>7</v>
      </c>
      <c r="U703" s="471"/>
      <c r="V703" s="471"/>
      <c r="W703" s="471" t="s">
        <v>1465</v>
      </c>
      <c r="X703" s="471">
        <v>1</v>
      </c>
      <c r="Z703" s="270" t="s">
        <v>4894</v>
      </c>
    </row>
    <row r="704" spans="1:26">
      <c r="A704" s="406">
        <v>701</v>
      </c>
      <c r="B704" s="613" t="s">
        <v>5375</v>
      </c>
      <c r="C704" s="288" t="s">
        <v>1466</v>
      </c>
      <c r="D704" s="414" t="s">
        <v>3808</v>
      </c>
      <c r="E704" s="407" t="s">
        <v>9086</v>
      </c>
      <c r="F704" s="483" t="s">
        <v>5402</v>
      </c>
      <c r="G704" s="411" t="s">
        <v>5376</v>
      </c>
      <c r="H704" s="411"/>
      <c r="I704" s="411"/>
      <c r="J704" s="411"/>
      <c r="K704" s="411"/>
      <c r="L704" s="608">
        <v>1770.8425196850394</v>
      </c>
      <c r="M704" s="409">
        <v>6531.066929133859</v>
      </c>
      <c r="N704" s="409">
        <v>8301.9094488188985</v>
      </c>
      <c r="O704" s="410" t="s">
        <v>7809</v>
      </c>
      <c r="P704" s="406">
        <v>701</v>
      </c>
      <c r="Q704" s="470" t="s">
        <v>1466</v>
      </c>
      <c r="R704" s="460" t="s">
        <v>1467</v>
      </c>
      <c r="S704" s="270" t="s">
        <v>7</v>
      </c>
      <c r="U704" s="471"/>
      <c r="V704" s="471"/>
      <c r="W704" s="471" t="s">
        <v>1467</v>
      </c>
      <c r="X704" s="471">
        <v>0</v>
      </c>
      <c r="Z704" s="270" t="s">
        <v>4894</v>
      </c>
    </row>
    <row r="705" spans="1:26">
      <c r="A705" s="406">
        <v>702</v>
      </c>
      <c r="B705" s="613" t="s">
        <v>5397</v>
      </c>
      <c r="C705" s="288" t="s">
        <v>1468</v>
      </c>
      <c r="D705" s="414" t="s">
        <v>3797</v>
      </c>
      <c r="E705" s="407" t="s">
        <v>9500</v>
      </c>
      <c r="F705" s="483" t="s">
        <v>5395</v>
      </c>
      <c r="G705" s="411" t="s">
        <v>5398</v>
      </c>
      <c r="H705" s="411"/>
      <c r="I705" s="411"/>
      <c r="J705" s="411"/>
      <c r="K705" s="411"/>
      <c r="L705" s="608">
        <v>14724.307086614175</v>
      </c>
      <c r="M705" s="409">
        <v>6520.606299212599</v>
      </c>
      <c r="N705" s="409">
        <v>21244.913385826774</v>
      </c>
      <c r="O705" s="410" t="s">
        <v>7778</v>
      </c>
      <c r="P705" s="406">
        <v>702</v>
      </c>
      <c r="Q705" s="470" t="s">
        <v>1468</v>
      </c>
      <c r="R705" s="475" t="s">
        <v>1469</v>
      </c>
      <c r="S705" s="270" t="s">
        <v>7</v>
      </c>
      <c r="U705" s="471"/>
      <c r="V705" s="471"/>
      <c r="W705" s="471"/>
      <c r="X705" s="471">
        <v>1</v>
      </c>
      <c r="Z705" s="270" t="s">
        <v>4894</v>
      </c>
    </row>
    <row r="706" spans="1:26">
      <c r="A706" s="406">
        <v>703</v>
      </c>
      <c r="B706" s="613" t="s">
        <v>5397</v>
      </c>
      <c r="C706" s="288" t="s">
        <v>1470</v>
      </c>
      <c r="D706" s="414" t="s">
        <v>3797</v>
      </c>
      <c r="E706" s="407" t="s">
        <v>9500</v>
      </c>
      <c r="F706" s="483" t="s">
        <v>5396</v>
      </c>
      <c r="G706" s="411" t="s">
        <v>5398</v>
      </c>
      <c r="H706" s="411"/>
      <c r="I706" s="411"/>
      <c r="J706" s="411"/>
      <c r="K706" s="411"/>
      <c r="L706" s="608">
        <v>14724.307086614175</v>
      </c>
      <c r="M706" s="409">
        <v>6530.1141732283468</v>
      </c>
      <c r="N706" s="409">
        <v>21254.421259842522</v>
      </c>
      <c r="O706" s="410" t="s">
        <v>7786</v>
      </c>
      <c r="P706" s="406">
        <v>703</v>
      </c>
      <c r="Q706" s="470" t="s">
        <v>1470</v>
      </c>
      <c r="R706" s="475" t="s">
        <v>1471</v>
      </c>
      <c r="S706" s="270" t="s">
        <v>7</v>
      </c>
      <c r="U706" s="471"/>
      <c r="V706" s="471"/>
      <c r="W706" s="471"/>
      <c r="X706" s="471">
        <v>0</v>
      </c>
      <c r="Z706" s="270" t="s">
        <v>4894</v>
      </c>
    </row>
    <row r="707" spans="1:26">
      <c r="A707" s="406">
        <v>704</v>
      </c>
      <c r="B707" s="613" t="s">
        <v>5389</v>
      </c>
      <c r="C707" s="288" t="s">
        <v>1472</v>
      </c>
      <c r="D707" s="414" t="s">
        <v>3795</v>
      </c>
      <c r="E707" s="407" t="s">
        <v>9499</v>
      </c>
      <c r="F707" s="483" t="s">
        <v>5387</v>
      </c>
      <c r="G707" s="411" t="s">
        <v>5390</v>
      </c>
      <c r="H707" s="411"/>
      <c r="I707" s="411"/>
      <c r="J707" s="411"/>
      <c r="K707" s="411"/>
      <c r="L707" s="608">
        <v>14712.917322834646</v>
      </c>
      <c r="M707" s="409">
        <v>6525.2755905511813</v>
      </c>
      <c r="N707" s="409">
        <v>21238.192913385828</v>
      </c>
      <c r="O707" s="410" t="s">
        <v>7748</v>
      </c>
      <c r="P707" s="406">
        <v>704</v>
      </c>
      <c r="Q707" s="470" t="s">
        <v>1472</v>
      </c>
      <c r="R707" s="475" t="s">
        <v>1473</v>
      </c>
      <c r="S707" s="270" t="s">
        <v>7</v>
      </c>
      <c r="U707" s="471"/>
      <c r="V707" s="471"/>
      <c r="W707" s="471"/>
      <c r="X707" s="471">
        <v>1</v>
      </c>
      <c r="Z707" s="270" t="s">
        <v>4894</v>
      </c>
    </row>
    <row r="708" spans="1:26">
      <c r="A708" s="406">
        <v>705</v>
      </c>
      <c r="B708" s="613" t="s">
        <v>5371</v>
      </c>
      <c r="C708" s="288" t="s">
        <v>1474</v>
      </c>
      <c r="D708" s="414" t="s">
        <v>3848</v>
      </c>
      <c r="E708" s="407" t="s">
        <v>9087</v>
      </c>
      <c r="F708" s="483" t="s">
        <v>5408</v>
      </c>
      <c r="G708" s="411" t="s">
        <v>5372</v>
      </c>
      <c r="H708" s="411"/>
      <c r="I708" s="411"/>
      <c r="J708" s="411"/>
      <c r="K708" s="411"/>
      <c r="L708" s="608">
        <v>1770.5039370078739</v>
      </c>
      <c r="M708" s="409">
        <v>6527.8779527559054</v>
      </c>
      <c r="N708" s="409">
        <v>8298.3818897637793</v>
      </c>
      <c r="O708" s="410" t="s">
        <v>7804</v>
      </c>
      <c r="P708" s="406">
        <v>705</v>
      </c>
      <c r="Q708" s="470" t="s">
        <v>1474</v>
      </c>
      <c r="R708" s="460" t="s">
        <v>1475</v>
      </c>
      <c r="S708" s="270" t="s">
        <v>7</v>
      </c>
      <c r="U708" s="471"/>
      <c r="V708" s="471"/>
      <c r="W708" s="471" t="s">
        <v>1475</v>
      </c>
      <c r="X708" s="471">
        <v>1</v>
      </c>
      <c r="Z708" s="270" t="s">
        <v>4894</v>
      </c>
    </row>
    <row r="709" spans="1:26">
      <c r="A709" s="406">
        <v>706</v>
      </c>
      <c r="B709" s="613" t="s">
        <v>5383</v>
      </c>
      <c r="C709" s="288" t="s">
        <v>1476</v>
      </c>
      <c r="D709" s="414" t="s">
        <v>3793</v>
      </c>
      <c r="E709" s="407" t="s">
        <v>9501</v>
      </c>
      <c r="F709" s="483" t="s">
        <v>5385</v>
      </c>
      <c r="G709" s="411" t="s">
        <v>5384</v>
      </c>
      <c r="H709" s="411"/>
      <c r="I709" s="411"/>
      <c r="J709" s="411"/>
      <c r="K709" s="411"/>
      <c r="L709" s="608">
        <v>14712.385826771653</v>
      </c>
      <c r="M709" s="409">
        <v>6528.9055118110246</v>
      </c>
      <c r="N709" s="409">
        <v>21241.29133858268</v>
      </c>
      <c r="O709" s="410" t="s">
        <v>7805</v>
      </c>
      <c r="P709" s="406">
        <v>706</v>
      </c>
      <c r="Q709" s="470" t="s">
        <v>1476</v>
      </c>
      <c r="R709" s="475" t="s">
        <v>1477</v>
      </c>
      <c r="S709" s="270" t="s">
        <v>7</v>
      </c>
      <c r="U709" s="471"/>
      <c r="V709" s="471"/>
      <c r="W709" s="471"/>
      <c r="X709" s="471">
        <v>0</v>
      </c>
      <c r="Z709" s="270" t="s">
        <v>4894</v>
      </c>
    </row>
    <row r="710" spans="1:26">
      <c r="A710" s="406">
        <v>707</v>
      </c>
      <c r="B710" s="613" t="s">
        <v>5371</v>
      </c>
      <c r="C710" s="288" t="s">
        <v>1478</v>
      </c>
      <c r="D710" s="414" t="s">
        <v>3848</v>
      </c>
      <c r="E710" s="407" t="s">
        <v>9087</v>
      </c>
      <c r="F710" s="483" t="s">
        <v>5407</v>
      </c>
      <c r="G710" s="411" t="s">
        <v>5372</v>
      </c>
      <c r="H710" s="411"/>
      <c r="I710" s="411"/>
      <c r="J710" s="411"/>
      <c r="K710" s="411"/>
      <c r="L710" s="608">
        <v>1770.5039370078739</v>
      </c>
      <c r="M710" s="409">
        <v>6522.0787401574808</v>
      </c>
      <c r="N710" s="409">
        <v>8292.5826771653537</v>
      </c>
      <c r="O710" s="410" t="s">
        <v>7806</v>
      </c>
      <c r="P710" s="406">
        <v>707</v>
      </c>
      <c r="Q710" s="470" t="s">
        <v>1478</v>
      </c>
      <c r="R710" s="460" t="s">
        <v>1479</v>
      </c>
      <c r="S710" s="270" t="s">
        <v>7</v>
      </c>
      <c r="U710" s="471"/>
      <c r="V710" s="471"/>
      <c r="W710" s="471" t="s">
        <v>1479</v>
      </c>
      <c r="X710" s="471">
        <v>0</v>
      </c>
      <c r="Z710" s="270" t="s">
        <v>4894</v>
      </c>
    </row>
    <row r="711" spans="1:26">
      <c r="A711" s="406">
        <v>708</v>
      </c>
      <c r="B711" s="613" t="s">
        <v>5369</v>
      </c>
      <c r="C711" s="288" t="s">
        <v>1480</v>
      </c>
      <c r="D711" s="414" t="s">
        <v>3841</v>
      </c>
      <c r="E711" s="407" t="s">
        <v>9088</v>
      </c>
      <c r="F711" s="483" t="s">
        <v>5404</v>
      </c>
      <c r="G711" s="411" t="s">
        <v>5370</v>
      </c>
      <c r="H711" s="411"/>
      <c r="I711" s="411"/>
      <c r="J711" s="411"/>
      <c r="K711" s="411"/>
      <c r="L711" s="608">
        <v>1770.4488188976379</v>
      </c>
      <c r="M711" s="409">
        <v>6522.4212598425202</v>
      </c>
      <c r="N711" s="409">
        <v>8292.8700787401576</v>
      </c>
      <c r="O711" s="410" t="s">
        <v>7807</v>
      </c>
      <c r="P711" s="406">
        <v>708</v>
      </c>
      <c r="Q711" s="470" t="s">
        <v>1480</v>
      </c>
      <c r="R711" s="460" t="s">
        <v>1481</v>
      </c>
      <c r="S711" s="270" t="s">
        <v>7</v>
      </c>
      <c r="U711" s="471"/>
      <c r="V711" s="471"/>
      <c r="W711" s="471" t="s">
        <v>1481</v>
      </c>
      <c r="X711" s="471">
        <v>1</v>
      </c>
      <c r="Z711" s="270" t="s">
        <v>4894</v>
      </c>
    </row>
    <row r="712" spans="1:26">
      <c r="A712" s="406">
        <v>709</v>
      </c>
      <c r="B712" s="613" t="s">
        <v>5369</v>
      </c>
      <c r="C712" s="288" t="s">
        <v>1482</v>
      </c>
      <c r="D712" s="414" t="s">
        <v>3841</v>
      </c>
      <c r="E712" s="407" t="s">
        <v>9088</v>
      </c>
      <c r="F712" s="483" t="s">
        <v>5403</v>
      </c>
      <c r="G712" s="411" t="s">
        <v>5370</v>
      </c>
      <c r="H712" s="411"/>
      <c r="I712" s="411"/>
      <c r="J712" s="411"/>
      <c r="K712" s="411"/>
      <c r="L712" s="608">
        <v>1770.4488188976379</v>
      </c>
      <c r="M712" s="409">
        <v>6528.7362204724413</v>
      </c>
      <c r="N712" s="409">
        <v>8299.1850393700806</v>
      </c>
      <c r="O712" s="410" t="s">
        <v>7808</v>
      </c>
      <c r="P712" s="406">
        <v>709</v>
      </c>
      <c r="Q712" s="470" t="s">
        <v>1482</v>
      </c>
      <c r="R712" s="460" t="s">
        <v>1483</v>
      </c>
      <c r="S712" s="270" t="s">
        <v>7</v>
      </c>
      <c r="U712" s="471"/>
      <c r="V712" s="471"/>
      <c r="W712" s="471" t="s">
        <v>1483</v>
      </c>
      <c r="X712" s="471">
        <v>0</v>
      </c>
      <c r="Z712" s="270" t="s">
        <v>4894</v>
      </c>
    </row>
    <row r="713" spans="1:26">
      <c r="A713" s="406">
        <v>710</v>
      </c>
      <c r="B713" s="613" t="s">
        <v>5365</v>
      </c>
      <c r="C713" s="288" t="s">
        <v>1484</v>
      </c>
      <c r="D713" s="414" t="s">
        <v>3810</v>
      </c>
      <c r="E713" s="407" t="s">
        <v>9089</v>
      </c>
      <c r="F713" s="483" t="s">
        <v>5400</v>
      </c>
      <c r="G713" s="411" t="s">
        <v>5366</v>
      </c>
      <c r="H713" s="411"/>
      <c r="I713" s="411"/>
      <c r="J713" s="411"/>
      <c r="K713" s="411"/>
      <c r="L713" s="608">
        <v>1764.8228346456694</v>
      </c>
      <c r="M713" s="409">
        <v>6528.7047244094492</v>
      </c>
      <c r="N713" s="409">
        <v>8293.5275590551191</v>
      </c>
      <c r="O713" s="410" t="s">
        <v>7809</v>
      </c>
      <c r="P713" s="406">
        <v>710</v>
      </c>
      <c r="Q713" s="470" t="s">
        <v>1484</v>
      </c>
      <c r="R713" s="460" t="s">
        <v>1485</v>
      </c>
      <c r="S713" s="270" t="s">
        <v>7</v>
      </c>
      <c r="U713" s="471"/>
      <c r="V713" s="471"/>
      <c r="W713" s="471" t="s">
        <v>1485</v>
      </c>
      <c r="X713" s="471">
        <v>1</v>
      </c>
      <c r="Z713" s="270" t="s">
        <v>4894</v>
      </c>
    </row>
    <row r="714" spans="1:26">
      <c r="A714" s="406">
        <v>711</v>
      </c>
      <c r="B714" s="613" t="s">
        <v>5365</v>
      </c>
      <c r="C714" s="288" t="s">
        <v>1486</v>
      </c>
      <c r="D714" s="414" t="s">
        <v>3810</v>
      </c>
      <c r="E714" s="407" t="s">
        <v>9089</v>
      </c>
      <c r="F714" s="483" t="s">
        <v>5399</v>
      </c>
      <c r="G714" s="411" t="s">
        <v>5366</v>
      </c>
      <c r="H714" s="411"/>
      <c r="I714" s="411"/>
      <c r="J714" s="411"/>
      <c r="K714" s="411"/>
      <c r="L714" s="608">
        <v>1764.8228346456694</v>
      </c>
      <c r="M714" s="409">
        <v>6522.1141732283468</v>
      </c>
      <c r="N714" s="409">
        <v>8286.9370078740158</v>
      </c>
      <c r="O714" s="410" t="s">
        <v>7809</v>
      </c>
      <c r="P714" s="406">
        <v>711</v>
      </c>
      <c r="Q714" s="470" t="s">
        <v>1486</v>
      </c>
      <c r="R714" s="460" t="s">
        <v>1487</v>
      </c>
      <c r="S714" s="270" t="s">
        <v>7</v>
      </c>
      <c r="U714" s="471"/>
      <c r="V714" s="471"/>
      <c r="W714" s="471" t="s">
        <v>1487</v>
      </c>
      <c r="X714" s="471">
        <v>0</v>
      </c>
      <c r="Z714" s="270" t="s">
        <v>4894</v>
      </c>
    </row>
    <row r="715" spans="1:26">
      <c r="A715" s="406">
        <v>712</v>
      </c>
      <c r="B715" s="613" t="s">
        <v>5391</v>
      </c>
      <c r="C715" s="288" t="s">
        <v>1488</v>
      </c>
      <c r="D715" s="414" t="s">
        <v>3796</v>
      </c>
      <c r="E715" s="407" t="s">
        <v>9502</v>
      </c>
      <c r="F715" s="483" t="s">
        <v>5394</v>
      </c>
      <c r="G715" s="411" t="s">
        <v>5392</v>
      </c>
      <c r="H715" s="411"/>
      <c r="I715" s="411"/>
      <c r="J715" s="411"/>
      <c r="K715" s="411"/>
      <c r="L715" s="608">
        <v>14717.322834645669</v>
      </c>
      <c r="M715" s="409">
        <v>6534.7755905511822</v>
      </c>
      <c r="N715" s="409">
        <v>21252.098425196851</v>
      </c>
      <c r="O715" s="410" t="s">
        <v>7778</v>
      </c>
      <c r="P715" s="406">
        <v>712</v>
      </c>
      <c r="Q715" s="470" t="s">
        <v>1488</v>
      </c>
      <c r="R715" s="475" t="s">
        <v>1489</v>
      </c>
      <c r="S715" s="270" t="s">
        <v>7</v>
      </c>
      <c r="U715" s="471"/>
      <c r="V715" s="471"/>
      <c r="W715" s="471"/>
      <c r="X715" s="471">
        <v>1</v>
      </c>
      <c r="Z715" s="270" t="s">
        <v>4894</v>
      </c>
    </row>
    <row r="716" spans="1:26">
      <c r="A716" s="406">
        <v>713</v>
      </c>
      <c r="B716" s="613" t="s">
        <v>5391</v>
      </c>
      <c r="C716" s="288" t="s">
        <v>1490</v>
      </c>
      <c r="D716" s="414" t="s">
        <v>3796</v>
      </c>
      <c r="E716" s="407" t="s">
        <v>9502</v>
      </c>
      <c r="F716" s="483" t="s">
        <v>5393</v>
      </c>
      <c r="G716" s="411" t="s">
        <v>5392</v>
      </c>
      <c r="H716" s="411"/>
      <c r="I716" s="411"/>
      <c r="J716" s="411"/>
      <c r="K716" s="411"/>
      <c r="L716" s="608">
        <v>14717.322834645669</v>
      </c>
      <c r="M716" s="409">
        <v>6529.5</v>
      </c>
      <c r="N716" s="409">
        <v>21246.822834645671</v>
      </c>
      <c r="O716" s="410" t="s">
        <v>7786</v>
      </c>
      <c r="P716" s="406">
        <v>713</v>
      </c>
      <c r="Q716" s="470" t="s">
        <v>1490</v>
      </c>
      <c r="R716" s="475" t="s">
        <v>1491</v>
      </c>
      <c r="S716" s="270" t="s">
        <v>7</v>
      </c>
      <c r="U716" s="471"/>
      <c r="V716" s="471"/>
      <c r="W716" s="471"/>
      <c r="X716" s="471">
        <v>0</v>
      </c>
      <c r="Z716" s="270" t="s">
        <v>4894</v>
      </c>
    </row>
    <row r="717" spans="1:26">
      <c r="A717" s="406">
        <v>714</v>
      </c>
      <c r="B717" s="613" t="s">
        <v>5383</v>
      </c>
      <c r="C717" s="288" t="s">
        <v>1492</v>
      </c>
      <c r="D717" s="414" t="s">
        <v>3793</v>
      </c>
      <c r="E717" s="407" t="s">
        <v>9501</v>
      </c>
      <c r="F717" s="483" t="s">
        <v>5386</v>
      </c>
      <c r="G717" s="411" t="s">
        <v>5384</v>
      </c>
      <c r="H717" s="411"/>
      <c r="I717" s="411"/>
      <c r="J717" s="411"/>
      <c r="K717" s="411"/>
      <c r="L717" s="608">
        <v>14712.385826771653</v>
      </c>
      <c r="M717" s="409">
        <v>6521.5669291338581</v>
      </c>
      <c r="N717" s="409">
        <v>21233.952755905513</v>
      </c>
      <c r="O717" s="410" t="s">
        <v>7748</v>
      </c>
      <c r="P717" s="406">
        <v>714</v>
      </c>
      <c r="Q717" s="470" t="s">
        <v>1492</v>
      </c>
      <c r="R717" s="475" t="s">
        <v>1493</v>
      </c>
      <c r="S717" s="270" t="s">
        <v>7</v>
      </c>
      <c r="U717" s="471"/>
      <c r="V717" s="471"/>
      <c r="W717" s="471"/>
      <c r="X717" s="471">
        <v>1</v>
      </c>
      <c r="Z717" s="270" t="s">
        <v>4894</v>
      </c>
    </row>
    <row r="718" spans="1:26">
      <c r="A718" s="406">
        <v>715</v>
      </c>
      <c r="B718" s="613" t="s">
        <v>5056</v>
      </c>
      <c r="C718" s="288" t="s">
        <v>1494</v>
      </c>
      <c r="D718" s="414" t="s">
        <v>3825</v>
      </c>
      <c r="E718" s="407" t="s">
        <v>9503</v>
      </c>
      <c r="F718" s="483" t="s">
        <v>5167</v>
      </c>
      <c r="G718" s="411" t="s">
        <v>5057</v>
      </c>
      <c r="H718" s="411" t="s">
        <v>5168</v>
      </c>
      <c r="I718" s="411"/>
      <c r="J718" s="411"/>
      <c r="K718" s="411"/>
      <c r="L718" s="608">
        <v>7990.9724409448818</v>
      </c>
      <c r="M718" s="409">
        <v>4644.6535433070867</v>
      </c>
      <c r="N718" s="409">
        <v>12635.625984251967</v>
      </c>
      <c r="O718" s="410" t="s">
        <v>7810</v>
      </c>
      <c r="P718" s="406">
        <v>715</v>
      </c>
      <c r="Q718" s="470" t="s">
        <v>1494</v>
      </c>
      <c r="R718" s="460" t="s">
        <v>1495</v>
      </c>
      <c r="S718" s="270" t="s">
        <v>7</v>
      </c>
      <c r="U718" s="471"/>
      <c r="V718" s="471"/>
      <c r="W718" s="471" t="s">
        <v>1495</v>
      </c>
      <c r="X718" s="471">
        <v>0</v>
      </c>
    </row>
    <row r="719" spans="1:26">
      <c r="A719" s="406">
        <v>716</v>
      </c>
      <c r="B719" s="613" t="s">
        <v>5053</v>
      </c>
      <c r="C719" s="288" t="s">
        <v>1496</v>
      </c>
      <c r="D719" s="414" t="s">
        <v>3823</v>
      </c>
      <c r="E719" s="407" t="s">
        <v>9504</v>
      </c>
      <c r="F719" s="483" t="s">
        <v>5170</v>
      </c>
      <c r="G719" s="411" t="s">
        <v>5054</v>
      </c>
      <c r="H719" s="411" t="s">
        <v>5169</v>
      </c>
      <c r="I719" s="411"/>
      <c r="J719" s="411"/>
      <c r="K719" s="411"/>
      <c r="L719" s="608">
        <v>7991.6377952755902</v>
      </c>
      <c r="M719" s="409">
        <v>4644.8307086614177</v>
      </c>
      <c r="N719" s="409">
        <v>12636.468503937009</v>
      </c>
      <c r="O719" s="410" t="s">
        <v>7810</v>
      </c>
      <c r="P719" s="406">
        <v>716</v>
      </c>
      <c r="Q719" s="470" t="s">
        <v>1496</v>
      </c>
      <c r="R719" s="460" t="s">
        <v>1497</v>
      </c>
      <c r="S719" s="270" t="s">
        <v>7</v>
      </c>
      <c r="U719" s="471"/>
      <c r="V719" s="471"/>
      <c r="W719" s="471" t="s">
        <v>1497</v>
      </c>
      <c r="X719" s="471">
        <v>0</v>
      </c>
    </row>
    <row r="720" spans="1:26">
      <c r="A720" s="406">
        <v>717</v>
      </c>
      <c r="B720" s="613" t="s">
        <v>5056</v>
      </c>
      <c r="C720" s="288" t="s">
        <v>1498</v>
      </c>
      <c r="D720" s="414" t="s">
        <v>3825</v>
      </c>
      <c r="E720" s="407" t="s">
        <v>9503</v>
      </c>
      <c r="F720" s="483" t="s">
        <v>5058</v>
      </c>
      <c r="G720" s="483" t="s">
        <v>5829</v>
      </c>
      <c r="H720" s="411" t="s">
        <v>5057</v>
      </c>
      <c r="I720" s="411" t="s">
        <v>5168</v>
      </c>
      <c r="J720" s="411"/>
      <c r="K720" s="411"/>
      <c r="L720" s="608">
        <v>7990.9724409448818</v>
      </c>
      <c r="M720" s="409">
        <v>4644.6456692913389</v>
      </c>
      <c r="N720" s="409">
        <v>12635.618110236221</v>
      </c>
      <c r="O720" s="410" t="s">
        <v>7811</v>
      </c>
      <c r="P720" s="406">
        <v>717</v>
      </c>
      <c r="Q720" s="470" t="s">
        <v>1498</v>
      </c>
      <c r="R720" s="460" t="s">
        <v>1499</v>
      </c>
      <c r="S720" s="270" t="s">
        <v>7</v>
      </c>
      <c r="U720" s="471"/>
      <c r="V720" s="471"/>
      <c r="W720" s="471" t="s">
        <v>1499</v>
      </c>
      <c r="X720" s="471">
        <v>1</v>
      </c>
    </row>
    <row r="721" spans="1:26">
      <c r="A721" s="406">
        <v>718</v>
      </c>
      <c r="B721" s="613" t="s">
        <v>5053</v>
      </c>
      <c r="C721" s="288" t="s">
        <v>1500</v>
      </c>
      <c r="D721" s="414" t="s">
        <v>3823</v>
      </c>
      <c r="E721" s="407" t="s">
        <v>9504</v>
      </c>
      <c r="F721" s="483" t="s">
        <v>5055</v>
      </c>
      <c r="G721" s="483" t="s">
        <v>5830</v>
      </c>
      <c r="H721" s="411" t="s">
        <v>5054</v>
      </c>
      <c r="I721" s="411" t="s">
        <v>5169</v>
      </c>
      <c r="J721" s="411"/>
      <c r="K721" s="411"/>
      <c r="L721" s="608">
        <v>7991.6377952755902</v>
      </c>
      <c r="M721" s="409">
        <v>4644.712598425197</v>
      </c>
      <c r="N721" s="409">
        <v>12636.350393700788</v>
      </c>
      <c r="O721" s="410" t="s">
        <v>7811</v>
      </c>
      <c r="P721" s="406">
        <v>718</v>
      </c>
      <c r="Q721" s="470" t="s">
        <v>1500</v>
      </c>
      <c r="R721" s="460" t="s">
        <v>1501</v>
      </c>
      <c r="S721" s="270" t="s">
        <v>7</v>
      </c>
      <c r="U721" s="471"/>
      <c r="V721" s="471"/>
      <c r="W721" s="471" t="s">
        <v>1501</v>
      </c>
      <c r="X721" s="471">
        <v>1</v>
      </c>
      <c r="Y721" s="206"/>
      <c r="Z721" s="206"/>
    </row>
    <row r="722" spans="1:26">
      <c r="A722" s="406">
        <v>719</v>
      </c>
      <c r="B722" s="613" t="s">
        <v>5050</v>
      </c>
      <c r="C722" s="288" t="s">
        <v>1502</v>
      </c>
      <c r="D722" s="414" t="s">
        <v>3829</v>
      </c>
      <c r="E722" s="407" t="s">
        <v>9505</v>
      </c>
      <c r="F722" s="483" t="s">
        <v>5163</v>
      </c>
      <c r="G722" s="411" t="s">
        <v>5051</v>
      </c>
      <c r="H722" s="411" t="s">
        <v>5164</v>
      </c>
      <c r="I722" s="411"/>
      <c r="J722" s="411"/>
      <c r="K722" s="411"/>
      <c r="L722" s="608">
        <v>7912.4055118110236</v>
      </c>
      <c r="M722" s="409">
        <v>4645.2834645669291</v>
      </c>
      <c r="N722" s="409">
        <v>12557.688976377955</v>
      </c>
      <c r="O722" s="410" t="s">
        <v>7799</v>
      </c>
      <c r="P722" s="406">
        <v>719</v>
      </c>
      <c r="Q722" s="470" t="s">
        <v>1502</v>
      </c>
      <c r="R722" s="460" t="s">
        <v>1503</v>
      </c>
      <c r="S722" s="270" t="s">
        <v>7</v>
      </c>
      <c r="U722" s="471"/>
      <c r="V722" s="471"/>
      <c r="W722" s="471" t="s">
        <v>1503</v>
      </c>
      <c r="X722" s="471">
        <v>0</v>
      </c>
      <c r="Y722" s="206"/>
      <c r="Z722" s="206"/>
    </row>
    <row r="723" spans="1:26">
      <c r="A723" s="406">
        <v>720</v>
      </c>
      <c r="B723" s="613" t="s">
        <v>5047</v>
      </c>
      <c r="C723" s="288" t="s">
        <v>1504</v>
      </c>
      <c r="D723" s="414" t="s">
        <v>3827</v>
      </c>
      <c r="E723" s="407" t="s">
        <v>9506</v>
      </c>
      <c r="F723" s="483" t="s">
        <v>5166</v>
      </c>
      <c r="G723" s="411" t="s">
        <v>5048</v>
      </c>
      <c r="H723" s="411" t="s">
        <v>5165</v>
      </c>
      <c r="I723" s="411"/>
      <c r="J723" s="411"/>
      <c r="K723" s="411"/>
      <c r="L723" s="608">
        <v>7913.1692913385823</v>
      </c>
      <c r="M723" s="409">
        <v>4645.4330708661419</v>
      </c>
      <c r="N723" s="409">
        <v>12558.602362204725</v>
      </c>
      <c r="O723" s="410" t="s">
        <v>7799</v>
      </c>
      <c r="P723" s="406">
        <v>720</v>
      </c>
      <c r="Q723" s="470" t="s">
        <v>1504</v>
      </c>
      <c r="R723" s="460" t="s">
        <v>1505</v>
      </c>
      <c r="S723" s="270" t="s">
        <v>7</v>
      </c>
      <c r="U723" s="471"/>
      <c r="V723" s="471"/>
      <c r="W723" s="471" t="s">
        <v>1505</v>
      </c>
      <c r="X723" s="471">
        <v>0</v>
      </c>
      <c r="Y723" s="206"/>
      <c r="Z723" s="206"/>
    </row>
    <row r="724" spans="1:26">
      <c r="A724" s="406">
        <v>721</v>
      </c>
      <c r="B724" s="613" t="s">
        <v>5050</v>
      </c>
      <c r="C724" s="288" t="s">
        <v>1506</v>
      </c>
      <c r="D724" s="414" t="s">
        <v>3829</v>
      </c>
      <c r="E724" s="407" t="s">
        <v>9505</v>
      </c>
      <c r="F724" s="483" t="s">
        <v>5052</v>
      </c>
      <c r="G724" s="483" t="s">
        <v>5831</v>
      </c>
      <c r="H724" s="411" t="s">
        <v>5051</v>
      </c>
      <c r="I724" s="411" t="s">
        <v>5164</v>
      </c>
      <c r="J724" s="411"/>
      <c r="K724" s="411"/>
      <c r="L724" s="608">
        <v>7912.4055118110236</v>
      </c>
      <c r="M724" s="409">
        <v>4645.2716535433074</v>
      </c>
      <c r="N724" s="409">
        <v>12557.677165354333</v>
      </c>
      <c r="O724" s="410" t="s">
        <v>7800</v>
      </c>
      <c r="P724" s="406">
        <v>721</v>
      </c>
      <c r="Q724" s="470" t="s">
        <v>1506</v>
      </c>
      <c r="R724" s="460" t="s">
        <v>1507</v>
      </c>
      <c r="S724" s="270" t="s">
        <v>7</v>
      </c>
      <c r="U724" s="471"/>
      <c r="V724" s="471"/>
      <c r="W724" s="471" t="s">
        <v>1507</v>
      </c>
      <c r="X724" s="471">
        <v>1</v>
      </c>
      <c r="Y724" s="206"/>
      <c r="Z724" s="206"/>
    </row>
    <row r="725" spans="1:26">
      <c r="A725" s="406">
        <v>722</v>
      </c>
      <c r="B725" s="613" t="s">
        <v>5047</v>
      </c>
      <c r="C725" s="288" t="s">
        <v>1508</v>
      </c>
      <c r="D725" s="414" t="s">
        <v>3827</v>
      </c>
      <c r="E725" s="407" t="s">
        <v>9506</v>
      </c>
      <c r="F725" s="483" t="s">
        <v>5049</v>
      </c>
      <c r="G725" s="483" t="s">
        <v>5832</v>
      </c>
      <c r="H725" s="411" t="s">
        <v>5048</v>
      </c>
      <c r="I725" s="411" t="s">
        <v>5165</v>
      </c>
      <c r="J725" s="411"/>
      <c r="K725" s="411"/>
      <c r="L725" s="608">
        <v>7913.1692913385823</v>
      </c>
      <c r="M725" s="409">
        <v>4644.8070866141734</v>
      </c>
      <c r="N725" s="409">
        <v>12557.976377952757</v>
      </c>
      <c r="O725" s="410" t="s">
        <v>7800</v>
      </c>
      <c r="P725" s="406">
        <v>722</v>
      </c>
      <c r="Q725" s="470" t="s">
        <v>1508</v>
      </c>
      <c r="R725" s="460" t="s">
        <v>1509</v>
      </c>
      <c r="S725" s="270" t="s">
        <v>7</v>
      </c>
      <c r="U725" s="471"/>
      <c r="V725" s="471"/>
      <c r="W725" s="471" t="s">
        <v>1509</v>
      </c>
      <c r="X725" s="471">
        <v>1</v>
      </c>
      <c r="Y725" s="206"/>
      <c r="Z725" s="206"/>
    </row>
    <row r="726" spans="1:26">
      <c r="A726" s="406">
        <v>723</v>
      </c>
      <c r="B726" s="613" t="s">
        <v>5044</v>
      </c>
      <c r="C726" s="288" t="s">
        <v>1510</v>
      </c>
      <c r="D726" s="414" t="s">
        <v>3830</v>
      </c>
      <c r="E726" s="407" t="s">
        <v>9507</v>
      </c>
      <c r="F726" s="483" t="s">
        <v>5159</v>
      </c>
      <c r="G726" s="411" t="s">
        <v>5045</v>
      </c>
      <c r="H726" s="411" t="s">
        <v>5160</v>
      </c>
      <c r="I726" s="411"/>
      <c r="J726" s="411"/>
      <c r="K726" s="411"/>
      <c r="L726" s="608">
        <v>7125.1299212598424</v>
      </c>
      <c r="M726" s="409">
        <v>4644.9763779527557</v>
      </c>
      <c r="N726" s="409">
        <v>11770.106299212597</v>
      </c>
      <c r="O726" s="410" t="s">
        <v>7776</v>
      </c>
      <c r="P726" s="406">
        <v>723</v>
      </c>
      <c r="Q726" s="470" t="s">
        <v>1510</v>
      </c>
      <c r="R726" s="460" t="s">
        <v>1511</v>
      </c>
      <c r="S726" s="270" t="s">
        <v>7</v>
      </c>
      <c r="U726" s="471"/>
      <c r="V726" s="471"/>
      <c r="W726" s="471" t="s">
        <v>1511</v>
      </c>
      <c r="X726" s="471">
        <v>0</v>
      </c>
      <c r="Y726" s="206"/>
      <c r="Z726" s="206"/>
    </row>
    <row r="727" spans="1:26">
      <c r="A727" s="406">
        <v>724</v>
      </c>
      <c r="B727" s="613" t="s">
        <v>5041</v>
      </c>
      <c r="C727" s="288" t="s">
        <v>1512</v>
      </c>
      <c r="D727" s="414" t="s">
        <v>3832</v>
      </c>
      <c r="E727" s="407" t="s">
        <v>9508</v>
      </c>
      <c r="F727" s="483" t="s">
        <v>5162</v>
      </c>
      <c r="G727" s="411" t="s">
        <v>5042</v>
      </c>
      <c r="H727" s="411" t="s">
        <v>5161</v>
      </c>
      <c r="I727" s="411"/>
      <c r="J727" s="411"/>
      <c r="K727" s="411"/>
      <c r="L727" s="608">
        <v>7125.2244094488196</v>
      </c>
      <c r="M727" s="409">
        <v>4644.6850393700788</v>
      </c>
      <c r="N727" s="409">
        <v>11769.909448818897</v>
      </c>
      <c r="O727" s="410" t="s">
        <v>7776</v>
      </c>
      <c r="P727" s="406">
        <v>724</v>
      </c>
      <c r="Q727" s="470" t="s">
        <v>1512</v>
      </c>
      <c r="R727" s="460" t="s">
        <v>1513</v>
      </c>
      <c r="S727" s="270" t="s">
        <v>7</v>
      </c>
      <c r="U727" s="471"/>
      <c r="V727" s="471"/>
      <c r="W727" s="471" t="s">
        <v>1513</v>
      </c>
      <c r="X727" s="471">
        <v>0</v>
      </c>
      <c r="Y727" s="206"/>
      <c r="Z727" s="206"/>
    </row>
    <row r="728" spans="1:26">
      <c r="A728" s="406">
        <v>725</v>
      </c>
      <c r="B728" s="613" t="s">
        <v>5044</v>
      </c>
      <c r="C728" s="288" t="s">
        <v>1514</v>
      </c>
      <c r="D728" s="414" t="s">
        <v>3830</v>
      </c>
      <c r="E728" s="407" t="s">
        <v>9507</v>
      </c>
      <c r="F728" s="483" t="s">
        <v>5046</v>
      </c>
      <c r="G728" s="483" t="s">
        <v>5833</v>
      </c>
      <c r="H728" s="411" t="s">
        <v>5045</v>
      </c>
      <c r="I728" s="411" t="s">
        <v>5160</v>
      </c>
      <c r="J728" s="411"/>
      <c r="K728" s="411"/>
      <c r="L728" s="608">
        <v>7125.1299212598424</v>
      </c>
      <c r="M728" s="409">
        <v>4645.248031496063</v>
      </c>
      <c r="N728" s="409">
        <v>11770.377952755905</v>
      </c>
      <c r="O728" s="410" t="s">
        <v>7753</v>
      </c>
      <c r="P728" s="406">
        <v>725</v>
      </c>
      <c r="Q728" s="470" t="s">
        <v>1514</v>
      </c>
      <c r="R728" s="460" t="s">
        <v>1515</v>
      </c>
      <c r="S728" s="270" t="s">
        <v>7</v>
      </c>
      <c r="U728" s="471"/>
      <c r="V728" s="471"/>
      <c r="W728" s="471" t="s">
        <v>1515</v>
      </c>
      <c r="X728" s="471">
        <v>1</v>
      </c>
      <c r="Y728" s="206"/>
      <c r="Z728" s="206"/>
    </row>
    <row r="729" spans="1:26">
      <c r="A729" s="406">
        <v>726</v>
      </c>
      <c r="B729" s="613" t="s">
        <v>5041</v>
      </c>
      <c r="C729" s="288" t="s">
        <v>1516</v>
      </c>
      <c r="D729" s="414" t="s">
        <v>3832</v>
      </c>
      <c r="E729" s="407" t="s">
        <v>9508</v>
      </c>
      <c r="F729" s="483" t="s">
        <v>5043</v>
      </c>
      <c r="G729" s="483" t="s">
        <v>5834</v>
      </c>
      <c r="H729" s="411" t="s">
        <v>5042</v>
      </c>
      <c r="I729" s="411" t="s">
        <v>5161</v>
      </c>
      <c r="J729" s="411"/>
      <c r="K729" s="411"/>
      <c r="L729" s="608">
        <v>7125.2244094488196</v>
      </c>
      <c r="M729" s="409">
        <v>4644.1574803149606</v>
      </c>
      <c r="N729" s="409">
        <v>11769.381889763781</v>
      </c>
      <c r="O729" s="410" t="s">
        <v>7753</v>
      </c>
      <c r="P729" s="406">
        <v>726</v>
      </c>
      <c r="Q729" s="470" t="s">
        <v>1516</v>
      </c>
      <c r="R729" s="460" t="s">
        <v>1517</v>
      </c>
      <c r="S729" s="270" t="s">
        <v>7</v>
      </c>
      <c r="U729" s="471"/>
      <c r="V729" s="471"/>
      <c r="W729" s="471" t="s">
        <v>1517</v>
      </c>
      <c r="X729" s="471">
        <v>1</v>
      </c>
      <c r="Y729" s="206"/>
      <c r="Z729" s="206"/>
    </row>
    <row r="730" spans="1:26">
      <c r="A730" s="406">
        <v>727</v>
      </c>
      <c r="B730" s="613" t="s">
        <v>5038</v>
      </c>
      <c r="C730" s="288" t="s">
        <v>1518</v>
      </c>
      <c r="D730" s="414" t="s">
        <v>3834</v>
      </c>
      <c r="E730" s="407" t="s">
        <v>9509</v>
      </c>
      <c r="F730" s="483" t="s">
        <v>5155</v>
      </c>
      <c r="G730" s="411" t="s">
        <v>5039</v>
      </c>
      <c r="H730" s="411" t="s">
        <v>5156</v>
      </c>
      <c r="I730" s="411"/>
      <c r="J730" s="411"/>
      <c r="K730" s="411"/>
      <c r="L730" s="608">
        <v>7125.3622047244089</v>
      </c>
      <c r="M730" s="409">
        <v>4644.8070866141734</v>
      </c>
      <c r="N730" s="409">
        <v>11770.169291338581</v>
      </c>
      <c r="O730" s="410" t="s">
        <v>7749</v>
      </c>
      <c r="P730" s="406">
        <v>727</v>
      </c>
      <c r="Q730" s="470" t="s">
        <v>1518</v>
      </c>
      <c r="R730" s="460" t="s">
        <v>1519</v>
      </c>
      <c r="S730" s="270" t="s">
        <v>7</v>
      </c>
      <c r="U730" s="471"/>
      <c r="V730" s="471"/>
      <c r="W730" s="471" t="s">
        <v>1519</v>
      </c>
      <c r="X730" s="471">
        <v>0</v>
      </c>
      <c r="Y730" s="206"/>
      <c r="Z730" s="206"/>
    </row>
    <row r="731" spans="1:26">
      <c r="A731" s="406">
        <v>728</v>
      </c>
      <c r="B731" s="613" t="s">
        <v>5035</v>
      </c>
      <c r="C731" s="288" t="s">
        <v>1520</v>
      </c>
      <c r="D731" s="414" t="s">
        <v>3835</v>
      </c>
      <c r="E731" s="407" t="s">
        <v>9510</v>
      </c>
      <c r="F731" s="483" t="s">
        <v>5158</v>
      </c>
      <c r="G731" s="411" t="s">
        <v>5036</v>
      </c>
      <c r="H731" s="411" t="s">
        <v>5157</v>
      </c>
      <c r="I731" s="411"/>
      <c r="J731" s="411"/>
      <c r="K731" s="411"/>
      <c r="L731" s="608">
        <v>7124.929133858268</v>
      </c>
      <c r="M731" s="409">
        <v>4645.2165354330709</v>
      </c>
      <c r="N731" s="409">
        <v>11770.14566929134</v>
      </c>
      <c r="O731" s="410" t="s">
        <v>7749</v>
      </c>
      <c r="P731" s="406">
        <v>728</v>
      </c>
      <c r="Q731" s="470" t="s">
        <v>1520</v>
      </c>
      <c r="R731" s="460" t="s">
        <v>1521</v>
      </c>
      <c r="S731" s="270" t="s">
        <v>7</v>
      </c>
      <c r="U731" s="471"/>
      <c r="V731" s="471"/>
      <c r="W731" s="471" t="s">
        <v>1521</v>
      </c>
      <c r="X731" s="471">
        <v>0</v>
      </c>
      <c r="Y731" s="206"/>
      <c r="Z731" s="206"/>
    </row>
    <row r="732" spans="1:26">
      <c r="A732" s="406">
        <v>729</v>
      </c>
      <c r="B732" s="613" t="s">
        <v>5038</v>
      </c>
      <c r="C732" s="288" t="s">
        <v>1522</v>
      </c>
      <c r="D732" s="414" t="s">
        <v>3834</v>
      </c>
      <c r="E732" s="407" t="s">
        <v>9509</v>
      </c>
      <c r="F732" s="483" t="s">
        <v>5040</v>
      </c>
      <c r="G732" s="483" t="s">
        <v>5835</v>
      </c>
      <c r="H732" s="411" t="s">
        <v>5039</v>
      </c>
      <c r="I732" s="411" t="s">
        <v>5156</v>
      </c>
      <c r="J732" s="411"/>
      <c r="K732" s="411"/>
      <c r="L732" s="608">
        <v>7125.3622047244089</v>
      </c>
      <c r="M732" s="409">
        <v>4644.8937007874019</v>
      </c>
      <c r="N732" s="409">
        <v>11770.255905511811</v>
      </c>
      <c r="O732" s="410" t="s">
        <v>7753</v>
      </c>
      <c r="P732" s="406">
        <v>729</v>
      </c>
      <c r="Q732" s="470" t="s">
        <v>1522</v>
      </c>
      <c r="R732" s="460" t="s">
        <v>1523</v>
      </c>
      <c r="S732" s="270" t="s">
        <v>7</v>
      </c>
      <c r="U732" s="471"/>
      <c r="V732" s="471"/>
      <c r="W732" s="471" t="s">
        <v>1523</v>
      </c>
      <c r="X732" s="471">
        <v>1</v>
      </c>
      <c r="Y732" s="206"/>
      <c r="Z732" s="206"/>
    </row>
    <row r="733" spans="1:26">
      <c r="A733" s="406">
        <v>730</v>
      </c>
      <c r="B733" s="613" t="s">
        <v>5035</v>
      </c>
      <c r="C733" s="288" t="s">
        <v>1524</v>
      </c>
      <c r="D733" s="414" t="s">
        <v>3835</v>
      </c>
      <c r="E733" s="407" t="s">
        <v>9510</v>
      </c>
      <c r="F733" s="483" t="s">
        <v>5037</v>
      </c>
      <c r="G733" s="483" t="s">
        <v>5836</v>
      </c>
      <c r="H733" s="411" t="s">
        <v>5036</v>
      </c>
      <c r="I733" s="411" t="s">
        <v>5157</v>
      </c>
      <c r="J733" s="411"/>
      <c r="K733" s="411"/>
      <c r="L733" s="608">
        <v>7124.929133858268</v>
      </c>
      <c r="M733" s="409">
        <v>4645.1023622047251</v>
      </c>
      <c r="N733" s="409">
        <v>11770.031496062993</v>
      </c>
      <c r="O733" s="410" t="s">
        <v>7753</v>
      </c>
      <c r="P733" s="406">
        <v>730</v>
      </c>
      <c r="Q733" s="470" t="s">
        <v>1524</v>
      </c>
      <c r="R733" s="460" t="s">
        <v>1525</v>
      </c>
      <c r="S733" s="270" t="s">
        <v>7</v>
      </c>
      <c r="U733" s="471"/>
      <c r="V733" s="471"/>
      <c r="W733" s="471" t="s">
        <v>1525</v>
      </c>
      <c r="X733" s="471">
        <v>1</v>
      </c>
      <c r="Y733" s="206"/>
      <c r="Z733" s="206"/>
    </row>
    <row r="734" spans="1:26" ht="15" thickBot="1">
      <c r="A734" s="406">
        <v>731</v>
      </c>
      <c r="B734" s="613" t="s">
        <v>7020</v>
      </c>
      <c r="C734" s="483" t="s">
        <v>1526</v>
      </c>
      <c r="D734" s="414" t="s">
        <v>4884</v>
      </c>
      <c r="E734" s="407" t="s">
        <v>4884</v>
      </c>
      <c r="F734" s="483"/>
      <c r="G734" s="483"/>
      <c r="H734" s="483"/>
      <c r="I734" s="483"/>
      <c r="J734" s="483"/>
      <c r="K734" s="483"/>
      <c r="L734" s="608" t="s">
        <v>4884</v>
      </c>
      <c r="M734" s="409" t="s">
        <v>4884</v>
      </c>
      <c r="N734" s="409" t="s">
        <v>4884</v>
      </c>
      <c r="O734" s="410" t="s">
        <v>4884</v>
      </c>
      <c r="P734" s="406">
        <v>731</v>
      </c>
      <c r="Q734" s="532" t="s">
        <v>1526</v>
      </c>
      <c r="R734" s="532" t="s">
        <v>1527</v>
      </c>
      <c r="S734" s="532" t="s">
        <v>1528</v>
      </c>
      <c r="T734" s="533" t="s">
        <v>1529</v>
      </c>
      <c r="U734" s="471"/>
      <c r="V734" s="471"/>
      <c r="W734" s="479"/>
      <c r="X734" s="471"/>
      <c r="Y734" s="206"/>
      <c r="Z734" s="206"/>
    </row>
    <row r="735" spans="1:26">
      <c r="A735" s="406">
        <v>732</v>
      </c>
      <c r="B735" s="613" t="s">
        <v>7020</v>
      </c>
      <c r="C735" s="483" t="s">
        <v>1530</v>
      </c>
      <c r="D735" s="414" t="s">
        <v>4884</v>
      </c>
      <c r="E735" s="407" t="s">
        <v>4884</v>
      </c>
      <c r="F735" s="483"/>
      <c r="G735" s="483"/>
      <c r="H735" s="483"/>
      <c r="I735" s="483"/>
      <c r="J735" s="483"/>
      <c r="K735" s="483"/>
      <c r="L735" s="608" t="s">
        <v>4884</v>
      </c>
      <c r="M735" s="409" t="s">
        <v>4884</v>
      </c>
      <c r="N735" s="409" t="s">
        <v>4884</v>
      </c>
      <c r="O735" s="410" t="s">
        <v>4884</v>
      </c>
      <c r="P735" s="406">
        <v>732</v>
      </c>
      <c r="Q735" s="460" t="s">
        <v>1530</v>
      </c>
      <c r="R735" s="460" t="s">
        <v>1531</v>
      </c>
      <c r="S735" s="460" t="s">
        <v>1528</v>
      </c>
      <c r="T735" s="534" t="s">
        <v>1532</v>
      </c>
      <c r="U735" s="471"/>
      <c r="V735" s="471"/>
      <c r="W735" s="479"/>
      <c r="X735" s="471"/>
      <c r="Y735" s="206"/>
      <c r="Z735" s="206"/>
    </row>
    <row r="736" spans="1:26">
      <c r="A736" s="406">
        <v>733</v>
      </c>
      <c r="B736" s="613" t="s">
        <v>7020</v>
      </c>
      <c r="C736" s="483" t="s">
        <v>1533</v>
      </c>
      <c r="D736" s="414" t="s">
        <v>4884</v>
      </c>
      <c r="E736" s="407" t="s">
        <v>4884</v>
      </c>
      <c r="F736" s="483"/>
      <c r="G736" s="483"/>
      <c r="H736" s="483"/>
      <c r="I736" s="483"/>
      <c r="J736" s="483"/>
      <c r="K736" s="483"/>
      <c r="L736" s="608" t="s">
        <v>4884</v>
      </c>
      <c r="M736" s="409" t="s">
        <v>4884</v>
      </c>
      <c r="N736" s="409" t="s">
        <v>4884</v>
      </c>
      <c r="O736" s="410" t="s">
        <v>4884</v>
      </c>
      <c r="P736" s="406">
        <v>733</v>
      </c>
      <c r="Q736" s="460" t="s">
        <v>1533</v>
      </c>
      <c r="R736" s="460" t="s">
        <v>1534</v>
      </c>
      <c r="S736" s="460" t="s">
        <v>1528</v>
      </c>
      <c r="T736" s="484" t="s">
        <v>1535</v>
      </c>
      <c r="U736" s="471"/>
      <c r="V736" s="471"/>
      <c r="W736" s="479"/>
      <c r="X736" s="471"/>
      <c r="Y736" s="206"/>
      <c r="Z736" s="206"/>
    </row>
    <row r="737" spans="1:26">
      <c r="A737" s="406">
        <v>734</v>
      </c>
      <c r="B737" s="613" t="s">
        <v>7020</v>
      </c>
      <c r="C737" s="483" t="s">
        <v>1536</v>
      </c>
      <c r="D737" s="414" t="s">
        <v>4884</v>
      </c>
      <c r="E737" s="407" t="s">
        <v>4884</v>
      </c>
      <c r="F737" s="483"/>
      <c r="G737" s="483"/>
      <c r="H737" s="483"/>
      <c r="I737" s="483"/>
      <c r="J737" s="483"/>
      <c r="K737" s="483"/>
      <c r="L737" s="608" t="s">
        <v>4884</v>
      </c>
      <c r="M737" s="409" t="s">
        <v>4884</v>
      </c>
      <c r="N737" s="409" t="s">
        <v>4884</v>
      </c>
      <c r="O737" s="410" t="s">
        <v>4884</v>
      </c>
      <c r="P737" s="406">
        <v>734</v>
      </c>
      <c r="Q737" s="460" t="s">
        <v>1536</v>
      </c>
      <c r="R737" s="460" t="s">
        <v>1537</v>
      </c>
      <c r="S737" s="460" t="s">
        <v>1528</v>
      </c>
      <c r="T737" s="484" t="s">
        <v>1535</v>
      </c>
      <c r="U737" s="471"/>
      <c r="V737" s="471"/>
      <c r="W737" s="479"/>
      <c r="X737" s="471"/>
      <c r="Y737" s="206"/>
      <c r="Z737" s="206"/>
    </row>
    <row r="738" spans="1:26">
      <c r="A738" s="406">
        <v>735</v>
      </c>
      <c r="B738" s="613" t="s">
        <v>7020</v>
      </c>
      <c r="C738" s="483" t="s">
        <v>1538</v>
      </c>
      <c r="D738" s="414" t="s">
        <v>4884</v>
      </c>
      <c r="E738" s="407" t="s">
        <v>4884</v>
      </c>
      <c r="F738" s="483"/>
      <c r="G738" s="483"/>
      <c r="H738" s="483"/>
      <c r="I738" s="483"/>
      <c r="J738" s="483"/>
      <c r="K738" s="483"/>
      <c r="L738" s="608" t="s">
        <v>4884</v>
      </c>
      <c r="M738" s="409" t="s">
        <v>4884</v>
      </c>
      <c r="N738" s="409" t="s">
        <v>4884</v>
      </c>
      <c r="O738" s="410" t="s">
        <v>4884</v>
      </c>
      <c r="P738" s="406">
        <v>735</v>
      </c>
      <c r="Q738" s="460" t="s">
        <v>1538</v>
      </c>
      <c r="R738" s="460" t="s">
        <v>1539</v>
      </c>
      <c r="S738" s="460" t="s">
        <v>1528</v>
      </c>
      <c r="T738" s="485" t="s">
        <v>1540</v>
      </c>
      <c r="U738" s="471"/>
      <c r="V738" s="471"/>
      <c r="W738" s="479"/>
      <c r="X738" s="471"/>
      <c r="Y738" s="206"/>
      <c r="Z738" s="206"/>
    </row>
    <row r="739" spans="1:26">
      <c r="A739" s="406">
        <v>736</v>
      </c>
      <c r="B739" s="613" t="s">
        <v>7020</v>
      </c>
      <c r="C739" s="483" t="s">
        <v>1541</v>
      </c>
      <c r="D739" s="414" t="s">
        <v>4884</v>
      </c>
      <c r="E739" s="407" t="s">
        <v>4884</v>
      </c>
      <c r="F739" s="483"/>
      <c r="G739" s="483"/>
      <c r="H739" s="483"/>
      <c r="I739" s="483"/>
      <c r="J739" s="483"/>
      <c r="K739" s="483"/>
      <c r="L739" s="608" t="s">
        <v>4884</v>
      </c>
      <c r="M739" s="409" t="s">
        <v>4884</v>
      </c>
      <c r="N739" s="409" t="s">
        <v>4884</v>
      </c>
      <c r="O739" s="410" t="s">
        <v>4884</v>
      </c>
      <c r="P739" s="406">
        <v>736</v>
      </c>
      <c r="Q739" s="460" t="s">
        <v>1541</v>
      </c>
      <c r="R739" s="460" t="s">
        <v>1539</v>
      </c>
      <c r="S739" s="460" t="s">
        <v>1528</v>
      </c>
      <c r="T739" s="485" t="s">
        <v>1540</v>
      </c>
      <c r="U739" s="471"/>
      <c r="V739" s="471"/>
      <c r="W739" s="479"/>
      <c r="X739" s="471"/>
      <c r="Y739" s="206"/>
      <c r="Z739" s="206"/>
    </row>
    <row r="740" spans="1:26">
      <c r="A740" s="406">
        <v>737</v>
      </c>
      <c r="B740" s="613" t="s">
        <v>7020</v>
      </c>
      <c r="C740" s="483" t="s">
        <v>1542</v>
      </c>
      <c r="D740" s="414" t="s">
        <v>4884</v>
      </c>
      <c r="E740" s="407" t="s">
        <v>4884</v>
      </c>
      <c r="F740" s="483"/>
      <c r="G740" s="483"/>
      <c r="H740" s="483"/>
      <c r="I740" s="483"/>
      <c r="J740" s="483"/>
      <c r="K740" s="483"/>
      <c r="L740" s="608" t="s">
        <v>4884</v>
      </c>
      <c r="M740" s="409" t="s">
        <v>4884</v>
      </c>
      <c r="N740" s="409" t="s">
        <v>4884</v>
      </c>
      <c r="O740" s="410" t="s">
        <v>4884</v>
      </c>
      <c r="P740" s="406">
        <v>737</v>
      </c>
      <c r="Q740" s="460" t="s">
        <v>1542</v>
      </c>
      <c r="R740" s="460" t="s">
        <v>1543</v>
      </c>
      <c r="S740" s="460" t="s">
        <v>1528</v>
      </c>
      <c r="T740" s="484" t="s">
        <v>1535</v>
      </c>
      <c r="U740" s="471"/>
      <c r="V740" s="471"/>
      <c r="W740" s="479"/>
      <c r="X740" s="471"/>
      <c r="Y740" s="206"/>
      <c r="Z740" s="206"/>
    </row>
    <row r="741" spans="1:26">
      <c r="A741" s="406">
        <v>738</v>
      </c>
      <c r="B741" s="613" t="s">
        <v>7020</v>
      </c>
      <c r="C741" s="483" t="s">
        <v>1544</v>
      </c>
      <c r="D741" s="414" t="s">
        <v>4884</v>
      </c>
      <c r="E741" s="407" t="s">
        <v>4884</v>
      </c>
      <c r="F741" s="483"/>
      <c r="G741" s="483"/>
      <c r="H741" s="483"/>
      <c r="I741" s="483"/>
      <c r="J741" s="483"/>
      <c r="K741" s="483"/>
      <c r="L741" s="608" t="s">
        <v>4884</v>
      </c>
      <c r="M741" s="409" t="s">
        <v>4884</v>
      </c>
      <c r="N741" s="409" t="s">
        <v>4884</v>
      </c>
      <c r="O741" s="410" t="s">
        <v>4884</v>
      </c>
      <c r="P741" s="406">
        <v>738</v>
      </c>
      <c r="Q741" s="460" t="s">
        <v>1544</v>
      </c>
      <c r="R741" s="460" t="s">
        <v>1545</v>
      </c>
      <c r="S741" s="460" t="s">
        <v>1528</v>
      </c>
      <c r="T741" s="484" t="s">
        <v>1535</v>
      </c>
      <c r="U741" s="471"/>
      <c r="V741" s="471"/>
      <c r="W741" s="479"/>
      <c r="X741" s="471"/>
      <c r="Y741" s="206"/>
      <c r="Z741" s="206"/>
    </row>
    <row r="742" spans="1:26">
      <c r="A742" s="406">
        <v>739</v>
      </c>
      <c r="B742" s="613" t="s">
        <v>7020</v>
      </c>
      <c r="C742" s="483" t="s">
        <v>1546</v>
      </c>
      <c r="D742" s="414" t="s">
        <v>4884</v>
      </c>
      <c r="E742" s="407" t="s">
        <v>4884</v>
      </c>
      <c r="F742" s="483"/>
      <c r="G742" s="483"/>
      <c r="H742" s="483"/>
      <c r="I742" s="483"/>
      <c r="J742" s="483"/>
      <c r="K742" s="483"/>
      <c r="L742" s="608" t="s">
        <v>4884</v>
      </c>
      <c r="M742" s="409" t="s">
        <v>4884</v>
      </c>
      <c r="N742" s="409" t="s">
        <v>4884</v>
      </c>
      <c r="O742" s="410" t="s">
        <v>4884</v>
      </c>
      <c r="P742" s="406">
        <v>739</v>
      </c>
      <c r="Q742" s="460" t="s">
        <v>1546</v>
      </c>
      <c r="R742" s="460" t="s">
        <v>1547</v>
      </c>
      <c r="S742" s="460" t="s">
        <v>1528</v>
      </c>
      <c r="T742" s="486" t="s">
        <v>1548</v>
      </c>
      <c r="U742" s="471"/>
      <c r="V742" s="471"/>
      <c r="W742" s="471"/>
      <c r="X742" s="471"/>
      <c r="Y742" s="206"/>
      <c r="Z742" s="206"/>
    </row>
    <row r="743" spans="1:26">
      <c r="A743" s="406">
        <v>740</v>
      </c>
      <c r="B743" s="613" t="s">
        <v>7020</v>
      </c>
      <c r="C743" s="483" t="s">
        <v>1549</v>
      </c>
      <c r="D743" s="414" t="s">
        <v>4884</v>
      </c>
      <c r="E743" s="407" t="s">
        <v>4884</v>
      </c>
      <c r="F743" s="483"/>
      <c r="G743" s="483"/>
      <c r="H743" s="483"/>
      <c r="I743" s="483"/>
      <c r="J743" s="483"/>
      <c r="K743" s="483"/>
      <c r="L743" s="608" t="s">
        <v>4884</v>
      </c>
      <c r="M743" s="409" t="s">
        <v>4884</v>
      </c>
      <c r="N743" s="409" t="s">
        <v>4884</v>
      </c>
      <c r="O743" s="410" t="s">
        <v>4884</v>
      </c>
      <c r="P743" s="406">
        <v>740</v>
      </c>
      <c r="Q743" s="460" t="s">
        <v>1549</v>
      </c>
      <c r="R743" s="460" t="s">
        <v>1550</v>
      </c>
      <c r="S743" s="460" t="s">
        <v>1528</v>
      </c>
      <c r="T743" s="487" t="s">
        <v>1551</v>
      </c>
      <c r="U743" s="471"/>
      <c r="V743" s="471"/>
      <c r="W743" s="471"/>
      <c r="X743" s="471"/>
      <c r="Y743" s="206"/>
      <c r="Z743" s="206"/>
    </row>
    <row r="744" spans="1:26">
      <c r="A744" s="406">
        <v>741</v>
      </c>
      <c r="B744" s="613" t="s">
        <v>7020</v>
      </c>
      <c r="C744" s="483" t="s">
        <v>1552</v>
      </c>
      <c r="D744" s="414" t="s">
        <v>4884</v>
      </c>
      <c r="E744" s="407" t="s">
        <v>4884</v>
      </c>
      <c r="F744" s="483"/>
      <c r="G744" s="483"/>
      <c r="H744" s="483"/>
      <c r="I744" s="483"/>
      <c r="J744" s="483"/>
      <c r="K744" s="483"/>
      <c r="L744" s="608" t="s">
        <v>4884</v>
      </c>
      <c r="M744" s="409" t="s">
        <v>4884</v>
      </c>
      <c r="N744" s="409" t="s">
        <v>4884</v>
      </c>
      <c r="O744" s="410" t="s">
        <v>4884</v>
      </c>
      <c r="P744" s="406">
        <v>741</v>
      </c>
      <c r="Q744" s="460" t="s">
        <v>1552</v>
      </c>
      <c r="R744" s="460" t="s">
        <v>1550</v>
      </c>
      <c r="S744" s="460" t="s">
        <v>1528</v>
      </c>
      <c r="T744" s="487" t="s">
        <v>1551</v>
      </c>
      <c r="U744" s="471"/>
      <c r="V744" s="471"/>
      <c r="W744" s="488"/>
      <c r="X744" s="471"/>
      <c r="Y744" s="206"/>
      <c r="Z744" s="206"/>
    </row>
    <row r="745" spans="1:26">
      <c r="A745" s="406">
        <v>742</v>
      </c>
      <c r="B745" s="613" t="s">
        <v>7020</v>
      </c>
      <c r="C745" s="483" t="s">
        <v>1553</v>
      </c>
      <c r="D745" s="414" t="s">
        <v>4884</v>
      </c>
      <c r="E745" s="407" t="s">
        <v>4884</v>
      </c>
      <c r="F745" s="483"/>
      <c r="G745" s="483"/>
      <c r="H745" s="483"/>
      <c r="I745" s="483"/>
      <c r="J745" s="483"/>
      <c r="K745" s="483"/>
      <c r="L745" s="608" t="s">
        <v>4884</v>
      </c>
      <c r="M745" s="409" t="s">
        <v>4884</v>
      </c>
      <c r="N745" s="409" t="s">
        <v>4884</v>
      </c>
      <c r="O745" s="410" t="s">
        <v>4884</v>
      </c>
      <c r="P745" s="406">
        <v>742</v>
      </c>
      <c r="Q745" s="460" t="s">
        <v>1553</v>
      </c>
      <c r="R745" s="460" t="s">
        <v>1550</v>
      </c>
      <c r="S745" s="460" t="s">
        <v>1528</v>
      </c>
      <c r="T745" s="487" t="s">
        <v>1551</v>
      </c>
      <c r="U745" s="471"/>
      <c r="V745" s="471"/>
      <c r="W745" s="488"/>
      <c r="X745" s="471"/>
      <c r="Y745" s="206"/>
      <c r="Z745" s="206"/>
    </row>
    <row r="746" spans="1:26">
      <c r="A746" s="406">
        <v>743</v>
      </c>
      <c r="B746" s="613" t="s">
        <v>7020</v>
      </c>
      <c r="C746" s="483" t="s">
        <v>1554</v>
      </c>
      <c r="D746" s="414" t="s">
        <v>4884</v>
      </c>
      <c r="E746" s="407" t="s">
        <v>4884</v>
      </c>
      <c r="F746" s="483"/>
      <c r="G746" s="483"/>
      <c r="H746" s="483"/>
      <c r="I746" s="483"/>
      <c r="J746" s="483"/>
      <c r="K746" s="483"/>
      <c r="L746" s="608" t="s">
        <v>4884</v>
      </c>
      <c r="M746" s="409" t="s">
        <v>4884</v>
      </c>
      <c r="N746" s="409" t="s">
        <v>4884</v>
      </c>
      <c r="O746" s="410" t="s">
        <v>4884</v>
      </c>
      <c r="P746" s="406">
        <v>743</v>
      </c>
      <c r="Q746" s="460" t="s">
        <v>1554</v>
      </c>
      <c r="R746" s="460" t="s">
        <v>1550</v>
      </c>
      <c r="S746" s="460" t="s">
        <v>1528</v>
      </c>
      <c r="T746" s="487" t="s">
        <v>1551</v>
      </c>
      <c r="U746" s="471"/>
      <c r="V746" s="471"/>
      <c r="W746" s="489"/>
      <c r="X746" s="471"/>
      <c r="Y746" s="206"/>
      <c r="Z746" s="206"/>
    </row>
    <row r="747" spans="1:26">
      <c r="A747" s="406">
        <v>744</v>
      </c>
      <c r="B747" s="613" t="s">
        <v>7020</v>
      </c>
      <c r="C747" s="483" t="s">
        <v>1555</v>
      </c>
      <c r="D747" s="414" t="s">
        <v>4884</v>
      </c>
      <c r="E747" s="407" t="s">
        <v>4884</v>
      </c>
      <c r="F747" s="483"/>
      <c r="G747" s="483"/>
      <c r="H747" s="483"/>
      <c r="I747" s="483"/>
      <c r="J747" s="483"/>
      <c r="K747" s="483"/>
      <c r="L747" s="608" t="s">
        <v>4884</v>
      </c>
      <c r="M747" s="409" t="s">
        <v>4884</v>
      </c>
      <c r="N747" s="409" t="s">
        <v>4884</v>
      </c>
      <c r="O747" s="410" t="s">
        <v>4884</v>
      </c>
      <c r="P747" s="406">
        <v>744</v>
      </c>
      <c r="Q747" s="460" t="s">
        <v>1555</v>
      </c>
      <c r="R747" s="460" t="s">
        <v>1550</v>
      </c>
      <c r="S747" s="460" t="s">
        <v>1528</v>
      </c>
      <c r="T747" s="487" t="s">
        <v>1551</v>
      </c>
      <c r="U747" s="471"/>
      <c r="V747" s="471"/>
      <c r="W747" s="489"/>
      <c r="X747" s="471"/>
      <c r="Y747" s="206"/>
      <c r="Z747" s="206"/>
    </row>
    <row r="748" spans="1:26">
      <c r="A748" s="406">
        <v>745</v>
      </c>
      <c r="B748" s="613" t="s">
        <v>7020</v>
      </c>
      <c r="C748" s="483" t="s">
        <v>1556</v>
      </c>
      <c r="D748" s="414" t="s">
        <v>4884</v>
      </c>
      <c r="E748" s="407" t="s">
        <v>4884</v>
      </c>
      <c r="F748" s="483"/>
      <c r="G748" s="483"/>
      <c r="H748" s="483"/>
      <c r="I748" s="483"/>
      <c r="J748" s="483"/>
      <c r="K748" s="483"/>
      <c r="L748" s="608" t="s">
        <v>4884</v>
      </c>
      <c r="M748" s="409" t="s">
        <v>4884</v>
      </c>
      <c r="N748" s="409" t="s">
        <v>4884</v>
      </c>
      <c r="O748" s="410" t="s">
        <v>4884</v>
      </c>
      <c r="P748" s="406">
        <v>745</v>
      </c>
      <c r="Q748" s="460" t="s">
        <v>1556</v>
      </c>
      <c r="R748" s="460" t="s">
        <v>1550</v>
      </c>
      <c r="S748" s="460" t="s">
        <v>1528</v>
      </c>
      <c r="T748" s="487" t="s">
        <v>1551</v>
      </c>
      <c r="U748" s="471"/>
      <c r="V748" s="471"/>
      <c r="W748" s="489"/>
      <c r="X748" s="471"/>
      <c r="Y748" s="206"/>
      <c r="Z748" s="206"/>
    </row>
    <row r="749" spans="1:26">
      <c r="A749" s="406">
        <v>746</v>
      </c>
      <c r="B749" s="613" t="s">
        <v>7020</v>
      </c>
      <c r="C749" s="483" t="s">
        <v>1557</v>
      </c>
      <c r="D749" s="414" t="s">
        <v>4884</v>
      </c>
      <c r="E749" s="407" t="s">
        <v>4884</v>
      </c>
      <c r="F749" s="483"/>
      <c r="G749" s="483"/>
      <c r="H749" s="483"/>
      <c r="I749" s="483"/>
      <c r="J749" s="483"/>
      <c r="K749" s="483"/>
      <c r="L749" s="608" t="s">
        <v>4884</v>
      </c>
      <c r="M749" s="409" t="s">
        <v>4884</v>
      </c>
      <c r="N749" s="409" t="s">
        <v>4884</v>
      </c>
      <c r="O749" s="410" t="s">
        <v>4884</v>
      </c>
      <c r="P749" s="406">
        <v>746</v>
      </c>
      <c r="Q749" s="460" t="s">
        <v>1557</v>
      </c>
      <c r="R749" s="460" t="s">
        <v>1550</v>
      </c>
      <c r="S749" s="460" t="s">
        <v>1528</v>
      </c>
      <c r="T749" s="487" t="s">
        <v>1551</v>
      </c>
      <c r="U749" s="471"/>
      <c r="V749" s="471"/>
      <c r="W749" s="489"/>
      <c r="X749" s="471"/>
      <c r="Y749" s="206"/>
      <c r="Z749" s="206"/>
    </row>
    <row r="750" spans="1:26">
      <c r="A750" s="406">
        <v>747</v>
      </c>
      <c r="B750" s="613" t="s">
        <v>7020</v>
      </c>
      <c r="C750" s="483" t="s">
        <v>1558</v>
      </c>
      <c r="D750" s="414" t="s">
        <v>4884</v>
      </c>
      <c r="E750" s="407" t="s">
        <v>4884</v>
      </c>
      <c r="F750" s="483"/>
      <c r="G750" s="483"/>
      <c r="H750" s="483"/>
      <c r="I750" s="483"/>
      <c r="J750" s="483"/>
      <c r="K750" s="483"/>
      <c r="L750" s="608" t="s">
        <v>4884</v>
      </c>
      <c r="M750" s="409" t="s">
        <v>4884</v>
      </c>
      <c r="N750" s="409" t="s">
        <v>4884</v>
      </c>
      <c r="O750" s="410" t="s">
        <v>4884</v>
      </c>
      <c r="P750" s="406">
        <v>747</v>
      </c>
      <c r="Q750" s="460" t="s">
        <v>1558</v>
      </c>
      <c r="R750" s="460" t="s">
        <v>1550</v>
      </c>
      <c r="S750" s="460" t="s">
        <v>1528</v>
      </c>
      <c r="T750" s="487" t="s">
        <v>1551</v>
      </c>
      <c r="U750" s="471"/>
      <c r="V750" s="471"/>
      <c r="W750" s="489"/>
      <c r="X750" s="471"/>
      <c r="Y750" s="206"/>
      <c r="Z750" s="206"/>
    </row>
    <row r="751" spans="1:26">
      <c r="A751" s="406">
        <v>748</v>
      </c>
      <c r="B751" s="613" t="s">
        <v>7020</v>
      </c>
      <c r="C751" s="483" t="s">
        <v>1559</v>
      </c>
      <c r="D751" s="414" t="s">
        <v>4884</v>
      </c>
      <c r="E751" s="407" t="s">
        <v>4884</v>
      </c>
      <c r="F751" s="483"/>
      <c r="G751" s="483"/>
      <c r="H751" s="483"/>
      <c r="I751" s="483"/>
      <c r="J751" s="483"/>
      <c r="K751" s="483"/>
      <c r="L751" s="608" t="s">
        <v>4884</v>
      </c>
      <c r="M751" s="409" t="s">
        <v>4884</v>
      </c>
      <c r="N751" s="409" t="s">
        <v>4884</v>
      </c>
      <c r="O751" s="410" t="s">
        <v>4884</v>
      </c>
      <c r="P751" s="406">
        <v>748</v>
      </c>
      <c r="Q751" s="460" t="s">
        <v>1559</v>
      </c>
      <c r="R751" s="460" t="s">
        <v>1550</v>
      </c>
      <c r="S751" s="460" t="s">
        <v>1528</v>
      </c>
      <c r="T751" s="487" t="s">
        <v>1551</v>
      </c>
      <c r="U751" s="471"/>
      <c r="V751" s="471"/>
      <c r="W751" s="489"/>
      <c r="X751" s="471"/>
      <c r="Y751" s="206"/>
      <c r="Z751" s="206"/>
    </row>
    <row r="752" spans="1:26">
      <c r="A752" s="406">
        <v>749</v>
      </c>
      <c r="B752" s="613" t="s">
        <v>7020</v>
      </c>
      <c r="C752" s="483" t="s">
        <v>1560</v>
      </c>
      <c r="D752" s="414" t="s">
        <v>4884</v>
      </c>
      <c r="E752" s="407" t="s">
        <v>4884</v>
      </c>
      <c r="F752" s="483"/>
      <c r="G752" s="483"/>
      <c r="H752" s="483"/>
      <c r="I752" s="483"/>
      <c r="J752" s="483"/>
      <c r="K752" s="483"/>
      <c r="L752" s="608" t="s">
        <v>4884</v>
      </c>
      <c r="M752" s="409" t="s">
        <v>4884</v>
      </c>
      <c r="N752" s="409" t="s">
        <v>4884</v>
      </c>
      <c r="O752" s="410" t="s">
        <v>4884</v>
      </c>
      <c r="P752" s="406">
        <v>749</v>
      </c>
      <c r="Q752" s="460" t="s">
        <v>1560</v>
      </c>
      <c r="R752" s="460" t="s">
        <v>1550</v>
      </c>
      <c r="S752" s="460" t="s">
        <v>1528</v>
      </c>
      <c r="T752" s="487" t="s">
        <v>1551</v>
      </c>
      <c r="U752" s="471"/>
      <c r="V752" s="471"/>
      <c r="W752" s="489"/>
      <c r="X752" s="471"/>
      <c r="Y752" s="206"/>
      <c r="Z752" s="206"/>
    </row>
    <row r="753" spans="1:26">
      <c r="A753" s="406">
        <v>750</v>
      </c>
      <c r="B753" s="613" t="s">
        <v>7020</v>
      </c>
      <c r="C753" s="483" t="s">
        <v>1561</v>
      </c>
      <c r="D753" s="414" t="s">
        <v>4884</v>
      </c>
      <c r="E753" s="407" t="s">
        <v>4884</v>
      </c>
      <c r="F753" s="483"/>
      <c r="G753" s="483"/>
      <c r="H753" s="483"/>
      <c r="I753" s="483"/>
      <c r="J753" s="483"/>
      <c r="K753" s="483"/>
      <c r="L753" s="608" t="s">
        <v>4884</v>
      </c>
      <c r="M753" s="409" t="s">
        <v>4884</v>
      </c>
      <c r="N753" s="409" t="s">
        <v>4884</v>
      </c>
      <c r="O753" s="410" t="s">
        <v>4884</v>
      </c>
      <c r="P753" s="406">
        <v>750</v>
      </c>
      <c r="Q753" s="460" t="s">
        <v>1561</v>
      </c>
      <c r="R753" s="460" t="s">
        <v>1550</v>
      </c>
      <c r="S753" s="460" t="s">
        <v>1528</v>
      </c>
      <c r="T753" s="487" t="s">
        <v>1551</v>
      </c>
      <c r="U753" s="471"/>
      <c r="V753" s="471"/>
      <c r="W753" s="489"/>
      <c r="X753" s="471"/>
      <c r="Y753" s="206"/>
      <c r="Z753" s="206"/>
    </row>
    <row r="754" spans="1:26">
      <c r="A754" s="406">
        <v>751</v>
      </c>
      <c r="B754" s="613" t="s">
        <v>7020</v>
      </c>
      <c r="C754" s="483" t="s">
        <v>1562</v>
      </c>
      <c r="D754" s="414" t="s">
        <v>4884</v>
      </c>
      <c r="E754" s="407" t="s">
        <v>4884</v>
      </c>
      <c r="F754" s="483"/>
      <c r="G754" s="483"/>
      <c r="H754" s="483"/>
      <c r="I754" s="483"/>
      <c r="J754" s="483"/>
      <c r="K754" s="483"/>
      <c r="L754" s="608" t="s">
        <v>4884</v>
      </c>
      <c r="M754" s="409" t="s">
        <v>4884</v>
      </c>
      <c r="N754" s="409" t="s">
        <v>4884</v>
      </c>
      <c r="O754" s="410" t="s">
        <v>4884</v>
      </c>
      <c r="P754" s="406">
        <v>751</v>
      </c>
      <c r="Q754" s="460" t="s">
        <v>1562</v>
      </c>
      <c r="R754" s="460" t="s">
        <v>1550</v>
      </c>
      <c r="S754" s="460" t="s">
        <v>1528</v>
      </c>
      <c r="T754" s="487" t="s">
        <v>1551</v>
      </c>
      <c r="U754" s="471"/>
      <c r="V754" s="471"/>
      <c r="W754" s="489"/>
      <c r="X754" s="471"/>
      <c r="Y754" s="206"/>
      <c r="Z754" s="206"/>
    </row>
    <row r="755" spans="1:26">
      <c r="A755" s="406">
        <v>752</v>
      </c>
      <c r="B755" s="613" t="s">
        <v>7020</v>
      </c>
      <c r="C755" s="483" t="s">
        <v>1563</v>
      </c>
      <c r="D755" s="414" t="s">
        <v>4884</v>
      </c>
      <c r="E755" s="407" t="s">
        <v>4884</v>
      </c>
      <c r="F755" s="483"/>
      <c r="G755" s="483"/>
      <c r="H755" s="483"/>
      <c r="I755" s="483"/>
      <c r="J755" s="483"/>
      <c r="K755" s="483"/>
      <c r="L755" s="608" t="s">
        <v>4884</v>
      </c>
      <c r="M755" s="409" t="s">
        <v>4884</v>
      </c>
      <c r="N755" s="409" t="s">
        <v>4884</v>
      </c>
      <c r="O755" s="410" t="s">
        <v>4884</v>
      </c>
      <c r="P755" s="406">
        <v>752</v>
      </c>
      <c r="Q755" s="460" t="s">
        <v>1563</v>
      </c>
      <c r="R755" s="460" t="s">
        <v>1550</v>
      </c>
      <c r="S755" s="460" t="s">
        <v>1528</v>
      </c>
      <c r="T755" s="487" t="s">
        <v>1551</v>
      </c>
      <c r="U755" s="471"/>
      <c r="V755" s="471"/>
      <c r="W755" s="489"/>
      <c r="X755" s="471"/>
      <c r="Y755" s="206"/>
      <c r="Z755" s="206"/>
    </row>
    <row r="756" spans="1:26">
      <c r="A756" s="406">
        <v>753</v>
      </c>
      <c r="B756" s="613" t="s">
        <v>7020</v>
      </c>
      <c r="C756" s="483" t="s">
        <v>1564</v>
      </c>
      <c r="D756" s="414" t="s">
        <v>4884</v>
      </c>
      <c r="E756" s="407" t="s">
        <v>4884</v>
      </c>
      <c r="F756" s="483"/>
      <c r="G756" s="483"/>
      <c r="H756" s="483"/>
      <c r="I756" s="483"/>
      <c r="J756" s="483"/>
      <c r="K756" s="483"/>
      <c r="L756" s="608" t="s">
        <v>4884</v>
      </c>
      <c r="M756" s="409" t="s">
        <v>4884</v>
      </c>
      <c r="N756" s="409" t="s">
        <v>4884</v>
      </c>
      <c r="O756" s="410" t="s">
        <v>4884</v>
      </c>
      <c r="P756" s="406">
        <v>753</v>
      </c>
      <c r="Q756" s="460" t="s">
        <v>1564</v>
      </c>
      <c r="R756" s="460" t="s">
        <v>1550</v>
      </c>
      <c r="S756" s="460" t="s">
        <v>1528</v>
      </c>
      <c r="T756" s="487" t="s">
        <v>1551</v>
      </c>
      <c r="U756" s="471"/>
      <c r="V756" s="471"/>
      <c r="W756" s="489"/>
      <c r="X756" s="471"/>
      <c r="Y756" s="206"/>
      <c r="Z756" s="206"/>
    </row>
    <row r="757" spans="1:26">
      <c r="A757" s="406">
        <v>754</v>
      </c>
      <c r="B757" s="613" t="s">
        <v>7020</v>
      </c>
      <c r="C757" s="483" t="s">
        <v>1565</v>
      </c>
      <c r="D757" s="414" t="s">
        <v>4884</v>
      </c>
      <c r="E757" s="407" t="s">
        <v>4884</v>
      </c>
      <c r="F757" s="483"/>
      <c r="G757" s="483"/>
      <c r="H757" s="483"/>
      <c r="I757" s="483"/>
      <c r="J757" s="483"/>
      <c r="K757" s="483"/>
      <c r="L757" s="608" t="s">
        <v>4884</v>
      </c>
      <c r="M757" s="409" t="s">
        <v>4884</v>
      </c>
      <c r="N757" s="409" t="s">
        <v>4884</v>
      </c>
      <c r="O757" s="410" t="s">
        <v>4884</v>
      </c>
      <c r="P757" s="406">
        <v>754</v>
      </c>
      <c r="Q757" s="460" t="s">
        <v>1565</v>
      </c>
      <c r="R757" s="460" t="s">
        <v>1550</v>
      </c>
      <c r="S757" s="460" t="s">
        <v>1528</v>
      </c>
      <c r="T757" s="487" t="s">
        <v>1551</v>
      </c>
      <c r="U757" s="471"/>
      <c r="V757" s="471"/>
      <c r="W757" s="489"/>
      <c r="X757" s="471"/>
      <c r="Y757" s="206"/>
      <c r="Z757" s="206"/>
    </row>
    <row r="758" spans="1:26">
      <c r="A758" s="406">
        <v>755</v>
      </c>
      <c r="B758" s="613" t="s">
        <v>7020</v>
      </c>
      <c r="C758" s="483" t="s">
        <v>1566</v>
      </c>
      <c r="D758" s="414" t="s">
        <v>4884</v>
      </c>
      <c r="E758" s="407" t="s">
        <v>4884</v>
      </c>
      <c r="F758" s="483"/>
      <c r="G758" s="483"/>
      <c r="H758" s="483"/>
      <c r="I758" s="483"/>
      <c r="J758" s="483"/>
      <c r="K758" s="483"/>
      <c r="L758" s="608" t="s">
        <v>4884</v>
      </c>
      <c r="M758" s="409" t="s">
        <v>4884</v>
      </c>
      <c r="N758" s="409" t="s">
        <v>4884</v>
      </c>
      <c r="O758" s="410" t="s">
        <v>4884</v>
      </c>
      <c r="P758" s="406">
        <v>755</v>
      </c>
      <c r="Q758" s="460" t="s">
        <v>1566</v>
      </c>
      <c r="R758" s="460" t="s">
        <v>1550</v>
      </c>
      <c r="S758" s="460" t="s">
        <v>1528</v>
      </c>
      <c r="T758" s="487" t="s">
        <v>1551</v>
      </c>
      <c r="U758" s="471"/>
      <c r="V758" s="471"/>
      <c r="W758" s="489"/>
      <c r="X758" s="471"/>
      <c r="Y758" s="206"/>
      <c r="Z758" s="206"/>
    </row>
    <row r="759" spans="1:26">
      <c r="A759" s="406">
        <v>756</v>
      </c>
      <c r="B759" s="613" t="s">
        <v>7020</v>
      </c>
      <c r="C759" s="483" t="s">
        <v>1567</v>
      </c>
      <c r="D759" s="414" t="s">
        <v>4884</v>
      </c>
      <c r="E759" s="407" t="s">
        <v>4884</v>
      </c>
      <c r="F759" s="483"/>
      <c r="G759" s="483"/>
      <c r="H759" s="483"/>
      <c r="I759" s="483"/>
      <c r="J759" s="483"/>
      <c r="K759" s="483"/>
      <c r="L759" s="608" t="s">
        <v>4884</v>
      </c>
      <c r="M759" s="409" t="s">
        <v>4884</v>
      </c>
      <c r="N759" s="409" t="s">
        <v>4884</v>
      </c>
      <c r="O759" s="410" t="s">
        <v>4884</v>
      </c>
      <c r="P759" s="406">
        <v>756</v>
      </c>
      <c r="Q759" s="460" t="s">
        <v>1567</v>
      </c>
      <c r="R759" s="460" t="s">
        <v>1550</v>
      </c>
      <c r="S759" s="460" t="s">
        <v>1528</v>
      </c>
      <c r="T759" s="487" t="s">
        <v>1551</v>
      </c>
      <c r="U759" s="471"/>
      <c r="V759" s="471"/>
      <c r="W759" s="489"/>
      <c r="X759" s="471"/>
      <c r="Y759" s="206"/>
      <c r="Z759" s="206"/>
    </row>
    <row r="760" spans="1:26">
      <c r="A760" s="406">
        <v>757</v>
      </c>
      <c r="B760" s="613" t="s">
        <v>7020</v>
      </c>
      <c r="C760" s="483" t="s">
        <v>1568</v>
      </c>
      <c r="D760" s="414" t="s">
        <v>4884</v>
      </c>
      <c r="E760" s="407" t="s">
        <v>4884</v>
      </c>
      <c r="F760" s="483"/>
      <c r="G760" s="483"/>
      <c r="H760" s="483"/>
      <c r="I760" s="483"/>
      <c r="J760" s="483"/>
      <c r="K760" s="483"/>
      <c r="L760" s="608" t="s">
        <v>4884</v>
      </c>
      <c r="M760" s="409" t="s">
        <v>4884</v>
      </c>
      <c r="N760" s="409" t="s">
        <v>4884</v>
      </c>
      <c r="O760" s="410" t="s">
        <v>4884</v>
      </c>
      <c r="P760" s="406">
        <v>757</v>
      </c>
      <c r="Q760" s="460" t="s">
        <v>1568</v>
      </c>
      <c r="R760" s="460" t="s">
        <v>1550</v>
      </c>
      <c r="S760" s="460" t="s">
        <v>1528</v>
      </c>
      <c r="T760" s="487" t="s">
        <v>1551</v>
      </c>
      <c r="U760" s="471"/>
      <c r="V760" s="471"/>
      <c r="W760" s="489"/>
      <c r="X760" s="471"/>
      <c r="Y760" s="206"/>
      <c r="Z760" s="206"/>
    </row>
    <row r="761" spans="1:26">
      <c r="A761" s="406">
        <v>758</v>
      </c>
      <c r="B761" s="613" t="s">
        <v>7020</v>
      </c>
      <c r="C761" s="483" t="s">
        <v>1569</v>
      </c>
      <c r="D761" s="414" t="s">
        <v>4884</v>
      </c>
      <c r="E761" s="407" t="s">
        <v>4884</v>
      </c>
      <c r="F761" s="483"/>
      <c r="G761" s="483"/>
      <c r="H761" s="483"/>
      <c r="I761" s="483"/>
      <c r="J761" s="483"/>
      <c r="K761" s="483"/>
      <c r="L761" s="608" t="s">
        <v>4884</v>
      </c>
      <c r="M761" s="409" t="s">
        <v>4884</v>
      </c>
      <c r="N761" s="409" t="s">
        <v>4884</v>
      </c>
      <c r="O761" s="410" t="s">
        <v>4884</v>
      </c>
      <c r="P761" s="406">
        <v>758</v>
      </c>
      <c r="Q761" s="460" t="s">
        <v>1569</v>
      </c>
      <c r="R761" s="460" t="s">
        <v>1550</v>
      </c>
      <c r="S761" s="460" t="s">
        <v>1528</v>
      </c>
      <c r="T761" s="487" t="s">
        <v>1551</v>
      </c>
      <c r="U761" s="471"/>
      <c r="V761" s="471"/>
      <c r="W761" s="489"/>
      <c r="X761" s="471"/>
      <c r="Y761" s="206"/>
      <c r="Z761" s="206"/>
    </row>
    <row r="762" spans="1:26">
      <c r="A762" s="406">
        <v>759</v>
      </c>
      <c r="B762" s="613" t="s">
        <v>7020</v>
      </c>
      <c r="C762" s="483" t="s">
        <v>1570</v>
      </c>
      <c r="D762" s="414" t="s">
        <v>4884</v>
      </c>
      <c r="E762" s="407" t="s">
        <v>4884</v>
      </c>
      <c r="F762" s="483"/>
      <c r="G762" s="483"/>
      <c r="H762" s="483"/>
      <c r="I762" s="483"/>
      <c r="J762" s="483"/>
      <c r="K762" s="483"/>
      <c r="L762" s="608" t="s">
        <v>4884</v>
      </c>
      <c r="M762" s="409" t="s">
        <v>4884</v>
      </c>
      <c r="N762" s="409" t="s">
        <v>4884</v>
      </c>
      <c r="O762" s="410" t="s">
        <v>4884</v>
      </c>
      <c r="P762" s="406">
        <v>759</v>
      </c>
      <c r="Q762" s="460" t="s">
        <v>1570</v>
      </c>
      <c r="R762" s="460" t="s">
        <v>1550</v>
      </c>
      <c r="S762" s="460" t="s">
        <v>1528</v>
      </c>
      <c r="T762" s="487" t="s">
        <v>1551</v>
      </c>
      <c r="U762" s="471"/>
      <c r="V762" s="471"/>
      <c r="W762" s="489"/>
      <c r="X762" s="471"/>
      <c r="Y762" s="206"/>
      <c r="Z762" s="206"/>
    </row>
    <row r="763" spans="1:26">
      <c r="A763" s="406">
        <v>760</v>
      </c>
      <c r="B763" s="613" t="s">
        <v>7020</v>
      </c>
      <c r="C763" s="483" t="s">
        <v>1571</v>
      </c>
      <c r="D763" s="414" t="s">
        <v>4884</v>
      </c>
      <c r="E763" s="407" t="s">
        <v>4884</v>
      </c>
      <c r="F763" s="483"/>
      <c r="G763" s="483"/>
      <c r="H763" s="483"/>
      <c r="I763" s="483"/>
      <c r="J763" s="483"/>
      <c r="K763" s="483"/>
      <c r="L763" s="608" t="s">
        <v>4884</v>
      </c>
      <c r="M763" s="409" t="s">
        <v>4884</v>
      </c>
      <c r="N763" s="409" t="s">
        <v>4884</v>
      </c>
      <c r="O763" s="410" t="s">
        <v>4884</v>
      </c>
      <c r="P763" s="406">
        <v>760</v>
      </c>
      <c r="Q763" s="460" t="s">
        <v>1571</v>
      </c>
      <c r="R763" s="460" t="s">
        <v>1550</v>
      </c>
      <c r="S763" s="460" t="s">
        <v>1528</v>
      </c>
      <c r="T763" s="487" t="s">
        <v>1551</v>
      </c>
      <c r="U763" s="471"/>
      <c r="V763" s="471"/>
      <c r="W763" s="489"/>
      <c r="X763" s="471"/>
      <c r="Y763" s="206"/>
      <c r="Z763" s="206"/>
    </row>
    <row r="764" spans="1:26">
      <c r="A764" s="406">
        <v>761</v>
      </c>
      <c r="B764" s="613" t="s">
        <v>7020</v>
      </c>
      <c r="C764" s="483" t="s">
        <v>1572</v>
      </c>
      <c r="D764" s="414" t="s">
        <v>4884</v>
      </c>
      <c r="E764" s="407" t="s">
        <v>4884</v>
      </c>
      <c r="F764" s="483"/>
      <c r="G764" s="483"/>
      <c r="H764" s="483"/>
      <c r="I764" s="483"/>
      <c r="J764" s="483"/>
      <c r="K764" s="483"/>
      <c r="L764" s="608" t="s">
        <v>4884</v>
      </c>
      <c r="M764" s="409" t="s">
        <v>4884</v>
      </c>
      <c r="N764" s="409" t="s">
        <v>4884</v>
      </c>
      <c r="O764" s="410" t="s">
        <v>4884</v>
      </c>
      <c r="P764" s="406">
        <v>761</v>
      </c>
      <c r="Q764" s="460" t="s">
        <v>1572</v>
      </c>
      <c r="R764" s="460" t="s">
        <v>1550</v>
      </c>
      <c r="S764" s="460" t="s">
        <v>1528</v>
      </c>
      <c r="T764" s="487" t="s">
        <v>1551</v>
      </c>
      <c r="U764" s="471"/>
      <c r="V764" s="471"/>
      <c r="W764" s="489"/>
      <c r="X764" s="471"/>
      <c r="Y764" s="206"/>
      <c r="Z764" s="206"/>
    </row>
    <row r="765" spans="1:26">
      <c r="A765" s="406">
        <v>762</v>
      </c>
      <c r="B765" s="613" t="s">
        <v>7020</v>
      </c>
      <c r="C765" s="483" t="s">
        <v>1573</v>
      </c>
      <c r="D765" s="414" t="s">
        <v>4884</v>
      </c>
      <c r="E765" s="407" t="s">
        <v>4884</v>
      </c>
      <c r="F765" s="483"/>
      <c r="G765" s="483"/>
      <c r="H765" s="483"/>
      <c r="I765" s="483"/>
      <c r="J765" s="483"/>
      <c r="K765" s="483"/>
      <c r="L765" s="608" t="s">
        <v>4884</v>
      </c>
      <c r="M765" s="409" t="s">
        <v>4884</v>
      </c>
      <c r="N765" s="409" t="s">
        <v>4884</v>
      </c>
      <c r="O765" s="410" t="s">
        <v>4884</v>
      </c>
      <c r="P765" s="406">
        <v>762</v>
      </c>
      <c r="Q765" s="460" t="s">
        <v>1573</v>
      </c>
      <c r="R765" s="460" t="s">
        <v>1550</v>
      </c>
      <c r="S765" s="460" t="s">
        <v>1528</v>
      </c>
      <c r="T765" s="487" t="s">
        <v>1551</v>
      </c>
      <c r="U765" s="471"/>
      <c r="V765" s="471"/>
      <c r="W765" s="489"/>
      <c r="X765" s="471"/>
      <c r="Y765" s="206"/>
      <c r="Z765" s="206"/>
    </row>
    <row r="766" spans="1:26">
      <c r="A766" s="406">
        <v>763</v>
      </c>
      <c r="B766" s="613" t="s">
        <v>7020</v>
      </c>
      <c r="C766" s="483" t="s">
        <v>1574</v>
      </c>
      <c r="D766" s="414" t="s">
        <v>4884</v>
      </c>
      <c r="E766" s="407" t="s">
        <v>4884</v>
      </c>
      <c r="F766" s="483"/>
      <c r="G766" s="483"/>
      <c r="H766" s="483"/>
      <c r="I766" s="483"/>
      <c r="J766" s="483"/>
      <c r="K766" s="483"/>
      <c r="L766" s="608" t="s">
        <v>4884</v>
      </c>
      <c r="M766" s="409" t="s">
        <v>4884</v>
      </c>
      <c r="N766" s="409" t="s">
        <v>4884</v>
      </c>
      <c r="O766" s="410" t="s">
        <v>4884</v>
      </c>
      <c r="P766" s="406">
        <v>763</v>
      </c>
      <c r="Q766" s="460" t="s">
        <v>1574</v>
      </c>
      <c r="R766" s="460" t="s">
        <v>1550</v>
      </c>
      <c r="S766" s="460" t="s">
        <v>1528</v>
      </c>
      <c r="T766" s="487" t="s">
        <v>1551</v>
      </c>
      <c r="U766" s="471"/>
      <c r="V766" s="471"/>
      <c r="W766" s="489"/>
      <c r="X766" s="471"/>
      <c r="Y766" s="206"/>
      <c r="Z766" s="206"/>
    </row>
    <row r="767" spans="1:26">
      <c r="A767" s="406">
        <v>764</v>
      </c>
      <c r="B767" s="613" t="s">
        <v>7020</v>
      </c>
      <c r="C767" s="483" t="s">
        <v>1575</v>
      </c>
      <c r="D767" s="414" t="s">
        <v>4884</v>
      </c>
      <c r="E767" s="407" t="s">
        <v>4884</v>
      </c>
      <c r="F767" s="483"/>
      <c r="G767" s="483"/>
      <c r="H767" s="483"/>
      <c r="I767" s="483"/>
      <c r="J767" s="483"/>
      <c r="K767" s="483"/>
      <c r="L767" s="608" t="s">
        <v>4884</v>
      </c>
      <c r="M767" s="409" t="s">
        <v>4884</v>
      </c>
      <c r="N767" s="409" t="s">
        <v>4884</v>
      </c>
      <c r="O767" s="410" t="s">
        <v>4884</v>
      </c>
      <c r="P767" s="406">
        <v>764</v>
      </c>
      <c r="Q767" s="460" t="s">
        <v>1575</v>
      </c>
      <c r="R767" s="460" t="s">
        <v>1550</v>
      </c>
      <c r="S767" s="460" t="s">
        <v>1528</v>
      </c>
      <c r="T767" s="487" t="s">
        <v>1551</v>
      </c>
      <c r="U767" s="471"/>
      <c r="V767" s="471"/>
      <c r="W767" s="489"/>
      <c r="X767" s="471"/>
      <c r="Y767" s="206"/>
      <c r="Z767" s="206"/>
    </row>
    <row r="768" spans="1:26">
      <c r="A768" s="406">
        <v>765</v>
      </c>
      <c r="B768" s="613" t="s">
        <v>7020</v>
      </c>
      <c r="C768" s="483" t="s">
        <v>1576</v>
      </c>
      <c r="D768" s="414" t="s">
        <v>4884</v>
      </c>
      <c r="E768" s="407" t="s">
        <v>4884</v>
      </c>
      <c r="F768" s="483"/>
      <c r="G768" s="483"/>
      <c r="H768" s="483"/>
      <c r="I768" s="483"/>
      <c r="J768" s="483"/>
      <c r="K768" s="483"/>
      <c r="L768" s="608" t="s">
        <v>4884</v>
      </c>
      <c r="M768" s="409" t="s">
        <v>4884</v>
      </c>
      <c r="N768" s="409" t="s">
        <v>4884</v>
      </c>
      <c r="O768" s="410" t="s">
        <v>4884</v>
      </c>
      <c r="P768" s="406">
        <v>765</v>
      </c>
      <c r="Q768" s="460" t="s">
        <v>1576</v>
      </c>
      <c r="R768" s="460" t="s">
        <v>1550</v>
      </c>
      <c r="S768" s="460" t="s">
        <v>1528</v>
      </c>
      <c r="T768" s="487" t="s">
        <v>1551</v>
      </c>
      <c r="U768" s="471"/>
      <c r="V768" s="471"/>
      <c r="W768" s="489"/>
      <c r="X768" s="471"/>
      <c r="Y768" s="206"/>
      <c r="Z768" s="206"/>
    </row>
    <row r="769" spans="1:26">
      <c r="A769" s="406">
        <v>766</v>
      </c>
      <c r="B769" s="613" t="s">
        <v>7020</v>
      </c>
      <c r="C769" s="483" t="s">
        <v>1577</v>
      </c>
      <c r="D769" s="414" t="s">
        <v>4884</v>
      </c>
      <c r="E769" s="407" t="s">
        <v>4884</v>
      </c>
      <c r="F769" s="483"/>
      <c r="G769" s="483"/>
      <c r="H769" s="483"/>
      <c r="I769" s="483"/>
      <c r="J769" s="483"/>
      <c r="K769" s="483"/>
      <c r="L769" s="608" t="s">
        <v>4884</v>
      </c>
      <c r="M769" s="409" t="s">
        <v>4884</v>
      </c>
      <c r="N769" s="409" t="s">
        <v>4884</v>
      </c>
      <c r="O769" s="410" t="s">
        <v>4884</v>
      </c>
      <c r="P769" s="406">
        <v>766</v>
      </c>
      <c r="Q769" s="460" t="s">
        <v>1577</v>
      </c>
      <c r="R769" s="460" t="s">
        <v>1550</v>
      </c>
      <c r="S769" s="460" t="s">
        <v>1528</v>
      </c>
      <c r="T769" s="487" t="s">
        <v>1551</v>
      </c>
      <c r="U769" s="471"/>
      <c r="V769" s="471"/>
      <c r="W769" s="489"/>
      <c r="X769" s="471"/>
      <c r="Y769" s="206"/>
      <c r="Z769" s="206"/>
    </row>
    <row r="770" spans="1:26">
      <c r="A770" s="406">
        <v>767</v>
      </c>
      <c r="B770" s="613" t="s">
        <v>7020</v>
      </c>
      <c r="C770" s="483" t="s">
        <v>1578</v>
      </c>
      <c r="D770" s="414" t="s">
        <v>4884</v>
      </c>
      <c r="E770" s="407" t="s">
        <v>4884</v>
      </c>
      <c r="F770" s="483"/>
      <c r="G770" s="483"/>
      <c r="H770" s="483"/>
      <c r="I770" s="483"/>
      <c r="J770" s="483"/>
      <c r="K770" s="483"/>
      <c r="L770" s="608" t="s">
        <v>4884</v>
      </c>
      <c r="M770" s="409" t="s">
        <v>4884</v>
      </c>
      <c r="N770" s="409" t="s">
        <v>4884</v>
      </c>
      <c r="O770" s="410" t="s">
        <v>4884</v>
      </c>
      <c r="P770" s="406">
        <v>767</v>
      </c>
      <c r="Q770" s="460" t="s">
        <v>1578</v>
      </c>
      <c r="R770" s="460" t="s">
        <v>1550</v>
      </c>
      <c r="S770" s="460" t="s">
        <v>1528</v>
      </c>
      <c r="T770" s="487" t="s">
        <v>1551</v>
      </c>
      <c r="U770" s="471"/>
      <c r="V770" s="471"/>
      <c r="W770" s="489"/>
      <c r="X770" s="471"/>
      <c r="Y770" s="206"/>
      <c r="Z770" s="206"/>
    </row>
    <row r="771" spans="1:26">
      <c r="A771" s="406">
        <v>768</v>
      </c>
      <c r="B771" s="613" t="s">
        <v>7020</v>
      </c>
      <c r="C771" s="483" t="s">
        <v>1579</v>
      </c>
      <c r="D771" s="414" t="s">
        <v>4884</v>
      </c>
      <c r="E771" s="407" t="s">
        <v>4884</v>
      </c>
      <c r="F771" s="483"/>
      <c r="G771" s="483"/>
      <c r="H771" s="483"/>
      <c r="I771" s="483"/>
      <c r="J771" s="483"/>
      <c r="K771" s="483"/>
      <c r="L771" s="608" t="s">
        <v>4884</v>
      </c>
      <c r="M771" s="409" t="s">
        <v>4884</v>
      </c>
      <c r="N771" s="409" t="s">
        <v>4884</v>
      </c>
      <c r="O771" s="410" t="s">
        <v>4884</v>
      </c>
      <c r="P771" s="406">
        <v>768</v>
      </c>
      <c r="Q771" s="460" t="s">
        <v>1579</v>
      </c>
      <c r="R771" s="460" t="s">
        <v>1550</v>
      </c>
      <c r="S771" s="460" t="s">
        <v>1528</v>
      </c>
      <c r="T771" s="487" t="s">
        <v>1551</v>
      </c>
      <c r="U771" s="471"/>
      <c r="V771" s="471"/>
      <c r="W771" s="489"/>
      <c r="X771" s="471"/>
      <c r="Y771" s="206"/>
      <c r="Z771" s="206"/>
    </row>
    <row r="772" spans="1:26">
      <c r="A772" s="406">
        <v>769</v>
      </c>
      <c r="B772" s="613" t="s">
        <v>7020</v>
      </c>
      <c r="C772" s="483" t="s">
        <v>1580</v>
      </c>
      <c r="D772" s="414" t="s">
        <v>4884</v>
      </c>
      <c r="E772" s="407" t="s">
        <v>4884</v>
      </c>
      <c r="F772" s="483"/>
      <c r="G772" s="483"/>
      <c r="H772" s="483"/>
      <c r="I772" s="483"/>
      <c r="J772" s="483"/>
      <c r="K772" s="483"/>
      <c r="L772" s="608" t="s">
        <v>4884</v>
      </c>
      <c r="M772" s="409" t="s">
        <v>4884</v>
      </c>
      <c r="N772" s="409" t="s">
        <v>4884</v>
      </c>
      <c r="O772" s="410" t="s">
        <v>4884</v>
      </c>
      <c r="P772" s="406">
        <v>769</v>
      </c>
      <c r="Q772" s="460" t="s">
        <v>1580</v>
      </c>
      <c r="R772" s="460" t="s">
        <v>1550</v>
      </c>
      <c r="S772" s="460" t="s">
        <v>1528</v>
      </c>
      <c r="T772" s="487" t="s">
        <v>1551</v>
      </c>
      <c r="U772" s="471"/>
      <c r="V772" s="471"/>
      <c r="W772" s="489"/>
      <c r="X772" s="471"/>
      <c r="Y772" s="206"/>
      <c r="Z772" s="206"/>
    </row>
    <row r="773" spans="1:26">
      <c r="A773" s="406">
        <v>770</v>
      </c>
      <c r="B773" s="613" t="s">
        <v>7020</v>
      </c>
      <c r="C773" s="483" t="s">
        <v>1581</v>
      </c>
      <c r="D773" s="414" t="s">
        <v>4884</v>
      </c>
      <c r="E773" s="407" t="s">
        <v>4884</v>
      </c>
      <c r="F773" s="483"/>
      <c r="G773" s="483"/>
      <c r="H773" s="483"/>
      <c r="I773" s="483"/>
      <c r="J773" s="483"/>
      <c r="K773" s="483"/>
      <c r="L773" s="608" t="s">
        <v>4884</v>
      </c>
      <c r="M773" s="409" t="s">
        <v>4884</v>
      </c>
      <c r="N773" s="409" t="s">
        <v>4884</v>
      </c>
      <c r="O773" s="410" t="s">
        <v>4884</v>
      </c>
      <c r="P773" s="406">
        <v>770</v>
      </c>
      <c r="Q773" s="460" t="s">
        <v>1581</v>
      </c>
      <c r="R773" s="460" t="s">
        <v>1550</v>
      </c>
      <c r="S773" s="460" t="s">
        <v>1528</v>
      </c>
      <c r="T773" s="487" t="s">
        <v>1551</v>
      </c>
      <c r="U773" s="471"/>
      <c r="V773" s="471"/>
      <c r="W773" s="489"/>
      <c r="X773" s="471"/>
      <c r="Y773" s="206"/>
      <c r="Z773" s="206"/>
    </row>
    <row r="774" spans="1:26">
      <c r="A774" s="406">
        <v>771</v>
      </c>
      <c r="B774" s="613" t="s">
        <v>7020</v>
      </c>
      <c r="C774" s="483" t="s">
        <v>1582</v>
      </c>
      <c r="D774" s="414" t="s">
        <v>4884</v>
      </c>
      <c r="E774" s="407" t="s">
        <v>4884</v>
      </c>
      <c r="F774" s="483"/>
      <c r="G774" s="483"/>
      <c r="H774" s="483"/>
      <c r="I774" s="483"/>
      <c r="J774" s="483"/>
      <c r="K774" s="483"/>
      <c r="L774" s="608" t="s">
        <v>4884</v>
      </c>
      <c r="M774" s="409" t="s">
        <v>4884</v>
      </c>
      <c r="N774" s="409" t="s">
        <v>4884</v>
      </c>
      <c r="O774" s="410" t="s">
        <v>4884</v>
      </c>
      <c r="P774" s="406">
        <v>771</v>
      </c>
      <c r="Q774" s="460" t="s">
        <v>1582</v>
      </c>
      <c r="R774" s="460" t="s">
        <v>1550</v>
      </c>
      <c r="S774" s="460" t="s">
        <v>1528</v>
      </c>
      <c r="T774" s="487" t="s">
        <v>1551</v>
      </c>
      <c r="U774" s="471"/>
      <c r="V774" s="471"/>
      <c r="W774" s="489"/>
      <c r="X774" s="471"/>
      <c r="Y774" s="206"/>
      <c r="Z774" s="206"/>
    </row>
    <row r="775" spans="1:26">
      <c r="A775" s="406">
        <v>772</v>
      </c>
      <c r="B775" s="613" t="s">
        <v>7020</v>
      </c>
      <c r="C775" s="483" t="s">
        <v>1583</v>
      </c>
      <c r="D775" s="414" t="s">
        <v>4884</v>
      </c>
      <c r="E775" s="407" t="s">
        <v>4884</v>
      </c>
      <c r="F775" s="483"/>
      <c r="G775" s="483"/>
      <c r="H775" s="483"/>
      <c r="I775" s="483"/>
      <c r="J775" s="483"/>
      <c r="K775" s="483"/>
      <c r="L775" s="608" t="s">
        <v>4884</v>
      </c>
      <c r="M775" s="409" t="s">
        <v>4884</v>
      </c>
      <c r="N775" s="409" t="s">
        <v>4884</v>
      </c>
      <c r="O775" s="410" t="s">
        <v>4884</v>
      </c>
      <c r="P775" s="406">
        <v>772</v>
      </c>
      <c r="Q775" s="460" t="s">
        <v>1583</v>
      </c>
      <c r="R775" s="460" t="s">
        <v>1550</v>
      </c>
      <c r="S775" s="460" t="s">
        <v>1528</v>
      </c>
      <c r="T775" s="487" t="s">
        <v>1551</v>
      </c>
      <c r="U775" s="471"/>
      <c r="V775" s="471"/>
      <c r="W775" s="489"/>
      <c r="X775" s="471"/>
      <c r="Y775" s="206"/>
      <c r="Z775" s="206"/>
    </row>
    <row r="776" spans="1:26">
      <c r="A776" s="406">
        <v>773</v>
      </c>
      <c r="B776" s="613" t="s">
        <v>7020</v>
      </c>
      <c r="C776" s="483" t="s">
        <v>1584</v>
      </c>
      <c r="D776" s="414" t="s">
        <v>4884</v>
      </c>
      <c r="E776" s="407" t="s">
        <v>4884</v>
      </c>
      <c r="F776" s="483"/>
      <c r="G776" s="483"/>
      <c r="H776" s="483"/>
      <c r="I776" s="483"/>
      <c r="J776" s="483"/>
      <c r="K776" s="483"/>
      <c r="L776" s="608" t="s">
        <v>4884</v>
      </c>
      <c r="M776" s="409" t="s">
        <v>4884</v>
      </c>
      <c r="N776" s="409" t="s">
        <v>4884</v>
      </c>
      <c r="O776" s="410" t="s">
        <v>4884</v>
      </c>
      <c r="P776" s="406">
        <v>773</v>
      </c>
      <c r="Q776" s="460" t="s">
        <v>1584</v>
      </c>
      <c r="R776" s="460" t="s">
        <v>1550</v>
      </c>
      <c r="S776" s="460" t="s">
        <v>1528</v>
      </c>
      <c r="T776" s="487" t="s">
        <v>1551</v>
      </c>
      <c r="U776" s="471"/>
      <c r="V776" s="471"/>
      <c r="W776" s="489"/>
      <c r="X776" s="471"/>
      <c r="Y776" s="206"/>
      <c r="Z776" s="206"/>
    </row>
    <row r="777" spans="1:26">
      <c r="A777" s="406">
        <v>774</v>
      </c>
      <c r="B777" s="613" t="s">
        <v>7020</v>
      </c>
      <c r="C777" s="483" t="s">
        <v>1585</v>
      </c>
      <c r="D777" s="414" t="s">
        <v>4884</v>
      </c>
      <c r="E777" s="407" t="s">
        <v>4884</v>
      </c>
      <c r="F777" s="483"/>
      <c r="G777" s="483"/>
      <c r="H777" s="483"/>
      <c r="I777" s="483"/>
      <c r="J777" s="483"/>
      <c r="K777" s="483"/>
      <c r="L777" s="608" t="s">
        <v>4884</v>
      </c>
      <c r="M777" s="409" t="s">
        <v>4884</v>
      </c>
      <c r="N777" s="409" t="s">
        <v>4884</v>
      </c>
      <c r="O777" s="410" t="s">
        <v>4884</v>
      </c>
      <c r="P777" s="406">
        <v>774</v>
      </c>
      <c r="Q777" s="460" t="s">
        <v>1585</v>
      </c>
      <c r="R777" s="460" t="s">
        <v>1550</v>
      </c>
      <c r="S777" s="460" t="s">
        <v>1528</v>
      </c>
      <c r="T777" s="487" t="s">
        <v>1551</v>
      </c>
      <c r="U777" s="471"/>
      <c r="V777" s="471"/>
      <c r="W777" s="489"/>
      <c r="X777" s="471"/>
      <c r="Y777" s="206"/>
      <c r="Z777" s="206"/>
    </row>
    <row r="778" spans="1:26">
      <c r="A778" s="406">
        <v>775</v>
      </c>
      <c r="B778" s="613" t="s">
        <v>7020</v>
      </c>
      <c r="C778" s="483" t="s">
        <v>1586</v>
      </c>
      <c r="D778" s="414" t="s">
        <v>4884</v>
      </c>
      <c r="E778" s="407" t="s">
        <v>4884</v>
      </c>
      <c r="F778" s="483"/>
      <c r="G778" s="483"/>
      <c r="H778" s="483"/>
      <c r="I778" s="483"/>
      <c r="J778" s="483"/>
      <c r="K778" s="483"/>
      <c r="L778" s="608" t="s">
        <v>4884</v>
      </c>
      <c r="M778" s="409" t="s">
        <v>4884</v>
      </c>
      <c r="N778" s="409" t="s">
        <v>4884</v>
      </c>
      <c r="O778" s="410" t="s">
        <v>4884</v>
      </c>
      <c r="P778" s="406">
        <v>775</v>
      </c>
      <c r="Q778" s="460" t="s">
        <v>1586</v>
      </c>
      <c r="R778" s="460" t="s">
        <v>1550</v>
      </c>
      <c r="S778" s="460" t="s">
        <v>1528</v>
      </c>
      <c r="T778" s="487" t="s">
        <v>1551</v>
      </c>
      <c r="U778" s="471"/>
      <c r="V778" s="471"/>
      <c r="W778" s="489"/>
      <c r="X778" s="471"/>
      <c r="Y778" s="206"/>
      <c r="Z778" s="206"/>
    </row>
    <row r="779" spans="1:26">
      <c r="A779" s="406">
        <v>776</v>
      </c>
      <c r="B779" s="613" t="s">
        <v>7020</v>
      </c>
      <c r="C779" s="483" t="s">
        <v>1587</v>
      </c>
      <c r="D779" s="414" t="s">
        <v>4884</v>
      </c>
      <c r="E779" s="407" t="s">
        <v>4884</v>
      </c>
      <c r="F779" s="483"/>
      <c r="G779" s="483"/>
      <c r="H779" s="483"/>
      <c r="I779" s="483"/>
      <c r="J779" s="483"/>
      <c r="K779" s="483"/>
      <c r="L779" s="608" t="s">
        <v>4884</v>
      </c>
      <c r="M779" s="409" t="s">
        <v>4884</v>
      </c>
      <c r="N779" s="409" t="s">
        <v>4884</v>
      </c>
      <c r="O779" s="410" t="s">
        <v>4884</v>
      </c>
      <c r="P779" s="406">
        <v>776</v>
      </c>
      <c r="Q779" s="460" t="s">
        <v>1587</v>
      </c>
      <c r="R779" s="460" t="s">
        <v>1588</v>
      </c>
      <c r="S779" s="460" t="s">
        <v>1528</v>
      </c>
      <c r="T779" s="487" t="s">
        <v>1551</v>
      </c>
      <c r="U779" s="471"/>
      <c r="V779" s="471"/>
      <c r="W779" s="489"/>
      <c r="X779" s="471"/>
      <c r="Y779" s="206"/>
      <c r="Z779" s="206"/>
    </row>
    <row r="780" spans="1:26">
      <c r="A780" s="406">
        <v>777</v>
      </c>
      <c r="B780" s="613" t="s">
        <v>7020</v>
      </c>
      <c r="C780" s="483" t="s">
        <v>1589</v>
      </c>
      <c r="D780" s="414" t="s">
        <v>4884</v>
      </c>
      <c r="E780" s="407" t="s">
        <v>4884</v>
      </c>
      <c r="F780" s="483"/>
      <c r="G780" s="483"/>
      <c r="H780" s="483"/>
      <c r="I780" s="483"/>
      <c r="J780" s="483"/>
      <c r="K780" s="483"/>
      <c r="L780" s="608" t="s">
        <v>4884</v>
      </c>
      <c r="M780" s="409" t="s">
        <v>4884</v>
      </c>
      <c r="N780" s="409" t="s">
        <v>4884</v>
      </c>
      <c r="O780" s="410" t="s">
        <v>4884</v>
      </c>
      <c r="P780" s="406">
        <v>777</v>
      </c>
      <c r="Q780" s="460" t="s">
        <v>1589</v>
      </c>
      <c r="R780" s="460" t="s">
        <v>1590</v>
      </c>
      <c r="S780" s="460" t="s">
        <v>1528</v>
      </c>
      <c r="T780" s="475" t="s">
        <v>1591</v>
      </c>
      <c r="U780" s="471"/>
      <c r="V780" s="471"/>
      <c r="W780" s="489"/>
      <c r="X780" s="471"/>
      <c r="Y780" s="206"/>
      <c r="Z780" s="206"/>
    </row>
    <row r="781" spans="1:26">
      <c r="A781" s="406">
        <v>778</v>
      </c>
      <c r="B781" s="613" t="s">
        <v>7020</v>
      </c>
      <c r="C781" s="483" t="s">
        <v>1592</v>
      </c>
      <c r="D781" s="414" t="s">
        <v>4884</v>
      </c>
      <c r="E781" s="407" t="s">
        <v>4884</v>
      </c>
      <c r="F781" s="483"/>
      <c r="G781" s="483"/>
      <c r="H781" s="483"/>
      <c r="I781" s="483"/>
      <c r="J781" s="483"/>
      <c r="K781" s="483"/>
      <c r="L781" s="608" t="s">
        <v>4884</v>
      </c>
      <c r="M781" s="409" t="s">
        <v>4884</v>
      </c>
      <c r="N781" s="409" t="s">
        <v>4884</v>
      </c>
      <c r="O781" s="410" t="s">
        <v>4884</v>
      </c>
      <c r="P781" s="406">
        <v>778</v>
      </c>
      <c r="Q781" s="460" t="s">
        <v>1592</v>
      </c>
      <c r="R781" s="460" t="s">
        <v>1593</v>
      </c>
      <c r="S781" s="460" t="s">
        <v>1528</v>
      </c>
      <c r="T781" s="475" t="s">
        <v>1594</v>
      </c>
      <c r="U781" s="471"/>
      <c r="V781" s="471"/>
      <c r="W781" s="489"/>
      <c r="X781" s="471"/>
      <c r="Y781" s="206"/>
      <c r="Z781" s="206"/>
    </row>
    <row r="782" spans="1:26">
      <c r="A782" s="406">
        <v>779</v>
      </c>
      <c r="B782" s="613" t="s">
        <v>7020</v>
      </c>
      <c r="C782" s="483" t="s">
        <v>1595</v>
      </c>
      <c r="D782" s="414" t="s">
        <v>4884</v>
      </c>
      <c r="E782" s="407" t="s">
        <v>4884</v>
      </c>
      <c r="F782" s="483"/>
      <c r="G782" s="483"/>
      <c r="H782" s="483"/>
      <c r="I782" s="483"/>
      <c r="J782" s="483"/>
      <c r="K782" s="483"/>
      <c r="L782" s="608" t="s">
        <v>4884</v>
      </c>
      <c r="M782" s="409" t="s">
        <v>4884</v>
      </c>
      <c r="N782" s="409" t="s">
        <v>4884</v>
      </c>
      <c r="O782" s="410" t="s">
        <v>4884</v>
      </c>
      <c r="P782" s="406">
        <v>779</v>
      </c>
      <c r="Q782" s="460" t="s">
        <v>1595</v>
      </c>
      <c r="R782" s="460" t="s">
        <v>1596</v>
      </c>
      <c r="S782" s="460" t="s">
        <v>1528</v>
      </c>
      <c r="T782" s="490" t="s">
        <v>1597</v>
      </c>
      <c r="U782" s="471"/>
      <c r="V782" s="471"/>
      <c r="W782" s="489"/>
      <c r="X782" s="471"/>
      <c r="Y782" s="206"/>
      <c r="Z782" s="206"/>
    </row>
    <row r="783" spans="1:26">
      <c r="A783" s="406">
        <v>780</v>
      </c>
      <c r="B783" s="613" t="s">
        <v>5801</v>
      </c>
      <c r="C783" s="483" t="s">
        <v>1598</v>
      </c>
      <c r="D783" s="414" t="s">
        <v>3739</v>
      </c>
      <c r="E783" s="407" t="s">
        <v>9511</v>
      </c>
      <c r="F783" s="483" t="s">
        <v>5802</v>
      </c>
      <c r="G783" s="411"/>
      <c r="H783" s="411"/>
      <c r="J783" s="411"/>
      <c r="K783" s="411"/>
      <c r="L783" s="608">
        <v>0</v>
      </c>
      <c r="M783" s="409">
        <v>5811.0590551181103</v>
      </c>
      <c r="N783" s="409">
        <v>5811.0590551181103</v>
      </c>
      <c r="O783" s="410" t="s">
        <v>7567</v>
      </c>
      <c r="P783" s="406">
        <v>780</v>
      </c>
      <c r="Q783" s="460" t="s">
        <v>1598</v>
      </c>
      <c r="R783" s="460" t="s">
        <v>4895</v>
      </c>
      <c r="S783" s="460" t="s">
        <v>1528</v>
      </c>
      <c r="T783" s="482"/>
      <c r="U783" s="471"/>
      <c r="V783" s="471"/>
      <c r="W783" s="489"/>
      <c r="X783" s="471">
        <v>1</v>
      </c>
      <c r="Y783" s="206"/>
      <c r="Z783" s="206"/>
    </row>
    <row r="784" spans="1:26">
      <c r="A784" s="406">
        <v>781</v>
      </c>
      <c r="B784" s="613" t="s">
        <v>7020</v>
      </c>
      <c r="C784" s="483" t="s">
        <v>1599</v>
      </c>
      <c r="D784" s="414" t="s">
        <v>4884</v>
      </c>
      <c r="E784" s="407" t="s">
        <v>4884</v>
      </c>
      <c r="F784" s="483"/>
      <c r="G784" s="483"/>
      <c r="H784" s="483"/>
      <c r="I784" s="483"/>
      <c r="J784" s="483"/>
      <c r="K784" s="483"/>
      <c r="L784" s="608" t="s">
        <v>4884</v>
      </c>
      <c r="M784" s="409" t="s">
        <v>4884</v>
      </c>
      <c r="N784" s="409" t="s">
        <v>4884</v>
      </c>
      <c r="O784" s="410" t="s">
        <v>4884</v>
      </c>
      <c r="P784" s="406">
        <v>781</v>
      </c>
      <c r="Q784" s="460" t="s">
        <v>1599</v>
      </c>
      <c r="R784" s="460" t="s">
        <v>1600</v>
      </c>
      <c r="S784" s="460" t="s">
        <v>1528</v>
      </c>
      <c r="T784" s="484" t="s">
        <v>1535</v>
      </c>
      <c r="U784" s="471"/>
      <c r="V784" s="471"/>
      <c r="W784" s="489"/>
      <c r="X784" s="471"/>
      <c r="Y784" s="206"/>
      <c r="Z784" s="206"/>
    </row>
    <row r="785" spans="1:26">
      <c r="A785" s="406">
        <v>782</v>
      </c>
      <c r="B785" s="613" t="s">
        <v>7020</v>
      </c>
      <c r="C785" s="483" t="s">
        <v>1601</v>
      </c>
      <c r="D785" s="414" t="s">
        <v>4884</v>
      </c>
      <c r="E785" s="407" t="s">
        <v>4884</v>
      </c>
      <c r="F785" s="483"/>
      <c r="G785" s="483"/>
      <c r="H785" s="483"/>
      <c r="I785" s="483"/>
      <c r="J785" s="483"/>
      <c r="K785" s="483"/>
      <c r="L785" s="608" t="s">
        <v>4884</v>
      </c>
      <c r="M785" s="409" t="s">
        <v>4884</v>
      </c>
      <c r="N785" s="409" t="s">
        <v>4884</v>
      </c>
      <c r="O785" s="410" t="s">
        <v>4884</v>
      </c>
      <c r="P785" s="406">
        <v>782</v>
      </c>
      <c r="Q785" s="460" t="s">
        <v>1601</v>
      </c>
      <c r="R785" s="460" t="s">
        <v>1602</v>
      </c>
      <c r="S785" s="460" t="s">
        <v>1528</v>
      </c>
      <c r="T785" s="491" t="s">
        <v>1603</v>
      </c>
      <c r="U785" s="471"/>
      <c r="V785" s="471"/>
      <c r="W785" s="489"/>
      <c r="X785" s="471"/>
      <c r="Y785" s="206"/>
      <c r="Z785" s="206"/>
    </row>
    <row r="786" spans="1:26">
      <c r="A786" s="406">
        <v>783</v>
      </c>
      <c r="B786" s="613" t="s">
        <v>7020</v>
      </c>
      <c r="C786" s="483" t="s">
        <v>1604</v>
      </c>
      <c r="D786" s="414" t="s">
        <v>4884</v>
      </c>
      <c r="E786" s="407" t="s">
        <v>4884</v>
      </c>
      <c r="F786" s="483"/>
      <c r="G786" s="483"/>
      <c r="H786" s="483"/>
      <c r="I786" s="483"/>
      <c r="J786" s="483"/>
      <c r="K786" s="483"/>
      <c r="L786" s="608" t="s">
        <v>4884</v>
      </c>
      <c r="M786" s="409" t="s">
        <v>4884</v>
      </c>
      <c r="N786" s="409" t="s">
        <v>4884</v>
      </c>
      <c r="O786" s="410" t="s">
        <v>4884</v>
      </c>
      <c r="P786" s="406">
        <v>783</v>
      </c>
      <c r="Q786" s="460" t="s">
        <v>1604</v>
      </c>
      <c r="R786" s="460" t="s">
        <v>1602</v>
      </c>
      <c r="S786" s="460" t="s">
        <v>1528</v>
      </c>
      <c r="T786" s="491" t="s">
        <v>1603</v>
      </c>
      <c r="U786" s="471"/>
      <c r="V786" s="471"/>
      <c r="W786" s="489"/>
      <c r="X786" s="471"/>
      <c r="Y786" s="206"/>
      <c r="Z786" s="206"/>
    </row>
    <row r="787" spans="1:26">
      <c r="A787" s="406">
        <v>784</v>
      </c>
      <c r="B787" s="613" t="s">
        <v>7020</v>
      </c>
      <c r="C787" s="483" t="s">
        <v>1605</v>
      </c>
      <c r="D787" s="414" t="s">
        <v>4884</v>
      </c>
      <c r="E787" s="407" t="s">
        <v>4884</v>
      </c>
      <c r="F787" s="483"/>
      <c r="G787" s="483"/>
      <c r="H787" s="483"/>
      <c r="I787" s="483"/>
      <c r="J787" s="483"/>
      <c r="K787" s="483"/>
      <c r="L787" s="608" t="s">
        <v>4884</v>
      </c>
      <c r="M787" s="409" t="s">
        <v>4884</v>
      </c>
      <c r="N787" s="409" t="s">
        <v>4884</v>
      </c>
      <c r="O787" s="410" t="s">
        <v>4884</v>
      </c>
      <c r="P787" s="406">
        <v>784</v>
      </c>
      <c r="Q787" s="460" t="s">
        <v>1605</v>
      </c>
      <c r="R787" s="460" t="s">
        <v>1602</v>
      </c>
      <c r="S787" s="460" t="s">
        <v>1528</v>
      </c>
      <c r="T787" s="491" t="s">
        <v>1603</v>
      </c>
      <c r="U787" s="471"/>
      <c r="V787" s="471"/>
      <c r="W787" s="489"/>
      <c r="X787" s="471"/>
      <c r="Y787" s="206"/>
      <c r="Z787" s="206"/>
    </row>
    <row r="788" spans="1:26">
      <c r="A788" s="406">
        <v>785</v>
      </c>
      <c r="B788" s="613" t="s">
        <v>7020</v>
      </c>
      <c r="C788" s="483" t="s">
        <v>1606</v>
      </c>
      <c r="D788" s="414" t="s">
        <v>4884</v>
      </c>
      <c r="E788" s="407" t="s">
        <v>4884</v>
      </c>
      <c r="F788" s="483"/>
      <c r="G788" s="483"/>
      <c r="H788" s="483"/>
      <c r="I788" s="483"/>
      <c r="J788" s="483"/>
      <c r="K788" s="483"/>
      <c r="L788" s="608" t="s">
        <v>4884</v>
      </c>
      <c r="M788" s="409" t="s">
        <v>4884</v>
      </c>
      <c r="N788" s="409" t="s">
        <v>4884</v>
      </c>
      <c r="O788" s="410" t="s">
        <v>4884</v>
      </c>
      <c r="P788" s="406">
        <v>785</v>
      </c>
      <c r="Q788" s="460" t="s">
        <v>1606</v>
      </c>
      <c r="R788" s="460" t="s">
        <v>1602</v>
      </c>
      <c r="S788" s="460" t="s">
        <v>1528</v>
      </c>
      <c r="T788" s="491" t="s">
        <v>1603</v>
      </c>
      <c r="U788" s="471"/>
      <c r="V788" s="471"/>
      <c r="W788" s="489"/>
      <c r="X788" s="471"/>
      <c r="Y788" s="206"/>
      <c r="Z788" s="206"/>
    </row>
    <row r="789" spans="1:26">
      <c r="A789" s="406">
        <v>786</v>
      </c>
      <c r="B789" s="613" t="s">
        <v>7020</v>
      </c>
      <c r="C789" s="483" t="s">
        <v>1607</v>
      </c>
      <c r="D789" s="414" t="s">
        <v>4884</v>
      </c>
      <c r="E789" s="407" t="s">
        <v>4884</v>
      </c>
      <c r="F789" s="483"/>
      <c r="G789" s="483"/>
      <c r="H789" s="483"/>
      <c r="I789" s="483"/>
      <c r="J789" s="483"/>
      <c r="K789" s="483"/>
      <c r="L789" s="608" t="s">
        <v>4884</v>
      </c>
      <c r="M789" s="409" t="s">
        <v>4884</v>
      </c>
      <c r="N789" s="409" t="s">
        <v>4884</v>
      </c>
      <c r="O789" s="410" t="s">
        <v>4884</v>
      </c>
      <c r="P789" s="406">
        <v>786</v>
      </c>
      <c r="Q789" s="460" t="s">
        <v>1607</v>
      </c>
      <c r="R789" s="460" t="s">
        <v>1602</v>
      </c>
      <c r="S789" s="460" t="s">
        <v>1528</v>
      </c>
      <c r="T789" s="491" t="s">
        <v>1603</v>
      </c>
      <c r="U789" s="471"/>
      <c r="V789" s="471"/>
      <c r="W789" s="489"/>
      <c r="X789" s="471"/>
      <c r="Y789" s="206"/>
      <c r="Z789" s="206"/>
    </row>
    <row r="790" spans="1:26">
      <c r="A790" s="406">
        <v>787</v>
      </c>
      <c r="B790" s="613" t="s">
        <v>7020</v>
      </c>
      <c r="C790" s="483" t="s">
        <v>1608</v>
      </c>
      <c r="D790" s="414" t="s">
        <v>4884</v>
      </c>
      <c r="E790" s="407" t="s">
        <v>4884</v>
      </c>
      <c r="F790" s="483"/>
      <c r="G790" s="483"/>
      <c r="H790" s="483"/>
      <c r="I790" s="483"/>
      <c r="J790" s="483"/>
      <c r="K790" s="483"/>
      <c r="L790" s="608" t="s">
        <v>4884</v>
      </c>
      <c r="M790" s="409" t="s">
        <v>4884</v>
      </c>
      <c r="N790" s="409" t="s">
        <v>4884</v>
      </c>
      <c r="O790" s="410" t="s">
        <v>4884</v>
      </c>
      <c r="P790" s="406">
        <v>787</v>
      </c>
      <c r="Q790" s="460" t="s">
        <v>1608</v>
      </c>
      <c r="R790" s="460" t="s">
        <v>1602</v>
      </c>
      <c r="S790" s="460" t="s">
        <v>1528</v>
      </c>
      <c r="T790" s="491" t="s">
        <v>1603</v>
      </c>
      <c r="U790" s="471"/>
      <c r="V790" s="471"/>
      <c r="W790" s="489"/>
      <c r="X790" s="471"/>
      <c r="Y790" s="206"/>
      <c r="Z790" s="206"/>
    </row>
    <row r="791" spans="1:26">
      <c r="A791" s="406">
        <v>788</v>
      </c>
      <c r="B791" s="613" t="s">
        <v>7020</v>
      </c>
      <c r="C791" s="483" t="s">
        <v>1609</v>
      </c>
      <c r="D791" s="414" t="s">
        <v>4884</v>
      </c>
      <c r="E791" s="407" t="s">
        <v>4884</v>
      </c>
      <c r="F791" s="483"/>
      <c r="G791" s="483"/>
      <c r="H791" s="483"/>
      <c r="I791" s="483"/>
      <c r="J791" s="483"/>
      <c r="K791" s="483"/>
      <c r="L791" s="608" t="s">
        <v>4884</v>
      </c>
      <c r="M791" s="409" t="s">
        <v>4884</v>
      </c>
      <c r="N791" s="409" t="s">
        <v>4884</v>
      </c>
      <c r="O791" s="410" t="s">
        <v>4884</v>
      </c>
      <c r="P791" s="406">
        <v>788</v>
      </c>
      <c r="Q791" s="460" t="s">
        <v>1609</v>
      </c>
      <c r="R791" s="460" t="s">
        <v>1602</v>
      </c>
      <c r="S791" s="460" t="s">
        <v>1528</v>
      </c>
      <c r="T791" s="491" t="s">
        <v>1603</v>
      </c>
      <c r="U791" s="471"/>
      <c r="V791" s="471"/>
      <c r="W791" s="489"/>
      <c r="X791" s="471"/>
      <c r="Y791" s="206"/>
      <c r="Z791" s="206"/>
    </row>
    <row r="792" spans="1:26">
      <c r="A792" s="406">
        <v>789</v>
      </c>
      <c r="B792" s="613" t="s">
        <v>7020</v>
      </c>
      <c r="C792" s="483" t="s">
        <v>1610</v>
      </c>
      <c r="D792" s="414" t="s">
        <v>4884</v>
      </c>
      <c r="E792" s="407" t="s">
        <v>4884</v>
      </c>
      <c r="F792" s="483"/>
      <c r="G792" s="483"/>
      <c r="H792" s="483"/>
      <c r="I792" s="483"/>
      <c r="J792" s="483"/>
      <c r="K792" s="483"/>
      <c r="L792" s="608" t="s">
        <v>4884</v>
      </c>
      <c r="M792" s="409" t="s">
        <v>4884</v>
      </c>
      <c r="N792" s="409" t="s">
        <v>4884</v>
      </c>
      <c r="O792" s="410" t="s">
        <v>4884</v>
      </c>
      <c r="P792" s="406">
        <v>789</v>
      </c>
      <c r="Q792" s="460" t="s">
        <v>1610</v>
      </c>
      <c r="R792" s="460" t="s">
        <v>1602</v>
      </c>
      <c r="S792" s="460" t="s">
        <v>1528</v>
      </c>
      <c r="T792" s="491" t="s">
        <v>1603</v>
      </c>
      <c r="U792" s="471"/>
      <c r="V792" s="471"/>
      <c r="W792" s="489"/>
      <c r="X792" s="471"/>
      <c r="Y792" s="206"/>
      <c r="Z792" s="206"/>
    </row>
    <row r="793" spans="1:26">
      <c r="A793" s="406">
        <v>790</v>
      </c>
      <c r="B793" s="613" t="s">
        <v>7020</v>
      </c>
      <c r="C793" s="483" t="s">
        <v>1611</v>
      </c>
      <c r="D793" s="414" t="s">
        <v>4884</v>
      </c>
      <c r="E793" s="407" t="s">
        <v>4884</v>
      </c>
      <c r="F793" s="483"/>
      <c r="G793" s="483"/>
      <c r="H793" s="483"/>
      <c r="I793" s="483"/>
      <c r="J793" s="483"/>
      <c r="K793" s="483"/>
      <c r="L793" s="608" t="s">
        <v>4884</v>
      </c>
      <c r="M793" s="409" t="s">
        <v>4884</v>
      </c>
      <c r="N793" s="409" t="s">
        <v>4884</v>
      </c>
      <c r="O793" s="410" t="s">
        <v>4884</v>
      </c>
      <c r="P793" s="406">
        <v>790</v>
      </c>
      <c r="Q793" s="460" t="s">
        <v>1611</v>
      </c>
      <c r="R793" s="460" t="s">
        <v>1602</v>
      </c>
      <c r="S793" s="460" t="s">
        <v>1528</v>
      </c>
      <c r="T793" s="491" t="s">
        <v>1603</v>
      </c>
      <c r="U793" s="471"/>
      <c r="V793" s="471"/>
      <c r="W793" s="489"/>
      <c r="X793" s="471"/>
      <c r="Y793" s="206"/>
      <c r="Z793" s="206"/>
    </row>
    <row r="794" spans="1:26">
      <c r="A794" s="406">
        <v>791</v>
      </c>
      <c r="B794" s="613" t="s">
        <v>7020</v>
      </c>
      <c r="C794" s="483" t="s">
        <v>1612</v>
      </c>
      <c r="D794" s="414" t="s">
        <v>4884</v>
      </c>
      <c r="E794" s="407" t="s">
        <v>4884</v>
      </c>
      <c r="F794" s="483"/>
      <c r="G794" s="483"/>
      <c r="H794" s="483"/>
      <c r="I794" s="483"/>
      <c r="J794" s="483"/>
      <c r="K794" s="483"/>
      <c r="L794" s="608" t="s">
        <v>4884</v>
      </c>
      <c r="M794" s="409" t="s">
        <v>4884</v>
      </c>
      <c r="N794" s="409" t="s">
        <v>4884</v>
      </c>
      <c r="O794" s="410" t="s">
        <v>4884</v>
      </c>
      <c r="P794" s="406">
        <v>791</v>
      </c>
      <c r="Q794" s="460" t="s">
        <v>1612</v>
      </c>
      <c r="R794" s="460" t="s">
        <v>1613</v>
      </c>
      <c r="S794" s="460" t="s">
        <v>1528</v>
      </c>
      <c r="T794" s="484" t="s">
        <v>1535</v>
      </c>
      <c r="U794" s="471"/>
      <c r="V794" s="471"/>
      <c r="W794" s="489"/>
      <c r="X794" s="471"/>
      <c r="Y794" s="206"/>
      <c r="Z794" s="206"/>
    </row>
    <row r="795" spans="1:26">
      <c r="A795" s="406">
        <v>792</v>
      </c>
      <c r="B795" s="613" t="s">
        <v>7020</v>
      </c>
      <c r="C795" s="483" t="s">
        <v>1614</v>
      </c>
      <c r="D795" s="414" t="s">
        <v>4884</v>
      </c>
      <c r="E795" s="407" t="s">
        <v>4884</v>
      </c>
      <c r="F795" s="483"/>
      <c r="G795" s="483"/>
      <c r="H795" s="483"/>
      <c r="I795" s="483"/>
      <c r="J795" s="483"/>
      <c r="K795" s="483"/>
      <c r="L795" s="608" t="s">
        <v>4884</v>
      </c>
      <c r="M795" s="409" t="s">
        <v>4884</v>
      </c>
      <c r="N795" s="409" t="s">
        <v>4884</v>
      </c>
      <c r="O795" s="410" t="s">
        <v>4884</v>
      </c>
      <c r="P795" s="406">
        <v>792</v>
      </c>
      <c r="Q795" s="460" t="s">
        <v>1614</v>
      </c>
      <c r="R795" s="460" t="s">
        <v>1613</v>
      </c>
      <c r="S795" s="460" t="s">
        <v>1528</v>
      </c>
      <c r="T795" s="484" t="s">
        <v>1535</v>
      </c>
      <c r="U795" s="471"/>
      <c r="V795" s="471"/>
      <c r="W795" s="489"/>
      <c r="X795" s="471"/>
      <c r="Y795" s="206"/>
      <c r="Z795" s="206"/>
    </row>
    <row r="796" spans="1:26">
      <c r="A796" s="406">
        <v>793</v>
      </c>
      <c r="B796" s="613" t="s">
        <v>7020</v>
      </c>
      <c r="C796" s="483" t="s">
        <v>1615</v>
      </c>
      <c r="D796" s="414" t="s">
        <v>4884</v>
      </c>
      <c r="E796" s="407" t="s">
        <v>4884</v>
      </c>
      <c r="F796" s="483"/>
      <c r="G796" s="483"/>
      <c r="H796" s="483"/>
      <c r="I796" s="483"/>
      <c r="J796" s="483"/>
      <c r="K796" s="483"/>
      <c r="L796" s="608" t="s">
        <v>4884</v>
      </c>
      <c r="M796" s="409" t="s">
        <v>4884</v>
      </c>
      <c r="N796" s="409" t="s">
        <v>4884</v>
      </c>
      <c r="O796" s="410" t="s">
        <v>4884</v>
      </c>
      <c r="P796" s="406">
        <v>793</v>
      </c>
      <c r="Q796" s="460" t="s">
        <v>1615</v>
      </c>
      <c r="R796" s="460" t="s">
        <v>1616</v>
      </c>
      <c r="S796" s="460" t="s">
        <v>1528</v>
      </c>
      <c r="T796" s="492" t="s">
        <v>1617</v>
      </c>
      <c r="U796" s="471"/>
      <c r="V796" s="471"/>
      <c r="W796" s="489"/>
      <c r="X796" s="471"/>
      <c r="Y796" s="206"/>
      <c r="Z796" s="206"/>
    </row>
    <row r="797" spans="1:26">
      <c r="A797" s="406">
        <v>794</v>
      </c>
      <c r="B797" s="613" t="s">
        <v>7020</v>
      </c>
      <c r="C797" s="483" t="s">
        <v>1618</v>
      </c>
      <c r="D797" s="414" t="s">
        <v>4884</v>
      </c>
      <c r="E797" s="407" t="s">
        <v>4884</v>
      </c>
      <c r="F797" s="483"/>
      <c r="G797" s="483"/>
      <c r="H797" s="483"/>
      <c r="I797" s="483"/>
      <c r="J797" s="483"/>
      <c r="K797" s="483"/>
      <c r="L797" s="608" t="s">
        <v>4884</v>
      </c>
      <c r="M797" s="409" t="s">
        <v>4884</v>
      </c>
      <c r="N797" s="409" t="s">
        <v>4884</v>
      </c>
      <c r="O797" s="410" t="s">
        <v>4884</v>
      </c>
      <c r="P797" s="406">
        <v>794</v>
      </c>
      <c r="Q797" s="460" t="s">
        <v>1618</v>
      </c>
      <c r="R797" s="460" t="s">
        <v>1616</v>
      </c>
      <c r="S797" s="460" t="s">
        <v>1528</v>
      </c>
      <c r="T797" s="492" t="s">
        <v>1617</v>
      </c>
      <c r="U797" s="471"/>
      <c r="V797" s="471"/>
      <c r="W797" s="489"/>
      <c r="X797" s="471"/>
      <c r="Y797" s="206"/>
      <c r="Z797" s="206"/>
    </row>
    <row r="798" spans="1:26">
      <c r="A798" s="406">
        <v>795</v>
      </c>
      <c r="B798" s="613" t="s">
        <v>7020</v>
      </c>
      <c r="C798" s="483" t="s">
        <v>1619</v>
      </c>
      <c r="D798" s="414" t="s">
        <v>4884</v>
      </c>
      <c r="E798" s="407" t="s">
        <v>4884</v>
      </c>
      <c r="F798" s="483"/>
      <c r="G798" s="483"/>
      <c r="H798" s="483"/>
      <c r="I798" s="483"/>
      <c r="J798" s="483"/>
      <c r="K798" s="483"/>
      <c r="L798" s="608" t="s">
        <v>4884</v>
      </c>
      <c r="M798" s="409" t="s">
        <v>4884</v>
      </c>
      <c r="N798" s="409" t="s">
        <v>4884</v>
      </c>
      <c r="O798" s="410" t="s">
        <v>4884</v>
      </c>
      <c r="P798" s="406">
        <v>795</v>
      </c>
      <c r="Q798" s="460" t="s">
        <v>1619</v>
      </c>
      <c r="R798" s="460" t="s">
        <v>1616</v>
      </c>
      <c r="S798" s="460" t="s">
        <v>1528</v>
      </c>
      <c r="T798" s="492" t="s">
        <v>1617</v>
      </c>
      <c r="U798" s="471"/>
      <c r="V798" s="471"/>
      <c r="W798" s="489"/>
      <c r="X798" s="471"/>
      <c r="Y798" s="206"/>
      <c r="Z798" s="206"/>
    </row>
    <row r="799" spans="1:26">
      <c r="A799" s="406">
        <v>796</v>
      </c>
      <c r="B799" s="613" t="s">
        <v>7020</v>
      </c>
      <c r="C799" s="483" t="s">
        <v>1620</v>
      </c>
      <c r="D799" s="414" t="s">
        <v>4884</v>
      </c>
      <c r="E799" s="407" t="s">
        <v>4884</v>
      </c>
      <c r="F799" s="483"/>
      <c r="G799" s="483"/>
      <c r="H799" s="483"/>
      <c r="I799" s="483"/>
      <c r="J799" s="483"/>
      <c r="K799" s="483"/>
      <c r="L799" s="608" t="s">
        <v>4884</v>
      </c>
      <c r="M799" s="409" t="s">
        <v>4884</v>
      </c>
      <c r="N799" s="409" t="s">
        <v>4884</v>
      </c>
      <c r="O799" s="410" t="s">
        <v>4884</v>
      </c>
      <c r="P799" s="406">
        <v>796</v>
      </c>
      <c r="Q799" s="460" t="s">
        <v>1620</v>
      </c>
      <c r="R799" s="460" t="s">
        <v>1621</v>
      </c>
      <c r="S799" s="460" t="s">
        <v>1528</v>
      </c>
      <c r="T799" s="492" t="s">
        <v>1622</v>
      </c>
      <c r="U799" s="471"/>
      <c r="V799" s="471"/>
      <c r="W799" s="489"/>
      <c r="X799" s="471"/>
      <c r="Y799" s="206"/>
      <c r="Z799" s="206"/>
    </row>
    <row r="800" spans="1:26">
      <c r="A800" s="406">
        <v>797</v>
      </c>
      <c r="B800" s="613" t="s">
        <v>7020</v>
      </c>
      <c r="C800" s="483" t="s">
        <v>1623</v>
      </c>
      <c r="D800" s="414" t="s">
        <v>4884</v>
      </c>
      <c r="E800" s="407" t="s">
        <v>4884</v>
      </c>
      <c r="F800" s="483"/>
      <c r="G800" s="483"/>
      <c r="H800" s="483"/>
      <c r="I800" s="483"/>
      <c r="J800" s="483"/>
      <c r="K800" s="483"/>
      <c r="L800" s="608" t="s">
        <v>4884</v>
      </c>
      <c r="M800" s="409" t="s">
        <v>4884</v>
      </c>
      <c r="N800" s="409" t="s">
        <v>4884</v>
      </c>
      <c r="O800" s="410" t="s">
        <v>4884</v>
      </c>
      <c r="P800" s="406">
        <v>797</v>
      </c>
      <c r="Q800" s="460" t="s">
        <v>1623</v>
      </c>
      <c r="R800" s="460" t="s">
        <v>1624</v>
      </c>
      <c r="S800" s="460" t="s">
        <v>1528</v>
      </c>
      <c r="T800" s="493" t="s">
        <v>1625</v>
      </c>
      <c r="U800" s="471"/>
      <c r="V800" s="471"/>
      <c r="W800" s="489"/>
      <c r="X800" s="471"/>
      <c r="Y800" s="206"/>
      <c r="Z800" s="206"/>
    </row>
    <row r="801" spans="1:26">
      <c r="A801" s="406">
        <v>798</v>
      </c>
      <c r="B801" s="613" t="s">
        <v>7020</v>
      </c>
      <c r="C801" s="483" t="s">
        <v>1626</v>
      </c>
      <c r="D801" s="414" t="s">
        <v>4884</v>
      </c>
      <c r="E801" s="407" t="s">
        <v>4884</v>
      </c>
      <c r="F801" s="483"/>
      <c r="G801" s="483"/>
      <c r="H801" s="483"/>
      <c r="I801" s="483"/>
      <c r="J801" s="483"/>
      <c r="K801" s="483"/>
      <c r="L801" s="608" t="s">
        <v>4884</v>
      </c>
      <c r="M801" s="409" t="s">
        <v>4884</v>
      </c>
      <c r="N801" s="409" t="s">
        <v>4884</v>
      </c>
      <c r="O801" s="410" t="s">
        <v>4884</v>
      </c>
      <c r="P801" s="406">
        <v>798</v>
      </c>
      <c r="Q801" s="460" t="s">
        <v>1626</v>
      </c>
      <c r="R801" s="460" t="s">
        <v>1624</v>
      </c>
      <c r="S801" s="460" t="s">
        <v>1528</v>
      </c>
      <c r="T801" s="493" t="s">
        <v>1625</v>
      </c>
      <c r="U801" s="471"/>
      <c r="V801" s="471"/>
      <c r="W801" s="489"/>
      <c r="X801" s="471"/>
      <c r="Y801" s="206"/>
      <c r="Z801" s="206"/>
    </row>
    <row r="802" spans="1:26">
      <c r="A802" s="406">
        <v>799</v>
      </c>
      <c r="B802" s="613" t="s">
        <v>7020</v>
      </c>
      <c r="C802" s="483" t="s">
        <v>1627</v>
      </c>
      <c r="D802" s="414" t="s">
        <v>4884</v>
      </c>
      <c r="E802" s="407" t="s">
        <v>4884</v>
      </c>
      <c r="F802" s="483"/>
      <c r="G802" s="483"/>
      <c r="H802" s="483"/>
      <c r="I802" s="483"/>
      <c r="J802" s="483"/>
      <c r="K802" s="483"/>
      <c r="L802" s="608" t="s">
        <v>4884</v>
      </c>
      <c r="M802" s="409" t="s">
        <v>4884</v>
      </c>
      <c r="N802" s="409" t="s">
        <v>4884</v>
      </c>
      <c r="O802" s="410" t="s">
        <v>4884</v>
      </c>
      <c r="P802" s="406">
        <v>799</v>
      </c>
      <c r="Q802" s="460" t="s">
        <v>1627</v>
      </c>
      <c r="R802" s="460" t="s">
        <v>1628</v>
      </c>
      <c r="S802" s="460" t="s">
        <v>1528</v>
      </c>
      <c r="T802" s="493" t="s">
        <v>1629</v>
      </c>
      <c r="U802" s="471"/>
      <c r="V802" s="471"/>
      <c r="W802" s="489"/>
      <c r="X802" s="471"/>
      <c r="Y802" s="206"/>
      <c r="Z802" s="206"/>
    </row>
    <row r="803" spans="1:26">
      <c r="A803" s="406">
        <v>800</v>
      </c>
      <c r="B803" s="613" t="s">
        <v>7020</v>
      </c>
      <c r="C803" s="483" t="s">
        <v>1630</v>
      </c>
      <c r="D803" s="414" t="s">
        <v>4884</v>
      </c>
      <c r="E803" s="407" t="s">
        <v>4884</v>
      </c>
      <c r="F803" s="483"/>
      <c r="G803" s="483"/>
      <c r="H803" s="483"/>
      <c r="I803" s="483"/>
      <c r="J803" s="483"/>
      <c r="K803" s="483"/>
      <c r="L803" s="608" t="s">
        <v>4884</v>
      </c>
      <c r="M803" s="409" t="s">
        <v>4884</v>
      </c>
      <c r="N803" s="409" t="s">
        <v>4884</v>
      </c>
      <c r="O803" s="410" t="s">
        <v>4884</v>
      </c>
      <c r="P803" s="406">
        <v>800</v>
      </c>
      <c r="Q803" s="460" t="s">
        <v>1630</v>
      </c>
      <c r="R803" s="460" t="s">
        <v>1631</v>
      </c>
      <c r="S803" s="460" t="s">
        <v>1528</v>
      </c>
      <c r="T803" s="484" t="s">
        <v>1535</v>
      </c>
      <c r="U803" s="471"/>
      <c r="V803" s="471"/>
      <c r="W803" s="489"/>
      <c r="X803" s="471"/>
      <c r="Y803" s="206"/>
      <c r="Z803" s="206"/>
    </row>
    <row r="804" spans="1:26">
      <c r="A804" s="406">
        <v>801</v>
      </c>
      <c r="B804" s="613" t="s">
        <v>7020</v>
      </c>
      <c r="C804" s="483" t="s">
        <v>1632</v>
      </c>
      <c r="D804" s="414" t="s">
        <v>4884</v>
      </c>
      <c r="E804" s="407" t="s">
        <v>4884</v>
      </c>
      <c r="F804" s="483"/>
      <c r="G804" s="483"/>
      <c r="H804" s="483"/>
      <c r="I804" s="483"/>
      <c r="J804" s="483"/>
      <c r="K804" s="483"/>
      <c r="L804" s="608" t="s">
        <v>4884</v>
      </c>
      <c r="M804" s="409" t="s">
        <v>4884</v>
      </c>
      <c r="N804" s="409" t="s">
        <v>4884</v>
      </c>
      <c r="O804" s="410" t="s">
        <v>4884</v>
      </c>
      <c r="P804" s="406">
        <v>801</v>
      </c>
      <c r="Q804" s="460" t="s">
        <v>1632</v>
      </c>
      <c r="R804" s="460" t="s">
        <v>1633</v>
      </c>
      <c r="S804" s="460" t="s">
        <v>1528</v>
      </c>
      <c r="T804" s="484" t="s">
        <v>1535</v>
      </c>
      <c r="U804" s="471"/>
      <c r="V804" s="471"/>
      <c r="W804" s="489"/>
      <c r="X804" s="471"/>
      <c r="Y804" s="206"/>
      <c r="Z804" s="206"/>
    </row>
    <row r="805" spans="1:26">
      <c r="A805" s="406">
        <v>802</v>
      </c>
      <c r="B805" s="613" t="s">
        <v>7020</v>
      </c>
      <c r="C805" s="483" t="s">
        <v>1634</v>
      </c>
      <c r="D805" s="414" t="s">
        <v>4884</v>
      </c>
      <c r="E805" s="407" t="s">
        <v>4884</v>
      </c>
      <c r="F805" s="483"/>
      <c r="G805" s="483"/>
      <c r="H805" s="483"/>
      <c r="I805" s="483"/>
      <c r="J805" s="483"/>
      <c r="K805" s="483"/>
      <c r="L805" s="608" t="s">
        <v>4884</v>
      </c>
      <c r="M805" s="409" t="s">
        <v>4884</v>
      </c>
      <c r="N805" s="409" t="s">
        <v>4884</v>
      </c>
      <c r="O805" s="410" t="s">
        <v>4884</v>
      </c>
      <c r="P805" s="406">
        <v>802</v>
      </c>
      <c r="Q805" s="460" t="s">
        <v>1634</v>
      </c>
      <c r="R805" s="460" t="s">
        <v>1635</v>
      </c>
      <c r="S805" s="460" t="s">
        <v>1528</v>
      </c>
      <c r="T805" s="484" t="s">
        <v>1535</v>
      </c>
      <c r="U805" s="471"/>
      <c r="V805" s="471"/>
      <c r="W805" s="489"/>
      <c r="X805" s="471"/>
      <c r="Y805" s="206"/>
      <c r="Z805" s="206"/>
    </row>
    <row r="806" spans="1:26" ht="15" thickBot="1">
      <c r="A806" s="406">
        <v>803</v>
      </c>
      <c r="B806" s="613" t="s">
        <v>7020</v>
      </c>
      <c r="C806" s="483" t="s">
        <v>1636</v>
      </c>
      <c r="D806" s="414" t="s">
        <v>4884</v>
      </c>
      <c r="E806" s="407" t="s">
        <v>4884</v>
      </c>
      <c r="F806" s="483"/>
      <c r="G806" s="483"/>
      <c r="H806" s="483"/>
      <c r="I806" s="483"/>
      <c r="J806" s="483"/>
      <c r="K806" s="483"/>
      <c r="L806" s="608" t="s">
        <v>4884</v>
      </c>
      <c r="M806" s="409" t="s">
        <v>4884</v>
      </c>
      <c r="N806" s="409" t="s">
        <v>4884</v>
      </c>
      <c r="O806" s="410" t="s">
        <v>4884</v>
      </c>
      <c r="P806" s="406">
        <v>803</v>
      </c>
      <c r="Q806" s="460" t="s">
        <v>1636</v>
      </c>
      <c r="R806" s="460" t="s">
        <v>1637</v>
      </c>
      <c r="S806" s="460" t="s">
        <v>1528</v>
      </c>
      <c r="T806" s="484" t="s">
        <v>1535</v>
      </c>
      <c r="U806" s="471"/>
      <c r="V806" s="471"/>
      <c r="W806" s="489"/>
      <c r="X806" s="471"/>
      <c r="Y806" s="206"/>
      <c r="Z806" s="206"/>
    </row>
    <row r="807" spans="1:26" ht="15" thickBot="1">
      <c r="A807" s="406">
        <v>804</v>
      </c>
      <c r="B807" s="613" t="s">
        <v>7020</v>
      </c>
      <c r="C807" s="483" t="s">
        <v>1638</v>
      </c>
      <c r="D807" s="414" t="s">
        <v>4884</v>
      </c>
      <c r="E807" s="407" t="s">
        <v>4884</v>
      </c>
      <c r="F807" s="483"/>
      <c r="G807" s="483"/>
      <c r="H807" s="483"/>
      <c r="I807" s="483"/>
      <c r="J807" s="483"/>
      <c r="K807" s="483"/>
      <c r="L807" s="608" t="s">
        <v>4884</v>
      </c>
      <c r="M807" s="409" t="s">
        <v>4884</v>
      </c>
      <c r="N807" s="409" t="s">
        <v>4884</v>
      </c>
      <c r="O807" s="410" t="s">
        <v>4884</v>
      </c>
      <c r="P807" s="406">
        <v>804</v>
      </c>
      <c r="Q807" s="535" t="s">
        <v>1638</v>
      </c>
      <c r="R807" s="535" t="s">
        <v>1639</v>
      </c>
      <c r="S807" s="535" t="s">
        <v>1528</v>
      </c>
      <c r="T807" s="536" t="s">
        <v>1640</v>
      </c>
      <c r="U807" s="471"/>
      <c r="V807" s="471"/>
      <c r="W807" s="489"/>
      <c r="X807" s="471"/>
      <c r="Y807" s="206"/>
      <c r="Z807" s="206"/>
    </row>
    <row r="808" spans="1:26">
      <c r="A808" s="406">
        <v>805</v>
      </c>
      <c r="B808" s="613" t="s">
        <v>7020</v>
      </c>
      <c r="C808" s="483" t="s">
        <v>1641</v>
      </c>
      <c r="D808" s="414" t="s">
        <v>4884</v>
      </c>
      <c r="E808" s="407" t="s">
        <v>4884</v>
      </c>
      <c r="F808" s="483"/>
      <c r="G808" s="483"/>
      <c r="H808" s="483"/>
      <c r="I808" s="483"/>
      <c r="J808" s="483"/>
      <c r="K808" s="483"/>
      <c r="L808" s="608" t="s">
        <v>4884</v>
      </c>
      <c r="M808" s="409" t="s">
        <v>4884</v>
      </c>
      <c r="N808" s="409" t="s">
        <v>4884</v>
      </c>
      <c r="O808" s="410" t="s">
        <v>4884</v>
      </c>
      <c r="P808" s="406">
        <v>805</v>
      </c>
      <c r="Q808" s="460" t="s">
        <v>1641</v>
      </c>
      <c r="R808" s="460" t="s">
        <v>1642</v>
      </c>
      <c r="S808" s="460" t="s">
        <v>1528</v>
      </c>
      <c r="T808" s="494" t="s">
        <v>1643</v>
      </c>
      <c r="U808" s="471"/>
      <c r="V808" s="471"/>
      <c r="W808" s="489"/>
      <c r="X808" s="471"/>
      <c r="Y808" s="206"/>
      <c r="Z808" s="206"/>
    </row>
    <row r="809" spans="1:26">
      <c r="A809" s="406">
        <v>806</v>
      </c>
      <c r="B809" s="613" t="s">
        <v>7020</v>
      </c>
      <c r="C809" s="483" t="s">
        <v>1644</v>
      </c>
      <c r="D809" s="414" t="s">
        <v>4884</v>
      </c>
      <c r="E809" s="407" t="s">
        <v>4884</v>
      </c>
      <c r="F809" s="483"/>
      <c r="G809" s="483"/>
      <c r="H809" s="483"/>
      <c r="I809" s="483"/>
      <c r="J809" s="483"/>
      <c r="K809" s="483"/>
      <c r="L809" s="608" t="s">
        <v>4884</v>
      </c>
      <c r="M809" s="409" t="s">
        <v>4884</v>
      </c>
      <c r="N809" s="409" t="s">
        <v>4884</v>
      </c>
      <c r="O809" s="410" t="s">
        <v>4884</v>
      </c>
      <c r="P809" s="406">
        <v>806</v>
      </c>
      <c r="Q809" s="460" t="s">
        <v>1644</v>
      </c>
      <c r="R809" s="460" t="s">
        <v>1645</v>
      </c>
      <c r="S809" s="460" t="s">
        <v>1528</v>
      </c>
      <c r="T809" s="495" t="s">
        <v>1646</v>
      </c>
      <c r="U809" s="471"/>
      <c r="V809" s="471"/>
      <c r="W809" s="489"/>
      <c r="X809" s="471"/>
      <c r="Y809" s="206"/>
      <c r="Z809" s="206"/>
    </row>
    <row r="810" spans="1:26">
      <c r="A810" s="406">
        <v>807</v>
      </c>
      <c r="B810" s="613" t="s">
        <v>7020</v>
      </c>
      <c r="C810" s="483" t="s">
        <v>1647</v>
      </c>
      <c r="D810" s="414" t="s">
        <v>4884</v>
      </c>
      <c r="E810" s="407" t="s">
        <v>4884</v>
      </c>
      <c r="F810" s="483"/>
      <c r="G810" s="483"/>
      <c r="H810" s="483"/>
      <c r="I810" s="483"/>
      <c r="J810" s="483"/>
      <c r="K810" s="483"/>
      <c r="L810" s="608" t="s">
        <v>4884</v>
      </c>
      <c r="M810" s="409" t="s">
        <v>4884</v>
      </c>
      <c r="N810" s="409" t="s">
        <v>4884</v>
      </c>
      <c r="O810" s="410" t="s">
        <v>4884</v>
      </c>
      <c r="P810" s="406">
        <v>807</v>
      </c>
      <c r="Q810" s="460" t="s">
        <v>1647</v>
      </c>
      <c r="R810" s="460" t="s">
        <v>1645</v>
      </c>
      <c r="S810" s="460" t="s">
        <v>1528</v>
      </c>
      <c r="T810" s="495" t="s">
        <v>1646</v>
      </c>
      <c r="U810" s="471"/>
      <c r="V810" s="471"/>
      <c r="W810" s="489"/>
      <c r="X810" s="471"/>
      <c r="Y810" s="206"/>
      <c r="Z810" s="206"/>
    </row>
    <row r="811" spans="1:26">
      <c r="A811" s="406">
        <v>808</v>
      </c>
      <c r="B811" s="613" t="s">
        <v>7020</v>
      </c>
      <c r="C811" s="483" t="s">
        <v>1648</v>
      </c>
      <c r="D811" s="414" t="s">
        <v>4884</v>
      </c>
      <c r="E811" s="407" t="s">
        <v>4884</v>
      </c>
      <c r="F811" s="483"/>
      <c r="G811" s="483"/>
      <c r="H811" s="483"/>
      <c r="I811" s="483"/>
      <c r="J811" s="483"/>
      <c r="K811" s="483"/>
      <c r="L811" s="608" t="s">
        <v>4884</v>
      </c>
      <c r="M811" s="409" t="s">
        <v>4884</v>
      </c>
      <c r="N811" s="409" t="s">
        <v>4884</v>
      </c>
      <c r="O811" s="410" t="s">
        <v>4884</v>
      </c>
      <c r="P811" s="406">
        <v>808</v>
      </c>
      <c r="Q811" s="460" t="s">
        <v>1648</v>
      </c>
      <c r="R811" s="460" t="s">
        <v>1645</v>
      </c>
      <c r="S811" s="460" t="s">
        <v>1528</v>
      </c>
      <c r="T811" s="495" t="s">
        <v>1646</v>
      </c>
      <c r="U811" s="471"/>
      <c r="V811" s="471"/>
      <c r="W811" s="489"/>
      <c r="X811" s="471"/>
      <c r="Y811" s="206"/>
      <c r="Z811" s="206"/>
    </row>
    <row r="812" spans="1:26">
      <c r="A812" s="406">
        <v>809</v>
      </c>
      <c r="B812" s="613" t="s">
        <v>7020</v>
      </c>
      <c r="C812" s="483" t="s">
        <v>1649</v>
      </c>
      <c r="D812" s="414" t="s">
        <v>4884</v>
      </c>
      <c r="E812" s="407" t="s">
        <v>4884</v>
      </c>
      <c r="F812" s="483"/>
      <c r="G812" s="483"/>
      <c r="H812" s="483"/>
      <c r="I812" s="483"/>
      <c r="J812" s="483"/>
      <c r="K812" s="483"/>
      <c r="L812" s="608" t="s">
        <v>4884</v>
      </c>
      <c r="M812" s="409" t="s">
        <v>4884</v>
      </c>
      <c r="N812" s="409" t="s">
        <v>4884</v>
      </c>
      <c r="O812" s="410" t="s">
        <v>4884</v>
      </c>
      <c r="P812" s="406">
        <v>809</v>
      </c>
      <c r="Q812" s="460" t="s">
        <v>1649</v>
      </c>
      <c r="R812" s="460" t="s">
        <v>1645</v>
      </c>
      <c r="S812" s="460" t="s">
        <v>1528</v>
      </c>
      <c r="T812" s="495" t="s">
        <v>1646</v>
      </c>
      <c r="U812" s="471"/>
      <c r="V812" s="471"/>
      <c r="W812" s="489"/>
      <c r="X812" s="471"/>
      <c r="Y812" s="206"/>
      <c r="Z812" s="206"/>
    </row>
    <row r="813" spans="1:26">
      <c r="A813" s="406">
        <v>810</v>
      </c>
      <c r="B813" s="613" t="s">
        <v>7020</v>
      </c>
      <c r="C813" s="483" t="s">
        <v>1650</v>
      </c>
      <c r="D813" s="414" t="s">
        <v>4884</v>
      </c>
      <c r="E813" s="407" t="s">
        <v>4884</v>
      </c>
      <c r="F813" s="483"/>
      <c r="G813" s="483"/>
      <c r="H813" s="483"/>
      <c r="I813" s="483"/>
      <c r="J813" s="483"/>
      <c r="K813" s="483"/>
      <c r="L813" s="608" t="s">
        <v>4884</v>
      </c>
      <c r="M813" s="409" t="s">
        <v>4884</v>
      </c>
      <c r="N813" s="409" t="s">
        <v>4884</v>
      </c>
      <c r="O813" s="410" t="s">
        <v>4884</v>
      </c>
      <c r="P813" s="406">
        <v>810</v>
      </c>
      <c r="Q813" s="460" t="s">
        <v>1650</v>
      </c>
      <c r="R813" s="460" t="s">
        <v>1645</v>
      </c>
      <c r="S813" s="460" t="s">
        <v>1528</v>
      </c>
      <c r="T813" s="495" t="s">
        <v>1646</v>
      </c>
      <c r="U813" s="471"/>
      <c r="V813" s="471"/>
      <c r="W813" s="489"/>
      <c r="X813" s="471"/>
      <c r="Y813" s="206"/>
      <c r="Z813" s="206"/>
    </row>
    <row r="814" spans="1:26">
      <c r="A814" s="406">
        <v>811</v>
      </c>
      <c r="B814" s="613" t="s">
        <v>7020</v>
      </c>
      <c r="C814" s="483" t="s">
        <v>1651</v>
      </c>
      <c r="D814" s="414" t="s">
        <v>4884</v>
      </c>
      <c r="E814" s="407" t="s">
        <v>4884</v>
      </c>
      <c r="F814" s="483"/>
      <c r="G814" s="483"/>
      <c r="H814" s="483"/>
      <c r="I814" s="483"/>
      <c r="J814" s="483"/>
      <c r="K814" s="483"/>
      <c r="L814" s="608" t="s">
        <v>4884</v>
      </c>
      <c r="M814" s="409" t="s">
        <v>4884</v>
      </c>
      <c r="N814" s="409" t="s">
        <v>4884</v>
      </c>
      <c r="O814" s="410" t="s">
        <v>4884</v>
      </c>
      <c r="P814" s="406">
        <v>811</v>
      </c>
      <c r="Q814" s="460" t="s">
        <v>1651</v>
      </c>
      <c r="R814" s="460" t="s">
        <v>1645</v>
      </c>
      <c r="S814" s="460" t="s">
        <v>1528</v>
      </c>
      <c r="T814" s="495" t="s">
        <v>1646</v>
      </c>
      <c r="U814" s="471"/>
      <c r="V814" s="471"/>
      <c r="W814" s="489"/>
      <c r="X814" s="471"/>
      <c r="Y814" s="206"/>
      <c r="Z814" s="206"/>
    </row>
    <row r="815" spans="1:26">
      <c r="A815" s="406">
        <v>812</v>
      </c>
      <c r="B815" s="613" t="s">
        <v>7020</v>
      </c>
      <c r="C815" s="483" t="s">
        <v>1652</v>
      </c>
      <c r="D815" s="414" t="s">
        <v>4884</v>
      </c>
      <c r="E815" s="407" t="s">
        <v>4884</v>
      </c>
      <c r="F815" s="483"/>
      <c r="G815" s="483"/>
      <c r="H815" s="483"/>
      <c r="I815" s="483"/>
      <c r="J815" s="483"/>
      <c r="K815" s="483"/>
      <c r="L815" s="608" t="s">
        <v>4884</v>
      </c>
      <c r="M815" s="409" t="s">
        <v>4884</v>
      </c>
      <c r="N815" s="409" t="s">
        <v>4884</v>
      </c>
      <c r="O815" s="410" t="s">
        <v>4884</v>
      </c>
      <c r="P815" s="406">
        <v>812</v>
      </c>
      <c r="Q815" s="460" t="s">
        <v>1652</v>
      </c>
      <c r="R815" s="460" t="s">
        <v>1645</v>
      </c>
      <c r="S815" s="460" t="s">
        <v>1528</v>
      </c>
      <c r="T815" s="495" t="s">
        <v>1646</v>
      </c>
      <c r="U815" s="471"/>
      <c r="V815" s="471"/>
      <c r="W815" s="489"/>
      <c r="X815" s="471"/>
      <c r="Y815" s="206"/>
      <c r="Z815" s="206"/>
    </row>
    <row r="816" spans="1:26">
      <c r="A816" s="406">
        <v>813</v>
      </c>
      <c r="B816" s="613" t="s">
        <v>7020</v>
      </c>
      <c r="C816" s="483" t="s">
        <v>1653</v>
      </c>
      <c r="D816" s="414" t="s">
        <v>4884</v>
      </c>
      <c r="E816" s="407" t="s">
        <v>4884</v>
      </c>
      <c r="F816" s="483"/>
      <c r="G816" s="483"/>
      <c r="H816" s="483"/>
      <c r="I816" s="483"/>
      <c r="J816" s="483"/>
      <c r="K816" s="483"/>
      <c r="L816" s="608" t="s">
        <v>4884</v>
      </c>
      <c r="M816" s="409" t="s">
        <v>4884</v>
      </c>
      <c r="N816" s="409" t="s">
        <v>4884</v>
      </c>
      <c r="O816" s="410" t="s">
        <v>4884</v>
      </c>
      <c r="P816" s="406">
        <v>813</v>
      </c>
      <c r="Q816" s="460" t="s">
        <v>1653</v>
      </c>
      <c r="R816" s="460" t="s">
        <v>1645</v>
      </c>
      <c r="S816" s="460" t="s">
        <v>1528</v>
      </c>
      <c r="T816" s="495" t="s">
        <v>1646</v>
      </c>
      <c r="U816" s="471"/>
      <c r="V816" s="471"/>
      <c r="W816" s="489"/>
      <c r="X816" s="471"/>
      <c r="Y816" s="206"/>
      <c r="Z816" s="206"/>
    </row>
    <row r="817" spans="1:26">
      <c r="A817" s="406">
        <v>814</v>
      </c>
      <c r="B817" s="613" t="s">
        <v>7020</v>
      </c>
      <c r="C817" s="483" t="s">
        <v>1654</v>
      </c>
      <c r="D817" s="414" t="s">
        <v>4884</v>
      </c>
      <c r="E817" s="407" t="s">
        <v>4884</v>
      </c>
      <c r="F817" s="483"/>
      <c r="G817" s="483"/>
      <c r="H817" s="483"/>
      <c r="I817" s="483"/>
      <c r="J817" s="483"/>
      <c r="K817" s="483"/>
      <c r="L817" s="608" t="s">
        <v>4884</v>
      </c>
      <c r="M817" s="409" t="s">
        <v>4884</v>
      </c>
      <c r="N817" s="409" t="s">
        <v>4884</v>
      </c>
      <c r="O817" s="410" t="s">
        <v>4884</v>
      </c>
      <c r="P817" s="406">
        <v>814</v>
      </c>
      <c r="Q817" s="460" t="s">
        <v>1654</v>
      </c>
      <c r="R817" s="460" t="s">
        <v>1645</v>
      </c>
      <c r="S817" s="460" t="s">
        <v>1528</v>
      </c>
      <c r="T817" s="495" t="s">
        <v>1646</v>
      </c>
      <c r="U817" s="471"/>
      <c r="V817" s="471"/>
      <c r="W817" s="489"/>
      <c r="X817" s="471"/>
      <c r="Y817" s="206"/>
      <c r="Z817" s="206"/>
    </row>
    <row r="818" spans="1:26">
      <c r="A818" s="406">
        <v>815</v>
      </c>
      <c r="B818" s="613" t="s">
        <v>7020</v>
      </c>
      <c r="C818" s="483" t="s">
        <v>1655</v>
      </c>
      <c r="D818" s="414" t="s">
        <v>4884</v>
      </c>
      <c r="E818" s="407" t="s">
        <v>4884</v>
      </c>
      <c r="F818" s="483"/>
      <c r="G818" s="483"/>
      <c r="H818" s="483"/>
      <c r="I818" s="483"/>
      <c r="J818" s="483"/>
      <c r="K818" s="483"/>
      <c r="L818" s="608" t="s">
        <v>4884</v>
      </c>
      <c r="M818" s="409" t="s">
        <v>4884</v>
      </c>
      <c r="N818" s="409" t="s">
        <v>4884</v>
      </c>
      <c r="O818" s="410" t="s">
        <v>4884</v>
      </c>
      <c r="P818" s="406">
        <v>815</v>
      </c>
      <c r="Q818" s="460" t="s">
        <v>1655</v>
      </c>
      <c r="R818" s="460" t="s">
        <v>1645</v>
      </c>
      <c r="S818" s="460" t="s">
        <v>1528</v>
      </c>
      <c r="T818" s="495" t="s">
        <v>1646</v>
      </c>
      <c r="U818" s="471"/>
      <c r="V818" s="471"/>
      <c r="W818" s="489"/>
      <c r="X818" s="471"/>
      <c r="Y818" s="206"/>
      <c r="Z818" s="206"/>
    </row>
    <row r="819" spans="1:26">
      <c r="A819" s="406">
        <v>816</v>
      </c>
      <c r="B819" s="613" t="s">
        <v>7020</v>
      </c>
      <c r="C819" s="483" t="s">
        <v>1656</v>
      </c>
      <c r="D819" s="414" t="s">
        <v>4884</v>
      </c>
      <c r="E819" s="407" t="s">
        <v>4884</v>
      </c>
      <c r="F819" s="483"/>
      <c r="G819" s="483"/>
      <c r="H819" s="483"/>
      <c r="I819" s="483"/>
      <c r="J819" s="483"/>
      <c r="K819" s="483"/>
      <c r="L819" s="608" t="s">
        <v>4884</v>
      </c>
      <c r="M819" s="409" t="s">
        <v>4884</v>
      </c>
      <c r="N819" s="409" t="s">
        <v>4884</v>
      </c>
      <c r="O819" s="410" t="s">
        <v>4884</v>
      </c>
      <c r="P819" s="406">
        <v>816</v>
      </c>
      <c r="Q819" s="460" t="s">
        <v>1656</v>
      </c>
      <c r="R819" s="460" t="s">
        <v>1645</v>
      </c>
      <c r="S819" s="460" t="s">
        <v>1528</v>
      </c>
      <c r="T819" s="495" t="s">
        <v>1646</v>
      </c>
      <c r="U819" s="471"/>
      <c r="V819" s="471"/>
      <c r="W819" s="489"/>
      <c r="X819" s="471"/>
      <c r="Y819" s="206"/>
      <c r="Z819" s="206"/>
    </row>
    <row r="820" spans="1:26">
      <c r="A820" s="406">
        <v>817</v>
      </c>
      <c r="B820" s="613" t="s">
        <v>7020</v>
      </c>
      <c r="C820" s="483" t="s">
        <v>1657</v>
      </c>
      <c r="D820" s="414" t="s">
        <v>4884</v>
      </c>
      <c r="E820" s="407" t="s">
        <v>4884</v>
      </c>
      <c r="F820" s="483"/>
      <c r="G820" s="483"/>
      <c r="H820" s="483"/>
      <c r="I820" s="483"/>
      <c r="J820" s="483"/>
      <c r="K820" s="483"/>
      <c r="L820" s="608" t="s">
        <v>4884</v>
      </c>
      <c r="M820" s="409" t="s">
        <v>4884</v>
      </c>
      <c r="N820" s="409" t="s">
        <v>4884</v>
      </c>
      <c r="O820" s="410" t="s">
        <v>4884</v>
      </c>
      <c r="P820" s="406">
        <v>817</v>
      </c>
      <c r="Q820" s="460" t="s">
        <v>1657</v>
      </c>
      <c r="R820" s="460" t="s">
        <v>1645</v>
      </c>
      <c r="S820" s="460" t="s">
        <v>1528</v>
      </c>
      <c r="T820" s="495" t="s">
        <v>1646</v>
      </c>
      <c r="U820" s="471"/>
      <c r="V820" s="471"/>
      <c r="W820" s="489"/>
      <c r="X820" s="471"/>
      <c r="Y820" s="206"/>
      <c r="Z820" s="206"/>
    </row>
    <row r="821" spans="1:26">
      <c r="A821" s="406">
        <v>818</v>
      </c>
      <c r="B821" s="613" t="s">
        <v>7020</v>
      </c>
      <c r="C821" s="483" t="s">
        <v>1658</v>
      </c>
      <c r="D821" s="414" t="s">
        <v>4884</v>
      </c>
      <c r="E821" s="407" t="s">
        <v>4884</v>
      </c>
      <c r="F821" s="483"/>
      <c r="G821" s="483"/>
      <c r="H821" s="483"/>
      <c r="I821" s="483"/>
      <c r="J821" s="483"/>
      <c r="K821" s="483"/>
      <c r="L821" s="608" t="s">
        <v>4884</v>
      </c>
      <c r="M821" s="409" t="s">
        <v>4884</v>
      </c>
      <c r="N821" s="409" t="s">
        <v>4884</v>
      </c>
      <c r="O821" s="410" t="s">
        <v>4884</v>
      </c>
      <c r="P821" s="406">
        <v>818</v>
      </c>
      <c r="Q821" s="460" t="s">
        <v>1658</v>
      </c>
      <c r="R821" s="460" t="s">
        <v>1645</v>
      </c>
      <c r="S821" s="460" t="s">
        <v>1528</v>
      </c>
      <c r="T821" s="495" t="s">
        <v>1646</v>
      </c>
      <c r="U821" s="471"/>
      <c r="V821" s="471"/>
      <c r="W821" s="489"/>
      <c r="X821" s="471"/>
      <c r="Y821" s="206"/>
      <c r="Z821" s="206"/>
    </row>
    <row r="822" spans="1:26">
      <c r="A822" s="406">
        <v>819</v>
      </c>
      <c r="B822" s="613" t="s">
        <v>7020</v>
      </c>
      <c r="C822" s="483" t="s">
        <v>1659</v>
      </c>
      <c r="D822" s="414" t="s">
        <v>4884</v>
      </c>
      <c r="E822" s="407" t="s">
        <v>4884</v>
      </c>
      <c r="F822" s="483"/>
      <c r="G822" s="483"/>
      <c r="H822" s="483"/>
      <c r="I822" s="483"/>
      <c r="J822" s="483"/>
      <c r="K822" s="483"/>
      <c r="L822" s="608" t="s">
        <v>4884</v>
      </c>
      <c r="M822" s="409" t="s">
        <v>4884</v>
      </c>
      <c r="N822" s="409" t="s">
        <v>4884</v>
      </c>
      <c r="O822" s="410" t="s">
        <v>4884</v>
      </c>
      <c r="P822" s="406">
        <v>819</v>
      </c>
      <c r="Q822" s="460" t="s">
        <v>1659</v>
      </c>
      <c r="R822" s="460" t="s">
        <v>1645</v>
      </c>
      <c r="S822" s="460" t="s">
        <v>1528</v>
      </c>
      <c r="T822" s="495" t="s">
        <v>1646</v>
      </c>
      <c r="U822" s="471"/>
      <c r="V822" s="471"/>
      <c r="W822" s="489"/>
      <c r="X822" s="471"/>
      <c r="Y822" s="206"/>
      <c r="Z822" s="206"/>
    </row>
    <row r="823" spans="1:26">
      <c r="A823" s="406">
        <v>820</v>
      </c>
      <c r="B823" s="613" t="s">
        <v>7020</v>
      </c>
      <c r="C823" s="483" t="s">
        <v>1660</v>
      </c>
      <c r="D823" s="414" t="s">
        <v>4884</v>
      </c>
      <c r="E823" s="407" t="s">
        <v>4884</v>
      </c>
      <c r="F823" s="483"/>
      <c r="G823" s="483"/>
      <c r="H823" s="483"/>
      <c r="I823" s="483"/>
      <c r="J823" s="483"/>
      <c r="K823" s="483"/>
      <c r="L823" s="608" t="s">
        <v>4884</v>
      </c>
      <c r="M823" s="409" t="s">
        <v>4884</v>
      </c>
      <c r="N823" s="409" t="s">
        <v>4884</v>
      </c>
      <c r="O823" s="410" t="s">
        <v>4884</v>
      </c>
      <c r="P823" s="406">
        <v>820</v>
      </c>
      <c r="Q823" s="460" t="s">
        <v>1660</v>
      </c>
      <c r="R823" s="460" t="s">
        <v>1645</v>
      </c>
      <c r="S823" s="460" t="s">
        <v>1528</v>
      </c>
      <c r="T823" s="495" t="s">
        <v>1646</v>
      </c>
      <c r="U823" s="471"/>
      <c r="V823" s="471"/>
      <c r="W823" s="489"/>
      <c r="X823" s="471"/>
      <c r="Y823" s="206"/>
      <c r="Z823" s="206"/>
    </row>
    <row r="824" spans="1:26">
      <c r="A824" s="406">
        <v>821</v>
      </c>
      <c r="B824" s="613" t="s">
        <v>7020</v>
      </c>
      <c r="C824" s="483" t="s">
        <v>1661</v>
      </c>
      <c r="D824" s="414" t="s">
        <v>4884</v>
      </c>
      <c r="E824" s="407" t="s">
        <v>4884</v>
      </c>
      <c r="F824" s="483"/>
      <c r="G824" s="483"/>
      <c r="H824" s="483"/>
      <c r="I824" s="483"/>
      <c r="J824" s="483"/>
      <c r="K824" s="483"/>
      <c r="L824" s="608" t="s">
        <v>4884</v>
      </c>
      <c r="M824" s="409" t="s">
        <v>4884</v>
      </c>
      <c r="N824" s="409" t="s">
        <v>4884</v>
      </c>
      <c r="O824" s="410" t="s">
        <v>4884</v>
      </c>
      <c r="P824" s="406">
        <v>821</v>
      </c>
      <c r="Q824" s="460" t="s">
        <v>1661</v>
      </c>
      <c r="R824" s="460" t="s">
        <v>1645</v>
      </c>
      <c r="S824" s="460" t="s">
        <v>1528</v>
      </c>
      <c r="T824" s="495" t="s">
        <v>1646</v>
      </c>
      <c r="U824" s="471"/>
      <c r="V824" s="471"/>
      <c r="W824" s="489"/>
      <c r="X824" s="471"/>
      <c r="Y824" s="206"/>
      <c r="Z824" s="206"/>
    </row>
    <row r="825" spans="1:26">
      <c r="A825" s="406">
        <v>822</v>
      </c>
      <c r="B825" s="613" t="s">
        <v>7020</v>
      </c>
      <c r="C825" s="483" t="s">
        <v>1662</v>
      </c>
      <c r="D825" s="414" t="s">
        <v>4884</v>
      </c>
      <c r="E825" s="407" t="s">
        <v>4884</v>
      </c>
      <c r="F825" s="483"/>
      <c r="G825" s="483"/>
      <c r="H825" s="483"/>
      <c r="I825" s="483"/>
      <c r="J825" s="483"/>
      <c r="K825" s="483"/>
      <c r="L825" s="608" t="s">
        <v>4884</v>
      </c>
      <c r="M825" s="409" t="s">
        <v>4884</v>
      </c>
      <c r="N825" s="409" t="s">
        <v>4884</v>
      </c>
      <c r="O825" s="410" t="s">
        <v>4884</v>
      </c>
      <c r="P825" s="406">
        <v>822</v>
      </c>
      <c r="Q825" s="460" t="s">
        <v>1662</v>
      </c>
      <c r="R825" s="460" t="s">
        <v>1645</v>
      </c>
      <c r="S825" s="460" t="s">
        <v>1528</v>
      </c>
      <c r="T825" s="495" t="s">
        <v>1646</v>
      </c>
      <c r="U825" s="471"/>
      <c r="V825" s="471"/>
      <c r="W825" s="489"/>
      <c r="X825" s="471"/>
      <c r="Y825" s="206"/>
      <c r="Z825" s="206"/>
    </row>
    <row r="826" spans="1:26">
      <c r="A826" s="406">
        <v>823</v>
      </c>
      <c r="B826" s="613" t="s">
        <v>7020</v>
      </c>
      <c r="C826" s="483" t="s">
        <v>1663</v>
      </c>
      <c r="D826" s="414" t="s">
        <v>4884</v>
      </c>
      <c r="E826" s="407" t="s">
        <v>4884</v>
      </c>
      <c r="F826" s="483"/>
      <c r="G826" s="483"/>
      <c r="H826" s="483"/>
      <c r="I826" s="483"/>
      <c r="J826" s="483"/>
      <c r="K826" s="483"/>
      <c r="L826" s="608" t="s">
        <v>4884</v>
      </c>
      <c r="M826" s="409" t="s">
        <v>4884</v>
      </c>
      <c r="N826" s="409" t="s">
        <v>4884</v>
      </c>
      <c r="O826" s="410" t="s">
        <v>4884</v>
      </c>
      <c r="P826" s="406">
        <v>823</v>
      </c>
      <c r="Q826" s="460" t="s">
        <v>1663</v>
      </c>
      <c r="R826" s="460" t="s">
        <v>1645</v>
      </c>
      <c r="S826" s="460" t="s">
        <v>1528</v>
      </c>
      <c r="T826" s="495" t="s">
        <v>1646</v>
      </c>
      <c r="U826" s="471"/>
      <c r="V826" s="471"/>
      <c r="W826" s="489"/>
      <c r="X826" s="471"/>
      <c r="Y826" s="206"/>
      <c r="Z826" s="206"/>
    </row>
    <row r="827" spans="1:26">
      <c r="A827" s="406">
        <v>824</v>
      </c>
      <c r="B827" s="613" t="s">
        <v>7020</v>
      </c>
      <c r="C827" s="483" t="s">
        <v>1664</v>
      </c>
      <c r="D827" s="414" t="s">
        <v>4884</v>
      </c>
      <c r="E827" s="407" t="s">
        <v>4884</v>
      </c>
      <c r="F827" s="483"/>
      <c r="G827" s="483"/>
      <c r="H827" s="483"/>
      <c r="I827" s="483"/>
      <c r="J827" s="483"/>
      <c r="K827" s="483"/>
      <c r="L827" s="608" t="s">
        <v>4884</v>
      </c>
      <c r="M827" s="409" t="s">
        <v>4884</v>
      </c>
      <c r="N827" s="409" t="s">
        <v>4884</v>
      </c>
      <c r="O827" s="410" t="s">
        <v>4884</v>
      </c>
      <c r="P827" s="406">
        <v>824</v>
      </c>
      <c r="Q827" s="460" t="s">
        <v>1664</v>
      </c>
      <c r="R827" s="460" t="s">
        <v>1645</v>
      </c>
      <c r="S827" s="460" t="s">
        <v>1528</v>
      </c>
      <c r="T827" s="495" t="s">
        <v>1646</v>
      </c>
      <c r="U827" s="471"/>
      <c r="V827" s="471"/>
      <c r="W827" s="489"/>
      <c r="X827" s="471"/>
      <c r="Y827" s="206"/>
      <c r="Z827" s="206"/>
    </row>
    <row r="828" spans="1:26">
      <c r="A828" s="406">
        <v>825</v>
      </c>
      <c r="B828" s="613" t="s">
        <v>7020</v>
      </c>
      <c r="C828" s="483" t="s">
        <v>1665</v>
      </c>
      <c r="D828" s="414" t="s">
        <v>4884</v>
      </c>
      <c r="E828" s="407" t="s">
        <v>4884</v>
      </c>
      <c r="F828" s="483"/>
      <c r="G828" s="483"/>
      <c r="H828" s="483"/>
      <c r="I828" s="483"/>
      <c r="J828" s="483"/>
      <c r="K828" s="483"/>
      <c r="L828" s="608" t="s">
        <v>4884</v>
      </c>
      <c r="M828" s="409" t="s">
        <v>4884</v>
      </c>
      <c r="N828" s="409" t="s">
        <v>4884</v>
      </c>
      <c r="O828" s="410" t="s">
        <v>4884</v>
      </c>
      <c r="P828" s="406">
        <v>825</v>
      </c>
      <c r="Q828" s="460" t="s">
        <v>1665</v>
      </c>
      <c r="R828" s="460" t="s">
        <v>1645</v>
      </c>
      <c r="S828" s="460" t="s">
        <v>1528</v>
      </c>
      <c r="T828" s="495" t="s">
        <v>1646</v>
      </c>
      <c r="U828" s="471"/>
      <c r="V828" s="471"/>
      <c r="W828" s="489"/>
      <c r="X828" s="471"/>
      <c r="Y828" s="206"/>
      <c r="Z828" s="206"/>
    </row>
    <row r="829" spans="1:26">
      <c r="A829" s="406">
        <v>826</v>
      </c>
      <c r="B829" s="613" t="s">
        <v>7020</v>
      </c>
      <c r="C829" s="483" t="s">
        <v>1666</v>
      </c>
      <c r="D829" s="414" t="s">
        <v>4884</v>
      </c>
      <c r="E829" s="407" t="s">
        <v>4884</v>
      </c>
      <c r="F829" s="483"/>
      <c r="G829" s="483"/>
      <c r="H829" s="483"/>
      <c r="I829" s="483"/>
      <c r="J829" s="483"/>
      <c r="K829" s="483"/>
      <c r="L829" s="608" t="s">
        <v>4884</v>
      </c>
      <c r="M829" s="409" t="s">
        <v>4884</v>
      </c>
      <c r="N829" s="409" t="s">
        <v>4884</v>
      </c>
      <c r="O829" s="410" t="s">
        <v>4884</v>
      </c>
      <c r="P829" s="406">
        <v>826</v>
      </c>
      <c r="Q829" s="460" t="s">
        <v>1666</v>
      </c>
      <c r="R829" s="460" t="s">
        <v>1645</v>
      </c>
      <c r="S829" s="460" t="s">
        <v>1528</v>
      </c>
      <c r="T829" s="495" t="s">
        <v>1646</v>
      </c>
      <c r="U829" s="471"/>
      <c r="V829" s="471"/>
      <c r="W829" s="489"/>
      <c r="X829" s="471"/>
      <c r="Y829" s="206"/>
      <c r="Z829" s="206"/>
    </row>
    <row r="830" spans="1:26">
      <c r="A830" s="406">
        <v>827</v>
      </c>
      <c r="B830" s="613" t="s">
        <v>7020</v>
      </c>
      <c r="C830" s="483" t="s">
        <v>1667</v>
      </c>
      <c r="D830" s="414" t="s">
        <v>4884</v>
      </c>
      <c r="E830" s="407" t="s">
        <v>4884</v>
      </c>
      <c r="F830" s="483"/>
      <c r="G830" s="483"/>
      <c r="H830" s="483"/>
      <c r="I830" s="483"/>
      <c r="J830" s="483"/>
      <c r="K830" s="483"/>
      <c r="L830" s="608" t="s">
        <v>4884</v>
      </c>
      <c r="M830" s="409" t="s">
        <v>4884</v>
      </c>
      <c r="N830" s="409" t="s">
        <v>4884</v>
      </c>
      <c r="O830" s="410" t="s">
        <v>4884</v>
      </c>
      <c r="P830" s="406">
        <v>827</v>
      </c>
      <c r="Q830" s="460" t="s">
        <v>1667</v>
      </c>
      <c r="R830" s="460" t="s">
        <v>1645</v>
      </c>
      <c r="S830" s="460" t="s">
        <v>1528</v>
      </c>
      <c r="T830" s="495" t="s">
        <v>1646</v>
      </c>
      <c r="U830" s="471"/>
      <c r="V830" s="471"/>
      <c r="W830" s="489"/>
      <c r="X830" s="471"/>
      <c r="Y830" s="206"/>
      <c r="Z830" s="206"/>
    </row>
    <row r="831" spans="1:26">
      <c r="A831" s="406">
        <v>828</v>
      </c>
      <c r="B831" s="613" t="s">
        <v>7020</v>
      </c>
      <c r="C831" s="483" t="s">
        <v>1668</v>
      </c>
      <c r="D831" s="414" t="s">
        <v>4884</v>
      </c>
      <c r="E831" s="407" t="s">
        <v>4884</v>
      </c>
      <c r="F831" s="483"/>
      <c r="G831" s="483"/>
      <c r="H831" s="483"/>
      <c r="I831" s="483"/>
      <c r="J831" s="483"/>
      <c r="K831" s="483"/>
      <c r="L831" s="608" t="s">
        <v>4884</v>
      </c>
      <c r="M831" s="409" t="s">
        <v>4884</v>
      </c>
      <c r="N831" s="409" t="s">
        <v>4884</v>
      </c>
      <c r="O831" s="410" t="s">
        <v>4884</v>
      </c>
      <c r="P831" s="406">
        <v>828</v>
      </c>
      <c r="Q831" s="460" t="s">
        <v>1668</v>
      </c>
      <c r="R831" s="460" t="s">
        <v>1645</v>
      </c>
      <c r="S831" s="460" t="s">
        <v>1528</v>
      </c>
      <c r="T831" s="495" t="s">
        <v>1646</v>
      </c>
      <c r="U831" s="471"/>
      <c r="V831" s="471"/>
      <c r="W831" s="489"/>
      <c r="X831" s="471"/>
      <c r="Y831" s="206"/>
      <c r="Z831" s="206"/>
    </row>
    <row r="832" spans="1:26">
      <c r="A832" s="406">
        <v>829</v>
      </c>
      <c r="B832" s="613" t="s">
        <v>7020</v>
      </c>
      <c r="C832" s="483" t="s">
        <v>1669</v>
      </c>
      <c r="D832" s="414" t="s">
        <v>4884</v>
      </c>
      <c r="E832" s="407" t="s">
        <v>4884</v>
      </c>
      <c r="F832" s="483"/>
      <c r="G832" s="483"/>
      <c r="H832" s="483"/>
      <c r="I832" s="483"/>
      <c r="J832" s="483"/>
      <c r="K832" s="483"/>
      <c r="L832" s="608" t="s">
        <v>4884</v>
      </c>
      <c r="M832" s="409" t="s">
        <v>4884</v>
      </c>
      <c r="N832" s="409" t="s">
        <v>4884</v>
      </c>
      <c r="O832" s="410" t="s">
        <v>4884</v>
      </c>
      <c r="P832" s="406">
        <v>829</v>
      </c>
      <c r="Q832" s="460" t="s">
        <v>1669</v>
      </c>
      <c r="R832" s="460" t="s">
        <v>1645</v>
      </c>
      <c r="S832" s="460" t="s">
        <v>1528</v>
      </c>
      <c r="T832" s="495" t="s">
        <v>1646</v>
      </c>
      <c r="U832" s="471"/>
      <c r="V832" s="471"/>
      <c r="W832" s="489"/>
      <c r="X832" s="471"/>
      <c r="Y832" s="206"/>
      <c r="Z832" s="206"/>
    </row>
    <row r="833" spans="1:26">
      <c r="A833" s="406">
        <v>830</v>
      </c>
      <c r="B833" s="613" t="s">
        <v>7020</v>
      </c>
      <c r="C833" s="483" t="s">
        <v>1670</v>
      </c>
      <c r="D833" s="414" t="s">
        <v>4884</v>
      </c>
      <c r="E833" s="407" t="s">
        <v>4884</v>
      </c>
      <c r="F833" s="483"/>
      <c r="G833" s="483"/>
      <c r="H833" s="483"/>
      <c r="I833" s="483"/>
      <c r="J833" s="483"/>
      <c r="K833" s="483"/>
      <c r="L833" s="608" t="s">
        <v>4884</v>
      </c>
      <c r="M833" s="409" t="s">
        <v>4884</v>
      </c>
      <c r="N833" s="409" t="s">
        <v>4884</v>
      </c>
      <c r="O833" s="410" t="s">
        <v>4884</v>
      </c>
      <c r="P833" s="406">
        <v>830</v>
      </c>
      <c r="Q833" s="460" t="s">
        <v>1670</v>
      </c>
      <c r="R833" s="460" t="s">
        <v>1645</v>
      </c>
      <c r="S833" s="460" t="s">
        <v>1528</v>
      </c>
      <c r="T833" s="495" t="s">
        <v>1646</v>
      </c>
      <c r="U833" s="471"/>
      <c r="V833" s="471"/>
      <c r="W833" s="489"/>
      <c r="X833" s="471"/>
      <c r="Y833" s="206"/>
      <c r="Z833" s="206"/>
    </row>
    <row r="834" spans="1:26">
      <c r="A834" s="406">
        <v>831</v>
      </c>
      <c r="B834" s="613" t="s">
        <v>7020</v>
      </c>
      <c r="C834" s="483" t="s">
        <v>1671</v>
      </c>
      <c r="D834" s="414" t="s">
        <v>4884</v>
      </c>
      <c r="E834" s="407" t="s">
        <v>4884</v>
      </c>
      <c r="F834" s="483"/>
      <c r="G834" s="483"/>
      <c r="H834" s="483"/>
      <c r="I834" s="483"/>
      <c r="J834" s="483"/>
      <c r="K834" s="483"/>
      <c r="L834" s="608" t="s">
        <v>4884</v>
      </c>
      <c r="M834" s="409" t="s">
        <v>4884</v>
      </c>
      <c r="N834" s="409" t="s">
        <v>4884</v>
      </c>
      <c r="O834" s="410" t="s">
        <v>4884</v>
      </c>
      <c r="P834" s="406">
        <v>831</v>
      </c>
      <c r="Q834" s="460" t="s">
        <v>1671</v>
      </c>
      <c r="R834" s="460" t="s">
        <v>1645</v>
      </c>
      <c r="S834" s="460" t="s">
        <v>1528</v>
      </c>
      <c r="T834" s="495" t="s">
        <v>1646</v>
      </c>
      <c r="U834" s="471"/>
      <c r="V834" s="471"/>
      <c r="W834" s="489"/>
      <c r="X834" s="471"/>
      <c r="Y834" s="206"/>
      <c r="Z834" s="206"/>
    </row>
    <row r="835" spans="1:26">
      <c r="A835" s="406">
        <v>832</v>
      </c>
      <c r="B835" s="613" t="s">
        <v>7020</v>
      </c>
      <c r="C835" s="483" t="s">
        <v>1672</v>
      </c>
      <c r="D835" s="414" t="s">
        <v>4884</v>
      </c>
      <c r="E835" s="407" t="s">
        <v>4884</v>
      </c>
      <c r="F835" s="483"/>
      <c r="G835" s="483"/>
      <c r="H835" s="483"/>
      <c r="I835" s="483"/>
      <c r="J835" s="483"/>
      <c r="K835" s="483"/>
      <c r="L835" s="608" t="s">
        <v>4884</v>
      </c>
      <c r="M835" s="409" t="s">
        <v>4884</v>
      </c>
      <c r="N835" s="409" t="s">
        <v>4884</v>
      </c>
      <c r="O835" s="410" t="s">
        <v>4884</v>
      </c>
      <c r="P835" s="406">
        <v>832</v>
      </c>
      <c r="Q835" s="460" t="s">
        <v>1672</v>
      </c>
      <c r="R835" s="460" t="s">
        <v>1645</v>
      </c>
      <c r="S835" s="460" t="s">
        <v>1528</v>
      </c>
      <c r="T835" s="495" t="s">
        <v>1646</v>
      </c>
      <c r="U835" s="471"/>
      <c r="V835" s="471"/>
      <c r="W835" s="489"/>
      <c r="X835" s="471"/>
      <c r="Y835" s="206"/>
      <c r="Z835" s="206"/>
    </row>
    <row r="836" spans="1:26">
      <c r="A836" s="406">
        <v>833</v>
      </c>
      <c r="B836" s="613" t="s">
        <v>7020</v>
      </c>
      <c r="C836" s="483" t="s">
        <v>1673</v>
      </c>
      <c r="D836" s="414" t="s">
        <v>4884</v>
      </c>
      <c r="E836" s="407" t="s">
        <v>4884</v>
      </c>
      <c r="F836" s="483"/>
      <c r="G836" s="483"/>
      <c r="H836" s="483"/>
      <c r="I836" s="483"/>
      <c r="J836" s="483"/>
      <c r="K836" s="483"/>
      <c r="L836" s="608" t="s">
        <v>4884</v>
      </c>
      <c r="M836" s="409" t="s">
        <v>4884</v>
      </c>
      <c r="N836" s="409" t="s">
        <v>4884</v>
      </c>
      <c r="O836" s="410" t="s">
        <v>4884</v>
      </c>
      <c r="P836" s="406">
        <v>833</v>
      </c>
      <c r="Q836" s="460" t="s">
        <v>1673</v>
      </c>
      <c r="R836" s="460" t="s">
        <v>1645</v>
      </c>
      <c r="S836" s="460" t="s">
        <v>1528</v>
      </c>
      <c r="T836" s="495" t="s">
        <v>1646</v>
      </c>
      <c r="U836" s="471"/>
      <c r="V836" s="471"/>
      <c r="W836" s="471"/>
      <c r="X836" s="471"/>
      <c r="Y836" s="206"/>
      <c r="Z836" s="206"/>
    </row>
    <row r="837" spans="1:26">
      <c r="A837" s="406">
        <v>834</v>
      </c>
      <c r="B837" s="613" t="s">
        <v>7020</v>
      </c>
      <c r="C837" s="483" t="s">
        <v>1674</v>
      </c>
      <c r="D837" s="414" t="s">
        <v>4884</v>
      </c>
      <c r="E837" s="407" t="s">
        <v>4884</v>
      </c>
      <c r="F837" s="483"/>
      <c r="G837" s="483"/>
      <c r="H837" s="483"/>
      <c r="I837" s="483"/>
      <c r="J837" s="483"/>
      <c r="K837" s="483"/>
      <c r="L837" s="608" t="s">
        <v>4884</v>
      </c>
      <c r="M837" s="409" t="s">
        <v>4884</v>
      </c>
      <c r="N837" s="409" t="s">
        <v>4884</v>
      </c>
      <c r="O837" s="410" t="s">
        <v>4884</v>
      </c>
      <c r="P837" s="406">
        <v>834</v>
      </c>
      <c r="Q837" s="460" t="s">
        <v>1674</v>
      </c>
      <c r="R837" s="460" t="s">
        <v>1645</v>
      </c>
      <c r="S837" s="460" t="s">
        <v>1528</v>
      </c>
      <c r="T837" s="495" t="s">
        <v>1646</v>
      </c>
      <c r="U837" s="471"/>
      <c r="V837" s="471"/>
      <c r="W837" s="496"/>
      <c r="X837" s="471"/>
      <c r="Y837" s="206"/>
      <c r="Z837" s="206"/>
    </row>
    <row r="838" spans="1:26">
      <c r="A838" s="406">
        <v>835</v>
      </c>
      <c r="B838" s="613" t="s">
        <v>7020</v>
      </c>
      <c r="C838" s="483" t="s">
        <v>1675</v>
      </c>
      <c r="D838" s="414" t="s">
        <v>4884</v>
      </c>
      <c r="E838" s="407" t="s">
        <v>4884</v>
      </c>
      <c r="F838" s="483"/>
      <c r="G838" s="483"/>
      <c r="H838" s="483"/>
      <c r="I838" s="483"/>
      <c r="J838" s="483"/>
      <c r="K838" s="483"/>
      <c r="L838" s="608" t="s">
        <v>4884</v>
      </c>
      <c r="M838" s="409" t="s">
        <v>4884</v>
      </c>
      <c r="N838" s="409" t="s">
        <v>4884</v>
      </c>
      <c r="O838" s="410" t="s">
        <v>4884</v>
      </c>
      <c r="P838" s="406">
        <v>835</v>
      </c>
      <c r="Q838" s="460" t="s">
        <v>1675</v>
      </c>
      <c r="R838" s="460" t="s">
        <v>1645</v>
      </c>
      <c r="S838" s="460" t="s">
        <v>1528</v>
      </c>
      <c r="T838" s="495" t="s">
        <v>1646</v>
      </c>
      <c r="U838" s="471"/>
      <c r="V838" s="471"/>
      <c r="W838" s="496"/>
      <c r="X838" s="471"/>
      <c r="Y838" s="206"/>
      <c r="Z838" s="206"/>
    </row>
    <row r="839" spans="1:26">
      <c r="A839" s="406">
        <v>836</v>
      </c>
      <c r="B839" s="613" t="s">
        <v>7020</v>
      </c>
      <c r="C839" s="483" t="s">
        <v>1676</v>
      </c>
      <c r="D839" s="414" t="s">
        <v>4884</v>
      </c>
      <c r="E839" s="407" t="s">
        <v>4884</v>
      </c>
      <c r="F839" s="483"/>
      <c r="G839" s="483"/>
      <c r="H839" s="483"/>
      <c r="I839" s="483"/>
      <c r="J839" s="483"/>
      <c r="K839" s="483"/>
      <c r="L839" s="608" t="s">
        <v>4884</v>
      </c>
      <c r="M839" s="409" t="s">
        <v>4884</v>
      </c>
      <c r="N839" s="409" t="s">
        <v>4884</v>
      </c>
      <c r="O839" s="410" t="s">
        <v>4884</v>
      </c>
      <c r="P839" s="406">
        <v>836</v>
      </c>
      <c r="Q839" s="460" t="s">
        <v>1676</v>
      </c>
      <c r="R839" s="460" t="s">
        <v>1645</v>
      </c>
      <c r="S839" s="460" t="s">
        <v>1528</v>
      </c>
      <c r="T839" s="495" t="s">
        <v>1646</v>
      </c>
      <c r="U839" s="471"/>
      <c r="V839" s="471"/>
      <c r="W839" s="496"/>
      <c r="X839" s="471"/>
      <c r="Y839" s="206"/>
      <c r="Z839" s="206"/>
    </row>
    <row r="840" spans="1:26">
      <c r="A840" s="406">
        <v>837</v>
      </c>
      <c r="B840" s="613" t="s">
        <v>7020</v>
      </c>
      <c r="C840" s="483" t="s">
        <v>1677</v>
      </c>
      <c r="D840" s="414" t="s">
        <v>4884</v>
      </c>
      <c r="E840" s="407" t="s">
        <v>4884</v>
      </c>
      <c r="F840" s="483"/>
      <c r="G840" s="483"/>
      <c r="H840" s="483"/>
      <c r="I840" s="483"/>
      <c r="J840" s="483"/>
      <c r="K840" s="483"/>
      <c r="L840" s="608" t="s">
        <v>4884</v>
      </c>
      <c r="M840" s="409" t="s">
        <v>4884</v>
      </c>
      <c r="N840" s="409" t="s">
        <v>4884</v>
      </c>
      <c r="O840" s="410" t="s">
        <v>4884</v>
      </c>
      <c r="P840" s="406">
        <v>837</v>
      </c>
      <c r="Q840" s="460" t="s">
        <v>1677</v>
      </c>
      <c r="R840" s="460" t="s">
        <v>1645</v>
      </c>
      <c r="S840" s="460" t="s">
        <v>1528</v>
      </c>
      <c r="T840" s="495" t="s">
        <v>1646</v>
      </c>
      <c r="U840" s="471"/>
      <c r="V840" s="471"/>
      <c r="W840" s="496"/>
      <c r="X840" s="471"/>
      <c r="Y840" s="206"/>
      <c r="Z840" s="206"/>
    </row>
    <row r="841" spans="1:26">
      <c r="A841" s="406">
        <v>838</v>
      </c>
      <c r="B841" s="613" t="s">
        <v>7020</v>
      </c>
      <c r="C841" s="483" t="s">
        <v>1678</v>
      </c>
      <c r="D841" s="414" t="s">
        <v>4884</v>
      </c>
      <c r="E841" s="407" t="s">
        <v>4884</v>
      </c>
      <c r="F841" s="483"/>
      <c r="G841" s="483"/>
      <c r="H841" s="483"/>
      <c r="I841" s="483"/>
      <c r="J841" s="483"/>
      <c r="K841" s="483"/>
      <c r="L841" s="608" t="s">
        <v>4884</v>
      </c>
      <c r="M841" s="409" t="s">
        <v>4884</v>
      </c>
      <c r="N841" s="409" t="s">
        <v>4884</v>
      </c>
      <c r="O841" s="410" t="s">
        <v>4884</v>
      </c>
      <c r="P841" s="406">
        <v>838</v>
      </c>
      <c r="Q841" s="460" t="s">
        <v>1678</v>
      </c>
      <c r="R841" s="460" t="s">
        <v>1645</v>
      </c>
      <c r="S841" s="460" t="s">
        <v>1528</v>
      </c>
      <c r="T841" s="495" t="s">
        <v>1646</v>
      </c>
      <c r="U841" s="471"/>
      <c r="V841" s="471"/>
      <c r="W841" s="496"/>
      <c r="X841" s="471"/>
      <c r="Y841" s="206"/>
      <c r="Z841" s="206"/>
    </row>
    <row r="842" spans="1:26">
      <c r="A842" s="406">
        <v>839</v>
      </c>
      <c r="B842" s="613" t="s">
        <v>7020</v>
      </c>
      <c r="C842" s="483" t="s">
        <v>1679</v>
      </c>
      <c r="D842" s="414" t="s">
        <v>4884</v>
      </c>
      <c r="E842" s="407" t="s">
        <v>4884</v>
      </c>
      <c r="F842" s="483"/>
      <c r="G842" s="483"/>
      <c r="H842" s="483"/>
      <c r="I842" s="483"/>
      <c r="J842" s="483"/>
      <c r="K842" s="483"/>
      <c r="L842" s="608" t="s">
        <v>4884</v>
      </c>
      <c r="M842" s="409" t="s">
        <v>4884</v>
      </c>
      <c r="N842" s="409" t="s">
        <v>4884</v>
      </c>
      <c r="O842" s="410" t="s">
        <v>4884</v>
      </c>
      <c r="P842" s="406">
        <v>839</v>
      </c>
      <c r="Q842" s="460" t="s">
        <v>1679</v>
      </c>
      <c r="R842" s="460" t="s">
        <v>1645</v>
      </c>
      <c r="S842" s="460" t="s">
        <v>1528</v>
      </c>
      <c r="T842" s="495" t="s">
        <v>1646</v>
      </c>
      <c r="U842" s="471"/>
      <c r="V842" s="471"/>
      <c r="W842" s="496"/>
      <c r="X842" s="471"/>
      <c r="Y842" s="206"/>
      <c r="Z842" s="206"/>
    </row>
    <row r="843" spans="1:26">
      <c r="A843" s="406">
        <v>840</v>
      </c>
      <c r="B843" s="613" t="s">
        <v>7020</v>
      </c>
      <c r="C843" s="483" t="s">
        <v>1680</v>
      </c>
      <c r="D843" s="414" t="s">
        <v>4884</v>
      </c>
      <c r="E843" s="407" t="s">
        <v>4884</v>
      </c>
      <c r="F843" s="483"/>
      <c r="G843" s="483"/>
      <c r="H843" s="483"/>
      <c r="I843" s="483"/>
      <c r="J843" s="483"/>
      <c r="K843" s="483"/>
      <c r="L843" s="608" t="s">
        <v>4884</v>
      </c>
      <c r="M843" s="409" t="s">
        <v>4884</v>
      </c>
      <c r="N843" s="409" t="s">
        <v>4884</v>
      </c>
      <c r="O843" s="410" t="s">
        <v>4884</v>
      </c>
      <c r="P843" s="406">
        <v>840</v>
      </c>
      <c r="Q843" s="460" t="s">
        <v>1680</v>
      </c>
      <c r="R843" s="460" t="s">
        <v>1645</v>
      </c>
      <c r="S843" s="460" t="s">
        <v>1528</v>
      </c>
      <c r="T843" s="495" t="s">
        <v>1646</v>
      </c>
      <c r="U843" s="471"/>
      <c r="V843" s="471"/>
      <c r="W843" s="496"/>
      <c r="X843" s="471"/>
      <c r="Y843" s="206"/>
      <c r="Z843" s="206"/>
    </row>
    <row r="844" spans="1:26">
      <c r="A844" s="406">
        <v>841</v>
      </c>
      <c r="B844" s="613" t="s">
        <v>7020</v>
      </c>
      <c r="C844" s="483" t="s">
        <v>1681</v>
      </c>
      <c r="D844" s="414" t="s">
        <v>4884</v>
      </c>
      <c r="E844" s="407" t="s">
        <v>4884</v>
      </c>
      <c r="F844" s="483"/>
      <c r="G844" s="483"/>
      <c r="H844" s="483"/>
      <c r="I844" s="483"/>
      <c r="J844" s="483"/>
      <c r="K844" s="483"/>
      <c r="L844" s="608" t="s">
        <v>4884</v>
      </c>
      <c r="M844" s="409" t="s">
        <v>4884</v>
      </c>
      <c r="N844" s="409" t="s">
        <v>4884</v>
      </c>
      <c r="O844" s="410" t="s">
        <v>4884</v>
      </c>
      <c r="P844" s="406">
        <v>841</v>
      </c>
      <c r="Q844" s="460" t="s">
        <v>1681</v>
      </c>
      <c r="R844" s="460" t="s">
        <v>1645</v>
      </c>
      <c r="S844" s="460" t="s">
        <v>1528</v>
      </c>
      <c r="T844" s="495" t="s">
        <v>1646</v>
      </c>
      <c r="U844" s="471"/>
      <c r="V844" s="471"/>
      <c r="W844" s="496"/>
      <c r="X844" s="471"/>
      <c r="Y844" s="206"/>
      <c r="Z844" s="206"/>
    </row>
    <row r="845" spans="1:26">
      <c r="A845" s="406">
        <v>842</v>
      </c>
      <c r="B845" s="613" t="s">
        <v>7020</v>
      </c>
      <c r="C845" s="483" t="s">
        <v>1682</v>
      </c>
      <c r="D845" s="414" t="s">
        <v>4884</v>
      </c>
      <c r="E845" s="407" t="s">
        <v>4884</v>
      </c>
      <c r="F845" s="483"/>
      <c r="G845" s="483"/>
      <c r="H845" s="483"/>
      <c r="I845" s="483"/>
      <c r="J845" s="483"/>
      <c r="K845" s="483"/>
      <c r="L845" s="608" t="s">
        <v>4884</v>
      </c>
      <c r="M845" s="409" t="s">
        <v>4884</v>
      </c>
      <c r="N845" s="409" t="s">
        <v>4884</v>
      </c>
      <c r="O845" s="410" t="s">
        <v>4884</v>
      </c>
      <c r="P845" s="406">
        <v>842</v>
      </c>
      <c r="Q845" s="460" t="s">
        <v>1682</v>
      </c>
      <c r="R845" s="460" t="s">
        <v>1645</v>
      </c>
      <c r="S845" s="460" t="s">
        <v>1528</v>
      </c>
      <c r="T845" s="495" t="s">
        <v>1646</v>
      </c>
      <c r="U845" s="471"/>
      <c r="V845" s="471"/>
      <c r="W845" s="496"/>
      <c r="X845" s="471"/>
      <c r="Y845" s="206"/>
      <c r="Z845" s="206"/>
    </row>
    <row r="846" spans="1:26">
      <c r="A846" s="406">
        <v>843</v>
      </c>
      <c r="B846" s="613" t="s">
        <v>7020</v>
      </c>
      <c r="C846" s="483" t="s">
        <v>1683</v>
      </c>
      <c r="D846" s="414" t="s">
        <v>4884</v>
      </c>
      <c r="E846" s="407" t="s">
        <v>4884</v>
      </c>
      <c r="F846" s="483"/>
      <c r="G846" s="483"/>
      <c r="H846" s="483"/>
      <c r="I846" s="483"/>
      <c r="J846" s="483"/>
      <c r="K846" s="483"/>
      <c r="L846" s="608" t="s">
        <v>4884</v>
      </c>
      <c r="M846" s="409" t="s">
        <v>4884</v>
      </c>
      <c r="N846" s="409" t="s">
        <v>4884</v>
      </c>
      <c r="O846" s="410" t="s">
        <v>4884</v>
      </c>
      <c r="P846" s="406">
        <v>843</v>
      </c>
      <c r="Q846" s="460" t="s">
        <v>1683</v>
      </c>
      <c r="R846" s="460" t="s">
        <v>1645</v>
      </c>
      <c r="S846" s="460" t="s">
        <v>1528</v>
      </c>
      <c r="T846" s="495" t="s">
        <v>1646</v>
      </c>
      <c r="U846" s="471"/>
      <c r="V846" s="471"/>
      <c r="W846" s="496"/>
      <c r="X846" s="471"/>
      <c r="Y846" s="206"/>
      <c r="Z846" s="206"/>
    </row>
    <row r="847" spans="1:26">
      <c r="A847" s="406">
        <v>844</v>
      </c>
      <c r="B847" s="613" t="s">
        <v>7020</v>
      </c>
      <c r="C847" s="483" t="s">
        <v>1684</v>
      </c>
      <c r="D847" s="414" t="s">
        <v>4884</v>
      </c>
      <c r="E847" s="407" t="s">
        <v>4884</v>
      </c>
      <c r="F847" s="483"/>
      <c r="G847" s="483"/>
      <c r="H847" s="483"/>
      <c r="I847" s="483"/>
      <c r="J847" s="483"/>
      <c r="K847" s="483"/>
      <c r="L847" s="608" t="s">
        <v>4884</v>
      </c>
      <c r="M847" s="409" t="s">
        <v>4884</v>
      </c>
      <c r="N847" s="409" t="s">
        <v>4884</v>
      </c>
      <c r="O847" s="410" t="s">
        <v>4884</v>
      </c>
      <c r="P847" s="406">
        <v>844</v>
      </c>
      <c r="Q847" s="460" t="s">
        <v>1684</v>
      </c>
      <c r="R847" s="460" t="s">
        <v>1645</v>
      </c>
      <c r="S847" s="460" t="s">
        <v>1528</v>
      </c>
      <c r="T847" s="495" t="s">
        <v>1646</v>
      </c>
      <c r="U847" s="471"/>
      <c r="V847" s="471"/>
      <c r="W847" s="496"/>
      <c r="X847" s="471"/>
      <c r="Y847" s="206"/>
      <c r="Z847" s="206"/>
    </row>
    <row r="848" spans="1:26">
      <c r="A848" s="406">
        <v>845</v>
      </c>
      <c r="B848" s="613" t="s">
        <v>7020</v>
      </c>
      <c r="C848" s="483" t="s">
        <v>1685</v>
      </c>
      <c r="D848" s="414" t="s">
        <v>4884</v>
      </c>
      <c r="E848" s="407" t="s">
        <v>4884</v>
      </c>
      <c r="F848" s="483"/>
      <c r="G848" s="483"/>
      <c r="H848" s="483"/>
      <c r="I848" s="483"/>
      <c r="J848" s="483"/>
      <c r="K848" s="483"/>
      <c r="L848" s="608" t="s">
        <v>4884</v>
      </c>
      <c r="M848" s="409" t="s">
        <v>4884</v>
      </c>
      <c r="N848" s="409" t="s">
        <v>4884</v>
      </c>
      <c r="O848" s="410" t="s">
        <v>4884</v>
      </c>
      <c r="P848" s="406">
        <v>845</v>
      </c>
      <c r="Q848" s="460" t="s">
        <v>1685</v>
      </c>
      <c r="R848" s="460" t="s">
        <v>1645</v>
      </c>
      <c r="S848" s="460" t="s">
        <v>1528</v>
      </c>
      <c r="T848" s="495" t="s">
        <v>1646</v>
      </c>
      <c r="U848" s="471"/>
      <c r="V848" s="471"/>
      <c r="W848" s="496"/>
      <c r="X848" s="471"/>
      <c r="Y848" s="206"/>
      <c r="Z848" s="206"/>
    </row>
    <row r="849" spans="1:26">
      <c r="A849" s="406">
        <v>846</v>
      </c>
      <c r="B849" s="613" t="s">
        <v>7020</v>
      </c>
      <c r="C849" s="483" t="s">
        <v>1686</v>
      </c>
      <c r="D849" s="414" t="s">
        <v>4884</v>
      </c>
      <c r="E849" s="407" t="s">
        <v>4884</v>
      </c>
      <c r="F849" s="483"/>
      <c r="G849" s="483"/>
      <c r="H849" s="483"/>
      <c r="I849" s="483"/>
      <c r="J849" s="483"/>
      <c r="K849" s="483"/>
      <c r="L849" s="608" t="s">
        <v>4884</v>
      </c>
      <c r="M849" s="409" t="s">
        <v>4884</v>
      </c>
      <c r="N849" s="409" t="s">
        <v>4884</v>
      </c>
      <c r="O849" s="410" t="s">
        <v>4884</v>
      </c>
      <c r="P849" s="406">
        <v>846</v>
      </c>
      <c r="Q849" s="460" t="s">
        <v>1686</v>
      </c>
      <c r="R849" s="460" t="s">
        <v>1645</v>
      </c>
      <c r="S849" s="460" t="s">
        <v>1528</v>
      </c>
      <c r="T849" s="495" t="s">
        <v>1646</v>
      </c>
      <c r="U849" s="471"/>
      <c r="V849" s="471"/>
      <c r="W849" s="497"/>
      <c r="X849" s="471"/>
      <c r="Y849" s="206"/>
      <c r="Z849" s="206"/>
    </row>
    <row r="850" spans="1:26">
      <c r="A850" s="406">
        <v>847</v>
      </c>
      <c r="B850" s="613" t="s">
        <v>7020</v>
      </c>
      <c r="C850" s="483" t="s">
        <v>1687</v>
      </c>
      <c r="D850" s="414" t="s">
        <v>4884</v>
      </c>
      <c r="E850" s="407" t="s">
        <v>4884</v>
      </c>
      <c r="F850" s="483"/>
      <c r="G850" s="483"/>
      <c r="H850" s="483"/>
      <c r="I850" s="483"/>
      <c r="J850" s="483"/>
      <c r="K850" s="483"/>
      <c r="L850" s="608" t="s">
        <v>4884</v>
      </c>
      <c r="M850" s="409" t="s">
        <v>4884</v>
      </c>
      <c r="N850" s="409" t="s">
        <v>4884</v>
      </c>
      <c r="O850" s="410" t="s">
        <v>4884</v>
      </c>
      <c r="P850" s="406">
        <v>847</v>
      </c>
      <c r="Q850" s="460" t="s">
        <v>1687</v>
      </c>
      <c r="R850" s="460" t="s">
        <v>1645</v>
      </c>
      <c r="S850" s="460" t="s">
        <v>1528</v>
      </c>
      <c r="T850" s="495" t="s">
        <v>1646</v>
      </c>
      <c r="U850" s="471"/>
      <c r="V850" s="471"/>
      <c r="W850" s="497"/>
      <c r="X850" s="471"/>
      <c r="Y850" s="206"/>
      <c r="Z850" s="206"/>
    </row>
    <row r="851" spans="1:26">
      <c r="A851" s="406">
        <v>848</v>
      </c>
      <c r="B851" s="613" t="s">
        <v>7020</v>
      </c>
      <c r="C851" s="483" t="s">
        <v>1688</v>
      </c>
      <c r="D851" s="414" t="s">
        <v>4884</v>
      </c>
      <c r="E851" s="407" t="s">
        <v>4884</v>
      </c>
      <c r="F851" s="483"/>
      <c r="G851" s="483"/>
      <c r="H851" s="483"/>
      <c r="I851" s="483"/>
      <c r="J851" s="483"/>
      <c r="K851" s="483"/>
      <c r="L851" s="608" t="s">
        <v>4884</v>
      </c>
      <c r="M851" s="409" t="s">
        <v>4884</v>
      </c>
      <c r="N851" s="409" t="s">
        <v>4884</v>
      </c>
      <c r="O851" s="410" t="s">
        <v>4884</v>
      </c>
      <c r="P851" s="406">
        <v>848</v>
      </c>
      <c r="Q851" s="460" t="s">
        <v>1688</v>
      </c>
      <c r="R851" s="460" t="s">
        <v>1645</v>
      </c>
      <c r="S851" s="460" t="s">
        <v>1528</v>
      </c>
      <c r="T851" s="495" t="s">
        <v>1646</v>
      </c>
      <c r="U851" s="471"/>
      <c r="V851" s="471"/>
      <c r="W851" s="497"/>
      <c r="X851" s="471"/>
      <c r="Y851" s="206"/>
      <c r="Z851" s="206"/>
    </row>
    <row r="852" spans="1:26">
      <c r="A852" s="406">
        <v>849</v>
      </c>
      <c r="B852" s="613" t="s">
        <v>7020</v>
      </c>
      <c r="C852" s="483" t="s">
        <v>1689</v>
      </c>
      <c r="D852" s="414" t="s">
        <v>4884</v>
      </c>
      <c r="E852" s="407" t="s">
        <v>4884</v>
      </c>
      <c r="F852" s="483"/>
      <c r="G852" s="483"/>
      <c r="H852" s="483"/>
      <c r="I852" s="483"/>
      <c r="J852" s="483"/>
      <c r="K852" s="483"/>
      <c r="L852" s="608" t="s">
        <v>4884</v>
      </c>
      <c r="M852" s="409" t="s">
        <v>4884</v>
      </c>
      <c r="N852" s="409" t="s">
        <v>4884</v>
      </c>
      <c r="O852" s="410" t="s">
        <v>4884</v>
      </c>
      <c r="P852" s="406">
        <v>849</v>
      </c>
      <c r="Q852" s="460" t="s">
        <v>1689</v>
      </c>
      <c r="R852" s="460" t="s">
        <v>1645</v>
      </c>
      <c r="S852" s="460" t="s">
        <v>1528</v>
      </c>
      <c r="T852" s="495" t="s">
        <v>1646</v>
      </c>
      <c r="U852" s="471"/>
      <c r="V852" s="471"/>
      <c r="W852" s="497"/>
      <c r="X852" s="471"/>
      <c r="Y852" s="206"/>
      <c r="Z852" s="206"/>
    </row>
    <row r="853" spans="1:26">
      <c r="A853" s="406">
        <v>850</v>
      </c>
      <c r="B853" s="613" t="s">
        <v>7020</v>
      </c>
      <c r="C853" s="483" t="s">
        <v>1690</v>
      </c>
      <c r="D853" s="414" t="s">
        <v>4884</v>
      </c>
      <c r="E853" s="407" t="s">
        <v>4884</v>
      </c>
      <c r="F853" s="483"/>
      <c r="G853" s="483"/>
      <c r="H853" s="483"/>
      <c r="I853" s="483"/>
      <c r="J853" s="483"/>
      <c r="K853" s="483"/>
      <c r="L853" s="608" t="s">
        <v>4884</v>
      </c>
      <c r="M853" s="409" t="s">
        <v>4884</v>
      </c>
      <c r="N853" s="409" t="s">
        <v>4884</v>
      </c>
      <c r="O853" s="410" t="s">
        <v>4884</v>
      </c>
      <c r="P853" s="406">
        <v>850</v>
      </c>
      <c r="Q853" s="460" t="s">
        <v>1690</v>
      </c>
      <c r="R853" s="460" t="s">
        <v>1645</v>
      </c>
      <c r="S853" s="460" t="s">
        <v>1528</v>
      </c>
      <c r="T853" s="495" t="s">
        <v>1646</v>
      </c>
      <c r="U853" s="471"/>
      <c r="V853" s="471"/>
      <c r="W853" s="497"/>
      <c r="X853" s="471"/>
      <c r="Y853" s="206"/>
      <c r="Z853" s="206"/>
    </row>
    <row r="854" spans="1:26">
      <c r="A854" s="406">
        <v>851</v>
      </c>
      <c r="B854" s="613" t="s">
        <v>7020</v>
      </c>
      <c r="C854" s="483" t="s">
        <v>1691</v>
      </c>
      <c r="D854" s="414" t="s">
        <v>4884</v>
      </c>
      <c r="E854" s="407" t="s">
        <v>4884</v>
      </c>
      <c r="F854" s="483"/>
      <c r="G854" s="483"/>
      <c r="H854" s="483"/>
      <c r="I854" s="483"/>
      <c r="J854" s="483"/>
      <c r="K854" s="483"/>
      <c r="L854" s="608" t="s">
        <v>4884</v>
      </c>
      <c r="M854" s="409" t="s">
        <v>4884</v>
      </c>
      <c r="N854" s="409" t="s">
        <v>4884</v>
      </c>
      <c r="O854" s="410" t="s">
        <v>4884</v>
      </c>
      <c r="P854" s="406">
        <v>851</v>
      </c>
      <c r="Q854" s="460" t="s">
        <v>1691</v>
      </c>
      <c r="R854" s="460" t="s">
        <v>1645</v>
      </c>
      <c r="S854" s="460" t="s">
        <v>1528</v>
      </c>
      <c r="T854" s="495" t="s">
        <v>1646</v>
      </c>
      <c r="U854" s="471"/>
      <c r="V854" s="471"/>
      <c r="W854" s="497"/>
      <c r="X854" s="471"/>
      <c r="Y854" s="206"/>
      <c r="Z854" s="206"/>
    </row>
    <row r="855" spans="1:26">
      <c r="A855" s="406">
        <v>852</v>
      </c>
      <c r="B855" s="613" t="s">
        <v>7020</v>
      </c>
      <c r="C855" s="483" t="s">
        <v>1692</v>
      </c>
      <c r="D855" s="414" t="s">
        <v>4884</v>
      </c>
      <c r="E855" s="407" t="s">
        <v>4884</v>
      </c>
      <c r="F855" s="483"/>
      <c r="G855" s="483"/>
      <c r="H855" s="483"/>
      <c r="I855" s="483"/>
      <c r="J855" s="483"/>
      <c r="K855" s="483"/>
      <c r="L855" s="608" t="s">
        <v>4884</v>
      </c>
      <c r="M855" s="409" t="s">
        <v>4884</v>
      </c>
      <c r="N855" s="409" t="s">
        <v>4884</v>
      </c>
      <c r="O855" s="410" t="s">
        <v>4884</v>
      </c>
      <c r="P855" s="406">
        <v>852</v>
      </c>
      <c r="Q855" s="460" t="s">
        <v>1692</v>
      </c>
      <c r="R855" s="460" t="s">
        <v>1645</v>
      </c>
      <c r="S855" s="460" t="s">
        <v>1528</v>
      </c>
      <c r="T855" s="495" t="s">
        <v>1646</v>
      </c>
      <c r="U855" s="471"/>
      <c r="V855" s="471"/>
      <c r="W855" s="497"/>
      <c r="X855" s="471"/>
      <c r="Y855" s="206"/>
      <c r="Z855" s="206"/>
    </row>
    <row r="856" spans="1:26">
      <c r="A856" s="406">
        <v>853</v>
      </c>
      <c r="B856" s="613" t="s">
        <v>7020</v>
      </c>
      <c r="C856" s="483" t="s">
        <v>1693</v>
      </c>
      <c r="D856" s="414" t="s">
        <v>4884</v>
      </c>
      <c r="E856" s="407" t="s">
        <v>4884</v>
      </c>
      <c r="F856" s="483"/>
      <c r="G856" s="483"/>
      <c r="H856" s="483"/>
      <c r="I856" s="483"/>
      <c r="J856" s="483"/>
      <c r="K856" s="483"/>
      <c r="L856" s="608" t="s">
        <v>4884</v>
      </c>
      <c r="M856" s="409" t="s">
        <v>4884</v>
      </c>
      <c r="N856" s="409" t="s">
        <v>4884</v>
      </c>
      <c r="O856" s="410" t="s">
        <v>4884</v>
      </c>
      <c r="P856" s="406">
        <v>853</v>
      </c>
      <c r="Q856" s="460" t="s">
        <v>1693</v>
      </c>
      <c r="R856" s="460" t="s">
        <v>1645</v>
      </c>
      <c r="S856" s="460" t="s">
        <v>1528</v>
      </c>
      <c r="T856" s="495" t="s">
        <v>1646</v>
      </c>
      <c r="U856" s="471"/>
      <c r="V856" s="471"/>
      <c r="W856" s="497"/>
      <c r="X856" s="471"/>
      <c r="Y856" s="206"/>
      <c r="Z856" s="206"/>
    </row>
    <row r="857" spans="1:26">
      <c r="A857" s="406">
        <v>854</v>
      </c>
      <c r="B857" s="613" t="s">
        <v>7020</v>
      </c>
      <c r="C857" s="483" t="s">
        <v>1694</v>
      </c>
      <c r="D857" s="414" t="s">
        <v>4884</v>
      </c>
      <c r="E857" s="407" t="s">
        <v>4884</v>
      </c>
      <c r="F857" s="483"/>
      <c r="G857" s="483"/>
      <c r="H857" s="483"/>
      <c r="I857" s="483"/>
      <c r="J857" s="483"/>
      <c r="K857" s="483"/>
      <c r="L857" s="608" t="s">
        <v>4884</v>
      </c>
      <c r="M857" s="409" t="s">
        <v>4884</v>
      </c>
      <c r="N857" s="409" t="s">
        <v>4884</v>
      </c>
      <c r="O857" s="410" t="s">
        <v>4884</v>
      </c>
      <c r="P857" s="406">
        <v>854</v>
      </c>
      <c r="Q857" s="460" t="s">
        <v>1694</v>
      </c>
      <c r="R857" s="460" t="s">
        <v>1645</v>
      </c>
      <c r="S857" s="460" t="s">
        <v>1528</v>
      </c>
      <c r="T857" s="495" t="s">
        <v>1646</v>
      </c>
      <c r="U857" s="471"/>
      <c r="V857" s="471"/>
      <c r="W857" s="497"/>
      <c r="X857" s="471"/>
      <c r="Y857" s="206"/>
      <c r="Z857" s="206"/>
    </row>
    <row r="858" spans="1:26">
      <c r="A858" s="406">
        <v>855</v>
      </c>
      <c r="B858" s="613" t="s">
        <v>7020</v>
      </c>
      <c r="C858" s="483" t="s">
        <v>1695</v>
      </c>
      <c r="D858" s="414" t="s">
        <v>4884</v>
      </c>
      <c r="E858" s="407" t="s">
        <v>4884</v>
      </c>
      <c r="F858" s="483"/>
      <c r="G858" s="483"/>
      <c r="H858" s="483"/>
      <c r="I858" s="483"/>
      <c r="J858" s="483"/>
      <c r="K858" s="483"/>
      <c r="L858" s="608" t="s">
        <v>4884</v>
      </c>
      <c r="M858" s="409" t="s">
        <v>4884</v>
      </c>
      <c r="N858" s="409" t="s">
        <v>4884</v>
      </c>
      <c r="O858" s="410" t="s">
        <v>4884</v>
      </c>
      <c r="P858" s="406">
        <v>855</v>
      </c>
      <c r="Q858" s="460" t="s">
        <v>1695</v>
      </c>
      <c r="R858" s="460" t="s">
        <v>1645</v>
      </c>
      <c r="S858" s="460" t="s">
        <v>1528</v>
      </c>
      <c r="T858" s="495" t="s">
        <v>1646</v>
      </c>
      <c r="U858" s="471"/>
      <c r="V858" s="471"/>
      <c r="W858" s="497"/>
      <c r="X858" s="471"/>
      <c r="Y858" s="206"/>
      <c r="Z858" s="206"/>
    </row>
    <row r="859" spans="1:26">
      <c r="A859" s="406">
        <v>856</v>
      </c>
      <c r="B859" s="613" t="s">
        <v>7020</v>
      </c>
      <c r="C859" s="483" t="s">
        <v>1696</v>
      </c>
      <c r="D859" s="414" t="s">
        <v>4884</v>
      </c>
      <c r="E859" s="407" t="s">
        <v>4884</v>
      </c>
      <c r="F859" s="483"/>
      <c r="G859" s="483"/>
      <c r="H859" s="483"/>
      <c r="I859" s="483"/>
      <c r="J859" s="483"/>
      <c r="K859" s="483"/>
      <c r="L859" s="608" t="s">
        <v>4884</v>
      </c>
      <c r="M859" s="409" t="s">
        <v>4884</v>
      </c>
      <c r="N859" s="409" t="s">
        <v>4884</v>
      </c>
      <c r="O859" s="410" t="s">
        <v>4884</v>
      </c>
      <c r="P859" s="406">
        <v>856</v>
      </c>
      <c r="Q859" s="460" t="s">
        <v>1696</v>
      </c>
      <c r="R859" s="460" t="s">
        <v>1645</v>
      </c>
      <c r="S859" s="460" t="s">
        <v>1528</v>
      </c>
      <c r="T859" s="495" t="s">
        <v>1646</v>
      </c>
      <c r="U859" s="471"/>
      <c r="V859" s="471"/>
      <c r="W859" s="497"/>
      <c r="X859" s="471"/>
      <c r="Y859" s="206"/>
      <c r="Z859" s="206"/>
    </row>
    <row r="860" spans="1:26">
      <c r="A860" s="406">
        <v>857</v>
      </c>
      <c r="B860" s="613" t="s">
        <v>7020</v>
      </c>
      <c r="C860" s="483" t="s">
        <v>1697</v>
      </c>
      <c r="D860" s="414" t="s">
        <v>4884</v>
      </c>
      <c r="E860" s="407" t="s">
        <v>4884</v>
      </c>
      <c r="F860" s="483"/>
      <c r="G860" s="483"/>
      <c r="H860" s="483"/>
      <c r="I860" s="483"/>
      <c r="J860" s="483"/>
      <c r="K860" s="483"/>
      <c r="L860" s="608" t="s">
        <v>4884</v>
      </c>
      <c r="M860" s="409" t="s">
        <v>4884</v>
      </c>
      <c r="N860" s="409" t="s">
        <v>4884</v>
      </c>
      <c r="O860" s="410" t="s">
        <v>4884</v>
      </c>
      <c r="P860" s="406">
        <v>857</v>
      </c>
      <c r="Q860" s="460" t="s">
        <v>1697</v>
      </c>
      <c r="R860" s="460" t="s">
        <v>1645</v>
      </c>
      <c r="S860" s="460" t="s">
        <v>1528</v>
      </c>
      <c r="T860" s="495" t="s">
        <v>1646</v>
      </c>
      <c r="U860" s="471"/>
      <c r="V860" s="471"/>
      <c r="W860" s="497"/>
      <c r="X860" s="471"/>
      <c r="Y860" s="206"/>
      <c r="Z860" s="206"/>
    </row>
    <row r="861" spans="1:26">
      <c r="A861" s="406">
        <v>858</v>
      </c>
      <c r="B861" s="613" t="s">
        <v>7020</v>
      </c>
      <c r="C861" s="483" t="s">
        <v>1698</v>
      </c>
      <c r="D861" s="414" t="s">
        <v>4884</v>
      </c>
      <c r="E861" s="407" t="s">
        <v>4884</v>
      </c>
      <c r="F861" s="483"/>
      <c r="G861" s="483"/>
      <c r="H861" s="483"/>
      <c r="I861" s="483"/>
      <c r="J861" s="483"/>
      <c r="K861" s="483"/>
      <c r="L861" s="608" t="s">
        <v>4884</v>
      </c>
      <c r="M861" s="409" t="s">
        <v>4884</v>
      </c>
      <c r="N861" s="409" t="s">
        <v>4884</v>
      </c>
      <c r="O861" s="410" t="s">
        <v>4884</v>
      </c>
      <c r="P861" s="406">
        <v>858</v>
      </c>
      <c r="Q861" s="460" t="s">
        <v>1698</v>
      </c>
      <c r="R861" s="460" t="s">
        <v>1645</v>
      </c>
      <c r="S861" s="460" t="s">
        <v>1528</v>
      </c>
      <c r="T861" s="495" t="s">
        <v>1646</v>
      </c>
      <c r="U861" s="471"/>
      <c r="V861" s="471"/>
      <c r="W861" s="498"/>
      <c r="X861" s="471"/>
      <c r="Y861" s="206"/>
      <c r="Z861" s="206"/>
    </row>
    <row r="862" spans="1:26">
      <c r="A862" s="406">
        <v>859</v>
      </c>
      <c r="B862" s="613" t="s">
        <v>7020</v>
      </c>
      <c r="C862" s="483" t="s">
        <v>1699</v>
      </c>
      <c r="D862" s="414" t="s">
        <v>4884</v>
      </c>
      <c r="E862" s="407" t="s">
        <v>4884</v>
      </c>
      <c r="F862" s="483"/>
      <c r="G862" s="483"/>
      <c r="H862" s="483"/>
      <c r="I862" s="483"/>
      <c r="J862" s="483"/>
      <c r="K862" s="483"/>
      <c r="L862" s="608" t="s">
        <v>4884</v>
      </c>
      <c r="M862" s="409" t="s">
        <v>4884</v>
      </c>
      <c r="N862" s="409" t="s">
        <v>4884</v>
      </c>
      <c r="O862" s="410" t="s">
        <v>4884</v>
      </c>
      <c r="P862" s="406">
        <v>859</v>
      </c>
      <c r="Q862" s="460" t="s">
        <v>1699</v>
      </c>
      <c r="R862" s="460" t="s">
        <v>1645</v>
      </c>
      <c r="S862" s="460" t="s">
        <v>1528</v>
      </c>
      <c r="T862" s="495" t="s">
        <v>1646</v>
      </c>
      <c r="U862" s="471"/>
      <c r="V862" s="471"/>
      <c r="W862" s="499" t="s">
        <v>4895</v>
      </c>
      <c r="X862" s="500"/>
      <c r="Y862" s="206"/>
      <c r="Z862" s="206"/>
    </row>
    <row r="863" spans="1:26">
      <c r="A863" s="406">
        <v>860</v>
      </c>
      <c r="B863" s="613" t="s">
        <v>7020</v>
      </c>
      <c r="C863" s="483" t="s">
        <v>1700</v>
      </c>
      <c r="D863" s="414" t="s">
        <v>4884</v>
      </c>
      <c r="E863" s="407" t="s">
        <v>4884</v>
      </c>
      <c r="F863" s="483"/>
      <c r="G863" s="483"/>
      <c r="H863" s="483"/>
      <c r="I863" s="483"/>
      <c r="J863" s="483"/>
      <c r="K863" s="483"/>
      <c r="L863" s="608" t="s">
        <v>4884</v>
      </c>
      <c r="M863" s="409" t="s">
        <v>4884</v>
      </c>
      <c r="N863" s="409" t="s">
        <v>4884</v>
      </c>
      <c r="O863" s="410" t="s">
        <v>4884</v>
      </c>
      <c r="P863" s="406">
        <v>860</v>
      </c>
      <c r="Q863" s="460" t="s">
        <v>1700</v>
      </c>
      <c r="R863" s="460" t="s">
        <v>1645</v>
      </c>
      <c r="S863" s="460" t="s">
        <v>1528</v>
      </c>
      <c r="T863" s="495" t="s">
        <v>1646</v>
      </c>
      <c r="U863" s="471"/>
      <c r="V863" s="471"/>
      <c r="W863" s="499" t="s">
        <v>4895</v>
      </c>
      <c r="X863" s="501"/>
      <c r="Y863" s="206"/>
      <c r="Z863" s="206"/>
    </row>
    <row r="864" spans="1:26">
      <c r="A864" s="406">
        <v>861</v>
      </c>
      <c r="B864" s="613" t="s">
        <v>7020</v>
      </c>
      <c r="C864" s="483" t="s">
        <v>1701</v>
      </c>
      <c r="D864" s="414" t="s">
        <v>4884</v>
      </c>
      <c r="E864" s="407" t="s">
        <v>4884</v>
      </c>
      <c r="F864" s="483"/>
      <c r="G864" s="483"/>
      <c r="H864" s="483"/>
      <c r="I864" s="483"/>
      <c r="J864" s="483"/>
      <c r="K864" s="483"/>
      <c r="L864" s="608" t="s">
        <v>4884</v>
      </c>
      <c r="M864" s="409" t="s">
        <v>4884</v>
      </c>
      <c r="N864" s="409" t="s">
        <v>4884</v>
      </c>
      <c r="O864" s="410" t="s">
        <v>4884</v>
      </c>
      <c r="P864" s="406">
        <v>861</v>
      </c>
      <c r="Q864" s="460" t="s">
        <v>1701</v>
      </c>
      <c r="R864" s="460" t="s">
        <v>1645</v>
      </c>
      <c r="S864" s="460" t="s">
        <v>1528</v>
      </c>
      <c r="T864" s="495" t="s">
        <v>1646</v>
      </c>
      <c r="U864" s="471"/>
      <c r="V864" s="471"/>
      <c r="W864" s="502"/>
      <c r="X864" s="471"/>
      <c r="Y864" s="206"/>
      <c r="Z864" s="206"/>
    </row>
    <row r="865" spans="1:26">
      <c r="A865" s="406">
        <v>862</v>
      </c>
      <c r="B865" s="613" t="s">
        <v>7020</v>
      </c>
      <c r="C865" s="483" t="s">
        <v>1702</v>
      </c>
      <c r="D865" s="414" t="s">
        <v>4884</v>
      </c>
      <c r="E865" s="407" t="s">
        <v>4884</v>
      </c>
      <c r="F865" s="483"/>
      <c r="G865" s="483"/>
      <c r="H865" s="483"/>
      <c r="I865" s="483"/>
      <c r="J865" s="483"/>
      <c r="K865" s="483"/>
      <c r="L865" s="608" t="s">
        <v>4884</v>
      </c>
      <c r="M865" s="409" t="s">
        <v>4884</v>
      </c>
      <c r="N865" s="409" t="s">
        <v>4884</v>
      </c>
      <c r="O865" s="410" t="s">
        <v>4884</v>
      </c>
      <c r="P865" s="406">
        <v>862</v>
      </c>
      <c r="Q865" s="460" t="s">
        <v>1702</v>
      </c>
      <c r="R865" s="460" t="s">
        <v>1645</v>
      </c>
      <c r="S865" s="460" t="s">
        <v>1528</v>
      </c>
      <c r="T865" s="495" t="s">
        <v>1646</v>
      </c>
      <c r="U865" s="471"/>
      <c r="V865" s="471"/>
      <c r="W865" s="502"/>
      <c r="X865" s="471"/>
      <c r="Y865" s="206"/>
      <c r="Z865" s="206"/>
    </row>
    <row r="866" spans="1:26">
      <c r="A866" s="406">
        <v>863</v>
      </c>
      <c r="B866" s="613" t="s">
        <v>7020</v>
      </c>
      <c r="C866" s="483" t="s">
        <v>1703</v>
      </c>
      <c r="D866" s="414" t="s">
        <v>4884</v>
      </c>
      <c r="E866" s="407" t="s">
        <v>4884</v>
      </c>
      <c r="F866" s="483"/>
      <c r="G866" s="483"/>
      <c r="H866" s="483"/>
      <c r="I866" s="483"/>
      <c r="J866" s="483"/>
      <c r="K866" s="483"/>
      <c r="L866" s="608" t="s">
        <v>4884</v>
      </c>
      <c r="M866" s="409" t="s">
        <v>4884</v>
      </c>
      <c r="N866" s="409" t="s">
        <v>4884</v>
      </c>
      <c r="O866" s="410" t="s">
        <v>4884</v>
      </c>
      <c r="P866" s="406">
        <v>863</v>
      </c>
      <c r="Q866" s="460" t="s">
        <v>1703</v>
      </c>
      <c r="R866" s="460" t="s">
        <v>1645</v>
      </c>
      <c r="S866" s="460" t="s">
        <v>1528</v>
      </c>
      <c r="T866" s="495" t="s">
        <v>1646</v>
      </c>
      <c r="U866" s="471"/>
      <c r="V866" s="471"/>
      <c r="W866" s="503"/>
      <c r="X866" s="471"/>
      <c r="Y866" s="206"/>
      <c r="Z866" s="206"/>
    </row>
    <row r="867" spans="1:26">
      <c r="A867" s="406">
        <v>864</v>
      </c>
      <c r="B867" s="613" t="s">
        <v>7020</v>
      </c>
      <c r="C867" s="483" t="s">
        <v>1704</v>
      </c>
      <c r="D867" s="414" t="s">
        <v>4884</v>
      </c>
      <c r="E867" s="407" t="s">
        <v>4884</v>
      </c>
      <c r="F867" s="483"/>
      <c r="G867" s="483"/>
      <c r="H867" s="483"/>
      <c r="I867" s="483"/>
      <c r="J867" s="483"/>
      <c r="K867" s="483"/>
      <c r="L867" s="608" t="s">
        <v>4884</v>
      </c>
      <c r="M867" s="409" t="s">
        <v>4884</v>
      </c>
      <c r="N867" s="409" t="s">
        <v>4884</v>
      </c>
      <c r="O867" s="410" t="s">
        <v>4884</v>
      </c>
      <c r="P867" s="406">
        <v>864</v>
      </c>
      <c r="Q867" s="460" t="s">
        <v>1704</v>
      </c>
      <c r="R867" s="460" t="s">
        <v>1645</v>
      </c>
      <c r="S867" s="460" t="s">
        <v>1528</v>
      </c>
      <c r="T867" s="495" t="s">
        <v>1646</v>
      </c>
      <c r="U867" s="471"/>
      <c r="V867" s="471"/>
      <c r="W867" s="503"/>
      <c r="X867" s="471"/>
      <c r="Y867" s="206"/>
      <c r="Z867" s="206"/>
    </row>
    <row r="868" spans="1:26">
      <c r="A868" s="406">
        <v>865</v>
      </c>
      <c r="B868" s="613" t="s">
        <v>7020</v>
      </c>
      <c r="C868" s="483" t="s">
        <v>1705</v>
      </c>
      <c r="D868" s="414" t="s">
        <v>4884</v>
      </c>
      <c r="E868" s="407" t="s">
        <v>4884</v>
      </c>
      <c r="F868" s="483"/>
      <c r="G868" s="483"/>
      <c r="H868" s="483"/>
      <c r="I868" s="483"/>
      <c r="J868" s="483"/>
      <c r="K868" s="483"/>
      <c r="L868" s="608" t="s">
        <v>4884</v>
      </c>
      <c r="M868" s="409" t="s">
        <v>4884</v>
      </c>
      <c r="N868" s="409" t="s">
        <v>4884</v>
      </c>
      <c r="O868" s="410" t="s">
        <v>4884</v>
      </c>
      <c r="P868" s="406">
        <v>865</v>
      </c>
      <c r="Q868" s="460" t="s">
        <v>1705</v>
      </c>
      <c r="R868" s="460" t="s">
        <v>1645</v>
      </c>
      <c r="S868" s="460" t="s">
        <v>1528</v>
      </c>
      <c r="T868" s="495" t="s">
        <v>1646</v>
      </c>
      <c r="U868" s="471"/>
      <c r="V868" s="471"/>
      <c r="W868" s="503"/>
      <c r="X868" s="471"/>
      <c r="Y868" s="206"/>
      <c r="Z868" s="206"/>
    </row>
    <row r="869" spans="1:26">
      <c r="A869" s="406">
        <v>866</v>
      </c>
      <c r="B869" s="613" t="s">
        <v>7020</v>
      </c>
      <c r="C869" s="483" t="s">
        <v>1706</v>
      </c>
      <c r="D869" s="414" t="s">
        <v>4884</v>
      </c>
      <c r="E869" s="407" t="s">
        <v>4884</v>
      </c>
      <c r="F869" s="483"/>
      <c r="G869" s="483"/>
      <c r="H869" s="483"/>
      <c r="I869" s="483"/>
      <c r="J869" s="483"/>
      <c r="K869" s="483"/>
      <c r="L869" s="608" t="s">
        <v>4884</v>
      </c>
      <c r="M869" s="409" t="s">
        <v>4884</v>
      </c>
      <c r="N869" s="409" t="s">
        <v>4884</v>
      </c>
      <c r="O869" s="410" t="s">
        <v>4884</v>
      </c>
      <c r="P869" s="406">
        <v>866</v>
      </c>
      <c r="Q869" s="460" t="s">
        <v>1706</v>
      </c>
      <c r="R869" s="460" t="s">
        <v>1645</v>
      </c>
      <c r="S869" s="460" t="s">
        <v>1528</v>
      </c>
      <c r="T869" s="495" t="s">
        <v>1646</v>
      </c>
      <c r="U869" s="471"/>
      <c r="V869" s="471"/>
      <c r="W869" s="503"/>
      <c r="X869" s="471"/>
      <c r="Y869" s="206"/>
      <c r="Z869" s="206"/>
    </row>
    <row r="870" spans="1:26">
      <c r="A870" s="406">
        <v>867</v>
      </c>
      <c r="B870" s="613" t="s">
        <v>7020</v>
      </c>
      <c r="C870" s="483" t="s">
        <v>1707</v>
      </c>
      <c r="D870" s="414" t="s">
        <v>4884</v>
      </c>
      <c r="E870" s="407" t="s">
        <v>4884</v>
      </c>
      <c r="F870" s="483"/>
      <c r="G870" s="483"/>
      <c r="H870" s="483"/>
      <c r="I870" s="483"/>
      <c r="J870" s="483"/>
      <c r="K870" s="483"/>
      <c r="L870" s="608" t="s">
        <v>4884</v>
      </c>
      <c r="M870" s="409" t="s">
        <v>4884</v>
      </c>
      <c r="N870" s="409" t="s">
        <v>4884</v>
      </c>
      <c r="O870" s="410" t="s">
        <v>4884</v>
      </c>
      <c r="P870" s="406">
        <v>867</v>
      </c>
      <c r="Q870" s="460" t="s">
        <v>1707</v>
      </c>
      <c r="R870" s="460" t="s">
        <v>1645</v>
      </c>
      <c r="S870" s="460" t="s">
        <v>1528</v>
      </c>
      <c r="T870" s="495" t="s">
        <v>1646</v>
      </c>
      <c r="U870" s="471"/>
      <c r="V870" s="471"/>
      <c r="W870" s="503"/>
      <c r="X870" s="471"/>
      <c r="Y870" s="206"/>
      <c r="Z870" s="206"/>
    </row>
    <row r="871" spans="1:26">
      <c r="A871" s="406">
        <v>868</v>
      </c>
      <c r="B871" s="613" t="s">
        <v>7020</v>
      </c>
      <c r="C871" s="483" t="s">
        <v>1708</v>
      </c>
      <c r="D871" s="414" t="s">
        <v>4884</v>
      </c>
      <c r="E871" s="407" t="s">
        <v>4884</v>
      </c>
      <c r="F871" s="483"/>
      <c r="G871" s="483"/>
      <c r="H871" s="483"/>
      <c r="I871" s="483"/>
      <c r="J871" s="483"/>
      <c r="K871" s="483"/>
      <c r="L871" s="608" t="s">
        <v>4884</v>
      </c>
      <c r="M871" s="409" t="s">
        <v>4884</v>
      </c>
      <c r="N871" s="409" t="s">
        <v>4884</v>
      </c>
      <c r="O871" s="410" t="s">
        <v>4884</v>
      </c>
      <c r="P871" s="406">
        <v>868</v>
      </c>
      <c r="Q871" s="460" t="s">
        <v>1708</v>
      </c>
      <c r="R871" s="460" t="s">
        <v>1645</v>
      </c>
      <c r="S871" s="460" t="s">
        <v>1528</v>
      </c>
      <c r="T871" s="495" t="s">
        <v>1646</v>
      </c>
      <c r="U871" s="471"/>
      <c r="V871" s="471"/>
      <c r="W871" s="503"/>
      <c r="X871" s="471"/>
      <c r="Y871" s="206"/>
      <c r="Z871" s="206"/>
    </row>
    <row r="872" spans="1:26">
      <c r="A872" s="406">
        <v>869</v>
      </c>
      <c r="B872" s="613" t="s">
        <v>7020</v>
      </c>
      <c r="C872" s="483" t="s">
        <v>1709</v>
      </c>
      <c r="D872" s="414" t="s">
        <v>4884</v>
      </c>
      <c r="E872" s="407" t="s">
        <v>4884</v>
      </c>
      <c r="F872" s="483"/>
      <c r="G872" s="483"/>
      <c r="H872" s="483"/>
      <c r="I872" s="483"/>
      <c r="J872" s="483"/>
      <c r="K872" s="483"/>
      <c r="L872" s="608" t="s">
        <v>4884</v>
      </c>
      <c r="M872" s="409" t="s">
        <v>4884</v>
      </c>
      <c r="N872" s="409" t="s">
        <v>4884</v>
      </c>
      <c r="O872" s="410" t="s">
        <v>4884</v>
      </c>
      <c r="P872" s="406">
        <v>869</v>
      </c>
      <c r="Q872" s="460" t="s">
        <v>1709</v>
      </c>
      <c r="R872" s="460" t="s">
        <v>1645</v>
      </c>
      <c r="S872" s="460" t="s">
        <v>1528</v>
      </c>
      <c r="T872" s="495" t="s">
        <v>1646</v>
      </c>
      <c r="U872" s="471"/>
      <c r="V872" s="471"/>
      <c r="W872" s="503"/>
      <c r="X872" s="471"/>
      <c r="Y872" s="206"/>
      <c r="Z872" s="206"/>
    </row>
    <row r="873" spans="1:26">
      <c r="A873" s="406">
        <v>870</v>
      </c>
      <c r="B873" s="613" t="s">
        <v>7020</v>
      </c>
      <c r="C873" s="483" t="s">
        <v>1710</v>
      </c>
      <c r="D873" s="414" t="s">
        <v>4884</v>
      </c>
      <c r="E873" s="407" t="s">
        <v>4884</v>
      </c>
      <c r="F873" s="483"/>
      <c r="G873" s="483"/>
      <c r="H873" s="483"/>
      <c r="I873" s="483"/>
      <c r="J873" s="483"/>
      <c r="K873" s="483"/>
      <c r="L873" s="608" t="s">
        <v>4884</v>
      </c>
      <c r="M873" s="409" t="s">
        <v>4884</v>
      </c>
      <c r="N873" s="409" t="s">
        <v>4884</v>
      </c>
      <c r="O873" s="410" t="s">
        <v>4884</v>
      </c>
      <c r="P873" s="406">
        <v>870</v>
      </c>
      <c r="Q873" s="460" t="s">
        <v>1710</v>
      </c>
      <c r="R873" s="460" t="s">
        <v>1645</v>
      </c>
      <c r="S873" s="460" t="s">
        <v>1528</v>
      </c>
      <c r="T873" s="495" t="s">
        <v>1646</v>
      </c>
      <c r="U873" s="471"/>
      <c r="V873" s="471"/>
      <c r="W873" s="503"/>
      <c r="X873" s="471"/>
      <c r="Y873" s="206"/>
      <c r="Z873" s="206"/>
    </row>
    <row r="874" spans="1:26">
      <c r="A874" s="406">
        <v>871</v>
      </c>
      <c r="B874" s="613" t="s">
        <v>7020</v>
      </c>
      <c r="C874" s="483" t="s">
        <v>1711</v>
      </c>
      <c r="D874" s="414" t="s">
        <v>4884</v>
      </c>
      <c r="E874" s="407" t="s">
        <v>4884</v>
      </c>
      <c r="F874" s="483"/>
      <c r="G874" s="483"/>
      <c r="H874" s="483"/>
      <c r="I874" s="483"/>
      <c r="J874" s="483"/>
      <c r="K874" s="483"/>
      <c r="L874" s="608" t="s">
        <v>4884</v>
      </c>
      <c r="M874" s="409" t="s">
        <v>4884</v>
      </c>
      <c r="N874" s="409" t="s">
        <v>4884</v>
      </c>
      <c r="O874" s="410" t="s">
        <v>4884</v>
      </c>
      <c r="P874" s="406">
        <v>871</v>
      </c>
      <c r="Q874" s="460" t="s">
        <v>1711</v>
      </c>
      <c r="R874" s="460" t="s">
        <v>1645</v>
      </c>
      <c r="S874" s="460" t="s">
        <v>1528</v>
      </c>
      <c r="T874" s="495" t="s">
        <v>1646</v>
      </c>
      <c r="U874" s="471"/>
      <c r="V874" s="471"/>
      <c r="W874" s="503"/>
      <c r="X874" s="471"/>
      <c r="Y874" s="206"/>
      <c r="Z874" s="206"/>
    </row>
    <row r="875" spans="1:26">
      <c r="A875" s="406">
        <v>872</v>
      </c>
      <c r="B875" s="613" t="s">
        <v>7020</v>
      </c>
      <c r="C875" s="483" t="s">
        <v>1712</v>
      </c>
      <c r="D875" s="414" t="s">
        <v>4884</v>
      </c>
      <c r="E875" s="407" t="s">
        <v>4884</v>
      </c>
      <c r="F875" s="483"/>
      <c r="G875" s="483"/>
      <c r="H875" s="483"/>
      <c r="I875" s="483"/>
      <c r="J875" s="483"/>
      <c r="K875" s="483"/>
      <c r="L875" s="608" t="s">
        <v>4884</v>
      </c>
      <c r="M875" s="409" t="s">
        <v>4884</v>
      </c>
      <c r="N875" s="409" t="s">
        <v>4884</v>
      </c>
      <c r="O875" s="410" t="s">
        <v>4884</v>
      </c>
      <c r="P875" s="406">
        <v>872</v>
      </c>
      <c r="Q875" s="460" t="s">
        <v>1712</v>
      </c>
      <c r="R875" s="460" t="s">
        <v>1645</v>
      </c>
      <c r="S875" s="460" t="s">
        <v>1528</v>
      </c>
      <c r="T875" s="495" t="s">
        <v>1646</v>
      </c>
      <c r="U875" s="471"/>
      <c r="V875" s="471"/>
      <c r="W875" s="503"/>
      <c r="X875" s="471"/>
      <c r="Y875" s="206"/>
      <c r="Z875" s="206"/>
    </row>
    <row r="876" spans="1:26">
      <c r="A876" s="406">
        <v>873</v>
      </c>
      <c r="B876" s="613" t="s">
        <v>7020</v>
      </c>
      <c r="C876" s="483" t="s">
        <v>1713</v>
      </c>
      <c r="D876" s="414" t="s">
        <v>4884</v>
      </c>
      <c r="E876" s="407" t="s">
        <v>4884</v>
      </c>
      <c r="F876" s="483"/>
      <c r="G876" s="483"/>
      <c r="H876" s="483"/>
      <c r="I876" s="483"/>
      <c r="J876" s="483"/>
      <c r="K876" s="483"/>
      <c r="L876" s="608" t="s">
        <v>4884</v>
      </c>
      <c r="M876" s="409" t="s">
        <v>4884</v>
      </c>
      <c r="N876" s="409" t="s">
        <v>4884</v>
      </c>
      <c r="O876" s="410" t="s">
        <v>4884</v>
      </c>
      <c r="P876" s="406">
        <v>873</v>
      </c>
      <c r="Q876" s="460" t="s">
        <v>1713</v>
      </c>
      <c r="R876" s="460" t="s">
        <v>1645</v>
      </c>
      <c r="S876" s="460" t="s">
        <v>1528</v>
      </c>
      <c r="T876" s="495" t="s">
        <v>1646</v>
      </c>
      <c r="U876" s="471"/>
      <c r="V876" s="471"/>
      <c r="W876" s="503"/>
      <c r="X876" s="471"/>
      <c r="Y876" s="206"/>
      <c r="Z876" s="206"/>
    </row>
    <row r="877" spans="1:26">
      <c r="A877" s="406">
        <v>874</v>
      </c>
      <c r="B877" s="613" t="s">
        <v>7020</v>
      </c>
      <c r="C877" s="483" t="s">
        <v>1714</v>
      </c>
      <c r="D877" s="414" t="s">
        <v>4884</v>
      </c>
      <c r="E877" s="407" t="s">
        <v>4884</v>
      </c>
      <c r="F877" s="483"/>
      <c r="G877" s="483"/>
      <c r="H877" s="483"/>
      <c r="I877" s="483"/>
      <c r="J877" s="483"/>
      <c r="K877" s="483"/>
      <c r="L877" s="608" t="s">
        <v>4884</v>
      </c>
      <c r="M877" s="409" t="s">
        <v>4884</v>
      </c>
      <c r="N877" s="409" t="s">
        <v>4884</v>
      </c>
      <c r="O877" s="410" t="s">
        <v>4884</v>
      </c>
      <c r="P877" s="406">
        <v>874</v>
      </c>
      <c r="Q877" s="460" t="s">
        <v>1714</v>
      </c>
      <c r="R877" s="460" t="s">
        <v>1645</v>
      </c>
      <c r="S877" s="460" t="s">
        <v>1528</v>
      </c>
      <c r="T877" s="495" t="s">
        <v>1646</v>
      </c>
      <c r="U877" s="471"/>
      <c r="V877" s="471"/>
      <c r="W877" s="503"/>
      <c r="X877" s="471"/>
      <c r="Y877" s="206"/>
      <c r="Z877" s="206"/>
    </row>
    <row r="878" spans="1:26">
      <c r="A878" s="406">
        <v>875</v>
      </c>
      <c r="B878" s="613" t="s">
        <v>7020</v>
      </c>
      <c r="C878" s="483" t="s">
        <v>1715</v>
      </c>
      <c r="D878" s="414" t="s">
        <v>4884</v>
      </c>
      <c r="E878" s="407" t="s">
        <v>4884</v>
      </c>
      <c r="F878" s="483"/>
      <c r="G878" s="483"/>
      <c r="H878" s="483"/>
      <c r="I878" s="483"/>
      <c r="J878" s="483"/>
      <c r="K878" s="483"/>
      <c r="L878" s="608" t="s">
        <v>4884</v>
      </c>
      <c r="M878" s="409" t="s">
        <v>4884</v>
      </c>
      <c r="N878" s="409" t="s">
        <v>4884</v>
      </c>
      <c r="O878" s="410" t="s">
        <v>4884</v>
      </c>
      <c r="P878" s="406">
        <v>875</v>
      </c>
      <c r="Q878" s="460" t="s">
        <v>1715</v>
      </c>
      <c r="R878" s="460" t="s">
        <v>1645</v>
      </c>
      <c r="S878" s="460" t="s">
        <v>1528</v>
      </c>
      <c r="T878" s="495" t="s">
        <v>1646</v>
      </c>
      <c r="U878" s="471"/>
      <c r="V878" s="471"/>
      <c r="W878" s="503"/>
      <c r="X878" s="471"/>
      <c r="Y878" s="206"/>
      <c r="Z878" s="206"/>
    </row>
    <row r="879" spans="1:26">
      <c r="A879" s="406">
        <v>876</v>
      </c>
      <c r="B879" s="613" t="s">
        <v>7020</v>
      </c>
      <c r="C879" s="483" t="s">
        <v>1716</v>
      </c>
      <c r="D879" s="414" t="s">
        <v>4884</v>
      </c>
      <c r="E879" s="407" t="s">
        <v>4884</v>
      </c>
      <c r="F879" s="483"/>
      <c r="G879" s="483"/>
      <c r="H879" s="483"/>
      <c r="I879" s="483"/>
      <c r="J879" s="483"/>
      <c r="K879" s="483"/>
      <c r="L879" s="608" t="s">
        <v>4884</v>
      </c>
      <c r="M879" s="409" t="s">
        <v>4884</v>
      </c>
      <c r="N879" s="409" t="s">
        <v>4884</v>
      </c>
      <c r="O879" s="410" t="s">
        <v>4884</v>
      </c>
      <c r="P879" s="406">
        <v>876</v>
      </c>
      <c r="Q879" s="460" t="s">
        <v>1716</v>
      </c>
      <c r="R879" s="460" t="s">
        <v>1645</v>
      </c>
      <c r="S879" s="460" t="s">
        <v>1528</v>
      </c>
      <c r="T879" s="495" t="s">
        <v>1646</v>
      </c>
      <c r="U879" s="471"/>
      <c r="V879" s="471"/>
      <c r="W879" s="503"/>
      <c r="X879" s="471"/>
      <c r="Y879" s="206"/>
      <c r="Z879" s="206"/>
    </row>
    <row r="880" spans="1:26">
      <c r="A880" s="406">
        <v>877</v>
      </c>
      <c r="B880" s="613" t="s">
        <v>7020</v>
      </c>
      <c r="C880" s="483" t="s">
        <v>1717</v>
      </c>
      <c r="D880" s="414" t="s">
        <v>4884</v>
      </c>
      <c r="E880" s="407" t="s">
        <v>4884</v>
      </c>
      <c r="F880" s="483"/>
      <c r="G880" s="483"/>
      <c r="H880" s="483"/>
      <c r="I880" s="483"/>
      <c r="J880" s="483"/>
      <c r="K880" s="483"/>
      <c r="L880" s="608" t="s">
        <v>4884</v>
      </c>
      <c r="M880" s="409" t="s">
        <v>4884</v>
      </c>
      <c r="N880" s="409" t="s">
        <v>4884</v>
      </c>
      <c r="O880" s="410" t="s">
        <v>4884</v>
      </c>
      <c r="P880" s="406">
        <v>877</v>
      </c>
      <c r="Q880" s="460" t="s">
        <v>1717</v>
      </c>
      <c r="R880" s="460" t="s">
        <v>1645</v>
      </c>
      <c r="S880" s="460" t="s">
        <v>1528</v>
      </c>
      <c r="T880" s="495" t="s">
        <v>1646</v>
      </c>
      <c r="U880" s="471"/>
      <c r="V880" s="471"/>
      <c r="W880" s="503"/>
      <c r="X880" s="471"/>
      <c r="Y880" s="206"/>
      <c r="Z880" s="206"/>
    </row>
    <row r="881" spans="1:26">
      <c r="A881" s="406">
        <v>878</v>
      </c>
      <c r="B881" s="613" t="s">
        <v>7020</v>
      </c>
      <c r="C881" s="483" t="s">
        <v>1718</v>
      </c>
      <c r="D881" s="414" t="s">
        <v>4884</v>
      </c>
      <c r="E881" s="407" t="s">
        <v>4884</v>
      </c>
      <c r="F881" s="483"/>
      <c r="G881" s="483"/>
      <c r="H881" s="483"/>
      <c r="I881" s="483"/>
      <c r="J881" s="483"/>
      <c r="K881" s="483"/>
      <c r="L881" s="608" t="s">
        <v>4884</v>
      </c>
      <c r="M881" s="409" t="s">
        <v>4884</v>
      </c>
      <c r="N881" s="409" t="s">
        <v>4884</v>
      </c>
      <c r="O881" s="410" t="s">
        <v>4884</v>
      </c>
      <c r="P881" s="406">
        <v>878</v>
      </c>
      <c r="Q881" s="460" t="s">
        <v>1718</v>
      </c>
      <c r="R881" s="460" t="s">
        <v>1645</v>
      </c>
      <c r="S881" s="460" t="s">
        <v>1528</v>
      </c>
      <c r="T881" s="495" t="s">
        <v>1646</v>
      </c>
      <c r="U881" s="471"/>
      <c r="V881" s="471"/>
      <c r="W881" s="503"/>
      <c r="X881" s="471"/>
      <c r="Y881" s="206"/>
      <c r="Z881" s="206"/>
    </row>
    <row r="882" spans="1:26">
      <c r="A882" s="406">
        <v>879</v>
      </c>
      <c r="B882" s="613" t="s">
        <v>7020</v>
      </c>
      <c r="C882" s="483" t="s">
        <v>1719</v>
      </c>
      <c r="D882" s="414" t="s">
        <v>4884</v>
      </c>
      <c r="E882" s="407" t="s">
        <v>4884</v>
      </c>
      <c r="F882" s="483"/>
      <c r="G882" s="483"/>
      <c r="H882" s="483"/>
      <c r="I882" s="483"/>
      <c r="J882" s="483"/>
      <c r="K882" s="483"/>
      <c r="L882" s="608" t="s">
        <v>4884</v>
      </c>
      <c r="M882" s="409" t="s">
        <v>4884</v>
      </c>
      <c r="N882" s="409" t="s">
        <v>4884</v>
      </c>
      <c r="O882" s="410" t="s">
        <v>4884</v>
      </c>
      <c r="P882" s="406">
        <v>879</v>
      </c>
      <c r="Q882" s="460" t="s">
        <v>1719</v>
      </c>
      <c r="R882" s="460" t="s">
        <v>1645</v>
      </c>
      <c r="S882" s="460" t="s">
        <v>1528</v>
      </c>
      <c r="T882" s="495" t="s">
        <v>1646</v>
      </c>
      <c r="U882" s="471"/>
      <c r="V882" s="471"/>
      <c r="W882" s="503"/>
      <c r="X882" s="471"/>
      <c r="Y882" s="206"/>
      <c r="Z882" s="206"/>
    </row>
    <row r="883" spans="1:26">
      <c r="A883" s="406">
        <v>880</v>
      </c>
      <c r="B883" s="613" t="s">
        <v>7020</v>
      </c>
      <c r="C883" s="483" t="s">
        <v>1720</v>
      </c>
      <c r="D883" s="414" t="s">
        <v>4884</v>
      </c>
      <c r="E883" s="407" t="s">
        <v>4884</v>
      </c>
      <c r="F883" s="483"/>
      <c r="G883" s="483"/>
      <c r="H883" s="483"/>
      <c r="I883" s="483"/>
      <c r="J883" s="483"/>
      <c r="K883" s="483"/>
      <c r="L883" s="608" t="s">
        <v>4884</v>
      </c>
      <c r="M883" s="409" t="s">
        <v>4884</v>
      </c>
      <c r="N883" s="409" t="s">
        <v>4884</v>
      </c>
      <c r="O883" s="410" t="s">
        <v>4884</v>
      </c>
      <c r="P883" s="406">
        <v>880</v>
      </c>
      <c r="Q883" s="460" t="s">
        <v>1720</v>
      </c>
      <c r="R883" s="460" t="s">
        <v>1645</v>
      </c>
      <c r="S883" s="460" t="s">
        <v>1528</v>
      </c>
      <c r="T883" s="495" t="s">
        <v>1646</v>
      </c>
      <c r="U883" s="471"/>
      <c r="V883" s="471"/>
      <c r="W883" s="503"/>
      <c r="X883" s="471"/>
      <c r="Y883" s="206"/>
      <c r="Z883" s="206"/>
    </row>
    <row r="884" spans="1:26">
      <c r="A884" s="406">
        <v>881</v>
      </c>
      <c r="B884" s="613" t="s">
        <v>7020</v>
      </c>
      <c r="C884" s="483" t="s">
        <v>1721</v>
      </c>
      <c r="D884" s="414" t="s">
        <v>4884</v>
      </c>
      <c r="E884" s="407" t="s">
        <v>4884</v>
      </c>
      <c r="F884" s="483"/>
      <c r="G884" s="483"/>
      <c r="H884" s="483"/>
      <c r="I884" s="483"/>
      <c r="J884" s="483"/>
      <c r="K884" s="483"/>
      <c r="L884" s="608" t="s">
        <v>4884</v>
      </c>
      <c r="M884" s="409" t="s">
        <v>4884</v>
      </c>
      <c r="N884" s="409" t="s">
        <v>4884</v>
      </c>
      <c r="O884" s="410" t="s">
        <v>4884</v>
      </c>
      <c r="P884" s="406">
        <v>881</v>
      </c>
      <c r="Q884" s="460" t="s">
        <v>1721</v>
      </c>
      <c r="R884" s="460" t="s">
        <v>1645</v>
      </c>
      <c r="S884" s="460" t="s">
        <v>1528</v>
      </c>
      <c r="T884" s="495" t="s">
        <v>1646</v>
      </c>
      <c r="U884" s="471"/>
      <c r="V884" s="471"/>
      <c r="W884" s="503"/>
      <c r="X884" s="471"/>
      <c r="Y884" s="206"/>
      <c r="Z884" s="206"/>
    </row>
    <row r="885" spans="1:26">
      <c r="A885" s="406">
        <v>882</v>
      </c>
      <c r="B885" s="613" t="s">
        <v>7020</v>
      </c>
      <c r="C885" s="483" t="s">
        <v>1722</v>
      </c>
      <c r="D885" s="414" t="s">
        <v>4884</v>
      </c>
      <c r="E885" s="407" t="s">
        <v>4884</v>
      </c>
      <c r="F885" s="483"/>
      <c r="G885" s="483"/>
      <c r="H885" s="483"/>
      <c r="I885" s="483"/>
      <c r="J885" s="483"/>
      <c r="K885" s="483"/>
      <c r="L885" s="608" t="s">
        <v>4884</v>
      </c>
      <c r="M885" s="409" t="s">
        <v>4884</v>
      </c>
      <c r="N885" s="409" t="s">
        <v>4884</v>
      </c>
      <c r="O885" s="410" t="s">
        <v>4884</v>
      </c>
      <c r="P885" s="406">
        <v>882</v>
      </c>
      <c r="Q885" s="460" t="s">
        <v>1722</v>
      </c>
      <c r="R885" s="460" t="s">
        <v>1645</v>
      </c>
      <c r="S885" s="460" t="s">
        <v>1528</v>
      </c>
      <c r="T885" s="495" t="s">
        <v>1646</v>
      </c>
      <c r="U885" s="471"/>
      <c r="V885" s="471"/>
      <c r="W885" s="503"/>
      <c r="X885" s="471"/>
      <c r="Y885" s="206"/>
      <c r="Z885" s="206"/>
    </row>
    <row r="886" spans="1:26">
      <c r="A886" s="406">
        <v>883</v>
      </c>
      <c r="B886" s="613" t="s">
        <v>7020</v>
      </c>
      <c r="C886" s="483" t="s">
        <v>1723</v>
      </c>
      <c r="D886" s="414" t="s">
        <v>4884</v>
      </c>
      <c r="E886" s="407" t="s">
        <v>4884</v>
      </c>
      <c r="F886" s="483"/>
      <c r="G886" s="483"/>
      <c r="H886" s="483"/>
      <c r="I886" s="483"/>
      <c r="J886" s="483"/>
      <c r="K886" s="483"/>
      <c r="L886" s="608" t="s">
        <v>4884</v>
      </c>
      <c r="M886" s="409" t="s">
        <v>4884</v>
      </c>
      <c r="N886" s="409" t="s">
        <v>4884</v>
      </c>
      <c r="O886" s="410" t="s">
        <v>4884</v>
      </c>
      <c r="P886" s="406">
        <v>883</v>
      </c>
      <c r="Q886" s="460" t="s">
        <v>1723</v>
      </c>
      <c r="R886" s="460" t="s">
        <v>1645</v>
      </c>
      <c r="S886" s="460" t="s">
        <v>1528</v>
      </c>
      <c r="T886" s="495" t="s">
        <v>1646</v>
      </c>
      <c r="U886" s="471"/>
      <c r="V886" s="471"/>
      <c r="W886" s="503"/>
      <c r="X886" s="471"/>
      <c r="Y886" s="206"/>
      <c r="Z886" s="206"/>
    </row>
    <row r="887" spans="1:26">
      <c r="A887" s="406">
        <v>884</v>
      </c>
      <c r="B887" s="613" t="s">
        <v>7020</v>
      </c>
      <c r="C887" s="483" t="s">
        <v>1724</v>
      </c>
      <c r="D887" s="414" t="s">
        <v>4884</v>
      </c>
      <c r="E887" s="407" t="s">
        <v>4884</v>
      </c>
      <c r="F887" s="483"/>
      <c r="G887" s="483"/>
      <c r="H887" s="483"/>
      <c r="I887" s="483"/>
      <c r="J887" s="483"/>
      <c r="K887" s="483"/>
      <c r="L887" s="608" t="s">
        <v>4884</v>
      </c>
      <c r="M887" s="409" t="s">
        <v>4884</v>
      </c>
      <c r="N887" s="409" t="s">
        <v>4884</v>
      </c>
      <c r="O887" s="410" t="s">
        <v>4884</v>
      </c>
      <c r="P887" s="406">
        <v>884</v>
      </c>
      <c r="Q887" s="460" t="s">
        <v>1724</v>
      </c>
      <c r="R887" s="460" t="s">
        <v>1645</v>
      </c>
      <c r="S887" s="460" t="s">
        <v>1528</v>
      </c>
      <c r="T887" s="495" t="s">
        <v>1646</v>
      </c>
      <c r="U887" s="471"/>
      <c r="V887" s="471"/>
      <c r="W887" s="503"/>
      <c r="X887" s="471"/>
      <c r="Y887" s="206"/>
      <c r="Z887" s="206"/>
    </row>
    <row r="888" spans="1:26">
      <c r="A888" s="406">
        <v>885</v>
      </c>
      <c r="B888" s="613" t="s">
        <v>7020</v>
      </c>
      <c r="C888" s="483" t="s">
        <v>1725</v>
      </c>
      <c r="D888" s="414" t="s">
        <v>4884</v>
      </c>
      <c r="E888" s="407" t="s">
        <v>4884</v>
      </c>
      <c r="F888" s="483"/>
      <c r="G888" s="483"/>
      <c r="H888" s="483"/>
      <c r="I888" s="483"/>
      <c r="J888" s="483"/>
      <c r="K888" s="483"/>
      <c r="L888" s="608" t="s">
        <v>4884</v>
      </c>
      <c r="M888" s="409" t="s">
        <v>4884</v>
      </c>
      <c r="N888" s="409" t="s">
        <v>4884</v>
      </c>
      <c r="O888" s="410" t="s">
        <v>4884</v>
      </c>
      <c r="P888" s="406">
        <v>885</v>
      </c>
      <c r="Q888" s="460" t="s">
        <v>1725</v>
      </c>
      <c r="R888" s="460" t="s">
        <v>1645</v>
      </c>
      <c r="S888" s="460" t="s">
        <v>1528</v>
      </c>
      <c r="T888" s="495" t="s">
        <v>1646</v>
      </c>
      <c r="U888" s="471"/>
      <c r="V888" s="471"/>
      <c r="W888" s="503"/>
      <c r="X888" s="471"/>
      <c r="Y888" s="206"/>
      <c r="Z888" s="206"/>
    </row>
    <row r="889" spans="1:26">
      <c r="A889" s="406">
        <v>886</v>
      </c>
      <c r="B889" s="613" t="s">
        <v>7020</v>
      </c>
      <c r="C889" s="483" t="s">
        <v>1726</v>
      </c>
      <c r="D889" s="414" t="s">
        <v>4884</v>
      </c>
      <c r="E889" s="407" t="s">
        <v>4884</v>
      </c>
      <c r="F889" s="483"/>
      <c r="G889" s="483"/>
      <c r="H889" s="483"/>
      <c r="I889" s="483"/>
      <c r="J889" s="483"/>
      <c r="K889" s="483"/>
      <c r="L889" s="608" t="s">
        <v>4884</v>
      </c>
      <c r="M889" s="409" t="s">
        <v>4884</v>
      </c>
      <c r="N889" s="409" t="s">
        <v>4884</v>
      </c>
      <c r="O889" s="410" t="s">
        <v>4884</v>
      </c>
      <c r="P889" s="406">
        <v>886</v>
      </c>
      <c r="Q889" s="460" t="s">
        <v>1726</v>
      </c>
      <c r="R889" s="460" t="s">
        <v>1727</v>
      </c>
      <c r="S889" s="460" t="s">
        <v>1528</v>
      </c>
      <c r="T889" s="495" t="s">
        <v>1728</v>
      </c>
      <c r="U889" s="471"/>
      <c r="V889" s="471"/>
      <c r="W889" s="503"/>
      <c r="X889" s="471"/>
      <c r="Y889" s="206"/>
      <c r="Z889" s="206"/>
    </row>
    <row r="890" spans="1:26">
      <c r="A890" s="406">
        <v>887</v>
      </c>
      <c r="B890" s="613" t="s">
        <v>7020</v>
      </c>
      <c r="C890" s="483" t="s">
        <v>1729</v>
      </c>
      <c r="D890" s="414" t="s">
        <v>4884</v>
      </c>
      <c r="E890" s="407" t="s">
        <v>4884</v>
      </c>
      <c r="F890" s="483"/>
      <c r="G890" s="483"/>
      <c r="H890" s="483"/>
      <c r="I890" s="483"/>
      <c r="J890" s="483"/>
      <c r="K890" s="483"/>
      <c r="L890" s="608" t="s">
        <v>4884</v>
      </c>
      <c r="M890" s="409" t="s">
        <v>4884</v>
      </c>
      <c r="N890" s="409" t="s">
        <v>4884</v>
      </c>
      <c r="O890" s="410" t="s">
        <v>4884</v>
      </c>
      <c r="P890" s="406">
        <v>887</v>
      </c>
      <c r="Q890" s="460" t="s">
        <v>1729</v>
      </c>
      <c r="R890" s="460" t="s">
        <v>1730</v>
      </c>
      <c r="S890" s="460" t="s">
        <v>1528</v>
      </c>
      <c r="T890" s="504" t="s">
        <v>1731</v>
      </c>
      <c r="U890" s="471"/>
      <c r="V890" s="471"/>
      <c r="W890" s="503"/>
      <c r="X890" s="471"/>
      <c r="Y890" s="206"/>
      <c r="Z890" s="206"/>
    </row>
    <row r="891" spans="1:26">
      <c r="A891" s="406">
        <v>888</v>
      </c>
      <c r="B891" s="613" t="s">
        <v>7020</v>
      </c>
      <c r="C891" s="483" t="s">
        <v>1732</v>
      </c>
      <c r="D891" s="414" t="s">
        <v>4884</v>
      </c>
      <c r="E891" s="407" t="s">
        <v>4884</v>
      </c>
      <c r="F891" s="483"/>
      <c r="G891" s="483"/>
      <c r="H891" s="483"/>
      <c r="I891" s="483"/>
      <c r="J891" s="483"/>
      <c r="K891" s="483"/>
      <c r="L891" s="608" t="s">
        <v>4884</v>
      </c>
      <c r="M891" s="409" t="s">
        <v>4884</v>
      </c>
      <c r="N891" s="409" t="s">
        <v>4884</v>
      </c>
      <c r="O891" s="410" t="s">
        <v>4884</v>
      </c>
      <c r="P891" s="406">
        <v>888</v>
      </c>
      <c r="Q891" s="460" t="s">
        <v>1732</v>
      </c>
      <c r="R891" s="460" t="s">
        <v>1730</v>
      </c>
      <c r="S891" s="460" t="s">
        <v>1528</v>
      </c>
      <c r="T891" s="504" t="s">
        <v>1731</v>
      </c>
      <c r="U891" s="471"/>
      <c r="V891" s="471"/>
      <c r="W891" s="503"/>
      <c r="X891" s="471"/>
      <c r="Y891" s="206"/>
      <c r="Z891" s="206"/>
    </row>
    <row r="892" spans="1:26">
      <c r="A892" s="406">
        <v>889</v>
      </c>
      <c r="B892" s="613" t="s">
        <v>7020</v>
      </c>
      <c r="C892" s="483" t="s">
        <v>1733</v>
      </c>
      <c r="D892" s="414" t="s">
        <v>4884</v>
      </c>
      <c r="E892" s="407" t="s">
        <v>4884</v>
      </c>
      <c r="F892" s="483"/>
      <c r="G892" s="483"/>
      <c r="H892" s="483"/>
      <c r="I892" s="483"/>
      <c r="J892" s="483"/>
      <c r="K892" s="483"/>
      <c r="L892" s="608" t="s">
        <v>4884</v>
      </c>
      <c r="M892" s="409" t="s">
        <v>4884</v>
      </c>
      <c r="N892" s="409" t="s">
        <v>4884</v>
      </c>
      <c r="O892" s="410" t="s">
        <v>4884</v>
      </c>
      <c r="P892" s="406">
        <v>889</v>
      </c>
      <c r="Q892" s="460" t="s">
        <v>1733</v>
      </c>
      <c r="R892" s="460" t="s">
        <v>1730</v>
      </c>
      <c r="S892" s="460" t="s">
        <v>1528</v>
      </c>
      <c r="T892" s="504" t="s">
        <v>1731</v>
      </c>
      <c r="U892" s="471"/>
      <c r="V892" s="471"/>
      <c r="W892" s="503"/>
      <c r="X892" s="471"/>
      <c r="Y892" s="206"/>
      <c r="Z892" s="206"/>
    </row>
    <row r="893" spans="1:26">
      <c r="A893" s="406">
        <v>890</v>
      </c>
      <c r="B893" s="613" t="s">
        <v>7020</v>
      </c>
      <c r="C893" s="483" t="s">
        <v>1734</v>
      </c>
      <c r="D893" s="414" t="s">
        <v>4884</v>
      </c>
      <c r="E893" s="407" t="s">
        <v>4884</v>
      </c>
      <c r="F893" s="483"/>
      <c r="G893" s="483"/>
      <c r="H893" s="483"/>
      <c r="I893" s="483"/>
      <c r="J893" s="483"/>
      <c r="K893" s="483"/>
      <c r="L893" s="608" t="s">
        <v>4884</v>
      </c>
      <c r="M893" s="409" t="s">
        <v>4884</v>
      </c>
      <c r="N893" s="409" t="s">
        <v>4884</v>
      </c>
      <c r="O893" s="410" t="s">
        <v>4884</v>
      </c>
      <c r="P893" s="406">
        <v>890</v>
      </c>
      <c r="Q893" s="460" t="s">
        <v>1734</v>
      </c>
      <c r="R893" s="460" t="s">
        <v>1730</v>
      </c>
      <c r="S893" s="460" t="s">
        <v>1528</v>
      </c>
      <c r="T893" s="504" t="s">
        <v>1731</v>
      </c>
      <c r="U893" s="471"/>
      <c r="V893" s="471"/>
      <c r="W893" s="503"/>
      <c r="X893" s="471"/>
      <c r="Y893" s="206"/>
      <c r="Z893" s="206"/>
    </row>
    <row r="894" spans="1:26">
      <c r="A894" s="406">
        <v>891</v>
      </c>
      <c r="B894" s="613" t="s">
        <v>7020</v>
      </c>
      <c r="C894" s="483" t="s">
        <v>1735</v>
      </c>
      <c r="D894" s="414" t="s">
        <v>4884</v>
      </c>
      <c r="E894" s="407" t="s">
        <v>4884</v>
      </c>
      <c r="F894" s="483"/>
      <c r="G894" s="483"/>
      <c r="H894" s="483"/>
      <c r="I894" s="483"/>
      <c r="J894" s="483"/>
      <c r="K894" s="483"/>
      <c r="L894" s="608" t="s">
        <v>4884</v>
      </c>
      <c r="M894" s="409" t="s">
        <v>4884</v>
      </c>
      <c r="N894" s="409" t="s">
        <v>4884</v>
      </c>
      <c r="O894" s="410" t="s">
        <v>4884</v>
      </c>
      <c r="P894" s="406">
        <v>891</v>
      </c>
      <c r="Q894" s="460" t="s">
        <v>1735</v>
      </c>
      <c r="R894" s="460" t="s">
        <v>1730</v>
      </c>
      <c r="S894" s="460" t="s">
        <v>1528</v>
      </c>
      <c r="T894" s="504" t="s">
        <v>1731</v>
      </c>
      <c r="U894" s="471"/>
      <c r="V894" s="471"/>
      <c r="W894" s="503"/>
      <c r="X894" s="471"/>
      <c r="Y894" s="206"/>
      <c r="Z894" s="206"/>
    </row>
    <row r="895" spans="1:26">
      <c r="A895" s="406">
        <v>892</v>
      </c>
      <c r="B895" s="613" t="s">
        <v>7020</v>
      </c>
      <c r="C895" s="483" t="s">
        <v>1736</v>
      </c>
      <c r="D895" s="414" t="s">
        <v>4884</v>
      </c>
      <c r="E895" s="407" t="s">
        <v>4884</v>
      </c>
      <c r="F895" s="483"/>
      <c r="G895" s="483"/>
      <c r="H895" s="483"/>
      <c r="I895" s="483"/>
      <c r="J895" s="483"/>
      <c r="K895" s="483"/>
      <c r="L895" s="608" t="s">
        <v>4884</v>
      </c>
      <c r="M895" s="409" t="s">
        <v>4884</v>
      </c>
      <c r="N895" s="409" t="s">
        <v>4884</v>
      </c>
      <c r="O895" s="410" t="s">
        <v>4884</v>
      </c>
      <c r="P895" s="406">
        <v>892</v>
      </c>
      <c r="Q895" s="460" t="s">
        <v>1736</v>
      </c>
      <c r="R895" s="460" t="s">
        <v>1730</v>
      </c>
      <c r="S895" s="460" t="s">
        <v>1528</v>
      </c>
      <c r="T895" s="504" t="s">
        <v>1731</v>
      </c>
      <c r="U895" s="471"/>
      <c r="V895" s="471"/>
      <c r="W895" s="502"/>
      <c r="X895" s="471"/>
      <c r="Y895" s="206"/>
      <c r="Z895" s="206"/>
    </row>
    <row r="896" spans="1:26">
      <c r="A896" s="406">
        <v>893</v>
      </c>
      <c r="B896" s="613" t="s">
        <v>7020</v>
      </c>
      <c r="C896" s="483" t="s">
        <v>1737</v>
      </c>
      <c r="D896" s="414" t="s">
        <v>4884</v>
      </c>
      <c r="E896" s="407" t="s">
        <v>4884</v>
      </c>
      <c r="F896" s="483"/>
      <c r="G896" s="483"/>
      <c r="H896" s="483"/>
      <c r="I896" s="483"/>
      <c r="J896" s="483"/>
      <c r="K896" s="483"/>
      <c r="L896" s="608" t="s">
        <v>4884</v>
      </c>
      <c r="M896" s="409" t="s">
        <v>4884</v>
      </c>
      <c r="N896" s="409" t="s">
        <v>4884</v>
      </c>
      <c r="O896" s="410" t="s">
        <v>4884</v>
      </c>
      <c r="P896" s="406">
        <v>893</v>
      </c>
      <c r="Q896" s="460" t="s">
        <v>1737</v>
      </c>
      <c r="R896" s="460" t="s">
        <v>1730</v>
      </c>
      <c r="S896" s="460" t="s">
        <v>1528</v>
      </c>
      <c r="T896" s="504" t="s">
        <v>1731</v>
      </c>
      <c r="U896" s="471"/>
      <c r="V896" s="471"/>
      <c r="W896" s="502"/>
      <c r="X896" s="471"/>
      <c r="Y896" s="206"/>
      <c r="Z896" s="206"/>
    </row>
    <row r="897" spans="1:26">
      <c r="A897" s="406">
        <v>894</v>
      </c>
      <c r="B897" s="613" t="s">
        <v>7020</v>
      </c>
      <c r="C897" s="483" t="s">
        <v>1738</v>
      </c>
      <c r="D897" s="414" t="s">
        <v>4884</v>
      </c>
      <c r="E897" s="407" t="s">
        <v>4884</v>
      </c>
      <c r="F897" s="483"/>
      <c r="G897" s="483"/>
      <c r="H897" s="483"/>
      <c r="I897" s="483"/>
      <c r="J897" s="483"/>
      <c r="K897" s="483"/>
      <c r="L897" s="608" t="s">
        <v>4884</v>
      </c>
      <c r="M897" s="409" t="s">
        <v>4884</v>
      </c>
      <c r="N897" s="409" t="s">
        <v>4884</v>
      </c>
      <c r="O897" s="410" t="s">
        <v>4884</v>
      </c>
      <c r="P897" s="406">
        <v>894</v>
      </c>
      <c r="Q897" s="460" t="s">
        <v>1738</v>
      </c>
      <c r="R897" s="460" t="s">
        <v>1730</v>
      </c>
      <c r="S897" s="460" t="s">
        <v>1528</v>
      </c>
      <c r="T897" s="504" t="s">
        <v>1731</v>
      </c>
      <c r="U897" s="471"/>
      <c r="V897" s="471"/>
      <c r="W897" s="502"/>
      <c r="X897" s="471"/>
      <c r="Y897" s="206"/>
      <c r="Z897" s="206"/>
    </row>
    <row r="898" spans="1:26">
      <c r="A898" s="406">
        <v>895</v>
      </c>
      <c r="B898" s="613" t="s">
        <v>7020</v>
      </c>
      <c r="C898" s="483" t="s">
        <v>1739</v>
      </c>
      <c r="D898" s="414" t="s">
        <v>4884</v>
      </c>
      <c r="E898" s="407" t="s">
        <v>4884</v>
      </c>
      <c r="F898" s="483"/>
      <c r="G898" s="483"/>
      <c r="H898" s="483"/>
      <c r="I898" s="483"/>
      <c r="J898" s="483"/>
      <c r="K898" s="483"/>
      <c r="L898" s="608" t="s">
        <v>4884</v>
      </c>
      <c r="M898" s="409" t="s">
        <v>4884</v>
      </c>
      <c r="N898" s="409" t="s">
        <v>4884</v>
      </c>
      <c r="O898" s="410" t="s">
        <v>4884</v>
      </c>
      <c r="P898" s="406">
        <v>895</v>
      </c>
      <c r="Q898" s="460" t="s">
        <v>1739</v>
      </c>
      <c r="R898" s="460" t="s">
        <v>1730</v>
      </c>
      <c r="S898" s="460" t="s">
        <v>1528</v>
      </c>
      <c r="T898" s="504" t="s">
        <v>1731</v>
      </c>
      <c r="U898" s="471"/>
      <c r="V898" s="471"/>
      <c r="W898" s="502"/>
      <c r="X898" s="471"/>
      <c r="Y898" s="206"/>
      <c r="Z898" s="206"/>
    </row>
    <row r="899" spans="1:26">
      <c r="A899" s="406">
        <v>896</v>
      </c>
      <c r="B899" s="613" t="s">
        <v>7020</v>
      </c>
      <c r="C899" s="483" t="s">
        <v>1740</v>
      </c>
      <c r="D899" s="414" t="s">
        <v>4884</v>
      </c>
      <c r="E899" s="407" t="s">
        <v>4884</v>
      </c>
      <c r="F899" s="483"/>
      <c r="G899" s="483"/>
      <c r="H899" s="483"/>
      <c r="I899" s="483"/>
      <c r="J899" s="483"/>
      <c r="K899" s="483"/>
      <c r="L899" s="608" t="s">
        <v>4884</v>
      </c>
      <c r="M899" s="409" t="s">
        <v>4884</v>
      </c>
      <c r="N899" s="409" t="s">
        <v>4884</v>
      </c>
      <c r="O899" s="410" t="s">
        <v>4884</v>
      </c>
      <c r="P899" s="406">
        <v>896</v>
      </c>
      <c r="Q899" s="460" t="s">
        <v>1740</v>
      </c>
      <c r="R899" s="460" t="s">
        <v>1730</v>
      </c>
      <c r="S899" s="460" t="s">
        <v>1528</v>
      </c>
      <c r="T899" s="504" t="s">
        <v>1731</v>
      </c>
      <c r="U899" s="471"/>
      <c r="V899" s="471"/>
      <c r="W899" s="502"/>
      <c r="X899" s="471"/>
      <c r="Y899" s="206"/>
      <c r="Z899" s="206"/>
    </row>
    <row r="900" spans="1:26">
      <c r="A900" s="406">
        <v>897</v>
      </c>
      <c r="B900" s="613" t="s">
        <v>7020</v>
      </c>
      <c r="C900" s="483" t="s">
        <v>1741</v>
      </c>
      <c r="D900" s="414" t="s">
        <v>4884</v>
      </c>
      <c r="E900" s="407" t="s">
        <v>4884</v>
      </c>
      <c r="F900" s="483"/>
      <c r="G900" s="483"/>
      <c r="H900" s="483"/>
      <c r="I900" s="483"/>
      <c r="J900" s="483"/>
      <c r="K900" s="483"/>
      <c r="L900" s="608" t="s">
        <v>4884</v>
      </c>
      <c r="M900" s="409" t="s">
        <v>4884</v>
      </c>
      <c r="N900" s="409" t="s">
        <v>4884</v>
      </c>
      <c r="O900" s="410" t="s">
        <v>4884</v>
      </c>
      <c r="P900" s="406">
        <v>897</v>
      </c>
      <c r="Q900" s="460" t="s">
        <v>1741</v>
      </c>
      <c r="R900" s="460" t="s">
        <v>1730</v>
      </c>
      <c r="S900" s="460" t="s">
        <v>1528</v>
      </c>
      <c r="T900" s="504" t="s">
        <v>1731</v>
      </c>
      <c r="U900" s="471"/>
      <c r="V900" s="471"/>
      <c r="W900" s="502"/>
      <c r="X900" s="471"/>
      <c r="Y900" s="206"/>
      <c r="Z900" s="206"/>
    </row>
    <row r="901" spans="1:26">
      <c r="A901" s="406">
        <v>898</v>
      </c>
      <c r="B901" s="613" t="s">
        <v>7020</v>
      </c>
      <c r="C901" s="483" t="s">
        <v>1742</v>
      </c>
      <c r="D901" s="414" t="s">
        <v>4884</v>
      </c>
      <c r="E901" s="407" t="s">
        <v>4884</v>
      </c>
      <c r="F901" s="483"/>
      <c r="G901" s="483"/>
      <c r="H901" s="483"/>
      <c r="I901" s="483"/>
      <c r="J901" s="483"/>
      <c r="K901" s="483"/>
      <c r="L901" s="608" t="s">
        <v>4884</v>
      </c>
      <c r="M901" s="409" t="s">
        <v>4884</v>
      </c>
      <c r="N901" s="409" t="s">
        <v>4884</v>
      </c>
      <c r="O901" s="410" t="s">
        <v>4884</v>
      </c>
      <c r="P901" s="406">
        <v>898</v>
      </c>
      <c r="Q901" s="460" t="s">
        <v>1742</v>
      </c>
      <c r="R901" s="460" t="s">
        <v>1730</v>
      </c>
      <c r="S901" s="460" t="s">
        <v>1528</v>
      </c>
      <c r="T901" s="504" t="s">
        <v>1731</v>
      </c>
      <c r="U901" s="471"/>
      <c r="V901" s="471"/>
      <c r="W901" s="502"/>
      <c r="X901" s="471"/>
      <c r="Y901" s="206"/>
      <c r="Z901" s="206"/>
    </row>
    <row r="902" spans="1:26">
      <c r="A902" s="406">
        <v>899</v>
      </c>
      <c r="B902" s="613" t="s">
        <v>7020</v>
      </c>
      <c r="C902" s="483" t="s">
        <v>1743</v>
      </c>
      <c r="D902" s="414" t="s">
        <v>4884</v>
      </c>
      <c r="E902" s="407" t="s">
        <v>4884</v>
      </c>
      <c r="F902" s="483"/>
      <c r="G902" s="483"/>
      <c r="H902" s="483"/>
      <c r="I902" s="483"/>
      <c r="J902" s="483"/>
      <c r="K902" s="483"/>
      <c r="L902" s="608" t="s">
        <v>4884</v>
      </c>
      <c r="M902" s="409" t="s">
        <v>4884</v>
      </c>
      <c r="N902" s="409" t="s">
        <v>4884</v>
      </c>
      <c r="O902" s="410" t="s">
        <v>4884</v>
      </c>
      <c r="P902" s="406">
        <v>899</v>
      </c>
      <c r="Q902" s="460" t="s">
        <v>1743</v>
      </c>
      <c r="R902" s="460" t="s">
        <v>1730</v>
      </c>
      <c r="S902" s="460" t="s">
        <v>1528</v>
      </c>
      <c r="T902" s="504" t="s">
        <v>1731</v>
      </c>
      <c r="U902" s="471"/>
      <c r="V902" s="471"/>
      <c r="W902" s="502"/>
      <c r="X902" s="471"/>
      <c r="Y902" s="206"/>
      <c r="Z902" s="206"/>
    </row>
    <row r="903" spans="1:26">
      <c r="A903" s="406">
        <v>900</v>
      </c>
      <c r="B903" s="613" t="s">
        <v>7020</v>
      </c>
      <c r="C903" s="483" t="s">
        <v>1744</v>
      </c>
      <c r="D903" s="414" t="s">
        <v>4884</v>
      </c>
      <c r="E903" s="407" t="s">
        <v>4884</v>
      </c>
      <c r="F903" s="483"/>
      <c r="G903" s="483"/>
      <c r="H903" s="483"/>
      <c r="I903" s="483"/>
      <c r="J903" s="483"/>
      <c r="K903" s="483"/>
      <c r="L903" s="608" t="s">
        <v>4884</v>
      </c>
      <c r="M903" s="409" t="s">
        <v>4884</v>
      </c>
      <c r="N903" s="409" t="s">
        <v>4884</v>
      </c>
      <c r="O903" s="410" t="s">
        <v>4884</v>
      </c>
      <c r="P903" s="406">
        <v>900</v>
      </c>
      <c r="Q903" s="460" t="s">
        <v>1744</v>
      </c>
      <c r="R903" s="460" t="s">
        <v>1730</v>
      </c>
      <c r="S903" s="460" t="s">
        <v>1528</v>
      </c>
      <c r="T903" s="504" t="s">
        <v>1731</v>
      </c>
      <c r="U903" s="471"/>
      <c r="V903" s="471"/>
      <c r="W903" s="502"/>
      <c r="X903" s="471"/>
      <c r="Y903" s="206"/>
      <c r="Z903" s="206"/>
    </row>
    <row r="904" spans="1:26">
      <c r="A904" s="406">
        <v>901</v>
      </c>
      <c r="B904" s="613" t="s">
        <v>7020</v>
      </c>
      <c r="C904" s="483" t="s">
        <v>1745</v>
      </c>
      <c r="D904" s="414" t="s">
        <v>4884</v>
      </c>
      <c r="E904" s="407" t="s">
        <v>4884</v>
      </c>
      <c r="F904" s="483"/>
      <c r="G904" s="483"/>
      <c r="H904" s="483"/>
      <c r="I904" s="483"/>
      <c r="J904" s="483"/>
      <c r="K904" s="483"/>
      <c r="L904" s="608" t="s">
        <v>4884</v>
      </c>
      <c r="M904" s="409" t="s">
        <v>4884</v>
      </c>
      <c r="N904" s="409" t="s">
        <v>4884</v>
      </c>
      <c r="O904" s="410" t="s">
        <v>4884</v>
      </c>
      <c r="P904" s="406">
        <v>901</v>
      </c>
      <c r="Q904" s="460" t="s">
        <v>1745</v>
      </c>
      <c r="R904" s="460" t="s">
        <v>1730</v>
      </c>
      <c r="S904" s="460" t="s">
        <v>1528</v>
      </c>
      <c r="T904" s="504" t="s">
        <v>1731</v>
      </c>
      <c r="U904" s="471"/>
      <c r="V904" s="471"/>
      <c r="W904" s="502"/>
      <c r="X904" s="471"/>
      <c r="Y904" s="206"/>
      <c r="Z904" s="206"/>
    </row>
    <row r="905" spans="1:26">
      <c r="A905" s="406">
        <v>902</v>
      </c>
      <c r="B905" s="613" t="s">
        <v>7020</v>
      </c>
      <c r="C905" s="483" t="s">
        <v>1746</v>
      </c>
      <c r="D905" s="414" t="s">
        <v>4884</v>
      </c>
      <c r="E905" s="407" t="s">
        <v>4884</v>
      </c>
      <c r="F905" s="483"/>
      <c r="G905" s="483"/>
      <c r="H905" s="483"/>
      <c r="I905" s="483"/>
      <c r="J905" s="483"/>
      <c r="K905" s="483"/>
      <c r="L905" s="608" t="s">
        <v>4884</v>
      </c>
      <c r="M905" s="409" t="s">
        <v>4884</v>
      </c>
      <c r="N905" s="409" t="s">
        <v>4884</v>
      </c>
      <c r="O905" s="410" t="s">
        <v>4884</v>
      </c>
      <c r="P905" s="406">
        <v>902</v>
      </c>
      <c r="Q905" s="460" t="s">
        <v>1746</v>
      </c>
      <c r="R905" s="460" t="s">
        <v>1730</v>
      </c>
      <c r="S905" s="460" t="s">
        <v>1528</v>
      </c>
      <c r="T905" s="504" t="s">
        <v>1731</v>
      </c>
      <c r="U905" s="471"/>
      <c r="V905" s="471"/>
      <c r="W905" s="505"/>
      <c r="X905" s="471"/>
      <c r="Y905" s="206"/>
      <c r="Z905" s="206"/>
    </row>
    <row r="906" spans="1:26">
      <c r="A906" s="406">
        <v>903</v>
      </c>
      <c r="B906" s="613" t="s">
        <v>7020</v>
      </c>
      <c r="C906" s="483" t="s">
        <v>1747</v>
      </c>
      <c r="D906" s="414" t="s">
        <v>4884</v>
      </c>
      <c r="E906" s="407" t="s">
        <v>4884</v>
      </c>
      <c r="F906" s="483"/>
      <c r="G906" s="483"/>
      <c r="H906" s="483"/>
      <c r="I906" s="483"/>
      <c r="J906" s="483"/>
      <c r="K906" s="483"/>
      <c r="L906" s="608" t="s">
        <v>4884</v>
      </c>
      <c r="M906" s="409" t="s">
        <v>4884</v>
      </c>
      <c r="N906" s="409" t="s">
        <v>4884</v>
      </c>
      <c r="O906" s="410" t="s">
        <v>4884</v>
      </c>
      <c r="P906" s="406">
        <v>903</v>
      </c>
      <c r="Q906" s="460" t="s">
        <v>1747</v>
      </c>
      <c r="R906" s="460" t="s">
        <v>1730</v>
      </c>
      <c r="S906" s="460" t="s">
        <v>1528</v>
      </c>
      <c r="T906" s="504" t="s">
        <v>1731</v>
      </c>
      <c r="U906" s="471"/>
      <c r="V906" s="471"/>
      <c r="W906" s="505"/>
      <c r="X906" s="471"/>
      <c r="Y906" s="206"/>
      <c r="Z906" s="206"/>
    </row>
    <row r="907" spans="1:26">
      <c r="A907" s="406">
        <v>904</v>
      </c>
      <c r="B907" s="613" t="s">
        <v>7020</v>
      </c>
      <c r="C907" s="483" t="s">
        <v>1748</v>
      </c>
      <c r="D907" s="414" t="s">
        <v>4884</v>
      </c>
      <c r="E907" s="407" t="s">
        <v>4884</v>
      </c>
      <c r="F907" s="483"/>
      <c r="G907" s="483"/>
      <c r="H907" s="483"/>
      <c r="I907" s="483"/>
      <c r="J907" s="483"/>
      <c r="K907" s="483"/>
      <c r="L907" s="608" t="s">
        <v>4884</v>
      </c>
      <c r="M907" s="409" t="s">
        <v>4884</v>
      </c>
      <c r="N907" s="409" t="s">
        <v>4884</v>
      </c>
      <c r="O907" s="410" t="s">
        <v>4884</v>
      </c>
      <c r="P907" s="406">
        <v>904</v>
      </c>
      <c r="Q907" s="460" t="s">
        <v>1748</v>
      </c>
      <c r="R907" s="460" t="s">
        <v>1730</v>
      </c>
      <c r="S907" s="460" t="s">
        <v>1528</v>
      </c>
      <c r="T907" s="504" t="s">
        <v>1731</v>
      </c>
      <c r="U907" s="471"/>
      <c r="V907" s="471"/>
      <c r="W907" s="506"/>
      <c r="X907" s="471"/>
      <c r="Y907" s="206"/>
      <c r="Z907" s="206"/>
    </row>
    <row r="908" spans="1:26">
      <c r="A908" s="406">
        <v>905</v>
      </c>
      <c r="B908" s="613" t="s">
        <v>7020</v>
      </c>
      <c r="C908" s="483" t="s">
        <v>1749</v>
      </c>
      <c r="D908" s="414" t="s">
        <v>4884</v>
      </c>
      <c r="E908" s="407" t="s">
        <v>4884</v>
      </c>
      <c r="F908" s="483"/>
      <c r="G908" s="483"/>
      <c r="H908" s="483"/>
      <c r="I908" s="483"/>
      <c r="J908" s="483"/>
      <c r="K908" s="483"/>
      <c r="L908" s="608" t="s">
        <v>4884</v>
      </c>
      <c r="M908" s="409" t="s">
        <v>4884</v>
      </c>
      <c r="N908" s="409" t="s">
        <v>4884</v>
      </c>
      <c r="O908" s="410" t="s">
        <v>4884</v>
      </c>
      <c r="P908" s="406">
        <v>905</v>
      </c>
      <c r="Q908" s="460" t="s">
        <v>1749</v>
      </c>
      <c r="R908" s="460" t="s">
        <v>1730</v>
      </c>
      <c r="S908" s="460" t="s">
        <v>1528</v>
      </c>
      <c r="T908" s="504" t="s">
        <v>1731</v>
      </c>
      <c r="U908" s="471"/>
      <c r="V908" s="471"/>
      <c r="W908" s="506"/>
      <c r="X908" s="471"/>
      <c r="Y908" s="206"/>
      <c r="Z908" s="206"/>
    </row>
    <row r="909" spans="1:26">
      <c r="A909" s="406">
        <v>906</v>
      </c>
      <c r="B909" s="613" t="s">
        <v>7020</v>
      </c>
      <c r="C909" s="483" t="s">
        <v>1750</v>
      </c>
      <c r="D909" s="414" t="s">
        <v>4884</v>
      </c>
      <c r="E909" s="407" t="s">
        <v>4884</v>
      </c>
      <c r="F909" s="483"/>
      <c r="G909" s="483"/>
      <c r="H909" s="483"/>
      <c r="I909" s="483"/>
      <c r="J909" s="483"/>
      <c r="K909" s="483"/>
      <c r="L909" s="608" t="s">
        <v>4884</v>
      </c>
      <c r="M909" s="409" t="s">
        <v>4884</v>
      </c>
      <c r="N909" s="409" t="s">
        <v>4884</v>
      </c>
      <c r="O909" s="410" t="s">
        <v>4884</v>
      </c>
      <c r="P909" s="406">
        <v>906</v>
      </c>
      <c r="Q909" s="460" t="s">
        <v>1750</v>
      </c>
      <c r="R909" s="460" t="s">
        <v>1730</v>
      </c>
      <c r="S909" s="460" t="s">
        <v>1528</v>
      </c>
      <c r="T909" s="504" t="s">
        <v>1731</v>
      </c>
      <c r="U909" s="471"/>
      <c r="V909" s="471"/>
      <c r="W909" s="488"/>
      <c r="X909" s="471"/>
      <c r="Y909" s="206"/>
      <c r="Z909" s="206"/>
    </row>
    <row r="910" spans="1:26">
      <c r="A910" s="406">
        <v>907</v>
      </c>
      <c r="B910" s="613" t="s">
        <v>7020</v>
      </c>
      <c r="C910" s="483" t="s">
        <v>1751</v>
      </c>
      <c r="D910" s="414" t="s">
        <v>4884</v>
      </c>
      <c r="E910" s="407" t="s">
        <v>4884</v>
      </c>
      <c r="F910" s="483"/>
      <c r="G910" s="483"/>
      <c r="H910" s="483"/>
      <c r="I910" s="483"/>
      <c r="J910" s="483"/>
      <c r="K910" s="483"/>
      <c r="L910" s="608" t="s">
        <v>4884</v>
      </c>
      <c r="M910" s="409" t="s">
        <v>4884</v>
      </c>
      <c r="N910" s="409" t="s">
        <v>4884</v>
      </c>
      <c r="O910" s="410" t="s">
        <v>4884</v>
      </c>
      <c r="P910" s="406">
        <v>907</v>
      </c>
      <c r="Q910" s="460" t="s">
        <v>1751</v>
      </c>
      <c r="R910" s="460" t="s">
        <v>1730</v>
      </c>
      <c r="S910" s="460" t="s">
        <v>1528</v>
      </c>
      <c r="T910" s="504" t="s">
        <v>1731</v>
      </c>
      <c r="U910" s="471"/>
      <c r="V910" s="471"/>
      <c r="W910" s="488"/>
      <c r="X910" s="471"/>
      <c r="Y910" s="206"/>
      <c r="Z910" s="206"/>
    </row>
    <row r="911" spans="1:26">
      <c r="A911" s="406">
        <v>908</v>
      </c>
      <c r="B911" s="613" t="s">
        <v>7020</v>
      </c>
      <c r="C911" s="483" t="s">
        <v>1752</v>
      </c>
      <c r="D911" s="414" t="s">
        <v>4884</v>
      </c>
      <c r="E911" s="407" t="s">
        <v>4884</v>
      </c>
      <c r="F911" s="483"/>
      <c r="G911" s="483"/>
      <c r="H911" s="483"/>
      <c r="I911" s="483"/>
      <c r="J911" s="483"/>
      <c r="K911" s="483"/>
      <c r="L911" s="608" t="s">
        <v>4884</v>
      </c>
      <c r="M911" s="409" t="s">
        <v>4884</v>
      </c>
      <c r="N911" s="409" t="s">
        <v>4884</v>
      </c>
      <c r="O911" s="410" t="s">
        <v>4884</v>
      </c>
      <c r="P911" s="406">
        <v>908</v>
      </c>
      <c r="Q911" s="460" t="s">
        <v>1752</v>
      </c>
      <c r="R911" s="460" t="s">
        <v>1730</v>
      </c>
      <c r="S911" s="460" t="s">
        <v>1528</v>
      </c>
      <c r="T911" s="504" t="s">
        <v>1731</v>
      </c>
      <c r="U911" s="471"/>
      <c r="V911" s="471"/>
      <c r="W911" s="488"/>
      <c r="X911" s="471"/>
      <c r="Y911" s="206"/>
      <c r="Z911" s="206"/>
    </row>
    <row r="912" spans="1:26">
      <c r="A912" s="406">
        <v>909</v>
      </c>
      <c r="B912" s="613" t="s">
        <v>7020</v>
      </c>
      <c r="C912" s="483" t="s">
        <v>1753</v>
      </c>
      <c r="D912" s="414" t="s">
        <v>4884</v>
      </c>
      <c r="E912" s="407" t="s">
        <v>4884</v>
      </c>
      <c r="F912" s="483"/>
      <c r="G912" s="483"/>
      <c r="H912" s="483"/>
      <c r="I912" s="483"/>
      <c r="J912" s="483"/>
      <c r="K912" s="483"/>
      <c r="L912" s="608" t="s">
        <v>4884</v>
      </c>
      <c r="M912" s="409" t="s">
        <v>4884</v>
      </c>
      <c r="N912" s="409" t="s">
        <v>4884</v>
      </c>
      <c r="O912" s="410" t="s">
        <v>4884</v>
      </c>
      <c r="P912" s="406">
        <v>909</v>
      </c>
      <c r="Q912" s="460" t="s">
        <v>1753</v>
      </c>
      <c r="R912" s="460" t="s">
        <v>1730</v>
      </c>
      <c r="S912" s="460" t="s">
        <v>1528</v>
      </c>
      <c r="T912" s="504" t="s">
        <v>1731</v>
      </c>
      <c r="U912" s="471"/>
      <c r="V912" s="471"/>
      <c r="W912" s="488"/>
      <c r="X912" s="471"/>
      <c r="Y912" s="206"/>
      <c r="Z912" s="206"/>
    </row>
    <row r="913" spans="1:26">
      <c r="A913" s="406">
        <v>910</v>
      </c>
      <c r="B913" s="613" t="s">
        <v>7020</v>
      </c>
      <c r="C913" s="483" t="s">
        <v>1754</v>
      </c>
      <c r="D913" s="414" t="s">
        <v>4884</v>
      </c>
      <c r="E913" s="407" t="s">
        <v>4884</v>
      </c>
      <c r="F913" s="483"/>
      <c r="G913" s="483"/>
      <c r="H913" s="483"/>
      <c r="I913" s="483"/>
      <c r="J913" s="483"/>
      <c r="K913" s="483"/>
      <c r="L913" s="608" t="s">
        <v>4884</v>
      </c>
      <c r="M913" s="409" t="s">
        <v>4884</v>
      </c>
      <c r="N913" s="409" t="s">
        <v>4884</v>
      </c>
      <c r="O913" s="410" t="s">
        <v>4884</v>
      </c>
      <c r="P913" s="406">
        <v>910</v>
      </c>
      <c r="Q913" s="460" t="s">
        <v>1754</v>
      </c>
      <c r="R913" s="460" t="s">
        <v>1730</v>
      </c>
      <c r="S913" s="460" t="s">
        <v>1528</v>
      </c>
      <c r="T913" s="504" t="s">
        <v>1731</v>
      </c>
      <c r="U913" s="471"/>
      <c r="V913" s="471"/>
      <c r="W913" s="488"/>
      <c r="X913" s="471"/>
      <c r="Y913" s="206"/>
      <c r="Z913" s="206"/>
    </row>
    <row r="914" spans="1:26">
      <c r="A914" s="406">
        <v>911</v>
      </c>
      <c r="B914" s="613" t="s">
        <v>7020</v>
      </c>
      <c r="C914" s="483" t="s">
        <v>1755</v>
      </c>
      <c r="D914" s="414" t="s">
        <v>4884</v>
      </c>
      <c r="E914" s="407" t="s">
        <v>4884</v>
      </c>
      <c r="F914" s="483"/>
      <c r="G914" s="483"/>
      <c r="H914" s="483"/>
      <c r="I914" s="483"/>
      <c r="J914" s="483"/>
      <c r="K914" s="483"/>
      <c r="L914" s="608" t="s">
        <v>4884</v>
      </c>
      <c r="M914" s="409" t="s">
        <v>4884</v>
      </c>
      <c r="N914" s="409" t="s">
        <v>4884</v>
      </c>
      <c r="O914" s="410" t="s">
        <v>4884</v>
      </c>
      <c r="P914" s="406">
        <v>911</v>
      </c>
      <c r="Q914" s="460" t="s">
        <v>1755</v>
      </c>
      <c r="R914" s="460" t="s">
        <v>1730</v>
      </c>
      <c r="S914" s="460" t="s">
        <v>1528</v>
      </c>
      <c r="T914" s="504" t="s">
        <v>1731</v>
      </c>
      <c r="U914" s="471"/>
      <c r="V914" s="471"/>
      <c r="W914" s="488"/>
      <c r="X914" s="471"/>
      <c r="Y914" s="206"/>
      <c r="Z914" s="206"/>
    </row>
    <row r="915" spans="1:26">
      <c r="A915" s="406">
        <v>912</v>
      </c>
      <c r="B915" s="613" t="s">
        <v>7020</v>
      </c>
      <c r="C915" s="483" t="s">
        <v>1756</v>
      </c>
      <c r="D915" s="414" t="s">
        <v>4884</v>
      </c>
      <c r="E915" s="407" t="s">
        <v>4884</v>
      </c>
      <c r="F915" s="483"/>
      <c r="G915" s="483"/>
      <c r="H915" s="483"/>
      <c r="I915" s="483"/>
      <c r="J915" s="483"/>
      <c r="K915" s="483"/>
      <c r="L915" s="608" t="s">
        <v>4884</v>
      </c>
      <c r="M915" s="409" t="s">
        <v>4884</v>
      </c>
      <c r="N915" s="409" t="s">
        <v>4884</v>
      </c>
      <c r="O915" s="410" t="s">
        <v>4884</v>
      </c>
      <c r="P915" s="406">
        <v>912</v>
      </c>
      <c r="Q915" s="460" t="s">
        <v>1756</v>
      </c>
      <c r="R915" s="460" t="s">
        <v>1730</v>
      </c>
      <c r="S915" s="460" t="s">
        <v>1528</v>
      </c>
      <c r="T915" s="504" t="s">
        <v>1731</v>
      </c>
      <c r="U915" s="471"/>
      <c r="V915" s="471"/>
      <c r="W915" s="488"/>
      <c r="X915" s="471"/>
      <c r="Y915" s="206"/>
      <c r="Z915" s="206"/>
    </row>
    <row r="916" spans="1:26">
      <c r="A916" s="406">
        <v>913</v>
      </c>
      <c r="B916" s="613" t="s">
        <v>7020</v>
      </c>
      <c r="C916" s="483" t="s">
        <v>1757</v>
      </c>
      <c r="D916" s="414" t="s">
        <v>4884</v>
      </c>
      <c r="E916" s="407" t="s">
        <v>4884</v>
      </c>
      <c r="F916" s="483"/>
      <c r="G916" s="483"/>
      <c r="H916" s="483"/>
      <c r="I916" s="483"/>
      <c r="J916" s="483"/>
      <c r="K916" s="483"/>
      <c r="L916" s="608" t="s">
        <v>4884</v>
      </c>
      <c r="M916" s="409" t="s">
        <v>4884</v>
      </c>
      <c r="N916" s="409" t="s">
        <v>4884</v>
      </c>
      <c r="O916" s="410" t="s">
        <v>4884</v>
      </c>
      <c r="P916" s="406">
        <v>913</v>
      </c>
      <c r="Q916" s="460" t="s">
        <v>1757</v>
      </c>
      <c r="R916" s="460" t="s">
        <v>1730</v>
      </c>
      <c r="S916" s="460" t="s">
        <v>1528</v>
      </c>
      <c r="T916" s="504" t="s">
        <v>1731</v>
      </c>
      <c r="U916" s="471"/>
      <c r="V916" s="471"/>
      <c r="W916" s="488"/>
      <c r="X916" s="471"/>
      <c r="Y916" s="206"/>
      <c r="Z916" s="206"/>
    </row>
    <row r="917" spans="1:26">
      <c r="A917" s="406">
        <v>914</v>
      </c>
      <c r="B917" s="613" t="s">
        <v>7020</v>
      </c>
      <c r="C917" s="483" t="s">
        <v>1758</v>
      </c>
      <c r="D917" s="414" t="s">
        <v>4884</v>
      </c>
      <c r="E917" s="407" t="s">
        <v>4884</v>
      </c>
      <c r="F917" s="483"/>
      <c r="G917" s="483"/>
      <c r="H917" s="483"/>
      <c r="I917" s="483"/>
      <c r="J917" s="483"/>
      <c r="K917" s="483"/>
      <c r="L917" s="608" t="s">
        <v>4884</v>
      </c>
      <c r="M917" s="409" t="s">
        <v>4884</v>
      </c>
      <c r="N917" s="409" t="s">
        <v>4884</v>
      </c>
      <c r="O917" s="410" t="s">
        <v>4884</v>
      </c>
      <c r="P917" s="406">
        <v>914</v>
      </c>
      <c r="Q917" s="460" t="s">
        <v>1758</v>
      </c>
      <c r="R917" s="460" t="s">
        <v>1730</v>
      </c>
      <c r="S917" s="460" t="s">
        <v>1528</v>
      </c>
      <c r="T917" s="504" t="s">
        <v>1731</v>
      </c>
      <c r="U917" s="471"/>
      <c r="V917" s="471"/>
      <c r="W917" s="488"/>
      <c r="X917" s="471"/>
      <c r="Y917" s="206"/>
      <c r="Z917" s="206"/>
    </row>
    <row r="918" spans="1:26">
      <c r="A918" s="406">
        <v>915</v>
      </c>
      <c r="B918" s="613" t="s">
        <v>7020</v>
      </c>
      <c r="C918" s="483" t="s">
        <v>1759</v>
      </c>
      <c r="D918" s="414" t="s">
        <v>4884</v>
      </c>
      <c r="E918" s="407" t="s">
        <v>4884</v>
      </c>
      <c r="F918" s="483"/>
      <c r="G918" s="483"/>
      <c r="H918" s="483"/>
      <c r="I918" s="483"/>
      <c r="J918" s="483"/>
      <c r="K918" s="483"/>
      <c r="L918" s="608" t="s">
        <v>4884</v>
      </c>
      <c r="M918" s="409" t="s">
        <v>4884</v>
      </c>
      <c r="N918" s="409" t="s">
        <v>4884</v>
      </c>
      <c r="O918" s="410" t="s">
        <v>4884</v>
      </c>
      <c r="P918" s="406">
        <v>915</v>
      </c>
      <c r="Q918" s="460" t="s">
        <v>1759</v>
      </c>
      <c r="R918" s="460" t="s">
        <v>1730</v>
      </c>
      <c r="S918" s="460" t="s">
        <v>1528</v>
      </c>
      <c r="T918" s="504" t="s">
        <v>1731</v>
      </c>
      <c r="U918" s="471"/>
      <c r="V918" s="471"/>
      <c r="W918" s="488"/>
      <c r="X918" s="471"/>
      <c r="Y918" s="206"/>
      <c r="Z918" s="206"/>
    </row>
    <row r="919" spans="1:26">
      <c r="A919" s="406">
        <v>916</v>
      </c>
      <c r="B919" s="613" t="s">
        <v>7020</v>
      </c>
      <c r="C919" s="483" t="s">
        <v>1760</v>
      </c>
      <c r="D919" s="414" t="s">
        <v>4884</v>
      </c>
      <c r="E919" s="407" t="s">
        <v>4884</v>
      </c>
      <c r="F919" s="483"/>
      <c r="G919" s="483"/>
      <c r="H919" s="483"/>
      <c r="I919" s="483"/>
      <c r="J919" s="483"/>
      <c r="K919" s="483"/>
      <c r="L919" s="608" t="s">
        <v>4884</v>
      </c>
      <c r="M919" s="409" t="s">
        <v>4884</v>
      </c>
      <c r="N919" s="409" t="s">
        <v>4884</v>
      </c>
      <c r="O919" s="410" t="s">
        <v>4884</v>
      </c>
      <c r="P919" s="406">
        <v>916</v>
      </c>
      <c r="Q919" s="460" t="s">
        <v>1760</v>
      </c>
      <c r="R919" s="460" t="s">
        <v>1730</v>
      </c>
      <c r="S919" s="460" t="s">
        <v>1528</v>
      </c>
      <c r="T919" s="504" t="s">
        <v>1731</v>
      </c>
      <c r="U919" s="471"/>
      <c r="V919" s="471"/>
      <c r="W919" s="488"/>
      <c r="X919" s="471"/>
      <c r="Y919" s="206"/>
      <c r="Z919" s="206"/>
    </row>
    <row r="920" spans="1:26">
      <c r="A920" s="406">
        <v>917</v>
      </c>
      <c r="B920" s="613" t="s">
        <v>7020</v>
      </c>
      <c r="C920" s="483" t="s">
        <v>1761</v>
      </c>
      <c r="D920" s="414" t="s">
        <v>4884</v>
      </c>
      <c r="E920" s="407" t="s">
        <v>4884</v>
      </c>
      <c r="F920" s="483"/>
      <c r="G920" s="483"/>
      <c r="H920" s="483"/>
      <c r="I920" s="483"/>
      <c r="J920" s="483"/>
      <c r="K920" s="483"/>
      <c r="L920" s="608" t="s">
        <v>4884</v>
      </c>
      <c r="M920" s="409" t="s">
        <v>4884</v>
      </c>
      <c r="N920" s="409" t="s">
        <v>4884</v>
      </c>
      <c r="O920" s="410" t="s">
        <v>4884</v>
      </c>
      <c r="P920" s="406">
        <v>917</v>
      </c>
      <c r="Q920" s="460" t="s">
        <v>1761</v>
      </c>
      <c r="R920" s="460" t="s">
        <v>1762</v>
      </c>
      <c r="S920" s="460" t="s">
        <v>1528</v>
      </c>
      <c r="T920" s="504" t="s">
        <v>1763</v>
      </c>
      <c r="U920" s="471"/>
      <c r="V920" s="471"/>
      <c r="W920" s="488"/>
      <c r="X920" s="471"/>
      <c r="Y920" s="206"/>
      <c r="Z920" s="206"/>
    </row>
    <row r="921" spans="1:26">
      <c r="A921" s="406">
        <v>918</v>
      </c>
      <c r="B921" s="613" t="s">
        <v>7020</v>
      </c>
      <c r="C921" s="483" t="s">
        <v>1764</v>
      </c>
      <c r="D921" s="414" t="s">
        <v>4884</v>
      </c>
      <c r="E921" s="407" t="s">
        <v>4884</v>
      </c>
      <c r="F921" s="483"/>
      <c r="G921" s="483"/>
      <c r="H921" s="483"/>
      <c r="I921" s="483"/>
      <c r="J921" s="483"/>
      <c r="K921" s="483"/>
      <c r="L921" s="608" t="s">
        <v>4884</v>
      </c>
      <c r="M921" s="409" t="s">
        <v>4884</v>
      </c>
      <c r="N921" s="409" t="s">
        <v>4884</v>
      </c>
      <c r="O921" s="410" t="s">
        <v>4884</v>
      </c>
      <c r="P921" s="406">
        <v>918</v>
      </c>
      <c r="Q921" s="460" t="s">
        <v>1764</v>
      </c>
      <c r="R921" s="460" t="s">
        <v>1765</v>
      </c>
      <c r="S921" s="460" t="s">
        <v>1528</v>
      </c>
      <c r="T921" s="493" t="s">
        <v>1766</v>
      </c>
      <c r="U921" s="471"/>
      <c r="V921" s="471"/>
      <c r="W921" s="488"/>
      <c r="X921" s="471"/>
      <c r="Y921" s="206"/>
      <c r="Z921" s="206"/>
    </row>
    <row r="922" spans="1:26">
      <c r="A922" s="406">
        <v>919</v>
      </c>
      <c r="B922" s="613" t="s">
        <v>7020</v>
      </c>
      <c r="C922" s="483" t="s">
        <v>1767</v>
      </c>
      <c r="D922" s="414" t="s">
        <v>4884</v>
      </c>
      <c r="E922" s="407" t="s">
        <v>4884</v>
      </c>
      <c r="F922" s="483"/>
      <c r="G922" s="483"/>
      <c r="H922" s="483"/>
      <c r="I922" s="483"/>
      <c r="J922" s="483"/>
      <c r="K922" s="483"/>
      <c r="L922" s="608" t="s">
        <v>4884</v>
      </c>
      <c r="M922" s="409" t="s">
        <v>4884</v>
      </c>
      <c r="N922" s="409" t="s">
        <v>4884</v>
      </c>
      <c r="O922" s="410" t="s">
        <v>4884</v>
      </c>
      <c r="P922" s="406">
        <v>919</v>
      </c>
      <c r="Q922" s="460" t="s">
        <v>1767</v>
      </c>
      <c r="R922" s="460" t="s">
        <v>1765</v>
      </c>
      <c r="S922" s="460" t="s">
        <v>1528</v>
      </c>
      <c r="T922" s="493" t="s">
        <v>1766</v>
      </c>
      <c r="U922" s="471"/>
      <c r="V922" s="471"/>
      <c r="W922" s="488"/>
      <c r="X922" s="471"/>
      <c r="Y922" s="206"/>
      <c r="Z922" s="206"/>
    </row>
    <row r="923" spans="1:26">
      <c r="A923" s="406">
        <v>920</v>
      </c>
      <c r="B923" s="613" t="s">
        <v>7020</v>
      </c>
      <c r="C923" s="483" t="s">
        <v>1768</v>
      </c>
      <c r="D923" s="414" t="s">
        <v>4884</v>
      </c>
      <c r="E923" s="407" t="s">
        <v>4884</v>
      </c>
      <c r="F923" s="483"/>
      <c r="G923" s="483"/>
      <c r="H923" s="483"/>
      <c r="I923" s="483"/>
      <c r="J923" s="483"/>
      <c r="K923" s="483"/>
      <c r="L923" s="608" t="s">
        <v>4884</v>
      </c>
      <c r="M923" s="409" t="s">
        <v>4884</v>
      </c>
      <c r="N923" s="409" t="s">
        <v>4884</v>
      </c>
      <c r="O923" s="410" t="s">
        <v>4884</v>
      </c>
      <c r="P923" s="406">
        <v>920</v>
      </c>
      <c r="Q923" s="460" t="s">
        <v>1768</v>
      </c>
      <c r="R923" s="460" t="s">
        <v>1765</v>
      </c>
      <c r="S923" s="460" t="s">
        <v>1528</v>
      </c>
      <c r="T923" s="493" t="s">
        <v>1766</v>
      </c>
      <c r="U923" s="471"/>
      <c r="V923" s="471"/>
      <c r="W923" s="488"/>
      <c r="X923" s="471"/>
      <c r="Y923" s="206"/>
      <c r="Z923" s="206"/>
    </row>
    <row r="924" spans="1:26">
      <c r="A924" s="406">
        <v>921</v>
      </c>
      <c r="B924" s="613" t="s">
        <v>7020</v>
      </c>
      <c r="C924" s="483" t="s">
        <v>1769</v>
      </c>
      <c r="D924" s="414" t="s">
        <v>4884</v>
      </c>
      <c r="E924" s="407" t="s">
        <v>4884</v>
      </c>
      <c r="F924" s="483"/>
      <c r="G924" s="483"/>
      <c r="H924" s="483"/>
      <c r="I924" s="483"/>
      <c r="J924" s="483"/>
      <c r="K924" s="483"/>
      <c r="L924" s="608" t="s">
        <v>4884</v>
      </c>
      <c r="M924" s="409" t="s">
        <v>4884</v>
      </c>
      <c r="N924" s="409" t="s">
        <v>4884</v>
      </c>
      <c r="O924" s="410" t="s">
        <v>4884</v>
      </c>
      <c r="P924" s="406">
        <v>921</v>
      </c>
      <c r="Q924" s="460" t="s">
        <v>1769</v>
      </c>
      <c r="R924" s="460" t="s">
        <v>1765</v>
      </c>
      <c r="S924" s="460" t="s">
        <v>1528</v>
      </c>
      <c r="T924" s="493" t="s">
        <v>1766</v>
      </c>
      <c r="U924" s="471"/>
      <c r="V924" s="471"/>
      <c r="W924" s="488"/>
      <c r="X924" s="471"/>
      <c r="Y924" s="206"/>
      <c r="Z924" s="206"/>
    </row>
    <row r="925" spans="1:26">
      <c r="A925" s="406">
        <v>922</v>
      </c>
      <c r="B925" s="613" t="s">
        <v>7020</v>
      </c>
      <c r="C925" s="483" t="s">
        <v>1770</v>
      </c>
      <c r="D925" s="414" t="s">
        <v>4884</v>
      </c>
      <c r="E925" s="407" t="s">
        <v>4884</v>
      </c>
      <c r="F925" s="483"/>
      <c r="G925" s="483"/>
      <c r="H925" s="483"/>
      <c r="I925" s="483"/>
      <c r="J925" s="483"/>
      <c r="K925" s="483"/>
      <c r="L925" s="608" t="s">
        <v>4884</v>
      </c>
      <c r="M925" s="409" t="s">
        <v>4884</v>
      </c>
      <c r="N925" s="409" t="s">
        <v>4884</v>
      </c>
      <c r="O925" s="410" t="s">
        <v>4884</v>
      </c>
      <c r="P925" s="406">
        <v>922</v>
      </c>
      <c r="Q925" s="460" t="s">
        <v>1770</v>
      </c>
      <c r="R925" s="460" t="s">
        <v>1765</v>
      </c>
      <c r="S925" s="460" t="s">
        <v>1528</v>
      </c>
      <c r="T925" s="493" t="s">
        <v>1766</v>
      </c>
      <c r="U925" s="471"/>
      <c r="V925" s="471"/>
      <c r="W925" s="488"/>
      <c r="X925" s="471"/>
      <c r="Y925" s="206"/>
      <c r="Z925" s="206"/>
    </row>
    <row r="926" spans="1:26">
      <c r="A926" s="406">
        <v>923</v>
      </c>
      <c r="B926" s="613" t="s">
        <v>7020</v>
      </c>
      <c r="C926" s="483" t="s">
        <v>1771</v>
      </c>
      <c r="D926" s="414" t="s">
        <v>4884</v>
      </c>
      <c r="E926" s="407" t="s">
        <v>4884</v>
      </c>
      <c r="F926" s="483"/>
      <c r="G926" s="483"/>
      <c r="H926" s="483"/>
      <c r="I926" s="483"/>
      <c r="J926" s="483"/>
      <c r="K926" s="483"/>
      <c r="L926" s="608" t="s">
        <v>4884</v>
      </c>
      <c r="M926" s="409" t="s">
        <v>4884</v>
      </c>
      <c r="N926" s="409" t="s">
        <v>4884</v>
      </c>
      <c r="O926" s="410" t="s">
        <v>4884</v>
      </c>
      <c r="P926" s="406">
        <v>923</v>
      </c>
      <c r="Q926" s="460" t="s">
        <v>1771</v>
      </c>
      <c r="R926" s="460" t="s">
        <v>1765</v>
      </c>
      <c r="S926" s="460" t="s">
        <v>1528</v>
      </c>
      <c r="T926" s="493" t="s">
        <v>1766</v>
      </c>
      <c r="U926" s="471"/>
      <c r="V926" s="471"/>
      <c r="W926" s="488"/>
      <c r="X926" s="471"/>
      <c r="Y926" s="206"/>
      <c r="Z926" s="206"/>
    </row>
    <row r="927" spans="1:26">
      <c r="A927" s="406">
        <v>924</v>
      </c>
      <c r="B927" s="613" t="s">
        <v>7020</v>
      </c>
      <c r="C927" s="483" t="s">
        <v>1772</v>
      </c>
      <c r="D927" s="414" t="s">
        <v>4884</v>
      </c>
      <c r="E927" s="407" t="s">
        <v>4884</v>
      </c>
      <c r="F927" s="483"/>
      <c r="G927" s="483"/>
      <c r="H927" s="483"/>
      <c r="I927" s="483"/>
      <c r="J927" s="483"/>
      <c r="K927" s="483"/>
      <c r="L927" s="608" t="s">
        <v>4884</v>
      </c>
      <c r="M927" s="409" t="s">
        <v>4884</v>
      </c>
      <c r="N927" s="409" t="s">
        <v>4884</v>
      </c>
      <c r="O927" s="410" t="s">
        <v>4884</v>
      </c>
      <c r="P927" s="406">
        <v>924</v>
      </c>
      <c r="Q927" s="460" t="s">
        <v>1772</v>
      </c>
      <c r="R927" s="460" t="s">
        <v>1765</v>
      </c>
      <c r="S927" s="460" t="s">
        <v>1528</v>
      </c>
      <c r="T927" s="493" t="s">
        <v>1766</v>
      </c>
      <c r="U927" s="471"/>
      <c r="V927" s="471"/>
      <c r="W927" s="488"/>
      <c r="X927" s="471"/>
      <c r="Y927" s="206"/>
      <c r="Z927" s="206"/>
    </row>
    <row r="928" spans="1:26">
      <c r="A928" s="406">
        <v>925</v>
      </c>
      <c r="B928" s="613" t="s">
        <v>7020</v>
      </c>
      <c r="C928" s="483" t="s">
        <v>1773</v>
      </c>
      <c r="D928" s="414" t="s">
        <v>4884</v>
      </c>
      <c r="E928" s="407" t="s">
        <v>4884</v>
      </c>
      <c r="F928" s="483"/>
      <c r="G928" s="483"/>
      <c r="H928" s="483"/>
      <c r="I928" s="483"/>
      <c r="J928" s="483"/>
      <c r="K928" s="483"/>
      <c r="L928" s="608" t="s">
        <v>4884</v>
      </c>
      <c r="M928" s="409" t="s">
        <v>4884</v>
      </c>
      <c r="N928" s="409" t="s">
        <v>4884</v>
      </c>
      <c r="O928" s="410" t="s">
        <v>4884</v>
      </c>
      <c r="P928" s="406">
        <v>925</v>
      </c>
      <c r="Q928" s="460" t="s">
        <v>1773</v>
      </c>
      <c r="R928" s="460" t="s">
        <v>1774</v>
      </c>
      <c r="S928" s="460" t="s">
        <v>1528</v>
      </c>
      <c r="T928" s="493" t="s">
        <v>1775</v>
      </c>
      <c r="U928" s="471"/>
      <c r="V928" s="471"/>
      <c r="W928" s="488"/>
      <c r="X928" s="471"/>
      <c r="Y928" s="206"/>
      <c r="Z928" s="206"/>
    </row>
    <row r="929" spans="1:26">
      <c r="A929" s="406">
        <v>926</v>
      </c>
      <c r="B929" s="613" t="s">
        <v>7020</v>
      </c>
      <c r="C929" s="483" t="s">
        <v>1776</v>
      </c>
      <c r="D929" s="414" t="s">
        <v>4884</v>
      </c>
      <c r="E929" s="407" t="s">
        <v>4884</v>
      </c>
      <c r="F929" s="483"/>
      <c r="G929" s="483"/>
      <c r="H929" s="483"/>
      <c r="I929" s="483"/>
      <c r="J929" s="483"/>
      <c r="K929" s="483"/>
      <c r="L929" s="608" t="s">
        <v>4884</v>
      </c>
      <c r="M929" s="409" t="s">
        <v>4884</v>
      </c>
      <c r="N929" s="409" t="s">
        <v>4884</v>
      </c>
      <c r="O929" s="410" t="s">
        <v>4884</v>
      </c>
      <c r="P929" s="406">
        <v>926</v>
      </c>
      <c r="Q929" s="460" t="s">
        <v>1776</v>
      </c>
      <c r="R929" s="460" t="s">
        <v>1777</v>
      </c>
      <c r="S929" s="460" t="s">
        <v>1528</v>
      </c>
      <c r="T929" s="484" t="s">
        <v>1535</v>
      </c>
      <c r="U929" s="471"/>
      <c r="V929" s="471"/>
      <c r="W929" s="488"/>
      <c r="X929" s="471"/>
      <c r="Y929" s="206"/>
      <c r="Z929" s="206"/>
    </row>
    <row r="930" spans="1:26">
      <c r="A930" s="406">
        <v>927</v>
      </c>
      <c r="B930" s="613" t="s">
        <v>7020</v>
      </c>
      <c r="C930" s="483" t="s">
        <v>1778</v>
      </c>
      <c r="D930" s="414" t="s">
        <v>4884</v>
      </c>
      <c r="E930" s="407" t="s">
        <v>4884</v>
      </c>
      <c r="F930" s="483"/>
      <c r="G930" s="483"/>
      <c r="H930" s="483"/>
      <c r="I930" s="483"/>
      <c r="J930" s="483"/>
      <c r="K930" s="483"/>
      <c r="L930" s="608" t="s">
        <v>4884</v>
      </c>
      <c r="M930" s="409" t="s">
        <v>4884</v>
      </c>
      <c r="N930" s="409" t="s">
        <v>4884</v>
      </c>
      <c r="O930" s="410" t="s">
        <v>4884</v>
      </c>
      <c r="P930" s="406">
        <v>927</v>
      </c>
      <c r="Q930" s="460" t="s">
        <v>1778</v>
      </c>
      <c r="R930" s="460" t="s">
        <v>1777</v>
      </c>
      <c r="S930" s="460" t="s">
        <v>1528</v>
      </c>
      <c r="T930" s="484" t="s">
        <v>1535</v>
      </c>
      <c r="U930" s="471"/>
      <c r="V930" s="471"/>
      <c r="W930" s="488"/>
      <c r="X930" s="471"/>
      <c r="Y930" s="206"/>
      <c r="Z930" s="206"/>
    </row>
    <row r="931" spans="1:26">
      <c r="A931" s="406">
        <v>928</v>
      </c>
      <c r="B931" s="613" t="s">
        <v>7020</v>
      </c>
      <c r="C931" s="483" t="s">
        <v>1779</v>
      </c>
      <c r="D931" s="414" t="s">
        <v>4884</v>
      </c>
      <c r="E931" s="407" t="s">
        <v>4884</v>
      </c>
      <c r="F931" s="483"/>
      <c r="G931" s="483"/>
      <c r="H931" s="483"/>
      <c r="I931" s="483"/>
      <c r="J931" s="483"/>
      <c r="K931" s="483"/>
      <c r="L931" s="608" t="s">
        <v>4884</v>
      </c>
      <c r="M931" s="409" t="s">
        <v>4884</v>
      </c>
      <c r="N931" s="409" t="s">
        <v>4884</v>
      </c>
      <c r="O931" s="410" t="s">
        <v>4884</v>
      </c>
      <c r="P931" s="406">
        <v>928</v>
      </c>
      <c r="Q931" s="460" t="s">
        <v>1779</v>
      </c>
      <c r="R931" s="460" t="s">
        <v>1780</v>
      </c>
      <c r="S931" s="460" t="s">
        <v>1528</v>
      </c>
      <c r="T931" s="484" t="s">
        <v>1535</v>
      </c>
      <c r="U931" s="471"/>
      <c r="V931" s="471"/>
      <c r="W931" s="488"/>
      <c r="X931" s="471"/>
      <c r="Y931" s="206"/>
      <c r="Z931" s="206"/>
    </row>
    <row r="932" spans="1:26">
      <c r="A932" s="406">
        <v>929</v>
      </c>
      <c r="B932" s="613" t="s">
        <v>7020</v>
      </c>
      <c r="C932" s="483" t="s">
        <v>1781</v>
      </c>
      <c r="D932" s="414" t="s">
        <v>4884</v>
      </c>
      <c r="E932" s="407" t="s">
        <v>4884</v>
      </c>
      <c r="F932" s="483"/>
      <c r="G932" s="483"/>
      <c r="H932" s="483"/>
      <c r="I932" s="483"/>
      <c r="J932" s="483"/>
      <c r="K932" s="483"/>
      <c r="L932" s="608" t="s">
        <v>4884</v>
      </c>
      <c r="M932" s="409" t="s">
        <v>4884</v>
      </c>
      <c r="N932" s="409" t="s">
        <v>4884</v>
      </c>
      <c r="O932" s="410" t="s">
        <v>4884</v>
      </c>
      <c r="P932" s="406">
        <v>929</v>
      </c>
      <c r="Q932" s="460" t="s">
        <v>1781</v>
      </c>
      <c r="R932" s="460" t="s">
        <v>1780</v>
      </c>
      <c r="S932" s="460" t="s">
        <v>1528</v>
      </c>
      <c r="T932" s="484" t="s">
        <v>1535</v>
      </c>
      <c r="U932" s="471"/>
      <c r="V932" s="471"/>
      <c r="W932" s="488"/>
      <c r="X932" s="471"/>
      <c r="Y932" s="206"/>
      <c r="Z932" s="206"/>
    </row>
    <row r="933" spans="1:26">
      <c r="A933" s="406">
        <v>930</v>
      </c>
      <c r="B933" s="613" t="s">
        <v>7020</v>
      </c>
      <c r="C933" s="483" t="s">
        <v>1782</v>
      </c>
      <c r="D933" s="414" t="s">
        <v>4884</v>
      </c>
      <c r="E933" s="407" t="s">
        <v>4884</v>
      </c>
      <c r="F933" s="483"/>
      <c r="G933" s="483"/>
      <c r="H933" s="483"/>
      <c r="I933" s="483"/>
      <c r="J933" s="483"/>
      <c r="K933" s="483"/>
      <c r="L933" s="608" t="s">
        <v>4884</v>
      </c>
      <c r="M933" s="409" t="s">
        <v>4884</v>
      </c>
      <c r="N933" s="409" t="s">
        <v>4884</v>
      </c>
      <c r="O933" s="410" t="s">
        <v>4884</v>
      </c>
      <c r="P933" s="406">
        <v>930</v>
      </c>
      <c r="Q933" s="460" t="s">
        <v>1782</v>
      </c>
      <c r="R933" s="460" t="s">
        <v>1780</v>
      </c>
      <c r="S933" s="460" t="s">
        <v>1528</v>
      </c>
      <c r="T933" s="484" t="s">
        <v>1535</v>
      </c>
      <c r="U933" s="471"/>
      <c r="V933" s="471"/>
      <c r="W933" s="488"/>
      <c r="X933" s="471"/>
      <c r="Y933" s="206"/>
      <c r="Z933" s="206"/>
    </row>
    <row r="934" spans="1:26">
      <c r="A934" s="406">
        <v>931</v>
      </c>
      <c r="B934" s="613" t="s">
        <v>7020</v>
      </c>
      <c r="C934" s="483" t="s">
        <v>1783</v>
      </c>
      <c r="D934" s="414" t="s">
        <v>4884</v>
      </c>
      <c r="E934" s="407" t="s">
        <v>4884</v>
      </c>
      <c r="F934" s="483"/>
      <c r="G934" s="483"/>
      <c r="H934" s="483"/>
      <c r="I934" s="483"/>
      <c r="J934" s="483"/>
      <c r="K934" s="483"/>
      <c r="L934" s="608" t="s">
        <v>4884</v>
      </c>
      <c r="M934" s="409" t="s">
        <v>4884</v>
      </c>
      <c r="N934" s="409" t="s">
        <v>4884</v>
      </c>
      <c r="O934" s="410" t="s">
        <v>4884</v>
      </c>
      <c r="P934" s="406">
        <v>931</v>
      </c>
      <c r="Q934" s="460" t="s">
        <v>1783</v>
      </c>
      <c r="R934" s="460" t="s">
        <v>1780</v>
      </c>
      <c r="S934" s="460" t="s">
        <v>1528</v>
      </c>
      <c r="T934" s="484" t="s">
        <v>1535</v>
      </c>
      <c r="U934" s="471"/>
      <c r="V934" s="471"/>
      <c r="W934" s="488"/>
      <c r="X934" s="471"/>
      <c r="Y934" s="206"/>
      <c r="Z934" s="206"/>
    </row>
    <row r="935" spans="1:26">
      <c r="A935" s="406">
        <v>932</v>
      </c>
      <c r="B935" s="613" t="s">
        <v>7020</v>
      </c>
      <c r="C935" s="483" t="s">
        <v>1784</v>
      </c>
      <c r="D935" s="414" t="s">
        <v>4884</v>
      </c>
      <c r="E935" s="407" t="s">
        <v>4884</v>
      </c>
      <c r="F935" s="483"/>
      <c r="G935" s="483"/>
      <c r="H935" s="483"/>
      <c r="I935" s="483"/>
      <c r="J935" s="483"/>
      <c r="K935" s="483"/>
      <c r="L935" s="608" t="s">
        <v>4884</v>
      </c>
      <c r="M935" s="409" t="s">
        <v>4884</v>
      </c>
      <c r="N935" s="409" t="s">
        <v>4884</v>
      </c>
      <c r="O935" s="410" t="s">
        <v>4884</v>
      </c>
      <c r="P935" s="406">
        <v>932</v>
      </c>
      <c r="Q935" s="460" t="s">
        <v>1784</v>
      </c>
      <c r="R935" s="460" t="s">
        <v>1780</v>
      </c>
      <c r="S935" s="460" t="s">
        <v>1528</v>
      </c>
      <c r="T935" s="484" t="s">
        <v>1535</v>
      </c>
      <c r="U935" s="471"/>
      <c r="V935" s="471"/>
      <c r="W935" s="488"/>
      <c r="X935" s="471"/>
      <c r="Y935" s="206"/>
      <c r="Z935" s="206"/>
    </row>
    <row r="936" spans="1:26">
      <c r="A936" s="406">
        <v>933</v>
      </c>
      <c r="B936" s="613" t="s">
        <v>7020</v>
      </c>
      <c r="C936" s="483" t="s">
        <v>1785</v>
      </c>
      <c r="D936" s="414" t="s">
        <v>4884</v>
      </c>
      <c r="E936" s="407" t="s">
        <v>4884</v>
      </c>
      <c r="F936" s="483"/>
      <c r="G936" s="483"/>
      <c r="H936" s="483"/>
      <c r="I936" s="483"/>
      <c r="J936" s="483"/>
      <c r="K936" s="483"/>
      <c r="L936" s="608" t="s">
        <v>4884</v>
      </c>
      <c r="M936" s="409" t="s">
        <v>4884</v>
      </c>
      <c r="N936" s="409" t="s">
        <v>4884</v>
      </c>
      <c r="O936" s="410" t="s">
        <v>4884</v>
      </c>
      <c r="P936" s="406">
        <v>933</v>
      </c>
      <c r="Q936" s="460" t="s">
        <v>1785</v>
      </c>
      <c r="R936" s="460" t="s">
        <v>1786</v>
      </c>
      <c r="S936" s="460" t="s">
        <v>1528</v>
      </c>
      <c r="T936" s="507" t="s">
        <v>1787</v>
      </c>
      <c r="U936" s="471"/>
      <c r="V936" s="471"/>
      <c r="W936" s="488"/>
      <c r="X936" s="471"/>
      <c r="Y936" s="206"/>
      <c r="Z936" s="206"/>
    </row>
    <row r="937" spans="1:26">
      <c r="A937" s="406">
        <v>934</v>
      </c>
      <c r="B937" s="613" t="s">
        <v>7020</v>
      </c>
      <c r="C937" s="483" t="s">
        <v>1788</v>
      </c>
      <c r="D937" s="414" t="s">
        <v>4884</v>
      </c>
      <c r="E937" s="407" t="s">
        <v>4884</v>
      </c>
      <c r="F937" s="483"/>
      <c r="G937" s="483"/>
      <c r="H937" s="483"/>
      <c r="I937" s="483"/>
      <c r="J937" s="483"/>
      <c r="K937" s="483"/>
      <c r="L937" s="608" t="s">
        <v>4884</v>
      </c>
      <c r="M937" s="409" t="s">
        <v>4884</v>
      </c>
      <c r="N937" s="409" t="s">
        <v>4884</v>
      </c>
      <c r="O937" s="410" t="s">
        <v>4884</v>
      </c>
      <c r="P937" s="406">
        <v>934</v>
      </c>
      <c r="Q937" s="460" t="s">
        <v>1788</v>
      </c>
      <c r="R937" s="460" t="s">
        <v>1789</v>
      </c>
      <c r="S937" s="460" t="s">
        <v>1528</v>
      </c>
      <c r="T937" s="508" t="s">
        <v>1790</v>
      </c>
      <c r="U937" s="471"/>
      <c r="V937" s="471"/>
      <c r="W937" s="488"/>
      <c r="X937" s="471"/>
      <c r="Y937" s="206"/>
      <c r="Z937" s="206"/>
    </row>
    <row r="938" spans="1:26">
      <c r="A938" s="406">
        <v>935</v>
      </c>
      <c r="B938" s="613" t="s">
        <v>7020</v>
      </c>
      <c r="C938" s="483" t="s">
        <v>1791</v>
      </c>
      <c r="D938" s="414" t="s">
        <v>4884</v>
      </c>
      <c r="E938" s="407" t="s">
        <v>4884</v>
      </c>
      <c r="F938" s="483"/>
      <c r="G938" s="483"/>
      <c r="H938" s="483"/>
      <c r="I938" s="483"/>
      <c r="J938" s="483"/>
      <c r="K938" s="483"/>
      <c r="L938" s="608" t="s">
        <v>4884</v>
      </c>
      <c r="M938" s="409" t="s">
        <v>4884</v>
      </c>
      <c r="N938" s="409" t="s">
        <v>4884</v>
      </c>
      <c r="O938" s="410" t="s">
        <v>4884</v>
      </c>
      <c r="P938" s="406">
        <v>935</v>
      </c>
      <c r="Q938" s="460" t="s">
        <v>1791</v>
      </c>
      <c r="R938" s="460" t="s">
        <v>1789</v>
      </c>
      <c r="S938" s="460" t="s">
        <v>1528</v>
      </c>
      <c r="T938" s="508" t="s">
        <v>1790</v>
      </c>
      <c r="U938" s="471"/>
      <c r="V938" s="471"/>
      <c r="W938" s="488"/>
      <c r="X938" s="471"/>
      <c r="Y938" s="206"/>
      <c r="Z938" s="206"/>
    </row>
    <row r="939" spans="1:26">
      <c r="A939" s="406">
        <v>936</v>
      </c>
      <c r="B939" s="613" t="s">
        <v>7020</v>
      </c>
      <c r="C939" s="483" t="s">
        <v>1792</v>
      </c>
      <c r="D939" s="414" t="s">
        <v>4884</v>
      </c>
      <c r="E939" s="407" t="s">
        <v>4884</v>
      </c>
      <c r="F939" s="483"/>
      <c r="G939" s="483"/>
      <c r="H939" s="483"/>
      <c r="I939" s="483"/>
      <c r="J939" s="483"/>
      <c r="K939" s="483"/>
      <c r="L939" s="608" t="s">
        <v>4884</v>
      </c>
      <c r="M939" s="409" t="s">
        <v>4884</v>
      </c>
      <c r="N939" s="409" t="s">
        <v>4884</v>
      </c>
      <c r="O939" s="410" t="s">
        <v>4884</v>
      </c>
      <c r="P939" s="406">
        <v>936</v>
      </c>
      <c r="Q939" s="460" t="s">
        <v>1792</v>
      </c>
      <c r="R939" s="460" t="s">
        <v>1789</v>
      </c>
      <c r="S939" s="460" t="s">
        <v>1528</v>
      </c>
      <c r="T939" s="508" t="s">
        <v>1790</v>
      </c>
      <c r="U939" s="471"/>
      <c r="V939" s="471"/>
      <c r="W939" s="488"/>
      <c r="X939" s="471"/>
      <c r="Y939" s="206"/>
      <c r="Z939" s="206"/>
    </row>
    <row r="940" spans="1:26">
      <c r="A940" s="406">
        <v>937</v>
      </c>
      <c r="B940" s="613" t="s">
        <v>7020</v>
      </c>
      <c r="C940" s="483" t="s">
        <v>1793</v>
      </c>
      <c r="D940" s="414" t="s">
        <v>4884</v>
      </c>
      <c r="E940" s="407" t="s">
        <v>4884</v>
      </c>
      <c r="F940" s="483"/>
      <c r="G940" s="483"/>
      <c r="H940" s="483"/>
      <c r="I940" s="483"/>
      <c r="J940" s="483"/>
      <c r="K940" s="483"/>
      <c r="L940" s="608" t="s">
        <v>4884</v>
      </c>
      <c r="M940" s="409" t="s">
        <v>4884</v>
      </c>
      <c r="N940" s="409" t="s">
        <v>4884</v>
      </c>
      <c r="O940" s="410" t="s">
        <v>4884</v>
      </c>
      <c r="P940" s="406">
        <v>937</v>
      </c>
      <c r="Q940" s="460" t="s">
        <v>1793</v>
      </c>
      <c r="R940" s="460" t="s">
        <v>1794</v>
      </c>
      <c r="S940" s="460" t="s">
        <v>1528</v>
      </c>
      <c r="T940" s="486" t="s">
        <v>1795</v>
      </c>
      <c r="U940" s="471"/>
      <c r="V940" s="471"/>
      <c r="W940" s="488"/>
      <c r="X940" s="471"/>
      <c r="Y940" s="206"/>
      <c r="Z940" s="206"/>
    </row>
    <row r="941" spans="1:26">
      <c r="A941" s="406">
        <v>938</v>
      </c>
      <c r="B941" s="613" t="s">
        <v>7020</v>
      </c>
      <c r="C941" s="483" t="s">
        <v>1796</v>
      </c>
      <c r="D941" s="414" t="s">
        <v>4884</v>
      </c>
      <c r="E941" s="407" t="s">
        <v>4884</v>
      </c>
      <c r="F941" s="483"/>
      <c r="G941" s="483"/>
      <c r="H941" s="483"/>
      <c r="I941" s="483"/>
      <c r="J941" s="483"/>
      <c r="K941" s="483"/>
      <c r="L941" s="608" t="s">
        <v>4884</v>
      </c>
      <c r="M941" s="409" t="s">
        <v>4884</v>
      </c>
      <c r="N941" s="409" t="s">
        <v>4884</v>
      </c>
      <c r="O941" s="410" t="s">
        <v>4884</v>
      </c>
      <c r="P941" s="406">
        <v>938</v>
      </c>
      <c r="Q941" s="460" t="s">
        <v>1796</v>
      </c>
      <c r="R941" s="460" t="s">
        <v>1797</v>
      </c>
      <c r="S941" s="460" t="s">
        <v>1528</v>
      </c>
      <c r="T941" s="509" t="s">
        <v>1798</v>
      </c>
      <c r="U941" s="471"/>
      <c r="V941" s="471"/>
      <c r="W941" s="488"/>
      <c r="X941" s="471"/>
      <c r="Y941" s="206"/>
      <c r="Z941" s="206"/>
    </row>
    <row r="942" spans="1:26">
      <c r="A942" s="406">
        <v>939</v>
      </c>
      <c r="B942" s="613" t="s">
        <v>7020</v>
      </c>
      <c r="C942" s="483" t="s">
        <v>1799</v>
      </c>
      <c r="D942" s="414" t="s">
        <v>4884</v>
      </c>
      <c r="E942" s="407" t="s">
        <v>4884</v>
      </c>
      <c r="F942" s="483"/>
      <c r="G942" s="483"/>
      <c r="H942" s="483"/>
      <c r="I942" s="483"/>
      <c r="J942" s="483"/>
      <c r="K942" s="483"/>
      <c r="L942" s="608" t="s">
        <v>4884</v>
      </c>
      <c r="M942" s="409" t="s">
        <v>4884</v>
      </c>
      <c r="N942" s="409" t="s">
        <v>4884</v>
      </c>
      <c r="O942" s="410" t="s">
        <v>4884</v>
      </c>
      <c r="P942" s="406">
        <v>939</v>
      </c>
      <c r="Q942" s="460" t="s">
        <v>1799</v>
      </c>
      <c r="R942" s="460" t="s">
        <v>1800</v>
      </c>
      <c r="S942" s="460" t="s">
        <v>1528</v>
      </c>
      <c r="T942" s="509" t="s">
        <v>1798</v>
      </c>
      <c r="U942" s="471"/>
      <c r="V942" s="471"/>
      <c r="W942" s="488"/>
      <c r="X942" s="471"/>
      <c r="Y942" s="206"/>
      <c r="Z942" s="206"/>
    </row>
    <row r="943" spans="1:26">
      <c r="A943" s="406">
        <v>940</v>
      </c>
      <c r="B943" s="613" t="s">
        <v>7020</v>
      </c>
      <c r="C943" s="483" t="s">
        <v>1801</v>
      </c>
      <c r="D943" s="414" t="s">
        <v>4884</v>
      </c>
      <c r="E943" s="407" t="s">
        <v>4884</v>
      </c>
      <c r="F943" s="483"/>
      <c r="G943" s="483"/>
      <c r="H943" s="483"/>
      <c r="I943" s="483"/>
      <c r="J943" s="483"/>
      <c r="K943" s="483"/>
      <c r="L943" s="608" t="s">
        <v>4884</v>
      </c>
      <c r="M943" s="409" t="s">
        <v>4884</v>
      </c>
      <c r="N943" s="409" t="s">
        <v>4884</v>
      </c>
      <c r="O943" s="410" t="s">
        <v>4884</v>
      </c>
      <c r="P943" s="406">
        <v>940</v>
      </c>
      <c r="Q943" s="460" t="s">
        <v>1801</v>
      </c>
      <c r="R943" s="460" t="s">
        <v>1802</v>
      </c>
      <c r="S943" s="460" t="s">
        <v>1528</v>
      </c>
      <c r="T943" s="509" t="s">
        <v>1798</v>
      </c>
      <c r="U943" s="471"/>
      <c r="V943" s="471"/>
      <c r="W943" s="488"/>
      <c r="X943" s="471"/>
      <c r="Y943" s="206"/>
      <c r="Z943" s="206"/>
    </row>
    <row r="944" spans="1:26">
      <c r="A944" s="406">
        <v>941</v>
      </c>
      <c r="B944" s="613" t="s">
        <v>7020</v>
      </c>
      <c r="C944" s="483" t="s">
        <v>1803</v>
      </c>
      <c r="D944" s="414" t="s">
        <v>4884</v>
      </c>
      <c r="E944" s="407" t="s">
        <v>4884</v>
      </c>
      <c r="F944" s="483"/>
      <c r="G944" s="483"/>
      <c r="H944" s="483"/>
      <c r="I944" s="483"/>
      <c r="J944" s="483"/>
      <c r="K944" s="483"/>
      <c r="L944" s="608" t="s">
        <v>4884</v>
      </c>
      <c r="M944" s="409" t="s">
        <v>4884</v>
      </c>
      <c r="N944" s="409" t="s">
        <v>4884</v>
      </c>
      <c r="O944" s="410" t="s">
        <v>4884</v>
      </c>
      <c r="P944" s="406">
        <v>941</v>
      </c>
      <c r="Q944" s="460" t="s">
        <v>1803</v>
      </c>
      <c r="R944" s="460" t="s">
        <v>1804</v>
      </c>
      <c r="S944" s="460" t="s">
        <v>1528</v>
      </c>
      <c r="T944" s="509" t="s">
        <v>1798</v>
      </c>
      <c r="U944" s="471"/>
      <c r="V944" s="471"/>
      <c r="W944" s="488"/>
      <c r="X944" s="471"/>
      <c r="Y944" s="206"/>
      <c r="Z944" s="206"/>
    </row>
    <row r="945" spans="1:26" ht="15" thickBot="1">
      <c r="A945" s="406">
        <v>942</v>
      </c>
      <c r="B945" s="613" t="s">
        <v>7020</v>
      </c>
      <c r="C945" s="483" t="s">
        <v>1805</v>
      </c>
      <c r="D945" s="414" t="s">
        <v>4884</v>
      </c>
      <c r="E945" s="407" t="s">
        <v>4884</v>
      </c>
      <c r="F945" s="483"/>
      <c r="G945" s="483"/>
      <c r="H945" s="483"/>
      <c r="I945" s="483"/>
      <c r="J945" s="483"/>
      <c r="K945" s="483"/>
      <c r="L945" s="608" t="s">
        <v>4884</v>
      </c>
      <c r="M945" s="409" t="s">
        <v>4884</v>
      </c>
      <c r="N945" s="409" t="s">
        <v>4884</v>
      </c>
      <c r="O945" s="410" t="s">
        <v>4884</v>
      </c>
      <c r="P945" s="406">
        <v>942</v>
      </c>
      <c r="Q945" s="460" t="s">
        <v>1805</v>
      </c>
      <c r="R945" s="460" t="s">
        <v>1806</v>
      </c>
      <c r="S945" s="460" t="s">
        <v>1528</v>
      </c>
      <c r="T945" s="509" t="s">
        <v>1798</v>
      </c>
      <c r="U945" s="471"/>
      <c r="V945" s="471"/>
      <c r="W945" s="488"/>
      <c r="X945" s="471"/>
      <c r="Y945" s="206"/>
      <c r="Z945" s="206"/>
    </row>
    <row r="946" spans="1:26" ht="15" thickBot="1">
      <c r="A946" s="406">
        <v>943</v>
      </c>
      <c r="B946" s="613" t="s">
        <v>7020</v>
      </c>
      <c r="C946" s="483" t="s">
        <v>1807</v>
      </c>
      <c r="D946" s="414" t="s">
        <v>4884</v>
      </c>
      <c r="E946" s="407" t="s">
        <v>4884</v>
      </c>
      <c r="F946" s="483"/>
      <c r="G946" s="483"/>
      <c r="H946" s="483"/>
      <c r="I946" s="483"/>
      <c r="J946" s="483"/>
      <c r="K946" s="483"/>
      <c r="L946" s="608" t="s">
        <v>4884</v>
      </c>
      <c r="M946" s="409" t="s">
        <v>4884</v>
      </c>
      <c r="N946" s="409" t="s">
        <v>4884</v>
      </c>
      <c r="O946" s="410" t="s">
        <v>4884</v>
      </c>
      <c r="P946" s="406">
        <v>943</v>
      </c>
      <c r="Q946" s="535" t="s">
        <v>1807</v>
      </c>
      <c r="R946" s="535" t="s">
        <v>1808</v>
      </c>
      <c r="S946" s="535" t="s">
        <v>1528</v>
      </c>
      <c r="T946" s="537" t="s">
        <v>1809</v>
      </c>
      <c r="U946" s="471"/>
      <c r="V946" s="471"/>
      <c r="W946" s="488"/>
      <c r="X946" s="471"/>
      <c r="Y946" s="206"/>
      <c r="Z946" s="206"/>
    </row>
    <row r="947" spans="1:26">
      <c r="A947" s="406">
        <v>944</v>
      </c>
      <c r="B947" s="613" t="s">
        <v>7020</v>
      </c>
      <c r="C947" s="483" t="s">
        <v>1810</v>
      </c>
      <c r="D947" s="414" t="s">
        <v>4884</v>
      </c>
      <c r="E947" s="407" t="s">
        <v>4884</v>
      </c>
      <c r="F947" s="483"/>
      <c r="G947" s="483"/>
      <c r="H947" s="483"/>
      <c r="I947" s="483"/>
      <c r="J947" s="483"/>
      <c r="K947" s="483"/>
      <c r="L947" s="608" t="s">
        <v>4884</v>
      </c>
      <c r="M947" s="409" t="s">
        <v>4884</v>
      </c>
      <c r="N947" s="409" t="s">
        <v>4884</v>
      </c>
      <c r="O947" s="410" t="s">
        <v>4884</v>
      </c>
      <c r="P947" s="406">
        <v>944</v>
      </c>
      <c r="Q947" s="460" t="s">
        <v>1810</v>
      </c>
      <c r="R947" s="460" t="s">
        <v>1811</v>
      </c>
      <c r="S947" s="460" t="s">
        <v>1528</v>
      </c>
      <c r="T947" s="509" t="s">
        <v>1798</v>
      </c>
      <c r="U947" s="471"/>
      <c r="V947" s="471"/>
      <c r="W947" s="488"/>
      <c r="X947" s="471"/>
      <c r="Y947" s="206"/>
      <c r="Z947" s="206"/>
    </row>
    <row r="948" spans="1:26">
      <c r="A948" s="406">
        <v>945</v>
      </c>
      <c r="B948" s="613" t="s">
        <v>7020</v>
      </c>
      <c r="C948" s="483" t="s">
        <v>1812</v>
      </c>
      <c r="D948" s="414" t="s">
        <v>4884</v>
      </c>
      <c r="E948" s="407" t="s">
        <v>4884</v>
      </c>
      <c r="F948" s="483"/>
      <c r="G948" s="483"/>
      <c r="H948" s="483"/>
      <c r="I948" s="483"/>
      <c r="J948" s="483"/>
      <c r="K948" s="483"/>
      <c r="L948" s="608" t="s">
        <v>4884</v>
      </c>
      <c r="M948" s="409" t="s">
        <v>4884</v>
      </c>
      <c r="N948" s="409" t="s">
        <v>4884</v>
      </c>
      <c r="O948" s="410" t="s">
        <v>4884</v>
      </c>
      <c r="P948" s="406">
        <v>945</v>
      </c>
      <c r="Q948" s="460" t="s">
        <v>1812</v>
      </c>
      <c r="R948" s="460" t="s">
        <v>1813</v>
      </c>
      <c r="S948" s="460" t="s">
        <v>1528</v>
      </c>
      <c r="T948" s="486" t="s">
        <v>1795</v>
      </c>
      <c r="U948" s="471"/>
      <c r="V948" s="471"/>
      <c r="W948" s="488"/>
      <c r="X948" s="471"/>
      <c r="Y948" s="206"/>
      <c r="Z948" s="206"/>
    </row>
    <row r="949" spans="1:26">
      <c r="A949" s="406">
        <v>946</v>
      </c>
      <c r="B949" s="613" t="s">
        <v>7020</v>
      </c>
      <c r="C949" s="483" t="s">
        <v>1814</v>
      </c>
      <c r="D949" s="414" t="s">
        <v>4884</v>
      </c>
      <c r="E949" s="407" t="s">
        <v>4884</v>
      </c>
      <c r="F949" s="483"/>
      <c r="G949" s="483"/>
      <c r="H949" s="483"/>
      <c r="I949" s="483"/>
      <c r="J949" s="483"/>
      <c r="K949" s="483"/>
      <c r="L949" s="608" t="s">
        <v>4884</v>
      </c>
      <c r="M949" s="409" t="s">
        <v>4884</v>
      </c>
      <c r="N949" s="409" t="s">
        <v>4884</v>
      </c>
      <c r="O949" s="410" t="s">
        <v>4884</v>
      </c>
      <c r="P949" s="406">
        <v>946</v>
      </c>
      <c r="Q949" s="460" t="s">
        <v>1814</v>
      </c>
      <c r="R949" s="460" t="s">
        <v>1815</v>
      </c>
      <c r="S949" s="460" t="s">
        <v>1528</v>
      </c>
      <c r="T949" s="484" t="s">
        <v>1535</v>
      </c>
      <c r="U949" s="471"/>
      <c r="V949" s="471"/>
      <c r="W949" s="488"/>
      <c r="X949" s="471"/>
      <c r="Y949" s="206"/>
      <c r="Z949" s="206"/>
    </row>
    <row r="950" spans="1:26">
      <c r="A950" s="406">
        <v>947</v>
      </c>
      <c r="B950" s="613" t="s">
        <v>7020</v>
      </c>
      <c r="C950" s="483" t="s">
        <v>1816</v>
      </c>
      <c r="D950" s="414" t="s">
        <v>4884</v>
      </c>
      <c r="E950" s="407" t="s">
        <v>4884</v>
      </c>
      <c r="F950" s="483"/>
      <c r="G950" s="483"/>
      <c r="H950" s="483"/>
      <c r="I950" s="483"/>
      <c r="J950" s="483"/>
      <c r="K950" s="483"/>
      <c r="L950" s="608" t="s">
        <v>4884</v>
      </c>
      <c r="M950" s="409" t="s">
        <v>4884</v>
      </c>
      <c r="N950" s="409" t="s">
        <v>4884</v>
      </c>
      <c r="O950" s="410" t="s">
        <v>4884</v>
      </c>
      <c r="P950" s="406">
        <v>947</v>
      </c>
      <c r="Q950" s="460" t="s">
        <v>1816</v>
      </c>
      <c r="R950" s="460" t="s">
        <v>1815</v>
      </c>
      <c r="S950" s="460" t="s">
        <v>1528</v>
      </c>
      <c r="T950" s="484" t="s">
        <v>1535</v>
      </c>
      <c r="U950" s="471"/>
      <c r="V950" s="471"/>
      <c r="W950" s="488"/>
      <c r="X950" s="471"/>
      <c r="Y950" s="206"/>
      <c r="Z950" s="206"/>
    </row>
    <row r="951" spans="1:26">
      <c r="A951" s="406">
        <v>948</v>
      </c>
      <c r="B951" s="613" t="s">
        <v>7020</v>
      </c>
      <c r="C951" s="483" t="s">
        <v>1817</v>
      </c>
      <c r="D951" s="414" t="s">
        <v>4884</v>
      </c>
      <c r="E951" s="407" t="s">
        <v>4884</v>
      </c>
      <c r="F951" s="483"/>
      <c r="G951" s="483"/>
      <c r="H951" s="483"/>
      <c r="I951" s="483"/>
      <c r="J951" s="483"/>
      <c r="K951" s="483"/>
      <c r="L951" s="608" t="s">
        <v>4884</v>
      </c>
      <c r="M951" s="409" t="s">
        <v>4884</v>
      </c>
      <c r="N951" s="409" t="s">
        <v>4884</v>
      </c>
      <c r="O951" s="410" t="s">
        <v>4884</v>
      </c>
      <c r="P951" s="406">
        <v>948</v>
      </c>
      <c r="Q951" s="460" t="s">
        <v>1817</v>
      </c>
      <c r="R951" s="460" t="s">
        <v>1815</v>
      </c>
      <c r="S951" s="460" t="s">
        <v>1528</v>
      </c>
      <c r="T951" s="484" t="s">
        <v>1535</v>
      </c>
      <c r="U951" s="471"/>
      <c r="V951" s="471"/>
      <c r="W951" s="488"/>
      <c r="X951" s="471"/>
      <c r="Y951" s="206"/>
      <c r="Z951" s="206"/>
    </row>
    <row r="952" spans="1:26">
      <c r="A952" s="406">
        <v>949</v>
      </c>
      <c r="B952" s="613" t="s">
        <v>7020</v>
      </c>
      <c r="C952" s="483" t="s">
        <v>1818</v>
      </c>
      <c r="D952" s="414" t="s">
        <v>4884</v>
      </c>
      <c r="E952" s="407" t="s">
        <v>4884</v>
      </c>
      <c r="F952" s="483"/>
      <c r="G952" s="483"/>
      <c r="H952" s="483"/>
      <c r="I952" s="483"/>
      <c r="J952" s="483"/>
      <c r="K952" s="483"/>
      <c r="L952" s="608" t="s">
        <v>4884</v>
      </c>
      <c r="M952" s="409" t="s">
        <v>4884</v>
      </c>
      <c r="N952" s="409" t="s">
        <v>4884</v>
      </c>
      <c r="O952" s="410" t="s">
        <v>4884</v>
      </c>
      <c r="P952" s="406">
        <v>949</v>
      </c>
      <c r="Q952" s="460" t="s">
        <v>1818</v>
      </c>
      <c r="R952" s="460" t="s">
        <v>1819</v>
      </c>
      <c r="S952" s="460" t="s">
        <v>1528</v>
      </c>
      <c r="T952" s="510" t="s">
        <v>1820</v>
      </c>
      <c r="U952" s="471"/>
      <c r="V952" s="471"/>
      <c r="W952" s="488"/>
      <c r="X952" s="471"/>
      <c r="Y952" s="206"/>
      <c r="Z952" s="206"/>
    </row>
    <row r="953" spans="1:26">
      <c r="A953" s="406">
        <v>950</v>
      </c>
      <c r="B953" s="613" t="s">
        <v>7020</v>
      </c>
      <c r="C953" s="483" t="s">
        <v>1821</v>
      </c>
      <c r="D953" s="414" t="s">
        <v>4884</v>
      </c>
      <c r="E953" s="407" t="s">
        <v>4884</v>
      </c>
      <c r="F953" s="483"/>
      <c r="G953" s="483"/>
      <c r="H953" s="483"/>
      <c r="I953" s="483"/>
      <c r="J953" s="483"/>
      <c r="K953" s="483"/>
      <c r="L953" s="608" t="s">
        <v>4884</v>
      </c>
      <c r="M953" s="409" t="s">
        <v>4884</v>
      </c>
      <c r="N953" s="409" t="s">
        <v>4884</v>
      </c>
      <c r="O953" s="410" t="s">
        <v>4884</v>
      </c>
      <c r="P953" s="406">
        <v>950</v>
      </c>
      <c r="Q953" s="460" t="s">
        <v>1821</v>
      </c>
      <c r="R953" s="460" t="s">
        <v>1819</v>
      </c>
      <c r="S953" s="460" t="s">
        <v>1528</v>
      </c>
      <c r="T953" s="510" t="s">
        <v>1820</v>
      </c>
      <c r="U953" s="471"/>
      <c r="V953" s="471"/>
      <c r="W953" s="488"/>
      <c r="X953" s="471"/>
      <c r="Y953" s="206"/>
      <c r="Z953" s="206"/>
    </row>
    <row r="954" spans="1:26">
      <c r="A954" s="406">
        <v>951</v>
      </c>
      <c r="B954" s="613" t="s">
        <v>7020</v>
      </c>
      <c r="C954" s="483" t="s">
        <v>1822</v>
      </c>
      <c r="D954" s="414" t="s">
        <v>4884</v>
      </c>
      <c r="E954" s="407" t="s">
        <v>4884</v>
      </c>
      <c r="F954" s="483"/>
      <c r="G954" s="483"/>
      <c r="H954" s="483"/>
      <c r="I954" s="483"/>
      <c r="J954" s="483"/>
      <c r="K954" s="483"/>
      <c r="L954" s="608" t="s">
        <v>4884</v>
      </c>
      <c r="M954" s="409" t="s">
        <v>4884</v>
      </c>
      <c r="N954" s="409" t="s">
        <v>4884</v>
      </c>
      <c r="O954" s="410" t="s">
        <v>4884</v>
      </c>
      <c r="P954" s="406">
        <v>951</v>
      </c>
      <c r="Q954" s="460" t="s">
        <v>1822</v>
      </c>
      <c r="R954" s="460" t="s">
        <v>1819</v>
      </c>
      <c r="S954" s="460" t="s">
        <v>1528</v>
      </c>
      <c r="T954" s="510" t="s">
        <v>1820</v>
      </c>
      <c r="U954" s="471"/>
      <c r="V954" s="471"/>
      <c r="W954" s="488"/>
      <c r="X954" s="471"/>
      <c r="Y954" s="206"/>
      <c r="Z954" s="206"/>
    </row>
    <row r="955" spans="1:26">
      <c r="A955" s="406">
        <v>952</v>
      </c>
      <c r="B955" s="613" t="s">
        <v>7020</v>
      </c>
      <c r="C955" s="483" t="s">
        <v>1823</v>
      </c>
      <c r="D955" s="414" t="s">
        <v>4884</v>
      </c>
      <c r="E955" s="407" t="s">
        <v>4884</v>
      </c>
      <c r="F955" s="483"/>
      <c r="G955" s="483"/>
      <c r="H955" s="483"/>
      <c r="I955" s="483"/>
      <c r="J955" s="483"/>
      <c r="K955" s="483"/>
      <c r="L955" s="608" t="s">
        <v>4884</v>
      </c>
      <c r="M955" s="409" t="s">
        <v>4884</v>
      </c>
      <c r="N955" s="409" t="s">
        <v>4884</v>
      </c>
      <c r="O955" s="410" t="s">
        <v>4884</v>
      </c>
      <c r="P955" s="406">
        <v>952</v>
      </c>
      <c r="Q955" s="460" t="s">
        <v>1823</v>
      </c>
      <c r="R955" s="460" t="s">
        <v>1819</v>
      </c>
      <c r="S955" s="460" t="s">
        <v>1528</v>
      </c>
      <c r="T955" s="510" t="s">
        <v>1820</v>
      </c>
      <c r="U955" s="471"/>
      <c r="V955" s="471"/>
      <c r="W955" s="488"/>
      <c r="X955" s="471"/>
      <c r="Y955" s="206"/>
      <c r="Z955" s="206"/>
    </row>
    <row r="956" spans="1:26">
      <c r="A956" s="406">
        <v>953</v>
      </c>
      <c r="B956" s="613" t="s">
        <v>7020</v>
      </c>
      <c r="C956" s="483" t="s">
        <v>1824</v>
      </c>
      <c r="D956" s="414" t="s">
        <v>4884</v>
      </c>
      <c r="E956" s="407" t="s">
        <v>4884</v>
      </c>
      <c r="F956" s="483"/>
      <c r="G956" s="483"/>
      <c r="H956" s="483"/>
      <c r="I956" s="483"/>
      <c r="J956" s="483"/>
      <c r="K956" s="483"/>
      <c r="L956" s="608" t="s">
        <v>4884</v>
      </c>
      <c r="M956" s="409" t="s">
        <v>4884</v>
      </c>
      <c r="N956" s="409" t="s">
        <v>4884</v>
      </c>
      <c r="O956" s="410" t="s">
        <v>4884</v>
      </c>
      <c r="P956" s="406">
        <v>953</v>
      </c>
      <c r="Q956" s="460" t="s">
        <v>1824</v>
      </c>
      <c r="R956" s="460" t="s">
        <v>1825</v>
      </c>
      <c r="S956" s="460" t="s">
        <v>1528</v>
      </c>
      <c r="T956" s="511" t="s">
        <v>1826</v>
      </c>
      <c r="U956" s="471"/>
      <c r="V956" s="471"/>
      <c r="W956" s="488"/>
      <c r="X956" s="471"/>
      <c r="Y956" s="206"/>
      <c r="Z956" s="206"/>
    </row>
    <row r="957" spans="1:26">
      <c r="A957" s="406">
        <v>954</v>
      </c>
      <c r="B957" s="613" t="s">
        <v>7020</v>
      </c>
      <c r="C957" s="483" t="s">
        <v>1827</v>
      </c>
      <c r="D957" s="414" t="s">
        <v>4884</v>
      </c>
      <c r="E957" s="407" t="s">
        <v>4884</v>
      </c>
      <c r="F957" s="483"/>
      <c r="G957" s="483"/>
      <c r="H957" s="483"/>
      <c r="I957" s="483"/>
      <c r="J957" s="483"/>
      <c r="K957" s="483"/>
      <c r="L957" s="608" t="s">
        <v>4884</v>
      </c>
      <c r="M957" s="409" t="s">
        <v>4884</v>
      </c>
      <c r="N957" s="409" t="s">
        <v>4884</v>
      </c>
      <c r="O957" s="410" t="s">
        <v>4884</v>
      </c>
      <c r="P957" s="406">
        <v>954</v>
      </c>
      <c r="Q957" s="460" t="s">
        <v>1827</v>
      </c>
      <c r="R957" s="460" t="s">
        <v>1825</v>
      </c>
      <c r="S957" s="460" t="s">
        <v>1528</v>
      </c>
      <c r="T957" s="511" t="s">
        <v>1826</v>
      </c>
      <c r="U957" s="471"/>
      <c r="V957" s="471"/>
      <c r="W957" s="488"/>
      <c r="X957" s="471"/>
      <c r="Y957" s="206"/>
      <c r="Z957" s="206"/>
    </row>
    <row r="958" spans="1:26" ht="15" thickBot="1">
      <c r="A958" s="406">
        <v>955</v>
      </c>
      <c r="B958" s="613" t="s">
        <v>7020</v>
      </c>
      <c r="C958" s="483" t="s">
        <v>1828</v>
      </c>
      <c r="D958" s="414" t="s">
        <v>4884</v>
      </c>
      <c r="E958" s="407" t="s">
        <v>4884</v>
      </c>
      <c r="F958" s="483"/>
      <c r="G958" s="483"/>
      <c r="H958" s="483"/>
      <c r="I958" s="483"/>
      <c r="J958" s="483"/>
      <c r="K958" s="483"/>
      <c r="L958" s="608" t="s">
        <v>4884</v>
      </c>
      <c r="M958" s="409" t="s">
        <v>4884</v>
      </c>
      <c r="N958" s="409" t="s">
        <v>4884</v>
      </c>
      <c r="O958" s="410" t="s">
        <v>4884</v>
      </c>
      <c r="P958" s="406">
        <v>955</v>
      </c>
      <c r="Q958" s="460" t="s">
        <v>1828</v>
      </c>
      <c r="R958" s="460" t="s">
        <v>1829</v>
      </c>
      <c r="S958" s="460" t="s">
        <v>1528</v>
      </c>
      <c r="T958" s="486" t="s">
        <v>1795</v>
      </c>
      <c r="U958" s="471"/>
      <c r="V958" s="471"/>
      <c r="W958" s="488"/>
      <c r="X958" s="471"/>
      <c r="Y958" s="206"/>
      <c r="Z958" s="206"/>
    </row>
    <row r="959" spans="1:26" ht="15" thickBot="1">
      <c r="A959" s="406">
        <v>956</v>
      </c>
      <c r="B959" s="613" t="s">
        <v>7020</v>
      </c>
      <c r="C959" s="483" t="s">
        <v>1830</v>
      </c>
      <c r="D959" s="414" t="s">
        <v>4884</v>
      </c>
      <c r="E959" s="407" t="s">
        <v>4884</v>
      </c>
      <c r="F959" s="483"/>
      <c r="G959" s="483"/>
      <c r="H959" s="483"/>
      <c r="I959" s="483"/>
      <c r="J959" s="483"/>
      <c r="K959" s="483"/>
      <c r="L959" s="608" t="s">
        <v>4884</v>
      </c>
      <c r="M959" s="409" t="s">
        <v>4884</v>
      </c>
      <c r="N959" s="409" t="s">
        <v>4884</v>
      </c>
      <c r="O959" s="410" t="s">
        <v>4884</v>
      </c>
      <c r="P959" s="406">
        <v>956</v>
      </c>
      <c r="Q959" s="535" t="s">
        <v>1830</v>
      </c>
      <c r="R959" s="535" t="s">
        <v>1831</v>
      </c>
      <c r="S959" s="535" t="s">
        <v>1528</v>
      </c>
      <c r="T959" s="536" t="s">
        <v>1832</v>
      </c>
      <c r="U959" s="471"/>
      <c r="V959" s="471"/>
      <c r="W959" s="488"/>
      <c r="X959" s="471"/>
      <c r="Y959" s="206"/>
      <c r="Z959" s="206"/>
    </row>
    <row r="960" spans="1:26">
      <c r="A960" s="406">
        <v>957</v>
      </c>
      <c r="B960" s="613" t="s">
        <v>5803</v>
      </c>
      <c r="C960" s="483" t="s">
        <v>1833</v>
      </c>
      <c r="D960" s="414" t="s">
        <v>4223</v>
      </c>
      <c r="E960" s="407" t="s">
        <v>9512</v>
      </c>
      <c r="F960" s="483" t="s">
        <v>5804</v>
      </c>
      <c r="H960" s="411"/>
      <c r="I960" s="411"/>
      <c r="J960" s="411"/>
      <c r="K960" s="411"/>
      <c r="L960" s="608">
        <v>0</v>
      </c>
      <c r="M960" s="409">
        <v>3545.3149606299216</v>
      </c>
      <c r="N960" s="409">
        <v>3545.3149606299216</v>
      </c>
      <c r="O960" s="410" t="s">
        <v>7570</v>
      </c>
      <c r="P960" s="406">
        <v>957</v>
      </c>
      <c r="Q960" s="460" t="s">
        <v>1833</v>
      </c>
      <c r="R960" s="460" t="s">
        <v>1834</v>
      </c>
      <c r="S960" s="460" t="s">
        <v>1528</v>
      </c>
      <c r="T960" s="482" t="s">
        <v>1835</v>
      </c>
      <c r="U960" s="471"/>
      <c r="V960" s="471"/>
      <c r="W960" s="488"/>
      <c r="X960" s="471">
        <v>1</v>
      </c>
      <c r="Y960" s="206"/>
      <c r="Z960" s="206"/>
    </row>
    <row r="961" spans="1:26">
      <c r="A961" s="406">
        <v>958</v>
      </c>
      <c r="B961" s="613" t="s">
        <v>7020</v>
      </c>
      <c r="C961" s="483" t="s">
        <v>1836</v>
      </c>
      <c r="D961" s="414" t="s">
        <v>4884</v>
      </c>
      <c r="E961" s="407" t="s">
        <v>4884</v>
      </c>
      <c r="F961" s="483"/>
      <c r="G961" s="483"/>
      <c r="H961" s="483"/>
      <c r="I961" s="483"/>
      <c r="J961" s="483"/>
      <c r="K961" s="483"/>
      <c r="L961" s="608" t="s">
        <v>4884</v>
      </c>
      <c r="M961" s="409" t="s">
        <v>4884</v>
      </c>
      <c r="N961" s="409" t="s">
        <v>4884</v>
      </c>
      <c r="O961" s="410" t="s">
        <v>4884</v>
      </c>
      <c r="P961" s="406">
        <v>958</v>
      </c>
      <c r="Q961" s="460" t="s">
        <v>1836</v>
      </c>
      <c r="R961" s="460" t="s">
        <v>1837</v>
      </c>
      <c r="S961" s="460" t="s">
        <v>1528</v>
      </c>
      <c r="T961" s="481" t="s">
        <v>1838</v>
      </c>
      <c r="U961" s="471"/>
      <c r="V961" s="471"/>
      <c r="W961" s="488"/>
      <c r="X961" s="471"/>
      <c r="Y961" s="206"/>
      <c r="Z961" s="206"/>
    </row>
    <row r="962" spans="1:26">
      <c r="A962" s="406">
        <v>959</v>
      </c>
      <c r="B962" s="613" t="s">
        <v>7020</v>
      </c>
      <c r="C962" s="483" t="s">
        <v>1839</v>
      </c>
      <c r="D962" s="414" t="s">
        <v>4884</v>
      </c>
      <c r="E962" s="407" t="s">
        <v>4884</v>
      </c>
      <c r="F962" s="483"/>
      <c r="G962" s="483"/>
      <c r="H962" s="483"/>
      <c r="I962" s="483"/>
      <c r="J962" s="483"/>
      <c r="K962" s="483"/>
      <c r="L962" s="608" t="s">
        <v>4884</v>
      </c>
      <c r="M962" s="409" t="s">
        <v>4884</v>
      </c>
      <c r="N962" s="409" t="s">
        <v>4884</v>
      </c>
      <c r="O962" s="410" t="s">
        <v>4884</v>
      </c>
      <c r="P962" s="406">
        <v>959</v>
      </c>
      <c r="Q962" s="460" t="s">
        <v>1839</v>
      </c>
      <c r="R962" s="460" t="s">
        <v>1837</v>
      </c>
      <c r="S962" s="460" t="s">
        <v>1528</v>
      </c>
      <c r="T962" s="481" t="s">
        <v>1838</v>
      </c>
      <c r="U962" s="471"/>
      <c r="V962" s="471"/>
      <c r="W962" s="488"/>
      <c r="X962" s="471"/>
      <c r="Y962" s="206"/>
      <c r="Z962" s="206"/>
    </row>
    <row r="963" spans="1:26">
      <c r="A963" s="406">
        <v>960</v>
      </c>
      <c r="B963" s="613" t="s">
        <v>7020</v>
      </c>
      <c r="C963" s="483" t="s">
        <v>1840</v>
      </c>
      <c r="D963" s="414" t="s">
        <v>4884</v>
      </c>
      <c r="E963" s="407" t="s">
        <v>4884</v>
      </c>
      <c r="F963" s="483"/>
      <c r="G963" s="483"/>
      <c r="H963" s="483"/>
      <c r="I963" s="483"/>
      <c r="J963" s="483"/>
      <c r="K963" s="483"/>
      <c r="L963" s="608" t="s">
        <v>4884</v>
      </c>
      <c r="M963" s="409" t="s">
        <v>4884</v>
      </c>
      <c r="N963" s="409" t="s">
        <v>4884</v>
      </c>
      <c r="O963" s="410" t="s">
        <v>4884</v>
      </c>
      <c r="P963" s="406">
        <v>960</v>
      </c>
      <c r="Q963" s="460" t="s">
        <v>1840</v>
      </c>
      <c r="R963" s="460" t="s">
        <v>1837</v>
      </c>
      <c r="S963" s="460" t="s">
        <v>1528</v>
      </c>
      <c r="T963" s="481" t="s">
        <v>1838</v>
      </c>
      <c r="U963" s="471"/>
      <c r="V963" s="471"/>
      <c r="W963" s="488"/>
      <c r="X963" s="471"/>
      <c r="Y963" s="206"/>
      <c r="Z963" s="206"/>
    </row>
    <row r="964" spans="1:26">
      <c r="A964" s="406">
        <v>961</v>
      </c>
      <c r="B964" s="613" t="s">
        <v>7020</v>
      </c>
      <c r="C964" s="483" t="s">
        <v>1841</v>
      </c>
      <c r="D964" s="414" t="s">
        <v>4884</v>
      </c>
      <c r="E964" s="407" t="s">
        <v>4884</v>
      </c>
      <c r="F964" s="483"/>
      <c r="G964" s="483"/>
      <c r="H964" s="483"/>
      <c r="I964" s="483"/>
      <c r="J964" s="483"/>
      <c r="K964" s="483"/>
      <c r="L964" s="608" t="s">
        <v>4884</v>
      </c>
      <c r="M964" s="409" t="s">
        <v>4884</v>
      </c>
      <c r="N964" s="409" t="s">
        <v>4884</v>
      </c>
      <c r="O964" s="410" t="s">
        <v>4884</v>
      </c>
      <c r="P964" s="406">
        <v>961</v>
      </c>
      <c r="Q964" s="460" t="s">
        <v>1841</v>
      </c>
      <c r="R964" s="460" t="s">
        <v>1837</v>
      </c>
      <c r="S964" s="460" t="s">
        <v>1528</v>
      </c>
      <c r="T964" s="481" t="s">
        <v>1838</v>
      </c>
      <c r="U964" s="471"/>
      <c r="V964" s="471"/>
      <c r="W964" s="488"/>
      <c r="X964" s="471"/>
      <c r="Y964" s="206"/>
      <c r="Z964" s="206"/>
    </row>
    <row r="965" spans="1:26">
      <c r="A965" s="406">
        <v>962</v>
      </c>
      <c r="B965" s="613" t="s">
        <v>7020</v>
      </c>
      <c r="C965" s="483" t="s">
        <v>1842</v>
      </c>
      <c r="D965" s="414" t="s">
        <v>4884</v>
      </c>
      <c r="E965" s="407" t="s">
        <v>4884</v>
      </c>
      <c r="F965" s="483"/>
      <c r="G965" s="483"/>
      <c r="H965" s="483"/>
      <c r="I965" s="483"/>
      <c r="J965" s="483"/>
      <c r="K965" s="483"/>
      <c r="L965" s="608" t="s">
        <v>4884</v>
      </c>
      <c r="M965" s="409" t="s">
        <v>4884</v>
      </c>
      <c r="N965" s="409" t="s">
        <v>4884</v>
      </c>
      <c r="O965" s="410" t="s">
        <v>4884</v>
      </c>
      <c r="P965" s="406">
        <v>962</v>
      </c>
      <c r="Q965" s="460" t="s">
        <v>1842</v>
      </c>
      <c r="R965" s="460" t="s">
        <v>1837</v>
      </c>
      <c r="S965" s="460" t="s">
        <v>1528</v>
      </c>
      <c r="T965" s="481" t="s">
        <v>1838</v>
      </c>
      <c r="U965" s="471"/>
      <c r="V965" s="471"/>
      <c r="W965" s="488"/>
      <c r="X965" s="471"/>
      <c r="Y965" s="206"/>
      <c r="Z965" s="206"/>
    </row>
    <row r="966" spans="1:26">
      <c r="A966" s="406">
        <v>963</v>
      </c>
      <c r="B966" s="613" t="s">
        <v>7020</v>
      </c>
      <c r="C966" s="483" t="s">
        <v>1843</v>
      </c>
      <c r="D966" s="414" t="s">
        <v>4884</v>
      </c>
      <c r="E966" s="407" t="s">
        <v>4884</v>
      </c>
      <c r="F966" s="483"/>
      <c r="G966" s="483"/>
      <c r="H966" s="483"/>
      <c r="I966" s="483"/>
      <c r="J966" s="483"/>
      <c r="K966" s="483"/>
      <c r="L966" s="608" t="s">
        <v>4884</v>
      </c>
      <c r="M966" s="409" t="s">
        <v>4884</v>
      </c>
      <c r="N966" s="409" t="s">
        <v>4884</v>
      </c>
      <c r="O966" s="410" t="s">
        <v>4884</v>
      </c>
      <c r="P966" s="406">
        <v>963</v>
      </c>
      <c r="Q966" s="460" t="s">
        <v>1843</v>
      </c>
      <c r="R966" s="460" t="s">
        <v>1837</v>
      </c>
      <c r="S966" s="460" t="s">
        <v>1528</v>
      </c>
      <c r="T966" s="481" t="s">
        <v>1838</v>
      </c>
      <c r="U966" s="471"/>
      <c r="V966" s="471"/>
      <c r="W966" s="488"/>
      <c r="X966" s="471"/>
      <c r="Y966" s="206"/>
      <c r="Z966" s="206"/>
    </row>
    <row r="967" spans="1:26">
      <c r="A967" s="406">
        <v>964</v>
      </c>
      <c r="B967" s="613" t="s">
        <v>7020</v>
      </c>
      <c r="C967" s="483" t="s">
        <v>1844</v>
      </c>
      <c r="D967" s="414" t="s">
        <v>4884</v>
      </c>
      <c r="E967" s="407" t="s">
        <v>4884</v>
      </c>
      <c r="F967" s="483"/>
      <c r="G967" s="483"/>
      <c r="H967" s="483"/>
      <c r="I967" s="483"/>
      <c r="J967" s="483"/>
      <c r="K967" s="483"/>
      <c r="L967" s="608" t="s">
        <v>4884</v>
      </c>
      <c r="M967" s="409" t="s">
        <v>4884</v>
      </c>
      <c r="N967" s="409" t="s">
        <v>4884</v>
      </c>
      <c r="O967" s="410" t="s">
        <v>4884</v>
      </c>
      <c r="P967" s="406">
        <v>964</v>
      </c>
      <c r="Q967" s="460" t="s">
        <v>1844</v>
      </c>
      <c r="R967" s="460" t="s">
        <v>1837</v>
      </c>
      <c r="S967" s="460" t="s">
        <v>1528</v>
      </c>
      <c r="T967" s="481" t="s">
        <v>1838</v>
      </c>
      <c r="U967" s="471"/>
      <c r="V967" s="471"/>
      <c r="W967" s="488"/>
      <c r="X967" s="471"/>
      <c r="Y967" s="206"/>
      <c r="Z967" s="206"/>
    </row>
    <row r="968" spans="1:26">
      <c r="A968" s="406">
        <v>965</v>
      </c>
      <c r="B968" s="613" t="s">
        <v>7020</v>
      </c>
      <c r="C968" s="483" t="s">
        <v>1845</v>
      </c>
      <c r="D968" s="414" t="s">
        <v>4884</v>
      </c>
      <c r="E968" s="407" t="s">
        <v>4884</v>
      </c>
      <c r="F968" s="483"/>
      <c r="G968" s="483"/>
      <c r="H968" s="483"/>
      <c r="I968" s="483"/>
      <c r="J968" s="483"/>
      <c r="K968" s="483"/>
      <c r="L968" s="608" t="s">
        <v>4884</v>
      </c>
      <c r="M968" s="409" t="s">
        <v>4884</v>
      </c>
      <c r="N968" s="409" t="s">
        <v>4884</v>
      </c>
      <c r="O968" s="410" t="s">
        <v>4884</v>
      </c>
      <c r="P968" s="406">
        <v>965</v>
      </c>
      <c r="Q968" s="460" t="s">
        <v>1845</v>
      </c>
      <c r="R968" s="460" t="s">
        <v>1837</v>
      </c>
      <c r="S968" s="460" t="s">
        <v>1528</v>
      </c>
      <c r="T968" s="481" t="s">
        <v>1838</v>
      </c>
      <c r="U968" s="471"/>
      <c r="V968" s="471"/>
      <c r="W968" s="488"/>
      <c r="X968" s="471"/>
      <c r="Y968" s="206"/>
      <c r="Z968" s="206"/>
    </row>
    <row r="969" spans="1:26">
      <c r="A969" s="406">
        <v>966</v>
      </c>
      <c r="B969" s="613" t="s">
        <v>7020</v>
      </c>
      <c r="C969" s="483" t="s">
        <v>1846</v>
      </c>
      <c r="D969" s="414" t="s">
        <v>4884</v>
      </c>
      <c r="E969" s="407" t="s">
        <v>4884</v>
      </c>
      <c r="F969" s="483"/>
      <c r="G969" s="483"/>
      <c r="H969" s="483"/>
      <c r="I969" s="483"/>
      <c r="J969" s="483"/>
      <c r="K969" s="483"/>
      <c r="L969" s="608" t="s">
        <v>4884</v>
      </c>
      <c r="M969" s="409" t="s">
        <v>4884</v>
      </c>
      <c r="N969" s="409" t="s">
        <v>4884</v>
      </c>
      <c r="O969" s="410" t="s">
        <v>4884</v>
      </c>
      <c r="P969" s="406">
        <v>966</v>
      </c>
      <c r="Q969" s="460" t="s">
        <v>1846</v>
      </c>
      <c r="R969" s="460" t="s">
        <v>1837</v>
      </c>
      <c r="S969" s="460" t="s">
        <v>1528</v>
      </c>
      <c r="T969" s="481" t="s">
        <v>1838</v>
      </c>
      <c r="U969" s="471"/>
      <c r="V969" s="471"/>
      <c r="W969" s="488"/>
      <c r="X969" s="471"/>
      <c r="Y969" s="206"/>
      <c r="Z969" s="206"/>
    </row>
    <row r="970" spans="1:26">
      <c r="A970" s="406">
        <v>967</v>
      </c>
      <c r="B970" s="613" t="s">
        <v>7020</v>
      </c>
      <c r="C970" s="483" t="s">
        <v>1847</v>
      </c>
      <c r="D970" s="414" t="s">
        <v>4884</v>
      </c>
      <c r="E970" s="407" t="s">
        <v>4884</v>
      </c>
      <c r="F970" s="483"/>
      <c r="G970" s="483"/>
      <c r="H970" s="483"/>
      <c r="I970" s="483"/>
      <c r="J970" s="483"/>
      <c r="K970" s="483"/>
      <c r="L970" s="608" t="s">
        <v>4884</v>
      </c>
      <c r="M970" s="409" t="s">
        <v>4884</v>
      </c>
      <c r="N970" s="409" t="s">
        <v>4884</v>
      </c>
      <c r="O970" s="410" t="s">
        <v>4884</v>
      </c>
      <c r="P970" s="406">
        <v>967</v>
      </c>
      <c r="Q970" s="460" t="s">
        <v>1847</v>
      </c>
      <c r="R970" s="460" t="s">
        <v>1837</v>
      </c>
      <c r="S970" s="460" t="s">
        <v>1528</v>
      </c>
      <c r="T970" s="481" t="s">
        <v>1838</v>
      </c>
      <c r="U970" s="471"/>
      <c r="V970" s="471"/>
      <c r="W970" s="488"/>
      <c r="X970" s="471"/>
      <c r="Y970" s="206"/>
      <c r="Z970" s="206"/>
    </row>
    <row r="971" spans="1:26">
      <c r="A971" s="406">
        <v>968</v>
      </c>
      <c r="B971" s="613" t="s">
        <v>7020</v>
      </c>
      <c r="C971" s="483" t="s">
        <v>1848</v>
      </c>
      <c r="D971" s="414" t="s">
        <v>4884</v>
      </c>
      <c r="E971" s="407" t="s">
        <v>4884</v>
      </c>
      <c r="F971" s="483"/>
      <c r="G971" s="483"/>
      <c r="H971" s="483"/>
      <c r="I971" s="483"/>
      <c r="J971" s="483"/>
      <c r="K971" s="483"/>
      <c r="L971" s="608" t="s">
        <v>4884</v>
      </c>
      <c r="M971" s="409" t="s">
        <v>4884</v>
      </c>
      <c r="N971" s="409" t="s">
        <v>4884</v>
      </c>
      <c r="O971" s="410" t="s">
        <v>4884</v>
      </c>
      <c r="P971" s="406">
        <v>968</v>
      </c>
      <c r="Q971" s="460" t="s">
        <v>1848</v>
      </c>
      <c r="R971" s="460" t="s">
        <v>1837</v>
      </c>
      <c r="S971" s="460" t="s">
        <v>1528</v>
      </c>
      <c r="T971" s="481" t="s">
        <v>1838</v>
      </c>
      <c r="U971" s="471"/>
      <c r="V971" s="471"/>
      <c r="W971" s="488"/>
      <c r="X971" s="471"/>
      <c r="Y971" s="206"/>
      <c r="Z971" s="206"/>
    </row>
    <row r="972" spans="1:26">
      <c r="A972" s="406">
        <v>969</v>
      </c>
      <c r="B972" s="613" t="s">
        <v>7020</v>
      </c>
      <c r="C972" s="483" t="s">
        <v>1849</v>
      </c>
      <c r="D972" s="414" t="s">
        <v>4884</v>
      </c>
      <c r="E972" s="407" t="s">
        <v>4884</v>
      </c>
      <c r="F972" s="483"/>
      <c r="G972" s="483"/>
      <c r="H972" s="483"/>
      <c r="I972" s="483"/>
      <c r="J972" s="483"/>
      <c r="K972" s="483"/>
      <c r="L972" s="608" t="s">
        <v>4884</v>
      </c>
      <c r="M972" s="409" t="s">
        <v>4884</v>
      </c>
      <c r="N972" s="409" t="s">
        <v>4884</v>
      </c>
      <c r="O972" s="410" t="s">
        <v>4884</v>
      </c>
      <c r="P972" s="406">
        <v>969</v>
      </c>
      <c r="Q972" s="460" t="s">
        <v>1849</v>
      </c>
      <c r="R972" s="460" t="s">
        <v>1837</v>
      </c>
      <c r="S972" s="460" t="s">
        <v>1528</v>
      </c>
      <c r="T972" s="481" t="s">
        <v>1838</v>
      </c>
      <c r="U972" s="471"/>
      <c r="V972" s="471"/>
      <c r="W972" s="488"/>
      <c r="X972" s="471"/>
      <c r="Y972" s="206"/>
      <c r="Z972" s="206"/>
    </row>
    <row r="973" spans="1:26">
      <c r="A973" s="406">
        <v>970</v>
      </c>
      <c r="B973" s="613" t="s">
        <v>7020</v>
      </c>
      <c r="C973" s="483" t="s">
        <v>1850</v>
      </c>
      <c r="D973" s="414" t="s">
        <v>4884</v>
      </c>
      <c r="E973" s="407" t="s">
        <v>4884</v>
      </c>
      <c r="F973" s="483"/>
      <c r="G973" s="483"/>
      <c r="H973" s="483"/>
      <c r="I973" s="483"/>
      <c r="J973" s="483"/>
      <c r="K973" s="483"/>
      <c r="L973" s="608" t="s">
        <v>4884</v>
      </c>
      <c r="M973" s="409" t="s">
        <v>4884</v>
      </c>
      <c r="N973" s="409" t="s">
        <v>4884</v>
      </c>
      <c r="O973" s="410" t="s">
        <v>4884</v>
      </c>
      <c r="P973" s="406">
        <v>970</v>
      </c>
      <c r="Q973" s="460" t="s">
        <v>1850</v>
      </c>
      <c r="R973" s="460" t="s">
        <v>1837</v>
      </c>
      <c r="S973" s="460" t="s">
        <v>1528</v>
      </c>
      <c r="T973" s="481" t="s">
        <v>1838</v>
      </c>
      <c r="U973" s="471"/>
      <c r="V973" s="471"/>
      <c r="W973" s="488"/>
      <c r="X973" s="471"/>
      <c r="Y973" s="206"/>
      <c r="Z973" s="206"/>
    </row>
    <row r="974" spans="1:26">
      <c r="A974" s="406">
        <v>971</v>
      </c>
      <c r="B974" s="613" t="s">
        <v>7020</v>
      </c>
      <c r="C974" s="483" t="s">
        <v>1851</v>
      </c>
      <c r="D974" s="414" t="s">
        <v>4884</v>
      </c>
      <c r="E974" s="407" t="s">
        <v>4884</v>
      </c>
      <c r="F974" s="483"/>
      <c r="G974" s="483"/>
      <c r="H974" s="483"/>
      <c r="I974" s="483"/>
      <c r="J974" s="483"/>
      <c r="K974" s="483"/>
      <c r="L974" s="608" t="s">
        <v>4884</v>
      </c>
      <c r="M974" s="409" t="s">
        <v>4884</v>
      </c>
      <c r="N974" s="409" t="s">
        <v>4884</v>
      </c>
      <c r="O974" s="410" t="s">
        <v>4884</v>
      </c>
      <c r="P974" s="406">
        <v>971</v>
      </c>
      <c r="Q974" s="460" t="s">
        <v>1851</v>
      </c>
      <c r="R974" s="460" t="s">
        <v>1837</v>
      </c>
      <c r="S974" s="460" t="s">
        <v>1528</v>
      </c>
      <c r="T974" s="481" t="s">
        <v>1838</v>
      </c>
      <c r="U974" s="471"/>
      <c r="V974" s="471"/>
      <c r="W974" s="488"/>
      <c r="X974" s="471"/>
      <c r="Y974" s="206"/>
      <c r="Z974" s="206"/>
    </row>
    <row r="975" spans="1:26">
      <c r="A975" s="406">
        <v>972</v>
      </c>
      <c r="B975" s="613" t="s">
        <v>7020</v>
      </c>
      <c r="C975" s="483" t="s">
        <v>1852</v>
      </c>
      <c r="D975" s="414" t="s">
        <v>4884</v>
      </c>
      <c r="E975" s="407" t="s">
        <v>4884</v>
      </c>
      <c r="F975" s="483"/>
      <c r="G975" s="483"/>
      <c r="H975" s="483"/>
      <c r="I975" s="483"/>
      <c r="J975" s="483"/>
      <c r="K975" s="483"/>
      <c r="L975" s="608" t="s">
        <v>4884</v>
      </c>
      <c r="M975" s="409" t="s">
        <v>4884</v>
      </c>
      <c r="N975" s="409" t="s">
        <v>4884</v>
      </c>
      <c r="O975" s="410" t="s">
        <v>4884</v>
      </c>
      <c r="P975" s="406">
        <v>972</v>
      </c>
      <c r="Q975" s="460" t="s">
        <v>1852</v>
      </c>
      <c r="R975" s="460" t="s">
        <v>1853</v>
      </c>
      <c r="S975" s="460" t="s">
        <v>1528</v>
      </c>
      <c r="T975" s="481" t="s">
        <v>1854</v>
      </c>
      <c r="U975" s="471"/>
      <c r="V975" s="471"/>
      <c r="W975" s="488"/>
      <c r="X975" s="471"/>
      <c r="Y975" s="206"/>
      <c r="Z975" s="206"/>
    </row>
    <row r="976" spans="1:26">
      <c r="A976" s="406">
        <v>973</v>
      </c>
      <c r="B976" s="613" t="s">
        <v>7020</v>
      </c>
      <c r="C976" s="483" t="s">
        <v>1855</v>
      </c>
      <c r="D976" s="414" t="s">
        <v>4884</v>
      </c>
      <c r="E976" s="407" t="s">
        <v>4884</v>
      </c>
      <c r="F976" s="483"/>
      <c r="G976" s="483"/>
      <c r="H976" s="483"/>
      <c r="I976" s="483"/>
      <c r="J976" s="483"/>
      <c r="K976" s="483"/>
      <c r="L976" s="608" t="s">
        <v>4884</v>
      </c>
      <c r="M976" s="409" t="s">
        <v>4884</v>
      </c>
      <c r="N976" s="409" t="s">
        <v>4884</v>
      </c>
      <c r="O976" s="410" t="s">
        <v>4884</v>
      </c>
      <c r="P976" s="406">
        <v>973</v>
      </c>
      <c r="Q976" s="460" t="s">
        <v>1855</v>
      </c>
      <c r="R976" s="460" t="s">
        <v>1856</v>
      </c>
      <c r="S976" s="460" t="s">
        <v>1528</v>
      </c>
      <c r="T976" s="512" t="s">
        <v>1857</v>
      </c>
      <c r="U976" s="471"/>
      <c r="V976" s="471"/>
      <c r="W976" s="488"/>
      <c r="X976" s="471"/>
      <c r="Y976" s="206"/>
      <c r="Z976" s="206"/>
    </row>
    <row r="977" spans="1:26">
      <c r="A977" s="406">
        <v>974</v>
      </c>
      <c r="B977" s="613" t="s">
        <v>7020</v>
      </c>
      <c r="C977" s="483" t="s">
        <v>1858</v>
      </c>
      <c r="D977" s="414" t="s">
        <v>4884</v>
      </c>
      <c r="E977" s="407" t="s">
        <v>4884</v>
      </c>
      <c r="F977" s="483"/>
      <c r="G977" s="483"/>
      <c r="H977" s="483"/>
      <c r="I977" s="483"/>
      <c r="J977" s="483"/>
      <c r="K977" s="483"/>
      <c r="L977" s="608" t="s">
        <v>4884</v>
      </c>
      <c r="M977" s="409" t="s">
        <v>4884</v>
      </c>
      <c r="N977" s="409" t="s">
        <v>4884</v>
      </c>
      <c r="O977" s="410" t="s">
        <v>4884</v>
      </c>
      <c r="P977" s="406">
        <v>974</v>
      </c>
      <c r="Q977" s="460" t="s">
        <v>1858</v>
      </c>
      <c r="R977" s="460" t="s">
        <v>1856</v>
      </c>
      <c r="S977" s="460" t="s">
        <v>1528</v>
      </c>
      <c r="T977" s="512" t="s">
        <v>1857</v>
      </c>
      <c r="U977" s="471"/>
      <c r="V977" s="471"/>
      <c r="W977" s="488"/>
      <c r="X977" s="471"/>
      <c r="Y977" s="206"/>
      <c r="Z977" s="206"/>
    </row>
    <row r="978" spans="1:26">
      <c r="A978" s="406">
        <v>975</v>
      </c>
      <c r="B978" s="613" t="s">
        <v>7020</v>
      </c>
      <c r="C978" s="483" t="s">
        <v>1859</v>
      </c>
      <c r="D978" s="414" t="s">
        <v>4884</v>
      </c>
      <c r="E978" s="407" t="s">
        <v>4884</v>
      </c>
      <c r="F978" s="483"/>
      <c r="G978" s="483"/>
      <c r="H978" s="483"/>
      <c r="I978" s="483"/>
      <c r="J978" s="483"/>
      <c r="K978" s="483"/>
      <c r="L978" s="608" t="s">
        <v>4884</v>
      </c>
      <c r="M978" s="409" t="s">
        <v>4884</v>
      </c>
      <c r="N978" s="409" t="s">
        <v>4884</v>
      </c>
      <c r="O978" s="410" t="s">
        <v>4884</v>
      </c>
      <c r="P978" s="406">
        <v>975</v>
      </c>
      <c r="Q978" s="460" t="s">
        <v>1859</v>
      </c>
      <c r="R978" s="460" t="s">
        <v>1860</v>
      </c>
      <c r="S978" s="460" t="s">
        <v>1528</v>
      </c>
      <c r="T978" s="513" t="s">
        <v>1861</v>
      </c>
      <c r="U978" s="471"/>
      <c r="V978" s="471"/>
      <c r="W978" s="488"/>
      <c r="X978" s="471"/>
      <c r="Y978" s="206"/>
      <c r="Z978" s="206"/>
    </row>
    <row r="979" spans="1:26">
      <c r="A979" s="406">
        <v>976</v>
      </c>
      <c r="B979" s="613" t="s">
        <v>7020</v>
      </c>
      <c r="C979" s="483" t="s">
        <v>1862</v>
      </c>
      <c r="D979" s="414" t="s">
        <v>4884</v>
      </c>
      <c r="E979" s="407" t="s">
        <v>4884</v>
      </c>
      <c r="F979" s="483"/>
      <c r="G979" s="483"/>
      <c r="H979" s="483"/>
      <c r="I979" s="483"/>
      <c r="J979" s="483"/>
      <c r="K979" s="483"/>
      <c r="L979" s="608" t="s">
        <v>4884</v>
      </c>
      <c r="M979" s="409" t="s">
        <v>4884</v>
      </c>
      <c r="N979" s="409" t="s">
        <v>4884</v>
      </c>
      <c r="O979" s="410" t="s">
        <v>4884</v>
      </c>
      <c r="P979" s="406">
        <v>976</v>
      </c>
      <c r="Q979" s="460" t="s">
        <v>1862</v>
      </c>
      <c r="R979" s="460" t="s">
        <v>1863</v>
      </c>
      <c r="S979" s="460" t="s">
        <v>1528</v>
      </c>
      <c r="T979" s="514" t="s">
        <v>1864</v>
      </c>
      <c r="U979" s="471"/>
      <c r="V979" s="471"/>
      <c r="W979" s="488"/>
      <c r="X979" s="471"/>
      <c r="Y979" s="206"/>
      <c r="Z979" s="206"/>
    </row>
    <row r="980" spans="1:26">
      <c r="A980" s="406">
        <v>977</v>
      </c>
      <c r="B980" s="613" t="s">
        <v>7020</v>
      </c>
      <c r="C980" s="483" t="s">
        <v>1865</v>
      </c>
      <c r="D980" s="414" t="s">
        <v>4884</v>
      </c>
      <c r="E980" s="407" t="s">
        <v>4884</v>
      </c>
      <c r="F980" s="483"/>
      <c r="G980" s="483"/>
      <c r="H980" s="483"/>
      <c r="I980" s="483"/>
      <c r="J980" s="483"/>
      <c r="K980" s="483"/>
      <c r="L980" s="608" t="s">
        <v>4884</v>
      </c>
      <c r="M980" s="409" t="s">
        <v>4884</v>
      </c>
      <c r="N980" s="409" t="s">
        <v>4884</v>
      </c>
      <c r="O980" s="410" t="s">
        <v>4884</v>
      </c>
      <c r="P980" s="406">
        <v>977</v>
      </c>
      <c r="Q980" s="460" t="s">
        <v>1865</v>
      </c>
      <c r="R980" s="460" t="s">
        <v>1863</v>
      </c>
      <c r="S980" s="460" t="s">
        <v>1528</v>
      </c>
      <c r="T980" s="514" t="s">
        <v>1864</v>
      </c>
      <c r="U980" s="471"/>
      <c r="V980" s="471"/>
      <c r="W980" s="488"/>
      <c r="X980" s="471"/>
      <c r="Y980" s="206"/>
      <c r="Z980" s="206"/>
    </row>
    <row r="981" spans="1:26">
      <c r="A981" s="406">
        <v>978</v>
      </c>
      <c r="B981" s="613" t="s">
        <v>7020</v>
      </c>
      <c r="C981" s="483" t="s">
        <v>1866</v>
      </c>
      <c r="D981" s="414" t="s">
        <v>4884</v>
      </c>
      <c r="E981" s="407" t="s">
        <v>4884</v>
      </c>
      <c r="F981" s="483"/>
      <c r="G981" s="483"/>
      <c r="H981" s="483"/>
      <c r="I981" s="483"/>
      <c r="J981" s="483"/>
      <c r="K981" s="483"/>
      <c r="L981" s="608" t="s">
        <v>4884</v>
      </c>
      <c r="M981" s="409" t="s">
        <v>4884</v>
      </c>
      <c r="N981" s="409" t="s">
        <v>4884</v>
      </c>
      <c r="O981" s="410" t="s">
        <v>4884</v>
      </c>
      <c r="P981" s="406">
        <v>978</v>
      </c>
      <c r="Q981" s="460" t="s">
        <v>1866</v>
      </c>
      <c r="R981" s="460" t="s">
        <v>1863</v>
      </c>
      <c r="S981" s="460" t="s">
        <v>1528</v>
      </c>
      <c r="T981" s="514" t="s">
        <v>1864</v>
      </c>
      <c r="U981" s="471"/>
      <c r="V981" s="471"/>
      <c r="W981" s="488"/>
      <c r="X981" s="471"/>
      <c r="Y981" s="206"/>
      <c r="Z981" s="206"/>
    </row>
    <row r="982" spans="1:26">
      <c r="A982" s="406">
        <v>979</v>
      </c>
      <c r="B982" s="613" t="s">
        <v>7020</v>
      </c>
      <c r="C982" s="483" t="s">
        <v>1867</v>
      </c>
      <c r="D982" s="414" t="s">
        <v>4884</v>
      </c>
      <c r="E982" s="407" t="s">
        <v>4884</v>
      </c>
      <c r="F982" s="483"/>
      <c r="G982" s="483"/>
      <c r="H982" s="483"/>
      <c r="I982" s="483"/>
      <c r="J982" s="483"/>
      <c r="K982" s="483"/>
      <c r="L982" s="608" t="s">
        <v>4884</v>
      </c>
      <c r="M982" s="409" t="s">
        <v>4884</v>
      </c>
      <c r="N982" s="409" t="s">
        <v>4884</v>
      </c>
      <c r="O982" s="410" t="s">
        <v>4884</v>
      </c>
      <c r="P982" s="406">
        <v>979</v>
      </c>
      <c r="Q982" s="460" t="s">
        <v>1867</v>
      </c>
      <c r="R982" s="460" t="s">
        <v>1863</v>
      </c>
      <c r="S982" s="460" t="s">
        <v>1528</v>
      </c>
      <c r="T982" s="514" t="s">
        <v>1864</v>
      </c>
      <c r="U982" s="471"/>
      <c r="V982" s="471"/>
      <c r="W982" s="488"/>
      <c r="X982" s="471"/>
      <c r="Y982" s="206"/>
      <c r="Z982" s="206"/>
    </row>
    <row r="983" spans="1:26">
      <c r="A983" s="406">
        <v>980</v>
      </c>
      <c r="B983" s="613" t="s">
        <v>7020</v>
      </c>
      <c r="C983" s="483" t="s">
        <v>1868</v>
      </c>
      <c r="D983" s="414" t="s">
        <v>4884</v>
      </c>
      <c r="E983" s="407" t="s">
        <v>4884</v>
      </c>
      <c r="F983" s="483"/>
      <c r="G983" s="483"/>
      <c r="H983" s="483"/>
      <c r="I983" s="483"/>
      <c r="J983" s="483"/>
      <c r="K983" s="483"/>
      <c r="L983" s="608" t="s">
        <v>4884</v>
      </c>
      <c r="M983" s="409" t="s">
        <v>4884</v>
      </c>
      <c r="N983" s="409" t="s">
        <v>4884</v>
      </c>
      <c r="O983" s="410" t="s">
        <v>4884</v>
      </c>
      <c r="P983" s="406">
        <v>980</v>
      </c>
      <c r="Q983" s="460" t="s">
        <v>1868</v>
      </c>
      <c r="R983" s="460" t="s">
        <v>1869</v>
      </c>
      <c r="S983" s="460" t="s">
        <v>1528</v>
      </c>
      <c r="T983" s="467" t="s">
        <v>1870</v>
      </c>
      <c r="U983" s="471"/>
      <c r="V983" s="471"/>
      <c r="W983" s="488"/>
      <c r="X983" s="471"/>
      <c r="Y983" s="206"/>
      <c r="Z983" s="206"/>
    </row>
    <row r="984" spans="1:26">
      <c r="A984" s="406">
        <v>981</v>
      </c>
      <c r="B984" s="613" t="s">
        <v>6760</v>
      </c>
      <c r="C984" s="483" t="s">
        <v>1871</v>
      </c>
      <c r="D984" s="414" t="s">
        <v>4461</v>
      </c>
      <c r="E984" s="407" t="s">
        <v>9513</v>
      </c>
      <c r="F984" s="483" t="s">
        <v>6755</v>
      </c>
      <c r="G984" s="483" t="s">
        <v>6757</v>
      </c>
      <c r="H984" s="411" t="s">
        <v>6765</v>
      </c>
      <c r="I984" s="411"/>
      <c r="J984" s="411"/>
      <c r="K984" s="411"/>
      <c r="L984" s="608">
        <v>2493.8070866141734</v>
      </c>
      <c r="M984" s="409">
        <v>7019.5708661417329</v>
      </c>
      <c r="N984" s="409">
        <v>9513.3779527559054</v>
      </c>
      <c r="O984" s="410" t="s">
        <v>7812</v>
      </c>
      <c r="P984" s="406">
        <v>981</v>
      </c>
      <c r="Q984" s="460" t="s">
        <v>1871</v>
      </c>
      <c r="R984" s="460" t="s">
        <v>1872</v>
      </c>
      <c r="S984" s="460" t="s">
        <v>32</v>
      </c>
      <c r="U984" s="471"/>
      <c r="V984" s="471">
        <v>1</v>
      </c>
      <c r="W984" s="488"/>
      <c r="X984" s="471"/>
      <c r="Y984" s="206"/>
      <c r="Z984" s="206"/>
    </row>
    <row r="985" spans="1:26">
      <c r="A985" s="406">
        <v>982</v>
      </c>
      <c r="B985" s="613" t="s">
        <v>7020</v>
      </c>
      <c r="C985" s="483" t="s">
        <v>1873</v>
      </c>
      <c r="D985" s="414" t="s">
        <v>4884</v>
      </c>
      <c r="E985" s="407" t="s">
        <v>4884</v>
      </c>
      <c r="F985" s="483"/>
      <c r="G985" s="483"/>
      <c r="H985" s="483"/>
      <c r="I985" s="483"/>
      <c r="J985" s="483"/>
      <c r="K985" s="483"/>
      <c r="L985" s="608" t="s">
        <v>4884</v>
      </c>
      <c r="M985" s="409" t="s">
        <v>4884</v>
      </c>
      <c r="N985" s="409" t="s">
        <v>4884</v>
      </c>
      <c r="O985" s="410" t="s">
        <v>4884</v>
      </c>
      <c r="P985" s="406">
        <v>982</v>
      </c>
      <c r="Q985" s="460" t="s">
        <v>1873</v>
      </c>
      <c r="R985" s="460" t="s">
        <v>1874</v>
      </c>
      <c r="S985" s="460" t="s">
        <v>1528</v>
      </c>
      <c r="T985" s="515" t="s">
        <v>1875</v>
      </c>
      <c r="U985" s="471"/>
      <c r="V985" s="471"/>
      <c r="W985" s="488"/>
      <c r="X985" s="471"/>
      <c r="Y985" s="206"/>
      <c r="Z985" s="206"/>
    </row>
    <row r="986" spans="1:26">
      <c r="A986" s="406">
        <v>983</v>
      </c>
      <c r="B986" s="613" t="s">
        <v>6574</v>
      </c>
      <c r="C986" s="483" t="s">
        <v>1876</v>
      </c>
      <c r="D986" s="414" t="s">
        <v>4428</v>
      </c>
      <c r="E986" s="407" t="s">
        <v>9514</v>
      </c>
      <c r="F986" s="483"/>
      <c r="G986" s="483"/>
      <c r="H986" s="483"/>
      <c r="I986" s="483"/>
      <c r="J986" s="483"/>
      <c r="K986" s="483"/>
      <c r="L986" s="608" t="s">
        <v>4884</v>
      </c>
      <c r="M986" s="409">
        <v>5674.7716535433065</v>
      </c>
      <c r="N986" s="409">
        <v>5674.7716535433065</v>
      </c>
      <c r="O986" s="410" t="s">
        <v>7574</v>
      </c>
      <c r="P986" s="406">
        <v>983</v>
      </c>
      <c r="Q986" s="262" t="s">
        <v>1876</v>
      </c>
      <c r="R986" s="460" t="s">
        <v>1877</v>
      </c>
      <c r="S986" s="460" t="s">
        <v>32</v>
      </c>
      <c r="U986" s="471"/>
      <c r="V986" s="471">
        <v>1</v>
      </c>
      <c r="W986" s="488"/>
      <c r="X986" s="471"/>
      <c r="Y986" s="206"/>
      <c r="Z986" s="206"/>
    </row>
    <row r="987" spans="1:26">
      <c r="A987" s="406">
        <v>984</v>
      </c>
      <c r="B987" s="613" t="s">
        <v>6575</v>
      </c>
      <c r="C987" s="483" t="s">
        <v>1878</v>
      </c>
      <c r="D987" s="414" t="s">
        <v>4472</v>
      </c>
      <c r="E987" s="407" t="s">
        <v>9515</v>
      </c>
      <c r="F987" s="483"/>
      <c r="G987" s="483"/>
      <c r="H987" s="483"/>
      <c r="I987" s="483"/>
      <c r="J987" s="483"/>
      <c r="K987" s="483"/>
      <c r="L987" s="608" t="s">
        <v>4884</v>
      </c>
      <c r="M987" s="409">
        <v>5506.4685039370079</v>
      </c>
      <c r="N987" s="409">
        <v>5506.4685039370079</v>
      </c>
      <c r="O987" s="410" t="s">
        <v>7569</v>
      </c>
      <c r="P987" s="406">
        <v>984</v>
      </c>
      <c r="Q987" s="262" t="s">
        <v>1878</v>
      </c>
      <c r="R987" s="460" t="s">
        <v>1879</v>
      </c>
      <c r="S987" s="460" t="s">
        <v>32</v>
      </c>
      <c r="U987" s="471"/>
      <c r="V987" s="471">
        <v>1</v>
      </c>
      <c r="W987" s="488"/>
      <c r="X987" s="471"/>
      <c r="Y987" s="206"/>
      <c r="Z987" s="206"/>
    </row>
    <row r="988" spans="1:26">
      <c r="A988" s="406">
        <v>985</v>
      </c>
      <c r="B988" s="613" t="s">
        <v>6576</v>
      </c>
      <c r="C988" s="483" t="s">
        <v>1880</v>
      </c>
      <c r="D988" s="414" t="s">
        <v>4492</v>
      </c>
      <c r="E988" s="407" t="s">
        <v>9516</v>
      </c>
      <c r="F988" s="483"/>
      <c r="G988" s="483"/>
      <c r="H988" s="483"/>
      <c r="I988" s="483"/>
      <c r="J988" s="483"/>
      <c r="K988" s="483"/>
      <c r="L988" s="608" t="s">
        <v>4884</v>
      </c>
      <c r="M988" s="409">
        <v>6378.8858267716532</v>
      </c>
      <c r="N988" s="409">
        <v>6378.8858267716532</v>
      </c>
      <c r="O988" s="410" t="s">
        <v>7569</v>
      </c>
      <c r="P988" s="406">
        <v>985</v>
      </c>
      <c r="Q988" s="262" t="s">
        <v>1880</v>
      </c>
      <c r="R988" s="460" t="s">
        <v>1881</v>
      </c>
      <c r="S988" s="460" t="s">
        <v>32</v>
      </c>
      <c r="U988" s="471"/>
      <c r="V988" s="471">
        <v>1</v>
      </c>
      <c r="W988" s="488"/>
      <c r="X988" s="471"/>
      <c r="Y988" s="206"/>
      <c r="Z988" s="206"/>
    </row>
    <row r="989" spans="1:26">
      <c r="A989" s="406">
        <v>986</v>
      </c>
      <c r="B989" s="613" t="s">
        <v>7020</v>
      </c>
      <c r="C989" s="483" t="s">
        <v>1882</v>
      </c>
      <c r="D989" s="414" t="s">
        <v>4884</v>
      </c>
      <c r="E989" s="407" t="s">
        <v>4884</v>
      </c>
      <c r="F989" s="483"/>
      <c r="G989" s="483"/>
      <c r="H989" s="483"/>
      <c r="I989" s="483"/>
      <c r="J989" s="483"/>
      <c r="K989" s="483"/>
      <c r="L989" s="608" t="s">
        <v>4884</v>
      </c>
      <c r="M989" s="409" t="s">
        <v>4884</v>
      </c>
      <c r="N989" s="409" t="s">
        <v>4884</v>
      </c>
      <c r="O989" s="410" t="s">
        <v>4884</v>
      </c>
      <c r="P989" s="406">
        <v>986</v>
      </c>
      <c r="Q989" s="460" t="s">
        <v>1882</v>
      </c>
      <c r="R989" s="460" t="s">
        <v>1883</v>
      </c>
      <c r="S989" s="460" t="s">
        <v>1884</v>
      </c>
      <c r="U989" s="471"/>
      <c r="V989" s="471"/>
      <c r="W989" s="488"/>
      <c r="X989" s="471"/>
      <c r="Y989" s="206"/>
      <c r="Z989" s="206"/>
    </row>
    <row r="990" spans="1:26">
      <c r="A990" s="406">
        <v>987</v>
      </c>
      <c r="B990" s="613" t="s">
        <v>7020</v>
      </c>
      <c r="C990" s="483" t="s">
        <v>1885</v>
      </c>
      <c r="D990" s="414" t="s">
        <v>4884</v>
      </c>
      <c r="E990" s="407" t="s">
        <v>4884</v>
      </c>
      <c r="F990" s="483"/>
      <c r="G990" s="483"/>
      <c r="H990" s="483"/>
      <c r="I990" s="483"/>
      <c r="J990" s="483"/>
      <c r="K990" s="483"/>
      <c r="L990" s="608" t="s">
        <v>4884</v>
      </c>
      <c r="M990" s="409" t="s">
        <v>4884</v>
      </c>
      <c r="N990" s="409" t="s">
        <v>4884</v>
      </c>
      <c r="O990" s="410" t="s">
        <v>4884</v>
      </c>
      <c r="P990" s="406">
        <v>987</v>
      </c>
      <c r="Q990" s="460" t="s">
        <v>1885</v>
      </c>
      <c r="R990" s="460" t="s">
        <v>1883</v>
      </c>
      <c r="S990" s="460" t="s">
        <v>1884</v>
      </c>
      <c r="U990" s="471"/>
      <c r="V990" s="471"/>
      <c r="W990" s="488"/>
      <c r="X990" s="471"/>
      <c r="Y990" s="206"/>
      <c r="Z990" s="206"/>
    </row>
    <row r="991" spans="1:26">
      <c r="A991" s="406">
        <v>988</v>
      </c>
      <c r="B991" s="613" t="s">
        <v>7020</v>
      </c>
      <c r="C991" s="483" t="s">
        <v>1886</v>
      </c>
      <c r="D991" s="414" t="s">
        <v>4884</v>
      </c>
      <c r="E991" s="407" t="s">
        <v>4884</v>
      </c>
      <c r="F991" s="483"/>
      <c r="G991" s="483"/>
      <c r="H991" s="483"/>
      <c r="I991" s="483"/>
      <c r="J991" s="483"/>
      <c r="K991" s="483"/>
      <c r="L991" s="608" t="s">
        <v>4884</v>
      </c>
      <c r="M991" s="409" t="s">
        <v>4884</v>
      </c>
      <c r="N991" s="409" t="s">
        <v>4884</v>
      </c>
      <c r="O991" s="410" t="s">
        <v>4884</v>
      </c>
      <c r="P991" s="406">
        <v>988</v>
      </c>
      <c r="Q991" s="460" t="s">
        <v>1886</v>
      </c>
      <c r="R991" s="460" t="s">
        <v>1883</v>
      </c>
      <c r="S991" s="460" t="s">
        <v>1884</v>
      </c>
      <c r="U991" s="471"/>
      <c r="V991" s="471"/>
      <c r="W991" s="488"/>
      <c r="X991" s="471"/>
      <c r="Y991" s="206"/>
      <c r="Z991" s="206"/>
    </row>
    <row r="992" spans="1:26">
      <c r="A992" s="406">
        <v>989</v>
      </c>
      <c r="B992" s="613" t="s">
        <v>7020</v>
      </c>
      <c r="C992" s="483" t="s">
        <v>1887</v>
      </c>
      <c r="D992" s="414" t="s">
        <v>4884</v>
      </c>
      <c r="E992" s="407" t="s">
        <v>4884</v>
      </c>
      <c r="F992" s="483"/>
      <c r="G992" s="483"/>
      <c r="H992" s="483"/>
      <c r="I992" s="483"/>
      <c r="J992" s="483"/>
      <c r="K992" s="483"/>
      <c r="L992" s="608" t="s">
        <v>4884</v>
      </c>
      <c r="M992" s="409" t="s">
        <v>4884</v>
      </c>
      <c r="N992" s="409" t="s">
        <v>4884</v>
      </c>
      <c r="O992" s="410" t="s">
        <v>4884</v>
      </c>
      <c r="P992" s="406">
        <v>989</v>
      </c>
      <c r="Q992" s="460" t="s">
        <v>1887</v>
      </c>
      <c r="R992" s="460" t="s">
        <v>1883</v>
      </c>
      <c r="S992" s="460" t="s">
        <v>1884</v>
      </c>
      <c r="U992" s="471"/>
      <c r="V992" s="471"/>
      <c r="W992" s="488"/>
      <c r="X992" s="471"/>
      <c r="Y992" s="206"/>
      <c r="Z992" s="206"/>
    </row>
    <row r="993" spans="1:26">
      <c r="A993" s="406">
        <v>990</v>
      </c>
      <c r="B993" s="613" t="s">
        <v>7020</v>
      </c>
      <c r="C993" s="483" t="s">
        <v>1888</v>
      </c>
      <c r="D993" s="414" t="s">
        <v>4884</v>
      </c>
      <c r="E993" s="407" t="s">
        <v>4884</v>
      </c>
      <c r="F993" s="483"/>
      <c r="G993" s="483"/>
      <c r="H993" s="483"/>
      <c r="I993" s="483"/>
      <c r="J993" s="483"/>
      <c r="K993" s="483"/>
      <c r="L993" s="608" t="s">
        <v>4884</v>
      </c>
      <c r="M993" s="409" t="s">
        <v>4884</v>
      </c>
      <c r="N993" s="409" t="s">
        <v>4884</v>
      </c>
      <c r="O993" s="410" t="s">
        <v>4884</v>
      </c>
      <c r="P993" s="406">
        <v>990</v>
      </c>
      <c r="Q993" s="460" t="s">
        <v>1888</v>
      </c>
      <c r="R993" s="460" t="s">
        <v>1883</v>
      </c>
      <c r="S993" s="460" t="s">
        <v>1884</v>
      </c>
      <c r="U993" s="471"/>
      <c r="V993" s="471"/>
      <c r="W993" s="488"/>
      <c r="X993" s="471"/>
      <c r="Y993" s="206"/>
      <c r="Z993" s="206"/>
    </row>
    <row r="994" spans="1:26">
      <c r="A994" s="406">
        <v>991</v>
      </c>
      <c r="B994" s="613" t="s">
        <v>7020</v>
      </c>
      <c r="C994" s="483" t="s">
        <v>1889</v>
      </c>
      <c r="D994" s="414" t="s">
        <v>4884</v>
      </c>
      <c r="E994" s="407" t="s">
        <v>4884</v>
      </c>
      <c r="F994" s="483"/>
      <c r="G994" s="483"/>
      <c r="H994" s="483"/>
      <c r="I994" s="483"/>
      <c r="J994" s="483"/>
      <c r="K994" s="483"/>
      <c r="L994" s="608" t="s">
        <v>4884</v>
      </c>
      <c r="M994" s="409" t="s">
        <v>4884</v>
      </c>
      <c r="N994" s="409" t="s">
        <v>4884</v>
      </c>
      <c r="O994" s="410" t="s">
        <v>4884</v>
      </c>
      <c r="P994" s="406">
        <v>991</v>
      </c>
      <c r="Q994" s="460" t="s">
        <v>1889</v>
      </c>
      <c r="R994" s="460" t="s">
        <v>1883</v>
      </c>
      <c r="S994" s="460" t="s">
        <v>1884</v>
      </c>
      <c r="U994" s="471"/>
      <c r="V994" s="471"/>
      <c r="W994" s="488"/>
      <c r="X994" s="471"/>
      <c r="Y994" s="206"/>
      <c r="Z994" s="206"/>
    </row>
    <row r="995" spans="1:26">
      <c r="A995" s="406">
        <v>992</v>
      </c>
      <c r="B995" s="613" t="s">
        <v>7020</v>
      </c>
      <c r="C995" s="483" t="s">
        <v>1890</v>
      </c>
      <c r="D995" s="414" t="s">
        <v>4884</v>
      </c>
      <c r="E995" s="407" t="s">
        <v>4884</v>
      </c>
      <c r="F995" s="483"/>
      <c r="G995" s="483"/>
      <c r="H995" s="483"/>
      <c r="I995" s="483"/>
      <c r="J995" s="483"/>
      <c r="K995" s="483"/>
      <c r="L995" s="608" t="s">
        <v>4884</v>
      </c>
      <c r="M995" s="409" t="s">
        <v>4884</v>
      </c>
      <c r="N995" s="409" t="s">
        <v>4884</v>
      </c>
      <c r="O995" s="410" t="s">
        <v>4884</v>
      </c>
      <c r="P995" s="406">
        <v>992</v>
      </c>
      <c r="Q995" s="460" t="s">
        <v>1890</v>
      </c>
      <c r="R995" s="460" t="s">
        <v>1883</v>
      </c>
      <c r="S995" s="460" t="s">
        <v>1884</v>
      </c>
      <c r="U995" s="471"/>
      <c r="V995" s="471"/>
      <c r="W995" s="488"/>
      <c r="X995" s="471"/>
      <c r="Y995" s="206"/>
      <c r="Z995" s="206"/>
    </row>
    <row r="996" spans="1:26">
      <c r="A996" s="406">
        <v>993</v>
      </c>
      <c r="B996" s="613" t="s">
        <v>7020</v>
      </c>
      <c r="C996" s="483" t="s">
        <v>1891</v>
      </c>
      <c r="D996" s="414" t="s">
        <v>4884</v>
      </c>
      <c r="E996" s="407" t="s">
        <v>4884</v>
      </c>
      <c r="F996" s="483"/>
      <c r="G996" s="483"/>
      <c r="H996" s="483"/>
      <c r="I996" s="483"/>
      <c r="J996" s="483"/>
      <c r="K996" s="483"/>
      <c r="L996" s="608" t="s">
        <v>4884</v>
      </c>
      <c r="M996" s="409" t="s">
        <v>4884</v>
      </c>
      <c r="N996" s="409" t="s">
        <v>4884</v>
      </c>
      <c r="O996" s="410" t="s">
        <v>4884</v>
      </c>
      <c r="P996" s="406">
        <v>993</v>
      </c>
      <c r="Q996" s="460" t="s">
        <v>1891</v>
      </c>
      <c r="R996" s="460" t="s">
        <v>1883</v>
      </c>
      <c r="S996" s="460" t="s">
        <v>1884</v>
      </c>
      <c r="U996" s="471"/>
      <c r="V996" s="471"/>
      <c r="W996" s="488"/>
      <c r="X996" s="471"/>
      <c r="Y996" s="206"/>
      <c r="Z996" s="206"/>
    </row>
    <row r="997" spans="1:26">
      <c r="A997" s="406">
        <v>994</v>
      </c>
      <c r="B997" s="613" t="s">
        <v>7020</v>
      </c>
      <c r="C997" s="483" t="s">
        <v>1892</v>
      </c>
      <c r="D997" s="414" t="s">
        <v>4884</v>
      </c>
      <c r="E997" s="407" t="s">
        <v>4884</v>
      </c>
      <c r="F997" s="483"/>
      <c r="G997" s="483"/>
      <c r="H997" s="483"/>
      <c r="I997" s="483"/>
      <c r="J997" s="483"/>
      <c r="K997" s="483"/>
      <c r="L997" s="608" t="s">
        <v>4884</v>
      </c>
      <c r="M997" s="409" t="s">
        <v>4884</v>
      </c>
      <c r="N997" s="409" t="s">
        <v>4884</v>
      </c>
      <c r="O997" s="410" t="s">
        <v>4884</v>
      </c>
      <c r="P997" s="406">
        <v>994</v>
      </c>
      <c r="Q997" s="460" t="s">
        <v>1892</v>
      </c>
      <c r="R997" s="460" t="s">
        <v>1883</v>
      </c>
      <c r="S997" s="460" t="s">
        <v>1884</v>
      </c>
      <c r="U997" s="471"/>
      <c r="V997" s="471"/>
      <c r="W997" s="488"/>
      <c r="X997" s="471"/>
      <c r="Y997" s="206"/>
      <c r="Z997" s="206"/>
    </row>
    <row r="998" spans="1:26">
      <c r="A998" s="406">
        <v>995</v>
      </c>
      <c r="B998" s="613" t="s">
        <v>7020</v>
      </c>
      <c r="C998" s="483" t="s">
        <v>1893</v>
      </c>
      <c r="D998" s="414" t="s">
        <v>4884</v>
      </c>
      <c r="E998" s="407" t="s">
        <v>4884</v>
      </c>
      <c r="F998" s="483"/>
      <c r="G998" s="483"/>
      <c r="H998" s="483"/>
      <c r="I998" s="483"/>
      <c r="J998" s="483"/>
      <c r="K998" s="483"/>
      <c r="L998" s="608" t="s">
        <v>4884</v>
      </c>
      <c r="M998" s="409" t="s">
        <v>4884</v>
      </c>
      <c r="N998" s="409" t="s">
        <v>4884</v>
      </c>
      <c r="O998" s="410" t="s">
        <v>4884</v>
      </c>
      <c r="P998" s="406">
        <v>995</v>
      </c>
      <c r="Q998" s="460" t="s">
        <v>1893</v>
      </c>
      <c r="R998" s="460" t="s">
        <v>1883</v>
      </c>
      <c r="S998" s="460" t="s">
        <v>1884</v>
      </c>
      <c r="U998" s="471"/>
      <c r="V998" s="471"/>
      <c r="W998" s="488"/>
      <c r="X998" s="471"/>
      <c r="Y998" s="206"/>
      <c r="Z998" s="206"/>
    </row>
    <row r="999" spans="1:26">
      <c r="A999" s="406">
        <v>996</v>
      </c>
      <c r="B999" s="613" t="s">
        <v>7020</v>
      </c>
      <c r="C999" s="483" t="s">
        <v>1894</v>
      </c>
      <c r="D999" s="414" t="s">
        <v>4884</v>
      </c>
      <c r="E999" s="407" t="s">
        <v>4884</v>
      </c>
      <c r="F999" s="483"/>
      <c r="G999" s="483"/>
      <c r="H999" s="483"/>
      <c r="I999" s="483"/>
      <c r="J999" s="483"/>
      <c r="K999" s="483"/>
      <c r="L999" s="608" t="s">
        <v>4884</v>
      </c>
      <c r="M999" s="409" t="s">
        <v>4884</v>
      </c>
      <c r="N999" s="409" t="s">
        <v>4884</v>
      </c>
      <c r="O999" s="410" t="s">
        <v>4884</v>
      </c>
      <c r="P999" s="406">
        <v>996</v>
      </c>
      <c r="Q999" s="460" t="s">
        <v>1894</v>
      </c>
      <c r="R999" s="460" t="s">
        <v>1883</v>
      </c>
      <c r="S999" s="460" t="s">
        <v>1884</v>
      </c>
      <c r="U999" s="471"/>
      <c r="V999" s="471"/>
      <c r="W999" s="488"/>
      <c r="X999" s="471"/>
      <c r="Y999" s="206"/>
      <c r="Z999" s="206"/>
    </row>
    <row r="1000" spans="1:26">
      <c r="A1000" s="406">
        <v>997</v>
      </c>
      <c r="B1000" s="613" t="s">
        <v>7020</v>
      </c>
      <c r="C1000" s="483" t="s">
        <v>1895</v>
      </c>
      <c r="D1000" s="414" t="s">
        <v>4884</v>
      </c>
      <c r="E1000" s="407" t="s">
        <v>4884</v>
      </c>
      <c r="F1000" s="483"/>
      <c r="G1000" s="483"/>
      <c r="H1000" s="483"/>
      <c r="I1000" s="483"/>
      <c r="J1000" s="483"/>
      <c r="K1000" s="483"/>
      <c r="L1000" s="608" t="s">
        <v>4884</v>
      </c>
      <c r="M1000" s="409" t="s">
        <v>4884</v>
      </c>
      <c r="N1000" s="409" t="s">
        <v>4884</v>
      </c>
      <c r="O1000" s="410" t="s">
        <v>4884</v>
      </c>
      <c r="P1000" s="406">
        <v>997</v>
      </c>
      <c r="Q1000" s="460" t="s">
        <v>1895</v>
      </c>
      <c r="R1000" s="460" t="s">
        <v>1883</v>
      </c>
      <c r="S1000" s="460" t="s">
        <v>1884</v>
      </c>
      <c r="U1000" s="471"/>
      <c r="V1000" s="471"/>
      <c r="W1000" s="488"/>
      <c r="X1000" s="471"/>
      <c r="Y1000" s="206"/>
      <c r="Z1000" s="206"/>
    </row>
    <row r="1001" spans="1:26">
      <c r="A1001" s="406">
        <v>998</v>
      </c>
      <c r="B1001" s="613" t="s">
        <v>7020</v>
      </c>
      <c r="C1001" s="483" t="s">
        <v>1896</v>
      </c>
      <c r="D1001" s="414" t="s">
        <v>4884</v>
      </c>
      <c r="E1001" s="407" t="s">
        <v>4884</v>
      </c>
      <c r="F1001" s="483"/>
      <c r="G1001" s="483"/>
      <c r="H1001" s="483"/>
      <c r="I1001" s="483"/>
      <c r="J1001" s="483"/>
      <c r="K1001" s="483"/>
      <c r="L1001" s="608" t="s">
        <v>4884</v>
      </c>
      <c r="M1001" s="409" t="s">
        <v>4884</v>
      </c>
      <c r="N1001" s="409" t="s">
        <v>4884</v>
      </c>
      <c r="O1001" s="410" t="s">
        <v>4884</v>
      </c>
      <c r="P1001" s="406">
        <v>998</v>
      </c>
      <c r="Q1001" s="460" t="s">
        <v>1896</v>
      </c>
      <c r="R1001" s="460" t="s">
        <v>1883</v>
      </c>
      <c r="S1001" s="460" t="s">
        <v>1884</v>
      </c>
      <c r="U1001" s="471"/>
      <c r="V1001" s="471"/>
      <c r="W1001" s="488"/>
      <c r="X1001" s="471"/>
      <c r="Y1001" s="206"/>
      <c r="Z1001" s="206"/>
    </row>
    <row r="1002" spans="1:26">
      <c r="A1002" s="406">
        <v>999</v>
      </c>
      <c r="B1002" s="613" t="s">
        <v>7020</v>
      </c>
      <c r="C1002" s="483" t="s">
        <v>1897</v>
      </c>
      <c r="D1002" s="414" t="s">
        <v>4884</v>
      </c>
      <c r="E1002" s="407" t="s">
        <v>4884</v>
      </c>
      <c r="F1002" s="483"/>
      <c r="G1002" s="483"/>
      <c r="H1002" s="483"/>
      <c r="I1002" s="483"/>
      <c r="J1002" s="483"/>
      <c r="K1002" s="483"/>
      <c r="L1002" s="608" t="s">
        <v>4884</v>
      </c>
      <c r="M1002" s="409" t="s">
        <v>4884</v>
      </c>
      <c r="N1002" s="409" t="s">
        <v>4884</v>
      </c>
      <c r="O1002" s="410" t="s">
        <v>4884</v>
      </c>
      <c r="P1002" s="406">
        <v>999</v>
      </c>
      <c r="Q1002" s="460" t="s">
        <v>1897</v>
      </c>
      <c r="R1002" s="460" t="s">
        <v>1883</v>
      </c>
      <c r="S1002" s="460" t="s">
        <v>1884</v>
      </c>
      <c r="U1002" s="471"/>
      <c r="V1002" s="471"/>
      <c r="W1002" s="488"/>
      <c r="X1002" s="471"/>
      <c r="Y1002" s="206"/>
      <c r="Z1002" s="206"/>
    </row>
    <row r="1003" spans="1:26">
      <c r="A1003" s="406">
        <v>1000</v>
      </c>
      <c r="B1003" s="613" t="s">
        <v>7020</v>
      </c>
      <c r="C1003" s="483" t="s">
        <v>1898</v>
      </c>
      <c r="D1003" s="414" t="s">
        <v>4884</v>
      </c>
      <c r="E1003" s="407" t="s">
        <v>4884</v>
      </c>
      <c r="F1003" s="483"/>
      <c r="G1003" s="483"/>
      <c r="H1003" s="483"/>
      <c r="I1003" s="483"/>
      <c r="J1003" s="483"/>
      <c r="K1003" s="483"/>
      <c r="L1003" s="608" t="s">
        <v>4884</v>
      </c>
      <c r="M1003" s="409" t="s">
        <v>4884</v>
      </c>
      <c r="N1003" s="409" t="s">
        <v>4884</v>
      </c>
      <c r="O1003" s="410" t="s">
        <v>4884</v>
      </c>
      <c r="P1003" s="406">
        <v>1000</v>
      </c>
      <c r="Q1003" s="460" t="s">
        <v>1898</v>
      </c>
      <c r="R1003" s="460" t="s">
        <v>1883</v>
      </c>
      <c r="S1003" s="460" t="s">
        <v>1884</v>
      </c>
      <c r="U1003" s="471"/>
      <c r="V1003" s="471"/>
      <c r="W1003" s="488"/>
      <c r="X1003" s="471"/>
      <c r="Y1003" s="206"/>
      <c r="Z1003" s="206"/>
    </row>
    <row r="1004" spans="1:26">
      <c r="A1004" s="406">
        <v>1001</v>
      </c>
      <c r="B1004" s="613" t="s">
        <v>7020</v>
      </c>
      <c r="C1004" s="483" t="s">
        <v>1899</v>
      </c>
      <c r="D1004" s="414" t="s">
        <v>4884</v>
      </c>
      <c r="E1004" s="407" t="s">
        <v>4884</v>
      </c>
      <c r="F1004" s="483"/>
      <c r="G1004" s="483"/>
      <c r="H1004" s="483"/>
      <c r="I1004" s="483"/>
      <c r="J1004" s="483"/>
      <c r="K1004" s="483"/>
      <c r="L1004" s="608" t="s">
        <v>4884</v>
      </c>
      <c r="M1004" s="409" t="s">
        <v>4884</v>
      </c>
      <c r="N1004" s="409" t="s">
        <v>4884</v>
      </c>
      <c r="O1004" s="410" t="s">
        <v>4884</v>
      </c>
      <c r="P1004" s="406">
        <v>1001</v>
      </c>
      <c r="Q1004" s="460" t="s">
        <v>1899</v>
      </c>
      <c r="R1004" s="460" t="s">
        <v>1883</v>
      </c>
      <c r="S1004" s="460" t="s">
        <v>1884</v>
      </c>
      <c r="U1004" s="471"/>
      <c r="V1004" s="471"/>
      <c r="W1004" s="488"/>
      <c r="X1004" s="471"/>
      <c r="Y1004" s="206"/>
      <c r="Z1004" s="206"/>
    </row>
    <row r="1005" spans="1:26">
      <c r="A1005" s="406">
        <v>1002</v>
      </c>
      <c r="B1005" s="613" t="s">
        <v>7020</v>
      </c>
      <c r="C1005" s="483" t="s">
        <v>1900</v>
      </c>
      <c r="D1005" s="414" t="s">
        <v>4884</v>
      </c>
      <c r="E1005" s="407" t="s">
        <v>4884</v>
      </c>
      <c r="F1005" s="483"/>
      <c r="G1005" s="483"/>
      <c r="H1005" s="483"/>
      <c r="I1005" s="483"/>
      <c r="J1005" s="483"/>
      <c r="K1005" s="483"/>
      <c r="L1005" s="608" t="s">
        <v>4884</v>
      </c>
      <c r="M1005" s="409" t="s">
        <v>4884</v>
      </c>
      <c r="N1005" s="409" t="s">
        <v>4884</v>
      </c>
      <c r="O1005" s="410" t="s">
        <v>4884</v>
      </c>
      <c r="P1005" s="406">
        <v>1002</v>
      </c>
      <c r="Q1005" s="460" t="s">
        <v>1900</v>
      </c>
      <c r="R1005" s="460" t="s">
        <v>1883</v>
      </c>
      <c r="S1005" s="460" t="s">
        <v>1884</v>
      </c>
      <c r="U1005" s="471"/>
      <c r="V1005" s="471"/>
      <c r="W1005" s="488"/>
      <c r="X1005" s="471"/>
      <c r="Y1005" s="206"/>
      <c r="Z1005" s="206"/>
    </row>
    <row r="1006" spans="1:26">
      <c r="A1006" s="406">
        <v>1003</v>
      </c>
      <c r="B1006" s="613" t="s">
        <v>7020</v>
      </c>
      <c r="C1006" s="483" t="s">
        <v>1901</v>
      </c>
      <c r="D1006" s="414" t="s">
        <v>4884</v>
      </c>
      <c r="E1006" s="407" t="s">
        <v>4884</v>
      </c>
      <c r="F1006" s="483"/>
      <c r="G1006" s="483"/>
      <c r="H1006" s="483"/>
      <c r="I1006" s="483"/>
      <c r="J1006" s="483"/>
      <c r="K1006" s="483"/>
      <c r="L1006" s="608" t="s">
        <v>4884</v>
      </c>
      <c r="M1006" s="409" t="s">
        <v>4884</v>
      </c>
      <c r="N1006" s="409" t="s">
        <v>4884</v>
      </c>
      <c r="O1006" s="410" t="s">
        <v>4884</v>
      </c>
      <c r="P1006" s="406">
        <v>1003</v>
      </c>
      <c r="Q1006" s="460" t="s">
        <v>1901</v>
      </c>
      <c r="R1006" s="460" t="s">
        <v>1883</v>
      </c>
      <c r="S1006" s="460" t="s">
        <v>1884</v>
      </c>
      <c r="U1006" s="471"/>
      <c r="V1006" s="471"/>
      <c r="W1006" s="488"/>
      <c r="X1006" s="471"/>
      <c r="Y1006" s="206"/>
      <c r="Z1006" s="206"/>
    </row>
    <row r="1007" spans="1:26">
      <c r="A1007" s="406">
        <v>1004</v>
      </c>
      <c r="B1007" s="613" t="s">
        <v>7020</v>
      </c>
      <c r="C1007" s="483" t="s">
        <v>1902</v>
      </c>
      <c r="D1007" s="414" t="s">
        <v>4884</v>
      </c>
      <c r="E1007" s="407" t="s">
        <v>4884</v>
      </c>
      <c r="F1007" s="483"/>
      <c r="G1007" s="483"/>
      <c r="H1007" s="483"/>
      <c r="I1007" s="483"/>
      <c r="J1007" s="483"/>
      <c r="K1007" s="483"/>
      <c r="L1007" s="608" t="s">
        <v>4884</v>
      </c>
      <c r="M1007" s="409" t="s">
        <v>4884</v>
      </c>
      <c r="N1007" s="409" t="s">
        <v>4884</v>
      </c>
      <c r="O1007" s="410" t="s">
        <v>4884</v>
      </c>
      <c r="P1007" s="406">
        <v>1004</v>
      </c>
      <c r="Q1007" s="460" t="s">
        <v>1902</v>
      </c>
      <c r="R1007" s="460" t="s">
        <v>1883</v>
      </c>
      <c r="S1007" s="460" t="s">
        <v>1884</v>
      </c>
      <c r="U1007" s="471"/>
      <c r="V1007" s="471"/>
      <c r="W1007" s="488"/>
      <c r="X1007" s="471"/>
      <c r="Y1007" s="206"/>
      <c r="Z1007" s="206"/>
    </row>
    <row r="1008" spans="1:26">
      <c r="A1008" s="406">
        <v>1005</v>
      </c>
      <c r="B1008" s="613" t="s">
        <v>7020</v>
      </c>
      <c r="C1008" s="483" t="s">
        <v>1903</v>
      </c>
      <c r="D1008" s="414" t="s">
        <v>4884</v>
      </c>
      <c r="E1008" s="407" t="s">
        <v>4884</v>
      </c>
      <c r="F1008" s="483"/>
      <c r="G1008" s="483"/>
      <c r="H1008" s="483"/>
      <c r="I1008" s="483"/>
      <c r="J1008" s="483"/>
      <c r="K1008" s="483"/>
      <c r="L1008" s="608" t="s">
        <v>4884</v>
      </c>
      <c r="M1008" s="409" t="s">
        <v>4884</v>
      </c>
      <c r="N1008" s="409" t="s">
        <v>4884</v>
      </c>
      <c r="O1008" s="410" t="s">
        <v>4884</v>
      </c>
      <c r="P1008" s="406">
        <v>1005</v>
      </c>
      <c r="Q1008" s="460" t="s">
        <v>1903</v>
      </c>
      <c r="R1008" s="460" t="s">
        <v>1883</v>
      </c>
      <c r="S1008" s="460" t="s">
        <v>1884</v>
      </c>
      <c r="U1008" s="471"/>
      <c r="V1008" s="471"/>
      <c r="W1008" s="488"/>
      <c r="X1008" s="471"/>
      <c r="Y1008" s="206"/>
      <c r="Z1008" s="206"/>
    </row>
    <row r="1009" spans="1:26">
      <c r="A1009" s="406">
        <v>1006</v>
      </c>
      <c r="B1009" s="613" t="s">
        <v>7020</v>
      </c>
      <c r="C1009" s="483" t="s">
        <v>1904</v>
      </c>
      <c r="D1009" s="414" t="s">
        <v>4884</v>
      </c>
      <c r="E1009" s="407" t="s">
        <v>4884</v>
      </c>
      <c r="F1009" s="483"/>
      <c r="G1009" s="483"/>
      <c r="H1009" s="483"/>
      <c r="I1009" s="483"/>
      <c r="J1009" s="483"/>
      <c r="K1009" s="483"/>
      <c r="L1009" s="608" t="s">
        <v>4884</v>
      </c>
      <c r="M1009" s="409" t="s">
        <v>4884</v>
      </c>
      <c r="N1009" s="409" t="s">
        <v>4884</v>
      </c>
      <c r="O1009" s="410" t="s">
        <v>4884</v>
      </c>
      <c r="P1009" s="406">
        <v>1006</v>
      </c>
      <c r="Q1009" s="460" t="s">
        <v>1904</v>
      </c>
      <c r="R1009" s="460" t="s">
        <v>1883</v>
      </c>
      <c r="S1009" s="460" t="s">
        <v>1884</v>
      </c>
      <c r="U1009" s="471"/>
      <c r="V1009" s="471"/>
      <c r="W1009" s="488"/>
      <c r="X1009" s="471"/>
      <c r="Y1009" s="206"/>
      <c r="Z1009" s="206"/>
    </row>
    <row r="1010" spans="1:26">
      <c r="A1010" s="406">
        <v>1007</v>
      </c>
      <c r="B1010" s="613" t="s">
        <v>7020</v>
      </c>
      <c r="C1010" s="483" t="s">
        <v>1905</v>
      </c>
      <c r="D1010" s="414" t="s">
        <v>4884</v>
      </c>
      <c r="E1010" s="407" t="s">
        <v>4884</v>
      </c>
      <c r="F1010" s="483"/>
      <c r="G1010" s="483"/>
      <c r="H1010" s="483"/>
      <c r="I1010" s="483"/>
      <c r="J1010" s="483"/>
      <c r="K1010" s="483"/>
      <c r="L1010" s="608" t="s">
        <v>4884</v>
      </c>
      <c r="M1010" s="409" t="s">
        <v>4884</v>
      </c>
      <c r="N1010" s="409" t="s">
        <v>4884</v>
      </c>
      <c r="O1010" s="410" t="s">
        <v>4884</v>
      </c>
      <c r="P1010" s="406">
        <v>1007</v>
      </c>
      <c r="Q1010" s="460" t="s">
        <v>1905</v>
      </c>
      <c r="R1010" s="460" t="s">
        <v>1883</v>
      </c>
      <c r="S1010" s="460" t="s">
        <v>1884</v>
      </c>
      <c r="U1010" s="471"/>
      <c r="V1010" s="471"/>
      <c r="W1010" s="488"/>
      <c r="X1010" s="471"/>
      <c r="Y1010" s="206"/>
      <c r="Z1010" s="206"/>
    </row>
    <row r="1011" spans="1:26">
      <c r="A1011" s="406">
        <v>1008</v>
      </c>
      <c r="B1011" s="613" t="s">
        <v>7020</v>
      </c>
      <c r="C1011" s="483" t="s">
        <v>1906</v>
      </c>
      <c r="D1011" s="414" t="s">
        <v>4884</v>
      </c>
      <c r="E1011" s="407" t="s">
        <v>4884</v>
      </c>
      <c r="F1011" s="483"/>
      <c r="G1011" s="483"/>
      <c r="H1011" s="483"/>
      <c r="I1011" s="483"/>
      <c r="J1011" s="483"/>
      <c r="K1011" s="483"/>
      <c r="L1011" s="608" t="s">
        <v>4884</v>
      </c>
      <c r="M1011" s="409" t="s">
        <v>4884</v>
      </c>
      <c r="N1011" s="409" t="s">
        <v>4884</v>
      </c>
      <c r="O1011" s="410" t="s">
        <v>4884</v>
      </c>
      <c r="P1011" s="406">
        <v>1008</v>
      </c>
      <c r="Q1011" s="460" t="s">
        <v>1906</v>
      </c>
      <c r="R1011" s="460" t="s">
        <v>1883</v>
      </c>
      <c r="S1011" s="460" t="s">
        <v>1884</v>
      </c>
      <c r="U1011" s="471"/>
      <c r="V1011" s="471"/>
      <c r="W1011" s="488"/>
      <c r="X1011" s="471"/>
      <c r="Y1011" s="206"/>
      <c r="Z1011" s="206"/>
    </row>
    <row r="1012" spans="1:26">
      <c r="A1012" s="406">
        <v>1009</v>
      </c>
      <c r="B1012" s="613" t="s">
        <v>7020</v>
      </c>
      <c r="C1012" s="483" t="s">
        <v>1907</v>
      </c>
      <c r="D1012" s="414" t="s">
        <v>4884</v>
      </c>
      <c r="E1012" s="407" t="s">
        <v>4884</v>
      </c>
      <c r="F1012" s="483"/>
      <c r="G1012" s="483"/>
      <c r="H1012" s="483"/>
      <c r="I1012" s="483"/>
      <c r="J1012" s="483"/>
      <c r="K1012" s="483"/>
      <c r="L1012" s="608" t="s">
        <v>4884</v>
      </c>
      <c r="M1012" s="409" t="s">
        <v>4884</v>
      </c>
      <c r="N1012" s="409" t="s">
        <v>4884</v>
      </c>
      <c r="O1012" s="410" t="s">
        <v>4884</v>
      </c>
      <c r="P1012" s="406">
        <v>1009</v>
      </c>
      <c r="Q1012" s="460" t="s">
        <v>1907</v>
      </c>
      <c r="R1012" s="460" t="s">
        <v>1883</v>
      </c>
      <c r="S1012" s="460" t="s">
        <v>1884</v>
      </c>
      <c r="U1012" s="471"/>
      <c r="V1012" s="471"/>
      <c r="W1012" s="488"/>
      <c r="X1012" s="471"/>
      <c r="Y1012" s="206"/>
      <c r="Z1012" s="206"/>
    </row>
    <row r="1013" spans="1:26">
      <c r="A1013" s="406">
        <v>1010</v>
      </c>
      <c r="B1013" s="613" t="s">
        <v>7020</v>
      </c>
      <c r="C1013" s="483" t="s">
        <v>1908</v>
      </c>
      <c r="D1013" s="414" t="s">
        <v>4884</v>
      </c>
      <c r="E1013" s="407" t="s">
        <v>4884</v>
      </c>
      <c r="F1013" s="483"/>
      <c r="G1013" s="483"/>
      <c r="H1013" s="483"/>
      <c r="I1013" s="483"/>
      <c r="J1013" s="483"/>
      <c r="K1013" s="483"/>
      <c r="L1013" s="608" t="s">
        <v>4884</v>
      </c>
      <c r="M1013" s="409" t="s">
        <v>4884</v>
      </c>
      <c r="N1013" s="409" t="s">
        <v>4884</v>
      </c>
      <c r="O1013" s="410" t="s">
        <v>4884</v>
      </c>
      <c r="P1013" s="406">
        <v>1010</v>
      </c>
      <c r="Q1013" s="460" t="s">
        <v>1908</v>
      </c>
      <c r="R1013" s="460" t="s">
        <v>1883</v>
      </c>
      <c r="S1013" s="460" t="s">
        <v>1884</v>
      </c>
      <c r="U1013" s="471"/>
      <c r="V1013" s="471"/>
      <c r="W1013" s="488"/>
      <c r="X1013" s="471"/>
      <c r="Y1013" s="206"/>
      <c r="Z1013" s="206"/>
    </row>
    <row r="1014" spans="1:26">
      <c r="A1014" s="406">
        <v>1011</v>
      </c>
      <c r="B1014" s="613" t="s">
        <v>7020</v>
      </c>
      <c r="C1014" s="483" t="s">
        <v>1909</v>
      </c>
      <c r="D1014" s="414" t="s">
        <v>4884</v>
      </c>
      <c r="E1014" s="407" t="s">
        <v>4884</v>
      </c>
      <c r="F1014" s="483"/>
      <c r="G1014" s="483"/>
      <c r="H1014" s="483"/>
      <c r="I1014" s="483"/>
      <c r="J1014" s="483"/>
      <c r="K1014" s="483"/>
      <c r="L1014" s="608" t="s">
        <v>4884</v>
      </c>
      <c r="M1014" s="409" t="s">
        <v>4884</v>
      </c>
      <c r="N1014" s="409" t="s">
        <v>4884</v>
      </c>
      <c r="O1014" s="410" t="s">
        <v>4884</v>
      </c>
      <c r="P1014" s="406">
        <v>1011</v>
      </c>
      <c r="Q1014" s="460" t="s">
        <v>1909</v>
      </c>
      <c r="R1014" s="460" t="s">
        <v>1883</v>
      </c>
      <c r="S1014" s="460" t="s">
        <v>1884</v>
      </c>
      <c r="U1014" s="471"/>
      <c r="V1014" s="471"/>
      <c r="W1014" s="488"/>
      <c r="X1014" s="471"/>
      <c r="Y1014" s="206"/>
      <c r="Z1014" s="206"/>
    </row>
    <row r="1015" spans="1:26">
      <c r="A1015" s="406">
        <v>1012</v>
      </c>
      <c r="B1015" s="613" t="s">
        <v>7020</v>
      </c>
      <c r="C1015" s="483" t="s">
        <v>1910</v>
      </c>
      <c r="D1015" s="414" t="s">
        <v>4884</v>
      </c>
      <c r="E1015" s="407" t="s">
        <v>4884</v>
      </c>
      <c r="F1015" s="483"/>
      <c r="G1015" s="483"/>
      <c r="H1015" s="483"/>
      <c r="I1015" s="483"/>
      <c r="J1015" s="483"/>
      <c r="K1015" s="483"/>
      <c r="L1015" s="608" t="s">
        <v>4884</v>
      </c>
      <c r="M1015" s="409" t="s">
        <v>4884</v>
      </c>
      <c r="N1015" s="409" t="s">
        <v>4884</v>
      </c>
      <c r="O1015" s="410" t="s">
        <v>4884</v>
      </c>
      <c r="P1015" s="406">
        <v>1012</v>
      </c>
      <c r="Q1015" s="460" t="s">
        <v>1910</v>
      </c>
      <c r="R1015" s="460" t="s">
        <v>1883</v>
      </c>
      <c r="S1015" s="460" t="s">
        <v>1884</v>
      </c>
      <c r="U1015" s="471"/>
      <c r="V1015" s="471"/>
      <c r="W1015" s="488"/>
      <c r="X1015" s="471"/>
      <c r="Y1015" s="206"/>
      <c r="Z1015" s="206"/>
    </row>
    <row r="1016" spans="1:26">
      <c r="A1016" s="406">
        <v>1013</v>
      </c>
      <c r="B1016" s="613" t="s">
        <v>7020</v>
      </c>
      <c r="C1016" s="483" t="s">
        <v>1911</v>
      </c>
      <c r="D1016" s="414" t="s">
        <v>4884</v>
      </c>
      <c r="E1016" s="407" t="s">
        <v>4884</v>
      </c>
      <c r="F1016" s="483"/>
      <c r="G1016" s="483"/>
      <c r="H1016" s="483"/>
      <c r="I1016" s="483"/>
      <c r="J1016" s="483"/>
      <c r="K1016" s="483"/>
      <c r="L1016" s="608" t="s">
        <v>4884</v>
      </c>
      <c r="M1016" s="409" t="s">
        <v>4884</v>
      </c>
      <c r="N1016" s="409" t="s">
        <v>4884</v>
      </c>
      <c r="O1016" s="410" t="s">
        <v>4884</v>
      </c>
      <c r="P1016" s="406">
        <v>1013</v>
      </c>
      <c r="Q1016" s="460" t="s">
        <v>1911</v>
      </c>
      <c r="R1016" s="460" t="s">
        <v>1883</v>
      </c>
      <c r="S1016" s="460" t="s">
        <v>1884</v>
      </c>
      <c r="U1016" s="471"/>
      <c r="V1016" s="471"/>
      <c r="W1016" s="471"/>
      <c r="X1016" s="471"/>
      <c r="Y1016" s="206"/>
      <c r="Z1016" s="206"/>
    </row>
    <row r="1017" spans="1:26">
      <c r="A1017" s="406">
        <v>1014</v>
      </c>
      <c r="B1017" s="613" t="s">
        <v>7020</v>
      </c>
      <c r="C1017" s="483" t="s">
        <v>1912</v>
      </c>
      <c r="D1017" s="414" t="s">
        <v>4884</v>
      </c>
      <c r="E1017" s="407" t="s">
        <v>4884</v>
      </c>
      <c r="F1017" s="483"/>
      <c r="G1017" s="483"/>
      <c r="H1017" s="483"/>
      <c r="I1017" s="483"/>
      <c r="J1017" s="483"/>
      <c r="K1017" s="483"/>
      <c r="L1017" s="608" t="s">
        <v>4884</v>
      </c>
      <c r="M1017" s="409" t="s">
        <v>4884</v>
      </c>
      <c r="N1017" s="409" t="s">
        <v>4884</v>
      </c>
      <c r="O1017" s="410" t="s">
        <v>4884</v>
      </c>
      <c r="P1017" s="406">
        <v>1014</v>
      </c>
      <c r="Q1017" s="460" t="s">
        <v>1912</v>
      </c>
      <c r="R1017" s="460" t="s">
        <v>1883</v>
      </c>
      <c r="S1017" s="460" t="s">
        <v>1884</v>
      </c>
      <c r="U1017" s="471"/>
      <c r="V1017" s="471"/>
      <c r="W1017" s="516"/>
      <c r="X1017" s="471"/>
      <c r="Y1017" s="206"/>
      <c r="Z1017" s="206"/>
    </row>
    <row r="1018" spans="1:26">
      <c r="A1018" s="406">
        <v>1015</v>
      </c>
      <c r="B1018" s="613" t="s">
        <v>7020</v>
      </c>
      <c r="C1018" s="288" t="s">
        <v>1913</v>
      </c>
      <c r="D1018" s="414" t="s">
        <v>4884</v>
      </c>
      <c r="E1018" s="407" t="s">
        <v>4884</v>
      </c>
      <c r="F1018" s="483"/>
      <c r="G1018" s="483"/>
      <c r="H1018" s="483"/>
      <c r="I1018" s="483"/>
      <c r="J1018" s="483"/>
      <c r="K1018" s="483"/>
      <c r="L1018" s="608" t="s">
        <v>4884</v>
      </c>
      <c r="M1018" s="409" t="s">
        <v>4884</v>
      </c>
      <c r="N1018" s="409" t="s">
        <v>4884</v>
      </c>
      <c r="O1018" s="410" t="s">
        <v>4884</v>
      </c>
      <c r="P1018" s="406">
        <v>1015</v>
      </c>
      <c r="Q1018" s="270" t="s">
        <v>1913</v>
      </c>
      <c r="R1018" s="460" t="s">
        <v>1883</v>
      </c>
      <c r="S1018" s="270" t="s">
        <v>1884</v>
      </c>
      <c r="U1018" s="471"/>
      <c r="V1018" s="471"/>
      <c r="W1018" s="516"/>
      <c r="X1018" s="471"/>
      <c r="Y1018" s="206"/>
      <c r="Z1018" s="206"/>
    </row>
    <row r="1019" spans="1:26">
      <c r="A1019" s="406">
        <v>1016</v>
      </c>
      <c r="B1019" s="613" t="s">
        <v>7020</v>
      </c>
      <c r="C1019" s="288" t="s">
        <v>1914</v>
      </c>
      <c r="D1019" s="414" t="s">
        <v>4884</v>
      </c>
      <c r="E1019" s="407" t="s">
        <v>4884</v>
      </c>
      <c r="F1019" s="483"/>
      <c r="G1019" s="483"/>
      <c r="H1019" s="483"/>
      <c r="I1019" s="483"/>
      <c r="J1019" s="483"/>
      <c r="K1019" s="483"/>
      <c r="L1019" s="608" t="s">
        <v>4884</v>
      </c>
      <c r="M1019" s="409" t="s">
        <v>4884</v>
      </c>
      <c r="N1019" s="409" t="s">
        <v>4884</v>
      </c>
      <c r="O1019" s="410" t="s">
        <v>4884</v>
      </c>
      <c r="P1019" s="406">
        <v>1016</v>
      </c>
      <c r="Q1019" s="270" t="s">
        <v>1914</v>
      </c>
      <c r="R1019" s="460" t="s">
        <v>1883</v>
      </c>
      <c r="S1019" s="270" t="s">
        <v>1884</v>
      </c>
      <c r="U1019" s="471"/>
      <c r="V1019" s="471"/>
      <c r="W1019" s="516"/>
      <c r="X1019" s="471"/>
      <c r="Y1019" s="206"/>
      <c r="Z1019" s="206"/>
    </row>
    <row r="1020" spans="1:26">
      <c r="A1020" s="406">
        <v>1017</v>
      </c>
      <c r="B1020" s="613" t="s">
        <v>7020</v>
      </c>
      <c r="C1020" s="288" t="s">
        <v>1915</v>
      </c>
      <c r="D1020" s="414" t="s">
        <v>4884</v>
      </c>
      <c r="E1020" s="407" t="s">
        <v>4884</v>
      </c>
      <c r="F1020" s="483"/>
      <c r="G1020" s="483"/>
      <c r="H1020" s="483"/>
      <c r="I1020" s="483"/>
      <c r="J1020" s="483"/>
      <c r="K1020" s="483"/>
      <c r="L1020" s="608" t="s">
        <v>4884</v>
      </c>
      <c r="M1020" s="409" t="s">
        <v>4884</v>
      </c>
      <c r="N1020" s="409" t="s">
        <v>4884</v>
      </c>
      <c r="O1020" s="410" t="s">
        <v>4884</v>
      </c>
      <c r="P1020" s="406">
        <v>1017</v>
      </c>
      <c r="Q1020" s="270" t="s">
        <v>1915</v>
      </c>
      <c r="R1020" s="460" t="s">
        <v>1883</v>
      </c>
      <c r="S1020" s="270" t="s">
        <v>1884</v>
      </c>
      <c r="U1020" s="471"/>
      <c r="V1020" s="471"/>
      <c r="W1020" s="516"/>
      <c r="X1020" s="471"/>
      <c r="Y1020" s="206"/>
      <c r="Z1020" s="206"/>
    </row>
    <row r="1021" spans="1:26">
      <c r="A1021" s="406">
        <v>1018</v>
      </c>
      <c r="B1021" s="613" t="s">
        <v>7020</v>
      </c>
      <c r="C1021" s="288" t="s">
        <v>1916</v>
      </c>
      <c r="D1021" s="414" t="s">
        <v>4884</v>
      </c>
      <c r="E1021" s="407" t="s">
        <v>4884</v>
      </c>
      <c r="F1021" s="483"/>
      <c r="G1021" s="483"/>
      <c r="H1021" s="483"/>
      <c r="I1021" s="483"/>
      <c r="J1021" s="483"/>
      <c r="K1021" s="483"/>
      <c r="L1021" s="608" t="s">
        <v>4884</v>
      </c>
      <c r="M1021" s="409" t="s">
        <v>4884</v>
      </c>
      <c r="N1021" s="409" t="s">
        <v>4884</v>
      </c>
      <c r="O1021" s="410" t="s">
        <v>4884</v>
      </c>
      <c r="P1021" s="406">
        <v>1018</v>
      </c>
      <c r="Q1021" s="270" t="s">
        <v>1916</v>
      </c>
      <c r="R1021" s="460" t="s">
        <v>1883</v>
      </c>
      <c r="S1021" s="270" t="s">
        <v>1884</v>
      </c>
      <c r="U1021" s="471"/>
      <c r="V1021" s="471"/>
      <c r="W1021" s="516"/>
      <c r="X1021" s="471"/>
      <c r="Y1021" s="206"/>
      <c r="Z1021" s="206"/>
    </row>
    <row r="1022" spans="1:26">
      <c r="A1022" s="406">
        <v>1019</v>
      </c>
      <c r="B1022" s="613" t="s">
        <v>7020</v>
      </c>
      <c r="C1022" s="288" t="s">
        <v>1917</v>
      </c>
      <c r="D1022" s="414" t="s">
        <v>4884</v>
      </c>
      <c r="E1022" s="407" t="s">
        <v>4884</v>
      </c>
      <c r="F1022" s="483"/>
      <c r="G1022" s="483"/>
      <c r="H1022" s="483"/>
      <c r="I1022" s="483"/>
      <c r="J1022" s="483"/>
      <c r="K1022" s="483"/>
      <c r="L1022" s="608" t="s">
        <v>4884</v>
      </c>
      <c r="M1022" s="409" t="s">
        <v>4884</v>
      </c>
      <c r="N1022" s="409" t="s">
        <v>4884</v>
      </c>
      <c r="O1022" s="410" t="s">
        <v>4884</v>
      </c>
      <c r="P1022" s="406">
        <v>1019</v>
      </c>
      <c r="Q1022" s="270" t="s">
        <v>1917</v>
      </c>
      <c r="R1022" s="460" t="s">
        <v>1883</v>
      </c>
      <c r="S1022" s="270" t="s">
        <v>1884</v>
      </c>
      <c r="U1022" s="471"/>
      <c r="V1022" s="471"/>
      <c r="W1022" s="516"/>
      <c r="X1022" s="471"/>
      <c r="Y1022" s="206"/>
      <c r="Z1022" s="206"/>
    </row>
    <row r="1023" spans="1:26">
      <c r="A1023" s="406">
        <v>1020</v>
      </c>
      <c r="B1023" s="613" t="s">
        <v>7020</v>
      </c>
      <c r="C1023" s="288" t="s">
        <v>1918</v>
      </c>
      <c r="D1023" s="414" t="s">
        <v>4884</v>
      </c>
      <c r="E1023" s="407" t="s">
        <v>4884</v>
      </c>
      <c r="F1023" s="483"/>
      <c r="G1023" s="483"/>
      <c r="H1023" s="483"/>
      <c r="I1023" s="483"/>
      <c r="J1023" s="483"/>
      <c r="K1023" s="483"/>
      <c r="L1023" s="608" t="s">
        <v>4884</v>
      </c>
      <c r="M1023" s="409" t="s">
        <v>4884</v>
      </c>
      <c r="N1023" s="409" t="s">
        <v>4884</v>
      </c>
      <c r="O1023" s="410" t="s">
        <v>4884</v>
      </c>
      <c r="P1023" s="406">
        <v>1020</v>
      </c>
      <c r="Q1023" s="270" t="s">
        <v>1918</v>
      </c>
      <c r="R1023" s="460" t="s">
        <v>1883</v>
      </c>
      <c r="S1023" s="270" t="s">
        <v>1884</v>
      </c>
      <c r="U1023" s="471"/>
      <c r="V1023" s="471"/>
      <c r="W1023" s="516"/>
      <c r="X1023" s="471"/>
      <c r="Y1023" s="206"/>
      <c r="Z1023" s="206"/>
    </row>
    <row r="1024" spans="1:26">
      <c r="A1024" s="406">
        <v>1021</v>
      </c>
      <c r="B1024" s="613" t="s">
        <v>7020</v>
      </c>
      <c r="C1024" s="288" t="s">
        <v>1919</v>
      </c>
      <c r="D1024" s="414" t="s">
        <v>4884</v>
      </c>
      <c r="E1024" s="407" t="s">
        <v>4884</v>
      </c>
      <c r="F1024" s="483"/>
      <c r="G1024" s="483"/>
      <c r="H1024" s="483"/>
      <c r="I1024" s="483"/>
      <c r="J1024" s="483"/>
      <c r="K1024" s="483"/>
      <c r="L1024" s="608" t="s">
        <v>4884</v>
      </c>
      <c r="M1024" s="409" t="s">
        <v>4884</v>
      </c>
      <c r="N1024" s="409" t="s">
        <v>4884</v>
      </c>
      <c r="O1024" s="410" t="s">
        <v>4884</v>
      </c>
      <c r="P1024" s="406">
        <v>1021</v>
      </c>
      <c r="Q1024" s="270" t="s">
        <v>1919</v>
      </c>
      <c r="R1024" s="460" t="s">
        <v>1883</v>
      </c>
      <c r="S1024" s="270" t="s">
        <v>1884</v>
      </c>
      <c r="U1024" s="471"/>
      <c r="V1024" s="471"/>
      <c r="W1024" s="516"/>
      <c r="X1024" s="471"/>
      <c r="Y1024" s="206"/>
      <c r="Z1024" s="206"/>
    </row>
    <row r="1025" spans="1:26">
      <c r="A1025" s="406">
        <v>1022</v>
      </c>
      <c r="B1025" s="613" t="s">
        <v>7020</v>
      </c>
      <c r="C1025" s="288" t="s">
        <v>1920</v>
      </c>
      <c r="D1025" s="414" t="s">
        <v>4884</v>
      </c>
      <c r="E1025" s="407" t="s">
        <v>4884</v>
      </c>
      <c r="F1025" s="483"/>
      <c r="G1025" s="483"/>
      <c r="H1025" s="483"/>
      <c r="I1025" s="483"/>
      <c r="J1025" s="483"/>
      <c r="K1025" s="483"/>
      <c r="L1025" s="608" t="s">
        <v>4884</v>
      </c>
      <c r="M1025" s="409" t="s">
        <v>4884</v>
      </c>
      <c r="N1025" s="409" t="s">
        <v>4884</v>
      </c>
      <c r="O1025" s="410" t="s">
        <v>4884</v>
      </c>
      <c r="P1025" s="406">
        <v>1022</v>
      </c>
      <c r="Q1025" s="270" t="s">
        <v>1920</v>
      </c>
      <c r="R1025" s="460" t="s">
        <v>1883</v>
      </c>
      <c r="S1025" s="270" t="s">
        <v>1884</v>
      </c>
      <c r="U1025" s="471"/>
      <c r="V1025" s="471"/>
      <c r="W1025" s="516"/>
      <c r="X1025" s="471"/>
      <c r="Y1025" s="206"/>
      <c r="Z1025" s="206"/>
    </row>
    <row r="1026" spans="1:26">
      <c r="A1026" s="406">
        <v>1023</v>
      </c>
      <c r="B1026" s="613" t="s">
        <v>7020</v>
      </c>
      <c r="C1026" s="288" t="s">
        <v>1921</v>
      </c>
      <c r="D1026" s="414" t="s">
        <v>4884</v>
      </c>
      <c r="E1026" s="407" t="s">
        <v>4884</v>
      </c>
      <c r="F1026" s="483"/>
      <c r="G1026" s="483"/>
      <c r="H1026" s="483"/>
      <c r="I1026" s="483"/>
      <c r="J1026" s="483"/>
      <c r="K1026" s="483"/>
      <c r="L1026" s="608" t="s">
        <v>4884</v>
      </c>
      <c r="M1026" s="409" t="s">
        <v>4884</v>
      </c>
      <c r="N1026" s="409" t="s">
        <v>4884</v>
      </c>
      <c r="O1026" s="410" t="s">
        <v>4884</v>
      </c>
      <c r="P1026" s="406">
        <v>1023</v>
      </c>
      <c r="Q1026" s="270" t="s">
        <v>1921</v>
      </c>
      <c r="R1026" s="460" t="s">
        <v>1883</v>
      </c>
      <c r="S1026" s="270" t="s">
        <v>1884</v>
      </c>
      <c r="U1026" s="471"/>
      <c r="V1026" s="471"/>
      <c r="W1026" s="516"/>
      <c r="X1026" s="471"/>
      <c r="Y1026" s="206"/>
      <c r="Z1026" s="206"/>
    </row>
    <row r="1027" spans="1:26">
      <c r="A1027" s="406">
        <v>1024</v>
      </c>
      <c r="B1027" s="613" t="s">
        <v>7020</v>
      </c>
      <c r="C1027" s="288" t="s">
        <v>1922</v>
      </c>
      <c r="D1027" s="414" t="s">
        <v>4884</v>
      </c>
      <c r="E1027" s="407" t="s">
        <v>4884</v>
      </c>
      <c r="F1027" s="483"/>
      <c r="G1027" s="483"/>
      <c r="H1027" s="483"/>
      <c r="I1027" s="483"/>
      <c r="J1027" s="483"/>
      <c r="K1027" s="483"/>
      <c r="L1027" s="608" t="s">
        <v>4884</v>
      </c>
      <c r="M1027" s="409" t="s">
        <v>4884</v>
      </c>
      <c r="N1027" s="409" t="s">
        <v>4884</v>
      </c>
      <c r="O1027" s="410" t="s">
        <v>4884</v>
      </c>
      <c r="P1027" s="406">
        <v>1024</v>
      </c>
      <c r="Q1027" s="270" t="s">
        <v>1922</v>
      </c>
      <c r="R1027" s="460" t="s">
        <v>1883</v>
      </c>
      <c r="S1027" s="270" t="s">
        <v>1884</v>
      </c>
      <c r="U1027" s="471"/>
      <c r="V1027" s="471"/>
      <c r="W1027" s="516"/>
      <c r="X1027" s="471"/>
      <c r="Y1027" s="206"/>
      <c r="Z1027" s="206"/>
    </row>
    <row r="1028" spans="1:26">
      <c r="A1028" s="406">
        <v>1025</v>
      </c>
      <c r="B1028" s="613" t="s">
        <v>7020</v>
      </c>
      <c r="C1028" s="288" t="s">
        <v>1923</v>
      </c>
      <c r="D1028" s="414" t="s">
        <v>4884</v>
      </c>
      <c r="E1028" s="407" t="s">
        <v>4884</v>
      </c>
      <c r="F1028" s="483"/>
      <c r="G1028" s="483"/>
      <c r="H1028" s="483"/>
      <c r="I1028" s="483"/>
      <c r="J1028" s="483"/>
      <c r="K1028" s="483"/>
      <c r="L1028" s="608" t="s">
        <v>4884</v>
      </c>
      <c r="M1028" s="409" t="s">
        <v>4884</v>
      </c>
      <c r="N1028" s="409" t="s">
        <v>4884</v>
      </c>
      <c r="O1028" s="410" t="s">
        <v>4884</v>
      </c>
      <c r="P1028" s="406">
        <v>1025</v>
      </c>
      <c r="Q1028" s="270" t="s">
        <v>1923</v>
      </c>
      <c r="R1028" s="460" t="s">
        <v>1883</v>
      </c>
      <c r="S1028" s="270" t="s">
        <v>1884</v>
      </c>
      <c r="U1028" s="471"/>
      <c r="V1028" s="471"/>
      <c r="W1028" s="516"/>
      <c r="X1028" s="471"/>
      <c r="Y1028" s="206"/>
      <c r="Z1028" s="206"/>
    </row>
    <row r="1029" spans="1:26">
      <c r="A1029" s="406">
        <v>1026</v>
      </c>
      <c r="B1029" s="613" t="s">
        <v>7020</v>
      </c>
      <c r="C1029" s="288" t="s">
        <v>1924</v>
      </c>
      <c r="D1029" s="414" t="s">
        <v>4884</v>
      </c>
      <c r="E1029" s="407" t="s">
        <v>4884</v>
      </c>
      <c r="F1029" s="483"/>
      <c r="G1029" s="483"/>
      <c r="H1029" s="483"/>
      <c r="I1029" s="483"/>
      <c r="J1029" s="483"/>
      <c r="K1029" s="483"/>
      <c r="L1029" s="608" t="s">
        <v>4884</v>
      </c>
      <c r="M1029" s="409" t="s">
        <v>4884</v>
      </c>
      <c r="N1029" s="409" t="s">
        <v>4884</v>
      </c>
      <c r="O1029" s="410" t="s">
        <v>4884</v>
      </c>
      <c r="P1029" s="406">
        <v>1026</v>
      </c>
      <c r="Q1029" s="270" t="s">
        <v>1924</v>
      </c>
      <c r="R1029" s="460" t="s">
        <v>1883</v>
      </c>
      <c r="S1029" s="270" t="s">
        <v>1884</v>
      </c>
      <c r="U1029" s="471"/>
      <c r="V1029" s="471"/>
      <c r="W1029" s="516"/>
      <c r="X1029" s="471"/>
      <c r="Y1029" s="206"/>
      <c r="Z1029" s="206"/>
    </row>
    <row r="1030" spans="1:26">
      <c r="A1030" s="406">
        <v>1027</v>
      </c>
      <c r="B1030" s="613" t="s">
        <v>7020</v>
      </c>
      <c r="C1030" s="288" t="s">
        <v>1925</v>
      </c>
      <c r="D1030" s="414" t="s">
        <v>4884</v>
      </c>
      <c r="E1030" s="407" t="s">
        <v>4884</v>
      </c>
      <c r="F1030" s="483"/>
      <c r="G1030" s="483"/>
      <c r="H1030" s="483"/>
      <c r="I1030" s="483"/>
      <c r="J1030" s="483"/>
      <c r="K1030" s="483"/>
      <c r="L1030" s="608" t="s">
        <v>4884</v>
      </c>
      <c r="M1030" s="409" t="s">
        <v>4884</v>
      </c>
      <c r="N1030" s="409" t="s">
        <v>4884</v>
      </c>
      <c r="O1030" s="410" t="s">
        <v>4884</v>
      </c>
      <c r="P1030" s="406">
        <v>1027</v>
      </c>
      <c r="Q1030" s="270" t="s">
        <v>1925</v>
      </c>
      <c r="R1030" s="460" t="s">
        <v>1883</v>
      </c>
      <c r="S1030" s="270" t="s">
        <v>1884</v>
      </c>
      <c r="U1030" s="471"/>
      <c r="V1030" s="471"/>
      <c r="W1030" s="516"/>
      <c r="X1030" s="471"/>
      <c r="Y1030" s="206"/>
      <c r="Z1030" s="206"/>
    </row>
    <row r="1031" spans="1:26">
      <c r="A1031" s="406">
        <v>1028</v>
      </c>
      <c r="B1031" s="613" t="s">
        <v>7020</v>
      </c>
      <c r="C1031" s="288" t="s">
        <v>1926</v>
      </c>
      <c r="D1031" s="414" t="s">
        <v>4884</v>
      </c>
      <c r="E1031" s="407" t="s">
        <v>4884</v>
      </c>
      <c r="F1031" s="483"/>
      <c r="G1031" s="483"/>
      <c r="H1031" s="483"/>
      <c r="I1031" s="483"/>
      <c r="J1031" s="483"/>
      <c r="K1031" s="483"/>
      <c r="L1031" s="608" t="s">
        <v>4884</v>
      </c>
      <c r="M1031" s="409" t="s">
        <v>4884</v>
      </c>
      <c r="N1031" s="409" t="s">
        <v>4884</v>
      </c>
      <c r="O1031" s="410" t="s">
        <v>4884</v>
      </c>
      <c r="P1031" s="406">
        <v>1028</v>
      </c>
      <c r="Q1031" s="270" t="s">
        <v>1926</v>
      </c>
      <c r="R1031" s="460" t="s">
        <v>1883</v>
      </c>
      <c r="S1031" s="270" t="s">
        <v>1884</v>
      </c>
      <c r="U1031" s="471"/>
      <c r="V1031" s="471"/>
      <c r="W1031" s="516"/>
      <c r="X1031" s="471"/>
      <c r="Y1031" s="206"/>
      <c r="Z1031" s="206"/>
    </row>
    <row r="1032" spans="1:26">
      <c r="A1032" s="406">
        <v>1029</v>
      </c>
      <c r="B1032" s="613" t="s">
        <v>7020</v>
      </c>
      <c r="C1032" s="288" t="s">
        <v>1927</v>
      </c>
      <c r="D1032" s="414" t="s">
        <v>4884</v>
      </c>
      <c r="E1032" s="407" t="s">
        <v>4884</v>
      </c>
      <c r="F1032" s="483"/>
      <c r="G1032" s="483"/>
      <c r="H1032" s="483"/>
      <c r="I1032" s="483"/>
      <c r="J1032" s="483"/>
      <c r="K1032" s="483"/>
      <c r="L1032" s="608" t="s">
        <v>4884</v>
      </c>
      <c r="M1032" s="409" t="s">
        <v>4884</v>
      </c>
      <c r="N1032" s="409" t="s">
        <v>4884</v>
      </c>
      <c r="O1032" s="410" t="s">
        <v>4884</v>
      </c>
      <c r="P1032" s="406">
        <v>1029</v>
      </c>
      <c r="Q1032" s="270" t="s">
        <v>1927</v>
      </c>
      <c r="R1032" s="460" t="s">
        <v>1883</v>
      </c>
      <c r="S1032" s="270" t="s">
        <v>1884</v>
      </c>
      <c r="U1032" s="471"/>
      <c r="V1032" s="471"/>
      <c r="W1032" s="516"/>
      <c r="X1032" s="471"/>
      <c r="Y1032" s="206"/>
      <c r="Z1032" s="206"/>
    </row>
    <row r="1033" spans="1:26">
      <c r="A1033" s="406">
        <v>1030</v>
      </c>
      <c r="B1033" s="613" t="s">
        <v>7020</v>
      </c>
      <c r="C1033" s="288" t="s">
        <v>1928</v>
      </c>
      <c r="D1033" s="414" t="s">
        <v>4884</v>
      </c>
      <c r="E1033" s="407" t="s">
        <v>4884</v>
      </c>
      <c r="F1033" s="483"/>
      <c r="G1033" s="483"/>
      <c r="H1033" s="483"/>
      <c r="I1033" s="483"/>
      <c r="J1033" s="483"/>
      <c r="K1033" s="483"/>
      <c r="L1033" s="608" t="s">
        <v>4884</v>
      </c>
      <c r="M1033" s="409" t="s">
        <v>4884</v>
      </c>
      <c r="N1033" s="409" t="s">
        <v>4884</v>
      </c>
      <c r="O1033" s="410" t="s">
        <v>4884</v>
      </c>
      <c r="P1033" s="406">
        <v>1030</v>
      </c>
      <c r="Q1033" s="270" t="s">
        <v>1928</v>
      </c>
      <c r="R1033" s="460" t="s">
        <v>1883</v>
      </c>
      <c r="S1033" s="270" t="s">
        <v>1884</v>
      </c>
      <c r="U1033" s="471"/>
      <c r="V1033" s="471"/>
      <c r="W1033" s="516"/>
      <c r="X1033" s="471"/>
      <c r="Y1033" s="206"/>
      <c r="Z1033" s="206"/>
    </row>
    <row r="1034" spans="1:26">
      <c r="A1034" s="406">
        <v>1031</v>
      </c>
      <c r="B1034" s="613" t="s">
        <v>7020</v>
      </c>
      <c r="C1034" s="288" t="s">
        <v>1929</v>
      </c>
      <c r="D1034" s="414" t="s">
        <v>4884</v>
      </c>
      <c r="E1034" s="407" t="s">
        <v>4884</v>
      </c>
      <c r="F1034" s="483"/>
      <c r="G1034" s="483"/>
      <c r="H1034" s="483"/>
      <c r="I1034" s="483"/>
      <c r="J1034" s="483"/>
      <c r="K1034" s="483"/>
      <c r="L1034" s="608" t="s">
        <v>4884</v>
      </c>
      <c r="M1034" s="409" t="s">
        <v>4884</v>
      </c>
      <c r="N1034" s="409" t="s">
        <v>4884</v>
      </c>
      <c r="O1034" s="410" t="s">
        <v>4884</v>
      </c>
      <c r="P1034" s="406">
        <v>1031</v>
      </c>
      <c r="Q1034" s="270" t="s">
        <v>1929</v>
      </c>
      <c r="R1034" s="460" t="s">
        <v>1883</v>
      </c>
      <c r="S1034" s="270" t="s">
        <v>1884</v>
      </c>
      <c r="U1034" s="471"/>
      <c r="V1034" s="471"/>
      <c r="W1034" s="516"/>
      <c r="X1034" s="471"/>
      <c r="Y1034" s="206"/>
      <c r="Z1034" s="206"/>
    </row>
    <row r="1035" spans="1:26">
      <c r="A1035" s="406">
        <v>1032</v>
      </c>
      <c r="B1035" s="613" t="s">
        <v>7020</v>
      </c>
      <c r="C1035" s="288" t="s">
        <v>1930</v>
      </c>
      <c r="D1035" s="414" t="s">
        <v>4884</v>
      </c>
      <c r="E1035" s="407" t="s">
        <v>4884</v>
      </c>
      <c r="F1035" s="483"/>
      <c r="G1035" s="483"/>
      <c r="H1035" s="483"/>
      <c r="I1035" s="483"/>
      <c r="J1035" s="483"/>
      <c r="K1035" s="483"/>
      <c r="L1035" s="608" t="s">
        <v>4884</v>
      </c>
      <c r="M1035" s="409" t="s">
        <v>4884</v>
      </c>
      <c r="N1035" s="409" t="s">
        <v>4884</v>
      </c>
      <c r="O1035" s="410" t="s">
        <v>4884</v>
      </c>
      <c r="P1035" s="406">
        <v>1032</v>
      </c>
      <c r="Q1035" s="270" t="s">
        <v>1930</v>
      </c>
      <c r="R1035" s="460" t="s">
        <v>1883</v>
      </c>
      <c r="S1035" s="270" t="s">
        <v>1884</v>
      </c>
      <c r="U1035" s="471"/>
      <c r="V1035" s="471"/>
      <c r="W1035" s="516"/>
      <c r="X1035" s="471"/>
      <c r="Y1035" s="206"/>
      <c r="Z1035" s="206"/>
    </row>
    <row r="1036" spans="1:26">
      <c r="A1036" s="406">
        <v>1033</v>
      </c>
      <c r="B1036" s="613" t="s">
        <v>7020</v>
      </c>
      <c r="C1036" s="288" t="s">
        <v>1931</v>
      </c>
      <c r="D1036" s="414" t="s">
        <v>4884</v>
      </c>
      <c r="E1036" s="407" t="s">
        <v>4884</v>
      </c>
      <c r="F1036" s="483"/>
      <c r="G1036" s="483"/>
      <c r="H1036" s="483"/>
      <c r="I1036" s="483"/>
      <c r="J1036" s="483"/>
      <c r="K1036" s="483"/>
      <c r="L1036" s="608" t="s">
        <v>4884</v>
      </c>
      <c r="M1036" s="409" t="s">
        <v>4884</v>
      </c>
      <c r="N1036" s="409" t="s">
        <v>4884</v>
      </c>
      <c r="O1036" s="410" t="s">
        <v>4884</v>
      </c>
      <c r="P1036" s="406">
        <v>1033</v>
      </c>
      <c r="Q1036" s="270" t="s">
        <v>1931</v>
      </c>
      <c r="R1036" s="460" t="s">
        <v>1883</v>
      </c>
      <c r="S1036" s="270" t="s">
        <v>1884</v>
      </c>
      <c r="U1036" s="471"/>
      <c r="V1036" s="471"/>
      <c r="W1036" s="516"/>
      <c r="X1036" s="471"/>
      <c r="Y1036" s="206"/>
      <c r="Z1036" s="206"/>
    </row>
    <row r="1037" spans="1:26">
      <c r="A1037" s="406">
        <v>1034</v>
      </c>
      <c r="B1037" s="613" t="s">
        <v>7020</v>
      </c>
      <c r="C1037" s="288" t="s">
        <v>1932</v>
      </c>
      <c r="D1037" s="414" t="s">
        <v>4884</v>
      </c>
      <c r="E1037" s="407" t="s">
        <v>4884</v>
      </c>
      <c r="F1037" s="483"/>
      <c r="G1037" s="483"/>
      <c r="H1037" s="483"/>
      <c r="I1037" s="483"/>
      <c r="J1037" s="483"/>
      <c r="K1037" s="483"/>
      <c r="L1037" s="608" t="s">
        <v>4884</v>
      </c>
      <c r="M1037" s="409" t="s">
        <v>4884</v>
      </c>
      <c r="N1037" s="409" t="s">
        <v>4884</v>
      </c>
      <c r="O1037" s="410" t="s">
        <v>4884</v>
      </c>
      <c r="P1037" s="406">
        <v>1034</v>
      </c>
      <c r="Q1037" s="270" t="s">
        <v>1932</v>
      </c>
      <c r="R1037" s="460" t="s">
        <v>1883</v>
      </c>
      <c r="S1037" s="270" t="s">
        <v>1884</v>
      </c>
      <c r="U1037" s="471"/>
      <c r="V1037" s="471"/>
      <c r="W1037" s="516"/>
      <c r="X1037" s="471"/>
      <c r="Y1037" s="206"/>
      <c r="Z1037" s="206"/>
    </row>
    <row r="1038" spans="1:26">
      <c r="A1038" s="406">
        <v>1035</v>
      </c>
      <c r="B1038" s="613" t="s">
        <v>7020</v>
      </c>
      <c r="C1038" s="288" t="s">
        <v>1933</v>
      </c>
      <c r="D1038" s="414" t="s">
        <v>4884</v>
      </c>
      <c r="E1038" s="407" t="s">
        <v>4884</v>
      </c>
      <c r="F1038" s="483"/>
      <c r="G1038" s="483"/>
      <c r="H1038" s="483"/>
      <c r="I1038" s="483"/>
      <c r="J1038" s="483"/>
      <c r="K1038" s="483"/>
      <c r="L1038" s="608" t="s">
        <v>4884</v>
      </c>
      <c r="M1038" s="409" t="s">
        <v>4884</v>
      </c>
      <c r="N1038" s="409" t="s">
        <v>4884</v>
      </c>
      <c r="O1038" s="410" t="s">
        <v>4884</v>
      </c>
      <c r="P1038" s="406">
        <v>1035</v>
      </c>
      <c r="Q1038" s="270" t="s">
        <v>1933</v>
      </c>
      <c r="R1038" s="460" t="s">
        <v>1883</v>
      </c>
      <c r="S1038" s="270" t="s">
        <v>1884</v>
      </c>
      <c r="U1038" s="471"/>
      <c r="V1038" s="471"/>
      <c r="W1038" s="516"/>
      <c r="X1038" s="471"/>
      <c r="Y1038" s="206"/>
      <c r="Z1038" s="206"/>
    </row>
    <row r="1039" spans="1:26">
      <c r="A1039" s="406">
        <v>1036</v>
      </c>
      <c r="B1039" s="613" t="s">
        <v>7020</v>
      </c>
      <c r="C1039" s="288" t="s">
        <v>1934</v>
      </c>
      <c r="D1039" s="414" t="s">
        <v>4884</v>
      </c>
      <c r="E1039" s="407" t="s">
        <v>4884</v>
      </c>
      <c r="F1039" s="483"/>
      <c r="G1039" s="483"/>
      <c r="H1039" s="483"/>
      <c r="I1039" s="483"/>
      <c r="J1039" s="483"/>
      <c r="K1039" s="483"/>
      <c r="L1039" s="608" t="s">
        <v>4884</v>
      </c>
      <c r="M1039" s="409" t="s">
        <v>4884</v>
      </c>
      <c r="N1039" s="409" t="s">
        <v>4884</v>
      </c>
      <c r="O1039" s="410" t="s">
        <v>4884</v>
      </c>
      <c r="P1039" s="406">
        <v>1036</v>
      </c>
      <c r="Q1039" s="270" t="s">
        <v>1934</v>
      </c>
      <c r="R1039" s="460" t="s">
        <v>1883</v>
      </c>
      <c r="S1039" s="270" t="s">
        <v>1884</v>
      </c>
      <c r="U1039" s="471"/>
      <c r="V1039" s="471"/>
      <c r="W1039" s="516"/>
      <c r="X1039" s="471"/>
      <c r="Y1039" s="206"/>
      <c r="Z1039" s="206"/>
    </row>
    <row r="1040" spans="1:26">
      <c r="A1040" s="406">
        <v>1037</v>
      </c>
      <c r="B1040" s="613" t="s">
        <v>7020</v>
      </c>
      <c r="C1040" s="288" t="s">
        <v>1935</v>
      </c>
      <c r="D1040" s="414" t="s">
        <v>4884</v>
      </c>
      <c r="E1040" s="407" t="s">
        <v>4884</v>
      </c>
      <c r="F1040" s="483"/>
      <c r="G1040" s="483"/>
      <c r="H1040" s="483"/>
      <c r="I1040" s="483"/>
      <c r="J1040" s="483"/>
      <c r="K1040" s="483"/>
      <c r="L1040" s="608" t="s">
        <v>4884</v>
      </c>
      <c r="M1040" s="409" t="s">
        <v>4884</v>
      </c>
      <c r="N1040" s="409" t="s">
        <v>4884</v>
      </c>
      <c r="O1040" s="410" t="s">
        <v>4884</v>
      </c>
      <c r="P1040" s="406">
        <v>1037</v>
      </c>
      <c r="Q1040" s="270" t="s">
        <v>1935</v>
      </c>
      <c r="R1040" s="460" t="s">
        <v>1883</v>
      </c>
      <c r="S1040" s="270" t="s">
        <v>1884</v>
      </c>
      <c r="U1040" s="471"/>
      <c r="V1040" s="471"/>
      <c r="W1040" s="516"/>
      <c r="X1040" s="471"/>
      <c r="Y1040" s="206"/>
      <c r="Z1040" s="206"/>
    </row>
    <row r="1041" spans="1:26">
      <c r="A1041" s="406">
        <v>1038</v>
      </c>
      <c r="B1041" s="613" t="s">
        <v>7020</v>
      </c>
      <c r="C1041" s="288" t="s">
        <v>1936</v>
      </c>
      <c r="D1041" s="414" t="s">
        <v>4884</v>
      </c>
      <c r="E1041" s="407" t="s">
        <v>4884</v>
      </c>
      <c r="F1041" s="483"/>
      <c r="G1041" s="483"/>
      <c r="H1041" s="483"/>
      <c r="I1041" s="483"/>
      <c r="J1041" s="483"/>
      <c r="K1041" s="483"/>
      <c r="L1041" s="608" t="s">
        <v>4884</v>
      </c>
      <c r="M1041" s="409" t="s">
        <v>4884</v>
      </c>
      <c r="N1041" s="409" t="s">
        <v>4884</v>
      </c>
      <c r="O1041" s="410" t="s">
        <v>4884</v>
      </c>
      <c r="P1041" s="406">
        <v>1038</v>
      </c>
      <c r="Q1041" s="270" t="s">
        <v>1936</v>
      </c>
      <c r="R1041" s="460" t="s">
        <v>1883</v>
      </c>
      <c r="S1041" s="270" t="s">
        <v>1884</v>
      </c>
      <c r="U1041" s="471"/>
      <c r="V1041" s="471"/>
      <c r="W1041" s="516"/>
      <c r="X1041" s="471"/>
      <c r="Y1041" s="206"/>
      <c r="Z1041" s="206"/>
    </row>
    <row r="1042" spans="1:26">
      <c r="A1042" s="406">
        <v>1039</v>
      </c>
      <c r="B1042" s="613" t="s">
        <v>7020</v>
      </c>
      <c r="C1042" s="288" t="s">
        <v>1937</v>
      </c>
      <c r="D1042" s="414" t="s">
        <v>4884</v>
      </c>
      <c r="E1042" s="407" t="s">
        <v>4884</v>
      </c>
      <c r="F1042" s="483"/>
      <c r="G1042" s="483"/>
      <c r="H1042" s="483"/>
      <c r="I1042" s="483"/>
      <c r="J1042" s="483"/>
      <c r="K1042" s="483"/>
      <c r="L1042" s="608" t="s">
        <v>4884</v>
      </c>
      <c r="M1042" s="409" t="s">
        <v>4884</v>
      </c>
      <c r="N1042" s="409" t="s">
        <v>4884</v>
      </c>
      <c r="O1042" s="410" t="s">
        <v>4884</v>
      </c>
      <c r="P1042" s="406">
        <v>1039</v>
      </c>
      <c r="Q1042" s="270" t="s">
        <v>1937</v>
      </c>
      <c r="R1042" s="460" t="s">
        <v>1883</v>
      </c>
      <c r="S1042" s="270" t="s">
        <v>1884</v>
      </c>
      <c r="U1042" s="471"/>
      <c r="V1042" s="471"/>
      <c r="W1042" s="516"/>
      <c r="X1042" s="471"/>
      <c r="Y1042" s="206"/>
      <c r="Z1042" s="206"/>
    </row>
    <row r="1043" spans="1:26">
      <c r="A1043" s="406">
        <v>1040</v>
      </c>
      <c r="B1043" s="613" t="s">
        <v>7020</v>
      </c>
      <c r="C1043" s="288" t="s">
        <v>1938</v>
      </c>
      <c r="D1043" s="414" t="s">
        <v>4884</v>
      </c>
      <c r="E1043" s="407" t="s">
        <v>4884</v>
      </c>
      <c r="F1043" s="483"/>
      <c r="G1043" s="483"/>
      <c r="H1043" s="483"/>
      <c r="I1043" s="483"/>
      <c r="J1043" s="483"/>
      <c r="K1043" s="483"/>
      <c r="L1043" s="608" t="s">
        <v>4884</v>
      </c>
      <c r="M1043" s="409" t="s">
        <v>4884</v>
      </c>
      <c r="N1043" s="409" t="s">
        <v>4884</v>
      </c>
      <c r="O1043" s="410" t="s">
        <v>4884</v>
      </c>
      <c r="P1043" s="406">
        <v>1040</v>
      </c>
      <c r="Q1043" s="270" t="s">
        <v>1938</v>
      </c>
      <c r="R1043" s="460" t="s">
        <v>1883</v>
      </c>
      <c r="S1043" s="270" t="s">
        <v>1884</v>
      </c>
      <c r="U1043" s="471"/>
      <c r="V1043" s="471"/>
      <c r="W1043" s="516"/>
      <c r="X1043" s="471"/>
      <c r="Y1043" s="206"/>
      <c r="Z1043" s="206"/>
    </row>
    <row r="1044" spans="1:26">
      <c r="A1044" s="406">
        <v>1041</v>
      </c>
      <c r="B1044" s="613" t="s">
        <v>7020</v>
      </c>
      <c r="C1044" s="288" t="s">
        <v>1939</v>
      </c>
      <c r="D1044" s="414" t="s">
        <v>4884</v>
      </c>
      <c r="E1044" s="407" t="s">
        <v>4884</v>
      </c>
      <c r="F1044" s="483"/>
      <c r="G1044" s="483"/>
      <c r="H1044" s="483"/>
      <c r="I1044" s="483"/>
      <c r="J1044" s="483"/>
      <c r="K1044" s="483"/>
      <c r="L1044" s="608" t="s">
        <v>4884</v>
      </c>
      <c r="M1044" s="409" t="s">
        <v>4884</v>
      </c>
      <c r="N1044" s="409" t="s">
        <v>4884</v>
      </c>
      <c r="O1044" s="410" t="s">
        <v>4884</v>
      </c>
      <c r="P1044" s="406">
        <v>1041</v>
      </c>
      <c r="Q1044" s="270" t="s">
        <v>1939</v>
      </c>
      <c r="R1044" s="460" t="s">
        <v>1883</v>
      </c>
      <c r="S1044" s="270" t="s">
        <v>1884</v>
      </c>
      <c r="U1044" s="471"/>
      <c r="V1044" s="471"/>
      <c r="W1044" s="516"/>
      <c r="X1044" s="471"/>
      <c r="Y1044" s="206"/>
      <c r="Z1044" s="206"/>
    </row>
    <row r="1045" spans="1:26">
      <c r="A1045" s="406">
        <v>1042</v>
      </c>
      <c r="B1045" s="613" t="s">
        <v>7020</v>
      </c>
      <c r="C1045" s="288" t="s">
        <v>1940</v>
      </c>
      <c r="D1045" s="414" t="s">
        <v>4884</v>
      </c>
      <c r="E1045" s="407" t="s">
        <v>4884</v>
      </c>
      <c r="F1045" s="483"/>
      <c r="G1045" s="483"/>
      <c r="H1045" s="483"/>
      <c r="I1045" s="483"/>
      <c r="J1045" s="483"/>
      <c r="K1045" s="483"/>
      <c r="L1045" s="608" t="s">
        <v>4884</v>
      </c>
      <c r="M1045" s="409" t="s">
        <v>4884</v>
      </c>
      <c r="N1045" s="409" t="s">
        <v>4884</v>
      </c>
      <c r="O1045" s="410" t="s">
        <v>4884</v>
      </c>
      <c r="P1045" s="406">
        <v>1042</v>
      </c>
      <c r="Q1045" s="270" t="s">
        <v>1940</v>
      </c>
      <c r="R1045" s="460" t="s">
        <v>1883</v>
      </c>
      <c r="S1045" s="270" t="s">
        <v>1884</v>
      </c>
      <c r="U1045" s="471"/>
      <c r="V1045" s="471"/>
      <c r="W1045" s="516"/>
      <c r="X1045" s="471"/>
      <c r="Y1045" s="206"/>
      <c r="Z1045" s="206"/>
    </row>
    <row r="1046" spans="1:26">
      <c r="A1046" s="406">
        <v>1043</v>
      </c>
      <c r="B1046" s="613" t="s">
        <v>7020</v>
      </c>
      <c r="C1046" s="288" t="s">
        <v>1941</v>
      </c>
      <c r="D1046" s="414" t="s">
        <v>4884</v>
      </c>
      <c r="E1046" s="407" t="s">
        <v>4884</v>
      </c>
      <c r="F1046" s="483"/>
      <c r="G1046" s="483"/>
      <c r="H1046" s="483"/>
      <c r="I1046" s="483"/>
      <c r="J1046" s="483"/>
      <c r="K1046" s="483"/>
      <c r="L1046" s="608" t="s">
        <v>4884</v>
      </c>
      <c r="M1046" s="409" t="s">
        <v>4884</v>
      </c>
      <c r="N1046" s="409" t="s">
        <v>4884</v>
      </c>
      <c r="O1046" s="410" t="s">
        <v>4884</v>
      </c>
      <c r="P1046" s="406">
        <v>1043</v>
      </c>
      <c r="Q1046" s="270" t="s">
        <v>1941</v>
      </c>
      <c r="R1046" s="460" t="s">
        <v>1883</v>
      </c>
      <c r="S1046" s="270" t="s">
        <v>1884</v>
      </c>
      <c r="U1046" s="471"/>
      <c r="V1046" s="471"/>
      <c r="W1046" s="516"/>
      <c r="X1046" s="471"/>
      <c r="Y1046" s="206"/>
      <c r="Z1046" s="206"/>
    </row>
    <row r="1047" spans="1:26">
      <c r="A1047" s="406">
        <v>1044</v>
      </c>
      <c r="B1047" s="613" t="s">
        <v>7020</v>
      </c>
      <c r="C1047" s="288" t="s">
        <v>1942</v>
      </c>
      <c r="D1047" s="414" t="s">
        <v>4884</v>
      </c>
      <c r="E1047" s="407" t="s">
        <v>4884</v>
      </c>
      <c r="F1047" s="483"/>
      <c r="G1047" s="483"/>
      <c r="H1047" s="483"/>
      <c r="I1047" s="483"/>
      <c r="J1047" s="483"/>
      <c r="K1047" s="483"/>
      <c r="L1047" s="608" t="s">
        <v>4884</v>
      </c>
      <c r="M1047" s="409" t="s">
        <v>4884</v>
      </c>
      <c r="N1047" s="409" t="s">
        <v>4884</v>
      </c>
      <c r="O1047" s="410" t="s">
        <v>4884</v>
      </c>
      <c r="P1047" s="406">
        <v>1044</v>
      </c>
      <c r="Q1047" s="270" t="s">
        <v>1942</v>
      </c>
      <c r="R1047" s="460" t="s">
        <v>1883</v>
      </c>
      <c r="S1047" s="270" t="s">
        <v>1884</v>
      </c>
      <c r="U1047" s="471"/>
      <c r="V1047" s="471"/>
      <c r="W1047" s="516"/>
      <c r="X1047" s="471"/>
      <c r="Y1047" s="206"/>
      <c r="Z1047" s="206"/>
    </row>
    <row r="1048" spans="1:26">
      <c r="A1048" s="406">
        <v>1045</v>
      </c>
      <c r="B1048" s="613" t="s">
        <v>7020</v>
      </c>
      <c r="C1048" s="288" t="s">
        <v>1943</v>
      </c>
      <c r="D1048" s="414" t="s">
        <v>4884</v>
      </c>
      <c r="E1048" s="407" t="s">
        <v>4884</v>
      </c>
      <c r="F1048" s="483"/>
      <c r="G1048" s="483"/>
      <c r="H1048" s="483"/>
      <c r="I1048" s="483"/>
      <c r="J1048" s="483"/>
      <c r="K1048" s="483"/>
      <c r="L1048" s="608" t="s">
        <v>4884</v>
      </c>
      <c r="M1048" s="409" t="s">
        <v>4884</v>
      </c>
      <c r="N1048" s="409" t="s">
        <v>4884</v>
      </c>
      <c r="O1048" s="410" t="s">
        <v>4884</v>
      </c>
      <c r="P1048" s="406">
        <v>1045</v>
      </c>
      <c r="Q1048" s="270" t="s">
        <v>1943</v>
      </c>
      <c r="R1048" s="460" t="s">
        <v>1883</v>
      </c>
      <c r="S1048" s="270" t="s">
        <v>1884</v>
      </c>
      <c r="U1048" s="471"/>
      <c r="V1048" s="471"/>
      <c r="W1048" s="516"/>
      <c r="X1048" s="471"/>
      <c r="Y1048" s="206"/>
      <c r="Z1048" s="206"/>
    </row>
    <row r="1049" spans="1:26">
      <c r="A1049" s="406">
        <v>1046</v>
      </c>
      <c r="B1049" s="613" t="s">
        <v>7020</v>
      </c>
      <c r="C1049" s="288" t="s">
        <v>1944</v>
      </c>
      <c r="D1049" s="414" t="s">
        <v>4884</v>
      </c>
      <c r="E1049" s="407" t="s">
        <v>4884</v>
      </c>
      <c r="F1049" s="483"/>
      <c r="G1049" s="483"/>
      <c r="H1049" s="483"/>
      <c r="I1049" s="483"/>
      <c r="J1049" s="483"/>
      <c r="K1049" s="483"/>
      <c r="L1049" s="608" t="s">
        <v>4884</v>
      </c>
      <c r="M1049" s="409" t="s">
        <v>4884</v>
      </c>
      <c r="N1049" s="409" t="s">
        <v>4884</v>
      </c>
      <c r="O1049" s="410" t="s">
        <v>4884</v>
      </c>
      <c r="P1049" s="406">
        <v>1046</v>
      </c>
      <c r="Q1049" s="270" t="s">
        <v>1944</v>
      </c>
      <c r="R1049" s="460" t="s">
        <v>1883</v>
      </c>
      <c r="S1049" s="270" t="s">
        <v>1884</v>
      </c>
      <c r="U1049" s="471"/>
      <c r="V1049" s="471"/>
      <c r="W1049" s="516"/>
      <c r="X1049" s="471"/>
      <c r="Y1049" s="206"/>
      <c r="Z1049" s="206"/>
    </row>
    <row r="1050" spans="1:26">
      <c r="A1050" s="406">
        <v>1047</v>
      </c>
      <c r="B1050" s="613" t="s">
        <v>7020</v>
      </c>
      <c r="C1050" s="288" t="s">
        <v>1945</v>
      </c>
      <c r="D1050" s="414" t="s">
        <v>4884</v>
      </c>
      <c r="E1050" s="407" t="s">
        <v>4884</v>
      </c>
      <c r="F1050" s="483"/>
      <c r="G1050" s="483"/>
      <c r="H1050" s="483"/>
      <c r="I1050" s="483"/>
      <c r="J1050" s="483"/>
      <c r="K1050" s="483"/>
      <c r="L1050" s="608" t="s">
        <v>4884</v>
      </c>
      <c r="M1050" s="409" t="s">
        <v>4884</v>
      </c>
      <c r="N1050" s="409" t="s">
        <v>4884</v>
      </c>
      <c r="O1050" s="410" t="s">
        <v>4884</v>
      </c>
      <c r="P1050" s="406">
        <v>1047</v>
      </c>
      <c r="Q1050" s="270" t="s">
        <v>1945</v>
      </c>
      <c r="R1050" s="460" t="s">
        <v>1883</v>
      </c>
      <c r="S1050" s="270" t="s">
        <v>1884</v>
      </c>
      <c r="U1050" s="471"/>
      <c r="V1050" s="471"/>
      <c r="W1050" s="516"/>
      <c r="X1050" s="471"/>
      <c r="Y1050" s="206"/>
      <c r="Z1050" s="206"/>
    </row>
    <row r="1051" spans="1:26">
      <c r="A1051" s="406">
        <v>1048</v>
      </c>
      <c r="B1051" s="613" t="s">
        <v>7020</v>
      </c>
      <c r="C1051" s="288" t="s">
        <v>1946</v>
      </c>
      <c r="D1051" s="414" t="s">
        <v>4884</v>
      </c>
      <c r="E1051" s="407" t="s">
        <v>4884</v>
      </c>
      <c r="F1051" s="483"/>
      <c r="G1051" s="483"/>
      <c r="H1051" s="483"/>
      <c r="I1051" s="483"/>
      <c r="J1051" s="483"/>
      <c r="K1051" s="483"/>
      <c r="L1051" s="608" t="s">
        <v>4884</v>
      </c>
      <c r="M1051" s="409" t="s">
        <v>4884</v>
      </c>
      <c r="N1051" s="409" t="s">
        <v>4884</v>
      </c>
      <c r="O1051" s="410" t="s">
        <v>4884</v>
      </c>
      <c r="P1051" s="406">
        <v>1048</v>
      </c>
      <c r="Q1051" s="270" t="s">
        <v>1946</v>
      </c>
      <c r="R1051" s="460" t="s">
        <v>1883</v>
      </c>
      <c r="S1051" s="270" t="s">
        <v>1884</v>
      </c>
      <c r="U1051" s="471"/>
      <c r="V1051" s="471"/>
      <c r="W1051" s="516"/>
      <c r="X1051" s="471"/>
      <c r="Y1051" s="206"/>
      <c r="Z1051" s="206"/>
    </row>
    <row r="1052" spans="1:26">
      <c r="A1052" s="406">
        <v>1049</v>
      </c>
      <c r="B1052" s="613" t="s">
        <v>7020</v>
      </c>
      <c r="C1052" s="288" t="s">
        <v>1947</v>
      </c>
      <c r="D1052" s="414" t="s">
        <v>4884</v>
      </c>
      <c r="E1052" s="407" t="s">
        <v>4884</v>
      </c>
      <c r="F1052" s="483"/>
      <c r="G1052" s="483"/>
      <c r="H1052" s="483"/>
      <c r="I1052" s="483"/>
      <c r="J1052" s="483"/>
      <c r="K1052" s="483"/>
      <c r="L1052" s="608" t="s">
        <v>4884</v>
      </c>
      <c r="M1052" s="409" t="s">
        <v>4884</v>
      </c>
      <c r="N1052" s="409" t="s">
        <v>4884</v>
      </c>
      <c r="O1052" s="410" t="s">
        <v>4884</v>
      </c>
      <c r="P1052" s="406">
        <v>1049</v>
      </c>
      <c r="Q1052" s="270" t="s">
        <v>1947</v>
      </c>
      <c r="R1052" s="460" t="s">
        <v>1883</v>
      </c>
      <c r="S1052" s="270" t="s">
        <v>1884</v>
      </c>
      <c r="U1052" s="471"/>
      <c r="V1052" s="471"/>
      <c r="W1052" s="516"/>
      <c r="X1052" s="471"/>
      <c r="Y1052" s="206"/>
      <c r="Z1052" s="206"/>
    </row>
    <row r="1053" spans="1:26">
      <c r="A1053" s="406">
        <v>1050</v>
      </c>
      <c r="B1053" s="613" t="s">
        <v>7020</v>
      </c>
      <c r="C1053" s="288" t="s">
        <v>1948</v>
      </c>
      <c r="D1053" s="414" t="s">
        <v>4884</v>
      </c>
      <c r="E1053" s="407" t="s">
        <v>4884</v>
      </c>
      <c r="F1053" s="483"/>
      <c r="G1053" s="483"/>
      <c r="H1053" s="483"/>
      <c r="I1053" s="483"/>
      <c r="J1053" s="483"/>
      <c r="K1053" s="483"/>
      <c r="L1053" s="608" t="s">
        <v>4884</v>
      </c>
      <c r="M1053" s="409" t="s">
        <v>4884</v>
      </c>
      <c r="N1053" s="409" t="s">
        <v>4884</v>
      </c>
      <c r="O1053" s="410" t="s">
        <v>4884</v>
      </c>
      <c r="P1053" s="406">
        <v>1050</v>
      </c>
      <c r="Q1053" s="270" t="s">
        <v>1948</v>
      </c>
      <c r="R1053" s="460" t="s">
        <v>1883</v>
      </c>
      <c r="S1053" s="270" t="s">
        <v>1884</v>
      </c>
      <c r="U1053" s="471"/>
      <c r="V1053" s="471"/>
      <c r="W1053" s="516"/>
      <c r="X1053" s="471"/>
      <c r="Y1053" s="206"/>
      <c r="Z1053" s="206"/>
    </row>
    <row r="1054" spans="1:26">
      <c r="A1054" s="406">
        <v>1051</v>
      </c>
      <c r="B1054" s="613" t="s">
        <v>7020</v>
      </c>
      <c r="C1054" s="288" t="s">
        <v>1949</v>
      </c>
      <c r="D1054" s="414" t="s">
        <v>4884</v>
      </c>
      <c r="E1054" s="407" t="s">
        <v>4884</v>
      </c>
      <c r="F1054" s="483"/>
      <c r="G1054" s="483"/>
      <c r="H1054" s="483"/>
      <c r="I1054" s="483"/>
      <c r="J1054" s="483"/>
      <c r="K1054" s="483"/>
      <c r="L1054" s="608" t="s">
        <v>4884</v>
      </c>
      <c r="M1054" s="409" t="s">
        <v>4884</v>
      </c>
      <c r="N1054" s="409" t="s">
        <v>4884</v>
      </c>
      <c r="O1054" s="410" t="s">
        <v>4884</v>
      </c>
      <c r="P1054" s="406">
        <v>1051</v>
      </c>
      <c r="Q1054" s="270" t="s">
        <v>1949</v>
      </c>
      <c r="R1054" s="460" t="s">
        <v>1883</v>
      </c>
      <c r="S1054" s="270" t="s">
        <v>1884</v>
      </c>
      <c r="U1054" s="471"/>
      <c r="V1054" s="471"/>
      <c r="W1054" s="516"/>
      <c r="X1054" s="471"/>
      <c r="Y1054" s="206"/>
      <c r="Z1054" s="206"/>
    </row>
    <row r="1055" spans="1:26">
      <c r="A1055" s="406">
        <v>1052</v>
      </c>
      <c r="B1055" s="613" t="s">
        <v>7020</v>
      </c>
      <c r="C1055" s="288" t="s">
        <v>1950</v>
      </c>
      <c r="D1055" s="414" t="s">
        <v>4884</v>
      </c>
      <c r="E1055" s="407" t="s">
        <v>4884</v>
      </c>
      <c r="F1055" s="483"/>
      <c r="G1055" s="483"/>
      <c r="H1055" s="483"/>
      <c r="I1055" s="483"/>
      <c r="J1055" s="483"/>
      <c r="K1055" s="483"/>
      <c r="L1055" s="608" t="s">
        <v>4884</v>
      </c>
      <c r="M1055" s="409" t="s">
        <v>4884</v>
      </c>
      <c r="N1055" s="409" t="s">
        <v>4884</v>
      </c>
      <c r="O1055" s="410" t="s">
        <v>4884</v>
      </c>
      <c r="P1055" s="406">
        <v>1052</v>
      </c>
      <c r="Q1055" s="270" t="s">
        <v>1950</v>
      </c>
      <c r="R1055" s="460" t="s">
        <v>1883</v>
      </c>
      <c r="S1055" s="270" t="s">
        <v>1884</v>
      </c>
      <c r="U1055" s="471"/>
      <c r="V1055" s="471"/>
      <c r="W1055" s="516"/>
      <c r="X1055" s="471"/>
      <c r="Y1055" s="206"/>
      <c r="Z1055" s="206"/>
    </row>
    <row r="1056" spans="1:26">
      <c r="A1056" s="406">
        <v>1053</v>
      </c>
      <c r="B1056" s="613" t="s">
        <v>7020</v>
      </c>
      <c r="C1056" s="288" t="s">
        <v>1951</v>
      </c>
      <c r="D1056" s="414" t="s">
        <v>4884</v>
      </c>
      <c r="E1056" s="407" t="s">
        <v>4884</v>
      </c>
      <c r="F1056" s="483"/>
      <c r="G1056" s="483"/>
      <c r="H1056" s="483"/>
      <c r="I1056" s="483"/>
      <c r="J1056" s="483"/>
      <c r="K1056" s="483"/>
      <c r="L1056" s="608" t="s">
        <v>4884</v>
      </c>
      <c r="M1056" s="409" t="s">
        <v>4884</v>
      </c>
      <c r="N1056" s="409" t="s">
        <v>4884</v>
      </c>
      <c r="O1056" s="410" t="s">
        <v>4884</v>
      </c>
      <c r="P1056" s="406">
        <v>1053</v>
      </c>
      <c r="Q1056" s="270" t="s">
        <v>1951</v>
      </c>
      <c r="R1056" s="460" t="s">
        <v>1883</v>
      </c>
      <c r="S1056" s="270" t="s">
        <v>1884</v>
      </c>
      <c r="U1056" s="471"/>
      <c r="V1056" s="471"/>
      <c r="W1056" s="471"/>
      <c r="X1056" s="471"/>
      <c r="Y1056" s="206"/>
      <c r="Z1056" s="206"/>
    </row>
    <row r="1057" spans="1:26">
      <c r="A1057" s="406">
        <v>1054</v>
      </c>
      <c r="B1057" s="613" t="s">
        <v>7020</v>
      </c>
      <c r="C1057" s="288" t="s">
        <v>1952</v>
      </c>
      <c r="D1057" s="414" t="s">
        <v>4884</v>
      </c>
      <c r="E1057" s="407" t="s">
        <v>4884</v>
      </c>
      <c r="F1057" s="483"/>
      <c r="G1057" s="483"/>
      <c r="H1057" s="483"/>
      <c r="I1057" s="483"/>
      <c r="J1057" s="483"/>
      <c r="K1057" s="483"/>
      <c r="L1057" s="608" t="s">
        <v>4884</v>
      </c>
      <c r="M1057" s="409" t="s">
        <v>4884</v>
      </c>
      <c r="N1057" s="409" t="s">
        <v>4884</v>
      </c>
      <c r="O1057" s="410" t="s">
        <v>4884</v>
      </c>
      <c r="P1057" s="406">
        <v>1054</v>
      </c>
      <c r="Q1057" s="270" t="s">
        <v>1952</v>
      </c>
      <c r="R1057" s="460" t="s">
        <v>1883</v>
      </c>
      <c r="S1057" s="270" t="s">
        <v>1884</v>
      </c>
      <c r="U1057" s="471"/>
      <c r="V1057" s="471"/>
      <c r="W1057" s="502"/>
      <c r="X1057" s="471"/>
      <c r="Y1057" s="206"/>
      <c r="Z1057" s="206"/>
    </row>
    <row r="1058" spans="1:26">
      <c r="A1058" s="406">
        <v>1055</v>
      </c>
      <c r="B1058" s="613" t="s">
        <v>7020</v>
      </c>
      <c r="C1058" s="288" t="s">
        <v>1953</v>
      </c>
      <c r="D1058" s="414" t="s">
        <v>4884</v>
      </c>
      <c r="E1058" s="407" t="s">
        <v>4884</v>
      </c>
      <c r="F1058" s="483"/>
      <c r="G1058" s="483"/>
      <c r="H1058" s="483"/>
      <c r="I1058" s="483"/>
      <c r="J1058" s="483"/>
      <c r="K1058" s="483"/>
      <c r="L1058" s="608" t="s">
        <v>4884</v>
      </c>
      <c r="M1058" s="409" t="s">
        <v>4884</v>
      </c>
      <c r="N1058" s="409" t="s">
        <v>4884</v>
      </c>
      <c r="O1058" s="410" t="s">
        <v>4884</v>
      </c>
      <c r="P1058" s="406">
        <v>1055</v>
      </c>
      <c r="Q1058" s="270" t="s">
        <v>1953</v>
      </c>
      <c r="R1058" s="460" t="s">
        <v>1883</v>
      </c>
      <c r="S1058" s="270" t="s">
        <v>1884</v>
      </c>
      <c r="U1058" s="471"/>
      <c r="V1058" s="471"/>
      <c r="W1058" s="502"/>
      <c r="X1058" s="471"/>
      <c r="Y1058" s="206"/>
      <c r="Z1058" s="206"/>
    </row>
    <row r="1059" spans="1:26">
      <c r="A1059" s="406">
        <v>1056</v>
      </c>
      <c r="B1059" s="613" t="s">
        <v>7020</v>
      </c>
      <c r="C1059" s="288" t="s">
        <v>1954</v>
      </c>
      <c r="D1059" s="414" t="s">
        <v>4884</v>
      </c>
      <c r="E1059" s="407" t="s">
        <v>4884</v>
      </c>
      <c r="F1059" s="483"/>
      <c r="G1059" s="483"/>
      <c r="H1059" s="483"/>
      <c r="I1059" s="483"/>
      <c r="J1059" s="483"/>
      <c r="K1059" s="483"/>
      <c r="L1059" s="608" t="s">
        <v>4884</v>
      </c>
      <c r="M1059" s="409" t="s">
        <v>4884</v>
      </c>
      <c r="N1059" s="409" t="s">
        <v>4884</v>
      </c>
      <c r="O1059" s="410" t="s">
        <v>4884</v>
      </c>
      <c r="P1059" s="406">
        <v>1056</v>
      </c>
      <c r="Q1059" s="270" t="s">
        <v>1954</v>
      </c>
      <c r="R1059" s="460" t="s">
        <v>1883</v>
      </c>
      <c r="S1059" s="270" t="s">
        <v>1884</v>
      </c>
      <c r="U1059" s="471"/>
      <c r="V1059" s="471"/>
      <c r="W1059" s="502"/>
      <c r="X1059" s="471"/>
      <c r="Y1059" s="206"/>
      <c r="Z1059" s="206"/>
    </row>
    <row r="1060" spans="1:26">
      <c r="A1060" s="406">
        <v>1057</v>
      </c>
      <c r="B1060" s="613" t="s">
        <v>7020</v>
      </c>
      <c r="C1060" s="288" t="s">
        <v>1955</v>
      </c>
      <c r="D1060" s="414" t="s">
        <v>4884</v>
      </c>
      <c r="E1060" s="407" t="s">
        <v>4884</v>
      </c>
      <c r="F1060" s="483"/>
      <c r="G1060" s="483"/>
      <c r="H1060" s="483"/>
      <c r="I1060" s="483"/>
      <c r="J1060" s="483"/>
      <c r="K1060" s="483"/>
      <c r="L1060" s="608" t="s">
        <v>4884</v>
      </c>
      <c r="M1060" s="409" t="s">
        <v>4884</v>
      </c>
      <c r="N1060" s="409" t="s">
        <v>4884</v>
      </c>
      <c r="O1060" s="410" t="s">
        <v>4884</v>
      </c>
      <c r="P1060" s="406">
        <v>1057</v>
      </c>
      <c r="Q1060" s="270" t="s">
        <v>1955</v>
      </c>
      <c r="R1060" s="460" t="s">
        <v>1883</v>
      </c>
      <c r="S1060" s="270" t="s">
        <v>1884</v>
      </c>
      <c r="U1060" s="471"/>
      <c r="V1060" s="471"/>
      <c r="W1060" s="502"/>
      <c r="X1060" s="471"/>
      <c r="Y1060" s="206"/>
      <c r="Z1060" s="206"/>
    </row>
    <row r="1061" spans="1:26">
      <c r="A1061" s="406">
        <v>1058</v>
      </c>
      <c r="B1061" s="613" t="s">
        <v>7020</v>
      </c>
      <c r="C1061" s="288" t="s">
        <v>1956</v>
      </c>
      <c r="D1061" s="414" t="s">
        <v>4884</v>
      </c>
      <c r="E1061" s="407" t="s">
        <v>4884</v>
      </c>
      <c r="F1061" s="483"/>
      <c r="G1061" s="483"/>
      <c r="H1061" s="483"/>
      <c r="I1061" s="483"/>
      <c r="J1061" s="483"/>
      <c r="K1061" s="483"/>
      <c r="L1061" s="608" t="s">
        <v>4884</v>
      </c>
      <c r="M1061" s="409" t="s">
        <v>4884</v>
      </c>
      <c r="N1061" s="409" t="s">
        <v>4884</v>
      </c>
      <c r="O1061" s="410" t="s">
        <v>4884</v>
      </c>
      <c r="P1061" s="406">
        <v>1058</v>
      </c>
      <c r="Q1061" s="270" t="s">
        <v>1956</v>
      </c>
      <c r="R1061" s="460" t="s">
        <v>1883</v>
      </c>
      <c r="S1061" s="270" t="s">
        <v>1884</v>
      </c>
      <c r="U1061" s="471"/>
      <c r="V1061" s="471"/>
      <c r="W1061" s="502"/>
      <c r="X1061" s="471"/>
      <c r="Y1061" s="206"/>
      <c r="Z1061" s="206"/>
    </row>
    <row r="1062" spans="1:26">
      <c r="A1062" s="406">
        <v>1059</v>
      </c>
      <c r="B1062" s="613" t="s">
        <v>7020</v>
      </c>
      <c r="C1062" s="288" t="s">
        <v>1957</v>
      </c>
      <c r="D1062" s="414" t="s">
        <v>4884</v>
      </c>
      <c r="E1062" s="407" t="s">
        <v>4884</v>
      </c>
      <c r="F1062" s="483"/>
      <c r="G1062" s="483"/>
      <c r="H1062" s="483"/>
      <c r="I1062" s="483"/>
      <c r="J1062" s="483"/>
      <c r="K1062" s="483"/>
      <c r="L1062" s="608" t="s">
        <v>4884</v>
      </c>
      <c r="M1062" s="409" t="s">
        <v>4884</v>
      </c>
      <c r="N1062" s="409" t="s">
        <v>4884</v>
      </c>
      <c r="O1062" s="410" t="s">
        <v>4884</v>
      </c>
      <c r="P1062" s="406">
        <v>1059</v>
      </c>
      <c r="Q1062" s="270" t="s">
        <v>1957</v>
      </c>
      <c r="R1062" s="460" t="s">
        <v>1883</v>
      </c>
      <c r="S1062" s="270" t="s">
        <v>1884</v>
      </c>
      <c r="U1062" s="471"/>
      <c r="V1062" s="471"/>
      <c r="W1062" s="502"/>
      <c r="X1062" s="471"/>
      <c r="Y1062" s="206"/>
      <c r="Z1062" s="206"/>
    </row>
    <row r="1063" spans="1:26">
      <c r="A1063" s="406">
        <v>1060</v>
      </c>
      <c r="B1063" s="613" t="s">
        <v>7020</v>
      </c>
      <c r="C1063" s="288" t="s">
        <v>1958</v>
      </c>
      <c r="D1063" s="414" t="s">
        <v>4884</v>
      </c>
      <c r="E1063" s="407" t="s">
        <v>4884</v>
      </c>
      <c r="F1063" s="483"/>
      <c r="G1063" s="483"/>
      <c r="H1063" s="483"/>
      <c r="I1063" s="483"/>
      <c r="J1063" s="483"/>
      <c r="K1063" s="483"/>
      <c r="L1063" s="608" t="s">
        <v>4884</v>
      </c>
      <c r="M1063" s="409" t="s">
        <v>4884</v>
      </c>
      <c r="N1063" s="409" t="s">
        <v>4884</v>
      </c>
      <c r="O1063" s="410" t="s">
        <v>4884</v>
      </c>
      <c r="P1063" s="406">
        <v>1060</v>
      </c>
      <c r="Q1063" s="270" t="s">
        <v>1958</v>
      </c>
      <c r="R1063" s="460" t="s">
        <v>1883</v>
      </c>
      <c r="S1063" s="270" t="s">
        <v>1884</v>
      </c>
      <c r="U1063" s="471"/>
      <c r="V1063" s="471"/>
      <c r="W1063" s="517"/>
      <c r="X1063" s="471"/>
      <c r="Y1063" s="206"/>
      <c r="Z1063" s="206"/>
    </row>
    <row r="1064" spans="1:26">
      <c r="A1064" s="406">
        <v>1061</v>
      </c>
      <c r="B1064" s="613" t="s">
        <v>7020</v>
      </c>
      <c r="C1064" s="288" t="s">
        <v>1959</v>
      </c>
      <c r="D1064" s="414" t="s">
        <v>4884</v>
      </c>
      <c r="E1064" s="407" t="s">
        <v>4884</v>
      </c>
      <c r="F1064" s="483"/>
      <c r="G1064" s="483"/>
      <c r="H1064" s="483"/>
      <c r="I1064" s="483"/>
      <c r="J1064" s="483"/>
      <c r="K1064" s="483"/>
      <c r="L1064" s="608" t="s">
        <v>4884</v>
      </c>
      <c r="M1064" s="409" t="s">
        <v>4884</v>
      </c>
      <c r="N1064" s="409" t="s">
        <v>4884</v>
      </c>
      <c r="O1064" s="410" t="s">
        <v>4884</v>
      </c>
      <c r="P1064" s="406">
        <v>1061</v>
      </c>
      <c r="Q1064" s="270" t="s">
        <v>1959</v>
      </c>
      <c r="R1064" s="460" t="s">
        <v>1883</v>
      </c>
      <c r="S1064" s="270" t="s">
        <v>1884</v>
      </c>
      <c r="U1064" s="471"/>
      <c r="V1064" s="471"/>
      <c r="W1064" s="517"/>
      <c r="X1064" s="471"/>
      <c r="Y1064" s="206"/>
      <c r="Z1064" s="206"/>
    </row>
    <row r="1065" spans="1:26">
      <c r="A1065" s="406">
        <v>1062</v>
      </c>
      <c r="B1065" s="613" t="s">
        <v>7020</v>
      </c>
      <c r="C1065" s="288" t="s">
        <v>1960</v>
      </c>
      <c r="D1065" s="414" t="s">
        <v>4884</v>
      </c>
      <c r="E1065" s="407" t="s">
        <v>4884</v>
      </c>
      <c r="F1065" s="483"/>
      <c r="G1065" s="483"/>
      <c r="H1065" s="483"/>
      <c r="I1065" s="483"/>
      <c r="J1065" s="483"/>
      <c r="K1065" s="483"/>
      <c r="L1065" s="608" t="s">
        <v>4884</v>
      </c>
      <c r="M1065" s="409" t="s">
        <v>4884</v>
      </c>
      <c r="N1065" s="409" t="s">
        <v>4884</v>
      </c>
      <c r="O1065" s="410" t="s">
        <v>4884</v>
      </c>
      <c r="P1065" s="406">
        <v>1062</v>
      </c>
      <c r="Q1065" s="270" t="s">
        <v>1960</v>
      </c>
      <c r="R1065" s="460" t="s">
        <v>1883</v>
      </c>
      <c r="S1065" s="270" t="s">
        <v>1884</v>
      </c>
      <c r="U1065" s="471"/>
      <c r="V1065" s="471"/>
      <c r="W1065" s="518"/>
      <c r="X1065" s="471"/>
      <c r="Y1065" s="206"/>
      <c r="Z1065" s="206"/>
    </row>
    <row r="1066" spans="1:26">
      <c r="A1066" s="406">
        <v>1063</v>
      </c>
      <c r="B1066" s="613" t="s">
        <v>7020</v>
      </c>
      <c r="C1066" s="288" t="s">
        <v>1961</v>
      </c>
      <c r="D1066" s="414" t="s">
        <v>4884</v>
      </c>
      <c r="E1066" s="407" t="s">
        <v>4884</v>
      </c>
      <c r="F1066" s="483"/>
      <c r="G1066" s="483"/>
      <c r="H1066" s="483"/>
      <c r="I1066" s="483"/>
      <c r="J1066" s="483"/>
      <c r="K1066" s="483"/>
      <c r="L1066" s="608" t="s">
        <v>4884</v>
      </c>
      <c r="M1066" s="409" t="s">
        <v>4884</v>
      </c>
      <c r="N1066" s="409" t="s">
        <v>4884</v>
      </c>
      <c r="O1066" s="410" t="s">
        <v>4884</v>
      </c>
      <c r="P1066" s="406">
        <v>1063</v>
      </c>
      <c r="Q1066" s="270" t="s">
        <v>1961</v>
      </c>
      <c r="R1066" s="460" t="s">
        <v>1883</v>
      </c>
      <c r="S1066" s="270" t="s">
        <v>1884</v>
      </c>
      <c r="U1066" s="471"/>
      <c r="V1066" s="471"/>
      <c r="W1066" s="518"/>
      <c r="X1066" s="471"/>
      <c r="Y1066" s="206"/>
      <c r="Z1066" s="206"/>
    </row>
    <row r="1067" spans="1:26">
      <c r="A1067" s="406">
        <v>1064</v>
      </c>
      <c r="B1067" s="613" t="s">
        <v>7020</v>
      </c>
      <c r="C1067" s="288" t="s">
        <v>1962</v>
      </c>
      <c r="D1067" s="414" t="s">
        <v>4884</v>
      </c>
      <c r="E1067" s="407" t="s">
        <v>4884</v>
      </c>
      <c r="F1067" s="483"/>
      <c r="G1067" s="483"/>
      <c r="H1067" s="483"/>
      <c r="I1067" s="483"/>
      <c r="J1067" s="483"/>
      <c r="K1067" s="483"/>
      <c r="L1067" s="608" t="s">
        <v>4884</v>
      </c>
      <c r="M1067" s="409" t="s">
        <v>4884</v>
      </c>
      <c r="N1067" s="409" t="s">
        <v>4884</v>
      </c>
      <c r="O1067" s="410" t="s">
        <v>4884</v>
      </c>
      <c r="P1067" s="406">
        <v>1064</v>
      </c>
      <c r="Q1067" s="270" t="s">
        <v>1962</v>
      </c>
      <c r="R1067" s="460" t="s">
        <v>1883</v>
      </c>
      <c r="S1067" s="270" t="s">
        <v>1884</v>
      </c>
      <c r="U1067" s="471"/>
      <c r="V1067" s="471"/>
      <c r="W1067" s="519"/>
      <c r="X1067" s="471"/>
      <c r="Y1067" s="206"/>
      <c r="Z1067" s="206"/>
    </row>
    <row r="1068" spans="1:26">
      <c r="A1068" s="406">
        <v>1065</v>
      </c>
      <c r="B1068" s="613" t="s">
        <v>7020</v>
      </c>
      <c r="C1068" s="288" t="s">
        <v>1963</v>
      </c>
      <c r="D1068" s="414" t="s">
        <v>4884</v>
      </c>
      <c r="E1068" s="407" t="s">
        <v>4884</v>
      </c>
      <c r="F1068" s="483"/>
      <c r="G1068" s="483"/>
      <c r="H1068" s="483"/>
      <c r="I1068" s="483"/>
      <c r="J1068" s="483"/>
      <c r="K1068" s="483"/>
      <c r="L1068" s="608" t="s">
        <v>4884</v>
      </c>
      <c r="M1068" s="409" t="s">
        <v>4884</v>
      </c>
      <c r="N1068" s="409" t="s">
        <v>4884</v>
      </c>
      <c r="O1068" s="410" t="s">
        <v>4884</v>
      </c>
      <c r="P1068" s="406">
        <v>1065</v>
      </c>
      <c r="Q1068" s="270" t="s">
        <v>1963</v>
      </c>
      <c r="R1068" s="460" t="s">
        <v>1883</v>
      </c>
      <c r="S1068" s="270" t="s">
        <v>1884</v>
      </c>
      <c r="U1068" s="471"/>
      <c r="V1068" s="471"/>
      <c r="W1068" s="519"/>
      <c r="X1068" s="471"/>
      <c r="Y1068" s="206"/>
      <c r="Z1068" s="206"/>
    </row>
    <row r="1069" spans="1:26">
      <c r="A1069" s="406">
        <v>1066</v>
      </c>
      <c r="B1069" s="613" t="s">
        <v>7020</v>
      </c>
      <c r="C1069" s="288" t="s">
        <v>1964</v>
      </c>
      <c r="D1069" s="414" t="s">
        <v>4884</v>
      </c>
      <c r="E1069" s="407" t="s">
        <v>4884</v>
      </c>
      <c r="F1069" s="483"/>
      <c r="G1069" s="483"/>
      <c r="H1069" s="483"/>
      <c r="I1069" s="483"/>
      <c r="J1069" s="483"/>
      <c r="K1069" s="483"/>
      <c r="L1069" s="608" t="s">
        <v>4884</v>
      </c>
      <c r="M1069" s="409" t="s">
        <v>4884</v>
      </c>
      <c r="N1069" s="409" t="s">
        <v>4884</v>
      </c>
      <c r="O1069" s="410" t="s">
        <v>4884</v>
      </c>
      <c r="P1069" s="406">
        <v>1066</v>
      </c>
      <c r="Q1069" s="270" t="s">
        <v>1964</v>
      </c>
      <c r="R1069" s="460" t="s">
        <v>1883</v>
      </c>
      <c r="S1069" s="270" t="s">
        <v>1884</v>
      </c>
      <c r="U1069" s="471"/>
      <c r="V1069" s="471"/>
      <c r="W1069" s="499"/>
      <c r="X1069" s="471"/>
      <c r="Y1069" s="206"/>
      <c r="Z1069" s="206"/>
    </row>
    <row r="1070" spans="1:26">
      <c r="A1070" s="406">
        <v>1067</v>
      </c>
      <c r="B1070" s="613" t="s">
        <v>7020</v>
      </c>
      <c r="C1070" s="288" t="s">
        <v>1965</v>
      </c>
      <c r="D1070" s="414" t="s">
        <v>4884</v>
      </c>
      <c r="E1070" s="407" t="s">
        <v>4884</v>
      </c>
      <c r="F1070" s="483"/>
      <c r="G1070" s="483"/>
      <c r="H1070" s="483"/>
      <c r="I1070" s="483"/>
      <c r="J1070" s="483"/>
      <c r="K1070" s="483"/>
      <c r="L1070" s="608" t="s">
        <v>4884</v>
      </c>
      <c r="M1070" s="409" t="s">
        <v>4884</v>
      </c>
      <c r="N1070" s="409" t="s">
        <v>4884</v>
      </c>
      <c r="O1070" s="410" t="s">
        <v>4884</v>
      </c>
      <c r="P1070" s="406">
        <v>1067</v>
      </c>
      <c r="Q1070" s="270" t="s">
        <v>1965</v>
      </c>
      <c r="R1070" s="460" t="s">
        <v>1883</v>
      </c>
      <c r="S1070" s="270" t="s">
        <v>1884</v>
      </c>
      <c r="U1070" s="471"/>
      <c r="V1070" s="471"/>
      <c r="W1070" s="499"/>
      <c r="X1070" s="471"/>
      <c r="Y1070" s="206"/>
      <c r="Z1070" s="206"/>
    </row>
    <row r="1071" spans="1:26">
      <c r="A1071" s="406">
        <v>1068</v>
      </c>
      <c r="B1071" s="613" t="s">
        <v>7020</v>
      </c>
      <c r="C1071" s="288" t="s">
        <v>1966</v>
      </c>
      <c r="D1071" s="414" t="s">
        <v>4884</v>
      </c>
      <c r="E1071" s="407" t="s">
        <v>4884</v>
      </c>
      <c r="F1071" s="483"/>
      <c r="G1071" s="483"/>
      <c r="H1071" s="483"/>
      <c r="I1071" s="483"/>
      <c r="J1071" s="483"/>
      <c r="K1071" s="483"/>
      <c r="L1071" s="608" t="s">
        <v>4884</v>
      </c>
      <c r="M1071" s="409" t="s">
        <v>4884</v>
      </c>
      <c r="N1071" s="409" t="s">
        <v>4884</v>
      </c>
      <c r="O1071" s="410" t="s">
        <v>4884</v>
      </c>
      <c r="P1071" s="406">
        <v>1068</v>
      </c>
      <c r="Q1071" s="270" t="s">
        <v>1966</v>
      </c>
      <c r="R1071" s="460" t="s">
        <v>1883</v>
      </c>
      <c r="S1071" s="270" t="s">
        <v>1884</v>
      </c>
      <c r="U1071" s="471"/>
      <c r="V1071" s="471"/>
      <c r="W1071" s="499"/>
      <c r="X1071" s="471"/>
      <c r="Y1071" s="206"/>
      <c r="Z1071" s="206"/>
    </row>
    <row r="1072" spans="1:26">
      <c r="A1072" s="406">
        <v>1069</v>
      </c>
      <c r="B1072" s="613" t="s">
        <v>7020</v>
      </c>
      <c r="C1072" s="288" t="s">
        <v>1967</v>
      </c>
      <c r="D1072" s="414" t="s">
        <v>4884</v>
      </c>
      <c r="E1072" s="407" t="s">
        <v>4884</v>
      </c>
      <c r="F1072" s="483"/>
      <c r="G1072" s="483"/>
      <c r="H1072" s="483"/>
      <c r="I1072" s="483"/>
      <c r="J1072" s="483"/>
      <c r="K1072" s="483"/>
      <c r="L1072" s="608" t="s">
        <v>4884</v>
      </c>
      <c r="M1072" s="409" t="s">
        <v>4884</v>
      </c>
      <c r="N1072" s="409" t="s">
        <v>4884</v>
      </c>
      <c r="O1072" s="410" t="s">
        <v>4884</v>
      </c>
      <c r="P1072" s="406">
        <v>1069</v>
      </c>
      <c r="Q1072" s="270" t="s">
        <v>1967</v>
      </c>
      <c r="R1072" s="460" t="s">
        <v>1883</v>
      </c>
      <c r="S1072" s="270" t="s">
        <v>1884</v>
      </c>
      <c r="U1072" s="471"/>
      <c r="V1072" s="471"/>
      <c r="W1072" s="499"/>
      <c r="X1072" s="471"/>
      <c r="Y1072" s="206"/>
      <c r="Z1072" s="206"/>
    </row>
    <row r="1073" spans="1:26">
      <c r="A1073" s="406">
        <v>1070</v>
      </c>
      <c r="B1073" s="613" t="s">
        <v>7020</v>
      </c>
      <c r="C1073" s="288" t="s">
        <v>1968</v>
      </c>
      <c r="D1073" s="414" t="s">
        <v>4884</v>
      </c>
      <c r="E1073" s="407" t="s">
        <v>4884</v>
      </c>
      <c r="F1073" s="483"/>
      <c r="G1073" s="483"/>
      <c r="H1073" s="483"/>
      <c r="I1073" s="483"/>
      <c r="J1073" s="483"/>
      <c r="K1073" s="483"/>
      <c r="L1073" s="608" t="s">
        <v>4884</v>
      </c>
      <c r="M1073" s="409" t="s">
        <v>4884</v>
      </c>
      <c r="N1073" s="409" t="s">
        <v>4884</v>
      </c>
      <c r="O1073" s="410" t="s">
        <v>4884</v>
      </c>
      <c r="P1073" s="406">
        <v>1070</v>
      </c>
      <c r="Q1073" s="270" t="s">
        <v>1968</v>
      </c>
      <c r="R1073" s="460" t="s">
        <v>1883</v>
      </c>
      <c r="S1073" s="270" t="s">
        <v>1884</v>
      </c>
      <c r="U1073" s="471"/>
      <c r="V1073" s="471"/>
      <c r="W1073" s="499"/>
      <c r="X1073" s="471"/>
      <c r="Y1073" s="206"/>
      <c r="Z1073" s="206"/>
    </row>
    <row r="1074" spans="1:26">
      <c r="A1074" s="406">
        <v>1071</v>
      </c>
      <c r="B1074" s="613" t="s">
        <v>7020</v>
      </c>
      <c r="C1074" s="288" t="s">
        <v>1969</v>
      </c>
      <c r="D1074" s="414" t="s">
        <v>4884</v>
      </c>
      <c r="E1074" s="407" t="s">
        <v>4884</v>
      </c>
      <c r="F1074" s="483"/>
      <c r="G1074" s="483"/>
      <c r="H1074" s="483"/>
      <c r="I1074" s="483"/>
      <c r="J1074" s="483"/>
      <c r="K1074" s="483"/>
      <c r="L1074" s="608" t="s">
        <v>4884</v>
      </c>
      <c r="M1074" s="409" t="s">
        <v>4884</v>
      </c>
      <c r="N1074" s="409" t="s">
        <v>4884</v>
      </c>
      <c r="O1074" s="410" t="s">
        <v>4884</v>
      </c>
      <c r="P1074" s="406">
        <v>1071</v>
      </c>
      <c r="Q1074" s="270" t="s">
        <v>1969</v>
      </c>
      <c r="R1074" s="460" t="s">
        <v>1883</v>
      </c>
      <c r="S1074" s="270" t="s">
        <v>1884</v>
      </c>
      <c r="U1074" s="471"/>
      <c r="V1074" s="471"/>
      <c r="W1074" s="499"/>
      <c r="X1074" s="471"/>
      <c r="Y1074" s="206"/>
      <c r="Z1074" s="206"/>
    </row>
    <row r="1075" spans="1:26">
      <c r="A1075" s="406">
        <v>1072</v>
      </c>
      <c r="B1075" s="613" t="s">
        <v>7020</v>
      </c>
      <c r="C1075" s="288" t="s">
        <v>1970</v>
      </c>
      <c r="D1075" s="414" t="s">
        <v>4884</v>
      </c>
      <c r="E1075" s="407" t="s">
        <v>4884</v>
      </c>
      <c r="F1075" s="483"/>
      <c r="G1075" s="483"/>
      <c r="H1075" s="483"/>
      <c r="I1075" s="483"/>
      <c r="J1075" s="483"/>
      <c r="K1075" s="483"/>
      <c r="L1075" s="608" t="s">
        <v>4884</v>
      </c>
      <c r="M1075" s="409" t="s">
        <v>4884</v>
      </c>
      <c r="N1075" s="409" t="s">
        <v>4884</v>
      </c>
      <c r="O1075" s="410" t="s">
        <v>4884</v>
      </c>
      <c r="P1075" s="406">
        <v>1072</v>
      </c>
      <c r="Q1075" s="270" t="s">
        <v>1970</v>
      </c>
      <c r="R1075" s="460" t="s">
        <v>1883</v>
      </c>
      <c r="S1075" s="270" t="s">
        <v>1884</v>
      </c>
      <c r="U1075" s="471"/>
      <c r="V1075" s="471"/>
      <c r="W1075" s="499"/>
      <c r="X1075" s="471"/>
      <c r="Y1075" s="206"/>
      <c r="Z1075" s="206"/>
    </row>
    <row r="1076" spans="1:26">
      <c r="A1076" s="406">
        <v>1073</v>
      </c>
      <c r="B1076" s="613" t="s">
        <v>7020</v>
      </c>
      <c r="C1076" s="288" t="s">
        <v>1971</v>
      </c>
      <c r="D1076" s="414" t="s">
        <v>4884</v>
      </c>
      <c r="E1076" s="407" t="s">
        <v>4884</v>
      </c>
      <c r="F1076" s="483"/>
      <c r="G1076" s="483"/>
      <c r="H1076" s="483"/>
      <c r="I1076" s="483"/>
      <c r="J1076" s="483"/>
      <c r="K1076" s="483"/>
      <c r="L1076" s="608" t="s">
        <v>4884</v>
      </c>
      <c r="M1076" s="409" t="s">
        <v>4884</v>
      </c>
      <c r="N1076" s="409" t="s">
        <v>4884</v>
      </c>
      <c r="O1076" s="410" t="s">
        <v>4884</v>
      </c>
      <c r="P1076" s="406">
        <v>1073</v>
      </c>
      <c r="Q1076" s="270" t="s">
        <v>1971</v>
      </c>
      <c r="R1076" s="460" t="s">
        <v>1883</v>
      </c>
      <c r="S1076" s="270" t="s">
        <v>1884</v>
      </c>
      <c r="U1076" s="471"/>
      <c r="V1076" s="471"/>
      <c r="W1076" s="499"/>
      <c r="X1076" s="471"/>
      <c r="Y1076" s="206"/>
      <c r="Z1076" s="206"/>
    </row>
    <row r="1077" spans="1:26">
      <c r="A1077" s="406">
        <v>1074</v>
      </c>
      <c r="B1077" s="613" t="s">
        <v>7020</v>
      </c>
      <c r="C1077" s="288" t="s">
        <v>1972</v>
      </c>
      <c r="D1077" s="414" t="s">
        <v>4884</v>
      </c>
      <c r="E1077" s="407" t="s">
        <v>4884</v>
      </c>
      <c r="F1077" s="483"/>
      <c r="G1077" s="483"/>
      <c r="H1077" s="483"/>
      <c r="I1077" s="483"/>
      <c r="J1077" s="483"/>
      <c r="K1077" s="483"/>
      <c r="L1077" s="608" t="s">
        <v>4884</v>
      </c>
      <c r="M1077" s="409" t="s">
        <v>4884</v>
      </c>
      <c r="N1077" s="409" t="s">
        <v>4884</v>
      </c>
      <c r="O1077" s="410" t="s">
        <v>4884</v>
      </c>
      <c r="P1077" s="406">
        <v>1074</v>
      </c>
      <c r="Q1077" s="270" t="s">
        <v>1972</v>
      </c>
      <c r="R1077" s="460" t="s">
        <v>1883</v>
      </c>
      <c r="S1077" s="270" t="s">
        <v>1884</v>
      </c>
      <c r="U1077" s="471"/>
      <c r="V1077" s="471"/>
      <c r="W1077" s="499"/>
      <c r="X1077" s="471"/>
      <c r="Y1077" s="206"/>
      <c r="Z1077" s="206"/>
    </row>
    <row r="1078" spans="1:26">
      <c r="A1078" s="406">
        <v>1075</v>
      </c>
      <c r="B1078" s="613" t="s">
        <v>7020</v>
      </c>
      <c r="C1078" s="288" t="s">
        <v>1973</v>
      </c>
      <c r="D1078" s="414" t="s">
        <v>4884</v>
      </c>
      <c r="E1078" s="407" t="s">
        <v>4884</v>
      </c>
      <c r="F1078" s="483"/>
      <c r="G1078" s="483"/>
      <c r="H1078" s="483"/>
      <c r="I1078" s="483"/>
      <c r="J1078" s="483"/>
      <c r="K1078" s="483"/>
      <c r="L1078" s="608" t="s">
        <v>4884</v>
      </c>
      <c r="M1078" s="409" t="s">
        <v>4884</v>
      </c>
      <c r="N1078" s="409" t="s">
        <v>4884</v>
      </c>
      <c r="O1078" s="410" t="s">
        <v>4884</v>
      </c>
      <c r="P1078" s="406">
        <v>1075</v>
      </c>
      <c r="Q1078" s="270" t="s">
        <v>1973</v>
      </c>
      <c r="R1078" s="460" t="s">
        <v>1883</v>
      </c>
      <c r="S1078" s="270" t="s">
        <v>1884</v>
      </c>
      <c r="U1078" s="471"/>
      <c r="V1078" s="471"/>
      <c r="W1078" s="499"/>
      <c r="X1078" s="471"/>
      <c r="Y1078" s="206"/>
      <c r="Z1078" s="206"/>
    </row>
    <row r="1079" spans="1:26">
      <c r="A1079" s="406">
        <v>1076</v>
      </c>
      <c r="B1079" s="613" t="s">
        <v>7020</v>
      </c>
      <c r="C1079" s="288" t="s">
        <v>1974</v>
      </c>
      <c r="D1079" s="414" t="s">
        <v>4884</v>
      </c>
      <c r="E1079" s="407" t="s">
        <v>4884</v>
      </c>
      <c r="F1079" s="483"/>
      <c r="G1079" s="483"/>
      <c r="H1079" s="483"/>
      <c r="I1079" s="483"/>
      <c r="J1079" s="483"/>
      <c r="K1079" s="483"/>
      <c r="L1079" s="608" t="s">
        <v>4884</v>
      </c>
      <c r="M1079" s="409" t="s">
        <v>4884</v>
      </c>
      <c r="N1079" s="409" t="s">
        <v>4884</v>
      </c>
      <c r="O1079" s="410" t="s">
        <v>4884</v>
      </c>
      <c r="P1079" s="406">
        <v>1076</v>
      </c>
      <c r="Q1079" s="270" t="s">
        <v>1974</v>
      </c>
      <c r="R1079" s="460" t="s">
        <v>1883</v>
      </c>
      <c r="S1079" s="270" t="s">
        <v>1884</v>
      </c>
      <c r="U1079" s="471"/>
      <c r="V1079" s="471"/>
      <c r="W1079" s="520"/>
      <c r="X1079" s="471"/>
      <c r="Y1079" s="206"/>
      <c r="Z1079" s="206"/>
    </row>
    <row r="1080" spans="1:26">
      <c r="A1080" s="406">
        <v>1077</v>
      </c>
      <c r="B1080" s="613" t="s">
        <v>7020</v>
      </c>
      <c r="C1080" s="288" t="s">
        <v>1975</v>
      </c>
      <c r="D1080" s="414" t="s">
        <v>4884</v>
      </c>
      <c r="E1080" s="407" t="s">
        <v>4884</v>
      </c>
      <c r="F1080" s="483"/>
      <c r="G1080" s="483"/>
      <c r="H1080" s="483"/>
      <c r="I1080" s="483"/>
      <c r="J1080" s="483"/>
      <c r="K1080" s="483"/>
      <c r="L1080" s="608" t="s">
        <v>4884</v>
      </c>
      <c r="M1080" s="409" t="s">
        <v>4884</v>
      </c>
      <c r="N1080" s="409" t="s">
        <v>4884</v>
      </c>
      <c r="O1080" s="410" t="s">
        <v>4884</v>
      </c>
      <c r="P1080" s="406">
        <v>1077</v>
      </c>
      <c r="Q1080" s="270" t="s">
        <v>1975</v>
      </c>
      <c r="R1080" s="460" t="s">
        <v>1883</v>
      </c>
      <c r="S1080" s="270" t="s">
        <v>1884</v>
      </c>
      <c r="U1080" s="471"/>
      <c r="V1080" s="471"/>
      <c r="W1080" s="520"/>
      <c r="X1080" s="471"/>
      <c r="Y1080" s="206"/>
      <c r="Z1080" s="206"/>
    </row>
    <row r="1081" spans="1:26">
      <c r="A1081" s="406">
        <v>1078</v>
      </c>
      <c r="B1081" s="613" t="s">
        <v>7020</v>
      </c>
      <c r="C1081" s="288" t="s">
        <v>1976</v>
      </c>
      <c r="D1081" s="414" t="s">
        <v>4884</v>
      </c>
      <c r="E1081" s="407" t="s">
        <v>4884</v>
      </c>
      <c r="F1081" s="483"/>
      <c r="G1081" s="483"/>
      <c r="H1081" s="483"/>
      <c r="I1081" s="483"/>
      <c r="J1081" s="483"/>
      <c r="K1081" s="483"/>
      <c r="L1081" s="608" t="s">
        <v>4884</v>
      </c>
      <c r="M1081" s="409" t="s">
        <v>4884</v>
      </c>
      <c r="N1081" s="409" t="s">
        <v>4884</v>
      </c>
      <c r="O1081" s="410" t="s">
        <v>4884</v>
      </c>
      <c r="P1081" s="406">
        <v>1078</v>
      </c>
      <c r="Q1081" s="270" t="s">
        <v>1976</v>
      </c>
      <c r="R1081" s="460" t="s">
        <v>1883</v>
      </c>
      <c r="S1081" s="270" t="s">
        <v>1884</v>
      </c>
      <c r="U1081" s="471"/>
      <c r="V1081" s="471"/>
      <c r="W1081" s="499"/>
      <c r="X1081" s="471"/>
      <c r="Y1081" s="206"/>
      <c r="Z1081" s="206"/>
    </row>
    <row r="1082" spans="1:26">
      <c r="A1082" s="406">
        <v>1079</v>
      </c>
      <c r="B1082" s="613" t="s">
        <v>7020</v>
      </c>
      <c r="C1082" s="288" t="s">
        <v>1977</v>
      </c>
      <c r="D1082" s="414" t="s">
        <v>4884</v>
      </c>
      <c r="E1082" s="407" t="s">
        <v>4884</v>
      </c>
      <c r="F1082" s="483"/>
      <c r="G1082" s="483"/>
      <c r="H1082" s="483"/>
      <c r="I1082" s="483"/>
      <c r="J1082" s="483"/>
      <c r="K1082" s="483"/>
      <c r="L1082" s="608" t="s">
        <v>4884</v>
      </c>
      <c r="M1082" s="409" t="s">
        <v>4884</v>
      </c>
      <c r="N1082" s="409" t="s">
        <v>4884</v>
      </c>
      <c r="O1082" s="410" t="s">
        <v>4884</v>
      </c>
      <c r="P1082" s="406">
        <v>1079</v>
      </c>
      <c r="Q1082" s="270" t="s">
        <v>1977</v>
      </c>
      <c r="R1082" s="460" t="s">
        <v>1883</v>
      </c>
      <c r="S1082" s="270" t="s">
        <v>1884</v>
      </c>
      <c r="U1082" s="471"/>
      <c r="V1082" s="471"/>
      <c r="W1082" s="499"/>
      <c r="X1082" s="471"/>
      <c r="Y1082" s="206"/>
      <c r="Z1082" s="206"/>
    </row>
    <row r="1083" spans="1:26">
      <c r="A1083" s="406">
        <v>1080</v>
      </c>
      <c r="B1083" s="613" t="s">
        <v>7020</v>
      </c>
      <c r="C1083" s="288" t="s">
        <v>1978</v>
      </c>
      <c r="D1083" s="414" t="s">
        <v>4884</v>
      </c>
      <c r="E1083" s="407" t="s">
        <v>4884</v>
      </c>
      <c r="F1083" s="483"/>
      <c r="G1083" s="483"/>
      <c r="H1083" s="483"/>
      <c r="I1083" s="483"/>
      <c r="J1083" s="483"/>
      <c r="K1083" s="483"/>
      <c r="L1083" s="608" t="s">
        <v>4884</v>
      </c>
      <c r="M1083" s="409" t="s">
        <v>4884</v>
      </c>
      <c r="N1083" s="409" t="s">
        <v>4884</v>
      </c>
      <c r="O1083" s="410" t="s">
        <v>4884</v>
      </c>
      <c r="P1083" s="406">
        <v>1080</v>
      </c>
      <c r="Q1083" s="270" t="s">
        <v>1978</v>
      </c>
      <c r="R1083" s="460" t="s">
        <v>1883</v>
      </c>
      <c r="S1083" s="270" t="s">
        <v>1884</v>
      </c>
      <c r="U1083" s="471"/>
      <c r="V1083" s="471"/>
      <c r="W1083" s="519"/>
      <c r="X1083" s="471"/>
      <c r="Y1083" s="206"/>
      <c r="Z1083" s="206"/>
    </row>
    <row r="1084" spans="1:26">
      <c r="A1084" s="406">
        <v>1081</v>
      </c>
      <c r="B1084" s="613" t="s">
        <v>7020</v>
      </c>
      <c r="C1084" s="288" t="s">
        <v>1979</v>
      </c>
      <c r="D1084" s="414" t="s">
        <v>4884</v>
      </c>
      <c r="E1084" s="407" t="s">
        <v>4884</v>
      </c>
      <c r="F1084" s="483"/>
      <c r="G1084" s="483"/>
      <c r="H1084" s="483"/>
      <c r="I1084" s="483"/>
      <c r="J1084" s="483"/>
      <c r="K1084" s="483"/>
      <c r="L1084" s="608" t="s">
        <v>4884</v>
      </c>
      <c r="M1084" s="409" t="s">
        <v>4884</v>
      </c>
      <c r="N1084" s="409" t="s">
        <v>4884</v>
      </c>
      <c r="O1084" s="410" t="s">
        <v>4884</v>
      </c>
      <c r="P1084" s="406">
        <v>1081</v>
      </c>
      <c r="Q1084" s="270" t="s">
        <v>1979</v>
      </c>
      <c r="R1084" s="460" t="s">
        <v>1883</v>
      </c>
      <c r="S1084" s="270" t="s">
        <v>1884</v>
      </c>
      <c r="U1084" s="471"/>
      <c r="V1084" s="471"/>
      <c r="W1084" s="519"/>
      <c r="X1084" s="471"/>
      <c r="Y1084" s="206"/>
      <c r="Z1084" s="206"/>
    </row>
    <row r="1085" spans="1:26">
      <c r="A1085" s="406">
        <v>1082</v>
      </c>
      <c r="B1085" s="613" t="s">
        <v>7020</v>
      </c>
      <c r="C1085" s="288" t="s">
        <v>1980</v>
      </c>
      <c r="D1085" s="414" t="s">
        <v>4884</v>
      </c>
      <c r="E1085" s="407" t="s">
        <v>4884</v>
      </c>
      <c r="F1085" s="483"/>
      <c r="G1085" s="483"/>
      <c r="H1085" s="483"/>
      <c r="I1085" s="483"/>
      <c r="J1085" s="483"/>
      <c r="K1085" s="483"/>
      <c r="L1085" s="608" t="s">
        <v>4884</v>
      </c>
      <c r="M1085" s="409" t="s">
        <v>4884</v>
      </c>
      <c r="N1085" s="409" t="s">
        <v>4884</v>
      </c>
      <c r="O1085" s="410" t="s">
        <v>4884</v>
      </c>
      <c r="P1085" s="406">
        <v>1082</v>
      </c>
      <c r="Q1085" s="270" t="s">
        <v>1980</v>
      </c>
      <c r="R1085" s="460" t="s">
        <v>1883</v>
      </c>
      <c r="S1085" s="270" t="s">
        <v>1884</v>
      </c>
      <c r="U1085" s="471"/>
      <c r="V1085" s="471"/>
      <c r="W1085" s="502"/>
      <c r="X1085" s="471"/>
      <c r="Y1085" s="206"/>
      <c r="Z1085" s="206"/>
    </row>
    <row r="1086" spans="1:26">
      <c r="A1086" s="406">
        <v>1083</v>
      </c>
      <c r="B1086" s="613" t="s">
        <v>7020</v>
      </c>
      <c r="C1086" s="288" t="s">
        <v>1981</v>
      </c>
      <c r="D1086" s="414" t="s">
        <v>4884</v>
      </c>
      <c r="E1086" s="407" t="s">
        <v>4884</v>
      </c>
      <c r="F1086" s="483"/>
      <c r="G1086" s="483"/>
      <c r="H1086" s="483"/>
      <c r="I1086" s="483"/>
      <c r="J1086" s="483"/>
      <c r="K1086" s="483"/>
      <c r="L1086" s="608" t="s">
        <v>4884</v>
      </c>
      <c r="M1086" s="409" t="s">
        <v>4884</v>
      </c>
      <c r="N1086" s="409" t="s">
        <v>4884</v>
      </c>
      <c r="O1086" s="410" t="s">
        <v>4884</v>
      </c>
      <c r="P1086" s="406">
        <v>1083</v>
      </c>
      <c r="Q1086" s="270" t="s">
        <v>1981</v>
      </c>
      <c r="R1086" s="460" t="s">
        <v>1883</v>
      </c>
      <c r="S1086" s="270" t="s">
        <v>1884</v>
      </c>
      <c r="U1086" s="471"/>
      <c r="V1086" s="471"/>
      <c r="W1086" s="502"/>
      <c r="X1086" s="471"/>
      <c r="Y1086" s="206"/>
      <c r="Z1086" s="206"/>
    </row>
    <row r="1087" spans="1:26">
      <c r="A1087" s="406">
        <v>1084</v>
      </c>
      <c r="B1087" s="613" t="s">
        <v>7020</v>
      </c>
      <c r="C1087" s="288" t="s">
        <v>1982</v>
      </c>
      <c r="D1087" s="414" t="s">
        <v>4884</v>
      </c>
      <c r="E1087" s="407" t="s">
        <v>4884</v>
      </c>
      <c r="F1087" s="483"/>
      <c r="G1087" s="483"/>
      <c r="H1087" s="483"/>
      <c r="I1087" s="483"/>
      <c r="J1087" s="483"/>
      <c r="K1087" s="483"/>
      <c r="L1087" s="608" t="s">
        <v>4884</v>
      </c>
      <c r="M1087" s="409" t="s">
        <v>4884</v>
      </c>
      <c r="N1087" s="409" t="s">
        <v>4884</v>
      </c>
      <c r="O1087" s="410" t="s">
        <v>4884</v>
      </c>
      <c r="P1087" s="406">
        <v>1084</v>
      </c>
      <c r="Q1087" s="270" t="s">
        <v>1982</v>
      </c>
      <c r="R1087" s="460" t="s">
        <v>1883</v>
      </c>
      <c r="S1087" s="270" t="s">
        <v>1884</v>
      </c>
      <c r="U1087" s="471"/>
      <c r="V1087" s="471"/>
      <c r="W1087" s="502"/>
      <c r="X1087" s="471"/>
      <c r="Y1087" s="206"/>
      <c r="Z1087" s="206"/>
    </row>
    <row r="1088" spans="1:26">
      <c r="A1088" s="406">
        <v>1085</v>
      </c>
      <c r="B1088" s="613" t="s">
        <v>7020</v>
      </c>
      <c r="C1088" s="288" t="s">
        <v>1983</v>
      </c>
      <c r="D1088" s="414" t="s">
        <v>4884</v>
      </c>
      <c r="E1088" s="407" t="s">
        <v>4884</v>
      </c>
      <c r="F1088" s="483"/>
      <c r="G1088" s="483"/>
      <c r="H1088" s="483"/>
      <c r="I1088" s="483"/>
      <c r="J1088" s="483"/>
      <c r="K1088" s="483"/>
      <c r="L1088" s="608" t="s">
        <v>4884</v>
      </c>
      <c r="M1088" s="409" t="s">
        <v>4884</v>
      </c>
      <c r="N1088" s="409" t="s">
        <v>4884</v>
      </c>
      <c r="O1088" s="410" t="s">
        <v>4884</v>
      </c>
      <c r="P1088" s="406">
        <v>1085</v>
      </c>
      <c r="Q1088" s="270" t="s">
        <v>1983</v>
      </c>
      <c r="R1088" s="460" t="s">
        <v>1883</v>
      </c>
      <c r="S1088" s="270" t="s">
        <v>1884</v>
      </c>
      <c r="U1088" s="471"/>
      <c r="V1088" s="471"/>
      <c r="W1088" s="502"/>
      <c r="X1088" s="471"/>
      <c r="Y1088" s="206"/>
      <c r="Z1088" s="206"/>
    </row>
    <row r="1089" spans="1:26">
      <c r="A1089" s="406">
        <v>1086</v>
      </c>
      <c r="B1089" s="613" t="s">
        <v>7020</v>
      </c>
      <c r="C1089" s="288" t="s">
        <v>1984</v>
      </c>
      <c r="D1089" s="414" t="s">
        <v>4884</v>
      </c>
      <c r="E1089" s="407" t="s">
        <v>4884</v>
      </c>
      <c r="F1089" s="483"/>
      <c r="G1089" s="483"/>
      <c r="H1089" s="483"/>
      <c r="I1089" s="483"/>
      <c r="J1089" s="483"/>
      <c r="K1089" s="483"/>
      <c r="L1089" s="608" t="s">
        <v>4884</v>
      </c>
      <c r="M1089" s="409" t="s">
        <v>4884</v>
      </c>
      <c r="N1089" s="409" t="s">
        <v>4884</v>
      </c>
      <c r="O1089" s="410" t="s">
        <v>4884</v>
      </c>
      <c r="P1089" s="406">
        <v>1086</v>
      </c>
      <c r="Q1089" s="270" t="s">
        <v>1984</v>
      </c>
      <c r="R1089" s="460" t="s">
        <v>1883</v>
      </c>
      <c r="S1089" s="270" t="s">
        <v>1884</v>
      </c>
      <c r="U1089" s="471"/>
      <c r="V1089" s="471"/>
      <c r="W1089" s="466"/>
      <c r="X1089" s="471"/>
      <c r="Y1089" s="206"/>
      <c r="Z1089" s="206"/>
    </row>
    <row r="1090" spans="1:26">
      <c r="A1090" s="406">
        <v>1087</v>
      </c>
      <c r="B1090" s="613" t="s">
        <v>7020</v>
      </c>
      <c r="C1090" s="288" t="s">
        <v>1985</v>
      </c>
      <c r="D1090" s="414" t="s">
        <v>4884</v>
      </c>
      <c r="E1090" s="407" t="s">
        <v>4884</v>
      </c>
      <c r="F1090" s="483"/>
      <c r="G1090" s="483"/>
      <c r="H1090" s="483"/>
      <c r="I1090" s="483"/>
      <c r="J1090" s="483"/>
      <c r="K1090" s="483"/>
      <c r="L1090" s="608" t="s">
        <v>4884</v>
      </c>
      <c r="M1090" s="409" t="s">
        <v>4884</v>
      </c>
      <c r="N1090" s="409" t="s">
        <v>4884</v>
      </c>
      <c r="O1090" s="410" t="s">
        <v>4884</v>
      </c>
      <c r="P1090" s="406">
        <v>1087</v>
      </c>
      <c r="Q1090" s="270" t="s">
        <v>1985</v>
      </c>
      <c r="R1090" s="460" t="s">
        <v>1883</v>
      </c>
      <c r="S1090" s="270" t="s">
        <v>1884</v>
      </c>
      <c r="U1090" s="471"/>
      <c r="V1090" s="471"/>
      <c r="W1090" s="466"/>
      <c r="X1090" s="471"/>
      <c r="Y1090" s="206"/>
      <c r="Z1090" s="206"/>
    </row>
    <row r="1091" spans="1:26">
      <c r="A1091" s="406">
        <v>1088</v>
      </c>
      <c r="B1091" s="613" t="s">
        <v>7020</v>
      </c>
      <c r="C1091" s="288" t="s">
        <v>1986</v>
      </c>
      <c r="D1091" s="414" t="s">
        <v>4884</v>
      </c>
      <c r="E1091" s="407" t="s">
        <v>4884</v>
      </c>
      <c r="F1091" s="483"/>
      <c r="G1091" s="483"/>
      <c r="H1091" s="483"/>
      <c r="I1091" s="483"/>
      <c r="J1091" s="483"/>
      <c r="K1091" s="483"/>
      <c r="L1091" s="608" t="s">
        <v>4884</v>
      </c>
      <c r="M1091" s="409" t="s">
        <v>4884</v>
      </c>
      <c r="N1091" s="409" t="s">
        <v>4884</v>
      </c>
      <c r="O1091" s="410" t="s">
        <v>4884</v>
      </c>
      <c r="P1091" s="406">
        <v>1088</v>
      </c>
      <c r="Q1091" s="270" t="s">
        <v>1986</v>
      </c>
      <c r="R1091" s="460" t="s">
        <v>1883</v>
      </c>
      <c r="S1091" s="270" t="s">
        <v>1884</v>
      </c>
      <c r="U1091" s="471"/>
      <c r="V1091" s="471"/>
      <c r="W1091" s="466"/>
      <c r="X1091" s="471"/>
      <c r="Y1091" s="206"/>
      <c r="Z1091" s="206"/>
    </row>
    <row r="1092" spans="1:26">
      <c r="A1092" s="406">
        <v>1089</v>
      </c>
      <c r="B1092" s="613" t="s">
        <v>7020</v>
      </c>
      <c r="C1092" s="288" t="s">
        <v>1987</v>
      </c>
      <c r="D1092" s="414" t="s">
        <v>4884</v>
      </c>
      <c r="E1092" s="407" t="s">
        <v>4884</v>
      </c>
      <c r="F1092" s="483"/>
      <c r="G1092" s="483"/>
      <c r="H1092" s="483"/>
      <c r="I1092" s="483"/>
      <c r="J1092" s="483"/>
      <c r="K1092" s="483"/>
      <c r="L1092" s="608" t="s">
        <v>4884</v>
      </c>
      <c r="M1092" s="409" t="s">
        <v>4884</v>
      </c>
      <c r="N1092" s="409" t="s">
        <v>4884</v>
      </c>
      <c r="O1092" s="410" t="s">
        <v>4884</v>
      </c>
      <c r="P1092" s="406">
        <v>1089</v>
      </c>
      <c r="Q1092" s="270" t="s">
        <v>1987</v>
      </c>
      <c r="R1092" s="460" t="s">
        <v>1883</v>
      </c>
      <c r="S1092" s="270" t="s">
        <v>1884</v>
      </c>
      <c r="U1092" s="471"/>
      <c r="V1092" s="471"/>
      <c r="W1092" s="466"/>
      <c r="X1092" s="471"/>
      <c r="Y1092" s="206"/>
      <c r="Z1092" s="206"/>
    </row>
    <row r="1093" spans="1:26">
      <c r="A1093" s="406">
        <v>1090</v>
      </c>
      <c r="B1093" s="613" t="s">
        <v>7020</v>
      </c>
      <c r="C1093" s="288" t="s">
        <v>1988</v>
      </c>
      <c r="D1093" s="414" t="s">
        <v>4884</v>
      </c>
      <c r="E1093" s="407" t="s">
        <v>4884</v>
      </c>
      <c r="F1093" s="483"/>
      <c r="G1093" s="483"/>
      <c r="H1093" s="483"/>
      <c r="I1093" s="483"/>
      <c r="J1093" s="483"/>
      <c r="K1093" s="483"/>
      <c r="L1093" s="608" t="s">
        <v>4884</v>
      </c>
      <c r="M1093" s="409" t="s">
        <v>4884</v>
      </c>
      <c r="N1093" s="409" t="s">
        <v>4884</v>
      </c>
      <c r="O1093" s="410" t="s">
        <v>4884</v>
      </c>
      <c r="P1093" s="406">
        <v>1090</v>
      </c>
      <c r="Q1093" s="270" t="s">
        <v>1988</v>
      </c>
      <c r="R1093" s="460" t="s">
        <v>1883</v>
      </c>
      <c r="S1093" s="270" t="s">
        <v>1884</v>
      </c>
      <c r="U1093" s="471"/>
      <c r="V1093" s="471"/>
      <c r="W1093" s="466"/>
      <c r="X1093" s="471"/>
      <c r="Y1093" s="206"/>
      <c r="Z1093" s="206"/>
    </row>
    <row r="1094" spans="1:26">
      <c r="A1094" s="406">
        <v>1091</v>
      </c>
      <c r="B1094" s="613" t="s">
        <v>7020</v>
      </c>
      <c r="C1094" s="288" t="s">
        <v>1989</v>
      </c>
      <c r="D1094" s="414" t="s">
        <v>4884</v>
      </c>
      <c r="E1094" s="407" t="s">
        <v>4884</v>
      </c>
      <c r="F1094" s="483"/>
      <c r="G1094" s="483"/>
      <c r="H1094" s="483"/>
      <c r="I1094" s="483"/>
      <c r="J1094" s="483"/>
      <c r="K1094" s="483"/>
      <c r="L1094" s="608" t="s">
        <v>4884</v>
      </c>
      <c r="M1094" s="409" t="s">
        <v>4884</v>
      </c>
      <c r="N1094" s="409" t="s">
        <v>4884</v>
      </c>
      <c r="O1094" s="410" t="s">
        <v>4884</v>
      </c>
      <c r="P1094" s="406">
        <v>1091</v>
      </c>
      <c r="Q1094" s="270" t="s">
        <v>1989</v>
      </c>
      <c r="R1094" s="460" t="s">
        <v>1883</v>
      </c>
      <c r="S1094" s="270" t="s">
        <v>1884</v>
      </c>
      <c r="U1094" s="471"/>
      <c r="V1094" s="471"/>
      <c r="W1094" s="466"/>
      <c r="X1094" s="471"/>
      <c r="Y1094" s="206"/>
      <c r="Z1094" s="206"/>
    </row>
    <row r="1095" spans="1:26">
      <c r="A1095" s="406">
        <v>1092</v>
      </c>
      <c r="B1095" s="613" t="s">
        <v>7020</v>
      </c>
      <c r="C1095" s="288" t="s">
        <v>1990</v>
      </c>
      <c r="D1095" s="414" t="s">
        <v>4884</v>
      </c>
      <c r="E1095" s="407" t="s">
        <v>4884</v>
      </c>
      <c r="F1095" s="483"/>
      <c r="G1095" s="483"/>
      <c r="H1095" s="483"/>
      <c r="I1095" s="483"/>
      <c r="J1095" s="483"/>
      <c r="K1095" s="483"/>
      <c r="L1095" s="608" t="s">
        <v>4884</v>
      </c>
      <c r="M1095" s="409" t="s">
        <v>4884</v>
      </c>
      <c r="N1095" s="409" t="s">
        <v>4884</v>
      </c>
      <c r="O1095" s="410" t="s">
        <v>4884</v>
      </c>
      <c r="P1095" s="406">
        <v>1092</v>
      </c>
      <c r="Q1095" s="270" t="s">
        <v>1990</v>
      </c>
      <c r="R1095" s="460" t="s">
        <v>1883</v>
      </c>
      <c r="S1095" s="270" t="s">
        <v>1884</v>
      </c>
      <c r="U1095" s="471"/>
      <c r="V1095" s="471"/>
      <c r="W1095" s="496"/>
      <c r="X1095" s="471"/>
      <c r="Y1095" s="206"/>
      <c r="Z1095" s="206"/>
    </row>
    <row r="1096" spans="1:26">
      <c r="A1096" s="406">
        <v>1093</v>
      </c>
      <c r="B1096" s="613" t="s">
        <v>7020</v>
      </c>
      <c r="C1096" s="288" t="s">
        <v>1991</v>
      </c>
      <c r="D1096" s="414" t="s">
        <v>4884</v>
      </c>
      <c r="E1096" s="407" t="s">
        <v>4884</v>
      </c>
      <c r="F1096" s="483"/>
      <c r="G1096" s="483"/>
      <c r="H1096" s="483"/>
      <c r="I1096" s="483"/>
      <c r="J1096" s="483"/>
      <c r="K1096" s="483"/>
      <c r="L1096" s="608" t="s">
        <v>4884</v>
      </c>
      <c r="M1096" s="409" t="s">
        <v>4884</v>
      </c>
      <c r="N1096" s="409" t="s">
        <v>4884</v>
      </c>
      <c r="O1096" s="410" t="s">
        <v>4884</v>
      </c>
      <c r="P1096" s="406">
        <v>1093</v>
      </c>
      <c r="Q1096" s="270" t="s">
        <v>1991</v>
      </c>
      <c r="R1096" s="460" t="s">
        <v>1883</v>
      </c>
      <c r="S1096" s="270" t="s">
        <v>1884</v>
      </c>
      <c r="U1096" s="471"/>
      <c r="V1096" s="471"/>
      <c r="W1096" s="496"/>
      <c r="X1096" s="471"/>
      <c r="Y1096" s="206"/>
      <c r="Z1096" s="206"/>
    </row>
    <row r="1097" spans="1:26">
      <c r="A1097" s="406">
        <v>1094</v>
      </c>
      <c r="B1097" s="613" t="s">
        <v>7020</v>
      </c>
      <c r="C1097" s="288" t="s">
        <v>1992</v>
      </c>
      <c r="D1097" s="414" t="s">
        <v>4884</v>
      </c>
      <c r="E1097" s="407" t="s">
        <v>4884</v>
      </c>
      <c r="F1097" s="483"/>
      <c r="G1097" s="483"/>
      <c r="H1097" s="483"/>
      <c r="I1097" s="483"/>
      <c r="J1097" s="483"/>
      <c r="K1097" s="483"/>
      <c r="L1097" s="608" t="s">
        <v>4884</v>
      </c>
      <c r="M1097" s="409" t="s">
        <v>4884</v>
      </c>
      <c r="N1097" s="409" t="s">
        <v>4884</v>
      </c>
      <c r="O1097" s="410" t="s">
        <v>4884</v>
      </c>
      <c r="P1097" s="406">
        <v>1094</v>
      </c>
      <c r="Q1097" s="270" t="s">
        <v>1992</v>
      </c>
      <c r="R1097" s="460" t="s">
        <v>1883</v>
      </c>
      <c r="S1097" s="270" t="s">
        <v>1884</v>
      </c>
      <c r="U1097" s="471"/>
      <c r="V1097" s="471"/>
      <c r="W1097" s="519"/>
      <c r="X1097" s="471"/>
      <c r="Y1097" s="206"/>
      <c r="Z1097" s="206"/>
    </row>
    <row r="1098" spans="1:26">
      <c r="A1098" s="406">
        <v>1095</v>
      </c>
      <c r="B1098" s="613" t="s">
        <v>7020</v>
      </c>
      <c r="C1098" s="288" t="s">
        <v>1993</v>
      </c>
      <c r="D1098" s="414" t="s">
        <v>4884</v>
      </c>
      <c r="E1098" s="407" t="s">
        <v>4884</v>
      </c>
      <c r="F1098" s="483"/>
      <c r="G1098" s="483"/>
      <c r="H1098" s="483"/>
      <c r="I1098" s="483"/>
      <c r="J1098" s="483"/>
      <c r="K1098" s="483"/>
      <c r="L1098" s="608" t="s">
        <v>4884</v>
      </c>
      <c r="M1098" s="409" t="s">
        <v>4884</v>
      </c>
      <c r="N1098" s="409" t="s">
        <v>4884</v>
      </c>
      <c r="O1098" s="410" t="s">
        <v>4884</v>
      </c>
      <c r="P1098" s="406">
        <v>1095</v>
      </c>
      <c r="Q1098" s="270" t="s">
        <v>1993</v>
      </c>
      <c r="R1098" s="460" t="s">
        <v>1883</v>
      </c>
      <c r="S1098" s="270" t="s">
        <v>1884</v>
      </c>
      <c r="U1098" s="471"/>
      <c r="V1098" s="471"/>
      <c r="W1098" s="519"/>
      <c r="X1098" s="471"/>
      <c r="Y1098" s="206"/>
      <c r="Z1098" s="206"/>
    </row>
    <row r="1099" spans="1:26">
      <c r="A1099" s="406">
        <v>1096</v>
      </c>
      <c r="B1099" s="613" t="s">
        <v>7020</v>
      </c>
      <c r="C1099" s="288" t="s">
        <v>1994</v>
      </c>
      <c r="D1099" s="414" t="s">
        <v>4884</v>
      </c>
      <c r="E1099" s="407" t="s">
        <v>4884</v>
      </c>
      <c r="F1099" s="483"/>
      <c r="G1099" s="483"/>
      <c r="H1099" s="483"/>
      <c r="I1099" s="483"/>
      <c r="J1099" s="483"/>
      <c r="K1099" s="483"/>
      <c r="L1099" s="608" t="s">
        <v>4884</v>
      </c>
      <c r="M1099" s="409" t="s">
        <v>4884</v>
      </c>
      <c r="N1099" s="409" t="s">
        <v>4884</v>
      </c>
      <c r="O1099" s="410" t="s">
        <v>4884</v>
      </c>
      <c r="P1099" s="406">
        <v>1096</v>
      </c>
      <c r="Q1099" s="270" t="s">
        <v>1994</v>
      </c>
      <c r="R1099" s="460" t="s">
        <v>1883</v>
      </c>
      <c r="S1099" s="270" t="s">
        <v>1884</v>
      </c>
      <c r="U1099" s="471"/>
      <c r="V1099" s="471"/>
      <c r="W1099" s="521"/>
      <c r="X1099" s="471"/>
      <c r="Y1099" s="206"/>
      <c r="Z1099" s="206"/>
    </row>
    <row r="1100" spans="1:26">
      <c r="A1100" s="406">
        <v>1097</v>
      </c>
      <c r="B1100" s="613" t="s">
        <v>7020</v>
      </c>
      <c r="C1100" s="288" t="s">
        <v>1995</v>
      </c>
      <c r="D1100" s="414" t="s">
        <v>4884</v>
      </c>
      <c r="E1100" s="407" t="s">
        <v>4884</v>
      </c>
      <c r="F1100" s="483"/>
      <c r="G1100" s="483"/>
      <c r="H1100" s="483"/>
      <c r="I1100" s="483"/>
      <c r="J1100" s="483"/>
      <c r="K1100" s="483"/>
      <c r="L1100" s="608" t="s">
        <v>4884</v>
      </c>
      <c r="M1100" s="409" t="s">
        <v>4884</v>
      </c>
      <c r="N1100" s="409" t="s">
        <v>4884</v>
      </c>
      <c r="O1100" s="410" t="s">
        <v>4884</v>
      </c>
      <c r="P1100" s="406">
        <v>1097</v>
      </c>
      <c r="Q1100" s="270" t="s">
        <v>1995</v>
      </c>
      <c r="R1100" s="460" t="s">
        <v>1883</v>
      </c>
      <c r="S1100" s="270" t="s">
        <v>1884</v>
      </c>
      <c r="U1100" s="471"/>
      <c r="V1100" s="471"/>
      <c r="W1100" s="521"/>
      <c r="X1100" s="471"/>
      <c r="Y1100" s="206"/>
      <c r="Z1100" s="206"/>
    </row>
    <row r="1101" spans="1:26">
      <c r="A1101" s="406">
        <v>1098</v>
      </c>
      <c r="B1101" s="613" t="s">
        <v>7020</v>
      </c>
      <c r="C1101" s="288" t="s">
        <v>1996</v>
      </c>
      <c r="D1101" s="414" t="s">
        <v>4884</v>
      </c>
      <c r="E1101" s="407" t="s">
        <v>4884</v>
      </c>
      <c r="F1101" s="483"/>
      <c r="G1101" s="483"/>
      <c r="H1101" s="483"/>
      <c r="I1101" s="483"/>
      <c r="J1101" s="483"/>
      <c r="K1101" s="483"/>
      <c r="L1101" s="608" t="s">
        <v>4884</v>
      </c>
      <c r="M1101" s="409" t="s">
        <v>4884</v>
      </c>
      <c r="N1101" s="409" t="s">
        <v>4884</v>
      </c>
      <c r="O1101" s="410" t="s">
        <v>4884</v>
      </c>
      <c r="P1101" s="406">
        <v>1098</v>
      </c>
      <c r="Q1101" s="270" t="s">
        <v>1996</v>
      </c>
      <c r="R1101" s="460" t="s">
        <v>1883</v>
      </c>
      <c r="S1101" s="270" t="s">
        <v>1884</v>
      </c>
      <c r="U1101" s="471"/>
      <c r="V1101" s="471"/>
      <c r="W1101" s="471" t="s">
        <v>1834</v>
      </c>
      <c r="X1101" s="471"/>
      <c r="Y1101" s="206"/>
      <c r="Z1101" s="206"/>
    </row>
    <row r="1102" spans="1:26">
      <c r="A1102" s="406">
        <v>1099</v>
      </c>
      <c r="B1102" s="613" t="s">
        <v>7020</v>
      </c>
      <c r="C1102" s="288" t="s">
        <v>1997</v>
      </c>
      <c r="D1102" s="414" t="s">
        <v>4884</v>
      </c>
      <c r="E1102" s="407" t="s">
        <v>4884</v>
      </c>
      <c r="F1102" s="483"/>
      <c r="G1102" s="483"/>
      <c r="H1102" s="483"/>
      <c r="I1102" s="483"/>
      <c r="J1102" s="483"/>
      <c r="K1102" s="483"/>
      <c r="L1102" s="608" t="s">
        <v>4884</v>
      </c>
      <c r="M1102" s="409" t="s">
        <v>4884</v>
      </c>
      <c r="N1102" s="409" t="s">
        <v>4884</v>
      </c>
      <c r="O1102" s="410" t="s">
        <v>4884</v>
      </c>
      <c r="P1102" s="406">
        <v>1099</v>
      </c>
      <c r="Q1102" s="270" t="s">
        <v>1997</v>
      </c>
      <c r="R1102" s="460" t="s">
        <v>1883</v>
      </c>
      <c r="S1102" s="270" t="s">
        <v>1884</v>
      </c>
      <c r="U1102" s="471"/>
      <c r="V1102" s="471"/>
      <c r="W1102" s="471" t="s">
        <v>1834</v>
      </c>
      <c r="X1102" s="471"/>
      <c r="Y1102" s="206"/>
      <c r="Z1102" s="206"/>
    </row>
    <row r="1103" spans="1:26">
      <c r="A1103" s="406">
        <v>1100</v>
      </c>
      <c r="B1103" s="613" t="s">
        <v>7020</v>
      </c>
      <c r="C1103" s="288" t="s">
        <v>1998</v>
      </c>
      <c r="D1103" s="414" t="s">
        <v>4884</v>
      </c>
      <c r="E1103" s="407" t="s">
        <v>4884</v>
      </c>
      <c r="F1103" s="483"/>
      <c r="G1103" s="483"/>
      <c r="H1103" s="483"/>
      <c r="I1103" s="483"/>
      <c r="J1103" s="483"/>
      <c r="K1103" s="483"/>
      <c r="L1103" s="608" t="s">
        <v>4884</v>
      </c>
      <c r="M1103" s="409" t="s">
        <v>4884</v>
      </c>
      <c r="N1103" s="409" t="s">
        <v>4884</v>
      </c>
      <c r="O1103" s="410" t="s">
        <v>4884</v>
      </c>
      <c r="P1103" s="406">
        <v>1100</v>
      </c>
      <c r="Q1103" s="270" t="s">
        <v>1998</v>
      </c>
      <c r="R1103" s="460" t="s">
        <v>1883</v>
      </c>
      <c r="S1103" s="270" t="s">
        <v>1884</v>
      </c>
      <c r="U1103" s="471"/>
      <c r="V1103" s="471"/>
      <c r="W1103" s="477"/>
      <c r="X1103" s="471"/>
      <c r="Y1103" s="206"/>
      <c r="Z1103" s="206"/>
    </row>
    <row r="1104" spans="1:26">
      <c r="A1104" s="406">
        <v>1101</v>
      </c>
      <c r="B1104" s="613" t="s">
        <v>7020</v>
      </c>
      <c r="C1104" s="288" t="s">
        <v>1999</v>
      </c>
      <c r="D1104" s="414" t="s">
        <v>4884</v>
      </c>
      <c r="E1104" s="407" t="s">
        <v>4884</v>
      </c>
      <c r="F1104" s="483"/>
      <c r="G1104" s="483"/>
      <c r="H1104" s="483"/>
      <c r="I1104" s="483"/>
      <c r="J1104" s="483"/>
      <c r="K1104" s="483"/>
      <c r="L1104" s="608" t="s">
        <v>4884</v>
      </c>
      <c r="M1104" s="409" t="s">
        <v>4884</v>
      </c>
      <c r="N1104" s="409" t="s">
        <v>4884</v>
      </c>
      <c r="O1104" s="410" t="s">
        <v>4884</v>
      </c>
      <c r="P1104" s="406">
        <v>1101</v>
      </c>
      <c r="Q1104" s="270" t="s">
        <v>1999</v>
      </c>
      <c r="R1104" s="460" t="s">
        <v>1883</v>
      </c>
      <c r="S1104" s="270" t="s">
        <v>1884</v>
      </c>
      <c r="U1104" s="471"/>
      <c r="V1104" s="471"/>
      <c r="W1104" s="477"/>
      <c r="X1104" s="471"/>
      <c r="Y1104" s="206"/>
      <c r="Z1104" s="206"/>
    </row>
    <row r="1105" spans="1:26">
      <c r="A1105" s="406">
        <v>1102</v>
      </c>
      <c r="B1105" s="613" t="s">
        <v>7020</v>
      </c>
      <c r="C1105" s="288" t="s">
        <v>2000</v>
      </c>
      <c r="D1105" s="414" t="s">
        <v>4884</v>
      </c>
      <c r="E1105" s="407" t="s">
        <v>4884</v>
      </c>
      <c r="F1105" s="483"/>
      <c r="G1105" s="483"/>
      <c r="H1105" s="483"/>
      <c r="I1105" s="483"/>
      <c r="J1105" s="483"/>
      <c r="K1105" s="483"/>
      <c r="L1105" s="608" t="s">
        <v>4884</v>
      </c>
      <c r="M1105" s="409" t="s">
        <v>4884</v>
      </c>
      <c r="N1105" s="409" t="s">
        <v>4884</v>
      </c>
      <c r="O1105" s="410" t="s">
        <v>4884</v>
      </c>
      <c r="P1105" s="406">
        <v>1102</v>
      </c>
      <c r="Q1105" s="270" t="s">
        <v>2000</v>
      </c>
      <c r="R1105" s="460" t="s">
        <v>1883</v>
      </c>
      <c r="S1105" s="270" t="s">
        <v>1884</v>
      </c>
      <c r="U1105" s="471"/>
      <c r="V1105" s="471"/>
      <c r="W1105" s="477"/>
      <c r="X1105" s="471"/>
      <c r="Y1105" s="206"/>
      <c r="Z1105" s="206"/>
    </row>
    <row r="1106" spans="1:26">
      <c r="A1106" s="406">
        <v>1103</v>
      </c>
      <c r="B1106" s="613" t="s">
        <v>7020</v>
      </c>
      <c r="C1106" s="288" t="s">
        <v>2001</v>
      </c>
      <c r="D1106" s="414" t="s">
        <v>4884</v>
      </c>
      <c r="E1106" s="407" t="s">
        <v>4884</v>
      </c>
      <c r="F1106" s="483"/>
      <c r="G1106" s="483"/>
      <c r="H1106" s="483"/>
      <c r="I1106" s="483"/>
      <c r="J1106" s="483"/>
      <c r="K1106" s="483"/>
      <c r="L1106" s="608" t="s">
        <v>4884</v>
      </c>
      <c r="M1106" s="409" t="s">
        <v>4884</v>
      </c>
      <c r="N1106" s="409" t="s">
        <v>4884</v>
      </c>
      <c r="O1106" s="410" t="s">
        <v>4884</v>
      </c>
      <c r="P1106" s="406">
        <v>1103</v>
      </c>
      <c r="Q1106" s="270" t="s">
        <v>2001</v>
      </c>
      <c r="R1106" s="460" t="s">
        <v>1883</v>
      </c>
      <c r="S1106" s="270" t="s">
        <v>1884</v>
      </c>
      <c r="U1106" s="471"/>
      <c r="V1106" s="471"/>
      <c r="W1106" s="477"/>
      <c r="X1106" s="471"/>
      <c r="Y1106" s="206"/>
      <c r="Z1106" s="206"/>
    </row>
    <row r="1107" spans="1:26">
      <c r="A1107" s="406">
        <v>1104</v>
      </c>
      <c r="B1107" s="613" t="s">
        <v>7020</v>
      </c>
      <c r="C1107" s="288" t="s">
        <v>2002</v>
      </c>
      <c r="D1107" s="414" t="s">
        <v>4884</v>
      </c>
      <c r="E1107" s="407" t="s">
        <v>4884</v>
      </c>
      <c r="F1107" s="483"/>
      <c r="G1107" s="483"/>
      <c r="H1107" s="483"/>
      <c r="I1107" s="483"/>
      <c r="J1107" s="483"/>
      <c r="K1107" s="483"/>
      <c r="L1107" s="608" t="s">
        <v>4884</v>
      </c>
      <c r="M1107" s="409" t="s">
        <v>4884</v>
      </c>
      <c r="N1107" s="409" t="s">
        <v>4884</v>
      </c>
      <c r="O1107" s="410" t="s">
        <v>4884</v>
      </c>
      <c r="P1107" s="406">
        <v>1104</v>
      </c>
      <c r="Q1107" s="270" t="s">
        <v>2002</v>
      </c>
      <c r="R1107" s="460" t="s">
        <v>1883</v>
      </c>
      <c r="S1107" s="270" t="s">
        <v>1884</v>
      </c>
      <c r="U1107" s="471"/>
      <c r="V1107" s="471"/>
      <c r="W1107" s="477"/>
      <c r="X1107" s="471"/>
      <c r="Y1107" s="206"/>
      <c r="Z1107" s="206"/>
    </row>
    <row r="1108" spans="1:26">
      <c r="A1108" s="406">
        <v>1105</v>
      </c>
      <c r="B1108" s="613" t="s">
        <v>7020</v>
      </c>
      <c r="C1108" s="288" t="s">
        <v>2003</v>
      </c>
      <c r="D1108" s="414" t="s">
        <v>4884</v>
      </c>
      <c r="E1108" s="407" t="s">
        <v>4884</v>
      </c>
      <c r="F1108" s="483"/>
      <c r="G1108" s="483"/>
      <c r="H1108" s="483"/>
      <c r="I1108" s="483"/>
      <c r="J1108" s="483"/>
      <c r="K1108" s="483"/>
      <c r="L1108" s="608" t="s">
        <v>4884</v>
      </c>
      <c r="M1108" s="409" t="s">
        <v>4884</v>
      </c>
      <c r="N1108" s="409" t="s">
        <v>4884</v>
      </c>
      <c r="O1108" s="410" t="s">
        <v>4884</v>
      </c>
      <c r="P1108" s="406">
        <v>1105</v>
      </c>
      <c r="Q1108" s="270" t="s">
        <v>2003</v>
      </c>
      <c r="R1108" s="460" t="s">
        <v>1883</v>
      </c>
      <c r="S1108" s="270" t="s">
        <v>1884</v>
      </c>
      <c r="U1108" s="471"/>
      <c r="V1108" s="471"/>
      <c r="W1108" s="477"/>
      <c r="X1108" s="471"/>
      <c r="Y1108" s="206"/>
      <c r="Z1108" s="206"/>
    </row>
    <row r="1109" spans="1:26">
      <c r="A1109" s="406">
        <v>1106</v>
      </c>
      <c r="B1109" s="613" t="s">
        <v>7020</v>
      </c>
      <c r="C1109" s="288" t="s">
        <v>2004</v>
      </c>
      <c r="D1109" s="414" t="s">
        <v>4884</v>
      </c>
      <c r="E1109" s="407" t="s">
        <v>4884</v>
      </c>
      <c r="F1109" s="483"/>
      <c r="G1109" s="483"/>
      <c r="H1109" s="483"/>
      <c r="I1109" s="483"/>
      <c r="J1109" s="483"/>
      <c r="K1109" s="483"/>
      <c r="L1109" s="608" t="s">
        <v>4884</v>
      </c>
      <c r="M1109" s="409" t="s">
        <v>4884</v>
      </c>
      <c r="N1109" s="409" t="s">
        <v>4884</v>
      </c>
      <c r="O1109" s="410" t="s">
        <v>4884</v>
      </c>
      <c r="P1109" s="406">
        <v>1106</v>
      </c>
      <c r="Q1109" s="270" t="s">
        <v>2004</v>
      </c>
      <c r="R1109" s="460" t="s">
        <v>1883</v>
      </c>
      <c r="S1109" s="270" t="s">
        <v>1884</v>
      </c>
      <c r="U1109" s="471"/>
      <c r="V1109" s="471"/>
      <c r="W1109" s="477"/>
      <c r="X1109" s="471"/>
      <c r="Y1109" s="206"/>
      <c r="Z1109" s="206"/>
    </row>
    <row r="1110" spans="1:26">
      <c r="A1110" s="406">
        <v>1107</v>
      </c>
      <c r="B1110" s="613" t="s">
        <v>7020</v>
      </c>
      <c r="C1110" s="288" t="s">
        <v>2005</v>
      </c>
      <c r="D1110" s="414" t="s">
        <v>4884</v>
      </c>
      <c r="E1110" s="407" t="s">
        <v>4884</v>
      </c>
      <c r="F1110" s="483"/>
      <c r="G1110" s="483"/>
      <c r="H1110" s="483"/>
      <c r="I1110" s="483"/>
      <c r="J1110" s="483"/>
      <c r="K1110" s="483"/>
      <c r="L1110" s="608" t="s">
        <v>4884</v>
      </c>
      <c r="M1110" s="409" t="s">
        <v>4884</v>
      </c>
      <c r="N1110" s="409" t="s">
        <v>4884</v>
      </c>
      <c r="O1110" s="410" t="s">
        <v>4884</v>
      </c>
      <c r="P1110" s="406">
        <v>1107</v>
      </c>
      <c r="Q1110" s="270" t="s">
        <v>2005</v>
      </c>
      <c r="R1110" s="460" t="s">
        <v>1883</v>
      </c>
      <c r="S1110" s="270" t="s">
        <v>1884</v>
      </c>
      <c r="U1110" s="471"/>
      <c r="V1110" s="471"/>
      <c r="W1110" s="477"/>
      <c r="X1110" s="471"/>
      <c r="Y1110" s="206"/>
      <c r="Z1110" s="206"/>
    </row>
    <row r="1111" spans="1:26">
      <c r="A1111" s="406">
        <v>1108</v>
      </c>
      <c r="B1111" s="613" t="s">
        <v>7020</v>
      </c>
      <c r="C1111" s="288" t="s">
        <v>2006</v>
      </c>
      <c r="D1111" s="414" t="s">
        <v>4884</v>
      </c>
      <c r="E1111" s="407" t="s">
        <v>4884</v>
      </c>
      <c r="F1111" s="483"/>
      <c r="G1111" s="483"/>
      <c r="H1111" s="483"/>
      <c r="I1111" s="483"/>
      <c r="J1111" s="483"/>
      <c r="K1111" s="483"/>
      <c r="L1111" s="608" t="s">
        <v>4884</v>
      </c>
      <c r="M1111" s="409" t="s">
        <v>4884</v>
      </c>
      <c r="N1111" s="409" t="s">
        <v>4884</v>
      </c>
      <c r="O1111" s="410" t="s">
        <v>4884</v>
      </c>
      <c r="P1111" s="406">
        <v>1108</v>
      </c>
      <c r="Q1111" s="270" t="s">
        <v>2006</v>
      </c>
      <c r="R1111" s="460" t="s">
        <v>1883</v>
      </c>
      <c r="S1111" s="270" t="s">
        <v>1884</v>
      </c>
      <c r="U1111" s="471"/>
      <c r="V1111" s="471"/>
      <c r="W1111" s="477"/>
      <c r="X1111" s="471"/>
      <c r="Y1111" s="206"/>
      <c r="Z1111" s="206"/>
    </row>
    <row r="1112" spans="1:26">
      <c r="A1112" s="406">
        <v>1109</v>
      </c>
      <c r="B1112" s="613" t="s">
        <v>7020</v>
      </c>
      <c r="C1112" s="288" t="s">
        <v>2007</v>
      </c>
      <c r="D1112" s="414" t="s">
        <v>4884</v>
      </c>
      <c r="E1112" s="407" t="s">
        <v>4884</v>
      </c>
      <c r="F1112" s="483"/>
      <c r="G1112" s="483"/>
      <c r="H1112" s="483"/>
      <c r="I1112" s="483"/>
      <c r="J1112" s="483"/>
      <c r="K1112" s="483"/>
      <c r="L1112" s="608" t="s">
        <v>4884</v>
      </c>
      <c r="M1112" s="409" t="s">
        <v>4884</v>
      </c>
      <c r="N1112" s="409" t="s">
        <v>4884</v>
      </c>
      <c r="O1112" s="410" t="s">
        <v>4884</v>
      </c>
      <c r="P1112" s="406">
        <v>1109</v>
      </c>
      <c r="Q1112" s="270" t="s">
        <v>2007</v>
      </c>
      <c r="R1112" s="460" t="s">
        <v>1883</v>
      </c>
      <c r="S1112" s="270" t="s">
        <v>1884</v>
      </c>
      <c r="U1112" s="471"/>
      <c r="V1112" s="471"/>
      <c r="W1112" s="477"/>
      <c r="X1112" s="471"/>
      <c r="Y1112" s="206"/>
      <c r="Z1112" s="206"/>
    </row>
    <row r="1113" spans="1:26">
      <c r="A1113" s="406">
        <v>1110</v>
      </c>
      <c r="B1113" s="613" t="s">
        <v>7020</v>
      </c>
      <c r="C1113" s="288" t="s">
        <v>2008</v>
      </c>
      <c r="D1113" s="414" t="s">
        <v>4884</v>
      </c>
      <c r="E1113" s="407" t="s">
        <v>4884</v>
      </c>
      <c r="F1113" s="483"/>
      <c r="G1113" s="483"/>
      <c r="H1113" s="483"/>
      <c r="I1113" s="483"/>
      <c r="J1113" s="483"/>
      <c r="K1113" s="483"/>
      <c r="L1113" s="608" t="s">
        <v>4884</v>
      </c>
      <c r="M1113" s="409" t="s">
        <v>4884</v>
      </c>
      <c r="N1113" s="409" t="s">
        <v>4884</v>
      </c>
      <c r="O1113" s="410" t="s">
        <v>4884</v>
      </c>
      <c r="P1113" s="406">
        <v>1110</v>
      </c>
      <c r="Q1113" s="270" t="s">
        <v>2008</v>
      </c>
      <c r="R1113" s="460" t="s">
        <v>1883</v>
      </c>
      <c r="S1113" s="270" t="s">
        <v>1884</v>
      </c>
      <c r="U1113" s="471"/>
      <c r="V1113" s="471"/>
      <c r="W1113" s="477"/>
      <c r="X1113" s="471"/>
      <c r="Y1113" s="206"/>
      <c r="Z1113" s="206"/>
    </row>
    <row r="1114" spans="1:26">
      <c r="A1114" s="406">
        <v>1111</v>
      </c>
      <c r="B1114" s="613" t="s">
        <v>7020</v>
      </c>
      <c r="C1114" s="288" t="s">
        <v>2009</v>
      </c>
      <c r="D1114" s="414" t="s">
        <v>4884</v>
      </c>
      <c r="E1114" s="407" t="s">
        <v>4884</v>
      </c>
      <c r="F1114" s="483"/>
      <c r="G1114" s="483"/>
      <c r="H1114" s="483"/>
      <c r="I1114" s="483"/>
      <c r="J1114" s="483"/>
      <c r="K1114" s="483"/>
      <c r="L1114" s="608" t="s">
        <v>4884</v>
      </c>
      <c r="M1114" s="409" t="s">
        <v>4884</v>
      </c>
      <c r="N1114" s="409" t="s">
        <v>4884</v>
      </c>
      <c r="O1114" s="410" t="s">
        <v>4884</v>
      </c>
      <c r="P1114" s="406">
        <v>1111</v>
      </c>
      <c r="Q1114" s="270" t="s">
        <v>2009</v>
      </c>
      <c r="R1114" s="460" t="s">
        <v>1883</v>
      </c>
      <c r="S1114" s="270" t="s">
        <v>1884</v>
      </c>
      <c r="U1114" s="471"/>
      <c r="V1114" s="471"/>
      <c r="W1114" s="477"/>
      <c r="X1114" s="471"/>
      <c r="Y1114" s="206"/>
      <c r="Z1114" s="206"/>
    </row>
    <row r="1115" spans="1:26">
      <c r="A1115" s="406">
        <v>1112</v>
      </c>
      <c r="B1115" s="613" t="s">
        <v>7020</v>
      </c>
      <c r="C1115" s="288" t="s">
        <v>2010</v>
      </c>
      <c r="D1115" s="414" t="s">
        <v>4884</v>
      </c>
      <c r="E1115" s="407" t="s">
        <v>4884</v>
      </c>
      <c r="F1115" s="483"/>
      <c r="G1115" s="483"/>
      <c r="H1115" s="483"/>
      <c r="I1115" s="483"/>
      <c r="J1115" s="483"/>
      <c r="K1115" s="483"/>
      <c r="L1115" s="608" t="s">
        <v>4884</v>
      </c>
      <c r="M1115" s="409" t="s">
        <v>4884</v>
      </c>
      <c r="N1115" s="409" t="s">
        <v>4884</v>
      </c>
      <c r="O1115" s="410" t="s">
        <v>4884</v>
      </c>
      <c r="P1115" s="406">
        <v>1112</v>
      </c>
      <c r="Q1115" s="270" t="s">
        <v>2010</v>
      </c>
      <c r="R1115" s="460" t="s">
        <v>1883</v>
      </c>
      <c r="S1115" s="270" t="s">
        <v>1884</v>
      </c>
      <c r="U1115" s="471"/>
      <c r="V1115" s="471"/>
      <c r="W1115" s="477"/>
      <c r="X1115" s="471"/>
      <c r="Y1115" s="206"/>
      <c r="Z1115" s="206"/>
    </row>
    <row r="1116" spans="1:26">
      <c r="A1116" s="406">
        <v>1113</v>
      </c>
      <c r="B1116" s="613" t="s">
        <v>7020</v>
      </c>
      <c r="C1116" s="288" t="s">
        <v>2011</v>
      </c>
      <c r="D1116" s="414" t="s">
        <v>4884</v>
      </c>
      <c r="E1116" s="407" t="s">
        <v>4884</v>
      </c>
      <c r="F1116" s="483"/>
      <c r="G1116" s="483"/>
      <c r="H1116" s="483"/>
      <c r="I1116" s="483"/>
      <c r="J1116" s="483"/>
      <c r="K1116" s="483"/>
      <c r="L1116" s="608" t="s">
        <v>4884</v>
      </c>
      <c r="M1116" s="409" t="s">
        <v>4884</v>
      </c>
      <c r="N1116" s="409" t="s">
        <v>4884</v>
      </c>
      <c r="O1116" s="410" t="s">
        <v>4884</v>
      </c>
      <c r="P1116" s="406">
        <v>1113</v>
      </c>
      <c r="Q1116" s="270" t="s">
        <v>2011</v>
      </c>
      <c r="R1116" s="460" t="s">
        <v>1883</v>
      </c>
      <c r="S1116" s="270" t="s">
        <v>1884</v>
      </c>
      <c r="U1116" s="471"/>
      <c r="V1116" s="471"/>
      <c r="W1116" s="477"/>
      <c r="X1116" s="471"/>
      <c r="Y1116" s="206"/>
      <c r="Z1116" s="206"/>
    </row>
    <row r="1117" spans="1:26">
      <c r="A1117" s="406">
        <v>1114</v>
      </c>
      <c r="B1117" s="613" t="s">
        <v>7020</v>
      </c>
      <c r="C1117" s="288" t="s">
        <v>2012</v>
      </c>
      <c r="D1117" s="414" t="s">
        <v>4884</v>
      </c>
      <c r="E1117" s="407" t="s">
        <v>4884</v>
      </c>
      <c r="F1117" s="483"/>
      <c r="G1117" s="483"/>
      <c r="H1117" s="483"/>
      <c r="I1117" s="483"/>
      <c r="J1117" s="483"/>
      <c r="K1117" s="483"/>
      <c r="L1117" s="608" t="s">
        <v>4884</v>
      </c>
      <c r="M1117" s="409" t="s">
        <v>4884</v>
      </c>
      <c r="N1117" s="409" t="s">
        <v>4884</v>
      </c>
      <c r="O1117" s="410" t="s">
        <v>4884</v>
      </c>
      <c r="P1117" s="406">
        <v>1114</v>
      </c>
      <c r="Q1117" s="270" t="s">
        <v>2012</v>
      </c>
      <c r="R1117" s="460" t="s">
        <v>1883</v>
      </c>
      <c r="S1117" s="270" t="s">
        <v>1884</v>
      </c>
      <c r="U1117" s="471"/>
      <c r="V1117" s="471"/>
      <c r="W1117" s="477"/>
      <c r="X1117" s="471"/>
      <c r="Y1117" s="206"/>
      <c r="Z1117" s="206"/>
    </row>
    <row r="1118" spans="1:26">
      <c r="A1118" s="406">
        <v>1115</v>
      </c>
      <c r="B1118" s="613" t="s">
        <v>7020</v>
      </c>
      <c r="C1118" s="288" t="s">
        <v>2013</v>
      </c>
      <c r="D1118" s="414" t="s">
        <v>4884</v>
      </c>
      <c r="E1118" s="407" t="s">
        <v>4884</v>
      </c>
      <c r="F1118" s="483"/>
      <c r="G1118" s="483"/>
      <c r="H1118" s="483"/>
      <c r="I1118" s="483"/>
      <c r="J1118" s="483"/>
      <c r="K1118" s="483"/>
      <c r="L1118" s="608" t="s">
        <v>4884</v>
      </c>
      <c r="M1118" s="409" t="s">
        <v>4884</v>
      </c>
      <c r="N1118" s="409" t="s">
        <v>4884</v>
      </c>
      <c r="O1118" s="410" t="s">
        <v>4884</v>
      </c>
      <c r="P1118" s="406">
        <v>1115</v>
      </c>
      <c r="Q1118" s="270" t="s">
        <v>2013</v>
      </c>
      <c r="R1118" s="460" t="s">
        <v>1883</v>
      </c>
      <c r="S1118" s="270" t="s">
        <v>1884</v>
      </c>
      <c r="U1118" s="471"/>
      <c r="V1118" s="471"/>
      <c r="W1118" s="477"/>
      <c r="X1118" s="471"/>
      <c r="Y1118" s="206"/>
      <c r="Z1118" s="206"/>
    </row>
    <row r="1119" spans="1:26">
      <c r="A1119" s="406">
        <v>1116</v>
      </c>
      <c r="B1119" s="613" t="s">
        <v>7020</v>
      </c>
      <c r="C1119" s="288" t="s">
        <v>2014</v>
      </c>
      <c r="D1119" s="414" t="s">
        <v>4884</v>
      </c>
      <c r="E1119" s="407" t="s">
        <v>4884</v>
      </c>
      <c r="F1119" s="483"/>
      <c r="G1119" s="483"/>
      <c r="H1119" s="483"/>
      <c r="I1119" s="483"/>
      <c r="J1119" s="483"/>
      <c r="K1119" s="483"/>
      <c r="L1119" s="608" t="s">
        <v>4884</v>
      </c>
      <c r="M1119" s="409" t="s">
        <v>4884</v>
      </c>
      <c r="N1119" s="409" t="s">
        <v>4884</v>
      </c>
      <c r="O1119" s="410" t="s">
        <v>4884</v>
      </c>
      <c r="P1119" s="406">
        <v>1116</v>
      </c>
      <c r="Q1119" s="270" t="s">
        <v>2014</v>
      </c>
      <c r="R1119" s="460" t="s">
        <v>1883</v>
      </c>
      <c r="S1119" s="270" t="s">
        <v>1884</v>
      </c>
      <c r="U1119" s="471"/>
      <c r="V1119" s="471"/>
      <c r="W1119" s="477"/>
      <c r="X1119" s="471"/>
      <c r="Y1119" s="206"/>
      <c r="Z1119" s="206"/>
    </row>
    <row r="1120" spans="1:26">
      <c r="A1120" s="406">
        <v>1117</v>
      </c>
      <c r="B1120" s="613" t="s">
        <v>7020</v>
      </c>
      <c r="C1120" s="288" t="s">
        <v>2015</v>
      </c>
      <c r="D1120" s="414" t="s">
        <v>4884</v>
      </c>
      <c r="E1120" s="407" t="s">
        <v>4884</v>
      </c>
      <c r="F1120" s="483"/>
      <c r="G1120" s="483"/>
      <c r="H1120" s="483"/>
      <c r="I1120" s="483"/>
      <c r="J1120" s="483"/>
      <c r="K1120" s="483"/>
      <c r="L1120" s="608" t="s">
        <v>4884</v>
      </c>
      <c r="M1120" s="409" t="s">
        <v>4884</v>
      </c>
      <c r="N1120" s="409" t="s">
        <v>4884</v>
      </c>
      <c r="O1120" s="410" t="s">
        <v>4884</v>
      </c>
      <c r="P1120" s="406">
        <v>1117</v>
      </c>
      <c r="Q1120" s="270" t="s">
        <v>2015</v>
      </c>
      <c r="R1120" s="460" t="s">
        <v>1883</v>
      </c>
      <c r="S1120" s="270" t="s">
        <v>1884</v>
      </c>
      <c r="U1120" s="471"/>
      <c r="V1120" s="471"/>
      <c r="W1120" s="477"/>
      <c r="X1120" s="471"/>
      <c r="Y1120" s="206"/>
      <c r="Z1120" s="206"/>
    </row>
    <row r="1121" spans="1:26">
      <c r="A1121" s="406">
        <v>1118</v>
      </c>
      <c r="B1121" s="613" t="s">
        <v>7020</v>
      </c>
      <c r="C1121" s="288" t="s">
        <v>2016</v>
      </c>
      <c r="D1121" s="414" t="s">
        <v>4884</v>
      </c>
      <c r="E1121" s="407" t="s">
        <v>4884</v>
      </c>
      <c r="F1121" s="483"/>
      <c r="G1121" s="483"/>
      <c r="H1121" s="483"/>
      <c r="I1121" s="483"/>
      <c r="J1121" s="483"/>
      <c r="K1121" s="483"/>
      <c r="L1121" s="608" t="s">
        <v>4884</v>
      </c>
      <c r="M1121" s="409" t="s">
        <v>4884</v>
      </c>
      <c r="N1121" s="409" t="s">
        <v>4884</v>
      </c>
      <c r="O1121" s="410" t="s">
        <v>4884</v>
      </c>
      <c r="P1121" s="406">
        <v>1118</v>
      </c>
      <c r="Q1121" s="270" t="s">
        <v>2016</v>
      </c>
      <c r="R1121" s="460" t="s">
        <v>1883</v>
      </c>
      <c r="S1121" s="270" t="s">
        <v>1884</v>
      </c>
      <c r="U1121" s="471"/>
      <c r="V1121" s="471"/>
      <c r="W1121" s="477"/>
      <c r="X1121" s="471"/>
      <c r="Y1121" s="206"/>
      <c r="Z1121" s="206"/>
    </row>
    <row r="1122" spans="1:26">
      <c r="A1122" s="406">
        <v>1119</v>
      </c>
      <c r="B1122" s="613" t="s">
        <v>7020</v>
      </c>
      <c r="C1122" s="288" t="s">
        <v>2017</v>
      </c>
      <c r="D1122" s="414" t="s">
        <v>4884</v>
      </c>
      <c r="E1122" s="407" t="s">
        <v>4884</v>
      </c>
      <c r="F1122" s="483"/>
      <c r="G1122" s="483"/>
      <c r="H1122" s="483"/>
      <c r="I1122" s="483"/>
      <c r="J1122" s="483"/>
      <c r="K1122" s="483"/>
      <c r="L1122" s="608" t="s">
        <v>4884</v>
      </c>
      <c r="M1122" s="409" t="s">
        <v>4884</v>
      </c>
      <c r="N1122" s="409" t="s">
        <v>4884</v>
      </c>
      <c r="O1122" s="410" t="s">
        <v>4884</v>
      </c>
      <c r="P1122" s="406">
        <v>1119</v>
      </c>
      <c r="Q1122" s="270" t="s">
        <v>2017</v>
      </c>
      <c r="R1122" s="460" t="s">
        <v>1883</v>
      </c>
      <c r="S1122" s="270" t="s">
        <v>1884</v>
      </c>
      <c r="U1122" s="471"/>
      <c r="V1122" s="471"/>
      <c r="W1122" s="477"/>
      <c r="X1122" s="471"/>
      <c r="Y1122" s="206"/>
      <c r="Z1122" s="206"/>
    </row>
    <row r="1123" spans="1:26">
      <c r="A1123" s="406">
        <v>1120</v>
      </c>
      <c r="B1123" s="613" t="s">
        <v>7020</v>
      </c>
      <c r="C1123" s="288" t="s">
        <v>2018</v>
      </c>
      <c r="D1123" s="414" t="s">
        <v>4884</v>
      </c>
      <c r="E1123" s="407" t="s">
        <v>4884</v>
      </c>
      <c r="F1123" s="483"/>
      <c r="G1123" s="483"/>
      <c r="H1123" s="483"/>
      <c r="I1123" s="483"/>
      <c r="J1123" s="483"/>
      <c r="K1123" s="483"/>
      <c r="L1123" s="608" t="s">
        <v>4884</v>
      </c>
      <c r="M1123" s="409" t="s">
        <v>4884</v>
      </c>
      <c r="N1123" s="409" t="s">
        <v>4884</v>
      </c>
      <c r="O1123" s="410" t="s">
        <v>4884</v>
      </c>
      <c r="P1123" s="406">
        <v>1120</v>
      </c>
      <c r="Q1123" s="270" t="s">
        <v>2018</v>
      </c>
      <c r="R1123" s="460" t="s">
        <v>1883</v>
      </c>
      <c r="S1123" s="270" t="s">
        <v>1884</v>
      </c>
      <c r="U1123" s="471"/>
      <c r="V1123" s="471"/>
      <c r="W1123" s="477"/>
      <c r="X1123" s="471"/>
      <c r="Y1123" s="206"/>
      <c r="Z1123" s="206"/>
    </row>
    <row r="1124" spans="1:26">
      <c r="A1124" s="406">
        <v>1121</v>
      </c>
      <c r="B1124" s="613" t="s">
        <v>7020</v>
      </c>
      <c r="C1124" s="288" t="s">
        <v>2019</v>
      </c>
      <c r="D1124" s="414" t="s">
        <v>4884</v>
      </c>
      <c r="E1124" s="407" t="s">
        <v>4884</v>
      </c>
      <c r="F1124" s="483"/>
      <c r="G1124" s="483"/>
      <c r="H1124" s="483"/>
      <c r="I1124" s="483"/>
      <c r="J1124" s="483"/>
      <c r="K1124" s="483"/>
      <c r="L1124" s="608" t="s">
        <v>4884</v>
      </c>
      <c r="M1124" s="409" t="s">
        <v>4884</v>
      </c>
      <c r="N1124" s="409" t="s">
        <v>4884</v>
      </c>
      <c r="O1124" s="410" t="s">
        <v>4884</v>
      </c>
      <c r="P1124" s="406">
        <v>1121</v>
      </c>
      <c r="Q1124" s="270" t="s">
        <v>2019</v>
      </c>
      <c r="R1124" s="460" t="s">
        <v>1883</v>
      </c>
      <c r="S1124" s="270" t="s">
        <v>1884</v>
      </c>
      <c r="U1124" s="471"/>
      <c r="V1124" s="471"/>
      <c r="W1124" s="477"/>
      <c r="X1124" s="471"/>
      <c r="Y1124" s="206"/>
      <c r="Z1124" s="206"/>
    </row>
    <row r="1125" spans="1:26">
      <c r="A1125" s="406">
        <v>1122</v>
      </c>
      <c r="B1125" s="613" t="s">
        <v>7020</v>
      </c>
      <c r="C1125" s="288" t="s">
        <v>2020</v>
      </c>
      <c r="D1125" s="414" t="s">
        <v>4884</v>
      </c>
      <c r="E1125" s="407" t="s">
        <v>4884</v>
      </c>
      <c r="F1125" s="483"/>
      <c r="G1125" s="483"/>
      <c r="H1125" s="483"/>
      <c r="I1125" s="483"/>
      <c r="J1125" s="483"/>
      <c r="K1125" s="483"/>
      <c r="L1125" s="608" t="s">
        <v>4884</v>
      </c>
      <c r="M1125" s="409" t="s">
        <v>4884</v>
      </c>
      <c r="N1125" s="409" t="s">
        <v>4884</v>
      </c>
      <c r="O1125" s="410" t="s">
        <v>4884</v>
      </c>
      <c r="P1125" s="406">
        <v>1122</v>
      </c>
      <c r="Q1125" s="270" t="s">
        <v>2020</v>
      </c>
      <c r="R1125" s="460" t="s">
        <v>1883</v>
      </c>
      <c r="S1125" s="270" t="s">
        <v>1884</v>
      </c>
      <c r="U1125" s="471"/>
      <c r="V1125" s="471"/>
      <c r="W1125" s="478"/>
      <c r="X1125" s="471"/>
      <c r="Y1125" s="206"/>
      <c r="Z1125" s="206"/>
    </row>
    <row r="1126" spans="1:26">
      <c r="A1126" s="406">
        <v>1123</v>
      </c>
      <c r="B1126" s="613" t="s">
        <v>7020</v>
      </c>
      <c r="C1126" s="288" t="s">
        <v>2021</v>
      </c>
      <c r="D1126" s="414" t="s">
        <v>4884</v>
      </c>
      <c r="E1126" s="407" t="s">
        <v>4884</v>
      </c>
      <c r="F1126" s="483"/>
      <c r="G1126" s="483"/>
      <c r="H1126" s="483"/>
      <c r="I1126" s="483"/>
      <c r="J1126" s="483"/>
      <c r="K1126" s="483"/>
      <c r="L1126" s="608" t="s">
        <v>4884</v>
      </c>
      <c r="M1126" s="409" t="s">
        <v>4884</v>
      </c>
      <c r="N1126" s="409" t="s">
        <v>4884</v>
      </c>
      <c r="O1126" s="410" t="s">
        <v>4884</v>
      </c>
      <c r="P1126" s="406">
        <v>1123</v>
      </c>
      <c r="Q1126" s="270" t="s">
        <v>2021</v>
      </c>
      <c r="R1126" s="460" t="s">
        <v>1883</v>
      </c>
      <c r="S1126" s="270" t="s">
        <v>1884</v>
      </c>
      <c r="U1126" s="471"/>
      <c r="V1126" s="471"/>
      <c r="W1126" s="478"/>
      <c r="X1126" s="471"/>
      <c r="Y1126" s="206"/>
      <c r="Z1126" s="206"/>
    </row>
    <row r="1127" spans="1:26">
      <c r="A1127" s="406">
        <v>1124</v>
      </c>
      <c r="B1127" s="613" t="s">
        <v>7020</v>
      </c>
      <c r="C1127" s="288" t="s">
        <v>2022</v>
      </c>
      <c r="D1127" s="414" t="s">
        <v>4884</v>
      </c>
      <c r="E1127" s="407" t="s">
        <v>4884</v>
      </c>
      <c r="F1127" s="483"/>
      <c r="G1127" s="483"/>
      <c r="H1127" s="483"/>
      <c r="I1127" s="483"/>
      <c r="J1127" s="483"/>
      <c r="K1127" s="483"/>
      <c r="L1127" s="608" t="s">
        <v>4884</v>
      </c>
      <c r="M1127" s="409" t="s">
        <v>4884</v>
      </c>
      <c r="N1127" s="409" t="s">
        <v>4884</v>
      </c>
      <c r="O1127" s="410" t="s">
        <v>4884</v>
      </c>
      <c r="P1127" s="406">
        <v>1124</v>
      </c>
      <c r="Q1127" s="270" t="s">
        <v>2022</v>
      </c>
      <c r="R1127" s="460" t="s">
        <v>1883</v>
      </c>
      <c r="S1127" s="270" t="s">
        <v>1884</v>
      </c>
      <c r="U1127" s="471"/>
      <c r="V1127" s="471"/>
      <c r="W1127" s="471"/>
      <c r="X1127" s="471"/>
      <c r="Y1127" s="206"/>
      <c r="Z1127" s="206"/>
    </row>
    <row r="1128" spans="1:26">
      <c r="A1128" s="406">
        <v>1125</v>
      </c>
      <c r="B1128" s="613" t="s">
        <v>7020</v>
      </c>
      <c r="C1128" s="288" t="s">
        <v>2023</v>
      </c>
      <c r="D1128" s="414" t="s">
        <v>4884</v>
      </c>
      <c r="E1128" s="407" t="s">
        <v>4884</v>
      </c>
      <c r="F1128" s="483"/>
      <c r="G1128" s="483"/>
      <c r="H1128" s="483"/>
      <c r="I1128" s="483"/>
      <c r="J1128" s="483"/>
      <c r="K1128" s="483"/>
      <c r="L1128" s="608" t="s">
        <v>4884</v>
      </c>
      <c r="M1128" s="409" t="s">
        <v>4884</v>
      </c>
      <c r="N1128" s="409" t="s">
        <v>4884</v>
      </c>
      <c r="O1128" s="410" t="s">
        <v>4884</v>
      </c>
      <c r="P1128" s="406">
        <v>1125</v>
      </c>
      <c r="Q1128" s="270" t="s">
        <v>2023</v>
      </c>
      <c r="R1128" s="460" t="s">
        <v>1883</v>
      </c>
      <c r="S1128" s="270" t="s">
        <v>1884</v>
      </c>
      <c r="U1128" s="471"/>
      <c r="V1128" s="471"/>
      <c r="W1128" s="522"/>
      <c r="X1128" s="471"/>
      <c r="Y1128" s="206"/>
      <c r="Z1128" s="206"/>
    </row>
    <row r="1129" spans="1:26">
      <c r="A1129" s="406">
        <v>1126</v>
      </c>
      <c r="B1129" s="613" t="s">
        <v>7020</v>
      </c>
      <c r="C1129" s="288" t="s">
        <v>2024</v>
      </c>
      <c r="D1129" s="414" t="s">
        <v>4884</v>
      </c>
      <c r="E1129" s="407" t="s">
        <v>4884</v>
      </c>
      <c r="F1129" s="483"/>
      <c r="G1129" s="483"/>
      <c r="H1129" s="483"/>
      <c r="I1129" s="483"/>
      <c r="J1129" s="483"/>
      <c r="K1129" s="483"/>
      <c r="L1129" s="608" t="s">
        <v>4884</v>
      </c>
      <c r="M1129" s="409" t="s">
        <v>4884</v>
      </c>
      <c r="N1129" s="409" t="s">
        <v>4884</v>
      </c>
      <c r="O1129" s="410" t="s">
        <v>4884</v>
      </c>
      <c r="P1129" s="406">
        <v>1126</v>
      </c>
      <c r="Q1129" s="270" t="s">
        <v>2024</v>
      </c>
      <c r="R1129" s="460" t="s">
        <v>1883</v>
      </c>
      <c r="S1129" s="270" t="s">
        <v>1884</v>
      </c>
      <c r="U1129" s="471"/>
      <c r="V1129" s="471"/>
      <c r="W1129" s="522"/>
      <c r="X1129" s="471"/>
      <c r="Y1129" s="206"/>
      <c r="Z1129" s="206"/>
    </row>
    <row r="1130" spans="1:26">
      <c r="A1130" s="406">
        <v>1127</v>
      </c>
      <c r="B1130" s="613" t="s">
        <v>7020</v>
      </c>
      <c r="C1130" s="288" t="s">
        <v>2025</v>
      </c>
      <c r="D1130" s="414" t="s">
        <v>4884</v>
      </c>
      <c r="E1130" s="407" t="s">
        <v>4884</v>
      </c>
      <c r="F1130" s="483"/>
      <c r="G1130" s="483"/>
      <c r="H1130" s="483"/>
      <c r="I1130" s="483"/>
      <c r="J1130" s="483"/>
      <c r="K1130" s="483"/>
      <c r="L1130" s="608" t="s">
        <v>4884</v>
      </c>
      <c r="M1130" s="409" t="s">
        <v>4884</v>
      </c>
      <c r="N1130" s="409" t="s">
        <v>4884</v>
      </c>
      <c r="O1130" s="410" t="s">
        <v>4884</v>
      </c>
      <c r="P1130" s="406">
        <v>1127</v>
      </c>
      <c r="Q1130" s="270" t="s">
        <v>2025</v>
      </c>
      <c r="R1130" s="460" t="s">
        <v>1883</v>
      </c>
      <c r="S1130" s="270" t="s">
        <v>1884</v>
      </c>
      <c r="U1130" s="471"/>
      <c r="V1130" s="471"/>
      <c r="W1130" s="469"/>
      <c r="X1130" s="471"/>
      <c r="Y1130" s="206"/>
      <c r="Z1130" s="206"/>
    </row>
    <row r="1131" spans="1:26">
      <c r="A1131" s="406">
        <v>1128</v>
      </c>
      <c r="B1131" s="613" t="s">
        <v>7020</v>
      </c>
      <c r="C1131" s="288" t="s">
        <v>2026</v>
      </c>
      <c r="D1131" s="414" t="s">
        <v>4884</v>
      </c>
      <c r="E1131" s="407" t="s">
        <v>4884</v>
      </c>
      <c r="F1131" s="483"/>
      <c r="G1131" s="483"/>
      <c r="H1131" s="483"/>
      <c r="I1131" s="483"/>
      <c r="J1131" s="483"/>
      <c r="K1131" s="483"/>
      <c r="L1131" s="608" t="s">
        <v>4884</v>
      </c>
      <c r="M1131" s="409" t="s">
        <v>4884</v>
      </c>
      <c r="N1131" s="409" t="s">
        <v>4884</v>
      </c>
      <c r="O1131" s="410" t="s">
        <v>4884</v>
      </c>
      <c r="P1131" s="406">
        <v>1128</v>
      </c>
      <c r="Q1131" s="270" t="s">
        <v>2026</v>
      </c>
      <c r="R1131" s="460" t="s">
        <v>1883</v>
      </c>
      <c r="S1131" s="270" t="s">
        <v>1884</v>
      </c>
      <c r="U1131" s="471"/>
      <c r="V1131" s="471"/>
      <c r="W1131" s="469"/>
      <c r="X1131" s="471"/>
      <c r="Y1131" s="206"/>
      <c r="Z1131" s="206"/>
    </row>
    <row r="1132" spans="1:26">
      <c r="A1132" s="406">
        <v>1129</v>
      </c>
      <c r="B1132" s="613" t="s">
        <v>7020</v>
      </c>
      <c r="C1132" s="288" t="s">
        <v>2027</v>
      </c>
      <c r="D1132" s="414" t="s">
        <v>4884</v>
      </c>
      <c r="E1132" s="407" t="s">
        <v>4884</v>
      </c>
      <c r="F1132" s="483"/>
      <c r="G1132" s="483"/>
      <c r="H1132" s="483"/>
      <c r="I1132" s="483"/>
      <c r="J1132" s="483"/>
      <c r="K1132" s="483"/>
      <c r="L1132" s="608" t="s">
        <v>4884</v>
      </c>
      <c r="M1132" s="409" t="s">
        <v>4884</v>
      </c>
      <c r="N1132" s="409" t="s">
        <v>4884</v>
      </c>
      <c r="O1132" s="410" t="s">
        <v>4884</v>
      </c>
      <c r="P1132" s="406">
        <v>1129</v>
      </c>
      <c r="Q1132" s="270" t="s">
        <v>2027</v>
      </c>
      <c r="R1132" s="460" t="s">
        <v>1883</v>
      </c>
      <c r="S1132" s="270" t="s">
        <v>1884</v>
      </c>
      <c r="U1132" s="471"/>
      <c r="V1132" s="471"/>
      <c r="W1132" s="479"/>
      <c r="X1132" s="471"/>
      <c r="Y1132" s="206"/>
      <c r="Z1132" s="206"/>
    </row>
    <row r="1133" spans="1:26">
      <c r="A1133" s="406">
        <v>1130</v>
      </c>
      <c r="B1133" s="613" t="s">
        <v>7020</v>
      </c>
      <c r="C1133" s="288" t="s">
        <v>2028</v>
      </c>
      <c r="D1133" s="414" t="s">
        <v>4884</v>
      </c>
      <c r="E1133" s="407" t="s">
        <v>4884</v>
      </c>
      <c r="F1133" s="483"/>
      <c r="G1133" s="483"/>
      <c r="H1133" s="483"/>
      <c r="I1133" s="483"/>
      <c r="J1133" s="483"/>
      <c r="K1133" s="483"/>
      <c r="L1133" s="608" t="s">
        <v>4884</v>
      </c>
      <c r="M1133" s="409" t="s">
        <v>4884</v>
      </c>
      <c r="N1133" s="409" t="s">
        <v>4884</v>
      </c>
      <c r="O1133" s="410" t="s">
        <v>4884</v>
      </c>
      <c r="P1133" s="406">
        <v>1130</v>
      </c>
      <c r="Q1133" s="270" t="s">
        <v>2028</v>
      </c>
      <c r="R1133" s="460" t="s">
        <v>1883</v>
      </c>
      <c r="S1133" s="270" t="s">
        <v>1884</v>
      </c>
      <c r="U1133" s="471"/>
      <c r="V1133" s="471"/>
      <c r="W1133" s="479"/>
      <c r="X1133" s="471"/>
      <c r="Y1133" s="206"/>
      <c r="Z1133" s="206"/>
    </row>
    <row r="1134" spans="1:26">
      <c r="A1134" s="406">
        <v>1131</v>
      </c>
      <c r="B1134" s="613" t="s">
        <v>7020</v>
      </c>
      <c r="C1134" s="288" t="s">
        <v>2029</v>
      </c>
      <c r="D1134" s="414" t="s">
        <v>4884</v>
      </c>
      <c r="E1134" s="407" t="s">
        <v>4884</v>
      </c>
      <c r="F1134" s="483"/>
      <c r="G1134" s="483"/>
      <c r="H1134" s="483"/>
      <c r="I1134" s="483"/>
      <c r="J1134" s="483"/>
      <c r="K1134" s="483"/>
      <c r="L1134" s="608" t="s">
        <v>4884</v>
      </c>
      <c r="M1134" s="409" t="s">
        <v>4884</v>
      </c>
      <c r="N1134" s="409" t="s">
        <v>4884</v>
      </c>
      <c r="O1134" s="410" t="s">
        <v>4884</v>
      </c>
      <c r="P1134" s="406">
        <v>1131</v>
      </c>
      <c r="Q1134" s="270" t="s">
        <v>2029</v>
      </c>
      <c r="R1134" s="460" t="s">
        <v>1883</v>
      </c>
      <c r="S1134" s="270" t="s">
        <v>1884</v>
      </c>
      <c r="U1134" s="471"/>
      <c r="V1134" s="471"/>
      <c r="W1134" s="479"/>
      <c r="X1134" s="471"/>
      <c r="Y1134" s="206"/>
      <c r="Z1134" s="206"/>
    </row>
    <row r="1135" spans="1:26">
      <c r="A1135" s="406">
        <v>1132</v>
      </c>
      <c r="B1135" s="613" t="s">
        <v>7020</v>
      </c>
      <c r="C1135" s="288" t="s">
        <v>2030</v>
      </c>
      <c r="D1135" s="414" t="s">
        <v>4884</v>
      </c>
      <c r="E1135" s="407" t="s">
        <v>4884</v>
      </c>
      <c r="F1135" s="483"/>
      <c r="G1135" s="483"/>
      <c r="H1135" s="483"/>
      <c r="I1135" s="483"/>
      <c r="J1135" s="483"/>
      <c r="K1135" s="483"/>
      <c r="L1135" s="608" t="s">
        <v>4884</v>
      </c>
      <c r="M1135" s="409" t="s">
        <v>4884</v>
      </c>
      <c r="N1135" s="409" t="s">
        <v>4884</v>
      </c>
      <c r="O1135" s="410" t="s">
        <v>4884</v>
      </c>
      <c r="P1135" s="406">
        <v>1132</v>
      </c>
      <c r="Q1135" s="270" t="s">
        <v>2030</v>
      </c>
      <c r="R1135" s="460" t="s">
        <v>1883</v>
      </c>
      <c r="S1135" s="270" t="s">
        <v>1884</v>
      </c>
      <c r="U1135" s="471"/>
      <c r="V1135" s="471"/>
      <c r="W1135" s="479"/>
      <c r="X1135" s="471"/>
      <c r="Y1135" s="206"/>
      <c r="Z1135" s="206"/>
    </row>
    <row r="1136" spans="1:26">
      <c r="A1136" s="406">
        <v>1133</v>
      </c>
      <c r="B1136" s="613" t="s">
        <v>7020</v>
      </c>
      <c r="C1136" s="288" t="s">
        <v>2031</v>
      </c>
      <c r="D1136" s="414" t="s">
        <v>4884</v>
      </c>
      <c r="E1136" s="407" t="s">
        <v>4884</v>
      </c>
      <c r="F1136" s="483"/>
      <c r="G1136" s="483"/>
      <c r="H1136" s="483"/>
      <c r="I1136" s="483"/>
      <c r="J1136" s="483"/>
      <c r="K1136" s="483"/>
      <c r="L1136" s="608" t="s">
        <v>4884</v>
      </c>
      <c r="M1136" s="409" t="s">
        <v>4884</v>
      </c>
      <c r="N1136" s="409" t="s">
        <v>4884</v>
      </c>
      <c r="O1136" s="410" t="s">
        <v>4884</v>
      </c>
      <c r="P1136" s="406">
        <v>1133</v>
      </c>
      <c r="Q1136" s="270" t="s">
        <v>2031</v>
      </c>
      <c r="R1136" s="460" t="s">
        <v>1883</v>
      </c>
      <c r="S1136" s="270" t="s">
        <v>1884</v>
      </c>
      <c r="U1136" s="471"/>
      <c r="V1136" s="471"/>
      <c r="W1136" s="479"/>
      <c r="X1136" s="471"/>
      <c r="Y1136" s="206"/>
      <c r="Z1136" s="206"/>
    </row>
    <row r="1137" spans="1:26">
      <c r="A1137" s="406">
        <v>1134</v>
      </c>
      <c r="B1137" s="613" t="s">
        <v>7020</v>
      </c>
      <c r="C1137" s="288" t="s">
        <v>2032</v>
      </c>
      <c r="D1137" s="414" t="s">
        <v>4884</v>
      </c>
      <c r="E1137" s="407" t="s">
        <v>4884</v>
      </c>
      <c r="F1137" s="483"/>
      <c r="G1137" s="483"/>
      <c r="H1137" s="483"/>
      <c r="I1137" s="483"/>
      <c r="J1137" s="483"/>
      <c r="K1137" s="483"/>
      <c r="L1137" s="608" t="s">
        <v>4884</v>
      </c>
      <c r="M1137" s="409" t="s">
        <v>4884</v>
      </c>
      <c r="N1137" s="409" t="s">
        <v>4884</v>
      </c>
      <c r="O1137" s="410" t="s">
        <v>4884</v>
      </c>
      <c r="P1137" s="406">
        <v>1134</v>
      </c>
      <c r="Q1137" s="270" t="s">
        <v>2032</v>
      </c>
      <c r="R1137" s="460" t="s">
        <v>1883</v>
      </c>
      <c r="S1137" s="270" t="s">
        <v>1884</v>
      </c>
      <c r="U1137" s="471"/>
      <c r="V1137" s="471"/>
      <c r="W1137" s="479"/>
      <c r="X1137" s="471"/>
      <c r="Y1137" s="206"/>
      <c r="Z1137" s="206"/>
    </row>
    <row r="1138" spans="1:26">
      <c r="A1138" s="406">
        <v>1135</v>
      </c>
      <c r="B1138" s="613" t="s">
        <v>7020</v>
      </c>
      <c r="C1138" s="288" t="s">
        <v>2033</v>
      </c>
      <c r="D1138" s="414" t="s">
        <v>4884</v>
      </c>
      <c r="E1138" s="407" t="s">
        <v>4884</v>
      </c>
      <c r="F1138" s="483"/>
      <c r="G1138" s="483"/>
      <c r="H1138" s="483"/>
      <c r="I1138" s="483"/>
      <c r="J1138" s="483"/>
      <c r="K1138" s="483"/>
      <c r="L1138" s="608" t="s">
        <v>4884</v>
      </c>
      <c r="M1138" s="409" t="s">
        <v>4884</v>
      </c>
      <c r="N1138" s="409" t="s">
        <v>4884</v>
      </c>
      <c r="O1138" s="410" t="s">
        <v>4884</v>
      </c>
      <c r="P1138" s="406">
        <v>1135</v>
      </c>
      <c r="Q1138" s="270" t="s">
        <v>2033</v>
      </c>
      <c r="R1138" s="460" t="s">
        <v>1883</v>
      </c>
      <c r="S1138" s="270" t="s">
        <v>1884</v>
      </c>
      <c r="U1138" s="471"/>
      <c r="V1138" s="471"/>
      <c r="W1138" s="518"/>
      <c r="X1138" s="471"/>
      <c r="Y1138" s="206"/>
      <c r="Z1138" s="206"/>
    </row>
    <row r="1139" spans="1:26">
      <c r="A1139" s="406">
        <v>1136</v>
      </c>
      <c r="B1139" s="613" t="s">
        <v>7020</v>
      </c>
      <c r="C1139" s="288" t="s">
        <v>2034</v>
      </c>
      <c r="D1139" s="414" t="s">
        <v>4884</v>
      </c>
      <c r="E1139" s="407" t="s">
        <v>4884</v>
      </c>
      <c r="F1139" s="483"/>
      <c r="G1139" s="483"/>
      <c r="H1139" s="483"/>
      <c r="I1139" s="483"/>
      <c r="J1139" s="483"/>
      <c r="K1139" s="483"/>
      <c r="L1139" s="608" t="s">
        <v>4884</v>
      </c>
      <c r="M1139" s="409" t="s">
        <v>4884</v>
      </c>
      <c r="N1139" s="409" t="s">
        <v>4884</v>
      </c>
      <c r="O1139" s="410" t="s">
        <v>4884</v>
      </c>
      <c r="P1139" s="406">
        <v>1136</v>
      </c>
      <c r="Q1139" s="270" t="s">
        <v>2034</v>
      </c>
      <c r="R1139" s="460" t="s">
        <v>1883</v>
      </c>
      <c r="S1139" s="270" t="s">
        <v>1884</v>
      </c>
      <c r="U1139" s="471"/>
      <c r="V1139" s="471"/>
      <c r="W1139" s="518"/>
      <c r="X1139" s="471"/>
      <c r="Y1139" s="206"/>
      <c r="Z1139" s="206"/>
    </row>
    <row r="1140" spans="1:26">
      <c r="A1140" s="406">
        <v>1137</v>
      </c>
      <c r="B1140" s="613" t="s">
        <v>7020</v>
      </c>
      <c r="C1140" s="288" t="s">
        <v>2035</v>
      </c>
      <c r="D1140" s="414" t="s">
        <v>4884</v>
      </c>
      <c r="E1140" s="407" t="s">
        <v>4884</v>
      </c>
      <c r="F1140" s="483"/>
      <c r="G1140" s="483"/>
      <c r="H1140" s="483"/>
      <c r="I1140" s="483"/>
      <c r="J1140" s="483"/>
      <c r="K1140" s="483"/>
      <c r="L1140" s="608" t="s">
        <v>4884</v>
      </c>
      <c r="M1140" s="409" t="s">
        <v>4884</v>
      </c>
      <c r="N1140" s="409" t="s">
        <v>4884</v>
      </c>
      <c r="O1140" s="410" t="s">
        <v>4884</v>
      </c>
      <c r="P1140" s="406">
        <v>1137</v>
      </c>
      <c r="Q1140" s="270" t="s">
        <v>2035</v>
      </c>
      <c r="R1140" s="460" t="s">
        <v>1883</v>
      </c>
      <c r="S1140" s="270" t="s">
        <v>1884</v>
      </c>
      <c r="U1140" s="471"/>
      <c r="V1140" s="471"/>
      <c r="W1140" s="471"/>
      <c r="X1140" s="471"/>
      <c r="Y1140" s="206"/>
      <c r="Z1140" s="206"/>
    </row>
    <row r="1141" spans="1:26">
      <c r="A1141" s="406">
        <v>1138</v>
      </c>
      <c r="B1141" s="613" t="s">
        <v>7020</v>
      </c>
      <c r="C1141" s="288" t="s">
        <v>2036</v>
      </c>
      <c r="D1141" s="414" t="s">
        <v>4884</v>
      </c>
      <c r="E1141" s="407" t="s">
        <v>4884</v>
      </c>
      <c r="F1141" s="483"/>
      <c r="G1141" s="483"/>
      <c r="H1141" s="483"/>
      <c r="I1141" s="483"/>
      <c r="J1141" s="483"/>
      <c r="K1141" s="483"/>
      <c r="L1141" s="608" t="s">
        <v>4884</v>
      </c>
      <c r="M1141" s="409" t="s">
        <v>4884</v>
      </c>
      <c r="N1141" s="409" t="s">
        <v>4884</v>
      </c>
      <c r="O1141" s="410" t="s">
        <v>4884</v>
      </c>
      <c r="P1141" s="406">
        <v>1138</v>
      </c>
      <c r="Q1141" s="270" t="s">
        <v>2036</v>
      </c>
      <c r="R1141" s="460" t="s">
        <v>1883</v>
      </c>
      <c r="S1141" s="270" t="s">
        <v>1884</v>
      </c>
      <c r="U1141" s="471"/>
      <c r="V1141" s="471"/>
      <c r="W1141" s="477"/>
      <c r="X1141" s="471"/>
      <c r="Y1141" s="206"/>
      <c r="Z1141" s="206"/>
    </row>
    <row r="1142" spans="1:26">
      <c r="A1142" s="406">
        <v>1139</v>
      </c>
      <c r="B1142" s="613" t="s">
        <v>7020</v>
      </c>
      <c r="C1142" s="288" t="s">
        <v>2037</v>
      </c>
      <c r="D1142" s="414" t="s">
        <v>4884</v>
      </c>
      <c r="E1142" s="407" t="s">
        <v>4884</v>
      </c>
      <c r="F1142" s="483"/>
      <c r="G1142" s="483"/>
      <c r="H1142" s="483"/>
      <c r="I1142" s="483"/>
      <c r="J1142" s="483"/>
      <c r="K1142" s="483"/>
      <c r="L1142" s="608" t="s">
        <v>4884</v>
      </c>
      <c r="M1142" s="409" t="s">
        <v>4884</v>
      </c>
      <c r="N1142" s="409" t="s">
        <v>4884</v>
      </c>
      <c r="O1142" s="410" t="s">
        <v>4884</v>
      </c>
      <c r="P1142" s="406">
        <v>1139</v>
      </c>
      <c r="Q1142" s="270" t="s">
        <v>2037</v>
      </c>
      <c r="R1142" s="460" t="s">
        <v>1883</v>
      </c>
      <c r="S1142" s="270" t="s">
        <v>1884</v>
      </c>
      <c r="U1142" s="471"/>
      <c r="V1142" s="471"/>
      <c r="W1142" s="477"/>
      <c r="X1142" s="471"/>
      <c r="Y1142" s="206"/>
      <c r="Z1142" s="206"/>
    </row>
    <row r="1143" spans="1:26">
      <c r="A1143" s="406">
        <v>1140</v>
      </c>
      <c r="B1143" s="613" t="s">
        <v>7020</v>
      </c>
      <c r="C1143" s="288" t="s">
        <v>2038</v>
      </c>
      <c r="D1143" s="414" t="s">
        <v>4884</v>
      </c>
      <c r="E1143" s="407" t="s">
        <v>4884</v>
      </c>
      <c r="F1143" s="483"/>
      <c r="G1143" s="483"/>
      <c r="H1143" s="483"/>
      <c r="I1143" s="483"/>
      <c r="J1143" s="483"/>
      <c r="K1143" s="483"/>
      <c r="L1143" s="608" t="s">
        <v>4884</v>
      </c>
      <c r="M1143" s="409" t="s">
        <v>4884</v>
      </c>
      <c r="N1143" s="409" t="s">
        <v>4884</v>
      </c>
      <c r="O1143" s="410" t="s">
        <v>4884</v>
      </c>
      <c r="P1143" s="406">
        <v>1140</v>
      </c>
      <c r="Q1143" s="270" t="s">
        <v>2038</v>
      </c>
      <c r="R1143" s="460" t="s">
        <v>1883</v>
      </c>
      <c r="S1143" s="270" t="s">
        <v>1884</v>
      </c>
      <c r="U1143" s="471"/>
      <c r="V1143" s="471"/>
      <c r="W1143" s="471"/>
      <c r="X1143" s="471"/>
      <c r="Y1143" s="206"/>
      <c r="Z1143" s="206"/>
    </row>
    <row r="1144" spans="1:26">
      <c r="A1144" s="406">
        <v>1141</v>
      </c>
      <c r="B1144" s="613" t="s">
        <v>7020</v>
      </c>
      <c r="C1144" s="288" t="s">
        <v>2039</v>
      </c>
      <c r="D1144" s="414" t="s">
        <v>4884</v>
      </c>
      <c r="E1144" s="407" t="s">
        <v>4884</v>
      </c>
      <c r="F1144" s="483"/>
      <c r="G1144" s="483"/>
      <c r="H1144" s="483"/>
      <c r="I1144" s="483"/>
      <c r="J1144" s="483"/>
      <c r="K1144" s="483"/>
      <c r="L1144" s="608" t="s">
        <v>4884</v>
      </c>
      <c r="M1144" s="409" t="s">
        <v>4884</v>
      </c>
      <c r="N1144" s="409" t="s">
        <v>4884</v>
      </c>
      <c r="O1144" s="410" t="s">
        <v>4884</v>
      </c>
      <c r="P1144" s="406">
        <v>1141</v>
      </c>
      <c r="Q1144" s="270" t="s">
        <v>2039</v>
      </c>
      <c r="R1144" s="460" t="s">
        <v>1883</v>
      </c>
      <c r="S1144" s="270" t="s">
        <v>1884</v>
      </c>
      <c r="U1144" s="471"/>
      <c r="V1144" s="471"/>
      <c r="W1144" s="471"/>
      <c r="X1144" s="471"/>
      <c r="Y1144" s="206"/>
      <c r="Z1144" s="206"/>
    </row>
    <row r="1145" spans="1:26">
      <c r="A1145" s="406">
        <v>1142</v>
      </c>
      <c r="B1145" s="613" t="s">
        <v>7020</v>
      </c>
      <c r="C1145" s="288" t="s">
        <v>2040</v>
      </c>
      <c r="D1145" s="414" t="s">
        <v>4884</v>
      </c>
      <c r="E1145" s="407" t="s">
        <v>4884</v>
      </c>
      <c r="F1145" s="483"/>
      <c r="G1145" s="483"/>
      <c r="H1145" s="483"/>
      <c r="I1145" s="483"/>
      <c r="J1145" s="483"/>
      <c r="K1145" s="483"/>
      <c r="L1145" s="608" t="s">
        <v>4884</v>
      </c>
      <c r="M1145" s="409" t="s">
        <v>4884</v>
      </c>
      <c r="N1145" s="409" t="s">
        <v>4884</v>
      </c>
      <c r="O1145" s="410" t="s">
        <v>4884</v>
      </c>
      <c r="P1145" s="406">
        <v>1142</v>
      </c>
      <c r="Q1145" s="270" t="s">
        <v>2040</v>
      </c>
      <c r="R1145" s="460" t="s">
        <v>1883</v>
      </c>
      <c r="S1145" s="270" t="s">
        <v>1884</v>
      </c>
      <c r="U1145" s="471"/>
      <c r="V1145" s="471"/>
      <c r="W1145" s="471"/>
      <c r="X1145" s="471"/>
      <c r="Y1145" s="206"/>
      <c r="Z1145" s="206"/>
    </row>
    <row r="1146" spans="1:26">
      <c r="A1146" s="406">
        <v>1143</v>
      </c>
      <c r="B1146" s="613" t="s">
        <v>7020</v>
      </c>
      <c r="C1146" s="288" t="s">
        <v>2041</v>
      </c>
      <c r="D1146" s="414" t="s">
        <v>4884</v>
      </c>
      <c r="E1146" s="407" t="s">
        <v>4884</v>
      </c>
      <c r="F1146" s="483"/>
      <c r="G1146" s="483"/>
      <c r="H1146" s="483"/>
      <c r="I1146" s="483"/>
      <c r="J1146" s="483"/>
      <c r="K1146" s="483"/>
      <c r="L1146" s="608" t="s">
        <v>4884</v>
      </c>
      <c r="M1146" s="409" t="s">
        <v>4884</v>
      </c>
      <c r="N1146" s="409" t="s">
        <v>4884</v>
      </c>
      <c r="O1146" s="410" t="s">
        <v>4884</v>
      </c>
      <c r="P1146" s="406">
        <v>1143</v>
      </c>
      <c r="Q1146" s="270" t="s">
        <v>2041</v>
      </c>
      <c r="R1146" s="460" t="s">
        <v>1883</v>
      </c>
      <c r="S1146" s="270" t="s">
        <v>1884</v>
      </c>
      <c r="U1146" s="471"/>
      <c r="V1146" s="471"/>
      <c r="W1146" s="471"/>
      <c r="X1146" s="471"/>
      <c r="Y1146" s="206"/>
      <c r="Z1146" s="206"/>
    </row>
    <row r="1147" spans="1:26">
      <c r="A1147" s="406">
        <v>1144</v>
      </c>
      <c r="B1147" s="613" t="s">
        <v>7020</v>
      </c>
      <c r="C1147" s="288" t="s">
        <v>2042</v>
      </c>
      <c r="D1147" s="414" t="s">
        <v>4884</v>
      </c>
      <c r="E1147" s="407" t="s">
        <v>4884</v>
      </c>
      <c r="F1147" s="483"/>
      <c r="G1147" s="483"/>
      <c r="H1147" s="483"/>
      <c r="I1147" s="483"/>
      <c r="J1147" s="483"/>
      <c r="K1147" s="483"/>
      <c r="L1147" s="608" t="s">
        <v>4884</v>
      </c>
      <c r="M1147" s="409" t="s">
        <v>4884</v>
      </c>
      <c r="N1147" s="409" t="s">
        <v>4884</v>
      </c>
      <c r="O1147" s="410" t="s">
        <v>4884</v>
      </c>
      <c r="P1147" s="406">
        <v>1144</v>
      </c>
      <c r="Q1147" s="270" t="s">
        <v>2042</v>
      </c>
      <c r="R1147" s="460" t="s">
        <v>1883</v>
      </c>
      <c r="S1147" s="270" t="s">
        <v>1884</v>
      </c>
      <c r="U1147" s="471"/>
      <c r="V1147" s="471"/>
      <c r="W1147" s="471"/>
      <c r="X1147" s="471"/>
      <c r="Y1147" s="206"/>
      <c r="Z1147" s="206"/>
    </row>
    <row r="1148" spans="1:26">
      <c r="A1148" s="406">
        <v>1145</v>
      </c>
      <c r="B1148" s="613" t="s">
        <v>7020</v>
      </c>
      <c r="C1148" s="288" t="s">
        <v>2043</v>
      </c>
      <c r="D1148" s="414" t="s">
        <v>4884</v>
      </c>
      <c r="E1148" s="407" t="s">
        <v>4884</v>
      </c>
      <c r="F1148" s="483"/>
      <c r="G1148" s="483"/>
      <c r="H1148" s="483"/>
      <c r="I1148" s="483"/>
      <c r="J1148" s="483"/>
      <c r="K1148" s="483"/>
      <c r="L1148" s="608" t="s">
        <v>4884</v>
      </c>
      <c r="M1148" s="409" t="s">
        <v>4884</v>
      </c>
      <c r="N1148" s="409" t="s">
        <v>4884</v>
      </c>
      <c r="O1148" s="410" t="s">
        <v>4884</v>
      </c>
      <c r="P1148" s="406">
        <v>1145</v>
      </c>
      <c r="Q1148" s="270" t="s">
        <v>2043</v>
      </c>
      <c r="R1148" s="523" t="s">
        <v>1883</v>
      </c>
      <c r="S1148" s="270" t="s">
        <v>1884</v>
      </c>
      <c r="U1148" s="471"/>
      <c r="V1148" s="471"/>
      <c r="W1148" s="471"/>
      <c r="X1148" s="471"/>
      <c r="Y1148" s="206"/>
      <c r="Z1148" s="206"/>
    </row>
    <row r="1149" spans="1:26">
      <c r="A1149" s="406">
        <v>1146</v>
      </c>
      <c r="B1149" s="613" t="s">
        <v>7020</v>
      </c>
      <c r="C1149" s="288" t="s">
        <v>2044</v>
      </c>
      <c r="D1149" s="414" t="s">
        <v>4884</v>
      </c>
      <c r="E1149" s="407" t="s">
        <v>4884</v>
      </c>
      <c r="F1149" s="483"/>
      <c r="G1149" s="483"/>
      <c r="H1149" s="483"/>
      <c r="I1149" s="483"/>
      <c r="J1149" s="483"/>
      <c r="K1149" s="483"/>
      <c r="L1149" s="608" t="s">
        <v>4884</v>
      </c>
      <c r="M1149" s="409" t="s">
        <v>4884</v>
      </c>
      <c r="N1149" s="409" t="s">
        <v>4884</v>
      </c>
      <c r="O1149" s="410" t="s">
        <v>4884</v>
      </c>
      <c r="P1149" s="406">
        <v>1146</v>
      </c>
      <c r="Q1149" s="270" t="s">
        <v>2044</v>
      </c>
      <c r="R1149" s="523" t="s">
        <v>1883</v>
      </c>
      <c r="S1149" s="270" t="s">
        <v>1884</v>
      </c>
      <c r="U1149" s="471"/>
      <c r="V1149" s="471"/>
      <c r="W1149" s="471"/>
      <c r="X1149" s="471"/>
      <c r="Y1149" s="206"/>
      <c r="Z1149" s="206"/>
    </row>
    <row r="1150" spans="1:26">
      <c r="A1150" s="406">
        <v>1147</v>
      </c>
      <c r="B1150" s="613" t="s">
        <v>7020</v>
      </c>
      <c r="C1150" s="288" t="s">
        <v>2045</v>
      </c>
      <c r="D1150" s="414" t="s">
        <v>4884</v>
      </c>
      <c r="E1150" s="407" t="s">
        <v>4884</v>
      </c>
      <c r="F1150" s="483"/>
      <c r="G1150" s="483"/>
      <c r="H1150" s="483"/>
      <c r="I1150" s="483"/>
      <c r="J1150" s="483"/>
      <c r="K1150" s="483"/>
      <c r="L1150" s="608" t="s">
        <v>4884</v>
      </c>
      <c r="M1150" s="409" t="s">
        <v>4884</v>
      </c>
      <c r="N1150" s="409" t="s">
        <v>4884</v>
      </c>
      <c r="O1150" s="410" t="s">
        <v>4884</v>
      </c>
      <c r="P1150" s="406">
        <v>1147</v>
      </c>
      <c r="Q1150" s="270" t="s">
        <v>2045</v>
      </c>
      <c r="R1150" s="523" t="s">
        <v>1883</v>
      </c>
      <c r="S1150" s="270" t="s">
        <v>1884</v>
      </c>
      <c r="U1150" s="471"/>
      <c r="V1150" s="471"/>
      <c r="W1150" s="471"/>
      <c r="X1150" s="471"/>
      <c r="Y1150" s="206"/>
      <c r="Z1150" s="206"/>
    </row>
    <row r="1151" spans="1:26">
      <c r="A1151" s="406">
        <v>1148</v>
      </c>
      <c r="B1151" s="613" t="s">
        <v>7020</v>
      </c>
      <c r="C1151" s="288" t="s">
        <v>2046</v>
      </c>
      <c r="D1151" s="414" t="s">
        <v>4884</v>
      </c>
      <c r="E1151" s="407" t="s">
        <v>4884</v>
      </c>
      <c r="F1151" s="483"/>
      <c r="G1151" s="483"/>
      <c r="H1151" s="483"/>
      <c r="I1151" s="483"/>
      <c r="J1151" s="483"/>
      <c r="K1151" s="483"/>
      <c r="L1151" s="608" t="s">
        <v>4884</v>
      </c>
      <c r="M1151" s="409" t="s">
        <v>4884</v>
      </c>
      <c r="N1151" s="409" t="s">
        <v>4884</v>
      </c>
      <c r="O1151" s="410" t="s">
        <v>4884</v>
      </c>
      <c r="P1151" s="406">
        <v>1148</v>
      </c>
      <c r="Q1151" s="270" t="s">
        <v>2046</v>
      </c>
      <c r="R1151" s="523" t="s">
        <v>1883</v>
      </c>
      <c r="S1151" s="270" t="s">
        <v>1884</v>
      </c>
      <c r="U1151" s="471"/>
      <c r="V1151" s="471"/>
      <c r="W1151" s="471"/>
      <c r="X1151" s="471"/>
      <c r="Y1151" s="206"/>
      <c r="Z1151" s="206"/>
    </row>
    <row r="1152" spans="1:26">
      <c r="A1152" s="406">
        <v>1149</v>
      </c>
      <c r="B1152" s="613" t="s">
        <v>7020</v>
      </c>
      <c r="C1152" s="288" t="s">
        <v>2047</v>
      </c>
      <c r="D1152" s="414" t="s">
        <v>4884</v>
      </c>
      <c r="E1152" s="407" t="s">
        <v>4884</v>
      </c>
      <c r="F1152" s="483"/>
      <c r="G1152" s="483"/>
      <c r="H1152" s="483"/>
      <c r="I1152" s="483"/>
      <c r="J1152" s="483"/>
      <c r="K1152" s="483"/>
      <c r="L1152" s="608" t="s">
        <v>4884</v>
      </c>
      <c r="M1152" s="409" t="s">
        <v>4884</v>
      </c>
      <c r="N1152" s="409" t="s">
        <v>4884</v>
      </c>
      <c r="O1152" s="410" t="s">
        <v>4884</v>
      </c>
      <c r="P1152" s="406">
        <v>1149</v>
      </c>
      <c r="Q1152" s="270" t="s">
        <v>2047</v>
      </c>
      <c r="R1152" s="523" t="s">
        <v>1883</v>
      </c>
      <c r="S1152" s="270" t="s">
        <v>1884</v>
      </c>
      <c r="U1152" s="471"/>
      <c r="V1152" s="471"/>
      <c r="W1152" s="471"/>
      <c r="X1152" s="471"/>
      <c r="Y1152" s="206"/>
      <c r="Z1152" s="206"/>
    </row>
    <row r="1153" spans="1:26">
      <c r="A1153" s="406">
        <v>1150</v>
      </c>
      <c r="B1153" s="613" t="s">
        <v>7020</v>
      </c>
      <c r="C1153" s="288" t="s">
        <v>2048</v>
      </c>
      <c r="D1153" s="414" t="s">
        <v>4884</v>
      </c>
      <c r="E1153" s="407" t="s">
        <v>4884</v>
      </c>
      <c r="F1153" s="483"/>
      <c r="G1153" s="483"/>
      <c r="H1153" s="483"/>
      <c r="I1153" s="483"/>
      <c r="J1153" s="483"/>
      <c r="K1153" s="483"/>
      <c r="L1153" s="608" t="s">
        <v>4884</v>
      </c>
      <c r="M1153" s="409" t="s">
        <v>4884</v>
      </c>
      <c r="N1153" s="409" t="s">
        <v>4884</v>
      </c>
      <c r="O1153" s="410" t="s">
        <v>4884</v>
      </c>
      <c r="P1153" s="406">
        <v>1150</v>
      </c>
      <c r="Q1153" s="270" t="s">
        <v>2048</v>
      </c>
      <c r="R1153" s="523" t="s">
        <v>1883</v>
      </c>
      <c r="S1153" s="270" t="s">
        <v>1884</v>
      </c>
      <c r="U1153" s="471"/>
      <c r="V1153" s="471"/>
      <c r="W1153" s="471"/>
      <c r="X1153" s="471"/>
      <c r="Y1153" s="206"/>
      <c r="Z1153" s="206"/>
    </row>
    <row r="1154" spans="1:26">
      <c r="A1154" s="406">
        <v>1151</v>
      </c>
      <c r="B1154" s="613" t="s">
        <v>7020</v>
      </c>
      <c r="C1154" s="288" t="s">
        <v>2049</v>
      </c>
      <c r="D1154" s="414" t="s">
        <v>4884</v>
      </c>
      <c r="E1154" s="407" t="s">
        <v>4884</v>
      </c>
      <c r="F1154" s="483"/>
      <c r="G1154" s="483"/>
      <c r="H1154" s="483"/>
      <c r="I1154" s="483"/>
      <c r="J1154" s="483"/>
      <c r="K1154" s="483"/>
      <c r="L1154" s="608" t="s">
        <v>4884</v>
      </c>
      <c r="M1154" s="409" t="s">
        <v>4884</v>
      </c>
      <c r="N1154" s="409" t="s">
        <v>4884</v>
      </c>
      <c r="O1154" s="410" t="s">
        <v>4884</v>
      </c>
      <c r="P1154" s="406">
        <v>1151</v>
      </c>
      <c r="Q1154" s="270" t="s">
        <v>2049</v>
      </c>
      <c r="R1154" s="523" t="s">
        <v>1883</v>
      </c>
      <c r="S1154" s="270" t="s">
        <v>1884</v>
      </c>
      <c r="U1154" s="471"/>
      <c r="V1154" s="471"/>
      <c r="W1154" s="471"/>
      <c r="X1154" s="471"/>
      <c r="Y1154" s="206"/>
      <c r="Z1154" s="206"/>
    </row>
    <row r="1155" spans="1:26">
      <c r="A1155" s="406">
        <v>1152</v>
      </c>
      <c r="B1155" s="613" t="s">
        <v>7020</v>
      </c>
      <c r="C1155" s="288" t="s">
        <v>2050</v>
      </c>
      <c r="D1155" s="414" t="s">
        <v>4884</v>
      </c>
      <c r="E1155" s="407" t="s">
        <v>4884</v>
      </c>
      <c r="F1155" s="483"/>
      <c r="G1155" s="483"/>
      <c r="H1155" s="483"/>
      <c r="I1155" s="483"/>
      <c r="J1155" s="483"/>
      <c r="K1155" s="483"/>
      <c r="L1155" s="608" t="s">
        <v>4884</v>
      </c>
      <c r="M1155" s="409" t="s">
        <v>4884</v>
      </c>
      <c r="N1155" s="409" t="s">
        <v>4884</v>
      </c>
      <c r="O1155" s="410" t="s">
        <v>4884</v>
      </c>
      <c r="P1155" s="406">
        <v>1152</v>
      </c>
      <c r="Q1155" s="270" t="s">
        <v>2050</v>
      </c>
      <c r="R1155" s="523" t="s">
        <v>1883</v>
      </c>
      <c r="S1155" s="270" t="s">
        <v>1884</v>
      </c>
      <c r="U1155" s="471"/>
      <c r="V1155" s="471"/>
      <c r="W1155" s="471"/>
      <c r="X1155" s="471"/>
      <c r="Y1155" s="206"/>
      <c r="Z1155" s="206"/>
    </row>
    <row r="1156" spans="1:26">
      <c r="A1156" s="406">
        <v>1153</v>
      </c>
      <c r="B1156" s="613" t="s">
        <v>7020</v>
      </c>
      <c r="C1156" s="288" t="s">
        <v>2051</v>
      </c>
      <c r="D1156" s="414" t="s">
        <v>4884</v>
      </c>
      <c r="E1156" s="407" t="s">
        <v>4884</v>
      </c>
      <c r="F1156" s="483"/>
      <c r="G1156" s="483"/>
      <c r="H1156" s="483"/>
      <c r="I1156" s="483"/>
      <c r="J1156" s="483"/>
      <c r="K1156" s="483"/>
      <c r="L1156" s="608" t="s">
        <v>4884</v>
      </c>
      <c r="M1156" s="409" t="s">
        <v>4884</v>
      </c>
      <c r="N1156" s="409" t="s">
        <v>4884</v>
      </c>
      <c r="O1156" s="410" t="s">
        <v>4884</v>
      </c>
      <c r="P1156" s="406">
        <v>1153</v>
      </c>
      <c r="Q1156" s="270" t="s">
        <v>2051</v>
      </c>
      <c r="R1156" s="523" t="s">
        <v>1883</v>
      </c>
      <c r="S1156" s="270" t="s">
        <v>1884</v>
      </c>
      <c r="U1156" s="471"/>
      <c r="V1156" s="471"/>
      <c r="W1156" s="471"/>
      <c r="X1156" s="471"/>
      <c r="Y1156" s="206"/>
      <c r="Z1156" s="206"/>
    </row>
    <row r="1157" spans="1:26">
      <c r="A1157" s="406">
        <v>1154</v>
      </c>
      <c r="B1157" s="613" t="s">
        <v>7020</v>
      </c>
      <c r="C1157" s="288" t="s">
        <v>2052</v>
      </c>
      <c r="D1157" s="414" t="s">
        <v>4884</v>
      </c>
      <c r="E1157" s="407" t="s">
        <v>4884</v>
      </c>
      <c r="F1157" s="483"/>
      <c r="G1157" s="483"/>
      <c r="H1157" s="483"/>
      <c r="I1157" s="483"/>
      <c r="J1157" s="483"/>
      <c r="K1157" s="483"/>
      <c r="L1157" s="608" t="s">
        <v>4884</v>
      </c>
      <c r="M1157" s="409" t="s">
        <v>4884</v>
      </c>
      <c r="N1157" s="409" t="s">
        <v>4884</v>
      </c>
      <c r="O1157" s="410" t="s">
        <v>4884</v>
      </c>
      <c r="P1157" s="406">
        <v>1154</v>
      </c>
      <c r="Q1157" s="270" t="s">
        <v>2052</v>
      </c>
      <c r="R1157" s="523" t="s">
        <v>1883</v>
      </c>
      <c r="S1157" s="270" t="s">
        <v>1884</v>
      </c>
      <c r="U1157" s="471"/>
      <c r="V1157" s="471"/>
      <c r="W1157" s="471"/>
      <c r="X1157" s="471"/>
      <c r="Y1157" s="206"/>
      <c r="Z1157" s="206"/>
    </row>
    <row r="1158" spans="1:26">
      <c r="A1158" s="406">
        <v>1155</v>
      </c>
      <c r="B1158" s="613" t="s">
        <v>7020</v>
      </c>
      <c r="C1158" s="288" t="s">
        <v>2053</v>
      </c>
      <c r="D1158" s="414" t="s">
        <v>4884</v>
      </c>
      <c r="E1158" s="407" t="s">
        <v>4884</v>
      </c>
      <c r="F1158" s="483"/>
      <c r="G1158" s="483"/>
      <c r="H1158" s="483"/>
      <c r="I1158" s="483"/>
      <c r="J1158" s="483"/>
      <c r="K1158" s="483"/>
      <c r="L1158" s="608" t="s">
        <v>4884</v>
      </c>
      <c r="M1158" s="409" t="s">
        <v>4884</v>
      </c>
      <c r="N1158" s="409" t="s">
        <v>4884</v>
      </c>
      <c r="O1158" s="410" t="s">
        <v>4884</v>
      </c>
      <c r="P1158" s="406">
        <v>1155</v>
      </c>
      <c r="Q1158" s="270" t="s">
        <v>2053</v>
      </c>
      <c r="R1158" s="523" t="s">
        <v>1883</v>
      </c>
      <c r="S1158" s="270" t="s">
        <v>1884</v>
      </c>
      <c r="U1158" s="471"/>
      <c r="V1158" s="471"/>
      <c r="W1158" s="471"/>
      <c r="X1158" s="471"/>
      <c r="Y1158" s="206"/>
      <c r="Z1158" s="206"/>
    </row>
    <row r="1159" spans="1:26">
      <c r="A1159" s="406">
        <v>1156</v>
      </c>
      <c r="B1159" s="613" t="s">
        <v>7020</v>
      </c>
      <c r="C1159" s="288" t="s">
        <v>2054</v>
      </c>
      <c r="D1159" s="414" t="s">
        <v>4884</v>
      </c>
      <c r="E1159" s="407" t="s">
        <v>4884</v>
      </c>
      <c r="F1159" s="483"/>
      <c r="G1159" s="483"/>
      <c r="H1159" s="483"/>
      <c r="I1159" s="483"/>
      <c r="J1159" s="483"/>
      <c r="K1159" s="483"/>
      <c r="L1159" s="608" t="s">
        <v>4884</v>
      </c>
      <c r="M1159" s="409" t="s">
        <v>4884</v>
      </c>
      <c r="N1159" s="409" t="s">
        <v>4884</v>
      </c>
      <c r="O1159" s="410" t="s">
        <v>4884</v>
      </c>
      <c r="P1159" s="406">
        <v>1156</v>
      </c>
      <c r="Q1159" s="270" t="s">
        <v>2054</v>
      </c>
      <c r="R1159" s="523" t="s">
        <v>1883</v>
      </c>
      <c r="S1159" s="270" t="s">
        <v>1884</v>
      </c>
      <c r="U1159" s="471"/>
      <c r="V1159" s="471"/>
      <c r="W1159" s="471"/>
      <c r="X1159" s="471"/>
      <c r="Y1159" s="206"/>
      <c r="Z1159" s="206"/>
    </row>
    <row r="1160" spans="1:26">
      <c r="A1160" s="406">
        <v>1157</v>
      </c>
      <c r="B1160" s="613" t="s">
        <v>7020</v>
      </c>
      <c r="C1160" s="288" t="s">
        <v>2055</v>
      </c>
      <c r="D1160" s="414" t="s">
        <v>4884</v>
      </c>
      <c r="E1160" s="407" t="s">
        <v>4884</v>
      </c>
      <c r="F1160" s="483"/>
      <c r="G1160" s="483"/>
      <c r="H1160" s="483"/>
      <c r="I1160" s="483"/>
      <c r="J1160" s="483"/>
      <c r="K1160" s="483"/>
      <c r="L1160" s="608" t="s">
        <v>4884</v>
      </c>
      <c r="M1160" s="409" t="s">
        <v>4884</v>
      </c>
      <c r="N1160" s="409" t="s">
        <v>4884</v>
      </c>
      <c r="O1160" s="410" t="s">
        <v>4884</v>
      </c>
      <c r="P1160" s="406">
        <v>1157</v>
      </c>
      <c r="Q1160" s="270" t="s">
        <v>2055</v>
      </c>
      <c r="R1160" s="523" t="s">
        <v>1883</v>
      </c>
      <c r="S1160" s="270" t="s">
        <v>1884</v>
      </c>
      <c r="U1160" s="471"/>
      <c r="V1160" s="471"/>
      <c r="W1160" s="471"/>
      <c r="X1160" s="471"/>
      <c r="Y1160" s="206"/>
      <c r="Z1160" s="206"/>
    </row>
    <row r="1161" spans="1:26">
      <c r="A1161" s="406">
        <v>1158</v>
      </c>
      <c r="B1161" s="613" t="s">
        <v>7020</v>
      </c>
      <c r="C1161" s="288" t="s">
        <v>2056</v>
      </c>
      <c r="D1161" s="414" t="s">
        <v>4884</v>
      </c>
      <c r="E1161" s="407" t="s">
        <v>4884</v>
      </c>
      <c r="F1161" s="483"/>
      <c r="G1161" s="483"/>
      <c r="H1161" s="483"/>
      <c r="I1161" s="483"/>
      <c r="J1161" s="483"/>
      <c r="K1161" s="483"/>
      <c r="L1161" s="608" t="s">
        <v>4884</v>
      </c>
      <c r="M1161" s="409" t="s">
        <v>4884</v>
      </c>
      <c r="N1161" s="409" t="s">
        <v>4884</v>
      </c>
      <c r="O1161" s="410" t="s">
        <v>4884</v>
      </c>
      <c r="P1161" s="406">
        <v>1158</v>
      </c>
      <c r="Q1161" s="270" t="s">
        <v>2056</v>
      </c>
      <c r="R1161" s="523" t="s">
        <v>1883</v>
      </c>
      <c r="S1161" s="270" t="s">
        <v>1884</v>
      </c>
      <c r="U1161" s="471"/>
      <c r="V1161" s="471"/>
      <c r="W1161" s="471"/>
      <c r="X1161" s="471"/>
      <c r="Y1161" s="206"/>
      <c r="Z1161" s="206"/>
    </row>
    <row r="1162" spans="1:26">
      <c r="A1162" s="406">
        <v>1159</v>
      </c>
      <c r="B1162" s="613" t="s">
        <v>7020</v>
      </c>
      <c r="C1162" s="288" t="s">
        <v>2057</v>
      </c>
      <c r="D1162" s="414" t="s">
        <v>4884</v>
      </c>
      <c r="E1162" s="407" t="s">
        <v>4884</v>
      </c>
      <c r="F1162" s="483"/>
      <c r="G1162" s="483"/>
      <c r="H1162" s="483"/>
      <c r="I1162" s="483"/>
      <c r="J1162" s="483"/>
      <c r="K1162" s="483"/>
      <c r="L1162" s="608" t="s">
        <v>4884</v>
      </c>
      <c r="M1162" s="409" t="s">
        <v>4884</v>
      </c>
      <c r="N1162" s="409" t="s">
        <v>4884</v>
      </c>
      <c r="O1162" s="410" t="s">
        <v>4884</v>
      </c>
      <c r="P1162" s="406">
        <v>1159</v>
      </c>
      <c r="Q1162" s="270" t="s">
        <v>2057</v>
      </c>
      <c r="R1162" s="523" t="s">
        <v>1883</v>
      </c>
      <c r="S1162" s="270" t="s">
        <v>1884</v>
      </c>
      <c r="U1162" s="471"/>
      <c r="V1162" s="471"/>
      <c r="W1162" s="471"/>
      <c r="X1162" s="471"/>
      <c r="Y1162" s="206"/>
      <c r="Z1162" s="206"/>
    </row>
    <row r="1163" spans="1:26">
      <c r="A1163" s="406">
        <v>1160</v>
      </c>
      <c r="B1163" s="613" t="s">
        <v>7020</v>
      </c>
      <c r="C1163" s="288" t="s">
        <v>2058</v>
      </c>
      <c r="D1163" s="414" t="s">
        <v>4884</v>
      </c>
      <c r="E1163" s="407" t="s">
        <v>4884</v>
      </c>
      <c r="F1163" s="483"/>
      <c r="G1163" s="483"/>
      <c r="H1163" s="483"/>
      <c r="I1163" s="483"/>
      <c r="J1163" s="483"/>
      <c r="K1163" s="483"/>
      <c r="L1163" s="608" t="s">
        <v>4884</v>
      </c>
      <c r="M1163" s="409" t="s">
        <v>4884</v>
      </c>
      <c r="N1163" s="409" t="s">
        <v>4884</v>
      </c>
      <c r="O1163" s="410" t="s">
        <v>4884</v>
      </c>
      <c r="P1163" s="406">
        <v>1160</v>
      </c>
      <c r="Q1163" s="270" t="s">
        <v>2058</v>
      </c>
      <c r="R1163" s="523" t="s">
        <v>1883</v>
      </c>
      <c r="S1163" s="270" t="s">
        <v>1884</v>
      </c>
      <c r="U1163" s="471"/>
      <c r="V1163" s="471"/>
      <c r="W1163" s="471"/>
      <c r="X1163" s="471"/>
      <c r="Y1163" s="206"/>
      <c r="Z1163" s="206"/>
    </row>
    <row r="1164" spans="1:26">
      <c r="A1164" s="406">
        <v>1161</v>
      </c>
      <c r="B1164" s="613" t="s">
        <v>7020</v>
      </c>
      <c r="C1164" s="288" t="s">
        <v>2059</v>
      </c>
      <c r="D1164" s="414" t="s">
        <v>4884</v>
      </c>
      <c r="E1164" s="407" t="s">
        <v>4884</v>
      </c>
      <c r="F1164" s="483"/>
      <c r="G1164" s="483"/>
      <c r="H1164" s="483"/>
      <c r="I1164" s="483"/>
      <c r="J1164" s="483"/>
      <c r="K1164" s="483"/>
      <c r="L1164" s="608" t="s">
        <v>4884</v>
      </c>
      <c r="M1164" s="409" t="s">
        <v>4884</v>
      </c>
      <c r="N1164" s="409" t="s">
        <v>4884</v>
      </c>
      <c r="O1164" s="410" t="s">
        <v>4884</v>
      </c>
      <c r="P1164" s="406">
        <v>1161</v>
      </c>
      <c r="Q1164" s="270" t="s">
        <v>2059</v>
      </c>
      <c r="R1164" s="523" t="s">
        <v>1883</v>
      </c>
      <c r="S1164" s="270" t="s">
        <v>1884</v>
      </c>
      <c r="U1164" s="471"/>
      <c r="V1164" s="471"/>
      <c r="W1164" s="471"/>
      <c r="X1164" s="471"/>
      <c r="Y1164" s="206"/>
      <c r="Z1164" s="206"/>
    </row>
    <row r="1165" spans="1:26">
      <c r="A1165" s="406">
        <v>1162</v>
      </c>
      <c r="B1165" s="613" t="s">
        <v>7020</v>
      </c>
      <c r="C1165" s="288" t="s">
        <v>2060</v>
      </c>
      <c r="D1165" s="414" t="s">
        <v>4884</v>
      </c>
      <c r="E1165" s="407" t="s">
        <v>4884</v>
      </c>
      <c r="F1165" s="483"/>
      <c r="G1165" s="483"/>
      <c r="H1165" s="483"/>
      <c r="I1165" s="483"/>
      <c r="J1165" s="483"/>
      <c r="K1165" s="483"/>
      <c r="L1165" s="608" t="s">
        <v>4884</v>
      </c>
      <c r="M1165" s="409" t="s">
        <v>4884</v>
      </c>
      <c r="N1165" s="409" t="s">
        <v>4884</v>
      </c>
      <c r="O1165" s="410" t="s">
        <v>4884</v>
      </c>
      <c r="P1165" s="406">
        <v>1162</v>
      </c>
      <c r="Q1165" s="270" t="s">
        <v>2060</v>
      </c>
      <c r="R1165" s="523" t="s">
        <v>1883</v>
      </c>
      <c r="S1165" s="270" t="s">
        <v>1884</v>
      </c>
      <c r="U1165" s="471"/>
      <c r="V1165" s="471"/>
      <c r="W1165" s="471"/>
      <c r="X1165" s="471"/>
      <c r="Y1165" s="206"/>
      <c r="Z1165" s="206"/>
    </row>
    <row r="1166" spans="1:26">
      <c r="A1166" s="406">
        <v>1163</v>
      </c>
      <c r="B1166" s="613" t="s">
        <v>7020</v>
      </c>
      <c r="C1166" s="288" t="s">
        <v>2061</v>
      </c>
      <c r="D1166" s="414" t="s">
        <v>4884</v>
      </c>
      <c r="E1166" s="407" t="s">
        <v>4884</v>
      </c>
      <c r="F1166" s="483"/>
      <c r="G1166" s="483"/>
      <c r="H1166" s="483"/>
      <c r="I1166" s="483"/>
      <c r="J1166" s="483"/>
      <c r="K1166" s="483"/>
      <c r="L1166" s="608" t="s">
        <v>4884</v>
      </c>
      <c r="M1166" s="409" t="s">
        <v>4884</v>
      </c>
      <c r="N1166" s="409" t="s">
        <v>4884</v>
      </c>
      <c r="O1166" s="410" t="s">
        <v>4884</v>
      </c>
      <c r="P1166" s="406">
        <v>1163</v>
      </c>
      <c r="Q1166" s="270" t="s">
        <v>2061</v>
      </c>
      <c r="R1166" s="523" t="s">
        <v>1883</v>
      </c>
      <c r="S1166" s="270" t="s">
        <v>1884</v>
      </c>
      <c r="U1166" s="471"/>
      <c r="V1166" s="471"/>
      <c r="W1166" s="471"/>
      <c r="X1166" s="471"/>
      <c r="Y1166" s="206"/>
      <c r="Z1166" s="206"/>
    </row>
    <row r="1167" spans="1:26">
      <c r="A1167" s="406">
        <v>1164</v>
      </c>
      <c r="B1167" s="613" t="s">
        <v>7020</v>
      </c>
      <c r="C1167" s="288" t="s">
        <v>2062</v>
      </c>
      <c r="D1167" s="414" t="s">
        <v>4884</v>
      </c>
      <c r="E1167" s="407" t="s">
        <v>4884</v>
      </c>
      <c r="F1167" s="483"/>
      <c r="G1167" s="483"/>
      <c r="H1167" s="483"/>
      <c r="I1167" s="483"/>
      <c r="J1167" s="483"/>
      <c r="K1167" s="483"/>
      <c r="L1167" s="608" t="s">
        <v>4884</v>
      </c>
      <c r="M1167" s="409" t="s">
        <v>4884</v>
      </c>
      <c r="N1167" s="409" t="s">
        <v>4884</v>
      </c>
      <c r="O1167" s="410" t="s">
        <v>4884</v>
      </c>
      <c r="P1167" s="406">
        <v>1164</v>
      </c>
      <c r="Q1167" s="270" t="s">
        <v>2062</v>
      </c>
      <c r="R1167" s="523" t="s">
        <v>1883</v>
      </c>
      <c r="S1167" s="270" t="s">
        <v>1884</v>
      </c>
      <c r="U1167" s="471"/>
      <c r="V1167" s="471"/>
      <c r="W1167" s="471"/>
      <c r="X1167" s="471"/>
      <c r="Y1167" s="206"/>
      <c r="Z1167" s="206"/>
    </row>
    <row r="1168" spans="1:26">
      <c r="A1168" s="406">
        <v>1165</v>
      </c>
      <c r="B1168" s="613" t="s">
        <v>7020</v>
      </c>
      <c r="C1168" s="288" t="s">
        <v>2063</v>
      </c>
      <c r="D1168" s="414" t="s">
        <v>4884</v>
      </c>
      <c r="E1168" s="407" t="s">
        <v>4884</v>
      </c>
      <c r="F1168" s="483"/>
      <c r="G1168" s="483"/>
      <c r="H1168" s="483"/>
      <c r="I1168" s="483"/>
      <c r="J1168" s="483"/>
      <c r="K1168" s="483"/>
      <c r="L1168" s="608" t="s">
        <v>4884</v>
      </c>
      <c r="M1168" s="409" t="s">
        <v>4884</v>
      </c>
      <c r="N1168" s="409" t="s">
        <v>4884</v>
      </c>
      <c r="O1168" s="410" t="s">
        <v>4884</v>
      </c>
      <c r="P1168" s="406">
        <v>1165</v>
      </c>
      <c r="Q1168" s="270" t="s">
        <v>2063</v>
      </c>
      <c r="R1168" s="523" t="s">
        <v>1883</v>
      </c>
      <c r="S1168" s="270" t="s">
        <v>1884</v>
      </c>
      <c r="U1168" s="471"/>
      <c r="V1168" s="471"/>
      <c r="W1168" s="471"/>
      <c r="X1168" s="471"/>
      <c r="Y1168" s="206"/>
      <c r="Z1168" s="206"/>
    </row>
    <row r="1169" spans="1:26">
      <c r="A1169" s="406">
        <v>1166</v>
      </c>
      <c r="B1169" s="613" t="s">
        <v>7020</v>
      </c>
      <c r="C1169" s="288" t="s">
        <v>2064</v>
      </c>
      <c r="D1169" s="414" t="s">
        <v>4884</v>
      </c>
      <c r="E1169" s="407" t="s">
        <v>4884</v>
      </c>
      <c r="F1169" s="483"/>
      <c r="G1169" s="483"/>
      <c r="H1169" s="483"/>
      <c r="I1169" s="483"/>
      <c r="J1169" s="483"/>
      <c r="K1169" s="483"/>
      <c r="L1169" s="608" t="s">
        <v>4884</v>
      </c>
      <c r="M1169" s="409" t="s">
        <v>4884</v>
      </c>
      <c r="N1169" s="409" t="s">
        <v>4884</v>
      </c>
      <c r="O1169" s="410" t="s">
        <v>4884</v>
      </c>
      <c r="P1169" s="406">
        <v>1166</v>
      </c>
      <c r="Q1169" s="270" t="s">
        <v>2064</v>
      </c>
      <c r="R1169" s="523" t="s">
        <v>1883</v>
      </c>
      <c r="S1169" s="270" t="s">
        <v>1884</v>
      </c>
      <c r="U1169" s="471"/>
      <c r="V1169" s="471"/>
      <c r="W1169" s="471"/>
      <c r="X1169" s="471"/>
      <c r="Y1169" s="206"/>
      <c r="Z1169" s="206"/>
    </row>
    <row r="1170" spans="1:26">
      <c r="A1170" s="406">
        <v>1167</v>
      </c>
      <c r="B1170" s="613" t="s">
        <v>7020</v>
      </c>
      <c r="C1170" s="288" t="s">
        <v>2065</v>
      </c>
      <c r="D1170" s="414" t="s">
        <v>4884</v>
      </c>
      <c r="E1170" s="407" t="s">
        <v>4884</v>
      </c>
      <c r="F1170" s="483"/>
      <c r="G1170" s="483"/>
      <c r="H1170" s="483"/>
      <c r="I1170" s="483"/>
      <c r="J1170" s="483"/>
      <c r="K1170" s="483"/>
      <c r="L1170" s="608" t="s">
        <v>4884</v>
      </c>
      <c r="M1170" s="409" t="s">
        <v>4884</v>
      </c>
      <c r="N1170" s="409" t="s">
        <v>4884</v>
      </c>
      <c r="O1170" s="410" t="s">
        <v>4884</v>
      </c>
      <c r="P1170" s="406">
        <v>1167</v>
      </c>
      <c r="Q1170" s="270" t="s">
        <v>2065</v>
      </c>
      <c r="R1170" s="523" t="s">
        <v>1883</v>
      </c>
      <c r="S1170" s="270" t="s">
        <v>1884</v>
      </c>
      <c r="U1170" s="471"/>
      <c r="V1170" s="471"/>
      <c r="W1170" s="471"/>
      <c r="X1170" s="471"/>
      <c r="Y1170" s="206"/>
      <c r="Z1170" s="206"/>
    </row>
    <row r="1171" spans="1:26">
      <c r="A1171" s="406">
        <v>1168</v>
      </c>
      <c r="B1171" s="613" t="s">
        <v>7020</v>
      </c>
      <c r="C1171" s="288" t="s">
        <v>2066</v>
      </c>
      <c r="D1171" s="414" t="s">
        <v>4884</v>
      </c>
      <c r="E1171" s="407" t="s">
        <v>4884</v>
      </c>
      <c r="F1171" s="483"/>
      <c r="G1171" s="483"/>
      <c r="H1171" s="483"/>
      <c r="I1171" s="483"/>
      <c r="J1171" s="483"/>
      <c r="K1171" s="483"/>
      <c r="L1171" s="608" t="s">
        <v>4884</v>
      </c>
      <c r="M1171" s="409" t="s">
        <v>4884</v>
      </c>
      <c r="N1171" s="409" t="s">
        <v>4884</v>
      </c>
      <c r="O1171" s="410" t="s">
        <v>4884</v>
      </c>
      <c r="P1171" s="406">
        <v>1168</v>
      </c>
      <c r="Q1171" s="270" t="s">
        <v>2066</v>
      </c>
      <c r="R1171" s="523" t="s">
        <v>1883</v>
      </c>
      <c r="S1171" s="270" t="s">
        <v>1884</v>
      </c>
      <c r="U1171" s="471"/>
      <c r="V1171" s="471"/>
      <c r="W1171" s="471"/>
      <c r="X1171" s="471"/>
      <c r="Y1171" s="206"/>
      <c r="Z1171" s="206"/>
    </row>
    <row r="1172" spans="1:26">
      <c r="A1172" s="406">
        <v>1169</v>
      </c>
      <c r="B1172" s="613" t="s">
        <v>7020</v>
      </c>
      <c r="C1172" s="288" t="s">
        <v>2067</v>
      </c>
      <c r="D1172" s="414" t="s">
        <v>4884</v>
      </c>
      <c r="E1172" s="407" t="s">
        <v>4884</v>
      </c>
      <c r="F1172" s="483"/>
      <c r="G1172" s="483"/>
      <c r="H1172" s="483"/>
      <c r="I1172" s="483"/>
      <c r="J1172" s="483"/>
      <c r="K1172" s="483"/>
      <c r="L1172" s="608" t="s">
        <v>4884</v>
      </c>
      <c r="M1172" s="409" t="s">
        <v>4884</v>
      </c>
      <c r="N1172" s="409" t="s">
        <v>4884</v>
      </c>
      <c r="O1172" s="410" t="s">
        <v>4884</v>
      </c>
      <c r="P1172" s="406">
        <v>1169</v>
      </c>
      <c r="Q1172" s="270" t="s">
        <v>2067</v>
      </c>
      <c r="R1172" s="523" t="s">
        <v>1883</v>
      </c>
      <c r="S1172" s="270" t="s">
        <v>1884</v>
      </c>
      <c r="U1172" s="471"/>
      <c r="V1172" s="471"/>
      <c r="W1172" s="471"/>
      <c r="X1172" s="471"/>
      <c r="Y1172" s="206"/>
      <c r="Z1172" s="206"/>
    </row>
    <row r="1173" spans="1:26">
      <c r="A1173" s="406">
        <v>1170</v>
      </c>
      <c r="B1173" s="613" t="s">
        <v>7020</v>
      </c>
      <c r="C1173" s="288" t="s">
        <v>2068</v>
      </c>
      <c r="D1173" s="414" t="s">
        <v>4884</v>
      </c>
      <c r="E1173" s="407" t="s">
        <v>4884</v>
      </c>
      <c r="F1173" s="483"/>
      <c r="G1173" s="483"/>
      <c r="H1173" s="483"/>
      <c r="I1173" s="483"/>
      <c r="J1173" s="483"/>
      <c r="K1173" s="483"/>
      <c r="L1173" s="608" t="s">
        <v>4884</v>
      </c>
      <c r="M1173" s="409" t="s">
        <v>4884</v>
      </c>
      <c r="N1173" s="409" t="s">
        <v>4884</v>
      </c>
      <c r="O1173" s="410" t="s">
        <v>4884</v>
      </c>
      <c r="P1173" s="406">
        <v>1170</v>
      </c>
      <c r="Q1173" s="270" t="s">
        <v>2068</v>
      </c>
      <c r="R1173" s="523" t="s">
        <v>1883</v>
      </c>
      <c r="S1173" s="270" t="s">
        <v>1884</v>
      </c>
      <c r="U1173" s="471"/>
      <c r="V1173" s="471"/>
      <c r="W1173" s="471"/>
      <c r="X1173" s="471"/>
      <c r="Y1173" s="206"/>
      <c r="Z1173" s="206"/>
    </row>
    <row r="1174" spans="1:26">
      <c r="A1174" s="406">
        <v>1171</v>
      </c>
      <c r="B1174" s="613" t="s">
        <v>7020</v>
      </c>
      <c r="C1174" s="288" t="s">
        <v>2069</v>
      </c>
      <c r="D1174" s="414" t="s">
        <v>4884</v>
      </c>
      <c r="E1174" s="407" t="s">
        <v>4884</v>
      </c>
      <c r="F1174" s="483"/>
      <c r="G1174" s="483"/>
      <c r="H1174" s="483"/>
      <c r="I1174" s="483"/>
      <c r="J1174" s="483"/>
      <c r="K1174" s="483"/>
      <c r="L1174" s="608" t="s">
        <v>4884</v>
      </c>
      <c r="M1174" s="409" t="s">
        <v>4884</v>
      </c>
      <c r="N1174" s="409" t="s">
        <v>4884</v>
      </c>
      <c r="O1174" s="410" t="s">
        <v>4884</v>
      </c>
      <c r="P1174" s="406">
        <v>1171</v>
      </c>
      <c r="Q1174" s="270" t="s">
        <v>2069</v>
      </c>
      <c r="R1174" s="523" t="s">
        <v>1883</v>
      </c>
      <c r="S1174" s="270" t="s">
        <v>1884</v>
      </c>
      <c r="U1174" s="471"/>
      <c r="V1174" s="471"/>
      <c r="W1174" s="471"/>
      <c r="X1174" s="471"/>
      <c r="Y1174" s="206"/>
      <c r="Z1174" s="206"/>
    </row>
    <row r="1175" spans="1:26">
      <c r="A1175" s="406">
        <v>1172</v>
      </c>
      <c r="B1175" s="613" t="s">
        <v>7020</v>
      </c>
      <c r="C1175" s="288" t="s">
        <v>2070</v>
      </c>
      <c r="D1175" s="414" t="s">
        <v>4884</v>
      </c>
      <c r="E1175" s="407" t="s">
        <v>4884</v>
      </c>
      <c r="F1175" s="483"/>
      <c r="G1175" s="483"/>
      <c r="H1175" s="483"/>
      <c r="I1175" s="483"/>
      <c r="J1175" s="483"/>
      <c r="K1175" s="483"/>
      <c r="L1175" s="608" t="s">
        <v>4884</v>
      </c>
      <c r="M1175" s="409" t="s">
        <v>4884</v>
      </c>
      <c r="N1175" s="409" t="s">
        <v>4884</v>
      </c>
      <c r="O1175" s="410" t="s">
        <v>4884</v>
      </c>
      <c r="P1175" s="406">
        <v>1172</v>
      </c>
      <c r="Q1175" s="270" t="s">
        <v>2070</v>
      </c>
      <c r="R1175" s="523" t="s">
        <v>1883</v>
      </c>
      <c r="S1175" s="270" t="s">
        <v>1884</v>
      </c>
      <c r="U1175" s="471"/>
      <c r="V1175" s="471"/>
      <c r="W1175" s="471"/>
      <c r="X1175" s="471"/>
      <c r="Y1175" s="206"/>
      <c r="Z1175" s="206"/>
    </row>
    <row r="1176" spans="1:26">
      <c r="A1176" s="406">
        <v>1173</v>
      </c>
      <c r="B1176" s="613" t="s">
        <v>7020</v>
      </c>
      <c r="C1176" s="288" t="s">
        <v>2071</v>
      </c>
      <c r="D1176" s="414" t="s">
        <v>4884</v>
      </c>
      <c r="E1176" s="407" t="s">
        <v>4884</v>
      </c>
      <c r="F1176" s="483"/>
      <c r="G1176" s="483"/>
      <c r="H1176" s="483"/>
      <c r="I1176" s="483"/>
      <c r="J1176" s="483"/>
      <c r="K1176" s="483"/>
      <c r="L1176" s="608" t="s">
        <v>4884</v>
      </c>
      <c r="M1176" s="409" t="s">
        <v>4884</v>
      </c>
      <c r="N1176" s="409" t="s">
        <v>4884</v>
      </c>
      <c r="O1176" s="410" t="s">
        <v>4884</v>
      </c>
      <c r="P1176" s="406">
        <v>1173</v>
      </c>
      <c r="Q1176" s="270" t="s">
        <v>2071</v>
      </c>
      <c r="R1176" s="523" t="s">
        <v>1883</v>
      </c>
      <c r="S1176" s="270" t="s">
        <v>1884</v>
      </c>
      <c r="U1176" s="471"/>
      <c r="V1176" s="471"/>
      <c r="W1176" s="471"/>
      <c r="X1176" s="471"/>
      <c r="Y1176" s="206"/>
      <c r="Z1176" s="206"/>
    </row>
    <row r="1177" spans="1:26">
      <c r="A1177" s="406">
        <v>1174</v>
      </c>
      <c r="B1177" s="613" t="s">
        <v>7020</v>
      </c>
      <c r="C1177" s="288" t="s">
        <v>2072</v>
      </c>
      <c r="D1177" s="414" t="s">
        <v>4884</v>
      </c>
      <c r="E1177" s="407" t="s">
        <v>4884</v>
      </c>
      <c r="F1177" s="483"/>
      <c r="G1177" s="483"/>
      <c r="H1177" s="483"/>
      <c r="I1177" s="483"/>
      <c r="J1177" s="483"/>
      <c r="K1177" s="483"/>
      <c r="L1177" s="608" t="s">
        <v>4884</v>
      </c>
      <c r="M1177" s="409" t="s">
        <v>4884</v>
      </c>
      <c r="N1177" s="409" t="s">
        <v>4884</v>
      </c>
      <c r="O1177" s="410" t="s">
        <v>4884</v>
      </c>
      <c r="P1177" s="406">
        <v>1174</v>
      </c>
      <c r="Q1177" s="270" t="s">
        <v>2072</v>
      </c>
      <c r="R1177" s="523" t="s">
        <v>1883</v>
      </c>
      <c r="S1177" s="270" t="s">
        <v>1884</v>
      </c>
      <c r="U1177" s="471"/>
      <c r="V1177" s="471"/>
      <c r="W1177" s="471"/>
      <c r="X1177" s="471"/>
      <c r="Y1177" s="206"/>
      <c r="Z1177" s="206"/>
    </row>
    <row r="1178" spans="1:26">
      <c r="A1178" s="406">
        <v>1175</v>
      </c>
      <c r="B1178" s="613" t="s">
        <v>7020</v>
      </c>
      <c r="C1178" s="288" t="s">
        <v>2073</v>
      </c>
      <c r="D1178" s="414" t="s">
        <v>4884</v>
      </c>
      <c r="E1178" s="407" t="s">
        <v>4884</v>
      </c>
      <c r="F1178" s="483"/>
      <c r="G1178" s="483"/>
      <c r="H1178" s="483"/>
      <c r="I1178" s="483"/>
      <c r="J1178" s="483"/>
      <c r="K1178" s="483"/>
      <c r="L1178" s="608" t="s">
        <v>4884</v>
      </c>
      <c r="M1178" s="409" t="s">
        <v>4884</v>
      </c>
      <c r="N1178" s="409" t="s">
        <v>4884</v>
      </c>
      <c r="O1178" s="410" t="s">
        <v>4884</v>
      </c>
      <c r="P1178" s="406">
        <v>1175</v>
      </c>
      <c r="Q1178" s="270" t="s">
        <v>2073</v>
      </c>
      <c r="R1178" s="523" t="s">
        <v>1883</v>
      </c>
      <c r="S1178" s="270" t="s">
        <v>1884</v>
      </c>
      <c r="U1178" s="471"/>
      <c r="V1178" s="471"/>
      <c r="W1178" s="471"/>
      <c r="X1178" s="471"/>
      <c r="Y1178" s="206"/>
      <c r="Z1178" s="206"/>
    </row>
    <row r="1179" spans="1:26">
      <c r="A1179" s="406">
        <v>1176</v>
      </c>
      <c r="B1179" s="613" t="s">
        <v>7020</v>
      </c>
      <c r="C1179" s="288" t="s">
        <v>2074</v>
      </c>
      <c r="D1179" s="414" t="s">
        <v>4884</v>
      </c>
      <c r="E1179" s="407" t="s">
        <v>4884</v>
      </c>
      <c r="F1179" s="483"/>
      <c r="G1179" s="483"/>
      <c r="H1179" s="483"/>
      <c r="I1179" s="483"/>
      <c r="J1179" s="483"/>
      <c r="K1179" s="483"/>
      <c r="L1179" s="608" t="s">
        <v>4884</v>
      </c>
      <c r="M1179" s="409" t="s">
        <v>4884</v>
      </c>
      <c r="N1179" s="409" t="s">
        <v>4884</v>
      </c>
      <c r="O1179" s="410" t="s">
        <v>4884</v>
      </c>
      <c r="P1179" s="406">
        <v>1176</v>
      </c>
      <c r="Q1179" s="270" t="s">
        <v>2074</v>
      </c>
      <c r="R1179" s="523" t="s">
        <v>1883</v>
      </c>
      <c r="S1179" s="270" t="s">
        <v>1884</v>
      </c>
      <c r="U1179" s="471"/>
      <c r="V1179" s="471"/>
      <c r="W1179" s="471"/>
      <c r="X1179" s="471"/>
      <c r="Y1179" s="206"/>
      <c r="Z1179" s="206"/>
    </row>
    <row r="1180" spans="1:26">
      <c r="A1180" s="406">
        <v>1177</v>
      </c>
      <c r="B1180" s="613" t="s">
        <v>7020</v>
      </c>
      <c r="C1180" s="288" t="s">
        <v>2075</v>
      </c>
      <c r="D1180" s="414" t="s">
        <v>4884</v>
      </c>
      <c r="E1180" s="407" t="s">
        <v>4884</v>
      </c>
      <c r="F1180" s="483"/>
      <c r="G1180" s="483"/>
      <c r="H1180" s="483"/>
      <c r="I1180" s="483"/>
      <c r="J1180" s="483"/>
      <c r="K1180" s="483"/>
      <c r="L1180" s="608" t="s">
        <v>4884</v>
      </c>
      <c r="M1180" s="409" t="s">
        <v>4884</v>
      </c>
      <c r="N1180" s="409" t="s">
        <v>4884</v>
      </c>
      <c r="O1180" s="410" t="s">
        <v>4884</v>
      </c>
      <c r="P1180" s="406">
        <v>1177</v>
      </c>
      <c r="Q1180" s="270" t="s">
        <v>2075</v>
      </c>
      <c r="R1180" s="523" t="s">
        <v>1883</v>
      </c>
      <c r="S1180" s="270" t="s">
        <v>1884</v>
      </c>
      <c r="U1180" s="471"/>
      <c r="V1180" s="471"/>
      <c r="W1180" s="471"/>
      <c r="X1180" s="471"/>
      <c r="Y1180" s="206"/>
      <c r="Z1180" s="206"/>
    </row>
    <row r="1181" spans="1:26">
      <c r="A1181" s="406">
        <v>1178</v>
      </c>
      <c r="B1181" s="613" t="s">
        <v>7020</v>
      </c>
      <c r="C1181" s="288" t="s">
        <v>2076</v>
      </c>
      <c r="D1181" s="414" t="s">
        <v>4884</v>
      </c>
      <c r="E1181" s="407" t="s">
        <v>4884</v>
      </c>
      <c r="F1181" s="483"/>
      <c r="G1181" s="483"/>
      <c r="H1181" s="483"/>
      <c r="I1181" s="483"/>
      <c r="J1181" s="483"/>
      <c r="K1181" s="483"/>
      <c r="L1181" s="608" t="s">
        <v>4884</v>
      </c>
      <c r="M1181" s="409" t="s">
        <v>4884</v>
      </c>
      <c r="N1181" s="409" t="s">
        <v>4884</v>
      </c>
      <c r="O1181" s="410" t="s">
        <v>4884</v>
      </c>
      <c r="P1181" s="406">
        <v>1178</v>
      </c>
      <c r="Q1181" s="270" t="s">
        <v>2076</v>
      </c>
      <c r="R1181" s="523" t="s">
        <v>1883</v>
      </c>
      <c r="S1181" s="270" t="s">
        <v>1884</v>
      </c>
      <c r="U1181" s="471"/>
      <c r="V1181" s="471"/>
      <c r="W1181" s="471"/>
      <c r="X1181" s="471"/>
      <c r="Y1181" s="206"/>
      <c r="Z1181" s="206"/>
    </row>
    <row r="1182" spans="1:26">
      <c r="A1182" s="406">
        <v>1179</v>
      </c>
      <c r="B1182" s="613" t="s">
        <v>7020</v>
      </c>
      <c r="C1182" s="288" t="s">
        <v>2077</v>
      </c>
      <c r="D1182" s="414" t="s">
        <v>4884</v>
      </c>
      <c r="E1182" s="407" t="s">
        <v>4884</v>
      </c>
      <c r="F1182" s="483"/>
      <c r="G1182" s="483"/>
      <c r="H1182" s="483"/>
      <c r="I1182" s="483"/>
      <c r="J1182" s="483"/>
      <c r="K1182" s="483"/>
      <c r="L1182" s="608" t="s">
        <v>4884</v>
      </c>
      <c r="M1182" s="409" t="s">
        <v>4884</v>
      </c>
      <c r="N1182" s="409" t="s">
        <v>4884</v>
      </c>
      <c r="O1182" s="410" t="s">
        <v>4884</v>
      </c>
      <c r="P1182" s="406">
        <v>1179</v>
      </c>
      <c r="Q1182" s="270" t="s">
        <v>2077</v>
      </c>
      <c r="R1182" s="523" t="s">
        <v>1883</v>
      </c>
      <c r="S1182" s="270" t="s">
        <v>1884</v>
      </c>
      <c r="U1182" s="471"/>
      <c r="V1182" s="471"/>
      <c r="W1182" s="471"/>
      <c r="X1182" s="471"/>
      <c r="Y1182" s="206"/>
      <c r="Z1182" s="206"/>
    </row>
    <row r="1183" spans="1:26">
      <c r="A1183" s="406">
        <v>1180</v>
      </c>
      <c r="B1183" s="613" t="s">
        <v>7020</v>
      </c>
      <c r="C1183" s="288" t="s">
        <v>2078</v>
      </c>
      <c r="D1183" s="414" t="s">
        <v>4884</v>
      </c>
      <c r="E1183" s="407" t="s">
        <v>4884</v>
      </c>
      <c r="F1183" s="483"/>
      <c r="G1183" s="483"/>
      <c r="H1183" s="483"/>
      <c r="I1183" s="483"/>
      <c r="J1183" s="483"/>
      <c r="K1183" s="483"/>
      <c r="L1183" s="608" t="s">
        <v>4884</v>
      </c>
      <c r="M1183" s="409" t="s">
        <v>4884</v>
      </c>
      <c r="N1183" s="409" t="s">
        <v>4884</v>
      </c>
      <c r="O1183" s="410" t="s">
        <v>4884</v>
      </c>
      <c r="P1183" s="406">
        <v>1180</v>
      </c>
      <c r="Q1183" s="270" t="s">
        <v>2078</v>
      </c>
      <c r="R1183" s="523" t="s">
        <v>1883</v>
      </c>
      <c r="S1183" s="270" t="s">
        <v>1884</v>
      </c>
      <c r="U1183" s="471"/>
      <c r="V1183" s="471"/>
      <c r="W1183" s="471"/>
      <c r="X1183" s="471"/>
      <c r="Y1183" s="206"/>
      <c r="Z1183" s="206"/>
    </row>
    <row r="1184" spans="1:26">
      <c r="A1184" s="406">
        <v>1181</v>
      </c>
      <c r="B1184" s="613" t="s">
        <v>7020</v>
      </c>
      <c r="C1184" s="288" t="s">
        <v>2079</v>
      </c>
      <c r="D1184" s="414" t="s">
        <v>4884</v>
      </c>
      <c r="E1184" s="407" t="s">
        <v>4884</v>
      </c>
      <c r="F1184" s="483"/>
      <c r="G1184" s="483"/>
      <c r="H1184" s="483"/>
      <c r="I1184" s="483"/>
      <c r="J1184" s="483"/>
      <c r="K1184" s="483"/>
      <c r="L1184" s="608" t="s">
        <v>4884</v>
      </c>
      <c r="M1184" s="409" t="s">
        <v>4884</v>
      </c>
      <c r="N1184" s="409" t="s">
        <v>4884</v>
      </c>
      <c r="O1184" s="410" t="s">
        <v>4884</v>
      </c>
      <c r="P1184" s="406">
        <v>1181</v>
      </c>
      <c r="Q1184" s="270" t="s">
        <v>2079</v>
      </c>
      <c r="R1184" s="523" t="s">
        <v>1883</v>
      </c>
      <c r="S1184" s="270" t="s">
        <v>1884</v>
      </c>
      <c r="U1184" s="471"/>
      <c r="V1184" s="471"/>
      <c r="W1184" s="471"/>
      <c r="X1184" s="471"/>
      <c r="Y1184" s="206"/>
      <c r="Z1184" s="206"/>
    </row>
    <row r="1185" spans="1:26">
      <c r="A1185" s="406">
        <v>1182</v>
      </c>
      <c r="B1185" s="613" t="s">
        <v>7020</v>
      </c>
      <c r="C1185" s="288" t="s">
        <v>2080</v>
      </c>
      <c r="D1185" s="414" t="s">
        <v>4884</v>
      </c>
      <c r="E1185" s="407" t="s">
        <v>4884</v>
      </c>
      <c r="F1185" s="483"/>
      <c r="G1185" s="483"/>
      <c r="H1185" s="483"/>
      <c r="I1185" s="483"/>
      <c r="J1185" s="483"/>
      <c r="K1185" s="483"/>
      <c r="L1185" s="608" t="s">
        <v>4884</v>
      </c>
      <c r="M1185" s="409" t="s">
        <v>4884</v>
      </c>
      <c r="N1185" s="409" t="s">
        <v>4884</v>
      </c>
      <c r="O1185" s="410" t="s">
        <v>4884</v>
      </c>
      <c r="P1185" s="406">
        <v>1182</v>
      </c>
      <c r="Q1185" s="270" t="s">
        <v>2080</v>
      </c>
      <c r="R1185" s="523" t="s">
        <v>1883</v>
      </c>
      <c r="S1185" s="270" t="s">
        <v>1884</v>
      </c>
      <c r="U1185" s="471"/>
      <c r="V1185" s="471"/>
      <c r="W1185" s="471"/>
      <c r="X1185" s="471"/>
      <c r="Y1185" s="206"/>
      <c r="Z1185" s="206"/>
    </row>
    <row r="1186" spans="1:26">
      <c r="A1186" s="406">
        <v>1183</v>
      </c>
      <c r="B1186" s="613" t="s">
        <v>7020</v>
      </c>
      <c r="C1186" s="288" t="s">
        <v>2081</v>
      </c>
      <c r="D1186" s="414" t="s">
        <v>4884</v>
      </c>
      <c r="E1186" s="407" t="s">
        <v>4884</v>
      </c>
      <c r="F1186" s="483"/>
      <c r="G1186" s="483"/>
      <c r="H1186" s="483"/>
      <c r="I1186" s="483"/>
      <c r="J1186" s="483"/>
      <c r="K1186" s="483"/>
      <c r="L1186" s="608" t="s">
        <v>4884</v>
      </c>
      <c r="M1186" s="409" t="s">
        <v>4884</v>
      </c>
      <c r="N1186" s="409" t="s">
        <v>4884</v>
      </c>
      <c r="O1186" s="410" t="s">
        <v>4884</v>
      </c>
      <c r="P1186" s="406">
        <v>1183</v>
      </c>
      <c r="Q1186" s="270" t="s">
        <v>2081</v>
      </c>
      <c r="R1186" s="523" t="s">
        <v>1883</v>
      </c>
      <c r="S1186" s="270" t="s">
        <v>1884</v>
      </c>
      <c r="U1186" s="471"/>
      <c r="V1186" s="471"/>
      <c r="W1186" s="471"/>
      <c r="X1186" s="471"/>
      <c r="Y1186" s="206"/>
      <c r="Z1186" s="206"/>
    </row>
    <row r="1187" spans="1:26">
      <c r="A1187" s="406">
        <v>1184</v>
      </c>
      <c r="B1187" s="613" t="s">
        <v>7020</v>
      </c>
      <c r="C1187" s="288" t="s">
        <v>2082</v>
      </c>
      <c r="D1187" s="414" t="s">
        <v>4884</v>
      </c>
      <c r="E1187" s="407" t="s">
        <v>4884</v>
      </c>
      <c r="F1187" s="483"/>
      <c r="G1187" s="483"/>
      <c r="H1187" s="483"/>
      <c r="I1187" s="483"/>
      <c r="J1187" s="483"/>
      <c r="K1187" s="483"/>
      <c r="L1187" s="608" t="s">
        <v>4884</v>
      </c>
      <c r="M1187" s="409" t="s">
        <v>4884</v>
      </c>
      <c r="N1187" s="409" t="s">
        <v>4884</v>
      </c>
      <c r="O1187" s="410" t="s">
        <v>4884</v>
      </c>
      <c r="P1187" s="406">
        <v>1184</v>
      </c>
      <c r="Q1187" s="270" t="s">
        <v>2082</v>
      </c>
      <c r="R1187" s="523" t="s">
        <v>1883</v>
      </c>
      <c r="S1187" s="270" t="s">
        <v>1884</v>
      </c>
      <c r="U1187" s="471"/>
      <c r="V1187" s="471"/>
      <c r="W1187" s="471"/>
      <c r="X1187" s="471"/>
      <c r="Y1187" s="206"/>
      <c r="Z1187" s="206"/>
    </row>
    <row r="1188" spans="1:26">
      <c r="A1188" s="406">
        <v>1185</v>
      </c>
      <c r="B1188" s="613" t="s">
        <v>7020</v>
      </c>
      <c r="C1188" s="288" t="s">
        <v>2083</v>
      </c>
      <c r="D1188" s="414" t="s">
        <v>4884</v>
      </c>
      <c r="E1188" s="407" t="s">
        <v>4884</v>
      </c>
      <c r="F1188" s="483"/>
      <c r="G1188" s="483"/>
      <c r="H1188" s="483"/>
      <c r="I1188" s="483"/>
      <c r="J1188" s="483"/>
      <c r="K1188" s="483"/>
      <c r="L1188" s="608" t="s">
        <v>4884</v>
      </c>
      <c r="M1188" s="409" t="s">
        <v>4884</v>
      </c>
      <c r="N1188" s="409" t="s">
        <v>4884</v>
      </c>
      <c r="O1188" s="410" t="s">
        <v>4884</v>
      </c>
      <c r="P1188" s="406">
        <v>1185</v>
      </c>
      <c r="Q1188" s="270" t="s">
        <v>2083</v>
      </c>
      <c r="R1188" s="523" t="s">
        <v>1883</v>
      </c>
      <c r="S1188" s="270" t="s">
        <v>1884</v>
      </c>
      <c r="U1188" s="471"/>
      <c r="V1188" s="471"/>
      <c r="W1188" s="471"/>
      <c r="X1188" s="471"/>
      <c r="Y1188" s="206"/>
      <c r="Z1188" s="206"/>
    </row>
    <row r="1189" spans="1:26">
      <c r="A1189" s="406">
        <v>1186</v>
      </c>
      <c r="B1189" s="613" t="s">
        <v>7020</v>
      </c>
      <c r="C1189" s="288" t="s">
        <v>2084</v>
      </c>
      <c r="D1189" s="414" t="s">
        <v>4884</v>
      </c>
      <c r="E1189" s="407" t="s">
        <v>4884</v>
      </c>
      <c r="F1189" s="483"/>
      <c r="G1189" s="483"/>
      <c r="H1189" s="483"/>
      <c r="I1189" s="483"/>
      <c r="J1189" s="483"/>
      <c r="K1189" s="483"/>
      <c r="L1189" s="608" t="s">
        <v>4884</v>
      </c>
      <c r="M1189" s="409" t="s">
        <v>4884</v>
      </c>
      <c r="N1189" s="409" t="s">
        <v>4884</v>
      </c>
      <c r="O1189" s="410" t="s">
        <v>4884</v>
      </c>
      <c r="P1189" s="406">
        <v>1186</v>
      </c>
      <c r="Q1189" s="270" t="s">
        <v>2084</v>
      </c>
      <c r="R1189" s="523" t="s">
        <v>1883</v>
      </c>
      <c r="S1189" s="270" t="s">
        <v>1884</v>
      </c>
      <c r="U1189" s="471"/>
      <c r="V1189" s="471"/>
      <c r="W1189" s="471"/>
      <c r="X1189" s="471"/>
      <c r="Y1189" s="206"/>
      <c r="Z1189" s="206"/>
    </row>
    <row r="1190" spans="1:26">
      <c r="A1190" s="406">
        <v>1187</v>
      </c>
      <c r="B1190" s="613" t="s">
        <v>7020</v>
      </c>
      <c r="C1190" s="288" t="s">
        <v>2085</v>
      </c>
      <c r="D1190" s="414" t="s">
        <v>4884</v>
      </c>
      <c r="E1190" s="407" t="s">
        <v>4884</v>
      </c>
      <c r="F1190" s="483"/>
      <c r="G1190" s="483"/>
      <c r="H1190" s="483"/>
      <c r="I1190" s="483"/>
      <c r="J1190" s="483"/>
      <c r="K1190" s="483"/>
      <c r="L1190" s="608" t="s">
        <v>4884</v>
      </c>
      <c r="M1190" s="409" t="s">
        <v>4884</v>
      </c>
      <c r="N1190" s="409" t="s">
        <v>4884</v>
      </c>
      <c r="O1190" s="410" t="s">
        <v>4884</v>
      </c>
      <c r="P1190" s="406">
        <v>1187</v>
      </c>
      <c r="Q1190" s="270" t="s">
        <v>2085</v>
      </c>
      <c r="R1190" s="523" t="s">
        <v>1883</v>
      </c>
      <c r="S1190" s="270" t="s">
        <v>1884</v>
      </c>
      <c r="U1190" s="471"/>
      <c r="V1190" s="471"/>
      <c r="W1190" s="471"/>
      <c r="X1190" s="471"/>
      <c r="Y1190" s="206"/>
      <c r="Z1190" s="206"/>
    </row>
    <row r="1191" spans="1:26">
      <c r="A1191" s="406">
        <v>1188</v>
      </c>
      <c r="B1191" s="613" t="s">
        <v>7020</v>
      </c>
      <c r="C1191" s="288" t="s">
        <v>2086</v>
      </c>
      <c r="D1191" s="414" t="s">
        <v>4884</v>
      </c>
      <c r="E1191" s="407" t="s">
        <v>4884</v>
      </c>
      <c r="F1191" s="483"/>
      <c r="G1191" s="483"/>
      <c r="H1191" s="483"/>
      <c r="I1191" s="483"/>
      <c r="J1191" s="483"/>
      <c r="K1191" s="483"/>
      <c r="L1191" s="608" t="s">
        <v>4884</v>
      </c>
      <c r="M1191" s="409" t="s">
        <v>4884</v>
      </c>
      <c r="N1191" s="409" t="s">
        <v>4884</v>
      </c>
      <c r="O1191" s="410" t="s">
        <v>4884</v>
      </c>
      <c r="P1191" s="406">
        <v>1188</v>
      </c>
      <c r="Q1191" s="270" t="s">
        <v>2086</v>
      </c>
      <c r="R1191" s="523" t="s">
        <v>1883</v>
      </c>
      <c r="S1191" s="270" t="s">
        <v>1884</v>
      </c>
      <c r="U1191" s="471"/>
      <c r="V1191" s="471"/>
      <c r="W1191" s="471"/>
      <c r="X1191" s="471"/>
      <c r="Y1191" s="206"/>
      <c r="Z1191" s="206"/>
    </row>
    <row r="1192" spans="1:26">
      <c r="A1192" s="406">
        <v>1189</v>
      </c>
      <c r="B1192" s="613" t="s">
        <v>7020</v>
      </c>
      <c r="C1192" s="288" t="s">
        <v>2087</v>
      </c>
      <c r="D1192" s="414" t="s">
        <v>4884</v>
      </c>
      <c r="E1192" s="407" t="s">
        <v>4884</v>
      </c>
      <c r="F1192" s="483"/>
      <c r="G1192" s="483"/>
      <c r="H1192" s="483"/>
      <c r="I1192" s="483"/>
      <c r="J1192" s="483"/>
      <c r="K1192" s="483"/>
      <c r="L1192" s="608" t="s">
        <v>4884</v>
      </c>
      <c r="M1192" s="409" t="s">
        <v>4884</v>
      </c>
      <c r="N1192" s="409" t="s">
        <v>4884</v>
      </c>
      <c r="O1192" s="410" t="s">
        <v>4884</v>
      </c>
      <c r="P1192" s="406">
        <v>1189</v>
      </c>
      <c r="Q1192" s="270" t="s">
        <v>2087</v>
      </c>
      <c r="R1192" s="523" t="s">
        <v>1883</v>
      </c>
      <c r="S1192" s="270" t="s">
        <v>1884</v>
      </c>
      <c r="U1192" s="471"/>
      <c r="V1192" s="471"/>
      <c r="W1192" s="471"/>
      <c r="X1192" s="471"/>
      <c r="Y1192" s="206"/>
      <c r="Z1192" s="206"/>
    </row>
    <row r="1193" spans="1:26">
      <c r="A1193" s="406">
        <v>1190</v>
      </c>
      <c r="B1193" s="613" t="s">
        <v>7020</v>
      </c>
      <c r="C1193" s="288" t="s">
        <v>2088</v>
      </c>
      <c r="D1193" s="414" t="s">
        <v>4884</v>
      </c>
      <c r="E1193" s="407" t="s">
        <v>4884</v>
      </c>
      <c r="F1193" s="483"/>
      <c r="G1193" s="483"/>
      <c r="H1193" s="483"/>
      <c r="I1193" s="483"/>
      <c r="J1193" s="483"/>
      <c r="K1193" s="483"/>
      <c r="L1193" s="608" t="s">
        <v>4884</v>
      </c>
      <c r="M1193" s="409" t="s">
        <v>4884</v>
      </c>
      <c r="N1193" s="409" t="s">
        <v>4884</v>
      </c>
      <c r="O1193" s="410" t="s">
        <v>4884</v>
      </c>
      <c r="P1193" s="406">
        <v>1190</v>
      </c>
      <c r="Q1193" s="270" t="s">
        <v>2088</v>
      </c>
      <c r="R1193" s="523" t="s">
        <v>1883</v>
      </c>
      <c r="S1193" s="270" t="s">
        <v>1884</v>
      </c>
      <c r="U1193" s="471"/>
      <c r="V1193" s="471"/>
      <c r="W1193" s="471"/>
      <c r="X1193" s="471"/>
      <c r="Y1193" s="206"/>
      <c r="Z1193" s="206"/>
    </row>
    <row r="1194" spans="1:26">
      <c r="A1194" s="406">
        <v>1191</v>
      </c>
      <c r="B1194" s="613" t="s">
        <v>7020</v>
      </c>
      <c r="C1194" s="288" t="s">
        <v>2089</v>
      </c>
      <c r="D1194" s="414" t="s">
        <v>4884</v>
      </c>
      <c r="E1194" s="407" t="s">
        <v>4884</v>
      </c>
      <c r="F1194" s="483"/>
      <c r="G1194" s="483"/>
      <c r="H1194" s="483"/>
      <c r="I1194" s="483"/>
      <c r="J1194" s="483"/>
      <c r="K1194" s="483"/>
      <c r="L1194" s="608" t="s">
        <v>4884</v>
      </c>
      <c r="M1194" s="409" t="s">
        <v>4884</v>
      </c>
      <c r="N1194" s="409" t="s">
        <v>4884</v>
      </c>
      <c r="O1194" s="410" t="s">
        <v>4884</v>
      </c>
      <c r="P1194" s="406">
        <v>1191</v>
      </c>
      <c r="Q1194" s="270" t="s">
        <v>2089</v>
      </c>
      <c r="R1194" s="523" t="s">
        <v>1883</v>
      </c>
      <c r="S1194" s="270" t="s">
        <v>1884</v>
      </c>
      <c r="U1194" s="471"/>
      <c r="V1194" s="471"/>
      <c r="W1194" s="471"/>
      <c r="X1194" s="471"/>
      <c r="Y1194" s="206"/>
      <c r="Z1194" s="206"/>
    </row>
    <row r="1195" spans="1:26">
      <c r="A1195" s="406">
        <v>1192</v>
      </c>
      <c r="B1195" s="613" t="s">
        <v>7020</v>
      </c>
      <c r="C1195" s="288" t="s">
        <v>2090</v>
      </c>
      <c r="D1195" s="414" t="s">
        <v>4884</v>
      </c>
      <c r="E1195" s="407" t="s">
        <v>4884</v>
      </c>
      <c r="F1195" s="483"/>
      <c r="G1195" s="483"/>
      <c r="H1195" s="483"/>
      <c r="I1195" s="483"/>
      <c r="J1195" s="483"/>
      <c r="K1195" s="483"/>
      <c r="L1195" s="608" t="s">
        <v>4884</v>
      </c>
      <c r="M1195" s="409" t="s">
        <v>4884</v>
      </c>
      <c r="N1195" s="409" t="s">
        <v>4884</v>
      </c>
      <c r="O1195" s="410" t="s">
        <v>4884</v>
      </c>
      <c r="P1195" s="406">
        <v>1192</v>
      </c>
      <c r="Q1195" s="270" t="s">
        <v>2090</v>
      </c>
      <c r="R1195" s="523" t="s">
        <v>1883</v>
      </c>
      <c r="S1195" s="270" t="s">
        <v>1884</v>
      </c>
      <c r="U1195" s="471"/>
      <c r="V1195" s="471"/>
      <c r="W1195" s="471"/>
      <c r="X1195" s="471"/>
      <c r="Y1195" s="206"/>
      <c r="Z1195" s="206"/>
    </row>
    <row r="1196" spans="1:26">
      <c r="A1196" s="406">
        <v>1193</v>
      </c>
      <c r="B1196" s="613" t="s">
        <v>7020</v>
      </c>
      <c r="C1196" s="288" t="s">
        <v>2091</v>
      </c>
      <c r="D1196" s="414" t="s">
        <v>4884</v>
      </c>
      <c r="E1196" s="407" t="s">
        <v>4884</v>
      </c>
      <c r="F1196" s="483"/>
      <c r="G1196" s="483"/>
      <c r="H1196" s="483"/>
      <c r="I1196" s="483"/>
      <c r="J1196" s="483"/>
      <c r="K1196" s="483"/>
      <c r="L1196" s="608" t="s">
        <v>4884</v>
      </c>
      <c r="M1196" s="409" t="s">
        <v>4884</v>
      </c>
      <c r="N1196" s="409" t="s">
        <v>4884</v>
      </c>
      <c r="O1196" s="410" t="s">
        <v>4884</v>
      </c>
      <c r="P1196" s="406">
        <v>1193</v>
      </c>
      <c r="Q1196" s="270" t="s">
        <v>2091</v>
      </c>
      <c r="R1196" s="523" t="s">
        <v>1883</v>
      </c>
      <c r="S1196" s="270" t="s">
        <v>1884</v>
      </c>
      <c r="U1196" s="471"/>
      <c r="V1196" s="471"/>
      <c r="W1196" s="471"/>
      <c r="X1196" s="471"/>
      <c r="Y1196" s="206"/>
      <c r="Z1196" s="206"/>
    </row>
    <row r="1197" spans="1:26">
      <c r="A1197" s="406">
        <v>1194</v>
      </c>
      <c r="B1197" s="613" t="s">
        <v>7020</v>
      </c>
      <c r="C1197" s="288" t="s">
        <v>2092</v>
      </c>
      <c r="D1197" s="414" t="s">
        <v>4884</v>
      </c>
      <c r="E1197" s="407" t="s">
        <v>4884</v>
      </c>
      <c r="F1197" s="483"/>
      <c r="G1197" s="483"/>
      <c r="H1197" s="483"/>
      <c r="I1197" s="483"/>
      <c r="J1197" s="483"/>
      <c r="K1197" s="483"/>
      <c r="L1197" s="608" t="s">
        <v>4884</v>
      </c>
      <c r="M1197" s="409" t="s">
        <v>4884</v>
      </c>
      <c r="N1197" s="409" t="s">
        <v>4884</v>
      </c>
      <c r="O1197" s="410" t="s">
        <v>4884</v>
      </c>
      <c r="P1197" s="406">
        <v>1194</v>
      </c>
      <c r="Q1197" s="270" t="s">
        <v>2092</v>
      </c>
      <c r="R1197" s="523" t="s">
        <v>1883</v>
      </c>
      <c r="S1197" s="270" t="s">
        <v>1884</v>
      </c>
      <c r="U1197" s="471"/>
      <c r="V1197" s="471"/>
      <c r="W1197" s="471"/>
      <c r="X1197" s="471"/>
      <c r="Y1197" s="206"/>
      <c r="Z1197" s="206"/>
    </row>
    <row r="1198" spans="1:26">
      <c r="A1198" s="406">
        <v>1195</v>
      </c>
      <c r="B1198" s="613" t="s">
        <v>7020</v>
      </c>
      <c r="C1198" s="288" t="s">
        <v>2093</v>
      </c>
      <c r="D1198" s="414" t="s">
        <v>4884</v>
      </c>
      <c r="E1198" s="407" t="s">
        <v>4884</v>
      </c>
      <c r="F1198" s="483"/>
      <c r="G1198" s="483"/>
      <c r="H1198" s="483"/>
      <c r="I1198" s="483"/>
      <c r="J1198" s="483"/>
      <c r="K1198" s="483"/>
      <c r="L1198" s="608" t="s">
        <v>4884</v>
      </c>
      <c r="M1198" s="409" t="s">
        <v>4884</v>
      </c>
      <c r="N1198" s="409" t="s">
        <v>4884</v>
      </c>
      <c r="O1198" s="410" t="s">
        <v>4884</v>
      </c>
      <c r="P1198" s="406">
        <v>1195</v>
      </c>
      <c r="Q1198" s="270" t="s">
        <v>2093</v>
      </c>
      <c r="R1198" s="523" t="s">
        <v>1883</v>
      </c>
      <c r="S1198" s="270" t="s">
        <v>1884</v>
      </c>
      <c r="U1198" s="471"/>
      <c r="V1198" s="471"/>
      <c r="W1198" s="471"/>
      <c r="X1198" s="471"/>
      <c r="Y1198" s="206"/>
      <c r="Z1198" s="206"/>
    </row>
    <row r="1199" spans="1:26">
      <c r="A1199" s="406">
        <v>1196</v>
      </c>
      <c r="B1199" s="613" t="s">
        <v>7020</v>
      </c>
      <c r="C1199" s="288" t="s">
        <v>2094</v>
      </c>
      <c r="D1199" s="414" t="s">
        <v>4884</v>
      </c>
      <c r="E1199" s="407" t="s">
        <v>4884</v>
      </c>
      <c r="F1199" s="483"/>
      <c r="G1199" s="483"/>
      <c r="H1199" s="483"/>
      <c r="I1199" s="483"/>
      <c r="J1199" s="483"/>
      <c r="K1199" s="483"/>
      <c r="L1199" s="608" t="s">
        <v>4884</v>
      </c>
      <c r="M1199" s="409" t="s">
        <v>4884</v>
      </c>
      <c r="N1199" s="409" t="s">
        <v>4884</v>
      </c>
      <c r="O1199" s="410" t="s">
        <v>4884</v>
      </c>
      <c r="P1199" s="406">
        <v>1196</v>
      </c>
      <c r="Q1199" s="270" t="s">
        <v>2094</v>
      </c>
      <c r="R1199" s="523" t="s">
        <v>1883</v>
      </c>
      <c r="S1199" s="270" t="s">
        <v>1884</v>
      </c>
      <c r="U1199" s="471"/>
      <c r="V1199" s="471"/>
      <c r="W1199" s="471"/>
      <c r="X1199" s="471"/>
      <c r="Y1199" s="206"/>
      <c r="Z1199" s="206"/>
    </row>
    <row r="1200" spans="1:26">
      <c r="A1200" s="406">
        <v>1197</v>
      </c>
      <c r="B1200" s="613" t="s">
        <v>7020</v>
      </c>
      <c r="C1200" s="288" t="s">
        <v>2095</v>
      </c>
      <c r="D1200" s="414" t="s">
        <v>4884</v>
      </c>
      <c r="E1200" s="407" t="s">
        <v>4884</v>
      </c>
      <c r="F1200" s="483"/>
      <c r="G1200" s="483"/>
      <c r="H1200" s="483"/>
      <c r="I1200" s="483"/>
      <c r="J1200" s="483"/>
      <c r="K1200" s="483"/>
      <c r="L1200" s="608" t="s">
        <v>4884</v>
      </c>
      <c r="M1200" s="409" t="s">
        <v>4884</v>
      </c>
      <c r="N1200" s="409" t="s">
        <v>4884</v>
      </c>
      <c r="O1200" s="410" t="s">
        <v>4884</v>
      </c>
      <c r="P1200" s="406">
        <v>1197</v>
      </c>
      <c r="Q1200" s="270" t="s">
        <v>2095</v>
      </c>
      <c r="R1200" s="523" t="s">
        <v>1883</v>
      </c>
      <c r="S1200" s="270" t="s">
        <v>1884</v>
      </c>
      <c r="U1200" s="471"/>
      <c r="V1200" s="471"/>
      <c r="W1200" s="471"/>
      <c r="X1200" s="471"/>
      <c r="Y1200" s="206"/>
      <c r="Z1200" s="206"/>
    </row>
    <row r="1201" spans="1:26">
      <c r="A1201" s="406">
        <v>1198</v>
      </c>
      <c r="B1201" s="613" t="s">
        <v>7020</v>
      </c>
      <c r="C1201" s="288" t="s">
        <v>2096</v>
      </c>
      <c r="D1201" s="414" t="s">
        <v>4884</v>
      </c>
      <c r="E1201" s="407" t="s">
        <v>4884</v>
      </c>
      <c r="F1201" s="483"/>
      <c r="G1201" s="483"/>
      <c r="H1201" s="483"/>
      <c r="I1201" s="483"/>
      <c r="J1201" s="483"/>
      <c r="K1201" s="483"/>
      <c r="L1201" s="608" t="s">
        <v>4884</v>
      </c>
      <c r="M1201" s="409" t="s">
        <v>4884</v>
      </c>
      <c r="N1201" s="409" t="s">
        <v>4884</v>
      </c>
      <c r="O1201" s="410" t="s">
        <v>4884</v>
      </c>
      <c r="P1201" s="406">
        <v>1198</v>
      </c>
      <c r="Q1201" s="270" t="s">
        <v>2096</v>
      </c>
      <c r="R1201" s="523" t="s">
        <v>1883</v>
      </c>
      <c r="S1201" s="270" t="s">
        <v>1884</v>
      </c>
      <c r="U1201" s="471"/>
      <c r="V1201" s="471"/>
      <c r="W1201" s="471"/>
      <c r="X1201" s="471"/>
      <c r="Y1201" s="206"/>
      <c r="Z1201" s="206"/>
    </row>
    <row r="1202" spans="1:26">
      <c r="A1202" s="406">
        <v>1199</v>
      </c>
      <c r="B1202" s="613" t="s">
        <v>7020</v>
      </c>
      <c r="C1202" s="288" t="s">
        <v>2097</v>
      </c>
      <c r="D1202" s="414" t="s">
        <v>4884</v>
      </c>
      <c r="E1202" s="407" t="s">
        <v>4884</v>
      </c>
      <c r="F1202" s="483"/>
      <c r="G1202" s="483"/>
      <c r="H1202" s="483"/>
      <c r="I1202" s="483"/>
      <c r="J1202" s="483"/>
      <c r="K1202" s="483"/>
      <c r="L1202" s="608" t="s">
        <v>4884</v>
      </c>
      <c r="M1202" s="409" t="s">
        <v>4884</v>
      </c>
      <c r="N1202" s="409" t="s">
        <v>4884</v>
      </c>
      <c r="O1202" s="410" t="s">
        <v>4884</v>
      </c>
      <c r="P1202" s="406">
        <v>1199</v>
      </c>
      <c r="Q1202" s="270" t="s">
        <v>2097</v>
      </c>
      <c r="R1202" s="523" t="s">
        <v>1883</v>
      </c>
      <c r="S1202" s="270" t="s">
        <v>1884</v>
      </c>
      <c r="U1202" s="471"/>
      <c r="V1202" s="471"/>
      <c r="W1202" s="471"/>
      <c r="X1202" s="471"/>
      <c r="Y1202" s="206"/>
      <c r="Z1202" s="206"/>
    </row>
    <row r="1203" spans="1:26">
      <c r="A1203" s="406">
        <v>1200</v>
      </c>
      <c r="B1203" s="613" t="s">
        <v>7020</v>
      </c>
      <c r="C1203" s="288" t="s">
        <v>2098</v>
      </c>
      <c r="D1203" s="414" t="s">
        <v>4884</v>
      </c>
      <c r="E1203" s="407" t="s">
        <v>4884</v>
      </c>
      <c r="F1203" s="483"/>
      <c r="G1203" s="483"/>
      <c r="H1203" s="483"/>
      <c r="I1203" s="483"/>
      <c r="J1203" s="483"/>
      <c r="K1203" s="483"/>
      <c r="L1203" s="608" t="s">
        <v>4884</v>
      </c>
      <c r="M1203" s="409" t="s">
        <v>4884</v>
      </c>
      <c r="N1203" s="409" t="s">
        <v>4884</v>
      </c>
      <c r="O1203" s="410" t="s">
        <v>4884</v>
      </c>
      <c r="P1203" s="406">
        <v>1200</v>
      </c>
      <c r="Q1203" s="270" t="s">
        <v>2098</v>
      </c>
      <c r="R1203" s="523" t="s">
        <v>1883</v>
      </c>
      <c r="S1203" s="270" t="s">
        <v>1884</v>
      </c>
      <c r="U1203" s="471"/>
      <c r="V1203" s="471"/>
      <c r="W1203" s="471"/>
      <c r="X1203" s="471"/>
      <c r="Y1203" s="206"/>
      <c r="Z1203" s="206"/>
    </row>
    <row r="1204" spans="1:26">
      <c r="A1204" s="406">
        <v>1201</v>
      </c>
      <c r="B1204" s="613" t="s">
        <v>7020</v>
      </c>
      <c r="C1204" s="288" t="s">
        <v>2099</v>
      </c>
      <c r="D1204" s="414" t="s">
        <v>4884</v>
      </c>
      <c r="E1204" s="407" t="s">
        <v>4884</v>
      </c>
      <c r="F1204" s="483"/>
      <c r="G1204" s="483"/>
      <c r="H1204" s="483"/>
      <c r="I1204" s="483"/>
      <c r="J1204" s="483"/>
      <c r="K1204" s="483"/>
      <c r="L1204" s="608" t="s">
        <v>4884</v>
      </c>
      <c r="M1204" s="409" t="s">
        <v>4884</v>
      </c>
      <c r="N1204" s="409" t="s">
        <v>4884</v>
      </c>
      <c r="O1204" s="410" t="s">
        <v>4884</v>
      </c>
      <c r="P1204" s="406">
        <v>1201</v>
      </c>
      <c r="Q1204" s="270" t="s">
        <v>2099</v>
      </c>
      <c r="R1204" s="523" t="s">
        <v>1883</v>
      </c>
      <c r="S1204" s="270" t="s">
        <v>1884</v>
      </c>
      <c r="U1204" s="471"/>
      <c r="V1204" s="471"/>
      <c r="W1204" s="471"/>
      <c r="X1204" s="471"/>
      <c r="Y1204" s="206"/>
      <c r="Z1204" s="206"/>
    </row>
    <row r="1205" spans="1:26">
      <c r="A1205" s="406">
        <v>1202</v>
      </c>
      <c r="B1205" s="613" t="s">
        <v>7020</v>
      </c>
      <c r="C1205" s="288" t="s">
        <v>2100</v>
      </c>
      <c r="D1205" s="414" t="s">
        <v>4884</v>
      </c>
      <c r="E1205" s="407" t="s">
        <v>4884</v>
      </c>
      <c r="F1205" s="483"/>
      <c r="G1205" s="483"/>
      <c r="H1205" s="483"/>
      <c r="I1205" s="483"/>
      <c r="J1205" s="483"/>
      <c r="K1205" s="483"/>
      <c r="L1205" s="608" t="s">
        <v>4884</v>
      </c>
      <c r="M1205" s="409" t="s">
        <v>4884</v>
      </c>
      <c r="N1205" s="409" t="s">
        <v>4884</v>
      </c>
      <c r="O1205" s="410" t="s">
        <v>4884</v>
      </c>
      <c r="P1205" s="406">
        <v>1202</v>
      </c>
      <c r="Q1205" s="270" t="s">
        <v>2100</v>
      </c>
      <c r="R1205" s="523" t="s">
        <v>1883</v>
      </c>
      <c r="S1205" s="270" t="s">
        <v>1884</v>
      </c>
      <c r="U1205" s="471"/>
      <c r="V1205" s="471"/>
      <c r="W1205" s="471"/>
      <c r="X1205" s="471"/>
      <c r="Y1205" s="206"/>
      <c r="Z1205" s="206"/>
    </row>
    <row r="1206" spans="1:26">
      <c r="A1206" s="406">
        <v>1203</v>
      </c>
      <c r="B1206" s="613" t="s">
        <v>7020</v>
      </c>
      <c r="C1206" s="288" t="s">
        <v>2101</v>
      </c>
      <c r="D1206" s="414" t="s">
        <v>4884</v>
      </c>
      <c r="E1206" s="407" t="s">
        <v>4884</v>
      </c>
      <c r="F1206" s="483"/>
      <c r="G1206" s="483"/>
      <c r="H1206" s="483"/>
      <c r="I1206" s="483"/>
      <c r="J1206" s="483"/>
      <c r="K1206" s="483"/>
      <c r="L1206" s="608" t="s">
        <v>4884</v>
      </c>
      <c r="M1206" s="409" t="s">
        <v>4884</v>
      </c>
      <c r="N1206" s="409" t="s">
        <v>4884</v>
      </c>
      <c r="O1206" s="410" t="s">
        <v>4884</v>
      </c>
      <c r="P1206" s="406">
        <v>1203</v>
      </c>
      <c r="Q1206" s="270" t="s">
        <v>2101</v>
      </c>
      <c r="R1206" s="523" t="s">
        <v>1883</v>
      </c>
      <c r="S1206" s="270" t="s">
        <v>1884</v>
      </c>
      <c r="U1206" s="471"/>
      <c r="V1206" s="471"/>
      <c r="W1206" s="471"/>
      <c r="X1206" s="471"/>
      <c r="Y1206" s="206"/>
      <c r="Z1206" s="206"/>
    </row>
    <row r="1207" spans="1:26">
      <c r="A1207" s="406">
        <v>1204</v>
      </c>
      <c r="B1207" s="613" t="s">
        <v>7020</v>
      </c>
      <c r="C1207" s="288" t="s">
        <v>2102</v>
      </c>
      <c r="D1207" s="414" t="s">
        <v>4884</v>
      </c>
      <c r="E1207" s="407" t="s">
        <v>4884</v>
      </c>
      <c r="F1207" s="483"/>
      <c r="G1207" s="483"/>
      <c r="H1207" s="483"/>
      <c r="I1207" s="483"/>
      <c r="J1207" s="483"/>
      <c r="K1207" s="483"/>
      <c r="L1207" s="608" t="s">
        <v>4884</v>
      </c>
      <c r="M1207" s="409" t="s">
        <v>4884</v>
      </c>
      <c r="N1207" s="409" t="s">
        <v>4884</v>
      </c>
      <c r="O1207" s="410" t="s">
        <v>4884</v>
      </c>
      <c r="P1207" s="406">
        <v>1204</v>
      </c>
      <c r="Q1207" s="270" t="s">
        <v>2102</v>
      </c>
      <c r="R1207" s="523" t="s">
        <v>1883</v>
      </c>
      <c r="S1207" s="270" t="s">
        <v>1884</v>
      </c>
      <c r="U1207" s="471"/>
      <c r="V1207" s="471"/>
      <c r="W1207" s="471"/>
      <c r="X1207" s="471"/>
      <c r="Y1207" s="206"/>
      <c r="Z1207" s="206"/>
    </row>
    <row r="1208" spans="1:26">
      <c r="A1208" s="406">
        <v>1205</v>
      </c>
      <c r="B1208" s="613" t="s">
        <v>7020</v>
      </c>
      <c r="C1208" s="288" t="s">
        <v>2103</v>
      </c>
      <c r="D1208" s="414" t="s">
        <v>4884</v>
      </c>
      <c r="E1208" s="407" t="s">
        <v>4884</v>
      </c>
      <c r="F1208" s="483"/>
      <c r="G1208" s="483"/>
      <c r="H1208" s="483"/>
      <c r="I1208" s="483"/>
      <c r="J1208" s="483"/>
      <c r="K1208" s="483"/>
      <c r="L1208" s="608" t="s">
        <v>4884</v>
      </c>
      <c r="M1208" s="409" t="s">
        <v>4884</v>
      </c>
      <c r="N1208" s="409" t="s">
        <v>4884</v>
      </c>
      <c r="O1208" s="410" t="s">
        <v>4884</v>
      </c>
      <c r="P1208" s="406">
        <v>1205</v>
      </c>
      <c r="Q1208" s="270" t="s">
        <v>2103</v>
      </c>
      <c r="R1208" s="523" t="s">
        <v>1883</v>
      </c>
      <c r="S1208" s="270" t="s">
        <v>1884</v>
      </c>
      <c r="U1208" s="471"/>
      <c r="V1208" s="471"/>
      <c r="W1208" s="471"/>
      <c r="X1208" s="471"/>
      <c r="Y1208" s="206"/>
      <c r="Z1208" s="206"/>
    </row>
    <row r="1209" spans="1:26">
      <c r="A1209" s="406">
        <v>1206</v>
      </c>
      <c r="B1209" s="613" t="s">
        <v>7020</v>
      </c>
      <c r="C1209" s="288" t="s">
        <v>2104</v>
      </c>
      <c r="D1209" s="414" t="s">
        <v>4884</v>
      </c>
      <c r="E1209" s="407" t="s">
        <v>4884</v>
      </c>
      <c r="F1209" s="483"/>
      <c r="G1209" s="483"/>
      <c r="H1209" s="483"/>
      <c r="I1209" s="483"/>
      <c r="J1209" s="483"/>
      <c r="K1209" s="483"/>
      <c r="L1209" s="608" t="s">
        <v>4884</v>
      </c>
      <c r="M1209" s="409" t="s">
        <v>4884</v>
      </c>
      <c r="N1209" s="409" t="s">
        <v>4884</v>
      </c>
      <c r="O1209" s="410" t="s">
        <v>4884</v>
      </c>
      <c r="P1209" s="406">
        <v>1206</v>
      </c>
      <c r="Q1209" s="270" t="s">
        <v>2104</v>
      </c>
      <c r="R1209" s="523" t="s">
        <v>1883</v>
      </c>
      <c r="S1209" s="270" t="s">
        <v>1884</v>
      </c>
      <c r="U1209" s="471"/>
      <c r="V1209" s="471"/>
      <c r="W1209" s="471"/>
      <c r="X1209" s="471"/>
      <c r="Y1209" s="206"/>
      <c r="Z1209" s="206"/>
    </row>
    <row r="1210" spans="1:26">
      <c r="A1210" s="406">
        <v>1207</v>
      </c>
      <c r="B1210" s="613" t="s">
        <v>7020</v>
      </c>
      <c r="C1210" s="288" t="s">
        <v>2105</v>
      </c>
      <c r="D1210" s="414" t="s">
        <v>4884</v>
      </c>
      <c r="E1210" s="407" t="s">
        <v>4884</v>
      </c>
      <c r="F1210" s="483"/>
      <c r="G1210" s="483"/>
      <c r="H1210" s="483"/>
      <c r="I1210" s="483"/>
      <c r="J1210" s="483"/>
      <c r="K1210" s="483"/>
      <c r="L1210" s="608" t="s">
        <v>4884</v>
      </c>
      <c r="M1210" s="409" t="s">
        <v>4884</v>
      </c>
      <c r="N1210" s="409" t="s">
        <v>4884</v>
      </c>
      <c r="O1210" s="410" t="s">
        <v>4884</v>
      </c>
      <c r="P1210" s="406">
        <v>1207</v>
      </c>
      <c r="Q1210" s="270" t="s">
        <v>2105</v>
      </c>
      <c r="R1210" s="523" t="s">
        <v>1883</v>
      </c>
      <c r="S1210" s="270" t="s">
        <v>1884</v>
      </c>
      <c r="U1210" s="471"/>
      <c r="V1210" s="471"/>
      <c r="W1210" s="471"/>
      <c r="X1210" s="471"/>
      <c r="Y1210" s="206"/>
      <c r="Z1210" s="206"/>
    </row>
    <row r="1211" spans="1:26">
      <c r="A1211" s="406">
        <v>1208</v>
      </c>
      <c r="B1211" s="613" t="s">
        <v>7020</v>
      </c>
      <c r="C1211" s="288" t="s">
        <v>2106</v>
      </c>
      <c r="D1211" s="414" t="s">
        <v>4884</v>
      </c>
      <c r="E1211" s="407" t="s">
        <v>4884</v>
      </c>
      <c r="F1211" s="483"/>
      <c r="G1211" s="483"/>
      <c r="H1211" s="483"/>
      <c r="I1211" s="483"/>
      <c r="J1211" s="483"/>
      <c r="K1211" s="483"/>
      <c r="L1211" s="608" t="s">
        <v>4884</v>
      </c>
      <c r="M1211" s="409" t="s">
        <v>4884</v>
      </c>
      <c r="N1211" s="409" t="s">
        <v>4884</v>
      </c>
      <c r="O1211" s="410" t="s">
        <v>4884</v>
      </c>
      <c r="P1211" s="406">
        <v>1208</v>
      </c>
      <c r="Q1211" s="270" t="s">
        <v>2106</v>
      </c>
      <c r="R1211" s="523" t="s">
        <v>1883</v>
      </c>
      <c r="S1211" s="270" t="s">
        <v>1884</v>
      </c>
      <c r="U1211" s="471"/>
      <c r="V1211" s="471"/>
      <c r="W1211" s="471"/>
      <c r="X1211" s="471"/>
      <c r="Y1211" s="206"/>
      <c r="Z1211" s="206"/>
    </row>
    <row r="1212" spans="1:26">
      <c r="A1212" s="406">
        <v>1209</v>
      </c>
      <c r="B1212" s="613" t="s">
        <v>7020</v>
      </c>
      <c r="C1212" s="288" t="s">
        <v>2107</v>
      </c>
      <c r="D1212" s="414" t="s">
        <v>4884</v>
      </c>
      <c r="E1212" s="407" t="s">
        <v>4884</v>
      </c>
      <c r="F1212" s="483"/>
      <c r="G1212" s="483"/>
      <c r="H1212" s="483"/>
      <c r="I1212" s="483"/>
      <c r="J1212" s="483"/>
      <c r="K1212" s="483"/>
      <c r="L1212" s="608" t="s">
        <v>4884</v>
      </c>
      <c r="M1212" s="409" t="s">
        <v>4884</v>
      </c>
      <c r="N1212" s="409" t="s">
        <v>4884</v>
      </c>
      <c r="O1212" s="410" t="s">
        <v>4884</v>
      </c>
      <c r="P1212" s="406">
        <v>1209</v>
      </c>
      <c r="Q1212" s="270" t="s">
        <v>2107</v>
      </c>
      <c r="R1212" s="523" t="s">
        <v>1883</v>
      </c>
      <c r="S1212" s="270" t="s">
        <v>1884</v>
      </c>
      <c r="U1212" s="471"/>
      <c r="V1212" s="471"/>
      <c r="W1212" s="471"/>
      <c r="X1212" s="471"/>
      <c r="Y1212" s="206"/>
      <c r="Z1212" s="206"/>
    </row>
    <row r="1213" spans="1:26">
      <c r="A1213" s="406">
        <v>1210</v>
      </c>
      <c r="B1213" s="613" t="s">
        <v>7020</v>
      </c>
      <c r="C1213" s="288" t="s">
        <v>2108</v>
      </c>
      <c r="D1213" s="414" t="s">
        <v>4884</v>
      </c>
      <c r="E1213" s="407" t="s">
        <v>4884</v>
      </c>
      <c r="F1213" s="483"/>
      <c r="G1213" s="483"/>
      <c r="H1213" s="483"/>
      <c r="I1213" s="483"/>
      <c r="J1213" s="483"/>
      <c r="K1213" s="483"/>
      <c r="L1213" s="608" t="s">
        <v>4884</v>
      </c>
      <c r="M1213" s="409" t="s">
        <v>4884</v>
      </c>
      <c r="N1213" s="409" t="s">
        <v>4884</v>
      </c>
      <c r="O1213" s="410" t="s">
        <v>4884</v>
      </c>
      <c r="P1213" s="406">
        <v>1210</v>
      </c>
      <c r="Q1213" s="270" t="s">
        <v>2108</v>
      </c>
      <c r="R1213" s="523" t="s">
        <v>1883</v>
      </c>
      <c r="S1213" s="270" t="s">
        <v>1884</v>
      </c>
      <c r="U1213" s="471"/>
      <c r="V1213" s="471"/>
      <c r="W1213" s="471"/>
      <c r="X1213" s="471"/>
      <c r="Y1213" s="206"/>
      <c r="Z1213" s="206"/>
    </row>
    <row r="1214" spans="1:26">
      <c r="A1214" s="406">
        <v>1211</v>
      </c>
      <c r="B1214" s="613" t="s">
        <v>7020</v>
      </c>
      <c r="C1214" s="288" t="s">
        <v>2109</v>
      </c>
      <c r="D1214" s="414" t="s">
        <v>4884</v>
      </c>
      <c r="E1214" s="407" t="s">
        <v>4884</v>
      </c>
      <c r="F1214" s="483"/>
      <c r="G1214" s="483"/>
      <c r="H1214" s="483"/>
      <c r="I1214" s="483"/>
      <c r="J1214" s="483"/>
      <c r="K1214" s="483"/>
      <c r="L1214" s="608" t="s">
        <v>4884</v>
      </c>
      <c r="M1214" s="409" t="s">
        <v>4884</v>
      </c>
      <c r="N1214" s="409" t="s">
        <v>4884</v>
      </c>
      <c r="O1214" s="410" t="s">
        <v>4884</v>
      </c>
      <c r="P1214" s="406">
        <v>1211</v>
      </c>
      <c r="Q1214" s="270" t="s">
        <v>2109</v>
      </c>
      <c r="R1214" s="523" t="s">
        <v>1883</v>
      </c>
      <c r="S1214" s="270" t="s">
        <v>1884</v>
      </c>
      <c r="U1214" s="471"/>
      <c r="V1214" s="471"/>
      <c r="W1214" s="471"/>
      <c r="X1214" s="471"/>
      <c r="Y1214" s="206"/>
      <c r="Z1214" s="206"/>
    </row>
    <row r="1215" spans="1:26">
      <c r="A1215" s="406">
        <v>1212</v>
      </c>
      <c r="B1215" s="613" t="s">
        <v>7020</v>
      </c>
      <c r="C1215" s="288" t="s">
        <v>2110</v>
      </c>
      <c r="D1215" s="414" t="s">
        <v>4884</v>
      </c>
      <c r="E1215" s="407" t="s">
        <v>4884</v>
      </c>
      <c r="F1215" s="483"/>
      <c r="G1215" s="483"/>
      <c r="H1215" s="483"/>
      <c r="I1215" s="483"/>
      <c r="J1215" s="483"/>
      <c r="K1215" s="483"/>
      <c r="L1215" s="608" t="s">
        <v>4884</v>
      </c>
      <c r="M1215" s="409" t="s">
        <v>4884</v>
      </c>
      <c r="N1215" s="409" t="s">
        <v>4884</v>
      </c>
      <c r="O1215" s="410" t="s">
        <v>4884</v>
      </c>
      <c r="P1215" s="406">
        <v>1212</v>
      </c>
      <c r="Q1215" s="270" t="s">
        <v>2110</v>
      </c>
      <c r="R1215" s="523" t="s">
        <v>1883</v>
      </c>
      <c r="S1215" s="270" t="s">
        <v>1884</v>
      </c>
      <c r="U1215" s="471"/>
      <c r="V1215" s="471"/>
      <c r="W1215" s="471"/>
      <c r="X1215" s="471"/>
      <c r="Y1215" s="206"/>
      <c r="Z1215" s="206"/>
    </row>
    <row r="1216" spans="1:26">
      <c r="A1216" s="406">
        <v>1213</v>
      </c>
      <c r="B1216" s="613" t="s">
        <v>7020</v>
      </c>
      <c r="C1216" s="288" t="s">
        <v>2111</v>
      </c>
      <c r="D1216" s="414" t="s">
        <v>4884</v>
      </c>
      <c r="E1216" s="407" t="s">
        <v>4884</v>
      </c>
      <c r="F1216" s="483"/>
      <c r="G1216" s="483"/>
      <c r="H1216" s="483"/>
      <c r="I1216" s="483"/>
      <c r="J1216" s="483"/>
      <c r="K1216" s="483"/>
      <c r="L1216" s="608" t="s">
        <v>4884</v>
      </c>
      <c r="M1216" s="409" t="s">
        <v>4884</v>
      </c>
      <c r="N1216" s="409" t="s">
        <v>4884</v>
      </c>
      <c r="O1216" s="410" t="s">
        <v>4884</v>
      </c>
      <c r="P1216" s="406">
        <v>1213</v>
      </c>
      <c r="Q1216" s="270" t="s">
        <v>2111</v>
      </c>
      <c r="R1216" s="523" t="s">
        <v>1883</v>
      </c>
      <c r="S1216" s="270" t="s">
        <v>1884</v>
      </c>
      <c r="U1216" s="471"/>
      <c r="V1216" s="471"/>
      <c r="W1216" s="471"/>
      <c r="X1216" s="471"/>
      <c r="Y1216" s="206"/>
      <c r="Z1216" s="206"/>
    </row>
    <row r="1217" spans="1:26">
      <c r="A1217" s="406">
        <v>1214</v>
      </c>
      <c r="B1217" s="613" t="s">
        <v>7020</v>
      </c>
      <c r="C1217" s="288" t="s">
        <v>2112</v>
      </c>
      <c r="D1217" s="414" t="s">
        <v>4884</v>
      </c>
      <c r="E1217" s="407" t="s">
        <v>4884</v>
      </c>
      <c r="F1217" s="483"/>
      <c r="G1217" s="483"/>
      <c r="H1217" s="483"/>
      <c r="I1217" s="483"/>
      <c r="J1217" s="483"/>
      <c r="K1217" s="483"/>
      <c r="L1217" s="608" t="s">
        <v>4884</v>
      </c>
      <c r="M1217" s="409" t="s">
        <v>4884</v>
      </c>
      <c r="N1217" s="409" t="s">
        <v>4884</v>
      </c>
      <c r="O1217" s="410" t="s">
        <v>4884</v>
      </c>
      <c r="P1217" s="406">
        <v>1214</v>
      </c>
      <c r="Q1217" s="270" t="s">
        <v>2112</v>
      </c>
      <c r="R1217" s="523" t="s">
        <v>1883</v>
      </c>
      <c r="S1217" s="270" t="s">
        <v>1884</v>
      </c>
      <c r="U1217" s="471"/>
      <c r="V1217" s="471"/>
      <c r="W1217" s="471"/>
      <c r="X1217" s="471"/>
      <c r="Y1217" s="206"/>
      <c r="Z1217" s="206"/>
    </row>
    <row r="1218" spans="1:26">
      <c r="A1218" s="406">
        <v>1215</v>
      </c>
      <c r="B1218" s="613" t="s">
        <v>7020</v>
      </c>
      <c r="C1218" s="288" t="s">
        <v>2113</v>
      </c>
      <c r="D1218" s="414" t="s">
        <v>4884</v>
      </c>
      <c r="E1218" s="407" t="s">
        <v>4884</v>
      </c>
      <c r="F1218" s="483"/>
      <c r="G1218" s="483"/>
      <c r="H1218" s="483"/>
      <c r="I1218" s="483"/>
      <c r="J1218" s="483"/>
      <c r="K1218" s="483"/>
      <c r="L1218" s="608" t="s">
        <v>4884</v>
      </c>
      <c r="M1218" s="409" t="s">
        <v>4884</v>
      </c>
      <c r="N1218" s="409" t="s">
        <v>4884</v>
      </c>
      <c r="O1218" s="410" t="s">
        <v>4884</v>
      </c>
      <c r="P1218" s="406">
        <v>1215</v>
      </c>
      <c r="Q1218" s="270" t="s">
        <v>2113</v>
      </c>
      <c r="R1218" s="523" t="s">
        <v>1883</v>
      </c>
      <c r="S1218" s="270" t="s">
        <v>1884</v>
      </c>
      <c r="U1218" s="471"/>
      <c r="V1218" s="471"/>
      <c r="W1218" s="471"/>
      <c r="X1218" s="471"/>
      <c r="Y1218" s="206"/>
      <c r="Z1218" s="206"/>
    </row>
    <row r="1219" spans="1:26">
      <c r="A1219" s="406">
        <v>1216</v>
      </c>
      <c r="B1219" s="613" t="s">
        <v>7020</v>
      </c>
      <c r="C1219" s="288" t="s">
        <v>2114</v>
      </c>
      <c r="D1219" s="414" t="s">
        <v>4884</v>
      </c>
      <c r="E1219" s="407" t="s">
        <v>4884</v>
      </c>
      <c r="F1219" s="483"/>
      <c r="G1219" s="483"/>
      <c r="H1219" s="483"/>
      <c r="I1219" s="483"/>
      <c r="J1219" s="483"/>
      <c r="K1219" s="483"/>
      <c r="L1219" s="608" t="s">
        <v>4884</v>
      </c>
      <c r="M1219" s="409" t="s">
        <v>4884</v>
      </c>
      <c r="N1219" s="409" t="s">
        <v>4884</v>
      </c>
      <c r="O1219" s="410" t="s">
        <v>4884</v>
      </c>
      <c r="P1219" s="406">
        <v>1216</v>
      </c>
      <c r="Q1219" s="270" t="s">
        <v>2114</v>
      </c>
      <c r="R1219" s="523" t="s">
        <v>1883</v>
      </c>
      <c r="S1219" s="270" t="s">
        <v>1884</v>
      </c>
      <c r="U1219" s="471"/>
      <c r="V1219" s="471"/>
      <c r="W1219" s="471"/>
      <c r="X1219" s="471"/>
      <c r="Y1219" s="206"/>
      <c r="Z1219" s="206"/>
    </row>
    <row r="1220" spans="1:26">
      <c r="A1220" s="406">
        <v>1217</v>
      </c>
      <c r="B1220" s="613" t="s">
        <v>7020</v>
      </c>
      <c r="C1220" s="288" t="s">
        <v>2115</v>
      </c>
      <c r="D1220" s="414" t="s">
        <v>4884</v>
      </c>
      <c r="E1220" s="407" t="s">
        <v>4884</v>
      </c>
      <c r="F1220" s="483"/>
      <c r="G1220" s="483"/>
      <c r="H1220" s="483"/>
      <c r="I1220" s="483"/>
      <c r="J1220" s="483"/>
      <c r="K1220" s="483"/>
      <c r="L1220" s="608" t="s">
        <v>4884</v>
      </c>
      <c r="M1220" s="409" t="s">
        <v>4884</v>
      </c>
      <c r="N1220" s="409" t="s">
        <v>4884</v>
      </c>
      <c r="O1220" s="410" t="s">
        <v>4884</v>
      </c>
      <c r="P1220" s="406">
        <v>1217</v>
      </c>
      <c r="Q1220" s="270" t="s">
        <v>2115</v>
      </c>
      <c r="R1220" s="523" t="s">
        <v>1883</v>
      </c>
      <c r="S1220" s="270" t="s">
        <v>1884</v>
      </c>
      <c r="U1220" s="471"/>
      <c r="V1220" s="471"/>
      <c r="W1220" s="471"/>
      <c r="X1220" s="471"/>
      <c r="Y1220" s="206"/>
      <c r="Z1220" s="206"/>
    </row>
    <row r="1221" spans="1:26">
      <c r="A1221" s="406">
        <v>1218</v>
      </c>
      <c r="B1221" s="613" t="s">
        <v>7020</v>
      </c>
      <c r="C1221" s="288" t="s">
        <v>2116</v>
      </c>
      <c r="D1221" s="414" t="s">
        <v>4884</v>
      </c>
      <c r="E1221" s="407" t="s">
        <v>4884</v>
      </c>
      <c r="F1221" s="483"/>
      <c r="G1221" s="483"/>
      <c r="H1221" s="483"/>
      <c r="I1221" s="483"/>
      <c r="J1221" s="483"/>
      <c r="K1221" s="483"/>
      <c r="L1221" s="608" t="s">
        <v>4884</v>
      </c>
      <c r="M1221" s="409" t="s">
        <v>4884</v>
      </c>
      <c r="N1221" s="409" t="s">
        <v>4884</v>
      </c>
      <c r="O1221" s="410" t="s">
        <v>4884</v>
      </c>
      <c r="P1221" s="406">
        <v>1218</v>
      </c>
      <c r="Q1221" s="270" t="s">
        <v>2116</v>
      </c>
      <c r="R1221" s="523" t="s">
        <v>1883</v>
      </c>
      <c r="S1221" s="270" t="s">
        <v>1884</v>
      </c>
      <c r="U1221" s="471"/>
      <c r="V1221" s="471"/>
      <c r="W1221" s="471"/>
      <c r="X1221" s="471"/>
      <c r="Y1221" s="206"/>
      <c r="Z1221" s="206"/>
    </row>
    <row r="1222" spans="1:26">
      <c r="A1222" s="406">
        <v>1219</v>
      </c>
      <c r="B1222" s="613" t="s">
        <v>7020</v>
      </c>
      <c r="C1222" s="288" t="s">
        <v>2117</v>
      </c>
      <c r="D1222" s="414" t="s">
        <v>4884</v>
      </c>
      <c r="E1222" s="407" t="s">
        <v>4884</v>
      </c>
      <c r="F1222" s="483"/>
      <c r="G1222" s="483"/>
      <c r="H1222" s="483"/>
      <c r="I1222" s="483"/>
      <c r="J1222" s="483"/>
      <c r="K1222" s="483"/>
      <c r="L1222" s="608" t="s">
        <v>4884</v>
      </c>
      <c r="M1222" s="409" t="s">
        <v>4884</v>
      </c>
      <c r="N1222" s="409" t="s">
        <v>4884</v>
      </c>
      <c r="O1222" s="410" t="s">
        <v>4884</v>
      </c>
      <c r="P1222" s="406">
        <v>1219</v>
      </c>
      <c r="Q1222" s="270" t="s">
        <v>2117</v>
      </c>
      <c r="R1222" s="523" t="s">
        <v>1883</v>
      </c>
      <c r="S1222" s="270" t="s">
        <v>1884</v>
      </c>
      <c r="U1222" s="471"/>
      <c r="V1222" s="471"/>
      <c r="W1222" s="471"/>
      <c r="X1222" s="471"/>
      <c r="Y1222" s="206"/>
      <c r="Z1222" s="206"/>
    </row>
    <row r="1223" spans="1:26">
      <c r="A1223" s="406">
        <v>1220</v>
      </c>
      <c r="B1223" s="613" t="s">
        <v>7020</v>
      </c>
      <c r="C1223" s="288" t="s">
        <v>2118</v>
      </c>
      <c r="D1223" s="414" t="s">
        <v>4884</v>
      </c>
      <c r="E1223" s="407" t="s">
        <v>4884</v>
      </c>
      <c r="F1223" s="483"/>
      <c r="G1223" s="483"/>
      <c r="H1223" s="483"/>
      <c r="I1223" s="483"/>
      <c r="J1223" s="483"/>
      <c r="K1223" s="483"/>
      <c r="L1223" s="608" t="s">
        <v>4884</v>
      </c>
      <c r="M1223" s="409" t="s">
        <v>4884</v>
      </c>
      <c r="N1223" s="409" t="s">
        <v>4884</v>
      </c>
      <c r="O1223" s="410" t="s">
        <v>4884</v>
      </c>
      <c r="P1223" s="406">
        <v>1220</v>
      </c>
      <c r="Q1223" s="270" t="s">
        <v>2118</v>
      </c>
      <c r="R1223" s="523" t="s">
        <v>1883</v>
      </c>
      <c r="S1223" s="270" t="s">
        <v>1884</v>
      </c>
      <c r="U1223" s="471"/>
      <c r="V1223" s="471"/>
      <c r="W1223" s="471"/>
      <c r="X1223" s="471"/>
      <c r="Y1223" s="206"/>
      <c r="Z1223" s="206"/>
    </row>
    <row r="1224" spans="1:26">
      <c r="A1224" s="406">
        <v>1221</v>
      </c>
      <c r="B1224" s="613" t="s">
        <v>7020</v>
      </c>
      <c r="C1224" s="288" t="s">
        <v>2119</v>
      </c>
      <c r="D1224" s="414" t="s">
        <v>4884</v>
      </c>
      <c r="E1224" s="407" t="s">
        <v>4884</v>
      </c>
      <c r="F1224" s="483"/>
      <c r="G1224" s="483"/>
      <c r="H1224" s="483"/>
      <c r="I1224" s="483"/>
      <c r="J1224" s="483"/>
      <c r="K1224" s="483"/>
      <c r="L1224" s="608" t="s">
        <v>4884</v>
      </c>
      <c r="M1224" s="409" t="s">
        <v>4884</v>
      </c>
      <c r="N1224" s="409" t="s">
        <v>4884</v>
      </c>
      <c r="O1224" s="410" t="s">
        <v>4884</v>
      </c>
      <c r="P1224" s="406">
        <v>1221</v>
      </c>
      <c r="Q1224" s="270" t="s">
        <v>2119</v>
      </c>
      <c r="R1224" s="523" t="s">
        <v>1883</v>
      </c>
      <c r="S1224" s="270" t="s">
        <v>1884</v>
      </c>
      <c r="U1224" s="471"/>
      <c r="V1224" s="471"/>
      <c r="W1224" s="471"/>
      <c r="X1224" s="471"/>
      <c r="Y1224" s="206"/>
      <c r="Z1224" s="206"/>
    </row>
    <row r="1225" spans="1:26">
      <c r="A1225" s="406">
        <v>1222</v>
      </c>
      <c r="B1225" s="613" t="s">
        <v>7020</v>
      </c>
      <c r="C1225" s="288" t="s">
        <v>2120</v>
      </c>
      <c r="D1225" s="414" t="s">
        <v>4884</v>
      </c>
      <c r="E1225" s="407" t="s">
        <v>4884</v>
      </c>
      <c r="F1225" s="483"/>
      <c r="G1225" s="483"/>
      <c r="H1225" s="483"/>
      <c r="I1225" s="483"/>
      <c r="J1225" s="483"/>
      <c r="K1225" s="483"/>
      <c r="L1225" s="608" t="s">
        <v>4884</v>
      </c>
      <c r="M1225" s="409" t="s">
        <v>4884</v>
      </c>
      <c r="N1225" s="409" t="s">
        <v>4884</v>
      </c>
      <c r="O1225" s="410" t="s">
        <v>4884</v>
      </c>
      <c r="P1225" s="406">
        <v>1222</v>
      </c>
      <c r="Q1225" s="270" t="s">
        <v>2120</v>
      </c>
      <c r="R1225" s="523" t="s">
        <v>1883</v>
      </c>
      <c r="S1225" s="270" t="s">
        <v>1884</v>
      </c>
      <c r="U1225" s="471"/>
      <c r="V1225" s="471"/>
      <c r="W1225" s="471"/>
      <c r="X1225" s="471"/>
      <c r="Y1225" s="206"/>
      <c r="Z1225" s="206"/>
    </row>
    <row r="1226" spans="1:26">
      <c r="A1226" s="406">
        <v>1223</v>
      </c>
      <c r="B1226" s="613" t="s">
        <v>7020</v>
      </c>
      <c r="C1226" s="288" t="s">
        <v>2121</v>
      </c>
      <c r="D1226" s="414" t="s">
        <v>4884</v>
      </c>
      <c r="E1226" s="407" t="s">
        <v>4884</v>
      </c>
      <c r="F1226" s="483"/>
      <c r="G1226" s="483"/>
      <c r="H1226" s="483"/>
      <c r="I1226" s="483"/>
      <c r="J1226" s="483"/>
      <c r="K1226" s="483"/>
      <c r="L1226" s="608" t="s">
        <v>4884</v>
      </c>
      <c r="M1226" s="409" t="s">
        <v>4884</v>
      </c>
      <c r="N1226" s="409" t="s">
        <v>4884</v>
      </c>
      <c r="O1226" s="410" t="s">
        <v>4884</v>
      </c>
      <c r="P1226" s="406">
        <v>1223</v>
      </c>
      <c r="Q1226" s="270" t="s">
        <v>2121</v>
      </c>
      <c r="R1226" s="523" t="s">
        <v>1883</v>
      </c>
      <c r="S1226" s="270" t="s">
        <v>1884</v>
      </c>
      <c r="U1226" s="471"/>
      <c r="V1226" s="471"/>
      <c r="W1226" s="471"/>
      <c r="X1226" s="471"/>
      <c r="Y1226" s="206"/>
      <c r="Z1226" s="206"/>
    </row>
    <row r="1227" spans="1:26">
      <c r="A1227" s="406">
        <v>1224</v>
      </c>
      <c r="B1227" s="613" t="s">
        <v>7020</v>
      </c>
      <c r="C1227" s="288" t="s">
        <v>2122</v>
      </c>
      <c r="D1227" s="414" t="s">
        <v>4884</v>
      </c>
      <c r="E1227" s="407" t="s">
        <v>4884</v>
      </c>
      <c r="F1227" s="483"/>
      <c r="G1227" s="483"/>
      <c r="H1227" s="483"/>
      <c r="I1227" s="483"/>
      <c r="J1227" s="483"/>
      <c r="K1227" s="483"/>
      <c r="L1227" s="608" t="s">
        <v>4884</v>
      </c>
      <c r="M1227" s="409" t="s">
        <v>4884</v>
      </c>
      <c r="N1227" s="409" t="s">
        <v>4884</v>
      </c>
      <c r="O1227" s="410" t="s">
        <v>4884</v>
      </c>
      <c r="P1227" s="406">
        <v>1224</v>
      </c>
      <c r="Q1227" s="270" t="s">
        <v>2122</v>
      </c>
      <c r="R1227" s="523" t="s">
        <v>1883</v>
      </c>
      <c r="S1227" s="270" t="s">
        <v>1884</v>
      </c>
      <c r="U1227" s="471"/>
      <c r="V1227" s="471"/>
      <c r="W1227" s="471"/>
      <c r="X1227" s="471"/>
      <c r="Y1227" s="206"/>
      <c r="Z1227" s="206"/>
    </row>
    <row r="1228" spans="1:26">
      <c r="A1228" s="406">
        <v>1225</v>
      </c>
      <c r="B1228" s="613" t="s">
        <v>7020</v>
      </c>
      <c r="C1228" s="288" t="s">
        <v>2123</v>
      </c>
      <c r="D1228" s="414" t="s">
        <v>4884</v>
      </c>
      <c r="E1228" s="407" t="s">
        <v>4884</v>
      </c>
      <c r="F1228" s="483"/>
      <c r="G1228" s="483"/>
      <c r="H1228" s="483"/>
      <c r="I1228" s="483"/>
      <c r="J1228" s="483"/>
      <c r="K1228" s="483"/>
      <c r="L1228" s="608" t="s">
        <v>4884</v>
      </c>
      <c r="M1228" s="409" t="s">
        <v>4884</v>
      </c>
      <c r="N1228" s="409" t="s">
        <v>4884</v>
      </c>
      <c r="O1228" s="410" t="s">
        <v>4884</v>
      </c>
      <c r="P1228" s="406">
        <v>1225</v>
      </c>
      <c r="Q1228" s="270" t="s">
        <v>2123</v>
      </c>
      <c r="R1228" s="523" t="s">
        <v>1883</v>
      </c>
      <c r="S1228" s="270" t="s">
        <v>1884</v>
      </c>
      <c r="U1228" s="471"/>
      <c r="V1228" s="471"/>
      <c r="W1228" s="471"/>
      <c r="X1228" s="471"/>
      <c r="Y1228" s="206"/>
      <c r="Z1228" s="206"/>
    </row>
    <row r="1229" spans="1:26">
      <c r="A1229" s="406">
        <v>1226</v>
      </c>
      <c r="B1229" s="613" t="s">
        <v>7020</v>
      </c>
      <c r="C1229" s="288" t="s">
        <v>2124</v>
      </c>
      <c r="D1229" s="414" t="s">
        <v>4884</v>
      </c>
      <c r="E1229" s="407" t="s">
        <v>4884</v>
      </c>
      <c r="F1229" s="483"/>
      <c r="G1229" s="483"/>
      <c r="H1229" s="483"/>
      <c r="I1229" s="483"/>
      <c r="J1229" s="483"/>
      <c r="K1229" s="483"/>
      <c r="L1229" s="608" t="s">
        <v>4884</v>
      </c>
      <c r="M1229" s="409" t="s">
        <v>4884</v>
      </c>
      <c r="N1229" s="409" t="s">
        <v>4884</v>
      </c>
      <c r="O1229" s="410" t="s">
        <v>4884</v>
      </c>
      <c r="P1229" s="406">
        <v>1226</v>
      </c>
      <c r="Q1229" s="270" t="s">
        <v>2124</v>
      </c>
      <c r="R1229" s="523" t="s">
        <v>1883</v>
      </c>
      <c r="S1229" s="270" t="s">
        <v>1884</v>
      </c>
      <c r="U1229" s="471"/>
      <c r="V1229" s="471"/>
      <c r="W1229" s="471"/>
      <c r="X1229" s="471"/>
      <c r="Y1229" s="206"/>
      <c r="Z1229" s="206"/>
    </row>
    <row r="1230" spans="1:26">
      <c r="A1230" s="406">
        <v>1227</v>
      </c>
      <c r="B1230" s="613" t="s">
        <v>7020</v>
      </c>
      <c r="C1230" s="288" t="s">
        <v>2125</v>
      </c>
      <c r="D1230" s="414" t="s">
        <v>4884</v>
      </c>
      <c r="E1230" s="407" t="s">
        <v>4884</v>
      </c>
      <c r="F1230" s="483"/>
      <c r="G1230" s="483"/>
      <c r="H1230" s="483"/>
      <c r="I1230" s="483"/>
      <c r="J1230" s="483"/>
      <c r="K1230" s="483"/>
      <c r="L1230" s="608" t="s">
        <v>4884</v>
      </c>
      <c r="M1230" s="409" t="s">
        <v>4884</v>
      </c>
      <c r="N1230" s="409" t="s">
        <v>4884</v>
      </c>
      <c r="O1230" s="410" t="s">
        <v>4884</v>
      </c>
      <c r="P1230" s="406">
        <v>1227</v>
      </c>
      <c r="Q1230" s="270" t="s">
        <v>2125</v>
      </c>
      <c r="R1230" s="523" t="s">
        <v>1883</v>
      </c>
      <c r="S1230" s="270" t="s">
        <v>1884</v>
      </c>
      <c r="U1230" s="471"/>
      <c r="V1230" s="471"/>
      <c r="W1230" s="471"/>
      <c r="X1230" s="471"/>
      <c r="Y1230" s="206"/>
      <c r="Z1230" s="206"/>
    </row>
    <row r="1231" spans="1:26">
      <c r="A1231" s="406">
        <v>1228</v>
      </c>
      <c r="B1231" s="613" t="s">
        <v>7020</v>
      </c>
      <c r="C1231" s="288" t="s">
        <v>2126</v>
      </c>
      <c r="D1231" s="414" t="s">
        <v>4884</v>
      </c>
      <c r="E1231" s="407" t="s">
        <v>4884</v>
      </c>
      <c r="F1231" s="483"/>
      <c r="G1231" s="483"/>
      <c r="H1231" s="483"/>
      <c r="I1231" s="483"/>
      <c r="J1231" s="483"/>
      <c r="K1231" s="483"/>
      <c r="L1231" s="608" t="s">
        <v>4884</v>
      </c>
      <c r="M1231" s="409" t="s">
        <v>4884</v>
      </c>
      <c r="N1231" s="409" t="s">
        <v>4884</v>
      </c>
      <c r="O1231" s="410" t="s">
        <v>4884</v>
      </c>
      <c r="P1231" s="406">
        <v>1228</v>
      </c>
      <c r="Q1231" s="270" t="s">
        <v>2126</v>
      </c>
      <c r="R1231" s="523" t="s">
        <v>1883</v>
      </c>
      <c r="S1231" s="270" t="s">
        <v>1884</v>
      </c>
      <c r="U1231" s="471"/>
      <c r="V1231" s="471"/>
      <c r="W1231" s="471"/>
      <c r="X1231" s="471"/>
      <c r="Y1231" s="206"/>
      <c r="Z1231" s="206"/>
    </row>
    <row r="1232" spans="1:26">
      <c r="A1232" s="406">
        <v>1229</v>
      </c>
      <c r="B1232" s="613" t="s">
        <v>7020</v>
      </c>
      <c r="C1232" s="288" t="s">
        <v>2127</v>
      </c>
      <c r="D1232" s="414" t="s">
        <v>4884</v>
      </c>
      <c r="E1232" s="407" t="s">
        <v>4884</v>
      </c>
      <c r="F1232" s="483"/>
      <c r="G1232" s="483"/>
      <c r="H1232" s="483"/>
      <c r="I1232" s="483"/>
      <c r="J1232" s="483"/>
      <c r="K1232" s="483"/>
      <c r="L1232" s="608" t="s">
        <v>4884</v>
      </c>
      <c r="M1232" s="409" t="s">
        <v>4884</v>
      </c>
      <c r="N1232" s="409" t="s">
        <v>4884</v>
      </c>
      <c r="O1232" s="410" t="s">
        <v>4884</v>
      </c>
      <c r="P1232" s="406">
        <v>1229</v>
      </c>
      <c r="Q1232" s="270" t="s">
        <v>2127</v>
      </c>
      <c r="R1232" s="523" t="s">
        <v>1883</v>
      </c>
      <c r="S1232" s="270" t="s">
        <v>1884</v>
      </c>
      <c r="U1232" s="471"/>
      <c r="V1232" s="471"/>
      <c r="W1232" s="471"/>
      <c r="X1232" s="471"/>
      <c r="Y1232" s="206"/>
      <c r="Z1232" s="206"/>
    </row>
    <row r="1233" spans="1:26">
      <c r="A1233" s="406">
        <v>1230</v>
      </c>
      <c r="B1233" s="613" t="s">
        <v>7020</v>
      </c>
      <c r="C1233" s="288" t="s">
        <v>2128</v>
      </c>
      <c r="D1233" s="414" t="s">
        <v>4884</v>
      </c>
      <c r="E1233" s="407" t="s">
        <v>4884</v>
      </c>
      <c r="F1233" s="483"/>
      <c r="G1233" s="483"/>
      <c r="H1233" s="483"/>
      <c r="I1233" s="483"/>
      <c r="J1233" s="483"/>
      <c r="K1233" s="483"/>
      <c r="L1233" s="608" t="s">
        <v>4884</v>
      </c>
      <c r="M1233" s="409" t="s">
        <v>4884</v>
      </c>
      <c r="N1233" s="409" t="s">
        <v>4884</v>
      </c>
      <c r="O1233" s="410" t="s">
        <v>4884</v>
      </c>
      <c r="P1233" s="406">
        <v>1230</v>
      </c>
      <c r="Q1233" s="270" t="s">
        <v>2128</v>
      </c>
      <c r="R1233" s="523" t="s">
        <v>1883</v>
      </c>
      <c r="S1233" s="270" t="s">
        <v>1884</v>
      </c>
      <c r="U1233" s="471"/>
      <c r="V1233" s="471"/>
      <c r="W1233" s="471"/>
      <c r="X1233" s="471"/>
      <c r="Y1233" s="206"/>
      <c r="Z1233" s="206"/>
    </row>
    <row r="1234" spans="1:26">
      <c r="A1234" s="406">
        <v>1231</v>
      </c>
      <c r="B1234" s="613" t="s">
        <v>7020</v>
      </c>
      <c r="C1234" s="288" t="s">
        <v>2129</v>
      </c>
      <c r="D1234" s="414" t="s">
        <v>4884</v>
      </c>
      <c r="E1234" s="407" t="s">
        <v>4884</v>
      </c>
      <c r="F1234" s="483"/>
      <c r="G1234" s="483"/>
      <c r="H1234" s="483"/>
      <c r="I1234" s="483"/>
      <c r="J1234" s="483"/>
      <c r="K1234" s="483"/>
      <c r="L1234" s="608" t="s">
        <v>4884</v>
      </c>
      <c r="M1234" s="409" t="s">
        <v>4884</v>
      </c>
      <c r="N1234" s="409" t="s">
        <v>4884</v>
      </c>
      <c r="O1234" s="410" t="s">
        <v>4884</v>
      </c>
      <c r="P1234" s="406">
        <v>1231</v>
      </c>
      <c r="Q1234" s="270" t="s">
        <v>2129</v>
      </c>
      <c r="R1234" s="523" t="s">
        <v>1883</v>
      </c>
      <c r="S1234" s="270" t="s">
        <v>1884</v>
      </c>
      <c r="U1234" s="471"/>
      <c r="V1234" s="471"/>
      <c r="W1234" s="471"/>
      <c r="X1234" s="471"/>
      <c r="Y1234" s="206"/>
      <c r="Z1234" s="206"/>
    </row>
    <row r="1235" spans="1:26">
      <c r="A1235" s="406">
        <v>1232</v>
      </c>
      <c r="B1235" s="613" t="s">
        <v>7020</v>
      </c>
      <c r="C1235" s="288" t="s">
        <v>2130</v>
      </c>
      <c r="D1235" s="414" t="s">
        <v>4884</v>
      </c>
      <c r="E1235" s="407" t="s">
        <v>4884</v>
      </c>
      <c r="F1235" s="483"/>
      <c r="G1235" s="483"/>
      <c r="H1235" s="483"/>
      <c r="I1235" s="483"/>
      <c r="J1235" s="483"/>
      <c r="K1235" s="483"/>
      <c r="L1235" s="608" t="s">
        <v>4884</v>
      </c>
      <c r="M1235" s="409" t="s">
        <v>4884</v>
      </c>
      <c r="N1235" s="409" t="s">
        <v>4884</v>
      </c>
      <c r="O1235" s="410" t="s">
        <v>4884</v>
      </c>
      <c r="P1235" s="406">
        <v>1232</v>
      </c>
      <c r="Q1235" s="270" t="s">
        <v>2130</v>
      </c>
      <c r="R1235" s="523" t="s">
        <v>1883</v>
      </c>
      <c r="S1235" s="270" t="s">
        <v>1884</v>
      </c>
      <c r="U1235" s="471"/>
      <c r="V1235" s="471"/>
      <c r="W1235" s="471"/>
      <c r="X1235" s="471"/>
      <c r="Y1235" s="206"/>
      <c r="Z1235" s="206"/>
    </row>
    <row r="1236" spans="1:26">
      <c r="A1236" s="406">
        <v>1233</v>
      </c>
      <c r="B1236" s="613" t="s">
        <v>7020</v>
      </c>
      <c r="C1236" s="288" t="s">
        <v>2131</v>
      </c>
      <c r="D1236" s="414" t="s">
        <v>4884</v>
      </c>
      <c r="E1236" s="407" t="s">
        <v>4884</v>
      </c>
      <c r="F1236" s="483"/>
      <c r="G1236" s="483"/>
      <c r="H1236" s="483"/>
      <c r="I1236" s="483"/>
      <c r="J1236" s="483"/>
      <c r="K1236" s="483"/>
      <c r="L1236" s="608" t="s">
        <v>4884</v>
      </c>
      <c r="M1236" s="409" t="s">
        <v>4884</v>
      </c>
      <c r="N1236" s="409" t="s">
        <v>4884</v>
      </c>
      <c r="O1236" s="410" t="s">
        <v>4884</v>
      </c>
      <c r="P1236" s="406">
        <v>1233</v>
      </c>
      <c r="Q1236" s="270" t="s">
        <v>2131</v>
      </c>
      <c r="R1236" s="523" t="s">
        <v>1883</v>
      </c>
      <c r="S1236" s="270" t="s">
        <v>1884</v>
      </c>
      <c r="U1236" s="471"/>
      <c r="V1236" s="471"/>
      <c r="W1236" s="471"/>
      <c r="X1236" s="471"/>
      <c r="Y1236" s="206"/>
      <c r="Z1236" s="206"/>
    </row>
    <row r="1237" spans="1:26">
      <c r="A1237" s="406">
        <v>1234</v>
      </c>
      <c r="B1237" s="613" t="s">
        <v>7020</v>
      </c>
      <c r="C1237" s="288" t="s">
        <v>2132</v>
      </c>
      <c r="D1237" s="414" t="s">
        <v>4884</v>
      </c>
      <c r="E1237" s="407" t="s">
        <v>4884</v>
      </c>
      <c r="F1237" s="483"/>
      <c r="G1237" s="483"/>
      <c r="H1237" s="483"/>
      <c r="I1237" s="483"/>
      <c r="J1237" s="483"/>
      <c r="K1237" s="483"/>
      <c r="L1237" s="608" t="s">
        <v>4884</v>
      </c>
      <c r="M1237" s="409" t="s">
        <v>4884</v>
      </c>
      <c r="N1237" s="409" t="s">
        <v>4884</v>
      </c>
      <c r="O1237" s="410" t="s">
        <v>4884</v>
      </c>
      <c r="P1237" s="406">
        <v>1234</v>
      </c>
      <c r="Q1237" s="270" t="s">
        <v>2132</v>
      </c>
      <c r="R1237" s="523" t="s">
        <v>1883</v>
      </c>
      <c r="S1237" s="270" t="s">
        <v>1884</v>
      </c>
      <c r="U1237" s="471"/>
      <c r="V1237" s="471"/>
      <c r="W1237" s="471"/>
      <c r="X1237" s="471"/>
      <c r="Y1237" s="206"/>
      <c r="Z1237" s="206"/>
    </row>
    <row r="1238" spans="1:26">
      <c r="A1238" s="406">
        <v>1235</v>
      </c>
      <c r="B1238" s="613" t="s">
        <v>7020</v>
      </c>
      <c r="C1238" s="288" t="s">
        <v>2133</v>
      </c>
      <c r="D1238" s="414" t="s">
        <v>4884</v>
      </c>
      <c r="E1238" s="407" t="s">
        <v>4884</v>
      </c>
      <c r="F1238" s="483"/>
      <c r="G1238" s="483"/>
      <c r="H1238" s="483"/>
      <c r="I1238" s="483"/>
      <c r="J1238" s="483"/>
      <c r="K1238" s="483"/>
      <c r="L1238" s="608" t="s">
        <v>4884</v>
      </c>
      <c r="M1238" s="409" t="s">
        <v>4884</v>
      </c>
      <c r="N1238" s="409" t="s">
        <v>4884</v>
      </c>
      <c r="O1238" s="410" t="s">
        <v>4884</v>
      </c>
      <c r="P1238" s="406">
        <v>1235</v>
      </c>
      <c r="Q1238" s="270" t="s">
        <v>2133</v>
      </c>
      <c r="R1238" s="523" t="s">
        <v>1883</v>
      </c>
      <c r="S1238" s="270" t="s">
        <v>1884</v>
      </c>
      <c r="U1238" s="471"/>
      <c r="V1238" s="471"/>
      <c r="W1238" s="471"/>
      <c r="X1238" s="471"/>
      <c r="Y1238" s="206"/>
      <c r="Z1238" s="206"/>
    </row>
    <row r="1239" spans="1:26">
      <c r="A1239" s="406">
        <v>1236</v>
      </c>
      <c r="B1239" s="613" t="s">
        <v>7020</v>
      </c>
      <c r="C1239" s="288" t="s">
        <v>2134</v>
      </c>
      <c r="D1239" s="414" t="s">
        <v>4884</v>
      </c>
      <c r="E1239" s="407" t="s">
        <v>4884</v>
      </c>
      <c r="F1239" s="483"/>
      <c r="G1239" s="483"/>
      <c r="H1239" s="483"/>
      <c r="I1239" s="483"/>
      <c r="J1239" s="483"/>
      <c r="K1239" s="483"/>
      <c r="L1239" s="608" t="s">
        <v>4884</v>
      </c>
      <c r="M1239" s="409" t="s">
        <v>4884</v>
      </c>
      <c r="N1239" s="409" t="s">
        <v>4884</v>
      </c>
      <c r="O1239" s="410" t="s">
        <v>4884</v>
      </c>
      <c r="P1239" s="406">
        <v>1236</v>
      </c>
      <c r="Q1239" s="270" t="s">
        <v>2134</v>
      </c>
      <c r="R1239" s="523" t="s">
        <v>1883</v>
      </c>
      <c r="S1239" s="270" t="s">
        <v>1884</v>
      </c>
      <c r="U1239" s="471"/>
      <c r="V1239" s="471"/>
      <c r="W1239" s="471"/>
      <c r="X1239" s="471"/>
      <c r="Y1239" s="206"/>
      <c r="Z1239" s="206"/>
    </row>
    <row r="1240" spans="1:26">
      <c r="A1240" s="406">
        <v>1237</v>
      </c>
      <c r="B1240" s="613" t="s">
        <v>7020</v>
      </c>
      <c r="C1240" s="288" t="s">
        <v>2135</v>
      </c>
      <c r="D1240" s="414" t="s">
        <v>4884</v>
      </c>
      <c r="E1240" s="407" t="s">
        <v>4884</v>
      </c>
      <c r="F1240" s="483"/>
      <c r="G1240" s="483"/>
      <c r="H1240" s="483"/>
      <c r="I1240" s="483"/>
      <c r="J1240" s="483"/>
      <c r="K1240" s="483"/>
      <c r="L1240" s="608" t="s">
        <v>4884</v>
      </c>
      <c r="M1240" s="409" t="s">
        <v>4884</v>
      </c>
      <c r="N1240" s="409" t="s">
        <v>4884</v>
      </c>
      <c r="O1240" s="410" t="s">
        <v>4884</v>
      </c>
      <c r="P1240" s="406">
        <v>1237</v>
      </c>
      <c r="Q1240" s="270" t="s">
        <v>2135</v>
      </c>
      <c r="R1240" s="523" t="s">
        <v>1883</v>
      </c>
      <c r="S1240" s="270" t="s">
        <v>1884</v>
      </c>
      <c r="U1240" s="471"/>
      <c r="V1240" s="471"/>
      <c r="W1240" s="471"/>
      <c r="X1240" s="471"/>
      <c r="Y1240" s="206"/>
      <c r="Z1240" s="206"/>
    </row>
    <row r="1241" spans="1:26">
      <c r="A1241" s="406">
        <v>1238</v>
      </c>
      <c r="B1241" s="613" t="s">
        <v>7020</v>
      </c>
      <c r="C1241" s="288" t="s">
        <v>2136</v>
      </c>
      <c r="D1241" s="414" t="s">
        <v>4884</v>
      </c>
      <c r="E1241" s="407" t="s">
        <v>4884</v>
      </c>
      <c r="F1241" s="483"/>
      <c r="G1241" s="483"/>
      <c r="H1241" s="483"/>
      <c r="I1241" s="483"/>
      <c r="J1241" s="483"/>
      <c r="K1241" s="483"/>
      <c r="L1241" s="608" t="s">
        <v>4884</v>
      </c>
      <c r="M1241" s="409" t="s">
        <v>4884</v>
      </c>
      <c r="N1241" s="409" t="s">
        <v>4884</v>
      </c>
      <c r="O1241" s="410" t="s">
        <v>4884</v>
      </c>
      <c r="P1241" s="406">
        <v>1238</v>
      </c>
      <c r="Q1241" s="270" t="s">
        <v>2136</v>
      </c>
      <c r="R1241" s="523" t="s">
        <v>1883</v>
      </c>
      <c r="S1241" s="270" t="s">
        <v>1884</v>
      </c>
      <c r="U1241" s="471"/>
      <c r="V1241" s="471"/>
      <c r="W1241" s="471"/>
      <c r="X1241" s="471"/>
      <c r="Y1241" s="206"/>
      <c r="Z1241" s="206"/>
    </row>
    <row r="1242" spans="1:26">
      <c r="A1242" s="406">
        <v>1239</v>
      </c>
      <c r="B1242" s="613" t="s">
        <v>7020</v>
      </c>
      <c r="C1242" s="288" t="s">
        <v>2137</v>
      </c>
      <c r="D1242" s="414" t="s">
        <v>4884</v>
      </c>
      <c r="E1242" s="407" t="s">
        <v>4884</v>
      </c>
      <c r="F1242" s="483"/>
      <c r="G1242" s="483"/>
      <c r="H1242" s="483"/>
      <c r="I1242" s="483"/>
      <c r="J1242" s="483"/>
      <c r="K1242" s="483"/>
      <c r="L1242" s="608" t="s">
        <v>4884</v>
      </c>
      <c r="M1242" s="409" t="s">
        <v>4884</v>
      </c>
      <c r="N1242" s="409" t="s">
        <v>4884</v>
      </c>
      <c r="O1242" s="410" t="s">
        <v>4884</v>
      </c>
      <c r="P1242" s="406">
        <v>1239</v>
      </c>
      <c r="Q1242" s="270" t="s">
        <v>2137</v>
      </c>
      <c r="R1242" s="523" t="s">
        <v>1883</v>
      </c>
      <c r="S1242" s="270" t="s">
        <v>1884</v>
      </c>
      <c r="U1242" s="471"/>
      <c r="V1242" s="471"/>
      <c r="W1242" s="471"/>
      <c r="X1242" s="471"/>
      <c r="Y1242" s="206"/>
      <c r="Z1242" s="206"/>
    </row>
    <row r="1243" spans="1:26">
      <c r="A1243" s="406">
        <v>1240</v>
      </c>
      <c r="B1243" s="613" t="s">
        <v>7020</v>
      </c>
      <c r="C1243" s="288" t="s">
        <v>2138</v>
      </c>
      <c r="D1243" s="414" t="s">
        <v>4884</v>
      </c>
      <c r="E1243" s="407" t="s">
        <v>4884</v>
      </c>
      <c r="F1243" s="483"/>
      <c r="G1243" s="483"/>
      <c r="H1243" s="483"/>
      <c r="I1243" s="483"/>
      <c r="J1243" s="483"/>
      <c r="K1243" s="483"/>
      <c r="L1243" s="608" t="s">
        <v>4884</v>
      </c>
      <c r="M1243" s="409" t="s">
        <v>4884</v>
      </c>
      <c r="N1243" s="409" t="s">
        <v>4884</v>
      </c>
      <c r="O1243" s="410" t="s">
        <v>4884</v>
      </c>
      <c r="P1243" s="406">
        <v>1240</v>
      </c>
      <c r="Q1243" s="270" t="s">
        <v>2138</v>
      </c>
      <c r="R1243" s="523" t="s">
        <v>1883</v>
      </c>
      <c r="S1243" s="270" t="s">
        <v>1884</v>
      </c>
      <c r="U1243" s="471"/>
      <c r="V1243" s="471"/>
      <c r="W1243" s="471"/>
      <c r="X1243" s="471"/>
      <c r="Y1243" s="206"/>
      <c r="Z1243" s="206"/>
    </row>
    <row r="1244" spans="1:26">
      <c r="A1244" s="406">
        <v>1241</v>
      </c>
      <c r="B1244" s="613" t="s">
        <v>7020</v>
      </c>
      <c r="C1244" s="288" t="s">
        <v>2139</v>
      </c>
      <c r="D1244" s="414" t="s">
        <v>4884</v>
      </c>
      <c r="E1244" s="407" t="s">
        <v>4884</v>
      </c>
      <c r="F1244" s="483"/>
      <c r="G1244" s="483"/>
      <c r="H1244" s="483"/>
      <c r="I1244" s="483"/>
      <c r="J1244" s="483"/>
      <c r="K1244" s="483"/>
      <c r="L1244" s="608" t="s">
        <v>4884</v>
      </c>
      <c r="M1244" s="409" t="s">
        <v>4884</v>
      </c>
      <c r="N1244" s="409" t="s">
        <v>4884</v>
      </c>
      <c r="O1244" s="410" t="s">
        <v>4884</v>
      </c>
      <c r="P1244" s="406">
        <v>1241</v>
      </c>
      <c r="Q1244" s="270" t="s">
        <v>2139</v>
      </c>
      <c r="R1244" s="523" t="s">
        <v>1883</v>
      </c>
      <c r="S1244" s="270" t="s">
        <v>1884</v>
      </c>
      <c r="U1244" s="471"/>
      <c r="V1244" s="471"/>
      <c r="W1244" s="471"/>
      <c r="X1244" s="471"/>
      <c r="Y1244" s="206"/>
      <c r="Z1244" s="206"/>
    </row>
    <row r="1245" spans="1:26">
      <c r="A1245" s="406">
        <v>1242</v>
      </c>
      <c r="B1245" s="613" t="s">
        <v>7020</v>
      </c>
      <c r="C1245" s="288" t="s">
        <v>2140</v>
      </c>
      <c r="D1245" s="414" t="s">
        <v>4884</v>
      </c>
      <c r="E1245" s="407" t="s">
        <v>4884</v>
      </c>
      <c r="F1245" s="483"/>
      <c r="G1245" s="483"/>
      <c r="H1245" s="483"/>
      <c r="I1245" s="483"/>
      <c r="J1245" s="483"/>
      <c r="K1245" s="483"/>
      <c r="L1245" s="608" t="s">
        <v>4884</v>
      </c>
      <c r="M1245" s="409" t="s">
        <v>4884</v>
      </c>
      <c r="N1245" s="409" t="s">
        <v>4884</v>
      </c>
      <c r="O1245" s="410" t="s">
        <v>4884</v>
      </c>
      <c r="P1245" s="406">
        <v>1242</v>
      </c>
      <c r="Q1245" s="270" t="s">
        <v>2140</v>
      </c>
      <c r="R1245" s="523" t="s">
        <v>1883</v>
      </c>
      <c r="S1245" s="270" t="s">
        <v>1884</v>
      </c>
      <c r="U1245" s="471"/>
      <c r="V1245" s="471"/>
      <c r="W1245" s="471"/>
      <c r="X1245" s="471"/>
      <c r="Y1245" s="206"/>
      <c r="Z1245" s="206"/>
    </row>
    <row r="1246" spans="1:26">
      <c r="A1246" s="406">
        <v>1243</v>
      </c>
      <c r="B1246" s="613" t="s">
        <v>7020</v>
      </c>
      <c r="C1246" s="288" t="s">
        <v>2141</v>
      </c>
      <c r="D1246" s="414" t="s">
        <v>4884</v>
      </c>
      <c r="E1246" s="407" t="s">
        <v>4884</v>
      </c>
      <c r="F1246" s="483"/>
      <c r="G1246" s="483"/>
      <c r="H1246" s="483"/>
      <c r="I1246" s="483"/>
      <c r="J1246" s="483"/>
      <c r="K1246" s="483"/>
      <c r="L1246" s="608" t="s">
        <v>4884</v>
      </c>
      <c r="M1246" s="409" t="s">
        <v>4884</v>
      </c>
      <c r="N1246" s="409" t="s">
        <v>4884</v>
      </c>
      <c r="O1246" s="410" t="s">
        <v>4884</v>
      </c>
      <c r="P1246" s="406">
        <v>1243</v>
      </c>
      <c r="Q1246" s="270" t="s">
        <v>2141</v>
      </c>
      <c r="R1246" s="523" t="s">
        <v>1883</v>
      </c>
      <c r="S1246" s="270" t="s">
        <v>1884</v>
      </c>
      <c r="U1246" s="471"/>
      <c r="V1246" s="471"/>
      <c r="W1246" s="471"/>
      <c r="X1246" s="471"/>
      <c r="Y1246" s="206"/>
      <c r="Z1246" s="206"/>
    </row>
    <row r="1247" spans="1:26">
      <c r="A1247" s="406">
        <v>1244</v>
      </c>
      <c r="B1247" s="613" t="s">
        <v>7020</v>
      </c>
      <c r="C1247" s="288" t="s">
        <v>2142</v>
      </c>
      <c r="D1247" s="414" t="s">
        <v>4884</v>
      </c>
      <c r="E1247" s="407" t="s">
        <v>4884</v>
      </c>
      <c r="F1247" s="483"/>
      <c r="G1247" s="483"/>
      <c r="H1247" s="483"/>
      <c r="I1247" s="483"/>
      <c r="J1247" s="483"/>
      <c r="K1247" s="483"/>
      <c r="L1247" s="608" t="s">
        <v>4884</v>
      </c>
      <c r="M1247" s="409" t="s">
        <v>4884</v>
      </c>
      <c r="N1247" s="409" t="s">
        <v>4884</v>
      </c>
      <c r="O1247" s="410" t="s">
        <v>4884</v>
      </c>
      <c r="P1247" s="406">
        <v>1244</v>
      </c>
      <c r="Q1247" s="270" t="s">
        <v>2142</v>
      </c>
      <c r="R1247" s="523" t="s">
        <v>1883</v>
      </c>
      <c r="S1247" s="270" t="s">
        <v>1884</v>
      </c>
      <c r="U1247" s="471"/>
      <c r="V1247" s="471"/>
      <c r="W1247" s="471"/>
      <c r="X1247" s="471"/>
      <c r="Y1247" s="206"/>
      <c r="Z1247" s="206"/>
    </row>
    <row r="1248" spans="1:26">
      <c r="A1248" s="406">
        <v>1245</v>
      </c>
      <c r="B1248" s="613" t="s">
        <v>7020</v>
      </c>
      <c r="C1248" s="288" t="s">
        <v>2143</v>
      </c>
      <c r="D1248" s="414" t="s">
        <v>4884</v>
      </c>
      <c r="E1248" s="407" t="s">
        <v>4884</v>
      </c>
      <c r="F1248" s="483"/>
      <c r="G1248" s="483"/>
      <c r="H1248" s="483"/>
      <c r="I1248" s="483"/>
      <c r="J1248" s="483"/>
      <c r="K1248" s="483"/>
      <c r="L1248" s="608" t="s">
        <v>4884</v>
      </c>
      <c r="M1248" s="409" t="s">
        <v>4884</v>
      </c>
      <c r="N1248" s="409" t="s">
        <v>4884</v>
      </c>
      <c r="O1248" s="410" t="s">
        <v>4884</v>
      </c>
      <c r="P1248" s="406">
        <v>1245</v>
      </c>
      <c r="Q1248" s="270" t="s">
        <v>2143</v>
      </c>
      <c r="R1248" s="523" t="s">
        <v>1883</v>
      </c>
      <c r="S1248" s="270" t="s">
        <v>1884</v>
      </c>
      <c r="U1248" s="471"/>
      <c r="V1248" s="471"/>
      <c r="W1248" s="471"/>
      <c r="X1248" s="471"/>
      <c r="Y1248" s="206"/>
      <c r="Z1248" s="206"/>
    </row>
    <row r="1249" spans="1:26">
      <c r="A1249" s="406">
        <v>1246</v>
      </c>
      <c r="B1249" s="613" t="s">
        <v>7020</v>
      </c>
      <c r="C1249" s="288" t="s">
        <v>2144</v>
      </c>
      <c r="D1249" s="414" t="s">
        <v>4884</v>
      </c>
      <c r="E1249" s="407" t="s">
        <v>4884</v>
      </c>
      <c r="F1249" s="483"/>
      <c r="G1249" s="483"/>
      <c r="H1249" s="483"/>
      <c r="I1249" s="483"/>
      <c r="J1249" s="483"/>
      <c r="K1249" s="483"/>
      <c r="L1249" s="608" t="s">
        <v>4884</v>
      </c>
      <c r="M1249" s="409" t="s">
        <v>4884</v>
      </c>
      <c r="N1249" s="409" t="s">
        <v>4884</v>
      </c>
      <c r="O1249" s="410" t="s">
        <v>4884</v>
      </c>
      <c r="P1249" s="406">
        <v>1246</v>
      </c>
      <c r="Q1249" s="270" t="s">
        <v>2144</v>
      </c>
      <c r="R1249" s="523" t="s">
        <v>1883</v>
      </c>
      <c r="S1249" s="270" t="s">
        <v>1884</v>
      </c>
      <c r="U1249" s="471"/>
      <c r="V1249" s="471"/>
      <c r="W1249" s="471"/>
      <c r="X1249" s="471"/>
      <c r="Y1249" s="206"/>
      <c r="Z1249" s="206"/>
    </row>
    <row r="1250" spans="1:26">
      <c r="A1250" s="406">
        <v>1247</v>
      </c>
      <c r="B1250" s="613" t="s">
        <v>7020</v>
      </c>
      <c r="C1250" s="288" t="s">
        <v>2145</v>
      </c>
      <c r="D1250" s="414" t="s">
        <v>4884</v>
      </c>
      <c r="E1250" s="407" t="s">
        <v>4884</v>
      </c>
      <c r="F1250" s="483"/>
      <c r="G1250" s="483"/>
      <c r="H1250" s="483"/>
      <c r="I1250" s="483"/>
      <c r="J1250" s="483"/>
      <c r="K1250" s="483"/>
      <c r="L1250" s="608" t="s">
        <v>4884</v>
      </c>
      <c r="M1250" s="409" t="s">
        <v>4884</v>
      </c>
      <c r="N1250" s="409" t="s">
        <v>4884</v>
      </c>
      <c r="O1250" s="410" t="s">
        <v>4884</v>
      </c>
      <c r="P1250" s="406">
        <v>1247</v>
      </c>
      <c r="Q1250" s="270" t="s">
        <v>2145</v>
      </c>
      <c r="R1250" s="523" t="s">
        <v>1883</v>
      </c>
      <c r="S1250" s="270" t="s">
        <v>1884</v>
      </c>
      <c r="U1250" s="471"/>
      <c r="V1250" s="471"/>
      <c r="W1250" s="471"/>
      <c r="X1250" s="471"/>
      <c r="Y1250" s="206"/>
      <c r="Z1250" s="206"/>
    </row>
    <row r="1251" spans="1:26">
      <c r="A1251" s="406">
        <v>1248</v>
      </c>
      <c r="B1251" s="613" t="s">
        <v>7020</v>
      </c>
      <c r="C1251" s="288" t="s">
        <v>2146</v>
      </c>
      <c r="D1251" s="414" t="s">
        <v>4884</v>
      </c>
      <c r="E1251" s="407" t="s">
        <v>4884</v>
      </c>
      <c r="F1251" s="483"/>
      <c r="G1251" s="483"/>
      <c r="H1251" s="483"/>
      <c r="I1251" s="483"/>
      <c r="J1251" s="483"/>
      <c r="K1251" s="483"/>
      <c r="L1251" s="608" t="s">
        <v>4884</v>
      </c>
      <c r="M1251" s="409" t="s">
        <v>4884</v>
      </c>
      <c r="N1251" s="409" t="s">
        <v>4884</v>
      </c>
      <c r="O1251" s="410" t="s">
        <v>4884</v>
      </c>
      <c r="P1251" s="406">
        <v>1248</v>
      </c>
      <c r="Q1251" s="270" t="s">
        <v>2146</v>
      </c>
      <c r="R1251" s="523" t="s">
        <v>1883</v>
      </c>
      <c r="S1251" s="270" t="s">
        <v>1884</v>
      </c>
      <c r="U1251" s="471"/>
      <c r="V1251" s="471"/>
      <c r="W1251" s="471"/>
      <c r="X1251" s="471"/>
      <c r="Y1251" s="206"/>
      <c r="Z1251" s="206"/>
    </row>
    <row r="1252" spans="1:26">
      <c r="A1252" s="406">
        <v>1249</v>
      </c>
      <c r="B1252" s="613" t="s">
        <v>7020</v>
      </c>
      <c r="C1252" s="288" t="s">
        <v>2147</v>
      </c>
      <c r="D1252" s="414" t="s">
        <v>4884</v>
      </c>
      <c r="E1252" s="407" t="s">
        <v>4884</v>
      </c>
      <c r="F1252" s="483"/>
      <c r="G1252" s="483"/>
      <c r="H1252" s="483"/>
      <c r="I1252" s="483"/>
      <c r="J1252" s="483"/>
      <c r="K1252" s="483"/>
      <c r="L1252" s="608" t="s">
        <v>4884</v>
      </c>
      <c r="M1252" s="409" t="s">
        <v>4884</v>
      </c>
      <c r="N1252" s="409" t="s">
        <v>4884</v>
      </c>
      <c r="O1252" s="410" t="s">
        <v>4884</v>
      </c>
      <c r="P1252" s="406">
        <v>1249</v>
      </c>
      <c r="Q1252" s="270" t="s">
        <v>2147</v>
      </c>
      <c r="R1252" s="523" t="s">
        <v>1883</v>
      </c>
      <c r="S1252" s="270" t="s">
        <v>1884</v>
      </c>
      <c r="U1252" s="471"/>
      <c r="V1252" s="471"/>
      <c r="W1252" s="471"/>
      <c r="X1252" s="471"/>
      <c r="Y1252" s="206"/>
      <c r="Z1252" s="206"/>
    </row>
    <row r="1253" spans="1:26">
      <c r="A1253" s="406">
        <v>1250</v>
      </c>
      <c r="B1253" s="613" t="s">
        <v>7020</v>
      </c>
      <c r="C1253" s="288" t="s">
        <v>2148</v>
      </c>
      <c r="D1253" s="414" t="s">
        <v>4884</v>
      </c>
      <c r="E1253" s="407" t="s">
        <v>4884</v>
      </c>
      <c r="F1253" s="483"/>
      <c r="G1253" s="483"/>
      <c r="H1253" s="483"/>
      <c r="I1253" s="483"/>
      <c r="J1253" s="483"/>
      <c r="K1253" s="483"/>
      <c r="L1253" s="608" t="s">
        <v>4884</v>
      </c>
      <c r="M1253" s="409" t="s">
        <v>4884</v>
      </c>
      <c r="N1253" s="409" t="s">
        <v>4884</v>
      </c>
      <c r="O1253" s="410" t="s">
        <v>4884</v>
      </c>
      <c r="P1253" s="406">
        <v>1250</v>
      </c>
      <c r="Q1253" s="270" t="s">
        <v>2148</v>
      </c>
      <c r="R1253" s="523" t="s">
        <v>1883</v>
      </c>
      <c r="S1253" s="270" t="s">
        <v>1884</v>
      </c>
      <c r="U1253" s="471"/>
      <c r="V1253" s="471"/>
      <c r="W1253" s="471"/>
      <c r="X1253" s="471"/>
      <c r="Y1253" s="206"/>
      <c r="Z1253" s="206"/>
    </row>
    <row r="1254" spans="1:26">
      <c r="A1254" s="406">
        <v>1251</v>
      </c>
      <c r="B1254" s="613" t="s">
        <v>7020</v>
      </c>
      <c r="C1254" s="288" t="s">
        <v>2149</v>
      </c>
      <c r="D1254" s="414" t="s">
        <v>4884</v>
      </c>
      <c r="E1254" s="407" t="s">
        <v>4884</v>
      </c>
      <c r="F1254" s="483"/>
      <c r="G1254" s="483"/>
      <c r="H1254" s="483"/>
      <c r="I1254" s="483"/>
      <c r="J1254" s="483"/>
      <c r="K1254" s="483"/>
      <c r="L1254" s="608" t="s">
        <v>4884</v>
      </c>
      <c r="M1254" s="409" t="s">
        <v>4884</v>
      </c>
      <c r="N1254" s="409" t="s">
        <v>4884</v>
      </c>
      <c r="O1254" s="410" t="s">
        <v>4884</v>
      </c>
      <c r="P1254" s="406">
        <v>1251</v>
      </c>
      <c r="Q1254" s="270" t="s">
        <v>2149</v>
      </c>
      <c r="R1254" s="523" t="s">
        <v>1883</v>
      </c>
      <c r="S1254" s="270" t="s">
        <v>1884</v>
      </c>
      <c r="U1254" s="471"/>
      <c r="V1254" s="471"/>
      <c r="W1254" s="471"/>
      <c r="X1254" s="471"/>
      <c r="Y1254" s="206"/>
      <c r="Z1254" s="206"/>
    </row>
    <row r="1255" spans="1:26">
      <c r="A1255" s="406">
        <v>1252</v>
      </c>
      <c r="B1255" s="613" t="s">
        <v>7020</v>
      </c>
      <c r="C1255" s="288" t="s">
        <v>2150</v>
      </c>
      <c r="D1255" s="414" t="s">
        <v>4884</v>
      </c>
      <c r="E1255" s="407" t="s">
        <v>4884</v>
      </c>
      <c r="F1255" s="483"/>
      <c r="G1255" s="483"/>
      <c r="H1255" s="483"/>
      <c r="I1255" s="483"/>
      <c r="J1255" s="483"/>
      <c r="K1255" s="483"/>
      <c r="L1255" s="608" t="s">
        <v>4884</v>
      </c>
      <c r="M1255" s="409" t="s">
        <v>4884</v>
      </c>
      <c r="N1255" s="409" t="s">
        <v>4884</v>
      </c>
      <c r="O1255" s="410" t="s">
        <v>4884</v>
      </c>
      <c r="P1255" s="406">
        <v>1252</v>
      </c>
      <c r="Q1255" s="270" t="s">
        <v>2150</v>
      </c>
      <c r="R1255" s="523" t="s">
        <v>1883</v>
      </c>
      <c r="S1255" s="270" t="s">
        <v>1884</v>
      </c>
      <c r="U1255" s="471"/>
      <c r="V1255" s="471"/>
      <c r="W1255" s="471"/>
      <c r="X1255" s="471"/>
      <c r="Y1255" s="206"/>
      <c r="Z1255" s="206"/>
    </row>
    <row r="1256" spans="1:26">
      <c r="A1256" s="406">
        <v>1253</v>
      </c>
      <c r="B1256" s="613" t="s">
        <v>7020</v>
      </c>
      <c r="C1256" s="288" t="s">
        <v>2151</v>
      </c>
      <c r="D1256" s="414" t="s">
        <v>4884</v>
      </c>
      <c r="E1256" s="407" t="s">
        <v>4884</v>
      </c>
      <c r="F1256" s="483"/>
      <c r="G1256" s="483"/>
      <c r="H1256" s="483"/>
      <c r="I1256" s="483"/>
      <c r="J1256" s="483"/>
      <c r="K1256" s="483"/>
      <c r="L1256" s="608" t="s">
        <v>4884</v>
      </c>
      <c r="M1256" s="409" t="s">
        <v>4884</v>
      </c>
      <c r="N1256" s="409" t="s">
        <v>4884</v>
      </c>
      <c r="O1256" s="410" t="s">
        <v>4884</v>
      </c>
      <c r="P1256" s="406">
        <v>1253</v>
      </c>
      <c r="Q1256" s="270" t="s">
        <v>2151</v>
      </c>
      <c r="R1256" s="523" t="s">
        <v>1883</v>
      </c>
      <c r="S1256" s="270" t="s">
        <v>1884</v>
      </c>
      <c r="U1256" s="471"/>
      <c r="V1256" s="471"/>
      <c r="W1256" s="471"/>
      <c r="X1256" s="471"/>
      <c r="Y1256" s="206"/>
      <c r="Z1256" s="206"/>
    </row>
    <row r="1257" spans="1:26">
      <c r="A1257" s="406">
        <v>1254</v>
      </c>
      <c r="B1257" s="613" t="s">
        <v>7020</v>
      </c>
      <c r="C1257" s="288" t="s">
        <v>2152</v>
      </c>
      <c r="D1257" s="414" t="s">
        <v>4884</v>
      </c>
      <c r="E1257" s="407" t="s">
        <v>4884</v>
      </c>
      <c r="F1257" s="483"/>
      <c r="G1257" s="483"/>
      <c r="H1257" s="483"/>
      <c r="I1257" s="483"/>
      <c r="J1257" s="483"/>
      <c r="K1257" s="483"/>
      <c r="L1257" s="608" t="s">
        <v>4884</v>
      </c>
      <c r="M1257" s="409" t="s">
        <v>4884</v>
      </c>
      <c r="N1257" s="409" t="s">
        <v>4884</v>
      </c>
      <c r="O1257" s="410" t="s">
        <v>4884</v>
      </c>
      <c r="P1257" s="406">
        <v>1254</v>
      </c>
      <c r="Q1257" s="270" t="s">
        <v>2152</v>
      </c>
      <c r="R1257" s="523" t="s">
        <v>1883</v>
      </c>
      <c r="S1257" s="270" t="s">
        <v>1884</v>
      </c>
      <c r="U1257" s="471"/>
      <c r="V1257" s="471"/>
      <c r="W1257" s="471"/>
      <c r="X1257" s="471"/>
      <c r="Y1257" s="206"/>
      <c r="Z1257" s="206"/>
    </row>
    <row r="1258" spans="1:26">
      <c r="A1258" s="406">
        <v>1255</v>
      </c>
      <c r="B1258" s="613" t="s">
        <v>7020</v>
      </c>
      <c r="C1258" s="288" t="s">
        <v>2153</v>
      </c>
      <c r="D1258" s="414" t="s">
        <v>4884</v>
      </c>
      <c r="E1258" s="407" t="s">
        <v>4884</v>
      </c>
      <c r="F1258" s="483"/>
      <c r="G1258" s="483"/>
      <c r="H1258" s="483"/>
      <c r="I1258" s="483"/>
      <c r="J1258" s="483"/>
      <c r="K1258" s="483"/>
      <c r="L1258" s="608" t="s">
        <v>4884</v>
      </c>
      <c r="M1258" s="409" t="s">
        <v>4884</v>
      </c>
      <c r="N1258" s="409" t="s">
        <v>4884</v>
      </c>
      <c r="O1258" s="410" t="s">
        <v>4884</v>
      </c>
      <c r="P1258" s="406">
        <v>1255</v>
      </c>
      <c r="Q1258" s="270" t="s">
        <v>2153</v>
      </c>
      <c r="R1258" s="523" t="s">
        <v>1883</v>
      </c>
      <c r="S1258" s="270" t="s">
        <v>1884</v>
      </c>
      <c r="U1258" s="471"/>
      <c r="V1258" s="471"/>
      <c r="W1258" s="471"/>
      <c r="X1258" s="471"/>
      <c r="Y1258" s="206"/>
      <c r="Z1258" s="206"/>
    </row>
    <row r="1259" spans="1:26">
      <c r="A1259" s="406">
        <v>1256</v>
      </c>
      <c r="B1259" s="613" t="s">
        <v>7020</v>
      </c>
      <c r="C1259" s="288" t="s">
        <v>2154</v>
      </c>
      <c r="D1259" s="414" t="s">
        <v>4884</v>
      </c>
      <c r="E1259" s="407" t="s">
        <v>4884</v>
      </c>
      <c r="F1259" s="483"/>
      <c r="G1259" s="483"/>
      <c r="H1259" s="483"/>
      <c r="I1259" s="483"/>
      <c r="J1259" s="483"/>
      <c r="K1259" s="483"/>
      <c r="L1259" s="608" t="s">
        <v>4884</v>
      </c>
      <c r="M1259" s="409" t="s">
        <v>4884</v>
      </c>
      <c r="N1259" s="409" t="s">
        <v>4884</v>
      </c>
      <c r="O1259" s="410" t="s">
        <v>4884</v>
      </c>
      <c r="P1259" s="406">
        <v>1256</v>
      </c>
      <c r="Q1259" s="270" t="s">
        <v>2154</v>
      </c>
      <c r="R1259" s="523" t="s">
        <v>1883</v>
      </c>
      <c r="S1259" s="270" t="s">
        <v>1884</v>
      </c>
      <c r="U1259" s="471"/>
      <c r="V1259" s="471"/>
      <c r="W1259" s="471"/>
      <c r="X1259" s="471"/>
      <c r="Y1259" s="206"/>
      <c r="Z1259" s="206"/>
    </row>
    <row r="1260" spans="1:26">
      <c r="A1260" s="406">
        <v>1257</v>
      </c>
      <c r="B1260" s="613" t="s">
        <v>7020</v>
      </c>
      <c r="C1260" s="288" t="s">
        <v>2155</v>
      </c>
      <c r="D1260" s="414" t="s">
        <v>4884</v>
      </c>
      <c r="E1260" s="407" t="s">
        <v>4884</v>
      </c>
      <c r="F1260" s="483"/>
      <c r="G1260" s="483"/>
      <c r="H1260" s="483"/>
      <c r="I1260" s="483"/>
      <c r="J1260" s="483"/>
      <c r="K1260" s="483"/>
      <c r="L1260" s="608" t="s">
        <v>4884</v>
      </c>
      <c r="M1260" s="409" t="s">
        <v>4884</v>
      </c>
      <c r="N1260" s="409" t="s">
        <v>4884</v>
      </c>
      <c r="O1260" s="410" t="s">
        <v>4884</v>
      </c>
      <c r="P1260" s="406">
        <v>1257</v>
      </c>
      <c r="Q1260" s="270" t="s">
        <v>2155</v>
      </c>
      <c r="R1260" s="523" t="s">
        <v>1883</v>
      </c>
      <c r="S1260" s="270" t="s">
        <v>1884</v>
      </c>
      <c r="U1260" s="471"/>
      <c r="V1260" s="471"/>
      <c r="W1260" s="471"/>
      <c r="X1260" s="471"/>
      <c r="Y1260" s="206"/>
      <c r="Z1260" s="206"/>
    </row>
    <row r="1261" spans="1:26">
      <c r="A1261" s="406">
        <v>1258</v>
      </c>
      <c r="B1261" s="613" t="s">
        <v>7020</v>
      </c>
      <c r="C1261" s="288" t="s">
        <v>2156</v>
      </c>
      <c r="D1261" s="414" t="s">
        <v>4884</v>
      </c>
      <c r="E1261" s="407" t="s">
        <v>4884</v>
      </c>
      <c r="F1261" s="483"/>
      <c r="G1261" s="483"/>
      <c r="H1261" s="483"/>
      <c r="I1261" s="483"/>
      <c r="J1261" s="483"/>
      <c r="K1261" s="483"/>
      <c r="L1261" s="608" t="s">
        <v>4884</v>
      </c>
      <c r="M1261" s="409" t="s">
        <v>4884</v>
      </c>
      <c r="N1261" s="409" t="s">
        <v>4884</v>
      </c>
      <c r="O1261" s="410" t="s">
        <v>4884</v>
      </c>
      <c r="P1261" s="406">
        <v>1258</v>
      </c>
      <c r="Q1261" s="270" t="s">
        <v>2156</v>
      </c>
      <c r="R1261" s="523" t="s">
        <v>1883</v>
      </c>
      <c r="S1261" s="270" t="s">
        <v>1884</v>
      </c>
      <c r="U1261" s="471"/>
      <c r="V1261" s="471"/>
      <c r="W1261" s="471"/>
      <c r="X1261" s="471"/>
      <c r="Y1261" s="206"/>
      <c r="Z1261" s="206"/>
    </row>
    <row r="1262" spans="1:26">
      <c r="A1262" s="406">
        <v>1259</v>
      </c>
      <c r="B1262" s="613" t="s">
        <v>7020</v>
      </c>
      <c r="C1262" s="288" t="s">
        <v>2157</v>
      </c>
      <c r="D1262" s="414" t="s">
        <v>4884</v>
      </c>
      <c r="E1262" s="407" t="s">
        <v>4884</v>
      </c>
      <c r="F1262" s="483"/>
      <c r="G1262" s="483"/>
      <c r="H1262" s="483"/>
      <c r="I1262" s="483"/>
      <c r="J1262" s="483"/>
      <c r="K1262" s="483"/>
      <c r="L1262" s="608" t="s">
        <v>4884</v>
      </c>
      <c r="M1262" s="409" t="s">
        <v>4884</v>
      </c>
      <c r="N1262" s="409" t="s">
        <v>4884</v>
      </c>
      <c r="O1262" s="410" t="s">
        <v>4884</v>
      </c>
      <c r="P1262" s="406">
        <v>1259</v>
      </c>
      <c r="Q1262" s="270" t="s">
        <v>2157</v>
      </c>
      <c r="R1262" s="523" t="s">
        <v>1883</v>
      </c>
      <c r="S1262" s="270" t="s">
        <v>1884</v>
      </c>
      <c r="U1262" s="471"/>
      <c r="V1262" s="471"/>
      <c r="W1262" s="471"/>
      <c r="X1262" s="471"/>
      <c r="Y1262" s="206"/>
      <c r="Z1262" s="206"/>
    </row>
    <row r="1263" spans="1:26">
      <c r="A1263" s="406">
        <v>1260</v>
      </c>
      <c r="B1263" s="613" t="s">
        <v>7020</v>
      </c>
      <c r="C1263" s="288" t="s">
        <v>2158</v>
      </c>
      <c r="D1263" s="414" t="s">
        <v>4884</v>
      </c>
      <c r="E1263" s="407" t="s">
        <v>4884</v>
      </c>
      <c r="F1263" s="483"/>
      <c r="G1263" s="483"/>
      <c r="H1263" s="483"/>
      <c r="I1263" s="483"/>
      <c r="J1263" s="483"/>
      <c r="K1263" s="483"/>
      <c r="L1263" s="608" t="s">
        <v>4884</v>
      </c>
      <c r="M1263" s="409" t="s">
        <v>4884</v>
      </c>
      <c r="N1263" s="409" t="s">
        <v>4884</v>
      </c>
      <c r="O1263" s="410" t="s">
        <v>4884</v>
      </c>
      <c r="P1263" s="406">
        <v>1260</v>
      </c>
      <c r="Q1263" s="270" t="s">
        <v>2158</v>
      </c>
      <c r="R1263" s="523" t="s">
        <v>1883</v>
      </c>
      <c r="S1263" s="270" t="s">
        <v>1884</v>
      </c>
      <c r="U1263" s="471"/>
      <c r="V1263" s="471"/>
      <c r="W1263" s="471"/>
      <c r="X1263" s="471"/>
      <c r="Y1263" s="206"/>
      <c r="Z1263" s="206"/>
    </row>
    <row r="1264" spans="1:26">
      <c r="A1264" s="406">
        <v>1261</v>
      </c>
      <c r="B1264" s="613" t="s">
        <v>7020</v>
      </c>
      <c r="C1264" s="288" t="s">
        <v>2159</v>
      </c>
      <c r="D1264" s="414" t="s">
        <v>4884</v>
      </c>
      <c r="E1264" s="407" t="s">
        <v>4884</v>
      </c>
      <c r="F1264" s="483"/>
      <c r="G1264" s="483"/>
      <c r="H1264" s="483"/>
      <c r="I1264" s="483"/>
      <c r="J1264" s="483"/>
      <c r="K1264" s="483"/>
      <c r="L1264" s="608" t="s">
        <v>4884</v>
      </c>
      <c r="M1264" s="409" t="s">
        <v>4884</v>
      </c>
      <c r="N1264" s="409" t="s">
        <v>4884</v>
      </c>
      <c r="O1264" s="410" t="s">
        <v>4884</v>
      </c>
      <c r="P1264" s="406">
        <v>1261</v>
      </c>
      <c r="Q1264" s="270" t="s">
        <v>2159</v>
      </c>
      <c r="R1264" s="523" t="s">
        <v>1883</v>
      </c>
      <c r="S1264" s="270" t="s">
        <v>1884</v>
      </c>
      <c r="U1264" s="471"/>
      <c r="V1264" s="471"/>
      <c r="W1264" s="471"/>
      <c r="X1264" s="471"/>
      <c r="Y1264" s="206"/>
      <c r="Z1264" s="206"/>
    </row>
    <row r="1265" spans="1:26">
      <c r="A1265" s="406">
        <v>1262</v>
      </c>
      <c r="B1265" s="613" t="s">
        <v>7020</v>
      </c>
      <c r="C1265" s="288" t="s">
        <v>2160</v>
      </c>
      <c r="D1265" s="414" t="s">
        <v>4884</v>
      </c>
      <c r="E1265" s="407" t="s">
        <v>4884</v>
      </c>
      <c r="F1265" s="483"/>
      <c r="G1265" s="483"/>
      <c r="H1265" s="483"/>
      <c r="I1265" s="483"/>
      <c r="J1265" s="483"/>
      <c r="K1265" s="483"/>
      <c r="L1265" s="608" t="s">
        <v>4884</v>
      </c>
      <c r="M1265" s="409" t="s">
        <v>4884</v>
      </c>
      <c r="N1265" s="409" t="s">
        <v>4884</v>
      </c>
      <c r="O1265" s="410" t="s">
        <v>4884</v>
      </c>
      <c r="P1265" s="406">
        <v>1262</v>
      </c>
      <c r="Q1265" s="270" t="s">
        <v>2160</v>
      </c>
      <c r="R1265" s="523" t="s">
        <v>1883</v>
      </c>
      <c r="S1265" s="270" t="s">
        <v>1884</v>
      </c>
      <c r="U1265" s="471"/>
      <c r="V1265" s="471"/>
      <c r="W1265" s="471"/>
      <c r="X1265" s="471"/>
      <c r="Y1265" s="206"/>
      <c r="Z1265" s="206"/>
    </row>
    <row r="1266" spans="1:26">
      <c r="A1266" s="406">
        <v>1263</v>
      </c>
      <c r="B1266" s="613" t="s">
        <v>7020</v>
      </c>
      <c r="C1266" s="288" t="s">
        <v>2161</v>
      </c>
      <c r="D1266" s="414" t="s">
        <v>4884</v>
      </c>
      <c r="E1266" s="407" t="s">
        <v>4884</v>
      </c>
      <c r="F1266" s="483"/>
      <c r="G1266" s="483"/>
      <c r="H1266" s="483"/>
      <c r="I1266" s="483"/>
      <c r="J1266" s="483"/>
      <c r="K1266" s="483"/>
      <c r="L1266" s="608" t="s">
        <v>4884</v>
      </c>
      <c r="M1266" s="409" t="s">
        <v>4884</v>
      </c>
      <c r="N1266" s="409" t="s">
        <v>4884</v>
      </c>
      <c r="O1266" s="410" t="s">
        <v>4884</v>
      </c>
      <c r="P1266" s="406">
        <v>1263</v>
      </c>
      <c r="Q1266" s="270" t="s">
        <v>2161</v>
      </c>
      <c r="R1266" s="523" t="s">
        <v>1883</v>
      </c>
      <c r="S1266" s="270" t="s">
        <v>1884</v>
      </c>
      <c r="U1266" s="471"/>
      <c r="V1266" s="471"/>
      <c r="W1266" s="471"/>
      <c r="X1266" s="471"/>
      <c r="Y1266" s="206"/>
      <c r="Z1266" s="206"/>
    </row>
    <row r="1267" spans="1:26">
      <c r="A1267" s="406">
        <v>1264</v>
      </c>
      <c r="B1267" s="613" t="s">
        <v>7020</v>
      </c>
      <c r="C1267" s="288" t="s">
        <v>2162</v>
      </c>
      <c r="D1267" s="414" t="s">
        <v>4884</v>
      </c>
      <c r="E1267" s="407" t="s">
        <v>4884</v>
      </c>
      <c r="F1267" s="483"/>
      <c r="G1267" s="483"/>
      <c r="H1267" s="483"/>
      <c r="I1267" s="483"/>
      <c r="J1267" s="483"/>
      <c r="K1267" s="483"/>
      <c r="L1267" s="608" t="s">
        <v>4884</v>
      </c>
      <c r="M1267" s="409" t="s">
        <v>4884</v>
      </c>
      <c r="N1267" s="409" t="s">
        <v>4884</v>
      </c>
      <c r="O1267" s="410" t="s">
        <v>4884</v>
      </c>
      <c r="P1267" s="406">
        <v>1264</v>
      </c>
      <c r="Q1267" s="270" t="s">
        <v>2162</v>
      </c>
      <c r="R1267" s="523" t="s">
        <v>1883</v>
      </c>
      <c r="S1267" s="270" t="s">
        <v>1884</v>
      </c>
      <c r="U1267" s="471"/>
      <c r="V1267" s="471"/>
      <c r="W1267" s="471"/>
      <c r="X1267" s="471"/>
      <c r="Y1267" s="206"/>
      <c r="Z1267" s="206"/>
    </row>
    <row r="1268" spans="1:26">
      <c r="A1268" s="406">
        <v>1265</v>
      </c>
      <c r="B1268" s="613" t="s">
        <v>7020</v>
      </c>
      <c r="C1268" s="288" t="s">
        <v>2163</v>
      </c>
      <c r="D1268" s="414" t="s">
        <v>4884</v>
      </c>
      <c r="E1268" s="407" t="s">
        <v>4884</v>
      </c>
      <c r="F1268" s="483"/>
      <c r="G1268" s="483"/>
      <c r="H1268" s="483"/>
      <c r="I1268" s="483"/>
      <c r="J1268" s="483"/>
      <c r="K1268" s="483"/>
      <c r="L1268" s="608" t="s">
        <v>4884</v>
      </c>
      <c r="M1268" s="409" t="s">
        <v>4884</v>
      </c>
      <c r="N1268" s="409" t="s">
        <v>4884</v>
      </c>
      <c r="O1268" s="410" t="s">
        <v>4884</v>
      </c>
      <c r="P1268" s="406">
        <v>1265</v>
      </c>
      <c r="Q1268" s="270" t="s">
        <v>2163</v>
      </c>
      <c r="R1268" s="523" t="s">
        <v>1883</v>
      </c>
      <c r="S1268" s="270" t="s">
        <v>1884</v>
      </c>
      <c r="U1268" s="471"/>
      <c r="V1268" s="471"/>
      <c r="W1268" s="471"/>
      <c r="X1268" s="471"/>
      <c r="Y1268" s="206"/>
      <c r="Z1268" s="206"/>
    </row>
    <row r="1269" spans="1:26">
      <c r="A1269" s="406">
        <v>1266</v>
      </c>
      <c r="B1269" s="613" t="s">
        <v>7020</v>
      </c>
      <c r="C1269" s="288" t="s">
        <v>2164</v>
      </c>
      <c r="D1269" s="414" t="s">
        <v>4884</v>
      </c>
      <c r="E1269" s="407" t="s">
        <v>4884</v>
      </c>
      <c r="F1269" s="483"/>
      <c r="G1269" s="483"/>
      <c r="H1269" s="483"/>
      <c r="I1269" s="483"/>
      <c r="J1269" s="483"/>
      <c r="K1269" s="483"/>
      <c r="L1269" s="608" t="s">
        <v>4884</v>
      </c>
      <c r="M1269" s="409" t="s">
        <v>4884</v>
      </c>
      <c r="N1269" s="409" t="s">
        <v>4884</v>
      </c>
      <c r="O1269" s="410" t="s">
        <v>4884</v>
      </c>
      <c r="P1269" s="406">
        <v>1266</v>
      </c>
      <c r="Q1269" s="270" t="s">
        <v>2164</v>
      </c>
      <c r="R1269" s="523" t="s">
        <v>1883</v>
      </c>
      <c r="S1269" s="270" t="s">
        <v>1884</v>
      </c>
      <c r="U1269" s="471"/>
      <c r="V1269" s="471"/>
      <c r="W1269" s="471"/>
      <c r="X1269" s="471"/>
      <c r="Y1269" s="206"/>
      <c r="Z1269" s="206"/>
    </row>
    <row r="1270" spans="1:26">
      <c r="A1270" s="406">
        <v>1267</v>
      </c>
      <c r="B1270" s="613" t="s">
        <v>7020</v>
      </c>
      <c r="C1270" s="288" t="s">
        <v>2165</v>
      </c>
      <c r="D1270" s="414" t="s">
        <v>4884</v>
      </c>
      <c r="E1270" s="407" t="s">
        <v>4884</v>
      </c>
      <c r="F1270" s="483"/>
      <c r="G1270" s="483"/>
      <c r="H1270" s="483"/>
      <c r="I1270" s="483"/>
      <c r="J1270" s="483"/>
      <c r="K1270" s="483"/>
      <c r="L1270" s="608" t="s">
        <v>4884</v>
      </c>
      <c r="M1270" s="409" t="s">
        <v>4884</v>
      </c>
      <c r="N1270" s="409" t="s">
        <v>4884</v>
      </c>
      <c r="O1270" s="410" t="s">
        <v>4884</v>
      </c>
      <c r="P1270" s="406">
        <v>1267</v>
      </c>
      <c r="Q1270" s="270" t="s">
        <v>2165</v>
      </c>
      <c r="R1270" s="523" t="s">
        <v>1883</v>
      </c>
      <c r="S1270" s="270" t="s">
        <v>1884</v>
      </c>
      <c r="U1270" s="471"/>
      <c r="V1270" s="471"/>
      <c r="W1270" s="471"/>
      <c r="X1270" s="471"/>
      <c r="Y1270" s="206"/>
      <c r="Z1270" s="206"/>
    </row>
    <row r="1271" spans="1:26">
      <c r="A1271" s="406">
        <v>1268</v>
      </c>
      <c r="B1271" s="613" t="s">
        <v>7020</v>
      </c>
      <c r="C1271" s="288" t="s">
        <v>2166</v>
      </c>
      <c r="D1271" s="414" t="s">
        <v>4884</v>
      </c>
      <c r="E1271" s="407" t="s">
        <v>4884</v>
      </c>
      <c r="F1271" s="483"/>
      <c r="G1271" s="483"/>
      <c r="H1271" s="483"/>
      <c r="I1271" s="483"/>
      <c r="J1271" s="483"/>
      <c r="K1271" s="483"/>
      <c r="L1271" s="608" t="s">
        <v>4884</v>
      </c>
      <c r="M1271" s="409" t="s">
        <v>4884</v>
      </c>
      <c r="N1271" s="409" t="s">
        <v>4884</v>
      </c>
      <c r="O1271" s="410" t="s">
        <v>4884</v>
      </c>
      <c r="P1271" s="406">
        <v>1268</v>
      </c>
      <c r="Q1271" s="270" t="s">
        <v>2166</v>
      </c>
      <c r="R1271" s="523" t="s">
        <v>1883</v>
      </c>
      <c r="S1271" s="270" t="s">
        <v>1884</v>
      </c>
      <c r="U1271" s="471"/>
      <c r="V1271" s="471"/>
      <c r="W1271" s="471"/>
      <c r="X1271" s="471"/>
      <c r="Y1271" s="206"/>
      <c r="Z1271" s="206"/>
    </row>
    <row r="1272" spans="1:26">
      <c r="A1272" s="406">
        <v>1269</v>
      </c>
      <c r="B1272" s="613" t="s">
        <v>7020</v>
      </c>
      <c r="C1272" s="288" t="s">
        <v>2167</v>
      </c>
      <c r="D1272" s="414" t="s">
        <v>4884</v>
      </c>
      <c r="E1272" s="407" t="s">
        <v>4884</v>
      </c>
      <c r="F1272" s="483"/>
      <c r="G1272" s="483"/>
      <c r="H1272" s="483"/>
      <c r="I1272" s="483"/>
      <c r="J1272" s="483"/>
      <c r="K1272" s="483"/>
      <c r="L1272" s="608" t="s">
        <v>4884</v>
      </c>
      <c r="M1272" s="409" t="s">
        <v>4884</v>
      </c>
      <c r="N1272" s="409" t="s">
        <v>4884</v>
      </c>
      <c r="O1272" s="410" t="s">
        <v>4884</v>
      </c>
      <c r="P1272" s="406">
        <v>1269</v>
      </c>
      <c r="Q1272" s="270" t="s">
        <v>2167</v>
      </c>
      <c r="R1272" s="523" t="s">
        <v>1883</v>
      </c>
      <c r="S1272" s="270" t="s">
        <v>1884</v>
      </c>
      <c r="U1272" s="471"/>
      <c r="V1272" s="471"/>
      <c r="W1272" s="471"/>
      <c r="X1272" s="471"/>
      <c r="Y1272" s="206"/>
      <c r="Z1272" s="206"/>
    </row>
    <row r="1273" spans="1:26">
      <c r="A1273" s="406">
        <v>1270</v>
      </c>
      <c r="B1273" s="613" t="s">
        <v>7020</v>
      </c>
      <c r="C1273" s="288" t="s">
        <v>2168</v>
      </c>
      <c r="D1273" s="414" t="s">
        <v>4884</v>
      </c>
      <c r="E1273" s="407" t="s">
        <v>4884</v>
      </c>
      <c r="F1273" s="483"/>
      <c r="G1273" s="483"/>
      <c r="H1273" s="483"/>
      <c r="I1273" s="483"/>
      <c r="J1273" s="483"/>
      <c r="K1273" s="483"/>
      <c r="L1273" s="608" t="s">
        <v>4884</v>
      </c>
      <c r="M1273" s="409" t="s">
        <v>4884</v>
      </c>
      <c r="N1273" s="409" t="s">
        <v>4884</v>
      </c>
      <c r="O1273" s="410" t="s">
        <v>4884</v>
      </c>
      <c r="P1273" s="406">
        <v>1270</v>
      </c>
      <c r="Q1273" s="270" t="s">
        <v>2168</v>
      </c>
      <c r="R1273" s="523" t="s">
        <v>1883</v>
      </c>
      <c r="S1273" s="270" t="s">
        <v>1884</v>
      </c>
      <c r="U1273" s="471"/>
      <c r="V1273" s="471"/>
      <c r="W1273" s="471"/>
      <c r="X1273" s="471"/>
      <c r="Y1273" s="206"/>
      <c r="Z1273" s="206"/>
    </row>
    <row r="1274" spans="1:26">
      <c r="A1274" s="406">
        <v>1271</v>
      </c>
      <c r="B1274" s="613" t="s">
        <v>7020</v>
      </c>
      <c r="C1274" s="288" t="s">
        <v>2169</v>
      </c>
      <c r="D1274" s="414" t="s">
        <v>4884</v>
      </c>
      <c r="E1274" s="407" t="s">
        <v>4884</v>
      </c>
      <c r="F1274" s="483"/>
      <c r="G1274" s="483"/>
      <c r="H1274" s="483"/>
      <c r="I1274" s="483"/>
      <c r="J1274" s="483"/>
      <c r="K1274" s="483"/>
      <c r="L1274" s="608" t="s">
        <v>4884</v>
      </c>
      <c r="M1274" s="409" t="s">
        <v>4884</v>
      </c>
      <c r="N1274" s="409" t="s">
        <v>4884</v>
      </c>
      <c r="O1274" s="410" t="s">
        <v>4884</v>
      </c>
      <c r="P1274" s="406">
        <v>1271</v>
      </c>
      <c r="Q1274" s="270" t="s">
        <v>2169</v>
      </c>
      <c r="R1274" s="523" t="s">
        <v>1883</v>
      </c>
      <c r="S1274" s="270" t="s">
        <v>1884</v>
      </c>
      <c r="U1274" s="471"/>
      <c r="V1274" s="471"/>
      <c r="W1274" s="471"/>
      <c r="X1274" s="471"/>
      <c r="Y1274" s="206"/>
      <c r="Z1274" s="206"/>
    </row>
    <row r="1275" spans="1:26">
      <c r="A1275" s="406">
        <v>1272</v>
      </c>
      <c r="B1275" s="613" t="s">
        <v>7020</v>
      </c>
      <c r="C1275" s="288" t="s">
        <v>2170</v>
      </c>
      <c r="D1275" s="414" t="s">
        <v>4884</v>
      </c>
      <c r="E1275" s="407" t="s">
        <v>4884</v>
      </c>
      <c r="F1275" s="483"/>
      <c r="G1275" s="483"/>
      <c r="H1275" s="483"/>
      <c r="I1275" s="483"/>
      <c r="J1275" s="483"/>
      <c r="K1275" s="483"/>
      <c r="L1275" s="608" t="s">
        <v>4884</v>
      </c>
      <c r="M1275" s="409" t="s">
        <v>4884</v>
      </c>
      <c r="N1275" s="409" t="s">
        <v>4884</v>
      </c>
      <c r="O1275" s="410" t="s">
        <v>4884</v>
      </c>
      <c r="P1275" s="406">
        <v>1272</v>
      </c>
      <c r="Q1275" s="270" t="s">
        <v>2170</v>
      </c>
      <c r="R1275" s="523" t="s">
        <v>1883</v>
      </c>
      <c r="S1275" s="270" t="s">
        <v>1884</v>
      </c>
      <c r="U1275" s="471"/>
      <c r="V1275" s="471"/>
      <c r="W1275" s="471"/>
      <c r="X1275" s="471"/>
      <c r="Y1275" s="206"/>
      <c r="Z1275" s="206"/>
    </row>
    <row r="1276" spans="1:26">
      <c r="A1276" s="406">
        <v>1273</v>
      </c>
      <c r="B1276" s="613" t="s">
        <v>7020</v>
      </c>
      <c r="C1276" s="288" t="s">
        <v>2171</v>
      </c>
      <c r="D1276" s="414" t="s">
        <v>4884</v>
      </c>
      <c r="E1276" s="407" t="s">
        <v>4884</v>
      </c>
      <c r="F1276" s="483"/>
      <c r="G1276" s="483"/>
      <c r="H1276" s="483"/>
      <c r="I1276" s="483"/>
      <c r="J1276" s="483"/>
      <c r="K1276" s="483"/>
      <c r="L1276" s="608" t="s">
        <v>4884</v>
      </c>
      <c r="M1276" s="409" t="s">
        <v>4884</v>
      </c>
      <c r="N1276" s="409" t="s">
        <v>4884</v>
      </c>
      <c r="O1276" s="410" t="s">
        <v>4884</v>
      </c>
      <c r="P1276" s="406">
        <v>1273</v>
      </c>
      <c r="Q1276" s="270" t="s">
        <v>2171</v>
      </c>
      <c r="R1276" s="523" t="s">
        <v>1883</v>
      </c>
      <c r="S1276" s="270" t="s">
        <v>1884</v>
      </c>
      <c r="U1276" s="471"/>
      <c r="V1276" s="471"/>
      <c r="W1276" s="471"/>
      <c r="X1276" s="471"/>
      <c r="Y1276" s="206"/>
      <c r="Z1276" s="206"/>
    </row>
    <row r="1277" spans="1:26">
      <c r="A1277" s="406">
        <v>1274</v>
      </c>
      <c r="B1277" s="613" t="s">
        <v>7020</v>
      </c>
      <c r="C1277" s="288" t="s">
        <v>2172</v>
      </c>
      <c r="D1277" s="414" t="s">
        <v>4884</v>
      </c>
      <c r="E1277" s="407" t="s">
        <v>4884</v>
      </c>
      <c r="F1277" s="483"/>
      <c r="G1277" s="483"/>
      <c r="H1277" s="483"/>
      <c r="I1277" s="483"/>
      <c r="J1277" s="483"/>
      <c r="K1277" s="483"/>
      <c r="L1277" s="608" t="s">
        <v>4884</v>
      </c>
      <c r="M1277" s="409" t="s">
        <v>4884</v>
      </c>
      <c r="N1277" s="409" t="s">
        <v>4884</v>
      </c>
      <c r="O1277" s="410" t="s">
        <v>4884</v>
      </c>
      <c r="P1277" s="406">
        <v>1274</v>
      </c>
      <c r="Q1277" s="270" t="s">
        <v>2172</v>
      </c>
      <c r="R1277" s="523" t="s">
        <v>1883</v>
      </c>
      <c r="S1277" s="270" t="s">
        <v>1884</v>
      </c>
      <c r="U1277" s="471"/>
      <c r="V1277" s="471"/>
      <c r="W1277" s="471"/>
      <c r="X1277" s="471"/>
      <c r="Y1277" s="206"/>
      <c r="Z1277" s="206"/>
    </row>
    <row r="1278" spans="1:26">
      <c r="A1278" s="406">
        <v>1275</v>
      </c>
      <c r="B1278" s="613" t="s">
        <v>7020</v>
      </c>
      <c r="C1278" s="288" t="s">
        <v>2173</v>
      </c>
      <c r="D1278" s="414" t="s">
        <v>4884</v>
      </c>
      <c r="E1278" s="407" t="s">
        <v>4884</v>
      </c>
      <c r="F1278" s="483"/>
      <c r="G1278" s="483"/>
      <c r="H1278" s="483"/>
      <c r="I1278" s="483"/>
      <c r="J1278" s="483"/>
      <c r="K1278" s="483"/>
      <c r="L1278" s="608" t="s">
        <v>4884</v>
      </c>
      <c r="M1278" s="409" t="s">
        <v>4884</v>
      </c>
      <c r="N1278" s="409" t="s">
        <v>4884</v>
      </c>
      <c r="O1278" s="410" t="s">
        <v>4884</v>
      </c>
      <c r="P1278" s="406">
        <v>1275</v>
      </c>
      <c r="Q1278" s="270" t="s">
        <v>2173</v>
      </c>
      <c r="R1278" s="523" t="s">
        <v>1883</v>
      </c>
      <c r="S1278" s="270" t="s">
        <v>1884</v>
      </c>
      <c r="U1278" s="471"/>
      <c r="V1278" s="471"/>
      <c r="W1278" s="471"/>
      <c r="X1278" s="471"/>
      <c r="Y1278" s="206"/>
      <c r="Z1278" s="206"/>
    </row>
    <row r="1279" spans="1:26">
      <c r="A1279" s="406">
        <v>1276</v>
      </c>
      <c r="B1279" s="613" t="s">
        <v>7020</v>
      </c>
      <c r="C1279" s="288" t="s">
        <v>2174</v>
      </c>
      <c r="D1279" s="414" t="s">
        <v>4884</v>
      </c>
      <c r="E1279" s="407" t="s">
        <v>4884</v>
      </c>
      <c r="F1279" s="483"/>
      <c r="G1279" s="483"/>
      <c r="H1279" s="483"/>
      <c r="I1279" s="483"/>
      <c r="J1279" s="483"/>
      <c r="K1279" s="483"/>
      <c r="L1279" s="608" t="s">
        <v>4884</v>
      </c>
      <c r="M1279" s="409" t="s">
        <v>4884</v>
      </c>
      <c r="N1279" s="409" t="s">
        <v>4884</v>
      </c>
      <c r="O1279" s="410" t="s">
        <v>4884</v>
      </c>
      <c r="P1279" s="406">
        <v>1276</v>
      </c>
      <c r="Q1279" s="270" t="s">
        <v>2174</v>
      </c>
      <c r="R1279" s="523" t="s">
        <v>1883</v>
      </c>
      <c r="S1279" s="270" t="s">
        <v>1884</v>
      </c>
      <c r="U1279" s="471"/>
      <c r="V1279" s="471"/>
      <c r="W1279" s="471"/>
      <c r="X1279" s="471"/>
      <c r="Y1279" s="206"/>
      <c r="Z1279" s="206"/>
    </row>
    <row r="1280" spans="1:26">
      <c r="A1280" s="406">
        <v>1277</v>
      </c>
      <c r="B1280" s="613" t="s">
        <v>7020</v>
      </c>
      <c r="C1280" s="288" t="s">
        <v>2175</v>
      </c>
      <c r="D1280" s="414" t="s">
        <v>4884</v>
      </c>
      <c r="E1280" s="407" t="s">
        <v>4884</v>
      </c>
      <c r="F1280" s="483"/>
      <c r="G1280" s="483"/>
      <c r="H1280" s="483"/>
      <c r="I1280" s="483"/>
      <c r="J1280" s="483"/>
      <c r="K1280" s="483"/>
      <c r="L1280" s="608" t="s">
        <v>4884</v>
      </c>
      <c r="M1280" s="409" t="s">
        <v>4884</v>
      </c>
      <c r="N1280" s="409" t="s">
        <v>4884</v>
      </c>
      <c r="O1280" s="410" t="s">
        <v>4884</v>
      </c>
      <c r="P1280" s="406">
        <v>1277</v>
      </c>
      <c r="Q1280" s="270" t="s">
        <v>2175</v>
      </c>
      <c r="R1280" s="523" t="s">
        <v>1883</v>
      </c>
      <c r="S1280" s="270" t="s">
        <v>1884</v>
      </c>
      <c r="U1280" s="471"/>
      <c r="V1280" s="471"/>
      <c r="W1280" s="471"/>
      <c r="X1280" s="471"/>
      <c r="Y1280" s="206"/>
      <c r="Z1280" s="206"/>
    </row>
    <row r="1281" spans="1:26">
      <c r="A1281" s="406">
        <v>1278</v>
      </c>
      <c r="B1281" s="613" t="s">
        <v>7020</v>
      </c>
      <c r="C1281" s="288" t="s">
        <v>2176</v>
      </c>
      <c r="D1281" s="414" t="s">
        <v>4884</v>
      </c>
      <c r="E1281" s="407" t="s">
        <v>4884</v>
      </c>
      <c r="F1281" s="483"/>
      <c r="G1281" s="483"/>
      <c r="H1281" s="483"/>
      <c r="I1281" s="483"/>
      <c r="J1281" s="483"/>
      <c r="K1281" s="483"/>
      <c r="L1281" s="608" t="s">
        <v>4884</v>
      </c>
      <c r="M1281" s="409" t="s">
        <v>4884</v>
      </c>
      <c r="N1281" s="409" t="s">
        <v>4884</v>
      </c>
      <c r="O1281" s="410" t="s">
        <v>4884</v>
      </c>
      <c r="P1281" s="406">
        <v>1278</v>
      </c>
      <c r="Q1281" s="270" t="s">
        <v>2176</v>
      </c>
      <c r="R1281" s="523" t="s">
        <v>1883</v>
      </c>
      <c r="S1281" s="270" t="s">
        <v>1884</v>
      </c>
      <c r="U1281" s="471"/>
      <c r="V1281" s="471"/>
      <c r="W1281" s="471"/>
      <c r="X1281" s="471"/>
      <c r="Y1281" s="206"/>
      <c r="Z1281" s="206"/>
    </row>
    <row r="1282" spans="1:26">
      <c r="A1282" s="406">
        <v>1279</v>
      </c>
      <c r="B1282" s="613" t="s">
        <v>7020</v>
      </c>
      <c r="C1282" s="288" t="s">
        <v>2177</v>
      </c>
      <c r="D1282" s="414" t="s">
        <v>4884</v>
      </c>
      <c r="E1282" s="407" t="s">
        <v>4884</v>
      </c>
      <c r="F1282" s="483"/>
      <c r="G1282" s="483"/>
      <c r="H1282" s="483"/>
      <c r="I1282" s="483"/>
      <c r="J1282" s="483"/>
      <c r="K1282" s="483"/>
      <c r="L1282" s="608" t="s">
        <v>4884</v>
      </c>
      <c r="M1282" s="409" t="s">
        <v>4884</v>
      </c>
      <c r="N1282" s="409" t="s">
        <v>4884</v>
      </c>
      <c r="O1282" s="410" t="s">
        <v>4884</v>
      </c>
      <c r="P1282" s="406">
        <v>1279</v>
      </c>
      <c r="Q1282" s="270" t="s">
        <v>2177</v>
      </c>
      <c r="R1282" s="523" t="s">
        <v>1883</v>
      </c>
      <c r="S1282" s="270" t="s">
        <v>1884</v>
      </c>
      <c r="U1282" s="471"/>
      <c r="V1282" s="471"/>
      <c r="W1282" s="471"/>
      <c r="X1282" s="471"/>
      <c r="Y1282" s="206"/>
      <c r="Z1282" s="206"/>
    </row>
    <row r="1283" spans="1:26">
      <c r="A1283" s="406">
        <v>1280</v>
      </c>
      <c r="B1283" s="613" t="s">
        <v>7020</v>
      </c>
      <c r="C1283" s="288" t="s">
        <v>2178</v>
      </c>
      <c r="D1283" s="414" t="s">
        <v>4884</v>
      </c>
      <c r="E1283" s="407" t="s">
        <v>4884</v>
      </c>
      <c r="F1283" s="483"/>
      <c r="G1283" s="483"/>
      <c r="H1283" s="483"/>
      <c r="I1283" s="483"/>
      <c r="J1283" s="483"/>
      <c r="K1283" s="483"/>
      <c r="L1283" s="608" t="s">
        <v>4884</v>
      </c>
      <c r="M1283" s="409" t="s">
        <v>4884</v>
      </c>
      <c r="N1283" s="409" t="s">
        <v>4884</v>
      </c>
      <c r="O1283" s="410" t="s">
        <v>4884</v>
      </c>
      <c r="P1283" s="406">
        <v>1280</v>
      </c>
      <c r="Q1283" s="270" t="s">
        <v>2178</v>
      </c>
      <c r="R1283" s="523" t="s">
        <v>1883</v>
      </c>
      <c r="S1283" s="270" t="s">
        <v>1884</v>
      </c>
      <c r="U1283" s="471"/>
      <c r="V1283" s="471"/>
      <c r="W1283" s="471"/>
      <c r="X1283" s="471"/>
      <c r="Y1283" s="206"/>
      <c r="Z1283" s="206"/>
    </row>
    <row r="1284" spans="1:26">
      <c r="A1284" s="406">
        <v>1281</v>
      </c>
      <c r="B1284" s="613" t="s">
        <v>7020</v>
      </c>
      <c r="C1284" s="288" t="s">
        <v>2179</v>
      </c>
      <c r="D1284" s="414" t="s">
        <v>4884</v>
      </c>
      <c r="E1284" s="407" t="s">
        <v>4884</v>
      </c>
      <c r="F1284" s="483"/>
      <c r="G1284" s="483"/>
      <c r="H1284" s="483"/>
      <c r="I1284" s="483"/>
      <c r="J1284" s="483"/>
      <c r="K1284" s="483"/>
      <c r="L1284" s="608" t="s">
        <v>4884</v>
      </c>
      <c r="M1284" s="409" t="s">
        <v>4884</v>
      </c>
      <c r="N1284" s="409" t="s">
        <v>4884</v>
      </c>
      <c r="O1284" s="410" t="s">
        <v>4884</v>
      </c>
      <c r="P1284" s="406">
        <v>1281</v>
      </c>
      <c r="Q1284" s="270" t="s">
        <v>2179</v>
      </c>
      <c r="R1284" s="523" t="s">
        <v>1883</v>
      </c>
      <c r="S1284" s="270" t="s">
        <v>1884</v>
      </c>
      <c r="U1284" s="471"/>
      <c r="V1284" s="471"/>
      <c r="W1284" s="471"/>
      <c r="X1284" s="471"/>
      <c r="Y1284" s="206"/>
      <c r="Z1284" s="206"/>
    </row>
    <row r="1285" spans="1:26">
      <c r="A1285" s="406">
        <v>1282</v>
      </c>
      <c r="B1285" s="613" t="s">
        <v>7020</v>
      </c>
      <c r="C1285" s="288" t="s">
        <v>2180</v>
      </c>
      <c r="D1285" s="414" t="s">
        <v>4884</v>
      </c>
      <c r="E1285" s="407" t="s">
        <v>4884</v>
      </c>
      <c r="F1285" s="483"/>
      <c r="G1285" s="483"/>
      <c r="H1285" s="483"/>
      <c r="I1285" s="483"/>
      <c r="J1285" s="483"/>
      <c r="K1285" s="483"/>
      <c r="L1285" s="608" t="s">
        <v>4884</v>
      </c>
      <c r="M1285" s="409" t="s">
        <v>4884</v>
      </c>
      <c r="N1285" s="409" t="s">
        <v>4884</v>
      </c>
      <c r="O1285" s="410" t="s">
        <v>4884</v>
      </c>
      <c r="P1285" s="406">
        <v>1282</v>
      </c>
      <c r="Q1285" s="270" t="s">
        <v>2180</v>
      </c>
      <c r="R1285" s="523" t="s">
        <v>1883</v>
      </c>
      <c r="S1285" s="270" t="s">
        <v>1884</v>
      </c>
      <c r="U1285" s="471"/>
      <c r="V1285" s="471"/>
      <c r="W1285" s="471"/>
      <c r="X1285" s="471"/>
      <c r="Y1285" s="206"/>
      <c r="Z1285" s="206"/>
    </row>
    <row r="1286" spans="1:26">
      <c r="A1286" s="406">
        <v>1283</v>
      </c>
      <c r="B1286" s="613" t="s">
        <v>7020</v>
      </c>
      <c r="C1286" s="288" t="s">
        <v>2181</v>
      </c>
      <c r="D1286" s="414" t="s">
        <v>4884</v>
      </c>
      <c r="E1286" s="407" t="s">
        <v>4884</v>
      </c>
      <c r="F1286" s="483"/>
      <c r="G1286" s="483"/>
      <c r="H1286" s="483"/>
      <c r="I1286" s="483"/>
      <c r="J1286" s="483"/>
      <c r="K1286" s="483"/>
      <c r="L1286" s="608" t="s">
        <v>4884</v>
      </c>
      <c r="M1286" s="409" t="s">
        <v>4884</v>
      </c>
      <c r="N1286" s="409" t="s">
        <v>4884</v>
      </c>
      <c r="O1286" s="410" t="s">
        <v>4884</v>
      </c>
      <c r="P1286" s="406">
        <v>1283</v>
      </c>
      <c r="Q1286" s="270" t="s">
        <v>2181</v>
      </c>
      <c r="R1286" s="523" t="s">
        <v>1883</v>
      </c>
      <c r="S1286" s="270" t="s">
        <v>1884</v>
      </c>
      <c r="U1286" s="471"/>
      <c r="V1286" s="471"/>
      <c r="W1286" s="471"/>
      <c r="X1286" s="471"/>
      <c r="Y1286" s="206"/>
      <c r="Z1286" s="206"/>
    </row>
    <row r="1287" spans="1:26">
      <c r="A1287" s="406">
        <v>1284</v>
      </c>
      <c r="B1287" s="613" t="s">
        <v>7020</v>
      </c>
      <c r="C1287" s="288" t="s">
        <v>2182</v>
      </c>
      <c r="D1287" s="414" t="s">
        <v>4884</v>
      </c>
      <c r="E1287" s="407" t="s">
        <v>4884</v>
      </c>
      <c r="F1287" s="483"/>
      <c r="G1287" s="483"/>
      <c r="H1287" s="483"/>
      <c r="I1287" s="483"/>
      <c r="J1287" s="483"/>
      <c r="K1287" s="483"/>
      <c r="L1287" s="608" t="s">
        <v>4884</v>
      </c>
      <c r="M1287" s="409" t="s">
        <v>4884</v>
      </c>
      <c r="N1287" s="409" t="s">
        <v>4884</v>
      </c>
      <c r="O1287" s="410" t="s">
        <v>4884</v>
      </c>
      <c r="P1287" s="406">
        <v>1284</v>
      </c>
      <c r="Q1287" s="270" t="s">
        <v>2182</v>
      </c>
      <c r="R1287" s="523" t="s">
        <v>1883</v>
      </c>
      <c r="S1287" s="270" t="s">
        <v>1884</v>
      </c>
      <c r="U1287" s="471"/>
      <c r="V1287" s="471"/>
      <c r="W1287" s="471"/>
      <c r="X1287" s="471"/>
      <c r="Y1287" s="206"/>
      <c r="Z1287" s="206"/>
    </row>
    <row r="1288" spans="1:26">
      <c r="A1288" s="406">
        <v>1285</v>
      </c>
      <c r="B1288" s="613" t="s">
        <v>7020</v>
      </c>
      <c r="C1288" s="288" t="s">
        <v>2183</v>
      </c>
      <c r="D1288" s="414" t="s">
        <v>4884</v>
      </c>
      <c r="E1288" s="407" t="s">
        <v>4884</v>
      </c>
      <c r="F1288" s="483"/>
      <c r="G1288" s="483"/>
      <c r="H1288" s="483"/>
      <c r="I1288" s="483"/>
      <c r="J1288" s="483"/>
      <c r="K1288" s="483"/>
      <c r="L1288" s="608" t="s">
        <v>4884</v>
      </c>
      <c r="M1288" s="409" t="s">
        <v>4884</v>
      </c>
      <c r="N1288" s="409" t="s">
        <v>4884</v>
      </c>
      <c r="O1288" s="410" t="s">
        <v>4884</v>
      </c>
      <c r="P1288" s="406">
        <v>1285</v>
      </c>
      <c r="Q1288" s="270" t="s">
        <v>2183</v>
      </c>
      <c r="R1288" s="523" t="s">
        <v>1883</v>
      </c>
      <c r="S1288" s="270" t="s">
        <v>1884</v>
      </c>
      <c r="U1288" s="471"/>
      <c r="V1288" s="471"/>
      <c r="W1288" s="471"/>
      <c r="X1288" s="471"/>
      <c r="Y1288" s="206"/>
      <c r="Z1288" s="206"/>
    </row>
    <row r="1289" spans="1:26">
      <c r="A1289" s="406">
        <v>1286</v>
      </c>
      <c r="B1289" s="613" t="s">
        <v>7020</v>
      </c>
      <c r="C1289" s="288" t="s">
        <v>2184</v>
      </c>
      <c r="D1289" s="414" t="s">
        <v>4884</v>
      </c>
      <c r="E1289" s="407" t="s">
        <v>4884</v>
      </c>
      <c r="F1289" s="483"/>
      <c r="G1289" s="483"/>
      <c r="H1289" s="483"/>
      <c r="I1289" s="483"/>
      <c r="J1289" s="483"/>
      <c r="K1289" s="483"/>
      <c r="L1289" s="608" t="s">
        <v>4884</v>
      </c>
      <c r="M1289" s="409" t="s">
        <v>4884</v>
      </c>
      <c r="N1289" s="409" t="s">
        <v>4884</v>
      </c>
      <c r="O1289" s="410" t="s">
        <v>4884</v>
      </c>
      <c r="P1289" s="406">
        <v>1286</v>
      </c>
      <c r="Q1289" s="270" t="s">
        <v>2184</v>
      </c>
      <c r="R1289" s="523" t="s">
        <v>1883</v>
      </c>
      <c r="S1289" s="270" t="s">
        <v>1884</v>
      </c>
      <c r="U1289" s="471"/>
      <c r="V1289" s="471"/>
      <c r="W1289" s="471"/>
      <c r="X1289" s="471"/>
      <c r="Y1289" s="206"/>
      <c r="Z1289" s="206"/>
    </row>
    <row r="1290" spans="1:26">
      <c r="A1290" s="406">
        <v>1287</v>
      </c>
      <c r="B1290" s="613" t="s">
        <v>7020</v>
      </c>
      <c r="C1290" s="288" t="s">
        <v>2185</v>
      </c>
      <c r="D1290" s="414" t="s">
        <v>4884</v>
      </c>
      <c r="E1290" s="407" t="s">
        <v>4884</v>
      </c>
      <c r="F1290" s="483"/>
      <c r="G1290" s="483"/>
      <c r="H1290" s="483"/>
      <c r="I1290" s="483"/>
      <c r="J1290" s="483"/>
      <c r="K1290" s="483"/>
      <c r="L1290" s="608" t="s">
        <v>4884</v>
      </c>
      <c r="M1290" s="409" t="s">
        <v>4884</v>
      </c>
      <c r="N1290" s="409" t="s">
        <v>4884</v>
      </c>
      <c r="O1290" s="410" t="s">
        <v>4884</v>
      </c>
      <c r="P1290" s="406">
        <v>1287</v>
      </c>
      <c r="Q1290" s="270" t="s">
        <v>2185</v>
      </c>
      <c r="R1290" s="523" t="s">
        <v>1883</v>
      </c>
      <c r="S1290" s="270" t="s">
        <v>1884</v>
      </c>
      <c r="U1290" s="471"/>
      <c r="V1290" s="471"/>
      <c r="W1290" s="471"/>
      <c r="X1290" s="471"/>
      <c r="Y1290" s="206"/>
      <c r="Z1290" s="206"/>
    </row>
    <row r="1291" spans="1:26">
      <c r="A1291" s="406">
        <v>1288</v>
      </c>
      <c r="B1291" s="613" t="s">
        <v>7020</v>
      </c>
      <c r="C1291" s="288" t="s">
        <v>2186</v>
      </c>
      <c r="D1291" s="414" t="s">
        <v>4884</v>
      </c>
      <c r="E1291" s="407" t="s">
        <v>4884</v>
      </c>
      <c r="F1291" s="483"/>
      <c r="G1291" s="483"/>
      <c r="H1291" s="483"/>
      <c r="I1291" s="483"/>
      <c r="J1291" s="483"/>
      <c r="K1291" s="483"/>
      <c r="L1291" s="608" t="s">
        <v>4884</v>
      </c>
      <c r="M1291" s="409" t="s">
        <v>4884</v>
      </c>
      <c r="N1291" s="409" t="s">
        <v>4884</v>
      </c>
      <c r="O1291" s="410" t="s">
        <v>4884</v>
      </c>
      <c r="P1291" s="406">
        <v>1288</v>
      </c>
      <c r="Q1291" s="270" t="s">
        <v>2186</v>
      </c>
      <c r="R1291" s="523" t="s">
        <v>1883</v>
      </c>
      <c r="S1291" s="270" t="s">
        <v>1884</v>
      </c>
      <c r="U1291" s="471"/>
      <c r="V1291" s="471"/>
      <c r="W1291" s="471"/>
      <c r="X1291" s="471"/>
      <c r="Y1291" s="206"/>
      <c r="Z1291" s="206"/>
    </row>
    <row r="1292" spans="1:26">
      <c r="A1292" s="406">
        <v>1289</v>
      </c>
      <c r="B1292" s="613" t="s">
        <v>7020</v>
      </c>
      <c r="C1292" s="288" t="s">
        <v>2187</v>
      </c>
      <c r="D1292" s="414" t="s">
        <v>4884</v>
      </c>
      <c r="E1292" s="407" t="s">
        <v>4884</v>
      </c>
      <c r="F1292" s="483"/>
      <c r="G1292" s="483"/>
      <c r="H1292" s="483"/>
      <c r="I1292" s="483"/>
      <c r="J1292" s="483"/>
      <c r="K1292" s="483"/>
      <c r="L1292" s="608" t="s">
        <v>4884</v>
      </c>
      <c r="M1292" s="409" t="s">
        <v>4884</v>
      </c>
      <c r="N1292" s="409" t="s">
        <v>4884</v>
      </c>
      <c r="O1292" s="410" t="s">
        <v>4884</v>
      </c>
      <c r="P1292" s="406">
        <v>1289</v>
      </c>
      <c r="Q1292" s="270" t="s">
        <v>2187</v>
      </c>
      <c r="R1292" s="523" t="s">
        <v>1883</v>
      </c>
      <c r="S1292" s="270" t="s">
        <v>1884</v>
      </c>
      <c r="U1292" s="471"/>
      <c r="V1292" s="471"/>
      <c r="W1292" s="471"/>
      <c r="X1292" s="471"/>
      <c r="Y1292" s="206"/>
      <c r="Z1292" s="206"/>
    </row>
    <row r="1293" spans="1:26">
      <c r="A1293" s="406">
        <v>1290</v>
      </c>
      <c r="B1293" s="613" t="s">
        <v>7020</v>
      </c>
      <c r="C1293" s="288" t="s">
        <v>2188</v>
      </c>
      <c r="D1293" s="414" t="s">
        <v>4884</v>
      </c>
      <c r="E1293" s="407" t="s">
        <v>4884</v>
      </c>
      <c r="F1293" s="483"/>
      <c r="G1293" s="483"/>
      <c r="H1293" s="483"/>
      <c r="I1293" s="483"/>
      <c r="J1293" s="483"/>
      <c r="K1293" s="483"/>
      <c r="L1293" s="608" t="s">
        <v>4884</v>
      </c>
      <c r="M1293" s="409" t="s">
        <v>4884</v>
      </c>
      <c r="N1293" s="409" t="s">
        <v>4884</v>
      </c>
      <c r="O1293" s="410" t="s">
        <v>4884</v>
      </c>
      <c r="P1293" s="406">
        <v>1290</v>
      </c>
      <c r="Q1293" s="270" t="s">
        <v>2188</v>
      </c>
      <c r="R1293" s="523" t="s">
        <v>1883</v>
      </c>
      <c r="S1293" s="270" t="s">
        <v>1884</v>
      </c>
      <c r="U1293" s="471"/>
      <c r="V1293" s="471"/>
      <c r="W1293" s="471"/>
      <c r="X1293" s="471"/>
      <c r="Y1293" s="206"/>
      <c r="Z1293" s="206"/>
    </row>
    <row r="1294" spans="1:26">
      <c r="A1294" s="406">
        <v>1291</v>
      </c>
      <c r="B1294" s="613" t="s">
        <v>7020</v>
      </c>
      <c r="C1294" s="288" t="s">
        <v>2189</v>
      </c>
      <c r="D1294" s="414" t="s">
        <v>4884</v>
      </c>
      <c r="E1294" s="407" t="s">
        <v>4884</v>
      </c>
      <c r="F1294" s="483"/>
      <c r="G1294" s="483"/>
      <c r="H1294" s="483"/>
      <c r="I1294" s="483"/>
      <c r="J1294" s="483"/>
      <c r="K1294" s="483"/>
      <c r="L1294" s="608" t="s">
        <v>4884</v>
      </c>
      <c r="M1294" s="409" t="s">
        <v>4884</v>
      </c>
      <c r="N1294" s="409" t="s">
        <v>4884</v>
      </c>
      <c r="O1294" s="410" t="s">
        <v>4884</v>
      </c>
      <c r="P1294" s="406">
        <v>1291</v>
      </c>
      <c r="Q1294" s="270" t="s">
        <v>2189</v>
      </c>
      <c r="R1294" s="523" t="s">
        <v>1883</v>
      </c>
      <c r="S1294" s="270" t="s">
        <v>1884</v>
      </c>
      <c r="U1294" s="471"/>
      <c r="V1294" s="471"/>
      <c r="W1294" s="471"/>
      <c r="X1294" s="471"/>
      <c r="Y1294" s="206"/>
      <c r="Z1294" s="206"/>
    </row>
    <row r="1295" spans="1:26">
      <c r="A1295" s="406">
        <v>1292</v>
      </c>
      <c r="B1295" s="613" t="s">
        <v>7020</v>
      </c>
      <c r="C1295" s="288" t="s">
        <v>2190</v>
      </c>
      <c r="D1295" s="414" t="s">
        <v>4884</v>
      </c>
      <c r="E1295" s="407" t="s">
        <v>4884</v>
      </c>
      <c r="F1295" s="483"/>
      <c r="G1295" s="483"/>
      <c r="H1295" s="483"/>
      <c r="I1295" s="483"/>
      <c r="J1295" s="483"/>
      <c r="K1295" s="483"/>
      <c r="L1295" s="608" t="s">
        <v>4884</v>
      </c>
      <c r="M1295" s="409" t="s">
        <v>4884</v>
      </c>
      <c r="N1295" s="409" t="s">
        <v>4884</v>
      </c>
      <c r="O1295" s="410" t="s">
        <v>4884</v>
      </c>
      <c r="P1295" s="406">
        <v>1292</v>
      </c>
      <c r="Q1295" s="270" t="s">
        <v>2190</v>
      </c>
      <c r="R1295" s="523" t="s">
        <v>1883</v>
      </c>
      <c r="S1295" s="270" t="s">
        <v>1884</v>
      </c>
      <c r="U1295" s="471"/>
      <c r="V1295" s="471"/>
      <c r="W1295" s="471"/>
      <c r="X1295" s="471"/>
      <c r="Y1295" s="206"/>
      <c r="Z1295" s="206"/>
    </row>
    <row r="1296" spans="1:26">
      <c r="A1296" s="406">
        <v>1293</v>
      </c>
      <c r="B1296" s="613" t="s">
        <v>7020</v>
      </c>
      <c r="C1296" s="288" t="s">
        <v>2191</v>
      </c>
      <c r="D1296" s="414" t="s">
        <v>4884</v>
      </c>
      <c r="E1296" s="407" t="s">
        <v>4884</v>
      </c>
      <c r="F1296" s="483"/>
      <c r="G1296" s="483"/>
      <c r="H1296" s="483"/>
      <c r="I1296" s="483"/>
      <c r="J1296" s="483"/>
      <c r="K1296" s="483"/>
      <c r="L1296" s="608" t="s">
        <v>4884</v>
      </c>
      <c r="M1296" s="409" t="s">
        <v>4884</v>
      </c>
      <c r="N1296" s="409" t="s">
        <v>4884</v>
      </c>
      <c r="O1296" s="410" t="s">
        <v>4884</v>
      </c>
      <c r="P1296" s="406">
        <v>1293</v>
      </c>
      <c r="Q1296" s="270" t="s">
        <v>2191</v>
      </c>
      <c r="R1296" s="523" t="s">
        <v>1883</v>
      </c>
      <c r="S1296" s="270" t="s">
        <v>1884</v>
      </c>
      <c r="U1296" s="471"/>
      <c r="V1296" s="471"/>
      <c r="W1296" s="471"/>
      <c r="X1296" s="471"/>
      <c r="Y1296" s="206"/>
      <c r="Z1296" s="206"/>
    </row>
    <row r="1297" spans="1:26">
      <c r="A1297" s="406">
        <v>1294</v>
      </c>
      <c r="B1297" s="613" t="s">
        <v>7020</v>
      </c>
      <c r="C1297" s="288" t="s">
        <v>2192</v>
      </c>
      <c r="D1297" s="414" t="s">
        <v>4884</v>
      </c>
      <c r="E1297" s="407" t="s">
        <v>4884</v>
      </c>
      <c r="F1297" s="483"/>
      <c r="G1297" s="483"/>
      <c r="H1297" s="483"/>
      <c r="I1297" s="483"/>
      <c r="J1297" s="483"/>
      <c r="K1297" s="483"/>
      <c r="L1297" s="608" t="s">
        <v>4884</v>
      </c>
      <c r="M1297" s="409" t="s">
        <v>4884</v>
      </c>
      <c r="N1297" s="409" t="s">
        <v>4884</v>
      </c>
      <c r="O1297" s="410" t="s">
        <v>4884</v>
      </c>
      <c r="P1297" s="406">
        <v>1294</v>
      </c>
      <c r="Q1297" s="270" t="s">
        <v>2192</v>
      </c>
      <c r="R1297" s="523" t="s">
        <v>1883</v>
      </c>
      <c r="S1297" s="270" t="s">
        <v>1884</v>
      </c>
      <c r="U1297" s="471"/>
      <c r="V1297" s="471"/>
      <c r="W1297" s="471"/>
      <c r="X1297" s="471"/>
      <c r="Y1297" s="206"/>
      <c r="Z1297" s="206"/>
    </row>
    <row r="1298" spans="1:26">
      <c r="A1298" s="406">
        <v>1295</v>
      </c>
      <c r="B1298" s="613" t="s">
        <v>7020</v>
      </c>
      <c r="C1298" s="288" t="s">
        <v>2193</v>
      </c>
      <c r="D1298" s="414" t="s">
        <v>4884</v>
      </c>
      <c r="E1298" s="407" t="s">
        <v>4884</v>
      </c>
      <c r="F1298" s="483"/>
      <c r="G1298" s="483"/>
      <c r="H1298" s="483"/>
      <c r="I1298" s="483"/>
      <c r="J1298" s="483"/>
      <c r="K1298" s="483"/>
      <c r="L1298" s="608" t="s">
        <v>4884</v>
      </c>
      <c r="M1298" s="409" t="s">
        <v>4884</v>
      </c>
      <c r="N1298" s="409" t="s">
        <v>4884</v>
      </c>
      <c r="O1298" s="410" t="s">
        <v>4884</v>
      </c>
      <c r="P1298" s="406">
        <v>1295</v>
      </c>
      <c r="Q1298" s="270" t="s">
        <v>2193</v>
      </c>
      <c r="R1298" s="523" t="s">
        <v>1883</v>
      </c>
      <c r="S1298" s="270" t="s">
        <v>1884</v>
      </c>
      <c r="U1298" s="471"/>
      <c r="V1298" s="471"/>
      <c r="W1298" s="471"/>
      <c r="X1298" s="471"/>
      <c r="Y1298" s="206"/>
      <c r="Z1298" s="206"/>
    </row>
    <row r="1299" spans="1:26">
      <c r="A1299" s="406">
        <v>1296</v>
      </c>
      <c r="B1299" s="613" t="s">
        <v>7020</v>
      </c>
      <c r="C1299" s="288" t="s">
        <v>2194</v>
      </c>
      <c r="D1299" s="414" t="s">
        <v>4884</v>
      </c>
      <c r="E1299" s="407" t="s">
        <v>4884</v>
      </c>
      <c r="F1299" s="483"/>
      <c r="G1299" s="483"/>
      <c r="H1299" s="483"/>
      <c r="I1299" s="483"/>
      <c r="J1299" s="483"/>
      <c r="K1299" s="483"/>
      <c r="L1299" s="608" t="s">
        <v>4884</v>
      </c>
      <c r="M1299" s="409" t="s">
        <v>4884</v>
      </c>
      <c r="N1299" s="409" t="s">
        <v>4884</v>
      </c>
      <c r="O1299" s="410" t="s">
        <v>4884</v>
      </c>
      <c r="P1299" s="406">
        <v>1296</v>
      </c>
      <c r="Q1299" s="270" t="s">
        <v>2194</v>
      </c>
      <c r="R1299" s="523" t="s">
        <v>1883</v>
      </c>
      <c r="S1299" s="270" t="s">
        <v>1884</v>
      </c>
      <c r="U1299" s="471"/>
      <c r="V1299" s="471"/>
      <c r="W1299" s="471"/>
      <c r="X1299" s="471"/>
      <c r="Y1299" s="206"/>
      <c r="Z1299" s="206"/>
    </row>
    <row r="1300" spans="1:26">
      <c r="A1300" s="406">
        <v>1297</v>
      </c>
      <c r="B1300" s="613" t="s">
        <v>7020</v>
      </c>
      <c r="C1300" s="288" t="s">
        <v>2195</v>
      </c>
      <c r="D1300" s="414" t="s">
        <v>4884</v>
      </c>
      <c r="E1300" s="407" t="s">
        <v>4884</v>
      </c>
      <c r="F1300" s="483"/>
      <c r="G1300" s="483"/>
      <c r="H1300" s="483"/>
      <c r="I1300" s="483"/>
      <c r="J1300" s="483"/>
      <c r="K1300" s="483"/>
      <c r="L1300" s="608" t="s">
        <v>4884</v>
      </c>
      <c r="M1300" s="409" t="s">
        <v>4884</v>
      </c>
      <c r="N1300" s="409" t="s">
        <v>4884</v>
      </c>
      <c r="O1300" s="410" t="s">
        <v>4884</v>
      </c>
      <c r="P1300" s="406">
        <v>1297</v>
      </c>
      <c r="Q1300" s="270" t="s">
        <v>2195</v>
      </c>
      <c r="R1300" s="523" t="s">
        <v>1883</v>
      </c>
      <c r="S1300" s="270" t="s">
        <v>1884</v>
      </c>
      <c r="U1300" s="471"/>
      <c r="V1300" s="471"/>
      <c r="W1300" s="471"/>
      <c r="X1300" s="471"/>
      <c r="Y1300" s="206"/>
      <c r="Z1300" s="206"/>
    </row>
    <row r="1301" spans="1:26">
      <c r="A1301" s="406">
        <v>1298</v>
      </c>
      <c r="B1301" s="613" t="s">
        <v>7020</v>
      </c>
      <c r="C1301" s="288" t="s">
        <v>2196</v>
      </c>
      <c r="D1301" s="414" t="s">
        <v>4884</v>
      </c>
      <c r="E1301" s="407" t="s">
        <v>4884</v>
      </c>
      <c r="F1301" s="483"/>
      <c r="G1301" s="483"/>
      <c r="H1301" s="483"/>
      <c r="I1301" s="483"/>
      <c r="J1301" s="483"/>
      <c r="K1301" s="483"/>
      <c r="L1301" s="608" t="s">
        <v>4884</v>
      </c>
      <c r="M1301" s="409" t="s">
        <v>4884</v>
      </c>
      <c r="N1301" s="409" t="s">
        <v>4884</v>
      </c>
      <c r="O1301" s="410" t="s">
        <v>4884</v>
      </c>
      <c r="P1301" s="406">
        <v>1298</v>
      </c>
      <c r="Q1301" s="270" t="s">
        <v>2196</v>
      </c>
      <c r="R1301" s="523" t="s">
        <v>1883</v>
      </c>
      <c r="S1301" s="270" t="s">
        <v>1884</v>
      </c>
      <c r="U1301" s="471"/>
      <c r="V1301" s="471"/>
      <c r="W1301" s="471"/>
      <c r="X1301" s="471"/>
      <c r="Y1301" s="206"/>
      <c r="Z1301" s="206"/>
    </row>
    <row r="1302" spans="1:26">
      <c r="A1302" s="406">
        <v>1299</v>
      </c>
      <c r="B1302" s="613" t="s">
        <v>7020</v>
      </c>
      <c r="C1302" s="288" t="s">
        <v>2197</v>
      </c>
      <c r="D1302" s="414" t="s">
        <v>4884</v>
      </c>
      <c r="E1302" s="407" t="s">
        <v>4884</v>
      </c>
      <c r="F1302" s="483"/>
      <c r="G1302" s="483"/>
      <c r="H1302" s="483"/>
      <c r="I1302" s="483"/>
      <c r="J1302" s="483"/>
      <c r="K1302" s="483"/>
      <c r="L1302" s="608" t="s">
        <v>4884</v>
      </c>
      <c r="M1302" s="409" t="s">
        <v>4884</v>
      </c>
      <c r="N1302" s="409" t="s">
        <v>4884</v>
      </c>
      <c r="O1302" s="410" t="s">
        <v>4884</v>
      </c>
      <c r="P1302" s="406">
        <v>1299</v>
      </c>
      <c r="Q1302" s="270" t="s">
        <v>2197</v>
      </c>
      <c r="R1302" s="523" t="s">
        <v>1883</v>
      </c>
      <c r="S1302" s="270" t="s">
        <v>1884</v>
      </c>
      <c r="U1302" s="471"/>
      <c r="V1302" s="471"/>
      <c r="W1302" s="471"/>
      <c r="X1302" s="471"/>
      <c r="Y1302" s="206"/>
      <c r="Z1302" s="206"/>
    </row>
    <row r="1303" spans="1:26">
      <c r="A1303" s="406">
        <v>1300</v>
      </c>
      <c r="B1303" s="613" t="s">
        <v>7020</v>
      </c>
      <c r="C1303" s="288" t="s">
        <v>2198</v>
      </c>
      <c r="D1303" s="414" t="s">
        <v>4884</v>
      </c>
      <c r="E1303" s="407" t="s">
        <v>4884</v>
      </c>
      <c r="F1303" s="483"/>
      <c r="G1303" s="483"/>
      <c r="H1303" s="483"/>
      <c r="I1303" s="483"/>
      <c r="J1303" s="483"/>
      <c r="K1303" s="483"/>
      <c r="L1303" s="608" t="s">
        <v>4884</v>
      </c>
      <c r="M1303" s="409" t="s">
        <v>4884</v>
      </c>
      <c r="N1303" s="409" t="s">
        <v>4884</v>
      </c>
      <c r="O1303" s="410" t="s">
        <v>4884</v>
      </c>
      <c r="P1303" s="406">
        <v>1300</v>
      </c>
      <c r="Q1303" s="270" t="s">
        <v>2198</v>
      </c>
      <c r="R1303" s="523" t="s">
        <v>1883</v>
      </c>
      <c r="S1303" s="270" t="s">
        <v>1884</v>
      </c>
      <c r="U1303" s="471"/>
      <c r="V1303" s="471"/>
      <c r="W1303" s="471"/>
      <c r="X1303" s="471"/>
      <c r="Y1303" s="206"/>
      <c r="Z1303" s="206"/>
    </row>
    <row r="1304" spans="1:26">
      <c r="A1304" s="406">
        <v>1301</v>
      </c>
      <c r="B1304" s="613" t="s">
        <v>7020</v>
      </c>
      <c r="C1304" s="288" t="s">
        <v>2199</v>
      </c>
      <c r="D1304" s="414" t="s">
        <v>4884</v>
      </c>
      <c r="E1304" s="407" t="s">
        <v>4884</v>
      </c>
      <c r="F1304" s="483"/>
      <c r="G1304" s="483"/>
      <c r="H1304" s="483"/>
      <c r="I1304" s="483"/>
      <c r="J1304" s="483"/>
      <c r="K1304" s="483"/>
      <c r="L1304" s="608" t="s">
        <v>4884</v>
      </c>
      <c r="M1304" s="409" t="s">
        <v>4884</v>
      </c>
      <c r="N1304" s="409" t="s">
        <v>4884</v>
      </c>
      <c r="O1304" s="410" t="s">
        <v>4884</v>
      </c>
      <c r="P1304" s="406">
        <v>1301</v>
      </c>
      <c r="Q1304" s="270" t="s">
        <v>2199</v>
      </c>
      <c r="R1304" s="523" t="s">
        <v>1883</v>
      </c>
      <c r="S1304" s="270" t="s">
        <v>1884</v>
      </c>
      <c r="U1304" s="471"/>
      <c r="V1304" s="471"/>
      <c r="W1304" s="471"/>
      <c r="X1304" s="471"/>
      <c r="Y1304" s="206"/>
      <c r="Z1304" s="206"/>
    </row>
    <row r="1305" spans="1:26">
      <c r="A1305" s="406">
        <v>1302</v>
      </c>
      <c r="B1305" s="613" t="s">
        <v>7020</v>
      </c>
      <c r="C1305" s="288" t="s">
        <v>2200</v>
      </c>
      <c r="D1305" s="414" t="s">
        <v>4884</v>
      </c>
      <c r="E1305" s="407" t="s">
        <v>4884</v>
      </c>
      <c r="F1305" s="483"/>
      <c r="G1305" s="483"/>
      <c r="H1305" s="483"/>
      <c r="I1305" s="483"/>
      <c r="J1305" s="483"/>
      <c r="K1305" s="483"/>
      <c r="L1305" s="608" t="s">
        <v>4884</v>
      </c>
      <c r="M1305" s="409" t="s">
        <v>4884</v>
      </c>
      <c r="N1305" s="409" t="s">
        <v>4884</v>
      </c>
      <c r="O1305" s="410" t="s">
        <v>4884</v>
      </c>
      <c r="P1305" s="406">
        <v>1302</v>
      </c>
      <c r="Q1305" s="270" t="s">
        <v>2200</v>
      </c>
      <c r="R1305" s="523" t="s">
        <v>1883</v>
      </c>
      <c r="S1305" s="270" t="s">
        <v>1884</v>
      </c>
      <c r="U1305" s="471"/>
      <c r="V1305" s="471"/>
      <c r="W1305" s="471"/>
      <c r="X1305" s="471"/>
      <c r="Y1305" s="206"/>
      <c r="Z1305" s="206"/>
    </row>
    <row r="1306" spans="1:26">
      <c r="A1306" s="406">
        <v>1303</v>
      </c>
      <c r="B1306" s="613" t="s">
        <v>7020</v>
      </c>
      <c r="C1306" s="288" t="s">
        <v>2201</v>
      </c>
      <c r="D1306" s="414" t="s">
        <v>4884</v>
      </c>
      <c r="E1306" s="407" t="s">
        <v>4884</v>
      </c>
      <c r="F1306" s="483"/>
      <c r="G1306" s="483"/>
      <c r="H1306" s="483"/>
      <c r="I1306" s="483"/>
      <c r="J1306" s="483"/>
      <c r="K1306" s="483"/>
      <c r="L1306" s="608" t="s">
        <v>4884</v>
      </c>
      <c r="M1306" s="409" t="s">
        <v>4884</v>
      </c>
      <c r="N1306" s="409" t="s">
        <v>4884</v>
      </c>
      <c r="O1306" s="410" t="s">
        <v>4884</v>
      </c>
      <c r="P1306" s="406">
        <v>1303</v>
      </c>
      <c r="Q1306" s="270" t="s">
        <v>2201</v>
      </c>
      <c r="R1306" s="523" t="s">
        <v>1883</v>
      </c>
      <c r="S1306" s="270" t="s">
        <v>1884</v>
      </c>
      <c r="U1306" s="471"/>
      <c r="V1306" s="471"/>
      <c r="W1306" s="471"/>
      <c r="X1306" s="471"/>
      <c r="Y1306" s="206"/>
      <c r="Z1306" s="206"/>
    </row>
    <row r="1307" spans="1:26">
      <c r="A1307" s="406">
        <v>1304</v>
      </c>
      <c r="B1307" s="613" t="s">
        <v>7020</v>
      </c>
      <c r="C1307" s="288" t="s">
        <v>2202</v>
      </c>
      <c r="D1307" s="414" t="s">
        <v>4884</v>
      </c>
      <c r="E1307" s="407" t="s">
        <v>4884</v>
      </c>
      <c r="F1307" s="483"/>
      <c r="G1307" s="483"/>
      <c r="H1307" s="483"/>
      <c r="I1307" s="483"/>
      <c r="J1307" s="483"/>
      <c r="K1307" s="483"/>
      <c r="L1307" s="608" t="s">
        <v>4884</v>
      </c>
      <c r="M1307" s="409" t="s">
        <v>4884</v>
      </c>
      <c r="N1307" s="409" t="s">
        <v>4884</v>
      </c>
      <c r="O1307" s="410" t="s">
        <v>4884</v>
      </c>
      <c r="P1307" s="406">
        <v>1304</v>
      </c>
      <c r="Q1307" s="270" t="s">
        <v>2202</v>
      </c>
      <c r="R1307" s="523" t="s">
        <v>1883</v>
      </c>
      <c r="S1307" s="270" t="s">
        <v>1884</v>
      </c>
      <c r="U1307" s="471"/>
      <c r="V1307" s="471"/>
      <c r="W1307" s="471"/>
      <c r="X1307" s="471"/>
      <c r="Y1307" s="206"/>
      <c r="Z1307" s="206"/>
    </row>
    <row r="1308" spans="1:26">
      <c r="A1308" s="406">
        <v>1305</v>
      </c>
      <c r="B1308" s="613" t="s">
        <v>7020</v>
      </c>
      <c r="C1308" s="288" t="s">
        <v>2203</v>
      </c>
      <c r="D1308" s="414" t="s">
        <v>4884</v>
      </c>
      <c r="E1308" s="407" t="s">
        <v>4884</v>
      </c>
      <c r="F1308" s="483"/>
      <c r="G1308" s="483"/>
      <c r="H1308" s="483"/>
      <c r="I1308" s="483"/>
      <c r="J1308" s="483"/>
      <c r="K1308" s="483"/>
      <c r="L1308" s="608" t="s">
        <v>4884</v>
      </c>
      <c r="M1308" s="409" t="s">
        <v>4884</v>
      </c>
      <c r="N1308" s="409" t="s">
        <v>4884</v>
      </c>
      <c r="O1308" s="410" t="s">
        <v>4884</v>
      </c>
      <c r="P1308" s="406">
        <v>1305</v>
      </c>
      <c r="Q1308" s="270" t="s">
        <v>2203</v>
      </c>
      <c r="R1308" s="523" t="s">
        <v>1883</v>
      </c>
      <c r="S1308" s="270" t="s">
        <v>1884</v>
      </c>
      <c r="U1308" s="471"/>
      <c r="V1308" s="471"/>
      <c r="W1308" s="471"/>
      <c r="X1308" s="471"/>
      <c r="Y1308" s="206"/>
      <c r="Z1308" s="206"/>
    </row>
    <row r="1309" spans="1:26">
      <c r="A1309" s="406">
        <v>1306</v>
      </c>
      <c r="B1309" s="613" t="s">
        <v>7020</v>
      </c>
      <c r="C1309" s="288" t="s">
        <v>2204</v>
      </c>
      <c r="D1309" s="414" t="s">
        <v>4884</v>
      </c>
      <c r="E1309" s="407" t="s">
        <v>4884</v>
      </c>
      <c r="F1309" s="483"/>
      <c r="G1309" s="483"/>
      <c r="H1309" s="483"/>
      <c r="I1309" s="483"/>
      <c r="J1309" s="483"/>
      <c r="K1309" s="483"/>
      <c r="L1309" s="608" t="s">
        <v>4884</v>
      </c>
      <c r="M1309" s="409" t="s">
        <v>4884</v>
      </c>
      <c r="N1309" s="409" t="s">
        <v>4884</v>
      </c>
      <c r="O1309" s="410" t="s">
        <v>4884</v>
      </c>
      <c r="P1309" s="406">
        <v>1306</v>
      </c>
      <c r="Q1309" s="270" t="s">
        <v>2204</v>
      </c>
      <c r="R1309" s="523" t="s">
        <v>1883</v>
      </c>
      <c r="S1309" s="270" t="s">
        <v>1884</v>
      </c>
      <c r="U1309" s="471"/>
      <c r="V1309" s="471"/>
      <c r="W1309" s="471"/>
      <c r="X1309" s="471"/>
      <c r="Y1309" s="206"/>
      <c r="Z1309" s="206"/>
    </row>
    <row r="1310" spans="1:26">
      <c r="A1310" s="406">
        <v>1307</v>
      </c>
      <c r="B1310" s="613" t="s">
        <v>7020</v>
      </c>
      <c r="C1310" s="288" t="s">
        <v>2205</v>
      </c>
      <c r="D1310" s="414" t="s">
        <v>4884</v>
      </c>
      <c r="E1310" s="407" t="s">
        <v>4884</v>
      </c>
      <c r="F1310" s="483"/>
      <c r="G1310" s="483"/>
      <c r="H1310" s="483"/>
      <c r="I1310" s="483"/>
      <c r="J1310" s="483"/>
      <c r="K1310" s="483"/>
      <c r="L1310" s="608" t="s">
        <v>4884</v>
      </c>
      <c r="M1310" s="409" t="s">
        <v>4884</v>
      </c>
      <c r="N1310" s="409" t="s">
        <v>4884</v>
      </c>
      <c r="O1310" s="410" t="s">
        <v>4884</v>
      </c>
      <c r="P1310" s="406">
        <v>1307</v>
      </c>
      <c r="Q1310" s="270" t="s">
        <v>2205</v>
      </c>
      <c r="R1310" s="523" t="s">
        <v>1883</v>
      </c>
      <c r="S1310" s="270" t="s">
        <v>1884</v>
      </c>
      <c r="U1310" s="471"/>
      <c r="V1310" s="471"/>
      <c r="W1310" s="471"/>
      <c r="X1310" s="471"/>
      <c r="Y1310" s="206"/>
      <c r="Z1310" s="206"/>
    </row>
    <row r="1311" spans="1:26">
      <c r="A1311" s="406">
        <v>1308</v>
      </c>
      <c r="B1311" s="613" t="s">
        <v>7020</v>
      </c>
      <c r="C1311" s="288" t="s">
        <v>2206</v>
      </c>
      <c r="D1311" s="414" t="s">
        <v>4884</v>
      </c>
      <c r="E1311" s="407" t="s">
        <v>4884</v>
      </c>
      <c r="F1311" s="483"/>
      <c r="G1311" s="483"/>
      <c r="H1311" s="483"/>
      <c r="I1311" s="483"/>
      <c r="J1311" s="483"/>
      <c r="K1311" s="483"/>
      <c r="L1311" s="608" t="s">
        <v>4884</v>
      </c>
      <c r="M1311" s="409" t="s">
        <v>4884</v>
      </c>
      <c r="N1311" s="409" t="s">
        <v>4884</v>
      </c>
      <c r="O1311" s="410" t="s">
        <v>4884</v>
      </c>
      <c r="P1311" s="406">
        <v>1308</v>
      </c>
      <c r="Q1311" s="270" t="s">
        <v>2206</v>
      </c>
      <c r="R1311" s="523" t="s">
        <v>1883</v>
      </c>
      <c r="S1311" s="270" t="s">
        <v>1884</v>
      </c>
      <c r="U1311" s="471"/>
      <c r="V1311" s="471"/>
      <c r="W1311" s="471"/>
      <c r="X1311" s="471"/>
      <c r="Y1311" s="206"/>
      <c r="Z1311" s="206"/>
    </row>
    <row r="1312" spans="1:26">
      <c r="A1312" s="406">
        <v>1309</v>
      </c>
      <c r="B1312" s="613" t="s">
        <v>7020</v>
      </c>
      <c r="C1312" s="288" t="s">
        <v>2207</v>
      </c>
      <c r="D1312" s="414" t="s">
        <v>4884</v>
      </c>
      <c r="E1312" s="407" t="s">
        <v>4884</v>
      </c>
      <c r="F1312" s="483"/>
      <c r="G1312" s="483"/>
      <c r="H1312" s="483"/>
      <c r="I1312" s="483"/>
      <c r="J1312" s="483"/>
      <c r="K1312" s="483"/>
      <c r="L1312" s="608" t="s">
        <v>4884</v>
      </c>
      <c r="M1312" s="409" t="s">
        <v>4884</v>
      </c>
      <c r="N1312" s="409" t="s">
        <v>4884</v>
      </c>
      <c r="O1312" s="410" t="s">
        <v>4884</v>
      </c>
      <c r="P1312" s="406">
        <v>1309</v>
      </c>
      <c r="Q1312" s="270" t="s">
        <v>2207</v>
      </c>
      <c r="R1312" s="523" t="s">
        <v>1883</v>
      </c>
      <c r="S1312" s="270" t="s">
        <v>1884</v>
      </c>
      <c r="U1312" s="471"/>
      <c r="V1312" s="471"/>
      <c r="W1312" s="471"/>
      <c r="X1312" s="471"/>
      <c r="Y1312" s="206"/>
      <c r="Z1312" s="206"/>
    </row>
    <row r="1313" spans="1:26">
      <c r="A1313" s="406">
        <v>1310</v>
      </c>
      <c r="B1313" s="613" t="s">
        <v>7020</v>
      </c>
      <c r="C1313" s="288" t="s">
        <v>2208</v>
      </c>
      <c r="D1313" s="414" t="s">
        <v>4884</v>
      </c>
      <c r="E1313" s="407" t="s">
        <v>4884</v>
      </c>
      <c r="F1313" s="483"/>
      <c r="G1313" s="483"/>
      <c r="H1313" s="483"/>
      <c r="I1313" s="483"/>
      <c r="J1313" s="483"/>
      <c r="K1313" s="483"/>
      <c r="L1313" s="608" t="s">
        <v>4884</v>
      </c>
      <c r="M1313" s="409" t="s">
        <v>4884</v>
      </c>
      <c r="N1313" s="409" t="s">
        <v>4884</v>
      </c>
      <c r="O1313" s="410" t="s">
        <v>4884</v>
      </c>
      <c r="P1313" s="406">
        <v>1310</v>
      </c>
      <c r="Q1313" s="270" t="s">
        <v>2208</v>
      </c>
      <c r="R1313" s="523" t="s">
        <v>1883</v>
      </c>
      <c r="S1313" s="270" t="s">
        <v>1884</v>
      </c>
      <c r="U1313" s="471"/>
      <c r="V1313" s="471"/>
      <c r="W1313" s="471"/>
      <c r="X1313" s="471"/>
      <c r="Y1313" s="206"/>
      <c r="Z1313" s="206"/>
    </row>
    <row r="1314" spans="1:26">
      <c r="A1314" s="406">
        <v>1311</v>
      </c>
      <c r="B1314" s="613" t="s">
        <v>7020</v>
      </c>
      <c r="C1314" s="288" t="s">
        <v>2209</v>
      </c>
      <c r="D1314" s="414" t="s">
        <v>4884</v>
      </c>
      <c r="E1314" s="407" t="s">
        <v>4884</v>
      </c>
      <c r="F1314" s="483"/>
      <c r="G1314" s="483"/>
      <c r="H1314" s="483"/>
      <c r="I1314" s="483"/>
      <c r="J1314" s="483"/>
      <c r="K1314" s="483"/>
      <c r="L1314" s="608" t="s">
        <v>4884</v>
      </c>
      <c r="M1314" s="409" t="s">
        <v>4884</v>
      </c>
      <c r="N1314" s="409" t="s">
        <v>4884</v>
      </c>
      <c r="O1314" s="410" t="s">
        <v>4884</v>
      </c>
      <c r="P1314" s="406">
        <v>1311</v>
      </c>
      <c r="Q1314" s="270" t="s">
        <v>2209</v>
      </c>
      <c r="R1314" s="523" t="s">
        <v>1883</v>
      </c>
      <c r="S1314" s="270" t="s">
        <v>1884</v>
      </c>
      <c r="U1314" s="471"/>
      <c r="V1314" s="471"/>
      <c r="W1314" s="471"/>
      <c r="X1314" s="471"/>
      <c r="Y1314" s="206"/>
      <c r="Z1314" s="206"/>
    </row>
    <row r="1315" spans="1:26">
      <c r="A1315" s="406">
        <v>1312</v>
      </c>
      <c r="B1315" s="613" t="s">
        <v>7020</v>
      </c>
      <c r="C1315" s="288" t="s">
        <v>2210</v>
      </c>
      <c r="D1315" s="414" t="s">
        <v>4884</v>
      </c>
      <c r="E1315" s="407" t="s">
        <v>4884</v>
      </c>
      <c r="F1315" s="483"/>
      <c r="G1315" s="483"/>
      <c r="H1315" s="483"/>
      <c r="I1315" s="483"/>
      <c r="J1315" s="483"/>
      <c r="K1315" s="483"/>
      <c r="L1315" s="608" t="s">
        <v>4884</v>
      </c>
      <c r="M1315" s="409" t="s">
        <v>4884</v>
      </c>
      <c r="N1315" s="409" t="s">
        <v>4884</v>
      </c>
      <c r="O1315" s="410" t="s">
        <v>4884</v>
      </c>
      <c r="P1315" s="406">
        <v>1312</v>
      </c>
      <c r="Q1315" s="270" t="s">
        <v>2210</v>
      </c>
      <c r="R1315" s="523" t="s">
        <v>1883</v>
      </c>
      <c r="S1315" s="270" t="s">
        <v>1884</v>
      </c>
      <c r="U1315" s="471"/>
      <c r="V1315" s="471"/>
      <c r="W1315" s="471"/>
      <c r="X1315" s="471"/>
      <c r="Y1315" s="206"/>
      <c r="Z1315" s="206"/>
    </row>
    <row r="1316" spans="1:26">
      <c r="A1316" s="406">
        <v>1313</v>
      </c>
      <c r="B1316" s="613" t="s">
        <v>7020</v>
      </c>
      <c r="C1316" s="288" t="s">
        <v>2211</v>
      </c>
      <c r="D1316" s="414" t="s">
        <v>4884</v>
      </c>
      <c r="E1316" s="407" t="s">
        <v>4884</v>
      </c>
      <c r="F1316" s="483"/>
      <c r="G1316" s="483"/>
      <c r="H1316" s="483"/>
      <c r="I1316" s="483"/>
      <c r="J1316" s="483"/>
      <c r="K1316" s="483"/>
      <c r="L1316" s="608" t="s">
        <v>4884</v>
      </c>
      <c r="M1316" s="409" t="s">
        <v>4884</v>
      </c>
      <c r="N1316" s="409" t="s">
        <v>4884</v>
      </c>
      <c r="O1316" s="410" t="s">
        <v>4884</v>
      </c>
      <c r="P1316" s="406">
        <v>1313</v>
      </c>
      <c r="Q1316" s="270" t="s">
        <v>2211</v>
      </c>
      <c r="R1316" s="523" t="s">
        <v>1883</v>
      </c>
      <c r="S1316" s="270" t="s">
        <v>1884</v>
      </c>
      <c r="U1316" s="471"/>
      <c r="V1316" s="471"/>
      <c r="W1316" s="471"/>
      <c r="X1316" s="471"/>
      <c r="Y1316" s="206"/>
      <c r="Z1316" s="206"/>
    </row>
    <row r="1317" spans="1:26">
      <c r="A1317" s="406">
        <v>1314</v>
      </c>
      <c r="B1317" s="613" t="s">
        <v>7020</v>
      </c>
      <c r="C1317" s="288" t="s">
        <v>2212</v>
      </c>
      <c r="D1317" s="414" t="s">
        <v>4884</v>
      </c>
      <c r="E1317" s="407" t="s">
        <v>4884</v>
      </c>
      <c r="F1317" s="483"/>
      <c r="G1317" s="483"/>
      <c r="H1317" s="483"/>
      <c r="I1317" s="483"/>
      <c r="J1317" s="483"/>
      <c r="K1317" s="483"/>
      <c r="L1317" s="608" t="s">
        <v>4884</v>
      </c>
      <c r="M1317" s="409" t="s">
        <v>4884</v>
      </c>
      <c r="N1317" s="409" t="s">
        <v>4884</v>
      </c>
      <c r="O1317" s="410" t="s">
        <v>4884</v>
      </c>
      <c r="P1317" s="406">
        <v>1314</v>
      </c>
      <c r="Q1317" s="270" t="s">
        <v>2212</v>
      </c>
      <c r="R1317" s="523" t="s">
        <v>1883</v>
      </c>
      <c r="S1317" s="270" t="s">
        <v>1884</v>
      </c>
      <c r="U1317" s="471"/>
      <c r="V1317" s="471"/>
      <c r="W1317" s="471"/>
      <c r="X1317" s="471"/>
      <c r="Y1317" s="206"/>
      <c r="Z1317" s="206"/>
    </row>
    <row r="1318" spans="1:26">
      <c r="A1318" s="406">
        <v>1315</v>
      </c>
      <c r="B1318" s="613" t="s">
        <v>7020</v>
      </c>
      <c r="C1318" s="288" t="s">
        <v>2213</v>
      </c>
      <c r="D1318" s="414" t="s">
        <v>4884</v>
      </c>
      <c r="E1318" s="407" t="s">
        <v>4884</v>
      </c>
      <c r="F1318" s="483"/>
      <c r="G1318" s="483"/>
      <c r="H1318" s="483"/>
      <c r="I1318" s="483"/>
      <c r="J1318" s="483"/>
      <c r="K1318" s="483"/>
      <c r="L1318" s="608" t="s">
        <v>4884</v>
      </c>
      <c r="M1318" s="409" t="s">
        <v>4884</v>
      </c>
      <c r="N1318" s="409" t="s">
        <v>4884</v>
      </c>
      <c r="O1318" s="410" t="s">
        <v>4884</v>
      </c>
      <c r="P1318" s="406">
        <v>1315</v>
      </c>
      <c r="Q1318" s="270" t="s">
        <v>2213</v>
      </c>
      <c r="R1318" s="523" t="s">
        <v>1883</v>
      </c>
      <c r="S1318" s="270" t="s">
        <v>1884</v>
      </c>
      <c r="U1318" s="471"/>
      <c r="V1318" s="471"/>
      <c r="W1318" s="471"/>
      <c r="X1318" s="471"/>
      <c r="Y1318" s="206"/>
      <c r="Z1318" s="206"/>
    </row>
    <row r="1319" spans="1:26">
      <c r="A1319" s="406">
        <v>1316</v>
      </c>
      <c r="B1319" s="613" t="s">
        <v>7020</v>
      </c>
      <c r="C1319" s="288" t="s">
        <v>2214</v>
      </c>
      <c r="D1319" s="414" t="s">
        <v>4884</v>
      </c>
      <c r="E1319" s="407" t="s">
        <v>4884</v>
      </c>
      <c r="F1319" s="483"/>
      <c r="G1319" s="483"/>
      <c r="H1319" s="483"/>
      <c r="I1319" s="483"/>
      <c r="J1319" s="483"/>
      <c r="K1319" s="483"/>
      <c r="L1319" s="608" t="s">
        <v>4884</v>
      </c>
      <c r="M1319" s="409" t="s">
        <v>4884</v>
      </c>
      <c r="N1319" s="409" t="s">
        <v>4884</v>
      </c>
      <c r="O1319" s="410" t="s">
        <v>4884</v>
      </c>
      <c r="P1319" s="406">
        <v>1316</v>
      </c>
      <c r="Q1319" s="270" t="s">
        <v>2214</v>
      </c>
      <c r="R1319" s="523" t="s">
        <v>1883</v>
      </c>
      <c r="S1319" s="270" t="s">
        <v>1884</v>
      </c>
      <c r="U1319" s="471"/>
      <c r="V1319" s="471"/>
      <c r="W1319" s="471"/>
      <c r="X1319" s="471"/>
      <c r="Y1319" s="206"/>
      <c r="Z1319" s="206"/>
    </row>
    <row r="1320" spans="1:26">
      <c r="A1320" s="406">
        <v>1317</v>
      </c>
      <c r="B1320" s="613" t="s">
        <v>7020</v>
      </c>
      <c r="C1320" s="288" t="s">
        <v>2215</v>
      </c>
      <c r="D1320" s="414" t="s">
        <v>4884</v>
      </c>
      <c r="E1320" s="407" t="s">
        <v>4884</v>
      </c>
      <c r="F1320" s="483"/>
      <c r="G1320" s="483"/>
      <c r="H1320" s="483"/>
      <c r="I1320" s="483"/>
      <c r="J1320" s="483"/>
      <c r="K1320" s="483"/>
      <c r="L1320" s="608" t="s">
        <v>4884</v>
      </c>
      <c r="M1320" s="409" t="s">
        <v>4884</v>
      </c>
      <c r="N1320" s="409" t="s">
        <v>4884</v>
      </c>
      <c r="O1320" s="410" t="s">
        <v>4884</v>
      </c>
      <c r="P1320" s="406">
        <v>1317</v>
      </c>
      <c r="Q1320" s="270" t="s">
        <v>2215</v>
      </c>
      <c r="R1320" s="523" t="s">
        <v>1883</v>
      </c>
      <c r="S1320" s="270" t="s">
        <v>1884</v>
      </c>
      <c r="U1320" s="471"/>
      <c r="V1320" s="471"/>
      <c r="W1320" s="471"/>
      <c r="X1320" s="471"/>
      <c r="Y1320" s="206"/>
      <c r="Z1320" s="206"/>
    </row>
    <row r="1321" spans="1:26">
      <c r="A1321" s="406">
        <v>1318</v>
      </c>
      <c r="B1321" s="613" t="s">
        <v>7020</v>
      </c>
      <c r="C1321" s="288" t="s">
        <v>2216</v>
      </c>
      <c r="D1321" s="414" t="s">
        <v>4884</v>
      </c>
      <c r="E1321" s="407" t="s">
        <v>4884</v>
      </c>
      <c r="F1321" s="483"/>
      <c r="G1321" s="483"/>
      <c r="H1321" s="483"/>
      <c r="I1321" s="483"/>
      <c r="J1321" s="483"/>
      <c r="K1321" s="483"/>
      <c r="L1321" s="608" t="s">
        <v>4884</v>
      </c>
      <c r="M1321" s="409" t="s">
        <v>4884</v>
      </c>
      <c r="N1321" s="409" t="s">
        <v>4884</v>
      </c>
      <c r="O1321" s="410" t="s">
        <v>4884</v>
      </c>
      <c r="P1321" s="406">
        <v>1318</v>
      </c>
      <c r="Q1321" s="270" t="s">
        <v>2216</v>
      </c>
      <c r="R1321" s="523" t="s">
        <v>1883</v>
      </c>
      <c r="S1321" s="270" t="s">
        <v>1884</v>
      </c>
      <c r="U1321" s="471"/>
      <c r="V1321" s="471"/>
      <c r="W1321" s="471"/>
      <c r="X1321" s="471"/>
      <c r="Y1321" s="206"/>
      <c r="Z1321" s="206"/>
    </row>
    <row r="1322" spans="1:26">
      <c r="A1322" s="406">
        <v>1319</v>
      </c>
      <c r="B1322" s="613" t="s">
        <v>7020</v>
      </c>
      <c r="C1322" s="288" t="s">
        <v>2217</v>
      </c>
      <c r="D1322" s="414" t="s">
        <v>4884</v>
      </c>
      <c r="E1322" s="407" t="s">
        <v>4884</v>
      </c>
      <c r="F1322" s="483"/>
      <c r="G1322" s="483"/>
      <c r="H1322" s="483"/>
      <c r="I1322" s="483"/>
      <c r="J1322" s="483"/>
      <c r="K1322" s="483"/>
      <c r="L1322" s="608" t="s">
        <v>4884</v>
      </c>
      <c r="M1322" s="409" t="s">
        <v>4884</v>
      </c>
      <c r="N1322" s="409" t="s">
        <v>4884</v>
      </c>
      <c r="O1322" s="410" t="s">
        <v>4884</v>
      </c>
      <c r="P1322" s="406">
        <v>1319</v>
      </c>
      <c r="Q1322" s="270" t="s">
        <v>2217</v>
      </c>
      <c r="R1322" s="523" t="s">
        <v>1883</v>
      </c>
      <c r="S1322" s="270" t="s">
        <v>1884</v>
      </c>
      <c r="U1322" s="471"/>
      <c r="V1322" s="471"/>
      <c r="W1322" s="471"/>
      <c r="X1322" s="471"/>
      <c r="Y1322" s="206"/>
      <c r="Z1322" s="206"/>
    </row>
    <row r="1323" spans="1:26">
      <c r="A1323" s="406">
        <v>1320</v>
      </c>
      <c r="B1323" s="613" t="s">
        <v>7020</v>
      </c>
      <c r="C1323" s="288" t="s">
        <v>2218</v>
      </c>
      <c r="D1323" s="414" t="s">
        <v>4884</v>
      </c>
      <c r="E1323" s="407" t="s">
        <v>4884</v>
      </c>
      <c r="F1323" s="483"/>
      <c r="G1323" s="483"/>
      <c r="H1323" s="483"/>
      <c r="I1323" s="483"/>
      <c r="J1323" s="483"/>
      <c r="K1323" s="483"/>
      <c r="L1323" s="608" t="s">
        <v>4884</v>
      </c>
      <c r="M1323" s="409" t="s">
        <v>4884</v>
      </c>
      <c r="N1323" s="409" t="s">
        <v>4884</v>
      </c>
      <c r="O1323" s="410" t="s">
        <v>4884</v>
      </c>
      <c r="P1323" s="406">
        <v>1320</v>
      </c>
      <c r="Q1323" s="270" t="s">
        <v>2218</v>
      </c>
      <c r="R1323" s="523" t="s">
        <v>1883</v>
      </c>
      <c r="S1323" s="270" t="s">
        <v>1884</v>
      </c>
      <c r="U1323" s="471"/>
      <c r="V1323" s="471"/>
      <c r="W1323" s="471"/>
      <c r="X1323" s="471"/>
      <c r="Y1323" s="206"/>
      <c r="Z1323" s="206"/>
    </row>
    <row r="1324" spans="1:26">
      <c r="A1324" s="406">
        <v>1321</v>
      </c>
      <c r="B1324" s="613" t="s">
        <v>7020</v>
      </c>
      <c r="C1324" s="288" t="s">
        <v>2219</v>
      </c>
      <c r="D1324" s="414" t="s">
        <v>4884</v>
      </c>
      <c r="E1324" s="407" t="s">
        <v>4884</v>
      </c>
      <c r="F1324" s="483"/>
      <c r="G1324" s="483"/>
      <c r="H1324" s="483"/>
      <c r="I1324" s="483"/>
      <c r="J1324" s="483"/>
      <c r="K1324" s="483"/>
      <c r="L1324" s="608" t="s">
        <v>4884</v>
      </c>
      <c r="M1324" s="409" t="s">
        <v>4884</v>
      </c>
      <c r="N1324" s="409" t="s">
        <v>4884</v>
      </c>
      <c r="O1324" s="410" t="s">
        <v>4884</v>
      </c>
      <c r="P1324" s="406">
        <v>1321</v>
      </c>
      <c r="Q1324" s="270" t="s">
        <v>2219</v>
      </c>
      <c r="R1324" s="523" t="s">
        <v>1883</v>
      </c>
      <c r="S1324" s="270" t="s">
        <v>1884</v>
      </c>
      <c r="U1324" s="471"/>
      <c r="V1324" s="471"/>
      <c r="W1324" s="471"/>
      <c r="X1324" s="471"/>
      <c r="Y1324" s="206"/>
      <c r="Z1324" s="206"/>
    </row>
    <row r="1325" spans="1:26">
      <c r="A1325" s="406">
        <v>1322</v>
      </c>
      <c r="B1325" s="613" t="s">
        <v>7020</v>
      </c>
      <c r="C1325" s="288" t="s">
        <v>2220</v>
      </c>
      <c r="D1325" s="414" t="s">
        <v>4884</v>
      </c>
      <c r="E1325" s="407" t="s">
        <v>4884</v>
      </c>
      <c r="F1325" s="483"/>
      <c r="G1325" s="483"/>
      <c r="H1325" s="483"/>
      <c r="I1325" s="483"/>
      <c r="J1325" s="483"/>
      <c r="K1325" s="483"/>
      <c r="L1325" s="608" t="s">
        <v>4884</v>
      </c>
      <c r="M1325" s="409" t="s">
        <v>4884</v>
      </c>
      <c r="N1325" s="409" t="s">
        <v>4884</v>
      </c>
      <c r="O1325" s="410" t="s">
        <v>4884</v>
      </c>
      <c r="P1325" s="406">
        <v>1322</v>
      </c>
      <c r="Q1325" s="270" t="s">
        <v>2220</v>
      </c>
      <c r="R1325" s="523" t="s">
        <v>1883</v>
      </c>
      <c r="S1325" s="270" t="s">
        <v>1884</v>
      </c>
      <c r="U1325" s="471"/>
      <c r="V1325" s="471"/>
      <c r="W1325" s="471"/>
      <c r="X1325" s="471"/>
      <c r="Y1325" s="206"/>
      <c r="Z1325" s="206"/>
    </row>
    <row r="1326" spans="1:26">
      <c r="A1326" s="406">
        <v>1323</v>
      </c>
      <c r="B1326" s="613" t="s">
        <v>7020</v>
      </c>
      <c r="C1326" s="288" t="s">
        <v>2221</v>
      </c>
      <c r="D1326" s="414" t="s">
        <v>4884</v>
      </c>
      <c r="E1326" s="407" t="s">
        <v>4884</v>
      </c>
      <c r="F1326" s="483"/>
      <c r="G1326" s="483"/>
      <c r="H1326" s="483"/>
      <c r="I1326" s="483"/>
      <c r="J1326" s="483"/>
      <c r="K1326" s="483"/>
      <c r="L1326" s="608" t="s">
        <v>4884</v>
      </c>
      <c r="M1326" s="409" t="s">
        <v>4884</v>
      </c>
      <c r="N1326" s="409" t="s">
        <v>4884</v>
      </c>
      <c r="O1326" s="410" t="s">
        <v>4884</v>
      </c>
      <c r="P1326" s="406">
        <v>1323</v>
      </c>
      <c r="Q1326" s="270" t="s">
        <v>2221</v>
      </c>
      <c r="R1326" s="523" t="s">
        <v>1883</v>
      </c>
      <c r="S1326" s="270" t="s">
        <v>1884</v>
      </c>
      <c r="U1326" s="471"/>
      <c r="V1326" s="471"/>
      <c r="W1326" s="471"/>
      <c r="X1326" s="471"/>
      <c r="Y1326" s="206"/>
      <c r="Z1326" s="206"/>
    </row>
    <row r="1327" spans="1:26">
      <c r="A1327" s="406">
        <v>1324</v>
      </c>
      <c r="B1327" s="613" t="s">
        <v>7020</v>
      </c>
      <c r="C1327" s="288" t="s">
        <v>2222</v>
      </c>
      <c r="D1327" s="414" t="s">
        <v>4884</v>
      </c>
      <c r="E1327" s="407" t="s">
        <v>4884</v>
      </c>
      <c r="F1327" s="483"/>
      <c r="G1327" s="483"/>
      <c r="H1327" s="483"/>
      <c r="I1327" s="483"/>
      <c r="J1327" s="483"/>
      <c r="K1327" s="483"/>
      <c r="L1327" s="608" t="s">
        <v>4884</v>
      </c>
      <c r="M1327" s="409" t="s">
        <v>4884</v>
      </c>
      <c r="N1327" s="409" t="s">
        <v>4884</v>
      </c>
      <c r="O1327" s="410" t="s">
        <v>4884</v>
      </c>
      <c r="P1327" s="406">
        <v>1324</v>
      </c>
      <c r="Q1327" s="270" t="s">
        <v>2222</v>
      </c>
      <c r="R1327" s="523" t="s">
        <v>1883</v>
      </c>
      <c r="S1327" s="270" t="s">
        <v>1884</v>
      </c>
      <c r="U1327" s="471"/>
      <c r="V1327" s="471"/>
      <c r="W1327" s="471"/>
      <c r="X1327" s="471"/>
      <c r="Y1327" s="206"/>
      <c r="Z1327" s="206"/>
    </row>
    <row r="1328" spans="1:26">
      <c r="A1328" s="406">
        <v>1325</v>
      </c>
      <c r="B1328" s="613" t="s">
        <v>7020</v>
      </c>
      <c r="C1328" s="288" t="s">
        <v>2223</v>
      </c>
      <c r="D1328" s="414" t="s">
        <v>4884</v>
      </c>
      <c r="E1328" s="407" t="s">
        <v>4884</v>
      </c>
      <c r="F1328" s="483"/>
      <c r="G1328" s="483"/>
      <c r="H1328" s="483"/>
      <c r="I1328" s="483"/>
      <c r="J1328" s="483"/>
      <c r="K1328" s="483"/>
      <c r="L1328" s="608" t="s">
        <v>4884</v>
      </c>
      <c r="M1328" s="409" t="s">
        <v>4884</v>
      </c>
      <c r="N1328" s="409" t="s">
        <v>4884</v>
      </c>
      <c r="O1328" s="410" t="s">
        <v>4884</v>
      </c>
      <c r="P1328" s="406">
        <v>1325</v>
      </c>
      <c r="Q1328" s="270" t="s">
        <v>2223</v>
      </c>
      <c r="R1328" s="523" t="s">
        <v>1883</v>
      </c>
      <c r="S1328" s="270" t="s">
        <v>1884</v>
      </c>
      <c r="U1328" s="471"/>
      <c r="V1328" s="471"/>
      <c r="W1328" s="471"/>
      <c r="X1328" s="471"/>
      <c r="Y1328" s="206"/>
      <c r="Z1328" s="206"/>
    </row>
    <row r="1329" spans="1:26">
      <c r="A1329" s="406">
        <v>1326</v>
      </c>
      <c r="B1329" s="613" t="s">
        <v>7020</v>
      </c>
      <c r="C1329" s="288" t="s">
        <v>2224</v>
      </c>
      <c r="D1329" s="414" t="s">
        <v>4884</v>
      </c>
      <c r="E1329" s="407" t="s">
        <v>4884</v>
      </c>
      <c r="F1329" s="483"/>
      <c r="G1329" s="483"/>
      <c r="H1329" s="483"/>
      <c r="I1329" s="483"/>
      <c r="J1329" s="483"/>
      <c r="K1329" s="483"/>
      <c r="L1329" s="608" t="s">
        <v>4884</v>
      </c>
      <c r="M1329" s="409" t="s">
        <v>4884</v>
      </c>
      <c r="N1329" s="409" t="s">
        <v>4884</v>
      </c>
      <c r="O1329" s="410" t="s">
        <v>4884</v>
      </c>
      <c r="P1329" s="406">
        <v>1326</v>
      </c>
      <c r="Q1329" s="270" t="s">
        <v>2224</v>
      </c>
      <c r="R1329" s="523" t="s">
        <v>1883</v>
      </c>
      <c r="S1329" s="270" t="s">
        <v>1884</v>
      </c>
      <c r="U1329" s="471"/>
      <c r="V1329" s="471"/>
      <c r="W1329" s="471"/>
      <c r="X1329" s="471"/>
      <c r="Y1329" s="206"/>
      <c r="Z1329" s="206"/>
    </row>
    <row r="1330" spans="1:26">
      <c r="A1330" s="406">
        <v>1327</v>
      </c>
      <c r="B1330" s="613" t="s">
        <v>7020</v>
      </c>
      <c r="C1330" s="288" t="s">
        <v>2225</v>
      </c>
      <c r="D1330" s="414" t="s">
        <v>4884</v>
      </c>
      <c r="E1330" s="407" t="s">
        <v>4884</v>
      </c>
      <c r="F1330" s="483"/>
      <c r="G1330" s="483"/>
      <c r="H1330" s="483"/>
      <c r="I1330" s="483"/>
      <c r="J1330" s="483"/>
      <c r="K1330" s="483"/>
      <c r="L1330" s="608" t="s">
        <v>4884</v>
      </c>
      <c r="M1330" s="409" t="s">
        <v>4884</v>
      </c>
      <c r="N1330" s="409" t="s">
        <v>4884</v>
      </c>
      <c r="O1330" s="410" t="s">
        <v>4884</v>
      </c>
      <c r="P1330" s="406">
        <v>1327</v>
      </c>
      <c r="Q1330" s="270" t="s">
        <v>2225</v>
      </c>
      <c r="R1330" s="523" t="s">
        <v>1883</v>
      </c>
      <c r="S1330" s="270" t="s">
        <v>1884</v>
      </c>
      <c r="U1330" s="471"/>
      <c r="V1330" s="471"/>
      <c r="W1330" s="471"/>
      <c r="X1330" s="471"/>
      <c r="Y1330" s="206"/>
      <c r="Z1330" s="206"/>
    </row>
    <row r="1331" spans="1:26">
      <c r="A1331" s="406">
        <v>1328</v>
      </c>
      <c r="B1331" s="613" t="s">
        <v>7020</v>
      </c>
      <c r="C1331" s="288" t="s">
        <v>2226</v>
      </c>
      <c r="D1331" s="414" t="s">
        <v>4884</v>
      </c>
      <c r="E1331" s="407" t="s">
        <v>4884</v>
      </c>
      <c r="F1331" s="483"/>
      <c r="G1331" s="483"/>
      <c r="H1331" s="483"/>
      <c r="I1331" s="483"/>
      <c r="J1331" s="483"/>
      <c r="K1331" s="483"/>
      <c r="L1331" s="608" t="s">
        <v>4884</v>
      </c>
      <c r="M1331" s="409" t="s">
        <v>4884</v>
      </c>
      <c r="N1331" s="409" t="s">
        <v>4884</v>
      </c>
      <c r="O1331" s="410" t="s">
        <v>4884</v>
      </c>
      <c r="P1331" s="406">
        <v>1328</v>
      </c>
      <c r="Q1331" s="270" t="s">
        <v>2226</v>
      </c>
      <c r="R1331" s="523" t="s">
        <v>1883</v>
      </c>
      <c r="S1331" s="270" t="s">
        <v>1884</v>
      </c>
      <c r="U1331" s="471"/>
      <c r="V1331" s="471"/>
      <c r="W1331" s="471"/>
      <c r="X1331" s="471"/>
      <c r="Y1331" s="206"/>
      <c r="Z1331" s="206"/>
    </row>
    <row r="1332" spans="1:26">
      <c r="A1332" s="406">
        <v>1329</v>
      </c>
      <c r="B1332" s="613" t="s">
        <v>7020</v>
      </c>
      <c r="C1332" s="288" t="s">
        <v>2227</v>
      </c>
      <c r="D1332" s="414" t="s">
        <v>4884</v>
      </c>
      <c r="E1332" s="407" t="s">
        <v>4884</v>
      </c>
      <c r="F1332" s="483"/>
      <c r="G1332" s="483"/>
      <c r="H1332" s="483"/>
      <c r="I1332" s="483"/>
      <c r="J1332" s="483"/>
      <c r="K1332" s="483"/>
      <c r="L1332" s="608" t="s">
        <v>4884</v>
      </c>
      <c r="M1332" s="409" t="s">
        <v>4884</v>
      </c>
      <c r="N1332" s="409" t="s">
        <v>4884</v>
      </c>
      <c r="O1332" s="410" t="s">
        <v>4884</v>
      </c>
      <c r="P1332" s="406">
        <v>1329</v>
      </c>
      <c r="Q1332" s="270" t="s">
        <v>2227</v>
      </c>
      <c r="R1332" s="523" t="s">
        <v>1883</v>
      </c>
      <c r="S1332" s="270" t="s">
        <v>1884</v>
      </c>
      <c r="U1332" s="471"/>
      <c r="V1332" s="471"/>
      <c r="W1332" s="471"/>
      <c r="X1332" s="471"/>
      <c r="Y1332" s="206"/>
      <c r="Z1332" s="206"/>
    </row>
    <row r="1333" spans="1:26">
      <c r="A1333" s="406">
        <v>1330</v>
      </c>
      <c r="B1333" s="613" t="s">
        <v>7020</v>
      </c>
      <c r="C1333" s="288" t="s">
        <v>2228</v>
      </c>
      <c r="D1333" s="414" t="s">
        <v>4884</v>
      </c>
      <c r="E1333" s="407" t="s">
        <v>4884</v>
      </c>
      <c r="F1333" s="483"/>
      <c r="G1333" s="483"/>
      <c r="H1333" s="483"/>
      <c r="I1333" s="483"/>
      <c r="J1333" s="483"/>
      <c r="K1333" s="483"/>
      <c r="L1333" s="608" t="s">
        <v>4884</v>
      </c>
      <c r="M1333" s="409" t="s">
        <v>4884</v>
      </c>
      <c r="N1333" s="409" t="s">
        <v>4884</v>
      </c>
      <c r="O1333" s="410" t="s">
        <v>4884</v>
      </c>
      <c r="P1333" s="406">
        <v>1330</v>
      </c>
      <c r="Q1333" s="270" t="s">
        <v>2228</v>
      </c>
      <c r="R1333" s="523" t="s">
        <v>1883</v>
      </c>
      <c r="S1333" s="270" t="s">
        <v>1884</v>
      </c>
      <c r="U1333" s="471"/>
      <c r="V1333" s="471"/>
      <c r="W1333" s="471"/>
      <c r="X1333" s="471"/>
      <c r="Y1333" s="206"/>
      <c r="Z1333" s="206"/>
    </row>
    <row r="1334" spans="1:26">
      <c r="A1334" s="406">
        <v>1331</v>
      </c>
      <c r="B1334" s="613" t="s">
        <v>7020</v>
      </c>
      <c r="C1334" s="288" t="s">
        <v>2229</v>
      </c>
      <c r="D1334" s="414" t="s">
        <v>4884</v>
      </c>
      <c r="E1334" s="407" t="s">
        <v>4884</v>
      </c>
      <c r="F1334" s="483"/>
      <c r="G1334" s="483"/>
      <c r="H1334" s="483"/>
      <c r="I1334" s="483"/>
      <c r="J1334" s="483"/>
      <c r="K1334" s="483"/>
      <c r="L1334" s="608" t="s">
        <v>4884</v>
      </c>
      <c r="M1334" s="409" t="s">
        <v>4884</v>
      </c>
      <c r="N1334" s="409" t="s">
        <v>4884</v>
      </c>
      <c r="O1334" s="410" t="s">
        <v>4884</v>
      </c>
      <c r="P1334" s="406">
        <v>1331</v>
      </c>
      <c r="Q1334" s="270" t="s">
        <v>2229</v>
      </c>
      <c r="R1334" s="523" t="s">
        <v>1883</v>
      </c>
      <c r="S1334" s="270" t="s">
        <v>1884</v>
      </c>
      <c r="U1334" s="471"/>
      <c r="V1334" s="471"/>
      <c r="W1334" s="471"/>
      <c r="X1334" s="471"/>
      <c r="Y1334" s="206"/>
      <c r="Z1334" s="206"/>
    </row>
    <row r="1335" spans="1:26">
      <c r="A1335" s="406">
        <v>1332</v>
      </c>
      <c r="B1335" s="613" t="s">
        <v>7020</v>
      </c>
      <c r="C1335" s="288" t="s">
        <v>2230</v>
      </c>
      <c r="D1335" s="414" t="s">
        <v>4884</v>
      </c>
      <c r="E1335" s="407" t="s">
        <v>4884</v>
      </c>
      <c r="F1335" s="483"/>
      <c r="G1335" s="483"/>
      <c r="H1335" s="483"/>
      <c r="I1335" s="483"/>
      <c r="J1335" s="483"/>
      <c r="K1335" s="483"/>
      <c r="L1335" s="608" t="s">
        <v>4884</v>
      </c>
      <c r="M1335" s="409" t="s">
        <v>4884</v>
      </c>
      <c r="N1335" s="409" t="s">
        <v>4884</v>
      </c>
      <c r="O1335" s="410" t="s">
        <v>4884</v>
      </c>
      <c r="P1335" s="406">
        <v>1332</v>
      </c>
      <c r="Q1335" s="270" t="s">
        <v>2230</v>
      </c>
      <c r="R1335" s="523" t="s">
        <v>1883</v>
      </c>
      <c r="S1335" s="270" t="s">
        <v>1884</v>
      </c>
      <c r="U1335" s="471"/>
      <c r="V1335" s="471"/>
      <c r="W1335" s="471"/>
      <c r="X1335" s="471"/>
      <c r="Y1335" s="206"/>
      <c r="Z1335" s="206"/>
    </row>
    <row r="1336" spans="1:26">
      <c r="A1336" s="406">
        <v>1333</v>
      </c>
      <c r="B1336" s="613" t="s">
        <v>7020</v>
      </c>
      <c r="C1336" s="288" t="s">
        <v>2231</v>
      </c>
      <c r="D1336" s="414" t="s">
        <v>4884</v>
      </c>
      <c r="E1336" s="407" t="s">
        <v>4884</v>
      </c>
      <c r="F1336" s="483"/>
      <c r="G1336" s="483"/>
      <c r="H1336" s="483"/>
      <c r="I1336" s="483"/>
      <c r="J1336" s="483"/>
      <c r="K1336" s="483"/>
      <c r="L1336" s="608" t="s">
        <v>4884</v>
      </c>
      <c r="M1336" s="409" t="s">
        <v>4884</v>
      </c>
      <c r="N1336" s="409" t="s">
        <v>4884</v>
      </c>
      <c r="O1336" s="410" t="s">
        <v>4884</v>
      </c>
      <c r="P1336" s="406">
        <v>1333</v>
      </c>
      <c r="Q1336" s="270" t="s">
        <v>2231</v>
      </c>
      <c r="R1336" s="523" t="s">
        <v>1883</v>
      </c>
      <c r="S1336" s="270" t="s">
        <v>1884</v>
      </c>
      <c r="U1336" s="471"/>
      <c r="V1336" s="471"/>
      <c r="W1336" s="471"/>
      <c r="X1336" s="471"/>
      <c r="Y1336" s="206"/>
      <c r="Z1336" s="206"/>
    </row>
    <row r="1337" spans="1:26">
      <c r="A1337" s="406">
        <v>1334</v>
      </c>
      <c r="B1337" s="613" t="s">
        <v>7020</v>
      </c>
      <c r="C1337" s="288" t="s">
        <v>2232</v>
      </c>
      <c r="D1337" s="414" t="s">
        <v>4884</v>
      </c>
      <c r="E1337" s="407" t="s">
        <v>4884</v>
      </c>
      <c r="F1337" s="483"/>
      <c r="G1337" s="483"/>
      <c r="H1337" s="483"/>
      <c r="I1337" s="483"/>
      <c r="J1337" s="483"/>
      <c r="K1337" s="483"/>
      <c r="L1337" s="608" t="s">
        <v>4884</v>
      </c>
      <c r="M1337" s="409" t="s">
        <v>4884</v>
      </c>
      <c r="N1337" s="409" t="s">
        <v>4884</v>
      </c>
      <c r="O1337" s="410" t="s">
        <v>4884</v>
      </c>
      <c r="P1337" s="406">
        <v>1334</v>
      </c>
      <c r="Q1337" s="270" t="s">
        <v>2232</v>
      </c>
      <c r="R1337" s="523" t="s">
        <v>1883</v>
      </c>
      <c r="S1337" s="270" t="s">
        <v>1884</v>
      </c>
      <c r="U1337" s="471"/>
      <c r="V1337" s="471"/>
      <c r="W1337" s="471"/>
      <c r="X1337" s="471"/>
      <c r="Y1337" s="206"/>
      <c r="Z1337" s="206"/>
    </row>
    <row r="1338" spans="1:26">
      <c r="A1338" s="406">
        <v>1335</v>
      </c>
      <c r="B1338" s="613" t="s">
        <v>7020</v>
      </c>
      <c r="C1338" s="288" t="s">
        <v>2233</v>
      </c>
      <c r="D1338" s="414" t="s">
        <v>4884</v>
      </c>
      <c r="E1338" s="407" t="s">
        <v>4884</v>
      </c>
      <c r="F1338" s="483"/>
      <c r="G1338" s="483"/>
      <c r="H1338" s="483"/>
      <c r="I1338" s="483"/>
      <c r="J1338" s="483"/>
      <c r="K1338" s="483"/>
      <c r="L1338" s="608" t="s">
        <v>4884</v>
      </c>
      <c r="M1338" s="409" t="s">
        <v>4884</v>
      </c>
      <c r="N1338" s="409" t="s">
        <v>4884</v>
      </c>
      <c r="O1338" s="410" t="s">
        <v>4884</v>
      </c>
      <c r="P1338" s="406">
        <v>1335</v>
      </c>
      <c r="Q1338" s="270" t="s">
        <v>2233</v>
      </c>
      <c r="R1338" s="523" t="s">
        <v>1883</v>
      </c>
      <c r="S1338" s="270" t="s">
        <v>1884</v>
      </c>
      <c r="U1338" s="471"/>
      <c r="V1338" s="471"/>
      <c r="W1338" s="471"/>
      <c r="X1338" s="471"/>
      <c r="Y1338" s="206"/>
      <c r="Z1338" s="206"/>
    </row>
    <row r="1339" spans="1:26">
      <c r="A1339" s="406">
        <v>1336</v>
      </c>
      <c r="B1339" s="613" t="s">
        <v>7020</v>
      </c>
      <c r="C1339" s="288" t="s">
        <v>2234</v>
      </c>
      <c r="D1339" s="414" t="s">
        <v>4884</v>
      </c>
      <c r="E1339" s="407" t="s">
        <v>4884</v>
      </c>
      <c r="F1339" s="483"/>
      <c r="G1339" s="483"/>
      <c r="H1339" s="483"/>
      <c r="I1339" s="483"/>
      <c r="J1339" s="483"/>
      <c r="K1339" s="483"/>
      <c r="L1339" s="608" t="s">
        <v>4884</v>
      </c>
      <c r="M1339" s="409" t="s">
        <v>4884</v>
      </c>
      <c r="N1339" s="409" t="s">
        <v>4884</v>
      </c>
      <c r="O1339" s="410" t="s">
        <v>4884</v>
      </c>
      <c r="P1339" s="406">
        <v>1336</v>
      </c>
      <c r="Q1339" s="270" t="s">
        <v>2234</v>
      </c>
      <c r="R1339" s="523" t="s">
        <v>1883</v>
      </c>
      <c r="S1339" s="270" t="s">
        <v>1884</v>
      </c>
      <c r="U1339" s="471"/>
      <c r="V1339" s="471"/>
      <c r="W1339" s="471"/>
      <c r="X1339" s="471"/>
      <c r="Y1339" s="206"/>
      <c r="Z1339" s="206"/>
    </row>
    <row r="1340" spans="1:26">
      <c r="A1340" s="406">
        <v>1337</v>
      </c>
      <c r="B1340" s="613" t="s">
        <v>7020</v>
      </c>
      <c r="C1340" s="288" t="s">
        <v>2235</v>
      </c>
      <c r="D1340" s="414" t="s">
        <v>4884</v>
      </c>
      <c r="E1340" s="407" t="s">
        <v>4884</v>
      </c>
      <c r="F1340" s="483"/>
      <c r="G1340" s="483"/>
      <c r="H1340" s="483"/>
      <c r="I1340" s="483"/>
      <c r="J1340" s="483"/>
      <c r="K1340" s="483"/>
      <c r="L1340" s="608" t="s">
        <v>4884</v>
      </c>
      <c r="M1340" s="409" t="s">
        <v>4884</v>
      </c>
      <c r="N1340" s="409" t="s">
        <v>4884</v>
      </c>
      <c r="O1340" s="410" t="s">
        <v>4884</v>
      </c>
      <c r="P1340" s="406">
        <v>1337</v>
      </c>
      <c r="Q1340" s="270" t="s">
        <v>2235</v>
      </c>
      <c r="R1340" s="523" t="s">
        <v>1883</v>
      </c>
      <c r="S1340" s="270" t="s">
        <v>1884</v>
      </c>
      <c r="U1340" s="471"/>
      <c r="V1340" s="471"/>
      <c r="W1340" s="471"/>
      <c r="X1340" s="471"/>
      <c r="Y1340" s="206"/>
      <c r="Z1340" s="206"/>
    </row>
    <row r="1341" spans="1:26">
      <c r="A1341" s="406">
        <v>1338</v>
      </c>
      <c r="B1341" s="613" t="s">
        <v>7020</v>
      </c>
      <c r="C1341" s="288" t="s">
        <v>2236</v>
      </c>
      <c r="D1341" s="414" t="s">
        <v>4884</v>
      </c>
      <c r="E1341" s="407" t="s">
        <v>4884</v>
      </c>
      <c r="F1341" s="483"/>
      <c r="G1341" s="483"/>
      <c r="H1341" s="483"/>
      <c r="I1341" s="483"/>
      <c r="J1341" s="483"/>
      <c r="K1341" s="483"/>
      <c r="L1341" s="608" t="s">
        <v>4884</v>
      </c>
      <c r="M1341" s="409" t="s">
        <v>4884</v>
      </c>
      <c r="N1341" s="409" t="s">
        <v>4884</v>
      </c>
      <c r="O1341" s="410" t="s">
        <v>4884</v>
      </c>
      <c r="P1341" s="406">
        <v>1338</v>
      </c>
      <c r="Q1341" s="270" t="s">
        <v>2236</v>
      </c>
      <c r="R1341" s="523" t="s">
        <v>1883</v>
      </c>
      <c r="S1341" s="270" t="s">
        <v>1884</v>
      </c>
      <c r="U1341" s="471"/>
      <c r="V1341" s="471"/>
      <c r="W1341" s="471"/>
      <c r="X1341" s="471"/>
      <c r="Y1341" s="206"/>
      <c r="Z1341" s="206"/>
    </row>
    <row r="1342" spans="1:26">
      <c r="A1342" s="406">
        <v>1339</v>
      </c>
      <c r="B1342" s="613" t="s">
        <v>7020</v>
      </c>
      <c r="C1342" s="288" t="s">
        <v>2237</v>
      </c>
      <c r="D1342" s="414" t="s">
        <v>4884</v>
      </c>
      <c r="E1342" s="407" t="s">
        <v>4884</v>
      </c>
      <c r="F1342" s="483"/>
      <c r="G1342" s="483"/>
      <c r="H1342" s="483"/>
      <c r="I1342" s="483"/>
      <c r="J1342" s="483"/>
      <c r="K1342" s="483"/>
      <c r="L1342" s="608" t="s">
        <v>4884</v>
      </c>
      <c r="M1342" s="409" t="s">
        <v>4884</v>
      </c>
      <c r="N1342" s="409" t="s">
        <v>4884</v>
      </c>
      <c r="O1342" s="410" t="s">
        <v>4884</v>
      </c>
      <c r="P1342" s="406">
        <v>1339</v>
      </c>
      <c r="Q1342" s="270" t="s">
        <v>2237</v>
      </c>
      <c r="R1342" s="523" t="s">
        <v>1883</v>
      </c>
      <c r="S1342" s="270" t="s">
        <v>1884</v>
      </c>
      <c r="U1342" s="471"/>
      <c r="V1342" s="471"/>
      <c r="W1342" s="471"/>
      <c r="X1342" s="471"/>
      <c r="Y1342" s="206"/>
      <c r="Z1342" s="206"/>
    </row>
    <row r="1343" spans="1:26">
      <c r="A1343" s="406">
        <v>1340</v>
      </c>
      <c r="B1343" s="613" t="s">
        <v>7020</v>
      </c>
      <c r="C1343" s="288" t="s">
        <v>2238</v>
      </c>
      <c r="D1343" s="414" t="s">
        <v>4884</v>
      </c>
      <c r="E1343" s="407" t="s">
        <v>4884</v>
      </c>
      <c r="F1343" s="483"/>
      <c r="G1343" s="483"/>
      <c r="H1343" s="483"/>
      <c r="I1343" s="483"/>
      <c r="J1343" s="483"/>
      <c r="K1343" s="483"/>
      <c r="L1343" s="608" t="s">
        <v>4884</v>
      </c>
      <c r="M1343" s="409" t="s">
        <v>4884</v>
      </c>
      <c r="N1343" s="409" t="s">
        <v>4884</v>
      </c>
      <c r="O1343" s="410" t="s">
        <v>4884</v>
      </c>
      <c r="P1343" s="406">
        <v>1340</v>
      </c>
      <c r="Q1343" s="270" t="s">
        <v>2238</v>
      </c>
      <c r="R1343" s="523" t="s">
        <v>1883</v>
      </c>
      <c r="S1343" s="270" t="s">
        <v>1884</v>
      </c>
      <c r="U1343" s="471"/>
      <c r="V1343" s="471"/>
      <c r="W1343" s="471"/>
      <c r="X1343" s="471"/>
      <c r="Y1343" s="206"/>
      <c r="Z1343" s="206"/>
    </row>
    <row r="1344" spans="1:26">
      <c r="A1344" s="406">
        <v>1341</v>
      </c>
      <c r="B1344" s="613" t="s">
        <v>7020</v>
      </c>
      <c r="C1344" s="288" t="s">
        <v>2239</v>
      </c>
      <c r="D1344" s="414" t="s">
        <v>4884</v>
      </c>
      <c r="E1344" s="407" t="s">
        <v>4884</v>
      </c>
      <c r="F1344" s="483"/>
      <c r="G1344" s="483"/>
      <c r="H1344" s="483"/>
      <c r="I1344" s="483"/>
      <c r="J1344" s="483"/>
      <c r="K1344" s="483"/>
      <c r="L1344" s="608" t="s">
        <v>4884</v>
      </c>
      <c r="M1344" s="409" t="s">
        <v>4884</v>
      </c>
      <c r="N1344" s="409" t="s">
        <v>4884</v>
      </c>
      <c r="O1344" s="410" t="s">
        <v>4884</v>
      </c>
      <c r="P1344" s="406">
        <v>1341</v>
      </c>
      <c r="Q1344" s="270" t="s">
        <v>2239</v>
      </c>
      <c r="R1344" s="523" t="s">
        <v>1883</v>
      </c>
      <c r="S1344" s="270" t="s">
        <v>1884</v>
      </c>
      <c r="U1344" s="471"/>
      <c r="V1344" s="471"/>
      <c r="W1344" s="471"/>
      <c r="X1344" s="471"/>
      <c r="Y1344" s="206"/>
      <c r="Z1344" s="206"/>
    </row>
    <row r="1345" spans="1:26">
      <c r="A1345" s="406">
        <v>1342</v>
      </c>
      <c r="B1345" s="613" t="s">
        <v>7020</v>
      </c>
      <c r="C1345" s="288" t="s">
        <v>2240</v>
      </c>
      <c r="D1345" s="414" t="s">
        <v>4884</v>
      </c>
      <c r="E1345" s="407" t="s">
        <v>4884</v>
      </c>
      <c r="F1345" s="483"/>
      <c r="G1345" s="483"/>
      <c r="H1345" s="483"/>
      <c r="I1345" s="483"/>
      <c r="J1345" s="483"/>
      <c r="K1345" s="483"/>
      <c r="L1345" s="608" t="s">
        <v>4884</v>
      </c>
      <c r="M1345" s="409" t="s">
        <v>4884</v>
      </c>
      <c r="N1345" s="409" t="s">
        <v>4884</v>
      </c>
      <c r="O1345" s="410" t="s">
        <v>4884</v>
      </c>
      <c r="P1345" s="406">
        <v>1342</v>
      </c>
      <c r="Q1345" s="270" t="s">
        <v>2240</v>
      </c>
      <c r="R1345" s="523" t="s">
        <v>1883</v>
      </c>
      <c r="S1345" s="270" t="s">
        <v>1884</v>
      </c>
      <c r="U1345" s="471"/>
      <c r="V1345" s="471"/>
      <c r="W1345" s="471"/>
      <c r="X1345" s="471"/>
      <c r="Y1345" s="206"/>
      <c r="Z1345" s="206"/>
    </row>
    <row r="1346" spans="1:26">
      <c r="A1346" s="406">
        <v>1343</v>
      </c>
      <c r="B1346" s="613" t="s">
        <v>7020</v>
      </c>
      <c r="C1346" s="483" t="s">
        <v>2241</v>
      </c>
      <c r="D1346" s="414" t="s">
        <v>4884</v>
      </c>
      <c r="E1346" s="407" t="s">
        <v>4884</v>
      </c>
      <c r="F1346" s="483"/>
      <c r="G1346" s="483"/>
      <c r="H1346" s="483"/>
      <c r="I1346" s="483"/>
      <c r="J1346" s="483"/>
      <c r="K1346" s="483"/>
      <c r="L1346" s="608" t="s">
        <v>4884</v>
      </c>
      <c r="M1346" s="409" t="s">
        <v>4884</v>
      </c>
      <c r="N1346" s="409" t="s">
        <v>4884</v>
      </c>
      <c r="O1346" s="410" t="s">
        <v>4884</v>
      </c>
      <c r="P1346" s="406">
        <v>1343</v>
      </c>
      <c r="Q1346" s="460" t="s">
        <v>2241</v>
      </c>
      <c r="R1346" s="460" t="s">
        <v>1883</v>
      </c>
      <c r="S1346" s="460" t="s">
        <v>1884</v>
      </c>
      <c r="U1346" s="471"/>
      <c r="V1346" s="471"/>
      <c r="W1346" s="471"/>
      <c r="X1346" s="471"/>
      <c r="Y1346" s="206"/>
      <c r="Z1346" s="206"/>
    </row>
    <row r="1347" spans="1:26">
      <c r="A1347" s="406">
        <v>1344</v>
      </c>
      <c r="B1347" s="613" t="s">
        <v>7020</v>
      </c>
      <c r="C1347" s="483" t="s">
        <v>2242</v>
      </c>
      <c r="D1347" s="414" t="s">
        <v>4884</v>
      </c>
      <c r="E1347" s="407" t="s">
        <v>4884</v>
      </c>
      <c r="F1347" s="483"/>
      <c r="G1347" s="483"/>
      <c r="H1347" s="483"/>
      <c r="I1347" s="483"/>
      <c r="J1347" s="483"/>
      <c r="K1347" s="483"/>
      <c r="L1347" s="608" t="s">
        <v>4884</v>
      </c>
      <c r="M1347" s="409" t="s">
        <v>4884</v>
      </c>
      <c r="N1347" s="409" t="s">
        <v>4884</v>
      </c>
      <c r="O1347" s="410" t="s">
        <v>4884</v>
      </c>
      <c r="P1347" s="406">
        <v>1344</v>
      </c>
      <c r="Q1347" s="460" t="s">
        <v>2242</v>
      </c>
      <c r="R1347" s="460" t="s">
        <v>1883</v>
      </c>
      <c r="S1347" s="460" t="s">
        <v>1884</v>
      </c>
      <c r="U1347" s="471"/>
      <c r="V1347" s="471"/>
      <c r="W1347" s="471"/>
      <c r="X1347" s="471"/>
      <c r="Y1347" s="206"/>
      <c r="Z1347" s="206"/>
    </row>
    <row r="1348" spans="1:26">
      <c r="A1348" s="406">
        <v>1345</v>
      </c>
      <c r="B1348" s="613" t="s">
        <v>7020</v>
      </c>
      <c r="C1348" s="483" t="s">
        <v>2243</v>
      </c>
      <c r="D1348" s="414" t="s">
        <v>4884</v>
      </c>
      <c r="E1348" s="407" t="s">
        <v>4884</v>
      </c>
      <c r="F1348" s="483"/>
      <c r="G1348" s="483"/>
      <c r="H1348" s="483"/>
      <c r="I1348" s="483"/>
      <c r="J1348" s="483"/>
      <c r="K1348" s="483"/>
      <c r="L1348" s="608" t="s">
        <v>4884</v>
      </c>
      <c r="M1348" s="409" t="s">
        <v>4884</v>
      </c>
      <c r="N1348" s="409" t="s">
        <v>4884</v>
      </c>
      <c r="O1348" s="410" t="s">
        <v>4884</v>
      </c>
      <c r="P1348" s="406">
        <v>1345</v>
      </c>
      <c r="Q1348" s="460" t="s">
        <v>2243</v>
      </c>
      <c r="R1348" s="460" t="s">
        <v>1883</v>
      </c>
      <c r="S1348" s="460" t="s">
        <v>1884</v>
      </c>
      <c r="U1348" s="471"/>
      <c r="V1348" s="471"/>
      <c r="W1348" s="471"/>
      <c r="X1348" s="471"/>
      <c r="Y1348" s="206"/>
      <c r="Z1348" s="206"/>
    </row>
    <row r="1349" spans="1:26">
      <c r="A1349" s="406">
        <v>1346</v>
      </c>
      <c r="B1349" s="613" t="s">
        <v>7020</v>
      </c>
      <c r="C1349" s="483" t="s">
        <v>2244</v>
      </c>
      <c r="D1349" s="414" t="s">
        <v>4884</v>
      </c>
      <c r="E1349" s="407" t="s">
        <v>4884</v>
      </c>
      <c r="F1349" s="483"/>
      <c r="G1349" s="483"/>
      <c r="H1349" s="483"/>
      <c r="I1349" s="483"/>
      <c r="J1349" s="483"/>
      <c r="K1349" s="483"/>
      <c r="L1349" s="608" t="s">
        <v>4884</v>
      </c>
      <c r="M1349" s="409" t="s">
        <v>4884</v>
      </c>
      <c r="N1349" s="409" t="s">
        <v>4884</v>
      </c>
      <c r="O1349" s="410" t="s">
        <v>4884</v>
      </c>
      <c r="P1349" s="406">
        <v>1346</v>
      </c>
      <c r="Q1349" s="460" t="s">
        <v>2244</v>
      </c>
      <c r="R1349" s="460" t="s">
        <v>2245</v>
      </c>
      <c r="S1349" s="460" t="s">
        <v>1528</v>
      </c>
      <c r="T1349" s="487" t="s">
        <v>2246</v>
      </c>
      <c r="U1349" s="471"/>
      <c r="V1349" s="471"/>
      <c r="W1349" s="471"/>
      <c r="X1349" s="471"/>
      <c r="Y1349" s="206"/>
      <c r="Z1349" s="206"/>
    </row>
    <row r="1350" spans="1:26">
      <c r="A1350" s="406">
        <v>1347</v>
      </c>
      <c r="B1350" s="613" t="s">
        <v>7020</v>
      </c>
      <c r="C1350" s="483" t="s">
        <v>2247</v>
      </c>
      <c r="D1350" s="414" t="s">
        <v>4884</v>
      </c>
      <c r="E1350" s="407" t="s">
        <v>4884</v>
      </c>
      <c r="F1350" s="483"/>
      <c r="G1350" s="483"/>
      <c r="H1350" s="483"/>
      <c r="I1350" s="483"/>
      <c r="J1350" s="483"/>
      <c r="K1350" s="483"/>
      <c r="L1350" s="608" t="s">
        <v>4884</v>
      </c>
      <c r="M1350" s="409" t="s">
        <v>4884</v>
      </c>
      <c r="N1350" s="409" t="s">
        <v>4884</v>
      </c>
      <c r="O1350" s="410" t="s">
        <v>4884</v>
      </c>
      <c r="P1350" s="406">
        <v>1347</v>
      </c>
      <c r="Q1350" s="460" t="s">
        <v>2247</v>
      </c>
      <c r="R1350" s="460" t="s">
        <v>2249</v>
      </c>
      <c r="S1350" s="460" t="s">
        <v>1528</v>
      </c>
      <c r="T1350" s="492" t="s">
        <v>1622</v>
      </c>
      <c r="U1350" s="471"/>
      <c r="V1350" s="471"/>
      <c r="W1350" s="471"/>
      <c r="X1350" s="471"/>
      <c r="Y1350" s="206"/>
      <c r="Z1350" s="206"/>
    </row>
    <row r="1351" spans="1:26">
      <c r="A1351" s="406">
        <v>1348</v>
      </c>
      <c r="B1351" s="613" t="s">
        <v>7020</v>
      </c>
      <c r="C1351" s="483" t="s">
        <v>2250</v>
      </c>
      <c r="D1351" s="414" t="s">
        <v>4884</v>
      </c>
      <c r="E1351" s="407" t="s">
        <v>4884</v>
      </c>
      <c r="F1351" s="483"/>
      <c r="G1351" s="483"/>
      <c r="H1351" s="483"/>
      <c r="I1351" s="483"/>
      <c r="J1351" s="483"/>
      <c r="K1351" s="483"/>
      <c r="L1351" s="608" t="s">
        <v>4884</v>
      </c>
      <c r="M1351" s="409" t="s">
        <v>4884</v>
      </c>
      <c r="N1351" s="409" t="s">
        <v>4884</v>
      </c>
      <c r="O1351" s="410" t="s">
        <v>4884</v>
      </c>
      <c r="P1351" s="406">
        <v>1348</v>
      </c>
      <c r="Q1351" s="460" t="s">
        <v>2250</v>
      </c>
      <c r="R1351" s="460" t="s">
        <v>2252</v>
      </c>
      <c r="S1351" s="460" t="s">
        <v>1528</v>
      </c>
      <c r="T1351" s="493" t="s">
        <v>1629</v>
      </c>
      <c r="U1351" s="471"/>
      <c r="V1351" s="471"/>
      <c r="W1351" s="471"/>
      <c r="X1351" s="471"/>
      <c r="Y1351" s="206"/>
      <c r="Z1351" s="206"/>
    </row>
    <row r="1352" spans="1:26">
      <c r="A1352" s="406">
        <v>1349</v>
      </c>
      <c r="B1352" s="613" t="s">
        <v>7020</v>
      </c>
      <c r="C1352" s="483" t="s">
        <v>2253</v>
      </c>
      <c r="D1352" s="414" t="s">
        <v>4884</v>
      </c>
      <c r="E1352" s="407" t="s">
        <v>4884</v>
      </c>
      <c r="F1352" s="483"/>
      <c r="G1352" s="483"/>
      <c r="H1352" s="483"/>
      <c r="I1352" s="483"/>
      <c r="J1352" s="483"/>
      <c r="K1352" s="483"/>
      <c r="L1352" s="608" t="s">
        <v>4884</v>
      </c>
      <c r="M1352" s="409" t="s">
        <v>4884</v>
      </c>
      <c r="N1352" s="409" t="s">
        <v>4884</v>
      </c>
      <c r="O1352" s="410" t="s">
        <v>4884</v>
      </c>
      <c r="P1352" s="406">
        <v>1349</v>
      </c>
      <c r="Q1352" s="460" t="s">
        <v>2253</v>
      </c>
      <c r="R1352" s="460" t="s">
        <v>2248</v>
      </c>
      <c r="S1352" s="460" t="s">
        <v>1528</v>
      </c>
      <c r="T1352" s="495" t="s">
        <v>1728</v>
      </c>
      <c r="U1352" s="471"/>
      <c r="V1352" s="471"/>
      <c r="W1352" s="471"/>
      <c r="X1352" s="471"/>
      <c r="Y1352" s="206"/>
      <c r="Z1352" s="206"/>
    </row>
    <row r="1353" spans="1:26">
      <c r="A1353" s="406">
        <v>1350</v>
      </c>
      <c r="B1353" s="613" t="s">
        <v>7020</v>
      </c>
      <c r="C1353" s="483" t="s">
        <v>2255</v>
      </c>
      <c r="D1353" s="414" t="s">
        <v>4884</v>
      </c>
      <c r="E1353" s="407" t="s">
        <v>4884</v>
      </c>
      <c r="F1353" s="483"/>
      <c r="G1353" s="483"/>
      <c r="H1353" s="483"/>
      <c r="I1353" s="483"/>
      <c r="J1353" s="483"/>
      <c r="K1353" s="483"/>
      <c r="L1353" s="608" t="s">
        <v>4884</v>
      </c>
      <c r="M1353" s="409" t="s">
        <v>4884</v>
      </c>
      <c r="N1353" s="409" t="s">
        <v>4884</v>
      </c>
      <c r="O1353" s="410" t="s">
        <v>4884</v>
      </c>
      <c r="P1353" s="406">
        <v>1350</v>
      </c>
      <c r="Q1353" s="460" t="s">
        <v>2255</v>
      </c>
      <c r="R1353" s="460" t="s">
        <v>2256</v>
      </c>
      <c r="S1353" s="460" t="s">
        <v>1528</v>
      </c>
      <c r="T1353" s="524" t="s">
        <v>1763</v>
      </c>
      <c r="U1353" s="471"/>
      <c r="V1353" s="471"/>
      <c r="W1353" s="471"/>
      <c r="X1353" s="471"/>
      <c r="Y1353" s="206"/>
      <c r="Z1353" s="206"/>
    </row>
    <row r="1354" spans="1:26">
      <c r="A1354" s="406">
        <v>1351</v>
      </c>
      <c r="B1354" s="613" t="s">
        <v>7020</v>
      </c>
      <c r="C1354" s="483" t="s">
        <v>2257</v>
      </c>
      <c r="D1354" s="414" t="s">
        <v>4884</v>
      </c>
      <c r="E1354" s="407" t="s">
        <v>4884</v>
      </c>
      <c r="F1354" s="483"/>
      <c r="G1354" s="483"/>
      <c r="H1354" s="483"/>
      <c r="I1354" s="483"/>
      <c r="J1354" s="483"/>
      <c r="K1354" s="483"/>
      <c r="L1354" s="608" t="s">
        <v>4884</v>
      </c>
      <c r="M1354" s="409" t="s">
        <v>4884</v>
      </c>
      <c r="N1354" s="409" t="s">
        <v>4884</v>
      </c>
      <c r="O1354" s="410" t="s">
        <v>4884</v>
      </c>
      <c r="P1354" s="406">
        <v>1351</v>
      </c>
      <c r="Q1354" s="460" t="s">
        <v>2257</v>
      </c>
      <c r="R1354" s="460" t="s">
        <v>2251</v>
      </c>
      <c r="S1354" s="460" t="s">
        <v>1528</v>
      </c>
      <c r="T1354" s="493" t="s">
        <v>1766</v>
      </c>
      <c r="U1354" s="471"/>
      <c r="V1354" s="471"/>
      <c r="W1354" s="471"/>
      <c r="X1354" s="471"/>
      <c r="Y1354" s="206"/>
      <c r="Z1354" s="206"/>
    </row>
    <row r="1355" spans="1:26">
      <c r="A1355" s="406">
        <v>1352</v>
      </c>
      <c r="B1355" s="613" t="s">
        <v>7020</v>
      </c>
      <c r="C1355" s="483" t="s">
        <v>2258</v>
      </c>
      <c r="D1355" s="414" t="s">
        <v>4884</v>
      </c>
      <c r="E1355" s="407" t="s">
        <v>4884</v>
      </c>
      <c r="F1355" s="483"/>
      <c r="G1355" s="483"/>
      <c r="H1355" s="483"/>
      <c r="I1355" s="483"/>
      <c r="J1355" s="483"/>
      <c r="K1355" s="483"/>
      <c r="L1355" s="608" t="s">
        <v>4884</v>
      </c>
      <c r="M1355" s="409" t="s">
        <v>4884</v>
      </c>
      <c r="N1355" s="409" t="s">
        <v>4884</v>
      </c>
      <c r="O1355" s="410" t="s">
        <v>4884</v>
      </c>
      <c r="P1355" s="406">
        <v>1352</v>
      </c>
      <c r="Q1355" s="460" t="s">
        <v>2258</v>
      </c>
      <c r="R1355" s="460" t="s">
        <v>2254</v>
      </c>
      <c r="S1355" s="460" t="s">
        <v>1528</v>
      </c>
      <c r="T1355" s="481" t="s">
        <v>1838</v>
      </c>
      <c r="U1355" s="471"/>
      <c r="V1355" s="471"/>
      <c r="W1355" s="471"/>
      <c r="X1355" s="471"/>
      <c r="Y1355" s="206"/>
      <c r="Z1355" s="206"/>
    </row>
    <row r="1356" spans="1:26">
      <c r="A1356" s="406">
        <v>1353</v>
      </c>
      <c r="B1356" s="613" t="s">
        <v>6408</v>
      </c>
      <c r="C1356" s="288" t="s">
        <v>2259</v>
      </c>
      <c r="D1356" s="414" t="s">
        <v>3754</v>
      </c>
      <c r="E1356" s="407" t="s">
        <v>9517</v>
      </c>
      <c r="F1356" s="483"/>
      <c r="G1356" s="483"/>
      <c r="H1356" s="483"/>
      <c r="I1356" s="483"/>
      <c r="J1356" s="483"/>
      <c r="K1356" s="483"/>
      <c r="L1356" s="608" t="s">
        <v>4884</v>
      </c>
      <c r="M1356" s="409">
        <v>8022.4488188976375</v>
      </c>
      <c r="N1356" s="409">
        <v>8022.4488188976375</v>
      </c>
      <c r="O1356" s="410" t="s">
        <v>7569</v>
      </c>
      <c r="P1356" s="406">
        <v>1353</v>
      </c>
      <c r="Q1356" s="470" t="s">
        <v>2259</v>
      </c>
      <c r="R1356" s="270" t="s">
        <v>2260</v>
      </c>
      <c r="S1356" s="270" t="s">
        <v>7</v>
      </c>
      <c r="U1356" s="471"/>
      <c r="V1356" s="471"/>
      <c r="W1356" s="471" t="s">
        <v>2260</v>
      </c>
      <c r="X1356" s="471">
        <v>1</v>
      </c>
      <c r="Y1356" s="206"/>
      <c r="Z1356" s="206"/>
    </row>
    <row r="1357" spans="1:26">
      <c r="A1357" s="406">
        <v>1354</v>
      </c>
      <c r="B1357" s="613" t="s">
        <v>7020</v>
      </c>
      <c r="C1357" s="288" t="s">
        <v>2261</v>
      </c>
      <c r="D1357" s="414" t="s">
        <v>4884</v>
      </c>
      <c r="E1357" s="407"/>
      <c r="F1357" s="483"/>
      <c r="G1357" s="483"/>
      <c r="H1357" s="483"/>
      <c r="I1357" s="483"/>
      <c r="J1357" s="483"/>
      <c r="K1357" s="483"/>
      <c r="L1357" s="608" t="s">
        <v>4884</v>
      </c>
      <c r="M1357" s="409" t="s">
        <v>4884</v>
      </c>
      <c r="N1357" s="409" t="s">
        <v>4884</v>
      </c>
      <c r="O1357" s="410" t="s">
        <v>4884</v>
      </c>
      <c r="P1357" s="406">
        <v>1354</v>
      </c>
      <c r="Q1357" s="470" t="s">
        <v>2261</v>
      </c>
      <c r="R1357" s="270" t="s">
        <v>2262</v>
      </c>
      <c r="S1357" s="270" t="s">
        <v>7</v>
      </c>
      <c r="U1357" s="471"/>
      <c r="V1357" s="471"/>
      <c r="W1357" s="471" t="s">
        <v>2262</v>
      </c>
      <c r="X1357" s="471">
        <v>0</v>
      </c>
      <c r="Y1357" s="206"/>
      <c r="Z1357" s="206"/>
    </row>
    <row r="1358" spans="1:26">
      <c r="A1358" s="406">
        <v>1355</v>
      </c>
      <c r="B1358" s="613" t="s">
        <v>7020</v>
      </c>
      <c r="C1358" s="288" t="s">
        <v>2263</v>
      </c>
      <c r="D1358" s="414" t="s">
        <v>4884</v>
      </c>
      <c r="E1358" s="407"/>
      <c r="F1358" s="483"/>
      <c r="G1358" s="483"/>
      <c r="H1358" s="483"/>
      <c r="I1358" s="483"/>
      <c r="J1358" s="483"/>
      <c r="K1358" s="483"/>
      <c r="L1358" s="608" t="s">
        <v>4884</v>
      </c>
      <c r="M1358" s="409" t="s">
        <v>4884</v>
      </c>
      <c r="N1358" s="409" t="s">
        <v>4884</v>
      </c>
      <c r="O1358" s="410" t="s">
        <v>4884</v>
      </c>
      <c r="P1358" s="406">
        <v>1355</v>
      </c>
      <c r="Q1358" s="470" t="s">
        <v>2263</v>
      </c>
      <c r="R1358" s="270" t="s">
        <v>2264</v>
      </c>
      <c r="S1358" s="270" t="s">
        <v>7</v>
      </c>
      <c r="U1358" s="471"/>
      <c r="V1358" s="471"/>
      <c r="W1358" s="471" t="s">
        <v>2264</v>
      </c>
      <c r="X1358" s="471">
        <v>0</v>
      </c>
      <c r="Y1358" s="206"/>
      <c r="Z1358" s="206"/>
    </row>
    <row r="1359" spans="1:26">
      <c r="A1359" s="406">
        <v>1356</v>
      </c>
      <c r="B1359" s="613" t="s">
        <v>7020</v>
      </c>
      <c r="C1359" s="288" t="s">
        <v>2265</v>
      </c>
      <c r="D1359" s="414" t="s">
        <v>4884</v>
      </c>
      <c r="E1359" s="407"/>
      <c r="F1359" s="483" t="s">
        <v>4913</v>
      </c>
      <c r="G1359" s="411"/>
      <c r="H1359" s="411"/>
      <c r="I1359" s="411"/>
      <c r="J1359" s="411"/>
      <c r="K1359" s="411"/>
      <c r="L1359" s="608" t="s">
        <v>4884</v>
      </c>
      <c r="M1359" s="409" t="s">
        <v>4884</v>
      </c>
      <c r="N1359" s="409" t="s">
        <v>4884</v>
      </c>
      <c r="O1359" s="410" t="s">
        <v>4884</v>
      </c>
      <c r="P1359" s="406">
        <v>1356</v>
      </c>
      <c r="Q1359" s="470" t="s">
        <v>2265</v>
      </c>
      <c r="R1359" s="270" t="s">
        <v>2266</v>
      </c>
      <c r="S1359" s="270" t="s">
        <v>7</v>
      </c>
      <c r="U1359" s="471"/>
      <c r="V1359" s="471"/>
      <c r="W1359" s="471" t="s">
        <v>2266</v>
      </c>
      <c r="X1359" s="471">
        <v>0</v>
      </c>
      <c r="Y1359" s="206"/>
      <c r="Z1359" s="206"/>
    </row>
    <row r="1360" spans="1:26">
      <c r="A1360" s="406">
        <v>1357</v>
      </c>
      <c r="B1360" s="613" t="s">
        <v>5278</v>
      </c>
      <c r="C1360" s="288" t="s">
        <v>2267</v>
      </c>
      <c r="D1360" s="414" t="s">
        <v>4205</v>
      </c>
      <c r="E1360" s="407" t="s">
        <v>9518</v>
      </c>
      <c r="F1360" s="483" t="s">
        <v>5277</v>
      </c>
      <c r="G1360" s="411" t="s">
        <v>5279</v>
      </c>
      <c r="H1360" s="411"/>
      <c r="I1360" s="411"/>
      <c r="J1360" s="411"/>
      <c r="K1360" s="411"/>
      <c r="L1360" s="608">
        <v>14338.732283464567</v>
      </c>
      <c r="M1360" s="409">
        <v>1254.6811023622047</v>
      </c>
      <c r="N1360" s="409">
        <v>15593.413385826772</v>
      </c>
      <c r="O1360" s="410" t="s">
        <v>7813</v>
      </c>
      <c r="P1360" s="406">
        <v>1357</v>
      </c>
      <c r="Q1360" s="470" t="s">
        <v>2267</v>
      </c>
      <c r="R1360" s="270" t="s">
        <v>2268</v>
      </c>
      <c r="S1360" s="270" t="s">
        <v>7</v>
      </c>
      <c r="U1360" s="471"/>
      <c r="V1360" s="471"/>
      <c r="W1360" s="471" t="s">
        <v>2268</v>
      </c>
      <c r="X1360" s="471">
        <v>1</v>
      </c>
      <c r="Y1360" s="206"/>
      <c r="Z1360" s="206"/>
    </row>
    <row r="1361" spans="1:26">
      <c r="A1361" s="406">
        <v>1358</v>
      </c>
      <c r="B1361" s="613" t="s">
        <v>5280</v>
      </c>
      <c r="C1361" s="288" t="s">
        <v>2269</v>
      </c>
      <c r="D1361" s="414" t="s">
        <v>4203</v>
      </c>
      <c r="E1361" s="407" t="s">
        <v>9519</v>
      </c>
      <c r="F1361" s="483" t="s">
        <v>5282</v>
      </c>
      <c r="G1361" s="411" t="s">
        <v>5281</v>
      </c>
      <c r="H1361" s="411"/>
      <c r="I1361" s="411"/>
      <c r="J1361" s="411"/>
      <c r="K1361" s="411"/>
      <c r="L1361" s="608">
        <v>14338.681102362205</v>
      </c>
      <c r="M1361" s="409">
        <v>1255.2086614173229</v>
      </c>
      <c r="N1361" s="409">
        <v>15593.889763779527</v>
      </c>
      <c r="O1361" s="410" t="s">
        <v>7813</v>
      </c>
      <c r="P1361" s="406">
        <v>1358</v>
      </c>
      <c r="Q1361" s="470" t="s">
        <v>2269</v>
      </c>
      <c r="R1361" s="270" t="s">
        <v>2270</v>
      </c>
      <c r="S1361" s="270" t="s">
        <v>7</v>
      </c>
      <c r="U1361" s="471"/>
      <c r="V1361" s="471"/>
      <c r="W1361" s="471" t="s">
        <v>2270</v>
      </c>
      <c r="X1361" s="471">
        <v>1</v>
      </c>
      <c r="Y1361" s="206"/>
      <c r="Z1361" s="206"/>
    </row>
    <row r="1362" spans="1:26">
      <c r="A1362" s="406">
        <v>1359</v>
      </c>
      <c r="B1362" s="613" t="s">
        <v>7020</v>
      </c>
      <c r="C1362" s="288" t="s">
        <v>2271</v>
      </c>
      <c r="D1362" s="407" t="s">
        <v>4884</v>
      </c>
      <c r="E1362" s="407" t="s">
        <v>4884</v>
      </c>
      <c r="F1362" s="483"/>
      <c r="G1362" s="483"/>
      <c r="H1362" s="483"/>
      <c r="I1362" s="483"/>
      <c r="J1362" s="483"/>
      <c r="K1362" s="483"/>
      <c r="L1362" s="608" t="s">
        <v>4884</v>
      </c>
      <c r="M1362" s="409" t="s">
        <v>4884</v>
      </c>
      <c r="N1362" s="409" t="s">
        <v>4884</v>
      </c>
      <c r="O1362" s="410" t="s">
        <v>4884</v>
      </c>
      <c r="P1362" s="406">
        <v>1359</v>
      </c>
      <c r="Q1362" s="470" t="s">
        <v>2271</v>
      </c>
      <c r="R1362" s="270" t="s">
        <v>2272</v>
      </c>
      <c r="S1362" s="270" t="s">
        <v>716</v>
      </c>
      <c r="U1362" s="471"/>
      <c r="V1362" s="471">
        <v>0</v>
      </c>
      <c r="W1362" s="471"/>
      <c r="X1362" s="471"/>
      <c r="Y1362" s="206"/>
      <c r="Z1362" s="206"/>
    </row>
    <row r="1363" spans="1:26">
      <c r="L1363" s="412"/>
      <c r="M1363" s="235"/>
      <c r="N1363" s="235"/>
      <c r="O1363" s="206"/>
      <c r="U1363" s="471"/>
      <c r="V1363" s="471"/>
      <c r="W1363" s="471"/>
      <c r="X1363" s="471"/>
      <c r="Y1363" s="206"/>
      <c r="Z1363" s="206"/>
    </row>
    <row r="1364" spans="1:26">
      <c r="B1364" s="288" t="s">
        <v>7359</v>
      </c>
      <c r="C1364" s="461" t="s">
        <v>2273</v>
      </c>
      <c r="D1364" s="407" t="s">
        <v>4372</v>
      </c>
      <c r="E1364" s="407" t="s">
        <v>9520</v>
      </c>
      <c r="F1364" s="288"/>
      <c r="G1364" s="288"/>
      <c r="H1364" s="288"/>
      <c r="I1364" s="288"/>
      <c r="J1364" s="288"/>
      <c r="K1364" s="288"/>
      <c r="L1364" s="610"/>
      <c r="M1364" s="269"/>
      <c r="N1364" s="269"/>
      <c r="O1364" s="410"/>
      <c r="Q1364" s="460" t="s">
        <v>2273</v>
      </c>
      <c r="R1364" s="460" t="s">
        <v>2273</v>
      </c>
      <c r="U1364" s="471">
        <v>1</v>
      </c>
      <c r="V1364" s="471"/>
      <c r="W1364" s="461" t="s">
        <v>2273</v>
      </c>
      <c r="X1364" s="471"/>
      <c r="Y1364" s="206"/>
      <c r="Z1364" s="206"/>
    </row>
    <row r="1365" spans="1:26">
      <c r="B1365" s="288" t="s">
        <v>7359</v>
      </c>
      <c r="C1365" s="461" t="s">
        <v>4896</v>
      </c>
      <c r="D1365" s="407" t="s">
        <v>4420</v>
      </c>
      <c r="E1365" s="407" t="s">
        <v>9521</v>
      </c>
      <c r="F1365" s="288"/>
      <c r="G1365" s="288"/>
      <c r="H1365" s="288"/>
      <c r="I1365" s="288"/>
      <c r="J1365" s="288"/>
      <c r="K1365" s="288"/>
      <c r="L1365" s="610"/>
      <c r="M1365" s="269"/>
      <c r="N1365" s="269"/>
      <c r="O1365" s="410"/>
      <c r="Q1365" s="460" t="s">
        <v>4896</v>
      </c>
      <c r="R1365" s="460" t="s">
        <v>4896</v>
      </c>
      <c r="U1365" s="471"/>
      <c r="V1365" s="471">
        <v>1</v>
      </c>
      <c r="W1365" s="461" t="s">
        <v>4896</v>
      </c>
      <c r="X1365" s="471"/>
      <c r="Y1365" s="206"/>
      <c r="Z1365" s="206"/>
    </row>
    <row r="1366" spans="1:26">
      <c r="L1366" s="412"/>
      <c r="M1366" s="235"/>
      <c r="N1366" s="235"/>
      <c r="O1366" s="206"/>
      <c r="U1366" s="471"/>
      <c r="V1366" s="471"/>
      <c r="W1366" s="462" t="s">
        <v>7518</v>
      </c>
      <c r="X1366" s="463"/>
      <c r="Y1366" s="206"/>
      <c r="Z1366" s="206"/>
    </row>
    <row r="1367" spans="1:26">
      <c r="L1367" s="412"/>
      <c r="M1367" s="235"/>
      <c r="N1367" s="235"/>
      <c r="O1367" s="206"/>
    </row>
    <row r="1368" spans="1:26">
      <c r="L1368" s="412"/>
      <c r="M1368" s="235"/>
      <c r="N1368" s="235"/>
      <c r="O1368" s="206"/>
    </row>
    <row r="1369" spans="1:26">
      <c r="L1369" s="412"/>
      <c r="M1369" s="235"/>
      <c r="N1369" s="235"/>
      <c r="O1369" s="206"/>
    </row>
    <row r="1370" spans="1:26">
      <c r="L1370" s="412"/>
      <c r="M1370" s="235"/>
      <c r="N1370" s="235"/>
      <c r="O1370" s="206"/>
    </row>
    <row r="1371" spans="1:26">
      <c r="L1371" s="412"/>
      <c r="M1371" s="235"/>
      <c r="N1371" s="235"/>
      <c r="O1371" s="206"/>
    </row>
    <row r="1372" spans="1:26">
      <c r="L1372" s="412"/>
      <c r="M1372" s="235"/>
      <c r="N1372" s="235"/>
      <c r="O1372" s="206"/>
    </row>
    <row r="1373" spans="1:26">
      <c r="L1373" s="412"/>
      <c r="M1373" s="235"/>
      <c r="N1373" s="235"/>
      <c r="O1373" s="206"/>
    </row>
    <row r="1374" spans="1:26">
      <c r="L1374" s="412"/>
      <c r="M1374" s="235"/>
      <c r="N1374" s="235"/>
      <c r="O1374" s="206"/>
    </row>
    <row r="1375" spans="1:26">
      <c r="L1375" s="412"/>
      <c r="M1375" s="235"/>
      <c r="N1375" s="235"/>
      <c r="O1375" s="206"/>
    </row>
    <row r="1376" spans="1:26">
      <c r="L1376" s="412"/>
      <c r="M1376" s="235"/>
      <c r="N1376" s="235"/>
      <c r="O1376" s="206"/>
    </row>
    <row r="1377" spans="12:15">
      <c r="L1377" s="412"/>
      <c r="M1377" s="235"/>
      <c r="N1377" s="235"/>
      <c r="O1377" s="206"/>
    </row>
    <row r="1378" spans="12:15">
      <c r="L1378" s="412"/>
      <c r="M1378" s="235"/>
      <c r="N1378" s="235"/>
      <c r="O1378" s="206"/>
    </row>
    <row r="1379" spans="12:15">
      <c r="L1379" s="412"/>
      <c r="M1379" s="235"/>
      <c r="N1379" s="235"/>
      <c r="O1379" s="206"/>
    </row>
    <row r="1380" spans="12:15">
      <c r="L1380" s="412"/>
      <c r="M1380" s="235"/>
      <c r="N1380" s="235"/>
      <c r="O1380" s="206"/>
    </row>
    <row r="1381" spans="12:15">
      <c r="L1381" s="412"/>
      <c r="M1381" s="235"/>
      <c r="N1381" s="235"/>
      <c r="O1381" s="206"/>
    </row>
    <row r="1382" spans="12:15">
      <c r="L1382" s="412"/>
      <c r="M1382" s="235"/>
      <c r="N1382" s="235"/>
      <c r="O1382" s="206"/>
    </row>
    <row r="1383" spans="12:15">
      <c r="L1383" s="412"/>
      <c r="M1383" s="235"/>
      <c r="N1383" s="235"/>
      <c r="O1383" s="206"/>
    </row>
    <row r="1384" spans="12:15">
      <c r="L1384" s="412"/>
      <c r="M1384" s="235"/>
      <c r="N1384" s="235"/>
      <c r="O1384" s="206"/>
    </row>
    <row r="1385" spans="12:15">
      <c r="L1385" s="412"/>
      <c r="M1385" s="235"/>
      <c r="N1385" s="235"/>
      <c r="O1385" s="206"/>
    </row>
    <row r="1386" spans="12:15">
      <c r="L1386" s="412"/>
      <c r="M1386" s="235"/>
      <c r="N1386" s="235"/>
      <c r="O1386" s="206"/>
    </row>
    <row r="1387" spans="12:15">
      <c r="L1387" s="412"/>
      <c r="M1387" s="235"/>
      <c r="N1387" s="235"/>
      <c r="O1387" s="206"/>
    </row>
    <row r="1388" spans="12:15">
      <c r="L1388" s="412"/>
      <c r="M1388" s="235"/>
      <c r="N1388" s="235"/>
      <c r="O1388" s="206"/>
    </row>
    <row r="1389" spans="12:15">
      <c r="L1389" s="412"/>
      <c r="M1389" s="235"/>
      <c r="N1389" s="235"/>
      <c r="O1389" s="206"/>
    </row>
    <row r="1390" spans="12:15">
      <c r="L1390" s="412"/>
      <c r="M1390" s="235"/>
      <c r="N1390" s="235"/>
      <c r="O1390" s="206"/>
    </row>
    <row r="1391" spans="12:15">
      <c r="L1391" s="412"/>
      <c r="M1391" s="235"/>
      <c r="N1391" s="235"/>
      <c r="O1391" s="206"/>
    </row>
    <row r="1392" spans="12:15">
      <c r="L1392" s="412"/>
      <c r="M1392" s="235"/>
      <c r="N1392" s="235"/>
      <c r="O1392" s="206"/>
    </row>
    <row r="1393" spans="12:15">
      <c r="L1393" s="412"/>
      <c r="M1393" s="235"/>
      <c r="N1393" s="235"/>
      <c r="O1393" s="206"/>
    </row>
    <row r="1394" spans="12:15">
      <c r="L1394" s="412"/>
      <c r="M1394" s="235"/>
      <c r="N1394" s="235"/>
      <c r="O1394" s="206"/>
    </row>
    <row r="1395" spans="12:15">
      <c r="L1395" s="412"/>
      <c r="M1395" s="235"/>
      <c r="N1395" s="235"/>
      <c r="O1395" s="206"/>
    </row>
    <row r="1396" spans="12:15">
      <c r="L1396" s="412"/>
      <c r="M1396" s="235"/>
      <c r="N1396" s="235"/>
      <c r="O1396" s="206"/>
    </row>
    <row r="1397" spans="12:15">
      <c r="L1397" s="412"/>
      <c r="M1397" s="235"/>
      <c r="N1397" s="235"/>
      <c r="O1397" s="206"/>
    </row>
    <row r="1398" spans="12:15">
      <c r="L1398" s="412"/>
      <c r="M1398" s="235"/>
      <c r="N1398" s="235"/>
      <c r="O1398" s="206"/>
    </row>
    <row r="1399" spans="12:15">
      <c r="L1399" s="412"/>
      <c r="M1399" s="235"/>
      <c r="N1399" s="235"/>
      <c r="O1399" s="206"/>
    </row>
    <row r="1400" spans="12:15">
      <c r="L1400" s="412"/>
      <c r="M1400" s="235"/>
      <c r="N1400" s="235"/>
      <c r="O1400" s="206"/>
    </row>
    <row r="1401" spans="12:15">
      <c r="L1401" s="412"/>
      <c r="M1401" s="235"/>
      <c r="N1401" s="235"/>
      <c r="O1401" s="206"/>
    </row>
    <row r="1402" spans="12:15">
      <c r="L1402" s="412"/>
      <c r="M1402" s="235"/>
      <c r="N1402" s="235"/>
      <c r="O1402" s="206"/>
    </row>
    <row r="1403" spans="12:15">
      <c r="L1403" s="412"/>
      <c r="M1403" s="235"/>
      <c r="N1403" s="235"/>
      <c r="O1403" s="206"/>
    </row>
    <row r="1404" spans="12:15">
      <c r="L1404" s="412"/>
      <c r="M1404" s="235"/>
      <c r="N1404" s="235"/>
      <c r="O1404" s="206"/>
    </row>
    <row r="1405" spans="12:15">
      <c r="L1405" s="412"/>
      <c r="M1405" s="235"/>
      <c r="N1405" s="235"/>
      <c r="O1405" s="206"/>
    </row>
    <row r="1406" spans="12:15">
      <c r="L1406" s="412"/>
      <c r="M1406" s="235"/>
      <c r="N1406" s="235"/>
      <c r="O1406" s="206"/>
    </row>
    <row r="1407" spans="12:15">
      <c r="L1407" s="412"/>
      <c r="M1407" s="235"/>
      <c r="N1407" s="235"/>
      <c r="O1407" s="206"/>
    </row>
    <row r="1408" spans="12:15">
      <c r="L1408" s="412"/>
      <c r="M1408" s="235"/>
      <c r="N1408" s="235"/>
      <c r="O1408" s="206"/>
    </row>
    <row r="1409" spans="12:15">
      <c r="L1409" s="412"/>
      <c r="M1409" s="235"/>
      <c r="N1409" s="235"/>
      <c r="O1409" s="206"/>
    </row>
    <row r="1410" spans="12:15">
      <c r="L1410" s="412"/>
      <c r="M1410" s="235"/>
      <c r="N1410" s="235"/>
      <c r="O1410" s="206"/>
    </row>
    <row r="1411" spans="12:15">
      <c r="L1411" s="412"/>
      <c r="M1411" s="235"/>
      <c r="N1411" s="235"/>
      <c r="O1411" s="206"/>
    </row>
    <row r="1412" spans="12:15">
      <c r="L1412" s="412"/>
      <c r="M1412" s="235"/>
      <c r="N1412" s="235"/>
      <c r="O1412" s="206"/>
    </row>
    <row r="1413" spans="12:15">
      <c r="L1413" s="412"/>
      <c r="M1413" s="235"/>
      <c r="N1413" s="235"/>
      <c r="O1413" s="206"/>
    </row>
    <row r="1414" spans="12:15">
      <c r="L1414" s="412"/>
      <c r="M1414" s="235"/>
      <c r="N1414" s="235"/>
      <c r="O1414" s="206"/>
    </row>
    <row r="1415" spans="12:15">
      <c r="L1415" s="412"/>
      <c r="M1415" s="235"/>
      <c r="N1415" s="235"/>
      <c r="O1415" s="206"/>
    </row>
    <row r="1416" spans="12:15">
      <c r="L1416" s="412"/>
      <c r="M1416" s="235"/>
      <c r="N1416" s="235"/>
      <c r="O1416" s="206"/>
    </row>
    <row r="1417" spans="12:15">
      <c r="L1417" s="412"/>
      <c r="M1417" s="235"/>
      <c r="N1417" s="235"/>
      <c r="O1417" s="206"/>
    </row>
    <row r="1418" spans="12:15">
      <c r="L1418" s="412"/>
      <c r="M1418" s="235"/>
      <c r="N1418" s="235"/>
      <c r="O1418" s="206"/>
    </row>
    <row r="1419" spans="12:15">
      <c r="L1419" s="412"/>
      <c r="M1419" s="235"/>
      <c r="N1419" s="235"/>
      <c r="O1419" s="206"/>
    </row>
    <row r="1420" spans="12:15">
      <c r="L1420" s="412"/>
      <c r="M1420" s="235"/>
      <c r="N1420" s="235"/>
      <c r="O1420" s="206"/>
    </row>
    <row r="1421" spans="12:15">
      <c r="L1421" s="412"/>
      <c r="M1421" s="235"/>
      <c r="N1421" s="235"/>
      <c r="O1421" s="206"/>
    </row>
    <row r="1422" spans="12:15">
      <c r="L1422" s="412"/>
      <c r="M1422" s="235"/>
      <c r="N1422" s="235"/>
      <c r="O1422" s="206"/>
    </row>
    <row r="1423" spans="12:15">
      <c r="L1423" s="412"/>
      <c r="M1423" s="235"/>
      <c r="N1423" s="235"/>
      <c r="O1423" s="206"/>
    </row>
    <row r="1424" spans="12:15">
      <c r="L1424" s="412"/>
      <c r="M1424" s="235"/>
      <c r="N1424" s="235"/>
      <c r="O1424" s="206"/>
    </row>
    <row r="1425" spans="12:15">
      <c r="L1425" s="412"/>
      <c r="M1425" s="235"/>
      <c r="N1425" s="235"/>
      <c r="O1425" s="206"/>
    </row>
    <row r="1426" spans="12:15">
      <c r="L1426" s="412"/>
      <c r="M1426" s="235"/>
      <c r="N1426" s="235"/>
      <c r="O1426" s="206"/>
    </row>
    <row r="1427" spans="12:15">
      <c r="L1427" s="412"/>
      <c r="M1427" s="235"/>
      <c r="N1427" s="235"/>
      <c r="O1427" s="206"/>
    </row>
    <row r="1428" spans="12:15">
      <c r="L1428" s="412"/>
      <c r="M1428" s="235"/>
      <c r="N1428" s="235"/>
      <c r="O1428" s="206"/>
    </row>
    <row r="1429" spans="12:15">
      <c r="L1429" s="412"/>
      <c r="M1429" s="235"/>
      <c r="N1429" s="235"/>
      <c r="O1429" s="206"/>
    </row>
    <row r="1430" spans="12:15">
      <c r="L1430" s="412"/>
      <c r="M1430" s="235"/>
      <c r="N1430" s="235"/>
      <c r="O1430" s="206"/>
    </row>
    <row r="1431" spans="12:15">
      <c r="L1431" s="412"/>
      <c r="M1431" s="235"/>
      <c r="N1431" s="235"/>
      <c r="O1431" s="206"/>
    </row>
    <row r="1432" spans="12:15">
      <c r="L1432" s="412"/>
      <c r="M1432" s="235"/>
      <c r="N1432" s="235"/>
      <c r="O1432" s="206"/>
    </row>
    <row r="1433" spans="12:15">
      <c r="L1433" s="412"/>
      <c r="M1433" s="235"/>
      <c r="N1433" s="235"/>
      <c r="O1433" s="206"/>
    </row>
    <row r="1434" spans="12:15">
      <c r="L1434" s="412"/>
      <c r="M1434" s="235"/>
      <c r="N1434" s="235"/>
      <c r="O1434" s="206"/>
    </row>
    <row r="1435" spans="12:15">
      <c r="L1435" s="412"/>
      <c r="M1435" s="235"/>
      <c r="N1435" s="235"/>
      <c r="O1435" s="206"/>
    </row>
    <row r="1436" spans="12:15">
      <c r="L1436" s="412"/>
      <c r="M1436" s="235"/>
      <c r="N1436" s="235"/>
      <c r="O1436" s="206"/>
    </row>
    <row r="1437" spans="12:15">
      <c r="L1437" s="412"/>
      <c r="M1437" s="235"/>
      <c r="N1437" s="235"/>
      <c r="O1437" s="206"/>
    </row>
    <row r="1438" spans="12:15">
      <c r="L1438" s="412"/>
      <c r="M1438" s="235"/>
      <c r="N1438" s="235"/>
      <c r="O1438" s="206"/>
    </row>
    <row r="1439" spans="12:15">
      <c r="L1439" s="412"/>
      <c r="M1439" s="235"/>
      <c r="N1439" s="235"/>
      <c r="O1439" s="206"/>
    </row>
    <row r="1440" spans="12:15">
      <c r="L1440" s="412"/>
      <c r="M1440" s="235"/>
      <c r="N1440" s="235"/>
      <c r="O1440" s="206"/>
    </row>
    <row r="1441" spans="12:15">
      <c r="L1441" s="412"/>
      <c r="M1441" s="235"/>
      <c r="N1441" s="235"/>
      <c r="O1441" s="206"/>
    </row>
    <row r="1442" spans="12:15">
      <c r="L1442" s="412"/>
      <c r="M1442" s="235"/>
      <c r="N1442" s="235"/>
      <c r="O1442" s="206"/>
    </row>
    <row r="1443" spans="12:15">
      <c r="L1443" s="412"/>
      <c r="M1443" s="235"/>
      <c r="N1443" s="235"/>
      <c r="O1443" s="206"/>
    </row>
    <row r="1444" spans="12:15">
      <c r="L1444" s="412"/>
      <c r="M1444" s="235"/>
      <c r="N1444" s="235"/>
      <c r="O1444" s="206"/>
    </row>
    <row r="1445" spans="12:15">
      <c r="L1445" s="412"/>
      <c r="M1445" s="235"/>
      <c r="N1445" s="235"/>
      <c r="O1445" s="206"/>
    </row>
    <row r="1446" spans="12:15">
      <c r="L1446" s="412"/>
      <c r="M1446" s="235"/>
      <c r="N1446" s="235"/>
      <c r="O1446" s="206"/>
    </row>
    <row r="1447" spans="12:15">
      <c r="L1447" s="412"/>
      <c r="M1447" s="235"/>
      <c r="N1447" s="235"/>
      <c r="O1447" s="206"/>
    </row>
    <row r="1448" spans="12:15">
      <c r="L1448" s="412"/>
      <c r="M1448" s="235"/>
      <c r="N1448" s="235"/>
      <c r="O1448" s="206"/>
    </row>
    <row r="1449" spans="12:15">
      <c r="L1449" s="412"/>
      <c r="M1449" s="235"/>
      <c r="N1449" s="235"/>
      <c r="O1449" s="206"/>
    </row>
    <row r="1450" spans="12:15">
      <c r="L1450" s="412"/>
      <c r="M1450" s="235"/>
      <c r="N1450" s="235"/>
      <c r="O1450" s="206"/>
    </row>
    <row r="1451" spans="12:15">
      <c r="L1451" s="412"/>
      <c r="M1451" s="235"/>
      <c r="N1451" s="235"/>
      <c r="O1451" s="206"/>
    </row>
    <row r="1452" spans="12:15">
      <c r="L1452" s="412"/>
      <c r="M1452" s="235"/>
      <c r="N1452" s="235"/>
      <c r="O1452" s="206"/>
    </row>
    <row r="1453" spans="12:15">
      <c r="L1453" s="412"/>
      <c r="M1453" s="235"/>
      <c r="N1453" s="235"/>
      <c r="O1453" s="206"/>
    </row>
    <row r="1454" spans="12:15">
      <c r="L1454" s="412"/>
      <c r="M1454" s="235"/>
      <c r="N1454" s="235"/>
      <c r="O1454" s="206"/>
    </row>
    <row r="1455" spans="12:15">
      <c r="L1455" s="412"/>
      <c r="M1455" s="235"/>
      <c r="N1455" s="235"/>
      <c r="O1455" s="206"/>
    </row>
    <row r="1456" spans="12:15">
      <c r="L1456" s="412"/>
      <c r="M1456" s="235"/>
      <c r="N1456" s="235"/>
      <c r="O1456" s="206"/>
    </row>
    <row r="1457" spans="12:15">
      <c r="L1457" s="412"/>
      <c r="M1457" s="235"/>
      <c r="N1457" s="235"/>
      <c r="O1457" s="206"/>
    </row>
    <row r="1458" spans="12:15">
      <c r="L1458" s="412"/>
      <c r="M1458" s="235"/>
      <c r="N1458" s="235"/>
      <c r="O1458" s="206"/>
    </row>
    <row r="1459" spans="12:15">
      <c r="L1459" s="412"/>
      <c r="M1459" s="235"/>
      <c r="N1459" s="235"/>
      <c r="O1459" s="206"/>
    </row>
    <row r="1460" spans="12:15">
      <c r="L1460" s="412"/>
      <c r="M1460" s="235"/>
      <c r="N1460" s="235"/>
      <c r="O1460" s="206"/>
    </row>
    <row r="1461" spans="12:15">
      <c r="L1461" s="412"/>
      <c r="M1461" s="235"/>
      <c r="N1461" s="235"/>
      <c r="O1461" s="206"/>
    </row>
    <row r="1462" spans="12:15">
      <c r="L1462" s="412"/>
      <c r="M1462" s="235"/>
      <c r="N1462" s="235"/>
      <c r="O1462" s="206"/>
    </row>
    <row r="1463" spans="12:15">
      <c r="L1463" s="412"/>
      <c r="M1463" s="235"/>
      <c r="N1463" s="235"/>
      <c r="O1463" s="206"/>
    </row>
    <row r="1464" spans="12:15">
      <c r="L1464" s="412"/>
      <c r="M1464" s="235"/>
      <c r="N1464" s="235"/>
      <c r="O1464" s="206"/>
    </row>
    <row r="1465" spans="12:15">
      <c r="L1465" s="412"/>
      <c r="M1465" s="235"/>
      <c r="N1465" s="235"/>
      <c r="O1465" s="206"/>
    </row>
    <row r="1466" spans="12:15">
      <c r="L1466" s="412"/>
      <c r="M1466" s="235"/>
      <c r="N1466" s="235"/>
      <c r="O1466" s="206"/>
    </row>
    <row r="1467" spans="12:15">
      <c r="L1467" s="412"/>
      <c r="M1467" s="235"/>
      <c r="N1467" s="235"/>
      <c r="O1467" s="206"/>
    </row>
    <row r="1468" spans="12:15">
      <c r="L1468" s="412"/>
      <c r="M1468" s="235"/>
      <c r="N1468" s="235"/>
      <c r="O1468" s="206"/>
    </row>
    <row r="1469" spans="12:15">
      <c r="L1469" s="412"/>
      <c r="M1469" s="235"/>
      <c r="N1469" s="235"/>
      <c r="O1469" s="206"/>
    </row>
    <row r="1470" spans="12:15">
      <c r="L1470" s="412"/>
      <c r="M1470" s="235"/>
      <c r="N1470" s="235"/>
      <c r="O1470" s="206"/>
    </row>
    <row r="1471" spans="12:15">
      <c r="L1471" s="412"/>
      <c r="M1471" s="235"/>
      <c r="N1471" s="235"/>
      <c r="O1471" s="206"/>
    </row>
    <row r="1472" spans="12:15">
      <c r="L1472" s="412"/>
      <c r="M1472" s="235"/>
      <c r="N1472" s="235"/>
      <c r="O1472" s="206"/>
    </row>
    <row r="1473" spans="12:15">
      <c r="L1473" s="412"/>
      <c r="M1473" s="235"/>
      <c r="N1473" s="235"/>
      <c r="O1473" s="206"/>
    </row>
    <row r="1474" spans="12:15">
      <c r="L1474" s="412"/>
      <c r="M1474" s="235"/>
      <c r="N1474" s="235"/>
      <c r="O1474" s="206"/>
    </row>
    <row r="1475" spans="12:15">
      <c r="L1475" s="412"/>
      <c r="M1475" s="235"/>
      <c r="N1475" s="235"/>
      <c r="O1475" s="206"/>
    </row>
    <row r="1476" spans="12:15">
      <c r="L1476" s="412"/>
      <c r="M1476" s="235"/>
      <c r="N1476" s="235"/>
      <c r="O1476" s="206"/>
    </row>
    <row r="1477" spans="12:15">
      <c r="L1477" s="412"/>
      <c r="M1477" s="235"/>
      <c r="N1477" s="235"/>
      <c r="O1477" s="206"/>
    </row>
    <row r="1478" spans="12:15">
      <c r="L1478" s="412"/>
      <c r="M1478" s="235"/>
      <c r="N1478" s="235"/>
      <c r="O1478" s="206"/>
    </row>
    <row r="1479" spans="12:15">
      <c r="L1479" s="412"/>
      <c r="M1479" s="235"/>
      <c r="N1479" s="235"/>
      <c r="O1479" s="206"/>
    </row>
    <row r="1480" spans="12:15">
      <c r="L1480" s="412"/>
      <c r="M1480" s="235"/>
      <c r="N1480" s="235"/>
      <c r="O1480" s="206"/>
    </row>
    <row r="1481" spans="12:15">
      <c r="L1481" s="412"/>
      <c r="M1481" s="235"/>
      <c r="N1481" s="235"/>
      <c r="O1481" s="206"/>
    </row>
    <row r="1482" spans="12:15">
      <c r="L1482" s="412"/>
      <c r="M1482" s="235"/>
      <c r="N1482" s="235"/>
      <c r="O1482" s="206"/>
    </row>
    <row r="1483" spans="12:15">
      <c r="L1483" s="412"/>
      <c r="M1483" s="235"/>
      <c r="N1483" s="235"/>
      <c r="O1483" s="206"/>
    </row>
    <row r="1484" spans="12:15">
      <c r="L1484" s="412"/>
      <c r="M1484" s="235"/>
      <c r="N1484" s="235"/>
      <c r="O1484" s="206"/>
    </row>
    <row r="1485" spans="12:15">
      <c r="L1485" s="412"/>
      <c r="M1485" s="235"/>
      <c r="N1485" s="235"/>
      <c r="O1485" s="206"/>
    </row>
    <row r="1486" spans="12:15">
      <c r="L1486" s="412"/>
      <c r="M1486" s="235"/>
      <c r="N1486" s="235"/>
      <c r="O1486" s="206"/>
    </row>
    <row r="1487" spans="12:15">
      <c r="L1487" s="412"/>
      <c r="M1487" s="235"/>
      <c r="N1487" s="235"/>
      <c r="O1487" s="206"/>
    </row>
    <row r="1488" spans="12:15">
      <c r="L1488" s="412"/>
      <c r="M1488" s="235"/>
      <c r="N1488" s="235"/>
      <c r="O1488" s="206"/>
    </row>
    <row r="1489" spans="12:15">
      <c r="L1489" s="412"/>
      <c r="M1489" s="235"/>
      <c r="N1489" s="235"/>
      <c r="O1489" s="206"/>
    </row>
    <row r="1490" spans="12:15">
      <c r="L1490" s="412"/>
      <c r="M1490" s="235"/>
      <c r="N1490" s="235"/>
      <c r="O1490" s="206"/>
    </row>
    <row r="1491" spans="12:15">
      <c r="L1491" s="412"/>
      <c r="M1491" s="235"/>
      <c r="N1491" s="235"/>
      <c r="O1491" s="206"/>
    </row>
    <row r="1492" spans="12:15">
      <c r="L1492" s="412"/>
      <c r="M1492" s="235"/>
      <c r="N1492" s="235"/>
      <c r="O1492" s="206"/>
    </row>
    <row r="1493" spans="12:15">
      <c r="L1493" s="412"/>
      <c r="M1493" s="235"/>
      <c r="N1493" s="235"/>
      <c r="O1493" s="206"/>
    </row>
    <row r="1494" spans="12:15">
      <c r="L1494" s="412"/>
      <c r="M1494" s="235"/>
      <c r="N1494" s="235"/>
      <c r="O1494" s="206"/>
    </row>
    <row r="1495" spans="12:15">
      <c r="L1495" s="412"/>
      <c r="M1495" s="235"/>
      <c r="N1495" s="235"/>
      <c r="O1495" s="206"/>
    </row>
    <row r="1496" spans="12:15">
      <c r="L1496" s="412"/>
      <c r="M1496" s="235"/>
      <c r="N1496" s="235"/>
      <c r="O1496" s="206"/>
    </row>
    <row r="1497" spans="12:15">
      <c r="L1497" s="412"/>
      <c r="M1497" s="235"/>
      <c r="N1497" s="235"/>
      <c r="O1497" s="206"/>
    </row>
    <row r="1498" spans="12:15">
      <c r="L1498" s="412"/>
      <c r="M1498" s="235"/>
      <c r="N1498" s="235"/>
      <c r="O1498" s="206"/>
    </row>
    <row r="1499" spans="12:15">
      <c r="L1499" s="412"/>
      <c r="M1499" s="235"/>
      <c r="N1499" s="235"/>
      <c r="O1499" s="206"/>
    </row>
    <row r="1500" spans="12:15">
      <c r="L1500" s="412"/>
      <c r="M1500" s="235"/>
      <c r="N1500" s="235"/>
      <c r="O1500" s="206"/>
    </row>
    <row r="1501" spans="12:15">
      <c r="L1501" s="412"/>
      <c r="M1501" s="235"/>
      <c r="N1501" s="235"/>
      <c r="O1501" s="206"/>
    </row>
    <row r="1502" spans="12:15">
      <c r="L1502" s="412"/>
      <c r="M1502" s="235"/>
      <c r="N1502" s="235"/>
      <c r="O1502" s="206"/>
    </row>
    <row r="1503" spans="12:15">
      <c r="L1503" s="412"/>
      <c r="M1503" s="235"/>
      <c r="N1503" s="235"/>
      <c r="O1503" s="206"/>
    </row>
    <row r="1504" spans="12:15">
      <c r="L1504" s="412"/>
      <c r="M1504" s="235"/>
      <c r="N1504" s="235"/>
      <c r="O1504" s="206"/>
    </row>
    <row r="1505" spans="12:15">
      <c r="L1505" s="412"/>
      <c r="M1505" s="235"/>
      <c r="N1505" s="235"/>
      <c r="O1505" s="206"/>
    </row>
    <row r="1506" spans="12:15">
      <c r="L1506" s="412"/>
      <c r="M1506" s="235"/>
      <c r="N1506" s="235"/>
      <c r="O1506" s="206"/>
    </row>
    <row r="1507" spans="12:15">
      <c r="L1507" s="412"/>
      <c r="M1507" s="235"/>
      <c r="N1507" s="235"/>
      <c r="O1507" s="206"/>
    </row>
    <row r="1508" spans="12:15">
      <c r="L1508" s="412"/>
      <c r="M1508" s="235"/>
      <c r="N1508" s="235"/>
      <c r="O1508" s="206"/>
    </row>
    <row r="1509" spans="12:15">
      <c r="L1509" s="412"/>
      <c r="M1509" s="235"/>
      <c r="N1509" s="235"/>
      <c r="O1509" s="206"/>
    </row>
    <row r="1510" spans="12:15">
      <c r="L1510" s="412"/>
      <c r="M1510" s="235"/>
      <c r="N1510" s="235"/>
      <c r="O1510" s="206"/>
    </row>
    <row r="1511" spans="12:15">
      <c r="L1511" s="412"/>
      <c r="M1511" s="235"/>
      <c r="N1511" s="235"/>
      <c r="O1511" s="206"/>
    </row>
    <row r="1512" spans="12:15">
      <c r="L1512" s="412"/>
      <c r="M1512" s="235"/>
      <c r="N1512" s="235"/>
      <c r="O1512" s="206"/>
    </row>
    <row r="1513" spans="12:15">
      <c r="L1513" s="412"/>
      <c r="M1513" s="235"/>
      <c r="N1513" s="235"/>
      <c r="O1513" s="206"/>
    </row>
    <row r="1514" spans="12:15">
      <c r="L1514" s="412"/>
      <c r="M1514" s="235"/>
      <c r="N1514" s="235"/>
      <c r="O1514" s="206"/>
    </row>
    <row r="1515" spans="12:15">
      <c r="L1515" s="412"/>
      <c r="M1515" s="235"/>
      <c r="N1515" s="235"/>
      <c r="O1515" s="206"/>
    </row>
    <row r="1516" spans="12:15">
      <c r="L1516" s="412"/>
      <c r="M1516" s="235"/>
      <c r="N1516" s="235"/>
      <c r="O1516" s="206"/>
    </row>
    <row r="1517" spans="12:15">
      <c r="L1517" s="412"/>
      <c r="M1517" s="235"/>
      <c r="N1517" s="235"/>
      <c r="O1517" s="206"/>
    </row>
    <row r="1518" spans="12:15">
      <c r="L1518" s="412"/>
      <c r="M1518" s="235"/>
      <c r="N1518" s="235"/>
      <c r="O1518" s="206"/>
    </row>
    <row r="1519" spans="12:15">
      <c r="L1519" s="412"/>
      <c r="M1519" s="235"/>
      <c r="N1519" s="235"/>
      <c r="O1519" s="206"/>
    </row>
    <row r="1520" spans="12:15">
      <c r="L1520" s="412"/>
      <c r="M1520" s="235"/>
      <c r="N1520" s="235"/>
      <c r="O1520" s="206"/>
    </row>
    <row r="1521" spans="12:15">
      <c r="L1521" s="412"/>
      <c r="M1521" s="235"/>
      <c r="N1521" s="235"/>
      <c r="O1521" s="206"/>
    </row>
    <row r="1522" spans="12:15">
      <c r="L1522" s="412"/>
      <c r="M1522" s="235"/>
      <c r="N1522" s="235"/>
      <c r="O1522" s="206"/>
    </row>
    <row r="1523" spans="12:15">
      <c r="L1523" s="412"/>
      <c r="M1523" s="235"/>
      <c r="N1523" s="235"/>
      <c r="O1523" s="206"/>
    </row>
    <row r="1524" spans="12:15">
      <c r="L1524" s="412"/>
      <c r="M1524" s="235"/>
      <c r="N1524" s="235"/>
      <c r="O1524" s="206"/>
    </row>
    <row r="1525" spans="12:15">
      <c r="L1525" s="412"/>
      <c r="M1525" s="235"/>
      <c r="N1525" s="235"/>
      <c r="O1525" s="206"/>
    </row>
    <row r="1526" spans="12:15">
      <c r="L1526" s="412"/>
      <c r="M1526" s="235"/>
      <c r="N1526" s="235"/>
      <c r="O1526" s="206"/>
    </row>
    <row r="1527" spans="12:15">
      <c r="L1527" s="412"/>
      <c r="M1527" s="235"/>
      <c r="N1527" s="235"/>
      <c r="O1527" s="206"/>
    </row>
    <row r="1528" spans="12:15">
      <c r="L1528" s="412"/>
      <c r="M1528" s="235"/>
      <c r="N1528" s="235"/>
      <c r="O1528" s="206"/>
    </row>
    <row r="1529" spans="12:15">
      <c r="L1529" s="412"/>
      <c r="M1529" s="235"/>
      <c r="N1529" s="235"/>
      <c r="O1529" s="206"/>
    </row>
    <row r="1530" spans="12:15">
      <c r="L1530" s="412"/>
      <c r="M1530" s="235"/>
      <c r="N1530" s="235"/>
      <c r="O1530" s="206"/>
    </row>
    <row r="1531" spans="12:15">
      <c r="L1531" s="412"/>
      <c r="M1531" s="235"/>
      <c r="N1531" s="235"/>
      <c r="O1531" s="206"/>
    </row>
    <row r="1532" spans="12:15">
      <c r="L1532" s="412"/>
      <c r="M1532" s="235"/>
      <c r="N1532" s="235"/>
      <c r="O1532" s="206"/>
    </row>
    <row r="1533" spans="12:15">
      <c r="L1533" s="412"/>
      <c r="M1533" s="235"/>
      <c r="N1533" s="235"/>
      <c r="O1533" s="206"/>
    </row>
    <row r="1534" spans="12:15">
      <c r="L1534" s="412"/>
      <c r="M1534" s="235"/>
      <c r="N1534" s="235"/>
      <c r="O1534" s="206"/>
    </row>
    <row r="1535" spans="12:15">
      <c r="L1535" s="412"/>
      <c r="M1535" s="235"/>
      <c r="N1535" s="235"/>
      <c r="O1535" s="206"/>
    </row>
    <row r="1536" spans="12:15">
      <c r="L1536" s="412"/>
      <c r="M1536" s="235"/>
      <c r="N1536" s="235"/>
      <c r="O1536" s="206"/>
    </row>
    <row r="1537" spans="12:15">
      <c r="L1537" s="412"/>
      <c r="M1537" s="235"/>
      <c r="N1537" s="235"/>
      <c r="O1537" s="206"/>
    </row>
    <row r="1538" spans="12:15">
      <c r="L1538" s="412"/>
      <c r="M1538" s="235"/>
      <c r="N1538" s="235"/>
      <c r="O1538" s="206"/>
    </row>
    <row r="1539" spans="12:15">
      <c r="L1539" s="412"/>
      <c r="M1539" s="235"/>
      <c r="N1539" s="235"/>
      <c r="O1539" s="206"/>
    </row>
    <row r="1540" spans="12:15">
      <c r="L1540" s="412"/>
      <c r="M1540" s="235"/>
      <c r="N1540" s="235"/>
      <c r="O1540" s="206"/>
    </row>
    <row r="1541" spans="12:15">
      <c r="L1541" s="412"/>
      <c r="M1541" s="235"/>
      <c r="N1541" s="235"/>
      <c r="O1541" s="206"/>
    </row>
    <row r="1542" spans="12:15">
      <c r="L1542" s="412"/>
      <c r="M1542" s="235"/>
      <c r="N1542" s="235"/>
      <c r="O1542" s="206"/>
    </row>
    <row r="1543" spans="12:15">
      <c r="L1543" s="412"/>
      <c r="M1543" s="235"/>
      <c r="N1543" s="235"/>
      <c r="O1543" s="206"/>
    </row>
    <row r="1544" spans="12:15">
      <c r="L1544" s="412"/>
      <c r="M1544" s="235"/>
      <c r="N1544" s="235"/>
      <c r="O1544" s="206"/>
    </row>
    <row r="1545" spans="12:15">
      <c r="L1545" s="412"/>
      <c r="M1545" s="235"/>
      <c r="N1545" s="235"/>
      <c r="O1545" s="206"/>
    </row>
    <row r="1546" spans="12:15">
      <c r="L1546" s="412"/>
      <c r="M1546" s="235"/>
      <c r="N1546" s="235"/>
      <c r="O1546" s="206"/>
    </row>
    <row r="1547" spans="12:15">
      <c r="L1547" s="412"/>
      <c r="M1547" s="235"/>
      <c r="N1547" s="235"/>
      <c r="O1547" s="206"/>
    </row>
    <row r="1548" spans="12:15">
      <c r="L1548" s="412"/>
      <c r="M1548" s="235"/>
      <c r="N1548" s="235"/>
      <c r="O1548" s="206"/>
    </row>
    <row r="1549" spans="12:15">
      <c r="L1549" s="412"/>
      <c r="M1549" s="235"/>
      <c r="N1549" s="235"/>
      <c r="O1549" s="206"/>
    </row>
    <row r="1550" spans="12:15">
      <c r="L1550" s="412"/>
      <c r="M1550" s="235"/>
      <c r="N1550" s="235"/>
      <c r="O1550" s="206"/>
    </row>
    <row r="1551" spans="12:15">
      <c r="L1551" s="412"/>
      <c r="M1551" s="235"/>
      <c r="N1551" s="235"/>
      <c r="O1551" s="206"/>
    </row>
    <row r="1552" spans="12:15">
      <c r="L1552" s="412"/>
      <c r="M1552" s="235"/>
      <c r="N1552" s="235"/>
      <c r="O1552" s="206"/>
    </row>
    <row r="1553" spans="12:15">
      <c r="L1553" s="412"/>
      <c r="M1553" s="235"/>
      <c r="N1553" s="235"/>
      <c r="O1553" s="206"/>
    </row>
    <row r="1554" spans="12:15">
      <c r="L1554" s="412"/>
      <c r="M1554" s="235"/>
      <c r="N1554" s="235"/>
      <c r="O1554" s="206"/>
    </row>
    <row r="1555" spans="12:15">
      <c r="L1555" s="412"/>
      <c r="M1555" s="235"/>
      <c r="N1555" s="235"/>
      <c r="O1555" s="206"/>
    </row>
    <row r="1556" spans="12:15">
      <c r="L1556" s="412"/>
      <c r="M1556" s="235"/>
      <c r="N1556" s="235"/>
      <c r="O1556" s="206"/>
    </row>
    <row r="1557" spans="12:15">
      <c r="L1557" s="412"/>
      <c r="M1557" s="235"/>
      <c r="N1557" s="235"/>
      <c r="O1557" s="206"/>
    </row>
    <row r="1558" spans="12:15">
      <c r="L1558" s="412"/>
      <c r="M1558" s="235"/>
      <c r="N1558" s="235"/>
      <c r="O1558" s="206"/>
    </row>
    <row r="1559" spans="12:15">
      <c r="L1559" s="412"/>
      <c r="M1559" s="235"/>
      <c r="N1559" s="235"/>
      <c r="O1559" s="206"/>
    </row>
    <row r="1560" spans="12:15">
      <c r="L1560" s="412"/>
      <c r="M1560" s="235"/>
      <c r="N1560" s="235"/>
      <c r="O1560" s="206"/>
    </row>
    <row r="1561" spans="12:15">
      <c r="L1561" s="412"/>
      <c r="M1561" s="235"/>
      <c r="N1561" s="235"/>
      <c r="O1561" s="206"/>
    </row>
    <row r="1562" spans="12:15">
      <c r="L1562" s="412"/>
      <c r="M1562" s="235"/>
      <c r="N1562" s="235"/>
      <c r="O1562" s="206"/>
    </row>
    <row r="1563" spans="12:15">
      <c r="L1563" s="412"/>
      <c r="M1563" s="235"/>
      <c r="N1563" s="235"/>
      <c r="O1563" s="206"/>
    </row>
    <row r="1564" spans="12:15">
      <c r="L1564" s="412"/>
      <c r="M1564" s="235"/>
      <c r="N1564" s="235"/>
      <c r="O1564" s="206"/>
    </row>
    <row r="1565" spans="12:15">
      <c r="L1565" s="412"/>
      <c r="M1565" s="235"/>
      <c r="N1565" s="235"/>
      <c r="O1565" s="206"/>
    </row>
    <row r="1566" spans="12:15">
      <c r="L1566" s="412"/>
      <c r="M1566" s="235"/>
      <c r="N1566" s="235"/>
      <c r="O1566" s="206"/>
    </row>
    <row r="1567" spans="12:15">
      <c r="L1567" s="412"/>
      <c r="M1567" s="235"/>
      <c r="N1567" s="235"/>
      <c r="O1567" s="206"/>
    </row>
    <row r="1568" spans="12:15">
      <c r="L1568" s="412"/>
      <c r="M1568" s="235"/>
      <c r="N1568" s="235"/>
      <c r="O1568" s="206"/>
    </row>
    <row r="1569" spans="12:15">
      <c r="L1569" s="412"/>
      <c r="M1569" s="235"/>
      <c r="N1569" s="235"/>
      <c r="O1569" s="206"/>
    </row>
    <row r="1570" spans="12:15">
      <c r="L1570" s="412"/>
      <c r="M1570" s="235"/>
      <c r="N1570" s="235"/>
      <c r="O1570" s="206"/>
    </row>
    <row r="1571" spans="12:15">
      <c r="L1571" s="412"/>
      <c r="M1571" s="235"/>
      <c r="N1571" s="235"/>
      <c r="O1571" s="206"/>
    </row>
    <row r="1572" spans="12:15">
      <c r="L1572" s="412"/>
      <c r="M1572" s="235"/>
      <c r="N1572" s="235"/>
      <c r="O1572" s="206"/>
    </row>
    <row r="1573" spans="12:15">
      <c r="L1573" s="412"/>
      <c r="M1573" s="235"/>
      <c r="N1573" s="235"/>
      <c r="O1573" s="206"/>
    </row>
    <row r="1574" spans="12:15">
      <c r="L1574" s="412"/>
      <c r="M1574" s="235"/>
      <c r="N1574" s="235"/>
      <c r="O1574" s="206"/>
    </row>
    <row r="1575" spans="12:15">
      <c r="L1575" s="412"/>
      <c r="M1575" s="235"/>
      <c r="N1575" s="235"/>
      <c r="O1575" s="206"/>
    </row>
    <row r="1576" spans="12:15">
      <c r="L1576" s="412"/>
      <c r="M1576" s="235"/>
      <c r="N1576" s="235"/>
      <c r="O1576" s="206"/>
    </row>
    <row r="1577" spans="12:15">
      <c r="L1577" s="412"/>
      <c r="M1577" s="235"/>
      <c r="N1577" s="235"/>
      <c r="O1577" s="206"/>
    </row>
    <row r="1578" spans="12:15">
      <c r="L1578" s="412"/>
      <c r="M1578" s="235"/>
      <c r="N1578" s="235"/>
      <c r="O1578" s="206"/>
    </row>
    <row r="1579" spans="12:15">
      <c r="L1579" s="412"/>
      <c r="M1579" s="235"/>
      <c r="N1579" s="235"/>
      <c r="O1579" s="206"/>
    </row>
    <row r="1580" spans="12:15">
      <c r="L1580" s="412"/>
      <c r="M1580" s="235"/>
      <c r="N1580" s="235"/>
      <c r="O1580" s="206"/>
    </row>
    <row r="1581" spans="12:15">
      <c r="L1581" s="412"/>
      <c r="M1581" s="235"/>
      <c r="N1581" s="235"/>
      <c r="O1581" s="206"/>
    </row>
    <row r="1582" spans="12:15">
      <c r="L1582" s="412"/>
      <c r="M1582" s="235"/>
      <c r="N1582" s="235"/>
      <c r="O1582" s="206"/>
    </row>
    <row r="1583" spans="12:15">
      <c r="L1583" s="412"/>
      <c r="M1583" s="235"/>
      <c r="N1583" s="235"/>
      <c r="O1583" s="206"/>
    </row>
    <row r="1584" spans="12:15">
      <c r="L1584" s="412"/>
      <c r="M1584" s="235"/>
      <c r="N1584" s="235"/>
      <c r="O1584" s="206"/>
    </row>
    <row r="1585" spans="12:15">
      <c r="L1585" s="412"/>
      <c r="M1585" s="235"/>
      <c r="N1585" s="235"/>
      <c r="O1585" s="206"/>
    </row>
    <row r="1586" spans="12:15">
      <c r="L1586" s="412"/>
      <c r="M1586" s="235"/>
      <c r="N1586" s="235"/>
      <c r="O1586" s="206"/>
    </row>
    <row r="1587" spans="12:15">
      <c r="L1587" s="412"/>
      <c r="M1587" s="235"/>
      <c r="N1587" s="235"/>
      <c r="O1587" s="206"/>
    </row>
    <row r="1588" spans="12:15">
      <c r="L1588" s="412"/>
      <c r="M1588" s="235"/>
      <c r="N1588" s="235"/>
      <c r="O1588" s="206"/>
    </row>
    <row r="1589" spans="12:15">
      <c r="L1589" s="412"/>
      <c r="M1589" s="235"/>
      <c r="N1589" s="235"/>
      <c r="O1589" s="206"/>
    </row>
    <row r="1590" spans="12:15">
      <c r="L1590" s="412"/>
      <c r="M1590" s="235"/>
      <c r="N1590" s="235"/>
      <c r="O1590" s="206"/>
    </row>
    <row r="1591" spans="12:15">
      <c r="L1591" s="412"/>
      <c r="M1591" s="235"/>
      <c r="N1591" s="235"/>
      <c r="O1591" s="206"/>
    </row>
    <row r="1592" spans="12:15">
      <c r="L1592" s="412"/>
      <c r="M1592" s="235"/>
      <c r="N1592" s="235"/>
      <c r="O1592" s="206"/>
    </row>
    <row r="1593" spans="12:15">
      <c r="L1593" s="412"/>
      <c r="M1593" s="235"/>
      <c r="N1593" s="235"/>
      <c r="O1593" s="206"/>
    </row>
    <row r="1594" spans="12:15">
      <c r="L1594" s="412"/>
      <c r="M1594" s="235"/>
      <c r="N1594" s="235"/>
      <c r="O1594" s="206"/>
    </row>
    <row r="1595" spans="12:15">
      <c r="L1595" s="412"/>
      <c r="M1595" s="235"/>
      <c r="N1595" s="235"/>
      <c r="O1595" s="206"/>
    </row>
    <row r="1596" spans="12:15">
      <c r="L1596" s="412"/>
      <c r="M1596" s="235"/>
      <c r="N1596" s="235"/>
      <c r="O1596" s="206"/>
    </row>
    <row r="1597" spans="12:15">
      <c r="L1597" s="412"/>
      <c r="M1597" s="235"/>
      <c r="N1597" s="235"/>
      <c r="O1597" s="206"/>
    </row>
    <row r="1598" spans="12:15">
      <c r="L1598" s="412"/>
      <c r="M1598" s="235"/>
      <c r="N1598" s="235"/>
      <c r="O1598" s="206"/>
    </row>
    <row r="1599" spans="12:15">
      <c r="L1599" s="412"/>
      <c r="M1599" s="235"/>
      <c r="N1599" s="235"/>
      <c r="O1599" s="206"/>
    </row>
    <row r="1600" spans="12:15">
      <c r="L1600" s="412"/>
      <c r="M1600" s="235"/>
      <c r="N1600" s="235"/>
      <c r="O1600" s="206"/>
    </row>
    <row r="1601" spans="12:15">
      <c r="L1601" s="412"/>
      <c r="M1601" s="235"/>
      <c r="N1601" s="235"/>
      <c r="O1601" s="206"/>
    </row>
    <row r="1602" spans="12:15">
      <c r="L1602" s="412"/>
      <c r="M1602" s="235"/>
      <c r="N1602" s="235"/>
      <c r="O1602" s="206"/>
    </row>
    <row r="1603" spans="12:15">
      <c r="L1603" s="412"/>
      <c r="M1603" s="235"/>
      <c r="N1603" s="235"/>
      <c r="O1603" s="206"/>
    </row>
    <row r="1604" spans="12:15">
      <c r="L1604" s="412"/>
      <c r="M1604" s="235"/>
      <c r="N1604" s="235"/>
      <c r="O1604" s="206"/>
    </row>
    <row r="1605" spans="12:15">
      <c r="L1605" s="412"/>
      <c r="M1605" s="235"/>
      <c r="N1605" s="235"/>
      <c r="O1605" s="206"/>
    </row>
    <row r="1606" spans="12:15">
      <c r="L1606" s="412"/>
      <c r="M1606" s="235"/>
      <c r="N1606" s="235"/>
      <c r="O1606" s="206"/>
    </row>
    <row r="1607" spans="12:15">
      <c r="L1607" s="412"/>
      <c r="M1607" s="235"/>
      <c r="N1607" s="235"/>
      <c r="O1607" s="206"/>
    </row>
    <row r="1608" spans="12:15">
      <c r="L1608" s="412"/>
      <c r="M1608" s="235"/>
      <c r="N1608" s="235"/>
      <c r="O1608" s="206"/>
    </row>
    <row r="1609" spans="12:15">
      <c r="L1609" s="412"/>
      <c r="M1609" s="235"/>
      <c r="N1609" s="235"/>
      <c r="O1609" s="206"/>
    </row>
    <row r="1610" spans="12:15">
      <c r="L1610" s="412"/>
      <c r="M1610" s="235"/>
      <c r="N1610" s="235"/>
      <c r="O1610" s="206"/>
    </row>
    <row r="1611" spans="12:15">
      <c r="L1611" s="412"/>
      <c r="M1611" s="235"/>
      <c r="N1611" s="235"/>
      <c r="O1611" s="206"/>
    </row>
    <row r="1612" spans="12:15">
      <c r="L1612" s="412"/>
      <c r="M1612" s="235"/>
      <c r="N1612" s="235"/>
      <c r="O1612" s="206"/>
    </row>
    <row r="1613" spans="12:15">
      <c r="L1613" s="412"/>
      <c r="M1613" s="235"/>
      <c r="N1613" s="235"/>
      <c r="O1613" s="206"/>
    </row>
    <row r="1614" spans="12:15">
      <c r="L1614" s="412"/>
      <c r="M1614" s="235"/>
      <c r="N1614" s="235"/>
      <c r="O1614" s="206"/>
    </row>
    <row r="1615" spans="12:15">
      <c r="L1615" s="412"/>
      <c r="M1615" s="235"/>
      <c r="N1615" s="235"/>
      <c r="O1615" s="206"/>
    </row>
    <row r="1616" spans="12:15">
      <c r="L1616" s="412"/>
      <c r="M1616" s="235"/>
      <c r="N1616" s="235"/>
      <c r="O1616" s="206"/>
    </row>
    <row r="1617" spans="12:15">
      <c r="L1617" s="412"/>
      <c r="M1617" s="235"/>
      <c r="N1617" s="235"/>
      <c r="O1617" s="206"/>
    </row>
    <row r="1618" spans="12:15">
      <c r="L1618" s="412"/>
      <c r="M1618" s="235"/>
      <c r="N1618" s="235"/>
      <c r="O1618" s="206"/>
    </row>
    <row r="1619" spans="12:15">
      <c r="L1619" s="412"/>
      <c r="M1619" s="235"/>
      <c r="N1619" s="235"/>
      <c r="O1619" s="206"/>
    </row>
    <row r="1620" spans="12:15">
      <c r="L1620" s="412"/>
      <c r="M1620" s="235"/>
      <c r="N1620" s="235"/>
      <c r="O1620" s="206"/>
    </row>
    <row r="1621" spans="12:15">
      <c r="L1621" s="412"/>
      <c r="M1621" s="235"/>
      <c r="N1621" s="235"/>
      <c r="O1621" s="206"/>
    </row>
    <row r="1622" spans="12:15">
      <c r="L1622" s="412"/>
      <c r="M1622" s="235"/>
      <c r="N1622" s="235"/>
      <c r="O1622" s="206"/>
    </row>
    <row r="1623" spans="12:15">
      <c r="L1623" s="412"/>
      <c r="M1623" s="235"/>
      <c r="N1623" s="235"/>
      <c r="O1623" s="206"/>
    </row>
    <row r="1624" spans="12:15">
      <c r="L1624" s="412"/>
      <c r="M1624" s="235"/>
      <c r="N1624" s="235"/>
      <c r="O1624" s="206"/>
    </row>
    <row r="1625" spans="12:15">
      <c r="L1625" s="412"/>
      <c r="M1625" s="235"/>
      <c r="N1625" s="235"/>
      <c r="O1625" s="206"/>
    </row>
    <row r="1626" spans="12:15">
      <c r="L1626" s="412"/>
      <c r="M1626" s="235"/>
      <c r="N1626" s="235"/>
      <c r="O1626" s="206"/>
    </row>
    <row r="1627" spans="12:15">
      <c r="L1627" s="412"/>
      <c r="M1627" s="235"/>
      <c r="N1627" s="235"/>
      <c r="O1627" s="206"/>
    </row>
    <row r="1628" spans="12:15">
      <c r="L1628" s="412"/>
      <c r="M1628" s="235"/>
      <c r="N1628" s="235"/>
      <c r="O1628" s="206"/>
    </row>
    <row r="1629" spans="12:15">
      <c r="L1629" s="412"/>
      <c r="M1629" s="235"/>
      <c r="N1629" s="235"/>
      <c r="O1629" s="206"/>
    </row>
    <row r="1630" spans="12:15">
      <c r="L1630" s="412"/>
      <c r="M1630" s="235"/>
      <c r="N1630" s="235"/>
      <c r="O1630" s="206"/>
    </row>
    <row r="1631" spans="12:15">
      <c r="L1631" s="412"/>
      <c r="M1631" s="235"/>
      <c r="N1631" s="235"/>
      <c r="O1631" s="206"/>
    </row>
    <row r="1632" spans="12:15">
      <c r="L1632" s="412"/>
      <c r="M1632" s="235"/>
      <c r="N1632" s="235"/>
      <c r="O1632" s="206"/>
    </row>
    <row r="1633" spans="12:15">
      <c r="L1633" s="412"/>
      <c r="M1633" s="235"/>
      <c r="N1633" s="235"/>
      <c r="O1633" s="206"/>
    </row>
    <row r="1634" spans="12:15">
      <c r="L1634" s="412"/>
      <c r="M1634" s="235"/>
      <c r="N1634" s="235"/>
      <c r="O1634" s="206"/>
    </row>
    <row r="1635" spans="12:15">
      <c r="L1635" s="412"/>
      <c r="M1635" s="235"/>
      <c r="N1635" s="235"/>
      <c r="O1635" s="206"/>
    </row>
    <row r="1636" spans="12:15">
      <c r="L1636" s="412"/>
      <c r="M1636" s="235"/>
      <c r="N1636" s="235"/>
      <c r="O1636" s="206"/>
    </row>
    <row r="1637" spans="12:15">
      <c r="L1637" s="412"/>
      <c r="M1637" s="235"/>
      <c r="N1637" s="235"/>
      <c r="O1637" s="206"/>
    </row>
    <row r="1638" spans="12:15">
      <c r="L1638" s="412"/>
      <c r="M1638" s="235"/>
      <c r="N1638" s="235"/>
      <c r="O1638" s="206"/>
    </row>
    <row r="1639" spans="12:15">
      <c r="L1639" s="412"/>
      <c r="M1639" s="235"/>
      <c r="N1639" s="235"/>
      <c r="O1639" s="206"/>
    </row>
    <row r="1640" spans="12:15">
      <c r="L1640" s="412"/>
      <c r="M1640" s="235"/>
      <c r="N1640" s="235"/>
      <c r="O1640" s="206"/>
    </row>
    <row r="1641" spans="12:15">
      <c r="L1641" s="412"/>
      <c r="M1641" s="235"/>
      <c r="N1641" s="235"/>
      <c r="O1641" s="206"/>
    </row>
    <row r="1642" spans="12:15">
      <c r="L1642" s="412"/>
      <c r="M1642" s="235"/>
      <c r="N1642" s="235"/>
      <c r="O1642" s="206"/>
    </row>
    <row r="1643" spans="12:15">
      <c r="L1643" s="412"/>
      <c r="M1643" s="235"/>
      <c r="N1643" s="235"/>
      <c r="O1643" s="206"/>
    </row>
    <row r="1644" spans="12:15">
      <c r="L1644" s="412"/>
      <c r="M1644" s="235"/>
      <c r="N1644" s="235"/>
      <c r="O1644" s="206"/>
    </row>
    <row r="1645" spans="12:15">
      <c r="L1645" s="412"/>
      <c r="M1645" s="235"/>
      <c r="N1645" s="235"/>
      <c r="O1645" s="206"/>
    </row>
    <row r="1646" spans="12:15">
      <c r="L1646" s="412"/>
      <c r="M1646" s="235"/>
      <c r="N1646" s="235"/>
      <c r="O1646" s="206"/>
    </row>
    <row r="1647" spans="12:15">
      <c r="L1647" s="412"/>
      <c r="M1647" s="235"/>
      <c r="N1647" s="235"/>
      <c r="O1647" s="206"/>
    </row>
    <row r="1648" spans="12:15">
      <c r="L1648" s="412"/>
      <c r="M1648" s="235"/>
      <c r="N1648" s="235"/>
      <c r="O1648" s="206"/>
    </row>
    <row r="1649" spans="12:15">
      <c r="L1649" s="412"/>
      <c r="M1649" s="235"/>
      <c r="N1649" s="235"/>
      <c r="O1649" s="206"/>
    </row>
    <row r="1650" spans="12:15">
      <c r="L1650" s="412"/>
      <c r="M1650" s="235"/>
      <c r="N1650" s="235"/>
      <c r="O1650" s="206"/>
    </row>
    <row r="1651" spans="12:15">
      <c r="L1651" s="412"/>
      <c r="M1651" s="235"/>
      <c r="N1651" s="235"/>
      <c r="O1651" s="206"/>
    </row>
    <row r="1652" spans="12:15">
      <c r="L1652" s="412"/>
      <c r="M1652" s="235"/>
      <c r="N1652" s="235"/>
      <c r="O1652" s="206"/>
    </row>
    <row r="1653" spans="12:15">
      <c r="L1653" s="412"/>
      <c r="M1653" s="235"/>
      <c r="N1653" s="235"/>
      <c r="O1653" s="206"/>
    </row>
    <row r="1654" spans="12:15">
      <c r="L1654" s="412"/>
      <c r="M1654" s="235"/>
      <c r="N1654" s="235"/>
      <c r="O1654" s="206"/>
    </row>
    <row r="1655" spans="12:15">
      <c r="L1655" s="412"/>
      <c r="M1655" s="235"/>
      <c r="N1655" s="235"/>
      <c r="O1655" s="206"/>
    </row>
    <row r="1656" spans="12:15">
      <c r="L1656" s="412"/>
      <c r="M1656" s="235"/>
      <c r="N1656" s="235"/>
      <c r="O1656" s="206"/>
    </row>
    <row r="1657" spans="12:15">
      <c r="L1657" s="412"/>
      <c r="M1657" s="235"/>
      <c r="N1657" s="235"/>
      <c r="O1657" s="206"/>
    </row>
    <row r="1658" spans="12:15">
      <c r="L1658" s="412"/>
      <c r="M1658" s="235"/>
      <c r="N1658" s="235"/>
      <c r="O1658" s="206"/>
    </row>
    <row r="1659" spans="12:15">
      <c r="L1659" s="412"/>
      <c r="M1659" s="235"/>
      <c r="N1659" s="235"/>
      <c r="O1659" s="206"/>
    </row>
    <row r="1660" spans="12:15">
      <c r="L1660" s="412"/>
      <c r="M1660" s="235"/>
      <c r="N1660" s="235"/>
      <c r="O1660" s="206"/>
    </row>
    <row r="1661" spans="12:15">
      <c r="L1661" s="412"/>
      <c r="M1661" s="235"/>
      <c r="N1661" s="235"/>
      <c r="O1661" s="206"/>
    </row>
    <row r="1662" spans="12:15">
      <c r="L1662" s="412"/>
      <c r="M1662" s="235"/>
      <c r="N1662" s="235"/>
      <c r="O1662" s="206"/>
    </row>
    <row r="1663" spans="12:15">
      <c r="L1663" s="412"/>
      <c r="M1663" s="235"/>
      <c r="N1663" s="235"/>
      <c r="O1663" s="206"/>
    </row>
    <row r="1664" spans="12:15">
      <c r="L1664" s="412"/>
      <c r="M1664" s="235"/>
      <c r="N1664" s="235"/>
      <c r="O1664" s="206"/>
    </row>
    <row r="1665" spans="12:15">
      <c r="L1665" s="412"/>
      <c r="M1665" s="235"/>
      <c r="N1665" s="235"/>
      <c r="O1665" s="206"/>
    </row>
    <row r="1666" spans="12:15">
      <c r="L1666" s="412"/>
      <c r="M1666" s="235"/>
      <c r="N1666" s="235"/>
      <c r="O1666" s="206"/>
    </row>
    <row r="1667" spans="12:15">
      <c r="L1667" s="412"/>
      <c r="M1667" s="235"/>
      <c r="N1667" s="235"/>
      <c r="O1667" s="206"/>
    </row>
    <row r="1668" spans="12:15">
      <c r="L1668" s="412"/>
      <c r="M1668" s="235"/>
      <c r="N1668" s="235"/>
      <c r="O1668" s="206"/>
    </row>
    <row r="1669" spans="12:15">
      <c r="L1669" s="412"/>
      <c r="M1669" s="235"/>
      <c r="N1669" s="235"/>
      <c r="O1669" s="206"/>
    </row>
    <row r="1670" spans="12:15">
      <c r="L1670" s="412"/>
      <c r="M1670" s="235"/>
      <c r="N1670" s="235"/>
      <c r="O1670" s="206"/>
    </row>
    <row r="1671" spans="12:15">
      <c r="L1671" s="412"/>
      <c r="M1671" s="235"/>
      <c r="N1671" s="235"/>
      <c r="O1671" s="206"/>
    </row>
    <row r="1672" spans="12:15">
      <c r="L1672" s="412"/>
      <c r="M1672" s="235"/>
      <c r="N1672" s="235"/>
      <c r="O1672" s="206"/>
    </row>
    <row r="1673" spans="12:15">
      <c r="L1673" s="412"/>
      <c r="M1673" s="235"/>
      <c r="N1673" s="235"/>
      <c r="O1673" s="206"/>
    </row>
    <row r="1674" spans="12:15">
      <c r="L1674" s="412"/>
      <c r="M1674" s="235"/>
      <c r="N1674" s="235"/>
      <c r="O1674" s="206"/>
    </row>
    <row r="1675" spans="12:15">
      <c r="L1675" s="412"/>
      <c r="M1675" s="235"/>
      <c r="N1675" s="235"/>
      <c r="O1675" s="206"/>
    </row>
    <row r="1676" spans="12:15">
      <c r="L1676" s="412"/>
      <c r="M1676" s="235"/>
      <c r="N1676" s="235"/>
      <c r="O1676" s="206"/>
    </row>
    <row r="1677" spans="12:15">
      <c r="L1677" s="412"/>
      <c r="M1677" s="235"/>
      <c r="N1677" s="235"/>
      <c r="O1677" s="206"/>
    </row>
    <row r="1678" spans="12:15">
      <c r="L1678" s="412"/>
      <c r="M1678" s="235"/>
      <c r="N1678" s="235"/>
      <c r="O1678" s="206"/>
    </row>
    <row r="1679" spans="12:15">
      <c r="L1679" s="412"/>
      <c r="M1679" s="235"/>
      <c r="N1679" s="235"/>
      <c r="O1679" s="206"/>
    </row>
    <row r="1680" spans="12:15">
      <c r="L1680" s="412"/>
      <c r="M1680" s="235"/>
      <c r="N1680" s="235"/>
      <c r="O1680" s="206"/>
    </row>
    <row r="1681" spans="12:15">
      <c r="L1681" s="412"/>
      <c r="M1681" s="235"/>
      <c r="N1681" s="235"/>
      <c r="O1681" s="206"/>
    </row>
    <row r="1682" spans="12:15">
      <c r="L1682" s="412"/>
      <c r="M1682" s="235"/>
      <c r="N1682" s="235"/>
      <c r="O1682" s="206"/>
    </row>
    <row r="1683" spans="12:15">
      <c r="L1683" s="412"/>
      <c r="M1683" s="235"/>
      <c r="N1683" s="235"/>
      <c r="O1683" s="206"/>
    </row>
    <row r="1684" spans="12:15">
      <c r="L1684" s="412"/>
      <c r="M1684" s="235"/>
      <c r="N1684" s="235"/>
      <c r="O1684" s="206"/>
    </row>
    <row r="1685" spans="12:15">
      <c r="L1685" s="412"/>
      <c r="M1685" s="235"/>
      <c r="N1685" s="235"/>
      <c r="O1685" s="206"/>
    </row>
    <row r="1686" spans="12:15">
      <c r="L1686" s="412"/>
      <c r="M1686" s="235"/>
      <c r="N1686" s="235"/>
      <c r="O1686" s="206"/>
    </row>
    <row r="1687" spans="12:15">
      <c r="L1687" s="412"/>
      <c r="M1687" s="235"/>
      <c r="N1687" s="235"/>
      <c r="O1687" s="206"/>
    </row>
    <row r="1688" spans="12:15">
      <c r="L1688" s="412"/>
      <c r="M1688" s="235"/>
      <c r="N1688" s="235"/>
      <c r="O1688" s="206"/>
    </row>
    <row r="1689" spans="12:15">
      <c r="L1689" s="412"/>
      <c r="M1689" s="235"/>
      <c r="N1689" s="235"/>
      <c r="O1689" s="206"/>
    </row>
    <row r="1690" spans="12:15">
      <c r="L1690" s="412"/>
      <c r="M1690" s="235"/>
      <c r="N1690" s="235"/>
      <c r="O1690" s="206"/>
    </row>
    <row r="1691" spans="12:15">
      <c r="L1691" s="412"/>
      <c r="M1691" s="235"/>
      <c r="N1691" s="235"/>
      <c r="O1691" s="206"/>
    </row>
    <row r="1692" spans="12:15">
      <c r="L1692" s="412"/>
      <c r="M1692" s="235"/>
      <c r="N1692" s="235"/>
      <c r="O1692" s="206"/>
    </row>
    <row r="1693" spans="12:15">
      <c r="L1693" s="412"/>
      <c r="M1693" s="235"/>
      <c r="N1693" s="235"/>
      <c r="O1693" s="206"/>
    </row>
    <row r="1694" spans="12:15">
      <c r="L1694" s="412"/>
      <c r="M1694" s="235"/>
      <c r="N1694" s="235"/>
      <c r="O1694" s="206"/>
    </row>
    <row r="1695" spans="12:15">
      <c r="L1695" s="412"/>
      <c r="M1695" s="235"/>
      <c r="N1695" s="235"/>
      <c r="O1695" s="206"/>
    </row>
    <row r="1696" spans="12:15">
      <c r="L1696" s="412"/>
      <c r="M1696" s="235"/>
      <c r="N1696" s="235"/>
      <c r="O1696" s="206"/>
    </row>
    <row r="1697" spans="12:15">
      <c r="L1697" s="412"/>
      <c r="M1697" s="235"/>
      <c r="N1697" s="235"/>
      <c r="O1697" s="206"/>
    </row>
    <row r="1698" spans="12:15">
      <c r="L1698" s="412"/>
      <c r="M1698" s="235"/>
      <c r="N1698" s="235"/>
      <c r="O1698" s="206"/>
    </row>
    <row r="1699" spans="12:15">
      <c r="L1699" s="412"/>
      <c r="M1699" s="235"/>
      <c r="N1699" s="235"/>
      <c r="O1699" s="206"/>
    </row>
    <row r="1700" spans="12:15">
      <c r="L1700" s="412"/>
      <c r="M1700" s="235"/>
      <c r="N1700" s="235"/>
      <c r="O1700" s="206"/>
    </row>
    <row r="1701" spans="12:15">
      <c r="L1701" s="412"/>
      <c r="M1701" s="235"/>
      <c r="N1701" s="235"/>
      <c r="O1701" s="206"/>
    </row>
    <row r="1702" spans="12:15">
      <c r="L1702" s="412"/>
      <c r="M1702" s="235"/>
      <c r="N1702" s="235"/>
      <c r="O1702" s="206"/>
    </row>
    <row r="1703" spans="12:15">
      <c r="L1703" s="412"/>
      <c r="M1703" s="235"/>
      <c r="N1703" s="235"/>
      <c r="O1703" s="206"/>
    </row>
    <row r="1704" spans="12:15">
      <c r="L1704" s="412"/>
      <c r="M1704" s="235"/>
      <c r="N1704" s="235"/>
      <c r="O1704" s="206"/>
    </row>
    <row r="1705" spans="12:15">
      <c r="L1705" s="412"/>
      <c r="M1705" s="235"/>
      <c r="N1705" s="235"/>
      <c r="O1705" s="206"/>
    </row>
    <row r="1706" spans="12:15">
      <c r="L1706" s="412"/>
      <c r="M1706" s="235"/>
      <c r="N1706" s="235"/>
      <c r="O1706" s="206"/>
    </row>
    <row r="1707" spans="12:15">
      <c r="L1707" s="412"/>
      <c r="M1707" s="235"/>
      <c r="N1707" s="235"/>
      <c r="O1707" s="206"/>
    </row>
    <row r="1708" spans="12:15">
      <c r="L1708" s="412"/>
      <c r="M1708" s="235"/>
      <c r="N1708" s="235"/>
      <c r="O1708" s="206"/>
    </row>
    <row r="1709" spans="12:15">
      <c r="L1709" s="412"/>
      <c r="M1709" s="235"/>
      <c r="N1709" s="235"/>
      <c r="O1709" s="206"/>
    </row>
    <row r="1710" spans="12:15">
      <c r="L1710" s="412"/>
      <c r="M1710" s="235"/>
      <c r="N1710" s="235"/>
      <c r="O1710" s="206"/>
    </row>
    <row r="1711" spans="12:15">
      <c r="L1711" s="412"/>
      <c r="M1711" s="235"/>
      <c r="N1711" s="235"/>
      <c r="O1711" s="206"/>
    </row>
    <row r="1712" spans="12:15">
      <c r="L1712" s="412"/>
      <c r="M1712" s="235"/>
      <c r="N1712" s="235"/>
      <c r="O1712" s="206"/>
    </row>
    <row r="1713" spans="12:15">
      <c r="L1713" s="412"/>
      <c r="M1713" s="235"/>
      <c r="N1713" s="235"/>
      <c r="O1713" s="206"/>
    </row>
    <row r="1714" spans="12:15">
      <c r="L1714" s="412"/>
      <c r="M1714" s="235"/>
      <c r="N1714" s="235"/>
      <c r="O1714" s="206"/>
    </row>
    <row r="1715" spans="12:15">
      <c r="L1715" s="412"/>
      <c r="M1715" s="235"/>
      <c r="N1715" s="235"/>
      <c r="O1715" s="206"/>
    </row>
    <row r="1716" spans="12:15">
      <c r="L1716" s="412"/>
      <c r="M1716" s="235"/>
      <c r="N1716" s="235"/>
      <c r="O1716" s="206"/>
    </row>
    <row r="1717" spans="12:15">
      <c r="L1717" s="412"/>
      <c r="M1717" s="235"/>
      <c r="N1717" s="235"/>
      <c r="O1717" s="206"/>
    </row>
    <row r="1718" spans="12:15">
      <c r="L1718" s="412"/>
      <c r="M1718" s="235"/>
      <c r="N1718" s="235"/>
      <c r="O1718" s="206"/>
    </row>
    <row r="1719" spans="12:15">
      <c r="L1719" s="412"/>
      <c r="M1719" s="235"/>
      <c r="N1719" s="235"/>
      <c r="O1719" s="206"/>
    </row>
    <row r="1720" spans="12:15">
      <c r="L1720" s="412"/>
      <c r="M1720" s="235"/>
      <c r="N1720" s="235"/>
      <c r="O1720" s="206"/>
    </row>
    <row r="1721" spans="12:15">
      <c r="L1721" s="412"/>
      <c r="M1721" s="235"/>
      <c r="N1721" s="235"/>
      <c r="O1721" s="206"/>
    </row>
    <row r="1722" spans="12:15">
      <c r="L1722" s="412"/>
      <c r="M1722" s="235"/>
      <c r="N1722" s="235"/>
      <c r="O1722" s="206"/>
    </row>
    <row r="1723" spans="12:15">
      <c r="L1723" s="412"/>
      <c r="M1723" s="235"/>
      <c r="N1723" s="235"/>
      <c r="O1723" s="206"/>
    </row>
    <row r="1724" spans="12:15">
      <c r="L1724" s="412"/>
      <c r="M1724" s="235"/>
      <c r="N1724" s="235"/>
      <c r="O1724" s="206"/>
    </row>
    <row r="1725" spans="12:15">
      <c r="L1725" s="412"/>
      <c r="M1725" s="235"/>
      <c r="N1725" s="235"/>
      <c r="O1725" s="206"/>
    </row>
    <row r="1726" spans="12:15">
      <c r="L1726" s="412"/>
      <c r="M1726" s="235"/>
      <c r="N1726" s="235"/>
      <c r="O1726" s="206"/>
    </row>
    <row r="1727" spans="12:15">
      <c r="L1727" s="412"/>
      <c r="M1727" s="235"/>
      <c r="N1727" s="235"/>
      <c r="O1727" s="206"/>
    </row>
    <row r="1728" spans="12:15">
      <c r="L1728" s="412"/>
      <c r="M1728" s="235"/>
      <c r="N1728" s="235"/>
      <c r="O1728" s="206"/>
    </row>
    <row r="1729" spans="12:15">
      <c r="L1729" s="412"/>
      <c r="M1729" s="235"/>
      <c r="N1729" s="235"/>
      <c r="O1729" s="206"/>
    </row>
    <row r="1730" spans="12:15">
      <c r="L1730" s="412"/>
      <c r="M1730" s="235"/>
      <c r="N1730" s="235"/>
      <c r="O1730" s="206"/>
    </row>
    <row r="1731" spans="12:15">
      <c r="L1731" s="412"/>
      <c r="M1731" s="235"/>
      <c r="N1731" s="235"/>
      <c r="O1731" s="206"/>
    </row>
    <row r="1732" spans="12:15">
      <c r="L1732" s="412"/>
      <c r="M1732" s="235"/>
      <c r="N1732" s="235"/>
      <c r="O1732" s="206"/>
    </row>
    <row r="1733" spans="12:15">
      <c r="L1733" s="412"/>
      <c r="M1733" s="235"/>
      <c r="N1733" s="235"/>
      <c r="O1733" s="206"/>
    </row>
    <row r="1734" spans="12:15">
      <c r="L1734" s="412"/>
      <c r="M1734" s="235"/>
      <c r="N1734" s="235"/>
      <c r="O1734" s="206"/>
    </row>
    <row r="1735" spans="12:15">
      <c r="L1735" s="412"/>
      <c r="M1735" s="235"/>
      <c r="N1735" s="235"/>
      <c r="O1735" s="206"/>
    </row>
    <row r="1736" spans="12:15">
      <c r="L1736" s="412"/>
      <c r="M1736" s="235"/>
      <c r="N1736" s="235"/>
      <c r="O1736" s="206"/>
    </row>
    <row r="1737" spans="12:15">
      <c r="L1737" s="412"/>
      <c r="M1737" s="235"/>
      <c r="N1737" s="235"/>
      <c r="O1737" s="206"/>
    </row>
    <row r="1738" spans="12:15">
      <c r="L1738" s="412"/>
      <c r="M1738" s="235"/>
      <c r="N1738" s="235"/>
      <c r="O1738" s="206"/>
    </row>
    <row r="1739" spans="12:15">
      <c r="L1739" s="412"/>
      <c r="M1739" s="235"/>
      <c r="N1739" s="235"/>
      <c r="O1739" s="206"/>
    </row>
    <row r="1740" spans="12:15">
      <c r="L1740" s="412"/>
      <c r="M1740" s="235"/>
      <c r="N1740" s="235"/>
      <c r="O1740" s="206"/>
    </row>
    <row r="1741" spans="12:15">
      <c r="L1741" s="412"/>
      <c r="M1741" s="235"/>
      <c r="N1741" s="235"/>
      <c r="O1741" s="206"/>
    </row>
    <row r="1742" spans="12:15">
      <c r="L1742" s="412"/>
      <c r="M1742" s="235"/>
      <c r="N1742" s="235"/>
      <c r="O1742" s="206"/>
    </row>
    <row r="1743" spans="12:15">
      <c r="L1743" s="412"/>
      <c r="M1743" s="235"/>
      <c r="N1743" s="235"/>
      <c r="O1743" s="206"/>
    </row>
    <row r="1744" spans="12:15">
      <c r="L1744" s="412"/>
      <c r="M1744" s="235"/>
      <c r="N1744" s="235"/>
      <c r="O1744" s="206"/>
    </row>
    <row r="1745" spans="12:15">
      <c r="L1745" s="412"/>
      <c r="M1745" s="235"/>
      <c r="N1745" s="235"/>
      <c r="O1745" s="206"/>
    </row>
    <row r="1746" spans="12:15">
      <c r="L1746" s="412"/>
      <c r="M1746" s="235"/>
      <c r="N1746" s="235"/>
      <c r="O1746" s="206"/>
    </row>
    <row r="1747" spans="12:15">
      <c r="L1747" s="412"/>
      <c r="M1747" s="235"/>
      <c r="N1747" s="235"/>
      <c r="O1747" s="206"/>
    </row>
    <row r="1748" spans="12:15">
      <c r="L1748" s="412"/>
      <c r="M1748" s="235"/>
      <c r="N1748" s="235"/>
      <c r="O1748" s="206"/>
    </row>
    <row r="1749" spans="12:15">
      <c r="L1749" s="412"/>
      <c r="M1749" s="235"/>
      <c r="N1749" s="235"/>
      <c r="O1749" s="206"/>
    </row>
    <row r="1750" spans="12:15">
      <c r="L1750" s="412"/>
      <c r="M1750" s="235"/>
      <c r="N1750" s="235"/>
      <c r="O1750" s="206"/>
    </row>
    <row r="1751" spans="12:15">
      <c r="L1751" s="412"/>
      <c r="M1751" s="235"/>
      <c r="N1751" s="235"/>
      <c r="O1751" s="206"/>
    </row>
    <row r="1752" spans="12:15">
      <c r="L1752" s="412"/>
      <c r="M1752" s="235"/>
      <c r="N1752" s="235"/>
      <c r="O1752" s="206"/>
    </row>
    <row r="1753" spans="12:15">
      <c r="L1753" s="412"/>
      <c r="M1753" s="235"/>
      <c r="N1753" s="235"/>
      <c r="O1753" s="206"/>
    </row>
    <row r="1754" spans="12:15">
      <c r="L1754" s="412"/>
      <c r="M1754" s="235"/>
      <c r="N1754" s="235"/>
      <c r="O1754" s="206"/>
    </row>
    <row r="1755" spans="12:15">
      <c r="L1755" s="412"/>
      <c r="M1755" s="235"/>
      <c r="N1755" s="235"/>
      <c r="O1755" s="206"/>
    </row>
    <row r="1756" spans="12:15">
      <c r="L1756" s="412"/>
      <c r="M1756" s="235"/>
      <c r="N1756" s="235"/>
      <c r="O1756" s="206"/>
    </row>
    <row r="1757" spans="12:15">
      <c r="L1757" s="412"/>
      <c r="M1757" s="235"/>
      <c r="N1757" s="235"/>
      <c r="O1757" s="206"/>
    </row>
    <row r="1758" spans="12:15">
      <c r="L1758" s="412"/>
      <c r="M1758" s="235"/>
      <c r="N1758" s="235"/>
      <c r="O1758" s="206"/>
    </row>
    <row r="1759" spans="12:15">
      <c r="L1759" s="412"/>
      <c r="M1759" s="235"/>
      <c r="N1759" s="235"/>
      <c r="O1759" s="206"/>
    </row>
    <row r="1760" spans="12:15">
      <c r="L1760" s="412"/>
      <c r="M1760" s="235"/>
      <c r="N1760" s="235"/>
      <c r="O1760" s="206"/>
    </row>
    <row r="1761" spans="12:15">
      <c r="L1761" s="412"/>
      <c r="M1761" s="235"/>
      <c r="N1761" s="235"/>
      <c r="O1761" s="206"/>
    </row>
    <row r="1762" spans="12:15">
      <c r="L1762" s="412"/>
      <c r="M1762" s="235"/>
      <c r="N1762" s="235"/>
      <c r="O1762" s="206"/>
    </row>
    <row r="1763" spans="12:15">
      <c r="L1763" s="412"/>
      <c r="M1763" s="235"/>
      <c r="N1763" s="235"/>
      <c r="O1763" s="206"/>
    </row>
    <row r="1764" spans="12:15">
      <c r="L1764" s="412"/>
      <c r="M1764" s="235"/>
      <c r="N1764" s="235"/>
      <c r="O1764" s="206"/>
    </row>
    <row r="1765" spans="12:15">
      <c r="L1765" s="412"/>
      <c r="M1765" s="235"/>
      <c r="N1765" s="235"/>
      <c r="O1765" s="206"/>
    </row>
    <row r="1766" spans="12:15">
      <c r="L1766" s="412"/>
      <c r="M1766" s="235"/>
      <c r="N1766" s="235"/>
      <c r="O1766" s="206"/>
    </row>
    <row r="1767" spans="12:15">
      <c r="L1767" s="412"/>
      <c r="M1767" s="235"/>
      <c r="N1767" s="235"/>
      <c r="O1767" s="206"/>
    </row>
    <row r="1768" spans="12:15">
      <c r="L1768" s="412"/>
      <c r="M1768" s="235"/>
      <c r="N1768" s="235"/>
      <c r="O1768" s="206"/>
    </row>
    <row r="1769" spans="12:15">
      <c r="L1769" s="412"/>
      <c r="M1769" s="235"/>
      <c r="N1769" s="235"/>
      <c r="O1769" s="206"/>
    </row>
    <row r="1770" spans="12:15">
      <c r="L1770" s="412"/>
      <c r="M1770" s="235"/>
      <c r="N1770" s="235"/>
      <c r="O1770" s="206"/>
    </row>
    <row r="1771" spans="12:15">
      <c r="L1771" s="412"/>
      <c r="M1771" s="235"/>
      <c r="N1771" s="235"/>
      <c r="O1771" s="206"/>
    </row>
    <row r="1772" spans="12:15">
      <c r="L1772" s="412"/>
      <c r="M1772" s="235"/>
      <c r="N1772" s="235"/>
      <c r="O1772" s="206"/>
    </row>
    <row r="1773" spans="12:15">
      <c r="L1773" s="412"/>
      <c r="M1773" s="235"/>
      <c r="N1773" s="235"/>
      <c r="O1773" s="206"/>
    </row>
    <row r="1774" spans="12:15">
      <c r="L1774" s="412"/>
      <c r="M1774" s="235"/>
      <c r="N1774" s="235"/>
      <c r="O1774" s="206"/>
    </row>
    <row r="1775" spans="12:15">
      <c r="L1775" s="412"/>
      <c r="M1775" s="235"/>
      <c r="N1775" s="235"/>
      <c r="O1775" s="206"/>
    </row>
    <row r="1776" spans="12:15">
      <c r="L1776" s="412"/>
      <c r="M1776" s="235"/>
      <c r="N1776" s="235"/>
      <c r="O1776" s="206"/>
    </row>
    <row r="1777" spans="12:15">
      <c r="L1777" s="412"/>
      <c r="M1777" s="235"/>
      <c r="N1777" s="235"/>
      <c r="O1777" s="206"/>
    </row>
    <row r="1778" spans="12:15">
      <c r="L1778" s="412"/>
      <c r="M1778" s="235"/>
      <c r="N1778" s="235"/>
      <c r="O1778" s="206"/>
    </row>
    <row r="1779" spans="12:15">
      <c r="L1779" s="412"/>
      <c r="M1779" s="235"/>
      <c r="N1779" s="235"/>
      <c r="O1779" s="206"/>
    </row>
    <row r="1780" spans="12:15">
      <c r="L1780" s="412"/>
      <c r="M1780" s="235"/>
      <c r="N1780" s="235"/>
      <c r="O1780" s="206"/>
    </row>
    <row r="1781" spans="12:15">
      <c r="L1781" s="412"/>
      <c r="M1781" s="235"/>
      <c r="N1781" s="235"/>
      <c r="O1781" s="206"/>
    </row>
    <row r="1782" spans="12:15">
      <c r="L1782" s="412"/>
      <c r="M1782" s="235"/>
      <c r="N1782" s="235"/>
      <c r="O1782" s="206"/>
    </row>
    <row r="1783" spans="12:15">
      <c r="L1783" s="412"/>
      <c r="M1783" s="235"/>
      <c r="N1783" s="235"/>
      <c r="O1783" s="206"/>
    </row>
    <row r="1784" spans="12:15">
      <c r="L1784" s="412"/>
      <c r="M1784" s="235"/>
      <c r="N1784" s="235"/>
      <c r="O1784" s="206"/>
    </row>
    <row r="1785" spans="12:15">
      <c r="L1785" s="412"/>
      <c r="M1785" s="235"/>
      <c r="N1785" s="235"/>
      <c r="O1785" s="206"/>
    </row>
    <row r="1786" spans="12:15">
      <c r="L1786" s="412"/>
      <c r="M1786" s="235"/>
      <c r="N1786" s="235"/>
      <c r="O1786" s="206"/>
    </row>
    <row r="1787" spans="12:15">
      <c r="L1787" s="412"/>
      <c r="M1787" s="235"/>
      <c r="N1787" s="235"/>
      <c r="O1787" s="206"/>
    </row>
    <row r="1788" spans="12:15">
      <c r="L1788" s="412"/>
      <c r="M1788" s="235"/>
      <c r="N1788" s="235"/>
      <c r="O1788" s="206"/>
    </row>
    <row r="1789" spans="12:15">
      <c r="L1789" s="412"/>
      <c r="M1789" s="235"/>
      <c r="N1789" s="235"/>
      <c r="O1789" s="206"/>
    </row>
    <row r="1790" spans="12:15">
      <c r="L1790" s="412"/>
      <c r="M1790" s="235"/>
      <c r="N1790" s="235"/>
      <c r="O1790" s="206"/>
    </row>
    <row r="1791" spans="12:15">
      <c r="L1791" s="412"/>
      <c r="M1791" s="235"/>
      <c r="N1791" s="235"/>
      <c r="O1791" s="206"/>
    </row>
    <row r="1792" spans="12:15">
      <c r="L1792" s="412"/>
      <c r="M1792" s="235"/>
      <c r="N1792" s="235"/>
      <c r="O1792" s="206"/>
    </row>
    <row r="1793" spans="12:15">
      <c r="L1793" s="412"/>
      <c r="M1793" s="235"/>
      <c r="N1793" s="235"/>
      <c r="O1793" s="206"/>
    </row>
    <row r="1794" spans="12:15">
      <c r="L1794" s="412"/>
      <c r="M1794" s="235"/>
      <c r="N1794" s="235"/>
      <c r="O1794" s="206"/>
    </row>
    <row r="1795" spans="12:15">
      <c r="L1795" s="412"/>
      <c r="M1795" s="235"/>
      <c r="N1795" s="235"/>
      <c r="O1795" s="206"/>
    </row>
    <row r="1796" spans="12:15">
      <c r="L1796" s="412"/>
      <c r="M1796" s="235"/>
      <c r="N1796" s="235"/>
      <c r="O1796" s="206"/>
    </row>
    <row r="1797" spans="12:15">
      <c r="L1797" s="412"/>
      <c r="M1797" s="235"/>
      <c r="N1797" s="235"/>
      <c r="O1797" s="206"/>
    </row>
    <row r="1798" spans="12:15">
      <c r="L1798" s="412"/>
      <c r="M1798" s="235"/>
      <c r="N1798" s="235"/>
      <c r="O1798" s="206"/>
    </row>
    <row r="1799" spans="12:15">
      <c r="L1799" s="412"/>
      <c r="M1799" s="235"/>
      <c r="N1799" s="235"/>
      <c r="O1799" s="206"/>
    </row>
    <row r="1800" spans="12:15">
      <c r="L1800" s="412"/>
      <c r="M1800" s="235"/>
      <c r="N1800" s="235"/>
      <c r="O1800" s="206"/>
    </row>
    <row r="1801" spans="12:15">
      <c r="L1801" s="412"/>
      <c r="M1801" s="235"/>
      <c r="N1801" s="235"/>
      <c r="O1801" s="206"/>
    </row>
    <row r="1802" spans="12:15">
      <c r="L1802" s="412"/>
      <c r="M1802" s="235"/>
      <c r="N1802" s="235"/>
      <c r="O1802" s="206"/>
    </row>
    <row r="1803" spans="12:15">
      <c r="L1803" s="412"/>
      <c r="M1803" s="235"/>
      <c r="N1803" s="235"/>
      <c r="O1803" s="206"/>
    </row>
    <row r="1804" spans="12:15">
      <c r="L1804" s="412"/>
      <c r="M1804" s="235"/>
      <c r="N1804" s="235"/>
      <c r="O1804" s="206"/>
    </row>
    <row r="1805" spans="12:15">
      <c r="L1805" s="412"/>
      <c r="M1805" s="235"/>
      <c r="N1805" s="235"/>
      <c r="O1805" s="206"/>
    </row>
    <row r="1806" spans="12:15">
      <c r="L1806" s="412"/>
      <c r="M1806" s="235"/>
      <c r="N1806" s="235"/>
      <c r="O1806" s="206"/>
    </row>
    <row r="1807" spans="12:15">
      <c r="L1807" s="412"/>
      <c r="M1807" s="235"/>
      <c r="N1807" s="235"/>
      <c r="O1807" s="206"/>
    </row>
    <row r="1808" spans="12:15">
      <c r="L1808" s="412"/>
      <c r="M1808" s="235"/>
      <c r="N1808" s="235"/>
      <c r="O1808" s="206"/>
    </row>
    <row r="1809" spans="12:15">
      <c r="L1809" s="412"/>
      <c r="M1809" s="235"/>
      <c r="N1809" s="235"/>
      <c r="O1809" s="206"/>
    </row>
    <row r="1810" spans="12:15">
      <c r="L1810" s="412"/>
      <c r="M1810" s="235"/>
      <c r="N1810" s="235"/>
      <c r="O1810" s="206"/>
    </row>
    <row r="1811" spans="12:15">
      <c r="L1811" s="412"/>
      <c r="M1811" s="235"/>
      <c r="N1811" s="235"/>
      <c r="O1811" s="206"/>
    </row>
    <row r="1812" spans="12:15">
      <c r="L1812" s="412"/>
      <c r="M1812" s="235"/>
      <c r="N1812" s="235"/>
      <c r="O1812" s="206"/>
    </row>
    <row r="1813" spans="12:15">
      <c r="L1813" s="412"/>
      <c r="M1813" s="235"/>
      <c r="N1813" s="235"/>
      <c r="O1813" s="206"/>
    </row>
    <row r="1814" spans="12:15">
      <c r="L1814" s="412"/>
      <c r="M1814" s="235"/>
      <c r="N1814" s="235"/>
      <c r="O1814" s="206"/>
    </row>
    <row r="1815" spans="12:15">
      <c r="L1815" s="412"/>
      <c r="M1815" s="235"/>
      <c r="N1815" s="235"/>
      <c r="O1815" s="206"/>
    </row>
    <row r="1816" spans="12:15">
      <c r="L1816" s="412"/>
      <c r="M1816" s="235"/>
      <c r="N1816" s="235"/>
      <c r="O1816" s="206"/>
    </row>
    <row r="1817" spans="12:15">
      <c r="L1817" s="412"/>
      <c r="M1817" s="235"/>
      <c r="N1817" s="235"/>
      <c r="O1817" s="206"/>
    </row>
    <row r="1818" spans="12:15">
      <c r="L1818" s="412"/>
      <c r="M1818" s="235"/>
      <c r="N1818" s="235"/>
      <c r="O1818" s="206"/>
    </row>
    <row r="1819" spans="12:15">
      <c r="L1819" s="412"/>
      <c r="M1819" s="235"/>
      <c r="N1819" s="235"/>
      <c r="O1819" s="206"/>
    </row>
    <row r="1820" spans="12:15">
      <c r="L1820" s="412"/>
      <c r="M1820" s="235"/>
      <c r="N1820" s="235"/>
      <c r="O1820" s="206"/>
    </row>
    <row r="1821" spans="12:15">
      <c r="L1821" s="412"/>
      <c r="M1821" s="235"/>
      <c r="N1821" s="235"/>
      <c r="O1821" s="206"/>
    </row>
    <row r="1822" spans="12:15">
      <c r="L1822" s="412"/>
      <c r="M1822" s="235"/>
      <c r="N1822" s="235"/>
      <c r="O1822" s="206"/>
    </row>
    <row r="1823" spans="12:15">
      <c r="L1823" s="412"/>
      <c r="M1823" s="235"/>
      <c r="N1823" s="235"/>
      <c r="O1823" s="206"/>
    </row>
    <row r="1824" spans="12:15">
      <c r="L1824" s="412"/>
      <c r="M1824" s="235"/>
      <c r="N1824" s="235"/>
      <c r="O1824" s="206"/>
    </row>
    <row r="1825" spans="12:15">
      <c r="L1825" s="412"/>
      <c r="M1825" s="235"/>
      <c r="N1825" s="235"/>
      <c r="O1825" s="206"/>
    </row>
    <row r="1826" spans="12:15">
      <c r="L1826" s="412"/>
      <c r="M1826" s="235"/>
      <c r="N1826" s="235"/>
      <c r="O1826" s="206"/>
    </row>
    <row r="1827" spans="12:15">
      <c r="L1827" s="412"/>
      <c r="M1827" s="235"/>
      <c r="N1827" s="235"/>
      <c r="O1827" s="206"/>
    </row>
    <row r="1828" spans="12:15">
      <c r="L1828" s="412"/>
      <c r="M1828" s="235"/>
      <c r="N1828" s="235"/>
      <c r="O1828" s="206"/>
    </row>
    <row r="1829" spans="12:15">
      <c r="L1829" s="412"/>
      <c r="M1829" s="235"/>
      <c r="N1829" s="235"/>
      <c r="O1829" s="206"/>
    </row>
    <row r="1830" spans="12:15">
      <c r="L1830" s="412"/>
      <c r="M1830" s="235"/>
      <c r="N1830" s="235"/>
      <c r="O1830" s="206"/>
    </row>
    <row r="1831" spans="12:15">
      <c r="L1831" s="412"/>
      <c r="M1831" s="235"/>
      <c r="N1831" s="235"/>
      <c r="O1831" s="206"/>
    </row>
    <row r="1832" spans="12:15">
      <c r="L1832" s="412"/>
      <c r="M1832" s="235"/>
      <c r="N1832" s="235"/>
      <c r="O1832" s="206"/>
    </row>
    <row r="1833" spans="12:15">
      <c r="L1833" s="412"/>
      <c r="M1833" s="235"/>
      <c r="N1833" s="235"/>
      <c r="O1833" s="206"/>
    </row>
    <row r="1834" spans="12:15">
      <c r="L1834" s="412"/>
      <c r="M1834" s="235"/>
      <c r="N1834" s="235"/>
      <c r="O1834" s="206"/>
    </row>
    <row r="1835" spans="12:15">
      <c r="L1835" s="412"/>
      <c r="M1835" s="235"/>
      <c r="N1835" s="235"/>
      <c r="O1835" s="206"/>
    </row>
    <row r="1836" spans="12:15">
      <c r="L1836" s="412"/>
      <c r="M1836" s="235"/>
      <c r="N1836" s="235"/>
      <c r="O1836" s="206"/>
    </row>
    <row r="1837" spans="12:15">
      <c r="L1837" s="412"/>
      <c r="M1837" s="235"/>
      <c r="N1837" s="235"/>
      <c r="O1837" s="206"/>
    </row>
    <row r="1838" spans="12:15">
      <c r="L1838" s="412"/>
      <c r="M1838" s="235"/>
      <c r="N1838" s="235"/>
      <c r="O1838" s="206"/>
    </row>
    <row r="1839" spans="12:15">
      <c r="L1839" s="412"/>
      <c r="M1839" s="235"/>
      <c r="N1839" s="235"/>
      <c r="O1839" s="206"/>
    </row>
    <row r="1840" spans="12:15">
      <c r="L1840" s="412"/>
      <c r="M1840" s="235"/>
      <c r="N1840" s="235"/>
      <c r="O1840" s="206"/>
    </row>
    <row r="1841" spans="12:15">
      <c r="L1841" s="412"/>
      <c r="M1841" s="235"/>
      <c r="N1841" s="235"/>
      <c r="O1841" s="206"/>
    </row>
    <row r="1842" spans="12:15">
      <c r="L1842" s="412"/>
      <c r="M1842" s="235"/>
      <c r="N1842" s="235"/>
      <c r="O1842" s="206"/>
    </row>
    <row r="1843" spans="12:15">
      <c r="L1843" s="412"/>
      <c r="M1843" s="235"/>
      <c r="N1843" s="235"/>
      <c r="O1843" s="206"/>
    </row>
    <row r="1844" spans="12:15">
      <c r="L1844" s="412"/>
      <c r="M1844" s="235"/>
      <c r="N1844" s="235"/>
      <c r="O1844" s="206"/>
    </row>
    <row r="1845" spans="12:15">
      <c r="L1845" s="412"/>
      <c r="M1845" s="235"/>
      <c r="N1845" s="235"/>
      <c r="O1845" s="206"/>
    </row>
    <row r="1846" spans="12:15">
      <c r="L1846" s="412"/>
      <c r="M1846" s="235"/>
      <c r="N1846" s="235"/>
      <c r="O1846" s="206"/>
    </row>
    <row r="1847" spans="12:15">
      <c r="L1847" s="412"/>
      <c r="M1847" s="235"/>
      <c r="N1847" s="235"/>
      <c r="O1847" s="206"/>
    </row>
    <row r="1848" spans="12:15">
      <c r="L1848" s="412"/>
      <c r="M1848" s="235"/>
      <c r="N1848" s="235"/>
      <c r="O1848" s="206"/>
    </row>
    <row r="1849" spans="12:15">
      <c r="L1849" s="412"/>
      <c r="M1849" s="235"/>
      <c r="N1849" s="235"/>
      <c r="O1849" s="206"/>
    </row>
    <row r="1850" spans="12:15">
      <c r="L1850" s="412"/>
      <c r="M1850" s="235"/>
      <c r="N1850" s="235"/>
      <c r="O1850" s="206"/>
    </row>
    <row r="1851" spans="12:15">
      <c r="L1851" s="412"/>
      <c r="M1851" s="235"/>
      <c r="N1851" s="235"/>
      <c r="O1851" s="206"/>
    </row>
    <row r="1852" spans="12:15">
      <c r="L1852" s="412"/>
      <c r="M1852" s="235"/>
      <c r="N1852" s="235"/>
      <c r="O1852" s="206"/>
    </row>
    <row r="1853" spans="12:15">
      <c r="L1853" s="412"/>
      <c r="M1853" s="235"/>
      <c r="N1853" s="235"/>
      <c r="O1853" s="206"/>
    </row>
    <row r="1854" spans="12:15">
      <c r="L1854" s="412"/>
      <c r="M1854" s="235"/>
      <c r="N1854" s="235"/>
      <c r="O1854" s="206"/>
    </row>
    <row r="1855" spans="12:15">
      <c r="L1855" s="412"/>
      <c r="M1855" s="235"/>
      <c r="N1855" s="235"/>
      <c r="O1855" s="206"/>
    </row>
    <row r="1856" spans="12:15">
      <c r="L1856" s="412"/>
      <c r="M1856" s="235"/>
      <c r="N1856" s="235"/>
      <c r="O1856" s="206"/>
    </row>
    <row r="1857" spans="12:15">
      <c r="L1857" s="412"/>
      <c r="M1857" s="235"/>
      <c r="N1857" s="235"/>
      <c r="O1857" s="206"/>
    </row>
    <row r="1858" spans="12:15">
      <c r="L1858" s="412"/>
      <c r="M1858" s="235"/>
      <c r="N1858" s="235"/>
      <c r="O1858" s="206"/>
    </row>
    <row r="1859" spans="12:15">
      <c r="L1859" s="412"/>
      <c r="M1859" s="235"/>
      <c r="N1859" s="235"/>
      <c r="O1859" s="206"/>
    </row>
    <row r="1860" spans="12:15">
      <c r="L1860" s="412"/>
      <c r="M1860" s="235"/>
      <c r="N1860" s="235"/>
      <c r="O1860" s="206"/>
    </row>
    <row r="1861" spans="12:15">
      <c r="L1861" s="412"/>
      <c r="M1861" s="235"/>
      <c r="N1861" s="235"/>
      <c r="O1861" s="206"/>
    </row>
    <row r="1862" spans="12:15">
      <c r="L1862" s="412"/>
      <c r="M1862" s="235"/>
      <c r="N1862" s="235"/>
      <c r="O1862" s="206"/>
    </row>
    <row r="1863" spans="12:15">
      <c r="L1863" s="412"/>
      <c r="M1863" s="235"/>
      <c r="N1863" s="235"/>
      <c r="O1863" s="206"/>
    </row>
    <row r="1864" spans="12:15">
      <c r="L1864" s="412"/>
      <c r="M1864" s="235"/>
      <c r="N1864" s="235"/>
      <c r="O1864" s="206"/>
    </row>
    <row r="1865" spans="12:15">
      <c r="L1865" s="412"/>
      <c r="M1865" s="235"/>
      <c r="N1865" s="235"/>
      <c r="O1865" s="206"/>
    </row>
    <row r="1866" spans="12:15">
      <c r="L1866" s="412"/>
      <c r="M1866" s="235"/>
      <c r="N1866" s="235"/>
      <c r="O1866" s="206"/>
    </row>
    <row r="1867" spans="12:15">
      <c r="L1867" s="412"/>
      <c r="M1867" s="235"/>
      <c r="N1867" s="235"/>
      <c r="O1867" s="206"/>
    </row>
    <row r="1868" spans="12:15">
      <c r="L1868" s="412"/>
      <c r="M1868" s="235"/>
      <c r="N1868" s="235"/>
      <c r="O1868" s="206"/>
    </row>
    <row r="1869" spans="12:15">
      <c r="L1869" s="412"/>
      <c r="M1869" s="235"/>
      <c r="N1869" s="235"/>
      <c r="O1869" s="206"/>
    </row>
    <row r="1870" spans="12:15">
      <c r="L1870" s="412"/>
      <c r="M1870" s="235"/>
      <c r="N1870" s="235"/>
      <c r="O1870" s="206"/>
    </row>
    <row r="1871" spans="12:15">
      <c r="L1871" s="412"/>
      <c r="M1871" s="235"/>
      <c r="N1871" s="235"/>
      <c r="O1871" s="206"/>
    </row>
    <row r="1872" spans="12:15">
      <c r="L1872" s="412"/>
      <c r="M1872" s="235"/>
      <c r="N1872" s="235"/>
      <c r="O1872" s="206"/>
    </row>
    <row r="1873" spans="12:15">
      <c r="L1873" s="412"/>
      <c r="M1873" s="235"/>
      <c r="N1873" s="235"/>
      <c r="O1873" s="206"/>
    </row>
    <row r="1874" spans="12:15">
      <c r="L1874" s="412"/>
      <c r="M1874" s="235"/>
      <c r="N1874" s="235"/>
      <c r="O1874" s="206"/>
    </row>
    <row r="1875" spans="12:15">
      <c r="L1875" s="412"/>
      <c r="M1875" s="235"/>
      <c r="N1875" s="235"/>
      <c r="O1875" s="206"/>
    </row>
    <row r="1876" spans="12:15">
      <c r="L1876" s="412"/>
      <c r="M1876" s="235"/>
      <c r="N1876" s="235"/>
      <c r="O1876" s="206"/>
    </row>
    <row r="1877" spans="12:15">
      <c r="L1877" s="412"/>
      <c r="M1877" s="235"/>
      <c r="N1877" s="235"/>
      <c r="O1877" s="206"/>
    </row>
    <row r="1878" spans="12:15">
      <c r="L1878" s="412"/>
      <c r="M1878" s="235"/>
      <c r="N1878" s="235"/>
      <c r="O1878" s="206"/>
    </row>
    <row r="1879" spans="12:15">
      <c r="L1879" s="412"/>
      <c r="M1879" s="235"/>
      <c r="N1879" s="235"/>
      <c r="O1879" s="206"/>
    </row>
    <row r="1880" spans="12:15">
      <c r="L1880" s="412"/>
      <c r="M1880" s="235"/>
      <c r="N1880" s="235"/>
      <c r="O1880" s="206"/>
    </row>
    <row r="1881" spans="12:15">
      <c r="L1881" s="412"/>
      <c r="M1881" s="235"/>
      <c r="N1881" s="235"/>
      <c r="O1881" s="206"/>
    </row>
    <row r="1882" spans="12:15">
      <c r="L1882" s="412"/>
      <c r="M1882" s="235"/>
      <c r="N1882" s="235"/>
      <c r="O1882" s="206"/>
    </row>
    <row r="1883" spans="12:15">
      <c r="L1883" s="412"/>
      <c r="M1883" s="235"/>
      <c r="N1883" s="235"/>
      <c r="O1883" s="206"/>
    </row>
    <row r="1884" spans="12:15">
      <c r="L1884" s="412"/>
      <c r="M1884" s="235"/>
      <c r="N1884" s="235"/>
      <c r="O1884" s="206"/>
    </row>
    <row r="1885" spans="12:15">
      <c r="L1885" s="412"/>
      <c r="M1885" s="235"/>
      <c r="N1885" s="235"/>
      <c r="O1885" s="206"/>
    </row>
    <row r="1886" spans="12:15">
      <c r="L1886" s="412"/>
      <c r="M1886" s="235"/>
      <c r="N1886" s="235"/>
      <c r="O1886" s="206"/>
    </row>
    <row r="1887" spans="12:15">
      <c r="L1887" s="412"/>
      <c r="M1887" s="235"/>
      <c r="N1887" s="235"/>
      <c r="O1887" s="206"/>
    </row>
    <row r="1888" spans="12:15">
      <c r="L1888" s="412"/>
      <c r="M1888" s="235"/>
      <c r="N1888" s="235"/>
      <c r="O1888" s="206"/>
    </row>
    <row r="1889" spans="12:15">
      <c r="L1889" s="412"/>
      <c r="M1889" s="235"/>
      <c r="N1889" s="235"/>
      <c r="O1889" s="206"/>
    </row>
    <row r="1890" spans="12:15">
      <c r="L1890" s="412"/>
      <c r="M1890" s="235"/>
      <c r="N1890" s="235"/>
      <c r="O1890" s="206"/>
    </row>
    <row r="1891" spans="12:15">
      <c r="L1891" s="412"/>
      <c r="M1891" s="235"/>
      <c r="N1891" s="235"/>
      <c r="O1891" s="206"/>
    </row>
    <row r="1892" spans="12:15">
      <c r="L1892" s="412"/>
      <c r="M1892" s="235"/>
      <c r="N1892" s="235"/>
      <c r="O1892" s="206"/>
    </row>
    <row r="1893" spans="12:15">
      <c r="L1893" s="412"/>
      <c r="M1893" s="235"/>
      <c r="N1893" s="235"/>
      <c r="O1893" s="206"/>
    </row>
    <row r="1894" spans="12:15">
      <c r="L1894" s="412"/>
      <c r="M1894" s="235"/>
      <c r="N1894" s="235"/>
      <c r="O1894" s="206"/>
    </row>
    <row r="1895" spans="12:15">
      <c r="L1895" s="412"/>
      <c r="M1895" s="235"/>
      <c r="N1895" s="235"/>
      <c r="O1895" s="206"/>
    </row>
    <row r="1896" spans="12:15">
      <c r="L1896" s="412"/>
      <c r="M1896" s="235"/>
      <c r="N1896" s="235"/>
      <c r="O1896" s="206"/>
    </row>
    <row r="1897" spans="12:15">
      <c r="L1897" s="412"/>
      <c r="M1897" s="235"/>
      <c r="N1897" s="235"/>
      <c r="O1897" s="206"/>
    </row>
    <row r="1898" spans="12:15">
      <c r="L1898" s="412"/>
      <c r="M1898" s="235"/>
      <c r="N1898" s="235"/>
      <c r="O1898" s="206"/>
    </row>
    <row r="1899" spans="12:15">
      <c r="L1899" s="412"/>
      <c r="M1899" s="235"/>
      <c r="N1899" s="235"/>
      <c r="O1899" s="206"/>
    </row>
    <row r="1900" spans="12:15">
      <c r="L1900" s="412"/>
      <c r="M1900" s="235"/>
      <c r="N1900" s="235"/>
      <c r="O1900" s="206"/>
    </row>
    <row r="1901" spans="12:15">
      <c r="L1901" s="412"/>
      <c r="M1901" s="235"/>
      <c r="N1901" s="235"/>
      <c r="O1901" s="206"/>
    </row>
    <row r="1902" spans="12:15">
      <c r="L1902" s="412"/>
      <c r="M1902" s="235"/>
      <c r="N1902" s="235"/>
      <c r="O1902" s="206"/>
    </row>
    <row r="1903" spans="12:15">
      <c r="L1903" s="412"/>
      <c r="M1903" s="235"/>
      <c r="N1903" s="235"/>
      <c r="O1903" s="206"/>
    </row>
    <row r="1904" spans="12:15">
      <c r="L1904" s="412"/>
      <c r="M1904" s="235"/>
      <c r="N1904" s="235"/>
      <c r="O1904" s="206"/>
    </row>
    <row r="1905" spans="12:15">
      <c r="L1905" s="412"/>
      <c r="M1905" s="235"/>
      <c r="N1905" s="235"/>
      <c r="O1905" s="206"/>
    </row>
    <row r="1906" spans="12:15">
      <c r="L1906" s="412"/>
      <c r="M1906" s="235"/>
      <c r="N1906" s="235"/>
      <c r="O1906" s="206"/>
    </row>
    <row r="1907" spans="12:15">
      <c r="L1907" s="412"/>
      <c r="M1907" s="235"/>
      <c r="N1907" s="235"/>
      <c r="O1907" s="206"/>
    </row>
    <row r="1908" spans="12:15">
      <c r="L1908" s="412"/>
      <c r="M1908" s="235"/>
      <c r="N1908" s="235"/>
      <c r="O1908" s="206"/>
    </row>
    <row r="1909" spans="12:15">
      <c r="L1909" s="412"/>
      <c r="M1909" s="235"/>
      <c r="N1909" s="235"/>
      <c r="O1909" s="206"/>
    </row>
    <row r="1910" spans="12:15">
      <c r="L1910" s="412"/>
      <c r="M1910" s="235"/>
      <c r="N1910" s="235"/>
      <c r="O1910" s="206"/>
    </row>
    <row r="1911" spans="12:15">
      <c r="L1911" s="412"/>
      <c r="M1911" s="235"/>
      <c r="N1911" s="235"/>
      <c r="O1911" s="206"/>
    </row>
    <row r="1912" spans="12:15">
      <c r="L1912" s="412"/>
      <c r="M1912" s="235"/>
      <c r="N1912" s="235"/>
      <c r="O1912" s="206"/>
    </row>
    <row r="1913" spans="12:15">
      <c r="L1913" s="412"/>
      <c r="M1913" s="235"/>
      <c r="N1913" s="235"/>
      <c r="O1913" s="206"/>
    </row>
    <row r="1914" spans="12:15">
      <c r="L1914" s="412"/>
      <c r="M1914" s="235"/>
      <c r="N1914" s="235"/>
      <c r="O1914" s="206"/>
    </row>
    <row r="1915" spans="12:15">
      <c r="L1915" s="412"/>
      <c r="M1915" s="235"/>
      <c r="N1915" s="235"/>
      <c r="O1915" s="206"/>
    </row>
    <row r="1916" spans="12:15">
      <c r="L1916" s="412"/>
      <c r="M1916" s="235"/>
      <c r="N1916" s="235"/>
      <c r="O1916" s="206"/>
    </row>
    <row r="1917" spans="12:15">
      <c r="L1917" s="412"/>
      <c r="M1917" s="235"/>
      <c r="N1917" s="235"/>
      <c r="O1917" s="206"/>
    </row>
    <row r="1918" spans="12:15">
      <c r="L1918" s="412"/>
      <c r="M1918" s="235"/>
      <c r="N1918" s="235"/>
      <c r="O1918" s="206"/>
    </row>
    <row r="1919" spans="12:15">
      <c r="L1919" s="412"/>
      <c r="M1919" s="235"/>
      <c r="N1919" s="235"/>
      <c r="O1919" s="206"/>
    </row>
    <row r="1920" spans="12:15">
      <c r="L1920" s="412"/>
      <c r="M1920" s="235"/>
      <c r="N1920" s="235"/>
      <c r="O1920" s="206"/>
    </row>
    <row r="1921" spans="12:15">
      <c r="L1921" s="412"/>
      <c r="M1921" s="235"/>
      <c r="N1921" s="235"/>
      <c r="O1921" s="206"/>
    </row>
    <row r="1922" spans="12:15">
      <c r="L1922" s="412"/>
      <c r="M1922" s="235"/>
      <c r="N1922" s="235"/>
      <c r="O1922" s="206"/>
    </row>
    <row r="1923" spans="12:15">
      <c r="L1923" s="412"/>
      <c r="M1923" s="235"/>
      <c r="N1923" s="235"/>
      <c r="O1923" s="206"/>
    </row>
    <row r="1924" spans="12:15">
      <c r="L1924" s="412"/>
      <c r="M1924" s="235"/>
      <c r="N1924" s="235"/>
      <c r="O1924" s="206"/>
    </row>
    <row r="1925" spans="12:15">
      <c r="L1925" s="412"/>
      <c r="M1925" s="235"/>
      <c r="N1925" s="235"/>
      <c r="O1925" s="206"/>
    </row>
    <row r="1926" spans="12:15">
      <c r="L1926" s="412"/>
      <c r="M1926" s="235"/>
      <c r="N1926" s="235"/>
      <c r="O1926" s="206"/>
    </row>
    <row r="1927" spans="12:15">
      <c r="L1927" s="412"/>
      <c r="M1927" s="235"/>
      <c r="N1927" s="235"/>
      <c r="O1927" s="206"/>
    </row>
    <row r="1928" spans="12:15">
      <c r="L1928" s="412"/>
      <c r="M1928" s="235"/>
      <c r="N1928" s="235"/>
      <c r="O1928" s="206"/>
    </row>
    <row r="1929" spans="12:15">
      <c r="L1929" s="412"/>
      <c r="M1929" s="235"/>
      <c r="N1929" s="235"/>
      <c r="O1929" s="206"/>
    </row>
    <row r="1930" spans="12:15">
      <c r="L1930" s="412"/>
      <c r="M1930" s="235"/>
      <c r="N1930" s="235"/>
      <c r="O1930" s="206"/>
    </row>
    <row r="1931" spans="12:15">
      <c r="L1931" s="412"/>
      <c r="M1931" s="235"/>
      <c r="N1931" s="235"/>
      <c r="O1931" s="206"/>
    </row>
    <row r="1932" spans="12:15">
      <c r="L1932" s="412"/>
      <c r="M1932" s="235"/>
      <c r="N1932" s="235"/>
      <c r="O1932" s="206"/>
    </row>
    <row r="1933" spans="12:15">
      <c r="L1933" s="412"/>
      <c r="M1933" s="235"/>
      <c r="N1933" s="235"/>
      <c r="O1933" s="206"/>
    </row>
    <row r="1934" spans="12:15">
      <c r="L1934" s="412"/>
      <c r="M1934" s="235"/>
      <c r="N1934" s="235"/>
      <c r="O1934" s="206"/>
    </row>
    <row r="1935" spans="12:15">
      <c r="L1935" s="412"/>
      <c r="M1935" s="235"/>
      <c r="N1935" s="235"/>
      <c r="O1935" s="206"/>
    </row>
    <row r="1936" spans="12:15">
      <c r="L1936" s="412"/>
      <c r="M1936" s="235"/>
      <c r="N1936" s="235"/>
      <c r="O1936" s="206"/>
    </row>
    <row r="1937" spans="12:15">
      <c r="L1937" s="412"/>
      <c r="M1937" s="235"/>
      <c r="N1937" s="235"/>
      <c r="O1937" s="206"/>
    </row>
    <row r="1938" spans="12:15">
      <c r="L1938" s="412"/>
      <c r="M1938" s="235"/>
      <c r="N1938" s="235"/>
      <c r="O1938" s="206"/>
    </row>
    <row r="1939" spans="12:15">
      <c r="L1939" s="412"/>
      <c r="M1939" s="235"/>
      <c r="N1939" s="235"/>
      <c r="O1939" s="206"/>
    </row>
    <row r="1940" spans="12:15">
      <c r="L1940" s="412"/>
      <c r="M1940" s="235"/>
      <c r="N1940" s="235"/>
      <c r="O1940" s="206"/>
    </row>
    <row r="1941" spans="12:15">
      <c r="L1941" s="412"/>
      <c r="M1941" s="235"/>
      <c r="N1941" s="235"/>
      <c r="O1941" s="206"/>
    </row>
    <row r="1942" spans="12:15">
      <c r="L1942" s="412"/>
      <c r="M1942" s="235"/>
      <c r="N1942" s="235"/>
      <c r="O1942" s="206"/>
    </row>
    <row r="1943" spans="12:15">
      <c r="L1943" s="412"/>
      <c r="M1943" s="235"/>
      <c r="N1943" s="235"/>
      <c r="O1943" s="206"/>
    </row>
    <row r="1944" spans="12:15">
      <c r="L1944" s="412"/>
      <c r="M1944" s="235"/>
      <c r="N1944" s="235"/>
      <c r="O1944" s="206"/>
    </row>
    <row r="1945" spans="12:15">
      <c r="L1945" s="412"/>
      <c r="M1945" s="235"/>
      <c r="N1945" s="235"/>
      <c r="O1945" s="206"/>
    </row>
    <row r="1946" spans="12:15">
      <c r="L1946" s="412"/>
      <c r="M1946" s="235"/>
      <c r="N1946" s="235"/>
      <c r="O1946" s="206"/>
    </row>
    <row r="1947" spans="12:15">
      <c r="L1947" s="412"/>
      <c r="M1947" s="235"/>
      <c r="N1947" s="235"/>
      <c r="O1947" s="206"/>
    </row>
    <row r="1948" spans="12:15">
      <c r="L1948" s="412"/>
      <c r="M1948" s="235"/>
      <c r="N1948" s="235"/>
      <c r="O1948" s="206"/>
    </row>
    <row r="1949" spans="12:15">
      <c r="L1949" s="412"/>
      <c r="M1949" s="235"/>
      <c r="N1949" s="235"/>
      <c r="O1949" s="206"/>
    </row>
    <row r="1950" spans="12:15">
      <c r="L1950" s="412"/>
      <c r="M1950" s="235"/>
      <c r="N1950" s="235"/>
      <c r="O1950" s="206"/>
    </row>
    <row r="1951" spans="12:15">
      <c r="L1951" s="412"/>
      <c r="M1951" s="235"/>
      <c r="N1951" s="235"/>
      <c r="O1951" s="206"/>
    </row>
    <row r="1952" spans="12:15">
      <c r="L1952" s="412"/>
      <c r="M1952" s="235"/>
      <c r="N1952" s="235"/>
      <c r="O1952" s="206"/>
    </row>
    <row r="1953" spans="12:15">
      <c r="L1953" s="412"/>
      <c r="M1953" s="235"/>
      <c r="N1953" s="235"/>
      <c r="O1953" s="206"/>
    </row>
    <row r="1954" spans="12:15">
      <c r="L1954" s="412"/>
      <c r="M1954" s="235"/>
      <c r="N1954" s="235"/>
      <c r="O1954" s="206"/>
    </row>
    <row r="1955" spans="12:15">
      <c r="L1955" s="412"/>
      <c r="M1955" s="235"/>
      <c r="N1955" s="235"/>
      <c r="O1955" s="206"/>
    </row>
    <row r="1956" spans="12:15">
      <c r="L1956" s="412"/>
      <c r="M1956" s="235"/>
      <c r="N1956" s="235"/>
      <c r="O1956" s="206"/>
    </row>
    <row r="1957" spans="12:15">
      <c r="L1957" s="412"/>
      <c r="M1957" s="235"/>
      <c r="N1957" s="235"/>
      <c r="O1957" s="206"/>
    </row>
    <row r="1958" spans="12:15">
      <c r="L1958" s="412"/>
      <c r="M1958" s="235"/>
      <c r="N1958" s="235"/>
      <c r="O1958" s="206"/>
    </row>
    <row r="1959" spans="12:15">
      <c r="L1959" s="412"/>
      <c r="M1959" s="235"/>
      <c r="N1959" s="235"/>
      <c r="O1959" s="206"/>
    </row>
    <row r="1960" spans="12:15">
      <c r="L1960" s="412"/>
      <c r="M1960" s="235"/>
      <c r="N1960" s="235"/>
      <c r="O1960" s="206"/>
    </row>
    <row r="1961" spans="12:15">
      <c r="L1961" s="412"/>
      <c r="M1961" s="235"/>
      <c r="N1961" s="235"/>
      <c r="O1961" s="206"/>
    </row>
    <row r="1962" spans="12:15">
      <c r="L1962" s="412"/>
      <c r="M1962" s="235"/>
      <c r="N1962" s="235"/>
      <c r="O1962" s="206"/>
    </row>
    <row r="1963" spans="12:15">
      <c r="L1963" s="412"/>
      <c r="M1963" s="235"/>
      <c r="N1963" s="235"/>
      <c r="O1963" s="206"/>
    </row>
    <row r="1964" spans="12:15">
      <c r="L1964" s="412"/>
      <c r="M1964" s="235"/>
      <c r="N1964" s="235"/>
      <c r="O1964" s="206"/>
    </row>
    <row r="1965" spans="12:15">
      <c r="L1965" s="412"/>
      <c r="M1965" s="235"/>
      <c r="N1965" s="235"/>
      <c r="O1965" s="206"/>
    </row>
    <row r="1966" spans="12:15">
      <c r="L1966" s="412"/>
      <c r="M1966" s="235"/>
      <c r="N1966" s="235"/>
      <c r="O1966" s="206"/>
    </row>
    <row r="1967" spans="12:15">
      <c r="L1967" s="412"/>
      <c r="M1967" s="235"/>
      <c r="N1967" s="235"/>
      <c r="O1967" s="206"/>
    </row>
    <row r="1968" spans="12:15">
      <c r="L1968" s="412"/>
      <c r="M1968" s="235"/>
      <c r="N1968" s="235"/>
      <c r="O1968" s="206"/>
    </row>
    <row r="1969" spans="12:15">
      <c r="L1969" s="412"/>
      <c r="M1969" s="235"/>
      <c r="N1969" s="235"/>
      <c r="O1969" s="206"/>
    </row>
    <row r="1970" spans="12:15">
      <c r="L1970" s="412"/>
      <c r="M1970" s="235"/>
      <c r="N1970" s="235"/>
      <c r="O1970" s="206"/>
    </row>
    <row r="1971" spans="12:15">
      <c r="L1971" s="412"/>
      <c r="M1971" s="235"/>
      <c r="N1971" s="235"/>
      <c r="O1971" s="206"/>
    </row>
    <row r="1972" spans="12:15">
      <c r="L1972" s="412"/>
      <c r="M1972" s="235"/>
      <c r="N1972" s="235"/>
      <c r="O1972" s="206"/>
    </row>
    <row r="1973" spans="12:15">
      <c r="L1973" s="412"/>
      <c r="M1973" s="235"/>
      <c r="N1973" s="235"/>
      <c r="O1973" s="206"/>
    </row>
    <row r="1974" spans="12:15">
      <c r="L1974" s="412"/>
      <c r="M1974" s="235"/>
      <c r="N1974" s="235"/>
      <c r="O1974" s="206"/>
    </row>
    <row r="1975" spans="12:15">
      <c r="L1975" s="412"/>
      <c r="M1975" s="235"/>
      <c r="N1975" s="235"/>
      <c r="O1975" s="206"/>
    </row>
    <row r="1976" spans="12:15">
      <c r="L1976" s="412"/>
      <c r="M1976" s="235"/>
      <c r="N1976" s="235"/>
      <c r="O1976" s="206"/>
    </row>
    <row r="1977" spans="12:15">
      <c r="L1977" s="412"/>
      <c r="M1977" s="235"/>
      <c r="N1977" s="235"/>
      <c r="O1977" s="206"/>
    </row>
    <row r="1978" spans="12:15">
      <c r="L1978" s="412"/>
      <c r="M1978" s="235"/>
      <c r="N1978" s="235"/>
      <c r="O1978" s="206"/>
    </row>
    <row r="1979" spans="12:15">
      <c r="L1979" s="412"/>
      <c r="M1979" s="235"/>
      <c r="N1979" s="235"/>
      <c r="O1979" s="206"/>
    </row>
    <row r="1980" spans="12:15">
      <c r="L1980" s="412"/>
      <c r="M1980" s="235"/>
      <c r="N1980" s="235"/>
      <c r="O1980" s="206"/>
    </row>
    <row r="1981" spans="12:15">
      <c r="L1981" s="412"/>
      <c r="M1981" s="235"/>
      <c r="N1981" s="235"/>
      <c r="O1981" s="206"/>
    </row>
    <row r="1982" spans="12:15">
      <c r="L1982" s="412"/>
      <c r="M1982" s="235"/>
      <c r="N1982" s="235"/>
      <c r="O1982" s="206"/>
    </row>
    <row r="1983" spans="12:15">
      <c r="L1983" s="412"/>
      <c r="M1983" s="235"/>
      <c r="N1983" s="235"/>
      <c r="O1983" s="206"/>
    </row>
    <row r="1984" spans="12:15">
      <c r="L1984" s="412"/>
      <c r="M1984" s="235"/>
      <c r="N1984" s="235"/>
      <c r="O1984" s="206"/>
    </row>
    <row r="1985" spans="12:15">
      <c r="L1985" s="412"/>
      <c r="M1985" s="235"/>
      <c r="N1985" s="235"/>
      <c r="O1985" s="206"/>
    </row>
    <row r="1986" spans="12:15">
      <c r="L1986" s="412"/>
      <c r="M1986" s="235"/>
      <c r="N1986" s="235"/>
      <c r="O1986" s="206"/>
    </row>
    <row r="1987" spans="12:15">
      <c r="L1987" s="412"/>
      <c r="M1987" s="235"/>
      <c r="N1987" s="235"/>
      <c r="O1987" s="206"/>
    </row>
    <row r="1988" spans="12:15">
      <c r="L1988" s="412"/>
      <c r="M1988" s="235"/>
      <c r="N1988" s="235"/>
      <c r="O1988" s="206"/>
    </row>
    <row r="1989" spans="12:15">
      <c r="L1989" s="412"/>
      <c r="M1989" s="235"/>
      <c r="N1989" s="235"/>
      <c r="O1989" s="206"/>
    </row>
    <row r="1990" spans="12:15">
      <c r="L1990" s="412"/>
      <c r="M1990" s="235"/>
      <c r="N1990" s="235"/>
      <c r="O1990" s="206"/>
    </row>
    <row r="1991" spans="12:15">
      <c r="L1991" s="412"/>
      <c r="M1991" s="235"/>
      <c r="N1991" s="235"/>
      <c r="O1991" s="206"/>
    </row>
    <row r="1992" spans="12:15">
      <c r="L1992" s="412"/>
      <c r="M1992" s="235"/>
      <c r="N1992" s="235"/>
      <c r="O1992" s="206"/>
    </row>
    <row r="1993" spans="12:15">
      <c r="L1993" s="412"/>
      <c r="M1993" s="235"/>
      <c r="N1993" s="235"/>
      <c r="O1993" s="206"/>
    </row>
    <row r="1994" spans="12:15">
      <c r="L1994" s="412"/>
      <c r="M1994" s="235"/>
      <c r="N1994" s="235"/>
      <c r="O1994" s="206"/>
    </row>
    <row r="1995" spans="12:15">
      <c r="L1995" s="412"/>
      <c r="M1995" s="235"/>
      <c r="N1995" s="235"/>
      <c r="O1995" s="206"/>
    </row>
    <row r="1996" spans="12:15">
      <c r="L1996" s="412"/>
      <c r="M1996" s="235"/>
      <c r="N1996" s="235"/>
      <c r="O1996" s="206"/>
    </row>
    <row r="1997" spans="12:15">
      <c r="L1997" s="412"/>
      <c r="M1997" s="235"/>
      <c r="N1997" s="235"/>
      <c r="O1997" s="206"/>
    </row>
    <row r="1998" spans="12:15">
      <c r="L1998" s="412"/>
      <c r="M1998" s="235"/>
      <c r="N1998" s="235"/>
      <c r="O1998" s="206"/>
    </row>
    <row r="1999" spans="12:15">
      <c r="L1999" s="412"/>
      <c r="M1999" s="235"/>
      <c r="N1999" s="235"/>
      <c r="O1999" s="206"/>
    </row>
    <row r="2000" spans="12:15">
      <c r="L2000" s="412"/>
      <c r="M2000" s="235"/>
      <c r="N2000" s="235"/>
      <c r="O2000" s="206"/>
    </row>
    <row r="2001" spans="12:15">
      <c r="L2001" s="412"/>
      <c r="M2001" s="235"/>
      <c r="N2001" s="235"/>
      <c r="O2001" s="206"/>
    </row>
    <row r="2002" spans="12:15">
      <c r="L2002" s="412"/>
      <c r="M2002" s="235"/>
      <c r="N2002" s="235"/>
      <c r="O2002" s="206"/>
    </row>
    <row r="2003" spans="12:15">
      <c r="L2003" s="412"/>
      <c r="M2003" s="235"/>
      <c r="N2003" s="235"/>
      <c r="O2003" s="206"/>
    </row>
    <row r="2004" spans="12:15">
      <c r="L2004" s="412"/>
      <c r="M2004" s="235"/>
      <c r="N2004" s="235"/>
      <c r="O2004" s="206"/>
    </row>
    <row r="2005" spans="12:15">
      <c r="L2005" s="412"/>
      <c r="M2005" s="235"/>
      <c r="N2005" s="235"/>
      <c r="O2005" s="206"/>
    </row>
    <row r="2006" spans="12:15">
      <c r="L2006" s="412"/>
      <c r="M2006" s="235"/>
      <c r="N2006" s="235"/>
      <c r="O2006" s="206"/>
    </row>
    <row r="2007" spans="12:15">
      <c r="L2007" s="412"/>
      <c r="M2007" s="235"/>
      <c r="N2007" s="235"/>
      <c r="O2007" s="206"/>
    </row>
    <row r="2008" spans="12:15">
      <c r="L2008" s="412"/>
      <c r="M2008" s="235"/>
      <c r="N2008" s="235"/>
      <c r="O2008" s="206"/>
    </row>
    <row r="2009" spans="12:15">
      <c r="L2009" s="412"/>
      <c r="M2009" s="235"/>
      <c r="N2009" s="235"/>
      <c r="O2009" s="206"/>
    </row>
    <row r="2010" spans="12:15">
      <c r="L2010" s="412"/>
      <c r="M2010" s="235"/>
      <c r="N2010" s="235"/>
      <c r="O2010" s="206"/>
    </row>
    <row r="2011" spans="12:15">
      <c r="L2011" s="412"/>
      <c r="M2011" s="235"/>
      <c r="N2011" s="235"/>
      <c r="O2011" s="206"/>
    </row>
    <row r="2012" spans="12:15">
      <c r="L2012" s="412"/>
      <c r="M2012" s="235"/>
      <c r="N2012" s="235"/>
      <c r="O2012" s="206"/>
    </row>
    <row r="2013" spans="12:15">
      <c r="L2013" s="412"/>
      <c r="M2013" s="235"/>
      <c r="N2013" s="235"/>
      <c r="O2013" s="206"/>
    </row>
    <row r="2014" spans="12:15">
      <c r="L2014" s="412"/>
      <c r="M2014" s="235"/>
      <c r="N2014" s="235"/>
      <c r="O2014" s="206"/>
    </row>
    <row r="2015" spans="12:15">
      <c r="L2015" s="412"/>
      <c r="M2015" s="235"/>
      <c r="N2015" s="235"/>
      <c r="O2015" s="206"/>
    </row>
    <row r="2016" spans="12:15">
      <c r="L2016" s="412"/>
      <c r="M2016" s="235"/>
      <c r="N2016" s="235"/>
      <c r="O2016" s="206"/>
    </row>
    <row r="2017" spans="12:15">
      <c r="L2017" s="412"/>
      <c r="M2017" s="235"/>
      <c r="N2017" s="235"/>
      <c r="O2017" s="206"/>
    </row>
    <row r="2018" spans="12:15">
      <c r="L2018" s="412"/>
      <c r="M2018" s="235"/>
      <c r="N2018" s="235"/>
      <c r="O2018" s="206"/>
    </row>
    <row r="2019" spans="12:15">
      <c r="L2019" s="412"/>
      <c r="M2019" s="235"/>
      <c r="N2019" s="235"/>
      <c r="O2019" s="206"/>
    </row>
    <row r="2020" spans="12:15">
      <c r="L2020" s="412"/>
      <c r="M2020" s="235"/>
      <c r="N2020" s="235"/>
      <c r="O2020" s="206"/>
    </row>
    <row r="2021" spans="12:15">
      <c r="L2021" s="412"/>
      <c r="M2021" s="235"/>
      <c r="N2021" s="235"/>
      <c r="O2021" s="206"/>
    </row>
    <row r="2022" spans="12:15">
      <c r="L2022" s="412"/>
      <c r="M2022" s="235"/>
      <c r="N2022" s="235"/>
      <c r="O2022" s="206"/>
    </row>
    <row r="2023" spans="12:15">
      <c r="L2023" s="412"/>
      <c r="M2023" s="235"/>
      <c r="N2023" s="235"/>
      <c r="O2023" s="206"/>
    </row>
    <row r="2024" spans="12:15">
      <c r="L2024" s="412"/>
      <c r="M2024" s="235"/>
      <c r="N2024" s="235"/>
      <c r="O2024" s="206"/>
    </row>
    <row r="2025" spans="12:15">
      <c r="L2025" s="412"/>
      <c r="M2025" s="235"/>
      <c r="N2025" s="235"/>
      <c r="O2025" s="206"/>
    </row>
    <row r="2026" spans="12:15">
      <c r="L2026" s="412"/>
      <c r="M2026" s="235"/>
      <c r="N2026" s="235"/>
      <c r="O2026" s="206"/>
    </row>
    <row r="2027" spans="12:15">
      <c r="L2027" s="412"/>
      <c r="M2027" s="235"/>
      <c r="N2027" s="235"/>
      <c r="O2027" s="206"/>
    </row>
    <row r="2028" spans="12:15">
      <c r="L2028" s="412"/>
      <c r="M2028" s="235"/>
      <c r="N2028" s="235"/>
      <c r="O2028" s="206"/>
    </row>
    <row r="2029" spans="12:15">
      <c r="L2029" s="412"/>
      <c r="M2029" s="235"/>
      <c r="N2029" s="235"/>
      <c r="O2029" s="206"/>
    </row>
    <row r="2030" spans="12:15">
      <c r="L2030" s="412"/>
      <c r="M2030" s="235"/>
      <c r="N2030" s="235"/>
      <c r="O2030" s="206"/>
    </row>
    <row r="2031" spans="12:15">
      <c r="L2031" s="412"/>
      <c r="M2031" s="235"/>
      <c r="N2031" s="235"/>
      <c r="O2031" s="206"/>
    </row>
    <row r="2032" spans="12:15">
      <c r="L2032" s="412"/>
      <c r="M2032" s="235"/>
      <c r="N2032" s="235"/>
      <c r="O2032" s="206"/>
    </row>
    <row r="2033" spans="12:15">
      <c r="L2033" s="412"/>
      <c r="M2033" s="235"/>
      <c r="N2033" s="235"/>
      <c r="O2033" s="206"/>
    </row>
    <row r="2034" spans="12:15">
      <c r="L2034" s="412"/>
      <c r="M2034" s="235"/>
      <c r="N2034" s="235"/>
      <c r="O2034" s="206"/>
    </row>
    <row r="2035" spans="12:15">
      <c r="L2035" s="412"/>
      <c r="M2035" s="235"/>
      <c r="N2035" s="235"/>
      <c r="O2035" s="206"/>
    </row>
    <row r="2036" spans="12:15">
      <c r="L2036" s="412"/>
      <c r="M2036" s="235"/>
      <c r="N2036" s="235"/>
      <c r="O2036" s="206"/>
    </row>
    <row r="2037" spans="12:15">
      <c r="L2037" s="412"/>
      <c r="M2037" s="235"/>
      <c r="N2037" s="235"/>
      <c r="O2037" s="206"/>
    </row>
    <row r="2038" spans="12:15">
      <c r="L2038" s="412"/>
      <c r="M2038" s="235"/>
      <c r="N2038" s="235"/>
      <c r="O2038" s="206"/>
    </row>
    <row r="2039" spans="12:15">
      <c r="L2039" s="412"/>
      <c r="M2039" s="235"/>
      <c r="N2039" s="235"/>
      <c r="O2039" s="206"/>
    </row>
    <row r="2040" spans="12:15">
      <c r="L2040" s="412"/>
      <c r="M2040" s="235"/>
      <c r="N2040" s="235"/>
      <c r="O2040" s="206"/>
    </row>
    <row r="2041" spans="12:15">
      <c r="L2041" s="412"/>
      <c r="M2041" s="235"/>
      <c r="N2041" s="235"/>
      <c r="O2041" s="206"/>
    </row>
    <row r="2042" spans="12:15">
      <c r="L2042" s="412"/>
      <c r="M2042" s="235"/>
      <c r="N2042" s="235"/>
      <c r="O2042" s="206"/>
    </row>
    <row r="2043" spans="12:15">
      <c r="L2043" s="412"/>
      <c r="M2043" s="235"/>
      <c r="N2043" s="235"/>
      <c r="O2043" s="206"/>
    </row>
    <row r="2044" spans="12:15">
      <c r="L2044" s="412"/>
      <c r="M2044" s="235"/>
      <c r="N2044" s="235"/>
      <c r="O2044" s="206"/>
    </row>
    <row r="2045" spans="12:15">
      <c r="L2045" s="412"/>
      <c r="M2045" s="235"/>
      <c r="N2045" s="235"/>
      <c r="O2045" s="206"/>
    </row>
    <row r="2046" spans="12:15">
      <c r="L2046" s="412"/>
      <c r="M2046" s="235"/>
      <c r="N2046" s="235"/>
      <c r="O2046" s="206"/>
    </row>
    <row r="2047" spans="12:15">
      <c r="L2047" s="412"/>
      <c r="M2047" s="235"/>
      <c r="N2047" s="235"/>
      <c r="O2047" s="206"/>
    </row>
    <row r="2048" spans="12:15">
      <c r="L2048" s="412"/>
      <c r="M2048" s="235"/>
      <c r="N2048" s="235"/>
      <c r="O2048" s="206"/>
    </row>
    <row r="2049" spans="12:15">
      <c r="L2049" s="412"/>
      <c r="M2049" s="235"/>
      <c r="N2049" s="235"/>
      <c r="O2049" s="206"/>
    </row>
    <row r="2050" spans="12:15">
      <c r="L2050" s="412"/>
      <c r="M2050" s="235"/>
      <c r="N2050" s="235"/>
      <c r="O2050" s="206"/>
    </row>
    <row r="2051" spans="12:15">
      <c r="L2051" s="412"/>
      <c r="M2051" s="235"/>
      <c r="N2051" s="235"/>
      <c r="O2051" s="206"/>
    </row>
    <row r="2052" spans="12:15">
      <c r="L2052" s="412"/>
      <c r="M2052" s="235"/>
      <c r="N2052" s="235"/>
      <c r="O2052" s="206"/>
    </row>
    <row r="2053" spans="12:15">
      <c r="L2053" s="412"/>
      <c r="M2053" s="235"/>
      <c r="N2053" s="235"/>
      <c r="O2053" s="206"/>
    </row>
    <row r="2054" spans="12:15">
      <c r="L2054" s="412"/>
      <c r="M2054" s="235"/>
      <c r="N2054" s="235"/>
      <c r="O2054" s="206"/>
    </row>
    <row r="2055" spans="12:15">
      <c r="L2055" s="412"/>
      <c r="M2055" s="235"/>
      <c r="N2055" s="235"/>
      <c r="O2055" s="206"/>
    </row>
    <row r="2056" spans="12:15">
      <c r="L2056" s="412"/>
      <c r="M2056" s="235"/>
      <c r="N2056" s="235"/>
      <c r="O2056" s="206"/>
    </row>
    <row r="2057" spans="12:15">
      <c r="L2057" s="412"/>
      <c r="M2057" s="235"/>
      <c r="N2057" s="235"/>
      <c r="O2057" s="206"/>
    </row>
    <row r="2058" spans="12:15">
      <c r="L2058" s="412"/>
      <c r="M2058" s="235"/>
      <c r="N2058" s="235"/>
      <c r="O2058" s="206"/>
    </row>
    <row r="2059" spans="12:15">
      <c r="L2059" s="412"/>
      <c r="M2059" s="235"/>
      <c r="N2059" s="235"/>
      <c r="O2059" s="206"/>
    </row>
    <row r="2060" spans="12:15">
      <c r="L2060" s="412"/>
      <c r="M2060" s="235"/>
      <c r="N2060" s="235"/>
      <c r="O2060" s="206"/>
    </row>
    <row r="2061" spans="12:15">
      <c r="L2061" s="412"/>
      <c r="M2061" s="235"/>
      <c r="N2061" s="235"/>
      <c r="O2061" s="206"/>
    </row>
    <row r="2062" spans="12:15">
      <c r="L2062" s="412"/>
      <c r="M2062" s="235"/>
      <c r="N2062" s="235"/>
      <c r="O2062" s="206"/>
    </row>
    <row r="2063" spans="12:15">
      <c r="L2063" s="412"/>
      <c r="M2063" s="235"/>
      <c r="N2063" s="235"/>
      <c r="O2063" s="206"/>
    </row>
    <row r="2064" spans="12:15">
      <c r="L2064" s="412"/>
      <c r="M2064" s="235"/>
      <c r="N2064" s="235"/>
      <c r="O2064" s="206"/>
    </row>
    <row r="2065" spans="12:15">
      <c r="L2065" s="412"/>
      <c r="M2065" s="235"/>
      <c r="N2065" s="235"/>
      <c r="O2065" s="206"/>
    </row>
    <row r="2066" spans="12:15">
      <c r="L2066" s="412"/>
      <c r="M2066" s="235"/>
      <c r="N2066" s="235"/>
      <c r="O2066" s="206"/>
    </row>
    <row r="2067" spans="12:15">
      <c r="L2067" s="412"/>
      <c r="M2067" s="235"/>
      <c r="N2067" s="235"/>
      <c r="O2067" s="206"/>
    </row>
    <row r="2068" spans="12:15">
      <c r="L2068" s="412"/>
      <c r="M2068" s="235"/>
      <c r="N2068" s="235"/>
      <c r="O2068" s="206"/>
    </row>
    <row r="2069" spans="12:15">
      <c r="L2069" s="412"/>
      <c r="M2069" s="235"/>
      <c r="N2069" s="235"/>
      <c r="O2069" s="206"/>
    </row>
    <row r="2070" spans="12:15">
      <c r="L2070" s="412"/>
      <c r="M2070" s="235"/>
      <c r="N2070" s="235"/>
      <c r="O2070" s="206"/>
    </row>
    <row r="2071" spans="12:15">
      <c r="L2071" s="412"/>
      <c r="M2071" s="235"/>
      <c r="N2071" s="235"/>
      <c r="O2071" s="206"/>
    </row>
    <row r="2072" spans="12:15">
      <c r="L2072" s="412"/>
      <c r="M2072" s="235"/>
      <c r="N2072" s="235"/>
      <c r="O2072" s="206"/>
    </row>
    <row r="2073" spans="12:15">
      <c r="L2073" s="412"/>
      <c r="M2073" s="235"/>
      <c r="N2073" s="235"/>
      <c r="O2073" s="206"/>
    </row>
    <row r="2074" spans="12:15">
      <c r="L2074" s="412"/>
      <c r="M2074" s="235"/>
      <c r="N2074" s="235"/>
      <c r="O2074" s="206"/>
    </row>
    <row r="2075" spans="12:15">
      <c r="L2075" s="412"/>
      <c r="M2075" s="235"/>
      <c r="N2075" s="235"/>
      <c r="O2075" s="206"/>
    </row>
    <row r="2076" spans="12:15">
      <c r="L2076" s="412"/>
      <c r="M2076" s="235"/>
      <c r="N2076" s="235"/>
      <c r="O2076" s="206"/>
    </row>
    <row r="2077" spans="12:15">
      <c r="L2077" s="412"/>
      <c r="M2077" s="235"/>
      <c r="N2077" s="235"/>
      <c r="O2077" s="206"/>
    </row>
    <row r="2078" spans="12:15">
      <c r="L2078" s="412"/>
      <c r="M2078" s="235"/>
      <c r="N2078" s="235"/>
      <c r="O2078" s="206"/>
    </row>
    <row r="2079" spans="12:15">
      <c r="L2079" s="412"/>
      <c r="M2079" s="235"/>
      <c r="N2079" s="235"/>
      <c r="O2079" s="206"/>
    </row>
    <row r="2080" spans="12:15">
      <c r="L2080" s="412"/>
      <c r="M2080" s="235"/>
      <c r="N2080" s="235"/>
      <c r="O2080" s="206"/>
    </row>
    <row r="2081" spans="12:15">
      <c r="L2081" s="412"/>
      <c r="M2081" s="235"/>
      <c r="N2081" s="235"/>
      <c r="O2081" s="206"/>
    </row>
    <row r="2082" spans="12:15">
      <c r="L2082" s="412"/>
      <c r="M2082" s="235"/>
      <c r="N2082" s="235"/>
      <c r="O2082" s="206"/>
    </row>
    <row r="2083" spans="12:15">
      <c r="L2083" s="412"/>
      <c r="M2083" s="235"/>
      <c r="N2083" s="235"/>
      <c r="O2083" s="206"/>
    </row>
    <row r="2084" spans="12:15">
      <c r="L2084" s="412"/>
      <c r="M2084" s="235"/>
      <c r="N2084" s="235"/>
      <c r="O2084" s="206"/>
    </row>
    <row r="2085" spans="12:15">
      <c r="L2085" s="412"/>
      <c r="M2085" s="235"/>
      <c r="N2085" s="235"/>
      <c r="O2085" s="206"/>
    </row>
    <row r="2086" spans="12:15">
      <c r="L2086" s="412"/>
      <c r="M2086" s="235"/>
      <c r="N2086" s="235"/>
      <c r="O2086" s="206"/>
    </row>
    <row r="2087" spans="12:15">
      <c r="L2087" s="412"/>
      <c r="M2087" s="235"/>
      <c r="N2087" s="235"/>
      <c r="O2087" s="206"/>
    </row>
    <row r="2088" spans="12:15">
      <c r="L2088" s="412"/>
      <c r="M2088" s="235"/>
      <c r="N2088" s="235"/>
      <c r="O2088" s="206"/>
    </row>
    <row r="2089" spans="12:15">
      <c r="L2089" s="412"/>
      <c r="M2089" s="235"/>
      <c r="N2089" s="235"/>
      <c r="O2089" s="206"/>
    </row>
    <row r="2090" spans="12:15">
      <c r="L2090" s="412"/>
      <c r="M2090" s="235"/>
      <c r="N2090" s="235"/>
      <c r="O2090" s="206"/>
    </row>
    <row r="2091" spans="12:15">
      <c r="L2091" s="412"/>
      <c r="M2091" s="235"/>
      <c r="N2091" s="235"/>
      <c r="O2091" s="206"/>
    </row>
    <row r="2092" spans="12:15">
      <c r="L2092" s="412"/>
      <c r="M2092" s="235"/>
      <c r="N2092" s="235"/>
      <c r="O2092" s="206"/>
    </row>
    <row r="2093" spans="12:15">
      <c r="L2093" s="412"/>
      <c r="M2093" s="235"/>
      <c r="N2093" s="235"/>
      <c r="O2093" s="206"/>
    </row>
    <row r="2094" spans="12:15">
      <c r="L2094" s="412"/>
      <c r="M2094" s="235"/>
      <c r="N2094" s="235"/>
      <c r="O2094" s="206"/>
    </row>
    <row r="2095" spans="12:15">
      <c r="L2095" s="412"/>
      <c r="M2095" s="235"/>
      <c r="N2095" s="235"/>
      <c r="O2095" s="206"/>
    </row>
    <row r="2096" spans="12:15">
      <c r="L2096" s="412"/>
      <c r="M2096" s="235"/>
      <c r="N2096" s="235"/>
      <c r="O2096" s="206"/>
    </row>
    <row r="2097" spans="12:15">
      <c r="L2097" s="412"/>
      <c r="M2097" s="235"/>
      <c r="N2097" s="235"/>
      <c r="O2097" s="206"/>
    </row>
    <row r="2098" spans="12:15">
      <c r="L2098" s="412"/>
      <c r="M2098" s="235"/>
      <c r="N2098" s="235"/>
      <c r="O2098" s="206"/>
    </row>
    <row r="2099" spans="12:15">
      <c r="L2099" s="412"/>
      <c r="M2099" s="235"/>
      <c r="N2099" s="235"/>
      <c r="O2099" s="206"/>
    </row>
    <row r="2100" spans="12:15">
      <c r="L2100" s="412"/>
      <c r="M2100" s="235"/>
      <c r="N2100" s="235"/>
      <c r="O2100" s="206"/>
    </row>
    <row r="2101" spans="12:15">
      <c r="L2101" s="412"/>
      <c r="M2101" s="235"/>
      <c r="N2101" s="235"/>
      <c r="O2101" s="206"/>
    </row>
    <row r="2102" spans="12:15">
      <c r="L2102" s="412"/>
      <c r="M2102" s="235"/>
      <c r="N2102" s="235"/>
      <c r="O2102" s="206"/>
    </row>
    <row r="2103" spans="12:15">
      <c r="L2103" s="412"/>
      <c r="M2103" s="235"/>
      <c r="N2103" s="235"/>
      <c r="O2103" s="206"/>
    </row>
    <row r="2104" spans="12:15">
      <c r="L2104" s="412"/>
      <c r="M2104" s="235"/>
      <c r="N2104" s="235"/>
      <c r="O2104" s="206"/>
    </row>
    <row r="2105" spans="12:15">
      <c r="L2105" s="412"/>
      <c r="M2105" s="235"/>
      <c r="N2105" s="235"/>
      <c r="O2105" s="206"/>
    </row>
    <row r="2106" spans="12:15">
      <c r="L2106" s="412"/>
      <c r="M2106" s="235"/>
      <c r="N2106" s="235"/>
      <c r="O2106" s="206"/>
    </row>
    <row r="2107" spans="12:15">
      <c r="L2107" s="412"/>
      <c r="M2107" s="235"/>
      <c r="N2107" s="235"/>
      <c r="O2107" s="206"/>
    </row>
    <row r="2108" spans="12:15">
      <c r="L2108" s="412"/>
      <c r="M2108" s="235"/>
      <c r="N2108" s="235"/>
      <c r="O2108" s="206"/>
    </row>
    <row r="2109" spans="12:15">
      <c r="L2109" s="412"/>
      <c r="M2109" s="235"/>
      <c r="N2109" s="235"/>
      <c r="O2109" s="206"/>
    </row>
    <row r="2110" spans="12:15">
      <c r="L2110" s="412"/>
      <c r="M2110" s="235"/>
      <c r="N2110" s="235"/>
      <c r="O2110" s="206"/>
    </row>
    <row r="2111" spans="12:15">
      <c r="L2111" s="412"/>
      <c r="M2111" s="235"/>
      <c r="N2111" s="235"/>
      <c r="O2111" s="206"/>
    </row>
    <row r="2112" spans="12:15">
      <c r="L2112" s="412"/>
      <c r="M2112" s="235"/>
      <c r="N2112" s="235"/>
      <c r="O2112" s="206"/>
    </row>
    <row r="2113" spans="12:15">
      <c r="L2113" s="412"/>
      <c r="M2113" s="235"/>
      <c r="N2113" s="235"/>
      <c r="O2113" s="206"/>
    </row>
    <row r="2114" spans="12:15">
      <c r="L2114" s="412"/>
      <c r="M2114" s="235"/>
      <c r="N2114" s="235"/>
      <c r="O2114" s="206"/>
    </row>
    <row r="2115" spans="12:15">
      <c r="L2115" s="412"/>
      <c r="M2115" s="235"/>
      <c r="N2115" s="235"/>
      <c r="O2115" s="206"/>
    </row>
    <row r="2116" spans="12:15">
      <c r="L2116" s="412"/>
      <c r="M2116" s="235"/>
      <c r="N2116" s="235"/>
      <c r="O2116" s="206"/>
    </row>
    <row r="2117" spans="12:15">
      <c r="L2117" s="412"/>
      <c r="M2117" s="235"/>
      <c r="N2117" s="235"/>
      <c r="O2117" s="206"/>
    </row>
    <row r="2118" spans="12:15">
      <c r="L2118" s="412"/>
      <c r="M2118" s="235"/>
      <c r="N2118" s="235"/>
      <c r="O2118" s="206"/>
    </row>
    <row r="2119" spans="12:15">
      <c r="L2119" s="412"/>
      <c r="M2119" s="235"/>
      <c r="N2119" s="235"/>
      <c r="O2119" s="206"/>
    </row>
    <row r="2120" spans="12:15">
      <c r="L2120" s="412"/>
      <c r="M2120" s="235"/>
      <c r="N2120" s="235"/>
      <c r="O2120" s="206"/>
    </row>
    <row r="2121" spans="12:15">
      <c r="L2121" s="412"/>
      <c r="M2121" s="235"/>
      <c r="N2121" s="235"/>
      <c r="O2121" s="206"/>
    </row>
    <row r="2122" spans="12:15">
      <c r="L2122" s="412"/>
      <c r="M2122" s="235"/>
      <c r="N2122" s="235"/>
      <c r="O2122" s="206"/>
    </row>
    <row r="2123" spans="12:15">
      <c r="L2123" s="412"/>
      <c r="M2123" s="235"/>
      <c r="N2123" s="235"/>
      <c r="O2123" s="206"/>
    </row>
    <row r="2124" spans="12:15">
      <c r="L2124" s="412"/>
      <c r="M2124" s="235"/>
      <c r="N2124" s="235"/>
      <c r="O2124" s="206"/>
    </row>
    <row r="2125" spans="12:15">
      <c r="L2125" s="412"/>
      <c r="M2125" s="235"/>
      <c r="N2125" s="235"/>
      <c r="O2125" s="206"/>
    </row>
    <row r="2126" spans="12:15">
      <c r="L2126" s="412"/>
      <c r="M2126" s="235"/>
      <c r="N2126" s="235"/>
      <c r="O2126" s="206"/>
    </row>
    <row r="2127" spans="12:15">
      <c r="L2127" s="412"/>
      <c r="M2127" s="235"/>
      <c r="N2127" s="235"/>
      <c r="O2127" s="206"/>
    </row>
    <row r="2128" spans="12:15">
      <c r="L2128" s="412"/>
      <c r="M2128" s="235"/>
      <c r="N2128" s="235"/>
      <c r="O2128" s="206"/>
    </row>
    <row r="2129" spans="12:15">
      <c r="L2129" s="412"/>
      <c r="M2129" s="235"/>
      <c r="N2129" s="235"/>
      <c r="O2129" s="206"/>
    </row>
    <row r="2130" spans="12:15">
      <c r="L2130" s="412"/>
      <c r="M2130" s="235"/>
      <c r="N2130" s="235"/>
      <c r="O2130" s="206"/>
    </row>
    <row r="2131" spans="12:15">
      <c r="L2131" s="412"/>
      <c r="M2131" s="235"/>
      <c r="N2131" s="235"/>
      <c r="O2131" s="206"/>
    </row>
    <row r="2132" spans="12:15">
      <c r="L2132" s="412"/>
      <c r="M2132" s="235"/>
      <c r="N2132" s="235"/>
      <c r="O2132" s="206"/>
    </row>
    <row r="2133" spans="12:15">
      <c r="L2133" s="412"/>
      <c r="M2133" s="235"/>
      <c r="N2133" s="235"/>
      <c r="O2133" s="206"/>
    </row>
    <row r="2134" spans="12:15">
      <c r="L2134" s="412"/>
      <c r="M2134" s="235"/>
      <c r="N2134" s="235"/>
      <c r="O2134" s="206"/>
    </row>
    <row r="2135" spans="12:15">
      <c r="L2135" s="412"/>
      <c r="M2135" s="235"/>
      <c r="N2135" s="235"/>
      <c r="O2135" s="206"/>
    </row>
    <row r="2136" spans="12:15">
      <c r="L2136" s="412"/>
      <c r="M2136" s="235"/>
      <c r="N2136" s="235"/>
      <c r="O2136" s="206"/>
    </row>
    <row r="2137" spans="12:15">
      <c r="L2137" s="412"/>
      <c r="M2137" s="235"/>
      <c r="N2137" s="235"/>
      <c r="O2137" s="206"/>
    </row>
    <row r="2138" spans="12:15">
      <c r="L2138" s="412"/>
      <c r="M2138" s="235"/>
      <c r="N2138" s="235"/>
      <c r="O2138" s="206"/>
    </row>
    <row r="2139" spans="12:15">
      <c r="L2139" s="412"/>
      <c r="M2139" s="235"/>
      <c r="N2139" s="235"/>
      <c r="O2139" s="206"/>
    </row>
    <row r="2140" spans="12:15">
      <c r="L2140" s="412"/>
      <c r="M2140" s="235"/>
      <c r="N2140" s="235"/>
      <c r="O2140" s="206"/>
    </row>
    <row r="2141" spans="12:15">
      <c r="L2141" s="412"/>
      <c r="M2141" s="235"/>
      <c r="N2141" s="235"/>
      <c r="O2141" s="206"/>
    </row>
    <row r="2142" spans="12:15">
      <c r="L2142" s="412"/>
      <c r="M2142" s="235"/>
      <c r="N2142" s="235"/>
      <c r="O2142" s="206"/>
    </row>
    <row r="2143" spans="12:15">
      <c r="L2143" s="412"/>
      <c r="M2143" s="235"/>
      <c r="N2143" s="235"/>
      <c r="O2143" s="206"/>
    </row>
    <row r="2144" spans="12:15">
      <c r="L2144" s="412"/>
      <c r="M2144" s="235"/>
      <c r="N2144" s="235"/>
      <c r="O2144" s="206"/>
    </row>
    <row r="2145" spans="12:15">
      <c r="L2145" s="412"/>
      <c r="M2145" s="235"/>
      <c r="N2145" s="235"/>
      <c r="O2145" s="206"/>
    </row>
    <row r="2146" spans="12:15">
      <c r="L2146" s="412"/>
      <c r="M2146" s="235"/>
      <c r="N2146" s="235"/>
      <c r="O2146" s="206"/>
    </row>
    <row r="2147" spans="12:15">
      <c r="L2147" s="412"/>
      <c r="M2147" s="235"/>
      <c r="N2147" s="235"/>
      <c r="O2147" s="206"/>
    </row>
    <row r="2148" spans="12:15">
      <c r="L2148" s="412"/>
      <c r="M2148" s="235"/>
      <c r="N2148" s="235"/>
      <c r="O2148" s="206"/>
    </row>
    <row r="2149" spans="12:15">
      <c r="L2149" s="412"/>
      <c r="M2149" s="235"/>
      <c r="N2149" s="235"/>
      <c r="O2149" s="206"/>
    </row>
    <row r="2150" spans="12:15">
      <c r="L2150" s="412"/>
      <c r="M2150" s="235"/>
      <c r="N2150" s="235"/>
      <c r="O2150" s="206"/>
    </row>
    <row r="2151" spans="12:15">
      <c r="L2151" s="412"/>
      <c r="M2151" s="235"/>
      <c r="N2151" s="235"/>
      <c r="O2151" s="206"/>
    </row>
    <row r="2152" spans="12:15">
      <c r="L2152" s="412"/>
      <c r="M2152" s="235"/>
      <c r="N2152" s="235"/>
      <c r="O2152" s="206"/>
    </row>
    <row r="2153" spans="12:15">
      <c r="L2153" s="412"/>
      <c r="M2153" s="235"/>
      <c r="N2153" s="235"/>
      <c r="O2153" s="206"/>
    </row>
    <row r="2154" spans="12:15">
      <c r="L2154" s="412"/>
      <c r="M2154" s="235"/>
      <c r="N2154" s="235"/>
      <c r="O2154" s="206"/>
    </row>
    <row r="2155" spans="12:15">
      <c r="L2155" s="412"/>
      <c r="M2155" s="235"/>
      <c r="N2155" s="235"/>
      <c r="O2155" s="206"/>
    </row>
    <row r="2156" spans="12:15">
      <c r="L2156" s="412"/>
      <c r="M2156" s="235"/>
      <c r="N2156" s="235"/>
      <c r="O2156" s="206"/>
    </row>
    <row r="2157" spans="12:15">
      <c r="L2157" s="412"/>
      <c r="M2157" s="235"/>
      <c r="N2157" s="235"/>
      <c r="O2157" s="206"/>
    </row>
    <row r="2158" spans="12:15">
      <c r="L2158" s="412"/>
      <c r="M2158" s="235"/>
      <c r="N2158" s="235"/>
      <c r="O2158" s="206"/>
    </row>
    <row r="2159" spans="12:15">
      <c r="L2159" s="412"/>
      <c r="M2159" s="235"/>
      <c r="N2159" s="235"/>
      <c r="O2159" s="206"/>
    </row>
    <row r="2160" spans="12:15">
      <c r="L2160" s="412"/>
      <c r="M2160" s="235"/>
      <c r="N2160" s="235"/>
      <c r="O2160" s="206"/>
    </row>
    <row r="2161" spans="12:15">
      <c r="L2161" s="412"/>
      <c r="M2161" s="235"/>
      <c r="N2161" s="235"/>
      <c r="O2161" s="206"/>
    </row>
    <row r="2162" spans="12:15">
      <c r="L2162" s="412"/>
      <c r="M2162" s="235"/>
      <c r="N2162" s="235"/>
      <c r="O2162" s="206"/>
    </row>
    <row r="2163" spans="12:15">
      <c r="L2163" s="412"/>
      <c r="M2163" s="235"/>
      <c r="N2163" s="235"/>
      <c r="O2163" s="206"/>
    </row>
    <row r="2164" spans="12:15">
      <c r="L2164" s="412"/>
      <c r="M2164" s="235"/>
      <c r="N2164" s="235"/>
      <c r="O2164" s="206"/>
    </row>
    <row r="2165" spans="12:15">
      <c r="L2165" s="412"/>
      <c r="M2165" s="235"/>
      <c r="N2165" s="235"/>
      <c r="O2165" s="206"/>
    </row>
    <row r="2166" spans="12:15">
      <c r="L2166" s="412"/>
      <c r="M2166" s="235"/>
      <c r="N2166" s="235"/>
      <c r="O2166" s="206"/>
    </row>
    <row r="2167" spans="12:15">
      <c r="L2167" s="412"/>
      <c r="M2167" s="235"/>
      <c r="N2167" s="235"/>
      <c r="O2167" s="206"/>
    </row>
    <row r="2168" spans="12:15">
      <c r="L2168" s="412"/>
      <c r="M2168" s="235"/>
      <c r="N2168" s="235"/>
      <c r="O2168" s="206"/>
    </row>
    <row r="2169" spans="12:15">
      <c r="L2169" s="412"/>
      <c r="M2169" s="235"/>
      <c r="N2169" s="235"/>
      <c r="O2169" s="206"/>
    </row>
    <row r="2170" spans="12:15">
      <c r="L2170" s="412"/>
      <c r="M2170" s="235"/>
      <c r="N2170" s="235"/>
      <c r="O2170" s="206"/>
    </row>
    <row r="2171" spans="12:15">
      <c r="L2171" s="412"/>
      <c r="M2171" s="235"/>
      <c r="N2171" s="235"/>
      <c r="O2171" s="206"/>
    </row>
    <row r="2172" spans="12:15">
      <c r="L2172" s="412"/>
      <c r="M2172" s="235"/>
      <c r="N2172" s="235"/>
      <c r="O2172" s="206"/>
    </row>
    <row r="2173" spans="12:15">
      <c r="L2173" s="412"/>
      <c r="M2173" s="235"/>
      <c r="N2173" s="235"/>
      <c r="O2173" s="206"/>
    </row>
    <row r="2174" spans="12:15">
      <c r="L2174" s="412"/>
      <c r="M2174" s="235"/>
      <c r="N2174" s="235"/>
      <c r="O2174" s="206"/>
    </row>
    <row r="2175" spans="12:15">
      <c r="L2175" s="412"/>
      <c r="M2175" s="235"/>
      <c r="N2175" s="235"/>
      <c r="O2175" s="206"/>
    </row>
    <row r="2176" spans="12:15">
      <c r="L2176" s="412"/>
      <c r="M2176" s="235"/>
      <c r="N2176" s="235"/>
      <c r="O2176" s="206"/>
    </row>
    <row r="2177" spans="12:15">
      <c r="L2177" s="412"/>
      <c r="M2177" s="235"/>
      <c r="N2177" s="235"/>
      <c r="O2177" s="206"/>
    </row>
    <row r="2178" spans="12:15">
      <c r="L2178" s="412"/>
      <c r="M2178" s="235"/>
      <c r="N2178" s="235"/>
      <c r="O2178" s="206"/>
    </row>
    <row r="2179" spans="12:15">
      <c r="L2179" s="412"/>
      <c r="M2179" s="235"/>
      <c r="N2179" s="235"/>
      <c r="O2179" s="206"/>
    </row>
    <row r="2180" spans="12:15">
      <c r="L2180" s="412"/>
      <c r="M2180" s="235"/>
      <c r="N2180" s="235"/>
      <c r="O2180" s="206"/>
    </row>
    <row r="2181" spans="12:15">
      <c r="L2181" s="412"/>
      <c r="M2181" s="235"/>
      <c r="N2181" s="235"/>
      <c r="O2181" s="206"/>
    </row>
    <row r="2182" spans="12:15">
      <c r="L2182" s="412"/>
      <c r="M2182" s="235"/>
      <c r="N2182" s="235"/>
      <c r="O2182" s="206"/>
    </row>
    <row r="2183" spans="12:15">
      <c r="L2183" s="412"/>
      <c r="M2183" s="235"/>
      <c r="N2183" s="235"/>
      <c r="O2183" s="206"/>
    </row>
    <row r="2184" spans="12:15">
      <c r="L2184" s="412"/>
      <c r="M2184" s="235"/>
      <c r="N2184" s="235"/>
      <c r="O2184" s="206"/>
    </row>
    <row r="2185" spans="12:15">
      <c r="L2185" s="412"/>
      <c r="M2185" s="235"/>
      <c r="N2185" s="235"/>
      <c r="O2185" s="206"/>
    </row>
    <row r="2186" spans="12:15">
      <c r="L2186" s="412"/>
      <c r="M2186" s="235"/>
      <c r="N2186" s="235"/>
      <c r="O2186" s="206"/>
    </row>
    <row r="2187" spans="12:15">
      <c r="L2187" s="412"/>
      <c r="M2187" s="235"/>
      <c r="N2187" s="235"/>
      <c r="O2187" s="206"/>
    </row>
    <row r="2188" spans="12:15">
      <c r="L2188" s="412"/>
      <c r="M2188" s="235"/>
      <c r="N2188" s="235"/>
      <c r="O2188" s="206"/>
    </row>
    <row r="2189" spans="12:15">
      <c r="L2189" s="412"/>
      <c r="M2189" s="235"/>
      <c r="N2189" s="235"/>
      <c r="O2189" s="206"/>
    </row>
    <row r="2190" spans="12:15">
      <c r="L2190" s="412"/>
      <c r="M2190" s="235"/>
      <c r="N2190" s="235"/>
      <c r="O2190" s="206"/>
    </row>
    <row r="2191" spans="12:15">
      <c r="L2191" s="412"/>
      <c r="M2191" s="235"/>
      <c r="N2191" s="235"/>
      <c r="O2191" s="206"/>
    </row>
    <row r="2192" spans="12:15">
      <c r="L2192" s="412"/>
      <c r="M2192" s="235"/>
      <c r="N2192" s="235"/>
      <c r="O2192" s="206"/>
    </row>
    <row r="2193" spans="12:15">
      <c r="L2193" s="412"/>
      <c r="M2193" s="235"/>
      <c r="N2193" s="235"/>
      <c r="O2193" s="206"/>
    </row>
    <row r="2194" spans="12:15">
      <c r="L2194" s="412"/>
      <c r="M2194" s="235"/>
      <c r="N2194" s="235"/>
      <c r="O2194" s="206"/>
    </row>
    <row r="2195" spans="12:15">
      <c r="L2195" s="412"/>
      <c r="M2195" s="235"/>
      <c r="N2195" s="235"/>
      <c r="O2195" s="206"/>
    </row>
    <row r="2196" spans="12:15">
      <c r="L2196" s="412"/>
      <c r="M2196" s="235"/>
      <c r="N2196" s="235"/>
      <c r="O2196" s="206"/>
    </row>
    <row r="2197" spans="12:15">
      <c r="L2197" s="412"/>
      <c r="M2197" s="235"/>
      <c r="N2197" s="235"/>
      <c r="O2197" s="206"/>
    </row>
    <row r="2198" spans="12:15">
      <c r="L2198" s="412"/>
      <c r="M2198" s="235"/>
      <c r="N2198" s="235"/>
      <c r="O2198" s="206"/>
    </row>
    <row r="2199" spans="12:15">
      <c r="L2199" s="412"/>
      <c r="M2199" s="235"/>
      <c r="N2199" s="235"/>
      <c r="O2199" s="206"/>
    </row>
    <row r="2200" spans="12:15">
      <c r="L2200" s="412"/>
      <c r="M2200" s="235"/>
      <c r="N2200" s="235"/>
      <c r="O2200" s="206"/>
    </row>
    <row r="2201" spans="12:15">
      <c r="L2201" s="412"/>
      <c r="M2201" s="235"/>
      <c r="N2201" s="235"/>
      <c r="O2201" s="206"/>
    </row>
    <row r="2202" spans="12:15">
      <c r="L2202" s="412"/>
      <c r="M2202" s="235"/>
      <c r="N2202" s="235"/>
      <c r="O2202" s="206"/>
    </row>
    <row r="2203" spans="12:15">
      <c r="L2203" s="412"/>
      <c r="M2203" s="235"/>
      <c r="N2203" s="235"/>
      <c r="O2203" s="206"/>
    </row>
    <row r="2204" spans="12:15">
      <c r="L2204" s="412"/>
      <c r="M2204" s="235"/>
      <c r="N2204" s="235"/>
      <c r="O2204" s="206"/>
    </row>
    <row r="2205" spans="12:15">
      <c r="L2205" s="412"/>
      <c r="M2205" s="235"/>
      <c r="N2205" s="235"/>
      <c r="O2205" s="206"/>
    </row>
    <row r="2206" spans="12:15">
      <c r="L2206" s="412"/>
      <c r="M2206" s="235"/>
      <c r="N2206" s="235"/>
      <c r="O2206" s="206"/>
    </row>
    <row r="2207" spans="12:15">
      <c r="L2207" s="412"/>
      <c r="M2207" s="235"/>
      <c r="N2207" s="235"/>
      <c r="O2207" s="206"/>
    </row>
    <row r="2208" spans="12:15">
      <c r="L2208" s="412"/>
      <c r="M2208" s="235"/>
      <c r="N2208" s="235"/>
      <c r="O2208" s="206"/>
    </row>
    <row r="2209" spans="4:15">
      <c r="L2209" s="412"/>
      <c r="M2209" s="235"/>
      <c r="N2209" s="235"/>
      <c r="O2209" s="206"/>
    </row>
    <row r="2210" spans="4:15">
      <c r="L2210" s="412"/>
      <c r="M2210" s="235"/>
      <c r="N2210" s="235"/>
      <c r="O2210" s="206"/>
    </row>
    <row r="2211" spans="4:15">
      <c r="L2211" s="412"/>
      <c r="M2211" s="235"/>
      <c r="N2211" s="235"/>
      <c r="O2211" s="206"/>
    </row>
    <row r="2212" spans="4:15">
      <c r="D2212" s="413"/>
      <c r="H2212" s="405"/>
      <c r="I2212" s="405"/>
      <c r="L2212" s="412"/>
      <c r="M2212" s="235"/>
      <c r="N2212" s="235"/>
      <c r="O2212" s="206"/>
    </row>
    <row r="2213" spans="4:15">
      <c r="D2213" s="413"/>
      <c r="H2213" s="405"/>
      <c r="I2213" s="405"/>
      <c r="L2213" s="412"/>
      <c r="M2213" s="235"/>
      <c r="N2213" s="235"/>
      <c r="O2213" s="206"/>
    </row>
    <row r="2214" spans="4:15">
      <c r="D2214" s="413"/>
      <c r="G2214" s="413"/>
      <c r="H2214" s="405"/>
      <c r="I2214" s="405"/>
      <c r="L2214" s="412"/>
      <c r="M2214" s="235"/>
      <c r="N2214" s="235"/>
      <c r="O2214" s="206"/>
    </row>
    <row r="2215" spans="4:15">
      <c r="D2215" s="413"/>
      <c r="G2215" s="413"/>
      <c r="H2215" s="405"/>
      <c r="I2215" s="405"/>
      <c r="L2215" s="412"/>
      <c r="M2215" s="235"/>
      <c r="N2215" s="235"/>
      <c r="O2215" s="206"/>
    </row>
    <row r="2216" spans="4:15">
      <c r="D2216" s="413"/>
      <c r="G2216" s="413"/>
      <c r="H2216" s="405"/>
      <c r="I2216" s="405"/>
      <c r="L2216" s="412"/>
      <c r="M2216" s="235"/>
      <c r="N2216" s="235"/>
      <c r="O2216" s="206"/>
    </row>
    <row r="2217" spans="4:15">
      <c r="D2217" s="413"/>
      <c r="G2217" s="413"/>
      <c r="H2217" s="405"/>
      <c r="I2217" s="405"/>
      <c r="L2217" s="412"/>
      <c r="M2217" s="235"/>
      <c r="N2217" s="235"/>
      <c r="O2217" s="206"/>
    </row>
    <row r="2218" spans="4:15">
      <c r="D2218" s="413"/>
      <c r="G2218" s="413"/>
      <c r="H2218" s="405"/>
      <c r="I2218" s="405"/>
      <c r="L2218" s="412"/>
      <c r="M2218" s="235"/>
      <c r="N2218" s="235"/>
      <c r="O2218" s="206"/>
    </row>
    <row r="2219" spans="4:15">
      <c r="D2219" s="413"/>
      <c r="G2219" s="413"/>
      <c r="H2219" s="405"/>
      <c r="I2219" s="405"/>
      <c r="L2219" s="412"/>
      <c r="M2219" s="235"/>
      <c r="N2219" s="235"/>
      <c r="O2219" s="206"/>
    </row>
    <row r="2220" spans="4:15">
      <c r="D2220" s="413"/>
      <c r="G2220" s="413"/>
      <c r="H2220" s="405"/>
      <c r="I2220" s="405"/>
      <c r="L2220" s="412"/>
      <c r="M2220" s="235"/>
      <c r="N2220" s="235"/>
      <c r="O2220" s="206"/>
    </row>
    <row r="2221" spans="4:15">
      <c r="D2221" s="413"/>
      <c r="G2221" s="413"/>
      <c r="H2221" s="405"/>
      <c r="I2221" s="405"/>
      <c r="L2221" s="412"/>
      <c r="M2221" s="235"/>
      <c r="N2221" s="235"/>
      <c r="O2221" s="206"/>
    </row>
    <row r="2222" spans="4:15">
      <c r="D2222" s="413"/>
      <c r="G2222" s="413"/>
      <c r="H2222" s="405"/>
      <c r="I2222" s="405"/>
      <c r="L2222" s="412"/>
      <c r="M2222" s="235"/>
      <c r="N2222" s="235"/>
      <c r="O2222" s="206"/>
    </row>
    <row r="2223" spans="4:15">
      <c r="D2223" s="413"/>
      <c r="G2223" s="413"/>
      <c r="H2223" s="405"/>
      <c r="I2223" s="405"/>
      <c r="L2223" s="412"/>
      <c r="M2223" s="235"/>
      <c r="N2223" s="235"/>
      <c r="O2223" s="206"/>
    </row>
    <row r="2224" spans="4:15">
      <c r="D2224" s="413"/>
      <c r="G2224" s="413"/>
      <c r="H2224" s="405"/>
      <c r="I2224" s="405"/>
      <c r="L2224" s="412"/>
      <c r="M2224" s="235"/>
      <c r="N2224" s="235"/>
      <c r="O2224" s="206"/>
    </row>
    <row r="2225" spans="4:15">
      <c r="D2225" s="413"/>
      <c r="G2225" s="413"/>
      <c r="H2225" s="405"/>
      <c r="I2225" s="405"/>
      <c r="L2225" s="412"/>
      <c r="M2225" s="235"/>
      <c r="N2225" s="235"/>
      <c r="O2225" s="206"/>
    </row>
    <row r="2226" spans="4:15">
      <c r="D2226" s="413"/>
      <c r="G2226" s="413"/>
      <c r="H2226" s="405"/>
      <c r="I2226" s="405"/>
      <c r="L2226" s="412"/>
      <c r="M2226" s="235"/>
      <c r="N2226" s="235"/>
      <c r="O2226" s="206"/>
    </row>
    <row r="2227" spans="4:15">
      <c r="D2227" s="413"/>
      <c r="G2227" s="413"/>
      <c r="H2227" s="405"/>
      <c r="I2227" s="405"/>
      <c r="L2227" s="412"/>
      <c r="M2227" s="235"/>
      <c r="N2227" s="235"/>
      <c r="O2227" s="206"/>
    </row>
    <row r="2228" spans="4:15">
      <c r="D2228" s="413"/>
      <c r="G2228" s="413"/>
      <c r="H2228" s="405"/>
      <c r="I2228" s="405"/>
      <c r="L2228" s="412"/>
      <c r="M2228" s="235"/>
      <c r="N2228" s="235"/>
      <c r="O2228" s="206"/>
    </row>
    <row r="2229" spans="4:15">
      <c r="D2229" s="413"/>
      <c r="G2229" s="413"/>
      <c r="H2229" s="405"/>
      <c r="I2229" s="405"/>
      <c r="L2229" s="412"/>
      <c r="M2229" s="235"/>
      <c r="N2229" s="235"/>
      <c r="O2229" s="206"/>
    </row>
    <row r="2230" spans="4:15">
      <c r="D2230" s="413"/>
      <c r="G2230" s="413"/>
      <c r="H2230" s="405"/>
      <c r="I2230" s="405"/>
      <c r="L2230" s="412"/>
      <c r="M2230" s="235"/>
      <c r="N2230" s="235"/>
      <c r="O2230" s="206"/>
    </row>
    <row r="2231" spans="4:15">
      <c r="D2231" s="413"/>
      <c r="G2231" s="413"/>
      <c r="H2231" s="405"/>
      <c r="I2231" s="405"/>
      <c r="L2231" s="412"/>
      <c r="M2231" s="235"/>
      <c r="N2231" s="235"/>
      <c r="O2231" s="206"/>
    </row>
    <row r="2232" spans="4:15">
      <c r="D2232" s="413"/>
      <c r="G2232" s="413"/>
      <c r="H2232" s="405"/>
      <c r="I2232" s="405"/>
      <c r="L2232" s="412"/>
      <c r="M2232" s="235"/>
      <c r="N2232" s="235"/>
      <c r="O2232" s="206"/>
    </row>
    <row r="2233" spans="4:15">
      <c r="D2233" s="413"/>
      <c r="G2233" s="413"/>
      <c r="H2233" s="405"/>
      <c r="I2233" s="405"/>
      <c r="L2233" s="412"/>
      <c r="M2233" s="235"/>
      <c r="N2233" s="235"/>
      <c r="O2233" s="206"/>
    </row>
    <row r="2234" spans="4:15">
      <c r="D2234" s="413"/>
      <c r="G2234" s="413"/>
      <c r="H2234" s="405"/>
      <c r="I2234" s="405"/>
      <c r="L2234" s="412"/>
      <c r="M2234" s="235"/>
      <c r="N2234" s="235"/>
      <c r="O2234" s="206"/>
    </row>
    <row r="2235" spans="4:15">
      <c r="D2235" s="413"/>
      <c r="G2235" s="413"/>
      <c r="H2235" s="405"/>
      <c r="I2235" s="405"/>
      <c r="L2235" s="412"/>
      <c r="M2235" s="235"/>
      <c r="N2235" s="235"/>
      <c r="O2235" s="206"/>
    </row>
    <row r="2236" spans="4:15">
      <c r="D2236" s="413"/>
      <c r="G2236" s="413"/>
      <c r="H2236" s="405"/>
      <c r="I2236" s="405"/>
      <c r="L2236" s="412"/>
      <c r="M2236" s="235"/>
      <c r="N2236" s="235"/>
      <c r="O2236" s="206"/>
    </row>
    <row r="2237" spans="4:15">
      <c r="D2237" s="413"/>
      <c r="G2237" s="413"/>
      <c r="H2237" s="405"/>
      <c r="I2237" s="405"/>
      <c r="L2237" s="412"/>
      <c r="M2237" s="235"/>
      <c r="N2237" s="235"/>
      <c r="O2237" s="206"/>
    </row>
    <row r="2238" spans="4:15">
      <c r="D2238" s="413"/>
      <c r="G2238" s="413"/>
      <c r="H2238" s="405"/>
      <c r="I2238" s="405"/>
      <c r="L2238" s="412"/>
      <c r="M2238" s="235"/>
      <c r="N2238" s="235"/>
      <c r="O2238" s="206"/>
    </row>
    <row r="2239" spans="4:15">
      <c r="D2239" s="413"/>
      <c r="G2239" s="413"/>
      <c r="H2239" s="405"/>
      <c r="I2239" s="405"/>
      <c r="L2239" s="412"/>
      <c r="M2239" s="235"/>
      <c r="N2239" s="235"/>
      <c r="O2239" s="206"/>
    </row>
    <row r="2240" spans="4:15">
      <c r="D2240" s="413"/>
      <c r="G2240" s="413"/>
      <c r="H2240" s="405"/>
      <c r="I2240" s="405"/>
      <c r="L2240" s="412"/>
      <c r="M2240" s="235"/>
      <c r="N2240" s="235"/>
      <c r="O2240" s="206"/>
    </row>
    <row r="2241" spans="4:15">
      <c r="D2241" s="413"/>
      <c r="G2241" s="413"/>
      <c r="H2241" s="405"/>
      <c r="I2241" s="405"/>
      <c r="L2241" s="412"/>
      <c r="M2241" s="235"/>
      <c r="N2241" s="235"/>
      <c r="O2241" s="206"/>
    </row>
    <row r="2242" spans="4:15">
      <c r="D2242" s="413"/>
      <c r="G2242" s="413"/>
      <c r="H2242" s="405"/>
      <c r="I2242" s="405"/>
      <c r="L2242" s="412"/>
      <c r="M2242" s="235"/>
      <c r="N2242" s="235"/>
      <c r="O2242" s="206"/>
    </row>
    <row r="2243" spans="4:15">
      <c r="D2243" s="413"/>
      <c r="G2243" s="413"/>
      <c r="H2243" s="405"/>
      <c r="I2243" s="405"/>
      <c r="L2243" s="412"/>
      <c r="M2243" s="235"/>
      <c r="N2243" s="235"/>
      <c r="O2243" s="206"/>
    </row>
    <row r="2244" spans="4:15">
      <c r="D2244" s="413"/>
      <c r="G2244" s="413"/>
      <c r="H2244" s="405"/>
      <c r="I2244" s="405"/>
      <c r="L2244" s="412"/>
      <c r="M2244" s="235"/>
      <c r="N2244" s="235"/>
      <c r="O2244" s="206"/>
    </row>
    <row r="2245" spans="4:15">
      <c r="D2245" s="413"/>
      <c r="G2245" s="413"/>
      <c r="H2245" s="405"/>
      <c r="I2245" s="405"/>
      <c r="L2245" s="412"/>
      <c r="M2245" s="235"/>
      <c r="N2245" s="235"/>
      <c r="O2245" s="206"/>
    </row>
    <row r="2246" spans="4:15">
      <c r="D2246" s="413"/>
      <c r="G2246" s="413"/>
      <c r="H2246" s="405"/>
      <c r="I2246" s="405"/>
      <c r="L2246" s="412"/>
      <c r="M2246" s="235"/>
      <c r="N2246" s="235"/>
      <c r="O2246" s="206"/>
    </row>
    <row r="2247" spans="4:15">
      <c r="D2247" s="413"/>
      <c r="G2247" s="413"/>
      <c r="H2247" s="405"/>
      <c r="I2247" s="405"/>
      <c r="L2247" s="412"/>
      <c r="M2247" s="235"/>
      <c r="N2247" s="235"/>
      <c r="O2247" s="206"/>
    </row>
    <row r="2248" spans="4:15">
      <c r="D2248" s="413"/>
      <c r="G2248" s="413"/>
      <c r="H2248" s="405"/>
      <c r="I2248" s="405"/>
      <c r="L2248" s="412"/>
      <c r="M2248" s="235"/>
      <c r="N2248" s="235"/>
      <c r="O2248" s="206"/>
    </row>
    <row r="2249" spans="4:15">
      <c r="D2249" s="413"/>
      <c r="G2249" s="413"/>
      <c r="H2249" s="405"/>
      <c r="I2249" s="405"/>
      <c r="L2249" s="412"/>
      <c r="M2249" s="235"/>
      <c r="N2249" s="235"/>
      <c r="O2249" s="206"/>
    </row>
    <row r="2250" spans="4:15">
      <c r="D2250" s="413"/>
      <c r="G2250" s="413"/>
      <c r="H2250" s="405"/>
      <c r="I2250" s="405"/>
      <c r="L2250" s="412"/>
      <c r="M2250" s="235"/>
      <c r="N2250" s="235"/>
      <c r="O2250" s="206"/>
    </row>
    <row r="2251" spans="4:15">
      <c r="D2251" s="413"/>
      <c r="G2251" s="413"/>
      <c r="H2251" s="405"/>
      <c r="I2251" s="405"/>
      <c r="L2251" s="412"/>
      <c r="M2251" s="235"/>
      <c r="N2251" s="235"/>
      <c r="O2251" s="206"/>
    </row>
    <row r="2252" spans="4:15">
      <c r="D2252" s="413"/>
      <c r="G2252" s="413"/>
      <c r="H2252" s="405"/>
      <c r="I2252" s="405"/>
      <c r="L2252" s="412"/>
      <c r="M2252" s="235"/>
      <c r="N2252" s="235"/>
      <c r="O2252" s="206"/>
    </row>
    <row r="2253" spans="4:15">
      <c r="D2253" s="413"/>
      <c r="G2253" s="413"/>
      <c r="H2253" s="405"/>
      <c r="I2253" s="405"/>
      <c r="L2253" s="412"/>
      <c r="M2253" s="235"/>
      <c r="N2253" s="235"/>
      <c r="O2253" s="206"/>
    </row>
    <row r="2254" spans="4:15">
      <c r="D2254" s="413"/>
      <c r="G2254" s="413"/>
      <c r="H2254" s="405"/>
      <c r="I2254" s="405"/>
      <c r="L2254" s="412"/>
      <c r="M2254" s="235"/>
      <c r="N2254" s="235"/>
      <c r="O2254" s="206"/>
    </row>
    <row r="2255" spans="4:15">
      <c r="D2255" s="413"/>
      <c r="G2255" s="413"/>
      <c r="H2255" s="405"/>
      <c r="I2255" s="405"/>
      <c r="L2255" s="412"/>
      <c r="M2255" s="235"/>
      <c r="N2255" s="235"/>
      <c r="O2255" s="206"/>
    </row>
    <row r="2256" spans="4:15">
      <c r="D2256" s="413"/>
      <c r="G2256" s="413"/>
      <c r="H2256" s="405"/>
      <c r="I2256" s="405"/>
      <c r="L2256" s="412"/>
      <c r="M2256" s="235"/>
      <c r="N2256" s="235"/>
      <c r="O2256" s="206"/>
    </row>
    <row r="2257" spans="4:15">
      <c r="D2257" s="413"/>
      <c r="G2257" s="413"/>
      <c r="H2257" s="405"/>
      <c r="I2257" s="405"/>
      <c r="L2257" s="412"/>
      <c r="M2257" s="235"/>
      <c r="N2257" s="235"/>
      <c r="O2257" s="206"/>
    </row>
    <row r="2258" spans="4:15">
      <c r="D2258" s="413"/>
      <c r="G2258" s="413"/>
      <c r="H2258" s="405"/>
      <c r="I2258" s="405"/>
      <c r="L2258" s="412"/>
      <c r="M2258" s="235"/>
      <c r="N2258" s="235"/>
      <c r="O2258" s="206"/>
    </row>
    <row r="2259" spans="4:15">
      <c r="D2259" s="413"/>
      <c r="G2259" s="413"/>
      <c r="H2259" s="405"/>
      <c r="I2259" s="405"/>
      <c r="L2259" s="412"/>
      <c r="M2259" s="235"/>
      <c r="N2259" s="235"/>
      <c r="O2259" s="206"/>
    </row>
    <row r="2260" spans="4:15">
      <c r="D2260" s="413"/>
      <c r="G2260" s="413"/>
      <c r="H2260" s="405"/>
      <c r="I2260" s="405"/>
      <c r="L2260" s="412"/>
      <c r="M2260" s="235"/>
      <c r="N2260" s="235"/>
      <c r="O2260" s="206"/>
    </row>
    <row r="2261" spans="4:15">
      <c r="D2261" s="413"/>
      <c r="G2261" s="413"/>
      <c r="H2261" s="405"/>
      <c r="I2261" s="405"/>
      <c r="L2261" s="412"/>
      <c r="M2261" s="235"/>
      <c r="N2261" s="235"/>
      <c r="O2261" s="206"/>
    </row>
    <row r="2262" spans="4:15">
      <c r="D2262" s="413"/>
      <c r="G2262" s="413"/>
      <c r="H2262" s="405"/>
      <c r="I2262" s="405"/>
      <c r="L2262" s="412"/>
      <c r="M2262" s="235"/>
      <c r="N2262" s="235"/>
      <c r="O2262" s="206"/>
    </row>
    <row r="2263" spans="4:15">
      <c r="D2263" s="413"/>
      <c r="G2263" s="413"/>
      <c r="H2263" s="405"/>
      <c r="I2263" s="405"/>
      <c r="L2263" s="412"/>
      <c r="M2263" s="235"/>
      <c r="N2263" s="235"/>
      <c r="O2263" s="206"/>
    </row>
    <row r="2264" spans="4:15">
      <c r="D2264" s="413"/>
      <c r="G2264" s="413"/>
      <c r="H2264" s="405"/>
      <c r="I2264" s="405"/>
      <c r="L2264" s="412"/>
      <c r="M2264" s="235"/>
      <c r="N2264" s="235"/>
      <c r="O2264" s="206"/>
    </row>
    <row r="2265" spans="4:15">
      <c r="D2265" s="413"/>
      <c r="G2265" s="413"/>
      <c r="H2265" s="405"/>
      <c r="I2265" s="405"/>
      <c r="L2265" s="412"/>
      <c r="M2265" s="235"/>
      <c r="N2265" s="235"/>
      <c r="O2265" s="206"/>
    </row>
    <row r="2266" spans="4:15">
      <c r="D2266" s="413"/>
      <c r="G2266" s="413"/>
      <c r="H2266" s="405"/>
      <c r="I2266" s="405"/>
      <c r="L2266" s="412"/>
      <c r="M2266" s="235"/>
      <c r="N2266" s="235"/>
      <c r="O2266" s="206"/>
    </row>
    <row r="2267" spans="4:15">
      <c r="D2267" s="413"/>
      <c r="G2267" s="413"/>
      <c r="H2267" s="405"/>
      <c r="I2267" s="405"/>
      <c r="L2267" s="412"/>
      <c r="M2267" s="235"/>
      <c r="N2267" s="235"/>
      <c r="O2267" s="206"/>
    </row>
    <row r="2268" spans="4:15">
      <c r="D2268" s="413"/>
      <c r="G2268" s="413"/>
      <c r="H2268" s="405"/>
      <c r="I2268" s="405"/>
      <c r="L2268" s="412"/>
      <c r="M2268" s="235"/>
      <c r="N2268" s="235"/>
      <c r="O2268" s="206"/>
    </row>
    <row r="2269" spans="4:15">
      <c r="D2269" s="413"/>
      <c r="G2269" s="413"/>
      <c r="H2269" s="405"/>
      <c r="I2269" s="405"/>
      <c r="L2269" s="412"/>
      <c r="M2269" s="235"/>
      <c r="N2269" s="235"/>
      <c r="O2269" s="206"/>
    </row>
    <row r="2270" spans="4:15">
      <c r="D2270" s="413"/>
      <c r="G2270" s="413"/>
      <c r="H2270" s="405"/>
      <c r="I2270" s="405"/>
      <c r="L2270" s="412"/>
      <c r="M2270" s="235"/>
      <c r="N2270" s="235"/>
      <c r="O2270" s="206"/>
    </row>
    <row r="2271" spans="4:15">
      <c r="D2271" s="413"/>
      <c r="G2271" s="413"/>
      <c r="H2271" s="405"/>
      <c r="I2271" s="405"/>
      <c r="L2271" s="412"/>
      <c r="M2271" s="235"/>
      <c r="N2271" s="235"/>
      <c r="O2271" s="206"/>
    </row>
    <row r="2272" spans="4:15">
      <c r="D2272" s="413"/>
      <c r="G2272" s="413"/>
      <c r="H2272" s="405"/>
      <c r="I2272" s="405"/>
      <c r="L2272" s="412"/>
      <c r="M2272" s="235"/>
      <c r="N2272" s="235"/>
      <c r="O2272" s="206"/>
    </row>
    <row r="2273" spans="4:15">
      <c r="D2273" s="413"/>
      <c r="G2273" s="413"/>
      <c r="H2273" s="405"/>
      <c r="I2273" s="405"/>
      <c r="L2273" s="412"/>
      <c r="M2273" s="235"/>
      <c r="N2273" s="235"/>
      <c r="O2273" s="206"/>
    </row>
    <row r="2274" spans="4:15">
      <c r="D2274" s="413"/>
      <c r="G2274" s="413"/>
      <c r="H2274" s="405"/>
      <c r="I2274" s="405"/>
      <c r="L2274" s="412"/>
      <c r="M2274" s="235"/>
      <c r="N2274" s="235"/>
      <c r="O2274" s="206"/>
    </row>
    <row r="2275" spans="4:15">
      <c r="D2275" s="413"/>
      <c r="G2275" s="413"/>
      <c r="H2275" s="405"/>
      <c r="I2275" s="405"/>
      <c r="L2275" s="412"/>
      <c r="M2275" s="235"/>
      <c r="N2275" s="235"/>
      <c r="O2275" s="206"/>
    </row>
    <row r="2276" spans="4:15">
      <c r="D2276" s="413"/>
      <c r="G2276" s="413"/>
      <c r="H2276" s="405"/>
      <c r="I2276" s="405"/>
      <c r="L2276" s="412"/>
      <c r="M2276" s="235"/>
      <c r="N2276" s="235"/>
      <c r="O2276" s="206"/>
    </row>
    <row r="2277" spans="4:15">
      <c r="D2277" s="413"/>
      <c r="G2277" s="413"/>
      <c r="H2277" s="405"/>
      <c r="I2277" s="405"/>
      <c r="L2277" s="412"/>
      <c r="M2277" s="235"/>
      <c r="N2277" s="235"/>
      <c r="O2277" s="206"/>
    </row>
    <row r="2278" spans="4:15">
      <c r="D2278" s="413"/>
      <c r="G2278" s="413"/>
      <c r="H2278" s="405"/>
      <c r="I2278" s="405"/>
      <c r="L2278" s="412"/>
      <c r="M2278" s="235"/>
      <c r="N2278" s="235"/>
      <c r="O2278" s="206"/>
    </row>
    <row r="2279" spans="4:15">
      <c r="D2279" s="413"/>
      <c r="G2279" s="413"/>
      <c r="H2279" s="405"/>
      <c r="I2279" s="405"/>
      <c r="L2279" s="412"/>
      <c r="M2279" s="235"/>
      <c r="N2279" s="235"/>
      <c r="O2279" s="206"/>
    </row>
    <row r="2280" spans="4:15">
      <c r="D2280" s="413"/>
      <c r="G2280" s="413"/>
      <c r="H2280" s="405"/>
      <c r="I2280" s="405"/>
      <c r="L2280" s="412"/>
      <c r="M2280" s="235"/>
      <c r="N2280" s="235"/>
      <c r="O2280" s="206"/>
    </row>
    <row r="2281" spans="4:15">
      <c r="G2281" s="413"/>
    </row>
    <row r="2282" spans="4:15">
      <c r="G2282" s="413"/>
    </row>
  </sheetData>
  <mergeCells count="1">
    <mergeCell ref="F3:K3"/>
  </mergeCells>
  <phoneticPr fontId="3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6F0C-9FF7-47FC-865F-635B9D1267BF}">
  <sheetPr codeName="Sheet3"/>
  <dimension ref="B1:X106"/>
  <sheetViews>
    <sheetView zoomScale="85" zoomScaleNormal="85" workbookViewId="0"/>
  </sheetViews>
  <sheetFormatPr defaultColWidth="5.7109375" defaultRowHeight="12.75"/>
  <cols>
    <col min="1" max="1" width="2.42578125" style="307" customWidth="1"/>
    <col min="2" max="2" width="3.42578125" style="308" customWidth="1"/>
    <col min="3" max="3" width="3.7109375" style="307" customWidth="1"/>
    <col min="4" max="4" width="6" style="307" bestFit="1" customWidth="1"/>
    <col min="5" max="6" width="6.7109375" style="307" bestFit="1" customWidth="1"/>
    <col min="7" max="7" width="2.7109375" style="307" customWidth="1"/>
    <col min="8" max="8" width="3.7109375" style="307" customWidth="1"/>
    <col min="9" max="9" width="4" style="307" customWidth="1"/>
    <col min="10" max="13" width="6.140625" style="307" customWidth="1"/>
    <col min="14" max="15" width="5.7109375" style="307"/>
    <col min="16" max="16" width="3" style="307" bestFit="1" customWidth="1"/>
    <col min="17" max="17" width="28.5703125" style="310" bestFit="1" customWidth="1"/>
    <col min="18" max="18" width="10.5703125" style="311" bestFit="1" customWidth="1"/>
    <col min="19" max="19" width="5.7109375" style="307"/>
    <col min="20" max="20" width="3" style="307" bestFit="1" customWidth="1"/>
    <col min="21" max="21" width="22.42578125" style="310" customWidth="1"/>
    <col min="22" max="22" width="11.28515625" style="312" bestFit="1" customWidth="1"/>
    <col min="23" max="23" width="5.7109375" style="307"/>
    <col min="24" max="24" width="6" style="313" bestFit="1" customWidth="1"/>
    <col min="25" max="16384" width="5.7109375" style="307"/>
  </cols>
  <sheetData>
    <row r="1" spans="2:23" ht="25.5">
      <c r="D1" s="391" t="s">
        <v>7496</v>
      </c>
      <c r="O1" s="309"/>
      <c r="U1" s="136">
        <v>41712</v>
      </c>
    </row>
    <row r="2" spans="2:23" ht="12.75" customHeight="1">
      <c r="O2" s="309"/>
      <c r="P2" s="314" t="s">
        <v>7002</v>
      </c>
      <c r="Q2" s="307"/>
      <c r="U2" s="33"/>
      <c r="V2" s="33"/>
    </row>
    <row r="3" spans="2:23" ht="18" customHeight="1">
      <c r="C3" s="315"/>
      <c r="O3" s="309"/>
      <c r="Q3" s="316" t="s">
        <v>7003</v>
      </c>
    </row>
    <row r="4" spans="2:23" ht="12.75" customHeight="1">
      <c r="C4" s="316" t="s">
        <v>7004</v>
      </c>
      <c r="I4" s="316" t="s">
        <v>7005</v>
      </c>
      <c r="O4" s="309"/>
    </row>
    <row r="5" spans="2:23" ht="12.75" customHeight="1">
      <c r="B5" s="308" t="s">
        <v>7006</v>
      </c>
      <c r="C5" s="760" t="s">
        <v>7007</v>
      </c>
      <c r="D5" s="317" t="s">
        <v>7008</v>
      </c>
      <c r="E5" s="318" t="s">
        <v>7009</v>
      </c>
      <c r="F5" s="317" t="s">
        <v>7010</v>
      </c>
      <c r="J5" s="307" t="s">
        <v>7011</v>
      </c>
      <c r="O5" s="309"/>
      <c r="Q5" s="319" t="s">
        <v>7354</v>
      </c>
    </row>
    <row r="6" spans="2:23" ht="12.75" customHeight="1" thickBot="1">
      <c r="C6" s="760"/>
      <c r="D6" s="317" t="s">
        <v>7013</v>
      </c>
      <c r="E6" s="317" t="s">
        <v>7013</v>
      </c>
      <c r="F6" s="317" t="s">
        <v>7013</v>
      </c>
      <c r="H6" s="308"/>
      <c r="I6" s="321"/>
      <c r="J6" s="322" t="s">
        <v>7014</v>
      </c>
      <c r="K6" s="321"/>
      <c r="L6" s="321"/>
      <c r="M6" s="321"/>
      <c r="O6" s="309"/>
      <c r="P6" s="323"/>
      <c r="Q6" s="324" t="s">
        <v>7015</v>
      </c>
      <c r="R6" s="325" t="s">
        <v>7016</v>
      </c>
      <c r="S6" s="321"/>
      <c r="T6" s="323"/>
      <c r="U6" s="324" t="s">
        <v>7017</v>
      </c>
      <c r="V6" s="326" t="s">
        <v>7016</v>
      </c>
    </row>
    <row r="7" spans="2:23" ht="12.75" customHeight="1">
      <c r="C7" s="328" t="s">
        <v>7019</v>
      </c>
      <c r="D7" s="328" t="s">
        <v>7020</v>
      </c>
      <c r="E7" s="328" t="s">
        <v>7020</v>
      </c>
      <c r="F7" s="328" t="s">
        <v>7021</v>
      </c>
      <c r="H7" s="761"/>
      <c r="I7" s="329" t="s">
        <v>7007</v>
      </c>
      <c r="J7" s="330" t="s">
        <v>7022</v>
      </c>
      <c r="K7" s="330" t="s">
        <v>7023</v>
      </c>
      <c r="L7" s="330" t="s">
        <v>7024</v>
      </c>
      <c r="M7" s="331" t="s">
        <v>7025</v>
      </c>
      <c r="O7" s="309"/>
      <c r="P7" s="323">
        <v>1</v>
      </c>
      <c r="Q7" s="3" t="s">
        <v>7026</v>
      </c>
      <c r="R7" s="320" t="s">
        <v>7420</v>
      </c>
      <c r="S7" s="321" t="s">
        <v>7012</v>
      </c>
      <c r="T7" s="323">
        <v>1</v>
      </c>
      <c r="U7" s="3" t="s">
        <v>1453</v>
      </c>
      <c r="V7" s="327" t="s">
        <v>7425</v>
      </c>
      <c r="W7" s="321" t="s">
        <v>7018</v>
      </c>
    </row>
    <row r="8" spans="2:23" ht="12.75" customHeight="1">
      <c r="C8" s="317" t="s">
        <v>1508</v>
      </c>
      <c r="D8" s="334" t="s">
        <v>7027</v>
      </c>
      <c r="E8" s="334" t="s">
        <v>7028</v>
      </c>
      <c r="F8" s="334" t="s">
        <v>7029</v>
      </c>
      <c r="H8" s="761"/>
      <c r="I8" s="335"/>
      <c r="J8" s="317" t="s">
        <v>7013</v>
      </c>
      <c r="K8" s="317" t="s">
        <v>7013</v>
      </c>
      <c r="L8" s="317" t="s">
        <v>7013</v>
      </c>
      <c r="M8" s="336" t="s">
        <v>7013</v>
      </c>
      <c r="O8" s="309"/>
      <c r="P8" s="323">
        <v>2</v>
      </c>
      <c r="Q8" s="3" t="s">
        <v>7030</v>
      </c>
      <c r="R8" s="320" t="s">
        <v>7418</v>
      </c>
      <c r="S8" s="321" t="s">
        <v>7012</v>
      </c>
      <c r="T8" s="323">
        <v>2</v>
      </c>
      <c r="U8" s="4" t="s">
        <v>1445</v>
      </c>
      <c r="V8" s="333" t="s">
        <v>7392</v>
      </c>
      <c r="W8" s="321" t="s">
        <v>7062</v>
      </c>
    </row>
    <row r="9" spans="2:23" ht="12.75" customHeight="1">
      <c r="C9" s="317" t="s">
        <v>7031</v>
      </c>
      <c r="D9" s="334" t="s">
        <v>7032</v>
      </c>
      <c r="E9" s="334" t="s">
        <v>7033</v>
      </c>
      <c r="F9" s="334" t="s">
        <v>7034</v>
      </c>
      <c r="H9" s="323"/>
      <c r="I9" s="337" t="s">
        <v>7035</v>
      </c>
      <c r="J9" s="338" t="s">
        <v>6599</v>
      </c>
      <c r="K9" s="338" t="s">
        <v>6598</v>
      </c>
      <c r="L9" s="317" t="s">
        <v>7036</v>
      </c>
      <c r="M9" s="339" t="s">
        <v>7037</v>
      </c>
      <c r="O9" s="309"/>
      <c r="P9" s="323">
        <v>3</v>
      </c>
      <c r="Q9" s="3" t="s">
        <v>7038</v>
      </c>
      <c r="R9" s="332" t="s">
        <v>7402</v>
      </c>
      <c r="S9" s="321" t="s">
        <v>7102</v>
      </c>
      <c r="T9" s="323">
        <v>3</v>
      </c>
      <c r="U9" s="3" t="s">
        <v>1331</v>
      </c>
      <c r="V9" s="333" t="s">
        <v>7393</v>
      </c>
      <c r="W9" s="321" t="s">
        <v>7062</v>
      </c>
    </row>
    <row r="10" spans="2:23" ht="12.75" customHeight="1">
      <c r="C10" s="317" t="s">
        <v>1378</v>
      </c>
      <c r="D10" s="334" t="s">
        <v>6590</v>
      </c>
      <c r="E10" s="334" t="s">
        <v>7039</v>
      </c>
      <c r="F10" s="334" t="s">
        <v>6589</v>
      </c>
      <c r="H10" s="323"/>
      <c r="I10" s="337" t="s">
        <v>7040</v>
      </c>
      <c r="J10" s="340" t="s">
        <v>6597</v>
      </c>
      <c r="K10" s="340" t="s">
        <v>6596</v>
      </c>
      <c r="L10" s="341" t="s">
        <v>6600</v>
      </c>
      <c r="M10" s="342" t="s">
        <v>6601</v>
      </c>
      <c r="O10" s="309"/>
      <c r="P10" s="323">
        <v>4</v>
      </c>
      <c r="Q10" s="3" t="s">
        <v>7041</v>
      </c>
      <c r="R10" s="332" t="s">
        <v>7400</v>
      </c>
      <c r="S10" s="321" t="s">
        <v>7102</v>
      </c>
      <c r="T10" s="323">
        <v>4</v>
      </c>
      <c r="U10" s="3" t="s">
        <v>1348</v>
      </c>
      <c r="V10" s="333" t="s">
        <v>7432</v>
      </c>
      <c r="W10" s="321" t="s">
        <v>7062</v>
      </c>
    </row>
    <row r="11" spans="2:23" ht="12.75" customHeight="1">
      <c r="C11" s="317" t="s">
        <v>1536</v>
      </c>
      <c r="D11" s="334" t="s">
        <v>7042</v>
      </c>
      <c r="E11" s="334" t="s">
        <v>6591</v>
      </c>
      <c r="F11" s="334" t="s">
        <v>7043</v>
      </c>
      <c r="H11" s="323"/>
      <c r="I11" s="337" t="s">
        <v>7044</v>
      </c>
      <c r="J11" s="340" t="s">
        <v>7045</v>
      </c>
      <c r="K11" s="340" t="s">
        <v>7046</v>
      </c>
      <c r="L11" s="343" t="s">
        <v>6602</v>
      </c>
      <c r="M11" s="344" t="s">
        <v>6603</v>
      </c>
      <c r="O11" s="309"/>
      <c r="P11" s="323">
        <v>5</v>
      </c>
      <c r="Q11" s="3" t="s">
        <v>7047</v>
      </c>
      <c r="R11" s="320" t="s">
        <v>7419</v>
      </c>
      <c r="S11" s="321" t="s">
        <v>7012</v>
      </c>
      <c r="T11" s="323">
        <v>5</v>
      </c>
      <c r="U11" s="3" t="s">
        <v>1219</v>
      </c>
      <c r="V11" s="333" t="s">
        <v>7389</v>
      </c>
      <c r="W11" s="321" t="s">
        <v>7062</v>
      </c>
    </row>
    <row r="12" spans="2:23" ht="12.75" customHeight="1">
      <c r="C12" s="317" t="s">
        <v>1036</v>
      </c>
      <c r="D12" s="334" t="s">
        <v>6593</v>
      </c>
      <c r="E12" s="334" t="s">
        <v>7048</v>
      </c>
      <c r="F12" s="334" t="s">
        <v>6592</v>
      </c>
      <c r="H12" s="323"/>
      <c r="I12" s="337" t="s">
        <v>7049</v>
      </c>
      <c r="J12" s="334" t="s">
        <v>7050</v>
      </c>
      <c r="K12" s="334" t="s">
        <v>7051</v>
      </c>
      <c r="L12" s="343" t="s">
        <v>6604</v>
      </c>
      <c r="M12" s="344" t="s">
        <v>6605</v>
      </c>
      <c r="O12" s="309"/>
      <c r="P12" s="323">
        <v>6</v>
      </c>
      <c r="Q12" s="3" t="s">
        <v>7052</v>
      </c>
      <c r="R12" s="320" t="s">
        <v>7417</v>
      </c>
      <c r="S12" s="321" t="s">
        <v>7012</v>
      </c>
      <c r="T12" s="323">
        <v>6</v>
      </c>
      <c r="U12" s="3" t="s">
        <v>1425</v>
      </c>
      <c r="V12" s="333" t="s">
        <v>7405</v>
      </c>
      <c r="W12" s="321" t="s">
        <v>7062</v>
      </c>
    </row>
    <row r="13" spans="2:23" ht="12.75" customHeight="1">
      <c r="C13" s="317" t="s">
        <v>7053</v>
      </c>
      <c r="D13" s="334" t="s">
        <v>7054</v>
      </c>
      <c r="E13" s="340" t="s">
        <v>6594</v>
      </c>
      <c r="F13" s="340" t="s">
        <v>7055</v>
      </c>
      <c r="H13" s="323"/>
      <c r="I13" s="337" t="s">
        <v>7056</v>
      </c>
      <c r="J13" s="345" t="s">
        <v>7037</v>
      </c>
      <c r="K13" s="317" t="s">
        <v>7057</v>
      </c>
      <c r="L13" s="343" t="s">
        <v>6606</v>
      </c>
      <c r="M13" s="344" t="s">
        <v>6607</v>
      </c>
      <c r="O13" s="309"/>
      <c r="P13" s="323">
        <v>7</v>
      </c>
      <c r="Q13" s="3" t="s">
        <v>7058</v>
      </c>
      <c r="R13" s="320" t="s">
        <v>7414</v>
      </c>
      <c r="S13" s="321" t="s">
        <v>7012</v>
      </c>
      <c r="T13" s="323">
        <v>7</v>
      </c>
      <c r="U13" s="3" t="s">
        <v>713</v>
      </c>
      <c r="V13" s="333" t="s">
        <v>7433</v>
      </c>
      <c r="W13" s="321" t="s">
        <v>7062</v>
      </c>
    </row>
    <row r="14" spans="2:23" ht="12.75" customHeight="1">
      <c r="C14" s="317" t="s">
        <v>1032</v>
      </c>
      <c r="D14" s="340" t="s">
        <v>6596</v>
      </c>
      <c r="E14" s="340" t="s">
        <v>7059</v>
      </c>
      <c r="F14" s="340" t="s">
        <v>6595</v>
      </c>
      <c r="H14" s="323"/>
      <c r="I14" s="337" t="s">
        <v>7060</v>
      </c>
      <c r="J14" s="334" t="s">
        <v>6591</v>
      </c>
      <c r="K14" s="334" t="s">
        <v>6590</v>
      </c>
      <c r="L14" s="343" t="s">
        <v>6608</v>
      </c>
      <c r="M14" s="344" t="s">
        <v>6609</v>
      </c>
      <c r="O14" s="309"/>
      <c r="P14" s="323">
        <v>8</v>
      </c>
      <c r="Q14" s="3" t="s">
        <v>7061</v>
      </c>
      <c r="R14" s="320" t="s">
        <v>7416</v>
      </c>
      <c r="S14" s="321" t="s">
        <v>7012</v>
      </c>
      <c r="T14" s="323">
        <v>8</v>
      </c>
      <c r="U14" s="3" t="s">
        <v>711</v>
      </c>
      <c r="V14" s="327" t="s">
        <v>7429</v>
      </c>
      <c r="W14" s="321" t="s">
        <v>7018</v>
      </c>
    </row>
    <row r="15" spans="2:23" ht="12.75" customHeight="1">
      <c r="C15" s="317" t="s">
        <v>1024</v>
      </c>
      <c r="D15" s="340" t="s">
        <v>7063</v>
      </c>
      <c r="E15" s="340" t="s">
        <v>6597</v>
      </c>
      <c r="F15" s="340" t="s">
        <v>7064</v>
      </c>
      <c r="H15" s="323"/>
      <c r="I15" s="337" t="s">
        <v>7065</v>
      </c>
      <c r="J15" s="334" t="s">
        <v>6589</v>
      </c>
      <c r="K15" s="334" t="s">
        <v>7033</v>
      </c>
      <c r="L15" s="343" t="s">
        <v>6610</v>
      </c>
      <c r="M15" s="344" t="s">
        <v>6611</v>
      </c>
      <c r="O15" s="309"/>
      <c r="P15" s="323">
        <v>9</v>
      </c>
      <c r="Q15" s="3" t="s">
        <v>7066</v>
      </c>
      <c r="R15" s="320" t="s">
        <v>7422</v>
      </c>
      <c r="S15" s="321" t="s">
        <v>7012</v>
      </c>
      <c r="T15" s="323">
        <v>9</v>
      </c>
      <c r="U15" s="3" t="s">
        <v>2260</v>
      </c>
      <c r="V15" s="333" t="s">
        <v>7431</v>
      </c>
      <c r="W15" s="321" t="s">
        <v>7062</v>
      </c>
    </row>
    <row r="16" spans="2:23" ht="12.75" customHeight="1">
      <c r="C16" s="317" t="s">
        <v>1882</v>
      </c>
      <c r="D16" s="338" t="s">
        <v>6599</v>
      </c>
      <c r="E16" s="338" t="s">
        <v>7067</v>
      </c>
      <c r="F16" s="338" t="s">
        <v>6598</v>
      </c>
      <c r="H16" s="323"/>
      <c r="I16" s="337" t="s">
        <v>7068</v>
      </c>
      <c r="J16" s="334" t="s">
        <v>7069</v>
      </c>
      <c r="K16" s="334" t="s">
        <v>7029</v>
      </c>
      <c r="L16" s="343" t="s">
        <v>6612</v>
      </c>
      <c r="M16" s="344" t="s">
        <v>6613</v>
      </c>
      <c r="O16" s="309"/>
      <c r="P16" s="323">
        <v>10</v>
      </c>
      <c r="Q16" s="3" t="s">
        <v>7070</v>
      </c>
      <c r="R16" s="320" t="s">
        <v>7421</v>
      </c>
      <c r="S16" s="321" t="s">
        <v>7012</v>
      </c>
      <c r="T16" s="323">
        <v>10</v>
      </c>
      <c r="U16" s="3" t="s">
        <v>1427</v>
      </c>
      <c r="V16" s="327" t="s">
        <v>7430</v>
      </c>
      <c r="W16" s="321" t="s">
        <v>7018</v>
      </c>
    </row>
    <row r="17" spans="2:23" ht="12.75" customHeight="1">
      <c r="C17" s="317" t="s">
        <v>2261</v>
      </c>
      <c r="D17" s="338" t="s">
        <v>7071</v>
      </c>
      <c r="E17" s="338" t="s">
        <v>6600</v>
      </c>
      <c r="F17" s="338" t="s">
        <v>7072</v>
      </c>
      <c r="H17" s="323"/>
      <c r="I17" s="337" t="s">
        <v>7073</v>
      </c>
      <c r="J17" s="346" t="s">
        <v>7028</v>
      </c>
      <c r="K17" s="346" t="s">
        <v>7034</v>
      </c>
      <c r="L17" s="347" t="s">
        <v>6614</v>
      </c>
      <c r="M17" s="348" t="s">
        <v>6615</v>
      </c>
      <c r="O17" s="309"/>
      <c r="P17" s="323">
        <v>11</v>
      </c>
      <c r="Q17" s="3" t="s">
        <v>7074</v>
      </c>
      <c r="R17" s="320" t="s">
        <v>7426</v>
      </c>
      <c r="S17" s="321" t="s">
        <v>7012</v>
      </c>
      <c r="T17" s="323">
        <v>11</v>
      </c>
      <c r="U17" s="3" t="s">
        <v>1354</v>
      </c>
      <c r="V17" s="327" t="s">
        <v>7427</v>
      </c>
      <c r="W17" s="321" t="s">
        <v>7018</v>
      </c>
    </row>
    <row r="18" spans="2:23" ht="12.75" customHeight="1">
      <c r="C18" s="317" t="s">
        <v>1357</v>
      </c>
      <c r="D18" s="349" t="s">
        <v>7075</v>
      </c>
      <c r="E18" s="338" t="s">
        <v>7076</v>
      </c>
      <c r="F18" s="338" t="s">
        <v>6601</v>
      </c>
      <c r="H18" s="323"/>
      <c r="I18" s="350" t="s">
        <v>7077</v>
      </c>
      <c r="J18" s="334" t="s">
        <v>7032</v>
      </c>
      <c r="K18" s="334" t="s">
        <v>7039</v>
      </c>
      <c r="L18" s="317" t="s">
        <v>7078</v>
      </c>
      <c r="M18" s="336" t="s">
        <v>7078</v>
      </c>
      <c r="O18" s="309"/>
      <c r="P18" s="323">
        <v>12</v>
      </c>
      <c r="Q18" s="3" t="s">
        <v>7079</v>
      </c>
      <c r="R18" s="320" t="s">
        <v>7408</v>
      </c>
      <c r="S18" s="321" t="s">
        <v>7012</v>
      </c>
      <c r="T18" s="323">
        <v>12</v>
      </c>
      <c r="U18" s="3" t="s">
        <v>1417</v>
      </c>
      <c r="V18" s="327" t="s">
        <v>7428</v>
      </c>
      <c r="W18" s="321" t="s">
        <v>7018</v>
      </c>
    </row>
    <row r="19" spans="2:23" ht="12.75" customHeight="1">
      <c r="C19" s="317" t="s">
        <v>7081</v>
      </c>
      <c r="D19" s="317"/>
      <c r="E19" s="349" t="s">
        <v>7082</v>
      </c>
      <c r="F19" s="349" t="s">
        <v>7083</v>
      </c>
      <c r="H19" s="323"/>
      <c r="I19" s="350" t="s">
        <v>7084</v>
      </c>
      <c r="J19" s="334" t="s">
        <v>7043</v>
      </c>
      <c r="K19" s="334" t="s">
        <v>7042</v>
      </c>
      <c r="L19" s="317" t="s">
        <v>7085</v>
      </c>
      <c r="M19" s="336" t="s">
        <v>7085</v>
      </c>
      <c r="O19" s="309"/>
      <c r="P19" s="323">
        <v>13</v>
      </c>
      <c r="Q19" s="3" t="s">
        <v>7086</v>
      </c>
      <c r="R19" s="332" t="s">
        <v>7398</v>
      </c>
      <c r="S19" s="321" t="s">
        <v>7102</v>
      </c>
      <c r="T19" s="323">
        <v>13</v>
      </c>
      <c r="U19" s="3" t="s">
        <v>111</v>
      </c>
      <c r="V19" s="327" t="s">
        <v>7424</v>
      </c>
      <c r="W19" s="321" t="s">
        <v>7018</v>
      </c>
    </row>
    <row r="20" spans="2:23" ht="12.75" customHeight="1">
      <c r="C20" s="317" t="s">
        <v>7088</v>
      </c>
      <c r="D20" s="317"/>
      <c r="E20" s="317"/>
      <c r="F20" s="349" t="s">
        <v>7089</v>
      </c>
      <c r="H20" s="323"/>
      <c r="I20" s="350" t="s">
        <v>7090</v>
      </c>
      <c r="J20" s="334" t="s">
        <v>7091</v>
      </c>
      <c r="K20" s="340" t="s">
        <v>7092</v>
      </c>
      <c r="L20" s="351" t="s">
        <v>7093</v>
      </c>
      <c r="M20" s="339" t="s">
        <v>7037</v>
      </c>
      <c r="O20" s="309"/>
      <c r="P20" s="323">
        <v>14</v>
      </c>
      <c r="Q20" s="3" t="s">
        <v>7094</v>
      </c>
      <c r="R20" s="332" t="s">
        <v>7396</v>
      </c>
      <c r="S20" s="321" t="s">
        <v>7102</v>
      </c>
      <c r="T20" s="323">
        <v>14</v>
      </c>
      <c r="U20" s="3" t="s">
        <v>139</v>
      </c>
      <c r="V20" s="327" t="s">
        <v>7423</v>
      </c>
      <c r="W20" s="321" t="s">
        <v>7018</v>
      </c>
    </row>
    <row r="21" spans="2:23" ht="12.75" customHeight="1">
      <c r="D21" s="352"/>
      <c r="E21" s="352"/>
      <c r="F21" s="352"/>
      <c r="H21" s="323"/>
      <c r="I21" s="350" t="s">
        <v>7096</v>
      </c>
      <c r="J21" s="334" t="s">
        <v>7097</v>
      </c>
      <c r="K21" s="340" t="s">
        <v>7098</v>
      </c>
      <c r="L21" s="349" t="s">
        <v>7099</v>
      </c>
      <c r="M21" s="353" t="s">
        <v>7100</v>
      </c>
      <c r="O21" s="309"/>
      <c r="P21" s="323">
        <v>15</v>
      </c>
      <c r="Q21" s="3" t="s">
        <v>7101</v>
      </c>
      <c r="R21" s="332" t="s">
        <v>7434</v>
      </c>
      <c r="S21" s="321" t="s">
        <v>7102</v>
      </c>
      <c r="T21" s="323">
        <v>15</v>
      </c>
      <c r="U21" s="5" t="s">
        <v>114</v>
      </c>
      <c r="V21" s="327" t="s">
        <v>7407</v>
      </c>
      <c r="W21" s="321" t="s">
        <v>7018</v>
      </c>
    </row>
    <row r="22" spans="2:23" ht="12.75" customHeight="1">
      <c r="B22" s="308" t="s">
        <v>7104</v>
      </c>
      <c r="C22" s="760" t="s">
        <v>7105</v>
      </c>
      <c r="D22" s="317" t="s">
        <v>7008</v>
      </c>
      <c r="E22" s="318" t="s">
        <v>7009</v>
      </c>
      <c r="F22" s="317" t="s">
        <v>7010</v>
      </c>
      <c r="H22" s="323"/>
      <c r="I22" s="350" t="s">
        <v>7106</v>
      </c>
      <c r="J22" s="340" t="s">
        <v>7107</v>
      </c>
      <c r="K22" s="340" t="s">
        <v>7108</v>
      </c>
      <c r="L22" s="343" t="s">
        <v>7109</v>
      </c>
      <c r="M22" s="344" t="s">
        <v>7110</v>
      </c>
      <c r="O22" s="309"/>
      <c r="P22" s="323">
        <v>16</v>
      </c>
      <c r="Q22" s="3" t="s">
        <v>7111</v>
      </c>
      <c r="R22" s="332" t="s">
        <v>7406</v>
      </c>
      <c r="S22" s="321" t="s">
        <v>7102</v>
      </c>
      <c r="T22" s="323">
        <v>16</v>
      </c>
      <c r="U22" s="5" t="s">
        <v>141</v>
      </c>
      <c r="V22" s="333" t="s">
        <v>7387</v>
      </c>
      <c r="W22" s="321" t="s">
        <v>7062</v>
      </c>
    </row>
    <row r="23" spans="2:23" ht="12.75" customHeight="1">
      <c r="C23" s="760"/>
      <c r="D23" s="317" t="s">
        <v>7112</v>
      </c>
      <c r="E23" s="317" t="s">
        <v>7112</v>
      </c>
      <c r="F23" s="317" t="s">
        <v>7112</v>
      </c>
      <c r="H23" s="323"/>
      <c r="I23" s="337" t="s">
        <v>7113</v>
      </c>
      <c r="J23" s="354" t="s">
        <v>7114</v>
      </c>
      <c r="K23" s="354" t="s">
        <v>7114</v>
      </c>
      <c r="L23" s="354" t="s">
        <v>7020</v>
      </c>
      <c r="M23" s="355" t="s">
        <v>7020</v>
      </c>
      <c r="O23" s="309"/>
      <c r="P23" s="323">
        <v>17</v>
      </c>
      <c r="Q23" s="3" t="s">
        <v>7115</v>
      </c>
      <c r="R23" s="332" t="s">
        <v>7391</v>
      </c>
      <c r="S23" s="321" t="s">
        <v>7102</v>
      </c>
      <c r="T23" s="323"/>
      <c r="U23" s="356"/>
    </row>
    <row r="24" spans="2:23" ht="12.75" customHeight="1" thickBot="1">
      <c r="C24" s="328" t="s">
        <v>7116</v>
      </c>
      <c r="D24" s="328" t="s">
        <v>7020</v>
      </c>
      <c r="E24" s="328" t="s">
        <v>7020</v>
      </c>
      <c r="F24" s="328" t="s">
        <v>7117</v>
      </c>
      <c r="H24" s="323"/>
      <c r="I24" s="357" t="s">
        <v>7118</v>
      </c>
      <c r="J24" s="358" t="s">
        <v>7037</v>
      </c>
      <c r="K24" s="359" t="s">
        <v>7114</v>
      </c>
      <c r="L24" s="360" t="s">
        <v>7119</v>
      </c>
      <c r="M24" s="361" t="s">
        <v>7114</v>
      </c>
      <c r="O24" s="309"/>
      <c r="P24" s="323">
        <v>18</v>
      </c>
      <c r="Q24" s="3" t="s">
        <v>7120</v>
      </c>
      <c r="R24" s="332" t="s">
        <v>7404</v>
      </c>
      <c r="S24" s="321" t="s">
        <v>7102</v>
      </c>
    </row>
    <row r="25" spans="2:23" ht="12.75" customHeight="1">
      <c r="C25" s="317" t="s">
        <v>1508</v>
      </c>
      <c r="D25" s="343" t="s">
        <v>7121</v>
      </c>
      <c r="E25" s="317" t="s">
        <v>7020</v>
      </c>
      <c r="F25" s="317" t="s">
        <v>7020</v>
      </c>
      <c r="H25" s="323"/>
      <c r="O25" s="309"/>
      <c r="P25" s="323">
        <v>19</v>
      </c>
      <c r="Q25" s="3" t="s">
        <v>7122</v>
      </c>
      <c r="R25" s="332" t="s">
        <v>7401</v>
      </c>
      <c r="S25" s="321" t="s">
        <v>7102</v>
      </c>
    </row>
    <row r="26" spans="2:23" ht="12.75" customHeight="1">
      <c r="C26" s="317" t="s">
        <v>7031</v>
      </c>
      <c r="D26" s="343" t="s">
        <v>6603</v>
      </c>
      <c r="E26" s="343" t="s">
        <v>7123</v>
      </c>
      <c r="F26" s="343" t="s">
        <v>6602</v>
      </c>
      <c r="H26" s="323"/>
      <c r="J26" s="307" t="s">
        <v>7124</v>
      </c>
      <c r="O26" s="309"/>
      <c r="P26" s="323">
        <v>20</v>
      </c>
      <c r="Q26" s="3" t="s">
        <v>7125</v>
      </c>
      <c r="R26" s="332" t="s">
        <v>7403</v>
      </c>
      <c r="S26" s="321" t="s">
        <v>7102</v>
      </c>
    </row>
    <row r="27" spans="2:23" ht="12.75" customHeight="1" thickBot="1">
      <c r="C27" s="317" t="s">
        <v>1378</v>
      </c>
      <c r="D27" s="343" t="s">
        <v>7126</v>
      </c>
      <c r="E27" s="343" t="s">
        <v>6604</v>
      </c>
      <c r="F27" s="343" t="s">
        <v>7127</v>
      </c>
      <c r="J27" s="308" t="s">
        <v>7128</v>
      </c>
      <c r="O27" s="309"/>
      <c r="P27" s="323">
        <v>21</v>
      </c>
      <c r="Q27" s="3" t="s">
        <v>7129</v>
      </c>
      <c r="R27" s="332" t="s">
        <v>7394</v>
      </c>
      <c r="S27" s="321" t="s">
        <v>7102</v>
      </c>
    </row>
    <row r="28" spans="2:23" ht="12.75" customHeight="1">
      <c r="C28" s="317" t="s">
        <v>1536</v>
      </c>
      <c r="D28" s="343" t="s">
        <v>6606</v>
      </c>
      <c r="E28" s="343" t="s">
        <v>7130</v>
      </c>
      <c r="F28" s="343" t="s">
        <v>6605</v>
      </c>
      <c r="I28" s="329" t="s">
        <v>7131</v>
      </c>
      <c r="J28" s="330" t="s">
        <v>7132</v>
      </c>
      <c r="K28" s="330" t="s">
        <v>7133</v>
      </c>
      <c r="L28" s="330" t="s">
        <v>7134</v>
      </c>
      <c r="M28" s="331" t="s">
        <v>7135</v>
      </c>
      <c r="O28" s="309"/>
      <c r="P28" s="323">
        <v>22</v>
      </c>
      <c r="Q28" s="3" t="s">
        <v>7136</v>
      </c>
      <c r="R28" s="332" t="s">
        <v>7395</v>
      </c>
      <c r="S28" s="321" t="s">
        <v>7102</v>
      </c>
    </row>
    <row r="29" spans="2:23" ht="12.75" customHeight="1">
      <c r="C29" s="317" t="s">
        <v>1036</v>
      </c>
      <c r="D29" s="343" t="s">
        <v>7137</v>
      </c>
      <c r="E29" s="343" t="s">
        <v>6607</v>
      </c>
      <c r="F29" s="343" t="s">
        <v>7138</v>
      </c>
      <c r="I29" s="335"/>
      <c r="J29" s="317" t="s">
        <v>7139</v>
      </c>
      <c r="K29" s="317" t="s">
        <v>7139</v>
      </c>
      <c r="L29" s="317" t="s">
        <v>7139</v>
      </c>
      <c r="M29" s="336" t="s">
        <v>7139</v>
      </c>
      <c r="O29" s="309"/>
      <c r="P29" s="323">
        <v>23</v>
      </c>
      <c r="Q29" s="3" t="s">
        <v>7140</v>
      </c>
      <c r="R29" s="332" t="s">
        <v>7388</v>
      </c>
      <c r="S29" s="321" t="s">
        <v>7102</v>
      </c>
    </row>
    <row r="30" spans="2:23" ht="12.75" customHeight="1">
      <c r="C30" s="317" t="s">
        <v>7053</v>
      </c>
      <c r="D30" s="343" t="s">
        <v>6609</v>
      </c>
      <c r="E30" s="343" t="s">
        <v>7141</v>
      </c>
      <c r="F30" s="343" t="s">
        <v>6608</v>
      </c>
      <c r="I30" s="337" t="s">
        <v>7142</v>
      </c>
      <c r="J30" s="343" t="s">
        <v>7143</v>
      </c>
      <c r="K30" s="343" t="s">
        <v>7144</v>
      </c>
      <c r="L30" s="317" t="s">
        <v>7145</v>
      </c>
      <c r="M30" s="339" t="s">
        <v>7037</v>
      </c>
      <c r="O30" s="309"/>
      <c r="P30" s="323">
        <v>24</v>
      </c>
      <c r="Q30" s="3" t="s">
        <v>7146</v>
      </c>
      <c r="R30" s="332" t="s">
        <v>7390</v>
      </c>
      <c r="S30" s="321" t="s">
        <v>7102</v>
      </c>
    </row>
    <row r="31" spans="2:23" ht="12.75" customHeight="1">
      <c r="C31" s="317" t="s">
        <v>1032</v>
      </c>
      <c r="D31" s="343" t="s">
        <v>7147</v>
      </c>
      <c r="E31" s="343" t="s">
        <v>6610</v>
      </c>
      <c r="F31" s="343" t="s">
        <v>7148</v>
      </c>
      <c r="I31" s="337" t="s">
        <v>7040</v>
      </c>
      <c r="J31" s="362" t="s">
        <v>7149</v>
      </c>
      <c r="K31" s="362" t="s">
        <v>7150</v>
      </c>
      <c r="L31" s="343" t="s">
        <v>7151</v>
      </c>
      <c r="M31" s="344" t="s">
        <v>7152</v>
      </c>
      <c r="O31" s="309"/>
      <c r="P31" s="323">
        <v>25</v>
      </c>
      <c r="Q31" s="3" t="s">
        <v>7153</v>
      </c>
      <c r="R31" s="320" t="s">
        <v>7411</v>
      </c>
      <c r="S31" s="321" t="s">
        <v>7012</v>
      </c>
    </row>
    <row r="32" spans="2:23" ht="12.75" customHeight="1">
      <c r="C32" s="317" t="s">
        <v>1024</v>
      </c>
      <c r="D32" s="343" t="s">
        <v>6612</v>
      </c>
      <c r="E32" s="343" t="s">
        <v>7154</v>
      </c>
      <c r="F32" s="343" t="s">
        <v>6611</v>
      </c>
      <c r="I32" s="337" t="s">
        <v>7044</v>
      </c>
      <c r="J32" s="362" t="s">
        <v>7155</v>
      </c>
      <c r="K32" s="362" t="s">
        <v>7156</v>
      </c>
      <c r="L32" s="343" t="s">
        <v>7157</v>
      </c>
      <c r="M32" s="344" t="s">
        <v>7158</v>
      </c>
      <c r="O32" s="309"/>
      <c r="P32" s="323">
        <v>26</v>
      </c>
      <c r="Q32" s="3" t="s">
        <v>7159</v>
      </c>
      <c r="R32" s="320" t="s">
        <v>7409</v>
      </c>
      <c r="S32" s="321" t="s">
        <v>7012</v>
      </c>
    </row>
    <row r="33" spans="2:23" ht="12.75" customHeight="1">
      <c r="C33" s="317" t="s">
        <v>1882</v>
      </c>
      <c r="D33" s="343" t="s">
        <v>7161</v>
      </c>
      <c r="E33" s="343" t="s">
        <v>6613</v>
      </c>
      <c r="F33" s="343" t="s">
        <v>7162</v>
      </c>
      <c r="I33" s="337" t="s">
        <v>7049</v>
      </c>
      <c r="J33" s="362" t="s">
        <v>7163</v>
      </c>
      <c r="K33" s="362" t="s">
        <v>7164</v>
      </c>
      <c r="L33" s="343" t="s">
        <v>7165</v>
      </c>
      <c r="M33" s="344" t="s">
        <v>7166</v>
      </c>
      <c r="O33" s="309"/>
      <c r="P33" s="323">
        <v>27</v>
      </c>
      <c r="Q33" s="3" t="s">
        <v>7167</v>
      </c>
      <c r="R33" s="320" t="s">
        <v>7415</v>
      </c>
      <c r="S33" s="321" t="s">
        <v>7012</v>
      </c>
    </row>
    <row r="34" spans="2:23" ht="12.75" customHeight="1">
      <c r="C34" s="317" t="s">
        <v>2261</v>
      </c>
      <c r="D34" s="343" t="s">
        <v>6615</v>
      </c>
      <c r="E34" s="343" t="s">
        <v>7169</v>
      </c>
      <c r="F34" s="343" t="s">
        <v>6614</v>
      </c>
      <c r="I34" s="337" t="s">
        <v>7056</v>
      </c>
      <c r="J34" s="345" t="s">
        <v>7037</v>
      </c>
      <c r="K34" s="317" t="s">
        <v>7170</v>
      </c>
      <c r="L34" s="343" t="s">
        <v>7171</v>
      </c>
      <c r="M34" s="344" t="s">
        <v>7172</v>
      </c>
      <c r="O34" s="309"/>
      <c r="P34" s="323">
        <v>28</v>
      </c>
      <c r="Q34" s="3" t="s">
        <v>7173</v>
      </c>
      <c r="R34" s="320" t="s">
        <v>7413</v>
      </c>
      <c r="S34" s="321" t="s">
        <v>7012</v>
      </c>
    </row>
    <row r="35" spans="2:23" ht="12.75" customHeight="1">
      <c r="C35" s="317" t="s">
        <v>1357</v>
      </c>
      <c r="D35" s="343" t="s">
        <v>7175</v>
      </c>
      <c r="E35" s="343" t="s">
        <v>6616</v>
      </c>
      <c r="F35" s="343" t="s">
        <v>7176</v>
      </c>
      <c r="I35" s="337" t="s">
        <v>7060</v>
      </c>
      <c r="J35" s="362" t="s">
        <v>7177</v>
      </c>
      <c r="K35" s="362" t="s">
        <v>7178</v>
      </c>
      <c r="L35" s="343" t="s">
        <v>7179</v>
      </c>
      <c r="M35" s="344" t="s">
        <v>7180</v>
      </c>
      <c r="O35" s="309"/>
      <c r="P35" s="323">
        <v>29</v>
      </c>
      <c r="Q35" s="3" t="s">
        <v>7181</v>
      </c>
      <c r="R35" s="332" t="s">
        <v>7399</v>
      </c>
      <c r="S35" s="321" t="s">
        <v>7102</v>
      </c>
    </row>
    <row r="36" spans="2:23" ht="12.75" customHeight="1">
      <c r="C36" s="317" t="s">
        <v>7183</v>
      </c>
      <c r="D36" s="317" t="s">
        <v>7184</v>
      </c>
      <c r="E36" s="349" t="s">
        <v>7100</v>
      </c>
      <c r="F36" s="343" t="s">
        <v>6617</v>
      </c>
      <c r="I36" s="337" t="s">
        <v>7065</v>
      </c>
      <c r="J36" s="362" t="s">
        <v>7185</v>
      </c>
      <c r="K36" s="362" t="s">
        <v>7186</v>
      </c>
      <c r="L36" s="343" t="s">
        <v>7187</v>
      </c>
      <c r="M36" s="344" t="s">
        <v>7188</v>
      </c>
      <c r="O36" s="309"/>
      <c r="P36" s="323">
        <v>30</v>
      </c>
      <c r="Q36" s="3" t="s">
        <v>7189</v>
      </c>
      <c r="R36" s="332" t="s">
        <v>7397</v>
      </c>
      <c r="S36" s="321" t="s">
        <v>7102</v>
      </c>
    </row>
    <row r="37" spans="2:23" ht="12.75" customHeight="1">
      <c r="C37" s="317" t="s">
        <v>7191</v>
      </c>
      <c r="D37" s="317" t="s">
        <v>7192</v>
      </c>
      <c r="E37" s="317" t="s">
        <v>7192</v>
      </c>
      <c r="F37" s="349" t="s">
        <v>7193</v>
      </c>
      <c r="I37" s="337" t="s">
        <v>7068</v>
      </c>
      <c r="J37" s="362" t="s">
        <v>7194</v>
      </c>
      <c r="K37" s="362" t="s">
        <v>7195</v>
      </c>
      <c r="L37" s="343" t="s">
        <v>7196</v>
      </c>
      <c r="M37" s="344" t="s">
        <v>7197</v>
      </c>
      <c r="O37" s="309"/>
      <c r="P37" s="323">
        <v>31</v>
      </c>
      <c r="Q37" s="3" t="s">
        <v>7198</v>
      </c>
      <c r="R37" s="320" t="s">
        <v>7410</v>
      </c>
      <c r="S37" s="321" t="s">
        <v>7012</v>
      </c>
    </row>
    <row r="38" spans="2:23" ht="12.75" customHeight="1">
      <c r="H38" s="308"/>
      <c r="I38" s="337" t="s">
        <v>7073</v>
      </c>
      <c r="J38" s="362" t="s">
        <v>7199</v>
      </c>
      <c r="K38" s="362" t="s">
        <v>7200</v>
      </c>
      <c r="L38" s="363" t="s">
        <v>7201</v>
      </c>
      <c r="M38" s="364" t="s">
        <v>7202</v>
      </c>
      <c r="O38" s="309"/>
      <c r="P38" s="323">
        <v>32</v>
      </c>
      <c r="Q38" s="3" t="s">
        <v>7203</v>
      </c>
      <c r="R38" s="320" t="s">
        <v>7412</v>
      </c>
      <c r="S38" s="321" t="s">
        <v>7012</v>
      </c>
    </row>
    <row r="39" spans="2:23" ht="12.75" customHeight="1">
      <c r="B39" s="308" t="s">
        <v>7204</v>
      </c>
      <c r="C39" s="760" t="s">
        <v>7007</v>
      </c>
      <c r="D39" s="317" t="s">
        <v>7008</v>
      </c>
      <c r="E39" s="318" t="s">
        <v>7009</v>
      </c>
      <c r="F39" s="317" t="s">
        <v>7010</v>
      </c>
      <c r="H39" s="761"/>
      <c r="I39" s="337" t="s">
        <v>7077</v>
      </c>
      <c r="J39" s="365" t="s">
        <v>7205</v>
      </c>
      <c r="K39" s="365" t="s">
        <v>7206</v>
      </c>
      <c r="L39" s="317" t="s">
        <v>7207</v>
      </c>
      <c r="M39" s="336" t="s">
        <v>7207</v>
      </c>
      <c r="O39" s="309"/>
      <c r="Q39" s="319" t="s">
        <v>7356</v>
      </c>
    </row>
    <row r="40" spans="2:23" ht="12.75" customHeight="1">
      <c r="C40" s="760"/>
      <c r="D40" s="317" t="s">
        <v>7013</v>
      </c>
      <c r="E40" s="317" t="s">
        <v>7013</v>
      </c>
      <c r="F40" s="317" t="s">
        <v>7013</v>
      </c>
      <c r="H40" s="762"/>
      <c r="I40" s="350" t="s">
        <v>7084</v>
      </c>
      <c r="J40" s="366" t="s">
        <v>7208</v>
      </c>
      <c r="K40" s="366" t="s">
        <v>7209</v>
      </c>
      <c r="L40" s="317" t="s">
        <v>7207</v>
      </c>
      <c r="M40" s="336" t="s">
        <v>7207</v>
      </c>
      <c r="O40" s="309"/>
      <c r="P40" s="323"/>
      <c r="Q40" s="324" t="s">
        <v>7015</v>
      </c>
      <c r="R40" s="325" t="s">
        <v>7016</v>
      </c>
      <c r="S40" s="321"/>
      <c r="T40" s="323"/>
      <c r="U40" s="324" t="s">
        <v>7017</v>
      </c>
      <c r="V40" s="326" t="s">
        <v>7016</v>
      </c>
    </row>
    <row r="41" spans="2:23" ht="12.75" customHeight="1">
      <c r="C41" s="328" t="s">
        <v>7019</v>
      </c>
      <c r="D41" s="328" t="s">
        <v>7020</v>
      </c>
      <c r="E41" s="328" t="s">
        <v>7020</v>
      </c>
      <c r="F41" s="328" t="s">
        <v>7021</v>
      </c>
      <c r="H41" s="323"/>
      <c r="I41" s="350" t="s">
        <v>7090</v>
      </c>
      <c r="J41" s="366" t="s">
        <v>7210</v>
      </c>
      <c r="K41" s="366" t="s">
        <v>7211</v>
      </c>
      <c r="L41" s="351" t="s">
        <v>7114</v>
      </c>
      <c r="M41" s="339" t="s">
        <v>7037</v>
      </c>
      <c r="O41" s="309"/>
      <c r="P41" s="323">
        <v>1</v>
      </c>
      <c r="Q41" s="3" t="s">
        <v>7026</v>
      </c>
      <c r="R41" s="320" t="s">
        <v>7368</v>
      </c>
      <c r="S41" s="321" t="s">
        <v>7012</v>
      </c>
      <c r="T41" s="323">
        <v>1</v>
      </c>
      <c r="U41" s="3" t="s">
        <v>7212</v>
      </c>
      <c r="V41" s="327" t="s">
        <v>7441</v>
      </c>
      <c r="W41" s="321" t="s">
        <v>7018</v>
      </c>
    </row>
    <row r="42" spans="2:23" ht="12.75" customHeight="1">
      <c r="C42" s="317" t="s">
        <v>1508</v>
      </c>
      <c r="D42" s="320" t="s">
        <v>7213</v>
      </c>
      <c r="E42" s="320" t="s">
        <v>7214</v>
      </c>
      <c r="F42" s="320" t="s">
        <v>7215</v>
      </c>
      <c r="H42" s="323"/>
      <c r="I42" s="337" t="s">
        <v>7096</v>
      </c>
      <c r="J42" s="367" t="s">
        <v>7216</v>
      </c>
      <c r="K42" s="367" t="s">
        <v>7217</v>
      </c>
      <c r="L42" s="351" t="s">
        <v>7218</v>
      </c>
      <c r="M42" s="336" t="s">
        <v>7020</v>
      </c>
      <c r="O42" s="309"/>
      <c r="P42" s="323">
        <v>2</v>
      </c>
      <c r="Q42" s="3" t="s">
        <v>7030</v>
      </c>
      <c r="R42" s="320" t="s">
        <v>7366</v>
      </c>
      <c r="S42" s="321" t="s">
        <v>7012</v>
      </c>
      <c r="T42" s="323">
        <v>2</v>
      </c>
      <c r="U42" s="4" t="s">
        <v>1445</v>
      </c>
      <c r="V42" s="333" t="s">
        <v>7087</v>
      </c>
      <c r="W42" s="321" t="s">
        <v>7062</v>
      </c>
    </row>
    <row r="43" spans="2:23" ht="12.75" customHeight="1">
      <c r="C43" s="317" t="s">
        <v>7031</v>
      </c>
      <c r="D43" s="320" t="s">
        <v>7219</v>
      </c>
      <c r="E43" s="320" t="s">
        <v>7220</v>
      </c>
      <c r="F43" s="320" t="s">
        <v>7221</v>
      </c>
      <c r="H43" s="323"/>
      <c r="I43" s="350" t="s">
        <v>7106</v>
      </c>
      <c r="J43" s="327" t="s">
        <v>7222</v>
      </c>
      <c r="K43" s="327" t="s">
        <v>7223</v>
      </c>
      <c r="L43" s="338" t="s">
        <v>7224</v>
      </c>
      <c r="M43" s="342" t="s">
        <v>7225</v>
      </c>
      <c r="O43" s="309"/>
      <c r="P43" s="323">
        <v>3</v>
      </c>
      <c r="Q43" s="3" t="s">
        <v>7038</v>
      </c>
      <c r="R43" s="320" t="s">
        <v>7363</v>
      </c>
      <c r="S43" s="321" t="s">
        <v>7012</v>
      </c>
      <c r="T43" s="323">
        <v>3</v>
      </c>
      <c r="U43" s="3" t="s">
        <v>1331</v>
      </c>
      <c r="V43" s="333" t="s">
        <v>7103</v>
      </c>
      <c r="W43" s="321" t="s">
        <v>7062</v>
      </c>
    </row>
    <row r="44" spans="2:23" ht="12.75" customHeight="1">
      <c r="C44" s="317" t="s">
        <v>1378</v>
      </c>
      <c r="D44" s="320" t="s">
        <v>7226</v>
      </c>
      <c r="E44" s="320" t="s">
        <v>7227</v>
      </c>
      <c r="F44" s="320" t="s">
        <v>7228</v>
      </c>
      <c r="H44" s="323"/>
      <c r="I44" s="337" t="s">
        <v>7113</v>
      </c>
      <c r="J44" s="354" t="s">
        <v>7114</v>
      </c>
      <c r="K44" s="354" t="s">
        <v>7114</v>
      </c>
      <c r="L44" s="354" t="s">
        <v>7020</v>
      </c>
      <c r="M44" s="355" t="s">
        <v>7020</v>
      </c>
      <c r="O44" s="309"/>
      <c r="P44" s="323">
        <v>4</v>
      </c>
      <c r="Q44" s="3" t="s">
        <v>7041</v>
      </c>
      <c r="R44" s="320" t="s">
        <v>7365</v>
      </c>
      <c r="S44" s="321" t="s">
        <v>7012</v>
      </c>
      <c r="T44" s="323">
        <v>4</v>
      </c>
      <c r="U44" s="3" t="s">
        <v>1348</v>
      </c>
      <c r="V44" s="333" t="s">
        <v>7444</v>
      </c>
      <c r="W44" s="321" t="s">
        <v>7062</v>
      </c>
    </row>
    <row r="45" spans="2:23" ht="12.75" customHeight="1" thickBot="1">
      <c r="C45" s="317" t="s">
        <v>1536</v>
      </c>
      <c r="D45" s="320" t="s">
        <v>7229</v>
      </c>
      <c r="E45" s="320" t="s">
        <v>7230</v>
      </c>
      <c r="F45" s="320" t="s">
        <v>7231</v>
      </c>
      <c r="H45" s="323"/>
      <c r="I45" s="357" t="s">
        <v>7118</v>
      </c>
      <c r="J45" s="358" t="s">
        <v>7037</v>
      </c>
      <c r="K45" s="359" t="s">
        <v>7114</v>
      </c>
      <c r="L45" s="360" t="s">
        <v>7232</v>
      </c>
      <c r="M45" s="361" t="s">
        <v>7114</v>
      </c>
      <c r="O45" s="309"/>
      <c r="P45" s="323">
        <v>5</v>
      </c>
      <c r="Q45" s="3" t="s">
        <v>7047</v>
      </c>
      <c r="R45" s="332" t="s">
        <v>7376</v>
      </c>
      <c r="S45" s="321" t="s">
        <v>7102</v>
      </c>
      <c r="T45" s="323">
        <v>5</v>
      </c>
      <c r="U45" s="3" t="s">
        <v>1219</v>
      </c>
      <c r="V45" s="327" t="s">
        <v>7442</v>
      </c>
      <c r="W45" s="321" t="s">
        <v>7018</v>
      </c>
    </row>
    <row r="46" spans="2:23" ht="12.75" customHeight="1">
      <c r="C46" s="317" t="s">
        <v>1036</v>
      </c>
      <c r="D46" s="320" t="s">
        <v>7233</v>
      </c>
      <c r="E46" s="320" t="s">
        <v>7234</v>
      </c>
      <c r="F46" s="320" t="s">
        <v>7235</v>
      </c>
      <c r="H46" s="323"/>
      <c r="O46" s="309"/>
      <c r="P46" s="323">
        <v>6</v>
      </c>
      <c r="Q46" s="3" t="s">
        <v>7052</v>
      </c>
      <c r="R46" s="332" t="s">
        <v>7378</v>
      </c>
      <c r="S46" s="321" t="s">
        <v>7102</v>
      </c>
      <c r="T46" s="323">
        <v>6</v>
      </c>
      <c r="U46" s="3" t="s">
        <v>1425</v>
      </c>
      <c r="V46" s="333" t="s">
        <v>7080</v>
      </c>
      <c r="W46" s="321" t="s">
        <v>7062</v>
      </c>
    </row>
    <row r="47" spans="2:23" ht="12.75" customHeight="1">
      <c r="C47" s="317" t="s">
        <v>7053</v>
      </c>
      <c r="D47" s="320" t="s">
        <v>7236</v>
      </c>
      <c r="E47" s="327" t="s">
        <v>7237</v>
      </c>
      <c r="F47" s="327" t="s">
        <v>7238</v>
      </c>
      <c r="H47" s="323"/>
      <c r="J47" s="307" t="s">
        <v>7239</v>
      </c>
      <c r="O47" s="309"/>
      <c r="P47" s="323">
        <v>7</v>
      </c>
      <c r="Q47" s="3" t="s">
        <v>7058</v>
      </c>
      <c r="R47" s="320" t="s">
        <v>7367</v>
      </c>
      <c r="S47" s="321" t="s">
        <v>7012</v>
      </c>
      <c r="T47" s="323">
        <v>7</v>
      </c>
      <c r="U47" s="3" t="s">
        <v>7240</v>
      </c>
      <c r="V47" s="327" t="s">
        <v>7440</v>
      </c>
      <c r="W47" s="321" t="s">
        <v>7018</v>
      </c>
    </row>
    <row r="48" spans="2:23" ht="12.75" customHeight="1" thickBot="1">
      <c r="C48" s="317" t="s">
        <v>1032</v>
      </c>
      <c r="D48" s="327" t="s">
        <v>7241</v>
      </c>
      <c r="E48" s="327" t="s">
        <v>7242</v>
      </c>
      <c r="F48" s="327" t="s">
        <v>7243</v>
      </c>
      <c r="H48" s="323"/>
      <c r="J48" s="308" t="s">
        <v>7244</v>
      </c>
      <c r="O48" s="309"/>
      <c r="P48" s="323">
        <v>8</v>
      </c>
      <c r="Q48" s="3" t="s">
        <v>7061</v>
      </c>
      <c r="R48" s="320" t="s">
        <v>7369</v>
      </c>
      <c r="S48" s="321" t="s">
        <v>7012</v>
      </c>
      <c r="T48" s="323">
        <v>8</v>
      </c>
      <c r="U48" s="3" t="s">
        <v>711</v>
      </c>
      <c r="V48" s="327" t="s">
        <v>7439</v>
      </c>
      <c r="W48" s="321" t="s">
        <v>7018</v>
      </c>
    </row>
    <row r="49" spans="2:23" ht="12.75" customHeight="1">
      <c r="C49" s="317" t="s">
        <v>1024</v>
      </c>
      <c r="D49" s="327" t="s">
        <v>7245</v>
      </c>
      <c r="E49" s="327" t="s">
        <v>7246</v>
      </c>
      <c r="F49" s="327" t="s">
        <v>7247</v>
      </c>
      <c r="H49" s="323"/>
      <c r="I49" s="329" t="s">
        <v>7007</v>
      </c>
      <c r="J49" s="330" t="s">
        <v>7022</v>
      </c>
      <c r="K49" s="330" t="s">
        <v>7023</v>
      </c>
      <c r="L49" s="330" t="s">
        <v>7024</v>
      </c>
      <c r="M49" s="331" t="s">
        <v>7025</v>
      </c>
      <c r="O49" s="309"/>
      <c r="P49" s="323">
        <v>9</v>
      </c>
      <c r="Q49" s="3" t="s">
        <v>7066</v>
      </c>
      <c r="R49" s="332" t="s">
        <v>7382</v>
      </c>
      <c r="S49" s="321" t="s">
        <v>7102</v>
      </c>
      <c r="T49" s="323">
        <v>9</v>
      </c>
      <c r="U49" s="3" t="s">
        <v>2260</v>
      </c>
      <c r="V49" s="333" t="s">
        <v>7443</v>
      </c>
      <c r="W49" s="321" t="s">
        <v>7062</v>
      </c>
    </row>
    <row r="50" spans="2:23" ht="12.75" customHeight="1">
      <c r="C50" s="317" t="s">
        <v>1882</v>
      </c>
      <c r="D50" s="366" t="s">
        <v>7248</v>
      </c>
      <c r="E50" s="366" t="s">
        <v>7249</v>
      </c>
      <c r="F50" s="366" t="s">
        <v>7250</v>
      </c>
      <c r="H50" s="323"/>
      <c r="I50" s="335"/>
      <c r="J50" s="317" t="s">
        <v>7013</v>
      </c>
      <c r="K50" s="317" t="s">
        <v>7013</v>
      </c>
      <c r="L50" s="317" t="s">
        <v>7013</v>
      </c>
      <c r="M50" s="336" t="s">
        <v>7013</v>
      </c>
      <c r="O50" s="309"/>
      <c r="P50" s="323">
        <v>10</v>
      </c>
      <c r="Q50" s="3" t="s">
        <v>7070</v>
      </c>
      <c r="R50" s="332" t="s">
        <v>7380</v>
      </c>
      <c r="S50" s="321" t="s">
        <v>7102</v>
      </c>
      <c r="T50" s="323">
        <v>10</v>
      </c>
      <c r="U50" s="3" t="s">
        <v>1427</v>
      </c>
      <c r="V50" s="333" t="s">
        <v>7095</v>
      </c>
      <c r="W50" s="321" t="s">
        <v>7062</v>
      </c>
    </row>
    <row r="51" spans="2:23" ht="12.75" customHeight="1">
      <c r="C51" s="317" t="s">
        <v>2261</v>
      </c>
      <c r="D51" s="366" t="s">
        <v>7251</v>
      </c>
      <c r="E51" s="366" t="s">
        <v>7252</v>
      </c>
      <c r="F51" s="366" t="s">
        <v>7253</v>
      </c>
      <c r="H51" s="323"/>
      <c r="I51" s="337" t="s">
        <v>7254</v>
      </c>
      <c r="J51" s="327" t="s">
        <v>7255</v>
      </c>
      <c r="K51" s="327" t="s">
        <v>7256</v>
      </c>
      <c r="L51" s="317" t="s">
        <v>7093</v>
      </c>
      <c r="M51" s="339" t="s">
        <v>7037</v>
      </c>
      <c r="O51" s="309"/>
      <c r="P51" s="323">
        <v>11</v>
      </c>
      <c r="Q51" s="3" t="s">
        <v>7074</v>
      </c>
      <c r="R51" s="332" t="s">
        <v>7168</v>
      </c>
      <c r="S51" s="321" t="s">
        <v>7102</v>
      </c>
      <c r="T51" s="323">
        <v>11</v>
      </c>
      <c r="U51" s="3" t="s">
        <v>1354</v>
      </c>
      <c r="V51" s="333" t="s">
        <v>7385</v>
      </c>
      <c r="W51" s="321" t="s">
        <v>7062</v>
      </c>
    </row>
    <row r="52" spans="2:23" ht="12.75" customHeight="1">
      <c r="C52" s="317" t="s">
        <v>1357</v>
      </c>
      <c r="D52" s="349" t="s">
        <v>7257</v>
      </c>
      <c r="E52" s="366" t="s">
        <v>7258</v>
      </c>
      <c r="F52" s="366" t="s">
        <v>7259</v>
      </c>
      <c r="H52" s="323"/>
      <c r="I52" s="337" t="s">
        <v>7040</v>
      </c>
      <c r="J52" s="366" t="s">
        <v>7260</v>
      </c>
      <c r="K52" s="366" t="s">
        <v>7261</v>
      </c>
      <c r="L52" s="327" t="s">
        <v>7262</v>
      </c>
      <c r="M52" s="368" t="s">
        <v>7263</v>
      </c>
      <c r="O52" s="309"/>
      <c r="P52" s="323">
        <v>12</v>
      </c>
      <c r="Q52" s="3" t="s">
        <v>7079</v>
      </c>
      <c r="R52" s="332" t="s">
        <v>7384</v>
      </c>
      <c r="S52" s="321" t="s">
        <v>7102</v>
      </c>
      <c r="T52" s="323">
        <v>12</v>
      </c>
      <c r="U52" s="3" t="s">
        <v>1417</v>
      </c>
      <c r="V52" s="333" t="s">
        <v>7445</v>
      </c>
      <c r="W52" s="321" t="s">
        <v>7062</v>
      </c>
    </row>
    <row r="53" spans="2:23" ht="12.75" customHeight="1">
      <c r="C53" s="317" t="s">
        <v>7081</v>
      </c>
      <c r="D53" s="317" t="s">
        <v>7264</v>
      </c>
      <c r="E53" s="349" t="s">
        <v>7265</v>
      </c>
      <c r="F53" s="349" t="s">
        <v>7266</v>
      </c>
      <c r="H53" s="323"/>
      <c r="I53" s="337" t="s">
        <v>7044</v>
      </c>
      <c r="J53" s="366" t="s">
        <v>7267</v>
      </c>
      <c r="K53" s="366" t="s">
        <v>7268</v>
      </c>
      <c r="L53" s="327" t="s">
        <v>7269</v>
      </c>
      <c r="M53" s="368" t="s">
        <v>7270</v>
      </c>
      <c r="O53" s="309"/>
      <c r="P53" s="323">
        <v>13</v>
      </c>
      <c r="Q53" s="3" t="s">
        <v>7086</v>
      </c>
      <c r="R53" s="332" t="s">
        <v>7182</v>
      </c>
      <c r="S53" s="321" t="s">
        <v>7102</v>
      </c>
      <c r="T53" s="323">
        <v>13</v>
      </c>
      <c r="U53" s="3" t="s">
        <v>111</v>
      </c>
      <c r="V53" s="327" t="s">
        <v>7435</v>
      </c>
      <c r="W53" s="321" t="s">
        <v>7018</v>
      </c>
    </row>
    <row r="54" spans="2:23" ht="12.75" customHeight="1">
      <c r="C54" s="317" t="s">
        <v>7271</v>
      </c>
      <c r="D54" s="317" t="s">
        <v>7272</v>
      </c>
      <c r="E54" s="317" t="s">
        <v>7273</v>
      </c>
      <c r="F54" s="349" t="s">
        <v>7274</v>
      </c>
      <c r="H54" s="323"/>
      <c r="I54" s="337" t="s">
        <v>7049</v>
      </c>
      <c r="J54" s="362" t="s">
        <v>7275</v>
      </c>
      <c r="K54" s="362" t="s">
        <v>7276</v>
      </c>
      <c r="L54" s="320" t="s">
        <v>7277</v>
      </c>
      <c r="M54" s="368" t="s">
        <v>7278</v>
      </c>
      <c r="O54" s="309"/>
      <c r="P54" s="323">
        <v>14</v>
      </c>
      <c r="Q54" s="3" t="s">
        <v>7094</v>
      </c>
      <c r="R54" s="332" t="s">
        <v>7190</v>
      </c>
      <c r="S54" s="321" t="s">
        <v>7102</v>
      </c>
      <c r="T54" s="323">
        <v>14</v>
      </c>
      <c r="U54" s="3" t="s">
        <v>139</v>
      </c>
      <c r="V54" s="327" t="s">
        <v>7360</v>
      </c>
      <c r="W54" s="321" t="s">
        <v>7018</v>
      </c>
    </row>
    <row r="55" spans="2:23" ht="12.75" customHeight="1">
      <c r="F55" s="369"/>
      <c r="H55" s="323"/>
      <c r="I55" s="337" t="s">
        <v>7056</v>
      </c>
      <c r="J55" s="345" t="s">
        <v>7037</v>
      </c>
      <c r="K55" s="317" t="s">
        <v>7114</v>
      </c>
      <c r="L55" s="320" t="s">
        <v>7279</v>
      </c>
      <c r="M55" s="368" t="s">
        <v>7280</v>
      </c>
      <c r="O55" s="309"/>
      <c r="P55" s="323">
        <v>15</v>
      </c>
      <c r="Q55" s="3" t="s">
        <v>7101</v>
      </c>
      <c r="R55" s="332" t="s">
        <v>7377</v>
      </c>
      <c r="S55" s="321" t="s">
        <v>7102</v>
      </c>
      <c r="T55" s="323">
        <v>15</v>
      </c>
      <c r="U55" s="5" t="s">
        <v>114</v>
      </c>
      <c r="V55" s="327" t="s">
        <v>7436</v>
      </c>
      <c r="W55" s="321" t="s">
        <v>7018</v>
      </c>
    </row>
    <row r="56" spans="2:23" ht="12.75" customHeight="1">
      <c r="B56" s="308" t="s">
        <v>7281</v>
      </c>
      <c r="C56" s="760" t="s">
        <v>7282</v>
      </c>
      <c r="D56" s="317" t="s">
        <v>7008</v>
      </c>
      <c r="E56" s="318" t="s">
        <v>7009</v>
      </c>
      <c r="F56" s="317" t="s">
        <v>7010</v>
      </c>
      <c r="H56" s="323"/>
      <c r="I56" s="337" t="s">
        <v>7060</v>
      </c>
      <c r="J56" s="362" t="s">
        <v>7283</v>
      </c>
      <c r="K56" s="362" t="s">
        <v>7284</v>
      </c>
      <c r="L56" s="320" t="s">
        <v>7285</v>
      </c>
      <c r="M56" s="368" t="s">
        <v>7286</v>
      </c>
      <c r="O56" s="309"/>
      <c r="P56" s="323">
        <v>16</v>
      </c>
      <c r="Q56" s="3" t="s">
        <v>7111</v>
      </c>
      <c r="R56" s="332" t="s">
        <v>7379</v>
      </c>
      <c r="S56" s="321" t="s">
        <v>7102</v>
      </c>
      <c r="T56" s="323">
        <v>16</v>
      </c>
      <c r="U56" s="5" t="s">
        <v>141</v>
      </c>
      <c r="V56" s="327" t="s">
        <v>7437</v>
      </c>
      <c r="W56" s="321" t="s">
        <v>7018</v>
      </c>
    </row>
    <row r="57" spans="2:23" ht="12.75" customHeight="1">
      <c r="C57" s="760"/>
      <c r="D57" s="317" t="s">
        <v>7013</v>
      </c>
      <c r="E57" s="317" t="s">
        <v>7013</v>
      </c>
      <c r="F57" s="317" t="s">
        <v>7013</v>
      </c>
      <c r="H57" s="323"/>
      <c r="I57" s="337" t="s">
        <v>7065</v>
      </c>
      <c r="J57" s="362" t="s">
        <v>7287</v>
      </c>
      <c r="K57" s="362" t="s">
        <v>7288</v>
      </c>
      <c r="L57" s="320" t="s">
        <v>7289</v>
      </c>
      <c r="M57" s="368" t="s">
        <v>7290</v>
      </c>
      <c r="O57" s="309"/>
      <c r="P57" s="323">
        <v>17</v>
      </c>
      <c r="Q57" s="3" t="s">
        <v>7115</v>
      </c>
      <c r="R57" s="332" t="s">
        <v>7383</v>
      </c>
      <c r="S57" s="321" t="s">
        <v>7102</v>
      </c>
      <c r="T57" s="323"/>
      <c r="U57" s="356"/>
    </row>
    <row r="58" spans="2:23" ht="12.75" customHeight="1">
      <c r="C58" s="328" t="s">
        <v>7019</v>
      </c>
      <c r="D58" s="328" t="s">
        <v>7020</v>
      </c>
      <c r="E58" s="328" t="s">
        <v>7020</v>
      </c>
      <c r="F58" s="328" t="s">
        <v>7021</v>
      </c>
      <c r="H58" s="323"/>
      <c r="I58" s="337" t="s">
        <v>7068</v>
      </c>
      <c r="J58" s="362" t="s">
        <v>7291</v>
      </c>
      <c r="K58" s="362" t="s">
        <v>7292</v>
      </c>
      <c r="L58" s="320" t="s">
        <v>7293</v>
      </c>
      <c r="M58" s="368" t="s">
        <v>7294</v>
      </c>
      <c r="O58" s="309"/>
      <c r="P58" s="323">
        <v>18</v>
      </c>
      <c r="Q58" s="3" t="s">
        <v>7120</v>
      </c>
      <c r="R58" s="332" t="s">
        <v>7381</v>
      </c>
      <c r="S58" s="321" t="s">
        <v>7102</v>
      </c>
    </row>
    <row r="59" spans="2:23" ht="12.75" customHeight="1">
      <c r="C59" s="317" t="s">
        <v>1508</v>
      </c>
      <c r="D59" s="362" t="s">
        <v>7295</v>
      </c>
      <c r="E59" s="317" t="s">
        <v>7020</v>
      </c>
      <c r="F59" s="317" t="s">
        <v>7020</v>
      </c>
      <c r="I59" s="337" t="s">
        <v>7073</v>
      </c>
      <c r="J59" s="365" t="s">
        <v>7296</v>
      </c>
      <c r="K59" s="365" t="s">
        <v>7297</v>
      </c>
      <c r="L59" s="370" t="s">
        <v>7298</v>
      </c>
      <c r="M59" s="371" t="s">
        <v>7299</v>
      </c>
      <c r="O59" s="309"/>
      <c r="P59" s="323">
        <v>19</v>
      </c>
      <c r="Q59" s="3" t="s">
        <v>7122</v>
      </c>
      <c r="R59" s="332" t="s">
        <v>7386</v>
      </c>
      <c r="S59" s="321" t="s">
        <v>7102</v>
      </c>
    </row>
    <row r="60" spans="2:23" ht="12.75" customHeight="1">
      <c r="C60" s="317" t="s">
        <v>7031</v>
      </c>
      <c r="D60" s="362" t="s">
        <v>7300</v>
      </c>
      <c r="E60" s="362" t="s">
        <v>7301</v>
      </c>
      <c r="F60" s="362" t="s">
        <v>7302</v>
      </c>
      <c r="H60" s="323"/>
      <c r="I60" s="350" t="s">
        <v>7077</v>
      </c>
      <c r="J60" s="362" t="s">
        <v>7303</v>
      </c>
      <c r="K60" s="362" t="s">
        <v>7304</v>
      </c>
      <c r="L60" s="349" t="s">
        <v>7305</v>
      </c>
      <c r="M60" s="336" t="s">
        <v>7306</v>
      </c>
      <c r="O60" s="309"/>
      <c r="P60" s="323">
        <v>20</v>
      </c>
      <c r="Q60" s="3" t="s">
        <v>7125</v>
      </c>
      <c r="R60" s="332" t="s">
        <v>7446</v>
      </c>
      <c r="S60" s="321" t="s">
        <v>7102</v>
      </c>
    </row>
    <row r="61" spans="2:23" ht="12.75" customHeight="1">
      <c r="C61" s="317" t="s">
        <v>1378</v>
      </c>
      <c r="D61" s="362" t="s">
        <v>7307</v>
      </c>
      <c r="E61" s="362" t="s">
        <v>7308</v>
      </c>
      <c r="F61" s="362" t="s">
        <v>7309</v>
      </c>
      <c r="I61" s="350" t="s">
        <v>7084</v>
      </c>
      <c r="J61" s="317" t="s">
        <v>7310</v>
      </c>
      <c r="K61" s="349" t="s">
        <v>7311</v>
      </c>
      <c r="L61" s="349" t="s">
        <v>7312</v>
      </c>
      <c r="M61" s="336" t="s">
        <v>7306</v>
      </c>
      <c r="O61" s="309"/>
      <c r="P61" s="323">
        <v>21</v>
      </c>
      <c r="Q61" s="3" t="s">
        <v>7129</v>
      </c>
      <c r="R61" s="332" t="s">
        <v>7174</v>
      </c>
      <c r="S61" s="321" t="s">
        <v>7102</v>
      </c>
    </row>
    <row r="62" spans="2:23" ht="12.75" customHeight="1">
      <c r="C62" s="317" t="s">
        <v>1536</v>
      </c>
      <c r="D62" s="362" t="s">
        <v>7313</v>
      </c>
      <c r="E62" s="362" t="s">
        <v>7314</v>
      </c>
      <c r="F62" s="362" t="s">
        <v>7315</v>
      </c>
      <c r="I62" s="350" t="s">
        <v>7090</v>
      </c>
      <c r="J62" s="317" t="s">
        <v>7310</v>
      </c>
      <c r="K62" s="349" t="s">
        <v>7316</v>
      </c>
      <c r="L62" s="351" t="s">
        <v>7114</v>
      </c>
      <c r="M62" s="339" t="s">
        <v>7037</v>
      </c>
      <c r="O62" s="309"/>
      <c r="P62" s="323">
        <v>22</v>
      </c>
      <c r="Q62" s="3" t="s">
        <v>7136</v>
      </c>
      <c r="R62" s="332" t="s">
        <v>7160</v>
      </c>
      <c r="S62" s="321" t="s">
        <v>7102</v>
      </c>
    </row>
    <row r="63" spans="2:23" ht="12.75" customHeight="1">
      <c r="C63" s="317" t="s">
        <v>1036</v>
      </c>
      <c r="D63" s="362" t="s">
        <v>7317</v>
      </c>
      <c r="E63" s="362" t="s">
        <v>7318</v>
      </c>
      <c r="F63" s="362" t="s">
        <v>7319</v>
      </c>
      <c r="H63" s="372"/>
      <c r="I63" s="350" t="s">
        <v>7096</v>
      </c>
      <c r="J63" s="362" t="s">
        <v>7320</v>
      </c>
      <c r="K63" s="362" t="s">
        <v>7321</v>
      </c>
      <c r="L63" s="349" t="s">
        <v>7322</v>
      </c>
      <c r="M63" s="353" t="s">
        <v>7323</v>
      </c>
      <c r="O63" s="309"/>
      <c r="P63" s="323">
        <v>23</v>
      </c>
      <c r="Q63" s="3" t="s">
        <v>7140</v>
      </c>
      <c r="R63" s="320" t="s">
        <v>7361</v>
      </c>
      <c r="S63" s="321" t="s">
        <v>7012</v>
      </c>
    </row>
    <row r="64" spans="2:23" ht="12.75" customHeight="1">
      <c r="C64" s="317" t="s">
        <v>7053</v>
      </c>
      <c r="D64" s="362" t="s">
        <v>7324</v>
      </c>
      <c r="E64" s="362" t="s">
        <v>7325</v>
      </c>
      <c r="F64" s="362" t="s">
        <v>7326</v>
      </c>
      <c r="H64" s="372"/>
      <c r="I64" s="350" t="s">
        <v>7106</v>
      </c>
      <c r="J64" s="362" t="s">
        <v>7327</v>
      </c>
      <c r="K64" s="362" t="s">
        <v>7328</v>
      </c>
      <c r="L64" s="320" t="s">
        <v>7329</v>
      </c>
      <c r="M64" s="368" t="s">
        <v>7330</v>
      </c>
      <c r="O64" s="309"/>
      <c r="P64" s="323">
        <v>24</v>
      </c>
      <c r="Q64" s="3" t="s">
        <v>7146</v>
      </c>
      <c r="R64" s="320" t="s">
        <v>7438</v>
      </c>
      <c r="S64" s="321" t="s">
        <v>7012</v>
      </c>
    </row>
    <row r="65" spans="3:23" ht="12.75" customHeight="1">
      <c r="C65" s="317" t="s">
        <v>1032</v>
      </c>
      <c r="D65" s="362" t="s">
        <v>7331</v>
      </c>
      <c r="E65" s="362" t="s">
        <v>7332</v>
      </c>
      <c r="F65" s="362" t="s">
        <v>7333</v>
      </c>
      <c r="H65" s="372"/>
      <c r="I65" s="337" t="s">
        <v>7113</v>
      </c>
      <c r="J65" s="354" t="s">
        <v>7170</v>
      </c>
      <c r="K65" s="354" t="s">
        <v>7170</v>
      </c>
      <c r="L65" s="354" t="s">
        <v>7020</v>
      </c>
      <c r="M65" s="355" t="s">
        <v>7020</v>
      </c>
      <c r="O65" s="309"/>
      <c r="P65" s="323">
        <v>25</v>
      </c>
      <c r="Q65" s="3" t="s">
        <v>7153</v>
      </c>
      <c r="R65" s="320" t="s">
        <v>7371</v>
      </c>
      <c r="S65" s="321" t="s">
        <v>7012</v>
      </c>
    </row>
    <row r="66" spans="3:23" ht="12.75" customHeight="1" thickBot="1">
      <c r="C66" s="317" t="s">
        <v>1024</v>
      </c>
      <c r="D66" s="362" t="s">
        <v>7334</v>
      </c>
      <c r="E66" s="362" t="s">
        <v>7335</v>
      </c>
      <c r="F66" s="362" t="s">
        <v>7336</v>
      </c>
      <c r="H66" s="372"/>
      <c r="I66" s="357" t="s">
        <v>7118</v>
      </c>
      <c r="J66" s="358" t="s">
        <v>7037</v>
      </c>
      <c r="K66" s="359" t="s">
        <v>7114</v>
      </c>
      <c r="L66" s="360" t="s">
        <v>7337</v>
      </c>
      <c r="M66" s="361" t="s">
        <v>7114</v>
      </c>
      <c r="O66" s="309"/>
      <c r="P66" s="323">
        <v>26</v>
      </c>
      <c r="Q66" s="3" t="s">
        <v>7159</v>
      </c>
      <c r="R66" s="320" t="s">
        <v>7373</v>
      </c>
      <c r="S66" s="321" t="s">
        <v>7012</v>
      </c>
    </row>
    <row r="67" spans="3:23" ht="12.75" customHeight="1">
      <c r="C67" s="317" t="s">
        <v>1882</v>
      </c>
      <c r="D67" s="362" t="s">
        <v>7338</v>
      </c>
      <c r="E67" s="362" t="s">
        <v>7339</v>
      </c>
      <c r="F67" s="362" t="s">
        <v>7340</v>
      </c>
      <c r="H67" s="372"/>
      <c r="O67" s="309"/>
      <c r="P67" s="323">
        <v>27</v>
      </c>
      <c r="Q67" s="3" t="s">
        <v>7167</v>
      </c>
      <c r="R67" s="320" t="s">
        <v>7364</v>
      </c>
      <c r="S67" s="321" t="s">
        <v>7012</v>
      </c>
    </row>
    <row r="68" spans="3:23" ht="12.75" customHeight="1">
      <c r="C68" s="317" t="s">
        <v>2261</v>
      </c>
      <c r="D68" s="362" t="s">
        <v>7341</v>
      </c>
      <c r="E68" s="362" t="s">
        <v>7342</v>
      </c>
      <c r="F68" s="362" t="s">
        <v>7343</v>
      </c>
      <c r="O68" s="309"/>
      <c r="P68" s="323">
        <v>28</v>
      </c>
      <c r="Q68" s="3" t="s">
        <v>7173</v>
      </c>
      <c r="R68" s="320" t="s">
        <v>7362</v>
      </c>
      <c r="S68" s="321" t="s">
        <v>7012</v>
      </c>
    </row>
    <row r="69" spans="3:23" ht="12.75" customHeight="1">
      <c r="C69" s="317" t="s">
        <v>1357</v>
      </c>
      <c r="D69" s="362" t="s">
        <v>7344</v>
      </c>
      <c r="E69" s="362" t="s">
        <v>7345</v>
      </c>
      <c r="F69" s="362" t="s">
        <v>7346</v>
      </c>
      <c r="O69" s="309"/>
      <c r="P69" s="323">
        <v>29</v>
      </c>
      <c r="Q69" s="3" t="s">
        <v>7181</v>
      </c>
      <c r="R69" s="320" t="s">
        <v>7375</v>
      </c>
      <c r="S69" s="321" t="s">
        <v>7012</v>
      </c>
    </row>
    <row r="70" spans="3:23" ht="12.75" customHeight="1">
      <c r="C70" s="317" t="s">
        <v>7347</v>
      </c>
      <c r="D70" s="317" t="s">
        <v>7348</v>
      </c>
      <c r="E70" s="349" t="s">
        <v>7349</v>
      </c>
      <c r="F70" s="362" t="s">
        <v>7350</v>
      </c>
      <c r="O70" s="309"/>
      <c r="P70" s="323">
        <v>30</v>
      </c>
      <c r="Q70" s="3" t="s">
        <v>7189</v>
      </c>
      <c r="R70" s="320" t="s">
        <v>7374</v>
      </c>
      <c r="S70" s="321" t="s">
        <v>7012</v>
      </c>
    </row>
    <row r="71" spans="3:23" ht="12.75" customHeight="1">
      <c r="C71" s="317" t="s">
        <v>7271</v>
      </c>
      <c r="D71" s="317" t="s">
        <v>7351</v>
      </c>
      <c r="E71" s="317" t="s">
        <v>7352</v>
      </c>
      <c r="F71" s="349" t="s">
        <v>7353</v>
      </c>
      <c r="O71" s="309"/>
      <c r="P71" s="323">
        <v>31</v>
      </c>
      <c r="Q71" s="3" t="s">
        <v>7198</v>
      </c>
      <c r="R71" s="320" t="s">
        <v>7372</v>
      </c>
      <c r="S71" s="321" t="s">
        <v>7012</v>
      </c>
    </row>
    <row r="72" spans="3:23" ht="12.75" customHeight="1">
      <c r="O72" s="309"/>
      <c r="P72" s="323">
        <v>32</v>
      </c>
      <c r="Q72" s="3" t="s">
        <v>7203</v>
      </c>
      <c r="R72" s="320" t="s">
        <v>7370</v>
      </c>
      <c r="S72" s="321" t="s">
        <v>7012</v>
      </c>
    </row>
    <row r="73" spans="3:23">
      <c r="Q73" s="319" t="s">
        <v>7355</v>
      </c>
    </row>
    <row r="74" spans="3:23">
      <c r="P74" s="323"/>
      <c r="Q74" s="324" t="s">
        <v>7015</v>
      </c>
      <c r="R74" s="325" t="s">
        <v>7016</v>
      </c>
      <c r="S74" s="321"/>
      <c r="T74" s="323"/>
      <c r="U74" s="324" t="s">
        <v>7017</v>
      </c>
      <c r="V74" s="326" t="s">
        <v>7016</v>
      </c>
    </row>
    <row r="75" spans="3:23">
      <c r="P75" s="323">
        <v>1</v>
      </c>
      <c r="Q75" s="3" t="s">
        <v>7026</v>
      </c>
      <c r="R75" s="332" t="s">
        <v>7490</v>
      </c>
      <c r="S75" s="321" t="s">
        <v>7102</v>
      </c>
      <c r="T75" s="323">
        <v>1</v>
      </c>
      <c r="U75" s="3" t="s">
        <v>1453</v>
      </c>
      <c r="V75" s="333" t="s">
        <v>7489</v>
      </c>
      <c r="W75" s="321" t="s">
        <v>7062</v>
      </c>
    </row>
    <row r="76" spans="3:23">
      <c r="P76" s="323">
        <v>2</v>
      </c>
      <c r="Q76" s="3" t="s">
        <v>7030</v>
      </c>
      <c r="R76" s="332" t="s">
        <v>7469</v>
      </c>
      <c r="S76" s="321" t="s">
        <v>7102</v>
      </c>
      <c r="T76" s="323">
        <v>2</v>
      </c>
      <c r="U76" s="4" t="s">
        <v>1445</v>
      </c>
      <c r="V76" s="327" t="s">
        <v>7479</v>
      </c>
      <c r="W76" s="321" t="s">
        <v>7018</v>
      </c>
    </row>
    <row r="77" spans="3:23">
      <c r="P77" s="323">
        <v>3</v>
      </c>
      <c r="Q77" s="3" t="s">
        <v>7038</v>
      </c>
      <c r="R77" s="332" t="s">
        <v>7449</v>
      </c>
      <c r="S77" s="321" t="s">
        <v>7102</v>
      </c>
      <c r="T77" s="323">
        <v>3</v>
      </c>
      <c r="U77" s="3" t="s">
        <v>1331</v>
      </c>
      <c r="V77" s="333" t="s">
        <v>7494</v>
      </c>
      <c r="W77" s="321" t="s">
        <v>7062</v>
      </c>
    </row>
    <row r="78" spans="3:23">
      <c r="P78" s="323">
        <v>4</v>
      </c>
      <c r="Q78" s="3" t="s">
        <v>7041</v>
      </c>
      <c r="R78" s="332" t="s">
        <v>7447</v>
      </c>
      <c r="S78" s="321" t="s">
        <v>7102</v>
      </c>
      <c r="T78" s="323">
        <v>4</v>
      </c>
      <c r="U78" s="3" t="s">
        <v>1348</v>
      </c>
      <c r="V78" s="333" t="s">
        <v>7491</v>
      </c>
      <c r="W78" s="321" t="s">
        <v>7062</v>
      </c>
    </row>
    <row r="79" spans="3:23">
      <c r="P79" s="323">
        <v>5</v>
      </c>
      <c r="Q79" s="3" t="s">
        <v>7047</v>
      </c>
      <c r="R79" s="332" t="s">
        <v>7474</v>
      </c>
      <c r="S79" s="321" t="s">
        <v>7102</v>
      </c>
      <c r="T79" s="323">
        <v>5</v>
      </c>
      <c r="U79" s="3" t="s">
        <v>1219</v>
      </c>
      <c r="V79" s="327" t="s">
        <v>7483</v>
      </c>
      <c r="W79" s="321" t="s">
        <v>7018</v>
      </c>
    </row>
    <row r="80" spans="3:23">
      <c r="P80" s="323">
        <v>6</v>
      </c>
      <c r="Q80" s="3" t="s">
        <v>7052</v>
      </c>
      <c r="R80" s="332" t="s">
        <v>7476</v>
      </c>
      <c r="S80" s="321" t="s">
        <v>7102</v>
      </c>
      <c r="T80" s="323">
        <v>6</v>
      </c>
      <c r="U80" s="3" t="s">
        <v>1425</v>
      </c>
      <c r="V80" s="327" t="s">
        <v>7485</v>
      </c>
      <c r="W80" s="321" t="s">
        <v>7018</v>
      </c>
    </row>
    <row r="81" spans="16:23">
      <c r="P81" s="323">
        <v>7</v>
      </c>
      <c r="Q81" s="3" t="s">
        <v>7058</v>
      </c>
      <c r="R81" s="332" t="s">
        <v>7470</v>
      </c>
      <c r="S81" s="321" t="s">
        <v>7102</v>
      </c>
      <c r="T81" s="323">
        <v>7</v>
      </c>
      <c r="U81" s="3" t="s">
        <v>713</v>
      </c>
      <c r="V81" s="327" t="s">
        <v>7480</v>
      </c>
      <c r="W81" s="321" t="s">
        <v>7018</v>
      </c>
    </row>
    <row r="82" spans="16:23">
      <c r="P82" s="323">
        <v>8</v>
      </c>
      <c r="Q82" s="3" t="s">
        <v>7061</v>
      </c>
      <c r="R82" s="332" t="s">
        <v>7472</v>
      </c>
      <c r="S82" s="321" t="s">
        <v>7102</v>
      </c>
      <c r="T82" s="323">
        <v>8</v>
      </c>
      <c r="U82" s="3" t="s">
        <v>711</v>
      </c>
      <c r="V82" s="327" t="s">
        <v>7452</v>
      </c>
      <c r="W82" s="321" t="s">
        <v>7018</v>
      </c>
    </row>
    <row r="83" spans="16:23">
      <c r="P83" s="323">
        <v>9</v>
      </c>
      <c r="Q83" s="3" t="s">
        <v>7066</v>
      </c>
      <c r="R83" s="320" t="s">
        <v>7460</v>
      </c>
      <c r="S83" s="321" t="s">
        <v>7012</v>
      </c>
      <c r="T83" s="323">
        <v>9</v>
      </c>
      <c r="U83" s="3" t="s">
        <v>2260</v>
      </c>
      <c r="V83" s="327" t="s">
        <v>7481</v>
      </c>
      <c r="W83" s="321" t="s">
        <v>7018</v>
      </c>
    </row>
    <row r="84" spans="16:23">
      <c r="P84" s="323">
        <v>10</v>
      </c>
      <c r="Q84" s="3" t="s">
        <v>7070</v>
      </c>
      <c r="R84" s="320" t="s">
        <v>7462</v>
      </c>
      <c r="S84" s="321" t="s">
        <v>7012</v>
      </c>
      <c r="T84" s="323">
        <v>10</v>
      </c>
      <c r="U84" s="3" t="s">
        <v>1427</v>
      </c>
      <c r="V84" s="333" t="s">
        <v>7468</v>
      </c>
      <c r="W84" s="321" t="s">
        <v>7062</v>
      </c>
    </row>
    <row r="85" spans="16:23">
      <c r="P85" s="323">
        <v>11</v>
      </c>
      <c r="Q85" s="3" t="s">
        <v>7074</v>
      </c>
      <c r="R85" s="320" t="s">
        <v>7465</v>
      </c>
      <c r="S85" s="321" t="s">
        <v>7012</v>
      </c>
      <c r="T85" s="323">
        <v>11</v>
      </c>
      <c r="U85" s="3" t="s">
        <v>1354</v>
      </c>
      <c r="V85" s="327" t="s">
        <v>7486</v>
      </c>
      <c r="W85" s="321" t="s">
        <v>7018</v>
      </c>
    </row>
    <row r="86" spans="16:23">
      <c r="P86" s="323">
        <v>12</v>
      </c>
      <c r="Q86" s="3" t="s">
        <v>7079</v>
      </c>
      <c r="R86" s="320" t="s">
        <v>7464</v>
      </c>
      <c r="S86" s="321" t="s">
        <v>7012</v>
      </c>
      <c r="T86" s="323">
        <v>12</v>
      </c>
      <c r="U86" s="3" t="s">
        <v>1417</v>
      </c>
      <c r="V86" s="327" t="s">
        <v>7484</v>
      </c>
      <c r="W86" s="321" t="s">
        <v>7018</v>
      </c>
    </row>
    <row r="87" spans="16:23">
      <c r="P87" s="323">
        <v>13</v>
      </c>
      <c r="Q87" s="3" t="s">
        <v>7086</v>
      </c>
      <c r="R87" s="320" t="s">
        <v>7459</v>
      </c>
      <c r="S87" s="321" t="s">
        <v>7012</v>
      </c>
      <c r="T87" s="323">
        <v>13</v>
      </c>
      <c r="U87" s="3" t="s">
        <v>111</v>
      </c>
      <c r="V87" s="333" t="s">
        <v>7492</v>
      </c>
      <c r="W87" s="321" t="s">
        <v>7062</v>
      </c>
    </row>
    <row r="88" spans="16:23">
      <c r="P88" s="323">
        <v>14</v>
      </c>
      <c r="Q88" s="3" t="s">
        <v>7094</v>
      </c>
      <c r="R88" s="320" t="s">
        <v>7458</v>
      </c>
      <c r="S88" s="321" t="s">
        <v>7012</v>
      </c>
      <c r="T88" s="323">
        <v>14</v>
      </c>
      <c r="U88" s="3" t="s">
        <v>139</v>
      </c>
      <c r="V88" s="333" t="s">
        <v>7493</v>
      </c>
      <c r="W88" s="321" t="s">
        <v>7062</v>
      </c>
    </row>
    <row r="89" spans="16:23">
      <c r="P89" s="323">
        <v>15</v>
      </c>
      <c r="Q89" s="3" t="s">
        <v>7101</v>
      </c>
      <c r="R89" s="320" t="s">
        <v>7457</v>
      </c>
      <c r="S89" s="321" t="s">
        <v>7012</v>
      </c>
      <c r="T89" s="323">
        <v>15</v>
      </c>
      <c r="U89" s="5" t="s">
        <v>114</v>
      </c>
      <c r="V89" s="333" t="s">
        <v>7488</v>
      </c>
      <c r="W89" s="321" t="s">
        <v>7062</v>
      </c>
    </row>
    <row r="90" spans="16:23">
      <c r="P90" s="323">
        <v>16</v>
      </c>
      <c r="Q90" s="3" t="s">
        <v>7111</v>
      </c>
      <c r="R90" s="320" t="s">
        <v>7456</v>
      </c>
      <c r="S90" s="321" t="s">
        <v>7012</v>
      </c>
      <c r="T90" s="323">
        <v>16</v>
      </c>
      <c r="U90" s="5" t="s">
        <v>141</v>
      </c>
      <c r="V90" s="333" t="s">
        <v>7487</v>
      </c>
      <c r="W90" s="321" t="s">
        <v>7062</v>
      </c>
    </row>
    <row r="91" spans="16:23">
      <c r="P91" s="323">
        <v>17</v>
      </c>
      <c r="Q91" s="3" t="s">
        <v>7115</v>
      </c>
      <c r="R91" s="320" t="s">
        <v>7453</v>
      </c>
      <c r="S91" s="321" t="s">
        <v>7012</v>
      </c>
      <c r="T91" s="323"/>
      <c r="U91" s="356"/>
    </row>
    <row r="92" spans="16:23">
      <c r="P92" s="323">
        <v>18</v>
      </c>
      <c r="Q92" s="3" t="s">
        <v>7120</v>
      </c>
      <c r="R92" s="320" t="s">
        <v>7482</v>
      </c>
      <c r="S92" s="321" t="s">
        <v>7012</v>
      </c>
    </row>
    <row r="93" spans="16:23">
      <c r="P93" s="323">
        <v>19</v>
      </c>
      <c r="Q93" s="3" t="s">
        <v>7122</v>
      </c>
      <c r="R93" s="320" t="s">
        <v>7454</v>
      </c>
      <c r="S93" s="321" t="s">
        <v>7012</v>
      </c>
    </row>
    <row r="94" spans="16:23">
      <c r="P94" s="323">
        <v>20</v>
      </c>
      <c r="Q94" s="3" t="s">
        <v>7125</v>
      </c>
      <c r="R94" s="320" t="s">
        <v>7455</v>
      </c>
      <c r="S94" s="321" t="s">
        <v>7012</v>
      </c>
    </row>
    <row r="95" spans="16:23">
      <c r="P95" s="323">
        <v>21</v>
      </c>
      <c r="Q95" s="3" t="s">
        <v>7129</v>
      </c>
      <c r="R95" s="320" t="s">
        <v>7461</v>
      </c>
      <c r="S95" s="321" t="s">
        <v>7012</v>
      </c>
    </row>
    <row r="96" spans="16:23">
      <c r="P96" s="323">
        <v>22</v>
      </c>
      <c r="Q96" s="3" t="s">
        <v>7136</v>
      </c>
      <c r="R96" s="320" t="s">
        <v>7463</v>
      </c>
      <c r="S96" s="321" t="s">
        <v>7012</v>
      </c>
    </row>
    <row r="97" spans="16:19">
      <c r="P97" s="323">
        <v>23</v>
      </c>
      <c r="Q97" s="3" t="s">
        <v>7140</v>
      </c>
      <c r="R97" s="320" t="s">
        <v>7466</v>
      </c>
      <c r="S97" s="321" t="s">
        <v>7012</v>
      </c>
    </row>
    <row r="98" spans="16:19">
      <c r="P98" s="323">
        <v>24</v>
      </c>
      <c r="Q98" s="3" t="s">
        <v>7146</v>
      </c>
      <c r="R98" s="320" t="s">
        <v>7467</v>
      </c>
      <c r="S98" s="321" t="s">
        <v>7012</v>
      </c>
    </row>
    <row r="99" spans="16:19">
      <c r="P99" s="323">
        <v>25</v>
      </c>
      <c r="Q99" s="3" t="s">
        <v>7153</v>
      </c>
      <c r="R99" s="332" t="s">
        <v>7473</v>
      </c>
      <c r="S99" s="321" t="s">
        <v>7102</v>
      </c>
    </row>
    <row r="100" spans="16:19">
      <c r="P100" s="323">
        <v>26</v>
      </c>
      <c r="Q100" s="3" t="s">
        <v>7159</v>
      </c>
      <c r="R100" s="332" t="s">
        <v>7471</v>
      </c>
      <c r="S100" s="321" t="s">
        <v>7102</v>
      </c>
    </row>
    <row r="101" spans="16:19">
      <c r="P101" s="323">
        <v>27</v>
      </c>
      <c r="Q101" s="3" t="s">
        <v>7167</v>
      </c>
      <c r="R101" s="332" t="s">
        <v>7477</v>
      </c>
      <c r="S101" s="321" t="s">
        <v>7102</v>
      </c>
    </row>
    <row r="102" spans="16:19">
      <c r="P102" s="323">
        <v>28</v>
      </c>
      <c r="Q102" s="3" t="s">
        <v>7173</v>
      </c>
      <c r="R102" s="332" t="s">
        <v>7475</v>
      </c>
      <c r="S102" s="321" t="s">
        <v>7102</v>
      </c>
    </row>
    <row r="103" spans="16:19">
      <c r="P103" s="323">
        <v>29</v>
      </c>
      <c r="Q103" s="3" t="s">
        <v>7181</v>
      </c>
      <c r="R103" s="332" t="s">
        <v>7478</v>
      </c>
      <c r="S103" s="321" t="s">
        <v>7102</v>
      </c>
    </row>
    <row r="104" spans="16:19">
      <c r="P104" s="323">
        <v>30</v>
      </c>
      <c r="Q104" s="3" t="s">
        <v>7189</v>
      </c>
      <c r="R104" s="332" t="s">
        <v>7448</v>
      </c>
      <c r="S104" s="321" t="s">
        <v>7102</v>
      </c>
    </row>
    <row r="105" spans="16:19">
      <c r="P105" s="323">
        <v>31</v>
      </c>
      <c r="Q105" s="3" t="s">
        <v>7198</v>
      </c>
      <c r="R105" s="332" t="s">
        <v>7450</v>
      </c>
      <c r="S105" s="321" t="s">
        <v>7102</v>
      </c>
    </row>
    <row r="106" spans="16:19">
      <c r="P106" s="323">
        <v>32</v>
      </c>
      <c r="Q106" s="3" t="s">
        <v>7203</v>
      </c>
      <c r="R106" s="332" t="s">
        <v>7451</v>
      </c>
      <c r="S106" s="321" t="s">
        <v>7102</v>
      </c>
    </row>
  </sheetData>
  <mergeCells count="6">
    <mergeCell ref="C56:C57"/>
    <mergeCell ref="C5:C6"/>
    <mergeCell ref="H7:H8"/>
    <mergeCell ref="C22:C23"/>
    <mergeCell ref="C39:C40"/>
    <mergeCell ref="H39:H40"/>
  </mergeCells>
  <phoneticPr fontId="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0DEF-3F57-4855-B10B-C6AB4A5FB914}">
  <sheetPr codeName="Sheet4">
    <pageSetUpPr fitToPage="1"/>
  </sheetPr>
  <dimension ref="B1:V78"/>
  <sheetViews>
    <sheetView zoomScale="55" zoomScaleNormal="55" workbookViewId="0"/>
  </sheetViews>
  <sheetFormatPr defaultColWidth="9" defaultRowHeight="14.25"/>
  <cols>
    <col min="1" max="1" width="4.7109375" style="30" customWidth="1"/>
    <col min="2" max="2" width="8.28515625" style="30" customWidth="1"/>
    <col min="3" max="3" width="27.42578125" style="30" bestFit="1" customWidth="1"/>
    <col min="4" max="4" width="11.5703125" style="30" customWidth="1"/>
    <col min="5" max="6" width="11.42578125" style="30" customWidth="1"/>
    <col min="7" max="9" width="9.5703125" style="30" customWidth="1"/>
    <col min="10" max="10" width="10.28515625" style="30" customWidth="1"/>
    <col min="11" max="11" width="12.140625" style="30" customWidth="1"/>
    <col min="12" max="12" width="11.5703125" style="30" bestFit="1" customWidth="1"/>
    <col min="13" max="13" width="14.140625" style="30" customWidth="1"/>
    <col min="14" max="14" width="3.28515625" style="30" customWidth="1"/>
    <col min="15" max="16" width="13" style="32" customWidth="1"/>
    <col min="17" max="17" width="12.140625" style="30" bestFit="1" customWidth="1"/>
    <col min="18" max="18" width="26.140625" style="30" bestFit="1" customWidth="1"/>
    <col min="19" max="22" width="9" style="30" customWidth="1"/>
    <col min="23" max="16384" width="9" style="30"/>
  </cols>
  <sheetData>
    <row r="1" spans="2:22" ht="25.5">
      <c r="E1" s="391" t="s">
        <v>7496</v>
      </c>
      <c r="F1" s="310"/>
      <c r="G1" s="311"/>
      <c r="H1" s="307"/>
      <c r="I1" s="307"/>
      <c r="R1" s="136">
        <v>41712</v>
      </c>
      <c r="S1" s="33"/>
    </row>
    <row r="2" spans="2:22" ht="25.5">
      <c r="E2" s="31" t="s">
        <v>6771</v>
      </c>
      <c r="M2" s="30" t="str">
        <f>IF(MAX(M7:M70)&gt;M4,"Wrong","OK")</f>
        <v>OK</v>
      </c>
      <c r="R2" s="34"/>
      <c r="S2" s="34"/>
    </row>
    <row r="3" spans="2:22">
      <c r="F3" s="30" t="s">
        <v>7850</v>
      </c>
      <c r="L3" s="30" t="str">
        <f>IF(MAX(K7:L70)&gt;L4,"Wrong","OK")</f>
        <v>OK</v>
      </c>
      <c r="M3" s="30" t="s">
        <v>6772</v>
      </c>
      <c r="U3" s="30" t="str">
        <f>IF(MAX(S7:U70)&gt;U4,"Wrong","OK")</f>
        <v>OK</v>
      </c>
    </row>
    <row r="4" spans="2:22" ht="15" thickBot="1">
      <c r="E4" s="30" t="s">
        <v>6772</v>
      </c>
      <c r="F4" s="35">
        <v>6000</v>
      </c>
      <c r="G4" s="35"/>
      <c r="K4" s="30" t="s">
        <v>6772</v>
      </c>
      <c r="L4" s="35">
        <v>12000</v>
      </c>
      <c r="M4" s="35">
        <v>20</v>
      </c>
      <c r="T4" s="30" t="s">
        <v>6772</v>
      </c>
      <c r="U4" s="35">
        <v>10</v>
      </c>
      <c r="V4" s="35"/>
    </row>
    <row r="5" spans="2:22" ht="14.25" customHeight="1">
      <c r="B5" s="36"/>
      <c r="C5" s="763" t="s">
        <v>6773</v>
      </c>
      <c r="D5" s="68" t="s">
        <v>6774</v>
      </c>
      <c r="E5" s="78"/>
      <c r="F5" s="67"/>
      <c r="G5" s="37" t="s">
        <v>6775</v>
      </c>
      <c r="H5" s="68"/>
      <c r="I5" s="79"/>
      <c r="J5" s="78"/>
      <c r="K5" s="78" t="s">
        <v>6776</v>
      </c>
      <c r="L5" s="79"/>
      <c r="M5" s="765" t="s">
        <v>6777</v>
      </c>
      <c r="O5" s="68" t="s">
        <v>6778</v>
      </c>
      <c r="P5" s="68"/>
      <c r="Q5" s="79"/>
      <c r="R5" s="767" t="s">
        <v>6779</v>
      </c>
      <c r="S5" s="768"/>
      <c r="T5" s="769"/>
      <c r="U5" s="770"/>
      <c r="V5" s="56"/>
    </row>
    <row r="6" spans="2:22" ht="28.5" customHeight="1" thickBot="1">
      <c r="B6" s="38" t="s">
        <v>6821</v>
      </c>
      <c r="C6" s="764"/>
      <c r="D6" s="75" t="s">
        <v>6822</v>
      </c>
      <c r="E6" s="76" t="s">
        <v>6780</v>
      </c>
      <c r="F6" s="77" t="s">
        <v>6781</v>
      </c>
      <c r="G6" s="41" t="s">
        <v>6822</v>
      </c>
      <c r="H6" s="41" t="s">
        <v>6780</v>
      </c>
      <c r="I6" s="40" t="s">
        <v>6781</v>
      </c>
      <c r="J6" s="41" t="s">
        <v>6822</v>
      </c>
      <c r="K6" s="41" t="s">
        <v>6780</v>
      </c>
      <c r="L6" s="39" t="s">
        <v>6781</v>
      </c>
      <c r="M6" s="766"/>
      <c r="O6" s="80" t="s">
        <v>6822</v>
      </c>
      <c r="P6" s="82" t="s">
        <v>6782</v>
      </c>
      <c r="Q6" s="40" t="s">
        <v>6781</v>
      </c>
      <c r="R6" s="42"/>
      <c r="S6" s="43" t="s">
        <v>6823</v>
      </c>
      <c r="T6" s="43" t="s">
        <v>6783</v>
      </c>
      <c r="U6" s="44" t="s">
        <v>6784</v>
      </c>
      <c r="V6" s="440"/>
    </row>
    <row r="7" spans="2:22">
      <c r="B7" s="45" t="s">
        <v>1228</v>
      </c>
      <c r="C7" s="69" t="s">
        <v>1229</v>
      </c>
      <c r="D7" s="46">
        <v>4644.1850393700788</v>
      </c>
      <c r="E7" s="71">
        <v>4645.2834645669291</v>
      </c>
      <c r="F7" s="72">
        <v>4644.6968503937014</v>
      </c>
      <c r="G7" s="771">
        <v>299.90944881889766</v>
      </c>
      <c r="H7" s="771">
        <v>299.90944881889766</v>
      </c>
      <c r="I7" s="772">
        <v>299.90944881889766</v>
      </c>
      <c r="J7" s="771">
        <f>+D7+D8+G7</f>
        <v>9589.3070866141734</v>
      </c>
      <c r="K7" s="771">
        <f>+E7+E8+H7</f>
        <v>9590.0157480314974</v>
      </c>
      <c r="L7" s="771">
        <f>+F7+F8+I7</f>
        <v>9589.2125984251998</v>
      </c>
      <c r="M7" s="773">
        <f>MAX(J7:L8)-MIN(J7:L8)</f>
        <v>0.80314960629766574</v>
      </c>
      <c r="N7" s="47"/>
      <c r="O7" s="81">
        <v>12202.015748031496</v>
      </c>
      <c r="P7" s="83">
        <v>16101.12598425197</v>
      </c>
      <c r="Q7" s="48">
        <v>12596.153543307089</v>
      </c>
      <c r="R7" s="49" t="s">
        <v>6786</v>
      </c>
      <c r="S7" s="50">
        <f t="shared" ref="S7:U8" si="0">ABS(O7-O9)</f>
        <v>1.4173228346462565</v>
      </c>
      <c r="T7" s="50">
        <f t="shared" si="0"/>
        <v>0.92125984252015769</v>
      </c>
      <c r="U7" s="51">
        <f t="shared" si="0"/>
        <v>0.49212598424855969</v>
      </c>
      <c r="V7" s="32"/>
    </row>
    <row r="8" spans="2:22">
      <c r="B8" s="54" t="s">
        <v>1224</v>
      </c>
      <c r="C8" s="70" t="s">
        <v>1225</v>
      </c>
      <c r="D8" s="46">
        <v>4645.212598425197</v>
      </c>
      <c r="E8" s="71">
        <v>4644.822834645669</v>
      </c>
      <c r="F8" s="72">
        <v>4644.606299212599</v>
      </c>
      <c r="G8" s="771"/>
      <c r="H8" s="771"/>
      <c r="I8" s="772"/>
      <c r="J8" s="771"/>
      <c r="K8" s="771"/>
      <c r="L8" s="771"/>
      <c r="M8" s="773"/>
      <c r="N8" s="55"/>
      <c r="O8" s="81">
        <v>12203.043307086613</v>
      </c>
      <c r="P8" s="83">
        <v>16100.665354330709</v>
      </c>
      <c r="Q8" s="48">
        <v>12596.062992125984</v>
      </c>
      <c r="R8" s="49" t="s">
        <v>6787</v>
      </c>
      <c r="S8" s="50">
        <f t="shared" si="0"/>
        <v>0.11417322834313381</v>
      </c>
      <c r="T8" s="50">
        <f t="shared" si="0"/>
        <v>0.34645669291239756</v>
      </c>
      <c r="U8" s="51">
        <f t="shared" si="0"/>
        <v>0.80708661417520489</v>
      </c>
      <c r="V8" s="32"/>
    </row>
    <row r="9" spans="2:22">
      <c r="B9" s="54" t="s">
        <v>1226</v>
      </c>
      <c r="C9" s="70" t="s">
        <v>1227</v>
      </c>
      <c r="D9" s="46">
        <v>4644.6811023622049</v>
      </c>
      <c r="E9" s="71">
        <v>4644.4960629921261</v>
      </c>
      <c r="F9" s="72">
        <v>4644.8582677165359</v>
      </c>
      <c r="G9" s="771">
        <v>299.90944881889766</v>
      </c>
      <c r="H9" s="771">
        <v>299.90944881889766</v>
      </c>
      <c r="I9" s="772">
        <v>299.90944881889766</v>
      </c>
      <c r="J9" s="771">
        <f>+D9+D10+G9</f>
        <v>9588.7677165354344</v>
      </c>
      <c r="K9" s="771">
        <f>+E9+E10+H9</f>
        <v>9589.0157480314974</v>
      </c>
      <c r="L9" s="771">
        <f>+F9+F10+I9</f>
        <v>9589.8503937007899</v>
      </c>
      <c r="M9" s="773">
        <f>MAX(J9:L10)-MIN(J9:L10)</f>
        <v>1.0826771653555625</v>
      </c>
      <c r="N9" s="47"/>
      <c r="O9" s="81">
        <v>12203.433070866142</v>
      </c>
      <c r="P9" s="83">
        <v>16100.20472440945</v>
      </c>
      <c r="Q9" s="48">
        <v>12596.645669291338</v>
      </c>
      <c r="R9" s="49"/>
      <c r="S9" s="52"/>
      <c r="T9" s="52"/>
      <c r="U9" s="53"/>
    </row>
    <row r="10" spans="2:22">
      <c r="B10" s="54" t="s">
        <v>1222</v>
      </c>
      <c r="C10" s="70" t="s">
        <v>1223</v>
      </c>
      <c r="D10" s="46">
        <v>4644.177165354331</v>
      </c>
      <c r="E10" s="71">
        <v>4644.6102362204729</v>
      </c>
      <c r="F10" s="72">
        <v>4645.0826771653547</v>
      </c>
      <c r="G10" s="771"/>
      <c r="H10" s="771"/>
      <c r="I10" s="772"/>
      <c r="J10" s="771"/>
      <c r="K10" s="771"/>
      <c r="L10" s="771"/>
      <c r="M10" s="773"/>
      <c r="N10" s="55"/>
      <c r="O10" s="81">
        <v>12202.92913385827</v>
      </c>
      <c r="P10" s="83">
        <v>16100.318897637797</v>
      </c>
      <c r="Q10" s="48">
        <v>12596.870078740159</v>
      </c>
      <c r="R10" s="49"/>
      <c r="S10" s="52"/>
      <c r="T10" s="52"/>
      <c r="U10" s="53"/>
    </row>
    <row r="11" spans="2:22">
      <c r="B11" s="54" t="s">
        <v>1260</v>
      </c>
      <c r="C11" s="70" t="s">
        <v>1261</v>
      </c>
      <c r="D11" s="46">
        <v>4644.8464566929133</v>
      </c>
      <c r="E11" s="71">
        <v>4644.5039370078739</v>
      </c>
      <c r="F11" s="72">
        <v>4645.251968503937</v>
      </c>
      <c r="G11" s="771">
        <v>299.90944881889766</v>
      </c>
      <c r="H11" s="771">
        <v>299.90944881889766</v>
      </c>
      <c r="I11" s="772">
        <v>299.90944881889766</v>
      </c>
      <c r="J11" s="771">
        <f>+D11+D12+G11</f>
        <v>9589.4960629921279</v>
      </c>
      <c r="K11" s="771">
        <f>+E11+E12+H11</f>
        <v>9589.0393700787408</v>
      </c>
      <c r="L11" s="771">
        <f>+F11+F12+I11</f>
        <v>9590.4409448818897</v>
      </c>
      <c r="M11" s="773">
        <f>MAX(J11:L12)-MIN(J11:L12)</f>
        <v>1.4015748031488329</v>
      </c>
      <c r="N11" s="47"/>
      <c r="O11" s="81">
        <v>14998.374015748033</v>
      </c>
      <c r="P11" s="83">
        <v>15549.259842519685</v>
      </c>
      <c r="Q11" s="48">
        <v>12794.307086614173</v>
      </c>
      <c r="R11" s="49" t="s">
        <v>6788</v>
      </c>
      <c r="S11" s="50">
        <f t="shared" ref="S11:U12" si="1">ABS(O11-O13)</f>
        <v>5.5118110238254303E-2</v>
      </c>
      <c r="T11" s="50">
        <f>ABS(P11-P13)</f>
        <v>0.51574803149560466</v>
      </c>
      <c r="U11" s="51">
        <f t="shared" si="1"/>
        <v>0.74409448818914825</v>
      </c>
      <c r="V11" s="32"/>
    </row>
    <row r="12" spans="2:22">
      <c r="B12" s="54" t="s">
        <v>1256</v>
      </c>
      <c r="C12" s="70" t="s">
        <v>1257</v>
      </c>
      <c r="D12" s="46">
        <v>4644.7401574803152</v>
      </c>
      <c r="E12" s="71">
        <v>4644.6259842519685</v>
      </c>
      <c r="F12" s="72">
        <v>4645.2795275590552</v>
      </c>
      <c r="G12" s="771"/>
      <c r="H12" s="771"/>
      <c r="I12" s="772"/>
      <c r="J12" s="771"/>
      <c r="K12" s="771"/>
      <c r="L12" s="771"/>
      <c r="M12" s="773"/>
      <c r="N12" s="55"/>
      <c r="O12" s="81">
        <v>14998.267716535434</v>
      </c>
      <c r="P12" s="83">
        <v>15549.381889763779</v>
      </c>
      <c r="Q12" s="48">
        <v>12794.334645669291</v>
      </c>
      <c r="R12" s="49" t="s">
        <v>6789</v>
      </c>
      <c r="S12" s="50">
        <f t="shared" si="1"/>
        <v>3.1496062993028318E-2</v>
      </c>
      <c r="T12" s="50">
        <f t="shared" si="1"/>
        <v>0.7165354330700211</v>
      </c>
      <c r="U12" s="51">
        <f t="shared" si="1"/>
        <v>7.8740157481661299E-2</v>
      </c>
      <c r="V12" s="32"/>
    </row>
    <row r="13" spans="2:22">
      <c r="B13" s="54" t="s">
        <v>1258</v>
      </c>
      <c r="C13" s="70" t="s">
        <v>1259</v>
      </c>
      <c r="D13" s="46">
        <v>4644.8070866141734</v>
      </c>
      <c r="E13" s="71">
        <v>4644.5196850393704</v>
      </c>
      <c r="F13" s="72">
        <v>4644.2755905511813</v>
      </c>
      <c r="G13" s="771">
        <v>299.90944881889766</v>
      </c>
      <c r="H13" s="771">
        <v>299.90944881889766</v>
      </c>
      <c r="I13" s="772">
        <v>299.90944881889766</v>
      </c>
      <c r="J13" s="771">
        <f>+D13+D14+G13</f>
        <v>9589.4409448818897</v>
      </c>
      <c r="K13" s="771">
        <f>+E13+E14+H13</f>
        <v>9589.2716535433083</v>
      </c>
      <c r="L13" s="771">
        <f>+F13+F14+I13</f>
        <v>9589.3110236220473</v>
      </c>
      <c r="M13" s="773">
        <f>MAX(J13:L14)-MIN(J13:L14)</f>
        <v>0.16929133858138812</v>
      </c>
      <c r="N13" s="47"/>
      <c r="O13" s="81">
        <v>14998.318897637795</v>
      </c>
      <c r="P13" s="83">
        <v>15549.77559055118</v>
      </c>
      <c r="Q13" s="48">
        <v>12793.562992125984</v>
      </c>
      <c r="R13" s="49"/>
      <c r="S13" s="52"/>
      <c r="T13" s="52"/>
      <c r="U13" s="53"/>
    </row>
    <row r="14" spans="2:22">
      <c r="B14" s="54" t="s">
        <v>1254</v>
      </c>
      <c r="C14" s="70" t="s">
        <v>1255</v>
      </c>
      <c r="D14" s="46">
        <v>4644.7244094488187</v>
      </c>
      <c r="E14" s="71">
        <v>4644.8425196850394</v>
      </c>
      <c r="F14" s="72">
        <v>4645.1259842519685</v>
      </c>
      <c r="G14" s="771"/>
      <c r="H14" s="771"/>
      <c r="I14" s="772"/>
      <c r="J14" s="771"/>
      <c r="K14" s="771"/>
      <c r="L14" s="771"/>
      <c r="M14" s="773"/>
      <c r="N14" s="55"/>
      <c r="O14" s="81">
        <v>14998.236220472441</v>
      </c>
      <c r="P14" s="83">
        <v>15550.098425196849</v>
      </c>
      <c r="Q14" s="48">
        <v>12794.413385826772</v>
      </c>
      <c r="R14" s="49"/>
      <c r="S14" s="52"/>
      <c r="T14" s="52"/>
      <c r="U14" s="53"/>
    </row>
    <row r="15" spans="2:22">
      <c r="B15" s="54" t="s">
        <v>1268</v>
      </c>
      <c r="C15" s="70" t="s">
        <v>1269</v>
      </c>
      <c r="D15" s="46">
        <v>4644.4409448818897</v>
      </c>
      <c r="E15" s="71">
        <v>4644.7440944881891</v>
      </c>
      <c r="F15" s="72">
        <v>4644.7244094488187</v>
      </c>
      <c r="G15" s="771">
        <v>299.90944881889766</v>
      </c>
      <c r="H15" s="771">
        <v>299.90944881889766</v>
      </c>
      <c r="I15" s="772">
        <v>299.90944881889766</v>
      </c>
      <c r="J15" s="771">
        <f>+D15+D16+G15</f>
        <v>9589.2204724409457</v>
      </c>
      <c r="K15" s="771">
        <f>+E15+E16+H15</f>
        <v>9589.2519685039388</v>
      </c>
      <c r="L15" s="771">
        <f>+F15+F16+I15</f>
        <v>9589.3149606299212</v>
      </c>
      <c r="M15" s="773">
        <f>MAX(J15:L16)-MIN(J15:L16)</f>
        <v>9.4488188975446974E-2</v>
      </c>
      <c r="N15" s="47"/>
      <c r="O15" s="81">
        <v>11965.996062992128</v>
      </c>
      <c r="P15" s="83">
        <v>14131.685039370079</v>
      </c>
      <c r="Q15" s="48">
        <v>12636.582677165356</v>
      </c>
      <c r="R15" s="49" t="s">
        <v>6790</v>
      </c>
      <c r="S15" s="50">
        <f t="shared" ref="S15:U16" si="2">ABS(O15-O17)</f>
        <v>1.1259842519666563</v>
      </c>
      <c r="T15" s="50">
        <f t="shared" si="2"/>
        <v>0.90157480314883287</v>
      </c>
      <c r="U15" s="51">
        <f t="shared" si="2"/>
        <v>0.1259842519666563</v>
      </c>
      <c r="V15" s="32"/>
    </row>
    <row r="16" spans="2:22">
      <c r="B16" s="54" t="s">
        <v>1264</v>
      </c>
      <c r="C16" s="70" t="s">
        <v>1265</v>
      </c>
      <c r="D16" s="46">
        <v>4644.8700787401576</v>
      </c>
      <c r="E16" s="71">
        <v>4644.5984251968512</v>
      </c>
      <c r="F16" s="72">
        <v>4644.6811023622049</v>
      </c>
      <c r="G16" s="771"/>
      <c r="H16" s="771"/>
      <c r="I16" s="772"/>
      <c r="J16" s="771"/>
      <c r="K16" s="771"/>
      <c r="L16" s="771"/>
      <c r="M16" s="773"/>
      <c r="N16" s="55"/>
      <c r="O16" s="81">
        <v>11966.425196850394</v>
      </c>
      <c r="P16" s="83">
        <v>14131.539370078741</v>
      </c>
      <c r="Q16" s="48">
        <v>12636.539370078741</v>
      </c>
      <c r="R16" s="49" t="s">
        <v>6791</v>
      </c>
      <c r="S16" s="50">
        <f t="shared" si="2"/>
        <v>0.2047244094483176</v>
      </c>
      <c r="T16" s="50">
        <f t="shared" si="2"/>
        <v>0.81102362204728706</v>
      </c>
      <c r="U16" s="51">
        <f t="shared" si="2"/>
        <v>0.29921259842558356</v>
      </c>
      <c r="V16" s="32"/>
    </row>
    <row r="17" spans="2:22">
      <c r="B17" s="54" t="s">
        <v>1266</v>
      </c>
      <c r="C17" s="70" t="s">
        <v>1267</v>
      </c>
      <c r="D17" s="46">
        <v>4645.5708661417329</v>
      </c>
      <c r="E17" s="71">
        <v>4644.9173228346463</v>
      </c>
      <c r="F17" s="72">
        <v>4644.6141732283468</v>
      </c>
      <c r="G17" s="771">
        <v>299.90944881889766</v>
      </c>
      <c r="H17" s="771">
        <v>299.90944881889766</v>
      </c>
      <c r="I17" s="772">
        <v>299.90944881889766</v>
      </c>
      <c r="J17" s="771">
        <f>+D17+D18+G17</f>
        <v>9590.1496062992137</v>
      </c>
      <c r="K17" s="771">
        <f>+E17+E18+H17</f>
        <v>9589.5078740157496</v>
      </c>
      <c r="L17" s="771">
        <f>+F17+F18+I17</f>
        <v>9589.2677165354344</v>
      </c>
      <c r="M17" s="773">
        <f>MAX(J17:L18)-MIN(J17:L18)</f>
        <v>0.88188976377932704</v>
      </c>
      <c r="N17" s="47"/>
      <c r="O17" s="81">
        <v>11967.122047244095</v>
      </c>
      <c r="P17" s="83">
        <v>14132.586614173228</v>
      </c>
      <c r="Q17" s="48">
        <v>12636.708661417322</v>
      </c>
      <c r="R17" s="49"/>
      <c r="S17" s="52"/>
      <c r="T17" s="52"/>
      <c r="U17" s="53"/>
    </row>
    <row r="18" spans="2:22">
      <c r="B18" s="54" t="s">
        <v>1262</v>
      </c>
      <c r="C18" s="70" t="s">
        <v>1263</v>
      </c>
      <c r="D18" s="46">
        <v>4644.6692913385823</v>
      </c>
      <c r="E18" s="71">
        <v>4644.6811023622049</v>
      </c>
      <c r="F18" s="72">
        <v>4644.7440944881891</v>
      </c>
      <c r="G18" s="771"/>
      <c r="H18" s="771"/>
      <c r="I18" s="772"/>
      <c r="J18" s="771"/>
      <c r="K18" s="771"/>
      <c r="L18" s="771"/>
      <c r="M18" s="773"/>
      <c r="N18" s="55"/>
      <c r="O18" s="81">
        <v>11966.220472440946</v>
      </c>
      <c r="P18" s="83">
        <v>14132.350393700788</v>
      </c>
      <c r="Q18" s="48">
        <v>12636.838582677166</v>
      </c>
      <c r="R18" s="49"/>
      <c r="S18" s="52"/>
      <c r="T18" s="52"/>
      <c r="U18" s="53"/>
    </row>
    <row r="19" spans="2:22">
      <c r="B19" s="54" t="s">
        <v>1276</v>
      </c>
      <c r="C19" s="70" t="s">
        <v>1277</v>
      </c>
      <c r="D19" s="46">
        <v>4644.6850393700788</v>
      </c>
      <c r="E19" s="71">
        <v>4645.0787401574808</v>
      </c>
      <c r="F19" s="72">
        <v>4644.9606299212601</v>
      </c>
      <c r="G19" s="771">
        <v>299.90944881889766</v>
      </c>
      <c r="H19" s="771">
        <v>299.90944881889766</v>
      </c>
      <c r="I19" s="772">
        <v>299.90944881889766</v>
      </c>
      <c r="J19" s="771">
        <f>+D19+D20+G19</f>
        <v>9588.9015748031507</v>
      </c>
      <c r="K19" s="771">
        <f>+E19+E20+H19</f>
        <v>9589.5118110236235</v>
      </c>
      <c r="L19" s="771">
        <f>+F19+F20+I19</f>
        <v>9588.9881889763801</v>
      </c>
      <c r="M19" s="773">
        <f>MAX(J19:L20)-MIN(J19:L20)</f>
        <v>0.61023622047287063</v>
      </c>
      <c r="N19" s="47"/>
      <c r="O19" s="81">
        <v>11061.078740157482</v>
      </c>
      <c r="P19" s="83">
        <v>17675.464566929135</v>
      </c>
      <c r="Q19" s="48">
        <v>13541.295275590552</v>
      </c>
      <c r="R19" s="49" t="s">
        <v>6792</v>
      </c>
      <c r="S19" s="50">
        <f t="shared" ref="S19:U20" si="3">ABS(O19-O21)</f>
        <v>0.29527559054986341</v>
      </c>
      <c r="T19" s="50">
        <f t="shared" si="3"/>
        <v>4.3307086616550805E-2</v>
      </c>
      <c r="U19" s="51">
        <f t="shared" si="3"/>
        <v>0.92519685039405886</v>
      </c>
      <c r="V19" s="32"/>
    </row>
    <row r="20" spans="2:22">
      <c r="B20" s="54" t="s">
        <v>1272</v>
      </c>
      <c r="C20" s="70" t="s">
        <v>1273</v>
      </c>
      <c r="D20" s="46">
        <v>4644.3070866141734</v>
      </c>
      <c r="E20" s="71">
        <v>4644.5236220472443</v>
      </c>
      <c r="F20" s="72">
        <v>4644.1181102362207</v>
      </c>
      <c r="G20" s="771"/>
      <c r="H20" s="771"/>
      <c r="I20" s="772"/>
      <c r="J20" s="771"/>
      <c r="K20" s="771"/>
      <c r="L20" s="771"/>
      <c r="M20" s="773"/>
      <c r="N20" s="55"/>
      <c r="O20" s="81">
        <v>11060.700787401574</v>
      </c>
      <c r="P20" s="83">
        <v>17674.909448818897</v>
      </c>
      <c r="Q20" s="48">
        <v>13540.452755905513</v>
      </c>
      <c r="R20" s="49" t="s">
        <v>6793</v>
      </c>
      <c r="S20" s="50">
        <f t="shared" si="3"/>
        <v>0.88582677165322821</v>
      </c>
      <c r="T20" s="50">
        <f t="shared" si="3"/>
        <v>0.90551181102637202</v>
      </c>
      <c r="U20" s="51">
        <f t="shared" si="3"/>
        <v>1.9881889763782965</v>
      </c>
      <c r="V20" s="32"/>
    </row>
    <row r="21" spans="2:22">
      <c r="B21" s="54" t="s">
        <v>1274</v>
      </c>
      <c r="C21" s="70" t="s">
        <v>1275</v>
      </c>
      <c r="D21" s="46">
        <v>4645.1692913385832</v>
      </c>
      <c r="E21" s="71">
        <v>4644.5236220472443</v>
      </c>
      <c r="F21" s="72">
        <v>4645.1653543307093</v>
      </c>
      <c r="G21" s="771">
        <v>299.90944881889766</v>
      </c>
      <c r="H21" s="771">
        <v>299.90944881889766</v>
      </c>
      <c r="I21" s="772">
        <v>299.90944881889766</v>
      </c>
      <c r="J21" s="771">
        <f>+D21+D22+G21</f>
        <v>9590.460629921261</v>
      </c>
      <c r="K21" s="771">
        <f>+E21+E22+H21</f>
        <v>9589.3503937007899</v>
      </c>
      <c r="L21" s="771">
        <f>+F21+F22+I21</f>
        <v>9590.4606299212628</v>
      </c>
      <c r="M21" s="773">
        <f>MAX(J21:L22)-MIN(J21:L22)</f>
        <v>1.1102362204728706</v>
      </c>
      <c r="N21" s="47"/>
      <c r="O21" s="81">
        <v>11061.374015748032</v>
      </c>
      <c r="P21" s="83">
        <v>17675.421259842518</v>
      </c>
      <c r="Q21" s="48">
        <v>13542.220472440946</v>
      </c>
      <c r="R21" s="49"/>
      <c r="S21" s="52"/>
      <c r="T21" s="52"/>
      <c r="U21" s="53"/>
    </row>
    <row r="22" spans="2:22">
      <c r="B22" s="54" t="s">
        <v>1270</v>
      </c>
      <c r="C22" s="70" t="s">
        <v>1271</v>
      </c>
      <c r="D22" s="46">
        <v>4645.3818897637793</v>
      </c>
      <c r="E22" s="71">
        <v>4644.9173228346463</v>
      </c>
      <c r="F22" s="72">
        <v>4645.3858267716541</v>
      </c>
      <c r="G22" s="771"/>
      <c r="H22" s="771"/>
      <c r="I22" s="772"/>
      <c r="J22" s="771"/>
      <c r="K22" s="771"/>
      <c r="L22" s="771"/>
      <c r="M22" s="773"/>
      <c r="N22" s="55"/>
      <c r="O22" s="81">
        <v>11061.586614173228</v>
      </c>
      <c r="P22" s="83">
        <v>17675.814960629923</v>
      </c>
      <c r="Q22" s="48">
        <v>13542.440944881891</v>
      </c>
      <c r="R22" s="49"/>
      <c r="S22" s="52"/>
      <c r="T22" s="52"/>
      <c r="U22" s="53"/>
    </row>
    <row r="23" spans="2:22">
      <c r="B23" s="54" t="s">
        <v>1284</v>
      </c>
      <c r="C23" s="70" t="s">
        <v>1285</v>
      </c>
      <c r="D23" s="46">
        <v>4645.1062992125981</v>
      </c>
      <c r="E23" s="71">
        <v>4644.8070866141734</v>
      </c>
      <c r="F23" s="72">
        <v>4644.4448818897645</v>
      </c>
      <c r="G23" s="771">
        <v>299.90944881889766</v>
      </c>
      <c r="H23" s="771">
        <v>299.90944881889766</v>
      </c>
      <c r="I23" s="772">
        <v>299.90944881889766</v>
      </c>
      <c r="J23" s="771">
        <f>+D23+D24+G23</f>
        <v>9589.6141732283486</v>
      </c>
      <c r="K23" s="771">
        <f>+E23+E24+H23</f>
        <v>9589.6456692913398</v>
      </c>
      <c r="L23" s="771">
        <f>+F23+F24+I23</f>
        <v>9588.952755905515</v>
      </c>
      <c r="M23" s="773">
        <f>MAX(J23:L24)-MIN(J23:L24)</f>
        <v>0.69291338582479511</v>
      </c>
      <c r="N23" s="47"/>
      <c r="O23" s="81">
        <v>14053.496062992126</v>
      </c>
      <c r="P23" s="83">
        <v>13698.77559055118</v>
      </c>
      <c r="Q23" s="48">
        <v>26454.594488188977</v>
      </c>
      <c r="R23" s="49" t="s">
        <v>6794</v>
      </c>
      <c r="S23" s="50">
        <f t="shared" ref="S23:U24" si="4">ABS(O23-O25)</f>
        <v>0.15748031496150361</v>
      </c>
      <c r="T23" s="50">
        <f t="shared" si="4"/>
        <v>1.5748031495604664E-2</v>
      </c>
      <c r="U23" s="51">
        <f t="shared" si="4"/>
        <v>0.17716535433282843</v>
      </c>
      <c r="V23" s="32"/>
    </row>
    <row r="24" spans="2:22">
      <c r="B24" s="54" t="s">
        <v>1280</v>
      </c>
      <c r="C24" s="70" t="s">
        <v>1281</v>
      </c>
      <c r="D24" s="46">
        <v>4644.5984251968512</v>
      </c>
      <c r="E24" s="71">
        <v>4644.929133858268</v>
      </c>
      <c r="F24" s="72">
        <v>4644.5984251968512</v>
      </c>
      <c r="G24" s="771"/>
      <c r="H24" s="771"/>
      <c r="I24" s="772"/>
      <c r="J24" s="771"/>
      <c r="K24" s="771"/>
      <c r="L24" s="771"/>
      <c r="M24" s="773"/>
      <c r="N24" s="55"/>
      <c r="O24" s="81">
        <v>14052.988188976378</v>
      </c>
      <c r="P24" s="83">
        <v>13698.897637795277</v>
      </c>
      <c r="Q24" s="48">
        <v>26454.748031496063</v>
      </c>
      <c r="R24" s="49" t="s">
        <v>6795</v>
      </c>
      <c r="S24" s="50">
        <f t="shared" si="4"/>
        <v>8.6614173229463631E-2</v>
      </c>
      <c r="T24" s="50">
        <f t="shared" si="4"/>
        <v>9.4488188973627985E-2</v>
      </c>
      <c r="U24" s="51">
        <f t="shared" si="4"/>
        <v>2.3622047239769017E-2</v>
      </c>
      <c r="V24" s="32"/>
    </row>
    <row r="25" spans="2:22">
      <c r="B25" s="54" t="s">
        <v>1282</v>
      </c>
      <c r="C25" s="70" t="s">
        <v>1283</v>
      </c>
      <c r="D25" s="46">
        <v>4644.964566929134</v>
      </c>
      <c r="E25" s="71">
        <v>4644.4527559055123</v>
      </c>
      <c r="F25" s="72">
        <v>4644.5</v>
      </c>
      <c r="G25" s="771">
        <v>299.90944881889766</v>
      </c>
      <c r="H25" s="771">
        <v>299.90944881889766</v>
      </c>
      <c r="I25" s="772">
        <v>299.90944881889766</v>
      </c>
      <c r="J25" s="771">
        <f>+D25+D26+G25</f>
        <v>9589.5748031496059</v>
      </c>
      <c r="K25" s="771">
        <f>+E25+E26+H25</f>
        <v>9589.0472440944886</v>
      </c>
      <c r="L25" s="771">
        <f>+F25+F26+I25</f>
        <v>9589.2165354330718</v>
      </c>
      <c r="M25" s="773">
        <f>MAX(J25:L26)-MIN(J25:L26)</f>
        <v>0.52755905511730816</v>
      </c>
      <c r="N25" s="47"/>
      <c r="O25" s="81">
        <v>14053.338582677165</v>
      </c>
      <c r="P25" s="83">
        <v>13698.759842519685</v>
      </c>
      <c r="Q25" s="48">
        <v>26454.417322834644</v>
      </c>
      <c r="R25" s="49"/>
      <c r="S25" s="52"/>
      <c r="T25" s="52"/>
      <c r="U25" s="53"/>
    </row>
    <row r="26" spans="2:22">
      <c r="B26" s="54" t="s">
        <v>1278</v>
      </c>
      <c r="C26" s="70" t="s">
        <v>1279</v>
      </c>
      <c r="D26" s="46">
        <v>4644.7007874015744</v>
      </c>
      <c r="E26" s="71">
        <v>4644.6850393700788</v>
      </c>
      <c r="F26" s="72">
        <v>4644.8070866141734</v>
      </c>
      <c r="G26" s="771"/>
      <c r="H26" s="771"/>
      <c r="I26" s="772"/>
      <c r="J26" s="771"/>
      <c r="K26" s="771"/>
      <c r="L26" s="771"/>
      <c r="M26" s="773"/>
      <c r="N26" s="55"/>
      <c r="O26" s="81">
        <v>14053.074803149608</v>
      </c>
      <c r="P26" s="83">
        <v>13698.99212598425</v>
      </c>
      <c r="Q26" s="48">
        <v>26454.724409448823</v>
      </c>
      <c r="R26" s="49"/>
      <c r="S26" s="52"/>
      <c r="T26" s="52"/>
      <c r="U26" s="53"/>
    </row>
    <row r="27" spans="2:22">
      <c r="B27" s="54" t="s">
        <v>1292</v>
      </c>
      <c r="C27" s="70" t="s">
        <v>1293</v>
      </c>
      <c r="D27" s="46">
        <v>4644.5944881889764</v>
      </c>
      <c r="E27" s="71">
        <v>4644.6692913385823</v>
      </c>
      <c r="F27" s="72">
        <v>4645.389763779528</v>
      </c>
      <c r="G27" s="771">
        <v>299.90944881889766</v>
      </c>
      <c r="H27" s="771">
        <v>299.90944881889766</v>
      </c>
      <c r="I27" s="772">
        <v>299.90944881889766</v>
      </c>
      <c r="J27" s="771">
        <f>+D27+D28+G27</f>
        <v>9589.3897637795289</v>
      </c>
      <c r="K27" s="771">
        <f>+E27+E28+H27</f>
        <v>9588.9803149606305</v>
      </c>
      <c r="L27" s="771">
        <f>+F27+F28+I27</f>
        <v>9589.9960629921279</v>
      </c>
      <c r="M27" s="773">
        <f>MAX(J27:L28)-MIN(J27:L28)</f>
        <v>1.0157480314974237</v>
      </c>
      <c r="N27" s="47"/>
      <c r="O27" s="81">
        <v>9683.9251968503941</v>
      </c>
      <c r="P27" s="83">
        <v>14014.074803149606</v>
      </c>
      <c r="Q27" s="48">
        <v>25628.759842519688</v>
      </c>
      <c r="R27" s="49" t="s">
        <v>6796</v>
      </c>
      <c r="S27" s="50">
        <f t="shared" ref="S27:U28" si="5">ABS(O27-O29)</f>
        <v>0.44881889763746585</v>
      </c>
      <c r="T27" s="50">
        <f t="shared" si="5"/>
        <v>0.21259842519430094</v>
      </c>
      <c r="U27" s="51">
        <f t="shared" si="5"/>
        <v>1.4685039370124287</v>
      </c>
      <c r="V27" s="32"/>
    </row>
    <row r="28" spans="2:22">
      <c r="B28" s="54" t="s">
        <v>1288</v>
      </c>
      <c r="C28" s="70" t="s">
        <v>1289</v>
      </c>
      <c r="D28" s="46">
        <v>4644.8858267716532</v>
      </c>
      <c r="E28" s="71">
        <v>4644.4015748031497</v>
      </c>
      <c r="F28" s="72">
        <v>4644.6968503937014</v>
      </c>
      <c r="G28" s="771"/>
      <c r="H28" s="771"/>
      <c r="I28" s="772"/>
      <c r="J28" s="771"/>
      <c r="K28" s="771"/>
      <c r="L28" s="771"/>
      <c r="M28" s="773"/>
      <c r="N28" s="55"/>
      <c r="O28" s="81">
        <v>9684.21653543307</v>
      </c>
      <c r="P28" s="83">
        <v>14013.807086614173</v>
      </c>
      <c r="Q28" s="48">
        <v>25628.06692913386</v>
      </c>
      <c r="R28" s="49" t="s">
        <v>6797</v>
      </c>
      <c r="S28" s="50">
        <f t="shared" si="5"/>
        <v>0.78740157480206108</v>
      </c>
      <c r="T28" s="50">
        <f t="shared" si="5"/>
        <v>0.38188976377932704</v>
      </c>
      <c r="U28" s="51">
        <f t="shared" si="5"/>
        <v>0.1023622047250683</v>
      </c>
      <c r="V28" s="32"/>
    </row>
    <row r="29" spans="2:22">
      <c r="B29" s="54" t="s">
        <v>1290</v>
      </c>
      <c r="C29" s="70" t="s">
        <v>1291</v>
      </c>
      <c r="D29" s="46">
        <v>4644.5748031496069</v>
      </c>
      <c r="E29" s="71">
        <v>4644.748031496063</v>
      </c>
      <c r="F29" s="72">
        <v>4644.2165354330709</v>
      </c>
      <c r="G29" s="771">
        <v>299.90944881889766</v>
      </c>
      <c r="H29" s="771">
        <v>299.90944881889766</v>
      </c>
      <c r="I29" s="772">
        <v>299.90944881889766</v>
      </c>
      <c r="J29" s="771">
        <f>+D29+D30+G29</f>
        <v>9589.0118110236235</v>
      </c>
      <c r="K29" s="771">
        <f>+E29+E30+H29</f>
        <v>9589.7322834645674</v>
      </c>
      <c r="L29" s="771">
        <f>+F29+F30+I29</f>
        <v>9589.0157480314974</v>
      </c>
      <c r="M29" s="773">
        <f>MAX(J29:L30)-MIN(J29:L30)</f>
        <v>0.72047244094392227</v>
      </c>
      <c r="N29" s="47"/>
      <c r="O29" s="81">
        <v>9683.4763779527566</v>
      </c>
      <c r="P29" s="83">
        <v>14013.862204724412</v>
      </c>
      <c r="Q29" s="48">
        <v>25627.291338582676</v>
      </c>
      <c r="R29" s="49"/>
      <c r="S29" s="52"/>
      <c r="T29" s="52"/>
      <c r="U29" s="53"/>
    </row>
    <row r="30" spans="2:22">
      <c r="B30" s="54" t="s">
        <v>1286</v>
      </c>
      <c r="C30" s="70" t="s">
        <v>1287</v>
      </c>
      <c r="D30" s="46">
        <v>4644.5275590551182</v>
      </c>
      <c r="E30" s="71">
        <v>4645.0748031496059</v>
      </c>
      <c r="F30" s="72">
        <v>4644.889763779528</v>
      </c>
      <c r="G30" s="771"/>
      <c r="H30" s="771"/>
      <c r="I30" s="772"/>
      <c r="J30" s="771"/>
      <c r="K30" s="771"/>
      <c r="L30" s="771"/>
      <c r="M30" s="773"/>
      <c r="N30" s="55"/>
      <c r="O30" s="81">
        <v>9683.429133858268</v>
      </c>
      <c r="P30" s="83">
        <v>14014.188976377953</v>
      </c>
      <c r="Q30" s="48">
        <v>25627.964566929135</v>
      </c>
      <c r="R30" s="49"/>
      <c r="S30" s="52"/>
      <c r="T30" s="52"/>
      <c r="U30" s="53"/>
    </row>
    <row r="31" spans="2:22">
      <c r="B31" s="54" t="s">
        <v>1300</v>
      </c>
      <c r="C31" s="70" t="s">
        <v>1301</v>
      </c>
      <c r="D31" s="46">
        <v>4644.4803149606305</v>
      </c>
      <c r="E31" s="71">
        <v>4644.8622047244098</v>
      </c>
      <c r="F31" s="72">
        <v>4644.4094488188975</v>
      </c>
      <c r="G31" s="771">
        <v>299.90944881889766</v>
      </c>
      <c r="H31" s="771">
        <v>299.90944881889766</v>
      </c>
      <c r="I31" s="772">
        <v>299.90944881889766</v>
      </c>
      <c r="J31" s="771">
        <f>+D31+D32+G31</f>
        <v>9589.137795275592</v>
      </c>
      <c r="K31" s="771">
        <f>+E31+E32+H31</f>
        <v>9589.5196850393713</v>
      </c>
      <c r="L31" s="771">
        <f>+F31+F32+I31</f>
        <v>9588.8346456692907</v>
      </c>
      <c r="M31" s="773">
        <f>MAX(J31:L32)-MIN(J31:L32)</f>
        <v>0.68503937008063076</v>
      </c>
      <c r="N31" s="47"/>
      <c r="O31" s="81">
        <v>12714.000000000002</v>
      </c>
      <c r="P31" s="83">
        <v>13817.043307086615</v>
      </c>
      <c r="Q31" s="48">
        <v>25273.283464566928</v>
      </c>
      <c r="R31" s="49" t="s">
        <v>6798</v>
      </c>
      <c r="S31" s="50">
        <f t="shared" ref="S31:U32" si="6">ABS(O31-O33)</f>
        <v>0.54330708661109384</v>
      </c>
      <c r="T31" s="50">
        <f t="shared" si="6"/>
        <v>0.19291338582843309</v>
      </c>
      <c r="U31" s="51">
        <f t="shared" si="6"/>
        <v>9.8425196851167129E-2</v>
      </c>
      <c r="V31" s="32"/>
    </row>
    <row r="32" spans="2:22">
      <c r="B32" s="54" t="s">
        <v>1296</v>
      </c>
      <c r="C32" s="70" t="s">
        <v>1297</v>
      </c>
      <c r="D32" s="46">
        <v>4644.748031496063</v>
      </c>
      <c r="E32" s="71">
        <v>4644.748031496063</v>
      </c>
      <c r="F32" s="72">
        <v>4644.5157480314956</v>
      </c>
      <c r="G32" s="771"/>
      <c r="H32" s="771"/>
      <c r="I32" s="772"/>
      <c r="J32" s="771"/>
      <c r="K32" s="771"/>
      <c r="L32" s="771"/>
      <c r="M32" s="773"/>
      <c r="N32" s="55"/>
      <c r="O32" s="81">
        <v>12714.267716535434</v>
      </c>
      <c r="P32" s="83">
        <v>13816.929133858268</v>
      </c>
      <c r="Q32" s="48">
        <v>25273.389763779527</v>
      </c>
      <c r="R32" s="49" t="s">
        <v>6799</v>
      </c>
      <c r="S32" s="50">
        <f t="shared" si="6"/>
        <v>0.57086614173203998</v>
      </c>
      <c r="T32" s="50">
        <f t="shared" si="6"/>
        <v>0.15748031496150361</v>
      </c>
      <c r="U32" s="51">
        <f t="shared" si="6"/>
        <v>0.53543307086511049</v>
      </c>
      <c r="V32" s="32"/>
    </row>
    <row r="33" spans="2:22">
      <c r="B33" s="54" t="s">
        <v>1298</v>
      </c>
      <c r="C33" s="70" t="s">
        <v>1299</v>
      </c>
      <c r="D33" s="46">
        <v>4644.5196850393704</v>
      </c>
      <c r="E33" s="71">
        <v>4644.8700787401576</v>
      </c>
      <c r="F33" s="72">
        <v>4644.4921259842522</v>
      </c>
      <c r="G33" s="771">
        <v>299.90944881889766</v>
      </c>
      <c r="H33" s="771">
        <v>299.90944881889766</v>
      </c>
      <c r="I33" s="772">
        <v>299.90944881889766</v>
      </c>
      <c r="J33" s="771">
        <f>+D33+D34+G33</f>
        <v>9589.244094488191</v>
      </c>
      <c r="K33" s="771">
        <f>+E33+E34+H33</f>
        <v>9589.5000000000018</v>
      </c>
      <c r="L33" s="771">
        <f>+F33+F34+I33</f>
        <v>9589.4370078740176</v>
      </c>
      <c r="M33" s="773">
        <f>MAX(J33:L34)-MIN(J33:L34)</f>
        <v>0.25590551181085175</v>
      </c>
      <c r="N33" s="47"/>
      <c r="O33" s="81">
        <v>12714.543307086613</v>
      </c>
      <c r="P33" s="83">
        <v>13817.236220472443</v>
      </c>
      <c r="Q33" s="48">
        <v>25273.381889763779</v>
      </c>
      <c r="R33" s="49"/>
      <c r="S33" s="52"/>
      <c r="T33" s="52"/>
      <c r="U33" s="53"/>
    </row>
    <row r="34" spans="2:22">
      <c r="B34" s="54" t="s">
        <v>1294</v>
      </c>
      <c r="C34" s="70" t="s">
        <v>1295</v>
      </c>
      <c r="D34" s="46">
        <v>4644.8149606299212</v>
      </c>
      <c r="E34" s="71">
        <v>4644.7204724409448</v>
      </c>
      <c r="F34" s="72">
        <v>4645.0354330708669</v>
      </c>
      <c r="G34" s="771"/>
      <c r="H34" s="771"/>
      <c r="I34" s="772"/>
      <c r="J34" s="771"/>
      <c r="K34" s="771"/>
      <c r="L34" s="771"/>
      <c r="M34" s="773"/>
      <c r="N34" s="55"/>
      <c r="O34" s="81">
        <v>12714.838582677166</v>
      </c>
      <c r="P34" s="83">
        <v>13817.086614173229</v>
      </c>
      <c r="Q34" s="48">
        <v>25273.925196850392</v>
      </c>
      <c r="R34" s="49"/>
      <c r="S34" s="52"/>
      <c r="T34" s="52"/>
      <c r="U34" s="53"/>
    </row>
    <row r="35" spans="2:22">
      <c r="B35" s="54" t="s">
        <v>1308</v>
      </c>
      <c r="C35" s="70" t="s">
        <v>1309</v>
      </c>
      <c r="D35" s="46">
        <v>4644.6535433070867</v>
      </c>
      <c r="E35" s="71">
        <v>4644.8503937007881</v>
      </c>
      <c r="F35" s="72">
        <v>4644.712598425197</v>
      </c>
      <c r="G35" s="771">
        <v>299.90944881889766</v>
      </c>
      <c r="H35" s="771">
        <v>299.90944881889766</v>
      </c>
      <c r="I35" s="772">
        <v>299.90944881889766</v>
      </c>
      <c r="J35" s="771">
        <f>+D35+D36+G35</f>
        <v>9589.031496062993</v>
      </c>
      <c r="K35" s="771">
        <f>+E35+E36+H35</f>
        <v>9589.6968503937023</v>
      </c>
      <c r="L35" s="771">
        <f>+F35+F36+I35</f>
        <v>9589.3425196850403</v>
      </c>
      <c r="M35" s="773">
        <f>MAX(J35:L36)-MIN(J35:L36)</f>
        <v>0.66535433070930594</v>
      </c>
      <c r="N35" s="47"/>
      <c r="O35" s="81">
        <v>12045.244094488191</v>
      </c>
      <c r="P35" s="83">
        <v>18265.63779527559</v>
      </c>
      <c r="Q35" s="48">
        <v>23895.692913385828</v>
      </c>
      <c r="R35" s="49" t="s">
        <v>6800</v>
      </c>
      <c r="S35" s="50">
        <f t="shared" ref="S35:U36" si="7">ABS(O35-O37)</f>
        <v>0.55905511810851749</v>
      </c>
      <c r="T35" s="50">
        <f t="shared" si="7"/>
        <v>1.3661417322837224</v>
      </c>
      <c r="U35" s="51">
        <f t="shared" si="7"/>
        <v>0.42519685039587785</v>
      </c>
      <c r="V35" s="32"/>
    </row>
    <row r="36" spans="2:22">
      <c r="B36" s="54" t="s">
        <v>1304</v>
      </c>
      <c r="C36" s="70" t="s">
        <v>1305</v>
      </c>
      <c r="D36" s="46">
        <v>4644.4685039370079</v>
      </c>
      <c r="E36" s="71">
        <v>4644.9370078740158</v>
      </c>
      <c r="F36" s="72">
        <v>4644.7204724409448</v>
      </c>
      <c r="G36" s="771"/>
      <c r="H36" s="771"/>
      <c r="I36" s="772"/>
      <c r="J36" s="771"/>
      <c r="K36" s="771"/>
      <c r="L36" s="771"/>
      <c r="M36" s="773"/>
      <c r="N36" s="55"/>
      <c r="O36" s="81">
        <v>12045.05905511811</v>
      </c>
      <c r="P36" s="83">
        <v>18265.72440944882</v>
      </c>
      <c r="Q36" s="48">
        <v>23895.700787401573</v>
      </c>
      <c r="R36" s="49" t="s">
        <v>6801</v>
      </c>
      <c r="S36" s="50">
        <f t="shared" si="7"/>
        <v>6.2992125984237646E-2</v>
      </c>
      <c r="T36" s="50">
        <f t="shared" si="7"/>
        <v>1.1338582677162776</v>
      </c>
      <c r="U36" s="51">
        <f t="shared" si="7"/>
        <v>0.16535433070748695</v>
      </c>
      <c r="V36" s="32"/>
    </row>
    <row r="37" spans="2:22">
      <c r="B37" s="54" t="s">
        <v>1306</v>
      </c>
      <c r="C37" s="70" t="s">
        <v>1307</v>
      </c>
      <c r="D37" s="46">
        <v>4645.1653543307093</v>
      </c>
      <c r="E37" s="71">
        <v>4645.066929133859</v>
      </c>
      <c r="F37" s="72">
        <v>4644.4606299212601</v>
      </c>
      <c r="G37" s="771">
        <v>299.90944881889766</v>
      </c>
      <c r="H37" s="771">
        <v>299.90944881889766</v>
      </c>
      <c r="I37" s="772">
        <v>299.90944881889766</v>
      </c>
      <c r="J37" s="771">
        <f>+D37+D38+G37</f>
        <v>9589.5590551181122</v>
      </c>
      <c r="K37" s="771">
        <f>+E37+E38+H37</f>
        <v>9589.8976377952768</v>
      </c>
      <c r="L37" s="771">
        <f>+F37+F38+I37</f>
        <v>9589.098425196853</v>
      </c>
      <c r="M37" s="773">
        <f>MAX(J37:L38)-MIN(J37:L38)</f>
        <v>0.79921259842376458</v>
      </c>
      <c r="N37" s="47"/>
      <c r="O37" s="81">
        <v>12045.803149606299</v>
      </c>
      <c r="P37" s="83">
        <v>18267.003937007874</v>
      </c>
      <c r="Q37" s="48">
        <v>23895.267716535433</v>
      </c>
      <c r="R37" s="49"/>
      <c r="S37" s="52"/>
      <c r="T37" s="52"/>
      <c r="U37" s="53"/>
    </row>
    <row r="38" spans="2:22">
      <c r="B38" s="54" t="s">
        <v>1302</v>
      </c>
      <c r="C38" s="70" t="s">
        <v>1303</v>
      </c>
      <c r="D38" s="46">
        <v>4644.4842519685044</v>
      </c>
      <c r="E38" s="71">
        <v>4644.9212598425192</v>
      </c>
      <c r="F38" s="72">
        <v>4644.7283464566935</v>
      </c>
      <c r="G38" s="771"/>
      <c r="H38" s="771"/>
      <c r="I38" s="772"/>
      <c r="J38" s="771"/>
      <c r="K38" s="771"/>
      <c r="L38" s="771"/>
      <c r="M38" s="773"/>
      <c r="N38" s="55"/>
      <c r="O38" s="81">
        <v>12045.122047244095</v>
      </c>
      <c r="P38" s="83">
        <v>18266.858267716536</v>
      </c>
      <c r="Q38" s="48">
        <v>23895.535433070865</v>
      </c>
      <c r="R38" s="49"/>
      <c r="S38" s="52"/>
      <c r="T38" s="52"/>
      <c r="U38" s="53"/>
    </row>
    <row r="39" spans="2:22">
      <c r="B39" s="54" t="s">
        <v>1316</v>
      </c>
      <c r="C39" s="70" t="s">
        <v>1317</v>
      </c>
      <c r="D39" s="46">
        <v>4644.6141732283468</v>
      </c>
      <c r="E39" s="71">
        <v>4644.1535433070867</v>
      </c>
      <c r="F39" s="72">
        <v>4644.1535433070867</v>
      </c>
      <c r="G39" s="771">
        <v>299.90944881889766</v>
      </c>
      <c r="H39" s="771">
        <v>299.90944881889766</v>
      </c>
      <c r="I39" s="772">
        <v>299.90944881889766</v>
      </c>
      <c r="J39" s="771">
        <f>+D39+D40+G39</f>
        <v>9589.2559055118127</v>
      </c>
      <c r="K39" s="771">
        <f>+E39+E40+H39</f>
        <v>9588.8582677165377</v>
      </c>
      <c r="L39" s="771">
        <f>+F39+F40+I39</f>
        <v>9588.6811023622049</v>
      </c>
      <c r="M39" s="773">
        <f>MAX(J39:L40)-MIN(J39:L40)</f>
        <v>0.57480314960776013</v>
      </c>
      <c r="N39" s="47"/>
      <c r="O39" s="81">
        <v>12202.688976377955</v>
      </c>
      <c r="P39" s="83">
        <v>17202.15748031496</v>
      </c>
      <c r="Q39" s="48">
        <v>22398.712598425202</v>
      </c>
      <c r="R39" s="49" t="s">
        <v>6802</v>
      </c>
      <c r="S39" s="50">
        <f t="shared" ref="S39:U40" si="8">ABS(O39-O41)</f>
        <v>0.88188976377750805</v>
      </c>
      <c r="T39" s="50">
        <f t="shared" si="8"/>
        <v>0.79527559055350139</v>
      </c>
      <c r="U39" s="51">
        <f t="shared" si="8"/>
        <v>1.3976377952712937</v>
      </c>
      <c r="V39" s="32"/>
    </row>
    <row r="40" spans="2:22">
      <c r="B40" s="54" t="s">
        <v>1312</v>
      </c>
      <c r="C40" s="70" t="s">
        <v>1313</v>
      </c>
      <c r="D40" s="46">
        <v>4644.7322834645674</v>
      </c>
      <c r="E40" s="71">
        <v>4644.7952755905517</v>
      </c>
      <c r="F40" s="72">
        <v>4644.6181102362207</v>
      </c>
      <c r="G40" s="771"/>
      <c r="H40" s="771"/>
      <c r="I40" s="772"/>
      <c r="J40" s="771"/>
      <c r="K40" s="771"/>
      <c r="L40" s="771"/>
      <c r="M40" s="773"/>
      <c r="N40" s="55"/>
      <c r="O40" s="81">
        <v>12202.807086614173</v>
      </c>
      <c r="P40" s="83">
        <v>17202.799212598427</v>
      </c>
      <c r="Q40" s="48">
        <v>22399.177165354333</v>
      </c>
      <c r="R40" s="49" t="s">
        <v>6803</v>
      </c>
      <c r="S40" s="50">
        <f t="shared" si="8"/>
        <v>0.36614173228372238</v>
      </c>
      <c r="T40" s="50">
        <f t="shared" si="8"/>
        <v>0.46062992125735036</v>
      </c>
      <c r="U40" s="51">
        <f t="shared" si="8"/>
        <v>1.4055118110190961</v>
      </c>
      <c r="V40" s="32"/>
    </row>
    <row r="41" spans="2:22">
      <c r="B41" s="54" t="s">
        <v>1314</v>
      </c>
      <c r="C41" s="70" t="s">
        <v>1315</v>
      </c>
      <c r="D41" s="46">
        <v>4645.2362204724413</v>
      </c>
      <c r="E41" s="71">
        <v>4644.78346456693</v>
      </c>
      <c r="F41" s="72">
        <v>4644.4488188976375</v>
      </c>
      <c r="G41" s="771">
        <v>299.90944881889766</v>
      </c>
      <c r="H41" s="771">
        <v>299.90944881889766</v>
      </c>
      <c r="I41" s="772">
        <v>299.90944881889766</v>
      </c>
      <c r="J41" s="771">
        <f>+D41+D42+G41</f>
        <v>9589.9842519685062</v>
      </c>
      <c r="K41" s="771">
        <f>+E41+E42+H41</f>
        <v>9589.78346456693</v>
      </c>
      <c r="L41" s="771">
        <f>+F41+F42+I41</f>
        <v>9589.2795275590561</v>
      </c>
      <c r="M41" s="773">
        <f>MAX(J41:L42)-MIN(J41:L42)</f>
        <v>0.70472440945013659</v>
      </c>
      <c r="N41" s="47"/>
      <c r="O41" s="81">
        <v>12203.570866141732</v>
      </c>
      <c r="P41" s="83">
        <v>17202.952755905513</v>
      </c>
      <c r="Q41" s="48">
        <v>22400.110236220473</v>
      </c>
      <c r="R41" s="49"/>
      <c r="S41" s="52"/>
      <c r="T41" s="52"/>
      <c r="U41" s="53"/>
    </row>
    <row r="42" spans="2:22">
      <c r="B42" s="54" t="s">
        <v>1310</v>
      </c>
      <c r="C42" s="70" t="s">
        <v>1311</v>
      </c>
      <c r="D42" s="46">
        <v>4644.8385826771655</v>
      </c>
      <c r="E42" s="71">
        <v>4645.0905511811025</v>
      </c>
      <c r="F42" s="72">
        <v>4644.9212598425192</v>
      </c>
      <c r="G42" s="771"/>
      <c r="H42" s="771"/>
      <c r="I42" s="772"/>
      <c r="J42" s="771"/>
      <c r="K42" s="771"/>
      <c r="L42" s="771"/>
      <c r="M42" s="773"/>
      <c r="N42" s="55"/>
      <c r="O42" s="81">
        <v>12203.173228346457</v>
      </c>
      <c r="P42" s="83">
        <v>17203.259842519685</v>
      </c>
      <c r="Q42" s="48">
        <v>22400.582677165352</v>
      </c>
      <c r="R42" s="49"/>
      <c r="S42" s="52"/>
      <c r="T42" s="52"/>
      <c r="U42" s="53"/>
    </row>
    <row r="43" spans="2:22">
      <c r="B43" s="54" t="s">
        <v>1236</v>
      </c>
      <c r="C43" s="70" t="s">
        <v>1237</v>
      </c>
      <c r="D43" s="46">
        <v>4644.3425196850394</v>
      </c>
      <c r="E43" s="71">
        <v>4644.8976377952758</v>
      </c>
      <c r="F43" s="72">
        <v>4644.9606299212601</v>
      </c>
      <c r="G43" s="771">
        <v>299.90944881889766</v>
      </c>
      <c r="H43" s="771">
        <v>299.90944881889766</v>
      </c>
      <c r="I43" s="772">
        <v>299.90944881889766</v>
      </c>
      <c r="J43" s="771">
        <f>+D43+D44+G43</f>
        <v>9588.637795275592</v>
      </c>
      <c r="K43" s="771">
        <f>+E43+E44+H43</f>
        <v>9589.7125984251979</v>
      </c>
      <c r="L43" s="771">
        <f>+F43+F44+I43</f>
        <v>9589.6929133858266</v>
      </c>
      <c r="M43" s="773">
        <f>MAX(J43:L44)-MIN(J43:L44)</f>
        <v>1.0748031496059411</v>
      </c>
      <c r="N43" s="47"/>
      <c r="O43" s="81">
        <v>11966.818897637795</v>
      </c>
      <c r="P43" s="83">
        <v>20076.897637795279</v>
      </c>
      <c r="Q43" s="48">
        <v>22242.326771653545</v>
      </c>
      <c r="R43" s="49" t="s">
        <v>6804</v>
      </c>
      <c r="S43" s="50">
        <f t="shared" ref="S43:U44" si="9">ABS(O43-O45)</f>
        <v>0.55511811023643531</v>
      </c>
      <c r="T43" s="50">
        <f t="shared" si="9"/>
        <v>7.0866141730220988E-2</v>
      </c>
      <c r="U43" s="51">
        <f t="shared" si="9"/>
        <v>0.22834645669354359</v>
      </c>
      <c r="V43" s="32"/>
    </row>
    <row r="44" spans="2:22">
      <c r="B44" s="54" t="s">
        <v>1232</v>
      </c>
      <c r="C44" s="70" t="s">
        <v>1233</v>
      </c>
      <c r="D44" s="46">
        <v>4644.3858267716532</v>
      </c>
      <c r="E44" s="71">
        <v>4644.9055118110236</v>
      </c>
      <c r="F44" s="72">
        <v>4644.822834645669</v>
      </c>
      <c r="G44" s="771"/>
      <c r="H44" s="771"/>
      <c r="I44" s="772"/>
      <c r="J44" s="771"/>
      <c r="K44" s="771"/>
      <c r="L44" s="771"/>
      <c r="M44" s="773"/>
      <c r="N44" s="55"/>
      <c r="O44" s="81">
        <v>11966.86220472441</v>
      </c>
      <c r="P44" s="83">
        <v>20076.905511811023</v>
      </c>
      <c r="Q44" s="48">
        <v>22242.188976377955</v>
      </c>
      <c r="R44" s="49" t="s">
        <v>6805</v>
      </c>
      <c r="S44" s="50">
        <f t="shared" si="9"/>
        <v>9.8425196851167129E-2</v>
      </c>
      <c r="T44" s="50">
        <f t="shared" si="9"/>
        <v>8.6614173225825652E-2</v>
      </c>
      <c r="U44" s="51">
        <f t="shared" si="9"/>
        <v>7.8740157441643532E-3</v>
      </c>
      <c r="V44" s="32"/>
    </row>
    <row r="45" spans="2:22">
      <c r="B45" s="54" t="s">
        <v>1234</v>
      </c>
      <c r="C45" s="70" t="s">
        <v>1235</v>
      </c>
      <c r="D45" s="46">
        <v>4645.1220472440946</v>
      </c>
      <c r="E45" s="71">
        <v>4644.7637795275596</v>
      </c>
      <c r="F45" s="72">
        <v>4644.4094488188975</v>
      </c>
      <c r="G45" s="771">
        <v>299.90944881889766</v>
      </c>
      <c r="H45" s="771">
        <v>299.90944881889766</v>
      </c>
      <c r="I45" s="772">
        <v>299.90944881889766</v>
      </c>
      <c r="J45" s="771">
        <f>+D45+D46+G45</f>
        <v>9589.7401574803171</v>
      </c>
      <c r="K45" s="771">
        <f>+E45+E46+H45</f>
        <v>9589.2874015748039</v>
      </c>
      <c r="L45" s="771">
        <f>+F45+F46+I45</f>
        <v>9588.8267716535447</v>
      </c>
      <c r="M45" s="773">
        <f>MAX(J45:L46)-MIN(J45:L46)</f>
        <v>0.91338582677235536</v>
      </c>
      <c r="N45" s="47"/>
      <c r="O45" s="81">
        <v>11967.374015748032</v>
      </c>
      <c r="P45" s="83">
        <v>20076.968503937009</v>
      </c>
      <c r="Q45" s="48">
        <v>22242.098425196851</v>
      </c>
      <c r="R45" s="49"/>
      <c r="S45" s="52"/>
      <c r="T45" s="52"/>
      <c r="U45" s="53"/>
    </row>
    <row r="46" spans="2:22">
      <c r="B46" s="54" t="s">
        <v>1230</v>
      </c>
      <c r="C46" s="70" t="s">
        <v>1231</v>
      </c>
      <c r="D46" s="46">
        <v>4644.7086614173231</v>
      </c>
      <c r="E46" s="71">
        <v>4644.6141732283468</v>
      </c>
      <c r="F46" s="72">
        <v>4644.5078740157487</v>
      </c>
      <c r="G46" s="771"/>
      <c r="H46" s="771"/>
      <c r="I46" s="772"/>
      <c r="J46" s="771"/>
      <c r="K46" s="771"/>
      <c r="L46" s="771"/>
      <c r="M46" s="773"/>
      <c r="N46" s="55"/>
      <c r="O46" s="81">
        <v>11966.960629921261</v>
      </c>
      <c r="P46" s="83">
        <v>20076.818897637797</v>
      </c>
      <c r="Q46" s="48">
        <v>22242.196850393699</v>
      </c>
      <c r="R46" s="49"/>
      <c r="S46" s="52"/>
      <c r="T46" s="52"/>
      <c r="U46" s="53"/>
    </row>
    <row r="47" spans="2:22">
      <c r="B47" s="54" t="s">
        <v>1244</v>
      </c>
      <c r="C47" s="70" t="s">
        <v>1245</v>
      </c>
      <c r="D47" s="46">
        <v>4644.6299212598433</v>
      </c>
      <c r="E47" s="71">
        <v>4645.3464566929133</v>
      </c>
      <c r="F47" s="72">
        <v>4644.4842519685044</v>
      </c>
      <c r="G47" s="771">
        <v>299.90944881889766</v>
      </c>
      <c r="H47" s="771">
        <v>299.90944881889766</v>
      </c>
      <c r="I47" s="772">
        <v>299.90944881889766</v>
      </c>
      <c r="J47" s="771">
        <f>+D47+D48+G47</f>
        <v>9589.204724409452</v>
      </c>
      <c r="K47" s="771">
        <f>+E47+E48+H47</f>
        <v>9590.5118110236235</v>
      </c>
      <c r="L47" s="771">
        <f>+F47+F48+I47</f>
        <v>9589.0944881889773</v>
      </c>
      <c r="M47" s="773">
        <f>MAX(J47:L48)-MIN(J47:L48)</f>
        <v>1.4173228346462565</v>
      </c>
      <c r="N47" s="47"/>
      <c r="O47" s="81">
        <v>10628.118110236221</v>
      </c>
      <c r="P47" s="83">
        <v>17046.874015748032</v>
      </c>
      <c r="Q47" s="48">
        <v>21769.385826771657</v>
      </c>
      <c r="R47" s="49" t="s">
        <v>6806</v>
      </c>
      <c r="S47" s="50">
        <f t="shared" ref="S47:U48" si="10">ABS(O47-O49)</f>
        <v>0.23228346456562576</v>
      </c>
      <c r="T47" s="50">
        <f t="shared" si="10"/>
        <v>1.047244094486814</v>
      </c>
      <c r="U47" s="51">
        <f t="shared" si="10"/>
        <v>0.62992125983873848</v>
      </c>
      <c r="V47" s="32"/>
    </row>
    <row r="48" spans="2:22">
      <c r="B48" s="54" t="s">
        <v>1240</v>
      </c>
      <c r="C48" s="70" t="s">
        <v>1241</v>
      </c>
      <c r="D48" s="46">
        <v>4644.6653543307093</v>
      </c>
      <c r="E48" s="71">
        <v>4645.2559055118118</v>
      </c>
      <c r="F48" s="72">
        <v>4644.7007874015744</v>
      </c>
      <c r="G48" s="771"/>
      <c r="H48" s="771"/>
      <c r="I48" s="772"/>
      <c r="J48" s="771"/>
      <c r="K48" s="771"/>
      <c r="L48" s="771"/>
      <c r="M48" s="773"/>
      <c r="N48" s="55"/>
      <c r="O48" s="81">
        <v>10628.153543307088</v>
      </c>
      <c r="P48" s="83">
        <v>17046.783464566932</v>
      </c>
      <c r="Q48" s="48">
        <v>21769.602362204725</v>
      </c>
      <c r="R48" s="49" t="s">
        <v>6807</v>
      </c>
      <c r="S48" s="50">
        <f t="shared" si="10"/>
        <v>0.40944881889845419</v>
      </c>
      <c r="T48" s="50">
        <f t="shared" si="10"/>
        <v>1.1023622047287063</v>
      </c>
      <c r="U48" s="51">
        <f t="shared" si="10"/>
        <v>2.3622047243406996E-2</v>
      </c>
      <c r="V48" s="32"/>
    </row>
    <row r="49" spans="2:22">
      <c r="B49" s="54" t="s">
        <v>1242</v>
      </c>
      <c r="C49" s="70" t="s">
        <v>1243</v>
      </c>
      <c r="D49" s="46">
        <v>4644.7755905511813</v>
      </c>
      <c r="E49" s="71">
        <v>4645.3464566929133</v>
      </c>
      <c r="F49" s="72">
        <v>4645.1102362204729</v>
      </c>
      <c r="G49" s="771">
        <v>299.90944881889766</v>
      </c>
      <c r="H49" s="771">
        <v>299.90944881889766</v>
      </c>
      <c r="I49" s="772">
        <v>299.90944881889766</v>
      </c>
      <c r="J49" s="771">
        <f>+D49+D50+G49</f>
        <v>9589.3188976377951</v>
      </c>
      <c r="K49" s="771">
        <f>+E49+E50+H49</f>
        <v>9590.4566929133871</v>
      </c>
      <c r="L49" s="771">
        <f>+F49+F50+I49</f>
        <v>9589.7401574803171</v>
      </c>
      <c r="M49" s="773">
        <f>MAX(J49:L50)-MIN(J49:L50)</f>
        <v>1.1377952755919978</v>
      </c>
      <c r="N49" s="47"/>
      <c r="O49" s="81">
        <v>10627.885826771655</v>
      </c>
      <c r="P49" s="83">
        <v>17045.826771653545</v>
      </c>
      <c r="Q49" s="48">
        <v>21770.015748031496</v>
      </c>
      <c r="R49" s="49"/>
      <c r="S49" s="52"/>
      <c r="T49" s="52"/>
      <c r="U49" s="53"/>
    </row>
    <row r="50" spans="2:22">
      <c r="B50" s="54" t="s">
        <v>1238</v>
      </c>
      <c r="C50" s="70" t="s">
        <v>1239</v>
      </c>
      <c r="D50" s="46">
        <v>4644.6338582677163</v>
      </c>
      <c r="E50" s="71">
        <v>4645.2007874015753</v>
      </c>
      <c r="F50" s="72">
        <v>4644.7204724409448</v>
      </c>
      <c r="G50" s="771"/>
      <c r="H50" s="771"/>
      <c r="I50" s="772"/>
      <c r="J50" s="771"/>
      <c r="K50" s="771"/>
      <c r="L50" s="771"/>
      <c r="M50" s="773"/>
      <c r="N50" s="55"/>
      <c r="O50" s="81">
        <v>10627.744094488189</v>
      </c>
      <c r="P50" s="83">
        <v>17045.681102362203</v>
      </c>
      <c r="Q50" s="48">
        <v>21769.625984251968</v>
      </c>
      <c r="R50" s="49"/>
      <c r="S50" s="52"/>
      <c r="T50" s="52"/>
      <c r="U50" s="53"/>
    </row>
    <row r="51" spans="2:22">
      <c r="B51" s="54" t="s">
        <v>1252</v>
      </c>
      <c r="C51" s="70" t="s">
        <v>1253</v>
      </c>
      <c r="D51" s="46">
        <v>4644.6338582677163</v>
      </c>
      <c r="E51" s="71">
        <v>4645.0118110236226</v>
      </c>
      <c r="F51" s="72">
        <v>4643.818897637796</v>
      </c>
      <c r="G51" s="771">
        <v>299.90944881889766</v>
      </c>
      <c r="H51" s="771">
        <v>299.90944881889766</v>
      </c>
      <c r="I51" s="772">
        <v>299.90944881889766</v>
      </c>
      <c r="J51" s="771">
        <f>+D51+D52+G51</f>
        <v>9589.1456692913398</v>
      </c>
      <c r="K51" s="771">
        <f>+E51+E52+H51</f>
        <v>9589.9133858267724</v>
      </c>
      <c r="L51" s="771">
        <f>+F51+F52+I51</f>
        <v>9588.7165354330737</v>
      </c>
      <c r="M51" s="773">
        <f>MAX(J51:L52)-MIN(J51:L52)</f>
        <v>1.1968503936986963</v>
      </c>
      <c r="N51" s="47"/>
      <c r="O51" s="81">
        <v>12596.354330708662</v>
      </c>
      <c r="P51" s="83">
        <v>16101.685039370079</v>
      </c>
      <c r="Q51" s="48">
        <v>18619.881889763783</v>
      </c>
      <c r="R51" s="49" t="s">
        <v>6808</v>
      </c>
      <c r="S51" s="50">
        <f t="shared" ref="S51:U52" si="11">ABS(O51-O53)</f>
        <v>0.22047244094574125</v>
      </c>
      <c r="T51" s="50">
        <f t="shared" si="11"/>
        <v>0.6929133858266141</v>
      </c>
      <c r="U51" s="51">
        <f t="shared" si="11"/>
        <v>0.12204724409093615</v>
      </c>
      <c r="V51" s="32"/>
    </row>
    <row r="52" spans="2:22">
      <c r="B52" s="54" t="s">
        <v>1248</v>
      </c>
      <c r="C52" s="70" t="s">
        <v>1249</v>
      </c>
      <c r="D52" s="46">
        <v>4644.6023622047242</v>
      </c>
      <c r="E52" s="71">
        <v>4644.9921259842522</v>
      </c>
      <c r="F52" s="72">
        <v>4644.9881889763783</v>
      </c>
      <c r="G52" s="771"/>
      <c r="H52" s="771"/>
      <c r="I52" s="772"/>
      <c r="J52" s="771"/>
      <c r="K52" s="771"/>
      <c r="L52" s="771"/>
      <c r="M52" s="773"/>
      <c r="N52" s="55"/>
      <c r="O52" s="81">
        <v>12596.322834645669</v>
      </c>
      <c r="P52" s="83">
        <v>16101.665354330709</v>
      </c>
      <c r="Q52" s="48">
        <v>18621.051181102361</v>
      </c>
      <c r="R52" s="49" t="s">
        <v>6809</v>
      </c>
      <c r="S52" s="50">
        <f t="shared" si="11"/>
        <v>0.11811023621885397</v>
      </c>
      <c r="T52" s="50">
        <f t="shared" si="11"/>
        <v>1.2125984251961199</v>
      </c>
      <c r="U52" s="51">
        <f t="shared" si="11"/>
        <v>9.4488188977265963E-2</v>
      </c>
      <c r="V52" s="32"/>
    </row>
    <row r="53" spans="2:22">
      <c r="B53" s="54" t="s">
        <v>1250</v>
      </c>
      <c r="C53" s="70" t="s">
        <v>1251</v>
      </c>
      <c r="D53" s="46">
        <v>4644.3582677165359</v>
      </c>
      <c r="E53" s="71">
        <v>4645.2244094488187</v>
      </c>
      <c r="F53" s="72">
        <v>4643.9173228346463</v>
      </c>
      <c r="G53" s="771">
        <v>299.90944881889766</v>
      </c>
      <c r="H53" s="771">
        <v>299.90944881889766</v>
      </c>
      <c r="I53" s="772">
        <v>299.90944881889766</v>
      </c>
      <c r="J53" s="771">
        <f>+D53+D54+G53</f>
        <v>9588.6968503937023</v>
      </c>
      <c r="K53" s="771">
        <f>+E53+E54+H53</f>
        <v>9589.8188976377951</v>
      </c>
      <c r="L53" s="771">
        <f>+F53+F54+I53</f>
        <v>9588.6968503937023</v>
      </c>
      <c r="M53" s="773">
        <f>MAX(J53:L54)-MIN(J53:L54)</f>
        <v>1.1220472440927551</v>
      </c>
      <c r="N53" s="47"/>
      <c r="O53" s="81">
        <v>12596.133858267716</v>
      </c>
      <c r="P53" s="83">
        <v>16100.992125984252</v>
      </c>
      <c r="Q53" s="48">
        <v>18620.003937007874</v>
      </c>
      <c r="R53" s="49"/>
      <c r="S53" s="52"/>
      <c r="T53" s="52"/>
      <c r="U53" s="53"/>
    </row>
    <row r="54" spans="2:22">
      <c r="B54" s="54" t="s">
        <v>1246</v>
      </c>
      <c r="C54" s="70" t="s">
        <v>1247</v>
      </c>
      <c r="D54" s="46">
        <v>4644.429133858268</v>
      </c>
      <c r="E54" s="71">
        <v>4644.6850393700788</v>
      </c>
      <c r="F54" s="72">
        <v>4644.8700787401576</v>
      </c>
      <c r="G54" s="771"/>
      <c r="H54" s="771"/>
      <c r="I54" s="772"/>
      <c r="J54" s="771"/>
      <c r="K54" s="771"/>
      <c r="L54" s="771"/>
      <c r="M54" s="773"/>
      <c r="N54" s="55"/>
      <c r="O54" s="81">
        <v>12596.20472440945</v>
      </c>
      <c r="P54" s="83">
        <v>16100.452755905513</v>
      </c>
      <c r="Q54" s="48">
        <v>18620.956692913383</v>
      </c>
      <c r="R54" s="49"/>
      <c r="S54" s="52"/>
      <c r="T54" s="52"/>
      <c r="U54" s="53"/>
    </row>
    <row r="55" spans="2:22">
      <c r="B55" s="54" t="s">
        <v>1500</v>
      </c>
      <c r="C55" s="70" t="s">
        <v>1501</v>
      </c>
      <c r="D55" s="46">
        <v>4644.8937007874019</v>
      </c>
      <c r="E55" s="71">
        <v>4644.2795275590552</v>
      </c>
      <c r="F55" s="72">
        <v>4644.712598425197</v>
      </c>
      <c r="G55" s="771">
        <v>299.90944881889766</v>
      </c>
      <c r="H55" s="771">
        <v>299.90944881889766</v>
      </c>
      <c r="I55" s="772">
        <v>299.90944881889766</v>
      </c>
      <c r="J55" s="771">
        <f>+D55+D56+G55</f>
        <v>9589.4881889763801</v>
      </c>
      <c r="K55" s="771">
        <f>+E55+E56+H55</f>
        <v>9589.1456692913398</v>
      </c>
      <c r="L55" s="771">
        <f>+F55+F56+I55</f>
        <v>9589.4527559055132</v>
      </c>
      <c r="M55" s="773">
        <f>MAX(J55:L56)-MIN(J55:L56)</f>
        <v>0.34251968504031538</v>
      </c>
      <c r="N55" s="47"/>
      <c r="O55" s="81">
        <v>15825.196850393701</v>
      </c>
      <c r="P55" s="83">
        <v>14525.066929133858</v>
      </c>
      <c r="Q55" s="48">
        <v>12636.350393700788</v>
      </c>
      <c r="R55" s="49" t="s">
        <v>6810</v>
      </c>
      <c r="S55" s="50">
        <f t="shared" ref="S55:U56" si="12">ABS(O55-O57)</f>
        <v>0.41338582677053637</v>
      </c>
      <c r="T55" s="50">
        <f t="shared" si="12"/>
        <v>0.20866141732403776</v>
      </c>
      <c r="U55" s="51">
        <f t="shared" si="12"/>
        <v>0.73228346456744475</v>
      </c>
      <c r="V55" s="32"/>
    </row>
    <row r="56" spans="2:22">
      <c r="B56" s="54" t="s">
        <v>1496</v>
      </c>
      <c r="C56" s="70" t="s">
        <v>1497</v>
      </c>
      <c r="D56" s="46">
        <v>4644.6850393700788</v>
      </c>
      <c r="E56" s="71">
        <v>4644.9566929133862</v>
      </c>
      <c r="F56" s="72">
        <v>4644.8307086614177</v>
      </c>
      <c r="G56" s="771"/>
      <c r="H56" s="771"/>
      <c r="I56" s="772"/>
      <c r="J56" s="771"/>
      <c r="K56" s="771"/>
      <c r="L56" s="771"/>
      <c r="M56" s="773"/>
      <c r="N56" s="55"/>
      <c r="O56" s="81">
        <v>15824.988188976378</v>
      </c>
      <c r="P56" s="83">
        <v>14525.744094488189</v>
      </c>
      <c r="Q56" s="48">
        <v>12636.468503937009</v>
      </c>
      <c r="R56" s="49" t="s">
        <v>6811</v>
      </c>
      <c r="S56" s="50">
        <f t="shared" si="12"/>
        <v>0.18503937007881177</v>
      </c>
      <c r="T56" s="50">
        <f t="shared" si="12"/>
        <v>0.15354330708760244</v>
      </c>
      <c r="U56" s="51">
        <f t="shared" si="12"/>
        <v>0.84251968504213437</v>
      </c>
      <c r="V56" s="32"/>
    </row>
    <row r="57" spans="2:22">
      <c r="B57" s="54" t="s">
        <v>1498</v>
      </c>
      <c r="C57" s="70" t="s">
        <v>1499</v>
      </c>
      <c r="D57" s="46">
        <v>4644.7244094488187</v>
      </c>
      <c r="E57" s="71">
        <v>4644.3464566929133</v>
      </c>
      <c r="F57" s="72">
        <v>4644.6456692913389</v>
      </c>
      <c r="G57" s="771">
        <v>299.90944881889766</v>
      </c>
      <c r="H57" s="771">
        <v>299.90944881889766</v>
      </c>
      <c r="I57" s="772">
        <v>299.90944881889766</v>
      </c>
      <c r="J57" s="771">
        <f>+D57+D58+G57</f>
        <v>9589.3779527559072</v>
      </c>
      <c r="K57" s="771">
        <f>+E57+E58+H57</f>
        <v>9589.2244094488196</v>
      </c>
      <c r="L57" s="771">
        <f>+F57+F58+I57</f>
        <v>9589.208661417324</v>
      </c>
      <c r="M57" s="773">
        <f>MAX(J57:L58)-MIN(J57:L58)</f>
        <v>0.16929133858320711</v>
      </c>
      <c r="N57" s="47"/>
      <c r="O57" s="81">
        <v>15824.78346456693</v>
      </c>
      <c r="P57" s="83">
        <v>14525.275590551182</v>
      </c>
      <c r="Q57" s="48">
        <v>12635.618110236221</v>
      </c>
      <c r="R57" s="49"/>
      <c r="S57" s="52"/>
      <c r="T57" s="52"/>
      <c r="U57" s="53"/>
    </row>
    <row r="58" spans="2:22">
      <c r="B58" s="54" t="s">
        <v>1494</v>
      </c>
      <c r="C58" s="70" t="s">
        <v>1495</v>
      </c>
      <c r="D58" s="46">
        <v>4644.7440944881891</v>
      </c>
      <c r="E58" s="71">
        <v>4644.9685039370079</v>
      </c>
      <c r="F58" s="72">
        <v>4644.6535433070867</v>
      </c>
      <c r="G58" s="771"/>
      <c r="H58" s="771"/>
      <c r="I58" s="772"/>
      <c r="J58" s="771"/>
      <c r="K58" s="771"/>
      <c r="L58" s="771"/>
      <c r="M58" s="773"/>
      <c r="N58" s="55"/>
      <c r="O58" s="81">
        <v>15824.803149606299</v>
      </c>
      <c r="P58" s="83">
        <v>14525.897637795277</v>
      </c>
      <c r="Q58" s="48">
        <v>12635.625984251967</v>
      </c>
      <c r="R58" s="49"/>
      <c r="S58" s="52"/>
      <c r="T58" s="52"/>
      <c r="U58" s="53"/>
    </row>
    <row r="59" spans="2:22">
      <c r="B59" s="54" t="s">
        <v>1508</v>
      </c>
      <c r="C59" s="70" t="s">
        <v>1509</v>
      </c>
      <c r="D59" s="46">
        <v>4645.5748031496069</v>
      </c>
      <c r="E59" s="71">
        <v>4644.4881889763783</v>
      </c>
      <c r="F59" s="72">
        <v>4644.8070866141734</v>
      </c>
      <c r="G59" s="771">
        <v>299.90944881889766</v>
      </c>
      <c r="H59" s="771">
        <v>299.90944881889766</v>
      </c>
      <c r="I59" s="772">
        <v>299.90944881889766</v>
      </c>
      <c r="J59" s="771">
        <f>+D59+D60+G59</f>
        <v>9590.3267716535447</v>
      </c>
      <c r="K59" s="771">
        <f>+E59+E60+H59</f>
        <v>9589.1023622047269</v>
      </c>
      <c r="L59" s="771">
        <f>+F59+F60+I59</f>
        <v>9590.1496062992137</v>
      </c>
      <c r="M59" s="773">
        <f>MAX(J59:L60)-MIN(J59:L60)</f>
        <v>1.2244094488178234</v>
      </c>
      <c r="N59" s="47"/>
      <c r="O59" s="81">
        <v>15235.110236220475</v>
      </c>
      <c r="P59" s="83">
        <v>12950.476377952757</v>
      </c>
      <c r="Q59" s="48">
        <v>12557.976377952757</v>
      </c>
      <c r="R59" s="49" t="s">
        <v>6812</v>
      </c>
      <c r="S59" s="50">
        <f t="shared" ref="S59:U60" si="13">ABS(O59-O61)</f>
        <v>0.976377952756593</v>
      </c>
      <c r="T59" s="50">
        <f t="shared" si="13"/>
        <v>0.29921259842740255</v>
      </c>
      <c r="U59" s="51">
        <f t="shared" si="13"/>
        <v>0.29921259842376458</v>
      </c>
      <c r="V59" s="32"/>
    </row>
    <row r="60" spans="2:22">
      <c r="B60" s="54" t="s">
        <v>1504</v>
      </c>
      <c r="C60" s="70" t="s">
        <v>1505</v>
      </c>
      <c r="D60" s="46">
        <v>4644.8425196850394</v>
      </c>
      <c r="E60" s="71">
        <v>4644.7047244094492</v>
      </c>
      <c r="F60" s="72">
        <v>4645.4330708661419</v>
      </c>
      <c r="G60" s="771"/>
      <c r="H60" s="771"/>
      <c r="I60" s="772"/>
      <c r="J60" s="771"/>
      <c r="K60" s="771"/>
      <c r="L60" s="771"/>
      <c r="M60" s="773"/>
      <c r="N60" s="55"/>
      <c r="O60" s="81">
        <v>15234.377952755905</v>
      </c>
      <c r="P60" s="83">
        <v>12950.692913385828</v>
      </c>
      <c r="Q60" s="48">
        <v>12558.602362204725</v>
      </c>
      <c r="R60" s="49" t="s">
        <v>6813</v>
      </c>
      <c r="S60" s="50">
        <f t="shared" si="13"/>
        <v>0.54724409448681399</v>
      </c>
      <c r="T60" s="50">
        <f t="shared" si="13"/>
        <v>0.52755905512094614</v>
      </c>
      <c r="U60" s="51">
        <f t="shared" si="13"/>
        <v>0.91338582677053637</v>
      </c>
      <c r="V60" s="32"/>
    </row>
    <row r="61" spans="2:22">
      <c r="B61" s="54" t="s">
        <v>1506</v>
      </c>
      <c r="C61" s="70" t="s">
        <v>1507</v>
      </c>
      <c r="D61" s="46">
        <v>4644.6377952755902</v>
      </c>
      <c r="E61" s="71">
        <v>4644.4881889763783</v>
      </c>
      <c r="F61" s="72">
        <v>4645.2716535433074</v>
      </c>
      <c r="G61" s="771">
        <v>299.90944881889766</v>
      </c>
      <c r="H61" s="771">
        <v>299.90944881889766</v>
      </c>
      <c r="I61" s="772">
        <v>299.90944881889766</v>
      </c>
      <c r="J61" s="771">
        <f>+D61+D62+G61</f>
        <v>9588.8818897637811</v>
      </c>
      <c r="K61" s="771">
        <f>+E61+E62+H61</f>
        <v>9588.8740157480333</v>
      </c>
      <c r="L61" s="771">
        <f>+F61+F62+I61</f>
        <v>9590.4645669291349</v>
      </c>
      <c r="M61" s="773">
        <f>MAX(J61:L62)-MIN(J61:L62)</f>
        <v>1.5905511811015458</v>
      </c>
      <c r="N61" s="47"/>
      <c r="O61" s="81">
        <v>15234.133858267718</v>
      </c>
      <c r="P61" s="83">
        <v>12950.177165354329</v>
      </c>
      <c r="Q61" s="48">
        <v>12557.677165354333</v>
      </c>
      <c r="R61" s="49"/>
      <c r="S61" s="52"/>
      <c r="T61" s="52"/>
      <c r="U61" s="53"/>
    </row>
    <row r="62" spans="2:22">
      <c r="B62" s="54" t="s">
        <v>1502</v>
      </c>
      <c r="C62" s="70" t="s">
        <v>1503</v>
      </c>
      <c r="D62" s="46">
        <v>4644.3346456692916</v>
      </c>
      <c r="E62" s="71">
        <v>4644.4763779527566</v>
      </c>
      <c r="F62" s="72">
        <v>4645.2834645669291</v>
      </c>
      <c r="G62" s="771"/>
      <c r="H62" s="771"/>
      <c r="I62" s="772"/>
      <c r="J62" s="771"/>
      <c r="K62" s="771"/>
      <c r="L62" s="771"/>
      <c r="M62" s="773"/>
      <c r="N62" s="56"/>
      <c r="O62" s="81">
        <v>15233.830708661419</v>
      </c>
      <c r="P62" s="83">
        <v>12950.165354330707</v>
      </c>
      <c r="Q62" s="48">
        <v>12557.688976377955</v>
      </c>
      <c r="R62" s="49"/>
      <c r="S62" s="52"/>
      <c r="T62" s="52"/>
      <c r="U62" s="53"/>
    </row>
    <row r="63" spans="2:22">
      <c r="B63" s="54" t="s">
        <v>1516</v>
      </c>
      <c r="C63" s="70" t="s">
        <v>1517</v>
      </c>
      <c r="D63" s="46">
        <v>4644.8346456692916</v>
      </c>
      <c r="E63" s="71">
        <v>4644.7283464566935</v>
      </c>
      <c r="F63" s="72">
        <v>4644.1574803149606</v>
      </c>
      <c r="G63" s="771">
        <v>299.90944881889766</v>
      </c>
      <c r="H63" s="771">
        <v>299.90944881889766</v>
      </c>
      <c r="I63" s="772">
        <v>299.90944881889766</v>
      </c>
      <c r="J63" s="771">
        <f>+D63+D64+G63</f>
        <v>9589.708661417324</v>
      </c>
      <c r="K63" s="771">
        <f>+E63+E64+H63</f>
        <v>9589.3622047244116</v>
      </c>
      <c r="L63" s="771">
        <f>+F63+F64+I63</f>
        <v>9588.7519685039388</v>
      </c>
      <c r="M63" s="773">
        <f>MAX(J63:L64)-MIN(J63:L64)</f>
        <v>0.95669291338526818</v>
      </c>
      <c r="N63" s="56"/>
      <c r="O63" s="81">
        <v>14643.838582677166</v>
      </c>
      <c r="P63" s="83">
        <v>13541.496062992126</v>
      </c>
      <c r="Q63" s="48">
        <v>11769.381889763781</v>
      </c>
      <c r="R63" s="49" t="s">
        <v>6814</v>
      </c>
      <c r="S63" s="50">
        <f t="shared" ref="S63:U64" si="14">ABS(O63-O65)</f>
        <v>0.64173228346407996</v>
      </c>
      <c r="T63" s="50">
        <f t="shared" si="14"/>
        <v>0.25984251968475292</v>
      </c>
      <c r="U63" s="51">
        <f t="shared" si="14"/>
        <v>0.99606299212427984</v>
      </c>
      <c r="V63" s="32"/>
    </row>
    <row r="64" spans="2:22">
      <c r="B64" s="54" t="s">
        <v>1512</v>
      </c>
      <c r="C64" s="70" t="s">
        <v>1513</v>
      </c>
      <c r="D64" s="46">
        <v>4644.964566929134</v>
      </c>
      <c r="E64" s="71">
        <v>4644.7244094488187</v>
      </c>
      <c r="F64" s="72">
        <v>4644.6850393700788</v>
      </c>
      <c r="G64" s="771"/>
      <c r="H64" s="771"/>
      <c r="I64" s="772"/>
      <c r="J64" s="771"/>
      <c r="K64" s="771"/>
      <c r="L64" s="771"/>
      <c r="M64" s="773"/>
      <c r="N64" s="56"/>
      <c r="O64" s="81">
        <v>14643.968503937011</v>
      </c>
      <c r="P64" s="83">
        <v>13541.492125984252</v>
      </c>
      <c r="Q64" s="48">
        <v>11769.909448818897</v>
      </c>
      <c r="R64" s="49" t="s">
        <v>6815</v>
      </c>
      <c r="S64" s="50">
        <f t="shared" si="14"/>
        <v>4.7244094490451971E-2</v>
      </c>
      <c r="T64" s="50">
        <f t="shared" si="14"/>
        <v>0.46850393700879067</v>
      </c>
      <c r="U64" s="51">
        <f t="shared" si="14"/>
        <v>0.19685039370051527</v>
      </c>
      <c r="V64" s="32"/>
    </row>
    <row r="65" spans="2:22">
      <c r="B65" s="54" t="s">
        <v>1514</v>
      </c>
      <c r="C65" s="70" t="s">
        <v>1515</v>
      </c>
      <c r="D65" s="46">
        <v>4645.4094488188975</v>
      </c>
      <c r="E65" s="71">
        <v>4643.8700787401576</v>
      </c>
      <c r="F65" s="72">
        <v>4645.248031496063</v>
      </c>
      <c r="G65" s="771">
        <v>299.90944881889766</v>
      </c>
      <c r="H65" s="771">
        <v>299.90944881889766</v>
      </c>
      <c r="I65" s="772">
        <v>299.90944881889766</v>
      </c>
      <c r="J65" s="771">
        <f>+D65+D66+G65</f>
        <v>9590.1692913385832</v>
      </c>
      <c r="K65" s="771">
        <f>+E65+E66+H65</f>
        <v>9588.3740157480333</v>
      </c>
      <c r="L65" s="771">
        <f>+F65+F66+I65</f>
        <v>9590.1338582677181</v>
      </c>
      <c r="M65" s="773">
        <f>MAX(J65:L66)-MIN(J65:L66)</f>
        <v>1.7952755905498634</v>
      </c>
      <c r="N65" s="56"/>
      <c r="O65" s="81">
        <v>14644.48031496063</v>
      </c>
      <c r="P65" s="83">
        <v>13541.236220472441</v>
      </c>
      <c r="Q65" s="48">
        <v>11770.377952755905</v>
      </c>
      <c r="R65" s="49"/>
      <c r="S65" s="52"/>
      <c r="T65" s="52"/>
      <c r="U65" s="53"/>
    </row>
    <row r="66" spans="2:22">
      <c r="B66" s="54" t="s">
        <v>1510</v>
      </c>
      <c r="C66" s="70" t="s">
        <v>1511</v>
      </c>
      <c r="D66" s="46">
        <v>4644.8503937007881</v>
      </c>
      <c r="E66" s="71">
        <v>4644.5944881889764</v>
      </c>
      <c r="F66" s="72">
        <v>4644.9763779527557</v>
      </c>
      <c r="G66" s="771"/>
      <c r="H66" s="771"/>
      <c r="I66" s="772"/>
      <c r="J66" s="771"/>
      <c r="K66" s="771"/>
      <c r="L66" s="771"/>
      <c r="M66" s="773"/>
      <c r="N66" s="56"/>
      <c r="O66" s="81">
        <v>14643.92125984252</v>
      </c>
      <c r="P66" s="83">
        <v>13541.960629921261</v>
      </c>
      <c r="Q66" s="48">
        <v>11770.106299212597</v>
      </c>
      <c r="R66" s="49"/>
      <c r="S66" s="52"/>
      <c r="T66" s="52"/>
      <c r="U66" s="53"/>
    </row>
    <row r="67" spans="2:22">
      <c r="B67" s="54" t="s">
        <v>1524</v>
      </c>
      <c r="C67" s="70" t="s">
        <v>1525</v>
      </c>
      <c r="D67" s="46">
        <v>4644.3858267716532</v>
      </c>
      <c r="E67" s="71">
        <v>4644.7047244094492</v>
      </c>
      <c r="F67" s="72">
        <v>4645.1023622047251</v>
      </c>
      <c r="G67" s="771">
        <v>299.90944881889766</v>
      </c>
      <c r="H67" s="771">
        <v>299.90944881889766</v>
      </c>
      <c r="I67" s="772">
        <v>299.90944881889766</v>
      </c>
      <c r="J67" s="771">
        <f>+D67+D68+G67</f>
        <v>9588.9173228346463</v>
      </c>
      <c r="K67" s="771">
        <f>+E67+E68+H67</f>
        <v>9589.4803149606323</v>
      </c>
      <c r="L67" s="771">
        <f>+F67+F68+I67</f>
        <v>9590.2283464566954</v>
      </c>
      <c r="M67" s="773">
        <f>MAX(J67:L68)-MIN(J67:L68)</f>
        <v>1.3110236220491061</v>
      </c>
      <c r="N67" s="56"/>
      <c r="O67" s="81">
        <v>18935.118110236221</v>
      </c>
      <c r="P67" s="83">
        <v>13069.039370078741</v>
      </c>
      <c r="Q67" s="48">
        <v>11770.031496062993</v>
      </c>
      <c r="R67" s="49" t="s">
        <v>6816</v>
      </c>
      <c r="S67" s="50">
        <f t="shared" ref="S67:U68" si="15">ABS(O67-O69)</f>
        <v>0.71653543307184009</v>
      </c>
      <c r="T67" s="50">
        <f t="shared" si="15"/>
        <v>0.52362204724522599</v>
      </c>
      <c r="U67" s="51">
        <f t="shared" si="15"/>
        <v>0.22440944881782343</v>
      </c>
      <c r="V67" s="32"/>
    </row>
    <row r="68" spans="2:22">
      <c r="B68" s="54" t="s">
        <v>1520</v>
      </c>
      <c r="C68" s="70" t="s">
        <v>1521</v>
      </c>
      <c r="D68" s="46">
        <v>4644.6220472440946</v>
      </c>
      <c r="E68" s="71">
        <v>4644.8661417322837</v>
      </c>
      <c r="F68" s="72">
        <v>4645.2165354330709</v>
      </c>
      <c r="G68" s="771"/>
      <c r="H68" s="771"/>
      <c r="I68" s="772"/>
      <c r="J68" s="771"/>
      <c r="K68" s="771"/>
      <c r="L68" s="771"/>
      <c r="M68" s="773"/>
      <c r="N68" s="56"/>
      <c r="O68" s="81">
        <v>18935.354330708662</v>
      </c>
      <c r="P68" s="83">
        <v>13069.200787401576</v>
      </c>
      <c r="Q68" s="48">
        <v>11770.14566929134</v>
      </c>
      <c r="R68" s="49" t="s">
        <v>6817</v>
      </c>
      <c r="S68" s="50">
        <f t="shared" si="15"/>
        <v>0.35826771653592004</v>
      </c>
      <c r="T68" s="50">
        <f t="shared" si="15"/>
        <v>0.11811023622067296</v>
      </c>
      <c r="U68" s="51">
        <f t="shared" si="15"/>
        <v>2.3622047241588007E-2</v>
      </c>
      <c r="V68" s="32"/>
    </row>
    <row r="69" spans="2:22">
      <c r="B69" s="54" t="s">
        <v>1522</v>
      </c>
      <c r="C69" s="70" t="s">
        <v>1523</v>
      </c>
      <c r="D69" s="46">
        <v>4645.2204724409448</v>
      </c>
      <c r="E69" s="71">
        <v>4645.2440944881891</v>
      </c>
      <c r="F69" s="72">
        <v>4644.8937007874019</v>
      </c>
      <c r="G69" s="771">
        <v>299.90944881889766</v>
      </c>
      <c r="H69" s="771">
        <v>299.90944881889766</v>
      </c>
      <c r="I69" s="772">
        <v>299.90944881889766</v>
      </c>
      <c r="J69" s="771">
        <f>+D69+D70+G69</f>
        <v>9590.2283464566935</v>
      </c>
      <c r="K69" s="771">
        <f>+E69+E70+H69</f>
        <v>9589.9173228346463</v>
      </c>
      <c r="L69" s="771">
        <f>+F69+F70+I69</f>
        <v>9589.6102362204747</v>
      </c>
      <c r="M69" s="773">
        <f>MAX(J69:L70)-MIN(J69:L70)</f>
        <v>0.61811023621885397</v>
      </c>
      <c r="N69" s="56"/>
      <c r="O69" s="81">
        <v>18935.834645669293</v>
      </c>
      <c r="P69" s="83">
        <v>13069.562992125986</v>
      </c>
      <c r="Q69" s="48">
        <v>11770.255905511811</v>
      </c>
      <c r="R69" s="49"/>
      <c r="S69" s="52"/>
      <c r="T69" s="52"/>
      <c r="U69" s="53"/>
    </row>
    <row r="70" spans="2:22" ht="15" thickBot="1">
      <c r="B70" s="54" t="s">
        <v>1518</v>
      </c>
      <c r="C70" s="70" t="s">
        <v>1519</v>
      </c>
      <c r="D70" s="46">
        <v>4645.0984251968503</v>
      </c>
      <c r="E70" s="73">
        <v>4644.7637795275596</v>
      </c>
      <c r="F70" s="74">
        <v>4644.8070866141734</v>
      </c>
      <c r="G70" s="775"/>
      <c r="H70" s="775"/>
      <c r="I70" s="776"/>
      <c r="J70" s="775"/>
      <c r="K70" s="775"/>
      <c r="L70" s="775"/>
      <c r="M70" s="774"/>
      <c r="N70" s="56"/>
      <c r="O70" s="383">
        <v>18935.712598425198</v>
      </c>
      <c r="P70" s="84">
        <v>13069.082677165356</v>
      </c>
      <c r="Q70" s="60">
        <v>11770.169291338581</v>
      </c>
      <c r="R70" s="441"/>
      <c r="S70" s="59"/>
      <c r="T70" s="59"/>
      <c r="U70" s="58"/>
    </row>
    <row r="71" spans="2:22">
      <c r="F71" s="47"/>
      <c r="G71" s="47"/>
      <c r="U71" s="32"/>
      <c r="V71" s="32"/>
    </row>
    <row r="73" spans="2:22" ht="15" thickBot="1"/>
    <row r="74" spans="2:22">
      <c r="K74" s="61" t="s">
        <v>6818</v>
      </c>
      <c r="L74" s="62">
        <f>MAX(J7:L70)</f>
        <v>9590.5118110236235</v>
      </c>
    </row>
    <row r="75" spans="2:22">
      <c r="K75" s="63" t="s">
        <v>6819</v>
      </c>
      <c r="L75" s="64">
        <f>MIN(J7:L70)</f>
        <v>9588.3740157480333</v>
      </c>
      <c r="T75" s="32"/>
      <c r="U75" s="32"/>
      <c r="V75" s="32"/>
    </row>
    <row r="76" spans="2:22" ht="15" thickBot="1">
      <c r="K76" s="57"/>
      <c r="L76" s="65">
        <f>+L74-L75</f>
        <v>2.1377952755901788</v>
      </c>
      <c r="T76" s="32"/>
      <c r="U76" s="32"/>
      <c r="V76" s="32"/>
    </row>
    <row r="77" spans="2:22">
      <c r="R77" s="32"/>
      <c r="S77" s="32"/>
    </row>
    <row r="78" spans="2:22">
      <c r="K78" s="66" t="s">
        <v>6820</v>
      </c>
      <c r="L78" s="35">
        <v>1000</v>
      </c>
      <c r="M78" s="30" t="str">
        <f>IF(L76&gt;L78,"Wrong","OK")</f>
        <v>OK</v>
      </c>
    </row>
  </sheetData>
  <mergeCells count="227">
    <mergeCell ref="G67:G68"/>
    <mergeCell ref="G69:G7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67:J68"/>
    <mergeCell ref="J51:J52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13:G14"/>
    <mergeCell ref="G15:G16"/>
    <mergeCell ref="G17:G18"/>
    <mergeCell ref="G23:G24"/>
    <mergeCell ref="G19:G20"/>
    <mergeCell ref="G21:G22"/>
    <mergeCell ref="G25:G26"/>
    <mergeCell ref="G27:G28"/>
    <mergeCell ref="G29:G30"/>
    <mergeCell ref="M65:M66"/>
    <mergeCell ref="H63:H64"/>
    <mergeCell ref="I63:I64"/>
    <mergeCell ref="K63:K64"/>
    <mergeCell ref="L63:L64"/>
    <mergeCell ref="M63:M64"/>
    <mergeCell ref="J63:J64"/>
    <mergeCell ref="J65:J66"/>
    <mergeCell ref="M69:M70"/>
    <mergeCell ref="H67:H68"/>
    <mergeCell ref="I67:I68"/>
    <mergeCell ref="K67:K68"/>
    <mergeCell ref="L67:L68"/>
    <mergeCell ref="M67:M68"/>
    <mergeCell ref="J69:J70"/>
    <mergeCell ref="H69:H70"/>
    <mergeCell ref="I69:I70"/>
    <mergeCell ref="K69:K70"/>
    <mergeCell ref="L69:L70"/>
    <mergeCell ref="H65:H66"/>
    <mergeCell ref="I65:I66"/>
    <mergeCell ref="K65:K66"/>
    <mergeCell ref="L65:L66"/>
    <mergeCell ref="H61:H62"/>
    <mergeCell ref="I61:I62"/>
    <mergeCell ref="K61:K62"/>
    <mergeCell ref="L61:L62"/>
    <mergeCell ref="M61:M62"/>
    <mergeCell ref="H59:H60"/>
    <mergeCell ref="I59:I60"/>
    <mergeCell ref="K59:K60"/>
    <mergeCell ref="L59:L60"/>
    <mergeCell ref="M59:M60"/>
    <mergeCell ref="J59:J60"/>
    <mergeCell ref="J61:J62"/>
    <mergeCell ref="H57:H58"/>
    <mergeCell ref="I57:I58"/>
    <mergeCell ref="K57:K58"/>
    <mergeCell ref="L57:L58"/>
    <mergeCell ref="M57:M58"/>
    <mergeCell ref="H55:H56"/>
    <mergeCell ref="I55:I56"/>
    <mergeCell ref="K55:K56"/>
    <mergeCell ref="L55:L56"/>
    <mergeCell ref="M55:M56"/>
    <mergeCell ref="J55:J56"/>
    <mergeCell ref="J57:J58"/>
    <mergeCell ref="H53:H54"/>
    <mergeCell ref="I53:I54"/>
    <mergeCell ref="K53:K54"/>
    <mergeCell ref="L53:L54"/>
    <mergeCell ref="M53:M54"/>
    <mergeCell ref="H51:H52"/>
    <mergeCell ref="I51:I52"/>
    <mergeCell ref="K51:K52"/>
    <mergeCell ref="L51:L52"/>
    <mergeCell ref="M51:M52"/>
    <mergeCell ref="J53:J54"/>
    <mergeCell ref="H49:H50"/>
    <mergeCell ref="I49:I50"/>
    <mergeCell ref="K49:K50"/>
    <mergeCell ref="L49:L50"/>
    <mergeCell ref="M49:M50"/>
    <mergeCell ref="H47:H48"/>
    <mergeCell ref="I47:I48"/>
    <mergeCell ref="K47:K48"/>
    <mergeCell ref="L47:L48"/>
    <mergeCell ref="M47:M48"/>
    <mergeCell ref="H45:H46"/>
    <mergeCell ref="I45:I46"/>
    <mergeCell ref="K45:K46"/>
    <mergeCell ref="L45:L46"/>
    <mergeCell ref="M45:M46"/>
    <mergeCell ref="H43:H44"/>
    <mergeCell ref="I43:I44"/>
    <mergeCell ref="K43:K44"/>
    <mergeCell ref="L43:L44"/>
    <mergeCell ref="M43:M44"/>
    <mergeCell ref="H41:H42"/>
    <mergeCell ref="I41:I42"/>
    <mergeCell ref="K41:K42"/>
    <mergeCell ref="L41:L42"/>
    <mergeCell ref="M41:M42"/>
    <mergeCell ref="H39:H40"/>
    <mergeCell ref="I39:I40"/>
    <mergeCell ref="K39:K40"/>
    <mergeCell ref="L39:L40"/>
    <mergeCell ref="M39:M40"/>
    <mergeCell ref="H37:H38"/>
    <mergeCell ref="I37:I38"/>
    <mergeCell ref="K37:K38"/>
    <mergeCell ref="L37:L38"/>
    <mergeCell ref="M37:M38"/>
    <mergeCell ref="H35:H36"/>
    <mergeCell ref="I35:I36"/>
    <mergeCell ref="K35:K36"/>
    <mergeCell ref="L35:L36"/>
    <mergeCell ref="M35:M36"/>
    <mergeCell ref="H33:H34"/>
    <mergeCell ref="I33:I34"/>
    <mergeCell ref="K33:K34"/>
    <mergeCell ref="L33:L34"/>
    <mergeCell ref="M33:M34"/>
    <mergeCell ref="H31:H32"/>
    <mergeCell ref="I31:I32"/>
    <mergeCell ref="K31:K32"/>
    <mergeCell ref="L31:L32"/>
    <mergeCell ref="M31:M32"/>
    <mergeCell ref="H29:H30"/>
    <mergeCell ref="I29:I30"/>
    <mergeCell ref="K29:K30"/>
    <mergeCell ref="L29:L30"/>
    <mergeCell ref="M29:M30"/>
    <mergeCell ref="H27:H28"/>
    <mergeCell ref="I27:I28"/>
    <mergeCell ref="K27:K28"/>
    <mergeCell ref="L27:L28"/>
    <mergeCell ref="M27:M28"/>
    <mergeCell ref="H25:H26"/>
    <mergeCell ref="I25:I26"/>
    <mergeCell ref="K25:K26"/>
    <mergeCell ref="L25:L26"/>
    <mergeCell ref="M25:M26"/>
    <mergeCell ref="H23:H24"/>
    <mergeCell ref="I23:I24"/>
    <mergeCell ref="K23:K24"/>
    <mergeCell ref="L23:L24"/>
    <mergeCell ref="M23:M24"/>
    <mergeCell ref="H21:H22"/>
    <mergeCell ref="I21:I22"/>
    <mergeCell ref="K21:K22"/>
    <mergeCell ref="L21:L22"/>
    <mergeCell ref="M21:M22"/>
    <mergeCell ref="H19:H20"/>
    <mergeCell ref="I19:I20"/>
    <mergeCell ref="K19:K20"/>
    <mergeCell ref="L19:L20"/>
    <mergeCell ref="M19:M20"/>
    <mergeCell ref="H17:H18"/>
    <mergeCell ref="I17:I18"/>
    <mergeCell ref="K17:K18"/>
    <mergeCell ref="L17:L18"/>
    <mergeCell ref="M17:M18"/>
    <mergeCell ref="H15:H16"/>
    <mergeCell ref="I15:I16"/>
    <mergeCell ref="K15:K16"/>
    <mergeCell ref="L15:L16"/>
    <mergeCell ref="M15:M16"/>
    <mergeCell ref="H13:H14"/>
    <mergeCell ref="I13:I14"/>
    <mergeCell ref="K13:K14"/>
    <mergeCell ref="L13:L14"/>
    <mergeCell ref="M13:M14"/>
    <mergeCell ref="J9:J10"/>
    <mergeCell ref="H11:H12"/>
    <mergeCell ref="I11:I12"/>
    <mergeCell ref="K11:K12"/>
    <mergeCell ref="L11:L12"/>
    <mergeCell ref="C5:C6"/>
    <mergeCell ref="M5:M6"/>
    <mergeCell ref="R5:U5"/>
    <mergeCell ref="H7:H8"/>
    <mergeCell ref="I7:I8"/>
    <mergeCell ref="K7:K8"/>
    <mergeCell ref="L7:L8"/>
    <mergeCell ref="G7:G8"/>
    <mergeCell ref="M11:M12"/>
    <mergeCell ref="M7:M8"/>
    <mergeCell ref="J7:J8"/>
    <mergeCell ref="H9:H10"/>
    <mergeCell ref="I9:I10"/>
    <mergeCell ref="K9:K10"/>
    <mergeCell ref="L9:L10"/>
    <mergeCell ref="M9:M10"/>
    <mergeCell ref="G9:G10"/>
    <mergeCell ref="G11:G12"/>
  </mergeCells>
  <phoneticPr fontId="12"/>
  <conditionalFormatting sqref="F4:G4">
    <cfRule type="cellIs" dxfId="360" priority="228" stopIfTrue="1" operator="equal">
      <formula>"WRONG"</formula>
    </cfRule>
  </conditionalFormatting>
  <conditionalFormatting sqref="L78">
    <cfRule type="cellIs" dxfId="359" priority="227" stopIfTrue="1" operator="equal">
      <formula>"WRONG"</formula>
    </cfRule>
  </conditionalFormatting>
  <conditionalFormatting sqref="L4:M4">
    <cfRule type="cellIs" dxfId="358" priority="201" stopIfTrue="1" operator="equal">
      <formula>"WRONG"</formula>
    </cfRule>
  </conditionalFormatting>
  <conditionalFormatting sqref="M7:M70">
    <cfRule type="expression" dxfId="357" priority="257" stopIfTrue="1">
      <formula>M7&gt;$M$4</formula>
    </cfRule>
  </conditionalFormatting>
  <conditionalFormatting sqref="S7:S8">
    <cfRule type="expression" dxfId="356" priority="174" stopIfTrue="1">
      <formula>S7&gt;$U$4</formula>
    </cfRule>
  </conditionalFormatting>
  <conditionalFormatting sqref="S15:S16">
    <cfRule type="expression" dxfId="355" priority="162" stopIfTrue="1">
      <formula>S15&gt;$U$4</formula>
    </cfRule>
  </conditionalFormatting>
  <conditionalFormatting sqref="S19:S20">
    <cfRule type="expression" dxfId="354" priority="156" stopIfTrue="1">
      <formula>S19&gt;$U$4</formula>
    </cfRule>
  </conditionalFormatting>
  <conditionalFormatting sqref="S23:S24">
    <cfRule type="expression" dxfId="353" priority="150" stopIfTrue="1">
      <formula>S23&gt;$U$4</formula>
    </cfRule>
  </conditionalFormatting>
  <conditionalFormatting sqref="S27:S28">
    <cfRule type="expression" dxfId="352" priority="144" stopIfTrue="1">
      <formula>S27&gt;$U$4</formula>
    </cfRule>
  </conditionalFormatting>
  <conditionalFormatting sqref="S11:V12">
    <cfRule type="expression" dxfId="351" priority="168" stopIfTrue="1">
      <formula>S11&gt;$U$4</formula>
    </cfRule>
  </conditionalFormatting>
  <conditionalFormatting sqref="S31:V32">
    <cfRule type="expression" dxfId="350" priority="26" stopIfTrue="1">
      <formula>S31&gt;$U$4</formula>
    </cfRule>
  </conditionalFormatting>
  <conditionalFormatting sqref="S35:V36">
    <cfRule type="expression" dxfId="349" priority="32" stopIfTrue="1">
      <formula>S35&gt;$U$4</formula>
    </cfRule>
  </conditionalFormatting>
  <conditionalFormatting sqref="S39:V40">
    <cfRule type="expression" dxfId="348" priority="38" stopIfTrue="1">
      <formula>S39&gt;$U$4</formula>
    </cfRule>
  </conditionalFormatting>
  <conditionalFormatting sqref="S43:V44">
    <cfRule type="expression" dxfId="347" priority="44" stopIfTrue="1">
      <formula>S43&gt;$U$4</formula>
    </cfRule>
  </conditionalFormatting>
  <conditionalFormatting sqref="S47:V48">
    <cfRule type="expression" dxfId="346" priority="50" stopIfTrue="1">
      <formula>S47&gt;$U$4</formula>
    </cfRule>
  </conditionalFormatting>
  <conditionalFormatting sqref="S51:V52">
    <cfRule type="expression" dxfId="345" priority="56" stopIfTrue="1">
      <formula>S51&gt;$U$4</formula>
    </cfRule>
  </conditionalFormatting>
  <conditionalFormatting sqref="S55:V56">
    <cfRule type="expression" dxfId="344" priority="62" stopIfTrue="1">
      <formula>S55&gt;$U$4</formula>
    </cfRule>
  </conditionalFormatting>
  <conditionalFormatting sqref="S59:V60">
    <cfRule type="expression" dxfId="343" priority="68" stopIfTrue="1">
      <formula>S59&gt;$U$4</formula>
    </cfRule>
  </conditionalFormatting>
  <conditionalFormatting sqref="S63:V64">
    <cfRule type="expression" dxfId="342" priority="74" stopIfTrue="1">
      <formula>S63&gt;$U$4</formula>
    </cfRule>
  </conditionalFormatting>
  <conditionalFormatting sqref="S67:V68">
    <cfRule type="expression" dxfId="341" priority="80" stopIfTrue="1">
      <formula>S67&gt;$U$4</formula>
    </cfRule>
  </conditionalFormatting>
  <conditionalFormatting sqref="T7:V7">
    <cfRule type="expression" dxfId="340" priority="175" stopIfTrue="1">
      <formula>T7&gt;$U$4</formula>
    </cfRule>
  </conditionalFormatting>
  <conditionalFormatting sqref="T8:V8">
    <cfRule type="expression" dxfId="339" priority="248" stopIfTrue="1">
      <formula>T8&gt;4</formula>
    </cfRule>
  </conditionalFormatting>
  <conditionalFormatting sqref="T15:V15">
    <cfRule type="expression" dxfId="338" priority="163" stopIfTrue="1">
      <formula>T15&gt;$U$4</formula>
    </cfRule>
  </conditionalFormatting>
  <conditionalFormatting sqref="T16:V16">
    <cfRule type="expression" dxfId="337" priority="166" stopIfTrue="1">
      <formula>T16&gt;4</formula>
    </cfRule>
  </conditionalFormatting>
  <conditionalFormatting sqref="T19:V19">
    <cfRule type="expression" dxfId="336" priority="157" stopIfTrue="1">
      <formula>T19&gt;$U$4</formula>
    </cfRule>
  </conditionalFormatting>
  <conditionalFormatting sqref="T20:V20">
    <cfRule type="expression" dxfId="335" priority="160" stopIfTrue="1">
      <formula>T20&gt;4</formula>
    </cfRule>
  </conditionalFormatting>
  <conditionalFormatting sqref="T23:V23">
    <cfRule type="expression" dxfId="334" priority="151" stopIfTrue="1">
      <formula>T23&gt;$U$4</formula>
    </cfRule>
  </conditionalFormatting>
  <conditionalFormatting sqref="T24:V24">
    <cfRule type="expression" dxfId="333" priority="154" stopIfTrue="1">
      <formula>T24&gt;4</formula>
    </cfRule>
  </conditionalFormatting>
  <conditionalFormatting sqref="T27:V27">
    <cfRule type="expression" dxfId="332" priority="145" stopIfTrue="1">
      <formula>T27&gt;$U$4</formula>
    </cfRule>
  </conditionalFormatting>
  <conditionalFormatting sqref="T28:V28">
    <cfRule type="expression" dxfId="331" priority="148" stopIfTrue="1">
      <formula>T28&gt;4</formula>
    </cfRule>
  </conditionalFormatting>
  <conditionalFormatting sqref="U4:V4">
    <cfRule type="cellIs" dxfId="330" priority="230" stopIfTrue="1" operator="equal">
      <formula>"WRONG"</formula>
    </cfRule>
  </conditionalFormatting>
  <pageMargins left="0.7" right="0.7" top="0.75" bottom="0.75" header="0.3" footer="0.3"/>
  <pageSetup paperSize="9" scale="62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30A-F379-4FD8-BC42-183C1750D512}">
  <sheetPr codeName="Sheet5">
    <pageSetUpPr fitToPage="1"/>
  </sheetPr>
  <dimension ref="B1:T169"/>
  <sheetViews>
    <sheetView zoomScale="70" zoomScaleNormal="70" workbookViewId="0"/>
  </sheetViews>
  <sheetFormatPr defaultColWidth="9" defaultRowHeight="14.25"/>
  <cols>
    <col min="1" max="1" width="3.7109375" style="30" customWidth="1"/>
    <col min="2" max="2" width="9" style="30"/>
    <col min="3" max="3" width="24" style="30" customWidth="1"/>
    <col min="4" max="6" width="10.140625" style="85" bestFit="1" customWidth="1"/>
    <col min="7" max="7" width="14.7109375" style="85" customWidth="1"/>
    <col min="8" max="8" width="10" style="85" customWidth="1"/>
    <col min="9" max="9" width="10.5703125" style="85" customWidth="1"/>
    <col min="10" max="10" width="10.5703125" style="86" customWidth="1"/>
    <col min="11" max="16384" width="9" style="30"/>
  </cols>
  <sheetData>
    <row r="1" spans="2:20" ht="25.5">
      <c r="C1" s="391" t="s">
        <v>7496</v>
      </c>
      <c r="D1" s="32"/>
      <c r="E1" s="30"/>
      <c r="G1" s="136">
        <v>41712</v>
      </c>
      <c r="H1" s="33"/>
      <c r="J1" s="389"/>
    </row>
    <row r="2" spans="2:20" ht="25.5">
      <c r="C2" s="31" t="s">
        <v>6824</v>
      </c>
      <c r="D2" s="30" t="s">
        <v>6772</v>
      </c>
      <c r="E2" s="35">
        <v>11000</v>
      </c>
      <c r="F2" s="30"/>
      <c r="I2" s="34"/>
      <c r="J2" s="34"/>
    </row>
    <row r="3" spans="2:20" ht="26.25" thickBot="1">
      <c r="C3" s="31"/>
      <c r="D3" s="30" t="s">
        <v>7519</v>
      </c>
      <c r="E3" s="85">
        <f>MAX(D6:F165)</f>
        <v>7172.2755905511822</v>
      </c>
      <c r="F3" s="85" t="s">
        <v>7520</v>
      </c>
      <c r="G3" s="30" t="str">
        <f>IF(E2&lt;E$3,"Wrong","OK")</f>
        <v>OK</v>
      </c>
      <c r="I3" s="34"/>
      <c r="J3" s="34"/>
    </row>
    <row r="4" spans="2:20" ht="15" thickBot="1">
      <c r="B4" s="36"/>
      <c r="C4" s="763" t="s">
        <v>6773</v>
      </c>
      <c r="D4" s="120" t="s">
        <v>6825</v>
      </c>
      <c r="E4" s="120"/>
      <c r="F4" s="121"/>
    </row>
    <row r="5" spans="2:20" ht="30" customHeight="1" thickBot="1">
      <c r="B5" s="38" t="s">
        <v>6826</v>
      </c>
      <c r="C5" s="763"/>
      <c r="D5" s="446" t="s">
        <v>6822</v>
      </c>
      <c r="E5" s="447" t="s">
        <v>6780</v>
      </c>
      <c r="F5" s="448" t="s">
        <v>6781</v>
      </c>
      <c r="G5" s="89"/>
      <c r="H5" s="87" t="s">
        <v>6822</v>
      </c>
      <c r="I5" s="122" t="s">
        <v>6780</v>
      </c>
      <c r="J5" s="88" t="s">
        <v>6781</v>
      </c>
    </row>
    <row r="6" spans="2:20" s="90" customFormat="1" ht="15" thickBot="1">
      <c r="B6" s="91" t="s">
        <v>388</v>
      </c>
      <c r="C6" s="92" t="s">
        <v>389</v>
      </c>
      <c r="D6" s="93">
        <v>6412.3937007874019</v>
      </c>
      <c r="E6" s="112">
        <v>6415.4606299212601</v>
      </c>
      <c r="F6" s="94">
        <v>6424.9015748031497</v>
      </c>
      <c r="R6" s="119"/>
      <c r="S6" s="119"/>
      <c r="T6" s="119"/>
    </row>
    <row r="7" spans="2:20" s="90" customFormat="1">
      <c r="B7" s="95" t="s">
        <v>390</v>
      </c>
      <c r="C7" s="96" t="s">
        <v>391</v>
      </c>
      <c r="D7" s="97">
        <v>6422.7047244094483</v>
      </c>
      <c r="E7" s="113">
        <v>6424.748031496064</v>
      </c>
      <c r="F7" s="104">
        <v>6416.8503937007872</v>
      </c>
      <c r="G7" s="777" t="s">
        <v>6828</v>
      </c>
      <c r="H7" s="777"/>
      <c r="I7" s="778"/>
      <c r="J7" s="779"/>
      <c r="R7" s="119"/>
      <c r="S7" s="119"/>
      <c r="T7" s="119"/>
    </row>
    <row r="8" spans="2:20" s="90" customFormat="1">
      <c r="B8" s="95" t="s">
        <v>392</v>
      </c>
      <c r="C8" s="96" t="s">
        <v>393</v>
      </c>
      <c r="D8" s="97">
        <v>6411.6023622047251</v>
      </c>
      <c r="E8" s="113">
        <v>6424.3425196850403</v>
      </c>
      <c r="F8" s="104">
        <v>6421.2204724409448</v>
      </c>
      <c r="G8" s="442"/>
      <c r="H8" s="98" t="s">
        <v>6822</v>
      </c>
      <c r="I8" s="98" t="s">
        <v>6780</v>
      </c>
      <c r="J8" s="99" t="s">
        <v>6781</v>
      </c>
      <c r="R8" s="119"/>
      <c r="S8" s="119"/>
      <c r="T8" s="119"/>
    </row>
    <row r="9" spans="2:20" s="90" customFormat="1">
      <c r="B9" s="95" t="s">
        <v>394</v>
      </c>
      <c r="C9" s="96" t="s">
        <v>395</v>
      </c>
      <c r="D9" s="97">
        <v>6418.0196850393704</v>
      </c>
      <c r="E9" s="113">
        <v>6416.2637795275587</v>
      </c>
      <c r="F9" s="104">
        <v>6424.4724409448827</v>
      </c>
      <c r="G9" s="443" t="s">
        <v>6827</v>
      </c>
      <c r="H9" s="98">
        <f>MAX(D6:D15)</f>
        <v>6422.7047244094483</v>
      </c>
      <c r="I9" s="98">
        <f>MAX(E6:E15)</f>
        <v>6424.748031496064</v>
      </c>
      <c r="J9" s="99">
        <f>MAX(F6:F15)</f>
        <v>6424.9015748031497</v>
      </c>
      <c r="R9" s="119"/>
      <c r="S9" s="119"/>
      <c r="T9" s="119"/>
    </row>
    <row r="10" spans="2:20" s="90" customFormat="1">
      <c r="B10" s="95" t="s">
        <v>396</v>
      </c>
      <c r="C10" s="96" t="s">
        <v>397</v>
      </c>
      <c r="D10" s="97">
        <v>6411.0157480314965</v>
      </c>
      <c r="E10" s="113">
        <v>6412.4330708661419</v>
      </c>
      <c r="F10" s="104">
        <v>6411.5354330708669</v>
      </c>
      <c r="G10" s="443" t="s">
        <v>6829</v>
      </c>
      <c r="H10" s="98">
        <f>MIN(D6:D15)</f>
        <v>6411.0157480314965</v>
      </c>
      <c r="I10" s="98">
        <f>MIN(E6:E15)</f>
        <v>6412.4330708661419</v>
      </c>
      <c r="J10" s="99">
        <f>MIN(F6:F15)</f>
        <v>6410.3228346456699</v>
      </c>
      <c r="R10" s="119"/>
      <c r="S10" s="119"/>
      <c r="T10" s="119"/>
    </row>
    <row r="11" spans="2:20" s="90" customFormat="1" ht="15" thickBot="1">
      <c r="B11" s="95" t="s">
        <v>398</v>
      </c>
      <c r="C11" s="96" t="s">
        <v>399</v>
      </c>
      <c r="D11" s="97">
        <v>6411.7834645669291</v>
      </c>
      <c r="E11" s="113">
        <v>6424.2047244094492</v>
      </c>
      <c r="F11" s="104">
        <v>6410.3228346456699</v>
      </c>
      <c r="G11" s="444" t="s">
        <v>6830</v>
      </c>
      <c r="H11" s="102">
        <f>H9-H10</f>
        <v>11.688976377951803</v>
      </c>
      <c r="I11" s="102">
        <f>I9-I10</f>
        <v>12.314960629922098</v>
      </c>
      <c r="J11" s="103">
        <f>J9-J10</f>
        <v>14.578740157479842</v>
      </c>
      <c r="R11" s="119"/>
      <c r="S11" s="119"/>
      <c r="T11" s="119"/>
    </row>
    <row r="12" spans="2:20" s="90" customFormat="1" ht="15" thickBot="1">
      <c r="B12" s="95" t="s">
        <v>400</v>
      </c>
      <c r="C12" s="96" t="s">
        <v>401</v>
      </c>
      <c r="D12" s="97">
        <v>6414.464566929134</v>
      </c>
      <c r="E12" s="113">
        <v>6424.3818897637802</v>
      </c>
      <c r="F12" s="104">
        <v>6418.5866141732295</v>
      </c>
      <c r="H12" s="30" t="str">
        <f>IF(H11&gt;$L12,"Wrong","OK")</f>
        <v>OK</v>
      </c>
      <c r="I12" s="30" t="str">
        <f>IF(I11&gt;$L12,"Wrong","OK")</f>
        <v>OK</v>
      </c>
      <c r="J12" s="30" t="str">
        <f>IF(J11&gt;$L12,"Wrong","OK")</f>
        <v>OK</v>
      </c>
      <c r="K12" s="30" t="s">
        <v>6772</v>
      </c>
      <c r="L12" s="35">
        <v>20</v>
      </c>
      <c r="R12" s="119"/>
      <c r="S12" s="119"/>
      <c r="T12" s="119"/>
    </row>
    <row r="13" spans="2:20" s="90" customFormat="1">
      <c r="B13" s="95" t="s">
        <v>402</v>
      </c>
      <c r="C13" s="96" t="s">
        <v>403</v>
      </c>
      <c r="D13" s="97">
        <v>6416.3346456692916</v>
      </c>
      <c r="E13" s="113">
        <v>6416.7401574803152</v>
      </c>
      <c r="F13" s="104">
        <v>6421.8858267716541</v>
      </c>
      <c r="G13" s="445"/>
      <c r="H13" s="105" t="s">
        <v>6822</v>
      </c>
      <c r="I13" s="105" t="s">
        <v>6780</v>
      </c>
      <c r="J13" s="106" t="s">
        <v>6781</v>
      </c>
      <c r="R13" s="119"/>
      <c r="S13" s="119"/>
      <c r="T13" s="119"/>
    </row>
    <row r="14" spans="2:20" s="90" customFormat="1">
      <c r="B14" s="95" t="s">
        <v>644</v>
      </c>
      <c r="C14" s="96" t="s">
        <v>645</v>
      </c>
      <c r="D14" s="97">
        <v>6417.429133858268</v>
      </c>
      <c r="E14" s="113">
        <v>6417.4606299212601</v>
      </c>
      <c r="F14" s="104">
        <v>6418.2244094488187</v>
      </c>
      <c r="G14" s="787" t="s">
        <v>6831</v>
      </c>
      <c r="H14" s="782">
        <f>ABS(D14-D15)</f>
        <v>0.69685039370051527</v>
      </c>
      <c r="I14" s="782">
        <f>ABS(E14-E15)</f>
        <v>0.18897637795271294</v>
      </c>
      <c r="J14" s="784">
        <f>ABS(F14-F15)</f>
        <v>0.51574803149651416</v>
      </c>
      <c r="K14" s="30" t="s">
        <v>6772</v>
      </c>
      <c r="L14" s="35">
        <v>4</v>
      </c>
      <c r="R14" s="119"/>
      <c r="S14" s="119"/>
      <c r="T14" s="119"/>
    </row>
    <row r="15" spans="2:20" s="90" customFormat="1" ht="15" thickBot="1">
      <c r="B15" s="107" t="s">
        <v>676</v>
      </c>
      <c r="C15" s="108" t="s">
        <v>677</v>
      </c>
      <c r="D15" s="109">
        <v>6418.1259842519685</v>
      </c>
      <c r="E15" s="115">
        <v>6417.6496062992128</v>
      </c>
      <c r="F15" s="110">
        <v>6418.7401574803152</v>
      </c>
      <c r="G15" s="788"/>
      <c r="H15" s="783"/>
      <c r="I15" s="783"/>
      <c r="J15" s="785"/>
      <c r="L15" s="30" t="str">
        <f>IF(MAX(H14:J15)&gt;L14,"Wrong","OK")</f>
        <v>OK</v>
      </c>
      <c r="R15" s="119"/>
      <c r="S15" s="119"/>
      <c r="T15" s="119"/>
    </row>
    <row r="16" spans="2:20" s="90" customFormat="1" ht="15" thickBot="1">
      <c r="B16" s="91" t="s">
        <v>404</v>
      </c>
      <c r="C16" s="111" t="s">
        <v>405</v>
      </c>
      <c r="D16" s="451">
        <v>4966.748031496063</v>
      </c>
      <c r="E16" s="449">
        <v>4957.6181102362207</v>
      </c>
      <c r="F16" s="450">
        <v>4967.8582677165359</v>
      </c>
      <c r="R16" s="119"/>
      <c r="S16" s="119"/>
      <c r="T16" s="119"/>
    </row>
    <row r="17" spans="2:20" s="90" customFormat="1">
      <c r="B17" s="95" t="s">
        <v>406</v>
      </c>
      <c r="C17" s="96" t="s">
        <v>407</v>
      </c>
      <c r="D17" s="97">
        <v>4965.4409448818906</v>
      </c>
      <c r="E17" s="113">
        <v>4965.248031496063</v>
      </c>
      <c r="F17" s="104">
        <v>4967.2834645669291</v>
      </c>
      <c r="G17" s="786" t="s">
        <v>6832</v>
      </c>
      <c r="H17" s="777"/>
      <c r="I17" s="778"/>
      <c r="J17" s="779"/>
      <c r="R17" s="119"/>
      <c r="S17" s="119"/>
      <c r="T17" s="119"/>
    </row>
    <row r="18" spans="2:20" s="90" customFormat="1">
      <c r="B18" s="95" t="s">
        <v>408</v>
      </c>
      <c r="C18" s="96" t="s">
        <v>409</v>
      </c>
      <c r="D18" s="97">
        <v>4960.4448818897636</v>
      </c>
      <c r="E18" s="113">
        <v>4963.0236220472443</v>
      </c>
      <c r="F18" s="104">
        <v>4960.8818897637793</v>
      </c>
      <c r="G18" s="96"/>
      <c r="H18" s="98" t="s">
        <v>6822</v>
      </c>
      <c r="I18" s="98" t="s">
        <v>6780</v>
      </c>
      <c r="J18" s="99" t="s">
        <v>6781</v>
      </c>
      <c r="R18" s="119"/>
      <c r="S18" s="119"/>
      <c r="T18" s="119"/>
    </row>
    <row r="19" spans="2:20" s="90" customFormat="1">
      <c r="B19" s="95" t="s">
        <v>410</v>
      </c>
      <c r="C19" s="96" t="s">
        <v>411</v>
      </c>
      <c r="D19" s="97">
        <v>4966.4094488188975</v>
      </c>
      <c r="E19" s="113">
        <v>4964.8937007874019</v>
      </c>
      <c r="F19" s="104">
        <v>4955.7283464566935</v>
      </c>
      <c r="G19" s="100" t="s">
        <v>6827</v>
      </c>
      <c r="H19" s="98">
        <f>MAX(D16:D25)</f>
        <v>4966.748031496063</v>
      </c>
      <c r="I19" s="98">
        <f>MAX(E16:E25)</f>
        <v>4966.2913385826769</v>
      </c>
      <c r="J19" s="99">
        <f>MAX(F16:F25)</f>
        <v>4967.8582677165359</v>
      </c>
      <c r="R19" s="119"/>
      <c r="S19" s="119"/>
      <c r="T19" s="119"/>
    </row>
    <row r="20" spans="2:20" s="90" customFormat="1">
      <c r="B20" s="95" t="s">
        <v>412</v>
      </c>
      <c r="C20" s="96" t="s">
        <v>413</v>
      </c>
      <c r="D20" s="97">
        <v>4965.8267716535438</v>
      </c>
      <c r="E20" s="113">
        <v>4960.5078740157478</v>
      </c>
      <c r="F20" s="104">
        <v>4963.751968503937</v>
      </c>
      <c r="G20" s="100" t="s">
        <v>6829</v>
      </c>
      <c r="H20" s="98">
        <f>MIN(D16:D25)</f>
        <v>4953.7716535433074</v>
      </c>
      <c r="I20" s="98">
        <f>MIN(E16:E25)</f>
        <v>4956.066929133859</v>
      </c>
      <c r="J20" s="99">
        <f>MIN(F16:F25)</f>
        <v>4954.6732283464562</v>
      </c>
      <c r="R20" s="119"/>
      <c r="S20" s="119"/>
      <c r="T20" s="119"/>
    </row>
    <row r="21" spans="2:20" s="90" customFormat="1" ht="15" thickBot="1">
      <c r="B21" s="95" t="s">
        <v>414</v>
      </c>
      <c r="C21" s="96" t="s">
        <v>415</v>
      </c>
      <c r="D21" s="97">
        <v>4953.7716535433074</v>
      </c>
      <c r="E21" s="113">
        <v>4962.0314960629921</v>
      </c>
      <c r="F21" s="104">
        <v>4954.6732283464562</v>
      </c>
      <c r="G21" s="101" t="s">
        <v>6830</v>
      </c>
      <c r="H21" s="102">
        <f>H19-H20</f>
        <v>12.976377952755684</v>
      </c>
      <c r="I21" s="102">
        <f>I19-I20</f>
        <v>10.224409448817823</v>
      </c>
      <c r="J21" s="103">
        <f>J19-J20</f>
        <v>13.185039370079721</v>
      </c>
      <c r="R21" s="119"/>
      <c r="S21" s="119"/>
      <c r="T21" s="119"/>
    </row>
    <row r="22" spans="2:20" s="90" customFormat="1" ht="15" thickBot="1">
      <c r="B22" s="95" t="s">
        <v>416</v>
      </c>
      <c r="C22" s="96" t="s">
        <v>417</v>
      </c>
      <c r="D22" s="97">
        <v>4964.5433070866147</v>
      </c>
      <c r="E22" s="113">
        <v>4956.066929133859</v>
      </c>
      <c r="F22" s="104">
        <v>4963.7795275590552</v>
      </c>
      <c r="H22" s="30" t="str">
        <f>IF(H21&gt;$L22,"Wrong","OK")</f>
        <v>OK</v>
      </c>
      <c r="I22" s="30" t="str">
        <f>IF(I21&gt;$L22,"Wrong","OK")</f>
        <v>OK</v>
      </c>
      <c r="J22" s="30" t="str">
        <f>IF(J21&gt;$L22,"Wrong","OK")</f>
        <v>OK</v>
      </c>
      <c r="K22" s="30" t="s">
        <v>6772</v>
      </c>
      <c r="L22" s="35">
        <v>20</v>
      </c>
      <c r="R22" s="119"/>
      <c r="S22" s="119"/>
      <c r="T22" s="119"/>
    </row>
    <row r="23" spans="2:20" s="90" customFormat="1">
      <c r="B23" s="95" t="s">
        <v>418</v>
      </c>
      <c r="C23" s="96" t="s">
        <v>419</v>
      </c>
      <c r="D23" s="97">
        <v>4959.3700787401576</v>
      </c>
      <c r="E23" s="113">
        <v>4966.2913385826769</v>
      </c>
      <c r="F23" s="104">
        <v>4960.8937007874019</v>
      </c>
      <c r="G23" s="92"/>
      <c r="H23" s="105" t="s">
        <v>6822</v>
      </c>
      <c r="I23" s="105" t="s">
        <v>6780</v>
      </c>
      <c r="J23" s="106" t="s">
        <v>6781</v>
      </c>
      <c r="R23" s="119"/>
      <c r="S23" s="119"/>
      <c r="T23" s="119"/>
    </row>
    <row r="24" spans="2:20" s="90" customFormat="1">
      <c r="B24" s="95" t="s">
        <v>646</v>
      </c>
      <c r="C24" s="96" t="s">
        <v>647</v>
      </c>
      <c r="D24" s="97">
        <v>4961.2795275590552</v>
      </c>
      <c r="E24" s="113">
        <v>4963.6614173228345</v>
      </c>
      <c r="F24" s="104">
        <v>4963.1299212598433</v>
      </c>
      <c r="G24" s="780" t="s">
        <v>6831</v>
      </c>
      <c r="H24" s="782">
        <f>ABS(D24-D25)</f>
        <v>0.28740157480297057</v>
      </c>
      <c r="I24" s="782">
        <f>ABS(E24-E25)</f>
        <v>1.7047244094483176</v>
      </c>
      <c r="J24" s="784">
        <f>ABS(F24-F25)</f>
        <v>0.5905511811024553</v>
      </c>
      <c r="K24" s="30" t="s">
        <v>6772</v>
      </c>
      <c r="L24" s="35">
        <v>4</v>
      </c>
      <c r="R24" s="119"/>
      <c r="S24" s="119"/>
      <c r="T24" s="119"/>
    </row>
    <row r="25" spans="2:20" s="90" customFormat="1" ht="15" thickBot="1">
      <c r="B25" s="107" t="s">
        <v>678</v>
      </c>
      <c r="C25" s="114" t="s">
        <v>679</v>
      </c>
      <c r="D25" s="109">
        <v>4961.5669291338581</v>
      </c>
      <c r="E25" s="115">
        <v>4961.9566929133862</v>
      </c>
      <c r="F25" s="110">
        <v>4963.7204724409457</v>
      </c>
      <c r="G25" s="781"/>
      <c r="H25" s="783"/>
      <c r="I25" s="783"/>
      <c r="J25" s="785"/>
      <c r="L25" s="30" t="str">
        <f>IF(MAX(H24:J25)&gt;L24,"Wrong","OK")</f>
        <v>OK</v>
      </c>
      <c r="R25" s="119"/>
      <c r="S25" s="119"/>
      <c r="T25" s="119"/>
    </row>
    <row r="26" spans="2:20" s="90" customFormat="1" ht="15" thickBot="1">
      <c r="B26" s="91" t="s">
        <v>420</v>
      </c>
      <c r="C26" s="92" t="s">
        <v>421</v>
      </c>
      <c r="D26" s="93">
        <v>5083.6535433070867</v>
      </c>
      <c r="E26" s="112">
        <v>5076.4370078740158</v>
      </c>
      <c r="F26" s="94">
        <v>5082.6496062992128</v>
      </c>
      <c r="R26" s="119"/>
      <c r="S26" s="119"/>
      <c r="T26" s="119"/>
    </row>
    <row r="27" spans="2:20" s="90" customFormat="1">
      <c r="B27" s="95" t="s">
        <v>422</v>
      </c>
      <c r="C27" s="96" t="s">
        <v>423</v>
      </c>
      <c r="D27" s="97">
        <v>5075.251968503937</v>
      </c>
      <c r="E27" s="113">
        <v>5082.4330708661419</v>
      </c>
      <c r="F27" s="104">
        <v>5079.2677165354326</v>
      </c>
      <c r="G27" s="786" t="s">
        <v>6833</v>
      </c>
      <c r="H27" s="777"/>
      <c r="I27" s="778"/>
      <c r="J27" s="779"/>
      <c r="R27" s="119"/>
      <c r="S27" s="119"/>
      <c r="T27" s="119"/>
    </row>
    <row r="28" spans="2:20" s="90" customFormat="1">
      <c r="B28" s="95" t="s">
        <v>424</v>
      </c>
      <c r="C28" s="96" t="s">
        <v>425</v>
      </c>
      <c r="D28" s="97">
        <v>5072.6653543307084</v>
      </c>
      <c r="E28" s="113">
        <v>5084.9094488188975</v>
      </c>
      <c r="F28" s="104">
        <v>5077.4015748031497</v>
      </c>
      <c r="G28" s="96"/>
      <c r="H28" s="98" t="s">
        <v>6822</v>
      </c>
      <c r="I28" s="98" t="s">
        <v>6780</v>
      </c>
      <c r="J28" s="99" t="s">
        <v>6781</v>
      </c>
      <c r="R28" s="119"/>
      <c r="S28" s="119"/>
      <c r="T28" s="119"/>
    </row>
    <row r="29" spans="2:20" s="90" customFormat="1">
      <c r="B29" s="95" t="s">
        <v>426</v>
      </c>
      <c r="C29" s="96" t="s">
        <v>427</v>
      </c>
      <c r="D29" s="97">
        <v>5079.6259842519694</v>
      </c>
      <c r="E29" s="113">
        <v>5076.0511811023625</v>
      </c>
      <c r="F29" s="104">
        <v>5078.358267716535</v>
      </c>
      <c r="G29" s="100" t="s">
        <v>6827</v>
      </c>
      <c r="H29" s="98">
        <f>MAX(D26:D35)</f>
        <v>5083.8937007874019</v>
      </c>
      <c r="I29" s="98">
        <f>MAX(E26:E35)</f>
        <v>5084.9094488188975</v>
      </c>
      <c r="J29" s="99">
        <f>MAX(F26:F35)</f>
        <v>5082.6496062992128</v>
      </c>
      <c r="R29" s="119"/>
      <c r="S29" s="119"/>
      <c r="T29" s="119"/>
    </row>
    <row r="30" spans="2:20" s="90" customFormat="1">
      <c r="B30" s="95" t="s">
        <v>428</v>
      </c>
      <c r="C30" s="96" t="s">
        <v>429</v>
      </c>
      <c r="D30" s="97">
        <v>5080.4881889763783</v>
      </c>
      <c r="E30" s="113">
        <v>5082.6732283464562</v>
      </c>
      <c r="F30" s="104">
        <v>5078.106299212599</v>
      </c>
      <c r="G30" s="100" t="s">
        <v>6829</v>
      </c>
      <c r="H30" s="98">
        <f>MIN(D26:D35)</f>
        <v>5072.6653543307084</v>
      </c>
      <c r="I30" s="98">
        <f>MIN(E26:E35)</f>
        <v>5076.0511811023625</v>
      </c>
      <c r="J30" s="99">
        <f>MIN(F26:F35)</f>
        <v>5077.4015748031497</v>
      </c>
      <c r="R30" s="119"/>
      <c r="S30" s="119"/>
      <c r="T30" s="119"/>
    </row>
    <row r="31" spans="2:20" s="90" customFormat="1" ht="15" thickBot="1">
      <c r="B31" s="95" t="s">
        <v>430</v>
      </c>
      <c r="C31" s="96" t="s">
        <v>431</v>
      </c>
      <c r="D31" s="97">
        <v>5082.8503937007872</v>
      </c>
      <c r="E31" s="113">
        <v>5081.141732283465</v>
      </c>
      <c r="F31" s="104">
        <v>5080.1692913385832</v>
      </c>
      <c r="G31" s="101" t="s">
        <v>6830</v>
      </c>
      <c r="H31" s="102">
        <f>H29-H30</f>
        <v>11.228346456693544</v>
      </c>
      <c r="I31" s="102">
        <f>I29-I30</f>
        <v>8.8582677165350105</v>
      </c>
      <c r="J31" s="103">
        <f>J29-J30</f>
        <v>5.2480314960630494</v>
      </c>
      <c r="R31" s="119"/>
      <c r="S31" s="119"/>
      <c r="T31" s="119"/>
    </row>
    <row r="32" spans="2:20" s="90" customFormat="1" ht="15" thickBot="1">
      <c r="B32" s="95" t="s">
        <v>432</v>
      </c>
      <c r="C32" s="96" t="s">
        <v>433</v>
      </c>
      <c r="D32" s="97">
        <v>5083.8937007874019</v>
      </c>
      <c r="E32" s="113">
        <v>5077.3464566929133</v>
      </c>
      <c r="F32" s="104">
        <v>5078.9251968503941</v>
      </c>
      <c r="H32" s="30" t="str">
        <f>IF(H31&gt;$L32,"Wrong","OK")</f>
        <v>OK</v>
      </c>
      <c r="I32" s="30" t="str">
        <f>IF(I31&gt;$L32,"Wrong","OK")</f>
        <v>OK</v>
      </c>
      <c r="J32" s="30" t="str">
        <f>IF(J31&gt;$L32,"Wrong","OK")</f>
        <v>OK</v>
      </c>
      <c r="K32" s="30" t="s">
        <v>6772</v>
      </c>
      <c r="L32" s="35">
        <v>20</v>
      </c>
      <c r="R32" s="119"/>
      <c r="S32" s="119"/>
      <c r="T32" s="119"/>
    </row>
    <row r="33" spans="2:20" s="90" customFormat="1">
      <c r="B33" s="95" t="s">
        <v>434</v>
      </c>
      <c r="C33" s="96" t="s">
        <v>435</v>
      </c>
      <c r="D33" s="97">
        <v>5080.1850393700788</v>
      </c>
      <c r="E33" s="113">
        <v>5077.2086614173222</v>
      </c>
      <c r="F33" s="104">
        <v>5080.2992125984256</v>
      </c>
      <c r="G33" s="92"/>
      <c r="H33" s="105" t="s">
        <v>6822</v>
      </c>
      <c r="I33" s="105" t="s">
        <v>6780</v>
      </c>
      <c r="J33" s="106" t="s">
        <v>6781</v>
      </c>
      <c r="R33" s="119"/>
      <c r="S33" s="119"/>
      <c r="T33" s="119"/>
    </row>
    <row r="34" spans="2:20" s="90" customFormat="1">
      <c r="B34" s="95" t="s">
        <v>648</v>
      </c>
      <c r="C34" s="96" t="s">
        <v>649</v>
      </c>
      <c r="D34" s="97">
        <v>5079.4881889763783</v>
      </c>
      <c r="E34" s="113">
        <v>5081.1889763779527</v>
      </c>
      <c r="F34" s="104">
        <v>5079.070866141732</v>
      </c>
      <c r="G34" s="780" t="s">
        <v>6831</v>
      </c>
      <c r="H34" s="782">
        <f>ABS(D34-D35)</f>
        <v>0.65354330708578345</v>
      </c>
      <c r="I34" s="782">
        <f>ABS(E34-E35)</f>
        <v>1.5866141732285541</v>
      </c>
      <c r="J34" s="784">
        <f>ABS(F34-F35)</f>
        <v>6.6929133858138812E-2</v>
      </c>
      <c r="K34" s="30" t="s">
        <v>6772</v>
      </c>
      <c r="L34" s="35">
        <v>4</v>
      </c>
      <c r="R34" s="119"/>
      <c r="S34" s="119"/>
      <c r="T34" s="119"/>
    </row>
    <row r="35" spans="2:20" s="90" customFormat="1" ht="15" thickBot="1">
      <c r="B35" s="107" t="s">
        <v>680</v>
      </c>
      <c r="C35" s="108" t="s">
        <v>681</v>
      </c>
      <c r="D35" s="109">
        <v>5080.1417322834641</v>
      </c>
      <c r="E35" s="115">
        <v>5079.6023622047242</v>
      </c>
      <c r="F35" s="110">
        <v>5079.0039370078739</v>
      </c>
      <c r="G35" s="781"/>
      <c r="H35" s="783"/>
      <c r="I35" s="783"/>
      <c r="J35" s="785"/>
      <c r="L35" s="30" t="str">
        <f>IF(MAX(H34:J35)&gt;L34,"Wrong","OK")</f>
        <v>OK</v>
      </c>
      <c r="R35" s="119"/>
      <c r="S35" s="119"/>
      <c r="T35" s="119"/>
    </row>
    <row r="36" spans="2:20" s="90" customFormat="1" ht="15" thickBot="1">
      <c r="B36" s="91" t="s">
        <v>436</v>
      </c>
      <c r="C36" s="111" t="s">
        <v>437</v>
      </c>
      <c r="D36" s="93">
        <v>5597.5433070866147</v>
      </c>
      <c r="E36" s="112">
        <v>5590.6574803149606</v>
      </c>
      <c r="F36" s="94">
        <v>5592.5393700787399</v>
      </c>
      <c r="R36" s="119"/>
      <c r="S36" s="119"/>
      <c r="T36" s="119"/>
    </row>
    <row r="37" spans="2:20" s="90" customFormat="1">
      <c r="B37" s="95" t="s">
        <v>438</v>
      </c>
      <c r="C37" s="96" t="s">
        <v>439</v>
      </c>
      <c r="D37" s="97">
        <v>5584.3937007874019</v>
      </c>
      <c r="E37" s="113">
        <v>5590.0236220472443</v>
      </c>
      <c r="F37" s="104">
        <v>5597.212598425197</v>
      </c>
      <c r="G37" s="786" t="s">
        <v>6834</v>
      </c>
      <c r="H37" s="777"/>
      <c r="I37" s="778"/>
      <c r="J37" s="779"/>
      <c r="R37" s="119"/>
      <c r="S37" s="119"/>
      <c r="T37" s="119"/>
    </row>
    <row r="38" spans="2:20" s="90" customFormat="1">
      <c r="B38" s="95" t="s">
        <v>440</v>
      </c>
      <c r="C38" s="96" t="s">
        <v>441</v>
      </c>
      <c r="D38" s="97">
        <v>5585.5748031496069</v>
      </c>
      <c r="E38" s="113">
        <v>5590.6968503937014</v>
      </c>
      <c r="F38" s="104">
        <v>5591.8149606299221</v>
      </c>
      <c r="G38" s="96"/>
      <c r="H38" s="98" t="s">
        <v>6822</v>
      </c>
      <c r="I38" s="98" t="s">
        <v>6780</v>
      </c>
      <c r="J38" s="99" t="s">
        <v>6781</v>
      </c>
      <c r="R38" s="119"/>
      <c r="S38" s="119"/>
      <c r="T38" s="119"/>
    </row>
    <row r="39" spans="2:20" s="90" customFormat="1">
      <c r="B39" s="95" t="s">
        <v>442</v>
      </c>
      <c r="C39" s="96" t="s">
        <v>443</v>
      </c>
      <c r="D39" s="97">
        <v>5588.1968503937014</v>
      </c>
      <c r="E39" s="113">
        <v>5587.4488188976384</v>
      </c>
      <c r="F39" s="104">
        <v>5597.0275590551182</v>
      </c>
      <c r="G39" s="100" t="s">
        <v>6827</v>
      </c>
      <c r="H39" s="98">
        <f>MAX(D36:D45)</f>
        <v>5597.6259842519685</v>
      </c>
      <c r="I39" s="98">
        <f>MAX(E36:E45)</f>
        <v>5597.677165354331</v>
      </c>
      <c r="J39" s="99">
        <f>MAX(F36:F45)</f>
        <v>5597.212598425197</v>
      </c>
      <c r="R39" s="119"/>
      <c r="S39" s="119"/>
      <c r="T39" s="119"/>
    </row>
    <row r="40" spans="2:20" s="90" customFormat="1">
      <c r="B40" s="95" t="s">
        <v>444</v>
      </c>
      <c r="C40" s="96" t="s">
        <v>445</v>
      </c>
      <c r="D40" s="97">
        <v>5583.9685039370079</v>
      </c>
      <c r="E40" s="113">
        <v>5590.6496062992128</v>
      </c>
      <c r="F40" s="104">
        <v>5582.7362204724413</v>
      </c>
      <c r="G40" s="100" t="s">
        <v>6829</v>
      </c>
      <c r="H40" s="98">
        <f>MIN(D36:D45)</f>
        <v>5583.9685039370079</v>
      </c>
      <c r="I40" s="98">
        <f>MIN(E36:E45)</f>
        <v>5583.5393700787399</v>
      </c>
      <c r="J40" s="99">
        <f>MIN(F36:F45)</f>
        <v>5582.7362204724413</v>
      </c>
      <c r="R40" s="119"/>
      <c r="S40" s="119"/>
      <c r="T40" s="119"/>
    </row>
    <row r="41" spans="2:20" s="90" customFormat="1" ht="15" thickBot="1">
      <c r="B41" s="95" t="s">
        <v>446</v>
      </c>
      <c r="C41" s="96" t="s">
        <v>447</v>
      </c>
      <c r="D41" s="97">
        <v>5594.9724409448827</v>
      </c>
      <c r="E41" s="113">
        <v>5583.5393700787399</v>
      </c>
      <c r="F41" s="104">
        <v>5591.6496062992128</v>
      </c>
      <c r="G41" s="101" t="s">
        <v>6830</v>
      </c>
      <c r="H41" s="102">
        <f>H39-H40</f>
        <v>13.657480314960594</v>
      </c>
      <c r="I41" s="102">
        <f>I39-I40</f>
        <v>14.137795275591088</v>
      </c>
      <c r="J41" s="103">
        <f>J39-J40</f>
        <v>14.476377952755684</v>
      </c>
      <c r="R41" s="119"/>
      <c r="S41" s="119"/>
      <c r="T41" s="119"/>
    </row>
    <row r="42" spans="2:20" s="90" customFormat="1" ht="15" thickBot="1">
      <c r="B42" s="95" t="s">
        <v>448</v>
      </c>
      <c r="C42" s="96" t="s">
        <v>449</v>
      </c>
      <c r="D42" s="97">
        <v>5597.6259842519685</v>
      </c>
      <c r="E42" s="113">
        <v>5597.677165354331</v>
      </c>
      <c r="F42" s="104">
        <v>5594.429133858268</v>
      </c>
      <c r="H42" s="30" t="str">
        <f>IF(H41&gt;$L42,"Wrong","OK")</f>
        <v>OK</v>
      </c>
      <c r="I42" s="30" t="str">
        <f>IF(I41&gt;$L42,"Wrong","OK")</f>
        <v>OK</v>
      </c>
      <c r="J42" s="30" t="str">
        <f>IF(J41&gt;$L42,"Wrong","OK")</f>
        <v>OK</v>
      </c>
      <c r="K42" s="30" t="s">
        <v>6772</v>
      </c>
      <c r="L42" s="35">
        <v>20</v>
      </c>
      <c r="R42" s="119"/>
      <c r="S42" s="119"/>
      <c r="T42" s="119"/>
    </row>
    <row r="43" spans="2:20" s="90" customFormat="1">
      <c r="B43" s="95" t="s">
        <v>450</v>
      </c>
      <c r="C43" s="96" t="s">
        <v>451</v>
      </c>
      <c r="D43" s="97">
        <v>5590.4094488188975</v>
      </c>
      <c r="E43" s="113">
        <v>5596.496062992127</v>
      </c>
      <c r="F43" s="104">
        <v>5587.8740157480315</v>
      </c>
      <c r="G43" s="92"/>
      <c r="H43" s="105" t="s">
        <v>6822</v>
      </c>
      <c r="I43" s="105" t="s">
        <v>6780</v>
      </c>
      <c r="J43" s="106" t="s">
        <v>6781</v>
      </c>
      <c r="R43" s="119"/>
      <c r="S43" s="119"/>
      <c r="T43" s="119"/>
    </row>
    <row r="44" spans="2:20" s="90" customFormat="1">
      <c r="B44" s="95" t="s">
        <v>650</v>
      </c>
      <c r="C44" s="96" t="s">
        <v>651</v>
      </c>
      <c r="D44" s="97">
        <v>5594.110236220472</v>
      </c>
      <c r="E44" s="113">
        <v>5593.9094488188975</v>
      </c>
      <c r="F44" s="104">
        <v>5593.9488188976375</v>
      </c>
      <c r="G44" s="780" t="s">
        <v>6831</v>
      </c>
      <c r="H44" s="782">
        <f>ABS(D44-D45)</f>
        <v>3.2874015748020611</v>
      </c>
      <c r="I44" s="782">
        <f>ABS(E44-E45)</f>
        <v>2.7716535433064564</v>
      </c>
      <c r="J44" s="784">
        <f>ABS(F44-F45)</f>
        <v>2.988188976377387</v>
      </c>
      <c r="K44" s="30" t="s">
        <v>6772</v>
      </c>
      <c r="L44" s="35">
        <v>4</v>
      </c>
      <c r="R44" s="119"/>
      <c r="S44" s="119"/>
      <c r="T44" s="119"/>
    </row>
    <row r="45" spans="2:20" s="90" customFormat="1" ht="15" thickBot="1">
      <c r="B45" s="107" t="s">
        <v>682</v>
      </c>
      <c r="C45" s="114" t="s">
        <v>683</v>
      </c>
      <c r="D45" s="109">
        <v>5590.8228346456699</v>
      </c>
      <c r="E45" s="115">
        <v>5591.1377952755911</v>
      </c>
      <c r="F45" s="110">
        <v>5590.9606299212601</v>
      </c>
      <c r="G45" s="781"/>
      <c r="H45" s="783"/>
      <c r="I45" s="783"/>
      <c r="J45" s="785"/>
      <c r="L45" s="30" t="str">
        <f>IF(MAX(H44:J45)&gt;L44,"Wrong","OK")</f>
        <v>OK</v>
      </c>
      <c r="R45" s="119"/>
      <c r="S45" s="119"/>
      <c r="T45" s="119"/>
    </row>
    <row r="46" spans="2:20" s="90" customFormat="1" ht="15" thickBot="1">
      <c r="B46" s="91" t="s">
        <v>452</v>
      </c>
      <c r="C46" s="92" t="s">
        <v>453</v>
      </c>
      <c r="D46" s="93">
        <v>4682.0196850393704</v>
      </c>
      <c r="E46" s="112">
        <v>4683.0433070866138</v>
      </c>
      <c r="F46" s="94">
        <v>4681.141732283465</v>
      </c>
      <c r="R46" s="119"/>
      <c r="S46" s="119"/>
      <c r="T46" s="119"/>
    </row>
    <row r="47" spans="2:20" s="90" customFormat="1">
      <c r="B47" s="95" t="s">
        <v>454</v>
      </c>
      <c r="C47" s="96" t="s">
        <v>455</v>
      </c>
      <c r="D47" s="97">
        <v>4686.6535433070867</v>
      </c>
      <c r="E47" s="113">
        <v>4684.248031496063</v>
      </c>
      <c r="F47" s="104">
        <v>4683.8700787401576</v>
      </c>
      <c r="G47" s="786" t="s">
        <v>6835</v>
      </c>
      <c r="H47" s="777"/>
      <c r="I47" s="778"/>
      <c r="J47" s="779"/>
      <c r="R47" s="119"/>
      <c r="S47" s="119"/>
      <c r="T47" s="119"/>
    </row>
    <row r="48" spans="2:20" s="90" customFormat="1">
      <c r="B48" s="95" t="s">
        <v>456</v>
      </c>
      <c r="C48" s="96" t="s">
        <v>457</v>
      </c>
      <c r="D48" s="97">
        <v>4685.0551181102364</v>
      </c>
      <c r="E48" s="113">
        <v>4687.0590551181103</v>
      </c>
      <c r="F48" s="104">
        <v>4684.5511811023625</v>
      </c>
      <c r="G48" s="96"/>
      <c r="H48" s="98" t="s">
        <v>6822</v>
      </c>
      <c r="I48" s="98" t="s">
        <v>6780</v>
      </c>
      <c r="J48" s="99" t="s">
        <v>6781</v>
      </c>
      <c r="R48" s="119"/>
      <c r="S48" s="119"/>
      <c r="T48" s="119"/>
    </row>
    <row r="49" spans="2:20" s="90" customFormat="1">
      <c r="B49" s="95" t="s">
        <v>458</v>
      </c>
      <c r="C49" s="96" t="s">
        <v>459</v>
      </c>
      <c r="D49" s="97">
        <v>4689.4488188976375</v>
      </c>
      <c r="E49" s="113">
        <v>4689.287401574803</v>
      </c>
      <c r="F49" s="104">
        <v>4685.4330708661419</v>
      </c>
      <c r="G49" s="100" t="s">
        <v>6827</v>
      </c>
      <c r="H49" s="98">
        <f>MAX(D46:D55)</f>
        <v>4689.4488188976375</v>
      </c>
      <c r="I49" s="98">
        <f>MAX(E46:E55)</f>
        <v>4689.287401574803</v>
      </c>
      <c r="J49" s="99">
        <f>MAX(F46:F55)</f>
        <v>4690.4330708661419</v>
      </c>
      <c r="R49" s="119"/>
      <c r="S49" s="119"/>
      <c r="T49" s="119"/>
    </row>
    <row r="50" spans="2:20" s="90" customFormat="1">
      <c r="B50" s="95" t="s">
        <v>460</v>
      </c>
      <c r="C50" s="96" t="s">
        <v>461</v>
      </c>
      <c r="D50" s="97">
        <v>4680.3149606299212</v>
      </c>
      <c r="E50" s="113">
        <v>4686.7677165354326</v>
      </c>
      <c r="F50" s="104">
        <v>4683.2283464566926</v>
      </c>
      <c r="G50" s="100" t="s">
        <v>6829</v>
      </c>
      <c r="H50" s="98">
        <f>MIN(D46:D55)</f>
        <v>4680.3149606299212</v>
      </c>
      <c r="I50" s="98">
        <f>MIN(E46:E55)</f>
        <v>4681.2362204724413</v>
      </c>
      <c r="J50" s="99">
        <f>MIN(F46:F55)</f>
        <v>4679.6811023622049</v>
      </c>
      <c r="R50" s="119"/>
      <c r="S50" s="119"/>
      <c r="T50" s="119"/>
    </row>
    <row r="51" spans="2:20" s="90" customFormat="1" ht="15" thickBot="1">
      <c r="B51" s="95" t="s">
        <v>462</v>
      </c>
      <c r="C51" s="96" t="s">
        <v>463</v>
      </c>
      <c r="D51" s="97">
        <v>4682.8385826771655</v>
      </c>
      <c r="E51" s="113">
        <v>4685.0236220472443</v>
      </c>
      <c r="F51" s="104">
        <v>4690.4330708661419</v>
      </c>
      <c r="G51" s="101" t="s">
        <v>6836</v>
      </c>
      <c r="H51" s="102">
        <f>H49-H50</f>
        <v>9.1338582677162776</v>
      </c>
      <c r="I51" s="102">
        <f>I49-I50</f>
        <v>8.0511811023616247</v>
      </c>
      <c r="J51" s="103">
        <f>J49-J50</f>
        <v>10.751968503936951</v>
      </c>
      <c r="R51" s="119"/>
      <c r="S51" s="119"/>
      <c r="T51" s="119"/>
    </row>
    <row r="52" spans="2:20" s="90" customFormat="1" ht="15" thickBot="1">
      <c r="B52" s="95" t="s">
        <v>464</v>
      </c>
      <c r="C52" s="96" t="s">
        <v>465</v>
      </c>
      <c r="D52" s="97">
        <v>4688.1732283464571</v>
      </c>
      <c r="E52" s="113">
        <v>4681.2362204724413</v>
      </c>
      <c r="F52" s="104">
        <v>4679.6811023622049</v>
      </c>
      <c r="H52" s="30" t="str">
        <f>IF(H51&gt;$L52,"Wrong","OK")</f>
        <v>OK</v>
      </c>
      <c r="I52" s="30" t="str">
        <f>IF(I51&gt;$L52,"Wrong","OK")</f>
        <v>OK</v>
      </c>
      <c r="J52" s="30" t="str">
        <f>IF(J51&gt;$L52,"Wrong","OK")</f>
        <v>OK</v>
      </c>
      <c r="K52" s="30" t="s">
        <v>6837</v>
      </c>
      <c r="L52" s="35">
        <v>20</v>
      </c>
      <c r="R52" s="119"/>
      <c r="S52" s="119"/>
      <c r="T52" s="119"/>
    </row>
    <row r="53" spans="2:20" s="90" customFormat="1">
      <c r="B53" s="95" t="s">
        <v>466</v>
      </c>
      <c r="C53" s="96" t="s">
        <v>467</v>
      </c>
      <c r="D53" s="97">
        <v>4682.3031496062995</v>
      </c>
      <c r="E53" s="113">
        <v>4686.2007874015753</v>
      </c>
      <c r="F53" s="104">
        <v>4686.7952755905517</v>
      </c>
      <c r="G53" s="92"/>
      <c r="H53" s="105" t="s">
        <v>6822</v>
      </c>
      <c r="I53" s="105" t="s">
        <v>6780</v>
      </c>
      <c r="J53" s="106" t="s">
        <v>6781</v>
      </c>
      <c r="R53" s="119"/>
      <c r="S53" s="119"/>
      <c r="T53" s="119"/>
    </row>
    <row r="54" spans="2:20" s="90" customFormat="1">
      <c r="B54" s="95" t="s">
        <v>652</v>
      </c>
      <c r="C54" s="96" t="s">
        <v>653</v>
      </c>
      <c r="D54" s="97">
        <v>4685.2007874015744</v>
      </c>
      <c r="E54" s="113">
        <v>4685.3740157480315</v>
      </c>
      <c r="F54" s="104">
        <v>4684.1023622047251</v>
      </c>
      <c r="G54" s="780" t="s">
        <v>6838</v>
      </c>
      <c r="H54" s="782">
        <f>ABS(D54-D55)</f>
        <v>0.54724409448863298</v>
      </c>
      <c r="I54" s="782">
        <f>ABS(E54-E55)</f>
        <v>0.72834645669354359</v>
      </c>
      <c r="J54" s="784">
        <f>ABS(F54-F55)</f>
        <v>3.2283464566926341</v>
      </c>
      <c r="K54" s="30" t="s">
        <v>6837</v>
      </c>
      <c r="L54" s="35">
        <v>4</v>
      </c>
      <c r="R54" s="119"/>
      <c r="S54" s="119"/>
      <c r="T54" s="119"/>
    </row>
    <row r="55" spans="2:20" s="90" customFormat="1" ht="15" thickBot="1">
      <c r="B55" s="107" t="s">
        <v>684</v>
      </c>
      <c r="C55" s="108" t="s">
        <v>685</v>
      </c>
      <c r="D55" s="109">
        <v>4685.748031496063</v>
      </c>
      <c r="E55" s="115">
        <v>4686.1023622047251</v>
      </c>
      <c r="F55" s="110">
        <v>4687.3307086614177</v>
      </c>
      <c r="G55" s="781"/>
      <c r="H55" s="783"/>
      <c r="I55" s="783"/>
      <c r="J55" s="785"/>
      <c r="L55" s="30" t="str">
        <f>IF(MAX(H54:J55)&gt;L54,"Wrong","OK")</f>
        <v>OK</v>
      </c>
      <c r="R55" s="119"/>
      <c r="S55" s="119"/>
      <c r="T55" s="119"/>
    </row>
    <row r="56" spans="2:20" s="90" customFormat="1" ht="15" thickBot="1">
      <c r="B56" s="91" t="s">
        <v>468</v>
      </c>
      <c r="C56" s="111" t="s">
        <v>469</v>
      </c>
      <c r="D56" s="93">
        <v>6059.6889763779527</v>
      </c>
      <c r="E56" s="112">
        <v>6058.4763779527566</v>
      </c>
      <c r="F56" s="94">
        <v>6063.9960629921261</v>
      </c>
      <c r="R56" s="119"/>
      <c r="S56" s="119"/>
      <c r="T56" s="119"/>
    </row>
    <row r="57" spans="2:20" s="90" customFormat="1">
      <c r="B57" s="95" t="s">
        <v>470</v>
      </c>
      <c r="C57" s="96" t="s">
        <v>471</v>
      </c>
      <c r="D57" s="97">
        <v>6061.1102362204729</v>
      </c>
      <c r="E57" s="113">
        <v>6060.7125984251979</v>
      </c>
      <c r="F57" s="104">
        <v>6060.6653543307093</v>
      </c>
      <c r="G57" s="786" t="s">
        <v>6840</v>
      </c>
      <c r="H57" s="777"/>
      <c r="I57" s="778"/>
      <c r="J57" s="779"/>
      <c r="R57" s="119"/>
      <c r="S57" s="119"/>
      <c r="T57" s="119"/>
    </row>
    <row r="58" spans="2:20" s="90" customFormat="1">
      <c r="B58" s="95" t="s">
        <v>472</v>
      </c>
      <c r="C58" s="96" t="s">
        <v>473</v>
      </c>
      <c r="D58" s="97">
        <v>6070.0826771653547</v>
      </c>
      <c r="E58" s="113">
        <v>6067.0039370078739</v>
      </c>
      <c r="F58" s="104">
        <v>6060.1220472440946</v>
      </c>
      <c r="G58" s="96"/>
      <c r="H58" s="98" t="s">
        <v>6822</v>
      </c>
      <c r="I58" s="98" t="s">
        <v>6780</v>
      </c>
      <c r="J58" s="99" t="s">
        <v>6781</v>
      </c>
      <c r="R58" s="119"/>
      <c r="S58" s="119"/>
      <c r="T58" s="119"/>
    </row>
    <row r="59" spans="2:20" s="90" customFormat="1">
      <c r="B59" s="95" t="s">
        <v>474</v>
      </c>
      <c r="C59" s="96" t="s">
        <v>475</v>
      </c>
      <c r="D59" s="97">
        <v>6064.9803149606305</v>
      </c>
      <c r="E59" s="113">
        <v>6057.5</v>
      </c>
      <c r="F59" s="104">
        <v>6056.0275590551191</v>
      </c>
      <c r="G59" s="100" t="s">
        <v>6839</v>
      </c>
      <c r="H59" s="98">
        <f>MAX(D56:D65)</f>
        <v>6070.0826771653547</v>
      </c>
      <c r="I59" s="98">
        <f>MAX(E56:E65)</f>
        <v>6068.8858267716532</v>
      </c>
      <c r="J59" s="99">
        <f>MAX(F56:F65)</f>
        <v>6066.4803149606305</v>
      </c>
      <c r="R59" s="119"/>
      <c r="S59" s="119"/>
      <c r="T59" s="119"/>
    </row>
    <row r="60" spans="2:20" s="90" customFormat="1">
      <c r="B60" s="95" t="s">
        <v>476</v>
      </c>
      <c r="C60" s="96" t="s">
        <v>477</v>
      </c>
      <c r="D60" s="97">
        <v>6064.28346456693</v>
      </c>
      <c r="E60" s="113">
        <v>6055.8031496062995</v>
      </c>
      <c r="F60" s="104">
        <v>6062.5118110236217</v>
      </c>
      <c r="G60" s="100" t="s">
        <v>6841</v>
      </c>
      <c r="H60" s="98">
        <f>MIN(D56:D65)</f>
        <v>6058.0944881889764</v>
      </c>
      <c r="I60" s="98">
        <f>MIN(E56:E65)</f>
        <v>6055.8031496062995</v>
      </c>
      <c r="J60" s="99">
        <f>MIN(F56:F65)</f>
        <v>6056.0275590551191</v>
      </c>
      <c r="R60" s="119"/>
      <c r="S60" s="119"/>
      <c r="T60" s="119"/>
    </row>
    <row r="61" spans="2:20" s="90" customFormat="1" ht="15" thickBot="1">
      <c r="B61" s="95" t="s">
        <v>478</v>
      </c>
      <c r="C61" s="96" t="s">
        <v>479</v>
      </c>
      <c r="D61" s="97">
        <v>6064.9724409448818</v>
      </c>
      <c r="E61" s="113">
        <v>6063.1181102362207</v>
      </c>
      <c r="F61" s="104">
        <v>6064.4881889763783</v>
      </c>
      <c r="G61" s="101" t="s">
        <v>6836</v>
      </c>
      <c r="H61" s="102">
        <f>H59-H60</f>
        <v>11.988188976378297</v>
      </c>
      <c r="I61" s="102">
        <f>I59-I60</f>
        <v>13.082677165353743</v>
      </c>
      <c r="J61" s="103">
        <f>J59-J60</f>
        <v>10.452755905511367</v>
      </c>
      <c r="R61" s="119"/>
      <c r="S61" s="119"/>
      <c r="T61" s="119"/>
    </row>
    <row r="62" spans="2:20" s="90" customFormat="1" ht="15" thickBot="1">
      <c r="B62" s="95" t="s">
        <v>480</v>
      </c>
      <c r="C62" s="96" t="s">
        <v>481</v>
      </c>
      <c r="D62" s="97">
        <v>6058.0944881889764</v>
      </c>
      <c r="E62" s="113">
        <v>6068.8858267716532</v>
      </c>
      <c r="F62" s="104">
        <v>6057.5354330708669</v>
      </c>
      <c r="H62" s="30" t="str">
        <f>IF(H61&gt;$L62,"Wrong","OK")</f>
        <v>OK</v>
      </c>
      <c r="I62" s="30" t="str">
        <f>IF(I61&gt;$L62,"Wrong","OK")</f>
        <v>OK</v>
      </c>
      <c r="J62" s="30" t="str">
        <f>IF(J61&gt;$L62,"Wrong","OK")</f>
        <v>OK</v>
      </c>
      <c r="K62" s="30" t="s">
        <v>6837</v>
      </c>
      <c r="L62" s="35">
        <v>20</v>
      </c>
      <c r="R62" s="119"/>
      <c r="S62" s="119"/>
      <c r="T62" s="119"/>
    </row>
    <row r="63" spans="2:20" s="90" customFormat="1">
      <c r="B63" s="95" t="s">
        <v>482</v>
      </c>
      <c r="C63" s="96" t="s">
        <v>483</v>
      </c>
      <c r="D63" s="97">
        <v>6059.7283464566935</v>
      </c>
      <c r="E63" s="113">
        <v>6057.8149606299221</v>
      </c>
      <c r="F63" s="104">
        <v>6060.5157480314956</v>
      </c>
      <c r="G63" s="92"/>
      <c r="H63" s="105" t="s">
        <v>6822</v>
      </c>
      <c r="I63" s="105" t="s">
        <v>6780</v>
      </c>
      <c r="J63" s="106" t="s">
        <v>6781</v>
      </c>
      <c r="R63" s="119"/>
      <c r="S63" s="119"/>
      <c r="T63" s="119"/>
    </row>
    <row r="64" spans="2:20" s="90" customFormat="1">
      <c r="B64" s="95" t="s">
        <v>654</v>
      </c>
      <c r="C64" s="96" t="s">
        <v>655</v>
      </c>
      <c r="D64" s="97">
        <v>6066.0236220472443</v>
      </c>
      <c r="E64" s="113">
        <v>6066.7362204724413</v>
      </c>
      <c r="F64" s="104">
        <v>6062.7007874015753</v>
      </c>
      <c r="G64" s="780" t="s">
        <v>6838</v>
      </c>
      <c r="H64" s="782">
        <f>ABS(D64-D65)</f>
        <v>3.6023622047241588</v>
      </c>
      <c r="I64" s="782">
        <f>ABS(E64-E65)</f>
        <v>3.3307086614167929</v>
      </c>
      <c r="J64" s="784">
        <f>ABS(F64-F65)</f>
        <v>3.7795275590551682</v>
      </c>
      <c r="K64" s="30" t="s">
        <v>6837</v>
      </c>
      <c r="L64" s="35">
        <v>4</v>
      </c>
      <c r="R64" s="119"/>
      <c r="S64" s="119"/>
      <c r="T64" s="119"/>
    </row>
    <row r="65" spans="2:20" s="90" customFormat="1" ht="15" thickBot="1">
      <c r="B65" s="107" t="s">
        <v>686</v>
      </c>
      <c r="C65" s="114" t="s">
        <v>687</v>
      </c>
      <c r="D65" s="109">
        <v>6062.4212598425202</v>
      </c>
      <c r="E65" s="115">
        <v>6063.4055118110246</v>
      </c>
      <c r="F65" s="110">
        <v>6066.4803149606305</v>
      </c>
      <c r="G65" s="781"/>
      <c r="H65" s="783"/>
      <c r="I65" s="783"/>
      <c r="J65" s="785"/>
      <c r="L65" s="30" t="str">
        <f>IF(MAX(H64:J65)&gt;L64,"Wrong","OK")</f>
        <v>OK</v>
      </c>
      <c r="R65" s="119"/>
      <c r="S65" s="119"/>
      <c r="T65" s="119"/>
    </row>
    <row r="66" spans="2:20" s="90" customFormat="1" ht="15" thickBot="1">
      <c r="B66" s="91" t="s">
        <v>484</v>
      </c>
      <c r="C66" s="92" t="s">
        <v>485</v>
      </c>
      <c r="D66" s="93">
        <v>5204.5157480314965</v>
      </c>
      <c r="E66" s="112">
        <v>5192.5511811023625</v>
      </c>
      <c r="F66" s="94">
        <v>5194.8425196850403</v>
      </c>
      <c r="R66" s="119"/>
      <c r="S66" s="119"/>
      <c r="T66" s="119"/>
    </row>
    <row r="67" spans="2:20" s="90" customFormat="1">
      <c r="B67" s="95" t="s">
        <v>486</v>
      </c>
      <c r="C67" s="96" t="s">
        <v>487</v>
      </c>
      <c r="D67" s="97">
        <v>5201.9055118110236</v>
      </c>
      <c r="E67" s="113">
        <v>5202.6850393700788</v>
      </c>
      <c r="F67" s="104">
        <v>5204.2677165354335</v>
      </c>
      <c r="G67" s="786" t="s">
        <v>6842</v>
      </c>
      <c r="H67" s="777"/>
      <c r="I67" s="778"/>
      <c r="J67" s="779"/>
      <c r="R67" s="119"/>
      <c r="S67" s="119"/>
      <c r="T67" s="119"/>
    </row>
    <row r="68" spans="2:20" s="90" customFormat="1">
      <c r="B68" s="95" t="s">
        <v>488</v>
      </c>
      <c r="C68" s="96" t="s">
        <v>489</v>
      </c>
      <c r="D68" s="97">
        <v>5203.0472440944886</v>
      </c>
      <c r="E68" s="113">
        <v>5196.8110236220473</v>
      </c>
      <c r="F68" s="104">
        <v>5192.6220472440946</v>
      </c>
      <c r="G68" s="96"/>
      <c r="H68" s="98" t="s">
        <v>6822</v>
      </c>
      <c r="I68" s="98" t="s">
        <v>6780</v>
      </c>
      <c r="J68" s="99" t="s">
        <v>6781</v>
      </c>
      <c r="R68" s="119"/>
      <c r="S68" s="119"/>
      <c r="T68" s="119"/>
    </row>
    <row r="69" spans="2:20" s="90" customFormat="1">
      <c r="B69" s="95" t="s">
        <v>490</v>
      </c>
      <c r="C69" s="96" t="s">
        <v>491</v>
      </c>
      <c r="D69" s="97">
        <v>5200.2165354330709</v>
      </c>
      <c r="E69" s="113">
        <v>5194.8543307086611</v>
      </c>
      <c r="F69" s="104">
        <v>5195.1653543307093</v>
      </c>
      <c r="G69" s="100" t="s">
        <v>6839</v>
      </c>
      <c r="H69" s="98">
        <f>MAX(D66:D75)</f>
        <v>5204.5157480314965</v>
      </c>
      <c r="I69" s="98">
        <f>MAX(E66:E75)</f>
        <v>5202.6850393700788</v>
      </c>
      <c r="J69" s="99">
        <f>MAX(F66:F75)</f>
        <v>5204.2677165354335</v>
      </c>
      <c r="R69" s="119"/>
      <c r="S69" s="119"/>
      <c r="T69" s="119"/>
    </row>
    <row r="70" spans="2:20" s="90" customFormat="1">
      <c r="B70" s="95" t="s">
        <v>492</v>
      </c>
      <c r="C70" s="96" t="s">
        <v>493</v>
      </c>
      <c r="D70" s="97">
        <v>5197.566929133859</v>
      </c>
      <c r="E70" s="113">
        <v>5192.6496062992128</v>
      </c>
      <c r="F70" s="104">
        <v>5190.0826771653547</v>
      </c>
      <c r="G70" s="100" t="s">
        <v>6841</v>
      </c>
      <c r="H70" s="98">
        <f>MIN(D66:D75)</f>
        <v>5193.6299212598433</v>
      </c>
      <c r="I70" s="98">
        <f>MIN(E66:E75)</f>
        <v>5192.3818897637802</v>
      </c>
      <c r="J70" s="99">
        <f>MIN(F66:F75)</f>
        <v>5190.0826771653547</v>
      </c>
      <c r="R70" s="119"/>
      <c r="S70" s="119"/>
      <c r="T70" s="119"/>
    </row>
    <row r="71" spans="2:20" s="90" customFormat="1" ht="15" thickBot="1">
      <c r="B71" s="95" t="s">
        <v>494</v>
      </c>
      <c r="C71" s="96" t="s">
        <v>495</v>
      </c>
      <c r="D71" s="97">
        <v>5193.6299212598433</v>
      </c>
      <c r="E71" s="113">
        <v>5196.8740157480315</v>
      </c>
      <c r="F71" s="104">
        <v>5191.0118110236217</v>
      </c>
      <c r="G71" s="101" t="s">
        <v>6836</v>
      </c>
      <c r="H71" s="102">
        <f>H69-H70</f>
        <v>10.885826771653228</v>
      </c>
      <c r="I71" s="102">
        <f>I69-I70</f>
        <v>10.303149606298575</v>
      </c>
      <c r="J71" s="103">
        <f>J69-J70</f>
        <v>14.185039370078812</v>
      </c>
      <c r="R71" s="119"/>
      <c r="S71" s="119"/>
      <c r="T71" s="119"/>
    </row>
    <row r="72" spans="2:20" s="90" customFormat="1" ht="15" thickBot="1">
      <c r="B72" s="95" t="s">
        <v>496</v>
      </c>
      <c r="C72" s="96" t="s">
        <v>497</v>
      </c>
      <c r="D72" s="97">
        <v>5199.3661417322837</v>
      </c>
      <c r="E72" s="113">
        <v>5192.3818897637802</v>
      </c>
      <c r="F72" s="104">
        <v>5195.3149606299221</v>
      </c>
      <c r="H72" s="30" t="str">
        <f>IF(H71&gt;$L72,"Wrong","OK")</f>
        <v>OK</v>
      </c>
      <c r="I72" s="30" t="str">
        <f>IF(I71&gt;$L72,"Wrong","OK")</f>
        <v>OK</v>
      </c>
      <c r="J72" s="30" t="str">
        <f>IF(J71&gt;$L72,"Wrong","OK")</f>
        <v>OK</v>
      </c>
      <c r="K72" s="30" t="s">
        <v>6837</v>
      </c>
      <c r="L72" s="35">
        <v>20</v>
      </c>
      <c r="R72" s="119"/>
      <c r="S72" s="119"/>
      <c r="T72" s="119"/>
    </row>
    <row r="73" spans="2:20" s="90" customFormat="1">
      <c r="B73" s="95" t="s">
        <v>498</v>
      </c>
      <c r="C73" s="96" t="s">
        <v>499</v>
      </c>
      <c r="D73" s="97">
        <v>5195.177165354331</v>
      </c>
      <c r="E73" s="113">
        <v>5196.9881889763783</v>
      </c>
      <c r="F73" s="104">
        <v>5191.4094488188975</v>
      </c>
      <c r="G73" s="92"/>
      <c r="H73" s="105" t="s">
        <v>6822</v>
      </c>
      <c r="I73" s="105" t="s">
        <v>6780</v>
      </c>
      <c r="J73" s="106" t="s">
        <v>6781</v>
      </c>
      <c r="R73" s="119"/>
      <c r="S73" s="119"/>
      <c r="T73" s="119"/>
    </row>
    <row r="74" spans="2:20" s="90" customFormat="1">
      <c r="B74" s="95" t="s">
        <v>656</v>
      </c>
      <c r="C74" s="96" t="s">
        <v>657</v>
      </c>
      <c r="D74" s="97">
        <v>5197.6141732283459</v>
      </c>
      <c r="E74" s="113">
        <v>5199.3031496062995</v>
      </c>
      <c r="F74" s="104">
        <v>5198.5787401574808</v>
      </c>
      <c r="G74" s="780" t="s">
        <v>6838</v>
      </c>
      <c r="H74" s="782">
        <f>ABS(D74-D75)</f>
        <v>1.8188976377959989</v>
      </c>
      <c r="I74" s="782">
        <f>ABS(E74-E75)</f>
        <v>0.64173228346498945</v>
      </c>
      <c r="J74" s="784">
        <f>ABS(F74-F75)</f>
        <v>2.1574803149605941</v>
      </c>
      <c r="K74" s="30" t="s">
        <v>6837</v>
      </c>
      <c r="L74" s="35">
        <v>4</v>
      </c>
      <c r="R74" s="119"/>
      <c r="S74" s="119"/>
      <c r="T74" s="119"/>
    </row>
    <row r="75" spans="2:20" s="90" customFormat="1" ht="15" thickBot="1">
      <c r="B75" s="107" t="s">
        <v>688</v>
      </c>
      <c r="C75" s="108" t="s">
        <v>689</v>
      </c>
      <c r="D75" s="109">
        <v>5199.4330708661419</v>
      </c>
      <c r="E75" s="115">
        <v>5198.6614173228345</v>
      </c>
      <c r="F75" s="110">
        <v>5200.7362204724413</v>
      </c>
      <c r="G75" s="781"/>
      <c r="H75" s="783"/>
      <c r="I75" s="783"/>
      <c r="J75" s="785"/>
      <c r="L75" s="30" t="str">
        <f>IF(MAX(H74:J75)&gt;L74,"Wrong","OK")</f>
        <v>OK</v>
      </c>
      <c r="R75" s="119"/>
      <c r="S75" s="119"/>
      <c r="T75" s="119"/>
    </row>
    <row r="76" spans="2:20" s="90" customFormat="1" ht="15" thickBot="1">
      <c r="B76" s="91" t="s">
        <v>500</v>
      </c>
      <c r="C76" s="111" t="s">
        <v>501</v>
      </c>
      <c r="D76" s="93">
        <v>6185.610236220472</v>
      </c>
      <c r="E76" s="112">
        <v>6181.9960629921261</v>
      </c>
      <c r="F76" s="94">
        <v>6183.8700787401576</v>
      </c>
      <c r="R76" s="119"/>
      <c r="S76" s="119"/>
      <c r="T76" s="119"/>
    </row>
    <row r="77" spans="2:20" s="90" customFormat="1">
      <c r="B77" s="95" t="s">
        <v>502</v>
      </c>
      <c r="C77" s="96" t="s">
        <v>503</v>
      </c>
      <c r="D77" s="97">
        <v>6183.8700787401576</v>
      </c>
      <c r="E77" s="113">
        <v>6179.0157480314965</v>
      </c>
      <c r="F77" s="104">
        <v>6184.5078740157487</v>
      </c>
      <c r="G77" s="786" t="s">
        <v>6844</v>
      </c>
      <c r="H77" s="777"/>
      <c r="I77" s="778"/>
      <c r="J77" s="779"/>
      <c r="R77" s="119"/>
      <c r="S77" s="119"/>
      <c r="T77" s="119"/>
    </row>
    <row r="78" spans="2:20" s="90" customFormat="1">
      <c r="B78" s="95" t="s">
        <v>504</v>
      </c>
      <c r="C78" s="96" t="s">
        <v>505</v>
      </c>
      <c r="D78" s="97">
        <v>6176.0236220472443</v>
      </c>
      <c r="E78" s="113">
        <v>6180.8858267716532</v>
      </c>
      <c r="F78" s="104">
        <v>6182.6181102362207</v>
      </c>
      <c r="G78" s="96"/>
      <c r="H78" s="98" t="s">
        <v>6822</v>
      </c>
      <c r="I78" s="98" t="s">
        <v>6780</v>
      </c>
      <c r="J78" s="99" t="s">
        <v>6781</v>
      </c>
      <c r="R78" s="119"/>
      <c r="S78" s="119"/>
      <c r="T78" s="119"/>
    </row>
    <row r="79" spans="2:20" s="90" customFormat="1">
      <c r="B79" s="95" t="s">
        <v>506</v>
      </c>
      <c r="C79" s="96" t="s">
        <v>507</v>
      </c>
      <c r="D79" s="97">
        <v>6181.8031496062995</v>
      </c>
      <c r="E79" s="113">
        <v>6179.1614173228354</v>
      </c>
      <c r="F79" s="104">
        <v>6182.2283464566935</v>
      </c>
      <c r="G79" s="100" t="s">
        <v>6843</v>
      </c>
      <c r="H79" s="98">
        <f>MAX(D76:D85)</f>
        <v>6185.610236220472</v>
      </c>
      <c r="I79" s="98">
        <f>MAX(E76:E85)</f>
        <v>6185.177165354331</v>
      </c>
      <c r="J79" s="99">
        <f>MAX(F76:F85)</f>
        <v>6185</v>
      </c>
      <c r="R79" s="119"/>
      <c r="S79" s="119"/>
      <c r="T79" s="119"/>
    </row>
    <row r="80" spans="2:20" s="90" customFormat="1">
      <c r="B80" s="95" t="s">
        <v>508</v>
      </c>
      <c r="C80" s="96" t="s">
        <v>509</v>
      </c>
      <c r="D80" s="97">
        <v>6184.8307086614168</v>
      </c>
      <c r="E80" s="113">
        <v>6184.5196850393704</v>
      </c>
      <c r="F80" s="104">
        <v>6182.1377952755902</v>
      </c>
      <c r="G80" s="100" t="s">
        <v>6845</v>
      </c>
      <c r="H80" s="98">
        <f>MIN(D76:D85)</f>
        <v>6176.0236220472443</v>
      </c>
      <c r="I80" s="98">
        <f>MIN(E76:E85)</f>
        <v>6176.9133858267714</v>
      </c>
      <c r="J80" s="99">
        <f>MIN(F76:F85)</f>
        <v>6180.5511811023616</v>
      </c>
      <c r="R80" s="119"/>
      <c r="S80" s="119"/>
      <c r="T80" s="119"/>
    </row>
    <row r="81" spans="2:20" s="90" customFormat="1" ht="15" thickBot="1">
      <c r="B81" s="95" t="s">
        <v>510</v>
      </c>
      <c r="C81" s="96" t="s">
        <v>511</v>
      </c>
      <c r="D81" s="97">
        <v>6179.3937007874019</v>
      </c>
      <c r="E81" s="113">
        <v>6178.8582677165359</v>
      </c>
      <c r="F81" s="104">
        <v>6181.4212598425202</v>
      </c>
      <c r="G81" s="101" t="s">
        <v>6846</v>
      </c>
      <c r="H81" s="102">
        <f>H79-H80</f>
        <v>9.5866141732276446</v>
      </c>
      <c r="I81" s="102">
        <f>I79-I80</f>
        <v>8.2637795275595636</v>
      </c>
      <c r="J81" s="103">
        <f>J79-J80</f>
        <v>4.4488188976383753</v>
      </c>
      <c r="R81" s="119"/>
      <c r="S81" s="119"/>
      <c r="T81" s="119"/>
    </row>
    <row r="82" spans="2:20" s="90" customFormat="1" ht="15" thickBot="1">
      <c r="B82" s="95" t="s">
        <v>512</v>
      </c>
      <c r="C82" s="96" t="s">
        <v>513</v>
      </c>
      <c r="D82" s="97">
        <v>6184.4488188976384</v>
      </c>
      <c r="E82" s="113">
        <v>6176.9133858267714</v>
      </c>
      <c r="F82" s="104">
        <v>6180.5511811023616</v>
      </c>
      <c r="H82" s="30" t="str">
        <f>IF(H81&gt;$L82,"Wrong","OK")</f>
        <v>OK</v>
      </c>
      <c r="I82" s="30" t="str">
        <f>IF(I81&gt;$L82,"Wrong","OK")</f>
        <v>OK</v>
      </c>
      <c r="J82" s="30" t="str">
        <f>IF(J81&gt;$L82,"Wrong","OK")</f>
        <v>OK</v>
      </c>
      <c r="K82" s="30" t="s">
        <v>6847</v>
      </c>
      <c r="L82" s="35">
        <v>20</v>
      </c>
      <c r="R82" s="119"/>
      <c r="S82" s="119"/>
      <c r="T82" s="119"/>
    </row>
    <row r="83" spans="2:20" s="90" customFormat="1">
      <c r="B83" s="95" t="s">
        <v>514</v>
      </c>
      <c r="C83" s="96" t="s">
        <v>515</v>
      </c>
      <c r="D83" s="97">
        <v>6178.6338582677163</v>
      </c>
      <c r="E83" s="113">
        <v>6185.177165354331</v>
      </c>
      <c r="F83" s="104">
        <v>6185</v>
      </c>
      <c r="G83" s="92"/>
      <c r="H83" s="105" t="s">
        <v>6822</v>
      </c>
      <c r="I83" s="105" t="s">
        <v>6780</v>
      </c>
      <c r="J83" s="106" t="s">
        <v>6781</v>
      </c>
      <c r="R83" s="119"/>
      <c r="S83" s="119"/>
      <c r="T83" s="119"/>
    </row>
    <row r="84" spans="2:20" s="90" customFormat="1">
      <c r="B84" s="95" t="s">
        <v>658</v>
      </c>
      <c r="C84" s="96" t="s">
        <v>659</v>
      </c>
      <c r="D84" s="97">
        <v>6182.889763779528</v>
      </c>
      <c r="E84" s="113">
        <v>6184.3425196850394</v>
      </c>
      <c r="F84" s="104">
        <v>6184.1377952755911</v>
      </c>
      <c r="G84" s="780" t="s">
        <v>6848</v>
      </c>
      <c r="H84" s="782">
        <f>ABS(D84-D85)</f>
        <v>0.11023622047287063</v>
      </c>
      <c r="I84" s="782">
        <f>ABS(E84-E85)</f>
        <v>0.46062992126007885</v>
      </c>
      <c r="J84" s="784">
        <f>ABS(F84-F85)</f>
        <v>2.0708661417329495</v>
      </c>
      <c r="K84" s="30" t="s">
        <v>6847</v>
      </c>
      <c r="L84" s="35">
        <v>4</v>
      </c>
      <c r="R84" s="119"/>
      <c r="S84" s="119"/>
      <c r="T84" s="119"/>
    </row>
    <row r="85" spans="2:20" s="90" customFormat="1" ht="15" thickBot="1">
      <c r="B85" s="107" t="s">
        <v>690</v>
      </c>
      <c r="C85" s="114" t="s">
        <v>691</v>
      </c>
      <c r="D85" s="109">
        <v>6182.7795275590552</v>
      </c>
      <c r="E85" s="115">
        <v>6184.8031496062995</v>
      </c>
      <c r="F85" s="110">
        <v>6182.0669291338581</v>
      </c>
      <c r="G85" s="781"/>
      <c r="H85" s="783"/>
      <c r="I85" s="783"/>
      <c r="J85" s="785"/>
      <c r="L85" s="30" t="str">
        <f>IF(MAX(H84:J85)&gt;L84,"Wrong","OK")</f>
        <v>OK</v>
      </c>
      <c r="R85" s="119"/>
      <c r="S85" s="119"/>
      <c r="T85" s="119"/>
    </row>
    <row r="86" spans="2:20" s="90" customFormat="1" ht="15" thickBot="1">
      <c r="B86" s="91" t="s">
        <v>516</v>
      </c>
      <c r="C86" s="92" t="s">
        <v>517</v>
      </c>
      <c r="D86" s="93">
        <v>7159.5393700787408</v>
      </c>
      <c r="E86" s="112">
        <v>7164.9763779527557</v>
      </c>
      <c r="F86" s="94">
        <v>7172.2755905511822</v>
      </c>
      <c r="R86" s="119"/>
      <c r="S86" s="119"/>
      <c r="T86" s="119"/>
    </row>
    <row r="87" spans="2:20" s="90" customFormat="1">
      <c r="B87" s="95" t="s">
        <v>518</v>
      </c>
      <c r="C87" s="96" t="s">
        <v>519</v>
      </c>
      <c r="D87" s="97">
        <v>7168.066929133859</v>
      </c>
      <c r="E87" s="113">
        <v>7169.5472440944886</v>
      </c>
      <c r="F87" s="104">
        <v>7165.1023622047242</v>
      </c>
      <c r="G87" s="786" t="s">
        <v>6849</v>
      </c>
      <c r="H87" s="777"/>
      <c r="I87" s="778"/>
      <c r="J87" s="779"/>
      <c r="R87" s="119"/>
      <c r="S87" s="119"/>
      <c r="T87" s="119"/>
    </row>
    <row r="88" spans="2:20" s="90" customFormat="1">
      <c r="B88" s="95" t="s">
        <v>520</v>
      </c>
      <c r="C88" s="96" t="s">
        <v>521</v>
      </c>
      <c r="D88" s="97">
        <v>7167.818897637796</v>
      </c>
      <c r="E88" s="113">
        <v>7159.6653543307093</v>
      </c>
      <c r="F88" s="104">
        <v>7171.0590551181112</v>
      </c>
      <c r="G88" s="96"/>
      <c r="H88" s="98" t="s">
        <v>6822</v>
      </c>
      <c r="I88" s="98" t="s">
        <v>6780</v>
      </c>
      <c r="J88" s="99" t="s">
        <v>6781</v>
      </c>
      <c r="R88" s="119"/>
      <c r="S88" s="119"/>
      <c r="T88" s="119"/>
    </row>
    <row r="89" spans="2:20" s="90" customFormat="1">
      <c r="B89" s="95" t="s">
        <v>522</v>
      </c>
      <c r="C89" s="96" t="s">
        <v>523</v>
      </c>
      <c r="D89" s="97">
        <v>7167.3818897637802</v>
      </c>
      <c r="E89" s="113">
        <v>7158.8228346456699</v>
      </c>
      <c r="F89" s="104">
        <v>7163.5393700787408</v>
      </c>
      <c r="G89" s="100" t="s">
        <v>6851</v>
      </c>
      <c r="H89" s="98">
        <f>MAX(D86:D95)</f>
        <v>7170.3661417322837</v>
      </c>
      <c r="I89" s="98">
        <f>MAX(E86:E95)</f>
        <v>7171.1653543307093</v>
      </c>
      <c r="J89" s="99">
        <f>MAX(F86:F95)</f>
        <v>7172.2755905511822</v>
      </c>
      <c r="R89" s="119"/>
      <c r="S89" s="119"/>
      <c r="T89" s="119"/>
    </row>
    <row r="90" spans="2:20" s="90" customFormat="1">
      <c r="B90" s="95" t="s">
        <v>524</v>
      </c>
      <c r="C90" s="96" t="s">
        <v>525</v>
      </c>
      <c r="D90" s="97">
        <v>7166.2401574803152</v>
      </c>
      <c r="E90" s="113">
        <v>7160.7165354330718</v>
      </c>
      <c r="F90" s="104">
        <v>7160.4842519685035</v>
      </c>
      <c r="G90" s="100" t="s">
        <v>6852</v>
      </c>
      <c r="H90" s="98">
        <f>MIN(D86:D95)</f>
        <v>7159.1220472440946</v>
      </c>
      <c r="I90" s="98">
        <f>MIN(E86:E95)</f>
        <v>7158.8228346456699</v>
      </c>
      <c r="J90" s="99">
        <f>MIN(F86:F95)</f>
        <v>7157.8858267716541</v>
      </c>
      <c r="R90" s="119"/>
      <c r="S90" s="119"/>
      <c r="T90" s="119"/>
    </row>
    <row r="91" spans="2:20" s="90" customFormat="1" ht="15" thickBot="1">
      <c r="B91" s="95" t="s">
        <v>526</v>
      </c>
      <c r="C91" s="96" t="s">
        <v>527</v>
      </c>
      <c r="D91" s="97">
        <v>7166.3937007874019</v>
      </c>
      <c r="E91" s="113">
        <v>7161.3031496062995</v>
      </c>
      <c r="F91" s="104">
        <v>7167.1692913385832</v>
      </c>
      <c r="G91" s="101" t="s">
        <v>6853</v>
      </c>
      <c r="H91" s="102">
        <f>H89-H90</f>
        <v>11.244094488189148</v>
      </c>
      <c r="I91" s="102">
        <f>I89-I90</f>
        <v>12.342519685039406</v>
      </c>
      <c r="J91" s="103">
        <f>J89-J90</f>
        <v>14.389763779528039</v>
      </c>
      <c r="R91" s="119"/>
      <c r="S91" s="119"/>
      <c r="T91" s="119"/>
    </row>
    <row r="92" spans="2:20" s="90" customFormat="1" ht="15" thickBot="1">
      <c r="B92" s="95" t="s">
        <v>528</v>
      </c>
      <c r="C92" s="96" t="s">
        <v>529</v>
      </c>
      <c r="D92" s="97">
        <v>7170.3661417322837</v>
      </c>
      <c r="E92" s="113">
        <v>7171.1653543307093</v>
      </c>
      <c r="F92" s="104">
        <v>7163.6811023622058</v>
      </c>
      <c r="H92" s="30" t="str">
        <f>IF(H91&gt;$L92,"Wrong","OK")</f>
        <v>OK</v>
      </c>
      <c r="I92" s="30" t="str">
        <f>IF(I91&gt;$L92,"Wrong","OK")</f>
        <v>OK</v>
      </c>
      <c r="J92" s="30" t="str">
        <f>IF(J91&gt;$L92,"Wrong","OK")</f>
        <v>OK</v>
      </c>
      <c r="K92" s="30" t="s">
        <v>6854</v>
      </c>
      <c r="L92" s="35">
        <v>20</v>
      </c>
      <c r="R92" s="119"/>
      <c r="S92" s="119"/>
      <c r="T92" s="119"/>
    </row>
    <row r="93" spans="2:20" s="90" customFormat="1">
      <c r="B93" s="95" t="s">
        <v>530</v>
      </c>
      <c r="C93" s="96" t="s">
        <v>531</v>
      </c>
      <c r="D93" s="97">
        <v>7159.1220472440946</v>
      </c>
      <c r="E93" s="113">
        <v>7165.1456692913389</v>
      </c>
      <c r="F93" s="104">
        <v>7157.8858267716541</v>
      </c>
      <c r="G93" s="92"/>
      <c r="H93" s="105" t="s">
        <v>6822</v>
      </c>
      <c r="I93" s="105" t="s">
        <v>6780</v>
      </c>
      <c r="J93" s="106" t="s">
        <v>6781</v>
      </c>
      <c r="R93" s="119"/>
      <c r="S93" s="119"/>
      <c r="T93" s="119"/>
    </row>
    <row r="94" spans="2:20" s="90" customFormat="1">
      <c r="B94" s="95" t="s">
        <v>660</v>
      </c>
      <c r="C94" s="96" t="s">
        <v>661</v>
      </c>
      <c r="D94" s="97">
        <v>7166.4960629921261</v>
      </c>
      <c r="E94" s="113">
        <v>7164.9448818897636</v>
      </c>
      <c r="F94" s="104">
        <v>7167.177165354331</v>
      </c>
      <c r="G94" s="780" t="s">
        <v>6831</v>
      </c>
      <c r="H94" s="782">
        <f>ABS(D94-D95)</f>
        <v>1.5590551181103365</v>
      </c>
      <c r="I94" s="782">
        <f>ABS(E94-E95)</f>
        <v>1.2480314960630494</v>
      </c>
      <c r="J94" s="784">
        <f>ABS(F94-F95)</f>
        <v>0.65748031496059411</v>
      </c>
      <c r="K94" s="30" t="s">
        <v>6854</v>
      </c>
      <c r="L94" s="35">
        <v>4</v>
      </c>
      <c r="R94" s="119"/>
      <c r="S94" s="119"/>
      <c r="T94" s="119"/>
    </row>
    <row r="95" spans="2:20" s="90" customFormat="1" ht="15" thickBot="1">
      <c r="B95" s="107" t="s">
        <v>692</v>
      </c>
      <c r="C95" s="114" t="s">
        <v>693</v>
      </c>
      <c r="D95" s="109">
        <v>7164.9370078740158</v>
      </c>
      <c r="E95" s="115">
        <v>7163.6968503937005</v>
      </c>
      <c r="F95" s="110">
        <v>7167.8346456692916</v>
      </c>
      <c r="G95" s="781"/>
      <c r="H95" s="783"/>
      <c r="I95" s="783"/>
      <c r="J95" s="785"/>
      <c r="L95" s="30" t="str">
        <f>IF(MAX(H94:J95)&gt;L94,"Wrong","OK")</f>
        <v>OK</v>
      </c>
      <c r="R95" s="119"/>
      <c r="S95" s="119"/>
      <c r="T95" s="119"/>
    </row>
    <row r="96" spans="2:20" s="90" customFormat="1" ht="15" thickBot="1">
      <c r="B96" s="91" t="s">
        <v>532</v>
      </c>
      <c r="C96" s="92" t="s">
        <v>533</v>
      </c>
      <c r="D96" s="93">
        <v>6732.9881889763783</v>
      </c>
      <c r="E96" s="112">
        <v>6731.818897637796</v>
      </c>
      <c r="F96" s="94">
        <v>6728.7322834645665</v>
      </c>
      <c r="R96" s="119"/>
      <c r="S96" s="119"/>
      <c r="T96" s="119"/>
    </row>
    <row r="97" spans="2:20" s="90" customFormat="1">
      <c r="B97" s="95" t="s">
        <v>534</v>
      </c>
      <c r="C97" s="96" t="s">
        <v>535</v>
      </c>
      <c r="D97" s="97">
        <v>6734.8228346456699</v>
      </c>
      <c r="E97" s="113">
        <v>6734.8818897637802</v>
      </c>
      <c r="F97" s="104">
        <v>6735.8267716535438</v>
      </c>
      <c r="G97" s="786" t="s">
        <v>6856</v>
      </c>
      <c r="H97" s="777"/>
      <c r="I97" s="778"/>
      <c r="J97" s="779"/>
      <c r="R97" s="119"/>
      <c r="S97" s="119"/>
      <c r="T97" s="119"/>
    </row>
    <row r="98" spans="2:20" s="90" customFormat="1">
      <c r="B98" s="95" t="s">
        <v>536</v>
      </c>
      <c r="C98" s="96" t="s">
        <v>537</v>
      </c>
      <c r="D98" s="97">
        <v>6731.0826771653547</v>
      </c>
      <c r="E98" s="113">
        <v>6736.5629921259842</v>
      </c>
      <c r="F98" s="104">
        <v>6731.3622047244089</v>
      </c>
      <c r="G98" s="96"/>
      <c r="H98" s="98" t="s">
        <v>6822</v>
      </c>
      <c r="I98" s="98" t="s">
        <v>6780</v>
      </c>
      <c r="J98" s="99" t="s">
        <v>6781</v>
      </c>
      <c r="R98" s="119"/>
      <c r="S98" s="119"/>
      <c r="T98" s="119"/>
    </row>
    <row r="99" spans="2:20" s="90" customFormat="1">
      <c r="B99" s="95" t="s">
        <v>538</v>
      </c>
      <c r="C99" s="96" t="s">
        <v>539</v>
      </c>
      <c r="D99" s="97">
        <v>6734.6614173228345</v>
      </c>
      <c r="E99" s="113">
        <v>6736.5236220472443</v>
      </c>
      <c r="F99" s="104">
        <v>6732.1968503937014</v>
      </c>
      <c r="G99" s="100" t="s">
        <v>6855</v>
      </c>
      <c r="H99" s="98">
        <f>MAX(D96:D105)</f>
        <v>6738.4842519685044</v>
      </c>
      <c r="I99" s="98">
        <f>MAX(E96:E105)</f>
        <v>6737.0393700787408</v>
      </c>
      <c r="J99" s="99">
        <f>MAX(F96:F105)</f>
        <v>6735.8267716535438</v>
      </c>
      <c r="R99" s="119"/>
      <c r="S99" s="119"/>
      <c r="T99" s="119"/>
    </row>
    <row r="100" spans="2:20" s="90" customFormat="1">
      <c r="B100" s="95" t="s">
        <v>540</v>
      </c>
      <c r="C100" s="96" t="s">
        <v>541</v>
      </c>
      <c r="D100" s="97">
        <v>6733.1889763779527</v>
      </c>
      <c r="E100" s="113">
        <v>6733.8740157480315</v>
      </c>
      <c r="F100" s="104">
        <v>6731.4055118110236</v>
      </c>
      <c r="G100" s="100" t="s">
        <v>6857</v>
      </c>
      <c r="H100" s="98">
        <f>MIN(D96:D105)</f>
        <v>6728.1141732283468</v>
      </c>
      <c r="I100" s="98">
        <f>MIN(E96:E105)</f>
        <v>6730.3543307086611</v>
      </c>
      <c r="J100" s="99">
        <f>MIN(F96:F105)</f>
        <v>6728.7322834645665</v>
      </c>
      <c r="R100" s="119"/>
      <c r="S100" s="119"/>
      <c r="T100" s="119"/>
    </row>
    <row r="101" spans="2:20" s="90" customFormat="1" ht="15" thickBot="1">
      <c r="B101" s="95" t="s">
        <v>542</v>
      </c>
      <c r="C101" s="96" t="s">
        <v>543</v>
      </c>
      <c r="D101" s="97">
        <v>6728.1141732283468</v>
      </c>
      <c r="E101" s="113">
        <v>6737.0393700787408</v>
      </c>
      <c r="F101" s="104">
        <v>6730.5866141732286</v>
      </c>
      <c r="G101" s="101" t="s">
        <v>6858</v>
      </c>
      <c r="H101" s="102">
        <f>H99-H100</f>
        <v>10.370078740157624</v>
      </c>
      <c r="I101" s="102">
        <f>I99-I100</f>
        <v>6.6850393700797213</v>
      </c>
      <c r="J101" s="103">
        <f>J99-J100</f>
        <v>7.094488188977266</v>
      </c>
      <c r="R101" s="119"/>
      <c r="S101" s="119"/>
      <c r="T101" s="119"/>
    </row>
    <row r="102" spans="2:20" s="90" customFormat="1" ht="15" thickBot="1">
      <c r="B102" s="95" t="s">
        <v>544</v>
      </c>
      <c r="C102" s="96" t="s">
        <v>545</v>
      </c>
      <c r="D102" s="97">
        <v>6738.4842519685044</v>
      </c>
      <c r="E102" s="113">
        <v>6730.3543307086611</v>
      </c>
      <c r="F102" s="104">
        <v>6728.9763779527557</v>
      </c>
      <c r="H102" s="30" t="str">
        <f>IF(H101&gt;$L102,"Wrong","OK")</f>
        <v>OK</v>
      </c>
      <c r="I102" s="30" t="str">
        <f>IF(I101&gt;$L102,"Wrong","OK")</f>
        <v>OK</v>
      </c>
      <c r="J102" s="30" t="str">
        <f>IF(J101&gt;$L102,"Wrong","OK")</f>
        <v>OK</v>
      </c>
      <c r="K102" s="30" t="s">
        <v>6859</v>
      </c>
      <c r="L102" s="35">
        <v>20</v>
      </c>
      <c r="R102" s="119"/>
      <c r="S102" s="119"/>
      <c r="T102" s="119"/>
    </row>
    <row r="103" spans="2:20" s="90" customFormat="1">
      <c r="B103" s="95" t="s">
        <v>546</v>
      </c>
      <c r="C103" s="96" t="s">
        <v>547</v>
      </c>
      <c r="D103" s="97">
        <v>6734.0433070866147</v>
      </c>
      <c r="E103" s="113">
        <v>6735.4881889763783</v>
      </c>
      <c r="F103" s="104">
        <v>6734.4881889763783</v>
      </c>
      <c r="G103" s="92"/>
      <c r="H103" s="105" t="s">
        <v>6822</v>
      </c>
      <c r="I103" s="105" t="s">
        <v>6780</v>
      </c>
      <c r="J103" s="106" t="s">
        <v>6781</v>
      </c>
      <c r="R103" s="119"/>
      <c r="S103" s="119"/>
      <c r="T103" s="119"/>
    </row>
    <row r="104" spans="2:20" s="90" customFormat="1">
      <c r="B104" s="95" t="s">
        <v>662</v>
      </c>
      <c r="C104" s="96" t="s">
        <v>663</v>
      </c>
      <c r="D104" s="97">
        <v>6735.8779527559054</v>
      </c>
      <c r="E104" s="113">
        <v>6733.1259842519685</v>
      </c>
      <c r="F104" s="104">
        <v>6733.5511811023616</v>
      </c>
      <c r="G104" s="780" t="s">
        <v>6831</v>
      </c>
      <c r="H104" s="782">
        <f>ABS(D104-D105)</f>
        <v>2.2322834645665353</v>
      </c>
      <c r="I104" s="782">
        <f>ABS(E104-E105)</f>
        <v>0.44881889763837535</v>
      </c>
      <c r="J104" s="784">
        <f>ABS(F104-F105)</f>
        <v>0.76771653543255525</v>
      </c>
      <c r="K104" s="30" t="s">
        <v>6859</v>
      </c>
      <c r="L104" s="35">
        <v>4</v>
      </c>
      <c r="R104" s="119"/>
      <c r="S104" s="119"/>
      <c r="T104" s="119"/>
    </row>
    <row r="105" spans="2:20" s="90" customFormat="1" ht="15" thickBot="1">
      <c r="B105" s="107" t="s">
        <v>694</v>
      </c>
      <c r="C105" s="108" t="s">
        <v>695</v>
      </c>
      <c r="D105" s="109">
        <v>6733.6456692913389</v>
      </c>
      <c r="E105" s="115">
        <v>6733.5748031496069</v>
      </c>
      <c r="F105" s="110">
        <v>6732.7834645669291</v>
      </c>
      <c r="G105" s="781"/>
      <c r="H105" s="783"/>
      <c r="I105" s="783"/>
      <c r="J105" s="785"/>
      <c r="L105" s="30" t="str">
        <f>IF(MAX(H104:J105)&gt;L104,"Wrong","OK")</f>
        <v>OK</v>
      </c>
      <c r="R105" s="119"/>
      <c r="S105" s="119"/>
      <c r="T105" s="119"/>
    </row>
    <row r="106" spans="2:20" s="90" customFormat="1" ht="15" thickBot="1">
      <c r="B106" s="91" t="s">
        <v>548</v>
      </c>
      <c r="C106" s="111" t="s">
        <v>549</v>
      </c>
      <c r="D106" s="93">
        <v>5592.5118110236226</v>
      </c>
      <c r="E106" s="112">
        <v>5592.2440944881891</v>
      </c>
      <c r="F106" s="94">
        <v>5592.1732283464571</v>
      </c>
      <c r="R106" s="119"/>
      <c r="S106" s="119"/>
      <c r="T106" s="119"/>
    </row>
    <row r="107" spans="2:20" s="90" customFormat="1">
      <c r="B107" s="95" t="s">
        <v>550</v>
      </c>
      <c r="C107" s="96" t="s">
        <v>551</v>
      </c>
      <c r="D107" s="97">
        <v>5592.8346456692916</v>
      </c>
      <c r="E107" s="113">
        <v>5591.2086614173222</v>
      </c>
      <c r="F107" s="104">
        <v>5591.4094488188985</v>
      </c>
      <c r="G107" s="786" t="s">
        <v>6860</v>
      </c>
      <c r="H107" s="777"/>
      <c r="I107" s="778"/>
      <c r="J107" s="779"/>
      <c r="R107" s="119"/>
      <c r="S107" s="119"/>
      <c r="T107" s="119"/>
    </row>
    <row r="108" spans="2:20" s="90" customFormat="1">
      <c r="B108" s="95" t="s">
        <v>552</v>
      </c>
      <c r="C108" s="96" t="s">
        <v>553</v>
      </c>
      <c r="D108" s="97">
        <v>5590.9212598425202</v>
      </c>
      <c r="E108" s="113">
        <v>5591.9763779527566</v>
      </c>
      <c r="F108" s="104">
        <v>5591.7637795275596</v>
      </c>
      <c r="G108" s="96"/>
      <c r="H108" s="98" t="s">
        <v>6822</v>
      </c>
      <c r="I108" s="98" t="s">
        <v>6780</v>
      </c>
      <c r="J108" s="99" t="s">
        <v>6781</v>
      </c>
      <c r="R108" s="119"/>
      <c r="S108" s="119"/>
      <c r="T108" s="119"/>
    </row>
    <row r="109" spans="2:20" s="90" customFormat="1">
      <c r="B109" s="95" t="s">
        <v>554</v>
      </c>
      <c r="C109" s="96" t="s">
        <v>555</v>
      </c>
      <c r="D109" s="97">
        <v>5590.7244094488196</v>
      </c>
      <c r="E109" s="113">
        <v>5588.9330708661419</v>
      </c>
      <c r="F109" s="104">
        <v>5591.0511811023625</v>
      </c>
      <c r="G109" s="100" t="s">
        <v>6855</v>
      </c>
      <c r="H109" s="98">
        <f>MAX(D106:D115)</f>
        <v>5593.2165354330709</v>
      </c>
      <c r="I109" s="98">
        <f>MAX(E106:E115)</f>
        <v>5593.4251968503941</v>
      </c>
      <c r="J109" s="99">
        <f>MAX(F106:F115)</f>
        <v>5593.0196850393704</v>
      </c>
      <c r="R109" s="119"/>
      <c r="S109" s="119"/>
      <c r="T109" s="119"/>
    </row>
    <row r="110" spans="2:20" s="90" customFormat="1">
      <c r="B110" s="95" t="s">
        <v>556</v>
      </c>
      <c r="C110" s="96" t="s">
        <v>557</v>
      </c>
      <c r="D110" s="97">
        <v>5591.8031496062995</v>
      </c>
      <c r="E110" s="113">
        <v>5590.7559055118118</v>
      </c>
      <c r="F110" s="104">
        <v>5591.0826771653547</v>
      </c>
      <c r="G110" s="100" t="s">
        <v>6857</v>
      </c>
      <c r="H110" s="98">
        <f>MIN(D106:D115)</f>
        <v>5588.8149606299221</v>
      </c>
      <c r="I110" s="98">
        <f>MIN(E106:E115)</f>
        <v>5588.9330708661419</v>
      </c>
      <c r="J110" s="99">
        <f>MIN(F106:F115)</f>
        <v>5589.5669291338581</v>
      </c>
      <c r="R110" s="119"/>
      <c r="S110" s="119"/>
      <c r="T110" s="119"/>
    </row>
    <row r="111" spans="2:20" s="90" customFormat="1" ht="15" thickBot="1">
      <c r="B111" s="95" t="s">
        <v>558</v>
      </c>
      <c r="C111" s="96" t="s">
        <v>559</v>
      </c>
      <c r="D111" s="97">
        <v>5589.3897637795271</v>
      </c>
      <c r="E111" s="113">
        <v>5592.6338582677163</v>
      </c>
      <c r="F111" s="104">
        <v>5590.429133858268</v>
      </c>
      <c r="G111" s="101" t="s">
        <v>6858</v>
      </c>
      <c r="H111" s="102">
        <f>H109-H110</f>
        <v>4.4015748031488329</v>
      </c>
      <c r="I111" s="102">
        <f>I109-I110</f>
        <v>4.4921259842521977</v>
      </c>
      <c r="J111" s="103">
        <f>J109-J110</f>
        <v>3.4527559055122765</v>
      </c>
      <c r="R111" s="119"/>
      <c r="S111" s="119"/>
      <c r="T111" s="119"/>
    </row>
    <row r="112" spans="2:20" s="90" customFormat="1" ht="15" thickBot="1">
      <c r="B112" s="95" t="s">
        <v>560</v>
      </c>
      <c r="C112" s="96" t="s">
        <v>561</v>
      </c>
      <c r="D112" s="97">
        <v>5593.2165354330709</v>
      </c>
      <c r="E112" s="113">
        <v>5591.0984251968512</v>
      </c>
      <c r="F112" s="104">
        <v>5592.1889763779527</v>
      </c>
      <c r="H112" s="30" t="str">
        <f>IF(H111&gt;$L112,"Wrong","OK")</f>
        <v>OK</v>
      </c>
      <c r="I112" s="30" t="str">
        <f>IF(I111&gt;$L112,"Wrong","OK")</f>
        <v>OK</v>
      </c>
      <c r="J112" s="30" t="str">
        <f>IF(J111&gt;$L112,"Wrong","OK")</f>
        <v>OK</v>
      </c>
      <c r="K112" s="30" t="s">
        <v>6859</v>
      </c>
      <c r="L112" s="35">
        <v>20</v>
      </c>
      <c r="R112" s="119"/>
      <c r="S112" s="119"/>
      <c r="T112" s="119"/>
    </row>
    <row r="113" spans="2:20" s="90" customFormat="1">
      <c r="B113" s="95" t="s">
        <v>562</v>
      </c>
      <c r="C113" s="96" t="s">
        <v>563</v>
      </c>
      <c r="D113" s="97">
        <v>5589.7440944881891</v>
      </c>
      <c r="E113" s="113">
        <v>5591.3858267716532</v>
      </c>
      <c r="F113" s="104">
        <v>5591.1574803149606</v>
      </c>
      <c r="G113" s="92"/>
      <c r="H113" s="105" t="s">
        <v>6822</v>
      </c>
      <c r="I113" s="105" t="s">
        <v>6780</v>
      </c>
      <c r="J113" s="106" t="s">
        <v>6781</v>
      </c>
      <c r="R113" s="119"/>
      <c r="S113" s="119"/>
      <c r="T113" s="119"/>
    </row>
    <row r="114" spans="2:20" s="90" customFormat="1">
      <c r="B114" s="95" t="s">
        <v>664</v>
      </c>
      <c r="C114" s="96" t="s">
        <v>665</v>
      </c>
      <c r="D114" s="97">
        <v>5588.8149606299221</v>
      </c>
      <c r="E114" s="113">
        <v>5593.4251968503941</v>
      </c>
      <c r="F114" s="104">
        <v>5589.5669291338581</v>
      </c>
      <c r="G114" s="780" t="s">
        <v>6831</v>
      </c>
      <c r="H114" s="782">
        <f>ABS(D114-D115)</f>
        <v>2.64173228346408</v>
      </c>
      <c r="I114" s="782">
        <f>ABS(E114-E115)</f>
        <v>3.5866141732285541</v>
      </c>
      <c r="J114" s="784">
        <f>ABS(F114-F115)</f>
        <v>3.4527559055122765</v>
      </c>
      <c r="K114" s="30" t="s">
        <v>6859</v>
      </c>
      <c r="L114" s="35">
        <v>4</v>
      </c>
      <c r="R114" s="119"/>
      <c r="S114" s="119"/>
      <c r="T114" s="119"/>
    </row>
    <row r="115" spans="2:20" s="90" customFormat="1" ht="15" thickBot="1">
      <c r="B115" s="107" t="s">
        <v>696</v>
      </c>
      <c r="C115" s="114" t="s">
        <v>697</v>
      </c>
      <c r="D115" s="109">
        <v>5591.4566929133862</v>
      </c>
      <c r="E115" s="115">
        <v>5589.8385826771655</v>
      </c>
      <c r="F115" s="110">
        <v>5593.0196850393704</v>
      </c>
      <c r="G115" s="781"/>
      <c r="H115" s="783"/>
      <c r="I115" s="783"/>
      <c r="J115" s="785"/>
      <c r="L115" s="30" t="str">
        <f>IF(MAX(H114:J115)&gt;L114,"Wrong","OK")</f>
        <v>OK</v>
      </c>
      <c r="R115" s="119"/>
      <c r="S115" s="119"/>
      <c r="T115" s="119"/>
    </row>
    <row r="116" spans="2:20" s="90" customFormat="1" ht="15" thickBot="1">
      <c r="B116" s="91" t="s">
        <v>564</v>
      </c>
      <c r="C116" s="92" t="s">
        <v>565</v>
      </c>
      <c r="D116" s="93">
        <v>5553.8346456692916</v>
      </c>
      <c r="E116" s="112">
        <v>5551.4606299212601</v>
      </c>
      <c r="F116" s="94">
        <v>5549.0984251968512</v>
      </c>
      <c r="R116" s="119"/>
      <c r="S116" s="119"/>
      <c r="T116" s="119"/>
    </row>
    <row r="117" spans="2:20" s="90" customFormat="1">
      <c r="B117" s="95" t="s">
        <v>566</v>
      </c>
      <c r="C117" s="96" t="s">
        <v>567</v>
      </c>
      <c r="D117" s="97">
        <v>5555.7204724409448</v>
      </c>
      <c r="E117" s="113">
        <v>5551.318897637796</v>
      </c>
      <c r="F117" s="104">
        <v>5552.5866141732286</v>
      </c>
      <c r="G117" s="786" t="s">
        <v>6861</v>
      </c>
      <c r="H117" s="777"/>
      <c r="I117" s="778"/>
      <c r="J117" s="779"/>
      <c r="R117" s="119"/>
      <c r="S117" s="119"/>
      <c r="T117" s="119"/>
    </row>
    <row r="118" spans="2:20" s="90" customFormat="1">
      <c r="B118" s="95" t="s">
        <v>568</v>
      </c>
      <c r="C118" s="96" t="s">
        <v>569</v>
      </c>
      <c r="D118" s="97">
        <v>5549.7755905511813</v>
      </c>
      <c r="E118" s="113">
        <v>5549.8700787401576</v>
      </c>
      <c r="F118" s="104">
        <v>5551.2952755905517</v>
      </c>
      <c r="G118" s="96"/>
      <c r="H118" s="98" t="s">
        <v>6822</v>
      </c>
      <c r="I118" s="98" t="s">
        <v>6780</v>
      </c>
      <c r="J118" s="99" t="s">
        <v>6781</v>
      </c>
      <c r="R118" s="119"/>
      <c r="S118" s="119"/>
      <c r="T118" s="119"/>
    </row>
    <row r="119" spans="2:20" s="90" customFormat="1">
      <c r="B119" s="95" t="s">
        <v>570</v>
      </c>
      <c r="C119" s="96" t="s">
        <v>571</v>
      </c>
      <c r="D119" s="97">
        <v>5552.2362204724413</v>
      </c>
      <c r="E119" s="113">
        <v>5553.8385826771655</v>
      </c>
      <c r="F119" s="104">
        <v>5553.0984251968503</v>
      </c>
      <c r="G119" s="100" t="s">
        <v>6855</v>
      </c>
      <c r="H119" s="98">
        <f>MAX(D116:D125)</f>
        <v>5555.7204724409448</v>
      </c>
      <c r="I119" s="98">
        <f>MAX(E116:E125)</f>
        <v>5554.141732283465</v>
      </c>
      <c r="J119" s="99">
        <f>MAX(F116:F125)</f>
        <v>5554.3818897637793</v>
      </c>
      <c r="R119" s="119"/>
      <c r="S119" s="119"/>
      <c r="T119" s="119"/>
    </row>
    <row r="120" spans="2:20" s="90" customFormat="1">
      <c r="B120" s="95" t="s">
        <v>572</v>
      </c>
      <c r="C120" s="96" t="s">
        <v>573</v>
      </c>
      <c r="D120" s="97">
        <v>5551.5826771653547</v>
      </c>
      <c r="E120" s="113">
        <v>5554.141732283465</v>
      </c>
      <c r="F120" s="104">
        <v>5552.4251968503941</v>
      </c>
      <c r="G120" s="100" t="s">
        <v>6857</v>
      </c>
      <c r="H120" s="98">
        <f>MIN(D116:D125)</f>
        <v>5549.3070866141743</v>
      </c>
      <c r="I120" s="98">
        <f>MIN(E116:E125)</f>
        <v>5549.4212598425192</v>
      </c>
      <c r="J120" s="99">
        <f>MIN(F116:F125)</f>
        <v>5548.6377952755902</v>
      </c>
      <c r="R120" s="119"/>
      <c r="S120" s="119"/>
      <c r="T120" s="119"/>
    </row>
    <row r="121" spans="2:20" s="90" customFormat="1" ht="15" thickBot="1">
      <c r="B121" s="95" t="s">
        <v>574</v>
      </c>
      <c r="C121" s="96" t="s">
        <v>575</v>
      </c>
      <c r="D121" s="97">
        <v>5552.7362204724413</v>
      </c>
      <c r="E121" s="113">
        <v>5553.3622047244089</v>
      </c>
      <c r="F121" s="104">
        <v>5552.0354330708669</v>
      </c>
      <c r="G121" s="101" t="s">
        <v>6858</v>
      </c>
      <c r="H121" s="102">
        <f>H119-H120</f>
        <v>6.4133858267705364</v>
      </c>
      <c r="I121" s="102">
        <f>I119-I120</f>
        <v>4.7204724409457413</v>
      </c>
      <c r="J121" s="103">
        <f>J119-J120</f>
        <v>5.7440944881891483</v>
      </c>
      <c r="R121" s="119"/>
      <c r="S121" s="119"/>
      <c r="T121" s="119"/>
    </row>
    <row r="122" spans="2:20" s="90" customFormat="1" ht="15" thickBot="1">
      <c r="B122" s="95" t="s">
        <v>576</v>
      </c>
      <c r="C122" s="96" t="s">
        <v>577</v>
      </c>
      <c r="D122" s="97">
        <v>5549.3070866141743</v>
      </c>
      <c r="E122" s="113">
        <v>5549.8464566929142</v>
      </c>
      <c r="F122" s="104">
        <v>5552.8188976377951</v>
      </c>
      <c r="H122" s="30" t="str">
        <f>IF(H121&gt;$L122,"Wrong","OK")</f>
        <v>OK</v>
      </c>
      <c r="I122" s="30" t="str">
        <f>IF(I121&gt;$L122,"Wrong","OK")</f>
        <v>OK</v>
      </c>
      <c r="J122" s="30" t="str">
        <f>IF(J121&gt;$L122,"Wrong","OK")</f>
        <v>OK</v>
      </c>
      <c r="K122" s="30" t="s">
        <v>6859</v>
      </c>
      <c r="L122" s="35">
        <v>20</v>
      </c>
      <c r="R122" s="119"/>
      <c r="S122" s="119"/>
      <c r="T122" s="119"/>
    </row>
    <row r="123" spans="2:20" s="90" customFormat="1">
      <c r="B123" s="95" t="s">
        <v>578</v>
      </c>
      <c r="C123" s="96" t="s">
        <v>579</v>
      </c>
      <c r="D123" s="97">
        <v>5552.1574803149606</v>
      </c>
      <c r="E123" s="113">
        <v>5549.4212598425192</v>
      </c>
      <c r="F123" s="104">
        <v>5548.6377952755902</v>
      </c>
      <c r="G123" s="92"/>
      <c r="H123" s="105" t="s">
        <v>6822</v>
      </c>
      <c r="I123" s="105" t="s">
        <v>6780</v>
      </c>
      <c r="J123" s="106" t="s">
        <v>6781</v>
      </c>
      <c r="R123" s="119"/>
      <c r="S123" s="119"/>
      <c r="T123" s="119"/>
    </row>
    <row r="124" spans="2:20" s="90" customFormat="1">
      <c r="B124" s="95" t="s">
        <v>666</v>
      </c>
      <c r="C124" s="96" t="s">
        <v>667</v>
      </c>
      <c r="D124" s="97">
        <v>5555.0590551181103</v>
      </c>
      <c r="E124" s="113">
        <v>5553.212598425197</v>
      </c>
      <c r="F124" s="104">
        <v>5553.3858267716541</v>
      </c>
      <c r="G124" s="780" t="s">
        <v>6831</v>
      </c>
      <c r="H124" s="782">
        <f>ABS(D124-D125)</f>
        <v>0.46456692913307052</v>
      </c>
      <c r="I124" s="782">
        <f>ABS(E124-E125)</f>
        <v>0.17322834645710827</v>
      </c>
      <c r="J124" s="784">
        <f>ABS(F124-F125)</f>
        <v>0.99606299212518934</v>
      </c>
      <c r="K124" s="30" t="s">
        <v>6859</v>
      </c>
      <c r="L124" s="35">
        <v>4</v>
      </c>
      <c r="R124" s="119"/>
      <c r="S124" s="119"/>
      <c r="T124" s="119"/>
    </row>
    <row r="125" spans="2:20" s="90" customFormat="1" ht="15" thickBot="1">
      <c r="B125" s="107" t="s">
        <v>698</v>
      </c>
      <c r="C125" s="108" t="s">
        <v>699</v>
      </c>
      <c r="D125" s="109">
        <v>5554.5944881889773</v>
      </c>
      <c r="E125" s="115">
        <v>5553.3858267716541</v>
      </c>
      <c r="F125" s="110">
        <v>5554.3818897637793</v>
      </c>
      <c r="G125" s="781"/>
      <c r="H125" s="783"/>
      <c r="I125" s="783"/>
      <c r="J125" s="785"/>
      <c r="L125" s="30" t="str">
        <f>IF(MAX(H124:J125)&gt;L124,"Wrong","OK")</f>
        <v>OK</v>
      </c>
      <c r="R125" s="119"/>
      <c r="S125" s="119"/>
      <c r="T125" s="119"/>
    </row>
    <row r="126" spans="2:20" s="90" customFormat="1" ht="15" thickBot="1">
      <c r="B126" s="91" t="s">
        <v>580</v>
      </c>
      <c r="C126" s="111" t="s">
        <v>581</v>
      </c>
      <c r="D126" s="93">
        <v>5318.6732283464571</v>
      </c>
      <c r="E126" s="112">
        <v>5313.3464566929133</v>
      </c>
      <c r="F126" s="94">
        <v>5316.5078740157478</v>
      </c>
      <c r="R126" s="119"/>
      <c r="S126" s="119"/>
      <c r="T126" s="119"/>
    </row>
    <row r="127" spans="2:20" s="90" customFormat="1">
      <c r="B127" s="95" t="s">
        <v>582</v>
      </c>
      <c r="C127" s="96" t="s">
        <v>583</v>
      </c>
      <c r="D127" s="97">
        <v>5316.1614173228345</v>
      </c>
      <c r="E127" s="113">
        <v>5311.0039370078739</v>
      </c>
      <c r="F127" s="104">
        <v>5316.5236220472443</v>
      </c>
      <c r="G127" s="786" t="s">
        <v>6862</v>
      </c>
      <c r="H127" s="777"/>
      <c r="I127" s="778"/>
      <c r="J127" s="779"/>
      <c r="R127" s="119"/>
      <c r="S127" s="119"/>
      <c r="T127" s="119"/>
    </row>
    <row r="128" spans="2:20" s="90" customFormat="1">
      <c r="B128" s="95" t="s">
        <v>584</v>
      </c>
      <c r="C128" s="96" t="s">
        <v>585</v>
      </c>
      <c r="D128" s="97">
        <v>5314.0826771653547</v>
      </c>
      <c r="E128" s="113">
        <v>5312.5905511811025</v>
      </c>
      <c r="F128" s="104">
        <v>5315.1496062992128</v>
      </c>
      <c r="G128" s="96"/>
      <c r="H128" s="98" t="s">
        <v>6822</v>
      </c>
      <c r="I128" s="98" t="s">
        <v>6780</v>
      </c>
      <c r="J128" s="99" t="s">
        <v>6781</v>
      </c>
      <c r="R128" s="119"/>
      <c r="S128" s="119"/>
      <c r="T128" s="119"/>
    </row>
    <row r="129" spans="2:20" s="90" customFormat="1">
      <c r="B129" s="95" t="s">
        <v>586</v>
      </c>
      <c r="C129" s="96" t="s">
        <v>587</v>
      </c>
      <c r="D129" s="97">
        <v>5312.8897637795271</v>
      </c>
      <c r="E129" s="113">
        <v>5313.5118110236226</v>
      </c>
      <c r="F129" s="104">
        <v>5319.4409448818897</v>
      </c>
      <c r="G129" s="100" t="s">
        <v>6855</v>
      </c>
      <c r="H129" s="98">
        <f>MAX(D126:D135)</f>
        <v>5318.6732283464571</v>
      </c>
      <c r="I129" s="98">
        <f>MAX(E126:E135)</f>
        <v>5322.1889763779536</v>
      </c>
      <c r="J129" s="99">
        <f>MAX(F126:F135)</f>
        <v>5321.7440944881891</v>
      </c>
      <c r="R129" s="119"/>
      <c r="S129" s="119"/>
      <c r="T129" s="119"/>
    </row>
    <row r="130" spans="2:20" s="90" customFormat="1">
      <c r="B130" s="95" t="s">
        <v>588</v>
      </c>
      <c r="C130" s="96" t="s">
        <v>589</v>
      </c>
      <c r="D130" s="97">
        <v>5317.751968503937</v>
      </c>
      <c r="E130" s="113">
        <v>5322.1889763779536</v>
      </c>
      <c r="F130" s="104">
        <v>5321.7440944881891</v>
      </c>
      <c r="G130" s="100" t="s">
        <v>6857</v>
      </c>
      <c r="H130" s="98">
        <f>MIN(D126:D135)</f>
        <v>5311.5748031496059</v>
      </c>
      <c r="I130" s="98">
        <f>MIN(E126:E135)</f>
        <v>5311.0039370078739</v>
      </c>
      <c r="J130" s="99">
        <f>MIN(F126:F135)</f>
        <v>5307.854330708662</v>
      </c>
      <c r="R130" s="119"/>
      <c r="S130" s="119"/>
      <c r="T130" s="119"/>
    </row>
    <row r="131" spans="2:20" s="90" customFormat="1" ht="15" thickBot="1">
      <c r="B131" s="95" t="s">
        <v>590</v>
      </c>
      <c r="C131" s="96" t="s">
        <v>591</v>
      </c>
      <c r="D131" s="97">
        <v>5315.3858267716532</v>
      </c>
      <c r="E131" s="113">
        <v>5316.677165354331</v>
      </c>
      <c r="F131" s="104">
        <v>5310.7086614173231</v>
      </c>
      <c r="G131" s="101" t="s">
        <v>6858</v>
      </c>
      <c r="H131" s="102">
        <f>H129-H130</f>
        <v>7.0984251968511671</v>
      </c>
      <c r="I131" s="102">
        <f>I129-I130</f>
        <v>11.185039370079721</v>
      </c>
      <c r="J131" s="103">
        <f>J129-J130</f>
        <v>13.889763779527129</v>
      </c>
      <c r="R131" s="119"/>
      <c r="S131" s="119"/>
      <c r="T131" s="119"/>
    </row>
    <row r="132" spans="2:20" s="90" customFormat="1" ht="15" thickBot="1">
      <c r="B132" s="95" t="s">
        <v>592</v>
      </c>
      <c r="C132" s="96" t="s">
        <v>593</v>
      </c>
      <c r="D132" s="97">
        <v>5311.5748031496059</v>
      </c>
      <c r="E132" s="113">
        <v>5321.4803149606305</v>
      </c>
      <c r="F132" s="104">
        <v>5307.854330708662</v>
      </c>
      <c r="H132" s="30" t="str">
        <f>IF(H131&gt;$L132,"Wrong","OK")</f>
        <v>OK</v>
      </c>
      <c r="I132" s="30" t="str">
        <f>IF(I131&gt;$L132,"Wrong","OK")</f>
        <v>OK</v>
      </c>
      <c r="J132" s="30" t="str">
        <f>IF(J131&gt;$L132,"Wrong","OK")</f>
        <v>OK</v>
      </c>
      <c r="K132" s="30" t="s">
        <v>6859</v>
      </c>
      <c r="L132" s="35">
        <v>20</v>
      </c>
      <c r="R132" s="119"/>
      <c r="S132" s="119"/>
      <c r="T132" s="119"/>
    </row>
    <row r="133" spans="2:20" s="90" customFormat="1">
      <c r="B133" s="95" t="s">
        <v>594</v>
      </c>
      <c r="C133" s="96" t="s">
        <v>595</v>
      </c>
      <c r="D133" s="97">
        <v>5317.2047244094483</v>
      </c>
      <c r="E133" s="113">
        <v>5316.6732283464571</v>
      </c>
      <c r="F133" s="104">
        <v>5314.6496062992128</v>
      </c>
      <c r="G133" s="92"/>
      <c r="H133" s="105" t="s">
        <v>6822</v>
      </c>
      <c r="I133" s="105" t="s">
        <v>6780</v>
      </c>
      <c r="J133" s="106" t="s">
        <v>6781</v>
      </c>
      <c r="R133" s="119"/>
      <c r="S133" s="119"/>
      <c r="T133" s="119"/>
    </row>
    <row r="134" spans="2:20" s="90" customFormat="1">
      <c r="B134" s="95" t="s">
        <v>668</v>
      </c>
      <c r="C134" s="96" t="s">
        <v>669</v>
      </c>
      <c r="D134" s="97">
        <v>5316.9212598425202</v>
      </c>
      <c r="E134" s="113">
        <v>5317.3070866141734</v>
      </c>
      <c r="F134" s="104">
        <v>5316.0866141732295</v>
      </c>
      <c r="G134" s="780" t="s">
        <v>6831</v>
      </c>
      <c r="H134" s="782">
        <f>ABS(D134-D135)</f>
        <v>0.81496062992118823</v>
      </c>
      <c r="I134" s="782">
        <f>ABS(E134-E135)</f>
        <v>1.2519685039360411</v>
      </c>
      <c r="J134" s="784">
        <f>ABS(F134-F135)</f>
        <v>0.90551181102273404</v>
      </c>
      <c r="K134" s="30" t="s">
        <v>6837</v>
      </c>
      <c r="L134" s="35">
        <v>4</v>
      </c>
      <c r="R134" s="119"/>
      <c r="S134" s="119"/>
      <c r="T134" s="119"/>
    </row>
    <row r="135" spans="2:20" s="90" customFormat="1" ht="15" thickBot="1">
      <c r="B135" s="107" t="s">
        <v>700</v>
      </c>
      <c r="C135" s="114" t="s">
        <v>701</v>
      </c>
      <c r="D135" s="109">
        <v>5316.106299212599</v>
      </c>
      <c r="E135" s="115">
        <v>5316.0551181102373</v>
      </c>
      <c r="F135" s="110">
        <v>5316.9921259842522</v>
      </c>
      <c r="G135" s="781"/>
      <c r="H135" s="783"/>
      <c r="I135" s="783"/>
      <c r="J135" s="785"/>
      <c r="L135" s="30" t="str">
        <f>IF(MAX(H134:J135)&gt;L134,"Wrong","OK")</f>
        <v>OK</v>
      </c>
      <c r="R135" s="119"/>
      <c r="S135" s="119"/>
      <c r="T135" s="119"/>
    </row>
    <row r="136" spans="2:20" s="90" customFormat="1" ht="15" thickBot="1">
      <c r="B136" s="91" t="s">
        <v>596</v>
      </c>
      <c r="C136" s="92" t="s">
        <v>597</v>
      </c>
      <c r="D136" s="93">
        <v>6377.0118110236226</v>
      </c>
      <c r="E136" s="112">
        <v>6380.2952755905517</v>
      </c>
      <c r="F136" s="94">
        <v>6377.0196850393704</v>
      </c>
      <c r="R136" s="119"/>
      <c r="S136" s="119"/>
      <c r="T136" s="119"/>
    </row>
    <row r="137" spans="2:20" s="90" customFormat="1">
      <c r="B137" s="95" t="s">
        <v>598</v>
      </c>
      <c r="C137" s="96" t="s">
        <v>599</v>
      </c>
      <c r="D137" s="97">
        <v>6380.3661417322837</v>
      </c>
      <c r="E137" s="113">
        <v>6377.5551181102364</v>
      </c>
      <c r="F137" s="104">
        <v>6378.4409448818906</v>
      </c>
      <c r="G137" s="786" t="s">
        <v>6863</v>
      </c>
      <c r="H137" s="777"/>
      <c r="I137" s="778"/>
      <c r="J137" s="779"/>
      <c r="R137" s="119"/>
      <c r="S137" s="119"/>
      <c r="T137" s="119"/>
    </row>
    <row r="138" spans="2:20" s="90" customFormat="1">
      <c r="B138" s="95" t="s">
        <v>600</v>
      </c>
      <c r="C138" s="96" t="s">
        <v>601</v>
      </c>
      <c r="D138" s="97">
        <v>6379.177165354331</v>
      </c>
      <c r="E138" s="113">
        <v>6377.4055118110236</v>
      </c>
      <c r="F138" s="104">
        <v>6379.6102362204729</v>
      </c>
      <c r="G138" s="96"/>
      <c r="H138" s="98" t="s">
        <v>6822</v>
      </c>
      <c r="I138" s="98" t="s">
        <v>6780</v>
      </c>
      <c r="J138" s="99" t="s">
        <v>6781</v>
      </c>
      <c r="R138" s="119"/>
      <c r="S138" s="119"/>
      <c r="T138" s="119"/>
    </row>
    <row r="139" spans="2:20" s="90" customFormat="1">
      <c r="B139" s="95" t="s">
        <v>602</v>
      </c>
      <c r="C139" s="96" t="s">
        <v>603</v>
      </c>
      <c r="D139" s="97">
        <v>6377.1574803149615</v>
      </c>
      <c r="E139" s="113">
        <v>6376.7874015748039</v>
      </c>
      <c r="F139" s="104">
        <v>6374.929133858268</v>
      </c>
      <c r="G139" s="100" t="s">
        <v>6839</v>
      </c>
      <c r="H139" s="98">
        <f>MAX(D136:D145)</f>
        <v>6380.3661417322837</v>
      </c>
      <c r="I139" s="98">
        <f>MAX(E136:E145)</f>
        <v>6380.2952755905517</v>
      </c>
      <c r="J139" s="99">
        <f>MAX(F136:F145)</f>
        <v>6380.0433070866147</v>
      </c>
      <c r="R139" s="119"/>
      <c r="S139" s="119"/>
      <c r="T139" s="119"/>
    </row>
    <row r="140" spans="2:20" s="90" customFormat="1">
      <c r="B140" s="95" t="s">
        <v>604</v>
      </c>
      <c r="C140" s="96" t="s">
        <v>605</v>
      </c>
      <c r="D140" s="97">
        <v>6377.7007874015744</v>
      </c>
      <c r="E140" s="113">
        <v>6375.5393700787408</v>
      </c>
      <c r="F140" s="104">
        <v>6378.251968503937</v>
      </c>
      <c r="G140" s="100" t="s">
        <v>6841</v>
      </c>
      <c r="H140" s="98">
        <f>MIN(D136:D145)</f>
        <v>6377.0118110236226</v>
      </c>
      <c r="I140" s="98">
        <f>MIN(E136:E145)</f>
        <v>6374.7362204724404</v>
      </c>
      <c r="J140" s="99">
        <f>MIN(F136:F145)</f>
        <v>6374.929133858268</v>
      </c>
      <c r="R140" s="119"/>
      <c r="S140" s="119"/>
      <c r="T140" s="119"/>
    </row>
    <row r="141" spans="2:20" s="90" customFormat="1" ht="15" thickBot="1">
      <c r="B141" s="95" t="s">
        <v>606</v>
      </c>
      <c r="C141" s="96" t="s">
        <v>607</v>
      </c>
      <c r="D141" s="97">
        <v>6378.9055118110246</v>
      </c>
      <c r="E141" s="113">
        <v>6375.212598425197</v>
      </c>
      <c r="F141" s="104">
        <v>6379.1653543307093</v>
      </c>
      <c r="G141" s="101" t="s">
        <v>6836</v>
      </c>
      <c r="H141" s="102">
        <f>H139-H140</f>
        <v>3.3543307086611094</v>
      </c>
      <c r="I141" s="102">
        <f>I139-I140</f>
        <v>5.559055118111246</v>
      </c>
      <c r="J141" s="103">
        <f>J139-J140</f>
        <v>5.1141732283467718</v>
      </c>
      <c r="R141" s="119"/>
      <c r="S141" s="119"/>
      <c r="T141" s="119"/>
    </row>
    <row r="142" spans="2:20" s="90" customFormat="1" ht="15" thickBot="1">
      <c r="B142" s="95" t="s">
        <v>608</v>
      </c>
      <c r="C142" s="96" t="s">
        <v>609</v>
      </c>
      <c r="D142" s="97">
        <v>6378.0078740157478</v>
      </c>
      <c r="E142" s="113">
        <v>6378.0590551181103</v>
      </c>
      <c r="F142" s="104">
        <v>6377.2007874015744</v>
      </c>
      <c r="H142" s="30" t="str">
        <f>IF(H141&gt;$L142,"Wrong","OK")</f>
        <v>OK</v>
      </c>
      <c r="I142" s="30" t="str">
        <f>IF(I141&gt;$L142,"Wrong","OK")</f>
        <v>OK</v>
      </c>
      <c r="J142" s="30" t="str">
        <f>IF(J141&gt;$L142,"Wrong","OK")</f>
        <v>OK</v>
      </c>
      <c r="K142" s="30" t="s">
        <v>6837</v>
      </c>
      <c r="L142" s="35">
        <v>20</v>
      </c>
      <c r="R142" s="119"/>
      <c r="S142" s="119"/>
      <c r="T142" s="119"/>
    </row>
    <row r="143" spans="2:20" s="90" customFormat="1">
      <c r="B143" s="95" t="s">
        <v>610</v>
      </c>
      <c r="C143" s="96" t="s">
        <v>611</v>
      </c>
      <c r="D143" s="97">
        <v>6378.8031496062995</v>
      </c>
      <c r="E143" s="113">
        <v>6374.7362204724404</v>
      </c>
      <c r="F143" s="104">
        <v>6380.0433070866147</v>
      </c>
      <c r="G143" s="92"/>
      <c r="H143" s="105" t="s">
        <v>6822</v>
      </c>
      <c r="I143" s="105" t="s">
        <v>6780</v>
      </c>
      <c r="J143" s="106" t="s">
        <v>6781</v>
      </c>
      <c r="R143" s="119"/>
      <c r="S143" s="119"/>
      <c r="T143" s="119"/>
    </row>
    <row r="144" spans="2:20" s="90" customFormat="1">
      <c r="B144" s="95" t="s">
        <v>670</v>
      </c>
      <c r="C144" s="96" t="s">
        <v>671</v>
      </c>
      <c r="D144" s="97">
        <v>6379.3188976377951</v>
      </c>
      <c r="E144" s="113">
        <v>6379.4724409448827</v>
      </c>
      <c r="F144" s="104">
        <v>6377.3976377952749</v>
      </c>
      <c r="G144" s="780" t="s">
        <v>6831</v>
      </c>
      <c r="H144" s="782">
        <f>ABS(D144-D145)</f>
        <v>0.15748031496150361</v>
      </c>
      <c r="I144" s="782">
        <f>ABS(E144-E145)</f>
        <v>7.874015747802332E-3</v>
      </c>
      <c r="J144" s="784">
        <f>ABS(F144-F145)</f>
        <v>3.5433070865110494E-2</v>
      </c>
      <c r="K144" s="30" t="s">
        <v>6837</v>
      </c>
      <c r="L144" s="35">
        <v>4</v>
      </c>
      <c r="R144" s="119"/>
      <c r="S144" s="119"/>
      <c r="T144" s="119"/>
    </row>
    <row r="145" spans="2:20" s="90" customFormat="1" ht="15" thickBot="1">
      <c r="B145" s="107" t="s">
        <v>702</v>
      </c>
      <c r="C145" s="108" t="s">
        <v>703</v>
      </c>
      <c r="D145" s="109">
        <v>6379.4763779527566</v>
      </c>
      <c r="E145" s="115">
        <v>6379.4803149606305</v>
      </c>
      <c r="F145" s="110">
        <v>6377.3622047244098</v>
      </c>
      <c r="G145" s="781"/>
      <c r="H145" s="783"/>
      <c r="I145" s="783"/>
      <c r="J145" s="785"/>
      <c r="L145" s="30" t="str">
        <f>IF(MAX(H144:J145)&gt;L144,"Wrong","OK")</f>
        <v>OK</v>
      </c>
      <c r="R145" s="119"/>
      <c r="S145" s="119"/>
      <c r="T145" s="119"/>
    </row>
    <row r="146" spans="2:20" s="90" customFormat="1" ht="15" thickBot="1">
      <c r="B146" s="91" t="s">
        <v>612</v>
      </c>
      <c r="C146" s="111" t="s">
        <v>613</v>
      </c>
      <c r="D146" s="93">
        <v>5195.3937007874019</v>
      </c>
      <c r="E146" s="112">
        <v>5203.964566929134</v>
      </c>
      <c r="F146" s="94">
        <v>5189.8503937007881</v>
      </c>
      <c r="R146" s="119"/>
      <c r="S146" s="119"/>
      <c r="T146" s="119"/>
    </row>
    <row r="147" spans="2:20" s="90" customFormat="1">
      <c r="B147" s="95" t="s">
        <v>614</v>
      </c>
      <c r="C147" s="96" t="s">
        <v>615</v>
      </c>
      <c r="D147" s="97">
        <v>5201.106299212599</v>
      </c>
      <c r="E147" s="113">
        <v>5200.5039370078748</v>
      </c>
      <c r="F147" s="104">
        <v>5189.3937007874019</v>
      </c>
      <c r="G147" s="786" t="s">
        <v>6864</v>
      </c>
      <c r="H147" s="777"/>
      <c r="I147" s="778"/>
      <c r="J147" s="779"/>
      <c r="R147" s="119"/>
      <c r="S147" s="119"/>
      <c r="T147" s="119"/>
    </row>
    <row r="148" spans="2:20" s="90" customFormat="1">
      <c r="B148" s="95" t="s">
        <v>616</v>
      </c>
      <c r="C148" s="96" t="s">
        <v>617</v>
      </c>
      <c r="D148" s="97">
        <v>5192.1732283464571</v>
      </c>
      <c r="E148" s="113">
        <v>5203.5354330708669</v>
      </c>
      <c r="F148" s="104">
        <v>5200.6614173228345</v>
      </c>
      <c r="G148" s="96"/>
      <c r="H148" s="98" t="s">
        <v>6822</v>
      </c>
      <c r="I148" s="98" t="s">
        <v>6780</v>
      </c>
      <c r="J148" s="99" t="s">
        <v>6781</v>
      </c>
      <c r="R148" s="119"/>
      <c r="S148" s="119"/>
      <c r="T148" s="119"/>
    </row>
    <row r="149" spans="2:20" s="90" customFormat="1">
      <c r="B149" s="95" t="s">
        <v>618</v>
      </c>
      <c r="C149" s="96" t="s">
        <v>619</v>
      </c>
      <c r="D149" s="97">
        <v>5199.5</v>
      </c>
      <c r="E149" s="113">
        <v>5189.1811023622058</v>
      </c>
      <c r="F149" s="104">
        <v>5193.818897637796</v>
      </c>
      <c r="G149" s="100" t="s">
        <v>6851</v>
      </c>
      <c r="H149" s="98">
        <f>MAX(D146:D155)</f>
        <v>5204.2755905511813</v>
      </c>
      <c r="I149" s="98">
        <f>MAX(E146:E155)</f>
        <v>5203.964566929134</v>
      </c>
      <c r="J149" s="99">
        <f>MAX(F146:F155)</f>
        <v>5200.6614173228345</v>
      </c>
      <c r="R149" s="119"/>
      <c r="S149" s="119"/>
      <c r="T149" s="119"/>
    </row>
    <row r="150" spans="2:20" s="90" customFormat="1">
      <c r="B150" s="95" t="s">
        <v>620</v>
      </c>
      <c r="C150" s="96" t="s">
        <v>621</v>
      </c>
      <c r="D150" s="97">
        <v>5189.6811023622049</v>
      </c>
      <c r="E150" s="113">
        <v>5190.7165354330709</v>
      </c>
      <c r="F150" s="104">
        <v>5198.0393700787408</v>
      </c>
      <c r="G150" s="100" t="s">
        <v>6852</v>
      </c>
      <c r="H150" s="98">
        <f>MIN(D146:D155)</f>
        <v>5189.1299212598424</v>
      </c>
      <c r="I150" s="98">
        <f>MIN(E146:E155)</f>
        <v>5189.1811023622058</v>
      </c>
      <c r="J150" s="99">
        <f>MIN(F146:F155)</f>
        <v>5189.3937007874019</v>
      </c>
      <c r="R150" s="119"/>
      <c r="S150" s="119"/>
      <c r="T150" s="119"/>
    </row>
    <row r="151" spans="2:20" s="90" customFormat="1" ht="15" thickBot="1">
      <c r="B151" s="95" t="s">
        <v>622</v>
      </c>
      <c r="C151" s="96" t="s">
        <v>623</v>
      </c>
      <c r="D151" s="97">
        <v>5189.1299212598424</v>
      </c>
      <c r="E151" s="113">
        <v>5194.8858267716532</v>
      </c>
      <c r="F151" s="104">
        <v>5195.6535433070876</v>
      </c>
      <c r="G151" s="101" t="s">
        <v>6850</v>
      </c>
      <c r="H151" s="102">
        <f>H149-H150</f>
        <v>15.145669291338891</v>
      </c>
      <c r="I151" s="102">
        <f>I149-I150</f>
        <v>14.78346456692816</v>
      </c>
      <c r="J151" s="103">
        <f>J149-J150</f>
        <v>11.267716535432555</v>
      </c>
      <c r="R151" s="119"/>
      <c r="S151" s="119"/>
      <c r="T151" s="119"/>
    </row>
    <row r="152" spans="2:20" s="90" customFormat="1" ht="15" thickBot="1">
      <c r="B152" s="95" t="s">
        <v>624</v>
      </c>
      <c r="C152" s="96" t="s">
        <v>625</v>
      </c>
      <c r="D152" s="97">
        <v>5204.2755905511813</v>
      </c>
      <c r="E152" s="113">
        <v>5189.964566929134</v>
      </c>
      <c r="F152" s="104">
        <v>5198.0826771653537</v>
      </c>
      <c r="H152" s="30" t="str">
        <f>IF(H151&gt;$L152,"Wrong","OK")</f>
        <v>OK</v>
      </c>
      <c r="I152" s="30" t="str">
        <f>IF(I151&gt;$L152,"Wrong","OK")</f>
        <v>OK</v>
      </c>
      <c r="J152" s="30" t="str">
        <f>IF(J151&gt;$L152,"Wrong","OK")</f>
        <v>OK</v>
      </c>
      <c r="K152" s="30" t="s">
        <v>6865</v>
      </c>
      <c r="L152" s="35">
        <v>20</v>
      </c>
      <c r="R152" s="119"/>
      <c r="S152" s="119"/>
      <c r="T152" s="119"/>
    </row>
    <row r="153" spans="2:20" s="90" customFormat="1">
      <c r="B153" s="95" t="s">
        <v>626</v>
      </c>
      <c r="C153" s="96" t="s">
        <v>627</v>
      </c>
      <c r="D153" s="97">
        <v>5190.5590551181112</v>
      </c>
      <c r="E153" s="113">
        <v>5189.4921259842522</v>
      </c>
      <c r="F153" s="104">
        <v>5191.1338582677172</v>
      </c>
      <c r="G153" s="92"/>
      <c r="H153" s="105" t="s">
        <v>6822</v>
      </c>
      <c r="I153" s="105" t="s">
        <v>6780</v>
      </c>
      <c r="J153" s="106" t="s">
        <v>6781</v>
      </c>
      <c r="R153" s="119"/>
      <c r="S153" s="119"/>
      <c r="T153" s="119"/>
    </row>
    <row r="154" spans="2:20" s="90" customFormat="1">
      <c r="B154" s="95" t="s">
        <v>672</v>
      </c>
      <c r="C154" s="96" t="s">
        <v>673</v>
      </c>
      <c r="D154" s="97">
        <v>5197.3622047244098</v>
      </c>
      <c r="E154" s="113">
        <v>5196.6811023622049</v>
      </c>
      <c r="F154" s="104">
        <v>5197.0905511811025</v>
      </c>
      <c r="G154" s="780" t="s">
        <v>6831</v>
      </c>
      <c r="H154" s="782">
        <f>ABS(D154-D155)</f>
        <v>0.50787401574780233</v>
      </c>
      <c r="I154" s="782">
        <f>ABS(E154-E155)</f>
        <v>3.4921259842512882</v>
      </c>
      <c r="J154" s="784">
        <f>ABS(F154-F155)</f>
        <v>2.2992125984255836</v>
      </c>
      <c r="K154" s="30" t="s">
        <v>6865</v>
      </c>
      <c r="L154" s="35">
        <v>4</v>
      </c>
      <c r="R154" s="119"/>
      <c r="S154" s="119"/>
      <c r="T154" s="119"/>
    </row>
    <row r="155" spans="2:20" s="90" customFormat="1" ht="15" thickBot="1">
      <c r="B155" s="107" t="s">
        <v>704</v>
      </c>
      <c r="C155" s="114" t="s">
        <v>705</v>
      </c>
      <c r="D155" s="109">
        <v>5197.8700787401576</v>
      </c>
      <c r="E155" s="115">
        <v>5200.1732283464562</v>
      </c>
      <c r="F155" s="110">
        <v>5199.389763779528</v>
      </c>
      <c r="G155" s="781"/>
      <c r="H155" s="783"/>
      <c r="I155" s="783"/>
      <c r="J155" s="785"/>
      <c r="L155" s="30" t="str">
        <f>IF(MAX(H154:J155)&gt;L154,"Wrong","OK")</f>
        <v>OK</v>
      </c>
      <c r="R155" s="119"/>
      <c r="S155" s="119"/>
      <c r="T155" s="119"/>
    </row>
    <row r="156" spans="2:20" s="90" customFormat="1" ht="15" thickBot="1">
      <c r="B156" s="91" t="s">
        <v>628</v>
      </c>
      <c r="C156" s="92" t="s">
        <v>629</v>
      </c>
      <c r="D156" s="93">
        <v>6305.6929133858275</v>
      </c>
      <c r="E156" s="112">
        <v>6305.7086614173231</v>
      </c>
      <c r="F156" s="94">
        <v>6296.2598425196857</v>
      </c>
      <c r="R156" s="119"/>
      <c r="S156" s="119"/>
      <c r="T156" s="119"/>
    </row>
    <row r="157" spans="2:20" s="90" customFormat="1">
      <c r="B157" s="95" t="s">
        <v>630</v>
      </c>
      <c r="C157" s="96" t="s">
        <v>631</v>
      </c>
      <c r="D157" s="97">
        <v>6300.7992125984256</v>
      </c>
      <c r="E157" s="113">
        <v>6294.822834645669</v>
      </c>
      <c r="F157" s="104">
        <v>6295.5433070866147</v>
      </c>
      <c r="G157" s="786" t="s">
        <v>6866</v>
      </c>
      <c r="H157" s="777"/>
      <c r="I157" s="778"/>
      <c r="J157" s="779"/>
      <c r="R157" s="119"/>
      <c r="S157" s="119"/>
      <c r="T157" s="119"/>
    </row>
    <row r="158" spans="2:20" s="90" customFormat="1">
      <c r="B158" s="95" t="s">
        <v>632</v>
      </c>
      <c r="C158" s="96" t="s">
        <v>633</v>
      </c>
      <c r="D158" s="97">
        <v>6299.8858267716541</v>
      </c>
      <c r="E158" s="113">
        <v>6302.3858267716541</v>
      </c>
      <c r="F158" s="104">
        <v>6304.4606299212601</v>
      </c>
      <c r="G158" s="96"/>
      <c r="H158" s="98" t="s">
        <v>6822</v>
      </c>
      <c r="I158" s="98" t="s">
        <v>6780</v>
      </c>
      <c r="J158" s="99" t="s">
        <v>6781</v>
      </c>
      <c r="R158" s="119"/>
      <c r="S158" s="119"/>
      <c r="T158" s="119"/>
    </row>
    <row r="159" spans="2:20" s="90" customFormat="1">
      <c r="B159" s="95" t="s">
        <v>634</v>
      </c>
      <c r="C159" s="96" t="s">
        <v>635</v>
      </c>
      <c r="D159" s="97">
        <v>6297.6929133858266</v>
      </c>
      <c r="E159" s="113">
        <v>6303.0748031496059</v>
      </c>
      <c r="F159" s="104">
        <v>6297.7283464566935</v>
      </c>
      <c r="G159" s="100" t="s">
        <v>6851</v>
      </c>
      <c r="H159" s="98">
        <f>MAX(D156:D165)</f>
        <v>6305.6929133858275</v>
      </c>
      <c r="I159" s="98">
        <f>MAX(E156:E165)</f>
        <v>6305.7086614173231</v>
      </c>
      <c r="J159" s="99">
        <f>MAX(F156:F165)</f>
        <v>6304.4606299212601</v>
      </c>
      <c r="R159" s="119"/>
      <c r="S159" s="119"/>
      <c r="T159" s="119"/>
    </row>
    <row r="160" spans="2:20" s="90" customFormat="1">
      <c r="B160" s="95" t="s">
        <v>636</v>
      </c>
      <c r="C160" s="96" t="s">
        <v>637</v>
      </c>
      <c r="D160" s="97">
        <v>6302.8346456692925</v>
      </c>
      <c r="E160" s="113">
        <v>6304.6968503937005</v>
      </c>
      <c r="F160" s="104">
        <v>6300.2322834645674</v>
      </c>
      <c r="G160" s="100" t="s">
        <v>6852</v>
      </c>
      <c r="H160" s="98">
        <f>MIN(D156:D165)</f>
        <v>6297.6929133858266</v>
      </c>
      <c r="I160" s="98">
        <f>MIN(E156:E165)</f>
        <v>6294.822834645669</v>
      </c>
      <c r="J160" s="99">
        <f>MIN(F156:F165)</f>
        <v>6294.7598425196848</v>
      </c>
      <c r="R160" s="119"/>
      <c r="S160" s="119"/>
      <c r="T160" s="119"/>
    </row>
    <row r="161" spans="2:20" s="90" customFormat="1" ht="15" thickBot="1">
      <c r="B161" s="95" t="s">
        <v>638</v>
      </c>
      <c r="C161" s="96" t="s">
        <v>639</v>
      </c>
      <c r="D161" s="97">
        <v>6299.2716535433074</v>
      </c>
      <c r="E161" s="113">
        <v>6298.2716535433074</v>
      </c>
      <c r="F161" s="104">
        <v>6297.8661417322837</v>
      </c>
      <c r="G161" s="101" t="s">
        <v>6850</v>
      </c>
      <c r="H161" s="102">
        <f>H159-H160</f>
        <v>8.0000000000009095</v>
      </c>
      <c r="I161" s="102">
        <f>I159-I160</f>
        <v>10.885826771654138</v>
      </c>
      <c r="J161" s="103">
        <f>J159-J160</f>
        <v>9.7007874015753259</v>
      </c>
      <c r="R161" s="119"/>
      <c r="S161" s="119"/>
      <c r="T161" s="119"/>
    </row>
    <row r="162" spans="2:20" s="90" customFormat="1" ht="15" thickBot="1">
      <c r="B162" s="95" t="s">
        <v>640</v>
      </c>
      <c r="C162" s="96" t="s">
        <v>641</v>
      </c>
      <c r="D162" s="97">
        <v>6303.0905511811025</v>
      </c>
      <c r="E162" s="113">
        <v>6303.2559055118109</v>
      </c>
      <c r="F162" s="104">
        <v>6294.7598425196848</v>
      </c>
      <c r="H162" s="30" t="str">
        <f>IF(H161&gt;$L162,"Wrong","OK")</f>
        <v>OK</v>
      </c>
      <c r="I162" s="30" t="str">
        <f>IF(I161&gt;$L162,"Wrong","OK")</f>
        <v>OK</v>
      </c>
      <c r="J162" s="30" t="str">
        <f>IF(J161&gt;$L162,"Wrong","OK")</f>
        <v>OK</v>
      </c>
      <c r="K162" s="30" t="s">
        <v>6865</v>
      </c>
      <c r="L162" s="35">
        <v>20</v>
      </c>
      <c r="R162" s="119"/>
      <c r="S162" s="119"/>
      <c r="T162" s="119"/>
    </row>
    <row r="163" spans="2:20" s="90" customFormat="1">
      <c r="B163" s="95" t="s">
        <v>642</v>
      </c>
      <c r="C163" s="96" t="s">
        <v>643</v>
      </c>
      <c r="D163" s="97">
        <v>6301.5748031496069</v>
      </c>
      <c r="E163" s="113">
        <v>6301.2716535433074</v>
      </c>
      <c r="F163" s="104">
        <v>6297.6496062992128</v>
      </c>
      <c r="G163" s="92"/>
      <c r="H163" s="105" t="s">
        <v>6822</v>
      </c>
      <c r="I163" s="105" t="s">
        <v>6780</v>
      </c>
      <c r="J163" s="106" t="s">
        <v>6781</v>
      </c>
      <c r="R163" s="119"/>
      <c r="S163" s="119"/>
      <c r="T163" s="119"/>
    </row>
    <row r="164" spans="2:20" s="90" customFormat="1">
      <c r="B164" s="95" t="s">
        <v>674</v>
      </c>
      <c r="C164" s="96" t="s">
        <v>675</v>
      </c>
      <c r="D164" s="97">
        <v>6302.3110236220473</v>
      </c>
      <c r="E164" s="113">
        <v>6302.6614173228354</v>
      </c>
      <c r="F164" s="104">
        <v>6299.3149606299212</v>
      </c>
      <c r="G164" s="780" t="s">
        <v>6831</v>
      </c>
      <c r="H164" s="782">
        <f>ABS(D164-D165)</f>
        <v>5.9055118109426985E-2</v>
      </c>
      <c r="I164" s="782">
        <f>ABS(E164-E165)</f>
        <v>0.12992125984237646</v>
      </c>
      <c r="J164" s="784">
        <f>ABS(F164-F165)</f>
        <v>2.3897637795280389</v>
      </c>
      <c r="K164" s="30" t="s">
        <v>6865</v>
      </c>
      <c r="L164" s="35">
        <v>4</v>
      </c>
      <c r="R164" s="119"/>
      <c r="S164" s="119"/>
      <c r="T164" s="119"/>
    </row>
    <row r="165" spans="2:20" s="90" customFormat="1" ht="15" thickBot="1">
      <c r="B165" s="107" t="s">
        <v>706</v>
      </c>
      <c r="C165" s="108" t="s">
        <v>707</v>
      </c>
      <c r="D165" s="109">
        <v>6302.2519685039379</v>
      </c>
      <c r="E165" s="115">
        <v>6302.7913385826778</v>
      </c>
      <c r="F165" s="110">
        <v>6301.7047244094492</v>
      </c>
      <c r="G165" s="781"/>
      <c r="H165" s="783"/>
      <c r="I165" s="783"/>
      <c r="J165" s="785"/>
      <c r="L165" s="30" t="str">
        <f>IF(MAX(H164:J165)&gt;L164,"Wrong","OK")</f>
        <v>OK</v>
      </c>
      <c r="R165" s="119"/>
      <c r="S165" s="119"/>
      <c r="T165" s="119"/>
    </row>
    <row r="166" spans="2:20" s="90" customFormat="1">
      <c r="B166" s="30"/>
      <c r="C166" s="30"/>
      <c r="D166" s="85"/>
      <c r="E166" s="85"/>
      <c r="F166" s="85"/>
      <c r="G166" s="85"/>
      <c r="H166" s="85"/>
      <c r="I166" s="85"/>
      <c r="J166" s="116"/>
    </row>
    <row r="167" spans="2:20" s="90" customFormat="1">
      <c r="B167" s="30"/>
      <c r="C167" s="30"/>
      <c r="D167" s="85"/>
      <c r="E167" s="85"/>
      <c r="F167" s="85"/>
      <c r="G167" s="85"/>
      <c r="H167" s="85"/>
      <c r="I167" s="85"/>
      <c r="J167" s="117"/>
    </row>
    <row r="168" spans="2:20" s="90" customFormat="1">
      <c r="B168" s="30"/>
      <c r="C168" s="30"/>
      <c r="D168" s="85"/>
      <c r="E168" s="85"/>
      <c r="F168" s="85"/>
      <c r="G168" s="85"/>
      <c r="H168" s="85"/>
      <c r="I168" s="85"/>
      <c r="J168" s="118"/>
    </row>
    <row r="169" spans="2:20" s="90" customFormat="1">
      <c r="D169" s="119"/>
      <c r="E169" s="119"/>
      <c r="F169" s="119"/>
      <c r="G169" s="85"/>
      <c r="H169" s="85"/>
      <c r="I169" s="85"/>
      <c r="J169" s="118"/>
    </row>
  </sheetData>
  <mergeCells count="81">
    <mergeCell ref="G137:J137"/>
    <mergeCell ref="G144:G145"/>
    <mergeCell ref="I144:I145"/>
    <mergeCell ref="J164:J165"/>
    <mergeCell ref="H164:H165"/>
    <mergeCell ref="J154:J155"/>
    <mergeCell ref="H154:H155"/>
    <mergeCell ref="G157:J157"/>
    <mergeCell ref="G164:G165"/>
    <mergeCell ref="I164:I165"/>
    <mergeCell ref="J144:J145"/>
    <mergeCell ref="H144:H145"/>
    <mergeCell ref="G147:J147"/>
    <mergeCell ref="G154:G155"/>
    <mergeCell ref="I154:I155"/>
    <mergeCell ref="G127:J127"/>
    <mergeCell ref="G134:G135"/>
    <mergeCell ref="I134:I135"/>
    <mergeCell ref="J114:J115"/>
    <mergeCell ref="H114:H115"/>
    <mergeCell ref="G117:J117"/>
    <mergeCell ref="G124:G125"/>
    <mergeCell ref="I124:I125"/>
    <mergeCell ref="J134:J135"/>
    <mergeCell ref="H134:H135"/>
    <mergeCell ref="G97:J97"/>
    <mergeCell ref="G104:G105"/>
    <mergeCell ref="I104:I105"/>
    <mergeCell ref="J124:J125"/>
    <mergeCell ref="H124:H125"/>
    <mergeCell ref="J104:J105"/>
    <mergeCell ref="H104:H105"/>
    <mergeCell ref="G107:J107"/>
    <mergeCell ref="G114:G115"/>
    <mergeCell ref="I114:I115"/>
    <mergeCell ref="G87:J87"/>
    <mergeCell ref="G94:G95"/>
    <mergeCell ref="I94:I95"/>
    <mergeCell ref="J74:J75"/>
    <mergeCell ref="H74:H75"/>
    <mergeCell ref="G77:J77"/>
    <mergeCell ref="G84:G85"/>
    <mergeCell ref="I84:I85"/>
    <mergeCell ref="J94:J95"/>
    <mergeCell ref="H94:H95"/>
    <mergeCell ref="G57:J57"/>
    <mergeCell ref="G64:G65"/>
    <mergeCell ref="I64:I65"/>
    <mergeCell ref="J84:J85"/>
    <mergeCell ref="H84:H85"/>
    <mergeCell ref="J64:J65"/>
    <mergeCell ref="H64:H65"/>
    <mergeCell ref="G67:J67"/>
    <mergeCell ref="G74:G75"/>
    <mergeCell ref="I74:I75"/>
    <mergeCell ref="G47:J47"/>
    <mergeCell ref="G54:G55"/>
    <mergeCell ref="I54:I55"/>
    <mergeCell ref="J34:J35"/>
    <mergeCell ref="H34:H35"/>
    <mergeCell ref="G37:J37"/>
    <mergeCell ref="G44:G45"/>
    <mergeCell ref="I44:I45"/>
    <mergeCell ref="J54:J55"/>
    <mergeCell ref="H54:H55"/>
    <mergeCell ref="G27:J27"/>
    <mergeCell ref="G17:J17"/>
    <mergeCell ref="G14:G15"/>
    <mergeCell ref="I14:I15"/>
    <mergeCell ref="J44:J45"/>
    <mergeCell ref="H44:H45"/>
    <mergeCell ref="G34:G35"/>
    <mergeCell ref="I34:I35"/>
    <mergeCell ref="J14:J15"/>
    <mergeCell ref="H14:H15"/>
    <mergeCell ref="C4:C5"/>
    <mergeCell ref="G7:J7"/>
    <mergeCell ref="G24:G25"/>
    <mergeCell ref="I24:I25"/>
    <mergeCell ref="J24:J25"/>
    <mergeCell ref="H24:H25"/>
  </mergeCells>
  <phoneticPr fontId="12"/>
  <conditionalFormatting sqref="E2">
    <cfRule type="cellIs" dxfId="329" priority="540" stopIfTrue="1" operator="equal">
      <formula>"WRONG"</formula>
    </cfRule>
  </conditionalFormatting>
  <conditionalFormatting sqref="G3">
    <cfRule type="cellIs" dxfId="328" priority="96" stopIfTrue="1" operator="equal">
      <formula>"Wrong"</formula>
    </cfRule>
  </conditionalFormatting>
  <conditionalFormatting sqref="H9">
    <cfRule type="duplicateValues" dxfId="327" priority="197" stopIfTrue="1"/>
    <cfRule type="duplicateValues" dxfId="326" priority="198" stopIfTrue="1"/>
    <cfRule type="duplicateValues" dxfId="325" priority="199" stopIfTrue="1"/>
  </conditionalFormatting>
  <conditionalFormatting sqref="H19">
    <cfRule type="duplicateValues" dxfId="324" priority="194" stopIfTrue="1"/>
    <cfRule type="duplicateValues" dxfId="323" priority="193" stopIfTrue="1"/>
    <cfRule type="duplicateValues" dxfId="322" priority="192" stopIfTrue="1"/>
  </conditionalFormatting>
  <conditionalFormatting sqref="H29">
    <cfRule type="duplicateValues" dxfId="321" priority="188" stopIfTrue="1"/>
    <cfRule type="duplicateValues" dxfId="320" priority="189" stopIfTrue="1"/>
    <cfRule type="duplicateValues" dxfId="319" priority="187" stopIfTrue="1"/>
  </conditionalFormatting>
  <conditionalFormatting sqref="H39">
    <cfRule type="duplicateValues" dxfId="318" priority="183" stopIfTrue="1"/>
    <cfRule type="duplicateValues" dxfId="317" priority="182" stopIfTrue="1"/>
    <cfRule type="duplicateValues" dxfId="316" priority="184" stopIfTrue="1"/>
  </conditionalFormatting>
  <conditionalFormatting sqref="H49">
    <cfRule type="duplicateValues" dxfId="315" priority="177" stopIfTrue="1"/>
    <cfRule type="duplicateValues" dxfId="314" priority="178" stopIfTrue="1"/>
    <cfRule type="duplicateValues" dxfId="313" priority="179" stopIfTrue="1"/>
  </conditionalFormatting>
  <conditionalFormatting sqref="H59">
    <cfRule type="duplicateValues" dxfId="312" priority="172" stopIfTrue="1"/>
    <cfRule type="duplicateValues" dxfId="311" priority="173" stopIfTrue="1"/>
    <cfRule type="duplicateValues" dxfId="310" priority="174" stopIfTrue="1"/>
  </conditionalFormatting>
  <conditionalFormatting sqref="H69">
    <cfRule type="duplicateValues" dxfId="309" priority="167" stopIfTrue="1"/>
    <cfRule type="duplicateValues" dxfId="308" priority="169" stopIfTrue="1"/>
    <cfRule type="duplicateValues" dxfId="307" priority="168" stopIfTrue="1"/>
  </conditionalFormatting>
  <conditionalFormatting sqref="H79">
    <cfRule type="duplicateValues" dxfId="306" priority="163" stopIfTrue="1"/>
    <cfRule type="duplicateValues" dxfId="305" priority="164" stopIfTrue="1"/>
    <cfRule type="duplicateValues" dxfId="304" priority="162" stopIfTrue="1"/>
  </conditionalFormatting>
  <conditionalFormatting sqref="H89">
    <cfRule type="duplicateValues" dxfId="303" priority="158" stopIfTrue="1"/>
    <cfRule type="duplicateValues" dxfId="302" priority="157" stopIfTrue="1"/>
    <cfRule type="duplicateValues" dxfId="301" priority="159" stopIfTrue="1"/>
  </conditionalFormatting>
  <conditionalFormatting sqref="H99">
    <cfRule type="duplicateValues" dxfId="300" priority="153" stopIfTrue="1"/>
    <cfRule type="duplicateValues" dxfId="299" priority="154" stopIfTrue="1"/>
    <cfRule type="duplicateValues" dxfId="298" priority="152" stopIfTrue="1"/>
  </conditionalFormatting>
  <conditionalFormatting sqref="H109">
    <cfRule type="duplicateValues" dxfId="297" priority="147" stopIfTrue="1"/>
    <cfRule type="duplicateValues" dxfId="296" priority="149" stopIfTrue="1"/>
    <cfRule type="duplicateValues" dxfId="295" priority="148" stopIfTrue="1"/>
  </conditionalFormatting>
  <conditionalFormatting sqref="H119">
    <cfRule type="duplicateValues" dxfId="294" priority="143" stopIfTrue="1"/>
    <cfRule type="duplicateValues" dxfId="293" priority="144" stopIfTrue="1"/>
    <cfRule type="duplicateValues" dxfId="292" priority="142" stopIfTrue="1"/>
  </conditionalFormatting>
  <conditionalFormatting sqref="H129">
    <cfRule type="duplicateValues" dxfId="291" priority="138" stopIfTrue="1"/>
    <cfRule type="duplicateValues" dxfId="290" priority="137" stopIfTrue="1"/>
    <cfRule type="duplicateValues" dxfId="289" priority="139" stopIfTrue="1"/>
  </conditionalFormatting>
  <conditionalFormatting sqref="H139">
    <cfRule type="duplicateValues" dxfId="288" priority="134" stopIfTrue="1"/>
    <cfRule type="duplicateValues" dxfId="287" priority="133" stopIfTrue="1"/>
    <cfRule type="duplicateValues" dxfId="286" priority="132" stopIfTrue="1"/>
  </conditionalFormatting>
  <conditionalFormatting sqref="H149">
    <cfRule type="duplicateValues" dxfId="285" priority="129" stopIfTrue="1"/>
    <cfRule type="duplicateValues" dxfId="284" priority="128" stopIfTrue="1"/>
    <cfRule type="duplicateValues" dxfId="283" priority="127" stopIfTrue="1"/>
  </conditionalFormatting>
  <conditionalFormatting sqref="H159">
    <cfRule type="duplicateValues" dxfId="282" priority="124" stopIfTrue="1"/>
    <cfRule type="duplicateValues" dxfId="281" priority="123" stopIfTrue="1"/>
    <cfRule type="duplicateValues" dxfId="280" priority="122" stopIfTrue="1"/>
  </conditionalFormatting>
  <conditionalFormatting sqref="H11:J11">
    <cfRule type="expression" dxfId="279" priority="200" stopIfTrue="1">
      <formula>H11&gt;$L12</formula>
    </cfRule>
  </conditionalFormatting>
  <conditionalFormatting sqref="H12:J12">
    <cfRule type="cellIs" dxfId="278" priority="32" stopIfTrue="1" operator="equal">
      <formula>"Wrong"</formula>
    </cfRule>
  </conditionalFormatting>
  <conditionalFormatting sqref="H14:J14">
    <cfRule type="expression" dxfId="277" priority="196" stopIfTrue="1">
      <formula>H14&gt;4</formula>
    </cfRule>
  </conditionalFormatting>
  <conditionalFormatting sqref="H21:J21">
    <cfRule type="expression" dxfId="276" priority="195" stopIfTrue="1">
      <formula>H21&gt;$L22</formula>
    </cfRule>
  </conditionalFormatting>
  <conditionalFormatting sqref="H22:J22">
    <cfRule type="cellIs" dxfId="275" priority="35" stopIfTrue="1" operator="equal">
      <formula>"Wrong"</formula>
    </cfRule>
  </conditionalFormatting>
  <conditionalFormatting sqref="H24:J24">
    <cfRule type="expression" dxfId="274" priority="191" stopIfTrue="1">
      <formula>H24&gt;4</formula>
    </cfRule>
  </conditionalFormatting>
  <conditionalFormatting sqref="H31:J31">
    <cfRule type="expression" dxfId="273" priority="190" stopIfTrue="1">
      <formula>H31&gt;$L32</formula>
    </cfRule>
  </conditionalFormatting>
  <conditionalFormatting sqref="H32:J32">
    <cfRule type="cellIs" dxfId="272" priority="38" stopIfTrue="1" operator="equal">
      <formula>"Wrong"</formula>
    </cfRule>
  </conditionalFormatting>
  <conditionalFormatting sqref="H34:J34">
    <cfRule type="expression" dxfId="271" priority="186" stopIfTrue="1">
      <formula>H34&gt;4</formula>
    </cfRule>
  </conditionalFormatting>
  <conditionalFormatting sqref="H41:J41">
    <cfRule type="expression" dxfId="270" priority="185" stopIfTrue="1">
      <formula>H41&gt;$L42</formula>
    </cfRule>
  </conditionalFormatting>
  <conditionalFormatting sqref="H42:J42">
    <cfRule type="cellIs" dxfId="269" priority="41" stopIfTrue="1" operator="equal">
      <formula>"Wrong"</formula>
    </cfRule>
  </conditionalFormatting>
  <conditionalFormatting sqref="H44:J44">
    <cfRule type="expression" dxfId="268" priority="181" stopIfTrue="1">
      <formula>H44&gt;4</formula>
    </cfRule>
  </conditionalFormatting>
  <conditionalFormatting sqref="H51:J51">
    <cfRule type="expression" dxfId="267" priority="180" stopIfTrue="1">
      <formula>H51&gt;$L52</formula>
    </cfRule>
  </conditionalFormatting>
  <conditionalFormatting sqref="H52:J52">
    <cfRule type="cellIs" dxfId="266" priority="44" stopIfTrue="1" operator="equal">
      <formula>"Wrong"</formula>
    </cfRule>
  </conditionalFormatting>
  <conditionalFormatting sqref="H54:J54">
    <cfRule type="expression" dxfId="265" priority="176" stopIfTrue="1">
      <formula>H54&gt;4</formula>
    </cfRule>
  </conditionalFormatting>
  <conditionalFormatting sqref="H61:J61">
    <cfRule type="expression" dxfId="264" priority="175" stopIfTrue="1">
      <formula>H61&gt;$L62</formula>
    </cfRule>
  </conditionalFormatting>
  <conditionalFormatting sqref="H62:J62">
    <cfRule type="cellIs" dxfId="263" priority="47" stopIfTrue="1" operator="equal">
      <formula>"Wrong"</formula>
    </cfRule>
  </conditionalFormatting>
  <conditionalFormatting sqref="H64:J64">
    <cfRule type="expression" dxfId="262" priority="171" stopIfTrue="1">
      <formula>H64&gt;4</formula>
    </cfRule>
  </conditionalFormatting>
  <conditionalFormatting sqref="H71:J71">
    <cfRule type="expression" dxfId="261" priority="170" stopIfTrue="1">
      <formula>H71&gt;$L72</formula>
    </cfRule>
  </conditionalFormatting>
  <conditionalFormatting sqref="H72:J72">
    <cfRule type="cellIs" dxfId="260" priority="50" stopIfTrue="1" operator="equal">
      <formula>"Wrong"</formula>
    </cfRule>
  </conditionalFormatting>
  <conditionalFormatting sqref="H74:J74">
    <cfRule type="expression" dxfId="259" priority="166" stopIfTrue="1">
      <formula>H74&gt;4</formula>
    </cfRule>
  </conditionalFormatting>
  <conditionalFormatting sqref="H81:J81">
    <cfRule type="expression" dxfId="258" priority="165" stopIfTrue="1">
      <formula>H81&gt;$L82</formula>
    </cfRule>
  </conditionalFormatting>
  <conditionalFormatting sqref="H82:J82">
    <cfRule type="cellIs" dxfId="257" priority="53" stopIfTrue="1" operator="equal">
      <formula>"Wrong"</formula>
    </cfRule>
  </conditionalFormatting>
  <conditionalFormatting sqref="H84:J84">
    <cfRule type="expression" dxfId="256" priority="161" stopIfTrue="1">
      <formula>H84&gt;4</formula>
    </cfRule>
  </conditionalFormatting>
  <conditionalFormatting sqref="H91:J91">
    <cfRule type="expression" dxfId="255" priority="160" stopIfTrue="1">
      <formula>H91&gt;$L92</formula>
    </cfRule>
  </conditionalFormatting>
  <conditionalFormatting sqref="H92:J92">
    <cfRule type="cellIs" dxfId="254" priority="56" stopIfTrue="1" operator="equal">
      <formula>"Wrong"</formula>
    </cfRule>
  </conditionalFormatting>
  <conditionalFormatting sqref="H94:J94">
    <cfRule type="expression" dxfId="253" priority="118" stopIfTrue="1">
      <formula>H94&gt;4</formula>
    </cfRule>
  </conditionalFormatting>
  <conditionalFormatting sqref="H101:J101">
    <cfRule type="expression" dxfId="252" priority="155" stopIfTrue="1">
      <formula>H101&gt;$L102</formula>
    </cfRule>
  </conditionalFormatting>
  <conditionalFormatting sqref="H102:J102">
    <cfRule type="cellIs" dxfId="251" priority="59" stopIfTrue="1" operator="equal">
      <formula>"Wrong"</formula>
    </cfRule>
  </conditionalFormatting>
  <conditionalFormatting sqref="H104:J104">
    <cfRule type="expression" dxfId="250" priority="115" stopIfTrue="1">
      <formula>H104&gt;4</formula>
    </cfRule>
  </conditionalFormatting>
  <conditionalFormatting sqref="H111:J111">
    <cfRule type="expression" dxfId="249" priority="150" stopIfTrue="1">
      <formula>H111&gt;$L112</formula>
    </cfRule>
  </conditionalFormatting>
  <conditionalFormatting sqref="H112:J112">
    <cfRule type="cellIs" dxfId="248" priority="62" stopIfTrue="1" operator="equal">
      <formula>"Wrong"</formula>
    </cfRule>
  </conditionalFormatting>
  <conditionalFormatting sqref="H114:J114">
    <cfRule type="expression" dxfId="247" priority="112" stopIfTrue="1">
      <formula>H114&gt;4</formula>
    </cfRule>
  </conditionalFormatting>
  <conditionalFormatting sqref="H121:J121">
    <cfRule type="expression" dxfId="246" priority="145" stopIfTrue="1">
      <formula>H121&gt;$L122</formula>
    </cfRule>
  </conditionalFormatting>
  <conditionalFormatting sqref="H122:J122">
    <cfRule type="cellIs" dxfId="245" priority="65" stopIfTrue="1" operator="equal">
      <formula>"Wrong"</formula>
    </cfRule>
  </conditionalFormatting>
  <conditionalFormatting sqref="H124:J124">
    <cfRule type="expression" dxfId="244" priority="109" stopIfTrue="1">
      <formula>H124&gt;4</formula>
    </cfRule>
  </conditionalFormatting>
  <conditionalFormatting sqref="H131:J131">
    <cfRule type="expression" dxfId="243" priority="140" stopIfTrue="1">
      <formula>H131&gt;$L132</formula>
    </cfRule>
  </conditionalFormatting>
  <conditionalFormatting sqref="H132:J132">
    <cfRule type="cellIs" dxfId="242" priority="68" stopIfTrue="1" operator="equal">
      <formula>"Wrong"</formula>
    </cfRule>
  </conditionalFormatting>
  <conditionalFormatting sqref="H134:J134">
    <cfRule type="expression" dxfId="241" priority="106" stopIfTrue="1">
      <formula>H134&gt;4</formula>
    </cfRule>
  </conditionalFormatting>
  <conditionalFormatting sqref="H141:J141">
    <cfRule type="expression" dxfId="240" priority="135" stopIfTrue="1">
      <formula>H141&gt;$L142</formula>
    </cfRule>
  </conditionalFormatting>
  <conditionalFormatting sqref="H142:J142">
    <cfRule type="cellIs" dxfId="239" priority="71" stopIfTrue="1" operator="equal">
      <formula>"Wrong"</formula>
    </cfRule>
  </conditionalFormatting>
  <conditionalFormatting sqref="H144:J144">
    <cfRule type="expression" dxfId="238" priority="103" stopIfTrue="1">
      <formula>H144&gt;4</formula>
    </cfRule>
  </conditionalFormatting>
  <conditionalFormatting sqref="H151:J151">
    <cfRule type="expression" dxfId="237" priority="130" stopIfTrue="1">
      <formula>H151&gt;$L152</formula>
    </cfRule>
  </conditionalFormatting>
  <conditionalFormatting sqref="H152:J152">
    <cfRule type="cellIs" dxfId="236" priority="74" stopIfTrue="1" operator="equal">
      <formula>"Wrong"</formula>
    </cfRule>
  </conditionalFormatting>
  <conditionalFormatting sqref="H154:J154">
    <cfRule type="expression" dxfId="235" priority="100" stopIfTrue="1">
      <formula>H154&gt;4</formula>
    </cfRule>
  </conditionalFormatting>
  <conditionalFormatting sqref="H161:J161">
    <cfRule type="expression" dxfId="234" priority="125" stopIfTrue="1">
      <formula>H161&gt;$L162</formula>
    </cfRule>
  </conditionalFormatting>
  <conditionalFormatting sqref="H162:J162">
    <cfRule type="cellIs" dxfId="233" priority="77" stopIfTrue="1" operator="equal">
      <formula>"Wrong"</formula>
    </cfRule>
  </conditionalFormatting>
  <conditionalFormatting sqref="H164:J164">
    <cfRule type="expression" dxfId="232" priority="97" stopIfTrue="1">
      <formula>H164&gt;4</formula>
    </cfRule>
  </conditionalFormatting>
  <conditionalFormatting sqref="I9">
    <cfRule type="duplicateValues" dxfId="231" priority="545" stopIfTrue="1"/>
    <cfRule type="duplicateValues" dxfId="230" priority="543" stopIfTrue="1"/>
    <cfRule type="duplicateValues" dxfId="229" priority="544" stopIfTrue="1"/>
  </conditionalFormatting>
  <conditionalFormatting sqref="I19">
    <cfRule type="duplicateValues" dxfId="228" priority="534" stopIfTrue="1"/>
    <cfRule type="duplicateValues" dxfId="227" priority="533" stopIfTrue="1"/>
    <cfRule type="duplicateValues" dxfId="226" priority="532" stopIfTrue="1"/>
  </conditionalFormatting>
  <conditionalFormatting sqref="I29">
    <cfRule type="duplicateValues" dxfId="225" priority="528" stopIfTrue="1"/>
    <cfRule type="duplicateValues" dxfId="224" priority="527" stopIfTrue="1"/>
    <cfRule type="duplicateValues" dxfId="223" priority="526" stopIfTrue="1"/>
  </conditionalFormatting>
  <conditionalFormatting sqref="I39">
    <cfRule type="duplicateValues" dxfId="222" priority="522" stopIfTrue="1"/>
    <cfRule type="duplicateValues" dxfId="221" priority="521" stopIfTrue="1"/>
    <cfRule type="duplicateValues" dxfId="220" priority="520" stopIfTrue="1"/>
  </conditionalFormatting>
  <conditionalFormatting sqref="I49">
    <cfRule type="duplicateValues" dxfId="219" priority="515" stopIfTrue="1"/>
    <cfRule type="duplicateValues" dxfId="218" priority="514" stopIfTrue="1"/>
    <cfRule type="duplicateValues" dxfId="217" priority="516" stopIfTrue="1"/>
  </conditionalFormatting>
  <conditionalFormatting sqref="I59">
    <cfRule type="duplicateValues" dxfId="216" priority="510" stopIfTrue="1"/>
    <cfRule type="duplicateValues" dxfId="215" priority="509" stopIfTrue="1"/>
    <cfRule type="duplicateValues" dxfId="214" priority="508" stopIfTrue="1"/>
  </conditionalFormatting>
  <conditionalFormatting sqref="I69">
    <cfRule type="duplicateValues" dxfId="213" priority="503" stopIfTrue="1"/>
    <cfRule type="duplicateValues" dxfId="212" priority="504" stopIfTrue="1"/>
    <cfRule type="duplicateValues" dxfId="211" priority="502" stopIfTrue="1"/>
  </conditionalFormatting>
  <conditionalFormatting sqref="I79">
    <cfRule type="duplicateValues" dxfId="210" priority="497" stopIfTrue="1"/>
    <cfRule type="duplicateValues" dxfId="209" priority="496" stopIfTrue="1"/>
    <cfRule type="duplicateValues" dxfId="208" priority="498" stopIfTrue="1"/>
  </conditionalFormatting>
  <conditionalFormatting sqref="I89">
    <cfRule type="duplicateValues" dxfId="207" priority="492" stopIfTrue="1"/>
    <cfRule type="duplicateValues" dxfId="206" priority="491" stopIfTrue="1"/>
    <cfRule type="duplicateValues" dxfId="205" priority="490" stopIfTrue="1"/>
  </conditionalFormatting>
  <conditionalFormatting sqref="I99">
    <cfRule type="duplicateValues" dxfId="204" priority="484" stopIfTrue="1"/>
    <cfRule type="duplicateValues" dxfId="203" priority="486" stopIfTrue="1"/>
    <cfRule type="duplicateValues" dxfId="202" priority="485" stopIfTrue="1"/>
  </conditionalFormatting>
  <conditionalFormatting sqref="I109">
    <cfRule type="duplicateValues" dxfId="201" priority="480" stopIfTrue="1"/>
    <cfRule type="duplicateValues" dxfId="200" priority="478" stopIfTrue="1"/>
    <cfRule type="duplicateValues" dxfId="199" priority="479" stopIfTrue="1"/>
  </conditionalFormatting>
  <conditionalFormatting sqref="I119">
    <cfRule type="duplicateValues" dxfId="198" priority="474" stopIfTrue="1"/>
    <cfRule type="duplicateValues" dxfId="197" priority="472" stopIfTrue="1"/>
    <cfRule type="duplicateValues" dxfId="196" priority="473" stopIfTrue="1"/>
  </conditionalFormatting>
  <conditionalFormatting sqref="I129">
    <cfRule type="duplicateValues" dxfId="195" priority="466" stopIfTrue="1"/>
    <cfRule type="duplicateValues" dxfId="194" priority="468" stopIfTrue="1"/>
    <cfRule type="duplicateValues" dxfId="193" priority="467" stopIfTrue="1"/>
  </conditionalFormatting>
  <conditionalFormatting sqref="I139">
    <cfRule type="duplicateValues" dxfId="192" priority="460" stopIfTrue="1"/>
    <cfRule type="duplicateValues" dxfId="191" priority="461" stopIfTrue="1"/>
    <cfRule type="duplicateValues" dxfId="190" priority="462" stopIfTrue="1"/>
  </conditionalFormatting>
  <conditionalFormatting sqref="I149">
    <cfRule type="duplicateValues" dxfId="189" priority="455" stopIfTrue="1"/>
    <cfRule type="duplicateValues" dxfId="188" priority="456" stopIfTrue="1"/>
    <cfRule type="duplicateValues" dxfId="187" priority="454" stopIfTrue="1"/>
  </conditionalFormatting>
  <conditionalFormatting sqref="I159">
    <cfRule type="duplicateValues" dxfId="186" priority="450" stopIfTrue="1"/>
    <cfRule type="duplicateValues" dxfId="185" priority="448" stopIfTrue="1"/>
    <cfRule type="duplicateValues" dxfId="184" priority="449" stopIfTrue="1"/>
  </conditionalFormatting>
  <conditionalFormatting sqref="J9">
    <cfRule type="duplicateValues" dxfId="183" priority="535" stopIfTrue="1"/>
    <cfRule type="duplicateValues" dxfId="182" priority="536" stopIfTrue="1"/>
    <cfRule type="duplicateValues" dxfId="181" priority="537" stopIfTrue="1"/>
  </conditionalFormatting>
  <conditionalFormatting sqref="J19">
    <cfRule type="duplicateValues" dxfId="180" priority="530" stopIfTrue="1"/>
    <cfRule type="duplicateValues" dxfId="179" priority="531" stopIfTrue="1"/>
    <cfRule type="duplicateValues" dxfId="178" priority="529" stopIfTrue="1"/>
  </conditionalFormatting>
  <conditionalFormatting sqref="J29">
    <cfRule type="duplicateValues" dxfId="177" priority="525" stopIfTrue="1"/>
    <cfRule type="duplicateValues" dxfId="176" priority="523" stopIfTrue="1"/>
    <cfRule type="duplicateValues" dxfId="175" priority="524" stopIfTrue="1"/>
  </conditionalFormatting>
  <conditionalFormatting sqref="J39">
    <cfRule type="duplicateValues" dxfId="174" priority="517" stopIfTrue="1"/>
    <cfRule type="duplicateValues" dxfId="173" priority="518" stopIfTrue="1"/>
    <cfRule type="duplicateValues" dxfId="172" priority="519" stopIfTrue="1"/>
  </conditionalFormatting>
  <conditionalFormatting sqref="J49">
    <cfRule type="duplicateValues" dxfId="171" priority="513" stopIfTrue="1"/>
    <cfRule type="duplicateValues" dxfId="170" priority="511" stopIfTrue="1"/>
    <cfRule type="duplicateValues" dxfId="169" priority="512" stopIfTrue="1"/>
  </conditionalFormatting>
  <conditionalFormatting sqref="J59">
    <cfRule type="duplicateValues" dxfId="168" priority="505" stopIfTrue="1"/>
    <cfRule type="duplicateValues" dxfId="167" priority="506" stopIfTrue="1"/>
    <cfRule type="duplicateValues" dxfId="166" priority="507" stopIfTrue="1"/>
  </conditionalFormatting>
  <conditionalFormatting sqref="J69">
    <cfRule type="duplicateValues" dxfId="165" priority="500" stopIfTrue="1"/>
    <cfRule type="duplicateValues" dxfId="164" priority="499" stopIfTrue="1"/>
    <cfRule type="duplicateValues" dxfId="163" priority="501" stopIfTrue="1"/>
  </conditionalFormatting>
  <conditionalFormatting sqref="J79">
    <cfRule type="duplicateValues" dxfId="162" priority="494" stopIfTrue="1"/>
    <cfRule type="duplicateValues" dxfId="161" priority="493" stopIfTrue="1"/>
    <cfRule type="duplicateValues" dxfId="160" priority="495" stopIfTrue="1"/>
  </conditionalFormatting>
  <conditionalFormatting sqref="J89">
    <cfRule type="duplicateValues" dxfId="159" priority="489" stopIfTrue="1"/>
    <cfRule type="duplicateValues" dxfId="158" priority="488" stopIfTrue="1"/>
    <cfRule type="duplicateValues" dxfId="157" priority="487" stopIfTrue="1"/>
  </conditionalFormatting>
  <conditionalFormatting sqref="J99">
    <cfRule type="duplicateValues" dxfId="156" priority="482" stopIfTrue="1"/>
    <cfRule type="duplicateValues" dxfId="155" priority="481" stopIfTrue="1"/>
    <cfRule type="duplicateValues" dxfId="154" priority="483" stopIfTrue="1"/>
  </conditionalFormatting>
  <conditionalFormatting sqref="J109">
    <cfRule type="duplicateValues" dxfId="153" priority="475" stopIfTrue="1"/>
    <cfRule type="duplicateValues" dxfId="152" priority="476" stopIfTrue="1"/>
    <cfRule type="duplicateValues" dxfId="151" priority="477" stopIfTrue="1"/>
  </conditionalFormatting>
  <conditionalFormatting sqref="J119">
    <cfRule type="duplicateValues" dxfId="150" priority="471" stopIfTrue="1"/>
    <cfRule type="duplicateValues" dxfId="149" priority="470" stopIfTrue="1"/>
    <cfRule type="duplicateValues" dxfId="148" priority="469" stopIfTrue="1"/>
  </conditionalFormatting>
  <conditionalFormatting sqref="J129">
    <cfRule type="duplicateValues" dxfId="147" priority="464" stopIfTrue="1"/>
    <cfRule type="duplicateValues" dxfId="146" priority="463" stopIfTrue="1"/>
    <cfRule type="duplicateValues" dxfId="145" priority="465" stopIfTrue="1"/>
  </conditionalFormatting>
  <conditionalFormatting sqref="J139">
    <cfRule type="duplicateValues" dxfId="144" priority="459" stopIfTrue="1"/>
    <cfRule type="duplicateValues" dxfId="143" priority="458" stopIfTrue="1"/>
    <cfRule type="duplicateValues" dxfId="142" priority="457" stopIfTrue="1"/>
  </conditionalFormatting>
  <conditionalFormatting sqref="J149">
    <cfRule type="duplicateValues" dxfId="141" priority="451" stopIfTrue="1"/>
    <cfRule type="duplicateValues" dxfId="140" priority="452" stopIfTrue="1"/>
    <cfRule type="duplicateValues" dxfId="139" priority="453" stopIfTrue="1"/>
  </conditionalFormatting>
  <conditionalFormatting sqref="J159">
    <cfRule type="duplicateValues" dxfId="138" priority="446" stopIfTrue="1"/>
    <cfRule type="duplicateValues" dxfId="137" priority="447" stopIfTrue="1"/>
    <cfRule type="duplicateValues" dxfId="136" priority="445" stopIfTrue="1"/>
  </conditionalFormatting>
  <conditionalFormatting sqref="L12">
    <cfRule type="cellIs" dxfId="135" priority="539" stopIfTrue="1" operator="equal">
      <formula>"WRONG"</formula>
    </cfRule>
  </conditionalFormatting>
  <conditionalFormatting sqref="L14">
    <cfRule type="cellIs" dxfId="134" priority="538" stopIfTrue="1" operator="equal">
      <formula>"WRONG"</formula>
    </cfRule>
  </conditionalFormatting>
  <conditionalFormatting sqref="L15">
    <cfRule type="cellIs" dxfId="133" priority="95" stopIfTrue="1" operator="equal">
      <formula>"Wrong"</formula>
    </cfRule>
  </conditionalFormatting>
  <conditionalFormatting sqref="L22">
    <cfRule type="cellIs" dxfId="132" priority="442" stopIfTrue="1" operator="equal">
      <formula>"WRONG"</formula>
    </cfRule>
  </conditionalFormatting>
  <conditionalFormatting sqref="L24">
    <cfRule type="cellIs" dxfId="131" priority="397" stopIfTrue="1" operator="equal">
      <formula>"WRONG"</formula>
    </cfRule>
  </conditionalFormatting>
  <conditionalFormatting sqref="L25">
    <cfRule type="cellIs" dxfId="130" priority="31" stopIfTrue="1" operator="equal">
      <formula>"Wrong"</formula>
    </cfRule>
  </conditionalFormatting>
  <conditionalFormatting sqref="L32">
    <cfRule type="cellIs" dxfId="129" priority="439" stopIfTrue="1" operator="equal">
      <formula>"WRONG"</formula>
    </cfRule>
  </conditionalFormatting>
  <conditionalFormatting sqref="L34">
    <cfRule type="cellIs" dxfId="128" priority="394" stopIfTrue="1" operator="equal">
      <formula>"WRONG"</formula>
    </cfRule>
  </conditionalFormatting>
  <conditionalFormatting sqref="L35">
    <cfRule type="cellIs" dxfId="127" priority="30" stopIfTrue="1" operator="equal">
      <formula>"Wrong"</formula>
    </cfRule>
  </conditionalFormatting>
  <conditionalFormatting sqref="L42">
    <cfRule type="cellIs" dxfId="126" priority="436" stopIfTrue="1" operator="equal">
      <formula>"WRONG"</formula>
    </cfRule>
  </conditionalFormatting>
  <conditionalFormatting sqref="L44">
    <cfRule type="cellIs" dxfId="125" priority="391" stopIfTrue="1" operator="equal">
      <formula>"WRONG"</formula>
    </cfRule>
  </conditionalFormatting>
  <conditionalFormatting sqref="L45">
    <cfRule type="cellIs" dxfId="124" priority="29" stopIfTrue="1" operator="equal">
      <formula>"Wrong"</formula>
    </cfRule>
  </conditionalFormatting>
  <conditionalFormatting sqref="L52">
    <cfRule type="cellIs" dxfId="123" priority="433" stopIfTrue="1" operator="equal">
      <formula>"WRONG"</formula>
    </cfRule>
  </conditionalFormatting>
  <conditionalFormatting sqref="L54">
    <cfRule type="cellIs" dxfId="122" priority="388" stopIfTrue="1" operator="equal">
      <formula>"WRONG"</formula>
    </cfRule>
  </conditionalFormatting>
  <conditionalFormatting sqref="L55">
    <cfRule type="cellIs" dxfId="121" priority="28" stopIfTrue="1" operator="equal">
      <formula>"Wrong"</formula>
    </cfRule>
  </conditionalFormatting>
  <conditionalFormatting sqref="L62">
    <cfRule type="cellIs" dxfId="120" priority="430" stopIfTrue="1" operator="equal">
      <formula>"WRONG"</formula>
    </cfRule>
  </conditionalFormatting>
  <conditionalFormatting sqref="L64">
    <cfRule type="cellIs" dxfId="119" priority="385" stopIfTrue="1" operator="equal">
      <formula>"WRONG"</formula>
    </cfRule>
  </conditionalFormatting>
  <conditionalFormatting sqref="L65">
    <cfRule type="cellIs" dxfId="118" priority="27" stopIfTrue="1" operator="equal">
      <formula>"Wrong"</formula>
    </cfRule>
  </conditionalFormatting>
  <conditionalFormatting sqref="L72">
    <cfRule type="cellIs" dxfId="117" priority="427" stopIfTrue="1" operator="equal">
      <formula>"WRONG"</formula>
    </cfRule>
  </conditionalFormatting>
  <conditionalFormatting sqref="L74">
    <cfRule type="cellIs" dxfId="116" priority="382" stopIfTrue="1" operator="equal">
      <formula>"WRONG"</formula>
    </cfRule>
  </conditionalFormatting>
  <conditionalFormatting sqref="L75">
    <cfRule type="cellIs" dxfId="115" priority="26" stopIfTrue="1" operator="equal">
      <formula>"Wrong"</formula>
    </cfRule>
  </conditionalFormatting>
  <conditionalFormatting sqref="L82">
    <cfRule type="cellIs" dxfId="114" priority="424" stopIfTrue="1" operator="equal">
      <formula>"WRONG"</formula>
    </cfRule>
  </conditionalFormatting>
  <conditionalFormatting sqref="L84">
    <cfRule type="cellIs" dxfId="113" priority="379" stopIfTrue="1" operator="equal">
      <formula>"WRONG"</formula>
    </cfRule>
  </conditionalFormatting>
  <conditionalFormatting sqref="L85">
    <cfRule type="cellIs" dxfId="112" priority="25" stopIfTrue="1" operator="equal">
      <formula>"Wrong"</formula>
    </cfRule>
  </conditionalFormatting>
  <conditionalFormatting sqref="L92">
    <cfRule type="cellIs" dxfId="111" priority="421" stopIfTrue="1" operator="equal">
      <formula>"WRONG"</formula>
    </cfRule>
  </conditionalFormatting>
  <conditionalFormatting sqref="L94">
    <cfRule type="cellIs" dxfId="110" priority="376" stopIfTrue="1" operator="equal">
      <formula>"WRONG"</formula>
    </cfRule>
  </conditionalFormatting>
  <conditionalFormatting sqref="L95">
    <cfRule type="cellIs" dxfId="109" priority="24" stopIfTrue="1" operator="equal">
      <formula>"Wrong"</formula>
    </cfRule>
  </conditionalFormatting>
  <conditionalFormatting sqref="L102">
    <cfRule type="cellIs" dxfId="108" priority="418" stopIfTrue="1" operator="equal">
      <formula>"WRONG"</formula>
    </cfRule>
  </conditionalFormatting>
  <conditionalFormatting sqref="L104">
    <cfRule type="cellIs" dxfId="107" priority="373" stopIfTrue="1" operator="equal">
      <formula>"WRONG"</formula>
    </cfRule>
  </conditionalFormatting>
  <conditionalFormatting sqref="L105">
    <cfRule type="cellIs" dxfId="106" priority="23" stopIfTrue="1" operator="equal">
      <formula>"Wrong"</formula>
    </cfRule>
  </conditionalFormatting>
  <conditionalFormatting sqref="L112">
    <cfRule type="cellIs" dxfId="105" priority="415" stopIfTrue="1" operator="equal">
      <formula>"WRONG"</formula>
    </cfRule>
  </conditionalFormatting>
  <conditionalFormatting sqref="L114">
    <cfRule type="cellIs" dxfId="104" priority="370" stopIfTrue="1" operator="equal">
      <formula>"WRONG"</formula>
    </cfRule>
  </conditionalFormatting>
  <conditionalFormatting sqref="L115">
    <cfRule type="cellIs" dxfId="103" priority="22" stopIfTrue="1" operator="equal">
      <formula>"Wrong"</formula>
    </cfRule>
  </conditionalFormatting>
  <conditionalFormatting sqref="L122">
    <cfRule type="cellIs" dxfId="102" priority="412" stopIfTrue="1" operator="equal">
      <formula>"WRONG"</formula>
    </cfRule>
  </conditionalFormatting>
  <conditionalFormatting sqref="L124">
    <cfRule type="cellIs" dxfId="101" priority="367" stopIfTrue="1" operator="equal">
      <formula>"WRONG"</formula>
    </cfRule>
  </conditionalFormatting>
  <conditionalFormatting sqref="L125">
    <cfRule type="cellIs" dxfId="100" priority="21" stopIfTrue="1" operator="equal">
      <formula>"Wrong"</formula>
    </cfRule>
  </conditionalFormatting>
  <conditionalFormatting sqref="L132">
    <cfRule type="cellIs" dxfId="99" priority="409" stopIfTrue="1" operator="equal">
      <formula>"WRONG"</formula>
    </cfRule>
  </conditionalFormatting>
  <conditionalFormatting sqref="L134">
    <cfRule type="cellIs" dxfId="98" priority="364" stopIfTrue="1" operator="equal">
      <formula>"WRONG"</formula>
    </cfRule>
  </conditionalFormatting>
  <conditionalFormatting sqref="L135">
    <cfRule type="cellIs" dxfId="97" priority="20" stopIfTrue="1" operator="equal">
      <formula>"Wrong"</formula>
    </cfRule>
  </conditionalFormatting>
  <conditionalFormatting sqref="L142">
    <cfRule type="cellIs" dxfId="96" priority="406" stopIfTrue="1" operator="equal">
      <formula>"WRONG"</formula>
    </cfRule>
  </conditionalFormatting>
  <conditionalFormatting sqref="L144">
    <cfRule type="cellIs" dxfId="95" priority="361" stopIfTrue="1" operator="equal">
      <formula>"WRONG"</formula>
    </cfRule>
  </conditionalFormatting>
  <conditionalFormatting sqref="L145">
    <cfRule type="cellIs" dxfId="94" priority="19" stopIfTrue="1" operator="equal">
      <formula>"Wrong"</formula>
    </cfRule>
  </conditionalFormatting>
  <conditionalFormatting sqref="L152">
    <cfRule type="cellIs" dxfId="93" priority="403" stopIfTrue="1" operator="equal">
      <formula>"WRONG"</formula>
    </cfRule>
  </conditionalFormatting>
  <conditionalFormatting sqref="L154">
    <cfRule type="cellIs" dxfId="92" priority="358" stopIfTrue="1" operator="equal">
      <formula>"WRONG"</formula>
    </cfRule>
  </conditionalFormatting>
  <conditionalFormatting sqref="L155">
    <cfRule type="cellIs" dxfId="91" priority="18" stopIfTrue="1" operator="equal">
      <formula>"Wrong"</formula>
    </cfRule>
  </conditionalFormatting>
  <conditionalFormatting sqref="L162">
    <cfRule type="cellIs" dxfId="90" priority="400" stopIfTrue="1" operator="equal">
      <formula>"WRONG"</formula>
    </cfRule>
  </conditionalFormatting>
  <conditionalFormatting sqref="L164">
    <cfRule type="cellIs" dxfId="89" priority="355" stopIfTrue="1" operator="equal">
      <formula>"WRONG"</formula>
    </cfRule>
  </conditionalFormatting>
  <conditionalFormatting sqref="L165">
    <cfRule type="cellIs" dxfId="88" priority="17" stopIfTrue="1" operator="equal">
      <formula>"Wrong"</formula>
    </cfRule>
  </conditionalFormatting>
  <pageMargins left="0.25" right="0.25" top="0.75" bottom="0.75" header="0.3" footer="0.3"/>
  <pageSetup paperSize="9" scale="2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C89-571E-44B1-9D99-49CE8EE531D4}">
  <sheetPr codeName="Sheet6"/>
  <dimension ref="A1:U29"/>
  <sheetViews>
    <sheetView zoomScale="55" zoomScaleNormal="55" workbookViewId="0"/>
  </sheetViews>
  <sheetFormatPr defaultRowHeight="15"/>
  <cols>
    <col min="3" max="3" width="11.140625" bestFit="1" customWidth="1"/>
    <col min="4" max="4" width="13.140625" bestFit="1" customWidth="1"/>
    <col min="5" max="6" width="13.140625" customWidth="1"/>
    <col min="7" max="7" width="12.7109375" bestFit="1" customWidth="1"/>
    <col min="8" max="9" width="13.140625" customWidth="1"/>
    <col min="10" max="10" width="12.7109375" bestFit="1" customWidth="1"/>
    <col min="11" max="12" width="13.140625" customWidth="1"/>
    <col min="13" max="15" width="13.140625" style="431" customWidth="1"/>
    <col min="19" max="19" width="13.42578125" bestFit="1" customWidth="1"/>
  </cols>
  <sheetData>
    <row r="1" spans="1:21" ht="25.5">
      <c r="A1" s="391" t="s">
        <v>7496</v>
      </c>
      <c r="B1" s="310"/>
      <c r="C1" s="311"/>
      <c r="D1" s="307"/>
      <c r="E1" s="307"/>
      <c r="F1" s="30"/>
      <c r="G1" s="30"/>
      <c r="H1" s="30"/>
      <c r="I1" s="30"/>
      <c r="J1" s="30"/>
      <c r="K1" s="32"/>
      <c r="L1" s="32"/>
      <c r="M1" s="30"/>
      <c r="N1" s="85"/>
      <c r="O1" s="136">
        <v>41712</v>
      </c>
      <c r="P1" s="33"/>
      <c r="Q1" s="30"/>
      <c r="R1" s="30"/>
      <c r="S1" s="30"/>
      <c r="T1" s="789"/>
      <c r="U1" s="789"/>
    </row>
    <row r="2" spans="1:21" ht="23.25">
      <c r="A2" s="123" t="s">
        <v>6867</v>
      </c>
      <c r="B2" s="123"/>
      <c r="C2" s="30"/>
      <c r="D2" s="30"/>
      <c r="E2" s="30"/>
      <c r="F2" s="30"/>
      <c r="G2" s="30"/>
      <c r="H2" s="30"/>
      <c r="I2" s="30"/>
      <c r="J2" s="30"/>
      <c r="K2" s="30"/>
      <c r="L2" s="30"/>
      <c r="M2" s="421"/>
      <c r="N2" s="421"/>
      <c r="O2" s="421"/>
      <c r="P2" s="30"/>
      <c r="Q2" s="30"/>
      <c r="R2" s="30"/>
      <c r="S2" s="30"/>
      <c r="T2" s="30"/>
      <c r="U2" s="30"/>
    </row>
    <row r="3" spans="1:21" ht="23.25">
      <c r="A3" s="123"/>
      <c r="B3" s="123"/>
      <c r="C3" s="30"/>
      <c r="D3" s="30"/>
      <c r="E3" s="30"/>
      <c r="F3" s="30"/>
      <c r="G3" s="30"/>
      <c r="H3" s="30"/>
      <c r="I3" s="30"/>
      <c r="J3" s="30"/>
      <c r="K3" s="30"/>
      <c r="L3" s="30"/>
      <c r="M3" s="421"/>
      <c r="N3" s="421"/>
      <c r="O3" s="421"/>
      <c r="P3" s="30"/>
      <c r="Q3" s="30"/>
      <c r="R3" s="30" t="str">
        <f>IF(MAX(P8:R27)&gt;R4,"Wrong","OK")</f>
        <v>OK</v>
      </c>
      <c r="S3" s="30"/>
      <c r="T3" s="30" t="str">
        <f>IF(MAX(S8:S27)&gt;T4,"Wrong","OK")</f>
        <v>OK</v>
      </c>
      <c r="U3" s="33"/>
    </row>
    <row r="4" spans="1:21" ht="15.75" thickBo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421"/>
      <c r="N4" s="421"/>
      <c r="O4" s="421"/>
      <c r="P4" s="30"/>
      <c r="Q4" s="66" t="s">
        <v>6868</v>
      </c>
      <c r="R4" s="35">
        <v>40</v>
      </c>
      <c r="S4" s="66" t="s">
        <v>6868</v>
      </c>
      <c r="T4" s="35">
        <v>40</v>
      </c>
      <c r="U4" s="30"/>
    </row>
    <row r="5" spans="1:21" ht="15" customHeight="1" thickBot="1">
      <c r="A5" s="30"/>
      <c r="B5" s="30"/>
      <c r="C5" s="30"/>
      <c r="D5" s="302" t="s">
        <v>6869</v>
      </c>
      <c r="E5" s="303"/>
      <c r="F5" s="303"/>
      <c r="G5" s="303"/>
      <c r="H5" s="303"/>
      <c r="I5" s="303"/>
      <c r="J5" s="303"/>
      <c r="K5" s="303"/>
      <c r="L5" s="304"/>
      <c r="M5" s="305" t="s">
        <v>6998</v>
      </c>
      <c r="N5" s="306"/>
      <c r="O5" s="306"/>
      <c r="P5" s="292" t="s">
        <v>6870</v>
      </c>
      <c r="Q5" s="293"/>
      <c r="R5" s="384"/>
      <c r="S5" s="386" t="s">
        <v>6997</v>
      </c>
      <c r="T5" s="30"/>
      <c r="U5" s="30"/>
    </row>
    <row r="6" spans="1:21">
      <c r="A6" s="30"/>
      <c r="B6" s="125" t="s">
        <v>6821</v>
      </c>
      <c r="C6" s="191" t="s">
        <v>6872</v>
      </c>
      <c r="D6" s="292" t="s">
        <v>6972</v>
      </c>
      <c r="E6" s="293"/>
      <c r="F6" s="293"/>
      <c r="G6" s="292" t="s">
        <v>6994</v>
      </c>
      <c r="H6" s="293"/>
      <c r="I6" s="296"/>
      <c r="J6" s="292" t="s">
        <v>6995</v>
      </c>
      <c r="K6" s="293"/>
      <c r="L6" s="293"/>
      <c r="M6" s="415" t="s">
        <v>6999</v>
      </c>
      <c r="N6" s="416" t="s">
        <v>7000</v>
      </c>
      <c r="O6" s="417" t="s">
        <v>7001</v>
      </c>
      <c r="P6" s="297" t="s">
        <v>6972</v>
      </c>
      <c r="Q6" s="242" t="s">
        <v>6780</v>
      </c>
      <c r="R6" s="385" t="s">
        <v>6781</v>
      </c>
      <c r="S6" s="387" t="s">
        <v>6875</v>
      </c>
      <c r="T6" s="30"/>
      <c r="U6" s="30"/>
    </row>
    <row r="7" spans="1:21">
      <c r="A7" s="30"/>
      <c r="B7" s="125"/>
      <c r="C7" s="191"/>
      <c r="D7" s="294" t="s">
        <v>6991</v>
      </c>
      <c r="E7" s="242" t="s">
        <v>6992</v>
      </c>
      <c r="F7" s="242" t="s">
        <v>6993</v>
      </c>
      <c r="G7" s="297" t="s">
        <v>6991</v>
      </c>
      <c r="H7" s="126" t="s">
        <v>6992</v>
      </c>
      <c r="I7" s="126" t="s">
        <v>6993</v>
      </c>
      <c r="J7" s="297" t="s">
        <v>6991</v>
      </c>
      <c r="K7" s="126" t="s">
        <v>6992</v>
      </c>
      <c r="L7" s="124" t="s">
        <v>6993</v>
      </c>
      <c r="M7" s="418" t="s">
        <v>6996</v>
      </c>
      <c r="N7" s="419" t="s">
        <v>6996</v>
      </c>
      <c r="O7" s="420" t="s">
        <v>6996</v>
      </c>
      <c r="P7" s="297"/>
      <c r="Q7" s="242"/>
      <c r="R7" s="385"/>
      <c r="S7" s="387"/>
      <c r="T7" s="30"/>
      <c r="U7" s="30"/>
    </row>
    <row r="8" spans="1:21">
      <c r="A8" s="30"/>
      <c r="B8" s="54" t="s">
        <v>1454</v>
      </c>
      <c r="C8" s="290" t="s">
        <v>6878</v>
      </c>
      <c r="D8" s="171">
        <v>5106.2362204724404</v>
      </c>
      <c r="E8" s="128">
        <v>1768.240157480315</v>
      </c>
      <c r="F8" s="128">
        <v>14360.397637795277</v>
      </c>
      <c r="G8" s="171">
        <v>5902.464566929134</v>
      </c>
      <c r="H8" s="128">
        <v>1770.704724409449</v>
      </c>
      <c r="I8" s="128">
        <v>13579.716535433072</v>
      </c>
      <c r="J8" s="298">
        <v>6525.177165354331</v>
      </c>
      <c r="K8" s="128">
        <v>1767.5748031496064</v>
      </c>
      <c r="L8" s="129">
        <v>12946.303149606299</v>
      </c>
      <c r="M8" s="422">
        <f t="shared" ref="M8:M27" si="0">+D8+E8+F8</f>
        <v>21234.874015748032</v>
      </c>
      <c r="N8" s="423">
        <f t="shared" ref="N8:N27" si="1">+G8+H8+I8</f>
        <v>21252.885826771657</v>
      </c>
      <c r="O8" s="424">
        <f t="shared" ref="O8:O27" si="2">+J8+K8+L8</f>
        <v>21239.055118110235</v>
      </c>
      <c r="P8" s="797">
        <f>ABS(M8-M9)</f>
        <v>3.7244094488196424</v>
      </c>
      <c r="Q8" s="790">
        <f>ABS(N8-N9)</f>
        <v>26.562992125986057</v>
      </c>
      <c r="R8" s="772">
        <f>ABS(O8-O9)</f>
        <v>11.665354330711125</v>
      </c>
      <c r="S8" s="773">
        <f>MAX(M8:O9)-MIN(M8:O9)</f>
        <v>26.562992125986057</v>
      </c>
      <c r="T8" s="30"/>
      <c r="U8" s="30"/>
    </row>
    <row r="9" spans="1:21">
      <c r="A9" s="30"/>
      <c r="B9" s="54" t="s">
        <v>1474</v>
      </c>
      <c r="C9" s="291" t="s">
        <v>1475</v>
      </c>
      <c r="D9" s="171">
        <v>5107.1771653543301</v>
      </c>
      <c r="E9" s="128">
        <v>1765.2519685039372</v>
      </c>
      <c r="F9" s="128">
        <v>14358.720472440946</v>
      </c>
      <c r="G9" s="171">
        <v>5893.2322834645665</v>
      </c>
      <c r="H9" s="128">
        <v>1764.0511811023623</v>
      </c>
      <c r="I9" s="128">
        <v>13569.039370078741</v>
      </c>
      <c r="J9" s="298">
        <v>6527.8779527559054</v>
      </c>
      <c r="K9" s="128">
        <v>1770.5039370078739</v>
      </c>
      <c r="L9" s="129">
        <v>12952.338582677165</v>
      </c>
      <c r="M9" s="425">
        <f t="shared" si="0"/>
        <v>21231.149606299212</v>
      </c>
      <c r="N9" s="426">
        <f t="shared" si="1"/>
        <v>21226.322834645671</v>
      </c>
      <c r="O9" s="427">
        <f t="shared" si="2"/>
        <v>21250.720472440946</v>
      </c>
      <c r="P9" s="798"/>
      <c r="Q9" s="791"/>
      <c r="R9" s="792"/>
      <c r="S9" s="793"/>
      <c r="T9" s="30"/>
      <c r="U9" s="30"/>
    </row>
    <row r="10" spans="1:21">
      <c r="A10" s="30"/>
      <c r="B10" s="54" t="s">
        <v>1458</v>
      </c>
      <c r="C10" s="290" t="s">
        <v>1459</v>
      </c>
      <c r="D10" s="171">
        <v>5114.0905511811025</v>
      </c>
      <c r="E10" s="128">
        <v>1768.240157480315</v>
      </c>
      <c r="F10" s="128">
        <v>14360.397637795277</v>
      </c>
      <c r="G10" s="171">
        <v>5896.1653543307084</v>
      </c>
      <c r="H10" s="128">
        <v>1770.704724409449</v>
      </c>
      <c r="I10" s="128">
        <v>13579.716535433072</v>
      </c>
      <c r="J10" s="171">
        <v>6534.0748031496059</v>
      </c>
      <c r="K10" s="128">
        <v>1767.5748031496064</v>
      </c>
      <c r="L10" s="129">
        <v>12946.303149606299</v>
      </c>
      <c r="M10" s="422">
        <f t="shared" si="0"/>
        <v>21242.728346456694</v>
      </c>
      <c r="N10" s="423">
        <f t="shared" si="1"/>
        <v>21246.586614173229</v>
      </c>
      <c r="O10" s="424">
        <f t="shared" si="2"/>
        <v>21247.952755905513</v>
      </c>
      <c r="P10" s="797">
        <f>ABS(M10-M11)</f>
        <v>14.751968503936951</v>
      </c>
      <c r="Q10" s="790">
        <f>ABS(N10-N11)</f>
        <v>13.228346456693544</v>
      </c>
      <c r="R10" s="772">
        <f>ABS(O10-O11)</f>
        <v>3.0314960629912093</v>
      </c>
      <c r="S10" s="773">
        <f>MAX(M10:O11)-MIN(M10:O11)</f>
        <v>19.976377952756593</v>
      </c>
      <c r="T10" s="30"/>
      <c r="U10" s="30"/>
    </row>
    <row r="11" spans="1:21">
      <c r="A11" s="30"/>
      <c r="B11" s="54" t="s">
        <v>1478</v>
      </c>
      <c r="C11" s="291" t="s">
        <v>1479</v>
      </c>
      <c r="D11" s="171">
        <v>5104.0039370078739</v>
      </c>
      <c r="E11" s="128">
        <v>1765.2519685039372</v>
      </c>
      <c r="F11" s="128">
        <v>14358.720472440946</v>
      </c>
      <c r="G11" s="171">
        <v>5900.2677165354335</v>
      </c>
      <c r="H11" s="128">
        <v>1764.0511811023623</v>
      </c>
      <c r="I11" s="128">
        <v>13569.039370078741</v>
      </c>
      <c r="J11" s="171">
        <v>6522.0787401574808</v>
      </c>
      <c r="K11" s="128">
        <v>1770.5039370078739</v>
      </c>
      <c r="L11" s="129">
        <v>12952.338582677165</v>
      </c>
      <c r="M11" s="425">
        <f t="shared" si="0"/>
        <v>21227.976377952757</v>
      </c>
      <c r="N11" s="426">
        <f t="shared" si="1"/>
        <v>21233.358267716536</v>
      </c>
      <c r="O11" s="427">
        <f t="shared" si="2"/>
        <v>21244.921259842522</v>
      </c>
      <c r="P11" s="798"/>
      <c r="Q11" s="791"/>
      <c r="R11" s="792"/>
      <c r="S11" s="793"/>
      <c r="T11" s="30"/>
      <c r="U11" s="30"/>
    </row>
    <row r="12" spans="1:21">
      <c r="A12" s="30"/>
      <c r="B12" s="54" t="s">
        <v>1460</v>
      </c>
      <c r="C12" s="290" t="s">
        <v>1461</v>
      </c>
      <c r="D12" s="171">
        <v>5114.4330708661419</v>
      </c>
      <c r="E12" s="128">
        <v>1766.8228346456692</v>
      </c>
      <c r="F12" s="128">
        <v>14365.330708661417</v>
      </c>
      <c r="G12" s="171">
        <v>5901.7519685039379</v>
      </c>
      <c r="H12" s="128">
        <v>1766.3267716535433</v>
      </c>
      <c r="I12" s="128">
        <v>13578.251968503939</v>
      </c>
      <c r="J12" s="171">
        <v>6533.3503937007881</v>
      </c>
      <c r="K12" s="128">
        <v>1767.0826771653542</v>
      </c>
      <c r="L12" s="129">
        <v>12938.043307086615</v>
      </c>
      <c r="M12" s="422">
        <f t="shared" si="0"/>
        <v>21246.586614173226</v>
      </c>
      <c r="N12" s="423">
        <f t="shared" si="1"/>
        <v>21246.330708661422</v>
      </c>
      <c r="O12" s="424">
        <f t="shared" si="2"/>
        <v>21238.476377952757</v>
      </c>
      <c r="P12" s="797">
        <f>ABS(M12-M13)</f>
        <v>6.2755905511803576</v>
      </c>
      <c r="Q12" s="790">
        <f>ABS(N12-N13)</f>
        <v>2.2716535433028184</v>
      </c>
      <c r="R12" s="772">
        <f>ABS(O12-O13)</f>
        <v>6.3385826771627762</v>
      </c>
      <c r="S12" s="773">
        <f>MAX(M12:O13)-MIN(M12:O13)</f>
        <v>10.125984251968475</v>
      </c>
      <c r="T12" s="30"/>
      <c r="U12" s="30"/>
    </row>
    <row r="13" spans="1:21">
      <c r="A13" s="30"/>
      <c r="B13" s="54" t="s">
        <v>1480</v>
      </c>
      <c r="C13" s="291" t="s">
        <v>1481</v>
      </c>
      <c r="D13" s="171">
        <v>5106.3700787401576</v>
      </c>
      <c r="E13" s="128">
        <v>1768.8503937007877</v>
      </c>
      <c r="F13" s="128">
        <v>14365.090551181102</v>
      </c>
      <c r="G13" s="171">
        <v>5901.8818897637802</v>
      </c>
      <c r="H13" s="128">
        <v>1764.4251968503938</v>
      </c>
      <c r="I13" s="128">
        <v>13582.295275590552</v>
      </c>
      <c r="J13" s="171">
        <v>6522.4212598425202</v>
      </c>
      <c r="K13" s="128">
        <v>1770.4488188976379</v>
      </c>
      <c r="L13" s="129">
        <v>12951.944881889764</v>
      </c>
      <c r="M13" s="425">
        <f t="shared" si="0"/>
        <v>21240.311023622045</v>
      </c>
      <c r="N13" s="426">
        <f t="shared" si="1"/>
        <v>21248.602362204725</v>
      </c>
      <c r="O13" s="427">
        <f t="shared" si="2"/>
        <v>21244.814960629919</v>
      </c>
      <c r="P13" s="798"/>
      <c r="Q13" s="791"/>
      <c r="R13" s="792"/>
      <c r="S13" s="793"/>
      <c r="T13" s="30"/>
      <c r="U13" s="30"/>
    </row>
    <row r="14" spans="1:21">
      <c r="A14" s="30"/>
      <c r="B14" s="54" t="s">
        <v>1462</v>
      </c>
      <c r="C14" s="290" t="s">
        <v>1463</v>
      </c>
      <c r="D14" s="171">
        <v>5114.8307086614168</v>
      </c>
      <c r="E14" s="128">
        <v>1766.8228346456692</v>
      </c>
      <c r="F14" s="128">
        <v>14365.330708661417</v>
      </c>
      <c r="G14" s="171">
        <v>5903.5472440944877</v>
      </c>
      <c r="H14" s="128">
        <v>1766.3267716535433</v>
      </c>
      <c r="I14" s="128">
        <v>13578.251968503939</v>
      </c>
      <c r="J14" s="171">
        <v>6534.0551181102364</v>
      </c>
      <c r="K14" s="128">
        <v>1767.0826771653542</v>
      </c>
      <c r="L14" s="129">
        <v>12938.043307086615</v>
      </c>
      <c r="M14" s="422">
        <f t="shared" si="0"/>
        <v>21246.984251968504</v>
      </c>
      <c r="N14" s="423">
        <f t="shared" si="1"/>
        <v>21248.125984251972</v>
      </c>
      <c r="O14" s="424">
        <f t="shared" si="2"/>
        <v>21239.181102362207</v>
      </c>
      <c r="P14" s="797">
        <f>ABS(M14-M15)</f>
        <v>0.34251968504031538</v>
      </c>
      <c r="Q14" s="790">
        <f>ABS(N14-N15)</f>
        <v>2.3464566929105786</v>
      </c>
      <c r="R14" s="772">
        <f>ABS(O14-O15)</f>
        <v>11.948818897635647</v>
      </c>
      <c r="S14" s="773">
        <f>MAX(M14:O15)-MIN(M14:O15)</f>
        <v>11.948818897635647</v>
      </c>
      <c r="T14" s="30"/>
      <c r="U14" s="30"/>
    </row>
    <row r="15" spans="1:21">
      <c r="A15" s="30"/>
      <c r="B15" s="54" t="s">
        <v>1482</v>
      </c>
      <c r="C15" s="291" t="s">
        <v>1483</v>
      </c>
      <c r="D15" s="171">
        <v>5112.7007874015744</v>
      </c>
      <c r="E15" s="128">
        <v>1768.8503937007877</v>
      </c>
      <c r="F15" s="128">
        <v>14365.090551181102</v>
      </c>
      <c r="G15" s="171">
        <v>5903.751968503937</v>
      </c>
      <c r="H15" s="128">
        <v>1764.4251968503938</v>
      </c>
      <c r="I15" s="128">
        <v>13582.295275590552</v>
      </c>
      <c r="J15" s="171">
        <v>6528.7362204724413</v>
      </c>
      <c r="K15" s="128">
        <v>1770.4488188976379</v>
      </c>
      <c r="L15" s="129">
        <v>12951.944881889764</v>
      </c>
      <c r="M15" s="425">
        <f t="shared" si="0"/>
        <v>21246.641732283464</v>
      </c>
      <c r="N15" s="426">
        <f t="shared" si="1"/>
        <v>21250.472440944883</v>
      </c>
      <c r="O15" s="427">
        <f t="shared" si="2"/>
        <v>21251.129921259842</v>
      </c>
      <c r="P15" s="798"/>
      <c r="Q15" s="791"/>
      <c r="R15" s="792"/>
      <c r="S15" s="793"/>
      <c r="T15" s="30"/>
      <c r="U15" s="30"/>
    </row>
    <row r="16" spans="1:21">
      <c r="A16" s="30"/>
      <c r="B16" s="54" t="s">
        <v>1464</v>
      </c>
      <c r="C16" s="290" t="s">
        <v>1465</v>
      </c>
      <c r="D16" s="171">
        <v>5111.251968503937</v>
      </c>
      <c r="E16" s="128">
        <v>1767.2874015748032</v>
      </c>
      <c r="F16" s="128">
        <v>14368.000000000002</v>
      </c>
      <c r="G16" s="171">
        <v>5894.6732283464571</v>
      </c>
      <c r="H16" s="128">
        <v>1768.956692913386</v>
      </c>
      <c r="I16" s="128">
        <v>13575.484251968504</v>
      </c>
      <c r="J16" s="171">
        <v>6534.5708661417329</v>
      </c>
      <c r="K16" s="128">
        <v>1770.8425196850394</v>
      </c>
      <c r="L16" s="129">
        <v>12950.539370078739</v>
      </c>
      <c r="M16" s="422">
        <f t="shared" si="0"/>
        <v>21246.539370078743</v>
      </c>
      <c r="N16" s="423">
        <f t="shared" si="1"/>
        <v>21239.114173228347</v>
      </c>
      <c r="O16" s="424">
        <f t="shared" si="2"/>
        <v>21255.952755905513</v>
      </c>
      <c r="P16" s="797">
        <f>ABS(M16-M17)</f>
        <v>2.6417322834677179</v>
      </c>
      <c r="Q16" s="790">
        <f>ABS(N16-N17)</f>
        <v>1.7086614173240378</v>
      </c>
      <c r="R16" s="772">
        <f>ABS(O16-O17)</f>
        <v>16.393700787401031</v>
      </c>
      <c r="S16" s="773">
        <f>MAX(M16:O17)-MIN(M16:O17)</f>
        <v>18.547244094490452</v>
      </c>
      <c r="T16" s="30"/>
      <c r="U16" s="30"/>
    </row>
    <row r="17" spans="1:21">
      <c r="A17" s="30"/>
      <c r="B17" s="54" t="s">
        <v>1484</v>
      </c>
      <c r="C17" s="291" t="s">
        <v>1485</v>
      </c>
      <c r="D17" s="171">
        <v>5111.4724409448818</v>
      </c>
      <c r="E17" s="128">
        <v>1770.1929133858268</v>
      </c>
      <c r="F17" s="128">
        <v>14362.232283464567</v>
      </c>
      <c r="G17" s="171">
        <v>5892.0629921259842</v>
      </c>
      <c r="H17" s="128">
        <v>1771.5866141732283</v>
      </c>
      <c r="I17" s="128">
        <v>13573.755905511811</v>
      </c>
      <c r="J17" s="171">
        <v>6528.7047244094492</v>
      </c>
      <c r="K17" s="128">
        <v>1764.8228346456694</v>
      </c>
      <c r="L17" s="129">
        <v>12946.031496062993</v>
      </c>
      <c r="M17" s="425">
        <f t="shared" si="0"/>
        <v>21243.897637795275</v>
      </c>
      <c r="N17" s="426">
        <f t="shared" si="1"/>
        <v>21237.405511811023</v>
      </c>
      <c r="O17" s="427">
        <f t="shared" si="2"/>
        <v>21239.559055118112</v>
      </c>
      <c r="P17" s="798"/>
      <c r="Q17" s="791"/>
      <c r="R17" s="792"/>
      <c r="S17" s="793"/>
      <c r="T17" s="30"/>
      <c r="U17" s="30"/>
    </row>
    <row r="18" spans="1:21">
      <c r="A18" s="30"/>
      <c r="B18" s="54" t="s">
        <v>1466</v>
      </c>
      <c r="C18" s="290" t="s">
        <v>1467</v>
      </c>
      <c r="D18" s="171">
        <v>5111.7165354330718</v>
      </c>
      <c r="E18" s="128">
        <v>1767.2874015748032</v>
      </c>
      <c r="F18" s="128">
        <v>14368.000000000002</v>
      </c>
      <c r="G18" s="171">
        <v>5895.4566929133853</v>
      </c>
      <c r="H18" s="128">
        <v>1768.956692913386</v>
      </c>
      <c r="I18" s="128">
        <v>13575.484251968504</v>
      </c>
      <c r="J18" s="171">
        <v>6531.066929133859</v>
      </c>
      <c r="K18" s="128">
        <v>1770.8425196850394</v>
      </c>
      <c r="L18" s="129">
        <v>12950.539370078739</v>
      </c>
      <c r="M18" s="422">
        <f t="shared" si="0"/>
        <v>21247.003937007878</v>
      </c>
      <c r="N18" s="423">
        <f t="shared" si="1"/>
        <v>21239.897637795275</v>
      </c>
      <c r="O18" s="424">
        <f t="shared" si="2"/>
        <v>21252.448818897639</v>
      </c>
      <c r="P18" s="797">
        <f>ABS(M18-M19)</f>
        <v>3.4960629921224609</v>
      </c>
      <c r="Q18" s="790">
        <f>ABS(N18-N19)</f>
        <v>1.3937007874010305</v>
      </c>
      <c r="R18" s="772">
        <f>ABS(O18-O19)</f>
        <v>19.480314960630494</v>
      </c>
      <c r="S18" s="773">
        <f>MAX(M18:O19)-MIN(M18:O19)</f>
        <v>19.480314960630494</v>
      </c>
      <c r="T18" s="30"/>
      <c r="U18" s="30"/>
    </row>
    <row r="19" spans="1:21">
      <c r="A19" s="30"/>
      <c r="B19" s="54" t="s">
        <v>1486</v>
      </c>
      <c r="C19" s="291" t="s">
        <v>1487</v>
      </c>
      <c r="D19" s="171">
        <v>5118.0748031496069</v>
      </c>
      <c r="E19" s="128">
        <v>1770.1929133858268</v>
      </c>
      <c r="F19" s="128">
        <v>14362.232283464567</v>
      </c>
      <c r="G19" s="171">
        <v>5895.9488188976384</v>
      </c>
      <c r="H19" s="128">
        <v>1771.5866141732283</v>
      </c>
      <c r="I19" s="128">
        <v>13573.755905511811</v>
      </c>
      <c r="J19" s="171">
        <v>6522.1141732283468</v>
      </c>
      <c r="K19" s="128">
        <v>1764.8228346456694</v>
      </c>
      <c r="L19" s="129">
        <v>12946.031496062993</v>
      </c>
      <c r="M19" s="425">
        <f t="shared" si="0"/>
        <v>21250.5</v>
      </c>
      <c r="N19" s="426">
        <f t="shared" si="1"/>
        <v>21241.291338582676</v>
      </c>
      <c r="O19" s="427">
        <f t="shared" si="2"/>
        <v>21232.968503937009</v>
      </c>
      <c r="P19" s="798"/>
      <c r="Q19" s="791"/>
      <c r="R19" s="792"/>
      <c r="S19" s="793"/>
      <c r="T19" s="30"/>
      <c r="U19" s="30"/>
    </row>
    <row r="20" spans="1:21">
      <c r="A20" s="30"/>
      <c r="B20" s="54" t="s">
        <v>1468</v>
      </c>
      <c r="C20" s="290" t="s">
        <v>1469</v>
      </c>
      <c r="D20" s="171">
        <v>5117.1259842519685</v>
      </c>
      <c r="E20" s="299"/>
      <c r="F20" s="128">
        <v>16141.48031496063</v>
      </c>
      <c r="G20" s="171">
        <v>5896.7952755905517</v>
      </c>
      <c r="H20" s="299"/>
      <c r="I20" s="128">
        <v>15346.996062992126</v>
      </c>
      <c r="J20" s="171">
        <v>6520.606299212599</v>
      </c>
      <c r="K20" s="299"/>
      <c r="L20" s="129">
        <v>14724.307086614175</v>
      </c>
      <c r="M20" s="422">
        <f t="shared" si="0"/>
        <v>21258.606299212599</v>
      </c>
      <c r="N20" s="423">
        <f t="shared" si="1"/>
        <v>21243.791338582676</v>
      </c>
      <c r="O20" s="424">
        <f t="shared" si="2"/>
        <v>21244.913385826774</v>
      </c>
      <c r="P20" s="797">
        <f>ABS(M20-M21)</f>
        <v>14.259842519684753</v>
      </c>
      <c r="Q20" s="790">
        <f>ABS(N20-N21)</f>
        <v>5.3346456692888751</v>
      </c>
      <c r="R20" s="772">
        <f>ABS(O20-O21)</f>
        <v>7.1850393700769928</v>
      </c>
      <c r="S20" s="773">
        <f>MAX(M20:O21)-MIN(M20:O21)</f>
        <v>20.149606299211882</v>
      </c>
      <c r="T20" s="30"/>
      <c r="U20" s="30"/>
    </row>
    <row r="21" spans="1:21">
      <c r="A21" s="30"/>
      <c r="B21" s="54" t="s">
        <v>1488</v>
      </c>
      <c r="C21" s="291" t="s">
        <v>1489</v>
      </c>
      <c r="D21" s="171">
        <v>5116.3464566929133</v>
      </c>
      <c r="E21" s="299"/>
      <c r="F21" s="128">
        <v>16128.000000000002</v>
      </c>
      <c r="G21" s="171">
        <v>5892.4527559055114</v>
      </c>
      <c r="H21" s="299"/>
      <c r="I21" s="128">
        <v>15346.003937007874</v>
      </c>
      <c r="J21" s="171">
        <v>6534.7755905511822</v>
      </c>
      <c r="K21" s="299"/>
      <c r="L21" s="129">
        <v>14717.322834645669</v>
      </c>
      <c r="M21" s="425">
        <f t="shared" si="0"/>
        <v>21244.346456692914</v>
      </c>
      <c r="N21" s="426">
        <f t="shared" si="1"/>
        <v>21238.456692913387</v>
      </c>
      <c r="O21" s="427">
        <f t="shared" si="2"/>
        <v>21252.098425196851</v>
      </c>
      <c r="P21" s="798"/>
      <c r="Q21" s="791"/>
      <c r="R21" s="792"/>
      <c r="S21" s="793"/>
      <c r="T21" s="30"/>
      <c r="U21" s="30"/>
    </row>
    <row r="22" spans="1:21">
      <c r="A22" s="30"/>
      <c r="B22" s="54" t="s">
        <v>1470</v>
      </c>
      <c r="C22" s="290" t="s">
        <v>1471</v>
      </c>
      <c r="D22" s="171">
        <v>5109.9881889763783</v>
      </c>
      <c r="E22" s="299"/>
      <c r="F22" s="128">
        <v>16141.48031496063</v>
      </c>
      <c r="G22" s="171">
        <v>5903.9921259842522</v>
      </c>
      <c r="H22" s="299"/>
      <c r="I22" s="128">
        <v>15346.996062992126</v>
      </c>
      <c r="J22" s="171">
        <v>6530.1141732283468</v>
      </c>
      <c r="K22" s="299"/>
      <c r="L22" s="129">
        <v>14724.307086614175</v>
      </c>
      <c r="M22" s="422">
        <f t="shared" si="0"/>
        <v>21251.468503937009</v>
      </c>
      <c r="N22" s="423">
        <f t="shared" si="1"/>
        <v>21250.988188976378</v>
      </c>
      <c r="O22" s="424">
        <f t="shared" si="2"/>
        <v>21254.421259842522</v>
      </c>
      <c r="P22" s="797">
        <f>ABS(M22-M23)</f>
        <v>10.381889763779327</v>
      </c>
      <c r="Q22" s="790">
        <f>ABS(N22-N23)</f>
        <v>3.4960629921260988</v>
      </c>
      <c r="R22" s="772">
        <f>ABS(O22-O23)</f>
        <v>7.5984251968548051</v>
      </c>
      <c r="S22" s="773">
        <f>MAX(M22:O23)-MIN(M22:O23)</f>
        <v>13.334645669292513</v>
      </c>
      <c r="T22" s="30"/>
      <c r="U22" s="30"/>
    </row>
    <row r="23" spans="1:21">
      <c r="A23" s="30"/>
      <c r="B23" s="54" t="s">
        <v>1490</v>
      </c>
      <c r="C23" s="291" t="s">
        <v>1491</v>
      </c>
      <c r="D23" s="171">
        <v>5113.0866141732286</v>
      </c>
      <c r="E23" s="299"/>
      <c r="F23" s="128">
        <v>16128.000000000002</v>
      </c>
      <c r="G23" s="171">
        <v>5901.4881889763774</v>
      </c>
      <c r="H23" s="299"/>
      <c r="I23" s="128">
        <v>15346.003937007874</v>
      </c>
      <c r="J23" s="171">
        <v>6529.5</v>
      </c>
      <c r="K23" s="299"/>
      <c r="L23" s="129">
        <v>14717.322834645669</v>
      </c>
      <c r="M23" s="425">
        <f t="shared" si="0"/>
        <v>21241.086614173229</v>
      </c>
      <c r="N23" s="426">
        <f t="shared" si="1"/>
        <v>21247.492125984252</v>
      </c>
      <c r="O23" s="427">
        <f t="shared" si="2"/>
        <v>21246.822834645667</v>
      </c>
      <c r="P23" s="798"/>
      <c r="Q23" s="791"/>
      <c r="R23" s="792"/>
      <c r="S23" s="793"/>
      <c r="T23" s="30"/>
      <c r="U23" s="30"/>
    </row>
    <row r="24" spans="1:21">
      <c r="A24" s="30"/>
      <c r="B24" s="54" t="s">
        <v>1472</v>
      </c>
      <c r="C24" s="290" t="s">
        <v>1473</v>
      </c>
      <c r="D24" s="171">
        <v>5109.9448818897636</v>
      </c>
      <c r="E24" s="299"/>
      <c r="F24" s="128">
        <v>16133.964566929135</v>
      </c>
      <c r="G24" s="171">
        <v>5898.8346456692916</v>
      </c>
      <c r="H24" s="299"/>
      <c r="I24" s="128">
        <v>15353.622047244096</v>
      </c>
      <c r="J24" s="171">
        <v>6525.2755905511813</v>
      </c>
      <c r="K24" s="299"/>
      <c r="L24" s="129">
        <v>14712.917322834646</v>
      </c>
      <c r="M24" s="422">
        <f t="shared" si="0"/>
        <v>21243.9094488189</v>
      </c>
      <c r="N24" s="423">
        <f t="shared" si="1"/>
        <v>21252.456692913387</v>
      </c>
      <c r="O24" s="424">
        <f t="shared" si="2"/>
        <v>21238.192913385828</v>
      </c>
      <c r="P24" s="797">
        <f>ABS(M24-M25)</f>
        <v>2.6299212598423765</v>
      </c>
      <c r="Q24" s="790">
        <f>ABS(N24-N25)</f>
        <v>0.8543307086583809</v>
      </c>
      <c r="R24" s="772">
        <f>ABS(O24-O25)</f>
        <v>4.2401574803152471</v>
      </c>
      <c r="S24" s="773">
        <f>MAX(M24:O25)-MIN(M24:O25)</f>
        <v>19.358267716532282</v>
      </c>
      <c r="T24" s="30"/>
      <c r="U24" s="30"/>
    </row>
    <row r="25" spans="1:21">
      <c r="A25" s="30"/>
      <c r="B25" s="54" t="s">
        <v>1492</v>
      </c>
      <c r="C25" s="291" t="s">
        <v>1493</v>
      </c>
      <c r="D25" s="171">
        <v>5111.4685039370079</v>
      </c>
      <c r="E25" s="299"/>
      <c r="F25" s="128">
        <v>16135.070866141734</v>
      </c>
      <c r="G25" s="171">
        <v>5898.9881889763783</v>
      </c>
      <c r="H25" s="299"/>
      <c r="I25" s="128">
        <v>15354.322834645669</v>
      </c>
      <c r="J25" s="171">
        <v>6521.5669291338581</v>
      </c>
      <c r="K25" s="299"/>
      <c r="L25" s="129">
        <v>14712.385826771653</v>
      </c>
      <c r="M25" s="425">
        <f t="shared" si="0"/>
        <v>21246.539370078743</v>
      </c>
      <c r="N25" s="426">
        <f t="shared" si="1"/>
        <v>21253.311023622045</v>
      </c>
      <c r="O25" s="427">
        <f t="shared" si="2"/>
        <v>21233.952755905513</v>
      </c>
      <c r="P25" s="798"/>
      <c r="Q25" s="791"/>
      <c r="R25" s="792"/>
      <c r="S25" s="793"/>
      <c r="T25" s="30"/>
      <c r="U25" s="30"/>
    </row>
    <row r="26" spans="1:21">
      <c r="A26" s="30"/>
      <c r="B26" s="54" t="s">
        <v>1456</v>
      </c>
      <c r="C26" s="290" t="s">
        <v>1457</v>
      </c>
      <c r="D26" s="171">
        <v>5108.8307086614168</v>
      </c>
      <c r="E26" s="299"/>
      <c r="F26" s="128">
        <v>16133.964566929135</v>
      </c>
      <c r="G26" s="171">
        <v>5903.1535433070867</v>
      </c>
      <c r="H26" s="299"/>
      <c r="I26" s="128">
        <v>15353.622047244096</v>
      </c>
      <c r="J26" s="171">
        <v>6526.3031496062995</v>
      </c>
      <c r="K26" s="299"/>
      <c r="L26" s="129">
        <v>14712.917322834646</v>
      </c>
      <c r="M26" s="422">
        <f t="shared" si="0"/>
        <v>21242.79527559055</v>
      </c>
      <c r="N26" s="423">
        <f t="shared" si="1"/>
        <v>21256.775590551184</v>
      </c>
      <c r="O26" s="424">
        <f t="shared" si="2"/>
        <v>21239.220472440946</v>
      </c>
      <c r="P26" s="797">
        <f>ABS(M26-M27)</f>
        <v>2.8543307086583809</v>
      </c>
      <c r="Q26" s="790">
        <f>ABS(N26-N27)</f>
        <v>10.047244094490452</v>
      </c>
      <c r="R26" s="772">
        <f>ABS(O26-O27)</f>
        <v>2.070866141730221</v>
      </c>
      <c r="S26" s="773">
        <f>MAX(M26:O27)-MIN(M26:O27)</f>
        <v>17.555118110238254</v>
      </c>
      <c r="T26" s="30"/>
      <c r="U26" s="30"/>
    </row>
    <row r="27" spans="1:21" ht="15.75" thickBot="1">
      <c r="A27" s="30"/>
      <c r="B27" s="54" t="s">
        <v>1476</v>
      </c>
      <c r="C27" s="291" t="s">
        <v>1477</v>
      </c>
      <c r="D27" s="174">
        <v>5104.8700787401576</v>
      </c>
      <c r="E27" s="300"/>
      <c r="F27" s="295">
        <v>16135.070866141734</v>
      </c>
      <c r="G27" s="174">
        <v>5892.4055118110236</v>
      </c>
      <c r="H27" s="300"/>
      <c r="I27" s="295">
        <v>15354.322834645669</v>
      </c>
      <c r="J27" s="174">
        <v>6528.9055118110246</v>
      </c>
      <c r="K27" s="300"/>
      <c r="L27" s="301">
        <v>14712.385826771653</v>
      </c>
      <c r="M27" s="428">
        <f t="shared" si="0"/>
        <v>21239.940944881891</v>
      </c>
      <c r="N27" s="429">
        <f t="shared" si="1"/>
        <v>21246.728346456694</v>
      </c>
      <c r="O27" s="430">
        <f t="shared" si="2"/>
        <v>21241.291338582676</v>
      </c>
      <c r="P27" s="799"/>
      <c r="Q27" s="794"/>
      <c r="R27" s="795"/>
      <c r="S27" s="796"/>
      <c r="T27" s="30"/>
      <c r="U27" s="30"/>
    </row>
    <row r="28" spans="1:2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21"/>
      <c r="N28" s="421"/>
      <c r="O28" s="421"/>
      <c r="P28" s="30"/>
      <c r="Q28" s="30"/>
      <c r="R28" s="30"/>
      <c r="S28" s="30"/>
      <c r="T28" s="30"/>
      <c r="U28" s="30"/>
    </row>
    <row r="29" spans="1:2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21"/>
      <c r="N29" s="421"/>
      <c r="O29" s="421"/>
      <c r="P29" s="30"/>
      <c r="Q29" s="30"/>
      <c r="R29" s="30"/>
      <c r="S29" s="30"/>
      <c r="T29" s="30"/>
      <c r="U29" s="30"/>
    </row>
  </sheetData>
  <mergeCells count="41">
    <mergeCell ref="P20:P21"/>
    <mergeCell ref="P22:P23"/>
    <mergeCell ref="P24:P25"/>
    <mergeCell ref="P26:P27"/>
    <mergeCell ref="P8:P9"/>
    <mergeCell ref="P10:P11"/>
    <mergeCell ref="P12:P13"/>
    <mergeCell ref="P14:P15"/>
    <mergeCell ref="P16:P17"/>
    <mergeCell ref="P18:P19"/>
    <mergeCell ref="Q24:Q25"/>
    <mergeCell ref="R24:R25"/>
    <mergeCell ref="S24:S25"/>
    <mergeCell ref="Q26:Q27"/>
    <mergeCell ref="R26:R27"/>
    <mergeCell ref="S26:S27"/>
    <mergeCell ref="Q20:Q21"/>
    <mergeCell ref="R20:R21"/>
    <mergeCell ref="S20:S21"/>
    <mergeCell ref="Q22:Q23"/>
    <mergeCell ref="R22:R23"/>
    <mergeCell ref="S22:S23"/>
    <mergeCell ref="Q16:Q17"/>
    <mergeCell ref="R16:R17"/>
    <mergeCell ref="S16:S17"/>
    <mergeCell ref="Q18:Q19"/>
    <mergeCell ref="R18:R19"/>
    <mergeCell ref="S18:S19"/>
    <mergeCell ref="Q12:Q13"/>
    <mergeCell ref="R12:R13"/>
    <mergeCell ref="S12:S13"/>
    <mergeCell ref="Q14:Q15"/>
    <mergeCell ref="R14:R15"/>
    <mergeCell ref="S14:S15"/>
    <mergeCell ref="T1:U1"/>
    <mergeCell ref="Q8:Q9"/>
    <mergeCell ref="R8:R9"/>
    <mergeCell ref="S8:S9"/>
    <mergeCell ref="Q10:Q11"/>
    <mergeCell ref="R10:R11"/>
    <mergeCell ref="S10:S11"/>
  </mergeCells>
  <phoneticPr fontId="12"/>
  <conditionalFormatting sqref="P8:R27">
    <cfRule type="expression" dxfId="87" priority="10">
      <formula>P8&gt;$R$4</formula>
    </cfRule>
  </conditionalFormatting>
  <conditionalFormatting sqref="R3">
    <cfRule type="cellIs" dxfId="86" priority="55" stopIfTrue="1" operator="equal">
      <formula>"Wrong"</formula>
    </cfRule>
  </conditionalFormatting>
  <conditionalFormatting sqref="R4">
    <cfRule type="cellIs" dxfId="85" priority="57" stopIfTrue="1" operator="equal">
      <formula>"WRONG"</formula>
    </cfRule>
  </conditionalFormatting>
  <conditionalFormatting sqref="S8:S27">
    <cfRule type="expression" dxfId="84" priority="1">
      <formula>S8&gt;$T$4</formula>
    </cfRule>
  </conditionalFormatting>
  <conditionalFormatting sqref="T3">
    <cfRule type="cellIs" dxfId="83" priority="54" stopIfTrue="1" operator="equal">
      <formula>"Wrong"</formula>
    </cfRule>
  </conditionalFormatting>
  <conditionalFormatting sqref="T4">
    <cfRule type="cellIs" dxfId="82" priority="56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72E9-E264-426D-BD93-24FE49A69731}">
  <sheetPr codeName="Sheet7">
    <pageSetUpPr fitToPage="1"/>
  </sheetPr>
  <dimension ref="A1:I24"/>
  <sheetViews>
    <sheetView zoomScale="85" zoomScaleNormal="85" workbookViewId="0"/>
  </sheetViews>
  <sheetFormatPr defaultColWidth="9" defaultRowHeight="14.25"/>
  <cols>
    <col min="1" max="1" width="4.85546875" style="30" customWidth="1"/>
    <col min="2" max="2" width="9" style="30"/>
    <col min="3" max="3" width="12.85546875" style="30" bestFit="1" customWidth="1"/>
    <col min="4" max="6" width="11.42578125" style="30" customWidth="1"/>
    <col min="7" max="7" width="14.85546875" style="30" bestFit="1" customWidth="1"/>
    <col min="8" max="8" width="7.7109375" style="30" bestFit="1" customWidth="1"/>
    <col min="9" max="9" width="11.140625" style="30" bestFit="1" customWidth="1"/>
    <col min="10" max="16384" width="9" style="30"/>
  </cols>
  <sheetData>
    <row r="1" spans="1:9" ht="25.5">
      <c r="A1" s="391" t="s">
        <v>7496</v>
      </c>
      <c r="B1" s="310"/>
      <c r="C1" s="311"/>
      <c r="D1" s="307"/>
      <c r="E1" s="307"/>
      <c r="G1" s="136">
        <v>41712</v>
      </c>
      <c r="H1" s="33"/>
      <c r="I1" s="33"/>
    </row>
    <row r="2" spans="1:9" ht="23.25">
      <c r="A2" s="123" t="s">
        <v>6879</v>
      </c>
      <c r="B2" s="123"/>
    </row>
    <row r="4" spans="1:9">
      <c r="E4" s="66" t="s">
        <v>6868</v>
      </c>
      <c r="F4" s="35">
        <v>800</v>
      </c>
      <c r="G4" s="30" t="str">
        <f>IF(MAX(E7:F8)&gt;F4,"Wrong","OK")</f>
        <v>OK</v>
      </c>
    </row>
    <row r="5" spans="1:9">
      <c r="D5" s="131"/>
      <c r="E5" s="388" t="s">
        <v>6880</v>
      </c>
      <c r="F5" s="132"/>
    </row>
    <row r="6" spans="1:9">
      <c r="B6" s="133" t="s">
        <v>6871</v>
      </c>
      <c r="C6" s="133" t="s">
        <v>6872</v>
      </c>
      <c r="D6" s="242" t="s">
        <v>6822</v>
      </c>
      <c r="E6" s="242" t="s">
        <v>6873</v>
      </c>
      <c r="F6" s="242" t="s">
        <v>6874</v>
      </c>
    </row>
    <row r="7" spans="1:9">
      <c r="B7" s="54" t="s">
        <v>1833</v>
      </c>
      <c r="C7" s="134" t="s">
        <v>6881</v>
      </c>
      <c r="D7" s="128">
        <v>163.50393700787401</v>
      </c>
      <c r="E7" s="128">
        <v>163.50393700787401</v>
      </c>
      <c r="F7" s="128">
        <v>163.50393700787401</v>
      </c>
    </row>
    <row r="8" spans="1:9">
      <c r="B8" s="54" t="s">
        <v>1598</v>
      </c>
      <c r="C8" s="134" t="s">
        <v>4895</v>
      </c>
      <c r="D8" s="128">
        <v>168.71653543307087</v>
      </c>
      <c r="E8" s="128">
        <v>168.71653543307087</v>
      </c>
      <c r="F8" s="128">
        <v>168.71653543307087</v>
      </c>
    </row>
    <row r="18" spans="2:9" ht="23.25">
      <c r="B18" s="602" t="s">
        <v>7541</v>
      </c>
      <c r="C18" s="603"/>
      <c r="D18" s="604"/>
      <c r="E18" s="604"/>
      <c r="F18" s="605"/>
      <c r="G18" s="605"/>
      <c r="H18" s="164"/>
      <c r="I18" s="164"/>
    </row>
    <row r="19" spans="2:9" ht="15.75">
      <c r="B19" s="90"/>
      <c r="C19" s="90"/>
      <c r="D19" s="39"/>
      <c r="E19" s="238" t="s">
        <v>7539</v>
      </c>
      <c r="F19" s="239"/>
      <c r="G19" s="605"/>
      <c r="H19" s="164"/>
      <c r="I19" s="164"/>
    </row>
    <row r="20" spans="2:9">
      <c r="B20" s="90"/>
      <c r="C20" s="90"/>
      <c r="D20" s="242" t="s">
        <v>6822</v>
      </c>
      <c r="E20" s="607" t="s">
        <v>7533</v>
      </c>
      <c r="F20" s="607" t="s">
        <v>7534</v>
      </c>
      <c r="H20" s="52" t="s">
        <v>7535</v>
      </c>
      <c r="I20" s="232">
        <f>MAX(D21:F21)</f>
        <v>1586.6456692913387</v>
      </c>
    </row>
    <row r="21" spans="2:9">
      <c r="C21" s="606" t="s">
        <v>7540</v>
      </c>
      <c r="D21" s="128">
        <v>1584.9291338582677</v>
      </c>
      <c r="E21" s="128">
        <v>1581.6889763779529</v>
      </c>
      <c r="F21" s="128">
        <v>1586.6456692913387</v>
      </c>
      <c r="H21" s="52" t="s">
        <v>7536</v>
      </c>
      <c r="I21" s="232">
        <f>MIN(D21:F21)</f>
        <v>1581.6889763779529</v>
      </c>
    </row>
    <row r="22" spans="2:9">
      <c r="H22" s="52" t="s">
        <v>7537</v>
      </c>
      <c r="I22" s="232">
        <f>+I20-I21</f>
        <v>4.9566929133857229</v>
      </c>
    </row>
    <row r="23" spans="2:9">
      <c r="H23" s="66" t="s">
        <v>7538</v>
      </c>
      <c r="I23" s="35">
        <v>100</v>
      </c>
    </row>
    <row r="24" spans="2:9">
      <c r="H24" s="164"/>
      <c r="I24" s="30" t="str">
        <f>IF(I22&gt;I23,"Wrong","OK")</f>
        <v>OK</v>
      </c>
    </row>
  </sheetData>
  <phoneticPr fontId="12"/>
  <conditionalFormatting sqref="F4">
    <cfRule type="cellIs" dxfId="81" priority="5" stopIfTrue="1" operator="equal">
      <formula>"WRONG"</formula>
    </cfRule>
  </conditionalFormatting>
  <conditionalFormatting sqref="G4:I4">
    <cfRule type="cellIs" dxfId="80" priority="4" stopIfTrue="1" operator="equal">
      <formula>"Wrong"</formula>
    </cfRule>
  </conditionalFormatting>
  <conditionalFormatting sqref="I22">
    <cfRule type="expression" dxfId="79" priority="2">
      <formula>I22&gt;100</formula>
    </cfRule>
  </conditionalFormatting>
  <conditionalFormatting sqref="I23">
    <cfRule type="cellIs" dxfId="78" priority="3" stopIfTrue="1" operator="equal">
      <formula>"WRONG"</formula>
    </cfRule>
  </conditionalFormatting>
  <conditionalFormatting sqref="I24">
    <cfRule type="cellIs" dxfId="77" priority="1" stopIfTrue="1" operator="equal">
      <formula>"Wrong"</formula>
    </cfRule>
  </conditionalFormatting>
  <pageMargins left="0.25" right="0.25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5ACB-597E-4A0A-A99F-E78CC202C659}">
  <sheetPr codeName="Sheet8">
    <pageSetUpPr fitToPage="1"/>
  </sheetPr>
  <dimension ref="A1:R29"/>
  <sheetViews>
    <sheetView zoomScale="70" zoomScaleNormal="70" workbookViewId="0"/>
  </sheetViews>
  <sheetFormatPr defaultColWidth="9" defaultRowHeight="14.25"/>
  <cols>
    <col min="1" max="1" width="2.28515625" style="30" customWidth="1"/>
    <col min="2" max="2" width="6" style="30" bestFit="1" customWidth="1"/>
    <col min="3" max="3" width="13.140625" style="30" customWidth="1"/>
    <col min="4" max="4" width="13.7109375" style="30" customWidth="1"/>
    <col min="5" max="5" width="18" style="30" bestFit="1" customWidth="1"/>
    <col min="6" max="6" width="10" style="30" bestFit="1" customWidth="1"/>
    <col min="7" max="7" width="12.140625" style="30" bestFit="1" customWidth="1"/>
    <col min="8" max="8" width="13.7109375" style="30" customWidth="1"/>
    <col min="9" max="9" width="18" style="30" bestFit="1" customWidth="1"/>
    <col min="10" max="10" width="10" style="30" bestFit="1" customWidth="1"/>
    <col min="11" max="11" width="12.140625" style="30" bestFit="1" customWidth="1"/>
    <col min="12" max="12" width="14" style="30" bestFit="1" customWidth="1"/>
    <col min="13" max="13" width="18" style="30" bestFit="1" customWidth="1"/>
    <col min="14" max="14" width="15.28515625" style="30" bestFit="1" customWidth="1"/>
    <col min="15" max="15" width="10.85546875" style="30" bestFit="1" customWidth="1"/>
    <col min="16" max="18" width="11.5703125" style="30" customWidth="1"/>
    <col min="19" max="16384" width="9" style="30"/>
  </cols>
  <sheetData>
    <row r="1" spans="1:18" ht="25.5">
      <c r="A1" s="391" t="s">
        <v>7496</v>
      </c>
      <c r="B1" s="310"/>
      <c r="C1" s="311"/>
      <c r="D1" s="307"/>
      <c r="E1" s="307"/>
      <c r="H1" s="135"/>
      <c r="I1" s="135"/>
      <c r="J1" s="135"/>
      <c r="K1" s="135"/>
      <c r="L1" s="135"/>
      <c r="M1" s="135"/>
      <c r="N1" s="136">
        <v>41723</v>
      </c>
      <c r="O1" s="136"/>
    </row>
    <row r="2" spans="1:18" ht="23.25">
      <c r="A2" s="123" t="s">
        <v>6882</v>
      </c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</row>
    <row r="3" spans="1:18" ht="15" thickBot="1">
      <c r="F3" s="66" t="s">
        <v>6868</v>
      </c>
      <c r="G3" s="35">
        <v>3000</v>
      </c>
      <c r="J3" s="66" t="s">
        <v>6868</v>
      </c>
      <c r="K3" s="35">
        <v>3000</v>
      </c>
      <c r="N3" s="66" t="s">
        <v>6868</v>
      </c>
      <c r="O3" s="35">
        <v>3000</v>
      </c>
      <c r="P3" s="66" t="s">
        <v>6868</v>
      </c>
      <c r="Q3" s="66"/>
      <c r="R3" s="35">
        <v>20</v>
      </c>
    </row>
    <row r="4" spans="1:18" ht="15">
      <c r="B4" s="137"/>
      <c r="C4" s="138" t="s">
        <v>6882</v>
      </c>
      <c r="D4" s="68" t="s">
        <v>6883</v>
      </c>
      <c r="E4" s="139"/>
      <c r="F4" s="139"/>
      <c r="G4" s="139"/>
      <c r="H4" s="68"/>
      <c r="I4" s="139"/>
      <c r="J4" s="139"/>
      <c r="K4" s="139"/>
      <c r="L4" s="139"/>
      <c r="M4" s="139"/>
      <c r="N4" s="139"/>
      <c r="O4" s="67"/>
      <c r="P4" s="68" t="s">
        <v>6884</v>
      </c>
      <c r="Q4" s="78"/>
      <c r="R4" s="79"/>
    </row>
    <row r="5" spans="1:18">
      <c r="B5" s="140" t="s">
        <v>6871</v>
      </c>
      <c r="C5" s="125" t="s">
        <v>6872</v>
      </c>
      <c r="D5" s="141" t="s">
        <v>6823</v>
      </c>
      <c r="E5" s="142"/>
      <c r="F5" s="142"/>
      <c r="G5" s="142"/>
      <c r="H5" s="143" t="s">
        <v>6885</v>
      </c>
      <c r="I5" s="142"/>
      <c r="J5" s="142"/>
      <c r="K5" s="275"/>
      <c r="L5" s="143" t="s">
        <v>6886</v>
      </c>
      <c r="M5" s="142"/>
      <c r="N5" s="142"/>
      <c r="O5" s="142"/>
      <c r="P5" s="435" t="s">
        <v>6990</v>
      </c>
      <c r="Q5" s="436" t="s">
        <v>6783</v>
      </c>
      <c r="R5" s="437" t="s">
        <v>6886</v>
      </c>
    </row>
    <row r="6" spans="1:18" ht="28.5" customHeight="1" thickBot="1">
      <c r="B6" s="144"/>
      <c r="C6" s="145"/>
      <c r="D6" s="146" t="s">
        <v>6887</v>
      </c>
      <c r="E6" s="147" t="s">
        <v>6888</v>
      </c>
      <c r="F6" s="147" t="s">
        <v>6889</v>
      </c>
      <c r="G6" s="148" t="s">
        <v>6890</v>
      </c>
      <c r="H6" s="146" t="s">
        <v>6887</v>
      </c>
      <c r="I6" s="147" t="s">
        <v>6888</v>
      </c>
      <c r="J6" s="147" t="s">
        <v>6889</v>
      </c>
      <c r="K6" s="148" t="s">
        <v>6890</v>
      </c>
      <c r="L6" s="149" t="s">
        <v>6887</v>
      </c>
      <c r="M6" s="147" t="s">
        <v>6888</v>
      </c>
      <c r="N6" s="147" t="s">
        <v>6889</v>
      </c>
      <c r="O6" s="432" t="s">
        <v>6890</v>
      </c>
      <c r="P6" s="63"/>
      <c r="Q6" s="52"/>
      <c r="R6" s="53"/>
    </row>
    <row r="7" spans="1:18">
      <c r="B7" s="150" t="s">
        <v>1349</v>
      </c>
      <c r="C7" s="52" t="s">
        <v>1350</v>
      </c>
      <c r="D7" s="151">
        <v>1561</v>
      </c>
      <c r="E7" s="152">
        <v>582.43700787401576</v>
      </c>
      <c r="F7" s="153">
        <v>51.070866141732282</v>
      </c>
      <c r="G7" s="438">
        <f>SUM(D7:F7)</f>
        <v>2194.5078740157483</v>
      </c>
      <c r="H7" s="151">
        <v>1573.6732283464567</v>
      </c>
      <c r="I7" s="152">
        <v>582.43700787401576</v>
      </c>
      <c r="J7" s="153">
        <v>51.070866141732282</v>
      </c>
      <c r="K7" s="154">
        <f>SUM(H7:J7)</f>
        <v>2207.1811023622049</v>
      </c>
      <c r="L7" s="155">
        <v>1569.248031496063</v>
      </c>
      <c r="M7" s="152">
        <v>577.28346456692918</v>
      </c>
      <c r="N7" s="153">
        <v>51.070866141732282</v>
      </c>
      <c r="O7" s="433">
        <f>SUM(L7:N7)</f>
        <v>2197.6023622047246</v>
      </c>
      <c r="P7" s="800">
        <f>ABS(G7-G8)</f>
        <v>4.0275590551182177</v>
      </c>
      <c r="Q7" s="804">
        <f>ABS(K7-K8)</f>
        <v>1.7874015748029706</v>
      </c>
      <c r="R7" s="801">
        <f>ABS(O7-O8)</f>
        <v>11.921259842519703</v>
      </c>
    </row>
    <row r="8" spans="1:18" ht="15" thickBot="1">
      <c r="B8" s="150" t="s">
        <v>1351</v>
      </c>
      <c r="C8" s="52" t="s">
        <v>1352</v>
      </c>
      <c r="D8" s="151">
        <v>1564.6692913385828</v>
      </c>
      <c r="E8" s="152">
        <v>582.79527559055123</v>
      </c>
      <c r="F8" s="153">
        <v>51.070866141732282</v>
      </c>
      <c r="G8" s="439">
        <f>SUM(D8:F8)</f>
        <v>2198.5354330708665</v>
      </c>
      <c r="H8" s="151">
        <v>1571.5275590551182</v>
      </c>
      <c r="I8" s="152">
        <v>582.79527559055123</v>
      </c>
      <c r="J8" s="153">
        <v>51.070866141732282</v>
      </c>
      <c r="K8" s="156">
        <f>SUM(H8:J8)</f>
        <v>2205.3937007874019</v>
      </c>
      <c r="L8" s="155">
        <v>1570.5039370078741</v>
      </c>
      <c r="M8" s="152">
        <v>587.94881889763781</v>
      </c>
      <c r="N8" s="153">
        <v>51.070866141732282</v>
      </c>
      <c r="O8" s="434">
        <f>SUM(L8:N8)</f>
        <v>2209.5236220472443</v>
      </c>
      <c r="P8" s="800"/>
      <c r="Q8" s="804"/>
      <c r="R8" s="801"/>
    </row>
    <row r="9" spans="1:18">
      <c r="B9" s="150" t="s">
        <v>2267</v>
      </c>
      <c r="C9" s="52" t="s">
        <v>2268</v>
      </c>
      <c r="D9" s="151">
        <v>1249.0157480314961</v>
      </c>
      <c r="E9" s="152">
        <v>759.61023622047253</v>
      </c>
      <c r="F9" s="157"/>
      <c r="G9" s="438">
        <f>SUM(D9:F9)</f>
        <v>2008.6259842519685</v>
      </c>
      <c r="H9" s="151">
        <v>1248.1614173228347</v>
      </c>
      <c r="I9" s="152">
        <v>738.89763779527561</v>
      </c>
      <c r="J9" s="157"/>
      <c r="K9" s="154">
        <f>SUM(H9:J9)</f>
        <v>1987.0590551181103</v>
      </c>
      <c r="L9" s="155">
        <v>1254.6811023622047</v>
      </c>
      <c r="M9" s="152">
        <v>738.89763779527561</v>
      </c>
      <c r="N9" s="157"/>
      <c r="O9" s="433">
        <f>SUM(L9:N9)</f>
        <v>1993.5787401574803</v>
      </c>
      <c r="P9" s="800">
        <f>ABS(G9-G10)</f>
        <v>2.4881889763778418</v>
      </c>
      <c r="Q9" s="804">
        <f>ABS(K9-K10)</f>
        <v>19.511811023622158</v>
      </c>
      <c r="R9" s="801">
        <f>ABS(O9-O10)</f>
        <v>18.204724409448772</v>
      </c>
    </row>
    <row r="10" spans="1:18" ht="15" thickBot="1">
      <c r="B10" s="158" t="s">
        <v>2269</v>
      </c>
      <c r="C10" s="59" t="s">
        <v>2270</v>
      </c>
      <c r="D10" s="159">
        <v>1247.6535433070867</v>
      </c>
      <c r="E10" s="160">
        <v>758.48425196850394</v>
      </c>
      <c r="F10" s="161"/>
      <c r="G10" s="439">
        <f>SUM(D10:F10)</f>
        <v>2006.1377952755906</v>
      </c>
      <c r="H10" s="159">
        <v>1249.9960629921261</v>
      </c>
      <c r="I10" s="160">
        <v>756.57480314960628</v>
      </c>
      <c r="J10" s="161"/>
      <c r="K10" s="156">
        <f>SUM(H10:J10)</f>
        <v>2006.5708661417325</v>
      </c>
      <c r="L10" s="162">
        <v>1255.2086614173229</v>
      </c>
      <c r="M10" s="160">
        <v>756.57480314960628</v>
      </c>
      <c r="N10" s="161"/>
      <c r="O10" s="434">
        <f>SUM(L10:N10)</f>
        <v>2011.7834645669291</v>
      </c>
      <c r="P10" s="802"/>
      <c r="Q10" s="805"/>
      <c r="R10" s="803"/>
    </row>
    <row r="11" spans="1:18">
      <c r="D11" s="163"/>
      <c r="E11" s="164"/>
      <c r="F11" s="164"/>
      <c r="G11" s="164"/>
      <c r="H11" s="163"/>
      <c r="I11" s="164"/>
      <c r="J11" s="164"/>
      <c r="K11" s="164"/>
      <c r="O11" s="164"/>
    </row>
    <row r="12" spans="1:18">
      <c r="D12" s="163"/>
      <c r="E12" s="163"/>
      <c r="F12" s="164"/>
      <c r="G12" s="30" t="str">
        <f>IF(MAX(G7:G10)&gt;G$3,"Wrong","OK")</f>
        <v>OK</v>
      </c>
      <c r="H12" s="163"/>
      <c r="I12" s="163"/>
      <c r="J12" s="164"/>
      <c r="K12" s="30" t="str">
        <f>IF(MAX(K7:K10)&gt;K$3,"Wrong","OK")</f>
        <v>OK</v>
      </c>
      <c r="L12" s="164"/>
      <c r="O12" s="30" t="str">
        <f>IF(MAX(O7:O10)&gt;O$3,"Wrong","OK")</f>
        <v>OK</v>
      </c>
      <c r="P12" s="164"/>
      <c r="Q12" s="164"/>
      <c r="R12" s="30" t="str">
        <f>IF(MAX(P7:R10)&gt;R$3,"Wrong","OK")</f>
        <v>OK</v>
      </c>
    </row>
    <row r="26" spans="4:18"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</row>
    <row r="27" spans="4:18"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</row>
    <row r="28" spans="4:18"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</row>
    <row r="29" spans="4:18"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</row>
  </sheetData>
  <mergeCells count="6">
    <mergeCell ref="P7:P8"/>
    <mergeCell ref="R7:R8"/>
    <mergeCell ref="P9:P10"/>
    <mergeCell ref="R9:R10"/>
    <mergeCell ref="Q7:Q8"/>
    <mergeCell ref="Q9:Q10"/>
  </mergeCells>
  <phoneticPr fontId="12"/>
  <conditionalFormatting sqref="G3">
    <cfRule type="cellIs" dxfId="76" priority="1" stopIfTrue="1" operator="equal">
      <formula>"WRONG"</formula>
    </cfRule>
  </conditionalFormatting>
  <conditionalFormatting sqref="G12">
    <cfRule type="cellIs" dxfId="75" priority="2" stopIfTrue="1" operator="equal">
      <formula>"Wrong"</formula>
    </cfRule>
  </conditionalFormatting>
  <conditionalFormatting sqref="K3">
    <cfRule type="cellIs" dxfId="74" priority="3" stopIfTrue="1" operator="equal">
      <formula>"WRONG"</formula>
    </cfRule>
  </conditionalFormatting>
  <conditionalFormatting sqref="K12">
    <cfRule type="cellIs" dxfId="73" priority="6" stopIfTrue="1" operator="equal">
      <formula>"Wrong"</formula>
    </cfRule>
  </conditionalFormatting>
  <conditionalFormatting sqref="O3">
    <cfRule type="cellIs" dxfId="72" priority="8" stopIfTrue="1" operator="equal">
      <formula>"WRONG"</formula>
    </cfRule>
  </conditionalFormatting>
  <conditionalFormatting sqref="O12">
    <cfRule type="cellIs" dxfId="71" priority="5" stopIfTrue="1" operator="equal">
      <formula>"Wrong"</formula>
    </cfRule>
  </conditionalFormatting>
  <conditionalFormatting sqref="R3">
    <cfRule type="cellIs" dxfId="70" priority="7" stopIfTrue="1" operator="equal">
      <formula>"WRONG"</formula>
    </cfRule>
  </conditionalFormatting>
  <conditionalFormatting sqref="R12">
    <cfRule type="cellIs" dxfId="69" priority="4" stopIfTrue="1" operator="equal">
      <formula>"Wrong"</formula>
    </cfRule>
  </conditionalFormatting>
  <pageMargins left="0.25" right="0.25" top="0.75" bottom="0.75" header="0.3" footer="0.3"/>
  <pageSetup paperSize="9" scale="6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39B9-BF12-4E9E-B120-7206422AD417}">
  <sheetPr codeName="Sheet9"/>
  <dimension ref="A1:L18"/>
  <sheetViews>
    <sheetView zoomScale="85" zoomScaleNormal="85" workbookViewId="0">
      <selection activeCell="A2" sqref="A2"/>
    </sheetView>
  </sheetViews>
  <sheetFormatPr defaultColWidth="9" defaultRowHeight="14.25"/>
  <cols>
    <col min="1" max="1" width="4" style="30" customWidth="1"/>
    <col min="2" max="2" width="6" style="30" bestFit="1" customWidth="1"/>
    <col min="3" max="3" width="11.28515625" style="30" bestFit="1" customWidth="1"/>
    <col min="4" max="4" width="11.28515625" style="30" customWidth="1"/>
    <col min="5" max="5" width="10.42578125" style="30" bestFit="1" customWidth="1"/>
    <col min="6" max="6" width="9.7109375" style="30" bestFit="1" customWidth="1"/>
    <col min="7" max="7" width="9.7109375" style="30" customWidth="1"/>
    <col min="8" max="8" width="9.7109375" style="30" bestFit="1" customWidth="1"/>
    <col min="9" max="9" width="10.42578125" style="30" bestFit="1" customWidth="1"/>
    <col min="10" max="10" width="18.85546875" style="30" bestFit="1" customWidth="1"/>
    <col min="11" max="16384" width="9" style="30"/>
  </cols>
  <sheetData>
    <row r="1" spans="1:12" ht="23.25">
      <c r="A1" s="390" t="s">
        <v>7496</v>
      </c>
      <c r="J1" s="136">
        <v>41712</v>
      </c>
      <c r="K1" s="33"/>
    </row>
    <row r="2" spans="1:12" ht="18">
      <c r="A2" s="165" t="s">
        <v>6891</v>
      </c>
    </row>
    <row r="3" spans="1:12">
      <c r="H3" s="30" t="s">
        <v>6868</v>
      </c>
      <c r="I3" s="35">
        <v>2</v>
      </c>
    </row>
    <row r="4" spans="1:12">
      <c r="B4" s="763" t="s">
        <v>6871</v>
      </c>
      <c r="C4" s="764" t="s">
        <v>6872</v>
      </c>
      <c r="D4" s="143"/>
      <c r="E4" s="142" t="s">
        <v>6869</v>
      </c>
      <c r="F4" s="275"/>
      <c r="G4" s="142"/>
      <c r="H4" s="142" t="s">
        <v>6892</v>
      </c>
      <c r="I4" s="275"/>
      <c r="J4" s="163"/>
    </row>
    <row r="5" spans="1:12">
      <c r="B5" s="806"/>
      <c r="C5" s="806"/>
      <c r="D5" s="166" t="s">
        <v>6973</v>
      </c>
      <c r="E5" s="166" t="s">
        <v>6876</v>
      </c>
      <c r="F5" s="166" t="s">
        <v>6877</v>
      </c>
      <c r="G5" s="167" t="s">
        <v>6973</v>
      </c>
      <c r="H5" s="167" t="s">
        <v>6876</v>
      </c>
      <c r="I5" s="167" t="s">
        <v>6877</v>
      </c>
      <c r="J5" s="163"/>
    </row>
    <row r="6" spans="1:12">
      <c r="B6" s="54" t="s">
        <v>1115</v>
      </c>
      <c r="C6" s="52" t="s">
        <v>1116</v>
      </c>
      <c r="D6" s="128">
        <v>5707.9173228346463</v>
      </c>
      <c r="E6" s="128">
        <v>7597.9251968503941</v>
      </c>
      <c r="F6" s="128">
        <v>6495.6968503937014</v>
      </c>
      <c r="G6" s="807">
        <f>ABS(D6-D7)</f>
        <v>0.12598425196847529</v>
      </c>
      <c r="H6" s="807">
        <f>ABS(E6-E7)</f>
        <v>0.74015748031433759</v>
      </c>
      <c r="I6" s="807">
        <f>ABS(F6-F7)</f>
        <v>0.36220472440891172</v>
      </c>
      <c r="J6" s="30" t="str">
        <f>IF(MAX(G6:I7)&gt;I3,"Wrong","OK")</f>
        <v>OK</v>
      </c>
      <c r="K6" s="163"/>
    </row>
    <row r="7" spans="1:12">
      <c r="B7" s="54" t="s">
        <v>1117</v>
      </c>
      <c r="C7" s="52" t="s">
        <v>1118</v>
      </c>
      <c r="D7" s="128">
        <v>5707.7913385826778</v>
      </c>
      <c r="E7" s="128">
        <v>7597.1850393700797</v>
      </c>
      <c r="F7" s="128">
        <v>6496.0590551181103</v>
      </c>
      <c r="G7" s="807"/>
      <c r="H7" s="807"/>
      <c r="I7" s="807"/>
      <c r="J7" s="163"/>
    </row>
    <row r="14" spans="1:12">
      <c r="E14" s="163"/>
      <c r="F14" s="163"/>
      <c r="G14" s="163"/>
      <c r="H14" s="163"/>
      <c r="I14" s="163"/>
      <c r="J14" s="163"/>
      <c r="K14" s="163"/>
      <c r="L14" s="163"/>
    </row>
    <row r="15" spans="1:12" ht="13.5" customHeight="1">
      <c r="K15" s="163"/>
    </row>
    <row r="16" spans="1:12">
      <c r="K16" s="163"/>
    </row>
    <row r="18" spans="11:11">
      <c r="K18" s="163"/>
    </row>
  </sheetData>
  <mergeCells count="5">
    <mergeCell ref="B4:B5"/>
    <mergeCell ref="C4:C5"/>
    <mergeCell ref="H6:H7"/>
    <mergeCell ref="I6:I7"/>
    <mergeCell ref="G6:G7"/>
  </mergeCells>
  <phoneticPr fontId="12"/>
  <conditionalFormatting sqref="G6:I7">
    <cfRule type="expression" dxfId="68" priority="2">
      <formula>G6&gt;20</formula>
    </cfRule>
  </conditionalFormatting>
  <conditionalFormatting sqref="I3">
    <cfRule type="cellIs" dxfId="67" priority="5" stopIfTrue="1" operator="equal">
      <formula>"WRONG"</formula>
    </cfRule>
  </conditionalFormatting>
  <conditionalFormatting sqref="J6">
    <cfRule type="cellIs" dxfId="66" priority="1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51C2-372B-4F04-B5DD-5D9456F9C9FD}">
  <sheetPr codeName="Sheet10">
    <pageSetUpPr fitToPage="1"/>
  </sheetPr>
  <dimension ref="A1:P762"/>
  <sheetViews>
    <sheetView zoomScale="70" zoomScaleNormal="70" workbookViewId="0"/>
  </sheetViews>
  <sheetFormatPr defaultColWidth="9" defaultRowHeight="14.25"/>
  <cols>
    <col min="1" max="1" width="9" style="30"/>
    <col min="2" max="3" width="15.42578125" style="30" bestFit="1" customWidth="1"/>
    <col min="4" max="4" width="15.85546875" style="30" bestFit="1" customWidth="1"/>
    <col min="5" max="5" width="15.42578125" style="30" bestFit="1" customWidth="1"/>
    <col min="6" max="6" width="15.85546875" style="30" bestFit="1" customWidth="1"/>
    <col min="7" max="7" width="14.7109375" style="30" bestFit="1" customWidth="1"/>
    <col min="8" max="8" width="15.7109375" style="30" customWidth="1"/>
    <col min="9" max="11" width="14.5703125" style="30" customWidth="1"/>
    <col min="12" max="12" width="12.140625" style="30" bestFit="1" customWidth="1"/>
    <col min="13" max="13" width="10.85546875" style="30" bestFit="1" customWidth="1"/>
    <col min="14" max="14" width="12.140625" style="30" bestFit="1" customWidth="1"/>
    <col min="15" max="16384" width="9" style="30"/>
  </cols>
  <sheetData>
    <row r="1" spans="1:16" ht="23.25">
      <c r="A1" s="390" t="s">
        <v>7496</v>
      </c>
      <c r="K1" s="136">
        <v>41712</v>
      </c>
      <c r="L1" s="33"/>
      <c r="M1" s="136"/>
    </row>
    <row r="2" spans="1:16" ht="14.25" customHeight="1">
      <c r="A2" s="165" t="s">
        <v>6893</v>
      </c>
    </row>
    <row r="3" spans="1:16" ht="14.25" customHeight="1" thickBot="1">
      <c r="A3" s="165"/>
      <c r="M3" s="30" t="s">
        <v>6894</v>
      </c>
      <c r="N3" s="35">
        <v>100</v>
      </c>
    </row>
    <row r="4" spans="1:16" ht="14.25" customHeight="1" thickBot="1">
      <c r="A4" s="165"/>
      <c r="I4" s="277"/>
      <c r="J4" s="279" t="s">
        <v>6895</v>
      </c>
      <c r="K4" s="278"/>
      <c r="L4" s="283"/>
      <c r="M4" s="814" t="s">
        <v>6896</v>
      </c>
      <c r="N4" s="815"/>
    </row>
    <row r="5" spans="1:16" ht="14.25" customHeight="1">
      <c r="A5" s="165"/>
      <c r="B5" s="68" t="s">
        <v>6897</v>
      </c>
      <c r="C5" s="767" t="s">
        <v>6822</v>
      </c>
      <c r="D5" s="770"/>
      <c r="E5" s="767" t="s">
        <v>6898</v>
      </c>
      <c r="F5" s="770"/>
      <c r="G5" s="767" t="s">
        <v>6899</v>
      </c>
      <c r="H5" s="816"/>
      <c r="I5" s="37" t="s">
        <v>6822</v>
      </c>
      <c r="J5" s="282" t="s">
        <v>6780</v>
      </c>
      <c r="K5" s="169" t="s">
        <v>6781</v>
      </c>
      <c r="L5" s="37" t="s">
        <v>6822</v>
      </c>
      <c r="M5" s="282" t="s">
        <v>6780</v>
      </c>
      <c r="N5" s="169" t="s">
        <v>6781</v>
      </c>
    </row>
    <row r="6" spans="1:16" ht="14.25" customHeight="1">
      <c r="A6" s="808"/>
      <c r="B6" s="809" t="s">
        <v>1550</v>
      </c>
      <c r="C6" s="63" t="s">
        <v>7521</v>
      </c>
      <c r="D6" s="53" t="s">
        <v>6910</v>
      </c>
      <c r="E6" s="63" t="s">
        <v>6900</v>
      </c>
      <c r="F6" s="170" t="s">
        <v>6901</v>
      </c>
      <c r="G6" s="63" t="s">
        <v>7522</v>
      </c>
      <c r="H6" s="53" t="s">
        <v>6902</v>
      </c>
      <c r="I6" s="171">
        <v>8171.1535433070876</v>
      </c>
      <c r="J6" s="280">
        <v>9702.5039370078739</v>
      </c>
      <c r="K6" s="180">
        <v>6482.748031496063</v>
      </c>
      <c r="L6" s="812">
        <f>ABS(I6-I7)</f>
        <v>5.9055118109426985E-2</v>
      </c>
      <c r="M6" s="790">
        <f>ABS(J6-J7)</f>
        <v>5.5118110236217035</v>
      </c>
      <c r="N6" s="772">
        <f>ABS(K6-K7)</f>
        <v>35.818897637795089</v>
      </c>
      <c r="O6" s="30" t="str">
        <f>IF(MAX(L6:N9)&gt;N$3,"Wrong","OK")</f>
        <v>OK</v>
      </c>
      <c r="P6" s="172"/>
    </row>
    <row r="7" spans="1:16" ht="14.25" customHeight="1">
      <c r="A7" s="808"/>
      <c r="B7" s="809"/>
      <c r="C7" s="63" t="s">
        <v>6905</v>
      </c>
      <c r="D7" s="53" t="s">
        <v>6914</v>
      </c>
      <c r="E7" s="63" t="s">
        <v>6903</v>
      </c>
      <c r="F7" s="170" t="s">
        <v>6904</v>
      </c>
      <c r="G7" s="63" t="s">
        <v>7523</v>
      </c>
      <c r="H7" s="53" t="s">
        <v>6906</v>
      </c>
      <c r="I7" s="171">
        <v>8171.212598425197</v>
      </c>
      <c r="J7" s="280">
        <v>9696.9921259842522</v>
      </c>
      <c r="K7" s="180">
        <v>6518.5669291338581</v>
      </c>
      <c r="L7" s="812"/>
      <c r="M7" s="790"/>
      <c r="N7" s="772"/>
    </row>
    <row r="8" spans="1:16" ht="14.25" customHeight="1">
      <c r="A8" s="808"/>
      <c r="B8" s="809" t="s">
        <v>1645</v>
      </c>
      <c r="C8" s="63" t="s">
        <v>6909</v>
      </c>
      <c r="D8" s="276" t="s">
        <v>6974</v>
      </c>
      <c r="E8" s="63" t="s">
        <v>6907</v>
      </c>
      <c r="F8" s="170" t="s">
        <v>6908</v>
      </c>
      <c r="G8" s="63" t="s">
        <v>7524</v>
      </c>
      <c r="H8" s="53" t="s">
        <v>6978</v>
      </c>
      <c r="I8" s="171">
        <v>9969.7677165354344</v>
      </c>
      <c r="J8" s="280">
        <v>7734.5708661417329</v>
      </c>
      <c r="K8" s="180">
        <v>2415.2913385826773</v>
      </c>
      <c r="L8" s="797">
        <f>ABS(I8-I9)</f>
        <v>0.13779527559017879</v>
      </c>
      <c r="M8" s="790">
        <f>ABS(J8-J9)</f>
        <v>37.92913385826796</v>
      </c>
      <c r="N8" s="772">
        <f>ABS(K8-K9)</f>
        <v>44.73228346456699</v>
      </c>
    </row>
    <row r="9" spans="1:16" ht="14.25" customHeight="1" thickBot="1">
      <c r="A9" s="808"/>
      <c r="B9" s="810"/>
      <c r="C9" s="57" t="s">
        <v>6913</v>
      </c>
      <c r="D9" s="58" t="s">
        <v>6975</v>
      </c>
      <c r="E9" s="57" t="s">
        <v>6911</v>
      </c>
      <c r="F9" s="173" t="s">
        <v>6912</v>
      </c>
      <c r="G9" s="57" t="s">
        <v>7525</v>
      </c>
      <c r="H9" s="58" t="s">
        <v>6979</v>
      </c>
      <c r="I9" s="174">
        <v>9969.9055118110246</v>
      </c>
      <c r="J9" s="281">
        <v>7772.5000000000009</v>
      </c>
      <c r="K9" s="181">
        <v>2460.0236220472443</v>
      </c>
      <c r="L9" s="813"/>
      <c r="M9" s="811"/>
      <c r="N9" s="776"/>
    </row>
    <row r="10" spans="1:16" ht="14.25" customHeight="1" thickBot="1">
      <c r="A10" s="165"/>
      <c r="B10" s="175"/>
      <c r="C10" s="176"/>
      <c r="D10" s="177"/>
      <c r="E10" s="176"/>
      <c r="F10" s="177"/>
      <c r="G10" s="176"/>
      <c r="H10" s="178"/>
      <c r="M10" s="30" t="s">
        <v>6915</v>
      </c>
      <c r="N10" s="179">
        <v>100</v>
      </c>
    </row>
    <row r="11" spans="1:16" ht="14.25" customHeight="1">
      <c r="B11" s="68" t="s">
        <v>6916</v>
      </c>
      <c r="C11" s="767" t="s">
        <v>6822</v>
      </c>
      <c r="D11" s="770"/>
      <c r="E11" s="767" t="s">
        <v>6917</v>
      </c>
      <c r="F11" s="770"/>
      <c r="G11" s="767" t="s">
        <v>6918</v>
      </c>
      <c r="H11" s="816"/>
      <c r="I11" s="37" t="s">
        <v>6822</v>
      </c>
      <c r="J11" s="282" t="s">
        <v>6780</v>
      </c>
      <c r="K11" s="169" t="s">
        <v>6781</v>
      </c>
      <c r="L11" s="37" t="s">
        <v>6822</v>
      </c>
      <c r="M11" s="282" t="s">
        <v>6780</v>
      </c>
      <c r="N11" s="169" t="s">
        <v>6781</v>
      </c>
    </row>
    <row r="12" spans="1:16" ht="14.25" customHeight="1">
      <c r="A12" s="808"/>
      <c r="B12" s="809" t="s">
        <v>1550</v>
      </c>
      <c r="C12" s="63" t="s">
        <v>6921</v>
      </c>
      <c r="D12" s="53" t="s">
        <v>6910</v>
      </c>
      <c r="E12" s="63" t="s">
        <v>6919</v>
      </c>
      <c r="F12" s="170" t="s">
        <v>6920</v>
      </c>
      <c r="G12" s="63" t="s">
        <v>7526</v>
      </c>
      <c r="H12" s="53" t="s">
        <v>6922</v>
      </c>
      <c r="I12" s="171">
        <v>8402.6496062992137</v>
      </c>
      <c r="J12" s="280">
        <v>10124.413385826772</v>
      </c>
      <c r="K12" s="180">
        <v>7007.6929133858266</v>
      </c>
      <c r="L12" s="797">
        <f>ABS(I12-I13)</f>
        <v>2.4409448818878445</v>
      </c>
      <c r="M12" s="790">
        <f>ABS(J12-J13)</f>
        <v>16.023622047243407</v>
      </c>
      <c r="N12" s="772">
        <f>ABS(K12-K13)</f>
        <v>3.937007873901166E-3</v>
      </c>
      <c r="O12" s="30" t="str">
        <f>IF(MAX(L12:N15)&gt;N$3,"Wrong","OK")</f>
        <v>OK</v>
      </c>
    </row>
    <row r="13" spans="1:16" ht="14.25" customHeight="1">
      <c r="A13" s="808"/>
      <c r="B13" s="809"/>
      <c r="C13" s="63" t="s">
        <v>6925</v>
      </c>
      <c r="D13" s="53" t="s">
        <v>6914</v>
      </c>
      <c r="E13" s="63" t="s">
        <v>6923</v>
      </c>
      <c r="F13" s="170" t="s">
        <v>6924</v>
      </c>
      <c r="G13" s="63" t="s">
        <v>7527</v>
      </c>
      <c r="H13" s="53" t="s">
        <v>6926</v>
      </c>
      <c r="I13" s="171">
        <v>8405.0905511811015</v>
      </c>
      <c r="J13" s="280">
        <v>10140.437007874016</v>
      </c>
      <c r="K13" s="180">
        <v>7007.6889763779527</v>
      </c>
      <c r="L13" s="797"/>
      <c r="M13" s="790"/>
      <c r="N13" s="772"/>
    </row>
    <row r="14" spans="1:16" ht="14.25" customHeight="1">
      <c r="A14" s="808"/>
      <c r="B14" s="809" t="s">
        <v>1645</v>
      </c>
      <c r="C14" s="63" t="s">
        <v>6929</v>
      </c>
      <c r="D14" s="276" t="s">
        <v>6976</v>
      </c>
      <c r="E14" s="63" t="s">
        <v>6927</v>
      </c>
      <c r="F14" s="170" t="s">
        <v>6928</v>
      </c>
      <c r="G14" s="63" t="s">
        <v>7528</v>
      </c>
      <c r="H14" s="53" t="s">
        <v>6980</v>
      </c>
      <c r="I14" s="171">
        <v>10616.854330708662</v>
      </c>
      <c r="J14" s="280">
        <v>7488.2677165354335</v>
      </c>
      <c r="K14" s="180">
        <v>2801.5393700787399</v>
      </c>
      <c r="L14" s="797">
        <f>ABS(I14-I15)</f>
        <v>30.334645669290694</v>
      </c>
      <c r="M14" s="790">
        <f>ABS(J14-J15)</f>
        <v>41.5</v>
      </c>
      <c r="N14" s="772">
        <f>ABS(K14-K15)</f>
        <v>44.921259842520158</v>
      </c>
    </row>
    <row r="15" spans="1:16" ht="14.25" customHeight="1" thickBot="1">
      <c r="A15" s="808"/>
      <c r="B15" s="810"/>
      <c r="C15" s="57" t="s">
        <v>6932</v>
      </c>
      <c r="D15" s="58" t="s">
        <v>6977</v>
      </c>
      <c r="E15" s="57" t="s">
        <v>6930</v>
      </c>
      <c r="F15" s="173" t="s">
        <v>6931</v>
      </c>
      <c r="G15" s="57" t="s">
        <v>7529</v>
      </c>
      <c r="H15" s="58" t="s">
        <v>6981</v>
      </c>
      <c r="I15" s="174">
        <v>10647.188976377953</v>
      </c>
      <c r="J15" s="281">
        <v>7529.7677165354335</v>
      </c>
      <c r="K15" s="181">
        <v>2846.4606299212601</v>
      </c>
      <c r="L15" s="813"/>
      <c r="M15" s="811"/>
      <c r="N15" s="776"/>
    </row>
    <row r="16" spans="1:16" ht="14.25" customHeight="1">
      <c r="A16" s="165"/>
    </row>
    <row r="17" spans="1:1" ht="14.25" customHeight="1">
      <c r="A17" s="165"/>
    </row>
    <row r="18" spans="1:1" ht="14.25" customHeight="1"/>
    <row r="19" spans="1:1" ht="14.25" customHeight="1"/>
    <row r="20" spans="1:1" ht="14.25" customHeight="1"/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mergeCells count="25">
    <mergeCell ref="A12:A15"/>
    <mergeCell ref="B12:B13"/>
    <mergeCell ref="M12:M13"/>
    <mergeCell ref="N12:N13"/>
    <mergeCell ref="B14:B15"/>
    <mergeCell ref="C5:D5"/>
    <mergeCell ref="C11:D11"/>
    <mergeCell ref="N8:N9"/>
    <mergeCell ref="E11:F11"/>
    <mergeCell ref="G11:H11"/>
    <mergeCell ref="M14:M15"/>
    <mergeCell ref="N14:N15"/>
    <mergeCell ref="M4:N4"/>
    <mergeCell ref="E5:F5"/>
    <mergeCell ref="G5:H5"/>
    <mergeCell ref="L12:L13"/>
    <mergeCell ref="L14:L15"/>
    <mergeCell ref="A6:A9"/>
    <mergeCell ref="B6:B7"/>
    <mergeCell ref="M6:M7"/>
    <mergeCell ref="N6:N7"/>
    <mergeCell ref="B8:B9"/>
    <mergeCell ref="M8:M9"/>
    <mergeCell ref="L6:L7"/>
    <mergeCell ref="L8:L9"/>
  </mergeCells>
  <phoneticPr fontId="12"/>
  <conditionalFormatting sqref="L6:N9">
    <cfRule type="expression" dxfId="65" priority="7" stopIfTrue="1">
      <formula>L6&gt;$N$3</formula>
    </cfRule>
  </conditionalFormatting>
  <conditionalFormatting sqref="L12:N15">
    <cfRule type="expression" dxfId="64" priority="1" stopIfTrue="1">
      <formula>L12&gt;$N$3</formula>
    </cfRule>
  </conditionalFormatting>
  <conditionalFormatting sqref="N3">
    <cfRule type="cellIs" dxfId="63" priority="16" stopIfTrue="1" operator="equal">
      <formula>"WRONG"</formula>
    </cfRule>
  </conditionalFormatting>
  <conditionalFormatting sqref="N10">
    <cfRule type="cellIs" dxfId="62" priority="15" stopIfTrue="1" operator="equal">
      <formula>"WRONG"</formula>
    </cfRule>
  </conditionalFormatting>
  <conditionalFormatting sqref="O6">
    <cfRule type="cellIs" dxfId="61" priority="14" stopIfTrue="1" operator="equal">
      <formula>"Wrong"</formula>
    </cfRule>
  </conditionalFormatting>
  <conditionalFormatting sqref="O12">
    <cfRule type="cellIs" dxfId="60" priority="13" stopIfTrue="1" operator="equal">
      <formula>"Wrong"</formula>
    </cfRule>
  </conditionalFormatting>
  <pageMargins left="0.7" right="0.7" top="0.75" bottom="0.75" header="0.3" footer="0.3"/>
  <pageSetup paperSize="9" scale="6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742A-A4ED-48EE-98CE-1C707C2A04C8}">
  <sheetPr codeName="Sheet11">
    <pageSetUpPr fitToPage="1"/>
  </sheetPr>
  <dimension ref="A1:V37"/>
  <sheetViews>
    <sheetView zoomScale="70" zoomScaleNormal="70" workbookViewId="0"/>
  </sheetViews>
  <sheetFormatPr defaultColWidth="9" defaultRowHeight="14.25"/>
  <cols>
    <col min="1" max="1" width="2" style="30" customWidth="1"/>
    <col min="2" max="2" width="9" style="30"/>
    <col min="3" max="3" width="16.7109375" style="30" bestFit="1" customWidth="1"/>
    <col min="4" max="18" width="10.7109375" style="164" customWidth="1"/>
    <col min="19" max="19" width="2.7109375" style="164" customWidth="1"/>
    <col min="20" max="20" width="8.5703125" style="30" customWidth="1"/>
    <col min="21" max="21" width="13.42578125" style="30" bestFit="1" customWidth="1"/>
    <col min="22" max="22" width="16.28515625" style="30" bestFit="1" customWidth="1"/>
    <col min="23" max="16384" width="9" style="30"/>
  </cols>
  <sheetData>
    <row r="1" spans="1:22" ht="23.25">
      <c r="A1" s="390" t="s">
        <v>7496</v>
      </c>
      <c r="V1" s="136">
        <v>41712</v>
      </c>
    </row>
    <row r="2" spans="1:22" ht="25.5">
      <c r="A2" s="31" t="s">
        <v>6933</v>
      </c>
    </row>
    <row r="3" spans="1:22" s="182" customFormat="1" ht="26.25" thickBot="1">
      <c r="B3" s="183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</row>
    <row r="4" spans="1:22" s="182" customFormat="1" ht="15" thickBot="1">
      <c r="B4" s="185" t="s">
        <v>6934</v>
      </c>
      <c r="C4" s="186"/>
      <c r="D4" s="187" t="s">
        <v>6935</v>
      </c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9"/>
      <c r="S4" s="190"/>
    </row>
    <row r="5" spans="1:22" s="182" customFormat="1" ht="13.5" customHeight="1" thickBot="1">
      <c r="B5" s="140" t="s">
        <v>6871</v>
      </c>
      <c r="C5" s="191" t="s">
        <v>6872</v>
      </c>
      <c r="D5" s="187" t="s">
        <v>6988</v>
      </c>
      <c r="E5" s="192"/>
      <c r="F5" s="192"/>
      <c r="G5" s="192"/>
      <c r="H5" s="193"/>
      <c r="I5" s="187" t="s">
        <v>6989</v>
      </c>
      <c r="J5" s="192"/>
      <c r="K5" s="192"/>
      <c r="L5" s="192"/>
      <c r="M5" s="193"/>
      <c r="N5" s="187" t="s">
        <v>6936</v>
      </c>
      <c r="O5" s="192"/>
      <c r="P5" s="192"/>
      <c r="Q5" s="192"/>
      <c r="R5" s="193"/>
      <c r="S5" s="194"/>
      <c r="T5" s="195"/>
    </row>
    <row r="6" spans="1:22" s="196" customFormat="1" ht="12">
      <c r="B6" s="197"/>
      <c r="C6" s="198"/>
      <c r="D6" s="199" t="s">
        <v>6887</v>
      </c>
      <c r="E6" s="200"/>
      <c r="F6" s="201" t="s">
        <v>6937</v>
      </c>
      <c r="G6" s="201" t="s">
        <v>6938</v>
      </c>
      <c r="H6" s="202" t="s">
        <v>6890</v>
      </c>
      <c r="I6" s="199" t="s">
        <v>6785</v>
      </c>
      <c r="J6" s="200"/>
      <c r="K6" s="201" t="s">
        <v>6937</v>
      </c>
      <c r="L6" s="201" t="s">
        <v>6938</v>
      </c>
      <c r="M6" s="202" t="s">
        <v>6577</v>
      </c>
      <c r="N6" s="199" t="s">
        <v>6887</v>
      </c>
      <c r="O6" s="200"/>
      <c r="P6" s="201" t="s">
        <v>6937</v>
      </c>
      <c r="Q6" s="201" t="s">
        <v>6938</v>
      </c>
      <c r="R6" s="202" t="s">
        <v>6890</v>
      </c>
      <c r="S6" s="203"/>
      <c r="T6" s="204"/>
      <c r="U6" s="205" t="s">
        <v>6887</v>
      </c>
    </row>
    <row r="7" spans="1:22" s="182" customFormat="1">
      <c r="A7" s="206"/>
      <c r="B7" s="823" t="s">
        <v>1436</v>
      </c>
      <c r="C7" s="825" t="s">
        <v>6939</v>
      </c>
      <c r="D7" s="818">
        <v>4704.3464566929133</v>
      </c>
      <c r="E7" s="207"/>
      <c r="F7" s="819">
        <v>180.38188976377953</v>
      </c>
      <c r="G7" s="208">
        <v>15823.751968503937</v>
      </c>
      <c r="H7" s="209">
        <f>+G7+F7+D7</f>
        <v>20708.48031496063</v>
      </c>
      <c r="I7" s="818">
        <v>4706.7047244094483</v>
      </c>
      <c r="J7" s="207"/>
      <c r="K7" s="819">
        <v>180.38188976377953</v>
      </c>
      <c r="L7" s="208">
        <v>15822.937007874016</v>
      </c>
      <c r="M7" s="209">
        <f>+L7+K7+I7</f>
        <v>20710.023622047243</v>
      </c>
      <c r="N7" s="818">
        <v>4703.177165354331</v>
      </c>
      <c r="O7" s="207"/>
      <c r="P7" s="819">
        <v>180.38188976377953</v>
      </c>
      <c r="Q7" s="208">
        <v>15823.366141732284</v>
      </c>
      <c r="R7" s="209">
        <f>+Q7+P7+N7</f>
        <v>20706.925196850396</v>
      </c>
      <c r="S7" s="210"/>
      <c r="T7" s="211" t="s">
        <v>6940</v>
      </c>
      <c r="U7" s="212">
        <f>MAX(D7:D10,N7:N10,I7:I10)</f>
        <v>4706.7047244094483</v>
      </c>
    </row>
    <row r="8" spans="1:22" s="182" customFormat="1">
      <c r="A8" s="206"/>
      <c r="B8" s="823"/>
      <c r="C8" s="825"/>
      <c r="D8" s="818"/>
      <c r="E8" s="207"/>
      <c r="F8" s="819"/>
      <c r="G8" s="208">
        <v>15825.73622047244</v>
      </c>
      <c r="H8" s="209">
        <f>+G8+F7+D7</f>
        <v>20710.464566929131</v>
      </c>
      <c r="I8" s="818"/>
      <c r="J8" s="207"/>
      <c r="K8" s="819"/>
      <c r="L8" s="208">
        <v>15826.031496062991</v>
      </c>
      <c r="M8" s="209">
        <f>+L8+K7+I7</f>
        <v>20713.118110236217</v>
      </c>
      <c r="N8" s="818"/>
      <c r="O8" s="207"/>
      <c r="P8" s="819"/>
      <c r="Q8" s="208">
        <v>15835.818897637793</v>
      </c>
      <c r="R8" s="209">
        <f>+Q8+P7+N7</f>
        <v>20719.377952755902</v>
      </c>
      <c r="S8" s="210"/>
      <c r="T8" s="211" t="s">
        <v>6941</v>
      </c>
      <c r="U8" s="212">
        <f>MIN(D7:D10,N7:N10,I7:I10)</f>
        <v>4703.177165354331</v>
      </c>
    </row>
    <row r="9" spans="1:22" s="182" customFormat="1">
      <c r="A9" s="206"/>
      <c r="B9" s="823" t="s">
        <v>1440</v>
      </c>
      <c r="C9" s="825" t="s">
        <v>6942</v>
      </c>
      <c r="D9" s="818">
        <v>4705.0433070866147</v>
      </c>
      <c r="E9" s="207"/>
      <c r="F9" s="819">
        <v>180.38188976377953</v>
      </c>
      <c r="G9" s="208">
        <v>15824.748031496063</v>
      </c>
      <c r="H9" s="209">
        <f>+G9+F9+D9</f>
        <v>20710.173228346459</v>
      </c>
      <c r="I9" s="818">
        <v>4704.110236220472</v>
      </c>
      <c r="J9" s="207"/>
      <c r="K9" s="819">
        <v>180.38188976377953</v>
      </c>
      <c r="L9" s="208">
        <v>15825.240157480315</v>
      </c>
      <c r="M9" s="209">
        <f>+L9+K9+I9</f>
        <v>20709.732283464567</v>
      </c>
      <c r="N9" s="818">
        <v>4703.7637795275596</v>
      </c>
      <c r="O9" s="207"/>
      <c r="P9" s="819">
        <v>180.38188976377953</v>
      </c>
      <c r="Q9" s="208">
        <v>15824.066929133858</v>
      </c>
      <c r="R9" s="209">
        <f>+Q9+P9+N9</f>
        <v>20708.212598425198</v>
      </c>
      <c r="S9" s="210"/>
      <c r="T9" s="211" t="s">
        <v>6943</v>
      </c>
      <c r="U9" s="212">
        <f>+U7-U8</f>
        <v>3.5275590551173082</v>
      </c>
    </row>
    <row r="10" spans="1:22" s="182" customFormat="1" ht="15" thickBot="1">
      <c r="A10" s="206"/>
      <c r="B10" s="824"/>
      <c r="C10" s="826"/>
      <c r="D10" s="822"/>
      <c r="E10" s="213"/>
      <c r="F10" s="820"/>
      <c r="G10" s="214">
        <v>15822.948818897637</v>
      </c>
      <c r="H10" s="215">
        <f>+G10+F9+D9</f>
        <v>20708.374015748032</v>
      </c>
      <c r="I10" s="822"/>
      <c r="J10" s="213"/>
      <c r="K10" s="820"/>
      <c r="L10" s="214">
        <v>15823.086614173229</v>
      </c>
      <c r="M10" s="215">
        <f>+L10+K9+I9</f>
        <v>20707.578740157482</v>
      </c>
      <c r="N10" s="822"/>
      <c r="O10" s="213"/>
      <c r="P10" s="820"/>
      <c r="Q10" s="214">
        <v>15823.314960629921</v>
      </c>
      <c r="R10" s="215">
        <f>+Q10+P9+N9</f>
        <v>20707.460629921261</v>
      </c>
      <c r="S10" s="210"/>
      <c r="T10" s="182" t="s">
        <v>6944</v>
      </c>
      <c r="U10" s="30">
        <v>100</v>
      </c>
      <c r="V10" s="30" t="str">
        <f>IF(U9&gt;U10,"Wrong","OK")</f>
        <v>OK</v>
      </c>
    </row>
    <row r="11" spans="1:22" s="182" customFormat="1">
      <c r="A11" s="206"/>
      <c r="B11" s="827" t="s">
        <v>1438</v>
      </c>
      <c r="C11" s="828" t="s">
        <v>6945</v>
      </c>
      <c r="D11" s="216">
        <v>20719.885826771657</v>
      </c>
      <c r="E11" s="217"/>
      <c r="F11" s="217"/>
      <c r="G11" s="217"/>
      <c r="H11" s="218">
        <f>+G11+F11+D11</f>
        <v>20719.885826771657</v>
      </c>
      <c r="I11" s="216">
        <v>20714.374015748032</v>
      </c>
      <c r="J11" s="217"/>
      <c r="K11" s="217"/>
      <c r="L11" s="217"/>
      <c r="M11" s="218">
        <f>+L11+K11+I11</f>
        <v>20714.374015748032</v>
      </c>
      <c r="N11" s="216">
        <v>20703.114173228347</v>
      </c>
      <c r="O11" s="217"/>
      <c r="P11" s="217"/>
      <c r="Q11" s="219"/>
      <c r="R11" s="218">
        <f>+Q11+P11+N11</f>
        <v>20703.114173228347</v>
      </c>
      <c r="S11" s="210"/>
      <c r="T11" s="220"/>
    </row>
    <row r="12" spans="1:22" s="182" customFormat="1">
      <c r="A12" s="206"/>
      <c r="B12" s="823"/>
      <c r="C12" s="825"/>
      <c r="D12" s="221">
        <v>20721.523622047243</v>
      </c>
      <c r="E12" s="222"/>
      <c r="F12" s="222"/>
      <c r="G12" s="222"/>
      <c r="H12" s="209">
        <f>+G12+F12+D12</f>
        <v>20721.523622047243</v>
      </c>
      <c r="I12" s="221">
        <v>20728.614173228347</v>
      </c>
      <c r="J12" s="222"/>
      <c r="K12" s="222"/>
      <c r="L12" s="222"/>
      <c r="M12" s="209">
        <f>+L12+K12+I12</f>
        <v>20728.614173228347</v>
      </c>
      <c r="N12" s="221">
        <v>20712.413385826771</v>
      </c>
      <c r="O12" s="222"/>
      <c r="P12" s="222"/>
      <c r="Q12" s="223"/>
      <c r="R12" s="209">
        <f>+Q12+P12+N12</f>
        <v>20712.413385826771</v>
      </c>
      <c r="S12" s="210"/>
      <c r="T12" s="220"/>
      <c r="U12" s="224" t="s">
        <v>6890</v>
      </c>
    </row>
    <row r="13" spans="1:22" s="182" customFormat="1">
      <c r="A13" s="206"/>
      <c r="B13" s="823" t="s">
        <v>1442</v>
      </c>
      <c r="C13" s="825" t="s">
        <v>6946</v>
      </c>
      <c r="D13" s="221">
        <v>20736.413385826771</v>
      </c>
      <c r="E13" s="222"/>
      <c r="F13" s="222"/>
      <c r="G13" s="222"/>
      <c r="H13" s="209">
        <f>+G13+F13+D13</f>
        <v>20736.413385826771</v>
      </c>
      <c r="I13" s="221">
        <v>20721.858267716536</v>
      </c>
      <c r="J13" s="222"/>
      <c r="K13" s="222"/>
      <c r="L13" s="222"/>
      <c r="M13" s="209">
        <f>+L13+K13+I13</f>
        <v>20721.858267716536</v>
      </c>
      <c r="N13" s="221">
        <v>20705.311023622049</v>
      </c>
      <c r="O13" s="222"/>
      <c r="P13" s="222"/>
      <c r="Q13" s="223"/>
      <c r="R13" s="209">
        <f>+Q13+P13+N13</f>
        <v>20705.311023622049</v>
      </c>
      <c r="S13" s="210"/>
      <c r="T13" s="211" t="s">
        <v>6940</v>
      </c>
      <c r="U13" s="225">
        <f>MAX(R7:R14,H7:H14,M7:M14)</f>
        <v>20736.413385826771</v>
      </c>
    </row>
    <row r="14" spans="1:22" s="182" customFormat="1" ht="15" thickBot="1">
      <c r="A14" s="206"/>
      <c r="B14" s="824"/>
      <c r="C14" s="826"/>
      <c r="D14" s="226">
        <v>20736.080708661419</v>
      </c>
      <c r="E14" s="227"/>
      <c r="F14" s="227"/>
      <c r="G14" s="227"/>
      <c r="H14" s="215">
        <f>+G14+F14+D14</f>
        <v>20736.080708661419</v>
      </c>
      <c r="I14" s="226">
        <v>20706.834645669293</v>
      </c>
      <c r="J14" s="227"/>
      <c r="K14" s="227"/>
      <c r="L14" s="227"/>
      <c r="M14" s="215">
        <f>+L14+K14+I14</f>
        <v>20706.834645669293</v>
      </c>
      <c r="N14" s="226">
        <v>20731.598425196851</v>
      </c>
      <c r="O14" s="227"/>
      <c r="P14" s="227"/>
      <c r="Q14" s="228"/>
      <c r="R14" s="215">
        <f>+Q14+P14+N14</f>
        <v>20731.598425196851</v>
      </c>
      <c r="S14" s="210"/>
      <c r="T14" s="211" t="s">
        <v>6941</v>
      </c>
      <c r="U14" s="225">
        <f>MIN(R7:R14,H7:H14,M7:M14)</f>
        <v>20703.114173228347</v>
      </c>
    </row>
    <row r="15" spans="1:22" s="182" customFormat="1"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211" t="s">
        <v>6943</v>
      </c>
      <c r="U15" s="225">
        <f>+U13-U14</f>
        <v>33.299212598423765</v>
      </c>
    </row>
    <row r="16" spans="1:22" s="182" customFormat="1">
      <c r="R16" s="184"/>
      <c r="S16" s="184"/>
      <c r="T16" s="182" t="s">
        <v>6944</v>
      </c>
      <c r="U16" s="30">
        <v>100</v>
      </c>
      <c r="V16" s="30" t="str">
        <f>IF(U15&gt;U16,"Wrong","OK")</f>
        <v>OK</v>
      </c>
    </row>
    <row r="17" spans="1:22" s="182" customFormat="1">
      <c r="D17" s="184"/>
      <c r="E17" s="184"/>
      <c r="F17" s="184"/>
      <c r="G17" s="184"/>
      <c r="H17" s="164"/>
      <c r="I17" s="184"/>
      <c r="J17" s="164"/>
      <c r="K17" s="164"/>
      <c r="L17" s="164"/>
      <c r="M17" s="164"/>
      <c r="N17" s="184"/>
      <c r="O17" s="184"/>
      <c r="P17" s="184"/>
      <c r="Q17" s="164"/>
      <c r="R17" s="184"/>
      <c r="S17" s="184"/>
      <c r="U17" s="30"/>
      <c r="V17" s="30"/>
    </row>
    <row r="18" spans="1:22" s="182" customFormat="1">
      <c r="C18" s="817"/>
      <c r="D18" s="184"/>
      <c r="E18" s="184"/>
      <c r="F18" s="184"/>
      <c r="G18" s="210"/>
      <c r="H18" s="184"/>
      <c r="I18" s="184"/>
      <c r="J18" s="184"/>
      <c r="K18" s="184"/>
      <c r="L18" s="184"/>
      <c r="M18" s="184"/>
      <c r="N18" s="184"/>
      <c r="O18" s="184"/>
      <c r="P18" s="184"/>
      <c r="Q18" s="210"/>
      <c r="R18" s="184"/>
      <c r="S18" s="184"/>
    </row>
    <row r="19" spans="1:22" s="182" customFormat="1">
      <c r="C19" s="817"/>
      <c r="D19" s="184"/>
      <c r="E19" s="184"/>
      <c r="F19" s="184"/>
      <c r="G19" s="210"/>
      <c r="H19" s="184"/>
      <c r="I19" s="184"/>
      <c r="J19" s="184"/>
      <c r="K19" s="184"/>
      <c r="L19" s="184"/>
      <c r="M19" s="184"/>
      <c r="N19" s="184"/>
      <c r="O19" s="184"/>
      <c r="P19" s="184"/>
      <c r="Q19" s="210"/>
      <c r="R19" s="184"/>
      <c r="S19" s="184"/>
    </row>
    <row r="20" spans="1:22" s="182" customFormat="1">
      <c r="C20" s="817"/>
      <c r="D20" s="184"/>
      <c r="E20" s="184"/>
      <c r="F20" s="184"/>
      <c r="G20" s="184"/>
      <c r="H20" s="184"/>
      <c r="I20" s="184"/>
      <c r="J20" s="184"/>
      <c r="K20" s="184"/>
      <c r="L20" s="210"/>
      <c r="M20" s="184"/>
      <c r="N20" s="184"/>
      <c r="O20" s="184"/>
      <c r="P20" s="184"/>
      <c r="Q20" s="184"/>
      <c r="R20" s="184"/>
      <c r="S20" s="184"/>
    </row>
    <row r="21" spans="1:22" s="182" customFormat="1">
      <c r="C21" s="817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</row>
    <row r="22" spans="1:22" s="182" customFormat="1">
      <c r="D22" s="184"/>
      <c r="E22" s="184"/>
      <c r="F22" s="184"/>
      <c r="G22" s="210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</row>
    <row r="23" spans="1:22" s="182" customFormat="1"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</row>
    <row r="24" spans="1:22" s="182" customFormat="1" ht="15" thickBot="1"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</row>
    <row r="25" spans="1:22" s="182" customFormat="1" ht="15" thickBot="1">
      <c r="B25" s="229" t="s">
        <v>6947</v>
      </c>
      <c r="C25" s="186"/>
      <c r="D25" s="187" t="s">
        <v>6935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9"/>
      <c r="S25" s="190"/>
      <c r="T25" s="204"/>
      <c r="U25" s="205" t="s">
        <v>6887</v>
      </c>
      <c r="V25" s="196"/>
    </row>
    <row r="26" spans="1:22" s="182" customFormat="1" ht="13.5" customHeight="1" thickBot="1">
      <c r="B26" s="230" t="s">
        <v>6871</v>
      </c>
      <c r="C26" s="191" t="s">
        <v>6872</v>
      </c>
      <c r="D26" s="187" t="s">
        <v>6988</v>
      </c>
      <c r="E26" s="192"/>
      <c r="F26" s="192"/>
      <c r="G26" s="192"/>
      <c r="H26" s="193"/>
      <c r="I26" s="187" t="s">
        <v>6989</v>
      </c>
      <c r="J26" s="192"/>
      <c r="K26" s="192"/>
      <c r="L26" s="192"/>
      <c r="M26" s="193"/>
      <c r="N26" s="187" t="s">
        <v>6936</v>
      </c>
      <c r="O26" s="192"/>
      <c r="P26" s="192"/>
      <c r="Q26" s="192"/>
      <c r="R26" s="193"/>
      <c r="S26" s="194"/>
      <c r="T26" s="211" t="s">
        <v>6940</v>
      </c>
      <c r="U26" s="212">
        <f>MAX(D28:D31,I28:I31,N28:N31)</f>
        <v>5330.1614173228345</v>
      </c>
    </row>
    <row r="27" spans="1:22" s="196" customFormat="1" ht="12" customHeight="1">
      <c r="B27" s="197"/>
      <c r="C27" s="198"/>
      <c r="D27" s="199" t="s">
        <v>6948</v>
      </c>
      <c r="E27" s="289" t="s">
        <v>6987</v>
      </c>
      <c r="F27" s="201" t="s">
        <v>6986</v>
      </c>
      <c r="G27" s="201" t="s">
        <v>6938</v>
      </c>
      <c r="H27" s="202" t="s">
        <v>6890</v>
      </c>
      <c r="I27" s="199" t="s">
        <v>6948</v>
      </c>
      <c r="J27" s="289" t="s">
        <v>6987</v>
      </c>
      <c r="K27" s="201" t="s">
        <v>6986</v>
      </c>
      <c r="L27" s="201" t="s">
        <v>6938</v>
      </c>
      <c r="M27" s="202" t="s">
        <v>6577</v>
      </c>
      <c r="N27" s="199" t="s">
        <v>6948</v>
      </c>
      <c r="O27" s="201" t="s">
        <v>6987</v>
      </c>
      <c r="P27" s="201" t="s">
        <v>6937</v>
      </c>
      <c r="Q27" s="201" t="s">
        <v>6938</v>
      </c>
      <c r="R27" s="202" t="s">
        <v>6890</v>
      </c>
      <c r="S27" s="203"/>
      <c r="T27" s="211" t="s">
        <v>6941</v>
      </c>
      <c r="U27" s="212">
        <f>MIN(D28:D31,N28:N31,I28:I31)</f>
        <v>5313.2165354330709</v>
      </c>
      <c r="V27" s="182"/>
    </row>
    <row r="28" spans="1:22" s="182" customFormat="1">
      <c r="A28" s="206"/>
      <c r="B28" s="823" t="s">
        <v>1428</v>
      </c>
      <c r="C28" s="825" t="s">
        <v>1429</v>
      </c>
      <c r="D28" s="818">
        <v>5315.7598425196848</v>
      </c>
      <c r="E28" s="821">
        <v>307.87795275590554</v>
      </c>
      <c r="F28" s="819">
        <f>+F7</f>
        <v>180.38188976377953</v>
      </c>
      <c r="G28" s="208">
        <f>+G7</f>
        <v>15823.751968503937</v>
      </c>
      <c r="H28" s="209">
        <f>+G28+F28+D28</f>
        <v>21319.893700787401</v>
      </c>
      <c r="I28" s="818">
        <v>5330.1614173228345</v>
      </c>
      <c r="J28" s="821">
        <v>307.87795275590554</v>
      </c>
      <c r="K28" s="819">
        <f>+K7</f>
        <v>180.38188976377953</v>
      </c>
      <c r="L28" s="208">
        <f>+L7</f>
        <v>15822.937007874016</v>
      </c>
      <c r="M28" s="209">
        <f>+L28+K28+I28</f>
        <v>21333.48031496063</v>
      </c>
      <c r="N28" s="818">
        <v>5313.2165354330709</v>
      </c>
      <c r="O28" s="821">
        <v>307.87795275590554</v>
      </c>
      <c r="P28" s="819">
        <f>+P7</f>
        <v>180.38188976377953</v>
      </c>
      <c r="Q28" s="208">
        <f>+Q7</f>
        <v>15823.366141732284</v>
      </c>
      <c r="R28" s="209">
        <f>+Q28+P28+N28</f>
        <v>21316.964566929135</v>
      </c>
      <c r="S28" s="210"/>
      <c r="T28" s="211" t="s">
        <v>6943</v>
      </c>
      <c r="U28" s="212">
        <f>+U26-U27</f>
        <v>16.944881889763565</v>
      </c>
    </row>
    <row r="29" spans="1:22" s="182" customFormat="1">
      <c r="A29" s="206"/>
      <c r="B29" s="823"/>
      <c r="C29" s="825"/>
      <c r="D29" s="818"/>
      <c r="E29" s="821"/>
      <c r="F29" s="819"/>
      <c r="G29" s="208">
        <f>+G8</f>
        <v>15825.73622047244</v>
      </c>
      <c r="H29" s="209">
        <f>+G29+F28+D28</f>
        <v>21321.877952755902</v>
      </c>
      <c r="I29" s="818"/>
      <c r="J29" s="821"/>
      <c r="K29" s="819"/>
      <c r="L29" s="208">
        <f>+L8</f>
        <v>15826.031496062991</v>
      </c>
      <c r="M29" s="209">
        <f>+L29+K28+I28</f>
        <v>21336.574803149604</v>
      </c>
      <c r="N29" s="818"/>
      <c r="O29" s="821"/>
      <c r="P29" s="819"/>
      <c r="Q29" s="208">
        <f>+Q8</f>
        <v>15835.818897637793</v>
      </c>
      <c r="R29" s="209">
        <f>+Q29+P28+N28</f>
        <v>21329.417322834644</v>
      </c>
      <c r="S29" s="210"/>
      <c r="T29" s="182" t="s">
        <v>6944</v>
      </c>
      <c r="U29" s="30">
        <v>100</v>
      </c>
      <c r="V29" s="30" t="str">
        <f>IF(U28&gt;U29,"Wrong","OK")</f>
        <v>OK</v>
      </c>
    </row>
    <row r="30" spans="1:22" s="182" customFormat="1">
      <c r="A30" s="206"/>
      <c r="B30" s="823" t="s">
        <v>1430</v>
      </c>
      <c r="C30" s="825" t="s">
        <v>1431</v>
      </c>
      <c r="D30" s="818">
        <v>5314.8661417322837</v>
      </c>
      <c r="E30" s="821">
        <v>309.5905511811024</v>
      </c>
      <c r="F30" s="819">
        <f>+F9</f>
        <v>180.38188976377953</v>
      </c>
      <c r="G30" s="208">
        <f>+G9</f>
        <v>15824.748031496063</v>
      </c>
      <c r="H30" s="209">
        <f>+G30+F30+D30</f>
        <v>21319.996062992126</v>
      </c>
      <c r="I30" s="818">
        <v>5325.7362204724404</v>
      </c>
      <c r="J30" s="821">
        <v>309.5905511811024</v>
      </c>
      <c r="K30" s="819">
        <f>+K9</f>
        <v>180.38188976377953</v>
      </c>
      <c r="L30" s="208">
        <f>+L9</f>
        <v>15825.240157480315</v>
      </c>
      <c r="M30" s="209">
        <f>+L30+K30+I30</f>
        <v>21331.358267716536</v>
      </c>
      <c r="N30" s="818">
        <v>5315.4055118110236</v>
      </c>
      <c r="O30" s="821">
        <v>309.5905511811024</v>
      </c>
      <c r="P30" s="819">
        <f>+P9</f>
        <v>180.38188976377953</v>
      </c>
      <c r="Q30" s="208">
        <f>+Q9</f>
        <v>15824.066929133858</v>
      </c>
      <c r="R30" s="209">
        <f>+Q30+P30+N30</f>
        <v>21319.854330708662</v>
      </c>
      <c r="S30" s="210"/>
      <c r="T30" s="220"/>
      <c r="U30" s="224" t="s">
        <v>6890</v>
      </c>
    </row>
    <row r="31" spans="1:22" s="182" customFormat="1" ht="15" thickBot="1">
      <c r="A31" s="206"/>
      <c r="B31" s="824"/>
      <c r="C31" s="826"/>
      <c r="D31" s="822"/>
      <c r="E31" s="829"/>
      <c r="F31" s="820"/>
      <c r="G31" s="214">
        <f>+G10</f>
        <v>15822.948818897637</v>
      </c>
      <c r="H31" s="215">
        <f>+G31+F30+D30</f>
        <v>21318.196850393702</v>
      </c>
      <c r="I31" s="822"/>
      <c r="J31" s="829"/>
      <c r="K31" s="820"/>
      <c r="L31" s="214">
        <f>+L10</f>
        <v>15823.086614173229</v>
      </c>
      <c r="M31" s="215">
        <f>+L31+K30+I30</f>
        <v>21329.20472440945</v>
      </c>
      <c r="N31" s="822"/>
      <c r="O31" s="829"/>
      <c r="P31" s="820"/>
      <c r="Q31" s="214">
        <f>+Q10</f>
        <v>15823.314960629921</v>
      </c>
      <c r="R31" s="215">
        <f>+Q31+P30+N30</f>
        <v>21319.102362204725</v>
      </c>
      <c r="S31" s="210"/>
      <c r="T31" s="211" t="s">
        <v>6940</v>
      </c>
      <c r="U31" s="225">
        <f>MAX(R25:R32,H25:H32,M25:M32)</f>
        <v>21336.574803149604</v>
      </c>
    </row>
    <row r="32" spans="1:22" s="182" customFormat="1">
      <c r="A32" s="206"/>
      <c r="B32" s="231"/>
      <c r="C32" s="231"/>
      <c r="D32" s="190"/>
      <c r="E32" s="190"/>
      <c r="F32" s="190"/>
      <c r="G32" s="210"/>
      <c r="H32" s="210"/>
      <c r="I32" s="210"/>
      <c r="J32" s="210"/>
      <c r="K32" s="210"/>
      <c r="L32" s="210"/>
      <c r="M32" s="210"/>
      <c r="N32" s="190"/>
      <c r="O32" s="190"/>
      <c r="P32" s="190"/>
      <c r="Q32" s="210"/>
      <c r="R32" s="210"/>
      <c r="S32" s="210"/>
      <c r="T32" s="211" t="s">
        <v>6941</v>
      </c>
      <c r="U32" s="225">
        <f>MIN(R25:R32,H25:H32,M25:M32)</f>
        <v>21316.964566929135</v>
      </c>
    </row>
    <row r="33" spans="1:22" s="182" customFormat="1">
      <c r="A33" s="206"/>
      <c r="B33" s="231"/>
      <c r="C33" s="231"/>
      <c r="D33" s="190"/>
      <c r="E33" s="190"/>
      <c r="F33" s="190"/>
      <c r="G33" s="210"/>
      <c r="H33" s="210"/>
      <c r="I33" s="210"/>
      <c r="J33" s="210"/>
      <c r="K33" s="210"/>
      <c r="L33" s="210"/>
      <c r="M33" s="210"/>
      <c r="N33" s="190"/>
      <c r="O33" s="190"/>
      <c r="P33" s="190"/>
      <c r="Q33" s="210"/>
      <c r="R33" s="210"/>
      <c r="S33" s="203"/>
      <c r="T33" s="211" t="s">
        <v>6943</v>
      </c>
      <c r="U33" s="225">
        <f>+U31-U32</f>
        <v>19.610236220469233</v>
      </c>
    </row>
    <row r="34" spans="1:22" s="182" customFormat="1">
      <c r="A34" s="206"/>
      <c r="B34" s="231"/>
      <c r="C34" s="231"/>
      <c r="D34" s="190"/>
      <c r="E34" s="190"/>
      <c r="F34" s="190"/>
      <c r="G34" s="210"/>
      <c r="H34" s="210"/>
      <c r="I34" s="210"/>
      <c r="J34" s="210"/>
      <c r="K34" s="210"/>
      <c r="L34" s="210"/>
      <c r="M34" s="210"/>
      <c r="N34" s="190"/>
      <c r="O34" s="190"/>
      <c r="P34" s="190"/>
      <c r="Q34" s="210"/>
      <c r="R34" s="210"/>
      <c r="S34" s="210"/>
      <c r="T34" s="182" t="s">
        <v>6944</v>
      </c>
      <c r="U34" s="30">
        <v>100</v>
      </c>
      <c r="V34" s="30" t="str">
        <f>IF(U33&gt;U34,"Wrong","OK")</f>
        <v>OK</v>
      </c>
    </row>
    <row r="35" spans="1:22" s="182" customFormat="1">
      <c r="A35" s="206"/>
      <c r="B35" s="231"/>
      <c r="C35" s="231"/>
      <c r="D35" s="184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U35" s="30"/>
      <c r="V35" s="30"/>
    </row>
    <row r="36" spans="1:22" s="182" customFormat="1">
      <c r="A36" s="206"/>
      <c r="B36" s="231"/>
      <c r="C36" s="231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210"/>
    </row>
    <row r="37" spans="1:22">
      <c r="T37" s="182"/>
      <c r="U37" s="182"/>
      <c r="V37" s="182"/>
    </row>
  </sheetData>
  <mergeCells count="44">
    <mergeCell ref="N30:N31"/>
    <mergeCell ref="O30:O31"/>
    <mergeCell ref="P30:P31"/>
    <mergeCell ref="I30:I31"/>
    <mergeCell ref="J30:J31"/>
    <mergeCell ref="K30:K31"/>
    <mergeCell ref="B30:B31"/>
    <mergeCell ref="C30:C31"/>
    <mergeCell ref="D30:D31"/>
    <mergeCell ref="E30:E31"/>
    <mergeCell ref="F30:F31"/>
    <mergeCell ref="B11:B12"/>
    <mergeCell ref="C11:C12"/>
    <mergeCell ref="B13:B14"/>
    <mergeCell ref="C13:C14"/>
    <mergeCell ref="N28:N29"/>
    <mergeCell ref="B28:B29"/>
    <mergeCell ref="C28:C29"/>
    <mergeCell ref="B9:B10"/>
    <mergeCell ref="C9:C10"/>
    <mergeCell ref="F9:F10"/>
    <mergeCell ref="N7:N8"/>
    <mergeCell ref="P7:P8"/>
    <mergeCell ref="I7:I8"/>
    <mergeCell ref="K7:K8"/>
    <mergeCell ref="I9:I10"/>
    <mergeCell ref="B7:B8"/>
    <mergeCell ref="C7:C8"/>
    <mergeCell ref="D7:D8"/>
    <mergeCell ref="F7:F8"/>
    <mergeCell ref="D9:D10"/>
    <mergeCell ref="C18:C19"/>
    <mergeCell ref="C20:C21"/>
    <mergeCell ref="I28:I29"/>
    <mergeCell ref="P9:P10"/>
    <mergeCell ref="O28:O29"/>
    <mergeCell ref="P28:P29"/>
    <mergeCell ref="J28:J29"/>
    <mergeCell ref="K28:K29"/>
    <mergeCell ref="N9:N10"/>
    <mergeCell ref="K9:K10"/>
    <mergeCell ref="D28:D29"/>
    <mergeCell ref="E28:E29"/>
    <mergeCell ref="F28:F29"/>
  </mergeCells>
  <phoneticPr fontId="12"/>
  <conditionalFormatting sqref="H17 J17:M17 U34:U35">
    <cfRule type="cellIs" dxfId="59" priority="26" stopIfTrue="1" operator="equal">
      <formula>"WRONG"</formula>
    </cfRule>
  </conditionalFormatting>
  <conditionalFormatting sqref="Q17">
    <cfRule type="cellIs" dxfId="58" priority="11" stopIfTrue="1" operator="equal">
      <formula>"WRONG"</formula>
    </cfRule>
  </conditionalFormatting>
  <conditionalFormatting sqref="U10">
    <cfRule type="cellIs" dxfId="57" priority="24" stopIfTrue="1" operator="equal">
      <formula>"WRONG"</formula>
    </cfRule>
  </conditionalFormatting>
  <conditionalFormatting sqref="U16:U17">
    <cfRule type="cellIs" dxfId="56" priority="25" stopIfTrue="1" operator="equal">
      <formula>"WRONG"</formula>
    </cfRule>
  </conditionalFormatting>
  <conditionalFormatting sqref="U29">
    <cfRule type="cellIs" dxfId="55" priority="20" stopIfTrue="1" operator="equal">
      <formula>"WRONG"</formula>
    </cfRule>
  </conditionalFormatting>
  <conditionalFormatting sqref="V10 V29 V34:V35">
    <cfRule type="cellIs" dxfId="54" priority="23" stopIfTrue="1" operator="equal">
      <formula>"Wrong"</formula>
    </cfRule>
  </conditionalFormatting>
  <conditionalFormatting sqref="V16:V17">
    <cfRule type="cellIs" dxfId="53" priority="22" stopIfTrue="1" operator="equal">
      <formula>"Wrong"</formula>
    </cfRule>
  </conditionalFormatting>
  <pageMargins left="0.25" right="0.25" top="0.75" bottom="0.75" header="0.3" footer="0.3"/>
  <pageSetup paperSize="9" scale="61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DB64-8CC2-4CA2-B375-0EE9900A316D}">
  <sheetPr codeName="Sheet12">
    <pageSetUpPr fitToPage="1"/>
  </sheetPr>
  <dimension ref="B1:V46"/>
  <sheetViews>
    <sheetView zoomScale="70" zoomScaleNormal="70" workbookViewId="0"/>
  </sheetViews>
  <sheetFormatPr defaultColWidth="9" defaultRowHeight="14.25"/>
  <cols>
    <col min="1" max="2" width="9" style="206"/>
    <col min="3" max="3" width="20.42578125" style="234" customWidth="1"/>
    <col min="4" max="13" width="12.42578125" style="235" customWidth="1"/>
    <col min="14" max="15" width="10.85546875" style="206" bestFit="1" customWidth="1"/>
    <col min="16" max="16" width="5" style="206" customWidth="1"/>
    <col min="17" max="17" width="9.7109375" style="236" customWidth="1"/>
    <col min="18" max="18" width="15.7109375" style="236" customWidth="1"/>
    <col min="19" max="20" width="15.7109375" style="206" customWidth="1"/>
    <col min="21" max="21" width="9.7109375" style="206" customWidth="1"/>
    <col min="22" max="22" width="7.42578125" style="206" bestFit="1" customWidth="1"/>
    <col min="23" max="24" width="9.7109375" style="206" customWidth="1"/>
    <col min="25" max="16384" width="9" style="206"/>
  </cols>
  <sheetData>
    <row r="1" spans="2:22" ht="23.25">
      <c r="B1" s="390" t="s">
        <v>7496</v>
      </c>
      <c r="O1" s="33"/>
      <c r="T1" s="136">
        <v>41712</v>
      </c>
    </row>
    <row r="2" spans="2:22" ht="23.25">
      <c r="B2" s="233" t="s">
        <v>6949</v>
      </c>
      <c r="N2" s="66" t="s">
        <v>6868</v>
      </c>
      <c r="O2" s="35">
        <v>4</v>
      </c>
      <c r="P2" s="30" t="str">
        <f>IF(MAX(M7:O17)&gt;O2,"Wrong","OK")</f>
        <v>OK</v>
      </c>
    </row>
    <row r="4" spans="2:22" ht="14.25" customHeight="1">
      <c r="D4" s="284" t="s">
        <v>6984</v>
      </c>
      <c r="E4" s="238"/>
      <c r="F4" s="238"/>
      <c r="G4" s="237"/>
      <c r="H4" s="238"/>
      <c r="I4" s="238"/>
      <c r="J4" s="238"/>
      <c r="K4" s="238"/>
      <c r="L4" s="238"/>
      <c r="M4" s="237"/>
      <c r="N4" s="457" t="s">
        <v>6870</v>
      </c>
      <c r="O4" s="455"/>
      <c r="P4" s="458"/>
    </row>
    <row r="5" spans="2:22" ht="14.25" customHeight="1">
      <c r="B5" s="206" t="s">
        <v>6950</v>
      </c>
      <c r="D5" s="284" t="s">
        <v>6983</v>
      </c>
      <c r="E5" s="238"/>
      <c r="F5" s="239"/>
      <c r="G5" s="237" t="s">
        <v>6951</v>
      </c>
      <c r="H5" s="238"/>
      <c r="I5" s="239"/>
      <c r="J5" s="237" t="s">
        <v>6952</v>
      </c>
      <c r="K5" s="238"/>
      <c r="L5" s="239"/>
      <c r="M5" s="456" t="s">
        <v>6822</v>
      </c>
      <c r="N5" s="456" t="s">
        <v>6780</v>
      </c>
      <c r="O5" s="456" t="s">
        <v>6781</v>
      </c>
    </row>
    <row r="6" spans="2:22" ht="13.5" customHeight="1">
      <c r="B6" s="125" t="s">
        <v>6821</v>
      </c>
      <c r="C6" s="125" t="s">
        <v>6872</v>
      </c>
      <c r="D6" s="237" t="s">
        <v>6953</v>
      </c>
      <c r="E6" s="240"/>
      <c r="F6" s="241"/>
      <c r="G6" s="237" t="s">
        <v>6953</v>
      </c>
      <c r="H6" s="240"/>
      <c r="I6" s="241"/>
      <c r="J6" s="237" t="s">
        <v>6953</v>
      </c>
      <c r="K6" s="240"/>
      <c r="L6" s="241"/>
      <c r="M6" s="242"/>
      <c r="N6" s="242"/>
      <c r="O6" s="242"/>
      <c r="Q6" s="243" t="str">
        <f>+B5</f>
        <v>EDP</v>
      </c>
      <c r="R6" s="243" t="s">
        <v>6985</v>
      </c>
      <c r="S6" s="126" t="s">
        <v>6873</v>
      </c>
      <c r="T6" s="126" t="s">
        <v>6874</v>
      </c>
      <c r="U6" s="30"/>
    </row>
    <row r="7" spans="2:22">
      <c r="B7" s="244" t="s">
        <v>720</v>
      </c>
      <c r="C7" s="127" t="s">
        <v>721</v>
      </c>
      <c r="D7" s="245"/>
      <c r="E7" s="246">
        <v>5983.5118110236226</v>
      </c>
      <c r="F7" s="247"/>
      <c r="G7" s="245"/>
      <c r="H7" s="246">
        <v>11534.5</v>
      </c>
      <c r="I7" s="247"/>
      <c r="J7" s="245"/>
      <c r="K7" s="246">
        <v>5313.7047244094483</v>
      </c>
      <c r="L7" s="247"/>
      <c r="M7" s="830">
        <f>ABS(E7-E8)</f>
        <v>0.11811023621976346</v>
      </c>
      <c r="N7" s="830">
        <f>ABS(H7-H8)</f>
        <v>7.4803149605941144E-2</v>
      </c>
      <c r="O7" s="830">
        <f>ABS(K7-K8)</f>
        <v>0.27559055118217657</v>
      </c>
      <c r="Q7" s="248" t="s">
        <v>6954</v>
      </c>
      <c r="R7" s="232">
        <f>MAX(E7:E17)</f>
        <v>5984.1889763779527</v>
      </c>
      <c r="S7" s="232">
        <f>MAX(H7:H17)</f>
        <v>11535.173228346457</v>
      </c>
      <c r="T7" s="232">
        <f>MAX(K7:K17)</f>
        <v>5314.8425196850403</v>
      </c>
      <c r="U7" s="30"/>
    </row>
    <row r="8" spans="2:22">
      <c r="B8" s="249" t="s">
        <v>722</v>
      </c>
      <c r="C8" s="130" t="s">
        <v>723</v>
      </c>
      <c r="D8" s="250"/>
      <c r="E8" s="251">
        <v>5983.6299212598424</v>
      </c>
      <c r="F8" s="252"/>
      <c r="G8" s="250"/>
      <c r="H8" s="251">
        <v>11534.425196850394</v>
      </c>
      <c r="I8" s="252"/>
      <c r="J8" s="250"/>
      <c r="K8" s="251">
        <v>5313.9803149606305</v>
      </c>
      <c r="L8" s="252"/>
      <c r="M8" s="831"/>
      <c r="N8" s="831"/>
      <c r="O8" s="831"/>
      <c r="Q8" s="248" t="s">
        <v>6955</v>
      </c>
      <c r="R8" s="232">
        <f>MIN(E7:E17)</f>
        <v>5982.4566929133862</v>
      </c>
      <c r="S8" s="232">
        <f>MIN(H7:H17)</f>
        <v>11534.015748031496</v>
      </c>
      <c r="T8" s="232">
        <f>MIN(K7:K17)</f>
        <v>5313.2401574803152</v>
      </c>
      <c r="U8" s="30"/>
    </row>
    <row r="9" spans="2:22">
      <c r="B9" s="54" t="s">
        <v>724</v>
      </c>
      <c r="C9" s="49" t="s">
        <v>725</v>
      </c>
      <c r="D9" s="253"/>
      <c r="E9" s="254">
        <v>5982.4566929133862</v>
      </c>
      <c r="F9" s="255"/>
      <c r="G9" s="253"/>
      <c r="H9" s="254">
        <v>11535.173228346457</v>
      </c>
      <c r="I9" s="255"/>
      <c r="J9" s="253"/>
      <c r="K9" s="254">
        <v>5314.1850393700788</v>
      </c>
      <c r="L9" s="255"/>
      <c r="M9" s="52"/>
      <c r="N9" s="52"/>
      <c r="O9" s="52"/>
      <c r="Q9" s="248" t="s">
        <v>6956</v>
      </c>
      <c r="R9" s="232">
        <f>+R7-R8</f>
        <v>1.7322834645665353</v>
      </c>
      <c r="S9" s="232">
        <f>+S7-S8</f>
        <v>1.1574803149615036</v>
      </c>
      <c r="T9" s="232">
        <f>+T7-T8</f>
        <v>1.6023622047250683</v>
      </c>
      <c r="U9" s="66" t="s">
        <v>6868</v>
      </c>
      <c r="V9" s="35">
        <v>100</v>
      </c>
    </row>
    <row r="10" spans="2:22">
      <c r="B10" s="244" t="s">
        <v>726</v>
      </c>
      <c r="C10" s="127" t="s">
        <v>727</v>
      </c>
      <c r="D10" s="256"/>
      <c r="E10" s="246">
        <v>5983.2204724409457</v>
      </c>
      <c r="F10" s="258"/>
      <c r="G10" s="256"/>
      <c r="H10" s="246">
        <v>11534.291338582678</v>
      </c>
      <c r="I10" s="258"/>
      <c r="J10" s="256"/>
      <c r="K10" s="257">
        <v>5314.464566929134</v>
      </c>
      <c r="L10" s="258"/>
      <c r="M10" s="830">
        <f>ABS(E10-E11)</f>
        <v>0.49212598425128817</v>
      </c>
      <c r="N10" s="830">
        <f>ABS(H10-H11)</f>
        <v>0.68110236220309162</v>
      </c>
      <c r="O10" s="830">
        <f>ABS(K10-K11)</f>
        <v>0.61811023622067296</v>
      </c>
      <c r="U10" s="30" t="str">
        <f>IF(MAX(R9:T9)&gt;V9,"Wrong","OK")</f>
        <v>OK</v>
      </c>
    </row>
    <row r="11" spans="2:22">
      <c r="B11" s="249" t="s">
        <v>734</v>
      </c>
      <c r="C11" s="130" t="s">
        <v>735</v>
      </c>
      <c r="D11" s="259"/>
      <c r="E11" s="251">
        <v>5983.712598425197</v>
      </c>
      <c r="F11" s="261"/>
      <c r="G11" s="259"/>
      <c r="H11" s="251">
        <v>11534.972440944881</v>
      </c>
      <c r="I11" s="261"/>
      <c r="J11" s="259"/>
      <c r="K11" s="260">
        <v>5313.8464566929133</v>
      </c>
      <c r="L11" s="261"/>
      <c r="M11" s="831"/>
      <c r="N11" s="831"/>
      <c r="O11" s="831"/>
    </row>
    <row r="12" spans="2:22">
      <c r="B12" s="244" t="s">
        <v>728</v>
      </c>
      <c r="C12" s="127" t="s">
        <v>729</v>
      </c>
      <c r="D12" s="256"/>
      <c r="E12" s="246">
        <v>5983.9842519685044</v>
      </c>
      <c r="F12" s="258"/>
      <c r="G12" s="256"/>
      <c r="H12" s="246">
        <v>11534.527559055117</v>
      </c>
      <c r="I12" s="258"/>
      <c r="J12" s="256"/>
      <c r="K12" s="257">
        <v>5314.8425196850403</v>
      </c>
      <c r="L12" s="258"/>
      <c r="M12" s="830">
        <f>ABS(E12-E13)</f>
        <v>1.0039370078739012</v>
      </c>
      <c r="N12" s="830">
        <f>ABS(H12-H13)</f>
        <v>0.48425196850621433</v>
      </c>
      <c r="O12" s="830">
        <f>ABS(K12-K13)</f>
        <v>0.80314960630039423</v>
      </c>
    </row>
    <row r="13" spans="2:22">
      <c r="B13" s="249" t="s">
        <v>736</v>
      </c>
      <c r="C13" s="130" t="s">
        <v>737</v>
      </c>
      <c r="D13" s="259"/>
      <c r="E13" s="251">
        <v>5982.9803149606305</v>
      </c>
      <c r="F13" s="261"/>
      <c r="G13" s="259"/>
      <c r="H13" s="251">
        <v>11535.011811023624</v>
      </c>
      <c r="I13" s="261"/>
      <c r="J13" s="259"/>
      <c r="K13" s="260">
        <v>5314.0393700787399</v>
      </c>
      <c r="L13" s="261"/>
      <c r="M13" s="831"/>
      <c r="N13" s="831"/>
      <c r="O13" s="831"/>
    </row>
    <row r="14" spans="2:22">
      <c r="B14" s="244" t="s">
        <v>730</v>
      </c>
      <c r="C14" s="127" t="s">
        <v>731</v>
      </c>
      <c r="D14" s="256"/>
      <c r="E14" s="246">
        <v>5983.4055118110236</v>
      </c>
      <c r="F14" s="258"/>
      <c r="G14" s="256"/>
      <c r="H14" s="246">
        <v>11534.799212598426</v>
      </c>
      <c r="I14" s="258"/>
      <c r="J14" s="256"/>
      <c r="K14" s="257">
        <v>5313.2401574803152</v>
      </c>
      <c r="L14" s="258"/>
      <c r="M14" s="830">
        <f>ABS(E14-E15)</f>
        <v>9.8425196850257635E-2</v>
      </c>
      <c r="N14" s="830">
        <f>ABS(H14-H15)</f>
        <v>6.6929133858138812E-2</v>
      </c>
      <c r="O14" s="830">
        <f>ABS(K14-K15)</f>
        <v>0.4881889763782965</v>
      </c>
    </row>
    <row r="15" spans="2:22">
      <c r="B15" s="249" t="s">
        <v>738</v>
      </c>
      <c r="C15" s="130" t="s">
        <v>739</v>
      </c>
      <c r="D15" s="259"/>
      <c r="E15" s="251">
        <v>5983.3070866141734</v>
      </c>
      <c r="F15" s="261"/>
      <c r="G15" s="259"/>
      <c r="H15" s="251">
        <v>11534.866141732284</v>
      </c>
      <c r="I15" s="261"/>
      <c r="J15" s="259"/>
      <c r="K15" s="260">
        <v>5313.7283464566935</v>
      </c>
      <c r="L15" s="261"/>
      <c r="M15" s="831"/>
      <c r="N15" s="831"/>
      <c r="O15" s="831"/>
    </row>
    <row r="16" spans="2:22">
      <c r="B16" s="244" t="s">
        <v>732</v>
      </c>
      <c r="C16" s="127" t="s">
        <v>733</v>
      </c>
      <c r="D16" s="256"/>
      <c r="E16" s="246">
        <v>5984.1889763779527</v>
      </c>
      <c r="F16" s="258"/>
      <c r="G16" s="256"/>
      <c r="H16" s="246">
        <v>11534.015748031496</v>
      </c>
      <c r="I16" s="258"/>
      <c r="J16" s="256"/>
      <c r="K16" s="257">
        <v>5314.3110236220473</v>
      </c>
      <c r="L16" s="258"/>
      <c r="M16" s="830">
        <f>ABS(E16-E17)</f>
        <v>0.57086614173203998</v>
      </c>
      <c r="N16" s="830">
        <f>ABS(H16-H17)</f>
        <v>1.0196850393695058</v>
      </c>
      <c r="O16" s="830">
        <f>ABS(K16-K17)</f>
        <v>1</v>
      </c>
    </row>
    <row r="17" spans="2:22">
      <c r="B17" s="249" t="s">
        <v>740</v>
      </c>
      <c r="C17" s="130" t="s">
        <v>741</v>
      </c>
      <c r="D17" s="259"/>
      <c r="E17" s="251">
        <v>5983.6181102362207</v>
      </c>
      <c r="F17" s="261"/>
      <c r="G17" s="259"/>
      <c r="H17" s="251">
        <v>11535.035433070865</v>
      </c>
      <c r="I17" s="261"/>
      <c r="J17" s="259"/>
      <c r="K17" s="260">
        <v>5313.3110236220473</v>
      </c>
      <c r="L17" s="261"/>
      <c r="M17" s="831"/>
      <c r="N17" s="831"/>
      <c r="O17" s="831"/>
    </row>
    <row r="18" spans="2:22">
      <c r="N18" s="30"/>
      <c r="O18" s="30"/>
    </row>
    <row r="19" spans="2:22">
      <c r="N19" s="30"/>
      <c r="O19" s="30"/>
    </row>
    <row r="21" spans="2:22">
      <c r="D21" s="284" t="s">
        <v>6983</v>
      </c>
      <c r="E21" s="238"/>
      <c r="F21" s="239"/>
      <c r="G21" s="237" t="s">
        <v>6951</v>
      </c>
      <c r="H21" s="238"/>
      <c r="I21" s="239"/>
      <c r="J21" s="237" t="s">
        <v>6952</v>
      </c>
      <c r="K21" s="238"/>
      <c r="L21" s="239"/>
      <c r="M21" s="452"/>
    </row>
    <row r="22" spans="2:22">
      <c r="B22" s="182" t="s">
        <v>6963</v>
      </c>
      <c r="D22" s="264" t="s">
        <v>6958</v>
      </c>
      <c r="E22" s="264" t="s">
        <v>6959</v>
      </c>
      <c r="F22" s="265" t="s">
        <v>6960</v>
      </c>
      <c r="G22" s="264" t="s">
        <v>6958</v>
      </c>
      <c r="H22" s="264" t="s">
        <v>6959</v>
      </c>
      <c r="I22" s="265" t="s">
        <v>6960</v>
      </c>
      <c r="J22" s="264" t="s">
        <v>6958</v>
      </c>
      <c r="K22" s="264" t="s">
        <v>6959</v>
      </c>
      <c r="L22" s="265" t="s">
        <v>6960</v>
      </c>
      <c r="M22" s="453"/>
    </row>
    <row r="23" spans="2:22" ht="13.5" customHeight="1">
      <c r="B23" s="125" t="s">
        <v>6821</v>
      </c>
      <c r="C23" s="191" t="s">
        <v>6872</v>
      </c>
      <c r="D23" s="266" t="s">
        <v>6961</v>
      </c>
      <c r="E23" s="266" t="s">
        <v>6962</v>
      </c>
      <c r="F23" s="267"/>
      <c r="G23" s="266" t="s">
        <v>6961</v>
      </c>
      <c r="H23" s="266" t="s">
        <v>6962</v>
      </c>
      <c r="I23" s="267"/>
      <c r="J23" s="266" t="s">
        <v>6961</v>
      </c>
      <c r="K23" s="266" t="s">
        <v>6962</v>
      </c>
      <c r="L23" s="267"/>
      <c r="M23" s="453"/>
      <c r="Q23" s="243" t="str">
        <f>+B22</f>
        <v>CPU_JTAG</v>
      </c>
      <c r="R23" s="243" t="s">
        <v>6985</v>
      </c>
      <c r="S23" s="126" t="s">
        <v>6873</v>
      </c>
      <c r="T23" s="126" t="s">
        <v>6874</v>
      </c>
      <c r="U23" s="30"/>
    </row>
    <row r="24" spans="2:22">
      <c r="B24" s="54" t="s">
        <v>73</v>
      </c>
      <c r="C24" s="70" t="s">
        <v>74</v>
      </c>
      <c r="D24" s="268">
        <v>12176.960629921261</v>
      </c>
      <c r="E24" s="268">
        <v>9019.3700787401576</v>
      </c>
      <c r="F24" s="269">
        <f>+D24+E24</f>
        <v>21196.330708661419</v>
      </c>
      <c r="G24" s="268">
        <v>12200.429133858268</v>
      </c>
      <c r="H24" s="268">
        <v>9033.385826771655</v>
      </c>
      <c r="I24" s="269">
        <f>+G24+H24</f>
        <v>21233.814960629923</v>
      </c>
      <c r="J24" s="268">
        <v>12189.854330708662</v>
      </c>
      <c r="K24" s="268">
        <v>9022.4094488188985</v>
      </c>
      <c r="L24" s="269">
        <f>+J24+K24</f>
        <v>21212.263779527559</v>
      </c>
      <c r="Q24" s="248" t="s">
        <v>6954</v>
      </c>
      <c r="R24" s="232">
        <f>MAX(F24:F26)</f>
        <v>21216.645669291342</v>
      </c>
      <c r="S24" s="232">
        <f>MAX(I24:I26)</f>
        <v>21233.814960629923</v>
      </c>
      <c r="T24" s="232">
        <f>MAX(L24:L26)</f>
        <v>21213.787401574802</v>
      </c>
      <c r="U24" s="30"/>
    </row>
    <row r="25" spans="2:22">
      <c r="B25" s="54" t="s">
        <v>75</v>
      </c>
      <c r="C25" s="70" t="s">
        <v>76</v>
      </c>
      <c r="D25" s="268">
        <v>12175.169291338583</v>
      </c>
      <c r="E25" s="268">
        <v>9038.9448818897636</v>
      </c>
      <c r="F25" s="269">
        <f>+D25+E25</f>
        <v>21214.114173228347</v>
      </c>
      <c r="G25" s="268">
        <v>12175.169291338583</v>
      </c>
      <c r="H25" s="268">
        <v>9051.9960629921261</v>
      </c>
      <c r="I25" s="269">
        <f>+G25+H25</f>
        <v>21227.165354330711</v>
      </c>
      <c r="J25" s="268">
        <v>12171.04724409449</v>
      </c>
      <c r="K25" s="268">
        <v>9028.0511811023625</v>
      </c>
      <c r="L25" s="269">
        <f>+J25+K25</f>
        <v>21199.098425196855</v>
      </c>
      <c r="Q25" s="248" t="s">
        <v>6955</v>
      </c>
      <c r="R25" s="232">
        <f>MIN(F24:F26)</f>
        <v>21196.330708661419</v>
      </c>
      <c r="S25" s="232">
        <f>MIN(I24:I26)</f>
        <v>21212.637795275594</v>
      </c>
      <c r="T25" s="232">
        <f>MIN(L24:L26)</f>
        <v>21199.098425196855</v>
      </c>
      <c r="U25" s="30"/>
    </row>
    <row r="26" spans="2:22">
      <c r="B26" s="54" t="s">
        <v>77</v>
      </c>
      <c r="C26" s="70" t="s">
        <v>78</v>
      </c>
      <c r="D26" s="268">
        <v>12181.917322834646</v>
      </c>
      <c r="E26" s="268">
        <v>9034.7283464566935</v>
      </c>
      <c r="F26" s="269">
        <f>+D26+E26</f>
        <v>21216.645669291342</v>
      </c>
      <c r="G26" s="268">
        <v>12181.917322834646</v>
      </c>
      <c r="H26" s="268">
        <v>9030.7204724409457</v>
      </c>
      <c r="I26" s="269">
        <f>+G26+H26</f>
        <v>21212.637795275594</v>
      </c>
      <c r="J26" s="268">
        <v>12187.586614173229</v>
      </c>
      <c r="K26" s="268">
        <v>9026.2007874015744</v>
      </c>
      <c r="L26" s="269">
        <f>+J26+K26</f>
        <v>21213.787401574802</v>
      </c>
      <c r="Q26" s="248" t="s">
        <v>6956</v>
      </c>
      <c r="R26" s="232">
        <f>+R24-R25</f>
        <v>20.314960629923007</v>
      </c>
      <c r="S26" s="232">
        <f>+S24-S25</f>
        <v>21.17716535432919</v>
      </c>
      <c r="T26" s="232">
        <f>+T24-T25</f>
        <v>14.688976377947256</v>
      </c>
      <c r="U26" s="66" t="s">
        <v>6868</v>
      </c>
      <c r="V26" s="35">
        <v>100</v>
      </c>
    </row>
    <row r="27" spans="2:22">
      <c r="B27" s="54" t="s">
        <v>79</v>
      </c>
      <c r="C27" s="70" t="s">
        <v>80</v>
      </c>
      <c r="D27" s="268">
        <v>12186.822834645669</v>
      </c>
      <c r="E27" s="268">
        <v>9036</v>
      </c>
      <c r="F27" s="269">
        <f>+D27+E27</f>
        <v>21222.822834645667</v>
      </c>
      <c r="G27" s="268">
        <v>12186.822834645669</v>
      </c>
      <c r="H27" s="268">
        <v>9033.6220472440946</v>
      </c>
      <c r="I27" s="269">
        <f>+G27+H27</f>
        <v>21220.444881889765</v>
      </c>
      <c r="J27" s="268">
        <v>12173.318897637795</v>
      </c>
      <c r="K27" s="268">
        <v>9048.3818897637793</v>
      </c>
      <c r="L27" s="269">
        <f>+J27+K27</f>
        <v>21221.700787401576</v>
      </c>
      <c r="S27" s="66"/>
      <c r="T27" s="35"/>
      <c r="U27" s="30" t="str">
        <f>IF(MAX(R26:T26)&gt;V26,"Wrong","OK")</f>
        <v>OK</v>
      </c>
    </row>
    <row r="28" spans="2:22">
      <c r="B28" s="54" t="s">
        <v>81</v>
      </c>
      <c r="C28" s="70" t="s">
        <v>6957</v>
      </c>
      <c r="D28" s="268">
        <v>12192.822834645669</v>
      </c>
      <c r="E28" s="268">
        <v>9037.960629921261</v>
      </c>
      <c r="F28" s="269">
        <f>+D28+E28</f>
        <v>21230.783464566928</v>
      </c>
      <c r="G28" s="268">
        <v>12192.822834645669</v>
      </c>
      <c r="H28" s="268">
        <v>9031.8818897637793</v>
      </c>
      <c r="I28" s="269">
        <f>+G28+H28</f>
        <v>21224.70472440945</v>
      </c>
      <c r="J28" s="268">
        <v>12383.311023622047</v>
      </c>
      <c r="K28" s="268">
        <v>8850.3346456692907</v>
      </c>
      <c r="L28" s="269">
        <f>+J28+K28</f>
        <v>21233.645669291338</v>
      </c>
    </row>
    <row r="29" spans="2:22">
      <c r="B29" s="56"/>
      <c r="C29" s="262"/>
    </row>
    <row r="30" spans="2:22">
      <c r="C30" s="263"/>
    </row>
    <row r="31" spans="2:22">
      <c r="C31" s="263"/>
    </row>
    <row r="32" spans="2:22">
      <c r="D32" s="284" t="s">
        <v>6983</v>
      </c>
      <c r="E32" s="238"/>
      <c r="F32" s="239"/>
      <c r="G32" s="237" t="s">
        <v>6951</v>
      </c>
      <c r="H32" s="238"/>
      <c r="I32" s="239"/>
      <c r="J32" s="237" t="s">
        <v>6952</v>
      </c>
      <c r="K32" s="238"/>
      <c r="L32" s="239"/>
      <c r="M32" s="452"/>
      <c r="N32" s="30"/>
      <c r="O32" s="30"/>
    </row>
    <row r="33" spans="2:22" ht="14.25" customHeight="1">
      <c r="B33" s="206" t="s">
        <v>6964</v>
      </c>
      <c r="D33" s="264" t="s">
        <v>6958</v>
      </c>
      <c r="E33" s="264" t="s">
        <v>6959</v>
      </c>
      <c r="F33" s="265" t="s">
        <v>6960</v>
      </c>
      <c r="G33" s="264" t="s">
        <v>6958</v>
      </c>
      <c r="H33" s="264" t="s">
        <v>6959</v>
      </c>
      <c r="I33" s="265" t="s">
        <v>6960</v>
      </c>
      <c r="J33" s="264" t="s">
        <v>6958</v>
      </c>
      <c r="K33" s="264" t="s">
        <v>6959</v>
      </c>
      <c r="L33" s="265" t="s">
        <v>6960</v>
      </c>
      <c r="M33" s="453"/>
    </row>
    <row r="34" spans="2:22" ht="13.5" customHeight="1">
      <c r="B34" s="125" t="s">
        <v>6821</v>
      </c>
      <c r="C34" s="125" t="s">
        <v>6872</v>
      </c>
      <c r="D34" s="266" t="s">
        <v>6961</v>
      </c>
      <c r="E34" s="266" t="s">
        <v>6962</v>
      </c>
      <c r="F34" s="267"/>
      <c r="G34" s="266" t="s">
        <v>6961</v>
      </c>
      <c r="H34" s="266" t="s">
        <v>6962</v>
      </c>
      <c r="I34" s="267"/>
      <c r="J34" s="266" t="s">
        <v>6961</v>
      </c>
      <c r="K34" s="266" t="s">
        <v>6962</v>
      </c>
      <c r="L34" s="267"/>
      <c r="M34" s="453"/>
      <c r="Q34" s="243" t="str">
        <f>+B33</f>
        <v>DDR_COMP</v>
      </c>
      <c r="R34" s="243" t="s">
        <v>6985</v>
      </c>
      <c r="S34" s="126" t="s">
        <v>6873</v>
      </c>
      <c r="T34" s="126" t="s">
        <v>6874</v>
      </c>
      <c r="U34" s="30"/>
    </row>
    <row r="35" spans="2:22">
      <c r="B35" s="54" t="s">
        <v>6982</v>
      </c>
      <c r="C35" s="49" t="s">
        <v>225</v>
      </c>
      <c r="D35" s="268">
        <v>1682.1023622047244</v>
      </c>
      <c r="E35" s="268">
        <v>7368.8779527559054</v>
      </c>
      <c r="F35" s="269">
        <f>+D35+E35</f>
        <v>9050.9803149606305</v>
      </c>
      <c r="G35" s="268">
        <v>1056.2716535433071</v>
      </c>
      <c r="H35" s="268">
        <v>8003.0629921259851</v>
      </c>
      <c r="I35" s="269">
        <f>+G35+H35</f>
        <v>9059.3346456692925</v>
      </c>
      <c r="J35" s="268">
        <v>1094.0551181102364</v>
      </c>
      <c r="K35" s="268">
        <v>7950.9566929133862</v>
      </c>
      <c r="L35" s="269">
        <f>+J35+K35</f>
        <v>9045.0118110236217</v>
      </c>
      <c r="Q35" s="248" t="s">
        <v>6954</v>
      </c>
      <c r="R35" s="232">
        <f>MAX(F35:F37)</f>
        <v>9063.5314960629912</v>
      </c>
      <c r="S35" s="232">
        <f>MAX(I35:I37)</f>
        <v>9074.5866141732276</v>
      </c>
      <c r="T35" s="232">
        <f>MAX(L35:L37)</f>
        <v>9070.8976377952768</v>
      </c>
      <c r="U35" s="30"/>
    </row>
    <row r="36" spans="2:22">
      <c r="B36" s="54" t="s">
        <v>226</v>
      </c>
      <c r="C36" s="49" t="s">
        <v>227</v>
      </c>
      <c r="D36" s="268">
        <v>1056.1771653543308</v>
      </c>
      <c r="E36" s="268">
        <v>7992.6023622047251</v>
      </c>
      <c r="F36" s="269">
        <f>+D36+E36</f>
        <v>9048.7795275590561</v>
      </c>
      <c r="G36" s="268">
        <v>1056.1771653543308</v>
      </c>
      <c r="H36" s="268">
        <v>8018.4094488188975</v>
      </c>
      <c r="I36" s="269">
        <f>+G36+H36</f>
        <v>9074.5866141732276</v>
      </c>
      <c r="J36" s="268">
        <v>1054.4212598425197</v>
      </c>
      <c r="K36" s="268">
        <v>8001.9488188976384</v>
      </c>
      <c r="L36" s="269">
        <f>+J36+K36</f>
        <v>9056.3700787401576</v>
      </c>
      <c r="Q36" s="248" t="s">
        <v>6955</v>
      </c>
      <c r="R36" s="232">
        <f>MIN(F35:F37)</f>
        <v>9048.7795275590561</v>
      </c>
      <c r="S36" s="232">
        <f>MIN(I35:I37)</f>
        <v>9059.3346456692925</v>
      </c>
      <c r="T36" s="232">
        <f>MIN(L35:L37)</f>
        <v>9045.0118110236217</v>
      </c>
      <c r="U36" s="30"/>
    </row>
    <row r="37" spans="2:22">
      <c r="B37" s="54" t="s">
        <v>228</v>
      </c>
      <c r="C37" s="49" t="s">
        <v>229</v>
      </c>
      <c r="D37" s="268">
        <v>1012.2952755905512</v>
      </c>
      <c r="E37" s="268">
        <v>8051.2362204724404</v>
      </c>
      <c r="F37" s="269">
        <f>+D37+E37</f>
        <v>9063.5314960629912</v>
      </c>
      <c r="G37" s="268">
        <v>1012.2952755905512</v>
      </c>
      <c r="H37" s="268">
        <v>8054.6220472440946</v>
      </c>
      <c r="I37" s="269">
        <f>+G37+H37</f>
        <v>9066.9173228346463</v>
      </c>
      <c r="J37" s="268">
        <v>1012.2952755905512</v>
      </c>
      <c r="K37" s="268">
        <v>8058.6023622047251</v>
      </c>
      <c r="L37" s="269">
        <f>+J37+K37</f>
        <v>9070.8976377952768</v>
      </c>
      <c r="Q37" s="248" t="s">
        <v>6956</v>
      </c>
      <c r="R37" s="232">
        <f>+R35-R36</f>
        <v>14.751968503935132</v>
      </c>
      <c r="S37" s="232">
        <f>+S35-S36</f>
        <v>15.251968503935132</v>
      </c>
      <c r="T37" s="232">
        <f>+T35-T36</f>
        <v>25.885826771655047</v>
      </c>
      <c r="U37" s="66" t="s">
        <v>6868</v>
      </c>
      <c r="V37" s="35">
        <v>100</v>
      </c>
    </row>
    <row r="38" spans="2:22">
      <c r="S38" s="66"/>
      <c r="T38" s="35"/>
      <c r="U38" s="30" t="str">
        <f>IF(MAX(R37:T37)&gt;V37,"Wrong","OK")</f>
        <v>OK</v>
      </c>
    </row>
    <row r="41" spans="2:22" ht="14.25" customHeight="1">
      <c r="B41" s="182" t="s">
        <v>6965</v>
      </c>
      <c r="D41" s="284" t="s">
        <v>6983</v>
      </c>
      <c r="E41" s="238"/>
      <c r="F41" s="239"/>
      <c r="G41" s="237" t="s">
        <v>6951</v>
      </c>
      <c r="H41" s="238"/>
      <c r="I41" s="239"/>
      <c r="J41" s="237" t="s">
        <v>6952</v>
      </c>
      <c r="K41" s="238"/>
      <c r="L41" s="239"/>
      <c r="M41" s="452"/>
    </row>
    <row r="42" spans="2:22" ht="14.25" customHeight="1">
      <c r="B42" s="125" t="s">
        <v>6821</v>
      </c>
      <c r="C42" s="125" t="s">
        <v>6872</v>
      </c>
      <c r="D42" s="237" t="s">
        <v>6953</v>
      </c>
      <c r="E42" s="240"/>
      <c r="F42" s="241"/>
      <c r="G42" s="237" t="s">
        <v>6953</v>
      </c>
      <c r="H42" s="240"/>
      <c r="I42" s="241"/>
      <c r="J42" s="237" t="s">
        <v>6953</v>
      </c>
      <c r="K42" s="240"/>
      <c r="L42" s="241"/>
      <c r="M42" s="454"/>
      <c r="Q42" s="243" t="str">
        <f>+B41</f>
        <v>MBP</v>
      </c>
      <c r="R42" s="243" t="s">
        <v>6985</v>
      </c>
      <c r="S42" s="126" t="s">
        <v>6873</v>
      </c>
      <c r="T42" s="126" t="s">
        <v>6874</v>
      </c>
      <c r="U42" s="30"/>
    </row>
    <row r="43" spans="2:22">
      <c r="B43" s="54" t="s">
        <v>1139</v>
      </c>
      <c r="C43" s="49" t="s">
        <v>1140</v>
      </c>
      <c r="D43" s="285"/>
      <c r="E43" s="254">
        <v>11040.539370078741</v>
      </c>
      <c r="F43" s="286"/>
      <c r="G43" s="285"/>
      <c r="H43" s="254">
        <v>10994.759842519687</v>
      </c>
      <c r="I43" s="286"/>
      <c r="J43" s="285"/>
      <c r="K43" s="287">
        <v>11056.066929133858</v>
      </c>
      <c r="L43" s="286"/>
      <c r="M43" s="452"/>
      <c r="Q43" s="248" t="s">
        <v>6954</v>
      </c>
      <c r="R43" s="232">
        <f>MAX(E43:E46)</f>
        <v>11041.122047244095</v>
      </c>
      <c r="S43" s="232">
        <f>MAX(H43:H46)</f>
        <v>11034.527559055117</v>
      </c>
      <c r="T43" s="232">
        <f>MAX(K43:K46)</f>
        <v>11056.066929133858</v>
      </c>
      <c r="U43" s="30"/>
    </row>
    <row r="44" spans="2:22" ht="14.25" customHeight="1">
      <c r="B44" s="54" t="s">
        <v>1141</v>
      </c>
      <c r="C44" s="49" t="s">
        <v>1142</v>
      </c>
      <c r="D44" s="285"/>
      <c r="E44" s="254">
        <v>10999.933070866142</v>
      </c>
      <c r="F44" s="286"/>
      <c r="G44" s="285"/>
      <c r="H44" s="254">
        <v>11034.527559055117</v>
      </c>
      <c r="I44" s="286"/>
      <c r="J44" s="285"/>
      <c r="K44" s="287">
        <v>11021.846456692914</v>
      </c>
      <c r="L44" s="286"/>
      <c r="M44" s="452"/>
      <c r="Q44" s="248" t="s">
        <v>6955</v>
      </c>
      <c r="R44" s="232">
        <f>MIN(E43:E46)</f>
        <v>10999.933070866142</v>
      </c>
      <c r="S44" s="232">
        <f>MIN(H43:H46)</f>
        <v>10994.759842519687</v>
      </c>
      <c r="T44" s="232">
        <f>MIN(K43:K46)</f>
        <v>10996.358267716536</v>
      </c>
      <c r="U44" s="30"/>
    </row>
    <row r="45" spans="2:22">
      <c r="B45" s="54" t="s">
        <v>1143</v>
      </c>
      <c r="C45" s="49" t="s">
        <v>1144</v>
      </c>
      <c r="D45" s="285"/>
      <c r="E45" s="254">
        <v>11018.751968503939</v>
      </c>
      <c r="F45" s="286"/>
      <c r="G45" s="285"/>
      <c r="H45" s="254">
        <v>11020.50787401575</v>
      </c>
      <c r="I45" s="286"/>
      <c r="J45" s="285"/>
      <c r="K45" s="287">
        <v>11015.874015748032</v>
      </c>
      <c r="L45" s="286"/>
      <c r="M45" s="452"/>
      <c r="Q45" s="248" t="s">
        <v>6956</v>
      </c>
      <c r="R45" s="232">
        <f>+R43-R44</f>
        <v>41.188976377952713</v>
      </c>
      <c r="S45" s="232">
        <f>+S43-S44</f>
        <v>39.767716535430736</v>
      </c>
      <c r="T45" s="232">
        <f>+T43-T44</f>
        <v>59.708661417322219</v>
      </c>
      <c r="U45" s="66" t="s">
        <v>6868</v>
      </c>
      <c r="V45" s="35">
        <v>100</v>
      </c>
    </row>
    <row r="46" spans="2:22">
      <c r="B46" s="54" t="s">
        <v>1145</v>
      </c>
      <c r="C46" s="49" t="s">
        <v>1146</v>
      </c>
      <c r="D46" s="285"/>
      <c r="E46" s="254">
        <v>11041.122047244095</v>
      </c>
      <c r="F46" s="286"/>
      <c r="G46" s="285"/>
      <c r="H46" s="254">
        <v>11012.716535433072</v>
      </c>
      <c r="I46" s="286"/>
      <c r="J46" s="285"/>
      <c r="K46" s="287">
        <v>10996.358267716536</v>
      </c>
      <c r="L46" s="286"/>
      <c r="M46" s="452"/>
      <c r="S46" s="66"/>
      <c r="T46" s="35"/>
      <c r="U46" s="30" t="str">
        <f>IF(MAX(R45:T45)&gt;V45,"Wrong","OK")</f>
        <v>OK</v>
      </c>
    </row>
  </sheetData>
  <mergeCells count="15">
    <mergeCell ref="M12:M13"/>
    <mergeCell ref="M14:M15"/>
    <mergeCell ref="M16:M17"/>
    <mergeCell ref="N12:N13"/>
    <mergeCell ref="O12:O13"/>
    <mergeCell ref="N14:N15"/>
    <mergeCell ref="O14:O15"/>
    <mergeCell ref="N16:N17"/>
    <mergeCell ref="O16:O17"/>
    <mergeCell ref="N7:N8"/>
    <mergeCell ref="O7:O8"/>
    <mergeCell ref="N10:N11"/>
    <mergeCell ref="O10:O11"/>
    <mergeCell ref="M7:M8"/>
    <mergeCell ref="M10:M11"/>
  </mergeCells>
  <phoneticPr fontId="12"/>
  <conditionalFormatting sqref="M7:O8">
    <cfRule type="expression" dxfId="52" priority="8">
      <formula>M7&gt;$O$2</formula>
    </cfRule>
  </conditionalFormatting>
  <conditionalFormatting sqref="M10:O17">
    <cfRule type="expression" dxfId="51" priority="4">
      <formula>M10&gt;$O$2</formula>
    </cfRule>
  </conditionalFormatting>
  <conditionalFormatting sqref="O2">
    <cfRule type="cellIs" dxfId="50" priority="29" stopIfTrue="1" operator="equal">
      <formula>"WRONG"</formula>
    </cfRule>
  </conditionalFormatting>
  <conditionalFormatting sqref="P2">
    <cfRule type="cellIs" dxfId="49" priority="21" stopIfTrue="1" operator="equal">
      <formula>"Wrong"</formula>
    </cfRule>
  </conditionalFormatting>
  <conditionalFormatting sqref="R9:T9">
    <cfRule type="expression" dxfId="48" priority="15">
      <formula>R9&gt;100</formula>
    </cfRule>
  </conditionalFormatting>
  <conditionalFormatting sqref="R26:T26">
    <cfRule type="expression" dxfId="47" priority="11">
      <formula>R26&gt;100</formula>
    </cfRule>
  </conditionalFormatting>
  <conditionalFormatting sqref="R37:T37">
    <cfRule type="expression" dxfId="46" priority="12">
      <formula>R37&gt;100</formula>
    </cfRule>
  </conditionalFormatting>
  <conditionalFormatting sqref="R45:T45">
    <cfRule type="expression" dxfId="45" priority="10">
      <formula>R45&gt;100</formula>
    </cfRule>
  </conditionalFormatting>
  <conditionalFormatting sqref="T27">
    <cfRule type="cellIs" dxfId="44" priority="27" stopIfTrue="1" operator="equal">
      <formula>"WRONG"</formula>
    </cfRule>
  </conditionalFormatting>
  <conditionalFormatting sqref="T38">
    <cfRule type="cellIs" dxfId="43" priority="28" stopIfTrue="1" operator="equal">
      <formula>"WRONG"</formula>
    </cfRule>
  </conditionalFormatting>
  <conditionalFormatting sqref="T46">
    <cfRule type="cellIs" dxfId="42" priority="25" stopIfTrue="1" operator="equal">
      <formula>"WRONG"</formula>
    </cfRule>
  </conditionalFormatting>
  <conditionalFormatting sqref="U10">
    <cfRule type="cellIs" dxfId="41" priority="20" stopIfTrue="1" operator="equal">
      <formula>"Wrong"</formula>
    </cfRule>
  </conditionalFormatting>
  <conditionalFormatting sqref="U27">
    <cfRule type="cellIs" dxfId="40" priority="3" stopIfTrue="1" operator="equal">
      <formula>"Wrong"</formula>
    </cfRule>
  </conditionalFormatting>
  <conditionalFormatting sqref="U38">
    <cfRule type="cellIs" dxfId="39" priority="2" stopIfTrue="1" operator="equal">
      <formula>"Wrong"</formula>
    </cfRule>
  </conditionalFormatting>
  <conditionalFormatting sqref="U46">
    <cfRule type="cellIs" dxfId="38" priority="1" stopIfTrue="1" operator="equal">
      <formula>"Wrong"</formula>
    </cfRule>
  </conditionalFormatting>
  <conditionalFormatting sqref="V9">
    <cfRule type="cellIs" dxfId="37" priority="26" stopIfTrue="1" operator="equal">
      <formula>"WRONG"</formula>
    </cfRule>
  </conditionalFormatting>
  <conditionalFormatting sqref="V26">
    <cfRule type="cellIs" dxfId="36" priority="23" stopIfTrue="1" operator="equal">
      <formula>"WRONG"</formula>
    </cfRule>
  </conditionalFormatting>
  <conditionalFormatting sqref="V37">
    <cfRule type="cellIs" dxfId="35" priority="24" stopIfTrue="1" operator="equal">
      <formula>"WRONG"</formula>
    </cfRule>
  </conditionalFormatting>
  <conditionalFormatting sqref="V45">
    <cfRule type="cellIs" dxfId="34" priority="22" stopIfTrue="1" operator="equal">
      <formula>"WRONG"</formula>
    </cfRule>
  </conditionalFormatting>
  <pageMargins left="0.25" right="0.25" top="0.75" bottom="0.75" header="0.3" footer="0.3"/>
  <pageSetup paperSize="9" scale="5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CEC4-A99E-4E89-A1FE-94D4A698E7CC}">
  <sheetPr codeName="Sheet13">
    <pageSetUpPr fitToPage="1"/>
  </sheetPr>
  <dimension ref="A1:Z93"/>
  <sheetViews>
    <sheetView zoomScale="70" zoomScaleNormal="70" workbookViewId="0"/>
  </sheetViews>
  <sheetFormatPr defaultColWidth="9" defaultRowHeight="14.25"/>
  <cols>
    <col min="1" max="1" width="9" style="206" customWidth="1"/>
    <col min="2" max="2" width="9" style="270" customWidth="1"/>
    <col min="3" max="3" width="17.85546875" style="206" customWidth="1"/>
    <col min="4" max="12" width="10.85546875" style="393" customWidth="1"/>
    <col min="13" max="15" width="12.5703125" style="393" customWidth="1"/>
    <col min="16" max="18" width="10.42578125" style="206" customWidth="1"/>
    <col min="19" max="19" width="4.28515625" style="206" customWidth="1"/>
    <col min="20" max="20" width="6.28515625" style="206" bestFit="1" customWidth="1"/>
    <col min="21" max="23" width="14.28515625" style="206" customWidth="1"/>
    <col min="24" max="24" width="9" style="206"/>
    <col min="25" max="25" width="8" style="206" bestFit="1" customWidth="1"/>
    <col min="26" max="26" width="8" style="206" customWidth="1"/>
    <col min="27" max="16384" width="9" style="206"/>
  </cols>
  <sheetData>
    <row r="1" spans="1:25" ht="23.25">
      <c r="C1" s="390" t="s">
        <v>7496</v>
      </c>
      <c r="D1" s="392"/>
      <c r="G1" s="392"/>
      <c r="J1" s="392"/>
      <c r="V1" s="136"/>
      <c r="W1" s="136">
        <v>41712</v>
      </c>
    </row>
    <row r="2" spans="1:25" ht="20.25">
      <c r="C2" s="271" t="s">
        <v>6966</v>
      </c>
      <c r="D2" s="394"/>
      <c r="G2" s="394"/>
      <c r="J2" s="394"/>
    </row>
    <row r="3" spans="1:25" ht="15" thickBot="1">
      <c r="P3" s="66" t="s">
        <v>6772</v>
      </c>
      <c r="Q3" s="35">
        <v>1000</v>
      </c>
      <c r="R3" s="30" t="str">
        <f>IF(MAX(P13:R48)&gt;Q3,"Wrong","OK")</f>
        <v>OK</v>
      </c>
    </row>
    <row r="4" spans="1:25" s="30" customFormat="1" ht="15.75" thickBot="1">
      <c r="B4" s="56"/>
      <c r="C4" s="168"/>
      <c r="D4" s="395" t="s">
        <v>6825</v>
      </c>
      <c r="E4" s="396"/>
      <c r="F4" s="396"/>
      <c r="G4" s="598"/>
      <c r="H4" s="396"/>
      <c r="I4" s="396"/>
      <c r="J4" s="598"/>
      <c r="K4" s="396"/>
      <c r="L4" s="396"/>
      <c r="M4" s="396"/>
      <c r="N4" s="396"/>
      <c r="O4" s="396"/>
      <c r="P4" s="78"/>
      <c r="Q4" s="78"/>
      <c r="R4" s="79"/>
    </row>
    <row r="5" spans="1:25" s="30" customFormat="1" ht="15" customHeight="1" thickBot="1">
      <c r="B5" s="272"/>
      <c r="C5" s="837" t="s">
        <v>6872</v>
      </c>
      <c r="D5" s="599" t="s">
        <v>7500</v>
      </c>
      <c r="E5" s="600"/>
      <c r="F5" s="601"/>
      <c r="G5" s="600" t="s">
        <v>7498</v>
      </c>
      <c r="H5" s="600"/>
      <c r="I5" s="600"/>
      <c r="J5" s="599" t="s">
        <v>7497</v>
      </c>
      <c r="K5" s="600"/>
      <c r="L5" s="601"/>
      <c r="M5" s="599" t="s">
        <v>7499</v>
      </c>
      <c r="N5" s="600"/>
      <c r="O5" s="601"/>
      <c r="P5" s="599" t="s">
        <v>7532</v>
      </c>
      <c r="Q5" s="600"/>
      <c r="R5" s="601"/>
    </row>
    <row r="6" spans="1:25" s="30" customFormat="1" ht="15" thickBot="1">
      <c r="B6" s="574" t="s">
        <v>6821</v>
      </c>
      <c r="C6" s="838"/>
      <c r="D6" s="400" t="s">
        <v>6822</v>
      </c>
      <c r="E6" s="401" t="s">
        <v>6782</v>
      </c>
      <c r="F6" s="402" t="s">
        <v>6874</v>
      </c>
      <c r="G6" s="575" t="s">
        <v>6822</v>
      </c>
      <c r="H6" s="401" t="s">
        <v>6782</v>
      </c>
      <c r="I6" s="539" t="s">
        <v>6874</v>
      </c>
      <c r="J6" s="400" t="s">
        <v>6822</v>
      </c>
      <c r="K6" s="401" t="s">
        <v>6782</v>
      </c>
      <c r="L6" s="402" t="s">
        <v>6874</v>
      </c>
      <c r="M6" s="400" t="s">
        <v>6822</v>
      </c>
      <c r="N6" s="401" t="s">
        <v>6782</v>
      </c>
      <c r="O6" s="402" t="s">
        <v>6874</v>
      </c>
      <c r="P6" s="397" t="s">
        <v>6822</v>
      </c>
      <c r="Q6" s="398" t="s">
        <v>6782</v>
      </c>
      <c r="R6" s="399" t="s">
        <v>6874</v>
      </c>
      <c r="T6" s="37" t="s">
        <v>6967</v>
      </c>
      <c r="U6" s="274" t="s">
        <v>6822</v>
      </c>
      <c r="V6" s="274" t="s">
        <v>6873</v>
      </c>
      <c r="W6" s="273" t="s">
        <v>6874</v>
      </c>
    </row>
    <row r="7" spans="1:25" s="30" customFormat="1">
      <c r="B7" s="578" t="s">
        <v>1162</v>
      </c>
      <c r="C7" s="579" t="s">
        <v>1163</v>
      </c>
      <c r="D7" s="543">
        <v>20825.77165354331</v>
      </c>
      <c r="E7" s="543">
        <v>12951.515748031497</v>
      </c>
      <c r="F7" s="543">
        <v>14329.807086614173</v>
      </c>
      <c r="G7" s="552"/>
      <c r="H7" s="543"/>
      <c r="I7" s="543"/>
      <c r="J7" s="552"/>
      <c r="K7" s="543"/>
      <c r="L7" s="543"/>
      <c r="M7" s="543">
        <f t="shared" ref="M7:O8" si="0">+D7+G7+J7</f>
        <v>20825.77165354331</v>
      </c>
      <c r="N7" s="543">
        <f t="shared" si="0"/>
        <v>12951.515748031497</v>
      </c>
      <c r="O7" s="544">
        <f t="shared" si="0"/>
        <v>14329.807086614173</v>
      </c>
      <c r="P7" s="175"/>
      <c r="R7" s="594"/>
      <c r="T7" s="568" t="s">
        <v>6954</v>
      </c>
      <c r="U7" s="569">
        <f>MAX(M7:M10,M13,M15,M17,M19,M21,M23,M25,M27,M29,M31,M33,M35,M37,M39,M41,M43)</f>
        <v>20827.503937007874</v>
      </c>
      <c r="V7" s="569">
        <f>MAX(N7:N10,N13,N15,N17,N19,N21,N23,N25,N27,N29,N31,N33,N35,N37,N39,N41,N43)</f>
        <v>12951.996062992128</v>
      </c>
      <c r="W7" s="570">
        <f>MAX(O7:O10,O13,O15,O17,O19,O21,O23,O25,O27,O29,O31,O33,O35,O37,O39,O41,O43)</f>
        <v>14330.14566929134</v>
      </c>
    </row>
    <row r="8" spans="1:25" s="30" customFormat="1">
      <c r="B8" s="545" t="s">
        <v>1164</v>
      </c>
      <c r="C8" s="576" t="s">
        <v>1165</v>
      </c>
      <c r="D8" s="546">
        <v>20825.700787401576</v>
      </c>
      <c r="E8" s="546">
        <v>12951.712598425198</v>
      </c>
      <c r="F8" s="546">
        <v>14329.803149606299</v>
      </c>
      <c r="G8" s="549"/>
      <c r="H8" s="546"/>
      <c r="I8" s="546"/>
      <c r="J8" s="549"/>
      <c r="K8" s="546"/>
      <c r="L8" s="546"/>
      <c r="M8" s="546">
        <f t="shared" si="0"/>
        <v>20825.700787401576</v>
      </c>
      <c r="N8" s="546">
        <f t="shared" si="0"/>
        <v>12951.712598425198</v>
      </c>
      <c r="O8" s="547">
        <f t="shared" si="0"/>
        <v>14329.803149606299</v>
      </c>
      <c r="P8" s="175"/>
      <c r="R8" s="594"/>
      <c r="T8" s="568" t="s">
        <v>6955</v>
      </c>
      <c r="U8" s="569">
        <f>MIN(M7:M10,M13,M15,M17,M19,M21,M23,M25,M27,M29,M31,M33,M35,M37,M39,M41,M43)</f>
        <v>20823.456692913387</v>
      </c>
      <c r="V8" s="569">
        <f>MIN(N7:N10,N13,N15,N17,N19,N21,N23,N25,N27,N29,N31,N33,N35,N37,N39,N41,N43)</f>
        <v>12950.29133858268</v>
      </c>
      <c r="W8" s="570">
        <f>MIN(O7:O10,O13,O15,O17,O19,O21,O23,O25,O27,O29,O31,O33,O35,O37,O39,O41,O43)</f>
        <v>14327.712598425198</v>
      </c>
    </row>
    <row r="9" spans="1:25" s="30" customFormat="1" ht="15" thickBot="1">
      <c r="B9" s="548" t="s">
        <v>1196</v>
      </c>
      <c r="C9" s="576" t="s">
        <v>6969</v>
      </c>
      <c r="D9" s="549">
        <v>20825.850393700788</v>
      </c>
      <c r="E9" s="549">
        <v>12951.996062992128</v>
      </c>
      <c r="F9" s="549">
        <v>14329.78346456693</v>
      </c>
      <c r="G9" s="549"/>
      <c r="H9" s="549"/>
      <c r="I9" s="549"/>
      <c r="J9" s="549"/>
      <c r="K9" s="549"/>
      <c r="L9" s="549"/>
      <c r="M9" s="549">
        <f t="shared" ref="M9:M48" si="1">+D9+G9+J9</f>
        <v>20825.850393700788</v>
      </c>
      <c r="N9" s="549">
        <f t="shared" ref="N9:N48" si="2">+E9+H9+K9</f>
        <v>12951.996062992128</v>
      </c>
      <c r="O9" s="550">
        <f t="shared" ref="O9:O48" si="3">+F9+I9+L9</f>
        <v>14329.78346456693</v>
      </c>
      <c r="P9" s="175"/>
      <c r="R9" s="594"/>
      <c r="T9" s="571" t="s">
        <v>6956</v>
      </c>
      <c r="U9" s="572">
        <f>+U7-U8</f>
        <v>4.047244094486814</v>
      </c>
      <c r="V9" s="572">
        <f>+V7-V8</f>
        <v>1.7047244094483176</v>
      </c>
      <c r="W9" s="573">
        <f>+W7-W8</f>
        <v>2.4330708661418612</v>
      </c>
      <c r="X9" s="66" t="s">
        <v>6868</v>
      </c>
      <c r="Y9" s="35">
        <v>100</v>
      </c>
    </row>
    <row r="10" spans="1:25" s="30" customFormat="1">
      <c r="B10" s="548" t="s">
        <v>1201</v>
      </c>
      <c r="C10" s="576" t="s">
        <v>6970</v>
      </c>
      <c r="D10" s="549">
        <v>20825.988188976378</v>
      </c>
      <c r="E10" s="549">
        <v>12951.228346456694</v>
      </c>
      <c r="F10" s="549">
        <v>14330.14566929134</v>
      </c>
      <c r="G10" s="549"/>
      <c r="H10" s="549"/>
      <c r="I10" s="549"/>
      <c r="J10" s="549"/>
      <c r="K10" s="549"/>
      <c r="L10" s="549"/>
      <c r="M10" s="549">
        <f t="shared" si="1"/>
        <v>20825.988188976378</v>
      </c>
      <c r="N10" s="549">
        <f t="shared" si="2"/>
        <v>12951.228346456694</v>
      </c>
      <c r="O10" s="550">
        <f t="shared" si="3"/>
        <v>14330.14566929134</v>
      </c>
      <c r="P10" s="175"/>
      <c r="R10" s="594"/>
      <c r="X10" s="30" t="str">
        <f>IF(MAX(V9:W9)&gt;Y9,"Wrong","OK")</f>
        <v>OK</v>
      </c>
    </row>
    <row r="11" spans="1:25" s="30" customFormat="1" ht="15" thickBot="1">
      <c r="B11" s="557" t="s">
        <v>162</v>
      </c>
      <c r="C11" s="577" t="s">
        <v>163</v>
      </c>
      <c r="D11" s="558">
        <v>19999.082677165356</v>
      </c>
      <c r="E11" s="558">
        <v>12124.543307086615</v>
      </c>
      <c r="F11" s="558">
        <v>14841.570866141734</v>
      </c>
      <c r="G11" s="558"/>
      <c r="H11" s="558"/>
      <c r="I11" s="558"/>
      <c r="J11" s="558"/>
      <c r="K11" s="558"/>
      <c r="L11" s="558"/>
      <c r="M11" s="558">
        <f t="shared" si="1"/>
        <v>19999.082677165356</v>
      </c>
      <c r="N11" s="558">
        <f t="shared" si="2"/>
        <v>12124.543307086615</v>
      </c>
      <c r="O11" s="559">
        <f t="shared" si="3"/>
        <v>14841.570866141734</v>
      </c>
      <c r="P11" s="175"/>
      <c r="R11" s="594"/>
    </row>
    <row r="12" spans="1:25" ht="15" thickBot="1">
      <c r="B12" s="581" t="s">
        <v>164</v>
      </c>
      <c r="C12" s="582" t="s">
        <v>165</v>
      </c>
      <c r="D12" s="583">
        <v>19998.992125984252</v>
      </c>
      <c r="E12" s="583">
        <v>12124.094488188977</v>
      </c>
      <c r="F12" s="583">
        <v>14841.244094488189</v>
      </c>
      <c r="G12" s="583"/>
      <c r="H12" s="583"/>
      <c r="I12" s="583"/>
      <c r="J12" s="583"/>
      <c r="K12" s="583"/>
      <c r="L12" s="583"/>
      <c r="M12" s="583">
        <f t="shared" si="1"/>
        <v>19998.992125984252</v>
      </c>
      <c r="N12" s="583">
        <f t="shared" si="2"/>
        <v>12124.094488188977</v>
      </c>
      <c r="O12" s="584">
        <f t="shared" si="3"/>
        <v>14841.244094488189</v>
      </c>
      <c r="P12" s="595"/>
      <c r="R12" s="596"/>
      <c r="T12" s="37" t="s">
        <v>6971</v>
      </c>
      <c r="U12" s="274" t="s">
        <v>6822</v>
      </c>
      <c r="V12" s="274" t="s">
        <v>6873</v>
      </c>
      <c r="W12" s="273" t="s">
        <v>6874</v>
      </c>
      <c r="X12" s="30"/>
      <c r="Y12" s="30"/>
    </row>
    <row r="13" spans="1:25" s="30" customFormat="1">
      <c r="A13" s="30" t="s">
        <v>2530</v>
      </c>
      <c r="B13" s="578" t="s">
        <v>1186</v>
      </c>
      <c r="C13" s="579" t="s">
        <v>1187</v>
      </c>
      <c r="D13" s="543">
        <v>7873.177165354331</v>
      </c>
      <c r="E13" s="543">
        <v>7321.3070866141734</v>
      </c>
      <c r="F13" s="543">
        <v>6219.6141732283459</v>
      </c>
      <c r="G13" s="552"/>
      <c r="H13" s="543"/>
      <c r="I13" s="543"/>
      <c r="J13" s="543">
        <v>12952.259842519685</v>
      </c>
      <c r="K13" s="543">
        <v>5629.3070866141734</v>
      </c>
      <c r="L13" s="543">
        <v>8109.389763779528</v>
      </c>
      <c r="M13" s="543">
        <f t="shared" si="1"/>
        <v>20825.437007874018</v>
      </c>
      <c r="N13" s="543">
        <f t="shared" si="2"/>
        <v>12950.614173228347</v>
      </c>
      <c r="O13" s="591">
        <f t="shared" si="3"/>
        <v>14329.003937007874</v>
      </c>
      <c r="P13" s="839">
        <f>ABS(M13-M14)</f>
        <v>827.20866141732404</v>
      </c>
      <c r="Q13" s="835">
        <f>ABS(N13-N14)</f>
        <v>826.74803149606305</v>
      </c>
      <c r="R13" s="836">
        <f>ABS(O13-O14)</f>
        <v>511.84251968504032</v>
      </c>
      <c r="T13" s="563" t="s">
        <v>6954</v>
      </c>
      <c r="U13" s="564">
        <f>MAX(M11:M12,M14,M16,M18,M20,M22,M24,M26,M28,M30,M32,M34,M36,M38,M40,M42,M44:M48)</f>
        <v>20001.661417322837</v>
      </c>
      <c r="V13" s="564">
        <f>MAX(N11:N12,N14,N16,N18,N20,N22,N24,N26,N28,N30,N32,N34,N36,N38,N40,N42,N44:N48)</f>
        <v>12125.074803149608</v>
      </c>
      <c r="W13" s="597">
        <f>MAX(O11:O12,O14,O16,O18,O20,O22,O24,O26,O28,O30,O32,O34,O36,O38,O40,O42,O44:O48)</f>
        <v>14841.625984251968</v>
      </c>
    </row>
    <row r="14" spans="1:25" s="30" customFormat="1" ht="15" thickBot="1">
      <c r="A14" s="30" t="s">
        <v>2530</v>
      </c>
      <c r="B14" s="560" t="s">
        <v>177</v>
      </c>
      <c r="C14" s="580" t="s">
        <v>178</v>
      </c>
      <c r="D14" s="561">
        <v>7045.9685039370088</v>
      </c>
      <c r="E14" s="561">
        <v>6494.5590551181112</v>
      </c>
      <c r="F14" s="561">
        <v>6731.4566929133862</v>
      </c>
      <c r="G14" s="561"/>
      <c r="H14" s="561"/>
      <c r="I14" s="561"/>
      <c r="J14" s="561">
        <v>12952.259842519685</v>
      </c>
      <c r="K14" s="561">
        <v>5629.3070866141734</v>
      </c>
      <c r="L14" s="561">
        <v>8109.389763779528</v>
      </c>
      <c r="M14" s="561">
        <f t="shared" si="1"/>
        <v>19998.228346456694</v>
      </c>
      <c r="N14" s="561">
        <f t="shared" si="2"/>
        <v>12123.866141732284</v>
      </c>
      <c r="O14" s="562">
        <f t="shared" si="3"/>
        <v>14840.846456692914</v>
      </c>
      <c r="P14" s="832"/>
      <c r="Q14" s="833"/>
      <c r="R14" s="834"/>
      <c r="T14" s="563" t="s">
        <v>6955</v>
      </c>
      <c r="U14" s="564">
        <f>MIN(M11:M12,M14,M16,M18,M20,M22,M24,M26,M28,M30,M32,M34,M36,M38,M40,M42,M44:M48)</f>
        <v>19997.299212598427</v>
      </c>
      <c r="V14" s="564">
        <f>MIN(N11:N12,N14,N16,N18,N20,N22,N24,N26,N28,N30,N32,N34,N36,N38,N40,N42,N44:N48)</f>
        <v>12122.385826771653</v>
      </c>
      <c r="W14" s="597">
        <f>MIN(O11:O12,O14,O16,O18,O20,O22,O24,O26,O28,O30,O32,O34,O36,O38,O40,O42,O44:O48)</f>
        <v>14839.106299212599</v>
      </c>
    </row>
    <row r="15" spans="1:25" s="30" customFormat="1" ht="15" thickBot="1">
      <c r="A15" s="30" t="s">
        <v>2533</v>
      </c>
      <c r="B15" s="540" t="s">
        <v>1178</v>
      </c>
      <c r="C15" s="585" t="s">
        <v>6968</v>
      </c>
      <c r="D15" s="541">
        <v>7872.8897637795271</v>
      </c>
      <c r="E15" s="541">
        <v>7321.9133858267714</v>
      </c>
      <c r="F15" s="541">
        <v>6219.6692913385832</v>
      </c>
      <c r="G15" s="586"/>
      <c r="H15" s="541"/>
      <c r="I15" s="541"/>
      <c r="J15" s="541">
        <v>12952.200787401576</v>
      </c>
      <c r="K15" s="541">
        <v>5628.6614173228345</v>
      </c>
      <c r="L15" s="541">
        <v>8109.3582677165359</v>
      </c>
      <c r="M15" s="541">
        <f t="shared" si="1"/>
        <v>20825.090551181103</v>
      </c>
      <c r="N15" s="541">
        <f t="shared" si="2"/>
        <v>12950.574803149606</v>
      </c>
      <c r="O15" s="542">
        <f t="shared" si="3"/>
        <v>14329.027559055119</v>
      </c>
      <c r="P15" s="832">
        <f>ABS(M15-M16)</f>
        <v>826.38582677165323</v>
      </c>
      <c r="Q15" s="833">
        <f>ABS(N15-N16)</f>
        <v>827.32677165354289</v>
      </c>
      <c r="R15" s="834">
        <f>ABS(O15-O16)</f>
        <v>512.59842519684935</v>
      </c>
      <c r="T15" s="565" t="s">
        <v>6956</v>
      </c>
      <c r="U15" s="566">
        <f>+U13-U14</f>
        <v>4.3622047244098212</v>
      </c>
      <c r="V15" s="566">
        <f>+V13-V14</f>
        <v>2.6889763779545319</v>
      </c>
      <c r="W15" s="567">
        <f>+W13-W14</f>
        <v>2.5196850393695058</v>
      </c>
      <c r="X15" s="66" t="s">
        <v>6868</v>
      </c>
      <c r="Y15" s="35">
        <v>100</v>
      </c>
    </row>
    <row r="16" spans="1:25" s="30" customFormat="1" ht="15" thickBot="1">
      <c r="A16" s="30" t="s">
        <v>2533</v>
      </c>
      <c r="B16" s="581" t="s">
        <v>166</v>
      </c>
      <c r="C16" s="582" t="s">
        <v>167</v>
      </c>
      <c r="D16" s="583">
        <v>7046.5039370078739</v>
      </c>
      <c r="E16" s="583">
        <v>6494.5866141732286</v>
      </c>
      <c r="F16" s="583">
        <v>6732.2677165354326</v>
      </c>
      <c r="G16" s="583"/>
      <c r="H16" s="583"/>
      <c r="I16" s="583"/>
      <c r="J16" s="583">
        <v>12952.200787401576</v>
      </c>
      <c r="K16" s="583">
        <v>5628.6614173228345</v>
      </c>
      <c r="L16" s="583">
        <v>8109.3582677165359</v>
      </c>
      <c r="M16" s="583">
        <f t="shared" si="1"/>
        <v>19998.70472440945</v>
      </c>
      <c r="N16" s="583">
        <f t="shared" si="2"/>
        <v>12123.248031496063</v>
      </c>
      <c r="O16" s="592">
        <f t="shared" si="3"/>
        <v>14841.625984251968</v>
      </c>
      <c r="P16" s="832"/>
      <c r="Q16" s="833"/>
      <c r="R16" s="834"/>
      <c r="X16" s="30" t="str">
        <f>IF(MAX(V15:W15)&gt;Y15,"Wrong","OK")</f>
        <v>OK</v>
      </c>
    </row>
    <row r="17" spans="1:26" s="30" customFormat="1">
      <c r="A17" s="30" t="s">
        <v>2536</v>
      </c>
      <c r="B17" s="578" t="s">
        <v>1188</v>
      </c>
      <c r="C17" s="579" t="s">
        <v>1189</v>
      </c>
      <c r="D17" s="543">
        <v>9605.4448818897636</v>
      </c>
      <c r="E17" s="543">
        <v>7321.5787401574808</v>
      </c>
      <c r="F17" s="543">
        <v>6219.3188976377951</v>
      </c>
      <c r="G17" s="552"/>
      <c r="H17" s="543"/>
      <c r="I17" s="543"/>
      <c r="J17" s="543">
        <v>11218.956692913387</v>
      </c>
      <c r="K17" s="543">
        <v>5629.1850393700788</v>
      </c>
      <c r="L17" s="543">
        <v>8108.677165354331</v>
      </c>
      <c r="M17" s="543">
        <f t="shared" si="1"/>
        <v>20824.401574803152</v>
      </c>
      <c r="N17" s="543">
        <f t="shared" si="2"/>
        <v>12950.763779527559</v>
      </c>
      <c r="O17" s="591">
        <f t="shared" si="3"/>
        <v>14327.996062992126</v>
      </c>
      <c r="P17" s="832">
        <f>ABS(M17-M18)</f>
        <v>826.9881889763783</v>
      </c>
      <c r="Q17" s="833">
        <f>ABS(N17-N18)</f>
        <v>826.30314960629767</v>
      </c>
      <c r="R17" s="834">
        <f>ABS(O17-O18)</f>
        <v>511.94488188976356</v>
      </c>
    </row>
    <row r="18" spans="1:26" s="30" customFormat="1" ht="15" thickBot="1">
      <c r="A18" s="30" t="s">
        <v>2536</v>
      </c>
      <c r="B18" s="560" t="s">
        <v>180</v>
      </c>
      <c r="C18" s="580" t="s">
        <v>181</v>
      </c>
      <c r="D18" s="561">
        <v>8778.4566929133871</v>
      </c>
      <c r="E18" s="561">
        <v>6495.2755905511813</v>
      </c>
      <c r="F18" s="561">
        <v>6731.2637795275587</v>
      </c>
      <c r="G18" s="561"/>
      <c r="H18" s="561"/>
      <c r="I18" s="561"/>
      <c r="J18" s="561">
        <v>11218.956692913387</v>
      </c>
      <c r="K18" s="561">
        <v>5629.1850393700788</v>
      </c>
      <c r="L18" s="561">
        <v>8108.677165354331</v>
      </c>
      <c r="M18" s="561">
        <f t="shared" si="1"/>
        <v>19997.413385826774</v>
      </c>
      <c r="N18" s="561">
        <f t="shared" si="2"/>
        <v>12124.460629921261</v>
      </c>
      <c r="O18" s="562">
        <f t="shared" si="3"/>
        <v>14839.94094488189</v>
      </c>
      <c r="P18" s="832"/>
      <c r="Q18" s="833"/>
      <c r="R18" s="834"/>
      <c r="Z18" s="35"/>
    </row>
    <row r="19" spans="1:26" s="30" customFormat="1">
      <c r="A19" s="30" t="s">
        <v>2539</v>
      </c>
      <c r="B19" s="540" t="s">
        <v>1180</v>
      </c>
      <c r="C19" s="585" t="s">
        <v>1181</v>
      </c>
      <c r="D19" s="541">
        <v>1180.0433070866143</v>
      </c>
      <c r="E19" s="541">
        <v>2755.4330708661419</v>
      </c>
      <c r="F19" s="541">
        <v>3936.4370078740158</v>
      </c>
      <c r="G19" s="541">
        <v>8423.4488188976375</v>
      </c>
      <c r="H19" s="541">
        <v>4566.3267716535438</v>
      </c>
      <c r="I19" s="541">
        <v>2282.3464566929138</v>
      </c>
      <c r="J19" s="541">
        <v>11219.964566929135</v>
      </c>
      <c r="K19" s="541">
        <v>5629.2204724409457</v>
      </c>
      <c r="L19" s="541">
        <v>8110.0078740157487</v>
      </c>
      <c r="M19" s="541">
        <f t="shared" si="1"/>
        <v>20823.456692913387</v>
      </c>
      <c r="N19" s="541">
        <f t="shared" si="2"/>
        <v>12950.98031496063</v>
      </c>
      <c r="O19" s="542">
        <f t="shared" si="3"/>
        <v>14328.79133858268</v>
      </c>
      <c r="P19" s="832">
        <f>ABS(M19-M20)</f>
        <v>824.70472440945014</v>
      </c>
      <c r="Q19" s="833">
        <f>ABS(N19-N20)</f>
        <v>826.75196850393695</v>
      </c>
      <c r="R19" s="834">
        <f>ABS(O19-O20)</f>
        <v>512.11417322834495</v>
      </c>
      <c r="Z19" s="35"/>
    </row>
    <row r="20" spans="1:26" s="30" customFormat="1" ht="15" thickBot="1">
      <c r="A20" s="30" t="s">
        <v>2539</v>
      </c>
      <c r="B20" s="581" t="s">
        <v>168</v>
      </c>
      <c r="C20" s="582" t="s">
        <v>169</v>
      </c>
      <c r="D20" s="583">
        <v>8778.7874015748039</v>
      </c>
      <c r="E20" s="583">
        <v>6495.0078740157478</v>
      </c>
      <c r="F20" s="583">
        <v>6730.8976377952758</v>
      </c>
      <c r="G20" s="583"/>
      <c r="H20" s="583"/>
      <c r="I20" s="583"/>
      <c r="J20" s="583">
        <v>11219.964566929135</v>
      </c>
      <c r="K20" s="583">
        <v>5629.2204724409457</v>
      </c>
      <c r="L20" s="583">
        <v>8110.0078740157487</v>
      </c>
      <c r="M20" s="583">
        <f t="shared" si="1"/>
        <v>19998.751968503937</v>
      </c>
      <c r="N20" s="583">
        <f t="shared" si="2"/>
        <v>12124.228346456694</v>
      </c>
      <c r="O20" s="592">
        <f t="shared" si="3"/>
        <v>14840.905511811025</v>
      </c>
      <c r="P20" s="832"/>
      <c r="Q20" s="833"/>
      <c r="R20" s="834"/>
    </row>
    <row r="21" spans="1:26" s="30" customFormat="1">
      <c r="A21" s="30" t="s">
        <v>2542</v>
      </c>
      <c r="B21" s="578" t="s">
        <v>1190</v>
      </c>
      <c r="C21" s="579" t="s">
        <v>1191</v>
      </c>
      <c r="D21" s="543">
        <v>9487.6692913385832</v>
      </c>
      <c r="E21" s="543">
        <v>7321.9842519685044</v>
      </c>
      <c r="F21" s="543">
        <v>6219.5590551181103</v>
      </c>
      <c r="G21" s="552"/>
      <c r="H21" s="543"/>
      <c r="I21" s="543"/>
      <c r="J21" s="543">
        <v>11337.720472440944</v>
      </c>
      <c r="K21" s="543">
        <v>5628.9330708661419</v>
      </c>
      <c r="L21" s="543">
        <v>8108.8582677165359</v>
      </c>
      <c r="M21" s="543">
        <f t="shared" si="1"/>
        <v>20825.389763779527</v>
      </c>
      <c r="N21" s="543">
        <f t="shared" si="2"/>
        <v>12950.917322834646</v>
      </c>
      <c r="O21" s="591">
        <f t="shared" si="3"/>
        <v>14328.417322834646</v>
      </c>
      <c r="P21" s="832">
        <f>ABS(M21-M22)</f>
        <v>827.74409448818915</v>
      </c>
      <c r="Q21" s="833">
        <f>ABS(N21-N22)</f>
        <v>826.72440944881782</v>
      </c>
      <c r="R21" s="834">
        <f>ABS(O21-O22)</f>
        <v>512.05905511811034</v>
      </c>
    </row>
    <row r="22" spans="1:26" s="30" customFormat="1" ht="15" thickBot="1">
      <c r="A22" s="30" t="s">
        <v>2542</v>
      </c>
      <c r="B22" s="560" t="s">
        <v>183</v>
      </c>
      <c r="C22" s="580" t="s">
        <v>184</v>
      </c>
      <c r="D22" s="561">
        <v>8659.9251968503941</v>
      </c>
      <c r="E22" s="561">
        <v>6495.2598425196857</v>
      </c>
      <c r="F22" s="561">
        <v>6731.6181102362207</v>
      </c>
      <c r="G22" s="561"/>
      <c r="H22" s="561"/>
      <c r="I22" s="561"/>
      <c r="J22" s="561">
        <v>11337.720472440944</v>
      </c>
      <c r="K22" s="561">
        <v>5628.9330708661419</v>
      </c>
      <c r="L22" s="561">
        <v>8108.8582677165359</v>
      </c>
      <c r="M22" s="561">
        <f t="shared" si="1"/>
        <v>19997.645669291338</v>
      </c>
      <c r="N22" s="561">
        <f t="shared" si="2"/>
        <v>12124.192913385828</v>
      </c>
      <c r="O22" s="562">
        <f t="shared" si="3"/>
        <v>14840.476377952757</v>
      </c>
      <c r="P22" s="832"/>
      <c r="Q22" s="833"/>
      <c r="R22" s="834"/>
    </row>
    <row r="23" spans="1:26" s="30" customFormat="1">
      <c r="A23" s="30" t="s">
        <v>2545</v>
      </c>
      <c r="B23" s="540" t="s">
        <v>1182</v>
      </c>
      <c r="C23" s="585" t="s">
        <v>1183</v>
      </c>
      <c r="D23" s="541">
        <v>9487.2007874015744</v>
      </c>
      <c r="E23" s="541">
        <v>7322.0905511811025</v>
      </c>
      <c r="F23" s="541">
        <v>6219.4881889763783</v>
      </c>
      <c r="G23" s="586"/>
      <c r="H23" s="541"/>
      <c r="I23" s="541"/>
      <c r="J23" s="541">
        <v>11337.917322834644</v>
      </c>
      <c r="K23" s="541">
        <v>5629.2007874015744</v>
      </c>
      <c r="L23" s="541">
        <v>8109.566929133859</v>
      </c>
      <c r="M23" s="541">
        <f t="shared" si="1"/>
        <v>20825.118110236217</v>
      </c>
      <c r="N23" s="541">
        <f t="shared" si="2"/>
        <v>12951.291338582676</v>
      </c>
      <c r="O23" s="542">
        <f t="shared" si="3"/>
        <v>14329.055118110238</v>
      </c>
      <c r="P23" s="832">
        <f>ABS(M23-M24)</f>
        <v>827.61811023621703</v>
      </c>
      <c r="Q23" s="833">
        <f>ABS(N23-N24)</f>
        <v>826.62992125984238</v>
      </c>
      <c r="R23" s="834">
        <f>ABS(O23-O24)</f>
        <v>511.86614173228372</v>
      </c>
    </row>
    <row r="24" spans="1:26" s="30" customFormat="1" ht="15" thickBot="1">
      <c r="A24" s="30" t="s">
        <v>2545</v>
      </c>
      <c r="B24" s="581" t="s">
        <v>171</v>
      </c>
      <c r="C24" s="582" t="s">
        <v>172</v>
      </c>
      <c r="D24" s="583">
        <v>8659.5826771653537</v>
      </c>
      <c r="E24" s="583">
        <v>6495.4606299212601</v>
      </c>
      <c r="F24" s="583">
        <v>6731.354330708662</v>
      </c>
      <c r="G24" s="583"/>
      <c r="H24" s="583"/>
      <c r="I24" s="583"/>
      <c r="J24" s="583">
        <v>11337.917322834644</v>
      </c>
      <c r="K24" s="583">
        <v>5629.2007874015744</v>
      </c>
      <c r="L24" s="583">
        <v>8109.566929133859</v>
      </c>
      <c r="M24" s="583">
        <f t="shared" si="1"/>
        <v>19997.5</v>
      </c>
      <c r="N24" s="583">
        <f t="shared" si="2"/>
        <v>12124.661417322834</v>
      </c>
      <c r="O24" s="592">
        <f t="shared" si="3"/>
        <v>14840.921259842522</v>
      </c>
      <c r="P24" s="832"/>
      <c r="Q24" s="833"/>
      <c r="R24" s="834"/>
    </row>
    <row r="25" spans="1:26" s="30" customFormat="1">
      <c r="A25" s="30" t="s">
        <v>2548</v>
      </c>
      <c r="B25" s="578" t="s">
        <v>1192</v>
      </c>
      <c r="C25" s="579" t="s">
        <v>1193</v>
      </c>
      <c r="D25" s="543">
        <v>9605.2874015748039</v>
      </c>
      <c r="E25" s="543">
        <v>7322.1259842519685</v>
      </c>
      <c r="F25" s="543">
        <v>6219.5944881889764</v>
      </c>
      <c r="G25" s="552"/>
      <c r="H25" s="543"/>
      <c r="I25" s="543"/>
      <c r="J25" s="543">
        <v>11219.901574803151</v>
      </c>
      <c r="K25" s="543">
        <v>5628.4488188976384</v>
      </c>
      <c r="L25" s="543">
        <v>8109.8110236220482</v>
      </c>
      <c r="M25" s="543">
        <f t="shared" si="1"/>
        <v>20825.188976377955</v>
      </c>
      <c r="N25" s="543">
        <f t="shared" si="2"/>
        <v>12950.574803149608</v>
      </c>
      <c r="O25" s="591">
        <f t="shared" si="3"/>
        <v>14329.405511811025</v>
      </c>
      <c r="P25" s="832">
        <f>ABS(M25-M26)</f>
        <v>825.94094488189148</v>
      </c>
      <c r="Q25" s="833">
        <f>ABS(N25-N26)</f>
        <v>828.18897637795453</v>
      </c>
      <c r="R25" s="834">
        <f>ABS(O25-O26)</f>
        <v>511.77165354330828</v>
      </c>
    </row>
    <row r="26" spans="1:26" s="30" customFormat="1" ht="15" thickBot="1">
      <c r="A26" s="30" t="s">
        <v>2548</v>
      </c>
      <c r="B26" s="560" t="s">
        <v>186</v>
      </c>
      <c r="C26" s="580" t="s">
        <v>187</v>
      </c>
      <c r="D26" s="561">
        <v>8779.3464566929142</v>
      </c>
      <c r="E26" s="561">
        <v>6493.9370078740158</v>
      </c>
      <c r="F26" s="561">
        <v>6731.3661417322837</v>
      </c>
      <c r="G26" s="561"/>
      <c r="H26" s="561"/>
      <c r="I26" s="561"/>
      <c r="J26" s="561">
        <v>11219.901574803151</v>
      </c>
      <c r="K26" s="561">
        <v>5628.4488188976384</v>
      </c>
      <c r="L26" s="561">
        <v>8109.8110236220482</v>
      </c>
      <c r="M26" s="561">
        <f t="shared" si="1"/>
        <v>19999.248031496063</v>
      </c>
      <c r="N26" s="561">
        <f t="shared" si="2"/>
        <v>12122.385826771653</v>
      </c>
      <c r="O26" s="562">
        <f t="shared" si="3"/>
        <v>14841.177165354333</v>
      </c>
      <c r="P26" s="832"/>
      <c r="Q26" s="833"/>
      <c r="R26" s="834"/>
    </row>
    <row r="27" spans="1:26" s="30" customFormat="1">
      <c r="A27" s="30" t="s">
        <v>2551</v>
      </c>
      <c r="B27" s="540" t="s">
        <v>1184</v>
      </c>
      <c r="C27" s="585" t="s">
        <v>1185</v>
      </c>
      <c r="D27" s="541">
        <v>9605.7322834645674</v>
      </c>
      <c r="E27" s="541">
        <v>7321.9921259842522</v>
      </c>
      <c r="F27" s="541">
        <v>6219.751968503937</v>
      </c>
      <c r="G27" s="586"/>
      <c r="H27" s="541"/>
      <c r="I27" s="541"/>
      <c r="J27" s="541">
        <v>11219.28346456693</v>
      </c>
      <c r="K27" s="541">
        <v>5629.1299212598424</v>
      </c>
      <c r="L27" s="541">
        <v>8109.6299212598433</v>
      </c>
      <c r="M27" s="541">
        <f t="shared" si="1"/>
        <v>20825.015748031496</v>
      </c>
      <c r="N27" s="541">
        <f t="shared" si="2"/>
        <v>12951.122047244095</v>
      </c>
      <c r="O27" s="542">
        <f t="shared" si="3"/>
        <v>14329.381889763779</v>
      </c>
      <c r="P27" s="832">
        <f>ABS(M27-M28)</f>
        <v>827.7165354330682</v>
      </c>
      <c r="Q27" s="833">
        <f>ABS(N27-N28)</f>
        <v>828.40944881889664</v>
      </c>
      <c r="R27" s="834">
        <f>ABS(O27-O28)</f>
        <v>511.70078740157624</v>
      </c>
      <c r="X27" s="32"/>
      <c r="Y27" s="32"/>
      <c r="Z27" s="32"/>
    </row>
    <row r="28" spans="1:26" s="30" customFormat="1" ht="15" thickBot="1">
      <c r="A28" s="30" t="s">
        <v>2551</v>
      </c>
      <c r="B28" s="581" t="s">
        <v>174</v>
      </c>
      <c r="C28" s="582" t="s">
        <v>175</v>
      </c>
      <c r="D28" s="583">
        <v>8778.0157480314974</v>
      </c>
      <c r="E28" s="583">
        <v>6493.5826771653547</v>
      </c>
      <c r="F28" s="583">
        <v>6731.4527559055123</v>
      </c>
      <c r="G28" s="583"/>
      <c r="H28" s="583"/>
      <c r="I28" s="583"/>
      <c r="J28" s="583">
        <v>11219.28346456693</v>
      </c>
      <c r="K28" s="583">
        <v>5629.1299212598424</v>
      </c>
      <c r="L28" s="583">
        <v>8109.6299212598433</v>
      </c>
      <c r="M28" s="583">
        <f t="shared" si="1"/>
        <v>19997.299212598427</v>
      </c>
      <c r="N28" s="583">
        <f t="shared" si="2"/>
        <v>12122.712598425198</v>
      </c>
      <c r="O28" s="592">
        <f t="shared" si="3"/>
        <v>14841.082677165356</v>
      </c>
      <c r="P28" s="832"/>
      <c r="Q28" s="833"/>
      <c r="R28" s="834"/>
      <c r="X28" s="32"/>
      <c r="Y28" s="32"/>
      <c r="Z28" s="32"/>
    </row>
    <row r="29" spans="1:26" s="30" customFormat="1">
      <c r="A29" s="30" t="s">
        <v>2554</v>
      </c>
      <c r="B29" s="578" t="s">
        <v>1174</v>
      </c>
      <c r="C29" s="579" t="s">
        <v>1175</v>
      </c>
      <c r="D29" s="543">
        <v>7873.818897637796</v>
      </c>
      <c r="E29" s="543">
        <v>7321.7362204724413</v>
      </c>
      <c r="F29" s="543">
        <v>6219.8385826771655</v>
      </c>
      <c r="G29" s="552"/>
      <c r="H29" s="543"/>
      <c r="I29" s="543"/>
      <c r="J29" s="543">
        <v>12952.716535433072</v>
      </c>
      <c r="K29" s="543">
        <v>5629.3779527559054</v>
      </c>
      <c r="L29" s="543">
        <v>8109.2716535433083</v>
      </c>
      <c r="M29" s="543">
        <f t="shared" si="1"/>
        <v>20826.535433070869</v>
      </c>
      <c r="N29" s="543">
        <f t="shared" si="2"/>
        <v>12951.114173228347</v>
      </c>
      <c r="O29" s="591">
        <f t="shared" si="3"/>
        <v>14329.110236220473</v>
      </c>
      <c r="P29" s="832">
        <f>ABS(M29-M30)</f>
        <v>827.40551181102273</v>
      </c>
      <c r="Q29" s="833">
        <f>ABS(N29-N30)</f>
        <v>826.77559055118036</v>
      </c>
      <c r="R29" s="834">
        <f>ABS(O29-O30)</f>
        <v>511.3031496063013</v>
      </c>
      <c r="X29" s="32"/>
      <c r="Y29" s="32"/>
      <c r="Z29" s="32"/>
    </row>
    <row r="30" spans="1:26" s="30" customFormat="1" ht="15" thickBot="1">
      <c r="A30" s="30" t="s">
        <v>2554</v>
      </c>
      <c r="B30" s="560" t="s">
        <v>207</v>
      </c>
      <c r="C30" s="580" t="s">
        <v>208</v>
      </c>
      <c r="D30" s="561">
        <v>7046.4133858267724</v>
      </c>
      <c r="E30" s="561">
        <v>6494.9606299212601</v>
      </c>
      <c r="F30" s="561">
        <v>6731.141732283465</v>
      </c>
      <c r="G30" s="561"/>
      <c r="H30" s="561"/>
      <c r="I30" s="561"/>
      <c r="J30" s="561">
        <v>12952.716535433072</v>
      </c>
      <c r="K30" s="561">
        <v>5629.3779527559054</v>
      </c>
      <c r="L30" s="561">
        <v>8109.2716535433083</v>
      </c>
      <c r="M30" s="561">
        <f t="shared" si="1"/>
        <v>19999.129921259846</v>
      </c>
      <c r="N30" s="561">
        <f t="shared" si="2"/>
        <v>12124.338582677166</v>
      </c>
      <c r="O30" s="562">
        <f t="shared" si="3"/>
        <v>14840.413385826774</v>
      </c>
      <c r="P30" s="832"/>
      <c r="Q30" s="833"/>
      <c r="R30" s="834"/>
      <c r="X30" s="32"/>
      <c r="Y30" s="32"/>
      <c r="Z30" s="32"/>
    </row>
    <row r="31" spans="1:26" s="30" customFormat="1">
      <c r="A31" s="30" t="s">
        <v>2557</v>
      </c>
      <c r="B31" s="540" t="s">
        <v>1166</v>
      </c>
      <c r="C31" s="585" t="s">
        <v>1167</v>
      </c>
      <c r="D31" s="541">
        <v>7872.0590551181103</v>
      </c>
      <c r="E31" s="541">
        <v>7322.4685039370079</v>
      </c>
      <c r="F31" s="541">
        <v>6219.4055118110246</v>
      </c>
      <c r="G31" s="586"/>
      <c r="H31" s="541"/>
      <c r="I31" s="541"/>
      <c r="J31" s="541">
        <v>12951.562992125984</v>
      </c>
      <c r="K31" s="541">
        <v>5629.0905511811034</v>
      </c>
      <c r="L31" s="541">
        <v>8109.7755905511822</v>
      </c>
      <c r="M31" s="541">
        <f t="shared" si="1"/>
        <v>20823.622047244095</v>
      </c>
      <c r="N31" s="541">
        <f t="shared" si="2"/>
        <v>12951.559055118112</v>
      </c>
      <c r="O31" s="542">
        <f t="shared" si="3"/>
        <v>14329.181102362207</v>
      </c>
      <c r="P31" s="832">
        <f>ABS(M31-M32)</f>
        <v>825.78346456692816</v>
      </c>
      <c r="Q31" s="833">
        <f>ABS(N31-N32)</f>
        <v>827.41732283464626</v>
      </c>
      <c r="R31" s="834">
        <f>ABS(O31-O32)</f>
        <v>511.69685039370052</v>
      </c>
      <c r="X31" s="32"/>
      <c r="Y31" s="32"/>
      <c r="Z31" s="32"/>
    </row>
    <row r="32" spans="1:26" s="30" customFormat="1" ht="15" thickBot="1">
      <c r="A32" s="30" t="s">
        <v>2557</v>
      </c>
      <c r="B32" s="581" t="s">
        <v>195</v>
      </c>
      <c r="C32" s="582" t="s">
        <v>196</v>
      </c>
      <c r="D32" s="583">
        <v>7046.2755905511813</v>
      </c>
      <c r="E32" s="583">
        <v>6495.0511811023625</v>
      </c>
      <c r="F32" s="583">
        <v>6731.1023622047251</v>
      </c>
      <c r="G32" s="583"/>
      <c r="H32" s="583"/>
      <c r="I32" s="583"/>
      <c r="J32" s="583">
        <v>12951.562992125984</v>
      </c>
      <c r="K32" s="583">
        <v>5629.0905511811034</v>
      </c>
      <c r="L32" s="583">
        <v>8109.7755905511822</v>
      </c>
      <c r="M32" s="583">
        <f t="shared" si="1"/>
        <v>19997.838582677166</v>
      </c>
      <c r="N32" s="583">
        <f t="shared" si="2"/>
        <v>12124.141732283466</v>
      </c>
      <c r="O32" s="592">
        <f t="shared" si="3"/>
        <v>14840.877952755907</v>
      </c>
      <c r="P32" s="832"/>
      <c r="Q32" s="833"/>
      <c r="R32" s="834"/>
      <c r="X32" s="32"/>
      <c r="Y32" s="32"/>
      <c r="Z32" s="32"/>
    </row>
    <row r="33" spans="1:26" s="30" customFormat="1">
      <c r="A33" s="30" t="s">
        <v>2560</v>
      </c>
      <c r="B33" s="578" t="s">
        <v>1176</v>
      </c>
      <c r="C33" s="579" t="s">
        <v>1177</v>
      </c>
      <c r="D33" s="543">
        <v>7873.2007874015753</v>
      </c>
      <c r="E33" s="543">
        <v>7321.6968503937014</v>
      </c>
      <c r="F33" s="543">
        <v>5629.1259842519694</v>
      </c>
      <c r="G33" s="552"/>
      <c r="H33" s="543"/>
      <c r="I33" s="543"/>
      <c r="J33" s="543">
        <v>12951.992125984252</v>
      </c>
      <c r="K33" s="543">
        <v>5628.8700787401576</v>
      </c>
      <c r="L33" s="543">
        <v>8699.9330708661419</v>
      </c>
      <c r="M33" s="543">
        <f t="shared" si="1"/>
        <v>20825.192913385828</v>
      </c>
      <c r="N33" s="543">
        <f t="shared" si="2"/>
        <v>12950.56692913386</v>
      </c>
      <c r="O33" s="591">
        <f t="shared" si="3"/>
        <v>14329.059055118112</v>
      </c>
      <c r="P33" s="832">
        <f>ABS(M33-M34)</f>
        <v>826.76771653543256</v>
      </c>
      <c r="Q33" s="833">
        <f>ABS(N33-N34)</f>
        <v>825.8070866141752</v>
      </c>
      <c r="R33" s="834">
        <f>ABS(O33-O34)</f>
        <v>511.74015748031343</v>
      </c>
      <c r="X33" s="32"/>
      <c r="Y33" s="32"/>
      <c r="Z33" s="32"/>
    </row>
    <row r="34" spans="1:26" s="30" customFormat="1" ht="15" thickBot="1">
      <c r="A34" s="30" t="s">
        <v>2560</v>
      </c>
      <c r="B34" s="560" t="s">
        <v>210</v>
      </c>
      <c r="C34" s="580" t="s">
        <v>211</v>
      </c>
      <c r="D34" s="561">
        <v>7046.4330708661419</v>
      </c>
      <c r="E34" s="561">
        <v>6495.889763779528</v>
      </c>
      <c r="F34" s="561">
        <v>6140.8661417322837</v>
      </c>
      <c r="G34" s="561"/>
      <c r="H34" s="561"/>
      <c r="I34" s="561"/>
      <c r="J34" s="561">
        <v>12951.992125984252</v>
      </c>
      <c r="K34" s="561">
        <v>5628.8700787401576</v>
      </c>
      <c r="L34" s="561">
        <v>8699.9330708661419</v>
      </c>
      <c r="M34" s="561">
        <f t="shared" si="1"/>
        <v>19998.425196850396</v>
      </c>
      <c r="N34" s="561">
        <f t="shared" si="2"/>
        <v>12124.759842519685</v>
      </c>
      <c r="O34" s="562">
        <f t="shared" si="3"/>
        <v>14840.799212598426</v>
      </c>
      <c r="P34" s="832"/>
      <c r="Q34" s="833"/>
      <c r="R34" s="834"/>
      <c r="X34" s="32"/>
      <c r="Y34" s="32"/>
      <c r="Z34" s="32"/>
    </row>
    <row r="35" spans="1:26" s="30" customFormat="1">
      <c r="A35" s="30" t="s">
        <v>2563</v>
      </c>
      <c r="B35" s="540" t="s">
        <v>1168</v>
      </c>
      <c r="C35" s="585" t="s">
        <v>1169</v>
      </c>
      <c r="D35" s="541">
        <v>7872.7362204724413</v>
      </c>
      <c r="E35" s="541">
        <v>7321.9173228346453</v>
      </c>
      <c r="F35" s="541">
        <v>5628.9488188976384</v>
      </c>
      <c r="G35" s="586"/>
      <c r="H35" s="541"/>
      <c r="I35" s="541"/>
      <c r="J35" s="541">
        <v>12954.767716535434</v>
      </c>
      <c r="K35" s="541">
        <v>5629.2401574803152</v>
      </c>
      <c r="L35" s="541">
        <v>8699.9448818897636</v>
      </c>
      <c r="M35" s="541">
        <f t="shared" si="1"/>
        <v>20827.503937007874</v>
      </c>
      <c r="N35" s="541">
        <f t="shared" si="2"/>
        <v>12951.15748031496</v>
      </c>
      <c r="O35" s="542">
        <f t="shared" si="3"/>
        <v>14328.893700787401</v>
      </c>
      <c r="P35" s="832">
        <f>ABS(M35-M36)</f>
        <v>825.84251968503668</v>
      </c>
      <c r="Q35" s="833">
        <f>ABS(N35-N36)</f>
        <v>826.44881889763565</v>
      </c>
      <c r="R35" s="834">
        <f>ABS(O35-O36)</f>
        <v>512.39763779527493</v>
      </c>
      <c r="X35" s="32"/>
      <c r="Y35" s="32"/>
      <c r="Z35" s="32"/>
    </row>
    <row r="36" spans="1:26" s="30" customFormat="1" ht="15" thickBot="1">
      <c r="A36" s="30" t="s">
        <v>2563</v>
      </c>
      <c r="B36" s="581" t="s">
        <v>198</v>
      </c>
      <c r="C36" s="582" t="s">
        <v>199</v>
      </c>
      <c r="D36" s="583">
        <v>7046.893700787401</v>
      </c>
      <c r="E36" s="583">
        <v>6495.4685039370088</v>
      </c>
      <c r="F36" s="583">
        <v>6141.3464566929133</v>
      </c>
      <c r="G36" s="583"/>
      <c r="H36" s="583"/>
      <c r="I36" s="583"/>
      <c r="J36" s="583">
        <v>12954.767716535434</v>
      </c>
      <c r="K36" s="583">
        <v>5629.2401574803152</v>
      </c>
      <c r="L36" s="583">
        <v>8699.9448818897636</v>
      </c>
      <c r="M36" s="583">
        <f t="shared" si="1"/>
        <v>20001.661417322837</v>
      </c>
      <c r="N36" s="583">
        <f t="shared" si="2"/>
        <v>12124.708661417324</v>
      </c>
      <c r="O36" s="592">
        <f t="shared" si="3"/>
        <v>14841.291338582676</v>
      </c>
      <c r="P36" s="832"/>
      <c r="Q36" s="833"/>
      <c r="R36" s="834"/>
      <c r="X36" s="32"/>
      <c r="Y36" s="32"/>
      <c r="Z36" s="32"/>
    </row>
    <row r="37" spans="1:26" s="30" customFormat="1">
      <c r="A37" s="30" t="s">
        <v>2566</v>
      </c>
      <c r="B37" s="551" t="s">
        <v>1198</v>
      </c>
      <c r="C37" s="579" t="s">
        <v>1199</v>
      </c>
      <c r="D37" s="552">
        <v>7479.9251968503941</v>
      </c>
      <c r="E37" s="552">
        <v>7321.7598425196857</v>
      </c>
      <c r="F37" s="552">
        <v>6219.6535433070867</v>
      </c>
      <c r="G37" s="552"/>
      <c r="H37" s="552"/>
      <c r="I37" s="552"/>
      <c r="J37" s="552">
        <v>13345.153543307088</v>
      </c>
      <c r="K37" s="552">
        <v>5629.4330708661419</v>
      </c>
      <c r="L37" s="552">
        <v>8108.3937007874019</v>
      </c>
      <c r="M37" s="552">
        <f t="shared" si="1"/>
        <v>20825.078740157482</v>
      </c>
      <c r="N37" s="552">
        <f t="shared" si="2"/>
        <v>12951.192913385828</v>
      </c>
      <c r="O37" s="553">
        <f t="shared" si="3"/>
        <v>14328.047244094489</v>
      </c>
      <c r="P37" s="832">
        <f>ABS(M37-M38)</f>
        <v>826.44488188976175</v>
      </c>
      <c r="Q37" s="833">
        <f>ABS(N37-N38)</f>
        <v>827.11811023622067</v>
      </c>
      <c r="R37" s="834">
        <f>ABS(O37-O38)</f>
        <v>511.05905511811034</v>
      </c>
      <c r="X37" s="32"/>
      <c r="Y37" s="32"/>
      <c r="Z37" s="32"/>
    </row>
    <row r="38" spans="1:26" s="30" customFormat="1" ht="15" thickBot="1">
      <c r="A38" s="30" t="s">
        <v>2566</v>
      </c>
      <c r="B38" s="560" t="s">
        <v>213</v>
      </c>
      <c r="C38" s="580" t="s">
        <v>214</v>
      </c>
      <c r="D38" s="561">
        <v>6653.4803149606305</v>
      </c>
      <c r="E38" s="561">
        <v>6494.641732283465</v>
      </c>
      <c r="F38" s="561">
        <v>6730.7125984251979</v>
      </c>
      <c r="G38" s="561"/>
      <c r="H38" s="561"/>
      <c r="I38" s="561"/>
      <c r="J38" s="561">
        <v>13345.153543307088</v>
      </c>
      <c r="K38" s="561">
        <v>5629.4330708661419</v>
      </c>
      <c r="L38" s="561">
        <v>8108.3937007874019</v>
      </c>
      <c r="M38" s="561">
        <f t="shared" si="1"/>
        <v>19998.63385826772</v>
      </c>
      <c r="N38" s="561">
        <f t="shared" si="2"/>
        <v>12124.074803149608</v>
      </c>
      <c r="O38" s="562">
        <f t="shared" si="3"/>
        <v>14839.106299212599</v>
      </c>
      <c r="P38" s="832"/>
      <c r="Q38" s="833"/>
      <c r="R38" s="834"/>
      <c r="X38" s="32"/>
      <c r="Y38" s="32"/>
      <c r="Z38" s="32"/>
    </row>
    <row r="39" spans="1:26" s="30" customFormat="1">
      <c r="A39" s="30" t="s">
        <v>2569</v>
      </c>
      <c r="B39" s="540" t="s">
        <v>1170</v>
      </c>
      <c r="C39" s="585" t="s">
        <v>1171</v>
      </c>
      <c r="D39" s="541">
        <v>7479.0905511811025</v>
      </c>
      <c r="E39" s="541">
        <v>7321.4881889763783</v>
      </c>
      <c r="F39" s="541">
        <v>6219.6732283464571</v>
      </c>
      <c r="G39" s="586"/>
      <c r="H39" s="541"/>
      <c r="I39" s="541"/>
      <c r="J39" s="541">
        <v>13345.811023622049</v>
      </c>
      <c r="K39" s="541">
        <v>5629.5433070866138</v>
      </c>
      <c r="L39" s="541">
        <v>8108.6574803149615</v>
      </c>
      <c r="M39" s="541">
        <f t="shared" si="1"/>
        <v>20824.901574803152</v>
      </c>
      <c r="N39" s="541">
        <f t="shared" si="2"/>
        <v>12951.031496062991</v>
      </c>
      <c r="O39" s="542">
        <f t="shared" si="3"/>
        <v>14328.330708661419</v>
      </c>
      <c r="P39" s="832">
        <f>ABS(M39-M40)</f>
        <v>826.81496062991937</v>
      </c>
      <c r="Q39" s="833">
        <f>ABS(N39-N40)</f>
        <v>825.95669291338345</v>
      </c>
      <c r="R39" s="834">
        <f>ABS(O39-O40)</f>
        <v>512.4842519685044</v>
      </c>
      <c r="X39" s="32"/>
      <c r="Y39" s="32"/>
      <c r="Z39" s="32"/>
    </row>
    <row r="40" spans="1:26" s="30" customFormat="1" ht="15" thickBot="1">
      <c r="A40" s="30" t="s">
        <v>2569</v>
      </c>
      <c r="B40" s="581" t="s">
        <v>201</v>
      </c>
      <c r="C40" s="582" t="s">
        <v>202</v>
      </c>
      <c r="D40" s="583">
        <v>6652.2755905511822</v>
      </c>
      <c r="E40" s="583">
        <v>6495.531496062993</v>
      </c>
      <c r="F40" s="583">
        <v>6732.1574803149615</v>
      </c>
      <c r="G40" s="583"/>
      <c r="H40" s="583"/>
      <c r="I40" s="583"/>
      <c r="J40" s="583">
        <v>13345.811023622049</v>
      </c>
      <c r="K40" s="583">
        <v>5629.5433070866138</v>
      </c>
      <c r="L40" s="583">
        <v>8108.6574803149615</v>
      </c>
      <c r="M40" s="583">
        <f t="shared" si="1"/>
        <v>19998.086614173233</v>
      </c>
      <c r="N40" s="583">
        <f t="shared" si="2"/>
        <v>12125.074803149608</v>
      </c>
      <c r="O40" s="592">
        <f t="shared" si="3"/>
        <v>14840.814960629923</v>
      </c>
      <c r="P40" s="832"/>
      <c r="Q40" s="833"/>
      <c r="R40" s="834"/>
      <c r="X40" s="32"/>
      <c r="Y40" s="32"/>
      <c r="Z40" s="32"/>
    </row>
    <row r="41" spans="1:26" s="30" customFormat="1">
      <c r="A41" s="30" t="s">
        <v>2572</v>
      </c>
      <c r="B41" s="551" t="s">
        <v>1203</v>
      </c>
      <c r="C41" s="579" t="s">
        <v>1204</v>
      </c>
      <c r="D41" s="552">
        <v>7478.8188976377951</v>
      </c>
      <c r="E41" s="552">
        <v>7321.3622047244098</v>
      </c>
      <c r="F41" s="552">
        <v>6219.681102362204</v>
      </c>
      <c r="G41" s="552"/>
      <c r="H41" s="552"/>
      <c r="I41" s="552"/>
      <c r="J41" s="552">
        <v>13346.299212598426</v>
      </c>
      <c r="K41" s="552">
        <v>5629.1220472440955</v>
      </c>
      <c r="L41" s="552">
        <v>8108.4803149606305</v>
      </c>
      <c r="M41" s="552">
        <f t="shared" si="1"/>
        <v>20825.118110236221</v>
      </c>
      <c r="N41" s="552">
        <f t="shared" si="2"/>
        <v>12950.484251968504</v>
      </c>
      <c r="O41" s="553">
        <f t="shared" si="3"/>
        <v>14328.161417322834</v>
      </c>
      <c r="P41" s="832">
        <f>ABS(M41-M42)</f>
        <v>826.52755905511731</v>
      </c>
      <c r="Q41" s="833">
        <f>ABS(N41-N42)</f>
        <v>825.86614173228372</v>
      </c>
      <c r="R41" s="834">
        <f>ABS(O41-O42)</f>
        <v>511.775590551184</v>
      </c>
      <c r="X41" s="32"/>
      <c r="Y41" s="32"/>
      <c r="Z41" s="32"/>
    </row>
    <row r="42" spans="1:26" s="30" customFormat="1" ht="15" thickBot="1">
      <c r="A42" s="30" t="s">
        <v>2572</v>
      </c>
      <c r="B42" s="560" t="s">
        <v>215</v>
      </c>
      <c r="C42" s="580" t="s">
        <v>216</v>
      </c>
      <c r="D42" s="561">
        <v>6652.2913385826769</v>
      </c>
      <c r="E42" s="561">
        <v>6495.4960629921261</v>
      </c>
      <c r="F42" s="561">
        <v>6731.4566929133862</v>
      </c>
      <c r="G42" s="561"/>
      <c r="H42" s="561"/>
      <c r="I42" s="561"/>
      <c r="J42" s="561">
        <v>13346.299212598426</v>
      </c>
      <c r="K42" s="561">
        <v>5629.1220472440955</v>
      </c>
      <c r="L42" s="561">
        <v>8108.4803149606305</v>
      </c>
      <c r="M42" s="561">
        <f t="shared" si="1"/>
        <v>19998.590551181103</v>
      </c>
      <c r="N42" s="561">
        <f t="shared" si="2"/>
        <v>12124.618110236221</v>
      </c>
      <c r="O42" s="562">
        <f t="shared" si="3"/>
        <v>14839.937007874018</v>
      </c>
      <c r="P42" s="832"/>
      <c r="Q42" s="833"/>
      <c r="R42" s="834"/>
      <c r="X42" s="32"/>
      <c r="Y42" s="32"/>
      <c r="Z42" s="32"/>
    </row>
    <row r="43" spans="1:26" s="30" customFormat="1">
      <c r="A43" s="30" t="s">
        <v>2575</v>
      </c>
      <c r="B43" s="540" t="s">
        <v>1172</v>
      </c>
      <c r="C43" s="585" t="s">
        <v>1173</v>
      </c>
      <c r="D43" s="541">
        <v>7479.0866141732286</v>
      </c>
      <c r="E43" s="541">
        <v>7321.6692913385832</v>
      </c>
      <c r="F43" s="541">
        <v>6219.3425196850403</v>
      </c>
      <c r="G43" s="586"/>
      <c r="H43" s="541"/>
      <c r="I43" s="541"/>
      <c r="J43" s="541">
        <v>13345.484251968504</v>
      </c>
      <c r="K43" s="541">
        <v>5628.6220472440955</v>
      </c>
      <c r="L43" s="541">
        <v>8108.3700787401576</v>
      </c>
      <c r="M43" s="541">
        <f t="shared" si="1"/>
        <v>20824.570866141734</v>
      </c>
      <c r="N43" s="541">
        <f t="shared" si="2"/>
        <v>12950.29133858268</v>
      </c>
      <c r="O43" s="542">
        <f t="shared" si="3"/>
        <v>14327.712598425198</v>
      </c>
      <c r="P43" s="832">
        <f>ABS(M43-M44)</f>
        <v>826.52755905512095</v>
      </c>
      <c r="Q43" s="833">
        <f>ABS(N43-N44)</f>
        <v>826.77952755905608</v>
      </c>
      <c r="R43" s="834">
        <f>ABS(O43-O44)</f>
        <v>511.93700787401576</v>
      </c>
      <c r="X43" s="32"/>
      <c r="Y43" s="32"/>
      <c r="Z43" s="32"/>
    </row>
    <row r="44" spans="1:26" s="30" customFormat="1" ht="15" thickBot="1">
      <c r="A44" s="30" t="s">
        <v>2575</v>
      </c>
      <c r="B44" s="581" t="s">
        <v>204</v>
      </c>
      <c r="C44" s="582" t="s">
        <v>205</v>
      </c>
      <c r="D44" s="583">
        <v>6652.5590551181103</v>
      </c>
      <c r="E44" s="583">
        <v>6494.889763779528</v>
      </c>
      <c r="F44" s="583">
        <v>6731.2795275590561</v>
      </c>
      <c r="G44" s="583"/>
      <c r="H44" s="583"/>
      <c r="I44" s="583"/>
      <c r="J44" s="583">
        <v>13345.484251968504</v>
      </c>
      <c r="K44" s="583">
        <v>5628.6220472440955</v>
      </c>
      <c r="L44" s="583">
        <v>8108.3700787401576</v>
      </c>
      <c r="M44" s="583">
        <f t="shared" si="1"/>
        <v>19998.043307086613</v>
      </c>
      <c r="N44" s="583">
        <f t="shared" si="2"/>
        <v>12123.511811023624</v>
      </c>
      <c r="O44" s="592">
        <f t="shared" si="3"/>
        <v>14839.649606299214</v>
      </c>
      <c r="P44" s="832"/>
      <c r="Q44" s="833"/>
      <c r="R44" s="834"/>
      <c r="X44" s="32"/>
      <c r="Y44" s="32"/>
      <c r="Z44" s="32"/>
    </row>
    <row r="45" spans="1:26" s="30" customFormat="1">
      <c r="A45" s="206" t="s">
        <v>2366</v>
      </c>
      <c r="B45" s="554" t="s">
        <v>189</v>
      </c>
      <c r="C45" s="590" t="s">
        <v>190</v>
      </c>
      <c r="D45" s="555">
        <v>10156.429133858268</v>
      </c>
      <c r="E45" s="555">
        <v>6495.8385826771664</v>
      </c>
      <c r="F45" s="555">
        <v>5904.8346456692916</v>
      </c>
      <c r="G45" s="555"/>
      <c r="H45" s="555"/>
      <c r="I45" s="555"/>
      <c r="J45" s="555">
        <v>9841.7204724409457</v>
      </c>
      <c r="K45" s="555">
        <v>5628.4527559055123</v>
      </c>
      <c r="L45" s="555">
        <v>8936.677165354331</v>
      </c>
      <c r="M45" s="555">
        <f t="shared" si="1"/>
        <v>19998.149606299216</v>
      </c>
      <c r="N45" s="555">
        <f t="shared" si="2"/>
        <v>12124.29133858268</v>
      </c>
      <c r="O45" s="556">
        <f t="shared" si="3"/>
        <v>14841.511811023622</v>
      </c>
      <c r="P45" s="832">
        <f>ABS(M45-M46)</f>
        <v>0.46456692913488951</v>
      </c>
      <c r="Q45" s="833">
        <f>ABS(N45-N46)</f>
        <v>0.28346456693179789</v>
      </c>
      <c r="R45" s="834">
        <f>ABS(O45-O46)</f>
        <v>0.35433070866019989</v>
      </c>
      <c r="S45" s="206"/>
      <c r="T45" s="206"/>
      <c r="U45" s="206"/>
      <c r="V45" s="206"/>
      <c r="W45" s="206"/>
      <c r="X45" s="32"/>
      <c r="Y45" s="32"/>
      <c r="Z45" s="32"/>
    </row>
    <row r="46" spans="1:26" ht="15" thickBot="1">
      <c r="A46" s="206" t="s">
        <v>2366</v>
      </c>
      <c r="B46" s="560" t="s">
        <v>218</v>
      </c>
      <c r="C46" s="580" t="s">
        <v>219</v>
      </c>
      <c r="D46" s="561">
        <v>10155.964566929135</v>
      </c>
      <c r="E46" s="561">
        <v>6495.5551181102364</v>
      </c>
      <c r="F46" s="561">
        <v>5904.4803149606305</v>
      </c>
      <c r="G46" s="561"/>
      <c r="H46" s="561"/>
      <c r="I46" s="561"/>
      <c r="J46" s="561">
        <v>9841.7204724409457</v>
      </c>
      <c r="K46" s="561">
        <v>5628.4527559055123</v>
      </c>
      <c r="L46" s="561">
        <v>8936.677165354331</v>
      </c>
      <c r="M46" s="561">
        <f t="shared" si="1"/>
        <v>19997.685039370081</v>
      </c>
      <c r="N46" s="561">
        <f t="shared" si="2"/>
        <v>12124.007874015748</v>
      </c>
      <c r="O46" s="562">
        <f t="shared" si="3"/>
        <v>14841.157480314962</v>
      </c>
      <c r="P46" s="832"/>
      <c r="Q46" s="833"/>
      <c r="R46" s="834"/>
      <c r="X46" s="32"/>
      <c r="Y46" s="32"/>
      <c r="Z46" s="32"/>
    </row>
    <row r="47" spans="1:26">
      <c r="A47" s="206" t="s">
        <v>2367</v>
      </c>
      <c r="B47" s="587" t="s">
        <v>192</v>
      </c>
      <c r="C47" s="588" t="s">
        <v>193</v>
      </c>
      <c r="D47" s="589">
        <v>10156.460629921261</v>
      </c>
      <c r="E47" s="589">
        <v>6494.5905511811034</v>
      </c>
      <c r="F47" s="589">
        <v>5904.358267716535</v>
      </c>
      <c r="G47" s="589"/>
      <c r="H47" s="589"/>
      <c r="I47" s="589"/>
      <c r="J47" s="589">
        <v>9841.9566929133871</v>
      </c>
      <c r="K47" s="589">
        <v>5628.8110236220473</v>
      </c>
      <c r="L47" s="589">
        <v>8936.4921259842522</v>
      </c>
      <c r="M47" s="589">
        <f t="shared" si="1"/>
        <v>19998.417322834648</v>
      </c>
      <c r="N47" s="589">
        <f t="shared" si="2"/>
        <v>12123.401574803151</v>
      </c>
      <c r="O47" s="593">
        <f t="shared" si="3"/>
        <v>14840.850393700788</v>
      </c>
      <c r="P47" s="832">
        <f>ABS(M47-M48)</f>
        <v>0.46456692913488951</v>
      </c>
      <c r="Q47" s="833">
        <f>ABS(N47-N48)</f>
        <v>2.7559055119127152E-2</v>
      </c>
      <c r="R47" s="834">
        <f>ABS(O47-O48)</f>
        <v>0.14960629921188229</v>
      </c>
      <c r="X47" s="32"/>
      <c r="Y47" s="32"/>
      <c r="Z47" s="32"/>
    </row>
    <row r="48" spans="1:26" ht="15" thickBot="1">
      <c r="A48" s="206" t="s">
        <v>2367</v>
      </c>
      <c r="B48" s="560" t="s">
        <v>221</v>
      </c>
      <c r="C48" s="580" t="s">
        <v>222</v>
      </c>
      <c r="D48" s="561">
        <v>10155.996062992128</v>
      </c>
      <c r="E48" s="561">
        <v>6494.5629921259851</v>
      </c>
      <c r="F48" s="561">
        <v>5904.2086614173231</v>
      </c>
      <c r="G48" s="561"/>
      <c r="H48" s="561"/>
      <c r="I48" s="561"/>
      <c r="J48" s="561">
        <v>9841.9566929133871</v>
      </c>
      <c r="K48" s="561">
        <v>5628.8110236220473</v>
      </c>
      <c r="L48" s="561">
        <v>8936.4921259842522</v>
      </c>
      <c r="M48" s="561">
        <f t="shared" si="1"/>
        <v>19997.952755905513</v>
      </c>
      <c r="N48" s="561">
        <f t="shared" si="2"/>
        <v>12123.374015748032</v>
      </c>
      <c r="O48" s="562">
        <f t="shared" si="3"/>
        <v>14840.700787401576</v>
      </c>
      <c r="P48" s="840"/>
      <c r="Q48" s="841"/>
      <c r="R48" s="842"/>
      <c r="X48" s="32"/>
      <c r="Y48" s="32"/>
      <c r="Z48" s="32"/>
    </row>
    <row r="49" spans="1:26">
      <c r="A49" s="30"/>
      <c r="B49" s="56"/>
      <c r="C49" s="30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0"/>
      <c r="Q49" s="30"/>
      <c r="R49" s="30"/>
      <c r="S49" s="30"/>
      <c r="T49" s="30"/>
      <c r="U49" s="30"/>
      <c r="V49" s="30"/>
      <c r="W49" s="30"/>
      <c r="X49" s="32"/>
      <c r="Y49" s="32"/>
      <c r="Z49" s="32"/>
    </row>
    <row r="50" spans="1:26">
      <c r="X50" s="32"/>
      <c r="Y50" s="32"/>
      <c r="Z50" s="32"/>
    </row>
    <row r="51" spans="1:26">
      <c r="X51" s="32"/>
      <c r="Y51" s="32"/>
      <c r="Z51" s="32"/>
    </row>
    <row r="52" spans="1:26">
      <c r="X52" s="32"/>
      <c r="Y52" s="32"/>
      <c r="Z52" s="32"/>
    </row>
    <row r="53" spans="1:26">
      <c r="X53" s="32"/>
      <c r="Y53" s="32"/>
      <c r="Z53" s="32"/>
    </row>
    <row r="54" spans="1:26">
      <c r="T54" s="30"/>
      <c r="U54" s="30"/>
      <c r="V54" s="30"/>
      <c r="W54" s="30"/>
      <c r="X54" s="32"/>
      <c r="Y54" s="32"/>
      <c r="Z54" s="32"/>
    </row>
    <row r="55" spans="1:26">
      <c r="T55" s="30"/>
      <c r="U55" s="30"/>
      <c r="V55" s="30"/>
      <c r="W55" s="30"/>
      <c r="X55" s="32"/>
      <c r="Y55" s="32"/>
      <c r="Z55" s="32"/>
    </row>
    <row r="56" spans="1:26">
      <c r="X56" s="32"/>
      <c r="Y56" s="32"/>
      <c r="Z56" s="32"/>
    </row>
    <row r="57" spans="1:26">
      <c r="X57" s="32"/>
      <c r="Y57" s="32"/>
      <c r="Z57" s="32"/>
    </row>
    <row r="58" spans="1:26">
      <c r="X58" s="32"/>
      <c r="Y58" s="32"/>
      <c r="Z58" s="32"/>
    </row>
    <row r="59" spans="1:26">
      <c r="X59" s="32"/>
      <c r="Y59" s="32"/>
      <c r="Z59" s="32"/>
    </row>
    <row r="60" spans="1:26">
      <c r="X60" s="32"/>
      <c r="Y60" s="32"/>
      <c r="Z60" s="32"/>
    </row>
    <row r="61" spans="1:26">
      <c r="X61" s="32"/>
      <c r="Y61" s="32"/>
      <c r="Z61" s="32"/>
    </row>
    <row r="62" spans="1:26">
      <c r="X62" s="32"/>
      <c r="Y62" s="32"/>
      <c r="Z62" s="32"/>
    </row>
    <row r="63" spans="1:26">
      <c r="X63" s="32"/>
      <c r="Y63" s="32"/>
      <c r="Z63" s="32"/>
    </row>
    <row r="64" spans="1:26">
      <c r="X64" s="32"/>
      <c r="Y64" s="32"/>
      <c r="Z64" s="32"/>
    </row>
    <row r="65" spans="24:26">
      <c r="X65" s="32"/>
      <c r="Y65" s="32"/>
      <c r="Z65" s="32"/>
    </row>
    <row r="66" spans="24:26">
      <c r="X66" s="32"/>
      <c r="Y66" s="32"/>
      <c r="Z66" s="32"/>
    </row>
    <row r="67" spans="24:26">
      <c r="X67" s="32"/>
      <c r="Y67" s="32"/>
      <c r="Z67" s="32"/>
    </row>
    <row r="68" spans="24:26">
      <c r="X68" s="32"/>
      <c r="Y68" s="32"/>
      <c r="Z68" s="32"/>
    </row>
    <row r="87" spans="20:25">
      <c r="T87" s="30"/>
      <c r="U87" s="30"/>
      <c r="V87" s="30"/>
      <c r="W87" s="30"/>
      <c r="X87" s="30"/>
      <c r="Y87" s="30"/>
    </row>
    <row r="88" spans="20:25">
      <c r="T88" s="30"/>
      <c r="U88" s="30"/>
      <c r="V88" s="30"/>
      <c r="W88" s="30"/>
      <c r="X88" s="30"/>
      <c r="Y88" s="30"/>
    </row>
    <row r="89" spans="20:25">
      <c r="T89" s="30"/>
      <c r="U89" s="30"/>
      <c r="V89" s="30"/>
      <c r="W89" s="30"/>
      <c r="X89" s="30"/>
      <c r="Y89" s="30"/>
    </row>
    <row r="90" spans="20:25">
      <c r="T90" s="30"/>
      <c r="U90" s="30"/>
      <c r="V90" s="30"/>
      <c r="W90" s="30"/>
      <c r="X90" s="30"/>
      <c r="Y90" s="30"/>
    </row>
    <row r="91" spans="20:25">
      <c r="T91" s="30"/>
      <c r="U91" s="30"/>
      <c r="V91" s="30"/>
      <c r="W91" s="30"/>
      <c r="X91" s="30"/>
      <c r="Y91" s="30"/>
    </row>
    <row r="92" spans="20:25">
      <c r="T92" s="30"/>
      <c r="U92" s="30"/>
      <c r="V92" s="30"/>
      <c r="W92" s="30"/>
      <c r="X92" s="30"/>
      <c r="Y92" s="30"/>
    </row>
    <row r="93" spans="20:25">
      <c r="T93" s="30"/>
      <c r="U93" s="30"/>
      <c r="V93" s="30"/>
      <c r="W93" s="30"/>
      <c r="X93" s="30"/>
      <c r="Y93" s="30"/>
    </row>
  </sheetData>
  <mergeCells count="55">
    <mergeCell ref="P37:P38"/>
    <mergeCell ref="Q37:Q38"/>
    <mergeCell ref="R37:R38"/>
    <mergeCell ref="P39:P40"/>
    <mergeCell ref="Q39:Q40"/>
    <mergeCell ref="R39:R40"/>
    <mergeCell ref="P47:P48"/>
    <mergeCell ref="Q47:Q48"/>
    <mergeCell ref="R47:R48"/>
    <mergeCell ref="P41:P42"/>
    <mergeCell ref="Q41:Q42"/>
    <mergeCell ref="R41:R42"/>
    <mergeCell ref="P43:P44"/>
    <mergeCell ref="Q43:Q44"/>
    <mergeCell ref="R43:R44"/>
    <mergeCell ref="P45:P46"/>
    <mergeCell ref="Q45:Q46"/>
    <mergeCell ref="R45:R46"/>
    <mergeCell ref="C5:C6"/>
    <mergeCell ref="P33:P34"/>
    <mergeCell ref="Q33:Q34"/>
    <mergeCell ref="R33:R34"/>
    <mergeCell ref="P35:P36"/>
    <mergeCell ref="Q35:Q36"/>
    <mergeCell ref="R35:R36"/>
    <mergeCell ref="P31:P32"/>
    <mergeCell ref="Q31:Q32"/>
    <mergeCell ref="P13:P14"/>
    <mergeCell ref="P23:P24"/>
    <mergeCell ref="Q13:Q14"/>
    <mergeCell ref="R13:R14"/>
    <mergeCell ref="R19:R20"/>
    <mergeCell ref="P21:P22"/>
    <mergeCell ref="Q21:Q22"/>
    <mergeCell ref="R21:R22"/>
    <mergeCell ref="P15:P16"/>
    <mergeCell ref="P17:P18"/>
    <mergeCell ref="R31:R32"/>
    <mergeCell ref="Q15:Q16"/>
    <mergeCell ref="R15:R16"/>
    <mergeCell ref="P27:P28"/>
    <mergeCell ref="Q17:Q18"/>
    <mergeCell ref="R17:R18"/>
    <mergeCell ref="P19:P20"/>
    <mergeCell ref="Q19:Q20"/>
    <mergeCell ref="Q23:Q24"/>
    <mergeCell ref="R23:R24"/>
    <mergeCell ref="P25:P26"/>
    <mergeCell ref="Q25:Q26"/>
    <mergeCell ref="R25:R26"/>
    <mergeCell ref="P29:P30"/>
    <mergeCell ref="Q29:Q30"/>
    <mergeCell ref="R29:R30"/>
    <mergeCell ref="Q27:Q28"/>
    <mergeCell ref="R27:R28"/>
  </mergeCells>
  <phoneticPr fontId="12"/>
  <conditionalFormatting sqref="P13:R13 P15:R15 P17:R17 P19:R19 P21:R21 P23:R23 P25:R25 P27:R27 P29:R29 P31:R31 P33:R33 P35:R35 P37:R37 P39:R39 P41:R41 P43:R43 P45:R45 P47:R47">
    <cfRule type="expression" dxfId="33" priority="554" stopIfTrue="1">
      <formula>P13&gt;$Q$3</formula>
    </cfRule>
  </conditionalFormatting>
  <conditionalFormatting sqref="Q3">
    <cfRule type="cellIs" dxfId="32" priority="56" stopIfTrue="1" operator="equal">
      <formula>"WRONG"</formula>
    </cfRule>
  </conditionalFormatting>
  <conditionalFormatting sqref="R3">
    <cfRule type="cellIs" dxfId="31" priority="55" stopIfTrue="1" operator="equal">
      <formula>"Wrong"</formula>
    </cfRule>
  </conditionalFormatting>
  <conditionalFormatting sqref="S4">
    <cfRule type="cellIs" dxfId="30" priority="85" stopIfTrue="1" operator="equal">
      <formula>"Wrong"</formula>
    </cfRule>
  </conditionalFormatting>
  <conditionalFormatting sqref="U9:W9">
    <cfRule type="expression" dxfId="29" priority="63">
      <formula>U9&gt;100</formula>
    </cfRule>
  </conditionalFormatting>
  <conditionalFormatting sqref="U15:W15">
    <cfRule type="expression" dxfId="28" priority="62">
      <formula>U15&gt;100</formula>
    </cfRule>
  </conditionalFormatting>
  <conditionalFormatting sqref="X10">
    <cfRule type="cellIs" dxfId="27" priority="84" stopIfTrue="1" operator="equal">
      <formula>"Wrong"</formula>
    </cfRule>
  </conditionalFormatting>
  <conditionalFormatting sqref="X16">
    <cfRule type="cellIs" dxfId="26" priority="83" stopIfTrue="1" operator="equal">
      <formula>"Wrong"</formula>
    </cfRule>
  </conditionalFormatting>
  <conditionalFormatting sqref="Y9 Z14 Y15">
    <cfRule type="cellIs" dxfId="25" priority="88" stopIfTrue="1" operator="equal">
      <formula>"WRONG"</formula>
    </cfRule>
  </conditionalFormatting>
  <pageMargins left="0.25" right="0.25" top="0.75" bottom="0.75" header="0.3" footer="0.3"/>
  <pageSetup paperSize="9" scale="53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70E8-B7BB-4F05-9144-1BBB5EE89290}">
  <sheetPr codeName="Sheet14">
    <pageSetUpPr fitToPage="1"/>
  </sheetPr>
  <dimension ref="A1:J150"/>
  <sheetViews>
    <sheetView zoomScale="70" zoomScaleNormal="70" workbookViewId="0"/>
  </sheetViews>
  <sheetFormatPr defaultRowHeight="15"/>
  <cols>
    <col min="2" max="2" width="8.42578125" bestFit="1" customWidth="1"/>
    <col min="4" max="4" width="18.140625" bestFit="1" customWidth="1"/>
    <col min="5" max="6" width="12.42578125" bestFit="1" customWidth="1"/>
    <col min="7" max="7" width="9.85546875" bestFit="1" customWidth="1"/>
    <col min="10" max="10" width="15.140625" bestFit="1" customWidth="1"/>
    <col min="11" max="11" width="2.42578125" customWidth="1"/>
  </cols>
  <sheetData>
    <row r="1" spans="1:10" ht="23.25">
      <c r="A1" s="390" t="s">
        <v>7496</v>
      </c>
      <c r="B1" s="233"/>
      <c r="C1" s="233"/>
      <c r="J1" s="136">
        <v>41712</v>
      </c>
    </row>
    <row r="2" spans="1:10" ht="23.25">
      <c r="B2" s="233"/>
      <c r="C2" s="233"/>
    </row>
    <row r="4" spans="1:10" ht="15.75" thickBot="1"/>
    <row r="5" spans="1:10" ht="15.75" thickBot="1">
      <c r="G5" s="614" t="s">
        <v>7542</v>
      </c>
      <c r="H5" s="615" t="s">
        <v>7543</v>
      </c>
      <c r="I5" s="616"/>
      <c r="J5" s="617">
        <v>5</v>
      </c>
    </row>
    <row r="6" spans="1:10" ht="30.75" thickBot="1">
      <c r="B6" s="618" t="s">
        <v>7544</v>
      </c>
      <c r="C6" s="619" t="s">
        <v>7545</v>
      </c>
      <c r="D6" s="620" t="s">
        <v>7546</v>
      </c>
      <c r="E6" s="621" t="s">
        <v>7547</v>
      </c>
      <c r="F6" s="621" t="s">
        <v>7548</v>
      </c>
      <c r="G6" s="622" t="s">
        <v>7549</v>
      </c>
      <c r="H6" s="623"/>
      <c r="I6" s="624"/>
      <c r="J6" s="625" t="s">
        <v>7550</v>
      </c>
    </row>
    <row r="7" spans="1:10">
      <c r="B7" s="626" t="s">
        <v>7551</v>
      </c>
      <c r="C7" s="627" t="s">
        <v>33</v>
      </c>
      <c r="D7" s="627" t="s">
        <v>34</v>
      </c>
      <c r="E7" s="628">
        <v>9920.0629921259861</v>
      </c>
      <c r="F7" s="628">
        <v>4605.1496062992128</v>
      </c>
      <c r="G7" s="629">
        <f>IF(E7&amp;F7="--","-",SUM(E7:F7))</f>
        <v>14525.212598425198</v>
      </c>
      <c r="H7" s="630" t="s">
        <v>7552</v>
      </c>
      <c r="I7" s="631">
        <f>ABS(G8-G7)</f>
        <v>1.1811023621703498E-2</v>
      </c>
      <c r="J7" s="632" t="str">
        <f>IF(I7&gt;J$5,"Wrong","OK")</f>
        <v>OK</v>
      </c>
    </row>
    <row r="8" spans="1:10" ht="15.75" thickBot="1">
      <c r="B8" s="633" t="s">
        <v>7551</v>
      </c>
      <c r="C8" s="634" t="s">
        <v>35</v>
      </c>
      <c r="D8" s="634" t="s">
        <v>36</v>
      </c>
      <c r="E8" s="651">
        <v>9920.0905511811034</v>
      </c>
      <c r="F8" s="651">
        <v>4605.1338582677163</v>
      </c>
      <c r="G8" s="635">
        <f>IF(E8&amp;F8="--","-",SUM(E8:F8))</f>
        <v>14525.22440944882</v>
      </c>
      <c r="H8" s="636"/>
      <c r="I8" s="637"/>
      <c r="J8" s="638"/>
    </row>
    <row r="9" spans="1:10">
      <c r="B9" s="633" t="s">
        <v>7354</v>
      </c>
      <c r="C9" s="627" t="s">
        <v>720</v>
      </c>
      <c r="D9" s="627" t="s">
        <v>7578</v>
      </c>
      <c r="E9" s="628">
        <v>5983.5118110236226</v>
      </c>
      <c r="F9" s="628"/>
      <c r="G9" s="629">
        <f>+E9</f>
        <v>5983.5118110236226</v>
      </c>
      <c r="H9" s="630" t="s">
        <v>7552</v>
      </c>
      <c r="I9" s="631">
        <f>ABS(G10-G9)</f>
        <v>0.11811023621976346</v>
      </c>
      <c r="J9" s="632" t="str">
        <f>IF(I9&gt;J$5,"Wrong","OK")</f>
        <v>OK</v>
      </c>
    </row>
    <row r="10" spans="1:10" ht="15.75" thickBot="1">
      <c r="B10" s="633" t="s">
        <v>7354</v>
      </c>
      <c r="C10" s="634" t="s">
        <v>722</v>
      </c>
      <c r="D10" s="634" t="s">
        <v>723</v>
      </c>
      <c r="E10" s="651">
        <v>5983.6299212598424</v>
      </c>
      <c r="F10" s="651"/>
      <c r="G10" s="635">
        <f>+E10</f>
        <v>5983.6299212598424</v>
      </c>
      <c r="H10" s="636"/>
      <c r="I10" s="637"/>
      <c r="J10" s="638"/>
    </row>
    <row r="11" spans="1:10">
      <c r="B11" s="633" t="s">
        <v>7551</v>
      </c>
      <c r="C11" s="639" t="s">
        <v>7563</v>
      </c>
      <c r="D11" s="661" t="s">
        <v>7562</v>
      </c>
      <c r="E11" s="641">
        <v>13778.933070866142</v>
      </c>
      <c r="F11" s="641">
        <v>6494.9251968503941</v>
      </c>
      <c r="G11" s="665">
        <f>IF(E11&amp;F11="--","-",SUM(E11:F11))</f>
        <v>20273.858267716536</v>
      </c>
      <c r="H11" s="630" t="s">
        <v>7552</v>
      </c>
      <c r="I11" s="631">
        <f>ABS(G17-G11)</f>
        <v>0.3976377952749317</v>
      </c>
      <c r="J11" s="632" t="str">
        <f>IF(I11&gt;J$5,"Wrong","OK")</f>
        <v>OK</v>
      </c>
    </row>
    <row r="12" spans="1:10">
      <c r="B12" s="633" t="s">
        <v>7551</v>
      </c>
      <c r="C12" s="660" t="s">
        <v>40</v>
      </c>
      <c r="D12" s="663" t="s">
        <v>41</v>
      </c>
      <c r="E12" s="664"/>
      <c r="F12" s="664"/>
      <c r="H12" s="669"/>
      <c r="I12" s="649"/>
      <c r="J12" s="670"/>
    </row>
    <row r="13" spans="1:10">
      <c r="B13" s="633" t="s">
        <v>7551</v>
      </c>
      <c r="C13" s="643" t="s">
        <v>42</v>
      </c>
      <c r="D13" s="663" t="s">
        <v>43</v>
      </c>
      <c r="E13" s="662"/>
      <c r="F13" s="662"/>
      <c r="G13" s="666"/>
      <c r="H13" s="646"/>
      <c r="I13" s="647"/>
      <c r="J13" s="648"/>
    </row>
    <row r="14" spans="1:10">
      <c r="B14" s="633" t="s">
        <v>7551</v>
      </c>
      <c r="C14" s="643" t="s">
        <v>44</v>
      </c>
      <c r="D14" s="643" t="s">
        <v>45</v>
      </c>
      <c r="E14" s="644"/>
      <c r="F14" s="644"/>
      <c r="G14" s="666"/>
      <c r="H14" s="646"/>
      <c r="I14" s="649"/>
      <c r="J14" s="648"/>
    </row>
    <row r="15" spans="1:10">
      <c r="B15" s="633" t="s">
        <v>7551</v>
      </c>
      <c r="C15" s="643" t="s">
        <v>46</v>
      </c>
      <c r="D15" s="643" t="s">
        <v>47</v>
      </c>
      <c r="E15" s="644"/>
      <c r="F15" s="644"/>
      <c r="G15" s="666"/>
      <c r="H15" s="646"/>
      <c r="I15" s="649"/>
      <c r="J15" s="648"/>
    </row>
    <row r="16" spans="1:10" ht="15.75" thickBot="1">
      <c r="B16" s="633" t="s">
        <v>7551</v>
      </c>
      <c r="C16" s="650" t="s">
        <v>48</v>
      </c>
      <c r="D16" s="650" t="s">
        <v>49</v>
      </c>
      <c r="E16" s="651"/>
      <c r="F16" s="651"/>
      <c r="G16" s="667"/>
      <c r="H16" s="646"/>
      <c r="I16" s="649"/>
      <c r="J16" s="648"/>
    </row>
    <row r="17" spans="2:10">
      <c r="B17" s="633" t="s">
        <v>7551</v>
      </c>
      <c r="C17" s="639" t="s">
        <v>7565</v>
      </c>
      <c r="D17" s="661" t="s">
        <v>7564</v>
      </c>
      <c r="E17" s="641">
        <v>13778.500000000002</v>
      </c>
      <c r="F17" s="641">
        <v>6494.9606299212601</v>
      </c>
      <c r="G17" s="665">
        <f>IF(E17&amp;F17="--","-",SUM(E17:F17))</f>
        <v>20273.460629921261</v>
      </c>
      <c r="H17" s="646"/>
      <c r="I17" s="649"/>
      <c r="J17" s="648"/>
    </row>
    <row r="18" spans="2:10">
      <c r="B18" s="633" t="s">
        <v>7551</v>
      </c>
      <c r="C18" s="660" t="s">
        <v>54</v>
      </c>
      <c r="D18" s="660" t="s">
        <v>52</v>
      </c>
      <c r="E18" s="644"/>
      <c r="F18" s="644"/>
      <c r="G18" s="666"/>
      <c r="H18" s="646"/>
      <c r="I18" s="649"/>
      <c r="J18" s="648"/>
    </row>
    <row r="19" spans="2:10">
      <c r="B19" s="633" t="s">
        <v>7551</v>
      </c>
      <c r="C19" s="643" t="s">
        <v>55</v>
      </c>
      <c r="D19" s="643" t="s">
        <v>7553</v>
      </c>
      <c r="E19" s="644"/>
      <c r="F19" s="644"/>
      <c r="G19" s="666"/>
      <c r="H19" s="646"/>
      <c r="I19" s="649"/>
      <c r="J19" s="648"/>
    </row>
    <row r="20" spans="2:10">
      <c r="B20" s="633" t="s">
        <v>7551</v>
      </c>
      <c r="C20" s="643" t="s">
        <v>58</v>
      </c>
      <c r="D20" s="643" t="s">
        <v>57</v>
      </c>
      <c r="E20" s="644"/>
      <c r="F20" s="644"/>
      <c r="G20" s="666"/>
      <c r="H20" s="646"/>
      <c r="I20" s="649"/>
      <c r="J20" s="648"/>
    </row>
    <row r="21" spans="2:10">
      <c r="B21" s="633" t="s">
        <v>7551</v>
      </c>
      <c r="C21" s="643" t="s">
        <v>60</v>
      </c>
      <c r="D21" s="643" t="s">
        <v>59</v>
      </c>
      <c r="E21" s="644"/>
      <c r="F21" s="644"/>
      <c r="G21" s="666"/>
      <c r="H21" s="646"/>
      <c r="I21" s="649"/>
      <c r="J21" s="648"/>
    </row>
    <row r="22" spans="2:10" ht="15.75" thickBot="1">
      <c r="B22" s="633" t="s">
        <v>7551</v>
      </c>
      <c r="C22" s="655" t="s">
        <v>62</v>
      </c>
      <c r="D22" s="655" t="s">
        <v>61</v>
      </c>
      <c r="E22" s="656"/>
      <c r="F22" s="656"/>
      <c r="G22" s="668"/>
      <c r="H22" s="636"/>
      <c r="I22" s="659"/>
      <c r="J22" s="638"/>
    </row>
    <row r="23" spans="2:10">
      <c r="B23" s="633" t="s">
        <v>7551</v>
      </c>
      <c r="C23" s="640" t="s">
        <v>90</v>
      </c>
      <c r="D23" s="640" t="s">
        <v>91</v>
      </c>
      <c r="E23" s="641">
        <v>13581.236220472441</v>
      </c>
      <c r="F23" s="641">
        <v>5943.0511811023625</v>
      </c>
      <c r="G23" s="642">
        <f>IF(E23&amp;F23="--","-",SUM(E23:F23))</f>
        <v>19524.287401574802</v>
      </c>
      <c r="H23" s="630" t="s">
        <v>7552</v>
      </c>
      <c r="I23" s="631">
        <f>ABS(G27-G23)</f>
        <v>1.334645669292513</v>
      </c>
      <c r="J23" s="632" t="str">
        <f>IF(I23&gt;J$5,"Wrong","OK")</f>
        <v>OK</v>
      </c>
    </row>
    <row r="24" spans="2:10">
      <c r="B24" s="633" t="s">
        <v>7551</v>
      </c>
      <c r="C24" s="643" t="s">
        <v>93</v>
      </c>
      <c r="D24" s="643" t="s">
        <v>94</v>
      </c>
      <c r="E24" s="644"/>
      <c r="F24" s="644"/>
      <c r="G24" s="645"/>
      <c r="H24" s="646"/>
      <c r="I24" s="647"/>
      <c r="J24" s="648"/>
    </row>
    <row r="25" spans="2:10">
      <c r="B25" s="633" t="s">
        <v>7551</v>
      </c>
      <c r="C25" s="643" t="s">
        <v>95</v>
      </c>
      <c r="D25" s="643" t="s">
        <v>96</v>
      </c>
      <c r="E25" s="644"/>
      <c r="F25" s="644"/>
      <c r="G25" s="645"/>
      <c r="H25" s="646"/>
      <c r="I25" s="649"/>
      <c r="J25" s="648"/>
    </row>
    <row r="26" spans="2:10">
      <c r="B26" s="633" t="s">
        <v>7551</v>
      </c>
      <c r="C26" s="650" t="s">
        <v>97</v>
      </c>
      <c r="D26" s="650" t="s">
        <v>98</v>
      </c>
      <c r="E26" s="651"/>
      <c r="F26" s="651"/>
      <c r="G26" s="652"/>
      <c r="H26" s="646"/>
      <c r="I26" s="649"/>
      <c r="J26" s="648"/>
    </row>
    <row r="27" spans="2:10">
      <c r="B27" s="633" t="s">
        <v>7551</v>
      </c>
      <c r="C27" s="653" t="s">
        <v>99</v>
      </c>
      <c r="D27" s="653" t="s">
        <v>100</v>
      </c>
      <c r="E27" s="644">
        <v>13582.22440944882</v>
      </c>
      <c r="F27" s="644">
        <v>5943.3976377952758</v>
      </c>
      <c r="G27" s="654">
        <f>IF(E27&amp;F27="--","-",SUM(E27:F27))</f>
        <v>19525.622047244095</v>
      </c>
      <c r="H27" s="646"/>
      <c r="I27" s="649"/>
      <c r="J27" s="648"/>
    </row>
    <row r="28" spans="2:10">
      <c r="B28" s="633" t="s">
        <v>7551</v>
      </c>
      <c r="C28" s="643" t="s">
        <v>102</v>
      </c>
      <c r="D28" s="643" t="s">
        <v>103</v>
      </c>
      <c r="E28" s="644"/>
      <c r="F28" s="644"/>
      <c r="G28" s="645"/>
      <c r="H28" s="646"/>
      <c r="I28" s="649"/>
      <c r="J28" s="648"/>
    </row>
    <row r="29" spans="2:10">
      <c r="B29" s="633" t="s">
        <v>7551</v>
      </c>
      <c r="C29" s="643" t="s">
        <v>104</v>
      </c>
      <c r="D29" s="643" t="s">
        <v>105</v>
      </c>
      <c r="E29" s="644"/>
      <c r="F29" s="644"/>
      <c r="G29" s="645"/>
      <c r="H29" s="646"/>
      <c r="I29" s="649"/>
      <c r="J29" s="648"/>
    </row>
    <row r="30" spans="2:10" ht="15.75" thickBot="1">
      <c r="B30" s="633" t="s">
        <v>7551</v>
      </c>
      <c r="C30" s="655" t="s">
        <v>106</v>
      </c>
      <c r="D30" s="655" t="s">
        <v>107</v>
      </c>
      <c r="E30" s="656"/>
      <c r="F30" s="656"/>
      <c r="G30" s="657"/>
      <c r="H30" s="646"/>
      <c r="I30" s="649"/>
      <c r="J30" s="648"/>
    </row>
    <row r="31" spans="2:10">
      <c r="B31" s="633" t="s">
        <v>7551</v>
      </c>
      <c r="C31" s="640" t="s">
        <v>110</v>
      </c>
      <c r="D31" s="640" t="s">
        <v>111</v>
      </c>
      <c r="E31" s="641">
        <v>13109.248031496063</v>
      </c>
      <c r="F31" s="641">
        <v>7873.854330708662</v>
      </c>
      <c r="G31" s="642">
        <f>IF(E31&amp;F31="--","-",SUM(E31:F31))</f>
        <v>20983.102362204725</v>
      </c>
      <c r="H31" s="630" t="s">
        <v>7552</v>
      </c>
      <c r="I31" s="631">
        <f>ABS(G34-G31)</f>
        <v>1.547244094486814</v>
      </c>
      <c r="J31" s="632" t="str">
        <f>IF(I31&gt;J$5,"Wrong","OK")</f>
        <v>OK</v>
      </c>
    </row>
    <row r="32" spans="2:10">
      <c r="B32" s="633" t="s">
        <v>7551</v>
      </c>
      <c r="C32" s="643" t="s">
        <v>126</v>
      </c>
      <c r="D32" s="643" t="s">
        <v>127</v>
      </c>
      <c r="E32" s="644"/>
      <c r="F32" s="644"/>
      <c r="G32" s="645"/>
      <c r="H32" s="646"/>
      <c r="I32" s="647"/>
      <c r="J32" s="648"/>
    </row>
    <row r="33" spans="2:10">
      <c r="B33" s="633" t="s">
        <v>7551</v>
      </c>
      <c r="C33" s="650" t="s">
        <v>134</v>
      </c>
      <c r="D33" s="650" t="s">
        <v>135</v>
      </c>
      <c r="E33" s="651"/>
      <c r="F33" s="651"/>
      <c r="G33" s="652"/>
      <c r="H33" s="646"/>
      <c r="I33" s="649"/>
      <c r="J33" s="648"/>
    </row>
    <row r="34" spans="2:10">
      <c r="B34" s="633" t="s">
        <v>7551</v>
      </c>
      <c r="C34" s="653" t="s">
        <v>138</v>
      </c>
      <c r="D34" s="653" t="s">
        <v>139</v>
      </c>
      <c r="E34" s="644">
        <v>13108.417322834646</v>
      </c>
      <c r="F34" s="644">
        <v>7873.1377952755911</v>
      </c>
      <c r="G34" s="654">
        <f>IF(E34&amp;F34="--","-",SUM(E34:F34))</f>
        <v>20981.555118110238</v>
      </c>
      <c r="H34" s="646"/>
      <c r="I34" s="649"/>
      <c r="J34" s="648"/>
    </row>
    <row r="35" spans="2:10">
      <c r="B35" s="633" t="s">
        <v>7551</v>
      </c>
      <c r="C35" s="643" t="s">
        <v>150</v>
      </c>
      <c r="D35" s="643" t="s">
        <v>151</v>
      </c>
      <c r="E35" s="644"/>
      <c r="F35" s="644"/>
      <c r="G35" s="645"/>
      <c r="H35" s="646"/>
      <c r="I35" s="649"/>
      <c r="J35" s="648"/>
    </row>
    <row r="36" spans="2:10" ht="15.75" thickBot="1">
      <c r="B36" s="633" t="s">
        <v>7551</v>
      </c>
      <c r="C36" s="655" t="s">
        <v>158</v>
      </c>
      <c r="D36" s="655" t="s">
        <v>159</v>
      </c>
      <c r="E36" s="656"/>
      <c r="F36" s="656"/>
      <c r="G36" s="657"/>
      <c r="H36" s="646"/>
      <c r="I36" s="649"/>
      <c r="J36" s="648"/>
    </row>
    <row r="37" spans="2:10">
      <c r="B37" s="633" t="s">
        <v>7551</v>
      </c>
      <c r="C37" s="640" t="s">
        <v>113</v>
      </c>
      <c r="D37" s="640" t="s">
        <v>114</v>
      </c>
      <c r="E37" s="641">
        <v>13109.169291338583</v>
      </c>
      <c r="F37" s="641">
        <v>7439.8385826771655</v>
      </c>
      <c r="G37" s="642">
        <f>IF(E37&amp;F37="--","-",SUM(E37:F37))</f>
        <v>20549.007874015748</v>
      </c>
      <c r="H37" s="630" t="s">
        <v>7552</v>
      </c>
      <c r="I37" s="631">
        <f>ABS(G40-G37)</f>
        <v>8.6614173229463631E-2</v>
      </c>
      <c r="J37" s="632" t="str">
        <f>IF(I37&gt;J$5,"Wrong","OK")</f>
        <v>OK</v>
      </c>
    </row>
    <row r="38" spans="2:10">
      <c r="B38" s="633" t="s">
        <v>7551</v>
      </c>
      <c r="C38" s="643" t="s">
        <v>128</v>
      </c>
      <c r="D38" s="643" t="s">
        <v>129</v>
      </c>
      <c r="E38" s="644"/>
      <c r="F38" s="644"/>
      <c r="G38" s="645"/>
      <c r="H38" s="646"/>
      <c r="I38" s="647"/>
      <c r="J38" s="648"/>
    </row>
    <row r="39" spans="2:10">
      <c r="B39" s="633" t="s">
        <v>7551</v>
      </c>
      <c r="C39" s="650" t="s">
        <v>136</v>
      </c>
      <c r="D39" s="650" t="s">
        <v>137</v>
      </c>
      <c r="E39" s="651"/>
      <c r="F39" s="651"/>
      <c r="G39" s="652"/>
      <c r="H39" s="646"/>
      <c r="I39" s="649"/>
      <c r="J39" s="648"/>
    </row>
    <row r="40" spans="2:10">
      <c r="B40" s="633" t="s">
        <v>7551</v>
      </c>
      <c r="C40" s="653" t="s">
        <v>140</v>
      </c>
      <c r="D40" s="653" t="s">
        <v>141</v>
      </c>
      <c r="E40" s="644">
        <v>13109.169291338583</v>
      </c>
      <c r="F40" s="644">
        <v>7439.9251968503941</v>
      </c>
      <c r="G40" s="654">
        <f>IF(E40&amp;F40="--","-",SUM(E40:F40))</f>
        <v>20549.094488188977</v>
      </c>
      <c r="H40" s="646"/>
      <c r="I40" s="649"/>
      <c r="J40" s="648"/>
    </row>
    <row r="41" spans="2:10">
      <c r="B41" s="633" t="s">
        <v>7551</v>
      </c>
      <c r="C41" s="643" t="s">
        <v>152</v>
      </c>
      <c r="D41" s="643" t="s">
        <v>153</v>
      </c>
      <c r="E41" s="644"/>
      <c r="F41" s="644"/>
      <c r="G41" s="645"/>
      <c r="H41" s="646"/>
      <c r="I41" s="649"/>
      <c r="J41" s="648"/>
    </row>
    <row r="42" spans="2:10" ht="15.75" thickBot="1">
      <c r="B42" s="633" t="s">
        <v>7551</v>
      </c>
      <c r="C42" s="655" t="s">
        <v>160</v>
      </c>
      <c r="D42" s="655" t="s">
        <v>161</v>
      </c>
      <c r="E42" s="656"/>
      <c r="F42" s="656"/>
      <c r="G42" s="657"/>
      <c r="H42" s="646"/>
      <c r="I42" s="649"/>
      <c r="J42" s="648"/>
    </row>
    <row r="43" spans="2:10">
      <c r="B43" s="633" t="s">
        <v>7551</v>
      </c>
      <c r="C43" s="640" t="s">
        <v>122</v>
      </c>
      <c r="D43" s="640" t="s">
        <v>123</v>
      </c>
      <c r="E43" s="641">
        <v>13109.98031496063</v>
      </c>
      <c r="F43" s="641">
        <v>5669.1338582677172</v>
      </c>
      <c r="G43" s="642">
        <f>IF(E43&amp;F43="--","-",SUM(E43:F43))</f>
        <v>18779.114173228347</v>
      </c>
      <c r="H43" s="630" t="s">
        <v>7552</v>
      </c>
      <c r="I43" s="631">
        <f>ABS(G46-G43)</f>
        <v>1.9921259842521977</v>
      </c>
      <c r="J43" s="632" t="str">
        <f>IF(I43&gt;J$5,"Wrong","OK")</f>
        <v>OK</v>
      </c>
    </row>
    <row r="44" spans="2:10">
      <c r="B44" s="633" t="s">
        <v>7551</v>
      </c>
      <c r="C44" s="643" t="s">
        <v>130</v>
      </c>
      <c r="D44" s="643" t="s">
        <v>131</v>
      </c>
      <c r="E44" s="644"/>
      <c r="F44" s="644"/>
      <c r="G44" s="645"/>
      <c r="H44" s="646"/>
      <c r="I44" s="647"/>
      <c r="J44" s="648"/>
    </row>
    <row r="45" spans="2:10">
      <c r="B45" s="633" t="s">
        <v>7551</v>
      </c>
      <c r="C45" s="650" t="s">
        <v>116</v>
      </c>
      <c r="D45" s="650" t="s">
        <v>117</v>
      </c>
      <c r="E45" s="651"/>
      <c r="F45" s="651"/>
      <c r="G45" s="652"/>
      <c r="H45" s="646"/>
      <c r="I45" s="649"/>
      <c r="J45" s="648"/>
    </row>
    <row r="46" spans="2:10">
      <c r="B46" s="633" t="s">
        <v>7551</v>
      </c>
      <c r="C46" s="653" t="s">
        <v>146</v>
      </c>
      <c r="D46" s="653" t="s">
        <v>147</v>
      </c>
      <c r="E46" s="644">
        <v>13109.259842519685</v>
      </c>
      <c r="F46" s="644">
        <v>5667.8622047244089</v>
      </c>
      <c r="G46" s="654">
        <f>IF(E46&amp;F46="--","-",SUM(E46:F46))</f>
        <v>18777.122047244095</v>
      </c>
      <c r="H46" s="646"/>
      <c r="I46" s="649"/>
      <c r="J46" s="648"/>
    </row>
    <row r="47" spans="2:10">
      <c r="B47" s="633" t="s">
        <v>7551</v>
      </c>
      <c r="C47" s="643" t="s">
        <v>154</v>
      </c>
      <c r="D47" s="643" t="s">
        <v>155</v>
      </c>
      <c r="E47" s="644"/>
      <c r="F47" s="644"/>
      <c r="G47" s="645"/>
      <c r="H47" s="646"/>
      <c r="I47" s="649"/>
      <c r="J47" s="648"/>
    </row>
    <row r="48" spans="2:10" ht="15.75" thickBot="1">
      <c r="B48" s="633" t="s">
        <v>7551</v>
      </c>
      <c r="C48" s="655" t="s">
        <v>142</v>
      </c>
      <c r="D48" s="655" t="s">
        <v>143</v>
      </c>
      <c r="E48" s="656"/>
      <c r="F48" s="656"/>
      <c r="G48" s="657"/>
      <c r="H48" s="646"/>
      <c r="I48" s="649"/>
      <c r="J48" s="648"/>
    </row>
    <row r="49" spans="2:10">
      <c r="B49" s="633" t="s">
        <v>7551</v>
      </c>
      <c r="C49" s="640" t="s">
        <v>124</v>
      </c>
      <c r="D49" s="640" t="s">
        <v>125</v>
      </c>
      <c r="E49" s="641">
        <v>13108.759842519685</v>
      </c>
      <c r="F49" s="641">
        <v>4920.6181102362207</v>
      </c>
      <c r="G49" s="642">
        <f>IF(E49&amp;F49="--","-",SUM(E49:F49))</f>
        <v>18029.377952755905</v>
      </c>
      <c r="H49" s="630" t="s">
        <v>7552</v>
      </c>
      <c r="I49" s="631">
        <f>ABS(G52-G49)</f>
        <v>1.0314960629948473</v>
      </c>
      <c r="J49" s="632" t="str">
        <f>IF(I49&gt;J$5,"Wrong","OK")</f>
        <v>OK</v>
      </c>
    </row>
    <row r="50" spans="2:10">
      <c r="B50" s="633" t="s">
        <v>7551</v>
      </c>
      <c r="C50" s="643" t="s">
        <v>132</v>
      </c>
      <c r="D50" s="643" t="s">
        <v>133</v>
      </c>
      <c r="E50" s="644"/>
      <c r="F50" s="644"/>
      <c r="G50" s="645"/>
      <c r="H50" s="646"/>
      <c r="I50" s="647"/>
      <c r="J50" s="648"/>
    </row>
    <row r="51" spans="2:10">
      <c r="B51" s="633" t="s">
        <v>7551</v>
      </c>
      <c r="C51" s="650" t="s">
        <v>119</v>
      </c>
      <c r="D51" s="650" t="s">
        <v>120</v>
      </c>
      <c r="E51" s="651"/>
      <c r="F51" s="651"/>
      <c r="G51" s="652"/>
      <c r="H51" s="646"/>
      <c r="I51" s="649"/>
      <c r="J51" s="648"/>
    </row>
    <row r="52" spans="2:10">
      <c r="B52" s="633" t="s">
        <v>7551</v>
      </c>
      <c r="C52" s="653" t="s">
        <v>148</v>
      </c>
      <c r="D52" s="653" t="s">
        <v>149</v>
      </c>
      <c r="E52" s="644">
        <v>13109.582677165356</v>
      </c>
      <c r="F52" s="644">
        <v>4920.8267716535438</v>
      </c>
      <c r="G52" s="654">
        <f>IF(E52&amp;F52="--","-",SUM(E52:F52))</f>
        <v>18030.4094488189</v>
      </c>
      <c r="H52" s="646"/>
      <c r="I52" s="649"/>
      <c r="J52" s="648"/>
    </row>
    <row r="53" spans="2:10">
      <c r="B53" s="633" t="s">
        <v>7551</v>
      </c>
      <c r="C53" s="643" t="s">
        <v>156</v>
      </c>
      <c r="D53" s="643" t="s">
        <v>157</v>
      </c>
      <c r="E53" s="644"/>
      <c r="F53" s="644"/>
      <c r="G53" s="645"/>
      <c r="H53" s="646"/>
      <c r="I53" s="649"/>
      <c r="J53" s="648"/>
    </row>
    <row r="54" spans="2:10" ht="15.75" thickBot="1">
      <c r="B54" s="658" t="s">
        <v>7551</v>
      </c>
      <c r="C54" s="655" t="s">
        <v>144</v>
      </c>
      <c r="D54" s="655" t="s">
        <v>145</v>
      </c>
      <c r="E54" s="656"/>
      <c r="F54" s="656"/>
      <c r="G54" s="657"/>
      <c r="H54" s="636"/>
      <c r="I54" s="659"/>
      <c r="J54" s="638"/>
    </row>
    <row r="55" spans="2:10">
      <c r="B55" s="626" t="s">
        <v>7554</v>
      </c>
      <c r="C55" s="627" t="s">
        <v>33</v>
      </c>
      <c r="D55" s="627" t="s">
        <v>34</v>
      </c>
      <c r="E55" s="628">
        <v>6888.7440944881891</v>
      </c>
      <c r="F55" s="628">
        <v>7951.8070866141734</v>
      </c>
      <c r="G55" s="629">
        <f>IF(E55&amp;F55="--","-",SUM(E55:F55))</f>
        <v>14840.551181102363</v>
      </c>
      <c r="H55" s="630" t="s">
        <v>7552</v>
      </c>
      <c r="I55" s="631">
        <f>ABS(G56-G55)</f>
        <v>0.20866141732221877</v>
      </c>
      <c r="J55" s="632" t="str">
        <f>IF(I55&gt;J$5,"Wrong","OK")</f>
        <v>OK</v>
      </c>
    </row>
    <row r="56" spans="2:10" ht="15.75" thickBot="1">
      <c r="B56" s="633" t="s">
        <v>7554</v>
      </c>
      <c r="C56" s="634" t="s">
        <v>35</v>
      </c>
      <c r="D56" s="634" t="s">
        <v>36</v>
      </c>
      <c r="E56" s="651">
        <v>6888.6929133858275</v>
      </c>
      <c r="F56" s="651">
        <v>7951.6496062992128</v>
      </c>
      <c r="G56" s="635">
        <f>IF(E56&amp;F56="--","-",SUM(E56:F56))</f>
        <v>14840.34251968504</v>
      </c>
      <c r="H56" s="636"/>
      <c r="I56" s="637"/>
      <c r="J56" s="638"/>
    </row>
    <row r="57" spans="2:10">
      <c r="B57" s="633" t="s">
        <v>7356</v>
      </c>
      <c r="C57" s="627" t="s">
        <v>720</v>
      </c>
      <c r="D57" s="627" t="s">
        <v>7578</v>
      </c>
      <c r="E57" s="628">
        <v>11534.5</v>
      </c>
      <c r="F57" s="628"/>
      <c r="G57" s="629">
        <f>+E57</f>
        <v>11534.5</v>
      </c>
      <c r="H57" s="630" t="s">
        <v>7552</v>
      </c>
      <c r="I57" s="631">
        <f>ABS(G58-G57)</f>
        <v>7.4803149605941144E-2</v>
      </c>
      <c r="J57" s="632" t="str">
        <f>IF(I57&gt;J$5,"Wrong","OK")</f>
        <v>OK</v>
      </c>
    </row>
    <row r="58" spans="2:10" ht="15.75" thickBot="1">
      <c r="B58" s="633" t="s">
        <v>7356</v>
      </c>
      <c r="C58" s="634" t="s">
        <v>722</v>
      </c>
      <c r="D58" s="634" t="s">
        <v>723</v>
      </c>
      <c r="E58" s="651">
        <v>11534.425196850394</v>
      </c>
      <c r="F58" s="651"/>
      <c r="G58" s="635">
        <f>+E58</f>
        <v>11534.425196850394</v>
      </c>
      <c r="H58" s="636"/>
      <c r="I58" s="637"/>
      <c r="J58" s="638"/>
    </row>
    <row r="59" spans="2:10">
      <c r="B59" s="633" t="s">
        <v>7555</v>
      </c>
      <c r="C59" s="639" t="s">
        <v>7563</v>
      </c>
      <c r="D59" s="661" t="s">
        <v>7562</v>
      </c>
      <c r="E59" s="641">
        <v>7164.2677165354335</v>
      </c>
      <c r="F59" s="641">
        <v>8030.4448818897636</v>
      </c>
      <c r="G59" s="665">
        <f>IF(E59&amp;F59="--","-",SUM(E59:F59))</f>
        <v>15194.712598425198</v>
      </c>
      <c r="H59" s="630" t="s">
        <v>7552</v>
      </c>
      <c r="I59" s="631">
        <f>ABS(G65-G59)</f>
        <v>0.30708661417156691</v>
      </c>
      <c r="J59" s="632" t="str">
        <f>IF(I59&gt;J$5,"Wrong","OK")</f>
        <v>OK</v>
      </c>
    </row>
    <row r="60" spans="2:10">
      <c r="B60" s="633" t="s">
        <v>7556</v>
      </c>
      <c r="C60" s="660" t="s">
        <v>40</v>
      </c>
      <c r="D60" s="663" t="s">
        <v>41</v>
      </c>
      <c r="E60" s="664"/>
      <c r="F60" s="664"/>
      <c r="H60" s="669"/>
      <c r="I60" s="649"/>
      <c r="J60" s="670"/>
    </row>
    <row r="61" spans="2:10">
      <c r="B61" s="633" t="s">
        <v>7557</v>
      </c>
      <c r="C61" s="643" t="s">
        <v>42</v>
      </c>
      <c r="D61" s="663" t="s">
        <v>43</v>
      </c>
      <c r="E61" s="662"/>
      <c r="F61" s="662"/>
      <c r="G61" s="666"/>
      <c r="H61" s="646"/>
      <c r="I61" s="647"/>
      <c r="J61" s="648"/>
    </row>
    <row r="62" spans="2:10">
      <c r="B62" s="633" t="s">
        <v>7558</v>
      </c>
      <c r="C62" s="643" t="s">
        <v>44</v>
      </c>
      <c r="D62" s="643" t="s">
        <v>45</v>
      </c>
      <c r="E62" s="644"/>
      <c r="F62" s="644"/>
      <c r="G62" s="666"/>
      <c r="H62" s="646"/>
      <c r="I62" s="649"/>
      <c r="J62" s="648"/>
    </row>
    <row r="63" spans="2:10">
      <c r="B63" s="633" t="s">
        <v>7558</v>
      </c>
      <c r="C63" s="643" t="s">
        <v>46</v>
      </c>
      <c r="D63" s="643" t="s">
        <v>47</v>
      </c>
      <c r="E63" s="644"/>
      <c r="F63" s="644"/>
      <c r="G63" s="666"/>
      <c r="H63" s="646"/>
      <c r="I63" s="649"/>
      <c r="J63" s="648"/>
    </row>
    <row r="64" spans="2:10" ht="15.75" thickBot="1">
      <c r="B64" s="633" t="s">
        <v>7559</v>
      </c>
      <c r="C64" s="650" t="s">
        <v>48</v>
      </c>
      <c r="D64" s="650" t="s">
        <v>49</v>
      </c>
      <c r="E64" s="651"/>
      <c r="F64" s="651"/>
      <c r="G64" s="667"/>
      <c r="H64" s="646"/>
      <c r="I64" s="649"/>
      <c r="J64" s="648"/>
    </row>
    <row r="65" spans="2:10">
      <c r="B65" s="633" t="s">
        <v>7356</v>
      </c>
      <c r="C65" s="639" t="s">
        <v>7565</v>
      </c>
      <c r="D65" s="661" t="s">
        <v>7562</v>
      </c>
      <c r="E65" s="641">
        <v>7164.5748031496069</v>
      </c>
      <c r="F65" s="641">
        <v>8030.4448818897636</v>
      </c>
      <c r="G65" s="665">
        <f>IF(E65&amp;F65="--","-",SUM(E65:F65))</f>
        <v>15195.01968503937</v>
      </c>
      <c r="H65" s="646"/>
      <c r="I65" s="649"/>
      <c r="J65" s="648"/>
    </row>
    <row r="66" spans="2:10">
      <c r="B66" s="633" t="s">
        <v>7560</v>
      </c>
      <c r="C66" s="660" t="s">
        <v>54</v>
      </c>
      <c r="D66" s="660" t="s">
        <v>52</v>
      </c>
      <c r="E66" s="644"/>
      <c r="F66" s="644"/>
      <c r="G66" s="666"/>
      <c r="H66" s="646"/>
      <c r="I66" s="649"/>
      <c r="J66" s="648"/>
    </row>
    <row r="67" spans="2:10">
      <c r="B67" s="633" t="s">
        <v>7560</v>
      </c>
      <c r="C67" s="643" t="s">
        <v>55</v>
      </c>
      <c r="D67" s="643" t="s">
        <v>7553</v>
      </c>
      <c r="E67" s="644"/>
      <c r="F67" s="644"/>
      <c r="G67" s="666"/>
      <c r="H67" s="646"/>
      <c r="I67" s="649"/>
      <c r="J67" s="648"/>
    </row>
    <row r="68" spans="2:10">
      <c r="B68" s="633" t="s">
        <v>7560</v>
      </c>
      <c r="C68" s="643" t="s">
        <v>58</v>
      </c>
      <c r="D68" s="643" t="s">
        <v>57</v>
      </c>
      <c r="E68" s="644"/>
      <c r="F68" s="644"/>
      <c r="G68" s="666"/>
      <c r="H68" s="646"/>
      <c r="I68" s="649"/>
      <c r="J68" s="648"/>
    </row>
    <row r="69" spans="2:10">
      <c r="B69" s="633" t="s">
        <v>7560</v>
      </c>
      <c r="C69" s="643" t="s">
        <v>60</v>
      </c>
      <c r="D69" s="643" t="s">
        <v>59</v>
      </c>
      <c r="E69" s="644"/>
      <c r="F69" s="644"/>
      <c r="G69" s="666"/>
      <c r="H69" s="646"/>
      <c r="I69" s="649"/>
      <c r="J69" s="648"/>
    </row>
    <row r="70" spans="2:10" ht="15.75" thickBot="1">
      <c r="B70" s="633" t="s">
        <v>7356</v>
      </c>
      <c r="C70" s="655" t="s">
        <v>62</v>
      </c>
      <c r="D70" s="655" t="s">
        <v>61</v>
      </c>
      <c r="E70" s="656"/>
      <c r="F70" s="656"/>
      <c r="G70" s="668"/>
      <c r="H70" s="636"/>
      <c r="I70" s="659"/>
      <c r="J70" s="638"/>
    </row>
    <row r="71" spans="2:10">
      <c r="B71" s="633" t="s">
        <v>7560</v>
      </c>
      <c r="C71" s="640" t="s">
        <v>90</v>
      </c>
      <c r="D71" s="640" t="s">
        <v>91</v>
      </c>
      <c r="E71" s="641">
        <v>10746.688976377953</v>
      </c>
      <c r="F71" s="641">
        <v>6298.6456692913389</v>
      </c>
      <c r="G71" s="642">
        <f>IF(E71&amp;F71="--","-",SUM(E71:F71))</f>
        <v>17045.334645669293</v>
      </c>
      <c r="H71" s="630" t="s">
        <v>7552</v>
      </c>
      <c r="I71" s="631">
        <f>ABS(G75-G71)</f>
        <v>0.92125984252197668</v>
      </c>
      <c r="J71" s="632" t="str">
        <f>IF(I71&gt;J$5,"Wrong","OK")</f>
        <v>OK</v>
      </c>
    </row>
    <row r="72" spans="2:10">
      <c r="B72" s="633" t="s">
        <v>7356</v>
      </c>
      <c r="C72" s="643" t="s">
        <v>93</v>
      </c>
      <c r="D72" s="643" t="s">
        <v>94</v>
      </c>
      <c r="E72" s="644"/>
      <c r="F72" s="644"/>
      <c r="G72" s="645"/>
      <c r="H72" s="646"/>
      <c r="I72" s="647"/>
      <c r="J72" s="648"/>
    </row>
    <row r="73" spans="2:10">
      <c r="B73" s="633" t="s">
        <v>7560</v>
      </c>
      <c r="C73" s="643" t="s">
        <v>95</v>
      </c>
      <c r="D73" s="643" t="s">
        <v>96</v>
      </c>
      <c r="E73" s="644"/>
      <c r="F73" s="644"/>
      <c r="G73" s="645"/>
      <c r="H73" s="646"/>
      <c r="I73" s="649"/>
      <c r="J73" s="648"/>
    </row>
    <row r="74" spans="2:10">
      <c r="B74" s="633" t="s">
        <v>7356</v>
      </c>
      <c r="C74" s="650" t="s">
        <v>97</v>
      </c>
      <c r="D74" s="650" t="s">
        <v>98</v>
      </c>
      <c r="E74" s="651"/>
      <c r="F74" s="651"/>
      <c r="G74" s="652"/>
      <c r="H74" s="646"/>
      <c r="I74" s="649"/>
      <c r="J74" s="648"/>
    </row>
    <row r="75" spans="2:10">
      <c r="B75" s="633" t="s">
        <v>7560</v>
      </c>
      <c r="C75" s="653" t="s">
        <v>99</v>
      </c>
      <c r="D75" s="653" t="s">
        <v>100</v>
      </c>
      <c r="E75" s="644">
        <v>10746.696850393701</v>
      </c>
      <c r="F75" s="644">
        <v>6297.7165354330709</v>
      </c>
      <c r="G75" s="654">
        <f>IF(E75&amp;F75="--","-",SUM(E75:F75))</f>
        <v>17044.413385826771</v>
      </c>
      <c r="H75" s="646"/>
      <c r="I75" s="649"/>
      <c r="J75" s="648"/>
    </row>
    <row r="76" spans="2:10">
      <c r="B76" s="633" t="s">
        <v>7356</v>
      </c>
      <c r="C76" s="643" t="s">
        <v>102</v>
      </c>
      <c r="D76" s="643" t="s">
        <v>103</v>
      </c>
      <c r="E76" s="644"/>
      <c r="F76" s="644"/>
      <c r="G76" s="645"/>
      <c r="H76" s="646"/>
      <c r="I76" s="649"/>
      <c r="J76" s="648"/>
    </row>
    <row r="77" spans="2:10">
      <c r="B77" s="633" t="s">
        <v>7560</v>
      </c>
      <c r="C77" s="643" t="s">
        <v>104</v>
      </c>
      <c r="D77" s="643" t="s">
        <v>105</v>
      </c>
      <c r="E77" s="644"/>
      <c r="F77" s="644"/>
      <c r="G77" s="645"/>
      <c r="H77" s="646"/>
      <c r="I77" s="649"/>
      <c r="J77" s="648"/>
    </row>
    <row r="78" spans="2:10" ht="15.75" thickBot="1">
      <c r="B78" s="633" t="s">
        <v>7356</v>
      </c>
      <c r="C78" s="655" t="s">
        <v>106</v>
      </c>
      <c r="D78" s="655" t="s">
        <v>107</v>
      </c>
      <c r="E78" s="656"/>
      <c r="F78" s="656"/>
      <c r="G78" s="657"/>
      <c r="H78" s="646"/>
      <c r="I78" s="649"/>
      <c r="J78" s="648"/>
    </row>
    <row r="79" spans="2:10">
      <c r="B79" s="633" t="s">
        <v>7560</v>
      </c>
      <c r="C79" s="640" t="s">
        <v>110</v>
      </c>
      <c r="D79" s="640" t="s">
        <v>111</v>
      </c>
      <c r="E79" s="641">
        <v>9684.3385826771664</v>
      </c>
      <c r="F79" s="641">
        <v>6770.2637795275587</v>
      </c>
      <c r="G79" s="642">
        <f>IF(E79&amp;F79="--","-",SUM(E79:F79))</f>
        <v>16454.602362204725</v>
      </c>
      <c r="H79" s="630" t="s">
        <v>7552</v>
      </c>
      <c r="I79" s="631">
        <f>ABS(G82-G79)</f>
        <v>0.58267716535556247</v>
      </c>
      <c r="J79" s="632" t="str">
        <f>IF(I79&gt;J$5,"Wrong","OK")</f>
        <v>OK</v>
      </c>
    </row>
    <row r="80" spans="2:10">
      <c r="B80" s="633" t="s">
        <v>7560</v>
      </c>
      <c r="C80" s="643" t="s">
        <v>126</v>
      </c>
      <c r="D80" s="643" t="s">
        <v>127</v>
      </c>
      <c r="E80" s="644"/>
      <c r="F80" s="644"/>
      <c r="G80" s="645"/>
      <c r="H80" s="646"/>
      <c r="I80" s="647"/>
      <c r="J80" s="648"/>
    </row>
    <row r="81" spans="2:10">
      <c r="B81" s="633" t="s">
        <v>7560</v>
      </c>
      <c r="C81" s="650" t="s">
        <v>134</v>
      </c>
      <c r="D81" s="650" t="s">
        <v>135</v>
      </c>
      <c r="E81" s="651"/>
      <c r="F81" s="651"/>
      <c r="G81" s="652"/>
      <c r="H81" s="646"/>
      <c r="I81" s="649"/>
      <c r="J81" s="648"/>
    </row>
    <row r="82" spans="2:10">
      <c r="B82" s="633" t="s">
        <v>7560</v>
      </c>
      <c r="C82" s="653" t="s">
        <v>138</v>
      </c>
      <c r="D82" s="653" t="s">
        <v>139</v>
      </c>
      <c r="E82" s="644">
        <v>9683.748031496063</v>
      </c>
      <c r="F82" s="644">
        <v>6770.2716535433074</v>
      </c>
      <c r="G82" s="654">
        <f>IF(E82&amp;F82="--","-",SUM(E82:F82))</f>
        <v>16454.01968503937</v>
      </c>
      <c r="H82" s="646"/>
      <c r="I82" s="649"/>
      <c r="J82" s="648"/>
    </row>
    <row r="83" spans="2:10">
      <c r="B83" s="633" t="s">
        <v>7560</v>
      </c>
      <c r="C83" s="643" t="s">
        <v>150</v>
      </c>
      <c r="D83" s="643" t="s">
        <v>151</v>
      </c>
      <c r="E83" s="644"/>
      <c r="F83" s="644"/>
      <c r="G83" s="645"/>
      <c r="H83" s="646"/>
      <c r="I83" s="649"/>
      <c r="J83" s="648"/>
    </row>
    <row r="84" spans="2:10" ht="15.75" thickBot="1">
      <c r="B84" s="633" t="s">
        <v>7560</v>
      </c>
      <c r="C84" s="655" t="s">
        <v>158</v>
      </c>
      <c r="D84" s="655" t="s">
        <v>159</v>
      </c>
      <c r="E84" s="656"/>
      <c r="F84" s="656"/>
      <c r="G84" s="657"/>
      <c r="H84" s="646"/>
      <c r="I84" s="649"/>
      <c r="J84" s="648"/>
    </row>
    <row r="85" spans="2:10">
      <c r="B85" s="633" t="s">
        <v>7560</v>
      </c>
      <c r="C85" s="640" t="s">
        <v>113</v>
      </c>
      <c r="D85" s="640" t="s">
        <v>114</v>
      </c>
      <c r="E85" s="641">
        <v>9683.9173228346463</v>
      </c>
      <c r="F85" s="641">
        <v>5944.035433070866</v>
      </c>
      <c r="G85" s="642">
        <f>IF(E85&amp;F85="--","-",SUM(E85:F85))</f>
        <v>15627.952755905513</v>
      </c>
      <c r="H85" s="630" t="s">
        <v>7552</v>
      </c>
      <c r="I85" s="631">
        <f>ABS(G88-G85)</f>
        <v>7.8740157481661299E-2</v>
      </c>
      <c r="J85" s="632" t="str">
        <f>IF(I85&gt;J$5,"Wrong","OK")</f>
        <v>OK</v>
      </c>
    </row>
    <row r="86" spans="2:10">
      <c r="B86" s="633" t="s">
        <v>7560</v>
      </c>
      <c r="C86" s="643" t="s">
        <v>128</v>
      </c>
      <c r="D86" s="643" t="s">
        <v>129</v>
      </c>
      <c r="E86" s="644"/>
      <c r="F86" s="644"/>
      <c r="G86" s="645"/>
      <c r="H86" s="646"/>
      <c r="I86" s="647"/>
      <c r="J86" s="648"/>
    </row>
    <row r="87" spans="2:10">
      <c r="B87" s="633" t="s">
        <v>7560</v>
      </c>
      <c r="C87" s="650" t="s">
        <v>136</v>
      </c>
      <c r="D87" s="650" t="s">
        <v>137</v>
      </c>
      <c r="E87" s="651"/>
      <c r="F87" s="651"/>
      <c r="G87" s="652"/>
      <c r="H87" s="646"/>
      <c r="I87" s="649"/>
      <c r="J87" s="648"/>
    </row>
    <row r="88" spans="2:10">
      <c r="B88" s="633" t="s">
        <v>7560</v>
      </c>
      <c r="C88" s="653" t="s">
        <v>140</v>
      </c>
      <c r="D88" s="653" t="s">
        <v>141</v>
      </c>
      <c r="E88" s="644">
        <v>9683.2874015748039</v>
      </c>
      <c r="F88" s="644">
        <v>5944.5866141732286</v>
      </c>
      <c r="G88" s="654">
        <f>IF(E88&amp;F88="--","-",SUM(E88:F88))</f>
        <v>15627.874015748032</v>
      </c>
      <c r="H88" s="646"/>
      <c r="I88" s="649"/>
      <c r="J88" s="648"/>
    </row>
    <row r="89" spans="2:10">
      <c r="B89" s="633" t="s">
        <v>7560</v>
      </c>
      <c r="C89" s="643" t="s">
        <v>152</v>
      </c>
      <c r="D89" s="643" t="s">
        <v>153</v>
      </c>
      <c r="E89" s="644"/>
      <c r="F89" s="644"/>
      <c r="G89" s="645"/>
      <c r="H89" s="646"/>
      <c r="I89" s="649"/>
      <c r="J89" s="648"/>
    </row>
    <row r="90" spans="2:10" ht="15.75" thickBot="1">
      <c r="B90" s="633" t="s">
        <v>7560</v>
      </c>
      <c r="C90" s="655" t="s">
        <v>160</v>
      </c>
      <c r="D90" s="655" t="s">
        <v>161</v>
      </c>
      <c r="E90" s="656"/>
      <c r="F90" s="656"/>
      <c r="G90" s="657"/>
      <c r="H90" s="646"/>
      <c r="I90" s="649"/>
      <c r="J90" s="648"/>
    </row>
    <row r="91" spans="2:10">
      <c r="B91" s="633" t="s">
        <v>7356</v>
      </c>
      <c r="C91" s="640" t="s">
        <v>122</v>
      </c>
      <c r="D91" s="640" t="s">
        <v>123</v>
      </c>
      <c r="E91" s="641">
        <v>9684.6023622047251</v>
      </c>
      <c r="F91" s="641">
        <v>7007.0787401574808</v>
      </c>
      <c r="G91" s="642">
        <f>IF(E91&amp;F91="--","-",SUM(E91:F91))</f>
        <v>16691.681102362207</v>
      </c>
      <c r="H91" s="630" t="s">
        <v>7552</v>
      </c>
      <c r="I91" s="631">
        <f>ABS(G94-G91)</f>
        <v>1.7204724409457413</v>
      </c>
      <c r="J91" s="632" t="str">
        <f>IF(I91&gt;J$5,"Wrong","OK")</f>
        <v>OK</v>
      </c>
    </row>
    <row r="92" spans="2:10">
      <c r="B92" s="633" t="s">
        <v>7560</v>
      </c>
      <c r="C92" s="643" t="s">
        <v>130</v>
      </c>
      <c r="D92" s="643" t="s">
        <v>131</v>
      </c>
      <c r="E92" s="644"/>
      <c r="F92" s="644"/>
      <c r="G92" s="645"/>
      <c r="H92" s="646"/>
      <c r="I92" s="647"/>
      <c r="J92" s="648"/>
    </row>
    <row r="93" spans="2:10">
      <c r="B93" s="633" t="s">
        <v>7356</v>
      </c>
      <c r="C93" s="650" t="s">
        <v>116</v>
      </c>
      <c r="D93" s="650" t="s">
        <v>117</v>
      </c>
      <c r="E93" s="651"/>
      <c r="F93" s="651"/>
      <c r="G93" s="652"/>
      <c r="H93" s="646"/>
      <c r="I93" s="649"/>
      <c r="J93" s="648"/>
    </row>
    <row r="94" spans="2:10">
      <c r="B94" s="633" t="s">
        <v>7560</v>
      </c>
      <c r="C94" s="653" t="s">
        <v>146</v>
      </c>
      <c r="D94" s="653" t="s">
        <v>147</v>
      </c>
      <c r="E94" s="644">
        <v>9683.8897637795271</v>
      </c>
      <c r="F94" s="644">
        <v>7006.070866141732</v>
      </c>
      <c r="G94" s="654">
        <f>IF(E94&amp;F94="--","-",SUM(E94:F94))</f>
        <v>16689.960629921261</v>
      </c>
      <c r="H94" s="646"/>
      <c r="I94" s="649"/>
      <c r="J94" s="648"/>
    </row>
    <row r="95" spans="2:10">
      <c r="B95" s="633" t="s">
        <v>7356</v>
      </c>
      <c r="C95" s="643" t="s">
        <v>154</v>
      </c>
      <c r="D95" s="643" t="s">
        <v>155</v>
      </c>
      <c r="E95" s="644"/>
      <c r="F95" s="644"/>
      <c r="G95" s="645"/>
      <c r="H95" s="646"/>
      <c r="I95" s="649"/>
      <c r="J95" s="648"/>
    </row>
    <row r="96" spans="2:10" ht="15.75" thickBot="1">
      <c r="B96" s="633" t="s">
        <v>7560</v>
      </c>
      <c r="C96" s="655" t="s">
        <v>142</v>
      </c>
      <c r="D96" s="655" t="s">
        <v>143</v>
      </c>
      <c r="E96" s="656"/>
      <c r="F96" s="656"/>
      <c r="G96" s="657"/>
      <c r="H96" s="646"/>
      <c r="I96" s="649"/>
      <c r="J96" s="648"/>
    </row>
    <row r="97" spans="2:10">
      <c r="B97" s="633" t="s">
        <v>7560</v>
      </c>
      <c r="C97" s="640" t="s">
        <v>124</v>
      </c>
      <c r="D97" s="640" t="s">
        <v>125</v>
      </c>
      <c r="E97" s="641">
        <v>9684.2283464566935</v>
      </c>
      <c r="F97" s="641">
        <v>8936.2677165354344</v>
      </c>
      <c r="G97" s="642">
        <f>IF(E97&amp;F97="--","-",SUM(E97:F97))</f>
        <v>18620.496062992126</v>
      </c>
      <c r="H97" s="630" t="s">
        <v>7552</v>
      </c>
      <c r="I97" s="631">
        <f>ABS(G100-G97)</f>
        <v>0.71259842519793892</v>
      </c>
      <c r="J97" s="632" t="str">
        <f>IF(I97&gt;J$5,"Wrong","OK")</f>
        <v>OK</v>
      </c>
    </row>
    <row r="98" spans="2:10">
      <c r="B98" s="633" t="s">
        <v>7560</v>
      </c>
      <c r="C98" s="643" t="s">
        <v>132</v>
      </c>
      <c r="D98" s="643" t="s">
        <v>133</v>
      </c>
      <c r="E98" s="644"/>
      <c r="F98" s="644"/>
      <c r="G98" s="645"/>
      <c r="H98" s="646"/>
      <c r="I98" s="647"/>
      <c r="J98" s="648"/>
    </row>
    <row r="99" spans="2:10">
      <c r="B99" s="633" t="s">
        <v>7560</v>
      </c>
      <c r="C99" s="650" t="s">
        <v>119</v>
      </c>
      <c r="D99" s="650" t="s">
        <v>120</v>
      </c>
      <c r="E99" s="651"/>
      <c r="F99" s="651"/>
      <c r="G99" s="652"/>
      <c r="H99" s="646"/>
      <c r="I99" s="649"/>
      <c r="J99" s="648"/>
    </row>
    <row r="100" spans="2:10">
      <c r="B100" s="633" t="s">
        <v>7560</v>
      </c>
      <c r="C100" s="653" t="s">
        <v>148</v>
      </c>
      <c r="D100" s="653" t="s">
        <v>149</v>
      </c>
      <c r="E100" s="644">
        <v>9683.9330708661419</v>
      </c>
      <c r="F100" s="644">
        <v>8935.8503937007881</v>
      </c>
      <c r="G100" s="654">
        <f>IF(E100&amp;F100="--","-",SUM(E100:F100))</f>
        <v>18619.783464566928</v>
      </c>
      <c r="H100" s="646"/>
      <c r="I100" s="649"/>
      <c r="J100" s="648"/>
    </row>
    <row r="101" spans="2:10">
      <c r="B101" s="633" t="s">
        <v>7560</v>
      </c>
      <c r="C101" s="643" t="s">
        <v>156</v>
      </c>
      <c r="D101" s="643" t="s">
        <v>157</v>
      </c>
      <c r="E101" s="644"/>
      <c r="F101" s="644"/>
      <c r="G101" s="645"/>
      <c r="H101" s="646"/>
      <c r="I101" s="649"/>
      <c r="J101" s="648"/>
    </row>
    <row r="102" spans="2:10" ht="15.75" thickBot="1">
      <c r="B102" s="658" t="s">
        <v>7560</v>
      </c>
      <c r="C102" s="655" t="s">
        <v>144</v>
      </c>
      <c r="D102" s="655" t="s">
        <v>145</v>
      </c>
      <c r="E102" s="656"/>
      <c r="F102" s="656"/>
      <c r="G102" s="657"/>
      <c r="H102" s="636"/>
      <c r="I102" s="659"/>
      <c r="J102" s="638"/>
    </row>
    <row r="103" spans="2:10">
      <c r="B103" s="671" t="s">
        <v>7561</v>
      </c>
      <c r="C103" s="627" t="s">
        <v>33</v>
      </c>
      <c r="D103" s="627" t="s">
        <v>34</v>
      </c>
      <c r="E103" s="628">
        <v>2951.7362204724413</v>
      </c>
      <c r="F103" s="628">
        <v>9644.7125984251961</v>
      </c>
      <c r="G103" s="629">
        <f>IF(E103&amp;F103="--","-",SUM(E103:F103))</f>
        <v>12596.448818897637</v>
      </c>
      <c r="H103" s="630" t="s">
        <v>7552</v>
      </c>
      <c r="I103" s="631">
        <f>ABS(G104-G103)</f>
        <v>5.905511811033648E-2</v>
      </c>
      <c r="J103" s="632" t="str">
        <f>IF(I103&gt;J$5,"Wrong","OK")</f>
        <v>OK</v>
      </c>
    </row>
    <row r="104" spans="2:10" ht="15.75" thickBot="1">
      <c r="B104" s="633" t="s">
        <v>7561</v>
      </c>
      <c r="C104" s="634" t="s">
        <v>35</v>
      </c>
      <c r="D104" s="634" t="s">
        <v>36</v>
      </c>
      <c r="E104" s="651">
        <v>2951.3937007874019</v>
      </c>
      <c r="F104" s="651">
        <v>9644.9960629921261</v>
      </c>
      <c r="G104" s="635">
        <f>IF(E104&amp;F104="--","-",SUM(E104:F104))</f>
        <v>12596.389763779527</v>
      </c>
      <c r="H104" s="636"/>
      <c r="I104" s="637"/>
      <c r="J104" s="638"/>
    </row>
    <row r="105" spans="2:10">
      <c r="B105" s="633" t="s">
        <v>7355</v>
      </c>
      <c r="C105" s="627" t="s">
        <v>720</v>
      </c>
      <c r="D105" s="627" t="s">
        <v>7578</v>
      </c>
      <c r="E105" s="628">
        <v>5313.7047244094483</v>
      </c>
      <c r="F105" s="628"/>
      <c r="G105" s="629">
        <f>+E105</f>
        <v>5313.7047244094483</v>
      </c>
      <c r="H105" s="630" t="s">
        <v>7552</v>
      </c>
      <c r="I105" s="631">
        <f>ABS(G106-G105)</f>
        <v>0.27559055118217657</v>
      </c>
      <c r="J105" s="632" t="str">
        <f>IF(I105&gt;J$5,"Wrong","OK")</f>
        <v>OK</v>
      </c>
    </row>
    <row r="106" spans="2:10" ht="15.75" thickBot="1">
      <c r="B106" s="633" t="s">
        <v>7355</v>
      </c>
      <c r="C106" s="634" t="s">
        <v>722</v>
      </c>
      <c r="D106" s="634" t="s">
        <v>723</v>
      </c>
      <c r="E106" s="651">
        <v>5313.9803149606305</v>
      </c>
      <c r="F106" s="651"/>
      <c r="G106" s="635">
        <f>+E106</f>
        <v>5313.9803149606305</v>
      </c>
      <c r="H106" s="636"/>
      <c r="I106" s="637"/>
      <c r="J106" s="638"/>
    </row>
    <row r="107" spans="2:10">
      <c r="B107" s="633" t="s">
        <v>7561</v>
      </c>
      <c r="C107" s="639" t="s">
        <v>7563</v>
      </c>
      <c r="D107" s="661" t="s">
        <v>7562</v>
      </c>
      <c r="E107" s="641">
        <v>6219.3937007874019</v>
      </c>
      <c r="F107" s="641">
        <v>9132.3661417322837</v>
      </c>
      <c r="G107" s="665">
        <f>IF(E107&amp;F107="--","-",SUM(E107:F107))</f>
        <v>15351.759842519685</v>
      </c>
      <c r="H107" s="630" t="s">
        <v>7552</v>
      </c>
      <c r="I107" s="631">
        <f>ABS(G113-G107)</f>
        <v>0.48425196850439534</v>
      </c>
      <c r="J107" s="632" t="str">
        <f>IF(I107&gt;J$5,"Wrong","OK")</f>
        <v>OK</v>
      </c>
    </row>
    <row r="108" spans="2:10">
      <c r="B108" s="633" t="s">
        <v>7561</v>
      </c>
      <c r="C108" s="660" t="s">
        <v>40</v>
      </c>
      <c r="D108" s="663" t="s">
        <v>41</v>
      </c>
      <c r="E108" s="664"/>
      <c r="F108" s="664"/>
      <c r="H108" s="669"/>
      <c r="I108" s="649"/>
      <c r="J108" s="670"/>
    </row>
    <row r="109" spans="2:10">
      <c r="B109" s="633" t="s">
        <v>7561</v>
      </c>
      <c r="C109" s="643" t="s">
        <v>42</v>
      </c>
      <c r="D109" s="663" t="s">
        <v>43</v>
      </c>
      <c r="E109" s="662"/>
      <c r="F109" s="662"/>
      <c r="G109" s="666"/>
      <c r="H109" s="646"/>
      <c r="I109" s="647"/>
      <c r="J109" s="648"/>
    </row>
    <row r="110" spans="2:10">
      <c r="B110" s="633" t="s">
        <v>7561</v>
      </c>
      <c r="C110" s="643" t="s">
        <v>44</v>
      </c>
      <c r="D110" s="643" t="s">
        <v>45</v>
      </c>
      <c r="E110" s="644"/>
      <c r="F110" s="644"/>
      <c r="G110" s="666"/>
      <c r="H110" s="646"/>
      <c r="I110" s="649"/>
      <c r="J110" s="648"/>
    </row>
    <row r="111" spans="2:10">
      <c r="B111" s="633" t="s">
        <v>7561</v>
      </c>
      <c r="C111" s="643" t="s">
        <v>46</v>
      </c>
      <c r="D111" s="643" t="s">
        <v>47</v>
      </c>
      <c r="E111" s="644"/>
      <c r="F111" s="644"/>
      <c r="G111" s="666"/>
      <c r="H111" s="646"/>
      <c r="I111" s="649"/>
      <c r="J111" s="648"/>
    </row>
    <row r="112" spans="2:10" ht="15.75" thickBot="1">
      <c r="B112" s="633" t="s">
        <v>7561</v>
      </c>
      <c r="C112" s="650" t="s">
        <v>48</v>
      </c>
      <c r="D112" s="650" t="s">
        <v>49</v>
      </c>
      <c r="E112" s="651"/>
      <c r="F112" s="651"/>
      <c r="G112" s="667"/>
      <c r="H112" s="646"/>
      <c r="I112" s="649"/>
      <c r="J112" s="648"/>
    </row>
    <row r="113" spans="2:10">
      <c r="B113" s="633" t="s">
        <v>7561</v>
      </c>
      <c r="C113" s="639" t="s">
        <v>7565</v>
      </c>
      <c r="D113" s="661" t="s">
        <v>7562</v>
      </c>
      <c r="E113" s="641">
        <v>6219.8779527559063</v>
      </c>
      <c r="F113" s="641">
        <v>9132.3661417322837</v>
      </c>
      <c r="G113" s="665">
        <f>IF(E113&amp;F113="--","-",SUM(E113:F113))</f>
        <v>15352.244094488189</v>
      </c>
      <c r="H113" s="646"/>
      <c r="I113" s="649"/>
      <c r="J113" s="648"/>
    </row>
    <row r="114" spans="2:10">
      <c r="B114" s="633" t="s">
        <v>7561</v>
      </c>
      <c r="C114" s="660" t="s">
        <v>54</v>
      </c>
      <c r="D114" s="660" t="s">
        <v>52</v>
      </c>
      <c r="E114" s="644"/>
      <c r="F114" s="644"/>
      <c r="G114" s="666"/>
      <c r="H114" s="646"/>
      <c r="I114" s="649"/>
      <c r="J114" s="648"/>
    </row>
    <row r="115" spans="2:10">
      <c r="B115" s="633" t="s">
        <v>7561</v>
      </c>
      <c r="C115" s="643" t="s">
        <v>55</v>
      </c>
      <c r="D115" s="643" t="s">
        <v>7553</v>
      </c>
      <c r="E115" s="644"/>
      <c r="F115" s="644"/>
      <c r="G115" s="666"/>
      <c r="H115" s="646"/>
      <c r="I115" s="649"/>
      <c r="J115" s="648"/>
    </row>
    <row r="116" spans="2:10">
      <c r="B116" s="633" t="s">
        <v>7561</v>
      </c>
      <c r="C116" s="643" t="s">
        <v>58</v>
      </c>
      <c r="D116" s="643" t="s">
        <v>57</v>
      </c>
      <c r="E116" s="644"/>
      <c r="F116" s="644"/>
      <c r="G116" s="666"/>
      <c r="H116" s="646"/>
      <c r="I116" s="649"/>
      <c r="J116" s="648"/>
    </row>
    <row r="117" spans="2:10">
      <c r="B117" s="633" t="s">
        <v>7561</v>
      </c>
      <c r="C117" s="643" t="s">
        <v>60</v>
      </c>
      <c r="D117" s="643" t="s">
        <v>59</v>
      </c>
      <c r="E117" s="644"/>
      <c r="F117" s="644"/>
      <c r="G117" s="666"/>
      <c r="H117" s="646"/>
      <c r="I117" s="649"/>
      <c r="J117" s="648"/>
    </row>
    <row r="118" spans="2:10" ht="15.75" thickBot="1">
      <c r="B118" s="633" t="s">
        <v>7561</v>
      </c>
      <c r="C118" s="655" t="s">
        <v>62</v>
      </c>
      <c r="D118" s="655" t="s">
        <v>61</v>
      </c>
      <c r="E118" s="656"/>
      <c r="F118" s="656"/>
      <c r="G118" s="668"/>
      <c r="H118" s="636"/>
      <c r="I118" s="659"/>
      <c r="J118" s="638"/>
    </row>
    <row r="119" spans="2:10">
      <c r="B119" s="633" t="s">
        <v>7561</v>
      </c>
      <c r="C119" s="640" t="s">
        <v>90</v>
      </c>
      <c r="D119" s="640" t="s">
        <v>91</v>
      </c>
      <c r="E119" s="641">
        <v>5078.322834645669</v>
      </c>
      <c r="F119" s="641">
        <v>13188.913385826772</v>
      </c>
      <c r="G119" s="642">
        <f>IF(E119&amp;F119="--","-",SUM(E119:F119))</f>
        <v>18267.236220472441</v>
      </c>
      <c r="H119" s="630" t="s">
        <v>7552</v>
      </c>
      <c r="I119" s="631">
        <f>ABS(G123-G119)</f>
        <v>1.594488188977266</v>
      </c>
      <c r="J119" s="632" t="str">
        <f>IF(I119&gt;J$5,"Wrong","OK")</f>
        <v>OK</v>
      </c>
    </row>
    <row r="120" spans="2:10">
      <c r="B120" s="633" t="s">
        <v>7561</v>
      </c>
      <c r="C120" s="643" t="s">
        <v>93</v>
      </c>
      <c r="D120" s="643" t="s">
        <v>94</v>
      </c>
      <c r="E120" s="644"/>
      <c r="F120" s="644"/>
      <c r="G120" s="645"/>
      <c r="H120" s="646"/>
      <c r="I120" s="647"/>
      <c r="J120" s="648"/>
    </row>
    <row r="121" spans="2:10">
      <c r="B121" s="633" t="s">
        <v>7561</v>
      </c>
      <c r="C121" s="643" t="s">
        <v>95</v>
      </c>
      <c r="D121" s="643" t="s">
        <v>96</v>
      </c>
      <c r="E121" s="644"/>
      <c r="F121" s="644"/>
      <c r="G121" s="645"/>
      <c r="H121" s="646"/>
      <c r="I121" s="649"/>
      <c r="J121" s="648"/>
    </row>
    <row r="122" spans="2:10">
      <c r="B122" s="633" t="s">
        <v>7561</v>
      </c>
      <c r="C122" s="650" t="s">
        <v>97</v>
      </c>
      <c r="D122" s="650" t="s">
        <v>98</v>
      </c>
      <c r="E122" s="651"/>
      <c r="F122" s="651"/>
      <c r="G122" s="652"/>
      <c r="H122" s="646"/>
      <c r="I122" s="649"/>
      <c r="J122" s="648"/>
    </row>
    <row r="123" spans="2:10">
      <c r="B123" s="633" t="s">
        <v>7561</v>
      </c>
      <c r="C123" s="653" t="s">
        <v>99</v>
      </c>
      <c r="D123" s="653" t="s">
        <v>100</v>
      </c>
      <c r="E123" s="644">
        <v>5077.7401574803152</v>
      </c>
      <c r="F123" s="644">
        <v>13187.901574803149</v>
      </c>
      <c r="G123" s="654">
        <f>IF(E123&amp;F123="--","-",SUM(E123:F123))</f>
        <v>18265.641732283464</v>
      </c>
      <c r="H123" s="646"/>
      <c r="I123" s="649"/>
      <c r="J123" s="648"/>
    </row>
    <row r="124" spans="2:10">
      <c r="B124" s="633" t="s">
        <v>7561</v>
      </c>
      <c r="C124" s="643" t="s">
        <v>102</v>
      </c>
      <c r="D124" s="643" t="s">
        <v>103</v>
      </c>
      <c r="E124" s="644"/>
      <c r="F124" s="644"/>
      <c r="G124" s="645"/>
      <c r="H124" s="646"/>
      <c r="I124" s="649"/>
      <c r="J124" s="648"/>
    </row>
    <row r="125" spans="2:10">
      <c r="B125" s="633" t="s">
        <v>7561</v>
      </c>
      <c r="C125" s="643" t="s">
        <v>104</v>
      </c>
      <c r="D125" s="643" t="s">
        <v>105</v>
      </c>
      <c r="E125" s="644"/>
      <c r="F125" s="644"/>
      <c r="G125" s="645"/>
      <c r="H125" s="646"/>
      <c r="I125" s="649"/>
      <c r="J125" s="648"/>
    </row>
    <row r="126" spans="2:10" ht="15.75" thickBot="1">
      <c r="B126" s="633" t="s">
        <v>7561</v>
      </c>
      <c r="C126" s="655" t="s">
        <v>106</v>
      </c>
      <c r="D126" s="655" t="s">
        <v>107</v>
      </c>
      <c r="E126" s="656"/>
      <c r="F126" s="656"/>
      <c r="G126" s="657"/>
      <c r="H126" s="646"/>
      <c r="I126" s="649"/>
      <c r="J126" s="648"/>
    </row>
    <row r="127" spans="2:10">
      <c r="B127" s="633" t="s">
        <v>7561</v>
      </c>
      <c r="C127" s="640" t="s">
        <v>110</v>
      </c>
      <c r="D127" s="640" t="s">
        <v>111</v>
      </c>
      <c r="E127" s="641">
        <v>6652.5433070866147</v>
      </c>
      <c r="F127" s="641">
        <v>15905.232283464569</v>
      </c>
      <c r="G127" s="642">
        <f>IF(E127&amp;F127="--","-",SUM(E127:F127))</f>
        <v>22557.775590551184</v>
      </c>
      <c r="H127" s="630" t="s">
        <v>7552</v>
      </c>
      <c r="I127" s="631">
        <f>ABS(G130-G127)</f>
        <v>0.1574803149633226</v>
      </c>
      <c r="J127" s="632" t="str">
        <f>IF(I127&gt;J$5,"Wrong","OK")</f>
        <v>OK</v>
      </c>
    </row>
    <row r="128" spans="2:10">
      <c r="B128" s="633" t="s">
        <v>7561</v>
      </c>
      <c r="C128" s="643" t="s">
        <v>126</v>
      </c>
      <c r="D128" s="643" t="s">
        <v>127</v>
      </c>
      <c r="E128" s="644"/>
      <c r="F128" s="644"/>
      <c r="G128" s="645"/>
      <c r="H128" s="646"/>
      <c r="I128" s="647"/>
      <c r="J128" s="648"/>
    </row>
    <row r="129" spans="2:10">
      <c r="B129" s="633" t="s">
        <v>7561</v>
      </c>
      <c r="C129" s="650" t="s">
        <v>134</v>
      </c>
      <c r="D129" s="650" t="s">
        <v>135</v>
      </c>
      <c r="E129" s="651"/>
      <c r="F129" s="651"/>
      <c r="G129" s="652"/>
      <c r="H129" s="646"/>
      <c r="I129" s="649"/>
      <c r="J129" s="648"/>
    </row>
    <row r="130" spans="2:10">
      <c r="B130" s="633" t="s">
        <v>7561</v>
      </c>
      <c r="C130" s="653" t="s">
        <v>138</v>
      </c>
      <c r="D130" s="653" t="s">
        <v>139</v>
      </c>
      <c r="E130" s="644">
        <v>6652.6574803149606</v>
      </c>
      <c r="F130" s="644">
        <v>15904.960629921261</v>
      </c>
      <c r="G130" s="654">
        <f>IF(E130&amp;F130="--","-",SUM(E130:F130))</f>
        <v>22557.618110236221</v>
      </c>
      <c r="H130" s="646"/>
      <c r="I130" s="649"/>
      <c r="J130" s="648"/>
    </row>
    <row r="131" spans="2:10">
      <c r="B131" s="633" t="s">
        <v>7561</v>
      </c>
      <c r="C131" s="643" t="s">
        <v>150</v>
      </c>
      <c r="D131" s="643" t="s">
        <v>151</v>
      </c>
      <c r="E131" s="644"/>
      <c r="F131" s="644"/>
      <c r="G131" s="645"/>
      <c r="H131" s="646"/>
      <c r="I131" s="649"/>
      <c r="J131" s="648"/>
    </row>
    <row r="132" spans="2:10" ht="15.75" thickBot="1">
      <c r="B132" s="633" t="s">
        <v>7561</v>
      </c>
      <c r="C132" s="655" t="s">
        <v>158</v>
      </c>
      <c r="D132" s="655" t="s">
        <v>159</v>
      </c>
      <c r="E132" s="656"/>
      <c r="F132" s="656"/>
      <c r="G132" s="657"/>
      <c r="H132" s="646"/>
      <c r="I132" s="649"/>
      <c r="J132" s="648"/>
    </row>
    <row r="133" spans="2:10">
      <c r="B133" s="633" t="s">
        <v>7561</v>
      </c>
      <c r="C133" s="640" t="s">
        <v>113</v>
      </c>
      <c r="D133" s="640" t="s">
        <v>114</v>
      </c>
      <c r="E133" s="641">
        <v>6651.9606299212601</v>
      </c>
      <c r="F133" s="641">
        <v>14644.618110236221</v>
      </c>
      <c r="G133" s="642">
        <f>IF(E133&amp;F133="--","-",SUM(E133:F133))</f>
        <v>21296.578740157482</v>
      </c>
      <c r="H133" s="630" t="s">
        <v>7552</v>
      </c>
      <c r="I133" s="631">
        <f>ABS(G136-G133)</f>
        <v>0.60629921259896946</v>
      </c>
      <c r="J133" s="632" t="str">
        <f>IF(I133&gt;J$5,"Wrong","OK")</f>
        <v>OK</v>
      </c>
    </row>
    <row r="134" spans="2:10">
      <c r="B134" s="633" t="s">
        <v>7561</v>
      </c>
      <c r="C134" s="643" t="s">
        <v>128</v>
      </c>
      <c r="D134" s="643" t="s">
        <v>129</v>
      </c>
      <c r="E134" s="644"/>
      <c r="F134" s="644"/>
      <c r="G134" s="645"/>
      <c r="H134" s="646"/>
      <c r="I134" s="647"/>
      <c r="J134" s="648"/>
    </row>
    <row r="135" spans="2:10">
      <c r="B135" s="633" t="s">
        <v>7561</v>
      </c>
      <c r="C135" s="650" t="s">
        <v>136</v>
      </c>
      <c r="D135" s="650" t="s">
        <v>137</v>
      </c>
      <c r="E135" s="651"/>
      <c r="F135" s="651"/>
      <c r="G135" s="652"/>
      <c r="H135" s="646"/>
      <c r="I135" s="649"/>
      <c r="J135" s="648"/>
    </row>
    <row r="136" spans="2:10">
      <c r="B136" s="633" t="s">
        <v>7561</v>
      </c>
      <c r="C136" s="653" t="s">
        <v>140</v>
      </c>
      <c r="D136" s="653" t="s">
        <v>141</v>
      </c>
      <c r="E136" s="644">
        <v>6652.2598425196857</v>
      </c>
      <c r="F136" s="644">
        <v>14644.925196850396</v>
      </c>
      <c r="G136" s="654">
        <f>IF(E136&amp;F136="--","-",SUM(E136:F136))</f>
        <v>21297.185039370081</v>
      </c>
      <c r="H136" s="646"/>
      <c r="I136" s="649"/>
      <c r="J136" s="648"/>
    </row>
    <row r="137" spans="2:10">
      <c r="B137" s="633" t="s">
        <v>7561</v>
      </c>
      <c r="C137" s="643" t="s">
        <v>152</v>
      </c>
      <c r="D137" s="643" t="s">
        <v>153</v>
      </c>
      <c r="E137" s="644"/>
      <c r="F137" s="644"/>
      <c r="G137" s="645"/>
      <c r="H137" s="646"/>
      <c r="I137" s="649"/>
      <c r="J137" s="648"/>
    </row>
    <row r="138" spans="2:10" ht="15.75" thickBot="1">
      <c r="B138" s="633" t="s">
        <v>7561</v>
      </c>
      <c r="C138" s="655" t="s">
        <v>160</v>
      </c>
      <c r="D138" s="655" t="s">
        <v>161</v>
      </c>
      <c r="E138" s="656"/>
      <c r="F138" s="656"/>
      <c r="G138" s="657"/>
      <c r="H138" s="646"/>
      <c r="I138" s="649"/>
      <c r="J138" s="648"/>
    </row>
    <row r="139" spans="2:10">
      <c r="B139" s="633" t="s">
        <v>7561</v>
      </c>
      <c r="C139" s="640" t="s">
        <v>122</v>
      </c>
      <c r="D139" s="640" t="s">
        <v>123</v>
      </c>
      <c r="E139" s="641">
        <v>6653.2992125984256</v>
      </c>
      <c r="F139" s="641">
        <v>9565.5354330708669</v>
      </c>
      <c r="G139" s="642">
        <f>IF(E139&amp;F139="--","-",SUM(E139:F139))</f>
        <v>16218.834645669293</v>
      </c>
      <c r="H139" s="630" t="s">
        <v>7552</v>
      </c>
      <c r="I139" s="631">
        <f>ABS(G142-G139)</f>
        <v>3.937007873901166E-3</v>
      </c>
      <c r="J139" s="632" t="str">
        <f>IF(I139&gt;J$5,"Wrong","OK")</f>
        <v>OK</v>
      </c>
    </row>
    <row r="140" spans="2:10">
      <c r="B140" s="633" t="s">
        <v>7561</v>
      </c>
      <c r="C140" s="643" t="s">
        <v>130</v>
      </c>
      <c r="D140" s="643" t="s">
        <v>131</v>
      </c>
      <c r="E140" s="644"/>
      <c r="F140" s="644"/>
      <c r="G140" s="645"/>
      <c r="H140" s="646"/>
      <c r="I140" s="647"/>
      <c r="J140" s="648"/>
    </row>
    <row r="141" spans="2:10">
      <c r="B141" s="633" t="s">
        <v>7561</v>
      </c>
      <c r="C141" s="650" t="s">
        <v>116</v>
      </c>
      <c r="D141" s="650" t="s">
        <v>117</v>
      </c>
      <c r="E141" s="651"/>
      <c r="F141" s="651"/>
      <c r="G141" s="652"/>
      <c r="H141" s="646"/>
      <c r="I141" s="649"/>
      <c r="J141" s="648"/>
    </row>
    <row r="142" spans="2:10">
      <c r="B142" s="633" t="s">
        <v>7561</v>
      </c>
      <c r="C142" s="653" t="s">
        <v>146</v>
      </c>
      <c r="D142" s="653" t="s">
        <v>147</v>
      </c>
      <c r="E142" s="644">
        <v>6652.748031496064</v>
      </c>
      <c r="F142" s="644">
        <v>9566.0905511811034</v>
      </c>
      <c r="G142" s="654">
        <f>IF(E142&amp;F142="--","-",SUM(E142:F142))</f>
        <v>16218.838582677166</v>
      </c>
      <c r="H142" s="646"/>
      <c r="I142" s="649"/>
      <c r="J142" s="648"/>
    </row>
    <row r="143" spans="2:10">
      <c r="B143" s="633" t="s">
        <v>7561</v>
      </c>
      <c r="C143" s="643" t="s">
        <v>154</v>
      </c>
      <c r="D143" s="643" t="s">
        <v>155</v>
      </c>
      <c r="E143" s="644"/>
      <c r="F143" s="644"/>
      <c r="G143" s="645"/>
      <c r="H143" s="646"/>
      <c r="I143" s="649"/>
      <c r="J143" s="648"/>
    </row>
    <row r="144" spans="2:10" ht="15.75" thickBot="1">
      <c r="B144" s="633" t="s">
        <v>7561</v>
      </c>
      <c r="C144" s="655" t="s">
        <v>142</v>
      </c>
      <c r="D144" s="655" t="s">
        <v>143</v>
      </c>
      <c r="E144" s="656"/>
      <c r="F144" s="656"/>
      <c r="G144" s="657"/>
      <c r="H144" s="646"/>
      <c r="I144" s="649"/>
      <c r="J144" s="648"/>
    </row>
    <row r="145" spans="2:10">
      <c r="B145" s="633" t="s">
        <v>7561</v>
      </c>
      <c r="C145" s="640" t="s">
        <v>124</v>
      </c>
      <c r="D145" s="640" t="s">
        <v>125</v>
      </c>
      <c r="E145" s="641">
        <v>6652.7559055118109</v>
      </c>
      <c r="F145" s="641">
        <v>10432.633858267716</v>
      </c>
      <c r="G145" s="642">
        <f>IF(E145&amp;F145="--","-",SUM(E145:F145))</f>
        <v>17085.389763779527</v>
      </c>
      <c r="H145" s="630" t="s">
        <v>7552</v>
      </c>
      <c r="I145" s="631">
        <f>ABS(G148-G145)</f>
        <v>0.42913385826614103</v>
      </c>
      <c r="J145" s="632" t="str">
        <f>IF(I145&gt;J$5,"Wrong","OK")</f>
        <v>OK</v>
      </c>
    </row>
    <row r="146" spans="2:10">
      <c r="B146" s="633" t="s">
        <v>7561</v>
      </c>
      <c r="C146" s="643" t="s">
        <v>132</v>
      </c>
      <c r="D146" s="643" t="s">
        <v>133</v>
      </c>
      <c r="E146" s="644"/>
      <c r="F146" s="644"/>
      <c r="G146" s="645"/>
      <c r="H146" s="646"/>
      <c r="I146" s="647"/>
      <c r="J146" s="648"/>
    </row>
    <row r="147" spans="2:10">
      <c r="B147" s="633" t="s">
        <v>7561</v>
      </c>
      <c r="C147" s="650" t="s">
        <v>119</v>
      </c>
      <c r="D147" s="650" t="s">
        <v>120</v>
      </c>
      <c r="E147" s="651"/>
      <c r="F147" s="651"/>
      <c r="G147" s="652"/>
      <c r="H147" s="646"/>
      <c r="I147" s="649"/>
      <c r="J147" s="648"/>
    </row>
    <row r="148" spans="2:10">
      <c r="B148" s="633" t="s">
        <v>7561</v>
      </c>
      <c r="C148" s="653" t="s">
        <v>148</v>
      </c>
      <c r="D148" s="653" t="s">
        <v>149</v>
      </c>
      <c r="E148" s="644">
        <v>6653.4094488188975</v>
      </c>
      <c r="F148" s="644">
        <v>10431.551181102364</v>
      </c>
      <c r="G148" s="654">
        <f>IF(E148&amp;F148="--","-",SUM(E148:F148))</f>
        <v>17084.960629921261</v>
      </c>
      <c r="H148" s="646"/>
      <c r="I148" s="649"/>
      <c r="J148" s="648"/>
    </row>
    <row r="149" spans="2:10">
      <c r="B149" s="633" t="s">
        <v>7561</v>
      </c>
      <c r="C149" s="643" t="s">
        <v>156</v>
      </c>
      <c r="D149" s="643" t="s">
        <v>157</v>
      </c>
      <c r="E149" s="644"/>
      <c r="F149" s="644"/>
      <c r="G149" s="645"/>
      <c r="H149" s="646"/>
      <c r="I149" s="649"/>
      <c r="J149" s="648"/>
    </row>
    <row r="150" spans="2:10" ht="15.75" thickBot="1">
      <c r="B150" s="658" t="s">
        <v>7561</v>
      </c>
      <c r="C150" s="655" t="s">
        <v>144</v>
      </c>
      <c r="D150" s="655" t="s">
        <v>145</v>
      </c>
      <c r="E150" s="656"/>
      <c r="F150" s="656"/>
      <c r="G150" s="657"/>
      <c r="H150" s="636"/>
      <c r="I150" s="659"/>
      <c r="J150" s="638"/>
    </row>
  </sheetData>
  <phoneticPr fontId="1"/>
  <conditionalFormatting sqref="J5:J6">
    <cfRule type="cellIs" dxfId="24" priority="39" stopIfTrue="1" operator="equal">
      <formula>"WRONG"</formula>
    </cfRule>
  </conditionalFormatting>
  <conditionalFormatting sqref="J7">
    <cfRule type="cellIs" dxfId="23" priority="38" stopIfTrue="1" operator="equal">
      <formula>"Wrong"</formula>
    </cfRule>
  </conditionalFormatting>
  <conditionalFormatting sqref="J9">
    <cfRule type="cellIs" dxfId="22" priority="3" stopIfTrue="1" operator="equal">
      <formula>"Wrong"</formula>
    </cfRule>
  </conditionalFormatting>
  <conditionalFormatting sqref="J11">
    <cfRule type="cellIs" dxfId="21" priority="36" stopIfTrue="1" operator="equal">
      <formula>"Wrong"</formula>
    </cfRule>
  </conditionalFormatting>
  <conditionalFormatting sqref="J23">
    <cfRule type="cellIs" dxfId="20" priority="37" stopIfTrue="1" operator="equal">
      <formula>"Wrong"</formula>
    </cfRule>
  </conditionalFormatting>
  <conditionalFormatting sqref="J31">
    <cfRule type="cellIs" dxfId="19" priority="35" stopIfTrue="1" operator="equal">
      <formula>"Wrong"</formula>
    </cfRule>
  </conditionalFormatting>
  <conditionalFormatting sqref="J37">
    <cfRule type="cellIs" dxfId="18" priority="34" stopIfTrue="1" operator="equal">
      <formula>"Wrong"</formula>
    </cfRule>
  </conditionalFormatting>
  <conditionalFormatting sqref="J43">
    <cfRule type="cellIs" dxfId="17" priority="33" stopIfTrue="1" operator="equal">
      <formula>"Wrong"</formula>
    </cfRule>
  </conditionalFormatting>
  <conditionalFormatting sqref="J49">
    <cfRule type="cellIs" dxfId="16" priority="32" stopIfTrue="1" operator="equal">
      <formula>"Wrong"</formula>
    </cfRule>
  </conditionalFormatting>
  <conditionalFormatting sqref="J55">
    <cfRule type="cellIs" dxfId="15" priority="17" stopIfTrue="1" operator="equal">
      <formula>"Wrong"</formula>
    </cfRule>
  </conditionalFormatting>
  <conditionalFormatting sqref="J57">
    <cfRule type="cellIs" dxfId="14" priority="2" stopIfTrue="1" operator="equal">
      <formula>"Wrong"</formula>
    </cfRule>
  </conditionalFormatting>
  <conditionalFormatting sqref="J59">
    <cfRule type="cellIs" dxfId="13" priority="15" stopIfTrue="1" operator="equal">
      <formula>"Wrong"</formula>
    </cfRule>
  </conditionalFormatting>
  <conditionalFormatting sqref="J71">
    <cfRule type="cellIs" dxfId="12" priority="16" stopIfTrue="1" operator="equal">
      <formula>"Wrong"</formula>
    </cfRule>
  </conditionalFormatting>
  <conditionalFormatting sqref="J79">
    <cfRule type="cellIs" dxfId="11" priority="14" stopIfTrue="1" operator="equal">
      <formula>"Wrong"</formula>
    </cfRule>
  </conditionalFormatting>
  <conditionalFormatting sqref="J85">
    <cfRule type="cellIs" dxfId="10" priority="13" stopIfTrue="1" operator="equal">
      <formula>"Wrong"</formula>
    </cfRule>
  </conditionalFormatting>
  <conditionalFormatting sqref="J91">
    <cfRule type="cellIs" dxfId="9" priority="12" stopIfTrue="1" operator="equal">
      <formula>"Wrong"</formula>
    </cfRule>
  </conditionalFormatting>
  <conditionalFormatting sqref="J97">
    <cfRule type="cellIs" dxfId="8" priority="11" stopIfTrue="1" operator="equal">
      <formula>"Wrong"</formula>
    </cfRule>
  </conditionalFormatting>
  <conditionalFormatting sqref="J103">
    <cfRule type="cellIs" dxfId="7" priority="10" stopIfTrue="1" operator="equal">
      <formula>"Wrong"</formula>
    </cfRule>
  </conditionalFormatting>
  <conditionalFormatting sqref="J105">
    <cfRule type="cellIs" dxfId="6" priority="1" stopIfTrue="1" operator="equal">
      <formula>"Wrong"</formula>
    </cfRule>
  </conditionalFormatting>
  <conditionalFormatting sqref="J107">
    <cfRule type="cellIs" dxfId="5" priority="8" stopIfTrue="1" operator="equal">
      <formula>"Wrong"</formula>
    </cfRule>
  </conditionalFormatting>
  <conditionalFormatting sqref="J119">
    <cfRule type="cellIs" dxfId="4" priority="9" stopIfTrue="1" operator="equal">
      <formula>"Wrong"</formula>
    </cfRule>
  </conditionalFormatting>
  <conditionalFormatting sqref="J127">
    <cfRule type="cellIs" dxfId="3" priority="7" stopIfTrue="1" operator="equal">
      <formula>"Wrong"</formula>
    </cfRule>
  </conditionalFormatting>
  <conditionalFormatting sqref="J133">
    <cfRule type="cellIs" dxfId="2" priority="6" stopIfTrue="1" operator="equal">
      <formula>"Wrong"</formula>
    </cfRule>
  </conditionalFormatting>
  <conditionalFormatting sqref="J139">
    <cfRule type="cellIs" dxfId="1" priority="5" stopIfTrue="1" operator="equal">
      <formula>"Wrong"</formula>
    </cfRule>
  </conditionalFormatting>
  <conditionalFormatting sqref="J145">
    <cfRule type="cellIs" dxfId="0" priority="4" stopIfTrue="1" operator="equal">
      <formula>"Wrong"</formula>
    </cfRule>
  </conditionalFormatting>
  <pageMargins left="0.7" right="0.7" top="0.75" bottom="0.75" header="0.3" footer="0.3"/>
  <pageSetup paperSize="9" scale="79" fitToHeight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C4E-21C1-42FB-B75B-D048E33C9730}">
  <sheetPr codeName="Sheet15">
    <pageSetUpPr fitToPage="1"/>
  </sheetPr>
  <dimension ref="B1:BH136"/>
  <sheetViews>
    <sheetView zoomScale="55" zoomScaleNormal="55" workbookViewId="0"/>
  </sheetViews>
  <sheetFormatPr defaultColWidth="9" defaultRowHeight="14.25"/>
  <cols>
    <col min="1" max="1" width="5.7109375" style="6" bestFit="1" customWidth="1"/>
    <col min="2" max="2" width="6.140625" style="6" customWidth="1"/>
    <col min="3" max="3" width="4.42578125" style="6" bestFit="1" customWidth="1"/>
    <col min="4" max="4" width="30.5703125" style="6" customWidth="1"/>
    <col min="5" max="5" width="6.28515625" style="29" bestFit="1" customWidth="1"/>
    <col min="6" max="6" width="1.42578125" style="6" customWidth="1"/>
    <col min="7" max="7" width="6.140625" style="6" customWidth="1"/>
    <col min="8" max="8" width="4.42578125" style="6" bestFit="1" customWidth="1"/>
    <col min="9" max="9" width="30.5703125" style="6" customWidth="1"/>
    <col min="10" max="10" width="5.42578125" style="29" bestFit="1" customWidth="1"/>
    <col min="11" max="11" width="1.42578125" style="6" customWidth="1"/>
    <col min="12" max="12" width="5.7109375" style="6" bestFit="1" customWidth="1"/>
    <col min="13" max="13" width="4.42578125" style="6" bestFit="1" customWidth="1"/>
    <col min="14" max="14" width="30.5703125" style="6" customWidth="1"/>
    <col min="15" max="15" width="6.28515625" style="29" bestFit="1" customWidth="1"/>
    <col min="16" max="16" width="1.42578125" style="6" customWidth="1"/>
    <col min="17" max="17" width="5.7109375" style="6" bestFit="1" customWidth="1"/>
    <col min="18" max="18" width="4.42578125" style="6" bestFit="1" customWidth="1"/>
    <col min="19" max="19" width="30.5703125" style="6" customWidth="1"/>
    <col min="20" max="20" width="6.28515625" style="29" bestFit="1" customWidth="1"/>
    <col min="21" max="21" width="1.28515625" style="6" customWidth="1"/>
    <col min="22" max="22" width="5.7109375" style="6" bestFit="1" customWidth="1"/>
    <col min="23" max="23" width="4.42578125" style="6" bestFit="1" customWidth="1"/>
    <col min="24" max="24" width="30.5703125" style="6" customWidth="1"/>
    <col min="25" max="25" width="5.42578125" style="29" bestFit="1" customWidth="1"/>
    <col min="26" max="26" width="1.85546875" style="6" customWidth="1"/>
    <col min="27" max="27" width="5.7109375" style="6" bestFit="1" customWidth="1"/>
    <col min="28" max="28" width="4.42578125" style="6" bestFit="1" customWidth="1"/>
    <col min="29" max="29" width="30.5703125" style="6" customWidth="1"/>
    <col min="30" max="30" width="5.42578125" style="29" bestFit="1" customWidth="1"/>
    <col min="31" max="31" width="1.42578125" style="6" customWidth="1"/>
    <col min="32" max="32" width="5.7109375" style="6" bestFit="1" customWidth="1"/>
    <col min="33" max="33" width="4.42578125" style="6" bestFit="1" customWidth="1"/>
    <col min="34" max="34" width="30.5703125" style="6" customWidth="1"/>
    <col min="35" max="35" width="5.42578125" style="29" bestFit="1" customWidth="1"/>
    <col min="36" max="36" width="1.42578125" style="6" customWidth="1"/>
    <col min="37" max="37" width="6.85546875" style="6" bestFit="1" customWidth="1"/>
    <col min="38" max="38" width="4.42578125" style="6" bestFit="1" customWidth="1"/>
    <col min="39" max="39" width="30.5703125" style="6" customWidth="1"/>
    <col min="40" max="40" width="5.42578125" style="29" bestFit="1" customWidth="1"/>
    <col min="41" max="41" width="2.140625" style="6" customWidth="1"/>
    <col min="42" max="42" width="5.7109375" style="6" bestFit="1" customWidth="1"/>
    <col min="43" max="43" width="4.42578125" style="6" bestFit="1" customWidth="1"/>
    <col min="44" max="44" width="30.5703125" style="6" customWidth="1"/>
    <col min="45" max="45" width="5.42578125" style="29" bestFit="1" customWidth="1"/>
    <col min="46" max="46" width="1.42578125" style="6" customWidth="1"/>
    <col min="47" max="47" width="5.7109375" style="6" bestFit="1" customWidth="1"/>
    <col min="48" max="48" width="4.42578125" style="6" bestFit="1" customWidth="1"/>
    <col min="49" max="49" width="30.5703125" style="6" customWidth="1"/>
    <col min="50" max="50" width="5.42578125" style="29" bestFit="1" customWidth="1"/>
    <col min="51" max="51" width="1.85546875" style="6" customWidth="1"/>
    <col min="52" max="52" width="5.85546875" style="6" bestFit="1" customWidth="1"/>
    <col min="53" max="53" width="4.7109375" style="6" customWidth="1"/>
    <col min="54" max="54" width="30.5703125" style="6" customWidth="1"/>
    <col min="55" max="55" width="5.42578125" style="29" bestFit="1" customWidth="1"/>
    <col min="56" max="56" width="1.42578125" style="6" customWidth="1"/>
    <col min="57" max="57" width="5.85546875" style="6" bestFit="1" customWidth="1"/>
    <col min="58" max="58" width="4.7109375" style="6" bestFit="1" customWidth="1"/>
    <col min="59" max="59" width="30.5703125" style="6" customWidth="1"/>
    <col min="60" max="60" width="5.42578125" style="29" bestFit="1" customWidth="1"/>
    <col min="61" max="16384" width="9" style="6"/>
  </cols>
  <sheetData>
    <row r="1" spans="2:60">
      <c r="S1" s="136">
        <v>41712</v>
      </c>
    </row>
    <row r="2" spans="2:60" ht="15">
      <c r="B2" s="7" t="s">
        <v>6578</v>
      </c>
      <c r="G2" s="7"/>
    </row>
    <row r="3" spans="2:60">
      <c r="C3" s="8" t="s">
        <v>6588</v>
      </c>
      <c r="I3" s="9" t="s">
        <v>6579</v>
      </c>
      <c r="AH3" s="9" t="s">
        <v>6579</v>
      </c>
    </row>
    <row r="4" spans="2:60">
      <c r="C4" s="10"/>
      <c r="H4" s="8"/>
    </row>
    <row r="5" spans="2:60">
      <c r="H5" s="10"/>
    </row>
    <row r="6" spans="2:60" ht="15.75" thickBot="1">
      <c r="B6" s="11" t="s">
        <v>6580</v>
      </c>
      <c r="G6" s="11"/>
      <c r="V6" s="11" t="s">
        <v>6581</v>
      </c>
      <c r="AP6" s="11" t="s">
        <v>6582</v>
      </c>
      <c r="AU6" s="11"/>
      <c r="AZ6" s="11"/>
      <c r="BE6" s="11"/>
    </row>
    <row r="7" spans="2:60" ht="15" thickBot="1">
      <c r="B7" s="15" t="s">
        <v>6583</v>
      </c>
      <c r="C7" s="16" t="s">
        <v>6584</v>
      </c>
      <c r="D7" s="14" t="s">
        <v>6585</v>
      </c>
      <c r="E7" s="373" t="s">
        <v>6586</v>
      </c>
      <c r="G7" s="15" t="s">
        <v>6583</v>
      </c>
      <c r="H7" s="16" t="s">
        <v>6584</v>
      </c>
      <c r="I7" s="14" t="s">
        <v>6585</v>
      </c>
      <c r="J7" s="373" t="s">
        <v>6586</v>
      </c>
      <c r="L7" s="15" t="s">
        <v>6587</v>
      </c>
      <c r="M7" s="16" t="s">
        <v>6584</v>
      </c>
      <c r="N7" s="14" t="s">
        <v>6585</v>
      </c>
      <c r="O7" s="373" t="s">
        <v>6586</v>
      </c>
      <c r="Q7" s="15" t="s">
        <v>6587</v>
      </c>
      <c r="R7" s="16" t="s">
        <v>6584</v>
      </c>
      <c r="S7" s="14" t="s">
        <v>6585</v>
      </c>
      <c r="T7" s="373" t="s">
        <v>6586</v>
      </c>
      <c r="V7" s="12" t="s">
        <v>6587</v>
      </c>
      <c r="W7" s="13" t="s">
        <v>6584</v>
      </c>
      <c r="X7" s="14" t="s">
        <v>6585</v>
      </c>
      <c r="Y7" s="373" t="s">
        <v>7495</v>
      </c>
      <c r="AA7" s="15" t="s">
        <v>6587</v>
      </c>
      <c r="AB7" s="16" t="s">
        <v>6584</v>
      </c>
      <c r="AC7" s="14" t="s">
        <v>6585</v>
      </c>
      <c r="AD7" s="373" t="s">
        <v>7495</v>
      </c>
      <c r="AF7" s="15" t="s">
        <v>6587</v>
      </c>
      <c r="AG7" s="16" t="s">
        <v>6584</v>
      </c>
      <c r="AH7" s="14" t="s">
        <v>6585</v>
      </c>
      <c r="AI7" s="373" t="s">
        <v>7495</v>
      </c>
      <c r="AK7" s="15" t="s">
        <v>6587</v>
      </c>
      <c r="AL7" s="16" t="s">
        <v>6584</v>
      </c>
      <c r="AM7" s="14" t="s">
        <v>6585</v>
      </c>
      <c r="AN7" s="373" t="s">
        <v>7495</v>
      </c>
      <c r="AP7" s="18" t="s">
        <v>6587</v>
      </c>
      <c r="AQ7" s="13" t="s">
        <v>6584</v>
      </c>
      <c r="AR7" s="14" t="s">
        <v>6585</v>
      </c>
      <c r="AS7" s="373" t="s">
        <v>7495</v>
      </c>
      <c r="AU7" s="19" t="s">
        <v>6587</v>
      </c>
      <c r="AV7" s="16" t="s">
        <v>6584</v>
      </c>
      <c r="AW7" s="14" t="s">
        <v>6585</v>
      </c>
      <c r="AX7" s="373" t="s">
        <v>7495</v>
      </c>
      <c r="AZ7" s="19" t="s">
        <v>6587</v>
      </c>
      <c r="BA7" s="16" t="s">
        <v>6584</v>
      </c>
      <c r="BB7" s="14" t="s">
        <v>6585</v>
      </c>
      <c r="BC7" s="373" t="s">
        <v>7495</v>
      </c>
      <c r="BE7" s="19" t="s">
        <v>6587</v>
      </c>
      <c r="BF7" s="16" t="s">
        <v>6584</v>
      </c>
      <c r="BG7" s="14" t="s">
        <v>6585</v>
      </c>
      <c r="BH7" s="373" t="s">
        <v>7495</v>
      </c>
    </row>
    <row r="8" spans="2:60">
      <c r="B8" s="12">
        <v>1506</v>
      </c>
      <c r="C8" s="13">
        <v>1</v>
      </c>
      <c r="D8" s="374" t="s">
        <v>4884</v>
      </c>
      <c r="E8" s="377" t="s">
        <v>4884</v>
      </c>
      <c r="G8" s="12">
        <v>1509</v>
      </c>
      <c r="H8" s="13">
        <v>1</v>
      </c>
      <c r="I8" s="380" t="s">
        <v>7851</v>
      </c>
      <c r="J8" s="377" t="s">
        <v>1833</v>
      </c>
      <c r="L8" s="12">
        <v>1604</v>
      </c>
      <c r="M8" s="13">
        <v>1</v>
      </c>
      <c r="N8" s="374" t="s">
        <v>4884</v>
      </c>
      <c r="O8" s="377" t="s">
        <v>4884</v>
      </c>
      <c r="P8" s="8"/>
      <c r="Q8" s="12">
        <v>1607</v>
      </c>
      <c r="R8" s="13">
        <v>1</v>
      </c>
      <c r="S8" s="374" t="s">
        <v>4884</v>
      </c>
      <c r="T8" s="377" t="s">
        <v>4884</v>
      </c>
      <c r="U8" s="8"/>
      <c r="V8" s="12">
        <v>1503</v>
      </c>
      <c r="W8" s="13">
        <v>1</v>
      </c>
      <c r="X8" s="376" t="s">
        <v>4884</v>
      </c>
      <c r="Y8" s="377" t="s">
        <v>4884</v>
      </c>
      <c r="AA8" s="12">
        <v>1801</v>
      </c>
      <c r="AB8" s="13">
        <v>1</v>
      </c>
      <c r="AC8" s="374" t="s">
        <v>4884</v>
      </c>
      <c r="AD8" s="377" t="s">
        <v>4884</v>
      </c>
      <c r="AF8" s="12">
        <v>1804</v>
      </c>
      <c r="AG8" s="13">
        <v>1</v>
      </c>
      <c r="AH8" s="380" t="s">
        <v>7852</v>
      </c>
      <c r="AI8" s="377" t="s">
        <v>253</v>
      </c>
      <c r="AK8" s="12">
        <v>1807</v>
      </c>
      <c r="AL8" s="13">
        <v>1</v>
      </c>
      <c r="AM8" s="374" t="s">
        <v>7853</v>
      </c>
      <c r="AN8" s="377" t="s">
        <v>897</v>
      </c>
      <c r="AP8" s="18">
        <v>1601</v>
      </c>
      <c r="AQ8" s="20">
        <v>1</v>
      </c>
      <c r="AR8" s="374" t="s">
        <v>4884</v>
      </c>
      <c r="AS8" s="377" t="s">
        <v>4884</v>
      </c>
      <c r="AT8" s="8"/>
      <c r="AU8" s="18">
        <v>1703</v>
      </c>
      <c r="AV8" s="20">
        <v>1</v>
      </c>
      <c r="AW8" s="380" t="s">
        <v>7854</v>
      </c>
      <c r="AX8" s="377" t="s">
        <v>2269</v>
      </c>
      <c r="AY8" s="8"/>
      <c r="AZ8" s="18">
        <v>1706</v>
      </c>
      <c r="BA8" s="13">
        <v>1</v>
      </c>
      <c r="BB8" s="374" t="s">
        <v>4884</v>
      </c>
      <c r="BC8" s="377" t="s">
        <v>4884</v>
      </c>
      <c r="BD8" s="8"/>
      <c r="BE8" s="18">
        <v>1709</v>
      </c>
      <c r="BF8" s="13">
        <v>1</v>
      </c>
      <c r="BG8" s="374" t="s">
        <v>4884</v>
      </c>
      <c r="BH8" s="377" t="s">
        <v>4884</v>
      </c>
    </row>
    <row r="9" spans="2:60">
      <c r="B9" s="21">
        <v>1506</v>
      </c>
      <c r="C9" s="22">
        <v>2</v>
      </c>
      <c r="D9" s="374" t="s">
        <v>4884</v>
      </c>
      <c r="E9" s="375" t="s">
        <v>4884</v>
      </c>
      <c r="G9" s="21">
        <v>1509</v>
      </c>
      <c r="H9" s="22">
        <v>2</v>
      </c>
      <c r="I9" s="380" t="s">
        <v>7855</v>
      </c>
      <c r="J9" s="375" t="s">
        <v>775</v>
      </c>
      <c r="L9" s="21">
        <v>1604</v>
      </c>
      <c r="M9" s="22">
        <v>2</v>
      </c>
      <c r="N9" s="374" t="s">
        <v>4884</v>
      </c>
      <c r="O9" s="375" t="s">
        <v>4884</v>
      </c>
      <c r="P9" s="8"/>
      <c r="Q9" s="21">
        <v>1607</v>
      </c>
      <c r="R9" s="22">
        <v>2</v>
      </c>
      <c r="S9" s="374" t="s">
        <v>4884</v>
      </c>
      <c r="T9" s="375"/>
      <c r="U9" s="8"/>
      <c r="V9" s="21">
        <v>1503</v>
      </c>
      <c r="W9" s="22">
        <v>2</v>
      </c>
      <c r="X9" s="374" t="s">
        <v>4884</v>
      </c>
      <c r="Y9" s="375" t="s">
        <v>4884</v>
      </c>
      <c r="AA9" s="21">
        <v>1801</v>
      </c>
      <c r="AB9" s="22">
        <v>2</v>
      </c>
      <c r="AC9" s="374" t="s">
        <v>4884</v>
      </c>
      <c r="AD9" s="375" t="s">
        <v>4884</v>
      </c>
      <c r="AF9" s="21">
        <v>1804</v>
      </c>
      <c r="AG9" s="22">
        <v>2</v>
      </c>
      <c r="AH9" s="380" t="s">
        <v>7856</v>
      </c>
      <c r="AI9" s="375" t="s">
        <v>290</v>
      </c>
      <c r="AK9" s="21">
        <v>1807</v>
      </c>
      <c r="AL9" s="22">
        <v>2</v>
      </c>
      <c r="AM9" s="374" t="s">
        <v>4884</v>
      </c>
      <c r="AN9" s="375" t="s">
        <v>4884</v>
      </c>
      <c r="AP9" s="23">
        <v>1601</v>
      </c>
      <c r="AQ9" s="24">
        <v>2</v>
      </c>
      <c r="AR9" s="374" t="s">
        <v>4884</v>
      </c>
      <c r="AS9" s="375" t="s">
        <v>4884</v>
      </c>
      <c r="AT9" s="8"/>
      <c r="AU9" s="23">
        <v>1703</v>
      </c>
      <c r="AV9" s="24">
        <v>2</v>
      </c>
      <c r="AW9" s="380" t="s">
        <v>7857</v>
      </c>
      <c r="AX9" s="375" t="s">
        <v>15</v>
      </c>
      <c r="AY9" s="8"/>
      <c r="AZ9" s="23">
        <v>1706</v>
      </c>
      <c r="BA9" s="22">
        <v>2</v>
      </c>
      <c r="BB9" s="374" t="s">
        <v>4884</v>
      </c>
      <c r="BC9" s="375" t="s">
        <v>4884</v>
      </c>
      <c r="BD9" s="8"/>
      <c r="BE9" s="23">
        <v>1709</v>
      </c>
      <c r="BF9" s="22">
        <v>2</v>
      </c>
      <c r="BG9" s="374" t="s">
        <v>4884</v>
      </c>
      <c r="BH9" s="375" t="s">
        <v>4884</v>
      </c>
    </row>
    <row r="10" spans="2:60">
      <c r="B10" s="21">
        <v>1506</v>
      </c>
      <c r="C10" s="22">
        <v>3</v>
      </c>
      <c r="D10" s="374" t="s">
        <v>4884</v>
      </c>
      <c r="E10" s="375" t="s">
        <v>4884</v>
      </c>
      <c r="G10" s="21">
        <v>1509</v>
      </c>
      <c r="H10" s="22">
        <v>3</v>
      </c>
      <c r="I10" s="380" t="s">
        <v>7858</v>
      </c>
      <c r="J10" s="375" t="s">
        <v>787</v>
      </c>
      <c r="L10" s="21">
        <v>1604</v>
      </c>
      <c r="M10" s="22">
        <v>3</v>
      </c>
      <c r="N10" s="374" t="s">
        <v>4884</v>
      </c>
      <c r="O10" s="375" t="s">
        <v>4884</v>
      </c>
      <c r="Q10" s="21">
        <v>1607</v>
      </c>
      <c r="R10" s="22">
        <v>3</v>
      </c>
      <c r="S10" s="374" t="s">
        <v>4884</v>
      </c>
      <c r="T10" s="375" t="s">
        <v>4884</v>
      </c>
      <c r="V10" s="21">
        <v>1503</v>
      </c>
      <c r="W10" s="22">
        <v>3</v>
      </c>
      <c r="X10" s="374" t="s">
        <v>4884</v>
      </c>
      <c r="Y10" s="375" t="s">
        <v>4884</v>
      </c>
      <c r="AA10" s="21">
        <v>1801</v>
      </c>
      <c r="AB10" s="22">
        <v>3</v>
      </c>
      <c r="AC10" s="374" t="s">
        <v>4884</v>
      </c>
      <c r="AD10" s="375" t="s">
        <v>4884</v>
      </c>
      <c r="AE10" s="10"/>
      <c r="AF10" s="21">
        <v>1804</v>
      </c>
      <c r="AG10" s="22">
        <v>3</v>
      </c>
      <c r="AH10" s="380" t="s">
        <v>7859</v>
      </c>
      <c r="AI10" s="375" t="s">
        <v>35</v>
      </c>
      <c r="AJ10" s="10"/>
      <c r="AK10" s="21">
        <v>1807</v>
      </c>
      <c r="AL10" s="22">
        <v>3</v>
      </c>
      <c r="AM10" s="374" t="s">
        <v>4884</v>
      </c>
      <c r="AN10" s="375" t="s">
        <v>4884</v>
      </c>
      <c r="AP10" s="23">
        <v>1601</v>
      </c>
      <c r="AQ10" s="24">
        <v>3</v>
      </c>
      <c r="AR10" s="374" t="s">
        <v>7860</v>
      </c>
      <c r="AS10" s="375" t="s">
        <v>813</v>
      </c>
      <c r="AU10" s="23">
        <v>1703</v>
      </c>
      <c r="AV10" s="24">
        <v>3</v>
      </c>
      <c r="AW10" s="380" t="s">
        <v>7861</v>
      </c>
      <c r="AX10" s="375" t="s">
        <v>2267</v>
      </c>
      <c r="AZ10" s="23">
        <v>1706</v>
      </c>
      <c r="BA10" s="22">
        <v>3</v>
      </c>
      <c r="BB10" s="374" t="s">
        <v>4884</v>
      </c>
      <c r="BC10" s="375" t="s">
        <v>4884</v>
      </c>
      <c r="BE10" s="23">
        <v>1709</v>
      </c>
      <c r="BF10" s="22">
        <v>3</v>
      </c>
      <c r="BG10" s="374" t="s">
        <v>4884</v>
      </c>
      <c r="BH10" s="375" t="s">
        <v>4884</v>
      </c>
    </row>
    <row r="11" spans="2:60">
      <c r="B11" s="21">
        <v>1506</v>
      </c>
      <c r="C11" s="22">
        <v>4</v>
      </c>
      <c r="D11" s="374" t="s">
        <v>4884</v>
      </c>
      <c r="E11" s="375" t="s">
        <v>4884</v>
      </c>
      <c r="G11" s="21">
        <v>1509</v>
      </c>
      <c r="H11" s="22">
        <v>4</v>
      </c>
      <c r="I11" s="380" t="s">
        <v>7862</v>
      </c>
      <c r="J11" s="375" t="s">
        <v>791</v>
      </c>
      <c r="L11" s="21">
        <v>1604</v>
      </c>
      <c r="M11" s="22">
        <v>4</v>
      </c>
      <c r="N11" s="374" t="s">
        <v>4884</v>
      </c>
      <c r="O11" s="375" t="s">
        <v>4884</v>
      </c>
      <c r="P11" s="8"/>
      <c r="Q11" s="21">
        <v>1607</v>
      </c>
      <c r="R11" s="22">
        <v>4</v>
      </c>
      <c r="S11" s="374" t="s">
        <v>4884</v>
      </c>
      <c r="T11" s="375" t="s">
        <v>4884</v>
      </c>
      <c r="U11" s="8"/>
      <c r="V11" s="21">
        <v>1503</v>
      </c>
      <c r="W11" s="22">
        <v>4</v>
      </c>
      <c r="X11" s="374" t="s">
        <v>4884</v>
      </c>
      <c r="Y11" s="375" t="s">
        <v>4884</v>
      </c>
      <c r="AA11" s="21">
        <v>1801</v>
      </c>
      <c r="AB11" s="22">
        <v>4</v>
      </c>
      <c r="AC11" s="374" t="s">
        <v>4884</v>
      </c>
      <c r="AD11" s="375" t="s">
        <v>4884</v>
      </c>
      <c r="AE11" s="8"/>
      <c r="AF11" s="21">
        <v>1804</v>
      </c>
      <c r="AG11" s="22">
        <v>4</v>
      </c>
      <c r="AH11" s="380" t="s">
        <v>7863</v>
      </c>
      <c r="AI11" s="375" t="s">
        <v>1351</v>
      </c>
      <c r="AJ11" s="8"/>
      <c r="AK11" s="21">
        <v>1807</v>
      </c>
      <c r="AL11" s="22">
        <v>4</v>
      </c>
      <c r="AM11" s="374" t="s">
        <v>4884</v>
      </c>
      <c r="AN11" s="375" t="s">
        <v>4884</v>
      </c>
      <c r="AP11" s="23">
        <v>1601</v>
      </c>
      <c r="AQ11" s="24">
        <v>4</v>
      </c>
      <c r="AR11" s="374" t="s">
        <v>7864</v>
      </c>
      <c r="AS11" s="375" t="s">
        <v>823</v>
      </c>
      <c r="AT11" s="8"/>
      <c r="AU11" s="23">
        <v>1703</v>
      </c>
      <c r="AV11" s="24">
        <v>4</v>
      </c>
      <c r="AW11" s="380" t="s">
        <v>7865</v>
      </c>
      <c r="AX11" s="375" t="s">
        <v>1128</v>
      </c>
      <c r="AY11" s="8"/>
      <c r="AZ11" s="23">
        <v>1706</v>
      </c>
      <c r="BA11" s="22">
        <v>4</v>
      </c>
      <c r="BB11" s="374" t="s">
        <v>4884</v>
      </c>
      <c r="BC11" s="375" t="s">
        <v>4884</v>
      </c>
      <c r="BD11" s="8"/>
      <c r="BE11" s="23">
        <v>1709</v>
      </c>
      <c r="BF11" s="22">
        <v>4</v>
      </c>
      <c r="BG11" s="374" t="s">
        <v>4884</v>
      </c>
      <c r="BH11" s="375" t="s">
        <v>4884</v>
      </c>
    </row>
    <row r="12" spans="2:60">
      <c r="B12" s="21">
        <v>1506</v>
      </c>
      <c r="C12" s="22">
        <v>5</v>
      </c>
      <c r="D12" s="374" t="s">
        <v>7866</v>
      </c>
      <c r="E12" s="375" t="s">
        <v>877</v>
      </c>
      <c r="G12" s="21">
        <v>1509</v>
      </c>
      <c r="H12" s="22">
        <v>5</v>
      </c>
      <c r="I12" s="380" t="s">
        <v>7867</v>
      </c>
      <c r="J12" s="375" t="s">
        <v>1349</v>
      </c>
      <c r="L12" s="21">
        <v>1604</v>
      </c>
      <c r="M12" s="22">
        <v>5</v>
      </c>
      <c r="N12" s="374" t="s">
        <v>4884</v>
      </c>
      <c r="O12" s="375" t="s">
        <v>4884</v>
      </c>
      <c r="Q12" s="21">
        <v>1607</v>
      </c>
      <c r="R12" s="22">
        <v>5</v>
      </c>
      <c r="S12" s="374" t="s">
        <v>4884</v>
      </c>
      <c r="T12" s="375" t="s">
        <v>4884</v>
      </c>
      <c r="V12" s="21">
        <v>1503</v>
      </c>
      <c r="W12" s="22">
        <v>5</v>
      </c>
      <c r="X12" s="374" t="s">
        <v>4884</v>
      </c>
      <c r="Y12" s="375" t="s">
        <v>4884</v>
      </c>
      <c r="AA12" s="21">
        <v>1801</v>
      </c>
      <c r="AB12" s="22">
        <v>5</v>
      </c>
      <c r="AC12" s="374" t="s">
        <v>4884</v>
      </c>
      <c r="AD12" s="375" t="s">
        <v>4884</v>
      </c>
      <c r="AF12" s="21">
        <v>1804</v>
      </c>
      <c r="AG12" s="22">
        <v>5</v>
      </c>
      <c r="AH12" s="380" t="s">
        <v>7861</v>
      </c>
      <c r="AI12" s="375" t="s">
        <v>2267</v>
      </c>
      <c r="AK12" s="21">
        <v>1807</v>
      </c>
      <c r="AL12" s="22">
        <v>5</v>
      </c>
      <c r="AM12" s="374" t="s">
        <v>4884</v>
      </c>
      <c r="AN12" s="375" t="s">
        <v>4884</v>
      </c>
      <c r="AP12" s="23">
        <v>1601</v>
      </c>
      <c r="AQ12" s="24">
        <v>5</v>
      </c>
      <c r="AR12" s="374" t="s">
        <v>7868</v>
      </c>
      <c r="AS12" s="375" t="s">
        <v>803</v>
      </c>
      <c r="AU12" s="23">
        <v>1703</v>
      </c>
      <c r="AV12" s="24">
        <v>5</v>
      </c>
      <c r="AW12" s="380" t="s">
        <v>7869</v>
      </c>
      <c r="AX12" s="375" t="s">
        <v>971</v>
      </c>
      <c r="AZ12" s="23">
        <v>1706</v>
      </c>
      <c r="BA12" s="22">
        <v>5</v>
      </c>
      <c r="BB12" s="374" t="s">
        <v>4884</v>
      </c>
      <c r="BC12" s="375" t="s">
        <v>4884</v>
      </c>
      <c r="BE12" s="23">
        <v>1709</v>
      </c>
      <c r="BF12" s="22">
        <v>5</v>
      </c>
      <c r="BG12" s="374" t="s">
        <v>4884</v>
      </c>
      <c r="BH12" s="375" t="s">
        <v>4884</v>
      </c>
    </row>
    <row r="13" spans="2:60">
      <c r="B13" s="21">
        <v>1506</v>
      </c>
      <c r="C13" s="22">
        <v>6</v>
      </c>
      <c r="D13" s="374" t="s">
        <v>4884</v>
      </c>
      <c r="E13" s="375" t="s">
        <v>4884</v>
      </c>
      <c r="G13" s="21">
        <v>1509</v>
      </c>
      <c r="H13" s="22">
        <v>6</v>
      </c>
      <c r="I13" s="380" t="s">
        <v>7861</v>
      </c>
      <c r="J13" s="375" t="s">
        <v>2267</v>
      </c>
      <c r="L13" s="21">
        <v>1604</v>
      </c>
      <c r="M13" s="22">
        <v>6</v>
      </c>
      <c r="N13" s="374" t="s">
        <v>4884</v>
      </c>
      <c r="O13" s="375" t="s">
        <v>4884</v>
      </c>
      <c r="P13" s="8"/>
      <c r="Q13" s="21">
        <v>1607</v>
      </c>
      <c r="R13" s="22">
        <v>6</v>
      </c>
      <c r="S13" s="374" t="s">
        <v>4884</v>
      </c>
      <c r="T13" s="375" t="s">
        <v>4884</v>
      </c>
      <c r="U13" s="8"/>
      <c r="V13" s="21">
        <v>1503</v>
      </c>
      <c r="W13" s="22">
        <v>6</v>
      </c>
      <c r="X13" s="374" t="s">
        <v>4884</v>
      </c>
      <c r="Y13" s="375" t="s">
        <v>4884</v>
      </c>
      <c r="AA13" s="21">
        <v>1801</v>
      </c>
      <c r="AB13" s="22">
        <v>6</v>
      </c>
      <c r="AC13" s="374" t="s">
        <v>4884</v>
      </c>
      <c r="AD13" s="375"/>
      <c r="AF13" s="21">
        <v>1804</v>
      </c>
      <c r="AG13" s="22">
        <v>6</v>
      </c>
      <c r="AH13" s="380" t="s">
        <v>7867</v>
      </c>
      <c r="AI13" s="375" t="s">
        <v>1349</v>
      </c>
      <c r="AK13" s="21">
        <v>1807</v>
      </c>
      <c r="AL13" s="22">
        <v>6</v>
      </c>
      <c r="AM13" s="374" t="s">
        <v>7870</v>
      </c>
      <c r="AN13" s="375" t="s">
        <v>911</v>
      </c>
      <c r="AP13" s="23">
        <v>1601</v>
      </c>
      <c r="AQ13" s="24">
        <v>6</v>
      </c>
      <c r="AR13" s="374" t="s">
        <v>7871</v>
      </c>
      <c r="AS13" s="375" t="s">
        <v>851</v>
      </c>
      <c r="AT13" s="8"/>
      <c r="AU13" s="23">
        <v>1703</v>
      </c>
      <c r="AV13" s="24">
        <v>6</v>
      </c>
      <c r="AW13" s="380" t="s">
        <v>7872</v>
      </c>
      <c r="AX13" s="375" t="s">
        <v>973</v>
      </c>
      <c r="AY13" s="8"/>
      <c r="AZ13" s="23">
        <v>1706</v>
      </c>
      <c r="BA13" s="22">
        <v>6</v>
      </c>
      <c r="BB13" s="374" t="s">
        <v>4884</v>
      </c>
      <c r="BC13" s="375" t="s">
        <v>4884</v>
      </c>
      <c r="BD13" s="8"/>
      <c r="BE13" s="23">
        <v>1709</v>
      </c>
      <c r="BF13" s="22">
        <v>6</v>
      </c>
      <c r="BG13" s="374" t="s">
        <v>4884</v>
      </c>
      <c r="BH13" s="375" t="s">
        <v>4884</v>
      </c>
    </row>
    <row r="14" spans="2:60">
      <c r="B14" s="21">
        <v>1506</v>
      </c>
      <c r="C14" s="22">
        <v>7</v>
      </c>
      <c r="D14" s="374" t="s">
        <v>7873</v>
      </c>
      <c r="E14" s="375" t="s">
        <v>879</v>
      </c>
      <c r="G14" s="21">
        <v>1509</v>
      </c>
      <c r="H14" s="22">
        <v>7</v>
      </c>
      <c r="I14" s="380" t="s">
        <v>7874</v>
      </c>
      <c r="J14" s="375" t="s">
        <v>1068</v>
      </c>
      <c r="L14" s="21">
        <v>1604</v>
      </c>
      <c r="M14" s="22">
        <v>7</v>
      </c>
      <c r="N14" s="374" t="s">
        <v>4884</v>
      </c>
      <c r="O14" s="375" t="s">
        <v>4884</v>
      </c>
      <c r="Q14" s="21">
        <v>1607</v>
      </c>
      <c r="R14" s="22">
        <v>7</v>
      </c>
      <c r="S14" s="374" t="s">
        <v>4884</v>
      </c>
      <c r="T14" s="375" t="s">
        <v>4884</v>
      </c>
      <c r="V14" s="21">
        <v>1503</v>
      </c>
      <c r="W14" s="22">
        <v>7</v>
      </c>
      <c r="X14" s="374" t="s">
        <v>4884</v>
      </c>
      <c r="Y14" s="375" t="s">
        <v>4884</v>
      </c>
      <c r="AA14" s="21">
        <v>1801</v>
      </c>
      <c r="AB14" s="22">
        <v>7</v>
      </c>
      <c r="AC14" s="374" t="s">
        <v>4884</v>
      </c>
      <c r="AD14" s="375" t="s">
        <v>4884</v>
      </c>
      <c r="AF14" s="21">
        <v>1804</v>
      </c>
      <c r="AG14" s="22">
        <v>7</v>
      </c>
      <c r="AH14" s="380" t="s">
        <v>7875</v>
      </c>
      <c r="AI14" s="375" t="s">
        <v>27</v>
      </c>
      <c r="AK14" s="21">
        <v>1807</v>
      </c>
      <c r="AL14" s="22">
        <v>7</v>
      </c>
      <c r="AM14" s="374" t="s">
        <v>7876</v>
      </c>
      <c r="AN14" s="375" t="s">
        <v>841</v>
      </c>
      <c r="AP14" s="23">
        <v>1601</v>
      </c>
      <c r="AQ14" s="24">
        <v>7</v>
      </c>
      <c r="AR14" s="374" t="s">
        <v>4884</v>
      </c>
      <c r="AS14" s="375" t="s">
        <v>4884</v>
      </c>
      <c r="AU14" s="23">
        <v>1703</v>
      </c>
      <c r="AV14" s="24">
        <v>7</v>
      </c>
      <c r="AW14" s="380" t="s">
        <v>7877</v>
      </c>
      <c r="AX14" s="375" t="s">
        <v>1062</v>
      </c>
      <c r="AZ14" s="23">
        <v>1706</v>
      </c>
      <c r="BA14" s="22">
        <v>7</v>
      </c>
      <c r="BB14" s="374" t="s">
        <v>4884</v>
      </c>
      <c r="BC14" s="375" t="s">
        <v>4884</v>
      </c>
      <c r="BE14" s="23">
        <v>1709</v>
      </c>
      <c r="BF14" s="22">
        <v>7</v>
      </c>
      <c r="BG14" s="374" t="s">
        <v>4884</v>
      </c>
      <c r="BH14" s="375" t="s">
        <v>4884</v>
      </c>
    </row>
    <row r="15" spans="2:60">
      <c r="B15" s="21">
        <v>1506</v>
      </c>
      <c r="C15" s="22">
        <v>8</v>
      </c>
      <c r="D15" s="374" t="s">
        <v>7878</v>
      </c>
      <c r="E15" s="375" t="s">
        <v>903</v>
      </c>
      <c r="G15" s="21">
        <v>1509</v>
      </c>
      <c r="H15" s="22">
        <v>8</v>
      </c>
      <c r="I15" s="380" t="s">
        <v>7854</v>
      </c>
      <c r="J15" s="375" t="s">
        <v>2269</v>
      </c>
      <c r="L15" s="21">
        <v>1604</v>
      </c>
      <c r="M15" s="22">
        <v>8</v>
      </c>
      <c r="N15" s="374" t="s">
        <v>4884</v>
      </c>
      <c r="O15" s="375" t="s">
        <v>4884</v>
      </c>
      <c r="Q15" s="21">
        <v>1607</v>
      </c>
      <c r="R15" s="22">
        <v>8</v>
      </c>
      <c r="S15" s="374" t="s">
        <v>4884</v>
      </c>
      <c r="T15" s="375" t="s">
        <v>4884</v>
      </c>
      <c r="V15" s="21">
        <v>1503</v>
      </c>
      <c r="W15" s="22">
        <v>8</v>
      </c>
      <c r="X15" s="374" t="s">
        <v>4884</v>
      </c>
      <c r="Y15" s="375" t="s">
        <v>4884</v>
      </c>
      <c r="AA15" s="21">
        <v>1801</v>
      </c>
      <c r="AB15" s="22">
        <v>8</v>
      </c>
      <c r="AC15" s="374" t="s">
        <v>4884</v>
      </c>
      <c r="AD15" s="375" t="s">
        <v>4884</v>
      </c>
      <c r="AF15" s="21">
        <v>1804</v>
      </c>
      <c r="AG15" s="22">
        <v>8</v>
      </c>
      <c r="AH15" s="380" t="s">
        <v>7879</v>
      </c>
      <c r="AI15" s="375" t="s">
        <v>1073</v>
      </c>
      <c r="AK15" s="21">
        <v>1807</v>
      </c>
      <c r="AL15" s="22">
        <v>8</v>
      </c>
      <c r="AM15" s="374" t="s">
        <v>7880</v>
      </c>
      <c r="AN15" s="375" t="s">
        <v>909</v>
      </c>
      <c r="AP15" s="23">
        <v>1601</v>
      </c>
      <c r="AQ15" s="24">
        <v>8</v>
      </c>
      <c r="AR15" s="374" t="s">
        <v>4884</v>
      </c>
      <c r="AS15" s="375" t="s">
        <v>4884</v>
      </c>
      <c r="AU15" s="23">
        <v>1703</v>
      </c>
      <c r="AV15" s="24">
        <v>8</v>
      </c>
      <c r="AW15" s="380" t="s">
        <v>7867</v>
      </c>
      <c r="AX15" s="375" t="s">
        <v>1349</v>
      </c>
      <c r="AZ15" s="23">
        <v>1706</v>
      </c>
      <c r="BA15" s="22">
        <v>8</v>
      </c>
      <c r="BB15" s="374" t="s">
        <v>4884</v>
      </c>
      <c r="BC15" s="375" t="s">
        <v>4884</v>
      </c>
      <c r="BE15" s="23">
        <v>1709</v>
      </c>
      <c r="BF15" s="22">
        <v>8</v>
      </c>
      <c r="BG15" s="374" t="s">
        <v>4884</v>
      </c>
      <c r="BH15" s="375" t="s">
        <v>4884</v>
      </c>
    </row>
    <row r="16" spans="2:60">
      <c r="B16" s="21">
        <v>1506</v>
      </c>
      <c r="C16" s="22">
        <v>9</v>
      </c>
      <c r="D16" s="374" t="s">
        <v>7871</v>
      </c>
      <c r="E16" s="375" t="s">
        <v>851</v>
      </c>
      <c r="G16" s="21">
        <v>1509</v>
      </c>
      <c r="H16" s="22">
        <v>9</v>
      </c>
      <c r="I16" s="380" t="s">
        <v>7881</v>
      </c>
      <c r="J16" s="375" t="s">
        <v>793</v>
      </c>
      <c r="L16" s="21">
        <v>1604</v>
      </c>
      <c r="M16" s="22">
        <v>9</v>
      </c>
      <c r="N16" s="374" t="s">
        <v>4884</v>
      </c>
      <c r="O16" s="375" t="s">
        <v>4884</v>
      </c>
      <c r="P16" s="8"/>
      <c r="Q16" s="21">
        <v>1607</v>
      </c>
      <c r="R16" s="22">
        <v>9</v>
      </c>
      <c r="S16" s="374" t="s">
        <v>4884</v>
      </c>
      <c r="T16" s="375" t="s">
        <v>4884</v>
      </c>
      <c r="U16" s="8"/>
      <c r="V16" s="21">
        <v>1503</v>
      </c>
      <c r="W16" s="22">
        <v>9</v>
      </c>
      <c r="X16" s="374" t="s">
        <v>4884</v>
      </c>
      <c r="Y16" s="375" t="s">
        <v>4884</v>
      </c>
      <c r="AA16" s="21">
        <v>1801</v>
      </c>
      <c r="AB16" s="22">
        <v>9</v>
      </c>
      <c r="AC16" s="374" t="s">
        <v>4884</v>
      </c>
      <c r="AD16" s="375" t="s">
        <v>4884</v>
      </c>
      <c r="AF16" s="21">
        <v>1804</v>
      </c>
      <c r="AG16" s="22">
        <v>9</v>
      </c>
      <c r="AH16" s="380" t="s">
        <v>7882</v>
      </c>
      <c r="AI16" s="375" t="s">
        <v>1122</v>
      </c>
      <c r="AK16" s="21">
        <v>1807</v>
      </c>
      <c r="AL16" s="22">
        <v>9</v>
      </c>
      <c r="AM16" s="374" t="s">
        <v>7883</v>
      </c>
      <c r="AN16" s="375" t="s">
        <v>827</v>
      </c>
      <c r="AP16" s="23">
        <v>1601</v>
      </c>
      <c r="AQ16" s="24">
        <v>9</v>
      </c>
      <c r="AR16" s="374" t="s">
        <v>4884</v>
      </c>
      <c r="AS16" s="375" t="s">
        <v>4884</v>
      </c>
      <c r="AT16" s="8"/>
      <c r="AU16" s="23">
        <v>1703</v>
      </c>
      <c r="AV16" s="24">
        <v>9</v>
      </c>
      <c r="AW16" s="380" t="s">
        <v>7884</v>
      </c>
      <c r="AX16" s="375" t="s">
        <v>18</v>
      </c>
      <c r="AY16" s="8"/>
      <c r="AZ16" s="23">
        <v>1706</v>
      </c>
      <c r="BA16" s="22">
        <v>9</v>
      </c>
      <c r="BB16" s="374" t="s">
        <v>4884</v>
      </c>
      <c r="BC16" s="375" t="s">
        <v>4884</v>
      </c>
      <c r="BD16" s="8"/>
      <c r="BE16" s="23">
        <v>1709</v>
      </c>
      <c r="BF16" s="22">
        <v>9</v>
      </c>
      <c r="BG16" s="374" t="s">
        <v>4884</v>
      </c>
      <c r="BH16" s="375" t="s">
        <v>4884</v>
      </c>
    </row>
    <row r="17" spans="2:60">
      <c r="B17" s="21">
        <v>1506</v>
      </c>
      <c r="C17" s="22">
        <v>10</v>
      </c>
      <c r="D17" s="374" t="s">
        <v>7885</v>
      </c>
      <c r="E17" s="375" t="s">
        <v>885</v>
      </c>
      <c r="G17" s="21">
        <v>1509</v>
      </c>
      <c r="H17" s="22">
        <v>10</v>
      </c>
      <c r="I17" s="380" t="s">
        <v>7886</v>
      </c>
      <c r="J17" s="375" t="s">
        <v>9</v>
      </c>
      <c r="L17" s="21">
        <v>1604</v>
      </c>
      <c r="M17" s="22">
        <v>10</v>
      </c>
      <c r="N17" s="374" t="s">
        <v>4884</v>
      </c>
      <c r="O17" s="375" t="s">
        <v>4884</v>
      </c>
      <c r="Q17" s="21">
        <v>1607</v>
      </c>
      <c r="R17" s="22">
        <v>10</v>
      </c>
      <c r="S17" s="374" t="s">
        <v>4884</v>
      </c>
      <c r="T17" s="375" t="s">
        <v>4884</v>
      </c>
      <c r="V17" s="21">
        <v>1503</v>
      </c>
      <c r="W17" s="22">
        <v>10</v>
      </c>
      <c r="X17" s="374" t="s">
        <v>4884</v>
      </c>
      <c r="Y17" s="375" t="s">
        <v>4884</v>
      </c>
      <c r="AA17" s="21">
        <v>1801</v>
      </c>
      <c r="AB17" s="22">
        <v>10</v>
      </c>
      <c r="AC17" s="374" t="s">
        <v>4884</v>
      </c>
      <c r="AD17" s="375" t="s">
        <v>4884</v>
      </c>
      <c r="AF17" s="21">
        <v>1804</v>
      </c>
      <c r="AG17" s="22">
        <v>10</v>
      </c>
      <c r="AH17" s="380" t="s">
        <v>7869</v>
      </c>
      <c r="AI17" s="375" t="s">
        <v>971</v>
      </c>
      <c r="AK17" s="21">
        <v>1807</v>
      </c>
      <c r="AL17" s="22">
        <v>10</v>
      </c>
      <c r="AM17" s="374" t="s">
        <v>7878</v>
      </c>
      <c r="AN17" s="375" t="s">
        <v>903</v>
      </c>
      <c r="AP17" s="23">
        <v>1601</v>
      </c>
      <c r="AQ17" s="24">
        <v>10</v>
      </c>
      <c r="AR17" s="374" t="s">
        <v>4884</v>
      </c>
      <c r="AS17" s="375" t="s">
        <v>4884</v>
      </c>
      <c r="AU17" s="23">
        <v>1703</v>
      </c>
      <c r="AV17" s="24">
        <v>10</v>
      </c>
      <c r="AW17" s="380" t="s">
        <v>7887</v>
      </c>
      <c r="AX17" s="375" t="s">
        <v>881</v>
      </c>
      <c r="AZ17" s="23">
        <v>1706</v>
      </c>
      <c r="BA17" s="22">
        <v>10</v>
      </c>
      <c r="BB17" s="374" t="s">
        <v>4884</v>
      </c>
      <c r="BC17" s="375" t="s">
        <v>4884</v>
      </c>
      <c r="BE17" s="23">
        <v>1709</v>
      </c>
      <c r="BF17" s="22">
        <v>10</v>
      </c>
      <c r="BG17" s="374" t="s">
        <v>4884</v>
      </c>
      <c r="BH17" s="375" t="s">
        <v>4884</v>
      </c>
    </row>
    <row r="18" spans="2:60">
      <c r="B18" s="21">
        <v>1506</v>
      </c>
      <c r="C18" s="22">
        <v>11</v>
      </c>
      <c r="D18" s="374" t="s">
        <v>7868</v>
      </c>
      <c r="E18" s="375" t="s">
        <v>803</v>
      </c>
      <c r="G18" s="21">
        <v>1509</v>
      </c>
      <c r="H18" s="22">
        <v>11</v>
      </c>
      <c r="I18" s="380" t="s">
        <v>7888</v>
      </c>
      <c r="J18" s="375" t="s">
        <v>1366</v>
      </c>
      <c r="L18" s="21">
        <v>1604</v>
      </c>
      <c r="M18" s="22">
        <v>11</v>
      </c>
      <c r="N18" s="374" t="s">
        <v>4884</v>
      </c>
      <c r="O18" s="375" t="s">
        <v>4884</v>
      </c>
      <c r="P18" s="8"/>
      <c r="Q18" s="21">
        <v>1607</v>
      </c>
      <c r="R18" s="22">
        <v>11</v>
      </c>
      <c r="S18" s="374" t="s">
        <v>4884</v>
      </c>
      <c r="T18" s="375" t="s">
        <v>4884</v>
      </c>
      <c r="U18" s="8"/>
      <c r="V18" s="21">
        <v>1503</v>
      </c>
      <c r="W18" s="22">
        <v>11</v>
      </c>
      <c r="X18" s="374" t="s">
        <v>4884</v>
      </c>
      <c r="Y18" s="375" t="s">
        <v>4884</v>
      </c>
      <c r="AA18" s="21">
        <v>1801</v>
      </c>
      <c r="AB18" s="22">
        <v>11</v>
      </c>
      <c r="AC18" s="374" t="s">
        <v>4884</v>
      </c>
      <c r="AD18" s="375" t="s">
        <v>4884</v>
      </c>
      <c r="AF18" s="21">
        <v>1804</v>
      </c>
      <c r="AG18" s="22">
        <v>11</v>
      </c>
      <c r="AH18" s="380" t="s">
        <v>7889</v>
      </c>
      <c r="AI18" s="375" t="s">
        <v>843</v>
      </c>
      <c r="AK18" s="21">
        <v>1807</v>
      </c>
      <c r="AL18" s="22">
        <v>11</v>
      </c>
      <c r="AM18" s="374" t="s">
        <v>4884</v>
      </c>
      <c r="AN18" s="375" t="s">
        <v>4884</v>
      </c>
      <c r="AP18" s="23">
        <v>1601</v>
      </c>
      <c r="AQ18" s="24">
        <v>11</v>
      </c>
      <c r="AR18" s="374" t="s">
        <v>7890</v>
      </c>
      <c r="AS18" s="375" t="s">
        <v>895</v>
      </c>
      <c r="AT18" s="8"/>
      <c r="AU18" s="23">
        <v>1703</v>
      </c>
      <c r="AV18" s="24">
        <v>11</v>
      </c>
      <c r="AW18" s="380" t="s">
        <v>7886</v>
      </c>
      <c r="AX18" s="375" t="s">
        <v>9</v>
      </c>
      <c r="AY18" s="8"/>
      <c r="AZ18" s="23">
        <v>1706</v>
      </c>
      <c r="BA18" s="22">
        <v>11</v>
      </c>
      <c r="BB18" s="374" t="s">
        <v>4884</v>
      </c>
      <c r="BC18" s="375" t="s">
        <v>4884</v>
      </c>
      <c r="BD18" s="8"/>
      <c r="BE18" s="23">
        <v>1709</v>
      </c>
      <c r="BF18" s="22">
        <v>11</v>
      </c>
      <c r="BG18" s="374" t="s">
        <v>4884</v>
      </c>
      <c r="BH18" s="375" t="s">
        <v>4884</v>
      </c>
    </row>
    <row r="19" spans="2:60">
      <c r="B19" s="21">
        <v>1506</v>
      </c>
      <c r="C19" s="22">
        <v>12</v>
      </c>
      <c r="D19" s="374" t="s">
        <v>7891</v>
      </c>
      <c r="E19" s="375" t="s">
        <v>907</v>
      </c>
      <c r="G19" s="21">
        <v>1509</v>
      </c>
      <c r="H19" s="22">
        <v>12</v>
      </c>
      <c r="I19" s="380" t="s">
        <v>7877</v>
      </c>
      <c r="J19" s="375" t="s">
        <v>1062</v>
      </c>
      <c r="L19" s="21">
        <v>1604</v>
      </c>
      <c r="M19" s="22">
        <v>12</v>
      </c>
      <c r="N19" s="374" t="s">
        <v>4884</v>
      </c>
      <c r="O19" s="375" t="s">
        <v>4884</v>
      </c>
      <c r="Q19" s="21">
        <v>1607</v>
      </c>
      <c r="R19" s="22">
        <v>12</v>
      </c>
      <c r="S19" s="374" t="s">
        <v>4884</v>
      </c>
      <c r="T19" s="375" t="s">
        <v>4884</v>
      </c>
      <c r="V19" s="21">
        <v>1503</v>
      </c>
      <c r="W19" s="22">
        <v>12</v>
      </c>
      <c r="X19" s="374" t="s">
        <v>4884</v>
      </c>
      <c r="Y19" s="375" t="s">
        <v>4884</v>
      </c>
      <c r="AA19" s="21">
        <v>1801</v>
      </c>
      <c r="AB19" s="22">
        <v>12</v>
      </c>
      <c r="AC19" s="374" t="s">
        <v>4884</v>
      </c>
      <c r="AD19" s="375" t="s">
        <v>4884</v>
      </c>
      <c r="AF19" s="21">
        <v>1804</v>
      </c>
      <c r="AG19" s="22">
        <v>12</v>
      </c>
      <c r="AH19" s="380" t="s">
        <v>7892</v>
      </c>
      <c r="AI19" s="375" t="s">
        <v>863</v>
      </c>
      <c r="AK19" s="21">
        <v>1807</v>
      </c>
      <c r="AL19" s="22">
        <v>12</v>
      </c>
      <c r="AM19" s="374" t="s">
        <v>4884</v>
      </c>
      <c r="AN19" s="375" t="s">
        <v>4884</v>
      </c>
      <c r="AP19" s="23">
        <v>1601</v>
      </c>
      <c r="AQ19" s="24">
        <v>12</v>
      </c>
      <c r="AR19" s="374" t="s">
        <v>4884</v>
      </c>
      <c r="AS19" s="375" t="s">
        <v>4884</v>
      </c>
      <c r="AU19" s="23">
        <v>1703</v>
      </c>
      <c r="AV19" s="24">
        <v>12</v>
      </c>
      <c r="AW19" s="380" t="s">
        <v>7893</v>
      </c>
      <c r="AX19" s="375" t="s">
        <v>1368</v>
      </c>
      <c r="AZ19" s="23">
        <v>1706</v>
      </c>
      <c r="BA19" s="22">
        <v>12</v>
      </c>
      <c r="BB19" s="374" t="s">
        <v>4884</v>
      </c>
      <c r="BC19" s="375" t="s">
        <v>4884</v>
      </c>
      <c r="BE19" s="23">
        <v>1709</v>
      </c>
      <c r="BF19" s="22">
        <v>12</v>
      </c>
      <c r="BG19" s="374" t="s">
        <v>4884</v>
      </c>
      <c r="BH19" s="375" t="s">
        <v>4884</v>
      </c>
    </row>
    <row r="20" spans="2:60">
      <c r="B20" s="21">
        <v>1506</v>
      </c>
      <c r="C20" s="22">
        <v>13</v>
      </c>
      <c r="D20" s="374" t="s">
        <v>4884</v>
      </c>
      <c r="E20" s="375" t="s">
        <v>4884</v>
      </c>
      <c r="G20" s="21">
        <v>1509</v>
      </c>
      <c r="H20" s="22">
        <v>13</v>
      </c>
      <c r="I20" s="380" t="s">
        <v>7856</v>
      </c>
      <c r="J20" s="375" t="s">
        <v>290</v>
      </c>
      <c r="L20" s="21">
        <v>1604</v>
      </c>
      <c r="M20" s="22">
        <v>13</v>
      </c>
      <c r="N20" s="374" t="s">
        <v>4884</v>
      </c>
      <c r="O20" s="375" t="s">
        <v>4884</v>
      </c>
      <c r="P20" s="8"/>
      <c r="Q20" s="21">
        <v>1607</v>
      </c>
      <c r="R20" s="22">
        <v>13</v>
      </c>
      <c r="S20" s="374" t="s">
        <v>4884</v>
      </c>
      <c r="T20" s="375" t="s">
        <v>4884</v>
      </c>
      <c r="U20" s="8"/>
      <c r="V20" s="21">
        <v>1503</v>
      </c>
      <c r="W20" s="22">
        <v>13</v>
      </c>
      <c r="X20" s="374" t="s">
        <v>4884</v>
      </c>
      <c r="Y20" s="375" t="s">
        <v>4884</v>
      </c>
      <c r="AA20" s="21">
        <v>1801</v>
      </c>
      <c r="AB20" s="22">
        <v>13</v>
      </c>
      <c r="AC20" s="374" t="s">
        <v>4884</v>
      </c>
      <c r="AD20" s="375" t="s">
        <v>4884</v>
      </c>
      <c r="AE20" s="8"/>
      <c r="AF20" s="21">
        <v>1804</v>
      </c>
      <c r="AG20" s="22">
        <v>13</v>
      </c>
      <c r="AH20" s="380" t="s">
        <v>7894</v>
      </c>
      <c r="AI20" s="375" t="s">
        <v>1414</v>
      </c>
      <c r="AJ20" s="8"/>
      <c r="AK20" s="21">
        <v>1807</v>
      </c>
      <c r="AL20" s="22">
        <v>13</v>
      </c>
      <c r="AM20" s="374" t="s">
        <v>4884</v>
      </c>
      <c r="AN20" s="375" t="s">
        <v>4884</v>
      </c>
      <c r="AP20" s="23">
        <v>1601</v>
      </c>
      <c r="AQ20" s="24">
        <v>13</v>
      </c>
      <c r="AR20" s="374" t="s">
        <v>7870</v>
      </c>
      <c r="AS20" s="375" t="s">
        <v>911</v>
      </c>
      <c r="AT20" s="8"/>
      <c r="AU20" s="23">
        <v>1703</v>
      </c>
      <c r="AV20" s="24">
        <v>13</v>
      </c>
      <c r="AW20" s="380" t="s">
        <v>7874</v>
      </c>
      <c r="AX20" s="375" t="s">
        <v>1068</v>
      </c>
      <c r="AY20" s="8"/>
      <c r="AZ20" s="23">
        <v>1706</v>
      </c>
      <c r="BA20" s="22">
        <v>13</v>
      </c>
      <c r="BB20" s="374" t="s">
        <v>4884</v>
      </c>
      <c r="BC20" s="375" t="s">
        <v>4884</v>
      </c>
      <c r="BD20" s="8"/>
      <c r="BE20" s="23">
        <v>1709</v>
      </c>
      <c r="BF20" s="22">
        <v>13</v>
      </c>
      <c r="BG20" s="374" t="s">
        <v>4884</v>
      </c>
      <c r="BH20" s="375" t="s">
        <v>4884</v>
      </c>
    </row>
    <row r="21" spans="2:60">
      <c r="B21" s="21">
        <v>1506</v>
      </c>
      <c r="C21" s="22">
        <v>14</v>
      </c>
      <c r="D21" s="374" t="s">
        <v>7895</v>
      </c>
      <c r="E21" s="375" t="s">
        <v>913</v>
      </c>
      <c r="G21" s="21">
        <v>1509</v>
      </c>
      <c r="H21" s="22">
        <v>14</v>
      </c>
      <c r="I21" s="380" t="s">
        <v>7857</v>
      </c>
      <c r="J21" s="375" t="s">
        <v>15</v>
      </c>
      <c r="L21" s="21">
        <v>1604</v>
      </c>
      <c r="M21" s="22">
        <v>14</v>
      </c>
      <c r="N21" s="374" t="s">
        <v>4884</v>
      </c>
      <c r="O21" s="375" t="s">
        <v>4884</v>
      </c>
      <c r="P21" s="8"/>
      <c r="Q21" s="21">
        <v>1607</v>
      </c>
      <c r="R21" s="22">
        <v>14</v>
      </c>
      <c r="S21" s="374" t="s">
        <v>4884</v>
      </c>
      <c r="T21" s="375" t="s">
        <v>4884</v>
      </c>
      <c r="U21" s="8"/>
      <c r="V21" s="21">
        <v>1503</v>
      </c>
      <c r="W21" s="22">
        <v>14</v>
      </c>
      <c r="X21" s="374" t="s">
        <v>4884</v>
      </c>
      <c r="Y21" s="375" t="s">
        <v>4884</v>
      </c>
      <c r="AA21" s="21">
        <v>1801</v>
      </c>
      <c r="AB21" s="22">
        <v>14</v>
      </c>
      <c r="AC21" s="374" t="s">
        <v>4884</v>
      </c>
      <c r="AD21" s="375" t="s">
        <v>4884</v>
      </c>
      <c r="AE21" s="8"/>
      <c r="AF21" s="21">
        <v>1804</v>
      </c>
      <c r="AG21" s="22">
        <v>14</v>
      </c>
      <c r="AH21" s="380" t="s">
        <v>7896</v>
      </c>
      <c r="AI21" s="375" t="s">
        <v>1402</v>
      </c>
      <c r="AJ21" s="8"/>
      <c r="AK21" s="21">
        <v>1807</v>
      </c>
      <c r="AL21" s="22">
        <v>14</v>
      </c>
      <c r="AM21" s="374" t="s">
        <v>4884</v>
      </c>
      <c r="AN21" s="375" t="s">
        <v>4884</v>
      </c>
      <c r="AP21" s="23">
        <v>1601</v>
      </c>
      <c r="AQ21" s="24">
        <v>14</v>
      </c>
      <c r="AR21" s="374" t="s">
        <v>4884</v>
      </c>
      <c r="AS21" s="375" t="s">
        <v>4884</v>
      </c>
      <c r="AT21" s="8"/>
      <c r="AU21" s="23">
        <v>1703</v>
      </c>
      <c r="AV21" s="24">
        <v>14</v>
      </c>
      <c r="AW21" s="380" t="s">
        <v>7897</v>
      </c>
      <c r="AX21" s="375" t="s">
        <v>789</v>
      </c>
      <c r="AY21" s="8"/>
      <c r="AZ21" s="23">
        <v>1706</v>
      </c>
      <c r="BA21" s="22">
        <v>14</v>
      </c>
      <c r="BB21" s="374" t="s">
        <v>4884</v>
      </c>
      <c r="BC21" s="375" t="s">
        <v>4884</v>
      </c>
      <c r="BD21" s="8"/>
      <c r="BE21" s="23">
        <v>1709</v>
      </c>
      <c r="BF21" s="22">
        <v>14</v>
      </c>
      <c r="BG21" s="374" t="s">
        <v>4884</v>
      </c>
      <c r="BH21" s="375" t="s">
        <v>4884</v>
      </c>
    </row>
    <row r="22" spans="2:60">
      <c r="B22" s="21">
        <v>1506</v>
      </c>
      <c r="C22" s="22">
        <v>15</v>
      </c>
      <c r="D22" s="374" t="s">
        <v>4884</v>
      </c>
      <c r="E22" s="375" t="s">
        <v>4884</v>
      </c>
      <c r="G22" s="21">
        <v>1509</v>
      </c>
      <c r="H22" s="22">
        <v>15</v>
      </c>
      <c r="I22" s="380" t="s">
        <v>7875</v>
      </c>
      <c r="J22" s="375" t="s">
        <v>27</v>
      </c>
      <c r="L22" s="21">
        <v>1604</v>
      </c>
      <c r="M22" s="22">
        <v>15</v>
      </c>
      <c r="N22" s="374" t="s">
        <v>4884</v>
      </c>
      <c r="O22" s="375" t="s">
        <v>4884</v>
      </c>
      <c r="Q22" s="21">
        <v>1607</v>
      </c>
      <c r="R22" s="22">
        <v>15</v>
      </c>
      <c r="S22" s="374" t="s">
        <v>4884</v>
      </c>
      <c r="T22" s="375" t="s">
        <v>4884</v>
      </c>
      <c r="V22" s="21">
        <v>1503</v>
      </c>
      <c r="W22" s="22">
        <v>15</v>
      </c>
      <c r="X22" s="374" t="s">
        <v>4884</v>
      </c>
      <c r="Y22" s="375" t="s">
        <v>4884</v>
      </c>
      <c r="AA22" s="21">
        <v>1801</v>
      </c>
      <c r="AB22" s="22">
        <v>15</v>
      </c>
      <c r="AC22" s="374" t="s">
        <v>4884</v>
      </c>
      <c r="AD22" s="375" t="s">
        <v>4884</v>
      </c>
      <c r="AF22" s="21">
        <v>1804</v>
      </c>
      <c r="AG22" s="22">
        <v>15</v>
      </c>
      <c r="AH22" s="380" t="s">
        <v>7898</v>
      </c>
      <c r="AI22" s="375" t="s">
        <v>857</v>
      </c>
      <c r="AK22" s="21">
        <v>1807</v>
      </c>
      <c r="AL22" s="22">
        <v>15</v>
      </c>
      <c r="AM22" s="374" t="s">
        <v>7899</v>
      </c>
      <c r="AN22" s="375" t="s">
        <v>901</v>
      </c>
      <c r="AP22" s="23">
        <v>1601</v>
      </c>
      <c r="AQ22" s="24">
        <v>15</v>
      </c>
      <c r="AR22" s="374" t="s">
        <v>7900</v>
      </c>
      <c r="AS22" s="375" t="s">
        <v>927</v>
      </c>
      <c r="AU22" s="23">
        <v>1703</v>
      </c>
      <c r="AV22" s="24">
        <v>15</v>
      </c>
      <c r="AW22" s="380" t="s">
        <v>7862</v>
      </c>
      <c r="AX22" s="375" t="s">
        <v>791</v>
      </c>
      <c r="AZ22" s="23">
        <v>1706</v>
      </c>
      <c r="BA22" s="22">
        <v>15</v>
      </c>
      <c r="BB22" s="374" t="s">
        <v>4884</v>
      </c>
      <c r="BC22" s="375" t="s">
        <v>4884</v>
      </c>
      <c r="BE22" s="23">
        <v>1709</v>
      </c>
      <c r="BF22" s="22">
        <v>15</v>
      </c>
      <c r="BG22" s="374" t="s">
        <v>4884</v>
      </c>
      <c r="BH22" s="375" t="s">
        <v>4884</v>
      </c>
    </row>
    <row r="23" spans="2:60" ht="15" thickBot="1">
      <c r="B23" s="21">
        <v>1506</v>
      </c>
      <c r="C23" s="22">
        <v>16</v>
      </c>
      <c r="D23" s="374" t="s">
        <v>4884</v>
      </c>
      <c r="E23" s="375" t="s">
        <v>4884</v>
      </c>
      <c r="G23" s="25">
        <v>1509</v>
      </c>
      <c r="H23" s="26">
        <v>16</v>
      </c>
      <c r="I23" s="380" t="s">
        <v>7901</v>
      </c>
      <c r="J23" s="379" t="s">
        <v>1065</v>
      </c>
      <c r="L23" s="25">
        <v>1604</v>
      </c>
      <c r="M23" s="26">
        <v>16</v>
      </c>
      <c r="N23" s="374" t="s">
        <v>4884</v>
      </c>
      <c r="O23" s="375" t="s">
        <v>4884</v>
      </c>
      <c r="Q23" s="25">
        <v>1607</v>
      </c>
      <c r="R23" s="26">
        <v>16</v>
      </c>
      <c r="S23" s="374" t="s">
        <v>4884</v>
      </c>
      <c r="T23" s="375" t="s">
        <v>4884</v>
      </c>
      <c r="V23" s="25">
        <v>1503</v>
      </c>
      <c r="W23" s="26">
        <v>16</v>
      </c>
      <c r="X23" s="378" t="s">
        <v>4884</v>
      </c>
      <c r="Y23" s="379" t="s">
        <v>4884</v>
      </c>
      <c r="AA23" s="25">
        <v>1801</v>
      </c>
      <c r="AB23" s="26">
        <v>16</v>
      </c>
      <c r="AC23" s="374" t="s">
        <v>4884</v>
      </c>
      <c r="AD23" s="379" t="s">
        <v>4884</v>
      </c>
      <c r="AF23" s="25">
        <v>1804</v>
      </c>
      <c r="AG23" s="26">
        <v>16</v>
      </c>
      <c r="AH23" s="380" t="s">
        <v>7902</v>
      </c>
      <c r="AI23" s="379" t="s">
        <v>1400</v>
      </c>
      <c r="AK23" s="25">
        <v>1807</v>
      </c>
      <c r="AL23" s="26">
        <v>16</v>
      </c>
      <c r="AM23" s="374" t="s">
        <v>7903</v>
      </c>
      <c r="AN23" s="379" t="s">
        <v>967</v>
      </c>
      <c r="AP23" s="27">
        <v>1601</v>
      </c>
      <c r="AQ23" s="28">
        <v>16</v>
      </c>
      <c r="AR23" s="374" t="s">
        <v>7904</v>
      </c>
      <c r="AS23" s="379" t="s">
        <v>955</v>
      </c>
      <c r="AU23" s="27">
        <v>1703</v>
      </c>
      <c r="AV23" s="28">
        <v>16</v>
      </c>
      <c r="AW23" s="380" t="s">
        <v>7894</v>
      </c>
      <c r="AX23" s="379" t="s">
        <v>1414</v>
      </c>
      <c r="AZ23" s="27">
        <v>1706</v>
      </c>
      <c r="BA23" s="26">
        <v>16</v>
      </c>
      <c r="BB23" s="374" t="s">
        <v>4884</v>
      </c>
      <c r="BC23" s="379" t="s">
        <v>4884</v>
      </c>
      <c r="BE23" s="27">
        <v>1709</v>
      </c>
      <c r="BF23" s="26">
        <v>16</v>
      </c>
      <c r="BG23" s="374" t="s">
        <v>4884</v>
      </c>
      <c r="BH23" s="379" t="s">
        <v>4884</v>
      </c>
    </row>
    <row r="24" spans="2:60">
      <c r="B24" s="12">
        <v>1506</v>
      </c>
      <c r="C24" s="13">
        <v>17</v>
      </c>
      <c r="D24" s="376" t="s">
        <v>7853</v>
      </c>
      <c r="E24" s="377" t="s">
        <v>897</v>
      </c>
      <c r="G24" s="12">
        <v>1509</v>
      </c>
      <c r="H24" s="13">
        <v>17</v>
      </c>
      <c r="I24" s="381" t="s">
        <v>7905</v>
      </c>
      <c r="J24" s="377" t="s">
        <v>865</v>
      </c>
      <c r="L24" s="12">
        <v>1604</v>
      </c>
      <c r="M24" s="13">
        <v>17</v>
      </c>
      <c r="N24" s="376" t="s">
        <v>4884</v>
      </c>
      <c r="O24" s="377" t="s">
        <v>4884</v>
      </c>
      <c r="Q24" s="12">
        <v>1607</v>
      </c>
      <c r="R24" s="13">
        <v>17</v>
      </c>
      <c r="S24" s="376" t="s">
        <v>4884</v>
      </c>
      <c r="T24" s="377" t="s">
        <v>4884</v>
      </c>
      <c r="V24" s="21">
        <v>1503</v>
      </c>
      <c r="W24" s="22">
        <v>17</v>
      </c>
      <c r="X24" s="376" t="s">
        <v>4884</v>
      </c>
      <c r="Y24" s="377" t="s">
        <v>4884</v>
      </c>
      <c r="AA24" s="12">
        <v>1801</v>
      </c>
      <c r="AB24" s="13">
        <v>17</v>
      </c>
      <c r="AC24" s="376" t="s">
        <v>4884</v>
      </c>
      <c r="AD24" s="377" t="s">
        <v>4884</v>
      </c>
      <c r="AF24" s="12">
        <v>1804</v>
      </c>
      <c r="AG24" s="13">
        <v>17</v>
      </c>
      <c r="AH24" s="381" t="s">
        <v>7906</v>
      </c>
      <c r="AI24" s="377" t="s">
        <v>1071</v>
      </c>
      <c r="AK24" s="12">
        <v>1807</v>
      </c>
      <c r="AL24" s="13">
        <v>17</v>
      </c>
      <c r="AM24" s="376" t="s">
        <v>7907</v>
      </c>
      <c r="AN24" s="377" t="s">
        <v>935</v>
      </c>
      <c r="AP24" s="23">
        <v>1601</v>
      </c>
      <c r="AQ24" s="22">
        <v>17</v>
      </c>
      <c r="AR24" s="376" t="s">
        <v>7880</v>
      </c>
      <c r="AS24" s="377" t="s">
        <v>909</v>
      </c>
      <c r="AU24" s="18">
        <v>1703</v>
      </c>
      <c r="AV24" s="13">
        <v>17</v>
      </c>
      <c r="AW24" s="381" t="s">
        <v>7889</v>
      </c>
      <c r="AX24" s="377" t="s">
        <v>843</v>
      </c>
      <c r="AZ24" s="18">
        <v>1706</v>
      </c>
      <c r="BA24" s="13">
        <v>17</v>
      </c>
      <c r="BB24" s="376" t="s">
        <v>4884</v>
      </c>
      <c r="BC24" s="377" t="s">
        <v>4884</v>
      </c>
      <c r="BE24" s="18">
        <v>1709</v>
      </c>
      <c r="BF24" s="13">
        <v>17</v>
      </c>
      <c r="BG24" s="376" t="s">
        <v>4884</v>
      </c>
      <c r="BH24" s="377" t="s">
        <v>4884</v>
      </c>
    </row>
    <row r="25" spans="2:60">
      <c r="B25" s="21">
        <v>1506</v>
      </c>
      <c r="C25" s="22">
        <v>18</v>
      </c>
      <c r="D25" s="374" t="s">
        <v>7908</v>
      </c>
      <c r="E25" s="375" t="s">
        <v>893</v>
      </c>
      <c r="G25" s="21">
        <v>1509</v>
      </c>
      <c r="H25" s="22">
        <v>18</v>
      </c>
      <c r="I25" s="380" t="s">
        <v>7879</v>
      </c>
      <c r="J25" s="375" t="s">
        <v>1073</v>
      </c>
      <c r="L25" s="21">
        <v>1604</v>
      </c>
      <c r="M25" s="22">
        <v>18</v>
      </c>
      <c r="N25" s="374" t="s">
        <v>4884</v>
      </c>
      <c r="O25" s="375" t="s">
        <v>4884</v>
      </c>
      <c r="P25" s="8"/>
      <c r="Q25" s="21">
        <v>1607</v>
      </c>
      <c r="R25" s="22">
        <v>18</v>
      </c>
      <c r="S25" s="374" t="s">
        <v>4884</v>
      </c>
      <c r="T25" s="375" t="s">
        <v>4884</v>
      </c>
      <c r="U25" s="8"/>
      <c r="V25" s="21">
        <v>1503</v>
      </c>
      <c r="W25" s="22">
        <v>18</v>
      </c>
      <c r="X25" s="374" t="s">
        <v>4884</v>
      </c>
      <c r="Y25" s="375" t="s">
        <v>4884</v>
      </c>
      <c r="AA25" s="21">
        <v>1801</v>
      </c>
      <c r="AB25" s="22">
        <v>18</v>
      </c>
      <c r="AC25" s="374" t="s">
        <v>4884</v>
      </c>
      <c r="AD25" s="375" t="s">
        <v>4884</v>
      </c>
      <c r="AF25" s="21">
        <v>1804</v>
      </c>
      <c r="AG25" s="22">
        <v>18</v>
      </c>
      <c r="AH25" s="380" t="s">
        <v>7909</v>
      </c>
      <c r="AI25" s="375" t="s">
        <v>859</v>
      </c>
      <c r="AK25" s="21">
        <v>1807</v>
      </c>
      <c r="AL25" s="22">
        <v>18</v>
      </c>
      <c r="AM25" s="374" t="s">
        <v>7910</v>
      </c>
      <c r="AN25" s="375" t="s">
        <v>949</v>
      </c>
      <c r="AP25" s="23">
        <v>1601</v>
      </c>
      <c r="AQ25" s="22">
        <v>18</v>
      </c>
      <c r="AR25" s="374" t="s">
        <v>7911</v>
      </c>
      <c r="AS25" s="375" t="s">
        <v>905</v>
      </c>
      <c r="AT25" s="8"/>
      <c r="AU25" s="23">
        <v>1703</v>
      </c>
      <c r="AV25" s="22">
        <v>18</v>
      </c>
      <c r="AW25" s="380" t="s">
        <v>7902</v>
      </c>
      <c r="AX25" s="375" t="s">
        <v>1400</v>
      </c>
      <c r="AY25" s="8"/>
      <c r="AZ25" s="23">
        <v>1706</v>
      </c>
      <c r="BA25" s="22">
        <v>18</v>
      </c>
      <c r="BB25" s="374" t="s">
        <v>4884</v>
      </c>
      <c r="BC25" s="375" t="s">
        <v>4884</v>
      </c>
      <c r="BD25" s="8"/>
      <c r="BE25" s="23">
        <v>1709</v>
      </c>
      <c r="BF25" s="22">
        <v>18</v>
      </c>
      <c r="BG25" s="374" t="s">
        <v>4884</v>
      </c>
      <c r="BH25" s="375" t="s">
        <v>4884</v>
      </c>
    </row>
    <row r="26" spans="2:60">
      <c r="B26" s="21">
        <v>1506</v>
      </c>
      <c r="C26" s="22">
        <v>19</v>
      </c>
      <c r="D26" s="374" t="s">
        <v>7912</v>
      </c>
      <c r="E26" s="375" t="s">
        <v>933</v>
      </c>
      <c r="G26" s="21">
        <v>1509</v>
      </c>
      <c r="H26" s="22">
        <v>19</v>
      </c>
      <c r="I26" s="380" t="s">
        <v>7913</v>
      </c>
      <c r="J26" s="375" t="s">
        <v>1105</v>
      </c>
      <c r="L26" s="21">
        <v>1604</v>
      </c>
      <c r="M26" s="22">
        <v>19</v>
      </c>
      <c r="N26" s="374" t="s">
        <v>4884</v>
      </c>
      <c r="O26" s="375" t="s">
        <v>4884</v>
      </c>
      <c r="Q26" s="21">
        <v>1607</v>
      </c>
      <c r="R26" s="22">
        <v>19</v>
      </c>
      <c r="S26" s="374" t="s">
        <v>4884</v>
      </c>
      <c r="T26" s="375" t="s">
        <v>4884</v>
      </c>
      <c r="V26" s="21">
        <v>1503</v>
      </c>
      <c r="W26" s="22">
        <v>19</v>
      </c>
      <c r="X26" s="374" t="s">
        <v>4884</v>
      </c>
      <c r="Y26" s="375" t="s">
        <v>4884</v>
      </c>
      <c r="AA26" s="21">
        <v>1801</v>
      </c>
      <c r="AB26" s="22">
        <v>19</v>
      </c>
      <c r="AC26" s="374" t="s">
        <v>4884</v>
      </c>
      <c r="AD26" s="375" t="s">
        <v>4884</v>
      </c>
      <c r="AF26" s="21">
        <v>1804</v>
      </c>
      <c r="AG26" s="22">
        <v>19</v>
      </c>
      <c r="AH26" s="380" t="s">
        <v>7887</v>
      </c>
      <c r="AI26" s="375" t="s">
        <v>881</v>
      </c>
      <c r="AK26" s="21">
        <v>1807</v>
      </c>
      <c r="AL26" s="22">
        <v>19</v>
      </c>
      <c r="AM26" s="374" t="s">
        <v>4884</v>
      </c>
      <c r="AN26" s="375" t="s">
        <v>4884</v>
      </c>
      <c r="AP26" s="23">
        <v>1601</v>
      </c>
      <c r="AQ26" s="22">
        <v>19</v>
      </c>
      <c r="AR26" s="374" t="s">
        <v>7903</v>
      </c>
      <c r="AS26" s="375" t="s">
        <v>967</v>
      </c>
      <c r="AU26" s="23">
        <v>1703</v>
      </c>
      <c r="AV26" s="22">
        <v>19</v>
      </c>
      <c r="AW26" s="380" t="s">
        <v>7914</v>
      </c>
      <c r="AX26" s="375" t="s">
        <v>845</v>
      </c>
      <c r="AZ26" s="23">
        <v>1706</v>
      </c>
      <c r="BA26" s="22">
        <v>19</v>
      </c>
      <c r="BB26" s="374" t="s">
        <v>4884</v>
      </c>
      <c r="BC26" s="375" t="s">
        <v>4884</v>
      </c>
      <c r="BE26" s="23">
        <v>1709</v>
      </c>
      <c r="BF26" s="22">
        <v>19</v>
      </c>
      <c r="BG26" s="374" t="s">
        <v>4884</v>
      </c>
      <c r="BH26" s="375" t="s">
        <v>4884</v>
      </c>
    </row>
    <row r="27" spans="2:60">
      <c r="B27" s="21">
        <v>1506</v>
      </c>
      <c r="C27" s="22">
        <v>20</v>
      </c>
      <c r="D27" s="374" t="s">
        <v>7915</v>
      </c>
      <c r="E27" s="375" t="s">
        <v>983</v>
      </c>
      <c r="G27" s="21">
        <v>1509</v>
      </c>
      <c r="H27" s="22">
        <v>20</v>
      </c>
      <c r="I27" s="380" t="s">
        <v>7916</v>
      </c>
      <c r="J27" s="375" t="s">
        <v>1111</v>
      </c>
      <c r="L27" s="21">
        <v>1604</v>
      </c>
      <c r="M27" s="22">
        <v>20</v>
      </c>
      <c r="N27" s="374" t="s">
        <v>4884</v>
      </c>
      <c r="O27" s="375" t="s">
        <v>4884</v>
      </c>
      <c r="P27" s="8"/>
      <c r="Q27" s="21">
        <v>1607</v>
      </c>
      <c r="R27" s="22">
        <v>20</v>
      </c>
      <c r="S27" s="374" t="s">
        <v>4884</v>
      </c>
      <c r="T27" s="375" t="s">
        <v>4884</v>
      </c>
      <c r="U27" s="8"/>
      <c r="V27" s="21">
        <v>1503</v>
      </c>
      <c r="W27" s="22">
        <v>20</v>
      </c>
      <c r="X27" s="374" t="s">
        <v>4884</v>
      </c>
      <c r="Y27" s="375" t="s">
        <v>4884</v>
      </c>
      <c r="AA27" s="21">
        <v>1801</v>
      </c>
      <c r="AB27" s="22">
        <v>20</v>
      </c>
      <c r="AC27" s="374" t="s">
        <v>4884</v>
      </c>
      <c r="AD27" s="375" t="s">
        <v>4884</v>
      </c>
      <c r="AF27" s="21">
        <v>1804</v>
      </c>
      <c r="AG27" s="22">
        <v>20</v>
      </c>
      <c r="AH27" s="380" t="s">
        <v>7917</v>
      </c>
      <c r="AI27" s="375" t="s">
        <v>1404</v>
      </c>
      <c r="AK27" s="21">
        <v>1807</v>
      </c>
      <c r="AL27" s="22">
        <v>20</v>
      </c>
      <c r="AM27" s="374" t="s">
        <v>7912</v>
      </c>
      <c r="AN27" s="375" t="s">
        <v>933</v>
      </c>
      <c r="AP27" s="23">
        <v>1601</v>
      </c>
      <c r="AQ27" s="22">
        <v>20</v>
      </c>
      <c r="AR27" s="374" t="s">
        <v>7910</v>
      </c>
      <c r="AS27" s="375" t="s">
        <v>949</v>
      </c>
      <c r="AT27" s="8"/>
      <c r="AU27" s="23">
        <v>1703</v>
      </c>
      <c r="AV27" s="22">
        <v>20</v>
      </c>
      <c r="AW27" s="380" t="s">
        <v>7898</v>
      </c>
      <c r="AX27" s="375" t="s">
        <v>857</v>
      </c>
      <c r="AY27" s="8"/>
      <c r="AZ27" s="23">
        <v>1706</v>
      </c>
      <c r="BA27" s="22">
        <v>20</v>
      </c>
      <c r="BB27" s="374" t="s">
        <v>4884</v>
      </c>
      <c r="BC27" s="375" t="s">
        <v>4884</v>
      </c>
      <c r="BD27" s="8"/>
      <c r="BE27" s="23">
        <v>1709</v>
      </c>
      <c r="BF27" s="22">
        <v>20</v>
      </c>
      <c r="BG27" s="374" t="s">
        <v>4884</v>
      </c>
      <c r="BH27" s="375" t="s">
        <v>4884</v>
      </c>
    </row>
    <row r="28" spans="2:60">
      <c r="B28" s="21">
        <v>1506</v>
      </c>
      <c r="C28" s="22">
        <v>21</v>
      </c>
      <c r="D28" s="374" t="s">
        <v>4884</v>
      </c>
      <c r="E28" s="375" t="s">
        <v>4884</v>
      </c>
      <c r="G28" s="21">
        <v>1509</v>
      </c>
      <c r="H28" s="22">
        <v>21</v>
      </c>
      <c r="I28" s="380" t="s">
        <v>7918</v>
      </c>
      <c r="J28" s="375" t="s">
        <v>1038</v>
      </c>
      <c r="L28" s="21">
        <v>1604</v>
      </c>
      <c r="M28" s="22">
        <v>21</v>
      </c>
      <c r="N28" s="374" t="s">
        <v>4884</v>
      </c>
      <c r="O28" s="375" t="s">
        <v>4884</v>
      </c>
      <c r="Q28" s="21">
        <v>1607</v>
      </c>
      <c r="R28" s="22">
        <v>21</v>
      </c>
      <c r="S28" s="374" t="s">
        <v>4884</v>
      </c>
      <c r="T28" s="375" t="s">
        <v>4884</v>
      </c>
      <c r="V28" s="21">
        <v>1503</v>
      </c>
      <c r="W28" s="22">
        <v>21</v>
      </c>
      <c r="X28" s="374" t="s">
        <v>4884</v>
      </c>
      <c r="Y28" s="375" t="s">
        <v>4884</v>
      </c>
      <c r="AA28" s="21">
        <v>1801</v>
      </c>
      <c r="AB28" s="22">
        <v>21</v>
      </c>
      <c r="AC28" s="374" t="s">
        <v>4884</v>
      </c>
      <c r="AD28" s="375" t="s">
        <v>4884</v>
      </c>
      <c r="AF28" s="21">
        <v>1804</v>
      </c>
      <c r="AG28" s="22">
        <v>21</v>
      </c>
      <c r="AH28" s="380" t="s">
        <v>7893</v>
      </c>
      <c r="AI28" s="375" t="s">
        <v>1368</v>
      </c>
      <c r="AK28" s="21">
        <v>1807</v>
      </c>
      <c r="AL28" s="22">
        <v>21</v>
      </c>
      <c r="AM28" s="374" t="s">
        <v>4884</v>
      </c>
      <c r="AN28" s="375" t="s">
        <v>4884</v>
      </c>
      <c r="AP28" s="23">
        <v>1601</v>
      </c>
      <c r="AQ28" s="22">
        <v>21</v>
      </c>
      <c r="AR28" s="374" t="s">
        <v>4884</v>
      </c>
      <c r="AS28" s="375" t="s">
        <v>4884</v>
      </c>
      <c r="AU28" s="23">
        <v>1703</v>
      </c>
      <c r="AV28" s="22">
        <v>21</v>
      </c>
      <c r="AW28" s="380" t="s">
        <v>7851</v>
      </c>
      <c r="AX28" s="375" t="s">
        <v>1833</v>
      </c>
      <c r="AZ28" s="23">
        <v>1706</v>
      </c>
      <c r="BA28" s="22">
        <v>21</v>
      </c>
      <c r="BB28" s="374" t="s">
        <v>4884</v>
      </c>
      <c r="BC28" s="375" t="s">
        <v>4884</v>
      </c>
      <c r="BE28" s="23">
        <v>1709</v>
      </c>
      <c r="BF28" s="22">
        <v>21</v>
      </c>
      <c r="BG28" s="374" t="s">
        <v>4884</v>
      </c>
      <c r="BH28" s="375" t="s">
        <v>4884</v>
      </c>
    </row>
    <row r="29" spans="2:60">
      <c r="B29" s="21">
        <v>1506</v>
      </c>
      <c r="C29" s="22">
        <v>22</v>
      </c>
      <c r="D29" s="374" t="s">
        <v>4884</v>
      </c>
      <c r="E29" s="375" t="s">
        <v>4884</v>
      </c>
      <c r="G29" s="21">
        <v>1509</v>
      </c>
      <c r="H29" s="22">
        <v>22</v>
      </c>
      <c r="I29" s="380" t="s">
        <v>7919</v>
      </c>
      <c r="J29" s="375" t="s">
        <v>921</v>
      </c>
      <c r="L29" s="21">
        <v>1604</v>
      </c>
      <c r="M29" s="22">
        <v>22</v>
      </c>
      <c r="N29" s="374" t="s">
        <v>4884</v>
      </c>
      <c r="O29" s="375" t="s">
        <v>4884</v>
      </c>
      <c r="Q29" s="21">
        <v>1607</v>
      </c>
      <c r="R29" s="22">
        <v>22</v>
      </c>
      <c r="S29" s="374" t="s">
        <v>4884</v>
      </c>
      <c r="T29" s="375" t="s">
        <v>4884</v>
      </c>
      <c r="V29" s="21">
        <v>1503</v>
      </c>
      <c r="W29" s="22">
        <v>22</v>
      </c>
      <c r="X29" s="374" t="s">
        <v>4884</v>
      </c>
      <c r="Y29" s="375" t="s">
        <v>4884</v>
      </c>
      <c r="AA29" s="21">
        <v>1801</v>
      </c>
      <c r="AB29" s="22">
        <v>22</v>
      </c>
      <c r="AC29" s="374" t="s">
        <v>4884</v>
      </c>
      <c r="AD29" s="375" t="s">
        <v>4884</v>
      </c>
      <c r="AF29" s="21">
        <v>1804</v>
      </c>
      <c r="AG29" s="22">
        <v>22</v>
      </c>
      <c r="AH29" s="380" t="s">
        <v>7920</v>
      </c>
      <c r="AI29" s="375" t="s">
        <v>883</v>
      </c>
      <c r="AK29" s="21">
        <v>1807</v>
      </c>
      <c r="AL29" s="22">
        <v>22</v>
      </c>
      <c r="AM29" s="374" t="s">
        <v>4884</v>
      </c>
      <c r="AN29" s="375" t="s">
        <v>4884</v>
      </c>
      <c r="AP29" s="23">
        <v>1601</v>
      </c>
      <c r="AQ29" s="22">
        <v>22</v>
      </c>
      <c r="AR29" s="374" t="s">
        <v>4884</v>
      </c>
      <c r="AS29" s="375" t="s">
        <v>4884</v>
      </c>
      <c r="AU29" s="23">
        <v>1703</v>
      </c>
      <c r="AV29" s="22">
        <v>22</v>
      </c>
      <c r="AW29" s="380" t="s">
        <v>7858</v>
      </c>
      <c r="AX29" s="375" t="s">
        <v>787</v>
      </c>
      <c r="AZ29" s="23">
        <v>1706</v>
      </c>
      <c r="BA29" s="22">
        <v>22</v>
      </c>
      <c r="BB29" s="374" t="s">
        <v>4884</v>
      </c>
      <c r="BC29" s="375" t="s">
        <v>4884</v>
      </c>
      <c r="BE29" s="23">
        <v>1709</v>
      </c>
      <c r="BF29" s="22">
        <v>22</v>
      </c>
      <c r="BG29" s="374" t="s">
        <v>4884</v>
      </c>
      <c r="BH29" s="375" t="s">
        <v>4884</v>
      </c>
    </row>
    <row r="30" spans="2:60">
      <c r="B30" s="21">
        <v>1506</v>
      </c>
      <c r="C30" s="22">
        <v>23</v>
      </c>
      <c r="D30" s="374" t="s">
        <v>4884</v>
      </c>
      <c r="E30" s="375" t="s">
        <v>4884</v>
      </c>
      <c r="G30" s="21">
        <v>1509</v>
      </c>
      <c r="H30" s="22">
        <v>23</v>
      </c>
      <c r="I30" s="380" t="s">
        <v>7892</v>
      </c>
      <c r="J30" s="375" t="s">
        <v>863</v>
      </c>
      <c r="L30" s="21">
        <v>1604</v>
      </c>
      <c r="M30" s="22">
        <v>23</v>
      </c>
      <c r="N30" s="374" t="s">
        <v>4884</v>
      </c>
      <c r="O30" s="375" t="s">
        <v>4884</v>
      </c>
      <c r="Q30" s="21">
        <v>1607</v>
      </c>
      <c r="R30" s="22">
        <v>23</v>
      </c>
      <c r="S30" s="374" t="s">
        <v>4884</v>
      </c>
      <c r="T30" s="375" t="s">
        <v>4884</v>
      </c>
      <c r="V30" s="21">
        <v>1503</v>
      </c>
      <c r="W30" s="22">
        <v>23</v>
      </c>
      <c r="X30" s="374" t="s">
        <v>4884</v>
      </c>
      <c r="Y30" s="375" t="s">
        <v>4884</v>
      </c>
      <c r="AA30" s="21">
        <v>1801</v>
      </c>
      <c r="AB30" s="22">
        <v>23</v>
      </c>
      <c r="AC30" s="374" t="s">
        <v>4884</v>
      </c>
      <c r="AD30" s="375" t="s">
        <v>4884</v>
      </c>
      <c r="AF30" s="21">
        <v>1804</v>
      </c>
      <c r="AG30" s="22">
        <v>23</v>
      </c>
      <c r="AH30" s="380" t="s">
        <v>7851</v>
      </c>
      <c r="AI30" s="375" t="s">
        <v>1833</v>
      </c>
      <c r="AK30" s="21">
        <v>1807</v>
      </c>
      <c r="AL30" s="22">
        <v>23</v>
      </c>
      <c r="AM30" s="374" t="s">
        <v>4884</v>
      </c>
      <c r="AN30" s="375" t="s">
        <v>4884</v>
      </c>
      <c r="AP30" s="23">
        <v>1601</v>
      </c>
      <c r="AQ30" s="22">
        <v>23</v>
      </c>
      <c r="AR30" s="374" t="s">
        <v>4884</v>
      </c>
      <c r="AS30" s="375" t="s">
        <v>4884</v>
      </c>
      <c r="AU30" s="23">
        <v>1703</v>
      </c>
      <c r="AV30" s="22">
        <v>23</v>
      </c>
      <c r="AW30" s="380" t="s">
        <v>7888</v>
      </c>
      <c r="AX30" s="375" t="s">
        <v>1366</v>
      </c>
      <c r="AZ30" s="23">
        <v>1706</v>
      </c>
      <c r="BA30" s="22">
        <v>23</v>
      </c>
      <c r="BB30" s="374" t="s">
        <v>4884</v>
      </c>
      <c r="BC30" s="375" t="s">
        <v>4884</v>
      </c>
      <c r="BE30" s="23">
        <v>1709</v>
      </c>
      <c r="BF30" s="22">
        <v>23</v>
      </c>
      <c r="BG30" s="374" t="s">
        <v>4884</v>
      </c>
      <c r="BH30" s="375" t="s">
        <v>4884</v>
      </c>
    </row>
    <row r="31" spans="2:60">
      <c r="B31" s="21">
        <v>1506</v>
      </c>
      <c r="C31" s="22">
        <v>24</v>
      </c>
      <c r="D31" s="374" t="s">
        <v>4884</v>
      </c>
      <c r="E31" s="375" t="s">
        <v>4884</v>
      </c>
      <c r="G31" s="21">
        <v>1509</v>
      </c>
      <c r="H31" s="22">
        <v>24</v>
      </c>
      <c r="I31" s="380" t="s">
        <v>7921</v>
      </c>
      <c r="J31" s="375" t="s">
        <v>869</v>
      </c>
      <c r="L31" s="21">
        <v>1604</v>
      </c>
      <c r="M31" s="22">
        <v>24</v>
      </c>
      <c r="N31" s="374" t="s">
        <v>4884</v>
      </c>
      <c r="O31" s="375" t="s">
        <v>4884</v>
      </c>
      <c r="Q31" s="21">
        <v>1607</v>
      </c>
      <c r="R31" s="22">
        <v>24</v>
      </c>
      <c r="S31" s="374" t="s">
        <v>4884</v>
      </c>
      <c r="T31" s="375" t="s">
        <v>4884</v>
      </c>
      <c r="V31" s="21">
        <v>1503</v>
      </c>
      <c r="W31" s="22">
        <v>24</v>
      </c>
      <c r="X31" s="374" t="s">
        <v>4884</v>
      </c>
      <c r="Y31" s="375" t="s">
        <v>4884</v>
      </c>
      <c r="AA31" s="21">
        <v>1801</v>
      </c>
      <c r="AB31" s="22">
        <v>24</v>
      </c>
      <c r="AC31" s="374" t="s">
        <v>4884</v>
      </c>
      <c r="AD31" s="375" t="s">
        <v>4884</v>
      </c>
      <c r="AF31" s="21">
        <v>1804</v>
      </c>
      <c r="AG31" s="22">
        <v>24</v>
      </c>
      <c r="AH31" s="380" t="s">
        <v>7858</v>
      </c>
      <c r="AI31" s="375" t="s">
        <v>787</v>
      </c>
      <c r="AK31" s="21">
        <v>1807</v>
      </c>
      <c r="AL31" s="22">
        <v>24</v>
      </c>
      <c r="AM31" s="374" t="s">
        <v>4884</v>
      </c>
      <c r="AN31" s="375" t="s">
        <v>4884</v>
      </c>
      <c r="AP31" s="23">
        <v>1601</v>
      </c>
      <c r="AQ31" s="22">
        <v>24</v>
      </c>
      <c r="AR31" s="374" t="s">
        <v>4884</v>
      </c>
      <c r="AS31" s="375" t="s">
        <v>4884</v>
      </c>
      <c r="AU31" s="23">
        <v>1703</v>
      </c>
      <c r="AV31" s="22">
        <v>24</v>
      </c>
      <c r="AW31" s="380" t="s">
        <v>7881</v>
      </c>
      <c r="AX31" s="375" t="s">
        <v>793</v>
      </c>
      <c r="AZ31" s="23">
        <v>1706</v>
      </c>
      <c r="BA31" s="22">
        <v>24</v>
      </c>
      <c r="BB31" s="374" t="s">
        <v>4884</v>
      </c>
      <c r="BC31" s="375" t="s">
        <v>4884</v>
      </c>
      <c r="BE31" s="23">
        <v>1709</v>
      </c>
      <c r="BF31" s="22">
        <v>24</v>
      </c>
      <c r="BG31" s="374" t="s">
        <v>4884</v>
      </c>
      <c r="BH31" s="375" t="s">
        <v>4884</v>
      </c>
    </row>
    <row r="32" spans="2:60">
      <c r="B32" s="21">
        <v>1506</v>
      </c>
      <c r="C32" s="22">
        <v>25</v>
      </c>
      <c r="D32" s="374" t="s">
        <v>4884</v>
      </c>
      <c r="E32" s="375" t="s">
        <v>4884</v>
      </c>
      <c r="G32" s="21">
        <v>1509</v>
      </c>
      <c r="H32" s="22">
        <v>25</v>
      </c>
      <c r="I32" s="380" t="s">
        <v>7894</v>
      </c>
      <c r="J32" s="375" t="s">
        <v>1414</v>
      </c>
      <c r="L32" s="21">
        <v>1604</v>
      </c>
      <c r="M32" s="22">
        <v>25</v>
      </c>
      <c r="N32" s="374" t="s">
        <v>4884</v>
      </c>
      <c r="O32" s="375" t="s">
        <v>4884</v>
      </c>
      <c r="Q32" s="21">
        <v>1607</v>
      </c>
      <c r="R32" s="22">
        <v>25</v>
      </c>
      <c r="S32" s="374" t="s">
        <v>4884</v>
      </c>
      <c r="T32" s="375" t="s">
        <v>4884</v>
      </c>
      <c r="V32" s="21">
        <v>1503</v>
      </c>
      <c r="W32" s="22">
        <v>25</v>
      </c>
      <c r="X32" s="374" t="s">
        <v>4884</v>
      </c>
      <c r="Y32" s="375" t="s">
        <v>4884</v>
      </c>
      <c r="AA32" s="21">
        <v>1801</v>
      </c>
      <c r="AB32" s="22">
        <v>25</v>
      </c>
      <c r="AC32" s="374" t="s">
        <v>4884</v>
      </c>
      <c r="AD32" s="375" t="s">
        <v>4884</v>
      </c>
      <c r="AF32" s="21">
        <v>1804</v>
      </c>
      <c r="AG32" s="22">
        <v>25</v>
      </c>
      <c r="AH32" s="380" t="s">
        <v>7897</v>
      </c>
      <c r="AI32" s="375" t="s">
        <v>789</v>
      </c>
      <c r="AK32" s="21">
        <v>1807</v>
      </c>
      <c r="AL32" s="22">
        <v>25</v>
      </c>
      <c r="AM32" s="374" t="s">
        <v>4884</v>
      </c>
      <c r="AN32" s="375" t="s">
        <v>4884</v>
      </c>
      <c r="AP32" s="23">
        <v>1601</v>
      </c>
      <c r="AQ32" s="22">
        <v>25</v>
      </c>
      <c r="AR32" s="374" t="s">
        <v>4884</v>
      </c>
      <c r="AS32" s="375" t="s">
        <v>4884</v>
      </c>
      <c r="AU32" s="23">
        <v>1703</v>
      </c>
      <c r="AV32" s="22">
        <v>25</v>
      </c>
      <c r="AW32" s="380" t="s">
        <v>7922</v>
      </c>
      <c r="AX32" s="375" t="s">
        <v>783</v>
      </c>
      <c r="AZ32" s="23">
        <v>1706</v>
      </c>
      <c r="BA32" s="22">
        <v>25</v>
      </c>
      <c r="BB32" s="374" t="s">
        <v>4884</v>
      </c>
      <c r="BC32" s="375" t="s">
        <v>4884</v>
      </c>
      <c r="BE32" s="23">
        <v>1709</v>
      </c>
      <c r="BF32" s="22">
        <v>25</v>
      </c>
      <c r="BG32" s="374" t="s">
        <v>4884</v>
      </c>
      <c r="BH32" s="375" t="s">
        <v>4884</v>
      </c>
    </row>
    <row r="33" spans="2:60">
      <c r="B33" s="21">
        <v>1506</v>
      </c>
      <c r="C33" s="22">
        <v>26</v>
      </c>
      <c r="D33" s="374" t="s">
        <v>4884</v>
      </c>
      <c r="E33" s="375" t="s">
        <v>4884</v>
      </c>
      <c r="G33" s="21">
        <v>1509</v>
      </c>
      <c r="H33" s="22">
        <v>26</v>
      </c>
      <c r="I33" s="380" t="s">
        <v>7896</v>
      </c>
      <c r="J33" s="375" t="s">
        <v>1402</v>
      </c>
      <c r="L33" s="21">
        <v>1604</v>
      </c>
      <c r="M33" s="22">
        <v>26</v>
      </c>
      <c r="N33" s="374" t="s">
        <v>4884</v>
      </c>
      <c r="O33" s="375" t="s">
        <v>4884</v>
      </c>
      <c r="Q33" s="21">
        <v>1607</v>
      </c>
      <c r="R33" s="22">
        <v>26</v>
      </c>
      <c r="S33" s="374" t="s">
        <v>4884</v>
      </c>
      <c r="T33" s="375" t="s">
        <v>4884</v>
      </c>
      <c r="V33" s="21">
        <v>1503</v>
      </c>
      <c r="W33" s="22">
        <v>26</v>
      </c>
      <c r="X33" s="374" t="s">
        <v>4884</v>
      </c>
      <c r="Y33" s="375" t="s">
        <v>4884</v>
      </c>
      <c r="AA33" s="21">
        <v>1801</v>
      </c>
      <c r="AB33" s="22">
        <v>26</v>
      </c>
      <c r="AC33" s="374" t="s">
        <v>4884</v>
      </c>
      <c r="AD33" s="375" t="s">
        <v>4884</v>
      </c>
      <c r="AE33" s="8"/>
      <c r="AF33" s="21">
        <v>1804</v>
      </c>
      <c r="AG33" s="22">
        <v>26</v>
      </c>
      <c r="AH33" s="380" t="s">
        <v>7862</v>
      </c>
      <c r="AI33" s="375" t="s">
        <v>791</v>
      </c>
      <c r="AJ33" s="8"/>
      <c r="AK33" s="21">
        <v>1807</v>
      </c>
      <c r="AL33" s="22">
        <v>26</v>
      </c>
      <c r="AM33" s="374" t="s">
        <v>4884</v>
      </c>
      <c r="AN33" s="375" t="s">
        <v>4884</v>
      </c>
      <c r="AP33" s="23">
        <v>1601</v>
      </c>
      <c r="AQ33" s="22">
        <v>26</v>
      </c>
      <c r="AR33" s="374" t="s">
        <v>4884</v>
      </c>
      <c r="AS33" s="375" t="s">
        <v>4884</v>
      </c>
      <c r="AU33" s="23">
        <v>1703</v>
      </c>
      <c r="AV33" s="22">
        <v>26</v>
      </c>
      <c r="AW33" s="380" t="s">
        <v>7923</v>
      </c>
      <c r="AX33" s="375" t="s">
        <v>777</v>
      </c>
      <c r="AZ33" s="23">
        <v>1706</v>
      </c>
      <c r="BA33" s="22">
        <v>26</v>
      </c>
      <c r="BB33" s="374" t="s">
        <v>4884</v>
      </c>
      <c r="BC33" s="375" t="s">
        <v>4884</v>
      </c>
      <c r="BE33" s="23">
        <v>1709</v>
      </c>
      <c r="BF33" s="22">
        <v>26</v>
      </c>
      <c r="BG33" s="374" t="s">
        <v>4884</v>
      </c>
      <c r="BH33" s="375" t="s">
        <v>4884</v>
      </c>
    </row>
    <row r="34" spans="2:60">
      <c r="B34" s="21">
        <v>1506</v>
      </c>
      <c r="C34" s="22">
        <v>27</v>
      </c>
      <c r="D34" s="374" t="s">
        <v>4884</v>
      </c>
      <c r="E34" s="375" t="s">
        <v>4884</v>
      </c>
      <c r="G34" s="21">
        <v>1509</v>
      </c>
      <c r="H34" s="22">
        <v>27</v>
      </c>
      <c r="I34" s="380" t="s">
        <v>7898</v>
      </c>
      <c r="J34" s="375" t="s">
        <v>857</v>
      </c>
      <c r="L34" s="21">
        <v>1604</v>
      </c>
      <c r="M34" s="22">
        <v>27</v>
      </c>
      <c r="N34" s="374" t="s">
        <v>4884</v>
      </c>
      <c r="O34" s="375" t="s">
        <v>4884</v>
      </c>
      <c r="Q34" s="21">
        <v>1607</v>
      </c>
      <c r="R34" s="22">
        <v>27</v>
      </c>
      <c r="S34" s="374" t="s">
        <v>4884</v>
      </c>
      <c r="T34" s="375" t="s">
        <v>4884</v>
      </c>
      <c r="V34" s="21">
        <v>1503</v>
      </c>
      <c r="W34" s="22">
        <v>27</v>
      </c>
      <c r="X34" s="374" t="s">
        <v>4884</v>
      </c>
      <c r="Y34" s="375" t="s">
        <v>4884</v>
      </c>
      <c r="AA34" s="21">
        <v>1801</v>
      </c>
      <c r="AB34" s="22">
        <v>27</v>
      </c>
      <c r="AC34" s="374" t="s">
        <v>4884</v>
      </c>
      <c r="AD34" s="375" t="s">
        <v>4884</v>
      </c>
      <c r="AF34" s="21">
        <v>1804</v>
      </c>
      <c r="AG34" s="22">
        <v>27</v>
      </c>
      <c r="AH34" s="380" t="s">
        <v>7914</v>
      </c>
      <c r="AI34" s="375" t="s">
        <v>845</v>
      </c>
      <c r="AK34" s="21">
        <v>1807</v>
      </c>
      <c r="AL34" s="22">
        <v>27</v>
      </c>
      <c r="AM34" s="374" t="s">
        <v>4884</v>
      </c>
      <c r="AN34" s="375" t="s">
        <v>4884</v>
      </c>
      <c r="AP34" s="23">
        <v>1601</v>
      </c>
      <c r="AQ34" s="22">
        <v>27</v>
      </c>
      <c r="AR34" s="374" t="s">
        <v>4884</v>
      </c>
      <c r="AS34" s="375" t="s">
        <v>4884</v>
      </c>
      <c r="AU34" s="23">
        <v>1703</v>
      </c>
      <c r="AV34" s="22">
        <v>27</v>
      </c>
      <c r="AW34" s="380" t="s">
        <v>7924</v>
      </c>
      <c r="AX34" s="375" t="s">
        <v>785</v>
      </c>
      <c r="AZ34" s="23">
        <v>1706</v>
      </c>
      <c r="BA34" s="22">
        <v>27</v>
      </c>
      <c r="BB34" s="374" t="s">
        <v>4884</v>
      </c>
      <c r="BC34" s="375" t="s">
        <v>4884</v>
      </c>
      <c r="BE34" s="23">
        <v>1709</v>
      </c>
      <c r="BF34" s="22">
        <v>27</v>
      </c>
      <c r="BG34" s="374" t="s">
        <v>4884</v>
      </c>
      <c r="BH34" s="375" t="s">
        <v>4884</v>
      </c>
    </row>
    <row r="35" spans="2:60">
      <c r="B35" s="21">
        <v>1506</v>
      </c>
      <c r="C35" s="22">
        <v>28</v>
      </c>
      <c r="D35" s="374" t="s">
        <v>4884</v>
      </c>
      <c r="E35" s="375" t="s">
        <v>4884</v>
      </c>
      <c r="G35" s="21">
        <v>1509</v>
      </c>
      <c r="H35" s="22">
        <v>28</v>
      </c>
      <c r="I35" s="380" t="s">
        <v>7902</v>
      </c>
      <c r="J35" s="375" t="s">
        <v>1400</v>
      </c>
      <c r="L35" s="21">
        <v>1604</v>
      </c>
      <c r="M35" s="22">
        <v>28</v>
      </c>
      <c r="N35" s="374" t="s">
        <v>4884</v>
      </c>
      <c r="O35" s="375" t="s">
        <v>4884</v>
      </c>
      <c r="Q35" s="21">
        <v>1607</v>
      </c>
      <c r="R35" s="22">
        <v>28</v>
      </c>
      <c r="S35" s="374" t="s">
        <v>4884</v>
      </c>
      <c r="T35" s="375" t="s">
        <v>4884</v>
      </c>
      <c r="V35" s="21">
        <v>1503</v>
      </c>
      <c r="W35" s="22">
        <v>28</v>
      </c>
      <c r="X35" s="374" t="s">
        <v>4884</v>
      </c>
      <c r="Y35" s="375" t="s">
        <v>4884</v>
      </c>
      <c r="AA35" s="21">
        <v>1801</v>
      </c>
      <c r="AB35" s="22">
        <v>28</v>
      </c>
      <c r="AC35" s="374" t="s">
        <v>4884</v>
      </c>
      <c r="AD35" s="375" t="s">
        <v>4884</v>
      </c>
      <c r="AF35" s="21">
        <v>1804</v>
      </c>
      <c r="AG35" s="22">
        <v>28</v>
      </c>
      <c r="AH35" s="380" t="s">
        <v>7855</v>
      </c>
      <c r="AI35" s="375" t="s">
        <v>775</v>
      </c>
      <c r="AK35" s="21">
        <v>1807</v>
      </c>
      <c r="AL35" s="22">
        <v>28</v>
      </c>
      <c r="AM35" s="374" t="s">
        <v>4884</v>
      </c>
      <c r="AN35" s="375" t="s">
        <v>4884</v>
      </c>
      <c r="AP35" s="23">
        <v>1601</v>
      </c>
      <c r="AQ35" s="22">
        <v>28</v>
      </c>
      <c r="AR35" s="374" t="s">
        <v>4884</v>
      </c>
      <c r="AS35" s="375" t="s">
        <v>4884</v>
      </c>
      <c r="AU35" s="23">
        <v>1703</v>
      </c>
      <c r="AV35" s="22">
        <v>28</v>
      </c>
      <c r="AW35" s="380" t="s">
        <v>7855</v>
      </c>
      <c r="AX35" s="375" t="s">
        <v>775</v>
      </c>
      <c r="AZ35" s="23">
        <v>1706</v>
      </c>
      <c r="BA35" s="22">
        <v>28</v>
      </c>
      <c r="BB35" s="374" t="s">
        <v>4884</v>
      </c>
      <c r="BC35" s="375" t="s">
        <v>4884</v>
      </c>
      <c r="BE35" s="23">
        <v>1709</v>
      </c>
      <c r="BF35" s="22">
        <v>28</v>
      </c>
      <c r="BG35" s="374" t="s">
        <v>4884</v>
      </c>
      <c r="BH35" s="375" t="s">
        <v>4884</v>
      </c>
    </row>
    <row r="36" spans="2:60">
      <c r="B36" s="21">
        <v>1506</v>
      </c>
      <c r="C36" s="22">
        <v>29</v>
      </c>
      <c r="D36" s="374" t="s">
        <v>4884</v>
      </c>
      <c r="E36" s="375" t="s">
        <v>4884</v>
      </c>
      <c r="G36" s="21">
        <v>1509</v>
      </c>
      <c r="H36" s="22">
        <v>29</v>
      </c>
      <c r="I36" s="380" t="s">
        <v>7914</v>
      </c>
      <c r="J36" s="375" t="s">
        <v>845</v>
      </c>
      <c r="L36" s="21">
        <v>1604</v>
      </c>
      <c r="M36" s="22">
        <v>29</v>
      </c>
      <c r="N36" s="374" t="s">
        <v>4884</v>
      </c>
      <c r="O36" s="375" t="s">
        <v>4884</v>
      </c>
      <c r="P36" s="8"/>
      <c r="Q36" s="21">
        <v>1607</v>
      </c>
      <c r="R36" s="22">
        <v>29</v>
      </c>
      <c r="S36" s="374" t="s">
        <v>4884</v>
      </c>
      <c r="T36" s="375" t="s">
        <v>4884</v>
      </c>
      <c r="U36" s="8"/>
      <c r="V36" s="21">
        <v>1503</v>
      </c>
      <c r="W36" s="22">
        <v>29</v>
      </c>
      <c r="X36" s="374" t="s">
        <v>4884</v>
      </c>
      <c r="Y36" s="375" t="s">
        <v>4884</v>
      </c>
      <c r="AA36" s="21">
        <v>1801</v>
      </c>
      <c r="AB36" s="22">
        <v>29</v>
      </c>
      <c r="AC36" s="374" t="s">
        <v>4884</v>
      </c>
      <c r="AD36" s="375" t="s">
        <v>4884</v>
      </c>
      <c r="AF36" s="21">
        <v>1804</v>
      </c>
      <c r="AG36" s="22">
        <v>29</v>
      </c>
      <c r="AH36" s="380" t="s">
        <v>7922</v>
      </c>
      <c r="AI36" s="375" t="s">
        <v>783</v>
      </c>
      <c r="AK36" s="21">
        <v>1807</v>
      </c>
      <c r="AL36" s="22">
        <v>29</v>
      </c>
      <c r="AM36" s="374" t="s">
        <v>4884</v>
      </c>
      <c r="AN36" s="375" t="s">
        <v>4884</v>
      </c>
      <c r="AP36" s="23">
        <v>1601</v>
      </c>
      <c r="AQ36" s="22">
        <v>29</v>
      </c>
      <c r="AR36" s="374" t="s">
        <v>4884</v>
      </c>
      <c r="AS36" s="375" t="s">
        <v>4884</v>
      </c>
      <c r="AT36" s="8"/>
      <c r="AU36" s="23">
        <v>1703</v>
      </c>
      <c r="AV36" s="22">
        <v>29</v>
      </c>
      <c r="AW36" s="380" t="s">
        <v>7925</v>
      </c>
      <c r="AX36" s="375" t="s">
        <v>1220</v>
      </c>
      <c r="AY36" s="8"/>
      <c r="AZ36" s="23">
        <v>1706</v>
      </c>
      <c r="BA36" s="22">
        <v>29</v>
      </c>
      <c r="BB36" s="374" t="s">
        <v>4884</v>
      </c>
      <c r="BC36" s="375" t="s">
        <v>4884</v>
      </c>
      <c r="BD36" s="8"/>
      <c r="BE36" s="23">
        <v>1709</v>
      </c>
      <c r="BF36" s="22">
        <v>29</v>
      </c>
      <c r="BG36" s="374" t="s">
        <v>4884</v>
      </c>
      <c r="BH36" s="375" t="s">
        <v>4884</v>
      </c>
    </row>
    <row r="37" spans="2:60">
      <c r="B37" s="21">
        <v>1506</v>
      </c>
      <c r="C37" s="22">
        <v>30</v>
      </c>
      <c r="D37" s="374" t="s">
        <v>4884</v>
      </c>
      <c r="E37" s="375" t="s">
        <v>4884</v>
      </c>
      <c r="G37" s="21">
        <v>1509</v>
      </c>
      <c r="H37" s="22">
        <v>30</v>
      </c>
      <c r="I37" s="380" t="s">
        <v>7889</v>
      </c>
      <c r="J37" s="375" t="s">
        <v>843</v>
      </c>
      <c r="L37" s="21">
        <v>1604</v>
      </c>
      <c r="M37" s="22">
        <v>30</v>
      </c>
      <c r="N37" s="374" t="s">
        <v>4884</v>
      </c>
      <c r="O37" s="375" t="s">
        <v>4884</v>
      </c>
      <c r="Q37" s="21">
        <v>1607</v>
      </c>
      <c r="R37" s="22">
        <v>30</v>
      </c>
      <c r="S37" s="374" t="s">
        <v>4884</v>
      </c>
      <c r="T37" s="375" t="s">
        <v>4884</v>
      </c>
      <c r="V37" s="21">
        <v>1503</v>
      </c>
      <c r="W37" s="22">
        <v>30</v>
      </c>
      <c r="X37" s="374" t="s">
        <v>4884</v>
      </c>
      <c r="Y37" s="375" t="s">
        <v>4884</v>
      </c>
      <c r="AA37" s="21">
        <v>1801</v>
      </c>
      <c r="AB37" s="22">
        <v>30</v>
      </c>
      <c r="AC37" s="374" t="s">
        <v>4884</v>
      </c>
      <c r="AD37" s="375" t="s">
        <v>4884</v>
      </c>
      <c r="AF37" s="21">
        <v>1804</v>
      </c>
      <c r="AG37" s="22">
        <v>30</v>
      </c>
      <c r="AH37" s="380" t="s">
        <v>7888</v>
      </c>
      <c r="AI37" s="375" t="s">
        <v>1366</v>
      </c>
      <c r="AK37" s="21">
        <v>1807</v>
      </c>
      <c r="AL37" s="22">
        <v>30</v>
      </c>
      <c r="AM37" s="374" t="s">
        <v>4884</v>
      </c>
      <c r="AN37" s="375" t="s">
        <v>4884</v>
      </c>
      <c r="AP37" s="23">
        <v>1601</v>
      </c>
      <c r="AQ37" s="22">
        <v>30</v>
      </c>
      <c r="AR37" s="374" t="s">
        <v>4884</v>
      </c>
      <c r="AS37" s="375" t="s">
        <v>4884</v>
      </c>
      <c r="AU37" s="23">
        <v>1703</v>
      </c>
      <c r="AV37" s="22">
        <v>30</v>
      </c>
      <c r="AW37" s="380" t="s">
        <v>7926</v>
      </c>
      <c r="AX37" s="375" t="s">
        <v>88</v>
      </c>
      <c r="AZ37" s="23">
        <v>1706</v>
      </c>
      <c r="BA37" s="22">
        <v>30</v>
      </c>
      <c r="BB37" s="374" t="s">
        <v>4884</v>
      </c>
      <c r="BC37" s="375" t="s">
        <v>4884</v>
      </c>
      <c r="BE37" s="23">
        <v>1709</v>
      </c>
      <c r="BF37" s="22">
        <v>30</v>
      </c>
      <c r="BG37" s="374" t="s">
        <v>4884</v>
      </c>
      <c r="BH37" s="375" t="s">
        <v>4884</v>
      </c>
    </row>
    <row r="38" spans="2:60">
      <c r="B38" s="21">
        <v>1506</v>
      </c>
      <c r="C38" s="22">
        <v>31</v>
      </c>
      <c r="D38" s="374" t="s">
        <v>4884</v>
      </c>
      <c r="E38" s="375" t="s">
        <v>4884</v>
      </c>
      <c r="G38" s="21">
        <v>1509</v>
      </c>
      <c r="H38" s="22">
        <v>31</v>
      </c>
      <c r="I38" s="380" t="s">
        <v>7865</v>
      </c>
      <c r="J38" s="375" t="s">
        <v>1128</v>
      </c>
      <c r="L38" s="21">
        <v>1604</v>
      </c>
      <c r="M38" s="22">
        <v>31</v>
      </c>
      <c r="N38" s="374" t="s">
        <v>4884</v>
      </c>
      <c r="O38" s="375" t="s">
        <v>4884</v>
      </c>
      <c r="P38" s="8"/>
      <c r="Q38" s="21">
        <v>1607</v>
      </c>
      <c r="R38" s="22">
        <v>31</v>
      </c>
      <c r="S38" s="374" t="s">
        <v>4884</v>
      </c>
      <c r="T38" s="375" t="s">
        <v>4884</v>
      </c>
      <c r="U38" s="8"/>
      <c r="V38" s="21">
        <v>1503</v>
      </c>
      <c r="W38" s="22">
        <v>31</v>
      </c>
      <c r="X38" s="374" t="s">
        <v>4884</v>
      </c>
      <c r="Y38" s="375" t="s">
        <v>4884</v>
      </c>
      <c r="AA38" s="21">
        <v>1801</v>
      </c>
      <c r="AB38" s="22">
        <v>31</v>
      </c>
      <c r="AC38" s="374" t="s">
        <v>4884</v>
      </c>
      <c r="AD38" s="375" t="s">
        <v>4884</v>
      </c>
      <c r="AE38" s="10"/>
      <c r="AF38" s="21">
        <v>1804</v>
      </c>
      <c r="AG38" s="22">
        <v>31</v>
      </c>
      <c r="AH38" s="380" t="s">
        <v>7881</v>
      </c>
      <c r="AI38" s="375" t="s">
        <v>793</v>
      </c>
      <c r="AJ38" s="10"/>
      <c r="AK38" s="21">
        <v>1807</v>
      </c>
      <c r="AL38" s="22">
        <v>31</v>
      </c>
      <c r="AM38" s="374" t="s">
        <v>4884</v>
      </c>
      <c r="AN38" s="375" t="s">
        <v>4884</v>
      </c>
      <c r="AP38" s="23">
        <v>1601</v>
      </c>
      <c r="AQ38" s="22">
        <v>31</v>
      </c>
      <c r="AR38" s="374" t="s">
        <v>4884</v>
      </c>
      <c r="AS38" s="375" t="s">
        <v>4884</v>
      </c>
      <c r="AT38" s="8"/>
      <c r="AU38" s="23">
        <v>1703</v>
      </c>
      <c r="AV38" s="22">
        <v>31</v>
      </c>
      <c r="AW38" s="380" t="s">
        <v>7875</v>
      </c>
      <c r="AX38" s="375" t="s">
        <v>27</v>
      </c>
      <c r="AY38" s="8"/>
      <c r="AZ38" s="23">
        <v>1706</v>
      </c>
      <c r="BA38" s="22">
        <v>31</v>
      </c>
      <c r="BB38" s="374" t="s">
        <v>4884</v>
      </c>
      <c r="BC38" s="375" t="s">
        <v>4884</v>
      </c>
      <c r="BD38" s="8"/>
      <c r="BE38" s="23">
        <v>1709</v>
      </c>
      <c r="BF38" s="22">
        <v>31</v>
      </c>
      <c r="BG38" s="374" t="s">
        <v>4884</v>
      </c>
      <c r="BH38" s="375" t="s">
        <v>4884</v>
      </c>
    </row>
    <row r="39" spans="2:60" ht="15" thickBot="1">
      <c r="B39" s="25">
        <v>1506</v>
      </c>
      <c r="C39" s="26">
        <v>32</v>
      </c>
      <c r="D39" s="378" t="s">
        <v>4884</v>
      </c>
      <c r="E39" s="379" t="s">
        <v>4884</v>
      </c>
      <c r="G39" s="25">
        <v>1509</v>
      </c>
      <c r="H39" s="26">
        <v>32</v>
      </c>
      <c r="I39" s="382" t="s">
        <v>7922</v>
      </c>
      <c r="J39" s="379" t="s">
        <v>783</v>
      </c>
      <c r="L39" s="25">
        <v>1604</v>
      </c>
      <c r="M39" s="26">
        <v>32</v>
      </c>
      <c r="N39" s="378" t="s">
        <v>4884</v>
      </c>
      <c r="O39" s="379" t="s">
        <v>4884</v>
      </c>
      <c r="Q39" s="25">
        <v>1607</v>
      </c>
      <c r="R39" s="26">
        <v>32</v>
      </c>
      <c r="S39" s="378" t="s">
        <v>4884</v>
      </c>
      <c r="T39" s="379" t="s">
        <v>4884</v>
      </c>
      <c r="V39" s="25">
        <v>1503</v>
      </c>
      <c r="W39" s="26">
        <v>32</v>
      </c>
      <c r="X39" s="378" t="s">
        <v>4884</v>
      </c>
      <c r="Y39" s="379" t="s">
        <v>4884</v>
      </c>
      <c r="AA39" s="25">
        <v>1801</v>
      </c>
      <c r="AB39" s="26">
        <v>32</v>
      </c>
      <c r="AC39" s="378" t="s">
        <v>4884</v>
      </c>
      <c r="AD39" s="379" t="s">
        <v>4884</v>
      </c>
      <c r="AE39" s="10"/>
      <c r="AF39" s="25">
        <v>1804</v>
      </c>
      <c r="AG39" s="26">
        <v>32</v>
      </c>
      <c r="AH39" s="382" t="s">
        <v>7924</v>
      </c>
      <c r="AI39" s="379" t="s">
        <v>785</v>
      </c>
      <c r="AJ39" s="10"/>
      <c r="AK39" s="25">
        <v>1807</v>
      </c>
      <c r="AL39" s="26">
        <v>32</v>
      </c>
      <c r="AM39" s="378" t="s">
        <v>4884</v>
      </c>
      <c r="AN39" s="379" t="s">
        <v>4884</v>
      </c>
      <c r="AP39" s="27">
        <v>1601</v>
      </c>
      <c r="AQ39" s="26">
        <v>32</v>
      </c>
      <c r="AR39" s="378" t="s">
        <v>4884</v>
      </c>
      <c r="AS39" s="379" t="s">
        <v>4884</v>
      </c>
      <c r="AU39" s="27">
        <v>1703</v>
      </c>
      <c r="AV39" s="26">
        <v>32</v>
      </c>
      <c r="AW39" s="382" t="s">
        <v>7879</v>
      </c>
      <c r="AX39" s="379" t="s">
        <v>1073</v>
      </c>
      <c r="AZ39" s="27">
        <v>1706</v>
      </c>
      <c r="BA39" s="26">
        <v>32</v>
      </c>
      <c r="BB39" s="378" t="s">
        <v>4884</v>
      </c>
      <c r="BC39" s="379" t="s">
        <v>4884</v>
      </c>
      <c r="BE39" s="27">
        <v>1709</v>
      </c>
      <c r="BF39" s="26">
        <v>32</v>
      </c>
      <c r="BG39" s="378" t="s">
        <v>4884</v>
      </c>
      <c r="BH39" s="379" t="s">
        <v>4884</v>
      </c>
    </row>
    <row r="40" spans="2:60">
      <c r="B40" s="21">
        <v>1506</v>
      </c>
      <c r="C40" s="22">
        <v>33</v>
      </c>
      <c r="D40" s="376" t="s">
        <v>4884</v>
      </c>
      <c r="E40" s="375" t="s">
        <v>4884</v>
      </c>
      <c r="G40" s="21">
        <v>1509</v>
      </c>
      <c r="H40" s="22">
        <v>33</v>
      </c>
      <c r="I40" s="381" t="s">
        <v>7897</v>
      </c>
      <c r="J40" s="377" t="s">
        <v>789</v>
      </c>
      <c r="L40" s="12">
        <v>1604</v>
      </c>
      <c r="M40" s="13">
        <v>33</v>
      </c>
      <c r="N40" s="376" t="s">
        <v>4884</v>
      </c>
      <c r="O40" s="375" t="s">
        <v>4884</v>
      </c>
      <c r="P40" s="8"/>
      <c r="Q40" s="12">
        <v>1607</v>
      </c>
      <c r="R40" s="13">
        <v>33</v>
      </c>
      <c r="S40" s="376" t="s">
        <v>4884</v>
      </c>
      <c r="T40" s="375" t="s">
        <v>4884</v>
      </c>
      <c r="U40" s="8"/>
      <c r="V40" s="12">
        <v>1503</v>
      </c>
      <c r="W40" s="13">
        <v>33</v>
      </c>
      <c r="X40" s="376" t="s">
        <v>4884</v>
      </c>
      <c r="Y40" s="377" t="s">
        <v>4884</v>
      </c>
      <c r="AA40" s="12">
        <v>1801</v>
      </c>
      <c r="AB40" s="13">
        <v>33</v>
      </c>
      <c r="AC40" s="376" t="s">
        <v>4884</v>
      </c>
      <c r="AD40" s="377" t="s">
        <v>4884</v>
      </c>
      <c r="AF40" s="12">
        <v>1804</v>
      </c>
      <c r="AG40" s="13">
        <v>33</v>
      </c>
      <c r="AH40" s="381" t="s">
        <v>7927</v>
      </c>
      <c r="AI40" s="377" t="s">
        <v>957</v>
      </c>
      <c r="AK40" s="12">
        <v>1807</v>
      </c>
      <c r="AL40" s="13">
        <v>33</v>
      </c>
      <c r="AM40" s="376" t="s">
        <v>4884</v>
      </c>
      <c r="AN40" s="377" t="s">
        <v>4884</v>
      </c>
      <c r="AP40" s="18">
        <v>1601</v>
      </c>
      <c r="AQ40" s="13">
        <v>33</v>
      </c>
      <c r="AR40" s="376" t="s">
        <v>4884</v>
      </c>
      <c r="AS40" s="377" t="s">
        <v>4884</v>
      </c>
      <c r="AT40" s="8"/>
      <c r="AU40" s="18">
        <v>1703</v>
      </c>
      <c r="AV40" s="13">
        <v>33</v>
      </c>
      <c r="AW40" s="381" t="s">
        <v>7928</v>
      </c>
      <c r="AX40" s="377" t="s">
        <v>21</v>
      </c>
      <c r="AY40" s="8"/>
      <c r="AZ40" s="18">
        <v>1706</v>
      </c>
      <c r="BA40" s="13">
        <v>33</v>
      </c>
      <c r="BB40" s="376" t="s">
        <v>4884</v>
      </c>
      <c r="BC40" s="377" t="s">
        <v>4884</v>
      </c>
      <c r="BD40" s="8"/>
      <c r="BE40" s="18">
        <v>1709</v>
      </c>
      <c r="BF40" s="13">
        <v>33</v>
      </c>
      <c r="BG40" s="376" t="s">
        <v>4884</v>
      </c>
      <c r="BH40" s="377" t="s">
        <v>4884</v>
      </c>
    </row>
    <row r="41" spans="2:60">
      <c r="B41" s="21">
        <v>1506</v>
      </c>
      <c r="C41" s="22">
        <v>34</v>
      </c>
      <c r="D41" s="374" t="s">
        <v>4884</v>
      </c>
      <c r="E41" s="375" t="s">
        <v>4884</v>
      </c>
      <c r="G41" s="21">
        <v>1509</v>
      </c>
      <c r="H41" s="22">
        <v>34</v>
      </c>
      <c r="I41" s="380" t="s">
        <v>7929</v>
      </c>
      <c r="J41" s="375" t="s">
        <v>286</v>
      </c>
      <c r="L41" s="21">
        <v>1604</v>
      </c>
      <c r="M41" s="22">
        <v>34</v>
      </c>
      <c r="N41" s="374" t="s">
        <v>4884</v>
      </c>
      <c r="O41" s="375" t="s">
        <v>4884</v>
      </c>
      <c r="Q41" s="21">
        <v>1607</v>
      </c>
      <c r="R41" s="22">
        <v>34</v>
      </c>
      <c r="S41" s="374" t="s">
        <v>4884</v>
      </c>
      <c r="T41" s="375" t="s">
        <v>4884</v>
      </c>
      <c r="V41" s="21">
        <v>1503</v>
      </c>
      <c r="W41" s="22">
        <v>34</v>
      </c>
      <c r="X41" s="374" t="s">
        <v>4884</v>
      </c>
      <c r="Y41" s="375" t="s">
        <v>4884</v>
      </c>
      <c r="AA41" s="21">
        <v>1801</v>
      </c>
      <c r="AB41" s="22">
        <v>34</v>
      </c>
      <c r="AC41" s="374" t="s">
        <v>4884</v>
      </c>
      <c r="AD41" s="375" t="s">
        <v>4884</v>
      </c>
      <c r="AE41" s="8"/>
      <c r="AF41" s="21">
        <v>1804</v>
      </c>
      <c r="AG41" s="22">
        <v>34</v>
      </c>
      <c r="AH41" s="380" t="s">
        <v>7923</v>
      </c>
      <c r="AI41" s="375" t="s">
        <v>777</v>
      </c>
      <c r="AJ41" s="8"/>
      <c r="AK41" s="21">
        <v>1807</v>
      </c>
      <c r="AL41" s="22">
        <v>34</v>
      </c>
      <c r="AM41" s="374" t="s">
        <v>4884</v>
      </c>
      <c r="AN41" s="375" t="s">
        <v>4884</v>
      </c>
      <c r="AP41" s="23">
        <v>1601</v>
      </c>
      <c r="AQ41" s="22">
        <v>34</v>
      </c>
      <c r="AR41" s="374" t="s">
        <v>4884</v>
      </c>
      <c r="AS41" s="375" t="s">
        <v>4884</v>
      </c>
      <c r="AU41" s="23">
        <v>1703</v>
      </c>
      <c r="AV41" s="22">
        <v>34</v>
      </c>
      <c r="AW41" s="380" t="s">
        <v>7930</v>
      </c>
      <c r="AX41" s="375" t="s">
        <v>352</v>
      </c>
      <c r="AZ41" s="23">
        <v>1706</v>
      </c>
      <c r="BA41" s="22">
        <v>34</v>
      </c>
      <c r="BB41" s="374" t="s">
        <v>4884</v>
      </c>
      <c r="BC41" s="375" t="s">
        <v>4884</v>
      </c>
      <c r="BE41" s="23">
        <v>1709</v>
      </c>
      <c r="BF41" s="22">
        <v>34</v>
      </c>
      <c r="BG41" s="374" t="s">
        <v>4884</v>
      </c>
      <c r="BH41" s="375" t="s">
        <v>4884</v>
      </c>
    </row>
    <row r="42" spans="2:60">
      <c r="B42" s="21">
        <v>1506</v>
      </c>
      <c r="C42" s="22">
        <v>35</v>
      </c>
      <c r="D42" s="374" t="s">
        <v>4884</v>
      </c>
      <c r="E42" s="375" t="s">
        <v>4884</v>
      </c>
      <c r="G42" s="21">
        <v>1509</v>
      </c>
      <c r="H42" s="22">
        <v>35</v>
      </c>
      <c r="I42" s="380" t="s">
        <v>7931</v>
      </c>
      <c r="J42" s="375" t="s">
        <v>24</v>
      </c>
      <c r="L42" s="21">
        <v>1604</v>
      </c>
      <c r="M42" s="22">
        <v>35</v>
      </c>
      <c r="N42" s="374" t="s">
        <v>4884</v>
      </c>
      <c r="O42" s="375" t="s">
        <v>4884</v>
      </c>
      <c r="Q42" s="21">
        <v>1607</v>
      </c>
      <c r="R42" s="22">
        <v>35</v>
      </c>
      <c r="S42" s="374" t="s">
        <v>4884</v>
      </c>
      <c r="T42" s="375" t="s">
        <v>4884</v>
      </c>
      <c r="V42" s="21">
        <v>1503</v>
      </c>
      <c r="W42" s="22">
        <v>35</v>
      </c>
      <c r="X42" s="374" t="s">
        <v>4884</v>
      </c>
      <c r="Y42" s="375" t="s">
        <v>4884</v>
      </c>
      <c r="AA42" s="21">
        <v>1801</v>
      </c>
      <c r="AB42" s="22">
        <v>35</v>
      </c>
      <c r="AC42" s="374" t="s">
        <v>4884</v>
      </c>
      <c r="AD42" s="375" t="s">
        <v>4884</v>
      </c>
      <c r="AF42" s="21">
        <v>1804</v>
      </c>
      <c r="AG42" s="22">
        <v>35</v>
      </c>
      <c r="AH42" s="380" t="s">
        <v>7925</v>
      </c>
      <c r="AI42" s="375" t="s">
        <v>1220</v>
      </c>
      <c r="AK42" s="21">
        <v>1807</v>
      </c>
      <c r="AL42" s="22">
        <v>35</v>
      </c>
      <c r="AM42" s="374" t="s">
        <v>4884</v>
      </c>
      <c r="AN42" s="375" t="s">
        <v>4884</v>
      </c>
      <c r="AP42" s="23">
        <v>1601</v>
      </c>
      <c r="AQ42" s="22">
        <v>35</v>
      </c>
      <c r="AR42" s="374" t="s">
        <v>4884</v>
      </c>
      <c r="AS42" s="375" t="s">
        <v>4884</v>
      </c>
      <c r="AU42" s="23">
        <v>1703</v>
      </c>
      <c r="AV42" s="22">
        <v>35</v>
      </c>
      <c r="AW42" s="380" t="s">
        <v>7932</v>
      </c>
      <c r="AX42" s="375" t="s">
        <v>1119</v>
      </c>
      <c r="AZ42" s="23">
        <v>1706</v>
      </c>
      <c r="BA42" s="22">
        <v>35</v>
      </c>
      <c r="BB42" s="374" t="s">
        <v>4884</v>
      </c>
      <c r="BC42" s="375" t="s">
        <v>4884</v>
      </c>
      <c r="BE42" s="23">
        <v>1709</v>
      </c>
      <c r="BF42" s="22">
        <v>35</v>
      </c>
      <c r="BG42" s="374" t="s">
        <v>4884</v>
      </c>
      <c r="BH42" s="375" t="s">
        <v>4884</v>
      </c>
    </row>
    <row r="43" spans="2:60">
      <c r="B43" s="21">
        <v>1506</v>
      </c>
      <c r="C43" s="22">
        <v>36</v>
      </c>
      <c r="D43" s="374" t="s">
        <v>4884</v>
      </c>
      <c r="E43" s="375" t="s">
        <v>4884</v>
      </c>
      <c r="G43" s="21">
        <v>1509</v>
      </c>
      <c r="H43" s="22">
        <v>36</v>
      </c>
      <c r="I43" s="380" t="s">
        <v>7924</v>
      </c>
      <c r="J43" s="375" t="s">
        <v>785</v>
      </c>
      <c r="L43" s="21">
        <v>1604</v>
      </c>
      <c r="M43" s="22">
        <v>36</v>
      </c>
      <c r="N43" s="374" t="s">
        <v>4884</v>
      </c>
      <c r="O43" s="375" t="s">
        <v>4884</v>
      </c>
      <c r="Q43" s="21">
        <v>1607</v>
      </c>
      <c r="R43" s="22">
        <v>36</v>
      </c>
      <c r="S43" s="374" t="s">
        <v>4884</v>
      </c>
      <c r="T43" s="375" t="s">
        <v>4884</v>
      </c>
      <c r="V43" s="21">
        <v>1503</v>
      </c>
      <c r="W43" s="22">
        <v>36</v>
      </c>
      <c r="X43" s="374" t="s">
        <v>4884</v>
      </c>
      <c r="Y43" s="375" t="s">
        <v>4884</v>
      </c>
      <c r="AA43" s="21">
        <v>1801</v>
      </c>
      <c r="AB43" s="22">
        <v>36</v>
      </c>
      <c r="AC43" s="374" t="s">
        <v>4884</v>
      </c>
      <c r="AD43" s="375" t="s">
        <v>4884</v>
      </c>
      <c r="AF43" s="21">
        <v>1804</v>
      </c>
      <c r="AG43" s="22">
        <v>36</v>
      </c>
      <c r="AH43" s="380" t="s">
        <v>7933</v>
      </c>
      <c r="AI43" s="375" t="s">
        <v>975</v>
      </c>
      <c r="AK43" s="21">
        <v>1807</v>
      </c>
      <c r="AL43" s="22">
        <v>36</v>
      </c>
      <c r="AM43" s="374" t="s">
        <v>4884</v>
      </c>
      <c r="AN43" s="375" t="s">
        <v>4884</v>
      </c>
      <c r="AP43" s="23">
        <v>1601</v>
      </c>
      <c r="AQ43" s="22">
        <v>36</v>
      </c>
      <c r="AR43" s="374" t="s">
        <v>4884</v>
      </c>
      <c r="AS43" s="375" t="s">
        <v>4884</v>
      </c>
      <c r="AU43" s="23">
        <v>1703</v>
      </c>
      <c r="AV43" s="22">
        <v>36</v>
      </c>
      <c r="AW43" s="380" t="s">
        <v>7933</v>
      </c>
      <c r="AX43" s="375" t="s">
        <v>975</v>
      </c>
      <c r="AZ43" s="23">
        <v>1706</v>
      </c>
      <c r="BA43" s="22">
        <v>36</v>
      </c>
      <c r="BB43" s="374" t="s">
        <v>4884</v>
      </c>
      <c r="BC43" s="375" t="s">
        <v>4884</v>
      </c>
      <c r="BE43" s="23">
        <v>1709</v>
      </c>
      <c r="BF43" s="22">
        <v>36</v>
      </c>
      <c r="BG43" s="374" t="s">
        <v>4884</v>
      </c>
      <c r="BH43" s="375" t="s">
        <v>4884</v>
      </c>
    </row>
    <row r="44" spans="2:60">
      <c r="B44" s="21">
        <v>1506</v>
      </c>
      <c r="C44" s="22">
        <v>37</v>
      </c>
      <c r="D44" s="374" t="s">
        <v>4884</v>
      </c>
      <c r="E44" s="375" t="s">
        <v>4884</v>
      </c>
      <c r="G44" s="21">
        <v>1509</v>
      </c>
      <c r="H44" s="22">
        <v>37</v>
      </c>
      <c r="I44" s="380" t="s">
        <v>7884</v>
      </c>
      <c r="J44" s="375" t="s">
        <v>18</v>
      </c>
      <c r="L44" s="21">
        <v>1604</v>
      </c>
      <c r="M44" s="22">
        <v>37</v>
      </c>
      <c r="N44" s="374" t="s">
        <v>4884</v>
      </c>
      <c r="O44" s="375" t="s">
        <v>4884</v>
      </c>
      <c r="Q44" s="21">
        <v>1607</v>
      </c>
      <c r="R44" s="22">
        <v>37</v>
      </c>
      <c r="S44" s="374" t="s">
        <v>4884</v>
      </c>
      <c r="T44" s="375" t="s">
        <v>4884</v>
      </c>
      <c r="V44" s="21">
        <v>1503</v>
      </c>
      <c r="W44" s="22">
        <v>37</v>
      </c>
      <c r="X44" s="374" t="s">
        <v>4884</v>
      </c>
      <c r="Y44" s="375" t="s">
        <v>4884</v>
      </c>
      <c r="AA44" s="21">
        <v>1801</v>
      </c>
      <c r="AB44" s="22">
        <v>37</v>
      </c>
      <c r="AC44" s="374" t="s">
        <v>4884</v>
      </c>
      <c r="AD44" s="375" t="s">
        <v>4884</v>
      </c>
      <c r="AF44" s="21">
        <v>1804</v>
      </c>
      <c r="AG44" s="22">
        <v>37</v>
      </c>
      <c r="AH44" s="380" t="s">
        <v>7854</v>
      </c>
      <c r="AI44" s="375" t="s">
        <v>2269</v>
      </c>
      <c r="AK44" s="21">
        <v>1807</v>
      </c>
      <c r="AL44" s="22">
        <v>37</v>
      </c>
      <c r="AM44" s="374" t="s">
        <v>4884</v>
      </c>
      <c r="AN44" s="375" t="s">
        <v>4884</v>
      </c>
      <c r="AP44" s="23">
        <v>1601</v>
      </c>
      <c r="AQ44" s="22">
        <v>37</v>
      </c>
      <c r="AR44" s="374" t="s">
        <v>4884</v>
      </c>
      <c r="AS44" s="375" t="s">
        <v>4884</v>
      </c>
      <c r="AU44" s="23">
        <v>1703</v>
      </c>
      <c r="AV44" s="22">
        <v>37</v>
      </c>
      <c r="AW44" s="380" t="s">
        <v>7882</v>
      </c>
      <c r="AX44" s="375" t="s">
        <v>1122</v>
      </c>
      <c r="AZ44" s="23">
        <v>1706</v>
      </c>
      <c r="BA44" s="22">
        <v>37</v>
      </c>
      <c r="BB44" s="374" t="s">
        <v>4884</v>
      </c>
      <c r="BC44" s="375" t="s">
        <v>4884</v>
      </c>
      <c r="BE44" s="23">
        <v>1709</v>
      </c>
      <c r="BF44" s="22">
        <v>37</v>
      </c>
      <c r="BG44" s="374" t="s">
        <v>4884</v>
      </c>
      <c r="BH44" s="375" t="s">
        <v>4884</v>
      </c>
    </row>
    <row r="45" spans="2:60">
      <c r="B45" s="21">
        <v>1506</v>
      </c>
      <c r="C45" s="22">
        <v>38</v>
      </c>
      <c r="D45" s="374" t="s">
        <v>4884</v>
      </c>
      <c r="E45" s="375" t="s">
        <v>4884</v>
      </c>
      <c r="G45" s="21">
        <v>1509</v>
      </c>
      <c r="H45" s="22">
        <v>38</v>
      </c>
      <c r="I45" s="380" t="s">
        <v>7923</v>
      </c>
      <c r="J45" s="375" t="s">
        <v>777</v>
      </c>
      <c r="L45" s="21">
        <v>1604</v>
      </c>
      <c r="M45" s="22">
        <v>38</v>
      </c>
      <c r="N45" s="374" t="s">
        <v>4884</v>
      </c>
      <c r="O45" s="375" t="s">
        <v>4884</v>
      </c>
      <c r="Q45" s="21">
        <v>1607</v>
      </c>
      <c r="R45" s="22">
        <v>38</v>
      </c>
      <c r="S45" s="374" t="s">
        <v>4884</v>
      </c>
      <c r="T45" s="375" t="s">
        <v>4884</v>
      </c>
      <c r="V45" s="21">
        <v>1503</v>
      </c>
      <c r="W45" s="22">
        <v>38</v>
      </c>
      <c r="X45" s="374" t="s">
        <v>4884</v>
      </c>
      <c r="Y45" s="375" t="s">
        <v>4884</v>
      </c>
      <c r="AA45" s="21">
        <v>1801</v>
      </c>
      <c r="AB45" s="22">
        <v>38</v>
      </c>
      <c r="AC45" s="374" t="s">
        <v>4884</v>
      </c>
      <c r="AD45" s="375" t="s">
        <v>4884</v>
      </c>
      <c r="AF45" s="21">
        <v>1804</v>
      </c>
      <c r="AG45" s="22">
        <v>38</v>
      </c>
      <c r="AH45" s="380" t="s">
        <v>7926</v>
      </c>
      <c r="AI45" s="375" t="s">
        <v>88</v>
      </c>
      <c r="AK45" s="21">
        <v>1807</v>
      </c>
      <c r="AL45" s="22">
        <v>38</v>
      </c>
      <c r="AM45" s="374" t="s">
        <v>4884</v>
      </c>
      <c r="AN45" s="375" t="s">
        <v>4884</v>
      </c>
      <c r="AP45" s="23">
        <v>1601</v>
      </c>
      <c r="AQ45" s="22">
        <v>38</v>
      </c>
      <c r="AR45" s="374" t="s">
        <v>4884</v>
      </c>
      <c r="AS45" s="375" t="s">
        <v>4884</v>
      </c>
      <c r="AU45" s="23">
        <v>1703</v>
      </c>
      <c r="AV45" s="22">
        <v>38</v>
      </c>
      <c r="AW45" s="380" t="s">
        <v>7927</v>
      </c>
      <c r="AX45" s="375" t="s">
        <v>957</v>
      </c>
      <c r="AZ45" s="23">
        <v>1706</v>
      </c>
      <c r="BA45" s="22">
        <v>38</v>
      </c>
      <c r="BB45" s="374" t="s">
        <v>4884</v>
      </c>
      <c r="BC45" s="375" t="s">
        <v>4884</v>
      </c>
      <c r="BE45" s="23">
        <v>1709</v>
      </c>
      <c r="BF45" s="22">
        <v>38</v>
      </c>
      <c r="BG45" s="374" t="s">
        <v>4884</v>
      </c>
      <c r="BH45" s="375" t="s">
        <v>4884</v>
      </c>
    </row>
    <row r="46" spans="2:60">
      <c r="B46" s="21">
        <v>1506</v>
      </c>
      <c r="C46" s="22">
        <v>39</v>
      </c>
      <c r="D46" s="374" t="s">
        <v>4884</v>
      </c>
      <c r="E46" s="375" t="s">
        <v>4884</v>
      </c>
      <c r="G46" s="21">
        <v>1509</v>
      </c>
      <c r="H46" s="22">
        <v>39</v>
      </c>
      <c r="I46" s="380" t="s">
        <v>7934</v>
      </c>
      <c r="J46" s="375" t="s">
        <v>853</v>
      </c>
      <c r="L46" s="21">
        <v>1604</v>
      </c>
      <c r="M46" s="22">
        <v>39</v>
      </c>
      <c r="N46" s="374" t="s">
        <v>4884</v>
      </c>
      <c r="O46" s="375" t="s">
        <v>4884</v>
      </c>
      <c r="P46" s="8"/>
      <c r="Q46" s="21">
        <v>1607</v>
      </c>
      <c r="R46" s="22">
        <v>39</v>
      </c>
      <c r="S46" s="374" t="s">
        <v>4884</v>
      </c>
      <c r="T46" s="375" t="s">
        <v>4884</v>
      </c>
      <c r="U46" s="8"/>
      <c r="V46" s="21">
        <v>1503</v>
      </c>
      <c r="W46" s="22">
        <v>39</v>
      </c>
      <c r="X46" s="374" t="s">
        <v>4884</v>
      </c>
      <c r="Y46" s="375" t="s">
        <v>4884</v>
      </c>
      <c r="AA46" s="21">
        <v>1801</v>
      </c>
      <c r="AB46" s="22">
        <v>39</v>
      </c>
      <c r="AC46" s="374" t="s">
        <v>4884</v>
      </c>
      <c r="AD46" s="375" t="s">
        <v>4884</v>
      </c>
      <c r="AF46" s="21">
        <v>1804</v>
      </c>
      <c r="AG46" s="22">
        <v>39</v>
      </c>
      <c r="AH46" s="380" t="s">
        <v>7929</v>
      </c>
      <c r="AI46" s="375" t="s">
        <v>286</v>
      </c>
      <c r="AK46" s="21">
        <v>1807</v>
      </c>
      <c r="AL46" s="22">
        <v>39</v>
      </c>
      <c r="AM46" s="374" t="s">
        <v>4884</v>
      </c>
      <c r="AN46" s="375" t="s">
        <v>4884</v>
      </c>
      <c r="AP46" s="23">
        <v>1601</v>
      </c>
      <c r="AQ46" s="22">
        <v>39</v>
      </c>
      <c r="AR46" s="374" t="s">
        <v>4884</v>
      </c>
      <c r="AS46" s="375" t="s">
        <v>4884</v>
      </c>
      <c r="AT46" s="8"/>
      <c r="AU46" s="23">
        <v>1703</v>
      </c>
      <c r="AV46" s="22">
        <v>39</v>
      </c>
      <c r="AW46" s="380" t="s">
        <v>7852</v>
      </c>
      <c r="AX46" s="375" t="s">
        <v>253</v>
      </c>
      <c r="AY46" s="8"/>
      <c r="AZ46" s="23">
        <v>1706</v>
      </c>
      <c r="BA46" s="22">
        <v>39</v>
      </c>
      <c r="BB46" s="374" t="s">
        <v>4884</v>
      </c>
      <c r="BC46" s="375" t="s">
        <v>4884</v>
      </c>
      <c r="BD46" s="8"/>
      <c r="BE46" s="23">
        <v>1709</v>
      </c>
      <c r="BF46" s="22">
        <v>39</v>
      </c>
      <c r="BG46" s="374" t="s">
        <v>4884</v>
      </c>
      <c r="BH46" s="375" t="s">
        <v>4884</v>
      </c>
    </row>
    <row r="47" spans="2:60">
      <c r="B47" s="21">
        <v>1506</v>
      </c>
      <c r="C47" s="22">
        <v>40</v>
      </c>
      <c r="D47" s="374" t="s">
        <v>4884</v>
      </c>
      <c r="E47" s="375" t="s">
        <v>4884</v>
      </c>
      <c r="G47" s="21">
        <v>1509</v>
      </c>
      <c r="H47" s="22">
        <v>40</v>
      </c>
      <c r="I47" s="380" t="s">
        <v>7863</v>
      </c>
      <c r="J47" s="375" t="s">
        <v>1351</v>
      </c>
      <c r="L47" s="21">
        <v>1604</v>
      </c>
      <c r="M47" s="22">
        <v>40</v>
      </c>
      <c r="N47" s="374" t="s">
        <v>4884</v>
      </c>
      <c r="O47" s="375" t="s">
        <v>4884</v>
      </c>
      <c r="P47" s="8"/>
      <c r="Q47" s="21">
        <v>1607</v>
      </c>
      <c r="R47" s="22">
        <v>40</v>
      </c>
      <c r="S47" s="374" t="s">
        <v>4884</v>
      </c>
      <c r="T47" s="375" t="s">
        <v>4884</v>
      </c>
      <c r="U47" s="8"/>
      <c r="V47" s="21">
        <v>1503</v>
      </c>
      <c r="W47" s="22">
        <v>40</v>
      </c>
      <c r="X47" s="374" t="s">
        <v>4884</v>
      </c>
      <c r="Y47" s="375" t="s">
        <v>4884</v>
      </c>
      <c r="AA47" s="21">
        <v>1801</v>
      </c>
      <c r="AB47" s="22">
        <v>40</v>
      </c>
      <c r="AC47" s="374" t="s">
        <v>4884</v>
      </c>
      <c r="AD47" s="375" t="s">
        <v>4884</v>
      </c>
      <c r="AF47" s="21">
        <v>1804</v>
      </c>
      <c r="AG47" s="22">
        <v>40</v>
      </c>
      <c r="AH47" s="380" t="s">
        <v>7865</v>
      </c>
      <c r="AI47" s="375" t="s">
        <v>1128</v>
      </c>
      <c r="AK47" s="21">
        <v>1807</v>
      </c>
      <c r="AL47" s="22">
        <v>40</v>
      </c>
      <c r="AM47" s="374" t="s">
        <v>4884</v>
      </c>
      <c r="AN47" s="375" t="s">
        <v>4884</v>
      </c>
      <c r="AP47" s="23">
        <v>1601</v>
      </c>
      <c r="AQ47" s="22">
        <v>40</v>
      </c>
      <c r="AR47" s="374" t="s">
        <v>4884</v>
      </c>
      <c r="AS47" s="375" t="s">
        <v>4884</v>
      </c>
      <c r="AT47" s="8"/>
      <c r="AU47" s="23">
        <v>1703</v>
      </c>
      <c r="AV47" s="22">
        <v>40</v>
      </c>
      <c r="AW47" s="380" t="s">
        <v>7859</v>
      </c>
      <c r="AX47" s="375" t="s">
        <v>35</v>
      </c>
      <c r="AY47" s="8"/>
      <c r="AZ47" s="23">
        <v>1706</v>
      </c>
      <c r="BA47" s="22">
        <v>40</v>
      </c>
      <c r="BB47" s="374" t="s">
        <v>4884</v>
      </c>
      <c r="BC47" s="375" t="s">
        <v>4884</v>
      </c>
      <c r="BD47" s="8"/>
      <c r="BE47" s="23">
        <v>1709</v>
      </c>
      <c r="BF47" s="22">
        <v>40</v>
      </c>
      <c r="BG47" s="374" t="s">
        <v>4884</v>
      </c>
      <c r="BH47" s="375" t="s">
        <v>4884</v>
      </c>
    </row>
    <row r="48" spans="2:60">
      <c r="B48" s="21">
        <v>1505</v>
      </c>
      <c r="C48" s="22">
        <v>41</v>
      </c>
      <c r="D48" s="374" t="s">
        <v>4884</v>
      </c>
      <c r="E48" s="375" t="s">
        <v>4884</v>
      </c>
      <c r="G48" s="21">
        <v>1508</v>
      </c>
      <c r="H48" s="22">
        <v>41</v>
      </c>
      <c r="I48" s="380" t="s">
        <v>7859</v>
      </c>
      <c r="J48" s="375" t="s">
        <v>35</v>
      </c>
      <c r="L48" s="21">
        <v>1605</v>
      </c>
      <c r="M48" s="22">
        <v>41</v>
      </c>
      <c r="N48" s="374" t="s">
        <v>4884</v>
      </c>
      <c r="O48" s="375" t="s">
        <v>4884</v>
      </c>
      <c r="P48" s="8"/>
      <c r="Q48" s="21">
        <v>1608</v>
      </c>
      <c r="R48" s="22">
        <v>41</v>
      </c>
      <c r="S48" s="374" t="s">
        <v>4884</v>
      </c>
      <c r="T48" s="375" t="s">
        <v>4884</v>
      </c>
      <c r="U48" s="8"/>
      <c r="V48" s="21">
        <v>1502</v>
      </c>
      <c r="W48" s="22">
        <v>41</v>
      </c>
      <c r="X48" s="374" t="s">
        <v>4884</v>
      </c>
      <c r="Y48" s="375" t="s">
        <v>4884</v>
      </c>
      <c r="AA48" s="21">
        <v>1802</v>
      </c>
      <c r="AB48" s="22">
        <v>41</v>
      </c>
      <c r="AC48" s="374" t="s">
        <v>4884</v>
      </c>
      <c r="AD48" s="375" t="s">
        <v>4884</v>
      </c>
      <c r="AE48" s="8"/>
      <c r="AF48" s="21">
        <v>1805</v>
      </c>
      <c r="AG48" s="22">
        <v>41</v>
      </c>
      <c r="AH48" s="380" t="s">
        <v>7874</v>
      </c>
      <c r="AI48" s="375" t="s">
        <v>1068</v>
      </c>
      <c r="AJ48" s="8"/>
      <c r="AK48" s="21">
        <v>1808</v>
      </c>
      <c r="AL48" s="22">
        <v>41</v>
      </c>
      <c r="AM48" s="374" t="s">
        <v>4884</v>
      </c>
      <c r="AN48" s="375" t="s">
        <v>4884</v>
      </c>
      <c r="AP48" s="23">
        <v>1602</v>
      </c>
      <c r="AQ48" s="22">
        <v>41</v>
      </c>
      <c r="AR48" s="374" t="s">
        <v>4884</v>
      </c>
      <c r="AS48" s="375" t="s">
        <v>4884</v>
      </c>
      <c r="AT48" s="8"/>
      <c r="AU48" s="23">
        <v>1702</v>
      </c>
      <c r="AV48" s="22">
        <v>41</v>
      </c>
      <c r="AW48" s="380" t="s">
        <v>7929</v>
      </c>
      <c r="AX48" s="375" t="s">
        <v>286</v>
      </c>
      <c r="AY48" s="8"/>
      <c r="AZ48" s="23">
        <v>1705</v>
      </c>
      <c r="BA48" s="22">
        <v>41</v>
      </c>
      <c r="BB48" s="374" t="s">
        <v>4884</v>
      </c>
      <c r="BC48" s="375" t="s">
        <v>4884</v>
      </c>
      <c r="BD48" s="8"/>
      <c r="BE48" s="23">
        <v>1708</v>
      </c>
      <c r="BF48" s="22">
        <v>41</v>
      </c>
      <c r="BG48" s="374" t="s">
        <v>4884</v>
      </c>
      <c r="BH48" s="375" t="s">
        <v>4884</v>
      </c>
    </row>
    <row r="49" spans="2:60">
      <c r="B49" s="21">
        <v>1505</v>
      </c>
      <c r="C49" s="22">
        <v>42</v>
      </c>
      <c r="D49" s="374" t="s">
        <v>4884</v>
      </c>
      <c r="E49" s="375" t="s">
        <v>4884</v>
      </c>
      <c r="G49" s="21">
        <v>1508</v>
      </c>
      <c r="H49" s="22">
        <v>42</v>
      </c>
      <c r="I49" s="380" t="s">
        <v>7852</v>
      </c>
      <c r="J49" s="375" t="s">
        <v>253</v>
      </c>
      <c r="L49" s="21">
        <v>1605</v>
      </c>
      <c r="M49" s="22">
        <v>42</v>
      </c>
      <c r="N49" s="374" t="s">
        <v>4884</v>
      </c>
      <c r="O49" s="375" t="s">
        <v>4884</v>
      </c>
      <c r="P49" s="8"/>
      <c r="Q49" s="21">
        <v>1608</v>
      </c>
      <c r="R49" s="22">
        <v>42</v>
      </c>
      <c r="S49" s="374" t="s">
        <v>4884</v>
      </c>
      <c r="T49" s="375" t="s">
        <v>4884</v>
      </c>
      <c r="U49" s="8"/>
      <c r="V49" s="21">
        <v>1502</v>
      </c>
      <c r="W49" s="22">
        <v>42</v>
      </c>
      <c r="X49" s="374" t="s">
        <v>4884</v>
      </c>
      <c r="Y49" s="375" t="s">
        <v>4884</v>
      </c>
      <c r="AA49" s="21">
        <v>1802</v>
      </c>
      <c r="AB49" s="22">
        <v>42</v>
      </c>
      <c r="AC49" s="374" t="s">
        <v>4884</v>
      </c>
      <c r="AD49" s="375" t="s">
        <v>4884</v>
      </c>
      <c r="AE49" s="8"/>
      <c r="AF49" s="21">
        <v>1805</v>
      </c>
      <c r="AG49" s="22">
        <v>42</v>
      </c>
      <c r="AH49" s="380" t="s">
        <v>7931</v>
      </c>
      <c r="AI49" s="375" t="s">
        <v>24</v>
      </c>
      <c r="AJ49" s="8"/>
      <c r="AK49" s="21">
        <v>1808</v>
      </c>
      <c r="AL49" s="22">
        <v>42</v>
      </c>
      <c r="AM49" s="374" t="s">
        <v>4884</v>
      </c>
      <c r="AN49" s="375" t="s">
        <v>4884</v>
      </c>
      <c r="AP49" s="23">
        <v>1602</v>
      </c>
      <c r="AQ49" s="22">
        <v>42</v>
      </c>
      <c r="AR49" s="374" t="s">
        <v>4884</v>
      </c>
      <c r="AS49" s="375" t="s">
        <v>4884</v>
      </c>
      <c r="AT49" s="8"/>
      <c r="AU49" s="23">
        <v>1702</v>
      </c>
      <c r="AV49" s="22">
        <v>42</v>
      </c>
      <c r="AW49" s="380" t="s">
        <v>7856</v>
      </c>
      <c r="AX49" s="375" t="s">
        <v>290</v>
      </c>
      <c r="AY49" s="8"/>
      <c r="AZ49" s="23">
        <v>1705</v>
      </c>
      <c r="BA49" s="22">
        <v>42</v>
      </c>
      <c r="BB49" s="374" t="s">
        <v>4884</v>
      </c>
      <c r="BC49" s="375" t="s">
        <v>4884</v>
      </c>
      <c r="BD49" s="8"/>
      <c r="BE49" s="23">
        <v>1708</v>
      </c>
      <c r="BF49" s="22">
        <v>42</v>
      </c>
      <c r="BG49" s="374" t="s">
        <v>4884</v>
      </c>
      <c r="BH49" s="375" t="s">
        <v>4884</v>
      </c>
    </row>
    <row r="50" spans="2:60">
      <c r="B50" s="21">
        <v>1505</v>
      </c>
      <c r="C50" s="22">
        <v>43</v>
      </c>
      <c r="D50" s="374" t="s">
        <v>4884</v>
      </c>
      <c r="E50" s="375" t="s">
        <v>4884</v>
      </c>
      <c r="G50" s="21">
        <v>1508</v>
      </c>
      <c r="H50" s="22">
        <v>43</v>
      </c>
      <c r="I50" s="380" t="s">
        <v>7893</v>
      </c>
      <c r="J50" s="375" t="s">
        <v>1368</v>
      </c>
      <c r="L50" s="21">
        <v>1605</v>
      </c>
      <c r="M50" s="22">
        <v>43</v>
      </c>
      <c r="N50" s="374" t="s">
        <v>4884</v>
      </c>
      <c r="O50" s="375" t="s">
        <v>4884</v>
      </c>
      <c r="P50" s="8"/>
      <c r="Q50" s="21">
        <v>1608</v>
      </c>
      <c r="R50" s="22">
        <v>43</v>
      </c>
      <c r="S50" s="374" t="s">
        <v>4884</v>
      </c>
      <c r="T50" s="375" t="s">
        <v>4884</v>
      </c>
      <c r="U50" s="8"/>
      <c r="V50" s="21">
        <v>1502</v>
      </c>
      <c r="W50" s="22">
        <v>43</v>
      </c>
      <c r="X50" s="374" t="s">
        <v>4884</v>
      </c>
      <c r="Y50" s="375" t="s">
        <v>4884</v>
      </c>
      <c r="AA50" s="21">
        <v>1802</v>
      </c>
      <c r="AB50" s="22">
        <v>43</v>
      </c>
      <c r="AC50" s="374" t="s">
        <v>4884</v>
      </c>
      <c r="AD50" s="375" t="s">
        <v>4884</v>
      </c>
      <c r="AE50" s="10"/>
      <c r="AF50" s="21">
        <v>1805</v>
      </c>
      <c r="AG50" s="22">
        <v>43</v>
      </c>
      <c r="AH50" s="380" t="s">
        <v>7886</v>
      </c>
      <c r="AI50" s="375" t="s">
        <v>9</v>
      </c>
      <c r="AJ50" s="10"/>
      <c r="AK50" s="21">
        <v>1808</v>
      </c>
      <c r="AL50" s="22">
        <v>43</v>
      </c>
      <c r="AM50" s="374" t="s">
        <v>4884</v>
      </c>
      <c r="AN50" s="375" t="s">
        <v>4884</v>
      </c>
      <c r="AP50" s="23">
        <v>1602</v>
      </c>
      <c r="AQ50" s="22">
        <v>43</v>
      </c>
      <c r="AR50" s="374" t="s">
        <v>4884</v>
      </c>
      <c r="AS50" s="375" t="s">
        <v>4884</v>
      </c>
      <c r="AT50" s="8"/>
      <c r="AU50" s="23">
        <v>1702</v>
      </c>
      <c r="AV50" s="22">
        <v>43</v>
      </c>
      <c r="AW50" s="380" t="s">
        <v>7935</v>
      </c>
      <c r="AX50" s="375" t="s">
        <v>963</v>
      </c>
      <c r="AY50" s="8"/>
      <c r="AZ50" s="23">
        <v>1705</v>
      </c>
      <c r="BA50" s="22">
        <v>43</v>
      </c>
      <c r="BB50" s="374" t="s">
        <v>4884</v>
      </c>
      <c r="BC50" s="375" t="s">
        <v>4884</v>
      </c>
      <c r="BD50" s="8"/>
      <c r="BE50" s="23">
        <v>1708</v>
      </c>
      <c r="BF50" s="22">
        <v>43</v>
      </c>
      <c r="BG50" s="374" t="s">
        <v>4884</v>
      </c>
      <c r="BH50" s="375" t="s">
        <v>4884</v>
      </c>
    </row>
    <row r="51" spans="2:60">
      <c r="B51" s="21">
        <v>1505</v>
      </c>
      <c r="C51" s="22">
        <v>44</v>
      </c>
      <c r="D51" s="374" t="s">
        <v>4884</v>
      </c>
      <c r="E51" s="375" t="s">
        <v>4884</v>
      </c>
      <c r="G51" s="21">
        <v>1508</v>
      </c>
      <c r="H51" s="22">
        <v>44</v>
      </c>
      <c r="I51" s="380" t="s">
        <v>7936</v>
      </c>
      <c r="J51" s="375" t="s">
        <v>941</v>
      </c>
      <c r="L51" s="21">
        <v>1605</v>
      </c>
      <c r="M51" s="22">
        <v>44</v>
      </c>
      <c r="N51" s="374" t="s">
        <v>4884</v>
      </c>
      <c r="O51" s="375" t="s">
        <v>4884</v>
      </c>
      <c r="Q51" s="21">
        <v>1608</v>
      </c>
      <c r="R51" s="22">
        <v>44</v>
      </c>
      <c r="S51" s="374" t="s">
        <v>4884</v>
      </c>
      <c r="T51" s="375" t="s">
        <v>4884</v>
      </c>
      <c r="V51" s="21">
        <v>1502</v>
      </c>
      <c r="W51" s="22">
        <v>44</v>
      </c>
      <c r="X51" s="374" t="s">
        <v>4884</v>
      </c>
      <c r="Y51" s="375" t="s">
        <v>4884</v>
      </c>
      <c r="AA51" s="21">
        <v>1802</v>
      </c>
      <c r="AB51" s="22">
        <v>44</v>
      </c>
      <c r="AC51" s="374" t="s">
        <v>4884</v>
      </c>
      <c r="AD51" s="375" t="s">
        <v>4884</v>
      </c>
      <c r="AF51" s="21">
        <v>1805</v>
      </c>
      <c r="AG51" s="22">
        <v>44</v>
      </c>
      <c r="AH51" s="380" t="s">
        <v>7884</v>
      </c>
      <c r="AI51" s="375" t="s">
        <v>18</v>
      </c>
      <c r="AK51" s="21">
        <v>1808</v>
      </c>
      <c r="AL51" s="22">
        <v>44</v>
      </c>
      <c r="AM51" s="374" t="s">
        <v>4884</v>
      </c>
      <c r="AN51" s="375" t="s">
        <v>4884</v>
      </c>
      <c r="AP51" s="23">
        <v>1602</v>
      </c>
      <c r="AQ51" s="22">
        <v>44</v>
      </c>
      <c r="AR51" s="374" t="s">
        <v>4884</v>
      </c>
      <c r="AS51" s="375" t="s">
        <v>4884</v>
      </c>
      <c r="AU51" s="23">
        <v>1702</v>
      </c>
      <c r="AV51" s="22">
        <v>44</v>
      </c>
      <c r="AW51" s="380" t="s">
        <v>7937</v>
      </c>
      <c r="AX51" s="375" t="s">
        <v>939</v>
      </c>
      <c r="AZ51" s="23">
        <v>1705</v>
      </c>
      <c r="BA51" s="22">
        <v>44</v>
      </c>
      <c r="BB51" s="374" t="s">
        <v>4884</v>
      </c>
      <c r="BC51" s="375" t="s">
        <v>4884</v>
      </c>
      <c r="BE51" s="23">
        <v>1708</v>
      </c>
      <c r="BF51" s="22">
        <v>44</v>
      </c>
      <c r="BG51" s="374" t="s">
        <v>4884</v>
      </c>
      <c r="BH51" s="375" t="s">
        <v>4884</v>
      </c>
    </row>
    <row r="52" spans="2:60">
      <c r="B52" s="21">
        <v>1505</v>
      </c>
      <c r="C52" s="22">
        <v>45</v>
      </c>
      <c r="D52" s="374" t="s">
        <v>7938</v>
      </c>
      <c r="E52" s="375" t="s">
        <v>925</v>
      </c>
      <c r="G52" s="21">
        <v>1508</v>
      </c>
      <c r="H52" s="22">
        <v>45</v>
      </c>
      <c r="I52" s="380" t="s">
        <v>7887</v>
      </c>
      <c r="J52" s="375" t="s">
        <v>881</v>
      </c>
      <c r="L52" s="21">
        <v>1605</v>
      </c>
      <c r="M52" s="22">
        <v>45</v>
      </c>
      <c r="N52" s="374" t="s">
        <v>4884</v>
      </c>
      <c r="O52" s="375" t="s">
        <v>4884</v>
      </c>
      <c r="P52" s="8"/>
      <c r="Q52" s="21">
        <v>1608</v>
      </c>
      <c r="R52" s="22">
        <v>45</v>
      </c>
      <c r="S52" s="374" t="s">
        <v>4884</v>
      </c>
      <c r="T52" s="375" t="s">
        <v>4884</v>
      </c>
      <c r="U52" s="8"/>
      <c r="V52" s="21">
        <v>1502</v>
      </c>
      <c r="W52" s="22">
        <v>45</v>
      </c>
      <c r="X52" s="374" t="s">
        <v>4884</v>
      </c>
      <c r="Y52" s="375" t="s">
        <v>4884</v>
      </c>
      <c r="AA52" s="21">
        <v>1802</v>
      </c>
      <c r="AB52" s="22">
        <v>45</v>
      </c>
      <c r="AC52" s="374" t="s">
        <v>4884</v>
      </c>
      <c r="AD52" s="375" t="s">
        <v>4884</v>
      </c>
      <c r="AE52" s="10"/>
      <c r="AF52" s="21">
        <v>1805</v>
      </c>
      <c r="AG52" s="22">
        <v>45</v>
      </c>
      <c r="AH52" s="380" t="s">
        <v>7901</v>
      </c>
      <c r="AI52" s="375" t="s">
        <v>1065</v>
      </c>
      <c r="AJ52" s="10"/>
      <c r="AK52" s="21">
        <v>1808</v>
      </c>
      <c r="AL52" s="22">
        <v>45</v>
      </c>
      <c r="AM52" s="374" t="s">
        <v>7895</v>
      </c>
      <c r="AN52" s="375" t="s">
        <v>913</v>
      </c>
      <c r="AP52" s="23">
        <v>1602</v>
      </c>
      <c r="AQ52" s="22">
        <v>45</v>
      </c>
      <c r="AR52" s="374" t="s">
        <v>7915</v>
      </c>
      <c r="AS52" s="375" t="s">
        <v>983</v>
      </c>
      <c r="AT52" s="8"/>
      <c r="AU52" s="23">
        <v>1702</v>
      </c>
      <c r="AV52" s="22">
        <v>45</v>
      </c>
      <c r="AW52" s="380" t="s">
        <v>7909</v>
      </c>
      <c r="AX52" s="375" t="s">
        <v>859</v>
      </c>
      <c r="AY52" s="8"/>
      <c r="AZ52" s="23">
        <v>1705</v>
      </c>
      <c r="BA52" s="22">
        <v>45</v>
      </c>
      <c r="BB52" s="374" t="s">
        <v>4884</v>
      </c>
      <c r="BC52" s="375" t="s">
        <v>4884</v>
      </c>
      <c r="BD52" s="8"/>
      <c r="BE52" s="23">
        <v>1708</v>
      </c>
      <c r="BF52" s="22">
        <v>45</v>
      </c>
      <c r="BG52" s="374" t="s">
        <v>4884</v>
      </c>
      <c r="BH52" s="375" t="s">
        <v>4884</v>
      </c>
    </row>
    <row r="53" spans="2:60">
      <c r="B53" s="21">
        <v>1505</v>
      </c>
      <c r="C53" s="22">
        <v>46</v>
      </c>
      <c r="D53" s="374" t="s">
        <v>7939</v>
      </c>
      <c r="E53" s="375" t="s">
        <v>977</v>
      </c>
      <c r="G53" s="21">
        <v>1508</v>
      </c>
      <c r="H53" s="22">
        <v>46</v>
      </c>
      <c r="I53" s="380" t="s">
        <v>7940</v>
      </c>
      <c r="J53" s="375" t="s">
        <v>959</v>
      </c>
      <c r="L53" s="21">
        <v>1605</v>
      </c>
      <c r="M53" s="22">
        <v>46</v>
      </c>
      <c r="N53" s="374" t="s">
        <v>4884</v>
      </c>
      <c r="O53" s="375" t="s">
        <v>4884</v>
      </c>
      <c r="Q53" s="21">
        <v>1608</v>
      </c>
      <c r="R53" s="22">
        <v>46</v>
      </c>
      <c r="S53" s="374" t="s">
        <v>4884</v>
      </c>
      <c r="T53" s="375" t="s">
        <v>4884</v>
      </c>
      <c r="V53" s="21">
        <v>1502</v>
      </c>
      <c r="W53" s="22">
        <v>46</v>
      </c>
      <c r="X53" s="374" t="s">
        <v>4884</v>
      </c>
      <c r="Y53" s="375" t="s">
        <v>4884</v>
      </c>
      <c r="AA53" s="21">
        <v>1802</v>
      </c>
      <c r="AB53" s="22">
        <v>46</v>
      </c>
      <c r="AC53" s="374" t="s">
        <v>4884</v>
      </c>
      <c r="AD53" s="375" t="s">
        <v>4884</v>
      </c>
      <c r="AE53" s="8"/>
      <c r="AF53" s="21">
        <v>1805</v>
      </c>
      <c r="AG53" s="22">
        <v>46</v>
      </c>
      <c r="AH53" s="380" t="s">
        <v>7877</v>
      </c>
      <c r="AI53" s="375" t="s">
        <v>1062</v>
      </c>
      <c r="AJ53" s="8"/>
      <c r="AK53" s="21">
        <v>1808</v>
      </c>
      <c r="AL53" s="22">
        <v>46</v>
      </c>
      <c r="AM53" s="374" t="s">
        <v>4884</v>
      </c>
      <c r="AN53" s="375" t="s">
        <v>4884</v>
      </c>
      <c r="AP53" s="23">
        <v>1602</v>
      </c>
      <c r="AQ53" s="22">
        <v>46</v>
      </c>
      <c r="AR53" s="374" t="s">
        <v>7912</v>
      </c>
      <c r="AS53" s="375" t="s">
        <v>933</v>
      </c>
      <c r="AU53" s="23">
        <v>1702</v>
      </c>
      <c r="AV53" s="22">
        <v>46</v>
      </c>
      <c r="AW53" s="380" t="s">
        <v>7934</v>
      </c>
      <c r="AX53" s="375" t="s">
        <v>853</v>
      </c>
      <c r="AZ53" s="23">
        <v>1705</v>
      </c>
      <c r="BA53" s="22">
        <v>46</v>
      </c>
      <c r="BB53" s="374" t="s">
        <v>4884</v>
      </c>
      <c r="BC53" s="375" t="s">
        <v>4884</v>
      </c>
      <c r="BE53" s="23">
        <v>1708</v>
      </c>
      <c r="BF53" s="22">
        <v>46</v>
      </c>
      <c r="BG53" s="374" t="s">
        <v>4884</v>
      </c>
      <c r="BH53" s="375" t="s">
        <v>4884</v>
      </c>
    </row>
    <row r="54" spans="2:60">
      <c r="B54" s="21">
        <v>1505</v>
      </c>
      <c r="C54" s="22">
        <v>47</v>
      </c>
      <c r="D54" s="374" t="s">
        <v>7941</v>
      </c>
      <c r="E54" s="375" t="s">
        <v>945</v>
      </c>
      <c r="G54" s="21">
        <v>1508</v>
      </c>
      <c r="H54" s="22">
        <v>47</v>
      </c>
      <c r="I54" s="380" t="s">
        <v>7906</v>
      </c>
      <c r="J54" s="375" t="s">
        <v>1071</v>
      </c>
      <c r="L54" s="21">
        <v>1605</v>
      </c>
      <c r="M54" s="22">
        <v>47</v>
      </c>
      <c r="N54" s="374" t="s">
        <v>4884</v>
      </c>
      <c r="O54" s="375" t="s">
        <v>4884</v>
      </c>
      <c r="Q54" s="21">
        <v>1608</v>
      </c>
      <c r="R54" s="22">
        <v>47</v>
      </c>
      <c r="S54" s="374" t="s">
        <v>4884</v>
      </c>
      <c r="T54" s="375" t="s">
        <v>4884</v>
      </c>
      <c r="V54" s="21">
        <v>1502</v>
      </c>
      <c r="W54" s="22">
        <v>47</v>
      </c>
      <c r="X54" s="374" t="s">
        <v>4884</v>
      </c>
      <c r="Y54" s="375" t="s">
        <v>4884</v>
      </c>
      <c r="AA54" s="21">
        <v>1802</v>
      </c>
      <c r="AB54" s="22">
        <v>47</v>
      </c>
      <c r="AC54" s="374" t="s">
        <v>4884</v>
      </c>
      <c r="AD54" s="375" t="s">
        <v>4884</v>
      </c>
      <c r="AF54" s="21">
        <v>1805</v>
      </c>
      <c r="AG54" s="22">
        <v>47</v>
      </c>
      <c r="AH54" s="380" t="s">
        <v>7930</v>
      </c>
      <c r="AI54" s="375" t="s">
        <v>352</v>
      </c>
      <c r="AK54" s="21">
        <v>1808</v>
      </c>
      <c r="AL54" s="22">
        <v>47</v>
      </c>
      <c r="AM54" s="374" t="s">
        <v>7942</v>
      </c>
      <c r="AN54" s="375" t="s">
        <v>891</v>
      </c>
      <c r="AP54" s="23">
        <v>1602</v>
      </c>
      <c r="AQ54" s="22">
        <v>47</v>
      </c>
      <c r="AR54" s="374" t="s">
        <v>7908</v>
      </c>
      <c r="AS54" s="375" t="s">
        <v>893</v>
      </c>
      <c r="AU54" s="23">
        <v>1702</v>
      </c>
      <c r="AV54" s="22">
        <v>47</v>
      </c>
      <c r="AW54" s="380" t="s">
        <v>7906</v>
      </c>
      <c r="AX54" s="375" t="s">
        <v>1071</v>
      </c>
      <c r="AZ54" s="23">
        <v>1705</v>
      </c>
      <c r="BA54" s="22">
        <v>47</v>
      </c>
      <c r="BB54" s="374" t="s">
        <v>4884</v>
      </c>
      <c r="BC54" s="375" t="s">
        <v>4884</v>
      </c>
      <c r="BE54" s="23">
        <v>1708</v>
      </c>
      <c r="BF54" s="22">
        <v>47</v>
      </c>
      <c r="BG54" s="374" t="s">
        <v>4884</v>
      </c>
      <c r="BH54" s="375" t="s">
        <v>4884</v>
      </c>
    </row>
    <row r="55" spans="2:60" ht="15" thickBot="1">
      <c r="B55" s="21">
        <v>1505</v>
      </c>
      <c r="C55" s="22">
        <v>48</v>
      </c>
      <c r="D55" s="378" t="s">
        <v>7943</v>
      </c>
      <c r="E55" s="375" t="s">
        <v>961</v>
      </c>
      <c r="G55" s="25">
        <v>1508</v>
      </c>
      <c r="H55" s="26">
        <v>48</v>
      </c>
      <c r="I55" s="382" t="s">
        <v>7944</v>
      </c>
      <c r="J55" s="379" t="s">
        <v>1078</v>
      </c>
      <c r="L55" s="25">
        <v>1605</v>
      </c>
      <c r="M55" s="26">
        <v>48</v>
      </c>
      <c r="N55" s="378" t="s">
        <v>4884</v>
      </c>
      <c r="O55" s="375" t="s">
        <v>4884</v>
      </c>
      <c r="Q55" s="25">
        <v>1608</v>
      </c>
      <c r="R55" s="26">
        <v>48</v>
      </c>
      <c r="S55" s="378" t="s">
        <v>4884</v>
      </c>
      <c r="T55" s="375" t="s">
        <v>4884</v>
      </c>
      <c r="V55" s="25">
        <v>1502</v>
      </c>
      <c r="W55" s="26">
        <v>48</v>
      </c>
      <c r="X55" s="378" t="s">
        <v>4884</v>
      </c>
      <c r="Y55" s="379" t="s">
        <v>4884</v>
      </c>
      <c r="AA55" s="25">
        <v>1802</v>
      </c>
      <c r="AB55" s="26">
        <v>48</v>
      </c>
      <c r="AC55" s="378" t="s">
        <v>4884</v>
      </c>
      <c r="AD55" s="379" t="s">
        <v>4884</v>
      </c>
      <c r="AF55" s="25">
        <v>1805</v>
      </c>
      <c r="AG55" s="26">
        <v>48</v>
      </c>
      <c r="AH55" s="382" t="s">
        <v>7928</v>
      </c>
      <c r="AI55" s="379" t="s">
        <v>21</v>
      </c>
      <c r="AK55" s="25">
        <v>1808</v>
      </c>
      <c r="AL55" s="26">
        <v>48</v>
      </c>
      <c r="AM55" s="378" t="s">
        <v>7891</v>
      </c>
      <c r="AN55" s="379" t="s">
        <v>907</v>
      </c>
      <c r="AP55" s="27">
        <v>1602</v>
      </c>
      <c r="AQ55" s="26">
        <v>48</v>
      </c>
      <c r="AR55" s="378" t="s">
        <v>7943</v>
      </c>
      <c r="AS55" s="379" t="s">
        <v>961</v>
      </c>
      <c r="AU55" s="27">
        <v>1702</v>
      </c>
      <c r="AV55" s="26">
        <v>48</v>
      </c>
      <c r="AW55" s="382" t="s">
        <v>7936</v>
      </c>
      <c r="AX55" s="379" t="s">
        <v>941</v>
      </c>
      <c r="AZ55" s="27">
        <v>1705</v>
      </c>
      <c r="BA55" s="26">
        <v>48</v>
      </c>
      <c r="BB55" s="378" t="s">
        <v>4884</v>
      </c>
      <c r="BC55" s="379" t="s">
        <v>4884</v>
      </c>
      <c r="BE55" s="27">
        <v>1708</v>
      </c>
      <c r="BF55" s="26">
        <v>48</v>
      </c>
      <c r="BG55" s="378" t="s">
        <v>4884</v>
      </c>
      <c r="BH55" s="379" t="s">
        <v>4884</v>
      </c>
    </row>
    <row r="56" spans="2:60">
      <c r="B56" s="12">
        <v>1505</v>
      </c>
      <c r="C56" s="13">
        <v>49</v>
      </c>
      <c r="D56" s="376" t="s">
        <v>7945</v>
      </c>
      <c r="E56" s="377" t="s">
        <v>839</v>
      </c>
      <c r="G56" s="12">
        <v>1508</v>
      </c>
      <c r="H56" s="13">
        <v>49</v>
      </c>
      <c r="I56" s="381" t="s">
        <v>7928</v>
      </c>
      <c r="J56" s="377" t="s">
        <v>21</v>
      </c>
      <c r="L56" s="12">
        <v>1605</v>
      </c>
      <c r="M56" s="13">
        <v>49</v>
      </c>
      <c r="N56" s="376" t="s">
        <v>4884</v>
      </c>
      <c r="O56" s="377" t="s">
        <v>4884</v>
      </c>
      <c r="P56" s="8"/>
      <c r="Q56" s="12">
        <v>1608</v>
      </c>
      <c r="R56" s="13">
        <v>49</v>
      </c>
      <c r="S56" s="376" t="s">
        <v>4884</v>
      </c>
      <c r="T56" s="377" t="s">
        <v>4884</v>
      </c>
      <c r="U56" s="8"/>
      <c r="V56" s="12">
        <v>1502</v>
      </c>
      <c r="W56" s="13">
        <v>49</v>
      </c>
      <c r="X56" s="376" t="s">
        <v>4884</v>
      </c>
      <c r="Y56" s="377" t="s">
        <v>4884</v>
      </c>
      <c r="AA56" s="12">
        <v>1802</v>
      </c>
      <c r="AB56" s="13">
        <v>49</v>
      </c>
      <c r="AC56" s="376" t="s">
        <v>4884</v>
      </c>
      <c r="AD56" s="377" t="s">
        <v>4884</v>
      </c>
      <c r="AF56" s="12">
        <v>1805</v>
      </c>
      <c r="AG56" s="13">
        <v>49</v>
      </c>
      <c r="AH56" s="381" t="s">
        <v>7857</v>
      </c>
      <c r="AI56" s="377" t="s">
        <v>15</v>
      </c>
      <c r="AK56" s="12">
        <v>1808</v>
      </c>
      <c r="AL56" s="13">
        <v>49</v>
      </c>
      <c r="AM56" s="376" t="s">
        <v>7946</v>
      </c>
      <c r="AN56" s="377" t="s">
        <v>947</v>
      </c>
      <c r="AP56" s="18">
        <v>1602</v>
      </c>
      <c r="AQ56" s="13">
        <v>49</v>
      </c>
      <c r="AR56" s="376" t="s">
        <v>4884</v>
      </c>
      <c r="AS56" s="377" t="s">
        <v>4884</v>
      </c>
      <c r="AT56" s="8"/>
      <c r="AU56" s="18">
        <v>1702</v>
      </c>
      <c r="AV56" s="13">
        <v>49</v>
      </c>
      <c r="AW56" s="381" t="s">
        <v>7920</v>
      </c>
      <c r="AX56" s="377" t="s">
        <v>883</v>
      </c>
      <c r="AY56" s="8"/>
      <c r="AZ56" s="18">
        <v>1705</v>
      </c>
      <c r="BA56" s="13">
        <v>49</v>
      </c>
      <c r="BB56" s="376" t="s">
        <v>4884</v>
      </c>
      <c r="BC56" s="377" t="s">
        <v>4884</v>
      </c>
      <c r="BD56" s="8"/>
      <c r="BE56" s="18">
        <v>1708</v>
      </c>
      <c r="BF56" s="13">
        <v>49</v>
      </c>
      <c r="BG56" s="376" t="s">
        <v>4884</v>
      </c>
      <c r="BH56" s="377" t="s">
        <v>4884</v>
      </c>
    </row>
    <row r="57" spans="2:60">
      <c r="B57" s="21">
        <v>1505</v>
      </c>
      <c r="C57" s="22">
        <v>50</v>
      </c>
      <c r="D57" s="374" t="s">
        <v>7947</v>
      </c>
      <c r="E57" s="375" t="s">
        <v>829</v>
      </c>
      <c r="G57" s="21">
        <v>1508</v>
      </c>
      <c r="H57" s="22">
        <v>50</v>
      </c>
      <c r="I57" s="380" t="s">
        <v>7948</v>
      </c>
      <c r="J57" s="375" t="s">
        <v>873</v>
      </c>
      <c r="L57" s="21">
        <v>1605</v>
      </c>
      <c r="M57" s="22">
        <v>50</v>
      </c>
      <c r="N57" s="374" t="s">
        <v>4884</v>
      </c>
      <c r="O57" s="375" t="s">
        <v>4884</v>
      </c>
      <c r="Q57" s="21">
        <v>1608</v>
      </c>
      <c r="R57" s="22">
        <v>50</v>
      </c>
      <c r="S57" s="374" t="s">
        <v>4884</v>
      </c>
      <c r="T57" s="375" t="s">
        <v>4884</v>
      </c>
      <c r="V57" s="21">
        <v>1502</v>
      </c>
      <c r="W57" s="22">
        <v>50</v>
      </c>
      <c r="X57" s="374" t="s">
        <v>4884</v>
      </c>
      <c r="Y57" s="375" t="s">
        <v>4884</v>
      </c>
      <c r="AA57" s="21">
        <v>1802</v>
      </c>
      <c r="AB57" s="22">
        <v>50</v>
      </c>
      <c r="AC57" s="374" t="s">
        <v>4884</v>
      </c>
      <c r="AD57" s="375" t="s">
        <v>4884</v>
      </c>
      <c r="AF57" s="21">
        <v>1805</v>
      </c>
      <c r="AG57" s="22">
        <v>50</v>
      </c>
      <c r="AH57" s="380" t="s">
        <v>7932</v>
      </c>
      <c r="AI57" s="375" t="s">
        <v>1119</v>
      </c>
      <c r="AK57" s="21">
        <v>1808</v>
      </c>
      <c r="AL57" s="22">
        <v>50</v>
      </c>
      <c r="AM57" s="374" t="s">
        <v>4884</v>
      </c>
      <c r="AN57" s="375" t="s">
        <v>4884</v>
      </c>
      <c r="AP57" s="23">
        <v>1602</v>
      </c>
      <c r="AQ57" s="22">
        <v>50</v>
      </c>
      <c r="AR57" s="374" t="s">
        <v>4884</v>
      </c>
      <c r="AS57" s="375" t="s">
        <v>4884</v>
      </c>
      <c r="AU57" s="23">
        <v>1702</v>
      </c>
      <c r="AV57" s="22">
        <v>50</v>
      </c>
      <c r="AW57" s="380" t="s">
        <v>7940</v>
      </c>
      <c r="AX57" s="375" t="s">
        <v>959</v>
      </c>
      <c r="AZ57" s="23">
        <v>1705</v>
      </c>
      <c r="BA57" s="22">
        <v>50</v>
      </c>
      <c r="BB57" s="374" t="s">
        <v>4884</v>
      </c>
      <c r="BC57" s="375" t="s">
        <v>4884</v>
      </c>
      <c r="BE57" s="23">
        <v>1708</v>
      </c>
      <c r="BF57" s="22">
        <v>50</v>
      </c>
      <c r="BG57" s="374" t="s">
        <v>4884</v>
      </c>
      <c r="BH57" s="375" t="s">
        <v>4884</v>
      </c>
    </row>
    <row r="58" spans="2:60">
      <c r="B58" s="21">
        <v>1505</v>
      </c>
      <c r="C58" s="22">
        <v>51</v>
      </c>
      <c r="D58" s="374" t="s">
        <v>7949</v>
      </c>
      <c r="E58" s="375" t="s">
        <v>795</v>
      </c>
      <c r="G58" s="21">
        <v>1508</v>
      </c>
      <c r="H58" s="22">
        <v>51</v>
      </c>
      <c r="I58" s="380" t="s">
        <v>7932</v>
      </c>
      <c r="J58" s="375" t="s">
        <v>1119</v>
      </c>
      <c r="L58" s="21">
        <v>1605</v>
      </c>
      <c r="M58" s="22">
        <v>51</v>
      </c>
      <c r="N58" s="374" t="s">
        <v>4884</v>
      </c>
      <c r="O58" s="375" t="s">
        <v>4884</v>
      </c>
      <c r="Q58" s="21">
        <v>1608</v>
      </c>
      <c r="R58" s="22">
        <v>51</v>
      </c>
      <c r="S58" s="374" t="s">
        <v>4884</v>
      </c>
      <c r="T58" s="375" t="s">
        <v>4884</v>
      </c>
      <c r="V58" s="21">
        <v>1502</v>
      </c>
      <c r="W58" s="22">
        <v>51</v>
      </c>
      <c r="X58" s="374" t="s">
        <v>4884</v>
      </c>
      <c r="Y58" s="375" t="s">
        <v>4884</v>
      </c>
      <c r="AA58" s="21">
        <v>1802</v>
      </c>
      <c r="AB58" s="22">
        <v>51</v>
      </c>
      <c r="AC58" s="374" t="s">
        <v>4884</v>
      </c>
      <c r="AD58" s="375" t="s">
        <v>4884</v>
      </c>
      <c r="AF58" s="21">
        <v>1805</v>
      </c>
      <c r="AG58" s="22">
        <v>51</v>
      </c>
      <c r="AH58" s="380" t="s">
        <v>7872</v>
      </c>
      <c r="AI58" s="375" t="s">
        <v>973</v>
      </c>
      <c r="AK58" s="21">
        <v>1808</v>
      </c>
      <c r="AL58" s="22">
        <v>51</v>
      </c>
      <c r="AM58" s="374" t="s">
        <v>7941</v>
      </c>
      <c r="AN58" s="375" t="s">
        <v>945</v>
      </c>
      <c r="AP58" s="23">
        <v>1602</v>
      </c>
      <c r="AQ58" s="22">
        <v>51</v>
      </c>
      <c r="AR58" s="374" t="s">
        <v>7950</v>
      </c>
      <c r="AS58" s="375" t="s">
        <v>951</v>
      </c>
      <c r="AU58" s="23">
        <v>1702</v>
      </c>
      <c r="AV58" s="22">
        <v>51</v>
      </c>
      <c r="AW58" s="380" t="s">
        <v>7917</v>
      </c>
      <c r="AX58" s="375" t="s">
        <v>1404</v>
      </c>
      <c r="AZ58" s="23">
        <v>1705</v>
      </c>
      <c r="BA58" s="22">
        <v>51</v>
      </c>
      <c r="BB58" s="374" t="s">
        <v>4884</v>
      </c>
      <c r="BC58" s="375" t="s">
        <v>4884</v>
      </c>
      <c r="BE58" s="23">
        <v>1708</v>
      </c>
      <c r="BF58" s="22">
        <v>51</v>
      </c>
      <c r="BG58" s="374" t="s">
        <v>4884</v>
      </c>
      <c r="BH58" s="375" t="s">
        <v>4884</v>
      </c>
    </row>
    <row r="59" spans="2:60">
      <c r="B59" s="21">
        <v>1505</v>
      </c>
      <c r="C59" s="22">
        <v>52</v>
      </c>
      <c r="D59" s="374" t="s">
        <v>4884</v>
      </c>
      <c r="E59" s="375" t="s">
        <v>4884</v>
      </c>
      <c r="G59" s="21">
        <v>1508</v>
      </c>
      <c r="H59" s="22">
        <v>52</v>
      </c>
      <c r="I59" s="380" t="s">
        <v>7926</v>
      </c>
      <c r="J59" s="375" t="s">
        <v>88</v>
      </c>
      <c r="L59" s="21">
        <v>1605</v>
      </c>
      <c r="M59" s="22">
        <v>52</v>
      </c>
      <c r="N59" s="374" t="s">
        <v>4884</v>
      </c>
      <c r="O59" s="375" t="s">
        <v>4884</v>
      </c>
      <c r="Q59" s="21">
        <v>1608</v>
      </c>
      <c r="R59" s="22">
        <v>52</v>
      </c>
      <c r="S59" s="374" t="s">
        <v>4884</v>
      </c>
      <c r="T59" s="375" t="s">
        <v>4884</v>
      </c>
      <c r="V59" s="21">
        <v>1502</v>
      </c>
      <c r="W59" s="22">
        <v>52</v>
      </c>
      <c r="X59" s="374" t="s">
        <v>4884</v>
      </c>
      <c r="Y59" s="375" t="s">
        <v>4884</v>
      </c>
      <c r="AA59" s="21">
        <v>1802</v>
      </c>
      <c r="AB59" s="22">
        <v>52</v>
      </c>
      <c r="AC59" s="374" t="s">
        <v>4884</v>
      </c>
      <c r="AD59" s="375" t="s">
        <v>4884</v>
      </c>
      <c r="AF59" s="21">
        <v>1805</v>
      </c>
      <c r="AG59" s="22">
        <v>52</v>
      </c>
      <c r="AH59" s="380" t="s">
        <v>7935</v>
      </c>
      <c r="AI59" s="375" t="s">
        <v>963</v>
      </c>
      <c r="AK59" s="21">
        <v>1808</v>
      </c>
      <c r="AL59" s="22">
        <v>52</v>
      </c>
      <c r="AM59" s="374" t="s">
        <v>4884</v>
      </c>
      <c r="AN59" s="375" t="s">
        <v>4884</v>
      </c>
      <c r="AP59" s="23">
        <v>1602</v>
      </c>
      <c r="AQ59" s="22">
        <v>52</v>
      </c>
      <c r="AR59" s="374" t="s">
        <v>4884</v>
      </c>
      <c r="AS59" s="375" t="s">
        <v>4884</v>
      </c>
      <c r="AU59" s="23">
        <v>1702</v>
      </c>
      <c r="AV59" s="22">
        <v>52</v>
      </c>
      <c r="AW59" s="380" t="s">
        <v>7944</v>
      </c>
      <c r="AX59" s="375" t="s">
        <v>1078</v>
      </c>
      <c r="AZ59" s="23">
        <v>1705</v>
      </c>
      <c r="BA59" s="22">
        <v>52</v>
      </c>
      <c r="BB59" s="374" t="s">
        <v>4884</v>
      </c>
      <c r="BC59" s="375" t="s">
        <v>4884</v>
      </c>
      <c r="BE59" s="23">
        <v>1708</v>
      </c>
      <c r="BF59" s="22">
        <v>52</v>
      </c>
      <c r="BG59" s="374" t="s">
        <v>4884</v>
      </c>
      <c r="BH59" s="375" t="s">
        <v>4884</v>
      </c>
    </row>
    <row r="60" spans="2:60">
      <c r="B60" s="21">
        <v>1505</v>
      </c>
      <c r="C60" s="22">
        <v>53</v>
      </c>
      <c r="D60" s="374" t="s">
        <v>7951</v>
      </c>
      <c r="E60" s="375" t="s">
        <v>985</v>
      </c>
      <c r="G60" s="21">
        <v>1508</v>
      </c>
      <c r="H60" s="22">
        <v>53</v>
      </c>
      <c r="I60" s="380" t="s">
        <v>7930</v>
      </c>
      <c r="J60" s="375" t="s">
        <v>352</v>
      </c>
      <c r="L60" s="21">
        <v>1605</v>
      </c>
      <c r="M60" s="22">
        <v>53</v>
      </c>
      <c r="N60" s="374" t="s">
        <v>4884</v>
      </c>
      <c r="O60" s="375" t="s">
        <v>4884</v>
      </c>
      <c r="P60" s="8"/>
      <c r="Q60" s="21">
        <v>1608</v>
      </c>
      <c r="R60" s="22">
        <v>53</v>
      </c>
      <c r="S60" s="374" t="s">
        <v>4884</v>
      </c>
      <c r="T60" s="375" t="s">
        <v>4884</v>
      </c>
      <c r="U60" s="8"/>
      <c r="V60" s="21">
        <v>1502</v>
      </c>
      <c r="W60" s="22">
        <v>53</v>
      </c>
      <c r="X60" s="374" t="s">
        <v>4884</v>
      </c>
      <c r="Y60" s="375" t="s">
        <v>4884</v>
      </c>
      <c r="AA60" s="21">
        <v>1802</v>
      </c>
      <c r="AB60" s="22">
        <v>53</v>
      </c>
      <c r="AC60" s="374" t="s">
        <v>4884</v>
      </c>
      <c r="AD60" s="375" t="s">
        <v>4884</v>
      </c>
      <c r="AF60" s="21">
        <v>1805</v>
      </c>
      <c r="AG60" s="22">
        <v>53</v>
      </c>
      <c r="AH60" s="380" t="s">
        <v>7916</v>
      </c>
      <c r="AI60" s="375" t="s">
        <v>1111</v>
      </c>
      <c r="AK60" s="21">
        <v>1808</v>
      </c>
      <c r="AL60" s="22">
        <v>53</v>
      </c>
      <c r="AM60" s="374" t="s">
        <v>4884</v>
      </c>
      <c r="AN60" s="375" t="s">
        <v>4884</v>
      </c>
      <c r="AP60" s="23">
        <v>1602</v>
      </c>
      <c r="AQ60" s="22">
        <v>53</v>
      </c>
      <c r="AR60" s="374" t="s">
        <v>7952</v>
      </c>
      <c r="AS60" s="375" t="s">
        <v>953</v>
      </c>
      <c r="AT60" s="8"/>
      <c r="AU60" s="23">
        <v>1702</v>
      </c>
      <c r="AV60" s="22">
        <v>53</v>
      </c>
      <c r="AW60" s="380" t="s">
        <v>7919</v>
      </c>
      <c r="AX60" s="375" t="s">
        <v>921</v>
      </c>
      <c r="AY60" s="8"/>
      <c r="AZ60" s="23">
        <v>1705</v>
      </c>
      <c r="BA60" s="22">
        <v>53</v>
      </c>
      <c r="BB60" s="374" t="s">
        <v>4884</v>
      </c>
      <c r="BC60" s="375" t="s">
        <v>4884</v>
      </c>
      <c r="BD60" s="8"/>
      <c r="BE60" s="23">
        <v>1708</v>
      </c>
      <c r="BF60" s="22">
        <v>53</v>
      </c>
      <c r="BG60" s="374" t="s">
        <v>4884</v>
      </c>
      <c r="BH60" s="375" t="s">
        <v>4884</v>
      </c>
    </row>
    <row r="61" spans="2:60">
      <c r="B61" s="21">
        <v>1505</v>
      </c>
      <c r="C61" s="22">
        <v>54</v>
      </c>
      <c r="D61" s="374" t="s">
        <v>4884</v>
      </c>
      <c r="E61" s="375" t="s">
        <v>4884</v>
      </c>
      <c r="G61" s="21">
        <v>1508</v>
      </c>
      <c r="H61" s="22">
        <v>54</v>
      </c>
      <c r="I61" s="380" t="s">
        <v>7925</v>
      </c>
      <c r="J61" s="375" t="s">
        <v>1220</v>
      </c>
      <c r="L61" s="21">
        <v>1605</v>
      </c>
      <c r="M61" s="22">
        <v>54</v>
      </c>
      <c r="N61" s="374" t="s">
        <v>4884</v>
      </c>
      <c r="O61" s="375" t="s">
        <v>4884</v>
      </c>
      <c r="Q61" s="21">
        <v>1608</v>
      </c>
      <c r="R61" s="22">
        <v>54</v>
      </c>
      <c r="S61" s="374" t="s">
        <v>4884</v>
      </c>
      <c r="T61" s="375" t="s">
        <v>4884</v>
      </c>
      <c r="V61" s="21">
        <v>1502</v>
      </c>
      <c r="W61" s="22">
        <v>54</v>
      </c>
      <c r="X61" s="374" t="s">
        <v>4884</v>
      </c>
      <c r="Y61" s="375" t="s">
        <v>4884</v>
      </c>
      <c r="AA61" s="21">
        <v>1802</v>
      </c>
      <c r="AB61" s="22">
        <v>54</v>
      </c>
      <c r="AC61" s="374" t="s">
        <v>4884</v>
      </c>
      <c r="AD61" s="375" t="s">
        <v>4884</v>
      </c>
      <c r="AF61" s="21">
        <v>1805</v>
      </c>
      <c r="AG61" s="22">
        <v>54</v>
      </c>
      <c r="AH61" s="380" t="s">
        <v>7937</v>
      </c>
      <c r="AI61" s="375" t="s">
        <v>939</v>
      </c>
      <c r="AK61" s="21">
        <v>1808</v>
      </c>
      <c r="AL61" s="22">
        <v>54</v>
      </c>
      <c r="AM61" s="374" t="s">
        <v>4884</v>
      </c>
      <c r="AN61" s="375" t="s">
        <v>4884</v>
      </c>
      <c r="AP61" s="23">
        <v>1602</v>
      </c>
      <c r="AQ61" s="22">
        <v>54</v>
      </c>
      <c r="AR61" s="374" t="s">
        <v>4884</v>
      </c>
      <c r="AS61" s="375" t="s">
        <v>4884</v>
      </c>
      <c r="AU61" s="23">
        <v>1702</v>
      </c>
      <c r="AV61" s="22">
        <v>54</v>
      </c>
      <c r="AW61" s="380" t="s">
        <v>7948</v>
      </c>
      <c r="AX61" s="375" t="s">
        <v>873</v>
      </c>
      <c r="AZ61" s="23">
        <v>1705</v>
      </c>
      <c r="BA61" s="22">
        <v>54</v>
      </c>
      <c r="BB61" s="374" t="s">
        <v>4884</v>
      </c>
      <c r="BC61" s="375" t="s">
        <v>4884</v>
      </c>
      <c r="BE61" s="23">
        <v>1708</v>
      </c>
      <c r="BF61" s="22">
        <v>54</v>
      </c>
      <c r="BG61" s="374" t="s">
        <v>4884</v>
      </c>
      <c r="BH61" s="375" t="s">
        <v>4884</v>
      </c>
    </row>
    <row r="62" spans="2:60">
      <c r="B62" s="21">
        <v>1505</v>
      </c>
      <c r="C62" s="22">
        <v>55</v>
      </c>
      <c r="D62" s="374" t="s">
        <v>7942</v>
      </c>
      <c r="E62" s="375" t="s">
        <v>891</v>
      </c>
      <c r="G62" s="21">
        <v>1508</v>
      </c>
      <c r="H62" s="22">
        <v>55</v>
      </c>
      <c r="I62" s="380" t="s">
        <v>7927</v>
      </c>
      <c r="J62" s="375" t="s">
        <v>957</v>
      </c>
      <c r="L62" s="21">
        <v>1605</v>
      </c>
      <c r="M62" s="22">
        <v>55</v>
      </c>
      <c r="N62" s="374" t="s">
        <v>4884</v>
      </c>
      <c r="O62" s="375" t="s">
        <v>4884</v>
      </c>
      <c r="Q62" s="21">
        <v>1608</v>
      </c>
      <c r="R62" s="22">
        <v>55</v>
      </c>
      <c r="S62" s="374" t="s">
        <v>4884</v>
      </c>
      <c r="T62" s="375" t="s">
        <v>4884</v>
      </c>
      <c r="V62" s="21">
        <v>1502</v>
      </c>
      <c r="W62" s="22">
        <v>55</v>
      </c>
      <c r="X62" s="374" t="s">
        <v>4884</v>
      </c>
      <c r="Y62" s="375" t="s">
        <v>4884</v>
      </c>
      <c r="AA62" s="21">
        <v>1802</v>
      </c>
      <c r="AB62" s="22">
        <v>55</v>
      </c>
      <c r="AC62" s="374" t="s">
        <v>4884</v>
      </c>
      <c r="AD62" s="375" t="s">
        <v>4884</v>
      </c>
      <c r="AE62" s="8"/>
      <c r="AF62" s="21">
        <v>1805</v>
      </c>
      <c r="AG62" s="22">
        <v>55</v>
      </c>
      <c r="AH62" s="380" t="s">
        <v>7921</v>
      </c>
      <c r="AI62" s="375" t="s">
        <v>869</v>
      </c>
      <c r="AJ62" s="8"/>
      <c r="AK62" s="21">
        <v>1808</v>
      </c>
      <c r="AL62" s="22">
        <v>55</v>
      </c>
      <c r="AM62" s="374" t="s">
        <v>4884</v>
      </c>
      <c r="AN62" s="375" t="s">
        <v>4884</v>
      </c>
      <c r="AP62" s="23">
        <v>1602</v>
      </c>
      <c r="AQ62" s="22">
        <v>55</v>
      </c>
      <c r="AR62" s="374" t="s">
        <v>4884</v>
      </c>
      <c r="AS62" s="375" t="s">
        <v>4884</v>
      </c>
      <c r="AU62" s="23">
        <v>1702</v>
      </c>
      <c r="AV62" s="22">
        <v>55</v>
      </c>
      <c r="AW62" s="380" t="s">
        <v>7896</v>
      </c>
      <c r="AX62" s="375" t="s">
        <v>1402</v>
      </c>
      <c r="AZ62" s="23">
        <v>1705</v>
      </c>
      <c r="BA62" s="22">
        <v>55</v>
      </c>
      <c r="BB62" s="374" t="s">
        <v>4884</v>
      </c>
      <c r="BC62" s="375" t="s">
        <v>4884</v>
      </c>
      <c r="BE62" s="23">
        <v>1708</v>
      </c>
      <c r="BF62" s="22">
        <v>55</v>
      </c>
      <c r="BG62" s="374" t="s">
        <v>4884</v>
      </c>
      <c r="BH62" s="375" t="s">
        <v>4884</v>
      </c>
    </row>
    <row r="63" spans="2:60">
      <c r="B63" s="21">
        <v>1505</v>
      </c>
      <c r="C63" s="22">
        <v>56</v>
      </c>
      <c r="D63" s="374" t="s">
        <v>4884</v>
      </c>
      <c r="E63" s="375" t="s">
        <v>4884</v>
      </c>
      <c r="G63" s="21">
        <v>1508</v>
      </c>
      <c r="H63" s="22">
        <v>56</v>
      </c>
      <c r="I63" s="380" t="s">
        <v>7933</v>
      </c>
      <c r="J63" s="375" t="s">
        <v>975</v>
      </c>
      <c r="L63" s="21">
        <v>1605</v>
      </c>
      <c r="M63" s="22">
        <v>56</v>
      </c>
      <c r="N63" s="374" t="s">
        <v>4884</v>
      </c>
      <c r="O63" s="375" t="s">
        <v>4884</v>
      </c>
      <c r="Q63" s="21">
        <v>1608</v>
      </c>
      <c r="R63" s="22">
        <v>56</v>
      </c>
      <c r="S63" s="374" t="s">
        <v>4884</v>
      </c>
      <c r="T63" s="375" t="s">
        <v>4884</v>
      </c>
      <c r="V63" s="21">
        <v>1502</v>
      </c>
      <c r="W63" s="22">
        <v>56</v>
      </c>
      <c r="X63" s="374" t="s">
        <v>4884</v>
      </c>
      <c r="Y63" s="375" t="s">
        <v>4884</v>
      </c>
      <c r="AA63" s="21">
        <v>1802</v>
      </c>
      <c r="AB63" s="22">
        <v>56</v>
      </c>
      <c r="AC63" s="374" t="s">
        <v>4884</v>
      </c>
      <c r="AD63" s="375" t="s">
        <v>4884</v>
      </c>
      <c r="AF63" s="21">
        <v>1805</v>
      </c>
      <c r="AG63" s="22">
        <v>56</v>
      </c>
      <c r="AH63" s="380" t="s">
        <v>7934</v>
      </c>
      <c r="AI63" s="375" t="s">
        <v>853</v>
      </c>
      <c r="AK63" s="21">
        <v>1808</v>
      </c>
      <c r="AL63" s="22">
        <v>56</v>
      </c>
      <c r="AM63" s="374" t="s">
        <v>4884</v>
      </c>
      <c r="AN63" s="375" t="s">
        <v>4884</v>
      </c>
      <c r="AP63" s="23">
        <v>1602</v>
      </c>
      <c r="AQ63" s="22">
        <v>56</v>
      </c>
      <c r="AR63" s="374" t="s">
        <v>4884</v>
      </c>
      <c r="AS63" s="375" t="s">
        <v>4884</v>
      </c>
      <c r="AU63" s="23">
        <v>1702</v>
      </c>
      <c r="AV63" s="22">
        <v>56</v>
      </c>
      <c r="AW63" s="380" t="s">
        <v>7916</v>
      </c>
      <c r="AX63" s="375" t="s">
        <v>1111</v>
      </c>
      <c r="AZ63" s="23">
        <v>1705</v>
      </c>
      <c r="BA63" s="22">
        <v>56</v>
      </c>
      <c r="BB63" s="374" t="s">
        <v>4884</v>
      </c>
      <c r="BC63" s="375" t="s">
        <v>4884</v>
      </c>
      <c r="BE63" s="23">
        <v>1708</v>
      </c>
      <c r="BF63" s="22">
        <v>56</v>
      </c>
      <c r="BG63" s="374" t="s">
        <v>4884</v>
      </c>
      <c r="BH63" s="375" t="s">
        <v>4884</v>
      </c>
    </row>
    <row r="64" spans="2:60">
      <c r="B64" s="21">
        <v>1505</v>
      </c>
      <c r="C64" s="22">
        <v>57</v>
      </c>
      <c r="D64" s="374" t="s">
        <v>7953</v>
      </c>
      <c r="E64" s="375" t="s">
        <v>979</v>
      </c>
      <c r="G64" s="21">
        <v>1508</v>
      </c>
      <c r="H64" s="22">
        <v>57</v>
      </c>
      <c r="I64" s="380" t="s">
        <v>7869</v>
      </c>
      <c r="J64" s="375" t="s">
        <v>971</v>
      </c>
      <c r="L64" s="21">
        <v>1605</v>
      </c>
      <c r="M64" s="22">
        <v>57</v>
      </c>
      <c r="N64" s="374" t="s">
        <v>4884</v>
      </c>
      <c r="O64" s="375" t="s">
        <v>4884</v>
      </c>
      <c r="Q64" s="21">
        <v>1608</v>
      </c>
      <c r="R64" s="22">
        <v>57</v>
      </c>
      <c r="S64" s="374" t="s">
        <v>4884</v>
      </c>
      <c r="T64" s="375" t="s">
        <v>4884</v>
      </c>
      <c r="V64" s="21">
        <v>1502</v>
      </c>
      <c r="W64" s="22">
        <v>57</v>
      </c>
      <c r="X64" s="374" t="s">
        <v>4884</v>
      </c>
      <c r="Y64" s="375" t="s">
        <v>4884</v>
      </c>
      <c r="AA64" s="21">
        <v>1802</v>
      </c>
      <c r="AB64" s="22">
        <v>57</v>
      </c>
      <c r="AC64" s="374" t="s">
        <v>4884</v>
      </c>
      <c r="AD64" s="375" t="s">
        <v>4884</v>
      </c>
      <c r="AF64" s="21">
        <v>1805</v>
      </c>
      <c r="AG64" s="22">
        <v>57</v>
      </c>
      <c r="AH64" s="380" t="s">
        <v>7913</v>
      </c>
      <c r="AI64" s="375" t="s">
        <v>1105</v>
      </c>
      <c r="AK64" s="21">
        <v>1808</v>
      </c>
      <c r="AL64" s="22">
        <v>57</v>
      </c>
      <c r="AM64" s="374" t="s">
        <v>4884</v>
      </c>
      <c r="AN64" s="375" t="s">
        <v>4884</v>
      </c>
      <c r="AP64" s="23">
        <v>1602</v>
      </c>
      <c r="AQ64" s="22">
        <v>57</v>
      </c>
      <c r="AR64" s="374" t="s">
        <v>4884</v>
      </c>
      <c r="AS64" s="375" t="s">
        <v>4884</v>
      </c>
      <c r="AU64" s="23">
        <v>1702</v>
      </c>
      <c r="AV64" s="22">
        <v>57</v>
      </c>
      <c r="AW64" s="380" t="s">
        <v>7892</v>
      </c>
      <c r="AX64" s="375" t="s">
        <v>863</v>
      </c>
      <c r="AZ64" s="23">
        <v>1705</v>
      </c>
      <c r="BA64" s="22">
        <v>57</v>
      </c>
      <c r="BB64" s="374" t="s">
        <v>4884</v>
      </c>
      <c r="BC64" s="375" t="s">
        <v>4884</v>
      </c>
      <c r="BE64" s="23">
        <v>1708</v>
      </c>
      <c r="BF64" s="22">
        <v>57</v>
      </c>
      <c r="BG64" s="374" t="s">
        <v>4884</v>
      </c>
      <c r="BH64" s="375" t="s">
        <v>4884</v>
      </c>
    </row>
    <row r="65" spans="2:60">
      <c r="B65" s="21">
        <v>1505</v>
      </c>
      <c r="C65" s="22">
        <v>58</v>
      </c>
      <c r="D65" s="374" t="s">
        <v>4884</v>
      </c>
      <c r="E65" s="375" t="s">
        <v>4884</v>
      </c>
      <c r="G65" s="21">
        <v>1508</v>
      </c>
      <c r="H65" s="22">
        <v>58</v>
      </c>
      <c r="I65" s="380" t="s">
        <v>7882</v>
      </c>
      <c r="J65" s="375" t="s">
        <v>1122</v>
      </c>
      <c r="L65" s="21">
        <v>1605</v>
      </c>
      <c r="M65" s="22">
        <v>58</v>
      </c>
      <c r="N65" s="374" t="s">
        <v>4884</v>
      </c>
      <c r="O65" s="375" t="s">
        <v>4884</v>
      </c>
      <c r="P65" s="8"/>
      <c r="Q65" s="21">
        <v>1608</v>
      </c>
      <c r="R65" s="22">
        <v>58</v>
      </c>
      <c r="S65" s="374" t="s">
        <v>4884</v>
      </c>
      <c r="T65" s="375" t="s">
        <v>4884</v>
      </c>
      <c r="U65" s="8"/>
      <c r="V65" s="21">
        <v>1502</v>
      </c>
      <c r="W65" s="22">
        <v>58</v>
      </c>
      <c r="X65" s="374" t="s">
        <v>4884</v>
      </c>
      <c r="Y65" s="375" t="s">
        <v>4884</v>
      </c>
      <c r="AA65" s="21">
        <v>1802</v>
      </c>
      <c r="AB65" s="22">
        <v>58</v>
      </c>
      <c r="AC65" s="374" t="s">
        <v>4884</v>
      </c>
      <c r="AD65" s="375" t="s">
        <v>4884</v>
      </c>
      <c r="AF65" s="21">
        <v>1805</v>
      </c>
      <c r="AG65" s="22">
        <v>58</v>
      </c>
      <c r="AH65" s="380" t="s">
        <v>7919</v>
      </c>
      <c r="AI65" s="375" t="s">
        <v>921</v>
      </c>
      <c r="AK65" s="21">
        <v>1808</v>
      </c>
      <c r="AL65" s="22">
        <v>58</v>
      </c>
      <c r="AM65" s="374" t="s">
        <v>4884</v>
      </c>
      <c r="AN65" s="375" t="s">
        <v>4884</v>
      </c>
      <c r="AP65" s="23">
        <v>1602</v>
      </c>
      <c r="AQ65" s="22">
        <v>58</v>
      </c>
      <c r="AR65" s="374" t="s">
        <v>4884</v>
      </c>
      <c r="AS65" s="375" t="s">
        <v>4884</v>
      </c>
      <c r="AT65" s="8"/>
      <c r="AU65" s="23">
        <v>1702</v>
      </c>
      <c r="AV65" s="22">
        <v>58</v>
      </c>
      <c r="AW65" s="380" t="s">
        <v>7913</v>
      </c>
      <c r="AX65" s="375" t="s">
        <v>1105</v>
      </c>
      <c r="AY65" s="8"/>
      <c r="AZ65" s="23">
        <v>1705</v>
      </c>
      <c r="BA65" s="22">
        <v>58</v>
      </c>
      <c r="BB65" s="374" t="s">
        <v>4884</v>
      </c>
      <c r="BC65" s="375" t="s">
        <v>4884</v>
      </c>
      <c r="BD65" s="8"/>
      <c r="BE65" s="23">
        <v>1708</v>
      </c>
      <c r="BF65" s="22">
        <v>58</v>
      </c>
      <c r="BG65" s="374" t="s">
        <v>4884</v>
      </c>
      <c r="BH65" s="375" t="s">
        <v>4884</v>
      </c>
    </row>
    <row r="66" spans="2:60">
      <c r="B66" s="21">
        <v>1505</v>
      </c>
      <c r="C66" s="22">
        <v>59</v>
      </c>
      <c r="D66" s="374" t="s">
        <v>4884</v>
      </c>
      <c r="E66" s="375" t="s">
        <v>4884</v>
      </c>
      <c r="G66" s="21">
        <v>1508</v>
      </c>
      <c r="H66" s="22">
        <v>59</v>
      </c>
      <c r="I66" s="380" t="s">
        <v>7920</v>
      </c>
      <c r="J66" s="375" t="s">
        <v>883</v>
      </c>
      <c r="L66" s="21">
        <v>1605</v>
      </c>
      <c r="M66" s="22">
        <v>59</v>
      </c>
      <c r="N66" s="374" t="s">
        <v>4884</v>
      </c>
      <c r="O66" s="375" t="s">
        <v>4884</v>
      </c>
      <c r="P66" s="8"/>
      <c r="Q66" s="21">
        <v>1608</v>
      </c>
      <c r="R66" s="22">
        <v>59</v>
      </c>
      <c r="S66" s="374" t="s">
        <v>4884</v>
      </c>
      <c r="T66" s="375" t="s">
        <v>4884</v>
      </c>
      <c r="U66" s="8"/>
      <c r="V66" s="21">
        <v>1502</v>
      </c>
      <c r="W66" s="22">
        <v>59</v>
      </c>
      <c r="X66" s="374" t="s">
        <v>4884</v>
      </c>
      <c r="Y66" s="375" t="s">
        <v>4884</v>
      </c>
      <c r="AA66" s="21">
        <v>1802</v>
      </c>
      <c r="AB66" s="22">
        <v>59</v>
      </c>
      <c r="AC66" s="374" t="s">
        <v>4884</v>
      </c>
      <c r="AD66" s="375" t="s">
        <v>4884</v>
      </c>
      <c r="AF66" s="21">
        <v>1805</v>
      </c>
      <c r="AG66" s="22">
        <v>59</v>
      </c>
      <c r="AH66" s="380" t="s">
        <v>7905</v>
      </c>
      <c r="AI66" s="375" t="s">
        <v>865</v>
      </c>
      <c r="AK66" s="21">
        <v>1808</v>
      </c>
      <c r="AL66" s="22">
        <v>59</v>
      </c>
      <c r="AM66" s="374" t="s">
        <v>7952</v>
      </c>
      <c r="AN66" s="375" t="s">
        <v>953</v>
      </c>
      <c r="AP66" s="23">
        <v>1602</v>
      </c>
      <c r="AQ66" s="22">
        <v>59</v>
      </c>
      <c r="AR66" s="374" t="s">
        <v>7953</v>
      </c>
      <c r="AS66" s="375" t="s">
        <v>979</v>
      </c>
      <c r="AT66" s="8"/>
      <c r="AU66" s="23">
        <v>1702</v>
      </c>
      <c r="AV66" s="22">
        <v>59</v>
      </c>
      <c r="AW66" s="380" t="s">
        <v>7921</v>
      </c>
      <c r="AX66" s="375" t="s">
        <v>869</v>
      </c>
      <c r="AY66" s="8"/>
      <c r="AZ66" s="23">
        <v>1705</v>
      </c>
      <c r="BA66" s="22">
        <v>59</v>
      </c>
      <c r="BB66" s="374" t="s">
        <v>4884</v>
      </c>
      <c r="BC66" s="375" t="s">
        <v>4884</v>
      </c>
      <c r="BD66" s="8"/>
      <c r="BE66" s="23">
        <v>1708</v>
      </c>
      <c r="BF66" s="22">
        <v>59</v>
      </c>
      <c r="BG66" s="374" t="s">
        <v>4884</v>
      </c>
      <c r="BH66" s="375" t="s">
        <v>4884</v>
      </c>
    </row>
    <row r="67" spans="2:60">
      <c r="B67" s="21">
        <v>1505</v>
      </c>
      <c r="C67" s="22">
        <v>60</v>
      </c>
      <c r="D67" s="374" t="s">
        <v>4884</v>
      </c>
      <c r="E67" s="375" t="s">
        <v>4884</v>
      </c>
      <c r="G67" s="21">
        <v>1508</v>
      </c>
      <c r="H67" s="22">
        <v>60</v>
      </c>
      <c r="I67" s="380" t="s">
        <v>7872</v>
      </c>
      <c r="J67" s="375" t="s">
        <v>973</v>
      </c>
      <c r="L67" s="21">
        <v>1605</v>
      </c>
      <c r="M67" s="22">
        <v>60</v>
      </c>
      <c r="N67" s="374" t="s">
        <v>4884</v>
      </c>
      <c r="O67" s="375" t="s">
        <v>4884</v>
      </c>
      <c r="P67" s="8"/>
      <c r="Q67" s="21">
        <v>1608</v>
      </c>
      <c r="R67" s="22">
        <v>60</v>
      </c>
      <c r="S67" s="374" t="s">
        <v>4884</v>
      </c>
      <c r="T67" s="375" t="s">
        <v>4884</v>
      </c>
      <c r="U67" s="8"/>
      <c r="V67" s="21">
        <v>1502</v>
      </c>
      <c r="W67" s="22">
        <v>60</v>
      </c>
      <c r="X67" s="374" t="s">
        <v>4884</v>
      </c>
      <c r="Y67" s="375" t="s">
        <v>4884</v>
      </c>
      <c r="AA67" s="21">
        <v>1802</v>
      </c>
      <c r="AB67" s="22">
        <v>60</v>
      </c>
      <c r="AC67" s="374" t="s">
        <v>4884</v>
      </c>
      <c r="AD67" s="375" t="s">
        <v>4884</v>
      </c>
      <c r="AF67" s="21">
        <v>1805</v>
      </c>
      <c r="AG67" s="22">
        <v>60</v>
      </c>
      <c r="AH67" s="380" t="s">
        <v>7918</v>
      </c>
      <c r="AI67" s="375" t="s">
        <v>1038</v>
      </c>
      <c r="AK67" s="21">
        <v>1808</v>
      </c>
      <c r="AL67" s="22">
        <v>60</v>
      </c>
      <c r="AM67" s="374" t="s">
        <v>4884</v>
      </c>
      <c r="AN67" s="375" t="s">
        <v>4884</v>
      </c>
      <c r="AP67" s="23">
        <v>1602</v>
      </c>
      <c r="AQ67" s="22">
        <v>60</v>
      </c>
      <c r="AR67" s="374" t="s">
        <v>4884</v>
      </c>
      <c r="AS67" s="375" t="s">
        <v>4884</v>
      </c>
      <c r="AT67" s="8"/>
      <c r="AU67" s="23">
        <v>1702</v>
      </c>
      <c r="AV67" s="22">
        <v>60</v>
      </c>
      <c r="AW67" s="380" t="s">
        <v>7905</v>
      </c>
      <c r="AX67" s="375" t="s">
        <v>865</v>
      </c>
      <c r="AY67" s="8"/>
      <c r="AZ67" s="23">
        <v>1705</v>
      </c>
      <c r="BA67" s="22">
        <v>60</v>
      </c>
      <c r="BB67" s="374" t="s">
        <v>4884</v>
      </c>
      <c r="BC67" s="375" t="s">
        <v>4884</v>
      </c>
      <c r="BD67" s="8"/>
      <c r="BE67" s="23">
        <v>1708</v>
      </c>
      <c r="BF67" s="22">
        <v>60</v>
      </c>
      <c r="BG67" s="374" t="s">
        <v>4884</v>
      </c>
      <c r="BH67" s="375" t="s">
        <v>4884</v>
      </c>
    </row>
    <row r="68" spans="2:60">
      <c r="B68" s="21">
        <v>1505</v>
      </c>
      <c r="C68" s="22">
        <v>61</v>
      </c>
      <c r="D68" s="374" t="s">
        <v>4884</v>
      </c>
      <c r="E68" s="375" t="s">
        <v>4884</v>
      </c>
      <c r="G68" s="21">
        <v>1508</v>
      </c>
      <c r="H68" s="22">
        <v>61</v>
      </c>
      <c r="I68" s="380" t="s">
        <v>7917</v>
      </c>
      <c r="J68" s="375" t="s">
        <v>1404</v>
      </c>
      <c r="L68" s="21">
        <v>1605</v>
      </c>
      <c r="M68" s="22">
        <v>61</v>
      </c>
      <c r="N68" s="374" t="s">
        <v>4884</v>
      </c>
      <c r="O68" s="375" t="s">
        <v>4884</v>
      </c>
      <c r="Q68" s="21">
        <v>1608</v>
      </c>
      <c r="R68" s="22">
        <v>61</v>
      </c>
      <c r="S68" s="374" t="s">
        <v>4884</v>
      </c>
      <c r="T68" s="375" t="s">
        <v>4884</v>
      </c>
      <c r="V68" s="21">
        <v>1502</v>
      </c>
      <c r="W68" s="22">
        <v>61</v>
      </c>
      <c r="X68" s="374" t="s">
        <v>4884</v>
      </c>
      <c r="Y68" s="375" t="s">
        <v>4884</v>
      </c>
      <c r="AA68" s="21">
        <v>1802</v>
      </c>
      <c r="AB68" s="22">
        <v>61</v>
      </c>
      <c r="AC68" s="374" t="s">
        <v>4884</v>
      </c>
      <c r="AD68" s="375" t="s">
        <v>4884</v>
      </c>
      <c r="AE68" s="10"/>
      <c r="AF68" s="21">
        <v>1805</v>
      </c>
      <c r="AG68" s="22">
        <v>61</v>
      </c>
      <c r="AH68" s="380" t="s">
        <v>7948</v>
      </c>
      <c r="AI68" s="375" t="s">
        <v>873</v>
      </c>
      <c r="AJ68" s="10"/>
      <c r="AK68" s="21">
        <v>1808</v>
      </c>
      <c r="AL68" s="22">
        <v>61</v>
      </c>
      <c r="AM68" s="374" t="s">
        <v>7954</v>
      </c>
      <c r="AN68" s="375" t="s">
        <v>919</v>
      </c>
      <c r="AP68" s="23">
        <v>1602</v>
      </c>
      <c r="AQ68" s="22">
        <v>61</v>
      </c>
      <c r="AR68" s="374" t="s">
        <v>4884</v>
      </c>
      <c r="AS68" s="375" t="s">
        <v>4884</v>
      </c>
      <c r="AU68" s="23">
        <v>1702</v>
      </c>
      <c r="AV68" s="22">
        <v>61</v>
      </c>
      <c r="AW68" s="380" t="s">
        <v>7863</v>
      </c>
      <c r="AX68" s="375" t="s">
        <v>1351</v>
      </c>
      <c r="AZ68" s="23">
        <v>1705</v>
      </c>
      <c r="BA68" s="22">
        <v>61</v>
      </c>
      <c r="BB68" s="374" t="s">
        <v>4884</v>
      </c>
      <c r="BC68" s="375" t="s">
        <v>4884</v>
      </c>
      <c r="BE68" s="23">
        <v>1708</v>
      </c>
      <c r="BF68" s="22">
        <v>61</v>
      </c>
      <c r="BG68" s="374" t="s">
        <v>4884</v>
      </c>
      <c r="BH68" s="375" t="s">
        <v>4884</v>
      </c>
    </row>
    <row r="69" spans="2:60">
      <c r="B69" s="21">
        <v>1505</v>
      </c>
      <c r="C69" s="22">
        <v>62</v>
      </c>
      <c r="D69" s="374" t="s">
        <v>7954</v>
      </c>
      <c r="E69" s="375" t="s">
        <v>919</v>
      </c>
      <c r="G69" s="21">
        <v>1508</v>
      </c>
      <c r="H69" s="22">
        <v>62</v>
      </c>
      <c r="I69" s="380" t="s">
        <v>7935</v>
      </c>
      <c r="J69" s="375" t="s">
        <v>963</v>
      </c>
      <c r="L69" s="21">
        <v>1605</v>
      </c>
      <c r="M69" s="22">
        <v>62</v>
      </c>
      <c r="N69" s="374" t="s">
        <v>4884</v>
      </c>
      <c r="O69" s="375" t="s">
        <v>4884</v>
      </c>
      <c r="P69" s="8"/>
      <c r="Q69" s="21">
        <v>1608</v>
      </c>
      <c r="R69" s="22">
        <v>62</v>
      </c>
      <c r="S69" s="374" t="s">
        <v>4884</v>
      </c>
      <c r="T69" s="375" t="s">
        <v>4884</v>
      </c>
      <c r="U69" s="8"/>
      <c r="V69" s="21">
        <v>1502</v>
      </c>
      <c r="W69" s="22">
        <v>62</v>
      </c>
      <c r="X69" s="374" t="s">
        <v>4884</v>
      </c>
      <c r="Y69" s="375" t="s">
        <v>4884</v>
      </c>
      <c r="AA69" s="21">
        <v>1802</v>
      </c>
      <c r="AB69" s="22">
        <v>62</v>
      </c>
      <c r="AC69" s="374" t="s">
        <v>4884</v>
      </c>
      <c r="AD69" s="375" t="s">
        <v>4884</v>
      </c>
      <c r="AF69" s="21">
        <v>1805</v>
      </c>
      <c r="AG69" s="22">
        <v>62</v>
      </c>
      <c r="AH69" s="380" t="s">
        <v>7936</v>
      </c>
      <c r="AI69" s="375" t="s">
        <v>941</v>
      </c>
      <c r="AK69" s="21">
        <v>1808</v>
      </c>
      <c r="AL69" s="22">
        <v>62</v>
      </c>
      <c r="AM69" s="374" t="s">
        <v>7955</v>
      </c>
      <c r="AN69" s="375" t="s">
        <v>899</v>
      </c>
      <c r="AP69" s="23">
        <v>1602</v>
      </c>
      <c r="AQ69" s="22">
        <v>62</v>
      </c>
      <c r="AR69" s="374" t="s">
        <v>4884</v>
      </c>
      <c r="AS69" s="375" t="s">
        <v>4884</v>
      </c>
      <c r="AT69" s="8"/>
      <c r="AU69" s="23">
        <v>1702</v>
      </c>
      <c r="AV69" s="22">
        <v>62</v>
      </c>
      <c r="AW69" s="380" t="s">
        <v>7918</v>
      </c>
      <c r="AX69" s="375" t="s">
        <v>1038</v>
      </c>
      <c r="AY69" s="8"/>
      <c r="AZ69" s="23">
        <v>1705</v>
      </c>
      <c r="BA69" s="22">
        <v>62</v>
      </c>
      <c r="BB69" s="374" t="s">
        <v>4884</v>
      </c>
      <c r="BC69" s="375" t="s">
        <v>4884</v>
      </c>
      <c r="BD69" s="8"/>
      <c r="BE69" s="23">
        <v>1708</v>
      </c>
      <c r="BF69" s="22">
        <v>62</v>
      </c>
      <c r="BG69" s="374" t="s">
        <v>4884</v>
      </c>
      <c r="BH69" s="375" t="s">
        <v>4884</v>
      </c>
    </row>
    <row r="70" spans="2:60">
      <c r="B70" s="21">
        <v>1505</v>
      </c>
      <c r="C70" s="22">
        <v>63</v>
      </c>
      <c r="D70" s="374" t="s">
        <v>4884</v>
      </c>
      <c r="E70" s="375" t="s">
        <v>4884</v>
      </c>
      <c r="G70" s="21">
        <v>1508</v>
      </c>
      <c r="H70" s="22">
        <v>63</v>
      </c>
      <c r="I70" s="380" t="s">
        <v>7909</v>
      </c>
      <c r="J70" s="375" t="s">
        <v>859</v>
      </c>
      <c r="L70" s="21">
        <v>1605</v>
      </c>
      <c r="M70" s="22">
        <v>63</v>
      </c>
      <c r="N70" s="374" t="s">
        <v>4884</v>
      </c>
      <c r="O70" s="375" t="s">
        <v>4884</v>
      </c>
      <c r="P70" s="8"/>
      <c r="Q70" s="21">
        <v>1608</v>
      </c>
      <c r="R70" s="22">
        <v>63</v>
      </c>
      <c r="S70" s="374" t="s">
        <v>4884</v>
      </c>
      <c r="T70" s="375" t="s">
        <v>4884</v>
      </c>
      <c r="U70" s="8"/>
      <c r="V70" s="21">
        <v>1502</v>
      </c>
      <c r="W70" s="22">
        <v>63</v>
      </c>
      <c r="X70" s="374" t="s">
        <v>4884</v>
      </c>
      <c r="Y70" s="375" t="s">
        <v>4884</v>
      </c>
      <c r="AA70" s="21">
        <v>1802</v>
      </c>
      <c r="AB70" s="22">
        <v>63</v>
      </c>
      <c r="AC70" s="374" t="s">
        <v>4884</v>
      </c>
      <c r="AD70" s="375" t="s">
        <v>4884</v>
      </c>
      <c r="AE70" s="10"/>
      <c r="AF70" s="21">
        <v>1805</v>
      </c>
      <c r="AG70" s="22">
        <v>63</v>
      </c>
      <c r="AH70" s="380" t="s">
        <v>7944</v>
      </c>
      <c r="AI70" s="375" t="s">
        <v>1078</v>
      </c>
      <c r="AJ70" s="10"/>
      <c r="AK70" s="21">
        <v>1808</v>
      </c>
      <c r="AL70" s="22">
        <v>63</v>
      </c>
      <c r="AM70" s="374" t="s">
        <v>7953</v>
      </c>
      <c r="AN70" s="375" t="s">
        <v>979</v>
      </c>
      <c r="AP70" s="23">
        <v>1602</v>
      </c>
      <c r="AQ70" s="22">
        <v>63</v>
      </c>
      <c r="AR70" s="374" t="s">
        <v>4884</v>
      </c>
      <c r="AS70" s="375" t="s">
        <v>4884</v>
      </c>
      <c r="AT70" s="8"/>
      <c r="AU70" s="23">
        <v>1702</v>
      </c>
      <c r="AV70" s="22">
        <v>63</v>
      </c>
      <c r="AW70" s="380" t="s">
        <v>7901</v>
      </c>
      <c r="AX70" s="375" t="s">
        <v>1065</v>
      </c>
      <c r="AY70" s="8"/>
      <c r="AZ70" s="23">
        <v>1705</v>
      </c>
      <c r="BA70" s="22">
        <v>63</v>
      </c>
      <c r="BB70" s="374" t="s">
        <v>4884</v>
      </c>
      <c r="BC70" s="375" t="s">
        <v>4884</v>
      </c>
      <c r="BD70" s="8"/>
      <c r="BE70" s="23">
        <v>1708</v>
      </c>
      <c r="BF70" s="22">
        <v>63</v>
      </c>
      <c r="BG70" s="374" t="s">
        <v>4884</v>
      </c>
      <c r="BH70" s="375" t="s">
        <v>4884</v>
      </c>
    </row>
    <row r="71" spans="2:60" ht="15" thickBot="1">
      <c r="B71" s="25">
        <v>1505</v>
      </c>
      <c r="C71" s="26">
        <v>64</v>
      </c>
      <c r="D71" s="378" t="s">
        <v>4884</v>
      </c>
      <c r="E71" s="379" t="s">
        <v>4884</v>
      </c>
      <c r="G71" s="25">
        <v>1508</v>
      </c>
      <c r="H71" s="26">
        <v>64</v>
      </c>
      <c r="I71" s="382" t="s">
        <v>7937</v>
      </c>
      <c r="J71" s="379" t="s">
        <v>939</v>
      </c>
      <c r="L71" s="25">
        <v>1605</v>
      </c>
      <c r="M71" s="26">
        <v>64</v>
      </c>
      <c r="N71" s="378" t="s">
        <v>4884</v>
      </c>
      <c r="O71" s="379" t="s">
        <v>4884</v>
      </c>
      <c r="P71" s="8"/>
      <c r="Q71" s="25">
        <v>1608</v>
      </c>
      <c r="R71" s="26">
        <v>64</v>
      </c>
      <c r="S71" s="378" t="s">
        <v>4884</v>
      </c>
      <c r="T71" s="379" t="s">
        <v>4884</v>
      </c>
      <c r="U71" s="8"/>
      <c r="V71" s="25">
        <v>1502</v>
      </c>
      <c r="W71" s="26">
        <v>64</v>
      </c>
      <c r="X71" s="378" t="s">
        <v>4884</v>
      </c>
      <c r="Y71" s="379" t="s">
        <v>4884</v>
      </c>
      <c r="AA71" s="25">
        <v>1802</v>
      </c>
      <c r="AB71" s="26">
        <v>64</v>
      </c>
      <c r="AC71" s="378" t="s">
        <v>4884</v>
      </c>
      <c r="AD71" s="379" t="s">
        <v>4884</v>
      </c>
      <c r="AF71" s="25">
        <v>1805</v>
      </c>
      <c r="AG71" s="26">
        <v>64</v>
      </c>
      <c r="AH71" s="382" t="s">
        <v>7940</v>
      </c>
      <c r="AI71" s="379" t="s">
        <v>959</v>
      </c>
      <c r="AK71" s="25">
        <v>1808</v>
      </c>
      <c r="AL71" s="26">
        <v>64</v>
      </c>
      <c r="AM71" s="378" t="s">
        <v>7939</v>
      </c>
      <c r="AN71" s="379" t="s">
        <v>977</v>
      </c>
      <c r="AP71" s="27">
        <v>1602</v>
      </c>
      <c r="AQ71" s="26">
        <v>64</v>
      </c>
      <c r="AR71" s="378" t="s">
        <v>4884</v>
      </c>
      <c r="AS71" s="379" t="s">
        <v>4884</v>
      </c>
      <c r="AT71" s="8"/>
      <c r="AU71" s="23">
        <v>1702</v>
      </c>
      <c r="AV71" s="24">
        <v>64</v>
      </c>
      <c r="AW71" s="382" t="s">
        <v>7931</v>
      </c>
      <c r="AX71" s="379" t="s">
        <v>24</v>
      </c>
      <c r="AY71" s="8"/>
      <c r="AZ71" s="27">
        <v>1705</v>
      </c>
      <c r="BA71" s="26">
        <v>64</v>
      </c>
      <c r="BB71" s="378" t="s">
        <v>4884</v>
      </c>
      <c r="BC71" s="379" t="s">
        <v>4884</v>
      </c>
      <c r="BD71" s="8"/>
      <c r="BE71" s="27">
        <v>1708</v>
      </c>
      <c r="BF71" s="26">
        <v>64</v>
      </c>
      <c r="BG71" s="378" t="s">
        <v>4884</v>
      </c>
      <c r="BH71" s="379" t="s">
        <v>4884</v>
      </c>
    </row>
    <row r="72" spans="2:60">
      <c r="B72" s="21">
        <v>1505</v>
      </c>
      <c r="C72" s="22">
        <v>65</v>
      </c>
      <c r="D72" s="376" t="s">
        <v>4884</v>
      </c>
      <c r="E72" s="375" t="s">
        <v>4884</v>
      </c>
      <c r="G72" s="12">
        <v>1508</v>
      </c>
      <c r="H72" s="13">
        <v>65</v>
      </c>
      <c r="I72" s="376" t="s">
        <v>7956</v>
      </c>
      <c r="J72" s="377" t="s">
        <v>943</v>
      </c>
      <c r="L72" s="12">
        <v>1605</v>
      </c>
      <c r="M72" s="13">
        <v>65</v>
      </c>
      <c r="N72" s="376" t="s">
        <v>4884</v>
      </c>
      <c r="O72" s="375" t="s">
        <v>4884</v>
      </c>
      <c r="Q72" s="12">
        <v>1608</v>
      </c>
      <c r="R72" s="13">
        <v>65</v>
      </c>
      <c r="S72" s="376" t="s">
        <v>4884</v>
      </c>
      <c r="T72" s="375" t="s">
        <v>4884</v>
      </c>
      <c r="V72" s="12">
        <v>1502</v>
      </c>
      <c r="W72" s="13">
        <v>65</v>
      </c>
      <c r="X72" s="376" t="s">
        <v>4884</v>
      </c>
      <c r="Y72" s="377" t="s">
        <v>4884</v>
      </c>
      <c r="AA72" s="12">
        <v>1802</v>
      </c>
      <c r="AB72" s="13">
        <v>65</v>
      </c>
      <c r="AC72" s="376" t="s">
        <v>4884</v>
      </c>
      <c r="AD72" s="377" t="s">
        <v>4884</v>
      </c>
      <c r="AF72" s="12">
        <v>1805</v>
      </c>
      <c r="AG72" s="13">
        <v>65</v>
      </c>
      <c r="AH72" s="376" t="s">
        <v>7957</v>
      </c>
      <c r="AI72" s="377" t="s">
        <v>831</v>
      </c>
      <c r="AK72" s="12">
        <v>1808</v>
      </c>
      <c r="AL72" s="13">
        <v>65</v>
      </c>
      <c r="AM72" s="376" t="s">
        <v>4884</v>
      </c>
      <c r="AN72" s="377" t="s">
        <v>4884</v>
      </c>
      <c r="AP72" s="18">
        <v>1602</v>
      </c>
      <c r="AQ72" s="13">
        <v>65</v>
      </c>
      <c r="AR72" s="376" t="s">
        <v>4884</v>
      </c>
      <c r="AS72" s="377" t="s">
        <v>4884</v>
      </c>
      <c r="AU72" s="18">
        <v>1702</v>
      </c>
      <c r="AV72" s="20">
        <v>65</v>
      </c>
      <c r="AW72" s="376" t="s">
        <v>7947</v>
      </c>
      <c r="AX72" s="377" t="s">
        <v>829</v>
      </c>
      <c r="AZ72" s="18">
        <v>1705</v>
      </c>
      <c r="BA72" s="13">
        <v>65</v>
      </c>
      <c r="BB72" s="376" t="s">
        <v>4884</v>
      </c>
      <c r="BC72" s="377" t="s">
        <v>4884</v>
      </c>
      <c r="BE72" s="18">
        <v>1708</v>
      </c>
      <c r="BF72" s="13">
        <v>65</v>
      </c>
      <c r="BG72" s="376" t="s">
        <v>4884</v>
      </c>
      <c r="BH72" s="377" t="s">
        <v>4884</v>
      </c>
    </row>
    <row r="73" spans="2:60">
      <c r="B73" s="21">
        <v>1505</v>
      </c>
      <c r="C73" s="22">
        <v>66</v>
      </c>
      <c r="D73" s="374" t="s">
        <v>4884</v>
      </c>
      <c r="E73" s="375" t="s">
        <v>4884</v>
      </c>
      <c r="G73" s="21">
        <v>1508</v>
      </c>
      <c r="H73" s="22">
        <v>66</v>
      </c>
      <c r="I73" s="374" t="s">
        <v>7946</v>
      </c>
      <c r="J73" s="375" t="s">
        <v>947</v>
      </c>
      <c r="L73" s="21">
        <v>1605</v>
      </c>
      <c r="M73" s="22">
        <v>66</v>
      </c>
      <c r="N73" s="374" t="s">
        <v>4884</v>
      </c>
      <c r="O73" s="375" t="s">
        <v>4884</v>
      </c>
      <c r="Q73" s="21">
        <v>1608</v>
      </c>
      <c r="R73" s="22">
        <v>66</v>
      </c>
      <c r="S73" s="374" t="s">
        <v>4884</v>
      </c>
      <c r="T73" s="375" t="s">
        <v>4884</v>
      </c>
      <c r="V73" s="21">
        <v>1502</v>
      </c>
      <c r="W73" s="22">
        <v>66</v>
      </c>
      <c r="X73" s="374" t="s">
        <v>4884</v>
      </c>
      <c r="Y73" s="375" t="s">
        <v>4884</v>
      </c>
      <c r="AA73" s="21">
        <v>1802</v>
      </c>
      <c r="AB73" s="22">
        <v>66</v>
      </c>
      <c r="AC73" s="374" t="s">
        <v>4884</v>
      </c>
      <c r="AD73" s="375" t="s">
        <v>4884</v>
      </c>
      <c r="AF73" s="21">
        <v>1805</v>
      </c>
      <c r="AG73" s="22">
        <v>66</v>
      </c>
      <c r="AH73" s="374" t="s">
        <v>7958</v>
      </c>
      <c r="AI73" s="375" t="s">
        <v>817</v>
      </c>
      <c r="AK73" s="21">
        <v>1808</v>
      </c>
      <c r="AL73" s="22">
        <v>66</v>
      </c>
      <c r="AM73" s="374" t="s">
        <v>4884</v>
      </c>
      <c r="AN73" s="375" t="s">
        <v>4884</v>
      </c>
      <c r="AP73" s="23">
        <v>1602</v>
      </c>
      <c r="AQ73" s="22">
        <v>66</v>
      </c>
      <c r="AR73" s="374" t="s">
        <v>4884</v>
      </c>
      <c r="AS73" s="375" t="s">
        <v>4884</v>
      </c>
      <c r="AU73" s="23">
        <v>1702</v>
      </c>
      <c r="AV73" s="24">
        <v>66</v>
      </c>
      <c r="AW73" s="374" t="s">
        <v>7959</v>
      </c>
      <c r="AX73" s="375" t="s">
        <v>837</v>
      </c>
      <c r="AZ73" s="23">
        <v>1705</v>
      </c>
      <c r="BA73" s="22">
        <v>66</v>
      </c>
      <c r="BB73" s="374" t="s">
        <v>4884</v>
      </c>
      <c r="BC73" s="375" t="s">
        <v>4884</v>
      </c>
      <c r="BE73" s="23">
        <v>1708</v>
      </c>
      <c r="BF73" s="22">
        <v>66</v>
      </c>
      <c r="BG73" s="374" t="s">
        <v>4884</v>
      </c>
      <c r="BH73" s="375" t="s">
        <v>4884</v>
      </c>
    </row>
    <row r="74" spans="2:60">
      <c r="B74" s="21">
        <v>1505</v>
      </c>
      <c r="C74" s="22">
        <v>67</v>
      </c>
      <c r="D74" s="374" t="s">
        <v>4884</v>
      </c>
      <c r="E74" s="375" t="s">
        <v>4884</v>
      </c>
      <c r="G74" s="21">
        <v>1508</v>
      </c>
      <c r="H74" s="22">
        <v>67</v>
      </c>
      <c r="I74" s="374" t="s">
        <v>7960</v>
      </c>
      <c r="J74" s="375" t="s">
        <v>887</v>
      </c>
      <c r="L74" s="21">
        <v>1605</v>
      </c>
      <c r="M74" s="22">
        <v>67</v>
      </c>
      <c r="N74" s="374" t="s">
        <v>4884</v>
      </c>
      <c r="O74" s="375" t="s">
        <v>4884</v>
      </c>
      <c r="Q74" s="21">
        <v>1608</v>
      </c>
      <c r="R74" s="22">
        <v>67</v>
      </c>
      <c r="S74" s="374" t="s">
        <v>4884</v>
      </c>
      <c r="T74" s="375" t="s">
        <v>4884</v>
      </c>
      <c r="V74" s="21">
        <v>1502</v>
      </c>
      <c r="W74" s="22">
        <v>67</v>
      </c>
      <c r="X74" s="374" t="s">
        <v>4884</v>
      </c>
      <c r="Y74" s="375" t="s">
        <v>4884</v>
      </c>
      <c r="AA74" s="21">
        <v>1802</v>
      </c>
      <c r="AB74" s="22">
        <v>67</v>
      </c>
      <c r="AC74" s="374" t="s">
        <v>4884</v>
      </c>
      <c r="AD74" s="375" t="s">
        <v>4884</v>
      </c>
      <c r="AF74" s="21">
        <v>1805</v>
      </c>
      <c r="AG74" s="22">
        <v>67</v>
      </c>
      <c r="AH74" s="374" t="s">
        <v>7961</v>
      </c>
      <c r="AI74" s="375" t="s">
        <v>797</v>
      </c>
      <c r="AK74" s="21">
        <v>1808</v>
      </c>
      <c r="AL74" s="22">
        <v>67</v>
      </c>
      <c r="AM74" s="374" t="s">
        <v>4884</v>
      </c>
      <c r="AN74" s="375" t="s">
        <v>4884</v>
      </c>
      <c r="AP74" s="23">
        <v>1602</v>
      </c>
      <c r="AQ74" s="22">
        <v>67</v>
      </c>
      <c r="AR74" s="374" t="s">
        <v>4884</v>
      </c>
      <c r="AS74" s="375" t="s">
        <v>4884</v>
      </c>
      <c r="AU74" s="23">
        <v>1702</v>
      </c>
      <c r="AV74" s="24">
        <v>67</v>
      </c>
      <c r="AW74" s="374" t="s">
        <v>4884</v>
      </c>
      <c r="AX74" s="375" t="s">
        <v>4884</v>
      </c>
      <c r="AZ74" s="23">
        <v>1705</v>
      </c>
      <c r="BA74" s="22">
        <v>67</v>
      </c>
      <c r="BB74" s="374" t="s">
        <v>4884</v>
      </c>
      <c r="BC74" s="375" t="s">
        <v>4884</v>
      </c>
      <c r="BE74" s="23">
        <v>1708</v>
      </c>
      <c r="BF74" s="22">
        <v>67</v>
      </c>
      <c r="BG74" s="374" t="s">
        <v>4884</v>
      </c>
      <c r="BH74" s="375" t="s">
        <v>4884</v>
      </c>
    </row>
    <row r="75" spans="2:60">
      <c r="B75" s="21">
        <v>1505</v>
      </c>
      <c r="C75" s="22">
        <v>68</v>
      </c>
      <c r="D75" s="374" t="s">
        <v>7880</v>
      </c>
      <c r="E75" s="375" t="s">
        <v>909</v>
      </c>
      <c r="G75" s="21">
        <v>1508</v>
      </c>
      <c r="H75" s="22">
        <v>68</v>
      </c>
      <c r="I75" s="374" t="s">
        <v>7962</v>
      </c>
      <c r="J75" s="375" t="s">
        <v>801</v>
      </c>
      <c r="L75" s="21">
        <v>1605</v>
      </c>
      <c r="M75" s="22">
        <v>68</v>
      </c>
      <c r="N75" s="374" t="s">
        <v>4884</v>
      </c>
      <c r="O75" s="375" t="s">
        <v>4884</v>
      </c>
      <c r="Q75" s="21">
        <v>1608</v>
      </c>
      <c r="R75" s="22">
        <v>68</v>
      </c>
      <c r="S75" s="374" t="s">
        <v>4884</v>
      </c>
      <c r="T75" s="375" t="s">
        <v>4884</v>
      </c>
      <c r="V75" s="21">
        <v>1502</v>
      </c>
      <c r="W75" s="22">
        <v>68</v>
      </c>
      <c r="X75" s="374" t="s">
        <v>4884</v>
      </c>
      <c r="Y75" s="375" t="s">
        <v>4884</v>
      </c>
      <c r="AA75" s="21">
        <v>1802</v>
      </c>
      <c r="AB75" s="22">
        <v>68</v>
      </c>
      <c r="AC75" s="374" t="s">
        <v>4884</v>
      </c>
      <c r="AD75" s="375" t="s">
        <v>4884</v>
      </c>
      <c r="AF75" s="21">
        <v>1805</v>
      </c>
      <c r="AG75" s="22">
        <v>68</v>
      </c>
      <c r="AH75" s="374" t="s">
        <v>4884</v>
      </c>
      <c r="AI75" s="375" t="s">
        <v>4884</v>
      </c>
      <c r="AK75" s="21">
        <v>1808</v>
      </c>
      <c r="AL75" s="22">
        <v>68</v>
      </c>
      <c r="AM75" s="374" t="s">
        <v>4884</v>
      </c>
      <c r="AN75" s="375" t="s">
        <v>4884</v>
      </c>
      <c r="AP75" s="23">
        <v>1602</v>
      </c>
      <c r="AQ75" s="22">
        <v>68</v>
      </c>
      <c r="AR75" s="374" t="s">
        <v>4884</v>
      </c>
      <c r="AS75" s="375" t="s">
        <v>4884</v>
      </c>
      <c r="AU75" s="23">
        <v>1702</v>
      </c>
      <c r="AV75" s="24">
        <v>68</v>
      </c>
      <c r="AW75" s="374" t="s">
        <v>7963</v>
      </c>
      <c r="AX75" s="375" t="s">
        <v>835</v>
      </c>
      <c r="AZ75" s="23">
        <v>1705</v>
      </c>
      <c r="BA75" s="22">
        <v>68</v>
      </c>
      <c r="BB75" s="374" t="s">
        <v>4884</v>
      </c>
      <c r="BC75" s="375" t="s">
        <v>4884</v>
      </c>
      <c r="BE75" s="23">
        <v>1708</v>
      </c>
      <c r="BF75" s="22">
        <v>68</v>
      </c>
      <c r="BG75" s="374" t="s">
        <v>4884</v>
      </c>
      <c r="BH75" s="375" t="s">
        <v>4884</v>
      </c>
    </row>
    <row r="76" spans="2:60">
      <c r="B76" s="21">
        <v>1505</v>
      </c>
      <c r="C76" s="22">
        <v>69</v>
      </c>
      <c r="D76" s="374" t="s">
        <v>4884</v>
      </c>
      <c r="E76" s="375" t="s">
        <v>4884</v>
      </c>
      <c r="G76" s="21">
        <v>1508</v>
      </c>
      <c r="H76" s="22">
        <v>69</v>
      </c>
      <c r="I76" s="374" t="s">
        <v>4884</v>
      </c>
      <c r="J76" s="375" t="s">
        <v>4884</v>
      </c>
      <c r="L76" s="21">
        <v>1605</v>
      </c>
      <c r="M76" s="22">
        <v>69</v>
      </c>
      <c r="N76" s="374" t="s">
        <v>4884</v>
      </c>
      <c r="O76" s="375" t="s">
        <v>4884</v>
      </c>
      <c r="Q76" s="21">
        <v>1608</v>
      </c>
      <c r="R76" s="22">
        <v>69</v>
      </c>
      <c r="S76" s="374" t="s">
        <v>4884</v>
      </c>
      <c r="T76" s="375" t="s">
        <v>4884</v>
      </c>
      <c r="V76" s="21">
        <v>1502</v>
      </c>
      <c r="W76" s="22">
        <v>69</v>
      </c>
      <c r="X76" s="374" t="s">
        <v>4884</v>
      </c>
      <c r="Y76" s="375" t="s">
        <v>4884</v>
      </c>
      <c r="AA76" s="21">
        <v>1802</v>
      </c>
      <c r="AB76" s="22">
        <v>69</v>
      </c>
      <c r="AC76" s="374" t="s">
        <v>4884</v>
      </c>
      <c r="AD76" s="375" t="s">
        <v>4884</v>
      </c>
      <c r="AF76" s="21">
        <v>1805</v>
      </c>
      <c r="AG76" s="22">
        <v>69</v>
      </c>
      <c r="AH76" s="374" t="s">
        <v>7964</v>
      </c>
      <c r="AI76" s="375" t="s">
        <v>833</v>
      </c>
      <c r="AK76" s="21">
        <v>1808</v>
      </c>
      <c r="AL76" s="22">
        <v>69</v>
      </c>
      <c r="AM76" s="374" t="s">
        <v>7943</v>
      </c>
      <c r="AN76" s="375" t="s">
        <v>961</v>
      </c>
      <c r="AP76" s="23">
        <v>1602</v>
      </c>
      <c r="AQ76" s="22">
        <v>69</v>
      </c>
      <c r="AR76" s="374" t="s">
        <v>7946</v>
      </c>
      <c r="AS76" s="375" t="s">
        <v>947</v>
      </c>
      <c r="AU76" s="23">
        <v>1702</v>
      </c>
      <c r="AV76" s="24">
        <v>69</v>
      </c>
      <c r="AW76" s="374" t="s">
        <v>4884</v>
      </c>
      <c r="AX76" s="375" t="s">
        <v>4884</v>
      </c>
      <c r="AZ76" s="23">
        <v>1705</v>
      </c>
      <c r="BA76" s="22">
        <v>69</v>
      </c>
      <c r="BB76" s="374" t="s">
        <v>4884</v>
      </c>
      <c r="BC76" s="375" t="s">
        <v>4884</v>
      </c>
      <c r="BE76" s="23">
        <v>1708</v>
      </c>
      <c r="BF76" s="22">
        <v>69</v>
      </c>
      <c r="BG76" s="374" t="s">
        <v>4884</v>
      </c>
      <c r="BH76" s="375" t="s">
        <v>4884</v>
      </c>
    </row>
    <row r="77" spans="2:60">
      <c r="B77" s="21">
        <v>1505</v>
      </c>
      <c r="C77" s="22">
        <v>70</v>
      </c>
      <c r="D77" s="374" t="s">
        <v>7870</v>
      </c>
      <c r="E77" s="375" t="s">
        <v>911</v>
      </c>
      <c r="G77" s="21">
        <v>1508</v>
      </c>
      <c r="H77" s="22">
        <v>70</v>
      </c>
      <c r="I77" s="374" t="s">
        <v>7965</v>
      </c>
      <c r="J77" s="375" t="s">
        <v>825</v>
      </c>
      <c r="L77" s="21">
        <v>1605</v>
      </c>
      <c r="M77" s="22">
        <v>70</v>
      </c>
      <c r="N77" s="374" t="s">
        <v>4884</v>
      </c>
      <c r="O77" s="375" t="s">
        <v>4884</v>
      </c>
      <c r="Q77" s="21">
        <v>1608</v>
      </c>
      <c r="R77" s="22">
        <v>70</v>
      </c>
      <c r="S77" s="374" t="s">
        <v>4884</v>
      </c>
      <c r="T77" s="375" t="s">
        <v>4884</v>
      </c>
      <c r="V77" s="21">
        <v>1502</v>
      </c>
      <c r="W77" s="22">
        <v>70</v>
      </c>
      <c r="X77" s="374" t="s">
        <v>4884</v>
      </c>
      <c r="Y77" s="375" t="s">
        <v>4884</v>
      </c>
      <c r="AA77" s="21">
        <v>1802</v>
      </c>
      <c r="AB77" s="22">
        <v>70</v>
      </c>
      <c r="AC77" s="374" t="s">
        <v>4884</v>
      </c>
      <c r="AD77" s="375" t="s">
        <v>4884</v>
      </c>
      <c r="AF77" s="21">
        <v>1805</v>
      </c>
      <c r="AG77" s="22">
        <v>70</v>
      </c>
      <c r="AH77" s="374" t="s">
        <v>4884</v>
      </c>
      <c r="AI77" s="375" t="s">
        <v>4884</v>
      </c>
      <c r="AK77" s="21">
        <v>1808</v>
      </c>
      <c r="AL77" s="22">
        <v>70</v>
      </c>
      <c r="AM77" s="374" t="s">
        <v>7908</v>
      </c>
      <c r="AN77" s="375" t="s">
        <v>893</v>
      </c>
      <c r="AP77" s="23">
        <v>1602</v>
      </c>
      <c r="AQ77" s="22">
        <v>70</v>
      </c>
      <c r="AR77" s="374" t="s">
        <v>7956</v>
      </c>
      <c r="AS77" s="375" t="s">
        <v>943</v>
      </c>
      <c r="AU77" s="23">
        <v>1702</v>
      </c>
      <c r="AV77" s="24">
        <v>70</v>
      </c>
      <c r="AW77" s="374" t="s">
        <v>4884</v>
      </c>
      <c r="AX77" s="375" t="s">
        <v>4884</v>
      </c>
      <c r="AZ77" s="23">
        <v>1705</v>
      </c>
      <c r="BA77" s="22">
        <v>70</v>
      </c>
      <c r="BB77" s="374" t="s">
        <v>4884</v>
      </c>
      <c r="BC77" s="375" t="s">
        <v>4884</v>
      </c>
      <c r="BE77" s="23">
        <v>1708</v>
      </c>
      <c r="BF77" s="22">
        <v>70</v>
      </c>
      <c r="BG77" s="374" t="s">
        <v>4884</v>
      </c>
      <c r="BH77" s="375" t="s">
        <v>4884</v>
      </c>
    </row>
    <row r="78" spans="2:60">
      <c r="B78" s="21">
        <v>1505</v>
      </c>
      <c r="C78" s="22">
        <v>71</v>
      </c>
      <c r="D78" s="374" t="s">
        <v>4884</v>
      </c>
      <c r="E78" s="375" t="s">
        <v>4884</v>
      </c>
      <c r="G78" s="21">
        <v>1508</v>
      </c>
      <c r="H78" s="22">
        <v>71</v>
      </c>
      <c r="I78" s="374" t="s">
        <v>7904</v>
      </c>
      <c r="J78" s="375" t="s">
        <v>955</v>
      </c>
      <c r="L78" s="21">
        <v>1605</v>
      </c>
      <c r="M78" s="22">
        <v>71</v>
      </c>
      <c r="N78" s="374" t="s">
        <v>4884</v>
      </c>
      <c r="O78" s="375" t="s">
        <v>4884</v>
      </c>
      <c r="Q78" s="21">
        <v>1608</v>
      </c>
      <c r="R78" s="22">
        <v>71</v>
      </c>
      <c r="S78" s="374" t="s">
        <v>4884</v>
      </c>
      <c r="T78" s="375" t="s">
        <v>4884</v>
      </c>
      <c r="V78" s="21">
        <v>1502</v>
      </c>
      <c r="W78" s="22">
        <v>71</v>
      </c>
      <c r="X78" s="374" t="s">
        <v>4884</v>
      </c>
      <c r="Y78" s="375" t="s">
        <v>4884</v>
      </c>
      <c r="AA78" s="21">
        <v>1802</v>
      </c>
      <c r="AB78" s="22">
        <v>71</v>
      </c>
      <c r="AC78" s="374" t="s">
        <v>4884</v>
      </c>
      <c r="AD78" s="375" t="s">
        <v>4884</v>
      </c>
      <c r="AF78" s="21">
        <v>1805</v>
      </c>
      <c r="AG78" s="22">
        <v>71</v>
      </c>
      <c r="AH78" s="374" t="s">
        <v>4884</v>
      </c>
      <c r="AI78" s="375" t="s">
        <v>4884</v>
      </c>
      <c r="AK78" s="21">
        <v>1808</v>
      </c>
      <c r="AL78" s="22">
        <v>71</v>
      </c>
      <c r="AM78" s="374" t="s">
        <v>4884</v>
      </c>
      <c r="AN78" s="375" t="s">
        <v>4884</v>
      </c>
      <c r="AP78" s="23">
        <v>1602</v>
      </c>
      <c r="AQ78" s="22">
        <v>71</v>
      </c>
      <c r="AR78" s="374" t="s">
        <v>7891</v>
      </c>
      <c r="AS78" s="375" t="s">
        <v>907</v>
      </c>
      <c r="AU78" s="23">
        <v>1702</v>
      </c>
      <c r="AV78" s="24">
        <v>71</v>
      </c>
      <c r="AW78" s="374" t="s">
        <v>4884</v>
      </c>
      <c r="AX78" s="375" t="s">
        <v>4884</v>
      </c>
      <c r="AZ78" s="23">
        <v>1705</v>
      </c>
      <c r="BA78" s="22">
        <v>71</v>
      </c>
      <c r="BB78" s="374" t="s">
        <v>4884</v>
      </c>
      <c r="BC78" s="375" t="s">
        <v>4884</v>
      </c>
      <c r="BE78" s="23">
        <v>1708</v>
      </c>
      <c r="BF78" s="22">
        <v>71</v>
      </c>
      <c r="BG78" s="374" t="s">
        <v>4884</v>
      </c>
      <c r="BH78" s="375" t="s">
        <v>4884</v>
      </c>
    </row>
    <row r="79" spans="2:60">
      <c r="B79" s="21">
        <v>1505</v>
      </c>
      <c r="C79" s="22">
        <v>72</v>
      </c>
      <c r="D79" s="374" t="s">
        <v>4884</v>
      </c>
      <c r="E79" s="375" t="s">
        <v>4884</v>
      </c>
      <c r="G79" s="21">
        <v>1508</v>
      </c>
      <c r="H79" s="22">
        <v>72</v>
      </c>
      <c r="I79" s="374" t="s">
        <v>7900</v>
      </c>
      <c r="J79" s="375" t="s">
        <v>927</v>
      </c>
      <c r="L79" s="21">
        <v>1605</v>
      </c>
      <c r="M79" s="22">
        <v>72</v>
      </c>
      <c r="N79" s="374" t="s">
        <v>4884</v>
      </c>
      <c r="O79" s="375" t="s">
        <v>4884</v>
      </c>
      <c r="Q79" s="21">
        <v>1608</v>
      </c>
      <c r="R79" s="22">
        <v>72</v>
      </c>
      <c r="S79" s="374" t="s">
        <v>4884</v>
      </c>
      <c r="T79" s="375" t="s">
        <v>4884</v>
      </c>
      <c r="V79" s="21">
        <v>1502</v>
      </c>
      <c r="W79" s="22">
        <v>72</v>
      </c>
      <c r="X79" s="374" t="s">
        <v>4884</v>
      </c>
      <c r="Y79" s="375" t="s">
        <v>4884</v>
      </c>
      <c r="AA79" s="21">
        <v>1802</v>
      </c>
      <c r="AB79" s="22">
        <v>72</v>
      </c>
      <c r="AC79" s="374" t="s">
        <v>4884</v>
      </c>
      <c r="AD79" s="375" t="s">
        <v>4884</v>
      </c>
      <c r="AF79" s="21">
        <v>1805</v>
      </c>
      <c r="AG79" s="22">
        <v>72</v>
      </c>
      <c r="AH79" s="374" t="s">
        <v>7963</v>
      </c>
      <c r="AI79" s="375" t="s">
        <v>835</v>
      </c>
      <c r="AK79" s="21">
        <v>1808</v>
      </c>
      <c r="AL79" s="22">
        <v>72</v>
      </c>
      <c r="AM79" s="374" t="s">
        <v>7915</v>
      </c>
      <c r="AN79" s="375" t="s">
        <v>983</v>
      </c>
      <c r="AP79" s="23">
        <v>1602</v>
      </c>
      <c r="AQ79" s="22">
        <v>72</v>
      </c>
      <c r="AR79" s="374" t="s">
        <v>4884</v>
      </c>
      <c r="AS79" s="375" t="s">
        <v>4884</v>
      </c>
      <c r="AU79" s="23">
        <v>1702</v>
      </c>
      <c r="AV79" s="24">
        <v>72</v>
      </c>
      <c r="AW79" s="374" t="s">
        <v>7957</v>
      </c>
      <c r="AX79" s="375" t="s">
        <v>831</v>
      </c>
      <c r="AZ79" s="23">
        <v>1705</v>
      </c>
      <c r="BA79" s="22">
        <v>72</v>
      </c>
      <c r="BB79" s="374" t="s">
        <v>4884</v>
      </c>
      <c r="BC79" s="375" t="s">
        <v>4884</v>
      </c>
      <c r="BE79" s="23">
        <v>1708</v>
      </c>
      <c r="BF79" s="22">
        <v>72</v>
      </c>
      <c r="BG79" s="374" t="s">
        <v>4884</v>
      </c>
      <c r="BH79" s="375" t="s">
        <v>4884</v>
      </c>
    </row>
    <row r="80" spans="2:60">
      <c r="B80" s="21">
        <v>1505</v>
      </c>
      <c r="C80" s="22">
        <v>73</v>
      </c>
      <c r="D80" s="374" t="s">
        <v>4884</v>
      </c>
      <c r="E80" s="375" t="s">
        <v>4884</v>
      </c>
      <c r="G80" s="21">
        <v>1508</v>
      </c>
      <c r="H80" s="22">
        <v>73</v>
      </c>
      <c r="I80" s="374" t="s">
        <v>4884</v>
      </c>
      <c r="J80" s="375" t="s">
        <v>4884</v>
      </c>
      <c r="L80" s="21">
        <v>1605</v>
      </c>
      <c r="M80" s="22">
        <v>73</v>
      </c>
      <c r="N80" s="374" t="s">
        <v>4884</v>
      </c>
      <c r="O80" s="375" t="s">
        <v>4884</v>
      </c>
      <c r="Q80" s="21">
        <v>1608</v>
      </c>
      <c r="R80" s="22">
        <v>73</v>
      </c>
      <c r="S80" s="374" t="s">
        <v>4884</v>
      </c>
      <c r="T80" s="375" t="s">
        <v>4884</v>
      </c>
      <c r="V80" s="21">
        <v>1502</v>
      </c>
      <c r="W80" s="22">
        <v>73</v>
      </c>
      <c r="X80" s="374" t="s">
        <v>4884</v>
      </c>
      <c r="Y80" s="375" t="s">
        <v>4884</v>
      </c>
      <c r="AA80" s="21">
        <v>1802</v>
      </c>
      <c r="AB80" s="22">
        <v>73</v>
      </c>
      <c r="AC80" s="374" t="s">
        <v>4884</v>
      </c>
      <c r="AD80" s="375" t="s">
        <v>4884</v>
      </c>
      <c r="AF80" s="21">
        <v>1805</v>
      </c>
      <c r="AG80" s="22">
        <v>73</v>
      </c>
      <c r="AH80" s="374" t="s">
        <v>7966</v>
      </c>
      <c r="AI80" s="375" t="s">
        <v>799</v>
      </c>
      <c r="AK80" s="21">
        <v>1808</v>
      </c>
      <c r="AL80" s="22">
        <v>73</v>
      </c>
      <c r="AM80" s="374" t="s">
        <v>7967</v>
      </c>
      <c r="AN80" s="375" t="s">
        <v>805</v>
      </c>
      <c r="AP80" s="23">
        <v>1602</v>
      </c>
      <c r="AQ80" s="22">
        <v>73</v>
      </c>
      <c r="AR80" s="374" t="s">
        <v>7942</v>
      </c>
      <c r="AS80" s="375" t="s">
        <v>891</v>
      </c>
      <c r="AU80" s="23">
        <v>1702</v>
      </c>
      <c r="AV80" s="24">
        <v>73</v>
      </c>
      <c r="AW80" s="374" t="s">
        <v>7949</v>
      </c>
      <c r="AX80" s="375" t="s">
        <v>795</v>
      </c>
      <c r="AZ80" s="23">
        <v>1705</v>
      </c>
      <c r="BA80" s="22">
        <v>73</v>
      </c>
      <c r="BB80" s="374" t="s">
        <v>4884</v>
      </c>
      <c r="BC80" s="375" t="s">
        <v>4884</v>
      </c>
      <c r="BE80" s="23">
        <v>1708</v>
      </c>
      <c r="BF80" s="22">
        <v>73</v>
      </c>
      <c r="BG80" s="374" t="s">
        <v>4884</v>
      </c>
      <c r="BH80" s="375" t="s">
        <v>4884</v>
      </c>
    </row>
    <row r="81" spans="2:60">
      <c r="B81" s="21">
        <v>1505</v>
      </c>
      <c r="C81" s="22">
        <v>74</v>
      </c>
      <c r="D81" s="374" t="s">
        <v>7967</v>
      </c>
      <c r="E81" s="375" t="s">
        <v>805</v>
      </c>
      <c r="G81" s="21">
        <v>1508</v>
      </c>
      <c r="H81" s="22">
        <v>74</v>
      </c>
      <c r="I81" s="374" t="s">
        <v>7890</v>
      </c>
      <c r="J81" s="375" t="s">
        <v>895</v>
      </c>
      <c r="L81" s="21">
        <v>1605</v>
      </c>
      <c r="M81" s="22">
        <v>74</v>
      </c>
      <c r="N81" s="374" t="s">
        <v>4884</v>
      </c>
      <c r="O81" s="375" t="s">
        <v>4884</v>
      </c>
      <c r="Q81" s="21">
        <v>1608</v>
      </c>
      <c r="R81" s="22">
        <v>74</v>
      </c>
      <c r="S81" s="374" t="s">
        <v>4884</v>
      </c>
      <c r="T81" s="375" t="s">
        <v>4884</v>
      </c>
      <c r="V81" s="21">
        <v>1502</v>
      </c>
      <c r="W81" s="22">
        <v>74</v>
      </c>
      <c r="X81" s="374" t="s">
        <v>4884</v>
      </c>
      <c r="Y81" s="375" t="s">
        <v>4884</v>
      </c>
      <c r="AA81" s="21">
        <v>1802</v>
      </c>
      <c r="AB81" s="22">
        <v>74</v>
      </c>
      <c r="AC81" s="374" t="s">
        <v>4884</v>
      </c>
      <c r="AD81" s="375" t="s">
        <v>4884</v>
      </c>
      <c r="AF81" s="21">
        <v>1805</v>
      </c>
      <c r="AG81" s="22">
        <v>74</v>
      </c>
      <c r="AH81" s="374" t="s">
        <v>7968</v>
      </c>
      <c r="AI81" s="375" t="s">
        <v>807</v>
      </c>
      <c r="AK81" s="21">
        <v>1808</v>
      </c>
      <c r="AL81" s="22">
        <v>74</v>
      </c>
      <c r="AM81" s="374" t="s">
        <v>4884</v>
      </c>
      <c r="AN81" s="375" t="s">
        <v>4884</v>
      </c>
      <c r="AP81" s="23">
        <v>1602</v>
      </c>
      <c r="AQ81" s="22">
        <v>74</v>
      </c>
      <c r="AR81" s="374" t="s">
        <v>7895</v>
      </c>
      <c r="AS81" s="375" t="s">
        <v>913</v>
      </c>
      <c r="AU81" s="23">
        <v>1702</v>
      </c>
      <c r="AV81" s="24">
        <v>74</v>
      </c>
      <c r="AW81" s="374" t="s">
        <v>7969</v>
      </c>
      <c r="AX81" s="375" t="s">
        <v>819</v>
      </c>
      <c r="AZ81" s="23">
        <v>1705</v>
      </c>
      <c r="BA81" s="22">
        <v>74</v>
      </c>
      <c r="BB81" s="374" t="s">
        <v>4884</v>
      </c>
      <c r="BC81" s="375" t="s">
        <v>4884</v>
      </c>
      <c r="BE81" s="23">
        <v>1708</v>
      </c>
      <c r="BF81" s="22">
        <v>74</v>
      </c>
      <c r="BG81" s="374" t="s">
        <v>4884</v>
      </c>
      <c r="BH81" s="375" t="s">
        <v>4884</v>
      </c>
    </row>
    <row r="82" spans="2:60">
      <c r="B82" s="21">
        <v>1505</v>
      </c>
      <c r="C82" s="22">
        <v>75</v>
      </c>
      <c r="D82" s="374" t="s">
        <v>4884</v>
      </c>
      <c r="E82" s="375" t="s">
        <v>4884</v>
      </c>
      <c r="G82" s="21">
        <v>1508</v>
      </c>
      <c r="H82" s="22">
        <v>75</v>
      </c>
      <c r="I82" s="374" t="s">
        <v>4884</v>
      </c>
      <c r="J82" s="375" t="s">
        <v>4884</v>
      </c>
      <c r="L82" s="21">
        <v>1605</v>
      </c>
      <c r="M82" s="22">
        <v>75</v>
      </c>
      <c r="N82" s="374" t="s">
        <v>4884</v>
      </c>
      <c r="O82" s="375" t="s">
        <v>4884</v>
      </c>
      <c r="Q82" s="21">
        <v>1608</v>
      </c>
      <c r="R82" s="22">
        <v>75</v>
      </c>
      <c r="S82" s="374" t="s">
        <v>4884</v>
      </c>
      <c r="T82" s="375" t="s">
        <v>4884</v>
      </c>
      <c r="V82" s="21">
        <v>1502</v>
      </c>
      <c r="W82" s="22">
        <v>75</v>
      </c>
      <c r="X82" s="374" t="s">
        <v>4884</v>
      </c>
      <c r="Y82" s="375" t="s">
        <v>4884</v>
      </c>
      <c r="AA82" s="21">
        <v>1802</v>
      </c>
      <c r="AB82" s="22">
        <v>75</v>
      </c>
      <c r="AC82" s="374" t="s">
        <v>4884</v>
      </c>
      <c r="AD82" s="375" t="s">
        <v>4884</v>
      </c>
      <c r="AF82" s="21">
        <v>1805</v>
      </c>
      <c r="AG82" s="22">
        <v>75</v>
      </c>
      <c r="AH82" s="374" t="s">
        <v>4884</v>
      </c>
      <c r="AI82" s="375" t="s">
        <v>4884</v>
      </c>
      <c r="AK82" s="21">
        <v>1808</v>
      </c>
      <c r="AL82" s="22">
        <v>75</v>
      </c>
      <c r="AM82" s="374" t="s">
        <v>4884</v>
      </c>
      <c r="AN82" s="375" t="s">
        <v>4884</v>
      </c>
      <c r="AP82" s="23">
        <v>1602</v>
      </c>
      <c r="AQ82" s="22">
        <v>75</v>
      </c>
      <c r="AR82" s="374" t="s">
        <v>4884</v>
      </c>
      <c r="AS82" s="375" t="s">
        <v>4884</v>
      </c>
      <c r="AU82" s="23">
        <v>1702</v>
      </c>
      <c r="AV82" s="24">
        <v>75</v>
      </c>
      <c r="AW82" s="374" t="s">
        <v>4884</v>
      </c>
      <c r="AX82" s="375" t="s">
        <v>4884</v>
      </c>
      <c r="AZ82" s="23">
        <v>1705</v>
      </c>
      <c r="BA82" s="22">
        <v>75</v>
      </c>
      <c r="BB82" s="374" t="s">
        <v>4884</v>
      </c>
      <c r="BC82" s="375" t="s">
        <v>4884</v>
      </c>
      <c r="BE82" s="23">
        <v>1708</v>
      </c>
      <c r="BF82" s="22">
        <v>75</v>
      </c>
      <c r="BG82" s="374" t="s">
        <v>4884</v>
      </c>
      <c r="BH82" s="375" t="s">
        <v>4884</v>
      </c>
    </row>
    <row r="83" spans="2:60">
      <c r="B83" s="21">
        <v>1505</v>
      </c>
      <c r="C83" s="22">
        <v>76</v>
      </c>
      <c r="D83" s="374" t="s">
        <v>4884</v>
      </c>
      <c r="E83" s="375" t="s">
        <v>4884</v>
      </c>
      <c r="G83" s="21">
        <v>1508</v>
      </c>
      <c r="H83" s="22">
        <v>76</v>
      </c>
      <c r="I83" s="374" t="s">
        <v>4884</v>
      </c>
      <c r="J83" s="375" t="s">
        <v>4884</v>
      </c>
      <c r="L83" s="21">
        <v>1605</v>
      </c>
      <c r="M83" s="22">
        <v>76</v>
      </c>
      <c r="N83" s="374" t="s">
        <v>4884</v>
      </c>
      <c r="O83" s="375" t="s">
        <v>4884</v>
      </c>
      <c r="Q83" s="21">
        <v>1608</v>
      </c>
      <c r="R83" s="22">
        <v>76</v>
      </c>
      <c r="S83" s="374" t="s">
        <v>4884</v>
      </c>
      <c r="T83" s="375" t="s">
        <v>4884</v>
      </c>
      <c r="V83" s="21">
        <v>1502</v>
      </c>
      <c r="W83" s="22">
        <v>76</v>
      </c>
      <c r="X83" s="374" t="s">
        <v>4884</v>
      </c>
      <c r="Y83" s="375" t="s">
        <v>4884</v>
      </c>
      <c r="AA83" s="21">
        <v>1802</v>
      </c>
      <c r="AB83" s="22">
        <v>76</v>
      </c>
      <c r="AC83" s="374" t="s">
        <v>4884</v>
      </c>
      <c r="AD83" s="375" t="s">
        <v>4884</v>
      </c>
      <c r="AF83" s="21">
        <v>1805</v>
      </c>
      <c r="AG83" s="22">
        <v>76</v>
      </c>
      <c r="AH83" s="374" t="s">
        <v>4884</v>
      </c>
      <c r="AI83" s="375" t="s">
        <v>4884</v>
      </c>
      <c r="AK83" s="21">
        <v>1808</v>
      </c>
      <c r="AL83" s="22">
        <v>76</v>
      </c>
      <c r="AM83" s="374" t="s">
        <v>4884</v>
      </c>
      <c r="AN83" s="375" t="s">
        <v>4884</v>
      </c>
      <c r="AP83" s="23">
        <v>1602</v>
      </c>
      <c r="AQ83" s="22">
        <v>76</v>
      </c>
      <c r="AR83" s="374" t="s">
        <v>4884</v>
      </c>
      <c r="AS83" s="375" t="s">
        <v>4884</v>
      </c>
      <c r="AU83" s="23">
        <v>1702</v>
      </c>
      <c r="AV83" s="24">
        <v>76</v>
      </c>
      <c r="AW83" s="374" t="s">
        <v>4884</v>
      </c>
      <c r="AX83" s="375" t="s">
        <v>4884</v>
      </c>
      <c r="AZ83" s="23">
        <v>1705</v>
      </c>
      <c r="BA83" s="22">
        <v>76</v>
      </c>
      <c r="BB83" s="374" t="s">
        <v>4884</v>
      </c>
      <c r="BC83" s="375" t="s">
        <v>4884</v>
      </c>
      <c r="BE83" s="23">
        <v>1708</v>
      </c>
      <c r="BF83" s="22">
        <v>76</v>
      </c>
      <c r="BG83" s="374" t="s">
        <v>4884</v>
      </c>
      <c r="BH83" s="375" t="s">
        <v>4884</v>
      </c>
    </row>
    <row r="84" spans="2:60">
      <c r="B84" s="21">
        <v>1505</v>
      </c>
      <c r="C84" s="22">
        <v>77</v>
      </c>
      <c r="D84" s="374" t="s">
        <v>7952</v>
      </c>
      <c r="E84" s="375" t="s">
        <v>953</v>
      </c>
      <c r="G84" s="21">
        <v>1508</v>
      </c>
      <c r="H84" s="22">
        <v>77</v>
      </c>
      <c r="I84" s="374" t="s">
        <v>4884</v>
      </c>
      <c r="J84" s="375" t="s">
        <v>4884</v>
      </c>
      <c r="L84" s="21">
        <v>1605</v>
      </c>
      <c r="M84" s="22">
        <v>77</v>
      </c>
      <c r="N84" s="374" t="s">
        <v>4884</v>
      </c>
      <c r="O84" s="375" t="s">
        <v>4884</v>
      </c>
      <c r="Q84" s="21">
        <v>1608</v>
      </c>
      <c r="R84" s="22">
        <v>77</v>
      </c>
      <c r="S84" s="374" t="s">
        <v>4884</v>
      </c>
      <c r="T84" s="375" t="s">
        <v>4884</v>
      </c>
      <c r="V84" s="21">
        <v>1502</v>
      </c>
      <c r="W84" s="22">
        <v>77</v>
      </c>
      <c r="X84" s="374" t="s">
        <v>4884</v>
      </c>
      <c r="Y84" s="375" t="s">
        <v>4884</v>
      </c>
      <c r="AA84" s="21">
        <v>1802</v>
      </c>
      <c r="AB84" s="22">
        <v>77</v>
      </c>
      <c r="AC84" s="374" t="s">
        <v>4884</v>
      </c>
      <c r="AD84" s="375" t="s">
        <v>4884</v>
      </c>
      <c r="AF84" s="21">
        <v>1805</v>
      </c>
      <c r="AG84" s="22">
        <v>77</v>
      </c>
      <c r="AH84" s="374" t="s">
        <v>4884</v>
      </c>
      <c r="AI84" s="375" t="s">
        <v>4884</v>
      </c>
      <c r="AK84" s="21">
        <v>1808</v>
      </c>
      <c r="AL84" s="22">
        <v>77</v>
      </c>
      <c r="AM84" s="374" t="s">
        <v>4884</v>
      </c>
      <c r="AN84" s="375" t="s">
        <v>4884</v>
      </c>
      <c r="AP84" s="23">
        <v>1602</v>
      </c>
      <c r="AQ84" s="22">
        <v>77</v>
      </c>
      <c r="AR84" s="374" t="s">
        <v>4884</v>
      </c>
      <c r="AS84" s="375" t="s">
        <v>4884</v>
      </c>
      <c r="AU84" s="23">
        <v>1702</v>
      </c>
      <c r="AV84" s="24">
        <v>77</v>
      </c>
      <c r="AW84" s="374" t="s">
        <v>4884</v>
      </c>
      <c r="AX84" s="375" t="s">
        <v>4884</v>
      </c>
      <c r="AZ84" s="23">
        <v>1705</v>
      </c>
      <c r="BA84" s="22">
        <v>77</v>
      </c>
      <c r="BB84" s="374" t="s">
        <v>4884</v>
      </c>
      <c r="BC84" s="375" t="s">
        <v>4884</v>
      </c>
      <c r="BE84" s="23">
        <v>1708</v>
      </c>
      <c r="BF84" s="22">
        <v>77</v>
      </c>
      <c r="BG84" s="374" t="s">
        <v>4884</v>
      </c>
      <c r="BH84" s="375" t="s">
        <v>4884</v>
      </c>
    </row>
    <row r="85" spans="2:60">
      <c r="B85" s="21">
        <v>1505</v>
      </c>
      <c r="C85" s="22">
        <v>78</v>
      </c>
      <c r="D85" s="374" t="s">
        <v>7970</v>
      </c>
      <c r="E85" s="375" t="s">
        <v>889</v>
      </c>
      <c r="G85" s="21">
        <v>1508</v>
      </c>
      <c r="H85" s="22">
        <v>78</v>
      </c>
      <c r="I85" s="374" t="s">
        <v>4884</v>
      </c>
      <c r="J85" s="375" t="s">
        <v>4884</v>
      </c>
      <c r="L85" s="21">
        <v>1605</v>
      </c>
      <c r="M85" s="22">
        <v>78</v>
      </c>
      <c r="N85" s="374" t="s">
        <v>4884</v>
      </c>
      <c r="O85" s="375" t="s">
        <v>4884</v>
      </c>
      <c r="Q85" s="21">
        <v>1608</v>
      </c>
      <c r="R85" s="22">
        <v>78</v>
      </c>
      <c r="S85" s="374" t="s">
        <v>4884</v>
      </c>
      <c r="T85" s="375" t="s">
        <v>4884</v>
      </c>
      <c r="V85" s="21">
        <v>1502</v>
      </c>
      <c r="W85" s="22">
        <v>78</v>
      </c>
      <c r="X85" s="374" t="s">
        <v>4884</v>
      </c>
      <c r="Y85" s="375" t="s">
        <v>4884</v>
      </c>
      <c r="AA85" s="21">
        <v>1802</v>
      </c>
      <c r="AB85" s="22">
        <v>78</v>
      </c>
      <c r="AC85" s="374" t="s">
        <v>4884</v>
      </c>
      <c r="AD85" s="375" t="s">
        <v>4884</v>
      </c>
      <c r="AF85" s="21">
        <v>1805</v>
      </c>
      <c r="AG85" s="22">
        <v>78</v>
      </c>
      <c r="AH85" s="374" t="s">
        <v>7969</v>
      </c>
      <c r="AI85" s="375" t="s">
        <v>819</v>
      </c>
      <c r="AK85" s="21">
        <v>1808</v>
      </c>
      <c r="AL85" s="22">
        <v>78</v>
      </c>
      <c r="AM85" s="374" t="s">
        <v>7971</v>
      </c>
      <c r="AN85" s="375" t="s">
        <v>931</v>
      </c>
      <c r="AP85" s="23">
        <v>1602</v>
      </c>
      <c r="AQ85" s="22">
        <v>78</v>
      </c>
      <c r="AR85" s="374" t="s">
        <v>7941</v>
      </c>
      <c r="AS85" s="375" t="s">
        <v>945</v>
      </c>
      <c r="AU85" s="23">
        <v>1702</v>
      </c>
      <c r="AV85" s="24">
        <v>78</v>
      </c>
      <c r="AW85" s="374" t="s">
        <v>4884</v>
      </c>
      <c r="AX85" s="375" t="s">
        <v>4884</v>
      </c>
      <c r="AZ85" s="23">
        <v>1705</v>
      </c>
      <c r="BA85" s="22">
        <v>78</v>
      </c>
      <c r="BB85" s="374" t="s">
        <v>4884</v>
      </c>
      <c r="BC85" s="375" t="s">
        <v>4884</v>
      </c>
      <c r="BE85" s="23">
        <v>1708</v>
      </c>
      <c r="BF85" s="22">
        <v>78</v>
      </c>
      <c r="BG85" s="374" t="s">
        <v>4884</v>
      </c>
      <c r="BH85" s="375" t="s">
        <v>4884</v>
      </c>
    </row>
    <row r="86" spans="2:60">
      <c r="B86" s="21">
        <v>1505</v>
      </c>
      <c r="C86" s="22">
        <v>79</v>
      </c>
      <c r="D86" s="374" t="s">
        <v>7966</v>
      </c>
      <c r="E86" s="375" t="s">
        <v>799</v>
      </c>
      <c r="G86" s="21">
        <v>1508</v>
      </c>
      <c r="H86" s="22">
        <v>79</v>
      </c>
      <c r="I86" s="374" t="s">
        <v>4884</v>
      </c>
      <c r="J86" s="375" t="s">
        <v>4884</v>
      </c>
      <c r="L86" s="21">
        <v>1605</v>
      </c>
      <c r="M86" s="22">
        <v>79</v>
      </c>
      <c r="N86" s="374" t="s">
        <v>4884</v>
      </c>
      <c r="O86" s="375" t="s">
        <v>4884</v>
      </c>
      <c r="Q86" s="21">
        <v>1608</v>
      </c>
      <c r="R86" s="22">
        <v>79</v>
      </c>
      <c r="S86" s="374" t="s">
        <v>4884</v>
      </c>
      <c r="T86" s="375" t="s">
        <v>4884</v>
      </c>
      <c r="V86" s="21">
        <v>1502</v>
      </c>
      <c r="W86" s="22">
        <v>79</v>
      </c>
      <c r="X86" s="374" t="s">
        <v>4884</v>
      </c>
      <c r="Y86" s="375" t="s">
        <v>4884</v>
      </c>
      <c r="AA86" s="21">
        <v>1802</v>
      </c>
      <c r="AB86" s="22">
        <v>79</v>
      </c>
      <c r="AC86" s="374" t="s">
        <v>4884</v>
      </c>
      <c r="AD86" s="375" t="s">
        <v>4884</v>
      </c>
      <c r="AF86" s="21">
        <v>1805</v>
      </c>
      <c r="AG86" s="22">
        <v>79</v>
      </c>
      <c r="AH86" s="374" t="s">
        <v>4884</v>
      </c>
      <c r="AI86" s="375" t="s">
        <v>4884</v>
      </c>
      <c r="AK86" s="21">
        <v>1808</v>
      </c>
      <c r="AL86" s="22">
        <v>79</v>
      </c>
      <c r="AM86" s="374" t="s">
        <v>7938</v>
      </c>
      <c r="AN86" s="375" t="s">
        <v>925</v>
      </c>
      <c r="AP86" s="23">
        <v>1602</v>
      </c>
      <c r="AQ86" s="22">
        <v>79</v>
      </c>
      <c r="AR86" s="374" t="s">
        <v>4884</v>
      </c>
      <c r="AS86" s="375" t="s">
        <v>4884</v>
      </c>
      <c r="AU86" s="23">
        <v>1702</v>
      </c>
      <c r="AV86" s="24">
        <v>79</v>
      </c>
      <c r="AW86" s="374" t="s">
        <v>7968</v>
      </c>
      <c r="AX86" s="375" t="s">
        <v>807</v>
      </c>
      <c r="AZ86" s="23">
        <v>1705</v>
      </c>
      <c r="BA86" s="22">
        <v>79</v>
      </c>
      <c r="BB86" s="374" t="s">
        <v>4884</v>
      </c>
      <c r="BC86" s="375" t="s">
        <v>4884</v>
      </c>
      <c r="BE86" s="23">
        <v>1708</v>
      </c>
      <c r="BF86" s="22">
        <v>79</v>
      </c>
      <c r="BG86" s="374" t="s">
        <v>4884</v>
      </c>
      <c r="BH86" s="375" t="s">
        <v>4884</v>
      </c>
    </row>
    <row r="87" spans="2:60" ht="15" thickBot="1">
      <c r="B87" s="21">
        <v>1505</v>
      </c>
      <c r="C87" s="22">
        <v>80</v>
      </c>
      <c r="D87" s="378" t="s">
        <v>7876</v>
      </c>
      <c r="E87" s="375" t="s">
        <v>841</v>
      </c>
      <c r="G87" s="25">
        <v>1508</v>
      </c>
      <c r="H87" s="26">
        <v>80</v>
      </c>
      <c r="I87" s="378" t="s">
        <v>4884</v>
      </c>
      <c r="J87" s="379" t="s">
        <v>4884</v>
      </c>
      <c r="L87" s="25">
        <v>1605</v>
      </c>
      <c r="M87" s="26">
        <v>80</v>
      </c>
      <c r="N87" s="378" t="s">
        <v>4884</v>
      </c>
      <c r="O87" s="375" t="s">
        <v>4884</v>
      </c>
      <c r="Q87" s="25">
        <v>1608</v>
      </c>
      <c r="R87" s="26">
        <v>80</v>
      </c>
      <c r="S87" s="378" t="s">
        <v>4884</v>
      </c>
      <c r="T87" s="375" t="s">
        <v>4884</v>
      </c>
      <c r="V87" s="25">
        <v>1502</v>
      </c>
      <c r="W87" s="26">
        <v>80</v>
      </c>
      <c r="X87" s="378" t="s">
        <v>4884</v>
      </c>
      <c r="Y87" s="379" t="s">
        <v>4884</v>
      </c>
      <c r="AA87" s="25">
        <v>1802</v>
      </c>
      <c r="AB87" s="26">
        <v>80</v>
      </c>
      <c r="AC87" s="378" t="s">
        <v>4884</v>
      </c>
      <c r="AD87" s="379" t="s">
        <v>4884</v>
      </c>
      <c r="AF87" s="25">
        <v>1805</v>
      </c>
      <c r="AG87" s="26">
        <v>80</v>
      </c>
      <c r="AH87" s="378" t="s">
        <v>4884</v>
      </c>
      <c r="AI87" s="379" t="s">
        <v>4884</v>
      </c>
      <c r="AK87" s="25">
        <v>1808</v>
      </c>
      <c r="AL87" s="26">
        <v>80</v>
      </c>
      <c r="AM87" s="378" t="s">
        <v>7972</v>
      </c>
      <c r="AN87" s="379" t="s">
        <v>917</v>
      </c>
      <c r="AP87" s="27">
        <v>1602</v>
      </c>
      <c r="AQ87" s="26">
        <v>80</v>
      </c>
      <c r="AR87" s="378" t="s">
        <v>7938</v>
      </c>
      <c r="AS87" s="379" t="s">
        <v>925</v>
      </c>
      <c r="AU87" s="27">
        <v>1702</v>
      </c>
      <c r="AV87" s="28">
        <v>80</v>
      </c>
      <c r="AW87" s="378" t="s">
        <v>7958</v>
      </c>
      <c r="AX87" s="379" t="s">
        <v>817</v>
      </c>
      <c r="AZ87" s="27">
        <v>1705</v>
      </c>
      <c r="BA87" s="26">
        <v>80</v>
      </c>
      <c r="BB87" s="378" t="s">
        <v>4884</v>
      </c>
      <c r="BC87" s="379" t="s">
        <v>4884</v>
      </c>
      <c r="BE87" s="27">
        <v>1708</v>
      </c>
      <c r="BF87" s="26">
        <v>80</v>
      </c>
      <c r="BG87" s="378" t="s">
        <v>4884</v>
      </c>
      <c r="BH87" s="379" t="s">
        <v>4884</v>
      </c>
    </row>
    <row r="88" spans="2:60">
      <c r="B88" s="12">
        <v>1505</v>
      </c>
      <c r="C88" s="13">
        <v>81</v>
      </c>
      <c r="D88" s="376" t="s">
        <v>7971</v>
      </c>
      <c r="E88" s="377" t="s">
        <v>931</v>
      </c>
      <c r="G88" s="12">
        <v>1508</v>
      </c>
      <c r="H88" s="13">
        <v>81</v>
      </c>
      <c r="I88" s="376" t="s">
        <v>7958</v>
      </c>
      <c r="J88" s="377" t="s">
        <v>817</v>
      </c>
      <c r="L88" s="12">
        <v>1605</v>
      </c>
      <c r="M88" s="13">
        <v>81</v>
      </c>
      <c r="N88" s="376" t="s">
        <v>4884</v>
      </c>
      <c r="O88" s="377" t="s">
        <v>4884</v>
      </c>
      <c r="Q88" s="12">
        <v>1608</v>
      </c>
      <c r="R88" s="13">
        <v>81</v>
      </c>
      <c r="S88" s="376" t="s">
        <v>4884</v>
      </c>
      <c r="T88" s="377" t="s">
        <v>4884</v>
      </c>
      <c r="V88" s="12">
        <v>1502</v>
      </c>
      <c r="W88" s="13">
        <v>81</v>
      </c>
      <c r="X88" s="376" t="s">
        <v>4884</v>
      </c>
      <c r="Y88" s="377" t="s">
        <v>4884</v>
      </c>
      <c r="AA88" s="12">
        <v>1802</v>
      </c>
      <c r="AB88" s="13">
        <v>81</v>
      </c>
      <c r="AC88" s="376" t="s">
        <v>4884</v>
      </c>
      <c r="AD88" s="377" t="s">
        <v>4884</v>
      </c>
      <c r="AF88" s="12">
        <v>1805</v>
      </c>
      <c r="AG88" s="13">
        <v>81</v>
      </c>
      <c r="AH88" s="376" t="s">
        <v>4884</v>
      </c>
      <c r="AI88" s="377" t="s">
        <v>4884</v>
      </c>
      <c r="AK88" s="12">
        <v>1808</v>
      </c>
      <c r="AL88" s="13">
        <v>81</v>
      </c>
      <c r="AM88" s="376" t="s">
        <v>7970</v>
      </c>
      <c r="AN88" s="377" t="s">
        <v>889</v>
      </c>
      <c r="AP88" s="18">
        <v>1602</v>
      </c>
      <c r="AQ88" s="13">
        <v>81</v>
      </c>
      <c r="AR88" s="376" t="s">
        <v>7973</v>
      </c>
      <c r="AS88" s="377" t="s">
        <v>937</v>
      </c>
      <c r="AU88" s="23">
        <v>1702</v>
      </c>
      <c r="AV88" s="24">
        <v>81</v>
      </c>
      <c r="AW88" s="376" t="s">
        <v>4884</v>
      </c>
      <c r="AX88" s="377" t="s">
        <v>4884</v>
      </c>
      <c r="AZ88" s="18">
        <v>1705</v>
      </c>
      <c r="BA88" s="13">
        <v>81</v>
      </c>
      <c r="BB88" s="376" t="s">
        <v>4884</v>
      </c>
      <c r="BC88" s="377" t="s">
        <v>4884</v>
      </c>
      <c r="BE88" s="18">
        <v>1708</v>
      </c>
      <c r="BF88" s="13">
        <v>81</v>
      </c>
      <c r="BG88" s="376" t="s">
        <v>4884</v>
      </c>
      <c r="BH88" s="377" t="s">
        <v>4884</v>
      </c>
    </row>
    <row r="89" spans="2:60">
      <c r="B89" s="21">
        <v>1505</v>
      </c>
      <c r="C89" s="22">
        <v>82</v>
      </c>
      <c r="D89" s="374" t="s">
        <v>7974</v>
      </c>
      <c r="E89" s="375" t="s">
        <v>929</v>
      </c>
      <c r="G89" s="21">
        <v>1508</v>
      </c>
      <c r="H89" s="22">
        <v>82</v>
      </c>
      <c r="I89" s="374" t="s">
        <v>7975</v>
      </c>
      <c r="J89" s="375" t="s">
        <v>821</v>
      </c>
      <c r="L89" s="21">
        <v>1605</v>
      </c>
      <c r="M89" s="22">
        <v>82</v>
      </c>
      <c r="N89" s="374" t="s">
        <v>4884</v>
      </c>
      <c r="O89" s="375" t="s">
        <v>4884</v>
      </c>
      <c r="Q89" s="21">
        <v>1608</v>
      </c>
      <c r="R89" s="22">
        <v>82</v>
      </c>
      <c r="S89" s="374" t="s">
        <v>4884</v>
      </c>
      <c r="T89" s="375" t="s">
        <v>4884</v>
      </c>
      <c r="V89" s="21">
        <v>1502</v>
      </c>
      <c r="W89" s="22">
        <v>82</v>
      </c>
      <c r="X89" s="374" t="s">
        <v>4884</v>
      </c>
      <c r="Y89" s="375" t="s">
        <v>4884</v>
      </c>
      <c r="AA89" s="21">
        <v>1802</v>
      </c>
      <c r="AB89" s="22">
        <v>82</v>
      </c>
      <c r="AC89" s="374" t="s">
        <v>4884</v>
      </c>
      <c r="AD89" s="375" t="s">
        <v>4884</v>
      </c>
      <c r="AF89" s="21">
        <v>1805</v>
      </c>
      <c r="AG89" s="22">
        <v>82</v>
      </c>
      <c r="AH89" s="374" t="s">
        <v>4884</v>
      </c>
      <c r="AI89" s="375" t="s">
        <v>4884</v>
      </c>
      <c r="AK89" s="21">
        <v>1808</v>
      </c>
      <c r="AL89" s="22">
        <v>82</v>
      </c>
      <c r="AM89" s="374" t="s">
        <v>7911</v>
      </c>
      <c r="AN89" s="375" t="s">
        <v>905</v>
      </c>
      <c r="AP89" s="23">
        <v>1602</v>
      </c>
      <c r="AQ89" s="22">
        <v>82</v>
      </c>
      <c r="AR89" s="374" t="s">
        <v>7853</v>
      </c>
      <c r="AS89" s="375" t="s">
        <v>897</v>
      </c>
      <c r="AU89" s="23">
        <v>1702</v>
      </c>
      <c r="AV89" s="24">
        <v>82</v>
      </c>
      <c r="AW89" s="374" t="s">
        <v>4884</v>
      </c>
      <c r="AX89" s="375" t="s">
        <v>4884</v>
      </c>
      <c r="AZ89" s="23">
        <v>1705</v>
      </c>
      <c r="BA89" s="22">
        <v>82</v>
      </c>
      <c r="BB89" s="374" t="s">
        <v>4884</v>
      </c>
      <c r="BC89" s="375" t="s">
        <v>4884</v>
      </c>
      <c r="BE89" s="23">
        <v>1708</v>
      </c>
      <c r="BF89" s="22">
        <v>82</v>
      </c>
      <c r="BG89" s="374" t="s">
        <v>4884</v>
      </c>
      <c r="BH89" s="375" t="s">
        <v>4884</v>
      </c>
    </row>
    <row r="90" spans="2:60">
      <c r="B90" s="21">
        <v>1505</v>
      </c>
      <c r="C90" s="22">
        <v>83</v>
      </c>
      <c r="D90" s="374" t="s">
        <v>7972</v>
      </c>
      <c r="E90" s="375" t="s">
        <v>917</v>
      </c>
      <c r="G90" s="21">
        <v>1508</v>
      </c>
      <c r="H90" s="22">
        <v>83</v>
      </c>
      <c r="I90" s="374" t="s">
        <v>7969</v>
      </c>
      <c r="J90" s="375" t="s">
        <v>819</v>
      </c>
      <c r="L90" s="21">
        <v>1605</v>
      </c>
      <c r="M90" s="22">
        <v>83</v>
      </c>
      <c r="N90" s="374" t="s">
        <v>4884</v>
      </c>
      <c r="O90" s="375" t="s">
        <v>4884</v>
      </c>
      <c r="Q90" s="21">
        <v>1608</v>
      </c>
      <c r="R90" s="22">
        <v>83</v>
      </c>
      <c r="S90" s="374" t="s">
        <v>4884</v>
      </c>
      <c r="T90" s="375" t="s">
        <v>4884</v>
      </c>
      <c r="V90" s="21">
        <v>1502</v>
      </c>
      <c r="W90" s="22">
        <v>83</v>
      </c>
      <c r="X90" s="374" t="s">
        <v>4884</v>
      </c>
      <c r="Y90" s="375" t="s">
        <v>4884</v>
      </c>
      <c r="AA90" s="21">
        <v>1802</v>
      </c>
      <c r="AB90" s="22">
        <v>83</v>
      </c>
      <c r="AC90" s="374" t="s">
        <v>4884</v>
      </c>
      <c r="AD90" s="375" t="s">
        <v>4884</v>
      </c>
      <c r="AF90" s="21">
        <v>1805</v>
      </c>
      <c r="AG90" s="22">
        <v>83</v>
      </c>
      <c r="AH90" s="374" t="s">
        <v>4884</v>
      </c>
      <c r="AI90" s="375" t="s">
        <v>4884</v>
      </c>
      <c r="AK90" s="21">
        <v>1808</v>
      </c>
      <c r="AL90" s="22">
        <v>83</v>
      </c>
      <c r="AM90" s="374" t="s">
        <v>7866</v>
      </c>
      <c r="AN90" s="375" t="s">
        <v>877</v>
      </c>
      <c r="AP90" s="23">
        <v>1602</v>
      </c>
      <c r="AQ90" s="22">
        <v>83</v>
      </c>
      <c r="AR90" s="374" t="s">
        <v>7955</v>
      </c>
      <c r="AS90" s="375" t="s">
        <v>899</v>
      </c>
      <c r="AU90" s="23">
        <v>1702</v>
      </c>
      <c r="AV90" s="22">
        <v>83</v>
      </c>
      <c r="AW90" s="374" t="s">
        <v>7961</v>
      </c>
      <c r="AX90" s="375" t="s">
        <v>797</v>
      </c>
      <c r="AZ90" s="23">
        <v>1705</v>
      </c>
      <c r="BA90" s="22">
        <v>83</v>
      </c>
      <c r="BB90" s="374" t="s">
        <v>4884</v>
      </c>
      <c r="BC90" s="375" t="s">
        <v>4884</v>
      </c>
      <c r="BE90" s="23">
        <v>1708</v>
      </c>
      <c r="BF90" s="22">
        <v>83</v>
      </c>
      <c r="BG90" s="374" t="s">
        <v>4884</v>
      </c>
      <c r="BH90" s="375" t="s">
        <v>4884</v>
      </c>
    </row>
    <row r="91" spans="2:60">
      <c r="B91" s="21">
        <v>1505</v>
      </c>
      <c r="C91" s="22">
        <v>84</v>
      </c>
      <c r="D91" s="374" t="s">
        <v>7963</v>
      </c>
      <c r="E91" s="375" t="s">
        <v>835</v>
      </c>
      <c r="G91" s="21">
        <v>1508</v>
      </c>
      <c r="H91" s="22">
        <v>84</v>
      </c>
      <c r="I91" s="374" t="s">
        <v>4884</v>
      </c>
      <c r="J91" s="375" t="s">
        <v>4884</v>
      </c>
      <c r="L91" s="21">
        <v>1605</v>
      </c>
      <c r="M91" s="22">
        <v>84</v>
      </c>
      <c r="N91" s="374" t="s">
        <v>4884</v>
      </c>
      <c r="O91" s="375" t="s">
        <v>4884</v>
      </c>
      <c r="Q91" s="21">
        <v>1608</v>
      </c>
      <c r="R91" s="22">
        <v>84</v>
      </c>
      <c r="S91" s="374" t="s">
        <v>4884</v>
      </c>
      <c r="T91" s="375" t="s">
        <v>4884</v>
      </c>
      <c r="V91" s="21">
        <v>1502</v>
      </c>
      <c r="W91" s="22">
        <v>84</v>
      </c>
      <c r="X91" s="374" t="s">
        <v>4884</v>
      </c>
      <c r="Y91" s="375" t="s">
        <v>4884</v>
      </c>
      <c r="AA91" s="21">
        <v>1802</v>
      </c>
      <c r="AB91" s="22">
        <v>84</v>
      </c>
      <c r="AC91" s="374" t="s">
        <v>4884</v>
      </c>
      <c r="AD91" s="375" t="s">
        <v>4884</v>
      </c>
      <c r="AF91" s="21">
        <v>1805</v>
      </c>
      <c r="AG91" s="22">
        <v>84</v>
      </c>
      <c r="AH91" s="374" t="s">
        <v>4884</v>
      </c>
      <c r="AI91" s="375" t="s">
        <v>4884</v>
      </c>
      <c r="AK91" s="21">
        <v>1808</v>
      </c>
      <c r="AL91" s="22">
        <v>84</v>
      </c>
      <c r="AM91" s="374" t="s">
        <v>7873</v>
      </c>
      <c r="AN91" s="375" t="s">
        <v>879</v>
      </c>
      <c r="AP91" s="23">
        <v>1602</v>
      </c>
      <c r="AQ91" s="22">
        <v>84</v>
      </c>
      <c r="AR91" s="374" t="s">
        <v>7954</v>
      </c>
      <c r="AS91" s="375" t="s">
        <v>919</v>
      </c>
      <c r="AU91" s="23">
        <v>1702</v>
      </c>
      <c r="AV91" s="22">
        <v>84</v>
      </c>
      <c r="AW91" s="374" t="s">
        <v>7964</v>
      </c>
      <c r="AX91" s="375" t="s">
        <v>833</v>
      </c>
      <c r="AZ91" s="23">
        <v>1705</v>
      </c>
      <c r="BA91" s="22">
        <v>84</v>
      </c>
      <c r="BB91" s="374" t="s">
        <v>4884</v>
      </c>
      <c r="BC91" s="375" t="s">
        <v>4884</v>
      </c>
      <c r="BE91" s="23">
        <v>1708</v>
      </c>
      <c r="BF91" s="22">
        <v>84</v>
      </c>
      <c r="BG91" s="374" t="s">
        <v>4884</v>
      </c>
      <c r="BH91" s="375"/>
    </row>
    <row r="92" spans="2:60">
      <c r="B92" s="21">
        <v>1504</v>
      </c>
      <c r="C92" s="22">
        <v>85</v>
      </c>
      <c r="D92" s="374" t="s">
        <v>4884</v>
      </c>
      <c r="E92" s="375" t="s">
        <v>4884</v>
      </c>
      <c r="G92" s="21">
        <v>1507</v>
      </c>
      <c r="H92" s="22">
        <v>85</v>
      </c>
      <c r="I92" s="374" t="s">
        <v>7968</v>
      </c>
      <c r="J92" s="375" t="s">
        <v>807</v>
      </c>
      <c r="L92" s="21">
        <v>1606</v>
      </c>
      <c r="M92" s="22">
        <v>85</v>
      </c>
      <c r="N92" s="374" t="s">
        <v>4884</v>
      </c>
      <c r="O92" s="375" t="s">
        <v>4884</v>
      </c>
      <c r="Q92" s="21">
        <v>1609</v>
      </c>
      <c r="R92" s="22">
        <v>85</v>
      </c>
      <c r="S92" s="374" t="s">
        <v>4884</v>
      </c>
      <c r="T92" s="375" t="s">
        <v>4884</v>
      </c>
      <c r="V92" s="21">
        <v>1501</v>
      </c>
      <c r="W92" s="22">
        <v>85</v>
      </c>
      <c r="X92" s="374" t="s">
        <v>4884</v>
      </c>
      <c r="Y92" s="375" t="s">
        <v>4884</v>
      </c>
      <c r="AA92" s="21">
        <v>1803</v>
      </c>
      <c r="AB92" s="22">
        <v>85</v>
      </c>
      <c r="AC92" s="374" t="s">
        <v>4884</v>
      </c>
      <c r="AD92" s="375" t="s">
        <v>4884</v>
      </c>
      <c r="AF92" s="21">
        <v>1806</v>
      </c>
      <c r="AG92" s="22">
        <v>85</v>
      </c>
      <c r="AH92" s="374" t="s">
        <v>7956</v>
      </c>
      <c r="AI92" s="375" t="s">
        <v>943</v>
      </c>
      <c r="AK92" s="21">
        <v>1809</v>
      </c>
      <c r="AL92" s="22">
        <v>85</v>
      </c>
      <c r="AM92" s="374" t="s">
        <v>4884</v>
      </c>
      <c r="AN92" s="375" t="s">
        <v>4884</v>
      </c>
      <c r="AP92" s="23">
        <v>1603</v>
      </c>
      <c r="AQ92" s="22">
        <v>85</v>
      </c>
      <c r="AR92" s="374" t="s">
        <v>4884</v>
      </c>
      <c r="AS92" s="375" t="s">
        <v>4884</v>
      </c>
      <c r="AU92" s="23">
        <v>1701</v>
      </c>
      <c r="AV92" s="22">
        <v>85</v>
      </c>
      <c r="AW92" s="374" t="s">
        <v>4884</v>
      </c>
      <c r="AX92" s="375" t="s">
        <v>4884</v>
      </c>
      <c r="AZ92" s="23">
        <v>1704</v>
      </c>
      <c r="BA92" s="22">
        <v>85</v>
      </c>
      <c r="BB92" s="374" t="s">
        <v>4884</v>
      </c>
      <c r="BC92" s="375" t="s">
        <v>4884</v>
      </c>
      <c r="BE92" s="23">
        <v>1707</v>
      </c>
      <c r="BF92" s="22">
        <v>85</v>
      </c>
      <c r="BG92" s="374" t="s">
        <v>4884</v>
      </c>
      <c r="BH92" s="375" t="s">
        <v>4884</v>
      </c>
    </row>
    <row r="93" spans="2:60">
      <c r="B93" s="21">
        <v>1504</v>
      </c>
      <c r="C93" s="22">
        <v>86</v>
      </c>
      <c r="D93" s="374" t="s">
        <v>4884</v>
      </c>
      <c r="E93" s="375" t="s">
        <v>4884</v>
      </c>
      <c r="G93" s="21">
        <v>1507</v>
      </c>
      <c r="H93" s="22">
        <v>86</v>
      </c>
      <c r="I93" s="374" t="s">
        <v>7961</v>
      </c>
      <c r="J93" s="375" t="s">
        <v>797</v>
      </c>
      <c r="L93" s="21">
        <v>1606</v>
      </c>
      <c r="M93" s="22">
        <v>86</v>
      </c>
      <c r="N93" s="374" t="s">
        <v>4884</v>
      </c>
      <c r="O93" s="375" t="s">
        <v>4884</v>
      </c>
      <c r="Q93" s="21">
        <v>1609</v>
      </c>
      <c r="R93" s="22">
        <v>86</v>
      </c>
      <c r="S93" s="374" t="s">
        <v>4884</v>
      </c>
      <c r="T93" s="375" t="s">
        <v>4884</v>
      </c>
      <c r="V93" s="21">
        <v>1501</v>
      </c>
      <c r="W93" s="22">
        <v>86</v>
      </c>
      <c r="X93" s="374" t="s">
        <v>4884</v>
      </c>
      <c r="Y93" s="375" t="s">
        <v>4884</v>
      </c>
      <c r="AA93" s="21">
        <v>1803</v>
      </c>
      <c r="AB93" s="22">
        <v>86</v>
      </c>
      <c r="AC93" s="374" t="s">
        <v>4884</v>
      </c>
      <c r="AD93" s="375" t="s">
        <v>4884</v>
      </c>
      <c r="AF93" s="21">
        <v>1806</v>
      </c>
      <c r="AG93" s="22">
        <v>86</v>
      </c>
      <c r="AH93" s="374" t="s">
        <v>4884</v>
      </c>
      <c r="AI93" s="375" t="s">
        <v>4884</v>
      </c>
      <c r="AK93" s="21">
        <v>1809</v>
      </c>
      <c r="AL93" s="22">
        <v>86</v>
      </c>
      <c r="AM93" s="374" t="s">
        <v>4884</v>
      </c>
      <c r="AN93" s="375" t="s">
        <v>4884</v>
      </c>
      <c r="AP93" s="23">
        <v>1603</v>
      </c>
      <c r="AQ93" s="22">
        <v>86</v>
      </c>
      <c r="AR93" s="374" t="s">
        <v>4884</v>
      </c>
      <c r="AS93" s="375" t="s">
        <v>4884</v>
      </c>
      <c r="AU93" s="23">
        <v>1701</v>
      </c>
      <c r="AV93" s="22">
        <v>86</v>
      </c>
      <c r="AW93" s="374" t="s">
        <v>4884</v>
      </c>
      <c r="AX93" s="375" t="s">
        <v>4884</v>
      </c>
      <c r="AZ93" s="23">
        <v>1704</v>
      </c>
      <c r="BA93" s="22">
        <v>86</v>
      </c>
      <c r="BB93" s="374" t="s">
        <v>4884</v>
      </c>
      <c r="BC93" s="375" t="s">
        <v>4884</v>
      </c>
      <c r="BE93" s="23">
        <v>1707</v>
      </c>
      <c r="BF93" s="22">
        <v>86</v>
      </c>
      <c r="BG93" s="374" t="s">
        <v>4884</v>
      </c>
      <c r="BH93" s="375" t="s">
        <v>4884</v>
      </c>
    </row>
    <row r="94" spans="2:60">
      <c r="B94" s="21">
        <v>1504</v>
      </c>
      <c r="C94" s="22">
        <v>87</v>
      </c>
      <c r="D94" s="374" t="s">
        <v>4884</v>
      </c>
      <c r="E94" s="375" t="s">
        <v>4884</v>
      </c>
      <c r="G94" s="21">
        <v>1507</v>
      </c>
      <c r="H94" s="22">
        <v>87</v>
      </c>
      <c r="I94" s="374" t="s">
        <v>7964</v>
      </c>
      <c r="J94" s="375" t="s">
        <v>833</v>
      </c>
      <c r="L94" s="21">
        <v>1606</v>
      </c>
      <c r="M94" s="22">
        <v>87</v>
      </c>
      <c r="N94" s="374" t="s">
        <v>4884</v>
      </c>
      <c r="O94" s="375" t="s">
        <v>4884</v>
      </c>
      <c r="Q94" s="21">
        <v>1609</v>
      </c>
      <c r="R94" s="22">
        <v>87</v>
      </c>
      <c r="S94" s="374" t="s">
        <v>4884</v>
      </c>
      <c r="T94" s="375" t="s">
        <v>4884</v>
      </c>
      <c r="V94" s="21">
        <v>1501</v>
      </c>
      <c r="W94" s="22">
        <v>87</v>
      </c>
      <c r="X94" s="374" t="s">
        <v>4884</v>
      </c>
      <c r="Y94" s="375" t="s">
        <v>4884</v>
      </c>
      <c r="AA94" s="21">
        <v>1803</v>
      </c>
      <c r="AB94" s="22">
        <v>87</v>
      </c>
      <c r="AC94" s="374" t="s">
        <v>4884</v>
      </c>
      <c r="AD94" s="375" t="s">
        <v>4884</v>
      </c>
      <c r="AF94" s="21">
        <v>1806</v>
      </c>
      <c r="AG94" s="22">
        <v>87</v>
      </c>
      <c r="AH94" s="374" t="s">
        <v>7904</v>
      </c>
      <c r="AI94" s="375" t="s">
        <v>955</v>
      </c>
      <c r="AK94" s="21">
        <v>1809</v>
      </c>
      <c r="AL94" s="22">
        <v>87</v>
      </c>
      <c r="AM94" s="374" t="s">
        <v>4884</v>
      </c>
      <c r="AN94" s="375" t="s">
        <v>4884</v>
      </c>
      <c r="AP94" s="23">
        <v>1603</v>
      </c>
      <c r="AQ94" s="22">
        <v>87</v>
      </c>
      <c r="AR94" s="374" t="s">
        <v>4884</v>
      </c>
      <c r="AS94" s="375" t="s">
        <v>4884</v>
      </c>
      <c r="AU94" s="23">
        <v>1701</v>
      </c>
      <c r="AV94" s="22">
        <v>87</v>
      </c>
      <c r="AW94" s="374" t="s">
        <v>7976</v>
      </c>
      <c r="AX94" s="375" t="s">
        <v>811</v>
      </c>
      <c r="AZ94" s="23">
        <v>1704</v>
      </c>
      <c r="BA94" s="22">
        <v>87</v>
      </c>
      <c r="BB94" s="374" t="s">
        <v>4884</v>
      </c>
      <c r="BC94" s="375" t="s">
        <v>4884</v>
      </c>
      <c r="BE94" s="23">
        <v>1707</v>
      </c>
      <c r="BF94" s="22">
        <v>87</v>
      </c>
      <c r="BG94" s="374" t="s">
        <v>4884</v>
      </c>
      <c r="BH94" s="375" t="s">
        <v>4884</v>
      </c>
    </row>
    <row r="95" spans="2:60">
      <c r="B95" s="21">
        <v>1504</v>
      </c>
      <c r="C95" s="22">
        <v>88</v>
      </c>
      <c r="D95" s="374" t="s">
        <v>4884</v>
      </c>
      <c r="E95" s="375" t="s">
        <v>4884</v>
      </c>
      <c r="G95" s="21">
        <v>1507</v>
      </c>
      <c r="H95" s="22">
        <v>88</v>
      </c>
      <c r="I95" s="374" t="s">
        <v>4884</v>
      </c>
      <c r="J95" s="375" t="s">
        <v>4884</v>
      </c>
      <c r="L95" s="21">
        <v>1606</v>
      </c>
      <c r="M95" s="22">
        <v>88</v>
      </c>
      <c r="N95" s="374" t="s">
        <v>4884</v>
      </c>
      <c r="O95" s="375" t="s">
        <v>4884</v>
      </c>
      <c r="Q95" s="21">
        <v>1609</v>
      </c>
      <c r="R95" s="22">
        <v>88</v>
      </c>
      <c r="S95" s="374" t="s">
        <v>4884</v>
      </c>
      <c r="T95" s="375" t="s">
        <v>4884</v>
      </c>
      <c r="V95" s="21">
        <v>1501</v>
      </c>
      <c r="W95" s="22">
        <v>88</v>
      </c>
      <c r="X95" s="374" t="s">
        <v>4884</v>
      </c>
      <c r="Y95" s="375" t="s">
        <v>4884</v>
      </c>
      <c r="AA95" s="21">
        <v>1803</v>
      </c>
      <c r="AB95" s="22">
        <v>88</v>
      </c>
      <c r="AC95" s="374" t="s">
        <v>4884</v>
      </c>
      <c r="AD95" s="375" t="s">
        <v>4884</v>
      </c>
      <c r="AF95" s="21">
        <v>1806</v>
      </c>
      <c r="AG95" s="22">
        <v>88</v>
      </c>
      <c r="AH95" s="374" t="s">
        <v>4884</v>
      </c>
      <c r="AI95" s="375" t="s">
        <v>4884</v>
      </c>
      <c r="AK95" s="21">
        <v>1809</v>
      </c>
      <c r="AL95" s="22">
        <v>88</v>
      </c>
      <c r="AM95" s="374" t="s">
        <v>4884</v>
      </c>
      <c r="AN95" s="375" t="s">
        <v>4884</v>
      </c>
      <c r="AP95" s="23">
        <v>1603</v>
      </c>
      <c r="AQ95" s="22">
        <v>88</v>
      </c>
      <c r="AR95" s="374" t="s">
        <v>4884</v>
      </c>
      <c r="AS95" s="375" t="s">
        <v>4884</v>
      </c>
      <c r="AU95" s="23">
        <v>1701</v>
      </c>
      <c r="AV95" s="22">
        <v>88</v>
      </c>
      <c r="AW95" s="374" t="s">
        <v>7966</v>
      </c>
      <c r="AX95" s="375" t="s">
        <v>799</v>
      </c>
      <c r="AZ95" s="23">
        <v>1704</v>
      </c>
      <c r="BA95" s="22">
        <v>88</v>
      </c>
      <c r="BB95" s="374" t="s">
        <v>4884</v>
      </c>
      <c r="BC95" s="375" t="s">
        <v>4884</v>
      </c>
      <c r="BE95" s="23">
        <v>1707</v>
      </c>
      <c r="BF95" s="22">
        <v>88</v>
      </c>
      <c r="BG95" s="374" t="s">
        <v>4884</v>
      </c>
      <c r="BH95" s="375" t="s">
        <v>4884</v>
      </c>
    </row>
    <row r="96" spans="2:60">
      <c r="B96" s="21">
        <v>1504</v>
      </c>
      <c r="C96" s="22">
        <v>89</v>
      </c>
      <c r="D96" s="374" t="s">
        <v>4884</v>
      </c>
      <c r="E96" s="375" t="s">
        <v>4884</v>
      </c>
      <c r="G96" s="21">
        <v>1507</v>
      </c>
      <c r="H96" s="22">
        <v>89</v>
      </c>
      <c r="I96" s="374" t="s">
        <v>4884</v>
      </c>
      <c r="J96" s="375" t="s">
        <v>4884</v>
      </c>
      <c r="L96" s="21">
        <v>1606</v>
      </c>
      <c r="M96" s="22">
        <v>89</v>
      </c>
      <c r="N96" s="374" t="s">
        <v>4884</v>
      </c>
      <c r="O96" s="375" t="s">
        <v>4884</v>
      </c>
      <c r="Q96" s="21">
        <v>1609</v>
      </c>
      <c r="R96" s="22">
        <v>89</v>
      </c>
      <c r="S96" s="374" t="s">
        <v>4884</v>
      </c>
      <c r="T96" s="375" t="s">
        <v>4884</v>
      </c>
      <c r="V96" s="21">
        <v>1501</v>
      </c>
      <c r="W96" s="22">
        <v>89</v>
      </c>
      <c r="X96" s="374" t="s">
        <v>4884</v>
      </c>
      <c r="Y96" s="375" t="s">
        <v>4884</v>
      </c>
      <c r="AA96" s="21">
        <v>1803</v>
      </c>
      <c r="AB96" s="22">
        <v>89</v>
      </c>
      <c r="AC96" s="374" t="s">
        <v>4884</v>
      </c>
      <c r="AD96" s="375" t="s">
        <v>4884</v>
      </c>
      <c r="AF96" s="21">
        <v>1806</v>
      </c>
      <c r="AG96" s="22">
        <v>89</v>
      </c>
      <c r="AH96" s="374" t="s">
        <v>7976</v>
      </c>
      <c r="AI96" s="375" t="s">
        <v>811</v>
      </c>
      <c r="AK96" s="21">
        <v>1809</v>
      </c>
      <c r="AL96" s="22">
        <v>89</v>
      </c>
      <c r="AM96" s="374" t="s">
        <v>4884</v>
      </c>
      <c r="AN96" s="375" t="s">
        <v>4884</v>
      </c>
      <c r="AP96" s="23">
        <v>1603</v>
      </c>
      <c r="AQ96" s="22">
        <v>89</v>
      </c>
      <c r="AR96" s="374" t="s">
        <v>4884</v>
      </c>
      <c r="AS96" s="375" t="s">
        <v>4884</v>
      </c>
      <c r="AU96" s="23">
        <v>1701</v>
      </c>
      <c r="AV96" s="22">
        <v>89</v>
      </c>
      <c r="AW96" s="374" t="s">
        <v>4884</v>
      </c>
      <c r="AX96" s="375" t="s">
        <v>4884</v>
      </c>
      <c r="AZ96" s="23">
        <v>1704</v>
      </c>
      <c r="BA96" s="22">
        <v>89</v>
      </c>
      <c r="BB96" s="374" t="s">
        <v>4884</v>
      </c>
      <c r="BC96" s="375" t="s">
        <v>4884</v>
      </c>
      <c r="BE96" s="23">
        <v>1707</v>
      </c>
      <c r="BF96" s="22">
        <v>89</v>
      </c>
      <c r="BG96" s="374" t="s">
        <v>4884</v>
      </c>
      <c r="BH96" s="375" t="s">
        <v>4884</v>
      </c>
    </row>
    <row r="97" spans="2:60">
      <c r="B97" s="21">
        <v>1504</v>
      </c>
      <c r="C97" s="22">
        <v>90</v>
      </c>
      <c r="D97" s="374" t="s">
        <v>4884</v>
      </c>
      <c r="E97" s="375" t="s">
        <v>4884</v>
      </c>
      <c r="G97" s="21">
        <v>1507</v>
      </c>
      <c r="H97" s="22">
        <v>90</v>
      </c>
      <c r="I97" s="374" t="s">
        <v>4884</v>
      </c>
      <c r="J97" s="375" t="s">
        <v>4884</v>
      </c>
      <c r="L97" s="21">
        <v>1606</v>
      </c>
      <c r="M97" s="22">
        <v>90</v>
      </c>
      <c r="N97" s="374" t="s">
        <v>4884</v>
      </c>
      <c r="O97" s="375" t="s">
        <v>4884</v>
      </c>
      <c r="Q97" s="21">
        <v>1609</v>
      </c>
      <c r="R97" s="22">
        <v>90</v>
      </c>
      <c r="S97" s="374" t="s">
        <v>4884</v>
      </c>
      <c r="T97" s="375" t="s">
        <v>4884</v>
      </c>
      <c r="V97" s="21">
        <v>1501</v>
      </c>
      <c r="W97" s="22">
        <v>90</v>
      </c>
      <c r="X97" s="374" t="s">
        <v>4884</v>
      </c>
      <c r="Y97" s="375" t="s">
        <v>4884</v>
      </c>
      <c r="AA97" s="21">
        <v>1803</v>
      </c>
      <c r="AB97" s="22">
        <v>90</v>
      </c>
      <c r="AC97" s="374" t="s">
        <v>4884</v>
      </c>
      <c r="AD97" s="375" t="s">
        <v>4884</v>
      </c>
      <c r="AF97" s="21">
        <v>1806</v>
      </c>
      <c r="AG97" s="22">
        <v>90</v>
      </c>
      <c r="AH97" s="374" t="s">
        <v>4884</v>
      </c>
      <c r="AI97" s="375" t="s">
        <v>4884</v>
      </c>
      <c r="AK97" s="21">
        <v>1809</v>
      </c>
      <c r="AL97" s="22">
        <v>90</v>
      </c>
      <c r="AM97" s="374" t="s">
        <v>4884</v>
      </c>
      <c r="AN97" s="375" t="s">
        <v>4884</v>
      </c>
      <c r="AP97" s="23">
        <v>1603</v>
      </c>
      <c r="AQ97" s="22">
        <v>90</v>
      </c>
      <c r="AR97" s="374" t="s">
        <v>4884</v>
      </c>
      <c r="AS97" s="375" t="s">
        <v>4884</v>
      </c>
      <c r="AU97" s="23">
        <v>1701</v>
      </c>
      <c r="AV97" s="22">
        <v>90</v>
      </c>
      <c r="AW97" s="374" t="s">
        <v>4884</v>
      </c>
      <c r="AX97" s="375" t="s">
        <v>4884</v>
      </c>
      <c r="AZ97" s="23">
        <v>1704</v>
      </c>
      <c r="BA97" s="22">
        <v>90</v>
      </c>
      <c r="BB97" s="374" t="s">
        <v>4884</v>
      </c>
      <c r="BC97" s="375" t="s">
        <v>4884</v>
      </c>
      <c r="BE97" s="23">
        <v>1707</v>
      </c>
      <c r="BF97" s="22">
        <v>90</v>
      </c>
      <c r="BG97" s="374" t="s">
        <v>4884</v>
      </c>
      <c r="BH97" s="375" t="s">
        <v>4884</v>
      </c>
    </row>
    <row r="98" spans="2:60">
      <c r="B98" s="21">
        <v>1504</v>
      </c>
      <c r="C98" s="22">
        <v>91</v>
      </c>
      <c r="D98" s="374" t="s">
        <v>4884</v>
      </c>
      <c r="E98" s="375" t="s">
        <v>4884</v>
      </c>
      <c r="G98" s="21">
        <v>1507</v>
      </c>
      <c r="H98" s="22">
        <v>91</v>
      </c>
      <c r="I98" s="374" t="s">
        <v>4884</v>
      </c>
      <c r="J98" s="375" t="s">
        <v>4884</v>
      </c>
      <c r="L98" s="21">
        <v>1606</v>
      </c>
      <c r="M98" s="22">
        <v>91</v>
      </c>
      <c r="N98" s="374" t="s">
        <v>4884</v>
      </c>
      <c r="O98" s="375" t="s">
        <v>4884</v>
      </c>
      <c r="Q98" s="21">
        <v>1609</v>
      </c>
      <c r="R98" s="22">
        <v>91</v>
      </c>
      <c r="S98" s="374" t="s">
        <v>4884</v>
      </c>
      <c r="T98" s="375" t="s">
        <v>4884</v>
      </c>
      <c r="V98" s="21">
        <v>1501</v>
      </c>
      <c r="W98" s="22">
        <v>91</v>
      </c>
      <c r="X98" s="374" t="s">
        <v>4884</v>
      </c>
      <c r="Y98" s="375" t="s">
        <v>4884</v>
      </c>
      <c r="AA98" s="21">
        <v>1803</v>
      </c>
      <c r="AB98" s="22">
        <v>91</v>
      </c>
      <c r="AC98" s="374" t="s">
        <v>4884</v>
      </c>
      <c r="AD98" s="375" t="s">
        <v>4884</v>
      </c>
      <c r="AF98" s="21">
        <v>1806</v>
      </c>
      <c r="AG98" s="22">
        <v>91</v>
      </c>
      <c r="AH98" s="374" t="s">
        <v>7871</v>
      </c>
      <c r="AI98" s="375" t="s">
        <v>851</v>
      </c>
      <c r="AK98" s="21">
        <v>1809</v>
      </c>
      <c r="AL98" s="22">
        <v>91</v>
      </c>
      <c r="AM98" s="374" t="s">
        <v>4884</v>
      </c>
      <c r="AN98" s="375" t="s">
        <v>4884</v>
      </c>
      <c r="AP98" s="23">
        <v>1603</v>
      </c>
      <c r="AQ98" s="22">
        <v>91</v>
      </c>
      <c r="AR98" s="374" t="s">
        <v>4884</v>
      </c>
      <c r="AS98" s="375" t="s">
        <v>4884</v>
      </c>
      <c r="AU98" s="23">
        <v>1701</v>
      </c>
      <c r="AV98" s="22">
        <v>91</v>
      </c>
      <c r="AW98" s="374" t="s">
        <v>7866</v>
      </c>
      <c r="AX98" s="375" t="s">
        <v>877</v>
      </c>
      <c r="AZ98" s="23">
        <v>1704</v>
      </c>
      <c r="BA98" s="22">
        <v>91</v>
      </c>
      <c r="BB98" s="374" t="s">
        <v>4884</v>
      </c>
      <c r="BC98" s="375" t="s">
        <v>4884</v>
      </c>
      <c r="BE98" s="23">
        <v>1707</v>
      </c>
      <c r="BF98" s="22">
        <v>91</v>
      </c>
      <c r="BG98" s="374" t="s">
        <v>4884</v>
      </c>
      <c r="BH98" s="375" t="s">
        <v>4884</v>
      </c>
    </row>
    <row r="99" spans="2:60">
      <c r="B99" s="21">
        <v>1504</v>
      </c>
      <c r="C99" s="22">
        <v>92</v>
      </c>
      <c r="D99" s="374" t="s">
        <v>4884</v>
      </c>
      <c r="E99" s="375" t="s">
        <v>4884</v>
      </c>
      <c r="G99" s="21">
        <v>1507</v>
      </c>
      <c r="H99" s="22">
        <v>92</v>
      </c>
      <c r="I99" s="374" t="s">
        <v>4884</v>
      </c>
      <c r="J99" s="375" t="s">
        <v>4884</v>
      </c>
      <c r="L99" s="21">
        <v>1606</v>
      </c>
      <c r="M99" s="22">
        <v>92</v>
      </c>
      <c r="N99" s="374" t="s">
        <v>4884</v>
      </c>
      <c r="O99" s="375" t="s">
        <v>4884</v>
      </c>
      <c r="Q99" s="21">
        <v>1609</v>
      </c>
      <c r="R99" s="22">
        <v>92</v>
      </c>
      <c r="S99" s="374" t="s">
        <v>4884</v>
      </c>
      <c r="T99" s="375" t="s">
        <v>4884</v>
      </c>
      <c r="V99" s="21">
        <v>1501</v>
      </c>
      <c r="W99" s="22">
        <v>92</v>
      </c>
      <c r="X99" s="374" t="s">
        <v>4884</v>
      </c>
      <c r="Y99" s="375" t="s">
        <v>4884</v>
      </c>
      <c r="AA99" s="21">
        <v>1803</v>
      </c>
      <c r="AB99" s="22">
        <v>92</v>
      </c>
      <c r="AC99" s="374" t="s">
        <v>4884</v>
      </c>
      <c r="AD99" s="375" t="s">
        <v>4884</v>
      </c>
      <c r="AF99" s="21">
        <v>1806</v>
      </c>
      <c r="AG99" s="22">
        <v>92</v>
      </c>
      <c r="AH99" s="374" t="s">
        <v>7868</v>
      </c>
      <c r="AI99" s="375" t="s">
        <v>803</v>
      </c>
      <c r="AK99" s="21">
        <v>1809</v>
      </c>
      <c r="AL99" s="22">
        <v>92</v>
      </c>
      <c r="AM99" s="374" t="s">
        <v>4884</v>
      </c>
      <c r="AN99" s="375" t="s">
        <v>4884</v>
      </c>
      <c r="AP99" s="23">
        <v>1603</v>
      </c>
      <c r="AQ99" s="22">
        <v>92</v>
      </c>
      <c r="AR99" s="374" t="s">
        <v>4884</v>
      </c>
      <c r="AS99" s="375" t="s">
        <v>4884</v>
      </c>
      <c r="AU99" s="23">
        <v>1701</v>
      </c>
      <c r="AV99" s="22">
        <v>92</v>
      </c>
      <c r="AW99" s="374" t="s">
        <v>7883</v>
      </c>
      <c r="AX99" s="375" t="s">
        <v>827</v>
      </c>
      <c r="AZ99" s="23">
        <v>1704</v>
      </c>
      <c r="BA99" s="22">
        <v>92</v>
      </c>
      <c r="BB99" s="374" t="s">
        <v>4884</v>
      </c>
      <c r="BC99" s="375" t="s">
        <v>4884</v>
      </c>
      <c r="BE99" s="23">
        <v>1707</v>
      </c>
      <c r="BF99" s="22">
        <v>92</v>
      </c>
      <c r="BG99" s="374" t="s">
        <v>4884</v>
      </c>
      <c r="BH99" s="375" t="s">
        <v>4884</v>
      </c>
    </row>
    <row r="100" spans="2:60">
      <c r="B100" s="21">
        <v>1504</v>
      </c>
      <c r="C100" s="22">
        <v>93</v>
      </c>
      <c r="D100" s="374" t="s">
        <v>4884</v>
      </c>
      <c r="E100" s="375" t="s">
        <v>4884</v>
      </c>
      <c r="G100" s="21">
        <v>1507</v>
      </c>
      <c r="H100" s="22">
        <v>93</v>
      </c>
      <c r="I100" s="374" t="s">
        <v>4884</v>
      </c>
      <c r="J100" s="375" t="s">
        <v>4884</v>
      </c>
      <c r="L100" s="21">
        <v>1606</v>
      </c>
      <c r="M100" s="22">
        <v>93</v>
      </c>
      <c r="N100" s="374" t="s">
        <v>4884</v>
      </c>
      <c r="O100" s="375" t="s">
        <v>4884</v>
      </c>
      <c r="Q100" s="21">
        <v>1609</v>
      </c>
      <c r="R100" s="22">
        <v>93</v>
      </c>
      <c r="S100" s="374" t="s">
        <v>4884</v>
      </c>
      <c r="T100" s="375" t="s">
        <v>4884</v>
      </c>
      <c r="V100" s="21">
        <v>1501</v>
      </c>
      <c r="W100" s="22">
        <v>93</v>
      </c>
      <c r="X100" s="374" t="s">
        <v>4884</v>
      </c>
      <c r="Y100" s="375" t="s">
        <v>4884</v>
      </c>
      <c r="AA100" s="21">
        <v>1803</v>
      </c>
      <c r="AB100" s="22">
        <v>93</v>
      </c>
      <c r="AC100" s="374" t="s">
        <v>4884</v>
      </c>
      <c r="AD100" s="375" t="s">
        <v>4884</v>
      </c>
      <c r="AF100" s="21">
        <v>1806</v>
      </c>
      <c r="AG100" s="22">
        <v>93</v>
      </c>
      <c r="AH100" s="374" t="s">
        <v>7945</v>
      </c>
      <c r="AI100" s="375" t="s">
        <v>839</v>
      </c>
      <c r="AK100" s="21">
        <v>1809</v>
      </c>
      <c r="AL100" s="22">
        <v>93</v>
      </c>
      <c r="AM100" s="374" t="s">
        <v>4884</v>
      </c>
      <c r="AN100" s="375" t="s">
        <v>4884</v>
      </c>
      <c r="AP100" s="23">
        <v>1603</v>
      </c>
      <c r="AQ100" s="22">
        <v>93</v>
      </c>
      <c r="AR100" s="374" t="s">
        <v>4884</v>
      </c>
      <c r="AS100" s="375" t="s">
        <v>4884</v>
      </c>
      <c r="AU100" s="23">
        <v>1701</v>
      </c>
      <c r="AV100" s="22">
        <v>93</v>
      </c>
      <c r="AW100" s="374" t="s">
        <v>4884</v>
      </c>
      <c r="AX100" s="375" t="s">
        <v>4884</v>
      </c>
      <c r="AZ100" s="23">
        <v>1704</v>
      </c>
      <c r="BA100" s="22">
        <v>93</v>
      </c>
      <c r="BB100" s="374" t="s">
        <v>4884</v>
      </c>
      <c r="BC100" s="375" t="s">
        <v>4884</v>
      </c>
      <c r="BE100" s="23">
        <v>1707</v>
      </c>
      <c r="BF100" s="22">
        <v>93</v>
      </c>
      <c r="BG100" s="374" t="s">
        <v>4884</v>
      </c>
      <c r="BH100" s="375" t="s">
        <v>4884</v>
      </c>
    </row>
    <row r="101" spans="2:60">
      <c r="B101" s="21">
        <v>1504</v>
      </c>
      <c r="C101" s="22">
        <v>94</v>
      </c>
      <c r="D101" s="374" t="s">
        <v>4884</v>
      </c>
      <c r="E101" s="375" t="s">
        <v>4884</v>
      </c>
      <c r="G101" s="21">
        <v>1507</v>
      </c>
      <c r="H101" s="22">
        <v>94</v>
      </c>
      <c r="I101" s="374" t="s">
        <v>4884</v>
      </c>
      <c r="J101" s="375" t="s">
        <v>4884</v>
      </c>
      <c r="L101" s="21">
        <v>1606</v>
      </c>
      <c r="M101" s="22">
        <v>94</v>
      </c>
      <c r="N101" s="374" t="s">
        <v>4884</v>
      </c>
      <c r="O101" s="375" t="s">
        <v>4884</v>
      </c>
      <c r="Q101" s="21">
        <v>1609</v>
      </c>
      <c r="R101" s="22">
        <v>94</v>
      </c>
      <c r="S101" s="374" t="s">
        <v>4884</v>
      </c>
      <c r="T101" s="375" t="s">
        <v>4884</v>
      </c>
      <c r="V101" s="21">
        <v>1501</v>
      </c>
      <c r="W101" s="22">
        <v>94</v>
      </c>
      <c r="X101" s="374" t="s">
        <v>4884</v>
      </c>
      <c r="Y101" s="375" t="s">
        <v>4884</v>
      </c>
      <c r="AA101" s="21">
        <v>1803</v>
      </c>
      <c r="AB101" s="22">
        <v>94</v>
      </c>
      <c r="AC101" s="374" t="s">
        <v>4884</v>
      </c>
      <c r="AD101" s="375" t="s">
        <v>4884</v>
      </c>
      <c r="AF101" s="21">
        <v>1806</v>
      </c>
      <c r="AG101" s="22">
        <v>94</v>
      </c>
      <c r="AH101" s="374" t="s">
        <v>7959</v>
      </c>
      <c r="AI101" s="375" t="s">
        <v>837</v>
      </c>
      <c r="AK101" s="21">
        <v>1809</v>
      </c>
      <c r="AL101" s="22">
        <v>94</v>
      </c>
      <c r="AM101" s="374" t="s">
        <v>4884</v>
      </c>
      <c r="AN101" s="375" t="s">
        <v>4884</v>
      </c>
      <c r="AP101" s="23">
        <v>1603</v>
      </c>
      <c r="AQ101" s="22">
        <v>94</v>
      </c>
      <c r="AR101" s="374" t="s">
        <v>4884</v>
      </c>
      <c r="AS101" s="375" t="s">
        <v>4884</v>
      </c>
      <c r="AU101" s="23">
        <v>1701</v>
      </c>
      <c r="AV101" s="22">
        <v>94</v>
      </c>
      <c r="AW101" s="374" t="s">
        <v>4884</v>
      </c>
      <c r="AX101" s="375" t="s">
        <v>4884</v>
      </c>
      <c r="AZ101" s="23">
        <v>1704</v>
      </c>
      <c r="BA101" s="22">
        <v>94</v>
      </c>
      <c r="BB101" s="374" t="s">
        <v>4884</v>
      </c>
      <c r="BC101" s="375" t="s">
        <v>4884</v>
      </c>
      <c r="BE101" s="23">
        <v>1707</v>
      </c>
      <c r="BF101" s="22">
        <v>94</v>
      </c>
      <c r="BG101" s="374" t="s">
        <v>4884</v>
      </c>
      <c r="BH101" s="375" t="s">
        <v>4884</v>
      </c>
    </row>
    <row r="102" spans="2:60">
      <c r="B102" s="21">
        <v>1504</v>
      </c>
      <c r="C102" s="22">
        <v>95</v>
      </c>
      <c r="D102" s="374" t="s">
        <v>4884</v>
      </c>
      <c r="E102" s="375" t="s">
        <v>4884</v>
      </c>
      <c r="G102" s="21">
        <v>1507</v>
      </c>
      <c r="H102" s="22">
        <v>95</v>
      </c>
      <c r="I102" s="374" t="s">
        <v>7976</v>
      </c>
      <c r="J102" s="375" t="s">
        <v>811</v>
      </c>
      <c r="L102" s="21">
        <v>1606</v>
      </c>
      <c r="M102" s="22">
        <v>95</v>
      </c>
      <c r="N102" s="374" t="s">
        <v>4884</v>
      </c>
      <c r="O102" s="375" t="s">
        <v>4884</v>
      </c>
      <c r="Q102" s="21">
        <v>1609</v>
      </c>
      <c r="R102" s="22">
        <v>95</v>
      </c>
      <c r="S102" s="374" t="s">
        <v>4884</v>
      </c>
      <c r="T102" s="375" t="s">
        <v>4884</v>
      </c>
      <c r="V102" s="21">
        <v>1501</v>
      </c>
      <c r="W102" s="22">
        <v>95</v>
      </c>
      <c r="X102" s="374" t="s">
        <v>4884</v>
      </c>
      <c r="Y102" s="375" t="s">
        <v>4884</v>
      </c>
      <c r="AA102" s="21">
        <v>1803</v>
      </c>
      <c r="AB102" s="22">
        <v>95</v>
      </c>
      <c r="AC102" s="374" t="s">
        <v>4884</v>
      </c>
      <c r="AD102" s="375" t="s">
        <v>4884</v>
      </c>
      <c r="AF102" s="21">
        <v>1806</v>
      </c>
      <c r="AG102" s="22">
        <v>95</v>
      </c>
      <c r="AH102" s="374" t="s">
        <v>7977</v>
      </c>
      <c r="AI102" s="375" t="s">
        <v>849</v>
      </c>
      <c r="AK102" s="21">
        <v>1809</v>
      </c>
      <c r="AL102" s="22">
        <v>95</v>
      </c>
      <c r="AM102" s="374" t="s">
        <v>4884</v>
      </c>
      <c r="AN102" s="375" t="s">
        <v>4884</v>
      </c>
      <c r="AP102" s="23">
        <v>1603</v>
      </c>
      <c r="AQ102" s="22">
        <v>95</v>
      </c>
      <c r="AR102" s="374" t="s">
        <v>4884</v>
      </c>
      <c r="AS102" s="375" t="s">
        <v>4884</v>
      </c>
      <c r="AU102" s="23">
        <v>1701</v>
      </c>
      <c r="AV102" s="22">
        <v>95</v>
      </c>
      <c r="AW102" s="374" t="s">
        <v>7873</v>
      </c>
      <c r="AX102" s="375" t="s">
        <v>879</v>
      </c>
      <c r="AZ102" s="23">
        <v>1704</v>
      </c>
      <c r="BA102" s="22">
        <v>95</v>
      </c>
      <c r="BB102" s="374" t="s">
        <v>4884</v>
      </c>
      <c r="BC102" s="375" t="s">
        <v>4884</v>
      </c>
      <c r="BE102" s="23">
        <v>1707</v>
      </c>
      <c r="BF102" s="22">
        <v>95</v>
      </c>
      <c r="BG102" s="374" t="s">
        <v>4884</v>
      </c>
      <c r="BH102" s="375" t="s">
        <v>4884</v>
      </c>
    </row>
    <row r="103" spans="2:60" ht="15" thickBot="1">
      <c r="B103" s="25">
        <v>1504</v>
      </c>
      <c r="C103" s="26">
        <v>96</v>
      </c>
      <c r="D103" s="378" t="s">
        <v>4884</v>
      </c>
      <c r="E103" s="379" t="s">
        <v>4884</v>
      </c>
      <c r="G103" s="25">
        <v>1507</v>
      </c>
      <c r="H103" s="26">
        <v>96</v>
      </c>
      <c r="I103" s="378" t="s">
        <v>7883</v>
      </c>
      <c r="J103" s="379" t="s">
        <v>827</v>
      </c>
      <c r="L103" s="25">
        <v>1606</v>
      </c>
      <c r="M103" s="26">
        <v>96</v>
      </c>
      <c r="N103" s="378" t="s">
        <v>4884</v>
      </c>
      <c r="O103" s="379" t="s">
        <v>4884</v>
      </c>
      <c r="Q103" s="25">
        <v>1609</v>
      </c>
      <c r="R103" s="26">
        <v>96</v>
      </c>
      <c r="S103" s="378" t="s">
        <v>4884</v>
      </c>
      <c r="T103" s="379" t="s">
        <v>4884</v>
      </c>
      <c r="V103" s="25">
        <v>1501</v>
      </c>
      <c r="W103" s="26">
        <v>96</v>
      </c>
      <c r="X103" s="378" t="s">
        <v>4884</v>
      </c>
      <c r="Y103" s="379" t="s">
        <v>4884</v>
      </c>
      <c r="AA103" s="25">
        <v>1803</v>
      </c>
      <c r="AB103" s="26">
        <v>96</v>
      </c>
      <c r="AC103" s="378" t="s">
        <v>4884</v>
      </c>
      <c r="AD103" s="379" t="s">
        <v>4884</v>
      </c>
      <c r="AF103" s="25">
        <v>1806</v>
      </c>
      <c r="AG103" s="26">
        <v>96</v>
      </c>
      <c r="AH103" s="378" t="s">
        <v>4884</v>
      </c>
      <c r="AI103" s="379" t="s">
        <v>4884</v>
      </c>
      <c r="AK103" s="25">
        <v>1809</v>
      </c>
      <c r="AL103" s="26">
        <v>96</v>
      </c>
      <c r="AM103" s="378" t="s">
        <v>4884</v>
      </c>
      <c r="AN103" s="379" t="s">
        <v>4884</v>
      </c>
      <c r="AP103" s="27">
        <v>1603</v>
      </c>
      <c r="AQ103" s="26">
        <v>96</v>
      </c>
      <c r="AR103" s="378" t="s">
        <v>4884</v>
      </c>
      <c r="AS103" s="379" t="s">
        <v>4884</v>
      </c>
      <c r="AU103" s="27">
        <v>1701</v>
      </c>
      <c r="AV103" s="26">
        <v>96</v>
      </c>
      <c r="AW103" s="378" t="s">
        <v>7907</v>
      </c>
      <c r="AX103" s="379" t="s">
        <v>935</v>
      </c>
      <c r="AZ103" s="27">
        <v>1704</v>
      </c>
      <c r="BA103" s="26">
        <v>96</v>
      </c>
      <c r="BB103" s="378" t="s">
        <v>4884</v>
      </c>
      <c r="BC103" s="379" t="s">
        <v>4884</v>
      </c>
      <c r="BE103" s="27">
        <v>1707</v>
      </c>
      <c r="BF103" s="26">
        <v>96</v>
      </c>
      <c r="BG103" s="378" t="s">
        <v>4884</v>
      </c>
      <c r="BH103" s="379" t="s">
        <v>4884</v>
      </c>
    </row>
    <row r="104" spans="2:60">
      <c r="B104" s="21">
        <v>1504</v>
      </c>
      <c r="C104" s="22">
        <v>97</v>
      </c>
      <c r="D104" s="376" t="s">
        <v>4884</v>
      </c>
      <c r="E104" s="375" t="s">
        <v>4884</v>
      </c>
      <c r="G104" s="12">
        <v>1507</v>
      </c>
      <c r="H104" s="13">
        <v>97</v>
      </c>
      <c r="I104" s="376" t="s">
        <v>4884</v>
      </c>
      <c r="J104" s="377" t="s">
        <v>4884</v>
      </c>
      <c r="L104" s="12">
        <v>1606</v>
      </c>
      <c r="M104" s="13">
        <v>97</v>
      </c>
      <c r="N104" s="376" t="s">
        <v>4884</v>
      </c>
      <c r="O104" s="375" t="s">
        <v>4884</v>
      </c>
      <c r="Q104" s="12">
        <v>1609</v>
      </c>
      <c r="R104" s="13">
        <v>97</v>
      </c>
      <c r="S104" s="376" t="s">
        <v>4884</v>
      </c>
      <c r="T104" s="375" t="s">
        <v>4884</v>
      </c>
      <c r="V104" s="12">
        <v>1501</v>
      </c>
      <c r="W104" s="13">
        <v>97</v>
      </c>
      <c r="X104" s="376" t="s">
        <v>4884</v>
      </c>
      <c r="Y104" s="377" t="s">
        <v>4884</v>
      </c>
      <c r="AA104" s="12">
        <v>1803</v>
      </c>
      <c r="AB104" s="13">
        <v>97</v>
      </c>
      <c r="AC104" s="376" t="s">
        <v>4884</v>
      </c>
      <c r="AD104" s="377" t="s">
        <v>4884</v>
      </c>
      <c r="AF104" s="12">
        <v>1806</v>
      </c>
      <c r="AG104" s="13">
        <v>97</v>
      </c>
      <c r="AH104" s="376" t="s">
        <v>4884</v>
      </c>
      <c r="AI104" s="377" t="s">
        <v>4884</v>
      </c>
      <c r="AK104" s="12">
        <v>1809</v>
      </c>
      <c r="AL104" s="13">
        <v>97</v>
      </c>
      <c r="AM104" s="376" t="s">
        <v>4884</v>
      </c>
      <c r="AN104" s="377" t="s">
        <v>4884</v>
      </c>
      <c r="AP104" s="18">
        <v>1603</v>
      </c>
      <c r="AQ104" s="13">
        <v>97</v>
      </c>
      <c r="AR104" s="376" t="s">
        <v>4884</v>
      </c>
      <c r="AS104" s="377" t="s">
        <v>4884</v>
      </c>
      <c r="AU104" s="18">
        <v>1701</v>
      </c>
      <c r="AV104" s="13">
        <v>97</v>
      </c>
      <c r="AW104" s="376" t="s">
        <v>4884</v>
      </c>
      <c r="AX104" s="377" t="s">
        <v>4884</v>
      </c>
      <c r="AZ104" s="18">
        <v>1704</v>
      </c>
      <c r="BA104" s="13">
        <v>97</v>
      </c>
      <c r="BB104" s="376" t="s">
        <v>4884</v>
      </c>
      <c r="BC104" s="377" t="s">
        <v>4884</v>
      </c>
      <c r="BE104" s="18">
        <v>1707</v>
      </c>
      <c r="BF104" s="13">
        <v>97</v>
      </c>
      <c r="BG104" s="376" t="s">
        <v>4884</v>
      </c>
      <c r="BH104" s="377" t="s">
        <v>4884</v>
      </c>
    </row>
    <row r="105" spans="2:60">
      <c r="B105" s="21">
        <v>1504</v>
      </c>
      <c r="C105" s="22">
        <v>98</v>
      </c>
      <c r="D105" s="374" t="s">
        <v>4884</v>
      </c>
      <c r="E105" s="375" t="s">
        <v>4884</v>
      </c>
      <c r="G105" s="21">
        <v>1507</v>
      </c>
      <c r="H105" s="22">
        <v>98</v>
      </c>
      <c r="I105" s="374" t="s">
        <v>7911</v>
      </c>
      <c r="J105" s="375" t="s">
        <v>905</v>
      </c>
      <c r="L105" s="21">
        <v>1606</v>
      </c>
      <c r="M105" s="22">
        <v>98</v>
      </c>
      <c r="N105" s="374" t="s">
        <v>4884</v>
      </c>
      <c r="O105" s="375" t="s">
        <v>4884</v>
      </c>
      <c r="Q105" s="21">
        <v>1609</v>
      </c>
      <c r="R105" s="22">
        <v>98</v>
      </c>
      <c r="S105" s="374" t="s">
        <v>4884</v>
      </c>
      <c r="T105" s="375" t="s">
        <v>4884</v>
      </c>
      <c r="V105" s="21">
        <v>1501</v>
      </c>
      <c r="W105" s="22">
        <v>98</v>
      </c>
      <c r="X105" s="374" t="s">
        <v>4884</v>
      </c>
      <c r="Y105" s="375" t="s">
        <v>4884</v>
      </c>
      <c r="AA105" s="21">
        <v>1803</v>
      </c>
      <c r="AB105" s="22">
        <v>98</v>
      </c>
      <c r="AC105" s="374" t="s">
        <v>4884</v>
      </c>
      <c r="AD105" s="375" t="s">
        <v>4884</v>
      </c>
      <c r="AF105" s="21">
        <v>1806</v>
      </c>
      <c r="AG105" s="22">
        <v>98</v>
      </c>
      <c r="AH105" s="374" t="s">
        <v>4884</v>
      </c>
      <c r="AI105" s="375" t="s">
        <v>4884</v>
      </c>
      <c r="AK105" s="21">
        <v>1809</v>
      </c>
      <c r="AL105" s="22">
        <v>98</v>
      </c>
      <c r="AM105" s="374" t="s">
        <v>4884</v>
      </c>
      <c r="AN105" s="375" t="s">
        <v>4884</v>
      </c>
      <c r="AP105" s="23">
        <v>1603</v>
      </c>
      <c r="AQ105" s="22">
        <v>98</v>
      </c>
      <c r="AR105" s="374" t="s">
        <v>4884</v>
      </c>
      <c r="AS105" s="375" t="s">
        <v>4884</v>
      </c>
      <c r="AU105" s="23">
        <v>1701</v>
      </c>
      <c r="AV105" s="22">
        <v>98</v>
      </c>
      <c r="AW105" s="374" t="s">
        <v>7899</v>
      </c>
      <c r="AX105" s="375" t="s">
        <v>901</v>
      </c>
      <c r="AZ105" s="23">
        <v>1704</v>
      </c>
      <c r="BA105" s="22">
        <v>98</v>
      </c>
      <c r="BB105" s="374" t="s">
        <v>4884</v>
      </c>
      <c r="BC105" s="375" t="s">
        <v>4884</v>
      </c>
      <c r="BE105" s="23">
        <v>1707</v>
      </c>
      <c r="BF105" s="22">
        <v>98</v>
      </c>
      <c r="BG105" s="374" t="s">
        <v>4884</v>
      </c>
      <c r="BH105" s="375" t="s">
        <v>4884</v>
      </c>
    </row>
    <row r="106" spans="2:60">
      <c r="B106" s="21">
        <v>1504</v>
      </c>
      <c r="C106" s="22">
        <v>99</v>
      </c>
      <c r="D106" s="374" t="s">
        <v>4884</v>
      </c>
      <c r="E106" s="375" t="s">
        <v>4884</v>
      </c>
      <c r="G106" s="21">
        <v>1507</v>
      </c>
      <c r="H106" s="22">
        <v>99</v>
      </c>
      <c r="I106" s="374" t="s">
        <v>4884</v>
      </c>
      <c r="J106" s="375" t="s">
        <v>4884</v>
      </c>
      <c r="L106" s="21">
        <v>1606</v>
      </c>
      <c r="M106" s="22">
        <v>99</v>
      </c>
      <c r="N106" s="374" t="s">
        <v>4884</v>
      </c>
      <c r="O106" s="375" t="s">
        <v>4884</v>
      </c>
      <c r="Q106" s="21">
        <v>1609</v>
      </c>
      <c r="R106" s="22">
        <v>99</v>
      </c>
      <c r="S106" s="374" t="s">
        <v>4884</v>
      </c>
      <c r="T106" s="375" t="s">
        <v>4884</v>
      </c>
      <c r="V106" s="21">
        <v>1501</v>
      </c>
      <c r="W106" s="22">
        <v>99</v>
      </c>
      <c r="X106" s="374" t="s">
        <v>4884</v>
      </c>
      <c r="Y106" s="375" t="s">
        <v>4884</v>
      </c>
      <c r="AA106" s="21">
        <v>1803</v>
      </c>
      <c r="AB106" s="22">
        <v>99</v>
      </c>
      <c r="AC106" s="374" t="s">
        <v>4884</v>
      </c>
      <c r="AD106" s="375" t="s">
        <v>4884</v>
      </c>
      <c r="AF106" s="21">
        <v>1806</v>
      </c>
      <c r="AG106" s="22">
        <v>99</v>
      </c>
      <c r="AH106" s="374" t="s">
        <v>7890</v>
      </c>
      <c r="AI106" s="375" t="s">
        <v>895</v>
      </c>
      <c r="AK106" s="21">
        <v>1809</v>
      </c>
      <c r="AL106" s="22">
        <v>99</v>
      </c>
      <c r="AM106" s="374" t="s">
        <v>4884</v>
      </c>
      <c r="AN106" s="375" t="s">
        <v>4884</v>
      </c>
      <c r="AP106" s="23">
        <v>1603</v>
      </c>
      <c r="AQ106" s="22">
        <v>99</v>
      </c>
      <c r="AR106" s="374" t="s">
        <v>4884</v>
      </c>
      <c r="AS106" s="375" t="s">
        <v>4884</v>
      </c>
      <c r="AU106" s="23">
        <v>1701</v>
      </c>
      <c r="AV106" s="22">
        <v>99</v>
      </c>
      <c r="AW106" s="374" t="s">
        <v>7978</v>
      </c>
      <c r="AX106" s="375" t="s">
        <v>915</v>
      </c>
      <c r="AZ106" s="23">
        <v>1704</v>
      </c>
      <c r="BA106" s="22">
        <v>99</v>
      </c>
      <c r="BB106" s="374" t="s">
        <v>4884</v>
      </c>
      <c r="BC106" s="375" t="s">
        <v>4884</v>
      </c>
      <c r="BE106" s="23">
        <v>1707</v>
      </c>
      <c r="BF106" s="22">
        <v>99</v>
      </c>
      <c r="BG106" s="374" t="s">
        <v>4884</v>
      </c>
      <c r="BH106" s="375" t="s">
        <v>4884</v>
      </c>
    </row>
    <row r="107" spans="2:60">
      <c r="B107" s="21">
        <v>1504</v>
      </c>
      <c r="C107" s="22">
        <v>100</v>
      </c>
      <c r="D107" s="374" t="s">
        <v>4884</v>
      </c>
      <c r="E107" s="375" t="s">
        <v>4884</v>
      </c>
      <c r="G107" s="21">
        <v>1507</v>
      </c>
      <c r="H107" s="22">
        <v>100</v>
      </c>
      <c r="I107" s="374" t="s">
        <v>7979</v>
      </c>
      <c r="J107" s="375" t="s">
        <v>855</v>
      </c>
      <c r="L107" s="21">
        <v>1606</v>
      </c>
      <c r="M107" s="22">
        <v>100</v>
      </c>
      <c r="N107" s="374" t="s">
        <v>4884</v>
      </c>
      <c r="O107" s="375" t="s">
        <v>4884</v>
      </c>
      <c r="Q107" s="21">
        <v>1609</v>
      </c>
      <c r="R107" s="22">
        <v>100</v>
      </c>
      <c r="S107" s="374" t="s">
        <v>4884</v>
      </c>
      <c r="T107" s="375" t="s">
        <v>4884</v>
      </c>
      <c r="V107" s="21">
        <v>1501</v>
      </c>
      <c r="W107" s="22">
        <v>100</v>
      </c>
      <c r="X107" s="374" t="s">
        <v>4884</v>
      </c>
      <c r="Y107" s="375" t="s">
        <v>4884</v>
      </c>
      <c r="AA107" s="21">
        <v>1803</v>
      </c>
      <c r="AB107" s="22">
        <v>100</v>
      </c>
      <c r="AC107" s="374" t="s">
        <v>4884</v>
      </c>
      <c r="AD107" s="375" t="s">
        <v>4884</v>
      </c>
      <c r="AF107" s="21">
        <v>1806</v>
      </c>
      <c r="AG107" s="22">
        <v>100</v>
      </c>
      <c r="AH107" s="374" t="s">
        <v>7900</v>
      </c>
      <c r="AI107" s="375" t="s">
        <v>927</v>
      </c>
      <c r="AK107" s="21">
        <v>1809</v>
      </c>
      <c r="AL107" s="22">
        <v>100</v>
      </c>
      <c r="AM107" s="374" t="s">
        <v>4884</v>
      </c>
      <c r="AN107" s="375" t="s">
        <v>4884</v>
      </c>
      <c r="AP107" s="23">
        <v>1603</v>
      </c>
      <c r="AQ107" s="22">
        <v>100</v>
      </c>
      <c r="AR107" s="374" t="s">
        <v>4884</v>
      </c>
      <c r="AS107" s="375" t="s">
        <v>4884</v>
      </c>
      <c r="AU107" s="23">
        <v>1701</v>
      </c>
      <c r="AV107" s="22">
        <v>100</v>
      </c>
      <c r="AW107" s="374" t="s">
        <v>4884</v>
      </c>
      <c r="AX107" s="375" t="s">
        <v>4884</v>
      </c>
      <c r="AZ107" s="23">
        <v>1704</v>
      </c>
      <c r="BA107" s="22">
        <v>100</v>
      </c>
      <c r="BB107" s="374" t="s">
        <v>4884</v>
      </c>
      <c r="BC107" s="375" t="s">
        <v>4884</v>
      </c>
      <c r="BE107" s="23">
        <v>1707</v>
      </c>
      <c r="BF107" s="22">
        <v>100</v>
      </c>
      <c r="BG107" s="374" t="s">
        <v>4884</v>
      </c>
      <c r="BH107" s="375" t="s">
        <v>4884</v>
      </c>
    </row>
    <row r="108" spans="2:60">
      <c r="B108" s="21">
        <v>1504</v>
      </c>
      <c r="C108" s="22">
        <v>101</v>
      </c>
      <c r="D108" s="374" t="s">
        <v>4884</v>
      </c>
      <c r="E108" s="375" t="s">
        <v>4884</v>
      </c>
      <c r="G108" s="21">
        <v>1507</v>
      </c>
      <c r="H108" s="22">
        <v>101</v>
      </c>
      <c r="I108" s="374" t="s">
        <v>7980</v>
      </c>
      <c r="J108" s="375" t="s">
        <v>815</v>
      </c>
      <c r="L108" s="21">
        <v>1606</v>
      </c>
      <c r="M108" s="22">
        <v>101</v>
      </c>
      <c r="N108" s="374" t="s">
        <v>4884</v>
      </c>
      <c r="O108" s="375" t="s">
        <v>4884</v>
      </c>
      <c r="Q108" s="21">
        <v>1609</v>
      </c>
      <c r="R108" s="22">
        <v>101</v>
      </c>
      <c r="S108" s="374" t="s">
        <v>4884</v>
      </c>
      <c r="T108" s="375" t="s">
        <v>4884</v>
      </c>
      <c r="V108" s="21">
        <v>1501</v>
      </c>
      <c r="W108" s="22">
        <v>101</v>
      </c>
      <c r="X108" s="374" t="s">
        <v>4884</v>
      </c>
      <c r="Y108" s="375" t="s">
        <v>4884</v>
      </c>
      <c r="AA108" s="21">
        <v>1803</v>
      </c>
      <c r="AB108" s="22">
        <v>101</v>
      </c>
      <c r="AC108" s="374" t="s">
        <v>4884</v>
      </c>
      <c r="AD108" s="375" t="s">
        <v>4884</v>
      </c>
      <c r="AF108" s="21">
        <v>1806</v>
      </c>
      <c r="AG108" s="22">
        <v>101</v>
      </c>
      <c r="AH108" s="374" t="s">
        <v>4884</v>
      </c>
      <c r="AI108" s="375" t="s">
        <v>4884</v>
      </c>
      <c r="AK108" s="21">
        <v>1809</v>
      </c>
      <c r="AL108" s="22">
        <v>101</v>
      </c>
      <c r="AM108" s="374" t="s">
        <v>4884</v>
      </c>
      <c r="AN108" s="375" t="s">
        <v>4884</v>
      </c>
      <c r="AP108" s="23">
        <v>1603</v>
      </c>
      <c r="AQ108" s="22">
        <v>101</v>
      </c>
      <c r="AR108" s="374" t="s">
        <v>4884</v>
      </c>
      <c r="AS108" s="375" t="s">
        <v>4884</v>
      </c>
      <c r="AU108" s="23">
        <v>1701</v>
      </c>
      <c r="AV108" s="22">
        <v>101</v>
      </c>
      <c r="AW108" s="374" t="s">
        <v>7970</v>
      </c>
      <c r="AX108" s="375" t="s">
        <v>889</v>
      </c>
      <c r="AZ108" s="23">
        <v>1704</v>
      </c>
      <c r="BA108" s="22">
        <v>101</v>
      </c>
      <c r="BB108" s="374" t="s">
        <v>4884</v>
      </c>
      <c r="BC108" s="375" t="s">
        <v>4884</v>
      </c>
      <c r="BE108" s="23">
        <v>1707</v>
      </c>
      <c r="BF108" s="22">
        <v>101</v>
      </c>
      <c r="BG108" s="374" t="s">
        <v>4884</v>
      </c>
      <c r="BH108" s="375" t="s">
        <v>4884</v>
      </c>
    </row>
    <row r="109" spans="2:60">
      <c r="B109" s="21">
        <v>1504</v>
      </c>
      <c r="C109" s="22">
        <v>102</v>
      </c>
      <c r="D109" s="374" t="s">
        <v>4884</v>
      </c>
      <c r="E109" s="375" t="s">
        <v>4884</v>
      </c>
      <c r="G109" s="21">
        <v>1507</v>
      </c>
      <c r="H109" s="22">
        <v>102</v>
      </c>
      <c r="I109" s="374" t="s">
        <v>4884</v>
      </c>
      <c r="J109" s="375" t="s">
        <v>4884</v>
      </c>
      <c r="L109" s="21">
        <v>1606</v>
      </c>
      <c r="M109" s="22">
        <v>102</v>
      </c>
      <c r="N109" s="374" t="s">
        <v>4884</v>
      </c>
      <c r="O109" s="375" t="s">
        <v>4884</v>
      </c>
      <c r="Q109" s="21">
        <v>1609</v>
      </c>
      <c r="R109" s="22">
        <v>102</v>
      </c>
      <c r="S109" s="374" t="s">
        <v>4884</v>
      </c>
      <c r="T109" s="375" t="s">
        <v>4884</v>
      </c>
      <c r="V109" s="21">
        <v>1501</v>
      </c>
      <c r="W109" s="22">
        <v>102</v>
      </c>
      <c r="X109" s="374" t="s">
        <v>4884</v>
      </c>
      <c r="Y109" s="375" t="s">
        <v>4884</v>
      </c>
      <c r="AA109" s="21">
        <v>1803</v>
      </c>
      <c r="AB109" s="22">
        <v>102</v>
      </c>
      <c r="AC109" s="374" t="s">
        <v>4884</v>
      </c>
      <c r="AD109" s="375" t="s">
        <v>4884</v>
      </c>
      <c r="AF109" s="21">
        <v>1806</v>
      </c>
      <c r="AG109" s="22">
        <v>102</v>
      </c>
      <c r="AH109" s="374" t="s">
        <v>4884</v>
      </c>
      <c r="AI109" s="375" t="s">
        <v>4884</v>
      </c>
      <c r="AK109" s="21">
        <v>1809</v>
      </c>
      <c r="AL109" s="22">
        <v>102</v>
      </c>
      <c r="AM109" s="374" t="s">
        <v>4884</v>
      </c>
      <c r="AN109" s="375" t="s">
        <v>4884</v>
      </c>
      <c r="AP109" s="23">
        <v>1603</v>
      </c>
      <c r="AQ109" s="22">
        <v>102</v>
      </c>
      <c r="AR109" s="374" t="s">
        <v>4884</v>
      </c>
      <c r="AS109" s="375" t="s">
        <v>4884</v>
      </c>
      <c r="AU109" s="23">
        <v>1701</v>
      </c>
      <c r="AV109" s="22">
        <v>102</v>
      </c>
      <c r="AW109" s="374" t="s">
        <v>4884</v>
      </c>
      <c r="AX109" s="375" t="s">
        <v>4884</v>
      </c>
      <c r="AZ109" s="23">
        <v>1704</v>
      </c>
      <c r="BA109" s="22">
        <v>102</v>
      </c>
      <c r="BB109" s="374" t="s">
        <v>4884</v>
      </c>
      <c r="BC109" s="375" t="s">
        <v>4884</v>
      </c>
      <c r="BE109" s="23">
        <v>1707</v>
      </c>
      <c r="BF109" s="22">
        <v>102</v>
      </c>
      <c r="BG109" s="374" t="s">
        <v>4884</v>
      </c>
      <c r="BH109" s="375" t="s">
        <v>4884</v>
      </c>
    </row>
    <row r="110" spans="2:60">
      <c r="B110" s="21">
        <v>1504</v>
      </c>
      <c r="C110" s="22">
        <v>103</v>
      </c>
      <c r="D110" s="374" t="s">
        <v>4884</v>
      </c>
      <c r="E110" s="375" t="s">
        <v>4884</v>
      </c>
      <c r="G110" s="21">
        <v>1507</v>
      </c>
      <c r="H110" s="22">
        <v>103</v>
      </c>
      <c r="I110" s="374" t="s">
        <v>4884</v>
      </c>
      <c r="J110" s="375" t="s">
        <v>4884</v>
      </c>
      <c r="L110" s="21">
        <v>1606</v>
      </c>
      <c r="M110" s="22">
        <v>103</v>
      </c>
      <c r="N110" s="374" t="s">
        <v>4884</v>
      </c>
      <c r="O110" s="375" t="s">
        <v>4884</v>
      </c>
      <c r="Q110" s="21">
        <v>1609</v>
      </c>
      <c r="R110" s="22">
        <v>103</v>
      </c>
      <c r="S110" s="374" t="s">
        <v>4884</v>
      </c>
      <c r="T110" s="375" t="s">
        <v>4884</v>
      </c>
      <c r="V110" s="21">
        <v>1501</v>
      </c>
      <c r="W110" s="22">
        <v>103</v>
      </c>
      <c r="X110" s="374" t="s">
        <v>4884</v>
      </c>
      <c r="Y110" s="375" t="s">
        <v>4884</v>
      </c>
      <c r="AA110" s="21">
        <v>1803</v>
      </c>
      <c r="AB110" s="22">
        <v>103</v>
      </c>
      <c r="AC110" s="374" t="s">
        <v>4884</v>
      </c>
      <c r="AD110" s="375" t="s">
        <v>4884</v>
      </c>
      <c r="AF110" s="21">
        <v>1806</v>
      </c>
      <c r="AG110" s="22">
        <v>103</v>
      </c>
      <c r="AH110" s="374" t="s">
        <v>7885</v>
      </c>
      <c r="AI110" s="375" t="s">
        <v>885</v>
      </c>
      <c r="AK110" s="21">
        <v>1809</v>
      </c>
      <c r="AL110" s="22">
        <v>103</v>
      </c>
      <c r="AM110" s="374" t="s">
        <v>4884</v>
      </c>
      <c r="AN110" s="375" t="s">
        <v>4884</v>
      </c>
      <c r="AP110" s="23">
        <v>1603</v>
      </c>
      <c r="AQ110" s="22">
        <v>103</v>
      </c>
      <c r="AR110" s="374" t="s">
        <v>4884</v>
      </c>
      <c r="AS110" s="375" t="s">
        <v>4884</v>
      </c>
      <c r="AU110" s="23">
        <v>1701</v>
      </c>
      <c r="AV110" s="22">
        <v>103</v>
      </c>
      <c r="AW110" s="374" t="s">
        <v>7979</v>
      </c>
      <c r="AX110" s="375" t="s">
        <v>855</v>
      </c>
      <c r="AZ110" s="23">
        <v>1704</v>
      </c>
      <c r="BA110" s="22">
        <v>103</v>
      </c>
      <c r="BB110" s="374" t="s">
        <v>4884</v>
      </c>
      <c r="BC110" s="375" t="s">
        <v>4884</v>
      </c>
      <c r="BE110" s="23">
        <v>1707</v>
      </c>
      <c r="BF110" s="22">
        <v>103</v>
      </c>
      <c r="BG110" s="374" t="s">
        <v>4884</v>
      </c>
      <c r="BH110" s="375" t="s">
        <v>4884</v>
      </c>
    </row>
    <row r="111" spans="2:60">
      <c r="B111" s="21">
        <v>1504</v>
      </c>
      <c r="C111" s="22">
        <v>104</v>
      </c>
      <c r="D111" s="374" t="s">
        <v>4884</v>
      </c>
      <c r="E111" s="375" t="s">
        <v>4884</v>
      </c>
      <c r="G111" s="21">
        <v>1507</v>
      </c>
      <c r="H111" s="22">
        <v>104</v>
      </c>
      <c r="I111" s="374" t="s">
        <v>4884</v>
      </c>
      <c r="J111" s="375" t="s">
        <v>4884</v>
      </c>
      <c r="L111" s="21">
        <v>1606</v>
      </c>
      <c r="M111" s="22">
        <v>104</v>
      </c>
      <c r="N111" s="374" t="s">
        <v>4884</v>
      </c>
      <c r="O111" s="375" t="s">
        <v>4884</v>
      </c>
      <c r="Q111" s="21">
        <v>1609</v>
      </c>
      <c r="R111" s="22">
        <v>104</v>
      </c>
      <c r="S111" s="374" t="s">
        <v>4884</v>
      </c>
      <c r="T111" s="375" t="s">
        <v>4884</v>
      </c>
      <c r="V111" s="21">
        <v>1501</v>
      </c>
      <c r="W111" s="22">
        <v>104</v>
      </c>
      <c r="X111" s="374" t="s">
        <v>4884</v>
      </c>
      <c r="Y111" s="375" t="s">
        <v>4884</v>
      </c>
      <c r="AA111" s="21">
        <v>1803</v>
      </c>
      <c r="AB111" s="22">
        <v>104</v>
      </c>
      <c r="AC111" s="374" t="s">
        <v>4884</v>
      </c>
      <c r="AD111" s="375" t="s">
        <v>4884</v>
      </c>
      <c r="AF111" s="21">
        <v>1806</v>
      </c>
      <c r="AG111" s="22">
        <v>104</v>
      </c>
      <c r="AH111" s="374" t="s">
        <v>4884</v>
      </c>
      <c r="AI111" s="375" t="s">
        <v>4884</v>
      </c>
      <c r="AK111" s="21">
        <v>1809</v>
      </c>
      <c r="AL111" s="22">
        <v>104</v>
      </c>
      <c r="AM111" s="374" t="s">
        <v>4884</v>
      </c>
      <c r="AN111" s="375" t="s">
        <v>4884</v>
      </c>
      <c r="AP111" s="23">
        <v>1603</v>
      </c>
      <c r="AQ111" s="22">
        <v>104</v>
      </c>
      <c r="AR111" s="374" t="s">
        <v>4884</v>
      </c>
      <c r="AS111" s="375" t="s">
        <v>4884</v>
      </c>
      <c r="AU111" s="23">
        <v>1701</v>
      </c>
      <c r="AV111" s="22">
        <v>104</v>
      </c>
      <c r="AW111" s="374" t="s">
        <v>7885</v>
      </c>
      <c r="AX111" s="375" t="s">
        <v>885</v>
      </c>
      <c r="AZ111" s="23">
        <v>1704</v>
      </c>
      <c r="BA111" s="22">
        <v>104</v>
      </c>
      <c r="BB111" s="374" t="s">
        <v>4884</v>
      </c>
      <c r="BC111" s="375" t="s">
        <v>4884</v>
      </c>
      <c r="BE111" s="23">
        <v>1707</v>
      </c>
      <c r="BF111" s="22">
        <v>104</v>
      </c>
      <c r="BG111" s="374" t="s">
        <v>4884</v>
      </c>
      <c r="BH111" s="375" t="s">
        <v>4884</v>
      </c>
    </row>
    <row r="112" spans="2:60">
      <c r="B112" s="21">
        <v>1504</v>
      </c>
      <c r="C112" s="22">
        <v>105</v>
      </c>
      <c r="D112" s="374" t="s">
        <v>4884</v>
      </c>
      <c r="E112" s="375" t="s">
        <v>4884</v>
      </c>
      <c r="G112" s="21">
        <v>1507</v>
      </c>
      <c r="H112" s="22">
        <v>105</v>
      </c>
      <c r="I112" s="374" t="s">
        <v>4884</v>
      </c>
      <c r="J112" s="375" t="s">
        <v>4884</v>
      </c>
      <c r="L112" s="21">
        <v>1606</v>
      </c>
      <c r="M112" s="22">
        <v>105</v>
      </c>
      <c r="N112" s="374" t="s">
        <v>4884</v>
      </c>
      <c r="O112" s="375" t="s">
        <v>4884</v>
      </c>
      <c r="Q112" s="21">
        <v>1609</v>
      </c>
      <c r="R112" s="22">
        <v>105</v>
      </c>
      <c r="S112" s="374" t="s">
        <v>4884</v>
      </c>
      <c r="T112" s="375" t="s">
        <v>4884</v>
      </c>
      <c r="V112" s="21">
        <v>1501</v>
      </c>
      <c r="W112" s="22">
        <v>105</v>
      </c>
      <c r="X112" s="374" t="s">
        <v>4884</v>
      </c>
      <c r="Y112" s="375" t="s">
        <v>4884</v>
      </c>
      <c r="AA112" s="21">
        <v>1803</v>
      </c>
      <c r="AB112" s="22">
        <v>105</v>
      </c>
      <c r="AC112" s="374" t="s">
        <v>4884</v>
      </c>
      <c r="AD112" s="375" t="s">
        <v>4884</v>
      </c>
      <c r="AF112" s="21">
        <v>1806</v>
      </c>
      <c r="AG112" s="22">
        <v>105</v>
      </c>
      <c r="AH112" s="374" t="s">
        <v>7979</v>
      </c>
      <c r="AI112" s="375" t="s">
        <v>855</v>
      </c>
      <c r="AK112" s="21">
        <v>1809</v>
      </c>
      <c r="AL112" s="22">
        <v>105</v>
      </c>
      <c r="AM112" s="374" t="s">
        <v>4884</v>
      </c>
      <c r="AN112" s="375" t="s">
        <v>4884</v>
      </c>
      <c r="AP112" s="23">
        <v>1603</v>
      </c>
      <c r="AQ112" s="22">
        <v>105</v>
      </c>
      <c r="AR112" s="374" t="s">
        <v>4884</v>
      </c>
      <c r="AS112" s="375" t="s">
        <v>4884</v>
      </c>
      <c r="AU112" s="23">
        <v>1701</v>
      </c>
      <c r="AV112" s="22">
        <v>105</v>
      </c>
      <c r="AW112" s="374" t="s">
        <v>4884</v>
      </c>
      <c r="AX112" s="375" t="s">
        <v>4884</v>
      </c>
      <c r="AZ112" s="23">
        <v>1704</v>
      </c>
      <c r="BA112" s="22">
        <v>105</v>
      </c>
      <c r="BB112" s="374" t="s">
        <v>4884</v>
      </c>
      <c r="BC112" s="375" t="s">
        <v>4884</v>
      </c>
      <c r="BE112" s="23">
        <v>1707</v>
      </c>
      <c r="BF112" s="22">
        <v>105</v>
      </c>
      <c r="BG112" s="374" t="s">
        <v>4884</v>
      </c>
      <c r="BH112" s="375" t="s">
        <v>4884</v>
      </c>
    </row>
    <row r="113" spans="2:60">
      <c r="B113" s="21">
        <v>1504</v>
      </c>
      <c r="C113" s="22">
        <v>106</v>
      </c>
      <c r="D113" s="374" t="s">
        <v>4884</v>
      </c>
      <c r="E113" s="375" t="s">
        <v>4884</v>
      </c>
      <c r="G113" s="21">
        <v>1507</v>
      </c>
      <c r="H113" s="22">
        <v>106</v>
      </c>
      <c r="I113" s="374" t="s">
        <v>4884</v>
      </c>
      <c r="J113" s="375" t="s">
        <v>4884</v>
      </c>
      <c r="L113" s="21">
        <v>1606</v>
      </c>
      <c r="M113" s="22">
        <v>106</v>
      </c>
      <c r="N113" s="374" t="s">
        <v>4884</v>
      </c>
      <c r="O113" s="375" t="s">
        <v>4884</v>
      </c>
      <c r="Q113" s="21">
        <v>1609</v>
      </c>
      <c r="R113" s="22">
        <v>106</v>
      </c>
      <c r="S113" s="374" t="s">
        <v>4884</v>
      </c>
      <c r="T113" s="375" t="s">
        <v>4884</v>
      </c>
      <c r="V113" s="21">
        <v>1501</v>
      </c>
      <c r="W113" s="22">
        <v>106</v>
      </c>
      <c r="X113" s="374" t="s">
        <v>4884</v>
      </c>
      <c r="Y113" s="375" t="s">
        <v>4884</v>
      </c>
      <c r="AA113" s="21">
        <v>1803</v>
      </c>
      <c r="AB113" s="22">
        <v>106</v>
      </c>
      <c r="AC113" s="374" t="s">
        <v>4884</v>
      </c>
      <c r="AD113" s="375" t="s">
        <v>4884</v>
      </c>
      <c r="AF113" s="21">
        <v>1806</v>
      </c>
      <c r="AG113" s="22">
        <v>106</v>
      </c>
      <c r="AH113" s="374" t="s">
        <v>7978</v>
      </c>
      <c r="AI113" s="375" t="s">
        <v>915</v>
      </c>
      <c r="AK113" s="21">
        <v>1809</v>
      </c>
      <c r="AL113" s="22">
        <v>106</v>
      </c>
      <c r="AM113" s="374" t="s">
        <v>4884</v>
      </c>
      <c r="AN113" s="375" t="s">
        <v>4884</v>
      </c>
      <c r="AP113" s="23">
        <v>1603</v>
      </c>
      <c r="AQ113" s="22">
        <v>106</v>
      </c>
      <c r="AR113" s="374" t="s">
        <v>4884</v>
      </c>
      <c r="AS113" s="375" t="s">
        <v>4884</v>
      </c>
      <c r="AU113" s="23">
        <v>1701</v>
      </c>
      <c r="AV113" s="22">
        <v>106</v>
      </c>
      <c r="AW113" s="374" t="s">
        <v>4884</v>
      </c>
      <c r="AX113" s="375" t="s">
        <v>4884</v>
      </c>
      <c r="AZ113" s="23">
        <v>1704</v>
      </c>
      <c r="BA113" s="22">
        <v>106</v>
      </c>
      <c r="BB113" s="374" t="s">
        <v>4884</v>
      </c>
      <c r="BC113" s="375" t="s">
        <v>4884</v>
      </c>
      <c r="BE113" s="23">
        <v>1707</v>
      </c>
      <c r="BF113" s="22">
        <v>106</v>
      </c>
      <c r="BG113" s="374" t="s">
        <v>4884</v>
      </c>
      <c r="BH113" s="375" t="s">
        <v>4884</v>
      </c>
    </row>
    <row r="114" spans="2:60">
      <c r="B114" s="21">
        <v>1504</v>
      </c>
      <c r="C114" s="22">
        <v>107</v>
      </c>
      <c r="D114" s="374" t="s">
        <v>4884</v>
      </c>
      <c r="E114" s="375" t="s">
        <v>4884</v>
      </c>
      <c r="G114" s="21">
        <v>1507</v>
      </c>
      <c r="H114" s="22">
        <v>107</v>
      </c>
      <c r="I114" s="374" t="s">
        <v>4884</v>
      </c>
      <c r="J114" s="375" t="s">
        <v>4884</v>
      </c>
      <c r="L114" s="21">
        <v>1606</v>
      </c>
      <c r="M114" s="22">
        <v>107</v>
      </c>
      <c r="N114" s="374" t="s">
        <v>4884</v>
      </c>
      <c r="O114" s="375" t="s">
        <v>4884</v>
      </c>
      <c r="Q114" s="21">
        <v>1609</v>
      </c>
      <c r="R114" s="22">
        <v>107</v>
      </c>
      <c r="S114" s="374" t="s">
        <v>4884</v>
      </c>
      <c r="T114" s="375" t="s">
        <v>4884</v>
      </c>
      <c r="V114" s="21">
        <v>1501</v>
      </c>
      <c r="W114" s="22">
        <v>107</v>
      </c>
      <c r="X114" s="374" t="s">
        <v>4884</v>
      </c>
      <c r="Y114" s="375" t="s">
        <v>4884</v>
      </c>
      <c r="AA114" s="21">
        <v>1803</v>
      </c>
      <c r="AB114" s="22">
        <v>107</v>
      </c>
      <c r="AC114" s="374" t="s">
        <v>4884</v>
      </c>
      <c r="AD114" s="375" t="s">
        <v>4884</v>
      </c>
      <c r="AF114" s="21">
        <v>1806</v>
      </c>
      <c r="AG114" s="22">
        <v>107</v>
      </c>
      <c r="AH114" s="374" t="s">
        <v>4884</v>
      </c>
      <c r="AI114" s="375" t="s">
        <v>4884</v>
      </c>
      <c r="AK114" s="21">
        <v>1809</v>
      </c>
      <c r="AL114" s="22">
        <v>107</v>
      </c>
      <c r="AM114" s="374" t="s">
        <v>4884</v>
      </c>
      <c r="AN114" s="375" t="s">
        <v>4884</v>
      </c>
      <c r="AP114" s="23">
        <v>1603</v>
      </c>
      <c r="AQ114" s="22">
        <v>107</v>
      </c>
      <c r="AR114" s="374" t="s">
        <v>4884</v>
      </c>
      <c r="AS114" s="375" t="s">
        <v>4884</v>
      </c>
      <c r="AU114" s="23">
        <v>1701</v>
      </c>
      <c r="AV114" s="22">
        <v>107</v>
      </c>
      <c r="AW114" s="374" t="s">
        <v>4884</v>
      </c>
      <c r="AX114" s="375" t="s">
        <v>4884</v>
      </c>
      <c r="AZ114" s="23">
        <v>1704</v>
      </c>
      <c r="BA114" s="22">
        <v>107</v>
      </c>
      <c r="BB114" s="374" t="s">
        <v>4884</v>
      </c>
      <c r="BC114" s="375" t="s">
        <v>4884</v>
      </c>
      <c r="BE114" s="23">
        <v>1707</v>
      </c>
      <c r="BF114" s="22">
        <v>107</v>
      </c>
      <c r="BG114" s="374" t="s">
        <v>4884</v>
      </c>
      <c r="BH114" s="375" t="s">
        <v>4884</v>
      </c>
    </row>
    <row r="115" spans="2:60">
      <c r="B115" s="21">
        <v>1504</v>
      </c>
      <c r="C115" s="22">
        <v>108</v>
      </c>
      <c r="D115" s="374" t="s">
        <v>4884</v>
      </c>
      <c r="E115" s="375" t="s">
        <v>4884</v>
      </c>
      <c r="G115" s="21">
        <v>1507</v>
      </c>
      <c r="H115" s="22">
        <v>108</v>
      </c>
      <c r="I115" s="374" t="s">
        <v>7903</v>
      </c>
      <c r="J115" s="375" t="s">
        <v>967</v>
      </c>
      <c r="L115" s="21">
        <v>1606</v>
      </c>
      <c r="M115" s="22">
        <v>108</v>
      </c>
      <c r="N115" s="374" t="s">
        <v>4884</v>
      </c>
      <c r="O115" s="375" t="s">
        <v>4884</v>
      </c>
      <c r="Q115" s="21">
        <v>1609</v>
      </c>
      <c r="R115" s="22">
        <v>108</v>
      </c>
      <c r="S115" s="374" t="s">
        <v>4884</v>
      </c>
      <c r="T115" s="375" t="s">
        <v>4884</v>
      </c>
      <c r="V115" s="21">
        <v>1501</v>
      </c>
      <c r="W115" s="22">
        <v>108</v>
      </c>
      <c r="X115" s="374" t="s">
        <v>4884</v>
      </c>
      <c r="Y115" s="375" t="s">
        <v>4884</v>
      </c>
      <c r="AA115" s="21">
        <v>1803</v>
      </c>
      <c r="AB115" s="22">
        <v>108</v>
      </c>
      <c r="AC115" s="374" t="s">
        <v>4884</v>
      </c>
      <c r="AD115" s="375" t="s">
        <v>4884</v>
      </c>
      <c r="AF115" s="21">
        <v>1806</v>
      </c>
      <c r="AG115" s="22">
        <v>108</v>
      </c>
      <c r="AH115" s="374" t="s">
        <v>4884</v>
      </c>
      <c r="AI115" s="375" t="s">
        <v>4884</v>
      </c>
      <c r="AK115" s="21">
        <v>1809</v>
      </c>
      <c r="AL115" s="22">
        <v>108</v>
      </c>
      <c r="AM115" s="374" t="s">
        <v>4884</v>
      </c>
      <c r="AN115" s="375" t="s">
        <v>4884</v>
      </c>
      <c r="AP115" s="23">
        <v>1603</v>
      </c>
      <c r="AQ115" s="22">
        <v>108</v>
      </c>
      <c r="AR115" s="374" t="s">
        <v>4884</v>
      </c>
      <c r="AS115" s="375" t="s">
        <v>4884</v>
      </c>
      <c r="AU115" s="23">
        <v>1701</v>
      </c>
      <c r="AV115" s="22">
        <v>108</v>
      </c>
      <c r="AW115" s="374" t="s">
        <v>7967</v>
      </c>
      <c r="AX115" s="375" t="s">
        <v>805</v>
      </c>
      <c r="AZ115" s="23">
        <v>1704</v>
      </c>
      <c r="BA115" s="22">
        <v>108</v>
      </c>
      <c r="BB115" s="374" t="s">
        <v>4884</v>
      </c>
      <c r="BC115" s="375" t="s">
        <v>4884</v>
      </c>
      <c r="BE115" s="23">
        <v>1707</v>
      </c>
      <c r="BF115" s="22">
        <v>108</v>
      </c>
      <c r="BG115" s="374" t="s">
        <v>4884</v>
      </c>
      <c r="BH115" s="375" t="s">
        <v>4884</v>
      </c>
    </row>
    <row r="116" spans="2:60">
      <c r="B116" s="21">
        <v>1504</v>
      </c>
      <c r="C116" s="22">
        <v>109</v>
      </c>
      <c r="D116" s="374" t="s">
        <v>4884</v>
      </c>
      <c r="E116" s="375" t="s">
        <v>4884</v>
      </c>
      <c r="G116" s="21">
        <v>1507</v>
      </c>
      <c r="H116" s="22">
        <v>109</v>
      </c>
      <c r="I116" s="374" t="s">
        <v>7907</v>
      </c>
      <c r="J116" s="375" t="s">
        <v>935</v>
      </c>
      <c r="L116" s="21">
        <v>1606</v>
      </c>
      <c r="M116" s="22">
        <v>109</v>
      </c>
      <c r="N116" s="374" t="s">
        <v>4884</v>
      </c>
      <c r="O116" s="375" t="s">
        <v>4884</v>
      </c>
      <c r="Q116" s="21">
        <v>1609</v>
      </c>
      <c r="R116" s="22">
        <v>109</v>
      </c>
      <c r="S116" s="374" t="s">
        <v>4884</v>
      </c>
      <c r="T116" s="375" t="s">
        <v>4884</v>
      </c>
      <c r="V116" s="21">
        <v>1501</v>
      </c>
      <c r="W116" s="22">
        <v>109</v>
      </c>
      <c r="X116" s="374" t="s">
        <v>4884</v>
      </c>
      <c r="Y116" s="375" t="s">
        <v>4884</v>
      </c>
      <c r="AA116" s="21">
        <v>1803</v>
      </c>
      <c r="AB116" s="22">
        <v>109</v>
      </c>
      <c r="AC116" s="374" t="s">
        <v>4884</v>
      </c>
      <c r="AD116" s="375" t="s">
        <v>4884</v>
      </c>
      <c r="AF116" s="21">
        <v>1806</v>
      </c>
      <c r="AG116" s="22">
        <v>109</v>
      </c>
      <c r="AH116" s="374" t="s">
        <v>4884</v>
      </c>
      <c r="AI116" s="375" t="s">
        <v>4884</v>
      </c>
      <c r="AK116" s="21">
        <v>1809</v>
      </c>
      <c r="AL116" s="22">
        <v>109</v>
      </c>
      <c r="AM116" s="374" t="s">
        <v>7950</v>
      </c>
      <c r="AN116" s="375" t="s">
        <v>951</v>
      </c>
      <c r="AP116" s="23">
        <v>1603</v>
      </c>
      <c r="AQ116" s="22">
        <v>109</v>
      </c>
      <c r="AR116" s="374" t="s">
        <v>4884</v>
      </c>
      <c r="AS116" s="375" t="s">
        <v>4884</v>
      </c>
      <c r="AU116" s="23">
        <v>1701</v>
      </c>
      <c r="AV116" s="22">
        <v>109</v>
      </c>
      <c r="AW116" s="374" t="s">
        <v>7981</v>
      </c>
      <c r="AX116" s="375" t="s">
        <v>809</v>
      </c>
      <c r="AZ116" s="23">
        <v>1704</v>
      </c>
      <c r="BA116" s="22">
        <v>109</v>
      </c>
      <c r="BB116" s="374" t="s">
        <v>4884</v>
      </c>
      <c r="BC116" s="375" t="s">
        <v>4884</v>
      </c>
      <c r="BE116" s="23">
        <v>1707</v>
      </c>
      <c r="BF116" s="22">
        <v>109</v>
      </c>
      <c r="BG116" s="374" t="s">
        <v>4884</v>
      </c>
      <c r="BH116" s="375" t="s">
        <v>4884</v>
      </c>
    </row>
    <row r="117" spans="2:60">
      <c r="B117" s="21">
        <v>1504</v>
      </c>
      <c r="C117" s="22">
        <v>110</v>
      </c>
      <c r="D117" s="374" t="s">
        <v>4884</v>
      </c>
      <c r="E117" s="375" t="s">
        <v>4884</v>
      </c>
      <c r="G117" s="21">
        <v>1507</v>
      </c>
      <c r="H117" s="22">
        <v>110</v>
      </c>
      <c r="I117" s="374" t="s">
        <v>7910</v>
      </c>
      <c r="J117" s="375" t="s">
        <v>949</v>
      </c>
      <c r="L117" s="21">
        <v>1606</v>
      </c>
      <c r="M117" s="22">
        <v>110</v>
      </c>
      <c r="N117" s="374" t="s">
        <v>4884</v>
      </c>
      <c r="O117" s="375" t="s">
        <v>4884</v>
      </c>
      <c r="Q117" s="21">
        <v>1609</v>
      </c>
      <c r="R117" s="22">
        <v>110</v>
      </c>
      <c r="S117" s="374" t="s">
        <v>4884</v>
      </c>
      <c r="T117" s="375" t="s">
        <v>4884</v>
      </c>
      <c r="V117" s="21">
        <v>1501</v>
      </c>
      <c r="W117" s="22">
        <v>110</v>
      </c>
      <c r="X117" s="374" t="s">
        <v>4884</v>
      </c>
      <c r="Y117" s="375" t="s">
        <v>4884</v>
      </c>
      <c r="AA117" s="21">
        <v>1803</v>
      </c>
      <c r="AB117" s="22">
        <v>110</v>
      </c>
      <c r="AC117" s="374" t="s">
        <v>4884</v>
      </c>
      <c r="AD117" s="375" t="s">
        <v>4884</v>
      </c>
      <c r="AF117" s="21">
        <v>1806</v>
      </c>
      <c r="AG117" s="22">
        <v>110</v>
      </c>
      <c r="AH117" s="374" t="s">
        <v>7981</v>
      </c>
      <c r="AI117" s="375" t="s">
        <v>809</v>
      </c>
      <c r="AK117" s="21">
        <v>1809</v>
      </c>
      <c r="AL117" s="22">
        <v>110</v>
      </c>
      <c r="AM117" s="374" t="s">
        <v>7982</v>
      </c>
      <c r="AN117" s="375" t="s">
        <v>981</v>
      </c>
      <c r="AP117" s="23">
        <v>1603</v>
      </c>
      <c r="AQ117" s="22">
        <v>110</v>
      </c>
      <c r="AR117" s="374" t="s">
        <v>4884</v>
      </c>
      <c r="AS117" s="375" t="s">
        <v>4884</v>
      </c>
      <c r="AU117" s="23">
        <v>1701</v>
      </c>
      <c r="AV117" s="22">
        <v>110</v>
      </c>
      <c r="AW117" s="374" t="s">
        <v>4884</v>
      </c>
      <c r="AX117" s="375" t="s">
        <v>4884</v>
      </c>
      <c r="AZ117" s="23">
        <v>1704</v>
      </c>
      <c r="BA117" s="22">
        <v>110</v>
      </c>
      <c r="BB117" s="374" t="s">
        <v>4884</v>
      </c>
      <c r="BC117" s="375" t="s">
        <v>4884</v>
      </c>
      <c r="BE117" s="23">
        <v>1707</v>
      </c>
      <c r="BF117" s="22">
        <v>110</v>
      </c>
      <c r="BG117" s="374" t="s">
        <v>4884</v>
      </c>
      <c r="BH117" s="375" t="s">
        <v>4884</v>
      </c>
    </row>
    <row r="118" spans="2:60">
      <c r="B118" s="21">
        <v>1504</v>
      </c>
      <c r="C118" s="22">
        <v>111</v>
      </c>
      <c r="D118" s="374" t="s">
        <v>7982</v>
      </c>
      <c r="E118" s="375" t="s">
        <v>981</v>
      </c>
      <c r="G118" s="21">
        <v>1507</v>
      </c>
      <c r="H118" s="22">
        <v>111</v>
      </c>
      <c r="I118" s="374" t="s">
        <v>4884</v>
      </c>
      <c r="J118" s="375" t="s">
        <v>4884</v>
      </c>
      <c r="L118" s="21">
        <v>1606</v>
      </c>
      <c r="M118" s="22">
        <v>111</v>
      </c>
      <c r="N118" s="374" t="s">
        <v>4884</v>
      </c>
      <c r="O118" s="375" t="s">
        <v>4884</v>
      </c>
      <c r="Q118" s="21">
        <v>1609</v>
      </c>
      <c r="R118" s="22">
        <v>111</v>
      </c>
      <c r="S118" s="374" t="s">
        <v>4884</v>
      </c>
      <c r="T118" s="375" t="s">
        <v>4884</v>
      </c>
      <c r="V118" s="21">
        <v>1501</v>
      </c>
      <c r="W118" s="22">
        <v>111</v>
      </c>
      <c r="X118" s="374" t="s">
        <v>4884</v>
      </c>
      <c r="Y118" s="375" t="s">
        <v>4884</v>
      </c>
      <c r="AA118" s="21">
        <v>1803</v>
      </c>
      <c r="AB118" s="22">
        <v>111</v>
      </c>
      <c r="AC118" s="374" t="s">
        <v>4884</v>
      </c>
      <c r="AD118" s="375" t="s">
        <v>4884</v>
      </c>
      <c r="AF118" s="21">
        <v>1806</v>
      </c>
      <c r="AG118" s="22">
        <v>111</v>
      </c>
      <c r="AH118" s="374" t="s">
        <v>7983</v>
      </c>
      <c r="AI118" s="375" t="s">
        <v>847</v>
      </c>
      <c r="AK118" s="21">
        <v>1809</v>
      </c>
      <c r="AL118" s="22">
        <v>111</v>
      </c>
      <c r="AM118" s="374" t="s">
        <v>7984</v>
      </c>
      <c r="AN118" s="375" t="s">
        <v>965</v>
      </c>
      <c r="AP118" s="23">
        <v>1603</v>
      </c>
      <c r="AQ118" s="22">
        <v>111</v>
      </c>
      <c r="AR118" s="374" t="s">
        <v>7939</v>
      </c>
      <c r="AS118" s="375" t="s">
        <v>977</v>
      </c>
      <c r="AU118" s="23">
        <v>1701</v>
      </c>
      <c r="AV118" s="22">
        <v>111</v>
      </c>
      <c r="AW118" s="374" t="s">
        <v>7960</v>
      </c>
      <c r="AX118" s="375" t="s">
        <v>887</v>
      </c>
      <c r="AZ118" s="23">
        <v>1704</v>
      </c>
      <c r="BA118" s="22">
        <v>111</v>
      </c>
      <c r="BB118" s="374" t="s">
        <v>4884</v>
      </c>
      <c r="BC118" s="375" t="s">
        <v>4884</v>
      </c>
      <c r="BE118" s="23">
        <v>1707</v>
      </c>
      <c r="BF118" s="22">
        <v>111</v>
      </c>
      <c r="BG118" s="374" t="s">
        <v>4884</v>
      </c>
      <c r="BH118" s="375" t="s">
        <v>4884</v>
      </c>
    </row>
    <row r="119" spans="2:60" ht="15" thickBot="1">
      <c r="B119" s="21">
        <v>1504</v>
      </c>
      <c r="C119" s="22">
        <v>112</v>
      </c>
      <c r="D119" s="378" t="s">
        <v>7950</v>
      </c>
      <c r="E119" s="375" t="s">
        <v>951</v>
      </c>
      <c r="G119" s="25">
        <v>1507</v>
      </c>
      <c r="H119" s="26">
        <v>112</v>
      </c>
      <c r="I119" s="378" t="s">
        <v>7977</v>
      </c>
      <c r="J119" s="379" t="s">
        <v>849</v>
      </c>
      <c r="L119" s="25">
        <v>1606</v>
      </c>
      <c r="M119" s="26">
        <v>112</v>
      </c>
      <c r="N119" s="378" t="s">
        <v>4884</v>
      </c>
      <c r="O119" s="375" t="s">
        <v>4884</v>
      </c>
      <c r="Q119" s="25">
        <v>1609</v>
      </c>
      <c r="R119" s="26">
        <v>112</v>
      </c>
      <c r="S119" s="378" t="s">
        <v>4884</v>
      </c>
      <c r="T119" s="375" t="s">
        <v>4884</v>
      </c>
      <c r="V119" s="25">
        <v>1501</v>
      </c>
      <c r="W119" s="26">
        <v>112</v>
      </c>
      <c r="X119" s="378" t="s">
        <v>4884</v>
      </c>
      <c r="Y119" s="379" t="s">
        <v>4884</v>
      </c>
      <c r="AA119" s="25">
        <v>1803</v>
      </c>
      <c r="AB119" s="26">
        <v>112</v>
      </c>
      <c r="AC119" s="378" t="s">
        <v>4884</v>
      </c>
      <c r="AD119" s="379" t="s">
        <v>4884</v>
      </c>
      <c r="AF119" s="25">
        <v>1806</v>
      </c>
      <c r="AG119" s="26">
        <v>112</v>
      </c>
      <c r="AH119" s="378" t="s">
        <v>7962</v>
      </c>
      <c r="AI119" s="379" t="s">
        <v>801</v>
      </c>
      <c r="AK119" s="25">
        <v>1809</v>
      </c>
      <c r="AL119" s="26">
        <v>112</v>
      </c>
      <c r="AM119" s="378" t="s">
        <v>7973</v>
      </c>
      <c r="AN119" s="379" t="s">
        <v>937</v>
      </c>
      <c r="AP119" s="27">
        <v>1603</v>
      </c>
      <c r="AQ119" s="26">
        <v>112</v>
      </c>
      <c r="AR119" s="378" t="s">
        <v>7984</v>
      </c>
      <c r="AS119" s="379" t="s">
        <v>965</v>
      </c>
      <c r="AU119" s="27">
        <v>1701</v>
      </c>
      <c r="AV119" s="26">
        <v>112</v>
      </c>
      <c r="AW119" s="378" t="s">
        <v>4884</v>
      </c>
      <c r="AX119" s="379" t="s">
        <v>4884</v>
      </c>
      <c r="AZ119" s="27">
        <v>1704</v>
      </c>
      <c r="BA119" s="26">
        <v>112</v>
      </c>
      <c r="BB119" s="378" t="s">
        <v>4884</v>
      </c>
      <c r="BC119" s="379" t="s">
        <v>4884</v>
      </c>
      <c r="BE119" s="27">
        <v>1707</v>
      </c>
      <c r="BF119" s="26">
        <v>112</v>
      </c>
      <c r="BG119" s="378" t="s">
        <v>4884</v>
      </c>
      <c r="BH119" s="379" t="s">
        <v>4884</v>
      </c>
    </row>
    <row r="120" spans="2:60">
      <c r="B120" s="12">
        <v>1504</v>
      </c>
      <c r="C120" s="13">
        <v>113</v>
      </c>
      <c r="D120" s="376" t="s">
        <v>4884</v>
      </c>
      <c r="E120" s="377" t="s">
        <v>4884</v>
      </c>
      <c r="G120" s="12">
        <v>1507</v>
      </c>
      <c r="H120" s="13">
        <v>113</v>
      </c>
      <c r="I120" s="376" t="s">
        <v>7899</v>
      </c>
      <c r="J120" s="377" t="s">
        <v>901</v>
      </c>
      <c r="L120" s="12">
        <v>1606</v>
      </c>
      <c r="M120" s="13">
        <v>113</v>
      </c>
      <c r="N120" s="376" t="s">
        <v>4884</v>
      </c>
      <c r="O120" s="377" t="s">
        <v>4884</v>
      </c>
      <c r="Q120" s="12">
        <v>1609</v>
      </c>
      <c r="R120" s="13">
        <v>113</v>
      </c>
      <c r="S120" s="376" t="s">
        <v>4884</v>
      </c>
      <c r="T120" s="377" t="s">
        <v>4884</v>
      </c>
      <c r="V120" s="12">
        <v>1501</v>
      </c>
      <c r="W120" s="13">
        <v>113</v>
      </c>
      <c r="X120" s="376" t="s">
        <v>4884</v>
      </c>
      <c r="Y120" s="377" t="s">
        <v>4884</v>
      </c>
      <c r="AA120" s="12">
        <v>1803</v>
      </c>
      <c r="AB120" s="13">
        <v>113</v>
      </c>
      <c r="AC120" s="376" t="s">
        <v>4884</v>
      </c>
      <c r="AD120" s="377" t="s">
        <v>4884</v>
      </c>
      <c r="AF120" s="12">
        <v>1806</v>
      </c>
      <c r="AG120" s="13">
        <v>113</v>
      </c>
      <c r="AH120" s="376" t="s">
        <v>7960</v>
      </c>
      <c r="AI120" s="377" t="s">
        <v>887</v>
      </c>
      <c r="AK120" s="12">
        <v>1809</v>
      </c>
      <c r="AL120" s="13">
        <v>113</v>
      </c>
      <c r="AM120" s="376" t="s">
        <v>4884</v>
      </c>
      <c r="AN120" s="377" t="s">
        <v>4884</v>
      </c>
      <c r="AP120" s="18">
        <v>1603</v>
      </c>
      <c r="AQ120" s="13">
        <v>113</v>
      </c>
      <c r="AR120" s="376" t="s">
        <v>4884</v>
      </c>
      <c r="AS120" s="377" t="s">
        <v>4884</v>
      </c>
      <c r="AU120" s="18">
        <v>1701</v>
      </c>
      <c r="AV120" s="13">
        <v>113</v>
      </c>
      <c r="AW120" s="376" t="s">
        <v>4884</v>
      </c>
      <c r="AX120" s="377" t="s">
        <v>4884</v>
      </c>
      <c r="AZ120" s="18">
        <v>1704</v>
      </c>
      <c r="BA120" s="13">
        <v>113</v>
      </c>
      <c r="BB120" s="376" t="s">
        <v>4884</v>
      </c>
      <c r="BC120" s="377" t="s">
        <v>4884</v>
      </c>
      <c r="BE120" s="18">
        <v>1707</v>
      </c>
      <c r="BF120" s="13">
        <v>113</v>
      </c>
      <c r="BG120" s="376" t="s">
        <v>4884</v>
      </c>
      <c r="BH120" s="377" t="s">
        <v>4884</v>
      </c>
    </row>
    <row r="121" spans="2:60">
      <c r="B121" s="21">
        <v>1504</v>
      </c>
      <c r="C121" s="22">
        <v>114</v>
      </c>
      <c r="D121" s="374" t="s">
        <v>4884</v>
      </c>
      <c r="E121" s="375" t="s">
        <v>4884</v>
      </c>
      <c r="G121" s="21">
        <v>1507</v>
      </c>
      <c r="H121" s="22">
        <v>114</v>
      </c>
      <c r="I121" s="374" t="s">
        <v>4884</v>
      </c>
      <c r="J121" s="375" t="s">
        <v>4884</v>
      </c>
      <c r="L121" s="21">
        <v>1606</v>
      </c>
      <c r="M121" s="22">
        <v>114</v>
      </c>
      <c r="N121" s="374" t="s">
        <v>4884</v>
      </c>
      <c r="O121" s="375" t="s">
        <v>4884</v>
      </c>
      <c r="Q121" s="21">
        <v>1609</v>
      </c>
      <c r="R121" s="22">
        <v>114</v>
      </c>
      <c r="S121" s="374" t="s">
        <v>4884</v>
      </c>
      <c r="T121" s="375" t="s">
        <v>4884</v>
      </c>
      <c r="V121" s="21">
        <v>1501</v>
      </c>
      <c r="W121" s="22">
        <v>114</v>
      </c>
      <c r="X121" s="374" t="s">
        <v>4884</v>
      </c>
      <c r="Y121" s="375" t="s">
        <v>4884</v>
      </c>
      <c r="AA121" s="21">
        <v>1803</v>
      </c>
      <c r="AB121" s="22">
        <v>114</v>
      </c>
      <c r="AC121" s="374" t="s">
        <v>4884</v>
      </c>
      <c r="AD121" s="375" t="s">
        <v>4884</v>
      </c>
      <c r="AF121" s="21">
        <v>1806</v>
      </c>
      <c r="AG121" s="22">
        <v>114</v>
      </c>
      <c r="AH121" s="374" t="s">
        <v>7965</v>
      </c>
      <c r="AI121" s="375" t="s">
        <v>825</v>
      </c>
      <c r="AK121" s="21">
        <v>1809</v>
      </c>
      <c r="AL121" s="22">
        <v>114</v>
      </c>
      <c r="AM121" s="374" t="s">
        <v>4884</v>
      </c>
      <c r="AN121" s="375" t="s">
        <v>4884</v>
      </c>
      <c r="AP121" s="23">
        <v>1603</v>
      </c>
      <c r="AQ121" s="22">
        <v>114</v>
      </c>
      <c r="AR121" s="374" t="s">
        <v>4884</v>
      </c>
      <c r="AS121" s="375" t="s">
        <v>4884</v>
      </c>
      <c r="AU121" s="23">
        <v>1701</v>
      </c>
      <c r="AV121" s="22">
        <v>114</v>
      </c>
      <c r="AW121" s="374" t="s">
        <v>7977</v>
      </c>
      <c r="AX121" s="375" t="s">
        <v>849</v>
      </c>
      <c r="AZ121" s="23">
        <v>1704</v>
      </c>
      <c r="BA121" s="22">
        <v>114</v>
      </c>
      <c r="BB121" s="374" t="s">
        <v>4884</v>
      </c>
      <c r="BC121" s="375" t="s">
        <v>4884</v>
      </c>
      <c r="BE121" s="23">
        <v>1707</v>
      </c>
      <c r="BF121" s="22">
        <v>114</v>
      </c>
      <c r="BG121" s="374" t="s">
        <v>4884</v>
      </c>
      <c r="BH121" s="375" t="s">
        <v>4884</v>
      </c>
    </row>
    <row r="122" spans="2:60">
      <c r="B122" s="21">
        <v>1504</v>
      </c>
      <c r="C122" s="22">
        <v>115</v>
      </c>
      <c r="D122" s="374" t="s">
        <v>4884</v>
      </c>
      <c r="E122" s="375" t="s">
        <v>4884</v>
      </c>
      <c r="G122" s="21">
        <v>1507</v>
      </c>
      <c r="H122" s="22">
        <v>115</v>
      </c>
      <c r="I122" s="374" t="s">
        <v>7981</v>
      </c>
      <c r="J122" s="375" t="s">
        <v>809</v>
      </c>
      <c r="L122" s="21">
        <v>1606</v>
      </c>
      <c r="M122" s="22">
        <v>115</v>
      </c>
      <c r="N122" s="374" t="s">
        <v>4884</v>
      </c>
      <c r="O122" s="375" t="s">
        <v>4884</v>
      </c>
      <c r="Q122" s="21">
        <v>1609</v>
      </c>
      <c r="R122" s="22">
        <v>115</v>
      </c>
      <c r="S122" s="374" t="s">
        <v>4884</v>
      </c>
      <c r="T122" s="375" t="s">
        <v>4884</v>
      </c>
      <c r="V122" s="21">
        <v>1501</v>
      </c>
      <c r="W122" s="22">
        <v>115</v>
      </c>
      <c r="X122" s="374" t="s">
        <v>4884</v>
      </c>
      <c r="Y122" s="375" t="s">
        <v>4884</v>
      </c>
      <c r="AA122" s="21">
        <v>1803</v>
      </c>
      <c r="AB122" s="22">
        <v>115</v>
      </c>
      <c r="AC122" s="374" t="s">
        <v>4884</v>
      </c>
      <c r="AD122" s="375" t="s">
        <v>4884</v>
      </c>
      <c r="AF122" s="21">
        <v>1806</v>
      </c>
      <c r="AG122" s="22">
        <v>115</v>
      </c>
      <c r="AH122" s="374" t="s">
        <v>4884</v>
      </c>
      <c r="AI122" s="375" t="s">
        <v>4884</v>
      </c>
      <c r="AK122" s="21">
        <v>1809</v>
      </c>
      <c r="AL122" s="22">
        <v>115</v>
      </c>
      <c r="AM122" s="374" t="s">
        <v>4884</v>
      </c>
      <c r="AN122" s="375" t="s">
        <v>4884</v>
      </c>
      <c r="AP122" s="23">
        <v>1603</v>
      </c>
      <c r="AQ122" s="22">
        <v>115</v>
      </c>
      <c r="AR122" s="374" t="s">
        <v>4884</v>
      </c>
      <c r="AS122" s="375" t="s">
        <v>4884</v>
      </c>
      <c r="AU122" s="23">
        <v>1701</v>
      </c>
      <c r="AV122" s="22">
        <v>115</v>
      </c>
      <c r="AW122" s="374" t="s">
        <v>4884</v>
      </c>
      <c r="AX122" s="375" t="s">
        <v>4884</v>
      </c>
      <c r="AZ122" s="23">
        <v>1704</v>
      </c>
      <c r="BA122" s="22">
        <v>115</v>
      </c>
      <c r="BB122" s="374" t="s">
        <v>4884</v>
      </c>
      <c r="BC122" s="375" t="s">
        <v>4884</v>
      </c>
      <c r="BE122" s="23">
        <v>1707</v>
      </c>
      <c r="BF122" s="22">
        <v>115</v>
      </c>
      <c r="BG122" s="374" t="s">
        <v>4884</v>
      </c>
      <c r="BH122" s="375" t="s">
        <v>4884</v>
      </c>
    </row>
    <row r="123" spans="2:60">
      <c r="B123" s="21">
        <v>1504</v>
      </c>
      <c r="C123" s="22">
        <v>116</v>
      </c>
      <c r="D123" s="374" t="s">
        <v>7973</v>
      </c>
      <c r="E123" s="375" t="s">
        <v>937</v>
      </c>
      <c r="G123" s="21">
        <v>1507</v>
      </c>
      <c r="H123" s="22">
        <v>116</v>
      </c>
      <c r="I123" s="374" t="s">
        <v>7978</v>
      </c>
      <c r="J123" s="375" t="s">
        <v>915</v>
      </c>
      <c r="L123" s="21">
        <v>1606</v>
      </c>
      <c r="M123" s="22">
        <v>116</v>
      </c>
      <c r="N123" s="374" t="s">
        <v>4884</v>
      </c>
      <c r="O123" s="375" t="s">
        <v>4884</v>
      </c>
      <c r="Q123" s="21">
        <v>1609</v>
      </c>
      <c r="R123" s="22">
        <v>116</v>
      </c>
      <c r="S123" s="374" t="s">
        <v>4884</v>
      </c>
      <c r="T123" s="375" t="s">
        <v>4884</v>
      </c>
      <c r="V123" s="21">
        <v>1501</v>
      </c>
      <c r="W123" s="22">
        <v>116</v>
      </c>
      <c r="X123" s="374" t="s">
        <v>4884</v>
      </c>
      <c r="Y123" s="375" t="s">
        <v>4884</v>
      </c>
      <c r="AA123" s="21">
        <v>1803</v>
      </c>
      <c r="AB123" s="22">
        <v>116</v>
      </c>
      <c r="AC123" s="374" t="s">
        <v>4884</v>
      </c>
      <c r="AD123" s="375" t="s">
        <v>4884</v>
      </c>
      <c r="AF123" s="21">
        <v>1806</v>
      </c>
      <c r="AG123" s="22">
        <v>116</v>
      </c>
      <c r="AH123" s="374" t="s">
        <v>7975</v>
      </c>
      <c r="AI123" s="375" t="s">
        <v>821</v>
      </c>
      <c r="AK123" s="21">
        <v>1809</v>
      </c>
      <c r="AL123" s="22">
        <v>116</v>
      </c>
      <c r="AM123" s="374" t="s">
        <v>4884</v>
      </c>
      <c r="AN123" s="375" t="s">
        <v>4884</v>
      </c>
      <c r="AP123" s="23">
        <v>1603</v>
      </c>
      <c r="AQ123" s="22">
        <v>116</v>
      </c>
      <c r="AR123" s="374" t="s">
        <v>4884</v>
      </c>
      <c r="AS123" s="375" t="s">
        <v>4884</v>
      </c>
      <c r="AU123" s="23">
        <v>1701</v>
      </c>
      <c r="AV123" s="22">
        <v>116</v>
      </c>
      <c r="AW123" s="374" t="s">
        <v>4884</v>
      </c>
      <c r="AX123" s="375" t="s">
        <v>4884</v>
      </c>
      <c r="AZ123" s="23">
        <v>1704</v>
      </c>
      <c r="BA123" s="22">
        <v>116</v>
      </c>
      <c r="BB123" s="374" t="s">
        <v>4884</v>
      </c>
      <c r="BC123" s="375" t="s">
        <v>4884</v>
      </c>
      <c r="BE123" s="23">
        <v>1707</v>
      </c>
      <c r="BF123" s="22">
        <v>116</v>
      </c>
      <c r="BG123" s="374" t="s">
        <v>4884</v>
      </c>
      <c r="BH123" s="375" t="s">
        <v>4884</v>
      </c>
    </row>
    <row r="124" spans="2:60">
      <c r="B124" s="21">
        <v>1504</v>
      </c>
      <c r="C124" s="22">
        <v>117</v>
      </c>
      <c r="D124" s="374" t="s">
        <v>4884</v>
      </c>
      <c r="E124" s="375" t="s">
        <v>4884</v>
      </c>
      <c r="G124" s="21">
        <v>1507</v>
      </c>
      <c r="H124" s="22">
        <v>117</v>
      </c>
      <c r="I124" s="374" t="s">
        <v>7864</v>
      </c>
      <c r="J124" s="375" t="s">
        <v>823</v>
      </c>
      <c r="L124" s="21">
        <v>1606</v>
      </c>
      <c r="M124" s="22">
        <v>117</v>
      </c>
      <c r="N124" s="374" t="s">
        <v>4884</v>
      </c>
      <c r="O124" s="375" t="s">
        <v>4884</v>
      </c>
      <c r="Q124" s="21">
        <v>1609</v>
      </c>
      <c r="R124" s="22">
        <v>117</v>
      </c>
      <c r="S124" s="374" t="s">
        <v>4884</v>
      </c>
      <c r="T124" s="375" t="s">
        <v>4884</v>
      </c>
      <c r="V124" s="21">
        <v>1501</v>
      </c>
      <c r="W124" s="22">
        <v>117</v>
      </c>
      <c r="X124" s="374" t="s">
        <v>4884</v>
      </c>
      <c r="Y124" s="375" t="s">
        <v>4884</v>
      </c>
      <c r="AA124" s="21">
        <v>1803</v>
      </c>
      <c r="AB124" s="22">
        <v>117</v>
      </c>
      <c r="AC124" s="374" t="s">
        <v>4884</v>
      </c>
      <c r="AD124" s="375" t="s">
        <v>4884</v>
      </c>
      <c r="AF124" s="21">
        <v>1806</v>
      </c>
      <c r="AG124" s="22">
        <v>117</v>
      </c>
      <c r="AH124" s="374" t="s">
        <v>7949</v>
      </c>
      <c r="AI124" s="375" t="s">
        <v>795</v>
      </c>
      <c r="AK124" s="21">
        <v>1809</v>
      </c>
      <c r="AL124" s="22">
        <v>117</v>
      </c>
      <c r="AM124" s="374" t="s">
        <v>4884</v>
      </c>
      <c r="AN124" s="375" t="s">
        <v>4884</v>
      </c>
      <c r="AP124" s="23">
        <v>1603</v>
      </c>
      <c r="AQ124" s="22">
        <v>117</v>
      </c>
      <c r="AR124" s="374" t="s">
        <v>4884</v>
      </c>
      <c r="AS124" s="375" t="s">
        <v>4884</v>
      </c>
      <c r="AU124" s="23">
        <v>1701</v>
      </c>
      <c r="AV124" s="22">
        <v>117</v>
      </c>
      <c r="AW124" s="374" t="s">
        <v>4884</v>
      </c>
      <c r="AX124" s="375" t="s">
        <v>4884</v>
      </c>
      <c r="AZ124" s="23">
        <v>1704</v>
      </c>
      <c r="BA124" s="22">
        <v>117</v>
      </c>
      <c r="BB124" s="374" t="s">
        <v>4884</v>
      </c>
      <c r="BC124" s="375" t="s">
        <v>4884</v>
      </c>
      <c r="BE124" s="23">
        <v>1707</v>
      </c>
      <c r="BF124" s="22">
        <v>117</v>
      </c>
      <c r="BG124" s="374" t="s">
        <v>4884</v>
      </c>
      <c r="BH124" s="375" t="s">
        <v>4884</v>
      </c>
    </row>
    <row r="125" spans="2:60">
      <c r="B125" s="21">
        <v>1504</v>
      </c>
      <c r="C125" s="22">
        <v>118</v>
      </c>
      <c r="D125" s="374" t="s">
        <v>4884</v>
      </c>
      <c r="E125" s="375" t="s">
        <v>4884</v>
      </c>
      <c r="G125" s="21">
        <v>1507</v>
      </c>
      <c r="H125" s="22">
        <v>118</v>
      </c>
      <c r="I125" s="374" t="s">
        <v>7860</v>
      </c>
      <c r="J125" s="375" t="s">
        <v>813</v>
      </c>
      <c r="L125" s="21">
        <v>1606</v>
      </c>
      <c r="M125" s="22">
        <v>118</v>
      </c>
      <c r="N125" s="374" t="s">
        <v>4884</v>
      </c>
      <c r="O125" s="375" t="s">
        <v>4884</v>
      </c>
      <c r="Q125" s="21">
        <v>1609</v>
      </c>
      <c r="R125" s="22">
        <v>118</v>
      </c>
      <c r="S125" s="374" t="s">
        <v>4884</v>
      </c>
      <c r="T125" s="375" t="s">
        <v>4884</v>
      </c>
      <c r="V125" s="21">
        <v>1501</v>
      </c>
      <c r="W125" s="22">
        <v>118</v>
      </c>
      <c r="X125" s="374" t="s">
        <v>4884</v>
      </c>
      <c r="Y125" s="375" t="s">
        <v>4884</v>
      </c>
      <c r="AA125" s="21">
        <v>1803</v>
      </c>
      <c r="AB125" s="22">
        <v>118</v>
      </c>
      <c r="AC125" s="374" t="s">
        <v>4884</v>
      </c>
      <c r="AD125" s="375" t="s">
        <v>4884</v>
      </c>
      <c r="AF125" s="21">
        <v>1806</v>
      </c>
      <c r="AG125" s="22">
        <v>118</v>
      </c>
      <c r="AH125" s="374" t="s">
        <v>4884</v>
      </c>
      <c r="AI125" s="375" t="s">
        <v>4884</v>
      </c>
      <c r="AK125" s="21">
        <v>1809</v>
      </c>
      <c r="AL125" s="22">
        <v>118</v>
      </c>
      <c r="AM125" s="374" t="s">
        <v>4884</v>
      </c>
      <c r="AN125" s="375" t="s">
        <v>4884</v>
      </c>
      <c r="AP125" s="23">
        <v>1603</v>
      </c>
      <c r="AQ125" s="22">
        <v>118</v>
      </c>
      <c r="AR125" s="374" t="s">
        <v>4884</v>
      </c>
      <c r="AS125" s="375" t="s">
        <v>4884</v>
      </c>
      <c r="AU125" s="23">
        <v>1701</v>
      </c>
      <c r="AV125" s="22">
        <v>118</v>
      </c>
      <c r="AW125" s="374" t="s">
        <v>4884</v>
      </c>
      <c r="AX125" s="375" t="s">
        <v>4884</v>
      </c>
      <c r="AZ125" s="23">
        <v>1704</v>
      </c>
      <c r="BA125" s="22">
        <v>118</v>
      </c>
      <c r="BB125" s="374" t="s">
        <v>4884</v>
      </c>
      <c r="BC125" s="375" t="s">
        <v>4884</v>
      </c>
      <c r="BE125" s="23">
        <v>1707</v>
      </c>
      <c r="BF125" s="22">
        <v>118</v>
      </c>
      <c r="BG125" s="374" t="s">
        <v>4884</v>
      </c>
      <c r="BH125" s="375" t="s">
        <v>4884</v>
      </c>
    </row>
    <row r="126" spans="2:60">
      <c r="B126" s="21">
        <v>1504</v>
      </c>
      <c r="C126" s="22">
        <v>119</v>
      </c>
      <c r="D126" s="374" t="s">
        <v>7984</v>
      </c>
      <c r="E126" s="375" t="s">
        <v>965</v>
      </c>
      <c r="G126" s="21">
        <v>1507</v>
      </c>
      <c r="H126" s="22">
        <v>119</v>
      </c>
      <c r="I126" s="374" t="s">
        <v>4884</v>
      </c>
      <c r="J126" s="375" t="s">
        <v>4884</v>
      </c>
      <c r="L126" s="21">
        <v>1606</v>
      </c>
      <c r="M126" s="22">
        <v>119</v>
      </c>
      <c r="N126" s="374" t="s">
        <v>4884</v>
      </c>
      <c r="O126" s="375" t="s">
        <v>4884</v>
      </c>
      <c r="Q126" s="21">
        <v>1609</v>
      </c>
      <c r="R126" s="22">
        <v>119</v>
      </c>
      <c r="S126" s="374" t="s">
        <v>4884</v>
      </c>
      <c r="T126" s="375" t="s">
        <v>4884</v>
      </c>
      <c r="V126" s="21">
        <v>1501</v>
      </c>
      <c r="W126" s="22">
        <v>119</v>
      </c>
      <c r="X126" s="374" t="s">
        <v>4884</v>
      </c>
      <c r="Y126" s="375" t="s">
        <v>4884</v>
      </c>
      <c r="AA126" s="21">
        <v>1803</v>
      </c>
      <c r="AB126" s="22">
        <v>119</v>
      </c>
      <c r="AC126" s="374" t="s">
        <v>4884</v>
      </c>
      <c r="AD126" s="375" t="s">
        <v>4884</v>
      </c>
      <c r="AF126" s="21">
        <v>1806</v>
      </c>
      <c r="AG126" s="22">
        <v>119</v>
      </c>
      <c r="AH126" s="374" t="s">
        <v>7947</v>
      </c>
      <c r="AI126" s="375" t="s">
        <v>829</v>
      </c>
      <c r="AK126" s="21">
        <v>1809</v>
      </c>
      <c r="AL126" s="22">
        <v>119</v>
      </c>
      <c r="AM126" s="374" t="s">
        <v>4884</v>
      </c>
      <c r="AN126" s="375" t="s">
        <v>4884</v>
      </c>
      <c r="AP126" s="23">
        <v>1603</v>
      </c>
      <c r="AQ126" s="22">
        <v>119</v>
      </c>
      <c r="AR126" s="374" t="s">
        <v>4884</v>
      </c>
      <c r="AS126" s="375" t="s">
        <v>4884</v>
      </c>
      <c r="AU126" s="23">
        <v>1701</v>
      </c>
      <c r="AV126" s="22">
        <v>119</v>
      </c>
      <c r="AW126" s="374" t="s">
        <v>4884</v>
      </c>
      <c r="AX126" s="375" t="s">
        <v>4884</v>
      </c>
      <c r="AZ126" s="23">
        <v>1704</v>
      </c>
      <c r="BA126" s="22">
        <v>119</v>
      </c>
      <c r="BB126" s="374" t="s">
        <v>4884</v>
      </c>
      <c r="BC126" s="375" t="s">
        <v>4884</v>
      </c>
      <c r="BE126" s="23">
        <v>1707</v>
      </c>
      <c r="BF126" s="22">
        <v>119</v>
      </c>
      <c r="BG126" s="374" t="s">
        <v>4884</v>
      </c>
      <c r="BH126" s="375" t="s">
        <v>4884</v>
      </c>
    </row>
    <row r="127" spans="2:60">
      <c r="B127" s="21">
        <v>1504</v>
      </c>
      <c r="C127" s="22">
        <v>120</v>
      </c>
      <c r="D127" s="374" t="s">
        <v>7955</v>
      </c>
      <c r="E127" s="375" t="s">
        <v>899</v>
      </c>
      <c r="G127" s="21">
        <v>1507</v>
      </c>
      <c r="H127" s="22">
        <v>120</v>
      </c>
      <c r="I127" s="374" t="s">
        <v>7957</v>
      </c>
      <c r="J127" s="375" t="s">
        <v>831</v>
      </c>
      <c r="L127" s="21">
        <v>1606</v>
      </c>
      <c r="M127" s="22">
        <v>120</v>
      </c>
      <c r="N127" s="374" t="s">
        <v>4884</v>
      </c>
      <c r="O127" s="375" t="s">
        <v>4884</v>
      </c>
      <c r="Q127" s="21">
        <v>1609</v>
      </c>
      <c r="R127" s="22">
        <v>120</v>
      </c>
      <c r="S127" s="374" t="s">
        <v>4884</v>
      </c>
      <c r="T127" s="375" t="s">
        <v>4884</v>
      </c>
      <c r="V127" s="21">
        <v>1501</v>
      </c>
      <c r="W127" s="22">
        <v>120</v>
      </c>
      <c r="X127" s="374" t="s">
        <v>4884</v>
      </c>
      <c r="Y127" s="375" t="s">
        <v>4884</v>
      </c>
      <c r="AA127" s="21">
        <v>1803</v>
      </c>
      <c r="AB127" s="22">
        <v>120</v>
      </c>
      <c r="AC127" s="374" t="s">
        <v>4884</v>
      </c>
      <c r="AD127" s="375" t="s">
        <v>4884</v>
      </c>
      <c r="AF127" s="21">
        <v>1806</v>
      </c>
      <c r="AG127" s="22">
        <v>120</v>
      </c>
      <c r="AH127" s="374" t="s">
        <v>4884</v>
      </c>
      <c r="AI127" s="375" t="s">
        <v>4884</v>
      </c>
      <c r="AK127" s="21">
        <v>1809</v>
      </c>
      <c r="AL127" s="22">
        <v>120</v>
      </c>
      <c r="AM127" s="374" t="s">
        <v>4884</v>
      </c>
      <c r="AN127" s="375" t="s">
        <v>4884</v>
      </c>
      <c r="AP127" s="23">
        <v>1603</v>
      </c>
      <c r="AQ127" s="22">
        <v>120</v>
      </c>
      <c r="AR127" s="374" t="s">
        <v>4884</v>
      </c>
      <c r="AS127" s="375" t="s">
        <v>4884</v>
      </c>
      <c r="AU127" s="23">
        <v>1701</v>
      </c>
      <c r="AV127" s="22">
        <v>120</v>
      </c>
      <c r="AW127" s="374" t="s">
        <v>7980</v>
      </c>
      <c r="AX127" s="375" t="s">
        <v>815</v>
      </c>
      <c r="AZ127" s="23">
        <v>1704</v>
      </c>
      <c r="BA127" s="22">
        <v>120</v>
      </c>
      <c r="BB127" s="374" t="s">
        <v>4884</v>
      </c>
      <c r="BC127" s="375" t="s">
        <v>4884</v>
      </c>
      <c r="BE127" s="23">
        <v>1707</v>
      </c>
      <c r="BF127" s="22">
        <v>120</v>
      </c>
      <c r="BG127" s="374" t="s">
        <v>4884</v>
      </c>
      <c r="BH127" s="375" t="s">
        <v>4884</v>
      </c>
    </row>
    <row r="128" spans="2:60">
      <c r="B128" s="21">
        <v>1504</v>
      </c>
      <c r="C128" s="22">
        <v>121</v>
      </c>
      <c r="D128" s="374" t="s">
        <v>4884</v>
      </c>
      <c r="E128" s="375" t="s">
        <v>4884</v>
      </c>
      <c r="G128" s="21">
        <v>1507</v>
      </c>
      <c r="H128" s="22">
        <v>121</v>
      </c>
      <c r="I128" s="374" t="s">
        <v>4884</v>
      </c>
      <c r="J128" s="375" t="s">
        <v>4884</v>
      </c>
      <c r="L128" s="21">
        <v>1606</v>
      </c>
      <c r="M128" s="22">
        <v>121</v>
      </c>
      <c r="N128" s="374" t="s">
        <v>4884</v>
      </c>
      <c r="O128" s="375" t="s">
        <v>4884</v>
      </c>
      <c r="Q128" s="21">
        <v>1609</v>
      </c>
      <c r="R128" s="22">
        <v>121</v>
      </c>
      <c r="S128" s="374" t="s">
        <v>4884</v>
      </c>
      <c r="T128" s="375" t="s">
        <v>4884</v>
      </c>
      <c r="V128" s="21">
        <v>1501</v>
      </c>
      <c r="W128" s="22">
        <v>121</v>
      </c>
      <c r="X128" s="374" t="s">
        <v>4884</v>
      </c>
      <c r="Y128" s="375" t="s">
        <v>4884</v>
      </c>
      <c r="AA128" s="21">
        <v>1803</v>
      </c>
      <c r="AB128" s="22">
        <v>121</v>
      </c>
      <c r="AC128" s="374" t="s">
        <v>4884</v>
      </c>
      <c r="AD128" s="375" t="s">
        <v>4884</v>
      </c>
      <c r="AF128" s="21">
        <v>1806</v>
      </c>
      <c r="AG128" s="22">
        <v>121</v>
      </c>
      <c r="AH128" s="374" t="s">
        <v>4884</v>
      </c>
      <c r="AI128" s="375" t="s">
        <v>4884</v>
      </c>
      <c r="AK128" s="21">
        <v>1809</v>
      </c>
      <c r="AL128" s="22">
        <v>121</v>
      </c>
      <c r="AM128" s="374" t="s">
        <v>4884</v>
      </c>
      <c r="AN128" s="375" t="s">
        <v>4884</v>
      </c>
      <c r="AP128" s="23">
        <v>1603</v>
      </c>
      <c r="AQ128" s="22">
        <v>121</v>
      </c>
      <c r="AR128" s="374" t="s">
        <v>7982</v>
      </c>
      <c r="AS128" s="375" t="s">
        <v>981</v>
      </c>
      <c r="AU128" s="23">
        <v>1701</v>
      </c>
      <c r="AV128" s="22">
        <v>121</v>
      </c>
      <c r="AW128" s="374" t="s">
        <v>4884</v>
      </c>
      <c r="AX128" s="375" t="s">
        <v>4884</v>
      </c>
      <c r="AZ128" s="23">
        <v>1704</v>
      </c>
      <c r="BA128" s="22">
        <v>121</v>
      </c>
      <c r="BB128" s="374" t="s">
        <v>4884</v>
      </c>
      <c r="BC128" s="375" t="s">
        <v>4884</v>
      </c>
      <c r="BE128" s="23">
        <v>1707</v>
      </c>
      <c r="BF128" s="22">
        <v>121</v>
      </c>
      <c r="BG128" s="374" t="s">
        <v>4884</v>
      </c>
      <c r="BH128" s="375" t="s">
        <v>4884</v>
      </c>
    </row>
    <row r="129" spans="2:60">
      <c r="B129" s="21">
        <v>1504</v>
      </c>
      <c r="C129" s="22">
        <v>122</v>
      </c>
      <c r="D129" s="374" t="s">
        <v>4884</v>
      </c>
      <c r="E129" s="375" t="s">
        <v>4884</v>
      </c>
      <c r="G129" s="21">
        <v>1507</v>
      </c>
      <c r="H129" s="22">
        <v>122</v>
      </c>
      <c r="I129" s="374" t="s">
        <v>4884</v>
      </c>
      <c r="J129" s="375" t="s">
        <v>4884</v>
      </c>
      <c r="L129" s="21">
        <v>1606</v>
      </c>
      <c r="M129" s="22">
        <v>122</v>
      </c>
      <c r="N129" s="374" t="s">
        <v>4884</v>
      </c>
      <c r="O129" s="375" t="s">
        <v>4884</v>
      </c>
      <c r="Q129" s="21">
        <v>1609</v>
      </c>
      <c r="R129" s="22">
        <v>122</v>
      </c>
      <c r="S129" s="374" t="s">
        <v>4884</v>
      </c>
      <c r="T129" s="375" t="s">
        <v>4884</v>
      </c>
      <c r="V129" s="21">
        <v>1501</v>
      </c>
      <c r="W129" s="22">
        <v>122</v>
      </c>
      <c r="X129" s="374" t="s">
        <v>4884</v>
      </c>
      <c r="Y129" s="375" t="s">
        <v>4884</v>
      </c>
      <c r="AA129" s="21">
        <v>1803</v>
      </c>
      <c r="AB129" s="22">
        <v>122</v>
      </c>
      <c r="AC129" s="374" t="s">
        <v>4884</v>
      </c>
      <c r="AD129" s="375" t="s">
        <v>4884</v>
      </c>
      <c r="AF129" s="21">
        <v>1806</v>
      </c>
      <c r="AG129" s="22">
        <v>122</v>
      </c>
      <c r="AH129" s="374" t="s">
        <v>7980</v>
      </c>
      <c r="AI129" s="375" t="s">
        <v>815</v>
      </c>
      <c r="AK129" s="21">
        <v>1809</v>
      </c>
      <c r="AL129" s="22">
        <v>122</v>
      </c>
      <c r="AM129" s="374" t="s">
        <v>4884</v>
      </c>
      <c r="AN129" s="375" t="s">
        <v>4884</v>
      </c>
      <c r="AP129" s="23">
        <v>1603</v>
      </c>
      <c r="AQ129" s="22">
        <v>122</v>
      </c>
      <c r="AR129" s="374" t="s">
        <v>7951</v>
      </c>
      <c r="AS129" s="375" t="s">
        <v>985</v>
      </c>
      <c r="AU129" s="23">
        <v>1701</v>
      </c>
      <c r="AV129" s="22">
        <v>122</v>
      </c>
      <c r="AW129" s="374" t="s">
        <v>7983</v>
      </c>
      <c r="AX129" s="375" t="s">
        <v>847</v>
      </c>
      <c r="AZ129" s="23">
        <v>1704</v>
      </c>
      <c r="BA129" s="22">
        <v>122</v>
      </c>
      <c r="BB129" s="374" t="s">
        <v>4884</v>
      </c>
      <c r="BC129" s="375" t="s">
        <v>4884</v>
      </c>
      <c r="BE129" s="23">
        <v>1707</v>
      </c>
      <c r="BF129" s="22">
        <v>122</v>
      </c>
      <c r="BG129" s="374" t="s">
        <v>4884</v>
      </c>
      <c r="BH129" s="375" t="s">
        <v>4884</v>
      </c>
    </row>
    <row r="130" spans="2:60">
      <c r="B130" s="21">
        <v>1504</v>
      </c>
      <c r="C130" s="22">
        <v>123</v>
      </c>
      <c r="D130" s="374" t="s">
        <v>4884</v>
      </c>
      <c r="E130" s="375" t="s">
        <v>4884</v>
      </c>
      <c r="G130" s="21">
        <v>1507</v>
      </c>
      <c r="H130" s="22">
        <v>123</v>
      </c>
      <c r="I130" s="374" t="s">
        <v>7983</v>
      </c>
      <c r="J130" s="375" t="s">
        <v>847</v>
      </c>
      <c r="L130" s="21">
        <v>1606</v>
      </c>
      <c r="M130" s="22">
        <v>123</v>
      </c>
      <c r="N130" s="374" t="s">
        <v>4884</v>
      </c>
      <c r="O130" s="375" t="s">
        <v>4884</v>
      </c>
      <c r="Q130" s="21">
        <v>1609</v>
      </c>
      <c r="R130" s="22">
        <v>123</v>
      </c>
      <c r="S130" s="374" t="s">
        <v>4884</v>
      </c>
      <c r="T130" s="375" t="s">
        <v>4884</v>
      </c>
      <c r="V130" s="21">
        <v>1501</v>
      </c>
      <c r="W130" s="22">
        <v>123</v>
      </c>
      <c r="X130" s="374" t="s">
        <v>4884</v>
      </c>
      <c r="Y130" s="375" t="s">
        <v>4884</v>
      </c>
      <c r="AA130" s="21">
        <v>1803</v>
      </c>
      <c r="AB130" s="22">
        <v>123</v>
      </c>
      <c r="AC130" s="374" t="s">
        <v>4884</v>
      </c>
      <c r="AD130" s="375" t="s">
        <v>4884</v>
      </c>
      <c r="AF130" s="21">
        <v>1806</v>
      </c>
      <c r="AG130" s="22">
        <v>123</v>
      </c>
      <c r="AH130" s="374" t="s">
        <v>4884</v>
      </c>
      <c r="AI130" s="375" t="s">
        <v>4884</v>
      </c>
      <c r="AK130" s="21">
        <v>1809</v>
      </c>
      <c r="AL130" s="22">
        <v>123</v>
      </c>
      <c r="AM130" s="374" t="s">
        <v>7974</v>
      </c>
      <c r="AN130" s="375" t="s">
        <v>929</v>
      </c>
      <c r="AP130" s="23">
        <v>1603</v>
      </c>
      <c r="AQ130" s="22">
        <v>123</v>
      </c>
      <c r="AR130" s="374" t="s">
        <v>7974</v>
      </c>
      <c r="AS130" s="375" t="s">
        <v>929</v>
      </c>
      <c r="AU130" s="23">
        <v>1701</v>
      </c>
      <c r="AV130" s="22">
        <v>123</v>
      </c>
      <c r="AW130" s="374" t="s">
        <v>4884</v>
      </c>
      <c r="AX130" s="375" t="s">
        <v>4884</v>
      </c>
      <c r="AZ130" s="23">
        <v>1704</v>
      </c>
      <c r="BA130" s="22">
        <v>123</v>
      </c>
      <c r="BB130" s="374" t="s">
        <v>4884</v>
      </c>
      <c r="BC130" s="375" t="s">
        <v>4884</v>
      </c>
      <c r="BE130" s="23">
        <v>1707</v>
      </c>
      <c r="BF130" s="22">
        <v>123</v>
      </c>
      <c r="BG130" s="374" t="s">
        <v>4884</v>
      </c>
      <c r="BH130" s="375" t="s">
        <v>4884</v>
      </c>
    </row>
    <row r="131" spans="2:60">
      <c r="B131" s="21">
        <v>1504</v>
      </c>
      <c r="C131" s="22">
        <v>124</v>
      </c>
      <c r="D131" s="374" t="s">
        <v>4884</v>
      </c>
      <c r="E131" s="375" t="s">
        <v>4884</v>
      </c>
      <c r="G131" s="21">
        <v>1507</v>
      </c>
      <c r="H131" s="22">
        <v>124</v>
      </c>
      <c r="I131" s="374" t="s">
        <v>4884</v>
      </c>
      <c r="J131" s="375" t="s">
        <v>4884</v>
      </c>
      <c r="L131" s="21">
        <v>1606</v>
      </c>
      <c r="M131" s="22">
        <v>124</v>
      </c>
      <c r="N131" s="374" t="s">
        <v>4884</v>
      </c>
      <c r="O131" s="375" t="s">
        <v>4884</v>
      </c>
      <c r="Q131" s="21">
        <v>1609</v>
      </c>
      <c r="R131" s="22">
        <v>124</v>
      </c>
      <c r="S131" s="374" t="s">
        <v>4884</v>
      </c>
      <c r="T131" s="375" t="s">
        <v>4884</v>
      </c>
      <c r="V131" s="21">
        <v>1501</v>
      </c>
      <c r="W131" s="22">
        <v>124</v>
      </c>
      <c r="X131" s="374" t="s">
        <v>4884</v>
      </c>
      <c r="Y131" s="375" t="s">
        <v>4884</v>
      </c>
      <c r="AA131" s="21">
        <v>1803</v>
      </c>
      <c r="AB131" s="22">
        <v>124</v>
      </c>
      <c r="AC131" s="374" t="s">
        <v>4884</v>
      </c>
      <c r="AD131" s="375" t="s">
        <v>4884</v>
      </c>
      <c r="AF131" s="21">
        <v>1806</v>
      </c>
      <c r="AG131" s="22">
        <v>124</v>
      </c>
      <c r="AH131" s="374" t="s">
        <v>7864</v>
      </c>
      <c r="AI131" s="375" t="s">
        <v>823</v>
      </c>
      <c r="AK131" s="21">
        <v>1809</v>
      </c>
      <c r="AL131" s="22">
        <v>124</v>
      </c>
      <c r="AM131" s="374" t="s">
        <v>7951</v>
      </c>
      <c r="AN131" s="375" t="s">
        <v>985</v>
      </c>
      <c r="AP131" s="23">
        <v>1603</v>
      </c>
      <c r="AQ131" s="22">
        <v>124</v>
      </c>
      <c r="AR131" s="374" t="s">
        <v>4884</v>
      </c>
      <c r="AS131" s="375" t="s">
        <v>4884</v>
      </c>
      <c r="AU131" s="23">
        <v>1701</v>
      </c>
      <c r="AV131" s="22">
        <v>124</v>
      </c>
      <c r="AW131" s="374" t="s">
        <v>7962</v>
      </c>
      <c r="AX131" s="375" t="s">
        <v>801</v>
      </c>
      <c r="AZ131" s="23">
        <v>1704</v>
      </c>
      <c r="BA131" s="22">
        <v>124</v>
      </c>
      <c r="BB131" s="374" t="s">
        <v>4884</v>
      </c>
      <c r="BC131" s="375" t="s">
        <v>4884</v>
      </c>
      <c r="BE131" s="23">
        <v>1707</v>
      </c>
      <c r="BF131" s="22">
        <v>124</v>
      </c>
      <c r="BG131" s="374" t="s">
        <v>4884</v>
      </c>
      <c r="BH131" s="375" t="s">
        <v>4884</v>
      </c>
    </row>
    <row r="132" spans="2:60">
      <c r="B132" s="21">
        <v>1504</v>
      </c>
      <c r="C132" s="22">
        <v>125</v>
      </c>
      <c r="D132" s="374" t="s">
        <v>4884</v>
      </c>
      <c r="E132" s="375" t="s">
        <v>4884</v>
      </c>
      <c r="G132" s="21">
        <v>1507</v>
      </c>
      <c r="H132" s="22">
        <v>125</v>
      </c>
      <c r="I132" s="374" t="s">
        <v>4884</v>
      </c>
      <c r="J132" s="375" t="s">
        <v>4884</v>
      </c>
      <c r="L132" s="21">
        <v>1606</v>
      </c>
      <c r="M132" s="22">
        <v>125</v>
      </c>
      <c r="N132" s="374" t="s">
        <v>4884</v>
      </c>
      <c r="O132" s="375" t="s">
        <v>4884</v>
      </c>
      <c r="Q132" s="21">
        <v>1609</v>
      </c>
      <c r="R132" s="22">
        <v>125</v>
      </c>
      <c r="S132" s="374" t="s">
        <v>4884</v>
      </c>
      <c r="T132" s="375" t="s">
        <v>4884</v>
      </c>
      <c r="V132" s="21">
        <v>1501</v>
      </c>
      <c r="W132" s="22">
        <v>125</v>
      </c>
      <c r="X132" s="374" t="s">
        <v>4884</v>
      </c>
      <c r="Y132" s="375" t="s">
        <v>4884</v>
      </c>
      <c r="AA132" s="21">
        <v>1803</v>
      </c>
      <c r="AB132" s="22">
        <v>125</v>
      </c>
      <c r="AC132" s="374" t="s">
        <v>4884</v>
      </c>
      <c r="AD132" s="375" t="s">
        <v>4884</v>
      </c>
      <c r="AF132" s="21">
        <v>1806</v>
      </c>
      <c r="AG132" s="22">
        <v>125</v>
      </c>
      <c r="AH132" s="374" t="s">
        <v>4884</v>
      </c>
      <c r="AI132" s="375" t="s">
        <v>4884</v>
      </c>
      <c r="AK132" s="21">
        <v>1809</v>
      </c>
      <c r="AL132" s="22">
        <v>125</v>
      </c>
      <c r="AM132" s="374" t="s">
        <v>4884</v>
      </c>
      <c r="AN132" s="375" t="s">
        <v>4884</v>
      </c>
      <c r="AP132" s="23">
        <v>1603</v>
      </c>
      <c r="AQ132" s="22">
        <v>125</v>
      </c>
      <c r="AR132" s="374" t="s">
        <v>7971</v>
      </c>
      <c r="AS132" s="375" t="s">
        <v>931</v>
      </c>
      <c r="AU132" s="23">
        <v>1701</v>
      </c>
      <c r="AV132" s="22">
        <v>125</v>
      </c>
      <c r="AW132" s="374" t="s">
        <v>7975</v>
      </c>
      <c r="AX132" s="375" t="s">
        <v>821</v>
      </c>
      <c r="AZ132" s="23">
        <v>1704</v>
      </c>
      <c r="BA132" s="22">
        <v>125</v>
      </c>
      <c r="BB132" s="374" t="s">
        <v>4884</v>
      </c>
      <c r="BC132" s="375" t="s">
        <v>4884</v>
      </c>
      <c r="BE132" s="23">
        <v>1707</v>
      </c>
      <c r="BF132" s="22">
        <v>125</v>
      </c>
      <c r="BG132" s="374" t="s">
        <v>4884</v>
      </c>
      <c r="BH132" s="375" t="s">
        <v>4884</v>
      </c>
    </row>
    <row r="133" spans="2:60">
      <c r="B133" s="21">
        <v>1504</v>
      </c>
      <c r="C133" s="22">
        <v>126</v>
      </c>
      <c r="D133" s="374" t="s">
        <v>4884</v>
      </c>
      <c r="E133" s="375" t="s">
        <v>4884</v>
      </c>
      <c r="G133" s="21">
        <v>1507</v>
      </c>
      <c r="H133" s="22">
        <v>126</v>
      </c>
      <c r="I133" s="374" t="s">
        <v>7959</v>
      </c>
      <c r="J133" s="375" t="s">
        <v>837</v>
      </c>
      <c r="L133" s="21">
        <v>1606</v>
      </c>
      <c r="M133" s="22">
        <v>126</v>
      </c>
      <c r="N133" s="374" t="s">
        <v>4884</v>
      </c>
      <c r="O133" s="375" t="s">
        <v>4884</v>
      </c>
      <c r="Q133" s="21">
        <v>1609</v>
      </c>
      <c r="R133" s="22">
        <v>126</v>
      </c>
      <c r="S133" s="374" t="s">
        <v>4884</v>
      </c>
      <c r="T133" s="375" t="s">
        <v>4884</v>
      </c>
      <c r="V133" s="21">
        <v>1501</v>
      </c>
      <c r="W133" s="22">
        <v>126</v>
      </c>
      <c r="X133" s="374" t="s">
        <v>4884</v>
      </c>
      <c r="Y133" s="375" t="s">
        <v>4884</v>
      </c>
      <c r="AA133" s="21">
        <v>1803</v>
      </c>
      <c r="AB133" s="22">
        <v>126</v>
      </c>
      <c r="AC133" s="374" t="s">
        <v>4884</v>
      </c>
      <c r="AD133" s="375" t="s">
        <v>4884</v>
      </c>
      <c r="AF133" s="21">
        <v>1806</v>
      </c>
      <c r="AG133" s="22">
        <v>126</v>
      </c>
      <c r="AH133" s="374" t="s">
        <v>7860</v>
      </c>
      <c r="AI133" s="375" t="s">
        <v>813</v>
      </c>
      <c r="AK133" s="21">
        <v>1809</v>
      </c>
      <c r="AL133" s="22">
        <v>126</v>
      </c>
      <c r="AM133" s="374" t="s">
        <v>4884</v>
      </c>
      <c r="AN133" s="375" t="s">
        <v>4884</v>
      </c>
      <c r="AP133" s="23">
        <v>1603</v>
      </c>
      <c r="AQ133" s="22">
        <v>126</v>
      </c>
      <c r="AR133" s="374" t="s">
        <v>4884</v>
      </c>
      <c r="AS133" s="375" t="s">
        <v>4884</v>
      </c>
      <c r="AU133" s="23">
        <v>1701</v>
      </c>
      <c r="AV133" s="22">
        <v>126</v>
      </c>
      <c r="AW133" s="374" t="s">
        <v>7965</v>
      </c>
      <c r="AX133" s="375" t="s">
        <v>825</v>
      </c>
      <c r="AZ133" s="23">
        <v>1704</v>
      </c>
      <c r="BA133" s="22">
        <v>126</v>
      </c>
      <c r="BB133" s="374" t="s">
        <v>4884</v>
      </c>
      <c r="BC133" s="375" t="s">
        <v>4884</v>
      </c>
      <c r="BE133" s="23">
        <v>1707</v>
      </c>
      <c r="BF133" s="22">
        <v>126</v>
      </c>
      <c r="BG133" s="374" t="s">
        <v>4884</v>
      </c>
      <c r="BH133" s="375" t="s">
        <v>4884</v>
      </c>
    </row>
    <row r="134" spans="2:60">
      <c r="B134" s="21">
        <v>1504</v>
      </c>
      <c r="C134" s="22">
        <v>127</v>
      </c>
      <c r="D134" s="374" t="s">
        <v>4884</v>
      </c>
      <c r="E134" s="375" t="s">
        <v>4884</v>
      </c>
      <c r="G134" s="21">
        <v>1507</v>
      </c>
      <c r="H134" s="22">
        <v>127</v>
      </c>
      <c r="I134" s="374" t="s">
        <v>4884</v>
      </c>
      <c r="J134" s="375" t="s">
        <v>4884</v>
      </c>
      <c r="L134" s="21">
        <v>1606</v>
      </c>
      <c r="M134" s="22">
        <v>127</v>
      </c>
      <c r="N134" s="374" t="s">
        <v>4884</v>
      </c>
      <c r="O134" s="375" t="s">
        <v>4884</v>
      </c>
      <c r="Q134" s="21">
        <v>1609</v>
      </c>
      <c r="R134" s="22">
        <v>127</v>
      </c>
      <c r="S134" s="374" t="s">
        <v>4884</v>
      </c>
      <c r="T134" s="375" t="s">
        <v>4884</v>
      </c>
      <c r="V134" s="21">
        <v>1501</v>
      </c>
      <c r="W134" s="22">
        <v>127</v>
      </c>
      <c r="X134" s="374" t="s">
        <v>4884</v>
      </c>
      <c r="Y134" s="375" t="s">
        <v>4884</v>
      </c>
      <c r="AA134" s="21">
        <v>1803</v>
      </c>
      <c r="AB134" s="22">
        <v>127</v>
      </c>
      <c r="AC134" s="374" t="s">
        <v>4884</v>
      </c>
      <c r="AD134" s="375" t="s">
        <v>4884</v>
      </c>
      <c r="AF134" s="21">
        <v>1806</v>
      </c>
      <c r="AG134" s="22">
        <v>127</v>
      </c>
      <c r="AH134" s="374" t="s">
        <v>4884</v>
      </c>
      <c r="AI134" s="375" t="s">
        <v>4884</v>
      </c>
      <c r="AK134" s="21">
        <v>1809</v>
      </c>
      <c r="AL134" s="22">
        <v>127</v>
      </c>
      <c r="AM134" s="374" t="s">
        <v>4884</v>
      </c>
      <c r="AN134" s="375" t="s">
        <v>4884</v>
      </c>
      <c r="AP134" s="23">
        <v>1603</v>
      </c>
      <c r="AQ134" s="22">
        <v>127</v>
      </c>
      <c r="AR134" s="374" t="s">
        <v>7972</v>
      </c>
      <c r="AS134" s="375" t="s">
        <v>917</v>
      </c>
      <c r="AU134" s="23">
        <v>1701</v>
      </c>
      <c r="AV134" s="22">
        <v>127</v>
      </c>
      <c r="AW134" s="374" t="s">
        <v>7945</v>
      </c>
      <c r="AX134" s="375" t="s">
        <v>839</v>
      </c>
      <c r="AZ134" s="23">
        <v>1704</v>
      </c>
      <c r="BA134" s="22">
        <v>127</v>
      </c>
      <c r="BB134" s="374" t="s">
        <v>4884</v>
      </c>
      <c r="BC134" s="375" t="s">
        <v>4884</v>
      </c>
      <c r="BE134" s="23">
        <v>1707</v>
      </c>
      <c r="BF134" s="22">
        <v>127</v>
      </c>
      <c r="BG134" s="374" t="s">
        <v>4884</v>
      </c>
      <c r="BH134" s="375" t="s">
        <v>4884</v>
      </c>
    </row>
    <row r="135" spans="2:60" ht="15" thickBot="1">
      <c r="B135" s="25">
        <v>1504</v>
      </c>
      <c r="C135" s="26">
        <v>128</v>
      </c>
      <c r="D135" s="378" t="s">
        <v>4884</v>
      </c>
      <c r="E135" s="379" t="s">
        <v>4884</v>
      </c>
      <c r="G135" s="25">
        <v>1507</v>
      </c>
      <c r="H135" s="26">
        <v>128</v>
      </c>
      <c r="I135" s="378" t="s">
        <v>4884</v>
      </c>
      <c r="J135" s="379" t="s">
        <v>4884</v>
      </c>
      <c r="L135" s="25">
        <v>1606</v>
      </c>
      <c r="M135" s="26">
        <v>128</v>
      </c>
      <c r="N135" s="378" t="s">
        <v>4884</v>
      </c>
      <c r="O135" s="379" t="s">
        <v>4884</v>
      </c>
      <c r="Q135" s="25">
        <v>1609</v>
      </c>
      <c r="R135" s="26">
        <v>128</v>
      </c>
      <c r="S135" s="378" t="s">
        <v>4884</v>
      </c>
      <c r="T135" s="379" t="s">
        <v>4884</v>
      </c>
      <c r="V135" s="25">
        <v>1501</v>
      </c>
      <c r="W135" s="26">
        <v>128</v>
      </c>
      <c r="X135" s="378" t="s">
        <v>4884</v>
      </c>
      <c r="Y135" s="379" t="s">
        <v>4884</v>
      </c>
      <c r="AA135" s="25">
        <v>1803</v>
      </c>
      <c r="AB135" s="26">
        <v>128</v>
      </c>
      <c r="AC135" s="378" t="s">
        <v>4884</v>
      </c>
      <c r="AD135" s="379" t="s">
        <v>4884</v>
      </c>
      <c r="AF135" s="25">
        <v>1806</v>
      </c>
      <c r="AG135" s="26">
        <v>128</v>
      </c>
      <c r="AH135" s="378" t="s">
        <v>4884</v>
      </c>
      <c r="AI135" s="379" t="s">
        <v>4884</v>
      </c>
      <c r="AK135" s="25">
        <v>1809</v>
      </c>
      <c r="AL135" s="26">
        <v>128</v>
      </c>
      <c r="AM135" s="378" t="s">
        <v>4884</v>
      </c>
      <c r="AN135" s="379" t="s">
        <v>4884</v>
      </c>
      <c r="AP135" s="27">
        <v>1603</v>
      </c>
      <c r="AQ135" s="26">
        <v>128</v>
      </c>
      <c r="AR135" s="378" t="s">
        <v>7878</v>
      </c>
      <c r="AS135" s="379" t="s">
        <v>903</v>
      </c>
      <c r="AU135" s="27">
        <v>1701</v>
      </c>
      <c r="AV135" s="26">
        <v>128</v>
      </c>
      <c r="AW135" s="378" t="s">
        <v>7876</v>
      </c>
      <c r="AX135" s="379" t="s">
        <v>841</v>
      </c>
      <c r="AZ135" s="27">
        <v>1704</v>
      </c>
      <c r="BA135" s="26">
        <v>128</v>
      </c>
      <c r="BB135" s="378" t="s">
        <v>4884</v>
      </c>
      <c r="BC135" s="379" t="s">
        <v>4884</v>
      </c>
      <c r="BE135" s="27">
        <v>1707</v>
      </c>
      <c r="BF135" s="26">
        <v>128</v>
      </c>
      <c r="BG135" s="378" t="s">
        <v>4884</v>
      </c>
      <c r="BH135" s="379" t="s">
        <v>4884</v>
      </c>
    </row>
    <row r="136" spans="2:60">
      <c r="H136" s="17"/>
    </row>
  </sheetData>
  <phoneticPr fontId="10"/>
  <pageMargins left="0.7" right="0.7" top="0.75" bottom="0.75" header="0.3" footer="0.3"/>
  <pageSetup paperSize="9" scale="40" fitToWidth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274D-7E9F-46C5-8E38-FAAC613F3C4C}">
  <sheetPr codeName="Sheet2"/>
  <dimension ref="A1:K33"/>
  <sheetViews>
    <sheetView zoomScale="85" zoomScaleNormal="85" workbookViewId="0">
      <selection activeCell="F36" sqref="F36"/>
    </sheetView>
  </sheetViews>
  <sheetFormatPr defaultColWidth="9" defaultRowHeight="15"/>
  <cols>
    <col min="1" max="1" width="2.5703125" style="2" bestFit="1" customWidth="1"/>
    <col min="2" max="2" width="14.42578125" style="1" customWidth="1"/>
    <col min="3" max="3" width="13.85546875" style="1" customWidth="1"/>
    <col min="4" max="4" width="5.85546875" style="1" bestFit="1" customWidth="1"/>
    <col min="5" max="5" width="8.42578125" style="1" customWidth="1"/>
    <col min="6" max="6" width="50.42578125" style="1" bestFit="1" customWidth="1"/>
    <col min="7" max="7" width="26" style="1" bestFit="1" customWidth="1"/>
    <col min="8" max="8" width="50.42578125" style="1" bestFit="1" customWidth="1"/>
    <col min="9" max="9" width="26" style="1" bestFit="1" customWidth="1"/>
    <col min="10" max="10" width="50.42578125" style="1" bestFit="1" customWidth="1"/>
    <col min="11" max="11" width="26" style="1" bestFit="1" customWidth="1"/>
    <col min="12" max="12" width="16.85546875" style="1" customWidth="1"/>
    <col min="13" max="13" width="9" style="1"/>
    <col min="14" max="14" width="17.5703125" style="1" customWidth="1"/>
    <col min="15" max="15" width="9" style="1"/>
    <col min="16" max="16" width="14.5703125" style="1" customWidth="1"/>
    <col min="17" max="16384" width="9" style="1"/>
  </cols>
  <sheetData>
    <row r="1" spans="1:11" ht="25.5">
      <c r="A1" s="183" t="s">
        <v>7579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1" ht="25.5">
      <c r="A2" s="183" t="s">
        <v>7580</v>
      </c>
      <c r="B2" s="182"/>
      <c r="C2" s="182"/>
      <c r="D2" s="182"/>
      <c r="E2" s="182"/>
      <c r="F2" s="182"/>
      <c r="G2" s="182"/>
      <c r="H2" s="136">
        <v>41712</v>
      </c>
      <c r="I2" s="182"/>
      <c r="J2" s="182"/>
      <c r="K2" s="182"/>
    </row>
    <row r="3" spans="1:11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15.75" thickBot="1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</row>
    <row r="5" spans="1:11">
      <c r="A5" s="182"/>
      <c r="B5" s="672" t="s">
        <v>7581</v>
      </c>
      <c r="C5" s="185" t="s">
        <v>7582</v>
      </c>
      <c r="D5" s="673"/>
      <c r="E5" s="674" t="s">
        <v>7583</v>
      </c>
      <c r="F5" s="675" t="s">
        <v>7584</v>
      </c>
      <c r="G5" s="676"/>
      <c r="H5" s="675" t="s">
        <v>7585</v>
      </c>
      <c r="I5" s="676"/>
      <c r="J5" s="677" t="s">
        <v>7586</v>
      </c>
      <c r="K5" s="676"/>
    </row>
    <row r="6" spans="1:11" ht="15.75" thickBot="1">
      <c r="A6" s="182"/>
      <c r="B6" s="678"/>
      <c r="C6" s="679"/>
      <c r="D6" s="680"/>
      <c r="E6" s="681" t="s">
        <v>7587</v>
      </c>
      <c r="F6" s="682" t="s">
        <v>7588</v>
      </c>
      <c r="G6" s="683" t="s">
        <v>7566</v>
      </c>
      <c r="H6" s="684" t="s">
        <v>7588</v>
      </c>
      <c r="I6" s="685" t="s">
        <v>7566</v>
      </c>
      <c r="J6" s="686" t="s">
        <v>7588</v>
      </c>
      <c r="K6" s="685" t="s">
        <v>7566</v>
      </c>
    </row>
    <row r="7" spans="1:11">
      <c r="A7" s="182"/>
      <c r="B7" s="687" t="s">
        <v>7589</v>
      </c>
      <c r="C7" s="688" t="s">
        <v>7590</v>
      </c>
      <c r="D7" s="689" t="s">
        <v>32</v>
      </c>
      <c r="E7" s="690">
        <v>2</v>
      </c>
      <c r="F7" s="691" t="s">
        <v>7745</v>
      </c>
      <c r="G7" s="692" t="s">
        <v>7591</v>
      </c>
      <c r="H7" s="691" t="s">
        <v>7746</v>
      </c>
      <c r="I7" s="692" t="s">
        <v>7591</v>
      </c>
      <c r="J7" s="693" t="s">
        <v>7747</v>
      </c>
      <c r="K7" s="692" t="s">
        <v>7591</v>
      </c>
    </row>
    <row r="8" spans="1:11">
      <c r="A8" s="182"/>
      <c r="B8" s="694" t="s">
        <v>7597</v>
      </c>
      <c r="C8" s="695" t="s">
        <v>7598</v>
      </c>
      <c r="D8" s="696" t="s">
        <v>32</v>
      </c>
      <c r="E8" s="697">
        <v>1</v>
      </c>
      <c r="F8" s="698" t="s">
        <v>7599</v>
      </c>
      <c r="G8" s="702" t="s">
        <v>7600</v>
      </c>
      <c r="H8" s="700" t="s">
        <v>7601</v>
      </c>
      <c r="I8" s="702" t="s">
        <v>7600</v>
      </c>
      <c r="J8" s="700" t="s">
        <v>7602</v>
      </c>
      <c r="K8" s="703" t="s">
        <v>7600</v>
      </c>
    </row>
    <row r="9" spans="1:11">
      <c r="A9" s="182"/>
      <c r="B9" s="694" t="s">
        <v>7741</v>
      </c>
      <c r="C9" s="695" t="s">
        <v>7592</v>
      </c>
      <c r="D9" s="696" t="s">
        <v>32</v>
      </c>
      <c r="E9" s="697">
        <v>2</v>
      </c>
      <c r="F9" s="698" t="s">
        <v>7593</v>
      </c>
      <c r="G9" s="699" t="s">
        <v>7594</v>
      </c>
      <c r="H9" s="700" t="s">
        <v>7595</v>
      </c>
      <c r="I9" s="701" t="s">
        <v>7594</v>
      </c>
      <c r="J9" s="700" t="s">
        <v>7596</v>
      </c>
      <c r="K9" s="701" t="s">
        <v>7594</v>
      </c>
    </row>
    <row r="10" spans="1:11">
      <c r="A10" s="1"/>
      <c r="B10" s="717" t="s">
        <v>7668</v>
      </c>
      <c r="C10" s="718" t="s">
        <v>7669</v>
      </c>
      <c r="D10" s="719" t="s">
        <v>7</v>
      </c>
      <c r="E10" s="720">
        <v>1</v>
      </c>
      <c r="F10" s="721" t="s">
        <v>7670</v>
      </c>
      <c r="G10" s="699" t="s">
        <v>7671</v>
      </c>
      <c r="H10" s="722" t="s">
        <v>7672</v>
      </c>
      <c r="I10" s="723" t="s">
        <v>7671</v>
      </c>
      <c r="J10" s="723" t="s">
        <v>7673</v>
      </c>
      <c r="K10" s="699" t="s">
        <v>7671</v>
      </c>
    </row>
    <row r="11" spans="1:11">
      <c r="A11" s="1"/>
      <c r="B11" s="694" t="s">
        <v>7674</v>
      </c>
      <c r="C11" s="724" t="s">
        <v>1815</v>
      </c>
      <c r="D11" s="725" t="s">
        <v>7</v>
      </c>
      <c r="E11" s="697">
        <v>1</v>
      </c>
      <c r="F11" s="698" t="s">
        <v>7675</v>
      </c>
      <c r="G11" s="702" t="s">
        <v>7676</v>
      </c>
      <c r="H11" s="700" t="s">
        <v>7677</v>
      </c>
      <c r="I11" s="726" t="s">
        <v>7676</v>
      </c>
      <c r="J11" s="726" t="s">
        <v>7678</v>
      </c>
      <c r="K11" s="701" t="s">
        <v>7676</v>
      </c>
    </row>
    <row r="12" spans="1:11">
      <c r="A12" s="182"/>
      <c r="B12" s="694" t="s">
        <v>7603</v>
      </c>
      <c r="C12" s="695" t="s">
        <v>1765</v>
      </c>
      <c r="D12" s="696" t="s">
        <v>32</v>
      </c>
      <c r="E12" s="697">
        <v>1</v>
      </c>
      <c r="F12" s="698" t="s">
        <v>7604</v>
      </c>
      <c r="G12" s="702" t="s">
        <v>7605</v>
      </c>
      <c r="H12" s="700" t="s">
        <v>7606</v>
      </c>
      <c r="I12" s="698" t="s">
        <v>7605</v>
      </c>
      <c r="J12" s="700" t="s">
        <v>7607</v>
      </c>
      <c r="K12" s="703" t="s">
        <v>7605</v>
      </c>
    </row>
    <row r="13" spans="1:11">
      <c r="A13" s="182"/>
      <c r="B13" s="704" t="s">
        <v>7633</v>
      </c>
      <c r="C13" s="695" t="s">
        <v>7634</v>
      </c>
      <c r="D13" s="696" t="s">
        <v>32</v>
      </c>
      <c r="E13" s="697">
        <v>1</v>
      </c>
      <c r="F13" s="705" t="s">
        <v>7635</v>
      </c>
      <c r="G13" s="706" t="s">
        <v>7636</v>
      </c>
      <c r="H13" s="707" t="s">
        <v>7637</v>
      </c>
      <c r="I13" s="705" t="s">
        <v>7636</v>
      </c>
      <c r="J13" s="708" t="s">
        <v>7638</v>
      </c>
      <c r="K13" s="709" t="s">
        <v>7636</v>
      </c>
    </row>
    <row r="14" spans="1:11">
      <c r="A14" s="182"/>
      <c r="B14" s="704" t="s">
        <v>7639</v>
      </c>
      <c r="C14" s="695" t="s">
        <v>1593</v>
      </c>
      <c r="D14" s="696" t="s">
        <v>32</v>
      </c>
      <c r="E14" s="697">
        <v>1</v>
      </c>
      <c r="F14" s="705" t="s">
        <v>7640</v>
      </c>
      <c r="G14" s="706" t="s">
        <v>7641</v>
      </c>
      <c r="H14" s="707" t="s">
        <v>7642</v>
      </c>
      <c r="I14" s="705" t="s">
        <v>7641</v>
      </c>
      <c r="J14" s="708" t="s">
        <v>7643</v>
      </c>
      <c r="K14" s="709" t="s">
        <v>7641</v>
      </c>
    </row>
    <row r="15" spans="1:11">
      <c r="A15" s="1"/>
      <c r="B15" s="704" t="s">
        <v>7662</v>
      </c>
      <c r="C15" s="695" t="s">
        <v>7663</v>
      </c>
      <c r="D15" s="696" t="s">
        <v>32</v>
      </c>
      <c r="E15" s="697">
        <v>1</v>
      </c>
      <c r="F15" s="705" t="s">
        <v>7664</v>
      </c>
      <c r="G15" s="706" t="s">
        <v>7665</v>
      </c>
      <c r="H15" s="707" t="s">
        <v>7666</v>
      </c>
      <c r="I15" s="705" t="s">
        <v>7665</v>
      </c>
      <c r="J15" s="708" t="s">
        <v>7667</v>
      </c>
      <c r="K15" s="709" t="s">
        <v>7665</v>
      </c>
    </row>
    <row r="16" spans="1:11" ht="25.5">
      <c r="A16" s="1"/>
      <c r="B16" s="704" t="s">
        <v>7644</v>
      </c>
      <c r="C16" s="695" t="s">
        <v>7645</v>
      </c>
      <c r="D16" s="696" t="s">
        <v>32</v>
      </c>
      <c r="E16" s="697">
        <v>1</v>
      </c>
      <c r="F16" s="705" t="s">
        <v>7646</v>
      </c>
      <c r="G16" s="706" t="s">
        <v>7647</v>
      </c>
      <c r="H16" s="707" t="s">
        <v>7648</v>
      </c>
      <c r="I16" s="705" t="s">
        <v>7647</v>
      </c>
      <c r="J16" s="708" t="s">
        <v>7649</v>
      </c>
      <c r="K16" s="709" t="s">
        <v>7647</v>
      </c>
    </row>
    <row r="17" spans="1:11">
      <c r="A17" s="182"/>
      <c r="B17" s="704" t="s">
        <v>7621</v>
      </c>
      <c r="C17" s="695" t="s">
        <v>7622</v>
      </c>
      <c r="D17" s="696" t="s">
        <v>32</v>
      </c>
      <c r="E17" s="697">
        <v>1</v>
      </c>
      <c r="F17" s="707" t="s">
        <v>7623</v>
      </c>
      <c r="G17" s="710" t="s">
        <v>7624</v>
      </c>
      <c r="H17" s="707" t="s">
        <v>7625</v>
      </c>
      <c r="I17" s="708" t="s">
        <v>7624</v>
      </c>
      <c r="J17" s="708" t="s">
        <v>7626</v>
      </c>
      <c r="K17" s="710" t="s">
        <v>7624</v>
      </c>
    </row>
    <row r="18" spans="1:11">
      <c r="A18" s="182"/>
      <c r="B18" s="704" t="s">
        <v>7627</v>
      </c>
      <c r="C18" s="695" t="s">
        <v>1860</v>
      </c>
      <c r="D18" s="696" t="s">
        <v>32</v>
      </c>
      <c r="E18" s="697">
        <v>1</v>
      </c>
      <c r="F18" s="707" t="s">
        <v>7628</v>
      </c>
      <c r="G18" s="710" t="s">
        <v>7629</v>
      </c>
      <c r="H18" s="707" t="s">
        <v>7630</v>
      </c>
      <c r="I18" s="708" t="s">
        <v>7631</v>
      </c>
      <c r="J18" s="708" t="s">
        <v>7632</v>
      </c>
      <c r="K18" s="710" t="s">
        <v>7577</v>
      </c>
    </row>
    <row r="19" spans="1:11">
      <c r="A19" s="182"/>
      <c r="B19" s="704" t="s">
        <v>7608</v>
      </c>
      <c r="C19" s="695" t="s">
        <v>1869</v>
      </c>
      <c r="D19" s="696" t="s">
        <v>32</v>
      </c>
      <c r="E19" s="697">
        <v>1</v>
      </c>
      <c r="F19" s="705" t="s">
        <v>7609</v>
      </c>
      <c r="G19" s="706" t="s">
        <v>7610</v>
      </c>
      <c r="H19" s="707" t="s">
        <v>7611</v>
      </c>
      <c r="I19" s="706" t="s">
        <v>7610</v>
      </c>
      <c r="J19" s="708" t="s">
        <v>7612</v>
      </c>
      <c r="K19" s="709" t="s">
        <v>7610</v>
      </c>
    </row>
    <row r="20" spans="1:11" ht="15.75" thickBot="1">
      <c r="A20" s="182"/>
      <c r="B20" s="704" t="s">
        <v>7613</v>
      </c>
      <c r="C20" s="695" t="s">
        <v>7614</v>
      </c>
      <c r="D20" s="696" t="s">
        <v>32</v>
      </c>
      <c r="E20" s="697">
        <v>1</v>
      </c>
      <c r="F20" s="705" t="s">
        <v>7615</v>
      </c>
      <c r="G20" s="710" t="s">
        <v>7616</v>
      </c>
      <c r="H20" s="707" t="s">
        <v>7617</v>
      </c>
      <c r="I20" s="708" t="s">
        <v>7618</v>
      </c>
      <c r="J20" s="708" t="s">
        <v>7619</v>
      </c>
      <c r="K20" s="710" t="s">
        <v>7620</v>
      </c>
    </row>
    <row r="21" spans="1:11">
      <c r="A21" s="1"/>
      <c r="B21" s="687" t="s">
        <v>7742</v>
      </c>
      <c r="C21" s="714" t="s">
        <v>7657</v>
      </c>
      <c r="D21" s="715" t="s">
        <v>32</v>
      </c>
      <c r="E21" s="690">
        <v>4</v>
      </c>
      <c r="F21" s="691" t="s">
        <v>7658</v>
      </c>
      <c r="G21" s="716" t="s">
        <v>7659</v>
      </c>
      <c r="H21" s="691" t="s">
        <v>7660</v>
      </c>
      <c r="I21" s="693" t="s">
        <v>7659</v>
      </c>
      <c r="J21" s="693" t="s">
        <v>7661</v>
      </c>
      <c r="K21" s="692" t="s">
        <v>7659</v>
      </c>
    </row>
    <row r="22" spans="1:11">
      <c r="A22" s="1"/>
      <c r="B22" s="694" t="s">
        <v>7692</v>
      </c>
      <c r="C22" s="724" t="s">
        <v>7693</v>
      </c>
      <c r="D22" s="725" t="s">
        <v>7</v>
      </c>
      <c r="E22" s="697">
        <v>1</v>
      </c>
      <c r="F22" s="698" t="s">
        <v>7694</v>
      </c>
      <c r="G22" s="727" t="s">
        <v>7695</v>
      </c>
      <c r="H22" s="728" t="s">
        <v>7696</v>
      </c>
      <c r="I22" s="729" t="s">
        <v>7695</v>
      </c>
      <c r="J22" s="729" t="s">
        <v>7697</v>
      </c>
      <c r="K22" s="727" t="s">
        <v>7695</v>
      </c>
    </row>
    <row r="23" spans="1:11">
      <c r="A23" s="1"/>
      <c r="B23" s="694" t="s">
        <v>7686</v>
      </c>
      <c r="C23" s="724" t="s">
        <v>7687</v>
      </c>
      <c r="D23" s="725" t="s">
        <v>7</v>
      </c>
      <c r="E23" s="697">
        <v>1</v>
      </c>
      <c r="F23" s="698" t="s">
        <v>7688</v>
      </c>
      <c r="G23" s="727" t="s">
        <v>7689</v>
      </c>
      <c r="H23" s="728" t="s">
        <v>7690</v>
      </c>
      <c r="I23" s="729" t="s">
        <v>7689</v>
      </c>
      <c r="J23" s="729" t="s">
        <v>7691</v>
      </c>
      <c r="K23" s="727" t="s">
        <v>7689</v>
      </c>
    </row>
    <row r="24" spans="1:11">
      <c r="A24" s="1"/>
      <c r="B24" s="694" t="s">
        <v>7679</v>
      </c>
      <c r="C24" s="724" t="s">
        <v>7680</v>
      </c>
      <c r="D24" s="725" t="s">
        <v>7</v>
      </c>
      <c r="E24" s="697">
        <v>1</v>
      </c>
      <c r="F24" s="698" t="s">
        <v>7681</v>
      </c>
      <c r="G24" s="727" t="s">
        <v>7682</v>
      </c>
      <c r="H24" s="728" t="s">
        <v>7683</v>
      </c>
      <c r="I24" s="729" t="s">
        <v>7682</v>
      </c>
      <c r="J24" s="729" t="s">
        <v>7684</v>
      </c>
      <c r="K24" s="727" t="s">
        <v>7685</v>
      </c>
    </row>
    <row r="25" spans="1:11" ht="15.75" thickBot="1">
      <c r="A25" s="1"/>
      <c r="B25" s="745" t="s">
        <v>7650</v>
      </c>
      <c r="C25" s="711" t="s">
        <v>7651</v>
      </c>
      <c r="D25" s="712"/>
      <c r="E25" s="746">
        <v>1</v>
      </c>
      <c r="F25" s="747" t="s">
        <v>7652</v>
      </c>
      <c r="G25" s="748" t="s">
        <v>7605</v>
      </c>
      <c r="H25" s="749" t="s">
        <v>7653</v>
      </c>
      <c r="I25" s="750" t="s">
        <v>7654</v>
      </c>
      <c r="J25" s="750" t="s">
        <v>7655</v>
      </c>
      <c r="K25" s="751" t="s">
        <v>7656</v>
      </c>
    </row>
    <row r="26" spans="1:11">
      <c r="A26" s="1"/>
      <c r="B26" s="704" t="s">
        <v>7698</v>
      </c>
      <c r="C26" s="724" t="s">
        <v>7699</v>
      </c>
      <c r="D26" s="725" t="s">
        <v>7</v>
      </c>
      <c r="E26" s="697">
        <v>1</v>
      </c>
      <c r="F26" s="705" t="s">
        <v>7700</v>
      </c>
      <c r="G26" s="730" t="s">
        <v>7636</v>
      </c>
      <c r="H26" s="731" t="s">
        <v>7701</v>
      </c>
      <c r="I26" s="732" t="s">
        <v>7636</v>
      </c>
      <c r="J26" s="733" t="s">
        <v>7702</v>
      </c>
      <c r="K26" s="734" t="s">
        <v>7636</v>
      </c>
    </row>
    <row r="27" spans="1:11">
      <c r="A27" s="1"/>
      <c r="B27" s="704" t="s">
        <v>7703</v>
      </c>
      <c r="C27" s="724" t="s">
        <v>7704</v>
      </c>
      <c r="D27" s="725" t="s">
        <v>7</v>
      </c>
      <c r="E27" s="697">
        <v>1</v>
      </c>
      <c r="F27" s="705" t="s">
        <v>7705</v>
      </c>
      <c r="G27" s="730" t="s">
        <v>7641</v>
      </c>
      <c r="H27" s="731" t="s">
        <v>7706</v>
      </c>
      <c r="I27" s="733" t="s">
        <v>7641</v>
      </c>
      <c r="J27" s="733" t="s">
        <v>7707</v>
      </c>
      <c r="K27" s="735" t="s">
        <v>7708</v>
      </c>
    </row>
    <row r="28" spans="1:11">
      <c r="A28" s="1"/>
      <c r="B28" s="704" t="s">
        <v>7709</v>
      </c>
      <c r="C28" s="736" t="s">
        <v>7710</v>
      </c>
      <c r="D28" s="725" t="s">
        <v>7</v>
      </c>
      <c r="E28" s="697">
        <v>1</v>
      </c>
      <c r="F28" s="705" t="s">
        <v>7711</v>
      </c>
      <c r="G28" s="706" t="s">
        <v>7665</v>
      </c>
      <c r="H28" s="707" t="s">
        <v>7712</v>
      </c>
      <c r="I28" s="705" t="s">
        <v>7665</v>
      </c>
      <c r="J28" s="708" t="s">
        <v>7713</v>
      </c>
      <c r="K28" s="709" t="s">
        <v>7665</v>
      </c>
    </row>
    <row r="29" spans="1:11">
      <c r="A29" s="1"/>
      <c r="B29" s="704" t="s">
        <v>7714</v>
      </c>
      <c r="C29" s="724" t="s">
        <v>7715</v>
      </c>
      <c r="D29" s="725" t="s">
        <v>7</v>
      </c>
      <c r="E29" s="697">
        <v>1</v>
      </c>
      <c r="F29" s="705" t="s">
        <v>7716</v>
      </c>
      <c r="G29" s="706" t="s">
        <v>7717</v>
      </c>
      <c r="H29" s="707" t="s">
        <v>7718</v>
      </c>
      <c r="I29" s="705" t="s">
        <v>7647</v>
      </c>
      <c r="J29" s="708" t="s">
        <v>7719</v>
      </c>
      <c r="K29" s="705" t="s">
        <v>7647</v>
      </c>
    </row>
    <row r="30" spans="1:11">
      <c r="A30" s="1"/>
      <c r="B30" s="704" t="s">
        <v>7720</v>
      </c>
      <c r="C30" s="724" t="s">
        <v>7721</v>
      </c>
      <c r="D30" s="725" t="s">
        <v>7</v>
      </c>
      <c r="E30" s="697">
        <v>1</v>
      </c>
      <c r="F30" s="705" t="s">
        <v>7722</v>
      </c>
      <c r="G30" s="706" t="s">
        <v>7624</v>
      </c>
      <c r="H30" s="707" t="s">
        <v>7723</v>
      </c>
      <c r="I30" s="705" t="s">
        <v>7624</v>
      </c>
      <c r="J30" s="708" t="s">
        <v>7724</v>
      </c>
      <c r="K30" s="709" t="s">
        <v>7624</v>
      </c>
    </row>
    <row r="31" spans="1:11">
      <c r="A31" s="1"/>
      <c r="B31" s="704" t="s">
        <v>7725</v>
      </c>
      <c r="C31" s="724" t="s">
        <v>7726</v>
      </c>
      <c r="D31" s="725" t="s">
        <v>7</v>
      </c>
      <c r="E31" s="697">
        <v>1</v>
      </c>
      <c r="F31" s="705" t="s">
        <v>7727</v>
      </c>
      <c r="G31" s="706" t="s">
        <v>7631</v>
      </c>
      <c r="H31" s="707" t="s">
        <v>7728</v>
      </c>
      <c r="I31" s="705" t="s">
        <v>7729</v>
      </c>
      <c r="J31" s="708" t="s">
        <v>7730</v>
      </c>
      <c r="K31" s="709" t="s">
        <v>7631</v>
      </c>
    </row>
    <row r="32" spans="1:11">
      <c r="A32" s="1"/>
      <c r="B32" s="704" t="s">
        <v>7731</v>
      </c>
      <c r="C32" s="724" t="s">
        <v>7732</v>
      </c>
      <c r="D32" s="725" t="s">
        <v>7</v>
      </c>
      <c r="E32" s="697">
        <v>1</v>
      </c>
      <c r="F32" s="705" t="s">
        <v>7733</v>
      </c>
      <c r="G32" s="706" t="s">
        <v>7610</v>
      </c>
      <c r="H32" s="707" t="s">
        <v>7734</v>
      </c>
      <c r="I32" s="705" t="s">
        <v>7610</v>
      </c>
      <c r="J32" s="708" t="s">
        <v>7735</v>
      </c>
      <c r="K32" s="709" t="s">
        <v>7610</v>
      </c>
    </row>
    <row r="33" spans="1:11" ht="15.75" thickBot="1">
      <c r="A33" s="1"/>
      <c r="B33" s="737" t="s">
        <v>7736</v>
      </c>
      <c r="C33" s="738" t="s">
        <v>7737</v>
      </c>
      <c r="D33" s="739" t="s">
        <v>7</v>
      </c>
      <c r="E33" s="740">
        <v>1</v>
      </c>
      <c r="F33" s="713" t="s">
        <v>7738</v>
      </c>
      <c r="G33" s="741" t="s">
        <v>7616</v>
      </c>
      <c r="H33" s="742" t="s">
        <v>7739</v>
      </c>
      <c r="I33" s="713" t="s">
        <v>7620</v>
      </c>
      <c r="J33" s="743" t="s">
        <v>7740</v>
      </c>
      <c r="K33" s="744" t="s">
        <v>7616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C24B81742A04CB292706DD11599F7" ma:contentTypeVersion="17" ma:contentTypeDescription="Create a new document." ma:contentTypeScope="" ma:versionID="bb5f6e1756b7509a75338567756d27d5">
  <xsd:schema xmlns:xsd="http://www.w3.org/2001/XMLSchema" xmlns:xs="http://www.w3.org/2001/XMLSchema" xmlns:p="http://schemas.microsoft.com/office/2006/metadata/properties" xmlns:ns2="bcd5b038-adb1-499f-b4a2-417d4f3a2cae" xmlns:ns3="7fc2b361-d4b1-442d-b278-c9fdb86b0f65" targetNamespace="http://schemas.microsoft.com/office/2006/metadata/properties" ma:root="true" ma:fieldsID="051573a3025aabe7a69289d082dfe658" ns2:_="" ns3:_="">
    <xsd:import namespace="bcd5b038-adb1-499f-b4a2-417d4f3a2cae"/>
    <xsd:import namespace="7fc2b361-d4b1-442d-b278-c9fdb86b0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5b038-adb1-499f-b4a2-417d4f3a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b361-d4b1-442d-b278-c9fdb86b0f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6a19c3-d0c2-4994-a65a-f3f8339b4528}" ma:internalName="TaxCatchAll" ma:showField="CatchAllData" ma:web="7fc2b361-d4b1-442d-b278-c9fdb86b0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c2b361-d4b1-442d-b278-c9fdb86b0f65"/>
    <lcf76f155ced4ddcb4097134ff3c332f xmlns="bcd5b038-adb1-499f-b4a2-417d4f3a2c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7E50F1-834F-4580-AADA-B32513CB25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AF3C8E-5401-4F8A-AE2B-DE43B7D39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5b038-adb1-499f-b4a2-417d4f3a2cae"/>
    <ds:schemaRef ds:uri="7fc2b361-d4b1-442d-b278-c9fdb86b0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FDD91A-A235-4925-93A2-A3F247159BB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E2AC03C-7444-417D-BD62-1175464A4E18}">
  <ds:schemaRefs>
    <ds:schemaRef ds:uri="http://schemas.microsoft.com/office/2006/metadata/properties"/>
    <ds:schemaRef ds:uri="http://schemas.microsoft.com/office/infopath/2007/PartnerControls"/>
    <ds:schemaRef ds:uri="7fc2b361-d4b1-442d-b278-c9fdb86b0f65"/>
    <ds:schemaRef ds:uri="bcd5b038-adb1-499f-b4a2-417d4f3a2c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Sheet1</vt:lpstr>
      <vt:lpstr>Pinlist(S1)</vt:lpstr>
      <vt:lpstr>Pinlist(S3)</vt:lpstr>
      <vt:lpstr>Pinlist(S5)</vt:lpstr>
      <vt:lpstr>Crosstalk</vt:lpstr>
      <vt:lpstr>LoopBack</vt:lpstr>
      <vt:lpstr>DDR</vt:lpstr>
      <vt:lpstr>USB2</vt:lpstr>
      <vt:lpstr>VCCRTCEXT_DSW,synch</vt:lpstr>
      <vt:lpstr>Crystal</vt:lpstr>
      <vt:lpstr>HVMCLK</vt:lpstr>
      <vt:lpstr>HIMONI</vt:lpstr>
      <vt:lpstr>THERMAL</vt:lpstr>
      <vt:lpstr>EDP,DDR_C,JTAG,MBP</vt:lpstr>
      <vt:lpstr>NOA,DDI</vt:lpstr>
      <vt:lpstr>CLKOUT_CSI</vt:lpstr>
      <vt:lpstr>CLAssign</vt:lpstr>
      <vt:lpstr>POWER</vt:lpstr>
      <vt:lpstr>CLKOUT_CSI!Print_Area</vt:lpstr>
      <vt:lpstr>Crystal!Print_Area</vt:lpstr>
      <vt:lpstr>DDR!Print_Area</vt:lpstr>
      <vt:lpstr>'EDP,DDR_C,JTAG,MBP'!Print_Area</vt:lpstr>
      <vt:lpstr>HIMONI!Print_Area</vt:lpstr>
      <vt:lpstr>HVMCLK!Print_Area</vt:lpstr>
      <vt:lpstr>'NOA,DDI'!Print_Area</vt:lpstr>
      <vt:lpstr>THERMAL!Print_Area</vt:lpstr>
      <vt:lpstr>'VCCRTCEXT_DSW,synch'!Print_Area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at043984</dc:creator>
  <cp:lastModifiedBy>Hoang, Anh DucX</cp:lastModifiedBy>
  <cp:lastPrinted>2014-03-14T00:32:06Z</cp:lastPrinted>
  <dcterms:created xsi:type="dcterms:W3CDTF">2014-02-05T03:11:17Z</dcterms:created>
  <dcterms:modified xsi:type="dcterms:W3CDTF">2025-11-02T08:04:21Z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2044000.00000000</vt:lpwstr>
  </property>
</Properties>
</file>